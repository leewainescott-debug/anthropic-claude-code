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workbookPassword="C5C5" lockStructure="1"/>
  <bookViews>
    <workbookView visibility="visible" minimized="0" showHorizontalScroll="1" showVerticalScroll="1" showSheetTabs="1" xWindow="0" yWindow="0" windowWidth="16384" windowHeight="8192"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3.5 TDD Lights On" sheetId="41" state="visible" r:id="rId41"/>
    <sheet xmlns:r="http://schemas.openxmlformats.org/officeDocument/2006/relationships" name="3.6 TDD Lights On AU NZ" sheetId="42" state="visible" r:id="rId42"/>
    <sheet xmlns:r="http://schemas.openxmlformats.org/officeDocument/2006/relationships" name="DATA &gt;&gt;" sheetId="43" state="hidden" r:id="rId43"/>
    <sheet xmlns:r="http://schemas.openxmlformats.org/officeDocument/2006/relationships" name="Lists" sheetId="44" state="hidden" r:id="rId44"/>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Mapping'!$A$1:$AQ$527</definedName>
  </definedNames>
  <calcPr calcId="191029" fullCalcOnLoad="1"/>
</workbook>
</file>

<file path=xl/styles.xml><?xml version="1.0" encoding="utf-8"?>
<styleSheet xmlns="http://schemas.openxmlformats.org/spreadsheetml/2006/main">
  <numFmts count="19">
    <numFmt numFmtId="164" formatCode="#,##0;\(#,##0\)"/>
    <numFmt numFmtId="165" formatCode="#,##0.00;\(#,##0.00\)"/>
    <numFmt numFmtId="166" formatCode="#,##0.00;\(#,##0.00\);#,##0.00"/>
    <numFmt numFmtId="167" formatCode="0.000"/>
    <numFmt numFmtId="168" formatCode="#,##0.0"/>
    <numFmt numFmtId="169" formatCode="0.0"/>
    <numFmt numFmtId="170" formatCode="_-* #,##0_-;\-* #,##0_-;_-* #,##0_-;_-@_-"/>
    <numFmt numFmtId="171" formatCode="_-* #,##0.0_-;\-* #,##0.0_-;_-* #,##0.0_-;_-@_-"/>
    <numFmt numFmtId="172" formatCode="yyyy\-mm\-dd\ h:mm:ss"/>
    <numFmt numFmtId="173" formatCode="m/d/yyyy"/>
    <numFmt numFmtId="174" formatCode="dd/mm/yyyy"/>
    <numFmt numFmtId="175" formatCode="#,##0.0;\(#,##0.0\)"/>
    <numFmt numFmtId="176" formatCode="d\-mmm"/>
    <numFmt numFmtId="177" formatCode="#,##0;\(#,##0\);0"/>
    <numFmt numFmtId="178" formatCode="#,##0.00;\(#,##0.00\);0.00"/>
    <numFmt numFmtId="179" formatCode="#,##0.000;\(#,##0.000\)"/>
    <numFmt numFmtId="180" formatCode="0.0000"/>
    <numFmt numFmtId="181" formatCode="#,##0.00;(#,##0.00)"/>
    <numFmt numFmtId="182" formatCode="_(* #,##0.00_);_(* \(#,##0.00\);_(* \-??_);_(@_)"/>
  </numFmts>
  <fonts count="72">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theme="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1"/>
    </font>
    <font>
      <name val="Calibri"/>
      <charset val="1"/>
      <family val="2"/>
      <sz val="10"/>
    </font>
    <font>
      <name val="Calibri"/>
      <charset val="1"/>
      <family val="0"/>
      <sz val="10"/>
    </font>
    <font>
      <name val="Calibri"/>
      <charset val="1"/>
      <family val="0"/>
      <b val="1"/>
      <i val="1"/>
      <color rgb="FF808080"/>
      <sz val="11"/>
    </font>
    <font>
      <name val="Calibri"/>
      <charset val="1"/>
      <family val="0"/>
      <i val="1"/>
      <color rgb="FF808080"/>
      <sz val="11"/>
    </font>
    <font>
      <name val="Calibri"/>
      <charset val="1"/>
      <family val="2"/>
      <b val="1"/>
      <color theme="1"/>
      <sz val="11"/>
    </font>
    <font>
      <name val="Calibri"/>
      <charset val="1"/>
      <family val="2"/>
      <color rgb="FFFF0000"/>
      <sz val="10"/>
    </font>
    <font>
      <name val="Calibri"/>
      <charset val="1"/>
      <family val="2"/>
      <b val="1"/>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0"/>
      <color rgb="FFA6A6A6"/>
      <sz val="8"/>
    </font>
    <font>
      <name val="Calibri"/>
      <charset val="1"/>
      <family val="2"/>
      <color rgb="FF000000"/>
      <sz val="11"/>
    </font>
    <font>
      <name val="Calibri"/>
      <charset val="1"/>
      <family val="2"/>
      <color rgb="FFFF0000"/>
      <sz val="11"/>
    </font>
    <font>
      <name val="Arial"/>
      <family val="2"/>
      <sz val="10"/>
    </font>
    <font>
      <name val="Calibri"/>
      <charset val="1"/>
      <family val="2"/>
      <b val="1"/>
      <sz val="16"/>
    </font>
    <font>
      <name val="Calibri"/>
      <charset val="1"/>
      <family val="0"/>
      <b val="1"/>
      <sz val="10"/>
    </font>
    <font>
      <name val="Calibri"/>
      <charset val="1"/>
      <family val="2"/>
      <color theme="0"/>
      <sz val="10"/>
    </font>
    <font>
      <name val="Calibri"/>
      <charset val="1"/>
      <family val="0"/>
      <b val="1"/>
      <color rgb="FFFFFFFF"/>
      <sz val="10"/>
    </font>
    <font>
      <name val="Calibri"/>
      <charset val="1"/>
      <family val="2"/>
      <i val="1"/>
      <sz val="10"/>
    </font>
    <font>
      <name val="Calibri"/>
      <charset val="1"/>
      <family val="0"/>
      <i val="1"/>
      <sz val="10"/>
    </font>
    <font>
      <name val="Calibri"/>
      <charset val="1"/>
      <family val="2"/>
      <b val="1"/>
      <color theme="1"/>
      <sz val="10"/>
    </font>
    <font>
      <name val="Calibri"/>
      <charset val="1"/>
      <family val="2"/>
      <b val="1"/>
      <color rgb="FFFF0000"/>
      <sz val="10"/>
    </font>
    <font>
      <name val="Calibri"/>
      <charset val="1"/>
      <family val="2"/>
      <b val="1"/>
      <color rgb="FFBF8F00"/>
      <sz val="16"/>
    </font>
    <font>
      <name val="Calibri"/>
      <charset val="1"/>
      <family val="0"/>
      <color rgb="FFFFFFFF"/>
      <sz val="11"/>
    </font>
    <font>
      <name val="Calibri"/>
      <charset val="1"/>
      <family val="0"/>
      <color rgb="FFA6A6A6"/>
      <sz val="7"/>
    </font>
    <font>
      <name val="Calibri"/>
      <charset val="1"/>
      <family val="2"/>
      <b val="1"/>
      <color rgb="FF002F6C"/>
      <sz val="16"/>
    </font>
    <font>
      <name val="Cambria"/>
      <charset val="1"/>
      <family val="0"/>
      <b val="1"/>
      <sz val="16"/>
    </font>
    <font>
      <name val="Cambria"/>
      <charset val="1"/>
      <family val="0"/>
      <b val="1"/>
      <color rgb="FFFFFFFF"/>
      <sz val="11"/>
    </font>
    <font>
      <name val="Cambria"/>
      <charset val="1"/>
      <family val="0"/>
      <b val="1"/>
      <sz val="11"/>
    </font>
    <font>
      <name val="Calibri"/>
      <charset val="1"/>
      <family val="2"/>
      <b val="1"/>
      <color rgb="FF375623"/>
      <sz val="16"/>
    </font>
    <font>
      <b val="1"/>
      <sz val="16"/>
    </font>
    <font>
      <b val="1"/>
      <color rgb="FFFFFFFF"/>
    </font>
    <font>
      <b val="1"/>
    </font>
  </fonts>
  <fills count="36">
    <fill>
      <patternFill/>
    </fill>
    <fill>
      <patternFill patternType="gray125"/>
    </fill>
    <fill>
      <patternFill patternType="solid">
        <fgColor rgb="FF002F6C"/>
        <bgColor rgb="FF0F2E52"/>
      </patternFill>
    </fill>
    <fill>
      <patternFill patternType="solid">
        <fgColor rgb="FFFFF2CC"/>
        <bgColor rgb="FFFDEADA"/>
      </patternFill>
    </fill>
    <fill>
      <patternFill patternType="solid">
        <fgColor theme="1" tint="0.4999"/>
        <bgColor rgb="FF808080"/>
      </patternFill>
    </fill>
    <fill>
      <patternFill patternType="solid">
        <fgColor theme="1"/>
        <bgColor rgb="FF151515"/>
      </patternFill>
    </fill>
    <fill>
      <patternFill patternType="solid">
        <fgColor rgb="FFDCEAF7"/>
        <bgColor rgb="FFDDEBF7"/>
      </patternFill>
    </fill>
    <fill>
      <patternFill patternType="solid">
        <fgColor rgb="FFF2F2F2"/>
        <bgColor rgb="FFF5F4F0"/>
      </patternFill>
    </fill>
    <fill>
      <patternFill patternType="solid">
        <fgColor rgb="FFAEAEAE"/>
        <bgColor rgb="FFA6A6A6"/>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5F4F0"/>
      </patternFill>
    </fill>
    <fill>
      <patternFill patternType="solid">
        <fgColor rgb="FFE7EAED"/>
        <bgColor rgb="FFDDEBF7"/>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BF8F0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8"/>
        <bgColor rgb="FFFBE3D6"/>
      </patternFill>
    </fill>
    <fill>
      <patternFill patternType="solid">
        <fgColor theme="7" tint="0.7998"/>
        <bgColor rgb="FFDCE6F2"/>
      </patternFill>
    </fill>
    <fill>
      <patternFill patternType="solid">
        <fgColor theme="3"/>
        <bgColor rgb="FF1F4E79"/>
      </patternFill>
    </fill>
    <fill>
      <patternFill patternType="solid">
        <fgColor rgb="FFDDEBF7"/>
        <bgColor rgb="FFDCEAF7"/>
      </patternFill>
    </fill>
    <fill>
      <patternFill patternType="solid">
        <fgColor rgb="FF0F2E52"/>
        <bgColor rgb="FF002F6C"/>
      </patternFill>
    </fill>
    <fill>
      <patternFill patternType="solid">
        <fgColor rgb="FFF5F4F0"/>
        <bgColor rgb="FFF2F2F2"/>
      </patternFill>
    </fill>
    <fill>
      <patternFill patternType="solid">
        <fgColor rgb="FF0F2E52"/>
      </patternFill>
    </fill>
    <fill>
      <patternFill patternType="solid">
        <fgColor rgb="FFFFF2CC"/>
      </patternFill>
    </fill>
    <fill>
      <patternFill patternType="solid">
        <fgColor rgb="FFF5F4F0"/>
      </patternFill>
    </fill>
  </fills>
  <borders count="106">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color rgb="FFBFBFBF"/>
      </left>
      <right style="thin">
        <color rgb="FFBFBFBF"/>
      </right>
      <top style="medium">
        <color rgb="FF002F6C"/>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thin"/>
      <right style="thin"/>
      <top/>
      <botto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
      <left/>
      <right/>
      <top style="thin"/>
      <bottom style="thin"/>
      <diagonal/>
    </border>
    <border>
      <left/>
      <right style="thin"/>
      <top style="thin"/>
      <bottom style="thin"/>
      <diagonal/>
    </border>
  </borders>
  <cellStyleXfs count="1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82" fontId="0" fillId="0" borderId="0" applyAlignment="1">
      <alignment horizontal="general" vertical="bottom"/>
    </xf>
    <xf numFmtId="18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0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applyProtection="1" pivotButton="0" quotePrefix="0" xfId="0">
      <alignment horizontal="center" vertical="center" wrapText="1"/>
      <protection locked="0" hidden="0"/>
    </xf>
    <xf numFmtId="0" fontId="0" fillId="4" borderId="0" applyAlignment="1" pivotButton="0" quotePrefix="0" xfId="0">
      <alignment horizontal="general" vertical="bottom"/>
    </xf>
    <xf numFmtId="0" fontId="8" fillId="4" borderId="0" applyAlignment="1" pivotButton="0" quotePrefix="0" xfId="0">
      <alignment horizontal="general" vertical="center"/>
    </xf>
    <xf numFmtId="0" fontId="9" fillId="0" borderId="0" applyAlignment="1" pivotButton="0" quotePrefix="0" xfId="0">
      <alignment horizontal="general" vertical="bottom"/>
    </xf>
    <xf numFmtId="0" fontId="10" fillId="5" borderId="2" applyAlignment="1" pivotButton="0" quotePrefix="0" xfId="0">
      <alignment horizontal="center" vertical="center" wrapText="1" readingOrder="1"/>
    </xf>
    <xf numFmtId="0" fontId="10" fillId="5" borderId="3" applyAlignment="1" pivotButton="0" quotePrefix="0" xfId="0">
      <alignment horizontal="center" vertical="center" wrapText="1" readingOrder="1"/>
    </xf>
    <xf numFmtId="0" fontId="11" fillId="6" borderId="3" applyAlignment="1" pivotButton="0" quotePrefix="0" xfId="0">
      <alignment horizontal="center" vertical="center" wrapText="1" readingOrder="1"/>
    </xf>
    <xf numFmtId="0" fontId="10" fillId="5" borderId="4" applyAlignment="1" pivotButton="0" quotePrefix="0" xfId="0">
      <alignment horizontal="center" vertical="center" wrapText="1" readingOrder="1"/>
    </xf>
    <xf numFmtId="0" fontId="12" fillId="7" borderId="5" applyAlignment="1" pivotButton="0" quotePrefix="0" xfId="0">
      <alignment horizontal="general" vertical="center" wrapText="1"/>
    </xf>
    <xf numFmtId="0" fontId="11" fillId="6" borderId="6" applyAlignment="1" pivotButton="0" quotePrefix="0" xfId="0">
      <alignment horizontal="center" vertical="center" wrapText="1" readingOrder="1"/>
    </xf>
    <xf numFmtId="0" fontId="10" fillId="5" borderId="7" applyAlignment="1" pivotButton="0" quotePrefix="0" xfId="0">
      <alignment horizontal="center" vertical="center" wrapText="1" readingOrder="1"/>
    </xf>
    <xf numFmtId="0" fontId="11" fillId="8" borderId="8" applyAlignment="1" pivotButton="0" quotePrefix="0" xfId="0">
      <alignment horizontal="center" vertical="center" wrapText="1" readingOrder="1"/>
    </xf>
    <xf numFmtId="0" fontId="10" fillId="5" borderId="9" applyAlignment="1" pivotButton="0" quotePrefix="0" xfId="0">
      <alignment horizontal="center" vertical="center" wrapText="1" readingOrder="1"/>
    </xf>
    <xf numFmtId="0" fontId="12" fillId="7" borderId="5" applyAlignment="1" pivotButton="0" quotePrefix="0" xfId="0">
      <alignment horizontal="center" vertical="center" wrapText="1"/>
    </xf>
    <xf numFmtId="0" fontId="10" fillId="9" borderId="10" applyAlignment="1" pivotButton="0" quotePrefix="0" xfId="0">
      <alignment horizontal="left" vertical="center" wrapText="1" readingOrder="1"/>
    </xf>
    <xf numFmtId="0" fontId="13" fillId="7" borderId="8" applyAlignment="1" pivotButton="0" quotePrefix="0" xfId="0">
      <alignment horizontal="left" vertical="center" wrapText="1" readingOrder="1"/>
    </xf>
    <xf numFmtId="0" fontId="12" fillId="7" borderId="8" applyAlignment="1" pivotButton="0" quotePrefix="0" xfId="0">
      <alignment horizontal="general" vertical="center" wrapText="1"/>
    </xf>
    <xf numFmtId="0" fontId="13" fillId="7" borderId="8" applyAlignment="1" pivotButton="0" quotePrefix="0" xfId="0">
      <alignment horizontal="center" vertical="center" wrapText="1" readingOrder="1"/>
    </xf>
    <xf numFmtId="0" fontId="11" fillId="10" borderId="8" applyAlignment="1" pivotButton="0" quotePrefix="0" xfId="0">
      <alignment horizontal="center" vertical="center" wrapText="1" readingOrder="1"/>
    </xf>
    <xf numFmtId="0" fontId="11" fillId="8" borderId="11" applyAlignment="1" pivotButton="0" quotePrefix="0" xfId="0">
      <alignment horizontal="center" vertical="center" wrapText="1" readingOrder="1"/>
    </xf>
    <xf numFmtId="0" fontId="12" fillId="7" borderId="10" applyAlignment="1" pivotButton="0" quotePrefix="0" xfId="0">
      <alignment horizontal="center" vertical="center" wrapText="1"/>
    </xf>
    <xf numFmtId="0" fontId="12" fillId="7" borderId="8" applyAlignment="1" pivotButton="0" quotePrefix="0" xfId="0">
      <alignment horizontal="center" vertical="center" wrapText="1"/>
    </xf>
    <xf numFmtId="0" fontId="11" fillId="11" borderId="8" applyAlignment="1" pivotButton="0" quotePrefix="0" xfId="0">
      <alignment horizontal="center" vertical="center" wrapText="1" readingOrder="1"/>
    </xf>
    <xf numFmtId="0" fontId="11" fillId="7" borderId="10" applyAlignment="1" pivotButton="0" quotePrefix="0" xfId="0">
      <alignment horizontal="center" vertical="center" wrapText="1" readingOrder="1"/>
    </xf>
    <xf numFmtId="0" fontId="12" fillId="10" borderId="8" applyAlignment="1" pivotButton="0" quotePrefix="0" xfId="0">
      <alignment horizontal="center" vertical="center" wrapText="1"/>
    </xf>
    <xf numFmtId="0" fontId="11" fillId="6" borderId="8" applyAlignment="1" pivotButton="0" quotePrefix="0" xfId="0">
      <alignment horizontal="center" vertical="center" wrapText="1" readingOrder="1"/>
    </xf>
    <xf numFmtId="0" fontId="13" fillId="7" borderId="12" applyAlignment="1" pivotButton="0" quotePrefix="0" xfId="0">
      <alignment horizontal="left" vertical="center" wrapText="1" readingOrder="1"/>
    </xf>
    <xf numFmtId="0" fontId="12" fillId="7" borderId="12" applyAlignment="1" pivotButton="0" quotePrefix="0" xfId="0">
      <alignment horizontal="general" vertical="center" wrapText="1"/>
    </xf>
    <xf numFmtId="0" fontId="12" fillId="7" borderId="12" applyAlignment="1" pivotButton="0" quotePrefix="0" xfId="0">
      <alignment horizontal="center" vertical="center" wrapText="1"/>
    </xf>
    <xf numFmtId="0" fontId="13" fillId="7" borderId="12" applyAlignment="1" pivotButton="0" quotePrefix="0" xfId="0">
      <alignment horizontal="center" vertical="center" wrapText="1" readingOrder="1"/>
    </xf>
    <xf numFmtId="0" fontId="11" fillId="10" borderId="12" applyAlignment="1" pivotButton="0" quotePrefix="0" xfId="0">
      <alignment horizontal="center" vertical="center" wrapText="1" readingOrder="1"/>
    </xf>
    <xf numFmtId="0" fontId="12" fillId="10" borderId="12" applyAlignment="1" pivotButton="0" quotePrefix="0" xfId="0">
      <alignment horizontal="center" vertical="center" wrapText="1"/>
    </xf>
    <xf numFmtId="0" fontId="11" fillId="8" borderId="13" applyAlignment="1" pivotButton="0" quotePrefix="0" xfId="0">
      <alignment horizontal="center" vertical="center" wrapText="1" readingOrder="1"/>
    </xf>
    <xf numFmtId="0" fontId="12" fillId="7" borderId="14" applyAlignment="1" pivotButton="0" quotePrefix="0" xfId="0">
      <alignment horizontal="center" vertical="center" wrapText="1"/>
    </xf>
    <xf numFmtId="0" fontId="11" fillId="7" borderId="15" applyAlignment="1" pivotButton="0" quotePrefix="0" xfId="0">
      <alignment horizontal="center" vertical="center" wrapText="1" readingOrder="1"/>
    </xf>
    <xf numFmtId="0" fontId="11" fillId="6" borderId="12" applyAlignment="1" pivotButton="0" quotePrefix="0" xfId="0">
      <alignment horizontal="center" vertical="center" wrapText="1" readingOrder="1"/>
    </xf>
    <xf numFmtId="0" fontId="10" fillId="9" borderId="15" applyAlignment="1" pivotButton="0" quotePrefix="0" xfId="0">
      <alignment horizontal="left" vertical="center" wrapText="1" readingOrder="1"/>
    </xf>
    <xf numFmtId="0" fontId="12" fillId="7" borderId="16" applyAlignment="1" pivotButton="0" quotePrefix="0" xfId="0">
      <alignment horizontal="general" vertical="center" wrapText="1"/>
    </xf>
    <xf numFmtId="0" fontId="13" fillId="7" borderId="16" applyAlignment="1" pivotButton="0" quotePrefix="0" xfId="0">
      <alignment horizontal="center" vertical="center" wrapText="1" readingOrder="1"/>
    </xf>
    <xf numFmtId="0" fontId="11" fillId="10" borderId="16" applyAlignment="1" pivotButton="0" quotePrefix="0" xfId="0">
      <alignment horizontal="center" vertical="center" wrapText="1" readingOrder="1"/>
    </xf>
    <xf numFmtId="0" fontId="11" fillId="8" borderId="17" applyAlignment="1" pivotButton="0" quotePrefix="0" xfId="0">
      <alignment horizontal="center" vertical="center" wrapText="1" readingOrder="1"/>
    </xf>
    <xf numFmtId="0" fontId="12" fillId="7" borderId="18" applyAlignment="1" pivotButton="0" quotePrefix="0" xfId="0">
      <alignment horizontal="center" vertical="center" wrapText="1"/>
    </xf>
    <xf numFmtId="0" fontId="11" fillId="7" borderId="19" applyAlignment="1" pivotButton="0" quotePrefix="0" xfId="0">
      <alignment horizontal="center" vertical="center" wrapText="1" readingOrder="1"/>
    </xf>
    <xf numFmtId="0" fontId="11" fillId="7" borderId="16" applyAlignment="1" pivotButton="0" quotePrefix="0" xfId="0">
      <alignment horizontal="center" vertical="center" wrapText="1" readingOrder="1"/>
    </xf>
    <xf numFmtId="0" fontId="14" fillId="5" borderId="20" applyAlignment="1" pivotButton="0" quotePrefix="0" xfId="0">
      <alignment horizontal="center" vertical="center" wrapText="1" readingOrder="1"/>
    </xf>
    <xf numFmtId="0" fontId="15" fillId="6" borderId="20" applyAlignment="1" pivotButton="0" quotePrefix="0" xfId="0">
      <alignment horizontal="center" vertical="center" wrapText="1" readingOrder="1"/>
    </xf>
    <xf numFmtId="0" fontId="14" fillId="5" borderId="21" applyAlignment="1" pivotButton="0" quotePrefix="0" xfId="0">
      <alignment horizontal="center" vertical="center" wrapText="1" readingOrder="1"/>
    </xf>
    <xf numFmtId="0" fontId="16" fillId="12" borderId="5" applyAlignment="1" pivotButton="0" quotePrefix="0" xfId="0">
      <alignment horizontal="general" vertical="center" wrapText="1"/>
    </xf>
    <xf numFmtId="0" fontId="15" fillId="6" borderId="6" applyAlignment="1" pivotButton="0" quotePrefix="0" xfId="0">
      <alignment horizontal="center" vertical="center" wrapText="1" readingOrder="1"/>
    </xf>
    <xf numFmtId="0" fontId="15" fillId="6" borderId="3" applyAlignment="1" pivotButton="0" quotePrefix="0" xfId="0">
      <alignment horizontal="center" vertical="center" wrapText="1" readingOrder="1"/>
    </xf>
    <xf numFmtId="0" fontId="15" fillId="6" borderId="22" applyAlignment="1" pivotButton="0" quotePrefix="0" xfId="0">
      <alignment horizontal="center" vertical="center" wrapText="1" readingOrder="1"/>
    </xf>
    <xf numFmtId="0" fontId="14" fillId="5" borderId="4" applyAlignment="1" pivotButton="0" quotePrefix="0" xfId="0">
      <alignment horizontal="center" vertical="center" wrapText="1" readingOrder="1"/>
    </xf>
    <xf numFmtId="0" fontId="15" fillId="8" borderId="20" applyAlignment="1" pivotButton="0" quotePrefix="0" xfId="0">
      <alignment horizontal="center" vertical="center" wrapText="1" readingOrder="1"/>
    </xf>
    <xf numFmtId="0" fontId="14" fillId="5" borderId="23" applyAlignment="1" pivotButton="0" quotePrefix="0" xfId="0">
      <alignment horizontal="center" vertical="center" wrapText="1" readingOrder="1"/>
    </xf>
    <xf numFmtId="0" fontId="16" fillId="12" borderId="5" applyAlignment="1" pivotButton="0" quotePrefix="0" xfId="0">
      <alignment horizontal="center" vertical="center" wrapText="1"/>
    </xf>
    <xf numFmtId="0" fontId="15" fillId="6" borderId="24" applyAlignment="1" pivotButton="0" quotePrefix="0" xfId="0">
      <alignment horizontal="center" vertical="center" wrapText="1" readingOrder="1"/>
    </xf>
    <xf numFmtId="0" fontId="14" fillId="5" borderId="9" applyAlignment="1" pivotButton="0" quotePrefix="0" xfId="0">
      <alignment horizontal="center" vertical="center" wrapText="1" readingOrder="1"/>
    </xf>
    <xf numFmtId="0" fontId="16" fillId="13" borderId="20" applyAlignment="1" pivotButton="0" quotePrefix="0" xfId="0">
      <alignment horizontal="center" vertical="center" wrapText="1"/>
    </xf>
    <xf numFmtId="0" fontId="17" fillId="6" borderId="6" applyAlignment="1" pivotButton="0" quotePrefix="0" xfId="0">
      <alignment horizontal="left" vertical="center" wrapText="1" readingOrder="1"/>
    </xf>
    <xf numFmtId="0" fontId="16" fillId="6" borderId="3" applyAlignment="1" pivotButton="0" quotePrefix="0" xfId="0">
      <alignment horizontal="general" vertical="center" wrapText="1"/>
    </xf>
    <xf numFmtId="0" fontId="15" fillId="13" borderId="3" applyAlignment="1" pivotButton="0" quotePrefix="0" xfId="0">
      <alignment horizontal="center" vertical="center" wrapText="1" readingOrder="1"/>
    </xf>
    <xf numFmtId="0" fontId="16" fillId="13" borderId="3" applyAlignment="1" pivotButton="0" quotePrefix="0" xfId="0">
      <alignment horizontal="center" vertical="center" wrapText="1"/>
    </xf>
    <xf numFmtId="0" fontId="16" fillId="13" borderId="25" applyAlignment="1" pivotButton="0" quotePrefix="0" xfId="0">
      <alignment horizontal="center" vertical="center" wrapText="1"/>
    </xf>
    <xf numFmtId="0" fontId="15" fillId="6" borderId="18" applyAlignment="1" pivotButton="0" quotePrefix="0" xfId="0">
      <alignment horizontal="center" vertical="center" wrapText="1" readingOrder="1"/>
    </xf>
    <xf numFmtId="0" fontId="16" fillId="13" borderId="10" applyAlignment="1" pivotButton="0" quotePrefix="0" xfId="0">
      <alignment horizontal="center" vertical="center" wrapText="1"/>
    </xf>
    <xf numFmtId="0" fontId="16" fillId="13" borderId="8" applyAlignment="1" pivotButton="0" quotePrefix="0" xfId="0">
      <alignment horizontal="center" vertical="center" wrapText="1"/>
    </xf>
    <xf numFmtId="0" fontId="15" fillId="8" borderId="11" applyAlignment="1" pivotButton="0" quotePrefix="0" xfId="0">
      <alignment horizontal="center" vertical="center" wrapText="1" readingOrder="1"/>
    </xf>
    <xf numFmtId="0" fontId="17" fillId="6" borderId="10" applyAlignment="1" pivotButton="0" quotePrefix="0" xfId="0">
      <alignment horizontal="left" vertical="center" wrapText="1" readingOrder="1"/>
    </xf>
    <xf numFmtId="0" fontId="16" fillId="6" borderId="8" applyAlignment="1" pivotButton="0" quotePrefix="0" xfId="0">
      <alignment horizontal="general" vertical="center" wrapText="1"/>
    </xf>
    <xf numFmtId="0" fontId="15" fillId="13" borderId="8" applyAlignment="1" pivotButton="0" quotePrefix="0" xfId="0">
      <alignment horizontal="center" vertical="center" wrapText="1" readingOrder="1"/>
    </xf>
    <xf numFmtId="0" fontId="16" fillId="13" borderId="11" applyAlignment="1" pivotButton="0" quotePrefix="0" xfId="0">
      <alignment horizontal="center" vertical="center" wrapText="1"/>
    </xf>
    <xf numFmtId="0" fontId="15" fillId="6" borderId="5" applyAlignment="1" pivotButton="0" quotePrefix="0" xfId="0">
      <alignment horizontal="center" vertical="center" wrapText="1" readingOrder="1"/>
    </xf>
    <xf numFmtId="0" fontId="17" fillId="11" borderId="10" applyAlignment="1" pivotButton="0" quotePrefix="0" xfId="0">
      <alignment horizontal="left" vertical="center" wrapText="1" readingOrder="1"/>
    </xf>
    <xf numFmtId="0" fontId="16" fillId="11" borderId="8" applyAlignment="1" pivotButton="0" quotePrefix="0" xfId="0">
      <alignment horizontal="general" vertical="center" wrapText="1"/>
    </xf>
    <xf numFmtId="0" fontId="17" fillId="11" borderId="8" applyAlignment="1" pivotButton="0" quotePrefix="0" xfId="0">
      <alignment horizontal="left" vertical="center" wrapText="1" readingOrder="1"/>
    </xf>
    <xf numFmtId="0" fontId="15" fillId="11" borderId="5" applyAlignment="1" pivotButton="0" quotePrefix="0" xfId="0">
      <alignment horizontal="center" vertical="center" wrapText="1" readingOrder="1"/>
    </xf>
    <xf numFmtId="0" fontId="15" fillId="11" borderId="8" applyAlignment="1" pivotButton="0" quotePrefix="0" xfId="0">
      <alignment horizontal="center" vertical="center" wrapText="1" readingOrder="1"/>
    </xf>
    <xf numFmtId="0" fontId="15" fillId="13" borderId="11" applyAlignment="1" pivotButton="0" quotePrefix="0" xfId="0">
      <alignment horizontal="center" vertical="center" wrapText="1" readingOrder="1"/>
    </xf>
    <xf numFmtId="0" fontId="17" fillId="11" borderId="15" applyAlignment="1" pivotButton="0" quotePrefix="0" xfId="0">
      <alignment horizontal="left" vertical="center" wrapText="1" readingOrder="1"/>
    </xf>
    <xf numFmtId="0" fontId="16" fillId="11" borderId="12" applyAlignment="1" pivotButton="0" quotePrefix="0" xfId="0">
      <alignment horizontal="general" vertical="center" wrapText="1"/>
    </xf>
    <xf numFmtId="0" fontId="17" fillId="11" borderId="12" applyAlignment="1" pivotButton="0" quotePrefix="0" xfId="0">
      <alignment horizontal="left" vertical="center" wrapText="1" readingOrder="1"/>
    </xf>
    <xf numFmtId="0" fontId="15" fillId="13" borderId="12" applyAlignment="1" pivotButton="0" quotePrefix="0" xfId="0">
      <alignment horizontal="center" vertical="center" wrapText="1" readingOrder="1"/>
    </xf>
    <xf numFmtId="0" fontId="16" fillId="13" borderId="12" applyAlignment="1" pivotButton="0" quotePrefix="0" xfId="0">
      <alignment horizontal="center" vertical="center" wrapText="1"/>
    </xf>
    <xf numFmtId="0" fontId="16" fillId="13" borderId="13" applyAlignment="1" pivotButton="0" quotePrefix="0" xfId="0">
      <alignment horizontal="center" vertical="center" wrapText="1"/>
    </xf>
    <xf numFmtId="0" fontId="15" fillId="11" borderId="14" applyAlignment="1" pivotButton="0" quotePrefix="0" xfId="0">
      <alignment horizontal="center" vertical="center" wrapText="1" readingOrder="1"/>
    </xf>
    <xf numFmtId="0" fontId="16" fillId="12" borderId="14" applyAlignment="1" pivotButton="0" quotePrefix="0" xfId="0">
      <alignment horizontal="center" vertical="center" wrapText="1"/>
    </xf>
    <xf numFmtId="0" fontId="16" fillId="13" borderId="15" applyAlignment="1" pivotButton="0" quotePrefix="0" xfId="0">
      <alignment horizontal="center" vertical="center" wrapText="1"/>
    </xf>
    <xf numFmtId="0" fontId="15" fillId="11" borderId="12" applyAlignment="1" pivotButton="0" quotePrefix="0" xfId="0">
      <alignment horizontal="center" vertical="center" wrapText="1" readingOrder="1"/>
    </xf>
    <xf numFmtId="0" fontId="15" fillId="8" borderId="13" applyAlignment="1" pivotButton="0" quotePrefix="0" xfId="0">
      <alignment horizontal="center" vertical="center" wrapText="1" readingOrder="1"/>
    </xf>
    <xf numFmtId="0" fontId="14" fillId="9" borderId="19" applyAlignment="1" pivotButton="0" quotePrefix="0" xfId="0">
      <alignment horizontal="left" vertical="center" wrapText="1" readingOrder="1"/>
    </xf>
    <xf numFmtId="0" fontId="14" fillId="9" borderId="16" applyAlignment="1" pivotButton="0" quotePrefix="0" xfId="0">
      <alignment horizontal="left" vertical="center" wrapText="1" readingOrder="1"/>
    </xf>
    <xf numFmtId="0" fontId="16" fillId="9" borderId="16" applyAlignment="1" pivotButton="0" quotePrefix="0" xfId="0">
      <alignment horizontal="general" vertical="center" wrapText="1"/>
    </xf>
    <xf numFmtId="0" fontId="15" fillId="8" borderId="16" applyAlignment="1" pivotButton="0" quotePrefix="0" xfId="0">
      <alignment horizontal="center" vertical="center" wrapText="1" readingOrder="1"/>
    </xf>
    <xf numFmtId="0" fontId="15" fillId="8" borderId="17"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6" fillId="8" borderId="19" applyAlignment="1" pivotButton="0" quotePrefix="0" xfId="0">
      <alignment horizontal="center" vertical="center" wrapText="1"/>
    </xf>
    <xf numFmtId="0" fontId="16" fillId="8" borderId="16" applyAlignment="1" pivotButton="0" quotePrefix="0" xfId="0">
      <alignment horizontal="center" vertical="center" wrapText="1"/>
    </xf>
    <xf numFmtId="0" fontId="16" fillId="13" borderId="18" applyAlignment="1" pivotButton="0" quotePrefix="0" xfId="0">
      <alignment horizontal="general" vertical="center" wrapText="1"/>
    </xf>
    <xf numFmtId="0" fontId="17" fillId="13" borderId="6" applyAlignment="1" pivotButton="0" quotePrefix="0" xfId="0">
      <alignment horizontal="left" vertical="center" wrapText="1" readingOrder="1"/>
    </xf>
    <xf numFmtId="0" fontId="16" fillId="13" borderId="3" applyAlignment="1" pivotButton="0" quotePrefix="0" xfId="0">
      <alignment horizontal="general" vertical="center" wrapText="1"/>
    </xf>
    <xf numFmtId="0" fontId="15" fillId="13" borderId="25" applyAlignment="1" pivotButton="0" quotePrefix="0" xfId="0">
      <alignment horizontal="center" vertical="center" wrapText="1" readingOrder="1"/>
    </xf>
    <xf numFmtId="0" fontId="15" fillId="8" borderId="18" applyAlignment="1" pivotButton="0" quotePrefix="0" xfId="0">
      <alignment horizontal="center" vertical="center" wrapText="1" readingOrder="1"/>
    </xf>
    <xf numFmtId="0" fontId="16" fillId="12" borderId="18" applyAlignment="1" pivotButton="0" quotePrefix="0" xfId="0">
      <alignment horizontal="center" vertical="center" wrapText="1"/>
    </xf>
    <xf numFmtId="0" fontId="16" fillId="13" borderId="6" applyAlignment="1" pivotButton="0" quotePrefix="0" xfId="0">
      <alignment horizontal="center" vertical="center" wrapText="1"/>
    </xf>
    <xf numFmtId="0" fontId="15" fillId="8" borderId="25" applyAlignment="1" pivotButton="0" quotePrefix="0" xfId="0">
      <alignment horizontal="center" vertical="center" wrapText="1" readingOrder="1"/>
    </xf>
    <xf numFmtId="0" fontId="16" fillId="13" borderId="14" applyAlignment="1" pivotButton="0" quotePrefix="0" xfId="0">
      <alignment horizontal="general" vertical="center" wrapText="1"/>
    </xf>
    <xf numFmtId="0" fontId="17" fillId="13" borderId="15" applyAlignment="1" pivotButton="0" quotePrefix="0" xfId="0">
      <alignment horizontal="left" vertical="center" wrapText="1" readingOrder="1"/>
    </xf>
    <xf numFmtId="0" fontId="16" fillId="13" borderId="12" applyAlignment="1" pivotButton="0" quotePrefix="0" xfId="0">
      <alignment horizontal="general" vertical="center" wrapText="1"/>
    </xf>
    <xf numFmtId="0" fontId="15" fillId="8" borderId="14" applyAlignment="1" pivotButton="0" quotePrefix="0" xfId="0">
      <alignment horizontal="center" vertical="center" wrapText="1" readingOrder="1"/>
    </xf>
    <xf numFmtId="0" fontId="15" fillId="8"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left" vertical="center"/>
    </xf>
    <xf numFmtId="0" fontId="21" fillId="2" borderId="1" applyAlignment="1" pivotButton="0" quotePrefix="0" xfId="0">
      <alignment horizontal="left" vertical="center"/>
    </xf>
    <xf numFmtId="0" fontId="20" fillId="14" borderId="1" applyAlignment="1" pivotButton="0" quotePrefix="0" xfId="0">
      <alignment horizontal="center" vertical="center" wrapText="1"/>
    </xf>
    <xf numFmtId="0" fontId="20" fillId="14" borderId="0" applyAlignment="1" pivotButton="0" quotePrefix="0" xfId="0">
      <alignment horizontal="center" vertical="center" wrapText="1"/>
    </xf>
    <xf numFmtId="0" fontId="20" fillId="14" borderId="27" applyAlignment="1" pivotButton="0" quotePrefix="0" xfId="0">
      <alignment horizontal="center" vertical="center" wrapText="1"/>
    </xf>
    <xf numFmtId="0" fontId="21" fillId="14" borderId="1" applyAlignment="1" pivotButton="0" quotePrefix="0" xfId="0">
      <alignment horizontal="center" vertical="center" wrapText="1"/>
    </xf>
    <xf numFmtId="0" fontId="21" fillId="14" borderId="1" applyAlignment="1" pivotButton="0" quotePrefix="0" xfId="0">
      <alignment horizontal="left" vertical="center" wrapText="1"/>
    </xf>
    <xf numFmtId="0" fontId="22" fillId="0" borderId="1" applyAlignment="1" pivotButton="0" quotePrefix="0" xfId="0">
      <alignment horizontal="general" vertical="center"/>
    </xf>
    <xf numFmtId="166" fontId="6" fillId="3" borderId="1" applyAlignment="1" applyProtection="1" pivotButton="0" quotePrefix="0" xfId="0">
      <alignment horizontal="general" vertical="center"/>
      <protection locked="0" hidden="0"/>
    </xf>
    <xf numFmtId="166" fontId="23" fillId="0" borderId="1" applyAlignment="1" pivotButton="0" quotePrefix="0" xfId="0">
      <alignment horizontal="general" vertical="center"/>
    </xf>
    <xf numFmtId="166" fontId="23" fillId="0" borderId="28" applyAlignment="1" pivotButton="0" quotePrefix="0" xfId="0">
      <alignment horizontal="general" vertical="center"/>
    </xf>
    <xf numFmtId="0" fontId="24" fillId="7" borderId="1" applyAlignment="1" pivotButton="0" quotePrefix="0" xfId="0">
      <alignment horizontal="general" vertical="center" wrapText="1"/>
    </xf>
    <xf numFmtId="0" fontId="24" fillId="7" borderId="1" applyAlignment="1" pivotButton="0" quotePrefix="0" xfId="0">
      <alignment horizontal="left" vertical="center" wrapText="1"/>
    </xf>
    <xf numFmtId="0" fontId="24" fillId="0" borderId="1" applyAlignment="1" pivotButton="0" quotePrefix="0" xfId="0">
      <alignment horizontal="general" vertical="center"/>
    </xf>
    <xf numFmtId="9" fontId="6" fillId="3" borderId="1" applyAlignment="1" applyProtection="1" pivotButton="0" quotePrefix="0" xfId="0">
      <alignment horizontal="general" vertical="center"/>
      <protection locked="0" hidden="0"/>
    </xf>
    <xf numFmtId="166" fontId="24" fillId="0" borderId="1" applyAlignment="1" pivotButton="0" quotePrefix="0" xfId="0">
      <alignment horizontal="general" vertical="center"/>
    </xf>
    <xf numFmtId="0" fontId="24" fillId="7" borderId="1" applyAlignment="1" pivotButton="0" quotePrefix="0" xfId="0">
      <alignment horizontal="center" vertical="center" wrapText="1"/>
    </xf>
    <xf numFmtId="0" fontId="25" fillId="7" borderId="1" applyAlignment="1" pivotButton="0" quotePrefix="0" xfId="0">
      <alignment horizontal="general" vertical="center" wrapText="1"/>
    </xf>
    <xf numFmtId="0" fontId="7" fillId="7" borderId="0" applyAlignment="1" pivotButton="0" quotePrefix="0" xfId="0">
      <alignment horizontal="general" vertical="center"/>
    </xf>
    <xf numFmtId="166" fontId="7" fillId="7" borderId="1" applyAlignment="1" pivotButton="0" quotePrefix="0" xfId="0">
      <alignment horizontal="right" vertical="center"/>
    </xf>
    <xf numFmtId="166" fontId="6" fillId="0" borderId="28" applyAlignment="1" pivotButton="0" quotePrefix="0" xfId="0">
      <alignment horizontal="general" vertical="center"/>
    </xf>
    <xf numFmtId="0" fontId="22" fillId="0" borderId="1" applyAlignment="1" pivotButton="0" quotePrefix="0" xfId="0">
      <alignment horizontal="left" vertical="center"/>
    </xf>
    <xf numFmtId="167" fontId="24" fillId="0" borderId="1" applyAlignment="1" pivotButton="0" quotePrefix="0" xfId="0">
      <alignment horizontal="general" vertical="center"/>
    </xf>
    <xf numFmtId="167" fontId="7" fillId="7" borderId="1" applyAlignment="1" pivotButton="0" quotePrefix="0" xfId="0">
      <alignment horizontal="right" vertical="center"/>
    </xf>
    <xf numFmtId="0" fontId="5" fillId="14" borderId="0" applyAlignment="1" pivotButton="0" quotePrefix="0" xfId="0">
      <alignment horizontal="center" vertical="center" wrapText="1"/>
    </xf>
    <xf numFmtId="0" fontId="26" fillId="7" borderId="1" applyAlignment="1" pivotButton="0" quotePrefix="0" xfId="0">
      <alignment horizontal="general" vertical="center"/>
    </xf>
    <xf numFmtId="165" fontId="27" fillId="7" borderId="1" applyAlignment="1" pivotButton="0" quotePrefix="0" xfId="0">
      <alignment horizontal="right" vertical="center"/>
    </xf>
    <xf numFmtId="165" fontId="23" fillId="0" borderId="1" applyAlignment="1" pivotButton="0" quotePrefix="0" xfId="0">
      <alignment horizontal="right" vertical="center"/>
    </xf>
    <xf numFmtId="0" fontId="22" fillId="7" borderId="1" applyAlignment="1" pivotButton="0" quotePrefix="0" xfId="0">
      <alignment horizontal="general" vertical="center"/>
    </xf>
    <xf numFmtId="165" fontId="23" fillId="7" borderId="1" applyAlignment="1" pivotButton="0" quotePrefix="0" xfId="0">
      <alignment horizontal="right" vertical="center"/>
    </xf>
    <xf numFmtId="0" fontId="7" fillId="10" borderId="0" applyAlignment="1" pivotButton="0" quotePrefix="0" xfId="0">
      <alignment horizontal="general" vertical="center"/>
    </xf>
    <xf numFmtId="166" fontId="7" fillId="10" borderId="1" applyAlignment="1" pivotButton="0" quotePrefix="0" xfId="0">
      <alignment horizontal="general" vertical="center"/>
    </xf>
    <xf numFmtId="165" fontId="7" fillId="10" borderId="28" applyAlignment="1" pivotButton="0" quotePrefix="0" xfId="0">
      <alignment horizontal="general" vertical="center"/>
    </xf>
    <xf numFmtId="0" fontId="7" fillId="0" borderId="0" applyAlignment="1" pivotButton="0" quotePrefix="0" xfId="0">
      <alignment horizontal="general" vertical="center"/>
    </xf>
    <xf numFmtId="166" fontId="7" fillId="0" borderId="0" applyAlignment="1" pivotButton="0" quotePrefix="0" xfId="0">
      <alignment horizontal="general" vertical="center"/>
    </xf>
    <xf numFmtId="0" fontId="7" fillId="0" borderId="0" applyAlignment="1" pivotButton="0" quotePrefix="0" xfId="0">
      <alignment horizontal="general" vertical="bottom"/>
    </xf>
    <xf numFmtId="0" fontId="28" fillId="0" borderId="0" applyAlignment="1" pivotButton="0" quotePrefix="0" xfId="0">
      <alignment horizontal="general" vertical="center"/>
    </xf>
    <xf numFmtId="166" fontId="28" fillId="0" borderId="0" applyAlignment="1" pivotButton="0" quotePrefix="0" xfId="0">
      <alignment horizontal="general" vertical="center"/>
    </xf>
    <xf numFmtId="168" fontId="28" fillId="0" borderId="0" applyAlignment="1" pivotButton="0" quotePrefix="0" xfId="0">
      <alignment horizontal="general" vertical="bottom"/>
    </xf>
    <xf numFmtId="165" fontId="22" fillId="7" borderId="1" applyAlignment="1" pivotButton="0" quotePrefix="0" xfId="0">
      <alignment horizontal="general" vertical="center"/>
    </xf>
    <xf numFmtId="168" fontId="0" fillId="0" borderId="0" applyAlignment="1" pivotButton="0" quotePrefix="0" xfId="0">
      <alignment horizontal="general" vertical="bottom"/>
    </xf>
    <xf numFmtId="0" fontId="21" fillId="14" borderId="29" applyAlignment="1" pivotButton="0" quotePrefix="0" xfId="0">
      <alignment horizontal="center" vertical="center"/>
    </xf>
    <xf numFmtId="0" fontId="24" fillId="0" borderId="1" applyAlignment="1" pivotButton="0" quotePrefix="0" xfId="0">
      <alignment horizontal="general" vertical="bottom"/>
    </xf>
    <xf numFmtId="0" fontId="29" fillId="0" borderId="1" applyAlignment="1" pivotButton="0" quotePrefix="0" xfId="0">
      <alignment horizontal="general" vertical="bottom"/>
    </xf>
    <xf numFmtId="169" fontId="29" fillId="0" borderId="1" applyAlignment="1" pivotButton="0" quotePrefix="0" xfId="0">
      <alignment horizontal="general" vertical="bottom"/>
    </xf>
    <xf numFmtId="166" fontId="29" fillId="0" borderId="1" applyAlignment="1" pivotButton="0" quotePrefix="0" xfId="0">
      <alignment horizontal="general" vertical="bottom"/>
    </xf>
    <xf numFmtId="9" fontId="30" fillId="3" borderId="29" applyAlignment="1" applyProtection="1" pivotButton="0" quotePrefix="0" xfId="0">
      <alignment horizontal="center" vertical="center"/>
      <protection locked="0" hidden="0"/>
    </xf>
    <xf numFmtId="0" fontId="24" fillId="7" borderId="1" applyAlignment="1" pivotButton="0" quotePrefix="0" xfId="0">
      <alignment horizontal="general" vertical="bottom"/>
    </xf>
    <xf numFmtId="169" fontId="24" fillId="7" borderId="1" applyAlignment="1" pivotButton="0" quotePrefix="0" xfId="0">
      <alignment horizontal="general" vertical="bottom"/>
    </xf>
    <xf numFmtId="166" fontId="24" fillId="7" borderId="1" applyAlignment="1" pivotButton="0" quotePrefix="0" xfId="0">
      <alignment horizontal="general" vertical="bottom"/>
    </xf>
    <xf numFmtId="169" fontId="24" fillId="0" borderId="1" applyAlignment="1" pivotButton="0" quotePrefix="0" xfId="0">
      <alignment horizontal="general" vertical="bottom"/>
    </xf>
    <xf numFmtId="166" fontId="24" fillId="0" borderId="1" applyAlignment="1" pivotButton="0" quotePrefix="0" xfId="0">
      <alignment horizontal="general" vertical="bottom"/>
    </xf>
    <xf numFmtId="0" fontId="29" fillId="7" borderId="1" applyAlignment="1" pivotButton="0" quotePrefix="0" xfId="0">
      <alignment horizontal="general" vertical="bottom"/>
    </xf>
    <xf numFmtId="169" fontId="29" fillId="7" borderId="1" applyAlignment="1" pivotButton="0" quotePrefix="0" xfId="0">
      <alignment horizontal="general" vertical="bottom"/>
    </xf>
    <xf numFmtId="0" fontId="30" fillId="3" borderId="29" applyAlignment="1" applyProtection="1" pivotButton="0" quotePrefix="0" xfId="0">
      <alignment horizontal="center" vertical="center"/>
      <protection locked="0" hidden="0"/>
    </xf>
    <xf numFmtId="0" fontId="24" fillId="7" borderId="30" applyAlignment="1" pivotButton="0" quotePrefix="0" xfId="0">
      <alignment horizontal="general" vertical="bottom"/>
    </xf>
    <xf numFmtId="0" fontId="24" fillId="0" borderId="0" applyAlignment="1" pivotButton="0" quotePrefix="0" xfId="0">
      <alignment horizontal="general" vertical="bottom"/>
    </xf>
    <xf numFmtId="0" fontId="24" fillId="0" borderId="30" applyAlignment="1" pivotButton="0" quotePrefix="0" xfId="0">
      <alignment horizontal="general" vertical="bottom"/>
    </xf>
    <xf numFmtId="0" fontId="31" fillId="12" borderId="0" applyAlignment="1" pivotButton="0" quotePrefix="0" xfId="0">
      <alignment horizontal="general" vertical="bottom"/>
    </xf>
    <xf numFmtId="0" fontId="32" fillId="12" borderId="0" applyAlignment="1" pivotButton="0" quotePrefix="0" xfId="0">
      <alignment horizontal="general" vertical="bottom"/>
    </xf>
    <xf numFmtId="0" fontId="33" fillId="15" borderId="31" applyAlignment="1" pivotButton="0" quotePrefix="0" xfId="0">
      <alignment horizontal="left" vertical="center" wrapText="1" indent="1" readingOrder="1"/>
    </xf>
    <xf numFmtId="0" fontId="34" fillId="16" borderId="32" applyAlignment="1" pivotButton="0" quotePrefix="0" xfId="0">
      <alignment horizontal="center" vertical="center" wrapText="1" readingOrder="1"/>
    </xf>
    <xf numFmtId="0" fontId="35" fillId="17" borderId="33" applyAlignment="1" pivotButton="0" quotePrefix="0" xfId="0">
      <alignment horizontal="center" vertical="center" wrapText="1" readingOrder="1"/>
    </xf>
    <xf numFmtId="0" fontId="35" fillId="17" borderId="34" applyAlignment="1" pivotButton="0" quotePrefix="0" xfId="0">
      <alignment horizontal="center" vertical="center" wrapText="1" readingOrder="1"/>
    </xf>
    <xf numFmtId="0" fontId="35" fillId="17" borderId="35" applyAlignment="1" pivotButton="0" quotePrefix="0" xfId="0">
      <alignment horizontal="center" vertical="center" wrapText="1" readingOrder="1"/>
    </xf>
    <xf numFmtId="0" fontId="36" fillId="16" borderId="36" applyAlignment="1" pivotButton="0" quotePrefix="0" xfId="0">
      <alignment horizontal="center" vertical="center" wrapText="1" readingOrder="1"/>
    </xf>
    <xf numFmtId="0" fontId="37" fillId="15" borderId="37" applyAlignment="1" pivotButton="0" quotePrefix="0" xfId="0">
      <alignment horizontal="center" vertical="center" wrapText="1" readingOrder="1"/>
    </xf>
    <xf numFmtId="0" fontId="37" fillId="15" borderId="38" applyAlignment="1" pivotButton="0" quotePrefix="0" xfId="0">
      <alignment horizontal="center" vertical="center" wrapText="1" readingOrder="1"/>
    </xf>
    <xf numFmtId="0" fontId="38" fillId="10" borderId="38" applyAlignment="1" pivotButton="0" quotePrefix="0" xfId="0">
      <alignment horizontal="center" vertical="center" wrapText="1" readingOrder="1"/>
    </xf>
    <xf numFmtId="0" fontId="38" fillId="10" borderId="39" applyAlignment="1" pivotButton="0" quotePrefix="0" xfId="0">
      <alignment horizontal="center" vertical="center" wrapText="1" readingOrder="1"/>
    </xf>
    <xf numFmtId="0" fontId="38" fillId="10" borderId="40" applyAlignment="1" pivotButton="0" quotePrefix="0" xfId="0">
      <alignment horizontal="center" vertical="center" wrapText="1" readingOrder="1"/>
    </xf>
    <xf numFmtId="0" fontId="37" fillId="15" borderId="39" applyAlignment="1" pivotButton="0" quotePrefix="0" xfId="0">
      <alignment horizontal="center" vertical="center" wrapText="1" readingOrder="1"/>
    </xf>
    <xf numFmtId="0" fontId="31" fillId="12" borderId="0" applyAlignment="1" pivotButton="0" quotePrefix="0" xfId="0">
      <alignment horizontal="general" vertical="center"/>
    </xf>
    <xf numFmtId="0" fontId="33" fillId="18" borderId="41" applyAlignment="1" pivotButton="0" quotePrefix="0" xfId="0">
      <alignment horizontal="left" vertical="center" wrapText="1" indent="1" readingOrder="1"/>
    </xf>
    <xf numFmtId="0" fontId="39" fillId="19" borderId="41" applyAlignment="1" pivotButton="0" quotePrefix="0" xfId="0">
      <alignment horizontal="left" vertical="center" wrapText="1" indent="1" readingOrder="1"/>
    </xf>
    <xf numFmtId="164" fontId="40" fillId="7" borderId="42" applyAlignment="1" pivotButton="0" quotePrefix="0" xfId="0">
      <alignment horizontal="center" vertical="center" wrapText="1" readingOrder="1"/>
    </xf>
    <xf numFmtId="164" fontId="40" fillId="7" borderId="43" applyAlignment="1" pivotButton="0" quotePrefix="0" xfId="0">
      <alignment horizontal="center" vertical="center" wrapText="1" readingOrder="1"/>
    </xf>
    <xf numFmtId="9" fontId="40" fillId="7" borderId="24" applyAlignment="1" pivotButton="0" quotePrefix="0" xfId="0">
      <alignment horizontal="center" vertical="center" wrapText="1" readingOrder="1"/>
    </xf>
    <xf numFmtId="0" fontId="38" fillId="20" borderId="24" applyAlignment="1" pivotButton="0" quotePrefix="0" xfId="0">
      <alignment horizontal="center" vertical="center" wrapText="1" readingOrder="1"/>
    </xf>
    <xf numFmtId="0" fontId="38" fillId="20" borderId="8" applyAlignment="1" pivotButton="0" quotePrefix="0" xfId="0">
      <alignment horizontal="center" vertical="center" wrapText="1" readingOrder="1"/>
    </xf>
    <xf numFmtId="0" fontId="38" fillId="21" borderId="24" applyAlignment="1" pivotButton="0" quotePrefix="0" xfId="0">
      <alignment horizontal="center" vertical="center" wrapText="1" readingOrder="1"/>
    </xf>
    <xf numFmtId="0" fontId="38" fillId="20" borderId="44" applyAlignment="1" pivotButton="0" quotePrefix="0" xfId="0">
      <alignment horizontal="center" vertical="center" wrapText="1" readingOrder="1"/>
    </xf>
    <xf numFmtId="164" fontId="40" fillId="7" borderId="45" applyAlignment="1" pivotButton="0" quotePrefix="0" xfId="0">
      <alignment horizontal="center" vertical="center" wrapText="1" readingOrder="1"/>
    </xf>
    <xf numFmtId="164" fontId="40" fillId="7" borderId="46"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3" fillId="18" borderId="48" applyAlignment="1" pivotButton="0" quotePrefix="0" xfId="0">
      <alignment horizontal="left" vertical="center" wrapText="1" indent="1" readingOrder="1"/>
    </xf>
    <xf numFmtId="0" fontId="39" fillId="19" borderId="48" applyAlignment="1" pivotButton="0" quotePrefix="0" xfId="0">
      <alignment horizontal="left" vertical="center" wrapText="1" indent="1" readingOrder="1"/>
    </xf>
    <xf numFmtId="9" fontId="40" fillId="7" borderId="8" applyAlignment="1" pivotButton="0" quotePrefix="0" xfId="0">
      <alignment horizontal="center" vertical="center" wrapText="1" readingOrder="1"/>
    </xf>
    <xf numFmtId="0" fontId="16" fillId="7" borderId="8" applyAlignment="1" pivotButton="0" quotePrefix="0" xfId="0">
      <alignment horizontal="center" vertical="center" wrapText="1"/>
    </xf>
    <xf numFmtId="0" fontId="38" fillId="20" borderId="49" applyAlignment="1" pivotButton="0" quotePrefix="0" xfId="0">
      <alignment horizontal="center" vertical="center" wrapText="1" readingOrder="1"/>
    </xf>
    <xf numFmtId="0" fontId="34" fillId="22" borderId="47" applyAlignment="1" pivotButton="0" quotePrefix="0" xfId="0">
      <alignment horizontal="center" vertical="center" wrapText="1" readingOrder="1"/>
    </xf>
    <xf numFmtId="0" fontId="34" fillId="22" borderId="24" applyAlignment="1" pivotButton="0" quotePrefix="0" xfId="0">
      <alignment horizontal="center" vertical="center" wrapText="1" readingOrder="1"/>
    </xf>
    <xf numFmtId="0" fontId="34" fillId="22" borderId="50" applyAlignment="1" pivotButton="0" quotePrefix="0" xfId="0">
      <alignment horizontal="center" vertical="center" wrapText="1" readingOrder="1"/>
    </xf>
    <xf numFmtId="0" fontId="16" fillId="7" borderId="49" applyAlignment="1" pivotButton="0" quotePrefix="0" xfId="0">
      <alignment horizontal="center" vertical="center" wrapText="1"/>
    </xf>
    <xf numFmtId="0" fontId="33" fillId="18" borderId="51" applyAlignment="1" pivotButton="0" quotePrefix="0" xfId="0">
      <alignment horizontal="left" vertical="center" wrapText="1" indent="1" readingOrder="1"/>
    </xf>
    <xf numFmtId="0" fontId="39" fillId="19" borderId="51" applyAlignment="1" pivotButton="0" quotePrefix="0" xfId="0">
      <alignment horizontal="left" vertical="center" wrapText="1" indent="1" readingOrder="1"/>
    </xf>
    <xf numFmtId="164" fontId="40" fillId="7" borderId="52" applyAlignment="1" pivotButton="0" quotePrefix="0" xfId="0">
      <alignment horizontal="center" vertical="center" wrapText="1" readingOrder="1"/>
    </xf>
    <xf numFmtId="164" fontId="40" fillId="7" borderId="53" applyAlignment="1" pivotButton="0" quotePrefix="0" xfId="0">
      <alignment horizontal="center" vertical="center" wrapText="1" readingOrder="1"/>
    </xf>
    <xf numFmtId="9" fontId="40" fillId="7" borderId="54" applyAlignment="1" pivotButton="0" quotePrefix="0" xfId="0">
      <alignment horizontal="center" vertical="center" wrapText="1" readingOrder="1"/>
    </xf>
    <xf numFmtId="0" fontId="38" fillId="20" borderId="54" applyAlignment="1" pivotButton="0" quotePrefix="0" xfId="0">
      <alignment horizontal="center" vertical="center" wrapText="1" readingOrder="1"/>
    </xf>
    <xf numFmtId="164" fontId="40" fillId="7" borderId="55" applyAlignment="1" pivotButton="0" quotePrefix="0" xfId="0">
      <alignment horizontal="center" vertical="center" wrapText="1" readingOrder="1"/>
    </xf>
    <xf numFmtId="0" fontId="16" fillId="7" borderId="54" applyAlignment="1" pivotButton="0" quotePrefix="0" xfId="0">
      <alignment horizontal="center" vertical="center" wrapText="1"/>
    </xf>
    <xf numFmtId="0" fontId="38" fillId="20" borderId="47" applyAlignment="1" pivotButton="0" quotePrefix="0" xfId="0">
      <alignment horizontal="center" vertical="center" wrapText="1" readingOrder="1"/>
    </xf>
    <xf numFmtId="0" fontId="41" fillId="12" borderId="0" applyAlignment="1" pivotButton="0" quotePrefix="0" xfId="0">
      <alignment horizontal="general" vertical="center"/>
    </xf>
    <xf numFmtId="0" fontId="42" fillId="5" borderId="31" applyAlignment="1" pivotButton="0" quotePrefix="0" xfId="0">
      <alignment horizontal="left" vertical="center" wrapText="1" indent="1" readingOrder="1"/>
    </xf>
    <xf numFmtId="164" fontId="38" fillId="7" borderId="56" applyAlignment="1" pivotButton="0" quotePrefix="0" xfId="0">
      <alignment horizontal="center" vertical="center" wrapText="1" readingOrder="1"/>
    </xf>
    <xf numFmtId="164" fontId="38" fillId="7" borderId="57" applyAlignment="1" pivotButton="0" quotePrefix="0" xfId="0">
      <alignment horizontal="center" vertical="center" wrapText="1" readingOrder="1"/>
    </xf>
    <xf numFmtId="9" fontId="43" fillId="7" borderId="58" applyAlignment="1" pivotButton="0" quotePrefix="0" xfId="0">
      <alignment horizontal="center" vertical="center" wrapText="1" readingOrder="1"/>
    </xf>
    <xf numFmtId="0" fontId="44" fillId="20" borderId="58" applyAlignment="1" pivotButton="0" quotePrefix="0" xfId="0">
      <alignment horizontal="center" vertical="center" wrapText="1" readingOrder="1"/>
    </xf>
    <xf numFmtId="164" fontId="38" fillId="7" borderId="58" applyAlignment="1" pivotButton="0" quotePrefix="0" xfId="0">
      <alignment horizontal="center" vertical="center" wrapText="1" readingOrder="1"/>
    </xf>
    <xf numFmtId="0" fontId="38" fillId="21" borderId="58" applyAlignment="1" pivotButton="0" quotePrefix="0" xfId="0">
      <alignment horizontal="center" vertical="center" wrapText="1" readingOrder="1"/>
    </xf>
    <xf numFmtId="0" fontId="44" fillId="20" borderId="59" applyAlignment="1" pivotButton="0" quotePrefix="0" xfId="0">
      <alignment horizontal="center" vertical="center" wrapText="1" readingOrder="1"/>
    </xf>
    <xf numFmtId="9" fontId="45" fillId="5" borderId="58" applyAlignment="1" pivotButton="0" quotePrefix="0" xfId="0">
      <alignment horizontal="center" vertical="center" wrapText="1" readingOrder="1"/>
    </xf>
    <xf numFmtId="9" fontId="38" fillId="7" borderId="24" applyAlignment="1" pivotButton="0" quotePrefix="0" xfId="0">
      <alignment horizontal="center" vertical="center" wrapText="1" readingOrder="1"/>
    </xf>
    <xf numFmtId="0" fontId="46" fillId="12" borderId="0" applyAlignment="1" pivotButton="0" quotePrefix="0" xfId="0">
      <alignment horizontal="general" vertical="bottom"/>
    </xf>
    <xf numFmtId="0" fontId="34" fillId="16" borderId="33" applyAlignment="1" pivotButton="0" quotePrefix="0" xfId="0">
      <alignment horizontal="center" vertical="center" wrapText="1" readingOrder="1"/>
    </xf>
    <xf numFmtId="0" fontId="47" fillId="5" borderId="38" applyAlignment="1" pivotButton="0" quotePrefix="0" xfId="0">
      <alignment horizontal="center" vertical="center" wrapText="1" readingOrder="1"/>
    </xf>
    <xf numFmtId="0" fontId="38" fillId="10" borderId="60" applyAlignment="1" pivotButton="0" quotePrefix="0" xfId="0">
      <alignment horizontal="center" vertical="center" wrapText="1" readingOrder="1"/>
    </xf>
    <xf numFmtId="0" fontId="33" fillId="18" borderId="42" applyAlignment="1" pivotButton="0" quotePrefix="0" xfId="0">
      <alignment horizontal="left" vertical="center" wrapText="1" indent="1" readingOrder="1"/>
    </xf>
    <xf numFmtId="165" fontId="31" fillId="12" borderId="0" applyAlignment="1" pivotButton="0" quotePrefix="0" xfId="0">
      <alignment horizontal="general" vertical="center"/>
    </xf>
    <xf numFmtId="0" fontId="33" fillId="18" borderId="45" applyAlignment="1" pivotButton="0" quotePrefix="0" xfId="0">
      <alignment horizontal="left" vertical="center" wrapText="1" indent="1" readingOrder="1"/>
    </xf>
    <xf numFmtId="0" fontId="33" fillId="18" borderId="52" applyAlignment="1" pivotButton="0" quotePrefix="0" xfId="0">
      <alignment horizontal="left" vertical="center" wrapText="1" indent="1" readingOrder="1"/>
    </xf>
    <xf numFmtId="0" fontId="34" fillId="22" borderId="54" applyAlignment="1" pivotButton="0" quotePrefix="0" xfId="0">
      <alignment horizontal="center" vertical="center" wrapText="1"/>
    </xf>
    <xf numFmtId="0" fontId="35" fillId="20" borderId="54" applyAlignment="1" pivotButton="0" quotePrefix="0" xfId="0">
      <alignment horizontal="center" vertical="center" wrapText="1"/>
    </xf>
    <xf numFmtId="165" fontId="31" fillId="12" borderId="0" applyAlignment="1" pivotButton="0" quotePrefix="0" xfId="0">
      <alignment horizontal="general" vertical="bottom"/>
    </xf>
    <xf numFmtId="0" fontId="32" fillId="12" borderId="61" applyAlignment="1" pivotButton="0" quotePrefix="0" xfId="0">
      <alignment horizontal="general" vertical="bottom"/>
    </xf>
    <xf numFmtId="0" fontId="35" fillId="23" borderId="36" applyAlignment="1" pivotButton="0" quotePrefix="0" xfId="0">
      <alignment horizontal="center" vertical="center" wrapText="1" readingOrder="1"/>
    </xf>
    <xf numFmtId="0" fontId="34" fillId="16" borderId="36" applyAlignment="1" pivotButton="0" quotePrefix="0" xfId="0">
      <alignment horizontal="center" vertical="center" wrapText="1" readingOrder="1"/>
    </xf>
    <xf numFmtId="0" fontId="34" fillId="5" borderId="41" applyAlignment="1" pivotButton="0" quotePrefix="0" xfId="0">
      <alignment horizontal="general" vertical="center" wrapText="1" readingOrder="1"/>
    </xf>
    <xf numFmtId="0" fontId="34" fillId="5" borderId="62" applyAlignment="1" pivotButton="0" quotePrefix="0" xfId="0">
      <alignment horizontal="general" vertical="center" wrapText="1" readingOrder="1"/>
    </xf>
    <xf numFmtId="164" fontId="47" fillId="5" borderId="52" applyAlignment="1" pivotButton="0" quotePrefix="0" xfId="0">
      <alignment horizontal="center" vertical="center" wrapText="1" readingOrder="1"/>
    </xf>
    <xf numFmtId="164" fontId="47" fillId="5" borderId="54" applyAlignment="1" pivotButton="0" quotePrefix="0" xfId="0">
      <alignment horizontal="center" vertical="center" wrapText="1" readingOrder="1"/>
    </xf>
    <xf numFmtId="0" fontId="40" fillId="7" borderId="41" applyAlignment="1" pivotButton="0" quotePrefix="0" xfId="0">
      <alignment horizontal="left" vertical="center" wrapText="1" indent="1" readingOrder="1"/>
    </xf>
    <xf numFmtId="0" fontId="38" fillId="21" borderId="49" applyAlignment="1" pivotButton="0" quotePrefix="0" xfId="0">
      <alignment horizontal="center" vertical="center" wrapText="1" readingOrder="1"/>
    </xf>
    <xf numFmtId="0" fontId="40" fillId="7" borderId="62" applyAlignment="1" pivotButton="0" quotePrefix="0" xfId="0">
      <alignment horizontal="left" vertical="center" wrapText="1" indent="1" readingOrder="1"/>
    </xf>
    <xf numFmtId="0" fontId="38" fillId="19" borderId="31" applyAlignment="1" pivotButton="0" quotePrefix="0" xfId="0">
      <alignment horizontal="general" vertical="center" wrapText="1" readingOrder="1"/>
    </xf>
    <xf numFmtId="164" fontId="38" fillId="19" borderId="56" applyAlignment="1" pivotButton="0" quotePrefix="0" xfId="0">
      <alignment horizontal="center" vertical="center" wrapText="1" readingOrder="1"/>
    </xf>
    <xf numFmtId="164" fontId="38" fillId="19" borderId="57" applyAlignment="1" pivotButton="0" quotePrefix="0" xfId="0">
      <alignment horizontal="center" vertical="center" wrapText="1" readingOrder="1"/>
    </xf>
    <xf numFmtId="9" fontId="38" fillId="19" borderId="58" applyAlignment="1" pivotButton="0" quotePrefix="0" xfId="0">
      <alignment horizontal="center" vertical="center" wrapText="1" readingOrder="1"/>
    </xf>
    <xf numFmtId="0" fontId="38" fillId="21" borderId="59" applyAlignment="1" pivotButton="0" quotePrefix="0" xfId="0">
      <alignment horizontal="center" vertical="center" wrapText="1" readingOrder="1"/>
    </xf>
    <xf numFmtId="0" fontId="40" fillId="7" borderId="63" applyAlignment="1" pivotButton="0" quotePrefix="0" xfId="0">
      <alignment horizontal="left" vertical="center" wrapText="1" indent="1" readingOrder="1"/>
    </xf>
    <xf numFmtId="0" fontId="40" fillId="7" borderId="61" applyAlignment="1" pivotButton="0" quotePrefix="0" xfId="0">
      <alignment horizontal="left" vertical="center" wrapText="1" indent="1" readingOrder="1"/>
    </xf>
    <xf numFmtId="0" fontId="38" fillId="20" borderId="59" applyAlignment="1" pivotButton="0" quotePrefix="0" xfId="0">
      <alignment horizontal="center" vertical="center" wrapText="1" readingOrder="1"/>
    </xf>
    <xf numFmtId="0" fontId="34" fillId="5" borderId="64" applyAlignment="1" pivotButton="0" quotePrefix="0" xfId="0">
      <alignment horizontal="left" vertical="center" wrapText="1" indent="1" readingOrder="1"/>
    </xf>
    <xf numFmtId="0" fontId="34" fillId="5" borderId="36" applyAlignment="1" pivotButton="0" quotePrefix="0" xfId="0">
      <alignment horizontal="left" vertical="center" wrapText="1" readingOrder="1"/>
    </xf>
    <xf numFmtId="0" fontId="34" fillId="5" borderId="61" applyAlignment="1" pivotButton="0" quotePrefix="0" xfId="0">
      <alignment horizontal="left" vertical="center" wrapText="1" readingOrder="1"/>
    </xf>
    <xf numFmtId="0" fontId="34" fillId="5" borderId="62" applyAlignment="1" pivotButton="0" quotePrefix="0" xfId="0">
      <alignment horizontal="left" vertical="center" wrapText="1" readingOrder="1"/>
    </xf>
    <xf numFmtId="0" fontId="0" fillId="0" borderId="0" applyAlignment="1" pivotButton="0" quotePrefix="0" xfId="0">
      <alignment horizontal="left" vertical="bottom"/>
    </xf>
    <xf numFmtId="0" fontId="0" fillId="0" borderId="0" applyAlignment="1" pivotButton="0" quotePrefix="0" xfId="0">
      <alignment horizontal="center" vertical="bottom"/>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0" borderId="66" applyAlignment="1" pivotButton="0" quotePrefix="0" xfId="0">
      <alignment horizontal="left" vertical="top" wrapText="1"/>
    </xf>
    <xf numFmtId="0" fontId="48" fillId="25" borderId="66" applyAlignment="1" pivotButton="0" quotePrefix="0" xfId="0">
      <alignment horizontal="left" vertical="top" wrapText="1"/>
    </xf>
    <xf numFmtId="0" fontId="5" fillId="26" borderId="0" applyAlignment="1" pivotButton="0" quotePrefix="0" xfId="0">
      <alignment horizontal="general" vertical="bottom"/>
    </xf>
    <xf numFmtId="0" fontId="5" fillId="26" borderId="66" applyAlignment="1" pivotButton="0" quotePrefix="0" xfId="0">
      <alignment horizontal="center" vertical="bottom"/>
    </xf>
    <xf numFmtId="0" fontId="7" fillId="23" borderId="66" applyAlignment="1" pivotButton="0" quotePrefix="0" xfId="0">
      <alignment horizontal="center" vertical="bottom"/>
    </xf>
    <xf numFmtId="0" fontId="7" fillId="23" borderId="31" applyAlignment="1" pivotButton="0" quotePrefix="0" xfId="0">
      <alignment horizontal="center" vertical="bottom" wrapText="1"/>
    </xf>
    <xf numFmtId="0" fontId="7" fillId="23" borderId="66" applyAlignment="1" pivotButton="0" quotePrefix="0" xfId="0">
      <alignment horizontal="center" vertical="bottom" wrapText="1"/>
    </xf>
    <xf numFmtId="0" fontId="7" fillId="23" borderId="65" applyAlignment="1" pivotButton="0" quotePrefix="0" xfId="0">
      <alignment horizontal="center" vertical="bottom"/>
    </xf>
    <xf numFmtId="0" fontId="7" fillId="23" borderId="0" applyAlignment="1" pivotButton="0" quotePrefix="0" xfId="0">
      <alignment horizontal="center" vertical="bottom"/>
    </xf>
    <xf numFmtId="0" fontId="7" fillId="23" borderId="0" applyAlignment="1" pivotButton="0" quotePrefix="0" xfId="0">
      <alignment horizontal="center" vertical="bottom" wrapText="1"/>
    </xf>
    <xf numFmtId="0" fontId="0" fillId="0" borderId="0" applyAlignment="1" pivotButton="0" quotePrefix="0" xfId="0">
      <alignment horizontal="left" vertical="top" wrapText="1"/>
    </xf>
    <xf numFmtId="0" fontId="49" fillId="0" borderId="0" applyAlignment="1" pivotButton="0" quotePrefix="0" xfId="0">
      <alignment horizontal="general" vertical="bottom"/>
    </xf>
    <xf numFmtId="1" fontId="50" fillId="27" borderId="66" applyAlignment="1" pivotButton="0" quotePrefix="0" xfId="0">
      <alignment horizontal="left" vertical="bottom"/>
    </xf>
    <xf numFmtId="0" fontId="0" fillId="27" borderId="66" applyAlignment="1" pivotButton="0" quotePrefix="0" xfId="0">
      <alignment horizontal="general" vertical="bottom"/>
    </xf>
    <xf numFmtId="0" fontId="0" fillId="28" borderId="66" applyAlignment="1" pivotButton="0" quotePrefix="0" xfId="0">
      <alignment horizontal="general" vertical="bottom"/>
    </xf>
    <xf numFmtId="0" fontId="50" fillId="27" borderId="31" applyAlignment="1" pivotButton="0" quotePrefix="0" xfId="0">
      <alignment horizontal="left" vertical="bottom"/>
    </xf>
    <xf numFmtId="0" fontId="0" fillId="27" borderId="66" applyAlignment="1" pivotButton="0" quotePrefix="0" xfId="0">
      <alignment horizontal="center" vertical="center"/>
    </xf>
    <xf numFmtId="0" fontId="0" fillId="27" borderId="66" applyAlignment="1" pivotButton="0" quotePrefix="0" xfId="0">
      <alignment horizontal="center" vertical="bottom"/>
    </xf>
    <xf numFmtId="0" fontId="0" fillId="27" borderId="31" applyAlignment="1" pivotButton="0" quotePrefix="0" xfId="0">
      <alignment horizontal="center" vertical="bottom"/>
    </xf>
    <xf numFmtId="170" fontId="0" fillId="27" borderId="31" applyAlignment="1" pivotButton="0" quotePrefix="0" xfId="0">
      <alignment horizontal="center" vertical="bottom"/>
    </xf>
    <xf numFmtId="9" fontId="0" fillId="27" borderId="66" applyAlignment="1" pivotButton="0" quotePrefix="0" xfId="0">
      <alignment horizontal="center" vertical="bottom"/>
    </xf>
    <xf numFmtId="164" fontId="0" fillId="27" borderId="66" applyAlignment="1" pivotButton="0" quotePrefix="0" xfId="0">
      <alignment horizontal="general" vertical="bottom"/>
    </xf>
    <xf numFmtId="171" fontId="0" fillId="27" borderId="66" applyAlignment="1" pivotButton="0" quotePrefix="0" xfId="0">
      <alignment horizontal="general" vertical="bottom"/>
    </xf>
    <xf numFmtId="0" fontId="0" fillId="0" borderId="0" applyAlignment="1" pivotButton="0" quotePrefix="0" xfId="0">
      <alignment horizontal="general" vertical="bottom"/>
    </xf>
    <xf numFmtId="164" fontId="0" fillId="0" borderId="0" applyAlignment="1" pivotButton="0" quotePrefix="0" xfId="0">
      <alignment horizontal="general" vertical="top" wrapText="1"/>
    </xf>
    <xf numFmtId="172" fontId="0" fillId="0" borderId="0" applyAlignment="1" pivotButton="0" quotePrefix="0" xfId="0">
      <alignment horizontal="general" vertical="bottom"/>
    </xf>
    <xf numFmtId="0" fontId="23" fillId="0" borderId="0" applyAlignment="1" pivotButton="0" quotePrefix="0" xfId="0">
      <alignment horizontal="general" vertical="bottom"/>
    </xf>
    <xf numFmtId="0" fontId="23" fillId="0" borderId="0" applyAlignment="1" pivotButton="0" quotePrefix="0" xfId="0">
      <alignment horizontal="general" vertical="bottom"/>
    </xf>
    <xf numFmtId="0" fontId="0" fillId="27" borderId="66"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173" fontId="0" fillId="27" borderId="66" applyAlignment="1" pivotButton="0" quotePrefix="0" xfId="0">
      <alignment horizontal="general" vertical="top" wrapText="1"/>
    </xf>
    <xf numFmtId="174" fontId="0" fillId="0" borderId="0" applyAlignment="1" pivotButton="0" quotePrefix="0" xfId="0">
      <alignment horizontal="general" vertical="bottom"/>
    </xf>
    <xf numFmtId="0" fontId="0" fillId="0" borderId="66" applyAlignment="1" pivotButton="0" quotePrefix="0" xfId="0">
      <alignment horizontal="center" vertical="bottom"/>
    </xf>
    <xf numFmtId="0" fontId="0" fillId="0" borderId="66" applyAlignment="1" pivotButton="0" quotePrefix="0" xfId="0">
      <alignment horizontal="center" vertical="center"/>
    </xf>
    <xf numFmtId="0" fontId="23" fillId="27" borderId="66" applyAlignment="1" pivotButton="0" quotePrefix="0" xfId="0">
      <alignment horizontal="center" vertical="center"/>
    </xf>
    <xf numFmtId="0" fontId="0" fillId="27" borderId="0" applyAlignment="1" pivotButton="0" quotePrefix="0" xfId="0">
      <alignment horizontal="center" vertical="center"/>
    </xf>
    <xf numFmtId="0" fontId="0" fillId="27" borderId="0" applyAlignment="1" pivotButton="0" quotePrefix="0" xfId="0">
      <alignment horizontal="center" vertical="bottom"/>
    </xf>
    <xf numFmtId="0" fontId="23" fillId="27" borderId="0" applyAlignment="1" pivotButton="0" quotePrefix="0" xfId="0">
      <alignment horizontal="center" vertical="bottom"/>
    </xf>
    <xf numFmtId="0" fontId="0" fillId="0" borderId="66" applyAlignment="1" pivotButton="0" quotePrefix="0" xfId="0">
      <alignment horizontal="general" vertical="bottom"/>
    </xf>
    <xf numFmtId="0" fontId="0" fillId="0" borderId="66" applyAlignment="1" pivotButton="0" quotePrefix="0" xfId="0">
      <alignment horizontal="general" vertical="bottom"/>
    </xf>
    <xf numFmtId="0" fontId="6" fillId="27" borderId="66" applyAlignment="1" pivotButton="0" quotePrefix="0" xfId="0">
      <alignment horizontal="center" vertical="center"/>
    </xf>
    <xf numFmtId="0" fontId="6" fillId="0" borderId="0" applyAlignment="1" pivotButton="0" quotePrefix="0" xfId="0">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1" fillId="0" borderId="0" applyAlignment="1" pivotButton="0" quotePrefix="0" xfId="0">
      <alignment horizontal="general" vertical="bottom"/>
    </xf>
    <xf numFmtId="0" fontId="0" fillId="29" borderId="0" applyAlignment="1" pivotButton="0" quotePrefix="0" xfId="0">
      <alignment horizontal="general" vertical="bottom"/>
    </xf>
    <xf numFmtId="0" fontId="8" fillId="29" borderId="0" applyAlignment="1" pivotButton="0" quotePrefix="0" xfId="0">
      <alignment horizontal="general" vertical="center"/>
    </xf>
    <xf numFmtId="0" fontId="53"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14" borderId="1" applyAlignment="1" pivotButton="0" quotePrefix="0" xfId="0">
      <alignment horizontal="left" vertical="center"/>
    </xf>
    <xf numFmtId="0" fontId="5" fillId="14" borderId="1" applyAlignment="1" pivotButton="0" quotePrefix="0" xfId="0">
      <alignment horizontal="center" vertical="center" wrapText="1"/>
    </xf>
    <xf numFmtId="0" fontId="9" fillId="0" borderId="1" applyAlignment="1" pivotButton="0" quotePrefix="0" xfId="0">
      <alignment horizontal="left" vertical="center" wrapText="1"/>
    </xf>
    <xf numFmtId="166" fontId="25" fillId="0" borderId="1" applyAlignment="1" pivotButton="0" quotePrefix="0" xfId="0">
      <alignment horizontal="general" vertical="bottom"/>
    </xf>
    <xf numFmtId="166" fontId="24" fillId="0" borderId="1" applyAlignment="1" pivotButton="0" quotePrefix="0" xfId="0">
      <alignment horizontal="right" vertical="center"/>
    </xf>
    <xf numFmtId="175" fontId="6" fillId="0" borderId="1" applyAlignment="1" pivotButton="0" quotePrefix="0" xfId="0">
      <alignment horizontal="right" vertical="center"/>
    </xf>
    <xf numFmtId="0" fontId="24" fillId="10" borderId="1" applyAlignment="1" pivotButton="0" quotePrefix="0" xfId="0">
      <alignment horizontal="general" vertical="center"/>
    </xf>
    <xf numFmtId="166" fontId="24" fillId="10" borderId="1" applyAlignment="1" pivotButton="0" quotePrefix="0" xfId="0">
      <alignment horizontal="right" vertical="center"/>
    </xf>
    <xf numFmtId="0" fontId="54" fillId="0" borderId="1" applyAlignment="1" pivotButton="0" quotePrefix="0" xfId="0">
      <alignment horizontal="general" vertical="center"/>
    </xf>
    <xf numFmtId="166" fontId="54" fillId="0" borderId="1" applyAlignment="1" pivotButton="0" quotePrefix="0" xfId="0">
      <alignment horizontal="right" vertical="center"/>
    </xf>
    <xf numFmtId="0" fontId="7" fillId="10" borderId="67" applyAlignment="1" pivotButton="0" quotePrefix="0" xfId="0">
      <alignment horizontal="left" vertical="center"/>
    </xf>
    <xf numFmtId="175" fontId="7" fillId="10" borderId="67" applyAlignment="1" pivotButton="0" quotePrefix="0" xfId="0">
      <alignment horizontal="right" vertical="center"/>
    </xf>
    <xf numFmtId="165" fontId="7" fillId="10" borderId="67" applyAlignment="1" pivotButton="0" quotePrefix="0" xfId="0">
      <alignment horizontal="right" vertical="center"/>
    </xf>
    <xf numFmtId="0" fontId="30" fillId="10" borderId="1" applyAlignment="1" pivotButton="0" quotePrefix="0" xfId="0">
      <alignment horizontal="general" vertical="bottom"/>
    </xf>
    <xf numFmtId="165" fontId="22" fillId="10" borderId="1" applyAlignment="1" pivotButton="0" quotePrefix="0" xfId="0">
      <alignment horizontal="right" vertical="center"/>
    </xf>
    <xf numFmtId="165" fontId="7" fillId="0" borderId="1" applyAlignment="1" pivotButton="0" quotePrefix="0" xfId="0">
      <alignment horizontal="right" vertical="center"/>
    </xf>
    <xf numFmtId="0" fontId="30" fillId="0" borderId="1" applyAlignment="1" pivotButton="0" quotePrefix="0" xfId="0">
      <alignment horizontal="general" vertical="center"/>
    </xf>
    <xf numFmtId="166" fontId="30" fillId="0" borderId="1" applyAlignment="1" pivotButton="0" quotePrefix="0" xfId="0">
      <alignment horizontal="righ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2" fontId="30" fillId="0" borderId="68" applyAlignment="1" pivotButton="0" quotePrefix="0" xfId="0">
      <alignment horizontal="right" vertical="center"/>
    </xf>
    <xf numFmtId="166" fontId="30" fillId="0" borderId="68" applyAlignment="1" pivotButton="0" quotePrefix="0" xfId="0">
      <alignment horizontal="right" vertical="center"/>
    </xf>
    <xf numFmtId="0" fontId="21" fillId="14" borderId="29" applyAlignment="1" pivotButton="0" quotePrefix="0" xfId="0">
      <alignment horizontal="left" vertical="center"/>
    </xf>
    <xf numFmtId="0" fontId="21" fillId="14" borderId="29" applyAlignment="1" pivotButton="0" quotePrefix="0" xfId="0">
      <alignment horizontal="general" vertical="bottom"/>
    </xf>
    <xf numFmtId="0" fontId="24" fillId="0" borderId="29" applyAlignment="1" pivotButton="0" quotePrefix="0" xfId="0">
      <alignment horizontal="left" vertical="center"/>
    </xf>
    <xf numFmtId="166" fontId="24" fillId="0" borderId="29" applyAlignment="1" pivotButton="0" quotePrefix="0" xfId="0">
      <alignment horizontal="right" vertical="center"/>
    </xf>
    <xf numFmtId="0" fontId="5" fillId="2" borderId="68" applyAlignment="1" pivotButton="0" quotePrefix="0" xfId="0">
      <alignment horizontal="general" vertical="bottom"/>
    </xf>
    <xf numFmtId="0" fontId="5" fillId="2" borderId="69" applyAlignment="1" pivotButton="0" quotePrefix="0" xfId="0">
      <alignment horizontal="general" vertical="bottom"/>
    </xf>
    <xf numFmtId="0" fontId="21" fillId="14" borderId="1" applyAlignment="1" pivotButton="0" quotePrefix="0" xfId="0">
      <alignment horizontal="center" vertical="center"/>
    </xf>
    <xf numFmtId="0" fontId="30" fillId="10" borderId="29" applyAlignment="1" pivotButton="0" quotePrefix="0" xfId="0">
      <alignment horizontal="left" vertical="center"/>
    </xf>
    <xf numFmtId="166" fontId="30" fillId="10" borderId="29" applyAlignment="1" pivotButton="0" quotePrefix="0" xfId="0">
      <alignment horizontal="right" vertical="center"/>
    </xf>
    <xf numFmtId="166" fontId="0" fillId="0" borderId="0" applyAlignment="1" pivotButton="0" quotePrefix="0" xfId="0">
      <alignment horizontal="left" vertical="center" wrapText="1"/>
    </xf>
    <xf numFmtId="166" fontId="25" fillId="3" borderId="1" applyAlignment="1" applyProtection="1" pivotButton="0" quotePrefix="0" xfId="0">
      <alignment horizontal="general" vertical="bottom"/>
      <protection locked="0" hidden="0"/>
    </xf>
    <xf numFmtId="0" fontId="55" fillId="0" borderId="0" applyAlignment="1" pivotButton="0" quotePrefix="0" xfId="0">
      <alignment horizontal="general" vertical="bottom"/>
    </xf>
    <xf numFmtId="0" fontId="9" fillId="0" borderId="66" applyAlignment="1" pivotButton="0" quotePrefix="0" xfId="0">
      <alignment horizontal="left" vertical="center"/>
    </xf>
    <xf numFmtId="166" fontId="9" fillId="0" borderId="66" applyAlignment="1" pivotButton="0" quotePrefix="0" xfId="0">
      <alignment horizontal="general" vertical="bottom"/>
    </xf>
    <xf numFmtId="0" fontId="20" fillId="14" borderId="1" applyAlignment="1" pivotButton="0" quotePrefix="0" xfId="0">
      <alignment horizontal="center" vertical="center"/>
    </xf>
    <xf numFmtId="0" fontId="56" fillId="14" borderId="1" applyAlignment="1" pivotButton="0" quotePrefix="0" xfId="0">
      <alignment horizontal="center" vertical="center"/>
    </xf>
    <xf numFmtId="0" fontId="24" fillId="3" borderId="1" applyAlignment="1" applyProtection="1" pivotButton="0" quotePrefix="0" xfId="0">
      <alignment horizontal="general" vertical="bottom"/>
      <protection locked="0" hidden="0"/>
    </xf>
    <xf numFmtId="0" fontId="23" fillId="3" borderId="1" applyAlignment="1" applyProtection="1" pivotButton="0" quotePrefix="0" xfId="0">
      <alignment horizontal="center" vertical="center"/>
      <protection locked="0" hidden="0"/>
    </xf>
    <xf numFmtId="9" fontId="9" fillId="3" borderId="1" applyAlignment="1" applyProtection="1" pivotButton="0" quotePrefix="0" xfId="0">
      <alignment horizontal="general" vertical="bottom"/>
      <protection locked="0" hidden="0"/>
    </xf>
    <xf numFmtId="1" fontId="25" fillId="0" borderId="1" applyAlignment="1" pivotButton="0" quotePrefix="0" xfId="0">
      <alignment horizontal="general" vertical="bottom"/>
    </xf>
    <xf numFmtId="0" fontId="9" fillId="0" borderId="1" applyAlignment="1" pivotButton="0" quotePrefix="0" xfId="0">
      <alignment horizontal="general" vertical="bottom"/>
    </xf>
    <xf numFmtId="0" fontId="0" fillId="10" borderId="0" applyAlignment="1" pivotButton="0" quotePrefix="0" xfId="0">
      <alignment horizontal="general" vertical="bottom"/>
    </xf>
    <xf numFmtId="0" fontId="9" fillId="10" borderId="1" applyAlignment="1" pivotButton="0" quotePrefix="0" xfId="0">
      <alignment horizontal="general" vertical="bottom"/>
    </xf>
    <xf numFmtId="0" fontId="23" fillId="10" borderId="0" applyAlignment="1" pivotButton="0" quotePrefix="0" xfId="0">
      <alignment horizontal="general" vertical="bottom"/>
    </xf>
    <xf numFmtId="166" fontId="30" fillId="10" borderId="1" applyAlignment="1" pivotButton="0" quotePrefix="0" xfId="0">
      <alignment horizontal="general" vertical="bottom"/>
    </xf>
    <xf numFmtId="165" fontId="7" fillId="10" borderId="1" applyAlignment="1" pivotButton="0" quotePrefix="0" xfId="0">
      <alignment horizontal="right" vertical="center"/>
    </xf>
    <xf numFmtId="9" fontId="9" fillId="0" borderId="1" applyAlignment="1" pivotButton="0" quotePrefix="0" xfId="0">
      <alignment horizontal="general" vertical="bottom"/>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9" fontId="6" fillId="0" borderId="0" applyAlignment="1" pivotButton="0" quotePrefix="0" xfId="0">
      <alignment horizontal="general" vertical="bottom"/>
    </xf>
    <xf numFmtId="166" fontId="6" fillId="0" borderId="0" applyAlignment="1" pivotButton="0" quotePrefix="0" xfId="0">
      <alignment horizontal="general" vertical="bottom"/>
    </xf>
    <xf numFmtId="0" fontId="0" fillId="0" borderId="0" applyAlignment="1" pivotButton="0" quotePrefix="0" xfId="0">
      <alignment horizontal="general" vertical="bottom"/>
    </xf>
    <xf numFmtId="0" fontId="23" fillId="0" borderId="0" applyAlignment="1" pivotButton="0" quotePrefix="0" xfId="0">
      <alignment horizontal="general" vertical="center"/>
    </xf>
    <xf numFmtId="0" fontId="57" fillId="0" borderId="1" applyAlignment="1" pivotButton="0" quotePrefix="0" xfId="0">
      <alignment horizontal="general" vertical="bottom"/>
    </xf>
    <xf numFmtId="2" fontId="23" fillId="0" borderId="0" applyAlignment="1" pivotButton="0" quotePrefix="0" xfId="0">
      <alignment horizontal="right" vertical="center"/>
    </xf>
    <xf numFmtId="0" fontId="23" fillId="0" borderId="1" applyAlignment="1" pivotButton="0" quotePrefix="0" xfId="0">
      <alignment horizontal="general" vertical="center"/>
    </xf>
    <xf numFmtId="166" fontId="23" fillId="0" borderId="1" applyAlignment="1" pivotButton="0" quotePrefix="0" xfId="0">
      <alignment horizontal="right" vertical="center"/>
    </xf>
    <xf numFmtId="0" fontId="23" fillId="10" borderId="1" applyAlignment="1" pivotButton="0" quotePrefix="0" xfId="0">
      <alignment horizontal="general" vertical="center"/>
    </xf>
    <xf numFmtId="166" fontId="23" fillId="10" borderId="1" applyAlignment="1" pivotButton="0" quotePrefix="0" xfId="0">
      <alignment horizontal="right" vertical="center"/>
    </xf>
    <xf numFmtId="166" fontId="7" fillId="0" borderId="1" applyAlignment="1" pivotButton="0" quotePrefix="0" xfId="0">
      <alignment horizontal="right" vertical="center"/>
    </xf>
    <xf numFmtId="0" fontId="22" fillId="0" borderId="70" applyAlignment="1" pivotButton="0" quotePrefix="0" xfId="0">
      <alignment horizontal="general" vertical="center"/>
    </xf>
    <xf numFmtId="166" fontId="7" fillId="0" borderId="71" applyAlignment="1" pivotButton="0" quotePrefix="0" xfId="0">
      <alignment horizontal="right" vertical="center"/>
    </xf>
    <xf numFmtId="0" fontId="5" fillId="2" borderId="70" applyAlignment="1" pivotButton="0" quotePrefix="0" xfId="0">
      <alignment horizontal="left" vertical="center"/>
    </xf>
    <xf numFmtId="0" fontId="9" fillId="0" borderId="72" applyAlignment="1" pivotButton="0" quotePrefix="0" xfId="0">
      <alignment horizontal="left" vertical="center"/>
    </xf>
    <xf numFmtId="0" fontId="23" fillId="0" borderId="1" applyAlignment="1" pivotButton="0" quotePrefix="0" xfId="0">
      <alignment horizontal="center" vertical="center" wrapText="1"/>
    </xf>
    <xf numFmtId="0" fontId="23" fillId="3" borderId="1" applyAlignment="1" applyProtection="1" pivotButton="0" quotePrefix="0" xfId="0">
      <alignment horizontal="general" vertical="center"/>
      <protection locked="0" hidden="0"/>
    </xf>
    <xf numFmtId="166" fontId="25" fillId="0" borderId="29" applyAlignment="1" pivotButton="0" quotePrefix="0" xfId="0">
      <alignment horizontal="right" vertical="center"/>
    </xf>
    <xf numFmtId="0" fontId="30" fillId="0" borderId="1" applyAlignment="1" pivotButton="0" quotePrefix="0" xfId="0">
      <alignment horizontal="general" vertical="bottom"/>
    </xf>
    <xf numFmtId="166" fontId="30" fillId="0" borderId="1" applyAlignment="1" pivotButton="0" quotePrefix="0" xfId="0">
      <alignment horizontal="general" vertical="bottom"/>
    </xf>
    <xf numFmtId="0" fontId="20" fillId="0" borderId="0" applyAlignment="1" pivotButton="0" quotePrefix="0" xfId="0">
      <alignment horizontal="center" vertical="center"/>
    </xf>
    <xf numFmtId="0" fontId="23" fillId="0" borderId="0" applyAlignment="1" pivotButton="0" quotePrefix="0" xfId="0">
      <alignment horizontal="center" vertical="center"/>
    </xf>
    <xf numFmtId="166" fontId="9" fillId="10" borderId="1" applyAlignment="1" pivotButton="0" quotePrefix="0" xfId="0">
      <alignment horizontal="general" vertical="bottom"/>
    </xf>
    <xf numFmtId="0" fontId="25" fillId="0" borderId="1" applyAlignment="1" pivotButton="0" quotePrefix="0" xfId="0">
      <alignment horizontal="general" vertical="bottom"/>
    </xf>
    <xf numFmtId="0" fontId="25" fillId="3" borderId="1" applyAlignment="1" applyProtection="1" pivotButton="0" quotePrefix="0" xfId="0">
      <alignment horizontal="general" vertical="bottom"/>
      <protection locked="0" hidden="0"/>
    </xf>
    <xf numFmtId="9" fontId="25" fillId="3" borderId="1" applyAlignment="1" applyProtection="1" pivotButton="0" quotePrefix="0" xfId="0">
      <alignment horizontal="general" vertical="bottom"/>
      <protection locked="0" hidden="0"/>
    </xf>
    <xf numFmtId="0" fontId="24" fillId="3" borderId="0" applyAlignment="1" applyProtection="1" pivotButton="0" quotePrefix="0" xfId="0">
      <alignment horizontal="general" vertical="bottom"/>
      <protection locked="0" hidden="0"/>
    </xf>
    <xf numFmtId="9" fontId="9" fillId="3" borderId="0" applyAlignment="1" applyProtection="1" pivotButton="0" quotePrefix="0" xfId="0">
      <alignment horizontal="general" vertical="bottom"/>
      <protection locked="0" hidden="0"/>
    </xf>
    <xf numFmtId="0" fontId="5" fillId="2" borderId="26" applyAlignment="1" pivotButton="0" quotePrefix="0" xfId="0">
      <alignment horizontal="left" vertical="center"/>
    </xf>
    <xf numFmtId="0" fontId="21" fillId="14" borderId="66" applyAlignment="1" pivotButton="0" quotePrefix="0" xfId="0">
      <alignment horizontal="left" vertical="center"/>
    </xf>
    <xf numFmtId="0" fontId="21" fillId="14" borderId="66" applyAlignment="1" pivotButton="0" quotePrefix="0" xfId="0">
      <alignment horizontal="center" vertical="center"/>
    </xf>
    <xf numFmtId="0" fontId="56" fillId="14" borderId="66" applyAlignment="1" pivotButton="0" quotePrefix="0" xfId="0">
      <alignment horizontal="center" vertical="center"/>
    </xf>
    <xf numFmtId="0" fontId="21" fillId="14" borderId="66" applyAlignment="1" pivotButton="0" quotePrefix="0" xfId="0">
      <alignment horizontal="center" vertical="center" wrapText="1"/>
    </xf>
    <xf numFmtId="0" fontId="24" fillId="0" borderId="66" applyAlignment="1" pivotButton="0" quotePrefix="0" xfId="0">
      <alignment horizontal="general" vertical="bottom"/>
    </xf>
    <xf numFmtId="0" fontId="24" fillId="3" borderId="66" applyAlignment="1" applyProtection="1" pivotButton="0" quotePrefix="0" xfId="0">
      <alignment horizontal="general" vertical="bottom"/>
      <protection locked="0" hidden="0"/>
    </xf>
    <xf numFmtId="9" fontId="9" fillId="3" borderId="66" applyAlignment="1" applyProtection="1" pivotButton="0" quotePrefix="0" xfId="0">
      <alignment horizontal="general" vertical="bottom"/>
      <protection locked="0" hidden="0"/>
    </xf>
    <xf numFmtId="1" fontId="25" fillId="0" borderId="66" applyAlignment="1" pivotButton="0" quotePrefix="0" xfId="0">
      <alignment horizontal="general" vertical="bottom"/>
    </xf>
    <xf numFmtId="166" fontId="24" fillId="0" borderId="66" applyAlignment="1" pivotButton="0" quotePrefix="0" xfId="0">
      <alignment horizontal="general" vertical="bottom"/>
    </xf>
    <xf numFmtId="166" fontId="25" fillId="0" borderId="66" applyAlignment="1" pivotButton="0" quotePrefix="0" xfId="0">
      <alignment horizontal="general" vertical="bottom"/>
    </xf>
    <xf numFmtId="0" fontId="30" fillId="10" borderId="66" applyAlignment="1" pivotButton="0" quotePrefix="0" xfId="0">
      <alignment horizontal="general" vertical="bottom"/>
    </xf>
    <xf numFmtId="166" fontId="30" fillId="10" borderId="66" applyAlignment="1" pivotButton="0" quotePrefix="0" xfId="0">
      <alignment horizontal="general" vertical="bottom"/>
    </xf>
    <xf numFmtId="0" fontId="57" fillId="0" borderId="66" applyAlignment="1" pivotButton="0" quotePrefix="0" xfId="0">
      <alignment horizontal="general" vertical="bottom"/>
    </xf>
    <xf numFmtId="166" fontId="22" fillId="0" borderId="1" applyAlignment="1" pivotButton="0" quotePrefix="0" xfId="0">
      <alignment horizontal="right" vertical="center"/>
    </xf>
    <xf numFmtId="0" fontId="22" fillId="0" borderId="0" applyAlignment="1" pivotButton="0" quotePrefix="0" xfId="0">
      <alignment horizontal="general" vertical="center"/>
    </xf>
    <xf numFmtId="166" fontId="22" fillId="0" borderId="0" applyAlignment="1" pivotButton="0" quotePrefix="0" xfId="0">
      <alignment horizontal="right" vertical="center"/>
    </xf>
    <xf numFmtId="0" fontId="5" fillId="2" borderId="66" applyAlignment="1" pivotButton="0" quotePrefix="0" xfId="0">
      <alignment horizontal="left" vertical="center"/>
    </xf>
    <xf numFmtId="0" fontId="5" fillId="14" borderId="1" applyAlignment="1" pivotButton="0" quotePrefix="0" xfId="0">
      <alignment horizontal="left" vertical="center"/>
    </xf>
    <xf numFmtId="0" fontId="5" fillId="14" borderId="66" applyAlignment="1" pivotButton="0" quotePrefix="0" xfId="0">
      <alignment horizontal="left" vertical="center"/>
    </xf>
    <xf numFmtId="0" fontId="21" fillId="0" borderId="0" applyAlignment="1" pivotButton="0" quotePrefix="0" xfId="0">
      <alignment horizontal="left" vertical="center"/>
    </xf>
    <xf numFmtId="0" fontId="21" fillId="0" borderId="0" applyAlignment="1" pivotButton="0" quotePrefix="0" xfId="0">
      <alignment horizontal="general" vertical="bottom"/>
    </xf>
    <xf numFmtId="166" fontId="25" fillId="0" borderId="0" applyAlignment="1" pivotButton="0" quotePrefix="0" xfId="0">
      <alignment horizontal="general" vertical="bottom"/>
    </xf>
    <xf numFmtId="0" fontId="30" fillId="0" borderId="66" applyAlignment="1" pivotButton="0" quotePrefix="0" xfId="0">
      <alignment horizontal="general" vertical="bottom"/>
    </xf>
    <xf numFmtId="166" fontId="30" fillId="0" borderId="66" applyAlignment="1" pivotButton="0" quotePrefix="0" xfId="0">
      <alignment horizontal="general" vertical="bottom"/>
    </xf>
    <xf numFmtId="0" fontId="30" fillId="0" borderId="0" applyAlignment="1" pivotButton="0" quotePrefix="0" xfId="0">
      <alignment horizontal="general" vertical="bottom"/>
    </xf>
    <xf numFmtId="166" fontId="30" fillId="0" borderId="0" applyAlignment="1" pivotButton="0" quotePrefix="0" xfId="0">
      <alignment horizontal="general" vertical="bottom"/>
    </xf>
    <xf numFmtId="0" fontId="0" fillId="0" borderId="0" applyAlignment="1" pivotButton="0" quotePrefix="0" xfId="0">
      <alignment horizontal="left" vertical="center"/>
    </xf>
    <xf numFmtId="0" fontId="29" fillId="0" borderId="0" applyAlignment="1" pivotButton="0" quotePrefix="0" xfId="0">
      <alignment horizontal="general" vertical="bottom"/>
    </xf>
    <xf numFmtId="0" fontId="51" fillId="0" borderId="0" applyAlignment="1" pivotButton="0" quotePrefix="0" xfId="0">
      <alignment horizontal="center" vertical="center"/>
    </xf>
    <xf numFmtId="9" fontId="29" fillId="0" borderId="0" applyAlignment="1" pivotButton="0" quotePrefix="0" xfId="0">
      <alignment horizontal="general" vertical="bottom"/>
    </xf>
    <xf numFmtId="165" fontId="23" fillId="0" borderId="0" applyAlignment="1" pivotButton="0" quotePrefix="0" xfId="0">
      <alignment horizontal="right" vertical="center"/>
    </xf>
    <xf numFmtId="166" fontId="5" fillId="2" borderId="0" applyAlignment="1" pivotButton="0" quotePrefix="0" xfId="0">
      <alignment horizontal="general" vertical="bottom"/>
    </xf>
    <xf numFmtId="0" fontId="24" fillId="0" borderId="27" applyAlignment="1" pivotButton="0" quotePrefix="0" xfId="0">
      <alignment horizontal="left" vertical="bottom"/>
    </xf>
    <xf numFmtId="0" fontId="7" fillId="7" borderId="0" applyAlignment="1" pivotButton="0" quotePrefix="0" xfId="0">
      <alignment horizontal="left" vertical="center" wrapText="1"/>
    </xf>
    <xf numFmtId="176" fontId="7" fillId="7" borderId="0" applyAlignment="1" pivotButton="0" quotePrefix="0" xfId="0">
      <alignment horizontal="left" vertical="center" wrapText="1"/>
    </xf>
    <xf numFmtId="0" fontId="0" fillId="0" borderId="0" applyAlignment="1" pivotButton="0" quotePrefix="0" xfId="0">
      <alignment horizontal="left" vertical="center" wrapText="1"/>
    </xf>
    <xf numFmtId="2" fontId="23" fillId="0" borderId="1" applyAlignment="1" pivotButton="0" quotePrefix="0" xfId="0">
      <alignment horizontal="right" vertical="center"/>
    </xf>
    <xf numFmtId="2" fontId="23" fillId="10" borderId="1" applyAlignment="1" pivotButton="0" quotePrefix="0" xfId="0">
      <alignment horizontal="right" vertical="center"/>
    </xf>
    <xf numFmtId="166" fontId="22" fillId="0" borderId="0" applyAlignment="1" pivotButton="0" quotePrefix="0" xfId="0">
      <alignment horizontal="general" vertical="bottom"/>
    </xf>
    <xf numFmtId="0" fontId="5" fillId="14" borderId="27" applyAlignment="1" pivotButton="0" quotePrefix="0" xfId="0">
      <alignment horizontal="center" vertical="center" wrapText="1"/>
    </xf>
    <xf numFmtId="166"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6" fontId="25" fillId="3" borderId="66" applyAlignment="1" applyProtection="1" pivotButton="0" quotePrefix="0" xfId="0">
      <alignment horizontal="general" vertical="bottom"/>
      <protection locked="0" hidden="0"/>
    </xf>
    <xf numFmtId="0" fontId="30" fillId="10" borderId="0" applyAlignment="1" pivotButton="0" quotePrefix="0" xfId="0">
      <alignment horizontal="general" vertical="bottom"/>
    </xf>
    <xf numFmtId="2" fontId="22" fillId="10" borderId="0" applyAlignment="1" pivotButton="0" quotePrefix="0" xfId="0">
      <alignment horizontal="right" vertical="center"/>
    </xf>
    <xf numFmtId="2" fontId="7" fillId="10" borderId="0" applyAlignment="1" pivotButton="0" quotePrefix="0" xfId="0">
      <alignment horizontal="left" vertical="center" wrapText="1"/>
    </xf>
    <xf numFmtId="165" fontId="7" fillId="10" borderId="0" applyAlignment="1" pivotButton="0" quotePrefix="0" xfId="0">
      <alignment horizontal="right" vertical="center"/>
    </xf>
    <xf numFmtId="2" fontId="22" fillId="0" borderId="0" applyAlignment="1" pivotButton="0" quotePrefix="0" xfId="0">
      <alignment horizontal="right" vertical="center"/>
    </xf>
    <xf numFmtId="0" fontId="58" fillId="0" borderId="0" applyAlignment="1" pivotButton="0" quotePrefix="0" xfId="0">
      <alignment horizontal="general" vertical="bottom"/>
    </xf>
    <xf numFmtId="0" fontId="56" fillId="14" borderId="66" applyAlignment="1" pivotButton="0" quotePrefix="0" xfId="0">
      <alignment horizontal="center" vertical="center" wrapText="1"/>
    </xf>
    <xf numFmtId="0" fontId="24" fillId="0" borderId="28" applyAlignment="1" pivotButton="0" quotePrefix="0" xfId="0">
      <alignment horizontal="general" vertical="bottom"/>
    </xf>
    <xf numFmtId="0" fontId="22" fillId="10" borderId="1" applyAlignment="1" pivotButton="0" quotePrefix="0" xfId="0">
      <alignment horizontal="general" vertical="center"/>
    </xf>
    <xf numFmtId="166" fontId="22" fillId="10" borderId="1" applyAlignment="1" pivotButton="0" quotePrefix="0" xfId="0">
      <alignment horizontal="right" vertical="center"/>
    </xf>
    <xf numFmtId="0" fontId="22" fillId="0" borderId="0" applyAlignment="1" pivotButton="0" quotePrefix="0" xfId="0">
      <alignment horizontal="general" vertical="bottom"/>
    </xf>
    <xf numFmtId="2" fontId="7" fillId="0" borderId="0" applyAlignment="1" pivotButton="0" quotePrefix="0" xfId="0">
      <alignment horizontal="left" vertical="center" wrapText="1"/>
    </xf>
    <xf numFmtId="166" fontId="21" fillId="14" borderId="66" applyAlignment="1" pivotButton="0" quotePrefix="0" xfId="0">
      <alignment horizontal="center" vertical="center" wrapText="1"/>
    </xf>
    <xf numFmtId="166" fontId="5" fillId="2" borderId="0" applyAlignment="1" pivotButton="0" quotePrefix="0" xfId="0">
      <alignment horizontal="left" vertical="center"/>
    </xf>
    <xf numFmtId="166" fontId="9" fillId="3" borderId="66" applyAlignment="1" applyProtection="1" pivotButton="0" quotePrefix="0" xfId="0">
      <alignment horizontal="general" vertical="bottom"/>
      <protection locked="0" hidden="0"/>
    </xf>
    <xf numFmtId="166" fontId="0" fillId="0" borderId="66" applyAlignment="1" pivotButton="0" quotePrefix="0" xfId="0">
      <alignment horizontal="general" vertical="bottom"/>
    </xf>
    <xf numFmtId="0" fontId="25" fillId="0" borderId="66" applyAlignment="1" pivotButton="0" quotePrefix="0" xfId="0">
      <alignment horizontal="general" vertical="bottom"/>
    </xf>
    <xf numFmtId="0" fontId="9" fillId="0" borderId="0" applyAlignment="1" pivotButton="0" quotePrefix="0" xfId="0">
      <alignment horizontal="left" vertical="center"/>
    </xf>
    <xf numFmtId="166" fontId="59" fillId="10" borderId="1" applyAlignment="1" pivotButton="0" quotePrefix="0" xfId="0">
      <alignment horizontal="general" vertical="bottom"/>
    </xf>
    <xf numFmtId="0" fontId="25" fillId="0" borderId="0" applyAlignment="1" pivotButton="0" quotePrefix="0" xfId="0">
      <alignment horizontal="left" vertical="center"/>
    </xf>
    <xf numFmtId="0" fontId="25" fillId="0" borderId="0" applyAlignment="1" pivotButton="0" quotePrefix="0" xfId="0">
      <alignment horizontal="left" vertical="center" wrapText="1"/>
    </xf>
    <xf numFmtId="165" fontId="60" fillId="3" borderId="66" applyAlignment="1" applyProtection="1" pivotButton="0" quotePrefix="0" xfId="0">
      <alignment horizontal="left" vertical="center"/>
      <protection locked="0" hidden="0"/>
    </xf>
    <xf numFmtId="165" fontId="25" fillId="0" borderId="1" applyAlignment="1" pivotButton="0" quotePrefix="0" xfId="0">
      <alignment horizontal="general" vertical="bottom"/>
    </xf>
    <xf numFmtId="0" fontId="30" fillId="0" borderId="1" applyAlignment="1" pivotButton="0" quotePrefix="0" xfId="0">
      <alignment horizontal="left" vertical="center" wrapText="1"/>
    </xf>
    <xf numFmtId="0" fontId="61" fillId="0" borderId="0" applyAlignment="1" pivotButton="0" quotePrefix="0" xfId="0">
      <alignment horizontal="general" vertical="center"/>
    </xf>
    <xf numFmtId="0" fontId="7" fillId="30" borderId="1" applyAlignment="1" pivotButton="0" quotePrefix="0" xfId="0">
      <alignment horizontal="left" vertical="center"/>
    </xf>
    <xf numFmtId="175" fontId="6" fillId="0" borderId="0" applyAlignment="1" pivotButton="0" quotePrefix="0" xfId="0">
      <alignment horizontal="right" vertical="center"/>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0" fontId="7" fillId="7" borderId="1" applyAlignment="1" pivotButton="0" quotePrefix="0" xfId="0">
      <alignment horizontal="left" vertical="center"/>
    </xf>
    <xf numFmtId="175" fontId="7" fillId="7" borderId="1" applyAlignment="1" pivotButton="0" quotePrefix="0" xfId="0">
      <alignment horizontal="right" vertical="center"/>
    </xf>
    <xf numFmtId="164" fontId="7" fillId="7" borderId="1" applyAlignment="1" pivotButton="0" quotePrefix="0" xfId="0">
      <alignment horizontal="right" vertical="center"/>
    </xf>
    <xf numFmtId="165" fontId="7" fillId="7" borderId="1" applyAlignment="1" pivotButton="0" quotePrefix="0" xfId="0">
      <alignment horizontal="right" vertical="center"/>
    </xf>
    <xf numFmtId="0" fontId="23" fillId="0" borderId="0" applyAlignment="1" pivotButton="0" quotePrefix="0" xfId="0">
      <alignment horizontal="left" vertical="center"/>
    </xf>
    <xf numFmtId="0" fontId="6" fillId="0" borderId="1" applyAlignment="1" pivotButton="0" quotePrefix="0" xfId="0">
      <alignment horizontal="right" vertical="center"/>
    </xf>
    <xf numFmtId="164" fontId="7" fillId="10" borderId="67" applyAlignment="1" pivotButton="0" quotePrefix="0" xfId="0">
      <alignment horizontal="right" vertical="center"/>
    </xf>
    <xf numFmtId="0" fontId="62" fillId="0" borderId="0" applyAlignment="1" pivotButton="0" quotePrefix="0" xfId="0">
      <alignment horizontal="general" vertical="bottom"/>
    </xf>
    <xf numFmtId="177" fontId="62" fillId="0" borderId="0" applyAlignment="1" pivotButton="0" quotePrefix="0" xfId="0">
      <alignment horizontal="right" vertical="center"/>
    </xf>
    <xf numFmtId="0" fontId="48" fillId="0" borderId="0" applyAlignment="1" pivotButton="0" quotePrefix="0" xfId="0">
      <alignment horizontal="general" vertical="bottom"/>
    </xf>
    <xf numFmtId="178" fontId="62" fillId="0" borderId="0" applyAlignment="1" pivotButton="0" quotePrefix="0" xfId="0">
      <alignment horizontal="right" vertical="center"/>
    </xf>
    <xf numFmtId="164" fontId="7" fillId="30" borderId="1" applyAlignment="1" pivotButton="0" quotePrefix="0" xfId="0">
      <alignment horizontal="right" vertical="center"/>
    </xf>
    <xf numFmtId="0" fontId="63" fillId="0" borderId="0" applyAlignment="1" pivotButton="0" quotePrefix="0" xfId="0">
      <alignment horizontal="general" vertical="bottom"/>
    </xf>
    <xf numFmtId="1" fontId="62" fillId="0" borderId="0" applyAlignment="1" pivotButton="0" quotePrefix="0" xfId="0">
      <alignment horizontal="general" vertical="bottom"/>
    </xf>
    <xf numFmtId="4" fontId="6" fillId="0" borderId="0" applyAlignment="1" pivotButton="0" quotePrefix="0" xfId="0">
      <alignment horizontal="left" vertical="center"/>
    </xf>
    <xf numFmtId="0" fontId="0" fillId="0" borderId="0" applyAlignment="1" pivotButton="0" quotePrefix="0" xfId="0">
      <alignment horizontal="right" vertical="center"/>
    </xf>
    <xf numFmtId="178" fontId="6" fillId="0" borderId="0" applyAlignment="1" pivotButton="0" quotePrefix="0" xfId="0">
      <alignment horizontal="left" vertical="center"/>
    </xf>
    <xf numFmtId="9" fontId="6" fillId="3" borderId="0" applyAlignment="1" applyProtection="1" pivotButton="0" quotePrefix="0" xfId="0">
      <alignment horizontal="right" vertical="center"/>
      <protection locked="0" hidden="0"/>
    </xf>
    <xf numFmtId="0" fontId="64" fillId="0" borderId="0" applyAlignment="1" pivotButton="0" quotePrefix="0" xfId="0">
      <alignment horizontal="general" vertical="center"/>
    </xf>
    <xf numFmtId="0" fontId="22" fillId="10" borderId="67" applyAlignment="1" pivotButton="0" quotePrefix="0" xfId="0">
      <alignment horizontal="left" vertical="center"/>
    </xf>
    <xf numFmtId="0" fontId="23" fillId="0" borderId="1" applyAlignment="1" pivotButton="0" quotePrefix="0" xfId="0">
      <alignment horizontal="left" vertical="center"/>
    </xf>
    <xf numFmtId="179" fontId="6" fillId="0" borderId="0" applyAlignment="1" pivotButton="0" quotePrefix="0" xfId="0">
      <alignment horizontal="right" vertical="center"/>
    </xf>
    <xf numFmtId="175" fontId="6" fillId="3" borderId="0" applyAlignment="1" applyProtection="1" pivotButton="0" quotePrefix="0" xfId="0">
      <alignment horizontal="right" vertical="center"/>
      <protection locked="0" hidden="0"/>
    </xf>
    <xf numFmtId="175" fontId="7" fillId="0" borderId="0" applyAlignment="1" pivotButton="0" quotePrefix="0" xfId="0">
      <alignment horizontal="right" vertical="center"/>
    </xf>
    <xf numFmtId="0" fontId="6" fillId="3" borderId="0" applyAlignment="1" applyProtection="1" pivotButton="0" quotePrefix="0" xfId="0">
      <alignment horizontal="left" vertical="center" wrapText="1"/>
      <protection locked="0" hidden="0"/>
    </xf>
    <xf numFmtId="0" fontId="6" fillId="0" borderId="0" applyAlignment="1" pivotButton="0" quotePrefix="0" xfId="0">
      <alignment horizontal="left" vertical="center" wrapText="1"/>
    </xf>
    <xf numFmtId="0" fontId="7" fillId="10" borderId="67" applyAlignment="1" pivotButton="0" quotePrefix="0" xfId="0">
      <alignment horizontal="right" vertical="center"/>
    </xf>
    <xf numFmtId="0" fontId="7" fillId="7" borderId="1" applyAlignment="1" pivotButton="0" quotePrefix="0" xfId="0">
      <alignment horizontal="right" vertical="center"/>
    </xf>
    <xf numFmtId="0" fontId="62" fillId="0" borderId="0" applyAlignment="1" pivotButton="0" quotePrefix="0" xfId="0">
      <alignment horizontal="left" vertical="center"/>
    </xf>
    <xf numFmtId="165" fontId="62" fillId="0" borderId="0" applyAlignment="1" pivotButton="0" quotePrefix="0" xfId="0">
      <alignment horizontal="right" vertical="center"/>
    </xf>
    <xf numFmtId="0" fontId="23" fillId="7" borderId="1" applyAlignment="1" pivotButton="0" quotePrefix="0" xfId="0">
      <alignment horizontal="left" vertical="center"/>
    </xf>
    <xf numFmtId="0" fontId="6" fillId="7" borderId="1" applyAlignment="1" pivotButton="0" quotePrefix="0" xfId="0">
      <alignment horizontal="left" vertical="center"/>
    </xf>
    <xf numFmtId="0" fontId="20" fillId="2" borderId="0" applyAlignment="1" pivotButton="0" quotePrefix="0" xfId="0">
      <alignment horizontal="left" vertical="center"/>
    </xf>
    <xf numFmtId="9" fontId="6" fillId="0" borderId="0" applyAlignment="1" pivotButton="0" quotePrefix="0" xfId="0">
      <alignment horizontal="right" vertical="center"/>
    </xf>
    <xf numFmtId="0" fontId="65" fillId="0" borderId="0" applyAlignment="1" pivotButton="0" quotePrefix="0" xfId="0">
      <alignment horizontal="general" vertical="bottom"/>
    </xf>
    <xf numFmtId="0" fontId="66" fillId="31" borderId="0" applyAlignment="1" pivotButton="0" quotePrefix="0" xfId="0">
      <alignment horizontal="center" vertical="center" wrapText="1"/>
    </xf>
    <xf numFmtId="165" fontId="0" fillId="0" borderId="0" applyAlignment="1" pivotButton="0" quotePrefix="0" xfId="0">
      <alignment horizontal="general" vertical="bottom"/>
    </xf>
    <xf numFmtId="9" fontId="0" fillId="3" borderId="0" applyAlignment="1" applyProtection="1" pivotButton="0" quotePrefix="0" xfId="0">
      <alignment horizontal="general" vertical="bottom"/>
      <protection locked="0" hidden="0"/>
    </xf>
    <xf numFmtId="0" fontId="0" fillId="32" borderId="0" applyAlignment="1" pivotButton="0" quotePrefix="0" xfId="0">
      <alignment horizontal="general" vertical="bottom"/>
    </xf>
    <xf numFmtId="165" fontId="0" fillId="32" borderId="0" applyAlignment="1" pivotButton="0" quotePrefix="0" xfId="0">
      <alignment horizontal="general" vertical="bottom"/>
    </xf>
    <xf numFmtId="0" fontId="67" fillId="32" borderId="0" applyAlignment="1" pivotButton="0" quotePrefix="0" xfId="0">
      <alignment horizontal="general" vertical="bottom"/>
    </xf>
    <xf numFmtId="165" fontId="67" fillId="32" borderId="0" applyAlignment="1" pivotButton="0" quotePrefix="0" xfId="0">
      <alignment horizontal="general" vertical="bottom"/>
    </xf>
    <xf numFmtId="0" fontId="67" fillId="0" borderId="0" applyAlignment="1" pivotButton="0" quotePrefix="0" xfId="0">
      <alignment horizontal="general" vertical="bottom"/>
    </xf>
    <xf numFmtId="165" fontId="67" fillId="0" borderId="0" applyAlignment="1" pivotButton="0" quotePrefix="0" xfId="0">
      <alignment horizontal="general" vertical="bottom"/>
    </xf>
    <xf numFmtId="1" fontId="0" fillId="0" borderId="0" applyAlignment="1" pivotButton="0" quotePrefix="0" xfId="0">
      <alignment horizontal="general" vertical="bottom"/>
    </xf>
    <xf numFmtId="1" fontId="67" fillId="0" borderId="0" applyAlignment="1" pivotButton="0" quotePrefix="0" xfId="0">
      <alignment horizontal="general" vertical="bottom"/>
    </xf>
    <xf numFmtId="0" fontId="68" fillId="0" borderId="0" applyAlignment="1" pivotButton="0" quotePrefix="0" xfId="0">
      <alignment horizontal="general" vertical="center"/>
    </xf>
    <xf numFmtId="177" fontId="6" fillId="0" borderId="1" applyAlignment="1" pivotButton="0" quotePrefix="0" xfId="0">
      <alignment horizontal="right" vertical="center"/>
    </xf>
    <xf numFmtId="178" fontId="6" fillId="0" borderId="1" applyAlignment="1" pivotButton="0" quotePrefix="0" xfId="0">
      <alignment horizontal="right" vertical="center"/>
    </xf>
    <xf numFmtId="177" fontId="7" fillId="10" borderId="67" applyAlignment="1" pivotButton="0" quotePrefix="0" xfId="0">
      <alignment horizontal="right" vertical="center"/>
    </xf>
    <xf numFmtId="0" fontId="23" fillId="0" borderId="0" applyAlignment="1" pivotButton="0" quotePrefix="0" xfId="0">
      <alignment horizontal="left" vertical="center" wrapText="1"/>
    </xf>
    <xf numFmtId="0" fontId="25" fillId="0" borderId="0" applyAlignment="1" pivotButton="0" quotePrefix="0" xfId="0">
      <alignment horizontal="general" vertical="bottom"/>
    </xf>
    <xf numFmtId="9" fontId="0" fillId="0" borderId="0" applyAlignment="1" pivotButton="0" quotePrefix="0" xfId="0">
      <alignment horizontal="general" vertical="bottom"/>
    </xf>
    <xf numFmtId="0" fontId="6" fillId="3" borderId="1" applyAlignment="1" applyProtection="1" pivotButton="0" quotePrefix="0" xfId="0">
      <alignment horizontal="left" vertical="center"/>
      <protection locked="0" hidden="0"/>
    </xf>
    <xf numFmtId="180" fontId="6" fillId="3" borderId="1" applyAlignment="1" applyProtection="1" pivotButton="0" quotePrefix="0" xfId="0">
      <alignment horizontal="left" vertical="center"/>
      <protection locked="0" hidden="0"/>
    </xf>
    <xf numFmtId="9" fontId="25" fillId="0" borderId="0" applyAlignment="1" pivotButton="0" quotePrefix="0" xfId="0">
      <alignment horizontal="general" vertical="bottom"/>
    </xf>
    <xf numFmtId="175" fontId="25" fillId="0" borderId="0" applyAlignment="1" pivotButton="0" quotePrefix="0" xfId="0">
      <alignment horizontal="general" vertical="bottom"/>
    </xf>
    <xf numFmtId="0" fontId="6" fillId="3" borderId="1"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applyProtection="1" pivotButton="0" quotePrefix="0" xfId="0">
      <alignment horizontal="center" vertical="center" wrapText="1"/>
      <protection locked="0" hidden="0"/>
    </xf>
    <xf numFmtId="0" fontId="0" fillId="4" borderId="0" applyAlignment="1" pivotButton="0" quotePrefix="0" xfId="0">
      <alignment horizontal="general" vertical="bottom"/>
    </xf>
    <xf numFmtId="0" fontId="8" fillId="4" borderId="0" applyAlignment="1" pivotButton="0" quotePrefix="0" xfId="0">
      <alignment horizontal="general" vertical="center"/>
    </xf>
    <xf numFmtId="0" fontId="9" fillId="0" borderId="0" applyAlignment="1" pivotButton="0" quotePrefix="0" xfId="0">
      <alignment horizontal="general" vertical="bottom"/>
    </xf>
    <xf numFmtId="0" fontId="10" fillId="5" borderId="2" applyAlignment="1" pivotButton="0" quotePrefix="0" xfId="0">
      <alignment horizontal="center" vertical="center" wrapText="1" readingOrder="1"/>
    </xf>
    <xf numFmtId="0" fontId="10" fillId="5" borderId="3" applyAlignment="1" pivotButton="0" quotePrefix="0" xfId="0">
      <alignment horizontal="center" vertical="center" wrapText="1" readingOrder="1"/>
    </xf>
    <xf numFmtId="0" fontId="11" fillId="6" borderId="3" applyAlignment="1" pivotButton="0" quotePrefix="0" xfId="0">
      <alignment horizontal="center" vertical="center" wrapText="1" readingOrder="1"/>
    </xf>
    <xf numFmtId="0" fontId="0" fillId="0" borderId="76" pivotButton="0" quotePrefix="0" xfId="0"/>
    <xf numFmtId="0" fontId="0" fillId="0" borderId="77" pivotButton="0" quotePrefix="0" xfId="0"/>
    <xf numFmtId="0" fontId="10" fillId="5" borderId="4" applyAlignment="1" pivotButton="0" quotePrefix="0" xfId="0">
      <alignment horizontal="center" vertical="center" wrapText="1" readingOrder="1"/>
    </xf>
    <xf numFmtId="0" fontId="12" fillId="7" borderId="5" applyAlignment="1" pivotButton="0" quotePrefix="0" xfId="0">
      <alignment horizontal="general" vertical="center" wrapText="1"/>
    </xf>
    <xf numFmtId="0" fontId="11" fillId="6" borderId="6" applyAlignment="1" pivotButton="0" quotePrefix="0" xfId="0">
      <alignment horizontal="center" vertical="center" wrapText="1" readingOrder="1"/>
    </xf>
    <xf numFmtId="0" fontId="10" fillId="5" borderId="7" applyAlignment="1" pivotButton="0" quotePrefix="0" xfId="0">
      <alignment horizontal="center" vertical="center" wrapText="1" readingOrder="1"/>
    </xf>
    <xf numFmtId="0" fontId="0" fillId="0" borderId="24" pivotButton="0" quotePrefix="0" xfId="0"/>
    <xf numFmtId="0" fontId="11" fillId="8" borderId="8" applyAlignment="1" pivotButton="0" quotePrefix="0" xfId="0">
      <alignment horizontal="center" vertical="center" wrapText="1" readingOrder="1"/>
    </xf>
    <xf numFmtId="0" fontId="10" fillId="5" borderId="9" applyAlignment="1" pivotButton="0" quotePrefix="0" xfId="0">
      <alignment horizontal="center" vertical="center" wrapText="1" readingOrder="1"/>
    </xf>
    <xf numFmtId="0" fontId="12" fillId="7" borderId="5" applyAlignment="1" pivotButton="0" quotePrefix="0" xfId="0">
      <alignment horizontal="center" vertical="center" wrapText="1"/>
    </xf>
    <xf numFmtId="0" fontId="0" fillId="0" borderId="7" pivotButton="0" quotePrefix="0" xfId="0"/>
    <xf numFmtId="0" fontId="10" fillId="9" borderId="10" applyAlignment="1" pivotButton="0" quotePrefix="0" xfId="0">
      <alignment horizontal="left" vertical="center" wrapText="1" readingOrder="1"/>
    </xf>
    <xf numFmtId="0" fontId="13" fillId="7" borderId="8" applyAlignment="1" pivotButton="0" quotePrefix="0" xfId="0">
      <alignment horizontal="left" vertical="center" wrapText="1" readingOrder="1"/>
    </xf>
    <xf numFmtId="0" fontId="12" fillId="7" borderId="8" applyAlignment="1" pivotButton="0" quotePrefix="0" xfId="0">
      <alignment horizontal="general" vertical="center" wrapText="1"/>
    </xf>
    <xf numFmtId="0" fontId="13" fillId="7" borderId="8" applyAlignment="1" pivotButton="0" quotePrefix="0" xfId="0">
      <alignment horizontal="center" vertical="center" wrapText="1" readingOrder="1"/>
    </xf>
    <xf numFmtId="0" fontId="11" fillId="10" borderId="8" applyAlignment="1" pivotButton="0" quotePrefix="0" xfId="0">
      <alignment horizontal="center" vertical="center" wrapText="1" readingOrder="1"/>
    </xf>
    <xf numFmtId="0" fontId="11" fillId="8" borderId="11" applyAlignment="1" pivotButton="0" quotePrefix="0" xfId="0">
      <alignment horizontal="center" vertical="center" wrapText="1" readingOrder="1"/>
    </xf>
    <xf numFmtId="0" fontId="12" fillId="7" borderId="10" applyAlignment="1" pivotButton="0" quotePrefix="0" xfId="0">
      <alignment horizontal="center" vertical="center" wrapText="1"/>
    </xf>
    <xf numFmtId="0" fontId="12" fillId="7" borderId="8" applyAlignment="1" pivotButton="0" quotePrefix="0" xfId="0">
      <alignment horizontal="center" vertical="center" wrapText="1"/>
    </xf>
    <xf numFmtId="0" fontId="11" fillId="11" borderId="8" applyAlignment="1" pivotButton="0" quotePrefix="0" xfId="0">
      <alignment horizontal="center" vertical="center" wrapText="1" readingOrder="1"/>
    </xf>
    <xf numFmtId="0" fontId="11" fillId="7" borderId="10" applyAlignment="1" pivotButton="0" quotePrefix="0" xfId="0">
      <alignment horizontal="center" vertical="center" wrapText="1" readingOrder="1"/>
    </xf>
    <xf numFmtId="0" fontId="12" fillId="10" borderId="8" applyAlignment="1" pivotButton="0" quotePrefix="0" xfId="0">
      <alignment horizontal="center" vertical="center" wrapText="1"/>
    </xf>
    <xf numFmtId="0" fontId="11" fillId="6" borderId="8" applyAlignment="1" pivotButton="0" quotePrefix="0" xfId="0">
      <alignment horizontal="center" vertical="center" wrapText="1" readingOrder="1"/>
    </xf>
    <xf numFmtId="0" fontId="13" fillId="7" borderId="12" applyAlignment="1" pivotButton="0" quotePrefix="0" xfId="0">
      <alignment horizontal="left" vertical="center" wrapText="1" readingOrder="1"/>
    </xf>
    <xf numFmtId="0" fontId="12" fillId="7" borderId="12" applyAlignment="1" pivotButton="0" quotePrefix="0" xfId="0">
      <alignment horizontal="general" vertical="center" wrapText="1"/>
    </xf>
    <xf numFmtId="0" fontId="12" fillId="7" borderId="12" applyAlignment="1" pivotButton="0" quotePrefix="0" xfId="0">
      <alignment horizontal="center" vertical="center" wrapText="1"/>
    </xf>
    <xf numFmtId="0" fontId="13" fillId="7" borderId="12" applyAlignment="1" pivotButton="0" quotePrefix="0" xfId="0">
      <alignment horizontal="center" vertical="center" wrapText="1" readingOrder="1"/>
    </xf>
    <xf numFmtId="0" fontId="11" fillId="10" borderId="12" applyAlignment="1" pivotButton="0" quotePrefix="0" xfId="0">
      <alignment horizontal="center" vertical="center" wrapText="1" readingOrder="1"/>
    </xf>
    <xf numFmtId="0" fontId="12" fillId="10" borderId="12" applyAlignment="1" pivotButton="0" quotePrefix="0" xfId="0">
      <alignment horizontal="center" vertical="center" wrapText="1"/>
    </xf>
    <xf numFmtId="0" fontId="11" fillId="8" borderId="13" applyAlignment="1" pivotButton="0" quotePrefix="0" xfId="0">
      <alignment horizontal="center" vertical="center" wrapText="1" readingOrder="1"/>
    </xf>
    <xf numFmtId="0" fontId="12" fillId="7" borderId="14" applyAlignment="1" pivotButton="0" quotePrefix="0" xfId="0">
      <alignment horizontal="center" vertical="center" wrapText="1"/>
    </xf>
    <xf numFmtId="0" fontId="11" fillId="7" borderId="15" applyAlignment="1" pivotButton="0" quotePrefix="0" xfId="0">
      <alignment horizontal="center" vertical="center" wrapText="1" readingOrder="1"/>
    </xf>
    <xf numFmtId="0" fontId="11" fillId="6" borderId="12" applyAlignment="1" pivotButton="0" quotePrefix="0" xfId="0">
      <alignment horizontal="center" vertical="center" wrapText="1" readingOrder="1"/>
    </xf>
    <xf numFmtId="0" fontId="10" fillId="9" borderId="15" applyAlignment="1" pivotButton="0" quotePrefix="0" xfId="0">
      <alignment horizontal="left" vertical="center" wrapText="1" readingOrder="1"/>
    </xf>
    <xf numFmtId="0" fontId="12" fillId="7" borderId="16" applyAlignment="1" pivotButton="0" quotePrefix="0" xfId="0">
      <alignment horizontal="general" vertical="center" wrapText="1"/>
    </xf>
    <xf numFmtId="0" fontId="13" fillId="7" borderId="16" applyAlignment="1" pivotButton="0" quotePrefix="0" xfId="0">
      <alignment horizontal="center" vertical="center" wrapText="1" readingOrder="1"/>
    </xf>
    <xf numFmtId="0" fontId="11" fillId="10" borderId="16" applyAlignment="1" pivotButton="0" quotePrefix="0" xfId="0">
      <alignment horizontal="center" vertical="center" wrapText="1" readingOrder="1"/>
    </xf>
    <xf numFmtId="0" fontId="11" fillId="8" borderId="17" applyAlignment="1" pivotButton="0" quotePrefix="0" xfId="0">
      <alignment horizontal="center" vertical="center" wrapText="1" readingOrder="1"/>
    </xf>
    <xf numFmtId="0" fontId="12" fillId="7" borderId="18" applyAlignment="1" pivotButton="0" quotePrefix="0" xfId="0">
      <alignment horizontal="center" vertical="center" wrapText="1"/>
    </xf>
    <xf numFmtId="0" fontId="11" fillId="7" borderId="19" applyAlignment="1" pivotButton="0" quotePrefix="0" xfId="0">
      <alignment horizontal="center" vertical="center" wrapText="1" readingOrder="1"/>
    </xf>
    <xf numFmtId="0" fontId="11" fillId="7" borderId="16" applyAlignment="1" pivotButton="0" quotePrefix="0" xfId="0">
      <alignment horizontal="center" vertical="center" wrapText="1" readingOrder="1"/>
    </xf>
    <xf numFmtId="0" fontId="14" fillId="5" borderId="20" applyAlignment="1" pivotButton="0" quotePrefix="0" xfId="0">
      <alignment horizontal="center" vertical="center" wrapText="1" readingOrder="1"/>
    </xf>
    <xf numFmtId="0" fontId="0" fillId="0" borderId="74" pivotButton="0" quotePrefix="0" xfId="0"/>
    <xf numFmtId="0" fontId="0" fillId="0" borderId="80" pivotButton="0" quotePrefix="0" xfId="0"/>
    <xf numFmtId="0" fontId="15" fillId="6" borderId="20" applyAlignment="1" pivotButton="0" quotePrefix="0" xfId="0">
      <alignment horizontal="center" vertical="center" wrapText="1" readingOrder="1"/>
    </xf>
    <xf numFmtId="0" fontId="0" fillId="0" borderId="86" pivotButton="0" quotePrefix="0" xfId="0"/>
    <xf numFmtId="0" fontId="0" fillId="0" borderId="87" pivotButton="0" quotePrefix="0" xfId="0"/>
    <xf numFmtId="0" fontId="14" fillId="5" borderId="21" applyAlignment="1" pivotButton="0" quotePrefix="0" xfId="0">
      <alignment horizontal="center" vertical="center" wrapText="1" readingOrder="1"/>
    </xf>
    <xf numFmtId="0" fontId="16" fillId="12" borderId="5" applyAlignment="1" pivotButton="0" quotePrefix="0" xfId="0">
      <alignment horizontal="general" vertical="center" wrapText="1"/>
    </xf>
    <xf numFmtId="0" fontId="15" fillId="6" borderId="6" applyAlignment="1" pivotButton="0" quotePrefix="0" xfId="0">
      <alignment horizontal="center" vertical="center" wrapText="1" readingOrder="1"/>
    </xf>
    <xf numFmtId="0" fontId="15" fillId="6" borderId="3" applyAlignment="1" pivotButton="0" quotePrefix="0" xfId="0">
      <alignment horizontal="center" vertical="center" wrapText="1" readingOrder="1"/>
    </xf>
    <xf numFmtId="0" fontId="15" fillId="6" borderId="22" applyAlignment="1" pivotButton="0" quotePrefix="0" xfId="0">
      <alignment horizontal="center" vertical="center" wrapText="1" readingOrder="1"/>
    </xf>
    <xf numFmtId="0" fontId="14" fillId="5" borderId="4" applyAlignment="1" pivotButton="0" quotePrefix="0" xfId="0">
      <alignment horizontal="center" vertical="center" wrapText="1" readingOrder="1"/>
    </xf>
    <xf numFmtId="0" fontId="0" fillId="0" borderId="82" pivotButton="0" quotePrefix="0" xfId="0"/>
    <xf numFmtId="0" fontId="0" fillId="0" borderId="83" pivotButton="0" quotePrefix="0" xfId="0"/>
    <xf numFmtId="0" fontId="0" fillId="0" borderId="84" pivotButton="0" quotePrefix="0" xfId="0"/>
    <xf numFmtId="0" fontId="0" fillId="0" borderId="23" pivotButton="0" quotePrefix="0" xfId="0"/>
    <xf numFmtId="0" fontId="15" fillId="8" borderId="20" applyAlignment="1" pivotButton="0" quotePrefix="0" xfId="0">
      <alignment horizontal="center" vertical="center" wrapText="1" readingOrder="1"/>
    </xf>
    <xf numFmtId="0" fontId="14" fillId="5" borderId="23" applyAlignment="1" pivotButton="0" quotePrefix="0" xfId="0">
      <alignment horizontal="center" vertical="center" wrapText="1" readingOrder="1"/>
    </xf>
    <xf numFmtId="0" fontId="16" fillId="12" borderId="5" applyAlignment="1" pivotButton="0" quotePrefix="0" xfId="0">
      <alignment horizontal="center" vertical="center" wrapText="1"/>
    </xf>
    <xf numFmtId="0" fontId="15" fillId="6" borderId="24" applyAlignment="1" pivotButton="0" quotePrefix="0" xfId="0">
      <alignment horizontal="center" vertical="center" wrapText="1" readingOrder="1"/>
    </xf>
    <xf numFmtId="0" fontId="14" fillId="5" borderId="9" applyAlignment="1" pivotButton="0" quotePrefix="0" xfId="0">
      <alignment horizontal="center" vertical="center" wrapText="1" readingOrder="1"/>
    </xf>
    <xf numFmtId="0" fontId="16" fillId="13" borderId="20" applyAlignment="1" pivotButton="0" quotePrefix="0" xfId="0">
      <alignment horizontal="center" vertical="center" wrapText="1"/>
    </xf>
    <xf numFmtId="0" fontId="17" fillId="6" borderId="6" applyAlignment="1" pivotButton="0" quotePrefix="0" xfId="0">
      <alignment horizontal="left" vertical="center" wrapText="1" readingOrder="1"/>
    </xf>
    <xf numFmtId="0" fontId="16" fillId="6" borderId="3" applyAlignment="1" pivotButton="0" quotePrefix="0" xfId="0">
      <alignment horizontal="general" vertical="center" wrapText="1"/>
    </xf>
    <xf numFmtId="0" fontId="15" fillId="13" borderId="3" applyAlignment="1" pivotButton="0" quotePrefix="0" xfId="0">
      <alignment horizontal="center" vertical="center" wrapText="1" readingOrder="1"/>
    </xf>
    <xf numFmtId="0" fontId="16" fillId="13" borderId="3" applyAlignment="1" pivotButton="0" quotePrefix="0" xfId="0">
      <alignment horizontal="center" vertical="center" wrapText="1"/>
    </xf>
    <xf numFmtId="0" fontId="16" fillId="13" borderId="25" applyAlignment="1" pivotButton="0" quotePrefix="0" xfId="0">
      <alignment horizontal="center" vertical="center" wrapText="1"/>
    </xf>
    <xf numFmtId="0" fontId="15" fillId="6" borderId="18" applyAlignment="1" pivotButton="0" quotePrefix="0" xfId="0">
      <alignment horizontal="center" vertical="center" wrapText="1" readingOrder="1"/>
    </xf>
    <xf numFmtId="0" fontId="16" fillId="13" borderId="10" applyAlignment="1" pivotButton="0" quotePrefix="0" xfId="0">
      <alignment horizontal="center" vertical="center" wrapText="1"/>
    </xf>
    <xf numFmtId="0" fontId="16" fillId="13" borderId="8" applyAlignment="1" pivotButton="0" quotePrefix="0" xfId="0">
      <alignment horizontal="center" vertical="center" wrapText="1"/>
    </xf>
    <xf numFmtId="0" fontId="15" fillId="8" borderId="11" applyAlignment="1" pivotButton="0" quotePrefix="0" xfId="0">
      <alignment horizontal="center" vertical="center" wrapText="1" readingOrder="1"/>
    </xf>
    <xf numFmtId="0" fontId="0" fillId="0" borderId="78" pivotButton="0" quotePrefix="0" xfId="0"/>
    <xf numFmtId="0" fontId="0" fillId="0" borderId="81" pivotButton="0" quotePrefix="0" xfId="0"/>
    <xf numFmtId="0" fontId="17" fillId="6" borderId="10" applyAlignment="1" pivotButton="0" quotePrefix="0" xfId="0">
      <alignment horizontal="left" vertical="center" wrapText="1" readingOrder="1"/>
    </xf>
    <xf numFmtId="0" fontId="16" fillId="6" borderId="8" applyAlignment="1" pivotButton="0" quotePrefix="0" xfId="0">
      <alignment horizontal="general" vertical="center" wrapText="1"/>
    </xf>
    <xf numFmtId="0" fontId="15" fillId="13" borderId="8" applyAlignment="1" pivotButton="0" quotePrefix="0" xfId="0">
      <alignment horizontal="center" vertical="center" wrapText="1" readingOrder="1"/>
    </xf>
    <xf numFmtId="0" fontId="16" fillId="13" borderId="11" applyAlignment="1" pivotButton="0" quotePrefix="0" xfId="0">
      <alignment horizontal="center" vertical="center" wrapText="1"/>
    </xf>
    <xf numFmtId="0" fontId="15" fillId="6" borderId="5" applyAlignment="1" pivotButton="0" quotePrefix="0" xfId="0">
      <alignment horizontal="center" vertical="center" wrapText="1" readingOrder="1"/>
    </xf>
    <xf numFmtId="0" fontId="17" fillId="11" borderId="10" applyAlignment="1" pivotButton="0" quotePrefix="0" xfId="0">
      <alignment horizontal="left" vertical="center" wrapText="1" readingOrder="1"/>
    </xf>
    <xf numFmtId="0" fontId="16" fillId="11" borderId="8" applyAlignment="1" pivotButton="0" quotePrefix="0" xfId="0">
      <alignment horizontal="general" vertical="center" wrapText="1"/>
    </xf>
    <xf numFmtId="0" fontId="17" fillId="11" borderId="8" applyAlignment="1" pivotButton="0" quotePrefix="0" xfId="0">
      <alignment horizontal="left" vertical="center" wrapText="1" readingOrder="1"/>
    </xf>
    <xf numFmtId="0" fontId="15" fillId="11" borderId="5" applyAlignment="1" pivotButton="0" quotePrefix="0" xfId="0">
      <alignment horizontal="center" vertical="center" wrapText="1" readingOrder="1"/>
    </xf>
    <xf numFmtId="0" fontId="15" fillId="11" borderId="8" applyAlignment="1" pivotButton="0" quotePrefix="0" xfId="0">
      <alignment horizontal="center" vertical="center" wrapText="1" readingOrder="1"/>
    </xf>
    <xf numFmtId="0" fontId="15" fillId="13" borderId="11" applyAlignment="1" pivotButton="0" quotePrefix="0" xfId="0">
      <alignment horizontal="center" vertical="center" wrapText="1" readingOrder="1"/>
    </xf>
    <xf numFmtId="0" fontId="17" fillId="11" borderId="15" applyAlignment="1" pivotButton="0" quotePrefix="0" xfId="0">
      <alignment horizontal="left" vertical="center" wrapText="1" readingOrder="1"/>
    </xf>
    <xf numFmtId="0" fontId="16" fillId="11" borderId="12" applyAlignment="1" pivotButton="0" quotePrefix="0" xfId="0">
      <alignment horizontal="general" vertical="center" wrapText="1"/>
    </xf>
    <xf numFmtId="0" fontId="17" fillId="11" borderId="12" applyAlignment="1" pivotButton="0" quotePrefix="0" xfId="0">
      <alignment horizontal="left" vertical="center" wrapText="1" readingOrder="1"/>
    </xf>
    <xf numFmtId="0" fontId="15" fillId="13" borderId="12" applyAlignment="1" pivotButton="0" quotePrefix="0" xfId="0">
      <alignment horizontal="center" vertical="center" wrapText="1" readingOrder="1"/>
    </xf>
    <xf numFmtId="0" fontId="16" fillId="13" borderId="12" applyAlignment="1" pivotButton="0" quotePrefix="0" xfId="0">
      <alignment horizontal="center" vertical="center" wrapText="1"/>
    </xf>
    <xf numFmtId="0" fontId="16" fillId="13" borderId="13" applyAlignment="1" pivotButton="0" quotePrefix="0" xfId="0">
      <alignment horizontal="center" vertical="center" wrapText="1"/>
    </xf>
    <xf numFmtId="0" fontId="15" fillId="11" borderId="14" applyAlignment="1" pivotButton="0" quotePrefix="0" xfId="0">
      <alignment horizontal="center" vertical="center" wrapText="1" readingOrder="1"/>
    </xf>
    <xf numFmtId="0" fontId="16" fillId="12" borderId="14" applyAlignment="1" pivotButton="0" quotePrefix="0" xfId="0">
      <alignment horizontal="center" vertical="center" wrapText="1"/>
    </xf>
    <xf numFmtId="0" fontId="16" fillId="13" borderId="15" applyAlignment="1" pivotButton="0" quotePrefix="0" xfId="0">
      <alignment horizontal="center" vertical="center" wrapText="1"/>
    </xf>
    <xf numFmtId="0" fontId="15" fillId="11" borderId="12" applyAlignment="1" pivotButton="0" quotePrefix="0" xfId="0">
      <alignment horizontal="center" vertical="center" wrapText="1" readingOrder="1"/>
    </xf>
    <xf numFmtId="0" fontId="15" fillId="8" borderId="13" applyAlignment="1" pivotButton="0" quotePrefix="0" xfId="0">
      <alignment horizontal="center" vertical="center" wrapText="1" readingOrder="1"/>
    </xf>
    <xf numFmtId="0" fontId="14" fillId="9" borderId="19" applyAlignment="1" pivotButton="0" quotePrefix="0" xfId="0">
      <alignment horizontal="left" vertical="center" wrapText="1" readingOrder="1"/>
    </xf>
    <xf numFmtId="0" fontId="0" fillId="0" borderId="88" pivotButton="0" quotePrefix="0" xfId="0"/>
    <xf numFmtId="0" fontId="14" fillId="9" borderId="16" applyAlignment="1" pivotButton="0" quotePrefix="0" xfId="0">
      <alignment horizontal="left" vertical="center" wrapText="1" readingOrder="1"/>
    </xf>
    <xf numFmtId="0" fontId="16" fillId="9" borderId="16" applyAlignment="1" pivotButton="0" quotePrefix="0" xfId="0">
      <alignment horizontal="general" vertical="center" wrapText="1"/>
    </xf>
    <xf numFmtId="0" fontId="15" fillId="8" borderId="16" applyAlignment="1" pivotButton="0" quotePrefix="0" xfId="0">
      <alignment horizontal="center" vertical="center" wrapText="1" readingOrder="1"/>
    </xf>
    <xf numFmtId="0" fontId="15" fillId="8" borderId="17"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6" fillId="8" borderId="19" applyAlignment="1" pivotButton="0" quotePrefix="0" xfId="0">
      <alignment horizontal="center" vertical="center" wrapText="1"/>
    </xf>
    <xf numFmtId="0" fontId="16" fillId="8" borderId="16" applyAlignment="1" pivotButton="0" quotePrefix="0" xfId="0">
      <alignment horizontal="center" vertical="center" wrapText="1"/>
    </xf>
    <xf numFmtId="0" fontId="16" fillId="13" borderId="18" applyAlignment="1" pivotButton="0" quotePrefix="0" xfId="0">
      <alignment horizontal="general" vertical="center" wrapText="1"/>
    </xf>
    <xf numFmtId="0" fontId="17" fillId="13" borderId="6" applyAlignment="1" pivotButton="0" quotePrefix="0" xfId="0">
      <alignment horizontal="left" vertical="center" wrapText="1" readingOrder="1"/>
    </xf>
    <xf numFmtId="0" fontId="16" fillId="13" borderId="3" applyAlignment="1" pivotButton="0" quotePrefix="0" xfId="0">
      <alignment horizontal="general" vertical="center" wrapText="1"/>
    </xf>
    <xf numFmtId="0" fontId="15" fillId="13" borderId="25" applyAlignment="1" pivotButton="0" quotePrefix="0" xfId="0">
      <alignment horizontal="center" vertical="center" wrapText="1" readingOrder="1"/>
    </xf>
    <xf numFmtId="0" fontId="15" fillId="8" borderId="18" applyAlignment="1" pivotButton="0" quotePrefix="0" xfId="0">
      <alignment horizontal="center" vertical="center" wrapText="1" readingOrder="1"/>
    </xf>
    <xf numFmtId="0" fontId="16" fillId="12" borderId="18" applyAlignment="1" pivotButton="0" quotePrefix="0" xfId="0">
      <alignment horizontal="center" vertical="center" wrapText="1"/>
    </xf>
    <xf numFmtId="0" fontId="16" fillId="13" borderId="6" applyAlignment="1" pivotButton="0" quotePrefix="0" xfId="0">
      <alignment horizontal="center" vertical="center" wrapText="1"/>
    </xf>
    <xf numFmtId="0" fontId="15" fillId="8" borderId="25" applyAlignment="1" pivotButton="0" quotePrefix="0" xfId="0">
      <alignment horizontal="center" vertical="center" wrapText="1" readingOrder="1"/>
    </xf>
    <xf numFmtId="0" fontId="16" fillId="13" borderId="14" applyAlignment="1" pivotButton="0" quotePrefix="0" xfId="0">
      <alignment horizontal="general" vertical="center" wrapText="1"/>
    </xf>
    <xf numFmtId="0" fontId="17" fillId="13" borderId="15" applyAlignment="1" pivotButton="0" quotePrefix="0" xfId="0">
      <alignment horizontal="left" vertical="center" wrapText="1" readingOrder="1"/>
    </xf>
    <xf numFmtId="0" fontId="0" fillId="0" borderId="90" pivotButton="0" quotePrefix="0" xfId="0"/>
    <xf numFmtId="0" fontId="16" fillId="13" borderId="12" applyAlignment="1" pivotButton="0" quotePrefix="0" xfId="0">
      <alignment horizontal="general" vertical="center" wrapText="1"/>
    </xf>
    <xf numFmtId="0" fontId="15" fillId="8" borderId="14" applyAlignment="1" pivotButton="0" quotePrefix="0" xfId="0">
      <alignment horizontal="center" vertical="center" wrapText="1" readingOrder="1"/>
    </xf>
    <xf numFmtId="0" fontId="15" fillId="8"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left" vertical="center"/>
    </xf>
    <xf numFmtId="0" fontId="21" fillId="2" borderId="1" applyAlignment="1" pivotButton="0" quotePrefix="0" xfId="0">
      <alignment horizontal="left" vertical="center"/>
    </xf>
    <xf numFmtId="0" fontId="0" fillId="0" borderId="68" pivotButton="0" quotePrefix="0" xfId="0"/>
    <xf numFmtId="0" fontId="0" fillId="0" borderId="69" pivotButton="0" quotePrefix="0" xfId="0"/>
    <xf numFmtId="0" fontId="20" fillId="14" borderId="1" applyAlignment="1" pivotButton="0" quotePrefix="0" xfId="0">
      <alignment horizontal="center" vertical="center" wrapText="1"/>
    </xf>
    <xf numFmtId="0" fontId="20" fillId="14" borderId="0" applyAlignment="1" pivotButton="0" quotePrefix="0" xfId="0">
      <alignment horizontal="center" vertical="center" wrapText="1"/>
    </xf>
    <xf numFmtId="0" fontId="20" fillId="14" borderId="27" applyAlignment="1" pivotButton="0" quotePrefix="0" xfId="0">
      <alignment horizontal="center" vertical="center" wrapText="1"/>
    </xf>
    <xf numFmtId="0" fontId="21" fillId="14" borderId="1" applyAlignment="1" pivotButton="0" quotePrefix="0" xfId="0">
      <alignment horizontal="center" vertical="center" wrapText="1"/>
    </xf>
    <xf numFmtId="0" fontId="21" fillId="14" borderId="1" applyAlignment="1" pivotButton="0" quotePrefix="0" xfId="0">
      <alignment horizontal="left" vertical="center" wrapText="1"/>
    </xf>
    <xf numFmtId="0" fontId="22" fillId="0" borderId="1" applyAlignment="1" pivotButton="0" quotePrefix="0" xfId="0">
      <alignment horizontal="general" vertical="center"/>
    </xf>
    <xf numFmtId="166" fontId="6" fillId="3" borderId="1" applyAlignment="1" applyProtection="1" pivotButton="0" quotePrefix="0" xfId="0">
      <alignment horizontal="general" vertical="center"/>
      <protection locked="0" hidden="0"/>
    </xf>
    <xf numFmtId="166" fontId="23" fillId="0" borderId="1" applyAlignment="1" pivotButton="0" quotePrefix="0" xfId="0">
      <alignment horizontal="general" vertical="center"/>
    </xf>
    <xf numFmtId="166" fontId="23" fillId="0" borderId="28" applyAlignment="1" pivotButton="0" quotePrefix="0" xfId="0">
      <alignment horizontal="general" vertical="center"/>
    </xf>
    <xf numFmtId="0" fontId="24" fillId="7" borderId="1" applyAlignment="1" pivotButton="0" quotePrefix="0" xfId="0">
      <alignment horizontal="general" vertical="center" wrapText="1"/>
    </xf>
    <xf numFmtId="0" fontId="24" fillId="7" borderId="1" applyAlignment="1" pivotButton="0" quotePrefix="0" xfId="0">
      <alignment horizontal="left" vertical="center" wrapText="1"/>
    </xf>
    <xf numFmtId="0" fontId="24" fillId="0" borderId="1" applyAlignment="1" pivotButton="0" quotePrefix="0" xfId="0">
      <alignment horizontal="general" vertical="center"/>
    </xf>
    <xf numFmtId="9" fontId="6" fillId="3" borderId="1" applyAlignment="1" applyProtection="1" pivotButton="0" quotePrefix="0" xfId="0">
      <alignment horizontal="general" vertical="center"/>
      <protection locked="0" hidden="0"/>
    </xf>
    <xf numFmtId="166" fontId="24" fillId="0" borderId="1" applyAlignment="1" pivotButton="0" quotePrefix="0" xfId="0">
      <alignment horizontal="general" vertical="center"/>
    </xf>
    <xf numFmtId="0" fontId="24" fillId="7" borderId="1" applyAlignment="1" pivotButton="0" quotePrefix="0" xfId="0">
      <alignment horizontal="center" vertical="center" wrapText="1"/>
    </xf>
    <xf numFmtId="0" fontId="0" fillId="0" borderId="93" pivotButton="0" quotePrefix="0" xfId="0"/>
    <xf numFmtId="0" fontId="25" fillId="7" borderId="1" applyAlignment="1" pivotButton="0" quotePrefix="0" xfId="0">
      <alignment horizontal="general" vertical="center" wrapText="1"/>
    </xf>
    <xf numFmtId="0" fontId="7" fillId="7" borderId="0" applyAlignment="1" pivotButton="0" quotePrefix="0" xfId="0">
      <alignment horizontal="general" vertical="center"/>
    </xf>
    <xf numFmtId="166" fontId="7" fillId="7" borderId="1" applyAlignment="1" pivotButton="0" quotePrefix="0" xfId="0">
      <alignment horizontal="right" vertical="center"/>
    </xf>
    <xf numFmtId="166" fontId="6" fillId="0" borderId="28" applyAlignment="1" pivotButton="0" quotePrefix="0" xfId="0">
      <alignment horizontal="general" vertical="center"/>
    </xf>
    <xf numFmtId="0" fontId="22" fillId="0" borderId="1" applyAlignment="1" pivotButton="0" quotePrefix="0" xfId="0">
      <alignment horizontal="left" vertical="center"/>
    </xf>
    <xf numFmtId="167" fontId="24" fillId="0" borderId="1" applyAlignment="1" pivotButton="0" quotePrefix="0" xfId="0">
      <alignment horizontal="general" vertical="center"/>
    </xf>
    <xf numFmtId="167" fontId="7" fillId="7" borderId="1" applyAlignment="1" pivotButton="0" quotePrefix="0" xfId="0">
      <alignment horizontal="right" vertical="center"/>
    </xf>
    <xf numFmtId="0" fontId="5" fillId="14" borderId="0" applyAlignment="1" pivotButton="0" quotePrefix="0" xfId="0">
      <alignment horizontal="center" vertical="center" wrapText="1"/>
    </xf>
    <xf numFmtId="0" fontId="26" fillId="7" borderId="1" applyAlignment="1" pivotButton="0" quotePrefix="0" xfId="0">
      <alignment horizontal="general" vertical="center"/>
    </xf>
    <xf numFmtId="165" fontId="27" fillId="7" borderId="1" applyAlignment="1" pivotButton="0" quotePrefix="0" xfId="0">
      <alignment horizontal="right" vertical="center"/>
    </xf>
    <xf numFmtId="165" fontId="23" fillId="0" borderId="1" applyAlignment="1" pivotButton="0" quotePrefix="0" xfId="0">
      <alignment horizontal="right" vertical="center"/>
    </xf>
    <xf numFmtId="0" fontId="22" fillId="7" borderId="1" applyAlignment="1" pivotButton="0" quotePrefix="0" xfId="0">
      <alignment horizontal="general" vertical="center"/>
    </xf>
    <xf numFmtId="165" fontId="23" fillId="7" borderId="1" applyAlignment="1" pivotButton="0" quotePrefix="0" xfId="0">
      <alignment horizontal="right" vertical="center"/>
    </xf>
    <xf numFmtId="0" fontId="7" fillId="10" borderId="0" applyAlignment="1" pivotButton="0" quotePrefix="0" xfId="0">
      <alignment horizontal="general" vertical="center"/>
    </xf>
    <xf numFmtId="166" fontId="7" fillId="10" borderId="1" applyAlignment="1" pivotButton="0" quotePrefix="0" xfId="0">
      <alignment horizontal="general" vertical="center"/>
    </xf>
    <xf numFmtId="165" fontId="7" fillId="10" borderId="28" applyAlignment="1" pivotButton="0" quotePrefix="0" xfId="0">
      <alignment horizontal="general" vertical="center"/>
    </xf>
    <xf numFmtId="0" fontId="7" fillId="0" borderId="0" applyAlignment="1" pivotButton="0" quotePrefix="0" xfId="0">
      <alignment horizontal="general" vertical="center"/>
    </xf>
    <xf numFmtId="166" fontId="7" fillId="0" borderId="0" applyAlignment="1" pivotButton="0" quotePrefix="0" xfId="0">
      <alignment horizontal="general" vertical="center"/>
    </xf>
    <xf numFmtId="0" fontId="7" fillId="0" borderId="0" applyAlignment="1" pivotButton="0" quotePrefix="0" xfId="0">
      <alignment horizontal="general" vertical="bottom"/>
    </xf>
    <xf numFmtId="0" fontId="28" fillId="0" borderId="0" applyAlignment="1" pivotButton="0" quotePrefix="0" xfId="0">
      <alignment horizontal="general" vertical="center"/>
    </xf>
    <xf numFmtId="166" fontId="28" fillId="0" borderId="0" applyAlignment="1" pivotButton="0" quotePrefix="0" xfId="0">
      <alignment horizontal="general" vertical="center"/>
    </xf>
    <xf numFmtId="168" fontId="28" fillId="0" borderId="0" applyAlignment="1" pivotButton="0" quotePrefix="0" xfId="0">
      <alignment horizontal="general" vertical="bottom"/>
    </xf>
    <xf numFmtId="165" fontId="22" fillId="7" borderId="1" applyAlignment="1" pivotButton="0" quotePrefix="0" xfId="0">
      <alignment horizontal="general" vertical="center"/>
    </xf>
    <xf numFmtId="168" fontId="0" fillId="0" borderId="0" applyAlignment="1" pivotButton="0" quotePrefix="0" xfId="0">
      <alignment horizontal="general" vertical="bottom"/>
    </xf>
    <xf numFmtId="0" fontId="21" fillId="14" borderId="29" applyAlignment="1" pivotButton="0" quotePrefix="0" xfId="0">
      <alignment horizontal="center" vertical="center"/>
    </xf>
    <xf numFmtId="0" fontId="24" fillId="0" borderId="1" applyAlignment="1" pivotButton="0" quotePrefix="0" xfId="0">
      <alignment horizontal="general" vertical="bottom"/>
    </xf>
    <xf numFmtId="0" fontId="29" fillId="0" borderId="1" applyAlignment="1" pivotButton="0" quotePrefix="0" xfId="0">
      <alignment horizontal="general" vertical="bottom"/>
    </xf>
    <xf numFmtId="169" fontId="29" fillId="0" borderId="1" applyAlignment="1" pivotButton="0" quotePrefix="0" xfId="0">
      <alignment horizontal="general" vertical="bottom"/>
    </xf>
    <xf numFmtId="166" fontId="29" fillId="0" borderId="1" applyAlignment="1" pivotButton="0" quotePrefix="0" xfId="0">
      <alignment horizontal="general" vertical="bottom"/>
    </xf>
    <xf numFmtId="9" fontId="30" fillId="3" borderId="29" applyAlignment="1" applyProtection="1" pivotButton="0" quotePrefix="0" xfId="0">
      <alignment horizontal="center" vertical="center"/>
      <protection locked="0" hidden="0"/>
    </xf>
    <xf numFmtId="0" fontId="24" fillId="7" borderId="1" applyAlignment="1" pivotButton="0" quotePrefix="0" xfId="0">
      <alignment horizontal="general" vertical="bottom"/>
    </xf>
    <xf numFmtId="169" fontId="24" fillId="7" borderId="1" applyAlignment="1" pivotButton="0" quotePrefix="0" xfId="0">
      <alignment horizontal="general" vertical="bottom"/>
    </xf>
    <xf numFmtId="166" fontId="24" fillId="7" borderId="1" applyAlignment="1" pivotButton="0" quotePrefix="0" xfId="0">
      <alignment horizontal="general" vertical="bottom"/>
    </xf>
    <xf numFmtId="169" fontId="24" fillId="0" borderId="1" applyAlignment="1" pivotButton="0" quotePrefix="0" xfId="0">
      <alignment horizontal="general" vertical="bottom"/>
    </xf>
    <xf numFmtId="166" fontId="24" fillId="0" borderId="1" applyAlignment="1" pivotButton="0" quotePrefix="0" xfId="0">
      <alignment horizontal="general" vertical="bottom"/>
    </xf>
    <xf numFmtId="0" fontId="29" fillId="7" borderId="1" applyAlignment="1" pivotButton="0" quotePrefix="0" xfId="0">
      <alignment horizontal="general" vertical="bottom"/>
    </xf>
    <xf numFmtId="169" fontId="29" fillId="7" borderId="1" applyAlignment="1" pivotButton="0" quotePrefix="0" xfId="0">
      <alignment horizontal="general" vertical="bottom"/>
    </xf>
    <xf numFmtId="0" fontId="30" fillId="3" borderId="29" applyAlignment="1" applyProtection="1" pivotButton="0" quotePrefix="0" xfId="0">
      <alignment horizontal="center" vertical="center"/>
      <protection locked="0" hidden="0"/>
    </xf>
    <xf numFmtId="0" fontId="24" fillId="7" borderId="30" applyAlignment="1" pivotButton="0" quotePrefix="0" xfId="0">
      <alignment horizontal="general" vertical="bottom"/>
    </xf>
    <xf numFmtId="0" fontId="24" fillId="0" borderId="0" applyAlignment="1" pivotButton="0" quotePrefix="0" xfId="0">
      <alignment horizontal="general" vertical="bottom"/>
    </xf>
    <xf numFmtId="0" fontId="24" fillId="0" borderId="30" applyAlignment="1" pivotButton="0" quotePrefix="0" xfId="0">
      <alignment horizontal="general" vertical="bottom"/>
    </xf>
    <xf numFmtId="0" fontId="31" fillId="12" borderId="0" applyAlignment="1" pivotButton="0" quotePrefix="0" xfId="0">
      <alignment horizontal="general" vertical="bottom"/>
    </xf>
    <xf numFmtId="0" fontId="32" fillId="12" borderId="0" applyAlignment="1" pivotButton="0" quotePrefix="0" xfId="0">
      <alignment horizontal="general" vertical="bottom"/>
    </xf>
    <xf numFmtId="0" fontId="33" fillId="15" borderId="31" applyAlignment="1" pivotButton="0" quotePrefix="0" xfId="0">
      <alignment horizontal="left" vertical="center" wrapText="1" indent="1" readingOrder="1"/>
    </xf>
    <xf numFmtId="0" fontId="34" fillId="16" borderId="32" applyAlignment="1" pivotButton="0" quotePrefix="0" xfId="0">
      <alignment horizontal="center" vertical="center" wrapText="1" readingOrder="1"/>
    </xf>
    <xf numFmtId="0" fontId="0" fillId="0" borderId="96" pivotButton="0" quotePrefix="0" xfId="0"/>
    <xf numFmtId="0" fontId="0" fillId="0" borderId="97" pivotButton="0" quotePrefix="0" xfId="0"/>
    <xf numFmtId="0" fontId="35" fillId="17" borderId="33" applyAlignment="1" pivotButton="0" quotePrefix="0" xfId="0">
      <alignment horizontal="center" vertical="center" wrapText="1" readingOrder="1"/>
    </xf>
    <xf numFmtId="0" fontId="35" fillId="17" borderId="34" applyAlignment="1" pivotButton="0" quotePrefix="0" xfId="0">
      <alignment horizontal="center" vertical="center" wrapText="1" readingOrder="1"/>
    </xf>
    <xf numFmtId="0" fontId="0" fillId="0" borderId="99" pivotButton="0" quotePrefix="0" xfId="0"/>
    <xf numFmtId="0" fontId="35" fillId="17" borderId="35" applyAlignment="1" pivotButton="0" quotePrefix="0" xfId="0">
      <alignment horizontal="center" vertical="center" wrapText="1" readingOrder="1"/>
    </xf>
    <xf numFmtId="0" fontId="36" fillId="16" borderId="36" applyAlignment="1" pivotButton="0" quotePrefix="0" xfId="0">
      <alignment horizontal="center" vertical="center" wrapText="1" readingOrder="1"/>
    </xf>
    <xf numFmtId="0" fontId="0" fillId="0" borderId="64" pivotButton="0" quotePrefix="0" xfId="0"/>
    <xf numFmtId="0" fontId="37" fillId="15" borderId="37" applyAlignment="1" pivotButton="0" quotePrefix="0" xfId="0">
      <alignment horizontal="center" vertical="center" wrapText="1" readingOrder="1"/>
    </xf>
    <xf numFmtId="0" fontId="37" fillId="15" borderId="38" applyAlignment="1" pivotButton="0" quotePrefix="0" xfId="0">
      <alignment horizontal="center" vertical="center" wrapText="1" readingOrder="1"/>
    </xf>
    <xf numFmtId="0" fontId="38" fillId="10" borderId="38" applyAlignment="1" pivotButton="0" quotePrefix="0" xfId="0">
      <alignment horizontal="center" vertical="center" wrapText="1" readingOrder="1"/>
    </xf>
    <xf numFmtId="0" fontId="38" fillId="10" borderId="39" applyAlignment="1" pivotButton="0" quotePrefix="0" xfId="0">
      <alignment horizontal="center" vertical="center" wrapText="1" readingOrder="1"/>
    </xf>
    <xf numFmtId="0" fontId="38" fillId="10" borderId="40" applyAlignment="1" pivotButton="0" quotePrefix="0" xfId="0">
      <alignment horizontal="center" vertical="center" wrapText="1" readingOrder="1"/>
    </xf>
    <xf numFmtId="0" fontId="37" fillId="15" borderId="39" applyAlignment="1" pivotButton="0" quotePrefix="0" xfId="0">
      <alignment horizontal="center" vertical="center" wrapText="1" readingOrder="1"/>
    </xf>
    <xf numFmtId="0" fontId="31" fillId="12" borderId="0" applyAlignment="1" pivotButton="0" quotePrefix="0" xfId="0">
      <alignment horizontal="general" vertical="center"/>
    </xf>
    <xf numFmtId="0" fontId="33" fillId="18" borderId="41" applyAlignment="1" pivotButton="0" quotePrefix="0" xfId="0">
      <alignment horizontal="left" vertical="center" wrapText="1" indent="1" readingOrder="1"/>
    </xf>
    <xf numFmtId="0" fontId="39" fillId="19" borderId="41" applyAlignment="1" pivotButton="0" quotePrefix="0" xfId="0">
      <alignment horizontal="left" vertical="center" wrapText="1" indent="1" readingOrder="1"/>
    </xf>
    <xf numFmtId="164" fontId="40" fillId="7" borderId="42" applyAlignment="1" pivotButton="0" quotePrefix="0" xfId="0">
      <alignment horizontal="center" vertical="center" wrapText="1" readingOrder="1"/>
    </xf>
    <xf numFmtId="164" fontId="40" fillId="7" borderId="43" applyAlignment="1" pivotButton="0" quotePrefix="0" xfId="0">
      <alignment horizontal="center" vertical="center" wrapText="1" readingOrder="1"/>
    </xf>
    <xf numFmtId="9" fontId="40" fillId="7" borderId="24" applyAlignment="1" pivotButton="0" quotePrefix="0" xfId="0">
      <alignment horizontal="center" vertical="center" wrapText="1" readingOrder="1"/>
    </xf>
    <xf numFmtId="0" fontId="38" fillId="20" borderId="24" applyAlignment="1" pivotButton="0" quotePrefix="0" xfId="0">
      <alignment horizontal="center" vertical="center" wrapText="1" readingOrder="1"/>
    </xf>
    <xf numFmtId="0" fontId="38" fillId="20" borderId="8" applyAlignment="1" pivotButton="0" quotePrefix="0" xfId="0">
      <alignment horizontal="center" vertical="center" wrapText="1" readingOrder="1"/>
    </xf>
    <xf numFmtId="0" fontId="38" fillId="21" borderId="24" applyAlignment="1" pivotButton="0" quotePrefix="0" xfId="0">
      <alignment horizontal="center" vertical="center" wrapText="1" readingOrder="1"/>
    </xf>
    <xf numFmtId="0" fontId="38" fillId="20" borderId="44" applyAlignment="1" pivotButton="0" quotePrefix="0" xfId="0">
      <alignment horizontal="center" vertical="center" wrapText="1" readingOrder="1"/>
    </xf>
    <xf numFmtId="164" fontId="40" fillId="7" borderId="45" applyAlignment="1" pivotButton="0" quotePrefix="0" xfId="0">
      <alignment horizontal="center" vertical="center" wrapText="1" readingOrder="1"/>
    </xf>
    <xf numFmtId="164" fontId="40" fillId="7" borderId="46"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3" fillId="18" borderId="48" applyAlignment="1" pivotButton="0" quotePrefix="0" xfId="0">
      <alignment horizontal="left" vertical="center" wrapText="1" indent="1" readingOrder="1"/>
    </xf>
    <xf numFmtId="0" fontId="39" fillId="19" borderId="48" applyAlignment="1" pivotButton="0" quotePrefix="0" xfId="0">
      <alignment horizontal="left" vertical="center" wrapText="1" indent="1" readingOrder="1"/>
    </xf>
    <xf numFmtId="9" fontId="40" fillId="7" borderId="8" applyAlignment="1" pivotButton="0" quotePrefix="0" xfId="0">
      <alignment horizontal="center" vertical="center" wrapText="1" readingOrder="1"/>
    </xf>
    <xf numFmtId="0" fontId="16" fillId="7" borderId="8" applyAlignment="1" pivotButton="0" quotePrefix="0" xfId="0">
      <alignment horizontal="center" vertical="center" wrapText="1"/>
    </xf>
    <xf numFmtId="0" fontId="38" fillId="20" borderId="49" applyAlignment="1" pivotButton="0" quotePrefix="0" xfId="0">
      <alignment horizontal="center" vertical="center" wrapText="1" readingOrder="1"/>
    </xf>
    <xf numFmtId="0" fontId="34" fillId="22" borderId="47" applyAlignment="1" pivotButton="0" quotePrefix="0" xfId="0">
      <alignment horizontal="center" vertical="center" wrapText="1" readingOrder="1"/>
    </xf>
    <xf numFmtId="0" fontId="34" fillId="22" borderId="24" applyAlignment="1" pivotButton="0" quotePrefix="0" xfId="0">
      <alignment horizontal="center" vertical="center" wrapText="1" readingOrder="1"/>
    </xf>
    <xf numFmtId="0" fontId="34" fillId="22" borderId="50" applyAlignment="1" pivotButton="0" quotePrefix="0" xfId="0">
      <alignment horizontal="center" vertical="center" wrapText="1" readingOrder="1"/>
    </xf>
    <xf numFmtId="0" fontId="16" fillId="7" borderId="49" applyAlignment="1" pivotButton="0" quotePrefix="0" xfId="0">
      <alignment horizontal="center" vertical="center" wrapText="1"/>
    </xf>
    <xf numFmtId="0" fontId="33" fillId="18" borderId="51" applyAlignment="1" pivotButton="0" quotePrefix="0" xfId="0">
      <alignment horizontal="left" vertical="center" wrapText="1" indent="1" readingOrder="1"/>
    </xf>
    <xf numFmtId="0" fontId="39" fillId="19" borderId="51" applyAlignment="1" pivotButton="0" quotePrefix="0" xfId="0">
      <alignment horizontal="left" vertical="center" wrapText="1" indent="1" readingOrder="1"/>
    </xf>
    <xf numFmtId="164" fontId="40" fillId="7" borderId="52" applyAlignment="1" pivotButton="0" quotePrefix="0" xfId="0">
      <alignment horizontal="center" vertical="center" wrapText="1" readingOrder="1"/>
    </xf>
    <xf numFmtId="164" fontId="40" fillId="7" borderId="53" applyAlignment="1" pivotButton="0" quotePrefix="0" xfId="0">
      <alignment horizontal="center" vertical="center" wrapText="1" readingOrder="1"/>
    </xf>
    <xf numFmtId="9" fontId="40" fillId="7" borderId="54" applyAlignment="1" pivotButton="0" quotePrefix="0" xfId="0">
      <alignment horizontal="center" vertical="center" wrapText="1" readingOrder="1"/>
    </xf>
    <xf numFmtId="0" fontId="38" fillId="20" borderId="54" applyAlignment="1" pivotButton="0" quotePrefix="0" xfId="0">
      <alignment horizontal="center" vertical="center" wrapText="1" readingOrder="1"/>
    </xf>
    <xf numFmtId="164" fontId="40" fillId="7" borderId="55" applyAlignment="1" pivotButton="0" quotePrefix="0" xfId="0">
      <alignment horizontal="center" vertical="center" wrapText="1" readingOrder="1"/>
    </xf>
    <xf numFmtId="0" fontId="16" fillId="7" borderId="54" applyAlignment="1" pivotButton="0" quotePrefix="0" xfId="0">
      <alignment horizontal="center" vertical="center" wrapText="1"/>
    </xf>
    <xf numFmtId="0" fontId="38" fillId="20" borderId="47" applyAlignment="1" pivotButton="0" quotePrefix="0" xfId="0">
      <alignment horizontal="center" vertical="center" wrapText="1" readingOrder="1"/>
    </xf>
    <xf numFmtId="0" fontId="41" fillId="12" borderId="0" applyAlignment="1" pivotButton="0" quotePrefix="0" xfId="0">
      <alignment horizontal="general" vertical="center"/>
    </xf>
    <xf numFmtId="0" fontId="42" fillId="5" borderId="31" applyAlignment="1" pivotButton="0" quotePrefix="0" xfId="0">
      <alignment horizontal="left" vertical="center" wrapText="1" indent="1" readingOrder="1"/>
    </xf>
    <xf numFmtId="164" fontId="38" fillId="7" borderId="56" applyAlignment="1" pivotButton="0" quotePrefix="0" xfId="0">
      <alignment horizontal="center" vertical="center" wrapText="1" readingOrder="1"/>
    </xf>
    <xf numFmtId="164" fontId="38" fillId="7" borderId="57" applyAlignment="1" pivotButton="0" quotePrefix="0" xfId="0">
      <alignment horizontal="center" vertical="center" wrapText="1" readingOrder="1"/>
    </xf>
    <xf numFmtId="9" fontId="43" fillId="7" borderId="58" applyAlignment="1" pivotButton="0" quotePrefix="0" xfId="0">
      <alignment horizontal="center" vertical="center" wrapText="1" readingOrder="1"/>
    </xf>
    <xf numFmtId="0" fontId="44" fillId="20" borderId="58" applyAlignment="1" pivotButton="0" quotePrefix="0" xfId="0">
      <alignment horizontal="center" vertical="center" wrapText="1" readingOrder="1"/>
    </xf>
    <xf numFmtId="164" fontId="38" fillId="7" borderId="58" applyAlignment="1" pivotButton="0" quotePrefix="0" xfId="0">
      <alignment horizontal="center" vertical="center" wrapText="1" readingOrder="1"/>
    </xf>
    <xf numFmtId="0" fontId="38" fillId="21" borderId="58" applyAlignment="1" pivotButton="0" quotePrefix="0" xfId="0">
      <alignment horizontal="center" vertical="center" wrapText="1" readingOrder="1"/>
    </xf>
    <xf numFmtId="0" fontId="44" fillId="20" borderId="59" applyAlignment="1" pivotButton="0" quotePrefix="0" xfId="0">
      <alignment horizontal="center" vertical="center" wrapText="1" readingOrder="1"/>
    </xf>
    <xf numFmtId="9" fontId="45" fillId="5" borderId="58" applyAlignment="1" pivotButton="0" quotePrefix="0" xfId="0">
      <alignment horizontal="center" vertical="center" wrapText="1" readingOrder="1"/>
    </xf>
    <xf numFmtId="9" fontId="38" fillId="7" borderId="24" applyAlignment="1" pivotButton="0" quotePrefix="0" xfId="0">
      <alignment horizontal="center" vertical="center" wrapText="1" readingOrder="1"/>
    </xf>
    <xf numFmtId="0" fontId="46" fillId="12" borderId="0" applyAlignment="1" pivotButton="0" quotePrefix="0" xfId="0">
      <alignment horizontal="general" vertical="bottom"/>
    </xf>
    <xf numFmtId="0" fontId="34" fillId="16" borderId="33" applyAlignment="1" pivotButton="0" quotePrefix="0" xfId="0">
      <alignment horizontal="center" vertical="center" wrapText="1" readingOrder="1"/>
    </xf>
    <xf numFmtId="0" fontId="47" fillId="5" borderId="38" applyAlignment="1" pivotButton="0" quotePrefix="0" xfId="0">
      <alignment horizontal="center" vertical="center" wrapText="1" readingOrder="1"/>
    </xf>
    <xf numFmtId="0" fontId="38" fillId="10" borderId="60" applyAlignment="1" pivotButton="0" quotePrefix="0" xfId="0">
      <alignment horizontal="center" vertical="center" wrapText="1" readingOrder="1"/>
    </xf>
    <xf numFmtId="0" fontId="33" fillId="18" borderId="42" applyAlignment="1" pivotButton="0" quotePrefix="0" xfId="0">
      <alignment horizontal="left" vertical="center" wrapText="1" indent="1" readingOrder="1"/>
    </xf>
    <xf numFmtId="165" fontId="31" fillId="12" borderId="0" applyAlignment="1" pivotButton="0" quotePrefix="0" xfId="0">
      <alignment horizontal="general" vertical="center"/>
    </xf>
    <xf numFmtId="0" fontId="33" fillId="18" borderId="45" applyAlignment="1" pivotButton="0" quotePrefix="0" xfId="0">
      <alignment horizontal="left" vertical="center" wrapText="1" indent="1" readingOrder="1"/>
    </xf>
    <xf numFmtId="0" fontId="33" fillId="18" borderId="52" applyAlignment="1" pivotButton="0" quotePrefix="0" xfId="0">
      <alignment horizontal="left" vertical="center" wrapText="1" indent="1" readingOrder="1"/>
    </xf>
    <xf numFmtId="0" fontId="34" fillId="22" borderId="54" applyAlignment="1" pivotButton="0" quotePrefix="0" xfId="0">
      <alignment horizontal="center" vertical="center" wrapText="1"/>
    </xf>
    <xf numFmtId="0" fontId="35" fillId="20" borderId="54" applyAlignment="1" pivotButton="0" quotePrefix="0" xfId="0">
      <alignment horizontal="center" vertical="center" wrapText="1"/>
    </xf>
    <xf numFmtId="165" fontId="31" fillId="12" borderId="0" applyAlignment="1" pivotButton="0" quotePrefix="0" xfId="0">
      <alignment horizontal="general" vertical="bottom"/>
    </xf>
    <xf numFmtId="0" fontId="32" fillId="12" borderId="61" applyAlignment="1" pivotButton="0" quotePrefix="0" xfId="0">
      <alignment horizontal="general" vertical="bottom"/>
    </xf>
    <xf numFmtId="0" fontId="35" fillId="23" borderId="36" applyAlignment="1" pivotButton="0" quotePrefix="0" xfId="0">
      <alignment horizontal="center" vertical="center" wrapText="1" readingOrder="1"/>
    </xf>
    <xf numFmtId="0" fontId="34" fillId="16" borderId="36" applyAlignment="1" pivotButton="0" quotePrefix="0" xfId="0">
      <alignment horizontal="center" vertical="center" wrapText="1" readingOrder="1"/>
    </xf>
    <xf numFmtId="0" fontId="34" fillId="5" borderId="41" applyAlignment="1" pivotButton="0" quotePrefix="0" xfId="0">
      <alignment horizontal="general" vertical="center" wrapText="1" readingOrder="1"/>
    </xf>
    <xf numFmtId="0" fontId="34" fillId="5" borderId="62" applyAlignment="1" pivotButton="0" quotePrefix="0" xfId="0">
      <alignment horizontal="general" vertical="center" wrapText="1" readingOrder="1"/>
    </xf>
    <xf numFmtId="164" fontId="47" fillId="5" borderId="52" applyAlignment="1" pivotButton="0" quotePrefix="0" xfId="0">
      <alignment horizontal="center" vertical="center" wrapText="1" readingOrder="1"/>
    </xf>
    <xf numFmtId="164" fontId="47" fillId="5" borderId="54" applyAlignment="1" pivotButton="0" quotePrefix="0" xfId="0">
      <alignment horizontal="center" vertical="center" wrapText="1" readingOrder="1"/>
    </xf>
    <xf numFmtId="0" fontId="40" fillId="7" borderId="41" applyAlignment="1" pivotButton="0" quotePrefix="0" xfId="0">
      <alignment horizontal="left" vertical="center" wrapText="1" indent="1" readingOrder="1"/>
    </xf>
    <xf numFmtId="0" fontId="38" fillId="21" borderId="49" applyAlignment="1" pivotButton="0" quotePrefix="0" xfId="0">
      <alignment horizontal="center" vertical="center" wrapText="1" readingOrder="1"/>
    </xf>
    <xf numFmtId="0" fontId="40" fillId="7" borderId="62" applyAlignment="1" pivotButton="0" quotePrefix="0" xfId="0">
      <alignment horizontal="left" vertical="center" wrapText="1" indent="1" readingOrder="1"/>
    </xf>
    <xf numFmtId="0" fontId="38" fillId="19" borderId="31" applyAlignment="1" pivotButton="0" quotePrefix="0" xfId="0">
      <alignment horizontal="general" vertical="center" wrapText="1" readingOrder="1"/>
    </xf>
    <xf numFmtId="164" fontId="38" fillId="19" borderId="56" applyAlignment="1" pivotButton="0" quotePrefix="0" xfId="0">
      <alignment horizontal="center" vertical="center" wrapText="1" readingOrder="1"/>
    </xf>
    <xf numFmtId="164" fontId="38" fillId="19" borderId="57" applyAlignment="1" pivotButton="0" quotePrefix="0" xfId="0">
      <alignment horizontal="center" vertical="center" wrapText="1" readingOrder="1"/>
    </xf>
    <xf numFmtId="9" fontId="38" fillId="19" borderId="58" applyAlignment="1" pivotButton="0" quotePrefix="0" xfId="0">
      <alignment horizontal="center" vertical="center" wrapText="1" readingOrder="1"/>
    </xf>
    <xf numFmtId="0" fontId="38" fillId="21" borderId="59" applyAlignment="1" pivotButton="0" quotePrefix="0" xfId="0">
      <alignment horizontal="center" vertical="center" wrapText="1" readingOrder="1"/>
    </xf>
    <xf numFmtId="0" fontId="40" fillId="7" borderId="63" applyAlignment="1" pivotButton="0" quotePrefix="0" xfId="0">
      <alignment horizontal="left" vertical="center" wrapText="1" indent="1" readingOrder="1"/>
    </xf>
    <xf numFmtId="0" fontId="40" fillId="7" borderId="61" applyAlignment="1" pivotButton="0" quotePrefix="0" xfId="0">
      <alignment horizontal="left" vertical="center" wrapText="1" indent="1" readingOrder="1"/>
    </xf>
    <xf numFmtId="0" fontId="38" fillId="20" borderId="59" applyAlignment="1" pivotButton="0" quotePrefix="0" xfId="0">
      <alignment horizontal="center" vertical="center" wrapText="1" readingOrder="1"/>
    </xf>
    <xf numFmtId="0" fontId="34" fillId="5" borderId="64" applyAlignment="1" pivotButton="0" quotePrefix="0" xfId="0">
      <alignment horizontal="left" vertical="center" wrapText="1" indent="1" readingOrder="1"/>
    </xf>
    <xf numFmtId="0" fontId="34" fillId="5" borderId="36" applyAlignment="1" pivotButton="0" quotePrefix="0" xfId="0">
      <alignment horizontal="left" vertical="center" wrapText="1" readingOrder="1"/>
    </xf>
    <xf numFmtId="0" fontId="34" fillId="5" borderId="61" applyAlignment="1" pivotButton="0" quotePrefix="0" xfId="0">
      <alignment horizontal="left" vertical="center" wrapText="1" readingOrder="1"/>
    </xf>
    <xf numFmtId="0" fontId="0" fillId="0" borderId="100" pivotButton="0" quotePrefix="0" xfId="0"/>
    <xf numFmtId="0" fontId="34" fillId="5" borderId="62" applyAlignment="1" pivotButton="0" quotePrefix="0" xfId="0">
      <alignment horizontal="left" vertical="center" wrapText="1" readingOrder="1"/>
    </xf>
    <xf numFmtId="0" fontId="0" fillId="0" borderId="0" applyAlignment="1" pivotButton="0" quotePrefix="0" xfId="0">
      <alignment horizontal="left" vertical="bottom"/>
    </xf>
    <xf numFmtId="0" fontId="0" fillId="0" borderId="0" applyAlignment="1" pivotButton="0" quotePrefix="0" xfId="0">
      <alignment horizontal="center" vertical="bottom"/>
    </xf>
    <xf numFmtId="0" fontId="0" fillId="0" borderId="0" applyAlignment="1" pivotButton="0" quotePrefix="0" xfId="0">
      <alignment horizontal="left" vertical="top" wrapText="1"/>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0" borderId="66" applyAlignment="1" pivotButton="0" quotePrefix="0" xfId="0">
      <alignment horizontal="left" vertical="top" wrapText="1"/>
    </xf>
    <xf numFmtId="0" fontId="48" fillId="25" borderId="66" applyAlignment="1" pivotButton="0" quotePrefix="0" xfId="0">
      <alignment horizontal="left" vertical="top" wrapText="1"/>
    </xf>
    <xf numFmtId="0" fontId="5" fillId="26" borderId="0" applyAlignment="1" pivotButton="0" quotePrefix="0" xfId="0">
      <alignment horizontal="general" vertical="bottom"/>
    </xf>
    <xf numFmtId="0" fontId="5" fillId="26" borderId="66" applyAlignment="1" pivotButton="0" quotePrefix="0" xfId="0">
      <alignment horizontal="center" vertical="bottom"/>
    </xf>
    <xf numFmtId="0" fontId="7" fillId="23" borderId="66" applyAlignment="1" pivotButton="0" quotePrefix="0" xfId="0">
      <alignment horizontal="center" vertical="bottom"/>
    </xf>
    <xf numFmtId="0" fontId="7" fillId="23" borderId="31" applyAlignment="1" pivotButton="0" quotePrefix="0" xfId="0">
      <alignment horizontal="center" vertical="bottom" wrapText="1"/>
    </xf>
    <xf numFmtId="0" fontId="7" fillId="23" borderId="66" applyAlignment="1" pivotButton="0" quotePrefix="0" xfId="0">
      <alignment horizontal="center" vertical="bottom" wrapText="1"/>
    </xf>
    <xf numFmtId="0" fontId="7" fillId="23" borderId="65" applyAlignment="1" pivotButton="0" quotePrefix="0" xfId="0">
      <alignment horizontal="center" vertical="bottom"/>
    </xf>
    <xf numFmtId="0" fontId="7" fillId="23" borderId="0" applyAlignment="1" pivotButton="0" quotePrefix="0" xfId="0">
      <alignment horizontal="center" vertical="bottom"/>
    </xf>
    <xf numFmtId="0" fontId="7" fillId="23" borderId="0" applyAlignment="1" pivotButton="0" quotePrefix="0" xfId="0">
      <alignment horizontal="center" vertical="bottom" wrapText="1"/>
    </xf>
    <xf numFmtId="0" fontId="49" fillId="0" borderId="0" applyAlignment="1" pivotButton="0" quotePrefix="0" xfId="0">
      <alignment horizontal="general" vertical="bottom"/>
    </xf>
    <xf numFmtId="1" fontId="50" fillId="27" borderId="66" applyAlignment="1" pivotButton="0" quotePrefix="0" xfId="0">
      <alignment horizontal="left" vertical="bottom"/>
    </xf>
    <xf numFmtId="0" fontId="0" fillId="27" borderId="66" applyAlignment="1" pivotButton="0" quotePrefix="0" xfId="0">
      <alignment horizontal="general" vertical="bottom"/>
    </xf>
    <xf numFmtId="0" fontId="0" fillId="28" borderId="66" applyAlignment="1" pivotButton="0" quotePrefix="0" xfId="0">
      <alignment horizontal="general" vertical="bottom"/>
    </xf>
    <xf numFmtId="0" fontId="50" fillId="27" borderId="31" applyAlignment="1" pivotButton="0" quotePrefix="0" xfId="0">
      <alignment horizontal="left" vertical="bottom"/>
    </xf>
    <xf numFmtId="0" fontId="0" fillId="27" borderId="66" applyAlignment="1" pivotButton="0" quotePrefix="0" xfId="0">
      <alignment horizontal="center" vertical="center"/>
    </xf>
    <xf numFmtId="0" fontId="0" fillId="27" borderId="66" applyAlignment="1" pivotButton="0" quotePrefix="0" xfId="0">
      <alignment horizontal="center" vertical="bottom"/>
    </xf>
    <xf numFmtId="0" fontId="0" fillId="27" borderId="31" applyAlignment="1" pivotButton="0" quotePrefix="0" xfId="0">
      <alignment horizontal="center" vertical="bottom"/>
    </xf>
    <xf numFmtId="170" fontId="0" fillId="27" borderId="31" applyAlignment="1" pivotButton="0" quotePrefix="0" xfId="0">
      <alignment horizontal="center" vertical="bottom"/>
    </xf>
    <xf numFmtId="9" fontId="0" fillId="27" borderId="66" applyAlignment="1" pivotButton="0" quotePrefix="0" xfId="0">
      <alignment horizontal="center" vertical="bottom"/>
    </xf>
    <xf numFmtId="164" fontId="0" fillId="27" borderId="66" applyAlignment="1" pivotButton="0" quotePrefix="0" xfId="0">
      <alignment horizontal="general" vertical="bottom"/>
    </xf>
    <xf numFmtId="171" fontId="0" fillId="27" borderId="66" applyAlignment="1" pivotButton="0" quotePrefix="0" xfId="0">
      <alignment horizontal="general" vertical="bottom"/>
    </xf>
    <xf numFmtId="164" fontId="0" fillId="0" borderId="0" applyAlignment="1" pivotButton="0" quotePrefix="0" xfId="0">
      <alignment horizontal="general" vertical="top" wrapText="1"/>
    </xf>
    <xf numFmtId="172" fontId="0" fillId="0" borderId="0" applyAlignment="1" pivotButton="0" quotePrefix="0" xfId="0">
      <alignment horizontal="general" vertical="bottom"/>
    </xf>
    <xf numFmtId="0" fontId="23" fillId="0" borderId="0" applyAlignment="1" pivotButton="0" quotePrefix="0" xfId="0">
      <alignment horizontal="general" vertical="bottom"/>
    </xf>
    <xf numFmtId="0" fontId="0" fillId="27" borderId="66" applyAlignment="1" pivotButton="0" quotePrefix="0" xfId="0">
      <alignment horizontal="general" vertical="top" wrapText="1"/>
    </xf>
    <xf numFmtId="0" fontId="0" fillId="0" borderId="0" applyAlignment="1" pivotButton="0" quotePrefix="0" xfId="0">
      <alignment horizontal="general" vertical="top" wrapText="1"/>
    </xf>
    <xf numFmtId="173" fontId="0" fillId="27" borderId="66" applyAlignment="1" pivotButton="0" quotePrefix="0" xfId="0">
      <alignment horizontal="general" vertical="top" wrapText="1"/>
    </xf>
    <xf numFmtId="174" fontId="0" fillId="0" borderId="0" applyAlignment="1" pivotButton="0" quotePrefix="0" xfId="0">
      <alignment horizontal="general" vertical="bottom"/>
    </xf>
    <xf numFmtId="0" fontId="0" fillId="0" borderId="66" applyAlignment="1" pivotButton="0" quotePrefix="0" xfId="0">
      <alignment horizontal="center" vertical="bottom"/>
    </xf>
    <xf numFmtId="0" fontId="0" fillId="0" borderId="66" applyAlignment="1" pivotButton="0" quotePrefix="0" xfId="0">
      <alignment horizontal="center" vertical="center"/>
    </xf>
    <xf numFmtId="0" fontId="23" fillId="27" borderId="66" applyAlignment="1" pivotButton="0" quotePrefix="0" xfId="0">
      <alignment horizontal="center" vertical="center"/>
    </xf>
    <xf numFmtId="0" fontId="0" fillId="27" borderId="0" applyAlignment="1" pivotButton="0" quotePrefix="0" xfId="0">
      <alignment horizontal="center" vertical="center"/>
    </xf>
    <xf numFmtId="0" fontId="0" fillId="27" borderId="0" applyAlignment="1" pivotButton="0" quotePrefix="0" xfId="0">
      <alignment horizontal="center" vertical="bottom"/>
    </xf>
    <xf numFmtId="0" fontId="23" fillId="27" borderId="0" applyAlignment="1" pivotButton="0" quotePrefix="0" xfId="0">
      <alignment horizontal="center" vertical="bottom"/>
    </xf>
    <xf numFmtId="0" fontId="0" fillId="0" borderId="66" applyAlignment="1" pivotButton="0" quotePrefix="0" xfId="0">
      <alignment horizontal="general" vertical="bottom"/>
    </xf>
    <xf numFmtId="0" fontId="6" fillId="27" borderId="66" applyAlignment="1" pivotButton="0" quotePrefix="0" xfId="0">
      <alignment horizontal="center" vertical="center"/>
    </xf>
    <xf numFmtId="0" fontId="6" fillId="0" borderId="0" applyAlignment="1" pivotButton="0" quotePrefix="0" xfId="0">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0" fillId="29" borderId="0" applyAlignment="1" pivotButton="0" quotePrefix="0" xfId="0">
      <alignment horizontal="general" vertical="bottom"/>
    </xf>
    <xf numFmtId="0" fontId="8" fillId="29" borderId="0" applyAlignment="1" pivotButton="0" quotePrefix="0" xfId="0">
      <alignment horizontal="general" vertical="center"/>
    </xf>
    <xf numFmtId="0" fontId="53"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14" borderId="1" applyAlignment="1" pivotButton="0" quotePrefix="0" xfId="0">
      <alignment horizontal="left" vertical="center"/>
    </xf>
    <xf numFmtId="0" fontId="5" fillId="14" borderId="1" applyAlignment="1" pivotButton="0" quotePrefix="0" xfId="0">
      <alignment horizontal="center" vertical="center" wrapText="1"/>
    </xf>
    <xf numFmtId="0" fontId="9" fillId="0" borderId="1" applyAlignment="1" pivotButton="0" quotePrefix="0" xfId="0">
      <alignment horizontal="left" vertical="center" wrapText="1"/>
    </xf>
    <xf numFmtId="166" fontId="25" fillId="0" borderId="1" applyAlignment="1" pivotButton="0" quotePrefix="0" xfId="0">
      <alignment horizontal="general" vertical="bottom"/>
    </xf>
    <xf numFmtId="166" fontId="24" fillId="0" borderId="1" applyAlignment="1" pivotButton="0" quotePrefix="0" xfId="0">
      <alignment horizontal="right" vertical="center"/>
    </xf>
    <xf numFmtId="175" fontId="6" fillId="0" borderId="1" applyAlignment="1" pivotButton="0" quotePrefix="0" xfId="0">
      <alignment horizontal="right" vertical="center"/>
    </xf>
    <xf numFmtId="0" fontId="24" fillId="10" borderId="1" applyAlignment="1" pivotButton="0" quotePrefix="0" xfId="0">
      <alignment horizontal="general" vertical="center"/>
    </xf>
    <xf numFmtId="166" fontId="24" fillId="10" borderId="1" applyAlignment="1" pivotButton="0" quotePrefix="0" xfId="0">
      <alignment horizontal="right" vertical="center"/>
    </xf>
    <xf numFmtId="0" fontId="54" fillId="0" borderId="1" applyAlignment="1" pivotButton="0" quotePrefix="0" xfId="0">
      <alignment horizontal="general" vertical="center"/>
    </xf>
    <xf numFmtId="166" fontId="54" fillId="0" borderId="1" applyAlignment="1" pivotButton="0" quotePrefix="0" xfId="0">
      <alignment horizontal="right" vertical="center"/>
    </xf>
    <xf numFmtId="0" fontId="7" fillId="10" borderId="67" applyAlignment="1" pivotButton="0" quotePrefix="0" xfId="0">
      <alignment horizontal="left" vertical="center"/>
    </xf>
    <xf numFmtId="0" fontId="0" fillId="0" borderId="103" pivotButton="0" quotePrefix="0" xfId="0"/>
    <xf numFmtId="175" fontId="7" fillId="10" borderId="67" applyAlignment="1" pivotButton="0" quotePrefix="0" xfId="0">
      <alignment horizontal="right" vertical="center"/>
    </xf>
    <xf numFmtId="165" fontId="7" fillId="10" borderId="67" applyAlignment="1" pivotButton="0" quotePrefix="0" xfId="0">
      <alignment horizontal="right" vertical="center"/>
    </xf>
    <xf numFmtId="0" fontId="30" fillId="10" borderId="1" applyAlignment="1" pivotButton="0" quotePrefix="0" xfId="0">
      <alignment horizontal="general" vertical="bottom"/>
    </xf>
    <xf numFmtId="165" fontId="22" fillId="10" borderId="1" applyAlignment="1" pivotButton="0" quotePrefix="0" xfId="0">
      <alignment horizontal="right" vertical="center"/>
    </xf>
    <xf numFmtId="165" fontId="7" fillId="0" borderId="1" applyAlignment="1" pivotButton="0" quotePrefix="0" xfId="0">
      <alignment horizontal="right" vertical="center"/>
    </xf>
    <xf numFmtId="0" fontId="30" fillId="0" borderId="1" applyAlignment="1" pivotButton="0" quotePrefix="0" xfId="0">
      <alignment horizontal="general" vertical="center"/>
    </xf>
    <xf numFmtId="166" fontId="30" fillId="0" borderId="1" applyAlignment="1" pivotButton="0" quotePrefix="0" xfId="0">
      <alignment horizontal="righ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2" fontId="30" fillId="0" borderId="68" applyAlignment="1" pivotButton="0" quotePrefix="0" xfId="0">
      <alignment horizontal="right" vertical="center"/>
    </xf>
    <xf numFmtId="166" fontId="30" fillId="0" borderId="68" applyAlignment="1" pivotButton="0" quotePrefix="0" xfId="0">
      <alignment horizontal="right" vertical="center"/>
    </xf>
    <xf numFmtId="0" fontId="21" fillId="14" borderId="29" applyAlignment="1" pivotButton="0" quotePrefix="0" xfId="0">
      <alignment horizontal="left" vertical="center"/>
    </xf>
    <xf numFmtId="0" fontId="21" fillId="14" borderId="29" applyAlignment="1" pivotButton="0" quotePrefix="0" xfId="0">
      <alignment horizontal="general" vertical="bottom"/>
    </xf>
    <xf numFmtId="0" fontId="24" fillId="0" borderId="29" applyAlignment="1" pivotButton="0" quotePrefix="0" xfId="0">
      <alignment horizontal="left" vertical="center"/>
    </xf>
    <xf numFmtId="166" fontId="24" fillId="0" borderId="29" applyAlignment="1" pivotButton="0" quotePrefix="0" xfId="0">
      <alignment horizontal="right" vertical="center"/>
    </xf>
    <xf numFmtId="0" fontId="5" fillId="2" borderId="68" applyAlignment="1" pivotButton="0" quotePrefix="0" xfId="0">
      <alignment horizontal="general" vertical="bottom"/>
    </xf>
    <xf numFmtId="0" fontId="5" fillId="2" borderId="69" applyAlignment="1" pivotButton="0" quotePrefix="0" xfId="0">
      <alignment horizontal="general" vertical="bottom"/>
    </xf>
    <xf numFmtId="0" fontId="21" fillId="14" borderId="1" applyAlignment="1" pivotButton="0" quotePrefix="0" xfId="0">
      <alignment horizontal="center" vertical="center"/>
    </xf>
    <xf numFmtId="0" fontId="30" fillId="10" borderId="29" applyAlignment="1" pivotButton="0" quotePrefix="0" xfId="0">
      <alignment horizontal="left" vertical="center"/>
    </xf>
    <xf numFmtId="166" fontId="30" fillId="10" borderId="29" applyAlignment="1" pivotButton="0" quotePrefix="0" xfId="0">
      <alignment horizontal="right" vertical="center"/>
    </xf>
    <xf numFmtId="166" fontId="0" fillId="0" borderId="0" applyAlignment="1" pivotButton="0" quotePrefix="0" xfId="0">
      <alignment horizontal="left" vertical="center" wrapText="1"/>
    </xf>
    <xf numFmtId="166" fontId="25" fillId="3" borderId="1" applyAlignment="1" applyProtection="1" pivotButton="0" quotePrefix="0" xfId="0">
      <alignment horizontal="general" vertical="bottom"/>
      <protection locked="0" hidden="0"/>
    </xf>
    <xf numFmtId="0" fontId="55" fillId="0" borderId="0" applyAlignment="1" pivotButton="0" quotePrefix="0" xfId="0">
      <alignment horizontal="general" vertical="bottom"/>
    </xf>
    <xf numFmtId="0" fontId="9" fillId="0" borderId="66" applyAlignment="1" pivotButton="0" quotePrefix="0" xfId="0">
      <alignment horizontal="left" vertical="center"/>
    </xf>
    <xf numFmtId="0" fontId="0" fillId="0" borderId="104" pivotButton="0" quotePrefix="0" xfId="0"/>
    <xf numFmtId="0" fontId="0" fillId="0" borderId="105" pivotButton="0" quotePrefix="0" xfId="0"/>
    <xf numFmtId="166" fontId="9" fillId="0" borderId="66" applyAlignment="1" pivotButton="0" quotePrefix="0" xfId="0">
      <alignment horizontal="general" vertical="bottom"/>
    </xf>
    <xf numFmtId="0" fontId="20" fillId="14" borderId="1" applyAlignment="1" pivotButton="0" quotePrefix="0" xfId="0">
      <alignment horizontal="center" vertical="center"/>
    </xf>
    <xf numFmtId="0" fontId="56" fillId="14" borderId="1" applyAlignment="1" pivotButton="0" quotePrefix="0" xfId="0">
      <alignment horizontal="center" vertical="center"/>
    </xf>
    <xf numFmtId="0" fontId="24" fillId="3" borderId="1" applyAlignment="1" applyProtection="1" pivotButton="0" quotePrefix="0" xfId="0">
      <alignment horizontal="general" vertical="bottom"/>
      <protection locked="0" hidden="0"/>
    </xf>
    <xf numFmtId="0" fontId="23" fillId="3" borderId="1" applyAlignment="1" applyProtection="1" pivotButton="0" quotePrefix="0" xfId="0">
      <alignment horizontal="center" vertical="center"/>
      <protection locked="0" hidden="0"/>
    </xf>
    <xf numFmtId="9" fontId="9" fillId="3" borderId="1" applyAlignment="1" applyProtection="1" pivotButton="0" quotePrefix="0" xfId="0">
      <alignment horizontal="general" vertical="bottom"/>
      <protection locked="0" hidden="0"/>
    </xf>
    <xf numFmtId="1" fontId="25" fillId="0" borderId="1" applyAlignment="1" pivotButton="0" quotePrefix="0" xfId="0">
      <alignment horizontal="general" vertical="bottom"/>
    </xf>
    <xf numFmtId="0" fontId="9" fillId="0" borderId="1" applyAlignment="1" pivotButton="0" quotePrefix="0" xfId="0">
      <alignment horizontal="general" vertical="bottom"/>
    </xf>
    <xf numFmtId="0" fontId="0" fillId="10" borderId="0" applyAlignment="1" pivotButton="0" quotePrefix="0" xfId="0">
      <alignment horizontal="general" vertical="bottom"/>
    </xf>
    <xf numFmtId="0" fontId="9" fillId="10" borderId="1" applyAlignment="1" pivotButton="0" quotePrefix="0" xfId="0">
      <alignment horizontal="general" vertical="bottom"/>
    </xf>
    <xf numFmtId="0" fontId="23" fillId="10" borderId="0" applyAlignment="1" pivotButton="0" quotePrefix="0" xfId="0">
      <alignment horizontal="general" vertical="bottom"/>
    </xf>
    <xf numFmtId="166" fontId="30" fillId="10" borderId="1" applyAlignment="1" pivotButton="0" quotePrefix="0" xfId="0">
      <alignment horizontal="general" vertical="bottom"/>
    </xf>
    <xf numFmtId="165" fontId="7" fillId="10" borderId="1" applyAlignment="1" pivotButton="0" quotePrefix="0" xfId="0">
      <alignment horizontal="right" vertical="center"/>
    </xf>
    <xf numFmtId="9" fontId="9" fillId="0" borderId="1" applyAlignment="1" pivotButton="0" quotePrefix="0" xfId="0">
      <alignment horizontal="general" vertical="bottom"/>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9" fontId="6" fillId="0" borderId="0" applyAlignment="1" pivotButton="0" quotePrefix="0" xfId="0">
      <alignment horizontal="general" vertical="bottom"/>
    </xf>
    <xf numFmtId="166" fontId="6" fillId="0" borderId="0" applyAlignment="1" pivotButton="0" quotePrefix="0" xfId="0">
      <alignment horizontal="general" vertical="bottom"/>
    </xf>
    <xf numFmtId="0" fontId="23" fillId="0" borderId="0" applyAlignment="1" pivotButton="0" quotePrefix="0" xfId="0">
      <alignment horizontal="general" vertical="center"/>
    </xf>
    <xf numFmtId="0" fontId="57" fillId="0" borderId="1" applyAlignment="1" pivotButton="0" quotePrefix="0" xfId="0">
      <alignment horizontal="general" vertical="bottom"/>
    </xf>
    <xf numFmtId="2" fontId="23" fillId="0" borderId="0" applyAlignment="1" pivotButton="0" quotePrefix="0" xfId="0">
      <alignment horizontal="right" vertical="center"/>
    </xf>
    <xf numFmtId="0" fontId="23" fillId="0" borderId="1" applyAlignment="1" pivotButton="0" quotePrefix="0" xfId="0">
      <alignment horizontal="general" vertical="center"/>
    </xf>
    <xf numFmtId="166" fontId="23" fillId="0" borderId="1" applyAlignment="1" pivotButton="0" quotePrefix="0" xfId="0">
      <alignment horizontal="right" vertical="center"/>
    </xf>
    <xf numFmtId="0" fontId="23" fillId="10" borderId="1" applyAlignment="1" pivotButton="0" quotePrefix="0" xfId="0">
      <alignment horizontal="general" vertical="center"/>
    </xf>
    <xf numFmtId="166" fontId="23" fillId="10" borderId="1" applyAlignment="1" pivotButton="0" quotePrefix="0" xfId="0">
      <alignment horizontal="right" vertical="center"/>
    </xf>
    <xf numFmtId="166" fontId="7" fillId="0" borderId="1" applyAlignment="1" pivotButton="0" quotePrefix="0" xfId="0">
      <alignment horizontal="right" vertical="center"/>
    </xf>
    <xf numFmtId="0" fontId="22" fillId="0" borderId="70" applyAlignment="1" pivotButton="0" quotePrefix="0" xfId="0">
      <alignment horizontal="general" vertical="center"/>
    </xf>
    <xf numFmtId="166" fontId="7" fillId="0" borderId="71" applyAlignment="1" pivotButton="0" quotePrefix="0" xfId="0">
      <alignment horizontal="right" vertical="center"/>
    </xf>
    <xf numFmtId="0" fontId="5" fillId="2" borderId="70" applyAlignment="1" pivotButton="0" quotePrefix="0" xfId="0">
      <alignment horizontal="left" vertical="center"/>
    </xf>
    <xf numFmtId="0" fontId="0" fillId="0" borderId="71" pivotButton="0" quotePrefix="0" xfId="0"/>
    <xf numFmtId="0" fontId="9" fillId="0" borderId="72" applyAlignment="1" pivotButton="0" quotePrefix="0" xfId="0">
      <alignment horizontal="left" vertical="center"/>
    </xf>
    <xf numFmtId="0" fontId="0" fillId="0" borderId="27" pivotButton="0" quotePrefix="0" xfId="0"/>
    <xf numFmtId="0" fontId="23" fillId="0" borderId="1" applyAlignment="1" pivotButton="0" quotePrefix="0" xfId="0">
      <alignment horizontal="center" vertical="center" wrapText="1"/>
    </xf>
    <xf numFmtId="0" fontId="23" fillId="3" borderId="1" applyAlignment="1" applyProtection="1" pivotButton="0" quotePrefix="0" xfId="0">
      <alignment horizontal="general" vertical="center"/>
      <protection locked="0" hidden="0"/>
    </xf>
    <xf numFmtId="166" fontId="25" fillId="0" borderId="29" applyAlignment="1" pivotButton="0" quotePrefix="0" xfId="0">
      <alignment horizontal="right" vertical="center"/>
    </xf>
    <xf numFmtId="0" fontId="30" fillId="0" borderId="1" applyAlignment="1" pivotButton="0" quotePrefix="0" xfId="0">
      <alignment horizontal="general" vertical="bottom"/>
    </xf>
    <xf numFmtId="166" fontId="30" fillId="0" borderId="1" applyAlignment="1" pivotButton="0" quotePrefix="0" xfId="0">
      <alignment horizontal="general" vertical="bottom"/>
    </xf>
    <xf numFmtId="0" fontId="20" fillId="0" borderId="0" applyAlignment="1" pivotButton="0" quotePrefix="0" xfId="0">
      <alignment horizontal="center" vertical="center"/>
    </xf>
    <xf numFmtId="0" fontId="23" fillId="0" borderId="0" applyAlignment="1" pivotButton="0" quotePrefix="0" xfId="0">
      <alignment horizontal="center" vertical="center"/>
    </xf>
    <xf numFmtId="166" fontId="9" fillId="10" borderId="1" applyAlignment="1" pivotButton="0" quotePrefix="0" xfId="0">
      <alignment horizontal="general" vertical="bottom"/>
    </xf>
    <xf numFmtId="0" fontId="25" fillId="0" borderId="1" applyAlignment="1" pivotButton="0" quotePrefix="0" xfId="0">
      <alignment horizontal="general" vertical="bottom"/>
    </xf>
    <xf numFmtId="0" fontId="25" fillId="3" borderId="1" applyAlignment="1" applyProtection="1" pivotButton="0" quotePrefix="0" xfId="0">
      <alignment horizontal="general" vertical="bottom"/>
      <protection locked="0" hidden="0"/>
    </xf>
    <xf numFmtId="9" fontId="25" fillId="3" borderId="1" applyAlignment="1" applyProtection="1" pivotButton="0" quotePrefix="0" xfId="0">
      <alignment horizontal="general" vertical="bottom"/>
      <protection locked="0" hidden="0"/>
    </xf>
    <xf numFmtId="0" fontId="24" fillId="3" borderId="0" applyAlignment="1" applyProtection="1" pivotButton="0" quotePrefix="0" xfId="0">
      <alignment horizontal="general" vertical="bottom"/>
      <protection locked="0" hidden="0"/>
    </xf>
    <xf numFmtId="9" fontId="9" fillId="3" borderId="0" applyAlignment="1" applyProtection="1" pivotButton="0" quotePrefix="0" xfId="0">
      <alignment horizontal="general" vertical="bottom"/>
      <protection locked="0" hidden="0"/>
    </xf>
    <xf numFmtId="0" fontId="5" fillId="2" borderId="26" applyAlignment="1" pivotButton="0" quotePrefix="0" xfId="0">
      <alignment horizontal="left" vertical="center"/>
    </xf>
    <xf numFmtId="0" fontId="21" fillId="14" borderId="66" applyAlignment="1" pivotButton="0" quotePrefix="0" xfId="0">
      <alignment horizontal="left" vertical="center"/>
    </xf>
    <xf numFmtId="0" fontId="21" fillId="14" borderId="66" applyAlignment="1" pivotButton="0" quotePrefix="0" xfId="0">
      <alignment horizontal="center" vertical="center"/>
    </xf>
    <xf numFmtId="0" fontId="56" fillId="14" borderId="66" applyAlignment="1" pivotButton="0" quotePrefix="0" xfId="0">
      <alignment horizontal="center" vertical="center"/>
    </xf>
    <xf numFmtId="0" fontId="21" fillId="14" borderId="66" applyAlignment="1" pivotButton="0" quotePrefix="0" xfId="0">
      <alignment horizontal="center" vertical="center" wrapText="1"/>
    </xf>
    <xf numFmtId="0" fontId="24" fillId="0" borderId="66" applyAlignment="1" pivotButton="0" quotePrefix="0" xfId="0">
      <alignment horizontal="general" vertical="bottom"/>
    </xf>
    <xf numFmtId="0" fontId="24" fillId="3" borderId="66" applyAlignment="1" applyProtection="1" pivotButton="0" quotePrefix="0" xfId="0">
      <alignment horizontal="general" vertical="bottom"/>
      <protection locked="0" hidden="0"/>
    </xf>
    <xf numFmtId="9" fontId="9" fillId="3" borderId="66" applyAlignment="1" applyProtection="1" pivotButton="0" quotePrefix="0" xfId="0">
      <alignment horizontal="general" vertical="bottom"/>
      <protection locked="0" hidden="0"/>
    </xf>
    <xf numFmtId="1" fontId="25" fillId="0" borderId="66" applyAlignment="1" pivotButton="0" quotePrefix="0" xfId="0">
      <alignment horizontal="general" vertical="bottom"/>
    </xf>
    <xf numFmtId="166" fontId="24" fillId="0" borderId="66" applyAlignment="1" pivotButton="0" quotePrefix="0" xfId="0">
      <alignment horizontal="general" vertical="bottom"/>
    </xf>
    <xf numFmtId="166" fontId="25" fillId="0" borderId="66" applyAlignment="1" pivotButton="0" quotePrefix="0" xfId="0">
      <alignment horizontal="general" vertical="bottom"/>
    </xf>
    <xf numFmtId="0" fontId="30" fillId="10" borderId="66" applyAlignment="1" pivotButton="0" quotePrefix="0" xfId="0">
      <alignment horizontal="general" vertical="bottom"/>
    </xf>
    <xf numFmtId="166" fontId="30" fillId="10" borderId="66" applyAlignment="1" pivotButton="0" quotePrefix="0" xfId="0">
      <alignment horizontal="general" vertical="bottom"/>
    </xf>
    <xf numFmtId="0" fontId="57" fillId="0" borderId="66" applyAlignment="1" pivotButton="0" quotePrefix="0" xfId="0">
      <alignment horizontal="general" vertical="bottom"/>
    </xf>
    <xf numFmtId="166" fontId="22" fillId="0" borderId="1" applyAlignment="1" pivotButton="0" quotePrefix="0" xfId="0">
      <alignment horizontal="right" vertical="center"/>
    </xf>
    <xf numFmtId="0" fontId="22" fillId="0" borderId="0" applyAlignment="1" pivotButton="0" quotePrefix="0" xfId="0">
      <alignment horizontal="general" vertical="center"/>
    </xf>
    <xf numFmtId="166" fontId="22" fillId="0" borderId="0" applyAlignment="1" pivotButton="0" quotePrefix="0" xfId="0">
      <alignment horizontal="right" vertical="center"/>
    </xf>
    <xf numFmtId="0" fontId="5" fillId="2" borderId="66" applyAlignment="1" pivotButton="0" quotePrefix="0" xfId="0">
      <alignment horizontal="left" vertical="center"/>
    </xf>
    <xf numFmtId="0" fontId="5" fillId="14" borderId="1" applyAlignment="1" pivotButton="0" quotePrefix="0" xfId="0">
      <alignment horizontal="left" vertical="center"/>
    </xf>
    <xf numFmtId="0" fontId="5" fillId="14" borderId="66" applyAlignment="1" pivotButton="0" quotePrefix="0" xfId="0">
      <alignment horizontal="left" vertical="center"/>
    </xf>
    <xf numFmtId="0" fontId="21" fillId="0" borderId="0" applyAlignment="1" pivotButton="0" quotePrefix="0" xfId="0">
      <alignment horizontal="left" vertical="center"/>
    </xf>
    <xf numFmtId="0" fontId="21" fillId="0" borderId="0" applyAlignment="1" pivotButton="0" quotePrefix="0" xfId="0">
      <alignment horizontal="general" vertical="bottom"/>
    </xf>
    <xf numFmtId="166" fontId="25" fillId="0" borderId="0" applyAlignment="1" pivotButton="0" quotePrefix="0" xfId="0">
      <alignment horizontal="general" vertical="bottom"/>
    </xf>
    <xf numFmtId="0" fontId="30" fillId="0" borderId="66" applyAlignment="1" pivotButton="0" quotePrefix="0" xfId="0">
      <alignment horizontal="general" vertical="bottom"/>
    </xf>
    <xf numFmtId="166" fontId="30" fillId="0" borderId="66" applyAlignment="1" pivotButton="0" quotePrefix="0" xfId="0">
      <alignment horizontal="general" vertical="bottom"/>
    </xf>
    <xf numFmtId="0" fontId="30" fillId="0" borderId="0" applyAlignment="1" pivotButton="0" quotePrefix="0" xfId="0">
      <alignment horizontal="general" vertical="bottom"/>
    </xf>
    <xf numFmtId="166" fontId="30" fillId="0" borderId="0" applyAlignment="1" pivotButton="0" quotePrefix="0" xfId="0">
      <alignment horizontal="general" vertical="bottom"/>
    </xf>
    <xf numFmtId="0" fontId="0" fillId="0" borderId="0" applyAlignment="1" pivotButton="0" quotePrefix="0" xfId="0">
      <alignment horizontal="left" vertical="center"/>
    </xf>
    <xf numFmtId="0" fontId="29" fillId="0" borderId="0" applyAlignment="1" pivotButton="0" quotePrefix="0" xfId="0">
      <alignment horizontal="general" vertical="bottom"/>
    </xf>
    <xf numFmtId="0" fontId="51" fillId="0" borderId="0" applyAlignment="1" pivotButton="0" quotePrefix="0" xfId="0">
      <alignment horizontal="center" vertical="center"/>
    </xf>
    <xf numFmtId="9" fontId="29" fillId="0" borderId="0" applyAlignment="1" pivotButton="0" quotePrefix="0" xfId="0">
      <alignment horizontal="general" vertical="bottom"/>
    </xf>
    <xf numFmtId="165" fontId="23" fillId="0" borderId="0" applyAlignment="1" pivotButton="0" quotePrefix="0" xfId="0">
      <alignment horizontal="right" vertical="center"/>
    </xf>
    <xf numFmtId="166" fontId="5" fillId="2" borderId="0" applyAlignment="1" pivotButton="0" quotePrefix="0" xfId="0">
      <alignment horizontal="general" vertical="bottom"/>
    </xf>
    <xf numFmtId="0" fontId="24" fillId="0" borderId="27" applyAlignment="1" pivotButton="0" quotePrefix="0" xfId="0">
      <alignment horizontal="left" vertical="bottom"/>
    </xf>
    <xf numFmtId="0" fontId="7" fillId="7" borderId="0" applyAlignment="1" pivotButton="0" quotePrefix="0" xfId="0">
      <alignment horizontal="left" vertical="center" wrapText="1"/>
    </xf>
    <xf numFmtId="176" fontId="7" fillId="7" borderId="0" applyAlignment="1" pivotButton="0" quotePrefix="0" xfId="0">
      <alignment horizontal="left" vertical="center" wrapText="1"/>
    </xf>
    <xf numFmtId="0" fontId="0" fillId="0" borderId="0" applyAlignment="1" pivotButton="0" quotePrefix="0" xfId="0">
      <alignment horizontal="left" vertical="center" wrapText="1"/>
    </xf>
    <xf numFmtId="2" fontId="23" fillId="0" borderId="1" applyAlignment="1" pivotButton="0" quotePrefix="0" xfId="0">
      <alignment horizontal="right" vertical="center"/>
    </xf>
    <xf numFmtId="2" fontId="23" fillId="10" borderId="1" applyAlignment="1" pivotButton="0" quotePrefix="0" xfId="0">
      <alignment horizontal="right" vertical="center"/>
    </xf>
    <xf numFmtId="166" fontId="22" fillId="0" borderId="0" applyAlignment="1" pivotButton="0" quotePrefix="0" xfId="0">
      <alignment horizontal="general" vertical="bottom"/>
    </xf>
    <xf numFmtId="0" fontId="5" fillId="14" borderId="27" applyAlignment="1" pivotButton="0" quotePrefix="0" xfId="0">
      <alignment horizontal="center" vertical="center" wrapText="1"/>
    </xf>
    <xf numFmtId="166"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6" fontId="25" fillId="3" borderId="66" applyAlignment="1" applyProtection="1" pivotButton="0" quotePrefix="0" xfId="0">
      <alignment horizontal="general" vertical="bottom"/>
      <protection locked="0" hidden="0"/>
    </xf>
    <xf numFmtId="0" fontId="30" fillId="10" borderId="0" applyAlignment="1" pivotButton="0" quotePrefix="0" xfId="0">
      <alignment horizontal="general" vertical="bottom"/>
    </xf>
    <xf numFmtId="2" fontId="22" fillId="10" borderId="0" applyAlignment="1" pivotButton="0" quotePrefix="0" xfId="0">
      <alignment horizontal="right" vertical="center"/>
    </xf>
    <xf numFmtId="2" fontId="7" fillId="10" borderId="0" applyAlignment="1" pivotButton="0" quotePrefix="0" xfId="0">
      <alignment horizontal="left" vertical="center" wrapText="1"/>
    </xf>
    <xf numFmtId="165" fontId="7" fillId="10" borderId="0" applyAlignment="1" pivotButton="0" quotePrefix="0" xfId="0">
      <alignment horizontal="right" vertical="center"/>
    </xf>
    <xf numFmtId="2" fontId="22" fillId="0" borderId="0" applyAlignment="1" pivotButton="0" quotePrefix="0" xfId="0">
      <alignment horizontal="right" vertical="center"/>
    </xf>
    <xf numFmtId="0" fontId="58" fillId="0" borderId="0" applyAlignment="1" pivotButton="0" quotePrefix="0" xfId="0">
      <alignment horizontal="general" vertical="bottom"/>
    </xf>
    <xf numFmtId="0" fontId="56" fillId="14" borderId="66" applyAlignment="1" pivotButton="0" quotePrefix="0" xfId="0">
      <alignment horizontal="center" vertical="center" wrapText="1"/>
    </xf>
    <xf numFmtId="0" fontId="24" fillId="0" borderId="28" applyAlignment="1" pivotButton="0" quotePrefix="0" xfId="0">
      <alignment horizontal="general" vertical="bottom"/>
    </xf>
    <xf numFmtId="0" fontId="22" fillId="10" borderId="1" applyAlignment="1" pivotButton="0" quotePrefix="0" xfId="0">
      <alignment horizontal="general" vertical="center"/>
    </xf>
    <xf numFmtId="166" fontId="22" fillId="10" borderId="1" applyAlignment="1" pivotButton="0" quotePrefix="0" xfId="0">
      <alignment horizontal="right" vertical="center"/>
    </xf>
    <xf numFmtId="0" fontId="22" fillId="0" borderId="0" applyAlignment="1" pivotButton="0" quotePrefix="0" xfId="0">
      <alignment horizontal="general" vertical="bottom"/>
    </xf>
    <xf numFmtId="2" fontId="7" fillId="0" borderId="0" applyAlignment="1" pivotButton="0" quotePrefix="0" xfId="0">
      <alignment horizontal="left" vertical="center" wrapText="1"/>
    </xf>
    <xf numFmtId="166" fontId="21" fillId="14" borderId="66" applyAlignment="1" pivotButton="0" quotePrefix="0" xfId="0">
      <alignment horizontal="center" vertical="center" wrapText="1"/>
    </xf>
    <xf numFmtId="166" fontId="5" fillId="2" borderId="0" applyAlignment="1" pivotButton="0" quotePrefix="0" xfId="0">
      <alignment horizontal="left" vertical="center"/>
    </xf>
    <xf numFmtId="166" fontId="9" fillId="3" borderId="66" applyAlignment="1" applyProtection="1" pivotButton="0" quotePrefix="0" xfId="0">
      <alignment horizontal="general" vertical="bottom"/>
      <protection locked="0" hidden="0"/>
    </xf>
    <xf numFmtId="166" fontId="0" fillId="0" borderId="66" applyAlignment="1" pivotButton="0" quotePrefix="0" xfId="0">
      <alignment horizontal="general" vertical="bottom"/>
    </xf>
    <xf numFmtId="0" fontId="25" fillId="0" borderId="66" applyAlignment="1" pivotButton="0" quotePrefix="0" xfId="0">
      <alignment horizontal="general" vertical="bottom"/>
    </xf>
    <xf numFmtId="0" fontId="9" fillId="0" borderId="0" applyAlignment="1" pivotButton="0" quotePrefix="0" xfId="0">
      <alignment horizontal="left" vertical="center"/>
    </xf>
    <xf numFmtId="166" fontId="59" fillId="10" borderId="1" applyAlignment="1" pivotButton="0" quotePrefix="0" xfId="0">
      <alignment horizontal="general" vertical="bottom"/>
    </xf>
    <xf numFmtId="0" fontId="25" fillId="0" borderId="0" applyAlignment="1" pivotButton="0" quotePrefix="0" xfId="0">
      <alignment horizontal="left" vertical="center"/>
    </xf>
    <xf numFmtId="0" fontId="25" fillId="0" borderId="0" applyAlignment="1" pivotButton="0" quotePrefix="0" xfId="0">
      <alignment horizontal="left" vertical="center" wrapText="1"/>
    </xf>
    <xf numFmtId="165" fontId="60" fillId="3" borderId="66" applyAlignment="1" applyProtection="1" pivotButton="0" quotePrefix="0" xfId="0">
      <alignment horizontal="left" vertical="center"/>
      <protection locked="0" hidden="0"/>
    </xf>
    <xf numFmtId="165" fontId="25" fillId="0" borderId="1" applyAlignment="1" pivotButton="0" quotePrefix="0" xfId="0">
      <alignment horizontal="general" vertical="bottom"/>
    </xf>
    <xf numFmtId="0" fontId="30" fillId="0" borderId="1" applyAlignment="1" pivotButton="0" quotePrefix="0" xfId="0">
      <alignment horizontal="left" vertical="center" wrapText="1"/>
    </xf>
    <xf numFmtId="0" fontId="61" fillId="0" borderId="0" applyAlignment="1" pivotButton="0" quotePrefix="0" xfId="0">
      <alignment horizontal="general" vertical="center"/>
    </xf>
    <xf numFmtId="0" fontId="7" fillId="30" borderId="1" applyAlignment="1" pivotButton="0" quotePrefix="0" xfId="0">
      <alignment horizontal="left" vertical="center"/>
    </xf>
    <xf numFmtId="175" fontId="6" fillId="0" borderId="0" applyAlignment="1" pivotButton="0" quotePrefix="0" xfId="0">
      <alignment horizontal="right" vertical="center"/>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0" fontId="7" fillId="7" borderId="1" applyAlignment="1" pivotButton="0" quotePrefix="0" xfId="0">
      <alignment horizontal="left" vertical="center"/>
    </xf>
    <xf numFmtId="175" fontId="7" fillId="7" borderId="1" applyAlignment="1" pivotButton="0" quotePrefix="0" xfId="0">
      <alignment horizontal="right" vertical="center"/>
    </xf>
    <xf numFmtId="164" fontId="7" fillId="7" borderId="1" applyAlignment="1" pivotButton="0" quotePrefix="0" xfId="0">
      <alignment horizontal="right" vertical="center"/>
    </xf>
    <xf numFmtId="165" fontId="7" fillId="7" borderId="1" applyAlignment="1" pivotButton="0" quotePrefix="0" xfId="0">
      <alignment horizontal="right" vertical="center"/>
    </xf>
    <xf numFmtId="0" fontId="23" fillId="0" borderId="0" applyAlignment="1" pivotButton="0" quotePrefix="0" xfId="0">
      <alignment horizontal="left" vertical="center"/>
    </xf>
    <xf numFmtId="0" fontId="6" fillId="0" borderId="1" applyAlignment="1" pivotButton="0" quotePrefix="0" xfId="0">
      <alignment horizontal="right" vertical="center"/>
    </xf>
    <xf numFmtId="164" fontId="7" fillId="10" borderId="67" applyAlignment="1" pivotButton="0" quotePrefix="0" xfId="0">
      <alignment horizontal="right" vertical="center"/>
    </xf>
    <xf numFmtId="0" fontId="62" fillId="0" borderId="0" applyAlignment="1" pivotButton="0" quotePrefix="0" xfId="0">
      <alignment horizontal="general" vertical="bottom"/>
    </xf>
    <xf numFmtId="177" fontId="62" fillId="0" borderId="0" applyAlignment="1" pivotButton="0" quotePrefix="0" xfId="0">
      <alignment horizontal="right" vertical="center"/>
    </xf>
    <xf numFmtId="0" fontId="48" fillId="0" borderId="0" applyAlignment="1" pivotButton="0" quotePrefix="0" xfId="0">
      <alignment horizontal="general" vertical="bottom"/>
    </xf>
    <xf numFmtId="178" fontId="62" fillId="0" borderId="0" applyAlignment="1" pivotButton="0" quotePrefix="0" xfId="0">
      <alignment horizontal="right" vertical="center"/>
    </xf>
    <xf numFmtId="164" fontId="7" fillId="30" borderId="1" applyAlignment="1" pivotButton="0" quotePrefix="0" xfId="0">
      <alignment horizontal="right" vertical="center"/>
    </xf>
    <xf numFmtId="0" fontId="63" fillId="0" borderId="0" applyAlignment="1" pivotButton="0" quotePrefix="0" xfId="0">
      <alignment horizontal="general" vertical="bottom"/>
    </xf>
    <xf numFmtId="1" fontId="62" fillId="0" borderId="0" applyAlignment="1" pivotButton="0" quotePrefix="0" xfId="0">
      <alignment horizontal="general" vertical="bottom"/>
    </xf>
    <xf numFmtId="4" fontId="6" fillId="0" borderId="0" applyAlignment="1" pivotButton="0" quotePrefix="0" xfId="0">
      <alignment horizontal="left" vertical="center"/>
    </xf>
    <xf numFmtId="0" fontId="0" fillId="0" borderId="0" applyAlignment="1" pivotButton="0" quotePrefix="0" xfId="0">
      <alignment horizontal="right" vertical="center"/>
    </xf>
    <xf numFmtId="178" fontId="6" fillId="0" borderId="0" applyAlignment="1" pivotButton="0" quotePrefix="0" xfId="0">
      <alignment horizontal="left" vertical="center"/>
    </xf>
    <xf numFmtId="9" fontId="6" fillId="3" borderId="0" applyAlignment="1" applyProtection="1" pivotButton="0" quotePrefix="0" xfId="0">
      <alignment horizontal="right" vertical="center"/>
      <protection locked="0" hidden="0"/>
    </xf>
    <xf numFmtId="0" fontId="64" fillId="0" borderId="0" applyAlignment="1" pivotButton="0" quotePrefix="0" xfId="0">
      <alignment horizontal="general" vertical="center"/>
    </xf>
    <xf numFmtId="0" fontId="22" fillId="10" borderId="67" applyAlignment="1" pivotButton="0" quotePrefix="0" xfId="0">
      <alignment horizontal="left" vertical="center"/>
    </xf>
    <xf numFmtId="0" fontId="23" fillId="0" borderId="1" applyAlignment="1" pivotButton="0" quotePrefix="0" xfId="0">
      <alignment horizontal="left" vertical="center"/>
    </xf>
    <xf numFmtId="179" fontId="6" fillId="0" borderId="0" applyAlignment="1" pivotButton="0" quotePrefix="0" xfId="0">
      <alignment horizontal="right" vertical="center"/>
    </xf>
    <xf numFmtId="175" fontId="6" fillId="3" borderId="0" applyAlignment="1" applyProtection="1" pivotButton="0" quotePrefix="0" xfId="0">
      <alignment horizontal="right" vertical="center"/>
      <protection locked="0" hidden="0"/>
    </xf>
    <xf numFmtId="175" fontId="7" fillId="0" borderId="0" applyAlignment="1" pivotButton="0" quotePrefix="0" xfId="0">
      <alignment horizontal="right" vertical="center"/>
    </xf>
    <xf numFmtId="0" fontId="6" fillId="3" borderId="0" applyAlignment="1" applyProtection="1" pivotButton="0" quotePrefix="0" xfId="0">
      <alignment horizontal="left" vertical="center" wrapText="1"/>
      <protection locked="0" hidden="0"/>
    </xf>
    <xf numFmtId="0" fontId="6" fillId="0" borderId="0" applyAlignment="1" pivotButton="0" quotePrefix="0" xfId="0">
      <alignment horizontal="left" vertical="center" wrapText="1"/>
    </xf>
    <xf numFmtId="0" fontId="7" fillId="10" borderId="67" applyAlignment="1" pivotButton="0" quotePrefix="0" xfId="0">
      <alignment horizontal="right" vertical="center"/>
    </xf>
    <xf numFmtId="0" fontId="7" fillId="7" borderId="1" applyAlignment="1" pivotButton="0" quotePrefix="0" xfId="0">
      <alignment horizontal="right" vertical="center"/>
    </xf>
    <xf numFmtId="0" fontId="62" fillId="0" borderId="0" applyAlignment="1" pivotButton="0" quotePrefix="0" xfId="0">
      <alignment horizontal="left" vertical="center"/>
    </xf>
    <xf numFmtId="165" fontId="62" fillId="0" borderId="0" applyAlignment="1" pivotButton="0" quotePrefix="0" xfId="0">
      <alignment horizontal="right" vertical="center"/>
    </xf>
    <xf numFmtId="0" fontId="23" fillId="7" borderId="1" applyAlignment="1" pivotButton="0" quotePrefix="0" xfId="0">
      <alignment horizontal="left" vertical="center"/>
    </xf>
    <xf numFmtId="0" fontId="6" fillId="7" borderId="1" applyAlignment="1" pivotButton="0" quotePrefix="0" xfId="0">
      <alignment horizontal="left" vertical="center"/>
    </xf>
    <xf numFmtId="0" fontId="20" fillId="2" borderId="0" applyAlignment="1" pivotButton="0" quotePrefix="0" xfId="0">
      <alignment horizontal="left" vertical="center"/>
    </xf>
    <xf numFmtId="9" fontId="6" fillId="0" borderId="0" applyAlignment="1" pivotButton="0" quotePrefix="0" xfId="0">
      <alignment horizontal="right" vertical="center"/>
    </xf>
    <xf numFmtId="0" fontId="69" fillId="0" borderId="0" pivotButton="0" quotePrefix="0" xfId="0"/>
    <xf numFmtId="0" fontId="70" fillId="33" borderId="0" applyAlignment="1" pivotButton="0" quotePrefix="0" xfId="0">
      <alignment horizontal="center" vertical="center" wrapText="1"/>
    </xf>
    <xf numFmtId="181" fontId="0" fillId="0" borderId="0" pivotButton="0" quotePrefix="0" xfId="0"/>
    <xf numFmtId="9" fontId="0" fillId="34" borderId="0" applyProtection="1" pivotButton="0" quotePrefix="0" xfId="0">
      <protection locked="0" hidden="0"/>
    </xf>
    <xf numFmtId="0" fontId="0" fillId="35" borderId="0" pivotButton="0" quotePrefix="0" xfId="0"/>
    <xf numFmtId="181" fontId="0" fillId="35" borderId="0" pivotButton="0" quotePrefix="0" xfId="0"/>
    <xf numFmtId="0" fontId="71" fillId="35" borderId="0" pivotButton="0" quotePrefix="0" xfId="0"/>
    <xf numFmtId="181" fontId="71" fillId="35" borderId="0" pivotButton="0" quotePrefix="0" xfId="0"/>
    <xf numFmtId="0" fontId="71" fillId="0" borderId="0" pivotButton="0" quotePrefix="0" xfId="0"/>
    <xf numFmtId="181" fontId="71" fillId="0" borderId="0" pivotButton="0" quotePrefix="0" xfId="0"/>
    <xf numFmtId="0" fontId="71" fillId="0" borderId="0" applyAlignment="1" pivotButton="0" quotePrefix="0" xfId="0">
      <alignment horizontal="right" wrapText="1"/>
    </xf>
    <xf numFmtId="1" fontId="0" fillId="0" borderId="0" pivotButton="0" quotePrefix="0" xfId="0"/>
    <xf numFmtId="1" fontId="71" fillId="0" borderId="0" pivotButton="0" quotePrefix="0" xfId="0"/>
    <xf numFmtId="0" fontId="71" fillId="0" borderId="0" applyAlignment="1" pivotButton="0" quotePrefix="0" xfId="0">
      <alignment horizontal="center" vertical="bottom" wrapText="1"/>
    </xf>
    <xf numFmtId="0" fontId="68" fillId="0" borderId="0" applyAlignment="1" pivotButton="0" quotePrefix="0" xfId="0">
      <alignment horizontal="general" vertical="center"/>
    </xf>
    <xf numFmtId="177" fontId="6" fillId="0" borderId="1" applyAlignment="1" pivotButton="0" quotePrefix="0" xfId="0">
      <alignment horizontal="right" vertical="center"/>
    </xf>
    <xf numFmtId="178" fontId="6" fillId="0" borderId="1" applyAlignment="1" pivotButton="0" quotePrefix="0" xfId="0">
      <alignment horizontal="right" vertical="center"/>
    </xf>
    <xf numFmtId="177" fontId="7" fillId="10" borderId="67" applyAlignment="1" pivotButton="0" quotePrefix="0" xfId="0">
      <alignment horizontal="right" vertical="center"/>
    </xf>
    <xf numFmtId="0" fontId="23" fillId="0" borderId="0" applyAlignment="1" pivotButton="0" quotePrefix="0" xfId="0">
      <alignment horizontal="left" vertical="center" wrapText="1"/>
    </xf>
    <xf numFmtId="0" fontId="25" fillId="0" borderId="0" applyAlignment="1" pivotButton="0" quotePrefix="0" xfId="0">
      <alignment horizontal="general" vertical="bottom"/>
    </xf>
    <xf numFmtId="9" fontId="0" fillId="0" borderId="0" applyAlignment="1" pivotButton="0" quotePrefix="0" xfId="0">
      <alignment horizontal="general" vertical="bottom"/>
    </xf>
    <xf numFmtId="0" fontId="6" fillId="3" borderId="1" applyAlignment="1" applyProtection="1" pivotButton="0" quotePrefix="0" xfId="0">
      <alignment horizontal="left" vertical="center"/>
      <protection locked="0" hidden="0"/>
    </xf>
    <xf numFmtId="180" fontId="6" fillId="3" borderId="1" applyAlignment="1" applyProtection="1" pivotButton="0" quotePrefix="0" xfId="0">
      <alignment horizontal="left" vertical="center"/>
      <protection locked="0" hidden="0"/>
    </xf>
    <xf numFmtId="9" fontId="25" fillId="0" borderId="0" applyAlignment="1" pivotButton="0" quotePrefix="0" xfId="0">
      <alignment horizontal="general" vertical="bottom"/>
    </xf>
    <xf numFmtId="175" fontId="25" fillId="0" borderId="0" applyAlignment="1" pivotButton="0" quotePrefix="0" xfId="0">
      <alignment horizontal="general" vertical="bottom"/>
    </xf>
    <xf numFmtId="0" fontId="6" fillId="3" borderId="1" applyAlignment="1" applyProtection="1" pivotButton="0" quotePrefix="0" xfId="0">
      <alignment horizontal="general" vertical="bottom"/>
      <protection locked="0" hidden="0"/>
    </xf>
    <xf numFmtId="181" fontId="0" fillId="0" borderId="0" applyAlignment="1" pivotButton="0" quotePrefix="0" xfId="0">
      <alignment horizontal="general" vertical="bottom"/>
    </xf>
    <xf numFmtId="181" fontId="0" fillId="0" borderId="0" pivotButton="0" quotePrefix="0" xfId="0"/>
    <xf numFmtId="181" fontId="0" fillId="35" borderId="0" pivotButton="0" quotePrefix="0" xfId="0"/>
    <xf numFmtId="181" fontId="71" fillId="35" borderId="0" pivotButton="0" quotePrefix="0" xfId="0"/>
    <xf numFmtId="181" fontId="71" fillId="0" borderId="0" pivotButton="0" quotePrefix="0" xfId="0"/>
    <xf numFmtId="181" fontId="0" fillId="0" borderId="0"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2">
    <dxf>
      <fill>
        <patternFill patternType="solid">
          <fgColor rgb="FF4F6228"/>
          <bgColor rgb="FF000000"/>
        </patternFill>
      </fill>
    </dxf>
    <dxf>
      <fill>
        <patternFill patternType="solid">
          <fgColor rgb="FFFDEADA"/>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6E0EC"/>
          <bgColor rgb="FF000000"/>
        </patternFill>
      </fill>
    </dxf>
    <dxf>
      <fill>
        <patternFill patternType="solid">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DCE6F2"/>
          <bgColor rgb="FF000000"/>
        </patternFill>
      </fill>
    </dxf>
    <dxf>
      <fill>
        <patternFill patternType="solid">
          <fgColor rgb="FFA6A6A6"/>
          <bgColor rgb="FF000000"/>
        </patternFill>
      </fill>
    </dxf>
    <dxf>
      <fill>
        <patternFill patternType="solid">
          <fgColor rgb="FFFF0000"/>
          <bgColor rgb="FF000000"/>
        </patternFill>
      </fill>
    </dxf>
    <dxf>
      <font>
        <color rgb="FFFF0000"/>
      </font>
    </dxf>
  </dxfs>
  <colors>
    <indexedColors>
      <rgbColor rgb="FF000000"/>
      <rgbColor rgb="FFFFFFFF"/>
      <rgbColor rgb="FFFF0000"/>
      <rgbColor rgb="FF00FF00"/>
      <rgbColor rgb="FF0000FF"/>
      <rgbColor rgb="FFF5F4F0"/>
      <rgbColor rgb="FFFF00FF"/>
      <rgbColor rgb="FF00FFFF"/>
      <rgbColor rgb="FF800000"/>
      <rgbColor rgb="FF4F6228"/>
      <rgbColor rgb="FF000099"/>
      <rgbColor rgb="FF77933C"/>
      <rgbColor rgb="FF800080"/>
      <rgbColor rgb="FF1F4E78"/>
      <rgbColor rgb="FFBFBFBF"/>
      <rgbColor rgb="FF808080"/>
      <rgbColor rgb="FFAEAEAE"/>
      <rgbColor rgb="FF993366"/>
      <rgbColor rgb="FFFFF2CC"/>
      <rgbColor rgb="FFDDEBF7"/>
      <rgbColor rgb="FF660066"/>
      <rgbColor rgb="FFE6E0EC"/>
      <rgbColor rgb="FF1F4E79"/>
      <rgbColor rgb="FFB8D0ED"/>
      <rgbColor rgb="FF18249C"/>
      <rgbColor rgb="FFFF00FF"/>
      <rgbColor rgb="FFF2F2F2"/>
      <rgbColor rgb="FF00FFFF"/>
      <rgbColor rgb="FF800080"/>
      <rgbColor rgb="FF800000"/>
      <rgbColor rgb="FF1F497D"/>
      <rgbColor rgb="FF0000FF"/>
      <rgbColor rgb="FF00CCFF"/>
      <rgbColor rgb="FFDCEAF7"/>
      <rgbColor rgb="FFE7EAED"/>
      <rgbColor rgb="FFFDEADA"/>
      <rgbColor rgb="FFB8C9CC"/>
      <rgbColor rgb="FFFBE3D6"/>
      <rgbColor rgb="FFD9D9D9"/>
      <rgbColor rgb="FFDDD9C3"/>
      <rgbColor rgb="FF3366FF"/>
      <rgbColor rgb="FFDCE6F2"/>
      <rgbColor rgb="FF92D050"/>
      <rgbColor rgb="FFFFC000"/>
      <rgbColor rgb="FFBF8F00"/>
      <rgbColor rgb="FFFF6600"/>
      <rgbColor rgb="FF595959"/>
      <rgbColor rgb="FFA6A6A6"/>
      <rgbColor rgb="FF002F6C"/>
      <rgbColor rgb="FF7F7F7F"/>
      <rgbColor rgb="FF151515"/>
      <rgbColor rgb="FF375623"/>
      <rgbColor rgb="FF993300"/>
      <rgbColor rgb="FF993366"/>
      <rgbColor rgb="FF1D2E99"/>
      <rgbColor rgb="FF0F2E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Unknown Author</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Unknown Author</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Unknown Author</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Unknown Author</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Unknown Author</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Unknown Author</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Unknown Author</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Unknown Author</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Unknown Author</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filterMode="0">
    <outlinePr summaryBelow="1" summaryRight="1"/>
    <pageSetUpPr fitToPage="1"/>
  </sheetPr>
  <dimension ref="B2:C45"/>
  <sheetViews>
    <sheetView showFormulas="0" showGridLines="0" showRowColHeaders="1" showZeros="1" rightToLeft="0" tabSelected="0" showOutlineSymbols="1" defaultGridColor="1" view="normal" topLeftCell="A26" colorId="64" zoomScale="100" zoomScaleNormal="100" zoomScalePageLayoutView="100" workbookViewId="0">
      <selection pane="topLeft" activeCell="A1" activeCellId="0" sqref="A1"/>
    </sheetView>
  </sheetViews>
  <sheetFormatPr baseColWidth="8" defaultColWidth="8.54296875" defaultRowHeight="14.25" zeroHeight="0" outlineLevelRow="0"/>
  <cols>
    <col width="2" customWidth="1" style="534" min="1" max="1"/>
    <col width="62" customWidth="1" style="534" min="2" max="2"/>
    <col width="18" customWidth="1" style="534" min="3" max="3"/>
  </cols>
  <sheetData>
    <row r="2" ht="21" customHeight="1" s="535">
      <c r="B2" s="536" t="inlineStr">
        <is>
          <t>TDD operating model - executive summary</t>
        </is>
      </c>
    </row>
    <row r="4" ht="18.75" customHeight="1" s="535">
      <c r="B4" s="537" t="inlineStr">
        <is>
          <t>The organisation today</t>
        </is>
      </c>
      <c r="C4" s="538" t="n"/>
    </row>
    <row r="5" ht="14.25" customHeight="1" s="535">
      <c r="B5" s="539" t="inlineStr">
        <is>
          <t>Roles in the role mapping</t>
        </is>
      </c>
      <c r="C5" s="540">
        <f>'3.1 Archetype to Actuals'!$J$21</f>
        <v>526</v>
      </c>
    </row>
    <row r="6" ht="14.25" customHeight="1" s="535">
      <c r="B6" s="539" t="inlineStr">
        <is>
          <t>Filled</t>
        </is>
      </c>
      <c r="C6" s="540">
        <f>'3.1 Archetype to Actuals'!$K$21</f>
        <v>399</v>
      </c>
    </row>
    <row r="7" ht="14.25" customHeight="1" s="535">
      <c r="B7" s="539" t="inlineStr">
        <is>
          <t>Vacant</t>
        </is>
      </c>
      <c r="C7" s="540">
        <f>'3.1 Archetype to Actuals'!$L$21</f>
        <v>127</v>
      </c>
    </row>
    <row r="8" ht="14.25" customHeight="1" s="535">
      <c r="B8" s="539" t="str">
        <f>"Cost of the "&amp;TEXT(COUNTA('REVIEW - Complete Role Mapping'!$B$2:$B$700),"0")&amp;" roles in the role mapping ($m)"</f>
        <v>Cost of the 526 roles in the role mapping ($m)</v>
      </c>
      <c r="C8" s="541">
        <f>'3.1 Archetype to Actuals'!$E$21</f>
        <v>114.029147297163</v>
      </c>
    </row>
    <row r="9" ht="14.25" customHeight="1" s="535">
      <c r="B9" s="539" t="inlineStr">
        <is>
          <t>Of which filled roles ($m)</t>
        </is>
      </c>
      <c r="C9" s="541">
        <f>SUMIFS('REVIEW - Complete Role Mapping'!$AE$2:$AE$700,'REVIEW - Complete Role Mapping'!$AF$2:$AF$700,"Filled")/1000000</f>
        <v>87.2288934946635</v>
      </c>
    </row>
    <row r="10" ht="14.25" customHeight="1" s="535">
      <c r="B10" s="539" t="inlineStr">
        <is>
          <t>Of which vacancies not yet filled ($m)</t>
        </is>
      </c>
      <c r="C10" s="541">
        <f>SUMIFS('REVIEW - Complete Role Mapping'!$AE$2:$AE$700,'REVIEW - Complete Role Mapping'!$AF$2:$AF$700,"Vacant")/1000000</f>
        <v>26.8002538025</v>
      </c>
    </row>
    <row r="11" ht="14.25" customHeight="1" s="535">
      <c r="B11" s="539" t="inlineStr">
        <is>
          <t>The 8 GMs, outside the role mapping ($m)</t>
        </is>
      </c>
      <c r="C11" s="541">
        <f>N(Lists!$AG$13)</f>
        <v>5.1</v>
      </c>
    </row>
    <row r="12" ht="14.25" customHeight="1" s="535">
      <c r="B12" s="539" t="inlineStr">
        <is>
          <t>Cost today including the GM layer ($m)</t>
        </is>
      </c>
      <c r="C12" s="541">
        <f>'3.1 Archetype to Actuals'!$E$24</f>
        <v>119.129147297163</v>
      </c>
    </row>
    <row r="14" ht="18.75" customHeight="1" s="535">
      <c r="B14" s="537" t="inlineStr">
        <is>
          <t>Against the archetype</t>
        </is>
      </c>
      <c r="C14" s="538" t="n"/>
    </row>
    <row r="15" ht="14.25" customHeight="1" s="535">
      <c r="B15" s="539" t="inlineStr">
        <is>
          <t>Archetype cost of the whole organisation ($m)</t>
        </is>
      </c>
      <c r="C15" s="541">
        <f>'3.1 Archetype to Actuals'!$D$21</f>
        <v>113.9540138464</v>
      </c>
    </row>
    <row r="16" ht="14.25" customHeight="1" s="535">
      <c r="B16" s="539" t="inlineStr">
        <is>
          <t>Actual cost of the whole organisation ($m)</t>
        </is>
      </c>
      <c r="C16" s="541">
        <f>'3.1 Archetype to Actuals'!$E$21</f>
        <v>114.029147297163</v>
      </c>
    </row>
    <row r="17" ht="14.25" customHeight="1" s="535">
      <c r="B17" s="539" t="inlineStr">
        <is>
          <t>Over/(under) archetype ($m)</t>
        </is>
      </c>
      <c r="C17" s="541">
        <f>'3.1 Archetype to Actuals'!$H$21</f>
        <v>0.075133</v>
      </c>
    </row>
    <row r="18" ht="14.25" customHeight="1" s="535">
      <c r="B18" s="539" t="inlineStr">
        <is>
          <t>The 8 GMs - over/(under) their allowance ($m)</t>
        </is>
      </c>
      <c r="C18" s="541">
        <f>'3.1 Archetype to Actuals'!$H$23</f>
        <v>2.1</v>
      </c>
    </row>
    <row r="19" ht="14.25" customHeight="1" s="535">
      <c r="B19" s="539" t="inlineStr">
        <is>
          <t>Total over/(under) archetype including the GM layer ($m)</t>
        </is>
      </c>
      <c r="C19" s="541">
        <f>'3.1 Archetype to Actuals'!$H$24</f>
        <v>2.175133</v>
      </c>
    </row>
    <row r="20" ht="14.25" customHeight="1" s="535">
      <c r="B20" s="539" t="inlineStr">
        <is>
          <t>Of which overhead roles in the portfolios - above the allowance ($m)</t>
        </is>
      </c>
      <c r="C20" s="541">
        <f>'3.2 Overhead &amp; Leadership'!$K$13</f>
        <v>6.816984</v>
      </c>
    </row>
    <row r="21" ht="14.25" customHeight="1" s="535">
      <c r="B21" s="539" t="inlineStr">
        <is>
          <t>Of which groups with no archetype - Energy and the leadership groups ($m)</t>
        </is>
      </c>
      <c r="C21" s="541">
        <f>N('2.2 Customer'!$O$21)+N('2.3 Enterprise Data'!$O$15)+N('2.7 Infrastructure'!$O$14)</f>
        <v>2.2023285</v>
      </c>
    </row>
    <row r="22" ht="14.25" customHeight="1" s="535">
      <c r="B22" s="539" t="inlineStr">
        <is>
          <t>Over/(under) the allocated TDD budget - 0.2 Data Config ($m)</t>
        </is>
      </c>
      <c r="C22" s="541">
        <f>'0.2 Data Config'!$G$26</f>
        <v>8.89051583026643</v>
      </c>
    </row>
    <row r="24" ht="18.75" customHeight="1" s="535">
      <c r="B24" s="537" t="inlineStr">
        <is>
          <t>The vacancy levers</t>
        </is>
      </c>
      <c r="C24" s="538" t="n"/>
    </row>
    <row r="25" ht="14.25" customHeight="1" s="535">
      <c r="B25" s="539" t="inlineStr">
        <is>
          <t>Vacant roles</t>
        </is>
      </c>
      <c r="C25" s="540">
        <f>'3.1 Archetype to Actuals'!$L$21</f>
        <v>127</v>
      </c>
    </row>
    <row r="26" ht="14.25" customHeight="1" s="535">
      <c r="B26" s="539" t="inlineStr">
        <is>
          <t>Vacancies set to hire</t>
        </is>
      </c>
      <c r="C26" s="540">
        <f>N('2.1 Ampol Retail'!$J$114)+N('2.2 Customer'!$J$132)+N('2.3 Enterprise Data'!$J$67)+N('2.4 TDD Group Functions'!$J$87)+N('2.5 P&amp;C'!$J$49)+N('2.6 Finance'!$J$47)+N('2.7 Infrastructure'!$J$72)+N('2.8 Energy Solutions &amp; B2B'!$J$64)+N('2.9 Commercial Fuels'!$J$76)+N('2.10 Z Retail'!$J$72)+N('2.11 Cyber Risk &amp; Service Ops'!$J$67)+N('2.12 COE BP&amp;T'!$J$59)+N('2.13 COE SA&amp;D'!$J$62)+N('2.14 EGI'!$J$34)+N('2.15 TDD Cyber'!$J$34)</f>
        <v>78</v>
      </c>
    </row>
    <row r="27" ht="14.25" customHeight="1" s="535">
      <c r="B27" s="539" t="inlineStr">
        <is>
          <t>Vacancies set to offshore</t>
        </is>
      </c>
      <c r="C27" s="540">
        <f>N('2.1 Ampol Retail'!$K$114)+N('2.2 Customer'!$K$132)+N('2.3 Enterprise Data'!$K$67)+N('2.4 TDD Group Functions'!$K$87)+N('2.5 P&amp;C'!$K$49)+N('2.6 Finance'!$K$47)+N('2.7 Infrastructure'!$K$72)+N('2.8 Energy Solutions &amp; B2B'!$K$64)+N('2.9 Commercial Fuels'!$K$76)+N('2.10 Z Retail'!$K$72)+N('2.11 Cyber Risk &amp; Service Ops'!$K$67)+N('2.12 COE BP&amp;T'!$K$59)+N('2.13 COE SA&amp;D'!$K$62)+N('2.14 EGI'!$K$34)+N('2.15 TDD Cyber'!$K$34)</f>
        <v>29</v>
      </c>
    </row>
    <row r="28" ht="14.25" customHeight="1" s="535">
      <c r="B28" s="539" t="inlineStr">
        <is>
          <t>Vacancies put on hold</t>
        </is>
      </c>
      <c r="C28" s="540">
        <f>N('2.1 Ampol Retail'!$L$114)+N('2.2 Customer'!$L$132)+N('2.3 Enterprise Data'!$L$67)+N('2.4 TDD Group Functions'!$L$87)+N('2.5 P&amp;C'!$L$49)+N('2.6 Finance'!$L$47)+N('2.7 Infrastructure'!$L$72)+N('2.8 Energy Solutions &amp; B2B'!$L$64)+N('2.9 Commercial Fuels'!$L$76)+N('2.10 Z Retail'!$L$72)+N('2.11 Cyber Risk &amp; Service Ops'!$L$67)+N('2.12 COE BP&amp;T'!$L$59)+N('2.13 COE SA&amp;D'!$L$62)+N('2.14 EGI'!$L$34)+N('2.15 TDD Cyber'!$L$34)</f>
        <v>17</v>
      </c>
    </row>
    <row r="29" ht="14.25" customHeight="1" s="535">
      <c r="B29" s="539" t="inlineStr">
        <is>
          <t>Vacancies set to fill as they are</t>
        </is>
      </c>
      <c r="C29" s="540">
        <f>N('2.1 Ampol Retail'!$M$114)+N('2.2 Customer'!$M$132)+N('2.3 Enterprise Data'!$M$67)+N('2.4 TDD Group Functions'!$M$87)+N('2.5 P&amp;C'!$M$49)+N('2.6 Finance'!$M$47)+N('2.7 Infrastructure'!$M$72)+N('2.8 Energy Solutions &amp; B2B'!$M$64)+N('2.9 Commercial Fuels'!$M$76)+N('2.10 Z Retail'!$M$72)+N('2.11 Cyber Risk &amp; Service Ops'!$M$67)+N('2.12 COE BP&amp;T'!$M$59)+N('2.13 COE SA&amp;D'!$M$62)+N('2.14 EGI'!$M$34)+N('2.15 TDD Cyber'!$M$34)</f>
        <v>3</v>
      </c>
    </row>
    <row r="30" ht="14.25" customHeight="1" s="535">
      <c r="B30" s="539" t="inlineStr">
        <is>
          <t>Filled roles offshored</t>
        </is>
      </c>
      <c r="C30" s="540">
        <f>N('2.1 Ampol Retail'!$N$114)+N('2.2 Customer'!$N$132)+N('2.3 Enterprise Data'!$N$67)+N('2.4 TDD Group Functions'!$N$87)+N('2.5 P&amp;C'!$N$49)+N('2.6 Finance'!$N$47)+N('2.7 Infrastructure'!$N$72)+N('2.8 Energy Solutions &amp; B2B'!$N$64)+N('2.9 Commercial Fuels'!$N$76)+N('2.10 Z Retail'!$N$72)+N('2.11 Cyber Risk &amp; Service Ops'!$N$67)+N('2.12 COE BP&amp;T'!$N$59)+N('2.13 COE SA&amp;D'!$N$62)+N('2.14 EGI'!$N$34)+N('2.15 TDD Cyber'!$N$34)</f>
        <v>19</v>
      </c>
    </row>
    <row r="31" ht="14.25" customHeight="1" s="535">
      <c r="B31" s="539" t="inlineStr">
        <is>
          <t>Roles after the levers set today</t>
        </is>
      </c>
      <c r="C31" s="540">
        <f>'3.1 Archetype to Actuals'!$M$21</f>
        <v>508</v>
      </c>
    </row>
    <row r="32" ht="14.25" customHeight="1" s="535">
      <c r="B32" s="539" t="inlineStr">
        <is>
          <t>Cost after the levers set today ($m)</t>
        </is>
      </c>
      <c r="C32" s="541">
        <f>'3.1 Archetype to Actuals'!$I$21</f>
        <v>101.080567953363</v>
      </c>
    </row>
    <row r="33" ht="14.25" customHeight="1" s="535">
      <c r="B33" s="539" t="inlineStr">
        <is>
          <t>Impact of those levers ($m)</t>
        </is>
      </c>
      <c r="C33" s="541">
        <f>'3.1 Archetype to Actuals'!$I$21-'3.1 Archetype to Actuals'!$E$21</f>
        <v>-12.9485793438</v>
      </c>
    </row>
    <row r="35" ht="18.75" customHeight="1" s="535">
      <c r="B35" s="537" t="inlineStr">
        <is>
          <t>Portfolio drill-down</t>
        </is>
      </c>
      <c r="C35" s="538" t="n"/>
    </row>
    <row r="36" ht="14.25" customHeight="1" s="535">
      <c r="B36" s="542" t="inlineStr">
        <is>
          <t>Pick a portfolio</t>
        </is>
      </c>
      <c r="C36" s="543" t="inlineStr">
        <is>
          <t>Ampol Retail</t>
        </is>
      </c>
    </row>
    <row r="37" ht="14.25" customHeight="1" s="535">
      <c r="B37" s="539" t="inlineStr">
        <is>
          <t>Roles</t>
        </is>
      </c>
      <c r="C37" s="540">
        <f>IF(COUNTIF('3.3 Squad Actuals to Archetype'!$B$6:$B$121,$C$36)=0,"Not a group",ROUND(SUMIFS('3.3 Squad Actuals to Archetype'!$H$6:$H$121,'3.3 Squad Actuals to Archetype'!$B$6:$B$121,$C$36),6))</f>
        <v>69</v>
      </c>
    </row>
    <row r="38" ht="14.25" customHeight="1" s="535">
      <c r="B38" s="539" t="inlineStr">
        <is>
          <t>Filled</t>
        </is>
      </c>
      <c r="C38" s="540">
        <f>IF(COUNTIF('3.3 Squad Actuals to Archetype'!$B$6:$B$121,$C$36)=0,"Not a group",ROUND(SUMIFS('3.3 Squad Actuals to Archetype'!$I$6:$I$121,'3.3 Squad Actuals to Archetype'!$B$6:$B$121,$C$36),6))</f>
        <v>47</v>
      </c>
    </row>
    <row r="39" ht="14.25" customHeight="1" s="535">
      <c r="B39" s="539" t="inlineStr">
        <is>
          <t>Vacant</t>
        </is>
      </c>
      <c r="C39" s="540">
        <f>IF(COUNTIF('3.3 Squad Actuals to Archetype'!$B$6:$B$121,$C$36)=0,"Not a group",ROUND(SUMIFS('3.3 Squad Actuals to Archetype'!$J$6:$J$121,'3.3 Squad Actuals to Archetype'!$B$6:$B$121,$C$36),6))</f>
        <v>22</v>
      </c>
    </row>
    <row r="40" ht="14.25" customHeight="1" s="535">
      <c r="B40" s="539" t="inlineStr">
        <is>
          <t>Roles after levers</t>
        </is>
      </c>
      <c r="C40" s="540">
        <f>IF(COUNTIF('3.3 Squad Actuals to Archetype'!$B$6:$B$121,$C$36)=0,"Not a group",ROUND(SUMIFS('3.3 Squad Actuals to Archetype'!$K$6:$K$121,'3.3 Squad Actuals to Archetype'!$B$6:$B$121,$C$36),6))</f>
        <v>68</v>
      </c>
    </row>
    <row r="41" ht="14.25" customHeight="1" s="535">
      <c r="B41" s="539" t="inlineStr">
        <is>
          <t>Actual cost ($m)</t>
        </is>
      </c>
      <c r="C41" s="541">
        <f>IF(COUNTIF('3.3 Squad Actuals to Archetype'!$B$6:$B$121,$C$36)=0,"Not a group",ROUND(SUMIFS('3.3 Squad Actuals to Archetype'!$M$6:$M$121,'3.3 Squad Actuals to Archetype'!$B$6:$B$121,$C$36),6))</f>
        <v>13.575524</v>
      </c>
    </row>
    <row r="42" ht="14.25" customHeight="1" s="535">
      <c r="B42" s="539" t="inlineStr">
        <is>
          <t>Of which overhead roles ($m)</t>
        </is>
      </c>
      <c r="C42" s="541">
        <f>IF(COUNTIF('3.3 Squad Actuals to Archetype'!$B$6:$B$121,$C$36)=0,"Not a group",ROUND(SUMIFS('3.3 Squad Actuals to Archetype'!$M$6:$M$121,'3.3 Squad Actuals to Archetype'!$B$6:$B$121,$C$36,'3.3 Squad Actuals to Archetype'!$C$6:$C$121,"Overhead"),6))</f>
        <v>1.164735</v>
      </c>
    </row>
    <row r="43" ht="14.25" customHeight="1" s="535">
      <c r="B43" s="539" t="inlineStr">
        <is>
          <t>Squads priced by an archetype - over/(under) archetype ($m)</t>
        </is>
      </c>
      <c r="C43" s="541">
        <f>IF(COUNTIF('3.3 Squad Actuals to Archetype'!$B$6:$B$121,$C$36)=0,"Not a group",ROUND(SUMIFS('3.3 Squad Actuals to Archetype'!$M$6:$M$121,'3.3 Squad Actuals to Archetype'!$B$6:$B$121,$C$36,'3.3 Squad Actuals to Archetype'!$C$6:$C$121,"Archetype",'3.3 Squad Actuals to Archetype'!$L$6:$L$121,"&gt;=0")-SUMIFS('3.3 Squad Actuals to Archetype'!$L$6:$L$121,'3.3 Squad Actuals to Archetype'!$B$6:$B$121,$C$36,'3.3 Squad Actuals to Archetype'!$C$6:$C$121,"Archetype",'3.3 Squad Actuals to Archetype'!$L$6:$L$121,"&gt;=0"),6))</f>
        <v>-0.766476</v>
      </c>
    </row>
    <row r="44" ht="14.25" customHeight="1" s="535">
      <c r="B44" s="539" t="inlineStr">
        <is>
          <t>Directly funded programs - over/(under) funded ($m)</t>
        </is>
      </c>
      <c r="C44" s="541">
        <f>IF(COUNTIF('3.3 Squad Actuals to Archetype'!$B$6:$B$121,$C$36)=0,"Not a group",ROUND(SUMIFS('3.3 Squad Actuals to Archetype'!$M$6:$M$121,'3.3 Squad Actuals to Archetype'!$B$6:$B$121,$C$36,'3.3 Squad Actuals to Archetype'!$C$6:$C$121,"Directly funded",'3.3 Squad Actuals to Archetype'!$L$6:$L$121,"&gt;=0")-SUMIFS('3.3 Squad Actuals to Archetype'!$L$6:$L$121,'3.3 Squad Actuals to Archetype'!$B$6:$B$121,$C$36,'3.3 Squad Actuals to Archetype'!$C$6:$C$121,"Directly funded",'3.3 Squad Actuals to Archetype'!$L$6:$L$121,"&gt;=0"),6))</f>
        <v>0.710941</v>
      </c>
    </row>
    <row r="45" ht="14.25" customHeight="1" s="535">
      <c r="B45" s="539" t="inlineStr">
        <is>
          <t>Cost after vacancy levers ($m)</t>
        </is>
      </c>
      <c r="C45" s="541">
        <f>IF(COUNTIF('3.3 Squad Actuals to Archetype'!$B$6:$B$121,$C$36)=0,"Not a group",ROUND(SUMIFS('3.3 Squad Actuals to Archetype'!$O$6:$O$121,'3.3 Squad Actuals to Archetype'!$B$6:$B$121,$C$36),6))</f>
        <v>11.853657</v>
      </c>
    </row>
  </sheetData>
  <dataValidations count="1">
    <dataValidation sqref="C36" showDropDown="0" showInputMessage="0" showErrorMessage="1" allowBlank="0" errorTitle="Invalid entry" error="Pick a value from the list" type="list" errorStyle="stop" operator="between">
      <formula1>"Ampol Retail,Customer,Enterprise Data,TDD Group Functions,P&amp;C,Finance,Infrastructure,Energy Solutions &amp; B2B,Commercial Fuels,Z Retail,TDD Cyber,COE Cyber,COE BP&amp;T,COE SA&amp;D,EGI"</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21" activeCellId="0" sqref="L21"/>
    </sheetView>
  </sheetViews>
  <sheetFormatPr baseColWidth="8" defaultColWidth="8.54296875" defaultRowHeight="14.25" zeroHeight="0" outlineLevelRow="0"/>
  <cols>
    <col width="2" customWidth="1" style="544" min="1" max="1"/>
    <col width="60" customWidth="1" style="544" min="2" max="2"/>
    <col width="8.539999999999999" customWidth="1" style="544" min="3" max="16384"/>
  </cols>
  <sheetData>
    <row r="2" ht="21" customHeight="1" s="535">
      <c r="B2" s="54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546" min="1" max="1"/>
    <col width="17.73" customWidth="1" style="546" min="2" max="2"/>
    <col width="15.73" customWidth="1" style="546" min="3" max="3"/>
    <col width="12.45" customWidth="1" style="546" min="4" max="4"/>
    <col width="11.18" customWidth="1" style="546" min="5" max="5"/>
    <col width="14.73" customWidth="1" style="546" min="6" max="6"/>
    <col width="9.18" customWidth="1" style="546" min="7" max="7"/>
    <col width="12.73" customWidth="1" style="546" min="8" max="8"/>
    <col width="9.18" customWidth="1" style="546" min="9" max="12"/>
    <col width="12.73" customWidth="1" style="546" min="13" max="13"/>
    <col width="11" customWidth="1" style="546" min="14" max="14"/>
    <col width="9.18" customWidth="1" style="546" min="15" max="16384"/>
  </cols>
  <sheetData>
    <row r="1"/>
    <row r="2" ht="13.5" customHeight="1" s="535"/>
    <row r="3" ht="29.25" customHeight="1" s="535">
      <c r="B3" s="547" t="inlineStr">
        <is>
          <t>BUSINESS</t>
        </is>
      </c>
      <c r="C3" s="548" t="inlineStr">
        <is>
          <t>EGM Sponsor</t>
        </is>
      </c>
      <c r="D3" s="548" t="inlineStr">
        <is>
          <t>GM Sponsor</t>
        </is>
      </c>
      <c r="E3" s="548" t="inlineStr">
        <is>
          <t>Domain Architect</t>
        </is>
      </c>
      <c r="F3" s="548" t="inlineStr">
        <is>
          <t>HO Technology</t>
        </is>
      </c>
      <c r="G3" s="549" t="inlineStr">
        <is>
          <t>Lights-on</t>
        </is>
      </c>
      <c r="H3" s="550" t="n"/>
      <c r="I3" s="550" t="n"/>
      <c r="J3" s="550" t="n"/>
      <c r="K3" s="550" t="n"/>
      <c r="L3" s="551" t="n"/>
      <c r="M3" s="549" t="inlineStr">
        <is>
          <t>Depreciation</t>
        </is>
      </c>
      <c r="N3" s="549" t="inlineStr">
        <is>
          <t>Initiatives</t>
        </is>
      </c>
      <c r="O3" s="549" t="inlineStr">
        <is>
          <t>Sig Items</t>
        </is>
      </c>
      <c r="P3" s="549" t="inlineStr">
        <is>
          <t>Capex</t>
        </is>
      </c>
      <c r="Q3" s="552" t="inlineStr">
        <is>
          <t>Total Budget</t>
        </is>
      </c>
      <c r="R3" s="553" t="n"/>
      <c r="S3" s="554" t="inlineStr">
        <is>
          <t>Existing</t>
        </is>
      </c>
      <c r="T3" s="549" t="inlineStr">
        <is>
          <t>Aligned Delivery</t>
        </is>
      </c>
      <c r="U3" s="549" t="inlineStr">
        <is>
          <t>Aligned COE's</t>
        </is>
      </c>
      <c r="V3" s="552" t="inlineStr">
        <is>
          <t>Total Budget</t>
        </is>
      </c>
    </row>
    <row r="4" ht="29.25" customHeight="1" s="535">
      <c r="B4" s="555" t="inlineStr">
        <is>
          <t>SEGMENT</t>
        </is>
      </c>
      <c r="C4" s="556" t="n"/>
      <c r="D4" s="556" t="n"/>
      <c r="E4" s="556" t="n"/>
      <c r="F4" s="556" t="n"/>
      <c r="G4" s="557" t="inlineStr">
        <is>
          <t>People</t>
        </is>
      </c>
      <c r="H4" s="557" t="inlineStr">
        <is>
          <t>HW</t>
        </is>
      </c>
      <c r="I4" s="557" t="inlineStr">
        <is>
          <t>SW</t>
        </is>
      </c>
      <c r="J4" s="557" t="inlineStr">
        <is>
          <t>Network</t>
        </is>
      </c>
      <c r="K4" s="557" t="inlineStr">
        <is>
          <t>Vendor</t>
        </is>
      </c>
      <c r="L4" s="557" t="inlineStr">
        <is>
          <t>Sub-Total</t>
        </is>
      </c>
      <c r="M4" s="556" t="n"/>
      <c r="N4" s="556" t="n"/>
      <c r="O4" s="556" t="n"/>
      <c r="P4" s="556" t="n"/>
      <c r="Q4" s="558" t="inlineStr">
        <is>
          <t>FY2026</t>
        </is>
      </c>
      <c r="R4" s="559" t="n"/>
      <c r="S4" s="560" t="n"/>
      <c r="T4" s="556" t="n"/>
      <c r="U4" s="556" t="n"/>
      <c r="V4" s="558" t="inlineStr">
        <is>
          <t>FY2026</t>
        </is>
      </c>
    </row>
    <row r="5" ht="22.5" customHeight="1" s="535">
      <c r="B5" s="561" t="inlineStr">
        <is>
          <t>TDD Corporate (1)</t>
        </is>
      </c>
      <c r="C5" s="562" t="inlineStr">
        <is>
          <t>Brad Blyth</t>
        </is>
      </c>
      <c r="D5" s="563" t="n"/>
      <c r="E5" s="563" t="n"/>
      <c r="F5" s="563" t="n"/>
      <c r="G5" s="564" t="n">
        <v>35.2</v>
      </c>
      <c r="H5" s="564" t="n">
        <v>2.9</v>
      </c>
      <c r="I5" s="564" t="n">
        <v>25.6</v>
      </c>
      <c r="J5" s="564" t="n">
        <v>2.1</v>
      </c>
      <c r="K5" s="564" t="n">
        <v>13.1</v>
      </c>
      <c r="L5" s="565">
        <f>SUM(G5:K5)</f>
        <v>78.9</v>
      </c>
      <c r="M5" s="565" t="n">
        <v>5.8</v>
      </c>
      <c r="N5" s="565" t="n">
        <v>3</v>
      </c>
      <c r="O5" s="565" t="n">
        <v>20.2</v>
      </c>
      <c r="P5" s="565" t="n">
        <v>4.9</v>
      </c>
      <c r="Q5" s="566">
        <f>SUM(L5:P5)</f>
        <v>112.8</v>
      </c>
      <c r="R5" s="559" t="n"/>
      <c r="S5" s="567" t="n"/>
      <c r="T5" s="568" t="n"/>
      <c r="U5" s="569">
        <f>SUM(W25:W29)</f>
        <v>91.6</v>
      </c>
      <c r="V5" s="566">
        <f>SUM(S5:U5)</f>
        <v>91.6</v>
      </c>
    </row>
    <row r="6" ht="29.25" customHeight="1" s="535">
      <c r="B6" s="561" t="inlineStr">
        <is>
          <t>Z-Energy (2)</t>
        </is>
      </c>
      <c r="C6" s="562" t="inlineStr">
        <is>
          <t>Lindis Jones</t>
        </is>
      </c>
      <c r="D6" s="562" t="inlineStr">
        <is>
          <t>Vance Anderson</t>
        </is>
      </c>
      <c r="E6" s="563" t="n"/>
      <c r="F6" s="563" t="n"/>
      <c r="G6" s="564" t="n">
        <v>17.6</v>
      </c>
      <c r="H6" s="564" t="n">
        <v>19.8</v>
      </c>
      <c r="I6" s="564" t="n">
        <v>11.6</v>
      </c>
      <c r="J6" s="564" t="n">
        <v>0.6</v>
      </c>
      <c r="K6" s="564" t="n">
        <v>2.6</v>
      </c>
      <c r="L6" s="565">
        <f>SUM(G6:K6)</f>
        <v>52.2</v>
      </c>
      <c r="M6" s="565" t="n">
        <v>11.3</v>
      </c>
      <c r="N6" s="565" t="n">
        <v>1.4</v>
      </c>
      <c r="O6" s="565" t="inlineStr">
        <is>
          <t>-</t>
        </is>
      </c>
      <c r="P6" s="565" t="n">
        <v>11.7</v>
      </c>
      <c r="Q6" s="566">
        <f>SUM(L6:P6)</f>
        <v>76.6</v>
      </c>
      <c r="R6" s="559" t="n"/>
      <c r="S6" s="570">
        <f>Q6</f>
        <v>76.6</v>
      </c>
      <c r="T6" s="568" t="n"/>
      <c r="U6" s="568" t="n"/>
      <c r="V6" s="566">
        <f>SUM(S6:U6)</f>
        <v>76.6</v>
      </c>
    </row>
    <row r="7" ht="29.25" customHeight="1" s="535">
      <c r="B7" s="561" t="inlineStr">
        <is>
          <t>EnergySolutions</t>
        </is>
      </c>
      <c r="C7" s="562" t="inlineStr">
        <is>
          <t>Brent Merrick</t>
        </is>
      </c>
      <c r="D7" s="562" t="inlineStr">
        <is>
          <t>Roanne Steele</t>
        </is>
      </c>
      <c r="E7" s="563" t="n"/>
      <c r="F7" s="563" t="n"/>
      <c r="G7" s="564" t="n">
        <v>1</v>
      </c>
      <c r="H7" s="564" t="n">
        <v>1.5</v>
      </c>
      <c r="I7" s="564" t="n">
        <v>1.4</v>
      </c>
      <c r="J7" s="568" t="n"/>
      <c r="K7" s="568" t="n"/>
      <c r="L7" s="565">
        <f>SUM(G7:K7)</f>
        <v>3.9</v>
      </c>
      <c r="M7" s="571" t="n"/>
      <c r="N7" s="565" t="n">
        <v>1</v>
      </c>
      <c r="O7" s="571" t="n"/>
      <c r="P7" s="565" t="n">
        <v>2.3</v>
      </c>
      <c r="Q7" s="566">
        <f>SUM(L7:P7)</f>
        <v>7.2</v>
      </c>
      <c r="R7" s="559" t="n"/>
      <c r="S7" s="570">
        <f>Q7</f>
        <v>7.2</v>
      </c>
      <c r="T7" s="568" t="n"/>
      <c r="U7" s="568" t="n"/>
      <c r="V7" s="566">
        <f>SUM(S7:U7)</f>
        <v>7.2</v>
      </c>
      <c r="Y7" s="546">
        <f>SUM(L9,N9,O9,P9)</f>
        <v>33.8</v>
      </c>
    </row>
    <row r="8" ht="29.25" customHeight="1" s="535">
      <c r="B8" s="561" t="inlineStr">
        <is>
          <t>Commercial Fuels</t>
        </is>
      </c>
      <c r="C8" s="562" t="inlineStr">
        <is>
          <t>Brent Merrick</t>
        </is>
      </c>
      <c r="D8" s="562" t="inlineStr">
        <is>
          <t>Roanne Steele</t>
        </is>
      </c>
      <c r="E8" s="563" t="n"/>
      <c r="F8" s="563" t="n"/>
      <c r="G8" s="568" t="n"/>
      <c r="H8" s="564" t="n">
        <v>2.5</v>
      </c>
      <c r="I8" s="564" t="n">
        <v>9.4</v>
      </c>
      <c r="J8" s="564" t="n">
        <v>1.5</v>
      </c>
      <c r="K8" s="568" t="n"/>
      <c r="L8" s="565">
        <f>SUM(G8:K8)</f>
        <v>13.4</v>
      </c>
      <c r="M8" s="571" t="n"/>
      <c r="N8" s="565" t="n">
        <v>6.1</v>
      </c>
      <c r="O8" s="565" t="n">
        <v>14.2</v>
      </c>
      <c r="P8" s="565" t="n">
        <v>6.8</v>
      </c>
      <c r="Q8" s="566">
        <f>SUM(L8:P8)</f>
        <v>40.5</v>
      </c>
      <c r="R8" s="559" t="n"/>
      <c r="S8" s="570">
        <f>Q8</f>
        <v>40.5</v>
      </c>
      <c r="T8" s="572">
        <f>S19</f>
        <v>1.2</v>
      </c>
      <c r="U8" s="568" t="n"/>
      <c r="V8" s="566">
        <f>SUM(S8:U8)</f>
        <v>41.7</v>
      </c>
    </row>
    <row r="9" ht="29.25" customHeight="1" s="535">
      <c r="B9" s="561" t="inlineStr">
        <is>
          <t>Retail</t>
        </is>
      </c>
      <c r="C9" s="562" t="inlineStr">
        <is>
          <t>Kate Thomson</t>
        </is>
      </c>
      <c r="D9" s="562" t="inlineStr">
        <is>
          <t>Roanne Steele</t>
        </is>
      </c>
      <c r="E9" s="563" t="n"/>
      <c r="F9" s="563" t="n"/>
      <c r="G9" s="568" t="n"/>
      <c r="H9" s="564" t="n">
        <v>5.3</v>
      </c>
      <c r="I9" s="564" t="n">
        <v>6.4</v>
      </c>
      <c r="J9" s="564" t="n">
        <v>2.2</v>
      </c>
      <c r="K9" s="568" t="n"/>
      <c r="L9" s="565">
        <f>SUM(G9:K9)</f>
        <v>13.9</v>
      </c>
      <c r="M9" s="571" t="n"/>
      <c r="N9" s="565" t="n">
        <v>1.3</v>
      </c>
      <c r="O9" s="565" t="n">
        <v>6.8</v>
      </c>
      <c r="P9" s="565" t="n">
        <v>11.8</v>
      </c>
      <c r="Q9" s="566">
        <f>SUM(L9:P9)</f>
        <v>33.8</v>
      </c>
      <c r="R9" s="559" t="n"/>
      <c r="S9" s="570">
        <f>Q9</f>
        <v>33.8</v>
      </c>
      <c r="T9" s="572">
        <f>S20</f>
        <v>5.2</v>
      </c>
      <c r="U9" s="568" t="n"/>
      <c r="V9" s="566">
        <f>SUM(S9:U9)</f>
        <v>39</v>
      </c>
    </row>
    <row r="10" ht="29.25" customHeight="1" s="535">
      <c r="B10" s="561" t="inlineStr">
        <is>
          <t>Infrastructure</t>
        </is>
      </c>
      <c r="C10" s="562" t="inlineStr">
        <is>
          <t>Michelle Bardy</t>
        </is>
      </c>
      <c r="D10" s="562" t="inlineStr">
        <is>
          <t>Roanne Steele</t>
        </is>
      </c>
      <c r="E10" s="563" t="n"/>
      <c r="F10" s="563" t="n"/>
      <c r="G10" s="568" t="n"/>
      <c r="H10" s="564" t="n">
        <v>1.9</v>
      </c>
      <c r="I10" s="564" t="n">
        <v>2</v>
      </c>
      <c r="J10" s="568" t="n"/>
      <c r="K10" s="568" t="n"/>
      <c r="L10" s="565">
        <f>SUM(G10:K10)</f>
        <v>3.9</v>
      </c>
      <c r="M10" s="571" t="n"/>
      <c r="N10" s="565" t="n">
        <v>0.4</v>
      </c>
      <c r="O10" s="571" t="n"/>
      <c r="P10" s="565" t="n">
        <v>5</v>
      </c>
      <c r="Q10" s="566">
        <f>SUM(L10:P10)</f>
        <v>9.3</v>
      </c>
      <c r="R10" s="559" t="n"/>
      <c r="S10" s="570">
        <f>Q10</f>
        <v>9.3</v>
      </c>
      <c r="T10" s="572">
        <f>S21</f>
        <v>2.2</v>
      </c>
      <c r="U10" s="568" t="n"/>
      <c r="V10" s="566">
        <f>SUM(S10:U10)</f>
        <v>11.5</v>
      </c>
    </row>
    <row r="11" ht="29.25" customHeight="1" s="535">
      <c r="B11" s="561" t="inlineStr">
        <is>
          <t>Corporate Finance</t>
        </is>
      </c>
      <c r="C11" s="562" t="inlineStr">
        <is>
          <t>Greg Barnes</t>
        </is>
      </c>
      <c r="D11" s="562" t="inlineStr">
        <is>
          <t>Emily Mogic</t>
        </is>
      </c>
      <c r="E11" s="563" t="n"/>
      <c r="F11" s="563" t="n"/>
      <c r="G11" s="568" t="n"/>
      <c r="H11" s="564" t="n">
        <v>0.5</v>
      </c>
      <c r="I11" s="564" t="n">
        <v>2.1</v>
      </c>
      <c r="J11" s="568" t="n"/>
      <c r="K11" s="568" t="n"/>
      <c r="L11" s="565">
        <f>SUM(G11:K11)</f>
        <v>2.6</v>
      </c>
      <c r="M11" s="571" t="n"/>
      <c r="N11" s="565" t="n">
        <v>0.9</v>
      </c>
      <c r="O11" s="571" t="n"/>
      <c r="P11" s="571" t="n"/>
      <c r="Q11" s="566">
        <f>SUM(L11:P11)</f>
        <v>3.5</v>
      </c>
      <c r="R11" s="559" t="n"/>
      <c r="S11" s="570">
        <f>Q11</f>
        <v>3.5</v>
      </c>
      <c r="T11" s="572">
        <f>S22</f>
        <v>9</v>
      </c>
      <c r="U11" s="568" t="n"/>
      <c r="V11" s="566">
        <f>SUM(S11:U11)</f>
        <v>12.5</v>
      </c>
    </row>
    <row r="12" ht="22.5" customHeight="1" s="535">
      <c r="B12" s="561" t="inlineStr">
        <is>
          <t>P&amp;C</t>
        </is>
      </c>
      <c r="C12" s="562" t="inlineStr">
        <is>
          <t>Meaghan Davis</t>
        </is>
      </c>
      <c r="D12" s="562" t="inlineStr">
        <is>
          <t>Emily Mogic</t>
        </is>
      </c>
      <c r="E12" s="563" t="n"/>
      <c r="F12" s="563" t="n"/>
      <c r="G12" s="568" t="n"/>
      <c r="H12" s="564" t="n">
        <v>0.3</v>
      </c>
      <c r="I12" s="564" t="n">
        <v>1.8</v>
      </c>
      <c r="J12" s="568" t="n"/>
      <c r="K12" s="568" t="n"/>
      <c r="L12" s="565">
        <f>SUM(G12:K12)</f>
        <v>2.1</v>
      </c>
      <c r="M12" s="571" t="n"/>
      <c r="N12" s="565" t="n">
        <v>2</v>
      </c>
      <c r="O12" s="565" t="n">
        <v>1.4</v>
      </c>
      <c r="P12" s="565" t="n">
        <v>0.3</v>
      </c>
      <c r="Q12" s="566">
        <f>SUM(L12:P12)</f>
        <v>5.8</v>
      </c>
      <c r="R12" s="559" t="n"/>
      <c r="S12" s="570">
        <f>Q12</f>
        <v>5.8</v>
      </c>
      <c r="T12" s="572">
        <f>S23</f>
        <v>0</v>
      </c>
      <c r="U12" s="568" t="n"/>
      <c r="V12" s="566">
        <f>SUM(S12:U12)</f>
        <v>5.8</v>
      </c>
    </row>
    <row r="13" ht="29.25" customHeight="1" s="535">
      <c r="B13" s="561" t="inlineStr">
        <is>
          <t>Customer</t>
        </is>
      </c>
      <c r="C13" s="573" t="inlineStr">
        <is>
          <t>Kate Thomson</t>
        </is>
      </c>
      <c r="D13" s="573" t="inlineStr">
        <is>
          <t>Vance Anderson</t>
        </is>
      </c>
      <c r="E13" s="574" t="n"/>
      <c r="F13" s="574" t="n"/>
      <c r="G13" s="575" t="n"/>
      <c r="H13" s="576" t="n">
        <v>0.1</v>
      </c>
      <c r="I13" s="576" t="n">
        <v>1.6</v>
      </c>
      <c r="J13" s="575" t="n"/>
      <c r="K13" s="575" t="n"/>
      <c r="L13" s="577">
        <f>SUM(G13:K13)</f>
        <v>1.7</v>
      </c>
      <c r="M13" s="578" t="n"/>
      <c r="N13" s="578" t="n"/>
      <c r="O13" s="577" t="n">
        <v>4.5</v>
      </c>
      <c r="P13" s="577" t="n">
        <v>5</v>
      </c>
      <c r="Q13" s="579">
        <f>SUM(L13:P13)</f>
        <v>11.2</v>
      </c>
      <c r="R13" s="580" t="n"/>
      <c r="S13" s="581">
        <f>Q13</f>
        <v>11.2</v>
      </c>
      <c r="T13" s="582">
        <f>S24</f>
        <v>3.7</v>
      </c>
      <c r="U13" s="575" t="n"/>
      <c r="V13" s="579">
        <f>SUM(S13:U13)</f>
        <v>14.9</v>
      </c>
    </row>
    <row r="14" ht="22.5" customHeight="1" s="535">
      <c r="B14" s="583" t="inlineStr">
        <is>
          <t>Total Technology</t>
        </is>
      </c>
      <c r="C14" s="584" t="n"/>
      <c r="D14" s="584" t="n"/>
      <c r="E14" s="584" t="n"/>
      <c r="F14" s="584" t="n"/>
      <c r="G14" s="585">
        <f>SUM(G5:G13)</f>
        <v>53.8</v>
      </c>
      <c r="H14" s="585">
        <f>SUM(H5:H13)</f>
        <v>34.8</v>
      </c>
      <c r="I14" s="585">
        <f>SUM(I5:I13)</f>
        <v>61.9</v>
      </c>
      <c r="J14" s="585">
        <f>SUM(J5:J13)</f>
        <v>6.4</v>
      </c>
      <c r="K14" s="585">
        <f>SUM(K5:K13)</f>
        <v>15.7</v>
      </c>
      <c r="L14" s="586">
        <f>SUM(L5:L13)</f>
        <v>172.6</v>
      </c>
      <c r="M14" s="586">
        <f>SUM(M5:M13)</f>
        <v>17.1</v>
      </c>
      <c r="N14" s="586">
        <f>SUM(N5:N13)</f>
        <v>16.1</v>
      </c>
      <c r="O14" s="586">
        <f>SUM(O5:O13)</f>
        <v>47.1</v>
      </c>
      <c r="P14" s="586">
        <f>SUM(P5:P13)</f>
        <v>47.8</v>
      </c>
      <c r="Q14" s="587">
        <f>SUM(Q5:Q13)</f>
        <v>300.7</v>
      </c>
      <c r="R14" s="588" t="n"/>
      <c r="S14" s="589">
        <f>SUM(S6:S13)</f>
        <v>187.9</v>
      </c>
      <c r="T14" s="590">
        <f>SUM(T8:T13)</f>
        <v>21.3</v>
      </c>
      <c r="U14" s="590">
        <f>U5</f>
        <v>91.6</v>
      </c>
      <c r="V14" s="587">
        <f>SUM(V5:V13)</f>
        <v>300.8</v>
      </c>
    </row>
    <row r="15"/>
    <row r="16" ht="13.5" customHeight="1" s="535"/>
    <row r="17" ht="26.25" customHeight="1" s="535">
      <c r="B17" s="591" t="inlineStr">
        <is>
          <t>BUSINESS SEGMENT</t>
        </is>
      </c>
      <c r="C17" s="592" t="n"/>
      <c r="D17" s="593" t="n"/>
      <c r="E17" s="591" t="inlineStr">
        <is>
          <t>EGM Sponsor</t>
        </is>
      </c>
      <c r="F17" s="591" t="inlineStr">
        <is>
          <t>GM Sponsor</t>
        </is>
      </c>
      <c r="G17" s="591" t="inlineStr">
        <is>
          <t>Domain Architect</t>
        </is>
      </c>
      <c r="H17" s="591" t="inlineStr">
        <is>
          <t>HO Technology</t>
        </is>
      </c>
      <c r="I17" s="594" t="inlineStr">
        <is>
          <t>Lights-on</t>
        </is>
      </c>
      <c r="J17" s="595" t="n"/>
      <c r="K17" s="595" t="n"/>
      <c r="L17" s="595" t="n"/>
      <c r="M17" s="595" t="n"/>
      <c r="N17" s="596" t="n"/>
      <c r="O17" s="594" t="inlineStr">
        <is>
          <t>Depreciation</t>
        </is>
      </c>
      <c r="P17" s="594" t="inlineStr">
        <is>
          <t>Initiatives</t>
        </is>
      </c>
      <c r="Q17" s="594" t="inlineStr">
        <is>
          <t>Sig Items</t>
        </is>
      </c>
      <c r="R17" s="594" t="inlineStr">
        <is>
          <t>Capex</t>
        </is>
      </c>
      <c r="S17" s="597" t="inlineStr">
        <is>
          <t>Total Budget</t>
        </is>
      </c>
      <c r="T17" s="598" t="n"/>
      <c r="U17" s="599" t="inlineStr">
        <is>
          <t>Existing</t>
        </is>
      </c>
      <c r="V17" s="600" t="inlineStr">
        <is>
          <t>Aligned  Delivery</t>
        </is>
      </c>
      <c r="W17" s="601" t="inlineStr">
        <is>
          <t>Aligned</t>
        </is>
      </c>
      <c r="X17" s="602" t="inlineStr">
        <is>
          <t>Total Budget</t>
        </is>
      </c>
    </row>
    <row r="18" ht="13.5" customHeight="1" s="535">
      <c r="B18" s="603" t="n"/>
      <c r="C18" s="604" t="n"/>
      <c r="D18" s="605" t="n"/>
      <c r="E18" s="606" t="n"/>
      <c r="F18" s="606" t="n"/>
      <c r="G18" s="606" t="n"/>
      <c r="H18" s="606" t="n"/>
      <c r="I18" s="607" t="inlineStr">
        <is>
          <t>People</t>
        </is>
      </c>
      <c r="J18" s="607" t="inlineStr">
        <is>
          <t>HW</t>
        </is>
      </c>
      <c r="K18" s="607" t="inlineStr">
        <is>
          <t>SW</t>
        </is>
      </c>
      <c r="L18" s="607" t="inlineStr">
        <is>
          <t>Network</t>
        </is>
      </c>
      <c r="M18" s="607" t="inlineStr">
        <is>
          <t>Vendor</t>
        </is>
      </c>
      <c r="N18" s="607" t="inlineStr">
        <is>
          <t>Sub-Total</t>
        </is>
      </c>
      <c r="O18" s="606" t="n"/>
      <c r="P18" s="606" t="n"/>
      <c r="Q18" s="606" t="n"/>
      <c r="R18" s="606" t="n"/>
      <c r="S18" s="608" t="inlineStr">
        <is>
          <t>FY2026</t>
        </is>
      </c>
      <c r="T18" s="609" t="n"/>
      <c r="U18" s="560" t="n"/>
      <c r="V18" s="556" t="n"/>
      <c r="W18" s="610" t="inlineStr">
        <is>
          <t>COE's</t>
        </is>
      </c>
      <c r="X18" s="611" t="inlineStr">
        <is>
          <t>FY2026</t>
        </is>
      </c>
    </row>
    <row r="19" ht="26.25" customHeight="1" s="535">
      <c r="B19" s="612" t="n"/>
      <c r="C19" s="593" t="n"/>
      <c r="D19" s="613" t="inlineStr">
        <is>
          <t>Commercial Fuels</t>
        </is>
      </c>
      <c r="E19" s="614" t="n"/>
      <c r="F19" s="614" t="n"/>
      <c r="G19" s="614" t="n"/>
      <c r="H19" s="614" t="n"/>
      <c r="I19" s="615" t="n">
        <v>1.2</v>
      </c>
      <c r="J19" s="615" t="n">
        <v>0</v>
      </c>
      <c r="K19" s="615" t="n">
        <v>0</v>
      </c>
      <c r="L19" s="615" t="inlineStr">
        <is>
          <t>-</t>
        </is>
      </c>
      <c r="M19" s="615" t="inlineStr">
        <is>
          <t>-</t>
        </is>
      </c>
      <c r="N19" s="615">
        <f>SUM(I19:M19)</f>
        <v>1.2</v>
      </c>
      <c r="O19" s="615" t="inlineStr">
        <is>
          <t>-</t>
        </is>
      </c>
      <c r="P19" s="616" t="n"/>
      <c r="Q19" s="616" t="n"/>
      <c r="R19" s="617" t="n"/>
      <c r="S19" s="618">
        <f>SUM(N19:R19)</f>
        <v>1.2</v>
      </c>
      <c r="T19" s="609" t="n"/>
      <c r="U19" s="619" t="n"/>
      <c r="V19" s="620" t="n"/>
      <c r="W19" s="620" t="n"/>
      <c r="X19" s="621" t="inlineStr">
        <is>
          <t>-</t>
        </is>
      </c>
    </row>
    <row r="20" ht="13.5" customHeight="1" s="535">
      <c r="B20" s="622" t="n"/>
      <c r="C20" s="623" t="n"/>
      <c r="D20" s="624" t="inlineStr">
        <is>
          <t>Retail</t>
        </is>
      </c>
      <c r="E20" s="625" t="n"/>
      <c r="F20" s="625" t="n"/>
      <c r="G20" s="625" t="n"/>
      <c r="H20" s="625" t="n"/>
      <c r="I20" s="626" t="n">
        <v>3.4</v>
      </c>
      <c r="J20" s="626" t="n">
        <v>0.2</v>
      </c>
      <c r="K20" s="626" t="n">
        <v>0.9</v>
      </c>
      <c r="L20" s="626" t="inlineStr">
        <is>
          <t>-</t>
        </is>
      </c>
      <c r="M20" s="626" t="n">
        <v>0.7</v>
      </c>
      <c r="N20" s="626">
        <f>SUM(I20:M20)</f>
        <v>5.2</v>
      </c>
      <c r="O20" s="626" t="inlineStr">
        <is>
          <t>-</t>
        </is>
      </c>
      <c r="P20" s="620" t="n"/>
      <c r="Q20" s="620" t="n"/>
      <c r="R20" s="627" t="n"/>
      <c r="S20" s="628">
        <f>SUM(N20:R20)</f>
        <v>5.2</v>
      </c>
      <c r="T20" s="609" t="n"/>
      <c r="U20" s="619" t="n"/>
      <c r="V20" s="620" t="n"/>
      <c r="W20" s="620" t="n"/>
      <c r="X20" s="621" t="inlineStr">
        <is>
          <t>-</t>
        </is>
      </c>
    </row>
    <row r="21" ht="30" customHeight="1" s="535">
      <c r="B21" s="622" t="n"/>
      <c r="C21" s="623" t="n"/>
      <c r="D21" s="624" t="inlineStr">
        <is>
          <t>Infrastructure</t>
        </is>
      </c>
      <c r="E21" s="625" t="n"/>
      <c r="F21" s="625" t="n"/>
      <c r="G21" s="625" t="n"/>
      <c r="H21" s="625" t="n"/>
      <c r="I21" s="626" t="n">
        <v>2</v>
      </c>
      <c r="J21" s="626" t="inlineStr">
        <is>
          <t>-</t>
        </is>
      </c>
      <c r="K21" s="626" t="n">
        <v>0.2</v>
      </c>
      <c r="L21" s="626" t="inlineStr">
        <is>
          <t>-</t>
        </is>
      </c>
      <c r="M21" s="626" t="inlineStr">
        <is>
          <t>-</t>
        </is>
      </c>
      <c r="N21" s="626">
        <f>SUM(I21:M21)</f>
        <v>2.2</v>
      </c>
      <c r="O21" s="626" t="inlineStr">
        <is>
          <t>-</t>
        </is>
      </c>
      <c r="P21" s="620" t="n"/>
      <c r="Q21" s="620" t="n"/>
      <c r="R21" s="627" t="n"/>
      <c r="S21" s="628">
        <f>SUM(N21:R21)</f>
        <v>2.2</v>
      </c>
      <c r="T21" s="609" t="n"/>
      <c r="U21" s="619" t="n"/>
      <c r="V21" s="620" t="n"/>
      <c r="W21" s="620" t="n"/>
      <c r="X21" s="621" t="inlineStr">
        <is>
          <t>-</t>
        </is>
      </c>
    </row>
    <row r="22" ht="26.25" customHeight="1" s="535">
      <c r="B22" s="622" t="n"/>
      <c r="C22" s="623" t="n"/>
      <c r="D22" s="624" t="inlineStr">
        <is>
          <t>Corporate Finance</t>
        </is>
      </c>
      <c r="E22" s="625" t="n"/>
      <c r="F22" s="625" t="n"/>
      <c r="G22" s="625" t="n"/>
      <c r="H22" s="625" t="n"/>
      <c r="I22" s="626" t="n">
        <v>1.3</v>
      </c>
      <c r="J22" s="626" t="inlineStr">
        <is>
          <t>-</t>
        </is>
      </c>
      <c r="K22" s="626" t="n">
        <v>4.2</v>
      </c>
      <c r="L22" s="626" t="inlineStr">
        <is>
          <t>-</t>
        </is>
      </c>
      <c r="M22" s="626" t="n">
        <v>3.5</v>
      </c>
      <c r="N22" s="626">
        <f>SUM(I22:M22)</f>
        <v>9</v>
      </c>
      <c r="O22" s="626" t="inlineStr">
        <is>
          <t>-</t>
        </is>
      </c>
      <c r="P22" s="620" t="n"/>
      <c r="Q22" s="620" t="n"/>
      <c r="R22" s="627" t="n"/>
      <c r="S22" s="628">
        <f>SUM(N22:R22)</f>
        <v>9</v>
      </c>
      <c r="T22" s="609" t="n"/>
      <c r="U22" s="619" t="n"/>
      <c r="V22" s="620" t="n"/>
      <c r="W22" s="620" t="n"/>
      <c r="X22" s="621" t="inlineStr">
        <is>
          <t>-</t>
        </is>
      </c>
    </row>
    <row r="23" ht="13.5" customHeight="1" s="535">
      <c r="B23" s="622" t="n"/>
      <c r="C23" s="623" t="n"/>
      <c r="D23" s="624" t="inlineStr">
        <is>
          <t>P&amp;C</t>
        </is>
      </c>
      <c r="E23" s="625" t="n"/>
      <c r="F23" s="625" t="n"/>
      <c r="G23" s="625" t="n"/>
      <c r="H23" s="625" t="n"/>
      <c r="I23" s="626" t="n">
        <v>0</v>
      </c>
      <c r="J23" s="626" t="inlineStr">
        <is>
          <t>-</t>
        </is>
      </c>
      <c r="K23" s="626" t="inlineStr">
        <is>
          <t>-</t>
        </is>
      </c>
      <c r="L23" s="626" t="inlineStr">
        <is>
          <t>-</t>
        </is>
      </c>
      <c r="M23" s="626" t="inlineStr">
        <is>
          <t>-</t>
        </is>
      </c>
      <c r="N23" s="626">
        <f>SUM(I23:M23)</f>
        <v>0</v>
      </c>
      <c r="O23" s="626" t="inlineStr">
        <is>
          <t>-</t>
        </is>
      </c>
      <c r="P23" s="620" t="n"/>
      <c r="Q23" s="620" t="n"/>
      <c r="R23" s="627" t="n"/>
      <c r="S23" s="628">
        <f>SUM(N23:R23)</f>
        <v>0</v>
      </c>
      <c r="T23" s="609" t="n"/>
      <c r="U23" s="619" t="n"/>
      <c r="V23" s="620" t="n"/>
      <c r="W23" s="620" t="n"/>
      <c r="X23" s="621" t="inlineStr">
        <is>
          <t>-</t>
        </is>
      </c>
    </row>
    <row r="24" ht="13.5" customHeight="1" s="535">
      <c r="B24" s="622" t="n"/>
      <c r="C24" s="623" t="n"/>
      <c r="D24" s="624" t="inlineStr">
        <is>
          <t>Customer</t>
        </is>
      </c>
      <c r="E24" s="625" t="n"/>
      <c r="F24" s="625" t="n"/>
      <c r="G24" s="625" t="n"/>
      <c r="H24" s="625" t="n"/>
      <c r="I24" s="626" t="n">
        <v>1.2</v>
      </c>
      <c r="J24" s="626" t="inlineStr">
        <is>
          <t>-</t>
        </is>
      </c>
      <c r="K24" s="626" t="n">
        <v>0.6</v>
      </c>
      <c r="L24" s="626" t="n">
        <v>0</v>
      </c>
      <c r="M24" s="626" t="n">
        <v>1</v>
      </c>
      <c r="N24" s="626">
        <f>SUM(I24:M24)</f>
        <v>2.8</v>
      </c>
      <c r="O24" s="626" t="n">
        <v>0.9</v>
      </c>
      <c r="P24" s="620" t="n"/>
      <c r="Q24" s="620" t="n"/>
      <c r="R24" s="627" t="n"/>
      <c r="S24" s="628">
        <f>SUM(N24:R24)</f>
        <v>3.7</v>
      </c>
      <c r="T24" s="609" t="n"/>
      <c r="U24" s="619" t="n"/>
      <c r="V24" s="620" t="n"/>
      <c r="W24" s="620" t="n"/>
      <c r="X24" s="621" t="inlineStr">
        <is>
          <t>-</t>
        </is>
      </c>
    </row>
    <row r="25" ht="13.5" customHeight="1" s="535">
      <c r="B25" s="622" t="n"/>
      <c r="C25" s="623" t="n"/>
      <c r="D25" s="629" t="inlineStr">
        <is>
          <t>TDD</t>
        </is>
      </c>
      <c r="E25" s="630" t="n"/>
      <c r="F25" s="631" t="inlineStr">
        <is>
          <t>Emily Mogic</t>
        </is>
      </c>
      <c r="G25" s="630" t="n"/>
      <c r="H25" s="630" t="n"/>
      <c r="I25" s="626" t="n">
        <v>4.5</v>
      </c>
      <c r="J25" s="626" t="n">
        <v>2.5</v>
      </c>
      <c r="K25" s="626" t="n">
        <v>14.5</v>
      </c>
      <c r="L25" s="626" t="n">
        <v>0</v>
      </c>
      <c r="M25" s="626" t="n">
        <v>0.8</v>
      </c>
      <c r="N25" s="626">
        <f>SUM(I25:M25)</f>
        <v>22.3</v>
      </c>
      <c r="O25" s="626" t="n">
        <v>4.9</v>
      </c>
      <c r="P25" s="620" t="n"/>
      <c r="Q25" s="620" t="n"/>
      <c r="R25" s="627" t="n"/>
      <c r="S25" s="632">
        <f>SUM(N25:R25)</f>
        <v>27.2</v>
      </c>
      <c r="T25" s="609" t="n"/>
      <c r="U25" s="619" t="n"/>
      <c r="V25" s="620" t="n"/>
      <c r="W25" s="633">
        <f>S25</f>
        <v>27.2</v>
      </c>
      <c r="X25" s="621">
        <f>W25</f>
        <v>27.2</v>
      </c>
    </row>
    <row r="26" ht="13.5" customHeight="1" s="535">
      <c r="B26" s="622" t="n"/>
      <c r="C26" s="623" t="n"/>
      <c r="D26" s="629" t="inlineStr">
        <is>
          <t>TDDEGM</t>
        </is>
      </c>
      <c r="E26" s="630" t="n"/>
      <c r="F26" s="631" t="inlineStr">
        <is>
          <t>Brad Blyth</t>
        </is>
      </c>
      <c r="G26" s="630" t="n"/>
      <c r="H26" s="630" t="n"/>
      <c r="I26" s="626" t="n">
        <v>6.5</v>
      </c>
      <c r="J26" s="626" t="inlineStr">
        <is>
          <t>-</t>
        </is>
      </c>
      <c r="K26" s="626" t="inlineStr">
        <is>
          <t>-</t>
        </is>
      </c>
      <c r="L26" s="626" t="inlineStr">
        <is>
          <t>-</t>
        </is>
      </c>
      <c r="M26" s="626" t="n">
        <v>3.6</v>
      </c>
      <c r="N26" s="626">
        <f>SUM(I26:M26)</f>
        <v>10.1</v>
      </c>
      <c r="O26" s="626" t="inlineStr">
        <is>
          <t>-</t>
        </is>
      </c>
      <c r="P26" s="626" t="n">
        <v>3</v>
      </c>
      <c r="Q26" s="626" t="n">
        <v>20.2</v>
      </c>
      <c r="R26" s="634" t="n">
        <v>4.9</v>
      </c>
      <c r="S26" s="632">
        <f>SUM(N26:R26)</f>
        <v>38.2</v>
      </c>
      <c r="T26" s="609" t="n"/>
      <c r="U26" s="619" t="n"/>
      <c r="V26" s="620" t="n"/>
      <c r="W26" s="633">
        <f>S26</f>
        <v>38.2</v>
      </c>
      <c r="X26" s="621">
        <f>W26</f>
        <v>38.2</v>
      </c>
    </row>
    <row r="27" ht="39" customHeight="1" s="535">
      <c r="B27" s="622" t="n"/>
      <c r="C27" s="623" t="n"/>
      <c r="D27" s="629" t="inlineStr">
        <is>
          <t>Strategy, Architecture and Data</t>
        </is>
      </c>
      <c r="E27" s="630" t="n"/>
      <c r="F27" s="631" t="inlineStr">
        <is>
          <t>Matt Ashley</t>
        </is>
      </c>
      <c r="G27" s="630" t="n"/>
      <c r="H27" s="630" t="n"/>
      <c r="I27" s="626" t="n">
        <v>5.3</v>
      </c>
      <c r="J27" s="626" t="inlineStr">
        <is>
          <t>-</t>
        </is>
      </c>
      <c r="K27" s="626" t="n">
        <v>1</v>
      </c>
      <c r="L27" s="626" t="inlineStr">
        <is>
          <t>-</t>
        </is>
      </c>
      <c r="M27" s="626" t="n">
        <v>0.6</v>
      </c>
      <c r="N27" s="626">
        <f>SUM(I27:M27)</f>
        <v>6.9</v>
      </c>
      <c r="O27" s="626" t="inlineStr">
        <is>
          <t>-</t>
        </is>
      </c>
      <c r="P27" s="620" t="n"/>
      <c r="Q27" s="620" t="n"/>
      <c r="R27" s="627" t="n"/>
      <c r="S27" s="632">
        <f>SUM(N27:R27)</f>
        <v>6.9</v>
      </c>
      <c r="T27" s="609" t="n"/>
      <c r="U27" s="619" t="n"/>
      <c r="V27" s="620" t="n"/>
      <c r="W27" s="633">
        <f>S27</f>
        <v>6.9</v>
      </c>
      <c r="X27" s="621">
        <f>W27</f>
        <v>6.9</v>
      </c>
    </row>
    <row r="28" ht="39" customHeight="1" s="535">
      <c r="B28" s="622" t="n"/>
      <c r="C28" s="623" t="n"/>
      <c r="D28" s="629" t="inlineStr">
        <is>
          <t>Cyber Risk and Operations</t>
        </is>
      </c>
      <c r="E28" s="630" t="n"/>
      <c r="F28" s="631" t="inlineStr">
        <is>
          <t>Frances Bouzo</t>
        </is>
      </c>
      <c r="G28" s="630" t="n"/>
      <c r="H28" s="630" t="n"/>
      <c r="I28" s="626" t="n">
        <v>7.6</v>
      </c>
      <c r="J28" s="626" t="n">
        <v>0.2</v>
      </c>
      <c r="K28" s="626" t="n">
        <v>4.3</v>
      </c>
      <c r="L28" s="626" t="n">
        <v>2</v>
      </c>
      <c r="M28" s="626" t="n">
        <v>2.9</v>
      </c>
      <c r="N28" s="626">
        <f>SUM(I28:M28)</f>
        <v>17</v>
      </c>
      <c r="O28" s="626" t="inlineStr">
        <is>
          <t>-</t>
        </is>
      </c>
      <c r="P28" s="620" t="n"/>
      <c r="Q28" s="620" t="n"/>
      <c r="R28" s="627" t="n"/>
      <c r="S28" s="632">
        <f>SUM(N28:R28)</f>
        <v>17</v>
      </c>
      <c r="T28" s="609" t="n"/>
      <c r="U28" s="619" t="n"/>
      <c r="V28" s="620" t="n"/>
      <c r="W28" s="633">
        <f>S28</f>
        <v>17</v>
      </c>
      <c r="X28" s="621">
        <f>W28</f>
        <v>17</v>
      </c>
    </row>
    <row r="29" ht="52.5" customHeight="1" s="535">
      <c r="B29" s="603" t="n"/>
      <c r="C29" s="605" t="n"/>
      <c r="D29" s="635" t="inlineStr">
        <is>
          <t>Business Partnering and Governance</t>
        </is>
      </c>
      <c r="E29" s="636" t="n"/>
      <c r="F29" s="637" t="inlineStr">
        <is>
          <t>Michael Schofield</t>
        </is>
      </c>
      <c r="G29" s="636" t="n"/>
      <c r="H29" s="636" t="n"/>
      <c r="I29" s="638" t="n">
        <v>2.3</v>
      </c>
      <c r="J29" s="638" t="inlineStr">
        <is>
          <t>-</t>
        </is>
      </c>
      <c r="K29" s="638" t="inlineStr">
        <is>
          <t>-</t>
        </is>
      </c>
      <c r="L29" s="638" t="inlineStr">
        <is>
          <t>-</t>
        </is>
      </c>
      <c r="M29" s="638" t="inlineStr">
        <is>
          <t>-</t>
        </is>
      </c>
      <c r="N29" s="638">
        <f>SUM(I29:M29)</f>
        <v>2.3</v>
      </c>
      <c r="O29" s="638" t="inlineStr">
        <is>
          <t>-</t>
        </is>
      </c>
      <c r="P29" s="639" t="n"/>
      <c r="Q29" s="639" t="n"/>
      <c r="R29" s="640" t="n"/>
      <c r="S29" s="641">
        <f>SUM(N29:R29)</f>
        <v>2.3</v>
      </c>
      <c r="T29" s="642" t="n"/>
      <c r="U29" s="643" t="n"/>
      <c r="V29" s="639" t="n"/>
      <c r="W29" s="644">
        <f>S29</f>
        <v>2.3</v>
      </c>
      <c r="X29" s="645">
        <f>W29</f>
        <v>2.3</v>
      </c>
    </row>
    <row r="30" ht="13.5" customHeight="1" s="535">
      <c r="B30" s="646" t="inlineStr">
        <is>
          <t>TDD Corporate (1)</t>
        </is>
      </c>
      <c r="C30" s="595" t="n"/>
      <c r="D30" s="647" t="n"/>
      <c r="E30" s="648" t="inlineStr">
        <is>
          <t>Brad Blyth</t>
        </is>
      </c>
      <c r="F30" s="649" t="n"/>
      <c r="G30" s="649" t="n"/>
      <c r="H30" s="649" t="n"/>
      <c r="I30" s="650">
        <f>G5</f>
        <v>35.2</v>
      </c>
      <c r="J30" s="650">
        <f>H5</f>
        <v>2.9</v>
      </c>
      <c r="K30" s="650">
        <f>I5</f>
        <v>25.6</v>
      </c>
      <c r="L30" s="650">
        <f>J5</f>
        <v>2.1</v>
      </c>
      <c r="M30" s="650">
        <f>K5</f>
        <v>13.1</v>
      </c>
      <c r="N30" s="650">
        <f>L5</f>
        <v>78.9</v>
      </c>
      <c r="O30" s="650">
        <f>M5</f>
        <v>5.8</v>
      </c>
      <c r="P30" s="650">
        <f>N5</f>
        <v>3</v>
      </c>
      <c r="Q30" s="650">
        <f>O5</f>
        <v>20.2</v>
      </c>
      <c r="R30" s="651">
        <f>P5</f>
        <v>4.9</v>
      </c>
      <c r="S30" s="607">
        <f>Q5</f>
        <v>112.8</v>
      </c>
      <c r="T30" s="652" t="n"/>
      <c r="U30" s="653" t="n"/>
      <c r="V30" s="654" t="n"/>
      <c r="W30" s="650">
        <f>U5</f>
        <v>91.6</v>
      </c>
      <c r="X30" s="651">
        <f>W30</f>
        <v>91.6</v>
      </c>
    </row>
    <row r="31" ht="13.5" customHeight="1" s="535">
      <c r="B31" s="655" t="n"/>
      <c r="C31" s="656" t="inlineStr">
        <is>
          <t>Z-Energy (Direct TDD)</t>
        </is>
      </c>
      <c r="D31" s="551" t="n"/>
      <c r="E31" s="657" t="n"/>
      <c r="F31" s="657" t="n"/>
      <c r="G31" s="657" t="n"/>
      <c r="H31" s="657" t="n"/>
      <c r="I31" s="615" t="n">
        <v>17.6</v>
      </c>
      <c r="J31" s="615" t="n">
        <v>12.1</v>
      </c>
      <c r="K31" s="615" t="n">
        <v>6.3</v>
      </c>
      <c r="L31" s="615" t="n">
        <v>0.6</v>
      </c>
      <c r="M31" s="615" t="n">
        <v>2.6</v>
      </c>
      <c r="N31" s="615" t="n">
        <v>39.3</v>
      </c>
      <c r="O31" s="615" t="n">
        <v>11.3</v>
      </c>
      <c r="P31" s="615" t="n">
        <v>1.4</v>
      </c>
      <c r="Q31" s="616" t="n"/>
      <c r="R31" s="658" t="n">
        <v>11.7</v>
      </c>
      <c r="S31" s="659" t="n">
        <v>63.7</v>
      </c>
      <c r="T31" s="660" t="n"/>
      <c r="U31" s="661" t="n"/>
      <c r="V31" s="616" t="n"/>
      <c r="W31" s="616" t="n"/>
      <c r="X31" s="662" t="inlineStr">
        <is>
          <t>-</t>
        </is>
      </c>
    </row>
    <row r="32" ht="13.5" customHeight="1" s="535">
      <c r="B32" s="663" t="n"/>
      <c r="C32" s="664" t="inlineStr">
        <is>
          <t>Z-Energy (Other IT Spend for Supplies, Customer)</t>
        </is>
      </c>
      <c r="D32" s="665" t="n"/>
      <c r="E32" s="666" t="n"/>
      <c r="F32" s="666" t="n"/>
      <c r="G32" s="666" t="n"/>
      <c r="H32" s="666" t="n"/>
      <c r="I32" s="639" t="n"/>
      <c r="J32" s="638" t="n">
        <v>7.6</v>
      </c>
      <c r="K32" s="638" t="n">
        <v>5.3</v>
      </c>
      <c r="L32" s="639" t="n"/>
      <c r="M32" s="639" t="n"/>
      <c r="N32" s="638" t="n">
        <v>13</v>
      </c>
      <c r="O32" s="639" t="n"/>
      <c r="P32" s="639" t="n"/>
      <c r="Q32" s="639" t="n"/>
      <c r="R32" s="640" t="n"/>
      <c r="S32" s="667" t="n">
        <v>13</v>
      </c>
      <c r="T32" s="642" t="n"/>
      <c r="U32" s="643" t="n"/>
      <c r="V32" s="639" t="n"/>
      <c r="W32" s="639" t="n"/>
      <c r="X32" s="645" t="inlineStr">
        <is>
          <t>-</t>
        </is>
      </c>
    </row>
    <row r="33" ht="13.5" customHeight="1" s="535">
      <c r="B33" s="646" t="inlineStr">
        <is>
          <t>Z-Energy (2)</t>
        </is>
      </c>
      <c r="C33" s="595" t="n"/>
      <c r="D33" s="647" t="n"/>
      <c r="E33" s="648" t="inlineStr">
        <is>
          <t>Lindis Jones</t>
        </is>
      </c>
      <c r="F33" s="648" t="inlineStr">
        <is>
          <t>Vance Anderson</t>
        </is>
      </c>
      <c r="G33" s="649" t="n"/>
      <c r="H33" s="649" t="n"/>
      <c r="I33" s="650">
        <f>G6</f>
        <v>17.6</v>
      </c>
      <c r="J33" s="650">
        <f>H6</f>
        <v>19.8</v>
      </c>
      <c r="K33" s="650">
        <f>I6</f>
        <v>11.6</v>
      </c>
      <c r="L33" s="650">
        <f>J6</f>
        <v>0.6</v>
      </c>
      <c r="M33" s="650">
        <f>K6</f>
        <v>2.6</v>
      </c>
      <c r="N33" s="650">
        <f>L6</f>
        <v>52.2</v>
      </c>
      <c r="O33" s="650">
        <f>M6</f>
        <v>11.3</v>
      </c>
      <c r="P33" s="650">
        <f>N6</f>
        <v>1.4</v>
      </c>
      <c r="Q33" s="650" t="str">
        <f>O6</f>
        <v>-</v>
      </c>
      <c r="R33" s="651">
        <f>P6</f>
        <v>11.7</v>
      </c>
      <c r="S33" s="607">
        <f>Q6</f>
        <v>76.6</v>
      </c>
      <c r="T33" s="652" t="n"/>
      <c r="U33" s="668">
        <f>S6</f>
        <v>76.6</v>
      </c>
      <c r="V33" s="654" t="n"/>
      <c r="W33" s="654" t="n"/>
      <c r="X33" s="651">
        <f>U33</f>
        <v>76.6</v>
      </c>
    </row>
    <row r="34"/>
    <row r="35" ht="12.75" customHeight="1" s="535">
      <c r="B35" s="669" t="n"/>
    </row>
  </sheetData>
  <sheetProtection selectLockedCells="0" selectUnlockedCells="0" sheet="1" objects="1" insertRows="1" insertHyperlinks="1" autoFilter="1" scenarios="1" formatColumns="1" deleteColumns="1" insertColumns="1" pivotTables="1" deleteRows="1" formatCells="1" formatRows="1" sort="1" password="C5C5"/>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O31"/>
  <sheetViews>
    <sheetView showFormulas="0" showGridLines="0" showRowColHeaders="1" showZeros="1" rightToLeft="0" tabSelected="0" showOutlineSymbols="1" defaultGridColor="1" view="normal" topLeftCell="A8" colorId="64" zoomScale="80" zoomScaleNormal="80" zoomScalePageLayoutView="100" workbookViewId="0">
      <selection pane="topLeft" activeCell="L18" activeCellId="0" sqref="L18"/>
    </sheetView>
  </sheetViews>
  <sheetFormatPr baseColWidth="8" defaultColWidth="8.54296875" defaultRowHeight="14.25" zeroHeight="0" outlineLevelRow="0"/>
  <cols>
    <col width="2" customWidth="1" style="534" min="1" max="1"/>
    <col width="55" customWidth="1" style="534" min="2" max="2"/>
    <col width="9" customWidth="1" style="534" min="3" max="7"/>
    <col width="20" customWidth="1" style="534" min="8" max="8"/>
    <col width="34" customWidth="1" style="534" min="9" max="9"/>
    <col width="9" customWidth="1" style="534" min="10" max="10"/>
    <col width="20" customWidth="1" style="534" min="11" max="12"/>
    <col width="10.45" customWidth="1" style="534" min="13" max="13"/>
    <col width="16.45" customWidth="1" style="534" min="14" max="14"/>
    <col width="15.54" customWidth="1" style="534" min="15" max="15"/>
  </cols>
  <sheetData>
    <row r="1"/>
    <row r="2" ht="18" customHeight="1" s="535">
      <c r="B2" s="670" t="inlineStr">
        <is>
          <t>Data Config</t>
        </is>
      </c>
    </row>
    <row r="3"/>
    <row r="4" ht="18.75" customHeight="1" s="535">
      <c r="B4" s="671" t="inlineStr">
        <is>
          <t>TDD Budget Allocation ($m)</t>
        </is>
      </c>
      <c r="H4" s="538" t="n"/>
      <c r="I4" s="538" t="n"/>
      <c r="K4" s="672" t="inlineStr">
        <is>
          <t>Portfolio Overhead (roles, $m)</t>
        </is>
      </c>
      <c r="L4" s="673" t="n"/>
      <c r="M4" s="673" t="n"/>
      <c r="N4" s="674" t="n"/>
    </row>
    <row r="5" ht="33.75" customHeight="1" s="535">
      <c r="B5" s="675" t="inlineStr">
        <is>
          <t>Portfolio</t>
        </is>
      </c>
      <c r="C5" s="675" t="inlineStr">
        <is>
          <t>AU</t>
        </is>
      </c>
      <c r="D5" s="675" t="inlineStr">
        <is>
          <t>NZ</t>
        </is>
      </c>
      <c r="E5" s="675" t="inlineStr">
        <is>
          <t>Total</t>
        </is>
      </c>
      <c r="F5" s="676" t="inlineStr">
        <is>
          <t>Spend (actual cost after levers, from 3.5 TDD Lights On)</t>
        </is>
      </c>
      <c r="G5" s="676" t="inlineStr">
        <is>
          <t>Over/(under)</t>
        </is>
      </c>
      <c r="H5" s="677" t="inlineStr">
        <is>
          <t>Notes</t>
        </is>
      </c>
      <c r="I5" s="676" t="inlineStr">
        <is>
          <t>Actions</t>
        </is>
      </c>
      <c r="K5" s="678" t="inlineStr">
        <is>
          <t>Role</t>
        </is>
      </c>
      <c r="L5" s="678" t="inlineStr">
        <is>
          <t>Cost ($m)</t>
        </is>
      </c>
      <c r="M5" s="678" t="inlineStr">
        <is>
          <t>Allocation %</t>
        </is>
      </c>
      <c r="N5" s="679" t="inlineStr">
        <is>
          <t>Portfolio cost ($m)</t>
        </is>
      </c>
    </row>
    <row r="6" ht="48" customHeight="1" s="535">
      <c r="B6" s="680" t="inlineStr">
        <is>
          <t>COE - Strategy Architecture</t>
        </is>
      </c>
      <c r="C6" s="681" t="n">
        <v>1.5</v>
      </c>
      <c r="D6" s="681" t="n">
        <v>0.5</v>
      </c>
      <c r="E6" s="682">
        <f>C6+D6</f>
        <v>2</v>
      </c>
      <c r="F6" s="682">
        <f>'3.5 TDD Lights On'!$L$5</f>
        <v>2.27164105</v>
      </c>
      <c r="G6" s="683">
        <f>F6-E6</f>
        <v>0.27164105</v>
      </c>
      <c r="H6" s="684" t="n"/>
      <c r="I6" s="685" t="inlineStr">
        <is>
          <t xml:space="preserve">Delayed vacancy hires will bring us back to black; validation of FTE model </t>
        </is>
      </c>
      <c r="K6" s="686" t="inlineStr">
        <is>
          <t>Head of Tech</t>
        </is>
      </c>
      <c r="L6" s="681" t="n">
        <v>0.275</v>
      </c>
      <c r="M6" s="687" t="n">
        <v>0.5</v>
      </c>
      <c r="N6" s="688">
        <f>L6*M6</f>
        <v>0.1375</v>
      </c>
    </row>
    <row r="7" ht="49.5" customHeight="1" s="535">
      <c r="B7" s="680" t="inlineStr">
        <is>
          <t>COE - Cyber, Risk &amp; Service Ops (see 2.11 Cyber Risk &amp; Service Ops)</t>
        </is>
      </c>
      <c r="C7" s="681" t="n">
        <v>1.5</v>
      </c>
      <c r="D7" s="681" t="n">
        <v>0.5</v>
      </c>
      <c r="E7" s="682">
        <f>C7+D7</f>
        <v>2</v>
      </c>
      <c r="F7" s="682">
        <f>'3.5 TDD Lights On'!$L$6</f>
        <v>6.2466671292</v>
      </c>
      <c r="G7" s="683">
        <f>F7-E7</f>
        <v>4.2466671292</v>
      </c>
      <c r="H7" s="684" t="n"/>
      <c r="I7" s="685" t="inlineStr">
        <is>
          <t xml:space="preserve">Assessment of offshoring to reduce gap
Vacancies add 900k to FY26 baseline </t>
        </is>
      </c>
      <c r="K7" s="686" t="inlineStr">
        <is>
          <t>Business Partner</t>
        </is>
      </c>
      <c r="L7" s="681" t="n">
        <v>0.44</v>
      </c>
      <c r="M7" s="687" t="n">
        <v>0.5</v>
      </c>
      <c r="N7" s="688">
        <f>L7*M7</f>
        <v>0.22</v>
      </c>
    </row>
    <row r="8" ht="49.5" customHeight="1" s="535">
      <c r="B8" s="680" t="inlineStr">
        <is>
          <t>COE - Transformation</t>
        </is>
      </c>
      <c r="C8" s="681" t="n">
        <v>1.5</v>
      </c>
      <c r="D8" s="681" t="n">
        <v>0.5</v>
      </c>
      <c r="E8" s="682">
        <f>C8+D8</f>
        <v>2</v>
      </c>
      <c r="F8" s="682">
        <f>'3.5 TDD Lights On'!$L$7</f>
        <v>3.20274343</v>
      </c>
      <c r="G8" s="683">
        <f>F8-E8</f>
        <v>1.20274343</v>
      </c>
      <c r="H8" s="689" t="inlineStr">
        <is>
          <t>Offset each other</t>
        </is>
      </c>
      <c r="I8" s="685" t="inlineStr">
        <is>
          <t>Offshoring 2x roles. Transformation &amp; Business Partnering net each others totals</t>
        </is>
      </c>
      <c r="K8" s="686" t="inlineStr">
        <is>
          <t>Domain Architect</t>
        </is>
      </c>
      <c r="L8" s="681" t="n">
        <v>0.28</v>
      </c>
      <c r="M8" s="687" t="n">
        <v>0.5</v>
      </c>
      <c r="N8" s="688">
        <f>L8*M8</f>
        <v>0.14</v>
      </c>
    </row>
    <row r="9" ht="14.25" customHeight="1" s="535">
      <c r="B9" s="680" t="inlineStr">
        <is>
          <t>COE - Business Partnering</t>
        </is>
      </c>
      <c r="C9" s="681" t="n">
        <v>1.5</v>
      </c>
      <c r="D9" s="681" t="n">
        <v>0.5</v>
      </c>
      <c r="E9" s="682">
        <f>C9+D9</f>
        <v>2</v>
      </c>
      <c r="F9" s="682">
        <f>'3.5 TDD Lights On'!$L$8</f>
        <v>1.297764192</v>
      </c>
      <c r="G9" s="683">
        <f>F9-E9</f>
        <v>-0.702235808</v>
      </c>
      <c r="H9" s="690" t="n"/>
      <c r="I9" s="684" t="n"/>
      <c r="K9" s="686" t="inlineStr">
        <is>
          <t>Leadership Overhead</t>
        </is>
      </c>
      <c r="L9" s="681" t="n">
        <v>1</v>
      </c>
      <c r="M9" s="687" t="n">
        <v>0.3</v>
      </c>
      <c r="N9" s="688">
        <f>L9*M9</f>
        <v>0.3</v>
      </c>
    </row>
    <row r="10" ht="49.5" customHeight="1" s="535">
      <c r="B10" s="680" t="inlineStr">
        <is>
          <t>COE - Data</t>
        </is>
      </c>
      <c r="C10" s="681" t="n">
        <v>1.5</v>
      </c>
      <c r="D10" s="681" t="n">
        <v>0.5</v>
      </c>
      <c r="E10" s="682">
        <f>C10+D10</f>
        <v>2</v>
      </c>
      <c r="F10" s="682">
        <f>'3.5 TDD Lights On'!$L$9</f>
        <v>1.752124816</v>
      </c>
      <c r="G10" s="683">
        <f>F10-E10</f>
        <v>-0.247875184</v>
      </c>
      <c r="H10" s="691" t="inlineStr">
        <is>
          <t>Deepali Mahajan and the vacant Service Transition Lead are NOT in this line - they sit in Enterprise Data's leadership group.</t>
        </is>
      </c>
      <c r="I10" s="685" t="inlineStr">
        <is>
          <t>Validation of FTE model</t>
        </is>
      </c>
      <c r="K10" s="692" t="inlineStr">
        <is>
          <t>Portfolio overhead subtotal</t>
        </is>
      </c>
      <c r="L10" s="692" t="n"/>
      <c r="M10" s="692" t="n"/>
      <c r="N10" s="693">
        <f>SUM(N6:N9)</f>
        <v>0.7975</v>
      </c>
    </row>
    <row r="11" ht="49.5" customHeight="1" s="535">
      <c r="B11" s="680" t="inlineStr">
        <is>
          <t>Ampol Retail</t>
        </is>
      </c>
      <c r="C11" s="681" t="n">
        <v>5.5</v>
      </c>
      <c r="D11" s="681" t="n">
        <v>0</v>
      </c>
      <c r="E11" s="682">
        <f>C11+D11</f>
        <v>5.5</v>
      </c>
      <c r="F11" s="682">
        <f>'3.5 TDD Lights On'!$L$10</f>
        <v>5.18733174100909</v>
      </c>
      <c r="G11" s="694">
        <f>F11-E11</f>
        <v>-0.312668258990909</v>
      </c>
      <c r="H11" s="684" t="n"/>
      <c r="I11" s="685" t="inlineStr">
        <is>
          <t>AmPOS support uplift to IC. Individual role type offshoring.
Actual payments squad is 600k less than archetype figures (archetype is already small)</t>
        </is>
      </c>
    </row>
    <row r="12" ht="33.75" customHeight="1" s="535">
      <c r="B12" s="680" t="inlineStr">
        <is>
          <t>Z Retail</t>
        </is>
      </c>
      <c r="C12" s="681" t="n">
        <v>0</v>
      </c>
      <c r="D12" s="681" t="n">
        <v>6.5</v>
      </c>
      <c r="E12" s="682">
        <f>C12+D12</f>
        <v>6.5</v>
      </c>
      <c r="F12" s="682">
        <f>'3.5 TDD Lights On'!$L$11</f>
        <v>6.30198822430909</v>
      </c>
      <c r="G12" s="694">
        <f>F12-E12</f>
        <v>-0.198011775690908</v>
      </c>
      <c r="H12" s="684" t="n"/>
      <c r="I12" s="685" t="inlineStr">
        <is>
          <t>Review 2027 TDD Z headcount and cost allocation</t>
        </is>
      </c>
      <c r="K12" s="672" t="inlineStr">
        <is>
          <t>Platform Overhead (roles, $m)</t>
        </is>
      </c>
      <c r="L12" s="673" t="n"/>
      <c r="M12" s="673" t="n"/>
      <c r="N12" s="674" t="n"/>
    </row>
    <row r="13" ht="33.75" customHeight="1" s="535">
      <c r="B13" s="695" t="inlineStr">
        <is>
          <t>Ampol Customer</t>
        </is>
      </c>
      <c r="C13" s="681" t="n">
        <v>2.5</v>
      </c>
      <c r="D13" s="681" t="n">
        <v>0</v>
      </c>
      <c r="E13" s="682">
        <f>C13+D13</f>
        <v>2.5</v>
      </c>
      <c r="F13" s="682">
        <f>'3.5 TDD Lights On'!$L$12</f>
        <v>3.55611100474245</v>
      </c>
      <c r="G13" s="683">
        <f>F13-E13</f>
        <v>1.05611100474245</v>
      </c>
      <c r="H13" s="684" t="n"/>
      <c r="I13" s="684" t="n"/>
      <c r="K13" s="678" t="inlineStr">
        <is>
          <t>Role</t>
        </is>
      </c>
      <c r="L13" s="678" t="inlineStr">
        <is>
          <t>Cost ($m)</t>
        </is>
      </c>
      <c r="M13" s="678" t="inlineStr">
        <is>
          <t>Alloc %</t>
        </is>
      </c>
      <c r="N13" s="679" t="inlineStr">
        <is>
          <t>Platform cost ($m)</t>
        </is>
      </c>
    </row>
    <row r="14" ht="49.5" customHeight="1" s="535">
      <c r="B14" s="680" t="inlineStr">
        <is>
          <t>Z Customer</t>
        </is>
      </c>
      <c r="C14" s="681" t="n">
        <v>0</v>
      </c>
      <c r="D14" s="681" t="n">
        <v>4</v>
      </c>
      <c r="E14" s="682">
        <f>C14+D14</f>
        <v>4</v>
      </c>
      <c r="F14" s="682">
        <f>'3.5 TDD Lights On'!$L$13</f>
        <v>3.57009727038264</v>
      </c>
      <c r="G14" s="694">
        <f>F14-E14</f>
        <v>-0.429902729617359</v>
      </c>
      <c r="H14" s="684" t="n"/>
      <c r="I14" s="685" t="inlineStr">
        <is>
          <t xml:space="preserve"> Migrate % of more squads to WiPro
Review 2027 TDD Z headcount and cost allocation.</t>
        </is>
      </c>
      <c r="K14" s="686" t="inlineStr">
        <is>
          <t>Delivery Manager</t>
        </is>
      </c>
      <c r="L14" s="681" t="n">
        <v>0.28</v>
      </c>
      <c r="M14" s="687" t="n">
        <v>0.3</v>
      </c>
      <c r="N14" s="696">
        <f>L14*M14</f>
        <v>0.084</v>
      </c>
    </row>
    <row r="15" ht="14.25" customHeight="1" s="535">
      <c r="B15" s="680" t="inlineStr">
        <is>
          <t>Commercial Fuels</t>
        </is>
      </c>
      <c r="C15" s="681" t="n">
        <v>2.5</v>
      </c>
      <c r="D15" s="681" t="n">
        <v>0</v>
      </c>
      <c r="E15" s="682">
        <f>C15+D15</f>
        <v>2.5</v>
      </c>
      <c r="F15" s="682">
        <f>'3.5 TDD Lights On'!$L$14</f>
        <v>3.02116172758909</v>
      </c>
      <c r="G15" s="694">
        <f>F15-E15</f>
        <v>0.521161727589091</v>
      </c>
      <c r="H15" s="684" t="n"/>
      <c r="I15" s="684" t="n"/>
      <c r="K15" s="686" t="inlineStr">
        <is>
          <t>Tech Manager</t>
        </is>
      </c>
      <c r="L15" s="681" t="n">
        <v>0.27</v>
      </c>
      <c r="M15" s="687" t="n">
        <v>0.3</v>
      </c>
      <c r="N15" s="696">
        <f>L15*M15</f>
        <v>0.081</v>
      </c>
    </row>
    <row r="16" ht="33.75" customHeight="1" s="535">
      <c r="B16" s="680" t="inlineStr">
        <is>
          <t>Energy Solutions &amp; B2B</t>
        </is>
      </c>
      <c r="C16" s="681" t="n">
        <v>2.5</v>
      </c>
      <c r="D16" s="681" t="n">
        <v>0</v>
      </c>
      <c r="E16" s="682">
        <f>C16+D16</f>
        <v>2.5</v>
      </c>
      <c r="F16" s="682">
        <f>'3.5 TDD Lights On'!$L$15</f>
        <v>3.02598825550909</v>
      </c>
      <c r="G16" s="694">
        <f>F16-E16</f>
        <v>0.525988255509091</v>
      </c>
      <c r="H16" s="684" t="n"/>
      <c r="I16" s="685" t="inlineStr">
        <is>
          <t>Working with GMs to confirm funding for 2027</t>
        </is>
      </c>
      <c r="K16" s="692" t="inlineStr">
        <is>
          <t>Platform overhead subtotal (per platform)</t>
        </is>
      </c>
      <c r="L16" s="692" t="n"/>
      <c r="M16" s="692" t="n"/>
      <c r="N16" s="697">
        <f>SUM(N14:N15)</f>
        <v>0.165</v>
      </c>
    </row>
    <row r="17" ht="48" customHeight="1" s="535">
      <c r="B17" s="680" t="inlineStr">
        <is>
          <t>Infrastructure</t>
        </is>
      </c>
      <c r="C17" s="681" t="n">
        <v>2.5</v>
      </c>
      <c r="D17" s="681" t="n">
        <v>0</v>
      </c>
      <c r="E17" s="682">
        <f>C17+D17</f>
        <v>2.5</v>
      </c>
      <c r="F17" s="682">
        <f>'3.5 TDD Lights On'!$L$16</f>
        <v>3.36156565890909</v>
      </c>
      <c r="G17" s="694">
        <f>F17-E17</f>
        <v>0.861565658909091</v>
      </c>
      <c r="H17" s="684" t="n"/>
      <c r="I17" s="685" t="inlineStr">
        <is>
          <t>Investment required to enable solutions to be modernised and offshored</t>
        </is>
      </c>
    </row>
    <row r="18" ht="14.25" customHeight="1" s="535">
      <c r="B18" s="680" t="inlineStr">
        <is>
          <t>P&amp;C</t>
        </is>
      </c>
      <c r="C18" s="681" t="n">
        <v>1</v>
      </c>
      <c r="D18" s="681" t="n">
        <v>1</v>
      </c>
      <c r="E18" s="682">
        <f>C18+D18</f>
        <v>2</v>
      </c>
      <c r="F18" s="682">
        <f>'3.5 TDD Lights On'!$L$17</f>
        <v>2.35602018090909</v>
      </c>
      <c r="G18" s="694">
        <f>F18-E18</f>
        <v>0.35602018090909</v>
      </c>
      <c r="H18" s="684" t="n"/>
      <c r="I18" s="684" t="n"/>
    </row>
    <row r="19" ht="49.5" customHeight="1" s="535">
      <c r="B19" s="680" t="inlineStr">
        <is>
          <t>Finance</t>
        </is>
      </c>
      <c r="C19" s="681" t="n">
        <v>1</v>
      </c>
      <c r="D19" s="681" t="n">
        <v>1</v>
      </c>
      <c r="E19" s="682">
        <f>C19+D19</f>
        <v>2</v>
      </c>
      <c r="F19" s="682">
        <f>'3.5 TDD Lights On'!$L$18</f>
        <v>2.34125727140909</v>
      </c>
      <c r="G19" s="694">
        <f>F19-E19</f>
        <v>0.341257271409091</v>
      </c>
      <c r="H19" s="684" t="n"/>
      <c r="I19" s="685" t="inlineStr">
        <is>
          <t>Published roles in AU is 9, archetype is 6. Have reviewed and 2 roles will be removed in FY27</t>
        </is>
      </c>
    </row>
    <row r="20" ht="14.25" customHeight="1" s="535">
      <c r="B20" s="680" t="inlineStr">
        <is>
          <t>Legal</t>
        </is>
      </c>
      <c r="C20" s="681" t="n">
        <v>0</v>
      </c>
      <c r="D20" s="681" t="n">
        <v>0</v>
      </c>
      <c r="E20" s="682">
        <f>C20+D20</f>
        <v>0</v>
      </c>
      <c r="F20" s="682" t="n"/>
      <c r="G20" s="683" t="n"/>
      <c r="H20" s="684" t="n"/>
      <c r="I20" s="684" t="n"/>
    </row>
    <row r="21" ht="48" customHeight="1" s="535">
      <c r="B21" s="680" t="inlineStr">
        <is>
          <t>TDD Group Functions</t>
        </is>
      </c>
      <c r="C21" s="681" t="n">
        <v>4.5</v>
      </c>
      <c r="D21" s="681" t="n">
        <v>1</v>
      </c>
      <c r="E21" s="682">
        <f>C21+D21</f>
        <v>5.5</v>
      </c>
      <c r="F21" s="682">
        <f>'3.5 TDD Lights On'!$L$19</f>
        <v>6.79154056007953</v>
      </c>
      <c r="G21" s="683">
        <f>F21-E21</f>
        <v>1.29154056007953</v>
      </c>
      <c r="H21" s="684" t="n"/>
      <c r="I21" s="684" t="n"/>
      <c r="K21" s="698" t="inlineStr">
        <is>
          <t>Reconciliation ($m)</t>
        </is>
      </c>
      <c r="L21" s="698" t="inlineStr">
        <is>
          <t>Allocated budget</t>
        </is>
      </c>
      <c r="M21" s="698" t="inlineStr">
        <is>
          <t>Spend against allocation</t>
        </is>
      </c>
      <c r="N21" s="698" t="inlineStr">
        <is>
          <t>Over/(under) the allocated budget</t>
        </is>
      </c>
      <c r="O21" s="698" t="inlineStr">
        <is>
          <t>Over/(under) the full TDD budget</t>
        </is>
      </c>
    </row>
    <row r="22" ht="48" customHeight="1" s="535">
      <c r="B22" s="680" t="inlineStr">
        <is>
          <t>Enterprise Data</t>
        </is>
      </c>
      <c r="C22" s="681" t="n">
        <v>2.5</v>
      </c>
      <c r="D22" s="681" t="n">
        <v>1</v>
      </c>
      <c r="E22" s="682">
        <f>C22+D22</f>
        <v>3.5</v>
      </c>
      <c r="F22" s="682">
        <f>'3.5 TDD Lights On'!$L$20</f>
        <v>3.78061368130909</v>
      </c>
      <c r="G22" s="683">
        <f>F22-E22</f>
        <v>0.280613681309091</v>
      </c>
      <c r="H22" s="684" t="n"/>
      <c r="I22" s="685" t="inlineStr">
        <is>
          <t>Potential upside through data platform consolidation and further offshoring, will be used to fund recruitment of vacancies</t>
        </is>
      </c>
      <c r="K22" s="699" t="inlineStr">
        <is>
          <t>Position on 23/07</t>
        </is>
      </c>
      <c r="L22" s="700" t="n">
        <v>43.5</v>
      </c>
      <c r="M22" s="700" t="n">
        <v>62.72</v>
      </c>
      <c r="N22" s="700">
        <f>M22-L22</f>
        <v>19.22</v>
      </c>
      <c r="O22" s="700">
        <f>M22-$E$27</f>
        <v>8.92</v>
      </c>
    </row>
    <row r="23" ht="14.25" customHeight="1" s="535">
      <c r="B23" s="695" t="inlineStr">
        <is>
          <t>TDD Cyber</t>
        </is>
      </c>
      <c r="C23" s="681" t="n">
        <v>1</v>
      </c>
      <c r="D23" s="681" t="n">
        <v>0.5</v>
      </c>
      <c r="E23" s="682">
        <f>C23+D23</f>
        <v>1.5</v>
      </c>
      <c r="F23" s="682">
        <f>'3.5 TDD Lights On'!$L$21</f>
        <v>1.32589963690909</v>
      </c>
      <c r="G23" s="694">
        <f>F23-E23</f>
        <v>-0.174100363090909</v>
      </c>
      <c r="H23" s="684" t="n"/>
      <c r="I23" s="684" t="n"/>
      <c r="K23" s="680" t="inlineStr">
        <is>
          <t>Position today</t>
        </is>
      </c>
      <c r="L23" s="701">
        <f>E26</f>
        <v>50.5</v>
      </c>
      <c r="M23" s="701">
        <f>F26</f>
        <v>59.3905158302664</v>
      </c>
      <c r="N23" s="701">
        <f>M23-L23</f>
        <v>8.89051583026644</v>
      </c>
      <c r="O23" s="701">
        <f>M23-$E$27</f>
        <v>5.59051583026643</v>
      </c>
    </row>
    <row r="24" ht="14.25" customHeight="1" s="535">
      <c r="B24" s="680" t="inlineStr">
        <is>
          <t>EG</t>
        </is>
      </c>
      <c r="C24" s="681" t="n">
        <v>0</v>
      </c>
      <c r="D24" s="681" t="n">
        <v>0</v>
      </c>
      <c r="E24" s="682">
        <f>C24+D24</f>
        <v>0</v>
      </c>
      <c r="F24" s="682" t="n"/>
      <c r="G24" s="683" t="n"/>
      <c r="H24" s="684" t="n"/>
      <c r="I24" s="684" t="n"/>
      <c r="K24" s="702" t="inlineStr">
        <is>
          <t>Notes</t>
        </is>
      </c>
      <c r="L24" s="703" t="inlineStr">
        <is>
          <t>Reallocated 7m across Ampol &amp; Z Retail</t>
        </is>
      </c>
    </row>
    <row r="25" ht="14.25" customHeight="1" s="535">
      <c r="B25" s="680" t="inlineStr">
        <is>
          <t>EGI</t>
        </is>
      </c>
      <c r="C25" s="681" t="n">
        <v>0</v>
      </c>
      <c r="D25" s="681" t="n">
        <v>0</v>
      </c>
      <c r="E25" s="682">
        <f>C25+D25</f>
        <v>0</v>
      </c>
      <c r="F25" s="682">
        <f>'3.5 TDD Lights On'!$L$22</f>
        <v>0</v>
      </c>
      <c r="G25" s="683" t="n"/>
      <c r="H25" s="684" t="n"/>
      <c r="I25" s="684" t="n"/>
    </row>
    <row r="26" ht="14.25" customHeight="1" s="535">
      <c r="B26" s="704" t="inlineStr">
        <is>
          <t>Total</t>
        </is>
      </c>
      <c r="C26" s="705">
        <f>SUM(C6:C25)</f>
        <v>33</v>
      </c>
      <c r="D26" s="705">
        <f>SUM(D6:D25)</f>
        <v>17.5</v>
      </c>
      <c r="E26" s="705">
        <f>SUM(E6:E25)</f>
        <v>50.5</v>
      </c>
      <c r="F26" s="705">
        <f>SUM(F6:F25)</f>
        <v>59.3905158302664</v>
      </c>
      <c r="G26" s="706">
        <f>SUM(G6:G25)</f>
        <v>8.89051583026643</v>
      </c>
      <c r="H26" s="684" t="n"/>
      <c r="I26" s="684" t="n"/>
    </row>
    <row r="27" ht="14.25" customHeight="1" s="535">
      <c r="B27" s="707" t="inlineStr">
        <is>
          <t>Budget</t>
        </is>
      </c>
      <c r="C27" s="708">
        <f>'0.1 Budget Table (Fin)'!G5+'0.1 Budget Table (Fin)'!G7</f>
        <v>36.2</v>
      </c>
      <c r="D27" s="708">
        <f>'0.1 Budget Table (Fin)'!G6</f>
        <v>17.6</v>
      </c>
      <c r="E27" s="708">
        <f>'0.1 Budget Table (Fin)'!G14</f>
        <v>53.8</v>
      </c>
      <c r="F27" s="709" t="n"/>
    </row>
    <row r="28" ht="14.25" customHeight="1" s="535">
      <c r="B28" s="710" t="inlineStr">
        <is>
          <t>Variance to full TDD budget</t>
        </is>
      </c>
      <c r="C28" s="711">
        <f>C27-C26</f>
        <v>3.2</v>
      </c>
      <c r="D28" s="711">
        <f>D27-D26</f>
        <v>0.100000000000001</v>
      </c>
      <c r="E28" s="711">
        <f>E27-E26</f>
        <v>3.3</v>
      </c>
      <c r="F28" s="712" t="n"/>
      <c r="G28" s="713">
        <f>$F$26-$E$27</f>
        <v>5.59051583026643</v>
      </c>
      <c r="H28" s="714" t="n"/>
      <c r="I28" s="714" t="n"/>
    </row>
    <row r="29"/>
    <row r="30">
      <c r="B30" s="534" t="inlineStr">
        <is>
          <t>Spend is the actual cost after levers charged to TDD, read row for row from 3.5 TDD Lights On, so the two tabs agree by construction. The 1.x tabs price the same portfolios at archetype rates in their own summary blocks, so the over/(under) lines there are answering a different question.</t>
        </is>
      </c>
    </row>
    <row r="31">
      <c r="B31" s="534" t="inlineStr">
        <is>
          <t>Over/(under) is positive when the spend is above the budget, here and on every other tab in the book. A figure in brackets is under budget everywhere.</t>
        </is>
      </c>
    </row>
  </sheetData>
  <sheetProtection selectLockedCells="0" selectUnlockedCells="0" sheet="1" objects="1" insertRows="1" insertHyperlinks="1" autoFilter="1" scenarios="1" formatColumns="1" deleteColumns="1" insertColumns="1" pivotTables="1" deleteRows="1" formatCells="1" formatRows="1" sort="1" password="C5C5"/>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F19" activeCellId="0" sqref="F19"/>
    </sheetView>
  </sheetViews>
  <sheetFormatPr baseColWidth="8" defaultColWidth="8.54296875" defaultRowHeight="14.25" zeroHeight="0" outlineLevelRow="0"/>
  <cols>
    <col hidden="1" width="13" customWidth="1" style="534" min="1" max="1"/>
    <col width="13" customWidth="1" style="534" min="2" max="2"/>
    <col width="28.27" customWidth="1" style="534" min="3" max="3"/>
    <col width="6" customWidth="1" style="534" min="4" max="4"/>
    <col width="30" customWidth="1" style="534" min="5" max="5"/>
    <col width="10" customWidth="1" style="534" min="6" max="6"/>
    <col width="16.27" customWidth="1" style="534" min="7" max="7"/>
    <col width="16.45" customWidth="1" style="534" min="8" max="8"/>
    <col width="45" customWidth="1" style="534" min="9" max="9"/>
    <col width="11" customWidth="1" style="534" min="11" max="11"/>
  </cols>
  <sheetData>
    <row r="1"/>
    <row r="2" ht="18" customHeight="1" s="535">
      <c r="C2" s="670" t="inlineStr">
        <is>
          <t>Squad Cost Lookup</t>
        </is>
      </c>
    </row>
    <row r="3"/>
    <row r="4" ht="14.25" customHeight="1" s="535">
      <c r="A4" s="672" t="inlineStr">
        <is>
          <t>Key</t>
        </is>
      </c>
      <c r="C4" s="672" t="inlineStr">
        <is>
          <t>Squad Type</t>
        </is>
      </c>
      <c r="D4" s="672" t="inlineStr">
        <is>
          <t>Size</t>
        </is>
      </c>
      <c r="E4" s="672" t="inlineStr">
        <is>
          <t>Archetype</t>
        </is>
      </c>
      <c r="F4" s="672" t="inlineStr">
        <is>
          <t># of roles</t>
        </is>
      </c>
      <c r="G4" s="672" t="inlineStr">
        <is>
          <t>Onshore Cost ($m)</t>
        </is>
      </c>
      <c r="H4" s="672" t="inlineStr">
        <is>
          <t>Offshore Cost ($m)</t>
        </is>
      </c>
      <c r="I4" s="672" t="inlineStr">
        <is>
          <t>Use When</t>
        </is>
      </c>
      <c r="K4" s="715" t="inlineStr">
        <is>
          <t>Offshore rate</t>
        </is>
      </c>
    </row>
    <row r="5" ht="14.25" customHeight="1" s="535">
      <c r="A5" s="716" t="inlineStr">
        <is>
          <t>Engineering|S</t>
        </is>
      </c>
      <c r="C5" s="717" t="inlineStr">
        <is>
          <t>Engineering</t>
        </is>
      </c>
      <c r="D5" s="717" t="inlineStr">
        <is>
          <t>S</t>
        </is>
      </c>
      <c r="E5" s="717" t="inlineStr">
        <is>
          <t>Lean build squad</t>
        </is>
      </c>
      <c r="F5" s="718" t="n">
        <v>4.5</v>
      </c>
      <c r="G5" s="719" t="n">
        <v>0.8</v>
      </c>
      <c r="H5" s="719">
        <f>G5*$K$5</f>
        <v>0.32</v>
      </c>
      <c r="I5" s="717" t="inlineStr">
        <is>
          <t>Simple platforms, incremental changes</t>
        </is>
      </c>
      <c r="K5" s="720" t="n">
        <v>0.4</v>
      </c>
    </row>
    <row r="6" ht="14.25" customHeight="1" s="535">
      <c r="A6" s="716" t="inlineStr">
        <is>
          <t>Engineering|M</t>
        </is>
      </c>
      <c r="C6" s="721" t="inlineStr">
        <is>
          <t>Engineering</t>
        </is>
      </c>
      <c r="D6" s="721" t="inlineStr">
        <is>
          <t>M</t>
        </is>
      </c>
      <c r="E6" s="721" t="inlineStr">
        <is>
          <t>Standard Engineering Squad</t>
        </is>
      </c>
      <c r="F6" s="722" t="n">
        <v>9</v>
      </c>
      <c r="G6" s="723" t="n">
        <v>2</v>
      </c>
      <c r="H6" s="723">
        <f>G6*$K$5</f>
        <v>0.8</v>
      </c>
      <c r="I6" s="721" t="inlineStr">
        <is>
          <t>Medium complexity platforms</t>
        </is>
      </c>
    </row>
    <row r="7" ht="14.25" customHeight="1" s="535">
      <c r="A7" s="716" t="inlineStr">
        <is>
          <t>Engineering|L</t>
        </is>
      </c>
      <c r="C7" s="716" t="inlineStr">
        <is>
          <t>Engineering</t>
        </is>
      </c>
      <c r="D7" s="716" t="inlineStr">
        <is>
          <t>L</t>
        </is>
      </c>
      <c r="E7" s="716" t="inlineStr">
        <is>
          <t>High-scale squad</t>
        </is>
      </c>
      <c r="F7" s="724" t="n">
        <v>12</v>
      </c>
      <c r="G7" s="725" t="n">
        <v>2.7</v>
      </c>
      <c r="H7" s="725">
        <f>G7*$K$5</f>
        <v>1.08</v>
      </c>
      <c r="I7" s="716" t="inlineStr">
        <is>
          <t>Scalable platforms, high volume output</t>
        </is>
      </c>
      <c r="K7" s="715" t="inlineStr">
        <is>
          <t>Onshore roles in a hybrid squad</t>
        </is>
      </c>
    </row>
    <row r="8" ht="14.25" customHeight="1" s="535">
      <c r="A8" s="716" t="inlineStr">
        <is>
          <t>Configuration / Integration|XS</t>
        </is>
      </c>
      <c r="C8" s="726" t="inlineStr">
        <is>
          <t>Configuration / Integration</t>
        </is>
      </c>
      <c r="D8" s="726" t="inlineStr">
        <is>
          <t>XS</t>
        </is>
      </c>
      <c r="E8" s="726" t="inlineStr">
        <is>
          <t>MS Squad</t>
        </is>
      </c>
      <c r="F8" s="727" t="n">
        <v>1</v>
      </c>
      <c r="G8" s="725" t="n">
        <v>0.4</v>
      </c>
      <c r="H8" s="723">
        <f>G8*$K$5</f>
        <v>0.16</v>
      </c>
      <c r="I8" s="721" t="inlineStr">
        <is>
          <t>Work managed by a vendor</t>
        </is>
      </c>
      <c r="K8" s="728" t="n">
        <v>2</v>
      </c>
    </row>
    <row r="9" ht="14.25" customHeight="1" s="535">
      <c r="A9" s="716" t="inlineStr">
        <is>
          <t>Configuration / Integration|S</t>
        </is>
      </c>
      <c r="C9" s="716" t="inlineStr">
        <is>
          <t>Configuration / Integration</t>
        </is>
      </c>
      <c r="D9" s="716" t="inlineStr">
        <is>
          <t>S</t>
        </is>
      </c>
      <c r="E9" s="716" t="inlineStr">
        <is>
          <t>Simple Configuration Squad</t>
        </is>
      </c>
      <c r="F9" s="724" t="n">
        <v>6</v>
      </c>
      <c r="G9" s="723" t="n">
        <v>1.4</v>
      </c>
      <c r="H9" s="725">
        <f>G9*$K$5</f>
        <v>0.56</v>
      </c>
      <c r="I9" s="716" t="inlineStr">
        <is>
          <t>Simple configuration, limited integration</t>
        </is>
      </c>
    </row>
    <row r="10" ht="14.25" customHeight="1" s="535">
      <c r="A10" s="716" t="inlineStr">
        <is>
          <t>Configuration / Integration|M</t>
        </is>
      </c>
      <c r="C10" s="721" t="inlineStr">
        <is>
          <t>Configuration / Integration</t>
        </is>
      </c>
      <c r="D10" s="721" t="inlineStr">
        <is>
          <t>M</t>
        </is>
      </c>
      <c r="E10" s="721" t="inlineStr">
        <is>
          <t>Standard Configuration Squad</t>
        </is>
      </c>
      <c r="F10" s="722" t="n">
        <v>9</v>
      </c>
      <c r="G10" s="725" t="n">
        <v>2.1</v>
      </c>
      <c r="H10" s="723">
        <f>G10*$K$5</f>
        <v>0.84</v>
      </c>
      <c r="I10" s="721" t="inlineStr">
        <is>
          <t>Standard configuration, medium complexity</t>
        </is>
      </c>
    </row>
    <row r="11" ht="14.25" customHeight="1" s="535">
      <c r="A11" s="716" t="inlineStr">
        <is>
          <t>Configuration / Integration|L</t>
        </is>
      </c>
      <c r="C11" s="716" t="inlineStr">
        <is>
          <t>Configuration / Integration</t>
        </is>
      </c>
      <c r="D11" s="716" t="inlineStr">
        <is>
          <t>L</t>
        </is>
      </c>
      <c r="E11" s="716" t="inlineStr">
        <is>
          <t>Complex Integration Squad</t>
        </is>
      </c>
      <c r="F11" s="724" t="n">
        <v>14</v>
      </c>
      <c r="G11" s="725" t="n">
        <v>3.2</v>
      </c>
      <c r="H11" s="725">
        <f>G11*$K$5</f>
        <v>1.28</v>
      </c>
      <c r="I11" s="716" t="inlineStr">
        <is>
          <t>Complex config or custom build, high integration</t>
        </is>
      </c>
    </row>
    <row r="12" ht="14.25" customHeight="1" s="535">
      <c r="A12" s="716" t="inlineStr">
        <is>
          <t>Product|S</t>
        </is>
      </c>
      <c r="C12" s="721" t="inlineStr">
        <is>
          <t>Product</t>
        </is>
      </c>
      <c r="D12" s="721" t="inlineStr">
        <is>
          <t>S</t>
        </is>
      </c>
      <c r="E12" s="721" t="inlineStr">
        <is>
          <t>Lean Product Squad</t>
        </is>
      </c>
      <c r="F12" s="722" t="n">
        <v>5.5</v>
      </c>
      <c r="G12" s="723" t="n">
        <v>1.3</v>
      </c>
      <c r="H12" s="723">
        <f>G12*$K$5</f>
        <v>0.52</v>
      </c>
      <c r="I12" s="721" t="inlineStr">
        <is>
          <t>Early stage product testing or low complexity</t>
        </is>
      </c>
    </row>
    <row r="13" ht="14.25" customHeight="1" s="535">
      <c r="A13" s="716" t="inlineStr">
        <is>
          <t>Product|M</t>
        </is>
      </c>
      <c r="C13" s="716" t="inlineStr">
        <is>
          <t>Product</t>
        </is>
      </c>
      <c r="D13" s="716" t="inlineStr">
        <is>
          <t>M</t>
        </is>
      </c>
      <c r="E13" s="716" t="inlineStr">
        <is>
          <t>Balanced Product Squad</t>
        </is>
      </c>
      <c r="F13" s="724" t="n">
        <v>8.5</v>
      </c>
      <c r="G13" s="725" t="n">
        <v>1.9</v>
      </c>
      <c r="H13" s="725">
        <f>G13*$K$5</f>
        <v>0.76</v>
      </c>
      <c r="I13" s="716" t="inlineStr">
        <is>
          <t>Ongoing product development, moderate complexity</t>
        </is>
      </c>
    </row>
    <row r="14" ht="14.25" customHeight="1" s="535">
      <c r="A14" s="716" t="inlineStr">
        <is>
          <t>Product|L</t>
        </is>
      </c>
      <c r="C14" s="721" t="inlineStr">
        <is>
          <t>Product</t>
        </is>
      </c>
      <c r="D14" s="721" t="inlineStr">
        <is>
          <t>L</t>
        </is>
      </c>
      <c r="E14" s="721" t="inlineStr">
        <is>
          <t>Scaled Product Squad</t>
        </is>
      </c>
      <c r="F14" s="722" t="n">
        <v>12</v>
      </c>
      <c r="G14" s="723" t="n">
        <v>2.8</v>
      </c>
      <c r="H14" s="723">
        <f>G14*$K$5</f>
        <v>1.12</v>
      </c>
      <c r="I14" s="721" t="inlineStr">
        <is>
          <t>Mature product</t>
        </is>
      </c>
    </row>
    <row r="15" ht="14.25" customHeight="1" s="535">
      <c r="A15" s="716" t="inlineStr">
        <is>
          <t>Operations|S</t>
        </is>
      </c>
      <c r="C15" s="716" t="inlineStr">
        <is>
          <t>Operations</t>
        </is>
      </c>
      <c r="D15" s="716" t="inlineStr">
        <is>
          <t>S</t>
        </is>
      </c>
      <c r="E15" s="716" t="inlineStr">
        <is>
          <t>Lean operations squad</t>
        </is>
      </c>
      <c r="F15" s="724" t="n">
        <v>4</v>
      </c>
      <c r="G15" s="725" t="n">
        <v>0.8</v>
      </c>
      <c r="H15" s="725">
        <f>G15*$K$5</f>
        <v>0.32</v>
      </c>
      <c r="I15" s="716" t="inlineStr">
        <is>
          <t>Low change, stable platforms</t>
        </is>
      </c>
    </row>
    <row r="16" ht="14.25" customHeight="1" s="535">
      <c r="A16" s="716" t="inlineStr">
        <is>
          <t>Operations|M</t>
        </is>
      </c>
      <c r="C16" s="721" t="inlineStr">
        <is>
          <t>Operations</t>
        </is>
      </c>
      <c r="D16" s="721" t="inlineStr">
        <is>
          <t>M</t>
        </is>
      </c>
      <c r="E16" s="721" t="inlineStr">
        <is>
          <t>Balanced operations squad</t>
        </is>
      </c>
      <c r="F16" s="722" t="n">
        <v>6</v>
      </c>
      <c r="G16" s="723" t="n">
        <v>1.4</v>
      </c>
      <c r="H16" s="723">
        <f>G16*$K$5</f>
        <v>0.56</v>
      </c>
      <c r="I16" s="721" t="inlineStr">
        <is>
          <t>Moderate support plus improvements</t>
        </is>
      </c>
    </row>
    <row r="17" ht="14.25" customHeight="1" s="535">
      <c r="A17" s="716" t="inlineStr">
        <is>
          <t>Operations|L</t>
        </is>
      </c>
      <c r="C17" s="716" t="inlineStr">
        <is>
          <t>Operations</t>
        </is>
      </c>
      <c r="D17" s="716" t="inlineStr">
        <is>
          <t>L</t>
        </is>
      </c>
      <c r="E17" s="716" t="inlineStr">
        <is>
          <t>High demand operations squad</t>
        </is>
      </c>
      <c r="F17" s="724" t="n">
        <v>10</v>
      </c>
      <c r="G17" s="725" t="n">
        <v>2.3</v>
      </c>
      <c r="H17" s="725">
        <f>G17*$K$5</f>
        <v>0.92</v>
      </c>
      <c r="I17" s="716" t="inlineStr">
        <is>
          <t>High ticket volume, critical systems</t>
        </is>
      </c>
    </row>
    <row r="18" ht="14.25" customHeight="1" s="535">
      <c r="A18" s="716" t="inlineStr">
        <is>
          <t>Enterprise Data and Insights|S</t>
        </is>
      </c>
      <c r="C18" s="721" t="inlineStr">
        <is>
          <t>Enterprise Data and Insights</t>
        </is>
      </c>
      <c r="D18" s="721" t="inlineStr">
        <is>
          <t>S</t>
        </is>
      </c>
      <c r="E18" s="721" t="inlineStr">
        <is>
          <t>Lean Data squad</t>
        </is>
      </c>
      <c r="F18" s="722" t="n">
        <v>4</v>
      </c>
      <c r="G18" s="723" t="n">
        <v>0.9</v>
      </c>
      <c r="H18" s="723">
        <f>G18*$K$5</f>
        <v>0.36</v>
      </c>
      <c r="I18" s="721" t="inlineStr">
        <is>
          <t>Basic reporting, low complexity</t>
        </is>
      </c>
    </row>
    <row r="19" ht="14.25" customHeight="1" s="535">
      <c r="A19" s="716" t="inlineStr">
        <is>
          <t>Enterprise Data and Insights|M</t>
        </is>
      </c>
      <c r="C19" s="716" t="inlineStr">
        <is>
          <t>Enterprise Data and Insights</t>
        </is>
      </c>
      <c r="D19" s="716" t="inlineStr">
        <is>
          <t>M</t>
        </is>
      </c>
      <c r="E19" s="716" t="inlineStr">
        <is>
          <t>Standard Data squad</t>
        </is>
      </c>
      <c r="F19" s="724" t="n">
        <v>7.5</v>
      </c>
      <c r="G19" s="725" t="n">
        <v>1.7</v>
      </c>
      <c r="H19" s="725">
        <f>G19*$K$5</f>
        <v>0.68</v>
      </c>
      <c r="I19" s="716" t="inlineStr">
        <is>
          <t>Ongoing analytics, dashboarding</t>
        </is>
      </c>
    </row>
    <row r="20" ht="14.25" customHeight="1" s="535">
      <c r="A20" s="716" t="inlineStr">
        <is>
          <t>Enterprise Data and Insights|L</t>
        </is>
      </c>
      <c r="C20" s="721" t="inlineStr">
        <is>
          <t>Enterprise Data and Insights</t>
        </is>
      </c>
      <c r="D20" s="721" t="inlineStr">
        <is>
          <t>L</t>
        </is>
      </c>
      <c r="E20" s="721" t="inlineStr">
        <is>
          <t>Advanced Data / AI squad</t>
        </is>
      </c>
      <c r="F20" s="722" t="n">
        <v>9</v>
      </c>
      <c r="G20" s="723" t="n">
        <v>2</v>
      </c>
      <c r="H20" s="723">
        <f>G20*$K$5</f>
        <v>0.8</v>
      </c>
      <c r="I20" s="721" t="inlineStr">
        <is>
          <t>Advanced analytics, predictive modelling, AI</t>
        </is>
      </c>
    </row>
    <row r="21" ht="14.25" customHeight="1" s="535">
      <c r="A21" s="716" t="inlineStr">
        <is>
          <t>Build and Run|S</t>
        </is>
      </c>
      <c r="C21" s="716" t="inlineStr">
        <is>
          <t>Build and Run</t>
        </is>
      </c>
      <c r="D21" s="716" t="inlineStr">
        <is>
          <t>S</t>
        </is>
      </c>
      <c r="E21" s="716" t="inlineStr">
        <is>
          <t>Lean build and run squad</t>
        </is>
      </c>
      <c r="F21" s="724" t="n">
        <v>4</v>
      </c>
      <c r="G21" s="725" t="n">
        <v>0.9</v>
      </c>
      <c r="H21" s="725">
        <f>G21*$K$5</f>
        <v>0.36</v>
      </c>
      <c r="I21" s="716" t="inlineStr">
        <is>
          <t>Simple platforms, low traffic, stable</t>
        </is>
      </c>
    </row>
    <row r="22" ht="14.25" customHeight="1" s="535">
      <c r="A22" s="716" t="inlineStr">
        <is>
          <t>Build and Run|M</t>
        </is>
      </c>
      <c r="C22" s="721" t="inlineStr">
        <is>
          <t>Build and Run</t>
        </is>
      </c>
      <c r="D22" s="721" t="inlineStr">
        <is>
          <t>M</t>
        </is>
      </c>
      <c r="E22" s="721" t="inlineStr">
        <is>
          <t>Standard build and run squad</t>
        </is>
      </c>
      <c r="F22" s="722" t="n">
        <v>9</v>
      </c>
      <c r="G22" s="723" t="n">
        <v>2</v>
      </c>
      <c r="H22" s="723">
        <f>G22*$K$5</f>
        <v>0.8</v>
      </c>
      <c r="I22" s="721" t="inlineStr">
        <is>
          <t>Core platforms, moderate complexity</t>
        </is>
      </c>
    </row>
    <row r="23" ht="14.25" customHeight="1" s="535">
      <c r="A23" s="716" t="inlineStr">
        <is>
          <t>Build and Run|L</t>
        </is>
      </c>
      <c r="C23" s="716" t="inlineStr">
        <is>
          <t>Build and Run</t>
        </is>
      </c>
      <c r="D23" s="716" t="inlineStr">
        <is>
          <t>L</t>
        </is>
      </c>
      <c r="E23" s="716" t="inlineStr">
        <is>
          <t>Scaled build and run squad</t>
        </is>
      </c>
      <c r="F23" s="724" t="n">
        <v>13</v>
      </c>
      <c r="G23" s="725" t="n">
        <v>2.8</v>
      </c>
      <c r="H23" s="725">
        <f>G23*$K$5</f>
        <v>1.12</v>
      </c>
      <c r="I23" s="716" t="inlineStr">
        <is>
          <t>High traffic or business critical, 24/7</t>
        </is>
      </c>
    </row>
    <row r="24" ht="14.25" customHeight="1" s="535">
      <c r="C24" s="729" t="inlineStr">
        <is>
          <t>Exceptions (will need to incl. rules)</t>
        </is>
      </c>
      <c r="E24" s="730" t="inlineStr">
        <is>
          <t>TBC</t>
        </is>
      </c>
      <c r="I24" s="730" t="inlineStr">
        <is>
          <t>TBC</t>
        </is>
      </c>
    </row>
    <row r="25" ht="14.25" customHeight="1" s="535">
      <c r="C25" s="731" t="inlineStr">
        <is>
          <t>Hybrid = 2 roles onshore, rest offshore</t>
        </is>
      </c>
    </row>
    <row r="26"/>
    <row r="27" ht="14.25" customHeight="1" s="535">
      <c r="C27" s="546" t="inlineStr">
        <is>
          <t xml:space="preserve">Exception for ES EVCI - 6 FTE vs 4.5 FTE </t>
        </is>
      </c>
    </row>
    <row r="28"/>
    <row r="29" ht="14.25" customHeight="1" s="535">
      <c r="C29" s="534" t="inlineStr">
        <is>
          <t>Exception for TDD DevOps - no BA, DL 6 FTE vs 4.5 FTE</t>
        </is>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732" min="1" max="1"/>
    <col width="28.27" customWidth="1" style="733" min="2" max="2"/>
    <col width="21" customWidth="1" style="733" min="3" max="3"/>
    <col width="7.82" customWidth="1" style="732" min="4" max="6"/>
    <col hidden="1" outlineLevel="1" width="8.27" customWidth="1" style="732" min="7" max="7"/>
    <col width="6.27" customWidth="1" style="732" min="8" max="8"/>
    <col hidden="1" width="7.82" customWidth="1" style="732" min="9" max="11"/>
    <col hidden="1" outlineLevel="1" width="8.27" customWidth="1" style="732" min="12" max="12"/>
    <col hidden="1" width="6.27" customWidth="1" style="732" min="13" max="13"/>
    <col outlineLevel="1" width="7.82" customWidth="1" style="732" min="14" max="16"/>
    <col hidden="1" outlineLevel="2" width="8.27" customWidth="1" style="732" min="17" max="17"/>
    <col outlineLevel="1" collapsed="1" width="6.27" customWidth="1" style="732" min="18" max="18"/>
    <col outlineLevel="1" width="7.82" customWidth="1" style="732" min="19" max="21"/>
    <col hidden="1" outlineLevel="2" width="8.27" customWidth="1" style="732" min="22" max="22"/>
    <col outlineLevel="1" collapsed="1" width="6.27" customWidth="1" style="732" min="23" max="23"/>
    <col width="7.82" customWidth="1" style="732" min="24" max="26"/>
    <col hidden="1" outlineLevel="1" width="8.27" customWidth="1" style="732" min="27" max="27"/>
    <col width="6.27" customWidth="1" style="732" min="28" max="28"/>
    <col width="7.82" customWidth="1" style="732" min="29" max="31"/>
    <col hidden="1" outlineLevel="1" width="8.27" customWidth="1" style="732" min="32" max="32"/>
    <col width="6.27" customWidth="1" style="732" min="33" max="33"/>
    <col width="7.82" customWidth="1" style="732" min="34" max="36"/>
    <col hidden="1" outlineLevel="1" width="8.27" customWidth="1" style="732" min="37" max="37"/>
    <col width="6.27" customWidth="1" style="732" min="38" max="38"/>
    <col width="0.73" customWidth="1" style="732" min="39" max="39"/>
    <col width="7.82" customWidth="1" style="732" min="40" max="42"/>
    <col outlineLevel="1" width="9.18" customWidth="1" style="732" min="43" max="43"/>
    <col width="6.27" customWidth="1" style="732" min="44" max="44"/>
    <col width="9.18" customWidth="1" style="732" min="45" max="16384"/>
  </cols>
  <sheetData>
    <row r="1"/>
    <row r="2"/>
    <row r="3" ht="39" customHeight="1" s="535">
      <c r="B3" s="734" t="inlineStr">
        <is>
          <t>BUSINESS SEGMENTS</t>
        </is>
      </c>
      <c r="C3" s="734" t="inlineStr">
        <is>
          <t>TDD GM</t>
        </is>
      </c>
      <c r="D3" s="735" t="inlineStr">
        <is>
          <t>TOTAL 
YTD (Jun-2026)</t>
        </is>
      </c>
      <c r="E3" s="736" t="n"/>
      <c r="F3" s="736" t="n"/>
      <c r="G3" s="736" t="n"/>
      <c r="H3" s="737" t="n"/>
      <c r="I3" s="738" t="inlineStr">
        <is>
          <t>OPEX: LIGHTS ON + INITIATIVES
(YTD)</t>
        </is>
      </c>
      <c r="J3" s="736" t="n"/>
      <c r="K3" s="736" t="n"/>
      <c r="L3" s="736" t="n"/>
      <c r="M3" s="737" t="n"/>
      <c r="N3" s="738" t="inlineStr">
        <is>
          <t>OPEX: LIGHTS ON
(YTD)</t>
        </is>
      </c>
      <c r="O3" s="736" t="n"/>
      <c r="P3" s="736" t="n"/>
      <c r="Q3" s="736" t="n"/>
      <c r="R3" s="737" t="n"/>
      <c r="S3" s="738" t="inlineStr">
        <is>
          <t>OPEX: INITIATIVES
(YTD)</t>
        </is>
      </c>
      <c r="T3" s="736" t="n"/>
      <c r="U3" s="736" t="n"/>
      <c r="V3" s="736" t="n"/>
      <c r="W3" s="737" t="n"/>
      <c r="X3" s="739" t="inlineStr">
        <is>
          <t>OPEX: DEPRECIATION
(YTD)</t>
        </is>
      </c>
      <c r="Y3" s="736" t="n"/>
      <c r="Z3" s="736" t="n"/>
      <c r="AA3" s="736" t="n"/>
      <c r="AB3" s="740" t="n"/>
      <c r="AC3" s="741" t="inlineStr">
        <is>
          <t>SIGNIFICANT ITEMS
(YTD)</t>
        </is>
      </c>
      <c r="AD3" s="736" t="n"/>
      <c r="AE3" s="736" t="n"/>
      <c r="AF3" s="736" t="n"/>
      <c r="AG3" s="736" t="n"/>
      <c r="AH3" s="739" t="inlineStr">
        <is>
          <t>CAPEX
(YTD)</t>
        </is>
      </c>
      <c r="AI3" s="736" t="n"/>
      <c r="AJ3" s="736" t="n"/>
      <c r="AK3" s="736" t="n"/>
      <c r="AL3" s="740" t="n"/>
      <c r="AN3" s="742" t="inlineStr">
        <is>
          <t>FY2026</t>
        </is>
      </c>
      <c r="AO3" s="736" t="n"/>
      <c r="AP3" s="736" t="n"/>
      <c r="AQ3" s="736" t="n"/>
      <c r="AR3" s="740" t="n"/>
    </row>
    <row r="4" ht="13.5" customHeight="1" s="535">
      <c r="B4" s="743" t="n"/>
      <c r="C4" s="743" t="n"/>
      <c r="D4" s="744" t="inlineStr">
        <is>
          <t>A</t>
        </is>
      </c>
      <c r="E4" s="745" t="inlineStr">
        <is>
          <t>B</t>
        </is>
      </c>
      <c r="F4" s="745" t="inlineStr">
        <is>
          <t>V</t>
        </is>
      </c>
      <c r="G4" s="745" t="inlineStr">
        <is>
          <t>V %</t>
        </is>
      </c>
      <c r="H4" s="745" t="inlineStr">
        <is>
          <t>Trend</t>
        </is>
      </c>
      <c r="I4" s="746" t="inlineStr">
        <is>
          <t>A</t>
        </is>
      </c>
      <c r="J4" s="746" t="inlineStr">
        <is>
          <t>B</t>
        </is>
      </c>
      <c r="K4" s="746" t="inlineStr">
        <is>
          <t>V</t>
        </is>
      </c>
      <c r="L4" s="746" t="inlineStr">
        <is>
          <t>V %</t>
        </is>
      </c>
      <c r="M4" s="746" t="inlineStr">
        <is>
          <t>Trend</t>
        </is>
      </c>
      <c r="N4" s="746" t="inlineStr">
        <is>
          <t>A</t>
        </is>
      </c>
      <c r="O4" s="746" t="inlineStr">
        <is>
          <t>B</t>
        </is>
      </c>
      <c r="P4" s="746" t="inlineStr">
        <is>
          <t>V</t>
        </is>
      </c>
      <c r="Q4" s="746" t="n"/>
      <c r="R4" s="746" t="inlineStr">
        <is>
          <t>Trend</t>
        </is>
      </c>
      <c r="S4" s="746" t="inlineStr">
        <is>
          <t>A</t>
        </is>
      </c>
      <c r="T4" s="746" t="inlineStr">
        <is>
          <t>B</t>
        </is>
      </c>
      <c r="U4" s="746" t="inlineStr">
        <is>
          <t>V</t>
        </is>
      </c>
      <c r="V4" s="746" t="inlineStr">
        <is>
          <t>V %</t>
        </is>
      </c>
      <c r="W4" s="746" t="inlineStr">
        <is>
          <t>Trend</t>
        </is>
      </c>
      <c r="X4" s="746" t="inlineStr">
        <is>
          <t>A</t>
        </is>
      </c>
      <c r="Y4" s="746" t="inlineStr">
        <is>
          <t>B</t>
        </is>
      </c>
      <c r="Z4" s="746" t="inlineStr">
        <is>
          <t>V</t>
        </is>
      </c>
      <c r="AA4" s="746" t="inlineStr">
        <is>
          <t>V %</t>
        </is>
      </c>
      <c r="AB4" s="747" t="inlineStr">
        <is>
          <t>Trend</t>
        </is>
      </c>
      <c r="AC4" s="746" t="inlineStr">
        <is>
          <t>A</t>
        </is>
      </c>
      <c r="AD4" s="746" t="inlineStr">
        <is>
          <t>B</t>
        </is>
      </c>
      <c r="AE4" s="746" t="inlineStr">
        <is>
          <t>V</t>
        </is>
      </c>
      <c r="AF4" s="746" t="inlineStr">
        <is>
          <t>V %</t>
        </is>
      </c>
      <c r="AG4" s="748" t="inlineStr">
        <is>
          <t>Trend</t>
        </is>
      </c>
      <c r="AH4" s="746" t="inlineStr">
        <is>
          <t>A</t>
        </is>
      </c>
      <c r="AI4" s="746" t="inlineStr">
        <is>
          <t>B</t>
        </is>
      </c>
      <c r="AJ4" s="746" t="inlineStr">
        <is>
          <t>V</t>
        </is>
      </c>
      <c r="AK4" s="746" t="inlineStr">
        <is>
          <t>V %</t>
        </is>
      </c>
      <c r="AL4" s="747" t="inlineStr">
        <is>
          <t>Trend</t>
        </is>
      </c>
      <c r="AN4" s="744" t="inlineStr">
        <is>
          <t>F</t>
        </is>
      </c>
      <c r="AO4" s="745" t="inlineStr">
        <is>
          <t>B</t>
        </is>
      </c>
      <c r="AP4" s="745" t="inlineStr">
        <is>
          <t>V</t>
        </is>
      </c>
      <c r="AQ4" s="745" t="n"/>
      <c r="AR4" s="749" t="inlineStr">
        <is>
          <t>Trend</t>
        </is>
      </c>
    </row>
    <row r="5" ht="21" customFormat="1" customHeight="1" s="750">
      <c r="A5" s="750" t="inlineStr">
        <is>
          <t>TDD (Corporate)1</t>
        </is>
      </c>
      <c r="B5" s="751" t="inlineStr">
        <is>
          <t>TDD (Corporate)1</t>
        </is>
      </c>
      <c r="C5" s="752" t="inlineStr">
        <is>
          <t>Brad Blyth
Greg Cassis</t>
        </is>
      </c>
      <c r="D5" s="753">
        <f>I5+AC5+AH5+X5</f>
        <v>53.57500618</v>
      </c>
      <c r="E5" s="754">
        <f>J5+AD5+AI5+Y5</f>
        <v>56.15812513</v>
      </c>
      <c r="F5" s="754">
        <f>E5-D5</f>
        <v>2.58311894999999</v>
      </c>
      <c r="G5" s="755">
        <f>IFERROR(F5/E5,"-")</f>
        <v>0.0459972433912341</v>
      </c>
      <c r="H5" s="756" t="inlineStr">
        <is>
          <t>G</t>
        </is>
      </c>
      <c r="I5" s="754" t="n">
        <v>41.77379708</v>
      </c>
      <c r="J5" s="754" t="n">
        <v>41.9336938</v>
      </c>
      <c r="K5" s="754">
        <f>J5-I5</f>
        <v>0.159896719999999</v>
      </c>
      <c r="L5" s="755">
        <f>IFERROR(K5/J5,"-")</f>
        <v>0.00381308455111577</v>
      </c>
      <c r="M5" s="757" t="inlineStr">
        <is>
          <t>G</t>
        </is>
      </c>
      <c r="N5" s="754">
        <f>I5-S5</f>
        <v>40.97295585</v>
      </c>
      <c r="O5" s="754">
        <f>J5-T5</f>
        <v>40.4336938</v>
      </c>
      <c r="P5" s="754">
        <f>O5-N5</f>
        <v>-0.539262049999998</v>
      </c>
      <c r="Q5" s="755">
        <f>IFERROR(P5/O5,"-")</f>
        <v>-0.0133369474643446</v>
      </c>
      <c r="R5" s="758" t="inlineStr">
        <is>
          <t>A</t>
        </is>
      </c>
      <c r="S5" s="754" t="n">
        <v>0.80084123</v>
      </c>
      <c r="T5" s="754" t="n">
        <v>1.5</v>
      </c>
      <c r="U5" s="754">
        <f>T5-S5</f>
        <v>0.69915877</v>
      </c>
      <c r="V5" s="755">
        <f>IFERROR(U5/T5,"-")</f>
        <v>0.466105846666667</v>
      </c>
      <c r="W5" s="756" t="inlineStr">
        <is>
          <t>G</t>
        </is>
      </c>
      <c r="X5" s="754" t="n">
        <v>2.78522111</v>
      </c>
      <c r="Y5" s="754" t="n">
        <v>2.9338979</v>
      </c>
      <c r="Z5" s="754">
        <f>Y5-X5</f>
        <v>0.14867679</v>
      </c>
      <c r="AA5" s="755">
        <f>IFERROR(Z5/Y5,"-")</f>
        <v>0.0506755160089244</v>
      </c>
      <c r="AB5" s="756" t="inlineStr">
        <is>
          <t>G</t>
        </is>
      </c>
      <c r="AC5" s="754" t="n">
        <v>8.8400082</v>
      </c>
      <c r="AD5" s="754" t="n">
        <v>9.2622</v>
      </c>
      <c r="AE5" s="754">
        <f>AD5-AC5</f>
        <v>0.4221918</v>
      </c>
      <c r="AF5" s="755">
        <f>IFERROR(AE5/AD5,"-")</f>
        <v>0.0455822374813759</v>
      </c>
      <c r="AG5" s="756" t="inlineStr">
        <is>
          <t>G</t>
        </is>
      </c>
      <c r="AH5" s="754" t="n">
        <v>0.17597979</v>
      </c>
      <c r="AI5" s="754" t="n">
        <v>2.02833343</v>
      </c>
      <c r="AJ5" s="754">
        <f>AI5-AH5</f>
        <v>1.85235364</v>
      </c>
      <c r="AK5" s="755">
        <f>IFERROR(AJ5/AI5,"-")</f>
        <v>0.913239220240037</v>
      </c>
      <c r="AL5" s="759" t="inlineStr">
        <is>
          <t>G</t>
        </is>
      </c>
      <c r="AN5" s="760">
        <f>I21+AC21+AH21+X21</f>
        <v>117.95714038</v>
      </c>
      <c r="AO5" s="761">
        <f>J21+AD21+AI21+Y21</f>
        <v>112.75951309</v>
      </c>
      <c r="AP5" s="761">
        <f>AO5-AN5</f>
        <v>-5.19762729000001</v>
      </c>
      <c r="AQ5" s="755">
        <f>IFERROR(AP5/AO5,"-")</f>
        <v>-0.0460948007628543</v>
      </c>
      <c r="AR5" s="762" t="inlineStr">
        <is>
          <t>A</t>
        </is>
      </c>
    </row>
    <row r="6" ht="21" customFormat="1" customHeight="1" s="750">
      <c r="A6" s="750" t="inlineStr">
        <is>
          <t>Z-Energy</t>
        </is>
      </c>
      <c r="B6" s="763" t="inlineStr">
        <is>
          <t>Z- Energy</t>
        </is>
      </c>
      <c r="C6" s="764" t="inlineStr">
        <is>
          <t>Vance Anderson
Harley Giles</t>
        </is>
      </c>
      <c r="D6" s="760">
        <f>I6+AC6+AH6+X6</f>
        <v>35.2578582524</v>
      </c>
      <c r="E6" s="761">
        <f>J6+AD6+AI6+Y6</f>
        <v>38.2541598471487</v>
      </c>
      <c r="F6" s="761">
        <f>E6-D6</f>
        <v>2.99630159474868</v>
      </c>
      <c r="G6" s="765">
        <f>IFERROR(F6/E6,"-")</f>
        <v>0.0783261639184062</v>
      </c>
      <c r="H6" s="757" t="inlineStr">
        <is>
          <t>G</t>
        </is>
      </c>
      <c r="I6" s="761" t="n">
        <v>26.4555130724</v>
      </c>
      <c r="J6" s="761" t="n">
        <v>26.8009903019695</v>
      </c>
      <c r="K6" s="761">
        <f>J6-I6</f>
        <v>0.3454772295695</v>
      </c>
      <c r="L6" s="765">
        <f>IFERROR(K6/J6,"-")</f>
        <v>0.0128904650789755</v>
      </c>
      <c r="M6" s="757" t="inlineStr">
        <is>
          <t>G</t>
        </is>
      </c>
      <c r="N6" s="754">
        <f>I6-S6</f>
        <v>26.4555130724</v>
      </c>
      <c r="O6" s="754">
        <f>J6-T6</f>
        <v>26.0778703019695</v>
      </c>
      <c r="P6" s="761">
        <f>O6-N6</f>
        <v>-0.377642770430501</v>
      </c>
      <c r="Q6" s="765">
        <f>IFERROR(P6/O6,"-")</f>
        <v>-0.0144813501278124</v>
      </c>
      <c r="R6" s="758" t="inlineStr">
        <is>
          <t>A</t>
        </is>
      </c>
      <c r="S6" s="754" t="n">
        <v>0</v>
      </c>
      <c r="T6" s="754" t="n">
        <v>0.72312</v>
      </c>
      <c r="U6" s="761">
        <f>T6-S6</f>
        <v>0.72312</v>
      </c>
      <c r="V6" s="765">
        <f>IFERROR(U6/T6,"-")</f>
        <v>1</v>
      </c>
      <c r="W6" s="757" t="inlineStr">
        <is>
          <t>G</t>
        </is>
      </c>
      <c r="X6" s="761" t="n">
        <v>4.835755244</v>
      </c>
      <c r="Y6" s="761" t="n">
        <v>5.14368626517918</v>
      </c>
      <c r="Z6" s="761">
        <f>Y6-X6</f>
        <v>0.30793102117918</v>
      </c>
      <c r="AA6" s="765">
        <f>IFERROR(Z6/Y6,"-")</f>
        <v>0.0598658248781146</v>
      </c>
      <c r="AB6" s="757" t="inlineStr">
        <is>
          <t>G</t>
        </is>
      </c>
      <c r="AC6" s="761" t="n">
        <v>0</v>
      </c>
      <c r="AD6" s="761" t="n">
        <v>0</v>
      </c>
      <c r="AE6" s="761">
        <f>AD6-AC6</f>
        <v>0</v>
      </c>
      <c r="AF6" s="765" t="str">
        <f>IFERROR(AE6/AD6,"-")</f>
        <v>-</v>
      </c>
      <c r="AG6" s="766" t="n"/>
      <c r="AH6" s="754" t="n">
        <v>3.966589936</v>
      </c>
      <c r="AI6" s="754" t="n">
        <v>6.30948328</v>
      </c>
      <c r="AJ6" s="761">
        <f>AI6-AH6</f>
        <v>2.342893344</v>
      </c>
      <c r="AK6" s="765">
        <f>IFERROR(AJ6/AI6,"-")</f>
        <v>0.371328877505164</v>
      </c>
      <c r="AL6" s="767" t="inlineStr">
        <is>
          <t>G</t>
        </is>
      </c>
      <c r="AN6" s="760">
        <f>I22+AC22+AH22+X22</f>
        <v>73.1083914772</v>
      </c>
      <c r="AO6" s="761">
        <f>J22+AD22+AI22+Y22</f>
        <v>76.7035140483733</v>
      </c>
      <c r="AP6" s="761">
        <f>AO6-AN6</f>
        <v>3.59512257117331</v>
      </c>
      <c r="AQ6" s="765">
        <f>IFERROR(AP6/AO6,"-")</f>
        <v>0.0468703763546743</v>
      </c>
      <c r="AR6" s="767" t="inlineStr">
        <is>
          <t>G</t>
        </is>
      </c>
    </row>
    <row r="7" ht="24" customFormat="1" customHeight="1" s="750">
      <c r="A7" s="750" t="inlineStr">
        <is>
          <t>Commercial Fuels</t>
        </is>
      </c>
      <c r="B7" s="763" t="inlineStr">
        <is>
          <t>Commercial Fuels</t>
        </is>
      </c>
      <c r="C7" s="764" t="inlineStr">
        <is>
          <t>Roanne Steele</t>
        </is>
      </c>
      <c r="D7" s="760">
        <f>I7+AC7+AH7+X7</f>
        <v>12.401562279697</v>
      </c>
      <c r="E7" s="761">
        <f>J7+AD7+AI7+Y7</f>
        <v>18.7773775690909</v>
      </c>
      <c r="F7" s="761">
        <f>E7-D7</f>
        <v>6.37581528939394</v>
      </c>
      <c r="G7" s="765">
        <f>IFERROR(F7/E7,"-")</f>
        <v>0.339547695940729</v>
      </c>
      <c r="H7" s="757" t="inlineStr">
        <is>
          <t>G</t>
        </is>
      </c>
      <c r="I7" s="761" t="n">
        <v>7.1072414</v>
      </c>
      <c r="J7" s="761" t="n">
        <v>8.284722285454549</v>
      </c>
      <c r="K7" s="761">
        <f>J7-I7</f>
        <v>1.17748088545455</v>
      </c>
      <c r="L7" s="765">
        <f>IFERROR(K7/J7,"-")</f>
        <v>0.142126778048052</v>
      </c>
      <c r="M7" s="757" t="inlineStr">
        <is>
          <t>G</t>
        </is>
      </c>
      <c r="N7" s="754">
        <f>I7-S7</f>
        <v>5.01868455307692</v>
      </c>
      <c r="O7" s="754">
        <f>J7-T7</f>
        <v>5.35386182391609</v>
      </c>
      <c r="P7" s="761">
        <f>O7-N7</f>
        <v>0.33517727083917</v>
      </c>
      <c r="Q7" s="765">
        <f>IFERROR(P7/O7,"-")</f>
        <v>0.0626047667763685</v>
      </c>
      <c r="R7" s="757" t="inlineStr">
        <is>
          <t>G</t>
        </is>
      </c>
      <c r="S7" s="754" t="n">
        <v>2.08855684692308</v>
      </c>
      <c r="T7" s="754" t="n">
        <v>2.93086046153846</v>
      </c>
      <c r="U7" s="761">
        <f>T7-S7</f>
        <v>0.84230361461538</v>
      </c>
      <c r="V7" s="765">
        <f>IFERROR(U7/T7,"-")</f>
        <v>0.287391237375129</v>
      </c>
      <c r="W7" s="757" t="inlineStr">
        <is>
          <t>G</t>
        </is>
      </c>
      <c r="X7" s="761" t="n"/>
      <c r="Y7" s="761" t="n"/>
      <c r="Z7" s="761">
        <f>Y7-X7</f>
        <v>0</v>
      </c>
      <c r="AA7" s="765" t="str">
        <f>IFERROR(Z7/Y7,"-")</f>
        <v>-</v>
      </c>
      <c r="AB7" s="766" t="n"/>
      <c r="AC7" s="761" t="n">
        <v>4.72854146969697</v>
      </c>
      <c r="AD7" s="761" t="n">
        <v>7.109604</v>
      </c>
      <c r="AE7" s="761">
        <f>AD7-AC7</f>
        <v>2.38106253030303</v>
      </c>
      <c r="AF7" s="765">
        <f>IFERROR(AE7/AD7,"-")</f>
        <v>0.334907897866468</v>
      </c>
      <c r="AG7" s="757" t="inlineStr">
        <is>
          <t>G</t>
        </is>
      </c>
      <c r="AH7" s="754" t="n">
        <v>0.56577941</v>
      </c>
      <c r="AI7" s="754" t="n">
        <v>3.38305128363636</v>
      </c>
      <c r="AJ7" s="761">
        <f>AI7-AH7</f>
        <v>2.81727187363636</v>
      </c>
      <c r="AK7" s="765">
        <f>IFERROR(AJ7/AI7,"-")</f>
        <v>0.832760616802753</v>
      </c>
      <c r="AL7" s="767" t="inlineStr">
        <is>
          <t>G</t>
        </is>
      </c>
      <c r="AN7" s="760">
        <f>I23+AC23+AH23+X23</f>
        <v>32.7689975631702</v>
      </c>
      <c r="AO7" s="761">
        <f>J23+AD23+AI23+Y23</f>
        <v>40.5342230439394</v>
      </c>
      <c r="AP7" s="761">
        <f>AO7-AN7</f>
        <v>7.76522548076924</v>
      </c>
      <c r="AQ7" s="765">
        <f>IFERROR(AP7/AO7,"-")</f>
        <v>0.191572081506328</v>
      </c>
      <c r="AR7" s="767" t="inlineStr">
        <is>
          <t>G</t>
        </is>
      </c>
    </row>
    <row r="8" ht="24" customFormat="1" customHeight="1" s="750">
      <c r="A8" s="750" t="inlineStr">
        <is>
          <t>Retail</t>
        </is>
      </c>
      <c r="B8" s="763" t="inlineStr">
        <is>
          <t>Retail</t>
        </is>
      </c>
      <c r="C8" s="764" t="inlineStr">
        <is>
          <t>Vance Anderson</t>
        </is>
      </c>
      <c r="D8" s="760">
        <f>I8+AC8+AH8+X8</f>
        <v>14.29054862</v>
      </c>
      <c r="E8" s="761">
        <f>J8+AD8+AI8+Y8</f>
        <v>18.06529514</v>
      </c>
      <c r="F8" s="761">
        <f>E8-D8</f>
        <v>3.77474652</v>
      </c>
      <c r="G8" s="765">
        <f>IFERROR(F8/E8,"-")</f>
        <v>0.208950171627254</v>
      </c>
      <c r="H8" s="757" t="inlineStr">
        <is>
          <t>G</t>
        </is>
      </c>
      <c r="I8" s="761" t="n">
        <v>6.854453</v>
      </c>
      <c r="J8" s="761" t="n">
        <v>7.08529514</v>
      </c>
      <c r="K8" s="761">
        <f>J8-I8</f>
        <v>0.23084214</v>
      </c>
      <c r="L8" s="765">
        <f>IFERROR(K8/J8,"-")</f>
        <v>0.0325804550747338</v>
      </c>
      <c r="M8" s="757" t="inlineStr">
        <is>
          <t>G</t>
        </is>
      </c>
      <c r="N8" s="754">
        <f>I8-S8</f>
        <v>6.45960741</v>
      </c>
      <c r="O8" s="754">
        <f>J8-T8</f>
        <v>6.43029514</v>
      </c>
      <c r="P8" s="761">
        <f>O8-N8</f>
        <v>-0.0293122700000001</v>
      </c>
      <c r="Q8" s="765">
        <f>IFERROR(P8/O8,"-")</f>
        <v>-0.00455846417027759</v>
      </c>
      <c r="R8" s="757" t="inlineStr">
        <is>
          <t>G</t>
        </is>
      </c>
      <c r="S8" s="754" t="n">
        <v>0.39484559</v>
      </c>
      <c r="T8" s="754" t="n">
        <v>0.655</v>
      </c>
      <c r="U8" s="761">
        <f>T8-S8</f>
        <v>0.26015441</v>
      </c>
      <c r="V8" s="765">
        <f>IFERROR(U8/T8,"-")</f>
        <v>0.397182305343511</v>
      </c>
      <c r="W8" s="757" t="inlineStr">
        <is>
          <t>G</t>
        </is>
      </c>
      <c r="X8" s="761" t="n"/>
      <c r="Y8" s="761" t="n"/>
      <c r="Z8" s="761">
        <f>Y8-X8</f>
        <v>0</v>
      </c>
      <c r="AA8" s="765" t="str">
        <f>IFERROR(Z8/Y8,"-")</f>
        <v>-</v>
      </c>
      <c r="AB8" s="766" t="n"/>
      <c r="AC8" s="761" t="n">
        <v>3.35460589</v>
      </c>
      <c r="AD8" s="761" t="n">
        <v>5.08</v>
      </c>
      <c r="AE8" s="761">
        <f>AD8-AC8</f>
        <v>1.72539411</v>
      </c>
      <c r="AF8" s="765">
        <f>IFERROR(AE8/AD8,"-")</f>
        <v>0.33964450984252</v>
      </c>
      <c r="AG8" s="757" t="inlineStr">
        <is>
          <t>G</t>
        </is>
      </c>
      <c r="AH8" s="754" t="n">
        <v>4.08148973</v>
      </c>
      <c r="AI8" s="754" t="n">
        <v>5.9</v>
      </c>
      <c r="AJ8" s="761">
        <f>AI8-AH8</f>
        <v>1.81851027</v>
      </c>
      <c r="AK8" s="765">
        <f>IFERROR(AJ8/AI8,"-")</f>
        <v>0.308222079661017</v>
      </c>
      <c r="AL8" s="767" t="inlineStr">
        <is>
          <t>G</t>
        </is>
      </c>
      <c r="AN8" s="760">
        <f>I24+AC24+AH24+X24</f>
        <v>35.26035577</v>
      </c>
      <c r="AO8" s="761">
        <f>J24+AD24+AI24+Y24</f>
        <v>33.88085459</v>
      </c>
      <c r="AP8" s="761">
        <f>AO8-AN8</f>
        <v>-1.37950118000001</v>
      </c>
      <c r="AQ8" s="765">
        <f>IFERROR(AP8/AO8,"-")</f>
        <v>-0.0407162451093299</v>
      </c>
      <c r="AR8" s="768" t="inlineStr">
        <is>
          <t>R</t>
        </is>
      </c>
    </row>
    <row r="9" ht="24" customFormat="1" customHeight="1" s="750">
      <c r="A9" s="750" t="inlineStr">
        <is>
          <t>Energy Solutions</t>
        </is>
      </c>
      <c r="B9" s="763" t="inlineStr">
        <is>
          <t>Energy Solutions</t>
        </is>
      </c>
      <c r="C9" s="764" t="inlineStr">
        <is>
          <t>Roanne Steele</t>
        </is>
      </c>
      <c r="D9" s="760">
        <f>I9+AC9+AH9+X9</f>
        <v>4.138503998274</v>
      </c>
      <c r="E9" s="761">
        <f>J9+AD9+AI9+Y9</f>
        <v>3.80667954</v>
      </c>
      <c r="F9" s="761">
        <f>E9-D9</f>
        <v>-0.331824458274</v>
      </c>
      <c r="G9" s="765">
        <f>IFERROR(F9/E9,"-")</f>
        <v>-0.0871690024829356</v>
      </c>
      <c r="H9" s="769" t="inlineStr">
        <is>
          <t>R</t>
        </is>
      </c>
      <c r="I9" s="761" t="n">
        <v>2.87890034</v>
      </c>
      <c r="J9" s="761" t="n">
        <v>2.51601915</v>
      </c>
      <c r="K9" s="761">
        <f>J9-I9</f>
        <v>-0.36288119</v>
      </c>
      <c r="L9" s="765">
        <f>IFERROR(K9/J9,"-")</f>
        <v>-0.144228310026973</v>
      </c>
      <c r="M9" s="770" t="inlineStr">
        <is>
          <t>R</t>
        </is>
      </c>
      <c r="N9" s="754">
        <f>I9-S9</f>
        <v>2.54529162</v>
      </c>
      <c r="O9" s="754">
        <f>J9-T9</f>
        <v>2.03101915</v>
      </c>
      <c r="P9" s="761">
        <f>O9-N9</f>
        <v>-0.51427247</v>
      </c>
      <c r="Q9" s="765">
        <f>IFERROR(P9/O9,"-")</f>
        <v>-0.253209069939099</v>
      </c>
      <c r="R9" s="769" t="inlineStr">
        <is>
          <t>R</t>
        </is>
      </c>
      <c r="S9" s="754" t="n">
        <v>0.33360872</v>
      </c>
      <c r="T9" s="754" t="n">
        <v>0.485</v>
      </c>
      <c r="U9" s="761">
        <f>T9-S9</f>
        <v>0.15139128</v>
      </c>
      <c r="V9" s="765">
        <f>IFERROR(U9/T9,"-")</f>
        <v>0.312146969072165</v>
      </c>
      <c r="W9" s="757" t="inlineStr">
        <is>
          <t>G</t>
        </is>
      </c>
      <c r="X9" s="761" t="n"/>
      <c r="Y9" s="761" t="n"/>
      <c r="Z9" s="761">
        <f>Y9-X9</f>
        <v>0</v>
      </c>
      <c r="AA9" s="765" t="str">
        <f>IFERROR(Z9/Y9,"-")</f>
        <v>-</v>
      </c>
      <c r="AB9" s="766" t="n"/>
      <c r="AC9" s="761" t="n"/>
      <c r="AD9" s="761" t="n"/>
      <c r="AE9" s="761">
        <f>AD9-AC9</f>
        <v>0</v>
      </c>
      <c r="AF9" s="765" t="str">
        <f>IFERROR(AE9/AD9,"-")</f>
        <v>-</v>
      </c>
      <c r="AG9" s="766" t="n"/>
      <c r="AH9" s="754" t="n">
        <v>1.259603658274</v>
      </c>
      <c r="AI9" s="754" t="n">
        <v>1.29066039</v>
      </c>
      <c r="AJ9" s="761">
        <f>AI9-AH9</f>
        <v>0.031056731726</v>
      </c>
      <c r="AK9" s="765">
        <f>IFERROR(AJ9/AI9,"-")</f>
        <v>0.0240626674271766</v>
      </c>
      <c r="AL9" s="767" t="inlineStr">
        <is>
          <t>G</t>
        </is>
      </c>
      <c r="AN9" s="760">
        <f>I25+AC25+AH25+X25</f>
        <v>7.830666008274</v>
      </c>
      <c r="AO9" s="761">
        <f>J25+AD25+AI25+Y25</f>
        <v>8.00952437</v>
      </c>
      <c r="AP9" s="761">
        <f>AO9-AN9</f>
        <v>0.178858361726</v>
      </c>
      <c r="AQ9" s="765">
        <f>IFERROR(AP9/AO9,"-")</f>
        <v>0.0223307094733267</v>
      </c>
      <c r="AR9" s="768" t="inlineStr">
        <is>
          <t>R</t>
        </is>
      </c>
    </row>
    <row r="10" ht="24" customFormat="1" customHeight="1" s="750">
      <c r="A10" s="750" t="inlineStr">
        <is>
          <t>Infrastructure</t>
        </is>
      </c>
      <c r="B10" s="763" t="inlineStr">
        <is>
          <t>Infrastructure</t>
        </is>
      </c>
      <c r="C10" s="764" t="inlineStr">
        <is>
          <t>Roanne Steele</t>
        </is>
      </c>
      <c r="D10" s="760">
        <f>I10+AC10+AH10+X10</f>
        <v>2.69057661</v>
      </c>
      <c r="E10" s="761">
        <f>J10+AD10+AI10+Y10</f>
        <v>4.27708298</v>
      </c>
      <c r="F10" s="761">
        <f>E10-D10</f>
        <v>1.58650637</v>
      </c>
      <c r="G10" s="765">
        <f>IFERROR(F10/E10,"-")</f>
        <v>0.37093186581103</v>
      </c>
      <c r="H10" s="757" t="inlineStr">
        <is>
          <t>G</t>
        </is>
      </c>
      <c r="I10" s="761" t="n">
        <v>1.75620822</v>
      </c>
      <c r="J10" s="761" t="n">
        <v>1.831374</v>
      </c>
      <c r="K10" s="761">
        <f>J10-I10</f>
        <v>0.0751657800000001</v>
      </c>
      <c r="L10" s="765">
        <f>IFERROR(K10/J10,"-")</f>
        <v>0.0410433805437885</v>
      </c>
      <c r="M10" s="757" t="inlineStr">
        <is>
          <t>G</t>
        </is>
      </c>
      <c r="N10" s="754">
        <f>I10-S10</f>
        <v>1.44044992</v>
      </c>
      <c r="O10" s="754">
        <f>J10-T10</f>
        <v>1.449693</v>
      </c>
      <c r="P10" s="761">
        <f>O10-N10</f>
        <v>0.00924308000000007</v>
      </c>
      <c r="Q10" s="765">
        <f>IFERROR(P10/O10,"-")</f>
        <v>0.00637588786039532</v>
      </c>
      <c r="R10" s="757" t="inlineStr">
        <is>
          <t>G</t>
        </is>
      </c>
      <c r="S10" s="754" t="n">
        <v>0.3157583</v>
      </c>
      <c r="T10" s="754" t="n">
        <v>0.381681</v>
      </c>
      <c r="U10" s="761">
        <f>T10-S10</f>
        <v>0.0659227</v>
      </c>
      <c r="V10" s="765">
        <f>IFERROR(U10/T10,"-")</f>
        <v>0.172716745135336</v>
      </c>
      <c r="W10" s="757" t="inlineStr">
        <is>
          <t>G</t>
        </is>
      </c>
      <c r="X10" s="761" t="n"/>
      <c r="Y10" s="761" t="n"/>
      <c r="Z10" s="761">
        <f>Y10-X10</f>
        <v>0</v>
      </c>
      <c r="AA10" s="765" t="str">
        <f>IFERROR(Z10/Y10,"-")</f>
        <v>-</v>
      </c>
      <c r="AB10" s="766" t="n"/>
      <c r="AC10" s="761" t="n"/>
      <c r="AD10" s="761" t="n"/>
      <c r="AE10" s="761">
        <f>AD10-AC10</f>
        <v>0</v>
      </c>
      <c r="AF10" s="765" t="str">
        <f>IFERROR(AE10/AD10,"-")</f>
        <v>-</v>
      </c>
      <c r="AG10" s="766" t="n"/>
      <c r="AH10" s="754" t="n">
        <v>0.93436839</v>
      </c>
      <c r="AI10" s="754" t="n">
        <v>2.44570898</v>
      </c>
      <c r="AJ10" s="761">
        <f>AI10-AH10</f>
        <v>1.51134059</v>
      </c>
      <c r="AK10" s="765">
        <f>IFERROR(AJ10/AI10,"-")</f>
        <v>0.617956021079826</v>
      </c>
      <c r="AL10" s="767" t="inlineStr">
        <is>
          <t>G</t>
        </is>
      </c>
      <c r="AN10" s="760">
        <f>I26+AC26+AH26+X26</f>
        <v>8.41854714</v>
      </c>
      <c r="AO10" s="761">
        <f>J26+AD26+AI26+Y26</f>
        <v>9.24937596</v>
      </c>
      <c r="AP10" s="761">
        <f>AO10-AN10</f>
        <v>0.830828820000001</v>
      </c>
      <c r="AQ10" s="765">
        <f>IFERROR(AP10/AO10,"-")</f>
        <v>0.0898253918527062</v>
      </c>
      <c r="AR10" s="767" t="inlineStr">
        <is>
          <t>G</t>
        </is>
      </c>
    </row>
    <row r="11" ht="24" customFormat="1" customHeight="1" s="750">
      <c r="A11" s="750" t="inlineStr">
        <is>
          <t>Finance &amp; Other Corp</t>
        </is>
      </c>
      <c r="B11" s="763" t="inlineStr">
        <is>
          <t>Finance &amp; Other Corp</t>
        </is>
      </c>
      <c r="C11" s="764" t="inlineStr">
        <is>
          <t>Emily Mogic</t>
        </is>
      </c>
      <c r="D11" s="760">
        <f>I11+AC11+AH11+X11</f>
        <v>2.84685292</v>
      </c>
      <c r="E11" s="761">
        <f>J11+AD11+AI11+Y11</f>
        <v>2.12235381</v>
      </c>
      <c r="F11" s="761">
        <f>E11-D11</f>
        <v>-0.72449911</v>
      </c>
      <c r="G11" s="765">
        <f>IFERROR(F11/E11,"-")</f>
        <v>-0.341365848892085</v>
      </c>
      <c r="H11" s="769" t="inlineStr">
        <is>
          <t>R</t>
        </is>
      </c>
      <c r="I11" s="761" t="n">
        <v>2.84685292</v>
      </c>
      <c r="J11" s="761" t="n">
        <v>2.12235381</v>
      </c>
      <c r="K11" s="761">
        <f>J11-I11</f>
        <v>-0.72449911</v>
      </c>
      <c r="L11" s="765">
        <f>IFERROR(K11/J11,"-")</f>
        <v>-0.341365848892085</v>
      </c>
      <c r="M11" s="769" t="inlineStr">
        <is>
          <t>R</t>
        </is>
      </c>
      <c r="N11" s="754">
        <f>I11-S11</f>
        <v>2.07860065</v>
      </c>
      <c r="O11" s="754">
        <f>J11-T11</f>
        <v>1.654610505</v>
      </c>
      <c r="P11" s="761">
        <f>O11-N11</f>
        <v>-0.423990145</v>
      </c>
      <c r="Q11" s="765">
        <f>IFERROR(P11/O11,"-")</f>
        <v>-0.256247705256773</v>
      </c>
      <c r="R11" s="769" t="inlineStr">
        <is>
          <t>R</t>
        </is>
      </c>
      <c r="S11" s="754" t="n">
        <v>0.76825227</v>
      </c>
      <c r="T11" s="754" t="n">
        <v>0.467743305</v>
      </c>
      <c r="U11" s="761">
        <f>T11-S11</f>
        <v>-0.300508965</v>
      </c>
      <c r="V11" s="765">
        <f>IFERROR(U11/T11,"-")</f>
        <v>-0.642465561318938</v>
      </c>
      <c r="W11" s="769" t="inlineStr">
        <is>
          <t>R</t>
        </is>
      </c>
      <c r="X11" s="761" t="n"/>
      <c r="Y11" s="761" t="n"/>
      <c r="Z11" s="761">
        <f>Y11-X11</f>
        <v>0</v>
      </c>
      <c r="AA11" s="765" t="str">
        <f>IFERROR(Z11/Y11,"-")</f>
        <v>-</v>
      </c>
      <c r="AB11" s="766" t="n"/>
      <c r="AC11" s="761" t="n"/>
      <c r="AD11" s="761" t="n"/>
      <c r="AE11" s="761">
        <f>AD11-AC11</f>
        <v>0</v>
      </c>
      <c r="AF11" s="765" t="str">
        <f>IFERROR(AE11/AD11,"-")</f>
        <v>-</v>
      </c>
      <c r="AG11" s="766" t="n"/>
      <c r="AH11" s="754" t="n">
        <v>0</v>
      </c>
      <c r="AI11" s="754" t="n">
        <v>0</v>
      </c>
      <c r="AJ11" s="761">
        <f>AI11-AH11</f>
        <v>0</v>
      </c>
      <c r="AK11" s="765" t="str">
        <f>IFERROR(AJ11/AI11,"-")</f>
        <v>-</v>
      </c>
      <c r="AL11" s="771" t="n"/>
      <c r="AN11" s="760">
        <f>I27+AC27+AH27+X27</f>
        <v>5.27211191</v>
      </c>
      <c r="AO11" s="761">
        <f>J27+AD27+AI27+Y27</f>
        <v>3.88077368</v>
      </c>
      <c r="AP11" s="761">
        <f>AO11-AN11</f>
        <v>-1.39133823</v>
      </c>
      <c r="AQ11" s="765">
        <f>IFERROR(AP11/AO11,"-")</f>
        <v>-0.358520837525367</v>
      </c>
      <c r="AR11" s="767" t="inlineStr">
        <is>
          <t>G</t>
        </is>
      </c>
    </row>
    <row r="12" ht="24" customFormat="1" customHeight="1" s="750">
      <c r="A12" s="750" t="inlineStr">
        <is>
          <t>People &amp; Culture</t>
        </is>
      </c>
      <c r="B12" s="763" t="inlineStr">
        <is>
          <t>P&amp;C</t>
        </is>
      </c>
      <c r="C12" s="764" t="inlineStr">
        <is>
          <t>Emily Mogic</t>
        </is>
      </c>
      <c r="D12" s="760">
        <f>I12+AC12+AH12+X12</f>
        <v>1.9651397</v>
      </c>
      <c r="E12" s="761">
        <f>J12+AD12+AI12+Y12</f>
        <v>2.46050804</v>
      </c>
      <c r="F12" s="761">
        <f>E12-D12</f>
        <v>0.49536834</v>
      </c>
      <c r="G12" s="765">
        <f>IFERROR(F12/E12,"-")</f>
        <v>0.201327665647457</v>
      </c>
      <c r="H12" s="757" t="inlineStr">
        <is>
          <t>G</t>
        </is>
      </c>
      <c r="I12" s="761" t="n">
        <v>1.61781844</v>
      </c>
      <c r="J12" s="761" t="n">
        <v>1.86060804</v>
      </c>
      <c r="K12" s="761">
        <f>J12-I12</f>
        <v>0.2427896</v>
      </c>
      <c r="L12" s="765">
        <f>IFERROR(K12/J12,"-")</f>
        <v>0.130489385609663</v>
      </c>
      <c r="M12" s="757" t="inlineStr">
        <is>
          <t>G</t>
        </is>
      </c>
      <c r="N12" s="754">
        <f>I12-S12</f>
        <v>0.70035539</v>
      </c>
      <c r="O12" s="754">
        <f>J12-T12</f>
        <v>0.87310804</v>
      </c>
      <c r="P12" s="761">
        <f>O12-N12</f>
        <v>0.17275265</v>
      </c>
      <c r="Q12" s="765">
        <f>IFERROR(P12/O12,"-")</f>
        <v>0.197859419551331</v>
      </c>
      <c r="R12" s="757" t="inlineStr">
        <is>
          <t>G</t>
        </is>
      </c>
      <c r="S12" s="754" t="n">
        <v>0.9174630499999999</v>
      </c>
      <c r="T12" s="754" t="n">
        <v>0.9875</v>
      </c>
      <c r="U12" s="761">
        <f>T12-S12</f>
        <v>0.0700369500000001</v>
      </c>
      <c r="V12" s="765">
        <f>IFERROR(U12/T12,"-")</f>
        <v>0.0709234936708862</v>
      </c>
      <c r="W12" s="757" t="inlineStr">
        <is>
          <t>G</t>
        </is>
      </c>
      <c r="X12" s="761" t="n"/>
      <c r="Y12" s="761" t="n"/>
      <c r="Z12" s="761">
        <f>Y12-X12</f>
        <v>0</v>
      </c>
      <c r="AA12" s="765" t="str">
        <f>IFERROR(Z12/Y12,"-")</f>
        <v>-</v>
      </c>
      <c r="AB12" s="766" t="n"/>
      <c r="AC12" s="761" t="n">
        <v>0.34732126</v>
      </c>
      <c r="AD12" s="761" t="n">
        <v>0.4624</v>
      </c>
      <c r="AE12" s="761">
        <f>AD12-AC12</f>
        <v>0.11507874</v>
      </c>
      <c r="AF12" s="765">
        <f>IFERROR(AE12/AD12,"-")</f>
        <v>0.248872707612457</v>
      </c>
      <c r="AG12" s="757" t="inlineStr">
        <is>
          <t>G</t>
        </is>
      </c>
      <c r="AH12" s="754" t="n">
        <v>0</v>
      </c>
      <c r="AI12" s="754" t="n">
        <v>0.1375</v>
      </c>
      <c r="AJ12" s="761">
        <f>AI12-AH12</f>
        <v>0.1375</v>
      </c>
      <c r="AK12" s="765">
        <f>IFERROR(AJ12/AI12,"-")</f>
        <v>1</v>
      </c>
      <c r="AL12" s="767" t="inlineStr">
        <is>
          <t>G</t>
        </is>
      </c>
      <c r="AN12" s="760">
        <f>I28+AC28+AH28+X28</f>
        <v>5.4932256</v>
      </c>
      <c r="AO12" s="761">
        <f>J28+AD28+AI28+Y28</f>
        <v>5.81303803</v>
      </c>
      <c r="AP12" s="761">
        <f>AO12-AN12</f>
        <v>0.319812430000001</v>
      </c>
      <c r="AQ12" s="765">
        <f>IFERROR(AP12/AO12,"-")</f>
        <v>0.0550164007786477</v>
      </c>
      <c r="AR12" s="767" t="inlineStr">
        <is>
          <t>G</t>
        </is>
      </c>
    </row>
    <row r="13" ht="24" customFormat="1" customHeight="1" s="750">
      <c r="A13" s="750" t="inlineStr">
        <is>
          <t>Customer</t>
        </is>
      </c>
      <c r="B13" s="772" t="inlineStr">
        <is>
          <t>Customer</t>
        </is>
      </c>
      <c r="C13" s="773" t="inlineStr">
        <is>
          <t>Harley Giles</t>
        </is>
      </c>
      <c r="D13" s="774">
        <f>I13+AC13+AH13+X13</f>
        <v>2.41052833</v>
      </c>
      <c r="E13" s="775">
        <f>J13+AD13+AI13+Y13</f>
        <v>5.40474571</v>
      </c>
      <c r="F13" s="775">
        <f>E13-D13</f>
        <v>2.99421738</v>
      </c>
      <c r="G13" s="776">
        <f>IFERROR(F13/E13,"-")</f>
        <v>0.553997827216926</v>
      </c>
      <c r="H13" s="777" t="inlineStr">
        <is>
          <t>G</t>
        </is>
      </c>
      <c r="I13" s="775" t="n">
        <v>0.98861064</v>
      </c>
      <c r="J13" s="775" t="n">
        <v>0.82141236</v>
      </c>
      <c r="K13" s="775">
        <f>J13-I13</f>
        <v>-0.16719828</v>
      </c>
      <c r="L13" s="776">
        <f>IFERROR(K13/J13,"-")</f>
        <v>-0.203549749360967</v>
      </c>
      <c r="M13" s="770" t="inlineStr">
        <is>
          <t>R</t>
        </is>
      </c>
      <c r="N13" s="778">
        <f>I13-S13</f>
        <v>0.98861064</v>
      </c>
      <c r="O13" s="778">
        <f>J13-T13</f>
        <v>0.82141236</v>
      </c>
      <c r="P13" s="775">
        <f>O13-N13</f>
        <v>-0.16719828</v>
      </c>
      <c r="Q13" s="776">
        <f>IFERROR(P13/O13,"-")</f>
        <v>-0.203549749360967</v>
      </c>
      <c r="R13" s="770" t="inlineStr">
        <is>
          <t>R</t>
        </is>
      </c>
      <c r="S13" s="778" t="n">
        <v>0</v>
      </c>
      <c r="T13" s="778" t="n">
        <v>0</v>
      </c>
      <c r="U13" s="775">
        <f>T13-S13</f>
        <v>0</v>
      </c>
      <c r="V13" s="776" t="str">
        <f>IFERROR(U13/T13,"-")</f>
        <v>-</v>
      </c>
      <c r="W13" s="779" t="n"/>
      <c r="X13" s="775" t="n"/>
      <c r="Y13" s="775" t="n"/>
      <c r="Z13" s="775">
        <f>Y13-X13</f>
        <v>0</v>
      </c>
      <c r="AA13" s="776" t="str">
        <f>IFERROR(Z13/Y13,"-")</f>
        <v>-</v>
      </c>
      <c r="AB13" s="779" t="n"/>
      <c r="AC13" s="775" t="n">
        <v>0</v>
      </c>
      <c r="AD13" s="775" t="n">
        <v>2.50000002</v>
      </c>
      <c r="AE13" s="775">
        <f>AD13-AC13</f>
        <v>2.50000002</v>
      </c>
      <c r="AF13" s="776">
        <f>IFERROR(AE13/AD13,"-")</f>
        <v>1</v>
      </c>
      <c r="AG13" s="777" t="inlineStr">
        <is>
          <t>G</t>
        </is>
      </c>
      <c r="AH13" s="778" t="n">
        <v>1.42191769</v>
      </c>
      <c r="AI13" s="778" t="n">
        <v>2.08333333</v>
      </c>
      <c r="AJ13" s="775">
        <f>AI13-AH13</f>
        <v>0.66141564</v>
      </c>
      <c r="AK13" s="776">
        <f>IFERROR(AJ13/AI13,"-")</f>
        <v>0.317479507707967</v>
      </c>
      <c r="AL13" s="780" t="inlineStr">
        <is>
          <t>G</t>
        </is>
      </c>
      <c r="AN13" s="774">
        <f>I29+AC29+AH29+X29</f>
        <v>10.98378269</v>
      </c>
      <c r="AO13" s="775">
        <f>J29+AD29+AI29+Y29</f>
        <v>11.69153287</v>
      </c>
      <c r="AP13" s="775">
        <f>AO13-AN13</f>
        <v>0.70775018</v>
      </c>
      <c r="AQ13" s="776">
        <f>IFERROR(AP13/AO13,"-")</f>
        <v>0.0605352769281484</v>
      </c>
      <c r="AR13" s="780" t="inlineStr">
        <is>
          <t>G</t>
        </is>
      </c>
    </row>
    <row r="14" ht="26.25" customFormat="1" customHeight="1" s="781">
      <c r="B14" s="782" t="inlineStr">
        <is>
          <t>Total Technology</t>
        </is>
      </c>
      <c r="C14" s="782" t="n"/>
      <c r="D14" s="783">
        <f>SUM(D5:D13)</f>
        <v>129.576576890371</v>
      </c>
      <c r="E14" s="784">
        <f>SUM(E5:E13)</f>
        <v>149.32632776624</v>
      </c>
      <c r="F14" s="784">
        <f>SUM(F5:F13)</f>
        <v>19.7497508758686</v>
      </c>
      <c r="G14" s="785">
        <f>F14/E14</f>
        <v>0.132259000614986</v>
      </c>
      <c r="H14" s="786" t="inlineStr">
        <is>
          <t>G</t>
        </is>
      </c>
      <c r="I14" s="787">
        <f>SUM(I5:I13)</f>
        <v>92.2793951124</v>
      </c>
      <c r="J14" s="784">
        <f>SUM(J5:J13)</f>
        <v>93.2564688874241</v>
      </c>
      <c r="K14" s="784">
        <f>SUM(K5:K13)</f>
        <v>0.977073775024048</v>
      </c>
      <c r="L14" s="785">
        <f>K14/J14</f>
        <v>0.0104772761255151</v>
      </c>
      <c r="M14" s="786" t="inlineStr">
        <is>
          <t>G</t>
        </is>
      </c>
      <c r="N14" s="787">
        <f>SUM(N5:N13)</f>
        <v>86.6600691054769</v>
      </c>
      <c r="O14" s="784">
        <f>SUM(O5:O13)</f>
        <v>85.1255641208856</v>
      </c>
      <c r="P14" s="784">
        <f>SUM(P5:P13)</f>
        <v>-1.53450498459133</v>
      </c>
      <c r="Q14" s="785">
        <f>P14/O14</f>
        <v>-0.0180263708139684</v>
      </c>
      <c r="R14" s="788" t="inlineStr">
        <is>
          <t>A</t>
        </is>
      </c>
      <c r="S14" s="787">
        <f>SUM(S5:S13)</f>
        <v>5.61932600692308</v>
      </c>
      <c r="T14" s="784">
        <f>SUM(T5:T13)</f>
        <v>8.13090476653846</v>
      </c>
      <c r="U14" s="784">
        <f>SUM(U5:U13)</f>
        <v>2.51157875961538</v>
      </c>
      <c r="V14" s="785">
        <f>U14/T14</f>
        <v>0.308892900818543</v>
      </c>
      <c r="W14" s="786" t="inlineStr">
        <is>
          <t>G</t>
        </is>
      </c>
      <c r="X14" s="787">
        <f>SUM(X5:X13)</f>
        <v>7.620976354</v>
      </c>
      <c r="Y14" s="784">
        <f>SUM(Y5:Y13)</f>
        <v>8.07758416517918</v>
      </c>
      <c r="Z14" s="784">
        <f>SUM(Z5:Z13)</f>
        <v>0.45660781117918</v>
      </c>
      <c r="AA14" s="785">
        <f>Z14/Y14</f>
        <v>0.0565277689271903</v>
      </c>
      <c r="AB14" s="786" t="inlineStr">
        <is>
          <t>G</t>
        </is>
      </c>
      <c r="AC14" s="787">
        <f>SUM(AC5:AC13)</f>
        <v>17.270476819697</v>
      </c>
      <c r="AD14" s="784">
        <f>SUM(AD5:AD13)</f>
        <v>24.41420402</v>
      </c>
      <c r="AE14" s="784">
        <f>SUM(AE5:AE13)</f>
        <v>7.14372720030303</v>
      </c>
      <c r="AF14" s="785">
        <f>AE14/AD14</f>
        <v>0.292605369990802</v>
      </c>
      <c r="AG14" s="786" t="inlineStr">
        <is>
          <t>G</t>
        </is>
      </c>
      <c r="AH14" s="787">
        <f>SUM(AH5:AH13)</f>
        <v>12.405728604274</v>
      </c>
      <c r="AI14" s="784">
        <f>SUM(AI5:AI13)</f>
        <v>23.5780706936364</v>
      </c>
      <c r="AJ14" s="784">
        <f>SUM(AJ5:AJ13)</f>
        <v>11.1723420893624</v>
      </c>
      <c r="AK14" s="785">
        <f>AJ14/AI14</f>
        <v>0.473844625988747</v>
      </c>
      <c r="AL14" s="789" t="inlineStr">
        <is>
          <t>G</t>
        </is>
      </c>
      <c r="AN14" s="783">
        <f>SUM(AN5:AN13)</f>
        <v>297.093218538644</v>
      </c>
      <c r="AO14" s="784">
        <f>SUM(AO5:AO13)</f>
        <v>302.522349682313</v>
      </c>
      <c r="AP14" s="784">
        <f>SUM(AP5:AP13)</f>
        <v>5.42913114366853</v>
      </c>
      <c r="AQ14" s="790">
        <f>AP14/AO14</f>
        <v>0.0179462150461604</v>
      </c>
      <c r="AR14" s="789" t="inlineStr">
        <is>
          <t>G</t>
        </is>
      </c>
    </row>
    <row r="15" ht="24" customHeight="1" s="535">
      <c r="F15" s="791">
        <f>F14/E14</f>
        <v>0.132259000614986</v>
      </c>
      <c r="I15" s="791">
        <f>I14/$D14</f>
        <v>0.712161081323159</v>
      </c>
      <c r="J15" s="792" t="inlineStr">
        <is>
          <t>`</t>
        </is>
      </c>
      <c r="K15" s="791">
        <f>K14/J14</f>
        <v>0.0104772761255151</v>
      </c>
      <c r="L15" s="792" t="n"/>
      <c r="M15" s="792" t="n"/>
      <c r="N15" s="791">
        <f>N14/$D14</f>
        <v>0.668794246500247</v>
      </c>
      <c r="O15" s="792" t="n"/>
      <c r="P15" s="791">
        <f>P14/O14</f>
        <v>-0.0180263708139684</v>
      </c>
      <c r="Q15" s="792" t="n"/>
      <c r="R15" s="792" t="n"/>
      <c r="S15" s="791">
        <f>S14/$D14</f>
        <v>0.043366834822912</v>
      </c>
      <c r="T15" s="792" t="n"/>
      <c r="U15" s="791">
        <f>U14/T14</f>
        <v>0.308892900818543</v>
      </c>
      <c r="V15" s="792" t="n"/>
      <c r="W15" s="792" t="n"/>
      <c r="X15" s="791">
        <f>X14/$D14</f>
        <v>0.058814459656916</v>
      </c>
      <c r="Z15" s="791">
        <f>Z14/Y14</f>
        <v>0.0565277689271903</v>
      </c>
      <c r="AC15" s="791">
        <f>AC14/$D14</f>
        <v>0.133283940926366</v>
      </c>
      <c r="AD15" s="792" t="n"/>
      <c r="AE15" s="791">
        <f>AE14/AD14</f>
        <v>0.292605369990802</v>
      </c>
      <c r="AF15" s="792" t="n"/>
      <c r="AG15" s="792" t="n"/>
      <c r="AH15" s="791">
        <f>AH14/$D14</f>
        <v>0.095740518093559</v>
      </c>
      <c r="AI15" s="792" t="n"/>
      <c r="AJ15" s="791">
        <f>AJ14/AI14</f>
        <v>0.473844625988747</v>
      </c>
      <c r="AK15" s="792" t="n"/>
      <c r="AL15" s="792" t="n"/>
    </row>
    <row r="16" ht="30.75" customFormat="1" customHeight="1" s="732"/>
    <row r="17"/>
    <row r="18"/>
    <row r="19" ht="35.25" customHeight="1" s="535">
      <c r="B19" s="734" t="inlineStr">
        <is>
          <t>BUSINESS SEGMENTS</t>
        </is>
      </c>
      <c r="C19" s="734" t="inlineStr">
        <is>
          <t>TDD GM</t>
        </is>
      </c>
      <c r="D19" s="793" t="inlineStr">
        <is>
          <t>FY2026 - TOTAL</t>
        </is>
      </c>
      <c r="E19" s="736" t="n"/>
      <c r="F19" s="736" t="n"/>
      <c r="G19" s="736" t="n"/>
      <c r="H19" s="737" t="n"/>
      <c r="I19" s="738" t="inlineStr">
        <is>
          <t>OPEX: LIGHTS ON + INITIATIVES</t>
        </is>
      </c>
      <c r="J19" s="736" t="n"/>
      <c r="K19" s="736" t="n"/>
      <c r="L19" s="736" t="n"/>
      <c r="M19" s="737" t="n"/>
      <c r="N19" s="738" t="inlineStr">
        <is>
          <t>OPEX:LIGHTS ON</t>
        </is>
      </c>
      <c r="O19" s="736" t="n"/>
      <c r="P19" s="736" t="n"/>
      <c r="Q19" s="736" t="n"/>
      <c r="R19" s="737" t="n"/>
      <c r="S19" s="738" t="inlineStr">
        <is>
          <t>OPEX: INITIATIVES</t>
        </is>
      </c>
      <c r="T19" s="736" t="n"/>
      <c r="U19" s="736" t="n"/>
      <c r="V19" s="736" t="n"/>
      <c r="W19" s="737" t="n"/>
      <c r="X19" s="738" t="inlineStr">
        <is>
          <t>OPEX: DEPRECIATION</t>
        </is>
      </c>
      <c r="Y19" s="736" t="n"/>
      <c r="Z19" s="736" t="n"/>
      <c r="AA19" s="736" t="n"/>
      <c r="AB19" s="737" t="n"/>
      <c r="AC19" s="738" t="inlineStr">
        <is>
          <t>OPEX: SIGNIFICANT ITEMS</t>
        </is>
      </c>
      <c r="AD19" s="736" t="n"/>
      <c r="AE19" s="736" t="n"/>
      <c r="AF19" s="736" t="n"/>
      <c r="AG19" s="737" t="n"/>
      <c r="AH19" s="739" t="inlineStr">
        <is>
          <t>CAPEX</t>
        </is>
      </c>
      <c r="AI19" s="736" t="n"/>
      <c r="AJ19" s="736" t="n"/>
      <c r="AK19" s="736" t="n"/>
      <c r="AL19" s="740" t="n"/>
    </row>
    <row r="20" ht="12.75" customHeight="1" s="535">
      <c r="B20" s="743" t="n"/>
      <c r="C20" s="743" t="n"/>
      <c r="D20" s="794" t="inlineStr">
        <is>
          <t>F</t>
        </is>
      </c>
      <c r="E20" s="794" t="inlineStr">
        <is>
          <t>B</t>
        </is>
      </c>
      <c r="F20" s="794" t="inlineStr">
        <is>
          <t>V</t>
        </is>
      </c>
      <c r="G20" s="745" t="inlineStr">
        <is>
          <t>V %</t>
        </is>
      </c>
      <c r="H20" s="794" t="inlineStr">
        <is>
          <t>Trend</t>
        </is>
      </c>
      <c r="I20" s="795" t="inlineStr">
        <is>
          <t>F</t>
        </is>
      </c>
      <c r="J20" s="746" t="inlineStr">
        <is>
          <t>B</t>
        </is>
      </c>
      <c r="K20" s="746" t="inlineStr">
        <is>
          <t>V</t>
        </is>
      </c>
      <c r="L20" s="746" t="inlineStr">
        <is>
          <t>V %</t>
        </is>
      </c>
      <c r="M20" s="746" t="inlineStr">
        <is>
          <t>Trend</t>
        </is>
      </c>
      <c r="N20" s="795" t="inlineStr">
        <is>
          <t>F</t>
        </is>
      </c>
      <c r="O20" s="746" t="inlineStr">
        <is>
          <t>B</t>
        </is>
      </c>
      <c r="P20" s="746" t="inlineStr">
        <is>
          <t>V</t>
        </is>
      </c>
      <c r="Q20" s="746" t="inlineStr">
        <is>
          <t>V %</t>
        </is>
      </c>
      <c r="R20" s="746" t="inlineStr">
        <is>
          <t>Trend</t>
        </is>
      </c>
      <c r="S20" s="795" t="inlineStr">
        <is>
          <t>F</t>
        </is>
      </c>
      <c r="T20" s="746" t="inlineStr">
        <is>
          <t>B</t>
        </is>
      </c>
      <c r="U20" s="746" t="inlineStr">
        <is>
          <t>V</t>
        </is>
      </c>
      <c r="V20" s="746" t="inlineStr">
        <is>
          <t>V %</t>
        </is>
      </c>
      <c r="W20" s="746" t="inlineStr">
        <is>
          <t>Trend</t>
        </is>
      </c>
      <c r="X20" s="795" t="inlineStr">
        <is>
          <t>F</t>
        </is>
      </c>
      <c r="Y20" s="746" t="inlineStr">
        <is>
          <t>B</t>
        </is>
      </c>
      <c r="Z20" s="746" t="inlineStr">
        <is>
          <t>V</t>
        </is>
      </c>
      <c r="AA20" s="746" t="inlineStr">
        <is>
          <t>V %</t>
        </is>
      </c>
      <c r="AB20" s="746" t="inlineStr">
        <is>
          <t>Trend</t>
        </is>
      </c>
      <c r="AC20" s="795" t="inlineStr">
        <is>
          <t>F</t>
        </is>
      </c>
      <c r="AD20" s="746" t="inlineStr">
        <is>
          <t>B</t>
        </is>
      </c>
      <c r="AE20" s="746" t="inlineStr">
        <is>
          <t>V</t>
        </is>
      </c>
      <c r="AF20" s="746" t="inlineStr">
        <is>
          <t>V %</t>
        </is>
      </c>
      <c r="AG20" s="746" t="inlineStr">
        <is>
          <t>Trend</t>
        </is>
      </c>
      <c r="AH20" s="795" t="inlineStr">
        <is>
          <t>F</t>
        </is>
      </c>
      <c r="AI20" s="746" t="inlineStr">
        <is>
          <t>B</t>
        </is>
      </c>
      <c r="AJ20" s="746" t="inlineStr">
        <is>
          <t>V</t>
        </is>
      </c>
      <c r="AK20" s="746" t="inlineStr">
        <is>
          <t>V %</t>
        </is>
      </c>
      <c r="AL20" s="747" t="inlineStr">
        <is>
          <t>Trend</t>
        </is>
      </c>
    </row>
    <row r="21" ht="21" customFormat="1" customHeight="1" s="750">
      <c r="A21" s="750" t="inlineStr">
        <is>
          <t>TDD (Corporate)1</t>
        </is>
      </c>
      <c r="B21" s="796" t="inlineStr">
        <is>
          <t>TDD (Corporate)1</t>
        </is>
      </c>
      <c r="C21" s="752" t="inlineStr">
        <is>
          <t>Brad Blyth
Greg Cassis</t>
        </is>
      </c>
      <c r="D21" s="754">
        <f>I21+AC21+AH21+X21</f>
        <v>117.95714038</v>
      </c>
      <c r="E21" s="754">
        <f>J21+AD21+AI21+Y21</f>
        <v>112.75951309</v>
      </c>
      <c r="F21" s="754">
        <f>E21-D21</f>
        <v>-5.19762729000001</v>
      </c>
      <c r="G21" s="755">
        <f>IFERROR(F21/E21,"-")</f>
        <v>-0.0460948007628543</v>
      </c>
      <c r="H21" s="769" t="inlineStr">
        <is>
          <t>R</t>
        </is>
      </c>
      <c r="I21" s="754" t="n">
        <v>82.08787687</v>
      </c>
      <c r="J21" s="754" t="n">
        <v>81.89486321</v>
      </c>
      <c r="K21" s="754">
        <f>J21-I21</f>
        <v>-0.193013660000005</v>
      </c>
      <c r="L21" s="755">
        <f>IFERROR(K21/J21,"-")</f>
        <v>-0.0023568469673741</v>
      </c>
      <c r="M21" s="756" t="inlineStr">
        <is>
          <t>G</t>
        </is>
      </c>
      <c r="N21" s="754">
        <f>I21-S21</f>
        <v>79.31043564</v>
      </c>
      <c r="O21" s="754">
        <f>J21-T21</f>
        <v>78.89486321</v>
      </c>
      <c r="P21" s="754">
        <f>O21-N21</f>
        <v>-0.415572430000012</v>
      </c>
      <c r="Q21" s="755">
        <f>IFERROR(P21/O21,"-")</f>
        <v>-0.00526742062907002</v>
      </c>
      <c r="R21" s="758" t="inlineStr">
        <is>
          <t>A</t>
        </is>
      </c>
      <c r="S21" s="754" t="n">
        <v>2.77744123</v>
      </c>
      <c r="T21" s="754" t="n">
        <v>3</v>
      </c>
      <c r="U21" s="754">
        <f>T21-S21</f>
        <v>0.22255877</v>
      </c>
      <c r="V21" s="755">
        <f>IFERROR(U21/T21,"-")</f>
        <v>0.0741862566666667</v>
      </c>
      <c r="W21" s="756" t="inlineStr">
        <is>
          <t>G</t>
        </is>
      </c>
      <c r="X21" s="754" t="n">
        <v>5.68651106</v>
      </c>
      <c r="Y21" s="754" t="n">
        <v>5.80004988</v>
      </c>
      <c r="Z21" s="754">
        <f>Y21-X21</f>
        <v>0.11353882</v>
      </c>
      <c r="AA21" s="755">
        <f>IFERROR(Z21/Y21,"-")</f>
        <v>0.0195754902714734</v>
      </c>
      <c r="AB21" s="756" t="inlineStr">
        <is>
          <t>G</t>
        </is>
      </c>
      <c r="AC21" s="754" t="n">
        <v>25.39577262</v>
      </c>
      <c r="AD21" s="754" t="n">
        <v>20.1966</v>
      </c>
      <c r="AE21" s="754">
        <f>AD21-AC21</f>
        <v>-5.19917262</v>
      </c>
      <c r="AF21" s="755">
        <f>IFERROR(AE21/AD21,"-")</f>
        <v>-0.257428112652625</v>
      </c>
      <c r="AG21" s="769" t="inlineStr">
        <is>
          <t>R</t>
        </is>
      </c>
      <c r="AH21" s="754" t="n">
        <v>4.78697983</v>
      </c>
      <c r="AI21" s="754" t="n">
        <v>4.868</v>
      </c>
      <c r="AJ21" s="754">
        <f>AI21-AH21</f>
        <v>0.0810201700000004</v>
      </c>
      <c r="AK21" s="755">
        <f>IFERROR(AJ21/AI21,"-")</f>
        <v>0.0166434202958094</v>
      </c>
      <c r="AL21" s="759" t="inlineStr">
        <is>
          <t>G</t>
        </is>
      </c>
      <c r="AM21" s="797">
        <f>I21+X21</f>
        <v>87.77438793</v>
      </c>
      <c r="AN21" s="750" t="inlineStr">
        <is>
          <t>input retail SI number manually</t>
        </is>
      </c>
      <c r="AO21" s="797" t="n"/>
      <c r="AP21" s="797" t="n"/>
      <c r="AQ21" s="797" t="n"/>
      <c r="AR21" s="797" t="n"/>
      <c r="AS21" s="797" t="n"/>
    </row>
    <row r="22" ht="21" customFormat="1" customHeight="1" s="750">
      <c r="A22" s="750" t="inlineStr">
        <is>
          <t>Z-Energy</t>
        </is>
      </c>
      <c r="B22" s="798" t="inlineStr">
        <is>
          <t>Z- Energy</t>
        </is>
      </c>
      <c r="C22" s="764" t="inlineStr">
        <is>
          <t>Vance Anderson
Harley Giles</t>
        </is>
      </c>
      <c r="D22" s="761">
        <f>I22+AC22+AH22+X22</f>
        <v>73.1083914772</v>
      </c>
      <c r="E22" s="761">
        <f>J22+AD22+AI22+Y22</f>
        <v>76.7035140483733</v>
      </c>
      <c r="F22" s="761">
        <f>E22-D22</f>
        <v>3.59512257117331</v>
      </c>
      <c r="G22" s="765">
        <f>IFERROR(F22/E22,"-")</f>
        <v>0.0468703763546743</v>
      </c>
      <c r="H22" s="757" t="inlineStr">
        <is>
          <t>G</t>
        </is>
      </c>
      <c r="I22" s="761" t="n">
        <v>53.465433886</v>
      </c>
      <c r="J22" s="761" t="n">
        <v>53.6714996190862</v>
      </c>
      <c r="K22" s="761">
        <f>J22-I22</f>
        <v>0.206065733086199</v>
      </c>
      <c r="L22" s="765">
        <f>IFERROR(K22/J22,"-")</f>
        <v>0.0038393884007094</v>
      </c>
      <c r="M22" s="757" t="inlineStr">
        <is>
          <t>G</t>
        </is>
      </c>
      <c r="N22" s="754">
        <f>I22-S22</f>
        <v>53.465433886</v>
      </c>
      <c r="O22" s="754">
        <f>J22-T22</f>
        <v>52.2252596190862</v>
      </c>
      <c r="P22" s="761">
        <f>O22-N22</f>
        <v>-1.2401742669138</v>
      </c>
      <c r="Q22" s="765">
        <f>IFERROR(P22/O22,"-")</f>
        <v>-0.0237466367033735</v>
      </c>
      <c r="R22" s="758" t="inlineStr">
        <is>
          <t>A</t>
        </is>
      </c>
      <c r="S22" s="761" t="n">
        <v>0</v>
      </c>
      <c r="T22" s="761" t="n">
        <v>1.44624</v>
      </c>
      <c r="U22" s="761">
        <f>T22-S22</f>
        <v>1.44624</v>
      </c>
      <c r="V22" s="765">
        <f>IFERROR(U22/T22,"-")</f>
        <v>1</v>
      </c>
      <c r="W22" s="757" t="inlineStr">
        <is>
          <t>G</t>
        </is>
      </c>
      <c r="X22" s="761" t="n">
        <v>10.1614981916</v>
      </c>
      <c r="Y22" s="761" t="n">
        <v>11.3065205892871</v>
      </c>
      <c r="Z22" s="754">
        <f>Y22-X22</f>
        <v>1.1450223976871</v>
      </c>
      <c r="AA22" s="765">
        <f>IFERROR(Z22/Y22,"-")</f>
        <v>0.101270977985217</v>
      </c>
      <c r="AB22" s="757" t="inlineStr">
        <is>
          <t>G</t>
        </is>
      </c>
      <c r="AC22" s="761" t="n">
        <v>0</v>
      </c>
      <c r="AD22" s="761" t="n">
        <v>0</v>
      </c>
      <c r="AE22" s="761">
        <f>AD22-AC22</f>
        <v>0</v>
      </c>
      <c r="AF22" s="765" t="str">
        <f>IFERROR(AE22/AD22,"-")</f>
        <v>-</v>
      </c>
      <c r="AG22" s="766" t="n"/>
      <c r="AH22" s="761" t="n">
        <v>9.4814593996</v>
      </c>
      <c r="AI22" s="761" t="n">
        <v>11.72549384</v>
      </c>
      <c r="AJ22" s="761">
        <f>AI22-AH22</f>
        <v>2.2440344404</v>
      </c>
      <c r="AK22" s="765">
        <f>IFERROR(AJ22/AI22,"-")</f>
        <v>0.191380804170889</v>
      </c>
      <c r="AL22" s="767" t="inlineStr">
        <is>
          <t>G</t>
        </is>
      </c>
      <c r="AM22" s="797">
        <f>I22+X22</f>
        <v>63.6269320776</v>
      </c>
      <c r="AN22" s="797" t="n"/>
      <c r="AO22" s="797" t="n"/>
      <c r="AP22" s="797" t="n"/>
      <c r="AQ22" s="797" t="n"/>
      <c r="AR22" s="797" t="n"/>
      <c r="AS22" s="797" t="n"/>
    </row>
    <row r="23" ht="24" customFormat="1" customHeight="1" s="750">
      <c r="A23" s="750" t="inlineStr">
        <is>
          <t>Commercial Fuels</t>
        </is>
      </c>
      <c r="B23" s="798" t="inlineStr">
        <is>
          <t>Commercial Fuels</t>
        </is>
      </c>
      <c r="C23" s="764" t="inlineStr">
        <is>
          <t>Roanne Steele</t>
        </is>
      </c>
      <c r="D23" s="761">
        <f>I23+AC23+AH23+X23</f>
        <v>32.7689975631702</v>
      </c>
      <c r="E23" s="761">
        <f>J23+AD23+AI23+Y23</f>
        <v>40.5342230439394</v>
      </c>
      <c r="F23" s="761">
        <f>E23-D23</f>
        <v>7.76522548076924</v>
      </c>
      <c r="G23" s="765">
        <f>IFERROR(F23/E23,"-")</f>
        <v>0.191572081506328</v>
      </c>
      <c r="H23" s="757" t="inlineStr">
        <is>
          <t>G</t>
        </is>
      </c>
      <c r="I23" s="761" t="n">
        <v>18.0758203839394</v>
      </c>
      <c r="J23" s="761" t="n">
        <v>19.5173022039394</v>
      </c>
      <c r="K23" s="761">
        <f>J23-I23</f>
        <v>1.44148182</v>
      </c>
      <c r="L23" s="765">
        <f>IFERROR(K23/J23,"-")</f>
        <v>0.0738566121965898</v>
      </c>
      <c r="M23" s="757" t="inlineStr">
        <is>
          <t>G</t>
        </is>
      </c>
      <c r="N23" s="754">
        <f>I23-S23</f>
        <v>12.122014240313</v>
      </c>
      <c r="O23" s="754">
        <f>J23-T23</f>
        <v>13.6555812808625</v>
      </c>
      <c r="P23" s="761">
        <f>O23-N23</f>
        <v>1.53356704054946</v>
      </c>
      <c r="Q23" s="765">
        <f>IFERROR(P23/O23,"-")</f>
        <v>0.11230331459406</v>
      </c>
      <c r="R23" s="757" t="inlineStr">
        <is>
          <t>G</t>
        </is>
      </c>
      <c r="S23" s="761" t="n">
        <v>5.95380614362638</v>
      </c>
      <c r="T23" s="761" t="n">
        <v>5.86172092307692</v>
      </c>
      <c r="U23" s="761">
        <f>T23-S23</f>
        <v>-0.0920852205494604</v>
      </c>
      <c r="V23" s="765">
        <f>IFERROR(U23/T23,"-")</f>
        <v>-0.0157095879790066</v>
      </c>
      <c r="W23" s="758" t="inlineStr">
        <is>
          <t>A</t>
        </is>
      </c>
      <c r="X23" s="761" t="n"/>
      <c r="Y23" s="761" t="n"/>
      <c r="Z23" s="761">
        <f>Y23-X23</f>
        <v>0</v>
      </c>
      <c r="AA23" s="765" t="str">
        <f>IFERROR(Z23/Y23,"-")</f>
        <v>-</v>
      </c>
      <c r="AB23" s="766" t="n"/>
      <c r="AC23" s="761" t="n">
        <v>8.927315999999999</v>
      </c>
      <c r="AD23" s="761" t="n">
        <v>14.219208</v>
      </c>
      <c r="AE23" s="761">
        <f>AD23-AC23</f>
        <v>5.291892</v>
      </c>
      <c r="AF23" s="765">
        <f>IFERROR(AE23/AD23,"-")</f>
        <v>0.372165031976465</v>
      </c>
      <c r="AG23" s="757" t="inlineStr">
        <is>
          <t>G</t>
        </is>
      </c>
      <c r="AH23" s="761" t="n">
        <v>5.76586117923077</v>
      </c>
      <c r="AI23" s="761" t="n">
        <v>6.79771284</v>
      </c>
      <c r="AJ23" s="761">
        <f>AI23-AH23</f>
        <v>1.03185166076923</v>
      </c>
      <c r="AK23" s="765">
        <f>IFERROR(AJ23/AI23,"-")</f>
        <v>0.151793946737125</v>
      </c>
      <c r="AL23" s="767" t="inlineStr">
        <is>
          <t>G</t>
        </is>
      </c>
    </row>
    <row r="24" ht="24" customFormat="1" customHeight="1" s="750">
      <c r="A24" s="750" t="inlineStr">
        <is>
          <t>Retail</t>
        </is>
      </c>
      <c r="B24" s="798" t="inlineStr">
        <is>
          <t>Retail</t>
        </is>
      </c>
      <c r="C24" s="764" t="inlineStr">
        <is>
          <t>Vance Anderson</t>
        </is>
      </c>
      <c r="D24" s="761">
        <f>I24+AC24+AH24+X24</f>
        <v>35.26035577</v>
      </c>
      <c r="E24" s="761">
        <f>J24+AD24+AI24+Y24</f>
        <v>33.88085459</v>
      </c>
      <c r="F24" s="761">
        <f>E24-D24</f>
        <v>-1.37950118000001</v>
      </c>
      <c r="G24" s="765">
        <f>IFERROR(F24/E24,"-")</f>
        <v>-0.0407162451093299</v>
      </c>
      <c r="H24" s="758" t="inlineStr">
        <is>
          <t>A</t>
        </is>
      </c>
      <c r="I24" s="761" t="n">
        <v>15.23072269</v>
      </c>
      <c r="J24" s="761" t="n">
        <v>15.23585459</v>
      </c>
      <c r="K24" s="761">
        <f>J24-I24</f>
        <v>0.0051319000000003</v>
      </c>
      <c r="L24" s="765">
        <f>IFERROR(K24/J24,"-")</f>
        <v>0.000336830465904328</v>
      </c>
      <c r="M24" s="757" t="inlineStr">
        <is>
          <t>G</t>
        </is>
      </c>
      <c r="N24" s="754">
        <f>I24-S24</f>
        <v>14.4810851</v>
      </c>
      <c r="O24" s="754">
        <f>J24-T24</f>
        <v>13.92585459</v>
      </c>
      <c r="P24" s="761">
        <f>O24-N24</f>
        <v>-0.55523051</v>
      </c>
      <c r="Q24" s="765">
        <f>IFERROR(P24/O24,"-")</f>
        <v>-0.0398704802216378</v>
      </c>
      <c r="R24" s="758" t="inlineStr">
        <is>
          <t>A</t>
        </is>
      </c>
      <c r="S24" s="761" t="n">
        <v>0.74963759</v>
      </c>
      <c r="T24" s="761" t="n">
        <v>1.31</v>
      </c>
      <c r="U24" s="761">
        <f>T24-S24</f>
        <v>0.56036241</v>
      </c>
      <c r="V24" s="765">
        <f>IFERROR(U24/T24,"-")</f>
        <v>0.427757564885496</v>
      </c>
      <c r="W24" s="757" t="inlineStr">
        <is>
          <t>G</t>
        </is>
      </c>
      <c r="X24" s="761" t="n"/>
      <c r="Y24" s="761" t="n"/>
      <c r="Z24" s="761">
        <f>Y24-X24</f>
        <v>0</v>
      </c>
      <c r="AA24" s="765" t="str">
        <f>IFERROR(Z24/Y24,"-")</f>
        <v>-</v>
      </c>
      <c r="AB24" s="766" t="n"/>
      <c r="AC24" s="761" t="n">
        <v>8.640000000000001</v>
      </c>
      <c r="AD24" s="761" t="n">
        <v>6.845</v>
      </c>
      <c r="AE24" s="761">
        <f>AD24-AC24</f>
        <v>-1.795</v>
      </c>
      <c r="AF24" s="765">
        <f>IFERROR(AE24/AD24,"-")</f>
        <v>-0.262235208181154</v>
      </c>
      <c r="AG24" s="769" t="inlineStr">
        <is>
          <t>R</t>
        </is>
      </c>
      <c r="AH24" s="761" t="n">
        <v>11.38963308</v>
      </c>
      <c r="AI24" s="761" t="n">
        <v>11.8</v>
      </c>
      <c r="AJ24" s="761">
        <f>AI24-AH24</f>
        <v>0.410366920000001</v>
      </c>
      <c r="AK24" s="765">
        <f>IFERROR(AJ24/AI24,"-")</f>
        <v>0.0347768576271188</v>
      </c>
      <c r="AL24" s="767" t="inlineStr">
        <is>
          <t>G</t>
        </is>
      </c>
    </row>
    <row r="25" ht="24" customFormat="1" customHeight="1" s="750">
      <c r="A25" s="750" t="inlineStr">
        <is>
          <t>Energy Solutions</t>
        </is>
      </c>
      <c r="B25" s="798" t="inlineStr">
        <is>
          <t>Energy Solutions</t>
        </is>
      </c>
      <c r="C25" s="764" t="inlineStr">
        <is>
          <t>Roanne Steele</t>
        </is>
      </c>
      <c r="D25" s="761">
        <f>I25+AC25+AH25+X25</f>
        <v>7.830666008274</v>
      </c>
      <c r="E25" s="761">
        <f>J25+AD25+AI25+Y25</f>
        <v>8.00952437</v>
      </c>
      <c r="F25" s="761">
        <f>E25-D25</f>
        <v>0.178858361726</v>
      </c>
      <c r="G25" s="765">
        <f>IFERROR(F25/E25,"-")</f>
        <v>0.0223307094733267</v>
      </c>
      <c r="H25" s="757" t="inlineStr">
        <is>
          <t>G</t>
        </is>
      </c>
      <c r="I25" s="761" t="n">
        <v>5.04409835</v>
      </c>
      <c r="J25" s="761" t="n">
        <v>5.01193945</v>
      </c>
      <c r="K25" s="761">
        <f>J25-I25</f>
        <v>-0.0321588999999998</v>
      </c>
      <c r="L25" s="765">
        <f>IFERROR(K25/J25,"-")</f>
        <v>-0.00641645820362011</v>
      </c>
      <c r="M25" s="758" t="inlineStr">
        <is>
          <t>A</t>
        </is>
      </c>
      <c r="N25" s="754">
        <f>I25-S25</f>
        <v>4.53621563</v>
      </c>
      <c r="O25" s="754">
        <f>J25-T25</f>
        <v>4.04193945</v>
      </c>
      <c r="P25" s="761">
        <f>O25-N25</f>
        <v>-0.494276179999999</v>
      </c>
      <c r="Q25" s="765">
        <f>IFERROR(P25/O25,"-")</f>
        <v>-0.122286883837411</v>
      </c>
      <c r="R25" s="769" t="inlineStr">
        <is>
          <t>R</t>
        </is>
      </c>
      <c r="S25" s="761" t="n">
        <v>0.50788272</v>
      </c>
      <c r="T25" s="761" t="n">
        <v>0.97</v>
      </c>
      <c r="U25" s="761">
        <f>T25-S25</f>
        <v>0.46211728</v>
      </c>
      <c r="V25" s="765">
        <f>IFERROR(U25/T25,"-")</f>
        <v>0.476409567010309</v>
      </c>
      <c r="W25" s="757" t="inlineStr">
        <is>
          <t>G</t>
        </is>
      </c>
      <c r="X25" s="761" t="n"/>
      <c r="Y25" s="761" t="n"/>
      <c r="Z25" s="761">
        <f>Y25-X25</f>
        <v>0</v>
      </c>
      <c r="AA25" s="765" t="str">
        <f>IFERROR(Z25/Y25,"-")</f>
        <v>-</v>
      </c>
      <c r="AB25" s="766" t="n"/>
      <c r="AC25" s="761" t="n"/>
      <c r="AD25" s="761" t="n"/>
      <c r="AE25" s="761">
        <f>AD25-AC25</f>
        <v>0</v>
      </c>
      <c r="AF25" s="765" t="str">
        <f>IFERROR(AE25/AD25,"-")</f>
        <v>-</v>
      </c>
      <c r="AG25" s="766" t="n"/>
      <c r="AH25" s="761" t="n">
        <v>2.786567658274</v>
      </c>
      <c r="AI25" s="761" t="n">
        <v>2.99758492</v>
      </c>
      <c r="AJ25" s="761">
        <f>AI25-AH25</f>
        <v>0.211017261726</v>
      </c>
      <c r="AK25" s="765">
        <f>IFERROR(AJ25/AI25,"-")</f>
        <v>0.0703957577041721</v>
      </c>
      <c r="AL25" s="767" t="inlineStr">
        <is>
          <t>G</t>
        </is>
      </c>
    </row>
    <row r="26" ht="24" customFormat="1" customHeight="1" s="750">
      <c r="A26" s="750" t="inlineStr">
        <is>
          <t>Infrastructure</t>
        </is>
      </c>
      <c r="B26" s="798" t="inlineStr">
        <is>
          <t>Infrastructure</t>
        </is>
      </c>
      <c r="C26" s="764" t="inlineStr">
        <is>
          <t>Roanne Steele</t>
        </is>
      </c>
      <c r="D26" s="761">
        <f>I26+AC26+AH26+X26</f>
        <v>8.41854714</v>
      </c>
      <c r="E26" s="761">
        <f>J26+AD26+AI26+Y26</f>
        <v>9.24937596</v>
      </c>
      <c r="F26" s="761">
        <f>E26-D26</f>
        <v>0.830828820000001</v>
      </c>
      <c r="G26" s="765">
        <f>IFERROR(F26/E26,"-")</f>
        <v>0.0898253918527062</v>
      </c>
      <c r="H26" s="757" t="inlineStr">
        <is>
          <t>G</t>
        </is>
      </c>
      <c r="I26" s="761" t="n">
        <v>4.27497864</v>
      </c>
      <c r="J26" s="761" t="n">
        <v>4.357958</v>
      </c>
      <c r="K26" s="761">
        <f>J26-I26</f>
        <v>0.0829793600000004</v>
      </c>
      <c r="L26" s="765">
        <f>IFERROR(K26/J26,"-")</f>
        <v>0.0190408810732</v>
      </c>
      <c r="M26" s="757" t="inlineStr">
        <is>
          <t>G</t>
        </is>
      </c>
      <c r="N26" s="754">
        <f>I26-S26</f>
        <v>3.30102534</v>
      </c>
      <c r="O26" s="754">
        <f>J26-T26</f>
        <v>3.594596</v>
      </c>
      <c r="P26" s="761">
        <f>O26-N26</f>
        <v>0.29357066</v>
      </c>
      <c r="Q26" s="765">
        <f>IFERROR(P26/O26,"-")</f>
        <v>0.0816700013019545</v>
      </c>
      <c r="R26" s="757" t="inlineStr">
        <is>
          <t>G</t>
        </is>
      </c>
      <c r="S26" s="761" t="n">
        <v>0.9739533</v>
      </c>
      <c r="T26" s="761" t="n">
        <v>0.763362</v>
      </c>
      <c r="U26" s="761">
        <f>T26-S26</f>
        <v>-0.2105913</v>
      </c>
      <c r="V26" s="765">
        <f>IFERROR(U26/T26,"-")</f>
        <v>-0.275873438814088</v>
      </c>
      <c r="W26" s="769" t="inlineStr">
        <is>
          <t>R</t>
        </is>
      </c>
      <c r="X26" s="761" t="n"/>
      <c r="Y26" s="761" t="n"/>
      <c r="Z26" s="761">
        <f>Y26-X26</f>
        <v>0</v>
      </c>
      <c r="AA26" s="765" t="str">
        <f>IFERROR(Z26/Y26,"-")</f>
        <v>-</v>
      </c>
      <c r="AB26" s="766" t="n"/>
      <c r="AC26" s="761" t="n"/>
      <c r="AD26" s="761" t="n"/>
      <c r="AE26" s="761">
        <f>AD26-AC26</f>
        <v>0</v>
      </c>
      <c r="AF26" s="765" t="str">
        <f>IFERROR(AE26/AD26,"-")</f>
        <v>-</v>
      </c>
      <c r="AG26" s="766" t="n"/>
      <c r="AH26" s="761" t="n">
        <v>4.1435685</v>
      </c>
      <c r="AI26" s="761" t="n">
        <v>4.89141796</v>
      </c>
      <c r="AJ26" s="761">
        <f>AI26-AH26</f>
        <v>0.74784946</v>
      </c>
      <c r="AK26" s="765">
        <f>IFERROR(AJ26/AI26,"-")</f>
        <v>0.152890116141292</v>
      </c>
      <c r="AL26" s="767" t="inlineStr">
        <is>
          <t>G</t>
        </is>
      </c>
    </row>
    <row r="27" ht="24" customFormat="1" customHeight="1" s="750">
      <c r="A27" s="750" t="inlineStr">
        <is>
          <t>Finance &amp; Other Corp</t>
        </is>
      </c>
      <c r="B27" s="798" t="inlineStr">
        <is>
          <t>Finance &amp; Other Corp</t>
        </is>
      </c>
      <c r="C27" s="764" t="inlineStr">
        <is>
          <t>Emily Mogic</t>
        </is>
      </c>
      <c r="D27" s="761">
        <f>I27+AC27+AH27+X27</f>
        <v>5.27211191</v>
      </c>
      <c r="E27" s="761">
        <f>J27+AD27+AI27+Y27</f>
        <v>3.88077368</v>
      </c>
      <c r="F27" s="761">
        <f>E27-D27</f>
        <v>-1.39133823</v>
      </c>
      <c r="G27" s="765">
        <f>IFERROR(F27/E27,"-")</f>
        <v>-0.358520837525367</v>
      </c>
      <c r="H27" s="769" t="inlineStr">
        <is>
          <t>R</t>
        </is>
      </c>
      <c r="I27" s="761" t="n">
        <v>5.27211191</v>
      </c>
      <c r="J27" s="761" t="n">
        <v>3.88077368</v>
      </c>
      <c r="K27" s="761">
        <f>J27-I27</f>
        <v>-1.39133823</v>
      </c>
      <c r="L27" s="765">
        <f>IFERROR(K27/J27,"-")</f>
        <v>-0.358520837525367</v>
      </c>
      <c r="M27" s="769" t="inlineStr">
        <is>
          <t>R</t>
        </is>
      </c>
      <c r="N27" s="754">
        <f>I27-S27</f>
        <v>4.35889564</v>
      </c>
      <c r="O27" s="754">
        <f>J27-T27</f>
        <v>2.94528707</v>
      </c>
      <c r="P27" s="761">
        <f>O27-N27</f>
        <v>-1.41360857</v>
      </c>
      <c r="Q27" s="765">
        <f>IFERROR(P27/O27,"-")</f>
        <v>-0.479956125295454</v>
      </c>
      <c r="R27" s="769" t="inlineStr">
        <is>
          <t>R</t>
        </is>
      </c>
      <c r="S27" s="761" t="n">
        <v>0.9132162700000001</v>
      </c>
      <c r="T27" s="761" t="n">
        <v>0.93548661</v>
      </c>
      <c r="U27" s="761">
        <f>T27-S27</f>
        <v>0.0222703399999999</v>
      </c>
      <c r="V27" s="765">
        <f>IFERROR(U27/T27,"-")</f>
        <v>0.0238061558144589</v>
      </c>
      <c r="W27" s="757" t="inlineStr">
        <is>
          <t>G</t>
        </is>
      </c>
      <c r="X27" s="761" t="n"/>
      <c r="Y27" s="761" t="n"/>
      <c r="Z27" s="761">
        <f>Y27-X27</f>
        <v>0</v>
      </c>
      <c r="AA27" s="765" t="str">
        <f>IFERROR(Z27/Y27,"-")</f>
        <v>-</v>
      </c>
      <c r="AB27" s="766" t="n"/>
      <c r="AC27" s="761" t="n"/>
      <c r="AD27" s="761" t="n"/>
      <c r="AE27" s="761">
        <f>AD27-AC27</f>
        <v>0</v>
      </c>
      <c r="AF27" s="765" t="str">
        <f>IFERROR(AE27/AD27,"-")</f>
        <v>-</v>
      </c>
      <c r="AG27" s="766" t="n"/>
      <c r="AH27" s="761" t="n">
        <v>0</v>
      </c>
      <c r="AI27" s="761" t="n">
        <v>0</v>
      </c>
      <c r="AJ27" s="761">
        <f>AI27-AH27</f>
        <v>0</v>
      </c>
      <c r="AK27" s="765" t="str">
        <f>IFERROR(AJ27/AI27,"-")</f>
        <v>-</v>
      </c>
      <c r="AL27" s="767" t="inlineStr">
        <is>
          <t>G</t>
        </is>
      </c>
    </row>
    <row r="28" ht="24" customFormat="1" customHeight="1" s="750">
      <c r="A28" s="750" t="inlineStr">
        <is>
          <t>People &amp; Culture</t>
        </is>
      </c>
      <c r="B28" s="798" t="inlineStr">
        <is>
          <t>P&amp;C</t>
        </is>
      </c>
      <c r="C28" s="764" t="inlineStr">
        <is>
          <t>Emily Mogic</t>
        </is>
      </c>
      <c r="D28" s="761">
        <f>I28+AC28+AH28+X28</f>
        <v>5.4932256</v>
      </c>
      <c r="E28" s="761">
        <f>J28+AD28+AI28+Y28</f>
        <v>5.81303803</v>
      </c>
      <c r="F28" s="761">
        <f>E28-D28</f>
        <v>0.319812430000001</v>
      </c>
      <c r="G28" s="765">
        <f>IFERROR(F28/E28,"-")</f>
        <v>0.0550164007786477</v>
      </c>
      <c r="H28" s="757" t="inlineStr">
        <is>
          <t>G</t>
        </is>
      </c>
      <c r="I28" s="761" t="n">
        <v>3.85168615</v>
      </c>
      <c r="J28" s="761" t="n">
        <v>4.12303803</v>
      </c>
      <c r="K28" s="761">
        <f>J28-I28</f>
        <v>0.27135188</v>
      </c>
      <c r="L28" s="765">
        <f>IFERROR(K28/J28,"-")</f>
        <v>0.0658135767910926</v>
      </c>
      <c r="M28" s="757" t="inlineStr">
        <is>
          <t>G</t>
        </is>
      </c>
      <c r="N28" s="754">
        <f>I28-S28</f>
        <v>1.91213530398386</v>
      </c>
      <c r="O28" s="754">
        <f>J28-T28</f>
        <v>2.14803803</v>
      </c>
      <c r="P28" s="761">
        <f>O28-N28</f>
        <v>0.23590272601614</v>
      </c>
      <c r="Q28" s="765">
        <f>IFERROR(P28/O28,"-")</f>
        <v>0.109822415954218</v>
      </c>
      <c r="R28" s="757" t="inlineStr">
        <is>
          <t>G</t>
        </is>
      </c>
      <c r="S28" s="761" t="n">
        <v>1.93955084601614</v>
      </c>
      <c r="T28" s="761" t="n">
        <v>1.975</v>
      </c>
      <c r="U28" s="761">
        <f>T28-S28</f>
        <v>0.0354491539838602</v>
      </c>
      <c r="V28" s="765">
        <f>IFERROR(U28/T28,"-")</f>
        <v>0.0179489387260052</v>
      </c>
      <c r="W28" s="757" t="inlineStr">
        <is>
          <t>G</t>
        </is>
      </c>
      <c r="X28" s="761" t="n"/>
      <c r="Y28" s="761" t="n"/>
      <c r="Z28" s="761">
        <f>Y28-X28</f>
        <v>0</v>
      </c>
      <c r="AA28" s="765" t="str">
        <f>IFERROR(Z28/Y28,"-")</f>
        <v>-</v>
      </c>
      <c r="AB28" s="766" t="n"/>
      <c r="AC28" s="761" t="n">
        <v>1.31153945</v>
      </c>
      <c r="AD28" s="761" t="n">
        <v>1.36</v>
      </c>
      <c r="AE28" s="761">
        <f>AD28-AC28</f>
        <v>0.0484605500000002</v>
      </c>
      <c r="AF28" s="765">
        <f>IFERROR(AE28/AD28,"-")</f>
        <v>0.0356327573529413</v>
      </c>
      <c r="AG28" s="757" t="inlineStr">
        <is>
          <t>G</t>
        </is>
      </c>
      <c r="AH28" s="761" t="n">
        <v>0.33</v>
      </c>
      <c r="AI28" s="761" t="n">
        <v>0.33</v>
      </c>
      <c r="AJ28" s="761">
        <f>AI28-AH28</f>
        <v>0</v>
      </c>
      <c r="AK28" s="765">
        <f>IFERROR(AJ28/AI28,"-")</f>
        <v>0</v>
      </c>
      <c r="AL28" s="767" t="inlineStr">
        <is>
          <t>G</t>
        </is>
      </c>
    </row>
    <row r="29" ht="24" customFormat="1" customHeight="1" s="750">
      <c r="A29" s="750" t="inlineStr">
        <is>
          <t>Customer</t>
        </is>
      </c>
      <c r="B29" s="799" t="inlineStr">
        <is>
          <t>Customer</t>
        </is>
      </c>
      <c r="C29" s="773" t="inlineStr">
        <is>
          <t>Harley Giles</t>
        </is>
      </c>
      <c r="D29" s="775">
        <f>I29+AC29+AH29+X29</f>
        <v>10.98378269</v>
      </c>
      <c r="E29" s="775">
        <f>J29+AD29+AI29+Y29</f>
        <v>11.69153287</v>
      </c>
      <c r="F29" s="775">
        <f>E29-D29</f>
        <v>0.70775018</v>
      </c>
      <c r="G29" s="776">
        <f>IFERROR(F29/E29,"-")</f>
        <v>0.0605352769281484</v>
      </c>
      <c r="H29" s="777" t="inlineStr">
        <is>
          <t>G</t>
        </is>
      </c>
      <c r="I29" s="775" t="n">
        <v>2.74505002</v>
      </c>
      <c r="J29" s="775" t="n">
        <v>1.69153283</v>
      </c>
      <c r="K29" s="775">
        <f>J29-I29</f>
        <v>-1.05351719</v>
      </c>
      <c r="L29" s="776">
        <f>IFERROR(K29/J29,"-")</f>
        <v>-0.622818056685308</v>
      </c>
      <c r="M29" s="800" t="inlineStr">
        <is>
          <t>R</t>
        </is>
      </c>
      <c r="N29" s="778">
        <f>I29-S29</f>
        <v>2.74505002</v>
      </c>
      <c r="O29" s="778">
        <f>J29-T29</f>
        <v>1.69153283</v>
      </c>
      <c r="P29" s="775">
        <f>O29-N29</f>
        <v>-1.05351719</v>
      </c>
      <c r="Q29" s="776">
        <f>IFERROR(P29/O29,"-")</f>
        <v>-0.622818056685308</v>
      </c>
      <c r="R29" s="800" t="inlineStr">
        <is>
          <t>R</t>
        </is>
      </c>
      <c r="S29" s="775" t="n">
        <v>0</v>
      </c>
      <c r="T29" s="775" t="n">
        <v>0</v>
      </c>
      <c r="U29" s="775">
        <f>T29-S29</f>
        <v>0</v>
      </c>
      <c r="V29" s="776" t="str">
        <f>IFERROR(U29/T29,"-")</f>
        <v>-</v>
      </c>
      <c r="W29" s="779" t="n"/>
      <c r="X29" s="775" t="n"/>
      <c r="Y29" s="775" t="n"/>
      <c r="Z29" s="775">
        <f>Y29-X29</f>
        <v>0</v>
      </c>
      <c r="AA29" s="776" t="str">
        <f>IFERROR(Z29/Y29,"-")</f>
        <v>-</v>
      </c>
      <c r="AB29" s="779" t="n"/>
      <c r="AC29" s="775" t="n">
        <v>3.83238698</v>
      </c>
      <c r="AD29" s="775" t="n">
        <v>5.00000004</v>
      </c>
      <c r="AE29" s="775">
        <f>AD29-AC29</f>
        <v>1.16761306</v>
      </c>
      <c r="AF29" s="776">
        <f>IFERROR(AE29/AD29,"-")</f>
        <v>0.233522610131819</v>
      </c>
      <c r="AG29" s="801" t="inlineStr">
        <is>
          <t>G</t>
        </is>
      </c>
      <c r="AH29" s="775" t="n">
        <v>4.40634569</v>
      </c>
      <c r="AI29" s="775" t="n">
        <v>5</v>
      </c>
      <c r="AJ29" s="775">
        <f>AI29-AH29</f>
        <v>0.59365431</v>
      </c>
      <c r="AK29" s="776">
        <f>IFERROR(AJ29/AI29,"-")</f>
        <v>0.118730862</v>
      </c>
      <c r="AL29" s="780" t="inlineStr">
        <is>
          <t>G</t>
        </is>
      </c>
    </row>
    <row r="30" ht="26.25" customFormat="1" customHeight="1" s="781">
      <c r="B30" s="782" t="inlineStr">
        <is>
          <t>Total Technology</t>
        </is>
      </c>
      <c r="C30" s="782" t="n"/>
      <c r="D30" s="787">
        <f>SUM(D21:D29)</f>
        <v>297.093218538644</v>
      </c>
      <c r="E30" s="784">
        <f>SUM(E21:E29)</f>
        <v>302.522349682313</v>
      </c>
      <c r="F30" s="784">
        <f>SUM(F21:F29)</f>
        <v>5.42913114366853</v>
      </c>
      <c r="G30" s="790">
        <f>F30/E30</f>
        <v>0.0179462150461604</v>
      </c>
      <c r="H30" s="786" t="inlineStr">
        <is>
          <t>G</t>
        </is>
      </c>
      <c r="I30" s="787">
        <f>SUM(I21:I29)</f>
        <v>190.047778899939</v>
      </c>
      <c r="J30" s="784">
        <f>SUM(J21:J29)</f>
        <v>189.384761613026</v>
      </c>
      <c r="K30" s="784">
        <f>SUM(K21:K29)</f>
        <v>-0.663017286913805</v>
      </c>
      <c r="L30" s="785">
        <f>K30/J30</f>
        <v>-0.00350090092395377</v>
      </c>
      <c r="M30" s="788" t="inlineStr">
        <is>
          <t>A</t>
        </is>
      </c>
      <c r="N30" s="787">
        <f>SUM(N21:N29)</f>
        <v>176.232290800297</v>
      </c>
      <c r="O30" s="784">
        <f>SUM(O21:O29)</f>
        <v>173.122952079949</v>
      </c>
      <c r="P30" s="784">
        <f>SUM(P21:P29)</f>
        <v>-3.10933872034821</v>
      </c>
      <c r="Q30" s="785">
        <f>P30/O30</f>
        <v>-0.0179602917059334</v>
      </c>
      <c r="R30" s="788" t="inlineStr">
        <is>
          <t>A</t>
        </is>
      </c>
      <c r="S30" s="787">
        <f>SUM(S21:S29)</f>
        <v>13.8154880996425</v>
      </c>
      <c r="T30" s="784">
        <f>SUM(T21:T29)</f>
        <v>16.2618095330769</v>
      </c>
      <c r="U30" s="784">
        <f>SUM(U21:U29)</f>
        <v>2.4463214334344</v>
      </c>
      <c r="V30" s="785">
        <f>U30/T30</f>
        <v>0.150433531302806</v>
      </c>
      <c r="W30" s="786" t="inlineStr">
        <is>
          <t>G</t>
        </is>
      </c>
      <c r="X30" s="787">
        <f>SUM(X21:X29)</f>
        <v>15.8480092516</v>
      </c>
      <c r="Y30" s="784">
        <f>SUM(Y21:Y29)</f>
        <v>17.1065704692871</v>
      </c>
      <c r="Z30" s="784">
        <f>SUM(Z21:Z29)</f>
        <v>1.2585612176871</v>
      </c>
      <c r="AA30" s="785">
        <f>Z30/Y30</f>
        <v>0.0735718021298719</v>
      </c>
      <c r="AB30" s="786" t="inlineStr">
        <is>
          <t>G</t>
        </is>
      </c>
      <c r="AC30" s="787">
        <f>SUM(AC21:AC29)</f>
        <v>48.10701505</v>
      </c>
      <c r="AD30" s="784">
        <f>SUM(AD21:AD29)</f>
        <v>47.62080804</v>
      </c>
      <c r="AE30" s="784">
        <f>SUM(AE21:AE29)</f>
        <v>-0.486207009999999</v>
      </c>
      <c r="AF30" s="785">
        <f>AE30/AD30</f>
        <v>-0.0102099697592615</v>
      </c>
      <c r="AG30" s="788" t="inlineStr">
        <is>
          <t>A</t>
        </is>
      </c>
      <c r="AH30" s="787">
        <f>SUM(AH21:AH29)</f>
        <v>43.0904153371048</v>
      </c>
      <c r="AI30" s="784">
        <f>SUM(AI21:AI29)</f>
        <v>48.41020956</v>
      </c>
      <c r="AJ30" s="784">
        <f>SUM(AJ21:AJ29)</f>
        <v>5.31979422289523</v>
      </c>
      <c r="AK30" s="785">
        <f>AJ30/AI30</f>
        <v>0.109889923453065</v>
      </c>
      <c r="AL30" s="789" t="inlineStr">
        <is>
          <t>G</t>
        </is>
      </c>
    </row>
    <row r="31" ht="15.75" customHeight="1" s="535">
      <c r="I31" s="791">
        <f>I30/$D30</f>
        <v>0.639690733550753</v>
      </c>
      <c r="J31" s="792" t="n"/>
      <c r="K31" s="792" t="n"/>
      <c r="L31" s="792" t="n"/>
      <c r="M31" s="792" t="n"/>
      <c r="N31" s="791">
        <f>N30/$D30</f>
        <v>0.593188534114499</v>
      </c>
      <c r="O31" s="792" t="n"/>
      <c r="P31" s="792" t="n"/>
      <c r="Q31" s="792" t="n"/>
      <c r="R31" s="792" t="n"/>
      <c r="S31" s="791">
        <f>S30/$D30</f>
        <v>0.0465021994362536</v>
      </c>
      <c r="T31" s="792" t="n"/>
      <c r="U31" s="792" t="n"/>
      <c r="V31" s="792" t="n"/>
      <c r="W31" s="792" t="n"/>
      <c r="X31" s="791">
        <f>X30/$D30</f>
        <v>0.0533435577208861</v>
      </c>
      <c r="AC31" s="791">
        <f>AC30/$D30</f>
        <v>0.161925658507559</v>
      </c>
      <c r="AD31" s="792" t="n"/>
      <c r="AE31" s="792" t="n"/>
      <c r="AF31" s="792" t="n"/>
      <c r="AG31" s="792" t="n"/>
      <c r="AH31" s="791">
        <f>AH30/$D30</f>
        <v>0.145040050220802</v>
      </c>
      <c r="AI31" s="792" t="n"/>
      <c r="AJ31" s="792" t="n"/>
      <c r="AK31" s="792" t="n"/>
      <c r="AL31" s="792" t="n"/>
    </row>
    <row r="32" ht="15" customHeight="1" s="535">
      <c r="AO32" s="802">
        <f>E30-297</f>
        <v>5.52234968231272</v>
      </c>
    </row>
    <row r="33"/>
    <row r="34"/>
    <row r="35" ht="38.25" customHeight="1" s="535">
      <c r="B35" s="803" t="n"/>
      <c r="C35" s="803" t="n"/>
      <c r="D35" s="804" t="str">
        <f>D3</f>
        <v>TOTAL 
YTD (Jun-2026)</v>
      </c>
      <c r="E35" s="736" t="n"/>
      <c r="F35" s="736" t="n"/>
      <c r="G35" s="736" t="n"/>
      <c r="H35" s="740" t="n"/>
      <c r="I35" s="805" t="inlineStr">
        <is>
          <t>TOTAL TECHNOLOGY
Full Year 2026</t>
        </is>
      </c>
      <c r="J35" s="736" t="n"/>
      <c r="K35" s="736" t="n"/>
      <c r="L35" s="736" t="n"/>
      <c r="M35" s="740" t="n"/>
    </row>
    <row r="36" ht="13.5" customHeight="1" s="535">
      <c r="B36" s="806" t="inlineStr">
        <is>
          <t>Spend Type</t>
        </is>
      </c>
      <c r="C36" s="807" t="n"/>
      <c r="D36" s="808" t="inlineStr">
        <is>
          <t>A</t>
        </is>
      </c>
      <c r="E36" s="809" t="inlineStr">
        <is>
          <t>B</t>
        </is>
      </c>
      <c r="F36" s="809" t="inlineStr">
        <is>
          <t>V</t>
        </is>
      </c>
      <c r="G36" s="745" t="inlineStr">
        <is>
          <t>V %</t>
        </is>
      </c>
      <c r="H36" s="749" t="inlineStr">
        <is>
          <t>Trend</t>
        </is>
      </c>
      <c r="I36" s="808" t="inlineStr">
        <is>
          <t>F</t>
        </is>
      </c>
      <c r="J36" s="809" t="inlineStr">
        <is>
          <t>B</t>
        </is>
      </c>
      <c r="K36" s="809" t="inlineStr">
        <is>
          <t>V</t>
        </is>
      </c>
      <c r="L36" s="745" t="inlineStr">
        <is>
          <t>V %</t>
        </is>
      </c>
      <c r="M36" s="749" t="inlineStr">
        <is>
          <t>Trend</t>
        </is>
      </c>
    </row>
    <row r="37" ht="19.5" customHeight="1" s="535">
      <c r="B37" s="810" t="inlineStr">
        <is>
          <t>Lights on</t>
        </is>
      </c>
      <c r="C37" s="810" t="n"/>
      <c r="D37" s="760">
        <f>N14</f>
        <v>86.6600691054769</v>
      </c>
      <c r="E37" s="760">
        <f>O14</f>
        <v>85.1255641208856</v>
      </c>
      <c r="F37" s="761">
        <f>E37-D37</f>
        <v>-1.53450498459134</v>
      </c>
      <c r="G37" s="765">
        <f>IFERROR(F37/E37,"-")</f>
        <v>-0.0180263708139685</v>
      </c>
      <c r="H37" s="811" t="inlineStr">
        <is>
          <t>A</t>
        </is>
      </c>
      <c r="I37" s="760">
        <f>N30</f>
        <v>176.232290800297</v>
      </c>
      <c r="J37" s="760">
        <f>O30</f>
        <v>173.122952079949</v>
      </c>
      <c r="K37" s="761">
        <f>J37-I37</f>
        <v>-3.10933872034823</v>
      </c>
      <c r="L37" s="765">
        <f>IFERROR(K37/J37,"-")</f>
        <v>-0.0179602917059336</v>
      </c>
      <c r="M37" s="811" t="inlineStr">
        <is>
          <t>A</t>
        </is>
      </c>
    </row>
    <row r="38" ht="19.5" customHeight="1" s="535">
      <c r="B38" s="812" t="inlineStr">
        <is>
          <t>Depreciation</t>
        </is>
      </c>
      <c r="C38" s="812" t="n"/>
      <c r="D38" s="774">
        <f>X14</f>
        <v>7.620976354</v>
      </c>
      <c r="E38" s="775">
        <f>Y14</f>
        <v>8.07758416517918</v>
      </c>
      <c r="F38" s="775">
        <f>E38-D38</f>
        <v>0.456607811179179</v>
      </c>
      <c r="G38" s="776">
        <f>IFERROR(F38/E38,"-")</f>
        <v>0.0565277689271902</v>
      </c>
      <c r="H38" s="780" t="inlineStr">
        <is>
          <t>G</t>
        </is>
      </c>
      <c r="I38" s="774">
        <f>X30</f>
        <v>15.8480092516</v>
      </c>
      <c r="J38" s="775">
        <f>Y30</f>
        <v>17.1065704692871</v>
      </c>
      <c r="K38" s="775">
        <f>J38-I38</f>
        <v>1.2585612176871</v>
      </c>
      <c r="L38" s="776">
        <f>IFERROR(K38/J38,"-")</f>
        <v>0.0735718021298718</v>
      </c>
      <c r="M38" s="780" t="inlineStr">
        <is>
          <t>G</t>
        </is>
      </c>
    </row>
    <row r="39" ht="19.5" customHeight="1" s="535">
      <c r="B39" s="813" t="inlineStr">
        <is>
          <t>Lights on + Depreciation</t>
        </is>
      </c>
      <c r="C39" s="813" t="n"/>
      <c r="D39" s="814">
        <f>SUM(D37:D38)</f>
        <v>94.2810454594769</v>
      </c>
      <c r="E39" s="815">
        <f>SUM(E37:E38)</f>
        <v>93.2031482860648</v>
      </c>
      <c r="F39" s="815">
        <f>SUM(F37:F38)</f>
        <v>-1.07789717341216</v>
      </c>
      <c r="G39" s="816">
        <f>IFERROR(F39/E39,"-")</f>
        <v>-0.0115650296501124</v>
      </c>
      <c r="H39" s="817" t="inlineStr">
        <is>
          <t>A</t>
        </is>
      </c>
      <c r="I39" s="814">
        <f>SUM(I37:I38)</f>
        <v>192.080300051897</v>
      </c>
      <c r="J39" s="815">
        <f>SUM(J37:J38)</f>
        <v>190.229522549236</v>
      </c>
      <c r="K39" s="815">
        <f>SUM(K37:K38)</f>
        <v>-1.85077750266113</v>
      </c>
      <c r="L39" s="816">
        <f>IFERROR(K39/J39,"-")</f>
        <v>-0.00972918124305396</v>
      </c>
      <c r="M39" s="817" t="inlineStr">
        <is>
          <t>A</t>
        </is>
      </c>
    </row>
    <row r="40" ht="19.5" customHeight="1" s="535">
      <c r="B40" s="810" t="inlineStr">
        <is>
          <t>Opex Initiatives</t>
        </is>
      </c>
      <c r="C40" s="810" t="n"/>
      <c r="D40" s="753">
        <f>S14</f>
        <v>5.61932600692308</v>
      </c>
      <c r="E40" s="754">
        <f>T14</f>
        <v>8.13090476653846</v>
      </c>
      <c r="F40" s="754">
        <f>E40-D40</f>
        <v>2.51157875961538</v>
      </c>
      <c r="G40" s="755">
        <f>IFERROR(F40/E40,"-")</f>
        <v>0.308892900818543</v>
      </c>
      <c r="H40" s="759" t="inlineStr">
        <is>
          <t>G</t>
        </is>
      </c>
      <c r="I40" s="753">
        <f>S30</f>
        <v>13.8154880996425</v>
      </c>
      <c r="J40" s="754">
        <f>T30</f>
        <v>16.2618095330769</v>
      </c>
      <c r="K40" s="754">
        <f>J40-I40</f>
        <v>2.4463214334344</v>
      </c>
      <c r="L40" s="755">
        <f>IFERROR(K40/J40,"-")</f>
        <v>0.150433531302806</v>
      </c>
      <c r="M40" s="759" t="inlineStr">
        <is>
          <t>G</t>
        </is>
      </c>
    </row>
    <row r="41" ht="19.5" customHeight="1" s="535">
      <c r="B41" s="818" t="inlineStr">
        <is>
          <t>Capex</t>
        </is>
      </c>
      <c r="C41" s="810" t="n"/>
      <c r="D41" s="760">
        <f>AH14</f>
        <v>12.405728604274</v>
      </c>
      <c r="E41" s="761">
        <f>AI14</f>
        <v>23.5780706936364</v>
      </c>
      <c r="F41" s="761">
        <f>E41-D41</f>
        <v>11.1723420893624</v>
      </c>
      <c r="G41" s="765">
        <f>IFERROR(F41/E41,"-")</f>
        <v>0.473844625988747</v>
      </c>
      <c r="H41" s="767" t="inlineStr">
        <is>
          <t>G</t>
        </is>
      </c>
      <c r="I41" s="760">
        <f>AH30</f>
        <v>43.0904153371048</v>
      </c>
      <c r="J41" s="761">
        <f>AI30</f>
        <v>48.41020956</v>
      </c>
      <c r="K41" s="761">
        <f>J41-I41</f>
        <v>5.31979422289523</v>
      </c>
      <c r="L41" s="765">
        <f>IFERROR(K41/J41,"-")</f>
        <v>0.109889923453065</v>
      </c>
      <c r="M41" s="767" t="inlineStr">
        <is>
          <t>G</t>
        </is>
      </c>
    </row>
    <row r="42" ht="19.5" customHeight="1" s="535">
      <c r="B42" s="819" t="inlineStr">
        <is>
          <t>Significant Items</t>
        </is>
      </c>
      <c r="C42" s="812" t="n"/>
      <c r="D42" s="774">
        <f>AC14</f>
        <v>17.270476819697</v>
      </c>
      <c r="E42" s="775">
        <f>AD14</f>
        <v>24.41420402</v>
      </c>
      <c r="F42" s="775">
        <f>E42-D42</f>
        <v>7.14372720030303</v>
      </c>
      <c r="G42" s="776">
        <f>IFERROR(F42/E42,"-")</f>
        <v>0.292605369990802</v>
      </c>
      <c r="H42" s="780" t="inlineStr">
        <is>
          <t>G</t>
        </is>
      </c>
      <c r="I42" s="774">
        <f>AC30</f>
        <v>48.10701505</v>
      </c>
      <c r="J42" s="775">
        <f>AD30</f>
        <v>47.62080804</v>
      </c>
      <c r="K42" s="775">
        <f>J42-I42</f>
        <v>-0.486207010000001</v>
      </c>
      <c r="L42" s="776">
        <f>IFERROR(K42/J42,"-")</f>
        <v>-0.0102099697592616</v>
      </c>
      <c r="M42" s="762" t="inlineStr">
        <is>
          <t>A</t>
        </is>
      </c>
    </row>
    <row r="43" ht="19.5" customHeight="1" s="535">
      <c r="B43" s="813" t="inlineStr">
        <is>
          <t>Projects</t>
        </is>
      </c>
      <c r="C43" s="813" t="n"/>
      <c r="D43" s="814">
        <f>SUM(D40:D42)</f>
        <v>35.295531430894</v>
      </c>
      <c r="E43" s="815">
        <f>SUM(E40:E42)</f>
        <v>56.1231794801748</v>
      </c>
      <c r="F43" s="815">
        <f>SUM(F40:F42)</f>
        <v>20.8276480492808</v>
      </c>
      <c r="G43" s="816">
        <f>IFERROR(F43/E43,"-")</f>
        <v>0.371105989400298</v>
      </c>
      <c r="H43" s="820" t="inlineStr">
        <is>
          <t>G</t>
        </is>
      </c>
      <c r="I43" s="814">
        <f>SUM(I40:I42)</f>
        <v>105.012918486747</v>
      </c>
      <c r="J43" s="815">
        <f>SUM(J40:J42)</f>
        <v>112.292827133077</v>
      </c>
      <c r="K43" s="815">
        <f>SUM(K40:K42)</f>
        <v>7.27990864632963</v>
      </c>
      <c r="L43" s="816">
        <f>IFERROR(K43/J43,"-")</f>
        <v>0.0648296853164298</v>
      </c>
      <c r="M43" s="820" t="inlineStr">
        <is>
          <t>G</t>
        </is>
      </c>
    </row>
    <row r="44" ht="19.5" customHeight="1" s="535">
      <c r="B44" s="821" t="inlineStr">
        <is>
          <t>Total Technology</t>
        </is>
      </c>
      <c r="C44" s="821" t="n"/>
      <c r="D44" s="814">
        <f>SUM(D43,D39)</f>
        <v>129.576576890371</v>
      </c>
      <c r="E44" s="815">
        <f>SUM(E43,E39)</f>
        <v>149.32632776624</v>
      </c>
      <c r="F44" s="815">
        <f>SUM(F43,F39)</f>
        <v>19.7497508758686</v>
      </c>
      <c r="G44" s="816">
        <f>IFERROR(F44/E44,"-")</f>
        <v>0.132259000614986</v>
      </c>
      <c r="H44" s="820" t="inlineStr">
        <is>
          <t>G</t>
        </is>
      </c>
      <c r="I44" s="814">
        <f>SUM(I43,I39)</f>
        <v>297.093218538644</v>
      </c>
      <c r="J44" s="815">
        <f>SUM(J43,J39)</f>
        <v>302.522349682313</v>
      </c>
      <c r="K44" s="815">
        <f>SUM(K43,K39)</f>
        <v>5.42913114366849</v>
      </c>
      <c r="L44" s="816">
        <f>IFERROR(K44/J44,"-")</f>
        <v>0.0179462150461603</v>
      </c>
      <c r="M44" s="820" t="inlineStr">
        <is>
          <t>G</t>
        </is>
      </c>
    </row>
    <row r="45"/>
    <row r="46"/>
    <row r="47" ht="38.25" customHeight="1" s="535">
      <c r="B47" s="822" t="inlineStr">
        <is>
          <t>SPEND CATEGORY</t>
        </is>
      </c>
      <c r="C47" s="823" t="n"/>
      <c r="D47" s="804" t="str">
        <f>D3</f>
        <v>TOTAL 
YTD (Jun-2026)</v>
      </c>
      <c r="E47" s="736" t="n"/>
      <c r="F47" s="736" t="n"/>
      <c r="G47" s="736" t="n"/>
      <c r="H47" s="740" t="n"/>
      <c r="I47" s="805" t="inlineStr">
        <is>
          <t>TOTAL TECHNOLOGY
YTD (May-2026)</t>
        </is>
      </c>
      <c r="J47" s="736" t="n"/>
      <c r="K47" s="736" t="n"/>
      <c r="L47" s="736" t="n"/>
      <c r="M47" s="740" t="n"/>
    </row>
    <row r="48" ht="22.5" customHeight="1" s="535">
      <c r="B48" s="824" t="n"/>
      <c r="C48" s="825" t="n"/>
      <c r="D48" s="808" t="inlineStr">
        <is>
          <t>A</t>
        </is>
      </c>
      <c r="E48" s="809" t="inlineStr">
        <is>
          <t>B</t>
        </is>
      </c>
      <c r="F48" s="809" t="inlineStr">
        <is>
          <t>V</t>
        </is>
      </c>
      <c r="G48" s="745" t="inlineStr">
        <is>
          <t>V %</t>
        </is>
      </c>
      <c r="H48" s="749" t="inlineStr">
        <is>
          <t>Trend</t>
        </is>
      </c>
      <c r="I48" s="808" t="inlineStr">
        <is>
          <t>A</t>
        </is>
      </c>
      <c r="J48" s="809" t="inlineStr">
        <is>
          <t>B</t>
        </is>
      </c>
      <c r="K48" s="809" t="inlineStr">
        <is>
          <t>V</t>
        </is>
      </c>
      <c r="L48" s="745" t="inlineStr">
        <is>
          <t>V %</t>
        </is>
      </c>
      <c r="M48" s="749" t="inlineStr">
        <is>
          <t>Trend</t>
        </is>
      </c>
    </row>
    <row r="49" ht="19.5" customHeight="1" s="535">
      <c r="B49" s="810" t="inlineStr">
        <is>
          <t>Opex</t>
        </is>
      </c>
      <c r="C49" s="810" t="n"/>
      <c r="D49" s="760">
        <f>I14+X14</f>
        <v>99.9003714664</v>
      </c>
      <c r="E49" s="760">
        <f>J14+Y14</f>
        <v>101.334053052603</v>
      </c>
      <c r="F49" s="761">
        <f>E49-D49</f>
        <v>1.43368158620322</v>
      </c>
      <c r="G49" s="765">
        <f>IFERROR(F49/E49,"-")</f>
        <v>0.0141480730614711</v>
      </c>
      <c r="H49" s="767" t="inlineStr">
        <is>
          <t>G</t>
        </is>
      </c>
      <c r="I49" s="760">
        <f>I30+X30</f>
        <v>205.895788151539</v>
      </c>
      <c r="J49" s="760">
        <f>J30+Y30</f>
        <v>206.491332082313</v>
      </c>
      <c r="K49" s="761">
        <f>J49-I49</f>
        <v>0.595543930773317</v>
      </c>
      <c r="L49" s="765">
        <f>IFERROR(K49/J49,"-")</f>
        <v>0.0028841110412127</v>
      </c>
      <c r="M49" s="767" t="inlineStr">
        <is>
          <t>G</t>
        </is>
      </c>
    </row>
    <row r="50" ht="19.5" customHeight="1" s="535">
      <c r="B50" s="812" t="inlineStr">
        <is>
          <t>Significant Items</t>
        </is>
      </c>
      <c r="C50" s="812" t="n"/>
      <c r="D50" s="760">
        <f>AC14</f>
        <v>17.270476819697</v>
      </c>
      <c r="E50" s="760">
        <f>AD14</f>
        <v>24.41420402</v>
      </c>
      <c r="F50" s="761">
        <f>E50-D50</f>
        <v>7.14372720030303</v>
      </c>
      <c r="G50" s="765">
        <f>IFERROR(F50/E50,"-")</f>
        <v>0.292605369990802</v>
      </c>
      <c r="H50" s="767" t="inlineStr">
        <is>
          <t>G</t>
        </is>
      </c>
      <c r="I50" s="760">
        <f>AC30</f>
        <v>48.10701505</v>
      </c>
      <c r="J50" s="760">
        <f>AD30</f>
        <v>47.62080804</v>
      </c>
      <c r="K50" s="761">
        <f>J50-I50</f>
        <v>-0.486207010000001</v>
      </c>
      <c r="L50" s="765">
        <f>IFERROR(K50/J50,"-")</f>
        <v>-0.0102099697592616</v>
      </c>
      <c r="M50" s="811" t="inlineStr">
        <is>
          <t>A</t>
        </is>
      </c>
    </row>
    <row r="51" ht="19.5" customHeight="1" s="535">
      <c r="B51" s="812" t="inlineStr">
        <is>
          <t>Capex</t>
        </is>
      </c>
      <c r="C51" s="812" t="n"/>
      <c r="D51" s="760">
        <f>AH14</f>
        <v>12.405728604274</v>
      </c>
      <c r="E51" s="760">
        <f>AI14</f>
        <v>23.5780706936364</v>
      </c>
      <c r="F51" s="761">
        <f>E51-D51</f>
        <v>11.1723420893624</v>
      </c>
      <c r="G51" s="765">
        <f>IFERROR(F51/E51,"-")</f>
        <v>0.473844625988747</v>
      </c>
      <c r="H51" s="767" t="inlineStr">
        <is>
          <t>G</t>
        </is>
      </c>
      <c r="I51" s="760">
        <f>AH30</f>
        <v>43.0904153371048</v>
      </c>
      <c r="J51" s="760">
        <f>AI30</f>
        <v>48.41020956</v>
      </c>
      <c r="K51" s="761">
        <f>J51-I51</f>
        <v>5.31979422289523</v>
      </c>
      <c r="L51" s="765">
        <f>IFERROR(K51/J51,"-")</f>
        <v>0.109889923453065</v>
      </c>
      <c r="M51" s="767" t="inlineStr">
        <is>
          <t>G</t>
        </is>
      </c>
    </row>
    <row r="52" ht="19.5" customHeight="1" s="535">
      <c r="B52" s="821" t="inlineStr">
        <is>
          <t>Total Technology</t>
        </is>
      </c>
      <c r="C52" s="821" t="n"/>
      <c r="D52" s="814">
        <f>SUM(D49:D51)</f>
        <v>129.576576890371</v>
      </c>
      <c r="E52" s="814">
        <f>SUM(E49:E51)</f>
        <v>149.32632776624</v>
      </c>
      <c r="F52" s="814">
        <f>SUM(F49:F51)</f>
        <v>19.7497508758686</v>
      </c>
      <c r="G52" s="816">
        <f>IFERROR(F52/E52,"-")</f>
        <v>0.132259000614986</v>
      </c>
      <c r="H52" s="820" t="inlineStr">
        <is>
          <t>G</t>
        </is>
      </c>
      <c r="I52" s="814">
        <f>SUM(I49:I51)</f>
        <v>297.093218538644</v>
      </c>
      <c r="J52" s="814">
        <f>SUM(J49:J51)</f>
        <v>302.522349682313</v>
      </c>
      <c r="K52" s="814">
        <f>SUM(K49:K51)</f>
        <v>5.42913114366854</v>
      </c>
      <c r="L52" s="816">
        <f>IFERROR(K52/J52,"-")</f>
        <v>0.0179462150461605</v>
      </c>
      <c r="M52" s="820" t="inlineStr">
        <is>
          <t>G</t>
        </is>
      </c>
    </row>
  </sheetData>
  <sheetProtection selectLockedCells="0" selectUnlockedCells="0" sheet="1" objects="1" insertRows="1" insertHyperlinks="1" autoFilter="1" scenarios="1" formatColumns="1" deleteColumns="1" insertColumns="1" pivotTables="1" deleteRows="1" formatCells="1" formatRows="1" sort="1" password="C5C5"/>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1">
    <outlinePr summaryBelow="1" summaryRight="1"/>
    <pageSetUpPr fitToPage="1"/>
  </sheetPr>
  <dimension ref="A1:AZ531"/>
  <sheetViews>
    <sheetView showFormulas="0" showGridLines="0" showRowColHeaders="1" showZeros="1" rightToLeft="0" tabSelected="1" showOutlineSymbols="1" defaultGridColor="1" view="normal" topLeftCell="A1" colorId="64" zoomScale="70" zoomScaleNormal="70" zoomScalePageLayoutView="100" workbookViewId="0">
      <pane xSplit="3" ySplit="0" topLeftCell="E1" activePane="topRight" state="frozen"/>
      <selection pane="topLeft" activeCell="A1" activeCellId="0" sqref="A1"/>
      <selection pane="topRight" activeCell="B418" activeCellId="0" sqref="B418"/>
    </sheetView>
  </sheetViews>
  <sheetFormatPr baseColWidth="8" defaultColWidth="8.73046875" defaultRowHeight="14.25" zeroHeight="0" outlineLevelRow="0"/>
  <cols>
    <col width="16.27" customWidth="1" style="826" min="1" max="1"/>
    <col width="20.73" customWidth="1" style="534" min="2" max="2"/>
    <col width="26.82" customWidth="1" style="534" min="3" max="3"/>
    <col width="19.45" customWidth="1" style="534" min="4" max="4"/>
    <col width="37.45" customWidth="1" style="534" min="5" max="5"/>
    <col width="22" customWidth="1" style="534" min="6" max="6"/>
    <col width="26.18" customWidth="1" style="534" min="7" max="7"/>
    <col width="33" customWidth="1" style="534" min="8" max="8"/>
    <col width="23.45" customWidth="1" style="534" min="9" max="9"/>
    <col width="23.27" customWidth="1" style="534" min="10" max="10"/>
    <col width="34.45" customWidth="1" style="534" min="11" max="11"/>
    <col width="6.54" customWidth="1" style="534" min="12" max="12"/>
    <col width="9.449999999999999" customWidth="1" style="534" min="13" max="13"/>
    <col width="8.27" customWidth="1" style="827" min="14" max="14"/>
    <col width="8.73" customWidth="1" style="827" min="15" max="16"/>
    <col width="20.18" customWidth="1" style="827" min="17" max="17"/>
    <col width="18.54" customWidth="1" style="827" min="18" max="18"/>
    <col width="14.27" customWidth="1" style="827" min="19" max="19"/>
    <col width="14.18" customWidth="1" style="827" min="20" max="21"/>
    <col width="8.449999999999999" customWidth="1" style="827" min="22" max="22"/>
    <col width="12.54" customWidth="1" style="827" min="23" max="23"/>
    <col width="14.45" customWidth="1" style="827" min="24" max="24"/>
    <col width="14.18" customWidth="1" style="534" min="25" max="25"/>
    <col width="9.27" customWidth="1" style="827" min="26" max="26"/>
    <col width="14.27" customWidth="1" style="534" min="27" max="27"/>
    <col width="13.54" customWidth="1" style="534" min="28" max="28"/>
    <col width="56.18" customWidth="1" style="534" min="29" max="29"/>
    <col width="8.73" customWidth="1" style="534" min="30" max="33"/>
    <col width="4.81" customWidth="1" style="534" min="34" max="34"/>
    <col width="8.73" customWidth="1" style="534" min="35" max="35"/>
    <col width="20.81" customWidth="1" style="534" min="36" max="36"/>
    <col width="7.82" customWidth="1" style="534" min="37" max="37"/>
    <col width="7.45" customWidth="1" style="534" min="38" max="38"/>
    <col width="6.73" customWidth="1" style="534" min="39" max="39"/>
    <col width="23.82" customWidth="1" style="534" min="40" max="40"/>
    <col width="8.73" customWidth="1" style="534" min="41" max="41"/>
    <col width="28.54" customWidth="1" style="534" min="42" max="42"/>
    <col width="6.54" customWidth="1" style="534" min="43" max="43"/>
    <col hidden="1" width="13" customWidth="1" style="534" min="44" max="45"/>
    <col width="8.73" customWidth="1" style="534" min="46" max="46"/>
  </cols>
  <sheetData>
    <row r="1" ht="41.25" customFormat="1" customHeight="1" s="828">
      <c r="A1" s="829" t="inlineStr">
        <is>
          <t>EE Number</t>
        </is>
      </c>
      <c r="B1" s="830" t="inlineStr">
        <is>
          <t>Name</t>
        </is>
      </c>
      <c r="C1" s="829" t="inlineStr">
        <is>
          <t>EE Number</t>
        </is>
      </c>
      <c r="D1" s="830" t="inlineStr">
        <is>
          <t>Position Title</t>
        </is>
      </c>
      <c r="E1" s="830" t="inlineStr">
        <is>
          <t>Reports to name</t>
        </is>
      </c>
      <c r="F1" s="830" t="inlineStr">
        <is>
          <t>Reports to Position</t>
        </is>
      </c>
      <c r="G1" s="831" t="inlineStr">
        <is>
          <t>Division (GM)</t>
        </is>
      </c>
      <c r="H1" s="830" t="inlineStr">
        <is>
          <t>Department (GM-1)</t>
        </is>
      </c>
      <c r="I1" s="830" t="inlineStr">
        <is>
          <t>Team (GM-2)</t>
        </is>
      </c>
      <c r="J1" s="832" t="inlineStr">
        <is>
          <t>Portfolio</t>
        </is>
      </c>
      <c r="K1" s="832" t="inlineStr">
        <is>
          <t>Platform</t>
        </is>
      </c>
      <c r="L1" s="832" t="inlineStr">
        <is>
          <t>Squad</t>
        </is>
      </c>
      <c r="M1" s="832" t="inlineStr">
        <is>
          <t>CC</t>
        </is>
      </c>
      <c r="N1" s="833" t="inlineStr">
        <is>
          <t>Country</t>
        </is>
      </c>
      <c r="O1" s="834" t="inlineStr">
        <is>
          <t>Job Level</t>
        </is>
      </c>
      <c r="P1" s="834" t="inlineStr">
        <is>
          <t>FTE</t>
        </is>
      </c>
      <c r="Q1" s="834" t="inlineStr">
        <is>
          <t>Vacant Column</t>
        </is>
      </c>
      <c r="R1" s="834" t="inlineStr">
        <is>
          <t>Type</t>
        </is>
      </c>
      <c r="S1" s="835" t="inlineStr">
        <is>
          <t>Unit</t>
        </is>
      </c>
      <c r="T1" s="835" t="inlineStr">
        <is>
          <t>day rate</t>
        </is>
      </c>
      <c r="U1" s="836" t="inlineStr">
        <is>
          <t>FTE Base
 Local</t>
        </is>
      </c>
      <c r="V1" s="837" t="inlineStr">
        <is>
          <t>FTE Base 
AUD</t>
        </is>
      </c>
      <c r="W1" s="838" t="inlineStr">
        <is>
          <t>STI</t>
        </is>
      </c>
      <c r="X1" s="839" t="inlineStr">
        <is>
          <t>Payroll</t>
        </is>
      </c>
      <c r="Y1" s="839" t="inlineStr">
        <is>
          <t>Pensions</t>
        </is>
      </c>
      <c r="Z1" s="839" t="inlineStr">
        <is>
          <t>medical</t>
        </is>
      </c>
      <c r="AA1" s="839" t="inlineStr">
        <is>
          <t>CPI</t>
        </is>
      </c>
      <c r="AB1" s="840" t="inlineStr">
        <is>
          <t>Full Cost 
AUD</t>
        </is>
      </c>
      <c r="AC1" s="828" t="inlineStr">
        <is>
          <t>MyHR ee no</t>
        </is>
      </c>
      <c r="AE1" s="841" t="inlineStr">
        <is>
          <t>Effective cost (AUD)</t>
        </is>
      </c>
      <c r="AF1" s="841" t="inlineStr">
        <is>
          <t>MStatus</t>
        </is>
      </c>
      <c r="AG1" s="841" t="inlineStr">
        <is>
          <t>Ring fenced</t>
        </is>
      </c>
      <c r="AH1" s="841" t="inlineStr">
        <is>
          <t>MTab</t>
        </is>
      </c>
      <c r="AI1" s="841" t="inlineStr">
        <is>
          <t>Leadership</t>
        </is>
      </c>
      <c r="AJ1" s="841" t="inlineStr">
        <is>
          <t>Squad (canonical, from col L)</t>
        </is>
      </c>
      <c r="AK1" s="841" t="inlineStr">
        <is>
          <t>Overhead line</t>
        </is>
      </c>
      <c r="AL1" s="841" t="inlineStr">
        <is>
          <t>Squad or overhead line</t>
        </is>
      </c>
      <c r="AM1" s="841" t="inlineStr">
        <is>
          <t>EGI funded</t>
        </is>
      </c>
      <c r="AN1" s="841" t="inlineStr">
        <is>
          <t>Status (PCM)</t>
        </is>
      </c>
      <c r="AO1" s="841" t="inlineStr">
        <is>
          <t>Commentry (PCM)</t>
        </is>
      </c>
      <c r="AP1" s="841" t="inlineStr">
        <is>
          <t>End date (PCM)</t>
        </is>
      </c>
      <c r="AQ1" s="841" t="inlineStr">
        <is>
          <t>Role ID</t>
        </is>
      </c>
      <c r="AZ1" s="841" t="n"/>
    </row>
    <row r="2" ht="18" customHeight="1" s="535">
      <c r="A2" s="842" t="inlineStr">
        <is>
          <t>C</t>
        </is>
      </c>
      <c r="B2" s="843" t="inlineStr">
        <is>
          <t>Alan Peng</t>
        </is>
      </c>
      <c r="C2" s="842" t="inlineStr">
        <is>
          <t>C</t>
        </is>
      </c>
      <c r="D2" s="843" t="inlineStr">
        <is>
          <t>Delivery Lead</t>
        </is>
      </c>
      <c r="E2" s="843" t="inlineStr">
        <is>
          <t>Adriel Jeyanandhan</t>
        </is>
      </c>
      <c r="F2" s="843" t="inlineStr">
        <is>
          <t>Delivery Manager, Digital</t>
        </is>
      </c>
      <c r="G2" s="844" t="inlineStr">
        <is>
          <t>Customer</t>
        </is>
      </c>
      <c r="H2" s="843" t="inlineStr">
        <is>
          <t>Digital</t>
        </is>
      </c>
      <c r="I2" s="843" t="inlineStr">
        <is>
          <t>Digital, Delivery</t>
        </is>
      </c>
      <c r="J2" s="843" t="inlineStr">
        <is>
          <t>EGI Integration</t>
        </is>
      </c>
      <c r="K2" s="843" t="inlineStr">
        <is>
          <t>EGI</t>
        </is>
      </c>
      <c r="L2" s="843" t="inlineStr">
        <is>
          <t>EGI Customer</t>
        </is>
      </c>
      <c r="M2" s="843" t="n"/>
      <c r="N2" s="845" t="inlineStr">
        <is>
          <t>Australia</t>
        </is>
      </c>
      <c r="O2" s="846" t="inlineStr">
        <is>
          <t>NA</t>
        </is>
      </c>
      <c r="P2" s="847" t="n">
        <v>1</v>
      </c>
      <c r="Q2" s="847" t="n"/>
      <c r="R2" s="847" t="inlineStr">
        <is>
          <t>Contractor</t>
        </is>
      </c>
      <c r="S2" s="847" t="inlineStr">
        <is>
          <t>Day</t>
        </is>
      </c>
      <c r="T2" s="847" t="n">
        <v>1190</v>
      </c>
      <c r="U2" s="848" t="n"/>
      <c r="V2" s="849" t="n"/>
      <c r="W2" s="850" t="n"/>
      <c r="X2" s="847" t="n"/>
      <c r="Y2" s="850" t="n"/>
      <c r="Z2" s="851" t="n"/>
      <c r="AA2" s="850" t="n"/>
      <c r="AB2" s="852" t="n">
        <v>264180</v>
      </c>
      <c r="AC2" s="534" t="inlineStr">
        <is>
          <t>End Date: 28/08/2026</t>
        </is>
      </c>
      <c r="AE2" s="534">
        <f>IF(TRIM($B2)="","",IF(AND(N($P2)&gt;0,N($P2)&lt;1),N($AB2)*N($P2),N($AB2)))</f>
        <v>264180</v>
      </c>
      <c r="AF2" s="534" t="str">
        <f>IF(TRIM($B2)="","",IF(OR(ISNUMBER(SEARCH("vacant",$B2)),ISNUMBER(SEARCH("ring fenced",$B2)),LOWER(TRIM($B2))="remove"),"Vacant","Filled"))</f>
        <v>Filled</v>
      </c>
      <c r="AG2" s="534" t="b">
        <f>IF(TRIM($B2)="","",--ISNUMBER(SEARCH("ring fenced",$B2)))</f>
        <v>0</v>
      </c>
      <c r="AH2" s="853" t="str">
        <f>IF(TRIM($B2)="","",IF(COUNTIFS(Lists!$AN$2:$AN$22,TRIM($B2)&amp;" | "&amp;TRIM($D2),Lists!$AO$2:$AO$22,"&lt;&gt;"),INDEX(Lists!$AO$2:$AO$22,MATCH(TRIM($B2)&amp;" | "&amp;TRIM($D2),Lists!$AN$2:$AN$22,0)),IF(COUNTIF(Lists!$AR$2:$AR$3,$AJ2),"TDD Cyber",IF(AND(LEFT($AJ2,4)="EGI ",ISNUMBER(MATCH(TRIM(MID($AJ2,5,99)),Lists!$AS$2:$AS$12,0))),TRIM(MID($AJ2,5,99)),IF(AND(LEFT($AJ2,4)="EGI ",ISNUMBER(MATCH(TRIM(MID($AJ2,5,99)),Lists!$T$2:$T$21,0))),INDEX(Lists!$U$2:$U$21,MATCH(TRIM(MID($AJ2,5,99)),Lists!$T$2:$T$21,0)),IF(OR(TRIM($J2)="",UPPER(TRIM($J2))="NA"),IFERROR(INDEX(Lists!$R$2:$R$9,MATCH(TRIM($G2),Lists!$Q$2:$Q$9,0)),"UNMAPPED"),IFERROR(INDEX(Lists!$U$2:$U$21,MATCH(TRIM($J2),Lists!$T$2:$T$21,0)),IFERROR(INDEX(Lists!$R$2:$R$9,MATCH(TRIM($G2),Lists!$Q$2:$Q$9,0)),"UNMAPPED"))))))))</f>
        <v>Customer</v>
      </c>
      <c r="AI2" s="534" t="b">
        <f>IF(TRIM($B2)="","",--OR(TRIM($L2)="Leadership",TRIM($K2)="Leadership"))</f>
        <v>0</v>
      </c>
      <c r="AJ2" s="534" t="str">
        <f>IF(TRIM($B2)="","",IF(COUNTIFS(Lists!$AN$2:$AN$22,TRIM($B2)&amp;" | "&amp;TRIM($D2),Lists!$AP$2:$AP$22,"&lt;&gt;"),INDEX(Lists!$AP$2:$AP$22,MATCH(TRIM($B2)&amp;" | "&amp;TRIM($D2),Lists!$AN$2:$AN$22,0)),IF($AI2=1,"Leadership",IFERROR(INDEX(Lists!$X$2:$X$21,MATCH(TRIM($L2),Lists!$W$2:$W$21,0)),IF(OR(TRIM($L2)="",LOWER(TRIM($L2))="na"),IF(TRIM($H2)="","Unassigned",TRIM($H2)),TRIM($L2))))))</f>
        <v>EGI Customer</v>
      </c>
      <c r="AK2" s="534" t="str">
        <f>IF(TRIM($B2)="","",IF(COUNTIFS(Lists!$AN$2:$AN$22,TRIM($B2)&amp;" | "&amp;TRIM($D2),Lists!$AQ$2:$AQ$22,"&lt;&gt;"),INDEX(Lists!$AQ$2:$AQ$22,MATCH(TRIM($B2)&amp;" | "&amp;TRIM($D2),Lists!$AN$2:$AN$22,0)),IF(COUNTIF(Lists!$AF$2:$AF$8,$AJ2),$AJ2,IF(ISNUMBER(SEARCH("head of ",$D2)),"Head of Technology",IF(ISNUMBER(SEARCH("TDD BP",$D2)),"Business Partner",IF(OR(ISNUMBER(SEARCH("domain architect",$D2)),ISNUMBER(SEARCH("enterprise architect",$D2))),"Domain Architect",IF(ISNUMBER(SEARCH("delivery man",$D2)),"Delivery Manager",IF(OR(ISNUMBER(SEARCH("technology manager",$D2)),ISNUMBER(SEARCH("technology manger",$D2)),ISNUMBER(SEARCH("tech manager",$D2))),"Technology Manager","Squad"))))))))</f>
        <v>Squad</v>
      </c>
      <c r="AL2" s="534" t="str">
        <f>IF(TRIM($B2)="","",IF(AND($AM2=1,LEFT($AJ2,4)&lt;&gt;"EGI ",$AJ2&lt;&gt;"EGI"),IFERROR(INDEX(Lists!$Z$2:$Z$20,MATCH($AH2,Lists!$Y$2:$Y$20,0)),"EGI "&amp;$AH2),IF(COUNTIF(Lists!$AU$2:$AU$10,$AJ2),$AJ2,IF(OR(LEFT($AH2,3)="COE",$AH2="EGI"),$AJ2,IF($AK2&lt;&gt;"Squad",$AK2,$AJ2)))))</f>
        <v>EGI Customer</v>
      </c>
      <c r="AM2" s="534" t="b">
        <f>IF(TRIM($B2)="","",--(UPPER(TRIM($K2))="EGI"))</f>
        <v>1</v>
      </c>
      <c r="AN2" s="534" t="inlineStr">
        <is>
          <t>Filled</t>
        </is>
      </c>
      <c r="AO2" s="534" t="inlineStr">
        <is>
          <t>End Date: 28/08/2026</t>
        </is>
      </c>
      <c r="AP2" s="854" t="n">
        <v>46262</v>
      </c>
      <c r="AQ2" s="841" t="inlineStr">
        <is>
          <t>R0001</t>
        </is>
      </c>
      <c r="AZ2" s="841" t="n"/>
    </row>
    <row r="3" ht="18" customHeight="1" s="535">
      <c r="A3" s="842" t="inlineStr">
        <is>
          <t>C</t>
        </is>
      </c>
      <c r="B3" s="843" t="inlineStr">
        <is>
          <t>Lily Fong</t>
        </is>
      </c>
      <c r="C3" s="842" t="inlineStr">
        <is>
          <t>C</t>
        </is>
      </c>
      <c r="D3" s="843" t="inlineStr">
        <is>
          <t>Snr Business Analyst</t>
        </is>
      </c>
      <c r="E3" s="843" t="inlineStr">
        <is>
          <t>Adriel Jeyanandhan</t>
        </is>
      </c>
      <c r="F3" s="843" t="inlineStr">
        <is>
          <t>Delivery Manager, Digital</t>
        </is>
      </c>
      <c r="G3" s="844" t="inlineStr">
        <is>
          <t>Customer</t>
        </is>
      </c>
      <c r="H3" s="843" t="inlineStr">
        <is>
          <t>Digital</t>
        </is>
      </c>
      <c r="I3" s="843" t="inlineStr">
        <is>
          <t>Digital, Delivery</t>
        </is>
      </c>
      <c r="J3" s="843" t="inlineStr">
        <is>
          <t>Ampol Customer</t>
        </is>
      </c>
      <c r="K3" s="843" t="inlineStr">
        <is>
          <t>Ampol Digital</t>
        </is>
      </c>
      <c r="L3" s="843" t="inlineStr">
        <is>
          <t>Ampol Web</t>
        </is>
      </c>
      <c r="M3" s="843" t="n"/>
      <c r="N3" s="845" t="inlineStr">
        <is>
          <t>Australia</t>
        </is>
      </c>
      <c r="O3" s="846" t="inlineStr">
        <is>
          <t>NA</t>
        </is>
      </c>
      <c r="P3" s="847" t="n">
        <v>1</v>
      </c>
      <c r="Q3" s="846" t="n"/>
      <c r="R3" s="847" t="inlineStr">
        <is>
          <t>Contractor (CXC)</t>
        </is>
      </c>
      <c r="S3" s="847" t="inlineStr">
        <is>
          <t>Day</t>
        </is>
      </c>
      <c r="T3" s="847" t="n">
        <v>1229.2</v>
      </c>
      <c r="U3" s="848" t="n"/>
      <c r="V3" s="849" t="n"/>
      <c r="W3" s="850" t="n"/>
      <c r="X3" s="847" t="n"/>
      <c r="Y3" s="850" t="n"/>
      <c r="Z3" s="851" t="n"/>
      <c r="AA3" s="850" t="n"/>
      <c r="AB3" s="852" t="n">
        <v>272882.4</v>
      </c>
      <c r="AC3" s="534" t="inlineStr">
        <is>
          <t>End Date: 8/08/2026</t>
        </is>
      </c>
      <c r="AE3" s="534">
        <f>IF(TRIM($B3)="","",IF(AND(N($P3)&gt;0,N($P3)&lt;1),N($AB3)*N($P3),N($AB3)))</f>
        <v>272882.4</v>
      </c>
      <c r="AF3" s="534" t="str">
        <f>IF(TRIM($B3)="","",IF(OR(ISNUMBER(SEARCH("vacant",$B3)),ISNUMBER(SEARCH("ring fenced",$B3)),LOWER(TRIM($B3))="remove"),"Vacant","Filled"))</f>
        <v>Filled</v>
      </c>
      <c r="AG3" s="534" t="b">
        <f>IF(TRIM($B3)="","",--ISNUMBER(SEARCH("ring fenced",$B3)))</f>
        <v>0</v>
      </c>
      <c r="AH3" s="853" t="str">
        <f>IF(TRIM($B3)="","",IF(COUNTIFS(Lists!$AN$2:$AN$22,TRIM($B3)&amp;" | "&amp;TRIM($D3),Lists!$AO$2:$AO$22,"&lt;&gt;"),INDEX(Lists!$AO$2:$AO$22,MATCH(TRIM($B3)&amp;" | "&amp;TRIM($D3),Lists!$AN$2:$AN$22,0)),IF(COUNTIF(Lists!$AR$2:$AR$3,$AJ3),"TDD Cyber",IF(AND(LEFT($AJ3,4)="EGI ",ISNUMBER(MATCH(TRIM(MID($AJ3,5,99)),Lists!$AS$2:$AS$12,0))),TRIM(MID($AJ3,5,99)),IF(AND(LEFT($AJ3,4)="EGI ",ISNUMBER(MATCH(TRIM(MID($AJ3,5,99)),Lists!$T$2:$T$21,0))),INDEX(Lists!$U$2:$U$21,MATCH(TRIM(MID($AJ3,5,99)),Lists!$T$2:$T$21,0)),IF(OR(TRIM($J3)="",UPPER(TRIM($J3))="NA"),IFERROR(INDEX(Lists!$R$2:$R$9,MATCH(TRIM($G3),Lists!$Q$2:$Q$9,0)),"UNMAPPED"),IFERROR(INDEX(Lists!$U$2:$U$21,MATCH(TRIM($J3),Lists!$T$2:$T$21,0)),IFERROR(INDEX(Lists!$R$2:$R$9,MATCH(TRIM($G3),Lists!$Q$2:$Q$9,0)),"UNMAPPED"))))))))</f>
        <v>Customer</v>
      </c>
      <c r="AI3" s="534" t="b">
        <f>IF(TRIM($B3)="","",--OR(TRIM($L3)="Leadership",TRIM($K3)="Leadership"))</f>
        <v>0</v>
      </c>
      <c r="AJ3" s="534" t="str">
        <f>IF(TRIM($B3)="","",IF(COUNTIFS(Lists!$AN$2:$AN$22,TRIM($B3)&amp;" | "&amp;TRIM($D3),Lists!$AP$2:$AP$22,"&lt;&gt;"),INDEX(Lists!$AP$2:$AP$22,MATCH(TRIM($B3)&amp;" | "&amp;TRIM($D3),Lists!$AN$2:$AN$22,0)),IF($AI3=1,"Leadership",IFERROR(INDEX(Lists!$X$2:$X$21,MATCH(TRIM($L3),Lists!$W$2:$W$21,0)),IF(OR(TRIM($L3)="",LOWER(TRIM($L3))="na"),IF(TRIM($H3)="","Unassigned",TRIM($H3)),TRIM($L3))))))</f>
        <v>Ampol Web</v>
      </c>
      <c r="AK3" s="534" t="str">
        <f>IF(TRIM($B3)="","",IF(COUNTIFS(Lists!$AN$2:$AN$22,TRIM($B3)&amp;" | "&amp;TRIM($D3),Lists!$AQ$2:$AQ$22,"&lt;&gt;"),INDEX(Lists!$AQ$2:$AQ$22,MATCH(TRIM($B3)&amp;" | "&amp;TRIM($D3),Lists!$AN$2:$AN$22,0)),IF(COUNTIF(Lists!$AF$2:$AF$8,$AJ3),$AJ3,IF(ISNUMBER(SEARCH("head of ",$D3)),"Head of Technology",IF(ISNUMBER(SEARCH("TDD BP",$D3)),"Business Partner",IF(OR(ISNUMBER(SEARCH("domain architect",$D3)),ISNUMBER(SEARCH("enterprise architect",$D3))),"Domain Architect",IF(ISNUMBER(SEARCH("delivery man",$D3)),"Delivery Manager",IF(OR(ISNUMBER(SEARCH("technology manager",$D3)),ISNUMBER(SEARCH("technology manger",$D3)),ISNUMBER(SEARCH("tech manager",$D3))),"Technology Manager","Squad"))))))))</f>
        <v>Squad</v>
      </c>
      <c r="AL3" s="534" t="str">
        <f>IF(TRIM($B3)="","",IF(AND($AM3=1,LEFT($AJ3,4)&lt;&gt;"EGI ",$AJ3&lt;&gt;"EGI"),IFERROR(INDEX(Lists!$Z$2:$Z$20,MATCH($AH3,Lists!$Y$2:$Y$20,0)),"EGI "&amp;$AH3),IF(COUNTIF(Lists!$AU$2:$AU$10,$AJ3),$AJ3,IF(OR(LEFT($AH3,3)="COE",$AH3="EGI"),$AJ3,IF($AK3&lt;&gt;"Squad",$AK3,$AJ3)))))</f>
        <v>Ampol Web</v>
      </c>
      <c r="AM3" s="534" t="b">
        <f>IF(TRIM($B3)="","",--(UPPER(TRIM($K3))="EGI"))</f>
        <v>0</v>
      </c>
      <c r="AN3" s="534" t="inlineStr">
        <is>
          <t>Filled</t>
        </is>
      </c>
      <c r="AO3" s="534" t="inlineStr">
        <is>
          <t>End Date: 8/08/2026</t>
        </is>
      </c>
      <c r="AP3" s="854" t="n">
        <v>46242</v>
      </c>
      <c r="AQ3" s="841" t="inlineStr">
        <is>
          <t>R0002</t>
        </is>
      </c>
      <c r="AZ3" s="841" t="n"/>
    </row>
    <row r="4" ht="18" customHeight="1" s="535">
      <c r="A4" s="842" t="inlineStr">
        <is>
          <t>C</t>
        </is>
      </c>
      <c r="B4" s="843" t="inlineStr">
        <is>
          <t>Peter (Won) Lee</t>
        </is>
      </c>
      <c r="C4" s="842" t="inlineStr">
        <is>
          <t>C</t>
        </is>
      </c>
      <c r="D4" s="843" t="inlineStr">
        <is>
          <t>Snr Business Analyst</t>
        </is>
      </c>
      <c r="E4" s="843" t="inlineStr">
        <is>
          <t>Adriel Jeyanandhan</t>
        </is>
      </c>
      <c r="F4" s="843" t="inlineStr">
        <is>
          <t>Delivery Manager, Digital</t>
        </is>
      </c>
      <c r="G4" s="844" t="inlineStr">
        <is>
          <t>Customer</t>
        </is>
      </c>
      <c r="H4" s="843" t="inlineStr">
        <is>
          <t>Digital</t>
        </is>
      </c>
      <c r="I4" s="843" t="inlineStr">
        <is>
          <t>Digital, Delivery</t>
        </is>
      </c>
      <c r="J4" s="843" t="inlineStr">
        <is>
          <t>Ampol Customer</t>
        </is>
      </c>
      <c r="K4" s="843" t="inlineStr">
        <is>
          <t>Ampol Digital</t>
        </is>
      </c>
      <c r="L4" s="843" t="inlineStr">
        <is>
          <t>Ampol App</t>
        </is>
      </c>
      <c r="M4" s="843" t="n"/>
      <c r="N4" s="845" t="inlineStr">
        <is>
          <t>Australia</t>
        </is>
      </c>
      <c r="O4" s="846" t="inlineStr">
        <is>
          <t>NA</t>
        </is>
      </c>
      <c r="P4" s="847" t="n">
        <v>1</v>
      </c>
      <c r="Q4" s="847" t="n"/>
      <c r="R4" s="847" t="inlineStr">
        <is>
          <t>Contractor</t>
        </is>
      </c>
      <c r="S4" s="847" t="inlineStr">
        <is>
          <t>Day</t>
        </is>
      </c>
      <c r="T4" s="847" t="n">
        <v>1167</v>
      </c>
      <c r="U4" s="848" t="n"/>
      <c r="V4" s="849" t="n"/>
      <c r="W4" s="850" t="n"/>
      <c r="X4" s="847" t="n"/>
      <c r="Y4" s="850" t="n"/>
      <c r="Z4" s="851" t="n"/>
      <c r="AA4" s="850" t="n"/>
      <c r="AB4" s="852" t="n">
        <v>259074</v>
      </c>
      <c r="AC4" s="534" t="inlineStr">
        <is>
          <t>End Date: 2/01/2027</t>
        </is>
      </c>
      <c r="AE4" s="534">
        <f>IF(TRIM($B4)="","",IF(AND(N($P4)&gt;0,N($P4)&lt;1),N($AB4)*N($P4),N($AB4)))</f>
        <v>259074</v>
      </c>
      <c r="AF4" s="534" t="str">
        <f>IF(TRIM($B4)="","",IF(OR(ISNUMBER(SEARCH("vacant",$B4)),ISNUMBER(SEARCH("ring fenced",$B4)),LOWER(TRIM($B4))="remove"),"Vacant","Filled"))</f>
        <v>Filled</v>
      </c>
      <c r="AG4" s="534" t="b">
        <f>IF(TRIM($B4)="","",--ISNUMBER(SEARCH("ring fenced",$B4)))</f>
        <v>0</v>
      </c>
      <c r="AH4" s="853" t="str">
        <f>IF(TRIM($B4)="","",IF(COUNTIFS(Lists!$AN$2:$AN$22,TRIM($B4)&amp;" | "&amp;TRIM($D4),Lists!$AO$2:$AO$22,"&lt;&gt;"),INDEX(Lists!$AO$2:$AO$22,MATCH(TRIM($B4)&amp;" | "&amp;TRIM($D4),Lists!$AN$2:$AN$22,0)),IF(COUNTIF(Lists!$AR$2:$AR$3,$AJ4),"TDD Cyber",IF(AND(LEFT($AJ4,4)="EGI ",ISNUMBER(MATCH(TRIM(MID($AJ4,5,99)),Lists!$AS$2:$AS$12,0))),TRIM(MID($AJ4,5,99)),IF(AND(LEFT($AJ4,4)="EGI ",ISNUMBER(MATCH(TRIM(MID($AJ4,5,99)),Lists!$T$2:$T$21,0))),INDEX(Lists!$U$2:$U$21,MATCH(TRIM(MID($AJ4,5,99)),Lists!$T$2:$T$21,0)),IF(OR(TRIM($J4)="",UPPER(TRIM($J4))="NA"),IFERROR(INDEX(Lists!$R$2:$R$9,MATCH(TRIM($G4),Lists!$Q$2:$Q$9,0)),"UNMAPPED"),IFERROR(INDEX(Lists!$U$2:$U$21,MATCH(TRIM($J4),Lists!$T$2:$T$21,0)),IFERROR(INDEX(Lists!$R$2:$R$9,MATCH(TRIM($G4),Lists!$Q$2:$Q$9,0)),"UNMAPPED"))))))))</f>
        <v>Customer</v>
      </c>
      <c r="AI4" s="534" t="b">
        <f>IF(TRIM($B4)="","",--OR(TRIM($L4)="Leadership",TRIM($K4)="Leadership"))</f>
        <v>0</v>
      </c>
      <c r="AJ4" s="534" t="str">
        <f>IF(TRIM($B4)="","",IF(COUNTIFS(Lists!$AN$2:$AN$22,TRIM($B4)&amp;" | "&amp;TRIM($D4),Lists!$AP$2:$AP$22,"&lt;&gt;"),INDEX(Lists!$AP$2:$AP$22,MATCH(TRIM($B4)&amp;" | "&amp;TRIM($D4),Lists!$AN$2:$AN$22,0)),IF($AI4=1,"Leadership",IFERROR(INDEX(Lists!$X$2:$X$21,MATCH(TRIM($L4),Lists!$W$2:$W$21,0)),IF(OR(TRIM($L4)="",LOWER(TRIM($L4))="na"),IF(TRIM($H4)="","Unassigned",TRIM($H4)),TRIM($L4))))))</f>
        <v>Ampol App</v>
      </c>
      <c r="AK4" s="534" t="str">
        <f>IF(TRIM($B4)="","",IF(COUNTIFS(Lists!$AN$2:$AN$22,TRIM($B4)&amp;" | "&amp;TRIM($D4),Lists!$AQ$2:$AQ$22,"&lt;&gt;"),INDEX(Lists!$AQ$2:$AQ$22,MATCH(TRIM($B4)&amp;" | "&amp;TRIM($D4),Lists!$AN$2:$AN$22,0)),IF(COUNTIF(Lists!$AF$2:$AF$8,$AJ4),$AJ4,IF(ISNUMBER(SEARCH("head of ",$D4)),"Head of Technology",IF(ISNUMBER(SEARCH("TDD BP",$D4)),"Business Partner",IF(OR(ISNUMBER(SEARCH("domain architect",$D4)),ISNUMBER(SEARCH("enterprise architect",$D4))),"Domain Architect",IF(ISNUMBER(SEARCH("delivery man",$D4)),"Delivery Manager",IF(OR(ISNUMBER(SEARCH("technology manager",$D4)),ISNUMBER(SEARCH("technology manger",$D4)),ISNUMBER(SEARCH("tech manager",$D4))),"Technology Manager","Squad"))))))))</f>
        <v>Squad</v>
      </c>
      <c r="AL4" s="534" t="str">
        <f>IF(TRIM($B4)="","",IF(AND($AM4=1,LEFT($AJ4,4)&lt;&gt;"EGI ",$AJ4&lt;&gt;"EGI"),IFERROR(INDEX(Lists!$Z$2:$Z$20,MATCH($AH4,Lists!$Y$2:$Y$20,0)),"EGI "&amp;$AH4),IF(COUNTIF(Lists!$AU$2:$AU$10,$AJ4),$AJ4,IF(OR(LEFT($AH4,3)="COE",$AH4="EGI"),$AJ4,IF($AK4&lt;&gt;"Squad",$AK4,$AJ4)))))</f>
        <v>Ampol App</v>
      </c>
      <c r="AM4" s="534" t="b">
        <f>IF(TRIM($B4)="","",--(UPPER(TRIM($K4))="EGI"))</f>
        <v>0</v>
      </c>
      <c r="AN4" s="534" t="inlineStr">
        <is>
          <t>Filled</t>
        </is>
      </c>
      <c r="AO4" s="534" t="inlineStr">
        <is>
          <t>End Date: 2/01/2027</t>
        </is>
      </c>
      <c r="AP4" s="854" t="n">
        <v>46389</v>
      </c>
      <c r="AQ4" s="841" t="inlineStr">
        <is>
          <t>R0003</t>
        </is>
      </c>
      <c r="AZ4" s="841" t="n"/>
    </row>
    <row r="5" ht="18" customHeight="1" s="535">
      <c r="A5" s="842" t="inlineStr">
        <is>
          <t>C</t>
        </is>
      </c>
      <c r="B5" s="843" t="inlineStr">
        <is>
          <t>Harish Dasari</t>
        </is>
      </c>
      <c r="C5" s="842" t="inlineStr">
        <is>
          <t>C</t>
        </is>
      </c>
      <c r="D5" s="843" t="inlineStr">
        <is>
          <t>Business Analyst (SAP Payroll)</t>
        </is>
      </c>
      <c r="E5" s="843" t="inlineStr">
        <is>
          <t>Areum Kim-Lee</t>
        </is>
      </c>
      <c r="F5" s="843" t="inlineStr">
        <is>
          <t>GM TDD, EGI</t>
        </is>
      </c>
      <c r="G5" s="844" t="inlineStr">
        <is>
          <t>EGI</t>
        </is>
      </c>
      <c r="H5" s="843" t="inlineStr">
        <is>
          <t>EGI</t>
        </is>
      </c>
      <c r="I5" s="843" t="inlineStr">
        <is>
          <t>EGI</t>
        </is>
      </c>
      <c r="J5" s="843" t="inlineStr">
        <is>
          <t>EGI</t>
        </is>
      </c>
      <c r="K5" s="843" t="inlineStr">
        <is>
          <t>EGI</t>
        </is>
      </c>
      <c r="L5" s="843" t="inlineStr">
        <is>
          <t>EGI</t>
        </is>
      </c>
      <c r="M5" s="843" t="n"/>
      <c r="N5" s="845" t="inlineStr">
        <is>
          <t>Australia</t>
        </is>
      </c>
      <c r="O5" s="846" t="inlineStr">
        <is>
          <t>na</t>
        </is>
      </c>
      <c r="P5" s="847" t="n">
        <v>1</v>
      </c>
      <c r="Q5" s="847" t="n"/>
      <c r="R5" s="847" t="inlineStr">
        <is>
          <t>cxc</t>
        </is>
      </c>
      <c r="S5" s="847" t="inlineStr">
        <is>
          <t>daily</t>
        </is>
      </c>
      <c r="T5" s="847" t="n">
        <v>1100</v>
      </c>
      <c r="U5" s="848" t="n">
        <v>0</v>
      </c>
      <c r="V5" s="849" t="n"/>
      <c r="W5" s="850" t="n"/>
      <c r="X5" s="847" t="n"/>
      <c r="Y5" s="850" t="n"/>
      <c r="Z5" s="851" t="n"/>
      <c r="AA5" s="850" t="n"/>
      <c r="AB5" s="852" t="n">
        <v>244200</v>
      </c>
      <c r="AE5" s="534">
        <f>IF(TRIM($B5)="","",IF(AND(N($P5)&gt;0,N($P5)&lt;1),N($AB5)*N($P5),N($AB5)))</f>
        <v>244200</v>
      </c>
      <c r="AF5" s="534" t="str">
        <f>IF(TRIM($B5)="","",IF(OR(ISNUMBER(SEARCH("vacant",$B5)),ISNUMBER(SEARCH("ring fenced",$B5)),LOWER(TRIM($B5))="remove"),"Vacant","Filled"))</f>
        <v>Filled</v>
      </c>
      <c r="AG5" s="534" t="b">
        <f>IF(TRIM($B5)="","",--ISNUMBER(SEARCH("ring fenced",$B5)))</f>
        <v>0</v>
      </c>
      <c r="AH5" s="853" t="str">
        <f>IF(TRIM($B5)="","",IF(COUNTIFS(Lists!$AN$2:$AN$22,TRIM($B5)&amp;" | "&amp;TRIM($D5),Lists!$AO$2:$AO$22,"&lt;&gt;"),INDEX(Lists!$AO$2:$AO$22,MATCH(TRIM($B5)&amp;" | "&amp;TRIM($D5),Lists!$AN$2:$AN$22,0)),IF(COUNTIF(Lists!$AR$2:$AR$3,$AJ5),"TDD Cyber",IF(AND(LEFT($AJ5,4)="EGI ",ISNUMBER(MATCH(TRIM(MID($AJ5,5,99)),Lists!$AS$2:$AS$12,0))),TRIM(MID($AJ5,5,99)),IF(AND(LEFT($AJ5,4)="EGI ",ISNUMBER(MATCH(TRIM(MID($AJ5,5,99)),Lists!$T$2:$T$21,0))),INDEX(Lists!$U$2:$U$21,MATCH(TRIM(MID($AJ5,5,99)),Lists!$T$2:$T$21,0)),IF(OR(TRIM($J5)="",UPPER(TRIM($J5))="NA"),IFERROR(INDEX(Lists!$R$2:$R$9,MATCH(TRIM($G5),Lists!$Q$2:$Q$9,0)),"UNMAPPED"),IFERROR(INDEX(Lists!$U$2:$U$21,MATCH(TRIM($J5),Lists!$T$2:$T$21,0)),IFERROR(INDEX(Lists!$R$2:$R$9,MATCH(TRIM($G5),Lists!$Q$2:$Q$9,0)),"UNMAPPED"))))))))</f>
        <v>EGI</v>
      </c>
      <c r="AI5" s="534" t="b">
        <f>IF(TRIM($B5)="","",--OR(TRIM($L5)="Leadership",TRIM($K5)="Leadership"))</f>
        <v>0</v>
      </c>
      <c r="AJ5" s="534" t="str">
        <f>IF(TRIM($B5)="","",IF(COUNTIFS(Lists!$AN$2:$AN$22,TRIM($B5)&amp;" | "&amp;TRIM($D5),Lists!$AP$2:$AP$22,"&lt;&gt;"),INDEX(Lists!$AP$2:$AP$22,MATCH(TRIM($B5)&amp;" | "&amp;TRIM($D5),Lists!$AN$2:$AN$22,0)),IF($AI5=1,"Leadership",IFERROR(INDEX(Lists!$X$2:$X$21,MATCH(TRIM($L5),Lists!$W$2:$W$21,0)),IF(OR(TRIM($L5)="",LOWER(TRIM($L5))="na"),IF(TRIM($H5)="","Unassigned",TRIM($H5)),TRIM($L5))))))</f>
        <v>EGI</v>
      </c>
      <c r="AK5" s="534" t="str">
        <f>IF(TRIM($B5)="","",IF(COUNTIFS(Lists!$AN$2:$AN$22,TRIM($B5)&amp;" | "&amp;TRIM($D5),Lists!$AQ$2:$AQ$22,"&lt;&gt;"),INDEX(Lists!$AQ$2:$AQ$22,MATCH(TRIM($B5)&amp;" | "&amp;TRIM($D5),Lists!$AN$2:$AN$22,0)),IF(COUNTIF(Lists!$AF$2:$AF$8,$AJ5),$AJ5,IF(ISNUMBER(SEARCH("head of ",$D5)),"Head of Technology",IF(ISNUMBER(SEARCH("TDD BP",$D5)),"Business Partner",IF(OR(ISNUMBER(SEARCH("domain architect",$D5)),ISNUMBER(SEARCH("enterprise architect",$D5))),"Domain Architect",IF(ISNUMBER(SEARCH("delivery man",$D5)),"Delivery Manager",IF(OR(ISNUMBER(SEARCH("technology manager",$D5)),ISNUMBER(SEARCH("technology manger",$D5)),ISNUMBER(SEARCH("tech manager",$D5))),"Technology Manager","Squad"))))))))</f>
        <v>Squad</v>
      </c>
      <c r="AL5" s="534" t="str">
        <f>IF(TRIM($B5)="","",IF(AND($AM5=1,LEFT($AJ5,4)&lt;&gt;"EGI ",$AJ5&lt;&gt;"EGI"),IFERROR(INDEX(Lists!$Z$2:$Z$20,MATCH($AH5,Lists!$Y$2:$Y$20,0)),"EGI "&amp;$AH5),IF(COUNTIF(Lists!$AU$2:$AU$10,$AJ5),$AJ5,IF(OR(LEFT($AH5,3)="COE",$AH5="EGI"),$AJ5,IF($AK5&lt;&gt;"Squad",$AK5,$AJ5)))))</f>
        <v>EGI</v>
      </c>
      <c r="AM5" s="534" t="b">
        <f>IF(TRIM($B5)="","",--(UPPER(TRIM($K5))="EGI"))</f>
        <v>1</v>
      </c>
      <c r="AQ5" s="841" t="inlineStr">
        <is>
          <t>R0004</t>
        </is>
      </c>
      <c r="AZ5" s="841" t="n"/>
    </row>
    <row r="6" ht="18" customHeight="1" s="535">
      <c r="A6" s="842" t="inlineStr">
        <is>
          <t>C</t>
        </is>
      </c>
      <c r="B6" s="843" t="inlineStr">
        <is>
          <t>Niall Greene</t>
        </is>
      </c>
      <c r="C6" s="842" t="inlineStr">
        <is>
          <t>C</t>
        </is>
      </c>
      <c r="D6" s="843" t="inlineStr">
        <is>
          <t>Project Manager (PEP13-EGI-UKG)</t>
        </is>
      </c>
      <c r="E6" s="843" t="inlineStr">
        <is>
          <t>Areum Kim-Lee</t>
        </is>
      </c>
      <c r="F6" s="843" t="inlineStr">
        <is>
          <t>GM TDD, EGI</t>
        </is>
      </c>
      <c r="G6" s="844" t="inlineStr">
        <is>
          <t>EGI</t>
        </is>
      </c>
      <c r="H6" s="843" t="inlineStr">
        <is>
          <t>EGI</t>
        </is>
      </c>
      <c r="I6" s="843" t="inlineStr">
        <is>
          <t>EGI</t>
        </is>
      </c>
      <c r="J6" s="843" t="inlineStr">
        <is>
          <t>EGI</t>
        </is>
      </c>
      <c r="K6" s="843" t="inlineStr">
        <is>
          <t>EGI</t>
        </is>
      </c>
      <c r="L6" s="843" t="inlineStr">
        <is>
          <t>EGI</t>
        </is>
      </c>
      <c r="M6" s="843" t="n"/>
      <c r="N6" s="845" t="inlineStr">
        <is>
          <t>Australia</t>
        </is>
      </c>
      <c r="O6" s="846" t="inlineStr">
        <is>
          <t>NA</t>
        </is>
      </c>
      <c r="P6" s="847" t="n">
        <v>1</v>
      </c>
      <c r="Q6" s="847" t="n"/>
      <c r="R6" s="847" t="inlineStr">
        <is>
          <t>cxc</t>
        </is>
      </c>
      <c r="S6" s="847" t="inlineStr">
        <is>
          <t>Daily</t>
        </is>
      </c>
      <c r="T6" s="847" t="n">
        <v>1100</v>
      </c>
      <c r="U6" s="848" t="n">
        <v>0</v>
      </c>
      <c r="V6" s="849" t="n"/>
      <c r="W6" s="850" t="n"/>
      <c r="X6" s="847" t="n"/>
      <c r="Y6" s="850" t="n"/>
      <c r="Z6" s="851" t="n"/>
      <c r="AA6" s="850" t="n"/>
      <c r="AB6" s="852" t="n">
        <v>244200</v>
      </c>
      <c r="AE6" s="534">
        <f>IF(TRIM($B6)="","",IF(AND(N($P6)&gt;0,N($P6)&lt;1),N($AB6)*N($P6),N($AB6)))</f>
        <v>244200</v>
      </c>
      <c r="AF6" s="534" t="str">
        <f>IF(TRIM($B6)="","",IF(OR(ISNUMBER(SEARCH("vacant",$B6)),ISNUMBER(SEARCH("ring fenced",$B6)),LOWER(TRIM($B6))="remove"),"Vacant","Filled"))</f>
        <v>Filled</v>
      </c>
      <c r="AG6" s="534" t="b">
        <f>IF(TRIM($B6)="","",--ISNUMBER(SEARCH("ring fenced",$B6)))</f>
        <v>0</v>
      </c>
      <c r="AH6" s="853" t="str">
        <f>IF(TRIM($B6)="","",IF(COUNTIFS(Lists!$AN$2:$AN$22,TRIM($B6)&amp;" | "&amp;TRIM($D6),Lists!$AO$2:$AO$22,"&lt;&gt;"),INDEX(Lists!$AO$2:$AO$22,MATCH(TRIM($B6)&amp;" | "&amp;TRIM($D6),Lists!$AN$2:$AN$22,0)),IF(COUNTIF(Lists!$AR$2:$AR$3,$AJ6),"TDD Cyber",IF(AND(LEFT($AJ6,4)="EGI ",ISNUMBER(MATCH(TRIM(MID($AJ6,5,99)),Lists!$AS$2:$AS$12,0))),TRIM(MID($AJ6,5,99)),IF(AND(LEFT($AJ6,4)="EGI ",ISNUMBER(MATCH(TRIM(MID($AJ6,5,99)),Lists!$T$2:$T$21,0))),INDEX(Lists!$U$2:$U$21,MATCH(TRIM(MID($AJ6,5,99)),Lists!$T$2:$T$21,0)),IF(OR(TRIM($J6)="",UPPER(TRIM($J6))="NA"),IFERROR(INDEX(Lists!$R$2:$R$9,MATCH(TRIM($G6),Lists!$Q$2:$Q$9,0)),"UNMAPPED"),IFERROR(INDEX(Lists!$U$2:$U$21,MATCH(TRIM($J6),Lists!$T$2:$T$21,0)),IFERROR(INDEX(Lists!$R$2:$R$9,MATCH(TRIM($G6),Lists!$Q$2:$Q$9,0)),"UNMAPPED"))))))))</f>
        <v>EGI</v>
      </c>
      <c r="AI6" s="534" t="b">
        <f>IF(TRIM($B6)="","",--OR(TRIM($L6)="Leadership",TRIM($K6)="Leadership"))</f>
        <v>0</v>
      </c>
      <c r="AJ6" s="534" t="str">
        <f>IF(TRIM($B6)="","",IF(COUNTIFS(Lists!$AN$2:$AN$22,TRIM($B6)&amp;" | "&amp;TRIM($D6),Lists!$AP$2:$AP$22,"&lt;&gt;"),INDEX(Lists!$AP$2:$AP$22,MATCH(TRIM($B6)&amp;" | "&amp;TRIM($D6),Lists!$AN$2:$AN$22,0)),IF($AI6=1,"Leadership",IFERROR(INDEX(Lists!$X$2:$X$21,MATCH(TRIM($L6),Lists!$W$2:$W$21,0)),IF(OR(TRIM($L6)="",LOWER(TRIM($L6))="na"),IF(TRIM($H6)="","Unassigned",TRIM($H6)),TRIM($L6))))))</f>
        <v>EGI</v>
      </c>
      <c r="AK6" s="534" t="str">
        <f>IF(TRIM($B6)="","",IF(COUNTIFS(Lists!$AN$2:$AN$22,TRIM($B6)&amp;" | "&amp;TRIM($D6),Lists!$AQ$2:$AQ$22,"&lt;&gt;"),INDEX(Lists!$AQ$2:$AQ$22,MATCH(TRIM($B6)&amp;" | "&amp;TRIM($D6),Lists!$AN$2:$AN$22,0)),IF(COUNTIF(Lists!$AF$2:$AF$8,$AJ6),$AJ6,IF(ISNUMBER(SEARCH("head of ",$D6)),"Head of Technology",IF(ISNUMBER(SEARCH("TDD BP",$D6)),"Business Partner",IF(OR(ISNUMBER(SEARCH("domain architect",$D6)),ISNUMBER(SEARCH("enterprise architect",$D6))),"Domain Architect",IF(ISNUMBER(SEARCH("delivery man",$D6)),"Delivery Manager",IF(OR(ISNUMBER(SEARCH("technology manager",$D6)),ISNUMBER(SEARCH("technology manger",$D6)),ISNUMBER(SEARCH("tech manager",$D6))),"Technology Manager","Squad"))))))))</f>
        <v>Squad</v>
      </c>
      <c r="AL6" s="534" t="str">
        <f>IF(TRIM($B6)="","",IF(AND($AM6=1,LEFT($AJ6,4)&lt;&gt;"EGI ",$AJ6&lt;&gt;"EGI"),IFERROR(INDEX(Lists!$Z$2:$Z$20,MATCH($AH6,Lists!$Y$2:$Y$20,0)),"EGI "&amp;$AH6),IF(COUNTIF(Lists!$AU$2:$AU$10,$AJ6),$AJ6,IF(OR(LEFT($AH6,3)="COE",$AH6="EGI"),$AJ6,IF($AK6&lt;&gt;"Squad",$AK6,$AJ6)))))</f>
        <v>EGI</v>
      </c>
      <c r="AM6" s="534" t="b">
        <f>IF(TRIM($B6)="","",--(UPPER(TRIM($K6))="EGI"))</f>
        <v>1</v>
      </c>
      <c r="AQ6" s="841" t="inlineStr">
        <is>
          <t>R0005</t>
        </is>
      </c>
      <c r="AZ6" s="841" t="n"/>
    </row>
    <row r="7" ht="18" customHeight="1" s="535">
      <c r="A7" s="842" t="inlineStr">
        <is>
          <t>c</t>
        </is>
      </c>
      <c r="B7" s="843" t="inlineStr">
        <is>
          <t>Paul Hassey</t>
        </is>
      </c>
      <c r="C7" s="842" t="inlineStr">
        <is>
          <t>c</t>
        </is>
      </c>
      <c r="D7" s="843" t="inlineStr">
        <is>
          <t>Program Architect</t>
        </is>
      </c>
      <c r="E7" s="843" t="inlineStr">
        <is>
          <t>Ed Tacey</t>
        </is>
      </c>
      <c r="F7" s="843" t="n"/>
      <c r="G7" s="844" t="inlineStr">
        <is>
          <t>EGI</t>
        </is>
      </c>
      <c r="H7" s="843" t="inlineStr">
        <is>
          <t>EGI</t>
        </is>
      </c>
      <c r="I7" s="843" t="inlineStr">
        <is>
          <t>EGI</t>
        </is>
      </c>
      <c r="J7" s="843" t="inlineStr">
        <is>
          <t>EGI</t>
        </is>
      </c>
      <c r="K7" s="843" t="inlineStr">
        <is>
          <t>EGI</t>
        </is>
      </c>
      <c r="L7" s="843" t="inlineStr">
        <is>
          <t>EGI</t>
        </is>
      </c>
      <c r="M7" s="843" t="n"/>
      <c r="N7" s="845" t="inlineStr">
        <is>
          <t>Australia</t>
        </is>
      </c>
      <c r="O7" s="846" t="inlineStr">
        <is>
          <t>na</t>
        </is>
      </c>
      <c r="P7" s="847" t="n">
        <v>1</v>
      </c>
      <c r="Q7" s="847" t="n"/>
      <c r="R7" s="847" t="inlineStr">
        <is>
          <t>cxc</t>
        </is>
      </c>
      <c r="S7" s="847" t="inlineStr">
        <is>
          <t>Daily</t>
        </is>
      </c>
      <c r="T7" s="847" t="n">
        <v>1400</v>
      </c>
      <c r="U7" s="848" t="n">
        <v>0</v>
      </c>
      <c r="V7" s="849" t="n"/>
      <c r="W7" s="850" t="n"/>
      <c r="X7" s="847" t="n"/>
      <c r="Y7" s="850" t="n"/>
      <c r="Z7" s="851" t="n"/>
      <c r="AA7" s="850" t="n"/>
      <c r="AB7" s="852" t="n">
        <v>310800</v>
      </c>
      <c r="AE7" s="534">
        <f>IF(TRIM($B7)="","",IF(AND(N($P7)&gt;0,N($P7)&lt;1),N($AB7)*N($P7),N($AB7)))</f>
        <v>310800</v>
      </c>
      <c r="AF7" s="534" t="str">
        <f>IF(TRIM($B7)="","",IF(OR(ISNUMBER(SEARCH("vacant",$B7)),ISNUMBER(SEARCH("ring fenced",$B7)),LOWER(TRIM($B7))="remove"),"Vacant","Filled"))</f>
        <v>Filled</v>
      </c>
      <c r="AG7" s="534" t="b">
        <f>IF(TRIM($B7)="","",--ISNUMBER(SEARCH("ring fenced",$B7)))</f>
        <v>0</v>
      </c>
      <c r="AH7" s="534" t="str">
        <f>IF(TRIM($B7)="","",IF(COUNTIFS(Lists!$AN$2:$AN$22,TRIM($B7)&amp;" | "&amp;TRIM($D7),Lists!$AO$2:$AO$22,"&lt;&gt;"),INDEX(Lists!$AO$2:$AO$22,MATCH(TRIM($B7)&amp;" | "&amp;TRIM($D7),Lists!$AN$2:$AN$22,0)),IF(COUNTIF(Lists!$AR$2:$AR$3,$AJ7),"TDD Cyber",IF(AND(LEFT($AJ7,4)="EGI ",ISNUMBER(MATCH(TRIM(MID($AJ7,5,99)),Lists!$AS$2:$AS$12,0))),TRIM(MID($AJ7,5,99)),IF(AND(LEFT($AJ7,4)="EGI ",ISNUMBER(MATCH(TRIM(MID($AJ7,5,99)),Lists!$T$2:$T$21,0))),INDEX(Lists!$U$2:$U$21,MATCH(TRIM(MID($AJ7,5,99)),Lists!$T$2:$T$21,0)),IF(OR(TRIM($J7)="",UPPER(TRIM($J7))="NA"),IFERROR(INDEX(Lists!$R$2:$R$9,MATCH(TRIM($G7),Lists!$Q$2:$Q$9,0)),"UNMAPPED"),IFERROR(INDEX(Lists!$U$2:$U$21,MATCH(TRIM($J7),Lists!$T$2:$T$21,0)),IFERROR(INDEX(Lists!$R$2:$R$9,MATCH(TRIM($G7),Lists!$Q$2:$Q$9,0)),"UNMAPPED"))))))))</f>
        <v>EGI</v>
      </c>
      <c r="AI7" s="534" t="b">
        <f>IF(TRIM($B7)="","",--OR(TRIM($L7)="Leadership",TRIM($K7)="Leadership"))</f>
        <v>0</v>
      </c>
      <c r="AJ7" s="534" t="str">
        <f>IF(TRIM($B7)="","",IF(COUNTIFS(Lists!$AN$2:$AN$22,TRIM($B7)&amp;" | "&amp;TRIM($D7),Lists!$AP$2:$AP$22,"&lt;&gt;"),INDEX(Lists!$AP$2:$AP$22,MATCH(TRIM($B7)&amp;" | "&amp;TRIM($D7),Lists!$AN$2:$AN$22,0)),IF($AI7=1,"Leadership",IFERROR(INDEX(Lists!$X$2:$X$21,MATCH(TRIM($L7),Lists!$W$2:$W$21,0)),IF(OR(TRIM($L7)="",LOWER(TRIM($L7))="na"),IF(TRIM($H7)="","Unassigned",TRIM($H7)),TRIM($L7))))))</f>
        <v>EGI</v>
      </c>
      <c r="AK7" s="534" t="str">
        <f>IF(TRIM($B7)="","",IF(COUNTIFS(Lists!$AN$2:$AN$22,TRIM($B7)&amp;" | "&amp;TRIM($D7),Lists!$AQ$2:$AQ$22,"&lt;&gt;"),INDEX(Lists!$AQ$2:$AQ$22,MATCH(TRIM($B7)&amp;" | "&amp;TRIM($D7),Lists!$AN$2:$AN$22,0)),IF(COUNTIF(Lists!$AF$2:$AF$8,$AJ7),$AJ7,IF(ISNUMBER(SEARCH("head of ",$D7)),"Head of Technology",IF(ISNUMBER(SEARCH("TDD BP",$D7)),"Business Partner",IF(OR(ISNUMBER(SEARCH("domain architect",$D7)),ISNUMBER(SEARCH("enterprise architect",$D7))),"Domain Architect",IF(ISNUMBER(SEARCH("delivery man",$D7)),"Delivery Manager",IF(OR(ISNUMBER(SEARCH("technology manager",$D7)),ISNUMBER(SEARCH("technology manger",$D7)),ISNUMBER(SEARCH("tech manager",$D7))),"Technology Manager","Squad"))))))))</f>
        <v>Squad</v>
      </c>
      <c r="AL7" s="534" t="str">
        <f>IF(TRIM($B7)="","",IF(AND($AM7=1,LEFT($AJ7,4)&lt;&gt;"EGI ",$AJ7&lt;&gt;"EGI"),IFERROR(INDEX(Lists!$Z$2:$Z$20,MATCH($AH7,Lists!$Y$2:$Y$20,0)),"EGI "&amp;$AH7),IF(COUNTIF(Lists!$AU$2:$AU$10,$AJ7),$AJ7,IF(OR(LEFT($AH7,3)="COE",$AH7="EGI"),$AJ7,IF($AK7&lt;&gt;"Squad",$AK7,$AJ7)))))</f>
        <v>EGI</v>
      </c>
      <c r="AM7" s="534" t="b">
        <f>IF(TRIM($B7)="","",--(UPPER(TRIM($K7))="EGI"))</f>
        <v>1</v>
      </c>
      <c r="AQ7" s="841" t="inlineStr">
        <is>
          <t>R0006</t>
        </is>
      </c>
      <c r="AZ7" s="841" t="n"/>
    </row>
    <row r="8" ht="18" customHeight="1" s="535">
      <c r="A8" s="842" t="inlineStr">
        <is>
          <t>C</t>
        </is>
      </c>
      <c r="B8" s="843" t="inlineStr">
        <is>
          <t>Ahmed Yehya</t>
        </is>
      </c>
      <c r="C8" s="842" t="inlineStr">
        <is>
          <t>C</t>
        </is>
      </c>
      <c r="D8" s="843" t="inlineStr">
        <is>
          <t>TDD Strategic Delivery</t>
        </is>
      </c>
      <c r="E8" s="843" t="inlineStr">
        <is>
          <t>Greg Cassis</t>
        </is>
      </c>
      <c r="F8" s="843" t="inlineStr">
        <is>
          <t>GM TDD, EGI</t>
        </is>
      </c>
      <c r="G8" s="844" t="inlineStr">
        <is>
          <t>EGI</t>
        </is>
      </c>
      <c r="H8" s="843" t="inlineStr">
        <is>
          <t>EGI</t>
        </is>
      </c>
      <c r="I8" s="843" t="inlineStr">
        <is>
          <t>EGI</t>
        </is>
      </c>
      <c r="J8" s="843" t="inlineStr">
        <is>
          <t>EGI</t>
        </is>
      </c>
      <c r="K8" s="843" t="inlineStr">
        <is>
          <t>EGI</t>
        </is>
      </c>
      <c r="L8" s="843" t="inlineStr">
        <is>
          <t>EGI</t>
        </is>
      </c>
      <c r="M8" s="843" t="n"/>
      <c r="N8" s="845" t="inlineStr">
        <is>
          <t>Australia</t>
        </is>
      </c>
      <c r="O8" s="846" t="inlineStr">
        <is>
          <t>na</t>
        </is>
      </c>
      <c r="P8" s="847" t="n">
        <v>1</v>
      </c>
      <c r="Q8" s="846" t="n"/>
      <c r="R8" s="847" t="inlineStr">
        <is>
          <t>cxc</t>
        </is>
      </c>
      <c r="S8" s="847" t="inlineStr">
        <is>
          <t>Daily</t>
        </is>
      </c>
      <c r="T8" s="847" t="n">
        <v>1250</v>
      </c>
      <c r="U8" s="848" t="n">
        <v>0</v>
      </c>
      <c r="V8" s="849" t="n"/>
      <c r="W8" s="850" t="n"/>
      <c r="X8" s="847" t="n"/>
      <c r="Y8" s="850" t="n"/>
      <c r="Z8" s="851" t="n"/>
      <c r="AA8" s="850" t="n"/>
      <c r="AB8" s="852" t="n">
        <v>277500</v>
      </c>
      <c r="AE8" s="534">
        <f>IF(TRIM($B8)="","",IF(AND(N($P8)&gt;0,N($P8)&lt;1),N($AB8)*N($P8),N($AB8)))</f>
        <v>277500</v>
      </c>
      <c r="AF8" s="534" t="str">
        <f>IF(TRIM($B8)="","",IF(OR(ISNUMBER(SEARCH("vacant",$B8)),ISNUMBER(SEARCH("ring fenced",$B8)),LOWER(TRIM($B8))="remove"),"Vacant","Filled"))</f>
        <v>Filled</v>
      </c>
      <c r="AG8" s="534" t="b">
        <f>IF(TRIM($B8)="","",--ISNUMBER(SEARCH("ring fenced",$B8)))</f>
        <v>0</v>
      </c>
      <c r="AH8" s="534" t="str">
        <f>IF(TRIM($B8)="","",IF(COUNTIFS(Lists!$AN$2:$AN$22,TRIM($B8)&amp;" | "&amp;TRIM($D8),Lists!$AO$2:$AO$22,"&lt;&gt;"),INDEX(Lists!$AO$2:$AO$22,MATCH(TRIM($B8)&amp;" | "&amp;TRIM($D8),Lists!$AN$2:$AN$22,0)),IF(COUNTIF(Lists!$AR$2:$AR$3,$AJ8),"TDD Cyber",IF(AND(LEFT($AJ8,4)="EGI ",ISNUMBER(MATCH(TRIM(MID($AJ8,5,99)),Lists!$AS$2:$AS$12,0))),TRIM(MID($AJ8,5,99)),IF(AND(LEFT($AJ8,4)="EGI ",ISNUMBER(MATCH(TRIM(MID($AJ8,5,99)),Lists!$T$2:$T$21,0))),INDEX(Lists!$U$2:$U$21,MATCH(TRIM(MID($AJ8,5,99)),Lists!$T$2:$T$21,0)),IF(OR(TRIM($J8)="",UPPER(TRIM($J8))="NA"),IFERROR(INDEX(Lists!$R$2:$R$9,MATCH(TRIM($G8),Lists!$Q$2:$Q$9,0)),"UNMAPPED"),IFERROR(INDEX(Lists!$U$2:$U$21,MATCH(TRIM($J8),Lists!$T$2:$T$21,0)),IFERROR(INDEX(Lists!$R$2:$R$9,MATCH(TRIM($G8),Lists!$Q$2:$Q$9,0)),"UNMAPPED"))))))))</f>
        <v>EGI</v>
      </c>
      <c r="AI8" s="534" t="b">
        <f>IF(TRIM($B8)="","",--OR(TRIM($L8)="Leadership",TRIM($K8)="Leadership"))</f>
        <v>0</v>
      </c>
      <c r="AJ8" s="534" t="str">
        <f>IF(TRIM($B8)="","",IF(COUNTIFS(Lists!$AN$2:$AN$22,TRIM($B8)&amp;" | "&amp;TRIM($D8),Lists!$AP$2:$AP$22,"&lt;&gt;"),INDEX(Lists!$AP$2:$AP$22,MATCH(TRIM($B8)&amp;" | "&amp;TRIM($D8),Lists!$AN$2:$AN$22,0)),IF($AI8=1,"Leadership",IFERROR(INDEX(Lists!$X$2:$X$21,MATCH(TRIM($L8),Lists!$W$2:$W$21,0)),IF(OR(TRIM($L8)="",LOWER(TRIM($L8))="na"),IF(TRIM($H8)="","Unassigned",TRIM($H8)),TRIM($L8))))))</f>
        <v>EGI</v>
      </c>
      <c r="AK8" s="534" t="str">
        <f>IF(TRIM($B8)="","",IF(COUNTIFS(Lists!$AN$2:$AN$22,TRIM($B8)&amp;" | "&amp;TRIM($D8),Lists!$AQ$2:$AQ$22,"&lt;&gt;"),INDEX(Lists!$AQ$2:$AQ$22,MATCH(TRIM($B8)&amp;" | "&amp;TRIM($D8),Lists!$AN$2:$AN$22,0)),IF(COUNTIF(Lists!$AF$2:$AF$8,$AJ8),$AJ8,IF(ISNUMBER(SEARCH("head of ",$D8)),"Head of Technology",IF(ISNUMBER(SEARCH("TDD BP",$D8)),"Business Partner",IF(OR(ISNUMBER(SEARCH("domain architect",$D8)),ISNUMBER(SEARCH("enterprise architect",$D8))),"Domain Architect",IF(ISNUMBER(SEARCH("delivery man",$D8)),"Delivery Manager",IF(OR(ISNUMBER(SEARCH("technology manager",$D8)),ISNUMBER(SEARCH("technology manger",$D8)),ISNUMBER(SEARCH("tech manager",$D8))),"Technology Manager","Squad"))))))))</f>
        <v>Squad</v>
      </c>
      <c r="AL8" s="534" t="str">
        <f>IF(TRIM($B8)="","",IF(AND($AM8=1,LEFT($AJ8,4)&lt;&gt;"EGI ",$AJ8&lt;&gt;"EGI"),IFERROR(INDEX(Lists!$Z$2:$Z$20,MATCH($AH8,Lists!$Y$2:$Y$20,0)),"EGI "&amp;$AH8),IF(COUNTIF(Lists!$AU$2:$AU$10,$AJ8),$AJ8,IF(OR(LEFT($AH8,3)="COE",$AH8="EGI"),$AJ8,IF($AK8&lt;&gt;"Squad",$AK8,$AJ8)))))</f>
        <v>EGI</v>
      </c>
      <c r="AM8" s="534" t="b">
        <f>IF(TRIM($B8)="","",--(UPPER(TRIM($K8))="EGI"))</f>
        <v>1</v>
      </c>
      <c r="AQ8" s="841" t="inlineStr">
        <is>
          <t>R0007</t>
        </is>
      </c>
      <c r="AZ8" s="841" t="n"/>
    </row>
    <row r="9" ht="18" customHeight="1" s="535">
      <c r="A9" s="842" t="inlineStr">
        <is>
          <t>C</t>
        </is>
      </c>
      <c r="B9" s="843" t="inlineStr">
        <is>
          <t>Anthony Huynh</t>
        </is>
      </c>
      <c r="C9" s="842" t="inlineStr">
        <is>
          <t>C</t>
        </is>
      </c>
      <c r="D9" s="843" t="inlineStr">
        <is>
          <t>Strategic Delivery Consultant</t>
        </is>
      </c>
      <c r="E9" s="843" t="inlineStr">
        <is>
          <t>Greg Cassis</t>
        </is>
      </c>
      <c r="F9" s="843" t="inlineStr">
        <is>
          <t>GM TDD, EGI</t>
        </is>
      </c>
      <c r="G9" s="844" t="inlineStr">
        <is>
          <t>EGI</t>
        </is>
      </c>
      <c r="H9" s="843" t="inlineStr">
        <is>
          <t>EGI</t>
        </is>
      </c>
      <c r="I9" s="843" t="inlineStr">
        <is>
          <t>EGI</t>
        </is>
      </c>
      <c r="J9" s="843" t="inlineStr">
        <is>
          <t>EGI</t>
        </is>
      </c>
      <c r="K9" s="843" t="inlineStr">
        <is>
          <t>EGI</t>
        </is>
      </c>
      <c r="L9" s="843" t="inlineStr">
        <is>
          <t>EGI</t>
        </is>
      </c>
      <c r="M9" s="843" t="n"/>
      <c r="N9" s="845" t="inlineStr">
        <is>
          <t>australia</t>
        </is>
      </c>
      <c r="O9" s="846" t="inlineStr">
        <is>
          <t>NA</t>
        </is>
      </c>
      <c r="P9" s="847" t="n">
        <v>1</v>
      </c>
      <c r="Q9" s="847" t="n"/>
      <c r="R9" s="847" t="inlineStr">
        <is>
          <t>cxc</t>
        </is>
      </c>
      <c r="S9" s="847" t="inlineStr">
        <is>
          <t>daily</t>
        </is>
      </c>
      <c r="T9" s="847" t="n">
        <v>1357</v>
      </c>
      <c r="U9" s="848" t="n">
        <v>0</v>
      </c>
      <c r="V9" s="849" t="n"/>
      <c r="W9" s="850" t="n"/>
      <c r="X9" s="847" t="n"/>
      <c r="Y9" s="850" t="n"/>
      <c r="Z9" s="851" t="n"/>
      <c r="AA9" s="850" t="n"/>
      <c r="AB9" s="852" t="n">
        <v>301254</v>
      </c>
      <c r="AE9" s="534">
        <f>IF(TRIM($B9)="","",IF(AND(N($P9)&gt;0,N($P9)&lt;1),N($AB9)*N($P9),N($AB9)))</f>
        <v>301254</v>
      </c>
      <c r="AF9" s="534" t="str">
        <f>IF(TRIM($B9)="","",IF(OR(ISNUMBER(SEARCH("vacant",$B9)),ISNUMBER(SEARCH("ring fenced",$B9)),LOWER(TRIM($B9))="remove"),"Vacant","Filled"))</f>
        <v>Filled</v>
      </c>
      <c r="AG9" s="534" t="b">
        <f>IF(TRIM($B9)="","",--ISNUMBER(SEARCH("ring fenced",$B9)))</f>
        <v>0</v>
      </c>
      <c r="AH9" s="534" t="str">
        <f>IF(TRIM($B9)="","",IF(COUNTIFS(Lists!$AN$2:$AN$22,TRIM($B9)&amp;" | "&amp;TRIM($D9),Lists!$AO$2:$AO$22,"&lt;&gt;"),INDEX(Lists!$AO$2:$AO$22,MATCH(TRIM($B9)&amp;" | "&amp;TRIM($D9),Lists!$AN$2:$AN$22,0)),IF(COUNTIF(Lists!$AR$2:$AR$3,$AJ9),"TDD Cyber",IF(AND(LEFT($AJ9,4)="EGI ",ISNUMBER(MATCH(TRIM(MID($AJ9,5,99)),Lists!$AS$2:$AS$12,0))),TRIM(MID($AJ9,5,99)),IF(AND(LEFT($AJ9,4)="EGI ",ISNUMBER(MATCH(TRIM(MID($AJ9,5,99)),Lists!$T$2:$T$21,0))),INDEX(Lists!$U$2:$U$21,MATCH(TRIM(MID($AJ9,5,99)),Lists!$T$2:$T$21,0)),IF(OR(TRIM($J9)="",UPPER(TRIM($J9))="NA"),IFERROR(INDEX(Lists!$R$2:$R$9,MATCH(TRIM($G9),Lists!$Q$2:$Q$9,0)),"UNMAPPED"),IFERROR(INDEX(Lists!$U$2:$U$21,MATCH(TRIM($J9),Lists!$T$2:$T$21,0)),IFERROR(INDEX(Lists!$R$2:$R$9,MATCH(TRIM($G9),Lists!$Q$2:$Q$9,0)),"UNMAPPED"))))))))</f>
        <v>EGI</v>
      </c>
      <c r="AI9" s="534" t="b">
        <f>IF(TRIM($B9)="","",--OR(TRIM($L9)="Leadership",TRIM($K9)="Leadership"))</f>
        <v>0</v>
      </c>
      <c r="AJ9" s="534" t="str">
        <f>IF(TRIM($B9)="","",IF(COUNTIFS(Lists!$AN$2:$AN$22,TRIM($B9)&amp;" | "&amp;TRIM($D9),Lists!$AP$2:$AP$22,"&lt;&gt;"),INDEX(Lists!$AP$2:$AP$22,MATCH(TRIM($B9)&amp;" | "&amp;TRIM($D9),Lists!$AN$2:$AN$22,0)),IF($AI9=1,"Leadership",IFERROR(INDEX(Lists!$X$2:$X$21,MATCH(TRIM($L9),Lists!$W$2:$W$21,0)),IF(OR(TRIM($L9)="",LOWER(TRIM($L9))="na"),IF(TRIM($H9)="","Unassigned",TRIM($H9)),TRIM($L9))))))</f>
        <v>EGI</v>
      </c>
      <c r="AK9" s="534" t="str">
        <f>IF(TRIM($B9)="","",IF(COUNTIFS(Lists!$AN$2:$AN$22,TRIM($B9)&amp;" | "&amp;TRIM($D9),Lists!$AQ$2:$AQ$22,"&lt;&gt;"),INDEX(Lists!$AQ$2:$AQ$22,MATCH(TRIM($B9)&amp;" | "&amp;TRIM($D9),Lists!$AN$2:$AN$22,0)),IF(COUNTIF(Lists!$AF$2:$AF$8,$AJ9),$AJ9,IF(ISNUMBER(SEARCH("head of ",$D9)),"Head of Technology",IF(ISNUMBER(SEARCH("TDD BP",$D9)),"Business Partner",IF(OR(ISNUMBER(SEARCH("domain architect",$D9)),ISNUMBER(SEARCH("enterprise architect",$D9))),"Domain Architect",IF(ISNUMBER(SEARCH("delivery man",$D9)),"Delivery Manager",IF(OR(ISNUMBER(SEARCH("technology manager",$D9)),ISNUMBER(SEARCH("technology manger",$D9)),ISNUMBER(SEARCH("tech manager",$D9))),"Technology Manager","Squad"))))))))</f>
        <v>Squad</v>
      </c>
      <c r="AL9" s="534" t="str">
        <f>IF(TRIM($B9)="","",IF(AND($AM9=1,LEFT($AJ9,4)&lt;&gt;"EGI ",$AJ9&lt;&gt;"EGI"),IFERROR(INDEX(Lists!$Z$2:$Z$20,MATCH($AH9,Lists!$Y$2:$Y$20,0)),"EGI "&amp;$AH9),IF(COUNTIF(Lists!$AU$2:$AU$10,$AJ9),$AJ9,IF(OR(LEFT($AH9,3)="COE",$AH9="EGI"),$AJ9,IF($AK9&lt;&gt;"Squad",$AK9,$AJ9)))))</f>
        <v>EGI</v>
      </c>
      <c r="AM9" s="534" t="b">
        <f>IF(TRIM($B9)="","",--(UPPER(TRIM($K9))="EGI"))</f>
        <v>1</v>
      </c>
      <c r="AQ9" s="841" t="inlineStr">
        <is>
          <t>R0008</t>
        </is>
      </c>
      <c r="AZ9" s="841" t="n"/>
    </row>
    <row r="10" ht="18" customHeight="1" s="535">
      <c r="A10" s="842" t="inlineStr">
        <is>
          <t>C</t>
        </is>
      </c>
      <c r="B10" s="843" t="inlineStr">
        <is>
          <t>Areum Kim Lee</t>
        </is>
      </c>
      <c r="C10" s="842" t="inlineStr">
        <is>
          <t>C</t>
        </is>
      </c>
      <c r="D10" s="843" t="inlineStr">
        <is>
          <t>Program Manager (PEP13-EGI-UKG)</t>
        </is>
      </c>
      <c r="E10" s="843" t="inlineStr">
        <is>
          <t>Greg Cassis</t>
        </is>
      </c>
      <c r="F10" s="843" t="inlineStr">
        <is>
          <t>GM TDD, EGI</t>
        </is>
      </c>
      <c r="G10" s="844" t="inlineStr">
        <is>
          <t>EGI</t>
        </is>
      </c>
      <c r="H10" s="843" t="inlineStr">
        <is>
          <t>EGI</t>
        </is>
      </c>
      <c r="I10" s="843" t="inlineStr">
        <is>
          <t>EGI</t>
        </is>
      </c>
      <c r="J10" s="843" t="inlineStr">
        <is>
          <t>EGI</t>
        </is>
      </c>
      <c r="K10" s="843" t="inlineStr">
        <is>
          <t>EGI</t>
        </is>
      </c>
      <c r="L10" s="843" t="inlineStr">
        <is>
          <t>EGI</t>
        </is>
      </c>
      <c r="M10" s="843" t="n"/>
      <c r="N10" s="845" t="inlineStr">
        <is>
          <t>Australia</t>
        </is>
      </c>
      <c r="O10" s="846" t="inlineStr">
        <is>
          <t>NA</t>
        </is>
      </c>
      <c r="P10" s="847" t="n">
        <v>1</v>
      </c>
      <c r="Q10" s="847" t="n"/>
      <c r="R10" s="847" t="inlineStr">
        <is>
          <t>cxc</t>
        </is>
      </c>
      <c r="S10" s="847" t="inlineStr">
        <is>
          <t>Daily</t>
        </is>
      </c>
      <c r="T10" s="847" t="n">
        <v>1545.76</v>
      </c>
      <c r="U10" s="848" t="n">
        <v>0</v>
      </c>
      <c r="V10" s="849" t="n"/>
      <c r="W10" s="850" t="n"/>
      <c r="X10" s="847" t="n"/>
      <c r="Y10" s="850" t="n"/>
      <c r="Z10" s="851" t="n"/>
      <c r="AA10" s="850" t="n"/>
      <c r="AB10" s="852" t="n">
        <v>343158.72</v>
      </c>
      <c r="AE10" s="534">
        <f>IF(TRIM($B10)="","",IF(AND(N($P10)&gt;0,N($P10)&lt;1),N($AB10)*N($P10),N($AB10)))</f>
        <v>343158.72</v>
      </c>
      <c r="AF10" s="534" t="str">
        <f>IF(TRIM($B10)="","",IF(OR(ISNUMBER(SEARCH("vacant",$B10)),ISNUMBER(SEARCH("ring fenced",$B10)),LOWER(TRIM($B10))="remove"),"Vacant","Filled"))</f>
        <v>Filled</v>
      </c>
      <c r="AG10" s="534" t="b">
        <f>IF(TRIM($B10)="","",--ISNUMBER(SEARCH("ring fenced",$B10)))</f>
        <v>0</v>
      </c>
      <c r="AH10" s="534" t="str">
        <f>IF(TRIM($B10)="","",IF(COUNTIFS(Lists!$AN$2:$AN$22,TRIM($B10)&amp;" | "&amp;TRIM($D10),Lists!$AO$2:$AO$22,"&lt;&gt;"),INDEX(Lists!$AO$2:$AO$22,MATCH(TRIM($B10)&amp;" | "&amp;TRIM($D10),Lists!$AN$2:$AN$22,0)),IF(COUNTIF(Lists!$AR$2:$AR$3,$AJ10),"TDD Cyber",IF(AND(LEFT($AJ10,4)="EGI ",ISNUMBER(MATCH(TRIM(MID($AJ10,5,99)),Lists!$AS$2:$AS$12,0))),TRIM(MID($AJ10,5,99)),IF(AND(LEFT($AJ10,4)="EGI ",ISNUMBER(MATCH(TRIM(MID($AJ10,5,99)),Lists!$T$2:$T$21,0))),INDEX(Lists!$U$2:$U$21,MATCH(TRIM(MID($AJ10,5,99)),Lists!$T$2:$T$21,0)),IF(OR(TRIM($J10)="",UPPER(TRIM($J10))="NA"),IFERROR(INDEX(Lists!$R$2:$R$9,MATCH(TRIM($G10),Lists!$Q$2:$Q$9,0)),"UNMAPPED"),IFERROR(INDEX(Lists!$U$2:$U$21,MATCH(TRIM($J10),Lists!$T$2:$T$21,0)),IFERROR(INDEX(Lists!$R$2:$R$9,MATCH(TRIM($G10),Lists!$Q$2:$Q$9,0)),"UNMAPPED"))))))))</f>
        <v>EGI</v>
      </c>
      <c r="AI10" s="534" t="b">
        <f>IF(TRIM($B10)="","",--OR(TRIM($L10)="Leadership",TRIM($K10)="Leadership"))</f>
        <v>0</v>
      </c>
      <c r="AJ10" s="534" t="str">
        <f>IF(TRIM($B10)="","",IF(COUNTIFS(Lists!$AN$2:$AN$22,TRIM($B10)&amp;" | "&amp;TRIM($D10),Lists!$AP$2:$AP$22,"&lt;&gt;"),INDEX(Lists!$AP$2:$AP$22,MATCH(TRIM($B10)&amp;" | "&amp;TRIM($D10),Lists!$AN$2:$AN$22,0)),IF($AI10=1,"Leadership",IFERROR(INDEX(Lists!$X$2:$X$21,MATCH(TRIM($L10),Lists!$W$2:$W$21,0)),IF(OR(TRIM($L10)="",LOWER(TRIM($L10))="na"),IF(TRIM($H10)="","Unassigned",TRIM($H10)),TRIM($L10))))))</f>
        <v>EGI</v>
      </c>
      <c r="AK10" s="534" t="str">
        <f>IF(TRIM($B10)="","",IF(COUNTIFS(Lists!$AN$2:$AN$22,TRIM($B10)&amp;" | "&amp;TRIM($D10),Lists!$AQ$2:$AQ$22,"&lt;&gt;"),INDEX(Lists!$AQ$2:$AQ$22,MATCH(TRIM($B10)&amp;" | "&amp;TRIM($D10),Lists!$AN$2:$AN$22,0)),IF(COUNTIF(Lists!$AF$2:$AF$8,$AJ10),$AJ10,IF(ISNUMBER(SEARCH("head of ",$D10)),"Head of Technology",IF(ISNUMBER(SEARCH("TDD BP",$D10)),"Business Partner",IF(OR(ISNUMBER(SEARCH("domain architect",$D10)),ISNUMBER(SEARCH("enterprise architect",$D10))),"Domain Architect",IF(ISNUMBER(SEARCH("delivery man",$D10)),"Delivery Manager",IF(OR(ISNUMBER(SEARCH("technology manager",$D10)),ISNUMBER(SEARCH("technology manger",$D10)),ISNUMBER(SEARCH("tech manager",$D10))),"Technology Manager","Squad"))))))))</f>
        <v>Squad</v>
      </c>
      <c r="AL10" s="534" t="str">
        <f>IF(TRIM($B10)="","",IF(AND($AM10=1,LEFT($AJ10,4)&lt;&gt;"EGI ",$AJ10&lt;&gt;"EGI"),IFERROR(INDEX(Lists!$Z$2:$Z$20,MATCH($AH10,Lists!$Y$2:$Y$20,0)),"EGI "&amp;$AH10),IF(COUNTIF(Lists!$AU$2:$AU$10,$AJ10),$AJ10,IF(OR(LEFT($AH10,3)="COE",$AH10="EGI"),$AJ10,IF($AK10&lt;&gt;"Squad",$AK10,$AJ10)))))</f>
        <v>EGI</v>
      </c>
      <c r="AM10" s="534" t="b">
        <f>IF(TRIM($B10)="","",--(UPPER(TRIM($K10))="EGI"))</f>
        <v>1</v>
      </c>
      <c r="AQ10" s="841" t="inlineStr">
        <is>
          <t>R0009</t>
        </is>
      </c>
      <c r="AZ10" s="841" t="n"/>
    </row>
    <row r="11" ht="18" customHeight="1" s="535">
      <c r="A11" s="842" t="inlineStr">
        <is>
          <t>C</t>
        </is>
      </c>
      <c r="B11" s="843" t="inlineStr">
        <is>
          <t>James Munt</t>
        </is>
      </c>
      <c r="C11" s="842" t="inlineStr">
        <is>
          <t>C</t>
        </is>
      </c>
      <c r="D11" s="843" t="inlineStr">
        <is>
          <t>Program Manager Tech &amp; P&amp;C</t>
        </is>
      </c>
      <c r="E11" s="843" t="inlineStr">
        <is>
          <t>Greg Cassis</t>
        </is>
      </c>
      <c r="F11" s="843" t="inlineStr">
        <is>
          <t>GM TDD, EGI</t>
        </is>
      </c>
      <c r="G11" s="844" t="inlineStr">
        <is>
          <t>EGI</t>
        </is>
      </c>
      <c r="H11" s="843" t="inlineStr">
        <is>
          <t>EGI</t>
        </is>
      </c>
      <c r="I11" s="843" t="inlineStr">
        <is>
          <t>EGI</t>
        </is>
      </c>
      <c r="J11" s="843" t="inlineStr">
        <is>
          <t>EGI</t>
        </is>
      </c>
      <c r="K11" s="843" t="inlineStr">
        <is>
          <t>EGI</t>
        </is>
      </c>
      <c r="L11" s="843" t="inlineStr">
        <is>
          <t>EGI</t>
        </is>
      </c>
      <c r="M11" s="843" t="n"/>
      <c r="N11" s="845" t="inlineStr">
        <is>
          <t>Australia</t>
        </is>
      </c>
      <c r="O11" s="846" t="inlineStr">
        <is>
          <t>na</t>
        </is>
      </c>
      <c r="P11" s="847" t="n">
        <v>1</v>
      </c>
      <c r="Q11" s="846" t="n"/>
      <c r="R11" s="847" t="inlineStr">
        <is>
          <t>cxc</t>
        </is>
      </c>
      <c r="S11" s="847" t="inlineStr">
        <is>
          <t>daily</t>
        </is>
      </c>
      <c r="T11" s="847" t="n">
        <v>1200</v>
      </c>
      <c r="U11" s="848" t="n">
        <v>0</v>
      </c>
      <c r="V11" s="849" t="n"/>
      <c r="W11" s="850" t="n"/>
      <c r="X11" s="847" t="n"/>
      <c r="Y11" s="850" t="n"/>
      <c r="Z11" s="851" t="n"/>
      <c r="AA11" s="850" t="n"/>
      <c r="AB11" s="852" t="n">
        <v>266400</v>
      </c>
      <c r="AE11" s="534">
        <f>IF(TRIM($B11)="","",IF(AND(N($P11)&gt;0,N($P11)&lt;1),N($AB11)*N($P11),N($AB11)))</f>
        <v>266400</v>
      </c>
      <c r="AF11" s="534" t="str">
        <f>IF(TRIM($B11)="","",IF(OR(ISNUMBER(SEARCH("vacant",$B11)),ISNUMBER(SEARCH("ring fenced",$B11)),LOWER(TRIM($B11))="remove"),"Vacant","Filled"))</f>
        <v>Filled</v>
      </c>
      <c r="AG11" s="534" t="b">
        <f>IF(TRIM($B11)="","",--ISNUMBER(SEARCH("ring fenced",$B11)))</f>
        <v>0</v>
      </c>
      <c r="AH11" s="534" t="str">
        <f>IF(TRIM($B11)="","",IF(COUNTIFS(Lists!$AN$2:$AN$22,TRIM($B11)&amp;" | "&amp;TRIM($D11),Lists!$AO$2:$AO$22,"&lt;&gt;"),INDEX(Lists!$AO$2:$AO$22,MATCH(TRIM($B11)&amp;" | "&amp;TRIM($D11),Lists!$AN$2:$AN$22,0)),IF(COUNTIF(Lists!$AR$2:$AR$3,$AJ11),"TDD Cyber",IF(AND(LEFT($AJ11,4)="EGI ",ISNUMBER(MATCH(TRIM(MID($AJ11,5,99)),Lists!$AS$2:$AS$12,0))),TRIM(MID($AJ11,5,99)),IF(AND(LEFT($AJ11,4)="EGI ",ISNUMBER(MATCH(TRIM(MID($AJ11,5,99)),Lists!$T$2:$T$21,0))),INDEX(Lists!$U$2:$U$21,MATCH(TRIM(MID($AJ11,5,99)),Lists!$T$2:$T$21,0)),IF(OR(TRIM($J11)="",UPPER(TRIM($J11))="NA"),IFERROR(INDEX(Lists!$R$2:$R$9,MATCH(TRIM($G11),Lists!$Q$2:$Q$9,0)),"UNMAPPED"),IFERROR(INDEX(Lists!$U$2:$U$21,MATCH(TRIM($J11),Lists!$T$2:$T$21,0)),IFERROR(INDEX(Lists!$R$2:$R$9,MATCH(TRIM($G11),Lists!$Q$2:$Q$9,0)),"UNMAPPED"))))))))</f>
        <v>EGI</v>
      </c>
      <c r="AI11" s="534" t="b">
        <f>IF(TRIM($B11)="","",--OR(TRIM($L11)="Leadership",TRIM($K11)="Leadership"))</f>
        <v>0</v>
      </c>
      <c r="AJ11" s="534" t="str">
        <f>IF(TRIM($B11)="","",IF(COUNTIFS(Lists!$AN$2:$AN$22,TRIM($B11)&amp;" | "&amp;TRIM($D11),Lists!$AP$2:$AP$22,"&lt;&gt;"),INDEX(Lists!$AP$2:$AP$22,MATCH(TRIM($B11)&amp;" | "&amp;TRIM($D11),Lists!$AN$2:$AN$22,0)),IF($AI11=1,"Leadership",IFERROR(INDEX(Lists!$X$2:$X$21,MATCH(TRIM($L11),Lists!$W$2:$W$21,0)),IF(OR(TRIM($L11)="",LOWER(TRIM($L11))="na"),IF(TRIM($H11)="","Unassigned",TRIM($H11)),TRIM($L11))))))</f>
        <v>EGI</v>
      </c>
      <c r="AK11" s="534" t="str">
        <f>IF(TRIM($B11)="","",IF(COUNTIFS(Lists!$AN$2:$AN$22,TRIM($B11)&amp;" | "&amp;TRIM($D11),Lists!$AQ$2:$AQ$22,"&lt;&gt;"),INDEX(Lists!$AQ$2:$AQ$22,MATCH(TRIM($B11)&amp;" | "&amp;TRIM($D11),Lists!$AN$2:$AN$22,0)),IF(COUNTIF(Lists!$AF$2:$AF$8,$AJ11),$AJ11,IF(ISNUMBER(SEARCH("head of ",$D11)),"Head of Technology",IF(ISNUMBER(SEARCH("TDD BP",$D11)),"Business Partner",IF(OR(ISNUMBER(SEARCH("domain architect",$D11)),ISNUMBER(SEARCH("enterprise architect",$D11))),"Domain Architect",IF(ISNUMBER(SEARCH("delivery man",$D11)),"Delivery Manager",IF(OR(ISNUMBER(SEARCH("technology manager",$D11)),ISNUMBER(SEARCH("technology manger",$D11)),ISNUMBER(SEARCH("tech manager",$D11))),"Technology Manager","Squad"))))))))</f>
        <v>Squad</v>
      </c>
      <c r="AL11" s="534" t="str">
        <f>IF(TRIM($B11)="","",IF(AND($AM11=1,LEFT($AJ11,4)&lt;&gt;"EGI ",$AJ11&lt;&gt;"EGI"),IFERROR(INDEX(Lists!$Z$2:$Z$20,MATCH($AH11,Lists!$Y$2:$Y$20,0)),"EGI "&amp;$AH11),IF(COUNTIF(Lists!$AU$2:$AU$10,$AJ11),$AJ11,IF(OR(LEFT($AH11,3)="COE",$AH11="EGI"),$AJ11,IF($AK11&lt;&gt;"Squad",$AK11,$AJ11)))))</f>
        <v>EGI</v>
      </c>
      <c r="AM11" s="534" t="b">
        <f>IF(TRIM($B11)="","",--(UPPER(TRIM($K11))="EGI"))</f>
        <v>1</v>
      </c>
      <c r="AQ11" s="841" t="inlineStr">
        <is>
          <t>R0010</t>
        </is>
      </c>
      <c r="AZ11" s="841" t="n"/>
    </row>
    <row r="12" ht="18" customHeight="1" s="535">
      <c r="A12" s="842" t="inlineStr">
        <is>
          <t>c</t>
        </is>
      </c>
      <c r="B12" s="843" t="inlineStr">
        <is>
          <t>Jason McNamara</t>
        </is>
      </c>
      <c r="C12" s="842" t="inlineStr">
        <is>
          <t>c</t>
        </is>
      </c>
      <c r="D12" s="843" t="inlineStr">
        <is>
          <t>Project Manager Retail</t>
        </is>
      </c>
      <c r="E12" s="843" t="inlineStr">
        <is>
          <t>Greg Cassis</t>
        </is>
      </c>
      <c r="F12" s="843" t="inlineStr">
        <is>
          <t>GM TDD, EGI</t>
        </is>
      </c>
      <c r="G12" s="844" t="inlineStr">
        <is>
          <t>EGI</t>
        </is>
      </c>
      <c r="H12" s="843" t="inlineStr">
        <is>
          <t>EGI</t>
        </is>
      </c>
      <c r="I12" s="843" t="inlineStr">
        <is>
          <t>EGI</t>
        </is>
      </c>
      <c r="J12" s="843" t="inlineStr">
        <is>
          <t>EGI</t>
        </is>
      </c>
      <c r="K12" s="843" t="inlineStr">
        <is>
          <t>EGI</t>
        </is>
      </c>
      <c r="L12" s="843" t="inlineStr">
        <is>
          <t>EGI</t>
        </is>
      </c>
      <c r="M12" s="843" t="n"/>
      <c r="N12" s="845" t="inlineStr">
        <is>
          <t>Australia</t>
        </is>
      </c>
      <c r="O12" s="846" t="inlineStr">
        <is>
          <t>na</t>
        </is>
      </c>
      <c r="P12" s="847" t="n">
        <v>1</v>
      </c>
      <c r="Q12" s="847" t="n"/>
      <c r="R12" s="847" t="inlineStr">
        <is>
          <t>cxc</t>
        </is>
      </c>
      <c r="S12" s="847" t="inlineStr">
        <is>
          <t>daily</t>
        </is>
      </c>
      <c r="T12" s="847" t="n">
        <v>2200</v>
      </c>
      <c r="U12" s="848" t="n">
        <v>0</v>
      </c>
      <c r="V12" s="849" t="n"/>
      <c r="W12" s="850" t="n"/>
      <c r="X12" s="847" t="n"/>
      <c r="Y12" s="850" t="n"/>
      <c r="Z12" s="851" t="n"/>
      <c r="AA12" s="850" t="n"/>
      <c r="AB12" s="852" t="n">
        <v>488400</v>
      </c>
      <c r="AE12" s="534">
        <f>IF(TRIM($B12)="","",IF(AND(N($P12)&gt;0,N($P12)&lt;1),N($AB12)*N($P12),N($AB12)))</f>
        <v>488400</v>
      </c>
      <c r="AF12" s="534" t="str">
        <f>IF(TRIM($B12)="","",IF(OR(ISNUMBER(SEARCH("vacant",$B12)),ISNUMBER(SEARCH("ring fenced",$B12)),LOWER(TRIM($B12))="remove"),"Vacant","Filled"))</f>
        <v>Filled</v>
      </c>
      <c r="AG12" s="534" t="b">
        <f>IF(TRIM($B12)="","",--ISNUMBER(SEARCH("ring fenced",$B12)))</f>
        <v>0</v>
      </c>
      <c r="AH12" s="534" t="str">
        <f>IF(TRIM($B12)="","",IF(COUNTIFS(Lists!$AN$2:$AN$22,TRIM($B12)&amp;" | "&amp;TRIM($D12),Lists!$AO$2:$AO$22,"&lt;&gt;"),INDEX(Lists!$AO$2:$AO$22,MATCH(TRIM($B12)&amp;" | "&amp;TRIM($D12),Lists!$AN$2:$AN$22,0)),IF(COUNTIF(Lists!$AR$2:$AR$3,$AJ12),"TDD Cyber",IF(AND(LEFT($AJ12,4)="EGI ",ISNUMBER(MATCH(TRIM(MID($AJ12,5,99)),Lists!$AS$2:$AS$12,0))),TRIM(MID($AJ12,5,99)),IF(AND(LEFT($AJ12,4)="EGI ",ISNUMBER(MATCH(TRIM(MID($AJ12,5,99)),Lists!$T$2:$T$21,0))),INDEX(Lists!$U$2:$U$21,MATCH(TRIM(MID($AJ12,5,99)),Lists!$T$2:$T$21,0)),IF(OR(TRIM($J12)="",UPPER(TRIM($J12))="NA"),IFERROR(INDEX(Lists!$R$2:$R$9,MATCH(TRIM($G12),Lists!$Q$2:$Q$9,0)),"UNMAPPED"),IFERROR(INDEX(Lists!$U$2:$U$21,MATCH(TRIM($J12),Lists!$T$2:$T$21,0)),IFERROR(INDEX(Lists!$R$2:$R$9,MATCH(TRIM($G12),Lists!$Q$2:$Q$9,0)),"UNMAPPED"))))))))</f>
        <v>EGI</v>
      </c>
      <c r="AI12" s="534" t="b">
        <f>IF(TRIM($B12)="","",--OR(TRIM($L12)="Leadership",TRIM($K12)="Leadership"))</f>
        <v>0</v>
      </c>
      <c r="AJ12" s="534" t="str">
        <f>IF(TRIM($B12)="","",IF(COUNTIFS(Lists!$AN$2:$AN$22,TRIM($B12)&amp;" | "&amp;TRIM($D12),Lists!$AP$2:$AP$22,"&lt;&gt;"),INDEX(Lists!$AP$2:$AP$22,MATCH(TRIM($B12)&amp;" | "&amp;TRIM($D12),Lists!$AN$2:$AN$22,0)),IF($AI12=1,"Leadership",IFERROR(INDEX(Lists!$X$2:$X$21,MATCH(TRIM($L12),Lists!$W$2:$W$21,0)),IF(OR(TRIM($L12)="",LOWER(TRIM($L12))="na"),IF(TRIM($H12)="","Unassigned",TRIM($H12)),TRIM($L12))))))</f>
        <v>EGI</v>
      </c>
      <c r="AK12" s="534" t="str">
        <f>IF(TRIM($B12)="","",IF(COUNTIFS(Lists!$AN$2:$AN$22,TRIM($B12)&amp;" | "&amp;TRIM($D12),Lists!$AQ$2:$AQ$22,"&lt;&gt;"),INDEX(Lists!$AQ$2:$AQ$22,MATCH(TRIM($B12)&amp;" | "&amp;TRIM($D12),Lists!$AN$2:$AN$22,0)),IF(COUNTIF(Lists!$AF$2:$AF$8,$AJ12),$AJ12,IF(ISNUMBER(SEARCH("head of ",$D12)),"Head of Technology",IF(ISNUMBER(SEARCH("TDD BP",$D12)),"Business Partner",IF(OR(ISNUMBER(SEARCH("domain architect",$D12)),ISNUMBER(SEARCH("enterprise architect",$D12))),"Domain Architect",IF(ISNUMBER(SEARCH("delivery man",$D12)),"Delivery Manager",IF(OR(ISNUMBER(SEARCH("technology manager",$D12)),ISNUMBER(SEARCH("technology manger",$D12)),ISNUMBER(SEARCH("tech manager",$D12))),"Technology Manager","Squad"))))))))</f>
        <v>Squad</v>
      </c>
      <c r="AL12" s="534" t="str">
        <f>IF(TRIM($B12)="","",IF(AND($AM12=1,LEFT($AJ12,4)&lt;&gt;"EGI ",$AJ12&lt;&gt;"EGI"),IFERROR(INDEX(Lists!$Z$2:$Z$20,MATCH($AH12,Lists!$Y$2:$Y$20,0)),"EGI "&amp;$AH12),IF(COUNTIF(Lists!$AU$2:$AU$10,$AJ12),$AJ12,IF(OR(LEFT($AH12,3)="COE",$AH12="EGI"),$AJ12,IF($AK12&lt;&gt;"Squad",$AK12,$AJ12)))))</f>
        <v>EGI</v>
      </c>
      <c r="AM12" s="534" t="b">
        <f>IF(TRIM($B12)="","",--(UPPER(TRIM($K12))="EGI"))</f>
        <v>1</v>
      </c>
      <c r="AQ12" s="841" t="inlineStr">
        <is>
          <t>R0011</t>
        </is>
      </c>
      <c r="AZ12" s="841" t="n"/>
    </row>
    <row r="13" ht="18" customHeight="1" s="535">
      <c r="A13" s="842" t="inlineStr">
        <is>
          <t>c</t>
        </is>
      </c>
      <c r="B13" s="843" t="inlineStr">
        <is>
          <t>Karl Reyneke</t>
        </is>
      </c>
      <c r="C13" s="842" t="inlineStr">
        <is>
          <t>c</t>
        </is>
      </c>
      <c r="D13" s="843" t="inlineStr">
        <is>
          <t>Strategic Delivery Consultant</t>
        </is>
      </c>
      <c r="E13" s="843" t="inlineStr">
        <is>
          <t>Greg Cassis</t>
        </is>
      </c>
      <c r="F13" s="843" t="inlineStr">
        <is>
          <t>GM TDD, EGI</t>
        </is>
      </c>
      <c r="G13" s="844" t="inlineStr">
        <is>
          <t>EGI</t>
        </is>
      </c>
      <c r="H13" s="843" t="inlineStr">
        <is>
          <t>EGI</t>
        </is>
      </c>
      <c r="I13" s="843" t="inlineStr">
        <is>
          <t>EGI</t>
        </is>
      </c>
      <c r="J13" s="843" t="inlineStr">
        <is>
          <t>EGI</t>
        </is>
      </c>
      <c r="K13" s="843" t="inlineStr">
        <is>
          <t>EGI</t>
        </is>
      </c>
      <c r="L13" s="843" t="inlineStr">
        <is>
          <t>EGI</t>
        </is>
      </c>
      <c r="M13" s="843" t="n"/>
      <c r="N13" s="845" t="inlineStr">
        <is>
          <t>australia</t>
        </is>
      </c>
      <c r="O13" s="846" t="inlineStr">
        <is>
          <t>na</t>
        </is>
      </c>
      <c r="P13" s="847" t="n">
        <v>1</v>
      </c>
      <c r="Q13" s="846" t="n"/>
      <c r="R13" s="847" t="inlineStr">
        <is>
          <t>cxc</t>
        </is>
      </c>
      <c r="S13" s="847" t="inlineStr">
        <is>
          <t>daily</t>
        </is>
      </c>
      <c r="T13" s="847" t="n">
        <v>1350</v>
      </c>
      <c r="U13" s="848" t="n">
        <v>0</v>
      </c>
      <c r="V13" s="849" t="n"/>
      <c r="W13" s="850" t="n"/>
      <c r="X13" s="847" t="n"/>
      <c r="Y13" s="850" t="n"/>
      <c r="Z13" s="851" t="n"/>
      <c r="AA13" s="850" t="n"/>
      <c r="AB13" s="852" t="n">
        <v>299700</v>
      </c>
      <c r="AE13" s="534">
        <f>IF(TRIM($B13)="","",IF(AND(N($P13)&gt;0,N($P13)&lt;1),N($AB13)*N($P13),N($AB13)))</f>
        <v>299700</v>
      </c>
      <c r="AF13" s="534" t="str">
        <f>IF(TRIM($B13)="","",IF(OR(ISNUMBER(SEARCH("vacant",$B13)),ISNUMBER(SEARCH("ring fenced",$B13)),LOWER(TRIM($B13))="remove"),"Vacant","Filled"))</f>
        <v>Filled</v>
      </c>
      <c r="AG13" s="534" t="b">
        <f>IF(TRIM($B13)="","",--ISNUMBER(SEARCH("ring fenced",$B13)))</f>
        <v>0</v>
      </c>
      <c r="AH13" s="534" t="str">
        <f>IF(TRIM($B13)="","",IF(COUNTIFS(Lists!$AN$2:$AN$22,TRIM($B13)&amp;" | "&amp;TRIM($D13),Lists!$AO$2:$AO$22,"&lt;&gt;"),INDEX(Lists!$AO$2:$AO$22,MATCH(TRIM($B13)&amp;" | "&amp;TRIM($D13),Lists!$AN$2:$AN$22,0)),IF(COUNTIF(Lists!$AR$2:$AR$3,$AJ13),"TDD Cyber",IF(AND(LEFT($AJ13,4)="EGI ",ISNUMBER(MATCH(TRIM(MID($AJ13,5,99)),Lists!$AS$2:$AS$12,0))),TRIM(MID($AJ13,5,99)),IF(AND(LEFT($AJ13,4)="EGI ",ISNUMBER(MATCH(TRIM(MID($AJ13,5,99)),Lists!$T$2:$T$21,0))),INDEX(Lists!$U$2:$U$21,MATCH(TRIM(MID($AJ13,5,99)),Lists!$T$2:$T$21,0)),IF(OR(TRIM($J13)="",UPPER(TRIM($J13))="NA"),IFERROR(INDEX(Lists!$R$2:$R$9,MATCH(TRIM($G13),Lists!$Q$2:$Q$9,0)),"UNMAPPED"),IFERROR(INDEX(Lists!$U$2:$U$21,MATCH(TRIM($J13),Lists!$T$2:$T$21,0)),IFERROR(INDEX(Lists!$R$2:$R$9,MATCH(TRIM($G13),Lists!$Q$2:$Q$9,0)),"UNMAPPED"))))))))</f>
        <v>EGI</v>
      </c>
      <c r="AI13" s="534" t="b">
        <f>IF(TRIM($B13)="","",--OR(TRIM($L13)="Leadership",TRIM($K13)="Leadership"))</f>
        <v>0</v>
      </c>
      <c r="AJ13" s="534" t="str">
        <f>IF(TRIM($B13)="","",IF(COUNTIFS(Lists!$AN$2:$AN$22,TRIM($B13)&amp;" | "&amp;TRIM($D13),Lists!$AP$2:$AP$22,"&lt;&gt;"),INDEX(Lists!$AP$2:$AP$22,MATCH(TRIM($B13)&amp;" | "&amp;TRIM($D13),Lists!$AN$2:$AN$22,0)),IF($AI13=1,"Leadership",IFERROR(INDEX(Lists!$X$2:$X$21,MATCH(TRIM($L13),Lists!$W$2:$W$21,0)),IF(OR(TRIM($L13)="",LOWER(TRIM($L13))="na"),IF(TRIM($H13)="","Unassigned",TRIM($H13)),TRIM($L13))))))</f>
        <v>EGI</v>
      </c>
      <c r="AK13" s="534" t="str">
        <f>IF(TRIM($B13)="","",IF(COUNTIFS(Lists!$AN$2:$AN$22,TRIM($B13)&amp;" | "&amp;TRIM($D13),Lists!$AQ$2:$AQ$22,"&lt;&gt;"),INDEX(Lists!$AQ$2:$AQ$22,MATCH(TRIM($B13)&amp;" | "&amp;TRIM($D13),Lists!$AN$2:$AN$22,0)),IF(COUNTIF(Lists!$AF$2:$AF$8,$AJ13),$AJ13,IF(ISNUMBER(SEARCH("head of ",$D13)),"Head of Technology",IF(ISNUMBER(SEARCH("TDD BP",$D13)),"Business Partner",IF(OR(ISNUMBER(SEARCH("domain architect",$D13)),ISNUMBER(SEARCH("enterprise architect",$D13))),"Domain Architect",IF(ISNUMBER(SEARCH("delivery man",$D13)),"Delivery Manager",IF(OR(ISNUMBER(SEARCH("technology manager",$D13)),ISNUMBER(SEARCH("technology manger",$D13)),ISNUMBER(SEARCH("tech manager",$D13))),"Technology Manager","Squad"))))))))</f>
        <v>Squad</v>
      </c>
      <c r="AL13" s="534" t="str">
        <f>IF(TRIM($B13)="","",IF(AND($AM13=1,LEFT($AJ13,4)&lt;&gt;"EGI ",$AJ13&lt;&gt;"EGI"),IFERROR(INDEX(Lists!$Z$2:$Z$20,MATCH($AH13,Lists!$Y$2:$Y$20,0)),"EGI "&amp;$AH13),IF(COUNTIF(Lists!$AU$2:$AU$10,$AJ13),$AJ13,IF(OR(LEFT($AH13,3)="COE",$AH13="EGI"),$AJ13,IF($AK13&lt;&gt;"Squad",$AK13,$AJ13)))))</f>
        <v>EGI</v>
      </c>
      <c r="AM13" s="534" t="b">
        <f>IF(TRIM($B13)="","",--(UPPER(TRIM($K13))="EGI"))</f>
        <v>1</v>
      </c>
      <c r="AQ13" s="841" t="inlineStr">
        <is>
          <t>R0012</t>
        </is>
      </c>
      <c r="AZ13" s="841" t="n"/>
    </row>
    <row r="14" ht="18" customHeight="1" s="535">
      <c r="A14" s="842" t="inlineStr">
        <is>
          <t>c</t>
        </is>
      </c>
      <c r="B14" s="843" t="inlineStr">
        <is>
          <t>michelle Siegman</t>
        </is>
      </c>
      <c r="C14" s="842" t="inlineStr">
        <is>
          <t>c</t>
        </is>
      </c>
      <c r="D14" s="843" t="inlineStr">
        <is>
          <t>Strategic Delivery Consultant</t>
        </is>
      </c>
      <c r="E14" s="843" t="inlineStr">
        <is>
          <t>Greg Cassis</t>
        </is>
      </c>
      <c r="F14" s="843" t="inlineStr">
        <is>
          <t>GM TDD, EGI</t>
        </is>
      </c>
      <c r="G14" s="844" t="inlineStr">
        <is>
          <t>EGI</t>
        </is>
      </c>
      <c r="H14" s="843" t="inlineStr">
        <is>
          <t>EGI</t>
        </is>
      </c>
      <c r="I14" s="843" t="inlineStr">
        <is>
          <t>EGI</t>
        </is>
      </c>
      <c r="J14" s="843" t="inlineStr">
        <is>
          <t>EGI</t>
        </is>
      </c>
      <c r="K14" s="843" t="inlineStr">
        <is>
          <t>EGI</t>
        </is>
      </c>
      <c r="L14" s="843" t="inlineStr">
        <is>
          <t>EGI</t>
        </is>
      </c>
      <c r="M14" s="843" t="n"/>
      <c r="N14" s="845" t="inlineStr">
        <is>
          <t>Australia</t>
        </is>
      </c>
      <c r="O14" s="846" t="inlineStr">
        <is>
          <t>na</t>
        </is>
      </c>
      <c r="P14" s="847" t="n">
        <v>1</v>
      </c>
      <c r="Q14" s="846" t="n"/>
      <c r="R14" s="847" t="inlineStr">
        <is>
          <t>cxc</t>
        </is>
      </c>
      <c r="S14" s="847" t="inlineStr">
        <is>
          <t>Daily</t>
        </is>
      </c>
      <c r="T14" s="847" t="n">
        <v>1038</v>
      </c>
      <c r="U14" s="848" t="n">
        <v>0</v>
      </c>
      <c r="V14" s="849" t="n"/>
      <c r="W14" s="850" t="n"/>
      <c r="X14" s="847" t="n"/>
      <c r="Y14" s="850" t="n"/>
      <c r="Z14" s="851" t="n"/>
      <c r="AA14" s="850" t="n"/>
      <c r="AB14" s="852" t="n">
        <v>230436</v>
      </c>
      <c r="AE14" s="534">
        <f>IF(TRIM($B14)="","",IF(AND(N($P14)&gt;0,N($P14)&lt;1),N($AB14)*N($P14),N($AB14)))</f>
        <v>230436</v>
      </c>
      <c r="AF14" s="534" t="str">
        <f>IF(TRIM($B14)="","",IF(OR(ISNUMBER(SEARCH("vacant",$B14)),ISNUMBER(SEARCH("ring fenced",$B14)),LOWER(TRIM($B14))="remove"),"Vacant","Filled"))</f>
        <v>Filled</v>
      </c>
      <c r="AG14" s="534" t="b">
        <f>IF(TRIM($B14)="","",--ISNUMBER(SEARCH("ring fenced",$B14)))</f>
        <v>0</v>
      </c>
      <c r="AH14" s="534" t="str">
        <f>IF(TRIM($B14)="","",IF(COUNTIFS(Lists!$AN$2:$AN$22,TRIM($B14)&amp;" | "&amp;TRIM($D14),Lists!$AO$2:$AO$22,"&lt;&gt;"),INDEX(Lists!$AO$2:$AO$22,MATCH(TRIM($B14)&amp;" | "&amp;TRIM($D14),Lists!$AN$2:$AN$22,0)),IF(COUNTIF(Lists!$AR$2:$AR$3,$AJ14),"TDD Cyber",IF(AND(LEFT($AJ14,4)="EGI ",ISNUMBER(MATCH(TRIM(MID($AJ14,5,99)),Lists!$AS$2:$AS$12,0))),TRIM(MID($AJ14,5,99)),IF(AND(LEFT($AJ14,4)="EGI ",ISNUMBER(MATCH(TRIM(MID($AJ14,5,99)),Lists!$T$2:$T$21,0))),INDEX(Lists!$U$2:$U$21,MATCH(TRIM(MID($AJ14,5,99)),Lists!$T$2:$T$21,0)),IF(OR(TRIM($J14)="",UPPER(TRIM($J14))="NA"),IFERROR(INDEX(Lists!$R$2:$R$9,MATCH(TRIM($G14),Lists!$Q$2:$Q$9,0)),"UNMAPPED"),IFERROR(INDEX(Lists!$U$2:$U$21,MATCH(TRIM($J14),Lists!$T$2:$T$21,0)),IFERROR(INDEX(Lists!$R$2:$R$9,MATCH(TRIM($G14),Lists!$Q$2:$Q$9,0)),"UNMAPPED"))))))))</f>
        <v>EGI</v>
      </c>
      <c r="AI14" s="534" t="b">
        <f>IF(TRIM($B14)="","",--OR(TRIM($L14)="Leadership",TRIM($K14)="Leadership"))</f>
        <v>0</v>
      </c>
      <c r="AJ14" s="534" t="str">
        <f>IF(TRIM($B14)="","",IF(COUNTIFS(Lists!$AN$2:$AN$22,TRIM($B14)&amp;" | "&amp;TRIM($D14),Lists!$AP$2:$AP$22,"&lt;&gt;"),INDEX(Lists!$AP$2:$AP$22,MATCH(TRIM($B14)&amp;" | "&amp;TRIM($D14),Lists!$AN$2:$AN$22,0)),IF($AI14=1,"Leadership",IFERROR(INDEX(Lists!$X$2:$X$21,MATCH(TRIM($L14),Lists!$W$2:$W$21,0)),IF(OR(TRIM($L14)="",LOWER(TRIM($L14))="na"),IF(TRIM($H14)="","Unassigned",TRIM($H14)),TRIM($L14))))))</f>
        <v>EGI</v>
      </c>
      <c r="AK14" s="534" t="str">
        <f>IF(TRIM($B14)="","",IF(COUNTIFS(Lists!$AN$2:$AN$22,TRIM($B14)&amp;" | "&amp;TRIM($D14),Lists!$AQ$2:$AQ$22,"&lt;&gt;"),INDEX(Lists!$AQ$2:$AQ$22,MATCH(TRIM($B14)&amp;" | "&amp;TRIM($D14),Lists!$AN$2:$AN$22,0)),IF(COUNTIF(Lists!$AF$2:$AF$8,$AJ14),$AJ14,IF(ISNUMBER(SEARCH("head of ",$D14)),"Head of Technology",IF(ISNUMBER(SEARCH("TDD BP",$D14)),"Business Partner",IF(OR(ISNUMBER(SEARCH("domain architect",$D14)),ISNUMBER(SEARCH("enterprise architect",$D14))),"Domain Architect",IF(ISNUMBER(SEARCH("delivery man",$D14)),"Delivery Manager",IF(OR(ISNUMBER(SEARCH("technology manager",$D14)),ISNUMBER(SEARCH("technology manger",$D14)),ISNUMBER(SEARCH("tech manager",$D14))),"Technology Manager","Squad"))))))))</f>
        <v>Squad</v>
      </c>
      <c r="AL14" s="534" t="str">
        <f>IF(TRIM($B14)="","",IF(AND($AM14=1,LEFT($AJ14,4)&lt;&gt;"EGI ",$AJ14&lt;&gt;"EGI"),IFERROR(INDEX(Lists!$Z$2:$Z$20,MATCH($AH14,Lists!$Y$2:$Y$20,0)),"EGI "&amp;$AH14),IF(COUNTIF(Lists!$AU$2:$AU$10,$AJ14),$AJ14,IF(OR(LEFT($AH14,3)="COE",$AH14="EGI"),$AJ14,IF($AK14&lt;&gt;"Squad",$AK14,$AJ14)))))</f>
        <v>EGI</v>
      </c>
      <c r="AM14" s="534" t="b">
        <f>IF(TRIM($B14)="","",--(UPPER(TRIM($K14))="EGI"))</f>
        <v>1</v>
      </c>
      <c r="AQ14" s="841" t="inlineStr">
        <is>
          <t>R0013</t>
        </is>
      </c>
      <c r="AZ14" s="841" t="n"/>
    </row>
    <row r="15" ht="18" customHeight="1" s="535">
      <c r="A15" s="842" t="inlineStr">
        <is>
          <t>c</t>
        </is>
      </c>
      <c r="B15" s="843" t="inlineStr">
        <is>
          <t>vijay Solanki</t>
        </is>
      </c>
      <c r="C15" s="842" t="inlineStr">
        <is>
          <t>c</t>
        </is>
      </c>
      <c r="D15" s="843" t="inlineStr">
        <is>
          <t>Project Manager Deployment</t>
        </is>
      </c>
      <c r="E15" s="843" t="inlineStr">
        <is>
          <t>greg Cassis</t>
        </is>
      </c>
      <c r="F15" s="843" t="n"/>
      <c r="G15" s="844" t="inlineStr">
        <is>
          <t>EGI</t>
        </is>
      </c>
      <c r="H15" s="843" t="n"/>
      <c r="I15" s="843" t="n"/>
      <c r="J15" s="843" t="n"/>
      <c r="K15" s="843" t="inlineStr">
        <is>
          <t>EGI</t>
        </is>
      </c>
      <c r="L15" s="843" t="inlineStr">
        <is>
          <t>EGI</t>
        </is>
      </c>
      <c r="M15" s="843" t="n"/>
      <c r="N15" s="845" t="inlineStr">
        <is>
          <t>Australia</t>
        </is>
      </c>
      <c r="O15" s="846" t="inlineStr">
        <is>
          <t>na</t>
        </is>
      </c>
      <c r="P15" s="847" t="n">
        <v>1</v>
      </c>
      <c r="Q15" s="847" t="n"/>
      <c r="R15" s="847" t="inlineStr">
        <is>
          <t>cxc</t>
        </is>
      </c>
      <c r="S15" s="847" t="inlineStr">
        <is>
          <t>Daily</t>
        </is>
      </c>
      <c r="T15" s="847" t="n">
        <v>1200</v>
      </c>
      <c r="U15" s="848" t="n">
        <v>0</v>
      </c>
      <c r="V15" s="849" t="n"/>
      <c r="W15" s="850" t="n"/>
      <c r="X15" s="847" t="n"/>
      <c r="Y15" s="850" t="n"/>
      <c r="Z15" s="851" t="n"/>
      <c r="AA15" s="850" t="n"/>
      <c r="AB15" s="852" t="n">
        <v>266400</v>
      </c>
      <c r="AE15" s="534">
        <f>IF(TRIM($B15)="","",IF(AND(N($P15)&gt;0,N($P15)&lt;1),N($AB15)*N($P15),N($AB15)))</f>
        <v>266400</v>
      </c>
      <c r="AF15" s="534" t="str">
        <f>IF(TRIM($B15)="","",IF(OR(ISNUMBER(SEARCH("vacant",$B15)),ISNUMBER(SEARCH("ring fenced",$B15)),LOWER(TRIM($B15))="remove"),"Vacant","Filled"))</f>
        <v>Filled</v>
      </c>
      <c r="AG15" s="534" t="b">
        <f>IF(TRIM($B15)="","",--ISNUMBER(SEARCH("ring fenced",$B15)))</f>
        <v>0</v>
      </c>
      <c r="AH15" s="534" t="str">
        <f>IF(TRIM($B15)="","",IF(COUNTIFS(Lists!$AN$2:$AN$22,TRIM($B15)&amp;" | "&amp;TRIM($D15),Lists!$AO$2:$AO$22,"&lt;&gt;"),INDEX(Lists!$AO$2:$AO$22,MATCH(TRIM($B15)&amp;" | "&amp;TRIM($D15),Lists!$AN$2:$AN$22,0)),IF(COUNTIF(Lists!$AR$2:$AR$3,$AJ15),"TDD Cyber",IF(AND(LEFT($AJ15,4)="EGI ",ISNUMBER(MATCH(TRIM(MID($AJ15,5,99)),Lists!$AS$2:$AS$12,0))),TRIM(MID($AJ15,5,99)),IF(AND(LEFT($AJ15,4)="EGI ",ISNUMBER(MATCH(TRIM(MID($AJ15,5,99)),Lists!$T$2:$T$21,0))),INDEX(Lists!$U$2:$U$21,MATCH(TRIM(MID($AJ15,5,99)),Lists!$T$2:$T$21,0)),IF(OR(TRIM($J15)="",UPPER(TRIM($J15))="NA"),IFERROR(INDEX(Lists!$R$2:$R$9,MATCH(TRIM($G15),Lists!$Q$2:$Q$9,0)),"UNMAPPED"),IFERROR(INDEX(Lists!$U$2:$U$21,MATCH(TRIM($J15),Lists!$T$2:$T$21,0)),IFERROR(INDEX(Lists!$R$2:$R$9,MATCH(TRIM($G15),Lists!$Q$2:$Q$9,0)),"UNMAPPED"))))))))</f>
        <v>EGI</v>
      </c>
      <c r="AI15" s="534" t="b">
        <f>IF(TRIM($B15)="","",--OR(TRIM($L15)="Leadership",TRIM($K15)="Leadership"))</f>
        <v>0</v>
      </c>
      <c r="AJ15" s="534" t="str">
        <f>IF(TRIM($B15)="","",IF(COUNTIFS(Lists!$AN$2:$AN$22,TRIM($B15)&amp;" | "&amp;TRIM($D15),Lists!$AP$2:$AP$22,"&lt;&gt;"),INDEX(Lists!$AP$2:$AP$22,MATCH(TRIM($B15)&amp;" | "&amp;TRIM($D15),Lists!$AN$2:$AN$22,0)),IF($AI15=1,"Leadership",IFERROR(INDEX(Lists!$X$2:$X$21,MATCH(TRIM($L15),Lists!$W$2:$W$21,0)),IF(OR(TRIM($L15)="",LOWER(TRIM($L15))="na"),IF(TRIM($H15)="","Unassigned",TRIM($H15)),TRIM($L15))))))</f>
        <v>EGI</v>
      </c>
      <c r="AK15" s="534" t="str">
        <f>IF(TRIM($B15)="","",IF(COUNTIFS(Lists!$AN$2:$AN$22,TRIM($B15)&amp;" | "&amp;TRIM($D15),Lists!$AQ$2:$AQ$22,"&lt;&gt;"),INDEX(Lists!$AQ$2:$AQ$22,MATCH(TRIM($B15)&amp;" | "&amp;TRIM($D15),Lists!$AN$2:$AN$22,0)),IF(COUNTIF(Lists!$AF$2:$AF$8,$AJ15),$AJ15,IF(ISNUMBER(SEARCH("head of ",$D15)),"Head of Technology",IF(ISNUMBER(SEARCH("TDD BP",$D15)),"Business Partner",IF(OR(ISNUMBER(SEARCH("domain architect",$D15)),ISNUMBER(SEARCH("enterprise architect",$D15))),"Domain Architect",IF(ISNUMBER(SEARCH("delivery man",$D15)),"Delivery Manager",IF(OR(ISNUMBER(SEARCH("technology manager",$D15)),ISNUMBER(SEARCH("technology manger",$D15)),ISNUMBER(SEARCH("tech manager",$D15))),"Technology Manager","Squad"))))))))</f>
        <v>Squad</v>
      </c>
      <c r="AL15" s="534" t="str">
        <f>IF(TRIM($B15)="","",IF(AND($AM15=1,LEFT($AJ15,4)&lt;&gt;"EGI ",$AJ15&lt;&gt;"EGI"),IFERROR(INDEX(Lists!$Z$2:$Z$20,MATCH($AH15,Lists!$Y$2:$Y$20,0)),"EGI "&amp;$AH15),IF(COUNTIF(Lists!$AU$2:$AU$10,$AJ15),$AJ15,IF(OR(LEFT($AH15,3)="COE",$AH15="EGI"),$AJ15,IF($AK15&lt;&gt;"Squad",$AK15,$AJ15)))))</f>
        <v>EGI</v>
      </c>
      <c r="AM15" s="534" t="b">
        <f>IF(TRIM($B15)="","",--(UPPER(TRIM($K15))="EGI"))</f>
        <v>1</v>
      </c>
      <c r="AQ15" s="841" t="inlineStr">
        <is>
          <t>R0014</t>
        </is>
      </c>
      <c r="AZ15" s="841" t="n"/>
    </row>
    <row r="16" ht="18" customHeight="1" s="535">
      <c r="A16" s="842" t="inlineStr">
        <is>
          <t>C</t>
        </is>
      </c>
      <c r="B16" s="843" t="inlineStr">
        <is>
          <t>Simrat Singh</t>
        </is>
      </c>
      <c r="C16" s="842" t="inlineStr">
        <is>
          <t>C</t>
        </is>
      </c>
      <c r="D16" s="843" t="inlineStr">
        <is>
          <t>Reporting Analyst</t>
        </is>
      </c>
      <c r="E16" s="843" t="inlineStr">
        <is>
          <t>Jaya Ganasan</t>
        </is>
      </c>
      <c r="F16" s="843" t="inlineStr">
        <is>
          <t>Technology Manager, TDD Refinery</t>
        </is>
      </c>
      <c r="G16" s="844" t="inlineStr">
        <is>
          <t>TDD CFE&amp;I</t>
        </is>
      </c>
      <c r="H16" s="843" t="inlineStr">
        <is>
          <t>Fuel Infrastructure</t>
        </is>
      </c>
      <c r="I16" s="843" t="inlineStr">
        <is>
          <t>Refinery Applications</t>
        </is>
      </c>
      <c r="J16" s="843" t="inlineStr">
        <is>
          <t>Infrastructure</t>
        </is>
      </c>
      <c r="K16" s="843" t="inlineStr">
        <is>
          <t xml:space="preserve">Data &amp; Insights </t>
        </is>
      </c>
      <c r="L16" s="843" t="inlineStr">
        <is>
          <t xml:space="preserve">Data &amp; Insights </t>
        </is>
      </c>
      <c r="M16" s="843" t="n"/>
      <c r="N16" s="845" t="inlineStr">
        <is>
          <t>Australia</t>
        </is>
      </c>
      <c r="O16" s="846" t="inlineStr">
        <is>
          <t>NA</t>
        </is>
      </c>
      <c r="P16" s="847" t="n">
        <v>1</v>
      </c>
      <c r="Q16" s="847" t="n"/>
      <c r="R16" s="847" t="inlineStr">
        <is>
          <t>cxc</t>
        </is>
      </c>
      <c r="S16" s="847" t="inlineStr">
        <is>
          <t>Daily</t>
        </is>
      </c>
      <c r="T16" s="847" t="n">
        <v>890</v>
      </c>
      <c r="U16" s="848" t="n">
        <v>0</v>
      </c>
      <c r="V16" s="849" t="n"/>
      <c r="W16" s="850" t="n"/>
      <c r="X16" s="847" t="n"/>
      <c r="Y16" s="850" t="n"/>
      <c r="Z16" s="851" t="n"/>
      <c r="AA16" s="850" t="n"/>
      <c r="AB16" s="852" t="n">
        <v>197580</v>
      </c>
      <c r="AE16" s="534">
        <f>IF(TRIM($B16)="","",IF(AND(N($P16)&gt;0,N($P16)&lt;1),N($AB16)*N($P16),N($AB16)))</f>
        <v>197580</v>
      </c>
      <c r="AF16" s="534" t="str">
        <f>IF(TRIM($B16)="","",IF(OR(ISNUMBER(SEARCH("vacant",$B16)),ISNUMBER(SEARCH("ring fenced",$B16)),LOWER(TRIM($B16))="remove"),"Vacant","Filled"))</f>
        <v>Filled</v>
      </c>
      <c r="AG16" s="534" t="b">
        <f>IF(TRIM($B16)="","",--ISNUMBER(SEARCH("ring fenced",$B16)))</f>
        <v>0</v>
      </c>
      <c r="AH16" s="534" t="str">
        <f>IF(TRIM($B16)="","",IF(COUNTIFS(Lists!$AN$2:$AN$22,TRIM($B16)&amp;" | "&amp;TRIM($D16),Lists!$AO$2:$AO$22,"&lt;&gt;"),INDEX(Lists!$AO$2:$AO$22,MATCH(TRIM($B16)&amp;" | "&amp;TRIM($D16),Lists!$AN$2:$AN$22,0)),IF(COUNTIF(Lists!$AR$2:$AR$3,$AJ16),"TDD Cyber",IF(AND(LEFT($AJ16,4)="EGI ",ISNUMBER(MATCH(TRIM(MID($AJ16,5,99)),Lists!$AS$2:$AS$12,0))),TRIM(MID($AJ16,5,99)),IF(AND(LEFT($AJ16,4)="EGI ",ISNUMBER(MATCH(TRIM(MID($AJ16,5,99)),Lists!$T$2:$T$21,0))),INDEX(Lists!$U$2:$U$21,MATCH(TRIM(MID($AJ16,5,99)),Lists!$T$2:$T$21,0)),IF(OR(TRIM($J16)="",UPPER(TRIM($J16))="NA"),IFERROR(INDEX(Lists!$R$2:$R$9,MATCH(TRIM($G16),Lists!$Q$2:$Q$9,0)),"UNMAPPED"),IFERROR(INDEX(Lists!$U$2:$U$21,MATCH(TRIM($J16),Lists!$T$2:$T$21,0)),IFERROR(INDEX(Lists!$R$2:$R$9,MATCH(TRIM($G16),Lists!$Q$2:$Q$9,0)),"UNMAPPED"))))))))</f>
        <v>Infrastructure</v>
      </c>
      <c r="AI16" s="534" t="b">
        <f>IF(TRIM($B16)="","",--OR(TRIM($L16)="Leadership",TRIM($K16)="Leadership"))</f>
        <v>0</v>
      </c>
      <c r="AJ16" s="534" t="str">
        <f>IF(TRIM($B16)="","",IF(COUNTIFS(Lists!$AN$2:$AN$22,TRIM($B16)&amp;" | "&amp;TRIM($D16),Lists!$AP$2:$AP$22,"&lt;&gt;"),INDEX(Lists!$AP$2:$AP$22,MATCH(TRIM($B16)&amp;" | "&amp;TRIM($D16),Lists!$AN$2:$AN$22,0)),IF($AI16=1,"Leadership",IFERROR(INDEX(Lists!$X$2:$X$21,MATCH(TRIM($L16),Lists!$W$2:$W$21,0)),IF(OR(TRIM($L16)="",LOWER(TRIM($L16))="na"),IF(TRIM($H16)="","Unassigned",TRIM($H16)),TRIM($L16))))))</f>
        <v>Data &amp; Insights</v>
      </c>
      <c r="AK16" s="534" t="str">
        <f>IF(TRIM($B16)="","",IF(COUNTIFS(Lists!$AN$2:$AN$22,TRIM($B16)&amp;" | "&amp;TRIM($D16),Lists!$AQ$2:$AQ$22,"&lt;&gt;"),INDEX(Lists!$AQ$2:$AQ$22,MATCH(TRIM($B16)&amp;" | "&amp;TRIM($D16),Lists!$AN$2:$AN$22,0)),IF(COUNTIF(Lists!$AF$2:$AF$8,$AJ16),$AJ16,IF(ISNUMBER(SEARCH("head of ",$D16)),"Head of Technology",IF(ISNUMBER(SEARCH("TDD BP",$D16)),"Business Partner",IF(OR(ISNUMBER(SEARCH("domain architect",$D16)),ISNUMBER(SEARCH("enterprise architect",$D16))),"Domain Architect",IF(ISNUMBER(SEARCH("delivery man",$D16)),"Delivery Manager",IF(OR(ISNUMBER(SEARCH("technology manager",$D16)),ISNUMBER(SEARCH("technology manger",$D16)),ISNUMBER(SEARCH("tech manager",$D16))),"Technology Manager","Squad"))))))))</f>
        <v>Squad</v>
      </c>
      <c r="AL16" s="534" t="str">
        <f>IF(TRIM($B16)="","",IF(AND($AM16=1,LEFT($AJ16,4)&lt;&gt;"EGI ",$AJ16&lt;&gt;"EGI"),IFERROR(INDEX(Lists!$Z$2:$Z$20,MATCH($AH16,Lists!$Y$2:$Y$20,0)),"EGI "&amp;$AH16),IF(COUNTIF(Lists!$AU$2:$AU$10,$AJ16),$AJ16,IF(OR(LEFT($AH16,3)="COE",$AH16="EGI"),$AJ16,IF($AK16&lt;&gt;"Squad",$AK16,$AJ16)))))</f>
        <v>Data &amp; Insights</v>
      </c>
      <c r="AM16" s="534" t="b">
        <f>IF(TRIM($B16)="","",--(UPPER(TRIM($K16))="EGI"))</f>
        <v>0</v>
      </c>
      <c r="AQ16" s="841" t="inlineStr">
        <is>
          <t>R0015</t>
        </is>
      </c>
      <c r="AZ16" s="841" t="n"/>
    </row>
    <row r="17" ht="18" customHeight="1" s="535">
      <c r="A17" s="842" t="inlineStr">
        <is>
          <t>W- Vacant</t>
        </is>
      </c>
      <c r="B17" s="843" t="inlineStr">
        <is>
          <t>Vacant</t>
        </is>
      </c>
      <c r="C17" s="842" t="inlineStr">
        <is>
          <t>W- Vacant</t>
        </is>
      </c>
      <c r="D17" s="843" t="inlineStr">
        <is>
          <t>QA / Tester / Mid</t>
        </is>
      </c>
      <c r="E17" s="843" t="inlineStr">
        <is>
          <t>Jill Martin</t>
        </is>
      </c>
      <c r="F17" s="843" t="inlineStr">
        <is>
          <t>Delivery Manager, Loyalty</t>
        </is>
      </c>
      <c r="G17" s="844" t="inlineStr">
        <is>
          <t>Customer</t>
        </is>
      </c>
      <c r="H17" s="843" t="inlineStr">
        <is>
          <t>Loyalty &amp; Martech</t>
        </is>
      </c>
      <c r="I17" s="843" t="inlineStr">
        <is>
          <t xml:space="preserve">Loyalty, Delivery </t>
        </is>
      </c>
      <c r="J17" s="843" t="inlineStr">
        <is>
          <t>Ampol Customer</t>
        </is>
      </c>
      <c r="K17" s="843" t="inlineStr">
        <is>
          <t>Ampol Loyalty &amp; Martech</t>
        </is>
      </c>
      <c r="L17" s="843" t="inlineStr">
        <is>
          <t>AU CRM &amp; Martech</t>
        </is>
      </c>
      <c r="M17" s="843" t="n"/>
      <c r="N17" s="845" t="inlineStr">
        <is>
          <t>WIPRO</t>
        </is>
      </c>
      <c r="O17" s="846" t="inlineStr">
        <is>
          <t>NA</t>
        </is>
      </c>
      <c r="P17" s="847" t="n">
        <v>1</v>
      </c>
      <c r="Q17" s="847" t="n"/>
      <c r="R17" s="847" t="inlineStr">
        <is>
          <t>WIPRO - vacant</t>
        </is>
      </c>
      <c r="S17" s="847" t="n">
        <v>222</v>
      </c>
      <c r="T17" s="847" t="n">
        <v>330</v>
      </c>
      <c r="U17" s="848" t="n"/>
      <c r="V17" s="849" t="n"/>
      <c r="W17" s="850" t="n"/>
      <c r="X17" s="847" t="n"/>
      <c r="Y17" s="850" t="n"/>
      <c r="Z17" s="851" t="n"/>
      <c r="AA17" s="850" t="n"/>
      <c r="AB17" s="852" t="n">
        <v>73260</v>
      </c>
      <c r="AE17" s="534">
        <f>IF(TRIM($B17)="","",IF(AND(N($P17)&gt;0,N($P17)&lt;1),N($AB17)*N($P17),N($AB17)))</f>
        <v>73260</v>
      </c>
      <c r="AF17" s="534" t="str">
        <f>IF(TRIM($B17)="","",IF(OR(ISNUMBER(SEARCH("vacant",$B17)),ISNUMBER(SEARCH("ring fenced",$B17)),LOWER(TRIM($B17))="remove"),"Vacant","Filled"))</f>
        <v>Vacant</v>
      </c>
      <c r="AG17" s="534" t="b">
        <f>IF(TRIM($B17)="","",--ISNUMBER(SEARCH("ring fenced",$B17)))</f>
        <v>0</v>
      </c>
      <c r="AH17" s="534" t="str">
        <f>IF(TRIM($B17)="","",IF(COUNTIFS(Lists!$AN$2:$AN$22,TRIM($B17)&amp;" | "&amp;TRIM($D17),Lists!$AO$2:$AO$22,"&lt;&gt;"),INDEX(Lists!$AO$2:$AO$22,MATCH(TRIM($B17)&amp;" | "&amp;TRIM($D17),Lists!$AN$2:$AN$22,0)),IF(COUNTIF(Lists!$AR$2:$AR$3,$AJ17),"TDD Cyber",IF(AND(LEFT($AJ17,4)="EGI ",ISNUMBER(MATCH(TRIM(MID($AJ17,5,99)),Lists!$AS$2:$AS$12,0))),TRIM(MID($AJ17,5,99)),IF(AND(LEFT($AJ17,4)="EGI ",ISNUMBER(MATCH(TRIM(MID($AJ17,5,99)),Lists!$T$2:$T$21,0))),INDEX(Lists!$U$2:$U$21,MATCH(TRIM(MID($AJ17,5,99)),Lists!$T$2:$T$21,0)),IF(OR(TRIM($J17)="",UPPER(TRIM($J17))="NA"),IFERROR(INDEX(Lists!$R$2:$R$9,MATCH(TRIM($G17),Lists!$Q$2:$Q$9,0)),"UNMAPPED"),IFERROR(INDEX(Lists!$U$2:$U$21,MATCH(TRIM($J17),Lists!$T$2:$T$21,0)),IFERROR(INDEX(Lists!$R$2:$R$9,MATCH(TRIM($G17),Lists!$Q$2:$Q$9,0)),"UNMAPPED"))))))))</f>
        <v>Customer</v>
      </c>
      <c r="AI17" s="534" t="b">
        <f>IF(TRIM($B17)="","",--OR(TRIM($L17)="Leadership",TRIM($K17)="Leadership"))</f>
        <v>0</v>
      </c>
      <c r="AJ17" s="534" t="str">
        <f>IF(TRIM($B17)="","",IF(COUNTIFS(Lists!$AN$2:$AN$22,TRIM($B17)&amp;" | "&amp;TRIM($D17),Lists!$AP$2:$AP$22,"&lt;&gt;"),INDEX(Lists!$AP$2:$AP$22,MATCH(TRIM($B17)&amp;" | "&amp;TRIM($D17),Lists!$AN$2:$AN$22,0)),IF($AI17=1,"Leadership",IFERROR(INDEX(Lists!$X$2:$X$21,MATCH(TRIM($L17),Lists!$W$2:$W$21,0)),IF(OR(TRIM($L17)="",LOWER(TRIM($L17))="na"),IF(TRIM($H17)="","Unassigned",TRIM($H17)),TRIM($L17))))))</f>
        <v>Ampol Loyalty &amp; Martech</v>
      </c>
      <c r="AK17" s="534" t="str">
        <f>IF(TRIM($B17)="","",IF(COUNTIFS(Lists!$AN$2:$AN$22,TRIM($B17)&amp;" | "&amp;TRIM($D17),Lists!$AQ$2:$AQ$22,"&lt;&gt;"),INDEX(Lists!$AQ$2:$AQ$22,MATCH(TRIM($B17)&amp;" | "&amp;TRIM($D17),Lists!$AN$2:$AN$22,0)),IF(COUNTIF(Lists!$AF$2:$AF$8,$AJ17),$AJ17,IF(ISNUMBER(SEARCH("head of ",$D17)),"Head of Technology",IF(ISNUMBER(SEARCH("TDD BP",$D17)),"Business Partner",IF(OR(ISNUMBER(SEARCH("domain architect",$D17)),ISNUMBER(SEARCH("enterprise architect",$D17))),"Domain Architect",IF(ISNUMBER(SEARCH("delivery man",$D17)),"Delivery Manager",IF(OR(ISNUMBER(SEARCH("technology manager",$D17)),ISNUMBER(SEARCH("technology manger",$D17)),ISNUMBER(SEARCH("tech manager",$D17))),"Technology Manager","Squad"))))))))</f>
        <v>Squad</v>
      </c>
      <c r="AL17" s="534" t="str">
        <f>IF(TRIM($B17)="","",IF(AND($AM17=1,LEFT($AJ17,4)&lt;&gt;"EGI ",$AJ17&lt;&gt;"EGI"),IFERROR(INDEX(Lists!$Z$2:$Z$20,MATCH($AH17,Lists!$Y$2:$Y$20,0)),"EGI "&amp;$AH17),IF(COUNTIF(Lists!$AU$2:$AU$10,$AJ17),$AJ17,IF(OR(LEFT($AH17,3)="COE",$AH17="EGI"),$AJ17,IF($AK17&lt;&gt;"Squad",$AK17,$AJ17)))))</f>
        <v>Ampol Loyalty &amp; Martech</v>
      </c>
      <c r="AM17" s="534" t="b">
        <f>IF(TRIM($B17)="","",--(UPPER(TRIM($K17))="EGI"))</f>
        <v>0</v>
      </c>
      <c r="AN17" s="534" t="inlineStr">
        <is>
          <t>Wipro</t>
        </is>
      </c>
      <c r="AQ17" s="841" t="inlineStr">
        <is>
          <t>R0016</t>
        </is>
      </c>
      <c r="AZ17" s="841" t="n"/>
    </row>
    <row r="18" ht="18" customHeight="1" s="535">
      <c r="A18" s="842" t="inlineStr">
        <is>
          <t>W- Vacant</t>
        </is>
      </c>
      <c r="B18" s="843" t="inlineStr">
        <is>
          <t>Vacant</t>
        </is>
      </c>
      <c r="C18" s="842" t="inlineStr">
        <is>
          <t>W- Vacant</t>
        </is>
      </c>
      <c r="D18" s="843" t="inlineStr">
        <is>
          <t>Systems Analyst / Mid</t>
        </is>
      </c>
      <c r="E18" s="843" t="inlineStr">
        <is>
          <t>Jill Martin</t>
        </is>
      </c>
      <c r="F18" s="843" t="inlineStr">
        <is>
          <t>Delivery Manager, Loyalty</t>
        </is>
      </c>
      <c r="G18" s="844" t="inlineStr">
        <is>
          <t>Customer</t>
        </is>
      </c>
      <c r="H18" s="843" t="inlineStr">
        <is>
          <t>Loyalty &amp; Martech</t>
        </is>
      </c>
      <c r="I18" s="843" t="inlineStr">
        <is>
          <t xml:space="preserve">Loyalty, Delivery </t>
        </is>
      </c>
      <c r="J18" s="843" t="inlineStr">
        <is>
          <t>Ampol Customer</t>
        </is>
      </c>
      <c r="K18" s="843" t="inlineStr">
        <is>
          <t>Ampol Loyalty &amp; Martech</t>
        </is>
      </c>
      <c r="L18" s="843" t="inlineStr">
        <is>
          <t>AU CRM &amp; Martech</t>
        </is>
      </c>
      <c r="M18" s="843" t="n"/>
      <c r="N18" s="845" t="inlineStr">
        <is>
          <t>WIPRO</t>
        </is>
      </c>
      <c r="O18" s="846" t="inlineStr">
        <is>
          <t>NA</t>
        </is>
      </c>
      <c r="P18" s="847" t="n">
        <v>1</v>
      </c>
      <c r="Q18" s="847" t="n"/>
      <c r="R18" s="847" t="inlineStr">
        <is>
          <t>WIPRO - vacant</t>
        </is>
      </c>
      <c r="S18" s="847" t="n">
        <v>222</v>
      </c>
      <c r="T18" s="847" t="n">
        <v>330</v>
      </c>
      <c r="U18" s="848" t="n"/>
      <c r="V18" s="849" t="n"/>
      <c r="W18" s="850" t="n"/>
      <c r="X18" s="847" t="n"/>
      <c r="Y18" s="850" t="n"/>
      <c r="Z18" s="851" t="n"/>
      <c r="AA18" s="850" t="n"/>
      <c r="AB18" s="852" t="n">
        <v>73260</v>
      </c>
      <c r="AE18" s="534">
        <f>IF(TRIM($B18)="","",IF(AND(N($P18)&gt;0,N($P18)&lt;1),N($AB18)*N($P18),N($AB18)))</f>
        <v>73260</v>
      </c>
      <c r="AF18" s="534" t="str">
        <f>IF(TRIM($B18)="","",IF(OR(ISNUMBER(SEARCH("vacant",$B18)),ISNUMBER(SEARCH("ring fenced",$B18)),LOWER(TRIM($B18))="remove"),"Vacant","Filled"))</f>
        <v>Vacant</v>
      </c>
      <c r="AG18" s="534" t="b">
        <f>IF(TRIM($B18)="","",--ISNUMBER(SEARCH("ring fenced",$B18)))</f>
        <v>0</v>
      </c>
      <c r="AH18" s="534" t="str">
        <f>IF(TRIM($B18)="","",IF(COUNTIFS(Lists!$AN$2:$AN$22,TRIM($B18)&amp;" | "&amp;TRIM($D18),Lists!$AO$2:$AO$22,"&lt;&gt;"),INDEX(Lists!$AO$2:$AO$22,MATCH(TRIM($B18)&amp;" | "&amp;TRIM($D18),Lists!$AN$2:$AN$22,0)),IF(COUNTIF(Lists!$AR$2:$AR$3,$AJ18),"TDD Cyber",IF(AND(LEFT($AJ18,4)="EGI ",ISNUMBER(MATCH(TRIM(MID($AJ18,5,99)),Lists!$AS$2:$AS$12,0))),TRIM(MID($AJ18,5,99)),IF(AND(LEFT($AJ18,4)="EGI ",ISNUMBER(MATCH(TRIM(MID($AJ18,5,99)),Lists!$T$2:$T$21,0))),INDEX(Lists!$U$2:$U$21,MATCH(TRIM(MID($AJ18,5,99)),Lists!$T$2:$T$21,0)),IF(OR(TRIM($J18)="",UPPER(TRIM($J18))="NA"),IFERROR(INDEX(Lists!$R$2:$R$9,MATCH(TRIM($G18),Lists!$Q$2:$Q$9,0)),"UNMAPPED"),IFERROR(INDEX(Lists!$U$2:$U$21,MATCH(TRIM($J18),Lists!$T$2:$T$21,0)),IFERROR(INDEX(Lists!$R$2:$R$9,MATCH(TRIM($G18),Lists!$Q$2:$Q$9,0)),"UNMAPPED"))))))))</f>
        <v>Customer</v>
      </c>
      <c r="AI18" s="534" t="b">
        <f>IF(TRIM($B18)="","",--OR(TRIM($L18)="Leadership",TRIM($K18)="Leadership"))</f>
        <v>0</v>
      </c>
      <c r="AJ18" s="534" t="str">
        <f>IF(TRIM($B18)="","",IF(COUNTIFS(Lists!$AN$2:$AN$22,TRIM($B18)&amp;" | "&amp;TRIM($D18),Lists!$AP$2:$AP$22,"&lt;&gt;"),INDEX(Lists!$AP$2:$AP$22,MATCH(TRIM($B18)&amp;" | "&amp;TRIM($D18),Lists!$AN$2:$AN$22,0)),IF($AI18=1,"Leadership",IFERROR(INDEX(Lists!$X$2:$X$21,MATCH(TRIM($L18),Lists!$W$2:$W$21,0)),IF(OR(TRIM($L18)="",LOWER(TRIM($L18))="na"),IF(TRIM($H18)="","Unassigned",TRIM($H18)),TRIM($L18))))))</f>
        <v>Ampol Loyalty &amp; Martech</v>
      </c>
      <c r="AK18" s="534" t="str">
        <f>IF(TRIM($B18)="","",IF(COUNTIFS(Lists!$AN$2:$AN$22,TRIM($B18)&amp;" | "&amp;TRIM($D18),Lists!$AQ$2:$AQ$22,"&lt;&gt;"),INDEX(Lists!$AQ$2:$AQ$22,MATCH(TRIM($B18)&amp;" | "&amp;TRIM($D18),Lists!$AN$2:$AN$22,0)),IF(COUNTIF(Lists!$AF$2:$AF$8,$AJ18),$AJ18,IF(ISNUMBER(SEARCH("head of ",$D18)),"Head of Technology",IF(ISNUMBER(SEARCH("TDD BP",$D18)),"Business Partner",IF(OR(ISNUMBER(SEARCH("domain architect",$D18)),ISNUMBER(SEARCH("enterprise architect",$D18))),"Domain Architect",IF(ISNUMBER(SEARCH("delivery man",$D18)),"Delivery Manager",IF(OR(ISNUMBER(SEARCH("technology manager",$D18)),ISNUMBER(SEARCH("technology manger",$D18)),ISNUMBER(SEARCH("tech manager",$D18))),"Technology Manager","Squad"))))))))</f>
        <v>Squad</v>
      </c>
      <c r="AL18" s="534" t="str">
        <f>IF(TRIM($B18)="","",IF(AND($AM18=1,LEFT($AJ18,4)&lt;&gt;"EGI ",$AJ18&lt;&gt;"EGI"),IFERROR(INDEX(Lists!$Z$2:$Z$20,MATCH($AH18,Lists!$Y$2:$Y$20,0)),"EGI "&amp;$AH18),IF(COUNTIF(Lists!$AU$2:$AU$10,$AJ18),$AJ18,IF(OR(LEFT($AH18,3)="COE",$AH18="EGI"),$AJ18,IF($AK18&lt;&gt;"Squad",$AK18,$AJ18)))))</f>
        <v>Ampol Loyalty &amp; Martech</v>
      </c>
      <c r="AM18" s="534" t="b">
        <f>IF(TRIM($B18)="","",--(UPPER(TRIM($K18))="EGI"))</f>
        <v>0</v>
      </c>
      <c r="AN18" s="534" t="inlineStr">
        <is>
          <t>Wipro</t>
        </is>
      </c>
      <c r="AQ18" s="841" t="inlineStr">
        <is>
          <t>R0017</t>
        </is>
      </c>
      <c r="AZ18" s="841" t="n"/>
    </row>
    <row r="19" ht="18" customHeight="1" s="535">
      <c r="A19" s="842" t="inlineStr">
        <is>
          <t>C</t>
        </is>
      </c>
      <c r="B19" s="843" t="inlineStr">
        <is>
          <t>Viren Khatri</t>
        </is>
      </c>
      <c r="C19" s="842" t="inlineStr">
        <is>
          <t>C</t>
        </is>
      </c>
      <c r="D19" s="843" t="inlineStr">
        <is>
          <t>Data Migration Lead</t>
        </is>
      </c>
      <c r="E19" s="843" t="inlineStr">
        <is>
          <t>Manjot Kaur</t>
        </is>
      </c>
      <c r="F19" s="843" t="inlineStr">
        <is>
          <t>Technology Manager, Data</t>
        </is>
      </c>
      <c r="G19" s="844" t="inlineStr">
        <is>
          <t>Ampol Retail &amp; Z</t>
        </is>
      </c>
      <c r="H19" s="843" t="inlineStr">
        <is>
          <t>Z &amp; Group Retail</t>
        </is>
      </c>
      <c r="I19" s="843" t="inlineStr">
        <is>
          <t>Z &amp; Group Retail, Data</t>
        </is>
      </c>
      <c r="J19" s="843" t="inlineStr">
        <is>
          <t>EGI Integration</t>
        </is>
      </c>
      <c r="K19" s="843" t="inlineStr">
        <is>
          <t>EGI</t>
        </is>
      </c>
      <c r="L19" s="843" t="inlineStr">
        <is>
          <t>EGI TDD</t>
        </is>
      </c>
      <c r="M19" s="843" t="n"/>
      <c r="N19" s="845" t="inlineStr">
        <is>
          <t>Australia</t>
        </is>
      </c>
      <c r="O19" s="846" t="inlineStr">
        <is>
          <t>NA</t>
        </is>
      </c>
      <c r="P19" s="847" t="n">
        <v>1</v>
      </c>
      <c r="Q19" s="847" t="n"/>
      <c r="R19" s="847" t="inlineStr">
        <is>
          <t>cxc</t>
        </is>
      </c>
      <c r="S19" s="847" t="inlineStr">
        <is>
          <t>Daily</t>
        </is>
      </c>
      <c r="T19" s="847" t="n">
        <v>1350</v>
      </c>
      <c r="U19" s="848" t="n">
        <v>0</v>
      </c>
      <c r="V19" s="849" t="n"/>
      <c r="W19" s="850" t="n"/>
      <c r="X19" s="847" t="n"/>
      <c r="Y19" s="850" t="n"/>
      <c r="Z19" s="851" t="n"/>
      <c r="AA19" s="850" t="n"/>
      <c r="AB19" s="852" t="n">
        <v>299700</v>
      </c>
      <c r="AE19" s="534">
        <f>IF(TRIM($B19)="","",IF(AND(N($P19)&gt;0,N($P19)&lt;1),N($AB19)*N($P19),N($AB19)))</f>
        <v>299700</v>
      </c>
      <c r="AF19" s="534" t="str">
        <f>IF(TRIM($B19)="","",IF(OR(ISNUMBER(SEARCH("vacant",$B19)),ISNUMBER(SEARCH("ring fenced",$B19)),LOWER(TRIM($B19))="remove"),"Vacant","Filled"))</f>
        <v>Filled</v>
      </c>
      <c r="AG19" s="534" t="b">
        <f>IF(TRIM($B19)="","",--ISNUMBER(SEARCH("ring fenced",$B19)))</f>
        <v>0</v>
      </c>
      <c r="AH19" s="534" t="str">
        <f>IF(TRIM($B19)="","",IF(COUNTIFS(Lists!$AN$2:$AN$22,TRIM($B19)&amp;" | "&amp;TRIM($D19),Lists!$AO$2:$AO$22,"&lt;&gt;"),INDEX(Lists!$AO$2:$AO$22,MATCH(TRIM($B19)&amp;" | "&amp;TRIM($D19),Lists!$AN$2:$AN$22,0)),IF(COUNTIF(Lists!$AR$2:$AR$3,$AJ19),"TDD Cyber",IF(AND(LEFT($AJ19,4)="EGI ",ISNUMBER(MATCH(TRIM(MID($AJ19,5,99)),Lists!$AS$2:$AS$12,0))),TRIM(MID($AJ19,5,99)),IF(AND(LEFT($AJ19,4)="EGI ",ISNUMBER(MATCH(TRIM(MID($AJ19,5,99)),Lists!$T$2:$T$21,0))),INDEX(Lists!$U$2:$U$21,MATCH(TRIM(MID($AJ19,5,99)),Lists!$T$2:$T$21,0)),IF(OR(TRIM($J19)="",UPPER(TRIM($J19))="NA"),IFERROR(INDEX(Lists!$R$2:$R$9,MATCH(TRIM($G19),Lists!$Q$2:$Q$9,0)),"UNMAPPED"),IFERROR(INDEX(Lists!$U$2:$U$21,MATCH(TRIM($J19),Lists!$T$2:$T$21,0)),IFERROR(INDEX(Lists!$R$2:$R$9,MATCH(TRIM($G19),Lists!$Q$2:$Q$9,0)),"UNMAPPED"))))))))</f>
        <v>TDD Group Functions</v>
      </c>
      <c r="AI19" s="534" t="b">
        <f>IF(TRIM($B19)="","",--OR(TRIM($L19)="Leadership",TRIM($K19)="Leadership"))</f>
        <v>0</v>
      </c>
      <c r="AJ19" s="534" t="str">
        <f>IF(TRIM($B19)="","",IF(COUNTIFS(Lists!$AN$2:$AN$22,TRIM($B19)&amp;" | "&amp;TRIM($D19),Lists!$AP$2:$AP$22,"&lt;&gt;"),INDEX(Lists!$AP$2:$AP$22,MATCH(TRIM($B19)&amp;" | "&amp;TRIM($D19),Lists!$AN$2:$AN$22,0)),IF($AI19=1,"Leadership",IFERROR(INDEX(Lists!$X$2:$X$21,MATCH(TRIM($L19),Lists!$W$2:$W$21,0)),IF(OR(TRIM($L19)="",LOWER(TRIM($L19))="na"),IF(TRIM($H19)="","Unassigned",TRIM($H19)),TRIM($L19))))))</f>
        <v>EGI TDD</v>
      </c>
      <c r="AK19" s="534" t="str">
        <f>IF(TRIM($B19)="","",IF(COUNTIFS(Lists!$AN$2:$AN$22,TRIM($B19)&amp;" | "&amp;TRIM($D19),Lists!$AQ$2:$AQ$22,"&lt;&gt;"),INDEX(Lists!$AQ$2:$AQ$22,MATCH(TRIM($B19)&amp;" | "&amp;TRIM($D19),Lists!$AN$2:$AN$22,0)),IF(COUNTIF(Lists!$AF$2:$AF$8,$AJ19),$AJ19,IF(ISNUMBER(SEARCH("head of ",$D19)),"Head of Technology",IF(ISNUMBER(SEARCH("TDD BP",$D19)),"Business Partner",IF(OR(ISNUMBER(SEARCH("domain architect",$D19)),ISNUMBER(SEARCH("enterprise architect",$D19))),"Domain Architect",IF(ISNUMBER(SEARCH("delivery man",$D19)),"Delivery Manager",IF(OR(ISNUMBER(SEARCH("technology manager",$D19)),ISNUMBER(SEARCH("technology manger",$D19)),ISNUMBER(SEARCH("tech manager",$D19))),"Technology Manager","Squad"))))))))</f>
        <v>Squad</v>
      </c>
      <c r="AL19" s="534" t="str">
        <f>IF(TRIM($B19)="","",IF(AND($AM19=1,LEFT($AJ19,4)&lt;&gt;"EGI ",$AJ19&lt;&gt;"EGI"),IFERROR(INDEX(Lists!$Z$2:$Z$20,MATCH($AH19,Lists!$Y$2:$Y$20,0)),"EGI "&amp;$AH19),IF(COUNTIF(Lists!$AU$2:$AU$10,$AJ19),$AJ19,IF(OR(LEFT($AH19,3)="COE",$AH19="EGI"),$AJ19,IF($AK19&lt;&gt;"Squad",$AK19,$AJ19)))))</f>
        <v>EGI TDD</v>
      </c>
      <c r="AM19" s="534" t="b">
        <f>IF(TRIM($B19)="","",--(UPPER(TRIM($K19))="EGI"))</f>
        <v>1</v>
      </c>
      <c r="AQ19" s="841" t="inlineStr">
        <is>
          <t>R0018</t>
        </is>
      </c>
      <c r="AZ19" s="841" t="n"/>
    </row>
    <row r="20" ht="18" customHeight="1" s="535">
      <c r="A20" s="842" t="inlineStr">
        <is>
          <t>W-106200</t>
        </is>
      </c>
      <c r="B20" s="843" t="inlineStr">
        <is>
          <t>Emile Violi - QA Wipro</t>
        </is>
      </c>
      <c r="C20" s="842" t="inlineStr">
        <is>
          <t>W-106200</t>
        </is>
      </c>
      <c r="D20" s="843" t="inlineStr">
        <is>
          <t>.NET Back End Developer / Mid</t>
        </is>
      </c>
      <c r="E20" s="843" t="inlineStr">
        <is>
          <t>Mark Wilson</t>
        </is>
      </c>
      <c r="F20" s="843" t="inlineStr">
        <is>
          <t>Digital Support Manager(AU)</t>
        </is>
      </c>
      <c r="G20" s="844" t="inlineStr">
        <is>
          <t>Customer</t>
        </is>
      </c>
      <c r="H20" s="843" t="inlineStr">
        <is>
          <t>Digital</t>
        </is>
      </c>
      <c r="I20" s="843" t="inlineStr">
        <is>
          <t>Digital Support (AU)</t>
        </is>
      </c>
      <c r="J20" s="843" t="inlineStr">
        <is>
          <t>Ampol Customer</t>
        </is>
      </c>
      <c r="K20" s="843" t="inlineStr">
        <is>
          <t>Ampol Digital</t>
        </is>
      </c>
      <c r="L20" s="843" t="inlineStr">
        <is>
          <t>Digital Operations</t>
        </is>
      </c>
      <c r="M20" s="843" t="n"/>
      <c r="N20" s="845" t="inlineStr">
        <is>
          <t>WIPRO</t>
        </is>
      </c>
      <c r="O20" s="846" t="inlineStr">
        <is>
          <t>NA</t>
        </is>
      </c>
      <c r="P20" s="847" t="n">
        <v>1</v>
      </c>
      <c r="Q20" s="847" t="n"/>
      <c r="R20" s="847" t="inlineStr">
        <is>
          <t>WIPRO - filled</t>
        </is>
      </c>
      <c r="S20" s="847" t="n">
        <v>222</v>
      </c>
      <c r="T20" s="847" t="n">
        <v>330</v>
      </c>
      <c r="U20" s="848" t="n"/>
      <c r="V20" s="849" t="n"/>
      <c r="W20" s="850" t="n"/>
      <c r="X20" s="847" t="n"/>
      <c r="Y20" s="850" t="n"/>
      <c r="Z20" s="851" t="n"/>
      <c r="AA20" s="850" t="n"/>
      <c r="AB20" s="852" t="n">
        <v>73260</v>
      </c>
      <c r="AE20" s="534">
        <f>IF(TRIM($B20)="","",IF(AND(N($P20)&gt;0,N($P20)&lt;1),N($AB20)*N($P20),N($AB20)))</f>
        <v>73260</v>
      </c>
      <c r="AF20" s="534" t="str">
        <f>IF(TRIM($B20)="","",IF(OR(ISNUMBER(SEARCH("vacant",$B20)),ISNUMBER(SEARCH("ring fenced",$B20)),LOWER(TRIM($B20))="remove"),"Vacant","Filled"))</f>
        <v>Filled</v>
      </c>
      <c r="AG20" s="534" t="b">
        <f>IF(TRIM($B20)="","",--ISNUMBER(SEARCH("ring fenced",$B20)))</f>
        <v>0</v>
      </c>
      <c r="AH20" s="534" t="str">
        <f>IF(TRIM($B20)="","",IF(COUNTIFS(Lists!$AN$2:$AN$22,TRIM($B20)&amp;" | "&amp;TRIM($D20),Lists!$AO$2:$AO$22,"&lt;&gt;"),INDEX(Lists!$AO$2:$AO$22,MATCH(TRIM($B20)&amp;" | "&amp;TRIM($D20),Lists!$AN$2:$AN$22,0)),IF(COUNTIF(Lists!$AR$2:$AR$3,$AJ20),"TDD Cyber",IF(AND(LEFT($AJ20,4)="EGI ",ISNUMBER(MATCH(TRIM(MID($AJ20,5,99)),Lists!$AS$2:$AS$12,0))),TRIM(MID($AJ20,5,99)),IF(AND(LEFT($AJ20,4)="EGI ",ISNUMBER(MATCH(TRIM(MID($AJ20,5,99)),Lists!$T$2:$T$21,0))),INDEX(Lists!$U$2:$U$21,MATCH(TRIM(MID($AJ20,5,99)),Lists!$T$2:$T$21,0)),IF(OR(TRIM($J20)="",UPPER(TRIM($J20))="NA"),IFERROR(INDEX(Lists!$R$2:$R$9,MATCH(TRIM($G20),Lists!$Q$2:$Q$9,0)),"UNMAPPED"),IFERROR(INDEX(Lists!$U$2:$U$21,MATCH(TRIM($J20),Lists!$T$2:$T$21,0)),IFERROR(INDEX(Lists!$R$2:$R$9,MATCH(TRIM($G20),Lists!$Q$2:$Q$9,0)),"UNMAPPED"))))))))</f>
        <v>Customer</v>
      </c>
      <c r="AI20" s="534" t="b">
        <f>IF(TRIM($B20)="","",--OR(TRIM($L20)="Leadership",TRIM($K20)="Leadership"))</f>
        <v>0</v>
      </c>
      <c r="AJ20" s="534" t="str">
        <f>IF(TRIM($B20)="","",IF(COUNTIFS(Lists!$AN$2:$AN$22,TRIM($B20)&amp;" | "&amp;TRIM($D20),Lists!$AP$2:$AP$22,"&lt;&gt;"),INDEX(Lists!$AP$2:$AP$22,MATCH(TRIM($B20)&amp;" | "&amp;TRIM($D20),Lists!$AN$2:$AN$22,0)),IF($AI20=1,"Leadership",IFERROR(INDEX(Lists!$X$2:$X$21,MATCH(TRIM($L20),Lists!$W$2:$W$21,0)),IF(OR(TRIM($L20)="",LOWER(TRIM($L20))="na"),IF(TRIM($H20)="","Unassigned",TRIM($H20)),TRIM($L20))))))</f>
        <v>Digital Operations</v>
      </c>
      <c r="AK20" s="534" t="str">
        <f>IF(TRIM($B20)="","",IF(COUNTIFS(Lists!$AN$2:$AN$22,TRIM($B20)&amp;" | "&amp;TRIM($D20),Lists!$AQ$2:$AQ$22,"&lt;&gt;"),INDEX(Lists!$AQ$2:$AQ$22,MATCH(TRIM($B20)&amp;" | "&amp;TRIM($D20),Lists!$AN$2:$AN$22,0)),IF(COUNTIF(Lists!$AF$2:$AF$8,$AJ20),$AJ20,IF(ISNUMBER(SEARCH("head of ",$D20)),"Head of Technology",IF(ISNUMBER(SEARCH("TDD BP",$D20)),"Business Partner",IF(OR(ISNUMBER(SEARCH("domain architect",$D20)),ISNUMBER(SEARCH("enterprise architect",$D20))),"Domain Architect",IF(ISNUMBER(SEARCH("delivery man",$D20)),"Delivery Manager",IF(OR(ISNUMBER(SEARCH("technology manager",$D20)),ISNUMBER(SEARCH("technology manger",$D20)),ISNUMBER(SEARCH("tech manager",$D20))),"Technology Manager","Squad"))))))))</f>
        <v>Squad</v>
      </c>
      <c r="AL20" s="534" t="str">
        <f>IF(TRIM($B20)="","",IF(AND($AM20=1,LEFT($AJ20,4)&lt;&gt;"EGI ",$AJ20&lt;&gt;"EGI"),IFERROR(INDEX(Lists!$Z$2:$Z$20,MATCH($AH20,Lists!$Y$2:$Y$20,0)),"EGI "&amp;$AH20),IF(COUNTIF(Lists!$AU$2:$AU$10,$AJ20),$AJ20,IF(OR(LEFT($AH20,3)="COE",$AH20="EGI"),$AJ20,IF($AK20&lt;&gt;"Squad",$AK20,$AJ20)))))</f>
        <v>Digital Operations</v>
      </c>
      <c r="AM20" s="534" t="b">
        <f>IF(TRIM($B20)="","",--(UPPER(TRIM($K20))="EGI"))</f>
        <v>0</v>
      </c>
      <c r="AN20" s="534" t="inlineStr">
        <is>
          <t>Filled</t>
        </is>
      </c>
      <c r="AQ20" s="841" t="inlineStr">
        <is>
          <t>R0019</t>
        </is>
      </c>
      <c r="AZ20" s="841" t="n"/>
    </row>
    <row r="21" ht="18" customHeight="1" s="535">
      <c r="A21" s="842" t="inlineStr">
        <is>
          <t>W- Vacant</t>
        </is>
      </c>
      <c r="B21" s="843" t="inlineStr">
        <is>
          <t>Vacant</t>
        </is>
      </c>
      <c r="C21" s="842" t="inlineStr">
        <is>
          <t>W- Vacant</t>
        </is>
      </c>
      <c r="D21" s="843" t="inlineStr">
        <is>
          <t>.NET Back End Developer / Mid</t>
        </is>
      </c>
      <c r="E21" s="843" t="inlineStr">
        <is>
          <t>Mark Wilson</t>
        </is>
      </c>
      <c r="F21" s="843" t="inlineStr">
        <is>
          <t>Digital Support Manager(AU)</t>
        </is>
      </c>
      <c r="G21" s="844" t="inlineStr">
        <is>
          <t>Customer</t>
        </is>
      </c>
      <c r="H21" s="843" t="inlineStr">
        <is>
          <t>Digital</t>
        </is>
      </c>
      <c r="I21" s="843" t="inlineStr">
        <is>
          <t>Digital Support (AU)</t>
        </is>
      </c>
      <c r="J21" s="843" t="inlineStr">
        <is>
          <t>Ampol Customer</t>
        </is>
      </c>
      <c r="K21" s="843" t="inlineStr">
        <is>
          <t>Ampol Digital</t>
        </is>
      </c>
      <c r="L21" s="843" t="inlineStr">
        <is>
          <t>Digital Operations</t>
        </is>
      </c>
      <c r="M21" s="843" t="n"/>
      <c r="N21" s="845" t="inlineStr">
        <is>
          <t>WIPRO</t>
        </is>
      </c>
      <c r="O21" s="846" t="inlineStr">
        <is>
          <t>NA</t>
        </is>
      </c>
      <c r="P21" s="847" t="n">
        <v>1</v>
      </c>
      <c r="Q21" s="847" t="n"/>
      <c r="R21" s="847" t="inlineStr">
        <is>
          <t>WIPRO - vacant</t>
        </is>
      </c>
      <c r="S21" s="847" t="n">
        <v>222</v>
      </c>
      <c r="T21" s="847" t="n">
        <v>330</v>
      </c>
      <c r="U21" s="848" t="n"/>
      <c r="V21" s="849" t="n"/>
      <c r="W21" s="850" t="n"/>
      <c r="X21" s="847" t="n"/>
      <c r="Y21" s="850" t="n"/>
      <c r="Z21" s="851" t="n"/>
      <c r="AA21" s="850" t="n"/>
      <c r="AB21" s="852" t="n">
        <v>73260</v>
      </c>
      <c r="AE21" s="534">
        <f>IF(TRIM($B21)="","",IF(AND(N($P21)&gt;0,N($P21)&lt;1),N($AB21)*N($P21),N($AB21)))</f>
        <v>73260</v>
      </c>
      <c r="AF21" s="534" t="str">
        <f>IF(TRIM($B21)="","",IF(OR(ISNUMBER(SEARCH("vacant",$B21)),ISNUMBER(SEARCH("ring fenced",$B21)),LOWER(TRIM($B21))="remove"),"Vacant","Filled"))</f>
        <v>Vacant</v>
      </c>
      <c r="AG21" s="534" t="b">
        <f>IF(TRIM($B21)="","",--ISNUMBER(SEARCH("ring fenced",$B21)))</f>
        <v>0</v>
      </c>
      <c r="AH21" s="534" t="str">
        <f>IF(TRIM($B21)="","",IF(COUNTIFS(Lists!$AN$2:$AN$22,TRIM($B21)&amp;" | "&amp;TRIM($D21),Lists!$AO$2:$AO$22,"&lt;&gt;"),INDEX(Lists!$AO$2:$AO$22,MATCH(TRIM($B21)&amp;" | "&amp;TRIM($D21),Lists!$AN$2:$AN$22,0)),IF(COUNTIF(Lists!$AR$2:$AR$3,$AJ21),"TDD Cyber",IF(AND(LEFT($AJ21,4)="EGI ",ISNUMBER(MATCH(TRIM(MID($AJ21,5,99)),Lists!$AS$2:$AS$12,0))),TRIM(MID($AJ21,5,99)),IF(AND(LEFT($AJ21,4)="EGI ",ISNUMBER(MATCH(TRIM(MID($AJ21,5,99)),Lists!$T$2:$T$21,0))),INDEX(Lists!$U$2:$U$21,MATCH(TRIM(MID($AJ21,5,99)),Lists!$T$2:$T$21,0)),IF(OR(TRIM($J21)="",UPPER(TRIM($J21))="NA"),IFERROR(INDEX(Lists!$R$2:$R$9,MATCH(TRIM($G21),Lists!$Q$2:$Q$9,0)),"UNMAPPED"),IFERROR(INDEX(Lists!$U$2:$U$21,MATCH(TRIM($J21),Lists!$T$2:$T$21,0)),IFERROR(INDEX(Lists!$R$2:$R$9,MATCH(TRIM($G21),Lists!$Q$2:$Q$9,0)),"UNMAPPED"))))))))</f>
        <v>Customer</v>
      </c>
      <c r="AI21" s="534" t="b">
        <f>IF(TRIM($B21)="","",--OR(TRIM($L21)="Leadership",TRIM($K21)="Leadership"))</f>
        <v>0</v>
      </c>
      <c r="AJ21" s="534" t="str">
        <f>IF(TRIM($B21)="","",IF(COUNTIFS(Lists!$AN$2:$AN$22,TRIM($B21)&amp;" | "&amp;TRIM($D21),Lists!$AP$2:$AP$22,"&lt;&gt;"),INDEX(Lists!$AP$2:$AP$22,MATCH(TRIM($B21)&amp;" | "&amp;TRIM($D21),Lists!$AN$2:$AN$22,0)),IF($AI21=1,"Leadership",IFERROR(INDEX(Lists!$X$2:$X$21,MATCH(TRIM($L21),Lists!$W$2:$W$21,0)),IF(OR(TRIM($L21)="",LOWER(TRIM($L21))="na"),IF(TRIM($H21)="","Unassigned",TRIM($H21)),TRIM($L21))))))</f>
        <v>Digital Operations</v>
      </c>
      <c r="AK21" s="534" t="str">
        <f>IF(TRIM($B21)="","",IF(COUNTIFS(Lists!$AN$2:$AN$22,TRIM($B21)&amp;" | "&amp;TRIM($D21),Lists!$AQ$2:$AQ$22,"&lt;&gt;"),INDEX(Lists!$AQ$2:$AQ$22,MATCH(TRIM($B21)&amp;" | "&amp;TRIM($D21),Lists!$AN$2:$AN$22,0)),IF(COUNTIF(Lists!$AF$2:$AF$8,$AJ21),$AJ21,IF(ISNUMBER(SEARCH("head of ",$D21)),"Head of Technology",IF(ISNUMBER(SEARCH("TDD BP",$D21)),"Business Partner",IF(OR(ISNUMBER(SEARCH("domain architect",$D21)),ISNUMBER(SEARCH("enterprise architect",$D21))),"Domain Architect",IF(ISNUMBER(SEARCH("delivery man",$D21)),"Delivery Manager",IF(OR(ISNUMBER(SEARCH("technology manager",$D21)),ISNUMBER(SEARCH("technology manger",$D21)),ISNUMBER(SEARCH("tech manager",$D21))),"Technology Manager","Squad"))))))))</f>
        <v>Squad</v>
      </c>
      <c r="AL21" s="534" t="str">
        <f>IF(TRIM($B21)="","",IF(AND($AM21=1,LEFT($AJ21,4)&lt;&gt;"EGI ",$AJ21&lt;&gt;"EGI"),IFERROR(INDEX(Lists!$Z$2:$Z$20,MATCH($AH21,Lists!$Y$2:$Y$20,0)),"EGI "&amp;$AH21),IF(COUNTIF(Lists!$AU$2:$AU$10,$AJ21),$AJ21,IF(OR(LEFT($AH21,3)="COE",$AH21="EGI"),$AJ21,IF($AK21&lt;&gt;"Squad",$AK21,$AJ21)))))</f>
        <v>Digital Operations</v>
      </c>
      <c r="AM21" s="534" t="b">
        <f>IF(TRIM($B21)="","",--(UPPER(TRIM($K21))="EGI"))</f>
        <v>0</v>
      </c>
      <c r="AN21" s="534" t="inlineStr">
        <is>
          <t>Wipro</t>
        </is>
      </c>
      <c r="AQ21" s="841" t="inlineStr">
        <is>
          <t>R0020</t>
        </is>
      </c>
      <c r="AZ21" s="841" t="n"/>
    </row>
    <row r="22" ht="18" customHeight="1" s="535">
      <c r="A22" s="842" t="inlineStr">
        <is>
          <t>W- Vacant</t>
        </is>
      </c>
      <c r="B22" s="843" t="inlineStr">
        <is>
          <t>Vacant</t>
        </is>
      </c>
      <c r="C22" s="842" t="inlineStr">
        <is>
          <t>W- Vacant</t>
        </is>
      </c>
      <c r="D22" s="843" t="inlineStr">
        <is>
          <t>.NET Back End Developer / Mid</t>
        </is>
      </c>
      <c r="E22" s="843" t="inlineStr">
        <is>
          <t>Mark Wilson</t>
        </is>
      </c>
      <c r="F22" s="843" t="inlineStr">
        <is>
          <t>Digital Support Manager(AU)</t>
        </is>
      </c>
      <c r="G22" s="844" t="inlineStr">
        <is>
          <t>Customer</t>
        </is>
      </c>
      <c r="H22" s="843" t="inlineStr">
        <is>
          <t>Digital</t>
        </is>
      </c>
      <c r="I22" s="843" t="inlineStr">
        <is>
          <t>Digital Support (AU)</t>
        </is>
      </c>
      <c r="J22" s="843" t="inlineStr">
        <is>
          <t>Ampol Customer</t>
        </is>
      </c>
      <c r="K22" s="843" t="inlineStr">
        <is>
          <t>Ampol Digital</t>
        </is>
      </c>
      <c r="L22" s="843" t="inlineStr">
        <is>
          <t>Digital Operations</t>
        </is>
      </c>
      <c r="M22" s="843" t="n"/>
      <c r="N22" s="845" t="inlineStr">
        <is>
          <t>WIPRO</t>
        </is>
      </c>
      <c r="O22" s="846" t="inlineStr">
        <is>
          <t>NA</t>
        </is>
      </c>
      <c r="P22" s="847" t="n">
        <v>1</v>
      </c>
      <c r="Q22" s="846" t="n"/>
      <c r="R22" s="847" t="inlineStr">
        <is>
          <t>WIPRO - vacant</t>
        </is>
      </c>
      <c r="S22" s="847" t="n">
        <v>222</v>
      </c>
      <c r="T22" s="847" t="n">
        <v>330</v>
      </c>
      <c r="U22" s="848" t="n"/>
      <c r="V22" s="849" t="n"/>
      <c r="W22" s="850" t="n"/>
      <c r="X22" s="847" t="n"/>
      <c r="Y22" s="850" t="n"/>
      <c r="Z22" s="851" t="n"/>
      <c r="AA22" s="850" t="n"/>
      <c r="AB22" s="852" t="n">
        <v>73260</v>
      </c>
      <c r="AE22" s="534">
        <f>IF(TRIM($B22)="","",IF(AND(N($P22)&gt;0,N($P22)&lt;1),N($AB22)*N($P22),N($AB22)))</f>
        <v>73260</v>
      </c>
      <c r="AF22" s="534" t="str">
        <f>IF(TRIM($B22)="","",IF(OR(ISNUMBER(SEARCH("vacant",$B22)),ISNUMBER(SEARCH("ring fenced",$B22)),LOWER(TRIM($B22))="remove"),"Vacant","Filled"))</f>
        <v>Vacant</v>
      </c>
      <c r="AG22" s="534" t="b">
        <f>IF(TRIM($B22)="","",--ISNUMBER(SEARCH("ring fenced",$B22)))</f>
        <v>0</v>
      </c>
      <c r="AH22" s="534" t="str">
        <f>IF(TRIM($B22)="","",IF(COUNTIFS(Lists!$AN$2:$AN$22,TRIM($B22)&amp;" | "&amp;TRIM($D22),Lists!$AO$2:$AO$22,"&lt;&gt;"),INDEX(Lists!$AO$2:$AO$22,MATCH(TRIM($B22)&amp;" | "&amp;TRIM($D22),Lists!$AN$2:$AN$22,0)),IF(COUNTIF(Lists!$AR$2:$AR$3,$AJ22),"TDD Cyber",IF(AND(LEFT($AJ22,4)="EGI ",ISNUMBER(MATCH(TRIM(MID($AJ22,5,99)),Lists!$AS$2:$AS$12,0))),TRIM(MID($AJ22,5,99)),IF(AND(LEFT($AJ22,4)="EGI ",ISNUMBER(MATCH(TRIM(MID($AJ22,5,99)),Lists!$T$2:$T$21,0))),INDEX(Lists!$U$2:$U$21,MATCH(TRIM(MID($AJ22,5,99)),Lists!$T$2:$T$21,0)),IF(OR(TRIM($J22)="",UPPER(TRIM($J22))="NA"),IFERROR(INDEX(Lists!$R$2:$R$9,MATCH(TRIM($G22),Lists!$Q$2:$Q$9,0)),"UNMAPPED"),IFERROR(INDEX(Lists!$U$2:$U$21,MATCH(TRIM($J22),Lists!$T$2:$T$21,0)),IFERROR(INDEX(Lists!$R$2:$R$9,MATCH(TRIM($G22),Lists!$Q$2:$Q$9,0)),"UNMAPPED"))))))))</f>
        <v>Customer</v>
      </c>
      <c r="AI22" s="534" t="b">
        <f>IF(TRIM($B22)="","",--OR(TRIM($L22)="Leadership",TRIM($K22)="Leadership"))</f>
        <v>0</v>
      </c>
      <c r="AJ22" s="534" t="str">
        <f>IF(TRIM($B22)="","",IF(COUNTIFS(Lists!$AN$2:$AN$22,TRIM($B22)&amp;" | "&amp;TRIM($D22),Lists!$AP$2:$AP$22,"&lt;&gt;"),INDEX(Lists!$AP$2:$AP$22,MATCH(TRIM($B22)&amp;" | "&amp;TRIM($D22),Lists!$AN$2:$AN$22,0)),IF($AI22=1,"Leadership",IFERROR(INDEX(Lists!$X$2:$X$21,MATCH(TRIM($L22),Lists!$W$2:$W$21,0)),IF(OR(TRIM($L22)="",LOWER(TRIM($L22))="na"),IF(TRIM($H22)="","Unassigned",TRIM($H22)),TRIM($L22))))))</f>
        <v>Digital Operations</v>
      </c>
      <c r="AK22" s="534" t="str">
        <f>IF(TRIM($B22)="","",IF(COUNTIFS(Lists!$AN$2:$AN$22,TRIM($B22)&amp;" | "&amp;TRIM($D22),Lists!$AQ$2:$AQ$22,"&lt;&gt;"),INDEX(Lists!$AQ$2:$AQ$22,MATCH(TRIM($B22)&amp;" | "&amp;TRIM($D22),Lists!$AN$2:$AN$22,0)),IF(COUNTIF(Lists!$AF$2:$AF$8,$AJ22),$AJ22,IF(ISNUMBER(SEARCH("head of ",$D22)),"Head of Technology",IF(ISNUMBER(SEARCH("TDD BP",$D22)),"Business Partner",IF(OR(ISNUMBER(SEARCH("domain architect",$D22)),ISNUMBER(SEARCH("enterprise architect",$D22))),"Domain Architect",IF(ISNUMBER(SEARCH("delivery man",$D22)),"Delivery Manager",IF(OR(ISNUMBER(SEARCH("technology manager",$D22)),ISNUMBER(SEARCH("technology manger",$D22)),ISNUMBER(SEARCH("tech manager",$D22))),"Technology Manager","Squad"))))))))</f>
        <v>Squad</v>
      </c>
      <c r="AL22" s="534" t="str">
        <f>IF(TRIM($B22)="","",IF(AND($AM22=1,LEFT($AJ22,4)&lt;&gt;"EGI ",$AJ22&lt;&gt;"EGI"),IFERROR(INDEX(Lists!$Z$2:$Z$20,MATCH($AH22,Lists!$Y$2:$Y$20,0)),"EGI "&amp;$AH22),IF(COUNTIF(Lists!$AU$2:$AU$10,$AJ22),$AJ22,IF(OR(LEFT($AH22,3)="COE",$AH22="EGI"),$AJ22,IF($AK22&lt;&gt;"Squad",$AK22,$AJ22)))))</f>
        <v>Digital Operations</v>
      </c>
      <c r="AM22" s="534" t="b">
        <f>IF(TRIM($B22)="","",--(UPPER(TRIM($K22))="EGI"))</f>
        <v>0</v>
      </c>
      <c r="AN22" s="534" t="inlineStr">
        <is>
          <t>Wipro</t>
        </is>
      </c>
      <c r="AQ22" s="841" t="inlineStr">
        <is>
          <t>R0021</t>
        </is>
      </c>
      <c r="AZ22" s="841" t="n"/>
    </row>
    <row r="23" ht="18" customHeight="1" s="535">
      <c r="A23" s="842" t="inlineStr">
        <is>
          <t>W- Vacant</t>
        </is>
      </c>
      <c r="B23" s="843" t="inlineStr">
        <is>
          <t>Vacant</t>
        </is>
      </c>
      <c r="C23" s="842" t="inlineStr">
        <is>
          <t>W- Vacant</t>
        </is>
      </c>
      <c r="D23" s="843" t="inlineStr">
        <is>
          <t>QA / Tester / Mid</t>
        </is>
      </c>
      <c r="E23" s="843" t="inlineStr">
        <is>
          <t>Mark Wilson</t>
        </is>
      </c>
      <c r="F23" s="843" t="inlineStr">
        <is>
          <t>Digital Support Manager(AU)</t>
        </is>
      </c>
      <c r="G23" s="844" t="inlineStr">
        <is>
          <t>Customer</t>
        </is>
      </c>
      <c r="H23" s="843" t="inlineStr">
        <is>
          <t>Digital</t>
        </is>
      </c>
      <c r="I23" s="843" t="inlineStr">
        <is>
          <t>Digital Support (AU)</t>
        </is>
      </c>
      <c r="J23" s="843" t="inlineStr">
        <is>
          <t>Ampol Customer</t>
        </is>
      </c>
      <c r="K23" s="843" t="inlineStr">
        <is>
          <t>Ampol Digital</t>
        </is>
      </c>
      <c r="L23" s="843" t="inlineStr">
        <is>
          <t>Digital Operations</t>
        </is>
      </c>
      <c r="M23" s="843" t="n"/>
      <c r="N23" s="845" t="inlineStr">
        <is>
          <t>WIPRO</t>
        </is>
      </c>
      <c r="O23" s="846" t="inlineStr">
        <is>
          <t>NA</t>
        </is>
      </c>
      <c r="P23" s="847" t="n">
        <v>1</v>
      </c>
      <c r="Q23" s="847" t="n"/>
      <c r="R23" s="847" t="inlineStr">
        <is>
          <t>WIPRO - vacant</t>
        </is>
      </c>
      <c r="S23" s="847" t="n">
        <v>222</v>
      </c>
      <c r="T23" s="847" t="n">
        <v>330</v>
      </c>
      <c r="U23" s="848" t="n"/>
      <c r="V23" s="849" t="n"/>
      <c r="W23" s="850" t="n"/>
      <c r="X23" s="847" t="n"/>
      <c r="Y23" s="850" t="n"/>
      <c r="Z23" s="851" t="n"/>
      <c r="AA23" s="850" t="n"/>
      <c r="AB23" s="852" t="n">
        <v>73260</v>
      </c>
      <c r="AE23" s="534">
        <f>IF(TRIM($B23)="","",IF(AND(N($P23)&gt;0,N($P23)&lt;1),N($AB23)*N($P23),N($AB23)))</f>
        <v>73260</v>
      </c>
      <c r="AF23" s="534" t="str">
        <f>IF(TRIM($B23)="","",IF(OR(ISNUMBER(SEARCH("vacant",$B23)),ISNUMBER(SEARCH("ring fenced",$B23)),LOWER(TRIM($B23))="remove"),"Vacant","Filled"))</f>
        <v>Vacant</v>
      </c>
      <c r="AG23" s="534" t="b">
        <f>IF(TRIM($B23)="","",--ISNUMBER(SEARCH("ring fenced",$B23)))</f>
        <v>0</v>
      </c>
      <c r="AH23" s="534" t="str">
        <f>IF(TRIM($B23)="","",IF(COUNTIFS(Lists!$AN$2:$AN$22,TRIM($B23)&amp;" | "&amp;TRIM($D23),Lists!$AO$2:$AO$22,"&lt;&gt;"),INDEX(Lists!$AO$2:$AO$22,MATCH(TRIM($B23)&amp;" | "&amp;TRIM($D23),Lists!$AN$2:$AN$22,0)),IF(COUNTIF(Lists!$AR$2:$AR$3,$AJ23),"TDD Cyber",IF(AND(LEFT($AJ23,4)="EGI ",ISNUMBER(MATCH(TRIM(MID($AJ23,5,99)),Lists!$AS$2:$AS$12,0))),TRIM(MID($AJ23,5,99)),IF(AND(LEFT($AJ23,4)="EGI ",ISNUMBER(MATCH(TRIM(MID($AJ23,5,99)),Lists!$T$2:$T$21,0))),INDEX(Lists!$U$2:$U$21,MATCH(TRIM(MID($AJ23,5,99)),Lists!$T$2:$T$21,0)),IF(OR(TRIM($J23)="",UPPER(TRIM($J23))="NA"),IFERROR(INDEX(Lists!$R$2:$R$9,MATCH(TRIM($G23),Lists!$Q$2:$Q$9,0)),"UNMAPPED"),IFERROR(INDEX(Lists!$U$2:$U$21,MATCH(TRIM($J23),Lists!$T$2:$T$21,0)),IFERROR(INDEX(Lists!$R$2:$R$9,MATCH(TRIM($G23),Lists!$Q$2:$Q$9,0)),"UNMAPPED"))))))))</f>
        <v>Customer</v>
      </c>
      <c r="AI23" s="534" t="b">
        <f>IF(TRIM($B23)="","",--OR(TRIM($L23)="Leadership",TRIM($K23)="Leadership"))</f>
        <v>0</v>
      </c>
      <c r="AJ23" s="534" t="str">
        <f>IF(TRIM($B23)="","",IF(COUNTIFS(Lists!$AN$2:$AN$22,TRIM($B23)&amp;" | "&amp;TRIM($D23),Lists!$AP$2:$AP$22,"&lt;&gt;"),INDEX(Lists!$AP$2:$AP$22,MATCH(TRIM($B23)&amp;" | "&amp;TRIM($D23),Lists!$AN$2:$AN$22,0)),IF($AI23=1,"Leadership",IFERROR(INDEX(Lists!$X$2:$X$21,MATCH(TRIM($L23),Lists!$W$2:$W$21,0)),IF(OR(TRIM($L23)="",LOWER(TRIM($L23))="na"),IF(TRIM($H23)="","Unassigned",TRIM($H23)),TRIM($L23))))))</f>
        <v>Digital Operations</v>
      </c>
      <c r="AK23" s="534" t="str">
        <f>IF(TRIM($B23)="","",IF(COUNTIFS(Lists!$AN$2:$AN$22,TRIM($B23)&amp;" | "&amp;TRIM($D23),Lists!$AQ$2:$AQ$22,"&lt;&gt;"),INDEX(Lists!$AQ$2:$AQ$22,MATCH(TRIM($B23)&amp;" | "&amp;TRIM($D23),Lists!$AN$2:$AN$22,0)),IF(COUNTIF(Lists!$AF$2:$AF$8,$AJ23),$AJ23,IF(ISNUMBER(SEARCH("head of ",$D23)),"Head of Technology",IF(ISNUMBER(SEARCH("TDD BP",$D23)),"Business Partner",IF(OR(ISNUMBER(SEARCH("domain architect",$D23)),ISNUMBER(SEARCH("enterprise architect",$D23))),"Domain Architect",IF(ISNUMBER(SEARCH("delivery man",$D23)),"Delivery Manager",IF(OR(ISNUMBER(SEARCH("technology manager",$D23)),ISNUMBER(SEARCH("technology manger",$D23)),ISNUMBER(SEARCH("tech manager",$D23))),"Technology Manager","Squad"))))))))</f>
        <v>Squad</v>
      </c>
      <c r="AL23" s="534" t="str">
        <f>IF(TRIM($B23)="","",IF(AND($AM23=1,LEFT($AJ23,4)&lt;&gt;"EGI ",$AJ23&lt;&gt;"EGI"),IFERROR(INDEX(Lists!$Z$2:$Z$20,MATCH($AH23,Lists!$Y$2:$Y$20,0)),"EGI "&amp;$AH23),IF(COUNTIF(Lists!$AU$2:$AU$10,$AJ23),$AJ23,IF(OR(LEFT($AH23,3)="COE",$AH23="EGI"),$AJ23,IF($AK23&lt;&gt;"Squad",$AK23,$AJ23)))))</f>
        <v>Digital Operations</v>
      </c>
      <c r="AM23" s="534" t="b">
        <f>IF(TRIM($B23)="","",--(UPPER(TRIM($K23))="EGI"))</f>
        <v>0</v>
      </c>
      <c r="AN23" s="534" t="inlineStr">
        <is>
          <t>Wipro</t>
        </is>
      </c>
      <c r="AQ23" s="841" t="inlineStr">
        <is>
          <t>R0022</t>
        </is>
      </c>
      <c r="AZ23" s="841" t="n"/>
    </row>
    <row r="24" ht="18" customHeight="1" s="535">
      <c r="A24" s="842" t="inlineStr">
        <is>
          <t>C</t>
        </is>
      </c>
      <c r="B24" s="843" t="inlineStr">
        <is>
          <t>Arun Tahlan</t>
        </is>
      </c>
      <c r="C24" s="842" t="inlineStr">
        <is>
          <t>C</t>
        </is>
      </c>
      <c r="D24" s="843" t="inlineStr">
        <is>
          <t>Integration Architect (C) - Boomi</t>
        </is>
      </c>
      <c r="E24" s="843" t="inlineStr">
        <is>
          <t>Mike Seales</t>
        </is>
      </c>
      <c r="F24" s="843" t="inlineStr">
        <is>
          <t>Technology Manager Integration &amp; Process Managemetn</t>
        </is>
      </c>
      <c r="G24" s="844" t="inlineStr">
        <is>
          <t>TDD Group Functions</t>
        </is>
      </c>
      <c r="H24" s="843" t="inlineStr">
        <is>
          <t xml:space="preserve">TDD &amp; Engineering </t>
        </is>
      </c>
      <c r="I24" s="843" t="inlineStr">
        <is>
          <t>Integration &amp; Process Management</t>
        </is>
      </c>
      <c r="J24" s="843" t="inlineStr">
        <is>
          <t>EGI</t>
        </is>
      </c>
      <c r="K24" s="843" t="inlineStr">
        <is>
          <t>EGI</t>
        </is>
      </c>
      <c r="L24" s="843" t="inlineStr">
        <is>
          <t>EGI TDD</t>
        </is>
      </c>
      <c r="M24" s="843" t="n"/>
      <c r="N24" s="845" t="inlineStr">
        <is>
          <t>Australia</t>
        </is>
      </c>
      <c r="O24" s="846" t="inlineStr">
        <is>
          <t>NA</t>
        </is>
      </c>
      <c r="P24" s="847" t="n">
        <v>1</v>
      </c>
      <c r="Q24" s="847" t="n"/>
      <c r="R24" s="847" t="inlineStr">
        <is>
          <t>cxc</t>
        </is>
      </c>
      <c r="S24" s="847" t="inlineStr">
        <is>
          <t>Daily</t>
        </is>
      </c>
      <c r="T24" s="847" t="n">
        <v>1568</v>
      </c>
      <c r="U24" s="848" t="n">
        <v>0</v>
      </c>
      <c r="V24" s="849" t="n"/>
      <c r="W24" s="850" t="n"/>
      <c r="X24" s="847" t="n"/>
      <c r="Y24" s="850" t="n"/>
      <c r="Z24" s="851" t="n"/>
      <c r="AA24" s="850" t="n"/>
      <c r="AB24" s="852" t="n">
        <v>348096</v>
      </c>
      <c r="AE24" s="534">
        <f>IF(TRIM($B24)="","",IF(AND(N($P24)&gt;0,N($P24)&lt;1),N($AB24)*N($P24),N($AB24)))</f>
        <v>348096</v>
      </c>
      <c r="AF24" s="534" t="str">
        <f>IF(TRIM($B24)="","",IF(OR(ISNUMBER(SEARCH("vacant",$B24)),ISNUMBER(SEARCH("ring fenced",$B24)),LOWER(TRIM($B24))="remove"),"Vacant","Filled"))</f>
        <v>Filled</v>
      </c>
      <c r="AG24" s="534" t="b">
        <f>IF(TRIM($B24)="","",--ISNUMBER(SEARCH("ring fenced",$B24)))</f>
        <v>0</v>
      </c>
      <c r="AH24" s="534" t="str">
        <f>IF(TRIM($B24)="","",IF(COUNTIFS(Lists!$AN$2:$AN$22,TRIM($B24)&amp;" | "&amp;TRIM($D24),Lists!$AO$2:$AO$22,"&lt;&gt;"),INDEX(Lists!$AO$2:$AO$22,MATCH(TRIM($B24)&amp;" | "&amp;TRIM($D24),Lists!$AN$2:$AN$22,0)),IF(COUNTIF(Lists!$AR$2:$AR$3,$AJ24),"TDD Cyber",IF(AND(LEFT($AJ24,4)="EGI ",ISNUMBER(MATCH(TRIM(MID($AJ24,5,99)),Lists!$AS$2:$AS$12,0))),TRIM(MID($AJ24,5,99)),IF(AND(LEFT($AJ24,4)="EGI ",ISNUMBER(MATCH(TRIM(MID($AJ24,5,99)),Lists!$T$2:$T$21,0))),INDEX(Lists!$U$2:$U$21,MATCH(TRIM(MID($AJ24,5,99)),Lists!$T$2:$T$21,0)),IF(OR(TRIM($J24)="",UPPER(TRIM($J24))="NA"),IFERROR(INDEX(Lists!$R$2:$R$9,MATCH(TRIM($G24),Lists!$Q$2:$Q$9,0)),"UNMAPPED"),IFERROR(INDEX(Lists!$U$2:$U$21,MATCH(TRIM($J24),Lists!$T$2:$T$21,0)),IFERROR(INDEX(Lists!$R$2:$R$9,MATCH(TRIM($G24),Lists!$Q$2:$Q$9,0)),"UNMAPPED"))))))))</f>
        <v>TDD Group Functions</v>
      </c>
      <c r="AI24" s="534" t="b">
        <f>IF(TRIM($B24)="","",--OR(TRIM($L24)="Leadership",TRIM($K24)="Leadership"))</f>
        <v>0</v>
      </c>
      <c r="AJ24" s="534" t="str">
        <f>IF(TRIM($B24)="","",IF(COUNTIFS(Lists!$AN$2:$AN$22,TRIM($B24)&amp;" | "&amp;TRIM($D24),Lists!$AP$2:$AP$22,"&lt;&gt;"),INDEX(Lists!$AP$2:$AP$22,MATCH(TRIM($B24)&amp;" | "&amp;TRIM($D24),Lists!$AN$2:$AN$22,0)),IF($AI24=1,"Leadership",IFERROR(INDEX(Lists!$X$2:$X$21,MATCH(TRIM($L24),Lists!$W$2:$W$21,0)),IF(OR(TRIM($L24)="",LOWER(TRIM($L24))="na"),IF(TRIM($H24)="","Unassigned",TRIM($H24)),TRIM($L24))))))</f>
        <v>EGI TDD</v>
      </c>
      <c r="AK24" s="534" t="str">
        <f>IF(TRIM($B24)="","",IF(COUNTIFS(Lists!$AN$2:$AN$22,TRIM($B24)&amp;" | "&amp;TRIM($D24),Lists!$AQ$2:$AQ$22,"&lt;&gt;"),INDEX(Lists!$AQ$2:$AQ$22,MATCH(TRIM($B24)&amp;" | "&amp;TRIM($D24),Lists!$AN$2:$AN$22,0)),IF(COUNTIF(Lists!$AF$2:$AF$8,$AJ24),$AJ24,IF(ISNUMBER(SEARCH("head of ",$D24)),"Head of Technology",IF(ISNUMBER(SEARCH("TDD BP",$D24)),"Business Partner",IF(OR(ISNUMBER(SEARCH("domain architect",$D24)),ISNUMBER(SEARCH("enterprise architect",$D24))),"Domain Architect",IF(ISNUMBER(SEARCH("delivery man",$D24)),"Delivery Manager",IF(OR(ISNUMBER(SEARCH("technology manager",$D24)),ISNUMBER(SEARCH("technology manger",$D24)),ISNUMBER(SEARCH("tech manager",$D24))),"Technology Manager","Squad"))))))))</f>
        <v>Squad</v>
      </c>
      <c r="AL24" s="534" t="str">
        <f>IF(TRIM($B24)="","",IF(AND($AM24=1,LEFT($AJ24,4)&lt;&gt;"EGI ",$AJ24&lt;&gt;"EGI"),IFERROR(INDEX(Lists!$Z$2:$Z$20,MATCH($AH24,Lists!$Y$2:$Y$20,0)),"EGI "&amp;$AH24),IF(COUNTIF(Lists!$AU$2:$AU$10,$AJ24),$AJ24,IF(OR(LEFT($AH24,3)="COE",$AH24="EGI"),$AJ24,IF($AK24&lt;&gt;"Squad",$AK24,$AJ24)))))</f>
        <v>EGI TDD</v>
      </c>
      <c r="AM24" s="534" t="b">
        <f>IF(TRIM($B24)="","",--(UPPER(TRIM($K24))="EGI"))</f>
        <v>1</v>
      </c>
      <c r="AQ24" s="841" t="inlineStr">
        <is>
          <t>R0023</t>
        </is>
      </c>
      <c r="AZ24" s="841" t="n"/>
    </row>
    <row r="25" ht="18" customHeight="1" s="535">
      <c r="A25" s="842" t="inlineStr">
        <is>
          <t>C</t>
        </is>
      </c>
      <c r="B25" s="843" t="inlineStr">
        <is>
          <t>Kris Thornley</t>
        </is>
      </c>
      <c r="C25" s="842" t="inlineStr">
        <is>
          <t>C</t>
        </is>
      </c>
      <c r="D25" s="843" t="inlineStr">
        <is>
          <t>Integration Architect (C)</t>
        </is>
      </c>
      <c r="E25" s="843" t="inlineStr">
        <is>
          <t>Mike Seales</t>
        </is>
      </c>
      <c r="F25" s="843" t="inlineStr">
        <is>
          <t>Technology Manager Integration &amp; Process Managemetn</t>
        </is>
      </c>
      <c r="G25" s="844" t="inlineStr">
        <is>
          <t>TDD Group Functions</t>
        </is>
      </c>
      <c r="H25" s="843" t="inlineStr">
        <is>
          <t xml:space="preserve">TDD &amp; Engineering </t>
        </is>
      </c>
      <c r="I25" s="843" t="inlineStr">
        <is>
          <t>Integration &amp; Process Management</t>
        </is>
      </c>
      <c r="J25" s="843" t="inlineStr">
        <is>
          <t>EGI</t>
        </is>
      </c>
      <c r="K25" s="843" t="inlineStr">
        <is>
          <t xml:space="preserve">EGI </t>
        </is>
      </c>
      <c r="L25" s="843" t="inlineStr">
        <is>
          <t>EGI TDD</t>
        </is>
      </c>
      <c r="M25" s="843" t="n"/>
      <c r="N25" s="845" t="inlineStr">
        <is>
          <t>NZ</t>
        </is>
      </c>
      <c r="O25" s="846" t="inlineStr">
        <is>
          <t>NA</t>
        </is>
      </c>
      <c r="P25" s="847" t="n">
        <v>1</v>
      </c>
      <c r="Q25" s="847" t="n"/>
      <c r="R25" s="847" t="inlineStr">
        <is>
          <t>Contractor</t>
        </is>
      </c>
      <c r="S25" s="847" t="inlineStr">
        <is>
          <t>cant find this person</t>
        </is>
      </c>
      <c r="T25" s="847" t="n">
        <v>1200</v>
      </c>
      <c r="U25" s="848" t="n">
        <v>0</v>
      </c>
      <c r="V25" s="849" t="n"/>
      <c r="W25" s="850" t="n"/>
      <c r="X25" s="847" t="n"/>
      <c r="Y25" s="850" t="n"/>
      <c r="Z25" s="851" t="n"/>
      <c r="AA25" s="850" t="n"/>
      <c r="AB25" s="852" t="n">
        <v>266400</v>
      </c>
      <c r="AE25" s="534">
        <f>IF(TRIM($B25)="","",IF(AND(N($P25)&gt;0,N($P25)&lt;1),N($AB25)*N($P25),N($AB25)))</f>
        <v>266400</v>
      </c>
      <c r="AF25" s="534" t="str">
        <f>IF(TRIM($B25)="","",IF(OR(ISNUMBER(SEARCH("vacant",$B25)),ISNUMBER(SEARCH("ring fenced",$B25)),LOWER(TRIM($B25))="remove"),"Vacant","Filled"))</f>
        <v>Filled</v>
      </c>
      <c r="AG25" s="534" t="b">
        <f>IF(TRIM($B25)="","",--ISNUMBER(SEARCH("ring fenced",$B25)))</f>
        <v>0</v>
      </c>
      <c r="AH25" s="534" t="str">
        <f>IF(TRIM($B25)="","",IF(COUNTIFS(Lists!$AN$2:$AN$22,TRIM($B25)&amp;" | "&amp;TRIM($D25),Lists!$AO$2:$AO$22,"&lt;&gt;"),INDEX(Lists!$AO$2:$AO$22,MATCH(TRIM($B25)&amp;" | "&amp;TRIM($D25),Lists!$AN$2:$AN$22,0)),IF(COUNTIF(Lists!$AR$2:$AR$3,$AJ25),"TDD Cyber",IF(AND(LEFT($AJ25,4)="EGI ",ISNUMBER(MATCH(TRIM(MID($AJ25,5,99)),Lists!$AS$2:$AS$12,0))),TRIM(MID($AJ25,5,99)),IF(AND(LEFT($AJ25,4)="EGI ",ISNUMBER(MATCH(TRIM(MID($AJ25,5,99)),Lists!$T$2:$T$21,0))),INDEX(Lists!$U$2:$U$21,MATCH(TRIM(MID($AJ25,5,99)),Lists!$T$2:$T$21,0)),IF(OR(TRIM($J25)="",UPPER(TRIM($J25))="NA"),IFERROR(INDEX(Lists!$R$2:$R$9,MATCH(TRIM($G25),Lists!$Q$2:$Q$9,0)),"UNMAPPED"),IFERROR(INDEX(Lists!$U$2:$U$21,MATCH(TRIM($J25),Lists!$T$2:$T$21,0)),IFERROR(INDEX(Lists!$R$2:$R$9,MATCH(TRIM($G25),Lists!$Q$2:$Q$9,0)),"UNMAPPED"))))))))</f>
        <v>TDD Group Functions</v>
      </c>
      <c r="AI25" s="534" t="b">
        <f>IF(TRIM($B25)="","",--OR(TRIM($L25)="Leadership",TRIM($K25)="Leadership"))</f>
        <v>0</v>
      </c>
      <c r="AJ25" s="534" t="str">
        <f>IF(TRIM($B25)="","",IF(COUNTIFS(Lists!$AN$2:$AN$22,TRIM($B25)&amp;" | "&amp;TRIM($D25),Lists!$AP$2:$AP$22,"&lt;&gt;"),INDEX(Lists!$AP$2:$AP$22,MATCH(TRIM($B25)&amp;" | "&amp;TRIM($D25),Lists!$AN$2:$AN$22,0)),IF($AI25=1,"Leadership",IFERROR(INDEX(Lists!$X$2:$X$21,MATCH(TRIM($L25),Lists!$W$2:$W$21,0)),IF(OR(TRIM($L25)="",LOWER(TRIM($L25))="na"),IF(TRIM($H25)="","Unassigned",TRIM($H25)),TRIM($L25))))))</f>
        <v>EGI TDD</v>
      </c>
      <c r="AK25" s="534" t="str">
        <f>IF(TRIM($B25)="","",IF(COUNTIFS(Lists!$AN$2:$AN$22,TRIM($B25)&amp;" | "&amp;TRIM($D25),Lists!$AQ$2:$AQ$22,"&lt;&gt;"),INDEX(Lists!$AQ$2:$AQ$22,MATCH(TRIM($B25)&amp;" | "&amp;TRIM($D25),Lists!$AN$2:$AN$22,0)),IF(COUNTIF(Lists!$AF$2:$AF$8,$AJ25),$AJ25,IF(ISNUMBER(SEARCH("head of ",$D25)),"Head of Technology",IF(ISNUMBER(SEARCH("TDD BP",$D25)),"Business Partner",IF(OR(ISNUMBER(SEARCH("domain architect",$D25)),ISNUMBER(SEARCH("enterprise architect",$D25))),"Domain Architect",IF(ISNUMBER(SEARCH("delivery man",$D25)),"Delivery Manager",IF(OR(ISNUMBER(SEARCH("technology manager",$D25)),ISNUMBER(SEARCH("technology manger",$D25)),ISNUMBER(SEARCH("tech manager",$D25))),"Technology Manager","Squad"))))))))</f>
        <v>Squad</v>
      </c>
      <c r="AL25" s="534" t="str">
        <f>IF(TRIM($B25)="","",IF(AND($AM25=1,LEFT($AJ25,4)&lt;&gt;"EGI ",$AJ25&lt;&gt;"EGI"),IFERROR(INDEX(Lists!$Z$2:$Z$20,MATCH($AH25,Lists!$Y$2:$Y$20,0)),"EGI "&amp;$AH25),IF(COUNTIF(Lists!$AU$2:$AU$10,$AJ25),$AJ25,IF(OR(LEFT($AH25,3)="COE",$AH25="EGI"),$AJ25,IF($AK25&lt;&gt;"Squad",$AK25,$AJ25)))))</f>
        <v>EGI TDD</v>
      </c>
      <c r="AM25" s="534" t="b">
        <f>IF(TRIM($B25)="","",--(UPPER(TRIM($K25))="EGI"))</f>
        <v>1</v>
      </c>
      <c r="AQ25" s="841" t="inlineStr">
        <is>
          <t>R0024</t>
        </is>
      </c>
      <c r="AZ25" s="841" t="n"/>
    </row>
    <row r="26" ht="18" customHeight="1" s="535">
      <c r="A26" s="842" t="inlineStr">
        <is>
          <t>C</t>
        </is>
      </c>
      <c r="B26" s="843" t="inlineStr">
        <is>
          <t>Annabel Phu</t>
        </is>
      </c>
      <c r="C26" s="842" t="inlineStr">
        <is>
          <t>C</t>
        </is>
      </c>
      <c r="D26" s="843" t="inlineStr">
        <is>
          <t>Engineer - Mobile</t>
        </is>
      </c>
      <c r="E26" s="843" t="inlineStr">
        <is>
          <t>Mitesh Shah</t>
        </is>
      </c>
      <c r="F26" s="843" t="inlineStr">
        <is>
          <t>Technology Manager, Digitial</t>
        </is>
      </c>
      <c r="G26" s="844" t="inlineStr">
        <is>
          <t>Customer</t>
        </is>
      </c>
      <c r="H26" s="843" t="inlineStr">
        <is>
          <t>Digital</t>
        </is>
      </c>
      <c r="I26" s="843" t="inlineStr">
        <is>
          <t>Digital, Tech</t>
        </is>
      </c>
      <c r="J26" s="843" t="inlineStr">
        <is>
          <t>Ampol Customer</t>
        </is>
      </c>
      <c r="K26" s="843" t="inlineStr">
        <is>
          <t>Ampol Digital</t>
        </is>
      </c>
      <c r="L26" s="843" t="inlineStr">
        <is>
          <t>Ampol App</t>
        </is>
      </c>
      <c r="M26" s="843" t="n"/>
      <c r="N26" s="845" t="inlineStr">
        <is>
          <t>Australia</t>
        </is>
      </c>
      <c r="O26" s="846" t="inlineStr">
        <is>
          <t>NA</t>
        </is>
      </c>
      <c r="P26" s="847" t="n">
        <v>1</v>
      </c>
      <c r="Q26" s="847" t="n"/>
      <c r="R26" s="847" t="inlineStr">
        <is>
          <t>Contractor</t>
        </is>
      </c>
      <c r="S26" s="847" t="inlineStr">
        <is>
          <t>Day</t>
        </is>
      </c>
      <c r="T26" s="847" t="n">
        <v>860</v>
      </c>
      <c r="U26" s="848" t="n"/>
      <c r="V26" s="849" t="n"/>
      <c r="W26" s="850" t="n"/>
      <c r="X26" s="847" t="n"/>
      <c r="Y26" s="850" t="n"/>
      <c r="Z26" s="851" t="n"/>
      <c r="AA26" s="850" t="n"/>
      <c r="AB26" s="852" t="n">
        <v>190920</v>
      </c>
      <c r="AC26" s="534" t="inlineStr">
        <is>
          <t>Jac: Don’t know end Date</t>
        </is>
      </c>
      <c r="AE26" s="534">
        <f>IF(TRIM($B26)="","",IF(AND(N($P26)&gt;0,N($P26)&lt;1),N($AB26)*N($P26),N($AB26)))</f>
        <v>190920</v>
      </c>
      <c r="AF26" s="534" t="str">
        <f>IF(TRIM($B26)="","",IF(OR(ISNUMBER(SEARCH("vacant",$B26)),ISNUMBER(SEARCH("ring fenced",$B26)),LOWER(TRIM($B26))="remove"),"Vacant","Filled"))</f>
        <v>Filled</v>
      </c>
      <c r="AG26" s="534" t="b">
        <f>IF(TRIM($B26)="","",--ISNUMBER(SEARCH("ring fenced",$B26)))</f>
        <v>0</v>
      </c>
      <c r="AH26" s="534" t="str">
        <f>IF(TRIM($B26)="","",IF(COUNTIFS(Lists!$AN$2:$AN$22,TRIM($B26)&amp;" | "&amp;TRIM($D26),Lists!$AO$2:$AO$22,"&lt;&gt;"),INDEX(Lists!$AO$2:$AO$22,MATCH(TRIM($B26)&amp;" | "&amp;TRIM($D26),Lists!$AN$2:$AN$22,0)),IF(COUNTIF(Lists!$AR$2:$AR$3,$AJ26),"TDD Cyber",IF(AND(LEFT($AJ26,4)="EGI ",ISNUMBER(MATCH(TRIM(MID($AJ26,5,99)),Lists!$AS$2:$AS$12,0))),TRIM(MID($AJ26,5,99)),IF(AND(LEFT($AJ26,4)="EGI ",ISNUMBER(MATCH(TRIM(MID($AJ26,5,99)),Lists!$T$2:$T$21,0))),INDEX(Lists!$U$2:$U$21,MATCH(TRIM(MID($AJ26,5,99)),Lists!$T$2:$T$21,0)),IF(OR(TRIM($J26)="",UPPER(TRIM($J26))="NA"),IFERROR(INDEX(Lists!$R$2:$R$9,MATCH(TRIM($G26),Lists!$Q$2:$Q$9,0)),"UNMAPPED"),IFERROR(INDEX(Lists!$U$2:$U$21,MATCH(TRIM($J26),Lists!$T$2:$T$21,0)),IFERROR(INDEX(Lists!$R$2:$R$9,MATCH(TRIM($G26),Lists!$Q$2:$Q$9,0)),"UNMAPPED"))))))))</f>
        <v>Customer</v>
      </c>
      <c r="AI26" s="534" t="b">
        <f>IF(TRIM($B26)="","",--OR(TRIM($L26)="Leadership",TRIM($K26)="Leadership"))</f>
        <v>0</v>
      </c>
      <c r="AJ26" s="534" t="str">
        <f>IF(TRIM($B26)="","",IF(COUNTIFS(Lists!$AN$2:$AN$22,TRIM($B26)&amp;" | "&amp;TRIM($D26),Lists!$AP$2:$AP$22,"&lt;&gt;"),INDEX(Lists!$AP$2:$AP$22,MATCH(TRIM($B26)&amp;" | "&amp;TRIM($D26),Lists!$AN$2:$AN$22,0)),IF($AI26=1,"Leadership",IFERROR(INDEX(Lists!$X$2:$X$21,MATCH(TRIM($L26),Lists!$W$2:$W$21,0)),IF(OR(TRIM($L26)="",LOWER(TRIM($L26))="na"),IF(TRIM($H26)="","Unassigned",TRIM($H26)),TRIM($L26))))))</f>
        <v>Ampol App</v>
      </c>
      <c r="AK26" s="534" t="str">
        <f>IF(TRIM($B26)="","",IF(COUNTIFS(Lists!$AN$2:$AN$22,TRIM($B26)&amp;" | "&amp;TRIM($D26),Lists!$AQ$2:$AQ$22,"&lt;&gt;"),INDEX(Lists!$AQ$2:$AQ$22,MATCH(TRIM($B26)&amp;" | "&amp;TRIM($D26),Lists!$AN$2:$AN$22,0)),IF(COUNTIF(Lists!$AF$2:$AF$8,$AJ26),$AJ26,IF(ISNUMBER(SEARCH("head of ",$D26)),"Head of Technology",IF(ISNUMBER(SEARCH("TDD BP",$D26)),"Business Partner",IF(OR(ISNUMBER(SEARCH("domain architect",$D26)),ISNUMBER(SEARCH("enterprise architect",$D26))),"Domain Architect",IF(ISNUMBER(SEARCH("delivery man",$D26)),"Delivery Manager",IF(OR(ISNUMBER(SEARCH("technology manager",$D26)),ISNUMBER(SEARCH("technology manger",$D26)),ISNUMBER(SEARCH("tech manager",$D26))),"Technology Manager","Squad"))))))))</f>
        <v>Squad</v>
      </c>
      <c r="AL26" s="534" t="str">
        <f>IF(TRIM($B26)="","",IF(AND($AM26=1,LEFT($AJ26,4)&lt;&gt;"EGI ",$AJ26&lt;&gt;"EGI"),IFERROR(INDEX(Lists!$Z$2:$Z$20,MATCH($AH26,Lists!$Y$2:$Y$20,0)),"EGI "&amp;$AH26),IF(COUNTIF(Lists!$AU$2:$AU$10,$AJ26),$AJ26,IF(OR(LEFT($AH26,3)="COE",$AH26="EGI"),$AJ26,IF($AK26&lt;&gt;"Squad",$AK26,$AJ26)))))</f>
        <v>Ampol App</v>
      </c>
      <c r="AM26" s="534" t="b">
        <f>IF(TRIM($B26)="","",--(UPPER(TRIM($K26))="EGI"))</f>
        <v>0</v>
      </c>
      <c r="AN26" s="534" t="inlineStr">
        <is>
          <t>Filled</t>
        </is>
      </c>
      <c r="AO26" s="534" t="inlineStr">
        <is>
          <t>Jac: Don’t know end Date</t>
        </is>
      </c>
      <c r="AQ26" s="841" t="inlineStr">
        <is>
          <t>R0025</t>
        </is>
      </c>
      <c r="AZ26" s="841" t="n"/>
    </row>
    <row r="27" ht="18" customHeight="1" s="535">
      <c r="A27" s="842" t="inlineStr">
        <is>
          <t>C</t>
        </is>
      </c>
      <c r="B27" s="843" t="inlineStr">
        <is>
          <t>Jordan Askwith</t>
        </is>
      </c>
      <c r="C27" s="842" t="inlineStr">
        <is>
          <t>C</t>
        </is>
      </c>
      <c r="D27" s="843" t="inlineStr">
        <is>
          <t>Solution Architect</t>
        </is>
      </c>
      <c r="E27" s="843" t="inlineStr">
        <is>
          <t>Mitesh Shah</t>
        </is>
      </c>
      <c r="F27" s="843" t="inlineStr">
        <is>
          <t>Technology Manager, Digitial</t>
        </is>
      </c>
      <c r="G27" s="844" t="inlineStr">
        <is>
          <t>Customer</t>
        </is>
      </c>
      <c r="H27" s="843" t="inlineStr">
        <is>
          <t>Digital</t>
        </is>
      </c>
      <c r="I27" s="843" t="inlineStr">
        <is>
          <t>Digital, Tech</t>
        </is>
      </c>
      <c r="J27" s="843" t="inlineStr">
        <is>
          <t>Ampol Customer</t>
        </is>
      </c>
      <c r="K27" s="843" t="inlineStr">
        <is>
          <t>Ampol Digital</t>
        </is>
      </c>
      <c r="L27" s="843" t="inlineStr">
        <is>
          <t>Ampol Web</t>
        </is>
      </c>
      <c r="M27" s="843" t="n"/>
      <c r="N27" s="845" t="inlineStr">
        <is>
          <t>Australia</t>
        </is>
      </c>
      <c r="O27" s="846" t="inlineStr">
        <is>
          <t>NA</t>
        </is>
      </c>
      <c r="P27" s="847" t="n">
        <v>1</v>
      </c>
      <c r="Q27" s="846" t="n"/>
      <c r="R27" s="847" t="inlineStr">
        <is>
          <t>Contractor (Digizoo)</t>
        </is>
      </c>
      <c r="S27" s="847" t="inlineStr">
        <is>
          <t>Day</t>
        </is>
      </c>
      <c r="T27" s="847" t="n">
        <v>1450</v>
      </c>
      <c r="U27" s="848" t="n"/>
      <c r="V27" s="849" t="n"/>
      <c r="W27" s="850" t="n"/>
      <c r="X27" s="847" t="n"/>
      <c r="Y27" s="850" t="n"/>
      <c r="Z27" s="851" t="n"/>
      <c r="AA27" s="850" t="n"/>
      <c r="AB27" s="852" t="n">
        <v>321900</v>
      </c>
      <c r="AC27" s="534" t="inlineStr">
        <is>
          <t>Jac: Don’t know end date</t>
        </is>
      </c>
      <c r="AE27" s="534">
        <f>IF(TRIM($B27)="","",IF(AND(N($P27)&gt;0,N($P27)&lt;1),N($AB27)*N($P27),N($AB27)))</f>
        <v>321900</v>
      </c>
      <c r="AF27" s="534" t="str">
        <f>IF(TRIM($B27)="","",IF(OR(ISNUMBER(SEARCH("vacant",$B27)),ISNUMBER(SEARCH("ring fenced",$B27)),LOWER(TRIM($B27))="remove"),"Vacant","Filled"))</f>
        <v>Filled</v>
      </c>
      <c r="AG27" s="534" t="b">
        <f>IF(TRIM($B27)="","",--ISNUMBER(SEARCH("ring fenced",$B27)))</f>
        <v>0</v>
      </c>
      <c r="AH27" s="534" t="str">
        <f>IF(TRIM($B27)="","",IF(COUNTIFS(Lists!$AN$2:$AN$22,TRIM($B27)&amp;" | "&amp;TRIM($D27),Lists!$AO$2:$AO$22,"&lt;&gt;"),INDEX(Lists!$AO$2:$AO$22,MATCH(TRIM($B27)&amp;" | "&amp;TRIM($D27),Lists!$AN$2:$AN$22,0)),IF(COUNTIF(Lists!$AR$2:$AR$3,$AJ27),"TDD Cyber",IF(AND(LEFT($AJ27,4)="EGI ",ISNUMBER(MATCH(TRIM(MID($AJ27,5,99)),Lists!$AS$2:$AS$12,0))),TRIM(MID($AJ27,5,99)),IF(AND(LEFT($AJ27,4)="EGI ",ISNUMBER(MATCH(TRIM(MID($AJ27,5,99)),Lists!$T$2:$T$21,0))),INDEX(Lists!$U$2:$U$21,MATCH(TRIM(MID($AJ27,5,99)),Lists!$T$2:$T$21,0)),IF(OR(TRIM($J27)="",UPPER(TRIM($J27))="NA"),IFERROR(INDEX(Lists!$R$2:$R$9,MATCH(TRIM($G27),Lists!$Q$2:$Q$9,0)),"UNMAPPED"),IFERROR(INDEX(Lists!$U$2:$U$21,MATCH(TRIM($J27),Lists!$T$2:$T$21,0)),IFERROR(INDEX(Lists!$R$2:$R$9,MATCH(TRIM($G27),Lists!$Q$2:$Q$9,0)),"UNMAPPED"))))))))</f>
        <v>Customer</v>
      </c>
      <c r="AI27" s="534" t="b">
        <f>IF(TRIM($B27)="","",--OR(TRIM($L27)="Leadership",TRIM($K27)="Leadership"))</f>
        <v>0</v>
      </c>
      <c r="AJ27" s="534" t="str">
        <f>IF(TRIM($B27)="","",IF(COUNTIFS(Lists!$AN$2:$AN$22,TRIM($B27)&amp;" | "&amp;TRIM($D27),Lists!$AP$2:$AP$22,"&lt;&gt;"),INDEX(Lists!$AP$2:$AP$22,MATCH(TRIM($B27)&amp;" | "&amp;TRIM($D27),Lists!$AN$2:$AN$22,0)),IF($AI27=1,"Leadership",IFERROR(INDEX(Lists!$X$2:$X$21,MATCH(TRIM($L27),Lists!$W$2:$W$21,0)),IF(OR(TRIM($L27)="",LOWER(TRIM($L27))="na"),IF(TRIM($H27)="","Unassigned",TRIM($H27)),TRIM($L27))))))</f>
        <v>Ampol Web</v>
      </c>
      <c r="AK27" s="534" t="str">
        <f>IF(TRIM($B27)="","",IF(COUNTIFS(Lists!$AN$2:$AN$22,TRIM($B27)&amp;" | "&amp;TRIM($D27),Lists!$AQ$2:$AQ$22,"&lt;&gt;"),INDEX(Lists!$AQ$2:$AQ$22,MATCH(TRIM($B27)&amp;" | "&amp;TRIM($D27),Lists!$AN$2:$AN$22,0)),IF(COUNTIF(Lists!$AF$2:$AF$8,$AJ27),$AJ27,IF(ISNUMBER(SEARCH("head of ",$D27)),"Head of Technology",IF(ISNUMBER(SEARCH("TDD BP",$D27)),"Business Partner",IF(OR(ISNUMBER(SEARCH("domain architect",$D27)),ISNUMBER(SEARCH("enterprise architect",$D27))),"Domain Architect",IF(ISNUMBER(SEARCH("delivery man",$D27)),"Delivery Manager",IF(OR(ISNUMBER(SEARCH("technology manager",$D27)),ISNUMBER(SEARCH("technology manger",$D27)),ISNUMBER(SEARCH("tech manager",$D27))),"Technology Manager","Squad"))))))))</f>
        <v>Squad</v>
      </c>
      <c r="AL27" s="534" t="str">
        <f>IF(TRIM($B27)="","",IF(AND($AM27=1,LEFT($AJ27,4)&lt;&gt;"EGI ",$AJ27&lt;&gt;"EGI"),IFERROR(INDEX(Lists!$Z$2:$Z$20,MATCH($AH27,Lists!$Y$2:$Y$20,0)),"EGI "&amp;$AH27),IF(COUNTIF(Lists!$AU$2:$AU$10,$AJ27),$AJ27,IF(OR(LEFT($AH27,3)="COE",$AH27="EGI"),$AJ27,IF($AK27&lt;&gt;"Squad",$AK27,$AJ27)))))</f>
        <v>Ampol Web</v>
      </c>
      <c r="AM27" s="534" t="b">
        <f>IF(TRIM($B27)="","",--(UPPER(TRIM($K27))="EGI"))</f>
        <v>0</v>
      </c>
      <c r="AN27" s="534" t="inlineStr">
        <is>
          <t>Filled</t>
        </is>
      </c>
      <c r="AO27" s="534" t="inlineStr">
        <is>
          <t>Jac: Don’t know end date</t>
        </is>
      </c>
      <c r="AQ27" s="841" t="inlineStr">
        <is>
          <t>R0026</t>
        </is>
      </c>
      <c r="AZ27" s="841" t="n"/>
    </row>
    <row r="28" ht="18" customHeight="1" s="535">
      <c r="A28" s="842" t="inlineStr">
        <is>
          <t>c</t>
        </is>
      </c>
      <c r="B28" s="843" t="inlineStr">
        <is>
          <t>Kanika Narula</t>
        </is>
      </c>
      <c r="C28" s="842" t="inlineStr">
        <is>
          <t>c</t>
        </is>
      </c>
      <c r="D28" s="843" t="inlineStr">
        <is>
          <t>Business Analyst Digital</t>
        </is>
      </c>
      <c r="E28" s="843" t="inlineStr">
        <is>
          <t>Mitesh Shah</t>
        </is>
      </c>
      <c r="F28" s="843" t="inlineStr">
        <is>
          <t>Technology Manager, Digitial</t>
        </is>
      </c>
      <c r="G28" s="844" t="inlineStr">
        <is>
          <t>EGI</t>
        </is>
      </c>
      <c r="H28" s="843" t="inlineStr">
        <is>
          <t>EGI</t>
        </is>
      </c>
      <c r="I28" s="843" t="inlineStr">
        <is>
          <t>EGI</t>
        </is>
      </c>
      <c r="J28" s="843" t="inlineStr">
        <is>
          <t>EGI</t>
        </is>
      </c>
      <c r="K28" s="843" t="inlineStr">
        <is>
          <t>EGI</t>
        </is>
      </c>
      <c r="L28" s="843" t="inlineStr">
        <is>
          <t>EGI</t>
        </is>
      </c>
      <c r="M28" s="843" t="n"/>
      <c r="N28" s="845" t="inlineStr">
        <is>
          <t>Australia</t>
        </is>
      </c>
      <c r="O28" s="846" t="inlineStr">
        <is>
          <t>na</t>
        </is>
      </c>
      <c r="P28" s="847" t="n">
        <v>1</v>
      </c>
      <c r="Q28" s="847" t="n"/>
      <c r="R28" s="847" t="inlineStr">
        <is>
          <t>cxc</t>
        </is>
      </c>
      <c r="S28" s="847" t="inlineStr">
        <is>
          <t>daily</t>
        </is>
      </c>
      <c r="T28" s="847" t="n">
        <v>1078.84</v>
      </c>
      <c r="U28" s="848" t="n">
        <v>0</v>
      </c>
      <c r="V28" s="849" t="n"/>
      <c r="W28" s="850" t="n"/>
      <c r="X28" s="847" t="n"/>
      <c r="Y28" s="850" t="n"/>
      <c r="Z28" s="851" t="n"/>
      <c r="AA28" s="850" t="n"/>
      <c r="AB28" s="852" t="n">
        <v>239502.48</v>
      </c>
      <c r="AE28" s="534">
        <f>IF(TRIM($B28)="","",IF(AND(N($P28)&gt;0,N($P28)&lt;1),N($AB28)*N($P28),N($AB28)))</f>
        <v>239502.48</v>
      </c>
      <c r="AF28" s="534" t="str">
        <f>IF(TRIM($B28)="","",IF(OR(ISNUMBER(SEARCH("vacant",$B28)),ISNUMBER(SEARCH("ring fenced",$B28)),LOWER(TRIM($B28))="remove"),"Vacant","Filled"))</f>
        <v>Filled</v>
      </c>
      <c r="AG28" s="534" t="b">
        <f>IF(TRIM($B28)="","",--ISNUMBER(SEARCH("ring fenced",$B28)))</f>
        <v>0</v>
      </c>
      <c r="AH28" s="534" t="str">
        <f>IF(TRIM($B28)="","",IF(COUNTIFS(Lists!$AN$2:$AN$22,TRIM($B28)&amp;" | "&amp;TRIM($D28),Lists!$AO$2:$AO$22,"&lt;&gt;"),INDEX(Lists!$AO$2:$AO$22,MATCH(TRIM($B28)&amp;" | "&amp;TRIM($D28),Lists!$AN$2:$AN$22,0)),IF(COUNTIF(Lists!$AR$2:$AR$3,$AJ28),"TDD Cyber",IF(AND(LEFT($AJ28,4)="EGI ",ISNUMBER(MATCH(TRIM(MID($AJ28,5,99)),Lists!$AS$2:$AS$12,0))),TRIM(MID($AJ28,5,99)),IF(AND(LEFT($AJ28,4)="EGI ",ISNUMBER(MATCH(TRIM(MID($AJ28,5,99)),Lists!$T$2:$T$21,0))),INDEX(Lists!$U$2:$U$21,MATCH(TRIM(MID($AJ28,5,99)),Lists!$T$2:$T$21,0)),IF(OR(TRIM($J28)="",UPPER(TRIM($J28))="NA"),IFERROR(INDEX(Lists!$R$2:$R$9,MATCH(TRIM($G28),Lists!$Q$2:$Q$9,0)),"UNMAPPED"),IFERROR(INDEX(Lists!$U$2:$U$21,MATCH(TRIM($J28),Lists!$T$2:$T$21,0)),IFERROR(INDEX(Lists!$R$2:$R$9,MATCH(TRIM($G28),Lists!$Q$2:$Q$9,0)),"UNMAPPED"))))))))</f>
        <v>EGI</v>
      </c>
      <c r="AI28" s="534" t="b">
        <f>IF(TRIM($B28)="","",--OR(TRIM($L28)="Leadership",TRIM($K28)="Leadership"))</f>
        <v>0</v>
      </c>
      <c r="AJ28" s="534" t="str">
        <f>IF(TRIM($B28)="","",IF(COUNTIFS(Lists!$AN$2:$AN$22,TRIM($B28)&amp;" | "&amp;TRIM($D28),Lists!$AP$2:$AP$22,"&lt;&gt;"),INDEX(Lists!$AP$2:$AP$22,MATCH(TRIM($B28)&amp;" | "&amp;TRIM($D28),Lists!$AN$2:$AN$22,0)),IF($AI28=1,"Leadership",IFERROR(INDEX(Lists!$X$2:$X$21,MATCH(TRIM($L28),Lists!$W$2:$W$21,0)),IF(OR(TRIM($L28)="",LOWER(TRIM($L28))="na"),IF(TRIM($H28)="","Unassigned",TRIM($H28)),TRIM($L28))))))</f>
        <v>EGI</v>
      </c>
      <c r="AK28" s="534" t="str">
        <f>IF(TRIM($B28)="","",IF(COUNTIFS(Lists!$AN$2:$AN$22,TRIM($B28)&amp;" | "&amp;TRIM($D28),Lists!$AQ$2:$AQ$22,"&lt;&gt;"),INDEX(Lists!$AQ$2:$AQ$22,MATCH(TRIM($B28)&amp;" | "&amp;TRIM($D28),Lists!$AN$2:$AN$22,0)),IF(COUNTIF(Lists!$AF$2:$AF$8,$AJ28),$AJ28,IF(ISNUMBER(SEARCH("head of ",$D28)),"Head of Technology",IF(ISNUMBER(SEARCH("TDD BP",$D28)),"Business Partner",IF(OR(ISNUMBER(SEARCH("domain architect",$D28)),ISNUMBER(SEARCH("enterprise architect",$D28))),"Domain Architect",IF(ISNUMBER(SEARCH("delivery man",$D28)),"Delivery Manager",IF(OR(ISNUMBER(SEARCH("technology manager",$D28)),ISNUMBER(SEARCH("technology manger",$D28)),ISNUMBER(SEARCH("tech manager",$D28))),"Technology Manager","Squad"))))))))</f>
        <v>Squad</v>
      </c>
      <c r="AL28" s="534" t="str">
        <f>IF(TRIM($B28)="","",IF(AND($AM28=1,LEFT($AJ28,4)&lt;&gt;"EGI ",$AJ28&lt;&gt;"EGI"),IFERROR(INDEX(Lists!$Z$2:$Z$20,MATCH($AH28,Lists!$Y$2:$Y$20,0)),"EGI "&amp;$AH28),IF(COUNTIF(Lists!$AU$2:$AU$10,$AJ28),$AJ28,IF(OR(LEFT($AH28,3)="COE",$AH28="EGI"),$AJ28,IF($AK28&lt;&gt;"Squad",$AK28,$AJ28)))))</f>
        <v>EGI</v>
      </c>
      <c r="AM28" s="534" t="b">
        <f>IF(TRIM($B28)="","",--(UPPER(TRIM($K28))="EGI"))</f>
        <v>1</v>
      </c>
      <c r="AQ28" s="841" t="inlineStr">
        <is>
          <t>R0027</t>
        </is>
      </c>
      <c r="AZ28" s="841" t="n"/>
    </row>
    <row r="29" ht="18" customHeight="1" s="535">
      <c r="A29" s="842" t="inlineStr">
        <is>
          <t>C</t>
        </is>
      </c>
      <c r="B29" s="843" t="inlineStr">
        <is>
          <t>Phillip Kewley</t>
        </is>
      </c>
      <c r="C29" s="842" t="inlineStr">
        <is>
          <t>C</t>
        </is>
      </c>
      <c r="D29" s="843" t="inlineStr">
        <is>
          <t>Quality Assurance</t>
        </is>
      </c>
      <c r="E29" s="843" t="inlineStr">
        <is>
          <t>Mitesh Shah</t>
        </is>
      </c>
      <c r="F29" s="843" t="inlineStr">
        <is>
          <t>Technology Manager, Digitial</t>
        </is>
      </c>
      <c r="G29" s="844" t="inlineStr">
        <is>
          <t>Customer</t>
        </is>
      </c>
      <c r="H29" s="843" t="inlineStr">
        <is>
          <t>Digital</t>
        </is>
      </c>
      <c r="I29" s="843" t="inlineStr">
        <is>
          <t>Digital, Tech</t>
        </is>
      </c>
      <c r="J29" s="843" t="inlineStr">
        <is>
          <t>Ampol Customer</t>
        </is>
      </c>
      <c r="K29" s="843" t="inlineStr">
        <is>
          <t>Ampol Digital</t>
        </is>
      </c>
      <c r="L29" s="843" t="inlineStr">
        <is>
          <t>Ampol App</t>
        </is>
      </c>
      <c r="M29" s="843" t="n"/>
      <c r="N29" s="845" t="inlineStr">
        <is>
          <t>Australia</t>
        </is>
      </c>
      <c r="O29" s="846" t="inlineStr">
        <is>
          <t>NA</t>
        </is>
      </c>
      <c r="P29" s="847" t="n">
        <v>1</v>
      </c>
      <c r="Q29" s="846" t="n"/>
      <c r="R29" s="847" t="inlineStr">
        <is>
          <t>Contractor</t>
        </is>
      </c>
      <c r="S29" s="847" t="inlineStr">
        <is>
          <t>Day</t>
        </is>
      </c>
      <c r="T29" s="847" t="n">
        <v>807.2</v>
      </c>
      <c r="U29" s="848" t="n"/>
      <c r="V29" s="849" t="n"/>
      <c r="W29" s="850" t="n"/>
      <c r="X29" s="847" t="n"/>
      <c r="Y29" s="850" t="n"/>
      <c r="Z29" s="851" t="n"/>
      <c r="AA29" s="850" t="n"/>
      <c r="AB29" s="852" t="n">
        <v>179198.4</v>
      </c>
      <c r="AC29" s="534" t="inlineStr">
        <is>
          <t>End Date: 30/10/26</t>
        </is>
      </c>
      <c r="AE29" s="534">
        <f>IF(TRIM($B29)="","",IF(AND(N($P29)&gt;0,N($P29)&lt;1),N($AB29)*N($P29),N($AB29)))</f>
        <v>179198.4</v>
      </c>
      <c r="AF29" s="534" t="str">
        <f>IF(TRIM($B29)="","",IF(OR(ISNUMBER(SEARCH("vacant",$B29)),ISNUMBER(SEARCH("ring fenced",$B29)),LOWER(TRIM($B29))="remove"),"Vacant","Filled"))</f>
        <v>Filled</v>
      </c>
      <c r="AG29" s="534" t="b">
        <f>IF(TRIM($B29)="","",--ISNUMBER(SEARCH("ring fenced",$B29)))</f>
        <v>0</v>
      </c>
      <c r="AH29" s="534" t="str">
        <f>IF(TRIM($B29)="","",IF(COUNTIFS(Lists!$AN$2:$AN$22,TRIM($B29)&amp;" | "&amp;TRIM($D29),Lists!$AO$2:$AO$22,"&lt;&gt;"),INDEX(Lists!$AO$2:$AO$22,MATCH(TRIM($B29)&amp;" | "&amp;TRIM($D29),Lists!$AN$2:$AN$22,0)),IF(COUNTIF(Lists!$AR$2:$AR$3,$AJ29),"TDD Cyber",IF(AND(LEFT($AJ29,4)="EGI ",ISNUMBER(MATCH(TRIM(MID($AJ29,5,99)),Lists!$AS$2:$AS$12,0))),TRIM(MID($AJ29,5,99)),IF(AND(LEFT($AJ29,4)="EGI ",ISNUMBER(MATCH(TRIM(MID($AJ29,5,99)),Lists!$T$2:$T$21,0))),INDEX(Lists!$U$2:$U$21,MATCH(TRIM(MID($AJ29,5,99)),Lists!$T$2:$T$21,0)),IF(OR(TRIM($J29)="",UPPER(TRIM($J29))="NA"),IFERROR(INDEX(Lists!$R$2:$R$9,MATCH(TRIM($G29),Lists!$Q$2:$Q$9,0)),"UNMAPPED"),IFERROR(INDEX(Lists!$U$2:$U$21,MATCH(TRIM($J29),Lists!$T$2:$T$21,0)),IFERROR(INDEX(Lists!$R$2:$R$9,MATCH(TRIM($G29),Lists!$Q$2:$Q$9,0)),"UNMAPPED"))))))))</f>
        <v>Customer</v>
      </c>
      <c r="AI29" s="534" t="b">
        <f>IF(TRIM($B29)="","",--OR(TRIM($L29)="Leadership",TRIM($K29)="Leadership"))</f>
        <v>0</v>
      </c>
      <c r="AJ29" s="534" t="str">
        <f>IF(TRIM($B29)="","",IF(COUNTIFS(Lists!$AN$2:$AN$22,TRIM($B29)&amp;" | "&amp;TRIM($D29),Lists!$AP$2:$AP$22,"&lt;&gt;"),INDEX(Lists!$AP$2:$AP$22,MATCH(TRIM($B29)&amp;" | "&amp;TRIM($D29),Lists!$AN$2:$AN$22,0)),IF($AI29=1,"Leadership",IFERROR(INDEX(Lists!$X$2:$X$21,MATCH(TRIM($L29),Lists!$W$2:$W$21,0)),IF(OR(TRIM($L29)="",LOWER(TRIM($L29))="na"),IF(TRIM($H29)="","Unassigned",TRIM($H29)),TRIM($L29))))))</f>
        <v>Ampol App</v>
      </c>
      <c r="AK29" s="534" t="str">
        <f>IF(TRIM($B29)="","",IF(COUNTIFS(Lists!$AN$2:$AN$22,TRIM($B29)&amp;" | "&amp;TRIM($D29),Lists!$AQ$2:$AQ$22,"&lt;&gt;"),INDEX(Lists!$AQ$2:$AQ$22,MATCH(TRIM($B29)&amp;" | "&amp;TRIM($D29),Lists!$AN$2:$AN$22,0)),IF(COUNTIF(Lists!$AF$2:$AF$8,$AJ29),$AJ29,IF(ISNUMBER(SEARCH("head of ",$D29)),"Head of Technology",IF(ISNUMBER(SEARCH("TDD BP",$D29)),"Business Partner",IF(OR(ISNUMBER(SEARCH("domain architect",$D29)),ISNUMBER(SEARCH("enterprise architect",$D29))),"Domain Architect",IF(ISNUMBER(SEARCH("delivery man",$D29)),"Delivery Manager",IF(OR(ISNUMBER(SEARCH("technology manager",$D29)),ISNUMBER(SEARCH("technology manger",$D29)),ISNUMBER(SEARCH("tech manager",$D29))),"Technology Manager","Squad"))))))))</f>
        <v>Squad</v>
      </c>
      <c r="AL29" s="534" t="str">
        <f>IF(TRIM($B29)="","",IF(AND($AM29=1,LEFT($AJ29,4)&lt;&gt;"EGI ",$AJ29&lt;&gt;"EGI"),IFERROR(INDEX(Lists!$Z$2:$Z$20,MATCH($AH29,Lists!$Y$2:$Y$20,0)),"EGI "&amp;$AH29),IF(COUNTIF(Lists!$AU$2:$AU$10,$AJ29),$AJ29,IF(OR(LEFT($AH29,3)="COE",$AH29="EGI"),$AJ29,IF($AK29&lt;&gt;"Squad",$AK29,$AJ29)))))</f>
        <v>Ampol App</v>
      </c>
      <c r="AM29" s="534" t="b">
        <f>IF(TRIM($B29)="","",--(UPPER(TRIM($K29))="EGI"))</f>
        <v>0</v>
      </c>
      <c r="AN29" s="534" t="inlineStr">
        <is>
          <t>Filled</t>
        </is>
      </c>
      <c r="AO29" s="534" t="inlineStr">
        <is>
          <t>End Date: 30/10/26</t>
        </is>
      </c>
      <c r="AP29" s="854" t="n">
        <v>46326</v>
      </c>
      <c r="AQ29" s="841" t="inlineStr">
        <is>
          <t>R0028</t>
        </is>
      </c>
      <c r="AZ29" s="841" t="n"/>
    </row>
    <row r="30" ht="18" customHeight="1" s="535">
      <c r="A30" s="842" t="inlineStr">
        <is>
          <t>C</t>
        </is>
      </c>
      <c r="B30" s="843" t="inlineStr">
        <is>
          <t>Sheetal Karkera</t>
        </is>
      </c>
      <c r="C30" s="842" t="inlineStr">
        <is>
          <t>C</t>
        </is>
      </c>
      <c r="D30" s="843" t="inlineStr">
        <is>
          <t>Lead Engineer - Mobile</t>
        </is>
      </c>
      <c r="E30" s="843" t="inlineStr">
        <is>
          <t>Mitesh Shah</t>
        </is>
      </c>
      <c r="F30" s="843" t="inlineStr">
        <is>
          <t>Technology Manager, Digitial</t>
        </is>
      </c>
      <c r="G30" s="844" t="inlineStr">
        <is>
          <t>Customer</t>
        </is>
      </c>
      <c r="H30" s="843" t="inlineStr">
        <is>
          <t>Digital</t>
        </is>
      </c>
      <c r="I30" s="843" t="inlineStr">
        <is>
          <t>Digital, Tech</t>
        </is>
      </c>
      <c r="J30" s="843" t="inlineStr">
        <is>
          <t>Ampol Customer</t>
        </is>
      </c>
      <c r="K30" s="843" t="inlineStr">
        <is>
          <t>Ampol Digital</t>
        </is>
      </c>
      <c r="L30" s="843" t="inlineStr">
        <is>
          <t>Ampol App</t>
        </is>
      </c>
      <c r="M30" s="843" t="n"/>
      <c r="N30" s="845" t="inlineStr">
        <is>
          <t>Australia</t>
        </is>
      </c>
      <c r="O30" s="846" t="inlineStr">
        <is>
          <t>NA</t>
        </is>
      </c>
      <c r="P30" s="847" t="n">
        <v>1</v>
      </c>
      <c r="Q30" s="847" t="n"/>
      <c r="R30" s="847" t="inlineStr">
        <is>
          <t>Contractor</t>
        </is>
      </c>
      <c r="S30" s="847" t="inlineStr">
        <is>
          <t>Day</t>
        </is>
      </c>
      <c r="T30" s="847" t="n">
        <v>1253</v>
      </c>
      <c r="U30" s="848" t="n"/>
      <c r="V30" s="849" t="n"/>
      <c r="W30" s="850" t="n"/>
      <c r="X30" s="847" t="n"/>
      <c r="Y30" s="850" t="n"/>
      <c r="Z30" s="851" t="n"/>
      <c r="AA30" s="850" t="n"/>
      <c r="AB30" s="852" t="n">
        <v>278166</v>
      </c>
      <c r="AC30" s="534" t="inlineStr">
        <is>
          <t>End Date: 21/08/2026</t>
        </is>
      </c>
      <c r="AE30" s="534">
        <f>IF(TRIM($B30)="","",IF(AND(N($P30)&gt;0,N($P30)&lt;1),N($AB30)*N($P30),N($AB30)))</f>
        <v>278166</v>
      </c>
      <c r="AF30" s="534" t="str">
        <f>IF(TRIM($B30)="","",IF(OR(ISNUMBER(SEARCH("vacant",$B30)),ISNUMBER(SEARCH("ring fenced",$B30)),LOWER(TRIM($B30))="remove"),"Vacant","Filled"))</f>
        <v>Filled</v>
      </c>
      <c r="AG30" s="534" t="b">
        <f>IF(TRIM($B30)="","",--ISNUMBER(SEARCH("ring fenced",$B30)))</f>
        <v>0</v>
      </c>
      <c r="AH30" s="534" t="str">
        <f>IF(TRIM($B30)="","",IF(COUNTIFS(Lists!$AN$2:$AN$22,TRIM($B30)&amp;" | "&amp;TRIM($D30),Lists!$AO$2:$AO$22,"&lt;&gt;"),INDEX(Lists!$AO$2:$AO$22,MATCH(TRIM($B30)&amp;" | "&amp;TRIM($D30),Lists!$AN$2:$AN$22,0)),IF(COUNTIF(Lists!$AR$2:$AR$3,$AJ30),"TDD Cyber",IF(AND(LEFT($AJ30,4)="EGI ",ISNUMBER(MATCH(TRIM(MID($AJ30,5,99)),Lists!$AS$2:$AS$12,0))),TRIM(MID($AJ30,5,99)),IF(AND(LEFT($AJ30,4)="EGI ",ISNUMBER(MATCH(TRIM(MID($AJ30,5,99)),Lists!$T$2:$T$21,0))),INDEX(Lists!$U$2:$U$21,MATCH(TRIM(MID($AJ30,5,99)),Lists!$T$2:$T$21,0)),IF(OR(TRIM($J30)="",UPPER(TRIM($J30))="NA"),IFERROR(INDEX(Lists!$R$2:$R$9,MATCH(TRIM($G30),Lists!$Q$2:$Q$9,0)),"UNMAPPED"),IFERROR(INDEX(Lists!$U$2:$U$21,MATCH(TRIM($J30),Lists!$T$2:$T$21,0)),IFERROR(INDEX(Lists!$R$2:$R$9,MATCH(TRIM($G30),Lists!$Q$2:$Q$9,0)),"UNMAPPED"))))))))</f>
        <v>Customer</v>
      </c>
      <c r="AI30" s="534" t="b">
        <f>IF(TRIM($B30)="","",--OR(TRIM($L30)="Leadership",TRIM($K30)="Leadership"))</f>
        <v>0</v>
      </c>
      <c r="AJ30" s="534" t="str">
        <f>IF(TRIM($B30)="","",IF(COUNTIFS(Lists!$AN$2:$AN$22,TRIM($B30)&amp;" | "&amp;TRIM($D30),Lists!$AP$2:$AP$22,"&lt;&gt;"),INDEX(Lists!$AP$2:$AP$22,MATCH(TRIM($B30)&amp;" | "&amp;TRIM($D30),Lists!$AN$2:$AN$22,0)),IF($AI30=1,"Leadership",IFERROR(INDEX(Lists!$X$2:$X$21,MATCH(TRIM($L30),Lists!$W$2:$W$21,0)),IF(OR(TRIM($L30)="",LOWER(TRIM($L30))="na"),IF(TRIM($H30)="","Unassigned",TRIM($H30)),TRIM($L30))))))</f>
        <v>Ampol App</v>
      </c>
      <c r="AK30" s="534" t="str">
        <f>IF(TRIM($B30)="","",IF(COUNTIFS(Lists!$AN$2:$AN$22,TRIM($B30)&amp;" | "&amp;TRIM($D30),Lists!$AQ$2:$AQ$22,"&lt;&gt;"),INDEX(Lists!$AQ$2:$AQ$22,MATCH(TRIM($B30)&amp;" | "&amp;TRIM($D30),Lists!$AN$2:$AN$22,0)),IF(COUNTIF(Lists!$AF$2:$AF$8,$AJ30),$AJ30,IF(ISNUMBER(SEARCH("head of ",$D30)),"Head of Technology",IF(ISNUMBER(SEARCH("TDD BP",$D30)),"Business Partner",IF(OR(ISNUMBER(SEARCH("domain architect",$D30)),ISNUMBER(SEARCH("enterprise architect",$D30))),"Domain Architect",IF(ISNUMBER(SEARCH("delivery man",$D30)),"Delivery Manager",IF(OR(ISNUMBER(SEARCH("technology manager",$D30)),ISNUMBER(SEARCH("technology manger",$D30)),ISNUMBER(SEARCH("tech manager",$D30))),"Technology Manager","Squad"))))))))</f>
        <v>Squad</v>
      </c>
      <c r="AL30" s="534" t="str">
        <f>IF(TRIM($B30)="","",IF(AND($AM30=1,LEFT($AJ30,4)&lt;&gt;"EGI ",$AJ30&lt;&gt;"EGI"),IFERROR(INDEX(Lists!$Z$2:$Z$20,MATCH($AH30,Lists!$Y$2:$Y$20,0)),"EGI "&amp;$AH30),IF(COUNTIF(Lists!$AU$2:$AU$10,$AJ30),$AJ30,IF(OR(LEFT($AH30,3)="COE",$AH30="EGI"),$AJ30,IF($AK30&lt;&gt;"Squad",$AK30,$AJ30)))))</f>
        <v>Ampol App</v>
      </c>
      <c r="AM30" s="534" t="b">
        <f>IF(TRIM($B30)="","",--(UPPER(TRIM($K30))="EGI"))</f>
        <v>0</v>
      </c>
      <c r="AN30" s="534" t="inlineStr">
        <is>
          <t>Filled</t>
        </is>
      </c>
      <c r="AO30" s="534" t="inlineStr">
        <is>
          <t>End Date: 21/08/2026</t>
        </is>
      </c>
      <c r="AP30" s="854" t="n">
        <v>46255</v>
      </c>
      <c r="AQ30" s="841" t="inlineStr">
        <is>
          <t>R0029</t>
        </is>
      </c>
      <c r="AZ30" s="841" t="n"/>
    </row>
    <row r="31" ht="18" customHeight="1" s="535">
      <c r="A31" s="842" t="e">
        <f>#N/A</f>
        <v>#N/A</v>
      </c>
      <c r="B31" s="843" t="inlineStr">
        <is>
          <t>Shreema Das</t>
        </is>
      </c>
      <c r="C31" s="842" t="e">
        <f>#N/A</f>
        <v>#N/A</v>
      </c>
      <c r="D31" s="843" t="inlineStr">
        <is>
          <t>Solution Architect</t>
        </is>
      </c>
      <c r="E31" s="843" t="inlineStr">
        <is>
          <t>Mitesh Shah</t>
        </is>
      </c>
      <c r="F31" s="843" t="inlineStr">
        <is>
          <t>Technology Manager, Digitial</t>
        </is>
      </c>
      <c r="G31" s="844" t="inlineStr">
        <is>
          <t>Customer</t>
        </is>
      </c>
      <c r="H31" s="843" t="inlineStr">
        <is>
          <t>Digital</t>
        </is>
      </c>
      <c r="I31" s="843" t="inlineStr">
        <is>
          <t>Digital, Tech</t>
        </is>
      </c>
      <c r="J31" s="843" t="inlineStr">
        <is>
          <t>Ampol Customer</t>
        </is>
      </c>
      <c r="K31" s="843" t="inlineStr">
        <is>
          <t>Ampol Digital</t>
        </is>
      </c>
      <c r="L31" s="843" t="inlineStr">
        <is>
          <t>Ampol Web</t>
        </is>
      </c>
      <c r="M31" s="843" t="n"/>
      <c r="N31" s="845" t="inlineStr">
        <is>
          <t>Australia</t>
        </is>
      </c>
      <c r="O31" s="846" t="inlineStr">
        <is>
          <t>NA</t>
        </is>
      </c>
      <c r="P31" s="847" t="n">
        <v>1</v>
      </c>
      <c r="Q31" s="846" t="n"/>
      <c r="R31" s="847" t="inlineStr">
        <is>
          <t>Permanent - Part Time</t>
        </is>
      </c>
      <c r="S31" s="847" t="n"/>
      <c r="T31" s="847" t="n"/>
      <c r="U31" s="848" t="n">
        <v>190000</v>
      </c>
      <c r="V31" s="849" t="n">
        <v>190000</v>
      </c>
      <c r="W31" s="850" t="n">
        <v>0.12</v>
      </c>
      <c r="X31" s="847" t="n">
        <v>0.055</v>
      </c>
      <c r="Y31" s="850" t="n">
        <v>0.12</v>
      </c>
      <c r="Z31" s="851" t="n"/>
      <c r="AA31" s="850" t="n">
        <v>0.04</v>
      </c>
      <c r="AB31" s="852" t="n">
        <v>243090.15</v>
      </c>
      <c r="AC31" s="534" t="inlineStr">
        <is>
          <t>Joins Perm in August</t>
        </is>
      </c>
      <c r="AE31" s="534">
        <f>IF(TRIM($B31)="","",IF(AND(N($P31)&gt;0,N($P31)&lt;1),N($AB31)*N($P31),N($AB31)))</f>
        <v>243090.15</v>
      </c>
      <c r="AF31" s="534" t="str">
        <f>IF(TRIM($B31)="","",IF(OR(ISNUMBER(SEARCH("vacant",$B31)),ISNUMBER(SEARCH("ring fenced",$B31)),LOWER(TRIM($B31))="remove"),"Vacant","Filled"))</f>
        <v>Filled</v>
      </c>
      <c r="AG31" s="534" t="b">
        <f>IF(TRIM($B31)="","",--ISNUMBER(SEARCH("ring fenced",$B31)))</f>
        <v>0</v>
      </c>
      <c r="AH31" s="534" t="str">
        <f>IF(TRIM($B31)="","",IF(COUNTIFS(Lists!$AN$2:$AN$22,TRIM($B31)&amp;" | "&amp;TRIM($D31),Lists!$AO$2:$AO$22,"&lt;&gt;"),INDEX(Lists!$AO$2:$AO$22,MATCH(TRIM($B31)&amp;" | "&amp;TRIM($D31),Lists!$AN$2:$AN$22,0)),IF(COUNTIF(Lists!$AR$2:$AR$3,$AJ31),"TDD Cyber",IF(AND(LEFT($AJ31,4)="EGI ",ISNUMBER(MATCH(TRIM(MID($AJ31,5,99)),Lists!$AS$2:$AS$12,0))),TRIM(MID($AJ31,5,99)),IF(AND(LEFT($AJ31,4)="EGI ",ISNUMBER(MATCH(TRIM(MID($AJ31,5,99)),Lists!$T$2:$T$21,0))),INDEX(Lists!$U$2:$U$21,MATCH(TRIM(MID($AJ31,5,99)),Lists!$T$2:$T$21,0)),IF(OR(TRIM($J31)="",UPPER(TRIM($J31))="NA"),IFERROR(INDEX(Lists!$R$2:$R$9,MATCH(TRIM($G31),Lists!$Q$2:$Q$9,0)),"UNMAPPED"),IFERROR(INDEX(Lists!$U$2:$U$21,MATCH(TRIM($J31),Lists!$T$2:$T$21,0)),IFERROR(INDEX(Lists!$R$2:$R$9,MATCH(TRIM($G31),Lists!$Q$2:$Q$9,0)),"UNMAPPED"))))))))</f>
        <v>Customer</v>
      </c>
      <c r="AI31" s="534" t="b">
        <f>IF(TRIM($B31)="","",--OR(TRIM($L31)="Leadership",TRIM($K31)="Leadership"))</f>
        <v>0</v>
      </c>
      <c r="AJ31" s="534" t="str">
        <f>IF(TRIM($B31)="","",IF(COUNTIFS(Lists!$AN$2:$AN$22,TRIM($B31)&amp;" | "&amp;TRIM($D31),Lists!$AP$2:$AP$22,"&lt;&gt;"),INDEX(Lists!$AP$2:$AP$22,MATCH(TRIM($B31)&amp;" | "&amp;TRIM($D31),Lists!$AN$2:$AN$22,0)),IF($AI31=1,"Leadership",IFERROR(INDEX(Lists!$X$2:$X$21,MATCH(TRIM($L31),Lists!$W$2:$W$21,0)),IF(OR(TRIM($L31)="",LOWER(TRIM($L31))="na"),IF(TRIM($H31)="","Unassigned",TRIM($H31)),TRIM($L31))))))</f>
        <v>Ampol Web</v>
      </c>
      <c r="AK31" s="534" t="str">
        <f>IF(TRIM($B31)="","",IF(COUNTIFS(Lists!$AN$2:$AN$22,TRIM($B31)&amp;" | "&amp;TRIM($D31),Lists!$AQ$2:$AQ$22,"&lt;&gt;"),INDEX(Lists!$AQ$2:$AQ$22,MATCH(TRIM($B31)&amp;" | "&amp;TRIM($D31),Lists!$AN$2:$AN$22,0)),IF(COUNTIF(Lists!$AF$2:$AF$8,$AJ31),$AJ31,IF(ISNUMBER(SEARCH("head of ",$D31)),"Head of Technology",IF(ISNUMBER(SEARCH("TDD BP",$D31)),"Business Partner",IF(OR(ISNUMBER(SEARCH("domain architect",$D31)),ISNUMBER(SEARCH("enterprise architect",$D31))),"Domain Architect",IF(ISNUMBER(SEARCH("delivery man",$D31)),"Delivery Manager",IF(OR(ISNUMBER(SEARCH("technology manager",$D31)),ISNUMBER(SEARCH("technology manger",$D31)),ISNUMBER(SEARCH("tech manager",$D31))),"Technology Manager","Squad"))))))))</f>
        <v>Squad</v>
      </c>
      <c r="AL31" s="534" t="str">
        <f>IF(TRIM($B31)="","",IF(AND($AM31=1,LEFT($AJ31,4)&lt;&gt;"EGI ",$AJ31&lt;&gt;"EGI"),IFERROR(INDEX(Lists!$Z$2:$Z$20,MATCH($AH31,Lists!$Y$2:$Y$20,0)),"EGI "&amp;$AH31),IF(COUNTIF(Lists!$AU$2:$AU$10,$AJ31),$AJ31,IF(OR(LEFT($AH31,3)="COE",$AH31="EGI"),$AJ31,IF($AK31&lt;&gt;"Squad",$AK31,$AJ31)))))</f>
        <v>Ampol Web</v>
      </c>
      <c r="AM31" s="534" t="b">
        <f>IF(TRIM($B31)="","",--(UPPER(TRIM($K31))="EGI"))</f>
        <v>0</v>
      </c>
      <c r="AN31" s="534" t="inlineStr">
        <is>
          <t>Filled</t>
        </is>
      </c>
      <c r="AO31" s="534" t="inlineStr">
        <is>
          <t>Joins Perm in August NOTE: Shreema Das is in the Ampol Web Squad</t>
        </is>
      </c>
      <c r="AQ31" s="841" t="inlineStr">
        <is>
          <t>R0030</t>
        </is>
      </c>
      <c r="AZ31" s="841" t="n"/>
    </row>
    <row r="32" ht="18" customHeight="1" s="535">
      <c r="A32" s="842" t="inlineStr">
        <is>
          <t>C</t>
        </is>
      </c>
      <c r="B32" s="843" t="inlineStr">
        <is>
          <t>Waheed Malek</t>
        </is>
      </c>
      <c r="C32" s="842" t="inlineStr">
        <is>
          <t>C</t>
        </is>
      </c>
      <c r="D32" s="843" t="inlineStr">
        <is>
          <t>Quality Assurance</t>
        </is>
      </c>
      <c r="E32" s="843" t="inlineStr">
        <is>
          <t>Mitesh Shah</t>
        </is>
      </c>
      <c r="F32" s="843" t="inlineStr">
        <is>
          <t>Technology Manager, Digitial</t>
        </is>
      </c>
      <c r="G32" s="844" t="inlineStr">
        <is>
          <t>Customer</t>
        </is>
      </c>
      <c r="H32" s="843" t="inlineStr">
        <is>
          <t>Digital</t>
        </is>
      </c>
      <c r="I32" s="843" t="inlineStr">
        <is>
          <t>Digital, Tech</t>
        </is>
      </c>
      <c r="J32" s="843" t="inlineStr">
        <is>
          <t>EGI Integration</t>
        </is>
      </c>
      <c r="K32" s="843" t="inlineStr">
        <is>
          <t>EGI</t>
        </is>
      </c>
      <c r="L32" s="843" t="inlineStr">
        <is>
          <t>EGI Customer</t>
        </is>
      </c>
      <c r="M32" s="843" t="n"/>
      <c r="N32" s="845" t="inlineStr">
        <is>
          <t>Australia</t>
        </is>
      </c>
      <c r="O32" s="846" t="inlineStr">
        <is>
          <t>NA</t>
        </is>
      </c>
      <c r="P32" s="847" t="n">
        <v>1</v>
      </c>
      <c r="Q32" s="847" t="n"/>
      <c r="R32" s="847" t="inlineStr">
        <is>
          <t>Contractor</t>
        </is>
      </c>
      <c r="S32" s="847" t="inlineStr">
        <is>
          <t>Daily</t>
        </is>
      </c>
      <c r="T32" s="847" t="n">
        <v>1215</v>
      </c>
      <c r="U32" s="848" t="n"/>
      <c r="V32" s="849" t="n"/>
      <c r="W32" s="850" t="n"/>
      <c r="X32" s="847" t="n"/>
      <c r="Y32" s="850" t="n"/>
      <c r="Z32" s="851" t="n"/>
      <c r="AA32" s="850" t="n"/>
      <c r="AB32" s="852" t="n">
        <v>269730</v>
      </c>
      <c r="AC32" s="534" t="inlineStr">
        <is>
          <t>End Date: 21/09/2026</t>
        </is>
      </c>
      <c r="AE32" s="534">
        <f>IF(TRIM($B32)="","",IF(AND(N($P32)&gt;0,N($P32)&lt;1),N($AB32)*N($P32),N($AB32)))</f>
        <v>269730</v>
      </c>
      <c r="AF32" s="534" t="str">
        <f>IF(TRIM($B32)="","",IF(OR(ISNUMBER(SEARCH("vacant",$B32)),ISNUMBER(SEARCH("ring fenced",$B32)),LOWER(TRIM($B32))="remove"),"Vacant","Filled"))</f>
        <v>Filled</v>
      </c>
      <c r="AG32" s="534" t="b">
        <f>IF(TRIM($B32)="","",--ISNUMBER(SEARCH("ring fenced",$B32)))</f>
        <v>0</v>
      </c>
      <c r="AH32" s="534" t="str">
        <f>IF(TRIM($B32)="","",IF(COUNTIFS(Lists!$AN$2:$AN$22,TRIM($B32)&amp;" | "&amp;TRIM($D32),Lists!$AO$2:$AO$22,"&lt;&gt;"),INDEX(Lists!$AO$2:$AO$22,MATCH(TRIM($B32)&amp;" | "&amp;TRIM($D32),Lists!$AN$2:$AN$22,0)),IF(COUNTIF(Lists!$AR$2:$AR$3,$AJ32),"TDD Cyber",IF(AND(LEFT($AJ32,4)="EGI ",ISNUMBER(MATCH(TRIM(MID($AJ32,5,99)),Lists!$AS$2:$AS$12,0))),TRIM(MID($AJ32,5,99)),IF(AND(LEFT($AJ32,4)="EGI ",ISNUMBER(MATCH(TRIM(MID($AJ32,5,99)),Lists!$T$2:$T$21,0))),INDEX(Lists!$U$2:$U$21,MATCH(TRIM(MID($AJ32,5,99)),Lists!$T$2:$T$21,0)),IF(OR(TRIM($J32)="",UPPER(TRIM($J32))="NA"),IFERROR(INDEX(Lists!$R$2:$R$9,MATCH(TRIM($G32),Lists!$Q$2:$Q$9,0)),"UNMAPPED"),IFERROR(INDEX(Lists!$U$2:$U$21,MATCH(TRIM($J32),Lists!$T$2:$T$21,0)),IFERROR(INDEX(Lists!$R$2:$R$9,MATCH(TRIM($G32),Lists!$Q$2:$Q$9,0)),"UNMAPPED"))))))))</f>
        <v>Customer</v>
      </c>
      <c r="AI32" s="534" t="b">
        <f>IF(TRIM($B32)="","",--OR(TRIM($L32)="Leadership",TRIM($K32)="Leadership"))</f>
        <v>0</v>
      </c>
      <c r="AJ32" s="534" t="str">
        <f>IF(TRIM($B32)="","",IF(COUNTIFS(Lists!$AN$2:$AN$22,TRIM($B32)&amp;" | "&amp;TRIM($D32),Lists!$AP$2:$AP$22,"&lt;&gt;"),INDEX(Lists!$AP$2:$AP$22,MATCH(TRIM($B32)&amp;" | "&amp;TRIM($D32),Lists!$AN$2:$AN$22,0)),IF($AI32=1,"Leadership",IFERROR(INDEX(Lists!$X$2:$X$21,MATCH(TRIM($L32),Lists!$W$2:$W$21,0)),IF(OR(TRIM($L32)="",LOWER(TRIM($L32))="na"),IF(TRIM($H32)="","Unassigned",TRIM($H32)),TRIM($L32))))))</f>
        <v>EGI Customer</v>
      </c>
      <c r="AK32" s="534" t="str">
        <f>IF(TRIM($B32)="","",IF(COUNTIFS(Lists!$AN$2:$AN$22,TRIM($B32)&amp;" | "&amp;TRIM($D32),Lists!$AQ$2:$AQ$22,"&lt;&gt;"),INDEX(Lists!$AQ$2:$AQ$22,MATCH(TRIM($B32)&amp;" | "&amp;TRIM($D32),Lists!$AN$2:$AN$22,0)),IF(COUNTIF(Lists!$AF$2:$AF$8,$AJ32),$AJ32,IF(ISNUMBER(SEARCH("head of ",$D32)),"Head of Technology",IF(ISNUMBER(SEARCH("TDD BP",$D32)),"Business Partner",IF(OR(ISNUMBER(SEARCH("domain architect",$D32)),ISNUMBER(SEARCH("enterprise architect",$D32))),"Domain Architect",IF(ISNUMBER(SEARCH("delivery man",$D32)),"Delivery Manager",IF(OR(ISNUMBER(SEARCH("technology manager",$D32)),ISNUMBER(SEARCH("technology manger",$D32)),ISNUMBER(SEARCH("tech manager",$D32))),"Technology Manager","Squad"))))))))</f>
        <v>Squad</v>
      </c>
      <c r="AL32" s="534" t="str">
        <f>IF(TRIM($B32)="","",IF(AND($AM32=1,LEFT($AJ32,4)&lt;&gt;"EGI ",$AJ32&lt;&gt;"EGI"),IFERROR(INDEX(Lists!$Z$2:$Z$20,MATCH($AH32,Lists!$Y$2:$Y$20,0)),"EGI "&amp;$AH32),IF(COUNTIF(Lists!$AU$2:$AU$10,$AJ32),$AJ32,IF(OR(LEFT($AH32,3)="COE",$AH32="EGI"),$AJ32,IF($AK32&lt;&gt;"Squad",$AK32,$AJ32)))))</f>
        <v>EGI Customer</v>
      </c>
      <c r="AM32" s="534" t="b">
        <f>IF(TRIM($B32)="","",--(UPPER(TRIM($K32))="EGI"))</f>
        <v>1</v>
      </c>
      <c r="AN32" s="534" t="inlineStr">
        <is>
          <t>Filled</t>
        </is>
      </c>
      <c r="AO32" s="534" t="inlineStr">
        <is>
          <t>End Date: 21/09/2026</t>
        </is>
      </c>
      <c r="AP32" s="854" t="n">
        <v>46286</v>
      </c>
      <c r="AQ32" s="841" t="inlineStr">
        <is>
          <t>R0031</t>
        </is>
      </c>
      <c r="AZ32" s="841" t="n"/>
    </row>
    <row r="33" ht="18" customHeight="1" s="535">
      <c r="A33" s="842" t="inlineStr">
        <is>
          <t>C</t>
        </is>
      </c>
      <c r="B33" s="843" t="inlineStr">
        <is>
          <t>Winnie Fernandes</t>
        </is>
      </c>
      <c r="C33" s="842" t="inlineStr">
        <is>
          <t>C</t>
        </is>
      </c>
      <c r="D33" s="843" t="inlineStr">
        <is>
          <t>Delivery Lead - Integration</t>
        </is>
      </c>
      <c r="E33" s="843" t="inlineStr">
        <is>
          <t>Moitri Pal</t>
        </is>
      </c>
      <c r="F33" s="843" t="inlineStr">
        <is>
          <t>Program Manager - EGI</t>
        </is>
      </c>
      <c r="G33" s="844" t="inlineStr">
        <is>
          <t>EGI</t>
        </is>
      </c>
      <c r="H33" s="843" t="inlineStr">
        <is>
          <t>EGI</t>
        </is>
      </c>
      <c r="I33" s="843" t="inlineStr">
        <is>
          <t>EGI</t>
        </is>
      </c>
      <c r="J33" s="843" t="inlineStr">
        <is>
          <t>EGI</t>
        </is>
      </c>
      <c r="K33" s="843" t="inlineStr">
        <is>
          <t>EGI</t>
        </is>
      </c>
      <c r="L33" s="843" t="inlineStr">
        <is>
          <t>EGI</t>
        </is>
      </c>
      <c r="M33" s="843" t="n"/>
      <c r="N33" s="845" t="inlineStr">
        <is>
          <t>Australia</t>
        </is>
      </c>
      <c r="O33" s="846" t="inlineStr">
        <is>
          <t>NA</t>
        </is>
      </c>
      <c r="P33" s="847" t="n">
        <v>1</v>
      </c>
      <c r="Q33" s="847" t="n"/>
      <c r="R33" s="847" t="inlineStr">
        <is>
          <t>cxc</t>
        </is>
      </c>
      <c r="S33" s="847" t="inlineStr">
        <is>
          <t>Daily</t>
        </is>
      </c>
      <c r="T33" s="847" t="n">
        <v>1232</v>
      </c>
      <c r="U33" s="848" t="n">
        <v>0</v>
      </c>
      <c r="V33" s="849" t="n"/>
      <c r="W33" s="850" t="n"/>
      <c r="X33" s="847" t="n"/>
      <c r="Y33" s="850" t="n"/>
      <c r="Z33" s="851" t="n"/>
      <c r="AA33" s="850" t="n"/>
      <c r="AB33" s="852" t="n">
        <v>273504</v>
      </c>
      <c r="AE33" s="534">
        <f>IF(TRIM($B33)="","",IF(AND(N($P33)&gt;0,N($P33)&lt;1),N($AB33)*N($P33),N($AB33)))</f>
        <v>273504</v>
      </c>
      <c r="AF33" s="534" t="str">
        <f>IF(TRIM($B33)="","",IF(OR(ISNUMBER(SEARCH("vacant",$B33)),ISNUMBER(SEARCH("ring fenced",$B33)),LOWER(TRIM($B33))="remove"),"Vacant","Filled"))</f>
        <v>Filled</v>
      </c>
      <c r="AG33" s="534" t="b">
        <f>IF(TRIM($B33)="","",--ISNUMBER(SEARCH("ring fenced",$B33)))</f>
        <v>0</v>
      </c>
      <c r="AH33" s="534" t="str">
        <f>IF(TRIM($B33)="","",IF(COUNTIFS(Lists!$AN$2:$AN$22,TRIM($B33)&amp;" | "&amp;TRIM($D33),Lists!$AO$2:$AO$22,"&lt;&gt;"),INDEX(Lists!$AO$2:$AO$22,MATCH(TRIM($B33)&amp;" | "&amp;TRIM($D33),Lists!$AN$2:$AN$22,0)),IF(COUNTIF(Lists!$AR$2:$AR$3,$AJ33),"TDD Cyber",IF(AND(LEFT($AJ33,4)="EGI ",ISNUMBER(MATCH(TRIM(MID($AJ33,5,99)),Lists!$AS$2:$AS$12,0))),TRIM(MID($AJ33,5,99)),IF(AND(LEFT($AJ33,4)="EGI ",ISNUMBER(MATCH(TRIM(MID($AJ33,5,99)),Lists!$T$2:$T$21,0))),INDEX(Lists!$U$2:$U$21,MATCH(TRIM(MID($AJ33,5,99)),Lists!$T$2:$T$21,0)),IF(OR(TRIM($J33)="",UPPER(TRIM($J33))="NA"),IFERROR(INDEX(Lists!$R$2:$R$9,MATCH(TRIM($G33),Lists!$Q$2:$Q$9,0)),"UNMAPPED"),IFERROR(INDEX(Lists!$U$2:$U$21,MATCH(TRIM($J33),Lists!$T$2:$T$21,0)),IFERROR(INDEX(Lists!$R$2:$R$9,MATCH(TRIM($G33),Lists!$Q$2:$Q$9,0)),"UNMAPPED"))))))))</f>
        <v>EGI</v>
      </c>
      <c r="AI33" s="534" t="b">
        <f>IF(TRIM($B33)="","",--OR(TRIM($L33)="Leadership",TRIM($K33)="Leadership"))</f>
        <v>0</v>
      </c>
      <c r="AJ33" s="534" t="str">
        <f>IF(TRIM($B33)="","",IF(COUNTIFS(Lists!$AN$2:$AN$22,TRIM($B33)&amp;" | "&amp;TRIM($D33),Lists!$AP$2:$AP$22,"&lt;&gt;"),INDEX(Lists!$AP$2:$AP$22,MATCH(TRIM($B33)&amp;" | "&amp;TRIM($D33),Lists!$AN$2:$AN$22,0)),IF($AI33=1,"Leadership",IFERROR(INDEX(Lists!$X$2:$X$21,MATCH(TRIM($L33),Lists!$W$2:$W$21,0)),IF(OR(TRIM($L33)="",LOWER(TRIM($L33))="na"),IF(TRIM($H33)="","Unassigned",TRIM($H33)),TRIM($L33))))))</f>
        <v>EGI</v>
      </c>
      <c r="AK33" s="534" t="str">
        <f>IF(TRIM($B33)="","",IF(COUNTIFS(Lists!$AN$2:$AN$22,TRIM($B33)&amp;" | "&amp;TRIM($D33),Lists!$AQ$2:$AQ$22,"&lt;&gt;"),INDEX(Lists!$AQ$2:$AQ$22,MATCH(TRIM($B33)&amp;" | "&amp;TRIM($D33),Lists!$AN$2:$AN$22,0)),IF(COUNTIF(Lists!$AF$2:$AF$8,$AJ33),$AJ33,IF(ISNUMBER(SEARCH("head of ",$D33)),"Head of Technology",IF(ISNUMBER(SEARCH("TDD BP",$D33)),"Business Partner",IF(OR(ISNUMBER(SEARCH("domain architect",$D33)),ISNUMBER(SEARCH("enterprise architect",$D33))),"Domain Architect",IF(ISNUMBER(SEARCH("delivery man",$D33)),"Delivery Manager",IF(OR(ISNUMBER(SEARCH("technology manager",$D33)),ISNUMBER(SEARCH("technology manger",$D33)),ISNUMBER(SEARCH("tech manager",$D33))),"Technology Manager","Squad"))))))))</f>
        <v>Squad</v>
      </c>
      <c r="AL33" s="534" t="str">
        <f>IF(TRIM($B33)="","",IF(AND($AM33=1,LEFT($AJ33,4)&lt;&gt;"EGI ",$AJ33&lt;&gt;"EGI"),IFERROR(INDEX(Lists!$Z$2:$Z$20,MATCH($AH33,Lists!$Y$2:$Y$20,0)),"EGI "&amp;$AH33),IF(COUNTIF(Lists!$AU$2:$AU$10,$AJ33),$AJ33,IF(OR(LEFT($AH33,3)="COE",$AH33="EGI"),$AJ33,IF($AK33&lt;&gt;"Squad",$AK33,$AJ33)))))</f>
        <v>EGI</v>
      </c>
      <c r="AM33" s="534" t="b">
        <f>IF(TRIM($B33)="","",--(UPPER(TRIM($K33))="EGI"))</f>
        <v>1</v>
      </c>
      <c r="AQ33" s="841" t="inlineStr">
        <is>
          <t>R0032</t>
        </is>
      </c>
      <c r="AZ33" s="841" t="n"/>
    </row>
    <row r="34" ht="18" customHeight="1" s="535">
      <c r="A34" s="842" t="inlineStr">
        <is>
          <t>c</t>
        </is>
      </c>
      <c r="B34" s="843" t="inlineStr">
        <is>
          <t>Jens Tom</t>
        </is>
      </c>
      <c r="C34" s="842" t="inlineStr">
        <is>
          <t>c</t>
        </is>
      </c>
      <c r="D34" s="843" t="inlineStr">
        <is>
          <t>SAP Solution Architect</t>
        </is>
      </c>
      <c r="E34" s="843" t="inlineStr">
        <is>
          <t>Shane Ker</t>
        </is>
      </c>
      <c r="F34" s="843" t="inlineStr">
        <is>
          <t>Solution Architect SAP</t>
        </is>
      </c>
      <c r="G34" s="844" t="inlineStr">
        <is>
          <t>TDD Group Functions</t>
        </is>
      </c>
      <c r="H34" s="843" t="n"/>
      <c r="I34" s="843" t="n"/>
      <c r="J34" s="843" t="n"/>
      <c r="K34" s="843" t="n"/>
      <c r="L34" s="843" t="n"/>
      <c r="M34" s="843" t="n"/>
      <c r="N34" s="845" t="n"/>
      <c r="O34" s="846" t="inlineStr">
        <is>
          <t>na</t>
        </is>
      </c>
      <c r="P34" s="847" t="n">
        <v>1</v>
      </c>
      <c r="Q34" s="847" t="n"/>
      <c r="R34" s="847" t="inlineStr">
        <is>
          <t>cxc</t>
        </is>
      </c>
      <c r="S34" s="847" t="inlineStr">
        <is>
          <t>daily</t>
        </is>
      </c>
      <c r="T34" s="847" t="n">
        <v>1600</v>
      </c>
      <c r="U34" s="848" t="n">
        <v>0</v>
      </c>
      <c r="V34" s="849" t="n"/>
      <c r="W34" s="850" t="n"/>
      <c r="X34" s="847" t="n"/>
      <c r="Y34" s="850" t="n"/>
      <c r="Z34" s="851" t="n"/>
      <c r="AA34" s="850" t="n"/>
      <c r="AB34" s="852" t="n">
        <v>355200</v>
      </c>
      <c r="AE34" s="534">
        <f>IF(TRIM($B34)="","",IF(AND(N($P34)&gt;0,N($P34)&lt;1),N($AB34)*N($P34),N($AB34)))</f>
        <v>355200</v>
      </c>
      <c r="AF34" s="534" t="str">
        <f>IF(TRIM($B34)="","",IF(OR(ISNUMBER(SEARCH("vacant",$B34)),ISNUMBER(SEARCH("ring fenced",$B34)),LOWER(TRIM($B34))="remove"),"Vacant","Filled"))</f>
        <v>Filled</v>
      </c>
      <c r="AG34" s="534" t="b">
        <f>IF(TRIM($B34)="","",--ISNUMBER(SEARCH("ring fenced",$B34)))</f>
        <v>0</v>
      </c>
      <c r="AH34" s="534" t="str">
        <f>IF(TRIM($B34)="","",IF(COUNTIFS(Lists!$AN$2:$AN$22,TRIM($B34)&amp;" | "&amp;TRIM($D34),Lists!$AO$2:$AO$22,"&lt;&gt;"),INDEX(Lists!$AO$2:$AO$22,MATCH(TRIM($B34)&amp;" | "&amp;TRIM($D34),Lists!$AN$2:$AN$22,0)),IF(COUNTIF(Lists!$AR$2:$AR$3,$AJ34),"TDD Cyber",IF(AND(LEFT($AJ34,4)="EGI ",ISNUMBER(MATCH(TRIM(MID($AJ34,5,99)),Lists!$AS$2:$AS$12,0))),TRIM(MID($AJ34,5,99)),IF(AND(LEFT($AJ34,4)="EGI ",ISNUMBER(MATCH(TRIM(MID($AJ34,5,99)),Lists!$T$2:$T$21,0))),INDEX(Lists!$U$2:$U$21,MATCH(TRIM(MID($AJ34,5,99)),Lists!$T$2:$T$21,0)),IF(OR(TRIM($J34)="",UPPER(TRIM($J34))="NA"),IFERROR(INDEX(Lists!$R$2:$R$9,MATCH(TRIM($G34),Lists!$Q$2:$Q$9,0)),"UNMAPPED"),IFERROR(INDEX(Lists!$U$2:$U$21,MATCH(TRIM($J34),Lists!$T$2:$T$21,0)),IFERROR(INDEX(Lists!$R$2:$R$9,MATCH(TRIM($G34),Lists!$Q$2:$Q$9,0)),"UNMAPPED"))))))))</f>
        <v>TDD Group Functions</v>
      </c>
      <c r="AI34" s="534" t="b">
        <f>IF(TRIM($B34)="","",--OR(TRIM($L34)="Leadership",TRIM($K34)="Leadership"))</f>
        <v>0</v>
      </c>
      <c r="AJ34" s="534" t="str">
        <f>IF(TRIM($B34)="","",IF(COUNTIFS(Lists!$AN$2:$AN$22,TRIM($B34)&amp;" | "&amp;TRIM($D34),Lists!$AP$2:$AP$22,"&lt;&gt;"),INDEX(Lists!$AP$2:$AP$22,MATCH(TRIM($B34)&amp;" | "&amp;TRIM($D34),Lists!$AN$2:$AN$22,0)),IF($AI34=1,"Leadership",IFERROR(INDEX(Lists!$X$2:$X$21,MATCH(TRIM($L34),Lists!$W$2:$W$21,0)),IF(OR(TRIM($L34)="",LOWER(TRIM($L34))="na"),IF(TRIM($H34)="","Unassigned",TRIM($H34)),TRIM($L34))))))</f>
        <v>SAP ERP</v>
      </c>
      <c r="AK34" s="534" t="str">
        <f>IF(TRIM($B34)="","",IF(COUNTIFS(Lists!$AN$2:$AN$22,TRIM($B34)&amp;" | "&amp;TRIM($D34),Lists!$AQ$2:$AQ$22,"&lt;&gt;"),INDEX(Lists!$AQ$2:$AQ$22,MATCH(TRIM($B34)&amp;" | "&amp;TRIM($D34),Lists!$AN$2:$AN$22,0)),IF(COUNTIF(Lists!$AF$2:$AF$8,$AJ34),$AJ34,IF(ISNUMBER(SEARCH("head of ",$D34)),"Head of Technology",IF(ISNUMBER(SEARCH("TDD BP",$D34)),"Business Partner",IF(OR(ISNUMBER(SEARCH("domain architect",$D34)),ISNUMBER(SEARCH("enterprise architect",$D34))),"Domain Architect",IF(ISNUMBER(SEARCH("delivery man",$D34)),"Delivery Manager",IF(OR(ISNUMBER(SEARCH("technology manager",$D34)),ISNUMBER(SEARCH("technology manger",$D34)),ISNUMBER(SEARCH("tech manager",$D34))),"Technology Manager","Squad"))))))))</f>
        <v>Squad</v>
      </c>
      <c r="AL34" s="534" t="str">
        <f>IF(TRIM($B34)="","",IF(AND($AM34=1,LEFT($AJ34,4)&lt;&gt;"EGI ",$AJ34&lt;&gt;"EGI"),IFERROR(INDEX(Lists!$Z$2:$Z$20,MATCH($AH34,Lists!$Y$2:$Y$20,0)),"EGI "&amp;$AH34),IF(COUNTIF(Lists!$AU$2:$AU$10,$AJ34),$AJ34,IF(OR(LEFT($AH34,3)="COE",$AH34="EGI"),$AJ34,IF($AK34&lt;&gt;"Squad",$AK34,$AJ34)))))</f>
        <v>SAP ERP</v>
      </c>
      <c r="AM34" s="534" t="b">
        <f>IF(TRIM($B34)="","",--(UPPER(TRIM($K34))="EGI"))</f>
        <v>0</v>
      </c>
      <c r="AO34" s="534" t="inlineStr">
        <is>
          <t>NOT IN MY ORG CHART</t>
        </is>
      </c>
      <c r="AQ34" s="841" t="inlineStr">
        <is>
          <t>R0033</t>
        </is>
      </c>
      <c r="AZ34" s="841" t="n"/>
    </row>
    <row r="35" ht="18" customHeight="1" s="535">
      <c r="A35" s="842" t="inlineStr">
        <is>
          <t>C</t>
        </is>
      </c>
      <c r="B35" s="843" t="inlineStr">
        <is>
          <t>Ernesto Pereira</t>
        </is>
      </c>
      <c r="C35" s="842" t="inlineStr">
        <is>
          <t>C</t>
        </is>
      </c>
      <c r="D35" s="843" t="inlineStr">
        <is>
          <t>Project Manger</t>
        </is>
      </c>
      <c r="E35" s="843" t="inlineStr">
        <is>
          <t>Trena Foote</t>
        </is>
      </c>
      <c r="F35" s="843" t="inlineStr">
        <is>
          <t>Project Manger</t>
        </is>
      </c>
      <c r="G35" s="844" t="inlineStr">
        <is>
          <t>EGI</t>
        </is>
      </c>
      <c r="H35" s="843" t="inlineStr">
        <is>
          <t>EGI</t>
        </is>
      </c>
      <c r="I35" s="843" t="inlineStr">
        <is>
          <t>EGI</t>
        </is>
      </c>
      <c r="J35" s="843" t="inlineStr">
        <is>
          <t>EGI</t>
        </is>
      </c>
      <c r="K35" s="843" t="inlineStr">
        <is>
          <t>EGI</t>
        </is>
      </c>
      <c r="L35" s="843" t="inlineStr">
        <is>
          <t>EGI</t>
        </is>
      </c>
      <c r="M35" s="843" t="n"/>
      <c r="N35" s="845" t="inlineStr">
        <is>
          <t>Australia</t>
        </is>
      </c>
      <c r="O35" s="846" t="inlineStr">
        <is>
          <t>na</t>
        </is>
      </c>
      <c r="P35" s="847" t="n">
        <v>1</v>
      </c>
      <c r="Q35" s="847" t="n"/>
      <c r="R35" s="847" t="inlineStr">
        <is>
          <t>cxc</t>
        </is>
      </c>
      <c r="S35" s="847" t="inlineStr">
        <is>
          <t>daily</t>
        </is>
      </c>
      <c r="T35" s="847" t="n">
        <v>1000</v>
      </c>
      <c r="U35" s="848" t="n">
        <v>0</v>
      </c>
      <c r="V35" s="849" t="n"/>
      <c r="W35" s="850" t="n"/>
      <c r="X35" s="847" t="n"/>
      <c r="Y35" s="850" t="n"/>
      <c r="Z35" s="851" t="n"/>
      <c r="AA35" s="850" t="n"/>
      <c r="AB35" s="852" t="n">
        <v>222000</v>
      </c>
      <c r="AE35" s="534">
        <f>IF(TRIM($B35)="","",IF(AND(N($P35)&gt;0,N($P35)&lt;1),N($AB35)*N($P35),N($AB35)))</f>
        <v>222000</v>
      </c>
      <c r="AF35" s="534" t="str">
        <f>IF(TRIM($B35)="","",IF(OR(ISNUMBER(SEARCH("vacant",$B35)),ISNUMBER(SEARCH("ring fenced",$B35)),LOWER(TRIM($B35))="remove"),"Vacant","Filled"))</f>
        <v>Filled</v>
      </c>
      <c r="AG35" s="534" t="b">
        <f>IF(TRIM($B35)="","",--ISNUMBER(SEARCH("ring fenced",$B35)))</f>
        <v>0</v>
      </c>
      <c r="AH35" s="534" t="str">
        <f>IF(TRIM($B35)="","",IF(COUNTIFS(Lists!$AN$2:$AN$22,TRIM($B35)&amp;" | "&amp;TRIM($D35),Lists!$AO$2:$AO$22,"&lt;&gt;"),INDEX(Lists!$AO$2:$AO$22,MATCH(TRIM($B35)&amp;" | "&amp;TRIM($D35),Lists!$AN$2:$AN$22,0)),IF(COUNTIF(Lists!$AR$2:$AR$3,$AJ35),"TDD Cyber",IF(AND(LEFT($AJ35,4)="EGI ",ISNUMBER(MATCH(TRIM(MID($AJ35,5,99)),Lists!$AS$2:$AS$12,0))),TRIM(MID($AJ35,5,99)),IF(AND(LEFT($AJ35,4)="EGI ",ISNUMBER(MATCH(TRIM(MID($AJ35,5,99)),Lists!$T$2:$T$21,0))),INDEX(Lists!$U$2:$U$21,MATCH(TRIM(MID($AJ35,5,99)),Lists!$T$2:$T$21,0)),IF(OR(TRIM($J35)="",UPPER(TRIM($J35))="NA"),IFERROR(INDEX(Lists!$R$2:$R$9,MATCH(TRIM($G35),Lists!$Q$2:$Q$9,0)),"UNMAPPED"),IFERROR(INDEX(Lists!$U$2:$U$21,MATCH(TRIM($J35),Lists!$T$2:$T$21,0)),IFERROR(INDEX(Lists!$R$2:$R$9,MATCH(TRIM($G35),Lists!$Q$2:$Q$9,0)),"UNMAPPED"))))))))</f>
        <v>EGI</v>
      </c>
      <c r="AI35" s="534" t="b">
        <f>IF(TRIM($B35)="","",--OR(TRIM($L35)="Leadership",TRIM($K35)="Leadership"))</f>
        <v>0</v>
      </c>
      <c r="AJ35" s="534" t="str">
        <f>IF(TRIM($B35)="","",IF(COUNTIFS(Lists!$AN$2:$AN$22,TRIM($B35)&amp;" | "&amp;TRIM($D35),Lists!$AP$2:$AP$22,"&lt;&gt;"),INDEX(Lists!$AP$2:$AP$22,MATCH(TRIM($B35)&amp;" | "&amp;TRIM($D35),Lists!$AN$2:$AN$22,0)),IF($AI35=1,"Leadership",IFERROR(INDEX(Lists!$X$2:$X$21,MATCH(TRIM($L35),Lists!$W$2:$W$21,0)),IF(OR(TRIM($L35)="",LOWER(TRIM($L35))="na"),IF(TRIM($H35)="","Unassigned",TRIM($H35)),TRIM($L35))))))</f>
        <v>EGI</v>
      </c>
      <c r="AK35" s="534" t="str">
        <f>IF(TRIM($B35)="","",IF(COUNTIFS(Lists!$AN$2:$AN$22,TRIM($B35)&amp;" | "&amp;TRIM($D35),Lists!$AQ$2:$AQ$22,"&lt;&gt;"),INDEX(Lists!$AQ$2:$AQ$22,MATCH(TRIM($B35)&amp;" | "&amp;TRIM($D35),Lists!$AN$2:$AN$22,0)),IF(COUNTIF(Lists!$AF$2:$AF$8,$AJ35),$AJ35,IF(ISNUMBER(SEARCH("head of ",$D35)),"Head of Technology",IF(ISNUMBER(SEARCH("TDD BP",$D35)),"Business Partner",IF(OR(ISNUMBER(SEARCH("domain architect",$D35)),ISNUMBER(SEARCH("enterprise architect",$D35))),"Domain Architect",IF(ISNUMBER(SEARCH("delivery man",$D35)),"Delivery Manager",IF(OR(ISNUMBER(SEARCH("technology manager",$D35)),ISNUMBER(SEARCH("technology manger",$D35)),ISNUMBER(SEARCH("tech manager",$D35))),"Technology Manager","Squad"))))))))</f>
        <v>Squad</v>
      </c>
      <c r="AL35" s="534" t="str">
        <f>IF(TRIM($B35)="","",IF(AND($AM35=1,LEFT($AJ35,4)&lt;&gt;"EGI ",$AJ35&lt;&gt;"EGI"),IFERROR(INDEX(Lists!$Z$2:$Z$20,MATCH($AH35,Lists!$Y$2:$Y$20,0)),"EGI "&amp;$AH35),IF(COUNTIF(Lists!$AU$2:$AU$10,$AJ35),$AJ35,IF(OR(LEFT($AH35,3)="COE",$AH35="EGI"),$AJ35,IF($AK35&lt;&gt;"Squad",$AK35,$AJ35)))))</f>
        <v>EGI</v>
      </c>
      <c r="AM35" s="534" t="b">
        <f>IF(TRIM($B35)="","",--(UPPER(TRIM($K35))="EGI"))</f>
        <v>1</v>
      </c>
      <c r="AQ35" s="841" t="inlineStr">
        <is>
          <t>R0034</t>
        </is>
      </c>
      <c r="AZ35" s="841" t="n"/>
    </row>
    <row r="36" ht="18" customHeight="1" s="535">
      <c r="A36" s="842" t="inlineStr">
        <is>
          <t>c</t>
        </is>
      </c>
      <c r="B36" s="843" t="inlineStr">
        <is>
          <t>Jason Sipkovic</t>
        </is>
      </c>
      <c r="C36" s="842" t="inlineStr">
        <is>
          <t>c</t>
        </is>
      </c>
      <c r="D36" s="843" t="inlineStr">
        <is>
          <t>strategic program architect</t>
        </is>
      </c>
      <c r="E36" s="843" t="inlineStr">
        <is>
          <t>Trena Foote</t>
        </is>
      </c>
      <c r="F36" s="843" t="inlineStr">
        <is>
          <t>Project Manger</t>
        </is>
      </c>
      <c r="G36" s="844" t="inlineStr">
        <is>
          <t>EGI</t>
        </is>
      </c>
      <c r="H36" s="843" t="inlineStr">
        <is>
          <t>EGI</t>
        </is>
      </c>
      <c r="I36" s="843" t="inlineStr">
        <is>
          <t>EGI</t>
        </is>
      </c>
      <c r="J36" s="843" t="inlineStr">
        <is>
          <t>EGI</t>
        </is>
      </c>
      <c r="K36" s="843" t="inlineStr">
        <is>
          <t>EGI</t>
        </is>
      </c>
      <c r="L36" s="843" t="inlineStr">
        <is>
          <t>EGI</t>
        </is>
      </c>
      <c r="M36" s="843" t="n"/>
      <c r="N36" s="845" t="inlineStr">
        <is>
          <t>Australia</t>
        </is>
      </c>
      <c r="O36" s="846" t="inlineStr">
        <is>
          <t>na</t>
        </is>
      </c>
      <c r="P36" s="847" t="n">
        <v>1</v>
      </c>
      <c r="Q36" s="847" t="n"/>
      <c r="R36" s="847" t="inlineStr">
        <is>
          <t>cxc</t>
        </is>
      </c>
      <c r="S36" s="847" t="inlineStr">
        <is>
          <t>daily</t>
        </is>
      </c>
      <c r="T36" s="847" t="n">
        <v>1500</v>
      </c>
      <c r="U36" s="848" t="n">
        <v>0</v>
      </c>
      <c r="V36" s="849" t="n"/>
      <c r="W36" s="850" t="n"/>
      <c r="X36" s="847" t="n"/>
      <c r="Y36" s="850" t="n"/>
      <c r="Z36" s="851" t="n"/>
      <c r="AA36" s="850" t="n"/>
      <c r="AB36" s="852" t="n">
        <v>333000</v>
      </c>
      <c r="AE36" s="534">
        <f>IF(TRIM($B36)="","",IF(AND(N($P36)&gt;0,N($P36)&lt;1),N($AB36)*N($P36),N($AB36)))</f>
        <v>333000</v>
      </c>
      <c r="AF36" s="534" t="str">
        <f>IF(TRIM($B36)="","",IF(OR(ISNUMBER(SEARCH("vacant",$B36)),ISNUMBER(SEARCH("ring fenced",$B36)),LOWER(TRIM($B36))="remove"),"Vacant","Filled"))</f>
        <v>Filled</v>
      </c>
      <c r="AG36" s="534" t="b">
        <f>IF(TRIM($B36)="","",--ISNUMBER(SEARCH("ring fenced",$B36)))</f>
        <v>0</v>
      </c>
      <c r="AH36" s="534" t="str">
        <f>IF(TRIM($B36)="","",IF(COUNTIFS(Lists!$AN$2:$AN$22,TRIM($B36)&amp;" | "&amp;TRIM($D36),Lists!$AO$2:$AO$22,"&lt;&gt;"),INDEX(Lists!$AO$2:$AO$22,MATCH(TRIM($B36)&amp;" | "&amp;TRIM($D36),Lists!$AN$2:$AN$22,0)),IF(COUNTIF(Lists!$AR$2:$AR$3,$AJ36),"TDD Cyber",IF(AND(LEFT($AJ36,4)="EGI ",ISNUMBER(MATCH(TRIM(MID($AJ36,5,99)),Lists!$AS$2:$AS$12,0))),TRIM(MID($AJ36,5,99)),IF(AND(LEFT($AJ36,4)="EGI ",ISNUMBER(MATCH(TRIM(MID($AJ36,5,99)),Lists!$T$2:$T$21,0))),INDEX(Lists!$U$2:$U$21,MATCH(TRIM(MID($AJ36,5,99)),Lists!$T$2:$T$21,0)),IF(OR(TRIM($J36)="",UPPER(TRIM($J36))="NA"),IFERROR(INDEX(Lists!$R$2:$R$9,MATCH(TRIM($G36),Lists!$Q$2:$Q$9,0)),"UNMAPPED"),IFERROR(INDEX(Lists!$U$2:$U$21,MATCH(TRIM($J36),Lists!$T$2:$T$21,0)),IFERROR(INDEX(Lists!$R$2:$R$9,MATCH(TRIM($G36),Lists!$Q$2:$Q$9,0)),"UNMAPPED"))))))))</f>
        <v>EGI</v>
      </c>
      <c r="AI36" s="534" t="b">
        <f>IF(TRIM($B36)="","",--OR(TRIM($L36)="Leadership",TRIM($K36)="Leadership"))</f>
        <v>0</v>
      </c>
      <c r="AJ36" s="534" t="str">
        <f>IF(TRIM($B36)="","",IF(COUNTIFS(Lists!$AN$2:$AN$22,TRIM($B36)&amp;" | "&amp;TRIM($D36),Lists!$AP$2:$AP$22,"&lt;&gt;"),INDEX(Lists!$AP$2:$AP$22,MATCH(TRIM($B36)&amp;" | "&amp;TRIM($D36),Lists!$AN$2:$AN$22,0)),IF($AI36=1,"Leadership",IFERROR(INDEX(Lists!$X$2:$X$21,MATCH(TRIM($L36),Lists!$W$2:$W$21,0)),IF(OR(TRIM($L36)="",LOWER(TRIM($L36))="na"),IF(TRIM($H36)="","Unassigned",TRIM($H36)),TRIM($L36))))))</f>
        <v>EGI</v>
      </c>
      <c r="AK36" s="534" t="str">
        <f>IF(TRIM($B36)="","",IF(COUNTIFS(Lists!$AN$2:$AN$22,TRIM($B36)&amp;" | "&amp;TRIM($D36),Lists!$AQ$2:$AQ$22,"&lt;&gt;"),INDEX(Lists!$AQ$2:$AQ$22,MATCH(TRIM($B36)&amp;" | "&amp;TRIM($D36),Lists!$AN$2:$AN$22,0)),IF(COUNTIF(Lists!$AF$2:$AF$8,$AJ36),$AJ36,IF(ISNUMBER(SEARCH("head of ",$D36)),"Head of Technology",IF(ISNUMBER(SEARCH("TDD BP",$D36)),"Business Partner",IF(OR(ISNUMBER(SEARCH("domain architect",$D36)),ISNUMBER(SEARCH("enterprise architect",$D36))),"Domain Architect",IF(ISNUMBER(SEARCH("delivery man",$D36)),"Delivery Manager",IF(OR(ISNUMBER(SEARCH("technology manager",$D36)),ISNUMBER(SEARCH("technology manger",$D36)),ISNUMBER(SEARCH("tech manager",$D36))),"Technology Manager","Squad"))))))))</f>
        <v>Squad</v>
      </c>
      <c r="AL36" s="534" t="str">
        <f>IF(TRIM($B36)="","",IF(AND($AM36=1,LEFT($AJ36,4)&lt;&gt;"EGI ",$AJ36&lt;&gt;"EGI"),IFERROR(INDEX(Lists!$Z$2:$Z$20,MATCH($AH36,Lists!$Y$2:$Y$20,0)),"EGI "&amp;$AH36),IF(COUNTIF(Lists!$AU$2:$AU$10,$AJ36),$AJ36,IF(OR(LEFT($AH36,3)="COE",$AH36="EGI"),$AJ36,IF($AK36&lt;&gt;"Squad",$AK36,$AJ36)))))</f>
        <v>EGI</v>
      </c>
      <c r="AM36" s="534" t="b">
        <f>IF(TRIM($B36)="","",--(UPPER(TRIM($K36))="EGI"))</f>
        <v>1</v>
      </c>
      <c r="AQ36" s="841" t="inlineStr">
        <is>
          <t>R0035</t>
        </is>
      </c>
      <c r="AZ36" s="841" t="n"/>
    </row>
    <row r="37" ht="18" customHeight="1" s="535">
      <c r="A37" s="842" t="inlineStr">
        <is>
          <t>C</t>
        </is>
      </c>
      <c r="B37" s="843" t="inlineStr">
        <is>
          <t>Aaron (Ming) Lu</t>
        </is>
      </c>
      <c r="C37" s="842" t="inlineStr">
        <is>
          <t>C</t>
        </is>
      </c>
      <c r="D37" s="843" t="inlineStr">
        <is>
          <t>Engineer - BE</t>
        </is>
      </c>
      <c r="E37" s="843" t="inlineStr">
        <is>
          <t>Vacant</t>
        </is>
      </c>
      <c r="F37" s="843" t="inlineStr">
        <is>
          <t>Technology Manager, Digital Engineering</t>
        </is>
      </c>
      <c r="G37" s="844" t="inlineStr">
        <is>
          <t>Customer</t>
        </is>
      </c>
      <c r="H37" s="843" t="inlineStr">
        <is>
          <t>Digital</t>
        </is>
      </c>
      <c r="I37" s="843" t="inlineStr">
        <is>
          <t>Tech, Digital Engineering</t>
        </is>
      </c>
      <c r="J37" s="843" t="inlineStr">
        <is>
          <t>Ampol Customer</t>
        </is>
      </c>
      <c r="K37" s="843" t="inlineStr">
        <is>
          <t>Ampol Digital</t>
        </is>
      </c>
      <c r="L37" s="843" t="inlineStr">
        <is>
          <t>Ampol Web</t>
        </is>
      </c>
      <c r="M37" s="843" t="n"/>
      <c r="N37" s="845" t="inlineStr">
        <is>
          <t>Australia</t>
        </is>
      </c>
      <c r="O37" s="846" t="inlineStr">
        <is>
          <t>NA</t>
        </is>
      </c>
      <c r="P37" s="847" t="n">
        <v>1</v>
      </c>
      <c r="Q37" s="847" t="n"/>
      <c r="R37" s="847" t="inlineStr">
        <is>
          <t>Contractor</t>
        </is>
      </c>
      <c r="S37" s="847" t="inlineStr">
        <is>
          <t>Day</t>
        </is>
      </c>
      <c r="T37" s="847" t="n">
        <v>1250</v>
      </c>
      <c r="U37" s="848" t="n"/>
      <c r="V37" s="849" t="n"/>
      <c r="W37" s="850" t="n"/>
      <c r="X37" s="847" t="n"/>
      <c r="Y37" s="850" t="n"/>
      <c r="Z37" s="851" t="n"/>
      <c r="AA37" s="850" t="n"/>
      <c r="AB37" s="852" t="n">
        <v>277500</v>
      </c>
      <c r="AC37" s="534" t="inlineStr">
        <is>
          <t>End date:10/07/2026</t>
        </is>
      </c>
      <c r="AE37" s="534">
        <f>IF(TRIM($B37)="","",IF(AND(N($P37)&gt;0,N($P37)&lt;1),N($AB37)*N($P37),N($AB37)))</f>
        <v>277500</v>
      </c>
      <c r="AF37" s="534" t="str">
        <f>IF(TRIM($B37)="","",IF(OR(ISNUMBER(SEARCH("vacant",$B37)),ISNUMBER(SEARCH("ring fenced",$B37)),LOWER(TRIM($B37))="remove"),"Vacant","Filled"))</f>
        <v>Filled</v>
      </c>
      <c r="AG37" s="534" t="b">
        <f>IF(TRIM($B37)="","",--ISNUMBER(SEARCH("ring fenced",$B37)))</f>
        <v>0</v>
      </c>
      <c r="AH37" s="534" t="str">
        <f>IF(TRIM($B37)="","",IF(COUNTIFS(Lists!$AN$2:$AN$22,TRIM($B37)&amp;" | "&amp;TRIM($D37),Lists!$AO$2:$AO$22,"&lt;&gt;"),INDEX(Lists!$AO$2:$AO$22,MATCH(TRIM($B37)&amp;" | "&amp;TRIM($D37),Lists!$AN$2:$AN$22,0)),IF(COUNTIF(Lists!$AR$2:$AR$3,$AJ37),"TDD Cyber",IF(AND(LEFT($AJ37,4)="EGI ",ISNUMBER(MATCH(TRIM(MID($AJ37,5,99)),Lists!$AS$2:$AS$12,0))),TRIM(MID($AJ37,5,99)),IF(AND(LEFT($AJ37,4)="EGI ",ISNUMBER(MATCH(TRIM(MID($AJ37,5,99)),Lists!$T$2:$T$21,0))),INDEX(Lists!$U$2:$U$21,MATCH(TRIM(MID($AJ37,5,99)),Lists!$T$2:$T$21,0)),IF(OR(TRIM($J37)="",UPPER(TRIM($J37))="NA"),IFERROR(INDEX(Lists!$R$2:$R$9,MATCH(TRIM($G37),Lists!$Q$2:$Q$9,0)),"UNMAPPED"),IFERROR(INDEX(Lists!$U$2:$U$21,MATCH(TRIM($J37),Lists!$T$2:$T$21,0)),IFERROR(INDEX(Lists!$R$2:$R$9,MATCH(TRIM($G37),Lists!$Q$2:$Q$9,0)),"UNMAPPED"))))))))</f>
        <v>Customer</v>
      </c>
      <c r="AI37" s="534" t="b">
        <f>IF(TRIM($B37)="","",--OR(TRIM($L37)="Leadership",TRIM($K37)="Leadership"))</f>
        <v>0</v>
      </c>
      <c r="AJ37" s="534" t="str">
        <f>IF(TRIM($B37)="","",IF(COUNTIFS(Lists!$AN$2:$AN$22,TRIM($B37)&amp;" | "&amp;TRIM($D37),Lists!$AP$2:$AP$22,"&lt;&gt;"),INDEX(Lists!$AP$2:$AP$22,MATCH(TRIM($B37)&amp;" | "&amp;TRIM($D37),Lists!$AN$2:$AN$22,0)),IF($AI37=1,"Leadership",IFERROR(INDEX(Lists!$X$2:$X$21,MATCH(TRIM($L37),Lists!$W$2:$W$21,0)),IF(OR(TRIM($L37)="",LOWER(TRIM($L37))="na"),IF(TRIM($H37)="","Unassigned",TRIM($H37)),TRIM($L37))))))</f>
        <v>Ampol Web</v>
      </c>
      <c r="AK37" s="534" t="str">
        <f>IF(TRIM($B37)="","",IF(COUNTIFS(Lists!$AN$2:$AN$22,TRIM($B37)&amp;" | "&amp;TRIM($D37),Lists!$AQ$2:$AQ$22,"&lt;&gt;"),INDEX(Lists!$AQ$2:$AQ$22,MATCH(TRIM($B37)&amp;" | "&amp;TRIM($D37),Lists!$AN$2:$AN$22,0)),IF(COUNTIF(Lists!$AF$2:$AF$8,$AJ37),$AJ37,IF(ISNUMBER(SEARCH("head of ",$D37)),"Head of Technology",IF(ISNUMBER(SEARCH("TDD BP",$D37)),"Business Partner",IF(OR(ISNUMBER(SEARCH("domain architect",$D37)),ISNUMBER(SEARCH("enterprise architect",$D37))),"Domain Architect",IF(ISNUMBER(SEARCH("delivery man",$D37)),"Delivery Manager",IF(OR(ISNUMBER(SEARCH("technology manager",$D37)),ISNUMBER(SEARCH("technology manger",$D37)),ISNUMBER(SEARCH("tech manager",$D37))),"Technology Manager","Squad"))))))))</f>
        <v>Squad</v>
      </c>
      <c r="AL37" s="534" t="str">
        <f>IF(TRIM($B37)="","",IF(AND($AM37=1,LEFT($AJ37,4)&lt;&gt;"EGI ",$AJ37&lt;&gt;"EGI"),IFERROR(INDEX(Lists!$Z$2:$Z$20,MATCH($AH37,Lists!$Y$2:$Y$20,0)),"EGI "&amp;$AH37),IF(COUNTIF(Lists!$AU$2:$AU$10,$AJ37),$AJ37,IF(OR(LEFT($AH37,3)="COE",$AH37="EGI"),$AJ37,IF($AK37&lt;&gt;"Squad",$AK37,$AJ37)))))</f>
        <v>Ampol Web</v>
      </c>
      <c r="AM37" s="534" t="b">
        <f>IF(TRIM($B37)="","",--(UPPER(TRIM($K37))="EGI"))</f>
        <v>0</v>
      </c>
      <c r="AN37" s="534" t="inlineStr">
        <is>
          <t>Filled</t>
        </is>
      </c>
      <c r="AO37" s="534" t="inlineStr">
        <is>
          <t>End date:10/07/2026</t>
        </is>
      </c>
      <c r="AP37" s="854" t="n">
        <v>46213</v>
      </c>
      <c r="AQ37" s="841" t="inlineStr">
        <is>
          <t>R0036</t>
        </is>
      </c>
      <c r="AZ37" s="841" t="n"/>
    </row>
    <row r="38" ht="18" customHeight="1" s="535">
      <c r="A38" s="842" t="inlineStr">
        <is>
          <t>C</t>
        </is>
      </c>
      <c r="B38" s="843" t="inlineStr">
        <is>
          <t>Anup Antony</t>
        </is>
      </c>
      <c r="C38" s="842" t="inlineStr">
        <is>
          <t>C</t>
        </is>
      </c>
      <c r="D38" s="843" t="inlineStr">
        <is>
          <t>Engineer - BE</t>
        </is>
      </c>
      <c r="E38" s="843" t="inlineStr">
        <is>
          <t>Vacant</t>
        </is>
      </c>
      <c r="F38" s="843" t="inlineStr">
        <is>
          <t>Technology Manager, Digital Engineering</t>
        </is>
      </c>
      <c r="G38" s="844" t="inlineStr">
        <is>
          <t>Customer</t>
        </is>
      </c>
      <c r="H38" s="843" t="inlineStr">
        <is>
          <t>Digital</t>
        </is>
      </c>
      <c r="I38" s="843" t="inlineStr">
        <is>
          <t>Tech, Digital Engineering</t>
        </is>
      </c>
      <c r="J38" s="843" t="inlineStr">
        <is>
          <t>Ampol Customer</t>
        </is>
      </c>
      <c r="K38" s="843" t="inlineStr">
        <is>
          <t>Ampol Digital</t>
        </is>
      </c>
      <c r="L38" s="843" t="inlineStr">
        <is>
          <t>Ampol App</t>
        </is>
      </c>
      <c r="M38" s="843" t="n"/>
      <c r="N38" s="845" t="inlineStr">
        <is>
          <t>Australia</t>
        </is>
      </c>
      <c r="O38" s="846" t="inlineStr">
        <is>
          <t>NA</t>
        </is>
      </c>
      <c r="P38" s="847" t="n">
        <v>1</v>
      </c>
      <c r="Q38" s="847" t="n"/>
      <c r="R38" s="847" t="inlineStr">
        <is>
          <t>Contractor</t>
        </is>
      </c>
      <c r="S38" s="847" t="inlineStr">
        <is>
          <t>Day</t>
        </is>
      </c>
      <c r="T38" s="847" t="n">
        <v>1218.5777</v>
      </c>
      <c r="U38" s="848" t="n"/>
      <c r="V38" s="849" t="n"/>
      <c r="W38" s="850" t="n"/>
      <c r="X38" s="847" t="n"/>
      <c r="Y38" s="850" t="n"/>
      <c r="Z38" s="851" t="n"/>
      <c r="AA38" s="850" t="n"/>
      <c r="AB38" s="852" t="n">
        <v>270524.2494</v>
      </c>
      <c r="AC38" s="534" t="inlineStr">
        <is>
          <t>End Date: 31/01/2027</t>
        </is>
      </c>
      <c r="AE38" s="534">
        <f>IF(TRIM($B38)="","",IF(AND(N($P38)&gt;0,N($P38)&lt;1),N($AB38)*N($P38),N($AB38)))</f>
        <v>270524.2494</v>
      </c>
      <c r="AF38" s="534" t="str">
        <f>IF(TRIM($B38)="","",IF(OR(ISNUMBER(SEARCH("vacant",$B38)),ISNUMBER(SEARCH("ring fenced",$B38)),LOWER(TRIM($B38))="remove"),"Vacant","Filled"))</f>
        <v>Filled</v>
      </c>
      <c r="AG38" s="534" t="b">
        <f>IF(TRIM($B38)="","",--ISNUMBER(SEARCH("ring fenced",$B38)))</f>
        <v>0</v>
      </c>
      <c r="AH38" s="534" t="str">
        <f>IF(TRIM($B38)="","",IF(COUNTIFS(Lists!$AN$2:$AN$22,TRIM($B38)&amp;" | "&amp;TRIM($D38),Lists!$AO$2:$AO$22,"&lt;&gt;"),INDEX(Lists!$AO$2:$AO$22,MATCH(TRIM($B38)&amp;" | "&amp;TRIM($D38),Lists!$AN$2:$AN$22,0)),IF(COUNTIF(Lists!$AR$2:$AR$3,$AJ38),"TDD Cyber",IF(AND(LEFT($AJ38,4)="EGI ",ISNUMBER(MATCH(TRIM(MID($AJ38,5,99)),Lists!$AS$2:$AS$12,0))),TRIM(MID($AJ38,5,99)),IF(AND(LEFT($AJ38,4)="EGI ",ISNUMBER(MATCH(TRIM(MID($AJ38,5,99)),Lists!$T$2:$T$21,0))),INDEX(Lists!$U$2:$U$21,MATCH(TRIM(MID($AJ38,5,99)),Lists!$T$2:$T$21,0)),IF(OR(TRIM($J38)="",UPPER(TRIM($J38))="NA"),IFERROR(INDEX(Lists!$R$2:$R$9,MATCH(TRIM($G38),Lists!$Q$2:$Q$9,0)),"UNMAPPED"),IFERROR(INDEX(Lists!$U$2:$U$21,MATCH(TRIM($J38),Lists!$T$2:$T$21,0)),IFERROR(INDEX(Lists!$R$2:$R$9,MATCH(TRIM($G38),Lists!$Q$2:$Q$9,0)),"UNMAPPED"))))))))</f>
        <v>Customer</v>
      </c>
      <c r="AI38" s="534" t="b">
        <f>IF(TRIM($B38)="","",--OR(TRIM($L38)="Leadership",TRIM($K38)="Leadership"))</f>
        <v>0</v>
      </c>
      <c r="AJ38" s="534" t="str">
        <f>IF(TRIM($B38)="","",IF(COUNTIFS(Lists!$AN$2:$AN$22,TRIM($B38)&amp;" | "&amp;TRIM($D38),Lists!$AP$2:$AP$22,"&lt;&gt;"),INDEX(Lists!$AP$2:$AP$22,MATCH(TRIM($B38)&amp;" | "&amp;TRIM($D38),Lists!$AN$2:$AN$22,0)),IF($AI38=1,"Leadership",IFERROR(INDEX(Lists!$X$2:$X$21,MATCH(TRIM($L38),Lists!$W$2:$W$21,0)),IF(OR(TRIM($L38)="",LOWER(TRIM($L38))="na"),IF(TRIM($H38)="","Unassigned",TRIM($H38)),TRIM($L38))))))</f>
        <v>Ampol App</v>
      </c>
      <c r="AK38" s="534" t="str">
        <f>IF(TRIM($B38)="","",IF(COUNTIFS(Lists!$AN$2:$AN$22,TRIM($B38)&amp;" | "&amp;TRIM($D38),Lists!$AQ$2:$AQ$22,"&lt;&gt;"),INDEX(Lists!$AQ$2:$AQ$22,MATCH(TRIM($B38)&amp;" | "&amp;TRIM($D38),Lists!$AN$2:$AN$22,0)),IF(COUNTIF(Lists!$AF$2:$AF$8,$AJ38),$AJ38,IF(ISNUMBER(SEARCH("head of ",$D38)),"Head of Technology",IF(ISNUMBER(SEARCH("TDD BP",$D38)),"Business Partner",IF(OR(ISNUMBER(SEARCH("domain architect",$D38)),ISNUMBER(SEARCH("enterprise architect",$D38))),"Domain Architect",IF(ISNUMBER(SEARCH("delivery man",$D38)),"Delivery Manager",IF(OR(ISNUMBER(SEARCH("technology manager",$D38)),ISNUMBER(SEARCH("technology manger",$D38)),ISNUMBER(SEARCH("tech manager",$D38))),"Technology Manager","Squad"))))))))</f>
        <v>Squad</v>
      </c>
      <c r="AL38" s="534" t="str">
        <f>IF(TRIM($B38)="","",IF(AND($AM38=1,LEFT($AJ38,4)&lt;&gt;"EGI ",$AJ38&lt;&gt;"EGI"),IFERROR(INDEX(Lists!$Z$2:$Z$20,MATCH($AH38,Lists!$Y$2:$Y$20,0)),"EGI "&amp;$AH38),IF(COUNTIF(Lists!$AU$2:$AU$10,$AJ38),$AJ38,IF(OR(LEFT($AH38,3)="COE",$AH38="EGI"),$AJ38,IF($AK38&lt;&gt;"Squad",$AK38,$AJ38)))))</f>
        <v>Ampol App</v>
      </c>
      <c r="AM38" s="534" t="b">
        <f>IF(TRIM($B38)="","",--(UPPER(TRIM($K38))="EGI"))</f>
        <v>0</v>
      </c>
      <c r="AN38" s="534" t="inlineStr">
        <is>
          <t>Filled</t>
        </is>
      </c>
      <c r="AO38" s="534" t="inlineStr">
        <is>
          <t>End Date: 31/01/2027</t>
        </is>
      </c>
      <c r="AP38" s="854" t="n">
        <v>46418</v>
      </c>
      <c r="AQ38" s="841" t="inlineStr">
        <is>
          <t>R0037</t>
        </is>
      </c>
      <c r="AZ38" s="841" t="n"/>
    </row>
    <row r="39" ht="18" customHeight="1" s="535">
      <c r="A39" s="842" t="n"/>
      <c r="B39" s="843" t="inlineStr">
        <is>
          <t>Rob Jadrjevic</t>
        </is>
      </c>
      <c r="C39" s="842" t="n"/>
      <c r="D39" s="843" t="inlineStr">
        <is>
          <t>Engineer - BE</t>
        </is>
      </c>
      <c r="E39" s="843" t="inlineStr">
        <is>
          <t>Vacant</t>
        </is>
      </c>
      <c r="F39" s="843" t="inlineStr">
        <is>
          <t>Technology Manager, Digital Engineering</t>
        </is>
      </c>
      <c r="G39" s="844" t="inlineStr">
        <is>
          <t>Customer</t>
        </is>
      </c>
      <c r="H39" s="843" t="inlineStr">
        <is>
          <t>Digital</t>
        </is>
      </c>
      <c r="I39" s="843" t="inlineStr">
        <is>
          <t>Tech, Digital Engineering</t>
        </is>
      </c>
      <c r="J39" s="843" t="inlineStr">
        <is>
          <t>EGI Integration</t>
        </is>
      </c>
      <c r="K39" s="843" t="inlineStr">
        <is>
          <t>EGI</t>
        </is>
      </c>
      <c r="L39" s="843" t="inlineStr">
        <is>
          <t>EGI Customer</t>
        </is>
      </c>
      <c r="M39" s="843" t="n"/>
      <c r="N39" s="845" t="inlineStr">
        <is>
          <t>Australia</t>
        </is>
      </c>
      <c r="O39" s="846" t="inlineStr">
        <is>
          <t>NA</t>
        </is>
      </c>
      <c r="P39" s="847" t="n">
        <v>1</v>
      </c>
      <c r="Q39" s="847" t="n"/>
      <c r="R39" s="847" t="n"/>
      <c r="S39" s="847" t="n"/>
      <c r="T39" s="847" t="n"/>
      <c r="U39" s="848" t="n"/>
      <c r="V39" s="849" t="n"/>
      <c r="W39" s="850" t="n"/>
      <c r="X39" s="847" t="n"/>
      <c r="Y39" s="850" t="n"/>
      <c r="Z39" s="851" t="n"/>
      <c r="AA39" s="850" t="n"/>
      <c r="AB39" s="852" t="n">
        <v>0</v>
      </c>
      <c r="AC39" s="534" t="inlineStr">
        <is>
          <t>Jac: Cant find tthis record</t>
        </is>
      </c>
      <c r="AE39" s="534">
        <f>IF(TRIM($B39)="","",IF(AND(N($P39)&gt;0,N($P39)&lt;1),N($AB39)*N($P39),N($AB39)))</f>
        <v>0</v>
      </c>
      <c r="AF39" s="534" t="str">
        <f>IF(TRIM($B39)="","",IF(OR(ISNUMBER(SEARCH("vacant",$B39)),ISNUMBER(SEARCH("ring fenced",$B39)),LOWER(TRIM($B39))="remove"),"Vacant","Filled"))</f>
        <v>Filled</v>
      </c>
      <c r="AG39" s="534" t="b">
        <f>IF(TRIM($B39)="","",--ISNUMBER(SEARCH("ring fenced",$B39)))</f>
        <v>0</v>
      </c>
      <c r="AH39" s="534" t="str">
        <f>IF(TRIM($B39)="","",IF(COUNTIFS(Lists!$AN$2:$AN$22,TRIM($B39)&amp;" | "&amp;TRIM($D39),Lists!$AO$2:$AO$22,"&lt;&gt;"),INDEX(Lists!$AO$2:$AO$22,MATCH(TRIM($B39)&amp;" | "&amp;TRIM($D39),Lists!$AN$2:$AN$22,0)),IF(COUNTIF(Lists!$AR$2:$AR$3,$AJ39),"TDD Cyber",IF(AND(LEFT($AJ39,4)="EGI ",ISNUMBER(MATCH(TRIM(MID($AJ39,5,99)),Lists!$AS$2:$AS$12,0))),TRIM(MID($AJ39,5,99)),IF(AND(LEFT($AJ39,4)="EGI ",ISNUMBER(MATCH(TRIM(MID($AJ39,5,99)),Lists!$T$2:$T$21,0))),INDEX(Lists!$U$2:$U$21,MATCH(TRIM(MID($AJ39,5,99)),Lists!$T$2:$T$21,0)),IF(OR(TRIM($J39)="",UPPER(TRIM($J39))="NA"),IFERROR(INDEX(Lists!$R$2:$R$9,MATCH(TRIM($G39),Lists!$Q$2:$Q$9,0)),"UNMAPPED"),IFERROR(INDEX(Lists!$U$2:$U$21,MATCH(TRIM($J39),Lists!$T$2:$T$21,0)),IFERROR(INDEX(Lists!$R$2:$R$9,MATCH(TRIM($G39),Lists!$Q$2:$Q$9,0)),"UNMAPPED"))))))))</f>
        <v>Customer</v>
      </c>
      <c r="AI39" s="534" t="b">
        <f>IF(TRIM($B39)="","",--OR(TRIM($L39)="Leadership",TRIM($K39)="Leadership"))</f>
        <v>0</v>
      </c>
      <c r="AJ39" s="534" t="str">
        <f>IF(TRIM($B39)="","",IF(COUNTIFS(Lists!$AN$2:$AN$22,TRIM($B39)&amp;" | "&amp;TRIM($D39),Lists!$AP$2:$AP$22,"&lt;&gt;"),INDEX(Lists!$AP$2:$AP$22,MATCH(TRIM($B39)&amp;" | "&amp;TRIM($D39),Lists!$AN$2:$AN$22,0)),IF($AI39=1,"Leadership",IFERROR(INDEX(Lists!$X$2:$X$21,MATCH(TRIM($L39),Lists!$W$2:$W$21,0)),IF(OR(TRIM($L39)="",LOWER(TRIM($L39))="na"),IF(TRIM($H39)="","Unassigned",TRIM($H39)),TRIM($L39))))))</f>
        <v>EGI Customer</v>
      </c>
      <c r="AK39" s="534" t="str">
        <f>IF(TRIM($B39)="","",IF(COUNTIFS(Lists!$AN$2:$AN$22,TRIM($B39)&amp;" | "&amp;TRIM($D39),Lists!$AQ$2:$AQ$22,"&lt;&gt;"),INDEX(Lists!$AQ$2:$AQ$22,MATCH(TRIM($B39)&amp;" | "&amp;TRIM($D39),Lists!$AN$2:$AN$22,0)),IF(COUNTIF(Lists!$AF$2:$AF$8,$AJ39),$AJ39,IF(ISNUMBER(SEARCH("head of ",$D39)),"Head of Technology",IF(ISNUMBER(SEARCH("TDD BP",$D39)),"Business Partner",IF(OR(ISNUMBER(SEARCH("domain architect",$D39)),ISNUMBER(SEARCH("enterprise architect",$D39))),"Domain Architect",IF(ISNUMBER(SEARCH("delivery man",$D39)),"Delivery Manager",IF(OR(ISNUMBER(SEARCH("technology manager",$D39)),ISNUMBER(SEARCH("technology manger",$D39)),ISNUMBER(SEARCH("tech manager",$D39))),"Technology Manager","Squad"))))))))</f>
        <v>Squad</v>
      </c>
      <c r="AL39" s="534" t="str">
        <f>IF(TRIM($B39)="","",IF(AND($AM39=1,LEFT($AJ39,4)&lt;&gt;"EGI ",$AJ39&lt;&gt;"EGI"),IFERROR(INDEX(Lists!$Z$2:$Z$20,MATCH($AH39,Lists!$Y$2:$Y$20,0)),"EGI "&amp;$AH39),IF(COUNTIF(Lists!$AU$2:$AU$10,$AJ39),$AJ39,IF(OR(LEFT($AH39,3)="COE",$AH39="EGI"),$AJ39,IF($AK39&lt;&gt;"Squad",$AK39,$AJ39)))))</f>
        <v>EGI Customer</v>
      </c>
      <c r="AM39" s="534" t="b">
        <f>IF(TRIM($B39)="","",--(UPPER(TRIM($K39))="EGI"))</f>
        <v>1</v>
      </c>
      <c r="AN39" s="534" t="inlineStr">
        <is>
          <t>Filled</t>
        </is>
      </c>
      <c r="AO39" s="534" t="inlineStr">
        <is>
          <t>Jac: Cant find tthis record</t>
        </is>
      </c>
      <c r="AQ39" s="841" t="inlineStr">
        <is>
          <t>R0038</t>
        </is>
      </c>
      <c r="AZ39" s="841" t="n"/>
    </row>
    <row r="40" ht="18" customHeight="1" s="535">
      <c r="A40" s="842" t="inlineStr">
        <is>
          <t>C</t>
        </is>
      </c>
      <c r="B40" s="843" t="inlineStr">
        <is>
          <t>Swapnil Pithwa</t>
        </is>
      </c>
      <c r="C40" s="842" t="inlineStr">
        <is>
          <t>C</t>
        </is>
      </c>
      <c r="D40" s="843" t="inlineStr">
        <is>
          <t>Engineer - BE</t>
        </is>
      </c>
      <c r="E40" s="843" t="inlineStr">
        <is>
          <t>Vacant</t>
        </is>
      </c>
      <c r="F40" s="843" t="inlineStr">
        <is>
          <t>Technology Manager, Digital Engineering</t>
        </is>
      </c>
      <c r="G40" s="844" t="inlineStr">
        <is>
          <t>Customer</t>
        </is>
      </c>
      <c r="H40" s="843" t="inlineStr">
        <is>
          <t>Digital</t>
        </is>
      </c>
      <c r="I40" s="843" t="inlineStr">
        <is>
          <t>Tech, Digital Engineering</t>
        </is>
      </c>
      <c r="J40" s="843" t="inlineStr">
        <is>
          <t>EGI Integration</t>
        </is>
      </c>
      <c r="K40" s="843" t="inlineStr">
        <is>
          <t>EGI</t>
        </is>
      </c>
      <c r="L40" s="843" t="inlineStr">
        <is>
          <t>EGI Customer</t>
        </is>
      </c>
      <c r="M40" s="843" t="n"/>
      <c r="N40" s="845" t="inlineStr">
        <is>
          <t>Australia</t>
        </is>
      </c>
      <c r="O40" s="846" t="inlineStr">
        <is>
          <t>NA</t>
        </is>
      </c>
      <c r="P40" s="847" t="n">
        <v>1</v>
      </c>
      <c r="Q40" s="847" t="n"/>
      <c r="R40" s="847" t="inlineStr">
        <is>
          <t>Contractor</t>
        </is>
      </c>
      <c r="S40" s="847" t="inlineStr">
        <is>
          <t>Day</t>
        </is>
      </c>
      <c r="T40" s="847" t="n">
        <v>1190</v>
      </c>
      <c r="U40" s="848" t="n"/>
      <c r="V40" s="849" t="n"/>
      <c r="W40" s="850" t="n"/>
      <c r="X40" s="847" t="n"/>
      <c r="Y40" s="850" t="n"/>
      <c r="Z40" s="851" t="n"/>
      <c r="AA40" s="850" t="n"/>
      <c r="AB40" s="852" t="n">
        <v>264180</v>
      </c>
      <c r="AC40" s="534" t="inlineStr">
        <is>
          <t>End Date: 20/08/2026</t>
        </is>
      </c>
      <c r="AE40" s="534">
        <f>IF(TRIM($B40)="","",IF(AND(N($P40)&gt;0,N($P40)&lt;1),N($AB40)*N($P40),N($AB40)))</f>
        <v>264180</v>
      </c>
      <c r="AF40" s="534" t="str">
        <f>IF(TRIM($B40)="","",IF(OR(ISNUMBER(SEARCH("vacant",$B40)),ISNUMBER(SEARCH("ring fenced",$B40)),LOWER(TRIM($B40))="remove"),"Vacant","Filled"))</f>
        <v>Filled</v>
      </c>
      <c r="AG40" s="534" t="b">
        <f>IF(TRIM($B40)="","",--ISNUMBER(SEARCH("ring fenced",$B40)))</f>
        <v>0</v>
      </c>
      <c r="AH40" s="534" t="str">
        <f>IF(TRIM($B40)="","",IF(COUNTIFS(Lists!$AN$2:$AN$22,TRIM($B40)&amp;" | "&amp;TRIM($D40),Lists!$AO$2:$AO$22,"&lt;&gt;"),INDEX(Lists!$AO$2:$AO$22,MATCH(TRIM($B40)&amp;" | "&amp;TRIM($D40),Lists!$AN$2:$AN$22,0)),IF(COUNTIF(Lists!$AR$2:$AR$3,$AJ40),"TDD Cyber",IF(AND(LEFT($AJ40,4)="EGI ",ISNUMBER(MATCH(TRIM(MID($AJ40,5,99)),Lists!$AS$2:$AS$12,0))),TRIM(MID($AJ40,5,99)),IF(AND(LEFT($AJ40,4)="EGI ",ISNUMBER(MATCH(TRIM(MID($AJ40,5,99)),Lists!$T$2:$T$21,0))),INDEX(Lists!$U$2:$U$21,MATCH(TRIM(MID($AJ40,5,99)),Lists!$T$2:$T$21,0)),IF(OR(TRIM($J40)="",UPPER(TRIM($J40))="NA"),IFERROR(INDEX(Lists!$R$2:$R$9,MATCH(TRIM($G40),Lists!$Q$2:$Q$9,0)),"UNMAPPED"),IFERROR(INDEX(Lists!$U$2:$U$21,MATCH(TRIM($J40),Lists!$T$2:$T$21,0)),IFERROR(INDEX(Lists!$R$2:$R$9,MATCH(TRIM($G40),Lists!$Q$2:$Q$9,0)),"UNMAPPED"))))))))</f>
        <v>Customer</v>
      </c>
      <c r="AI40" s="534" t="b">
        <f>IF(TRIM($B40)="","",--OR(TRIM($L40)="Leadership",TRIM($K40)="Leadership"))</f>
        <v>0</v>
      </c>
      <c r="AJ40" s="534" t="str">
        <f>IF(TRIM($B40)="","",IF(COUNTIFS(Lists!$AN$2:$AN$22,TRIM($B40)&amp;" | "&amp;TRIM($D40),Lists!$AP$2:$AP$22,"&lt;&gt;"),INDEX(Lists!$AP$2:$AP$22,MATCH(TRIM($B40)&amp;" | "&amp;TRIM($D40),Lists!$AN$2:$AN$22,0)),IF($AI40=1,"Leadership",IFERROR(INDEX(Lists!$X$2:$X$21,MATCH(TRIM($L40),Lists!$W$2:$W$21,0)),IF(OR(TRIM($L40)="",LOWER(TRIM($L40))="na"),IF(TRIM($H40)="","Unassigned",TRIM($H40)),TRIM($L40))))))</f>
        <v>EGI Customer</v>
      </c>
      <c r="AK40" s="534" t="str">
        <f>IF(TRIM($B40)="","",IF(COUNTIFS(Lists!$AN$2:$AN$22,TRIM($B40)&amp;" | "&amp;TRIM($D40),Lists!$AQ$2:$AQ$22,"&lt;&gt;"),INDEX(Lists!$AQ$2:$AQ$22,MATCH(TRIM($B40)&amp;" | "&amp;TRIM($D40),Lists!$AN$2:$AN$22,0)),IF(COUNTIF(Lists!$AF$2:$AF$8,$AJ40),$AJ40,IF(ISNUMBER(SEARCH("head of ",$D40)),"Head of Technology",IF(ISNUMBER(SEARCH("TDD BP",$D40)),"Business Partner",IF(OR(ISNUMBER(SEARCH("domain architect",$D40)),ISNUMBER(SEARCH("enterprise architect",$D40))),"Domain Architect",IF(ISNUMBER(SEARCH("delivery man",$D40)),"Delivery Manager",IF(OR(ISNUMBER(SEARCH("technology manager",$D40)),ISNUMBER(SEARCH("technology manger",$D40)),ISNUMBER(SEARCH("tech manager",$D40))),"Technology Manager","Squad"))))))))</f>
        <v>Squad</v>
      </c>
      <c r="AL40" s="534" t="str">
        <f>IF(TRIM($B40)="","",IF(AND($AM40=1,LEFT($AJ40,4)&lt;&gt;"EGI ",$AJ40&lt;&gt;"EGI"),IFERROR(INDEX(Lists!$Z$2:$Z$20,MATCH($AH40,Lists!$Y$2:$Y$20,0)),"EGI "&amp;$AH40),IF(COUNTIF(Lists!$AU$2:$AU$10,$AJ40),$AJ40,IF(OR(LEFT($AH40,3)="COE",$AH40="EGI"),$AJ40,IF($AK40&lt;&gt;"Squad",$AK40,$AJ40)))))</f>
        <v>EGI Customer</v>
      </c>
      <c r="AM40" s="534" t="b">
        <f>IF(TRIM($B40)="","",--(UPPER(TRIM($K40))="EGI"))</f>
        <v>1</v>
      </c>
      <c r="AN40" s="534" t="inlineStr">
        <is>
          <t>Filled</t>
        </is>
      </c>
      <c r="AO40" s="534" t="inlineStr">
        <is>
          <t>End Date: 20/08/2026</t>
        </is>
      </c>
      <c r="AP40" s="854" t="n">
        <v>46254</v>
      </c>
      <c r="AQ40" s="841" t="inlineStr">
        <is>
          <t>R0039</t>
        </is>
      </c>
      <c r="AZ40" s="841" t="n"/>
    </row>
    <row r="41" ht="18" customHeight="1" s="535">
      <c r="A41" s="842" t="inlineStr">
        <is>
          <t>C</t>
        </is>
      </c>
      <c r="B41" s="843" t="inlineStr">
        <is>
          <t>Alex Prakhiy</t>
        </is>
      </c>
      <c r="C41" s="842" t="inlineStr">
        <is>
          <t>C</t>
        </is>
      </c>
      <c r="D41" s="843" t="inlineStr">
        <is>
          <t>Business Analyst</t>
        </is>
      </c>
      <c r="E41" s="843" t="inlineStr">
        <is>
          <t>Vanessa Allen</t>
        </is>
      </c>
      <c r="F41" s="843" t="inlineStr">
        <is>
          <t>Delivery Manager, Ampol Retail</t>
        </is>
      </c>
      <c r="G41" s="844" t="inlineStr">
        <is>
          <t>Ampol Retail &amp; Z</t>
        </is>
      </c>
      <c r="H41" s="843" t="inlineStr">
        <is>
          <t>Ampol Retail</t>
        </is>
      </c>
      <c r="I41" s="843" t="inlineStr">
        <is>
          <t>Ampol Retail, Delivery</t>
        </is>
      </c>
      <c r="J41" s="843" t="inlineStr">
        <is>
          <t>EGI Integration</t>
        </is>
      </c>
      <c r="K41" s="843" t="inlineStr">
        <is>
          <t>EGI</t>
        </is>
      </c>
      <c r="L41" s="843" t="inlineStr">
        <is>
          <t>EGI Retail</t>
        </is>
      </c>
      <c r="M41" s="843" t="n"/>
      <c r="N41" s="845" t="inlineStr">
        <is>
          <t>Australia</t>
        </is>
      </c>
      <c r="O41" s="846" t="inlineStr">
        <is>
          <t>NA</t>
        </is>
      </c>
      <c r="P41" s="847" t="n">
        <v>1</v>
      </c>
      <c r="Q41" s="846" t="n"/>
      <c r="R41" s="847" t="inlineStr">
        <is>
          <t>cxc</t>
        </is>
      </c>
      <c r="S41" s="847" t="inlineStr">
        <is>
          <t>Daily</t>
        </is>
      </c>
      <c r="T41" s="847" t="n">
        <v>1000</v>
      </c>
      <c r="U41" s="848" t="n">
        <v>0</v>
      </c>
      <c r="V41" s="849" t="n"/>
      <c r="W41" s="850" t="n"/>
      <c r="X41" s="847" t="n"/>
      <c r="Y41" s="850" t="n"/>
      <c r="Z41" s="851" t="n"/>
      <c r="AA41" s="850" t="n"/>
      <c r="AB41" s="852" t="n">
        <v>222000</v>
      </c>
      <c r="AE41" s="534">
        <f>IF(TRIM($B41)="","",IF(AND(N($P41)&gt;0,N($P41)&lt;1),N($AB41)*N($P41),N($AB41)))</f>
        <v>222000</v>
      </c>
      <c r="AF41" s="534" t="str">
        <f>IF(TRIM($B41)="","",IF(OR(ISNUMBER(SEARCH("vacant",$B41)),ISNUMBER(SEARCH("ring fenced",$B41)),LOWER(TRIM($B41))="remove"),"Vacant","Filled"))</f>
        <v>Filled</v>
      </c>
      <c r="AG41" s="534" t="b">
        <f>IF(TRIM($B41)="","",--ISNUMBER(SEARCH("ring fenced",$B41)))</f>
        <v>0</v>
      </c>
      <c r="AH41" s="534" t="str">
        <f>IF(TRIM($B41)="","",IF(COUNTIFS(Lists!$AN$2:$AN$22,TRIM($B41)&amp;" | "&amp;TRIM($D41),Lists!$AO$2:$AO$22,"&lt;&gt;"),INDEX(Lists!$AO$2:$AO$22,MATCH(TRIM($B41)&amp;" | "&amp;TRIM($D41),Lists!$AN$2:$AN$22,0)),IF(COUNTIF(Lists!$AR$2:$AR$3,$AJ41),"TDD Cyber",IF(AND(LEFT($AJ41,4)="EGI ",ISNUMBER(MATCH(TRIM(MID($AJ41,5,99)),Lists!$AS$2:$AS$12,0))),TRIM(MID($AJ41,5,99)),IF(AND(LEFT($AJ41,4)="EGI ",ISNUMBER(MATCH(TRIM(MID($AJ41,5,99)),Lists!$T$2:$T$21,0))),INDEX(Lists!$U$2:$U$21,MATCH(TRIM(MID($AJ41,5,99)),Lists!$T$2:$T$21,0)),IF(OR(TRIM($J41)="",UPPER(TRIM($J41))="NA"),IFERROR(INDEX(Lists!$R$2:$R$9,MATCH(TRIM($G41),Lists!$Q$2:$Q$9,0)),"UNMAPPED"),IFERROR(INDEX(Lists!$U$2:$U$21,MATCH(TRIM($J41),Lists!$T$2:$T$21,0)),IFERROR(INDEX(Lists!$R$2:$R$9,MATCH(TRIM($G41),Lists!$Q$2:$Q$9,0)),"UNMAPPED"))))))))</f>
        <v>Ampol Retail</v>
      </c>
      <c r="AI41" s="534" t="b">
        <f>IF(TRIM($B41)="","",--OR(TRIM($L41)="Leadership",TRIM($K41)="Leadership"))</f>
        <v>0</v>
      </c>
      <c r="AJ41" s="534" t="str">
        <f>IF(TRIM($B41)="","",IF(COUNTIFS(Lists!$AN$2:$AN$22,TRIM($B41)&amp;" | "&amp;TRIM($D41),Lists!$AP$2:$AP$22,"&lt;&gt;"),INDEX(Lists!$AP$2:$AP$22,MATCH(TRIM($B41)&amp;" | "&amp;TRIM($D41),Lists!$AN$2:$AN$22,0)),IF($AI41=1,"Leadership",IFERROR(INDEX(Lists!$X$2:$X$21,MATCH(TRIM($L41),Lists!$W$2:$W$21,0)),IF(OR(TRIM($L41)="",LOWER(TRIM($L41))="na"),IF(TRIM($H41)="","Unassigned",TRIM($H41)),TRIM($L41))))))</f>
        <v>EGI Retail</v>
      </c>
      <c r="AK41" s="534" t="str">
        <f>IF(TRIM($B41)="","",IF(COUNTIFS(Lists!$AN$2:$AN$22,TRIM($B41)&amp;" | "&amp;TRIM($D41),Lists!$AQ$2:$AQ$22,"&lt;&gt;"),INDEX(Lists!$AQ$2:$AQ$22,MATCH(TRIM($B41)&amp;" | "&amp;TRIM($D41),Lists!$AN$2:$AN$22,0)),IF(COUNTIF(Lists!$AF$2:$AF$8,$AJ41),$AJ41,IF(ISNUMBER(SEARCH("head of ",$D41)),"Head of Technology",IF(ISNUMBER(SEARCH("TDD BP",$D41)),"Business Partner",IF(OR(ISNUMBER(SEARCH("domain architect",$D41)),ISNUMBER(SEARCH("enterprise architect",$D41))),"Domain Architect",IF(ISNUMBER(SEARCH("delivery man",$D41)),"Delivery Manager",IF(OR(ISNUMBER(SEARCH("technology manager",$D41)),ISNUMBER(SEARCH("technology manger",$D41)),ISNUMBER(SEARCH("tech manager",$D41))),"Technology Manager","Squad"))))))))</f>
        <v>Squad</v>
      </c>
      <c r="AL41" s="534" t="str">
        <f>IF(TRIM($B41)="","",IF(AND($AM41=1,LEFT($AJ41,4)&lt;&gt;"EGI ",$AJ41&lt;&gt;"EGI"),IFERROR(INDEX(Lists!$Z$2:$Z$20,MATCH($AH41,Lists!$Y$2:$Y$20,0)),"EGI "&amp;$AH41),IF(COUNTIF(Lists!$AU$2:$AU$10,$AJ41),$AJ41,IF(OR(LEFT($AH41,3)="COE",$AH41="EGI"),$AJ41,IF($AK41&lt;&gt;"Squad",$AK41,$AJ41)))))</f>
        <v>EGI Retail</v>
      </c>
      <c r="AM41" s="534" t="b">
        <f>IF(TRIM($B41)="","",--(UPPER(TRIM($K41))="EGI"))</f>
        <v>1</v>
      </c>
      <c r="AQ41" s="841" t="inlineStr">
        <is>
          <t>R0040</t>
        </is>
      </c>
      <c r="AZ41" s="841" t="n"/>
    </row>
    <row r="42" ht="18" customHeight="1" s="535">
      <c r="A42" s="842" t="inlineStr">
        <is>
          <t>C</t>
        </is>
      </c>
      <c r="B42" s="843" t="inlineStr">
        <is>
          <t>Ashish Gupte</t>
        </is>
      </c>
      <c r="C42" s="842" t="inlineStr">
        <is>
          <t>C</t>
        </is>
      </c>
      <c r="D42" s="843" t="inlineStr">
        <is>
          <t>DeveloperSAP ECC</t>
        </is>
      </c>
      <c r="E42" s="843" t="inlineStr">
        <is>
          <t>Vasso Vucovic</t>
        </is>
      </c>
      <c r="F42" s="843" t="inlineStr">
        <is>
          <t>Head of Technology Finance, P&amp;C Legal</t>
        </is>
      </c>
      <c r="G42" s="844" t="inlineStr">
        <is>
          <t>TDD Group Functions</t>
        </is>
      </c>
      <c r="H42" s="843" t="inlineStr">
        <is>
          <t>EGI</t>
        </is>
      </c>
      <c r="I42" s="843" t="inlineStr">
        <is>
          <t>EGI</t>
        </is>
      </c>
      <c r="J42" s="843" t="inlineStr">
        <is>
          <t>EGI</t>
        </is>
      </c>
      <c r="K42" s="843" t="inlineStr">
        <is>
          <t>EGI</t>
        </is>
      </c>
      <c r="L42" s="843" t="inlineStr">
        <is>
          <t>EGI</t>
        </is>
      </c>
      <c r="M42" s="843" t="n"/>
      <c r="N42" s="845" t="inlineStr">
        <is>
          <t>australia</t>
        </is>
      </c>
      <c r="O42" s="846" t="inlineStr">
        <is>
          <t>na</t>
        </is>
      </c>
      <c r="P42" s="847" t="n">
        <v>1</v>
      </c>
      <c r="Q42" s="847" t="n"/>
      <c r="R42" s="847" t="inlineStr">
        <is>
          <t>cxc</t>
        </is>
      </c>
      <c r="S42" s="847" t="inlineStr">
        <is>
          <t>Daily</t>
        </is>
      </c>
      <c r="T42" s="847" t="n">
        <v>1250</v>
      </c>
      <c r="U42" s="848" t="n">
        <v>0</v>
      </c>
      <c r="V42" s="849" t="n"/>
      <c r="W42" s="850" t="n"/>
      <c r="X42" s="847" t="n"/>
      <c r="Y42" s="850" t="n"/>
      <c r="Z42" s="851" t="n"/>
      <c r="AA42" s="850" t="n"/>
      <c r="AB42" s="852" t="n">
        <v>277500</v>
      </c>
      <c r="AE42" s="534">
        <f>IF(TRIM($B42)="","",IF(AND(N($P42)&gt;0,N($P42)&lt;1),N($AB42)*N($P42),N($AB42)))</f>
        <v>277500</v>
      </c>
      <c r="AF42" s="534" t="str">
        <f>IF(TRIM($B42)="","",IF(OR(ISNUMBER(SEARCH("vacant",$B42)),ISNUMBER(SEARCH("ring fenced",$B42)),LOWER(TRIM($B42))="remove"),"Vacant","Filled"))</f>
        <v>Filled</v>
      </c>
      <c r="AG42" s="534" t="b">
        <f>IF(TRIM($B42)="","",--ISNUMBER(SEARCH("ring fenced",$B42)))</f>
        <v>0</v>
      </c>
      <c r="AH42" s="534" t="str">
        <f>IF(TRIM($B42)="","",IF(COUNTIFS(Lists!$AN$2:$AN$22,TRIM($B42)&amp;" | "&amp;TRIM($D42),Lists!$AO$2:$AO$22,"&lt;&gt;"),INDEX(Lists!$AO$2:$AO$22,MATCH(TRIM($B42)&amp;" | "&amp;TRIM($D42),Lists!$AN$2:$AN$22,0)),IF(COUNTIF(Lists!$AR$2:$AR$3,$AJ42),"TDD Cyber",IF(AND(LEFT($AJ42,4)="EGI ",ISNUMBER(MATCH(TRIM(MID($AJ42,5,99)),Lists!$AS$2:$AS$12,0))),TRIM(MID($AJ42,5,99)),IF(AND(LEFT($AJ42,4)="EGI ",ISNUMBER(MATCH(TRIM(MID($AJ42,5,99)),Lists!$T$2:$T$21,0))),INDEX(Lists!$U$2:$U$21,MATCH(TRIM(MID($AJ42,5,99)),Lists!$T$2:$T$21,0)),IF(OR(TRIM($J42)="",UPPER(TRIM($J42))="NA"),IFERROR(INDEX(Lists!$R$2:$R$9,MATCH(TRIM($G42),Lists!$Q$2:$Q$9,0)),"UNMAPPED"),IFERROR(INDEX(Lists!$U$2:$U$21,MATCH(TRIM($J42),Lists!$T$2:$T$21,0)),IFERROR(INDEX(Lists!$R$2:$R$9,MATCH(TRIM($G42),Lists!$Q$2:$Q$9,0)),"UNMAPPED"))))))))</f>
        <v>EGI</v>
      </c>
      <c r="AI42" s="534" t="b">
        <f>IF(TRIM($B42)="","",--OR(TRIM($L42)="Leadership",TRIM($K42)="Leadership"))</f>
        <v>0</v>
      </c>
      <c r="AJ42" s="534" t="str">
        <f>IF(TRIM($B42)="","",IF(COUNTIFS(Lists!$AN$2:$AN$22,TRIM($B42)&amp;" | "&amp;TRIM($D42),Lists!$AP$2:$AP$22,"&lt;&gt;"),INDEX(Lists!$AP$2:$AP$22,MATCH(TRIM($B42)&amp;" | "&amp;TRIM($D42),Lists!$AN$2:$AN$22,0)),IF($AI42=1,"Leadership",IFERROR(INDEX(Lists!$X$2:$X$21,MATCH(TRIM($L42),Lists!$W$2:$W$21,0)),IF(OR(TRIM($L42)="",LOWER(TRIM($L42))="na"),IF(TRIM($H42)="","Unassigned",TRIM($H42)),TRIM($L42))))))</f>
        <v>EGI</v>
      </c>
      <c r="AK42" s="534" t="str">
        <f>IF(TRIM($B42)="","",IF(COUNTIFS(Lists!$AN$2:$AN$22,TRIM($B42)&amp;" | "&amp;TRIM($D42),Lists!$AQ$2:$AQ$22,"&lt;&gt;"),INDEX(Lists!$AQ$2:$AQ$22,MATCH(TRIM($B42)&amp;" | "&amp;TRIM($D42),Lists!$AN$2:$AN$22,0)),IF(COUNTIF(Lists!$AF$2:$AF$8,$AJ42),$AJ42,IF(ISNUMBER(SEARCH("head of ",$D42)),"Head of Technology",IF(ISNUMBER(SEARCH("TDD BP",$D42)),"Business Partner",IF(OR(ISNUMBER(SEARCH("domain architect",$D42)),ISNUMBER(SEARCH("enterprise architect",$D42))),"Domain Architect",IF(ISNUMBER(SEARCH("delivery man",$D42)),"Delivery Manager",IF(OR(ISNUMBER(SEARCH("technology manager",$D42)),ISNUMBER(SEARCH("technology manger",$D42)),ISNUMBER(SEARCH("tech manager",$D42))),"Technology Manager","Squad"))))))))</f>
        <v>Squad</v>
      </c>
      <c r="AL42" s="534" t="str">
        <f>IF(TRIM($B42)="","",IF(AND($AM42=1,LEFT($AJ42,4)&lt;&gt;"EGI ",$AJ42&lt;&gt;"EGI"),IFERROR(INDEX(Lists!$Z$2:$Z$20,MATCH($AH42,Lists!$Y$2:$Y$20,0)),"EGI "&amp;$AH42),IF(COUNTIF(Lists!$AU$2:$AU$10,$AJ42),$AJ42,IF(OR(LEFT($AH42,3)="COE",$AH42="EGI"),$AJ42,IF($AK42&lt;&gt;"Squad",$AK42,$AJ42)))))</f>
        <v>EGI</v>
      </c>
      <c r="AM42" s="534" t="b">
        <f>IF(TRIM($B42)="","",--(UPPER(TRIM($K42))="EGI"))</f>
        <v>1</v>
      </c>
      <c r="AQ42" s="841" t="inlineStr">
        <is>
          <t>R0041</t>
        </is>
      </c>
      <c r="AZ42" s="841" t="n"/>
    </row>
    <row r="43" ht="18" customHeight="1" s="535">
      <c r="A43" s="842" t="inlineStr">
        <is>
          <t>V</t>
        </is>
      </c>
      <c r="B43" s="843" t="inlineStr">
        <is>
          <t>Vacant</t>
        </is>
      </c>
      <c r="C43" s="842" t="inlineStr">
        <is>
          <t>V</t>
        </is>
      </c>
      <c r="D43" s="843" t="inlineStr">
        <is>
          <t>Commercial Director</t>
        </is>
      </c>
      <c r="E43" s="843" t="inlineStr">
        <is>
          <t>Michael Schofield</t>
        </is>
      </c>
      <c r="F43" s="843" t="inlineStr">
        <is>
          <t>GM TDD, Partnering &amp; Transformation</t>
        </is>
      </c>
      <c r="G43" s="844" t="inlineStr">
        <is>
          <t>Partnering &amp; Transformation</t>
        </is>
      </c>
      <c r="H43" s="843" t="inlineStr">
        <is>
          <t>Commercial</t>
        </is>
      </c>
      <c r="I43" s="843" t="inlineStr">
        <is>
          <t>NA</t>
        </is>
      </c>
      <c r="J43" s="843" t="inlineStr">
        <is>
          <t>NA</t>
        </is>
      </c>
      <c r="K43" s="843" t="inlineStr">
        <is>
          <t>NA</t>
        </is>
      </c>
      <c r="L43" s="843" t="inlineStr">
        <is>
          <t>NA</t>
        </is>
      </c>
      <c r="M43" s="843" t="n"/>
      <c r="N43" s="845" t="inlineStr">
        <is>
          <t>Australia</t>
        </is>
      </c>
      <c r="O43" s="846" t="inlineStr">
        <is>
          <t>LSB</t>
        </is>
      </c>
      <c r="P43" s="847" t="n">
        <v>1</v>
      </c>
      <c r="Q43" s="847" t="n"/>
      <c r="R43" s="847" t="inlineStr">
        <is>
          <t>v</t>
        </is>
      </c>
      <c r="S43" s="847" t="n"/>
      <c r="T43" s="847" t="n"/>
      <c r="U43" s="848" t="n">
        <v>300000</v>
      </c>
      <c r="V43" s="849" t="n">
        <v>300000</v>
      </c>
      <c r="W43" s="850" t="n">
        <v>0.25</v>
      </c>
      <c r="X43" s="847" t="n">
        <v>0.055</v>
      </c>
      <c r="Y43" s="850" t="n">
        <v>0.12</v>
      </c>
      <c r="Z43" s="851" t="n"/>
      <c r="AA43" s="850" t="n">
        <v>0.04</v>
      </c>
      <c r="AB43" s="852" t="n">
        <v>439500</v>
      </c>
      <c r="AE43" s="534">
        <f>IF(TRIM($B43)="","",IF(AND(N($P43)&gt;0,N($P43)&lt;1),N($AB43)*N($P43),N($AB43)))</f>
        <v>439500</v>
      </c>
      <c r="AF43" s="534" t="str">
        <f>IF(TRIM($B43)="","",IF(OR(ISNUMBER(SEARCH("vacant",$B43)),ISNUMBER(SEARCH("ring fenced",$B43)),LOWER(TRIM($B43))="remove"),"Vacant","Filled"))</f>
        <v>Vacant</v>
      </c>
      <c r="AG43" s="534" t="b">
        <f>IF(TRIM($B43)="","",--ISNUMBER(SEARCH("ring fenced",$B43)))</f>
        <v>0</v>
      </c>
      <c r="AH43" s="534" t="str">
        <f>IF(TRIM($B43)="","",IF(COUNTIFS(Lists!$AN$2:$AN$22,TRIM($B43)&amp;" | "&amp;TRIM($D43),Lists!$AO$2:$AO$22,"&lt;&gt;"),INDEX(Lists!$AO$2:$AO$22,MATCH(TRIM($B43)&amp;" | "&amp;TRIM($D43),Lists!$AN$2:$AN$22,0)),IF(COUNTIF(Lists!$AR$2:$AR$3,$AJ43),"TDD Cyber",IF(AND(LEFT($AJ43,4)="EGI ",ISNUMBER(MATCH(TRIM(MID($AJ43,5,99)),Lists!$AS$2:$AS$12,0))),TRIM(MID($AJ43,5,99)),IF(AND(LEFT($AJ43,4)="EGI ",ISNUMBER(MATCH(TRIM(MID($AJ43,5,99)),Lists!$T$2:$T$21,0))),INDEX(Lists!$U$2:$U$21,MATCH(TRIM(MID($AJ43,5,99)),Lists!$T$2:$T$21,0)),IF(OR(TRIM($J43)="",UPPER(TRIM($J43))="NA"),IFERROR(INDEX(Lists!$R$2:$R$9,MATCH(TRIM($G43),Lists!$Q$2:$Q$9,0)),"UNMAPPED"),IFERROR(INDEX(Lists!$U$2:$U$21,MATCH(TRIM($J43),Lists!$T$2:$T$21,0)),IFERROR(INDEX(Lists!$R$2:$R$9,MATCH(TRIM($G43),Lists!$Q$2:$Q$9,0)),"UNMAPPED"))))))))</f>
        <v>COE BP&amp;T</v>
      </c>
      <c r="AI43" s="534" t="b">
        <f>IF(TRIM($B43)="","",--OR(TRIM($L43)="Leadership",TRIM($K43)="Leadership"))</f>
        <v>0</v>
      </c>
      <c r="AJ43" s="534" t="str">
        <f>IF(TRIM($B43)="","",IF(COUNTIFS(Lists!$AN$2:$AN$22,TRIM($B43)&amp;" | "&amp;TRIM($D43),Lists!$AP$2:$AP$22,"&lt;&gt;"),INDEX(Lists!$AP$2:$AP$22,MATCH(TRIM($B43)&amp;" | "&amp;TRIM($D43),Lists!$AN$2:$AN$22,0)),IF($AI43=1,"Leadership",IFERROR(INDEX(Lists!$X$2:$X$21,MATCH(TRIM($L43),Lists!$W$2:$W$21,0)),IF(OR(TRIM($L43)="",LOWER(TRIM($L43))="na"),IF(TRIM($H43)="","Unassigned",TRIM($H43)),TRIM($L43))))))</f>
        <v>Commercial</v>
      </c>
      <c r="AK43" s="534" t="str">
        <f>IF(TRIM($B43)="","",IF(COUNTIFS(Lists!$AN$2:$AN$22,TRIM($B43)&amp;" | "&amp;TRIM($D43),Lists!$AQ$2:$AQ$22,"&lt;&gt;"),INDEX(Lists!$AQ$2:$AQ$22,MATCH(TRIM($B43)&amp;" | "&amp;TRIM($D43),Lists!$AN$2:$AN$22,0)),IF(COUNTIF(Lists!$AF$2:$AF$8,$AJ43),$AJ43,IF(ISNUMBER(SEARCH("head of ",$D43)),"Head of Technology",IF(ISNUMBER(SEARCH("TDD BP",$D43)),"Business Partner",IF(OR(ISNUMBER(SEARCH("domain architect",$D43)),ISNUMBER(SEARCH("enterprise architect",$D43))),"Domain Architect",IF(ISNUMBER(SEARCH("delivery man",$D43)),"Delivery Manager",IF(OR(ISNUMBER(SEARCH("technology manager",$D43)),ISNUMBER(SEARCH("technology manger",$D43)),ISNUMBER(SEARCH("tech manager",$D43))),"Technology Manager","Squad"))))))))</f>
        <v>Squad</v>
      </c>
      <c r="AL43" s="534" t="str">
        <f>IF(TRIM($B43)="","",IF(AND($AM43=1,LEFT($AJ43,4)&lt;&gt;"EGI ",$AJ43&lt;&gt;"EGI"),IFERROR(INDEX(Lists!$Z$2:$Z$20,MATCH($AH43,Lists!$Y$2:$Y$20,0)),"EGI "&amp;$AH43),IF(COUNTIF(Lists!$AU$2:$AU$10,$AJ43),$AJ43,IF(OR(LEFT($AH43,3)="COE",$AH43="EGI"),$AJ43,IF($AK43&lt;&gt;"Squad",$AK43,$AJ43)))))</f>
        <v>Commercial</v>
      </c>
      <c r="AM43" s="534" t="b">
        <f>IF(TRIM($B43)="","",--(UPPER(TRIM($K43))="EGI"))</f>
        <v>0</v>
      </c>
      <c r="AQ43" s="841" t="inlineStr">
        <is>
          <t>R0042</t>
        </is>
      </c>
      <c r="AZ43" s="841" t="n"/>
    </row>
    <row r="44" ht="18" customHeight="1" s="535">
      <c r="A44" s="842" t="n">
        <v>115527</v>
      </c>
      <c r="B44" s="843" t="inlineStr">
        <is>
          <t>Andy Stewart</t>
        </is>
      </c>
      <c r="C44" s="842" t="n">
        <v>115527</v>
      </c>
      <c r="D44" s="843" t="inlineStr">
        <is>
          <t>Head of Technology, Loyalty &amp; Martech</t>
        </is>
      </c>
      <c r="E44" s="843" t="inlineStr">
        <is>
          <t>Harley Giles</t>
        </is>
      </c>
      <c r="F44" s="843" t="inlineStr">
        <is>
          <t>GM TDD, Customer</t>
        </is>
      </c>
      <c r="G44" s="844" t="inlineStr">
        <is>
          <t>Customer</t>
        </is>
      </c>
      <c r="H44" s="843" t="inlineStr">
        <is>
          <t>Loyalty &amp; Martech</t>
        </is>
      </c>
      <c r="I44" s="843" t="n"/>
      <c r="J44" s="843" t="inlineStr">
        <is>
          <t>Z ENERGY (DIGITAL)</t>
        </is>
      </c>
      <c r="K44" s="843" t="inlineStr">
        <is>
          <t>(All Customer)</t>
        </is>
      </c>
      <c r="L44" s="843" t="inlineStr">
        <is>
          <t>Leadership</t>
        </is>
      </c>
      <c r="M44" s="843" t="n"/>
      <c r="N44" s="845" t="inlineStr">
        <is>
          <t>NZ</t>
        </is>
      </c>
      <c r="O44" s="846" t="inlineStr">
        <is>
          <t>CSC (Always)</t>
        </is>
      </c>
      <c r="P44" s="847" t="n">
        <v>1</v>
      </c>
      <c r="Q44" s="847" t="n"/>
      <c r="R44" s="847" t="inlineStr">
        <is>
          <t>Permanent - Full Time</t>
        </is>
      </c>
      <c r="S44" s="847" t="n"/>
      <c r="T44" s="847" t="n"/>
      <c r="U44" s="848" t="n">
        <v>253260</v>
      </c>
      <c r="V44" s="849" t="n">
        <v>232999.2</v>
      </c>
      <c r="W44" s="850" t="n">
        <v>0.2</v>
      </c>
      <c r="X44" s="847" t="n"/>
      <c r="Y44" s="850" t="n">
        <v>0.05</v>
      </c>
      <c r="Z44" s="851" t="n">
        <v>2910</v>
      </c>
      <c r="AA44" s="850" t="n">
        <v>0.03</v>
      </c>
      <c r="AB44" s="852" t="n">
        <v>301148.976</v>
      </c>
      <c r="AE44" s="534">
        <f>IF(TRIM($B44)="","",IF(AND(N($P44)&gt;0,N($P44)&lt;1),N($AB44)*N($P44),N($AB44)))</f>
        <v>301148.976</v>
      </c>
      <c r="AF44" s="534" t="str">
        <f>IF(TRIM($B44)="","",IF(OR(ISNUMBER(SEARCH("vacant",$B44)),ISNUMBER(SEARCH("ring fenced",$B44)),LOWER(TRIM($B44))="remove"),"Vacant","Filled"))</f>
        <v>Filled</v>
      </c>
      <c r="AG44" s="534" t="b">
        <f>IF(TRIM($B44)="","",--ISNUMBER(SEARCH("ring fenced",$B44)))</f>
        <v>0</v>
      </c>
      <c r="AH44" s="534" t="str">
        <f>IF(TRIM($B44)="","",IF(COUNTIFS(Lists!$AN$2:$AN$22,TRIM($B44)&amp;" | "&amp;TRIM($D44),Lists!$AO$2:$AO$22,"&lt;&gt;"),INDEX(Lists!$AO$2:$AO$22,MATCH(TRIM($B44)&amp;" | "&amp;TRIM($D44),Lists!$AN$2:$AN$22,0)),IF(COUNTIF(Lists!$AR$2:$AR$3,$AJ44),"TDD Cyber",IF(AND(LEFT($AJ44,4)="EGI ",ISNUMBER(MATCH(TRIM(MID($AJ44,5,99)),Lists!$AS$2:$AS$12,0))),TRIM(MID($AJ44,5,99)),IF(AND(LEFT($AJ44,4)="EGI ",ISNUMBER(MATCH(TRIM(MID($AJ44,5,99)),Lists!$T$2:$T$21,0))),INDEX(Lists!$U$2:$U$21,MATCH(TRIM(MID($AJ44,5,99)),Lists!$T$2:$T$21,0)),IF(OR(TRIM($J44)="",UPPER(TRIM($J44))="NA"),IFERROR(INDEX(Lists!$R$2:$R$9,MATCH(TRIM($G44),Lists!$Q$2:$Q$9,0)),"UNMAPPED"),IFERROR(INDEX(Lists!$U$2:$U$21,MATCH(TRIM($J44),Lists!$T$2:$T$21,0)),IFERROR(INDEX(Lists!$R$2:$R$9,MATCH(TRIM($G44),Lists!$Q$2:$Q$9,0)),"UNMAPPED"))))))))</f>
        <v>Customer</v>
      </c>
      <c r="AI44" s="534" t="b">
        <f>IF(TRIM($B44)="","",--OR(TRIM($L44)="Leadership",TRIM($K44)="Leadership"))</f>
        <v>1</v>
      </c>
      <c r="AJ44" s="534" t="str">
        <f>IF(TRIM($B44)="","",IF(COUNTIFS(Lists!$AN$2:$AN$22,TRIM($B44)&amp;" | "&amp;TRIM($D44),Lists!$AP$2:$AP$22,"&lt;&gt;"),INDEX(Lists!$AP$2:$AP$22,MATCH(TRIM($B44)&amp;" | "&amp;TRIM($D44),Lists!$AN$2:$AN$22,0)),IF($AI44=1,"Leadership",IFERROR(INDEX(Lists!$X$2:$X$21,MATCH(TRIM($L44),Lists!$W$2:$W$21,0)),IF(OR(TRIM($L44)="",LOWER(TRIM($L44))="na"),IF(TRIM($H44)="","Unassigned",TRIM($H44)),TRIM($L44))))))</f>
        <v>Leadership</v>
      </c>
      <c r="AK44" s="534" t="str">
        <f>IF(TRIM($B44)="","",IF(COUNTIFS(Lists!$AN$2:$AN$22,TRIM($B44)&amp;" | "&amp;TRIM($D44),Lists!$AQ$2:$AQ$22,"&lt;&gt;"),INDEX(Lists!$AQ$2:$AQ$22,MATCH(TRIM($B44)&amp;" | "&amp;TRIM($D44),Lists!$AN$2:$AN$22,0)),IF(COUNTIF(Lists!$AF$2:$AF$8,$AJ44),$AJ44,IF(ISNUMBER(SEARCH("head of ",$D44)),"Head of Technology",IF(ISNUMBER(SEARCH("TDD BP",$D44)),"Business Partner",IF(OR(ISNUMBER(SEARCH("domain architect",$D44)),ISNUMBER(SEARCH("enterprise architect",$D44))),"Domain Architect",IF(ISNUMBER(SEARCH("delivery man",$D44)),"Delivery Manager",IF(OR(ISNUMBER(SEARCH("technology manager",$D44)),ISNUMBER(SEARCH("technology manger",$D44)),ISNUMBER(SEARCH("tech manager",$D44))),"Technology Manager","Squad"))))))))</f>
        <v>Head of Technology</v>
      </c>
      <c r="AL44" s="534" t="str">
        <f>IF(TRIM($B44)="","",IF(AND($AM44=1,LEFT($AJ44,4)&lt;&gt;"EGI ",$AJ44&lt;&gt;"EGI"),IFERROR(INDEX(Lists!$Z$2:$Z$20,MATCH($AH44,Lists!$Y$2:$Y$20,0)),"EGI "&amp;$AH44),IF(COUNTIF(Lists!$AU$2:$AU$10,$AJ44),$AJ44,IF(OR(LEFT($AH44,3)="COE",$AH44="EGI"),$AJ44,IF($AK44&lt;&gt;"Squad",$AK44,$AJ44)))))</f>
        <v>Head of Technology</v>
      </c>
      <c r="AM44" s="534" t="b">
        <f>IF(TRIM($B44)="","",--(UPPER(TRIM($K44))="EGI"))</f>
        <v>0</v>
      </c>
      <c r="AN44" s="534" t="inlineStr">
        <is>
          <t>Filled</t>
        </is>
      </c>
      <c r="AQ44" s="841" t="inlineStr">
        <is>
          <t>R0043</t>
        </is>
      </c>
      <c r="AZ44" s="841" t="n"/>
    </row>
    <row r="45" ht="18" customHeight="1" s="535">
      <c r="A45" s="842" t="n">
        <v>115519</v>
      </c>
      <c r="B45" s="843" t="inlineStr">
        <is>
          <t>Shona Paul</t>
        </is>
      </c>
      <c r="C45" s="842" t="n">
        <v>115519</v>
      </c>
      <c r="D45" s="843" t="inlineStr">
        <is>
          <t>Head of Technology - Digital</t>
        </is>
      </c>
      <c r="E45" s="843" t="inlineStr">
        <is>
          <t>Harley Giles</t>
        </is>
      </c>
      <c r="F45" s="843" t="inlineStr">
        <is>
          <t>GM TDD, Customer</t>
        </is>
      </c>
      <c r="G45" s="844" t="inlineStr">
        <is>
          <t>Customer</t>
        </is>
      </c>
      <c r="H45" s="843" t="inlineStr">
        <is>
          <t>Digital</t>
        </is>
      </c>
      <c r="I45" s="843" t="n"/>
      <c r="J45" s="843" t="inlineStr">
        <is>
          <t>Ampol Customer</t>
        </is>
      </c>
      <c r="K45" s="843" t="inlineStr">
        <is>
          <t>(All Customer)</t>
        </is>
      </c>
      <c r="L45" s="843" t="inlineStr">
        <is>
          <t>Leadership</t>
        </is>
      </c>
      <c r="M45" s="843" t="n"/>
      <c r="N45" s="845" t="inlineStr">
        <is>
          <t>NZ</t>
        </is>
      </c>
      <c r="O45" s="846" t="inlineStr">
        <is>
          <t>CSC (Always)</t>
        </is>
      </c>
      <c r="P45" s="847" t="n">
        <v>1</v>
      </c>
      <c r="Q45" s="846" t="n"/>
      <c r="R45" s="847" t="inlineStr">
        <is>
          <t>Permanent - Full Time</t>
        </is>
      </c>
      <c r="S45" s="847" t="n"/>
      <c r="T45" s="847" t="n"/>
      <c r="U45" s="848" t="n">
        <v>230470</v>
      </c>
      <c r="V45" s="849" t="n">
        <v>212032.4</v>
      </c>
      <c r="W45" s="850" t="n">
        <v>0.2</v>
      </c>
      <c r="X45" s="847" t="n"/>
      <c r="Y45" s="850" t="n">
        <v>0.05</v>
      </c>
      <c r="Z45" s="851" t="n">
        <v>2910</v>
      </c>
      <c r="AA45" s="850" t="n">
        <v>0.03</v>
      </c>
      <c r="AB45" s="852" t="n">
        <v>274311.472</v>
      </c>
      <c r="AE45" s="534">
        <f>IF(TRIM($B45)="","",IF(AND(N($P45)&gt;0,N($P45)&lt;1),N($AB45)*N($P45),N($AB45)))</f>
        <v>274311.472</v>
      </c>
      <c r="AF45" s="534" t="str">
        <f>IF(TRIM($B45)="","",IF(OR(ISNUMBER(SEARCH("vacant",$B45)),ISNUMBER(SEARCH("ring fenced",$B45)),LOWER(TRIM($B45))="remove"),"Vacant","Filled"))</f>
        <v>Filled</v>
      </c>
      <c r="AG45" s="534" t="b">
        <f>IF(TRIM($B45)="","",--ISNUMBER(SEARCH("ring fenced",$B45)))</f>
        <v>0</v>
      </c>
      <c r="AH45" s="534" t="str">
        <f>IF(TRIM($B45)="","",IF(COUNTIFS(Lists!$AN$2:$AN$22,TRIM($B45)&amp;" | "&amp;TRIM($D45),Lists!$AO$2:$AO$22,"&lt;&gt;"),INDEX(Lists!$AO$2:$AO$22,MATCH(TRIM($B45)&amp;" | "&amp;TRIM($D45),Lists!$AN$2:$AN$22,0)),IF(COUNTIF(Lists!$AR$2:$AR$3,$AJ45),"TDD Cyber",IF(AND(LEFT($AJ45,4)="EGI ",ISNUMBER(MATCH(TRIM(MID($AJ45,5,99)),Lists!$AS$2:$AS$12,0))),TRIM(MID($AJ45,5,99)),IF(AND(LEFT($AJ45,4)="EGI ",ISNUMBER(MATCH(TRIM(MID($AJ45,5,99)),Lists!$T$2:$T$21,0))),INDEX(Lists!$U$2:$U$21,MATCH(TRIM(MID($AJ45,5,99)),Lists!$T$2:$T$21,0)),IF(OR(TRIM($J45)="",UPPER(TRIM($J45))="NA"),IFERROR(INDEX(Lists!$R$2:$R$9,MATCH(TRIM($G45),Lists!$Q$2:$Q$9,0)),"UNMAPPED"),IFERROR(INDEX(Lists!$U$2:$U$21,MATCH(TRIM($J45),Lists!$T$2:$T$21,0)),IFERROR(INDEX(Lists!$R$2:$R$9,MATCH(TRIM($G45),Lists!$Q$2:$Q$9,0)),"UNMAPPED"))))))))</f>
        <v>Customer</v>
      </c>
      <c r="AI45" s="534" t="b">
        <f>IF(TRIM($B45)="","",--OR(TRIM($L45)="Leadership",TRIM($K45)="Leadership"))</f>
        <v>1</v>
      </c>
      <c r="AJ45" s="534" t="str">
        <f>IF(TRIM($B45)="","",IF(COUNTIFS(Lists!$AN$2:$AN$22,TRIM($B45)&amp;" | "&amp;TRIM($D45),Lists!$AP$2:$AP$22,"&lt;&gt;"),INDEX(Lists!$AP$2:$AP$22,MATCH(TRIM($B45)&amp;" | "&amp;TRIM($D45),Lists!$AN$2:$AN$22,0)),IF($AI45=1,"Leadership",IFERROR(INDEX(Lists!$X$2:$X$21,MATCH(TRIM($L45),Lists!$W$2:$W$21,0)),IF(OR(TRIM($L45)="",LOWER(TRIM($L45))="na"),IF(TRIM($H45)="","Unassigned",TRIM($H45)),TRIM($L45))))))</f>
        <v>Leadership</v>
      </c>
      <c r="AK45" s="534" t="str">
        <f>IF(TRIM($B45)="","",IF(COUNTIFS(Lists!$AN$2:$AN$22,TRIM($B45)&amp;" | "&amp;TRIM($D45),Lists!$AQ$2:$AQ$22,"&lt;&gt;"),INDEX(Lists!$AQ$2:$AQ$22,MATCH(TRIM($B45)&amp;" | "&amp;TRIM($D45),Lists!$AN$2:$AN$22,0)),IF(COUNTIF(Lists!$AF$2:$AF$8,$AJ45),$AJ45,IF(ISNUMBER(SEARCH("head of ",$D45)),"Head of Technology",IF(ISNUMBER(SEARCH("TDD BP",$D45)),"Business Partner",IF(OR(ISNUMBER(SEARCH("domain architect",$D45)),ISNUMBER(SEARCH("enterprise architect",$D45))),"Domain Architect",IF(ISNUMBER(SEARCH("delivery man",$D45)),"Delivery Manager",IF(OR(ISNUMBER(SEARCH("technology manager",$D45)),ISNUMBER(SEARCH("technology manger",$D45)),ISNUMBER(SEARCH("tech manager",$D45))),"Technology Manager","Squad"))))))))</f>
        <v>Head of Technology</v>
      </c>
      <c r="AL45" s="534" t="str">
        <f>IF(TRIM($B45)="","",IF(AND($AM45=1,LEFT($AJ45,4)&lt;&gt;"EGI ",$AJ45&lt;&gt;"EGI"),IFERROR(INDEX(Lists!$Z$2:$Z$20,MATCH($AH45,Lists!$Y$2:$Y$20,0)),"EGI "&amp;$AH45),IF(COUNTIF(Lists!$AU$2:$AU$10,$AJ45),$AJ45,IF(OR(LEFT($AH45,3)="COE",$AH45="EGI"),$AJ45,IF($AK45&lt;&gt;"Squad",$AK45,$AJ45)))))</f>
        <v>Head of Technology</v>
      </c>
      <c r="AM45" s="534" t="b">
        <f>IF(TRIM($B45)="","",--(UPPER(TRIM($K45))="EGI"))</f>
        <v>0</v>
      </c>
      <c r="AN45" s="534" t="inlineStr">
        <is>
          <t>Filled</t>
        </is>
      </c>
      <c r="AQ45" s="841" t="inlineStr">
        <is>
          <t>R0044</t>
        </is>
      </c>
      <c r="AZ45" s="841" t="n"/>
    </row>
    <row r="46" ht="18" customHeight="1" s="535">
      <c r="A46" s="842" t="inlineStr">
        <is>
          <t>V</t>
        </is>
      </c>
      <c r="B46" s="843" t="inlineStr">
        <is>
          <t>Vacant</t>
        </is>
      </c>
      <c r="C46" s="842" t="inlineStr">
        <is>
          <t>V</t>
        </is>
      </c>
      <c r="D46" s="843" t="inlineStr">
        <is>
          <t>Head of Technology - TDD &amp; Engineering Capability Lead</t>
        </is>
      </c>
      <c r="E46" s="843" t="inlineStr">
        <is>
          <t>Emily Mogic</t>
        </is>
      </c>
      <c r="F46" s="843" t="inlineStr">
        <is>
          <t>GM TDD, Group Function</t>
        </is>
      </c>
      <c r="G46" s="844" t="inlineStr">
        <is>
          <t>TDD Group Functions</t>
        </is>
      </c>
      <c r="H46" s="843" t="inlineStr">
        <is>
          <t xml:space="preserve">TDD &amp; Engineering </t>
        </is>
      </c>
      <c r="I46" s="843" t="inlineStr">
        <is>
          <t>na</t>
        </is>
      </c>
      <c r="J46" s="843" t="inlineStr">
        <is>
          <t>TDD</t>
        </is>
      </c>
      <c r="K46" s="843" t="inlineStr">
        <is>
          <t>TDD</t>
        </is>
      </c>
      <c r="L46" s="843" t="inlineStr">
        <is>
          <t>Leadership</t>
        </is>
      </c>
      <c r="M46" s="843" t="n"/>
      <c r="N46" s="845" t="inlineStr">
        <is>
          <t>Australia</t>
        </is>
      </c>
      <c r="O46" s="846" t="inlineStr">
        <is>
          <t>CSC</t>
        </is>
      </c>
      <c r="P46" s="847" t="n">
        <v>1</v>
      </c>
      <c r="Q46" s="846" t="n"/>
      <c r="R46" s="847" t="inlineStr">
        <is>
          <t>v</t>
        </is>
      </c>
      <c r="S46" s="847" t="n"/>
      <c r="T46" s="847" t="n"/>
      <c r="U46" s="848" t="n">
        <v>235350</v>
      </c>
      <c r="V46" s="849" t="n">
        <v>235350</v>
      </c>
      <c r="W46" s="850" t="n">
        <v>0.2</v>
      </c>
      <c r="X46" s="847" t="n">
        <v>0.055</v>
      </c>
      <c r="Y46" s="850" t="n">
        <v>0.12</v>
      </c>
      <c r="Z46" s="851" t="n"/>
      <c r="AA46" s="850" t="n">
        <v>0.04</v>
      </c>
      <c r="AB46" s="852" t="n">
        <v>333020.25</v>
      </c>
      <c r="AE46" s="534">
        <f>IF(TRIM($B46)="","",IF(AND(N($P46)&gt;0,N($P46)&lt;1),N($AB46)*N($P46),N($AB46)))</f>
        <v>333020.25</v>
      </c>
      <c r="AF46" s="534" t="str">
        <f>IF(TRIM($B46)="","",IF(OR(ISNUMBER(SEARCH("vacant",$B46)),ISNUMBER(SEARCH("ring fenced",$B46)),LOWER(TRIM($B46))="remove"),"Vacant","Filled"))</f>
        <v>Vacant</v>
      </c>
      <c r="AG46" s="534" t="b">
        <f>IF(TRIM($B46)="","",--ISNUMBER(SEARCH("ring fenced",$B46)))</f>
        <v>0</v>
      </c>
      <c r="AH46" s="534" t="str">
        <f>IF(TRIM($B46)="","",IF(COUNTIFS(Lists!$AN$2:$AN$22,TRIM($B46)&amp;" | "&amp;TRIM($D46),Lists!$AO$2:$AO$22,"&lt;&gt;"),INDEX(Lists!$AO$2:$AO$22,MATCH(TRIM($B46)&amp;" | "&amp;TRIM($D46),Lists!$AN$2:$AN$22,0)),IF(COUNTIF(Lists!$AR$2:$AR$3,$AJ46),"TDD Cyber",IF(AND(LEFT($AJ46,4)="EGI ",ISNUMBER(MATCH(TRIM(MID($AJ46,5,99)),Lists!$AS$2:$AS$12,0))),TRIM(MID($AJ46,5,99)),IF(AND(LEFT($AJ46,4)="EGI ",ISNUMBER(MATCH(TRIM(MID($AJ46,5,99)),Lists!$T$2:$T$21,0))),INDEX(Lists!$U$2:$U$21,MATCH(TRIM(MID($AJ46,5,99)),Lists!$T$2:$T$21,0)),IF(OR(TRIM($J46)="",UPPER(TRIM($J46))="NA"),IFERROR(INDEX(Lists!$R$2:$R$9,MATCH(TRIM($G46),Lists!$Q$2:$Q$9,0)),"UNMAPPED"),IFERROR(INDEX(Lists!$U$2:$U$21,MATCH(TRIM($J46),Lists!$T$2:$T$21,0)),IFERROR(INDEX(Lists!$R$2:$R$9,MATCH(TRIM($G46),Lists!$Q$2:$Q$9,0)),"UNMAPPED"))))))))</f>
        <v>TDD Group Functions</v>
      </c>
      <c r="AI46" s="534" t="b">
        <f>IF(TRIM($B46)="","",--OR(TRIM($L46)="Leadership",TRIM($K46)="Leadership"))</f>
        <v>1</v>
      </c>
      <c r="AJ46" s="534" t="str">
        <f>IF(TRIM($B46)="","",IF(COUNTIFS(Lists!$AN$2:$AN$22,TRIM($B46)&amp;" | "&amp;TRIM($D46),Lists!$AP$2:$AP$22,"&lt;&gt;"),INDEX(Lists!$AP$2:$AP$22,MATCH(TRIM($B46)&amp;" | "&amp;TRIM($D46),Lists!$AN$2:$AN$22,0)),IF($AI46=1,"Leadership",IFERROR(INDEX(Lists!$X$2:$X$21,MATCH(TRIM($L46),Lists!$W$2:$W$21,0)),IF(OR(TRIM($L46)="",LOWER(TRIM($L46))="na"),IF(TRIM($H46)="","Unassigned",TRIM($H46)),TRIM($L46))))))</f>
        <v>Leadership</v>
      </c>
      <c r="AK46" s="534" t="str">
        <f>IF(TRIM($B46)="","",IF(COUNTIFS(Lists!$AN$2:$AN$22,TRIM($B46)&amp;" | "&amp;TRIM($D46),Lists!$AQ$2:$AQ$22,"&lt;&gt;"),INDEX(Lists!$AQ$2:$AQ$22,MATCH(TRIM($B46)&amp;" | "&amp;TRIM($D46),Lists!$AN$2:$AN$22,0)),IF(COUNTIF(Lists!$AF$2:$AF$8,$AJ46),$AJ46,IF(ISNUMBER(SEARCH("head of ",$D46)),"Head of Technology",IF(ISNUMBER(SEARCH("TDD BP",$D46)),"Business Partner",IF(OR(ISNUMBER(SEARCH("domain architect",$D46)),ISNUMBER(SEARCH("enterprise architect",$D46))),"Domain Architect",IF(ISNUMBER(SEARCH("delivery man",$D46)),"Delivery Manager",IF(OR(ISNUMBER(SEARCH("technology manager",$D46)),ISNUMBER(SEARCH("technology manger",$D46)),ISNUMBER(SEARCH("tech manager",$D46))),"Technology Manager","Squad"))))))))</f>
        <v>Head of Technology</v>
      </c>
      <c r="AL46" s="534" t="str">
        <f>IF(TRIM($B46)="","",IF(AND($AM46=1,LEFT($AJ46,4)&lt;&gt;"EGI ",$AJ46&lt;&gt;"EGI"),IFERROR(INDEX(Lists!$Z$2:$Z$20,MATCH($AH46,Lists!$Y$2:$Y$20,0)),"EGI "&amp;$AH46),IF(COUNTIF(Lists!$AU$2:$AU$10,$AJ46),$AJ46,IF(OR(LEFT($AH46,3)="COE",$AH46="EGI"),$AJ46,IF($AK46&lt;&gt;"Squad",$AK46,$AJ46)))))</f>
        <v>Head of Technology</v>
      </c>
      <c r="AM46" s="534" t="b">
        <f>IF(TRIM($B46)="","",--(UPPER(TRIM($K46))="EGI"))</f>
        <v>0</v>
      </c>
      <c r="AQ46" s="841" t="inlineStr">
        <is>
          <t>R0045</t>
        </is>
      </c>
      <c r="AZ46" s="841" t="n"/>
    </row>
    <row r="47" ht="18" customHeight="1" s="535">
      <c r="A47" s="842" t="n">
        <v>4818</v>
      </c>
      <c r="B47" s="843" t="inlineStr">
        <is>
          <t>Vaso Vukovic</t>
        </is>
      </c>
      <c r="C47" s="842" t="n">
        <v>4818</v>
      </c>
      <c r="D47" s="843" t="inlineStr">
        <is>
          <t>Head of Technology - P&amp;C, Finance &amp; Legal</t>
        </is>
      </c>
      <c r="E47" s="843" t="inlineStr">
        <is>
          <t>Emily Mogic</t>
        </is>
      </c>
      <c r="F47" s="843" t="inlineStr">
        <is>
          <t>GM TDD, Group Function</t>
        </is>
      </c>
      <c r="G47" s="844" t="inlineStr">
        <is>
          <t>TDD Group Functions</t>
        </is>
      </c>
      <c r="H47" s="843" t="inlineStr">
        <is>
          <t>P&amp;C, Finance &amp; Legal</t>
        </is>
      </c>
      <c r="I47" s="843" t="inlineStr">
        <is>
          <t>na</t>
        </is>
      </c>
      <c r="J47" s="843" t="inlineStr">
        <is>
          <t>P&amp;C, Finance &amp; Legal</t>
        </is>
      </c>
      <c r="K47" s="843" t="inlineStr">
        <is>
          <t>P&amp;C, Finance &amp; Legal</t>
        </is>
      </c>
      <c r="L47" s="843" t="inlineStr">
        <is>
          <t>Leadership</t>
        </is>
      </c>
      <c r="M47" s="843" t="n"/>
      <c r="N47" s="845" t="inlineStr">
        <is>
          <t>Australia</t>
        </is>
      </c>
      <c r="O47" s="846" t="inlineStr">
        <is>
          <t>CSC</t>
        </is>
      </c>
      <c r="P47" s="847" t="n">
        <v>1</v>
      </c>
      <c r="Q47" s="846" t="n"/>
      <c r="R47" s="847" t="inlineStr">
        <is>
          <t>Permanent - Full Time</t>
        </is>
      </c>
      <c r="S47" s="847" t="n"/>
      <c r="T47" s="847" t="n"/>
      <c r="U47" s="848" t="n">
        <v>257420</v>
      </c>
      <c r="V47" s="849" t="n">
        <v>257420</v>
      </c>
      <c r="W47" s="850" t="n">
        <v>0.2</v>
      </c>
      <c r="X47" s="847" t="n">
        <v>0.055</v>
      </c>
      <c r="Y47" s="850" t="n">
        <v>0.12</v>
      </c>
      <c r="Z47" s="851" t="n"/>
      <c r="AA47" s="850" t="n">
        <v>0.04</v>
      </c>
      <c r="AB47" s="852" t="n">
        <v>364249.3</v>
      </c>
      <c r="AE47" s="534">
        <f>IF(TRIM($B47)="","",IF(AND(N($P47)&gt;0,N($P47)&lt;1),N($AB47)*N($P47),N($AB47)))</f>
        <v>364249.3</v>
      </c>
      <c r="AF47" s="534" t="str">
        <f>IF(TRIM($B47)="","",IF(OR(ISNUMBER(SEARCH("vacant",$B47)),ISNUMBER(SEARCH("ring fenced",$B47)),LOWER(TRIM($B47))="remove"),"Vacant","Filled"))</f>
        <v>Filled</v>
      </c>
      <c r="AG47" s="534" t="b">
        <f>IF(TRIM($B47)="","",--ISNUMBER(SEARCH("ring fenced",$B47)))</f>
        <v>0</v>
      </c>
      <c r="AH47" s="534" t="str">
        <f>IF(TRIM($B47)="","",IF(COUNTIFS(Lists!$AN$2:$AN$22,TRIM($B47)&amp;" | "&amp;TRIM($D47),Lists!$AO$2:$AO$22,"&lt;&gt;"),INDEX(Lists!$AO$2:$AO$22,MATCH(TRIM($B47)&amp;" | "&amp;TRIM($D47),Lists!$AN$2:$AN$22,0)),IF(COUNTIF(Lists!$AR$2:$AR$3,$AJ47),"TDD Cyber",IF(AND(LEFT($AJ47,4)="EGI ",ISNUMBER(MATCH(TRIM(MID($AJ47,5,99)),Lists!$AS$2:$AS$12,0))),TRIM(MID($AJ47,5,99)),IF(AND(LEFT($AJ47,4)="EGI ",ISNUMBER(MATCH(TRIM(MID($AJ47,5,99)),Lists!$T$2:$T$21,0))),INDEX(Lists!$U$2:$U$21,MATCH(TRIM(MID($AJ47,5,99)),Lists!$T$2:$T$21,0)),IF(OR(TRIM($J47)="",UPPER(TRIM($J47))="NA"),IFERROR(INDEX(Lists!$R$2:$R$9,MATCH(TRIM($G47),Lists!$Q$2:$Q$9,0)),"UNMAPPED"),IFERROR(INDEX(Lists!$U$2:$U$21,MATCH(TRIM($J47),Lists!$T$2:$T$21,0)),IFERROR(INDEX(Lists!$R$2:$R$9,MATCH(TRIM($G47),Lists!$Q$2:$Q$9,0)),"UNMAPPED"))))))))</f>
        <v>P&amp;C</v>
      </c>
      <c r="AI47" s="534" t="b">
        <f>IF(TRIM($B47)="","",--OR(TRIM($L47)="Leadership",TRIM($K47)="Leadership"))</f>
        <v>1</v>
      </c>
      <c r="AJ47" s="534" t="str">
        <f>IF(TRIM($B47)="","",IF(COUNTIFS(Lists!$AN$2:$AN$22,TRIM($B47)&amp;" | "&amp;TRIM($D47),Lists!$AP$2:$AP$22,"&lt;&gt;"),INDEX(Lists!$AP$2:$AP$22,MATCH(TRIM($B47)&amp;" | "&amp;TRIM($D47),Lists!$AN$2:$AN$22,0)),IF($AI47=1,"Leadership",IFERROR(INDEX(Lists!$X$2:$X$21,MATCH(TRIM($L47),Lists!$W$2:$W$21,0)),IF(OR(TRIM($L47)="",LOWER(TRIM($L47))="na"),IF(TRIM($H47)="","Unassigned",TRIM($H47)),TRIM($L47))))))</f>
        <v>Leadership</v>
      </c>
      <c r="AK47" s="534" t="str">
        <f>IF(TRIM($B47)="","",IF(COUNTIFS(Lists!$AN$2:$AN$22,TRIM($B47)&amp;" | "&amp;TRIM($D47),Lists!$AQ$2:$AQ$22,"&lt;&gt;"),INDEX(Lists!$AQ$2:$AQ$22,MATCH(TRIM($B47)&amp;" | "&amp;TRIM($D47),Lists!$AN$2:$AN$22,0)),IF(COUNTIF(Lists!$AF$2:$AF$8,$AJ47),$AJ47,IF(ISNUMBER(SEARCH("head of ",$D47)),"Head of Technology",IF(ISNUMBER(SEARCH("TDD BP",$D47)),"Business Partner",IF(OR(ISNUMBER(SEARCH("domain architect",$D47)),ISNUMBER(SEARCH("enterprise architect",$D47))),"Domain Architect",IF(ISNUMBER(SEARCH("delivery man",$D47)),"Delivery Manager",IF(OR(ISNUMBER(SEARCH("technology manager",$D47)),ISNUMBER(SEARCH("technology manger",$D47)),ISNUMBER(SEARCH("tech manager",$D47))),"Technology Manager","Squad"))))))))</f>
        <v>Head of Technology</v>
      </c>
      <c r="AL47" s="534" t="str">
        <f>IF(TRIM($B47)="","",IF(AND($AM47=1,LEFT($AJ47,4)&lt;&gt;"EGI ",$AJ47&lt;&gt;"EGI"),IFERROR(INDEX(Lists!$Z$2:$Z$20,MATCH($AH47,Lists!$Y$2:$Y$20,0)),"EGI "&amp;$AH47),IF(COUNTIF(Lists!$AU$2:$AU$10,$AJ47),$AJ47,IF(OR(LEFT($AH47,3)="COE",$AH47="EGI"),$AJ47,IF($AK47&lt;&gt;"Squad",$AK47,$AJ47)))))</f>
        <v>Head of Technology</v>
      </c>
      <c r="AM47" s="534" t="b">
        <f>IF(TRIM($B47)="","",--(UPPER(TRIM($K47))="EGI"))</f>
        <v>0</v>
      </c>
      <c r="AQ47" s="841" t="inlineStr">
        <is>
          <t>R0046</t>
        </is>
      </c>
      <c r="AZ47" s="841" t="n"/>
    </row>
    <row r="48" ht="18" customHeight="1" s="535">
      <c r="A48" s="842" t="n">
        <v>100825</v>
      </c>
      <c r="B48" s="843" t="inlineStr">
        <is>
          <t>James Byrne</t>
        </is>
      </c>
      <c r="C48" s="842" t="n">
        <v>100825</v>
      </c>
      <c r="D48" s="843" t="inlineStr">
        <is>
          <t>Head of Cyber Strategy &amp; Technology</t>
        </is>
      </c>
      <c r="E48" s="843" t="inlineStr">
        <is>
          <t>Frances Bouzo</t>
        </is>
      </c>
      <c r="F48" s="843" t="inlineStr">
        <is>
          <t xml:space="preserve">Manager Customer Support Operations </t>
        </is>
      </c>
      <c r="G48" s="844" t="inlineStr">
        <is>
          <t>Cyber, Risk &amp; Operations</t>
        </is>
      </c>
      <c r="H48" s="843" t="inlineStr">
        <is>
          <t>Cyber Strat &amp; Tech</t>
        </is>
      </c>
      <c r="I48" s="843" t="inlineStr">
        <is>
          <t>NA</t>
        </is>
      </c>
      <c r="J48" s="843" t="inlineStr">
        <is>
          <t>NA</t>
        </is>
      </c>
      <c r="K48" s="843" t="inlineStr">
        <is>
          <t>NA</t>
        </is>
      </c>
      <c r="L48" s="843" t="inlineStr">
        <is>
          <t>NA</t>
        </is>
      </c>
      <c r="M48" s="843" t="n"/>
      <c r="N48" s="845" t="inlineStr">
        <is>
          <t>Australia</t>
        </is>
      </c>
      <c r="O48" s="846" t="inlineStr">
        <is>
          <t>CSC</t>
        </is>
      </c>
      <c r="P48" s="847" t="n">
        <v>1</v>
      </c>
      <c r="Q48" s="847" t="n"/>
      <c r="R48" s="847" t="inlineStr">
        <is>
          <t>Permanent - Full Time</t>
        </is>
      </c>
      <c r="S48" s="847" t="n"/>
      <c r="T48" s="847" t="n"/>
      <c r="U48" s="848" t="n">
        <v>270380</v>
      </c>
      <c r="V48" s="849" t="n">
        <v>270380</v>
      </c>
      <c r="W48" s="850" t="n">
        <v>0.2</v>
      </c>
      <c r="X48" s="847" t="n">
        <v>0.055</v>
      </c>
      <c r="Y48" s="850" t="n">
        <v>0.12</v>
      </c>
      <c r="Z48" s="851" t="n"/>
      <c r="AA48" s="850" t="n">
        <v>0.04</v>
      </c>
      <c r="AB48" s="852" t="n">
        <v>382587.7</v>
      </c>
      <c r="AE48" s="534">
        <f>IF(TRIM($B48)="","",IF(AND(N($P48)&gt;0,N($P48)&lt;1),N($AB48)*N($P48),N($AB48)))</f>
        <v>382587.7</v>
      </c>
      <c r="AF48" s="534" t="str">
        <f>IF(TRIM($B48)="","",IF(OR(ISNUMBER(SEARCH("vacant",$B48)),ISNUMBER(SEARCH("ring fenced",$B48)),LOWER(TRIM($B48))="remove"),"Vacant","Filled"))</f>
        <v>Filled</v>
      </c>
      <c r="AG48" s="534" t="b">
        <f>IF(TRIM($B48)="","",--ISNUMBER(SEARCH("ring fenced",$B48)))</f>
        <v>0</v>
      </c>
      <c r="AH48" s="534" t="str">
        <f>IF(TRIM($B48)="","",IF(COUNTIFS(Lists!$AN$2:$AN$22,TRIM($B48)&amp;" | "&amp;TRIM($D48),Lists!$AO$2:$AO$22,"&lt;&gt;"),INDEX(Lists!$AO$2:$AO$22,MATCH(TRIM($B48)&amp;" | "&amp;TRIM($D48),Lists!$AN$2:$AN$22,0)),IF(COUNTIF(Lists!$AR$2:$AR$3,$AJ48),"TDD Cyber",IF(AND(LEFT($AJ48,4)="EGI ",ISNUMBER(MATCH(TRIM(MID($AJ48,5,99)),Lists!$AS$2:$AS$12,0))),TRIM(MID($AJ48,5,99)),IF(AND(LEFT($AJ48,4)="EGI ",ISNUMBER(MATCH(TRIM(MID($AJ48,5,99)),Lists!$T$2:$T$21,0))),INDEX(Lists!$U$2:$U$21,MATCH(TRIM(MID($AJ48,5,99)),Lists!$T$2:$T$21,0)),IF(OR(TRIM($J48)="",UPPER(TRIM($J48))="NA"),IFERROR(INDEX(Lists!$R$2:$R$9,MATCH(TRIM($G48),Lists!$Q$2:$Q$9,0)),"UNMAPPED"),IFERROR(INDEX(Lists!$U$2:$U$21,MATCH(TRIM($J48),Lists!$T$2:$T$21,0)),IFERROR(INDEX(Lists!$R$2:$R$9,MATCH(TRIM($G48),Lists!$Q$2:$Q$9,0)),"UNMAPPED"))))))))</f>
        <v>COE Cyber</v>
      </c>
      <c r="AI48" s="534" t="b">
        <f>IF(TRIM($B48)="","",--OR(TRIM($L48)="Leadership",TRIM($K48)="Leadership"))</f>
        <v>0</v>
      </c>
      <c r="AJ48" s="534" t="str">
        <f>IF(TRIM($B48)="","",IF(COUNTIFS(Lists!$AN$2:$AN$22,TRIM($B48)&amp;" | "&amp;TRIM($D48),Lists!$AP$2:$AP$22,"&lt;&gt;"),INDEX(Lists!$AP$2:$AP$22,MATCH(TRIM($B48)&amp;" | "&amp;TRIM($D48),Lists!$AN$2:$AN$22,0)),IF($AI48=1,"Leadership",IFERROR(INDEX(Lists!$X$2:$X$21,MATCH(TRIM($L48),Lists!$W$2:$W$21,0)),IF(OR(TRIM($L48)="",LOWER(TRIM($L48))="na"),IF(TRIM($H48)="","Unassigned",TRIM($H48)),TRIM($L48))))))</f>
        <v>Cyber Strat &amp; Tech</v>
      </c>
      <c r="AK48" s="534" t="str">
        <f>IF(TRIM($B48)="","",IF(COUNTIFS(Lists!$AN$2:$AN$22,TRIM($B48)&amp;" | "&amp;TRIM($D48),Lists!$AQ$2:$AQ$22,"&lt;&gt;"),INDEX(Lists!$AQ$2:$AQ$22,MATCH(TRIM($B48)&amp;" | "&amp;TRIM($D48),Lists!$AN$2:$AN$22,0)),IF(COUNTIF(Lists!$AF$2:$AF$8,$AJ48),$AJ48,IF(ISNUMBER(SEARCH("head of ",$D48)),"Head of Technology",IF(ISNUMBER(SEARCH("TDD BP",$D48)),"Business Partner",IF(OR(ISNUMBER(SEARCH("domain architect",$D48)),ISNUMBER(SEARCH("enterprise architect",$D48))),"Domain Architect",IF(ISNUMBER(SEARCH("delivery man",$D48)),"Delivery Manager",IF(OR(ISNUMBER(SEARCH("technology manager",$D48)),ISNUMBER(SEARCH("technology manger",$D48)),ISNUMBER(SEARCH("tech manager",$D48))),"Technology Manager","Squad"))))))))</f>
        <v>Head of Technology</v>
      </c>
      <c r="AL48" s="534" t="str">
        <f>IF(TRIM($B48)="","",IF(AND($AM48=1,LEFT($AJ48,4)&lt;&gt;"EGI ",$AJ48&lt;&gt;"EGI"),IFERROR(INDEX(Lists!$Z$2:$Z$20,MATCH($AH48,Lists!$Y$2:$Y$20,0)),"EGI "&amp;$AH48),IF(COUNTIF(Lists!$AU$2:$AU$10,$AJ48),$AJ48,IF(OR(LEFT($AH48,3)="COE",$AH48="EGI"),$AJ48,IF($AK48&lt;&gt;"Squad",$AK48,$AJ48)))))</f>
        <v>Cyber Strat &amp; Tech</v>
      </c>
      <c r="AM48" s="534" t="b">
        <f>IF(TRIM($B48)="","",--(UPPER(TRIM($K48))="EGI"))</f>
        <v>0</v>
      </c>
      <c r="AQ48" s="841" t="inlineStr">
        <is>
          <t>R0047</t>
        </is>
      </c>
      <c r="AZ48" s="841" t="n"/>
    </row>
    <row r="49" ht="18" customHeight="1" s="535">
      <c r="A49" s="842" t="n">
        <v>105647</v>
      </c>
      <c r="B49" s="843" t="inlineStr">
        <is>
          <t>Rajini Onteddu Reddy</t>
        </is>
      </c>
      <c r="C49" s="842" t="n">
        <v>105647</v>
      </c>
      <c r="D49" s="843" t="inlineStr">
        <is>
          <t>Head of Service Operations &amp; Assurance</t>
        </is>
      </c>
      <c r="E49" s="843" t="inlineStr">
        <is>
          <t>Frances Bouzo</t>
        </is>
      </c>
      <c r="F49" s="843" t="inlineStr">
        <is>
          <t xml:space="preserve">Manager Service Management &amp; Major Incident Management Lead </t>
        </is>
      </c>
      <c r="G49" s="844" t="inlineStr">
        <is>
          <t>Cyber, Risk &amp; Operations</t>
        </is>
      </c>
      <c r="H49" s="843" t="inlineStr">
        <is>
          <t>Service Op &amp; Assurance</t>
        </is>
      </c>
      <c r="I49" s="843" t="inlineStr">
        <is>
          <t>NA</t>
        </is>
      </c>
      <c r="J49" s="843" t="inlineStr">
        <is>
          <t>NA</t>
        </is>
      </c>
      <c r="K49" s="843" t="inlineStr">
        <is>
          <t>NA</t>
        </is>
      </c>
      <c r="L49" s="843" t="inlineStr">
        <is>
          <t>NA</t>
        </is>
      </c>
      <c r="M49" s="843" t="n"/>
      <c r="N49" s="845" t="inlineStr">
        <is>
          <t>Australia</t>
        </is>
      </c>
      <c r="O49" s="846" t="inlineStr">
        <is>
          <t>CSC</t>
        </is>
      </c>
      <c r="P49" s="847" t="n">
        <v>1</v>
      </c>
      <c r="Q49" s="847" t="n"/>
      <c r="R49" s="847" t="inlineStr">
        <is>
          <t>Permanent - Full Time</t>
        </is>
      </c>
      <c r="S49" s="847" t="n"/>
      <c r="T49" s="847" t="n"/>
      <c r="U49" s="848" t="n">
        <v>283160</v>
      </c>
      <c r="V49" s="849" t="n">
        <v>283160</v>
      </c>
      <c r="W49" s="850" t="n">
        <v>0.2</v>
      </c>
      <c r="X49" s="847" t="n">
        <v>0.055</v>
      </c>
      <c r="Y49" s="850" t="n">
        <v>0.12</v>
      </c>
      <c r="Z49" s="851" t="n"/>
      <c r="AA49" s="850" t="n">
        <v>0.04</v>
      </c>
      <c r="AB49" s="852" t="n">
        <v>400671.4</v>
      </c>
      <c r="AE49" s="534">
        <f>IF(TRIM($B49)="","",IF(AND(N($P49)&gt;0,N($P49)&lt;1),N($AB49)*N($P49),N($AB49)))</f>
        <v>400671.4</v>
      </c>
      <c r="AF49" s="534" t="str">
        <f>IF(TRIM($B49)="","",IF(OR(ISNUMBER(SEARCH("vacant",$B49)),ISNUMBER(SEARCH("ring fenced",$B49)),LOWER(TRIM($B49))="remove"),"Vacant","Filled"))</f>
        <v>Filled</v>
      </c>
      <c r="AG49" s="534" t="b">
        <f>IF(TRIM($B49)="","",--ISNUMBER(SEARCH("ring fenced",$B49)))</f>
        <v>0</v>
      </c>
      <c r="AH49" s="534" t="str">
        <f>IF(TRIM($B49)="","",IF(COUNTIFS(Lists!$AN$2:$AN$22,TRIM($B49)&amp;" | "&amp;TRIM($D49),Lists!$AO$2:$AO$22,"&lt;&gt;"),INDEX(Lists!$AO$2:$AO$22,MATCH(TRIM($B49)&amp;" | "&amp;TRIM($D49),Lists!$AN$2:$AN$22,0)),IF(COUNTIF(Lists!$AR$2:$AR$3,$AJ49),"TDD Cyber",IF(AND(LEFT($AJ49,4)="EGI ",ISNUMBER(MATCH(TRIM(MID($AJ49,5,99)),Lists!$AS$2:$AS$12,0))),TRIM(MID($AJ49,5,99)),IF(AND(LEFT($AJ49,4)="EGI ",ISNUMBER(MATCH(TRIM(MID($AJ49,5,99)),Lists!$T$2:$T$21,0))),INDEX(Lists!$U$2:$U$21,MATCH(TRIM(MID($AJ49,5,99)),Lists!$T$2:$T$21,0)),IF(OR(TRIM($J49)="",UPPER(TRIM($J49))="NA"),IFERROR(INDEX(Lists!$R$2:$R$9,MATCH(TRIM($G49),Lists!$Q$2:$Q$9,0)),"UNMAPPED"),IFERROR(INDEX(Lists!$U$2:$U$21,MATCH(TRIM($J49),Lists!$T$2:$T$21,0)),IFERROR(INDEX(Lists!$R$2:$R$9,MATCH(TRIM($G49),Lists!$Q$2:$Q$9,0)),"UNMAPPED"))))))))</f>
        <v>COE Cyber</v>
      </c>
      <c r="AI49" s="534" t="b">
        <f>IF(TRIM($B49)="","",--OR(TRIM($L49)="Leadership",TRIM($K49)="Leadership"))</f>
        <v>0</v>
      </c>
      <c r="AJ49" s="534" t="str">
        <f>IF(TRIM($B49)="","",IF(COUNTIFS(Lists!$AN$2:$AN$22,TRIM($B49)&amp;" | "&amp;TRIM($D49),Lists!$AP$2:$AP$22,"&lt;&gt;"),INDEX(Lists!$AP$2:$AP$22,MATCH(TRIM($B49)&amp;" | "&amp;TRIM($D49),Lists!$AN$2:$AN$22,0)),IF($AI49=1,"Leadership",IFERROR(INDEX(Lists!$X$2:$X$21,MATCH(TRIM($L49),Lists!$W$2:$W$21,0)),IF(OR(TRIM($L49)="",LOWER(TRIM($L49))="na"),IF(TRIM($H49)="","Unassigned",TRIM($H49)),TRIM($L49))))))</f>
        <v>Service Op &amp; Assurance</v>
      </c>
      <c r="AK49" s="534" t="str">
        <f>IF(TRIM($B49)="","",IF(COUNTIFS(Lists!$AN$2:$AN$22,TRIM($B49)&amp;" | "&amp;TRIM($D49),Lists!$AQ$2:$AQ$22,"&lt;&gt;"),INDEX(Lists!$AQ$2:$AQ$22,MATCH(TRIM($B49)&amp;" | "&amp;TRIM($D49),Lists!$AN$2:$AN$22,0)),IF(COUNTIF(Lists!$AF$2:$AF$8,$AJ49),$AJ49,IF(ISNUMBER(SEARCH("head of ",$D49)),"Head of Technology",IF(ISNUMBER(SEARCH("TDD BP",$D49)),"Business Partner",IF(OR(ISNUMBER(SEARCH("domain architect",$D49)),ISNUMBER(SEARCH("enterprise architect",$D49))),"Domain Architect",IF(ISNUMBER(SEARCH("delivery man",$D49)),"Delivery Manager",IF(OR(ISNUMBER(SEARCH("technology manager",$D49)),ISNUMBER(SEARCH("technology manger",$D49)),ISNUMBER(SEARCH("tech manager",$D49))),"Technology Manager","Squad"))))))))</f>
        <v>Head of Technology</v>
      </c>
      <c r="AL49" s="534" t="str">
        <f>IF(TRIM($B49)="","",IF(AND($AM49=1,LEFT($AJ49,4)&lt;&gt;"EGI ",$AJ49&lt;&gt;"EGI"),IFERROR(INDEX(Lists!$Z$2:$Z$20,MATCH($AH49,Lists!$Y$2:$Y$20,0)),"EGI "&amp;$AH49),IF(COUNTIF(Lists!$AU$2:$AU$10,$AJ49),$AJ49,IF(OR(LEFT($AH49,3)="COE",$AH49="EGI"),$AJ49,IF($AK49&lt;&gt;"Squad",$AK49,$AJ49)))))</f>
        <v>Service Op &amp; Assurance</v>
      </c>
      <c r="AM49" s="534" t="b">
        <f>IF(TRIM($B49)="","",--(UPPER(TRIM($K49))="EGI"))</f>
        <v>0</v>
      </c>
      <c r="AQ49" s="841" t="inlineStr">
        <is>
          <t>R0048</t>
        </is>
      </c>
      <c r="AZ49" s="841" t="n"/>
    </row>
    <row r="50" ht="18" customHeight="1" s="535">
      <c r="A50" s="842" t="n">
        <v>106830</v>
      </c>
      <c r="B50" s="843" t="inlineStr">
        <is>
          <t>Moitri Pal</t>
        </is>
      </c>
      <c r="C50" s="842" t="n">
        <v>106830</v>
      </c>
      <c r="D50" s="843" t="inlineStr">
        <is>
          <t>Portfolio Mnager</t>
        </is>
      </c>
      <c r="E50" s="843" t="inlineStr">
        <is>
          <t>Greg Cassis</t>
        </is>
      </c>
      <c r="F50" s="843" t="inlineStr">
        <is>
          <t>GM TDD, EGI</t>
        </is>
      </c>
      <c r="G50" s="844" t="inlineStr">
        <is>
          <t>EGI</t>
        </is>
      </c>
      <c r="H50" s="843" t="inlineStr">
        <is>
          <t>EGI</t>
        </is>
      </c>
      <c r="I50" s="843" t="inlineStr">
        <is>
          <t>EGI</t>
        </is>
      </c>
      <c r="J50" s="843" t="inlineStr">
        <is>
          <t>EGI</t>
        </is>
      </c>
      <c r="K50" s="843" t="inlineStr">
        <is>
          <t>EGI</t>
        </is>
      </c>
      <c r="L50" s="843" t="inlineStr">
        <is>
          <t>EGI</t>
        </is>
      </c>
      <c r="M50" s="843" t="n"/>
      <c r="N50" s="845" t="inlineStr">
        <is>
          <t>Australia</t>
        </is>
      </c>
      <c r="O50" s="846" t="inlineStr">
        <is>
          <t>CSC</t>
        </is>
      </c>
      <c r="P50" s="847" t="n">
        <v>1</v>
      </c>
      <c r="Q50" s="847" t="n"/>
      <c r="R50" s="847" t="inlineStr">
        <is>
          <t>Permanent - Full Time</t>
        </is>
      </c>
      <c r="S50" s="847" t="n"/>
      <c r="T50" s="847" t="n"/>
      <c r="U50" s="848" t="n">
        <v>230010</v>
      </c>
      <c r="V50" s="849" t="n">
        <v>230010</v>
      </c>
      <c r="W50" s="850" t="n">
        <v>0.2</v>
      </c>
      <c r="X50" s="847" t="n">
        <v>0.055</v>
      </c>
      <c r="Y50" s="850" t="n">
        <v>0.12</v>
      </c>
      <c r="Z50" s="851" t="n"/>
      <c r="AA50" s="850" t="n">
        <v>0.04</v>
      </c>
      <c r="AB50" s="852" t="n">
        <v>325464.15</v>
      </c>
      <c r="AE50" s="534">
        <f>IF(TRIM($B50)="","",IF(AND(N($P50)&gt;0,N($P50)&lt;1),N($AB50)*N($P50),N($AB50)))</f>
        <v>325464.15</v>
      </c>
      <c r="AF50" s="534" t="str">
        <f>IF(TRIM($B50)="","",IF(OR(ISNUMBER(SEARCH("vacant",$B50)),ISNUMBER(SEARCH("ring fenced",$B50)),LOWER(TRIM($B50))="remove"),"Vacant","Filled"))</f>
        <v>Filled</v>
      </c>
      <c r="AG50" s="534" t="b">
        <f>IF(TRIM($B50)="","",--ISNUMBER(SEARCH("ring fenced",$B50)))</f>
        <v>0</v>
      </c>
      <c r="AH50" s="534" t="str">
        <f>IF(TRIM($B50)="","",IF(COUNTIFS(Lists!$AN$2:$AN$22,TRIM($B50)&amp;" | "&amp;TRIM($D50),Lists!$AO$2:$AO$22,"&lt;&gt;"),INDEX(Lists!$AO$2:$AO$22,MATCH(TRIM($B50)&amp;" | "&amp;TRIM($D50),Lists!$AN$2:$AN$22,0)),IF(COUNTIF(Lists!$AR$2:$AR$3,$AJ50),"TDD Cyber",IF(AND(LEFT($AJ50,4)="EGI ",ISNUMBER(MATCH(TRIM(MID($AJ50,5,99)),Lists!$AS$2:$AS$12,0))),TRIM(MID($AJ50,5,99)),IF(AND(LEFT($AJ50,4)="EGI ",ISNUMBER(MATCH(TRIM(MID($AJ50,5,99)),Lists!$T$2:$T$21,0))),INDEX(Lists!$U$2:$U$21,MATCH(TRIM(MID($AJ50,5,99)),Lists!$T$2:$T$21,0)),IF(OR(TRIM($J50)="",UPPER(TRIM($J50))="NA"),IFERROR(INDEX(Lists!$R$2:$R$9,MATCH(TRIM($G50),Lists!$Q$2:$Q$9,0)),"UNMAPPED"),IFERROR(INDEX(Lists!$U$2:$U$21,MATCH(TRIM($J50),Lists!$T$2:$T$21,0)),IFERROR(INDEX(Lists!$R$2:$R$9,MATCH(TRIM($G50),Lists!$Q$2:$Q$9,0)),"UNMAPPED"))))))))</f>
        <v>EGI</v>
      </c>
      <c r="AI50" s="534" t="b">
        <f>IF(TRIM($B50)="","",--OR(TRIM($L50)="Leadership",TRIM($K50)="Leadership"))</f>
        <v>0</v>
      </c>
      <c r="AJ50" s="534" t="str">
        <f>IF(TRIM($B50)="","",IF(COUNTIFS(Lists!$AN$2:$AN$22,TRIM($B50)&amp;" | "&amp;TRIM($D50),Lists!$AP$2:$AP$22,"&lt;&gt;"),INDEX(Lists!$AP$2:$AP$22,MATCH(TRIM($B50)&amp;" | "&amp;TRIM($D50),Lists!$AN$2:$AN$22,0)),IF($AI50=1,"Leadership",IFERROR(INDEX(Lists!$X$2:$X$21,MATCH(TRIM($L50),Lists!$W$2:$W$21,0)),IF(OR(TRIM($L50)="",LOWER(TRIM($L50))="na"),IF(TRIM($H50)="","Unassigned",TRIM($H50)),TRIM($L50))))))</f>
        <v>EGI</v>
      </c>
      <c r="AK50" s="534" t="str">
        <f>IF(TRIM($B50)="","",IF(COUNTIFS(Lists!$AN$2:$AN$22,TRIM($B50)&amp;" | "&amp;TRIM($D50),Lists!$AQ$2:$AQ$22,"&lt;&gt;"),INDEX(Lists!$AQ$2:$AQ$22,MATCH(TRIM($B50)&amp;" | "&amp;TRIM($D50),Lists!$AN$2:$AN$22,0)),IF(COUNTIF(Lists!$AF$2:$AF$8,$AJ50),$AJ50,IF(ISNUMBER(SEARCH("head of ",$D50)),"Head of Technology",IF(ISNUMBER(SEARCH("TDD BP",$D50)),"Business Partner",IF(OR(ISNUMBER(SEARCH("domain architect",$D50)),ISNUMBER(SEARCH("enterprise architect",$D50))),"Domain Architect",IF(ISNUMBER(SEARCH("delivery man",$D50)),"Delivery Manager",IF(OR(ISNUMBER(SEARCH("technology manager",$D50)),ISNUMBER(SEARCH("technology manger",$D50)),ISNUMBER(SEARCH("tech manager",$D50))),"Technology Manager","Squad"))))))))</f>
        <v>Squad</v>
      </c>
      <c r="AL50" s="534" t="str">
        <f>IF(TRIM($B50)="","",IF(AND($AM50=1,LEFT($AJ50,4)&lt;&gt;"EGI ",$AJ50&lt;&gt;"EGI"),IFERROR(INDEX(Lists!$Z$2:$Z$20,MATCH($AH50,Lists!$Y$2:$Y$20,0)),"EGI "&amp;$AH50),IF(COUNTIF(Lists!$AU$2:$AU$10,$AJ50),$AJ50,IF(OR(LEFT($AH50,3)="COE",$AH50="EGI"),$AJ50,IF($AK50&lt;&gt;"Squad",$AK50,$AJ50)))))</f>
        <v>EGI</v>
      </c>
      <c r="AM50" s="534" t="b">
        <f>IF(TRIM($B50)="","",--(UPPER(TRIM($K50))="EGI"))</f>
        <v>1</v>
      </c>
      <c r="AQ50" s="841" t="inlineStr">
        <is>
          <t>R0049</t>
        </is>
      </c>
      <c r="AZ50" s="841" t="n"/>
    </row>
    <row r="51" ht="18" customHeight="1" s="535">
      <c r="A51" s="842" t="n">
        <v>116999</v>
      </c>
      <c r="B51" s="843" t="inlineStr">
        <is>
          <t>Jason Gleason</t>
        </is>
      </c>
      <c r="C51" s="842" t="n">
        <v>116999</v>
      </c>
      <c r="D51" s="843" t="inlineStr">
        <is>
          <t>Technology Manager, Data Engineering &amp; Platforms</t>
        </is>
      </c>
      <c r="E51" s="843" t="inlineStr">
        <is>
          <t>James Holgate</t>
        </is>
      </c>
      <c r="F51" s="843" t="inlineStr">
        <is>
          <t>Head of Technology,  Group Data</t>
        </is>
      </c>
      <c r="G51" s="844" t="inlineStr">
        <is>
          <t>Strategy, Architecture &amp; Data</t>
        </is>
      </c>
      <c r="H51" s="843" t="inlineStr">
        <is>
          <t>Group Data</t>
        </is>
      </c>
      <c r="I51" s="843" t="inlineStr">
        <is>
          <t>Data Engineering &amp; Platforms</t>
        </is>
      </c>
      <c r="J51" s="843" t="inlineStr">
        <is>
          <t>Enterprise Data</t>
        </is>
      </c>
      <c r="K51" s="843" t="inlineStr">
        <is>
          <t>Leadership</t>
        </is>
      </c>
      <c r="L51" s="843" t="n"/>
      <c r="M51" s="843" t="n"/>
      <c r="N51" s="845" t="inlineStr">
        <is>
          <t>NZ</t>
        </is>
      </c>
      <c r="O51" s="846" t="inlineStr">
        <is>
          <t>CSC</t>
        </is>
      </c>
      <c r="P51" s="847" t="n">
        <v>1</v>
      </c>
      <c r="Q51" s="846" t="n"/>
      <c r="R51" s="847" t="inlineStr">
        <is>
          <t>Permanent - Full Time</t>
        </is>
      </c>
      <c r="S51" s="847" t="n"/>
      <c r="T51" s="847" t="n"/>
      <c r="U51" s="848" t="n">
        <v>270000</v>
      </c>
      <c r="V51" s="849" t="n">
        <v>248400</v>
      </c>
      <c r="W51" s="850" t="n">
        <v>0.2</v>
      </c>
      <c r="X51" s="847" t="n"/>
      <c r="Y51" s="850" t="n">
        <v>0.05</v>
      </c>
      <c r="Z51" s="851" t="n">
        <v>2910</v>
      </c>
      <c r="AA51" s="850" t="n">
        <v>0.03</v>
      </c>
      <c r="AB51" s="852" t="n">
        <v>320862</v>
      </c>
      <c r="AC51" s="534" t="n">
        <v>116999</v>
      </c>
      <c r="AE51" s="534">
        <f>IF(TRIM($B51)="","",IF(AND(N($P51)&gt;0,N($P51)&lt;1),N($AB51)*N($P51),N($AB51)))</f>
        <v>320862</v>
      </c>
      <c r="AF51" s="534" t="str">
        <f>IF(TRIM($B51)="","",IF(OR(ISNUMBER(SEARCH("vacant",$B51)),ISNUMBER(SEARCH("ring fenced",$B51)),LOWER(TRIM($B51))="remove"),"Vacant","Filled"))</f>
        <v>Filled</v>
      </c>
      <c r="AG51" s="534" t="b">
        <f>IF(TRIM($B51)="","",--ISNUMBER(SEARCH("ring fenced",$B51)))</f>
        <v>0</v>
      </c>
      <c r="AH51" s="534" t="str">
        <f>IF(TRIM($B51)="","",IF(COUNTIFS(Lists!$AN$2:$AN$22,TRIM($B51)&amp;" | "&amp;TRIM($D51),Lists!$AO$2:$AO$22,"&lt;&gt;"),INDEX(Lists!$AO$2:$AO$22,MATCH(TRIM($B51)&amp;" | "&amp;TRIM($D51),Lists!$AN$2:$AN$22,0)),IF(COUNTIF(Lists!$AR$2:$AR$3,$AJ51),"TDD Cyber",IF(AND(LEFT($AJ51,4)="EGI ",ISNUMBER(MATCH(TRIM(MID($AJ51,5,99)),Lists!$AS$2:$AS$12,0))),TRIM(MID($AJ51,5,99)),IF(AND(LEFT($AJ51,4)="EGI ",ISNUMBER(MATCH(TRIM(MID($AJ51,5,99)),Lists!$T$2:$T$21,0))),INDEX(Lists!$U$2:$U$21,MATCH(TRIM(MID($AJ51,5,99)),Lists!$T$2:$T$21,0)),IF(OR(TRIM($J51)="",UPPER(TRIM($J51))="NA"),IFERROR(INDEX(Lists!$R$2:$R$9,MATCH(TRIM($G51),Lists!$Q$2:$Q$9,0)),"UNMAPPED"),IFERROR(INDEX(Lists!$U$2:$U$21,MATCH(TRIM($J51),Lists!$T$2:$T$21,0)),IFERROR(INDEX(Lists!$R$2:$R$9,MATCH(TRIM($G51),Lists!$Q$2:$Q$9,0)),"UNMAPPED"))))))))</f>
        <v>Enterprise Data</v>
      </c>
      <c r="AI51" s="534" t="b">
        <f>IF(TRIM($B51)="","",--OR(TRIM($L51)="Leadership",TRIM($K51)="Leadership"))</f>
        <v>1</v>
      </c>
      <c r="AJ51" s="534" t="str">
        <f>IF(TRIM($B51)="","",IF(COUNTIFS(Lists!$AN$2:$AN$22,TRIM($B51)&amp;" | "&amp;TRIM($D51),Lists!$AP$2:$AP$22,"&lt;&gt;"),INDEX(Lists!$AP$2:$AP$22,MATCH(TRIM($B51)&amp;" | "&amp;TRIM($D51),Lists!$AN$2:$AN$22,0)),IF($AI51=1,"Leadership",IFERROR(INDEX(Lists!$X$2:$X$21,MATCH(TRIM($L51),Lists!$W$2:$W$21,0)),IF(OR(TRIM($L51)="",LOWER(TRIM($L51))="na"),IF(TRIM($H51)="","Unassigned",TRIM($H51)),TRIM($L51))))))</f>
        <v>Leadership</v>
      </c>
      <c r="AK51" s="534" t="str">
        <f>IF(TRIM($B51)="","",IF(COUNTIFS(Lists!$AN$2:$AN$22,TRIM($B51)&amp;" | "&amp;TRIM($D51),Lists!$AQ$2:$AQ$22,"&lt;&gt;"),INDEX(Lists!$AQ$2:$AQ$22,MATCH(TRIM($B51)&amp;" | "&amp;TRIM($D51),Lists!$AN$2:$AN$22,0)),IF(COUNTIF(Lists!$AF$2:$AF$8,$AJ51),$AJ51,IF(ISNUMBER(SEARCH("head of ",$D51)),"Head of Technology",IF(ISNUMBER(SEARCH("TDD BP",$D51)),"Business Partner",IF(OR(ISNUMBER(SEARCH("domain architect",$D51)),ISNUMBER(SEARCH("enterprise architect",$D51))),"Domain Architect",IF(ISNUMBER(SEARCH("delivery man",$D51)),"Delivery Manager",IF(OR(ISNUMBER(SEARCH("technology manager",$D51)),ISNUMBER(SEARCH("technology manger",$D51)),ISNUMBER(SEARCH("tech manager",$D51))),"Technology Manager","Squad"))))))))</f>
        <v>Technology Manager</v>
      </c>
      <c r="AL51" s="534" t="str">
        <f>IF(TRIM($B51)="","",IF(AND($AM51=1,LEFT($AJ51,4)&lt;&gt;"EGI ",$AJ51&lt;&gt;"EGI"),IFERROR(INDEX(Lists!$Z$2:$Z$20,MATCH($AH51,Lists!$Y$2:$Y$20,0)),"EGI "&amp;$AH51),IF(COUNTIF(Lists!$AU$2:$AU$10,$AJ51),$AJ51,IF(OR(LEFT($AH51,3)="COE",$AH51="EGI"),$AJ51,IF($AK51&lt;&gt;"Squad",$AK51,$AJ51)))))</f>
        <v>Technology Manager</v>
      </c>
      <c r="AM51" s="534" t="b">
        <f>IF(TRIM($B51)="","",--(UPPER(TRIM($K51))="EGI"))</f>
        <v>0</v>
      </c>
      <c r="AQ51" s="841" t="inlineStr">
        <is>
          <t>R0050</t>
        </is>
      </c>
      <c r="AZ51" s="841" t="n"/>
    </row>
    <row r="52" ht="18" customHeight="1" s="535">
      <c r="A52" s="842" t="n">
        <v>110144</v>
      </c>
      <c r="B52" s="843" t="inlineStr">
        <is>
          <t>Sanjay Tikoo</t>
        </is>
      </c>
      <c r="C52" s="842" t="n">
        <v>110144</v>
      </c>
      <c r="D52" s="843" t="inlineStr">
        <is>
          <t>Principal, Data Architecture &amp; Governance</t>
        </is>
      </c>
      <c r="E52" s="843" t="inlineStr">
        <is>
          <t>James Holgate</t>
        </is>
      </c>
      <c r="F52" s="843" t="inlineStr">
        <is>
          <t>Head of Technology,  Group Data</t>
        </is>
      </c>
      <c r="G52" s="844" t="inlineStr">
        <is>
          <t>Strategy, Architecture &amp; Data</t>
        </is>
      </c>
      <c r="H52" s="843" t="inlineStr">
        <is>
          <t>Group Data</t>
        </is>
      </c>
      <c r="I52" s="843" t="inlineStr">
        <is>
          <t>Data Capability</t>
        </is>
      </c>
      <c r="J52" s="843" t="n"/>
      <c r="K52" s="843" t="n"/>
      <c r="L52" s="843" t="n"/>
      <c r="M52" s="843" t="n"/>
      <c r="N52" s="845" t="inlineStr">
        <is>
          <t>Australia</t>
        </is>
      </c>
      <c r="O52" s="846" t="inlineStr">
        <is>
          <t>CSC</t>
        </is>
      </c>
      <c r="P52" s="847" t="n">
        <v>1</v>
      </c>
      <c r="Q52" s="846" t="n"/>
      <c r="R52" s="847" t="inlineStr">
        <is>
          <t>Permanent - Full Time</t>
        </is>
      </c>
      <c r="S52" s="847" t="n"/>
      <c r="T52" s="847" t="n"/>
      <c r="U52" s="848" t="n">
        <v>275000</v>
      </c>
      <c r="V52" s="849" t="n">
        <v>275000</v>
      </c>
      <c r="W52" s="850" t="n">
        <v>0.2</v>
      </c>
      <c r="X52" s="847" t="n">
        <v>0.055</v>
      </c>
      <c r="Y52" s="850" t="n">
        <v>0.12</v>
      </c>
      <c r="Z52" s="851" t="n"/>
      <c r="AA52" s="850" t="n">
        <v>0.04</v>
      </c>
      <c r="AB52" s="852" t="n">
        <v>389125</v>
      </c>
      <c r="AE52" s="534">
        <f>IF(TRIM($B52)="","",IF(AND(N($P52)&gt;0,N($P52)&lt;1),N($AB52)*N($P52),N($AB52)))</f>
        <v>389125</v>
      </c>
      <c r="AF52" s="534" t="str">
        <f>IF(TRIM($B52)="","",IF(OR(ISNUMBER(SEARCH("vacant",$B52)),ISNUMBER(SEARCH("ring fenced",$B52)),LOWER(TRIM($B52))="remove"),"Vacant","Filled"))</f>
        <v>Filled</v>
      </c>
      <c r="AG52" s="534" t="b">
        <f>IF(TRIM($B52)="","",--ISNUMBER(SEARCH("ring fenced",$B52)))</f>
        <v>0</v>
      </c>
      <c r="AH52" s="534" t="str">
        <f>IF(TRIM($B52)="","",IF(COUNTIFS(Lists!$AN$2:$AN$22,TRIM($B52)&amp;" | "&amp;TRIM($D52),Lists!$AO$2:$AO$22,"&lt;&gt;"),INDEX(Lists!$AO$2:$AO$22,MATCH(TRIM($B52)&amp;" | "&amp;TRIM($D52),Lists!$AN$2:$AN$22,0)),IF(COUNTIF(Lists!$AR$2:$AR$3,$AJ52),"TDD Cyber",IF(AND(LEFT($AJ52,4)="EGI ",ISNUMBER(MATCH(TRIM(MID($AJ52,5,99)),Lists!$AS$2:$AS$12,0))),TRIM(MID($AJ52,5,99)),IF(AND(LEFT($AJ52,4)="EGI ",ISNUMBER(MATCH(TRIM(MID($AJ52,5,99)),Lists!$T$2:$T$21,0))),INDEX(Lists!$U$2:$U$21,MATCH(TRIM(MID($AJ52,5,99)),Lists!$T$2:$T$21,0)),IF(OR(TRIM($J52)="",UPPER(TRIM($J52))="NA"),IFERROR(INDEX(Lists!$R$2:$R$9,MATCH(TRIM($G52),Lists!$Q$2:$Q$9,0)),"UNMAPPED"),IFERROR(INDEX(Lists!$U$2:$U$21,MATCH(TRIM($J52),Lists!$T$2:$T$21,0)),IFERROR(INDEX(Lists!$R$2:$R$9,MATCH(TRIM($G52),Lists!$Q$2:$Q$9,0)),"UNMAPPED"))))))))</f>
        <v>COE SA&amp;D</v>
      </c>
      <c r="AI52" s="534" t="b">
        <f>IF(TRIM($B52)="","",--OR(TRIM($L52)="Leadership",TRIM($K52)="Leadership"))</f>
        <v>0</v>
      </c>
      <c r="AJ52" s="534" t="str">
        <f>IF(TRIM($B52)="","",IF(COUNTIFS(Lists!$AN$2:$AN$22,TRIM($B52)&amp;" | "&amp;TRIM($D52),Lists!$AP$2:$AP$22,"&lt;&gt;"),INDEX(Lists!$AP$2:$AP$22,MATCH(TRIM($B52)&amp;" | "&amp;TRIM($D52),Lists!$AN$2:$AN$22,0)),IF($AI52=1,"Leadership",IFERROR(INDEX(Lists!$X$2:$X$21,MATCH(TRIM($L52),Lists!$W$2:$W$21,0)),IF(OR(TRIM($L52)="",LOWER(TRIM($L52))="na"),IF(TRIM($H52)="","Unassigned",TRIM($H52)),TRIM($L52))))))</f>
        <v>Group Data</v>
      </c>
      <c r="AK52" s="534" t="str">
        <f>IF(TRIM($B52)="","",IF(COUNTIFS(Lists!$AN$2:$AN$22,TRIM($B52)&amp;" | "&amp;TRIM($D52),Lists!$AQ$2:$AQ$22,"&lt;&gt;"),INDEX(Lists!$AQ$2:$AQ$22,MATCH(TRIM($B52)&amp;" | "&amp;TRIM($D52),Lists!$AN$2:$AN$22,0)),IF(COUNTIF(Lists!$AF$2:$AF$8,$AJ52),$AJ52,IF(ISNUMBER(SEARCH("head of ",$D52)),"Head of Technology",IF(ISNUMBER(SEARCH("TDD BP",$D52)),"Business Partner",IF(OR(ISNUMBER(SEARCH("domain architect",$D52)),ISNUMBER(SEARCH("enterprise architect",$D52))),"Domain Architect",IF(ISNUMBER(SEARCH("delivery man",$D52)),"Delivery Manager",IF(OR(ISNUMBER(SEARCH("technology manager",$D52)),ISNUMBER(SEARCH("technology manger",$D52)),ISNUMBER(SEARCH("tech manager",$D52))),"Technology Manager","Squad"))))))))</f>
        <v>Squad</v>
      </c>
      <c r="AL52" s="534" t="str">
        <f>IF(TRIM($B52)="","",IF(AND($AM52=1,LEFT($AJ52,4)&lt;&gt;"EGI ",$AJ52&lt;&gt;"EGI"),IFERROR(INDEX(Lists!$Z$2:$Z$20,MATCH($AH52,Lists!$Y$2:$Y$20,0)),"EGI "&amp;$AH52),IF(COUNTIF(Lists!$AU$2:$AU$10,$AJ52),$AJ52,IF(OR(LEFT($AH52,3)="COE",$AH52="EGI"),$AJ52,IF($AK52&lt;&gt;"Squad",$AK52,$AJ52)))))</f>
        <v>Group Data</v>
      </c>
      <c r="AM52" s="534" t="b">
        <f>IF(TRIM($B52)="","",--(UPPER(TRIM($K52))="EGI"))</f>
        <v>0</v>
      </c>
      <c r="AQ52" s="841" t="inlineStr">
        <is>
          <t>R0051</t>
        </is>
      </c>
      <c r="AZ52" s="841" t="n"/>
    </row>
    <row r="53" ht="18" customHeight="1" s="535">
      <c r="A53" s="842" t="n">
        <v>80469</v>
      </c>
      <c r="B53" s="843" t="inlineStr">
        <is>
          <t>James Holgate</t>
        </is>
      </c>
      <c r="C53" s="842" t="n">
        <v>80469</v>
      </c>
      <c r="D53" s="843" t="inlineStr">
        <is>
          <t>Head of Technology,  Group Data</t>
        </is>
      </c>
      <c r="E53" s="843" t="inlineStr">
        <is>
          <t>Matt Ashley</t>
        </is>
      </c>
      <c r="F53" s="843" t="inlineStr">
        <is>
          <t>GM TDD, Strategy, Architecture, Data</t>
        </is>
      </c>
      <c r="G53" s="844" t="inlineStr">
        <is>
          <t>Strategy, Architecture &amp; Data</t>
        </is>
      </c>
      <c r="H53" s="843" t="inlineStr">
        <is>
          <t>Group Data</t>
        </is>
      </c>
      <c r="I53" s="843" t="inlineStr">
        <is>
          <t>Leadership</t>
        </is>
      </c>
      <c r="J53" s="843" t="inlineStr">
        <is>
          <t>Enterprise Data</t>
        </is>
      </c>
      <c r="K53" s="843" t="inlineStr">
        <is>
          <t>Leadership</t>
        </is>
      </c>
      <c r="L53" s="843" t="n"/>
      <c r="M53" s="843" t="n"/>
      <c r="N53" s="845" t="inlineStr">
        <is>
          <t>Australia</t>
        </is>
      </c>
      <c r="O53" s="846" t="inlineStr">
        <is>
          <t>CSC</t>
        </is>
      </c>
      <c r="P53" s="847" t="n">
        <v>1</v>
      </c>
      <c r="Q53" s="846" t="n"/>
      <c r="R53" s="847" t="inlineStr">
        <is>
          <t>Permanent - Full Time</t>
        </is>
      </c>
      <c r="S53" s="847" t="n"/>
      <c r="T53" s="847" t="n"/>
      <c r="U53" s="848" t="n">
        <v>289580</v>
      </c>
      <c r="V53" s="849" t="n">
        <v>289580</v>
      </c>
      <c r="W53" s="850" t="n">
        <v>0.2</v>
      </c>
      <c r="X53" s="847" t="n">
        <v>0.055</v>
      </c>
      <c r="Y53" s="850" t="n">
        <v>0.12</v>
      </c>
      <c r="Z53" s="851" t="n"/>
      <c r="AA53" s="850" t="n">
        <v>0.04</v>
      </c>
      <c r="AB53" s="852" t="n">
        <v>409755.7</v>
      </c>
      <c r="AE53" s="534">
        <f>IF(TRIM($B53)="","",IF(AND(N($P53)&gt;0,N($P53)&lt;1),N($AB53)*N($P53),N($AB53)))</f>
        <v>409755.7</v>
      </c>
      <c r="AF53" s="534" t="str">
        <f>IF(TRIM($B53)="","",IF(OR(ISNUMBER(SEARCH("vacant",$B53)),ISNUMBER(SEARCH("ring fenced",$B53)),LOWER(TRIM($B53))="remove"),"Vacant","Filled"))</f>
        <v>Filled</v>
      </c>
      <c r="AG53" s="534" t="b">
        <f>IF(TRIM($B53)="","",--ISNUMBER(SEARCH("ring fenced",$B53)))</f>
        <v>0</v>
      </c>
      <c r="AH53" s="534" t="str">
        <f>IF(TRIM($B53)="","",IF(COUNTIFS(Lists!$AN$2:$AN$22,TRIM($B53)&amp;" | "&amp;TRIM($D53),Lists!$AO$2:$AO$22,"&lt;&gt;"),INDEX(Lists!$AO$2:$AO$22,MATCH(TRIM($B53)&amp;" | "&amp;TRIM($D53),Lists!$AN$2:$AN$22,0)),IF(COUNTIF(Lists!$AR$2:$AR$3,$AJ53),"TDD Cyber",IF(AND(LEFT($AJ53,4)="EGI ",ISNUMBER(MATCH(TRIM(MID($AJ53,5,99)),Lists!$AS$2:$AS$12,0))),TRIM(MID($AJ53,5,99)),IF(AND(LEFT($AJ53,4)="EGI ",ISNUMBER(MATCH(TRIM(MID($AJ53,5,99)),Lists!$T$2:$T$21,0))),INDEX(Lists!$U$2:$U$21,MATCH(TRIM(MID($AJ53,5,99)),Lists!$T$2:$T$21,0)),IF(OR(TRIM($J53)="",UPPER(TRIM($J53))="NA"),IFERROR(INDEX(Lists!$R$2:$R$9,MATCH(TRIM($G53),Lists!$Q$2:$Q$9,0)),"UNMAPPED"),IFERROR(INDEX(Lists!$U$2:$U$21,MATCH(TRIM($J53),Lists!$T$2:$T$21,0)),IFERROR(INDEX(Lists!$R$2:$R$9,MATCH(TRIM($G53),Lists!$Q$2:$Q$9,0)),"UNMAPPED"))))))))</f>
        <v>Enterprise Data</v>
      </c>
      <c r="AI53" s="534" t="b">
        <f>IF(TRIM($B53)="","",--OR(TRIM($L53)="Leadership",TRIM($K53)="Leadership"))</f>
        <v>1</v>
      </c>
      <c r="AJ53" s="534" t="str">
        <f>IF(TRIM($B53)="","",IF(COUNTIFS(Lists!$AN$2:$AN$22,TRIM($B53)&amp;" | "&amp;TRIM($D53),Lists!$AP$2:$AP$22,"&lt;&gt;"),INDEX(Lists!$AP$2:$AP$22,MATCH(TRIM($B53)&amp;" | "&amp;TRIM($D53),Lists!$AN$2:$AN$22,0)),IF($AI53=1,"Leadership",IFERROR(INDEX(Lists!$X$2:$X$21,MATCH(TRIM($L53),Lists!$W$2:$W$21,0)),IF(OR(TRIM($L53)="",LOWER(TRIM($L53))="na"),IF(TRIM($H53)="","Unassigned",TRIM($H53)),TRIM($L53))))))</f>
        <v>Leadership</v>
      </c>
      <c r="AK53" s="534" t="str">
        <f>IF(TRIM($B53)="","",IF(COUNTIFS(Lists!$AN$2:$AN$22,TRIM($B53)&amp;" | "&amp;TRIM($D53),Lists!$AQ$2:$AQ$22,"&lt;&gt;"),INDEX(Lists!$AQ$2:$AQ$22,MATCH(TRIM($B53)&amp;" | "&amp;TRIM($D53),Lists!$AN$2:$AN$22,0)),IF(COUNTIF(Lists!$AF$2:$AF$8,$AJ53),$AJ53,IF(ISNUMBER(SEARCH("head of ",$D53)),"Head of Technology",IF(ISNUMBER(SEARCH("TDD BP",$D53)),"Business Partner",IF(OR(ISNUMBER(SEARCH("domain architect",$D53)),ISNUMBER(SEARCH("enterprise architect",$D53))),"Domain Architect",IF(ISNUMBER(SEARCH("delivery man",$D53)),"Delivery Manager",IF(OR(ISNUMBER(SEARCH("technology manager",$D53)),ISNUMBER(SEARCH("technology manger",$D53)),ISNUMBER(SEARCH("tech manager",$D53))),"Technology Manager","Squad"))))))))</f>
        <v>Head of Technology</v>
      </c>
      <c r="AL53" s="534" t="str">
        <f>IF(TRIM($B53)="","",IF(AND($AM53=1,LEFT($AJ53,4)&lt;&gt;"EGI ",$AJ53&lt;&gt;"EGI"),IFERROR(INDEX(Lists!$Z$2:$Z$20,MATCH($AH53,Lists!$Y$2:$Y$20,0)),"EGI "&amp;$AH53),IF(COUNTIF(Lists!$AU$2:$AU$10,$AJ53),$AJ53,IF(OR(LEFT($AH53,3)="COE",$AH53="EGI"),$AJ53,IF($AK53&lt;&gt;"Squad",$AK53,$AJ53)))))</f>
        <v>Head of Technology</v>
      </c>
      <c r="AM53" s="534" t="b">
        <f>IF(TRIM($B53)="","",--(UPPER(TRIM($K53))="EGI"))</f>
        <v>0</v>
      </c>
      <c r="AQ53" s="841" t="inlineStr">
        <is>
          <t>R0052</t>
        </is>
      </c>
      <c r="AZ53" s="841" t="n"/>
    </row>
    <row r="54" ht="18" customHeight="1" s="535">
      <c r="A54" s="842" t="n">
        <v>113381</v>
      </c>
      <c r="B54" s="843" t="inlineStr">
        <is>
          <t>Joel Vijayakumar</t>
        </is>
      </c>
      <c r="C54" s="842" t="n">
        <v>113381</v>
      </c>
      <c r="D54" s="843" t="inlineStr">
        <is>
          <t>Delivery Manager, Strategy, Architecture &amp; Data</t>
        </is>
      </c>
      <c r="E54" s="843" t="inlineStr">
        <is>
          <t>Matt Ashley</t>
        </is>
      </c>
      <c r="F54" s="843" t="inlineStr">
        <is>
          <t>GM TDD, Strategy, Architecture, Data</t>
        </is>
      </c>
      <c r="G54" s="844" t="inlineStr">
        <is>
          <t>Strategy, Architecture &amp; Data</t>
        </is>
      </c>
      <c r="H54" s="843" t="inlineStr">
        <is>
          <t>Delivery, SADA</t>
        </is>
      </c>
      <c r="I54" s="843" t="n"/>
      <c r="J54" s="843" t="n"/>
      <c r="K54" s="843" t="inlineStr">
        <is>
          <t>Leadership</t>
        </is>
      </c>
      <c r="L54" s="843" t="n"/>
      <c r="M54" s="843" t="n"/>
      <c r="N54" s="845" t="inlineStr">
        <is>
          <t>Australia</t>
        </is>
      </c>
      <c r="O54" s="846" t="inlineStr">
        <is>
          <t>CSC</t>
        </is>
      </c>
      <c r="P54" s="847" t="n">
        <v>1</v>
      </c>
      <c r="Q54" s="846" t="n"/>
      <c r="R54" s="847" t="inlineStr">
        <is>
          <t>Permanent - Full Time</t>
        </is>
      </c>
      <c r="S54" s="847" t="n"/>
      <c r="T54" s="847" t="n"/>
      <c r="U54" s="848" t="n">
        <v>260840</v>
      </c>
      <c r="V54" s="849" t="n">
        <v>260840</v>
      </c>
      <c r="W54" s="850" t="n">
        <v>0.2</v>
      </c>
      <c r="X54" s="847" t="n">
        <v>0.055</v>
      </c>
      <c r="Y54" s="850" t="n">
        <v>0.12</v>
      </c>
      <c r="Z54" s="851" t="n"/>
      <c r="AA54" s="850" t="n">
        <v>0.04</v>
      </c>
      <c r="AB54" s="852" t="n">
        <v>369088.6</v>
      </c>
      <c r="AE54" s="534">
        <f>IF(TRIM($B54)="","",IF(AND(N($P54)&gt;0,N($P54)&lt;1),N($AB54)*N($P54),N($AB54)))</f>
        <v>369088.6</v>
      </c>
      <c r="AF54" s="534" t="str">
        <f>IF(TRIM($B54)="","",IF(OR(ISNUMBER(SEARCH("vacant",$B54)),ISNUMBER(SEARCH("ring fenced",$B54)),LOWER(TRIM($B54))="remove"),"Vacant","Filled"))</f>
        <v>Filled</v>
      </c>
      <c r="AG54" s="534" t="b">
        <f>IF(TRIM($B54)="","",--ISNUMBER(SEARCH("ring fenced",$B54)))</f>
        <v>0</v>
      </c>
      <c r="AH54" s="534" t="str">
        <f>IF(TRIM($B54)="","",IF(COUNTIFS(Lists!$AN$2:$AN$22,TRIM($B54)&amp;" | "&amp;TRIM($D54),Lists!$AO$2:$AO$22,"&lt;&gt;"),INDEX(Lists!$AO$2:$AO$22,MATCH(TRIM($B54)&amp;" | "&amp;TRIM($D54),Lists!$AN$2:$AN$22,0)),IF(COUNTIF(Lists!$AR$2:$AR$3,$AJ54),"TDD Cyber",IF(AND(LEFT($AJ54,4)="EGI ",ISNUMBER(MATCH(TRIM(MID($AJ54,5,99)),Lists!$AS$2:$AS$12,0))),TRIM(MID($AJ54,5,99)),IF(AND(LEFT($AJ54,4)="EGI ",ISNUMBER(MATCH(TRIM(MID($AJ54,5,99)),Lists!$T$2:$T$21,0))),INDEX(Lists!$U$2:$U$21,MATCH(TRIM(MID($AJ54,5,99)),Lists!$T$2:$T$21,0)),IF(OR(TRIM($J54)="",UPPER(TRIM($J54))="NA"),IFERROR(INDEX(Lists!$R$2:$R$9,MATCH(TRIM($G54),Lists!$Q$2:$Q$9,0)),"UNMAPPED"),IFERROR(INDEX(Lists!$U$2:$U$21,MATCH(TRIM($J54),Lists!$T$2:$T$21,0)),IFERROR(INDEX(Lists!$R$2:$R$9,MATCH(TRIM($G54),Lists!$Q$2:$Q$9,0)),"UNMAPPED"))))))))</f>
        <v>COE SA&amp;D</v>
      </c>
      <c r="AI54" s="534" t="b">
        <f>IF(TRIM($B54)="","",--OR(TRIM($L54)="Leadership",TRIM($K54)="Leadership"))</f>
        <v>1</v>
      </c>
      <c r="AJ54" s="534" t="str">
        <f>IF(TRIM($B54)="","",IF(COUNTIFS(Lists!$AN$2:$AN$22,TRIM($B54)&amp;" | "&amp;TRIM($D54),Lists!$AP$2:$AP$22,"&lt;&gt;"),INDEX(Lists!$AP$2:$AP$22,MATCH(TRIM($B54)&amp;" | "&amp;TRIM($D54),Lists!$AN$2:$AN$22,0)),IF($AI54=1,"Leadership",IFERROR(INDEX(Lists!$X$2:$X$21,MATCH(TRIM($L54),Lists!$W$2:$W$21,0)),IF(OR(TRIM($L54)="",LOWER(TRIM($L54))="na"),IF(TRIM($H54)="","Unassigned",TRIM($H54)),TRIM($L54))))))</f>
        <v>Leadership</v>
      </c>
      <c r="AK54" s="534" t="str">
        <f>IF(TRIM($B54)="","",IF(COUNTIFS(Lists!$AN$2:$AN$22,TRIM($B54)&amp;" | "&amp;TRIM($D54),Lists!$AQ$2:$AQ$22,"&lt;&gt;"),INDEX(Lists!$AQ$2:$AQ$22,MATCH(TRIM($B54)&amp;" | "&amp;TRIM($D54),Lists!$AN$2:$AN$22,0)),IF(COUNTIF(Lists!$AF$2:$AF$8,$AJ54),$AJ54,IF(ISNUMBER(SEARCH("head of ",$D54)),"Head of Technology",IF(ISNUMBER(SEARCH("TDD BP",$D54)),"Business Partner",IF(OR(ISNUMBER(SEARCH("domain architect",$D54)),ISNUMBER(SEARCH("enterprise architect",$D54))),"Domain Architect",IF(ISNUMBER(SEARCH("delivery man",$D54)),"Delivery Manager",IF(OR(ISNUMBER(SEARCH("technology manager",$D54)),ISNUMBER(SEARCH("technology manger",$D54)),ISNUMBER(SEARCH("tech manager",$D54))),"Technology Manager","Squad"))))))))</f>
        <v>Delivery Manager</v>
      </c>
      <c r="AL54" s="534" t="str">
        <f>IF(TRIM($B54)="","",IF(AND($AM54=1,LEFT($AJ54,4)&lt;&gt;"EGI ",$AJ54&lt;&gt;"EGI"),IFERROR(INDEX(Lists!$Z$2:$Z$20,MATCH($AH54,Lists!$Y$2:$Y$20,0)),"EGI "&amp;$AH54),IF(COUNTIF(Lists!$AU$2:$AU$10,$AJ54),$AJ54,IF(OR(LEFT($AH54,3)="COE",$AH54="EGI"),$AJ54,IF($AK54&lt;&gt;"Squad",$AK54,$AJ54)))))</f>
        <v>Leadership</v>
      </c>
      <c r="AM54" s="534" t="b">
        <f>IF(TRIM($B54)="","",--(UPPER(TRIM($K54))="EGI"))</f>
        <v>0</v>
      </c>
      <c r="AQ54" s="841" t="inlineStr">
        <is>
          <t>R0053</t>
        </is>
      </c>
      <c r="AZ54" s="841" t="n"/>
    </row>
    <row r="55" ht="18" customHeight="1" s="535">
      <c r="A55" s="842" t="inlineStr">
        <is>
          <t>V</t>
        </is>
      </c>
      <c r="B55" s="843" t="inlineStr">
        <is>
          <t>Vacant</t>
        </is>
      </c>
      <c r="C55" s="842" t="inlineStr">
        <is>
          <t>V</t>
        </is>
      </c>
      <c r="D55" s="843" t="inlineStr">
        <is>
          <t>Head of Architecture</t>
        </is>
      </c>
      <c r="E55" s="843" t="inlineStr">
        <is>
          <t>Matt Ashley</t>
        </is>
      </c>
      <c r="F55" s="843" t="inlineStr">
        <is>
          <t>GM TDD, Strategy, Architecture, Data</t>
        </is>
      </c>
      <c r="G55" s="844" t="inlineStr">
        <is>
          <t>Strategy, Architecture &amp; Data</t>
        </is>
      </c>
      <c r="H55" s="843" t="inlineStr">
        <is>
          <t>Architecture</t>
        </is>
      </c>
      <c r="I55" s="843" t="inlineStr">
        <is>
          <t>Architecture</t>
        </is>
      </c>
      <c r="J55" s="843" t="n"/>
      <c r="K55" s="843" t="inlineStr">
        <is>
          <t>Leadership</t>
        </is>
      </c>
      <c r="L55" s="843" t="n"/>
      <c r="M55" s="843" t="n"/>
      <c r="N55" s="845" t="inlineStr">
        <is>
          <t>Australia</t>
        </is>
      </c>
      <c r="O55" s="846" t="inlineStr">
        <is>
          <t>CSC</t>
        </is>
      </c>
      <c r="P55" s="847" t="n">
        <v>1</v>
      </c>
      <c r="Q55" s="847" t="n"/>
      <c r="R55" s="847" t="inlineStr">
        <is>
          <t>v</t>
        </is>
      </c>
      <c r="S55" s="847" t="n"/>
      <c r="T55" s="847" t="n"/>
      <c r="U55" s="848" t="n">
        <v>236730</v>
      </c>
      <c r="V55" s="849" t="n">
        <v>236730</v>
      </c>
      <c r="W55" s="850" t="n">
        <v>0.2</v>
      </c>
      <c r="X55" s="847" t="n">
        <v>0.055</v>
      </c>
      <c r="Y55" s="850" t="n">
        <v>0.12</v>
      </c>
      <c r="Z55" s="851" t="n"/>
      <c r="AA55" s="850" t="n">
        <v>0.04</v>
      </c>
      <c r="AB55" s="852" t="n">
        <v>334972.95</v>
      </c>
      <c r="AE55" s="534">
        <f>IF(TRIM($B55)="","",IF(AND(N($P55)&gt;0,N($P55)&lt;1),N($AB55)*N($P55),N($AB55)))</f>
        <v>334972.95</v>
      </c>
      <c r="AF55" s="534" t="str">
        <f>IF(TRIM($B55)="","",IF(OR(ISNUMBER(SEARCH("vacant",$B55)),ISNUMBER(SEARCH("ring fenced",$B55)),LOWER(TRIM($B55))="remove"),"Vacant","Filled"))</f>
        <v>Vacant</v>
      </c>
      <c r="AG55" s="534" t="b">
        <f>IF(TRIM($B55)="","",--ISNUMBER(SEARCH("ring fenced",$B55)))</f>
        <v>0</v>
      </c>
      <c r="AH55" s="534" t="str">
        <f>IF(TRIM($B55)="","",IF(COUNTIFS(Lists!$AN$2:$AN$22,TRIM($B55)&amp;" | "&amp;TRIM($D55),Lists!$AO$2:$AO$22,"&lt;&gt;"),INDEX(Lists!$AO$2:$AO$22,MATCH(TRIM($B55)&amp;" | "&amp;TRIM($D55),Lists!$AN$2:$AN$22,0)),IF(COUNTIF(Lists!$AR$2:$AR$3,$AJ55),"TDD Cyber",IF(AND(LEFT($AJ55,4)="EGI ",ISNUMBER(MATCH(TRIM(MID($AJ55,5,99)),Lists!$AS$2:$AS$12,0))),TRIM(MID($AJ55,5,99)),IF(AND(LEFT($AJ55,4)="EGI ",ISNUMBER(MATCH(TRIM(MID($AJ55,5,99)),Lists!$T$2:$T$21,0))),INDEX(Lists!$U$2:$U$21,MATCH(TRIM(MID($AJ55,5,99)),Lists!$T$2:$T$21,0)),IF(OR(TRIM($J55)="",UPPER(TRIM($J55))="NA"),IFERROR(INDEX(Lists!$R$2:$R$9,MATCH(TRIM($G55),Lists!$Q$2:$Q$9,0)),"UNMAPPED"),IFERROR(INDEX(Lists!$U$2:$U$21,MATCH(TRIM($J55),Lists!$T$2:$T$21,0)),IFERROR(INDEX(Lists!$R$2:$R$9,MATCH(TRIM($G55),Lists!$Q$2:$Q$9,0)),"UNMAPPED"))))))))</f>
        <v>COE SA&amp;D</v>
      </c>
      <c r="AI55" s="534" t="b">
        <f>IF(TRIM($B55)="","",--OR(TRIM($L55)="Leadership",TRIM($K55)="Leadership"))</f>
        <v>1</v>
      </c>
      <c r="AJ55" s="534" t="str">
        <f>IF(TRIM($B55)="","",IF(COUNTIFS(Lists!$AN$2:$AN$22,TRIM($B55)&amp;" | "&amp;TRIM($D55),Lists!$AP$2:$AP$22,"&lt;&gt;"),INDEX(Lists!$AP$2:$AP$22,MATCH(TRIM($B55)&amp;" | "&amp;TRIM($D55),Lists!$AN$2:$AN$22,0)),IF($AI55=1,"Leadership",IFERROR(INDEX(Lists!$X$2:$X$21,MATCH(TRIM($L55),Lists!$W$2:$W$21,0)),IF(OR(TRIM($L55)="",LOWER(TRIM($L55))="na"),IF(TRIM($H55)="","Unassigned",TRIM($H55)),TRIM($L55))))))</f>
        <v>Leadership</v>
      </c>
      <c r="AK55" s="534" t="str">
        <f>IF(TRIM($B55)="","",IF(COUNTIFS(Lists!$AN$2:$AN$22,TRIM($B55)&amp;" | "&amp;TRIM($D55),Lists!$AQ$2:$AQ$22,"&lt;&gt;"),INDEX(Lists!$AQ$2:$AQ$22,MATCH(TRIM($B55)&amp;" | "&amp;TRIM($D55),Lists!$AN$2:$AN$22,0)),IF(COUNTIF(Lists!$AF$2:$AF$8,$AJ55),$AJ55,IF(ISNUMBER(SEARCH("head of ",$D55)),"Head of Technology",IF(ISNUMBER(SEARCH("TDD BP",$D55)),"Business Partner",IF(OR(ISNUMBER(SEARCH("domain architect",$D55)),ISNUMBER(SEARCH("enterprise architect",$D55))),"Domain Architect",IF(ISNUMBER(SEARCH("delivery man",$D55)),"Delivery Manager",IF(OR(ISNUMBER(SEARCH("technology manager",$D55)),ISNUMBER(SEARCH("technology manger",$D55)),ISNUMBER(SEARCH("tech manager",$D55))),"Technology Manager","Squad"))))))))</f>
        <v>Head of Technology</v>
      </c>
      <c r="AL55" s="534" t="str">
        <f>IF(TRIM($B55)="","",IF(AND($AM55=1,LEFT($AJ55,4)&lt;&gt;"EGI ",$AJ55&lt;&gt;"EGI"),IFERROR(INDEX(Lists!$Z$2:$Z$20,MATCH($AH55,Lists!$Y$2:$Y$20,0)),"EGI "&amp;$AH55),IF(COUNTIF(Lists!$AU$2:$AU$10,$AJ55),$AJ55,IF(OR(LEFT($AH55,3)="COE",$AH55="EGI"),$AJ55,IF($AK55&lt;&gt;"Squad",$AK55,$AJ55)))))</f>
        <v>Leadership</v>
      </c>
      <c r="AM55" s="534" t="b">
        <f>IF(TRIM($B55)="","",--(UPPER(TRIM($K55))="EGI"))</f>
        <v>0</v>
      </c>
      <c r="AQ55" s="841" t="inlineStr">
        <is>
          <t>R0054</t>
        </is>
      </c>
      <c r="AZ55" s="841" t="n"/>
    </row>
    <row r="56" ht="18" customHeight="1" s="535">
      <c r="A56" s="842" t="inlineStr">
        <is>
          <t>V</t>
        </is>
      </c>
      <c r="B56" s="843" t="inlineStr">
        <is>
          <t>Vacant</t>
        </is>
      </c>
      <c r="C56" s="842" t="inlineStr">
        <is>
          <t>V</t>
        </is>
      </c>
      <c r="D56" s="843" t="inlineStr">
        <is>
          <t>Head of Technology Strategy &amp; AI Capability</t>
        </is>
      </c>
      <c r="E56" s="843" t="inlineStr">
        <is>
          <t>Matt Ashley</t>
        </is>
      </c>
      <c r="F56" s="843" t="inlineStr">
        <is>
          <t>GM TDD, Strategy, Architecture, Data</t>
        </is>
      </c>
      <c r="G56" s="844" t="inlineStr">
        <is>
          <t>Strategy, Architecture &amp; Data</t>
        </is>
      </c>
      <c r="H56" s="843" t="inlineStr">
        <is>
          <t>Technology Strategy &amp; AI Capability</t>
        </is>
      </c>
      <c r="I56" s="843" t="inlineStr">
        <is>
          <t>Technology Strategy &amp; AI Capability</t>
        </is>
      </c>
      <c r="J56" s="843" t="n"/>
      <c r="K56" s="843" t="inlineStr">
        <is>
          <t>Leadership</t>
        </is>
      </c>
      <c r="L56" s="843" t="n"/>
      <c r="M56" s="843" t="n"/>
      <c r="N56" s="845" t="inlineStr">
        <is>
          <t>Australia</t>
        </is>
      </c>
      <c r="O56" s="846" t="inlineStr">
        <is>
          <t>CSC</t>
        </is>
      </c>
      <c r="P56" s="847" t="n">
        <v>1</v>
      </c>
      <c r="Q56" s="846" t="n"/>
      <c r="R56" s="847" t="inlineStr">
        <is>
          <t>v</t>
        </is>
      </c>
      <c r="S56" s="847" t="n"/>
      <c r="T56" s="847" t="n"/>
      <c r="U56" s="848" t="n">
        <v>235350</v>
      </c>
      <c r="V56" s="849" t="n">
        <v>235350</v>
      </c>
      <c r="W56" s="850" t="n">
        <v>0.2</v>
      </c>
      <c r="X56" s="847" t="n">
        <v>0.055</v>
      </c>
      <c r="Y56" s="850" t="n">
        <v>0.12</v>
      </c>
      <c r="Z56" s="851" t="n"/>
      <c r="AA56" s="850" t="n">
        <v>0.04</v>
      </c>
      <c r="AB56" s="852" t="n">
        <v>333020.25</v>
      </c>
      <c r="AE56" s="534">
        <f>IF(TRIM($B56)="","",IF(AND(N($P56)&gt;0,N($P56)&lt;1),N($AB56)*N($P56),N($AB56)))</f>
        <v>333020.25</v>
      </c>
      <c r="AF56" s="534" t="str">
        <f>IF(TRIM($B56)="","",IF(OR(ISNUMBER(SEARCH("vacant",$B56)),ISNUMBER(SEARCH("ring fenced",$B56)),LOWER(TRIM($B56))="remove"),"Vacant","Filled"))</f>
        <v>Vacant</v>
      </c>
      <c r="AG56" s="534" t="b">
        <f>IF(TRIM($B56)="","",--ISNUMBER(SEARCH("ring fenced",$B56)))</f>
        <v>0</v>
      </c>
      <c r="AH56" s="534" t="str">
        <f>IF(TRIM($B56)="","",IF(COUNTIFS(Lists!$AN$2:$AN$22,TRIM($B56)&amp;" | "&amp;TRIM($D56),Lists!$AO$2:$AO$22,"&lt;&gt;"),INDEX(Lists!$AO$2:$AO$22,MATCH(TRIM($B56)&amp;" | "&amp;TRIM($D56),Lists!$AN$2:$AN$22,0)),IF(COUNTIF(Lists!$AR$2:$AR$3,$AJ56),"TDD Cyber",IF(AND(LEFT($AJ56,4)="EGI ",ISNUMBER(MATCH(TRIM(MID($AJ56,5,99)),Lists!$AS$2:$AS$12,0))),TRIM(MID($AJ56,5,99)),IF(AND(LEFT($AJ56,4)="EGI ",ISNUMBER(MATCH(TRIM(MID($AJ56,5,99)),Lists!$T$2:$T$21,0))),INDEX(Lists!$U$2:$U$21,MATCH(TRIM(MID($AJ56,5,99)),Lists!$T$2:$T$21,0)),IF(OR(TRIM($J56)="",UPPER(TRIM($J56))="NA"),IFERROR(INDEX(Lists!$R$2:$R$9,MATCH(TRIM($G56),Lists!$Q$2:$Q$9,0)),"UNMAPPED"),IFERROR(INDEX(Lists!$U$2:$U$21,MATCH(TRIM($J56),Lists!$T$2:$T$21,0)),IFERROR(INDEX(Lists!$R$2:$R$9,MATCH(TRIM($G56),Lists!$Q$2:$Q$9,0)),"UNMAPPED"))))))))</f>
        <v>COE SA&amp;D</v>
      </c>
      <c r="AI56" s="534" t="b">
        <f>IF(TRIM($B56)="","",--OR(TRIM($L56)="Leadership",TRIM($K56)="Leadership"))</f>
        <v>1</v>
      </c>
      <c r="AJ56" s="534" t="str">
        <f>IF(TRIM($B56)="","",IF(COUNTIFS(Lists!$AN$2:$AN$22,TRIM($B56)&amp;" | "&amp;TRIM($D56),Lists!$AP$2:$AP$22,"&lt;&gt;"),INDEX(Lists!$AP$2:$AP$22,MATCH(TRIM($B56)&amp;" | "&amp;TRIM($D56),Lists!$AN$2:$AN$22,0)),IF($AI56=1,"Leadership",IFERROR(INDEX(Lists!$X$2:$X$21,MATCH(TRIM($L56),Lists!$W$2:$W$21,0)),IF(OR(TRIM($L56)="",LOWER(TRIM($L56))="na"),IF(TRIM($H56)="","Unassigned",TRIM($H56)),TRIM($L56))))))</f>
        <v>Leadership</v>
      </c>
      <c r="AK56" s="534" t="str">
        <f>IF(TRIM($B56)="","",IF(COUNTIFS(Lists!$AN$2:$AN$22,TRIM($B56)&amp;" | "&amp;TRIM($D56),Lists!$AQ$2:$AQ$22,"&lt;&gt;"),INDEX(Lists!$AQ$2:$AQ$22,MATCH(TRIM($B56)&amp;" | "&amp;TRIM($D56),Lists!$AN$2:$AN$22,0)),IF(COUNTIF(Lists!$AF$2:$AF$8,$AJ56),$AJ56,IF(ISNUMBER(SEARCH("head of ",$D56)),"Head of Technology",IF(ISNUMBER(SEARCH("TDD BP",$D56)),"Business Partner",IF(OR(ISNUMBER(SEARCH("domain architect",$D56)),ISNUMBER(SEARCH("enterprise architect",$D56))),"Domain Architect",IF(ISNUMBER(SEARCH("delivery man",$D56)),"Delivery Manager",IF(OR(ISNUMBER(SEARCH("technology manager",$D56)),ISNUMBER(SEARCH("technology manger",$D56)),ISNUMBER(SEARCH("tech manager",$D56))),"Technology Manager","Squad"))))))))</f>
        <v>Head of Technology</v>
      </c>
      <c r="AL56" s="534" t="str">
        <f>IF(TRIM($B56)="","",IF(AND($AM56=1,LEFT($AJ56,4)&lt;&gt;"EGI ",$AJ56&lt;&gt;"EGI"),IFERROR(INDEX(Lists!$Z$2:$Z$20,MATCH($AH56,Lists!$Y$2:$Y$20,0)),"EGI "&amp;$AH56),IF(COUNTIF(Lists!$AU$2:$AU$10,$AJ56),$AJ56,IF(OR(LEFT($AH56,3)="COE",$AH56="EGI"),$AJ56,IF($AK56&lt;&gt;"Squad",$AK56,$AJ56)))))</f>
        <v>Leadership</v>
      </c>
      <c r="AM56" s="534" t="b">
        <f>IF(TRIM($B56)="","",--(UPPER(TRIM($K56))="EGI"))</f>
        <v>0</v>
      </c>
      <c r="AQ56" s="841" t="inlineStr">
        <is>
          <t>R0055</t>
        </is>
      </c>
      <c r="AZ56" s="841" t="n"/>
    </row>
    <row r="57" ht="18" customHeight="1" s="535">
      <c r="A57" s="842" t="n">
        <v>102411</v>
      </c>
      <c r="B57" s="843" t="inlineStr">
        <is>
          <t>Conli Mills</t>
        </is>
      </c>
      <c r="C57" s="842" t="n">
        <v>102411</v>
      </c>
      <c r="D57" s="843" t="inlineStr">
        <is>
          <t>TDD BP - Infrastructure</t>
        </is>
      </c>
      <c r="E57" s="843" t="inlineStr">
        <is>
          <t>Michael Schofield</t>
        </is>
      </c>
      <c r="F57" s="843" t="inlineStr">
        <is>
          <t>GM TDD, Partnering &amp; Transformation</t>
        </is>
      </c>
      <c r="G57" s="844" t="inlineStr">
        <is>
          <t>Partnering &amp; Transformation</t>
        </is>
      </c>
      <c r="H57" s="843" t="inlineStr">
        <is>
          <t>TDD Business Partner</t>
        </is>
      </c>
      <c r="I57" s="843" t="inlineStr">
        <is>
          <t>NA</t>
        </is>
      </c>
      <c r="J57" s="843" t="inlineStr">
        <is>
          <t>NA</t>
        </is>
      </c>
      <c r="K57" s="843" t="inlineStr">
        <is>
          <t>NA</t>
        </is>
      </c>
      <c r="L57" s="843" t="inlineStr">
        <is>
          <t>NA</t>
        </is>
      </c>
      <c r="M57" s="843" t="n"/>
      <c r="N57" s="845" t="inlineStr">
        <is>
          <t>Australia</t>
        </is>
      </c>
      <c r="O57" s="846" t="inlineStr">
        <is>
          <t>CSC</t>
        </is>
      </c>
      <c r="P57" s="847" t="n">
        <v>1</v>
      </c>
      <c r="Q57" s="847" t="n"/>
      <c r="R57" s="847" t="inlineStr">
        <is>
          <t>Permanent - Full Time</t>
        </is>
      </c>
      <c r="S57" s="847" t="n"/>
      <c r="T57" s="847" t="n"/>
      <c r="U57" s="848" t="n">
        <v>210000</v>
      </c>
      <c r="V57" s="849" t="n">
        <v>210000</v>
      </c>
      <c r="W57" s="850" t="n">
        <v>0.2</v>
      </c>
      <c r="X57" s="847" t="n">
        <v>0.055</v>
      </c>
      <c r="Y57" s="850" t="n">
        <v>0.12</v>
      </c>
      <c r="Z57" s="851" t="n"/>
      <c r="AA57" s="850" t="n">
        <v>0.04</v>
      </c>
      <c r="AB57" s="852" t="n">
        <v>297150</v>
      </c>
      <c r="AE57" s="534">
        <f>IF(TRIM($B57)="","",IF(AND(N($P57)&gt;0,N($P57)&lt;1),N($AB57)*N($P57),N($AB57)))</f>
        <v>297150</v>
      </c>
      <c r="AF57" s="534" t="str">
        <f>IF(TRIM($B57)="","",IF(OR(ISNUMBER(SEARCH("vacant",$B57)),ISNUMBER(SEARCH("ring fenced",$B57)),LOWER(TRIM($B57))="remove"),"Vacant","Filled"))</f>
        <v>Filled</v>
      </c>
      <c r="AG57" s="534" t="b">
        <f>IF(TRIM($B57)="","",--ISNUMBER(SEARCH("ring fenced",$B57)))</f>
        <v>0</v>
      </c>
      <c r="AH57" s="534" t="str">
        <f>IF(TRIM($B57)="","",IF(COUNTIFS(Lists!$AN$2:$AN$22,TRIM($B57)&amp;" | "&amp;TRIM($D57),Lists!$AO$2:$AO$22,"&lt;&gt;"),INDEX(Lists!$AO$2:$AO$22,MATCH(TRIM($B57)&amp;" | "&amp;TRIM($D57),Lists!$AN$2:$AN$22,0)),IF(COUNTIF(Lists!$AR$2:$AR$3,$AJ57),"TDD Cyber",IF(AND(LEFT($AJ57,4)="EGI ",ISNUMBER(MATCH(TRIM(MID($AJ57,5,99)),Lists!$AS$2:$AS$12,0))),TRIM(MID($AJ57,5,99)),IF(AND(LEFT($AJ57,4)="EGI ",ISNUMBER(MATCH(TRIM(MID($AJ57,5,99)),Lists!$T$2:$T$21,0))),INDEX(Lists!$U$2:$U$21,MATCH(TRIM(MID($AJ57,5,99)),Lists!$T$2:$T$21,0)),IF(OR(TRIM($J57)="",UPPER(TRIM($J57))="NA"),IFERROR(INDEX(Lists!$R$2:$R$9,MATCH(TRIM($G57),Lists!$Q$2:$Q$9,0)),"UNMAPPED"),IFERROR(INDEX(Lists!$U$2:$U$21,MATCH(TRIM($J57),Lists!$T$2:$T$21,0)),IFERROR(INDEX(Lists!$R$2:$R$9,MATCH(TRIM($G57),Lists!$Q$2:$Q$9,0)),"UNMAPPED"))))))))</f>
        <v>COE BP&amp;T</v>
      </c>
      <c r="AI57" s="534" t="b">
        <f>IF(TRIM($B57)="","",--OR(TRIM($L57)="Leadership",TRIM($K57)="Leadership"))</f>
        <v>0</v>
      </c>
      <c r="AJ57" s="534" t="str">
        <f>IF(TRIM($B57)="","",IF(COUNTIFS(Lists!$AN$2:$AN$22,TRIM($B57)&amp;" | "&amp;TRIM($D57),Lists!$AP$2:$AP$22,"&lt;&gt;"),INDEX(Lists!$AP$2:$AP$22,MATCH(TRIM($B57)&amp;" | "&amp;TRIM($D57),Lists!$AN$2:$AN$22,0)),IF($AI57=1,"Leadership",IFERROR(INDEX(Lists!$X$2:$X$21,MATCH(TRIM($L57),Lists!$W$2:$W$21,0)),IF(OR(TRIM($L57)="",LOWER(TRIM($L57))="na"),IF(TRIM($H57)="","Unassigned",TRIM($H57)),TRIM($L57))))))</f>
        <v>TDD Business Partner</v>
      </c>
      <c r="AK57" s="534" t="str">
        <f>IF(TRIM($B57)="","",IF(COUNTIFS(Lists!$AN$2:$AN$22,TRIM($B57)&amp;" | "&amp;TRIM($D57),Lists!$AQ$2:$AQ$22,"&lt;&gt;"),INDEX(Lists!$AQ$2:$AQ$22,MATCH(TRIM($B57)&amp;" | "&amp;TRIM($D57),Lists!$AN$2:$AN$22,0)),IF(COUNTIF(Lists!$AF$2:$AF$8,$AJ57),$AJ57,IF(ISNUMBER(SEARCH("head of ",$D57)),"Head of Technology",IF(ISNUMBER(SEARCH("TDD BP",$D57)),"Business Partner",IF(OR(ISNUMBER(SEARCH("domain architect",$D57)),ISNUMBER(SEARCH("enterprise architect",$D57))),"Domain Architect",IF(ISNUMBER(SEARCH("delivery man",$D57)),"Delivery Manager",IF(OR(ISNUMBER(SEARCH("technology manager",$D57)),ISNUMBER(SEARCH("technology manger",$D57)),ISNUMBER(SEARCH("tech manager",$D57))),"Technology Manager","Squad"))))))))</f>
        <v>Business Partner</v>
      </c>
      <c r="AL57" s="534" t="str">
        <f>IF(TRIM($B57)="","",IF(AND($AM57=1,LEFT($AJ57,4)&lt;&gt;"EGI ",$AJ57&lt;&gt;"EGI"),IFERROR(INDEX(Lists!$Z$2:$Z$20,MATCH($AH57,Lists!$Y$2:$Y$20,0)),"EGI "&amp;$AH57),IF(COUNTIF(Lists!$AU$2:$AU$10,$AJ57),$AJ57,IF(OR(LEFT($AH57,3)="COE",$AH57="EGI"),$AJ57,IF($AK57&lt;&gt;"Squad",$AK57,$AJ57)))))</f>
        <v>TDD Business Partner</v>
      </c>
      <c r="AM57" s="534" t="b">
        <f>IF(TRIM($B57)="","",--(UPPER(TRIM($K57))="EGI"))</f>
        <v>0</v>
      </c>
      <c r="AQ57" s="841" t="inlineStr">
        <is>
          <t>R0056</t>
        </is>
      </c>
      <c r="AZ57" s="841" t="n"/>
    </row>
    <row r="58" ht="18" customHeight="1" s="535">
      <c r="A58" s="842" t="n">
        <v>116540</v>
      </c>
      <c r="B58" s="843" t="inlineStr">
        <is>
          <t>Neil Reilly</t>
        </is>
      </c>
      <c r="C58" s="842" t="n">
        <v>116540</v>
      </c>
      <c r="D58" s="843" t="inlineStr">
        <is>
          <t>TDD BP - T&amp;S</t>
        </is>
      </c>
      <c r="E58" s="843" t="inlineStr">
        <is>
          <t>Michael Schofield</t>
        </is>
      </c>
      <c r="F58" s="843" t="inlineStr">
        <is>
          <t>GM TDD, Partnering &amp; Transformation</t>
        </is>
      </c>
      <c r="G58" s="844" t="inlineStr">
        <is>
          <t>Partnering &amp; Transformation</t>
        </is>
      </c>
      <c r="H58" s="843" t="inlineStr">
        <is>
          <t>TDD Business Partner</t>
        </is>
      </c>
      <c r="I58" s="843" t="inlineStr">
        <is>
          <t>NA</t>
        </is>
      </c>
      <c r="J58" s="843" t="inlineStr">
        <is>
          <t>NA</t>
        </is>
      </c>
      <c r="K58" s="843" t="inlineStr">
        <is>
          <t>NA</t>
        </is>
      </c>
      <c r="L58" s="843" t="inlineStr">
        <is>
          <t>NA</t>
        </is>
      </c>
      <c r="M58" s="843" t="n"/>
      <c r="N58" s="845" t="inlineStr">
        <is>
          <t>Singapore</t>
        </is>
      </c>
      <c r="O58" s="846" t="inlineStr">
        <is>
          <t>CSC</t>
        </is>
      </c>
      <c r="P58" s="847" t="n">
        <v>1</v>
      </c>
      <c r="Q58" s="846" t="n"/>
      <c r="R58" s="847" t="inlineStr">
        <is>
          <t>Permanent - Full Time</t>
        </is>
      </c>
      <c r="S58" s="847" t="n"/>
      <c r="T58" s="847" t="n"/>
      <c r="U58" s="848" t="n">
        <v>350000</v>
      </c>
      <c r="V58" s="849" t="n">
        <v>423500</v>
      </c>
      <c r="W58" s="850" t="n">
        <v>0.35</v>
      </c>
      <c r="X58" s="847" t="n"/>
      <c r="Y58" s="850" t="n">
        <v>0.17</v>
      </c>
      <c r="Z58" s="851" t="n">
        <v>3310</v>
      </c>
      <c r="AA58" s="850" t="n">
        <v>0.045</v>
      </c>
      <c r="AB58" s="852" t="n">
        <v>666087.5</v>
      </c>
      <c r="AE58" s="534">
        <f>IF(TRIM($B58)="","",IF(AND(N($P58)&gt;0,N($P58)&lt;1),N($AB58)*N($P58),N($AB58)))</f>
        <v>666087.5</v>
      </c>
      <c r="AF58" s="534" t="str">
        <f>IF(TRIM($B58)="","",IF(OR(ISNUMBER(SEARCH("vacant",$B58)),ISNUMBER(SEARCH("ring fenced",$B58)),LOWER(TRIM($B58))="remove"),"Vacant","Filled"))</f>
        <v>Filled</v>
      </c>
      <c r="AG58" s="534" t="b">
        <f>IF(TRIM($B58)="","",--ISNUMBER(SEARCH("ring fenced",$B58)))</f>
        <v>0</v>
      </c>
      <c r="AH58" s="534" t="str">
        <f>IF(TRIM($B58)="","",IF(COUNTIFS(Lists!$AN$2:$AN$22,TRIM($B58)&amp;" | "&amp;TRIM($D58),Lists!$AO$2:$AO$22,"&lt;&gt;"),INDEX(Lists!$AO$2:$AO$22,MATCH(TRIM($B58)&amp;" | "&amp;TRIM($D58),Lists!$AN$2:$AN$22,0)),IF(COUNTIF(Lists!$AR$2:$AR$3,$AJ58),"TDD Cyber",IF(AND(LEFT($AJ58,4)="EGI ",ISNUMBER(MATCH(TRIM(MID($AJ58,5,99)),Lists!$AS$2:$AS$12,0))),TRIM(MID($AJ58,5,99)),IF(AND(LEFT($AJ58,4)="EGI ",ISNUMBER(MATCH(TRIM(MID($AJ58,5,99)),Lists!$T$2:$T$21,0))),INDEX(Lists!$U$2:$U$21,MATCH(TRIM(MID($AJ58,5,99)),Lists!$T$2:$T$21,0)),IF(OR(TRIM($J58)="",UPPER(TRIM($J58))="NA"),IFERROR(INDEX(Lists!$R$2:$R$9,MATCH(TRIM($G58),Lists!$Q$2:$Q$9,0)),"UNMAPPED"),IFERROR(INDEX(Lists!$U$2:$U$21,MATCH(TRIM($J58),Lists!$T$2:$T$21,0)),IFERROR(INDEX(Lists!$R$2:$R$9,MATCH(TRIM($G58),Lists!$Q$2:$Q$9,0)),"UNMAPPED"))))))))</f>
        <v>COE BP&amp;T</v>
      </c>
      <c r="AI58" s="534" t="b">
        <f>IF(TRIM($B58)="","",--OR(TRIM($L58)="Leadership",TRIM($K58)="Leadership"))</f>
        <v>0</v>
      </c>
      <c r="AJ58" s="534" t="str">
        <f>IF(TRIM($B58)="","",IF(COUNTIFS(Lists!$AN$2:$AN$22,TRIM($B58)&amp;" | "&amp;TRIM($D58),Lists!$AP$2:$AP$22,"&lt;&gt;"),INDEX(Lists!$AP$2:$AP$22,MATCH(TRIM($B58)&amp;" | "&amp;TRIM($D58),Lists!$AN$2:$AN$22,0)),IF($AI58=1,"Leadership",IFERROR(INDEX(Lists!$X$2:$X$21,MATCH(TRIM($L58),Lists!$W$2:$W$21,0)),IF(OR(TRIM($L58)="",LOWER(TRIM($L58))="na"),IF(TRIM($H58)="","Unassigned",TRIM($H58)),TRIM($L58))))))</f>
        <v>TDD Business Partner</v>
      </c>
      <c r="AK58" s="534" t="str">
        <f>IF(TRIM($B58)="","",IF(COUNTIFS(Lists!$AN$2:$AN$22,TRIM($B58)&amp;" | "&amp;TRIM($D58),Lists!$AQ$2:$AQ$22,"&lt;&gt;"),INDEX(Lists!$AQ$2:$AQ$22,MATCH(TRIM($B58)&amp;" | "&amp;TRIM($D58),Lists!$AN$2:$AN$22,0)),IF(COUNTIF(Lists!$AF$2:$AF$8,$AJ58),$AJ58,IF(ISNUMBER(SEARCH("head of ",$D58)),"Head of Technology",IF(ISNUMBER(SEARCH("TDD BP",$D58)),"Business Partner",IF(OR(ISNUMBER(SEARCH("domain architect",$D58)),ISNUMBER(SEARCH("enterprise architect",$D58))),"Domain Architect",IF(ISNUMBER(SEARCH("delivery man",$D58)),"Delivery Manager",IF(OR(ISNUMBER(SEARCH("technology manager",$D58)),ISNUMBER(SEARCH("technology manger",$D58)),ISNUMBER(SEARCH("tech manager",$D58))),"Technology Manager","Squad"))))))))</f>
        <v>Business Partner</v>
      </c>
      <c r="AL58" s="534" t="str">
        <f>IF(TRIM($B58)="","",IF(AND($AM58=1,LEFT($AJ58,4)&lt;&gt;"EGI ",$AJ58&lt;&gt;"EGI"),IFERROR(INDEX(Lists!$Z$2:$Z$20,MATCH($AH58,Lists!$Y$2:$Y$20,0)),"EGI "&amp;$AH58),IF(COUNTIF(Lists!$AU$2:$AU$10,$AJ58),$AJ58,IF(OR(LEFT($AH58,3)="COE",$AH58="EGI"),$AJ58,IF($AK58&lt;&gt;"Squad",$AK58,$AJ58)))))</f>
        <v>TDD Business Partner</v>
      </c>
      <c r="AM58" s="534" t="b">
        <f>IF(TRIM($B58)="","",--(UPPER(TRIM($K58))="EGI"))</f>
        <v>0</v>
      </c>
      <c r="AQ58" s="841" t="inlineStr">
        <is>
          <t>R0057</t>
        </is>
      </c>
      <c r="AZ58" s="841" t="n"/>
    </row>
    <row r="59" ht="18" customHeight="1" s="535">
      <c r="A59" s="842" t="n">
        <v>116452</v>
      </c>
      <c r="B59" s="843" t="inlineStr">
        <is>
          <t>Shelley Crawford</t>
        </is>
      </c>
      <c r="C59" s="842" t="n">
        <v>116452</v>
      </c>
      <c r="D59" s="843" t="inlineStr">
        <is>
          <t>TDD BP - Z</t>
        </is>
      </c>
      <c r="E59" s="843" t="inlineStr">
        <is>
          <t>Michael Schofield</t>
        </is>
      </c>
      <c r="F59" s="843" t="inlineStr">
        <is>
          <t>GM TDD, Partnering &amp; Transformation</t>
        </is>
      </c>
      <c r="G59" s="844" t="inlineStr">
        <is>
          <t>Partnering &amp; Transformation</t>
        </is>
      </c>
      <c r="H59" s="843" t="inlineStr">
        <is>
          <t>TDD Business Partner</t>
        </is>
      </c>
      <c r="I59" s="843" t="inlineStr">
        <is>
          <t>NA</t>
        </is>
      </c>
      <c r="J59" s="843" t="inlineStr">
        <is>
          <t>NA</t>
        </is>
      </c>
      <c r="K59" s="843" t="inlineStr">
        <is>
          <t>NA</t>
        </is>
      </c>
      <c r="L59" s="843" t="inlineStr">
        <is>
          <t>NA</t>
        </is>
      </c>
      <c r="M59" s="843" t="n"/>
      <c r="N59" s="845" t="inlineStr">
        <is>
          <t>NZ</t>
        </is>
      </c>
      <c r="O59" s="846" t="inlineStr">
        <is>
          <t>CSC</t>
        </is>
      </c>
      <c r="P59" s="847" t="n">
        <v>1</v>
      </c>
      <c r="Q59" s="846" t="n"/>
      <c r="R59" s="847" t="inlineStr">
        <is>
          <t>Permanent - Full Time</t>
        </is>
      </c>
      <c r="S59" s="847" t="n"/>
      <c r="T59" s="847" t="n"/>
      <c r="U59" s="848" t="n">
        <v>245000</v>
      </c>
      <c r="V59" s="849" t="n">
        <v>225400</v>
      </c>
      <c r="W59" s="850" t="n">
        <v>0.2</v>
      </c>
      <c r="X59" s="847" t="n"/>
      <c r="Y59" s="850" t="n">
        <v>0.05</v>
      </c>
      <c r="Z59" s="851" t="n">
        <v>2910</v>
      </c>
      <c r="AA59" s="850" t="n">
        <v>0.03</v>
      </c>
      <c r="AB59" s="852" t="n">
        <v>291422</v>
      </c>
      <c r="AE59" s="534">
        <f>IF(TRIM($B59)="","",IF(AND(N($P59)&gt;0,N($P59)&lt;1),N($AB59)*N($P59),N($AB59)))</f>
        <v>291422</v>
      </c>
      <c r="AF59" s="534" t="str">
        <f>IF(TRIM($B59)="","",IF(OR(ISNUMBER(SEARCH("vacant",$B59)),ISNUMBER(SEARCH("ring fenced",$B59)),LOWER(TRIM($B59))="remove"),"Vacant","Filled"))</f>
        <v>Filled</v>
      </c>
      <c r="AG59" s="534" t="b">
        <f>IF(TRIM($B59)="","",--ISNUMBER(SEARCH("ring fenced",$B59)))</f>
        <v>0</v>
      </c>
      <c r="AH59" s="534" t="str">
        <f>IF(TRIM($B59)="","",IF(COUNTIFS(Lists!$AN$2:$AN$22,TRIM($B59)&amp;" | "&amp;TRIM($D59),Lists!$AO$2:$AO$22,"&lt;&gt;"),INDEX(Lists!$AO$2:$AO$22,MATCH(TRIM($B59)&amp;" | "&amp;TRIM($D59),Lists!$AN$2:$AN$22,0)),IF(COUNTIF(Lists!$AR$2:$AR$3,$AJ59),"TDD Cyber",IF(AND(LEFT($AJ59,4)="EGI ",ISNUMBER(MATCH(TRIM(MID($AJ59,5,99)),Lists!$AS$2:$AS$12,0))),TRIM(MID($AJ59,5,99)),IF(AND(LEFT($AJ59,4)="EGI ",ISNUMBER(MATCH(TRIM(MID($AJ59,5,99)),Lists!$T$2:$T$21,0))),INDEX(Lists!$U$2:$U$21,MATCH(TRIM(MID($AJ59,5,99)),Lists!$T$2:$T$21,0)),IF(OR(TRIM($J59)="",UPPER(TRIM($J59))="NA"),IFERROR(INDEX(Lists!$R$2:$R$9,MATCH(TRIM($G59),Lists!$Q$2:$Q$9,0)),"UNMAPPED"),IFERROR(INDEX(Lists!$U$2:$U$21,MATCH(TRIM($J59),Lists!$T$2:$T$21,0)),IFERROR(INDEX(Lists!$R$2:$R$9,MATCH(TRIM($G59),Lists!$Q$2:$Q$9,0)),"UNMAPPED"))))))))</f>
        <v>COE BP&amp;T</v>
      </c>
      <c r="AI59" s="534" t="b">
        <f>IF(TRIM($B59)="","",--OR(TRIM($L59)="Leadership",TRIM($K59)="Leadership"))</f>
        <v>0</v>
      </c>
      <c r="AJ59" s="534" t="str">
        <f>IF(TRIM($B59)="","",IF(COUNTIFS(Lists!$AN$2:$AN$22,TRIM($B59)&amp;" | "&amp;TRIM($D59),Lists!$AP$2:$AP$22,"&lt;&gt;"),INDEX(Lists!$AP$2:$AP$22,MATCH(TRIM($B59)&amp;" | "&amp;TRIM($D59),Lists!$AN$2:$AN$22,0)),IF($AI59=1,"Leadership",IFERROR(INDEX(Lists!$X$2:$X$21,MATCH(TRIM($L59),Lists!$W$2:$W$21,0)),IF(OR(TRIM($L59)="",LOWER(TRIM($L59))="na"),IF(TRIM($H59)="","Unassigned",TRIM($H59)),TRIM($L59))))))</f>
        <v>TDD Business Partner</v>
      </c>
      <c r="AK59" s="534" t="str">
        <f>IF(TRIM($B59)="","",IF(COUNTIFS(Lists!$AN$2:$AN$22,TRIM($B59)&amp;" | "&amp;TRIM($D59),Lists!$AQ$2:$AQ$22,"&lt;&gt;"),INDEX(Lists!$AQ$2:$AQ$22,MATCH(TRIM($B59)&amp;" | "&amp;TRIM($D59),Lists!$AN$2:$AN$22,0)),IF(COUNTIF(Lists!$AF$2:$AF$8,$AJ59),$AJ59,IF(ISNUMBER(SEARCH("head of ",$D59)),"Head of Technology",IF(ISNUMBER(SEARCH("TDD BP",$D59)),"Business Partner",IF(OR(ISNUMBER(SEARCH("domain architect",$D59)),ISNUMBER(SEARCH("enterprise architect",$D59))),"Domain Architect",IF(ISNUMBER(SEARCH("delivery man",$D59)),"Delivery Manager",IF(OR(ISNUMBER(SEARCH("technology manager",$D59)),ISNUMBER(SEARCH("technology manger",$D59)),ISNUMBER(SEARCH("tech manager",$D59))),"Technology Manager","Squad"))))))))</f>
        <v>Business Partner</v>
      </c>
      <c r="AL59" s="534" t="str">
        <f>IF(TRIM($B59)="","",IF(AND($AM59=1,LEFT($AJ59,4)&lt;&gt;"EGI ",$AJ59&lt;&gt;"EGI"),IFERROR(INDEX(Lists!$Z$2:$Z$20,MATCH($AH59,Lists!$Y$2:$Y$20,0)),"EGI "&amp;$AH59),IF(COUNTIF(Lists!$AU$2:$AU$10,$AJ59),$AJ59,IF(OR(LEFT($AH59,3)="COE",$AH59="EGI"),$AJ59,IF($AK59&lt;&gt;"Squad",$AK59,$AJ59)))))</f>
        <v>TDD Business Partner</v>
      </c>
      <c r="AM59" s="534" t="b">
        <f>IF(TRIM($B59)="","",--(UPPER(TRIM($K59))="EGI"))</f>
        <v>0</v>
      </c>
      <c r="AQ59" s="841" t="inlineStr">
        <is>
          <t>R0058</t>
        </is>
      </c>
      <c r="AZ59" s="841" t="n"/>
    </row>
    <row r="60" ht="18" customHeight="1" s="535">
      <c r="A60" s="842" t="n">
        <v>113935</v>
      </c>
      <c r="B60" s="843" t="inlineStr">
        <is>
          <t>Thomas Reid</t>
        </is>
      </c>
      <c r="C60" s="842" t="n">
        <v>113935</v>
      </c>
      <c r="D60" s="843" t="inlineStr">
        <is>
          <t>TDD BP - Retail &amp; Customer - Store Digital</t>
        </is>
      </c>
      <c r="E60" s="843" t="inlineStr">
        <is>
          <t>Michael Schofield</t>
        </is>
      </c>
      <c r="F60" s="843" t="inlineStr">
        <is>
          <t>GM TDD, Partnering &amp; Transformation</t>
        </is>
      </c>
      <c r="G60" s="844" t="inlineStr">
        <is>
          <t>Partnering &amp; Transformation</t>
        </is>
      </c>
      <c r="H60" s="843" t="inlineStr">
        <is>
          <t>TDD Business Partner</t>
        </is>
      </c>
      <c r="I60" s="843" t="inlineStr">
        <is>
          <t>NA</t>
        </is>
      </c>
      <c r="J60" s="843" t="inlineStr">
        <is>
          <t>NA</t>
        </is>
      </c>
      <c r="K60" s="843" t="inlineStr">
        <is>
          <t>NA</t>
        </is>
      </c>
      <c r="L60" s="843" t="inlineStr">
        <is>
          <t>NA</t>
        </is>
      </c>
      <c r="M60" s="843" t="n"/>
      <c r="N60" s="845" t="inlineStr">
        <is>
          <t>Australia</t>
        </is>
      </c>
      <c r="O60" s="846" t="inlineStr">
        <is>
          <t>CSC</t>
        </is>
      </c>
      <c r="P60" s="847" t="n">
        <v>1</v>
      </c>
      <c r="Q60" s="846" t="n"/>
      <c r="R60" s="847" t="inlineStr">
        <is>
          <t>Permanent - Full Time</t>
        </is>
      </c>
      <c r="S60" s="847" t="n"/>
      <c r="T60" s="847" t="n"/>
      <c r="U60" s="848" t="n">
        <v>295000</v>
      </c>
      <c r="V60" s="849" t="n">
        <v>295000</v>
      </c>
      <c r="W60" s="850" t="n">
        <v>0.2</v>
      </c>
      <c r="X60" s="847" t="n">
        <v>0.055</v>
      </c>
      <c r="Y60" s="850" t="n">
        <v>0.12</v>
      </c>
      <c r="Z60" s="851" t="n"/>
      <c r="AA60" s="850" t="n">
        <v>0.04</v>
      </c>
      <c r="AB60" s="852" t="n">
        <v>417425</v>
      </c>
      <c r="AE60" s="534">
        <f>IF(TRIM($B60)="","",IF(AND(N($P60)&gt;0,N($P60)&lt;1),N($AB60)*N($P60),N($AB60)))</f>
        <v>417425</v>
      </c>
      <c r="AF60" s="534" t="str">
        <f>IF(TRIM($B60)="","",IF(OR(ISNUMBER(SEARCH("vacant",$B60)),ISNUMBER(SEARCH("ring fenced",$B60)),LOWER(TRIM($B60))="remove"),"Vacant","Filled"))</f>
        <v>Filled</v>
      </c>
      <c r="AG60" s="534" t="b">
        <f>IF(TRIM($B60)="","",--ISNUMBER(SEARCH("ring fenced",$B60)))</f>
        <v>0</v>
      </c>
      <c r="AH60" s="534" t="str">
        <f>IF(TRIM($B60)="","",IF(COUNTIFS(Lists!$AN$2:$AN$22,TRIM($B60)&amp;" | "&amp;TRIM($D60),Lists!$AO$2:$AO$22,"&lt;&gt;"),INDEX(Lists!$AO$2:$AO$22,MATCH(TRIM($B60)&amp;" | "&amp;TRIM($D60),Lists!$AN$2:$AN$22,0)),IF(COUNTIF(Lists!$AR$2:$AR$3,$AJ60),"TDD Cyber",IF(AND(LEFT($AJ60,4)="EGI ",ISNUMBER(MATCH(TRIM(MID($AJ60,5,99)),Lists!$AS$2:$AS$12,0))),TRIM(MID($AJ60,5,99)),IF(AND(LEFT($AJ60,4)="EGI ",ISNUMBER(MATCH(TRIM(MID($AJ60,5,99)),Lists!$T$2:$T$21,0))),INDEX(Lists!$U$2:$U$21,MATCH(TRIM(MID($AJ60,5,99)),Lists!$T$2:$T$21,0)),IF(OR(TRIM($J60)="",UPPER(TRIM($J60))="NA"),IFERROR(INDEX(Lists!$R$2:$R$9,MATCH(TRIM($G60),Lists!$Q$2:$Q$9,0)),"UNMAPPED"),IFERROR(INDEX(Lists!$U$2:$U$21,MATCH(TRIM($J60),Lists!$T$2:$T$21,0)),IFERROR(INDEX(Lists!$R$2:$R$9,MATCH(TRIM($G60),Lists!$Q$2:$Q$9,0)),"UNMAPPED"))))))))</f>
        <v>COE BP&amp;T</v>
      </c>
      <c r="AI60" s="534" t="b">
        <f>IF(TRIM($B60)="","",--OR(TRIM($L60)="Leadership",TRIM($K60)="Leadership"))</f>
        <v>0</v>
      </c>
      <c r="AJ60" s="534" t="str">
        <f>IF(TRIM($B60)="","",IF(COUNTIFS(Lists!$AN$2:$AN$22,TRIM($B60)&amp;" | "&amp;TRIM($D60),Lists!$AP$2:$AP$22,"&lt;&gt;"),INDEX(Lists!$AP$2:$AP$22,MATCH(TRIM($B60)&amp;" | "&amp;TRIM($D60),Lists!$AN$2:$AN$22,0)),IF($AI60=1,"Leadership",IFERROR(INDEX(Lists!$X$2:$X$21,MATCH(TRIM($L60),Lists!$W$2:$W$21,0)),IF(OR(TRIM($L60)="",LOWER(TRIM($L60))="na"),IF(TRIM($H60)="","Unassigned",TRIM($H60)),TRIM($L60))))))</f>
        <v>TDD Business Partner</v>
      </c>
      <c r="AK60" s="534" t="str">
        <f>IF(TRIM($B60)="","",IF(COUNTIFS(Lists!$AN$2:$AN$22,TRIM($B60)&amp;" | "&amp;TRIM($D60),Lists!$AQ$2:$AQ$22,"&lt;&gt;"),INDEX(Lists!$AQ$2:$AQ$22,MATCH(TRIM($B60)&amp;" | "&amp;TRIM($D60),Lists!$AN$2:$AN$22,0)),IF(COUNTIF(Lists!$AF$2:$AF$8,$AJ60),$AJ60,IF(ISNUMBER(SEARCH("head of ",$D60)),"Head of Technology",IF(ISNUMBER(SEARCH("TDD BP",$D60)),"Business Partner",IF(OR(ISNUMBER(SEARCH("domain architect",$D60)),ISNUMBER(SEARCH("enterprise architect",$D60))),"Domain Architect",IF(ISNUMBER(SEARCH("delivery man",$D60)),"Delivery Manager",IF(OR(ISNUMBER(SEARCH("technology manager",$D60)),ISNUMBER(SEARCH("technology manger",$D60)),ISNUMBER(SEARCH("tech manager",$D60))),"Technology Manager","Squad"))))))))</f>
        <v>Business Partner</v>
      </c>
      <c r="AL60" s="534" t="str">
        <f>IF(TRIM($B60)="","",IF(AND($AM60=1,LEFT($AJ60,4)&lt;&gt;"EGI ",$AJ60&lt;&gt;"EGI"),IFERROR(INDEX(Lists!$Z$2:$Z$20,MATCH($AH60,Lists!$Y$2:$Y$20,0)),"EGI "&amp;$AH60),IF(COUNTIF(Lists!$AU$2:$AU$10,$AJ60),$AJ60,IF(OR(LEFT($AH60,3)="COE",$AH60="EGI"),$AJ60,IF($AK60&lt;&gt;"Squad",$AK60,$AJ60)))))</f>
        <v>TDD Business Partner</v>
      </c>
      <c r="AM60" s="534" t="b">
        <f>IF(TRIM($B60)="","",--(UPPER(TRIM($K60))="EGI"))</f>
        <v>0</v>
      </c>
      <c r="AQ60" s="841" t="inlineStr">
        <is>
          <t>R0059</t>
        </is>
      </c>
      <c r="AZ60" s="841" t="n"/>
    </row>
    <row r="61" ht="18" customHeight="1" s="535">
      <c r="A61" s="842" t="n">
        <v>101862</v>
      </c>
      <c r="B61" s="843" t="inlineStr">
        <is>
          <t>Vaughn Scott</t>
        </is>
      </c>
      <c r="C61" s="842" t="n">
        <v>101862</v>
      </c>
      <c r="D61" s="843" t="inlineStr">
        <is>
          <t>TDD BP - ES</t>
        </is>
      </c>
      <c r="E61" s="843" t="inlineStr">
        <is>
          <t>Michael Schofield</t>
        </is>
      </c>
      <c r="F61" s="843" t="inlineStr">
        <is>
          <t>GM TDD, Partnering &amp; Transformation</t>
        </is>
      </c>
      <c r="G61" s="844" t="inlineStr">
        <is>
          <t>Partnering &amp; Transformation</t>
        </is>
      </c>
      <c r="H61" s="843" t="inlineStr">
        <is>
          <t>TDD Business Partner</t>
        </is>
      </c>
      <c r="I61" s="843" t="inlineStr">
        <is>
          <t>NA</t>
        </is>
      </c>
      <c r="J61" s="843" t="inlineStr">
        <is>
          <t>NA</t>
        </is>
      </c>
      <c r="K61" s="843" t="inlineStr">
        <is>
          <t>NA</t>
        </is>
      </c>
      <c r="L61" s="843" t="inlineStr">
        <is>
          <t>NA</t>
        </is>
      </c>
      <c r="M61" s="843" t="n"/>
      <c r="N61" s="845" t="inlineStr">
        <is>
          <t>Australia</t>
        </is>
      </c>
      <c r="O61" s="846" t="inlineStr">
        <is>
          <t>CSC</t>
        </is>
      </c>
      <c r="P61" s="847" t="n">
        <v>1</v>
      </c>
      <c r="Q61" s="846" t="n"/>
      <c r="R61" s="847" t="inlineStr">
        <is>
          <t>Permanent - Full Time</t>
        </is>
      </c>
      <c r="S61" s="847" t="n"/>
      <c r="T61" s="847" t="n"/>
      <c r="U61" s="848" t="n">
        <v>242660</v>
      </c>
      <c r="V61" s="849" t="n">
        <v>242660</v>
      </c>
      <c r="W61" s="850" t="n">
        <v>0.2</v>
      </c>
      <c r="X61" s="847" t="n">
        <v>0.055</v>
      </c>
      <c r="Y61" s="850" t="n">
        <v>0.12</v>
      </c>
      <c r="Z61" s="851" t="n"/>
      <c r="AA61" s="850" t="n">
        <v>0.04</v>
      </c>
      <c r="AB61" s="852" t="n">
        <v>343363.9</v>
      </c>
      <c r="AE61" s="534">
        <f>IF(TRIM($B61)="","",IF(AND(N($P61)&gt;0,N($P61)&lt;1),N($AB61)*N($P61),N($AB61)))</f>
        <v>343363.9</v>
      </c>
      <c r="AF61" s="534" t="str">
        <f>IF(TRIM($B61)="","",IF(OR(ISNUMBER(SEARCH("vacant",$B61)),ISNUMBER(SEARCH("ring fenced",$B61)),LOWER(TRIM($B61))="remove"),"Vacant","Filled"))</f>
        <v>Filled</v>
      </c>
      <c r="AG61" s="534" t="b">
        <f>IF(TRIM($B61)="","",--ISNUMBER(SEARCH("ring fenced",$B61)))</f>
        <v>0</v>
      </c>
      <c r="AH61" s="534" t="str">
        <f>IF(TRIM($B61)="","",IF(COUNTIFS(Lists!$AN$2:$AN$22,TRIM($B61)&amp;" | "&amp;TRIM($D61),Lists!$AO$2:$AO$22,"&lt;&gt;"),INDEX(Lists!$AO$2:$AO$22,MATCH(TRIM($B61)&amp;" | "&amp;TRIM($D61),Lists!$AN$2:$AN$22,0)),IF(COUNTIF(Lists!$AR$2:$AR$3,$AJ61),"TDD Cyber",IF(AND(LEFT($AJ61,4)="EGI ",ISNUMBER(MATCH(TRIM(MID($AJ61,5,99)),Lists!$AS$2:$AS$12,0))),TRIM(MID($AJ61,5,99)),IF(AND(LEFT($AJ61,4)="EGI ",ISNUMBER(MATCH(TRIM(MID($AJ61,5,99)),Lists!$T$2:$T$21,0))),INDEX(Lists!$U$2:$U$21,MATCH(TRIM(MID($AJ61,5,99)),Lists!$T$2:$T$21,0)),IF(OR(TRIM($J61)="",UPPER(TRIM($J61))="NA"),IFERROR(INDEX(Lists!$R$2:$R$9,MATCH(TRIM($G61),Lists!$Q$2:$Q$9,0)),"UNMAPPED"),IFERROR(INDEX(Lists!$U$2:$U$21,MATCH(TRIM($J61),Lists!$T$2:$T$21,0)),IFERROR(INDEX(Lists!$R$2:$R$9,MATCH(TRIM($G61),Lists!$Q$2:$Q$9,0)),"UNMAPPED"))))))))</f>
        <v>COE BP&amp;T</v>
      </c>
      <c r="AI61" s="534" t="b">
        <f>IF(TRIM($B61)="","",--OR(TRIM($L61)="Leadership",TRIM($K61)="Leadership"))</f>
        <v>0</v>
      </c>
      <c r="AJ61" s="534" t="str">
        <f>IF(TRIM($B61)="","",IF(COUNTIFS(Lists!$AN$2:$AN$22,TRIM($B61)&amp;" | "&amp;TRIM($D61),Lists!$AP$2:$AP$22,"&lt;&gt;"),INDEX(Lists!$AP$2:$AP$22,MATCH(TRIM($B61)&amp;" | "&amp;TRIM($D61),Lists!$AN$2:$AN$22,0)),IF($AI61=1,"Leadership",IFERROR(INDEX(Lists!$X$2:$X$21,MATCH(TRIM($L61),Lists!$W$2:$W$21,0)),IF(OR(TRIM($L61)="",LOWER(TRIM($L61))="na"),IF(TRIM($H61)="","Unassigned",TRIM($H61)),TRIM($L61))))))</f>
        <v>TDD Business Partner</v>
      </c>
      <c r="AK61" s="534" t="str">
        <f>IF(TRIM($B61)="","",IF(COUNTIFS(Lists!$AN$2:$AN$22,TRIM($B61)&amp;" | "&amp;TRIM($D61),Lists!$AQ$2:$AQ$22,"&lt;&gt;"),INDEX(Lists!$AQ$2:$AQ$22,MATCH(TRIM($B61)&amp;" | "&amp;TRIM($D61),Lists!$AN$2:$AN$22,0)),IF(COUNTIF(Lists!$AF$2:$AF$8,$AJ61),$AJ61,IF(ISNUMBER(SEARCH("head of ",$D61)),"Head of Technology",IF(ISNUMBER(SEARCH("TDD BP",$D61)),"Business Partner",IF(OR(ISNUMBER(SEARCH("domain architect",$D61)),ISNUMBER(SEARCH("enterprise architect",$D61))),"Domain Architect",IF(ISNUMBER(SEARCH("delivery man",$D61)),"Delivery Manager",IF(OR(ISNUMBER(SEARCH("technology manager",$D61)),ISNUMBER(SEARCH("technology manger",$D61)),ISNUMBER(SEARCH("tech manager",$D61))),"Technology Manager","Squad"))))))))</f>
        <v>Business Partner</v>
      </c>
      <c r="AL61" s="534" t="str">
        <f>IF(TRIM($B61)="","",IF(AND($AM61=1,LEFT($AJ61,4)&lt;&gt;"EGI ",$AJ61&lt;&gt;"EGI"),IFERROR(INDEX(Lists!$Z$2:$Z$20,MATCH($AH61,Lists!$Y$2:$Y$20,0)),"EGI "&amp;$AH61),IF(COUNTIF(Lists!$AU$2:$AU$10,$AJ61),$AJ61,IF(OR(LEFT($AH61,3)="COE",$AH61="EGI"),$AJ61,IF($AK61&lt;&gt;"Squad",$AK61,$AJ61)))))</f>
        <v>TDD Business Partner</v>
      </c>
      <c r="AM61" s="534" t="b">
        <f>IF(TRIM($B61)="","",--(UPPER(TRIM($K61))="EGI"))</f>
        <v>0</v>
      </c>
      <c r="AQ61" s="841" t="inlineStr">
        <is>
          <t>R0060</t>
        </is>
      </c>
      <c r="AZ61" s="841" t="n"/>
    </row>
    <row r="62" ht="18" customHeight="1" s="535">
      <c r="A62" s="842" t="n">
        <v>117837</v>
      </c>
      <c r="B62" s="843" t="inlineStr">
        <is>
          <t>Sarsha Tanner</t>
        </is>
      </c>
      <c r="C62" s="842" t="n">
        <v>117837</v>
      </c>
      <c r="D62" s="843" t="inlineStr">
        <is>
          <t>Head of Transformation</t>
        </is>
      </c>
      <c r="E62" s="843" t="inlineStr">
        <is>
          <t>Michael Schofield</t>
        </is>
      </c>
      <c r="F62" s="843" t="inlineStr">
        <is>
          <t>Head of Service Operatoins &amp; Assurance</t>
        </is>
      </c>
      <c r="G62" s="844" t="inlineStr">
        <is>
          <t>Partnering &amp; Transformation</t>
        </is>
      </c>
      <c r="H62" s="843" t="inlineStr">
        <is>
          <t>Transformation</t>
        </is>
      </c>
      <c r="I62" s="843" t="inlineStr">
        <is>
          <t>NA</t>
        </is>
      </c>
      <c r="J62" s="843" t="inlineStr">
        <is>
          <t>NA</t>
        </is>
      </c>
      <c r="K62" s="843" t="inlineStr">
        <is>
          <t>NA</t>
        </is>
      </c>
      <c r="L62" s="843" t="inlineStr">
        <is>
          <t>NA</t>
        </is>
      </c>
      <c r="M62" s="843" t="n"/>
      <c r="N62" s="845" t="inlineStr">
        <is>
          <t>Australia</t>
        </is>
      </c>
      <c r="O62" s="846" t="inlineStr">
        <is>
          <t>CSC</t>
        </is>
      </c>
      <c r="P62" s="847" t="n">
        <v>1</v>
      </c>
      <c r="Q62" s="847" t="n"/>
      <c r="R62" s="847" t="inlineStr">
        <is>
          <t>v</t>
        </is>
      </c>
      <c r="S62" s="847" t="n"/>
      <c r="T62" s="847" t="n"/>
      <c r="U62" s="848" t="n">
        <v>260000</v>
      </c>
      <c r="V62" s="849" t="n">
        <v>260000</v>
      </c>
      <c r="W62" s="850" t="n">
        <v>0.2</v>
      </c>
      <c r="X62" s="847" t="n">
        <v>0.055</v>
      </c>
      <c r="Y62" s="850" t="n">
        <v>0.12</v>
      </c>
      <c r="Z62" s="851" t="n"/>
      <c r="AA62" s="850" t="n">
        <v>0.04</v>
      </c>
      <c r="AB62" s="852" t="n">
        <v>367900</v>
      </c>
      <c r="AE62" s="534">
        <f>IF(TRIM($B62)="","",IF(AND(N($P62)&gt;0,N($P62)&lt;1),N($AB62)*N($P62),N($AB62)))</f>
        <v>367900</v>
      </c>
      <c r="AF62" s="534" t="str">
        <f>IF(TRIM($B62)="","",IF(OR(ISNUMBER(SEARCH("vacant",$B62)),ISNUMBER(SEARCH("ring fenced",$B62)),LOWER(TRIM($B62))="remove"),"Vacant","Filled"))</f>
        <v>Filled</v>
      </c>
      <c r="AG62" s="534" t="b">
        <f>IF(TRIM($B62)="","",--ISNUMBER(SEARCH("ring fenced",$B62)))</f>
        <v>0</v>
      </c>
      <c r="AH62" s="534" t="str">
        <f>IF(TRIM($B62)="","",IF(COUNTIFS(Lists!$AN$2:$AN$22,TRIM($B62)&amp;" | "&amp;TRIM($D62),Lists!$AO$2:$AO$22,"&lt;&gt;"),INDEX(Lists!$AO$2:$AO$22,MATCH(TRIM($B62)&amp;" | "&amp;TRIM($D62),Lists!$AN$2:$AN$22,0)),IF(COUNTIF(Lists!$AR$2:$AR$3,$AJ62),"TDD Cyber",IF(AND(LEFT($AJ62,4)="EGI ",ISNUMBER(MATCH(TRIM(MID($AJ62,5,99)),Lists!$AS$2:$AS$12,0))),TRIM(MID($AJ62,5,99)),IF(AND(LEFT($AJ62,4)="EGI ",ISNUMBER(MATCH(TRIM(MID($AJ62,5,99)),Lists!$T$2:$T$21,0))),INDEX(Lists!$U$2:$U$21,MATCH(TRIM(MID($AJ62,5,99)),Lists!$T$2:$T$21,0)),IF(OR(TRIM($J62)="",UPPER(TRIM($J62))="NA"),IFERROR(INDEX(Lists!$R$2:$R$9,MATCH(TRIM($G62),Lists!$Q$2:$Q$9,0)),"UNMAPPED"),IFERROR(INDEX(Lists!$U$2:$U$21,MATCH(TRIM($J62),Lists!$T$2:$T$21,0)),IFERROR(INDEX(Lists!$R$2:$R$9,MATCH(TRIM($G62),Lists!$Q$2:$Q$9,0)),"UNMAPPED"))))))))</f>
        <v>COE BP&amp;T</v>
      </c>
      <c r="AI62" s="534" t="b">
        <f>IF(TRIM($B62)="","",--OR(TRIM($L62)="Leadership",TRIM($K62)="Leadership"))</f>
        <v>0</v>
      </c>
      <c r="AJ62" s="534" t="str">
        <f>IF(TRIM($B62)="","",IF(COUNTIFS(Lists!$AN$2:$AN$22,TRIM($B62)&amp;" | "&amp;TRIM($D62),Lists!$AP$2:$AP$22,"&lt;&gt;"),INDEX(Lists!$AP$2:$AP$22,MATCH(TRIM($B62)&amp;" | "&amp;TRIM($D62),Lists!$AN$2:$AN$22,0)),IF($AI62=1,"Leadership",IFERROR(INDEX(Lists!$X$2:$X$21,MATCH(TRIM($L62),Lists!$W$2:$W$21,0)),IF(OR(TRIM($L62)="",LOWER(TRIM($L62))="na"),IF(TRIM($H62)="","Unassigned",TRIM($H62)),TRIM($L62))))))</f>
        <v>Transformation</v>
      </c>
      <c r="AK62" s="534" t="str">
        <f>IF(TRIM($B62)="","",IF(COUNTIFS(Lists!$AN$2:$AN$22,TRIM($B62)&amp;" | "&amp;TRIM($D62),Lists!$AQ$2:$AQ$22,"&lt;&gt;"),INDEX(Lists!$AQ$2:$AQ$22,MATCH(TRIM($B62)&amp;" | "&amp;TRIM($D62),Lists!$AN$2:$AN$22,0)),IF(COUNTIF(Lists!$AF$2:$AF$8,$AJ62),$AJ62,IF(ISNUMBER(SEARCH("head of ",$D62)),"Head of Technology",IF(ISNUMBER(SEARCH("TDD BP",$D62)),"Business Partner",IF(OR(ISNUMBER(SEARCH("domain architect",$D62)),ISNUMBER(SEARCH("enterprise architect",$D62))),"Domain Architect",IF(ISNUMBER(SEARCH("delivery man",$D62)),"Delivery Manager",IF(OR(ISNUMBER(SEARCH("technology manager",$D62)),ISNUMBER(SEARCH("technology manger",$D62)),ISNUMBER(SEARCH("tech manager",$D62))),"Technology Manager","Squad"))))))))</f>
        <v>Head of Technology</v>
      </c>
      <c r="AL62" s="534" t="str">
        <f>IF(TRIM($B62)="","",IF(AND($AM62=1,LEFT($AJ62,4)&lt;&gt;"EGI ",$AJ62&lt;&gt;"EGI"),IFERROR(INDEX(Lists!$Z$2:$Z$20,MATCH($AH62,Lists!$Y$2:$Y$20,0)),"EGI "&amp;$AH62),IF(COUNTIF(Lists!$AU$2:$AU$10,$AJ62),$AJ62,IF(OR(LEFT($AH62,3)="COE",$AH62="EGI"),$AJ62,IF($AK62&lt;&gt;"Squad",$AK62,$AJ62)))))</f>
        <v>Transformation</v>
      </c>
      <c r="AM62" s="534" t="b">
        <f>IF(TRIM($B62)="","",--(UPPER(TRIM($K62))="EGI"))</f>
        <v>0</v>
      </c>
      <c r="AQ62" s="841" t="inlineStr">
        <is>
          <t>R0061</t>
        </is>
      </c>
      <c r="AZ62" s="841" t="n"/>
    </row>
    <row r="63" ht="18" customHeight="1" s="535">
      <c r="A63" s="842" t="n">
        <v>97098</v>
      </c>
      <c r="B63" s="843" t="inlineStr">
        <is>
          <t>Amish Pandit</t>
        </is>
      </c>
      <c r="C63" s="842" t="n">
        <v>97098</v>
      </c>
      <c r="D63" s="843" t="inlineStr">
        <is>
          <t>Head of Technology, Fuel Infrastructure</t>
        </is>
      </c>
      <c r="E63" s="843" t="inlineStr">
        <is>
          <t>Roanne Steele</t>
        </is>
      </c>
      <c r="F63" s="843" t="inlineStr">
        <is>
          <t>GM TDD, CFE&amp;I</t>
        </is>
      </c>
      <c r="G63" s="844" t="inlineStr">
        <is>
          <t>TDD CFE&amp;I</t>
        </is>
      </c>
      <c r="H63" s="843" t="inlineStr">
        <is>
          <t>Fuel Infrastructure</t>
        </is>
      </c>
      <c r="I63" s="843" t="inlineStr">
        <is>
          <t>Leadership</t>
        </is>
      </c>
      <c r="J63" s="843" t="inlineStr">
        <is>
          <t>Infrastructure</t>
        </is>
      </c>
      <c r="K63" s="843" t="inlineStr">
        <is>
          <t xml:space="preserve">Leadership </t>
        </is>
      </c>
      <c r="L63" s="843" t="inlineStr">
        <is>
          <t>Leadership</t>
        </is>
      </c>
      <c r="M63" s="843" t="n"/>
      <c r="N63" s="845" t="inlineStr">
        <is>
          <t>Australia</t>
        </is>
      </c>
      <c r="O63" s="846" t="inlineStr">
        <is>
          <t>CSC</t>
        </is>
      </c>
      <c r="P63" s="847" t="n">
        <v>1</v>
      </c>
      <c r="Q63" s="846" t="n"/>
      <c r="R63" s="847" t="inlineStr">
        <is>
          <t>Permanent - Full Time</t>
        </is>
      </c>
      <c r="S63" s="847" t="n"/>
      <c r="T63" s="847" t="n"/>
      <c r="U63" s="848" t="n">
        <v>256980</v>
      </c>
      <c r="V63" s="849" t="n">
        <v>256980</v>
      </c>
      <c r="W63" s="850" t="n">
        <v>0.2</v>
      </c>
      <c r="X63" s="847" t="n">
        <v>0.055</v>
      </c>
      <c r="Y63" s="850" t="n">
        <v>0.12</v>
      </c>
      <c r="Z63" s="851" t="n"/>
      <c r="AA63" s="850" t="n">
        <v>0.04</v>
      </c>
      <c r="AB63" s="852" t="n">
        <v>363626.7</v>
      </c>
      <c r="AE63" s="534">
        <f>IF(TRIM($B63)="","",IF(AND(N($P63)&gt;0,N($P63)&lt;1),N($AB63)*N($P63),N($AB63)))</f>
        <v>363626.7</v>
      </c>
      <c r="AF63" s="534" t="str">
        <f>IF(TRIM($B63)="","",IF(OR(ISNUMBER(SEARCH("vacant",$B63)),ISNUMBER(SEARCH("ring fenced",$B63)),LOWER(TRIM($B63))="remove"),"Vacant","Filled"))</f>
        <v>Filled</v>
      </c>
      <c r="AG63" s="534" t="b">
        <f>IF(TRIM($B63)="","",--ISNUMBER(SEARCH("ring fenced",$B63)))</f>
        <v>0</v>
      </c>
      <c r="AH63" s="534" t="str">
        <f>IF(TRIM($B63)="","",IF(COUNTIFS(Lists!$AN$2:$AN$22,TRIM($B63)&amp;" | "&amp;TRIM($D63),Lists!$AO$2:$AO$22,"&lt;&gt;"),INDEX(Lists!$AO$2:$AO$22,MATCH(TRIM($B63)&amp;" | "&amp;TRIM($D63),Lists!$AN$2:$AN$22,0)),IF(COUNTIF(Lists!$AR$2:$AR$3,$AJ63),"TDD Cyber",IF(AND(LEFT($AJ63,4)="EGI ",ISNUMBER(MATCH(TRIM(MID($AJ63,5,99)),Lists!$AS$2:$AS$12,0))),TRIM(MID($AJ63,5,99)),IF(AND(LEFT($AJ63,4)="EGI ",ISNUMBER(MATCH(TRIM(MID($AJ63,5,99)),Lists!$T$2:$T$21,0))),INDEX(Lists!$U$2:$U$21,MATCH(TRIM(MID($AJ63,5,99)),Lists!$T$2:$T$21,0)),IF(OR(TRIM($J63)="",UPPER(TRIM($J63))="NA"),IFERROR(INDEX(Lists!$R$2:$R$9,MATCH(TRIM($G63),Lists!$Q$2:$Q$9,0)),"UNMAPPED"),IFERROR(INDEX(Lists!$U$2:$U$21,MATCH(TRIM($J63),Lists!$T$2:$T$21,0)),IFERROR(INDEX(Lists!$R$2:$R$9,MATCH(TRIM($G63),Lists!$Q$2:$Q$9,0)),"UNMAPPED"))))))))</f>
        <v>Infrastructure</v>
      </c>
      <c r="AI63" s="534" t="b">
        <f>IF(TRIM($B63)="","",--OR(TRIM($L63)="Leadership",TRIM($K63)="Leadership"))</f>
        <v>1</v>
      </c>
      <c r="AJ63" s="534" t="str">
        <f>IF(TRIM($B63)="","",IF(COUNTIFS(Lists!$AN$2:$AN$22,TRIM($B63)&amp;" | "&amp;TRIM($D63),Lists!$AP$2:$AP$22,"&lt;&gt;"),INDEX(Lists!$AP$2:$AP$22,MATCH(TRIM($B63)&amp;" | "&amp;TRIM($D63),Lists!$AN$2:$AN$22,0)),IF($AI63=1,"Leadership",IFERROR(INDEX(Lists!$X$2:$X$21,MATCH(TRIM($L63),Lists!$W$2:$W$21,0)),IF(OR(TRIM($L63)="",LOWER(TRIM($L63))="na"),IF(TRIM($H63)="","Unassigned",TRIM($H63)),TRIM($L63))))))</f>
        <v>Leadership</v>
      </c>
      <c r="AK63" s="534" t="str">
        <f>IF(TRIM($B63)="","",IF(COUNTIFS(Lists!$AN$2:$AN$22,TRIM($B63)&amp;" | "&amp;TRIM($D63),Lists!$AQ$2:$AQ$22,"&lt;&gt;"),INDEX(Lists!$AQ$2:$AQ$22,MATCH(TRIM($B63)&amp;" | "&amp;TRIM($D63),Lists!$AN$2:$AN$22,0)),IF(COUNTIF(Lists!$AF$2:$AF$8,$AJ63),$AJ63,IF(ISNUMBER(SEARCH("head of ",$D63)),"Head of Technology",IF(ISNUMBER(SEARCH("TDD BP",$D63)),"Business Partner",IF(OR(ISNUMBER(SEARCH("domain architect",$D63)),ISNUMBER(SEARCH("enterprise architect",$D63))),"Domain Architect",IF(ISNUMBER(SEARCH("delivery man",$D63)),"Delivery Manager",IF(OR(ISNUMBER(SEARCH("technology manager",$D63)),ISNUMBER(SEARCH("technology manger",$D63)),ISNUMBER(SEARCH("tech manager",$D63))),"Technology Manager","Squad"))))))))</f>
        <v>Head of Technology</v>
      </c>
      <c r="AL63" s="534" t="str">
        <f>IF(TRIM($B63)="","",IF(AND($AM63=1,LEFT($AJ63,4)&lt;&gt;"EGI ",$AJ63&lt;&gt;"EGI"),IFERROR(INDEX(Lists!$Z$2:$Z$20,MATCH($AH63,Lists!$Y$2:$Y$20,0)),"EGI "&amp;$AH63),IF(COUNTIF(Lists!$AU$2:$AU$10,$AJ63),$AJ63,IF(OR(LEFT($AH63,3)="COE",$AH63="EGI"),$AJ63,IF($AK63&lt;&gt;"Squad",$AK63,$AJ63)))))</f>
        <v>Head of Technology</v>
      </c>
      <c r="AM63" s="534" t="b">
        <f>IF(TRIM($B63)="","",--(UPPER(TRIM($K63))="EGI"))</f>
        <v>0</v>
      </c>
      <c r="AQ63" s="841" t="inlineStr">
        <is>
          <t>R0062</t>
        </is>
      </c>
      <c r="AZ63" s="841" t="n"/>
    </row>
    <row r="64" ht="18" customHeight="1" s="535">
      <c r="A64" s="842" t="n">
        <v>115488</v>
      </c>
      <c r="B64" s="843" t="inlineStr">
        <is>
          <t>Nakul Bharade</t>
        </is>
      </c>
      <c r="C64" s="842" t="n">
        <v>115488</v>
      </c>
      <c r="D64" s="843" t="inlineStr">
        <is>
          <t>Head of Technology, Commercial Fuels</t>
        </is>
      </c>
      <c r="E64" s="843" t="inlineStr">
        <is>
          <t xml:space="preserve">Roanne Steele </t>
        </is>
      </c>
      <c r="F64" s="843" t="inlineStr">
        <is>
          <t>GM TDD, CFE&amp;I</t>
        </is>
      </c>
      <c r="G64" s="844" t="inlineStr">
        <is>
          <t>TDD CFE&amp;I</t>
        </is>
      </c>
      <c r="H64" s="843" t="inlineStr">
        <is>
          <t>Commercial Fuels</t>
        </is>
      </c>
      <c r="I64" s="843" t="inlineStr">
        <is>
          <t>Leadership</t>
        </is>
      </c>
      <c r="J64" s="843" t="inlineStr">
        <is>
          <t>Commercial Fuels</t>
        </is>
      </c>
      <c r="K64" s="843" t="inlineStr">
        <is>
          <t>Leadership</t>
        </is>
      </c>
      <c r="L64" s="843" t="inlineStr">
        <is>
          <t>Leadership</t>
        </is>
      </c>
      <c r="M64" s="843" t="n"/>
      <c r="N64" s="845" t="inlineStr">
        <is>
          <t>NZ</t>
        </is>
      </c>
      <c r="O64" s="846" t="inlineStr">
        <is>
          <t>CSC</t>
        </is>
      </c>
      <c r="P64" s="847" t="n">
        <v>1</v>
      </c>
      <c r="Q64" s="847" t="n"/>
      <c r="R64" s="847" t="inlineStr">
        <is>
          <t>Permanent - Full Time</t>
        </is>
      </c>
      <c r="S64" s="847" t="n"/>
      <c r="T64" s="847" t="n"/>
      <c r="U64" s="848" t="n">
        <v>245860</v>
      </c>
      <c r="V64" s="849" t="n">
        <v>226191.2</v>
      </c>
      <c r="W64" s="850" t="n">
        <v>0.2</v>
      </c>
      <c r="X64" s="847" t="n"/>
      <c r="Y64" s="850" t="n">
        <v>0.05</v>
      </c>
      <c r="Z64" s="851" t="n">
        <v>2910</v>
      </c>
      <c r="AA64" s="850" t="n">
        <v>0.03</v>
      </c>
      <c r="AB64" s="852" t="n">
        <v>292434.736</v>
      </c>
      <c r="AE64" s="534">
        <f>IF(TRIM($B64)="","",IF(AND(N($P64)&gt;0,N($P64)&lt;1),N($AB64)*N($P64),N($AB64)))</f>
        <v>292434.736</v>
      </c>
      <c r="AF64" s="534" t="str">
        <f>IF(TRIM($B64)="","",IF(OR(ISNUMBER(SEARCH("vacant",$B64)),ISNUMBER(SEARCH("ring fenced",$B64)),LOWER(TRIM($B64))="remove"),"Vacant","Filled"))</f>
        <v>Filled</v>
      </c>
      <c r="AG64" s="534" t="b">
        <f>IF(TRIM($B64)="","",--ISNUMBER(SEARCH("ring fenced",$B64)))</f>
        <v>0</v>
      </c>
      <c r="AH64" s="534" t="str">
        <f>IF(TRIM($B64)="","",IF(COUNTIFS(Lists!$AN$2:$AN$22,TRIM($B64)&amp;" | "&amp;TRIM($D64),Lists!$AO$2:$AO$22,"&lt;&gt;"),INDEX(Lists!$AO$2:$AO$22,MATCH(TRIM($B64)&amp;" | "&amp;TRIM($D64),Lists!$AN$2:$AN$22,0)),IF(COUNTIF(Lists!$AR$2:$AR$3,$AJ64),"TDD Cyber",IF(AND(LEFT($AJ64,4)="EGI ",ISNUMBER(MATCH(TRIM(MID($AJ64,5,99)),Lists!$AS$2:$AS$12,0))),TRIM(MID($AJ64,5,99)),IF(AND(LEFT($AJ64,4)="EGI ",ISNUMBER(MATCH(TRIM(MID($AJ64,5,99)),Lists!$T$2:$T$21,0))),INDEX(Lists!$U$2:$U$21,MATCH(TRIM(MID($AJ64,5,99)),Lists!$T$2:$T$21,0)),IF(OR(TRIM($J64)="",UPPER(TRIM($J64))="NA"),IFERROR(INDEX(Lists!$R$2:$R$9,MATCH(TRIM($G64),Lists!$Q$2:$Q$9,0)),"UNMAPPED"),IFERROR(INDEX(Lists!$U$2:$U$21,MATCH(TRIM($J64),Lists!$T$2:$T$21,0)),IFERROR(INDEX(Lists!$R$2:$R$9,MATCH(TRIM($G64),Lists!$Q$2:$Q$9,0)),"UNMAPPED"))))))))</f>
        <v>Commercial Fuels</v>
      </c>
      <c r="AI64" s="534" t="b">
        <f>IF(TRIM($B64)="","",--OR(TRIM($L64)="Leadership",TRIM($K64)="Leadership"))</f>
        <v>1</v>
      </c>
      <c r="AJ64" s="534" t="str">
        <f>IF(TRIM($B64)="","",IF(COUNTIFS(Lists!$AN$2:$AN$22,TRIM($B64)&amp;" | "&amp;TRIM($D64),Lists!$AP$2:$AP$22,"&lt;&gt;"),INDEX(Lists!$AP$2:$AP$22,MATCH(TRIM($B64)&amp;" | "&amp;TRIM($D64),Lists!$AN$2:$AN$22,0)),IF($AI64=1,"Leadership",IFERROR(INDEX(Lists!$X$2:$X$21,MATCH(TRIM($L64),Lists!$W$2:$W$21,0)),IF(OR(TRIM($L64)="",LOWER(TRIM($L64))="na"),IF(TRIM($H64)="","Unassigned",TRIM($H64)),TRIM($L64))))))</f>
        <v>Leadership</v>
      </c>
      <c r="AK64" s="534" t="str">
        <f>IF(TRIM($B64)="","",IF(COUNTIFS(Lists!$AN$2:$AN$22,TRIM($B64)&amp;" | "&amp;TRIM($D64),Lists!$AQ$2:$AQ$22,"&lt;&gt;"),INDEX(Lists!$AQ$2:$AQ$22,MATCH(TRIM($B64)&amp;" | "&amp;TRIM($D64),Lists!$AN$2:$AN$22,0)),IF(COUNTIF(Lists!$AF$2:$AF$8,$AJ64),$AJ64,IF(ISNUMBER(SEARCH("head of ",$D64)),"Head of Technology",IF(ISNUMBER(SEARCH("TDD BP",$D64)),"Business Partner",IF(OR(ISNUMBER(SEARCH("domain architect",$D64)),ISNUMBER(SEARCH("enterprise architect",$D64))),"Domain Architect",IF(ISNUMBER(SEARCH("delivery man",$D64)),"Delivery Manager",IF(OR(ISNUMBER(SEARCH("technology manager",$D64)),ISNUMBER(SEARCH("technology manger",$D64)),ISNUMBER(SEARCH("tech manager",$D64))),"Technology Manager","Squad"))))))))</f>
        <v>Head of Technology</v>
      </c>
      <c r="AL64" s="534" t="str">
        <f>IF(TRIM($B64)="","",IF(AND($AM64=1,LEFT($AJ64,4)&lt;&gt;"EGI ",$AJ64&lt;&gt;"EGI"),IFERROR(INDEX(Lists!$Z$2:$Z$20,MATCH($AH64,Lists!$Y$2:$Y$20,0)),"EGI "&amp;$AH64),IF(COUNTIF(Lists!$AU$2:$AU$10,$AJ64),$AJ64,IF(OR(LEFT($AH64,3)="COE",$AH64="EGI"),$AJ64,IF($AK64&lt;&gt;"Squad",$AK64,$AJ64)))))</f>
        <v>Head of Technology</v>
      </c>
      <c r="AM64" s="534" t="b">
        <f>IF(TRIM($B64)="","",--(UPPER(TRIM($K64))="EGI"))</f>
        <v>0</v>
      </c>
      <c r="AQ64" s="841" t="inlineStr">
        <is>
          <t>R0063</t>
        </is>
      </c>
      <c r="AZ64" s="841" t="n"/>
    </row>
    <row r="65" ht="18" customHeight="1" s="535">
      <c r="A65" s="842" t="n">
        <v>113574</v>
      </c>
      <c r="B65" s="843" t="inlineStr">
        <is>
          <t>Liesl Tye</t>
        </is>
      </c>
      <c r="C65" s="842" t="n">
        <v>113574</v>
      </c>
      <c r="D65" s="843" t="inlineStr">
        <is>
          <t>Head of Technology, B2B &amp; Energy Solutions</t>
        </is>
      </c>
      <c r="E65" s="843" t="inlineStr">
        <is>
          <t xml:space="preserve">Roanne Steele </t>
        </is>
      </c>
      <c r="F65" s="843" t="inlineStr">
        <is>
          <t>GM TDD, CFE&amp;I</t>
        </is>
      </c>
      <c r="G65" s="844" t="inlineStr">
        <is>
          <t>TDD CFE&amp;I</t>
        </is>
      </c>
      <c r="H65" s="843" t="inlineStr">
        <is>
          <t>B2B &amp; Energy Solutions</t>
        </is>
      </c>
      <c r="I65" s="843" t="inlineStr">
        <is>
          <t>Leadership</t>
        </is>
      </c>
      <c r="J65" s="843" t="inlineStr">
        <is>
          <t>B2B &amp; Energy Solutions</t>
        </is>
      </c>
      <c r="K65" s="843" t="inlineStr">
        <is>
          <t>Leadership</t>
        </is>
      </c>
      <c r="L65" s="843" t="inlineStr">
        <is>
          <t>Leadership</t>
        </is>
      </c>
      <c r="M65" s="843" t="n"/>
      <c r="N65" s="845" t="inlineStr">
        <is>
          <t>NZ</t>
        </is>
      </c>
      <c r="O65" s="846" t="inlineStr">
        <is>
          <t>CSC</t>
        </is>
      </c>
      <c r="P65" s="847" t="n">
        <v>1</v>
      </c>
      <c r="Q65" s="847" t="n"/>
      <c r="R65" s="847" t="inlineStr">
        <is>
          <t>Permanent - Full Time</t>
        </is>
      </c>
      <c r="S65" s="847" t="n"/>
      <c r="T65" s="847" t="n"/>
      <c r="U65" s="848" t="n">
        <v>230000</v>
      </c>
      <c r="V65" s="849" t="n">
        <v>211600</v>
      </c>
      <c r="W65" s="850" t="n">
        <v>0.2</v>
      </c>
      <c r="X65" s="847" t="n"/>
      <c r="Y65" s="850" t="n">
        <v>0.05</v>
      </c>
      <c r="Z65" s="851" t="n">
        <v>2910</v>
      </c>
      <c r="AA65" s="850" t="n">
        <v>0.03</v>
      </c>
      <c r="AB65" s="852" t="n">
        <v>273758</v>
      </c>
      <c r="AE65" s="534">
        <f>IF(TRIM($B65)="","",IF(AND(N($P65)&gt;0,N($P65)&lt;1),N($AB65)*N($P65),N($AB65)))</f>
        <v>273758</v>
      </c>
      <c r="AF65" s="534" t="str">
        <f>IF(TRIM($B65)="","",IF(OR(ISNUMBER(SEARCH("vacant",$B65)),ISNUMBER(SEARCH("ring fenced",$B65)),LOWER(TRIM($B65))="remove"),"Vacant","Filled"))</f>
        <v>Filled</v>
      </c>
      <c r="AG65" s="534" t="b">
        <f>IF(TRIM($B65)="","",--ISNUMBER(SEARCH("ring fenced",$B65)))</f>
        <v>0</v>
      </c>
      <c r="AH65" s="534" t="str">
        <f>IF(TRIM($B65)="","",IF(COUNTIFS(Lists!$AN$2:$AN$22,TRIM($B65)&amp;" | "&amp;TRIM($D65),Lists!$AO$2:$AO$22,"&lt;&gt;"),INDEX(Lists!$AO$2:$AO$22,MATCH(TRIM($B65)&amp;" | "&amp;TRIM($D65),Lists!$AN$2:$AN$22,0)),IF(COUNTIF(Lists!$AR$2:$AR$3,$AJ65),"TDD Cyber",IF(AND(LEFT($AJ65,4)="EGI ",ISNUMBER(MATCH(TRIM(MID($AJ65,5,99)),Lists!$AS$2:$AS$12,0))),TRIM(MID($AJ65,5,99)),IF(AND(LEFT($AJ65,4)="EGI ",ISNUMBER(MATCH(TRIM(MID($AJ65,5,99)),Lists!$T$2:$T$21,0))),INDEX(Lists!$U$2:$U$21,MATCH(TRIM(MID($AJ65,5,99)),Lists!$T$2:$T$21,0)),IF(OR(TRIM($J65)="",UPPER(TRIM($J65))="NA"),IFERROR(INDEX(Lists!$R$2:$R$9,MATCH(TRIM($G65),Lists!$Q$2:$Q$9,0)),"UNMAPPED"),IFERROR(INDEX(Lists!$U$2:$U$21,MATCH(TRIM($J65),Lists!$T$2:$T$21,0)),IFERROR(INDEX(Lists!$R$2:$R$9,MATCH(TRIM($G65),Lists!$Q$2:$Q$9,0)),"UNMAPPED"))))))))</f>
        <v>Energy Solutions &amp; B2B</v>
      </c>
      <c r="AI65" s="534" t="b">
        <f>IF(TRIM($B65)="","",--OR(TRIM($L65)="Leadership",TRIM($K65)="Leadership"))</f>
        <v>1</v>
      </c>
      <c r="AJ65" s="534" t="str">
        <f>IF(TRIM($B65)="","",IF(COUNTIFS(Lists!$AN$2:$AN$22,TRIM($B65)&amp;" | "&amp;TRIM($D65),Lists!$AP$2:$AP$22,"&lt;&gt;"),INDEX(Lists!$AP$2:$AP$22,MATCH(TRIM($B65)&amp;" | "&amp;TRIM($D65),Lists!$AN$2:$AN$22,0)),IF($AI65=1,"Leadership",IFERROR(INDEX(Lists!$X$2:$X$21,MATCH(TRIM($L65),Lists!$W$2:$W$21,0)),IF(OR(TRIM($L65)="",LOWER(TRIM($L65))="na"),IF(TRIM($H65)="","Unassigned",TRIM($H65)),TRIM($L65))))))</f>
        <v>Leadership</v>
      </c>
      <c r="AK65" s="534" t="str">
        <f>IF(TRIM($B65)="","",IF(COUNTIFS(Lists!$AN$2:$AN$22,TRIM($B65)&amp;" | "&amp;TRIM($D65),Lists!$AQ$2:$AQ$22,"&lt;&gt;"),INDEX(Lists!$AQ$2:$AQ$22,MATCH(TRIM($B65)&amp;" | "&amp;TRIM($D65),Lists!$AN$2:$AN$22,0)),IF(COUNTIF(Lists!$AF$2:$AF$8,$AJ65),$AJ65,IF(ISNUMBER(SEARCH("head of ",$D65)),"Head of Technology",IF(ISNUMBER(SEARCH("TDD BP",$D65)),"Business Partner",IF(OR(ISNUMBER(SEARCH("domain architect",$D65)),ISNUMBER(SEARCH("enterprise architect",$D65))),"Domain Architect",IF(ISNUMBER(SEARCH("delivery man",$D65)),"Delivery Manager",IF(OR(ISNUMBER(SEARCH("technology manager",$D65)),ISNUMBER(SEARCH("technology manger",$D65)),ISNUMBER(SEARCH("tech manager",$D65))),"Technology Manager","Squad"))))))))</f>
        <v>Head of Technology</v>
      </c>
      <c r="AL65" s="534" t="str">
        <f>IF(TRIM($B65)="","",IF(AND($AM65=1,LEFT($AJ65,4)&lt;&gt;"EGI ",$AJ65&lt;&gt;"EGI"),IFERROR(INDEX(Lists!$Z$2:$Z$20,MATCH($AH65,Lists!$Y$2:$Y$20,0)),"EGI "&amp;$AH65),IF(COUNTIF(Lists!$AU$2:$AU$10,$AJ65),$AJ65,IF(OR(LEFT($AH65,3)="COE",$AH65="EGI"),$AJ65,IF($AK65&lt;&gt;"Squad",$AK65,$AJ65)))))</f>
        <v>Head of Technology</v>
      </c>
      <c r="AM65" s="534" t="b">
        <f>IF(TRIM($B65)="","",--(UPPER(TRIM($K65))="EGI"))</f>
        <v>0</v>
      </c>
      <c r="AQ65" s="841" t="inlineStr">
        <is>
          <t>R0064</t>
        </is>
      </c>
      <c r="AZ65" s="841" t="n"/>
    </row>
    <row r="66" ht="18" customHeight="1" s="535">
      <c r="A66" s="842" t="inlineStr">
        <is>
          <t>V</t>
        </is>
      </c>
      <c r="B66" s="843" t="inlineStr">
        <is>
          <t>Vacant</t>
        </is>
      </c>
      <c r="C66" s="842" t="inlineStr">
        <is>
          <t>V</t>
        </is>
      </c>
      <c r="D66" s="843" t="inlineStr">
        <is>
          <t>Data Governance Lead</t>
        </is>
      </c>
      <c r="E66" s="843" t="inlineStr">
        <is>
          <t>Sanjay Tikoo</t>
        </is>
      </c>
      <c r="F66" s="843" t="inlineStr">
        <is>
          <t>Data Capability Manager</t>
        </is>
      </c>
      <c r="G66" s="844" t="inlineStr">
        <is>
          <t>Strategy, Architecture &amp; Data</t>
        </is>
      </c>
      <c r="H66" s="843" t="inlineStr">
        <is>
          <t>Group Data</t>
        </is>
      </c>
      <c r="I66" s="843" t="inlineStr">
        <is>
          <t>Data Capability</t>
        </is>
      </c>
      <c r="J66" s="843" t="n"/>
      <c r="K66" s="843" t="n"/>
      <c r="L66" s="843" t="n"/>
      <c r="M66" s="843" t="n"/>
      <c r="N66" s="845" t="inlineStr">
        <is>
          <t>australia</t>
        </is>
      </c>
      <c r="O66" s="846" t="inlineStr">
        <is>
          <t>CSC</t>
        </is>
      </c>
      <c r="P66" s="847" t="n">
        <v>1</v>
      </c>
      <c r="Q66" s="846" t="n"/>
      <c r="R66" s="847" t="inlineStr">
        <is>
          <t>V</t>
        </is>
      </c>
      <c r="S66" s="847" t="n"/>
      <c r="T66" s="847" t="n"/>
      <c r="U66" s="848" t="n">
        <v>275340</v>
      </c>
      <c r="V66" s="849" t="n">
        <v>275340</v>
      </c>
      <c r="W66" s="850" t="n">
        <v>0.2</v>
      </c>
      <c r="X66" s="847" t="n">
        <v>0.055</v>
      </c>
      <c r="Y66" s="850" t="n">
        <v>0.12</v>
      </c>
      <c r="Z66" s="851" t="n"/>
      <c r="AA66" s="850" t="n">
        <v>0.04</v>
      </c>
      <c r="AB66" s="852" t="n">
        <v>389606.1</v>
      </c>
      <c r="AE66" s="534">
        <f>IF(TRIM($B66)="","",IF(AND(N($P66)&gt;0,N($P66)&lt;1),N($AB66)*N($P66),N($AB66)))</f>
        <v>389606.1</v>
      </c>
      <c r="AF66" s="534" t="str">
        <f>IF(TRIM($B66)="","",IF(OR(ISNUMBER(SEARCH("vacant",$B66)),ISNUMBER(SEARCH("ring fenced",$B66)),LOWER(TRIM($B66))="remove"),"Vacant","Filled"))</f>
        <v>Vacant</v>
      </c>
      <c r="AG66" s="534" t="b">
        <f>IF(TRIM($B66)="","",--ISNUMBER(SEARCH("ring fenced",$B66)))</f>
        <v>0</v>
      </c>
      <c r="AH66" s="534" t="str">
        <f>IF(TRIM($B66)="","",IF(COUNTIFS(Lists!$AN$2:$AN$22,TRIM($B66)&amp;" | "&amp;TRIM($D66),Lists!$AO$2:$AO$22,"&lt;&gt;"),INDEX(Lists!$AO$2:$AO$22,MATCH(TRIM($B66)&amp;" | "&amp;TRIM($D66),Lists!$AN$2:$AN$22,0)),IF(COUNTIF(Lists!$AR$2:$AR$3,$AJ66),"TDD Cyber",IF(AND(LEFT($AJ66,4)="EGI ",ISNUMBER(MATCH(TRIM(MID($AJ66,5,99)),Lists!$AS$2:$AS$12,0))),TRIM(MID($AJ66,5,99)),IF(AND(LEFT($AJ66,4)="EGI ",ISNUMBER(MATCH(TRIM(MID($AJ66,5,99)),Lists!$T$2:$T$21,0))),INDEX(Lists!$U$2:$U$21,MATCH(TRIM(MID($AJ66,5,99)),Lists!$T$2:$T$21,0)),IF(OR(TRIM($J66)="",UPPER(TRIM($J66))="NA"),IFERROR(INDEX(Lists!$R$2:$R$9,MATCH(TRIM($G66),Lists!$Q$2:$Q$9,0)),"UNMAPPED"),IFERROR(INDEX(Lists!$U$2:$U$21,MATCH(TRIM($J66),Lists!$T$2:$T$21,0)),IFERROR(INDEX(Lists!$R$2:$R$9,MATCH(TRIM($G66),Lists!$Q$2:$Q$9,0)),"UNMAPPED"))))))))</f>
        <v>COE SA&amp;D</v>
      </c>
      <c r="AI66" s="534" t="b">
        <f>IF(TRIM($B66)="","",--OR(TRIM($L66)="Leadership",TRIM($K66)="Leadership"))</f>
        <v>0</v>
      </c>
      <c r="AJ66" s="534" t="str">
        <f>IF(TRIM($B66)="","",IF(COUNTIFS(Lists!$AN$2:$AN$22,TRIM($B66)&amp;" | "&amp;TRIM($D66),Lists!$AP$2:$AP$22,"&lt;&gt;"),INDEX(Lists!$AP$2:$AP$22,MATCH(TRIM($B66)&amp;" | "&amp;TRIM($D66),Lists!$AN$2:$AN$22,0)),IF($AI66=1,"Leadership",IFERROR(INDEX(Lists!$X$2:$X$21,MATCH(TRIM($L66),Lists!$W$2:$W$21,0)),IF(OR(TRIM($L66)="",LOWER(TRIM($L66))="na"),IF(TRIM($H66)="","Unassigned",TRIM($H66)),TRIM($L66))))))</f>
        <v>Group Data</v>
      </c>
      <c r="AK66" s="534" t="str">
        <f>IF(TRIM($B66)="","",IF(COUNTIFS(Lists!$AN$2:$AN$22,TRIM($B66)&amp;" | "&amp;TRIM($D66),Lists!$AQ$2:$AQ$22,"&lt;&gt;"),INDEX(Lists!$AQ$2:$AQ$22,MATCH(TRIM($B66)&amp;" | "&amp;TRIM($D66),Lists!$AN$2:$AN$22,0)),IF(COUNTIF(Lists!$AF$2:$AF$8,$AJ66),$AJ66,IF(ISNUMBER(SEARCH("head of ",$D66)),"Head of Technology",IF(ISNUMBER(SEARCH("TDD BP",$D66)),"Business Partner",IF(OR(ISNUMBER(SEARCH("domain architect",$D66)),ISNUMBER(SEARCH("enterprise architect",$D66))),"Domain Architect",IF(ISNUMBER(SEARCH("delivery man",$D66)),"Delivery Manager",IF(OR(ISNUMBER(SEARCH("technology manager",$D66)),ISNUMBER(SEARCH("technology manger",$D66)),ISNUMBER(SEARCH("tech manager",$D66))),"Technology Manager","Squad"))))))))</f>
        <v>Squad</v>
      </c>
      <c r="AL66" s="534" t="str">
        <f>IF(TRIM($B66)="","",IF(AND($AM66=1,LEFT($AJ66,4)&lt;&gt;"EGI ",$AJ66&lt;&gt;"EGI"),IFERROR(INDEX(Lists!$Z$2:$Z$20,MATCH($AH66,Lists!$Y$2:$Y$20,0)),"EGI "&amp;$AH66),IF(COUNTIF(Lists!$AU$2:$AU$10,$AJ66),$AJ66,IF(OR(LEFT($AH66,3)="COE",$AH66="EGI"),$AJ66,IF($AK66&lt;&gt;"Squad",$AK66,$AJ66)))))</f>
        <v>Group Data</v>
      </c>
      <c r="AM66" s="534" t="b">
        <f>IF(TRIM($B66)="","",--(UPPER(TRIM($K66))="EGI"))</f>
        <v>0</v>
      </c>
      <c r="AQ66" s="841" t="inlineStr">
        <is>
          <t>R0065</t>
        </is>
      </c>
      <c r="AZ66" s="841" t="n"/>
    </row>
    <row r="67" ht="18" customHeight="1" s="535">
      <c r="A67" s="842" t="n">
        <v>110852</v>
      </c>
      <c r="B67" s="843" t="inlineStr">
        <is>
          <t>Madan Murthy</t>
        </is>
      </c>
      <c r="C67" s="842" t="n">
        <v>110852</v>
      </c>
      <c r="D67" s="843" t="inlineStr">
        <is>
          <t>Head of Technology, AU Retail</t>
        </is>
      </c>
      <c r="E67" s="843" t="inlineStr">
        <is>
          <t>Vance Anderson</t>
        </is>
      </c>
      <c r="F67" s="843" t="inlineStr">
        <is>
          <t>GM TDD, Ampol Retail &amp; Z</t>
        </is>
      </c>
      <c r="G67" s="844" t="inlineStr">
        <is>
          <t>Ampol Retail &amp; Z</t>
        </is>
      </c>
      <c r="H67" s="843" t="inlineStr">
        <is>
          <t>Ampol Retail</t>
        </is>
      </c>
      <c r="I67" s="843" t="inlineStr">
        <is>
          <t>na</t>
        </is>
      </c>
      <c r="J67" s="843" t="inlineStr">
        <is>
          <t>Retail</t>
        </is>
      </c>
      <c r="K67" s="843" t="inlineStr">
        <is>
          <t>(All Retail)</t>
        </is>
      </c>
      <c r="L67" s="843" t="inlineStr">
        <is>
          <t>Leadership</t>
        </is>
      </c>
      <c r="M67" s="843" t="n"/>
      <c r="N67" s="845" t="inlineStr">
        <is>
          <t>Australia</t>
        </is>
      </c>
      <c r="O67" s="846" t="inlineStr">
        <is>
          <t>CSC</t>
        </is>
      </c>
      <c r="P67" s="847" t="n">
        <v>1</v>
      </c>
      <c r="Q67" s="846" t="n"/>
      <c r="R67" s="847" t="inlineStr">
        <is>
          <t>Permanent - Full Time</t>
        </is>
      </c>
      <c r="S67" s="847" t="n"/>
      <c r="T67" s="847" t="n"/>
      <c r="U67" s="848" t="n">
        <v>139350</v>
      </c>
      <c r="V67" s="849" t="n">
        <v>139350</v>
      </c>
      <c r="W67" s="850" t="n">
        <v>0.12</v>
      </c>
      <c r="X67" s="847" t="n">
        <v>0.055</v>
      </c>
      <c r="Y67" s="850" t="n">
        <v>0.12</v>
      </c>
      <c r="Z67" s="851" t="n"/>
      <c r="AA67" s="850" t="n">
        <v>0.04</v>
      </c>
      <c r="AB67" s="852" t="n">
        <v>186032.25</v>
      </c>
      <c r="AE67" s="534">
        <f>IF(TRIM($B67)="","",IF(AND(N($P67)&gt;0,N($P67)&lt;1),N($AB67)*N($P67),N($AB67)))</f>
        <v>186032.25</v>
      </c>
      <c r="AF67" s="534" t="str">
        <f>IF(TRIM($B67)="","",IF(OR(ISNUMBER(SEARCH("vacant",$B67)),ISNUMBER(SEARCH("ring fenced",$B67)),LOWER(TRIM($B67))="remove"),"Vacant","Filled"))</f>
        <v>Filled</v>
      </c>
      <c r="AG67" s="534" t="b">
        <f>IF(TRIM($B67)="","",--ISNUMBER(SEARCH("ring fenced",$B67)))</f>
        <v>0</v>
      </c>
      <c r="AH67" s="534" t="str">
        <f>IF(TRIM($B67)="","",IF(COUNTIFS(Lists!$AN$2:$AN$22,TRIM($B67)&amp;" | "&amp;TRIM($D67),Lists!$AO$2:$AO$22,"&lt;&gt;"),INDEX(Lists!$AO$2:$AO$22,MATCH(TRIM($B67)&amp;" | "&amp;TRIM($D67),Lists!$AN$2:$AN$22,0)),IF(COUNTIF(Lists!$AR$2:$AR$3,$AJ67),"TDD Cyber",IF(AND(LEFT($AJ67,4)="EGI ",ISNUMBER(MATCH(TRIM(MID($AJ67,5,99)),Lists!$AS$2:$AS$12,0))),TRIM(MID($AJ67,5,99)),IF(AND(LEFT($AJ67,4)="EGI ",ISNUMBER(MATCH(TRIM(MID($AJ67,5,99)),Lists!$T$2:$T$21,0))),INDEX(Lists!$U$2:$U$21,MATCH(TRIM(MID($AJ67,5,99)),Lists!$T$2:$T$21,0)),IF(OR(TRIM($J67)="",UPPER(TRIM($J67))="NA"),IFERROR(INDEX(Lists!$R$2:$R$9,MATCH(TRIM($G67),Lists!$Q$2:$Q$9,0)),"UNMAPPED"),IFERROR(INDEX(Lists!$U$2:$U$21,MATCH(TRIM($J67),Lists!$T$2:$T$21,0)),IFERROR(INDEX(Lists!$R$2:$R$9,MATCH(TRIM($G67),Lists!$Q$2:$Q$9,0)),"UNMAPPED"))))))))</f>
        <v>Ampol Retail</v>
      </c>
      <c r="AI67" s="534" t="b">
        <f>IF(TRIM($B67)="","",--OR(TRIM($L67)="Leadership",TRIM($K67)="Leadership"))</f>
        <v>1</v>
      </c>
      <c r="AJ67" s="534" t="str">
        <f>IF(TRIM($B67)="","",IF(COUNTIFS(Lists!$AN$2:$AN$22,TRIM($B67)&amp;" | "&amp;TRIM($D67),Lists!$AP$2:$AP$22,"&lt;&gt;"),INDEX(Lists!$AP$2:$AP$22,MATCH(TRIM($B67)&amp;" | "&amp;TRIM($D67),Lists!$AN$2:$AN$22,0)),IF($AI67=1,"Leadership",IFERROR(INDEX(Lists!$X$2:$X$21,MATCH(TRIM($L67),Lists!$W$2:$W$21,0)),IF(OR(TRIM($L67)="",LOWER(TRIM($L67))="na"),IF(TRIM($H67)="","Unassigned",TRIM($H67)),TRIM($L67))))))</f>
        <v>Leadership</v>
      </c>
      <c r="AK67" s="534" t="str">
        <f>IF(TRIM($B67)="","",IF(COUNTIFS(Lists!$AN$2:$AN$22,TRIM($B67)&amp;" | "&amp;TRIM($D67),Lists!$AQ$2:$AQ$22,"&lt;&gt;"),INDEX(Lists!$AQ$2:$AQ$22,MATCH(TRIM($B67)&amp;" | "&amp;TRIM($D67),Lists!$AN$2:$AN$22,0)),IF(COUNTIF(Lists!$AF$2:$AF$8,$AJ67),$AJ67,IF(ISNUMBER(SEARCH("head of ",$D67)),"Head of Technology",IF(ISNUMBER(SEARCH("TDD BP",$D67)),"Business Partner",IF(OR(ISNUMBER(SEARCH("domain architect",$D67)),ISNUMBER(SEARCH("enterprise architect",$D67))),"Domain Architect",IF(ISNUMBER(SEARCH("delivery man",$D67)),"Delivery Manager",IF(OR(ISNUMBER(SEARCH("technology manager",$D67)),ISNUMBER(SEARCH("technology manger",$D67)),ISNUMBER(SEARCH("tech manager",$D67))),"Technology Manager","Squad"))))))))</f>
        <v>Head of Technology</v>
      </c>
      <c r="AL67" s="534" t="str">
        <f>IF(TRIM($B67)="","",IF(AND($AM67=1,LEFT($AJ67,4)&lt;&gt;"EGI ",$AJ67&lt;&gt;"EGI"),IFERROR(INDEX(Lists!$Z$2:$Z$20,MATCH($AH67,Lists!$Y$2:$Y$20,0)),"EGI "&amp;$AH67),IF(COUNTIF(Lists!$AU$2:$AU$10,$AJ67),$AJ67,IF(OR(LEFT($AH67,3)="COE",$AH67="EGI"),$AJ67,IF($AK67&lt;&gt;"Squad",$AK67,$AJ67)))))</f>
        <v>Head of Technology</v>
      </c>
      <c r="AM67" s="534" t="b">
        <f>IF(TRIM($B67)="","",--(UPPER(TRIM($K67))="EGI"))</f>
        <v>0</v>
      </c>
      <c r="AQ67" s="841" t="inlineStr">
        <is>
          <t>R0066</t>
        </is>
      </c>
      <c r="AZ67" s="841" t="n"/>
    </row>
    <row r="68" ht="18" customHeight="1" s="535">
      <c r="A68" s="842" t="inlineStr">
        <is>
          <t>V</t>
        </is>
      </c>
      <c r="B68" s="843" t="inlineStr">
        <is>
          <t>Vacant</t>
        </is>
      </c>
      <c r="C68" s="842" t="inlineStr">
        <is>
          <t>V</t>
        </is>
      </c>
      <c r="D68" s="843" t="inlineStr">
        <is>
          <t>Head of Technology, Z and Group Retail Platforms</t>
        </is>
      </c>
      <c r="E68" s="843" t="inlineStr">
        <is>
          <t>Vance Anderson</t>
        </is>
      </c>
      <c r="F68" s="843" t="inlineStr">
        <is>
          <t>GM TDD, Ampol Retail &amp; Z</t>
        </is>
      </c>
      <c r="G68" s="844" t="inlineStr">
        <is>
          <t>Ampol Retail &amp; Z</t>
        </is>
      </c>
      <c r="H68" s="843" t="inlineStr">
        <is>
          <t>Z &amp; Group Retail</t>
        </is>
      </c>
      <c r="I68" s="843" t="inlineStr">
        <is>
          <t>na</t>
        </is>
      </c>
      <c r="J68" s="843" t="inlineStr">
        <is>
          <t>Z</t>
        </is>
      </c>
      <c r="K68" s="843" t="inlineStr">
        <is>
          <t>Z Customer &amp; Z Supply</t>
        </is>
      </c>
      <c r="L68" s="843" t="inlineStr">
        <is>
          <t>Leadership</t>
        </is>
      </c>
      <c r="M68" s="843" t="n"/>
      <c r="N68" s="845" t="inlineStr">
        <is>
          <t>NZ</t>
        </is>
      </c>
      <c r="O68" s="846" t="inlineStr">
        <is>
          <t>CSC</t>
        </is>
      </c>
      <c r="P68" s="847" t="n">
        <v>1</v>
      </c>
      <c r="Q68" s="846" t="n"/>
      <c r="R68" s="847" t="inlineStr">
        <is>
          <t>v</t>
        </is>
      </c>
      <c r="S68" s="847" t="n"/>
      <c r="T68" s="847" t="n"/>
      <c r="U68" s="848" t="n">
        <v>245000</v>
      </c>
      <c r="V68" s="849" t="n">
        <v>225400</v>
      </c>
      <c r="W68" s="850" t="n">
        <v>0.2</v>
      </c>
      <c r="X68" s="847" t="n"/>
      <c r="Y68" s="850" t="n">
        <v>0.05</v>
      </c>
      <c r="Z68" s="851" t="n">
        <v>2910</v>
      </c>
      <c r="AA68" s="850" t="n">
        <v>0.03</v>
      </c>
      <c r="AB68" s="852" t="n">
        <v>291422</v>
      </c>
      <c r="AE68" s="534">
        <f>IF(TRIM($B68)="","",IF(AND(N($P68)&gt;0,N($P68)&lt;1),N($AB68)*N($P68),N($AB68)))</f>
        <v>291422</v>
      </c>
      <c r="AF68" s="534" t="str">
        <f>IF(TRIM($B68)="","",IF(OR(ISNUMBER(SEARCH("vacant",$B68)),ISNUMBER(SEARCH("ring fenced",$B68)),LOWER(TRIM($B68))="remove"),"Vacant","Filled"))</f>
        <v>Vacant</v>
      </c>
      <c r="AG68" s="534" t="b">
        <f>IF(TRIM($B68)="","",--ISNUMBER(SEARCH("ring fenced",$B68)))</f>
        <v>0</v>
      </c>
      <c r="AH68" s="534" t="str">
        <f>IF(TRIM($B68)="","",IF(COUNTIFS(Lists!$AN$2:$AN$22,TRIM($B68)&amp;" | "&amp;TRIM($D68),Lists!$AO$2:$AO$22,"&lt;&gt;"),INDEX(Lists!$AO$2:$AO$22,MATCH(TRIM($B68)&amp;" | "&amp;TRIM($D68),Lists!$AN$2:$AN$22,0)),IF(COUNTIF(Lists!$AR$2:$AR$3,$AJ68),"TDD Cyber",IF(AND(LEFT($AJ68,4)="EGI ",ISNUMBER(MATCH(TRIM(MID($AJ68,5,99)),Lists!$AS$2:$AS$12,0))),TRIM(MID($AJ68,5,99)),IF(AND(LEFT($AJ68,4)="EGI ",ISNUMBER(MATCH(TRIM(MID($AJ68,5,99)),Lists!$T$2:$T$21,0))),INDEX(Lists!$U$2:$U$21,MATCH(TRIM(MID($AJ68,5,99)),Lists!$T$2:$T$21,0)),IF(OR(TRIM($J68)="",UPPER(TRIM($J68))="NA"),IFERROR(INDEX(Lists!$R$2:$R$9,MATCH(TRIM($G68),Lists!$Q$2:$Q$9,0)),"UNMAPPED"),IFERROR(INDEX(Lists!$U$2:$U$21,MATCH(TRIM($J68),Lists!$T$2:$T$21,0)),IFERROR(INDEX(Lists!$R$2:$R$9,MATCH(TRIM($G68),Lists!$Q$2:$Q$9,0)),"UNMAPPED"))))))))</f>
        <v>Z Retail</v>
      </c>
      <c r="AI68" s="534" t="b">
        <f>IF(TRIM($B68)="","",--OR(TRIM($L68)="Leadership",TRIM($K68)="Leadership"))</f>
        <v>1</v>
      </c>
      <c r="AJ68" s="534" t="str">
        <f>IF(TRIM($B68)="","",IF(COUNTIFS(Lists!$AN$2:$AN$22,TRIM($B68)&amp;" | "&amp;TRIM($D68),Lists!$AP$2:$AP$22,"&lt;&gt;"),INDEX(Lists!$AP$2:$AP$22,MATCH(TRIM($B68)&amp;" | "&amp;TRIM($D68),Lists!$AN$2:$AN$22,0)),IF($AI68=1,"Leadership",IFERROR(INDEX(Lists!$X$2:$X$21,MATCH(TRIM($L68),Lists!$W$2:$W$21,0)),IF(OR(TRIM($L68)="",LOWER(TRIM($L68))="na"),IF(TRIM($H68)="","Unassigned",TRIM($H68)),TRIM($L68))))))</f>
        <v>Leadership</v>
      </c>
      <c r="AK68" s="534" t="str">
        <f>IF(TRIM($B68)="","",IF(COUNTIFS(Lists!$AN$2:$AN$22,TRIM($B68)&amp;" | "&amp;TRIM($D68),Lists!$AQ$2:$AQ$22,"&lt;&gt;"),INDEX(Lists!$AQ$2:$AQ$22,MATCH(TRIM($B68)&amp;" | "&amp;TRIM($D68),Lists!$AN$2:$AN$22,0)),IF(COUNTIF(Lists!$AF$2:$AF$8,$AJ68),$AJ68,IF(ISNUMBER(SEARCH("head of ",$D68)),"Head of Technology",IF(ISNUMBER(SEARCH("TDD BP",$D68)),"Business Partner",IF(OR(ISNUMBER(SEARCH("domain architect",$D68)),ISNUMBER(SEARCH("enterprise architect",$D68))),"Domain Architect",IF(ISNUMBER(SEARCH("delivery man",$D68)),"Delivery Manager",IF(OR(ISNUMBER(SEARCH("technology manager",$D68)),ISNUMBER(SEARCH("technology manger",$D68)),ISNUMBER(SEARCH("tech manager",$D68))),"Technology Manager","Squad"))))))))</f>
        <v>Head of Technology</v>
      </c>
      <c r="AL68" s="534" t="str">
        <f>IF(TRIM($B68)="","",IF(AND($AM68=1,LEFT($AJ68,4)&lt;&gt;"EGI ",$AJ68&lt;&gt;"EGI"),IFERROR(INDEX(Lists!$Z$2:$Z$20,MATCH($AH68,Lists!$Y$2:$Y$20,0)),"EGI "&amp;$AH68),IF(COUNTIF(Lists!$AU$2:$AU$10,$AJ68),$AJ68,IF(OR(LEFT($AH68,3)="COE",$AH68="EGI"),$AJ68,IF($AK68&lt;&gt;"Squad",$AK68,$AJ68)))))</f>
        <v>Head of Technology</v>
      </c>
      <c r="AM68" s="534" t="b">
        <f>IF(TRIM($B68)="","",--(UPPER(TRIM($K68))="EGI"))</f>
        <v>0</v>
      </c>
      <c r="AQ68" s="841" t="inlineStr">
        <is>
          <t>R0067</t>
        </is>
      </c>
      <c r="AZ68" s="841" t="n"/>
    </row>
    <row r="69" ht="18" customHeight="1" s="535">
      <c r="A69" s="842" t="n">
        <v>113555</v>
      </c>
      <c r="B69" s="843" t="inlineStr">
        <is>
          <t>Jill Martin</t>
        </is>
      </c>
      <c r="C69" s="842" t="n">
        <v>113555</v>
      </c>
      <c r="D69" s="843" t="inlineStr">
        <is>
          <t>Delivery Manager</t>
        </is>
      </c>
      <c r="E69" s="843" t="inlineStr">
        <is>
          <t>Andy Stewart</t>
        </is>
      </c>
      <c r="F69" s="843" t="inlineStr">
        <is>
          <t>Head of Technology, Loyalty &amp; Martech</t>
        </is>
      </c>
      <c r="G69" s="844" t="inlineStr">
        <is>
          <t>Customer</t>
        </is>
      </c>
      <c r="H69" s="843" t="inlineStr">
        <is>
          <t>Loyalty &amp; Martech</t>
        </is>
      </c>
      <c r="I69" s="843" t="inlineStr">
        <is>
          <t xml:space="preserve">Loyalty, Delivery </t>
        </is>
      </c>
      <c r="J69" s="843" t="inlineStr">
        <is>
          <t>Ampol Customer</t>
        </is>
      </c>
      <c r="K69" s="843" t="inlineStr">
        <is>
          <t>Z Loyalty &amp; Martech</t>
        </is>
      </c>
      <c r="L69" s="843" t="inlineStr">
        <is>
          <t>Z Loyalty &amp; Martech</t>
        </is>
      </c>
      <c r="M69" s="843" t="n"/>
      <c r="N69" s="845" t="inlineStr">
        <is>
          <t>NZ</t>
        </is>
      </c>
      <c r="O69" s="846" t="inlineStr">
        <is>
          <t>CSB (Often)</t>
        </is>
      </c>
      <c r="P69" s="847" t="n">
        <v>1</v>
      </c>
      <c r="Q69" s="846" t="n"/>
      <c r="R69" s="847" t="inlineStr">
        <is>
          <t>Permanent - Full Time</t>
        </is>
      </c>
      <c r="S69" s="847" t="n"/>
      <c r="T69" s="847" t="n"/>
      <c r="U69" s="848" t="n">
        <v>193630</v>
      </c>
      <c r="V69" s="849" t="n">
        <v>178139.6</v>
      </c>
      <c r="W69" s="850" t="n">
        <v>0.15</v>
      </c>
      <c r="X69" s="847" t="n"/>
      <c r="Y69" s="850" t="n">
        <v>0.05</v>
      </c>
      <c r="Z69" s="851" t="n">
        <v>2910</v>
      </c>
      <c r="AA69" s="850" t="n">
        <v>0.03</v>
      </c>
      <c r="AB69" s="852" t="n">
        <v>222021.708</v>
      </c>
      <c r="AE69" s="534">
        <f>IF(TRIM($B69)="","",IF(AND(N($P69)&gt;0,N($P69)&lt;1),N($AB69)*N($P69),N($AB69)))</f>
        <v>222021.708</v>
      </c>
      <c r="AF69" s="534" t="str">
        <f>IF(TRIM($B69)="","",IF(OR(ISNUMBER(SEARCH("vacant",$B69)),ISNUMBER(SEARCH("ring fenced",$B69)),LOWER(TRIM($B69))="remove"),"Vacant","Filled"))</f>
        <v>Filled</v>
      </c>
      <c r="AG69" s="534" t="b">
        <f>IF(TRIM($B69)="","",--ISNUMBER(SEARCH("ring fenced",$B69)))</f>
        <v>0</v>
      </c>
      <c r="AH69" s="534" t="str">
        <f>IF(TRIM($B69)="","",IF(COUNTIFS(Lists!$AN$2:$AN$22,TRIM($B69)&amp;" | "&amp;TRIM($D69),Lists!$AO$2:$AO$22,"&lt;&gt;"),INDEX(Lists!$AO$2:$AO$22,MATCH(TRIM($B69)&amp;" | "&amp;TRIM($D69),Lists!$AN$2:$AN$22,0)),IF(COUNTIF(Lists!$AR$2:$AR$3,$AJ69),"TDD Cyber",IF(AND(LEFT($AJ69,4)="EGI ",ISNUMBER(MATCH(TRIM(MID($AJ69,5,99)),Lists!$AS$2:$AS$12,0))),TRIM(MID($AJ69,5,99)),IF(AND(LEFT($AJ69,4)="EGI ",ISNUMBER(MATCH(TRIM(MID($AJ69,5,99)),Lists!$T$2:$T$21,0))),INDEX(Lists!$U$2:$U$21,MATCH(TRIM(MID($AJ69,5,99)),Lists!$T$2:$T$21,0)),IF(OR(TRIM($J69)="",UPPER(TRIM($J69))="NA"),IFERROR(INDEX(Lists!$R$2:$R$9,MATCH(TRIM($G69),Lists!$Q$2:$Q$9,0)),"UNMAPPED"),IFERROR(INDEX(Lists!$U$2:$U$21,MATCH(TRIM($J69),Lists!$T$2:$T$21,0)),IFERROR(INDEX(Lists!$R$2:$R$9,MATCH(TRIM($G69),Lists!$Q$2:$Q$9,0)),"UNMAPPED"))))))))</f>
        <v>Customer</v>
      </c>
      <c r="AI69" s="534" t="b">
        <f>IF(TRIM($B69)="","",--OR(TRIM($L69)="Leadership",TRIM($K69)="Leadership"))</f>
        <v>0</v>
      </c>
      <c r="AJ69" s="534" t="str">
        <f>IF(TRIM($B69)="","",IF(COUNTIFS(Lists!$AN$2:$AN$22,TRIM($B69)&amp;" | "&amp;TRIM($D69),Lists!$AP$2:$AP$22,"&lt;&gt;"),INDEX(Lists!$AP$2:$AP$22,MATCH(TRIM($B69)&amp;" | "&amp;TRIM($D69),Lists!$AN$2:$AN$22,0)),IF($AI69=1,"Leadership",IFERROR(INDEX(Lists!$X$2:$X$21,MATCH(TRIM($L69),Lists!$W$2:$W$21,0)),IF(OR(TRIM($L69)="",LOWER(TRIM($L69))="na"),IF(TRIM($H69)="","Unassigned",TRIM($H69)),TRIM($L69))))))</f>
        <v>Z Loyalty &amp; Martech</v>
      </c>
      <c r="AK69" s="534" t="str">
        <f>IF(TRIM($B69)="","",IF(COUNTIFS(Lists!$AN$2:$AN$22,TRIM($B69)&amp;" | "&amp;TRIM($D69),Lists!$AQ$2:$AQ$22,"&lt;&gt;"),INDEX(Lists!$AQ$2:$AQ$22,MATCH(TRIM($B69)&amp;" | "&amp;TRIM($D69),Lists!$AN$2:$AN$22,0)),IF(COUNTIF(Lists!$AF$2:$AF$8,$AJ69),$AJ69,IF(ISNUMBER(SEARCH("head of ",$D69)),"Head of Technology",IF(ISNUMBER(SEARCH("TDD BP",$D69)),"Business Partner",IF(OR(ISNUMBER(SEARCH("domain architect",$D69)),ISNUMBER(SEARCH("enterprise architect",$D69))),"Domain Architect",IF(ISNUMBER(SEARCH("delivery man",$D69)),"Delivery Manager",IF(OR(ISNUMBER(SEARCH("technology manager",$D69)),ISNUMBER(SEARCH("technology manger",$D69)),ISNUMBER(SEARCH("tech manager",$D69))),"Technology Manager","Squad"))))))))</f>
        <v>Delivery Manager</v>
      </c>
      <c r="AL69" s="534" t="str">
        <f>IF(TRIM($B69)="","",IF(AND($AM69=1,LEFT($AJ69,4)&lt;&gt;"EGI ",$AJ69&lt;&gt;"EGI"),IFERROR(INDEX(Lists!$Z$2:$Z$20,MATCH($AH69,Lists!$Y$2:$Y$20,0)),"EGI "&amp;$AH69),IF(COUNTIF(Lists!$AU$2:$AU$10,$AJ69),$AJ69,IF(OR(LEFT($AH69,3)="COE",$AH69="EGI"),$AJ69,IF($AK69&lt;&gt;"Squad",$AK69,$AJ69)))))</f>
        <v>Delivery Manager</v>
      </c>
      <c r="AM69" s="534" t="b">
        <f>IF(TRIM($B69)="","",--(UPPER(TRIM($K69))="EGI"))</f>
        <v>0</v>
      </c>
      <c r="AN69" s="534" t="inlineStr">
        <is>
          <t>Filled</t>
        </is>
      </c>
      <c r="AQ69" s="841" t="inlineStr">
        <is>
          <t>R0068</t>
        </is>
      </c>
      <c r="AZ69" s="841" t="n"/>
    </row>
    <row r="70" ht="18" customHeight="1" s="535">
      <c r="A70" s="842" t="n">
        <v>114753</v>
      </c>
      <c r="B70" s="843" t="inlineStr">
        <is>
          <t>Zoe Udy</t>
        </is>
      </c>
      <c r="C70" s="842" t="n">
        <v>114753</v>
      </c>
      <c r="D70" s="843" t="inlineStr">
        <is>
          <t>Technology Manager – Data &amp; Engineering</t>
        </is>
      </c>
      <c r="E70" s="843" t="inlineStr">
        <is>
          <t>Andy Stewart</t>
        </is>
      </c>
      <c r="F70" s="843" t="inlineStr">
        <is>
          <t>Head of Technology, Loyalty &amp; Martech</t>
        </is>
      </c>
      <c r="G70" s="844" t="inlineStr">
        <is>
          <t>Customer</t>
        </is>
      </c>
      <c r="H70" s="843" t="inlineStr">
        <is>
          <t>Loyalty &amp; Martech</t>
        </is>
      </c>
      <c r="I70" s="843" t="inlineStr">
        <is>
          <t>Loyalty, Data &amp; Engineering</t>
        </is>
      </c>
      <c r="J70" s="843" t="inlineStr">
        <is>
          <t>Ampol Customer</t>
        </is>
      </c>
      <c r="K70" s="843" t="inlineStr">
        <is>
          <t>Z Loyalty &amp; Martech</t>
        </is>
      </c>
      <c r="L70" s="843" t="inlineStr">
        <is>
          <t>Z Energy Martech</t>
        </is>
      </c>
      <c r="M70" s="843" t="n"/>
      <c r="N70" s="845" t="inlineStr">
        <is>
          <t>NZ</t>
        </is>
      </c>
      <c r="O70" s="846" t="inlineStr">
        <is>
          <t>CSB (Often)</t>
        </is>
      </c>
      <c r="P70" s="847" t="n">
        <v>1</v>
      </c>
      <c r="Q70" s="846" t="n"/>
      <c r="R70" s="847" t="inlineStr">
        <is>
          <t>Permanent - Full Time</t>
        </is>
      </c>
      <c r="S70" s="847" t="n"/>
      <c r="T70" s="847" t="n"/>
      <c r="U70" s="848" t="n">
        <v>180980</v>
      </c>
      <c r="V70" s="849" t="n">
        <v>166501.6</v>
      </c>
      <c r="W70" s="850" t="n">
        <v>0.15</v>
      </c>
      <c r="X70" s="847" t="n"/>
      <c r="Y70" s="850" t="n">
        <v>0.05</v>
      </c>
      <c r="Z70" s="851" t="n">
        <v>2910</v>
      </c>
      <c r="AA70" s="850" t="n">
        <v>0.03</v>
      </c>
      <c r="AB70" s="852" t="n">
        <v>207706.968</v>
      </c>
      <c r="AE70" s="534">
        <f>IF(TRIM($B70)="","",IF(AND(N($P70)&gt;0,N($P70)&lt;1),N($AB70)*N($P70),N($AB70)))</f>
        <v>207706.968</v>
      </c>
      <c r="AF70" s="534" t="str">
        <f>IF(TRIM($B70)="","",IF(OR(ISNUMBER(SEARCH("vacant",$B70)),ISNUMBER(SEARCH("ring fenced",$B70)),LOWER(TRIM($B70))="remove"),"Vacant","Filled"))</f>
        <v>Filled</v>
      </c>
      <c r="AG70" s="534" t="b">
        <f>IF(TRIM($B70)="","",--ISNUMBER(SEARCH("ring fenced",$B70)))</f>
        <v>0</v>
      </c>
      <c r="AH70" s="534" t="str">
        <f>IF(TRIM($B70)="","",IF(COUNTIFS(Lists!$AN$2:$AN$22,TRIM($B70)&amp;" | "&amp;TRIM($D70),Lists!$AO$2:$AO$22,"&lt;&gt;"),INDEX(Lists!$AO$2:$AO$22,MATCH(TRIM($B70)&amp;" | "&amp;TRIM($D70),Lists!$AN$2:$AN$22,0)),IF(COUNTIF(Lists!$AR$2:$AR$3,$AJ70),"TDD Cyber",IF(AND(LEFT($AJ70,4)="EGI ",ISNUMBER(MATCH(TRIM(MID($AJ70,5,99)),Lists!$AS$2:$AS$12,0))),TRIM(MID($AJ70,5,99)),IF(AND(LEFT($AJ70,4)="EGI ",ISNUMBER(MATCH(TRIM(MID($AJ70,5,99)),Lists!$T$2:$T$21,0))),INDEX(Lists!$U$2:$U$21,MATCH(TRIM(MID($AJ70,5,99)),Lists!$T$2:$T$21,0)),IF(OR(TRIM($J70)="",UPPER(TRIM($J70))="NA"),IFERROR(INDEX(Lists!$R$2:$R$9,MATCH(TRIM($G70),Lists!$Q$2:$Q$9,0)),"UNMAPPED"),IFERROR(INDEX(Lists!$U$2:$U$21,MATCH(TRIM($J70),Lists!$T$2:$T$21,0)),IFERROR(INDEX(Lists!$R$2:$R$9,MATCH(TRIM($G70),Lists!$Q$2:$Q$9,0)),"UNMAPPED"))))))))</f>
        <v>Customer</v>
      </c>
      <c r="AI70" s="534" t="b">
        <f>IF(TRIM($B70)="","",--OR(TRIM($L70)="Leadership",TRIM($K70)="Leadership"))</f>
        <v>0</v>
      </c>
      <c r="AJ70" s="534" t="str">
        <f>IF(TRIM($B70)="","",IF(COUNTIFS(Lists!$AN$2:$AN$22,TRIM($B70)&amp;" | "&amp;TRIM($D70),Lists!$AP$2:$AP$22,"&lt;&gt;"),INDEX(Lists!$AP$2:$AP$22,MATCH(TRIM($B70)&amp;" | "&amp;TRIM($D70),Lists!$AN$2:$AN$22,0)),IF($AI70=1,"Leadership",IFERROR(INDEX(Lists!$X$2:$X$21,MATCH(TRIM($L70),Lists!$W$2:$W$21,0)),IF(OR(TRIM($L70)="",LOWER(TRIM($L70))="na"),IF(TRIM($H70)="","Unassigned",TRIM($H70)),TRIM($L70))))))</f>
        <v>Z Loyalty &amp; Martech</v>
      </c>
      <c r="AK70" s="534" t="str">
        <f>IF(TRIM($B70)="","",IF(COUNTIFS(Lists!$AN$2:$AN$22,TRIM($B70)&amp;" | "&amp;TRIM($D70),Lists!$AQ$2:$AQ$22,"&lt;&gt;"),INDEX(Lists!$AQ$2:$AQ$22,MATCH(TRIM($B70)&amp;" | "&amp;TRIM($D70),Lists!$AN$2:$AN$22,0)),IF(COUNTIF(Lists!$AF$2:$AF$8,$AJ70),$AJ70,IF(ISNUMBER(SEARCH("head of ",$D70)),"Head of Technology",IF(ISNUMBER(SEARCH("TDD BP",$D70)),"Business Partner",IF(OR(ISNUMBER(SEARCH("domain architect",$D70)),ISNUMBER(SEARCH("enterprise architect",$D70))),"Domain Architect",IF(ISNUMBER(SEARCH("delivery man",$D70)),"Delivery Manager",IF(OR(ISNUMBER(SEARCH("technology manager",$D70)),ISNUMBER(SEARCH("technology manger",$D70)),ISNUMBER(SEARCH("tech manager",$D70))),"Technology Manager","Squad"))))))))</f>
        <v>Technology Manager</v>
      </c>
      <c r="AL70" s="534" t="str">
        <f>IF(TRIM($B70)="","",IF(AND($AM70=1,LEFT($AJ70,4)&lt;&gt;"EGI ",$AJ70&lt;&gt;"EGI"),IFERROR(INDEX(Lists!$Z$2:$Z$20,MATCH($AH70,Lists!$Y$2:$Y$20,0)),"EGI "&amp;$AH70),IF(COUNTIF(Lists!$AU$2:$AU$10,$AJ70),$AJ70,IF(OR(LEFT($AH70,3)="COE",$AH70="EGI"),$AJ70,IF($AK70&lt;&gt;"Squad",$AK70,$AJ70)))))</f>
        <v>Technology Manager</v>
      </c>
      <c r="AM70" s="534" t="b">
        <f>IF(TRIM($B70)="","",--(UPPER(TRIM($K70))="EGI"))</f>
        <v>0</v>
      </c>
      <c r="AN70" s="534" t="inlineStr">
        <is>
          <t>Filled</t>
        </is>
      </c>
      <c r="AQ70" s="841" t="inlineStr">
        <is>
          <t>R0069</t>
        </is>
      </c>
      <c r="AZ70" s="841" t="n"/>
    </row>
    <row r="71" ht="18" customHeight="1" s="535">
      <c r="A71" s="842" t="n">
        <v>113568</v>
      </c>
      <c r="B71" s="843" t="inlineStr">
        <is>
          <t>Kris Hamilton</t>
        </is>
      </c>
      <c r="C71" s="842" t="n">
        <v>113568</v>
      </c>
      <c r="D71" s="843" t="inlineStr">
        <is>
          <t>Technology Manager - Loyalty &amp; Martech</t>
        </is>
      </c>
      <c r="E71" s="843" t="inlineStr">
        <is>
          <t>Andy Stewart</t>
        </is>
      </c>
      <c r="F71" s="843" t="inlineStr">
        <is>
          <t>Head of Technology, Loyalty &amp; Martech</t>
        </is>
      </c>
      <c r="G71" s="844" t="inlineStr">
        <is>
          <t>Customer</t>
        </is>
      </c>
      <c r="H71" s="843" t="inlineStr">
        <is>
          <t>Loyalty &amp; Martech</t>
        </is>
      </c>
      <c r="I71" s="843" t="inlineStr">
        <is>
          <t>Loyalty, Tech</t>
        </is>
      </c>
      <c r="J71" s="843" t="inlineStr">
        <is>
          <t>Z ENERGY (DIGITAL)</t>
        </is>
      </c>
      <c r="K71" s="843" t="inlineStr">
        <is>
          <t>Z Loyalty &amp; Martech</t>
        </is>
      </c>
      <c r="L71" s="843" t="inlineStr">
        <is>
          <t>Z Energy Martech</t>
        </is>
      </c>
      <c r="M71" s="843" t="n"/>
      <c r="N71" s="845" t="inlineStr">
        <is>
          <t>NZ</t>
        </is>
      </c>
      <c r="O71" s="846" t="inlineStr">
        <is>
          <t>CSB (Often)</t>
        </is>
      </c>
      <c r="P71" s="847" t="n">
        <v>1</v>
      </c>
      <c r="Q71" s="846" t="n"/>
      <c r="R71" s="847" t="inlineStr">
        <is>
          <t>Permanent - Full Time</t>
        </is>
      </c>
      <c r="S71" s="847" t="n"/>
      <c r="T71" s="847" t="n"/>
      <c r="U71" s="848" t="n">
        <v>194670</v>
      </c>
      <c r="V71" s="849" t="n">
        <v>179096.4</v>
      </c>
      <c r="W71" s="850" t="n">
        <v>0.15</v>
      </c>
      <c r="X71" s="847" t="n"/>
      <c r="Y71" s="850" t="n">
        <v>0.05</v>
      </c>
      <c r="Z71" s="851" t="n">
        <v>2910</v>
      </c>
      <c r="AA71" s="850" t="n">
        <v>0.03</v>
      </c>
      <c r="AB71" s="852" t="n">
        <v>223198.572</v>
      </c>
      <c r="AE71" s="534">
        <f>IF(TRIM($B71)="","",IF(AND(N($P71)&gt;0,N($P71)&lt;1),N($AB71)*N($P71),N($AB71)))</f>
        <v>223198.572</v>
      </c>
      <c r="AF71" s="534" t="str">
        <f>IF(TRIM($B71)="","",IF(OR(ISNUMBER(SEARCH("vacant",$B71)),ISNUMBER(SEARCH("ring fenced",$B71)),LOWER(TRIM($B71))="remove"),"Vacant","Filled"))</f>
        <v>Filled</v>
      </c>
      <c r="AG71" s="534" t="b">
        <f>IF(TRIM($B71)="","",--ISNUMBER(SEARCH("ring fenced",$B71)))</f>
        <v>0</v>
      </c>
      <c r="AH71" s="534" t="str">
        <f>IF(TRIM($B71)="","",IF(COUNTIFS(Lists!$AN$2:$AN$22,TRIM($B71)&amp;" | "&amp;TRIM($D71),Lists!$AO$2:$AO$22,"&lt;&gt;"),INDEX(Lists!$AO$2:$AO$22,MATCH(TRIM($B71)&amp;" | "&amp;TRIM($D71),Lists!$AN$2:$AN$22,0)),IF(COUNTIF(Lists!$AR$2:$AR$3,$AJ71),"TDD Cyber",IF(AND(LEFT($AJ71,4)="EGI ",ISNUMBER(MATCH(TRIM(MID($AJ71,5,99)),Lists!$AS$2:$AS$12,0))),TRIM(MID($AJ71,5,99)),IF(AND(LEFT($AJ71,4)="EGI ",ISNUMBER(MATCH(TRIM(MID($AJ71,5,99)),Lists!$T$2:$T$21,0))),INDEX(Lists!$U$2:$U$21,MATCH(TRIM(MID($AJ71,5,99)),Lists!$T$2:$T$21,0)),IF(OR(TRIM($J71)="",UPPER(TRIM($J71))="NA"),IFERROR(INDEX(Lists!$R$2:$R$9,MATCH(TRIM($G71),Lists!$Q$2:$Q$9,0)),"UNMAPPED"),IFERROR(INDEX(Lists!$U$2:$U$21,MATCH(TRIM($J71),Lists!$T$2:$T$21,0)),IFERROR(INDEX(Lists!$R$2:$R$9,MATCH(TRIM($G71),Lists!$Q$2:$Q$9,0)),"UNMAPPED"))))))))</f>
        <v>Customer</v>
      </c>
      <c r="AI71" s="534" t="b">
        <f>IF(TRIM($B71)="","",--OR(TRIM($L71)="Leadership",TRIM($K71)="Leadership"))</f>
        <v>0</v>
      </c>
      <c r="AJ71" s="534" t="str">
        <f>IF(TRIM($B71)="","",IF(COUNTIFS(Lists!$AN$2:$AN$22,TRIM($B71)&amp;" | "&amp;TRIM($D71),Lists!$AP$2:$AP$22,"&lt;&gt;"),INDEX(Lists!$AP$2:$AP$22,MATCH(TRIM($B71)&amp;" | "&amp;TRIM($D71),Lists!$AN$2:$AN$22,0)),IF($AI71=1,"Leadership",IFERROR(INDEX(Lists!$X$2:$X$21,MATCH(TRIM($L71),Lists!$W$2:$W$21,0)),IF(OR(TRIM($L71)="",LOWER(TRIM($L71))="na"),IF(TRIM($H71)="","Unassigned",TRIM($H71)),TRIM($L71))))))</f>
        <v>Z Loyalty &amp; Martech</v>
      </c>
      <c r="AK71" s="534" t="str">
        <f>IF(TRIM($B71)="","",IF(COUNTIFS(Lists!$AN$2:$AN$22,TRIM($B71)&amp;" | "&amp;TRIM($D71),Lists!$AQ$2:$AQ$22,"&lt;&gt;"),INDEX(Lists!$AQ$2:$AQ$22,MATCH(TRIM($B71)&amp;" | "&amp;TRIM($D71),Lists!$AN$2:$AN$22,0)),IF(COUNTIF(Lists!$AF$2:$AF$8,$AJ71),$AJ71,IF(ISNUMBER(SEARCH("head of ",$D71)),"Head of Technology",IF(ISNUMBER(SEARCH("TDD BP",$D71)),"Business Partner",IF(OR(ISNUMBER(SEARCH("domain architect",$D71)),ISNUMBER(SEARCH("enterprise architect",$D71))),"Domain Architect",IF(ISNUMBER(SEARCH("delivery man",$D71)),"Delivery Manager",IF(OR(ISNUMBER(SEARCH("technology manager",$D71)),ISNUMBER(SEARCH("technology manger",$D71)),ISNUMBER(SEARCH("tech manager",$D71))),"Technology Manager","Squad"))))))))</f>
        <v>Technology Manager</v>
      </c>
      <c r="AL71" s="534" t="str">
        <f>IF(TRIM($B71)="","",IF(AND($AM71=1,LEFT($AJ71,4)&lt;&gt;"EGI ",$AJ71&lt;&gt;"EGI"),IFERROR(INDEX(Lists!$Z$2:$Z$20,MATCH($AH71,Lists!$Y$2:$Y$20,0)),"EGI "&amp;$AH71),IF(COUNTIF(Lists!$AU$2:$AU$10,$AJ71),$AJ71,IF(OR(LEFT($AH71,3)="COE",$AH71="EGI"),$AJ71,IF($AK71&lt;&gt;"Squad",$AK71,$AJ71)))))</f>
        <v>Technology Manager</v>
      </c>
      <c r="AM71" s="534" t="b">
        <f>IF(TRIM($B71)="","",--(UPPER(TRIM($K71))="EGI"))</f>
        <v>0</v>
      </c>
      <c r="AN71" s="534" t="inlineStr">
        <is>
          <t>Filled</t>
        </is>
      </c>
      <c r="AQ71" s="841" t="inlineStr">
        <is>
          <t>R0070</t>
        </is>
      </c>
      <c r="AZ71" s="841" t="n"/>
    </row>
    <row r="72" ht="18" customFormat="1" customHeight="1" s="855">
      <c r="A72" s="842" t="n">
        <v>96283</v>
      </c>
      <c r="B72" s="843" t="inlineStr">
        <is>
          <t>Ed Tacey</t>
        </is>
      </c>
      <c r="C72" s="842" t="n">
        <v>96283</v>
      </c>
      <c r="D72" s="843" t="inlineStr">
        <is>
          <t>Head of AI enablement</t>
        </is>
      </c>
      <c r="E72" s="843" t="inlineStr">
        <is>
          <t>Harley Giles</t>
        </is>
      </c>
      <c r="F72" s="843" t="inlineStr">
        <is>
          <t>GM TDD, Customer</t>
        </is>
      </c>
      <c r="G72" s="844" t="inlineStr">
        <is>
          <t>Customer</t>
        </is>
      </c>
      <c r="H72" s="843" t="inlineStr">
        <is>
          <t>Customer, AI Enablement</t>
        </is>
      </c>
      <c r="I72" s="843" t="n"/>
      <c r="J72" s="843" t="inlineStr">
        <is>
          <t>Ampol Customer</t>
        </is>
      </c>
      <c r="K72" s="843" t="inlineStr">
        <is>
          <t>(All Customer)</t>
        </is>
      </c>
      <c r="L72" s="843" t="inlineStr">
        <is>
          <t>Leadership</t>
        </is>
      </c>
      <c r="M72" s="843" t="n"/>
      <c r="N72" s="845" t="inlineStr">
        <is>
          <t>Australia</t>
        </is>
      </c>
      <c r="O72" s="846" t="inlineStr">
        <is>
          <t>CSC</t>
        </is>
      </c>
      <c r="P72" s="847" t="n">
        <v>1</v>
      </c>
      <c r="Q72" s="846" t="n"/>
      <c r="R72" s="847" t="inlineStr">
        <is>
          <t>Permanent - Full Time</t>
        </is>
      </c>
      <c r="S72" s="847" t="n"/>
      <c r="T72" s="847" t="n"/>
      <c r="U72" s="848" t="n">
        <v>236730</v>
      </c>
      <c r="V72" s="849" t="n">
        <v>236730</v>
      </c>
      <c r="W72" s="850" t="n">
        <v>0.14</v>
      </c>
      <c r="X72" s="847" t="n">
        <v>0.055</v>
      </c>
      <c r="Y72" s="850" t="n">
        <v>0.2</v>
      </c>
      <c r="Z72" s="851" t="n"/>
      <c r="AA72" s="850" t="n">
        <v>0.04</v>
      </c>
      <c r="AB72" s="852" t="n">
        <v>339707.55</v>
      </c>
      <c r="AE72" s="855">
        <f>IF(TRIM($B72)="","",IF(AND(N($P72)&gt;0,N($P72)&lt;1),N($AB72)*N($P72),N($AB72)))</f>
        <v>339707.55</v>
      </c>
      <c r="AF72" s="855" t="str">
        <f>IF(TRIM($B72)="","",IF(OR(ISNUMBER(SEARCH("vacant",$B72)),ISNUMBER(SEARCH("ring fenced",$B72)),LOWER(TRIM($B72))="remove"),"Vacant","Filled"))</f>
        <v>Filled</v>
      </c>
      <c r="AG72" s="855" t="b">
        <f>IF(TRIM($B72)="","",--ISNUMBER(SEARCH("ring fenced",$B72)))</f>
        <v>0</v>
      </c>
      <c r="AH72" s="855" t="str">
        <f>IF(TRIM($B72)="","",IF(COUNTIFS(Lists!$AN$2:$AN$22,TRIM($B72)&amp;" | "&amp;TRIM($D72),Lists!$AO$2:$AO$22,"&lt;&gt;"),INDEX(Lists!$AO$2:$AO$22,MATCH(TRIM($B72)&amp;" | "&amp;TRIM($D72),Lists!$AN$2:$AN$22,0)),IF(COUNTIF(Lists!$AR$2:$AR$3,$AJ72),"TDD Cyber",IF(AND(LEFT($AJ72,4)="EGI ",ISNUMBER(MATCH(TRIM(MID($AJ72,5,99)),Lists!$AS$2:$AS$12,0))),TRIM(MID($AJ72,5,99)),IF(AND(LEFT($AJ72,4)="EGI ",ISNUMBER(MATCH(TRIM(MID($AJ72,5,99)),Lists!$T$2:$T$21,0))),INDEX(Lists!$U$2:$U$21,MATCH(TRIM(MID($AJ72,5,99)),Lists!$T$2:$T$21,0)),IF(OR(TRIM($J72)="",UPPER(TRIM($J72))="NA"),IFERROR(INDEX(Lists!$R$2:$R$9,MATCH(TRIM($G72),Lists!$Q$2:$Q$9,0)),"UNMAPPED"),IFERROR(INDEX(Lists!$U$2:$U$21,MATCH(TRIM($J72),Lists!$T$2:$T$21,0)),IFERROR(INDEX(Lists!$R$2:$R$9,MATCH(TRIM($G72),Lists!$Q$2:$Q$9,0)),"UNMAPPED"))))))))</f>
        <v>Customer</v>
      </c>
      <c r="AI72" s="855" t="b">
        <f>IF(TRIM($B72)="","",--OR(TRIM($L72)="Leadership",TRIM($K72)="Leadership"))</f>
        <v>1</v>
      </c>
      <c r="AJ72" s="855" t="str">
        <f>IF(TRIM($B72)="","",IF(COUNTIFS(Lists!$AN$2:$AN$22,TRIM($B72)&amp;" | "&amp;TRIM($D72),Lists!$AP$2:$AP$22,"&lt;&gt;"),INDEX(Lists!$AP$2:$AP$22,MATCH(TRIM($B72)&amp;" | "&amp;TRIM($D72),Lists!$AN$2:$AN$22,0)),IF($AI72=1,"Leadership",IFERROR(INDEX(Lists!$X$2:$X$21,MATCH(TRIM($L72),Lists!$W$2:$W$21,0)),IF(OR(TRIM($L72)="",LOWER(TRIM($L72))="na"),IF(TRIM($H72)="","Unassigned",TRIM($H72)),TRIM($L72))))))</f>
        <v>Leadership</v>
      </c>
      <c r="AK72" s="855" t="str">
        <f>IF(TRIM($B72)="","",IF(COUNTIFS(Lists!$AN$2:$AN$22,TRIM($B72)&amp;" | "&amp;TRIM($D72),Lists!$AQ$2:$AQ$22,"&lt;&gt;"),INDEX(Lists!$AQ$2:$AQ$22,MATCH(TRIM($B72)&amp;" | "&amp;TRIM($D72),Lists!$AN$2:$AN$22,0)),IF(COUNTIF(Lists!$AF$2:$AF$8,$AJ72),$AJ72,IF(ISNUMBER(SEARCH("head of ",$D72)),"Head of Technology",IF(ISNUMBER(SEARCH("TDD BP",$D72)),"Business Partner",IF(OR(ISNUMBER(SEARCH("domain architect",$D72)),ISNUMBER(SEARCH("enterprise architect",$D72))),"Domain Architect",IF(ISNUMBER(SEARCH("delivery man",$D72)),"Delivery Manager",IF(OR(ISNUMBER(SEARCH("technology manager",$D72)),ISNUMBER(SEARCH("technology manger",$D72)),ISNUMBER(SEARCH("tech manager",$D72))),"Technology Manager","Squad"))))))))</f>
        <v>Squad</v>
      </c>
      <c r="AL72" s="855" t="str">
        <f>IF(TRIM($B72)="","",IF(AND($AM72=1,LEFT($AJ72,4)&lt;&gt;"EGI ",$AJ72&lt;&gt;"EGI"),IFERROR(INDEX(Lists!$Z$2:$Z$20,MATCH($AH72,Lists!$Y$2:$Y$20,0)),"EGI "&amp;$AH72),IF(COUNTIF(Lists!$AU$2:$AU$10,$AJ72),$AJ72,IF(OR(LEFT($AH72,3)="COE",$AH72="EGI"),$AJ72,IF($AK72&lt;&gt;"Squad",$AK72,$AJ72)))))</f>
        <v>Leadership</v>
      </c>
      <c r="AM72" s="855" t="b">
        <f>IF(TRIM($B72)="","",--(UPPER(TRIM($K72))="EGI"))</f>
        <v>0</v>
      </c>
      <c r="AQ72" s="841" t="inlineStr">
        <is>
          <t>R0071</t>
        </is>
      </c>
      <c r="AZ72" s="841" t="n"/>
    </row>
    <row r="73" ht="18" customHeight="1" s="535">
      <c r="A73" s="842" t="inlineStr">
        <is>
          <t>V</t>
        </is>
      </c>
      <c r="B73" s="843" t="inlineStr">
        <is>
          <t>Vacant</t>
        </is>
      </c>
      <c r="C73" s="842" t="inlineStr">
        <is>
          <t>V</t>
        </is>
      </c>
      <c r="D73" s="843" t="inlineStr">
        <is>
          <t>Program Manager</t>
        </is>
      </c>
      <c r="E73" s="843" t="inlineStr">
        <is>
          <t>Harley Giles</t>
        </is>
      </c>
      <c r="F73" s="843" t="inlineStr">
        <is>
          <t>GM TDD, Customer</t>
        </is>
      </c>
      <c r="G73" s="844" t="inlineStr">
        <is>
          <t>Customer</t>
        </is>
      </c>
      <c r="H73" s="843" t="inlineStr">
        <is>
          <t>Customer, PMO</t>
        </is>
      </c>
      <c r="I73" s="843" t="n"/>
      <c r="J73" s="843" t="inlineStr">
        <is>
          <t>Ampol Customer</t>
        </is>
      </c>
      <c r="K73" s="843" t="inlineStr">
        <is>
          <t>(All Customer)</t>
        </is>
      </c>
      <c r="L73" s="843" t="inlineStr">
        <is>
          <t>Leadership</t>
        </is>
      </c>
      <c r="M73" s="843" t="n"/>
      <c r="N73" s="845" t="inlineStr">
        <is>
          <t>Australia</t>
        </is>
      </c>
      <c r="O73" s="846" t="inlineStr">
        <is>
          <t>CSB (Often)</t>
        </is>
      </c>
      <c r="P73" s="847" t="n">
        <v>1</v>
      </c>
      <c r="Q73" s="846" t="n"/>
      <c r="R73" s="847" t="inlineStr">
        <is>
          <t>Vacant</t>
        </is>
      </c>
      <c r="S73" s="847" t="n"/>
      <c r="T73" s="847" t="n"/>
      <c r="U73" s="848" t="n">
        <v>225020</v>
      </c>
      <c r="V73" s="849" t="n">
        <v>225020</v>
      </c>
      <c r="W73" s="850" t="n">
        <v>0.14</v>
      </c>
      <c r="X73" s="847" t="n">
        <v>0.055</v>
      </c>
      <c r="Y73" s="850" t="n">
        <v>0.12</v>
      </c>
      <c r="Z73" s="851" t="n"/>
      <c r="AA73" s="850" t="n">
        <v>0.04</v>
      </c>
      <c r="AB73" s="852" t="n">
        <v>304902.1</v>
      </c>
      <c r="AE73" s="534">
        <f>IF(TRIM($B73)="","",IF(AND(N($P73)&gt;0,N($P73)&lt;1),N($AB73)*N($P73),N($AB73)))</f>
        <v>304902.1</v>
      </c>
      <c r="AF73" s="534" t="str">
        <f>IF(TRIM($B73)="","",IF(OR(ISNUMBER(SEARCH("vacant",$B73)),ISNUMBER(SEARCH("ring fenced",$B73)),LOWER(TRIM($B73))="remove"),"Vacant","Filled"))</f>
        <v>Vacant</v>
      </c>
      <c r="AG73" s="534" t="b">
        <f>IF(TRIM($B73)="","",--ISNUMBER(SEARCH("ring fenced",$B73)))</f>
        <v>0</v>
      </c>
      <c r="AH73" s="534" t="str">
        <f>IF(TRIM($B73)="","",IF(COUNTIFS(Lists!$AN$2:$AN$22,TRIM($B73)&amp;" | "&amp;TRIM($D73),Lists!$AO$2:$AO$22,"&lt;&gt;"),INDEX(Lists!$AO$2:$AO$22,MATCH(TRIM($B73)&amp;" | "&amp;TRIM($D73),Lists!$AN$2:$AN$22,0)),IF(COUNTIF(Lists!$AR$2:$AR$3,$AJ73),"TDD Cyber",IF(AND(LEFT($AJ73,4)="EGI ",ISNUMBER(MATCH(TRIM(MID($AJ73,5,99)),Lists!$AS$2:$AS$12,0))),TRIM(MID($AJ73,5,99)),IF(AND(LEFT($AJ73,4)="EGI ",ISNUMBER(MATCH(TRIM(MID($AJ73,5,99)),Lists!$T$2:$T$21,0))),INDEX(Lists!$U$2:$U$21,MATCH(TRIM(MID($AJ73,5,99)),Lists!$T$2:$T$21,0)),IF(OR(TRIM($J73)="",UPPER(TRIM($J73))="NA"),IFERROR(INDEX(Lists!$R$2:$R$9,MATCH(TRIM($G73),Lists!$Q$2:$Q$9,0)),"UNMAPPED"),IFERROR(INDEX(Lists!$U$2:$U$21,MATCH(TRIM($J73),Lists!$T$2:$T$21,0)),IFERROR(INDEX(Lists!$R$2:$R$9,MATCH(TRIM($G73),Lists!$Q$2:$Q$9,0)),"UNMAPPED"))))))))</f>
        <v>Customer</v>
      </c>
      <c r="AI73" s="534" t="b">
        <f>IF(TRIM($B73)="","",--OR(TRIM($L73)="Leadership",TRIM($K73)="Leadership"))</f>
        <v>1</v>
      </c>
      <c r="AJ73" s="534" t="str">
        <f>IF(TRIM($B73)="","",IF(COUNTIFS(Lists!$AN$2:$AN$22,TRIM($B73)&amp;" | "&amp;TRIM($D73),Lists!$AP$2:$AP$22,"&lt;&gt;"),INDEX(Lists!$AP$2:$AP$22,MATCH(TRIM($B73)&amp;" | "&amp;TRIM($D73),Lists!$AN$2:$AN$22,0)),IF($AI73=1,"Leadership",IFERROR(INDEX(Lists!$X$2:$X$21,MATCH(TRIM($L73),Lists!$W$2:$W$21,0)),IF(OR(TRIM($L73)="",LOWER(TRIM($L73))="na"),IF(TRIM($H73)="","Unassigned",TRIM($H73)),TRIM($L73))))))</f>
        <v>Leadership</v>
      </c>
      <c r="AK73" s="534" t="str">
        <f>IF(TRIM($B73)="","",IF(COUNTIFS(Lists!$AN$2:$AN$22,TRIM($B73)&amp;" | "&amp;TRIM($D73),Lists!$AQ$2:$AQ$22,"&lt;&gt;"),INDEX(Lists!$AQ$2:$AQ$22,MATCH(TRIM($B73)&amp;" | "&amp;TRIM($D73),Lists!$AN$2:$AN$22,0)),IF(COUNTIF(Lists!$AF$2:$AF$8,$AJ73),$AJ73,IF(ISNUMBER(SEARCH("head of ",$D73)),"Head of Technology",IF(ISNUMBER(SEARCH("TDD BP",$D73)),"Business Partner",IF(OR(ISNUMBER(SEARCH("domain architect",$D73)),ISNUMBER(SEARCH("enterprise architect",$D73))),"Domain Architect",IF(ISNUMBER(SEARCH("delivery man",$D73)),"Delivery Manager",IF(OR(ISNUMBER(SEARCH("technology manager",$D73)),ISNUMBER(SEARCH("technology manger",$D73)),ISNUMBER(SEARCH("tech manager",$D73))),"Technology Manager","Squad"))))))))</f>
        <v>Squad</v>
      </c>
      <c r="AL73" s="534" t="str">
        <f>IF(TRIM($B73)="","",IF(AND($AM73=1,LEFT($AJ73,4)&lt;&gt;"EGI ",$AJ73&lt;&gt;"EGI"),IFERROR(INDEX(Lists!$Z$2:$Z$20,MATCH($AH73,Lists!$Y$2:$Y$20,0)),"EGI "&amp;$AH73),IF(COUNTIF(Lists!$AU$2:$AU$10,$AJ73),$AJ73,IF(OR(LEFT($AH73,3)="COE",$AH73="EGI"),$AJ73,IF($AK73&lt;&gt;"Squad",$AK73,$AJ73)))))</f>
        <v>Leadership</v>
      </c>
      <c r="AM73" s="534" t="b">
        <f>IF(TRIM($B73)="","",--(UPPER(TRIM($K73))="EGI"))</f>
        <v>0</v>
      </c>
      <c r="AN73" s="534" t="inlineStr">
        <is>
          <t>Vacant</t>
        </is>
      </c>
      <c r="AQ73" s="841" t="inlineStr">
        <is>
          <t>R0072</t>
        </is>
      </c>
      <c r="AZ73" s="841" t="n"/>
    </row>
    <row r="74" ht="18" customHeight="1" s="535">
      <c r="A74" s="842" t="n">
        <v>114123</v>
      </c>
      <c r="B74" s="843" t="inlineStr">
        <is>
          <t>Adriel Jeyanandhan</t>
        </is>
      </c>
      <c r="C74" s="842" t="n">
        <v>114123</v>
      </c>
      <c r="D74" s="843" t="inlineStr">
        <is>
          <t>Delivery Manager</t>
        </is>
      </c>
      <c r="E74" s="843" t="inlineStr">
        <is>
          <t>Shona Paul</t>
        </is>
      </c>
      <c r="F74" s="843" t="inlineStr">
        <is>
          <t>Head of Technology, Digital</t>
        </is>
      </c>
      <c r="G74" s="844" t="inlineStr">
        <is>
          <t>Customer</t>
        </is>
      </c>
      <c r="H74" s="843" t="inlineStr">
        <is>
          <t>Digital</t>
        </is>
      </c>
      <c r="I74" s="843" t="inlineStr">
        <is>
          <t>Digital, Delivery</t>
        </is>
      </c>
      <c r="J74" s="843" t="inlineStr">
        <is>
          <t>Ampol Customer</t>
        </is>
      </c>
      <c r="K74" s="843" t="inlineStr">
        <is>
          <t>Ampol Digital</t>
        </is>
      </c>
      <c r="L74" s="843" t="inlineStr">
        <is>
          <t>Ampol App</t>
        </is>
      </c>
      <c r="M74" s="843" t="n"/>
      <c r="N74" s="845" t="inlineStr">
        <is>
          <t>Australia</t>
        </is>
      </c>
      <c r="O74" s="846" t="inlineStr">
        <is>
          <t>CSB (Often)</t>
        </is>
      </c>
      <c r="P74" s="847" t="n">
        <v>1</v>
      </c>
      <c r="Q74" s="846" t="n"/>
      <c r="R74" s="847" t="inlineStr">
        <is>
          <t>Permanent - Full Time</t>
        </is>
      </c>
      <c r="S74" s="847" t="n"/>
      <c r="T74" s="847" t="n"/>
      <c r="U74" s="848" t="n">
        <v>225020</v>
      </c>
      <c r="V74" s="849" t="n">
        <v>225020</v>
      </c>
      <c r="W74" s="850" t="n">
        <v>0.14</v>
      </c>
      <c r="X74" s="847" t="n">
        <v>0.055</v>
      </c>
      <c r="Y74" s="850" t="n">
        <v>0.12</v>
      </c>
      <c r="Z74" s="851" t="n"/>
      <c r="AA74" s="850" t="n">
        <v>0.04</v>
      </c>
      <c r="AB74" s="852" t="n">
        <v>304902.1</v>
      </c>
      <c r="AE74" s="534">
        <f>IF(TRIM($B74)="","",IF(AND(N($P74)&gt;0,N($P74)&lt;1),N($AB74)*N($P74),N($AB74)))</f>
        <v>304902.1</v>
      </c>
      <c r="AF74" s="534" t="str">
        <f>IF(TRIM($B74)="","",IF(OR(ISNUMBER(SEARCH("vacant",$B74)),ISNUMBER(SEARCH("ring fenced",$B74)),LOWER(TRIM($B74))="remove"),"Vacant","Filled"))</f>
        <v>Filled</v>
      </c>
      <c r="AG74" s="534" t="b">
        <f>IF(TRIM($B74)="","",--ISNUMBER(SEARCH("ring fenced",$B74)))</f>
        <v>0</v>
      </c>
      <c r="AH74" s="534" t="str">
        <f>IF(TRIM($B74)="","",IF(COUNTIFS(Lists!$AN$2:$AN$22,TRIM($B74)&amp;" | "&amp;TRIM($D74),Lists!$AO$2:$AO$22,"&lt;&gt;"),INDEX(Lists!$AO$2:$AO$22,MATCH(TRIM($B74)&amp;" | "&amp;TRIM($D74),Lists!$AN$2:$AN$22,0)),IF(COUNTIF(Lists!$AR$2:$AR$3,$AJ74),"TDD Cyber",IF(AND(LEFT($AJ74,4)="EGI ",ISNUMBER(MATCH(TRIM(MID($AJ74,5,99)),Lists!$AS$2:$AS$12,0))),TRIM(MID($AJ74,5,99)),IF(AND(LEFT($AJ74,4)="EGI ",ISNUMBER(MATCH(TRIM(MID($AJ74,5,99)),Lists!$T$2:$T$21,0))),INDEX(Lists!$U$2:$U$21,MATCH(TRIM(MID($AJ74,5,99)),Lists!$T$2:$T$21,0)),IF(OR(TRIM($J74)="",UPPER(TRIM($J74))="NA"),IFERROR(INDEX(Lists!$R$2:$R$9,MATCH(TRIM($G74),Lists!$Q$2:$Q$9,0)),"UNMAPPED"),IFERROR(INDEX(Lists!$U$2:$U$21,MATCH(TRIM($J74),Lists!$T$2:$T$21,0)),IFERROR(INDEX(Lists!$R$2:$R$9,MATCH(TRIM($G74),Lists!$Q$2:$Q$9,0)),"UNMAPPED"))))))))</f>
        <v>Customer</v>
      </c>
      <c r="AI74" s="534" t="b">
        <f>IF(TRIM($B74)="","",--OR(TRIM($L74)="Leadership",TRIM($K74)="Leadership"))</f>
        <v>0</v>
      </c>
      <c r="AJ74" s="534" t="str">
        <f>IF(TRIM($B74)="","",IF(COUNTIFS(Lists!$AN$2:$AN$22,TRIM($B74)&amp;" | "&amp;TRIM($D74),Lists!$AP$2:$AP$22,"&lt;&gt;"),INDEX(Lists!$AP$2:$AP$22,MATCH(TRIM($B74)&amp;" | "&amp;TRIM($D74),Lists!$AN$2:$AN$22,0)),IF($AI74=1,"Leadership",IFERROR(INDEX(Lists!$X$2:$X$21,MATCH(TRIM($L74),Lists!$W$2:$W$21,0)),IF(OR(TRIM($L74)="",LOWER(TRIM($L74))="na"),IF(TRIM($H74)="","Unassigned",TRIM($H74)),TRIM($L74))))))</f>
        <v>Ampol App</v>
      </c>
      <c r="AK74" s="534" t="str">
        <f>IF(TRIM($B74)="","",IF(COUNTIFS(Lists!$AN$2:$AN$22,TRIM($B74)&amp;" | "&amp;TRIM($D74),Lists!$AQ$2:$AQ$22,"&lt;&gt;"),INDEX(Lists!$AQ$2:$AQ$22,MATCH(TRIM($B74)&amp;" | "&amp;TRIM($D74),Lists!$AN$2:$AN$22,0)),IF(COUNTIF(Lists!$AF$2:$AF$8,$AJ74),$AJ74,IF(ISNUMBER(SEARCH("head of ",$D74)),"Head of Technology",IF(ISNUMBER(SEARCH("TDD BP",$D74)),"Business Partner",IF(OR(ISNUMBER(SEARCH("domain architect",$D74)),ISNUMBER(SEARCH("enterprise architect",$D74))),"Domain Architect",IF(ISNUMBER(SEARCH("delivery man",$D74)),"Delivery Manager",IF(OR(ISNUMBER(SEARCH("technology manager",$D74)),ISNUMBER(SEARCH("technology manger",$D74)),ISNUMBER(SEARCH("tech manager",$D74))),"Technology Manager","Squad"))))))))</f>
        <v>Delivery Manager</v>
      </c>
      <c r="AL74" s="534" t="str">
        <f>IF(TRIM($B74)="","",IF(AND($AM74=1,LEFT($AJ74,4)&lt;&gt;"EGI ",$AJ74&lt;&gt;"EGI"),IFERROR(INDEX(Lists!$Z$2:$Z$20,MATCH($AH74,Lists!$Y$2:$Y$20,0)),"EGI "&amp;$AH74),IF(COUNTIF(Lists!$AU$2:$AU$10,$AJ74),$AJ74,IF(OR(LEFT($AH74,3)="COE",$AH74="EGI"),$AJ74,IF($AK74&lt;&gt;"Squad",$AK74,$AJ74)))))</f>
        <v>Delivery Manager</v>
      </c>
      <c r="AM74" s="534" t="b">
        <f>IF(TRIM($B74)="","",--(UPPER(TRIM($K74))="EGI"))</f>
        <v>0</v>
      </c>
      <c r="AN74" s="534" t="inlineStr">
        <is>
          <t>Filled</t>
        </is>
      </c>
      <c r="AQ74" s="841" t="inlineStr">
        <is>
          <t>R0073</t>
        </is>
      </c>
      <c r="AZ74" s="841" t="n"/>
    </row>
    <row r="75" ht="18" customHeight="1" s="535">
      <c r="A75" s="842" t="n">
        <v>115528</v>
      </c>
      <c r="B75" s="843" t="inlineStr">
        <is>
          <t>Byron Thornhill</t>
        </is>
      </c>
      <c r="C75" s="842" t="n">
        <v>115528</v>
      </c>
      <c r="D75" s="843" t="inlineStr">
        <is>
          <t>Design Manager</t>
        </is>
      </c>
      <c r="E75" s="843" t="inlineStr">
        <is>
          <t>Shona Paul</t>
        </is>
      </c>
      <c r="F75" s="843" t="inlineStr">
        <is>
          <t>Head of Technology, Digital</t>
        </is>
      </c>
      <c r="G75" s="844" t="inlineStr">
        <is>
          <t>Customer</t>
        </is>
      </c>
      <c r="H75" s="843" t="inlineStr">
        <is>
          <t>Digital</t>
        </is>
      </c>
      <c r="I75" s="843" t="inlineStr">
        <is>
          <t>Digital, Design</t>
        </is>
      </c>
      <c r="J75" s="843" t="inlineStr">
        <is>
          <t>Z ENERGY (DIGITAL)</t>
        </is>
      </c>
      <c r="K75" s="843" t="inlineStr">
        <is>
          <t>Z Energy (Digitial)</t>
        </is>
      </c>
      <c r="L75" s="843" t="inlineStr">
        <is>
          <t>Leadership</t>
        </is>
      </c>
      <c r="M75" s="843" t="n"/>
      <c r="N75" s="845" t="inlineStr">
        <is>
          <t>NZ</t>
        </is>
      </c>
      <c r="O75" s="846" t="inlineStr">
        <is>
          <t>CSB (Often)</t>
        </is>
      </c>
      <c r="P75" s="847" t="n">
        <v>1</v>
      </c>
      <c r="Q75" s="846" t="n"/>
      <c r="R75" s="847" t="inlineStr">
        <is>
          <t>Permanent - Full Time</t>
        </is>
      </c>
      <c r="S75" s="847" t="n"/>
      <c r="T75" s="847" t="n"/>
      <c r="U75" s="848" t="n">
        <v>190000</v>
      </c>
      <c r="V75" s="849" t="n">
        <v>174800</v>
      </c>
      <c r="W75" s="850" t="n">
        <v>0.1</v>
      </c>
      <c r="X75" s="847" t="n"/>
      <c r="Y75" s="850" t="n">
        <v>0.05</v>
      </c>
      <c r="Z75" s="851" t="n">
        <v>2910</v>
      </c>
      <c r="AA75" s="850" t="n">
        <v>0.03</v>
      </c>
      <c r="AB75" s="852" t="n">
        <v>209174</v>
      </c>
      <c r="AE75" s="534">
        <f>IF(TRIM($B75)="","",IF(AND(N($P75)&gt;0,N($P75)&lt;1),N($AB75)*N($P75),N($AB75)))</f>
        <v>209174</v>
      </c>
      <c r="AF75" s="534" t="str">
        <f>IF(TRIM($B75)="","",IF(OR(ISNUMBER(SEARCH("vacant",$B75)),ISNUMBER(SEARCH("ring fenced",$B75)),LOWER(TRIM($B75))="remove"),"Vacant","Filled"))</f>
        <v>Filled</v>
      </c>
      <c r="AG75" s="534" t="b">
        <f>IF(TRIM($B75)="","",--ISNUMBER(SEARCH("ring fenced",$B75)))</f>
        <v>0</v>
      </c>
      <c r="AH75" s="534" t="str">
        <f>IF(TRIM($B75)="","",IF(COUNTIFS(Lists!$AN$2:$AN$22,TRIM($B75)&amp;" | "&amp;TRIM($D75),Lists!$AO$2:$AO$22,"&lt;&gt;"),INDEX(Lists!$AO$2:$AO$22,MATCH(TRIM($B75)&amp;" | "&amp;TRIM($D75),Lists!$AN$2:$AN$22,0)),IF(COUNTIF(Lists!$AR$2:$AR$3,$AJ75),"TDD Cyber",IF(AND(LEFT($AJ75,4)="EGI ",ISNUMBER(MATCH(TRIM(MID($AJ75,5,99)),Lists!$AS$2:$AS$12,0))),TRIM(MID($AJ75,5,99)),IF(AND(LEFT($AJ75,4)="EGI ",ISNUMBER(MATCH(TRIM(MID($AJ75,5,99)),Lists!$T$2:$T$21,0))),INDEX(Lists!$U$2:$U$21,MATCH(TRIM(MID($AJ75,5,99)),Lists!$T$2:$T$21,0)),IF(OR(TRIM($J75)="",UPPER(TRIM($J75))="NA"),IFERROR(INDEX(Lists!$R$2:$R$9,MATCH(TRIM($G75),Lists!$Q$2:$Q$9,0)),"UNMAPPED"),IFERROR(INDEX(Lists!$U$2:$U$21,MATCH(TRIM($J75),Lists!$T$2:$T$21,0)),IFERROR(INDEX(Lists!$R$2:$R$9,MATCH(TRIM($G75),Lists!$Q$2:$Q$9,0)),"UNMAPPED"))))))))</f>
        <v>Customer</v>
      </c>
      <c r="AI75" s="534" t="b">
        <f>IF(TRIM($B75)="","",--OR(TRIM($L75)="Leadership",TRIM($K75)="Leadership"))</f>
        <v>1</v>
      </c>
      <c r="AJ75" s="534" t="str">
        <f>IF(TRIM($B75)="","",IF(COUNTIFS(Lists!$AN$2:$AN$22,TRIM($B75)&amp;" | "&amp;TRIM($D75),Lists!$AP$2:$AP$22,"&lt;&gt;"),INDEX(Lists!$AP$2:$AP$22,MATCH(TRIM($B75)&amp;" | "&amp;TRIM($D75),Lists!$AN$2:$AN$22,0)),IF($AI75=1,"Leadership",IFERROR(INDEX(Lists!$X$2:$X$21,MATCH(TRIM($L75),Lists!$W$2:$W$21,0)),IF(OR(TRIM($L75)="",LOWER(TRIM($L75))="na"),IF(TRIM($H75)="","Unassigned",TRIM($H75)),TRIM($L75))))))</f>
        <v>Leadership</v>
      </c>
      <c r="AK75" s="534" t="str">
        <f>IF(TRIM($B75)="","",IF(COUNTIFS(Lists!$AN$2:$AN$22,TRIM($B75)&amp;" | "&amp;TRIM($D75),Lists!$AQ$2:$AQ$22,"&lt;&gt;"),INDEX(Lists!$AQ$2:$AQ$22,MATCH(TRIM($B75)&amp;" | "&amp;TRIM($D75),Lists!$AN$2:$AN$22,0)),IF(COUNTIF(Lists!$AF$2:$AF$8,$AJ75),$AJ75,IF(ISNUMBER(SEARCH("head of ",$D75)),"Head of Technology",IF(ISNUMBER(SEARCH("TDD BP",$D75)),"Business Partner",IF(OR(ISNUMBER(SEARCH("domain architect",$D75)),ISNUMBER(SEARCH("enterprise architect",$D75))),"Domain Architect",IF(ISNUMBER(SEARCH("delivery man",$D75)),"Delivery Manager",IF(OR(ISNUMBER(SEARCH("technology manager",$D75)),ISNUMBER(SEARCH("technology manger",$D75)),ISNUMBER(SEARCH("tech manager",$D75))),"Technology Manager","Squad"))))))))</f>
        <v>Squad</v>
      </c>
      <c r="AL75" s="534" t="str">
        <f>IF(TRIM($B75)="","",IF(AND($AM75=1,LEFT($AJ75,4)&lt;&gt;"EGI ",$AJ75&lt;&gt;"EGI"),IFERROR(INDEX(Lists!$Z$2:$Z$20,MATCH($AH75,Lists!$Y$2:$Y$20,0)),"EGI "&amp;$AH75),IF(COUNTIF(Lists!$AU$2:$AU$10,$AJ75),$AJ75,IF(OR(LEFT($AH75,3)="COE",$AH75="EGI"),$AJ75,IF($AK75&lt;&gt;"Squad",$AK75,$AJ75)))))</f>
        <v>Leadership</v>
      </c>
      <c r="AM75" s="534" t="b">
        <f>IF(TRIM($B75)="","",--(UPPER(TRIM($K75))="EGI"))</f>
        <v>0</v>
      </c>
      <c r="AN75" s="534" t="inlineStr">
        <is>
          <t>Filled</t>
        </is>
      </c>
      <c r="AQ75" s="841" t="inlineStr">
        <is>
          <t>R0074</t>
        </is>
      </c>
      <c r="AZ75" s="841" t="n"/>
    </row>
    <row r="76" ht="18" customHeight="1" s="535">
      <c r="A76" s="842" t="n">
        <v>97200</v>
      </c>
      <c r="B76" s="843" t="inlineStr">
        <is>
          <t>Mitesh Shah</t>
        </is>
      </c>
      <c r="C76" s="842" t="n">
        <v>97200</v>
      </c>
      <c r="D76" s="843" t="inlineStr">
        <is>
          <t>Technology Manager - Digital</t>
        </is>
      </c>
      <c r="E76" s="843" t="inlineStr">
        <is>
          <t>Shona Paul</t>
        </is>
      </c>
      <c r="F76" s="843" t="inlineStr">
        <is>
          <t>Head of Technology, Digital</t>
        </is>
      </c>
      <c r="G76" s="844" t="inlineStr">
        <is>
          <t>Customer</t>
        </is>
      </c>
      <c r="H76" s="843" t="inlineStr">
        <is>
          <t>Digital</t>
        </is>
      </c>
      <c r="I76" s="843" t="inlineStr">
        <is>
          <t>Tech, Digital</t>
        </is>
      </c>
      <c r="J76" s="843" t="inlineStr">
        <is>
          <t>Ampol Customer</t>
        </is>
      </c>
      <c r="K76" s="843" t="inlineStr">
        <is>
          <t>Ampol Digital</t>
        </is>
      </c>
      <c r="L76" s="843" t="inlineStr">
        <is>
          <t>Ampol App</t>
        </is>
      </c>
      <c r="M76" s="843" t="n"/>
      <c r="N76" s="845" t="inlineStr">
        <is>
          <t>Australia</t>
        </is>
      </c>
      <c r="O76" s="846" t="inlineStr">
        <is>
          <t>CSB (Often)</t>
        </is>
      </c>
      <c r="P76" s="847" t="n">
        <v>1</v>
      </c>
      <c r="Q76" s="846" t="n"/>
      <c r="R76" s="847" t="inlineStr">
        <is>
          <t>Permanent - Full Time</t>
        </is>
      </c>
      <c r="S76" s="847" t="n"/>
      <c r="T76" s="847" t="n"/>
      <c r="U76" s="848" t="inlineStr">
        <is>
          <t>c</t>
        </is>
      </c>
      <c r="V76" s="849" t="n">
        <v>222190</v>
      </c>
      <c r="W76" s="850" t="n">
        <v>0.14</v>
      </c>
      <c r="X76" s="847" t="n">
        <v>0.055</v>
      </c>
      <c r="Y76" s="850" t="n">
        <v>0.12</v>
      </c>
      <c r="Z76" s="851" t="n"/>
      <c r="AA76" s="850" t="n">
        <v>0.04</v>
      </c>
      <c r="AB76" s="852" t="n">
        <v>301067.45</v>
      </c>
      <c r="AE76" s="534">
        <f>IF(TRIM($B76)="","",IF(AND(N($P76)&gt;0,N($P76)&lt;1),N($AB76)*N($P76),N($AB76)))</f>
        <v>301067.45</v>
      </c>
      <c r="AF76" s="534" t="str">
        <f>IF(TRIM($B76)="","",IF(OR(ISNUMBER(SEARCH("vacant",$B76)),ISNUMBER(SEARCH("ring fenced",$B76)),LOWER(TRIM($B76))="remove"),"Vacant","Filled"))</f>
        <v>Filled</v>
      </c>
      <c r="AG76" s="534" t="b">
        <f>IF(TRIM($B76)="","",--ISNUMBER(SEARCH("ring fenced",$B76)))</f>
        <v>0</v>
      </c>
      <c r="AH76" s="534" t="str">
        <f>IF(TRIM($B76)="","",IF(COUNTIFS(Lists!$AN$2:$AN$22,TRIM($B76)&amp;" | "&amp;TRIM($D76),Lists!$AO$2:$AO$22,"&lt;&gt;"),INDEX(Lists!$AO$2:$AO$22,MATCH(TRIM($B76)&amp;" | "&amp;TRIM($D76),Lists!$AN$2:$AN$22,0)),IF(COUNTIF(Lists!$AR$2:$AR$3,$AJ76),"TDD Cyber",IF(AND(LEFT($AJ76,4)="EGI ",ISNUMBER(MATCH(TRIM(MID($AJ76,5,99)),Lists!$AS$2:$AS$12,0))),TRIM(MID($AJ76,5,99)),IF(AND(LEFT($AJ76,4)="EGI ",ISNUMBER(MATCH(TRIM(MID($AJ76,5,99)),Lists!$T$2:$T$21,0))),INDEX(Lists!$U$2:$U$21,MATCH(TRIM(MID($AJ76,5,99)),Lists!$T$2:$T$21,0)),IF(OR(TRIM($J76)="",UPPER(TRIM($J76))="NA"),IFERROR(INDEX(Lists!$R$2:$R$9,MATCH(TRIM($G76),Lists!$Q$2:$Q$9,0)),"UNMAPPED"),IFERROR(INDEX(Lists!$U$2:$U$21,MATCH(TRIM($J76),Lists!$T$2:$T$21,0)),IFERROR(INDEX(Lists!$R$2:$R$9,MATCH(TRIM($G76),Lists!$Q$2:$Q$9,0)),"UNMAPPED"))))))))</f>
        <v>Customer</v>
      </c>
      <c r="AI76" s="534" t="b">
        <f>IF(TRIM($B76)="","",--OR(TRIM($L76)="Leadership",TRIM($K76)="Leadership"))</f>
        <v>0</v>
      </c>
      <c r="AJ76" s="534" t="str">
        <f>IF(TRIM($B76)="","",IF(COUNTIFS(Lists!$AN$2:$AN$22,TRIM($B76)&amp;" | "&amp;TRIM($D76),Lists!$AP$2:$AP$22,"&lt;&gt;"),INDEX(Lists!$AP$2:$AP$22,MATCH(TRIM($B76)&amp;" | "&amp;TRIM($D76),Lists!$AN$2:$AN$22,0)),IF($AI76=1,"Leadership",IFERROR(INDEX(Lists!$X$2:$X$21,MATCH(TRIM($L76),Lists!$W$2:$W$21,0)),IF(OR(TRIM($L76)="",LOWER(TRIM($L76))="na"),IF(TRIM($H76)="","Unassigned",TRIM($H76)),TRIM($L76))))))</f>
        <v>Ampol App</v>
      </c>
      <c r="AK76" s="534" t="str">
        <f>IF(TRIM($B76)="","",IF(COUNTIFS(Lists!$AN$2:$AN$22,TRIM($B76)&amp;" | "&amp;TRIM($D76),Lists!$AQ$2:$AQ$22,"&lt;&gt;"),INDEX(Lists!$AQ$2:$AQ$22,MATCH(TRIM($B76)&amp;" | "&amp;TRIM($D76),Lists!$AN$2:$AN$22,0)),IF(COUNTIF(Lists!$AF$2:$AF$8,$AJ76),$AJ76,IF(ISNUMBER(SEARCH("head of ",$D76)),"Head of Technology",IF(ISNUMBER(SEARCH("TDD BP",$D76)),"Business Partner",IF(OR(ISNUMBER(SEARCH("domain architect",$D76)),ISNUMBER(SEARCH("enterprise architect",$D76))),"Domain Architect",IF(ISNUMBER(SEARCH("delivery man",$D76)),"Delivery Manager",IF(OR(ISNUMBER(SEARCH("technology manager",$D76)),ISNUMBER(SEARCH("technology manger",$D76)),ISNUMBER(SEARCH("tech manager",$D76))),"Technology Manager","Squad"))))))))</f>
        <v>Technology Manager</v>
      </c>
      <c r="AL76" s="534" t="str">
        <f>IF(TRIM($B76)="","",IF(AND($AM76=1,LEFT($AJ76,4)&lt;&gt;"EGI ",$AJ76&lt;&gt;"EGI"),IFERROR(INDEX(Lists!$Z$2:$Z$20,MATCH($AH76,Lists!$Y$2:$Y$20,0)),"EGI "&amp;$AH76),IF(COUNTIF(Lists!$AU$2:$AU$10,$AJ76),$AJ76,IF(OR(LEFT($AH76,3)="COE",$AH76="EGI"),$AJ76,IF($AK76&lt;&gt;"Squad",$AK76,$AJ76)))))</f>
        <v>Technology Manager</v>
      </c>
      <c r="AM76" s="534" t="b">
        <f>IF(TRIM($B76)="","",--(UPPER(TRIM($K76))="EGI"))</f>
        <v>0</v>
      </c>
      <c r="AN76" s="534" t="inlineStr">
        <is>
          <t>Filled</t>
        </is>
      </c>
      <c r="AQ76" s="841" t="inlineStr">
        <is>
          <t>R0075</t>
        </is>
      </c>
      <c r="AZ76" s="841" t="n"/>
    </row>
    <row r="77" ht="18" customHeight="1" s="535">
      <c r="A77" s="842" t="n">
        <v>88332</v>
      </c>
      <c r="B77" s="843" t="inlineStr">
        <is>
          <t>Safiq Iqbal</t>
        </is>
      </c>
      <c r="C77" s="842" t="n">
        <v>88332</v>
      </c>
      <c r="D77" s="843" t="inlineStr">
        <is>
          <t>Principal Engineer</t>
        </is>
      </c>
      <c r="E77" s="843" t="inlineStr">
        <is>
          <t>Shona Paul</t>
        </is>
      </c>
      <c r="F77" s="843" t="inlineStr">
        <is>
          <t>Head of Technology, Digital</t>
        </is>
      </c>
      <c r="G77" s="844" t="inlineStr">
        <is>
          <t>Customer</t>
        </is>
      </c>
      <c r="H77" s="843" t="inlineStr">
        <is>
          <t>Digital</t>
        </is>
      </c>
      <c r="I77" s="843" t="inlineStr">
        <is>
          <t>EGI</t>
        </is>
      </c>
      <c r="J77" s="843" t="inlineStr">
        <is>
          <t>EGI Integration</t>
        </is>
      </c>
      <c r="K77" s="843" t="inlineStr">
        <is>
          <t>EGI</t>
        </is>
      </c>
      <c r="L77" s="843" t="inlineStr">
        <is>
          <t>EGI Customer</t>
        </is>
      </c>
      <c r="M77" s="843" t="n"/>
      <c r="N77" s="845" t="inlineStr">
        <is>
          <t>Australia</t>
        </is>
      </c>
      <c r="O77" s="846" t="inlineStr">
        <is>
          <t>CSB (Often)</t>
        </is>
      </c>
      <c r="P77" s="847" t="n">
        <v>1</v>
      </c>
      <c r="Q77" s="846" t="n"/>
      <c r="R77" s="847" t="inlineStr">
        <is>
          <t>Permanent - Full time</t>
        </is>
      </c>
      <c r="S77" s="847" t="n"/>
      <c r="T77" s="847" t="n"/>
      <c r="U77" s="848" t="n">
        <v>211070</v>
      </c>
      <c r="V77" s="849" t="n">
        <v>211070</v>
      </c>
      <c r="W77" s="850" t="n">
        <v>0.14</v>
      </c>
      <c r="X77" s="847" t="n">
        <v>0.055</v>
      </c>
      <c r="Y77" s="850" t="n">
        <v>0.12</v>
      </c>
      <c r="Z77" s="851" t="n"/>
      <c r="AA77" s="850" t="n">
        <v>0.04</v>
      </c>
      <c r="AB77" s="852" t="n">
        <v>304903.1</v>
      </c>
      <c r="AE77" s="534">
        <f>IF(TRIM($B77)="","",IF(AND(N($P77)&gt;0,N($P77)&lt;1),N($AB77)*N($P77),N($AB77)))</f>
        <v>304903.1</v>
      </c>
      <c r="AF77" s="534" t="str">
        <f>IF(TRIM($B77)="","",IF(OR(ISNUMBER(SEARCH("vacant",$B77)),ISNUMBER(SEARCH("ring fenced",$B77)),LOWER(TRIM($B77))="remove"),"Vacant","Filled"))</f>
        <v>Filled</v>
      </c>
      <c r="AG77" s="534" t="b">
        <f>IF(TRIM($B77)="","",--ISNUMBER(SEARCH("ring fenced",$B77)))</f>
        <v>0</v>
      </c>
      <c r="AH77" s="534" t="str">
        <f>IF(TRIM($B77)="","",IF(COUNTIFS(Lists!$AN$2:$AN$22,TRIM($B77)&amp;" | "&amp;TRIM($D77),Lists!$AO$2:$AO$22,"&lt;&gt;"),INDEX(Lists!$AO$2:$AO$22,MATCH(TRIM($B77)&amp;" | "&amp;TRIM($D77),Lists!$AN$2:$AN$22,0)),IF(COUNTIF(Lists!$AR$2:$AR$3,$AJ77),"TDD Cyber",IF(AND(LEFT($AJ77,4)="EGI ",ISNUMBER(MATCH(TRIM(MID($AJ77,5,99)),Lists!$AS$2:$AS$12,0))),TRIM(MID($AJ77,5,99)),IF(AND(LEFT($AJ77,4)="EGI ",ISNUMBER(MATCH(TRIM(MID($AJ77,5,99)),Lists!$T$2:$T$21,0))),INDEX(Lists!$U$2:$U$21,MATCH(TRIM(MID($AJ77,5,99)),Lists!$T$2:$T$21,0)),IF(OR(TRIM($J77)="",UPPER(TRIM($J77))="NA"),IFERROR(INDEX(Lists!$R$2:$R$9,MATCH(TRIM($G77),Lists!$Q$2:$Q$9,0)),"UNMAPPED"),IFERROR(INDEX(Lists!$U$2:$U$21,MATCH(TRIM($J77),Lists!$T$2:$T$21,0)),IFERROR(INDEX(Lists!$R$2:$R$9,MATCH(TRIM($G77),Lists!$Q$2:$Q$9,0)),"UNMAPPED"))))))))</f>
        <v>Customer</v>
      </c>
      <c r="AI77" s="534" t="b">
        <f>IF(TRIM($B77)="","",--OR(TRIM($L77)="Leadership",TRIM($K77)="Leadership"))</f>
        <v>0</v>
      </c>
      <c r="AJ77" s="534" t="str">
        <f>IF(TRIM($B77)="","",IF(COUNTIFS(Lists!$AN$2:$AN$22,TRIM($B77)&amp;" | "&amp;TRIM($D77),Lists!$AP$2:$AP$22,"&lt;&gt;"),INDEX(Lists!$AP$2:$AP$22,MATCH(TRIM($B77)&amp;" | "&amp;TRIM($D77),Lists!$AN$2:$AN$22,0)),IF($AI77=1,"Leadership",IFERROR(INDEX(Lists!$X$2:$X$21,MATCH(TRIM($L77),Lists!$W$2:$W$21,0)),IF(OR(TRIM($L77)="",LOWER(TRIM($L77))="na"),IF(TRIM($H77)="","Unassigned",TRIM($H77)),TRIM($L77))))))</f>
        <v>EGI Customer</v>
      </c>
      <c r="AK77" s="534" t="str">
        <f>IF(TRIM($B77)="","",IF(COUNTIFS(Lists!$AN$2:$AN$22,TRIM($B77)&amp;" | "&amp;TRIM($D77),Lists!$AQ$2:$AQ$22,"&lt;&gt;"),INDEX(Lists!$AQ$2:$AQ$22,MATCH(TRIM($B77)&amp;" | "&amp;TRIM($D77),Lists!$AN$2:$AN$22,0)),IF(COUNTIF(Lists!$AF$2:$AF$8,$AJ77),$AJ77,IF(ISNUMBER(SEARCH("head of ",$D77)),"Head of Technology",IF(ISNUMBER(SEARCH("TDD BP",$D77)),"Business Partner",IF(OR(ISNUMBER(SEARCH("domain architect",$D77)),ISNUMBER(SEARCH("enterprise architect",$D77))),"Domain Architect",IF(ISNUMBER(SEARCH("delivery man",$D77)),"Delivery Manager",IF(OR(ISNUMBER(SEARCH("technology manager",$D77)),ISNUMBER(SEARCH("technology manger",$D77)),ISNUMBER(SEARCH("tech manager",$D77))),"Technology Manager","Squad"))))))))</f>
        <v>Squad</v>
      </c>
      <c r="AL77" s="534" t="str">
        <f>IF(TRIM($B77)="","",IF(AND($AM77=1,LEFT($AJ77,4)&lt;&gt;"EGI ",$AJ77&lt;&gt;"EGI"),IFERROR(INDEX(Lists!$Z$2:$Z$20,MATCH($AH77,Lists!$Y$2:$Y$20,0)),"EGI "&amp;$AH77),IF(COUNTIF(Lists!$AU$2:$AU$10,$AJ77),$AJ77,IF(OR(LEFT($AH77,3)="COE",$AH77="EGI"),$AJ77,IF($AK77&lt;&gt;"Squad",$AK77,$AJ77)))))</f>
        <v>EGI Customer</v>
      </c>
      <c r="AM77" s="534" t="b">
        <f>IF(TRIM($B77)="","",--(UPPER(TRIM($K77))="EGI"))</f>
        <v>1</v>
      </c>
      <c r="AN77" s="534" t="inlineStr">
        <is>
          <t>Filled</t>
        </is>
      </c>
      <c r="AQ77" s="841" t="inlineStr">
        <is>
          <t>R0076</t>
        </is>
      </c>
      <c r="AZ77" s="841" t="n"/>
    </row>
    <row r="78" ht="18" customHeight="1" s="535">
      <c r="A78" s="842" t="inlineStr">
        <is>
          <t>V</t>
        </is>
      </c>
      <c r="B78" s="843" t="inlineStr">
        <is>
          <t>Vacant</t>
        </is>
      </c>
      <c r="C78" s="842" t="inlineStr">
        <is>
          <t>V</t>
        </is>
      </c>
      <c r="D78" s="843" t="inlineStr">
        <is>
          <t>Technology Manager, Engineering</t>
        </is>
      </c>
      <c r="E78" s="843" t="inlineStr">
        <is>
          <t>Shona Paul</t>
        </is>
      </c>
      <c r="F78" s="843" t="inlineStr">
        <is>
          <t>Head of Technology, Digital</t>
        </is>
      </c>
      <c r="G78" s="844" t="inlineStr">
        <is>
          <t>Customer</t>
        </is>
      </c>
      <c r="H78" s="843" t="inlineStr">
        <is>
          <t>Digital</t>
        </is>
      </c>
      <c r="I78" s="843" t="inlineStr">
        <is>
          <t>Tech, Digital Engineering</t>
        </is>
      </c>
      <c r="J78" s="843" t="inlineStr">
        <is>
          <t>Ampol Customer</t>
        </is>
      </c>
      <c r="K78" s="843" t="inlineStr">
        <is>
          <t>Ampol Digital</t>
        </is>
      </c>
      <c r="L78" s="843" t="inlineStr">
        <is>
          <t>Leadership</t>
        </is>
      </c>
      <c r="M78" s="843" t="n"/>
      <c r="N78" s="845" t="inlineStr">
        <is>
          <t>Australia</t>
        </is>
      </c>
      <c r="O78" s="846" t="inlineStr">
        <is>
          <t>CSB (Often)</t>
        </is>
      </c>
      <c r="P78" s="847" t="n">
        <v>1</v>
      </c>
      <c r="Q78" s="846" t="n"/>
      <c r="R78" s="847" t="inlineStr">
        <is>
          <t>Vacant</t>
        </is>
      </c>
      <c r="S78" s="847" t="n"/>
      <c r="T78" s="847" t="n"/>
      <c r="U78" s="848" t="n">
        <v>225020</v>
      </c>
      <c r="V78" s="849" t="n">
        <v>225020</v>
      </c>
      <c r="W78" s="850" t="n">
        <v>0.14</v>
      </c>
      <c r="X78" s="847" t="n">
        <v>0.055</v>
      </c>
      <c r="Y78" s="850" t="n">
        <v>0.12</v>
      </c>
      <c r="Z78" s="851" t="n"/>
      <c r="AA78" s="850" t="n">
        <v>0.04</v>
      </c>
      <c r="AB78" s="852" t="n">
        <v>304902.1</v>
      </c>
      <c r="AE78" s="534">
        <f>IF(TRIM($B78)="","",IF(AND(N($P78)&gt;0,N($P78)&lt;1),N($AB78)*N($P78),N($AB78)))</f>
        <v>304902.1</v>
      </c>
      <c r="AF78" s="534" t="str">
        <f>IF(TRIM($B78)="","",IF(OR(ISNUMBER(SEARCH("vacant",$B78)),ISNUMBER(SEARCH("ring fenced",$B78)),LOWER(TRIM($B78))="remove"),"Vacant","Filled"))</f>
        <v>Vacant</v>
      </c>
      <c r="AG78" s="534" t="b">
        <f>IF(TRIM($B78)="","",--ISNUMBER(SEARCH("ring fenced",$B78)))</f>
        <v>0</v>
      </c>
      <c r="AH78" s="855" t="str">
        <f>IF(TRIM($B78)="","",IF(COUNTIFS(Lists!$AN$2:$AN$22,TRIM($B78)&amp;" | "&amp;TRIM($D78),Lists!$AO$2:$AO$22,"&lt;&gt;"),INDEX(Lists!$AO$2:$AO$22,MATCH(TRIM($B78)&amp;" | "&amp;TRIM($D78),Lists!$AN$2:$AN$22,0)),IF(COUNTIF(Lists!$AR$2:$AR$3,$AJ78),"TDD Cyber",IF(AND(LEFT($AJ78,4)="EGI ",ISNUMBER(MATCH(TRIM(MID($AJ78,5,99)),Lists!$AS$2:$AS$12,0))),TRIM(MID($AJ78,5,99)),IF(AND(LEFT($AJ78,4)="EGI ",ISNUMBER(MATCH(TRIM(MID($AJ78,5,99)),Lists!$T$2:$T$21,0))),INDEX(Lists!$U$2:$U$21,MATCH(TRIM(MID($AJ78,5,99)),Lists!$T$2:$T$21,0)),IF(OR(TRIM($J78)="",UPPER(TRIM($J78))="NA"),IFERROR(INDEX(Lists!$R$2:$R$9,MATCH(TRIM($G78),Lists!$Q$2:$Q$9,0)),"UNMAPPED"),IFERROR(INDEX(Lists!$U$2:$U$21,MATCH(TRIM($J78),Lists!$T$2:$T$21,0)),IFERROR(INDEX(Lists!$R$2:$R$9,MATCH(TRIM($G78),Lists!$Q$2:$Q$9,0)),"UNMAPPED"))))))))</f>
        <v>Customer</v>
      </c>
      <c r="AI78" s="534" t="b">
        <f>IF(TRIM($B78)="","",--OR(TRIM($L78)="Leadership",TRIM($K78)="Leadership"))</f>
        <v>1</v>
      </c>
      <c r="AJ78" s="534" t="str">
        <f>IF(TRIM($B78)="","",IF(COUNTIFS(Lists!$AN$2:$AN$22,TRIM($B78)&amp;" | "&amp;TRIM($D78),Lists!$AP$2:$AP$22,"&lt;&gt;"),INDEX(Lists!$AP$2:$AP$22,MATCH(TRIM($B78)&amp;" | "&amp;TRIM($D78),Lists!$AN$2:$AN$22,0)),IF($AI78=1,"Leadership",IFERROR(INDEX(Lists!$X$2:$X$21,MATCH(TRIM($L78),Lists!$W$2:$W$21,0)),IF(OR(TRIM($L78)="",LOWER(TRIM($L78))="na"),IF(TRIM($H78)="","Unassigned",TRIM($H78)),TRIM($L78))))))</f>
        <v>Leadership</v>
      </c>
      <c r="AK78" s="534" t="str">
        <f>IF(TRIM($B78)="","",IF(COUNTIFS(Lists!$AN$2:$AN$22,TRIM($B78)&amp;" | "&amp;TRIM($D78),Lists!$AQ$2:$AQ$22,"&lt;&gt;"),INDEX(Lists!$AQ$2:$AQ$22,MATCH(TRIM($B78)&amp;" | "&amp;TRIM($D78),Lists!$AN$2:$AN$22,0)),IF(COUNTIF(Lists!$AF$2:$AF$8,$AJ78),$AJ78,IF(ISNUMBER(SEARCH("head of ",$D78)),"Head of Technology",IF(ISNUMBER(SEARCH("TDD BP",$D78)),"Business Partner",IF(OR(ISNUMBER(SEARCH("domain architect",$D78)),ISNUMBER(SEARCH("enterprise architect",$D78))),"Domain Architect",IF(ISNUMBER(SEARCH("delivery man",$D78)),"Delivery Manager",IF(OR(ISNUMBER(SEARCH("technology manager",$D78)),ISNUMBER(SEARCH("technology manger",$D78)),ISNUMBER(SEARCH("tech manager",$D78))),"Technology Manager","Squad"))))))))</f>
        <v>Technology Manager</v>
      </c>
      <c r="AL78" s="534" t="str">
        <f>IF(TRIM($B78)="","",IF(AND($AM78=1,LEFT($AJ78,4)&lt;&gt;"EGI ",$AJ78&lt;&gt;"EGI"),IFERROR(INDEX(Lists!$Z$2:$Z$20,MATCH($AH78,Lists!$Y$2:$Y$20,0)),"EGI "&amp;$AH78),IF(COUNTIF(Lists!$AU$2:$AU$10,$AJ78),$AJ78,IF(OR(LEFT($AH78,3)="COE",$AH78="EGI"),$AJ78,IF($AK78&lt;&gt;"Squad",$AK78,$AJ78)))))</f>
        <v>Technology Manager</v>
      </c>
      <c r="AM78" s="534" t="b">
        <f>IF(TRIM($B78)="","",--(UPPER(TRIM($K78))="EGI"))</f>
        <v>0</v>
      </c>
      <c r="AN78" s="534" t="inlineStr">
        <is>
          <t>Vacant</t>
        </is>
      </c>
      <c r="AQ78" s="841" t="inlineStr">
        <is>
          <t>R0077</t>
        </is>
      </c>
      <c r="AZ78" s="841" t="n"/>
    </row>
    <row r="79" ht="18" customHeight="1" s="535">
      <c r="A79" s="842" t="n">
        <v>2967</v>
      </c>
      <c r="B79" s="843" t="inlineStr">
        <is>
          <t>Chris Camacho</t>
        </is>
      </c>
      <c r="C79" s="842" t="n">
        <v>2967</v>
      </c>
      <c r="D79" s="843" t="inlineStr">
        <is>
          <t>Senior Systems Analyst</t>
        </is>
      </c>
      <c r="E79" s="843" t="inlineStr">
        <is>
          <t>Jaya Ganasan</t>
        </is>
      </c>
      <c r="F79" s="843" t="inlineStr">
        <is>
          <t>Technology Manager, TDD Refinery</t>
        </is>
      </c>
      <c r="G79" s="844" t="inlineStr">
        <is>
          <t>TDD CFE&amp;I</t>
        </is>
      </c>
      <c r="H79" s="843" t="inlineStr">
        <is>
          <t>Fuel Infrastructure</t>
        </is>
      </c>
      <c r="I79" s="843" t="inlineStr">
        <is>
          <t>Refinery Applications</t>
        </is>
      </c>
      <c r="J79" s="843" t="inlineStr">
        <is>
          <t>Infrastructure</t>
        </is>
      </c>
      <c r="K79" s="843" t="inlineStr">
        <is>
          <t>Manufacturing</t>
        </is>
      </c>
      <c r="L79" s="843" t="inlineStr">
        <is>
          <t>Manuacturing Group Projects</t>
        </is>
      </c>
      <c r="M79" s="843" t="n"/>
      <c r="N79" s="845" t="inlineStr">
        <is>
          <t>Australia</t>
        </is>
      </c>
      <c r="O79" s="846" t="inlineStr">
        <is>
          <t xml:space="preserve">CSB </t>
        </is>
      </c>
      <c r="P79" s="847" t="n">
        <v>1</v>
      </c>
      <c r="Q79" s="846" t="n"/>
      <c r="R79" s="847" t="inlineStr">
        <is>
          <t>Permanent - Full Time</t>
        </is>
      </c>
      <c r="S79" s="847" t="n"/>
      <c r="T79" s="847" t="n"/>
      <c r="U79" s="848" t="n">
        <v>166090</v>
      </c>
      <c r="V79" s="849" t="n">
        <v>166090</v>
      </c>
      <c r="W79" s="850" t="n">
        <v>0.14</v>
      </c>
      <c r="X79" s="847" t="n">
        <v>0.055</v>
      </c>
      <c r="Y79" s="850" t="n">
        <v>0.12</v>
      </c>
      <c r="Z79" s="851" t="n"/>
      <c r="AA79" s="850" t="n">
        <v>0.04</v>
      </c>
      <c r="AB79" s="852" t="n">
        <v>225051.95</v>
      </c>
      <c r="AE79" s="534">
        <f>IF(TRIM($B79)="","",IF(AND(N($P79)&gt;0,N($P79)&lt;1),N($AB79)*N($P79),N($AB79)))</f>
        <v>225051.95</v>
      </c>
      <c r="AF79" s="534" t="str">
        <f>IF(TRIM($B79)="","",IF(OR(ISNUMBER(SEARCH("vacant",$B79)),ISNUMBER(SEARCH("ring fenced",$B79)),LOWER(TRIM($B79))="remove"),"Vacant","Filled"))</f>
        <v>Filled</v>
      </c>
      <c r="AG79" s="534" t="b">
        <f>IF(TRIM($B79)="","",--ISNUMBER(SEARCH("ring fenced",$B79)))</f>
        <v>0</v>
      </c>
      <c r="AH79" s="534" t="str">
        <f>IF(TRIM($B79)="","",IF(COUNTIFS(Lists!$AN$2:$AN$22,TRIM($B79)&amp;" | "&amp;TRIM($D79),Lists!$AO$2:$AO$22,"&lt;&gt;"),INDEX(Lists!$AO$2:$AO$22,MATCH(TRIM($B79)&amp;" | "&amp;TRIM($D79),Lists!$AN$2:$AN$22,0)),IF(COUNTIF(Lists!$AR$2:$AR$3,$AJ79),"TDD Cyber",IF(AND(LEFT($AJ79,4)="EGI ",ISNUMBER(MATCH(TRIM(MID($AJ79,5,99)),Lists!$AS$2:$AS$12,0))),TRIM(MID($AJ79,5,99)),IF(AND(LEFT($AJ79,4)="EGI ",ISNUMBER(MATCH(TRIM(MID($AJ79,5,99)),Lists!$T$2:$T$21,0))),INDEX(Lists!$U$2:$U$21,MATCH(TRIM(MID($AJ79,5,99)),Lists!$T$2:$T$21,0)),IF(OR(TRIM($J79)="",UPPER(TRIM($J79))="NA"),IFERROR(INDEX(Lists!$R$2:$R$9,MATCH(TRIM($G79),Lists!$Q$2:$Q$9,0)),"UNMAPPED"),IFERROR(INDEX(Lists!$U$2:$U$21,MATCH(TRIM($J79),Lists!$T$2:$T$21,0)),IFERROR(INDEX(Lists!$R$2:$R$9,MATCH(TRIM($G79),Lists!$Q$2:$Q$9,0)),"UNMAPPED"))))))))</f>
        <v>Infrastructure</v>
      </c>
      <c r="AI79" s="534" t="b">
        <f>IF(TRIM($B79)="","",--OR(TRIM($L79)="Leadership",TRIM($K79)="Leadership"))</f>
        <v>0</v>
      </c>
      <c r="AJ79" s="534" t="str">
        <f>IF(TRIM($B79)="","",IF(COUNTIFS(Lists!$AN$2:$AN$22,TRIM($B79)&amp;" | "&amp;TRIM($D79),Lists!$AP$2:$AP$22,"&lt;&gt;"),INDEX(Lists!$AP$2:$AP$22,MATCH(TRIM($B79)&amp;" | "&amp;TRIM($D79),Lists!$AN$2:$AN$22,0)),IF($AI79=1,"Leadership",IFERROR(INDEX(Lists!$X$2:$X$21,MATCH(TRIM($L79),Lists!$W$2:$W$21,0)),IF(OR(TRIM($L79)="",LOWER(TRIM($L79))="na"),IF(TRIM($H79)="","Unassigned",TRIM($H79)),TRIM($L79))))))</f>
        <v>Manufacturing Group Projects</v>
      </c>
      <c r="AK79" s="534" t="str">
        <f>IF(TRIM($B79)="","",IF(COUNTIFS(Lists!$AN$2:$AN$22,TRIM($B79)&amp;" | "&amp;TRIM($D79),Lists!$AQ$2:$AQ$22,"&lt;&gt;"),INDEX(Lists!$AQ$2:$AQ$22,MATCH(TRIM($B79)&amp;" | "&amp;TRIM($D79),Lists!$AN$2:$AN$22,0)),IF(COUNTIF(Lists!$AF$2:$AF$8,$AJ79),$AJ79,IF(ISNUMBER(SEARCH("head of ",$D79)),"Head of Technology",IF(ISNUMBER(SEARCH("TDD BP",$D79)),"Business Partner",IF(OR(ISNUMBER(SEARCH("domain architect",$D79)),ISNUMBER(SEARCH("enterprise architect",$D79))),"Domain Architect",IF(ISNUMBER(SEARCH("delivery man",$D79)),"Delivery Manager",IF(OR(ISNUMBER(SEARCH("technology manager",$D79)),ISNUMBER(SEARCH("technology manger",$D79)),ISNUMBER(SEARCH("tech manager",$D79))),"Technology Manager","Squad"))))))))</f>
        <v>Squad</v>
      </c>
      <c r="AL79" s="534" t="str">
        <f>IF(TRIM($B79)="","",IF(AND($AM79=1,LEFT($AJ79,4)&lt;&gt;"EGI ",$AJ79&lt;&gt;"EGI"),IFERROR(INDEX(Lists!$Z$2:$Z$20,MATCH($AH79,Lists!$Y$2:$Y$20,0)),"EGI "&amp;$AH79),IF(COUNTIF(Lists!$AU$2:$AU$10,$AJ79),$AJ79,IF(OR(LEFT($AH79,3)="COE",$AH79="EGI"),$AJ79,IF($AK79&lt;&gt;"Squad",$AK79,$AJ79)))))</f>
        <v>Manufacturing Group Projects</v>
      </c>
      <c r="AM79" s="534" t="b">
        <f>IF(TRIM($B79)="","",--(UPPER(TRIM($K79))="EGI"))</f>
        <v>0</v>
      </c>
      <c r="AQ79" s="841" t="inlineStr">
        <is>
          <t>R0078</t>
        </is>
      </c>
      <c r="AZ79" s="841" t="n"/>
    </row>
    <row r="80" ht="18" customHeight="1" s="535">
      <c r="A80" s="842" t="n">
        <v>101861</v>
      </c>
      <c r="B80" s="843" t="inlineStr">
        <is>
          <t>Prem Shetty</t>
        </is>
      </c>
      <c r="C80" s="842" t="n">
        <v>101861</v>
      </c>
      <c r="D80" s="843" t="inlineStr">
        <is>
          <t>Delivery manager</t>
        </is>
      </c>
      <c r="E80" s="843" t="inlineStr">
        <is>
          <t>Amish Pandit</t>
        </is>
      </c>
      <c r="F80" s="843" t="inlineStr">
        <is>
          <t>Head of Technology, Fuel Infrastructure</t>
        </is>
      </c>
      <c r="G80" s="844" t="inlineStr">
        <is>
          <t>TDD CFE&amp;I</t>
        </is>
      </c>
      <c r="H80" s="843" t="inlineStr">
        <is>
          <t>Fuel Infrastructure</t>
        </is>
      </c>
      <c r="I80" s="843" t="inlineStr">
        <is>
          <t>Fuel Infrastructure, Delivery</t>
        </is>
      </c>
      <c r="J80" s="843" t="inlineStr">
        <is>
          <t>Infrastructure</t>
        </is>
      </c>
      <c r="K80" s="843" t="inlineStr">
        <is>
          <t xml:space="preserve">Leadership </t>
        </is>
      </c>
      <c r="L80" s="843" t="inlineStr">
        <is>
          <t>Leadership</t>
        </is>
      </c>
      <c r="M80" s="843" t="n"/>
      <c r="N80" s="845" t="inlineStr">
        <is>
          <t>Australia</t>
        </is>
      </c>
      <c r="O80" s="846" t="inlineStr">
        <is>
          <t>CSB</t>
        </is>
      </c>
      <c r="P80" s="847" t="n">
        <v>1</v>
      </c>
      <c r="Q80" s="846" t="n"/>
      <c r="R80" s="847" t="inlineStr">
        <is>
          <t>Permanent - Full Time</t>
        </is>
      </c>
      <c r="S80" s="847" t="n"/>
      <c r="T80" s="847" t="n"/>
      <c r="U80" s="848" t="n">
        <v>233760</v>
      </c>
      <c r="V80" s="849" t="n">
        <v>233760</v>
      </c>
      <c r="W80" s="850" t="n">
        <v>0.14</v>
      </c>
      <c r="X80" s="847" t="n">
        <v>0.055</v>
      </c>
      <c r="Y80" s="850" t="n">
        <v>0.12</v>
      </c>
      <c r="Z80" s="851" t="n"/>
      <c r="AA80" s="850" t="n">
        <v>0.04</v>
      </c>
      <c r="AB80" s="852" t="n">
        <v>316744.8</v>
      </c>
      <c r="AE80" s="534">
        <f>IF(TRIM($B80)="","",IF(AND(N($P80)&gt;0,N($P80)&lt;1),N($AB80)*N($P80),N($AB80)))</f>
        <v>316744.8</v>
      </c>
      <c r="AF80" s="534" t="str">
        <f>IF(TRIM($B80)="","",IF(OR(ISNUMBER(SEARCH("vacant",$B80)),ISNUMBER(SEARCH("ring fenced",$B80)),LOWER(TRIM($B80))="remove"),"Vacant","Filled"))</f>
        <v>Filled</v>
      </c>
      <c r="AG80" s="534" t="b">
        <f>IF(TRIM($B80)="","",--ISNUMBER(SEARCH("ring fenced",$B80)))</f>
        <v>0</v>
      </c>
      <c r="AH80" s="534" t="str">
        <f>IF(TRIM($B80)="","",IF(COUNTIFS(Lists!$AN$2:$AN$22,TRIM($B80)&amp;" | "&amp;TRIM($D80),Lists!$AO$2:$AO$22,"&lt;&gt;"),INDEX(Lists!$AO$2:$AO$22,MATCH(TRIM($B80)&amp;" | "&amp;TRIM($D80),Lists!$AN$2:$AN$22,0)),IF(COUNTIF(Lists!$AR$2:$AR$3,$AJ80),"TDD Cyber",IF(AND(LEFT($AJ80,4)="EGI ",ISNUMBER(MATCH(TRIM(MID($AJ80,5,99)),Lists!$AS$2:$AS$12,0))),TRIM(MID($AJ80,5,99)),IF(AND(LEFT($AJ80,4)="EGI ",ISNUMBER(MATCH(TRIM(MID($AJ80,5,99)),Lists!$T$2:$T$21,0))),INDEX(Lists!$U$2:$U$21,MATCH(TRIM(MID($AJ80,5,99)),Lists!$T$2:$T$21,0)),IF(OR(TRIM($J80)="",UPPER(TRIM($J80))="NA"),IFERROR(INDEX(Lists!$R$2:$R$9,MATCH(TRIM($G80),Lists!$Q$2:$Q$9,0)),"UNMAPPED"),IFERROR(INDEX(Lists!$U$2:$U$21,MATCH(TRIM($J80),Lists!$T$2:$T$21,0)),IFERROR(INDEX(Lists!$R$2:$R$9,MATCH(TRIM($G80),Lists!$Q$2:$Q$9,0)),"UNMAPPED"))))))))</f>
        <v>Infrastructure</v>
      </c>
      <c r="AI80" s="534" t="b">
        <f>IF(TRIM($B80)="","",--OR(TRIM($L80)="Leadership",TRIM($K80)="Leadership"))</f>
        <v>1</v>
      </c>
      <c r="AJ80" s="534" t="str">
        <f>IF(TRIM($B80)="","",IF(COUNTIFS(Lists!$AN$2:$AN$22,TRIM($B80)&amp;" | "&amp;TRIM($D80),Lists!$AP$2:$AP$22,"&lt;&gt;"),INDEX(Lists!$AP$2:$AP$22,MATCH(TRIM($B80)&amp;" | "&amp;TRIM($D80),Lists!$AN$2:$AN$22,0)),IF($AI80=1,"Leadership",IFERROR(INDEX(Lists!$X$2:$X$21,MATCH(TRIM($L80),Lists!$W$2:$W$21,0)),IF(OR(TRIM($L80)="",LOWER(TRIM($L80))="na"),IF(TRIM($H80)="","Unassigned",TRIM($H80)),TRIM($L80))))))</f>
        <v>Leadership</v>
      </c>
      <c r="AK80" s="534" t="str">
        <f>IF(TRIM($B80)="","",IF(COUNTIFS(Lists!$AN$2:$AN$22,TRIM($B80)&amp;" | "&amp;TRIM($D80),Lists!$AQ$2:$AQ$22,"&lt;&gt;"),INDEX(Lists!$AQ$2:$AQ$22,MATCH(TRIM($B80)&amp;" | "&amp;TRIM($D80),Lists!$AN$2:$AN$22,0)),IF(COUNTIF(Lists!$AF$2:$AF$8,$AJ80),$AJ80,IF(ISNUMBER(SEARCH("head of ",$D80)),"Head of Technology",IF(ISNUMBER(SEARCH("TDD BP",$D80)),"Business Partner",IF(OR(ISNUMBER(SEARCH("domain architect",$D80)),ISNUMBER(SEARCH("enterprise architect",$D80))),"Domain Architect",IF(ISNUMBER(SEARCH("delivery man",$D80)),"Delivery Manager",IF(OR(ISNUMBER(SEARCH("technology manager",$D80)),ISNUMBER(SEARCH("technology manger",$D80)),ISNUMBER(SEARCH("tech manager",$D80))),"Technology Manager","Squad"))))))))</f>
        <v>Delivery Manager</v>
      </c>
      <c r="AL80" s="534" t="str">
        <f>IF(TRIM($B80)="","",IF(AND($AM80=1,LEFT($AJ80,4)&lt;&gt;"EGI ",$AJ80&lt;&gt;"EGI"),IFERROR(INDEX(Lists!$Z$2:$Z$20,MATCH($AH80,Lists!$Y$2:$Y$20,0)),"EGI "&amp;$AH80),IF(COUNTIF(Lists!$AU$2:$AU$10,$AJ80),$AJ80,IF(OR(LEFT($AH80,3)="COE",$AH80="EGI"),$AJ80,IF($AK80&lt;&gt;"Squad",$AK80,$AJ80)))))</f>
        <v>Delivery Manager</v>
      </c>
      <c r="AM80" s="534" t="b">
        <f>IF(TRIM($B80)="","",--(UPPER(TRIM($K80))="EGI"))</f>
        <v>0</v>
      </c>
      <c r="AQ80" s="841" t="inlineStr">
        <is>
          <t>R0079</t>
        </is>
      </c>
      <c r="AZ80" s="841" t="n"/>
    </row>
    <row r="81" ht="18" customHeight="1" s="535">
      <c r="A81" s="842" t="n">
        <v>109475</v>
      </c>
      <c r="B81" s="843" t="inlineStr">
        <is>
          <t>Jaya Ganasan</t>
        </is>
      </c>
      <c r="C81" s="842" t="n">
        <v>109475</v>
      </c>
      <c r="D81" s="843" t="inlineStr">
        <is>
          <t>B2B &amp; Energy+B452:I452</t>
        </is>
      </c>
      <c r="E81" s="843" t="inlineStr">
        <is>
          <t>Amish Pandit</t>
        </is>
      </c>
      <c r="F81" s="843" t="inlineStr">
        <is>
          <t>Head of Technology, Fuel Infrastructure</t>
        </is>
      </c>
      <c r="G81" s="844" t="inlineStr">
        <is>
          <t>TDD CFE&amp;I</t>
        </is>
      </c>
      <c r="H81" s="843" t="inlineStr">
        <is>
          <t>Fuel Infrastructure</t>
        </is>
      </c>
      <c r="I81" s="843" t="inlineStr">
        <is>
          <t>Refinery Applications</t>
        </is>
      </c>
      <c r="J81" s="843" t="inlineStr">
        <is>
          <t>Infrastructure</t>
        </is>
      </c>
      <c r="K81" s="843" t="inlineStr">
        <is>
          <t>Manufacturing</t>
        </is>
      </c>
      <c r="L81" s="843" t="inlineStr">
        <is>
          <t>Manufacturing Group Projects</t>
        </is>
      </c>
      <c r="M81" s="843" t="n"/>
      <c r="N81" s="845" t="inlineStr">
        <is>
          <t>Australia</t>
        </is>
      </c>
      <c r="O81" s="846" t="inlineStr">
        <is>
          <t>CSB</t>
        </is>
      </c>
      <c r="P81" s="847" t="n">
        <v>1</v>
      </c>
      <c r="Q81" s="846" t="n"/>
      <c r="R81" s="847" t="inlineStr">
        <is>
          <t>Permanent - Full Time</t>
        </is>
      </c>
      <c r="S81" s="847" t="n"/>
      <c r="T81" s="847" t="n"/>
      <c r="U81" s="848" t="n">
        <v>190180</v>
      </c>
      <c r="V81" s="849" t="n">
        <v>190180</v>
      </c>
      <c r="W81" s="850" t="n">
        <v>0.14</v>
      </c>
      <c r="X81" s="847" t="n">
        <v>0.055</v>
      </c>
      <c r="Y81" s="850" t="n">
        <v>0.12</v>
      </c>
      <c r="Z81" s="851" t="n"/>
      <c r="AA81" s="850" t="n">
        <v>0.04</v>
      </c>
      <c r="AB81" s="852" t="n">
        <v>257693.9</v>
      </c>
      <c r="AE81" s="534">
        <f>IF(TRIM($B81)="","",IF(AND(N($P81)&gt;0,N($P81)&lt;1),N($AB81)*N($P81),N($AB81)))</f>
        <v>257693.9</v>
      </c>
      <c r="AF81" s="534" t="str">
        <f>IF(TRIM($B81)="","",IF(OR(ISNUMBER(SEARCH("vacant",$B81)),ISNUMBER(SEARCH("ring fenced",$B81)),LOWER(TRIM($B81))="remove"),"Vacant","Filled"))</f>
        <v>Filled</v>
      </c>
      <c r="AG81" s="534" t="b">
        <f>IF(TRIM($B81)="","",--ISNUMBER(SEARCH("ring fenced",$B81)))</f>
        <v>0</v>
      </c>
      <c r="AH81" s="534" t="str">
        <f>IF(TRIM($B81)="","",IF(COUNTIFS(Lists!$AN$2:$AN$22,TRIM($B81)&amp;" | "&amp;TRIM($D81),Lists!$AO$2:$AO$22,"&lt;&gt;"),INDEX(Lists!$AO$2:$AO$22,MATCH(TRIM($B81)&amp;" | "&amp;TRIM($D81),Lists!$AN$2:$AN$22,0)),IF(COUNTIF(Lists!$AR$2:$AR$3,$AJ81),"TDD Cyber",IF(AND(LEFT($AJ81,4)="EGI ",ISNUMBER(MATCH(TRIM(MID($AJ81,5,99)),Lists!$AS$2:$AS$12,0))),TRIM(MID($AJ81,5,99)),IF(AND(LEFT($AJ81,4)="EGI ",ISNUMBER(MATCH(TRIM(MID($AJ81,5,99)),Lists!$T$2:$T$21,0))),INDEX(Lists!$U$2:$U$21,MATCH(TRIM(MID($AJ81,5,99)),Lists!$T$2:$T$21,0)),IF(OR(TRIM($J81)="",UPPER(TRIM($J81))="NA"),IFERROR(INDEX(Lists!$R$2:$R$9,MATCH(TRIM($G81),Lists!$Q$2:$Q$9,0)),"UNMAPPED"),IFERROR(INDEX(Lists!$U$2:$U$21,MATCH(TRIM($J81),Lists!$T$2:$T$21,0)),IFERROR(INDEX(Lists!$R$2:$R$9,MATCH(TRIM($G81),Lists!$Q$2:$Q$9,0)),"UNMAPPED"))))))))</f>
        <v>Infrastructure</v>
      </c>
      <c r="AI81" s="534" t="b">
        <f>IF(TRIM($B81)="","",--OR(TRIM($L81)="Leadership",TRIM($K81)="Leadership"))</f>
        <v>0</v>
      </c>
      <c r="AJ81" s="534" t="str">
        <f>IF(TRIM($B81)="","",IF(COUNTIFS(Lists!$AN$2:$AN$22,TRIM($B81)&amp;" | "&amp;TRIM($D81),Lists!$AP$2:$AP$22,"&lt;&gt;"),INDEX(Lists!$AP$2:$AP$22,MATCH(TRIM($B81)&amp;" | "&amp;TRIM($D81),Lists!$AN$2:$AN$22,0)),IF($AI81=1,"Leadership",IFERROR(INDEX(Lists!$X$2:$X$21,MATCH(TRIM($L81),Lists!$W$2:$W$21,0)),IF(OR(TRIM($L81)="",LOWER(TRIM($L81))="na"),IF(TRIM($H81)="","Unassigned",TRIM($H81)),TRIM($L81))))))</f>
        <v>Manufacturing Group Projects</v>
      </c>
      <c r="AK81" s="534" t="str">
        <f>IF(TRIM($B81)="","",IF(COUNTIFS(Lists!$AN$2:$AN$22,TRIM($B81)&amp;" | "&amp;TRIM($D81),Lists!$AQ$2:$AQ$22,"&lt;&gt;"),INDEX(Lists!$AQ$2:$AQ$22,MATCH(TRIM($B81)&amp;" | "&amp;TRIM($D81),Lists!$AN$2:$AN$22,0)),IF(COUNTIF(Lists!$AF$2:$AF$8,$AJ81),$AJ81,IF(ISNUMBER(SEARCH("head of ",$D81)),"Head of Technology",IF(ISNUMBER(SEARCH("TDD BP",$D81)),"Business Partner",IF(OR(ISNUMBER(SEARCH("domain architect",$D81)),ISNUMBER(SEARCH("enterprise architect",$D81))),"Domain Architect",IF(ISNUMBER(SEARCH("delivery man",$D81)),"Delivery Manager",IF(OR(ISNUMBER(SEARCH("technology manager",$D81)),ISNUMBER(SEARCH("technology manger",$D81)),ISNUMBER(SEARCH("tech manager",$D81))),"Technology Manager","Squad"))))))))</f>
        <v>Squad</v>
      </c>
      <c r="AL81" s="534" t="str">
        <f>IF(TRIM($B81)="","",IF(AND($AM81=1,LEFT($AJ81,4)&lt;&gt;"EGI ",$AJ81&lt;&gt;"EGI"),IFERROR(INDEX(Lists!$Z$2:$Z$20,MATCH($AH81,Lists!$Y$2:$Y$20,0)),"EGI "&amp;$AH81),IF(COUNTIF(Lists!$AU$2:$AU$10,$AJ81),$AJ81,IF(OR(LEFT($AH81,3)="COE",$AH81="EGI"),$AJ81,IF($AK81&lt;&gt;"Squad",$AK81,$AJ81)))))</f>
        <v>Manufacturing Group Projects</v>
      </c>
      <c r="AM81" s="534" t="b">
        <f>IF(TRIM($B81)="","",--(UPPER(TRIM($K81))="EGI"))</f>
        <v>0</v>
      </c>
      <c r="AQ81" s="841" t="inlineStr">
        <is>
          <t>R0080</t>
        </is>
      </c>
      <c r="AZ81" s="841" t="n"/>
    </row>
    <row r="82" ht="18" customHeight="1" s="535">
      <c r="A82" s="842" t="n">
        <v>106555</v>
      </c>
      <c r="B82" s="843" t="inlineStr">
        <is>
          <t>Karla Orozco Loza</t>
        </is>
      </c>
      <c r="C82" s="842" t="n">
        <v>106555</v>
      </c>
      <c r="D82" s="843" t="inlineStr">
        <is>
          <t xml:space="preserve">Technology Manager, Future Infrastructure </t>
        </is>
      </c>
      <c r="E82" s="843" t="inlineStr">
        <is>
          <t>Amish Pandit</t>
        </is>
      </c>
      <c r="F82" s="843" t="inlineStr">
        <is>
          <t>Head of Technology, Fuel Infrastructure</t>
        </is>
      </c>
      <c r="G82" s="844" t="inlineStr">
        <is>
          <t>TDD CFE&amp;I</t>
        </is>
      </c>
      <c r="H82" s="843" t="inlineStr">
        <is>
          <t>Fuel Infrastructure</t>
        </is>
      </c>
      <c r="I82" s="843" t="inlineStr">
        <is>
          <t>Technology - Distribution</t>
        </is>
      </c>
      <c r="J82" s="843" t="inlineStr">
        <is>
          <t>Infrastructure</t>
        </is>
      </c>
      <c r="K82" s="843" t="inlineStr">
        <is>
          <t>Distribution</t>
        </is>
      </c>
      <c r="L82" s="843" t="inlineStr">
        <is>
          <t>Leadership</t>
        </is>
      </c>
      <c r="M82" s="843" t="n"/>
      <c r="N82" s="845" t="inlineStr">
        <is>
          <t>Australia</t>
        </is>
      </c>
      <c r="O82" s="846" t="inlineStr">
        <is>
          <t>CSB</t>
        </is>
      </c>
      <c r="P82" s="847" t="n">
        <v>1</v>
      </c>
      <c r="Q82" s="846" t="n"/>
      <c r="R82" s="847" t="inlineStr">
        <is>
          <t>Permanent - Full Time</t>
        </is>
      </c>
      <c r="S82" s="847" t="n"/>
      <c r="T82" s="847" t="n"/>
      <c r="U82" s="848" t="n">
        <v>183820</v>
      </c>
      <c r="V82" s="849" t="n">
        <v>183820</v>
      </c>
      <c r="W82" s="850" t="n">
        <v>0.14</v>
      </c>
      <c r="X82" s="847" t="n">
        <v>0.055</v>
      </c>
      <c r="Y82" s="850" t="n">
        <v>0.12</v>
      </c>
      <c r="Z82" s="851" t="n"/>
      <c r="AA82" s="850" t="n">
        <v>0.04</v>
      </c>
      <c r="AB82" s="852" t="n">
        <v>249076.1</v>
      </c>
      <c r="AE82" s="534">
        <f>IF(TRIM($B82)="","",IF(AND(N($P82)&gt;0,N($P82)&lt;1),N($AB82)*N($P82),N($AB82)))</f>
        <v>249076.1</v>
      </c>
      <c r="AF82" s="534" t="str">
        <f>IF(TRIM($B82)="","",IF(OR(ISNUMBER(SEARCH("vacant",$B82)),ISNUMBER(SEARCH("ring fenced",$B82)),LOWER(TRIM($B82))="remove"),"Vacant","Filled"))</f>
        <v>Filled</v>
      </c>
      <c r="AG82" s="534" t="b">
        <f>IF(TRIM($B82)="","",--ISNUMBER(SEARCH("ring fenced",$B82)))</f>
        <v>0</v>
      </c>
      <c r="AH82" s="534" t="str">
        <f>IF(TRIM($B82)="","",IF(COUNTIFS(Lists!$AN$2:$AN$22,TRIM($B82)&amp;" | "&amp;TRIM($D82),Lists!$AO$2:$AO$22,"&lt;&gt;"),INDEX(Lists!$AO$2:$AO$22,MATCH(TRIM($B82)&amp;" | "&amp;TRIM($D82),Lists!$AN$2:$AN$22,0)),IF(COUNTIF(Lists!$AR$2:$AR$3,$AJ82),"TDD Cyber",IF(AND(LEFT($AJ82,4)="EGI ",ISNUMBER(MATCH(TRIM(MID($AJ82,5,99)),Lists!$AS$2:$AS$12,0))),TRIM(MID($AJ82,5,99)),IF(AND(LEFT($AJ82,4)="EGI ",ISNUMBER(MATCH(TRIM(MID($AJ82,5,99)),Lists!$T$2:$T$21,0))),INDEX(Lists!$U$2:$U$21,MATCH(TRIM(MID($AJ82,5,99)),Lists!$T$2:$T$21,0)),IF(OR(TRIM($J82)="",UPPER(TRIM($J82))="NA"),IFERROR(INDEX(Lists!$R$2:$R$9,MATCH(TRIM($G82),Lists!$Q$2:$Q$9,0)),"UNMAPPED"),IFERROR(INDEX(Lists!$U$2:$U$21,MATCH(TRIM($J82),Lists!$T$2:$T$21,0)),IFERROR(INDEX(Lists!$R$2:$R$9,MATCH(TRIM($G82),Lists!$Q$2:$Q$9,0)),"UNMAPPED"))))))))</f>
        <v>Infrastructure</v>
      </c>
      <c r="AI82" s="534" t="b">
        <f>IF(TRIM($B82)="","",--OR(TRIM($L82)="Leadership",TRIM($K82)="Leadership"))</f>
        <v>1</v>
      </c>
      <c r="AJ82" s="534" t="str">
        <f>IF(TRIM($B82)="","",IF(COUNTIFS(Lists!$AN$2:$AN$22,TRIM($B82)&amp;" | "&amp;TRIM($D82),Lists!$AP$2:$AP$22,"&lt;&gt;"),INDEX(Lists!$AP$2:$AP$22,MATCH(TRIM($B82)&amp;" | "&amp;TRIM($D82),Lists!$AN$2:$AN$22,0)),IF($AI82=1,"Leadership",IFERROR(INDEX(Lists!$X$2:$X$21,MATCH(TRIM($L82),Lists!$W$2:$W$21,0)),IF(OR(TRIM($L82)="",LOWER(TRIM($L82))="na"),IF(TRIM($H82)="","Unassigned",TRIM($H82)),TRIM($L82))))))</f>
        <v>Leadership</v>
      </c>
      <c r="AK82" s="534" t="str">
        <f>IF(TRIM($B82)="","",IF(COUNTIFS(Lists!$AN$2:$AN$22,TRIM($B82)&amp;" | "&amp;TRIM($D82),Lists!$AQ$2:$AQ$22,"&lt;&gt;"),INDEX(Lists!$AQ$2:$AQ$22,MATCH(TRIM($B82)&amp;" | "&amp;TRIM($D82),Lists!$AN$2:$AN$22,0)),IF(COUNTIF(Lists!$AF$2:$AF$8,$AJ82),$AJ82,IF(ISNUMBER(SEARCH("head of ",$D82)),"Head of Technology",IF(ISNUMBER(SEARCH("TDD BP",$D82)),"Business Partner",IF(OR(ISNUMBER(SEARCH("domain architect",$D82)),ISNUMBER(SEARCH("enterprise architect",$D82))),"Domain Architect",IF(ISNUMBER(SEARCH("delivery man",$D82)),"Delivery Manager",IF(OR(ISNUMBER(SEARCH("technology manager",$D82)),ISNUMBER(SEARCH("technology manger",$D82)),ISNUMBER(SEARCH("tech manager",$D82))),"Technology Manager","Squad"))))))))</f>
        <v>Technology Manager</v>
      </c>
      <c r="AL82" s="534" t="str">
        <f>IF(TRIM($B82)="","",IF(AND($AM82=1,LEFT($AJ82,4)&lt;&gt;"EGI ",$AJ82&lt;&gt;"EGI"),IFERROR(INDEX(Lists!$Z$2:$Z$20,MATCH($AH82,Lists!$Y$2:$Y$20,0)),"EGI "&amp;$AH82),IF(COUNTIF(Lists!$AU$2:$AU$10,$AJ82),$AJ82,IF(OR(LEFT($AH82,3)="COE",$AH82="EGI"),$AJ82,IF($AK82&lt;&gt;"Squad",$AK82,$AJ82)))))</f>
        <v>Technology Manager</v>
      </c>
      <c r="AM82" s="534" t="b">
        <f>IF(TRIM($B82)="","",--(UPPER(TRIM($K82))="EGI"))</f>
        <v>0</v>
      </c>
      <c r="AQ82" s="841" t="inlineStr">
        <is>
          <t>R0081</t>
        </is>
      </c>
      <c r="AZ82" s="841" t="n"/>
    </row>
    <row r="83" ht="18" customHeight="1" s="535">
      <c r="A83" s="842" t="inlineStr">
        <is>
          <t>V</t>
        </is>
      </c>
      <c r="B83" s="843" t="inlineStr">
        <is>
          <t>Vacant</t>
        </is>
      </c>
      <c r="C83" s="842" t="inlineStr">
        <is>
          <t>V</t>
        </is>
      </c>
      <c r="D83" s="843" t="inlineStr">
        <is>
          <t>Technology Manager Data</t>
        </is>
      </c>
      <c r="E83" s="843" t="inlineStr">
        <is>
          <t>Amish Pandit</t>
        </is>
      </c>
      <c r="F83" s="843" t="inlineStr">
        <is>
          <t>Head of Technology, Fuel Infrastructure</t>
        </is>
      </c>
      <c r="G83" s="844" t="inlineStr">
        <is>
          <t>TDD CFE&amp;I</t>
        </is>
      </c>
      <c r="H83" s="843" t="inlineStr">
        <is>
          <t>Fuel Infrastructure</t>
        </is>
      </c>
      <c r="I83" s="843" t="inlineStr">
        <is>
          <t>Fuel Infrastructure, Data</t>
        </is>
      </c>
      <c r="J83" s="843" t="inlineStr">
        <is>
          <t>Infrastructure</t>
        </is>
      </c>
      <c r="K83" s="843" t="inlineStr">
        <is>
          <t>Leadership</t>
        </is>
      </c>
      <c r="L83" s="843" t="inlineStr">
        <is>
          <t>Leadership</t>
        </is>
      </c>
      <c r="M83" s="843" t="n"/>
      <c r="N83" s="845" t="inlineStr">
        <is>
          <t>Australia</t>
        </is>
      </c>
      <c r="O83" s="846" t="inlineStr">
        <is>
          <t>CSB</t>
        </is>
      </c>
      <c r="P83" s="847" t="n">
        <v>1</v>
      </c>
      <c r="Q83" s="846" t="n"/>
      <c r="R83" s="847" t="inlineStr">
        <is>
          <t>v</t>
        </is>
      </c>
      <c r="S83" s="847" t="n"/>
      <c r="T83" s="847" t="n"/>
      <c r="U83" s="848" t="n">
        <v>203550</v>
      </c>
      <c r="V83" s="849" t="n">
        <v>203550</v>
      </c>
      <c r="W83" s="850" t="n">
        <v>0.14</v>
      </c>
      <c r="X83" s="847" t="n">
        <v>0.055</v>
      </c>
      <c r="Y83" s="850" t="n">
        <v>0.12</v>
      </c>
      <c r="Z83" s="851" t="n"/>
      <c r="AA83" s="850" t="n">
        <v>0.04</v>
      </c>
      <c r="AB83" s="852" t="n">
        <v>275810.25</v>
      </c>
      <c r="AE83" s="534">
        <f>IF(TRIM($B83)="","",IF(AND(N($P83)&gt;0,N($P83)&lt;1),N($AB83)*N($P83),N($AB83)))</f>
        <v>275810.25</v>
      </c>
      <c r="AF83" s="534" t="str">
        <f>IF(TRIM($B83)="","",IF(OR(ISNUMBER(SEARCH("vacant",$B83)),ISNUMBER(SEARCH("ring fenced",$B83)),LOWER(TRIM($B83))="remove"),"Vacant","Filled"))</f>
        <v>Vacant</v>
      </c>
      <c r="AG83" s="534" t="b">
        <f>IF(TRIM($B83)="","",--ISNUMBER(SEARCH("ring fenced",$B83)))</f>
        <v>0</v>
      </c>
      <c r="AH83" s="534" t="str">
        <f>IF(TRIM($B83)="","",IF(COUNTIFS(Lists!$AN$2:$AN$22,TRIM($B83)&amp;" | "&amp;TRIM($D83),Lists!$AO$2:$AO$22,"&lt;&gt;"),INDEX(Lists!$AO$2:$AO$22,MATCH(TRIM($B83)&amp;" | "&amp;TRIM($D83),Lists!$AN$2:$AN$22,0)),IF(COUNTIF(Lists!$AR$2:$AR$3,$AJ83),"TDD Cyber",IF(AND(LEFT($AJ83,4)="EGI ",ISNUMBER(MATCH(TRIM(MID($AJ83,5,99)),Lists!$AS$2:$AS$12,0))),TRIM(MID($AJ83,5,99)),IF(AND(LEFT($AJ83,4)="EGI ",ISNUMBER(MATCH(TRIM(MID($AJ83,5,99)),Lists!$T$2:$T$21,0))),INDEX(Lists!$U$2:$U$21,MATCH(TRIM(MID($AJ83,5,99)),Lists!$T$2:$T$21,0)),IF(OR(TRIM($J83)="",UPPER(TRIM($J83))="NA"),IFERROR(INDEX(Lists!$R$2:$R$9,MATCH(TRIM($G83),Lists!$Q$2:$Q$9,0)),"UNMAPPED"),IFERROR(INDEX(Lists!$U$2:$U$21,MATCH(TRIM($J83),Lists!$T$2:$T$21,0)),IFERROR(INDEX(Lists!$R$2:$R$9,MATCH(TRIM($G83),Lists!$Q$2:$Q$9,0)),"UNMAPPED"))))))))</f>
        <v>Infrastructure</v>
      </c>
      <c r="AI83" s="534" t="b">
        <f>IF(TRIM($B83)="","",--OR(TRIM($L83)="Leadership",TRIM($K83)="Leadership"))</f>
        <v>1</v>
      </c>
      <c r="AJ83" s="534" t="str">
        <f>IF(TRIM($B83)="","",IF(COUNTIFS(Lists!$AN$2:$AN$22,TRIM($B83)&amp;" | "&amp;TRIM($D83),Lists!$AP$2:$AP$22,"&lt;&gt;"),INDEX(Lists!$AP$2:$AP$22,MATCH(TRIM($B83)&amp;" | "&amp;TRIM($D83),Lists!$AN$2:$AN$22,0)),IF($AI83=1,"Leadership",IFERROR(INDEX(Lists!$X$2:$X$21,MATCH(TRIM($L83),Lists!$W$2:$W$21,0)),IF(OR(TRIM($L83)="",LOWER(TRIM($L83))="na"),IF(TRIM($H83)="","Unassigned",TRIM($H83)),TRIM($L83))))))</f>
        <v>Leadership</v>
      </c>
      <c r="AK83" s="534" t="str">
        <f>IF(TRIM($B83)="","",IF(COUNTIFS(Lists!$AN$2:$AN$22,TRIM($B83)&amp;" | "&amp;TRIM($D83),Lists!$AQ$2:$AQ$22,"&lt;&gt;"),INDEX(Lists!$AQ$2:$AQ$22,MATCH(TRIM($B83)&amp;" | "&amp;TRIM($D83),Lists!$AN$2:$AN$22,0)),IF(COUNTIF(Lists!$AF$2:$AF$8,$AJ83),$AJ83,IF(ISNUMBER(SEARCH("head of ",$D83)),"Head of Technology",IF(ISNUMBER(SEARCH("TDD BP",$D83)),"Business Partner",IF(OR(ISNUMBER(SEARCH("domain architect",$D83)),ISNUMBER(SEARCH("enterprise architect",$D83))),"Domain Architect",IF(ISNUMBER(SEARCH("delivery man",$D83)),"Delivery Manager",IF(OR(ISNUMBER(SEARCH("technology manager",$D83)),ISNUMBER(SEARCH("technology manger",$D83)),ISNUMBER(SEARCH("tech manager",$D83))),"Technology Manager","Squad"))))))))</f>
        <v>Technology Manager</v>
      </c>
      <c r="AL83" s="534" t="str">
        <f>IF(TRIM($B83)="","",IF(AND($AM83=1,LEFT($AJ83,4)&lt;&gt;"EGI ",$AJ83&lt;&gt;"EGI"),IFERROR(INDEX(Lists!$Z$2:$Z$20,MATCH($AH83,Lists!$Y$2:$Y$20,0)),"EGI "&amp;$AH83),IF(COUNTIF(Lists!$AU$2:$AU$10,$AJ83),$AJ83,IF(OR(LEFT($AH83,3)="COE",$AH83="EGI"),$AJ83,IF($AK83&lt;&gt;"Squad",$AK83,$AJ83)))))</f>
        <v>Technology Manager</v>
      </c>
      <c r="AM83" s="534" t="b">
        <f>IF(TRIM($B83)="","",--(UPPER(TRIM($K83))="EGI"))</f>
        <v>0</v>
      </c>
      <c r="AQ83" s="841" t="inlineStr">
        <is>
          <t>R0082</t>
        </is>
      </c>
      <c r="AZ83" s="841" t="n"/>
    </row>
    <row r="84" ht="18" customHeight="1" s="535">
      <c r="A84" s="842" t="n">
        <v>98823</v>
      </c>
      <c r="B84" s="843" t="inlineStr">
        <is>
          <t>Brian Gates</t>
        </is>
      </c>
      <c r="C84" s="842" t="n">
        <v>98823</v>
      </c>
      <c r="D84" s="843" t="inlineStr">
        <is>
          <t>Manager Risk &amp; Resilience</t>
        </is>
      </c>
      <c r="E84" s="843" t="inlineStr">
        <is>
          <t>Frances Bouzo</t>
        </is>
      </c>
      <c r="F84" s="843" t="inlineStr">
        <is>
          <t xml:space="preserve">CISO </t>
        </is>
      </c>
      <c r="G84" s="844" t="inlineStr">
        <is>
          <t>Cyber, Risk &amp; Operations</t>
        </is>
      </c>
      <c r="H84" s="843" t="inlineStr">
        <is>
          <t>Cyber Risk</t>
        </is>
      </c>
      <c r="I84" s="843" t="inlineStr">
        <is>
          <t xml:space="preserve">Risk &amp; Resilience </t>
        </is>
      </c>
      <c r="J84" s="843" t="inlineStr">
        <is>
          <t>NA</t>
        </is>
      </c>
      <c r="K84" s="843" t="inlineStr">
        <is>
          <t>NA</t>
        </is>
      </c>
      <c r="L84" s="843" t="inlineStr">
        <is>
          <t>NA</t>
        </is>
      </c>
      <c r="M84" s="843" t="n"/>
      <c r="N84" s="845" t="inlineStr">
        <is>
          <t>Australia</t>
        </is>
      </c>
      <c r="O84" s="846" t="inlineStr">
        <is>
          <t>CSB</t>
        </is>
      </c>
      <c r="P84" s="847" t="n">
        <v>1</v>
      </c>
      <c r="Q84" s="846" t="n"/>
      <c r="R84" s="847" t="inlineStr">
        <is>
          <t>Permanent - Full Time</t>
        </is>
      </c>
      <c r="S84" s="847" t="n"/>
      <c r="T84" s="847" t="n"/>
      <c r="U84" s="848" t="n">
        <v>211840</v>
      </c>
      <c r="V84" s="849" t="n">
        <v>211840</v>
      </c>
      <c r="W84" s="850" t="n">
        <v>0.14</v>
      </c>
      <c r="X84" s="847" t="n">
        <v>0.055</v>
      </c>
      <c r="Y84" s="850" t="n">
        <v>0.12</v>
      </c>
      <c r="Z84" s="851" t="n"/>
      <c r="AA84" s="850" t="n">
        <v>0.04</v>
      </c>
      <c r="AB84" s="852" t="n">
        <v>287043.2</v>
      </c>
      <c r="AE84" s="534">
        <f>IF(TRIM($B84)="","",IF(AND(N($P84)&gt;0,N($P84)&lt;1),N($AB84)*N($P84),N($AB84)))</f>
        <v>287043.2</v>
      </c>
      <c r="AF84" s="534" t="str">
        <f>IF(TRIM($B84)="","",IF(OR(ISNUMBER(SEARCH("vacant",$B84)),ISNUMBER(SEARCH("ring fenced",$B84)),LOWER(TRIM($B84))="remove"),"Vacant","Filled"))</f>
        <v>Filled</v>
      </c>
      <c r="AG84" s="534" t="b">
        <f>IF(TRIM($B84)="","",--ISNUMBER(SEARCH("ring fenced",$B84)))</f>
        <v>0</v>
      </c>
      <c r="AH84" s="534" t="str">
        <f>IF(TRIM($B84)="","",IF(COUNTIFS(Lists!$AN$2:$AN$22,TRIM($B84)&amp;" | "&amp;TRIM($D84),Lists!$AO$2:$AO$22,"&lt;&gt;"),INDEX(Lists!$AO$2:$AO$22,MATCH(TRIM($B84)&amp;" | "&amp;TRIM($D84),Lists!$AN$2:$AN$22,0)),IF(COUNTIF(Lists!$AR$2:$AR$3,$AJ84),"TDD Cyber",IF(AND(LEFT($AJ84,4)="EGI ",ISNUMBER(MATCH(TRIM(MID($AJ84,5,99)),Lists!$AS$2:$AS$12,0))),TRIM(MID($AJ84,5,99)),IF(AND(LEFT($AJ84,4)="EGI ",ISNUMBER(MATCH(TRIM(MID($AJ84,5,99)),Lists!$T$2:$T$21,0))),INDEX(Lists!$U$2:$U$21,MATCH(TRIM(MID($AJ84,5,99)),Lists!$T$2:$T$21,0)),IF(OR(TRIM($J84)="",UPPER(TRIM($J84))="NA"),IFERROR(INDEX(Lists!$R$2:$R$9,MATCH(TRIM($G84),Lists!$Q$2:$Q$9,0)),"UNMAPPED"),IFERROR(INDEX(Lists!$U$2:$U$21,MATCH(TRIM($J84),Lists!$T$2:$T$21,0)),IFERROR(INDEX(Lists!$R$2:$R$9,MATCH(TRIM($G84),Lists!$Q$2:$Q$9,0)),"UNMAPPED"))))))))</f>
        <v>COE Cyber</v>
      </c>
      <c r="AI84" s="534" t="b">
        <f>IF(TRIM($B84)="","",--OR(TRIM($L84)="Leadership",TRIM($K84)="Leadership"))</f>
        <v>0</v>
      </c>
      <c r="AJ84" s="534" t="str">
        <f>IF(TRIM($B84)="","",IF(COUNTIFS(Lists!$AN$2:$AN$22,TRIM($B84)&amp;" | "&amp;TRIM($D84),Lists!$AP$2:$AP$22,"&lt;&gt;"),INDEX(Lists!$AP$2:$AP$22,MATCH(TRIM($B84)&amp;" | "&amp;TRIM($D84),Lists!$AN$2:$AN$22,0)),IF($AI84=1,"Leadership",IFERROR(INDEX(Lists!$X$2:$X$21,MATCH(TRIM($L84),Lists!$W$2:$W$21,0)),IF(OR(TRIM($L84)="",LOWER(TRIM($L84))="na"),IF(TRIM($H84)="","Unassigned",TRIM($H84)),TRIM($L84))))))</f>
        <v>Cyber Risk</v>
      </c>
      <c r="AK84" s="534" t="str">
        <f>IF(TRIM($B84)="","",IF(COUNTIFS(Lists!$AN$2:$AN$22,TRIM($B84)&amp;" | "&amp;TRIM($D84),Lists!$AQ$2:$AQ$22,"&lt;&gt;"),INDEX(Lists!$AQ$2:$AQ$22,MATCH(TRIM($B84)&amp;" | "&amp;TRIM($D84),Lists!$AN$2:$AN$22,0)),IF(COUNTIF(Lists!$AF$2:$AF$8,$AJ84),$AJ84,IF(ISNUMBER(SEARCH("head of ",$D84)),"Head of Technology",IF(ISNUMBER(SEARCH("TDD BP",$D84)),"Business Partner",IF(OR(ISNUMBER(SEARCH("domain architect",$D84)),ISNUMBER(SEARCH("enterprise architect",$D84))),"Domain Architect",IF(ISNUMBER(SEARCH("delivery man",$D84)),"Delivery Manager",IF(OR(ISNUMBER(SEARCH("technology manager",$D84)),ISNUMBER(SEARCH("technology manger",$D84)),ISNUMBER(SEARCH("tech manager",$D84))),"Technology Manager","Squad"))))))))</f>
        <v>Squad</v>
      </c>
      <c r="AL84" s="534" t="str">
        <f>IF(TRIM($B84)="","",IF(AND($AM84=1,LEFT($AJ84,4)&lt;&gt;"EGI ",$AJ84&lt;&gt;"EGI"),IFERROR(INDEX(Lists!$Z$2:$Z$20,MATCH($AH84,Lists!$Y$2:$Y$20,0)),"EGI "&amp;$AH84),IF(COUNTIF(Lists!$AU$2:$AU$10,$AJ84),$AJ84,IF(OR(LEFT($AH84,3)="COE",$AH84="EGI"),$AJ84,IF($AK84&lt;&gt;"Squad",$AK84,$AJ84)))))</f>
        <v>Cyber Risk</v>
      </c>
      <c r="AM84" s="534" t="b">
        <f>IF(TRIM($B84)="","",--(UPPER(TRIM($K84))="EGI"))</f>
        <v>0</v>
      </c>
      <c r="AQ84" s="841" t="inlineStr">
        <is>
          <t>R0083</t>
        </is>
      </c>
      <c r="AZ84" s="841" t="n"/>
    </row>
    <row r="85" ht="18" customHeight="1" s="535">
      <c r="A85" s="842" t="n">
        <v>101700</v>
      </c>
      <c r="B85" s="843" t="inlineStr">
        <is>
          <t>Diya Thomas</t>
        </is>
      </c>
      <c r="C85" s="842" t="n">
        <v>101700</v>
      </c>
      <c r="D85" s="843" t="inlineStr">
        <is>
          <t>Manager Cyber Security GRC</t>
        </is>
      </c>
      <c r="E85" s="843" t="inlineStr">
        <is>
          <t>Frances Bouzo</t>
        </is>
      </c>
      <c r="F85" s="843" t="inlineStr">
        <is>
          <t xml:space="preserve">Manager Cyber Security Operations </t>
        </is>
      </c>
      <c r="G85" s="844" t="inlineStr">
        <is>
          <t>Cyber, Risk &amp; Operations</t>
        </is>
      </c>
      <c r="H85" s="843" t="inlineStr">
        <is>
          <t>Cyber GRC</t>
        </is>
      </c>
      <c r="I85" s="843" t="inlineStr">
        <is>
          <t>NA</t>
        </is>
      </c>
      <c r="J85" s="843" t="inlineStr">
        <is>
          <t>NA</t>
        </is>
      </c>
      <c r="K85" s="843" t="inlineStr">
        <is>
          <t>NA</t>
        </is>
      </c>
      <c r="L85" s="843" t="inlineStr">
        <is>
          <t>NA</t>
        </is>
      </c>
      <c r="M85" s="843" t="n"/>
      <c r="N85" s="845" t="inlineStr">
        <is>
          <t>Australia</t>
        </is>
      </c>
      <c r="O85" s="846" t="inlineStr">
        <is>
          <t>CSB</t>
        </is>
      </c>
      <c r="P85" s="847" t="n">
        <v>1</v>
      </c>
      <c r="Q85" s="846" t="n"/>
      <c r="R85" s="847" t="inlineStr">
        <is>
          <t>Permanent - Full Time</t>
        </is>
      </c>
      <c r="S85" s="847" t="n"/>
      <c r="T85" s="847" t="n"/>
      <c r="U85" s="848" t="n">
        <v>211840</v>
      </c>
      <c r="V85" s="849" t="n">
        <v>211840</v>
      </c>
      <c r="W85" s="850" t="n">
        <v>0.14</v>
      </c>
      <c r="X85" s="847" t="n">
        <v>0.055</v>
      </c>
      <c r="Y85" s="850" t="n">
        <v>0.12</v>
      </c>
      <c r="Z85" s="851" t="n"/>
      <c r="AA85" s="850" t="n">
        <v>0.04</v>
      </c>
      <c r="AB85" s="852" t="n">
        <v>287043.2</v>
      </c>
      <c r="AE85" s="534">
        <f>IF(TRIM($B85)="","",IF(AND(N($P85)&gt;0,N($P85)&lt;1),N($AB85)*N($P85),N($AB85)))</f>
        <v>287043.2</v>
      </c>
      <c r="AF85" s="534" t="str">
        <f>IF(TRIM($B85)="","",IF(OR(ISNUMBER(SEARCH("vacant",$B85)),ISNUMBER(SEARCH("ring fenced",$B85)),LOWER(TRIM($B85))="remove"),"Vacant","Filled"))</f>
        <v>Filled</v>
      </c>
      <c r="AG85" s="534" t="b">
        <f>IF(TRIM($B85)="","",--ISNUMBER(SEARCH("ring fenced",$B85)))</f>
        <v>0</v>
      </c>
      <c r="AH85" s="534" t="str">
        <f>IF(TRIM($B85)="","",IF(COUNTIFS(Lists!$AN$2:$AN$22,TRIM($B85)&amp;" | "&amp;TRIM($D85),Lists!$AO$2:$AO$22,"&lt;&gt;"),INDEX(Lists!$AO$2:$AO$22,MATCH(TRIM($B85)&amp;" | "&amp;TRIM($D85),Lists!$AN$2:$AN$22,0)),IF(COUNTIF(Lists!$AR$2:$AR$3,$AJ85),"TDD Cyber",IF(AND(LEFT($AJ85,4)="EGI ",ISNUMBER(MATCH(TRIM(MID($AJ85,5,99)),Lists!$AS$2:$AS$12,0))),TRIM(MID($AJ85,5,99)),IF(AND(LEFT($AJ85,4)="EGI ",ISNUMBER(MATCH(TRIM(MID($AJ85,5,99)),Lists!$T$2:$T$21,0))),INDEX(Lists!$U$2:$U$21,MATCH(TRIM(MID($AJ85,5,99)),Lists!$T$2:$T$21,0)),IF(OR(TRIM($J85)="",UPPER(TRIM($J85))="NA"),IFERROR(INDEX(Lists!$R$2:$R$9,MATCH(TRIM($G85),Lists!$Q$2:$Q$9,0)),"UNMAPPED"),IFERROR(INDEX(Lists!$U$2:$U$21,MATCH(TRIM($J85),Lists!$T$2:$T$21,0)),IFERROR(INDEX(Lists!$R$2:$R$9,MATCH(TRIM($G85),Lists!$Q$2:$Q$9,0)),"UNMAPPED"))))))))</f>
        <v>COE Cyber</v>
      </c>
      <c r="AI85" s="534" t="b">
        <f>IF(TRIM($B85)="","",--OR(TRIM($L85)="Leadership",TRIM($K85)="Leadership"))</f>
        <v>0</v>
      </c>
      <c r="AJ85" s="534" t="str">
        <f>IF(TRIM($B85)="","",IF(COUNTIFS(Lists!$AN$2:$AN$22,TRIM($B85)&amp;" | "&amp;TRIM($D85),Lists!$AP$2:$AP$22,"&lt;&gt;"),INDEX(Lists!$AP$2:$AP$22,MATCH(TRIM($B85)&amp;" | "&amp;TRIM($D85),Lists!$AN$2:$AN$22,0)),IF($AI85=1,"Leadership",IFERROR(INDEX(Lists!$X$2:$X$21,MATCH(TRIM($L85),Lists!$W$2:$W$21,0)),IF(OR(TRIM($L85)="",LOWER(TRIM($L85))="na"),IF(TRIM($H85)="","Unassigned",TRIM($H85)),TRIM($L85))))))</f>
        <v>Cyber GRC</v>
      </c>
      <c r="AK85" s="534" t="str">
        <f>IF(TRIM($B85)="","",IF(COUNTIFS(Lists!$AN$2:$AN$22,TRIM($B85)&amp;" | "&amp;TRIM($D85),Lists!$AQ$2:$AQ$22,"&lt;&gt;"),INDEX(Lists!$AQ$2:$AQ$22,MATCH(TRIM($B85)&amp;" | "&amp;TRIM($D85),Lists!$AN$2:$AN$22,0)),IF(COUNTIF(Lists!$AF$2:$AF$8,$AJ85),$AJ85,IF(ISNUMBER(SEARCH("head of ",$D85)),"Head of Technology",IF(ISNUMBER(SEARCH("TDD BP",$D85)),"Business Partner",IF(OR(ISNUMBER(SEARCH("domain architect",$D85)),ISNUMBER(SEARCH("enterprise architect",$D85))),"Domain Architect",IF(ISNUMBER(SEARCH("delivery man",$D85)),"Delivery Manager",IF(OR(ISNUMBER(SEARCH("technology manager",$D85)),ISNUMBER(SEARCH("technology manger",$D85)),ISNUMBER(SEARCH("tech manager",$D85))),"Technology Manager","Squad"))))))))</f>
        <v>Squad</v>
      </c>
      <c r="AL85" s="534" t="str">
        <f>IF(TRIM($B85)="","",IF(AND($AM85=1,LEFT($AJ85,4)&lt;&gt;"EGI ",$AJ85&lt;&gt;"EGI"),IFERROR(INDEX(Lists!$Z$2:$Z$20,MATCH($AH85,Lists!$Y$2:$Y$20,0)),"EGI "&amp;$AH85),IF(COUNTIF(Lists!$AU$2:$AU$10,$AJ85),$AJ85,IF(OR(LEFT($AH85,3)="COE",$AH85="EGI"),$AJ85,IF($AK85&lt;&gt;"Squad",$AK85,$AJ85)))))</f>
        <v>Cyber GRC</v>
      </c>
      <c r="AM85" s="534" t="b">
        <f>IF(TRIM($B85)="","",--(UPPER(TRIM($K85))="EGI"))</f>
        <v>0</v>
      </c>
      <c r="AQ85" s="841" t="inlineStr">
        <is>
          <t>R0084</t>
        </is>
      </c>
      <c r="AZ85" s="841" t="n"/>
    </row>
    <row r="86" ht="18" customHeight="1" s="535">
      <c r="A86" s="842" t="n">
        <v>101504</v>
      </c>
      <c r="B86" s="843" t="inlineStr">
        <is>
          <t>Steven Atcheson</t>
        </is>
      </c>
      <c r="C86" s="842" t="n">
        <v>101504</v>
      </c>
      <c r="D86" s="843" t="inlineStr">
        <is>
          <t>Manager Cyber Security Operations</t>
        </is>
      </c>
      <c r="E86" s="843" t="inlineStr">
        <is>
          <t>Frances Bouzo</t>
        </is>
      </c>
      <c r="F86" s="843" t="inlineStr">
        <is>
          <t xml:space="preserve">Manager, Risk &amp; Resilience </t>
        </is>
      </c>
      <c r="G86" s="844" t="inlineStr">
        <is>
          <t>Cyber, Risk &amp; Operations</t>
        </is>
      </c>
      <c r="H86" s="843" t="inlineStr">
        <is>
          <t>Cyber Sec Ops</t>
        </is>
      </c>
      <c r="I86" s="843" t="inlineStr">
        <is>
          <t>NA</t>
        </is>
      </c>
      <c r="J86" s="843" t="inlineStr">
        <is>
          <t>NA</t>
        </is>
      </c>
      <c r="K86" s="843" t="inlineStr">
        <is>
          <t>NA</t>
        </is>
      </c>
      <c r="L86" s="843" t="inlineStr">
        <is>
          <t>NA</t>
        </is>
      </c>
      <c r="M86" s="843" t="n"/>
      <c r="N86" s="845" t="inlineStr">
        <is>
          <t>Australia</t>
        </is>
      </c>
      <c r="O86" s="846" t="inlineStr">
        <is>
          <t>CSB</t>
        </is>
      </c>
      <c r="P86" s="847" t="n">
        <v>1</v>
      </c>
      <c r="Q86" s="846" t="n"/>
      <c r="R86" s="847" t="inlineStr">
        <is>
          <t>Permanent - Full Time</t>
        </is>
      </c>
      <c r="S86" s="847" t="n"/>
      <c r="T86" s="847" t="n"/>
      <c r="U86" s="848" t="n">
        <v>233630</v>
      </c>
      <c r="V86" s="849" t="n">
        <v>233630</v>
      </c>
      <c r="W86" s="850" t="n">
        <v>0.14</v>
      </c>
      <c r="X86" s="847" t="n">
        <v>0.055</v>
      </c>
      <c r="Y86" s="850" t="n">
        <v>0.12</v>
      </c>
      <c r="Z86" s="851" t="n"/>
      <c r="AA86" s="850" t="n">
        <v>0.04</v>
      </c>
      <c r="AB86" s="852" t="n">
        <v>316568.65</v>
      </c>
      <c r="AE86" s="534">
        <f>IF(TRIM($B86)="","",IF(AND(N($P86)&gt;0,N($P86)&lt;1),N($AB86)*N($P86),N($AB86)))</f>
        <v>316568.65</v>
      </c>
      <c r="AF86" s="534" t="str">
        <f>IF(TRIM($B86)="","",IF(OR(ISNUMBER(SEARCH("vacant",$B86)),ISNUMBER(SEARCH("ring fenced",$B86)),LOWER(TRIM($B86))="remove"),"Vacant","Filled"))</f>
        <v>Filled</v>
      </c>
      <c r="AG86" s="534" t="b">
        <f>IF(TRIM($B86)="","",--ISNUMBER(SEARCH("ring fenced",$B86)))</f>
        <v>0</v>
      </c>
      <c r="AH86" s="534" t="str">
        <f>IF(TRIM($B86)="","",IF(COUNTIFS(Lists!$AN$2:$AN$22,TRIM($B86)&amp;" | "&amp;TRIM($D86),Lists!$AO$2:$AO$22,"&lt;&gt;"),INDEX(Lists!$AO$2:$AO$22,MATCH(TRIM($B86)&amp;" | "&amp;TRIM($D86),Lists!$AN$2:$AN$22,0)),IF(COUNTIF(Lists!$AR$2:$AR$3,$AJ86),"TDD Cyber",IF(AND(LEFT($AJ86,4)="EGI ",ISNUMBER(MATCH(TRIM(MID($AJ86,5,99)),Lists!$AS$2:$AS$12,0))),TRIM(MID($AJ86,5,99)),IF(AND(LEFT($AJ86,4)="EGI ",ISNUMBER(MATCH(TRIM(MID($AJ86,5,99)),Lists!$T$2:$T$21,0))),INDEX(Lists!$U$2:$U$21,MATCH(TRIM(MID($AJ86,5,99)),Lists!$T$2:$T$21,0)),IF(OR(TRIM($J86)="",UPPER(TRIM($J86))="NA"),IFERROR(INDEX(Lists!$R$2:$R$9,MATCH(TRIM($G86),Lists!$Q$2:$Q$9,0)),"UNMAPPED"),IFERROR(INDEX(Lists!$U$2:$U$21,MATCH(TRIM($J86),Lists!$T$2:$T$21,0)),IFERROR(INDEX(Lists!$R$2:$R$9,MATCH(TRIM($G86),Lists!$Q$2:$Q$9,0)),"UNMAPPED"))))))))</f>
        <v>COE Cyber</v>
      </c>
      <c r="AI86" s="534" t="b">
        <f>IF(TRIM($B86)="","",--OR(TRIM($L86)="Leadership",TRIM($K86)="Leadership"))</f>
        <v>0</v>
      </c>
      <c r="AJ86" s="534" t="str">
        <f>IF(TRIM($B86)="","",IF(COUNTIFS(Lists!$AN$2:$AN$22,TRIM($B86)&amp;" | "&amp;TRIM($D86),Lists!$AP$2:$AP$22,"&lt;&gt;"),INDEX(Lists!$AP$2:$AP$22,MATCH(TRIM($B86)&amp;" | "&amp;TRIM($D86),Lists!$AN$2:$AN$22,0)),IF($AI86=1,"Leadership",IFERROR(INDEX(Lists!$X$2:$X$21,MATCH(TRIM($L86),Lists!$W$2:$W$21,0)),IF(OR(TRIM($L86)="",LOWER(TRIM($L86))="na"),IF(TRIM($H86)="","Unassigned",TRIM($H86)),TRIM($L86))))))</f>
        <v>Cyber Sec Ops</v>
      </c>
      <c r="AK86" s="534" t="str">
        <f>IF(TRIM($B86)="","",IF(COUNTIFS(Lists!$AN$2:$AN$22,TRIM($B86)&amp;" | "&amp;TRIM($D86),Lists!$AQ$2:$AQ$22,"&lt;&gt;"),INDEX(Lists!$AQ$2:$AQ$22,MATCH(TRIM($B86)&amp;" | "&amp;TRIM($D86),Lists!$AN$2:$AN$22,0)),IF(COUNTIF(Lists!$AF$2:$AF$8,$AJ86),$AJ86,IF(ISNUMBER(SEARCH("head of ",$D86)),"Head of Technology",IF(ISNUMBER(SEARCH("TDD BP",$D86)),"Business Partner",IF(OR(ISNUMBER(SEARCH("domain architect",$D86)),ISNUMBER(SEARCH("enterprise architect",$D86))),"Domain Architect",IF(ISNUMBER(SEARCH("delivery man",$D86)),"Delivery Manager",IF(OR(ISNUMBER(SEARCH("technology manager",$D86)),ISNUMBER(SEARCH("technology manger",$D86)),ISNUMBER(SEARCH("tech manager",$D86))),"Technology Manager","Squad"))))))))</f>
        <v>Squad</v>
      </c>
      <c r="AL86" s="534" t="str">
        <f>IF(TRIM($B86)="","",IF(AND($AM86=1,LEFT($AJ86,4)&lt;&gt;"EGI ",$AJ86&lt;&gt;"EGI"),IFERROR(INDEX(Lists!$Z$2:$Z$20,MATCH($AH86,Lists!$Y$2:$Y$20,0)),"EGI "&amp;$AH86),IF(COUNTIF(Lists!$AU$2:$AU$10,$AJ86),$AJ86,IF(OR(LEFT($AH86,3)="COE",$AH86="EGI"),$AJ86,IF($AK86&lt;&gt;"Squad",$AK86,$AJ86)))))</f>
        <v>Cyber Sec Ops</v>
      </c>
      <c r="AM86" s="534" t="b">
        <f>IF(TRIM($B86)="","",--(UPPER(TRIM($K86))="EGI"))</f>
        <v>0</v>
      </c>
      <c r="AQ86" s="841" t="inlineStr">
        <is>
          <t>R0085</t>
        </is>
      </c>
      <c r="AZ86" s="841" t="n"/>
    </row>
    <row r="87" ht="18" customHeight="1" s="535">
      <c r="A87" s="842" t="n">
        <v>101830</v>
      </c>
      <c r="B87" s="843" t="inlineStr">
        <is>
          <t>Vivienne Vasak</t>
        </is>
      </c>
      <c r="C87" s="842" t="n">
        <v>101830</v>
      </c>
      <c r="D87" s="843" t="inlineStr">
        <is>
          <t>Portfolio Manager Cyber Security</t>
        </is>
      </c>
      <c r="E87" s="843" t="inlineStr">
        <is>
          <t>James Byrne</t>
        </is>
      </c>
      <c r="F87" s="843" t="inlineStr">
        <is>
          <t xml:space="preserve">Manager Service Perforance &amp; Assurance </t>
        </is>
      </c>
      <c r="G87" s="844" t="inlineStr">
        <is>
          <t>Cyber, Risk &amp; Operations</t>
        </is>
      </c>
      <c r="H87" s="843" t="inlineStr">
        <is>
          <t>Cyber Strat &amp; Tech</t>
        </is>
      </c>
      <c r="I87" s="843" t="inlineStr">
        <is>
          <t>NA</t>
        </is>
      </c>
      <c r="J87" s="843" t="inlineStr">
        <is>
          <t>NA</t>
        </is>
      </c>
      <c r="K87" s="843" t="inlineStr">
        <is>
          <t>NA</t>
        </is>
      </c>
      <c r="L87" s="843" t="inlineStr">
        <is>
          <t>NA</t>
        </is>
      </c>
      <c r="M87" s="843" t="n"/>
      <c r="N87" s="845" t="inlineStr">
        <is>
          <t>Australia</t>
        </is>
      </c>
      <c r="O87" s="846" t="inlineStr">
        <is>
          <t>CSB</t>
        </is>
      </c>
      <c r="P87" s="847" t="n">
        <v>1</v>
      </c>
      <c r="Q87" s="846" t="n"/>
      <c r="R87" s="847" t="inlineStr">
        <is>
          <t>Permanent - Full Time</t>
        </is>
      </c>
      <c r="S87" s="847" t="n"/>
      <c r="T87" s="847" t="n"/>
      <c r="U87" s="848" t="n">
        <v>232970</v>
      </c>
      <c r="V87" s="849" t="n">
        <v>232970</v>
      </c>
      <c r="W87" s="850" t="n">
        <v>0.14</v>
      </c>
      <c r="X87" s="847" t="n">
        <v>0.055</v>
      </c>
      <c r="Y87" s="850" t="n">
        <v>0.12</v>
      </c>
      <c r="Z87" s="851" t="n"/>
      <c r="AA87" s="850" t="n">
        <v>0.04</v>
      </c>
      <c r="AB87" s="852" t="n">
        <v>315674.35</v>
      </c>
      <c r="AE87" s="534">
        <f>IF(TRIM($B87)="","",IF(AND(N($P87)&gt;0,N($P87)&lt;1),N($AB87)*N($P87),N($AB87)))</f>
        <v>315674.35</v>
      </c>
      <c r="AF87" s="534" t="str">
        <f>IF(TRIM($B87)="","",IF(OR(ISNUMBER(SEARCH("vacant",$B87)),ISNUMBER(SEARCH("ring fenced",$B87)),LOWER(TRIM($B87))="remove"),"Vacant","Filled"))</f>
        <v>Filled</v>
      </c>
      <c r="AG87" s="534" t="b">
        <f>IF(TRIM($B87)="","",--ISNUMBER(SEARCH("ring fenced",$B87)))</f>
        <v>0</v>
      </c>
      <c r="AH87" s="534" t="str">
        <f>IF(TRIM($B87)="","",IF(COUNTIFS(Lists!$AN$2:$AN$22,TRIM($B87)&amp;" | "&amp;TRIM($D87),Lists!$AO$2:$AO$22,"&lt;&gt;"),INDEX(Lists!$AO$2:$AO$22,MATCH(TRIM($B87)&amp;" | "&amp;TRIM($D87),Lists!$AN$2:$AN$22,0)),IF(COUNTIF(Lists!$AR$2:$AR$3,$AJ87),"TDD Cyber",IF(AND(LEFT($AJ87,4)="EGI ",ISNUMBER(MATCH(TRIM(MID($AJ87,5,99)),Lists!$AS$2:$AS$12,0))),TRIM(MID($AJ87,5,99)),IF(AND(LEFT($AJ87,4)="EGI ",ISNUMBER(MATCH(TRIM(MID($AJ87,5,99)),Lists!$T$2:$T$21,0))),INDEX(Lists!$U$2:$U$21,MATCH(TRIM(MID($AJ87,5,99)),Lists!$T$2:$T$21,0)),IF(OR(TRIM($J87)="",UPPER(TRIM($J87))="NA"),IFERROR(INDEX(Lists!$R$2:$R$9,MATCH(TRIM($G87),Lists!$Q$2:$Q$9,0)),"UNMAPPED"),IFERROR(INDEX(Lists!$U$2:$U$21,MATCH(TRIM($J87),Lists!$T$2:$T$21,0)),IFERROR(INDEX(Lists!$R$2:$R$9,MATCH(TRIM($G87),Lists!$Q$2:$Q$9,0)),"UNMAPPED"))))))))</f>
        <v>TDD Cyber</v>
      </c>
      <c r="AI87" s="534" t="b">
        <f>IF(TRIM($B87)="","",--OR(TRIM($L87)="Leadership",TRIM($K87)="Leadership"))</f>
        <v>0</v>
      </c>
      <c r="AJ87" s="534" t="str">
        <f>IF(TRIM($B87)="","",IF(COUNTIFS(Lists!$AN$2:$AN$22,TRIM($B87)&amp;" | "&amp;TRIM($D87),Lists!$AP$2:$AP$22,"&lt;&gt;"),INDEX(Lists!$AP$2:$AP$22,MATCH(TRIM($B87)&amp;" | "&amp;TRIM($D87),Lists!$AN$2:$AN$22,0)),IF($AI87=1,"Leadership",IFERROR(INDEX(Lists!$X$2:$X$21,MATCH(TRIM($L87),Lists!$W$2:$W$21,0)),IF(OR(TRIM($L87)="",LOWER(TRIM($L87))="na"),IF(TRIM($H87)="","Unassigned",TRIM($H87)),TRIM($L87))))))</f>
        <v>Cyber Uplift</v>
      </c>
      <c r="AK87" s="534" t="str">
        <f>IF(TRIM($B87)="","",IF(COUNTIFS(Lists!$AN$2:$AN$22,TRIM($B87)&amp;" | "&amp;TRIM($D87),Lists!$AQ$2:$AQ$22,"&lt;&gt;"),INDEX(Lists!$AQ$2:$AQ$22,MATCH(TRIM($B87)&amp;" | "&amp;TRIM($D87),Lists!$AN$2:$AN$22,0)),IF(COUNTIF(Lists!$AF$2:$AF$8,$AJ87),$AJ87,IF(ISNUMBER(SEARCH("head of ",$D87)),"Head of Technology",IF(ISNUMBER(SEARCH("TDD BP",$D87)),"Business Partner",IF(OR(ISNUMBER(SEARCH("domain architect",$D87)),ISNUMBER(SEARCH("enterprise architect",$D87))),"Domain Architect",IF(ISNUMBER(SEARCH("delivery man",$D87)),"Delivery Manager",IF(OR(ISNUMBER(SEARCH("technology manager",$D87)),ISNUMBER(SEARCH("technology manger",$D87)),ISNUMBER(SEARCH("tech manager",$D87))),"Technology Manager","Squad"))))))))</f>
        <v>Squad</v>
      </c>
      <c r="AL87" s="534" t="str">
        <f>IF(TRIM($B87)="","",IF(AND($AM87=1,LEFT($AJ87,4)&lt;&gt;"EGI ",$AJ87&lt;&gt;"EGI"),IFERROR(INDEX(Lists!$Z$2:$Z$20,MATCH($AH87,Lists!$Y$2:$Y$20,0)),"EGI "&amp;$AH87),IF(COUNTIF(Lists!$AU$2:$AU$10,$AJ87),$AJ87,IF(OR(LEFT($AH87,3)="COE",$AH87="EGI"),$AJ87,IF($AK87&lt;&gt;"Squad",$AK87,$AJ87)))))</f>
        <v>Cyber Uplift</v>
      </c>
      <c r="AM87" s="534" t="b">
        <f>IF(TRIM($B87)="","",--(UPPER(TRIM($K87))="EGI"))</f>
        <v>0</v>
      </c>
      <c r="AQ87" s="841" t="inlineStr">
        <is>
          <t>R0086</t>
        </is>
      </c>
      <c r="AZ87" s="841" t="n"/>
    </row>
    <row r="88" ht="18" customHeight="1" s="535">
      <c r="A88" s="842" t="n">
        <v>113956</v>
      </c>
      <c r="B88" s="843" t="inlineStr">
        <is>
          <t>Deepali Mahajan</t>
        </is>
      </c>
      <c r="C88" s="842" t="n">
        <v>113956</v>
      </c>
      <c r="D88" s="843" t="inlineStr">
        <is>
          <t>Data Operations Manager</t>
        </is>
      </c>
      <c r="E88" s="843" t="inlineStr">
        <is>
          <t>James Holgate</t>
        </is>
      </c>
      <c r="F88" s="843" t="inlineStr">
        <is>
          <t>Head of Technology,  Group Data</t>
        </is>
      </c>
      <c r="G88" s="844" t="inlineStr">
        <is>
          <t>Strategy, Architecture &amp; Data</t>
        </is>
      </c>
      <c r="H88" s="843" t="inlineStr">
        <is>
          <t>Group Data</t>
        </is>
      </c>
      <c r="I88" s="843" t="inlineStr">
        <is>
          <t>Data Operations</t>
        </is>
      </c>
      <c r="J88" s="843" t="inlineStr">
        <is>
          <t>Enterprise Data</t>
        </is>
      </c>
      <c r="K88" s="843" t="inlineStr">
        <is>
          <t>Leadership</t>
        </is>
      </c>
      <c r="L88" s="843" t="n"/>
      <c r="M88" s="843" t="n"/>
      <c r="N88" s="845" t="inlineStr">
        <is>
          <t>Australia</t>
        </is>
      </c>
      <c r="O88" s="846" t="inlineStr">
        <is>
          <t>CSB</t>
        </is>
      </c>
      <c r="P88" s="847" t="n">
        <v>1</v>
      </c>
      <c r="Q88" s="846" t="n"/>
      <c r="R88" s="847" t="inlineStr">
        <is>
          <t>Permanent - Full Time</t>
        </is>
      </c>
      <c r="S88" s="847" t="n"/>
      <c r="T88" s="847" t="n"/>
      <c r="U88" s="848" t="n">
        <v>218390</v>
      </c>
      <c r="V88" s="849" t="n">
        <v>218390</v>
      </c>
      <c r="W88" s="850" t="n">
        <v>0.14</v>
      </c>
      <c r="X88" s="847" t="n">
        <v>0.055</v>
      </c>
      <c r="Y88" s="850" t="n">
        <v>0.12</v>
      </c>
      <c r="Z88" s="851" t="n"/>
      <c r="AA88" s="850" t="n">
        <v>0.04</v>
      </c>
      <c r="AB88" s="852" t="n">
        <v>295918.45</v>
      </c>
      <c r="AE88" s="534">
        <f>IF(TRIM($B88)="","",IF(AND(N($P88)&gt;0,N($P88)&lt;1),N($AB88)*N($P88),N($AB88)))</f>
        <v>295918.45</v>
      </c>
      <c r="AF88" s="534" t="str">
        <f>IF(TRIM($B88)="","",IF(OR(ISNUMBER(SEARCH("vacant",$B88)),ISNUMBER(SEARCH("ring fenced",$B88)),LOWER(TRIM($B88))="remove"),"Vacant","Filled"))</f>
        <v>Filled</v>
      </c>
      <c r="AG88" s="534" t="b">
        <f>IF(TRIM($B88)="","",--ISNUMBER(SEARCH("ring fenced",$B88)))</f>
        <v>0</v>
      </c>
      <c r="AH88" s="534" t="str">
        <f>IF(TRIM($B88)="","",IF(COUNTIFS(Lists!$AN$2:$AN$22,TRIM($B88)&amp;" | "&amp;TRIM($D88),Lists!$AO$2:$AO$22,"&lt;&gt;"),INDEX(Lists!$AO$2:$AO$22,MATCH(TRIM($B88)&amp;" | "&amp;TRIM($D88),Lists!$AN$2:$AN$22,0)),IF(COUNTIF(Lists!$AR$2:$AR$3,$AJ88),"TDD Cyber",IF(AND(LEFT($AJ88,4)="EGI ",ISNUMBER(MATCH(TRIM(MID($AJ88,5,99)),Lists!$AS$2:$AS$12,0))),TRIM(MID($AJ88,5,99)),IF(AND(LEFT($AJ88,4)="EGI ",ISNUMBER(MATCH(TRIM(MID($AJ88,5,99)),Lists!$T$2:$T$21,0))),INDEX(Lists!$U$2:$U$21,MATCH(TRIM(MID($AJ88,5,99)),Lists!$T$2:$T$21,0)),IF(OR(TRIM($J88)="",UPPER(TRIM($J88))="NA"),IFERROR(INDEX(Lists!$R$2:$R$9,MATCH(TRIM($G88),Lists!$Q$2:$Q$9,0)),"UNMAPPED"),IFERROR(INDEX(Lists!$U$2:$U$21,MATCH(TRIM($J88),Lists!$T$2:$T$21,0)),IFERROR(INDEX(Lists!$R$2:$R$9,MATCH(TRIM($G88),Lists!$Q$2:$Q$9,0)),"UNMAPPED"))))))))</f>
        <v>Enterprise Data</v>
      </c>
      <c r="AI88" s="534" t="b">
        <f>IF(TRIM($B88)="","",--OR(TRIM($L88)="Leadership",TRIM($K88)="Leadership"))</f>
        <v>1</v>
      </c>
      <c r="AJ88" s="534" t="str">
        <f>IF(TRIM($B88)="","",IF(COUNTIFS(Lists!$AN$2:$AN$22,TRIM($B88)&amp;" | "&amp;TRIM($D88),Lists!$AP$2:$AP$22,"&lt;&gt;"),INDEX(Lists!$AP$2:$AP$22,MATCH(TRIM($B88)&amp;" | "&amp;TRIM($D88),Lists!$AN$2:$AN$22,0)),IF($AI88=1,"Leadership",IFERROR(INDEX(Lists!$X$2:$X$21,MATCH(TRIM($L88),Lists!$W$2:$W$21,0)),IF(OR(TRIM($L88)="",LOWER(TRIM($L88))="na"),IF(TRIM($H88)="","Unassigned",TRIM($H88)),TRIM($L88))))))</f>
        <v>Leadership</v>
      </c>
      <c r="AK88" s="534" t="str">
        <f>IF(TRIM($B88)="","",IF(COUNTIFS(Lists!$AN$2:$AN$22,TRIM($B88)&amp;" | "&amp;TRIM($D88),Lists!$AQ$2:$AQ$22,"&lt;&gt;"),INDEX(Lists!$AQ$2:$AQ$22,MATCH(TRIM($B88)&amp;" | "&amp;TRIM($D88),Lists!$AN$2:$AN$22,0)),IF(COUNTIF(Lists!$AF$2:$AF$8,$AJ88),$AJ88,IF(ISNUMBER(SEARCH("head of ",$D88)),"Head of Technology",IF(ISNUMBER(SEARCH("TDD BP",$D88)),"Business Partner",IF(OR(ISNUMBER(SEARCH("domain architect",$D88)),ISNUMBER(SEARCH("enterprise architect",$D88))),"Domain Architect",IF(ISNUMBER(SEARCH("delivery man",$D88)),"Delivery Manager",IF(OR(ISNUMBER(SEARCH("technology manager",$D88)),ISNUMBER(SEARCH("technology manger",$D88)),ISNUMBER(SEARCH("tech manager",$D88))),"Technology Manager","Squad"))))))))</f>
        <v>Squad</v>
      </c>
      <c r="AL88" s="534" t="str">
        <f>IF(TRIM($B88)="","",IF(AND($AM88=1,LEFT($AJ88,4)&lt;&gt;"EGI ",$AJ88&lt;&gt;"EGI"),IFERROR(INDEX(Lists!$Z$2:$Z$20,MATCH($AH88,Lists!$Y$2:$Y$20,0)),"EGI "&amp;$AH88),IF(COUNTIF(Lists!$AU$2:$AU$10,$AJ88),$AJ88,IF(OR(LEFT($AH88,3)="COE",$AH88="EGI"),$AJ88,IF($AK88&lt;&gt;"Squad",$AK88,$AJ88)))))</f>
        <v>Leadership</v>
      </c>
      <c r="AM88" s="534" t="b">
        <f>IF(TRIM($B88)="","",--(UPPER(TRIM($K88))="EGI"))</f>
        <v>0</v>
      </c>
      <c r="AQ88" s="841" t="inlineStr">
        <is>
          <t>R0087</t>
        </is>
      </c>
      <c r="AZ88" s="841" t="n"/>
    </row>
    <row r="89" ht="18" customHeight="1" s="535">
      <c r="A89" s="842" t="n">
        <v>114067</v>
      </c>
      <c r="B89" s="843" t="inlineStr">
        <is>
          <t>Jonathan Robinson</t>
        </is>
      </c>
      <c r="C89" s="842" t="n">
        <v>114067</v>
      </c>
      <c r="D89" s="843" t="inlineStr">
        <is>
          <t>Technology Manager  Data Science</t>
        </is>
      </c>
      <c r="E89" s="843" t="inlineStr">
        <is>
          <t>James Holgate</t>
        </is>
      </c>
      <c r="F89" s="843" t="inlineStr">
        <is>
          <t>Head of Technology,  Group Data</t>
        </is>
      </c>
      <c r="G89" s="844" t="inlineStr">
        <is>
          <t>Strategy, Architecture &amp; Data</t>
        </is>
      </c>
      <c r="H89" s="843" t="inlineStr">
        <is>
          <t>Group Data</t>
        </is>
      </c>
      <c r="I89" s="843" t="inlineStr">
        <is>
          <t>Data Science</t>
        </is>
      </c>
      <c r="J89" s="843" t="inlineStr">
        <is>
          <t>Enterprise Data</t>
        </is>
      </c>
      <c r="K89" s="843" t="inlineStr">
        <is>
          <t>Leadership</t>
        </is>
      </c>
      <c r="L89" s="843" t="n"/>
      <c r="M89" s="843" t="n"/>
      <c r="N89" s="845" t="inlineStr">
        <is>
          <t>Australia</t>
        </is>
      </c>
      <c r="O89" s="846" t="inlineStr">
        <is>
          <t>CSB</t>
        </is>
      </c>
      <c r="P89" s="847" t="n">
        <v>1</v>
      </c>
      <c r="Q89" s="846" t="n"/>
      <c r="R89" s="847" t="inlineStr">
        <is>
          <t>Permanent - Full Time</t>
        </is>
      </c>
      <c r="S89" s="847" t="n"/>
      <c r="T89" s="847" t="n"/>
      <c r="U89" s="848" t="n">
        <v>243850</v>
      </c>
      <c r="V89" s="849" t="n">
        <v>243850</v>
      </c>
      <c r="W89" s="850" t="n">
        <v>0.14</v>
      </c>
      <c r="X89" s="847" t="n">
        <v>0.055</v>
      </c>
      <c r="Y89" s="850" t="n">
        <v>0.12</v>
      </c>
      <c r="Z89" s="851" t="n"/>
      <c r="AA89" s="850" t="n">
        <v>0.04</v>
      </c>
      <c r="AB89" s="852" t="n">
        <v>330416.75</v>
      </c>
      <c r="AE89" s="534">
        <f>IF(TRIM($B89)="","",IF(AND(N($P89)&gt;0,N($P89)&lt;1),N($AB89)*N($P89),N($AB89)))</f>
        <v>330416.75</v>
      </c>
      <c r="AF89" s="534" t="str">
        <f>IF(TRIM($B89)="","",IF(OR(ISNUMBER(SEARCH("vacant",$B89)),ISNUMBER(SEARCH("ring fenced",$B89)),LOWER(TRIM($B89))="remove"),"Vacant","Filled"))</f>
        <v>Filled</v>
      </c>
      <c r="AG89" s="534" t="b">
        <f>IF(TRIM($B89)="","",--ISNUMBER(SEARCH("ring fenced",$B89)))</f>
        <v>0</v>
      </c>
      <c r="AH89" s="534" t="str">
        <f>IF(TRIM($B89)="","",IF(COUNTIFS(Lists!$AN$2:$AN$22,TRIM($B89)&amp;" | "&amp;TRIM($D89),Lists!$AO$2:$AO$22,"&lt;&gt;"),INDEX(Lists!$AO$2:$AO$22,MATCH(TRIM($B89)&amp;" | "&amp;TRIM($D89),Lists!$AN$2:$AN$22,0)),IF(COUNTIF(Lists!$AR$2:$AR$3,$AJ89),"TDD Cyber",IF(AND(LEFT($AJ89,4)="EGI ",ISNUMBER(MATCH(TRIM(MID($AJ89,5,99)),Lists!$AS$2:$AS$12,0))),TRIM(MID($AJ89,5,99)),IF(AND(LEFT($AJ89,4)="EGI ",ISNUMBER(MATCH(TRIM(MID($AJ89,5,99)),Lists!$T$2:$T$21,0))),INDEX(Lists!$U$2:$U$21,MATCH(TRIM(MID($AJ89,5,99)),Lists!$T$2:$T$21,0)),IF(OR(TRIM($J89)="",UPPER(TRIM($J89))="NA"),IFERROR(INDEX(Lists!$R$2:$R$9,MATCH(TRIM($G89),Lists!$Q$2:$Q$9,0)),"UNMAPPED"),IFERROR(INDEX(Lists!$U$2:$U$21,MATCH(TRIM($J89),Lists!$T$2:$T$21,0)),IFERROR(INDEX(Lists!$R$2:$R$9,MATCH(TRIM($G89),Lists!$Q$2:$Q$9,0)),"UNMAPPED"))))))))</f>
        <v>Enterprise Data</v>
      </c>
      <c r="AI89" s="534" t="b">
        <f>IF(TRIM($B89)="","",--OR(TRIM($L89)="Leadership",TRIM($K89)="Leadership"))</f>
        <v>1</v>
      </c>
      <c r="AJ89" s="534" t="str">
        <f>IF(TRIM($B89)="","",IF(COUNTIFS(Lists!$AN$2:$AN$22,TRIM($B89)&amp;" | "&amp;TRIM($D89),Lists!$AP$2:$AP$22,"&lt;&gt;"),INDEX(Lists!$AP$2:$AP$22,MATCH(TRIM($B89)&amp;" | "&amp;TRIM($D89),Lists!$AN$2:$AN$22,0)),IF($AI89=1,"Leadership",IFERROR(INDEX(Lists!$X$2:$X$21,MATCH(TRIM($L89),Lists!$W$2:$W$21,0)),IF(OR(TRIM($L89)="",LOWER(TRIM($L89))="na"),IF(TRIM($H89)="","Unassigned",TRIM($H89)),TRIM($L89))))))</f>
        <v>Leadership</v>
      </c>
      <c r="AK89" s="534" t="str">
        <f>IF(TRIM($B89)="","",IF(COUNTIFS(Lists!$AN$2:$AN$22,TRIM($B89)&amp;" | "&amp;TRIM($D89),Lists!$AQ$2:$AQ$22,"&lt;&gt;"),INDEX(Lists!$AQ$2:$AQ$22,MATCH(TRIM($B89)&amp;" | "&amp;TRIM($D89),Lists!$AN$2:$AN$22,0)),IF(COUNTIF(Lists!$AF$2:$AF$8,$AJ89),$AJ89,IF(ISNUMBER(SEARCH("head of ",$D89)),"Head of Technology",IF(ISNUMBER(SEARCH("TDD BP",$D89)),"Business Partner",IF(OR(ISNUMBER(SEARCH("domain architect",$D89)),ISNUMBER(SEARCH("enterprise architect",$D89))),"Domain Architect",IF(ISNUMBER(SEARCH("delivery man",$D89)),"Delivery Manager",IF(OR(ISNUMBER(SEARCH("technology manager",$D89)),ISNUMBER(SEARCH("technology manger",$D89)),ISNUMBER(SEARCH("tech manager",$D89))),"Technology Manager","Squad"))))))))</f>
        <v>Technology Manager</v>
      </c>
      <c r="AL89" s="534" t="str">
        <f>IF(TRIM($B89)="","",IF(AND($AM89=1,LEFT($AJ89,4)&lt;&gt;"EGI ",$AJ89&lt;&gt;"EGI"),IFERROR(INDEX(Lists!$Z$2:$Z$20,MATCH($AH89,Lists!$Y$2:$Y$20,0)),"EGI "&amp;$AH89),IF(COUNTIF(Lists!$AU$2:$AU$10,$AJ89),$AJ89,IF(OR(LEFT($AH89,3)="COE",$AH89="EGI"),$AJ89,IF($AK89&lt;&gt;"Squad",$AK89,$AJ89)))))</f>
        <v>Technology Manager</v>
      </c>
      <c r="AM89" s="534" t="b">
        <f>IF(TRIM($B89)="","",--(UPPER(TRIM($K89))="EGI"))</f>
        <v>0</v>
      </c>
      <c r="AQ89" s="841" t="inlineStr">
        <is>
          <t>R0088</t>
        </is>
      </c>
      <c r="AZ89" s="841" t="n"/>
    </row>
    <row r="90" ht="18" customHeight="1" s="535">
      <c r="A90" s="842" t="n">
        <v>115524</v>
      </c>
      <c r="B90" s="843" t="inlineStr">
        <is>
          <t>Tim Snedden</t>
        </is>
      </c>
      <c r="C90" s="842" t="n">
        <v>115524</v>
      </c>
      <c r="D90" s="843" t="inlineStr">
        <is>
          <t>Delivery Lead</t>
        </is>
      </c>
      <c r="E90" s="843" t="inlineStr">
        <is>
          <t>Joel Vijayakumar</t>
        </is>
      </c>
      <c r="F90" s="843" t="inlineStr">
        <is>
          <t>Delivery Manager, Strategy, Architecture &amp; Data</t>
        </is>
      </c>
      <c r="G90" s="844" t="inlineStr">
        <is>
          <t>Strategy, Architecture &amp; Data</t>
        </is>
      </c>
      <c r="H90" s="843" t="inlineStr">
        <is>
          <t>Delivery, SADA</t>
        </is>
      </c>
      <c r="I90" s="843" t="n"/>
      <c r="J90" s="843" t="inlineStr">
        <is>
          <t>Enterprise Data</t>
        </is>
      </c>
      <c r="K90" s="843" t="inlineStr">
        <is>
          <t>Group Data</t>
        </is>
      </c>
      <c r="L90" s="843" t="inlineStr">
        <is>
          <t>Data Platform</t>
        </is>
      </c>
      <c r="M90" s="843" t="n"/>
      <c r="N90" s="845" t="inlineStr">
        <is>
          <t>NZ</t>
        </is>
      </c>
      <c r="O90" s="846" t="inlineStr">
        <is>
          <t>CSB</t>
        </is>
      </c>
      <c r="P90" s="847" t="n">
        <v>1</v>
      </c>
      <c r="Q90" s="846" t="n"/>
      <c r="R90" s="847" t="inlineStr">
        <is>
          <t>Permanent - Full Time</t>
        </is>
      </c>
      <c r="S90" s="847" t="n"/>
      <c r="T90" s="847" t="n"/>
      <c r="U90" s="848" t="n">
        <v>161600</v>
      </c>
      <c r="V90" s="849" t="n">
        <v>148672</v>
      </c>
      <c r="W90" s="850" t="n">
        <v>0.15</v>
      </c>
      <c r="X90" s="847" t="n"/>
      <c r="Y90" s="850" t="n">
        <v>0.05</v>
      </c>
      <c r="Z90" s="851" t="n">
        <v>2910</v>
      </c>
      <c r="AA90" s="850" t="n">
        <v>0.03</v>
      </c>
      <c r="AB90" s="852" t="n">
        <v>185776.56</v>
      </c>
      <c r="AC90" s="534" t="n">
        <v>15175</v>
      </c>
      <c r="AE90" s="534">
        <f>IF(TRIM($B90)="","",IF(AND(N($P90)&gt;0,N($P90)&lt;1),N($AB90)*N($P90),N($AB90)))</f>
        <v>185776.56</v>
      </c>
      <c r="AF90" s="534" t="str">
        <f>IF(TRIM($B90)="","",IF(OR(ISNUMBER(SEARCH("vacant",$B90)),ISNUMBER(SEARCH("ring fenced",$B90)),LOWER(TRIM($B90))="remove"),"Vacant","Filled"))</f>
        <v>Filled</v>
      </c>
      <c r="AG90" s="534" t="b">
        <f>IF(TRIM($B90)="","",--ISNUMBER(SEARCH("ring fenced",$B90)))</f>
        <v>0</v>
      </c>
      <c r="AH90" s="534" t="str">
        <f>IF(TRIM($B90)="","",IF(COUNTIFS(Lists!$AN$2:$AN$22,TRIM($B90)&amp;" | "&amp;TRIM($D90),Lists!$AO$2:$AO$22,"&lt;&gt;"),INDEX(Lists!$AO$2:$AO$22,MATCH(TRIM($B90)&amp;" | "&amp;TRIM($D90),Lists!$AN$2:$AN$22,0)),IF(COUNTIF(Lists!$AR$2:$AR$3,$AJ90),"TDD Cyber",IF(AND(LEFT($AJ90,4)="EGI ",ISNUMBER(MATCH(TRIM(MID($AJ90,5,99)),Lists!$AS$2:$AS$12,0))),TRIM(MID($AJ90,5,99)),IF(AND(LEFT($AJ90,4)="EGI ",ISNUMBER(MATCH(TRIM(MID($AJ90,5,99)),Lists!$T$2:$T$21,0))),INDEX(Lists!$U$2:$U$21,MATCH(TRIM(MID($AJ90,5,99)),Lists!$T$2:$T$21,0)),IF(OR(TRIM($J90)="",UPPER(TRIM($J90))="NA"),IFERROR(INDEX(Lists!$R$2:$R$9,MATCH(TRIM($G90),Lists!$Q$2:$Q$9,0)),"UNMAPPED"),IFERROR(INDEX(Lists!$U$2:$U$21,MATCH(TRIM($J90),Lists!$T$2:$T$21,0)),IFERROR(INDEX(Lists!$R$2:$R$9,MATCH(TRIM($G90),Lists!$Q$2:$Q$9,0)),"UNMAPPED"))))))))</f>
        <v>Enterprise Data</v>
      </c>
      <c r="AI90" s="534" t="b">
        <f>IF(TRIM($B90)="","",--OR(TRIM($L90)="Leadership",TRIM($K90)="Leadership"))</f>
        <v>0</v>
      </c>
      <c r="AJ90" s="534" t="str">
        <f>IF(TRIM($B90)="","",IF(COUNTIFS(Lists!$AN$2:$AN$22,TRIM($B90)&amp;" | "&amp;TRIM($D90),Lists!$AP$2:$AP$22,"&lt;&gt;"),INDEX(Lists!$AP$2:$AP$22,MATCH(TRIM($B90)&amp;" | "&amp;TRIM($D90),Lists!$AN$2:$AN$22,0)),IF($AI90=1,"Leadership",IFERROR(INDEX(Lists!$X$2:$X$21,MATCH(TRIM($L90),Lists!$W$2:$W$21,0)),IF(OR(TRIM($L90)="",LOWER(TRIM($L90))="na"),IF(TRIM($H90)="","Unassigned",TRIM($H90)),TRIM($L90))))))</f>
        <v>Data Platforms</v>
      </c>
      <c r="AK90" s="534" t="str">
        <f>IF(TRIM($B90)="","",IF(COUNTIFS(Lists!$AN$2:$AN$22,TRIM($B90)&amp;" | "&amp;TRIM($D90),Lists!$AQ$2:$AQ$22,"&lt;&gt;"),INDEX(Lists!$AQ$2:$AQ$22,MATCH(TRIM($B90)&amp;" | "&amp;TRIM($D90),Lists!$AN$2:$AN$22,0)),IF(COUNTIF(Lists!$AF$2:$AF$8,$AJ90),$AJ90,IF(ISNUMBER(SEARCH("head of ",$D90)),"Head of Technology",IF(ISNUMBER(SEARCH("TDD BP",$D90)),"Business Partner",IF(OR(ISNUMBER(SEARCH("domain architect",$D90)),ISNUMBER(SEARCH("enterprise architect",$D90))),"Domain Architect",IF(ISNUMBER(SEARCH("delivery man",$D90)),"Delivery Manager",IF(OR(ISNUMBER(SEARCH("technology manager",$D90)),ISNUMBER(SEARCH("technology manger",$D90)),ISNUMBER(SEARCH("tech manager",$D90))),"Technology Manager","Squad"))))))))</f>
        <v>Squad</v>
      </c>
      <c r="AL90" s="534" t="str">
        <f>IF(TRIM($B90)="","",IF(AND($AM90=1,LEFT($AJ90,4)&lt;&gt;"EGI ",$AJ90&lt;&gt;"EGI"),IFERROR(INDEX(Lists!$Z$2:$Z$20,MATCH($AH90,Lists!$Y$2:$Y$20,0)),"EGI "&amp;$AH90),IF(COUNTIF(Lists!$AU$2:$AU$10,$AJ90),$AJ90,IF(OR(LEFT($AH90,3)="COE",$AH90="EGI"),$AJ90,IF($AK90&lt;&gt;"Squad",$AK90,$AJ90)))))</f>
        <v>Data Platforms</v>
      </c>
      <c r="AM90" s="534" t="b">
        <f>IF(TRIM($B90)="","",--(UPPER(TRIM($K90))="EGI"))</f>
        <v>0</v>
      </c>
      <c r="AQ90" s="841" t="inlineStr">
        <is>
          <t>R0089</t>
        </is>
      </c>
      <c r="AZ90" s="841" t="n"/>
    </row>
    <row r="91" ht="18" customHeight="1" s="535">
      <c r="A91" s="842" t="n">
        <v>115518</v>
      </c>
      <c r="B91" s="843" t="inlineStr">
        <is>
          <t>Hitesh Patel</t>
        </is>
      </c>
      <c r="C91" s="842" t="n">
        <v>115518</v>
      </c>
      <c r="D91" s="843" t="inlineStr">
        <is>
          <t>Technology Manager, Energy Solutions</t>
        </is>
      </c>
      <c r="E91" s="843" t="inlineStr">
        <is>
          <t>Liesl Tye</t>
        </is>
      </c>
      <c r="F91" s="843" t="inlineStr">
        <is>
          <t>Head of Technology, B2B &amp; Energy Solutions</t>
        </is>
      </c>
      <c r="G91" s="844" t="inlineStr">
        <is>
          <t>TDD CFE&amp;I</t>
        </is>
      </c>
      <c r="H91" s="843" t="inlineStr">
        <is>
          <t>B2B &amp; Energy Solutions</t>
        </is>
      </c>
      <c r="I91" s="843" t="inlineStr">
        <is>
          <t>Technology Energy Solutions</t>
        </is>
      </c>
      <c r="J91" s="843" t="inlineStr">
        <is>
          <t>B2B &amp; Energy Solutions</t>
        </is>
      </c>
      <c r="K91" s="843" t="inlineStr">
        <is>
          <t>Leadership</t>
        </is>
      </c>
      <c r="L91" s="843" t="inlineStr">
        <is>
          <t>Leadership</t>
        </is>
      </c>
      <c r="M91" s="843" t="n"/>
      <c r="N91" s="845" t="inlineStr">
        <is>
          <t>NZ</t>
        </is>
      </c>
      <c r="O91" s="846" t="inlineStr">
        <is>
          <t>CSB</t>
        </is>
      </c>
      <c r="P91" s="847" t="n">
        <v>1</v>
      </c>
      <c r="Q91" s="846" t="n"/>
      <c r="R91" s="847" t="inlineStr">
        <is>
          <t>Permanent - Full Time</t>
        </is>
      </c>
      <c r="S91" s="847" t="n"/>
      <c r="T91" s="847" t="n"/>
      <c r="U91" s="848" t="n">
        <v>182640</v>
      </c>
      <c r="V91" s="849" t="n">
        <v>168028.8</v>
      </c>
      <c r="W91" s="850" t="n">
        <v>0.15</v>
      </c>
      <c r="X91" s="847" t="n"/>
      <c r="Y91" s="850" t="n">
        <v>0.05</v>
      </c>
      <c r="Z91" s="851" t="n">
        <v>2910</v>
      </c>
      <c r="AA91" s="850" t="n">
        <v>0.03</v>
      </c>
      <c r="AB91" s="852" t="n">
        <v>209585.424</v>
      </c>
      <c r="AE91" s="534">
        <f>IF(TRIM($B91)="","",IF(AND(N($P91)&gt;0,N($P91)&lt;1),N($AB91)*N($P91),N($AB91)))</f>
        <v>209585.424</v>
      </c>
      <c r="AF91" s="534" t="str">
        <f>IF(TRIM($B91)="","",IF(OR(ISNUMBER(SEARCH("vacant",$B91)),ISNUMBER(SEARCH("ring fenced",$B91)),LOWER(TRIM($B91))="remove"),"Vacant","Filled"))</f>
        <v>Filled</v>
      </c>
      <c r="AG91" s="534" t="b">
        <f>IF(TRIM($B91)="","",--ISNUMBER(SEARCH("ring fenced",$B91)))</f>
        <v>0</v>
      </c>
      <c r="AH91" s="534" t="str">
        <f>IF(TRIM($B91)="","",IF(COUNTIFS(Lists!$AN$2:$AN$22,TRIM($B91)&amp;" | "&amp;TRIM($D91),Lists!$AO$2:$AO$22,"&lt;&gt;"),INDEX(Lists!$AO$2:$AO$22,MATCH(TRIM($B91)&amp;" | "&amp;TRIM($D91),Lists!$AN$2:$AN$22,0)),IF(COUNTIF(Lists!$AR$2:$AR$3,$AJ91),"TDD Cyber",IF(AND(LEFT($AJ91,4)="EGI ",ISNUMBER(MATCH(TRIM(MID($AJ91,5,99)),Lists!$AS$2:$AS$12,0))),TRIM(MID($AJ91,5,99)),IF(AND(LEFT($AJ91,4)="EGI ",ISNUMBER(MATCH(TRIM(MID($AJ91,5,99)),Lists!$T$2:$T$21,0))),INDEX(Lists!$U$2:$U$21,MATCH(TRIM(MID($AJ91,5,99)),Lists!$T$2:$T$21,0)),IF(OR(TRIM($J91)="",UPPER(TRIM($J91))="NA"),IFERROR(INDEX(Lists!$R$2:$R$9,MATCH(TRIM($G91),Lists!$Q$2:$Q$9,0)),"UNMAPPED"),IFERROR(INDEX(Lists!$U$2:$U$21,MATCH(TRIM($J91),Lists!$T$2:$T$21,0)),IFERROR(INDEX(Lists!$R$2:$R$9,MATCH(TRIM($G91),Lists!$Q$2:$Q$9,0)),"UNMAPPED"))))))))</f>
        <v>Energy Solutions &amp; B2B</v>
      </c>
      <c r="AI91" s="534" t="b">
        <f>IF(TRIM($B91)="","",--OR(TRIM($L91)="Leadership",TRIM($K91)="Leadership"))</f>
        <v>1</v>
      </c>
      <c r="AJ91" s="534" t="str">
        <f>IF(TRIM($B91)="","",IF(COUNTIFS(Lists!$AN$2:$AN$22,TRIM($B91)&amp;" | "&amp;TRIM($D91),Lists!$AP$2:$AP$22,"&lt;&gt;"),INDEX(Lists!$AP$2:$AP$22,MATCH(TRIM($B91)&amp;" | "&amp;TRIM($D91),Lists!$AN$2:$AN$22,0)),IF($AI91=1,"Leadership",IFERROR(INDEX(Lists!$X$2:$X$21,MATCH(TRIM($L91),Lists!$W$2:$W$21,0)),IF(OR(TRIM($L91)="",LOWER(TRIM($L91))="na"),IF(TRIM($H91)="","Unassigned",TRIM($H91)),TRIM($L91))))))</f>
        <v>Leadership</v>
      </c>
      <c r="AK91" s="534" t="str">
        <f>IF(TRIM($B91)="","",IF(COUNTIFS(Lists!$AN$2:$AN$22,TRIM($B91)&amp;" | "&amp;TRIM($D91),Lists!$AQ$2:$AQ$22,"&lt;&gt;"),INDEX(Lists!$AQ$2:$AQ$22,MATCH(TRIM($B91)&amp;" | "&amp;TRIM($D91),Lists!$AN$2:$AN$22,0)),IF(COUNTIF(Lists!$AF$2:$AF$8,$AJ91),$AJ91,IF(ISNUMBER(SEARCH("head of ",$D91)),"Head of Technology",IF(ISNUMBER(SEARCH("TDD BP",$D91)),"Business Partner",IF(OR(ISNUMBER(SEARCH("domain architect",$D91)),ISNUMBER(SEARCH("enterprise architect",$D91))),"Domain Architect",IF(ISNUMBER(SEARCH("delivery man",$D91)),"Delivery Manager",IF(OR(ISNUMBER(SEARCH("technology manager",$D91)),ISNUMBER(SEARCH("technology manger",$D91)),ISNUMBER(SEARCH("tech manager",$D91))),"Technology Manager","Squad"))))))))</f>
        <v>Technology Manager</v>
      </c>
      <c r="AL91" s="534" t="str">
        <f>IF(TRIM($B91)="","",IF(AND($AM91=1,LEFT($AJ91,4)&lt;&gt;"EGI ",$AJ91&lt;&gt;"EGI"),IFERROR(INDEX(Lists!$Z$2:$Z$20,MATCH($AH91,Lists!$Y$2:$Y$20,0)),"EGI "&amp;$AH91),IF(COUNTIF(Lists!$AU$2:$AU$10,$AJ91),$AJ91,IF(OR(LEFT($AH91,3)="COE",$AH91="EGI"),$AJ91,IF($AK91&lt;&gt;"Squad",$AK91,$AJ91)))))</f>
        <v>Technology Manager</v>
      </c>
      <c r="AM91" s="534" t="b">
        <f>IF(TRIM($B91)="","",--(UPPER(TRIM($K91))="EGI"))</f>
        <v>0</v>
      </c>
      <c r="AQ91" s="841" t="inlineStr">
        <is>
          <t>R0090</t>
        </is>
      </c>
      <c r="AZ91" s="841" t="n"/>
    </row>
    <row r="92" ht="18" customHeight="1" s="535">
      <c r="A92" s="842" t="n">
        <v>6748</v>
      </c>
      <c r="B92" s="843" t="inlineStr">
        <is>
          <t>Elle Spencer</t>
        </is>
      </c>
      <c r="C92" s="842" t="n">
        <v>6748</v>
      </c>
      <c r="D92" s="843" t="inlineStr">
        <is>
          <t>Technology Manager - B2B</t>
        </is>
      </c>
      <c r="E92" s="843" t="inlineStr">
        <is>
          <t>Liesl Tye</t>
        </is>
      </c>
      <c r="F92" s="843" t="inlineStr">
        <is>
          <t>Head of Technology, B2B &amp; Energy Solutions</t>
        </is>
      </c>
      <c r="G92" s="844" t="inlineStr">
        <is>
          <t>TDD CFE&amp;I</t>
        </is>
      </c>
      <c r="H92" s="843" t="inlineStr">
        <is>
          <t>B2B &amp; Energy Solutions</t>
        </is>
      </c>
      <c r="I92" s="843" t="inlineStr">
        <is>
          <t>Technology B2B</t>
        </is>
      </c>
      <c r="J92" s="843" t="inlineStr">
        <is>
          <t>B2B &amp; Energy Solutions</t>
        </is>
      </c>
      <c r="K92" s="843" t="inlineStr">
        <is>
          <t>Leadership</t>
        </is>
      </c>
      <c r="L92" s="843" t="inlineStr">
        <is>
          <t>Leadership</t>
        </is>
      </c>
      <c r="M92" s="843" t="n"/>
      <c r="N92" s="845" t="inlineStr">
        <is>
          <t>Australia</t>
        </is>
      </c>
      <c r="O92" s="846" t="inlineStr">
        <is>
          <t>CSB</t>
        </is>
      </c>
      <c r="P92" s="847" t="n">
        <v>1</v>
      </c>
      <c r="Q92" s="846" t="n"/>
      <c r="R92" s="847" t="inlineStr">
        <is>
          <t>Permanent - Full Time</t>
        </is>
      </c>
      <c r="S92" s="847" t="n"/>
      <c r="T92" s="847" t="n"/>
      <c r="U92" s="848" t="n">
        <v>217390</v>
      </c>
      <c r="V92" s="849" t="n">
        <v>217390</v>
      </c>
      <c r="W92" s="850" t="n">
        <v>0.14</v>
      </c>
      <c r="X92" s="847" t="n">
        <v>0.055</v>
      </c>
      <c r="Y92" s="850" t="n">
        <v>0.12</v>
      </c>
      <c r="Z92" s="851" t="n"/>
      <c r="AA92" s="850" t="n">
        <v>0.04</v>
      </c>
      <c r="AB92" s="852" t="n">
        <v>294563.45</v>
      </c>
      <c r="AE92" s="534">
        <f>IF(TRIM($B92)="","",IF(AND(N($P92)&gt;0,N($P92)&lt;1),N($AB92)*N($P92),N($AB92)))</f>
        <v>294563.45</v>
      </c>
      <c r="AF92" s="534" t="str">
        <f>IF(TRIM($B92)="","",IF(OR(ISNUMBER(SEARCH("vacant",$B92)),ISNUMBER(SEARCH("ring fenced",$B92)),LOWER(TRIM($B92))="remove"),"Vacant","Filled"))</f>
        <v>Filled</v>
      </c>
      <c r="AG92" s="534" t="b">
        <f>IF(TRIM($B92)="","",--ISNUMBER(SEARCH("ring fenced",$B92)))</f>
        <v>0</v>
      </c>
      <c r="AH92" s="534" t="str">
        <f>IF(TRIM($B92)="","",IF(COUNTIFS(Lists!$AN$2:$AN$22,TRIM($B92)&amp;" | "&amp;TRIM($D92),Lists!$AO$2:$AO$22,"&lt;&gt;"),INDEX(Lists!$AO$2:$AO$22,MATCH(TRIM($B92)&amp;" | "&amp;TRIM($D92),Lists!$AN$2:$AN$22,0)),IF(COUNTIF(Lists!$AR$2:$AR$3,$AJ92),"TDD Cyber",IF(AND(LEFT($AJ92,4)="EGI ",ISNUMBER(MATCH(TRIM(MID($AJ92,5,99)),Lists!$AS$2:$AS$12,0))),TRIM(MID($AJ92,5,99)),IF(AND(LEFT($AJ92,4)="EGI ",ISNUMBER(MATCH(TRIM(MID($AJ92,5,99)),Lists!$T$2:$T$21,0))),INDEX(Lists!$U$2:$U$21,MATCH(TRIM(MID($AJ92,5,99)),Lists!$T$2:$T$21,0)),IF(OR(TRIM($J92)="",UPPER(TRIM($J92))="NA"),IFERROR(INDEX(Lists!$R$2:$R$9,MATCH(TRIM($G92),Lists!$Q$2:$Q$9,0)),"UNMAPPED"),IFERROR(INDEX(Lists!$U$2:$U$21,MATCH(TRIM($J92),Lists!$T$2:$T$21,0)),IFERROR(INDEX(Lists!$R$2:$R$9,MATCH(TRIM($G92),Lists!$Q$2:$Q$9,0)),"UNMAPPED"))))))))</f>
        <v>Energy Solutions &amp; B2B</v>
      </c>
      <c r="AI92" s="534" t="b">
        <f>IF(TRIM($B92)="","",--OR(TRIM($L92)="Leadership",TRIM($K92)="Leadership"))</f>
        <v>1</v>
      </c>
      <c r="AJ92" s="534" t="str">
        <f>IF(TRIM($B92)="","",IF(COUNTIFS(Lists!$AN$2:$AN$22,TRIM($B92)&amp;" | "&amp;TRIM($D92),Lists!$AP$2:$AP$22,"&lt;&gt;"),INDEX(Lists!$AP$2:$AP$22,MATCH(TRIM($B92)&amp;" | "&amp;TRIM($D92),Lists!$AN$2:$AN$22,0)),IF($AI92=1,"Leadership",IFERROR(INDEX(Lists!$X$2:$X$21,MATCH(TRIM($L92),Lists!$W$2:$W$21,0)),IF(OR(TRIM($L92)="",LOWER(TRIM($L92))="na"),IF(TRIM($H92)="","Unassigned",TRIM($H92)),TRIM($L92))))))</f>
        <v>Leadership</v>
      </c>
      <c r="AK92" s="534" t="str">
        <f>IF(TRIM($B92)="","",IF(COUNTIFS(Lists!$AN$2:$AN$22,TRIM($B92)&amp;" | "&amp;TRIM($D92),Lists!$AQ$2:$AQ$22,"&lt;&gt;"),INDEX(Lists!$AQ$2:$AQ$22,MATCH(TRIM($B92)&amp;" | "&amp;TRIM($D92),Lists!$AN$2:$AN$22,0)),IF(COUNTIF(Lists!$AF$2:$AF$8,$AJ92),$AJ92,IF(ISNUMBER(SEARCH("head of ",$D92)),"Head of Technology",IF(ISNUMBER(SEARCH("TDD BP",$D92)),"Business Partner",IF(OR(ISNUMBER(SEARCH("domain architect",$D92)),ISNUMBER(SEARCH("enterprise architect",$D92))),"Domain Architect",IF(ISNUMBER(SEARCH("delivery man",$D92)),"Delivery Manager",IF(OR(ISNUMBER(SEARCH("technology manager",$D92)),ISNUMBER(SEARCH("technology manger",$D92)),ISNUMBER(SEARCH("tech manager",$D92))),"Technology Manager","Squad"))))))))</f>
        <v>Technology Manager</v>
      </c>
      <c r="AL92" s="534" t="str">
        <f>IF(TRIM($B92)="","",IF(AND($AM92=1,LEFT($AJ92,4)&lt;&gt;"EGI ",$AJ92&lt;&gt;"EGI"),IFERROR(INDEX(Lists!$Z$2:$Z$20,MATCH($AH92,Lists!$Y$2:$Y$20,0)),"EGI "&amp;$AH92),IF(COUNTIF(Lists!$AU$2:$AU$10,$AJ92),$AJ92,IF(OR(LEFT($AH92,3)="COE",$AH92="EGI"),$AJ92,IF($AK92&lt;&gt;"Squad",$AK92,$AJ92)))))</f>
        <v>Technology Manager</v>
      </c>
      <c r="AM92" s="534" t="b">
        <f>IF(TRIM($B92)="","",--(UPPER(TRIM($K92))="EGI"))</f>
        <v>0</v>
      </c>
      <c r="AQ92" s="841" t="inlineStr">
        <is>
          <t>R0091</t>
        </is>
      </c>
      <c r="AZ92" s="841" t="n"/>
    </row>
    <row r="93" ht="18" customHeight="1" s="535">
      <c r="A93" s="842" t="inlineStr">
        <is>
          <t>V</t>
        </is>
      </c>
      <c r="B93" s="843" t="inlineStr">
        <is>
          <t>Vacant</t>
        </is>
      </c>
      <c r="C93" s="842" t="inlineStr">
        <is>
          <t>V</t>
        </is>
      </c>
      <c r="D93" s="843" t="inlineStr">
        <is>
          <t>Delivery manager</t>
        </is>
      </c>
      <c r="E93" s="843" t="inlineStr">
        <is>
          <t>Liesl Tye</t>
        </is>
      </c>
      <c r="F93" s="843" t="inlineStr">
        <is>
          <t>Head of Technology, B2B &amp; Energy Solutions</t>
        </is>
      </c>
      <c r="G93" s="844" t="inlineStr">
        <is>
          <t>TDD CFE&amp;I</t>
        </is>
      </c>
      <c r="H93" s="843" t="inlineStr">
        <is>
          <t>B2B &amp; Energy Solutions</t>
        </is>
      </c>
      <c r="I93" s="843" t="inlineStr">
        <is>
          <t>Leadership</t>
        </is>
      </c>
      <c r="J93" s="843" t="inlineStr">
        <is>
          <t>B2B &amp; Energy Solutions</t>
        </is>
      </c>
      <c r="K93" s="843" t="inlineStr">
        <is>
          <t>Leadership</t>
        </is>
      </c>
      <c r="L93" s="843" t="inlineStr">
        <is>
          <t>Leadership</t>
        </is>
      </c>
      <c r="M93" s="843" t="n"/>
      <c r="N93" s="845" t="inlineStr">
        <is>
          <t>Australia</t>
        </is>
      </c>
      <c r="O93" s="846" t="inlineStr">
        <is>
          <t>CSB</t>
        </is>
      </c>
      <c r="P93" s="847" t="n">
        <v>1</v>
      </c>
      <c r="Q93" s="846" t="n"/>
      <c r="R93" s="847" t="inlineStr">
        <is>
          <t>V</t>
        </is>
      </c>
      <c r="S93" s="847" t="n"/>
      <c r="T93" s="847" t="n"/>
      <c r="U93" s="848" t="n">
        <v>203550</v>
      </c>
      <c r="V93" s="849" t="n">
        <v>203550</v>
      </c>
      <c r="W93" s="850" t="n">
        <v>0.14</v>
      </c>
      <c r="X93" s="847" t="n">
        <v>0.055</v>
      </c>
      <c r="Y93" s="850" t="n">
        <v>0.12</v>
      </c>
      <c r="Z93" s="851" t="n"/>
      <c r="AA93" s="850" t="n">
        <v>0.04</v>
      </c>
      <c r="AB93" s="852" t="n">
        <v>275810.25</v>
      </c>
      <c r="AE93" s="534">
        <f>IF(TRIM($B93)="","",IF(AND(N($P93)&gt;0,N($P93)&lt;1),N($AB93)*N($P93),N($AB93)))</f>
        <v>275810.25</v>
      </c>
      <c r="AF93" s="534" t="str">
        <f>IF(TRIM($B93)="","",IF(OR(ISNUMBER(SEARCH("vacant",$B93)),ISNUMBER(SEARCH("ring fenced",$B93)),LOWER(TRIM($B93))="remove"),"Vacant","Filled"))</f>
        <v>Vacant</v>
      </c>
      <c r="AG93" s="534" t="b">
        <f>IF(TRIM($B93)="","",--ISNUMBER(SEARCH("ring fenced",$B93)))</f>
        <v>0</v>
      </c>
      <c r="AH93" s="534" t="str">
        <f>IF(TRIM($B93)="","",IF(COUNTIFS(Lists!$AN$2:$AN$22,TRIM($B93)&amp;" | "&amp;TRIM($D93),Lists!$AO$2:$AO$22,"&lt;&gt;"),INDEX(Lists!$AO$2:$AO$22,MATCH(TRIM($B93)&amp;" | "&amp;TRIM($D93),Lists!$AN$2:$AN$22,0)),IF(COUNTIF(Lists!$AR$2:$AR$3,$AJ93),"TDD Cyber",IF(AND(LEFT($AJ93,4)="EGI ",ISNUMBER(MATCH(TRIM(MID($AJ93,5,99)),Lists!$AS$2:$AS$12,0))),TRIM(MID($AJ93,5,99)),IF(AND(LEFT($AJ93,4)="EGI ",ISNUMBER(MATCH(TRIM(MID($AJ93,5,99)),Lists!$T$2:$T$21,0))),INDEX(Lists!$U$2:$U$21,MATCH(TRIM(MID($AJ93,5,99)),Lists!$T$2:$T$21,0)),IF(OR(TRIM($J93)="",UPPER(TRIM($J93))="NA"),IFERROR(INDEX(Lists!$R$2:$R$9,MATCH(TRIM($G93),Lists!$Q$2:$Q$9,0)),"UNMAPPED"),IFERROR(INDEX(Lists!$U$2:$U$21,MATCH(TRIM($J93),Lists!$T$2:$T$21,0)),IFERROR(INDEX(Lists!$R$2:$R$9,MATCH(TRIM($G93),Lists!$Q$2:$Q$9,0)),"UNMAPPED"))))))))</f>
        <v>Energy Solutions &amp; B2B</v>
      </c>
      <c r="AI93" s="534" t="b">
        <f>IF(TRIM($B93)="","",--OR(TRIM($L93)="Leadership",TRIM($K93)="Leadership"))</f>
        <v>1</v>
      </c>
      <c r="AJ93" s="534" t="str">
        <f>IF(TRIM($B93)="","",IF(COUNTIFS(Lists!$AN$2:$AN$22,TRIM($B93)&amp;" | "&amp;TRIM($D93),Lists!$AP$2:$AP$22,"&lt;&gt;"),INDEX(Lists!$AP$2:$AP$22,MATCH(TRIM($B93)&amp;" | "&amp;TRIM($D93),Lists!$AN$2:$AN$22,0)),IF($AI93=1,"Leadership",IFERROR(INDEX(Lists!$X$2:$X$21,MATCH(TRIM($L93),Lists!$W$2:$W$21,0)),IF(OR(TRIM($L93)="",LOWER(TRIM($L93))="na"),IF(TRIM($H93)="","Unassigned",TRIM($H93)),TRIM($L93))))))</f>
        <v>Leadership</v>
      </c>
      <c r="AK93" s="534" t="str">
        <f>IF(TRIM($B93)="","",IF(COUNTIFS(Lists!$AN$2:$AN$22,TRIM($B93)&amp;" | "&amp;TRIM($D93),Lists!$AQ$2:$AQ$22,"&lt;&gt;"),INDEX(Lists!$AQ$2:$AQ$22,MATCH(TRIM($B93)&amp;" | "&amp;TRIM($D93),Lists!$AN$2:$AN$22,0)),IF(COUNTIF(Lists!$AF$2:$AF$8,$AJ93),$AJ93,IF(ISNUMBER(SEARCH("head of ",$D93)),"Head of Technology",IF(ISNUMBER(SEARCH("TDD BP",$D93)),"Business Partner",IF(OR(ISNUMBER(SEARCH("domain architect",$D93)),ISNUMBER(SEARCH("enterprise architect",$D93))),"Domain Architect",IF(ISNUMBER(SEARCH("delivery man",$D93)),"Delivery Manager",IF(OR(ISNUMBER(SEARCH("technology manager",$D93)),ISNUMBER(SEARCH("technology manger",$D93)),ISNUMBER(SEARCH("tech manager",$D93))),"Technology Manager","Squad"))))))))</f>
        <v>Delivery Manager</v>
      </c>
      <c r="AL93" s="534" t="str">
        <f>IF(TRIM($B93)="","",IF(AND($AM93=1,LEFT($AJ93,4)&lt;&gt;"EGI ",$AJ93&lt;&gt;"EGI"),IFERROR(INDEX(Lists!$Z$2:$Z$20,MATCH($AH93,Lists!$Y$2:$Y$20,0)),"EGI "&amp;$AH93),IF(COUNTIF(Lists!$AU$2:$AU$10,$AJ93),$AJ93,IF(OR(LEFT($AH93,3)="COE",$AH93="EGI"),$AJ93,IF($AK93&lt;&gt;"Squad",$AK93,$AJ93)))))</f>
        <v>Delivery Manager</v>
      </c>
      <c r="AM93" s="534" t="b">
        <f>IF(TRIM($B93)="","",--(UPPER(TRIM($K93))="EGI"))</f>
        <v>0</v>
      </c>
      <c r="AQ93" s="841" t="inlineStr">
        <is>
          <t>R0092</t>
        </is>
      </c>
      <c r="AZ93" s="841" t="n"/>
    </row>
    <row r="94" ht="18" customHeight="1" s="535">
      <c r="A94" s="842" t="n">
        <v>95285</v>
      </c>
      <c r="B94" s="843" t="inlineStr">
        <is>
          <t>Tracy Lee Reaper</t>
        </is>
      </c>
      <c r="C94" s="842" t="n">
        <v>95285</v>
      </c>
      <c r="D94" s="843" t="inlineStr">
        <is>
          <t>Technology Manager, Merchandising &amp; WFM</t>
        </is>
      </c>
      <c r="E94" s="843" t="inlineStr">
        <is>
          <t>Madan Murthy</t>
        </is>
      </c>
      <c r="F94" s="843" t="inlineStr">
        <is>
          <t>Head of Technology,  Ampol Retail</t>
        </is>
      </c>
      <c r="G94" s="844" t="inlineStr">
        <is>
          <t>Ampol Retail &amp; Z</t>
        </is>
      </c>
      <c r="H94" s="843" t="inlineStr">
        <is>
          <t>Ampol Retail</t>
        </is>
      </c>
      <c r="I94" s="843" t="inlineStr">
        <is>
          <t>Ampol Retail, Merch &amp; RTA</t>
        </is>
      </c>
      <c r="J94" s="843" t="inlineStr">
        <is>
          <t>Retail</t>
        </is>
      </c>
      <c r="K94" s="843" t="inlineStr">
        <is>
          <t>Above Store</t>
        </is>
      </c>
      <c r="L94" s="843" t="inlineStr">
        <is>
          <t>Leadership</t>
        </is>
      </c>
      <c r="M94" s="843" t="n"/>
      <c r="N94" s="845" t="inlineStr">
        <is>
          <t>Australia</t>
        </is>
      </c>
      <c r="O94" s="846" t="inlineStr">
        <is>
          <t>CSB</t>
        </is>
      </c>
      <c r="P94" s="847" t="n">
        <v>1</v>
      </c>
      <c r="Q94" s="846" t="n"/>
      <c r="R94" s="847" t="inlineStr">
        <is>
          <t>Permanent - Full Time</t>
        </is>
      </c>
      <c r="S94" s="847" t="n"/>
      <c r="T94" s="847" t="n"/>
      <c r="U94" s="848" t="n">
        <v>195680</v>
      </c>
      <c r="V94" s="849" t="n">
        <v>180025.6</v>
      </c>
      <c r="W94" s="850" t="n">
        <v>0.15</v>
      </c>
      <c r="X94" s="847" t="n"/>
      <c r="Y94" s="850" t="n">
        <v>0.05</v>
      </c>
      <c r="Z94" s="851" t="n">
        <v>2910</v>
      </c>
      <c r="AA94" s="850" t="n">
        <v>0.03</v>
      </c>
      <c r="AB94" s="852" t="n">
        <v>224341.488</v>
      </c>
      <c r="AE94" s="534">
        <f>IF(TRIM($B94)="","",IF(AND(N($P94)&gt;0,N($P94)&lt;1),N($AB94)*N($P94),N($AB94)))</f>
        <v>224341.488</v>
      </c>
      <c r="AF94" s="534" t="str">
        <f>IF(TRIM($B94)="","",IF(OR(ISNUMBER(SEARCH("vacant",$B94)),ISNUMBER(SEARCH("ring fenced",$B94)),LOWER(TRIM($B94))="remove"),"Vacant","Filled"))</f>
        <v>Filled</v>
      </c>
      <c r="AG94" s="534" t="b">
        <f>IF(TRIM($B94)="","",--ISNUMBER(SEARCH("ring fenced",$B94)))</f>
        <v>0</v>
      </c>
      <c r="AH94" s="534" t="str">
        <f>IF(TRIM($B94)="","",IF(COUNTIFS(Lists!$AN$2:$AN$22,TRIM($B94)&amp;" | "&amp;TRIM($D94),Lists!$AO$2:$AO$22,"&lt;&gt;"),INDEX(Lists!$AO$2:$AO$22,MATCH(TRIM($B94)&amp;" | "&amp;TRIM($D94),Lists!$AN$2:$AN$22,0)),IF(COUNTIF(Lists!$AR$2:$AR$3,$AJ94),"TDD Cyber",IF(AND(LEFT($AJ94,4)="EGI ",ISNUMBER(MATCH(TRIM(MID($AJ94,5,99)),Lists!$AS$2:$AS$12,0))),TRIM(MID($AJ94,5,99)),IF(AND(LEFT($AJ94,4)="EGI ",ISNUMBER(MATCH(TRIM(MID($AJ94,5,99)),Lists!$T$2:$T$21,0))),INDEX(Lists!$U$2:$U$21,MATCH(TRIM(MID($AJ94,5,99)),Lists!$T$2:$T$21,0)),IF(OR(TRIM($J94)="",UPPER(TRIM($J94))="NA"),IFERROR(INDEX(Lists!$R$2:$R$9,MATCH(TRIM($G94),Lists!$Q$2:$Q$9,0)),"UNMAPPED"),IFERROR(INDEX(Lists!$U$2:$U$21,MATCH(TRIM($J94),Lists!$T$2:$T$21,0)),IFERROR(INDEX(Lists!$R$2:$R$9,MATCH(TRIM($G94),Lists!$Q$2:$Q$9,0)),"UNMAPPED"))))))))</f>
        <v>Ampol Retail</v>
      </c>
      <c r="AI94" s="534" t="b">
        <f>IF(TRIM($B94)="","",--OR(TRIM($L94)="Leadership",TRIM($K94)="Leadership"))</f>
        <v>1</v>
      </c>
      <c r="AJ94" s="534" t="str">
        <f>IF(TRIM($B94)="","",IF(COUNTIFS(Lists!$AN$2:$AN$22,TRIM($B94)&amp;" | "&amp;TRIM($D94),Lists!$AP$2:$AP$22,"&lt;&gt;"),INDEX(Lists!$AP$2:$AP$22,MATCH(TRIM($B94)&amp;" | "&amp;TRIM($D94),Lists!$AN$2:$AN$22,0)),IF($AI94=1,"Leadership",IFERROR(INDEX(Lists!$X$2:$X$21,MATCH(TRIM($L94),Lists!$W$2:$W$21,0)),IF(OR(TRIM($L94)="",LOWER(TRIM($L94))="na"),IF(TRIM($H94)="","Unassigned",TRIM($H94)),TRIM($L94))))))</f>
        <v>Leadership</v>
      </c>
      <c r="AK94" s="534" t="str">
        <f>IF(TRIM($B94)="","",IF(COUNTIFS(Lists!$AN$2:$AN$22,TRIM($B94)&amp;" | "&amp;TRIM($D94),Lists!$AQ$2:$AQ$22,"&lt;&gt;"),INDEX(Lists!$AQ$2:$AQ$22,MATCH(TRIM($B94)&amp;" | "&amp;TRIM($D94),Lists!$AN$2:$AN$22,0)),IF(COUNTIF(Lists!$AF$2:$AF$8,$AJ94),$AJ94,IF(ISNUMBER(SEARCH("head of ",$D94)),"Head of Technology",IF(ISNUMBER(SEARCH("TDD BP",$D94)),"Business Partner",IF(OR(ISNUMBER(SEARCH("domain architect",$D94)),ISNUMBER(SEARCH("enterprise architect",$D94))),"Domain Architect",IF(ISNUMBER(SEARCH("delivery man",$D94)),"Delivery Manager",IF(OR(ISNUMBER(SEARCH("technology manager",$D94)),ISNUMBER(SEARCH("technology manger",$D94)),ISNUMBER(SEARCH("tech manager",$D94))),"Technology Manager","Squad"))))))))</f>
        <v>Technology Manager</v>
      </c>
      <c r="AL94" s="534" t="str">
        <f>IF(TRIM($B94)="","",IF(AND($AM94=1,LEFT($AJ94,4)&lt;&gt;"EGI ",$AJ94&lt;&gt;"EGI"),IFERROR(INDEX(Lists!$Z$2:$Z$20,MATCH($AH94,Lists!$Y$2:$Y$20,0)),"EGI "&amp;$AH94),IF(COUNTIF(Lists!$AU$2:$AU$10,$AJ94),$AJ94,IF(OR(LEFT($AH94,3)="COE",$AH94="EGI"),$AJ94,IF($AK94&lt;&gt;"Squad",$AK94,$AJ94)))))</f>
        <v>Technology Manager</v>
      </c>
      <c r="AM94" s="534" t="b">
        <f>IF(TRIM($B94)="","",--(UPPER(TRIM($K94))="EGI"))</f>
        <v>0</v>
      </c>
      <c r="AQ94" s="841" t="inlineStr">
        <is>
          <t>R0093</t>
        </is>
      </c>
      <c r="AZ94" s="841" t="n"/>
    </row>
    <row r="95" ht="18" customHeight="1" s="535">
      <c r="A95" s="842" t="n">
        <v>86604</v>
      </c>
      <c r="B95" s="843" t="inlineStr">
        <is>
          <t>Vanessa Allen</t>
        </is>
      </c>
      <c r="C95" s="842" t="n">
        <v>86604</v>
      </c>
      <c r="D95" s="843" t="inlineStr">
        <is>
          <t>Delivery Manager</t>
        </is>
      </c>
      <c r="E95" s="843" t="inlineStr">
        <is>
          <t>Madan Murthy</t>
        </is>
      </c>
      <c r="F95" s="843" t="inlineStr">
        <is>
          <t>Head of Technology,  Ampol Retail</t>
        </is>
      </c>
      <c r="G95" s="844" t="inlineStr">
        <is>
          <t>Ampol Retail &amp; Z</t>
        </is>
      </c>
      <c r="H95" s="843" t="inlineStr">
        <is>
          <t>Ampol Retail</t>
        </is>
      </c>
      <c r="I95" s="843" t="inlineStr">
        <is>
          <t>Ampol Retail, Delivery</t>
        </is>
      </c>
      <c r="J95" s="843" t="inlineStr">
        <is>
          <t>Retail</t>
        </is>
      </c>
      <c r="K95" s="843" t="inlineStr">
        <is>
          <t>(All Retail)</t>
        </is>
      </c>
      <c r="L95" s="843" t="inlineStr">
        <is>
          <t>Leadership</t>
        </is>
      </c>
      <c r="M95" s="843" t="n"/>
      <c r="N95" s="845" t="inlineStr">
        <is>
          <t>Australia</t>
        </is>
      </c>
      <c r="O95" s="846" t="inlineStr">
        <is>
          <t>CSB</t>
        </is>
      </c>
      <c r="P95" s="847" t="n">
        <v>0.7</v>
      </c>
      <c r="Q95" s="846" t="n"/>
      <c r="R95" s="847" t="inlineStr">
        <is>
          <t>Permanent - Part Time</t>
        </is>
      </c>
      <c r="S95" s="847" t="n"/>
      <c r="T95" s="847" t="n"/>
      <c r="U95" s="848" t="n">
        <v>223570</v>
      </c>
      <c r="V95" s="849" t="n">
        <v>223570</v>
      </c>
      <c r="W95" s="850" t="n">
        <v>0.14</v>
      </c>
      <c r="X95" s="847" t="n">
        <v>0.055</v>
      </c>
      <c r="Y95" s="850" t="n">
        <v>0.12</v>
      </c>
      <c r="Z95" s="851" t="n"/>
      <c r="AA95" s="850" t="n">
        <v>0.04</v>
      </c>
      <c r="AB95" s="852" t="n">
        <v>302937.35</v>
      </c>
      <c r="AE95" s="534">
        <f>IF(TRIM($B95)="","",IF(AND(N($P95)&gt;0,N($P95)&lt;1),N($AB95)*N($P95),N($AB95)))</f>
        <v>212056.145</v>
      </c>
      <c r="AF95" s="534" t="str">
        <f>IF(TRIM($B95)="","",IF(OR(ISNUMBER(SEARCH("vacant",$B95)),ISNUMBER(SEARCH("ring fenced",$B95)),LOWER(TRIM($B95))="remove"),"Vacant","Filled"))</f>
        <v>Filled</v>
      </c>
      <c r="AG95" s="534" t="b">
        <f>IF(TRIM($B95)="","",--ISNUMBER(SEARCH("ring fenced",$B95)))</f>
        <v>0</v>
      </c>
      <c r="AH95" s="534" t="str">
        <f>IF(TRIM($B95)="","",IF(COUNTIFS(Lists!$AN$2:$AN$22,TRIM($B95)&amp;" | "&amp;TRIM($D95),Lists!$AO$2:$AO$22,"&lt;&gt;"),INDEX(Lists!$AO$2:$AO$22,MATCH(TRIM($B95)&amp;" | "&amp;TRIM($D95),Lists!$AN$2:$AN$22,0)),IF(COUNTIF(Lists!$AR$2:$AR$3,$AJ95),"TDD Cyber",IF(AND(LEFT($AJ95,4)="EGI ",ISNUMBER(MATCH(TRIM(MID($AJ95,5,99)),Lists!$AS$2:$AS$12,0))),TRIM(MID($AJ95,5,99)),IF(AND(LEFT($AJ95,4)="EGI ",ISNUMBER(MATCH(TRIM(MID($AJ95,5,99)),Lists!$T$2:$T$21,0))),INDEX(Lists!$U$2:$U$21,MATCH(TRIM(MID($AJ95,5,99)),Lists!$T$2:$T$21,0)),IF(OR(TRIM($J95)="",UPPER(TRIM($J95))="NA"),IFERROR(INDEX(Lists!$R$2:$R$9,MATCH(TRIM($G95),Lists!$Q$2:$Q$9,0)),"UNMAPPED"),IFERROR(INDEX(Lists!$U$2:$U$21,MATCH(TRIM($J95),Lists!$T$2:$T$21,0)),IFERROR(INDEX(Lists!$R$2:$R$9,MATCH(TRIM($G95),Lists!$Q$2:$Q$9,0)),"UNMAPPED"))))))))</f>
        <v>Ampol Retail</v>
      </c>
      <c r="AI95" s="534" t="b">
        <f>IF(TRIM($B95)="","",--OR(TRIM($L95)="Leadership",TRIM($K95)="Leadership"))</f>
        <v>1</v>
      </c>
      <c r="AJ95" s="534" t="str">
        <f>IF(TRIM($B95)="","",IF(COUNTIFS(Lists!$AN$2:$AN$22,TRIM($B95)&amp;" | "&amp;TRIM($D95),Lists!$AP$2:$AP$22,"&lt;&gt;"),INDEX(Lists!$AP$2:$AP$22,MATCH(TRIM($B95)&amp;" | "&amp;TRIM($D95),Lists!$AN$2:$AN$22,0)),IF($AI95=1,"Leadership",IFERROR(INDEX(Lists!$X$2:$X$21,MATCH(TRIM($L95),Lists!$W$2:$W$21,0)),IF(OR(TRIM($L95)="",LOWER(TRIM($L95))="na"),IF(TRIM($H95)="","Unassigned",TRIM($H95)),TRIM($L95))))))</f>
        <v>Leadership</v>
      </c>
      <c r="AK95" s="534" t="str">
        <f>IF(TRIM($B95)="","",IF(COUNTIFS(Lists!$AN$2:$AN$22,TRIM($B95)&amp;" | "&amp;TRIM($D95),Lists!$AQ$2:$AQ$22,"&lt;&gt;"),INDEX(Lists!$AQ$2:$AQ$22,MATCH(TRIM($B95)&amp;" | "&amp;TRIM($D95),Lists!$AN$2:$AN$22,0)),IF(COUNTIF(Lists!$AF$2:$AF$8,$AJ95),$AJ95,IF(ISNUMBER(SEARCH("head of ",$D95)),"Head of Technology",IF(ISNUMBER(SEARCH("TDD BP",$D95)),"Business Partner",IF(OR(ISNUMBER(SEARCH("domain architect",$D95)),ISNUMBER(SEARCH("enterprise architect",$D95))),"Domain Architect",IF(ISNUMBER(SEARCH("delivery man",$D95)),"Delivery Manager",IF(OR(ISNUMBER(SEARCH("technology manager",$D95)),ISNUMBER(SEARCH("technology manger",$D95)),ISNUMBER(SEARCH("tech manager",$D95))),"Technology Manager","Squad"))))))))</f>
        <v>Delivery Manager</v>
      </c>
      <c r="AL95" s="534" t="str">
        <f>IF(TRIM($B95)="","",IF(AND($AM95=1,LEFT($AJ95,4)&lt;&gt;"EGI ",$AJ95&lt;&gt;"EGI"),IFERROR(INDEX(Lists!$Z$2:$Z$20,MATCH($AH95,Lists!$Y$2:$Y$20,0)),"EGI "&amp;$AH95),IF(COUNTIF(Lists!$AU$2:$AU$10,$AJ95),$AJ95,IF(OR(LEFT($AH95,3)="COE",$AH95="EGI"),$AJ95,IF($AK95&lt;&gt;"Squad",$AK95,$AJ95)))))</f>
        <v>Delivery Manager</v>
      </c>
      <c r="AM95" s="534" t="b">
        <f>IF(TRIM($B95)="","",--(UPPER(TRIM($K95))="EGI"))</f>
        <v>0</v>
      </c>
      <c r="AQ95" s="841" t="inlineStr">
        <is>
          <t>R0094</t>
        </is>
      </c>
      <c r="AZ95" s="841" t="n"/>
    </row>
    <row r="96" ht="18" customHeight="1" s="535">
      <c r="A96" s="842" t="n">
        <v>8904</v>
      </c>
      <c r="B96" s="843" t="inlineStr">
        <is>
          <t>Vedran Jukic</t>
        </is>
      </c>
      <c r="C96" s="842" t="n">
        <v>8904</v>
      </c>
      <c r="D96" s="843" t="inlineStr">
        <is>
          <t>Technology Manager, Retail</t>
        </is>
      </c>
      <c r="E96" s="843" t="inlineStr">
        <is>
          <t>Madan Murthy</t>
        </is>
      </c>
      <c r="F96" s="843" t="inlineStr">
        <is>
          <t>Head of Technology,  Ampol Retail</t>
        </is>
      </c>
      <c r="G96" s="844" t="inlineStr">
        <is>
          <t>Ampol Retail &amp; Z</t>
        </is>
      </c>
      <c r="H96" s="843" t="inlineStr">
        <is>
          <t>Ampol Retail</t>
        </is>
      </c>
      <c r="I96" s="843" t="inlineStr">
        <is>
          <t>Ampol Retail, Technology</t>
        </is>
      </c>
      <c r="J96" s="843" t="inlineStr">
        <is>
          <t>Retail</t>
        </is>
      </c>
      <c r="K96" s="843" t="inlineStr">
        <is>
          <t>Store Operations, Network &amp; QSR, Deployment</t>
        </is>
      </c>
      <c r="L96" s="843" t="inlineStr">
        <is>
          <t>Leadership</t>
        </is>
      </c>
      <c r="M96" s="843" t="n"/>
      <c r="N96" s="845" t="inlineStr">
        <is>
          <t>Australia</t>
        </is>
      </c>
      <c r="O96" s="846" t="inlineStr">
        <is>
          <t>CSB</t>
        </is>
      </c>
      <c r="P96" s="847" t="n">
        <v>1</v>
      </c>
      <c r="Q96" s="846" t="n"/>
      <c r="R96" s="847" t="inlineStr">
        <is>
          <t>Permanent - Full Time</t>
        </is>
      </c>
      <c r="S96" s="847" t="n"/>
      <c r="T96" s="847" t="n"/>
      <c r="U96" s="848" t="n">
        <v>210000</v>
      </c>
      <c r="V96" s="849" t="n">
        <v>210000</v>
      </c>
      <c r="W96" s="850" t="n">
        <v>0.14</v>
      </c>
      <c r="X96" s="847" t="n">
        <v>0.055</v>
      </c>
      <c r="Y96" s="850" t="n">
        <v>0.12</v>
      </c>
      <c r="Z96" s="851" t="n"/>
      <c r="AA96" s="850" t="n">
        <v>0.04</v>
      </c>
      <c r="AB96" s="852" t="n">
        <v>284550</v>
      </c>
      <c r="AE96" s="534">
        <f>IF(TRIM($B96)="","",IF(AND(N($P96)&gt;0,N($P96)&lt;1),N($AB96)*N($P96),N($AB96)))</f>
        <v>284550</v>
      </c>
      <c r="AF96" s="534" t="str">
        <f>IF(TRIM($B96)="","",IF(OR(ISNUMBER(SEARCH("vacant",$B96)),ISNUMBER(SEARCH("ring fenced",$B96)),LOWER(TRIM($B96))="remove"),"Vacant","Filled"))</f>
        <v>Filled</v>
      </c>
      <c r="AG96" s="534" t="b">
        <f>IF(TRIM($B96)="","",--ISNUMBER(SEARCH("ring fenced",$B96)))</f>
        <v>0</v>
      </c>
      <c r="AH96" s="534" t="str">
        <f>IF(TRIM($B96)="","",IF(COUNTIFS(Lists!$AN$2:$AN$22,TRIM($B96)&amp;" | "&amp;TRIM($D96),Lists!$AO$2:$AO$22,"&lt;&gt;"),INDEX(Lists!$AO$2:$AO$22,MATCH(TRIM($B96)&amp;" | "&amp;TRIM($D96),Lists!$AN$2:$AN$22,0)),IF(COUNTIF(Lists!$AR$2:$AR$3,$AJ96),"TDD Cyber",IF(AND(LEFT($AJ96,4)="EGI ",ISNUMBER(MATCH(TRIM(MID($AJ96,5,99)),Lists!$AS$2:$AS$12,0))),TRIM(MID($AJ96,5,99)),IF(AND(LEFT($AJ96,4)="EGI ",ISNUMBER(MATCH(TRIM(MID($AJ96,5,99)),Lists!$T$2:$T$21,0))),INDEX(Lists!$U$2:$U$21,MATCH(TRIM(MID($AJ96,5,99)),Lists!$T$2:$T$21,0)),IF(OR(TRIM($J96)="",UPPER(TRIM($J96))="NA"),IFERROR(INDEX(Lists!$R$2:$R$9,MATCH(TRIM($G96),Lists!$Q$2:$Q$9,0)),"UNMAPPED"),IFERROR(INDEX(Lists!$U$2:$U$21,MATCH(TRIM($J96),Lists!$T$2:$T$21,0)),IFERROR(INDEX(Lists!$R$2:$R$9,MATCH(TRIM($G96),Lists!$Q$2:$Q$9,0)),"UNMAPPED"))))))))</f>
        <v>Ampol Retail</v>
      </c>
      <c r="AI96" s="534" t="b">
        <f>IF(TRIM($B96)="","",--OR(TRIM($L96)="Leadership",TRIM($K96)="Leadership"))</f>
        <v>1</v>
      </c>
      <c r="AJ96" s="534" t="str">
        <f>IF(TRIM($B96)="","",IF(COUNTIFS(Lists!$AN$2:$AN$22,TRIM($B96)&amp;" | "&amp;TRIM($D96),Lists!$AP$2:$AP$22,"&lt;&gt;"),INDEX(Lists!$AP$2:$AP$22,MATCH(TRIM($B96)&amp;" | "&amp;TRIM($D96),Lists!$AN$2:$AN$22,0)),IF($AI96=1,"Leadership",IFERROR(INDEX(Lists!$X$2:$X$21,MATCH(TRIM($L96),Lists!$W$2:$W$21,0)),IF(OR(TRIM($L96)="",LOWER(TRIM($L96))="na"),IF(TRIM($H96)="","Unassigned",TRIM($H96)),TRIM($L96))))))</f>
        <v>Leadership</v>
      </c>
      <c r="AK96" s="534" t="str">
        <f>IF(TRIM($B96)="","",IF(COUNTIFS(Lists!$AN$2:$AN$22,TRIM($B96)&amp;" | "&amp;TRIM($D96),Lists!$AQ$2:$AQ$22,"&lt;&gt;"),INDEX(Lists!$AQ$2:$AQ$22,MATCH(TRIM($B96)&amp;" | "&amp;TRIM($D96),Lists!$AN$2:$AN$22,0)),IF(COUNTIF(Lists!$AF$2:$AF$8,$AJ96),$AJ96,IF(ISNUMBER(SEARCH("head of ",$D96)),"Head of Technology",IF(ISNUMBER(SEARCH("TDD BP",$D96)),"Business Partner",IF(OR(ISNUMBER(SEARCH("domain architect",$D96)),ISNUMBER(SEARCH("enterprise architect",$D96))),"Domain Architect",IF(ISNUMBER(SEARCH("delivery man",$D96)),"Delivery Manager",IF(OR(ISNUMBER(SEARCH("technology manager",$D96)),ISNUMBER(SEARCH("technology manger",$D96)),ISNUMBER(SEARCH("tech manager",$D96))),"Technology Manager","Squad"))))))))</f>
        <v>Technology Manager</v>
      </c>
      <c r="AL96" s="534" t="str">
        <f>IF(TRIM($B96)="","",IF(AND($AM96=1,LEFT($AJ96,4)&lt;&gt;"EGI ",$AJ96&lt;&gt;"EGI"),IFERROR(INDEX(Lists!$Z$2:$Z$20,MATCH($AH96,Lists!$Y$2:$Y$20,0)),"EGI "&amp;$AH96),IF(COUNTIF(Lists!$AU$2:$AU$10,$AJ96),$AJ96,IF(OR(LEFT($AH96,3)="COE",$AH96="EGI"),$AJ96,IF($AK96&lt;&gt;"Squad",$AK96,$AJ96)))))</f>
        <v>Technology Manager</v>
      </c>
      <c r="AM96" s="534" t="b">
        <f>IF(TRIM($B96)="","",--(UPPER(TRIM($K96))="EGI"))</f>
        <v>0</v>
      </c>
      <c r="AQ96" s="841" t="inlineStr">
        <is>
          <t>R0095</t>
        </is>
      </c>
      <c r="AZ96" s="841" t="n"/>
    </row>
    <row r="97" ht="18" customHeight="1" s="535">
      <c r="A97" s="842" t="n">
        <v>117553</v>
      </c>
      <c r="B97" s="843" t="inlineStr">
        <is>
          <t>Malcolm Deare</t>
        </is>
      </c>
      <c r="C97" s="842" t="n">
        <v>117553</v>
      </c>
      <c r="D97" s="843" t="inlineStr">
        <is>
          <t>TDD BP, Group Functions</t>
        </is>
      </c>
      <c r="E97" s="843" t="inlineStr">
        <is>
          <t>Michael Schofield</t>
        </is>
      </c>
      <c r="F97" s="843" t="inlineStr">
        <is>
          <t>GM TDD, Partnering &amp; Transformation</t>
        </is>
      </c>
      <c r="G97" s="844" t="inlineStr">
        <is>
          <t>Partnering &amp; Transformation</t>
        </is>
      </c>
      <c r="H97" s="843" t="inlineStr">
        <is>
          <t>TDD Business Partner</t>
        </is>
      </c>
      <c r="I97" s="843" t="inlineStr">
        <is>
          <t>NA</t>
        </is>
      </c>
      <c r="J97" s="843" t="inlineStr">
        <is>
          <t>NA</t>
        </is>
      </c>
      <c r="K97" s="843" t="inlineStr">
        <is>
          <t>NA</t>
        </is>
      </c>
      <c r="L97" s="843" t="inlineStr">
        <is>
          <t>NA</t>
        </is>
      </c>
      <c r="M97" s="843" t="n"/>
      <c r="N97" s="845" t="inlineStr">
        <is>
          <t>Australia</t>
        </is>
      </c>
      <c r="O97" s="846" t="inlineStr">
        <is>
          <t>CSB</t>
        </is>
      </c>
      <c r="P97" s="847" t="n">
        <v>1</v>
      </c>
      <c r="Q97" s="847" t="n"/>
      <c r="R97" s="847" t="inlineStr">
        <is>
          <t>Permanent - Full Time</t>
        </is>
      </c>
      <c r="S97" s="847" t="n"/>
      <c r="T97" s="847" t="n"/>
      <c r="U97" s="848" t="n">
        <v>220000</v>
      </c>
      <c r="V97" s="849" t="n">
        <v>220000</v>
      </c>
      <c r="W97" s="850" t="n">
        <v>0.14</v>
      </c>
      <c r="X97" s="847" t="n">
        <v>0.055</v>
      </c>
      <c r="Y97" s="850" t="n">
        <v>0.12</v>
      </c>
      <c r="Z97" s="851" t="n"/>
      <c r="AA97" s="850" t="n">
        <v>0.04</v>
      </c>
      <c r="AB97" s="852" t="n">
        <v>298100</v>
      </c>
      <c r="AE97" s="534">
        <f>IF(TRIM($B97)="","",IF(AND(N($P97)&gt;0,N($P97)&lt;1),N($AB97)*N($P97),N($AB97)))</f>
        <v>298100</v>
      </c>
      <c r="AF97" s="534" t="str">
        <f>IF(TRIM($B97)="","",IF(OR(ISNUMBER(SEARCH("vacant",$B97)),ISNUMBER(SEARCH("ring fenced",$B97)),LOWER(TRIM($B97))="remove"),"Vacant","Filled"))</f>
        <v>Filled</v>
      </c>
      <c r="AG97" s="534" t="b">
        <f>IF(TRIM($B97)="","",--ISNUMBER(SEARCH("ring fenced",$B97)))</f>
        <v>0</v>
      </c>
      <c r="AH97" s="534" t="str">
        <f>IF(TRIM($B97)="","",IF(COUNTIFS(Lists!$AN$2:$AN$22,TRIM($B97)&amp;" | "&amp;TRIM($D97),Lists!$AO$2:$AO$22,"&lt;&gt;"),INDEX(Lists!$AO$2:$AO$22,MATCH(TRIM($B97)&amp;" | "&amp;TRIM($D97),Lists!$AN$2:$AN$22,0)),IF(COUNTIF(Lists!$AR$2:$AR$3,$AJ97),"TDD Cyber",IF(AND(LEFT($AJ97,4)="EGI ",ISNUMBER(MATCH(TRIM(MID($AJ97,5,99)),Lists!$AS$2:$AS$12,0))),TRIM(MID($AJ97,5,99)),IF(AND(LEFT($AJ97,4)="EGI ",ISNUMBER(MATCH(TRIM(MID($AJ97,5,99)),Lists!$T$2:$T$21,0))),INDEX(Lists!$U$2:$U$21,MATCH(TRIM(MID($AJ97,5,99)),Lists!$T$2:$T$21,0)),IF(OR(TRIM($J97)="",UPPER(TRIM($J97))="NA"),IFERROR(INDEX(Lists!$R$2:$R$9,MATCH(TRIM($G97),Lists!$Q$2:$Q$9,0)),"UNMAPPED"),IFERROR(INDEX(Lists!$U$2:$U$21,MATCH(TRIM($J97),Lists!$T$2:$T$21,0)),IFERROR(INDEX(Lists!$R$2:$R$9,MATCH(TRIM($G97),Lists!$Q$2:$Q$9,0)),"UNMAPPED"))))))))</f>
        <v>COE BP&amp;T</v>
      </c>
      <c r="AI97" s="534" t="b">
        <f>IF(TRIM($B97)="","",--OR(TRIM($L97)="Leadership",TRIM($K97)="Leadership"))</f>
        <v>0</v>
      </c>
      <c r="AJ97" s="534" t="str">
        <f>IF(TRIM($B97)="","",IF(COUNTIFS(Lists!$AN$2:$AN$22,TRIM($B97)&amp;" | "&amp;TRIM($D97),Lists!$AP$2:$AP$22,"&lt;&gt;"),INDEX(Lists!$AP$2:$AP$22,MATCH(TRIM($B97)&amp;" | "&amp;TRIM($D97),Lists!$AN$2:$AN$22,0)),IF($AI97=1,"Leadership",IFERROR(INDEX(Lists!$X$2:$X$21,MATCH(TRIM($L97),Lists!$W$2:$W$21,0)),IF(OR(TRIM($L97)="",LOWER(TRIM($L97))="na"),IF(TRIM($H97)="","Unassigned",TRIM($H97)),TRIM($L97))))))</f>
        <v>TDD Business Partner</v>
      </c>
      <c r="AK97" s="534" t="str">
        <f>IF(TRIM($B97)="","",IF(COUNTIFS(Lists!$AN$2:$AN$22,TRIM($B97)&amp;" | "&amp;TRIM($D97),Lists!$AQ$2:$AQ$22,"&lt;&gt;"),INDEX(Lists!$AQ$2:$AQ$22,MATCH(TRIM($B97)&amp;" | "&amp;TRIM($D97),Lists!$AN$2:$AN$22,0)),IF(COUNTIF(Lists!$AF$2:$AF$8,$AJ97),$AJ97,IF(ISNUMBER(SEARCH("head of ",$D97)),"Head of Technology",IF(ISNUMBER(SEARCH("TDD BP",$D97)),"Business Partner",IF(OR(ISNUMBER(SEARCH("domain architect",$D97)),ISNUMBER(SEARCH("enterprise architect",$D97))),"Domain Architect",IF(ISNUMBER(SEARCH("delivery man",$D97)),"Delivery Manager",IF(OR(ISNUMBER(SEARCH("technology manager",$D97)),ISNUMBER(SEARCH("technology manger",$D97)),ISNUMBER(SEARCH("tech manager",$D97))),"Technology Manager","Squad"))))))))</f>
        <v>Business Partner</v>
      </c>
      <c r="AL97" s="534" t="str">
        <f>IF(TRIM($B97)="","",IF(AND($AM97=1,LEFT($AJ97,4)&lt;&gt;"EGI ",$AJ97&lt;&gt;"EGI"),IFERROR(INDEX(Lists!$Z$2:$Z$20,MATCH($AH97,Lists!$Y$2:$Y$20,0)),"EGI "&amp;$AH97),IF(COUNTIF(Lists!$AU$2:$AU$10,$AJ97),$AJ97,IF(OR(LEFT($AH97,3)="COE",$AH97="EGI"),$AJ97,IF($AK97&lt;&gt;"Squad",$AK97,$AJ97)))))</f>
        <v>TDD Business Partner</v>
      </c>
      <c r="AM97" s="534" t="b">
        <f>IF(TRIM($B97)="","",--(UPPER(TRIM($K97))="EGI"))</f>
        <v>0</v>
      </c>
      <c r="AQ97" s="841" t="inlineStr">
        <is>
          <t>R0096</t>
        </is>
      </c>
      <c r="AZ97" s="841" t="n"/>
    </row>
    <row r="98" ht="18" customHeight="1" s="535">
      <c r="A98" s="842" t="n">
        <v>13925</v>
      </c>
      <c r="B98" s="843" t="inlineStr">
        <is>
          <t>Allan Francia</t>
        </is>
      </c>
      <c r="C98" s="842" t="n">
        <v>13925</v>
      </c>
      <c r="D98" s="843" t="inlineStr">
        <is>
          <t>Technology Manager - T&amp;S</t>
        </is>
      </c>
      <c r="E98" s="843" t="inlineStr">
        <is>
          <t>Nakul Bharade</t>
        </is>
      </c>
      <c r="F98" s="843" t="inlineStr">
        <is>
          <t>Head of Technology, Commercial Fuels</t>
        </is>
      </c>
      <c r="G98" s="844" t="inlineStr">
        <is>
          <t>TDD CFE&amp;I</t>
        </is>
      </c>
      <c r="H98" s="843" t="inlineStr">
        <is>
          <t>Commercial Fuels</t>
        </is>
      </c>
      <c r="I98" s="843" t="inlineStr">
        <is>
          <t>Technology, Trading &amp; Shipping</t>
        </is>
      </c>
      <c r="J98" s="843" t="inlineStr">
        <is>
          <t>Commercial Fuels</t>
        </is>
      </c>
      <c r="K98" s="843" t="inlineStr">
        <is>
          <t>Leadership</t>
        </is>
      </c>
      <c r="L98" s="843" t="inlineStr">
        <is>
          <t>Leadership</t>
        </is>
      </c>
      <c r="M98" s="843" t="n"/>
      <c r="N98" s="845" t="inlineStr">
        <is>
          <t>Australia</t>
        </is>
      </c>
      <c r="O98" s="846" t="inlineStr">
        <is>
          <t>CSB</t>
        </is>
      </c>
      <c r="P98" s="847" t="n">
        <v>1</v>
      </c>
      <c r="Q98" s="847" t="n"/>
      <c r="R98" s="847" t="inlineStr">
        <is>
          <t>Permanent - Full Time</t>
        </is>
      </c>
      <c r="S98" s="847" t="n"/>
      <c r="T98" s="847" t="n"/>
      <c r="U98" s="848" t="n">
        <v>212020</v>
      </c>
      <c r="V98" s="849" t="n">
        <v>212020</v>
      </c>
      <c r="W98" s="850" t="n">
        <v>0.14</v>
      </c>
      <c r="X98" s="847" t="n">
        <v>0.055</v>
      </c>
      <c r="Y98" s="850" t="n">
        <v>0.12</v>
      </c>
      <c r="Z98" s="851" t="n"/>
      <c r="AA98" s="850" t="n">
        <v>0.04</v>
      </c>
      <c r="AB98" s="852" t="n">
        <v>287287.1</v>
      </c>
      <c r="AE98" s="534">
        <f>IF(TRIM($B98)="","",IF(AND(N($P98)&gt;0,N($P98)&lt;1),N($AB98)*N($P98),N($AB98)))</f>
        <v>287287.1</v>
      </c>
      <c r="AF98" s="534" t="str">
        <f>IF(TRIM($B98)="","",IF(OR(ISNUMBER(SEARCH("vacant",$B98)),ISNUMBER(SEARCH("ring fenced",$B98)),LOWER(TRIM($B98))="remove"),"Vacant","Filled"))</f>
        <v>Filled</v>
      </c>
      <c r="AG98" s="534" t="b">
        <f>IF(TRIM($B98)="","",--ISNUMBER(SEARCH("ring fenced",$B98)))</f>
        <v>0</v>
      </c>
      <c r="AH98" s="534" t="str">
        <f>IF(TRIM($B98)="","",IF(COUNTIFS(Lists!$AN$2:$AN$22,TRIM($B98)&amp;" | "&amp;TRIM($D98),Lists!$AO$2:$AO$22,"&lt;&gt;"),INDEX(Lists!$AO$2:$AO$22,MATCH(TRIM($B98)&amp;" | "&amp;TRIM($D98),Lists!$AN$2:$AN$22,0)),IF(COUNTIF(Lists!$AR$2:$AR$3,$AJ98),"TDD Cyber",IF(AND(LEFT($AJ98,4)="EGI ",ISNUMBER(MATCH(TRIM(MID($AJ98,5,99)),Lists!$AS$2:$AS$12,0))),TRIM(MID($AJ98,5,99)),IF(AND(LEFT($AJ98,4)="EGI ",ISNUMBER(MATCH(TRIM(MID($AJ98,5,99)),Lists!$T$2:$T$21,0))),INDEX(Lists!$U$2:$U$21,MATCH(TRIM(MID($AJ98,5,99)),Lists!$T$2:$T$21,0)),IF(OR(TRIM($J98)="",UPPER(TRIM($J98))="NA"),IFERROR(INDEX(Lists!$R$2:$R$9,MATCH(TRIM($G98),Lists!$Q$2:$Q$9,0)),"UNMAPPED"),IFERROR(INDEX(Lists!$U$2:$U$21,MATCH(TRIM($J98),Lists!$T$2:$T$21,0)),IFERROR(INDEX(Lists!$R$2:$R$9,MATCH(TRIM($G98),Lists!$Q$2:$Q$9,0)),"UNMAPPED"))))))))</f>
        <v>Commercial Fuels</v>
      </c>
      <c r="AI98" s="534" t="b">
        <f>IF(TRIM($B98)="","",--OR(TRIM($L98)="Leadership",TRIM($K98)="Leadership"))</f>
        <v>1</v>
      </c>
      <c r="AJ98" s="534" t="str">
        <f>IF(TRIM($B98)="","",IF(COUNTIFS(Lists!$AN$2:$AN$22,TRIM($B98)&amp;" | "&amp;TRIM($D98),Lists!$AP$2:$AP$22,"&lt;&gt;"),INDEX(Lists!$AP$2:$AP$22,MATCH(TRIM($B98)&amp;" | "&amp;TRIM($D98),Lists!$AN$2:$AN$22,0)),IF($AI98=1,"Leadership",IFERROR(INDEX(Lists!$X$2:$X$21,MATCH(TRIM($L98),Lists!$W$2:$W$21,0)),IF(OR(TRIM($L98)="",LOWER(TRIM($L98))="na"),IF(TRIM($H98)="","Unassigned",TRIM($H98)),TRIM($L98))))))</f>
        <v>Leadership</v>
      </c>
      <c r="AK98" s="534" t="str">
        <f>IF(TRIM($B98)="","",IF(COUNTIFS(Lists!$AN$2:$AN$22,TRIM($B98)&amp;" | "&amp;TRIM($D98),Lists!$AQ$2:$AQ$22,"&lt;&gt;"),INDEX(Lists!$AQ$2:$AQ$22,MATCH(TRIM($B98)&amp;" | "&amp;TRIM($D98),Lists!$AN$2:$AN$22,0)),IF(COUNTIF(Lists!$AF$2:$AF$8,$AJ98),$AJ98,IF(ISNUMBER(SEARCH("head of ",$D98)),"Head of Technology",IF(ISNUMBER(SEARCH("TDD BP",$D98)),"Business Partner",IF(OR(ISNUMBER(SEARCH("domain architect",$D98)),ISNUMBER(SEARCH("enterprise architect",$D98))),"Domain Architect",IF(ISNUMBER(SEARCH("delivery man",$D98)),"Delivery Manager",IF(OR(ISNUMBER(SEARCH("technology manager",$D98)),ISNUMBER(SEARCH("technology manger",$D98)),ISNUMBER(SEARCH("tech manager",$D98))),"Technology Manager","Squad"))))))))</f>
        <v>Technology Manager</v>
      </c>
      <c r="AL98" s="534" t="str">
        <f>IF(TRIM($B98)="","",IF(AND($AM98=1,LEFT($AJ98,4)&lt;&gt;"EGI ",$AJ98&lt;&gt;"EGI"),IFERROR(INDEX(Lists!$Z$2:$Z$20,MATCH($AH98,Lists!$Y$2:$Y$20,0)),"EGI "&amp;$AH98),IF(COUNTIF(Lists!$AU$2:$AU$10,$AJ98),$AJ98,IF(OR(LEFT($AH98,3)="COE",$AH98="EGI"),$AJ98,IF($AK98&lt;&gt;"Squad",$AK98,$AJ98)))))</f>
        <v>Technology Manager</v>
      </c>
      <c r="AM98" s="534" t="b">
        <f>IF(TRIM($B98)="","",--(UPPER(TRIM($K98))="EGI"))</f>
        <v>0</v>
      </c>
      <c r="AQ98" s="841" t="inlineStr">
        <is>
          <t>R0097</t>
        </is>
      </c>
      <c r="AZ98" s="841" t="n"/>
    </row>
    <row r="99" ht="18" customHeight="1" s="535">
      <c r="A99" s="842" t="inlineStr">
        <is>
          <t>V</t>
        </is>
      </c>
      <c r="B99" s="843" t="inlineStr">
        <is>
          <t>Vacant</t>
        </is>
      </c>
      <c r="C99" s="842" t="inlineStr">
        <is>
          <t>V</t>
        </is>
      </c>
      <c r="D99" s="843" t="inlineStr">
        <is>
          <t>Delivery Manager</t>
        </is>
      </c>
      <c r="E99" s="843" t="inlineStr">
        <is>
          <t>Nakul Bharade</t>
        </is>
      </c>
      <c r="F99" s="843" t="inlineStr">
        <is>
          <t>Head of Technology, Commercial Fuels</t>
        </is>
      </c>
      <c r="G99" s="844" t="inlineStr">
        <is>
          <t>TDD CFE&amp;I</t>
        </is>
      </c>
      <c r="H99" s="843" t="inlineStr">
        <is>
          <t>Commercial Fuels</t>
        </is>
      </c>
      <c r="I99" s="843" t="inlineStr">
        <is>
          <t>Delivery, Commercial Fuels</t>
        </is>
      </c>
      <c r="J99" s="843" t="inlineStr">
        <is>
          <t>Commercial Fuels</t>
        </is>
      </c>
      <c r="K99" s="843" t="inlineStr">
        <is>
          <t>Leadership</t>
        </is>
      </c>
      <c r="L99" s="843" t="inlineStr">
        <is>
          <t>Leadership</t>
        </is>
      </c>
      <c r="M99" s="843" t="n"/>
      <c r="N99" s="845" t="inlineStr">
        <is>
          <t>Australia</t>
        </is>
      </c>
      <c r="O99" s="846" t="inlineStr">
        <is>
          <t>CSB</t>
        </is>
      </c>
      <c r="P99" s="847" t="n">
        <v>1</v>
      </c>
      <c r="Q99" s="846" t="n"/>
      <c r="R99" s="847" t="inlineStr">
        <is>
          <t>V</t>
        </is>
      </c>
      <c r="S99" s="847" t="n"/>
      <c r="T99" s="847" t="n"/>
      <c r="U99" s="848" t="n">
        <v>203550</v>
      </c>
      <c r="V99" s="849" t="n">
        <v>203550</v>
      </c>
      <c r="W99" s="850" t="n">
        <v>0.14</v>
      </c>
      <c r="X99" s="847" t="n">
        <v>0.055</v>
      </c>
      <c r="Y99" s="850" t="n">
        <v>0.12</v>
      </c>
      <c r="Z99" s="851" t="n"/>
      <c r="AA99" s="850" t="n">
        <v>0.04</v>
      </c>
      <c r="AB99" s="852" t="n">
        <v>275810.25</v>
      </c>
      <c r="AE99" s="534">
        <f>IF(TRIM($B99)="","",IF(AND(N($P99)&gt;0,N($P99)&lt;1),N($AB99)*N($P99),N($AB99)))</f>
        <v>275810.25</v>
      </c>
      <c r="AF99" s="534" t="str">
        <f>IF(TRIM($B99)="","",IF(OR(ISNUMBER(SEARCH("vacant",$B99)),ISNUMBER(SEARCH("ring fenced",$B99)),LOWER(TRIM($B99))="remove"),"Vacant","Filled"))</f>
        <v>Vacant</v>
      </c>
      <c r="AG99" s="534" t="b">
        <f>IF(TRIM($B99)="","",--ISNUMBER(SEARCH("ring fenced",$B99)))</f>
        <v>0</v>
      </c>
      <c r="AH99" s="534" t="str">
        <f>IF(TRIM($B99)="","",IF(COUNTIFS(Lists!$AN$2:$AN$22,TRIM($B99)&amp;" | "&amp;TRIM($D99),Lists!$AO$2:$AO$22,"&lt;&gt;"),INDEX(Lists!$AO$2:$AO$22,MATCH(TRIM($B99)&amp;" | "&amp;TRIM($D99),Lists!$AN$2:$AN$22,0)),IF(COUNTIF(Lists!$AR$2:$AR$3,$AJ99),"TDD Cyber",IF(AND(LEFT($AJ99,4)="EGI ",ISNUMBER(MATCH(TRIM(MID($AJ99,5,99)),Lists!$AS$2:$AS$12,0))),TRIM(MID($AJ99,5,99)),IF(AND(LEFT($AJ99,4)="EGI ",ISNUMBER(MATCH(TRIM(MID($AJ99,5,99)),Lists!$T$2:$T$21,0))),INDEX(Lists!$U$2:$U$21,MATCH(TRIM(MID($AJ99,5,99)),Lists!$T$2:$T$21,0)),IF(OR(TRIM($J99)="",UPPER(TRIM($J99))="NA"),IFERROR(INDEX(Lists!$R$2:$R$9,MATCH(TRIM($G99),Lists!$Q$2:$Q$9,0)),"UNMAPPED"),IFERROR(INDEX(Lists!$U$2:$U$21,MATCH(TRIM($J99),Lists!$T$2:$T$21,0)),IFERROR(INDEX(Lists!$R$2:$R$9,MATCH(TRIM($G99),Lists!$Q$2:$Q$9,0)),"UNMAPPED"))))))))</f>
        <v>Commercial Fuels</v>
      </c>
      <c r="AI99" s="534" t="b">
        <f>IF(TRIM($B99)="","",--OR(TRIM($L99)="Leadership",TRIM($K99)="Leadership"))</f>
        <v>1</v>
      </c>
      <c r="AJ99" s="534" t="str">
        <f>IF(TRIM($B99)="","",IF(COUNTIFS(Lists!$AN$2:$AN$22,TRIM($B99)&amp;" | "&amp;TRIM($D99),Lists!$AP$2:$AP$22,"&lt;&gt;"),INDEX(Lists!$AP$2:$AP$22,MATCH(TRIM($B99)&amp;" | "&amp;TRIM($D99),Lists!$AN$2:$AN$22,0)),IF($AI99=1,"Leadership",IFERROR(INDEX(Lists!$X$2:$X$21,MATCH(TRIM($L99),Lists!$W$2:$W$21,0)),IF(OR(TRIM($L99)="",LOWER(TRIM($L99))="na"),IF(TRIM($H99)="","Unassigned",TRIM($H99)),TRIM($L99))))))</f>
        <v>Leadership</v>
      </c>
      <c r="AK99" s="534" t="str">
        <f>IF(TRIM($B99)="","",IF(COUNTIFS(Lists!$AN$2:$AN$22,TRIM($B99)&amp;" | "&amp;TRIM($D99),Lists!$AQ$2:$AQ$22,"&lt;&gt;"),INDEX(Lists!$AQ$2:$AQ$22,MATCH(TRIM($B99)&amp;" | "&amp;TRIM($D99),Lists!$AN$2:$AN$22,0)),IF(COUNTIF(Lists!$AF$2:$AF$8,$AJ99),$AJ99,IF(ISNUMBER(SEARCH("head of ",$D99)),"Head of Technology",IF(ISNUMBER(SEARCH("TDD BP",$D99)),"Business Partner",IF(OR(ISNUMBER(SEARCH("domain architect",$D99)),ISNUMBER(SEARCH("enterprise architect",$D99))),"Domain Architect",IF(ISNUMBER(SEARCH("delivery man",$D99)),"Delivery Manager",IF(OR(ISNUMBER(SEARCH("technology manager",$D99)),ISNUMBER(SEARCH("technology manger",$D99)),ISNUMBER(SEARCH("tech manager",$D99))),"Technology Manager","Squad"))))))))</f>
        <v>Delivery Manager</v>
      </c>
      <c r="AL99" s="534" t="str">
        <f>IF(TRIM($B99)="","",IF(AND($AM99=1,LEFT($AJ99,4)&lt;&gt;"EGI ",$AJ99&lt;&gt;"EGI"),IFERROR(INDEX(Lists!$Z$2:$Z$20,MATCH($AH99,Lists!$Y$2:$Y$20,0)),"EGI "&amp;$AH99),IF(COUNTIF(Lists!$AU$2:$AU$10,$AJ99),$AJ99,IF(OR(LEFT($AH99,3)="COE",$AH99="EGI"),$AJ99,IF($AK99&lt;&gt;"Squad",$AK99,$AJ99)))))</f>
        <v>Delivery Manager</v>
      </c>
      <c r="AM99" s="534" t="b">
        <f>IF(TRIM($B99)="","",--(UPPER(TRIM($K99))="EGI"))</f>
        <v>0</v>
      </c>
      <c r="AQ99" s="841" t="inlineStr">
        <is>
          <t>R0098</t>
        </is>
      </c>
      <c r="AZ99" s="841" t="n"/>
    </row>
    <row r="100" ht="18" customHeight="1" s="535">
      <c r="A100" s="842" t="inlineStr">
        <is>
          <t>V</t>
        </is>
      </c>
      <c r="B100" s="843" t="inlineStr">
        <is>
          <t>Vacant</t>
        </is>
      </c>
      <c r="C100" s="842" t="inlineStr">
        <is>
          <t>V</t>
        </is>
      </c>
      <c r="D100" s="843" t="inlineStr">
        <is>
          <t>Technology Manager, Data</t>
        </is>
      </c>
      <c r="E100" s="843" t="inlineStr">
        <is>
          <t>Nakul Bharade</t>
        </is>
      </c>
      <c r="F100" s="843" t="inlineStr">
        <is>
          <t>Head of Technology, Commercial Fuels</t>
        </is>
      </c>
      <c r="G100" s="844" t="inlineStr">
        <is>
          <t>TDD CFE&amp;I</t>
        </is>
      </c>
      <c r="H100" s="843" t="inlineStr">
        <is>
          <t>Commercial Fuels</t>
        </is>
      </c>
      <c r="I100" s="843" t="inlineStr">
        <is>
          <t>Technology, T&amp;S Data</t>
        </is>
      </c>
      <c r="J100" s="843" t="inlineStr">
        <is>
          <t>Commercial Fuels</t>
        </is>
      </c>
      <c r="K100" s="843" t="inlineStr">
        <is>
          <t>Leadership</t>
        </is>
      </c>
      <c r="L100" s="843" t="inlineStr">
        <is>
          <t>Leadership</t>
        </is>
      </c>
      <c r="M100" s="843" t="n"/>
      <c r="N100" s="845" t="inlineStr">
        <is>
          <t>Australia</t>
        </is>
      </c>
      <c r="O100" s="846" t="inlineStr">
        <is>
          <t>CSB</t>
        </is>
      </c>
      <c r="P100" s="847" t="n">
        <v>1</v>
      </c>
      <c r="Q100" s="847" t="n"/>
      <c r="R100" s="847" t="inlineStr">
        <is>
          <t>v</t>
        </is>
      </c>
      <c r="S100" s="847" t="n"/>
      <c r="T100" s="847" t="n"/>
      <c r="U100" s="848" t="n">
        <v>203550</v>
      </c>
      <c r="V100" s="849" t="n">
        <v>203550</v>
      </c>
      <c r="W100" s="850" t="n">
        <v>0.14</v>
      </c>
      <c r="X100" s="847" t="n">
        <v>0.055</v>
      </c>
      <c r="Y100" s="850" t="n">
        <v>0.12</v>
      </c>
      <c r="Z100" s="851" t="n"/>
      <c r="AA100" s="850" t="n">
        <v>0.04</v>
      </c>
      <c r="AB100" s="852" t="n">
        <v>275810.25</v>
      </c>
      <c r="AE100" s="534">
        <f>IF(TRIM($B100)="","",IF(AND(N($P100)&gt;0,N($P100)&lt;1),N($AB100)*N($P100),N($AB100)))</f>
        <v>275810.25</v>
      </c>
      <c r="AF100" s="534" t="str">
        <f>IF(TRIM($B100)="","",IF(OR(ISNUMBER(SEARCH("vacant",$B100)),ISNUMBER(SEARCH("ring fenced",$B100)),LOWER(TRIM($B100))="remove"),"Vacant","Filled"))</f>
        <v>Vacant</v>
      </c>
      <c r="AG100" s="534" t="b">
        <f>IF(TRIM($B100)="","",--ISNUMBER(SEARCH("ring fenced",$B100)))</f>
        <v>0</v>
      </c>
      <c r="AH100" s="534" t="str">
        <f>IF(TRIM($B100)="","",IF(COUNTIFS(Lists!$AN$2:$AN$22,TRIM($B100)&amp;" | "&amp;TRIM($D100),Lists!$AO$2:$AO$22,"&lt;&gt;"),INDEX(Lists!$AO$2:$AO$22,MATCH(TRIM($B100)&amp;" | "&amp;TRIM($D100),Lists!$AN$2:$AN$22,0)),IF(COUNTIF(Lists!$AR$2:$AR$3,$AJ100),"TDD Cyber",IF(AND(LEFT($AJ100,4)="EGI ",ISNUMBER(MATCH(TRIM(MID($AJ100,5,99)),Lists!$AS$2:$AS$12,0))),TRIM(MID($AJ100,5,99)),IF(AND(LEFT($AJ100,4)="EGI ",ISNUMBER(MATCH(TRIM(MID($AJ100,5,99)),Lists!$T$2:$T$21,0))),INDEX(Lists!$U$2:$U$21,MATCH(TRIM(MID($AJ100,5,99)),Lists!$T$2:$T$21,0)),IF(OR(TRIM($J100)="",UPPER(TRIM($J100))="NA"),IFERROR(INDEX(Lists!$R$2:$R$9,MATCH(TRIM($G100),Lists!$Q$2:$Q$9,0)),"UNMAPPED"),IFERROR(INDEX(Lists!$U$2:$U$21,MATCH(TRIM($J100),Lists!$T$2:$T$21,0)),IFERROR(INDEX(Lists!$R$2:$R$9,MATCH(TRIM($G100),Lists!$Q$2:$Q$9,0)),"UNMAPPED"))))))))</f>
        <v>Commercial Fuels</v>
      </c>
      <c r="AI100" s="534" t="b">
        <f>IF(TRIM($B100)="","",--OR(TRIM($L100)="Leadership",TRIM($K100)="Leadership"))</f>
        <v>1</v>
      </c>
      <c r="AJ100" s="534" t="str">
        <f>IF(TRIM($B100)="","",IF(COUNTIFS(Lists!$AN$2:$AN$22,TRIM($B100)&amp;" | "&amp;TRIM($D100),Lists!$AP$2:$AP$22,"&lt;&gt;"),INDEX(Lists!$AP$2:$AP$22,MATCH(TRIM($B100)&amp;" | "&amp;TRIM($D100),Lists!$AN$2:$AN$22,0)),IF($AI100=1,"Leadership",IFERROR(INDEX(Lists!$X$2:$X$21,MATCH(TRIM($L100),Lists!$W$2:$W$21,0)),IF(OR(TRIM($L100)="",LOWER(TRIM($L100))="na"),IF(TRIM($H100)="","Unassigned",TRIM($H100)),TRIM($L100))))))</f>
        <v>Leadership</v>
      </c>
      <c r="AK100" s="534" t="str">
        <f>IF(TRIM($B100)="","",IF(COUNTIFS(Lists!$AN$2:$AN$22,TRIM($B100)&amp;" | "&amp;TRIM($D100),Lists!$AQ$2:$AQ$22,"&lt;&gt;"),INDEX(Lists!$AQ$2:$AQ$22,MATCH(TRIM($B100)&amp;" | "&amp;TRIM($D100),Lists!$AN$2:$AN$22,0)),IF(COUNTIF(Lists!$AF$2:$AF$8,$AJ100),$AJ100,IF(ISNUMBER(SEARCH("head of ",$D100)),"Head of Technology",IF(ISNUMBER(SEARCH("TDD BP",$D100)),"Business Partner",IF(OR(ISNUMBER(SEARCH("domain architect",$D100)),ISNUMBER(SEARCH("enterprise architect",$D100))),"Domain Architect",IF(ISNUMBER(SEARCH("delivery man",$D100)),"Delivery Manager",IF(OR(ISNUMBER(SEARCH("technology manager",$D100)),ISNUMBER(SEARCH("technology manger",$D100)),ISNUMBER(SEARCH("tech manager",$D100))),"Technology Manager","Squad"))))))))</f>
        <v>Technology Manager</v>
      </c>
      <c r="AL100" s="534" t="str">
        <f>IF(TRIM($B100)="","",IF(AND($AM100=1,LEFT($AJ100,4)&lt;&gt;"EGI ",$AJ100&lt;&gt;"EGI"),IFERROR(INDEX(Lists!$Z$2:$Z$20,MATCH($AH100,Lists!$Y$2:$Y$20,0)),"EGI "&amp;$AH100),IF(COUNTIF(Lists!$AU$2:$AU$10,$AJ100),$AJ100,IF(OR(LEFT($AH100,3)="COE",$AH100="EGI"),$AJ100,IF($AK100&lt;&gt;"Squad",$AK100,$AJ100)))))</f>
        <v>Technology Manager</v>
      </c>
      <c r="AM100" s="534" t="b">
        <f>IF(TRIM($B100)="","",--(UPPER(TRIM($K100))="EGI"))</f>
        <v>0</v>
      </c>
      <c r="AQ100" s="841" t="inlineStr">
        <is>
          <t>R0099</t>
        </is>
      </c>
      <c r="AZ100" s="841" t="n"/>
    </row>
    <row r="101" ht="18" customHeight="1" s="535">
      <c r="A101" s="842" t="n">
        <v>113900</v>
      </c>
      <c r="B101" s="843" t="inlineStr">
        <is>
          <t>Mick Collins</t>
        </is>
      </c>
      <c r="C101" s="842" t="n">
        <v>113900</v>
      </c>
      <c r="D101" s="843" t="inlineStr">
        <is>
          <t>Manager, Service Performance &amp; Assurance</t>
        </is>
      </c>
      <c r="E101" s="843" t="inlineStr">
        <is>
          <t>Rajini Onteddu Reddy</t>
        </is>
      </c>
      <c r="F101" s="843" t="n"/>
      <c r="G101" s="844" t="inlineStr">
        <is>
          <t>Cyber, Risk &amp; Operations</t>
        </is>
      </c>
      <c r="H101" s="843" t="inlineStr">
        <is>
          <t>Service Op &amp; Assurance</t>
        </is>
      </c>
      <c r="I101" s="843" t="inlineStr">
        <is>
          <t>NA</t>
        </is>
      </c>
      <c r="J101" s="843" t="inlineStr">
        <is>
          <t>NA</t>
        </is>
      </c>
      <c r="K101" s="843" t="inlineStr">
        <is>
          <t>NA</t>
        </is>
      </c>
      <c r="L101" s="843" t="inlineStr">
        <is>
          <t>NA</t>
        </is>
      </c>
      <c r="M101" s="843" t="n"/>
      <c r="N101" s="845" t="inlineStr">
        <is>
          <t>Australia</t>
        </is>
      </c>
      <c r="O101" s="846" t="inlineStr">
        <is>
          <t>CSB</t>
        </is>
      </c>
      <c r="P101" s="847" t="n">
        <v>1</v>
      </c>
      <c r="Q101" s="846" t="n"/>
      <c r="R101" s="847" t="inlineStr">
        <is>
          <t>Permanent - Full Time</t>
        </is>
      </c>
      <c r="S101" s="847" t="n"/>
      <c r="T101" s="847" t="n"/>
      <c r="U101" s="848" t="n">
        <v>200790</v>
      </c>
      <c r="V101" s="849" t="n">
        <v>200790</v>
      </c>
      <c r="W101" s="850" t="n">
        <v>0.14</v>
      </c>
      <c r="X101" s="847" t="n">
        <v>0.055</v>
      </c>
      <c r="Y101" s="850" t="n">
        <v>0.12</v>
      </c>
      <c r="Z101" s="851" t="n"/>
      <c r="AA101" s="850" t="n">
        <v>0.04</v>
      </c>
      <c r="AB101" s="852" t="n">
        <v>272070.45</v>
      </c>
      <c r="AE101" s="534">
        <f>IF(TRIM($B101)="","",IF(AND(N($P101)&gt;0,N($P101)&lt;1),N($AB101)*N($P101),N($AB101)))</f>
        <v>272070.45</v>
      </c>
      <c r="AF101" s="534" t="str">
        <f>IF(TRIM($B101)="","",IF(OR(ISNUMBER(SEARCH("vacant",$B101)),ISNUMBER(SEARCH("ring fenced",$B101)),LOWER(TRIM($B101))="remove"),"Vacant","Filled"))</f>
        <v>Filled</v>
      </c>
      <c r="AG101" s="534" t="b">
        <f>IF(TRIM($B101)="","",--ISNUMBER(SEARCH("ring fenced",$B101)))</f>
        <v>0</v>
      </c>
      <c r="AH101" s="534" t="str">
        <f>IF(TRIM($B101)="","",IF(COUNTIFS(Lists!$AN$2:$AN$22,TRIM($B101)&amp;" | "&amp;TRIM($D101),Lists!$AO$2:$AO$22,"&lt;&gt;"),INDEX(Lists!$AO$2:$AO$22,MATCH(TRIM($B101)&amp;" | "&amp;TRIM($D101),Lists!$AN$2:$AN$22,0)),IF(COUNTIF(Lists!$AR$2:$AR$3,$AJ101),"TDD Cyber",IF(AND(LEFT($AJ101,4)="EGI ",ISNUMBER(MATCH(TRIM(MID($AJ101,5,99)),Lists!$AS$2:$AS$12,0))),TRIM(MID($AJ101,5,99)),IF(AND(LEFT($AJ101,4)="EGI ",ISNUMBER(MATCH(TRIM(MID($AJ101,5,99)),Lists!$T$2:$T$21,0))),INDEX(Lists!$U$2:$U$21,MATCH(TRIM(MID($AJ101,5,99)),Lists!$T$2:$T$21,0)),IF(OR(TRIM($J101)="",UPPER(TRIM($J101))="NA"),IFERROR(INDEX(Lists!$R$2:$R$9,MATCH(TRIM($G101),Lists!$Q$2:$Q$9,0)),"UNMAPPED"),IFERROR(INDEX(Lists!$U$2:$U$21,MATCH(TRIM($J101),Lists!$T$2:$T$21,0)),IFERROR(INDEX(Lists!$R$2:$R$9,MATCH(TRIM($G101),Lists!$Q$2:$Q$9,0)),"UNMAPPED"))))))))</f>
        <v>COE Cyber</v>
      </c>
      <c r="AI101" s="534" t="b">
        <f>IF(TRIM($B101)="","",--OR(TRIM($L101)="Leadership",TRIM($K101)="Leadership"))</f>
        <v>0</v>
      </c>
      <c r="AJ101" s="534" t="str">
        <f>IF(TRIM($B101)="","",IF(COUNTIFS(Lists!$AN$2:$AN$22,TRIM($B101)&amp;" | "&amp;TRIM($D101),Lists!$AP$2:$AP$22,"&lt;&gt;"),INDEX(Lists!$AP$2:$AP$22,MATCH(TRIM($B101)&amp;" | "&amp;TRIM($D101),Lists!$AN$2:$AN$22,0)),IF($AI101=1,"Leadership",IFERROR(INDEX(Lists!$X$2:$X$21,MATCH(TRIM($L101),Lists!$W$2:$W$21,0)),IF(OR(TRIM($L101)="",LOWER(TRIM($L101))="na"),IF(TRIM($H101)="","Unassigned",TRIM($H101)),TRIM($L101))))))</f>
        <v>Service Op &amp; Assurance</v>
      </c>
      <c r="AK101" s="534" t="str">
        <f>IF(TRIM($B101)="","",IF(COUNTIFS(Lists!$AN$2:$AN$22,TRIM($B101)&amp;" | "&amp;TRIM($D101),Lists!$AQ$2:$AQ$22,"&lt;&gt;"),INDEX(Lists!$AQ$2:$AQ$22,MATCH(TRIM($B101)&amp;" | "&amp;TRIM($D101),Lists!$AN$2:$AN$22,0)),IF(COUNTIF(Lists!$AF$2:$AF$8,$AJ101),$AJ101,IF(ISNUMBER(SEARCH("head of ",$D101)),"Head of Technology",IF(ISNUMBER(SEARCH("TDD BP",$D101)),"Business Partner",IF(OR(ISNUMBER(SEARCH("domain architect",$D101)),ISNUMBER(SEARCH("enterprise architect",$D101))),"Domain Architect",IF(ISNUMBER(SEARCH("delivery man",$D101)),"Delivery Manager",IF(OR(ISNUMBER(SEARCH("technology manager",$D101)),ISNUMBER(SEARCH("technology manger",$D101)),ISNUMBER(SEARCH("tech manager",$D101))),"Technology Manager","Squad"))))))))</f>
        <v>Squad</v>
      </c>
      <c r="AL101" s="534" t="str">
        <f>IF(TRIM($B101)="","",IF(AND($AM101=1,LEFT($AJ101,4)&lt;&gt;"EGI ",$AJ101&lt;&gt;"EGI"),IFERROR(INDEX(Lists!$Z$2:$Z$20,MATCH($AH101,Lists!$Y$2:$Y$20,0)),"EGI "&amp;$AH101),IF(COUNTIF(Lists!$AU$2:$AU$10,$AJ101),$AJ101,IF(OR(LEFT($AH101,3)="COE",$AH101="EGI"),$AJ101,IF($AK101&lt;&gt;"Squad",$AK101,$AJ101)))))</f>
        <v>Service Op &amp; Assurance</v>
      </c>
      <c r="AM101" s="534" t="b">
        <f>IF(TRIM($B101)="","",--(UPPER(TRIM($K101))="EGI"))</f>
        <v>0</v>
      </c>
      <c r="AQ101" s="841" t="inlineStr">
        <is>
          <t>R0100</t>
        </is>
      </c>
      <c r="AZ101" s="841" t="n"/>
    </row>
    <row r="102" ht="18" customHeight="1" s="535">
      <c r="A102" s="842" t="n">
        <v>106404</v>
      </c>
      <c r="B102" s="843" t="inlineStr">
        <is>
          <t>Carl Russo</t>
        </is>
      </c>
      <c r="C102" s="842" t="n">
        <v>106404</v>
      </c>
      <c r="D102" s="843" t="inlineStr">
        <is>
          <t>Program Manager - CTRM</t>
        </is>
      </c>
      <c r="E102" s="843" t="inlineStr">
        <is>
          <t>Roanne Steele</t>
        </is>
      </c>
      <c r="F102" s="843" t="inlineStr">
        <is>
          <t>GM TDD, CFE&amp;I</t>
        </is>
      </c>
      <c r="G102" s="844" t="inlineStr">
        <is>
          <t>TDD CFE&amp;I</t>
        </is>
      </c>
      <c r="H102" s="843" t="inlineStr">
        <is>
          <t>Leadership</t>
        </is>
      </c>
      <c r="I102" s="843" t="inlineStr">
        <is>
          <t>Leadership</t>
        </is>
      </c>
      <c r="J102" s="843" t="inlineStr">
        <is>
          <t>Commercial Fuels</t>
        </is>
      </c>
      <c r="K102" s="843" t="inlineStr">
        <is>
          <t>CTRM</t>
        </is>
      </c>
      <c r="L102" s="843" t="inlineStr">
        <is>
          <t>CTRM</t>
        </is>
      </c>
      <c r="M102" s="843" t="n"/>
      <c r="N102" s="845" t="inlineStr">
        <is>
          <t>Australia</t>
        </is>
      </c>
      <c r="O102" s="846" t="inlineStr">
        <is>
          <t>CSB</t>
        </is>
      </c>
      <c r="P102" s="847" t="n">
        <v>1</v>
      </c>
      <c r="Q102" s="846" t="n"/>
      <c r="R102" s="847" t="inlineStr">
        <is>
          <t>Permanent - Full Time</t>
        </is>
      </c>
      <c r="S102" s="847" t="n"/>
      <c r="T102" s="847" t="n"/>
      <c r="U102" s="848" t="n">
        <v>238890</v>
      </c>
      <c r="V102" s="849" t="n">
        <v>238890</v>
      </c>
      <c r="W102" s="850" t="n">
        <v>0.14</v>
      </c>
      <c r="X102" s="847" t="n">
        <v>0.055</v>
      </c>
      <c r="Y102" s="850" t="n">
        <v>0.12</v>
      </c>
      <c r="Z102" s="851" t="n"/>
      <c r="AA102" s="850" t="n">
        <v>0.04</v>
      </c>
      <c r="AB102" s="852" t="n">
        <v>323695.95</v>
      </c>
      <c r="AE102" s="534">
        <f>IF(TRIM($B102)="","",IF(AND(N($P102)&gt;0,N($P102)&lt;1),N($AB102)*N($P102),N($AB102)))</f>
        <v>323695.95</v>
      </c>
      <c r="AF102" s="534" t="str">
        <f>IF(TRIM($B102)="","",IF(OR(ISNUMBER(SEARCH("vacant",$B102)),ISNUMBER(SEARCH("ring fenced",$B102)),LOWER(TRIM($B102))="remove"),"Vacant","Filled"))</f>
        <v>Filled</v>
      </c>
      <c r="AG102" s="534" t="b">
        <f>IF(TRIM($B102)="","",--ISNUMBER(SEARCH("ring fenced",$B102)))</f>
        <v>0</v>
      </c>
      <c r="AH102" s="534" t="str">
        <f>IF(TRIM($B102)="","",IF(COUNTIFS(Lists!$AN$2:$AN$22,TRIM($B102)&amp;" | "&amp;TRIM($D102),Lists!$AO$2:$AO$22,"&lt;&gt;"),INDEX(Lists!$AO$2:$AO$22,MATCH(TRIM($B102)&amp;" | "&amp;TRIM($D102),Lists!$AN$2:$AN$22,0)),IF(COUNTIF(Lists!$AR$2:$AR$3,$AJ102),"TDD Cyber",IF(AND(LEFT($AJ102,4)="EGI ",ISNUMBER(MATCH(TRIM(MID($AJ102,5,99)),Lists!$AS$2:$AS$12,0))),TRIM(MID($AJ102,5,99)),IF(AND(LEFT($AJ102,4)="EGI ",ISNUMBER(MATCH(TRIM(MID($AJ102,5,99)),Lists!$T$2:$T$21,0))),INDEX(Lists!$U$2:$U$21,MATCH(TRIM(MID($AJ102,5,99)),Lists!$T$2:$T$21,0)),IF(OR(TRIM($J102)="",UPPER(TRIM($J102))="NA"),IFERROR(INDEX(Lists!$R$2:$R$9,MATCH(TRIM($G102),Lists!$Q$2:$Q$9,0)),"UNMAPPED"),IFERROR(INDEX(Lists!$U$2:$U$21,MATCH(TRIM($J102),Lists!$T$2:$T$21,0)),IFERROR(INDEX(Lists!$R$2:$R$9,MATCH(TRIM($G102),Lists!$Q$2:$Q$9,0)),"UNMAPPED"))))))))</f>
        <v>Commercial Fuels</v>
      </c>
      <c r="AI102" s="534" t="b">
        <f>IF(TRIM($B102)="","",--OR(TRIM($L102)="Leadership",TRIM($K102)="Leadership"))</f>
        <v>0</v>
      </c>
      <c r="AJ102" s="534" t="str">
        <f>IF(TRIM($B102)="","",IF(COUNTIFS(Lists!$AN$2:$AN$22,TRIM($B102)&amp;" | "&amp;TRIM($D102),Lists!$AP$2:$AP$22,"&lt;&gt;"),INDEX(Lists!$AP$2:$AP$22,MATCH(TRIM($B102)&amp;" | "&amp;TRIM($D102),Lists!$AN$2:$AN$22,0)),IF($AI102=1,"Leadership",IFERROR(INDEX(Lists!$X$2:$X$21,MATCH(TRIM($L102),Lists!$W$2:$W$21,0)),IF(OR(TRIM($L102)="",LOWER(TRIM($L102))="na"),IF(TRIM($H102)="","Unassigned",TRIM($H102)),TRIM($L102))))))</f>
        <v>CTRM</v>
      </c>
      <c r="AK102" s="534" t="str">
        <f>IF(TRIM($B102)="","",IF(COUNTIFS(Lists!$AN$2:$AN$22,TRIM($B102)&amp;" | "&amp;TRIM($D102),Lists!$AQ$2:$AQ$22,"&lt;&gt;"),INDEX(Lists!$AQ$2:$AQ$22,MATCH(TRIM($B102)&amp;" | "&amp;TRIM($D102),Lists!$AN$2:$AN$22,0)),IF(COUNTIF(Lists!$AF$2:$AF$8,$AJ102),$AJ102,IF(ISNUMBER(SEARCH("head of ",$D102)),"Head of Technology",IF(ISNUMBER(SEARCH("TDD BP",$D102)),"Business Partner",IF(OR(ISNUMBER(SEARCH("domain architect",$D102)),ISNUMBER(SEARCH("enterprise architect",$D102))),"Domain Architect",IF(ISNUMBER(SEARCH("delivery man",$D102)),"Delivery Manager",IF(OR(ISNUMBER(SEARCH("technology manager",$D102)),ISNUMBER(SEARCH("technology manger",$D102)),ISNUMBER(SEARCH("tech manager",$D102))),"Technology Manager","Squad"))))))))</f>
        <v>Squad</v>
      </c>
      <c r="AL102" s="534" t="str">
        <f>IF(TRIM($B102)="","",IF(AND($AM102=1,LEFT($AJ102,4)&lt;&gt;"EGI ",$AJ102&lt;&gt;"EGI"),IFERROR(INDEX(Lists!$Z$2:$Z$20,MATCH($AH102,Lists!$Y$2:$Y$20,0)),"EGI "&amp;$AH102),IF(COUNTIF(Lists!$AU$2:$AU$10,$AJ102),$AJ102,IF(OR(LEFT($AH102,3)="COE",$AH102="EGI"),$AJ102,IF($AK102&lt;&gt;"Squad",$AK102,$AJ102)))))</f>
        <v>CTRM</v>
      </c>
      <c r="AM102" s="534" t="b">
        <f>IF(TRIM($B102)="","",--(UPPER(TRIM($K102))="EGI"))</f>
        <v>0</v>
      </c>
      <c r="AQ102" s="841" t="inlineStr">
        <is>
          <t>R0101</t>
        </is>
      </c>
      <c r="AZ102" s="841" t="n"/>
    </row>
    <row r="103" ht="18" customHeight="1" s="535">
      <c r="A103" s="842" t="n">
        <v>115483</v>
      </c>
      <c r="B103" s="843" t="inlineStr">
        <is>
          <t>Craig Ambrose</t>
        </is>
      </c>
      <c r="C103" s="842" t="n">
        <v>115483</v>
      </c>
      <c r="D103" s="843" t="inlineStr">
        <is>
          <t>Domain Architect - Group Functions</t>
        </is>
      </c>
      <c r="E103" s="843" t="inlineStr">
        <is>
          <t>Vacant</t>
        </is>
      </c>
      <c r="F103" s="843" t="inlineStr">
        <is>
          <t>Head of Architecture</t>
        </is>
      </c>
      <c r="G103" s="844" t="inlineStr">
        <is>
          <t>Strategy, Architecture &amp; Data</t>
        </is>
      </c>
      <c r="H103" s="843" t="inlineStr">
        <is>
          <t>Architecture</t>
        </is>
      </c>
      <c r="I103" s="843" t="inlineStr">
        <is>
          <t>Architecture</t>
        </is>
      </c>
      <c r="J103" s="843" t="n"/>
      <c r="K103" s="843" t="n"/>
      <c r="L103" s="843" t="n"/>
      <c r="M103" s="843" t="n"/>
      <c r="N103" s="845" t="inlineStr">
        <is>
          <t>NZ</t>
        </is>
      </c>
      <c r="O103" s="846" t="inlineStr">
        <is>
          <t>CSB</t>
        </is>
      </c>
      <c r="P103" s="847" t="n">
        <v>1</v>
      </c>
      <c r="Q103" s="846" t="n"/>
      <c r="R103" s="847" t="inlineStr">
        <is>
          <t>Permanent - Full Time</t>
        </is>
      </c>
      <c r="S103" s="847" t="n"/>
      <c r="T103" s="847" t="n"/>
      <c r="U103" s="848" t="n">
        <v>211940</v>
      </c>
      <c r="V103" s="849" t="n">
        <v>194984.8</v>
      </c>
      <c r="W103" s="850" t="n">
        <v>0.15</v>
      </c>
      <c r="X103" s="847" t="n"/>
      <c r="Y103" s="850" t="n">
        <v>0.05</v>
      </c>
      <c r="Z103" s="851" t="n">
        <v>2910</v>
      </c>
      <c r="AA103" s="850" t="n">
        <v>0.03</v>
      </c>
      <c r="AB103" s="852" t="n">
        <v>242741.304</v>
      </c>
      <c r="AE103" s="534">
        <f>IF(TRIM($B103)="","",IF(AND(N($P103)&gt;0,N($P103)&lt;1),N($AB103)*N($P103),N($AB103)))</f>
        <v>242741.304</v>
      </c>
      <c r="AF103" s="534" t="str">
        <f>IF(TRIM($B103)="","",IF(OR(ISNUMBER(SEARCH("vacant",$B103)),ISNUMBER(SEARCH("ring fenced",$B103)),LOWER(TRIM($B103))="remove"),"Vacant","Filled"))</f>
        <v>Filled</v>
      </c>
      <c r="AG103" s="534" t="b">
        <f>IF(TRIM($B103)="","",--ISNUMBER(SEARCH("ring fenced",$B103)))</f>
        <v>0</v>
      </c>
      <c r="AH103" s="534" t="str">
        <f>IF(TRIM($B103)="","",IF(COUNTIFS(Lists!$AN$2:$AN$22,TRIM($B103)&amp;" | "&amp;TRIM($D103),Lists!$AO$2:$AO$22,"&lt;&gt;"),INDEX(Lists!$AO$2:$AO$22,MATCH(TRIM($B103)&amp;" | "&amp;TRIM($D103),Lists!$AN$2:$AN$22,0)),IF(COUNTIF(Lists!$AR$2:$AR$3,$AJ103),"TDD Cyber",IF(AND(LEFT($AJ103,4)="EGI ",ISNUMBER(MATCH(TRIM(MID($AJ103,5,99)),Lists!$AS$2:$AS$12,0))),TRIM(MID($AJ103,5,99)),IF(AND(LEFT($AJ103,4)="EGI ",ISNUMBER(MATCH(TRIM(MID($AJ103,5,99)),Lists!$T$2:$T$21,0))),INDEX(Lists!$U$2:$U$21,MATCH(TRIM(MID($AJ103,5,99)),Lists!$T$2:$T$21,0)),IF(OR(TRIM($J103)="",UPPER(TRIM($J103))="NA"),IFERROR(INDEX(Lists!$R$2:$R$9,MATCH(TRIM($G103),Lists!$Q$2:$Q$9,0)),"UNMAPPED"),IFERROR(INDEX(Lists!$U$2:$U$21,MATCH(TRIM($J103),Lists!$T$2:$T$21,0)),IFERROR(INDEX(Lists!$R$2:$R$9,MATCH(TRIM($G103),Lists!$Q$2:$Q$9,0)),"UNMAPPED"))))))))</f>
        <v>COE SA&amp;D</v>
      </c>
      <c r="AI103" s="534" t="b">
        <f>IF(TRIM($B103)="","",--OR(TRIM($L103)="Leadership",TRIM($K103)="Leadership"))</f>
        <v>0</v>
      </c>
      <c r="AJ103" s="534" t="str">
        <f>IF(TRIM($B103)="","",IF(COUNTIFS(Lists!$AN$2:$AN$22,TRIM($B103)&amp;" | "&amp;TRIM($D103),Lists!$AP$2:$AP$22,"&lt;&gt;"),INDEX(Lists!$AP$2:$AP$22,MATCH(TRIM($B103)&amp;" | "&amp;TRIM($D103),Lists!$AN$2:$AN$22,0)),IF($AI103=1,"Leadership",IFERROR(INDEX(Lists!$X$2:$X$21,MATCH(TRIM($L103),Lists!$W$2:$W$21,0)),IF(OR(TRIM($L103)="",LOWER(TRIM($L103))="na"),IF(TRIM($H103)="","Unassigned",TRIM($H103)),TRIM($L103))))))</f>
        <v>Architecture</v>
      </c>
      <c r="AK103" s="534" t="str">
        <f>IF(TRIM($B103)="","",IF(COUNTIFS(Lists!$AN$2:$AN$22,TRIM($B103)&amp;" | "&amp;TRIM($D103),Lists!$AQ$2:$AQ$22,"&lt;&gt;"),INDEX(Lists!$AQ$2:$AQ$22,MATCH(TRIM($B103)&amp;" | "&amp;TRIM($D103),Lists!$AN$2:$AN$22,0)),IF(COUNTIF(Lists!$AF$2:$AF$8,$AJ103),$AJ103,IF(ISNUMBER(SEARCH("head of ",$D103)),"Head of Technology",IF(ISNUMBER(SEARCH("TDD BP",$D103)),"Business Partner",IF(OR(ISNUMBER(SEARCH("domain architect",$D103)),ISNUMBER(SEARCH("enterprise architect",$D103))),"Domain Architect",IF(ISNUMBER(SEARCH("delivery man",$D103)),"Delivery Manager",IF(OR(ISNUMBER(SEARCH("technology manager",$D103)),ISNUMBER(SEARCH("technology manger",$D103)),ISNUMBER(SEARCH("tech manager",$D103))),"Technology Manager","Squad"))))))))</f>
        <v>Domain Architect</v>
      </c>
      <c r="AL103" s="534" t="str">
        <f>IF(TRIM($B103)="","",IF(AND($AM103=1,LEFT($AJ103,4)&lt;&gt;"EGI ",$AJ103&lt;&gt;"EGI"),IFERROR(INDEX(Lists!$Z$2:$Z$20,MATCH($AH103,Lists!$Y$2:$Y$20,0)),"EGI "&amp;$AH103),IF(COUNTIF(Lists!$AU$2:$AU$10,$AJ103),$AJ103,IF(OR(LEFT($AH103,3)="COE",$AH103="EGI"),$AJ103,IF($AK103&lt;&gt;"Squad",$AK103,$AJ103)))))</f>
        <v>Architecture</v>
      </c>
      <c r="AM103" s="534" t="b">
        <f>IF(TRIM($B103)="","",--(UPPER(TRIM($K103))="EGI"))</f>
        <v>0</v>
      </c>
      <c r="AQ103" s="841" t="inlineStr">
        <is>
          <t>R0102</t>
        </is>
      </c>
      <c r="AZ103" s="841" t="n"/>
    </row>
    <row r="104" ht="18" customHeight="1" s="535">
      <c r="A104" s="842" t="n">
        <v>113559</v>
      </c>
      <c r="B104" s="843" t="inlineStr">
        <is>
          <t>John Forde</t>
        </is>
      </c>
      <c r="C104" s="842" t="n">
        <v>113559</v>
      </c>
      <c r="D104" s="843" t="inlineStr">
        <is>
          <t>Enterprise Architect</t>
        </is>
      </c>
      <c r="E104" s="843" t="inlineStr">
        <is>
          <t>Vacant</t>
        </is>
      </c>
      <c r="F104" s="843" t="inlineStr">
        <is>
          <t>Head of Architecture</t>
        </is>
      </c>
      <c r="G104" s="844" t="inlineStr">
        <is>
          <t>Strategy, Architecture &amp; Data</t>
        </is>
      </c>
      <c r="H104" s="843" t="inlineStr">
        <is>
          <t>Architecture</t>
        </is>
      </c>
      <c r="I104" s="843" t="inlineStr">
        <is>
          <t>Architecture</t>
        </is>
      </c>
      <c r="J104" s="843" t="n"/>
      <c r="K104" s="843" t="n"/>
      <c r="L104" s="843" t="n"/>
      <c r="M104" s="843" t="n"/>
      <c r="N104" s="845" t="inlineStr">
        <is>
          <t>NZ</t>
        </is>
      </c>
      <c r="O104" s="846" t="inlineStr">
        <is>
          <t>CSB</t>
        </is>
      </c>
      <c r="P104" s="847" t="n">
        <v>1</v>
      </c>
      <c r="Q104" s="847" t="n"/>
      <c r="R104" s="847" t="inlineStr">
        <is>
          <t>Permanent - Full Time</t>
        </is>
      </c>
      <c r="S104" s="847" t="n"/>
      <c r="T104" s="847" t="n"/>
      <c r="U104" s="848" t="n">
        <v>186780</v>
      </c>
      <c r="V104" s="849" t="n">
        <v>171837.6</v>
      </c>
      <c r="W104" s="850" t="n">
        <v>0.15</v>
      </c>
      <c r="X104" s="847" t="n"/>
      <c r="Y104" s="850" t="n">
        <v>0.05</v>
      </c>
      <c r="Z104" s="851" t="n">
        <v>2910</v>
      </c>
      <c r="AA104" s="850" t="n">
        <v>0.03</v>
      </c>
      <c r="AB104" s="852" t="n">
        <v>214270.248</v>
      </c>
      <c r="AE104" s="534">
        <f>IF(TRIM($B104)="","",IF(AND(N($P104)&gt;0,N($P104)&lt;1),N($AB104)*N($P104),N($AB104)))</f>
        <v>214270.248</v>
      </c>
      <c r="AF104" s="534" t="str">
        <f>IF(TRIM($B104)="","",IF(OR(ISNUMBER(SEARCH("vacant",$B104)),ISNUMBER(SEARCH("ring fenced",$B104)),LOWER(TRIM($B104))="remove"),"Vacant","Filled"))</f>
        <v>Filled</v>
      </c>
      <c r="AG104" s="534" t="b">
        <f>IF(TRIM($B104)="","",--ISNUMBER(SEARCH("ring fenced",$B104)))</f>
        <v>0</v>
      </c>
      <c r="AH104" s="534" t="str">
        <f>IF(TRIM($B104)="","",IF(COUNTIFS(Lists!$AN$2:$AN$22,TRIM($B104)&amp;" | "&amp;TRIM($D104),Lists!$AO$2:$AO$22,"&lt;&gt;"),INDEX(Lists!$AO$2:$AO$22,MATCH(TRIM($B104)&amp;" | "&amp;TRIM($D104),Lists!$AN$2:$AN$22,0)),IF(COUNTIF(Lists!$AR$2:$AR$3,$AJ104),"TDD Cyber",IF(AND(LEFT($AJ104,4)="EGI ",ISNUMBER(MATCH(TRIM(MID($AJ104,5,99)),Lists!$AS$2:$AS$12,0))),TRIM(MID($AJ104,5,99)),IF(AND(LEFT($AJ104,4)="EGI ",ISNUMBER(MATCH(TRIM(MID($AJ104,5,99)),Lists!$T$2:$T$21,0))),INDEX(Lists!$U$2:$U$21,MATCH(TRIM(MID($AJ104,5,99)),Lists!$T$2:$T$21,0)),IF(OR(TRIM($J104)="",UPPER(TRIM($J104))="NA"),IFERROR(INDEX(Lists!$R$2:$R$9,MATCH(TRIM($G104),Lists!$Q$2:$Q$9,0)),"UNMAPPED"),IFERROR(INDEX(Lists!$U$2:$U$21,MATCH(TRIM($J104),Lists!$T$2:$T$21,0)),IFERROR(INDEX(Lists!$R$2:$R$9,MATCH(TRIM($G104),Lists!$Q$2:$Q$9,0)),"UNMAPPED"))))))))</f>
        <v>COE SA&amp;D</v>
      </c>
      <c r="AI104" s="534" t="b">
        <f>IF(TRIM($B104)="","",--OR(TRIM($L104)="Leadership",TRIM($K104)="Leadership"))</f>
        <v>0</v>
      </c>
      <c r="AJ104" s="534" t="str">
        <f>IF(TRIM($B104)="","",IF(COUNTIFS(Lists!$AN$2:$AN$22,TRIM($B104)&amp;" | "&amp;TRIM($D104),Lists!$AP$2:$AP$22,"&lt;&gt;"),INDEX(Lists!$AP$2:$AP$22,MATCH(TRIM($B104)&amp;" | "&amp;TRIM($D104),Lists!$AN$2:$AN$22,0)),IF($AI104=1,"Leadership",IFERROR(INDEX(Lists!$X$2:$X$21,MATCH(TRIM($L104),Lists!$W$2:$W$21,0)),IF(OR(TRIM($L104)="",LOWER(TRIM($L104))="na"),IF(TRIM($H104)="","Unassigned",TRIM($H104)),TRIM($L104))))))</f>
        <v>Architecture</v>
      </c>
      <c r="AK104" s="534" t="str">
        <f>IF(TRIM($B104)="","",IF(COUNTIFS(Lists!$AN$2:$AN$22,TRIM($B104)&amp;" | "&amp;TRIM($D104),Lists!$AQ$2:$AQ$22,"&lt;&gt;"),INDEX(Lists!$AQ$2:$AQ$22,MATCH(TRIM($B104)&amp;" | "&amp;TRIM($D104),Lists!$AN$2:$AN$22,0)),IF(COUNTIF(Lists!$AF$2:$AF$8,$AJ104),$AJ104,IF(ISNUMBER(SEARCH("head of ",$D104)),"Head of Technology",IF(ISNUMBER(SEARCH("TDD BP",$D104)),"Business Partner",IF(OR(ISNUMBER(SEARCH("domain architect",$D104)),ISNUMBER(SEARCH("enterprise architect",$D104))),"Domain Architect",IF(ISNUMBER(SEARCH("delivery man",$D104)),"Delivery Manager",IF(OR(ISNUMBER(SEARCH("technology manager",$D104)),ISNUMBER(SEARCH("technology manger",$D104)),ISNUMBER(SEARCH("tech manager",$D104))),"Technology Manager","Squad"))))))))</f>
        <v>Domain Architect</v>
      </c>
      <c r="AL104" s="534" t="str">
        <f>IF(TRIM($B104)="","",IF(AND($AM104=1,LEFT($AJ104,4)&lt;&gt;"EGI ",$AJ104&lt;&gt;"EGI"),IFERROR(INDEX(Lists!$Z$2:$Z$20,MATCH($AH104,Lists!$Y$2:$Y$20,0)),"EGI "&amp;$AH104),IF(COUNTIF(Lists!$AU$2:$AU$10,$AJ104),$AJ104,IF(OR(LEFT($AH104,3)="COE",$AH104="EGI"),$AJ104,IF($AK104&lt;&gt;"Squad",$AK104,$AJ104)))))</f>
        <v>Architecture</v>
      </c>
      <c r="AM104" s="534" t="b">
        <f>IF(TRIM($B104)="","",--(UPPER(TRIM($K104))="EGI"))</f>
        <v>0</v>
      </c>
      <c r="AQ104" s="841" t="inlineStr">
        <is>
          <t>R0103</t>
        </is>
      </c>
      <c r="AZ104" s="841" t="n"/>
    </row>
    <row r="105" ht="18" customHeight="1" s="535">
      <c r="A105" s="842" t="n">
        <v>113595</v>
      </c>
      <c r="B105" s="843" t="inlineStr">
        <is>
          <t>Mike Gilbert</t>
        </is>
      </c>
      <c r="C105" s="842" t="n">
        <v>113595</v>
      </c>
      <c r="D105" s="843" t="inlineStr">
        <is>
          <t xml:space="preserve">Domain Architect - CFE &amp; Infrastructure </t>
        </is>
      </c>
      <c r="E105" s="843" t="inlineStr">
        <is>
          <t>Vacant</t>
        </is>
      </c>
      <c r="F105" s="843" t="inlineStr">
        <is>
          <t>Head of Architecture</t>
        </is>
      </c>
      <c r="G105" s="844" t="inlineStr">
        <is>
          <t>Strategy, Architecture &amp; Data</t>
        </is>
      </c>
      <c r="H105" s="843" t="inlineStr">
        <is>
          <t>Architecture</t>
        </is>
      </c>
      <c r="I105" s="843" t="inlineStr">
        <is>
          <t>Architecture</t>
        </is>
      </c>
      <c r="J105" s="843" t="n"/>
      <c r="K105" s="843" t="n"/>
      <c r="L105" s="843" t="n"/>
      <c r="M105" s="843" t="n"/>
      <c r="N105" s="845" t="inlineStr">
        <is>
          <t>NZ</t>
        </is>
      </c>
      <c r="O105" s="846" t="inlineStr">
        <is>
          <t>CSB</t>
        </is>
      </c>
      <c r="P105" s="847" t="n">
        <v>1</v>
      </c>
      <c r="Q105" s="847" t="n"/>
      <c r="R105" s="847" t="inlineStr">
        <is>
          <t>Permanent - Full Time</t>
        </is>
      </c>
      <c r="S105" s="847" t="n"/>
      <c r="T105" s="847" t="n"/>
      <c r="U105" s="848" t="n">
        <v>206740</v>
      </c>
      <c r="V105" s="849" t="n">
        <v>190200.8</v>
      </c>
      <c r="W105" s="850" t="n">
        <v>0.15</v>
      </c>
      <c r="X105" s="847" t="n"/>
      <c r="Y105" s="850" t="n">
        <v>0.05</v>
      </c>
      <c r="Z105" s="851" t="n">
        <v>2910</v>
      </c>
      <c r="AA105" s="850" t="n">
        <v>0.03</v>
      </c>
      <c r="AB105" s="852" t="n">
        <v>236856.984</v>
      </c>
      <c r="AE105" s="534">
        <f>IF(TRIM($B105)="","",IF(AND(N($P105)&gt;0,N($P105)&lt;1),N($AB105)*N($P105),N($AB105)))</f>
        <v>236856.984</v>
      </c>
      <c r="AF105" s="534" t="str">
        <f>IF(TRIM($B105)="","",IF(OR(ISNUMBER(SEARCH("vacant",$B105)),ISNUMBER(SEARCH("ring fenced",$B105)),LOWER(TRIM($B105))="remove"),"Vacant","Filled"))</f>
        <v>Filled</v>
      </c>
      <c r="AG105" s="534" t="b">
        <f>IF(TRIM($B105)="","",--ISNUMBER(SEARCH("ring fenced",$B105)))</f>
        <v>0</v>
      </c>
      <c r="AH105" s="534" t="str">
        <f>IF(TRIM($B105)="","",IF(COUNTIFS(Lists!$AN$2:$AN$22,TRIM($B105)&amp;" | "&amp;TRIM($D105),Lists!$AO$2:$AO$22,"&lt;&gt;"),INDEX(Lists!$AO$2:$AO$22,MATCH(TRIM($B105)&amp;" | "&amp;TRIM($D105),Lists!$AN$2:$AN$22,0)),IF(COUNTIF(Lists!$AR$2:$AR$3,$AJ105),"TDD Cyber",IF(AND(LEFT($AJ105,4)="EGI ",ISNUMBER(MATCH(TRIM(MID($AJ105,5,99)),Lists!$AS$2:$AS$12,0))),TRIM(MID($AJ105,5,99)),IF(AND(LEFT($AJ105,4)="EGI ",ISNUMBER(MATCH(TRIM(MID($AJ105,5,99)),Lists!$T$2:$T$21,0))),INDEX(Lists!$U$2:$U$21,MATCH(TRIM(MID($AJ105,5,99)),Lists!$T$2:$T$21,0)),IF(OR(TRIM($J105)="",UPPER(TRIM($J105))="NA"),IFERROR(INDEX(Lists!$R$2:$R$9,MATCH(TRIM($G105),Lists!$Q$2:$Q$9,0)),"UNMAPPED"),IFERROR(INDEX(Lists!$U$2:$U$21,MATCH(TRIM($J105),Lists!$T$2:$T$21,0)),IFERROR(INDEX(Lists!$R$2:$R$9,MATCH(TRIM($G105),Lists!$Q$2:$Q$9,0)),"UNMAPPED"))))))))</f>
        <v>COE SA&amp;D</v>
      </c>
      <c r="AI105" s="534" t="b">
        <f>IF(TRIM($B105)="","",--OR(TRIM($L105)="Leadership",TRIM($K105)="Leadership"))</f>
        <v>0</v>
      </c>
      <c r="AJ105" s="534" t="str">
        <f>IF(TRIM($B105)="","",IF(COUNTIFS(Lists!$AN$2:$AN$22,TRIM($B105)&amp;" | "&amp;TRIM($D105),Lists!$AP$2:$AP$22,"&lt;&gt;"),INDEX(Lists!$AP$2:$AP$22,MATCH(TRIM($B105)&amp;" | "&amp;TRIM($D105),Lists!$AN$2:$AN$22,0)),IF($AI105=1,"Leadership",IFERROR(INDEX(Lists!$X$2:$X$21,MATCH(TRIM($L105),Lists!$W$2:$W$21,0)),IF(OR(TRIM($L105)="",LOWER(TRIM($L105))="na"),IF(TRIM($H105)="","Unassigned",TRIM($H105)),TRIM($L105))))))</f>
        <v>Architecture</v>
      </c>
      <c r="AK105" s="534" t="str">
        <f>IF(TRIM($B105)="","",IF(COUNTIFS(Lists!$AN$2:$AN$22,TRIM($B105)&amp;" | "&amp;TRIM($D105),Lists!$AQ$2:$AQ$22,"&lt;&gt;"),INDEX(Lists!$AQ$2:$AQ$22,MATCH(TRIM($B105)&amp;" | "&amp;TRIM($D105),Lists!$AN$2:$AN$22,0)),IF(COUNTIF(Lists!$AF$2:$AF$8,$AJ105),$AJ105,IF(ISNUMBER(SEARCH("head of ",$D105)),"Head of Technology",IF(ISNUMBER(SEARCH("TDD BP",$D105)),"Business Partner",IF(OR(ISNUMBER(SEARCH("domain architect",$D105)),ISNUMBER(SEARCH("enterprise architect",$D105))),"Domain Architect",IF(ISNUMBER(SEARCH("delivery man",$D105)),"Delivery Manager",IF(OR(ISNUMBER(SEARCH("technology manager",$D105)),ISNUMBER(SEARCH("technology manger",$D105)),ISNUMBER(SEARCH("tech manager",$D105))),"Technology Manager","Squad"))))))))</f>
        <v>Domain Architect</v>
      </c>
      <c r="AL105" s="534" t="str">
        <f>IF(TRIM($B105)="","",IF(AND($AM105=1,LEFT($AJ105,4)&lt;&gt;"EGI ",$AJ105&lt;&gt;"EGI"),IFERROR(INDEX(Lists!$Z$2:$Z$20,MATCH($AH105,Lists!$Y$2:$Y$20,0)),"EGI "&amp;$AH105),IF(COUNTIF(Lists!$AU$2:$AU$10,$AJ105),$AJ105,IF(OR(LEFT($AH105,3)="COE",$AH105="EGI"),$AJ105,IF($AK105&lt;&gt;"Squad",$AK105,$AJ105)))))</f>
        <v>Architecture</v>
      </c>
      <c r="AM105" s="534" t="b">
        <f>IF(TRIM($B105)="","",--(UPPER(TRIM($K105))="EGI"))</f>
        <v>0</v>
      </c>
      <c r="AQ105" s="841" t="inlineStr">
        <is>
          <t>R0104</t>
        </is>
      </c>
      <c r="AZ105" s="841" t="n"/>
    </row>
    <row r="106" ht="18" customHeight="1" s="535">
      <c r="A106" s="842" t="n">
        <v>113017</v>
      </c>
      <c r="B106" s="843" t="inlineStr">
        <is>
          <t>Murray Mitchell</t>
        </is>
      </c>
      <c r="C106" s="842" t="n">
        <v>113017</v>
      </c>
      <c r="D106" s="843" t="inlineStr">
        <is>
          <t>Technology Manager, Enterprise Tooling</t>
        </is>
      </c>
      <c r="E106" s="843" t="inlineStr">
        <is>
          <t>Vacant</t>
        </is>
      </c>
      <c r="F106" s="843" t="inlineStr">
        <is>
          <t>Head of Technology - TDD &amp; Engineering Capability Lead</t>
        </is>
      </c>
      <c r="G106" s="844" t="inlineStr">
        <is>
          <t>TDD Group Functions</t>
        </is>
      </c>
      <c r="H106" s="843" t="inlineStr">
        <is>
          <t xml:space="preserve">TDD &amp; Engineering </t>
        </is>
      </c>
      <c r="I106" s="843" t="n"/>
      <c r="J106" s="843" t="inlineStr">
        <is>
          <t>TDD</t>
        </is>
      </c>
      <c r="K106" s="843" t="inlineStr">
        <is>
          <t>TDD</t>
        </is>
      </c>
      <c r="L106" s="843" t="inlineStr">
        <is>
          <t>Leadership</t>
        </is>
      </c>
      <c r="M106" s="843" t="n"/>
      <c r="N106" s="845" t="inlineStr">
        <is>
          <t>Australia</t>
        </is>
      </c>
      <c r="O106" s="846" t="inlineStr">
        <is>
          <t>CSB</t>
        </is>
      </c>
      <c r="P106" s="847" t="n">
        <v>1</v>
      </c>
      <c r="Q106" s="846" t="n"/>
      <c r="R106" s="847" t="inlineStr">
        <is>
          <t>Permanent - Full Time</t>
        </is>
      </c>
      <c r="S106" s="847" t="n"/>
      <c r="T106" s="847" t="n"/>
      <c r="U106" s="848" t="n">
        <v>203550</v>
      </c>
      <c r="V106" s="849" t="n">
        <v>203550</v>
      </c>
      <c r="W106" s="850" t="n">
        <v>0.14</v>
      </c>
      <c r="X106" s="847" t="n">
        <v>0.055</v>
      </c>
      <c r="Y106" s="850" t="n">
        <v>0.12</v>
      </c>
      <c r="Z106" s="851" t="n"/>
      <c r="AA106" s="850" t="n">
        <v>0.04</v>
      </c>
      <c r="AB106" s="852" t="n">
        <v>275810.25</v>
      </c>
      <c r="AE106" s="534">
        <f>IF(TRIM($B106)="","",IF(AND(N($P106)&gt;0,N($P106)&lt;1),N($AB106)*N($P106),N($AB106)))</f>
        <v>275810.25</v>
      </c>
      <c r="AF106" s="534" t="str">
        <f>IF(TRIM($B106)="","",IF(OR(ISNUMBER(SEARCH("vacant",$B106)),ISNUMBER(SEARCH("ring fenced",$B106)),LOWER(TRIM($B106))="remove"),"Vacant","Filled"))</f>
        <v>Filled</v>
      </c>
      <c r="AG106" s="534" t="b">
        <f>IF(TRIM($B106)="","",--ISNUMBER(SEARCH("ring fenced",$B106)))</f>
        <v>0</v>
      </c>
      <c r="AH106" s="534" t="str">
        <f>IF(TRIM($B106)="","",IF(COUNTIFS(Lists!$AN$2:$AN$22,TRIM($B106)&amp;" | "&amp;TRIM($D106),Lists!$AO$2:$AO$22,"&lt;&gt;"),INDEX(Lists!$AO$2:$AO$22,MATCH(TRIM($B106)&amp;" | "&amp;TRIM($D106),Lists!$AN$2:$AN$22,0)),IF(COUNTIF(Lists!$AR$2:$AR$3,$AJ106),"TDD Cyber",IF(AND(LEFT($AJ106,4)="EGI ",ISNUMBER(MATCH(TRIM(MID($AJ106,5,99)),Lists!$AS$2:$AS$12,0))),TRIM(MID($AJ106,5,99)),IF(AND(LEFT($AJ106,4)="EGI ",ISNUMBER(MATCH(TRIM(MID($AJ106,5,99)),Lists!$T$2:$T$21,0))),INDEX(Lists!$U$2:$U$21,MATCH(TRIM(MID($AJ106,5,99)),Lists!$T$2:$T$21,0)),IF(OR(TRIM($J106)="",UPPER(TRIM($J106))="NA"),IFERROR(INDEX(Lists!$R$2:$R$9,MATCH(TRIM($G106),Lists!$Q$2:$Q$9,0)),"UNMAPPED"),IFERROR(INDEX(Lists!$U$2:$U$21,MATCH(TRIM($J106),Lists!$T$2:$T$21,0)),IFERROR(INDEX(Lists!$R$2:$R$9,MATCH(TRIM($G106),Lists!$Q$2:$Q$9,0)),"UNMAPPED"))))))))</f>
        <v>TDD Group Functions</v>
      </c>
      <c r="AI106" s="534" t="b">
        <f>IF(TRIM($B106)="","",--OR(TRIM($L106)="Leadership",TRIM($K106)="Leadership"))</f>
        <v>1</v>
      </c>
      <c r="AJ106" s="534" t="str">
        <f>IF(TRIM($B106)="","",IF(COUNTIFS(Lists!$AN$2:$AN$22,TRIM($B106)&amp;" | "&amp;TRIM($D106),Lists!$AP$2:$AP$22,"&lt;&gt;"),INDEX(Lists!$AP$2:$AP$22,MATCH(TRIM($B106)&amp;" | "&amp;TRIM($D106),Lists!$AN$2:$AN$22,0)),IF($AI106=1,"Leadership",IFERROR(INDEX(Lists!$X$2:$X$21,MATCH(TRIM($L106),Lists!$W$2:$W$21,0)),IF(OR(TRIM($L106)="",LOWER(TRIM($L106))="na"),IF(TRIM($H106)="","Unassigned",TRIM($H106)),TRIM($L106))))))</f>
        <v>Leadership</v>
      </c>
      <c r="AK106" s="534" t="str">
        <f>IF(TRIM($B106)="","",IF(COUNTIFS(Lists!$AN$2:$AN$22,TRIM($B106)&amp;" | "&amp;TRIM($D106),Lists!$AQ$2:$AQ$22,"&lt;&gt;"),INDEX(Lists!$AQ$2:$AQ$22,MATCH(TRIM($B106)&amp;" | "&amp;TRIM($D106),Lists!$AN$2:$AN$22,0)),IF(COUNTIF(Lists!$AF$2:$AF$8,$AJ106),$AJ106,IF(ISNUMBER(SEARCH("head of ",$D106)),"Head of Technology",IF(ISNUMBER(SEARCH("TDD BP",$D106)),"Business Partner",IF(OR(ISNUMBER(SEARCH("domain architect",$D106)),ISNUMBER(SEARCH("enterprise architect",$D106))),"Domain Architect",IF(ISNUMBER(SEARCH("delivery man",$D106)),"Delivery Manager",IF(OR(ISNUMBER(SEARCH("technology manager",$D106)),ISNUMBER(SEARCH("technology manger",$D106)),ISNUMBER(SEARCH("tech manager",$D106))),"Technology Manager","Squad"))))))))</f>
        <v>Technology Manager</v>
      </c>
      <c r="AL106" s="534" t="str">
        <f>IF(TRIM($B106)="","",IF(AND($AM106=1,LEFT($AJ106,4)&lt;&gt;"EGI ",$AJ106&lt;&gt;"EGI"),IFERROR(INDEX(Lists!$Z$2:$Z$20,MATCH($AH106,Lists!$Y$2:$Y$20,0)),"EGI "&amp;$AH106),IF(COUNTIF(Lists!$AU$2:$AU$10,$AJ106),$AJ106,IF(OR(LEFT($AH106,3)="COE",$AH106="EGI"),$AJ106,IF($AK106&lt;&gt;"Squad",$AK106,$AJ106)))))</f>
        <v>Technology Manager</v>
      </c>
      <c r="AM106" s="534" t="b">
        <f>IF(TRIM($B106)="","",--(UPPER(TRIM($K106))="EGI"))</f>
        <v>0</v>
      </c>
      <c r="AQ106" s="841" t="inlineStr">
        <is>
          <t>R0105</t>
        </is>
      </c>
      <c r="AZ106" s="841" t="n"/>
    </row>
    <row r="107" ht="18" customHeight="1" s="535">
      <c r="A107" s="842" t="n">
        <v>115509</v>
      </c>
      <c r="B107" s="843" t="inlineStr">
        <is>
          <t>Scott McKenzie</t>
        </is>
      </c>
      <c r="C107" s="842" t="n">
        <v>115509</v>
      </c>
      <c r="D107" s="843" t="inlineStr">
        <is>
          <t>Technology Manager – DevOps and Quality Engineering</t>
        </is>
      </c>
      <c r="E107" s="843" t="inlineStr">
        <is>
          <t>Vacant</t>
        </is>
      </c>
      <c r="F107" s="843" t="inlineStr">
        <is>
          <t>Head of Technology- TDD &amp; Engineering Capability</t>
        </is>
      </c>
      <c r="G107" s="844" t="inlineStr">
        <is>
          <t>TDD Group Functions</t>
        </is>
      </c>
      <c r="H107" s="843" t="inlineStr">
        <is>
          <t>TDD &amp; Engineering</t>
        </is>
      </c>
      <c r="I107" s="843" t="n"/>
      <c r="J107" s="843" t="inlineStr">
        <is>
          <t>TDD</t>
        </is>
      </c>
      <c r="K107" s="843" t="inlineStr">
        <is>
          <t>TDD</t>
        </is>
      </c>
      <c r="L107" s="843" t="inlineStr">
        <is>
          <t>Leadership</t>
        </is>
      </c>
      <c r="M107" s="843" t="n"/>
      <c r="N107" s="845" t="inlineStr">
        <is>
          <t>NZ</t>
        </is>
      </c>
      <c r="O107" s="846" t="inlineStr">
        <is>
          <t>CSB</t>
        </is>
      </c>
      <c r="P107" s="847" t="n">
        <v>1</v>
      </c>
      <c r="Q107" s="846" t="n"/>
      <c r="R107" s="847" t="inlineStr">
        <is>
          <t>Permanent - Full Time</t>
        </is>
      </c>
      <c r="S107" s="847" t="n"/>
      <c r="T107" s="847" t="n"/>
      <c r="U107" s="848" t="n">
        <v>193150</v>
      </c>
      <c r="V107" s="849" t="n">
        <v>177698</v>
      </c>
      <c r="W107" s="850" t="n">
        <v>0.15</v>
      </c>
      <c r="X107" s="847" t="n"/>
      <c r="Y107" s="850" t="n">
        <v>0.05</v>
      </c>
      <c r="Z107" s="851" t="n">
        <v>2910</v>
      </c>
      <c r="AA107" s="850" t="n">
        <v>0.03</v>
      </c>
      <c r="AB107" s="852" t="n">
        <v>221478.54</v>
      </c>
      <c r="AE107" s="534">
        <f>IF(TRIM($B107)="","",IF(AND(N($P107)&gt;0,N($P107)&lt;1),N($AB107)*N($P107),N($AB107)))</f>
        <v>221478.54</v>
      </c>
      <c r="AF107" s="534" t="str">
        <f>IF(TRIM($B107)="","",IF(OR(ISNUMBER(SEARCH("vacant",$B107)),ISNUMBER(SEARCH("ring fenced",$B107)),LOWER(TRIM($B107))="remove"),"Vacant","Filled"))</f>
        <v>Filled</v>
      </c>
      <c r="AG107" s="534" t="b">
        <f>IF(TRIM($B107)="","",--ISNUMBER(SEARCH("ring fenced",$B107)))</f>
        <v>0</v>
      </c>
      <c r="AH107" s="534" t="str">
        <f>IF(TRIM($B107)="","",IF(COUNTIFS(Lists!$AN$2:$AN$22,TRIM($B107)&amp;" | "&amp;TRIM($D107),Lists!$AO$2:$AO$22,"&lt;&gt;"),INDEX(Lists!$AO$2:$AO$22,MATCH(TRIM($B107)&amp;" | "&amp;TRIM($D107),Lists!$AN$2:$AN$22,0)),IF(COUNTIF(Lists!$AR$2:$AR$3,$AJ107),"TDD Cyber",IF(AND(LEFT($AJ107,4)="EGI ",ISNUMBER(MATCH(TRIM(MID($AJ107,5,99)),Lists!$AS$2:$AS$12,0))),TRIM(MID($AJ107,5,99)),IF(AND(LEFT($AJ107,4)="EGI ",ISNUMBER(MATCH(TRIM(MID($AJ107,5,99)),Lists!$T$2:$T$21,0))),INDEX(Lists!$U$2:$U$21,MATCH(TRIM(MID($AJ107,5,99)),Lists!$T$2:$T$21,0)),IF(OR(TRIM($J107)="",UPPER(TRIM($J107))="NA"),IFERROR(INDEX(Lists!$R$2:$R$9,MATCH(TRIM($G107),Lists!$Q$2:$Q$9,0)),"UNMAPPED"),IFERROR(INDEX(Lists!$U$2:$U$21,MATCH(TRIM($J107),Lists!$T$2:$T$21,0)),IFERROR(INDEX(Lists!$R$2:$R$9,MATCH(TRIM($G107),Lists!$Q$2:$Q$9,0)),"UNMAPPED"))))))))</f>
        <v>TDD Group Functions</v>
      </c>
      <c r="AI107" s="534" t="b">
        <f>IF(TRIM($B107)="","",--OR(TRIM($L107)="Leadership",TRIM($K107)="Leadership"))</f>
        <v>1</v>
      </c>
      <c r="AJ107" s="534" t="str">
        <f>IF(TRIM($B107)="","",IF(COUNTIFS(Lists!$AN$2:$AN$22,TRIM($B107)&amp;" | "&amp;TRIM($D107),Lists!$AP$2:$AP$22,"&lt;&gt;"),INDEX(Lists!$AP$2:$AP$22,MATCH(TRIM($B107)&amp;" | "&amp;TRIM($D107),Lists!$AN$2:$AN$22,0)),IF($AI107=1,"Leadership",IFERROR(INDEX(Lists!$X$2:$X$21,MATCH(TRIM($L107),Lists!$W$2:$W$21,0)),IF(OR(TRIM($L107)="",LOWER(TRIM($L107))="na"),IF(TRIM($H107)="","Unassigned",TRIM($H107)),TRIM($L107))))))</f>
        <v>Leadership</v>
      </c>
      <c r="AK107" s="534" t="str">
        <f>IF(TRIM($B107)="","",IF(COUNTIFS(Lists!$AN$2:$AN$22,TRIM($B107)&amp;" | "&amp;TRIM($D107),Lists!$AQ$2:$AQ$22,"&lt;&gt;"),INDEX(Lists!$AQ$2:$AQ$22,MATCH(TRIM($B107)&amp;" | "&amp;TRIM($D107),Lists!$AN$2:$AN$22,0)),IF(COUNTIF(Lists!$AF$2:$AF$8,$AJ107),$AJ107,IF(ISNUMBER(SEARCH("head of ",$D107)),"Head of Technology",IF(ISNUMBER(SEARCH("TDD BP",$D107)),"Business Partner",IF(OR(ISNUMBER(SEARCH("domain architect",$D107)),ISNUMBER(SEARCH("enterprise architect",$D107))),"Domain Architect",IF(ISNUMBER(SEARCH("delivery man",$D107)),"Delivery Manager",IF(OR(ISNUMBER(SEARCH("technology manager",$D107)),ISNUMBER(SEARCH("technology manger",$D107)),ISNUMBER(SEARCH("tech manager",$D107))),"Technology Manager","Squad"))))))))</f>
        <v>Technology Manager</v>
      </c>
      <c r="AL107" s="534" t="str">
        <f>IF(TRIM($B107)="","",IF(AND($AM107=1,LEFT($AJ107,4)&lt;&gt;"EGI ",$AJ107&lt;&gt;"EGI"),IFERROR(INDEX(Lists!$Z$2:$Z$20,MATCH($AH107,Lists!$Y$2:$Y$20,0)),"EGI "&amp;$AH107),IF(COUNTIF(Lists!$AU$2:$AU$10,$AJ107),$AJ107,IF(OR(LEFT($AH107,3)="COE",$AH107="EGI"),$AJ107,IF($AK107&lt;&gt;"Squad",$AK107,$AJ107)))))</f>
        <v>Technology Manager</v>
      </c>
      <c r="AM107" s="534" t="b">
        <f>IF(TRIM($B107)="","",--(UPPER(TRIM($K107))="EGI"))</f>
        <v>0</v>
      </c>
      <c r="AQ107" s="841" t="inlineStr">
        <is>
          <t>R0106</t>
        </is>
      </c>
      <c r="AZ107" s="841" t="n"/>
    </row>
    <row r="108" ht="18" customHeight="1" s="535">
      <c r="A108" s="842" t="n">
        <v>115515</v>
      </c>
      <c r="B108" s="843" t="inlineStr">
        <is>
          <t>Emma Natoli</t>
        </is>
      </c>
      <c r="C108" s="842" t="n">
        <v>115515</v>
      </c>
      <c r="D108" s="843" t="inlineStr">
        <is>
          <t>Technology Manager, Engineering</t>
        </is>
      </c>
      <c r="E108" s="843" t="inlineStr">
        <is>
          <t>Vacant</t>
        </is>
      </c>
      <c r="F108" s="843" t="inlineStr">
        <is>
          <t>Head of Technology, Z and Group Retail Platforms</t>
        </is>
      </c>
      <c r="G108" s="844" t="inlineStr">
        <is>
          <t>Ampol Retail &amp; Z</t>
        </is>
      </c>
      <c r="H108" s="843" t="inlineStr">
        <is>
          <t>Z &amp; Group Retail</t>
        </is>
      </c>
      <c r="I108" s="843" t="inlineStr">
        <is>
          <t>Z &amp; Group Retail, Engineering</t>
        </is>
      </c>
      <c r="J108" s="843" t="inlineStr">
        <is>
          <t>Z</t>
        </is>
      </c>
      <c r="K108" s="843" t="inlineStr">
        <is>
          <t>Leadership</t>
        </is>
      </c>
      <c r="L108" s="843" t="inlineStr">
        <is>
          <t>Leadership</t>
        </is>
      </c>
      <c r="M108" s="843" t="n"/>
      <c r="N108" s="845" t="inlineStr">
        <is>
          <t>NZ</t>
        </is>
      </c>
      <c r="O108" s="846" t="inlineStr">
        <is>
          <t>CSB</t>
        </is>
      </c>
      <c r="P108" s="847" t="n">
        <v>1</v>
      </c>
      <c r="Q108" s="856" t="n"/>
      <c r="R108" s="847" t="inlineStr">
        <is>
          <t>Permanent - Full Time</t>
        </is>
      </c>
      <c r="S108" s="847" t="n"/>
      <c r="T108" s="847" t="n"/>
      <c r="U108" s="848" t="n">
        <v>206410</v>
      </c>
      <c r="V108" s="849" t="n">
        <v>189897.2</v>
      </c>
      <c r="W108" s="850" t="n">
        <v>0.15</v>
      </c>
      <c r="X108" s="847" t="n"/>
      <c r="Y108" s="850" t="n">
        <v>0.05</v>
      </c>
      <c r="Z108" s="851" t="n">
        <v>2910</v>
      </c>
      <c r="AA108" s="850" t="n">
        <v>0.03</v>
      </c>
      <c r="AB108" s="852" t="n">
        <v>236483.556</v>
      </c>
      <c r="AD108" s="857" t="n"/>
      <c r="AE108" s="857">
        <f>IF(TRIM($B108)="","",IF(AND(N($P108)&gt;0,N($P108)&lt;1),N($AB108)*N($P108),N($AB108)))</f>
        <v>236483.556</v>
      </c>
      <c r="AF108" s="857" t="str">
        <f>IF(TRIM($B108)="","",IF(OR(ISNUMBER(SEARCH("vacant",$B108)),ISNUMBER(SEARCH("ring fenced",$B108)),LOWER(TRIM($B108))="remove"),"Vacant","Filled"))</f>
        <v>Filled</v>
      </c>
      <c r="AG108" s="857" t="b">
        <f>IF(TRIM($B108)="","",--ISNUMBER(SEARCH("ring fenced",$B108)))</f>
        <v>0</v>
      </c>
      <c r="AH108" s="534" t="str">
        <f>IF(TRIM($B108)="","",IF(COUNTIFS(Lists!$AN$2:$AN$22,TRIM($B108)&amp;" | "&amp;TRIM($D108),Lists!$AO$2:$AO$22,"&lt;&gt;"),INDEX(Lists!$AO$2:$AO$22,MATCH(TRIM($B108)&amp;" | "&amp;TRIM($D108),Lists!$AN$2:$AN$22,0)),IF(COUNTIF(Lists!$AR$2:$AR$3,$AJ108),"TDD Cyber",IF(AND(LEFT($AJ108,4)="EGI ",ISNUMBER(MATCH(TRIM(MID($AJ108,5,99)),Lists!$AS$2:$AS$12,0))),TRIM(MID($AJ108,5,99)),IF(AND(LEFT($AJ108,4)="EGI ",ISNUMBER(MATCH(TRIM(MID($AJ108,5,99)),Lists!$T$2:$T$21,0))),INDEX(Lists!$U$2:$U$21,MATCH(TRIM(MID($AJ108,5,99)),Lists!$T$2:$T$21,0)),IF(OR(TRIM($J108)="",UPPER(TRIM($J108))="NA"),IFERROR(INDEX(Lists!$R$2:$R$9,MATCH(TRIM($G108),Lists!$Q$2:$Q$9,0)),"UNMAPPED"),IFERROR(INDEX(Lists!$U$2:$U$21,MATCH(TRIM($J108),Lists!$T$2:$T$21,0)),IFERROR(INDEX(Lists!$R$2:$R$9,MATCH(TRIM($G108),Lists!$Q$2:$Q$9,0)),"UNMAPPED"))))))))</f>
        <v>Z Retail</v>
      </c>
      <c r="AI108" s="534" t="b">
        <f>IF(TRIM($B108)="","",--OR(TRIM($L108)="Leadership",TRIM($K108)="Leadership"))</f>
        <v>1</v>
      </c>
      <c r="AJ108" s="534" t="str">
        <f>IF(TRIM($B108)="","",IF(COUNTIFS(Lists!$AN$2:$AN$22,TRIM($B108)&amp;" | "&amp;TRIM($D108),Lists!$AP$2:$AP$22,"&lt;&gt;"),INDEX(Lists!$AP$2:$AP$22,MATCH(TRIM($B108)&amp;" | "&amp;TRIM($D108),Lists!$AN$2:$AN$22,0)),IF($AI108=1,"Leadership",IFERROR(INDEX(Lists!$X$2:$X$21,MATCH(TRIM($L108),Lists!$W$2:$W$21,0)),IF(OR(TRIM($L108)="",LOWER(TRIM($L108))="na"),IF(TRIM($H108)="","Unassigned",TRIM($H108)),TRIM($L108))))))</f>
        <v>Leadership</v>
      </c>
      <c r="AK108" s="534" t="str">
        <f>IF(TRIM($B108)="","",IF(COUNTIFS(Lists!$AN$2:$AN$22,TRIM($B108)&amp;" | "&amp;TRIM($D108),Lists!$AQ$2:$AQ$22,"&lt;&gt;"),INDEX(Lists!$AQ$2:$AQ$22,MATCH(TRIM($B108)&amp;" | "&amp;TRIM($D108),Lists!$AN$2:$AN$22,0)),IF(COUNTIF(Lists!$AF$2:$AF$8,$AJ108),$AJ108,IF(ISNUMBER(SEARCH("head of ",$D108)),"Head of Technology",IF(ISNUMBER(SEARCH("TDD BP",$D108)),"Business Partner",IF(OR(ISNUMBER(SEARCH("domain architect",$D108)),ISNUMBER(SEARCH("enterprise architect",$D108))),"Domain Architect",IF(ISNUMBER(SEARCH("delivery man",$D108)),"Delivery Manager",IF(OR(ISNUMBER(SEARCH("technology manager",$D108)),ISNUMBER(SEARCH("technology manger",$D108)),ISNUMBER(SEARCH("tech manager",$D108))),"Technology Manager","Squad"))))))))</f>
        <v>Technology Manager</v>
      </c>
      <c r="AL108" s="534" t="str">
        <f>IF(TRIM($B108)="","",IF(AND($AM108=1,LEFT($AJ108,4)&lt;&gt;"EGI ",$AJ108&lt;&gt;"EGI"),IFERROR(INDEX(Lists!$Z$2:$Z$20,MATCH($AH108,Lists!$Y$2:$Y$20,0)),"EGI "&amp;$AH108),IF(COUNTIF(Lists!$AU$2:$AU$10,$AJ108),$AJ108,IF(OR(LEFT($AH108,3)="COE",$AH108="EGI"),$AJ108,IF($AK108&lt;&gt;"Squad",$AK108,$AJ108)))))</f>
        <v>Technology Manager</v>
      </c>
      <c r="AM108" s="534" t="b">
        <f>IF(TRIM($B108)="","",--(UPPER(TRIM($K108))="EGI"))</f>
        <v>0</v>
      </c>
      <c r="AQ108" s="841" t="inlineStr">
        <is>
          <t>R0107</t>
        </is>
      </c>
      <c r="AZ108" s="841" t="n"/>
    </row>
    <row r="109" ht="18" customHeight="1" s="535">
      <c r="A109" s="842" t="n">
        <v>113442</v>
      </c>
      <c r="B109" s="843" t="inlineStr">
        <is>
          <t>Manjot Kaur Malli</t>
        </is>
      </c>
      <c r="C109" s="842" t="n">
        <v>113442</v>
      </c>
      <c r="D109" s="843" t="inlineStr">
        <is>
          <t>Technology Manager, Data</t>
        </is>
      </c>
      <c r="E109" s="843" t="inlineStr">
        <is>
          <t>Vacant</t>
        </is>
      </c>
      <c r="F109" s="843" t="inlineStr">
        <is>
          <t>Head of Technology, Z and Group Retail Platforms</t>
        </is>
      </c>
      <c r="G109" s="844" t="inlineStr">
        <is>
          <t>Ampol Retail &amp; Z</t>
        </is>
      </c>
      <c r="H109" s="843" t="inlineStr">
        <is>
          <t>Z &amp; Group Retail</t>
        </is>
      </c>
      <c r="I109" s="843" t="inlineStr">
        <is>
          <t>Z &amp; Group Retail, Data</t>
        </is>
      </c>
      <c r="J109" s="843" t="inlineStr">
        <is>
          <t>Z</t>
        </is>
      </c>
      <c r="K109" s="843" t="inlineStr">
        <is>
          <t>Z Customer &amp; Z Supply</t>
        </is>
      </c>
      <c r="L109" s="843" t="inlineStr">
        <is>
          <t>Leadership</t>
        </is>
      </c>
      <c r="M109" s="843" t="n"/>
      <c r="N109" s="845" t="inlineStr">
        <is>
          <t>Australia</t>
        </is>
      </c>
      <c r="O109" s="846" t="inlineStr">
        <is>
          <t>CSB</t>
        </is>
      </c>
      <c r="P109" s="847" t="n">
        <v>1</v>
      </c>
      <c r="Q109" s="858" t="n"/>
      <c r="R109" s="847" t="inlineStr">
        <is>
          <t>Permanent - Full Time</t>
        </is>
      </c>
      <c r="S109" s="847" t="n"/>
      <c r="T109" s="847" t="n"/>
      <c r="U109" s="848" t="n">
        <v>187600</v>
      </c>
      <c r="V109" s="849" t="n">
        <v>187600</v>
      </c>
      <c r="W109" s="850" t="n">
        <v>0.14</v>
      </c>
      <c r="X109" s="847" t="n">
        <v>0.055</v>
      </c>
      <c r="Y109" s="850" t="n">
        <v>0.12</v>
      </c>
      <c r="Z109" s="851" t="n"/>
      <c r="AA109" s="850" t="n">
        <v>0.04</v>
      </c>
      <c r="AB109" s="852" t="n">
        <v>254198</v>
      </c>
      <c r="AD109" s="857" t="n"/>
      <c r="AE109" s="857">
        <f>IF(TRIM($B109)="","",IF(AND(N($P109)&gt;0,N($P109)&lt;1),N($AB109)*N($P109),N($AB109)))</f>
        <v>254198</v>
      </c>
      <c r="AF109" s="857" t="str">
        <f>IF(TRIM($B109)="","",IF(OR(ISNUMBER(SEARCH("vacant",$B109)),ISNUMBER(SEARCH("ring fenced",$B109)),LOWER(TRIM($B109))="remove"),"Vacant","Filled"))</f>
        <v>Filled</v>
      </c>
      <c r="AG109" s="857" t="b">
        <f>IF(TRIM($B109)="","",--ISNUMBER(SEARCH("ring fenced",$B109)))</f>
        <v>0</v>
      </c>
      <c r="AH109" s="534" t="str">
        <f>IF(TRIM($B109)="","",IF(COUNTIFS(Lists!$AN$2:$AN$22,TRIM($B109)&amp;" | "&amp;TRIM($D109),Lists!$AO$2:$AO$22,"&lt;&gt;"),INDEX(Lists!$AO$2:$AO$22,MATCH(TRIM($B109)&amp;" | "&amp;TRIM($D109),Lists!$AN$2:$AN$22,0)),IF(COUNTIF(Lists!$AR$2:$AR$3,$AJ109),"TDD Cyber",IF(AND(LEFT($AJ109,4)="EGI ",ISNUMBER(MATCH(TRIM(MID($AJ109,5,99)),Lists!$AS$2:$AS$12,0))),TRIM(MID($AJ109,5,99)),IF(AND(LEFT($AJ109,4)="EGI ",ISNUMBER(MATCH(TRIM(MID($AJ109,5,99)),Lists!$T$2:$T$21,0))),INDEX(Lists!$U$2:$U$21,MATCH(TRIM(MID($AJ109,5,99)),Lists!$T$2:$T$21,0)),IF(OR(TRIM($J109)="",UPPER(TRIM($J109))="NA"),IFERROR(INDEX(Lists!$R$2:$R$9,MATCH(TRIM($G109),Lists!$Q$2:$Q$9,0)),"UNMAPPED"),IFERROR(INDEX(Lists!$U$2:$U$21,MATCH(TRIM($J109),Lists!$T$2:$T$21,0)),IFERROR(INDEX(Lists!$R$2:$R$9,MATCH(TRIM($G109),Lists!$Q$2:$Q$9,0)),"UNMAPPED"))))))))</f>
        <v>Z Retail</v>
      </c>
      <c r="AI109" s="534" t="b">
        <f>IF(TRIM($B109)="","",--OR(TRIM($L109)="Leadership",TRIM($K109)="Leadership"))</f>
        <v>1</v>
      </c>
      <c r="AJ109" s="534" t="str">
        <f>IF(TRIM($B109)="","",IF(COUNTIFS(Lists!$AN$2:$AN$22,TRIM($B109)&amp;" | "&amp;TRIM($D109),Lists!$AP$2:$AP$22,"&lt;&gt;"),INDEX(Lists!$AP$2:$AP$22,MATCH(TRIM($B109)&amp;" | "&amp;TRIM($D109),Lists!$AN$2:$AN$22,0)),IF($AI109=1,"Leadership",IFERROR(INDEX(Lists!$X$2:$X$21,MATCH(TRIM($L109),Lists!$W$2:$W$21,0)),IF(OR(TRIM($L109)="",LOWER(TRIM($L109))="na"),IF(TRIM($H109)="","Unassigned",TRIM($H109)),TRIM($L109))))))</f>
        <v>Leadership</v>
      </c>
      <c r="AK109" s="534" t="str">
        <f>IF(TRIM($B109)="","",IF(COUNTIFS(Lists!$AN$2:$AN$22,TRIM($B109)&amp;" | "&amp;TRIM($D109),Lists!$AQ$2:$AQ$22,"&lt;&gt;"),INDEX(Lists!$AQ$2:$AQ$22,MATCH(TRIM($B109)&amp;" | "&amp;TRIM($D109),Lists!$AN$2:$AN$22,0)),IF(COUNTIF(Lists!$AF$2:$AF$8,$AJ109),$AJ109,IF(ISNUMBER(SEARCH("head of ",$D109)),"Head of Technology",IF(ISNUMBER(SEARCH("TDD BP",$D109)),"Business Partner",IF(OR(ISNUMBER(SEARCH("domain architect",$D109)),ISNUMBER(SEARCH("enterprise architect",$D109))),"Domain Architect",IF(ISNUMBER(SEARCH("delivery man",$D109)),"Delivery Manager",IF(OR(ISNUMBER(SEARCH("technology manager",$D109)),ISNUMBER(SEARCH("technology manger",$D109)),ISNUMBER(SEARCH("tech manager",$D109))),"Technology Manager","Squad"))))))))</f>
        <v>Technology Manager</v>
      </c>
      <c r="AL109" s="534" t="str">
        <f>IF(TRIM($B109)="","",IF(AND($AM109=1,LEFT($AJ109,4)&lt;&gt;"EGI ",$AJ109&lt;&gt;"EGI"),IFERROR(INDEX(Lists!$Z$2:$Z$20,MATCH($AH109,Lists!$Y$2:$Y$20,0)),"EGI "&amp;$AH109),IF(COUNTIF(Lists!$AU$2:$AU$10,$AJ109),$AJ109,IF(OR(LEFT($AH109,3)="COE",$AH109="EGI"),$AJ109,IF($AK109&lt;&gt;"Squad",$AK109,$AJ109)))))</f>
        <v>Technology Manager</v>
      </c>
      <c r="AM109" s="534" t="b">
        <f>IF(TRIM($B109)="","",--(UPPER(TRIM($K109))="EGI"))</f>
        <v>0</v>
      </c>
      <c r="AQ109" s="841" t="inlineStr">
        <is>
          <t>R0108</t>
        </is>
      </c>
      <c r="AZ109" s="841" t="n"/>
    </row>
    <row r="110" ht="18" customHeight="1" s="535">
      <c r="A110" s="842" t="inlineStr">
        <is>
          <t>V</t>
        </is>
      </c>
      <c r="B110" s="843" t="inlineStr">
        <is>
          <t>Vacant</t>
        </is>
      </c>
      <c r="C110" s="842" t="inlineStr">
        <is>
          <t>V</t>
        </is>
      </c>
      <c r="D110" s="843" t="inlineStr">
        <is>
          <t>Delivery Excellence Manager</t>
        </is>
      </c>
      <c r="E110" s="843" t="inlineStr">
        <is>
          <t>Vacant</t>
        </is>
      </c>
      <c r="F110" s="843" t="inlineStr">
        <is>
          <t xml:space="preserve">CISO </t>
        </is>
      </c>
      <c r="G110" s="844" t="inlineStr">
        <is>
          <t>Partnering &amp; Transformation</t>
        </is>
      </c>
      <c r="H110" s="843" t="inlineStr">
        <is>
          <t>Transformation</t>
        </is>
      </c>
      <c r="I110" s="843" t="inlineStr">
        <is>
          <t>NA</t>
        </is>
      </c>
      <c r="J110" s="843" t="inlineStr">
        <is>
          <t>NA</t>
        </is>
      </c>
      <c r="K110" s="843" t="inlineStr">
        <is>
          <t>NA</t>
        </is>
      </c>
      <c r="L110" s="843" t="inlineStr">
        <is>
          <t>NA</t>
        </is>
      </c>
      <c r="M110" s="843" t="n"/>
      <c r="N110" s="845" t="inlineStr">
        <is>
          <t>Australia</t>
        </is>
      </c>
      <c r="O110" s="846" t="inlineStr">
        <is>
          <t>CSB</t>
        </is>
      </c>
      <c r="P110" s="847" t="n">
        <v>1</v>
      </c>
      <c r="Q110" s="856" t="n"/>
      <c r="R110" s="847" t="inlineStr">
        <is>
          <t>V</t>
        </is>
      </c>
      <c r="S110" s="847" t="n"/>
      <c r="T110" s="847" t="n"/>
      <c r="U110" s="848" t="n">
        <v>203550</v>
      </c>
      <c r="V110" s="849" t="n">
        <v>203550</v>
      </c>
      <c r="W110" s="850" t="n">
        <v>0.14</v>
      </c>
      <c r="X110" s="847" t="n">
        <v>0.055</v>
      </c>
      <c r="Y110" s="850" t="n">
        <v>0.12</v>
      </c>
      <c r="Z110" s="851" t="n"/>
      <c r="AA110" s="850" t="n">
        <v>0.04</v>
      </c>
      <c r="AB110" s="852" t="n">
        <v>275810.25</v>
      </c>
      <c r="AD110" s="857" t="n"/>
      <c r="AE110" s="857">
        <f>IF(TRIM($B110)="","",IF(AND(N($P110)&gt;0,N($P110)&lt;1),N($AB110)*N($P110),N($AB110)))</f>
        <v>275810.25</v>
      </c>
      <c r="AF110" s="857" t="str">
        <f>IF(TRIM($B110)="","",IF(OR(ISNUMBER(SEARCH("vacant",$B110)),ISNUMBER(SEARCH("ring fenced",$B110)),LOWER(TRIM($B110))="remove"),"Vacant","Filled"))</f>
        <v>Vacant</v>
      </c>
      <c r="AG110" s="857" t="b">
        <f>IF(TRIM($B110)="","",--ISNUMBER(SEARCH("ring fenced",$B110)))</f>
        <v>0</v>
      </c>
      <c r="AH110" s="534" t="str">
        <f>IF(TRIM($B110)="","",IF(COUNTIFS(Lists!$AN$2:$AN$22,TRIM($B110)&amp;" | "&amp;TRIM($D110),Lists!$AO$2:$AO$22,"&lt;&gt;"),INDEX(Lists!$AO$2:$AO$22,MATCH(TRIM($B110)&amp;" | "&amp;TRIM($D110),Lists!$AN$2:$AN$22,0)),IF(COUNTIF(Lists!$AR$2:$AR$3,$AJ110),"TDD Cyber",IF(AND(LEFT($AJ110,4)="EGI ",ISNUMBER(MATCH(TRIM(MID($AJ110,5,99)),Lists!$AS$2:$AS$12,0))),TRIM(MID($AJ110,5,99)),IF(AND(LEFT($AJ110,4)="EGI ",ISNUMBER(MATCH(TRIM(MID($AJ110,5,99)),Lists!$T$2:$T$21,0))),INDEX(Lists!$U$2:$U$21,MATCH(TRIM(MID($AJ110,5,99)),Lists!$T$2:$T$21,0)),IF(OR(TRIM($J110)="",UPPER(TRIM($J110))="NA"),IFERROR(INDEX(Lists!$R$2:$R$9,MATCH(TRIM($G110),Lists!$Q$2:$Q$9,0)),"UNMAPPED"),IFERROR(INDEX(Lists!$U$2:$U$21,MATCH(TRIM($J110),Lists!$T$2:$T$21,0)),IFERROR(INDEX(Lists!$R$2:$R$9,MATCH(TRIM($G110),Lists!$Q$2:$Q$9,0)),"UNMAPPED"))))))))</f>
        <v>COE BP&amp;T</v>
      </c>
      <c r="AI110" s="534" t="b">
        <f>IF(TRIM($B110)="","",--OR(TRIM($L110)="Leadership",TRIM($K110)="Leadership"))</f>
        <v>0</v>
      </c>
      <c r="AJ110" s="534" t="str">
        <f>IF(TRIM($B110)="","",IF(COUNTIFS(Lists!$AN$2:$AN$22,TRIM($B110)&amp;" | "&amp;TRIM($D110),Lists!$AP$2:$AP$22,"&lt;&gt;"),INDEX(Lists!$AP$2:$AP$22,MATCH(TRIM($B110)&amp;" | "&amp;TRIM($D110),Lists!$AN$2:$AN$22,0)),IF($AI110=1,"Leadership",IFERROR(INDEX(Lists!$X$2:$X$21,MATCH(TRIM($L110),Lists!$W$2:$W$21,0)),IF(OR(TRIM($L110)="",LOWER(TRIM($L110))="na"),IF(TRIM($H110)="","Unassigned",TRIM($H110)),TRIM($L110))))))</f>
        <v>Transformation</v>
      </c>
      <c r="AK110" s="534" t="str">
        <f>IF(TRIM($B110)="","",IF(COUNTIFS(Lists!$AN$2:$AN$22,TRIM($B110)&amp;" | "&amp;TRIM($D110),Lists!$AQ$2:$AQ$22,"&lt;&gt;"),INDEX(Lists!$AQ$2:$AQ$22,MATCH(TRIM($B110)&amp;" | "&amp;TRIM($D110),Lists!$AN$2:$AN$22,0)),IF(COUNTIF(Lists!$AF$2:$AF$8,$AJ110),$AJ110,IF(ISNUMBER(SEARCH("head of ",$D110)),"Head of Technology",IF(ISNUMBER(SEARCH("TDD BP",$D110)),"Business Partner",IF(OR(ISNUMBER(SEARCH("domain architect",$D110)),ISNUMBER(SEARCH("enterprise architect",$D110))),"Domain Architect",IF(ISNUMBER(SEARCH("delivery man",$D110)),"Delivery Manager",IF(OR(ISNUMBER(SEARCH("technology manager",$D110)),ISNUMBER(SEARCH("technology manger",$D110)),ISNUMBER(SEARCH("tech manager",$D110))),"Technology Manager","Squad"))))))))</f>
        <v>Delivery Manager</v>
      </c>
      <c r="AL110" s="534" t="str">
        <f>IF(TRIM($B110)="","",IF(AND($AM110=1,LEFT($AJ110,4)&lt;&gt;"EGI ",$AJ110&lt;&gt;"EGI"),IFERROR(INDEX(Lists!$Z$2:$Z$20,MATCH($AH110,Lists!$Y$2:$Y$20,0)),"EGI "&amp;$AH110),IF(COUNTIF(Lists!$AU$2:$AU$10,$AJ110),$AJ110,IF(OR(LEFT($AH110,3)="COE",$AH110="EGI"),$AJ110,IF($AK110&lt;&gt;"Squad",$AK110,$AJ110)))))</f>
        <v>Transformation</v>
      </c>
      <c r="AM110" s="534" t="b">
        <f>IF(TRIM($B110)="","",--(UPPER(TRIM($K110))="EGI"))</f>
        <v>0</v>
      </c>
      <c r="AQ110" s="841" t="inlineStr">
        <is>
          <t>R0109</t>
        </is>
      </c>
      <c r="AZ110" s="841" t="n"/>
    </row>
    <row r="111" ht="18" customHeight="1" s="535">
      <c r="A111" s="842" t="inlineStr">
        <is>
          <t>V</t>
        </is>
      </c>
      <c r="B111" s="843" t="inlineStr">
        <is>
          <t>ring fenced</t>
        </is>
      </c>
      <c r="C111" s="842" t="inlineStr">
        <is>
          <t>V</t>
        </is>
      </c>
      <c r="D111" s="843" t="inlineStr">
        <is>
          <t>Enterprise Architect</t>
        </is>
      </c>
      <c r="E111" s="843" t="inlineStr">
        <is>
          <t>Vacant</t>
        </is>
      </c>
      <c r="F111" s="843" t="inlineStr">
        <is>
          <t>Head of Architecture</t>
        </is>
      </c>
      <c r="G111" s="844" t="inlineStr">
        <is>
          <t>Strategy, Architecture &amp; Data</t>
        </is>
      </c>
      <c r="H111" s="843" t="inlineStr">
        <is>
          <t>Architecture</t>
        </is>
      </c>
      <c r="I111" s="843" t="inlineStr">
        <is>
          <t>Architecture</t>
        </is>
      </c>
      <c r="J111" s="843" t="n"/>
      <c r="K111" s="843" t="n"/>
      <c r="L111" s="843" t="n"/>
      <c r="M111" s="843" t="n"/>
      <c r="N111" s="845" t="inlineStr">
        <is>
          <t>Australia</t>
        </is>
      </c>
      <c r="O111" s="846" t="inlineStr">
        <is>
          <t>CSB</t>
        </is>
      </c>
      <c r="P111" s="847" t="n">
        <v>1</v>
      </c>
      <c r="Q111" s="856" t="n"/>
      <c r="R111" s="847" t="inlineStr">
        <is>
          <t>Pause</t>
        </is>
      </c>
      <c r="S111" s="847" t="n"/>
      <c r="T111" s="847" t="n"/>
      <c r="U111" s="848" t="n">
        <v>203550</v>
      </c>
      <c r="V111" s="849" t="n">
        <v>203550</v>
      </c>
      <c r="W111" s="850" t="n">
        <v>0.14</v>
      </c>
      <c r="X111" s="847" t="n">
        <v>0.055</v>
      </c>
      <c r="Y111" s="850" t="n">
        <v>0.12</v>
      </c>
      <c r="Z111" s="851" t="n"/>
      <c r="AA111" s="850" t="n">
        <v>0.04</v>
      </c>
      <c r="AB111" s="852" t="n">
        <v>275810.25</v>
      </c>
      <c r="AD111" s="857" t="n"/>
      <c r="AE111" s="857">
        <f>IF(TRIM($B111)="","",IF(AND(N($P111)&gt;0,N($P111)&lt;1),N($AB111)*N($P111),N($AB111)))</f>
        <v>275810.25</v>
      </c>
      <c r="AF111" s="857" t="str">
        <f>IF(TRIM($B111)="","",IF(OR(ISNUMBER(SEARCH("vacant",$B111)),ISNUMBER(SEARCH("ring fenced",$B111)),LOWER(TRIM($B111))="remove"),"Vacant","Filled"))</f>
        <v>Vacant</v>
      </c>
      <c r="AG111" s="857" t="b">
        <f>IF(TRIM($B111)="","",--ISNUMBER(SEARCH("ring fenced",$B111)))</f>
        <v>1</v>
      </c>
      <c r="AH111" s="534" t="str">
        <f>IF(TRIM($B111)="","",IF(COUNTIFS(Lists!$AN$2:$AN$22,TRIM($B111)&amp;" | "&amp;TRIM($D111),Lists!$AO$2:$AO$22,"&lt;&gt;"),INDEX(Lists!$AO$2:$AO$22,MATCH(TRIM($B111)&amp;" | "&amp;TRIM($D111),Lists!$AN$2:$AN$22,0)),IF(COUNTIF(Lists!$AR$2:$AR$3,$AJ111),"TDD Cyber",IF(AND(LEFT($AJ111,4)="EGI ",ISNUMBER(MATCH(TRIM(MID($AJ111,5,99)),Lists!$AS$2:$AS$12,0))),TRIM(MID($AJ111,5,99)),IF(AND(LEFT($AJ111,4)="EGI ",ISNUMBER(MATCH(TRIM(MID($AJ111,5,99)),Lists!$T$2:$T$21,0))),INDEX(Lists!$U$2:$U$21,MATCH(TRIM(MID($AJ111,5,99)),Lists!$T$2:$T$21,0)),IF(OR(TRIM($J111)="",UPPER(TRIM($J111))="NA"),IFERROR(INDEX(Lists!$R$2:$R$9,MATCH(TRIM($G111),Lists!$Q$2:$Q$9,0)),"UNMAPPED"),IFERROR(INDEX(Lists!$U$2:$U$21,MATCH(TRIM($J111),Lists!$T$2:$T$21,0)),IFERROR(INDEX(Lists!$R$2:$R$9,MATCH(TRIM($G111),Lists!$Q$2:$Q$9,0)),"UNMAPPED"))))))))</f>
        <v>COE SA&amp;D</v>
      </c>
      <c r="AI111" s="534" t="b">
        <f>IF(TRIM($B111)="","",--OR(TRIM($L111)="Leadership",TRIM($K111)="Leadership"))</f>
        <v>0</v>
      </c>
      <c r="AJ111" s="534" t="str">
        <f>IF(TRIM($B111)="","",IF(COUNTIFS(Lists!$AN$2:$AN$22,TRIM($B111)&amp;" | "&amp;TRIM($D111),Lists!$AP$2:$AP$22,"&lt;&gt;"),INDEX(Lists!$AP$2:$AP$22,MATCH(TRIM($B111)&amp;" | "&amp;TRIM($D111),Lists!$AN$2:$AN$22,0)),IF($AI111=1,"Leadership",IFERROR(INDEX(Lists!$X$2:$X$21,MATCH(TRIM($L111),Lists!$W$2:$W$21,0)),IF(OR(TRIM($L111)="",LOWER(TRIM($L111))="na"),IF(TRIM($H111)="","Unassigned",TRIM($H111)),TRIM($L111))))))</f>
        <v>Architecture</v>
      </c>
      <c r="AK111" s="534" t="str">
        <f>IF(TRIM($B111)="","",IF(COUNTIFS(Lists!$AN$2:$AN$22,TRIM($B111)&amp;" | "&amp;TRIM($D111),Lists!$AQ$2:$AQ$22,"&lt;&gt;"),INDEX(Lists!$AQ$2:$AQ$22,MATCH(TRIM($B111)&amp;" | "&amp;TRIM($D111),Lists!$AN$2:$AN$22,0)),IF(COUNTIF(Lists!$AF$2:$AF$8,$AJ111),$AJ111,IF(ISNUMBER(SEARCH("head of ",$D111)),"Head of Technology",IF(ISNUMBER(SEARCH("TDD BP",$D111)),"Business Partner",IF(OR(ISNUMBER(SEARCH("domain architect",$D111)),ISNUMBER(SEARCH("enterprise architect",$D111))),"Domain Architect",IF(ISNUMBER(SEARCH("delivery man",$D111)),"Delivery Manager",IF(OR(ISNUMBER(SEARCH("technology manager",$D111)),ISNUMBER(SEARCH("technology manger",$D111)),ISNUMBER(SEARCH("tech manager",$D111))),"Technology Manager","Squad"))))))))</f>
        <v>Domain Architect</v>
      </c>
      <c r="AL111" s="534" t="str">
        <f>IF(TRIM($B111)="","",IF(AND($AM111=1,LEFT($AJ111,4)&lt;&gt;"EGI ",$AJ111&lt;&gt;"EGI"),IFERROR(INDEX(Lists!$Z$2:$Z$20,MATCH($AH111,Lists!$Y$2:$Y$20,0)),"EGI "&amp;$AH111),IF(COUNTIF(Lists!$AU$2:$AU$10,$AJ111),$AJ111,IF(OR(LEFT($AH111,3)="COE",$AH111="EGI"),$AJ111,IF($AK111&lt;&gt;"Squad",$AK111,$AJ111)))))</f>
        <v>Architecture</v>
      </c>
      <c r="AM111" s="534" t="b">
        <f>IF(TRIM($B111)="","",--(UPPER(TRIM($K111))="EGI"))</f>
        <v>0</v>
      </c>
      <c r="AQ111" s="841" t="inlineStr">
        <is>
          <t>R0110</t>
        </is>
      </c>
      <c r="AZ111" s="841" t="n"/>
    </row>
    <row r="112" ht="18" customHeight="1" s="535">
      <c r="A112" s="842" t="inlineStr">
        <is>
          <t>V</t>
        </is>
      </c>
      <c r="B112" s="843" t="inlineStr">
        <is>
          <t>Vacant</t>
        </is>
      </c>
      <c r="C112" s="842" t="inlineStr">
        <is>
          <t>V</t>
        </is>
      </c>
      <c r="D112" s="843" t="inlineStr">
        <is>
          <t>AI Capability Lead</t>
        </is>
      </c>
      <c r="E112" s="843" t="inlineStr">
        <is>
          <t>Vacant</t>
        </is>
      </c>
      <c r="F112" s="843" t="inlineStr">
        <is>
          <t>Head of Technology  Strategy &amp; AI Capability</t>
        </is>
      </c>
      <c r="G112" s="844" t="inlineStr">
        <is>
          <t>Strategy, Architecture &amp; Data</t>
        </is>
      </c>
      <c r="H112" s="843" t="inlineStr">
        <is>
          <t>Technology Strategy &amp; AI Capability</t>
        </is>
      </c>
      <c r="I112" s="843" t="inlineStr">
        <is>
          <t>Technology Strategy &amp; AI Capability</t>
        </is>
      </c>
      <c r="J112" s="843" t="n"/>
      <c r="K112" s="843" t="n"/>
      <c r="L112" s="843" t="n"/>
      <c r="M112" s="843" t="n"/>
      <c r="N112" s="845" t="inlineStr">
        <is>
          <t>Australia</t>
        </is>
      </c>
      <c r="O112" s="846" t="inlineStr">
        <is>
          <t>CSB</t>
        </is>
      </c>
      <c r="P112" s="847" t="n">
        <v>1</v>
      </c>
      <c r="Q112" s="856" t="n"/>
      <c r="R112" s="847" t="inlineStr">
        <is>
          <t>V</t>
        </is>
      </c>
      <c r="S112" s="847" t="n"/>
      <c r="T112" s="847" t="n"/>
      <c r="U112" s="848" t="n">
        <v>203550</v>
      </c>
      <c r="V112" s="849" t="n">
        <v>203550</v>
      </c>
      <c r="W112" s="850" t="n">
        <v>0.14</v>
      </c>
      <c r="X112" s="847" t="n">
        <v>0.055</v>
      </c>
      <c r="Y112" s="850" t="n">
        <v>0.12</v>
      </c>
      <c r="Z112" s="851" t="n"/>
      <c r="AA112" s="850" t="n">
        <v>0.04</v>
      </c>
      <c r="AB112" s="852" t="n">
        <v>275810.25</v>
      </c>
      <c r="AD112" s="857" t="n"/>
      <c r="AE112" s="857">
        <f>IF(TRIM($B112)="","",IF(AND(N($P112)&gt;0,N($P112)&lt;1),N($AB112)*N($P112),N($AB112)))</f>
        <v>275810.25</v>
      </c>
      <c r="AF112" s="857" t="str">
        <f>IF(TRIM($B112)="","",IF(OR(ISNUMBER(SEARCH("vacant",$B112)),ISNUMBER(SEARCH("ring fenced",$B112)),LOWER(TRIM($B112))="remove"),"Vacant","Filled"))</f>
        <v>Vacant</v>
      </c>
      <c r="AG112" s="857" t="b">
        <f>IF(TRIM($B112)="","",--ISNUMBER(SEARCH("ring fenced",$B112)))</f>
        <v>0</v>
      </c>
      <c r="AH112" s="534" t="str">
        <f>IF(TRIM($B112)="","",IF(COUNTIFS(Lists!$AN$2:$AN$22,TRIM($B112)&amp;" | "&amp;TRIM($D112),Lists!$AO$2:$AO$22,"&lt;&gt;"),INDEX(Lists!$AO$2:$AO$22,MATCH(TRIM($B112)&amp;" | "&amp;TRIM($D112),Lists!$AN$2:$AN$22,0)),IF(COUNTIF(Lists!$AR$2:$AR$3,$AJ112),"TDD Cyber",IF(AND(LEFT($AJ112,4)="EGI ",ISNUMBER(MATCH(TRIM(MID($AJ112,5,99)),Lists!$AS$2:$AS$12,0))),TRIM(MID($AJ112,5,99)),IF(AND(LEFT($AJ112,4)="EGI ",ISNUMBER(MATCH(TRIM(MID($AJ112,5,99)),Lists!$T$2:$T$21,0))),INDEX(Lists!$U$2:$U$21,MATCH(TRIM(MID($AJ112,5,99)),Lists!$T$2:$T$21,0)),IF(OR(TRIM($J112)="",UPPER(TRIM($J112))="NA"),IFERROR(INDEX(Lists!$R$2:$R$9,MATCH(TRIM($G112),Lists!$Q$2:$Q$9,0)),"UNMAPPED"),IFERROR(INDEX(Lists!$U$2:$U$21,MATCH(TRIM($J112),Lists!$T$2:$T$21,0)),IFERROR(INDEX(Lists!$R$2:$R$9,MATCH(TRIM($G112),Lists!$Q$2:$Q$9,0)),"UNMAPPED"))))))))</f>
        <v>COE SA&amp;D</v>
      </c>
      <c r="AI112" s="534" t="b">
        <f>IF(TRIM($B112)="","",--OR(TRIM($L112)="Leadership",TRIM($K112)="Leadership"))</f>
        <v>0</v>
      </c>
      <c r="AJ112" s="534" t="str">
        <f>IF(TRIM($B112)="","",IF(COUNTIFS(Lists!$AN$2:$AN$22,TRIM($B112)&amp;" | "&amp;TRIM($D112),Lists!$AP$2:$AP$22,"&lt;&gt;"),INDEX(Lists!$AP$2:$AP$22,MATCH(TRIM($B112)&amp;" | "&amp;TRIM($D112),Lists!$AN$2:$AN$22,0)),IF($AI112=1,"Leadership",IFERROR(INDEX(Lists!$X$2:$X$21,MATCH(TRIM($L112),Lists!$W$2:$W$21,0)),IF(OR(TRIM($L112)="",LOWER(TRIM($L112))="na"),IF(TRIM($H112)="","Unassigned",TRIM($H112)),TRIM($L112))))))</f>
        <v>Technology Strategy &amp; AI Capability</v>
      </c>
      <c r="AK112" s="534" t="str">
        <f>IF(TRIM($B112)="","",IF(COUNTIFS(Lists!$AN$2:$AN$22,TRIM($B112)&amp;" | "&amp;TRIM($D112),Lists!$AQ$2:$AQ$22,"&lt;&gt;"),INDEX(Lists!$AQ$2:$AQ$22,MATCH(TRIM($B112)&amp;" | "&amp;TRIM($D112),Lists!$AN$2:$AN$22,0)),IF(COUNTIF(Lists!$AF$2:$AF$8,$AJ112),$AJ112,IF(ISNUMBER(SEARCH("head of ",$D112)),"Head of Technology",IF(ISNUMBER(SEARCH("TDD BP",$D112)),"Business Partner",IF(OR(ISNUMBER(SEARCH("domain architect",$D112)),ISNUMBER(SEARCH("enterprise architect",$D112))),"Domain Architect",IF(ISNUMBER(SEARCH("delivery man",$D112)),"Delivery Manager",IF(OR(ISNUMBER(SEARCH("technology manager",$D112)),ISNUMBER(SEARCH("technology manger",$D112)),ISNUMBER(SEARCH("tech manager",$D112))),"Technology Manager","Squad"))))))))</f>
        <v>Squad</v>
      </c>
      <c r="AL112" s="534" t="str">
        <f>IF(TRIM($B112)="","",IF(AND($AM112=1,LEFT($AJ112,4)&lt;&gt;"EGI ",$AJ112&lt;&gt;"EGI"),IFERROR(INDEX(Lists!$Z$2:$Z$20,MATCH($AH112,Lists!$Y$2:$Y$20,0)),"EGI "&amp;$AH112),IF(COUNTIF(Lists!$AU$2:$AU$10,$AJ112),$AJ112,IF(OR(LEFT($AH112,3)="COE",$AH112="EGI"),$AJ112,IF($AK112&lt;&gt;"Squad",$AK112,$AJ112)))))</f>
        <v>Technology Strategy &amp; AI Capability</v>
      </c>
      <c r="AM112" s="534" t="b">
        <f>IF(TRIM($B112)="","",--(UPPER(TRIM($K112))="EGI"))</f>
        <v>0</v>
      </c>
      <c r="AQ112" s="841" t="inlineStr">
        <is>
          <t>R0111</t>
        </is>
      </c>
      <c r="AZ112" s="841" t="n"/>
    </row>
    <row r="113" ht="18" customHeight="1" s="535">
      <c r="A113" s="842" t="n">
        <v>115521</v>
      </c>
      <c r="B113" s="843" t="inlineStr">
        <is>
          <t>Mike Seales</t>
        </is>
      </c>
      <c r="C113" s="842" t="n">
        <v>115521</v>
      </c>
      <c r="D113" s="843" t="inlineStr">
        <is>
          <t>Technology Manager, Integration &amp; Process Automation</t>
        </is>
      </c>
      <c r="E113" s="843" t="inlineStr">
        <is>
          <t>Vacant</t>
        </is>
      </c>
      <c r="F113" s="843" t="inlineStr">
        <is>
          <t>Head of Technology - TDD &amp; Engineering Capability Lead</t>
        </is>
      </c>
      <c r="G113" s="844" t="inlineStr">
        <is>
          <t>TDD Group Functions</t>
        </is>
      </c>
      <c r="H113" s="843" t="inlineStr">
        <is>
          <t xml:space="preserve">TDD &amp; Engineering </t>
        </is>
      </c>
      <c r="I113" s="843" t="inlineStr">
        <is>
          <t>Integration &amp; Process Management</t>
        </is>
      </c>
      <c r="J113" s="843" t="inlineStr">
        <is>
          <t>TDD</t>
        </is>
      </c>
      <c r="K113" s="843" t="inlineStr">
        <is>
          <t>TDD</t>
        </is>
      </c>
      <c r="L113" s="843" t="inlineStr">
        <is>
          <t>Leadership</t>
        </is>
      </c>
      <c r="M113" s="843" t="n"/>
      <c r="N113" s="845" t="inlineStr">
        <is>
          <t>NZ</t>
        </is>
      </c>
      <c r="O113" s="846" t="inlineStr">
        <is>
          <t>CSB</t>
        </is>
      </c>
      <c r="P113" s="847" t="n">
        <v>1</v>
      </c>
      <c r="Q113" s="856" t="n"/>
      <c r="R113" s="847" t="inlineStr">
        <is>
          <t>Permanent - Full Time</t>
        </is>
      </c>
      <c r="S113" s="847" t="n"/>
      <c r="T113" s="847" t="n"/>
      <c r="U113" s="848" t="n">
        <v>200000</v>
      </c>
      <c r="V113" s="849" t="n">
        <v>184000</v>
      </c>
      <c r="W113" s="850" t="n">
        <v>0.15</v>
      </c>
      <c r="X113" s="847" t="n"/>
      <c r="Y113" s="850" t="n">
        <v>0.05</v>
      </c>
      <c r="Z113" s="851" t="n">
        <v>2910</v>
      </c>
      <c r="AA113" s="850" t="n">
        <v>0.03</v>
      </c>
      <c r="AB113" s="852" t="n">
        <v>229230</v>
      </c>
      <c r="AD113" s="857" t="n"/>
      <c r="AE113" s="857">
        <f>IF(TRIM($B113)="","",IF(AND(N($P113)&gt;0,N($P113)&lt;1),N($AB113)*N($P113),N($AB113)))</f>
        <v>229230</v>
      </c>
      <c r="AF113" s="857" t="str">
        <f>IF(TRIM($B113)="","",IF(OR(ISNUMBER(SEARCH("vacant",$B113)),ISNUMBER(SEARCH("ring fenced",$B113)),LOWER(TRIM($B113))="remove"),"Vacant","Filled"))</f>
        <v>Filled</v>
      </c>
      <c r="AG113" s="857" t="b">
        <f>IF(TRIM($B113)="","",--ISNUMBER(SEARCH("ring fenced",$B113)))</f>
        <v>0</v>
      </c>
      <c r="AH113" s="853" t="str">
        <f>IF(TRIM($B113)="","",IF(COUNTIFS(Lists!$AN$2:$AN$22,TRIM($B113)&amp;" | "&amp;TRIM($D113),Lists!$AO$2:$AO$22,"&lt;&gt;"),INDEX(Lists!$AO$2:$AO$22,MATCH(TRIM($B113)&amp;" | "&amp;TRIM($D113),Lists!$AN$2:$AN$22,0)),IF(COUNTIF(Lists!$AR$2:$AR$3,$AJ113),"TDD Cyber",IF(AND(LEFT($AJ113,4)="EGI ",ISNUMBER(MATCH(TRIM(MID($AJ113,5,99)),Lists!$AS$2:$AS$12,0))),TRIM(MID($AJ113,5,99)),IF(AND(LEFT($AJ113,4)="EGI ",ISNUMBER(MATCH(TRIM(MID($AJ113,5,99)),Lists!$T$2:$T$21,0))),INDEX(Lists!$U$2:$U$21,MATCH(TRIM(MID($AJ113,5,99)),Lists!$T$2:$T$21,0)),IF(OR(TRIM($J113)="",UPPER(TRIM($J113))="NA"),IFERROR(INDEX(Lists!$R$2:$R$9,MATCH(TRIM($G113),Lists!$Q$2:$Q$9,0)),"UNMAPPED"),IFERROR(INDEX(Lists!$U$2:$U$21,MATCH(TRIM($J113),Lists!$T$2:$T$21,0)),IFERROR(INDEX(Lists!$R$2:$R$9,MATCH(TRIM($G113),Lists!$Q$2:$Q$9,0)),"UNMAPPED"))))))))</f>
        <v>TDD Group Functions</v>
      </c>
      <c r="AI113" s="534" t="b">
        <f>IF(TRIM($B113)="","",--OR(TRIM($L113)="Leadership",TRIM($K113)="Leadership"))</f>
        <v>1</v>
      </c>
      <c r="AJ113" s="534" t="str">
        <f>IF(TRIM($B113)="","",IF(COUNTIFS(Lists!$AN$2:$AN$22,TRIM($B113)&amp;" | "&amp;TRIM($D113),Lists!$AP$2:$AP$22,"&lt;&gt;"),INDEX(Lists!$AP$2:$AP$22,MATCH(TRIM($B113)&amp;" | "&amp;TRIM($D113),Lists!$AN$2:$AN$22,0)),IF($AI113=1,"Leadership",IFERROR(INDEX(Lists!$X$2:$X$21,MATCH(TRIM($L113),Lists!$W$2:$W$21,0)),IF(OR(TRIM($L113)="",LOWER(TRIM($L113))="na"),IF(TRIM($H113)="","Unassigned",TRIM($H113)),TRIM($L113))))))</f>
        <v>Leadership</v>
      </c>
      <c r="AK113" s="534" t="str">
        <f>IF(TRIM($B113)="","",IF(COUNTIFS(Lists!$AN$2:$AN$22,TRIM($B113)&amp;" | "&amp;TRIM($D113),Lists!$AQ$2:$AQ$22,"&lt;&gt;"),INDEX(Lists!$AQ$2:$AQ$22,MATCH(TRIM($B113)&amp;" | "&amp;TRIM($D113),Lists!$AN$2:$AN$22,0)),IF(COUNTIF(Lists!$AF$2:$AF$8,$AJ113),$AJ113,IF(ISNUMBER(SEARCH("head of ",$D113)),"Head of Technology",IF(ISNUMBER(SEARCH("TDD BP",$D113)),"Business Partner",IF(OR(ISNUMBER(SEARCH("domain architect",$D113)),ISNUMBER(SEARCH("enterprise architect",$D113))),"Domain Architect",IF(ISNUMBER(SEARCH("delivery man",$D113)),"Delivery Manager",IF(OR(ISNUMBER(SEARCH("technology manager",$D113)),ISNUMBER(SEARCH("technology manger",$D113)),ISNUMBER(SEARCH("tech manager",$D113))),"Technology Manager","Squad"))))))))</f>
        <v>Technology Manager</v>
      </c>
      <c r="AL113" s="534" t="str">
        <f>IF(TRIM($B113)="","",IF(AND($AM113=1,LEFT($AJ113,4)&lt;&gt;"EGI ",$AJ113&lt;&gt;"EGI"),IFERROR(INDEX(Lists!$Z$2:$Z$20,MATCH($AH113,Lists!$Y$2:$Y$20,0)),"EGI "&amp;$AH113),IF(COUNTIF(Lists!$AU$2:$AU$10,$AJ113),$AJ113,IF(OR(LEFT($AH113,3)="COE",$AH113="EGI"),$AJ113,IF($AK113&lt;&gt;"Squad",$AK113,$AJ113)))))</f>
        <v>Technology Manager</v>
      </c>
      <c r="AM113" s="534" t="b">
        <f>IF(TRIM($B113)="","",--(UPPER(TRIM($K113))="EGI"))</f>
        <v>0</v>
      </c>
      <c r="AQ113" s="841" t="inlineStr">
        <is>
          <t>R0112</t>
        </is>
      </c>
      <c r="AZ113" s="841" t="n"/>
    </row>
    <row r="114" ht="18" customHeight="1" s="535">
      <c r="A114" s="842" t="inlineStr">
        <is>
          <t>V</t>
        </is>
      </c>
      <c r="B114" s="843" t="inlineStr">
        <is>
          <t>Vacant</t>
        </is>
      </c>
      <c r="C114" s="842" t="inlineStr">
        <is>
          <t>V</t>
        </is>
      </c>
      <c r="D114" s="843" t="inlineStr">
        <is>
          <t>Delivery Manager</t>
        </is>
      </c>
      <c r="E114" s="843" t="inlineStr">
        <is>
          <t>Vacant</t>
        </is>
      </c>
      <c r="F114" s="843" t="inlineStr">
        <is>
          <t>Head of Technology - TDD &amp; Engineering Capability Lead</t>
        </is>
      </c>
      <c r="G114" s="844" t="inlineStr">
        <is>
          <t>TDD Group Functions</t>
        </is>
      </c>
      <c r="H114" s="843" t="inlineStr">
        <is>
          <t xml:space="preserve">TDD &amp; Engineering </t>
        </is>
      </c>
      <c r="I114" s="843" t="n"/>
      <c r="J114" s="843" t="inlineStr">
        <is>
          <t>TDD</t>
        </is>
      </c>
      <c r="K114" s="843" t="inlineStr">
        <is>
          <t>TDD</t>
        </is>
      </c>
      <c r="L114" s="843" t="inlineStr">
        <is>
          <t>Leadership</t>
        </is>
      </c>
      <c r="M114" s="843" t="n"/>
      <c r="N114" s="845" t="inlineStr">
        <is>
          <t>Australia</t>
        </is>
      </c>
      <c r="O114" s="846" t="inlineStr">
        <is>
          <t>CSB</t>
        </is>
      </c>
      <c r="P114" s="847" t="n">
        <v>1</v>
      </c>
      <c r="Q114" s="856" t="n"/>
      <c r="R114" s="847" t="inlineStr">
        <is>
          <t>V</t>
        </is>
      </c>
      <c r="S114" s="847" t="n"/>
      <c r="T114" s="847" t="n"/>
      <c r="U114" s="848" t="n">
        <v>203550</v>
      </c>
      <c r="V114" s="849" t="n">
        <v>203550</v>
      </c>
      <c r="W114" s="850" t="n">
        <v>0.14</v>
      </c>
      <c r="X114" s="847" t="n">
        <v>0.055</v>
      </c>
      <c r="Y114" s="850" t="n">
        <v>0.12</v>
      </c>
      <c r="Z114" s="851" t="n"/>
      <c r="AA114" s="850" t="n">
        <v>0.04</v>
      </c>
      <c r="AB114" s="852" t="n">
        <v>275810.25</v>
      </c>
      <c r="AD114" s="857" t="n"/>
      <c r="AE114" s="857">
        <f>IF(TRIM($B114)="","",IF(AND(N($P114)&gt;0,N($P114)&lt;1),N($AB114)*N($P114),N($AB114)))</f>
        <v>275810.25</v>
      </c>
      <c r="AF114" s="857" t="str">
        <f>IF(TRIM($B114)="","",IF(OR(ISNUMBER(SEARCH("vacant",$B114)),ISNUMBER(SEARCH("ring fenced",$B114)),LOWER(TRIM($B114))="remove"),"Vacant","Filled"))</f>
        <v>Vacant</v>
      </c>
      <c r="AG114" s="857" t="b">
        <f>IF(TRIM($B114)="","",--ISNUMBER(SEARCH("ring fenced",$B114)))</f>
        <v>0</v>
      </c>
      <c r="AH114" s="853" t="str">
        <f>IF(TRIM($B114)="","",IF(COUNTIFS(Lists!$AN$2:$AN$22,TRIM($B114)&amp;" | "&amp;TRIM($D114),Lists!$AO$2:$AO$22,"&lt;&gt;"),INDEX(Lists!$AO$2:$AO$22,MATCH(TRIM($B114)&amp;" | "&amp;TRIM($D114),Lists!$AN$2:$AN$22,0)),IF(COUNTIF(Lists!$AR$2:$AR$3,$AJ114),"TDD Cyber",IF(AND(LEFT($AJ114,4)="EGI ",ISNUMBER(MATCH(TRIM(MID($AJ114,5,99)),Lists!$AS$2:$AS$12,0))),TRIM(MID($AJ114,5,99)),IF(AND(LEFT($AJ114,4)="EGI ",ISNUMBER(MATCH(TRIM(MID($AJ114,5,99)),Lists!$T$2:$T$21,0))),INDEX(Lists!$U$2:$U$21,MATCH(TRIM(MID($AJ114,5,99)),Lists!$T$2:$T$21,0)),IF(OR(TRIM($J114)="",UPPER(TRIM($J114))="NA"),IFERROR(INDEX(Lists!$R$2:$R$9,MATCH(TRIM($G114),Lists!$Q$2:$Q$9,0)),"UNMAPPED"),IFERROR(INDEX(Lists!$U$2:$U$21,MATCH(TRIM($J114),Lists!$T$2:$T$21,0)),IFERROR(INDEX(Lists!$R$2:$R$9,MATCH(TRIM($G114),Lists!$Q$2:$Q$9,0)),"UNMAPPED"))))))))</f>
        <v>TDD Group Functions</v>
      </c>
      <c r="AI114" s="534" t="b">
        <f>IF(TRIM($B114)="","",--OR(TRIM($L114)="Leadership",TRIM($K114)="Leadership"))</f>
        <v>1</v>
      </c>
      <c r="AJ114" s="534" t="str">
        <f>IF(TRIM($B114)="","",IF(COUNTIFS(Lists!$AN$2:$AN$22,TRIM($B114)&amp;" | "&amp;TRIM($D114),Lists!$AP$2:$AP$22,"&lt;&gt;"),INDEX(Lists!$AP$2:$AP$22,MATCH(TRIM($B114)&amp;" | "&amp;TRIM($D114),Lists!$AN$2:$AN$22,0)),IF($AI114=1,"Leadership",IFERROR(INDEX(Lists!$X$2:$X$21,MATCH(TRIM($L114),Lists!$W$2:$W$21,0)),IF(OR(TRIM($L114)="",LOWER(TRIM($L114))="na"),IF(TRIM($H114)="","Unassigned",TRIM($H114)),TRIM($L114))))))</f>
        <v>Leadership</v>
      </c>
      <c r="AK114" s="534" t="str">
        <f>IF(TRIM($B114)="","",IF(COUNTIFS(Lists!$AN$2:$AN$22,TRIM($B114)&amp;" | "&amp;TRIM($D114),Lists!$AQ$2:$AQ$22,"&lt;&gt;"),INDEX(Lists!$AQ$2:$AQ$22,MATCH(TRIM($B114)&amp;" | "&amp;TRIM($D114),Lists!$AN$2:$AN$22,0)),IF(COUNTIF(Lists!$AF$2:$AF$8,$AJ114),$AJ114,IF(ISNUMBER(SEARCH("head of ",$D114)),"Head of Technology",IF(ISNUMBER(SEARCH("TDD BP",$D114)),"Business Partner",IF(OR(ISNUMBER(SEARCH("domain architect",$D114)),ISNUMBER(SEARCH("enterprise architect",$D114))),"Domain Architect",IF(ISNUMBER(SEARCH("delivery man",$D114)),"Delivery Manager",IF(OR(ISNUMBER(SEARCH("technology manager",$D114)),ISNUMBER(SEARCH("technology manger",$D114)),ISNUMBER(SEARCH("tech manager",$D114))),"Technology Manager","Squad"))))))))</f>
        <v>Delivery Manager</v>
      </c>
      <c r="AL114" s="534" t="str">
        <f>IF(TRIM($B114)="","",IF(AND($AM114=1,LEFT($AJ114,4)&lt;&gt;"EGI ",$AJ114&lt;&gt;"EGI"),IFERROR(INDEX(Lists!$Z$2:$Z$20,MATCH($AH114,Lists!$Y$2:$Y$20,0)),"EGI "&amp;$AH114),IF(COUNTIF(Lists!$AU$2:$AU$10,$AJ114),$AJ114,IF(OR(LEFT($AH114,3)="COE",$AH114="EGI"),$AJ114,IF($AK114&lt;&gt;"Squad",$AK114,$AJ114)))))</f>
        <v>Delivery Manager</v>
      </c>
      <c r="AM114" s="534" t="b">
        <f>IF(TRIM($B114)="","",--(UPPER(TRIM($K114))="EGI"))</f>
        <v>0</v>
      </c>
      <c r="AQ114" s="841" t="inlineStr">
        <is>
          <t>R0113</t>
        </is>
      </c>
      <c r="AZ114" s="841" t="n"/>
    </row>
    <row r="115" ht="18" customHeight="1" s="535">
      <c r="A115" s="842" t="inlineStr">
        <is>
          <t>V</t>
        </is>
      </c>
      <c r="B115" s="843" t="inlineStr">
        <is>
          <t>Vacant</t>
        </is>
      </c>
      <c r="C115" s="842" t="inlineStr">
        <is>
          <t>V</t>
        </is>
      </c>
      <c r="D115" s="843" t="inlineStr">
        <is>
          <t>Technology Manager – Cloud, Network and Infrastructure Operations</t>
        </is>
      </c>
      <c r="E115" s="843" t="inlineStr">
        <is>
          <t>Vacant</t>
        </is>
      </c>
      <c r="F115" s="843" t="inlineStr">
        <is>
          <t>Head of Technology - TDD &amp; Engineering Capability Lead</t>
        </is>
      </c>
      <c r="G115" s="844" t="inlineStr">
        <is>
          <t>TDD Group Functions</t>
        </is>
      </c>
      <c r="H115" s="843" t="inlineStr">
        <is>
          <t>TDD &amp; Engineering</t>
        </is>
      </c>
      <c r="I115" s="843" t="inlineStr">
        <is>
          <t>Cloud Network &amp; Infra Ops</t>
        </is>
      </c>
      <c r="J115" s="843" t="inlineStr">
        <is>
          <t>TDD</t>
        </is>
      </c>
      <c r="K115" s="843" t="inlineStr">
        <is>
          <t>TDD</t>
        </is>
      </c>
      <c r="L115" s="843" t="inlineStr">
        <is>
          <t>Leadership</t>
        </is>
      </c>
      <c r="M115" s="843" t="n"/>
      <c r="N115" s="845" t="inlineStr">
        <is>
          <t>Australia</t>
        </is>
      </c>
      <c r="O115" s="846" t="inlineStr">
        <is>
          <t>CSB</t>
        </is>
      </c>
      <c r="P115" s="847" t="n">
        <v>1</v>
      </c>
      <c r="Q115" s="856" t="n"/>
      <c r="R115" s="847" t="inlineStr">
        <is>
          <t>v</t>
        </is>
      </c>
      <c r="S115" s="847" t="n"/>
      <c r="T115" s="847" t="n"/>
      <c r="U115" s="848" t="n">
        <v>203550</v>
      </c>
      <c r="V115" s="849" t="n">
        <v>203550</v>
      </c>
      <c r="W115" s="850" t="n">
        <v>0.14</v>
      </c>
      <c r="X115" s="847" t="n">
        <v>0.055</v>
      </c>
      <c r="Y115" s="850" t="n">
        <v>0.12</v>
      </c>
      <c r="Z115" s="851" t="n"/>
      <c r="AA115" s="850" t="n">
        <v>0.04</v>
      </c>
      <c r="AB115" s="852" t="n">
        <v>275810.25</v>
      </c>
      <c r="AD115" s="857" t="n"/>
      <c r="AE115" s="857">
        <f>IF(TRIM($B115)="","",IF(AND(N($P115)&gt;0,N($P115)&lt;1),N($AB115)*N($P115),N($AB115)))</f>
        <v>275810.25</v>
      </c>
      <c r="AF115" s="857" t="str">
        <f>IF(TRIM($B115)="","",IF(OR(ISNUMBER(SEARCH("vacant",$B115)),ISNUMBER(SEARCH("ring fenced",$B115)),LOWER(TRIM($B115))="remove"),"Vacant","Filled"))</f>
        <v>Vacant</v>
      </c>
      <c r="AG115" s="857" t="b">
        <f>IF(TRIM($B115)="","",--ISNUMBER(SEARCH("ring fenced",$B115)))</f>
        <v>0</v>
      </c>
      <c r="AH115" s="853" t="str">
        <f>IF(TRIM($B115)="","",IF(COUNTIFS(Lists!$AN$2:$AN$22,TRIM($B115)&amp;" | "&amp;TRIM($D115),Lists!$AO$2:$AO$22,"&lt;&gt;"),INDEX(Lists!$AO$2:$AO$22,MATCH(TRIM($B115)&amp;" | "&amp;TRIM($D115),Lists!$AN$2:$AN$22,0)),IF(COUNTIF(Lists!$AR$2:$AR$3,$AJ115),"TDD Cyber",IF(AND(LEFT($AJ115,4)="EGI ",ISNUMBER(MATCH(TRIM(MID($AJ115,5,99)),Lists!$AS$2:$AS$12,0))),TRIM(MID($AJ115,5,99)),IF(AND(LEFT($AJ115,4)="EGI ",ISNUMBER(MATCH(TRIM(MID($AJ115,5,99)),Lists!$T$2:$T$21,0))),INDEX(Lists!$U$2:$U$21,MATCH(TRIM(MID($AJ115,5,99)),Lists!$T$2:$T$21,0)),IF(OR(TRIM($J115)="",UPPER(TRIM($J115))="NA"),IFERROR(INDEX(Lists!$R$2:$R$9,MATCH(TRIM($G115),Lists!$Q$2:$Q$9,0)),"UNMAPPED"),IFERROR(INDEX(Lists!$U$2:$U$21,MATCH(TRIM($J115),Lists!$T$2:$T$21,0)),IFERROR(INDEX(Lists!$R$2:$R$9,MATCH(TRIM($G115),Lists!$Q$2:$Q$9,0)),"UNMAPPED"))))))))</f>
        <v>TDD Group Functions</v>
      </c>
      <c r="AI115" s="534" t="b">
        <f>IF(TRIM($B115)="","",--OR(TRIM($L115)="Leadership",TRIM($K115)="Leadership"))</f>
        <v>1</v>
      </c>
      <c r="AJ115" s="534" t="str">
        <f>IF(TRIM($B115)="","",IF(COUNTIFS(Lists!$AN$2:$AN$22,TRIM($B115)&amp;" | "&amp;TRIM($D115),Lists!$AP$2:$AP$22,"&lt;&gt;"),INDEX(Lists!$AP$2:$AP$22,MATCH(TRIM($B115)&amp;" | "&amp;TRIM($D115),Lists!$AN$2:$AN$22,0)),IF($AI115=1,"Leadership",IFERROR(INDEX(Lists!$X$2:$X$21,MATCH(TRIM($L115),Lists!$W$2:$W$21,0)),IF(OR(TRIM($L115)="",LOWER(TRIM($L115))="na"),IF(TRIM($H115)="","Unassigned",TRIM($H115)),TRIM($L115))))))</f>
        <v>Leadership</v>
      </c>
      <c r="AK115" s="534" t="str">
        <f>IF(TRIM($B115)="","",IF(COUNTIFS(Lists!$AN$2:$AN$22,TRIM($B115)&amp;" | "&amp;TRIM($D115),Lists!$AQ$2:$AQ$22,"&lt;&gt;"),INDEX(Lists!$AQ$2:$AQ$22,MATCH(TRIM($B115)&amp;" | "&amp;TRIM($D115),Lists!$AN$2:$AN$22,0)),IF(COUNTIF(Lists!$AF$2:$AF$8,$AJ115),$AJ115,IF(ISNUMBER(SEARCH("head of ",$D115)),"Head of Technology",IF(ISNUMBER(SEARCH("TDD BP",$D115)),"Business Partner",IF(OR(ISNUMBER(SEARCH("domain architect",$D115)),ISNUMBER(SEARCH("enterprise architect",$D115))),"Domain Architect",IF(ISNUMBER(SEARCH("delivery man",$D115)),"Delivery Manager",IF(OR(ISNUMBER(SEARCH("technology manager",$D115)),ISNUMBER(SEARCH("technology manger",$D115)),ISNUMBER(SEARCH("tech manager",$D115))),"Technology Manager","Squad"))))))))</f>
        <v>Technology Manager</v>
      </c>
      <c r="AL115" s="534" t="str">
        <f>IF(TRIM($B115)="","",IF(AND($AM115=1,LEFT($AJ115,4)&lt;&gt;"EGI ",$AJ115&lt;&gt;"EGI"),IFERROR(INDEX(Lists!$Z$2:$Z$20,MATCH($AH115,Lists!$Y$2:$Y$20,0)),"EGI "&amp;$AH115),IF(COUNTIF(Lists!$AU$2:$AU$10,$AJ115),$AJ115,IF(OR(LEFT($AH115,3)="COE",$AH115="EGI"),$AJ115,IF($AK115&lt;&gt;"Squad",$AK115,$AJ115)))))</f>
        <v>Technology Manager</v>
      </c>
      <c r="AM115" s="534" t="b">
        <f>IF(TRIM($B115)="","",--(UPPER(TRIM($K115))="EGI"))</f>
        <v>0</v>
      </c>
      <c r="AQ115" s="841" t="inlineStr">
        <is>
          <t>R0114</t>
        </is>
      </c>
      <c r="AZ115" s="841" t="n"/>
    </row>
    <row r="116" ht="18" customHeight="1" s="535">
      <c r="A116" s="842" t="n">
        <v>98379</v>
      </c>
      <c r="B116" s="843" t="inlineStr">
        <is>
          <t>Vaishnavi Viswanathan</t>
        </is>
      </c>
      <c r="C116" s="842" t="n">
        <v>98379</v>
      </c>
      <c r="D116" s="843" t="inlineStr">
        <is>
          <t>Technology Manager, Store Platform</t>
        </is>
      </c>
      <c r="E116" s="843" t="inlineStr">
        <is>
          <t>Vacant</t>
        </is>
      </c>
      <c r="F116" s="843" t="inlineStr">
        <is>
          <t>Head of Technology,  Ampol Retail</t>
        </is>
      </c>
      <c r="G116" s="844" t="inlineStr">
        <is>
          <t>Ampol Retail &amp; Z</t>
        </is>
      </c>
      <c r="H116" s="843" t="inlineStr">
        <is>
          <t>Ampol Retail</t>
        </is>
      </c>
      <c r="I116" s="843" t="inlineStr">
        <is>
          <t>Ampol Retail, Store Platforms</t>
        </is>
      </c>
      <c r="J116" s="843" t="inlineStr">
        <is>
          <t>Retail</t>
        </is>
      </c>
      <c r="K116" s="843" t="inlineStr">
        <is>
          <t>Store Operations, Payments, POS</t>
        </is>
      </c>
      <c r="L116" s="843" t="inlineStr">
        <is>
          <t>Leadership</t>
        </is>
      </c>
      <c r="M116" s="843" t="n"/>
      <c r="N116" s="845" t="inlineStr">
        <is>
          <t>Australia</t>
        </is>
      </c>
      <c r="O116" s="846" t="inlineStr">
        <is>
          <t>CSB</t>
        </is>
      </c>
      <c r="P116" s="847" t="n">
        <v>1</v>
      </c>
      <c r="Q116" s="856" t="n"/>
      <c r="R116" s="847" t="inlineStr">
        <is>
          <t>Permanent - Full Time</t>
        </is>
      </c>
      <c r="S116" s="847" t="n"/>
      <c r="T116" s="847" t="n"/>
      <c r="U116" s="848" t="n">
        <v>190225</v>
      </c>
      <c r="V116" s="849" t="n">
        <v>190225</v>
      </c>
      <c r="W116" s="850" t="n">
        <v>0.14</v>
      </c>
      <c r="X116" s="847" t="n">
        <v>0.055</v>
      </c>
      <c r="Y116" s="850" t="n">
        <v>0.12</v>
      </c>
      <c r="Z116" s="851" t="n"/>
      <c r="AA116" s="850" t="n">
        <v>0.04</v>
      </c>
      <c r="AB116" s="852" t="n">
        <v>257754.875</v>
      </c>
      <c r="AD116" s="857" t="n"/>
      <c r="AE116" s="857">
        <f>IF(TRIM($B116)="","",IF(AND(N($P116)&gt;0,N($P116)&lt;1),N($AB116)*N($P116),N($AB116)))</f>
        <v>257754.875</v>
      </c>
      <c r="AF116" s="857" t="str">
        <f>IF(TRIM($B116)="","",IF(OR(ISNUMBER(SEARCH("vacant",$B116)),ISNUMBER(SEARCH("ring fenced",$B116)),LOWER(TRIM($B116))="remove"),"Vacant","Filled"))</f>
        <v>Filled</v>
      </c>
      <c r="AG116" s="857" t="b">
        <f>IF(TRIM($B116)="","",--ISNUMBER(SEARCH("ring fenced",$B116)))</f>
        <v>0</v>
      </c>
      <c r="AH116" s="853" t="str">
        <f>IF(TRIM($B116)="","",IF(COUNTIFS(Lists!$AN$2:$AN$22,TRIM($B116)&amp;" | "&amp;TRIM($D116),Lists!$AO$2:$AO$22,"&lt;&gt;"),INDEX(Lists!$AO$2:$AO$22,MATCH(TRIM($B116)&amp;" | "&amp;TRIM($D116),Lists!$AN$2:$AN$22,0)),IF(COUNTIF(Lists!$AR$2:$AR$3,$AJ116),"TDD Cyber",IF(AND(LEFT($AJ116,4)="EGI ",ISNUMBER(MATCH(TRIM(MID($AJ116,5,99)),Lists!$AS$2:$AS$12,0))),TRIM(MID($AJ116,5,99)),IF(AND(LEFT($AJ116,4)="EGI ",ISNUMBER(MATCH(TRIM(MID($AJ116,5,99)),Lists!$T$2:$T$21,0))),INDEX(Lists!$U$2:$U$21,MATCH(TRIM(MID($AJ116,5,99)),Lists!$T$2:$T$21,0)),IF(OR(TRIM($J116)="",UPPER(TRIM($J116))="NA"),IFERROR(INDEX(Lists!$R$2:$R$9,MATCH(TRIM($G116),Lists!$Q$2:$Q$9,0)),"UNMAPPED"),IFERROR(INDEX(Lists!$U$2:$U$21,MATCH(TRIM($J116),Lists!$T$2:$T$21,0)),IFERROR(INDEX(Lists!$R$2:$R$9,MATCH(TRIM($G116),Lists!$Q$2:$Q$9,0)),"UNMAPPED"))))))))</f>
        <v>Ampol Retail</v>
      </c>
      <c r="AI116" s="534" t="b">
        <f>IF(TRIM($B116)="","",--OR(TRIM($L116)="Leadership",TRIM($K116)="Leadership"))</f>
        <v>1</v>
      </c>
      <c r="AJ116" s="534" t="str">
        <f>IF(TRIM($B116)="","",IF(COUNTIFS(Lists!$AN$2:$AN$22,TRIM($B116)&amp;" | "&amp;TRIM($D116),Lists!$AP$2:$AP$22,"&lt;&gt;"),INDEX(Lists!$AP$2:$AP$22,MATCH(TRIM($B116)&amp;" | "&amp;TRIM($D116),Lists!$AN$2:$AN$22,0)),IF($AI116=1,"Leadership",IFERROR(INDEX(Lists!$X$2:$X$21,MATCH(TRIM($L116),Lists!$W$2:$W$21,0)),IF(OR(TRIM($L116)="",LOWER(TRIM($L116))="na"),IF(TRIM($H116)="","Unassigned",TRIM($H116)),TRIM($L116))))))</f>
        <v>Leadership</v>
      </c>
      <c r="AK116" s="534" t="str">
        <f>IF(TRIM($B116)="","",IF(COUNTIFS(Lists!$AN$2:$AN$22,TRIM($B116)&amp;" | "&amp;TRIM($D116),Lists!$AQ$2:$AQ$22,"&lt;&gt;"),INDEX(Lists!$AQ$2:$AQ$22,MATCH(TRIM($B116)&amp;" | "&amp;TRIM($D116),Lists!$AN$2:$AN$22,0)),IF(COUNTIF(Lists!$AF$2:$AF$8,$AJ116),$AJ116,IF(ISNUMBER(SEARCH("head of ",$D116)),"Head of Technology",IF(ISNUMBER(SEARCH("TDD BP",$D116)),"Business Partner",IF(OR(ISNUMBER(SEARCH("domain architect",$D116)),ISNUMBER(SEARCH("enterprise architect",$D116))),"Domain Architect",IF(ISNUMBER(SEARCH("delivery man",$D116)),"Delivery Manager",IF(OR(ISNUMBER(SEARCH("technology manager",$D116)),ISNUMBER(SEARCH("technology manger",$D116)),ISNUMBER(SEARCH("tech manager",$D116))),"Technology Manager","Squad"))))))))</f>
        <v>Technology Manager</v>
      </c>
      <c r="AL116" s="534" t="str">
        <f>IF(TRIM($B116)="","",IF(AND($AM116=1,LEFT($AJ116,4)&lt;&gt;"EGI ",$AJ116&lt;&gt;"EGI"),IFERROR(INDEX(Lists!$Z$2:$Z$20,MATCH($AH116,Lists!$Y$2:$Y$20,0)),"EGI "&amp;$AH116),IF(COUNTIF(Lists!$AU$2:$AU$10,$AJ116),$AJ116,IF(OR(LEFT($AH116,3)="COE",$AH116="EGI"),$AJ116,IF($AK116&lt;&gt;"Squad",$AK116,$AJ116)))))</f>
        <v>Technology Manager</v>
      </c>
      <c r="AM116" s="534" t="b">
        <f>IF(TRIM($B116)="","",--(UPPER(TRIM($K116))="EGI"))</f>
        <v>0</v>
      </c>
      <c r="AQ116" s="841" t="inlineStr">
        <is>
          <t>R0115</t>
        </is>
      </c>
      <c r="AZ116" s="841" t="n"/>
    </row>
    <row r="117" ht="18" customHeight="1" s="535">
      <c r="A117" s="842" t="n">
        <v>113525</v>
      </c>
      <c r="B117" s="843" t="inlineStr">
        <is>
          <t>Callan McLaughlin</t>
        </is>
      </c>
      <c r="C117" s="842" t="n">
        <v>113525</v>
      </c>
      <c r="D117" s="843" t="inlineStr">
        <is>
          <t>Technology Manager, Site Systems</t>
        </is>
      </c>
      <c r="E117" s="843" t="inlineStr">
        <is>
          <t>vacant</t>
        </is>
      </c>
      <c r="F117" s="843" t="inlineStr">
        <is>
          <t>Head of Technology, Z and Group Retail Platforms</t>
        </is>
      </c>
      <c r="G117" s="844" t="inlineStr">
        <is>
          <t>Ampol Retail &amp; Z</t>
        </is>
      </c>
      <c r="H117" s="843" t="inlineStr">
        <is>
          <t>Z &amp; Group Retail</t>
        </is>
      </c>
      <c r="I117" s="843" t="inlineStr">
        <is>
          <t>Z &amp; Group Retail, Site Systems</t>
        </is>
      </c>
      <c r="J117" s="843" t="inlineStr">
        <is>
          <t>Z</t>
        </is>
      </c>
      <c r="K117" s="843" t="inlineStr">
        <is>
          <t>Z Customer &amp; Z Supply</t>
        </is>
      </c>
      <c r="L117" s="843" t="inlineStr">
        <is>
          <t>Leadership</t>
        </is>
      </c>
      <c r="M117" s="843" t="n"/>
      <c r="N117" s="845" t="inlineStr">
        <is>
          <t>NZ</t>
        </is>
      </c>
      <c r="O117" s="846" t="inlineStr">
        <is>
          <t>CSB</t>
        </is>
      </c>
      <c r="P117" s="847" t="n">
        <v>1</v>
      </c>
      <c r="Q117" s="858" t="n"/>
      <c r="R117" s="847" t="inlineStr">
        <is>
          <t>Permanent - Full Time</t>
        </is>
      </c>
      <c r="S117" s="847" t="n"/>
      <c r="T117" s="847" t="n"/>
      <c r="U117" s="848" t="n">
        <v>183480</v>
      </c>
      <c r="V117" s="849" t="n">
        <v>168801.6</v>
      </c>
      <c r="W117" s="850" t="n">
        <v>0.15</v>
      </c>
      <c r="X117" s="847" t="n"/>
      <c r="Y117" s="850" t="n">
        <v>0.05</v>
      </c>
      <c r="Z117" s="851" t="n">
        <v>2910</v>
      </c>
      <c r="AA117" s="850" t="n">
        <v>0.03</v>
      </c>
      <c r="AB117" s="852" t="n">
        <v>210535.968</v>
      </c>
      <c r="AD117" s="857" t="n"/>
      <c r="AE117" s="857">
        <f>IF(TRIM($B117)="","",IF(AND(N($P117)&gt;0,N($P117)&lt;1),N($AB117)*N($P117),N($AB117)))</f>
        <v>210535.968</v>
      </c>
      <c r="AF117" s="857" t="str">
        <f>IF(TRIM($B117)="","",IF(OR(ISNUMBER(SEARCH("vacant",$B117)),ISNUMBER(SEARCH("ring fenced",$B117)),LOWER(TRIM($B117))="remove"),"Vacant","Filled"))</f>
        <v>Filled</v>
      </c>
      <c r="AG117" s="857" t="b">
        <f>IF(TRIM($B117)="","",--ISNUMBER(SEARCH("ring fenced",$B117)))</f>
        <v>0</v>
      </c>
      <c r="AH117" s="853" t="str">
        <f>IF(TRIM($B117)="","",IF(COUNTIFS(Lists!$AN$2:$AN$22,TRIM($B117)&amp;" | "&amp;TRIM($D117),Lists!$AO$2:$AO$22,"&lt;&gt;"),INDEX(Lists!$AO$2:$AO$22,MATCH(TRIM($B117)&amp;" | "&amp;TRIM($D117),Lists!$AN$2:$AN$22,0)),IF(COUNTIF(Lists!$AR$2:$AR$3,$AJ117),"TDD Cyber",IF(AND(LEFT($AJ117,4)="EGI ",ISNUMBER(MATCH(TRIM(MID($AJ117,5,99)),Lists!$AS$2:$AS$12,0))),TRIM(MID($AJ117,5,99)),IF(AND(LEFT($AJ117,4)="EGI ",ISNUMBER(MATCH(TRIM(MID($AJ117,5,99)),Lists!$T$2:$T$21,0))),INDEX(Lists!$U$2:$U$21,MATCH(TRIM(MID($AJ117,5,99)),Lists!$T$2:$T$21,0)),IF(OR(TRIM($J117)="",UPPER(TRIM($J117))="NA"),IFERROR(INDEX(Lists!$R$2:$R$9,MATCH(TRIM($G117),Lists!$Q$2:$Q$9,0)),"UNMAPPED"),IFERROR(INDEX(Lists!$U$2:$U$21,MATCH(TRIM($J117),Lists!$T$2:$T$21,0)),IFERROR(INDEX(Lists!$R$2:$R$9,MATCH(TRIM($G117),Lists!$Q$2:$Q$9,0)),"UNMAPPED"))))))))</f>
        <v>Z Retail</v>
      </c>
      <c r="AI117" s="534" t="b">
        <f>IF(TRIM($B117)="","",--OR(TRIM($L117)="Leadership",TRIM($K117)="Leadership"))</f>
        <v>1</v>
      </c>
      <c r="AJ117" s="534" t="str">
        <f>IF(TRIM($B117)="","",IF(COUNTIFS(Lists!$AN$2:$AN$22,TRIM($B117)&amp;" | "&amp;TRIM($D117),Lists!$AP$2:$AP$22,"&lt;&gt;"),INDEX(Lists!$AP$2:$AP$22,MATCH(TRIM($B117)&amp;" | "&amp;TRIM($D117),Lists!$AN$2:$AN$22,0)),IF($AI117=1,"Leadership",IFERROR(INDEX(Lists!$X$2:$X$21,MATCH(TRIM($L117),Lists!$W$2:$W$21,0)),IF(OR(TRIM($L117)="",LOWER(TRIM($L117))="na"),IF(TRIM($H117)="","Unassigned",TRIM($H117)),TRIM($L117))))))</f>
        <v>Leadership</v>
      </c>
      <c r="AK117" s="534" t="str">
        <f>IF(TRIM($B117)="","",IF(COUNTIFS(Lists!$AN$2:$AN$22,TRIM($B117)&amp;" | "&amp;TRIM($D117),Lists!$AQ$2:$AQ$22,"&lt;&gt;"),INDEX(Lists!$AQ$2:$AQ$22,MATCH(TRIM($B117)&amp;" | "&amp;TRIM($D117),Lists!$AN$2:$AN$22,0)),IF(COUNTIF(Lists!$AF$2:$AF$8,$AJ117),$AJ117,IF(ISNUMBER(SEARCH("head of ",$D117)),"Head of Technology",IF(ISNUMBER(SEARCH("TDD BP",$D117)),"Business Partner",IF(OR(ISNUMBER(SEARCH("domain architect",$D117)),ISNUMBER(SEARCH("enterprise architect",$D117))),"Domain Architect",IF(ISNUMBER(SEARCH("delivery man",$D117)),"Delivery Manager",IF(OR(ISNUMBER(SEARCH("technology manager",$D117)),ISNUMBER(SEARCH("technology manger",$D117)),ISNUMBER(SEARCH("tech manager",$D117))),"Technology Manager","Squad"))))))))</f>
        <v>Technology Manager</v>
      </c>
      <c r="AL117" s="534" t="str">
        <f>IF(TRIM($B117)="","",IF(AND($AM117=1,LEFT($AJ117,4)&lt;&gt;"EGI ",$AJ117&lt;&gt;"EGI"),IFERROR(INDEX(Lists!$Z$2:$Z$20,MATCH($AH117,Lists!$Y$2:$Y$20,0)),"EGI "&amp;$AH117),IF(COUNTIF(Lists!$AU$2:$AU$10,$AJ117),$AJ117,IF(OR(LEFT($AH117,3)="COE",$AH117="EGI"),$AJ117,IF($AK117&lt;&gt;"Squad",$AK117,$AJ117)))))</f>
        <v>Technology Manager</v>
      </c>
      <c r="AM117" s="534" t="b">
        <f>IF(TRIM($B117)="","",--(UPPER(TRIM($K117))="EGI"))</f>
        <v>0</v>
      </c>
      <c r="AQ117" s="841" t="inlineStr">
        <is>
          <t>R0116</t>
        </is>
      </c>
      <c r="AZ117" s="841" t="n"/>
    </row>
    <row r="118" ht="18" customHeight="1" s="535">
      <c r="A118" s="842" t="inlineStr">
        <is>
          <t>V</t>
        </is>
      </c>
      <c r="B118" s="843" t="inlineStr">
        <is>
          <t>Vacant</t>
        </is>
      </c>
      <c r="C118" s="842" t="inlineStr">
        <is>
          <t>V</t>
        </is>
      </c>
      <c r="D118" s="843" t="inlineStr">
        <is>
          <t>Delivery Manager</t>
        </is>
      </c>
      <c r="E118" s="843" t="inlineStr">
        <is>
          <t>Vacant</t>
        </is>
      </c>
      <c r="F118" s="843" t="inlineStr">
        <is>
          <t>Head of Technology, Z and Group Retail Platforms</t>
        </is>
      </c>
      <c r="G118" s="844" t="inlineStr">
        <is>
          <t>Ampol Retail &amp; Z</t>
        </is>
      </c>
      <c r="H118" s="843" t="inlineStr">
        <is>
          <t>Z &amp; Group Retail</t>
        </is>
      </c>
      <c r="I118" s="843" t="inlineStr">
        <is>
          <t>Z &amp; Group Retail, Delivery</t>
        </is>
      </c>
      <c r="J118" s="843" t="inlineStr">
        <is>
          <t>Z</t>
        </is>
      </c>
      <c r="K118" s="843" t="inlineStr">
        <is>
          <t>Z Customer &amp; Z Supply</t>
        </is>
      </c>
      <c r="L118" s="843" t="inlineStr">
        <is>
          <t>Leadership</t>
        </is>
      </c>
      <c r="M118" s="843" t="n"/>
      <c r="N118" s="845" t="inlineStr">
        <is>
          <t>Australia</t>
        </is>
      </c>
      <c r="O118" s="846" t="inlineStr">
        <is>
          <t>CSB</t>
        </is>
      </c>
      <c r="P118" s="847" t="n">
        <v>1</v>
      </c>
      <c r="Q118" s="856" t="n"/>
      <c r="R118" s="847" t="inlineStr">
        <is>
          <t>V</t>
        </is>
      </c>
      <c r="S118" s="847" t="n"/>
      <c r="T118" s="847" t="n"/>
      <c r="U118" s="848" t="n">
        <v>151950</v>
      </c>
      <c r="V118" s="849" t="n">
        <v>151950</v>
      </c>
      <c r="W118" s="850" t="n">
        <v>0.12</v>
      </c>
      <c r="X118" s="847" t="n">
        <v>0.055</v>
      </c>
      <c r="Y118" s="850" t="n">
        <v>0.12</v>
      </c>
      <c r="Z118" s="851" t="n"/>
      <c r="AA118" s="850" t="n">
        <v>0.04</v>
      </c>
      <c r="AB118" s="852" t="n">
        <v>202853.25</v>
      </c>
      <c r="AD118" s="857" t="n"/>
      <c r="AE118" s="857">
        <f>IF(TRIM($B118)="","",IF(AND(N($P118)&gt;0,N($P118)&lt;1),N($AB118)*N($P118),N($AB118)))</f>
        <v>202853.25</v>
      </c>
      <c r="AF118" s="857" t="str">
        <f>IF(TRIM($B118)="","",IF(OR(ISNUMBER(SEARCH("vacant",$B118)),ISNUMBER(SEARCH("ring fenced",$B118)),LOWER(TRIM($B118))="remove"),"Vacant","Filled"))</f>
        <v>Vacant</v>
      </c>
      <c r="AG118" s="857" t="b">
        <f>IF(TRIM($B118)="","",--ISNUMBER(SEARCH("ring fenced",$B118)))</f>
        <v>0</v>
      </c>
      <c r="AH118" s="853" t="str">
        <f>IF(TRIM($B118)="","",IF(COUNTIFS(Lists!$AN$2:$AN$22,TRIM($B118)&amp;" | "&amp;TRIM($D118),Lists!$AO$2:$AO$22,"&lt;&gt;"),INDEX(Lists!$AO$2:$AO$22,MATCH(TRIM($B118)&amp;" | "&amp;TRIM($D118),Lists!$AN$2:$AN$22,0)),IF(COUNTIF(Lists!$AR$2:$AR$3,$AJ118),"TDD Cyber",IF(AND(LEFT($AJ118,4)="EGI ",ISNUMBER(MATCH(TRIM(MID($AJ118,5,99)),Lists!$AS$2:$AS$12,0))),TRIM(MID($AJ118,5,99)),IF(AND(LEFT($AJ118,4)="EGI ",ISNUMBER(MATCH(TRIM(MID($AJ118,5,99)),Lists!$T$2:$T$21,0))),INDEX(Lists!$U$2:$U$21,MATCH(TRIM(MID($AJ118,5,99)),Lists!$T$2:$T$21,0)),IF(OR(TRIM($J118)="",UPPER(TRIM($J118))="NA"),IFERROR(INDEX(Lists!$R$2:$R$9,MATCH(TRIM($G118),Lists!$Q$2:$Q$9,0)),"UNMAPPED"),IFERROR(INDEX(Lists!$U$2:$U$21,MATCH(TRIM($J118),Lists!$T$2:$T$21,0)),IFERROR(INDEX(Lists!$R$2:$R$9,MATCH(TRIM($G118),Lists!$Q$2:$Q$9,0)),"UNMAPPED"))))))))</f>
        <v>Z Retail</v>
      </c>
      <c r="AI118" s="534" t="b">
        <f>IF(TRIM($B118)="","",--OR(TRIM($L118)="Leadership",TRIM($K118)="Leadership"))</f>
        <v>1</v>
      </c>
      <c r="AJ118" s="534" t="str">
        <f>IF(TRIM($B118)="","",IF(COUNTIFS(Lists!$AN$2:$AN$22,TRIM($B118)&amp;" | "&amp;TRIM($D118),Lists!$AP$2:$AP$22,"&lt;&gt;"),INDEX(Lists!$AP$2:$AP$22,MATCH(TRIM($B118)&amp;" | "&amp;TRIM($D118),Lists!$AN$2:$AN$22,0)),IF($AI118=1,"Leadership",IFERROR(INDEX(Lists!$X$2:$X$21,MATCH(TRIM($L118),Lists!$W$2:$W$21,0)),IF(OR(TRIM($L118)="",LOWER(TRIM($L118))="na"),IF(TRIM($H118)="","Unassigned",TRIM($H118)),TRIM($L118))))))</f>
        <v>Leadership</v>
      </c>
      <c r="AK118" s="534" t="str">
        <f>IF(TRIM($B118)="","",IF(COUNTIFS(Lists!$AN$2:$AN$22,TRIM($B118)&amp;" | "&amp;TRIM($D118),Lists!$AQ$2:$AQ$22,"&lt;&gt;"),INDEX(Lists!$AQ$2:$AQ$22,MATCH(TRIM($B118)&amp;" | "&amp;TRIM($D118),Lists!$AN$2:$AN$22,0)),IF(COUNTIF(Lists!$AF$2:$AF$8,$AJ118),$AJ118,IF(ISNUMBER(SEARCH("head of ",$D118)),"Head of Technology",IF(ISNUMBER(SEARCH("TDD BP",$D118)),"Business Partner",IF(OR(ISNUMBER(SEARCH("domain architect",$D118)),ISNUMBER(SEARCH("enterprise architect",$D118))),"Domain Architect",IF(ISNUMBER(SEARCH("delivery man",$D118)),"Delivery Manager",IF(OR(ISNUMBER(SEARCH("technology manager",$D118)),ISNUMBER(SEARCH("technology manger",$D118)),ISNUMBER(SEARCH("tech manager",$D118))),"Technology Manager","Squad"))))))))</f>
        <v>Delivery Manager</v>
      </c>
      <c r="AL118" s="534" t="str">
        <f>IF(TRIM($B118)="","",IF(AND($AM118=1,LEFT($AJ118,4)&lt;&gt;"EGI ",$AJ118&lt;&gt;"EGI"),IFERROR(INDEX(Lists!$Z$2:$Z$20,MATCH($AH118,Lists!$Y$2:$Y$20,0)),"EGI "&amp;$AH118),IF(COUNTIF(Lists!$AU$2:$AU$10,$AJ118),$AJ118,IF(OR(LEFT($AH118,3)="COE",$AH118="EGI"),$AJ118,IF($AK118&lt;&gt;"Squad",$AK118,$AJ118)))))</f>
        <v>Delivery Manager</v>
      </c>
      <c r="AM118" s="534" t="b">
        <f>IF(TRIM($B118)="","",--(UPPER(TRIM($K118))="EGI"))</f>
        <v>0</v>
      </c>
      <c r="AQ118" s="841" t="inlineStr">
        <is>
          <t>R0117</t>
        </is>
      </c>
      <c r="AZ118" s="841" t="n"/>
    </row>
    <row r="119" ht="18" customHeight="1" s="535">
      <c r="A119" s="842" t="inlineStr">
        <is>
          <t>V</t>
        </is>
      </c>
      <c r="B119" s="843" t="inlineStr">
        <is>
          <t>Vacant</t>
        </is>
      </c>
      <c r="C119" s="842" t="inlineStr">
        <is>
          <t>V</t>
        </is>
      </c>
      <c r="D119" s="843" t="inlineStr">
        <is>
          <t>Delivery Assurance Manager</t>
        </is>
      </c>
      <c r="E119" s="843" t="inlineStr">
        <is>
          <t>Vacant</t>
        </is>
      </c>
      <c r="F119" s="843" t="inlineStr">
        <is>
          <t xml:space="preserve">Manager Identity &amp; Access Management </t>
        </is>
      </c>
      <c r="G119" s="844" t="inlineStr">
        <is>
          <t>Partnering &amp; Transformation</t>
        </is>
      </c>
      <c r="H119" s="843" t="inlineStr">
        <is>
          <t>Transformation</t>
        </is>
      </c>
      <c r="I119" s="843" t="inlineStr">
        <is>
          <t>NA</t>
        </is>
      </c>
      <c r="J119" s="843" t="inlineStr">
        <is>
          <t>NA</t>
        </is>
      </c>
      <c r="K119" s="843" t="inlineStr">
        <is>
          <t>NA</t>
        </is>
      </c>
      <c r="L119" s="843" t="inlineStr">
        <is>
          <t>NA</t>
        </is>
      </c>
      <c r="M119" s="843" t="n"/>
      <c r="N119" s="845" t="inlineStr">
        <is>
          <t>Australia</t>
        </is>
      </c>
      <c r="O119" s="846" t="inlineStr">
        <is>
          <t>CSB</t>
        </is>
      </c>
      <c r="P119" s="847" t="n">
        <v>1</v>
      </c>
      <c r="Q119" s="856" t="n"/>
      <c r="R119" s="847" t="inlineStr">
        <is>
          <t>V</t>
        </is>
      </c>
      <c r="S119" s="847" t="n"/>
      <c r="T119" s="847" t="n"/>
      <c r="U119" s="848" t="n">
        <v>203550</v>
      </c>
      <c r="V119" s="849" t="n">
        <v>203550</v>
      </c>
      <c r="W119" s="850" t="n">
        <v>0.14</v>
      </c>
      <c r="X119" s="847" t="n">
        <v>0.055</v>
      </c>
      <c r="Y119" s="850" t="n">
        <v>0.12</v>
      </c>
      <c r="Z119" s="851" t="n"/>
      <c r="AA119" s="850" t="n">
        <v>0.04</v>
      </c>
      <c r="AB119" s="852" t="n">
        <v>275810.25</v>
      </c>
      <c r="AD119" s="857" t="n"/>
      <c r="AE119" s="857">
        <f>IF(TRIM($B119)="","",IF(AND(N($P119)&gt;0,N($P119)&lt;1),N($AB119)*N($P119),N($AB119)))</f>
        <v>275810.25</v>
      </c>
      <c r="AF119" s="857" t="str">
        <f>IF(TRIM($B119)="","",IF(OR(ISNUMBER(SEARCH("vacant",$B119)),ISNUMBER(SEARCH("ring fenced",$B119)),LOWER(TRIM($B119))="remove"),"Vacant","Filled"))</f>
        <v>Vacant</v>
      </c>
      <c r="AG119" s="857" t="b">
        <f>IF(TRIM($B119)="","",--ISNUMBER(SEARCH("ring fenced",$B119)))</f>
        <v>0</v>
      </c>
      <c r="AH119" s="853" t="str">
        <f>IF(TRIM($B119)="","",IF(COUNTIFS(Lists!$AN$2:$AN$22,TRIM($B119)&amp;" | "&amp;TRIM($D119),Lists!$AO$2:$AO$22,"&lt;&gt;"),INDEX(Lists!$AO$2:$AO$22,MATCH(TRIM($B119)&amp;" | "&amp;TRIM($D119),Lists!$AN$2:$AN$22,0)),IF(COUNTIF(Lists!$AR$2:$AR$3,$AJ119),"TDD Cyber",IF(AND(LEFT($AJ119,4)="EGI ",ISNUMBER(MATCH(TRIM(MID($AJ119,5,99)),Lists!$AS$2:$AS$12,0))),TRIM(MID($AJ119,5,99)),IF(AND(LEFT($AJ119,4)="EGI ",ISNUMBER(MATCH(TRIM(MID($AJ119,5,99)),Lists!$T$2:$T$21,0))),INDEX(Lists!$U$2:$U$21,MATCH(TRIM(MID($AJ119,5,99)),Lists!$T$2:$T$21,0)),IF(OR(TRIM($J119)="",UPPER(TRIM($J119))="NA"),IFERROR(INDEX(Lists!$R$2:$R$9,MATCH(TRIM($G119),Lists!$Q$2:$Q$9,0)),"UNMAPPED"),IFERROR(INDEX(Lists!$U$2:$U$21,MATCH(TRIM($J119),Lists!$T$2:$T$21,0)),IFERROR(INDEX(Lists!$R$2:$R$9,MATCH(TRIM($G119),Lists!$Q$2:$Q$9,0)),"UNMAPPED"))))))))</f>
        <v>COE BP&amp;T</v>
      </c>
      <c r="AI119" s="534" t="b">
        <f>IF(TRIM($B119)="","",--OR(TRIM($L119)="Leadership",TRIM($K119)="Leadership"))</f>
        <v>0</v>
      </c>
      <c r="AJ119" s="534" t="str">
        <f>IF(TRIM($B119)="","",IF(COUNTIFS(Lists!$AN$2:$AN$22,TRIM($B119)&amp;" | "&amp;TRIM($D119),Lists!$AP$2:$AP$22,"&lt;&gt;"),INDEX(Lists!$AP$2:$AP$22,MATCH(TRIM($B119)&amp;" | "&amp;TRIM($D119),Lists!$AN$2:$AN$22,0)),IF($AI119=1,"Leadership",IFERROR(INDEX(Lists!$X$2:$X$21,MATCH(TRIM($L119),Lists!$W$2:$W$21,0)),IF(OR(TRIM($L119)="",LOWER(TRIM($L119))="na"),IF(TRIM($H119)="","Unassigned",TRIM($H119)),TRIM($L119))))))</f>
        <v>Transformation</v>
      </c>
      <c r="AK119" s="534" t="str">
        <f>IF(TRIM($B119)="","",IF(COUNTIFS(Lists!$AN$2:$AN$22,TRIM($B119)&amp;" | "&amp;TRIM($D119),Lists!$AQ$2:$AQ$22,"&lt;&gt;"),INDEX(Lists!$AQ$2:$AQ$22,MATCH(TRIM($B119)&amp;" | "&amp;TRIM($D119),Lists!$AN$2:$AN$22,0)),IF(COUNTIF(Lists!$AF$2:$AF$8,$AJ119),$AJ119,IF(ISNUMBER(SEARCH("head of ",$D119)),"Head of Technology",IF(ISNUMBER(SEARCH("TDD BP",$D119)),"Business Partner",IF(OR(ISNUMBER(SEARCH("domain architect",$D119)),ISNUMBER(SEARCH("enterprise architect",$D119))),"Domain Architect",IF(ISNUMBER(SEARCH("delivery man",$D119)),"Delivery Manager",IF(OR(ISNUMBER(SEARCH("technology manager",$D119)),ISNUMBER(SEARCH("technology manger",$D119)),ISNUMBER(SEARCH("tech manager",$D119))),"Technology Manager","Squad"))))))))</f>
        <v>Delivery Manager</v>
      </c>
      <c r="AL119" s="534" t="str">
        <f>IF(TRIM($B119)="","",IF(AND($AM119=1,LEFT($AJ119,4)&lt;&gt;"EGI ",$AJ119&lt;&gt;"EGI"),IFERROR(INDEX(Lists!$Z$2:$Z$20,MATCH($AH119,Lists!$Y$2:$Y$20,0)),"EGI "&amp;$AH119),IF(COUNTIF(Lists!$AU$2:$AU$10,$AJ119),$AJ119,IF(OR(LEFT($AH119,3)="COE",$AH119="EGI"),$AJ119,IF($AK119&lt;&gt;"Squad",$AK119,$AJ119)))))</f>
        <v>Transformation</v>
      </c>
      <c r="AM119" s="534" t="b">
        <f>IF(TRIM($B119)="","",--(UPPER(TRIM($K119))="EGI"))</f>
        <v>0</v>
      </c>
      <c r="AQ119" s="841" t="inlineStr">
        <is>
          <t>R0118</t>
        </is>
      </c>
      <c r="AZ119" s="841" t="n"/>
    </row>
    <row r="120" ht="18" customHeight="1" s="535">
      <c r="A120" s="842" t="n">
        <v>113835</v>
      </c>
      <c r="B120" s="843" t="inlineStr">
        <is>
          <t>Ruth Chou</t>
        </is>
      </c>
      <c r="C120" s="842" t="n">
        <v>113835</v>
      </c>
      <c r="D120" s="843" t="inlineStr">
        <is>
          <t>Portfolio Reporting Manager</t>
        </is>
      </c>
      <c r="E120" s="843" t="inlineStr">
        <is>
          <t>Vacant</t>
        </is>
      </c>
      <c r="F120" s="843" t="inlineStr">
        <is>
          <t xml:space="preserve">Manager Service Perforance &amp; Assurance </t>
        </is>
      </c>
      <c r="G120" s="844" t="inlineStr">
        <is>
          <t>Partnering &amp; Transformation</t>
        </is>
      </c>
      <c r="H120" s="843" t="inlineStr">
        <is>
          <t>Transformation</t>
        </is>
      </c>
      <c r="I120" s="843" t="inlineStr">
        <is>
          <t>NA</t>
        </is>
      </c>
      <c r="J120" s="843" t="inlineStr">
        <is>
          <t>NA</t>
        </is>
      </c>
      <c r="K120" s="843" t="inlineStr">
        <is>
          <t>NA</t>
        </is>
      </c>
      <c r="L120" s="843" t="inlineStr">
        <is>
          <t>NA</t>
        </is>
      </c>
      <c r="M120" s="843" t="n"/>
      <c r="N120" s="845" t="inlineStr">
        <is>
          <t>Australia</t>
        </is>
      </c>
      <c r="O120" s="846" t="inlineStr">
        <is>
          <t>CSB</t>
        </is>
      </c>
      <c r="P120" s="847" t="n">
        <v>1</v>
      </c>
      <c r="Q120" s="856" t="n"/>
      <c r="R120" s="847" t="inlineStr">
        <is>
          <t>Permanent - Full Time</t>
        </is>
      </c>
      <c r="S120" s="847" t="n"/>
      <c r="T120" s="847" t="n"/>
      <c r="U120" s="848" t="n">
        <v>216470</v>
      </c>
      <c r="V120" s="849" t="n">
        <v>216470</v>
      </c>
      <c r="W120" s="850" t="n">
        <v>0.14</v>
      </c>
      <c r="X120" s="847" t="n">
        <v>0.055</v>
      </c>
      <c r="Y120" s="850" t="n">
        <v>0.12</v>
      </c>
      <c r="Z120" s="851" t="n"/>
      <c r="AA120" s="850" t="n">
        <v>0.04</v>
      </c>
      <c r="AB120" s="852" t="n">
        <v>293316.85</v>
      </c>
      <c r="AD120" s="857" t="n"/>
      <c r="AE120" s="857">
        <f>IF(TRIM($B120)="","",IF(AND(N($P120)&gt;0,N($P120)&lt;1),N($AB120)*N($P120),N($AB120)))</f>
        <v>293316.85</v>
      </c>
      <c r="AF120" s="857" t="str">
        <f>IF(TRIM($B120)="","",IF(OR(ISNUMBER(SEARCH("vacant",$B120)),ISNUMBER(SEARCH("ring fenced",$B120)),LOWER(TRIM($B120))="remove"),"Vacant","Filled"))</f>
        <v>Filled</v>
      </c>
      <c r="AG120" s="857" t="b">
        <f>IF(TRIM($B120)="","",--ISNUMBER(SEARCH("ring fenced",$B120)))</f>
        <v>0</v>
      </c>
      <c r="AH120" s="853" t="str">
        <f>IF(TRIM($B120)="","",IF(COUNTIFS(Lists!$AN$2:$AN$22,TRIM($B120)&amp;" | "&amp;TRIM($D120),Lists!$AO$2:$AO$22,"&lt;&gt;"),INDEX(Lists!$AO$2:$AO$22,MATCH(TRIM($B120)&amp;" | "&amp;TRIM($D120),Lists!$AN$2:$AN$22,0)),IF(COUNTIF(Lists!$AR$2:$AR$3,$AJ120),"TDD Cyber",IF(AND(LEFT($AJ120,4)="EGI ",ISNUMBER(MATCH(TRIM(MID($AJ120,5,99)),Lists!$AS$2:$AS$12,0))),TRIM(MID($AJ120,5,99)),IF(AND(LEFT($AJ120,4)="EGI ",ISNUMBER(MATCH(TRIM(MID($AJ120,5,99)),Lists!$T$2:$T$21,0))),INDEX(Lists!$U$2:$U$21,MATCH(TRIM(MID($AJ120,5,99)),Lists!$T$2:$T$21,0)),IF(OR(TRIM($J120)="",UPPER(TRIM($J120))="NA"),IFERROR(INDEX(Lists!$R$2:$R$9,MATCH(TRIM($G120),Lists!$Q$2:$Q$9,0)),"UNMAPPED"),IFERROR(INDEX(Lists!$U$2:$U$21,MATCH(TRIM($J120),Lists!$T$2:$T$21,0)),IFERROR(INDEX(Lists!$R$2:$R$9,MATCH(TRIM($G120),Lists!$Q$2:$Q$9,0)),"UNMAPPED"))))))))</f>
        <v>COE BP&amp;T</v>
      </c>
      <c r="AI120" s="534" t="b">
        <f>IF(TRIM($B120)="","",--OR(TRIM($L120)="Leadership",TRIM($K120)="Leadership"))</f>
        <v>0</v>
      </c>
      <c r="AJ120" s="534" t="str">
        <f>IF(TRIM($B120)="","",IF(COUNTIFS(Lists!$AN$2:$AN$22,TRIM($B120)&amp;" | "&amp;TRIM($D120),Lists!$AP$2:$AP$22,"&lt;&gt;"),INDEX(Lists!$AP$2:$AP$22,MATCH(TRIM($B120)&amp;" | "&amp;TRIM($D120),Lists!$AN$2:$AN$22,0)),IF($AI120=1,"Leadership",IFERROR(INDEX(Lists!$X$2:$X$21,MATCH(TRIM($L120),Lists!$W$2:$W$21,0)),IF(OR(TRIM($L120)="",LOWER(TRIM($L120))="na"),IF(TRIM($H120)="","Unassigned",TRIM($H120)),TRIM($L120))))))</f>
        <v>Transformation</v>
      </c>
      <c r="AK120" s="534" t="str">
        <f>IF(TRIM($B120)="","",IF(COUNTIFS(Lists!$AN$2:$AN$22,TRIM($B120)&amp;" | "&amp;TRIM($D120),Lists!$AQ$2:$AQ$22,"&lt;&gt;"),INDEX(Lists!$AQ$2:$AQ$22,MATCH(TRIM($B120)&amp;" | "&amp;TRIM($D120),Lists!$AN$2:$AN$22,0)),IF(COUNTIF(Lists!$AF$2:$AF$8,$AJ120),$AJ120,IF(ISNUMBER(SEARCH("head of ",$D120)),"Head of Technology",IF(ISNUMBER(SEARCH("TDD BP",$D120)),"Business Partner",IF(OR(ISNUMBER(SEARCH("domain architect",$D120)),ISNUMBER(SEARCH("enterprise architect",$D120))),"Domain Architect",IF(ISNUMBER(SEARCH("delivery man",$D120)),"Delivery Manager",IF(OR(ISNUMBER(SEARCH("technology manager",$D120)),ISNUMBER(SEARCH("technology manger",$D120)),ISNUMBER(SEARCH("tech manager",$D120))),"Technology Manager","Squad"))))))))</f>
        <v>Squad</v>
      </c>
      <c r="AL120" s="534" t="str">
        <f>IF(TRIM($B120)="","",IF(AND($AM120=1,LEFT($AJ120,4)&lt;&gt;"EGI ",$AJ120&lt;&gt;"EGI"),IFERROR(INDEX(Lists!$Z$2:$Z$20,MATCH($AH120,Lists!$Y$2:$Y$20,0)),"EGI "&amp;$AH120),IF(COUNTIF(Lists!$AU$2:$AU$10,$AJ120),$AJ120,IF(OR(LEFT($AH120,3)="COE",$AH120="EGI"),$AJ120,IF($AK120&lt;&gt;"Squad",$AK120,$AJ120)))))</f>
        <v>Transformation</v>
      </c>
      <c r="AM120" s="534" t="b">
        <f>IF(TRIM($B120)="","",--(UPPER(TRIM($K120))="EGI"))</f>
        <v>0</v>
      </c>
      <c r="AQ120" s="841" t="inlineStr">
        <is>
          <t>R0119</t>
        </is>
      </c>
      <c r="AZ120" s="841" t="n"/>
    </row>
    <row r="121" ht="18" customHeight="1" s="535">
      <c r="A121" s="842" t="n">
        <v>10572</v>
      </c>
      <c r="B121" s="843" t="inlineStr">
        <is>
          <t>Stevani Kho</t>
        </is>
      </c>
      <c r="C121" s="842" t="n">
        <v>10572</v>
      </c>
      <c r="D121" s="843" t="inlineStr">
        <is>
          <t>Delivery Lead</t>
        </is>
      </c>
      <c r="E121" s="843" t="inlineStr">
        <is>
          <t>Vacant</t>
        </is>
      </c>
      <c r="F121" s="843" t="inlineStr">
        <is>
          <t>Technology Manger, Data</t>
        </is>
      </c>
      <c r="G121" s="844" t="inlineStr">
        <is>
          <t>TDD CFE&amp;I</t>
        </is>
      </c>
      <c r="H121" s="843" t="inlineStr">
        <is>
          <t>Fuel Infrastructure</t>
        </is>
      </c>
      <c r="I121" s="843" t="inlineStr">
        <is>
          <t>Fuel Infrastructure, Data</t>
        </is>
      </c>
      <c r="J121" s="843" t="inlineStr">
        <is>
          <t>Infrastructure</t>
        </is>
      </c>
      <c r="K121" s="843" t="inlineStr">
        <is>
          <t xml:space="preserve">Data &amp; Insights </t>
        </is>
      </c>
      <c r="L121" s="843" t="inlineStr">
        <is>
          <t xml:space="preserve">Data &amp; Insights </t>
        </is>
      </c>
      <c r="M121" s="843" t="n"/>
      <c r="N121" s="845" t="inlineStr">
        <is>
          <t>Australia</t>
        </is>
      </c>
      <c r="O121" s="846" t="inlineStr">
        <is>
          <t>CSB</t>
        </is>
      </c>
      <c r="P121" s="847" t="n">
        <v>1</v>
      </c>
      <c r="Q121" s="856" t="n"/>
      <c r="R121" s="847" t="inlineStr">
        <is>
          <t>Permanent - Full Time</t>
        </is>
      </c>
      <c r="S121" s="847" t="n"/>
      <c r="T121" s="847" t="n"/>
      <c r="U121" s="848" t="n">
        <v>205050</v>
      </c>
      <c r="V121" s="849" t="n">
        <v>205050</v>
      </c>
      <c r="W121" s="850" t="n">
        <v>0.14</v>
      </c>
      <c r="X121" s="847" t="n">
        <v>0.055</v>
      </c>
      <c r="Y121" s="850" t="n">
        <v>0.12</v>
      </c>
      <c r="Z121" s="851" t="n"/>
      <c r="AA121" s="850" t="n">
        <v>0.04</v>
      </c>
      <c r="AB121" s="852" t="n">
        <v>277842.75</v>
      </c>
      <c r="AD121" s="857" t="n"/>
      <c r="AE121" s="857">
        <f>IF(TRIM($B121)="","",IF(AND(N($P121)&gt;0,N($P121)&lt;1),N($AB121)*N($P121),N($AB121)))</f>
        <v>277842.75</v>
      </c>
      <c r="AF121" s="857" t="str">
        <f>IF(TRIM($B121)="","",IF(OR(ISNUMBER(SEARCH("vacant",$B121)),ISNUMBER(SEARCH("ring fenced",$B121)),LOWER(TRIM($B121))="remove"),"Vacant","Filled"))</f>
        <v>Filled</v>
      </c>
      <c r="AG121" s="857" t="b">
        <f>IF(TRIM($B121)="","",--ISNUMBER(SEARCH("ring fenced",$B121)))</f>
        <v>0</v>
      </c>
      <c r="AH121" s="853" t="str">
        <f>IF(TRIM($B121)="","",IF(COUNTIFS(Lists!$AN$2:$AN$22,TRIM($B121)&amp;" | "&amp;TRIM($D121),Lists!$AO$2:$AO$22,"&lt;&gt;"),INDEX(Lists!$AO$2:$AO$22,MATCH(TRIM($B121)&amp;" | "&amp;TRIM($D121),Lists!$AN$2:$AN$22,0)),IF(COUNTIF(Lists!$AR$2:$AR$3,$AJ121),"TDD Cyber",IF(AND(LEFT($AJ121,4)="EGI ",ISNUMBER(MATCH(TRIM(MID($AJ121,5,99)),Lists!$AS$2:$AS$12,0))),TRIM(MID($AJ121,5,99)),IF(AND(LEFT($AJ121,4)="EGI ",ISNUMBER(MATCH(TRIM(MID($AJ121,5,99)),Lists!$T$2:$T$21,0))),INDEX(Lists!$U$2:$U$21,MATCH(TRIM(MID($AJ121,5,99)),Lists!$T$2:$T$21,0)),IF(OR(TRIM($J121)="",UPPER(TRIM($J121))="NA"),IFERROR(INDEX(Lists!$R$2:$R$9,MATCH(TRIM($G121),Lists!$Q$2:$Q$9,0)),"UNMAPPED"),IFERROR(INDEX(Lists!$U$2:$U$21,MATCH(TRIM($J121),Lists!$T$2:$T$21,0)),IFERROR(INDEX(Lists!$R$2:$R$9,MATCH(TRIM($G121),Lists!$Q$2:$Q$9,0)),"UNMAPPED"))))))))</f>
        <v>Infrastructure</v>
      </c>
      <c r="AI121" s="534" t="b">
        <f>IF(TRIM($B121)="","",--OR(TRIM($L121)="Leadership",TRIM($K121)="Leadership"))</f>
        <v>0</v>
      </c>
      <c r="AJ121" s="534" t="str">
        <f>IF(TRIM($B121)="","",IF(COUNTIFS(Lists!$AN$2:$AN$22,TRIM($B121)&amp;" | "&amp;TRIM($D121),Lists!$AP$2:$AP$22,"&lt;&gt;"),INDEX(Lists!$AP$2:$AP$22,MATCH(TRIM($B121)&amp;" | "&amp;TRIM($D121),Lists!$AN$2:$AN$22,0)),IF($AI121=1,"Leadership",IFERROR(INDEX(Lists!$X$2:$X$21,MATCH(TRIM($L121),Lists!$W$2:$W$21,0)),IF(OR(TRIM($L121)="",LOWER(TRIM($L121))="na"),IF(TRIM($H121)="","Unassigned",TRIM($H121)),TRIM($L121))))))</f>
        <v>Data &amp; Insights</v>
      </c>
      <c r="AK121" s="534" t="str">
        <f>IF(TRIM($B121)="","",IF(COUNTIFS(Lists!$AN$2:$AN$22,TRIM($B121)&amp;" | "&amp;TRIM($D121),Lists!$AQ$2:$AQ$22,"&lt;&gt;"),INDEX(Lists!$AQ$2:$AQ$22,MATCH(TRIM($B121)&amp;" | "&amp;TRIM($D121),Lists!$AN$2:$AN$22,0)),IF(COUNTIF(Lists!$AF$2:$AF$8,$AJ121),$AJ121,IF(ISNUMBER(SEARCH("head of ",$D121)),"Head of Technology",IF(ISNUMBER(SEARCH("TDD BP",$D121)),"Business Partner",IF(OR(ISNUMBER(SEARCH("domain architect",$D121)),ISNUMBER(SEARCH("enterprise architect",$D121))),"Domain Architect",IF(ISNUMBER(SEARCH("delivery man",$D121)),"Delivery Manager",IF(OR(ISNUMBER(SEARCH("technology manager",$D121)),ISNUMBER(SEARCH("technology manger",$D121)),ISNUMBER(SEARCH("tech manager",$D121))),"Technology Manager","Squad"))))))))</f>
        <v>Squad</v>
      </c>
      <c r="AL121" s="534" t="str">
        <f>IF(TRIM($B121)="","",IF(AND($AM121=1,LEFT($AJ121,4)&lt;&gt;"EGI ",$AJ121&lt;&gt;"EGI"),IFERROR(INDEX(Lists!$Z$2:$Z$20,MATCH($AH121,Lists!$Y$2:$Y$20,0)),"EGI "&amp;$AH121),IF(COUNTIF(Lists!$AU$2:$AU$10,$AJ121),$AJ121,IF(OR(LEFT($AH121,3)="COE",$AH121="EGI"),$AJ121,IF($AK121&lt;&gt;"Squad",$AK121,$AJ121)))))</f>
        <v>Data &amp; Insights</v>
      </c>
      <c r="AM121" s="534" t="b">
        <f>IF(TRIM($B121)="","",--(UPPER(TRIM($K121))="EGI"))</f>
        <v>0</v>
      </c>
      <c r="AQ121" s="841" t="inlineStr">
        <is>
          <t>R0120</t>
        </is>
      </c>
      <c r="AZ121" s="841" t="n"/>
    </row>
    <row r="122" ht="18" customHeight="1" s="535">
      <c r="A122" s="842" t="n">
        <v>115502</v>
      </c>
      <c r="B122" s="843" t="inlineStr">
        <is>
          <t>Kate Johnstone</t>
        </is>
      </c>
      <c r="C122" s="842" t="n">
        <v>115502</v>
      </c>
      <c r="D122" s="843" t="inlineStr">
        <is>
          <t>Program Manager POS</t>
        </is>
      </c>
      <c r="E122" s="843" t="inlineStr">
        <is>
          <t>Vance Anderson</t>
        </is>
      </c>
      <c r="F122" s="843" t="inlineStr">
        <is>
          <t>GM TDD, Ampol Retail &amp; Z</t>
        </is>
      </c>
      <c r="G122" s="844" t="inlineStr">
        <is>
          <t>Ampol Retail &amp; Z</t>
        </is>
      </c>
      <c r="H122" s="843" t="inlineStr">
        <is>
          <t>Program Management</t>
        </is>
      </c>
      <c r="I122" s="843" t="n"/>
      <c r="J122" s="843" t="inlineStr">
        <is>
          <t>Retail</t>
        </is>
      </c>
      <c r="K122" s="843" t="inlineStr">
        <is>
          <t>AMPOS</t>
        </is>
      </c>
      <c r="L122" s="843" t="inlineStr">
        <is>
          <t>AmPos</t>
        </is>
      </c>
      <c r="M122" s="843" t="n"/>
      <c r="N122" s="845" t="inlineStr">
        <is>
          <t>NZ</t>
        </is>
      </c>
      <c r="O122" s="846" t="inlineStr">
        <is>
          <t>CSB</t>
        </is>
      </c>
      <c r="P122" s="847" t="n">
        <v>1</v>
      </c>
      <c r="Q122" s="858" t="n"/>
      <c r="R122" s="847" t="inlineStr">
        <is>
          <t>Permanent - Full Time</t>
        </is>
      </c>
      <c r="S122" s="847" t="n"/>
      <c r="T122" s="847" t="n"/>
      <c r="U122" s="848" t="n">
        <v>175960</v>
      </c>
      <c r="V122" s="849" t="n">
        <v>161883.2</v>
      </c>
      <c r="W122" s="850" t="n">
        <v>0.15</v>
      </c>
      <c r="X122" s="847" t="n"/>
      <c r="Y122" s="850" t="n">
        <v>0.05</v>
      </c>
      <c r="Z122" s="851" t="n">
        <v>2910</v>
      </c>
      <c r="AA122" s="850" t="n">
        <v>0.03</v>
      </c>
      <c r="AB122" s="852" t="n">
        <v>202026.336</v>
      </c>
      <c r="AD122" s="857" t="n"/>
      <c r="AE122" s="857">
        <f>IF(TRIM($B122)="","",IF(AND(N($P122)&gt;0,N($P122)&lt;1),N($AB122)*N($P122),N($AB122)))</f>
        <v>202026.336</v>
      </c>
      <c r="AF122" s="857" t="str">
        <f>IF(TRIM($B122)="","",IF(OR(ISNUMBER(SEARCH("vacant",$B122)),ISNUMBER(SEARCH("ring fenced",$B122)),LOWER(TRIM($B122))="remove"),"Vacant","Filled"))</f>
        <v>Filled</v>
      </c>
      <c r="AG122" s="857" t="b">
        <f>IF(TRIM($B122)="","",--ISNUMBER(SEARCH("ring fenced",$B122)))</f>
        <v>0</v>
      </c>
      <c r="AH122" s="853" t="str">
        <f>IF(TRIM($B122)="","",IF(COUNTIFS(Lists!$AN$2:$AN$22,TRIM($B122)&amp;" | "&amp;TRIM($D122),Lists!$AO$2:$AO$22,"&lt;&gt;"),INDEX(Lists!$AO$2:$AO$22,MATCH(TRIM($B122)&amp;" | "&amp;TRIM($D122),Lists!$AN$2:$AN$22,0)),IF(COUNTIF(Lists!$AR$2:$AR$3,$AJ122),"TDD Cyber",IF(AND(LEFT($AJ122,4)="EGI ",ISNUMBER(MATCH(TRIM(MID($AJ122,5,99)),Lists!$AS$2:$AS$12,0))),TRIM(MID($AJ122,5,99)),IF(AND(LEFT($AJ122,4)="EGI ",ISNUMBER(MATCH(TRIM(MID($AJ122,5,99)),Lists!$T$2:$T$21,0))),INDEX(Lists!$U$2:$U$21,MATCH(TRIM(MID($AJ122,5,99)),Lists!$T$2:$T$21,0)),IF(OR(TRIM($J122)="",UPPER(TRIM($J122))="NA"),IFERROR(INDEX(Lists!$R$2:$R$9,MATCH(TRIM($G122),Lists!$Q$2:$Q$9,0)),"UNMAPPED"),IFERROR(INDEX(Lists!$U$2:$U$21,MATCH(TRIM($J122),Lists!$T$2:$T$21,0)),IFERROR(INDEX(Lists!$R$2:$R$9,MATCH(TRIM($G122),Lists!$Q$2:$Q$9,0)),"UNMAPPED"))))))))</f>
        <v>Ampol Retail</v>
      </c>
      <c r="AI122" s="534" t="b">
        <f>IF(TRIM($B122)="","",--OR(TRIM($L122)="Leadership",TRIM($K122)="Leadership"))</f>
        <v>0</v>
      </c>
      <c r="AJ122" s="534" t="str">
        <f>IF(TRIM($B122)="","",IF(COUNTIFS(Lists!$AN$2:$AN$22,TRIM($B122)&amp;" | "&amp;TRIM($D122),Lists!$AP$2:$AP$22,"&lt;&gt;"),INDEX(Lists!$AP$2:$AP$22,MATCH(TRIM($B122)&amp;" | "&amp;TRIM($D122),Lists!$AN$2:$AN$22,0)),IF($AI122=1,"Leadership",IFERROR(INDEX(Lists!$X$2:$X$21,MATCH(TRIM($L122),Lists!$W$2:$W$21,0)),IF(OR(TRIM($L122)="",LOWER(TRIM($L122))="na"),IF(TRIM($H122)="","Unassigned",TRIM($H122)),TRIM($L122))))))</f>
        <v>AmPOS</v>
      </c>
      <c r="AK122" s="534" t="str">
        <f>IF(TRIM($B122)="","",IF(COUNTIFS(Lists!$AN$2:$AN$22,TRIM($B122)&amp;" | "&amp;TRIM($D122),Lists!$AQ$2:$AQ$22,"&lt;&gt;"),INDEX(Lists!$AQ$2:$AQ$22,MATCH(TRIM($B122)&amp;" | "&amp;TRIM($D122),Lists!$AN$2:$AN$22,0)),IF(COUNTIF(Lists!$AF$2:$AF$8,$AJ122),$AJ122,IF(ISNUMBER(SEARCH("head of ",$D122)),"Head of Technology",IF(ISNUMBER(SEARCH("TDD BP",$D122)),"Business Partner",IF(OR(ISNUMBER(SEARCH("domain architect",$D122)),ISNUMBER(SEARCH("enterprise architect",$D122))),"Domain Architect",IF(ISNUMBER(SEARCH("delivery man",$D122)),"Delivery Manager",IF(OR(ISNUMBER(SEARCH("technology manager",$D122)),ISNUMBER(SEARCH("technology manger",$D122)),ISNUMBER(SEARCH("tech manager",$D122))),"Technology Manager","Squad"))))))))</f>
        <v>Squad</v>
      </c>
      <c r="AL122" s="534" t="str">
        <f>IF(TRIM($B122)="","",IF(AND($AM122=1,LEFT($AJ122,4)&lt;&gt;"EGI ",$AJ122&lt;&gt;"EGI"),IFERROR(INDEX(Lists!$Z$2:$Z$20,MATCH($AH122,Lists!$Y$2:$Y$20,0)),"EGI "&amp;$AH122),IF(COUNTIF(Lists!$AU$2:$AU$10,$AJ122),$AJ122,IF(OR(LEFT($AH122,3)="COE",$AH122="EGI"),$AJ122,IF($AK122&lt;&gt;"Squad",$AK122,$AJ122)))))</f>
        <v>AmPOS</v>
      </c>
      <c r="AM122" s="534" t="b">
        <f>IF(TRIM($B122)="","",--(UPPER(TRIM($K122))="EGI"))</f>
        <v>0</v>
      </c>
      <c r="AQ122" s="841" t="inlineStr">
        <is>
          <t>R0121</t>
        </is>
      </c>
      <c r="AY122" s="859" t="n"/>
      <c r="AZ122" s="841" t="n"/>
    </row>
    <row r="123" ht="18" customHeight="1" s="535">
      <c r="A123" s="842" t="n">
        <v>106350</v>
      </c>
      <c r="B123" s="843" t="inlineStr">
        <is>
          <t>Dave O'Keefe</t>
        </is>
      </c>
      <c r="C123" s="842" t="n">
        <v>106350</v>
      </c>
      <c r="D123" s="843" t="inlineStr">
        <is>
          <t>Technology Manager – P&amp;C Platforms</t>
        </is>
      </c>
      <c r="E123" s="843" t="inlineStr">
        <is>
          <t>Vaso Vukovic</t>
        </is>
      </c>
      <c r="F123" s="843" t="inlineStr">
        <is>
          <t>Head of Technology - P&amp;C, Finance &amp; Legal</t>
        </is>
      </c>
      <c r="G123" s="844" t="inlineStr">
        <is>
          <t>TDD Group Functions</t>
        </is>
      </c>
      <c r="H123" s="843" t="inlineStr">
        <is>
          <t>P&amp;C, Finance &amp; Legal</t>
        </is>
      </c>
      <c r="I123" s="843" t="inlineStr">
        <is>
          <t>Tech, P&amp;C Platforms</t>
        </is>
      </c>
      <c r="J123" s="843" t="inlineStr">
        <is>
          <t>P&amp;C</t>
        </is>
      </c>
      <c r="K123" s="843" t="inlineStr">
        <is>
          <t>P&amp;C</t>
        </is>
      </c>
      <c r="L123" s="843" t="inlineStr">
        <is>
          <t>Leadership</t>
        </is>
      </c>
      <c r="M123" s="843" t="n"/>
      <c r="N123" s="845" t="inlineStr">
        <is>
          <t>Australia</t>
        </is>
      </c>
      <c r="O123" s="846" t="inlineStr">
        <is>
          <t>CSB</t>
        </is>
      </c>
      <c r="P123" s="847" t="n">
        <v>1</v>
      </c>
      <c r="Q123" s="856" t="n"/>
      <c r="R123" s="847" t="inlineStr">
        <is>
          <t>Permanent - Full Time</t>
        </is>
      </c>
      <c r="S123" s="847" t="n"/>
      <c r="T123" s="847" t="n"/>
      <c r="U123" s="848" t="n">
        <v>218720</v>
      </c>
      <c r="V123" s="849" t="n">
        <v>218720</v>
      </c>
      <c r="W123" s="850" t="n">
        <v>0.14</v>
      </c>
      <c r="X123" s="847" t="n">
        <v>0.055</v>
      </c>
      <c r="Y123" s="850" t="n">
        <v>0.12</v>
      </c>
      <c r="Z123" s="851" t="n"/>
      <c r="AA123" s="850" t="n">
        <v>0.04</v>
      </c>
      <c r="AB123" s="852" t="n">
        <v>296365.6</v>
      </c>
      <c r="AD123" s="857" t="n"/>
      <c r="AE123" s="857">
        <f>IF(TRIM($B123)="","",IF(AND(N($P123)&gt;0,N($P123)&lt;1),N($AB123)*N($P123),N($AB123)))</f>
        <v>296365.6</v>
      </c>
      <c r="AF123" s="857" t="str">
        <f>IF(TRIM($B123)="","",IF(OR(ISNUMBER(SEARCH("vacant",$B123)),ISNUMBER(SEARCH("ring fenced",$B123)),LOWER(TRIM($B123))="remove"),"Vacant","Filled"))</f>
        <v>Filled</v>
      </c>
      <c r="AG123" s="857" t="b">
        <f>IF(TRIM($B123)="","",--ISNUMBER(SEARCH("ring fenced",$B123)))</f>
        <v>0</v>
      </c>
      <c r="AH123" s="853" t="str">
        <f>IF(TRIM($B123)="","",IF(COUNTIFS(Lists!$AN$2:$AN$22,TRIM($B123)&amp;" | "&amp;TRIM($D123),Lists!$AO$2:$AO$22,"&lt;&gt;"),INDEX(Lists!$AO$2:$AO$22,MATCH(TRIM($B123)&amp;" | "&amp;TRIM($D123),Lists!$AN$2:$AN$22,0)),IF(COUNTIF(Lists!$AR$2:$AR$3,$AJ123),"TDD Cyber",IF(AND(LEFT($AJ123,4)="EGI ",ISNUMBER(MATCH(TRIM(MID($AJ123,5,99)),Lists!$AS$2:$AS$12,0))),TRIM(MID($AJ123,5,99)),IF(AND(LEFT($AJ123,4)="EGI ",ISNUMBER(MATCH(TRIM(MID($AJ123,5,99)),Lists!$T$2:$T$21,0))),INDEX(Lists!$U$2:$U$21,MATCH(TRIM(MID($AJ123,5,99)),Lists!$T$2:$T$21,0)),IF(OR(TRIM($J123)="",UPPER(TRIM($J123))="NA"),IFERROR(INDEX(Lists!$R$2:$R$9,MATCH(TRIM($G123),Lists!$Q$2:$Q$9,0)),"UNMAPPED"),IFERROR(INDEX(Lists!$U$2:$U$21,MATCH(TRIM($J123),Lists!$T$2:$T$21,0)),IFERROR(INDEX(Lists!$R$2:$R$9,MATCH(TRIM($G123),Lists!$Q$2:$Q$9,0)),"UNMAPPED"))))))))</f>
        <v>P&amp;C</v>
      </c>
      <c r="AI123" s="534" t="b">
        <f>IF(TRIM($B123)="","",--OR(TRIM($L123)="Leadership",TRIM($K123)="Leadership"))</f>
        <v>1</v>
      </c>
      <c r="AJ123" s="534" t="str">
        <f>IF(TRIM($B123)="","",IF(COUNTIFS(Lists!$AN$2:$AN$22,TRIM($B123)&amp;" | "&amp;TRIM($D123),Lists!$AP$2:$AP$22,"&lt;&gt;"),INDEX(Lists!$AP$2:$AP$22,MATCH(TRIM($B123)&amp;" | "&amp;TRIM($D123),Lists!$AN$2:$AN$22,0)),IF($AI123=1,"Leadership",IFERROR(INDEX(Lists!$X$2:$X$21,MATCH(TRIM($L123),Lists!$W$2:$W$21,0)),IF(OR(TRIM($L123)="",LOWER(TRIM($L123))="na"),IF(TRIM($H123)="","Unassigned",TRIM($H123)),TRIM($L123))))))</f>
        <v>Leadership</v>
      </c>
      <c r="AK123" s="534" t="str">
        <f>IF(TRIM($B123)="","",IF(COUNTIFS(Lists!$AN$2:$AN$22,TRIM($B123)&amp;" | "&amp;TRIM($D123),Lists!$AQ$2:$AQ$22,"&lt;&gt;"),INDEX(Lists!$AQ$2:$AQ$22,MATCH(TRIM($B123)&amp;" | "&amp;TRIM($D123),Lists!$AN$2:$AN$22,0)),IF(COUNTIF(Lists!$AF$2:$AF$8,$AJ123),$AJ123,IF(ISNUMBER(SEARCH("head of ",$D123)),"Head of Technology",IF(ISNUMBER(SEARCH("TDD BP",$D123)),"Business Partner",IF(OR(ISNUMBER(SEARCH("domain architect",$D123)),ISNUMBER(SEARCH("enterprise architect",$D123))),"Domain Architect",IF(ISNUMBER(SEARCH("delivery man",$D123)),"Delivery Manager",IF(OR(ISNUMBER(SEARCH("technology manager",$D123)),ISNUMBER(SEARCH("technology manger",$D123)),ISNUMBER(SEARCH("tech manager",$D123))),"Technology Manager","Squad"))))))))</f>
        <v>Technology Manager</v>
      </c>
      <c r="AL123" s="534" t="str">
        <f>IF(TRIM($B123)="","",IF(AND($AM123=1,LEFT($AJ123,4)&lt;&gt;"EGI ",$AJ123&lt;&gt;"EGI"),IFERROR(INDEX(Lists!$Z$2:$Z$20,MATCH($AH123,Lists!$Y$2:$Y$20,0)),"EGI "&amp;$AH123),IF(COUNTIF(Lists!$AU$2:$AU$10,$AJ123),$AJ123,IF(OR(LEFT($AH123,3)="COE",$AH123="EGI"),$AJ123,IF($AK123&lt;&gt;"Squad",$AK123,$AJ123)))))</f>
        <v>Technology Manager</v>
      </c>
      <c r="AM123" s="534" t="b">
        <f>IF(TRIM($B123)="","",--(UPPER(TRIM($K123))="EGI"))</f>
        <v>0</v>
      </c>
      <c r="AQ123" s="841" t="inlineStr">
        <is>
          <t>R0122</t>
        </is>
      </c>
      <c r="AY123" s="859" t="n"/>
      <c r="AZ123" s="841" t="n"/>
    </row>
    <row r="124" ht="18" customHeight="1" s="535">
      <c r="A124" s="842" t="n">
        <v>109863</v>
      </c>
      <c r="B124" s="843" t="inlineStr">
        <is>
          <t>Shane Ker</t>
        </is>
      </c>
      <c r="C124" s="842" t="n">
        <v>109863</v>
      </c>
      <c r="D124" s="843" t="inlineStr">
        <is>
          <t>Technology Manger - Finance Platfoms</t>
        </is>
      </c>
      <c r="E124" s="843" t="inlineStr">
        <is>
          <t>Vaso Vukovic</t>
        </is>
      </c>
      <c r="F124" s="843" t="inlineStr">
        <is>
          <t>Head of Technology - P&amp;C, Finance &amp; Legal</t>
        </is>
      </c>
      <c r="G124" s="844" t="inlineStr">
        <is>
          <t>TDD Group Functions</t>
        </is>
      </c>
      <c r="H124" s="843" t="inlineStr">
        <is>
          <t>P&amp;C, Finance &amp; Legal</t>
        </is>
      </c>
      <c r="I124" s="843" t="inlineStr">
        <is>
          <t>Tech, Finance Platforms</t>
        </is>
      </c>
      <c r="J124" s="843" t="inlineStr">
        <is>
          <t>Finance</t>
        </is>
      </c>
      <c r="K124" s="843" t="inlineStr">
        <is>
          <t>Finance</t>
        </is>
      </c>
      <c r="L124" s="843" t="inlineStr">
        <is>
          <t>Leadership</t>
        </is>
      </c>
      <c r="M124" s="843" t="n"/>
      <c r="N124" s="845" t="inlineStr">
        <is>
          <t>Australia</t>
        </is>
      </c>
      <c r="O124" s="846" t="inlineStr">
        <is>
          <t>CSB</t>
        </is>
      </c>
      <c r="P124" s="847" t="n">
        <v>1</v>
      </c>
      <c r="Q124" s="856" t="n"/>
      <c r="R124" s="847" t="inlineStr">
        <is>
          <t>Permanent - Full Time</t>
        </is>
      </c>
      <c r="S124" s="847" t="n"/>
      <c r="T124" s="847" t="n"/>
      <c r="U124" s="848" t="n">
        <v>238790</v>
      </c>
      <c r="V124" s="849" t="n">
        <v>238790</v>
      </c>
      <c r="W124" s="850" t="n">
        <v>0.14</v>
      </c>
      <c r="X124" s="847" t="n">
        <v>0.055</v>
      </c>
      <c r="Y124" s="850" t="n">
        <v>0.12</v>
      </c>
      <c r="Z124" s="851" t="n"/>
      <c r="AA124" s="850" t="n">
        <v>0.04</v>
      </c>
      <c r="AB124" s="852" t="n">
        <v>323560.45</v>
      </c>
      <c r="AD124" s="857" t="n"/>
      <c r="AE124" s="857">
        <f>IF(TRIM($B124)="","",IF(AND(N($P124)&gt;0,N($P124)&lt;1),N($AB124)*N($P124),N($AB124)))</f>
        <v>323560.45</v>
      </c>
      <c r="AF124" s="857" t="str">
        <f>IF(TRIM($B124)="","",IF(OR(ISNUMBER(SEARCH("vacant",$B124)),ISNUMBER(SEARCH("ring fenced",$B124)),LOWER(TRIM($B124))="remove"),"Vacant","Filled"))</f>
        <v>Filled</v>
      </c>
      <c r="AG124" s="857" t="b">
        <f>IF(TRIM($B124)="","",--ISNUMBER(SEARCH("ring fenced",$B124)))</f>
        <v>0</v>
      </c>
      <c r="AH124" s="853" t="str">
        <f>IF(TRIM($B124)="","",IF(COUNTIFS(Lists!$AN$2:$AN$22,TRIM($B124)&amp;" | "&amp;TRIM($D124),Lists!$AO$2:$AO$22,"&lt;&gt;"),INDEX(Lists!$AO$2:$AO$22,MATCH(TRIM($B124)&amp;" | "&amp;TRIM($D124),Lists!$AN$2:$AN$22,0)),IF(COUNTIF(Lists!$AR$2:$AR$3,$AJ124),"TDD Cyber",IF(AND(LEFT($AJ124,4)="EGI ",ISNUMBER(MATCH(TRIM(MID($AJ124,5,99)),Lists!$AS$2:$AS$12,0))),TRIM(MID($AJ124,5,99)),IF(AND(LEFT($AJ124,4)="EGI ",ISNUMBER(MATCH(TRIM(MID($AJ124,5,99)),Lists!$T$2:$T$21,0))),INDEX(Lists!$U$2:$U$21,MATCH(TRIM(MID($AJ124,5,99)),Lists!$T$2:$T$21,0)),IF(OR(TRIM($J124)="",UPPER(TRIM($J124))="NA"),IFERROR(INDEX(Lists!$R$2:$R$9,MATCH(TRIM($G124),Lists!$Q$2:$Q$9,0)),"UNMAPPED"),IFERROR(INDEX(Lists!$U$2:$U$21,MATCH(TRIM($J124),Lists!$T$2:$T$21,0)),IFERROR(INDEX(Lists!$R$2:$R$9,MATCH(TRIM($G124),Lists!$Q$2:$Q$9,0)),"UNMAPPED"))))))))</f>
        <v>Finance</v>
      </c>
      <c r="AI124" s="534" t="b">
        <f>IF(TRIM($B124)="","",--OR(TRIM($L124)="Leadership",TRIM($K124)="Leadership"))</f>
        <v>1</v>
      </c>
      <c r="AJ124" s="534" t="str">
        <f>IF(TRIM($B124)="","",IF(COUNTIFS(Lists!$AN$2:$AN$22,TRIM($B124)&amp;" | "&amp;TRIM($D124),Lists!$AP$2:$AP$22,"&lt;&gt;"),INDEX(Lists!$AP$2:$AP$22,MATCH(TRIM($B124)&amp;" | "&amp;TRIM($D124),Lists!$AN$2:$AN$22,0)),IF($AI124=1,"Leadership",IFERROR(INDEX(Lists!$X$2:$X$21,MATCH(TRIM($L124),Lists!$W$2:$W$21,0)),IF(OR(TRIM($L124)="",LOWER(TRIM($L124))="na"),IF(TRIM($H124)="","Unassigned",TRIM($H124)),TRIM($L124))))))</f>
        <v>Leadership</v>
      </c>
      <c r="AK124" s="534" t="str">
        <f>IF(TRIM($B124)="","",IF(COUNTIFS(Lists!$AN$2:$AN$22,TRIM($B124)&amp;" | "&amp;TRIM($D124),Lists!$AQ$2:$AQ$22,"&lt;&gt;"),INDEX(Lists!$AQ$2:$AQ$22,MATCH(TRIM($B124)&amp;" | "&amp;TRIM($D124),Lists!$AN$2:$AN$22,0)),IF(COUNTIF(Lists!$AF$2:$AF$8,$AJ124),$AJ124,IF(ISNUMBER(SEARCH("head of ",$D124)),"Head of Technology",IF(ISNUMBER(SEARCH("TDD BP",$D124)),"Business Partner",IF(OR(ISNUMBER(SEARCH("domain architect",$D124)),ISNUMBER(SEARCH("enterprise architect",$D124))),"Domain Architect",IF(ISNUMBER(SEARCH("delivery man",$D124)),"Delivery Manager",IF(OR(ISNUMBER(SEARCH("technology manager",$D124)),ISNUMBER(SEARCH("technology manger",$D124)),ISNUMBER(SEARCH("tech manager",$D124))),"Technology Manager","Squad"))))))))</f>
        <v>Technology Manager</v>
      </c>
      <c r="AL124" s="534" t="str">
        <f>IF(TRIM($B124)="","",IF(AND($AM124=1,LEFT($AJ124,4)&lt;&gt;"EGI ",$AJ124&lt;&gt;"EGI"),IFERROR(INDEX(Lists!$Z$2:$Z$20,MATCH($AH124,Lists!$Y$2:$Y$20,0)),"EGI "&amp;$AH124),IF(COUNTIF(Lists!$AU$2:$AU$10,$AJ124),$AJ124,IF(OR(LEFT($AH124,3)="COE",$AH124="EGI"),$AJ124,IF($AK124&lt;&gt;"Squad",$AK124,$AJ124)))))</f>
        <v>Technology Manager</v>
      </c>
      <c r="AM124" s="534" t="b">
        <f>IF(TRIM($B124)="","",--(UPPER(TRIM($K124))="EGI"))</f>
        <v>0</v>
      </c>
      <c r="AQ124" s="841" t="inlineStr">
        <is>
          <t>R0123</t>
        </is>
      </c>
      <c r="AY124" s="859" t="n"/>
      <c r="AZ124" s="841" t="n"/>
    </row>
    <row r="125" ht="18" customHeight="1" s="535">
      <c r="A125" s="842" t="inlineStr">
        <is>
          <t>V</t>
        </is>
      </c>
      <c r="B125" s="843" t="inlineStr">
        <is>
          <t>Vacant</t>
        </is>
      </c>
      <c r="C125" s="842" t="inlineStr">
        <is>
          <t>V</t>
        </is>
      </c>
      <c r="D125" s="843" t="inlineStr">
        <is>
          <t>Delivery Manager</t>
        </is>
      </c>
      <c r="E125" s="843" t="inlineStr">
        <is>
          <t>Vaso Vukovic</t>
        </is>
      </c>
      <c r="F125" s="843" t="inlineStr">
        <is>
          <t>Head of Technology - P&amp;C, Finance &amp; Legal</t>
        </is>
      </c>
      <c r="G125" s="844" t="inlineStr">
        <is>
          <t>TDD Group Functions</t>
        </is>
      </c>
      <c r="H125" s="843" t="inlineStr">
        <is>
          <t>P&amp;C, Finance &amp; Legal</t>
        </is>
      </c>
      <c r="I125" s="843" t="inlineStr">
        <is>
          <t>Delivery, P&amp;C, Finance &amp; Legal</t>
        </is>
      </c>
      <c r="J125" s="843" t="inlineStr">
        <is>
          <t>P&amp;C, Finance &amp; Legal</t>
        </is>
      </c>
      <c r="K125" s="843" t="inlineStr">
        <is>
          <t>P&amp;C, Finance &amp; Legal</t>
        </is>
      </c>
      <c r="L125" s="843" t="inlineStr">
        <is>
          <t>Leadership</t>
        </is>
      </c>
      <c r="M125" s="843" t="n"/>
      <c r="N125" s="845" t="inlineStr">
        <is>
          <t>Australia</t>
        </is>
      </c>
      <c r="O125" s="846" t="inlineStr">
        <is>
          <t>CSB</t>
        </is>
      </c>
      <c r="P125" s="847" t="n">
        <v>1</v>
      </c>
      <c r="Q125" s="856" t="n"/>
      <c r="R125" s="847" t="inlineStr">
        <is>
          <t>V</t>
        </is>
      </c>
      <c r="S125" s="847" t="n"/>
      <c r="T125" s="847" t="n"/>
      <c r="U125" s="848" t="n">
        <v>203550</v>
      </c>
      <c r="V125" s="849" t="n">
        <v>203550</v>
      </c>
      <c r="W125" s="850" t="n">
        <v>0.14</v>
      </c>
      <c r="X125" s="847" t="n">
        <v>0.055</v>
      </c>
      <c r="Y125" s="850" t="n">
        <v>0.12</v>
      </c>
      <c r="Z125" s="851" t="n"/>
      <c r="AA125" s="850" t="n">
        <v>0.04</v>
      </c>
      <c r="AB125" s="852" t="n">
        <v>275810.25</v>
      </c>
      <c r="AD125" s="857" t="n"/>
      <c r="AE125" s="857">
        <f>IF(TRIM($B125)="","",IF(AND(N($P125)&gt;0,N($P125)&lt;1),N($AB125)*N($P125),N($AB125)))</f>
        <v>275810.25</v>
      </c>
      <c r="AF125" s="857" t="str">
        <f>IF(TRIM($B125)="","",IF(OR(ISNUMBER(SEARCH("vacant",$B125)),ISNUMBER(SEARCH("ring fenced",$B125)),LOWER(TRIM($B125))="remove"),"Vacant","Filled"))</f>
        <v>Vacant</v>
      </c>
      <c r="AG125" s="857" t="b">
        <f>IF(TRIM($B125)="","",--ISNUMBER(SEARCH("ring fenced",$B125)))</f>
        <v>0</v>
      </c>
      <c r="AH125" s="853" t="str">
        <f>IF(TRIM($B125)="","",IF(COUNTIFS(Lists!$AN$2:$AN$22,TRIM($B125)&amp;" | "&amp;TRIM($D125),Lists!$AO$2:$AO$22,"&lt;&gt;"),INDEX(Lists!$AO$2:$AO$22,MATCH(TRIM($B125)&amp;" | "&amp;TRIM($D125),Lists!$AN$2:$AN$22,0)),IF(COUNTIF(Lists!$AR$2:$AR$3,$AJ125),"TDD Cyber",IF(AND(LEFT($AJ125,4)="EGI ",ISNUMBER(MATCH(TRIM(MID($AJ125,5,99)),Lists!$AS$2:$AS$12,0))),TRIM(MID($AJ125,5,99)),IF(AND(LEFT($AJ125,4)="EGI ",ISNUMBER(MATCH(TRIM(MID($AJ125,5,99)),Lists!$T$2:$T$21,0))),INDEX(Lists!$U$2:$U$21,MATCH(TRIM(MID($AJ125,5,99)),Lists!$T$2:$T$21,0)),IF(OR(TRIM($J125)="",UPPER(TRIM($J125))="NA"),IFERROR(INDEX(Lists!$R$2:$R$9,MATCH(TRIM($G125),Lists!$Q$2:$Q$9,0)),"UNMAPPED"),IFERROR(INDEX(Lists!$U$2:$U$21,MATCH(TRIM($J125),Lists!$T$2:$T$21,0)),IFERROR(INDEX(Lists!$R$2:$R$9,MATCH(TRIM($G125),Lists!$Q$2:$Q$9,0)),"UNMAPPED"))))))))</f>
        <v>P&amp;C</v>
      </c>
      <c r="AI125" s="534" t="b">
        <f>IF(TRIM($B125)="","",--OR(TRIM($L125)="Leadership",TRIM($K125)="Leadership"))</f>
        <v>1</v>
      </c>
      <c r="AJ125" s="534" t="str">
        <f>IF(TRIM($B125)="","",IF(COUNTIFS(Lists!$AN$2:$AN$22,TRIM($B125)&amp;" | "&amp;TRIM($D125),Lists!$AP$2:$AP$22,"&lt;&gt;"),INDEX(Lists!$AP$2:$AP$22,MATCH(TRIM($B125)&amp;" | "&amp;TRIM($D125),Lists!$AN$2:$AN$22,0)),IF($AI125=1,"Leadership",IFERROR(INDEX(Lists!$X$2:$X$21,MATCH(TRIM($L125),Lists!$W$2:$W$21,0)),IF(OR(TRIM($L125)="",LOWER(TRIM($L125))="na"),IF(TRIM($H125)="","Unassigned",TRIM($H125)),TRIM($L125))))))</f>
        <v>Leadership</v>
      </c>
      <c r="AK125" s="534" t="str">
        <f>IF(TRIM($B125)="","",IF(COUNTIFS(Lists!$AN$2:$AN$22,TRIM($B125)&amp;" | "&amp;TRIM($D125),Lists!$AQ$2:$AQ$22,"&lt;&gt;"),INDEX(Lists!$AQ$2:$AQ$22,MATCH(TRIM($B125)&amp;" | "&amp;TRIM($D125),Lists!$AN$2:$AN$22,0)),IF(COUNTIF(Lists!$AF$2:$AF$8,$AJ125),$AJ125,IF(ISNUMBER(SEARCH("head of ",$D125)),"Head of Technology",IF(ISNUMBER(SEARCH("TDD BP",$D125)),"Business Partner",IF(OR(ISNUMBER(SEARCH("domain architect",$D125)),ISNUMBER(SEARCH("enterprise architect",$D125))),"Domain Architect",IF(ISNUMBER(SEARCH("delivery man",$D125)),"Delivery Manager",IF(OR(ISNUMBER(SEARCH("technology manager",$D125)),ISNUMBER(SEARCH("technology manger",$D125)),ISNUMBER(SEARCH("tech manager",$D125))),"Technology Manager","Squad"))))))))</f>
        <v>Delivery Manager</v>
      </c>
      <c r="AL125" s="534" t="str">
        <f>IF(TRIM($B125)="","",IF(AND($AM125=1,LEFT($AJ125,4)&lt;&gt;"EGI ",$AJ125&lt;&gt;"EGI"),IFERROR(INDEX(Lists!$Z$2:$Z$20,MATCH($AH125,Lists!$Y$2:$Y$20,0)),"EGI "&amp;$AH125),IF(COUNTIF(Lists!$AU$2:$AU$10,$AJ125),$AJ125,IF(OR(LEFT($AH125,3)="COE",$AH125="EGI"),$AJ125,IF($AK125&lt;&gt;"Squad",$AK125,$AJ125)))))</f>
        <v>Delivery Manager</v>
      </c>
      <c r="AM125" s="534" t="b">
        <f>IF(TRIM($B125)="","",--(UPPER(TRIM($K125))="EGI"))</f>
        <v>0</v>
      </c>
      <c r="AQ125" s="841" t="inlineStr">
        <is>
          <t>R0124</t>
        </is>
      </c>
      <c r="AY125" s="859" t="n"/>
      <c r="AZ125" s="841" t="n"/>
    </row>
    <row r="126" ht="18" customHeight="1" s="535">
      <c r="A126" s="842" t="n">
        <v>116599</v>
      </c>
      <c r="B126" s="843" t="inlineStr">
        <is>
          <t>Tena Foote</t>
        </is>
      </c>
      <c r="C126" s="842" t="n">
        <v>116599</v>
      </c>
      <c r="D126" s="843" t="inlineStr">
        <is>
          <t xml:space="preserve">Program Manager </t>
        </is>
      </c>
      <c r="E126" s="843" t="inlineStr">
        <is>
          <t>tbc</t>
        </is>
      </c>
      <c r="F126" s="843" t="inlineStr">
        <is>
          <t>tbc</t>
        </is>
      </c>
      <c r="G126" s="844" t="inlineStr">
        <is>
          <t>EGI</t>
        </is>
      </c>
      <c r="H126" s="843" t="inlineStr">
        <is>
          <t>EGI</t>
        </is>
      </c>
      <c r="I126" s="843" t="inlineStr">
        <is>
          <t>EGI</t>
        </is>
      </c>
      <c r="J126" s="843" t="inlineStr">
        <is>
          <t>EGI</t>
        </is>
      </c>
      <c r="K126" s="843" t="inlineStr">
        <is>
          <t>EGI</t>
        </is>
      </c>
      <c r="L126" s="843" t="inlineStr">
        <is>
          <t>EGI</t>
        </is>
      </c>
      <c r="M126" s="843" t="n"/>
      <c r="N126" s="845" t="inlineStr">
        <is>
          <t>australia</t>
        </is>
      </c>
      <c r="O126" s="846" t="inlineStr">
        <is>
          <t>CSB</t>
        </is>
      </c>
      <c r="P126" s="847" t="n">
        <v>1</v>
      </c>
      <c r="Q126" s="856" t="n"/>
      <c r="R126" s="847" t="inlineStr">
        <is>
          <t>Temporary - Full Time</t>
        </is>
      </c>
      <c r="S126" s="847" t="n"/>
      <c r="T126" s="847" t="n"/>
      <c r="U126" s="848" t="n">
        <v>170000</v>
      </c>
      <c r="V126" s="849" t="n">
        <v>170000</v>
      </c>
      <c r="W126" s="850" t="n">
        <v>0.12</v>
      </c>
      <c r="X126" s="847" t="n">
        <v>0.06</v>
      </c>
      <c r="Y126" s="850" t="n">
        <v>0</v>
      </c>
      <c r="Z126" s="851" t="n"/>
      <c r="AA126" s="850" t="n">
        <v>0.04</v>
      </c>
      <c r="AB126" s="852" t="n">
        <v>207400</v>
      </c>
      <c r="AD126" s="857" t="n"/>
      <c r="AE126" s="857">
        <f>IF(TRIM($B126)="","",IF(AND(N($P126)&gt;0,N($P126)&lt;1),N($AB126)*N($P126),N($AB126)))</f>
        <v>207400</v>
      </c>
      <c r="AF126" s="857" t="str">
        <f>IF(TRIM($B126)="","",IF(OR(ISNUMBER(SEARCH("vacant",$B126)),ISNUMBER(SEARCH("ring fenced",$B126)),LOWER(TRIM($B126))="remove"),"Vacant","Filled"))</f>
        <v>Filled</v>
      </c>
      <c r="AG126" s="857" t="b">
        <f>IF(TRIM($B126)="","",--ISNUMBER(SEARCH("ring fenced",$B126)))</f>
        <v>0</v>
      </c>
      <c r="AH126" s="853" t="str">
        <f>IF(TRIM($B126)="","",IF(COUNTIFS(Lists!$AN$2:$AN$22,TRIM($B126)&amp;" | "&amp;TRIM($D126),Lists!$AO$2:$AO$22,"&lt;&gt;"),INDEX(Lists!$AO$2:$AO$22,MATCH(TRIM($B126)&amp;" | "&amp;TRIM($D126),Lists!$AN$2:$AN$22,0)),IF(COUNTIF(Lists!$AR$2:$AR$3,$AJ126),"TDD Cyber",IF(AND(LEFT($AJ126,4)="EGI ",ISNUMBER(MATCH(TRIM(MID($AJ126,5,99)),Lists!$AS$2:$AS$12,0))),TRIM(MID($AJ126,5,99)),IF(AND(LEFT($AJ126,4)="EGI ",ISNUMBER(MATCH(TRIM(MID($AJ126,5,99)),Lists!$T$2:$T$21,0))),INDEX(Lists!$U$2:$U$21,MATCH(TRIM(MID($AJ126,5,99)),Lists!$T$2:$T$21,0)),IF(OR(TRIM($J126)="",UPPER(TRIM($J126))="NA"),IFERROR(INDEX(Lists!$R$2:$R$9,MATCH(TRIM($G126),Lists!$Q$2:$Q$9,0)),"UNMAPPED"),IFERROR(INDEX(Lists!$U$2:$U$21,MATCH(TRIM($J126),Lists!$T$2:$T$21,0)),IFERROR(INDEX(Lists!$R$2:$R$9,MATCH(TRIM($G126),Lists!$Q$2:$Q$9,0)),"UNMAPPED"))))))))</f>
        <v>EGI</v>
      </c>
      <c r="AI126" s="534" t="b">
        <f>IF(TRIM($B126)="","",--OR(TRIM($L126)="Leadership",TRIM($K126)="Leadership"))</f>
        <v>0</v>
      </c>
      <c r="AJ126" s="534" t="str">
        <f>IF(TRIM($B126)="","",IF(COUNTIFS(Lists!$AN$2:$AN$22,TRIM($B126)&amp;" | "&amp;TRIM($D126),Lists!$AP$2:$AP$22,"&lt;&gt;"),INDEX(Lists!$AP$2:$AP$22,MATCH(TRIM($B126)&amp;" | "&amp;TRIM($D126),Lists!$AN$2:$AN$22,0)),IF($AI126=1,"Leadership",IFERROR(INDEX(Lists!$X$2:$X$21,MATCH(TRIM($L126),Lists!$W$2:$W$21,0)),IF(OR(TRIM($L126)="",LOWER(TRIM($L126))="na"),IF(TRIM($H126)="","Unassigned",TRIM($H126)),TRIM($L126))))))</f>
        <v>EGI</v>
      </c>
      <c r="AK126" s="534" t="str">
        <f>IF(TRIM($B126)="","",IF(COUNTIFS(Lists!$AN$2:$AN$22,TRIM($B126)&amp;" | "&amp;TRIM($D126),Lists!$AQ$2:$AQ$22,"&lt;&gt;"),INDEX(Lists!$AQ$2:$AQ$22,MATCH(TRIM($B126)&amp;" | "&amp;TRIM($D126),Lists!$AN$2:$AN$22,0)),IF(COUNTIF(Lists!$AF$2:$AF$8,$AJ126),$AJ126,IF(ISNUMBER(SEARCH("head of ",$D126)),"Head of Technology",IF(ISNUMBER(SEARCH("TDD BP",$D126)),"Business Partner",IF(OR(ISNUMBER(SEARCH("domain architect",$D126)),ISNUMBER(SEARCH("enterprise architect",$D126))),"Domain Architect",IF(ISNUMBER(SEARCH("delivery man",$D126)),"Delivery Manager",IF(OR(ISNUMBER(SEARCH("technology manager",$D126)),ISNUMBER(SEARCH("technology manger",$D126)),ISNUMBER(SEARCH("tech manager",$D126))),"Technology Manager","Squad"))))))))</f>
        <v>Squad</v>
      </c>
      <c r="AL126" s="534" t="str">
        <f>IF(TRIM($B126)="","",IF(AND($AM126=1,LEFT($AJ126,4)&lt;&gt;"EGI ",$AJ126&lt;&gt;"EGI"),IFERROR(INDEX(Lists!$Z$2:$Z$20,MATCH($AH126,Lists!$Y$2:$Y$20,0)),"EGI "&amp;$AH126),IF(COUNTIF(Lists!$AU$2:$AU$10,$AJ126),$AJ126,IF(OR(LEFT($AH126,3)="COE",$AH126="EGI"),$AJ126,IF($AK126&lt;&gt;"Squad",$AK126,$AJ126)))))</f>
        <v>EGI</v>
      </c>
      <c r="AM126" s="534" t="b">
        <f>IF(TRIM($B126)="","",--(UPPER(TRIM($K126))="EGI"))</f>
        <v>1</v>
      </c>
      <c r="AQ126" s="841" t="inlineStr">
        <is>
          <t>R0125</t>
        </is>
      </c>
      <c r="AY126" s="859" t="n"/>
      <c r="AZ126" s="841" t="n"/>
    </row>
    <row r="127" ht="18" customHeight="1" s="535">
      <c r="A127" s="842" t="n">
        <v>113552</v>
      </c>
      <c r="B127" s="843" t="inlineStr">
        <is>
          <t>James Nicolle</t>
        </is>
      </c>
      <c r="C127" s="842" t="n">
        <v>113552</v>
      </c>
      <c r="D127" s="843" t="inlineStr">
        <is>
          <t>Delivery Lead</t>
        </is>
      </c>
      <c r="E127" s="843" t="inlineStr">
        <is>
          <t>Adriel Jeyanandhan</t>
        </is>
      </c>
      <c r="F127" s="843" t="inlineStr">
        <is>
          <t>Delivery Manager, Digital</t>
        </is>
      </c>
      <c r="G127" s="844" t="inlineStr">
        <is>
          <t>Customer</t>
        </is>
      </c>
      <c r="H127" s="843" t="inlineStr">
        <is>
          <t>Digital</t>
        </is>
      </c>
      <c r="I127" s="843" t="inlineStr">
        <is>
          <t>Digital, Delivery</t>
        </is>
      </c>
      <c r="J127" s="843" t="inlineStr">
        <is>
          <t>Z ENERGY (DIGITAL)</t>
        </is>
      </c>
      <c r="K127" s="843" t="inlineStr">
        <is>
          <t>Z Energy (Digitial)</t>
        </is>
      </c>
      <c r="L127" s="843" t="inlineStr">
        <is>
          <t>Z App and Web</t>
        </is>
      </c>
      <c r="M127" s="843" t="n"/>
      <c r="N127" s="845" t="inlineStr">
        <is>
          <t>NZ</t>
        </is>
      </c>
      <c r="O127" s="846" t="inlineStr">
        <is>
          <t>CIC (Always)</t>
        </is>
      </c>
      <c r="P127" s="847" t="n">
        <v>1</v>
      </c>
      <c r="Q127" s="858" t="n"/>
      <c r="R127" s="847" t="inlineStr">
        <is>
          <t>Permanent - Full Time</t>
        </is>
      </c>
      <c r="S127" s="847" t="n"/>
      <c r="T127" s="847" t="n"/>
      <c r="U127" s="848" t="n">
        <v>154980</v>
      </c>
      <c r="V127" s="849" t="n">
        <v>142581.6</v>
      </c>
      <c r="W127" s="850" t="n">
        <v>0.15</v>
      </c>
      <c r="X127" s="847" t="n"/>
      <c r="Y127" s="850" t="n">
        <v>0.05</v>
      </c>
      <c r="Z127" s="851" t="n">
        <v>2910</v>
      </c>
      <c r="AA127" s="850" t="n">
        <v>0.03</v>
      </c>
      <c r="AB127" s="852" t="n">
        <v>178285.368</v>
      </c>
      <c r="AD127" s="857" t="n"/>
      <c r="AE127" s="857">
        <f>IF(TRIM($B127)="","",IF(AND(N($P127)&gt;0,N($P127)&lt;1),N($AB127)*N($P127),N($AB127)))</f>
        <v>178285.368</v>
      </c>
      <c r="AF127" s="857" t="str">
        <f>IF(TRIM($B127)="","",IF(OR(ISNUMBER(SEARCH("vacant",$B127)),ISNUMBER(SEARCH("ring fenced",$B127)),LOWER(TRIM($B127))="remove"),"Vacant","Filled"))</f>
        <v>Filled</v>
      </c>
      <c r="AG127" s="857" t="b">
        <f>IF(TRIM($B127)="","",--ISNUMBER(SEARCH("ring fenced",$B127)))</f>
        <v>0</v>
      </c>
      <c r="AH127" s="853" t="str">
        <f>IF(TRIM($B127)="","",IF(COUNTIFS(Lists!$AN$2:$AN$22,TRIM($B127)&amp;" | "&amp;TRIM($D127),Lists!$AO$2:$AO$22,"&lt;&gt;"),INDEX(Lists!$AO$2:$AO$22,MATCH(TRIM($B127)&amp;" | "&amp;TRIM($D127),Lists!$AN$2:$AN$22,0)),IF(COUNTIF(Lists!$AR$2:$AR$3,$AJ127),"TDD Cyber",IF(AND(LEFT($AJ127,4)="EGI ",ISNUMBER(MATCH(TRIM(MID($AJ127,5,99)),Lists!$AS$2:$AS$12,0))),TRIM(MID($AJ127,5,99)),IF(AND(LEFT($AJ127,4)="EGI ",ISNUMBER(MATCH(TRIM(MID($AJ127,5,99)),Lists!$T$2:$T$21,0))),INDEX(Lists!$U$2:$U$21,MATCH(TRIM(MID($AJ127,5,99)),Lists!$T$2:$T$21,0)),IF(OR(TRIM($J127)="",UPPER(TRIM($J127))="NA"),IFERROR(INDEX(Lists!$R$2:$R$9,MATCH(TRIM($G127),Lists!$Q$2:$Q$9,0)),"UNMAPPED"),IFERROR(INDEX(Lists!$U$2:$U$21,MATCH(TRIM($J127),Lists!$T$2:$T$21,0)),IFERROR(INDEX(Lists!$R$2:$R$9,MATCH(TRIM($G127),Lists!$Q$2:$Q$9,0)),"UNMAPPED"))))))))</f>
        <v>Customer</v>
      </c>
      <c r="AI127" s="534" t="b">
        <f>IF(TRIM($B127)="","",--OR(TRIM($L127)="Leadership",TRIM($K127)="Leadership"))</f>
        <v>0</v>
      </c>
      <c r="AJ127" s="534" t="str">
        <f>IF(TRIM($B127)="","",IF(COUNTIFS(Lists!$AN$2:$AN$22,TRIM($B127)&amp;" | "&amp;TRIM($D127),Lists!$AP$2:$AP$22,"&lt;&gt;"),INDEX(Lists!$AP$2:$AP$22,MATCH(TRIM($B127)&amp;" | "&amp;TRIM($D127),Lists!$AN$2:$AN$22,0)),IF($AI127=1,"Leadership",IFERROR(INDEX(Lists!$X$2:$X$21,MATCH(TRIM($L127),Lists!$W$2:$W$21,0)),IF(OR(TRIM($L127)="",LOWER(TRIM($L127))="na"),IF(TRIM($H127)="","Unassigned",TRIM($H127)),TRIM($L127))))))</f>
        <v>Z App and Web</v>
      </c>
      <c r="AK127" s="534" t="str">
        <f>IF(TRIM($B127)="","",IF(COUNTIFS(Lists!$AN$2:$AN$22,TRIM($B127)&amp;" | "&amp;TRIM($D127),Lists!$AQ$2:$AQ$22,"&lt;&gt;"),INDEX(Lists!$AQ$2:$AQ$22,MATCH(TRIM($B127)&amp;" | "&amp;TRIM($D127),Lists!$AN$2:$AN$22,0)),IF(COUNTIF(Lists!$AF$2:$AF$8,$AJ127),$AJ127,IF(ISNUMBER(SEARCH("head of ",$D127)),"Head of Technology",IF(ISNUMBER(SEARCH("TDD BP",$D127)),"Business Partner",IF(OR(ISNUMBER(SEARCH("domain architect",$D127)),ISNUMBER(SEARCH("enterprise architect",$D127))),"Domain Architect",IF(ISNUMBER(SEARCH("delivery man",$D127)),"Delivery Manager",IF(OR(ISNUMBER(SEARCH("technology manager",$D127)),ISNUMBER(SEARCH("technology manger",$D127)),ISNUMBER(SEARCH("tech manager",$D127))),"Technology Manager","Squad"))))))))</f>
        <v>Squad</v>
      </c>
      <c r="AL127" s="534" t="str">
        <f>IF(TRIM($B127)="","",IF(AND($AM127=1,LEFT($AJ127,4)&lt;&gt;"EGI ",$AJ127&lt;&gt;"EGI"),IFERROR(INDEX(Lists!$Z$2:$Z$20,MATCH($AH127,Lists!$Y$2:$Y$20,0)),"EGI "&amp;$AH127),IF(COUNTIF(Lists!$AU$2:$AU$10,$AJ127),$AJ127,IF(OR(LEFT($AH127,3)="COE",$AH127="EGI"),$AJ127,IF($AK127&lt;&gt;"Squad",$AK127,$AJ127)))))</f>
        <v>Z App and Web</v>
      </c>
      <c r="AM127" s="534" t="b">
        <f>IF(TRIM($B127)="","",--(UPPER(TRIM($K127))="EGI"))</f>
        <v>0</v>
      </c>
      <c r="AN127" s="534" t="inlineStr">
        <is>
          <t>Filled</t>
        </is>
      </c>
      <c r="AQ127" s="841" t="inlineStr">
        <is>
          <t>R0126</t>
        </is>
      </c>
      <c r="AZ127" s="841" t="n"/>
    </row>
    <row r="128" ht="18" customHeight="1" s="535">
      <c r="A128" s="842" t="n">
        <v>94663</v>
      </c>
      <c r="B128" s="843" t="inlineStr">
        <is>
          <t>Penny Pennisi</t>
        </is>
      </c>
      <c r="C128" s="842" t="n">
        <v>94663</v>
      </c>
      <c r="D128" s="843" t="inlineStr">
        <is>
          <t>Delivery Lead</t>
        </is>
      </c>
      <c r="E128" s="843" t="inlineStr">
        <is>
          <t>Adriel Jeyanandhan</t>
        </is>
      </c>
      <c r="F128" s="843" t="inlineStr">
        <is>
          <t>Delivery Manager, Digital</t>
        </is>
      </c>
      <c r="G128" s="844" t="inlineStr">
        <is>
          <t>Customer</t>
        </is>
      </c>
      <c r="H128" s="843" t="inlineStr">
        <is>
          <t>Digital</t>
        </is>
      </c>
      <c r="I128" s="843" t="inlineStr">
        <is>
          <t>Digital, Delivery</t>
        </is>
      </c>
      <c r="J128" s="843" t="inlineStr">
        <is>
          <t>Ampol Customer</t>
        </is>
      </c>
      <c r="K128" s="843" t="inlineStr">
        <is>
          <t>Ampol Digital</t>
        </is>
      </c>
      <c r="L128" s="843" t="inlineStr">
        <is>
          <t>Ampol App</t>
        </is>
      </c>
      <c r="M128" s="843" t="n"/>
      <c r="N128" s="845" t="inlineStr">
        <is>
          <t>Australia</t>
        </is>
      </c>
      <c r="O128" s="846" t="inlineStr">
        <is>
          <t>CIC (Always)</t>
        </is>
      </c>
      <c r="P128" s="847" t="n">
        <v>1</v>
      </c>
      <c r="Q128" s="856" t="n"/>
      <c r="R128" s="847" t="inlineStr">
        <is>
          <t>Permanent - Full Time</t>
        </is>
      </c>
      <c r="S128" s="847" t="n"/>
      <c r="T128" s="847" t="n"/>
      <c r="U128" s="848" t="n">
        <v>190980</v>
      </c>
      <c r="V128" s="849" t="n">
        <v>190980</v>
      </c>
      <c r="W128" s="850" t="n">
        <v>0.12</v>
      </c>
      <c r="X128" s="847" t="n">
        <v>0.055</v>
      </c>
      <c r="Y128" s="850" t="n">
        <v>0.12</v>
      </c>
      <c r="Z128" s="851" t="n"/>
      <c r="AA128" s="850" t="n">
        <v>0.04</v>
      </c>
      <c r="AB128" s="852" t="n">
        <v>254958.3</v>
      </c>
      <c r="AD128" s="857" t="n"/>
      <c r="AE128" s="857">
        <f>IF(TRIM($B128)="","",IF(AND(N($P128)&gt;0,N($P128)&lt;1),N($AB128)*N($P128),N($AB128)))</f>
        <v>254958.3</v>
      </c>
      <c r="AF128" s="857" t="str">
        <f>IF(TRIM($B128)="","",IF(OR(ISNUMBER(SEARCH("vacant",$B128)),ISNUMBER(SEARCH("ring fenced",$B128)),LOWER(TRIM($B128))="remove"),"Vacant","Filled"))</f>
        <v>Filled</v>
      </c>
      <c r="AG128" s="857" t="b">
        <f>IF(TRIM($B128)="","",--ISNUMBER(SEARCH("ring fenced",$B128)))</f>
        <v>0</v>
      </c>
      <c r="AH128" s="853" t="str">
        <f>IF(TRIM($B128)="","",IF(COUNTIFS(Lists!$AN$2:$AN$22,TRIM($B128)&amp;" | "&amp;TRIM($D128),Lists!$AO$2:$AO$22,"&lt;&gt;"),INDEX(Lists!$AO$2:$AO$22,MATCH(TRIM($B128)&amp;" | "&amp;TRIM($D128),Lists!$AN$2:$AN$22,0)),IF(COUNTIF(Lists!$AR$2:$AR$3,$AJ128),"TDD Cyber",IF(AND(LEFT($AJ128,4)="EGI ",ISNUMBER(MATCH(TRIM(MID($AJ128,5,99)),Lists!$AS$2:$AS$12,0))),TRIM(MID($AJ128,5,99)),IF(AND(LEFT($AJ128,4)="EGI ",ISNUMBER(MATCH(TRIM(MID($AJ128,5,99)),Lists!$T$2:$T$21,0))),INDEX(Lists!$U$2:$U$21,MATCH(TRIM(MID($AJ128,5,99)),Lists!$T$2:$T$21,0)),IF(OR(TRIM($J128)="",UPPER(TRIM($J128))="NA"),IFERROR(INDEX(Lists!$R$2:$R$9,MATCH(TRIM($G128),Lists!$Q$2:$Q$9,0)),"UNMAPPED"),IFERROR(INDEX(Lists!$U$2:$U$21,MATCH(TRIM($J128),Lists!$T$2:$T$21,0)),IFERROR(INDEX(Lists!$R$2:$R$9,MATCH(TRIM($G128),Lists!$Q$2:$Q$9,0)),"UNMAPPED"))))))))</f>
        <v>Customer</v>
      </c>
      <c r="AI128" s="534" t="b">
        <f>IF(TRIM($B128)="","",--OR(TRIM($L128)="Leadership",TRIM($K128)="Leadership"))</f>
        <v>0</v>
      </c>
      <c r="AJ128" s="534" t="str">
        <f>IF(TRIM($B128)="","",IF(COUNTIFS(Lists!$AN$2:$AN$22,TRIM($B128)&amp;" | "&amp;TRIM($D128),Lists!$AP$2:$AP$22,"&lt;&gt;"),INDEX(Lists!$AP$2:$AP$22,MATCH(TRIM($B128)&amp;" | "&amp;TRIM($D128),Lists!$AN$2:$AN$22,0)),IF($AI128=1,"Leadership",IFERROR(INDEX(Lists!$X$2:$X$21,MATCH(TRIM($L128),Lists!$W$2:$W$21,0)),IF(OR(TRIM($L128)="",LOWER(TRIM($L128))="na"),IF(TRIM($H128)="","Unassigned",TRIM($H128)),TRIM($L128))))))</f>
        <v>Ampol App</v>
      </c>
      <c r="AK128" s="534" t="str">
        <f>IF(TRIM($B128)="","",IF(COUNTIFS(Lists!$AN$2:$AN$22,TRIM($B128)&amp;" | "&amp;TRIM($D128),Lists!$AQ$2:$AQ$22,"&lt;&gt;"),INDEX(Lists!$AQ$2:$AQ$22,MATCH(TRIM($B128)&amp;" | "&amp;TRIM($D128),Lists!$AN$2:$AN$22,0)),IF(COUNTIF(Lists!$AF$2:$AF$8,$AJ128),$AJ128,IF(ISNUMBER(SEARCH("head of ",$D128)),"Head of Technology",IF(ISNUMBER(SEARCH("TDD BP",$D128)),"Business Partner",IF(OR(ISNUMBER(SEARCH("domain architect",$D128)),ISNUMBER(SEARCH("enterprise architect",$D128))),"Domain Architect",IF(ISNUMBER(SEARCH("delivery man",$D128)),"Delivery Manager",IF(OR(ISNUMBER(SEARCH("technology manager",$D128)),ISNUMBER(SEARCH("technology manger",$D128)),ISNUMBER(SEARCH("tech manager",$D128))),"Technology Manager","Squad"))))))))</f>
        <v>Squad</v>
      </c>
      <c r="AL128" s="534" t="str">
        <f>IF(TRIM($B128)="","",IF(AND($AM128=1,LEFT($AJ128,4)&lt;&gt;"EGI ",$AJ128&lt;&gt;"EGI"),IFERROR(INDEX(Lists!$Z$2:$Z$20,MATCH($AH128,Lists!$Y$2:$Y$20,0)),"EGI "&amp;$AH128),IF(COUNTIF(Lists!$AU$2:$AU$10,$AJ128),$AJ128,IF(OR(LEFT($AH128,3)="COE",$AH128="EGI"),$AJ128,IF($AK128&lt;&gt;"Squad",$AK128,$AJ128)))))</f>
        <v>Ampol App</v>
      </c>
      <c r="AM128" s="534" t="b">
        <f>IF(TRIM($B128)="","",--(UPPER(TRIM($K128))="EGI"))</f>
        <v>0</v>
      </c>
      <c r="AN128" s="534" t="inlineStr">
        <is>
          <t>Filled</t>
        </is>
      </c>
      <c r="AQ128" s="841" t="inlineStr">
        <is>
          <t>R0127</t>
        </is>
      </c>
      <c r="AZ128" s="841" t="n"/>
    </row>
    <row r="129" ht="18" customHeight="1" s="535">
      <c r="A129" s="842" t="n">
        <v>108384</v>
      </c>
      <c r="B129" s="843" t="inlineStr">
        <is>
          <t>Saugata Acharya</t>
        </is>
      </c>
      <c r="C129" s="842" t="n">
        <v>108384</v>
      </c>
      <c r="D129" s="843" t="inlineStr">
        <is>
          <t>Delivery Lead</t>
        </is>
      </c>
      <c r="E129" s="843" t="inlineStr">
        <is>
          <t>Adriel Jeyanandhan</t>
        </is>
      </c>
      <c r="F129" s="843" t="inlineStr">
        <is>
          <t>Delivery Manager, Digital</t>
        </is>
      </c>
      <c r="G129" s="844" t="inlineStr">
        <is>
          <t>Customer</t>
        </is>
      </c>
      <c r="H129" s="843" t="inlineStr">
        <is>
          <t>Digital</t>
        </is>
      </c>
      <c r="I129" s="843" t="inlineStr">
        <is>
          <t>Digital, Delivery</t>
        </is>
      </c>
      <c r="J129" s="843" t="inlineStr">
        <is>
          <t>Ampol Customer</t>
        </is>
      </c>
      <c r="K129" s="843" t="inlineStr">
        <is>
          <t>Ampol Digital</t>
        </is>
      </c>
      <c r="L129" s="843" t="inlineStr">
        <is>
          <t>Ampol Web</t>
        </is>
      </c>
      <c r="M129" s="843" t="n"/>
      <c r="N129" s="845" t="inlineStr">
        <is>
          <t>Australia</t>
        </is>
      </c>
      <c r="O129" s="846" t="inlineStr">
        <is>
          <t>CIC (Always)</t>
        </is>
      </c>
      <c r="P129" s="847" t="n">
        <v>1</v>
      </c>
      <c r="Q129" s="856" t="n"/>
      <c r="R129" s="847" t="inlineStr">
        <is>
          <t>Permanent - Full Time</t>
        </is>
      </c>
      <c r="S129" s="847" t="n"/>
      <c r="T129" s="847" t="n"/>
      <c r="U129" s="848" t="n">
        <v>182090</v>
      </c>
      <c r="V129" s="849" t="n">
        <v>182090</v>
      </c>
      <c r="W129" s="850" t="n">
        <v>0.12</v>
      </c>
      <c r="X129" s="847" t="n">
        <v>0.055</v>
      </c>
      <c r="Y129" s="850" t="n">
        <v>0.12</v>
      </c>
      <c r="Z129" s="851" t="n"/>
      <c r="AA129" s="850" t="n">
        <v>0.04</v>
      </c>
      <c r="AB129" s="852" t="n">
        <v>243090.15</v>
      </c>
      <c r="AD129" s="857" t="n"/>
      <c r="AE129" s="857">
        <f>IF(TRIM($B129)="","",IF(AND(N($P129)&gt;0,N($P129)&lt;1),N($AB129)*N($P129),N($AB129)))</f>
        <v>243090.15</v>
      </c>
      <c r="AF129" s="857" t="str">
        <f>IF(TRIM($B129)="","",IF(OR(ISNUMBER(SEARCH("vacant",$B129)),ISNUMBER(SEARCH("ring fenced",$B129)),LOWER(TRIM($B129))="remove"),"Vacant","Filled"))</f>
        <v>Filled</v>
      </c>
      <c r="AG129" s="857" t="b">
        <f>IF(TRIM($B129)="","",--ISNUMBER(SEARCH("ring fenced",$B129)))</f>
        <v>0</v>
      </c>
      <c r="AH129" s="853" t="str">
        <f>IF(TRIM($B129)="","",IF(COUNTIFS(Lists!$AN$2:$AN$22,TRIM($B129)&amp;" | "&amp;TRIM($D129),Lists!$AO$2:$AO$22,"&lt;&gt;"),INDEX(Lists!$AO$2:$AO$22,MATCH(TRIM($B129)&amp;" | "&amp;TRIM($D129),Lists!$AN$2:$AN$22,0)),IF(COUNTIF(Lists!$AR$2:$AR$3,$AJ129),"TDD Cyber",IF(AND(LEFT($AJ129,4)="EGI ",ISNUMBER(MATCH(TRIM(MID($AJ129,5,99)),Lists!$AS$2:$AS$12,0))),TRIM(MID($AJ129,5,99)),IF(AND(LEFT($AJ129,4)="EGI ",ISNUMBER(MATCH(TRIM(MID($AJ129,5,99)),Lists!$T$2:$T$21,0))),INDEX(Lists!$U$2:$U$21,MATCH(TRIM(MID($AJ129,5,99)),Lists!$T$2:$T$21,0)),IF(OR(TRIM($J129)="",UPPER(TRIM($J129))="NA"),IFERROR(INDEX(Lists!$R$2:$R$9,MATCH(TRIM($G129),Lists!$Q$2:$Q$9,0)),"UNMAPPED"),IFERROR(INDEX(Lists!$U$2:$U$21,MATCH(TRIM($J129),Lists!$T$2:$T$21,0)),IFERROR(INDEX(Lists!$R$2:$R$9,MATCH(TRIM($G129),Lists!$Q$2:$Q$9,0)),"UNMAPPED"))))))))</f>
        <v>Customer</v>
      </c>
      <c r="AI129" s="534" t="b">
        <f>IF(TRIM($B129)="","",--OR(TRIM($L129)="Leadership",TRIM($K129)="Leadership"))</f>
        <v>0</v>
      </c>
      <c r="AJ129" s="534" t="str">
        <f>IF(TRIM($B129)="","",IF(COUNTIFS(Lists!$AN$2:$AN$22,TRIM($B129)&amp;" | "&amp;TRIM($D129),Lists!$AP$2:$AP$22,"&lt;&gt;"),INDEX(Lists!$AP$2:$AP$22,MATCH(TRIM($B129)&amp;" | "&amp;TRIM($D129),Lists!$AN$2:$AN$22,0)),IF($AI129=1,"Leadership",IFERROR(INDEX(Lists!$X$2:$X$21,MATCH(TRIM($L129),Lists!$W$2:$W$21,0)),IF(OR(TRIM($L129)="",LOWER(TRIM($L129))="na"),IF(TRIM($H129)="","Unassigned",TRIM($H129)),TRIM($L129))))))</f>
        <v>Ampol Web</v>
      </c>
      <c r="AK129" s="534" t="str">
        <f>IF(TRIM($B129)="","",IF(COUNTIFS(Lists!$AN$2:$AN$22,TRIM($B129)&amp;" | "&amp;TRIM($D129),Lists!$AQ$2:$AQ$22,"&lt;&gt;"),INDEX(Lists!$AQ$2:$AQ$22,MATCH(TRIM($B129)&amp;" | "&amp;TRIM($D129),Lists!$AN$2:$AN$22,0)),IF(COUNTIF(Lists!$AF$2:$AF$8,$AJ129),$AJ129,IF(ISNUMBER(SEARCH("head of ",$D129)),"Head of Technology",IF(ISNUMBER(SEARCH("TDD BP",$D129)),"Business Partner",IF(OR(ISNUMBER(SEARCH("domain architect",$D129)),ISNUMBER(SEARCH("enterprise architect",$D129))),"Domain Architect",IF(ISNUMBER(SEARCH("delivery man",$D129)),"Delivery Manager",IF(OR(ISNUMBER(SEARCH("technology manager",$D129)),ISNUMBER(SEARCH("technology manger",$D129)),ISNUMBER(SEARCH("tech manager",$D129))),"Technology Manager","Squad"))))))))</f>
        <v>Squad</v>
      </c>
      <c r="AL129" s="534" t="str">
        <f>IF(TRIM($B129)="","",IF(AND($AM129=1,LEFT($AJ129,4)&lt;&gt;"EGI ",$AJ129&lt;&gt;"EGI"),IFERROR(INDEX(Lists!$Z$2:$Z$20,MATCH($AH129,Lists!$Y$2:$Y$20,0)),"EGI "&amp;$AH129),IF(COUNTIF(Lists!$AU$2:$AU$10,$AJ129),$AJ129,IF(OR(LEFT($AH129,3)="COE",$AH129="EGI"),$AJ129,IF($AK129&lt;&gt;"Squad",$AK129,$AJ129)))))</f>
        <v>Ampol Web</v>
      </c>
      <c r="AM129" s="534" t="b">
        <f>IF(TRIM($B129)="","",--(UPPER(TRIM($K129))="EGI"))</f>
        <v>0</v>
      </c>
      <c r="AN129" s="534" t="inlineStr">
        <is>
          <t>Filled</t>
        </is>
      </c>
      <c r="AQ129" s="841" t="inlineStr">
        <is>
          <t>R0128</t>
        </is>
      </c>
      <c r="AZ129" s="841" t="n"/>
    </row>
    <row r="130" ht="18" customHeight="1" s="535">
      <c r="A130" s="842" t="n">
        <v>113463</v>
      </c>
      <c r="B130" s="843" t="inlineStr">
        <is>
          <t>Alisha Allport</t>
        </is>
      </c>
      <c r="C130" s="842" t="n">
        <v>113463</v>
      </c>
      <c r="D130" s="843" t="inlineStr">
        <is>
          <t>Principal Experience Designer</t>
        </is>
      </c>
      <c r="E130" s="843" t="inlineStr">
        <is>
          <t>Byron Thornhill</t>
        </is>
      </c>
      <c r="F130" s="843" t="inlineStr">
        <is>
          <t>Design Manager</t>
        </is>
      </c>
      <c r="G130" s="844" t="inlineStr">
        <is>
          <t>Customer</t>
        </is>
      </c>
      <c r="H130" s="843" t="inlineStr">
        <is>
          <t>Digital</t>
        </is>
      </c>
      <c r="I130" s="843" t="inlineStr">
        <is>
          <t>Digital, Design</t>
        </is>
      </c>
      <c r="J130" s="843" t="inlineStr">
        <is>
          <t>Ampol Customer</t>
        </is>
      </c>
      <c r="K130" s="843" t="inlineStr">
        <is>
          <t>Ampol Digital</t>
        </is>
      </c>
      <c r="L130" s="843" t="inlineStr">
        <is>
          <t>Ampol App</t>
        </is>
      </c>
      <c r="M130" s="843" t="n"/>
      <c r="N130" s="845" t="inlineStr">
        <is>
          <t>Australia</t>
        </is>
      </c>
      <c r="O130" s="846" t="inlineStr">
        <is>
          <t>CIC (Always)</t>
        </is>
      </c>
      <c r="P130" s="847" t="n">
        <v>1</v>
      </c>
      <c r="Q130" s="856" t="n"/>
      <c r="R130" s="847" t="inlineStr">
        <is>
          <t>Permanent - Full Time</t>
        </is>
      </c>
      <c r="S130" s="847" t="n"/>
      <c r="T130" s="847" t="n"/>
      <c r="U130" s="848" t="n">
        <v>176280</v>
      </c>
      <c r="V130" s="849" t="n">
        <v>176280</v>
      </c>
      <c r="W130" s="850" t="n">
        <v>0.12</v>
      </c>
      <c r="X130" s="847" t="n">
        <v>0.055</v>
      </c>
      <c r="Y130" s="850" t="n">
        <v>0.12</v>
      </c>
      <c r="Z130" s="851" t="n"/>
      <c r="AA130" s="850" t="n">
        <v>0.04</v>
      </c>
      <c r="AB130" s="852" t="n">
        <v>235333.8</v>
      </c>
      <c r="AD130" s="857" t="n"/>
      <c r="AE130" s="857">
        <f>IF(TRIM($B130)="","",IF(AND(N($P130)&gt;0,N($P130)&lt;1),N($AB130)*N($P130),N($AB130)))</f>
        <v>235333.8</v>
      </c>
      <c r="AF130" s="857" t="str">
        <f>IF(TRIM($B130)="","",IF(OR(ISNUMBER(SEARCH("vacant",$B130)),ISNUMBER(SEARCH("ring fenced",$B130)),LOWER(TRIM($B130))="remove"),"Vacant","Filled"))</f>
        <v>Filled</v>
      </c>
      <c r="AG130" s="857" t="b">
        <f>IF(TRIM($B130)="","",--ISNUMBER(SEARCH("ring fenced",$B130)))</f>
        <v>0</v>
      </c>
      <c r="AH130" s="853" t="str">
        <f>IF(TRIM($B130)="","",IF(COUNTIFS(Lists!$AN$2:$AN$22,TRIM($B130)&amp;" | "&amp;TRIM($D130),Lists!$AO$2:$AO$22,"&lt;&gt;"),INDEX(Lists!$AO$2:$AO$22,MATCH(TRIM($B130)&amp;" | "&amp;TRIM($D130),Lists!$AN$2:$AN$22,0)),IF(COUNTIF(Lists!$AR$2:$AR$3,$AJ130),"TDD Cyber",IF(AND(LEFT($AJ130,4)="EGI ",ISNUMBER(MATCH(TRIM(MID($AJ130,5,99)),Lists!$AS$2:$AS$12,0))),TRIM(MID($AJ130,5,99)),IF(AND(LEFT($AJ130,4)="EGI ",ISNUMBER(MATCH(TRIM(MID($AJ130,5,99)),Lists!$T$2:$T$21,0))),INDEX(Lists!$U$2:$U$21,MATCH(TRIM(MID($AJ130,5,99)),Lists!$T$2:$T$21,0)),IF(OR(TRIM($J130)="",UPPER(TRIM($J130))="NA"),IFERROR(INDEX(Lists!$R$2:$R$9,MATCH(TRIM($G130),Lists!$Q$2:$Q$9,0)),"UNMAPPED"),IFERROR(INDEX(Lists!$U$2:$U$21,MATCH(TRIM($J130),Lists!$T$2:$T$21,0)),IFERROR(INDEX(Lists!$R$2:$R$9,MATCH(TRIM($G130),Lists!$Q$2:$Q$9,0)),"UNMAPPED"))))))))</f>
        <v>Customer</v>
      </c>
      <c r="AI130" s="534" t="b">
        <f>IF(TRIM($B130)="","",--OR(TRIM($L130)="Leadership",TRIM($K130)="Leadership"))</f>
        <v>0</v>
      </c>
      <c r="AJ130" s="534" t="str">
        <f>IF(TRIM($B130)="","",IF(COUNTIFS(Lists!$AN$2:$AN$22,TRIM($B130)&amp;" | "&amp;TRIM($D130),Lists!$AP$2:$AP$22,"&lt;&gt;"),INDEX(Lists!$AP$2:$AP$22,MATCH(TRIM($B130)&amp;" | "&amp;TRIM($D130),Lists!$AN$2:$AN$22,0)),IF($AI130=1,"Leadership",IFERROR(INDEX(Lists!$X$2:$X$21,MATCH(TRIM($L130),Lists!$W$2:$W$21,0)),IF(OR(TRIM($L130)="",LOWER(TRIM($L130))="na"),IF(TRIM($H130)="","Unassigned",TRIM($H130)),TRIM($L130))))))</f>
        <v>Ampol App</v>
      </c>
      <c r="AK130" s="534" t="str">
        <f>IF(TRIM($B130)="","",IF(COUNTIFS(Lists!$AN$2:$AN$22,TRIM($B130)&amp;" | "&amp;TRIM($D130),Lists!$AQ$2:$AQ$22,"&lt;&gt;"),INDEX(Lists!$AQ$2:$AQ$22,MATCH(TRIM($B130)&amp;" | "&amp;TRIM($D130),Lists!$AN$2:$AN$22,0)),IF(COUNTIF(Lists!$AF$2:$AF$8,$AJ130),$AJ130,IF(ISNUMBER(SEARCH("head of ",$D130)),"Head of Technology",IF(ISNUMBER(SEARCH("TDD BP",$D130)),"Business Partner",IF(OR(ISNUMBER(SEARCH("domain architect",$D130)),ISNUMBER(SEARCH("enterprise architect",$D130))),"Domain Architect",IF(ISNUMBER(SEARCH("delivery man",$D130)),"Delivery Manager",IF(OR(ISNUMBER(SEARCH("technology manager",$D130)),ISNUMBER(SEARCH("technology manger",$D130)),ISNUMBER(SEARCH("tech manager",$D130))),"Technology Manager","Squad"))))))))</f>
        <v>Squad</v>
      </c>
      <c r="AL130" s="534" t="str">
        <f>IF(TRIM($B130)="","",IF(AND($AM130=1,LEFT($AJ130,4)&lt;&gt;"EGI ",$AJ130&lt;&gt;"EGI"),IFERROR(INDEX(Lists!$Z$2:$Z$20,MATCH($AH130,Lists!$Y$2:$Y$20,0)),"EGI "&amp;$AH130),IF(COUNTIF(Lists!$AU$2:$AU$10,$AJ130),$AJ130,IF(OR(LEFT($AH130,3)="COE",$AH130="EGI"),$AJ130,IF($AK130&lt;&gt;"Squad",$AK130,$AJ130)))))</f>
        <v>Ampol App</v>
      </c>
      <c r="AM130" s="534" t="b">
        <f>IF(TRIM($B130)="","",--(UPPER(TRIM($K130))="EGI"))</f>
        <v>0</v>
      </c>
      <c r="AN130" s="534" t="inlineStr">
        <is>
          <t>Filled</t>
        </is>
      </c>
      <c r="AQ130" s="841" t="inlineStr">
        <is>
          <t>R0129</t>
        </is>
      </c>
      <c r="AZ130" s="841" t="n"/>
    </row>
    <row r="131" ht="18" customHeight="1" s="535">
      <c r="A131" s="842" t="n">
        <v>113514</v>
      </c>
      <c r="B131" s="843" t="inlineStr">
        <is>
          <t>Ants Jackson</t>
        </is>
      </c>
      <c r="C131" s="842" t="n">
        <v>113514</v>
      </c>
      <c r="D131" s="843" t="inlineStr">
        <is>
          <t>Experience Designer</t>
        </is>
      </c>
      <c r="E131" s="843" t="inlineStr">
        <is>
          <t>Byron Thornhill</t>
        </is>
      </c>
      <c r="F131" s="843" t="inlineStr">
        <is>
          <t>Design Manager</t>
        </is>
      </c>
      <c r="G131" s="844" t="inlineStr">
        <is>
          <t>Customer</t>
        </is>
      </c>
      <c r="H131" s="843" t="inlineStr">
        <is>
          <t>Digital</t>
        </is>
      </c>
      <c r="I131" s="843" t="inlineStr">
        <is>
          <t>Digital, Design</t>
        </is>
      </c>
      <c r="J131" s="843" t="inlineStr">
        <is>
          <t>Z ENERGY (DIGITAL)</t>
        </is>
      </c>
      <c r="K131" s="843" t="inlineStr">
        <is>
          <t>Z Energy (Digitial)</t>
        </is>
      </c>
      <c r="L131" s="843" t="inlineStr">
        <is>
          <t>Z App and Web</t>
        </is>
      </c>
      <c r="M131" s="843" t="n"/>
      <c r="N131" s="845" t="inlineStr">
        <is>
          <t>NZ</t>
        </is>
      </c>
      <c r="O131" s="846" t="inlineStr">
        <is>
          <t>CIC (Always)</t>
        </is>
      </c>
      <c r="P131" s="847" t="n">
        <v>1</v>
      </c>
      <c r="Q131" s="856" t="n"/>
      <c r="R131" s="847" t="inlineStr">
        <is>
          <t>Permanent - Full Time</t>
        </is>
      </c>
      <c r="S131" s="847" t="n"/>
      <c r="T131" s="847" t="n"/>
      <c r="U131" s="848" t="n">
        <v>157460</v>
      </c>
      <c r="V131" s="849" t="n">
        <v>144863.2</v>
      </c>
      <c r="W131" s="850" t="n">
        <v>0.15</v>
      </c>
      <c r="X131" s="847" t="n"/>
      <c r="Y131" s="850" t="n">
        <v>0.05</v>
      </c>
      <c r="Z131" s="851" t="n">
        <v>2910</v>
      </c>
      <c r="AA131" s="850" t="n">
        <v>0.03</v>
      </c>
      <c r="AB131" s="852" t="n">
        <v>181091.736</v>
      </c>
      <c r="AD131" s="857" t="n"/>
      <c r="AE131" s="857">
        <f>IF(TRIM($B131)="","",IF(AND(N($P131)&gt;0,N($P131)&lt;1),N($AB131)*N($P131),N($AB131)))</f>
        <v>181091.736</v>
      </c>
      <c r="AF131" s="857" t="str">
        <f>IF(TRIM($B131)="","",IF(OR(ISNUMBER(SEARCH("vacant",$B131)),ISNUMBER(SEARCH("ring fenced",$B131)),LOWER(TRIM($B131))="remove"),"Vacant","Filled"))</f>
        <v>Filled</v>
      </c>
      <c r="AG131" s="857" t="b">
        <f>IF(TRIM($B131)="","",--ISNUMBER(SEARCH("ring fenced",$B131)))</f>
        <v>0</v>
      </c>
      <c r="AH131" s="534" t="str">
        <f>IF(TRIM($B131)="","",IF(COUNTIFS(Lists!$AN$2:$AN$22,TRIM($B131)&amp;" | "&amp;TRIM($D131),Lists!$AO$2:$AO$22,"&lt;&gt;"),INDEX(Lists!$AO$2:$AO$22,MATCH(TRIM($B131)&amp;" | "&amp;TRIM($D131),Lists!$AN$2:$AN$22,0)),IF(COUNTIF(Lists!$AR$2:$AR$3,$AJ131),"TDD Cyber",IF(AND(LEFT($AJ131,4)="EGI ",ISNUMBER(MATCH(TRIM(MID($AJ131,5,99)),Lists!$AS$2:$AS$12,0))),TRIM(MID($AJ131,5,99)),IF(AND(LEFT($AJ131,4)="EGI ",ISNUMBER(MATCH(TRIM(MID($AJ131,5,99)),Lists!$T$2:$T$21,0))),INDEX(Lists!$U$2:$U$21,MATCH(TRIM(MID($AJ131,5,99)),Lists!$T$2:$T$21,0)),IF(OR(TRIM($J131)="",UPPER(TRIM($J131))="NA"),IFERROR(INDEX(Lists!$R$2:$R$9,MATCH(TRIM($G131),Lists!$Q$2:$Q$9,0)),"UNMAPPED"),IFERROR(INDEX(Lists!$U$2:$U$21,MATCH(TRIM($J131),Lists!$T$2:$T$21,0)),IFERROR(INDEX(Lists!$R$2:$R$9,MATCH(TRIM($G131),Lists!$Q$2:$Q$9,0)),"UNMAPPED"))))))))</f>
        <v>Customer</v>
      </c>
      <c r="AI131" s="534" t="b">
        <f>IF(TRIM($B131)="","",--OR(TRIM($L131)="Leadership",TRIM($K131)="Leadership"))</f>
        <v>0</v>
      </c>
      <c r="AJ131" s="534" t="str">
        <f>IF(TRIM($B131)="","",IF(COUNTIFS(Lists!$AN$2:$AN$22,TRIM($B131)&amp;" | "&amp;TRIM($D131),Lists!$AP$2:$AP$22,"&lt;&gt;"),INDEX(Lists!$AP$2:$AP$22,MATCH(TRIM($B131)&amp;" | "&amp;TRIM($D131),Lists!$AN$2:$AN$22,0)),IF($AI131=1,"Leadership",IFERROR(INDEX(Lists!$X$2:$X$21,MATCH(TRIM($L131),Lists!$W$2:$W$21,0)),IF(OR(TRIM($L131)="",LOWER(TRIM($L131))="na"),IF(TRIM($H131)="","Unassigned",TRIM($H131)),TRIM($L131))))))</f>
        <v>Z App and Web</v>
      </c>
      <c r="AK131" s="534" t="str">
        <f>IF(TRIM($B131)="","",IF(COUNTIFS(Lists!$AN$2:$AN$22,TRIM($B131)&amp;" | "&amp;TRIM($D131),Lists!$AQ$2:$AQ$22,"&lt;&gt;"),INDEX(Lists!$AQ$2:$AQ$22,MATCH(TRIM($B131)&amp;" | "&amp;TRIM($D131),Lists!$AN$2:$AN$22,0)),IF(COUNTIF(Lists!$AF$2:$AF$8,$AJ131),$AJ131,IF(ISNUMBER(SEARCH("head of ",$D131)),"Head of Technology",IF(ISNUMBER(SEARCH("TDD BP",$D131)),"Business Partner",IF(OR(ISNUMBER(SEARCH("domain architect",$D131)),ISNUMBER(SEARCH("enterprise architect",$D131))),"Domain Architect",IF(ISNUMBER(SEARCH("delivery man",$D131)),"Delivery Manager",IF(OR(ISNUMBER(SEARCH("technology manager",$D131)),ISNUMBER(SEARCH("technology manger",$D131)),ISNUMBER(SEARCH("tech manager",$D131))),"Technology Manager","Squad"))))))))</f>
        <v>Squad</v>
      </c>
      <c r="AL131" s="534" t="str">
        <f>IF(TRIM($B131)="","",IF(AND($AM131=1,LEFT($AJ131,4)&lt;&gt;"EGI ",$AJ131&lt;&gt;"EGI"),IFERROR(INDEX(Lists!$Z$2:$Z$20,MATCH($AH131,Lists!$Y$2:$Y$20,0)),"EGI "&amp;$AH131),IF(COUNTIF(Lists!$AU$2:$AU$10,$AJ131),$AJ131,IF(OR(LEFT($AH131,3)="COE",$AH131="EGI"),$AJ131,IF($AK131&lt;&gt;"Squad",$AK131,$AJ131)))))</f>
        <v>Z App and Web</v>
      </c>
      <c r="AM131" s="534" t="b">
        <f>IF(TRIM($B131)="","",--(UPPER(TRIM($K131))="EGI"))</f>
        <v>0</v>
      </c>
      <c r="AN131" s="534" t="inlineStr">
        <is>
          <t>Filled</t>
        </is>
      </c>
      <c r="AQ131" s="841" t="inlineStr">
        <is>
          <t>R0130</t>
        </is>
      </c>
      <c r="AZ131" s="841" t="n"/>
    </row>
    <row r="132" ht="18" customHeight="1" s="535">
      <c r="A132" s="842" t="n">
        <v>116714</v>
      </c>
      <c r="B132" s="843" t="inlineStr">
        <is>
          <t>Maria Salman</t>
        </is>
      </c>
      <c r="C132" s="842" t="n">
        <v>116714</v>
      </c>
      <c r="D132" s="843" t="inlineStr">
        <is>
          <t>Experience Designer</t>
        </is>
      </c>
      <c r="E132" s="843" t="inlineStr">
        <is>
          <t>Byron Thornhill</t>
        </is>
      </c>
      <c r="F132" s="843" t="inlineStr">
        <is>
          <t>Design Manager</t>
        </is>
      </c>
      <c r="G132" s="844" t="inlineStr">
        <is>
          <t>Customer</t>
        </is>
      </c>
      <c r="H132" s="843" t="inlineStr">
        <is>
          <t>Digital</t>
        </is>
      </c>
      <c r="I132" s="843" t="inlineStr">
        <is>
          <t>Digital, Design</t>
        </is>
      </c>
      <c r="J132" s="843" t="inlineStr">
        <is>
          <t>Ampol Customer</t>
        </is>
      </c>
      <c r="K132" s="843" t="inlineStr">
        <is>
          <t>Ampol Digital</t>
        </is>
      </c>
      <c r="L132" s="843" t="inlineStr">
        <is>
          <t>Ampol App</t>
        </is>
      </c>
      <c r="M132" s="843" t="n"/>
      <c r="N132" s="845" t="inlineStr">
        <is>
          <t>Australia</t>
        </is>
      </c>
      <c r="O132" s="846" t="inlineStr">
        <is>
          <t>CIC (Always)</t>
        </is>
      </c>
      <c r="P132" s="847" t="n">
        <v>1</v>
      </c>
      <c r="Q132" s="856" t="n"/>
      <c r="R132" s="847" t="inlineStr">
        <is>
          <t>Temporary - Full Time</t>
        </is>
      </c>
      <c r="S132" s="847" t="n"/>
      <c r="T132" s="847" t="n"/>
      <c r="U132" s="848" t="n">
        <v>150000</v>
      </c>
      <c r="V132" s="849" t="n">
        <v>150000</v>
      </c>
      <c r="W132" s="850" t="n">
        <v>0.12</v>
      </c>
      <c r="X132" s="847" t="n">
        <v>0.055</v>
      </c>
      <c r="Y132" s="850" t="n">
        <v>0.12</v>
      </c>
      <c r="Z132" s="851" t="n"/>
      <c r="AA132" s="850" t="n">
        <v>0.04</v>
      </c>
      <c r="AB132" s="852" t="n">
        <v>240302</v>
      </c>
      <c r="AC132" s="534" t="inlineStr">
        <is>
          <t>End date: 30 April 2027</t>
        </is>
      </c>
      <c r="AD132" s="857" t="n"/>
      <c r="AE132" s="857">
        <f>IF(TRIM($B132)="","",IF(AND(N($P132)&gt;0,N($P132)&lt;1),N($AB132)*N($P132),N($AB132)))</f>
        <v>240302</v>
      </c>
      <c r="AF132" s="857" t="str">
        <f>IF(TRIM($B132)="","",IF(OR(ISNUMBER(SEARCH("vacant",$B132)),ISNUMBER(SEARCH("ring fenced",$B132)),LOWER(TRIM($B132))="remove"),"Vacant","Filled"))</f>
        <v>Filled</v>
      </c>
      <c r="AG132" s="857" t="b">
        <f>IF(TRIM($B132)="","",--ISNUMBER(SEARCH("ring fenced",$B132)))</f>
        <v>0</v>
      </c>
      <c r="AH132" s="853" t="str">
        <f>IF(TRIM($B132)="","",IF(COUNTIFS(Lists!$AN$2:$AN$22,TRIM($B132)&amp;" | "&amp;TRIM($D132),Lists!$AO$2:$AO$22,"&lt;&gt;"),INDEX(Lists!$AO$2:$AO$22,MATCH(TRIM($B132)&amp;" | "&amp;TRIM($D132),Lists!$AN$2:$AN$22,0)),IF(COUNTIF(Lists!$AR$2:$AR$3,$AJ132),"TDD Cyber",IF(AND(LEFT($AJ132,4)="EGI ",ISNUMBER(MATCH(TRIM(MID($AJ132,5,99)),Lists!$AS$2:$AS$12,0))),TRIM(MID($AJ132,5,99)),IF(AND(LEFT($AJ132,4)="EGI ",ISNUMBER(MATCH(TRIM(MID($AJ132,5,99)),Lists!$T$2:$T$21,0))),INDEX(Lists!$U$2:$U$21,MATCH(TRIM(MID($AJ132,5,99)),Lists!$T$2:$T$21,0)),IF(OR(TRIM($J132)="",UPPER(TRIM($J132))="NA"),IFERROR(INDEX(Lists!$R$2:$R$9,MATCH(TRIM($G132),Lists!$Q$2:$Q$9,0)),"UNMAPPED"),IFERROR(INDEX(Lists!$U$2:$U$21,MATCH(TRIM($J132),Lists!$T$2:$T$21,0)),IFERROR(INDEX(Lists!$R$2:$R$9,MATCH(TRIM($G132),Lists!$Q$2:$Q$9,0)),"UNMAPPED"))))))))</f>
        <v>Customer</v>
      </c>
      <c r="AI132" s="534" t="b">
        <f>IF(TRIM($B132)="","",--OR(TRIM($L132)="Leadership",TRIM($K132)="Leadership"))</f>
        <v>0</v>
      </c>
      <c r="AJ132" s="534" t="str">
        <f>IF(TRIM($B132)="","",IF(COUNTIFS(Lists!$AN$2:$AN$22,TRIM($B132)&amp;" | "&amp;TRIM($D132),Lists!$AP$2:$AP$22,"&lt;&gt;"),INDEX(Lists!$AP$2:$AP$22,MATCH(TRIM($B132)&amp;" | "&amp;TRIM($D132),Lists!$AN$2:$AN$22,0)),IF($AI132=1,"Leadership",IFERROR(INDEX(Lists!$X$2:$X$21,MATCH(TRIM($L132),Lists!$W$2:$W$21,0)),IF(OR(TRIM($L132)="",LOWER(TRIM($L132))="na"),IF(TRIM($H132)="","Unassigned",TRIM($H132)),TRIM($L132))))))</f>
        <v>Ampol App</v>
      </c>
      <c r="AK132" s="534" t="str">
        <f>IF(TRIM($B132)="","",IF(COUNTIFS(Lists!$AN$2:$AN$22,TRIM($B132)&amp;" | "&amp;TRIM($D132),Lists!$AQ$2:$AQ$22,"&lt;&gt;"),INDEX(Lists!$AQ$2:$AQ$22,MATCH(TRIM($B132)&amp;" | "&amp;TRIM($D132),Lists!$AN$2:$AN$22,0)),IF(COUNTIF(Lists!$AF$2:$AF$8,$AJ132),$AJ132,IF(ISNUMBER(SEARCH("head of ",$D132)),"Head of Technology",IF(ISNUMBER(SEARCH("TDD BP",$D132)),"Business Partner",IF(OR(ISNUMBER(SEARCH("domain architect",$D132)),ISNUMBER(SEARCH("enterprise architect",$D132))),"Domain Architect",IF(ISNUMBER(SEARCH("delivery man",$D132)),"Delivery Manager",IF(OR(ISNUMBER(SEARCH("technology manager",$D132)),ISNUMBER(SEARCH("technology manger",$D132)),ISNUMBER(SEARCH("tech manager",$D132))),"Technology Manager","Squad"))))))))</f>
        <v>Squad</v>
      </c>
      <c r="AL132" s="534" t="str">
        <f>IF(TRIM($B132)="","",IF(AND($AM132=1,LEFT($AJ132,4)&lt;&gt;"EGI ",$AJ132&lt;&gt;"EGI"),IFERROR(INDEX(Lists!$Z$2:$Z$20,MATCH($AH132,Lists!$Y$2:$Y$20,0)),"EGI "&amp;$AH132),IF(COUNTIF(Lists!$AU$2:$AU$10,$AJ132),$AJ132,IF(OR(LEFT($AH132,3)="COE",$AH132="EGI"),$AJ132,IF($AK132&lt;&gt;"Squad",$AK132,$AJ132)))))</f>
        <v>Ampol App</v>
      </c>
      <c r="AM132" s="534" t="b">
        <f>IF(TRIM($B132)="","",--(UPPER(TRIM($K132))="EGI"))</f>
        <v>0</v>
      </c>
      <c r="AN132" s="534" t="inlineStr">
        <is>
          <t>Filled</t>
        </is>
      </c>
      <c r="AO132" s="534" t="inlineStr">
        <is>
          <t>End date: 30 April 2027</t>
        </is>
      </c>
      <c r="AP132" s="854" t="n">
        <v>46507</v>
      </c>
      <c r="AQ132" s="841" t="inlineStr">
        <is>
          <t>R0131</t>
        </is>
      </c>
      <c r="AZ132" s="841" t="n"/>
    </row>
    <row r="133" ht="18" customHeight="1" s="535">
      <c r="A133" s="842" t="n">
        <v>113618</v>
      </c>
      <c r="B133" s="843" t="inlineStr">
        <is>
          <t>Tim Corin</t>
        </is>
      </c>
      <c r="C133" s="842" t="n">
        <v>113618</v>
      </c>
      <c r="D133" s="843" t="inlineStr">
        <is>
          <t>Experience Designer</t>
        </is>
      </c>
      <c r="E133" s="843" t="inlineStr">
        <is>
          <t>Byron Thornhill</t>
        </is>
      </c>
      <c r="F133" s="843" t="inlineStr">
        <is>
          <t>Design Manager</t>
        </is>
      </c>
      <c r="G133" s="844" t="inlineStr">
        <is>
          <t>Customer</t>
        </is>
      </c>
      <c r="H133" s="843" t="inlineStr">
        <is>
          <t>Digital</t>
        </is>
      </c>
      <c r="I133" s="843" t="inlineStr">
        <is>
          <t>Digital, Design</t>
        </is>
      </c>
      <c r="J133" s="843" t="inlineStr">
        <is>
          <t>Z ENERGY (DIGITAL)</t>
        </is>
      </c>
      <c r="K133" s="843" t="inlineStr">
        <is>
          <t>Z Energy (Digitial)</t>
        </is>
      </c>
      <c r="L133" s="843" t="inlineStr">
        <is>
          <t>Z App and Web</t>
        </is>
      </c>
      <c r="M133" s="843" t="n"/>
      <c r="N133" s="845" t="inlineStr">
        <is>
          <t>NZ</t>
        </is>
      </c>
      <c r="O133" s="846" t="inlineStr">
        <is>
          <t>CIC (Always)</t>
        </is>
      </c>
      <c r="P133" s="847" t="n">
        <v>1</v>
      </c>
      <c r="Q133" s="856" t="n"/>
      <c r="R133" s="847" t="inlineStr">
        <is>
          <t>Permanent - Full Time</t>
        </is>
      </c>
      <c r="S133" s="847" t="n"/>
      <c r="T133" s="847" t="n"/>
      <c r="U133" s="848" t="n">
        <v>142000</v>
      </c>
      <c r="V133" s="849" t="n">
        <v>130640</v>
      </c>
      <c r="W133" s="850" t="n">
        <v>0.15</v>
      </c>
      <c r="X133" s="847" t="n"/>
      <c r="Y133" s="850" t="n">
        <v>0.05</v>
      </c>
      <c r="Z133" s="851" t="n">
        <v>2910</v>
      </c>
      <c r="AA133" s="850" t="n">
        <v>0.03</v>
      </c>
      <c r="AB133" s="852" t="n">
        <v>163597.2</v>
      </c>
      <c r="AD133" s="857" t="n"/>
      <c r="AE133" s="857">
        <f>IF(TRIM($B133)="","",IF(AND(N($P133)&gt;0,N($P133)&lt;1),N($AB133)*N($P133),N($AB133)))</f>
        <v>163597.2</v>
      </c>
      <c r="AF133" s="857" t="str">
        <f>IF(TRIM($B133)="","",IF(OR(ISNUMBER(SEARCH("vacant",$B133)),ISNUMBER(SEARCH("ring fenced",$B133)),LOWER(TRIM($B133))="remove"),"Vacant","Filled"))</f>
        <v>Filled</v>
      </c>
      <c r="AG133" s="857" t="b">
        <f>IF(TRIM($B133)="","",--ISNUMBER(SEARCH("ring fenced",$B133)))</f>
        <v>0</v>
      </c>
      <c r="AH133" s="853" t="str">
        <f>IF(TRIM($B133)="","",IF(COUNTIFS(Lists!$AN$2:$AN$22,TRIM($B133)&amp;" | "&amp;TRIM($D133),Lists!$AO$2:$AO$22,"&lt;&gt;"),INDEX(Lists!$AO$2:$AO$22,MATCH(TRIM($B133)&amp;" | "&amp;TRIM($D133),Lists!$AN$2:$AN$22,0)),IF(COUNTIF(Lists!$AR$2:$AR$3,$AJ133),"TDD Cyber",IF(AND(LEFT($AJ133,4)="EGI ",ISNUMBER(MATCH(TRIM(MID($AJ133,5,99)),Lists!$AS$2:$AS$12,0))),TRIM(MID($AJ133,5,99)),IF(AND(LEFT($AJ133,4)="EGI ",ISNUMBER(MATCH(TRIM(MID($AJ133,5,99)),Lists!$T$2:$T$21,0))),INDEX(Lists!$U$2:$U$21,MATCH(TRIM(MID($AJ133,5,99)),Lists!$T$2:$T$21,0)),IF(OR(TRIM($J133)="",UPPER(TRIM($J133))="NA"),IFERROR(INDEX(Lists!$R$2:$R$9,MATCH(TRIM($G133),Lists!$Q$2:$Q$9,0)),"UNMAPPED"),IFERROR(INDEX(Lists!$U$2:$U$21,MATCH(TRIM($J133),Lists!$T$2:$T$21,0)),IFERROR(INDEX(Lists!$R$2:$R$9,MATCH(TRIM($G133),Lists!$Q$2:$Q$9,0)),"UNMAPPED"))))))))</f>
        <v>Customer</v>
      </c>
      <c r="AI133" s="534" t="b">
        <f>IF(TRIM($B133)="","",--OR(TRIM($L133)="Leadership",TRIM($K133)="Leadership"))</f>
        <v>0</v>
      </c>
      <c r="AJ133" s="534" t="str">
        <f>IF(TRIM($B133)="","",IF(COUNTIFS(Lists!$AN$2:$AN$22,TRIM($B133)&amp;" | "&amp;TRIM($D133),Lists!$AP$2:$AP$22,"&lt;&gt;"),INDEX(Lists!$AP$2:$AP$22,MATCH(TRIM($B133)&amp;" | "&amp;TRIM($D133),Lists!$AN$2:$AN$22,0)),IF($AI133=1,"Leadership",IFERROR(INDEX(Lists!$X$2:$X$21,MATCH(TRIM($L133),Lists!$W$2:$W$21,0)),IF(OR(TRIM($L133)="",LOWER(TRIM($L133))="na"),IF(TRIM($H133)="","Unassigned",TRIM($H133)),TRIM($L133))))))</f>
        <v>Z App and Web</v>
      </c>
      <c r="AK133" s="534" t="str">
        <f>IF(TRIM($B133)="","",IF(COUNTIFS(Lists!$AN$2:$AN$22,TRIM($B133)&amp;" | "&amp;TRIM($D133),Lists!$AQ$2:$AQ$22,"&lt;&gt;"),INDEX(Lists!$AQ$2:$AQ$22,MATCH(TRIM($B133)&amp;" | "&amp;TRIM($D133),Lists!$AN$2:$AN$22,0)),IF(COUNTIF(Lists!$AF$2:$AF$8,$AJ133),$AJ133,IF(ISNUMBER(SEARCH("head of ",$D133)),"Head of Technology",IF(ISNUMBER(SEARCH("TDD BP",$D133)),"Business Partner",IF(OR(ISNUMBER(SEARCH("domain architect",$D133)),ISNUMBER(SEARCH("enterprise architect",$D133))),"Domain Architect",IF(ISNUMBER(SEARCH("delivery man",$D133)),"Delivery Manager",IF(OR(ISNUMBER(SEARCH("technology manager",$D133)),ISNUMBER(SEARCH("technology manger",$D133)),ISNUMBER(SEARCH("tech manager",$D133))),"Technology Manager","Squad"))))))))</f>
        <v>Squad</v>
      </c>
      <c r="AL133" s="534" t="str">
        <f>IF(TRIM($B133)="","",IF(AND($AM133=1,LEFT($AJ133,4)&lt;&gt;"EGI ",$AJ133&lt;&gt;"EGI"),IFERROR(INDEX(Lists!$Z$2:$Z$20,MATCH($AH133,Lists!$Y$2:$Y$20,0)),"EGI "&amp;$AH133),IF(COUNTIF(Lists!$AU$2:$AU$10,$AJ133),$AJ133,IF(OR(LEFT($AH133,3)="COE",$AH133="EGI"),$AJ133,IF($AK133&lt;&gt;"Squad",$AK133,$AJ133)))))</f>
        <v>Z App and Web</v>
      </c>
      <c r="AM133" s="534" t="b">
        <f>IF(TRIM($B133)="","",--(UPPER(TRIM($K133))="EGI"))</f>
        <v>0</v>
      </c>
      <c r="AN133" s="534" t="inlineStr">
        <is>
          <t>Filled</t>
        </is>
      </c>
      <c r="AQ133" s="841" t="inlineStr">
        <is>
          <t>R0132</t>
        </is>
      </c>
      <c r="AZ133" s="841" t="n"/>
    </row>
    <row r="134" ht="18" customHeight="1" s="535">
      <c r="A134" s="842" t="n">
        <v>113508</v>
      </c>
      <c r="B134" s="843" t="inlineStr">
        <is>
          <t>Angela Gilbert</t>
        </is>
      </c>
      <c r="C134" s="842" t="n">
        <v>113508</v>
      </c>
      <c r="D134" s="843" t="inlineStr">
        <is>
          <t>Martech Lead - Dynamics</t>
        </is>
      </c>
      <c r="E134" s="843" t="inlineStr">
        <is>
          <t>Jill Martin</t>
        </is>
      </c>
      <c r="F134" s="843" t="inlineStr">
        <is>
          <t>Delivery Manager, Loyalty</t>
        </is>
      </c>
      <c r="G134" s="844" t="inlineStr">
        <is>
          <t>Customer</t>
        </is>
      </c>
      <c r="H134" s="843" t="inlineStr">
        <is>
          <t>Loyalty &amp; Martech</t>
        </is>
      </c>
      <c r="I134" s="843" t="inlineStr">
        <is>
          <t xml:space="preserve">Loyalty, Delivery </t>
        </is>
      </c>
      <c r="J134" s="843" t="inlineStr">
        <is>
          <t>Z ENERGY (DIGITAL)</t>
        </is>
      </c>
      <c r="K134" s="843" t="inlineStr">
        <is>
          <t>Ampol Loyalty &amp; Martech</t>
        </is>
      </c>
      <c r="L134" s="843" t="inlineStr">
        <is>
          <t>Ampol Loyalty &amp; Martech</t>
        </is>
      </c>
      <c r="M134" s="843" t="n"/>
      <c r="N134" s="845" t="inlineStr">
        <is>
          <t>NZ</t>
        </is>
      </c>
      <c r="O134" s="846" t="inlineStr">
        <is>
          <t>CIC (Always)</t>
        </is>
      </c>
      <c r="P134" s="847" t="n">
        <v>0.8</v>
      </c>
      <c r="Q134" s="856" t="n"/>
      <c r="R134" s="847" t="inlineStr">
        <is>
          <t>Permanent - Part Time</t>
        </is>
      </c>
      <c r="S134" s="847" t="n"/>
      <c r="T134" s="847" t="n"/>
      <c r="U134" s="848" t="n">
        <v>169030</v>
      </c>
      <c r="V134" s="849" t="n">
        <v>155507.6</v>
      </c>
      <c r="W134" s="850" t="n">
        <v>0.15</v>
      </c>
      <c r="X134" s="847" t="n"/>
      <c r="Y134" s="850" t="n">
        <v>0.05</v>
      </c>
      <c r="Z134" s="851" t="n">
        <v>2910</v>
      </c>
      <c r="AA134" s="850" t="n">
        <v>0.03</v>
      </c>
      <c r="AB134" s="852" t="n">
        <v>194184.348</v>
      </c>
      <c r="AD134" s="857" t="n"/>
      <c r="AE134" s="857">
        <f>IF(TRIM($B134)="","",IF(AND(N($P134)&gt;0,N($P134)&lt;1),N($AB134)*N($P134),N($AB134)))</f>
        <v>155347.4784</v>
      </c>
      <c r="AF134" s="857" t="str">
        <f>IF(TRIM($B134)="","",IF(OR(ISNUMBER(SEARCH("vacant",$B134)),ISNUMBER(SEARCH("ring fenced",$B134)),LOWER(TRIM($B134))="remove"),"Vacant","Filled"))</f>
        <v>Filled</v>
      </c>
      <c r="AG134" s="857" t="b">
        <f>IF(TRIM($B134)="","",--ISNUMBER(SEARCH("ring fenced",$B134)))</f>
        <v>0</v>
      </c>
      <c r="AH134" s="853" t="str">
        <f>IF(TRIM($B134)="","",IF(COUNTIFS(Lists!$AN$2:$AN$22,TRIM($B134)&amp;" | "&amp;TRIM($D134),Lists!$AO$2:$AO$22,"&lt;&gt;"),INDEX(Lists!$AO$2:$AO$22,MATCH(TRIM($B134)&amp;" | "&amp;TRIM($D134),Lists!$AN$2:$AN$22,0)),IF(COUNTIF(Lists!$AR$2:$AR$3,$AJ134),"TDD Cyber",IF(AND(LEFT($AJ134,4)="EGI ",ISNUMBER(MATCH(TRIM(MID($AJ134,5,99)),Lists!$AS$2:$AS$12,0))),TRIM(MID($AJ134,5,99)),IF(AND(LEFT($AJ134,4)="EGI ",ISNUMBER(MATCH(TRIM(MID($AJ134,5,99)),Lists!$T$2:$T$21,0))),INDEX(Lists!$U$2:$U$21,MATCH(TRIM(MID($AJ134,5,99)),Lists!$T$2:$T$21,0)),IF(OR(TRIM($J134)="",UPPER(TRIM($J134))="NA"),IFERROR(INDEX(Lists!$R$2:$R$9,MATCH(TRIM($G134),Lists!$Q$2:$Q$9,0)),"UNMAPPED"),IFERROR(INDEX(Lists!$U$2:$U$21,MATCH(TRIM($J134),Lists!$T$2:$T$21,0)),IFERROR(INDEX(Lists!$R$2:$R$9,MATCH(TRIM($G134),Lists!$Q$2:$Q$9,0)),"UNMAPPED"))))))))</f>
        <v>Customer</v>
      </c>
      <c r="AI134" s="534" t="b">
        <f>IF(TRIM($B134)="","",--OR(TRIM($L134)="Leadership",TRIM($K134)="Leadership"))</f>
        <v>0</v>
      </c>
      <c r="AJ134" s="534" t="str">
        <f>IF(TRIM($B134)="","",IF(COUNTIFS(Lists!$AN$2:$AN$22,TRIM($B134)&amp;" | "&amp;TRIM($D134),Lists!$AP$2:$AP$22,"&lt;&gt;"),INDEX(Lists!$AP$2:$AP$22,MATCH(TRIM($B134)&amp;" | "&amp;TRIM($D134),Lists!$AN$2:$AN$22,0)),IF($AI134=1,"Leadership",IFERROR(INDEX(Lists!$X$2:$X$21,MATCH(TRIM($L134),Lists!$W$2:$W$21,0)),IF(OR(TRIM($L134)="",LOWER(TRIM($L134))="na"),IF(TRIM($H134)="","Unassigned",TRIM($H134)),TRIM($L134))))))</f>
        <v>Ampol Loyalty &amp; Martech</v>
      </c>
      <c r="AK134" s="534" t="str">
        <f>IF(TRIM($B134)="","",IF(COUNTIFS(Lists!$AN$2:$AN$22,TRIM($B134)&amp;" | "&amp;TRIM($D134),Lists!$AQ$2:$AQ$22,"&lt;&gt;"),INDEX(Lists!$AQ$2:$AQ$22,MATCH(TRIM($B134)&amp;" | "&amp;TRIM($D134),Lists!$AN$2:$AN$22,0)),IF(COUNTIF(Lists!$AF$2:$AF$8,$AJ134),$AJ134,IF(ISNUMBER(SEARCH("head of ",$D134)),"Head of Technology",IF(ISNUMBER(SEARCH("TDD BP",$D134)),"Business Partner",IF(OR(ISNUMBER(SEARCH("domain architect",$D134)),ISNUMBER(SEARCH("enterprise architect",$D134))),"Domain Architect",IF(ISNUMBER(SEARCH("delivery man",$D134)),"Delivery Manager",IF(OR(ISNUMBER(SEARCH("technology manager",$D134)),ISNUMBER(SEARCH("technology manger",$D134)),ISNUMBER(SEARCH("tech manager",$D134))),"Technology Manager","Squad"))))))))</f>
        <v>Squad</v>
      </c>
      <c r="AL134" s="534" t="str">
        <f>IF(TRIM($B134)="","",IF(AND($AM134=1,LEFT($AJ134,4)&lt;&gt;"EGI ",$AJ134&lt;&gt;"EGI"),IFERROR(INDEX(Lists!$Z$2:$Z$20,MATCH($AH134,Lists!$Y$2:$Y$20,0)),"EGI "&amp;$AH134),IF(COUNTIF(Lists!$AU$2:$AU$10,$AJ134),$AJ134,IF(OR(LEFT($AH134,3)="COE",$AH134="EGI"),$AJ134,IF($AK134&lt;&gt;"Squad",$AK134,$AJ134)))))</f>
        <v>Ampol Loyalty &amp; Martech</v>
      </c>
      <c r="AM134" s="534" t="b">
        <f>IF(TRIM($B134)="","",--(UPPER(TRIM($K134))="EGI"))</f>
        <v>0</v>
      </c>
      <c r="AN134" s="534" t="inlineStr">
        <is>
          <t>Filled</t>
        </is>
      </c>
      <c r="AQ134" s="841" t="inlineStr">
        <is>
          <t>R0133</t>
        </is>
      </c>
      <c r="AZ134" s="841" t="n"/>
    </row>
    <row r="135" ht="18" customHeight="1" s="535">
      <c r="A135" s="842" t="n">
        <v>113528</v>
      </c>
      <c r="B135" s="843" t="inlineStr">
        <is>
          <t>Celia Voysey</t>
        </is>
      </c>
      <c r="C135" s="842" t="n">
        <v>113528</v>
      </c>
      <c r="D135" s="843" t="inlineStr">
        <is>
          <t>Delivery Lead</t>
        </is>
      </c>
      <c r="E135" s="843" t="inlineStr">
        <is>
          <t>Jill Martin</t>
        </is>
      </c>
      <c r="F135" s="843" t="inlineStr">
        <is>
          <t>Delivery Manager, Loyalty</t>
        </is>
      </c>
      <c r="G135" s="844" t="inlineStr">
        <is>
          <t>Customer</t>
        </is>
      </c>
      <c r="H135" s="843" t="inlineStr">
        <is>
          <t>Loyalty &amp; Martech</t>
        </is>
      </c>
      <c r="I135" s="843" t="inlineStr">
        <is>
          <t xml:space="preserve">Loyalty, Delivery </t>
        </is>
      </c>
      <c r="J135" s="843" t="inlineStr">
        <is>
          <t>Z ENERGY (DIGITAL)</t>
        </is>
      </c>
      <c r="K135" s="843" t="inlineStr">
        <is>
          <t>Z Loyalty &amp; Martech</t>
        </is>
      </c>
      <c r="L135" s="843" t="inlineStr">
        <is>
          <t>Z Loyalty &amp; Martech</t>
        </is>
      </c>
      <c r="M135" s="843" t="n"/>
      <c r="N135" s="845" t="inlineStr">
        <is>
          <t>NZ</t>
        </is>
      </c>
      <c r="O135" s="846" t="inlineStr">
        <is>
          <t>CIC (Always)</t>
        </is>
      </c>
      <c r="P135" s="847" t="n">
        <v>1</v>
      </c>
      <c r="Q135" s="856" t="n"/>
      <c r="R135" s="847" t="inlineStr">
        <is>
          <t>Permanent - Full Time</t>
        </is>
      </c>
      <c r="S135" s="847" t="n"/>
      <c r="T135" s="847" t="n"/>
      <c r="U135" s="848" t="n">
        <v>171670</v>
      </c>
      <c r="V135" s="849" t="n">
        <v>157936.4</v>
      </c>
      <c r="W135" s="850" t="n">
        <v>0.15</v>
      </c>
      <c r="X135" s="847" t="n"/>
      <c r="Y135" s="850" t="n">
        <v>0.05</v>
      </c>
      <c r="Z135" s="851" t="n">
        <v>2910</v>
      </c>
      <c r="AA135" s="850" t="n">
        <v>0.03</v>
      </c>
      <c r="AB135" s="852" t="n">
        <v>197171.772</v>
      </c>
      <c r="AD135" s="857" t="n"/>
      <c r="AE135" s="857">
        <f>IF(TRIM($B135)="","",IF(AND(N($P135)&gt;0,N($P135)&lt;1),N($AB135)*N($P135),N($AB135)))</f>
        <v>197171.772</v>
      </c>
      <c r="AF135" s="857" t="str">
        <f>IF(TRIM($B135)="","",IF(OR(ISNUMBER(SEARCH("vacant",$B135)),ISNUMBER(SEARCH("ring fenced",$B135)),LOWER(TRIM($B135))="remove"),"Vacant","Filled"))</f>
        <v>Filled</v>
      </c>
      <c r="AG135" s="857" t="b">
        <f>IF(TRIM($B135)="","",--ISNUMBER(SEARCH("ring fenced",$B135)))</f>
        <v>0</v>
      </c>
      <c r="AH135" s="853" t="str">
        <f>IF(TRIM($B135)="","",IF(COUNTIFS(Lists!$AN$2:$AN$22,TRIM($B135)&amp;" | "&amp;TRIM($D135),Lists!$AO$2:$AO$22,"&lt;&gt;"),INDEX(Lists!$AO$2:$AO$22,MATCH(TRIM($B135)&amp;" | "&amp;TRIM($D135),Lists!$AN$2:$AN$22,0)),IF(COUNTIF(Lists!$AR$2:$AR$3,$AJ135),"TDD Cyber",IF(AND(LEFT($AJ135,4)="EGI ",ISNUMBER(MATCH(TRIM(MID($AJ135,5,99)),Lists!$AS$2:$AS$12,0))),TRIM(MID($AJ135,5,99)),IF(AND(LEFT($AJ135,4)="EGI ",ISNUMBER(MATCH(TRIM(MID($AJ135,5,99)),Lists!$T$2:$T$21,0))),INDEX(Lists!$U$2:$U$21,MATCH(TRIM(MID($AJ135,5,99)),Lists!$T$2:$T$21,0)),IF(OR(TRIM($J135)="",UPPER(TRIM($J135))="NA"),IFERROR(INDEX(Lists!$R$2:$R$9,MATCH(TRIM($G135),Lists!$Q$2:$Q$9,0)),"UNMAPPED"),IFERROR(INDEX(Lists!$U$2:$U$21,MATCH(TRIM($J135),Lists!$T$2:$T$21,0)),IFERROR(INDEX(Lists!$R$2:$R$9,MATCH(TRIM($G135),Lists!$Q$2:$Q$9,0)),"UNMAPPED"))))))))</f>
        <v>Customer</v>
      </c>
      <c r="AI135" s="534" t="b">
        <f>IF(TRIM($B135)="","",--OR(TRIM($L135)="Leadership",TRIM($K135)="Leadership"))</f>
        <v>0</v>
      </c>
      <c r="AJ135" s="534" t="str">
        <f>IF(TRIM($B135)="","",IF(COUNTIFS(Lists!$AN$2:$AN$22,TRIM($B135)&amp;" | "&amp;TRIM($D135),Lists!$AP$2:$AP$22,"&lt;&gt;"),INDEX(Lists!$AP$2:$AP$22,MATCH(TRIM($B135)&amp;" | "&amp;TRIM($D135),Lists!$AN$2:$AN$22,0)),IF($AI135=1,"Leadership",IFERROR(INDEX(Lists!$X$2:$X$21,MATCH(TRIM($L135),Lists!$W$2:$W$21,0)),IF(OR(TRIM($L135)="",LOWER(TRIM($L135))="na"),IF(TRIM($H135)="","Unassigned",TRIM($H135)),TRIM($L135))))))</f>
        <v>Z Loyalty &amp; Martech</v>
      </c>
      <c r="AK135" s="534" t="str">
        <f>IF(TRIM($B135)="","",IF(COUNTIFS(Lists!$AN$2:$AN$22,TRIM($B135)&amp;" | "&amp;TRIM($D135),Lists!$AQ$2:$AQ$22,"&lt;&gt;"),INDEX(Lists!$AQ$2:$AQ$22,MATCH(TRIM($B135)&amp;" | "&amp;TRIM($D135),Lists!$AN$2:$AN$22,0)),IF(COUNTIF(Lists!$AF$2:$AF$8,$AJ135),$AJ135,IF(ISNUMBER(SEARCH("head of ",$D135)),"Head of Technology",IF(ISNUMBER(SEARCH("TDD BP",$D135)),"Business Partner",IF(OR(ISNUMBER(SEARCH("domain architect",$D135)),ISNUMBER(SEARCH("enterprise architect",$D135))),"Domain Architect",IF(ISNUMBER(SEARCH("delivery man",$D135)),"Delivery Manager",IF(OR(ISNUMBER(SEARCH("technology manager",$D135)),ISNUMBER(SEARCH("technology manger",$D135)),ISNUMBER(SEARCH("tech manager",$D135))),"Technology Manager","Squad"))))))))</f>
        <v>Squad</v>
      </c>
      <c r="AL135" s="534" t="str">
        <f>IF(TRIM($B135)="","",IF(AND($AM135=1,LEFT($AJ135,4)&lt;&gt;"EGI ",$AJ135&lt;&gt;"EGI"),IFERROR(INDEX(Lists!$Z$2:$Z$20,MATCH($AH135,Lists!$Y$2:$Y$20,0)),"EGI "&amp;$AH135),IF(COUNTIF(Lists!$AU$2:$AU$10,$AJ135),$AJ135,IF(OR(LEFT($AH135,3)="COE",$AH135="EGI"),$AJ135,IF($AK135&lt;&gt;"Squad",$AK135,$AJ135)))))</f>
        <v>Z Loyalty &amp; Martech</v>
      </c>
      <c r="AM135" s="534" t="b">
        <f>IF(TRIM($B135)="","",--(UPPER(TRIM($K135))="EGI"))</f>
        <v>0</v>
      </c>
      <c r="AN135" s="534" t="inlineStr">
        <is>
          <t>Filled</t>
        </is>
      </c>
      <c r="AQ135" s="841" t="inlineStr">
        <is>
          <t>R0134</t>
        </is>
      </c>
      <c r="AZ135" s="841" t="n"/>
    </row>
    <row r="136" ht="18" customHeight="1" s="535">
      <c r="A136" s="842" t="n">
        <v>113519</v>
      </c>
      <c r="B136" s="843" t="inlineStr">
        <is>
          <t>Bharat Talreja</t>
        </is>
      </c>
      <c r="C136" s="842" t="n">
        <v>113519</v>
      </c>
      <c r="D136" s="843" t="inlineStr">
        <is>
          <t>Marketing Technology Lead</t>
        </is>
      </c>
      <c r="E136" s="843" t="inlineStr">
        <is>
          <t>Kris Hamilton</t>
        </is>
      </c>
      <c r="F136" s="843" t="inlineStr">
        <is>
          <t>Technology Manager, Loyalty &amp; Martech</t>
        </is>
      </c>
      <c r="G136" s="844" t="inlineStr">
        <is>
          <t>Customer</t>
        </is>
      </c>
      <c r="H136" s="843" t="inlineStr">
        <is>
          <t>Loyalty &amp; Martech</t>
        </is>
      </c>
      <c r="I136" s="843" t="inlineStr">
        <is>
          <t>Loyalty, Tech</t>
        </is>
      </c>
      <c r="J136" s="843" t="inlineStr">
        <is>
          <t>Z ENERGY (DIGITAL)</t>
        </is>
      </c>
      <c r="K136" s="843" t="inlineStr">
        <is>
          <t>Z Loyalty &amp; Martech</t>
        </is>
      </c>
      <c r="L136" s="843" t="inlineStr">
        <is>
          <t>Z Loyalty &amp; Martech</t>
        </is>
      </c>
      <c r="M136" s="843" t="n"/>
      <c r="N136" s="845" t="inlineStr">
        <is>
          <t>NZ</t>
        </is>
      </c>
      <c r="O136" s="846" t="inlineStr">
        <is>
          <t>CIC (Always)</t>
        </is>
      </c>
      <c r="P136" s="847" t="n">
        <v>1</v>
      </c>
      <c r="Q136" s="856" t="n"/>
      <c r="R136" s="847" t="inlineStr">
        <is>
          <t>Permanent - Full Time</t>
        </is>
      </c>
      <c r="S136" s="847" t="n"/>
      <c r="T136" s="847" t="n"/>
      <c r="U136" s="848" t="n">
        <v>151850</v>
      </c>
      <c r="V136" s="849" t="n">
        <v>139702</v>
      </c>
      <c r="W136" s="850" t="n">
        <v>0.15</v>
      </c>
      <c r="X136" s="847" t="n"/>
      <c r="Y136" s="850" t="n">
        <v>0.05</v>
      </c>
      <c r="Z136" s="851" t="n">
        <v>2910</v>
      </c>
      <c r="AA136" s="850" t="n">
        <v>0.03</v>
      </c>
      <c r="AB136" s="852" t="n">
        <v>174743.46</v>
      </c>
      <c r="AD136" s="857" t="n"/>
      <c r="AE136" s="857">
        <f>IF(TRIM($B136)="","",IF(AND(N($P136)&gt;0,N($P136)&lt;1),N($AB136)*N($P136),N($AB136)))</f>
        <v>174743.46</v>
      </c>
      <c r="AF136" s="857" t="str">
        <f>IF(TRIM($B136)="","",IF(OR(ISNUMBER(SEARCH("vacant",$B136)),ISNUMBER(SEARCH("ring fenced",$B136)),LOWER(TRIM($B136))="remove"),"Vacant","Filled"))</f>
        <v>Filled</v>
      </c>
      <c r="AG136" s="857" t="b">
        <f>IF(TRIM($B136)="","",--ISNUMBER(SEARCH("ring fenced",$B136)))</f>
        <v>0</v>
      </c>
      <c r="AH136" s="853" t="str">
        <f>IF(TRIM($B136)="","",IF(COUNTIFS(Lists!$AN$2:$AN$22,TRIM($B136)&amp;" | "&amp;TRIM($D136),Lists!$AO$2:$AO$22,"&lt;&gt;"),INDEX(Lists!$AO$2:$AO$22,MATCH(TRIM($B136)&amp;" | "&amp;TRIM($D136),Lists!$AN$2:$AN$22,0)),IF(COUNTIF(Lists!$AR$2:$AR$3,$AJ136),"TDD Cyber",IF(AND(LEFT($AJ136,4)="EGI ",ISNUMBER(MATCH(TRIM(MID($AJ136,5,99)),Lists!$AS$2:$AS$12,0))),TRIM(MID($AJ136,5,99)),IF(AND(LEFT($AJ136,4)="EGI ",ISNUMBER(MATCH(TRIM(MID($AJ136,5,99)),Lists!$T$2:$T$21,0))),INDEX(Lists!$U$2:$U$21,MATCH(TRIM(MID($AJ136,5,99)),Lists!$T$2:$T$21,0)),IF(OR(TRIM($J136)="",UPPER(TRIM($J136))="NA"),IFERROR(INDEX(Lists!$R$2:$R$9,MATCH(TRIM($G136),Lists!$Q$2:$Q$9,0)),"UNMAPPED"),IFERROR(INDEX(Lists!$U$2:$U$21,MATCH(TRIM($J136),Lists!$T$2:$T$21,0)),IFERROR(INDEX(Lists!$R$2:$R$9,MATCH(TRIM($G136),Lists!$Q$2:$Q$9,0)),"UNMAPPED"))))))))</f>
        <v>Customer</v>
      </c>
      <c r="AI136" s="534" t="b">
        <f>IF(TRIM($B136)="","",--OR(TRIM($L136)="Leadership",TRIM($K136)="Leadership"))</f>
        <v>0</v>
      </c>
      <c r="AJ136" s="534" t="str">
        <f>IF(TRIM($B136)="","",IF(COUNTIFS(Lists!$AN$2:$AN$22,TRIM($B136)&amp;" | "&amp;TRIM($D136),Lists!$AP$2:$AP$22,"&lt;&gt;"),INDEX(Lists!$AP$2:$AP$22,MATCH(TRIM($B136)&amp;" | "&amp;TRIM($D136),Lists!$AN$2:$AN$22,0)),IF($AI136=1,"Leadership",IFERROR(INDEX(Lists!$X$2:$X$21,MATCH(TRIM($L136),Lists!$W$2:$W$21,0)),IF(OR(TRIM($L136)="",LOWER(TRIM($L136))="na"),IF(TRIM($H136)="","Unassigned",TRIM($H136)),TRIM($L136))))))</f>
        <v>Z Loyalty &amp; Martech</v>
      </c>
      <c r="AK136" s="534" t="str">
        <f>IF(TRIM($B136)="","",IF(COUNTIFS(Lists!$AN$2:$AN$22,TRIM($B136)&amp;" | "&amp;TRIM($D136),Lists!$AQ$2:$AQ$22,"&lt;&gt;"),INDEX(Lists!$AQ$2:$AQ$22,MATCH(TRIM($B136)&amp;" | "&amp;TRIM($D136),Lists!$AN$2:$AN$22,0)),IF(COUNTIF(Lists!$AF$2:$AF$8,$AJ136),$AJ136,IF(ISNUMBER(SEARCH("head of ",$D136)),"Head of Technology",IF(ISNUMBER(SEARCH("TDD BP",$D136)),"Business Partner",IF(OR(ISNUMBER(SEARCH("domain architect",$D136)),ISNUMBER(SEARCH("enterprise architect",$D136))),"Domain Architect",IF(ISNUMBER(SEARCH("delivery man",$D136)),"Delivery Manager",IF(OR(ISNUMBER(SEARCH("technology manager",$D136)),ISNUMBER(SEARCH("technology manger",$D136)),ISNUMBER(SEARCH("tech manager",$D136))),"Technology Manager","Squad"))))))))</f>
        <v>Squad</v>
      </c>
      <c r="AL136" s="534" t="str">
        <f>IF(TRIM($B136)="","",IF(AND($AM136=1,LEFT($AJ136,4)&lt;&gt;"EGI ",$AJ136&lt;&gt;"EGI"),IFERROR(INDEX(Lists!$Z$2:$Z$20,MATCH($AH136,Lists!$Y$2:$Y$20,0)),"EGI "&amp;$AH136),IF(COUNTIF(Lists!$AU$2:$AU$10,$AJ136),$AJ136,IF(OR(LEFT($AH136,3)="COE",$AH136="EGI"),$AJ136,IF($AK136&lt;&gt;"Squad",$AK136,$AJ136)))))</f>
        <v>Z Loyalty &amp; Martech</v>
      </c>
      <c r="AM136" s="534" t="b">
        <f>IF(TRIM($B136)="","",--(UPPER(TRIM($K136))="EGI"))</f>
        <v>0</v>
      </c>
      <c r="AN136" s="534" t="inlineStr">
        <is>
          <t>Filled</t>
        </is>
      </c>
      <c r="AQ136" s="841" t="inlineStr">
        <is>
          <t>R0135</t>
        </is>
      </c>
      <c r="AZ136" s="841" t="n"/>
    </row>
    <row r="137" ht="18" customHeight="1" s="535">
      <c r="A137" s="842" t="n">
        <v>113565</v>
      </c>
      <c r="B137" s="843" t="inlineStr">
        <is>
          <t>Kellie Gathergood</t>
        </is>
      </c>
      <c r="C137" s="842" t="n">
        <v>113565</v>
      </c>
      <c r="D137" s="843" t="inlineStr">
        <is>
          <t>Lead Quality Assurance</t>
        </is>
      </c>
      <c r="E137" s="843" t="inlineStr">
        <is>
          <t>Kris Hamilton</t>
        </is>
      </c>
      <c r="F137" s="843" t="inlineStr">
        <is>
          <t>Technology Manager, Loyalty &amp; Martech</t>
        </is>
      </c>
      <c r="G137" s="844" t="inlineStr">
        <is>
          <t>Customer</t>
        </is>
      </c>
      <c r="H137" s="843" t="inlineStr">
        <is>
          <t>Loyalty &amp; Martech</t>
        </is>
      </c>
      <c r="I137" s="843" t="inlineStr">
        <is>
          <t>Loyalty, Tech</t>
        </is>
      </c>
      <c r="J137" s="843" t="inlineStr">
        <is>
          <t>Z ENERGY (DIGITAL)</t>
        </is>
      </c>
      <c r="K137" s="843" t="inlineStr">
        <is>
          <t>Z Loyalty &amp; Martech</t>
        </is>
      </c>
      <c r="L137" s="843" t="inlineStr">
        <is>
          <t>Z Loyalty &amp; Martech</t>
        </is>
      </c>
      <c r="M137" s="843" t="n"/>
      <c r="N137" s="845" t="inlineStr">
        <is>
          <t>NZ</t>
        </is>
      </c>
      <c r="O137" s="846" t="inlineStr">
        <is>
          <t>CIC (Always)</t>
        </is>
      </c>
      <c r="P137" s="847" t="n">
        <v>0.8</v>
      </c>
      <c r="Q137" s="856" t="n"/>
      <c r="R137" s="847" t="inlineStr">
        <is>
          <t>Permanent - Part Time</t>
        </is>
      </c>
      <c r="S137" s="847" t="n"/>
      <c r="T137" s="847" t="n"/>
      <c r="U137" s="848" t="n">
        <v>135264</v>
      </c>
      <c r="V137" s="849" t="n">
        <v>124442.88</v>
      </c>
      <c r="W137" s="850" t="n">
        <v>0.15</v>
      </c>
      <c r="X137" s="847" t="n"/>
      <c r="Y137" s="850" t="n">
        <v>0.05</v>
      </c>
      <c r="Z137" s="851" t="n">
        <v>2910</v>
      </c>
      <c r="AA137" s="850" t="n">
        <v>0.03</v>
      </c>
      <c r="AB137" s="852" t="n">
        <v>155974.7424</v>
      </c>
      <c r="AD137" s="857" t="n"/>
      <c r="AE137" s="857">
        <f>IF(TRIM($B137)="","",IF(AND(N($P137)&gt;0,N($P137)&lt;1),N($AB137)*N($P137),N($AB137)))</f>
        <v>124779.79392</v>
      </c>
      <c r="AF137" s="857" t="str">
        <f>IF(TRIM($B137)="","",IF(OR(ISNUMBER(SEARCH("vacant",$B137)),ISNUMBER(SEARCH("ring fenced",$B137)),LOWER(TRIM($B137))="remove"),"Vacant","Filled"))</f>
        <v>Filled</v>
      </c>
      <c r="AG137" s="857" t="b">
        <f>IF(TRIM($B137)="","",--ISNUMBER(SEARCH("ring fenced",$B137)))</f>
        <v>0</v>
      </c>
      <c r="AH137" s="853" t="str">
        <f>IF(TRIM($B137)="","",IF(COUNTIFS(Lists!$AN$2:$AN$22,TRIM($B137)&amp;" | "&amp;TRIM($D137),Lists!$AO$2:$AO$22,"&lt;&gt;"),INDEX(Lists!$AO$2:$AO$22,MATCH(TRIM($B137)&amp;" | "&amp;TRIM($D137),Lists!$AN$2:$AN$22,0)),IF(COUNTIF(Lists!$AR$2:$AR$3,$AJ137),"TDD Cyber",IF(AND(LEFT($AJ137,4)="EGI ",ISNUMBER(MATCH(TRIM(MID($AJ137,5,99)),Lists!$AS$2:$AS$12,0))),TRIM(MID($AJ137,5,99)),IF(AND(LEFT($AJ137,4)="EGI ",ISNUMBER(MATCH(TRIM(MID($AJ137,5,99)),Lists!$T$2:$T$21,0))),INDEX(Lists!$U$2:$U$21,MATCH(TRIM(MID($AJ137,5,99)),Lists!$T$2:$T$21,0)),IF(OR(TRIM($J137)="",UPPER(TRIM($J137))="NA"),IFERROR(INDEX(Lists!$R$2:$R$9,MATCH(TRIM($G137),Lists!$Q$2:$Q$9,0)),"UNMAPPED"),IFERROR(INDEX(Lists!$U$2:$U$21,MATCH(TRIM($J137),Lists!$T$2:$T$21,0)),IFERROR(INDEX(Lists!$R$2:$R$9,MATCH(TRIM($G137),Lists!$Q$2:$Q$9,0)),"UNMAPPED"))))))))</f>
        <v>Customer</v>
      </c>
      <c r="AI137" s="534" t="b">
        <f>IF(TRIM($B137)="","",--OR(TRIM($L137)="Leadership",TRIM($K137)="Leadership"))</f>
        <v>0</v>
      </c>
      <c r="AJ137" s="534" t="str">
        <f>IF(TRIM($B137)="","",IF(COUNTIFS(Lists!$AN$2:$AN$22,TRIM($B137)&amp;" | "&amp;TRIM($D137),Lists!$AP$2:$AP$22,"&lt;&gt;"),INDEX(Lists!$AP$2:$AP$22,MATCH(TRIM($B137)&amp;" | "&amp;TRIM($D137),Lists!$AN$2:$AN$22,0)),IF($AI137=1,"Leadership",IFERROR(INDEX(Lists!$X$2:$X$21,MATCH(TRIM($L137),Lists!$W$2:$W$21,0)),IF(OR(TRIM($L137)="",LOWER(TRIM($L137))="na"),IF(TRIM($H137)="","Unassigned",TRIM($H137)),TRIM($L137))))))</f>
        <v>Z Loyalty &amp; Martech</v>
      </c>
      <c r="AK137" s="534" t="str">
        <f>IF(TRIM($B137)="","",IF(COUNTIFS(Lists!$AN$2:$AN$22,TRIM($B137)&amp;" | "&amp;TRIM($D137),Lists!$AQ$2:$AQ$22,"&lt;&gt;"),INDEX(Lists!$AQ$2:$AQ$22,MATCH(TRIM($B137)&amp;" | "&amp;TRIM($D137),Lists!$AN$2:$AN$22,0)),IF(COUNTIF(Lists!$AF$2:$AF$8,$AJ137),$AJ137,IF(ISNUMBER(SEARCH("head of ",$D137)),"Head of Technology",IF(ISNUMBER(SEARCH("TDD BP",$D137)),"Business Partner",IF(OR(ISNUMBER(SEARCH("domain architect",$D137)),ISNUMBER(SEARCH("enterprise architect",$D137))),"Domain Architect",IF(ISNUMBER(SEARCH("delivery man",$D137)),"Delivery Manager",IF(OR(ISNUMBER(SEARCH("technology manager",$D137)),ISNUMBER(SEARCH("technology manger",$D137)),ISNUMBER(SEARCH("tech manager",$D137))),"Technology Manager","Squad"))))))))</f>
        <v>Squad</v>
      </c>
      <c r="AL137" s="534" t="str">
        <f>IF(TRIM($B137)="","",IF(AND($AM137=1,LEFT($AJ137,4)&lt;&gt;"EGI ",$AJ137&lt;&gt;"EGI"),IFERROR(INDEX(Lists!$Z$2:$Z$20,MATCH($AH137,Lists!$Y$2:$Y$20,0)),"EGI "&amp;$AH137),IF(COUNTIF(Lists!$AU$2:$AU$10,$AJ137),$AJ137,IF(OR(LEFT($AH137,3)="COE",$AH137="EGI"),$AJ137,IF($AK137&lt;&gt;"Squad",$AK137,$AJ137)))))</f>
        <v>Z Loyalty &amp; Martech</v>
      </c>
      <c r="AM137" s="534" t="b">
        <f>IF(TRIM($B137)="","",--(UPPER(TRIM($K137))="EGI"))</f>
        <v>0</v>
      </c>
      <c r="AN137" s="534" t="inlineStr">
        <is>
          <t>Filled</t>
        </is>
      </c>
      <c r="AQ137" s="841" t="inlineStr">
        <is>
          <t>R0136</t>
        </is>
      </c>
      <c r="AZ137" s="841" t="n"/>
    </row>
    <row r="138" ht="18" customHeight="1" s="535">
      <c r="A138" s="842" t="n">
        <v>113601</v>
      </c>
      <c r="B138" s="843" t="inlineStr">
        <is>
          <t>Nimi Rose</t>
        </is>
      </c>
      <c r="C138" s="842" t="n">
        <v>113601</v>
      </c>
      <c r="D138" s="843" t="inlineStr">
        <is>
          <t>Marketing Technology Lead</t>
        </is>
      </c>
      <c r="E138" s="843" t="inlineStr">
        <is>
          <t>Kris Hamilton</t>
        </is>
      </c>
      <c r="F138" s="843" t="inlineStr">
        <is>
          <t>Technology Manager, Loyalty &amp; Martech</t>
        </is>
      </c>
      <c r="G138" s="844" t="inlineStr">
        <is>
          <t>Customer</t>
        </is>
      </c>
      <c r="H138" s="843" t="inlineStr">
        <is>
          <t>Loyalty &amp; Martech</t>
        </is>
      </c>
      <c r="I138" s="843" t="inlineStr">
        <is>
          <t>Loyalty, Tech</t>
        </is>
      </c>
      <c r="J138" s="843" t="inlineStr">
        <is>
          <t>Z ENERGY (DIGITAL)</t>
        </is>
      </c>
      <c r="K138" s="843" t="inlineStr">
        <is>
          <t>Z Loyalty &amp; Martech</t>
        </is>
      </c>
      <c r="L138" s="843" t="inlineStr">
        <is>
          <t>Z Loyalty &amp; Martech</t>
        </is>
      </c>
      <c r="M138" s="843" t="n"/>
      <c r="N138" s="845" t="inlineStr">
        <is>
          <t>NZ</t>
        </is>
      </c>
      <c r="O138" s="846" t="inlineStr">
        <is>
          <t>CIC (Always)</t>
        </is>
      </c>
      <c r="P138" s="847" t="n">
        <v>1</v>
      </c>
      <c r="Q138" s="856" t="n"/>
      <c r="R138" s="847" t="inlineStr">
        <is>
          <t>Permanent - Full Time</t>
        </is>
      </c>
      <c r="S138" s="847" t="n"/>
      <c r="T138" s="847" t="n"/>
      <c r="U138" s="848" t="n">
        <v>170880</v>
      </c>
      <c r="V138" s="849" t="n">
        <v>157209.6</v>
      </c>
      <c r="W138" s="850" t="n">
        <v>0.15</v>
      </c>
      <c r="X138" s="847" t="n"/>
      <c r="Y138" s="850" t="n">
        <v>0.05</v>
      </c>
      <c r="Z138" s="851" t="n">
        <v>2910</v>
      </c>
      <c r="AA138" s="850" t="n">
        <v>0.03</v>
      </c>
      <c r="AB138" s="852" t="n">
        <v>196277.808</v>
      </c>
      <c r="AD138" s="857" t="n"/>
      <c r="AE138" s="857">
        <f>IF(TRIM($B138)="","",IF(AND(N($P138)&gt;0,N($P138)&lt;1),N($AB138)*N($P138),N($AB138)))</f>
        <v>196277.808</v>
      </c>
      <c r="AF138" s="857" t="str">
        <f>IF(TRIM($B138)="","",IF(OR(ISNUMBER(SEARCH("vacant",$B138)),ISNUMBER(SEARCH("ring fenced",$B138)),LOWER(TRIM($B138))="remove"),"Vacant","Filled"))</f>
        <v>Filled</v>
      </c>
      <c r="AG138" s="857" t="b">
        <f>IF(TRIM($B138)="","",--ISNUMBER(SEARCH("ring fenced",$B138)))</f>
        <v>0</v>
      </c>
      <c r="AH138" s="853" t="str">
        <f>IF(TRIM($B138)="","",IF(COUNTIFS(Lists!$AN$2:$AN$22,TRIM($B138)&amp;" | "&amp;TRIM($D138),Lists!$AO$2:$AO$22,"&lt;&gt;"),INDEX(Lists!$AO$2:$AO$22,MATCH(TRIM($B138)&amp;" | "&amp;TRIM($D138),Lists!$AN$2:$AN$22,0)),IF(COUNTIF(Lists!$AR$2:$AR$3,$AJ138),"TDD Cyber",IF(AND(LEFT($AJ138,4)="EGI ",ISNUMBER(MATCH(TRIM(MID($AJ138,5,99)),Lists!$AS$2:$AS$12,0))),TRIM(MID($AJ138,5,99)),IF(AND(LEFT($AJ138,4)="EGI ",ISNUMBER(MATCH(TRIM(MID($AJ138,5,99)),Lists!$T$2:$T$21,0))),INDEX(Lists!$U$2:$U$21,MATCH(TRIM(MID($AJ138,5,99)),Lists!$T$2:$T$21,0)),IF(OR(TRIM($J138)="",UPPER(TRIM($J138))="NA"),IFERROR(INDEX(Lists!$R$2:$R$9,MATCH(TRIM($G138),Lists!$Q$2:$Q$9,0)),"UNMAPPED"),IFERROR(INDEX(Lists!$U$2:$U$21,MATCH(TRIM($J138),Lists!$T$2:$T$21,0)),IFERROR(INDEX(Lists!$R$2:$R$9,MATCH(TRIM($G138),Lists!$Q$2:$Q$9,0)),"UNMAPPED"))))))))</f>
        <v>Customer</v>
      </c>
      <c r="AI138" s="534" t="b">
        <f>IF(TRIM($B138)="","",--OR(TRIM($L138)="Leadership",TRIM($K138)="Leadership"))</f>
        <v>0</v>
      </c>
      <c r="AJ138" s="534" t="str">
        <f>IF(TRIM($B138)="","",IF(COUNTIFS(Lists!$AN$2:$AN$22,TRIM($B138)&amp;" | "&amp;TRIM($D138),Lists!$AP$2:$AP$22,"&lt;&gt;"),INDEX(Lists!$AP$2:$AP$22,MATCH(TRIM($B138)&amp;" | "&amp;TRIM($D138),Lists!$AN$2:$AN$22,0)),IF($AI138=1,"Leadership",IFERROR(INDEX(Lists!$X$2:$X$21,MATCH(TRIM($L138),Lists!$W$2:$W$21,0)),IF(OR(TRIM($L138)="",LOWER(TRIM($L138))="na"),IF(TRIM($H138)="","Unassigned",TRIM($H138)),TRIM($L138))))))</f>
        <v>Z Loyalty &amp; Martech</v>
      </c>
      <c r="AK138" s="534" t="str">
        <f>IF(TRIM($B138)="","",IF(COUNTIFS(Lists!$AN$2:$AN$22,TRIM($B138)&amp;" | "&amp;TRIM($D138),Lists!$AQ$2:$AQ$22,"&lt;&gt;"),INDEX(Lists!$AQ$2:$AQ$22,MATCH(TRIM($B138)&amp;" | "&amp;TRIM($D138),Lists!$AN$2:$AN$22,0)),IF(COUNTIF(Lists!$AF$2:$AF$8,$AJ138),$AJ138,IF(ISNUMBER(SEARCH("head of ",$D138)),"Head of Technology",IF(ISNUMBER(SEARCH("TDD BP",$D138)),"Business Partner",IF(OR(ISNUMBER(SEARCH("domain architect",$D138)),ISNUMBER(SEARCH("enterprise architect",$D138))),"Domain Architect",IF(ISNUMBER(SEARCH("delivery man",$D138)),"Delivery Manager",IF(OR(ISNUMBER(SEARCH("technology manager",$D138)),ISNUMBER(SEARCH("technology manger",$D138)),ISNUMBER(SEARCH("tech manager",$D138))),"Technology Manager","Squad"))))))))</f>
        <v>Squad</v>
      </c>
      <c r="AL138" s="534" t="str">
        <f>IF(TRIM($B138)="","",IF(AND($AM138=1,LEFT($AJ138,4)&lt;&gt;"EGI ",$AJ138&lt;&gt;"EGI"),IFERROR(INDEX(Lists!$Z$2:$Z$20,MATCH($AH138,Lists!$Y$2:$Y$20,0)),"EGI "&amp;$AH138),IF(COUNTIF(Lists!$AU$2:$AU$10,$AJ138),$AJ138,IF(OR(LEFT($AH138,3)="COE",$AH138="EGI"),$AJ138,IF($AK138&lt;&gt;"Squad",$AK138,$AJ138)))))</f>
        <v>Z Loyalty &amp; Martech</v>
      </c>
      <c r="AM138" s="534" t="b">
        <f>IF(TRIM($B138)="","",--(UPPER(TRIM($K138))="EGI"))</f>
        <v>0</v>
      </c>
      <c r="AN138" s="534" t="inlineStr">
        <is>
          <t>Filled</t>
        </is>
      </c>
      <c r="AQ138" s="841" t="inlineStr">
        <is>
          <t>R0137</t>
        </is>
      </c>
      <c r="AZ138" s="841" t="n"/>
    </row>
    <row r="139" ht="18" customHeight="1" s="535">
      <c r="A139" s="842" t="inlineStr">
        <is>
          <t>V</t>
        </is>
      </c>
      <c r="B139" s="843" t="inlineStr">
        <is>
          <t>Vacant</t>
        </is>
      </c>
      <c r="C139" s="842" t="inlineStr">
        <is>
          <t>V</t>
        </is>
      </c>
      <c r="D139" s="843" t="inlineStr">
        <is>
          <t>Solution Architect</t>
        </is>
      </c>
      <c r="E139" s="843" t="inlineStr">
        <is>
          <t>Kris Hamilton</t>
        </is>
      </c>
      <c r="F139" s="843" t="inlineStr">
        <is>
          <t>Technology Manager, Loyalty &amp; Martech</t>
        </is>
      </c>
      <c r="G139" s="844" t="inlineStr">
        <is>
          <t>Customer</t>
        </is>
      </c>
      <c r="H139" s="843" t="inlineStr">
        <is>
          <t>Loyalty &amp; Martech</t>
        </is>
      </c>
      <c r="I139" s="843" t="inlineStr">
        <is>
          <t>Loyalty, Tech</t>
        </is>
      </c>
      <c r="J139" s="843" t="inlineStr">
        <is>
          <t>Ampol Customer</t>
        </is>
      </c>
      <c r="K139" s="843" t="inlineStr">
        <is>
          <t>Ampol Loyalty &amp; Martech</t>
        </is>
      </c>
      <c r="L139" s="843" t="inlineStr">
        <is>
          <t>Ampol Loyalty &amp; Martech</t>
        </is>
      </c>
      <c r="M139" s="843" t="n"/>
      <c r="N139" s="845" t="inlineStr">
        <is>
          <t>Australia</t>
        </is>
      </c>
      <c r="O139" s="846" t="inlineStr">
        <is>
          <t>CIC (Always)</t>
        </is>
      </c>
      <c r="P139" s="847" t="n">
        <v>1</v>
      </c>
      <c r="Q139" s="856" t="n"/>
      <c r="R139" s="847" t="inlineStr">
        <is>
          <t>Vacant</t>
        </is>
      </c>
      <c r="S139" s="847" t="n"/>
      <c r="T139" s="847" t="n"/>
      <c r="U139" s="848" t="n">
        <v>176280</v>
      </c>
      <c r="V139" s="849" t="n">
        <v>176280</v>
      </c>
      <c r="W139" s="850" t="n">
        <v>0.12</v>
      </c>
      <c r="X139" s="847" t="n">
        <v>0.055</v>
      </c>
      <c r="Y139" s="850" t="n">
        <v>0.12</v>
      </c>
      <c r="Z139" s="851" t="n"/>
      <c r="AA139" s="850" t="n">
        <v>0.04</v>
      </c>
      <c r="AB139" s="852" t="n">
        <v>235333.8</v>
      </c>
      <c r="AD139" s="857" t="n"/>
      <c r="AE139" s="857">
        <f>IF(TRIM($B139)="","",IF(AND(N($P139)&gt;0,N($P139)&lt;1),N($AB139)*N($P139),N($AB139)))</f>
        <v>235333.8</v>
      </c>
      <c r="AF139" s="857" t="str">
        <f>IF(TRIM($B139)="","",IF(OR(ISNUMBER(SEARCH("vacant",$B139)),ISNUMBER(SEARCH("ring fenced",$B139)),LOWER(TRIM($B139))="remove"),"Vacant","Filled"))</f>
        <v>Vacant</v>
      </c>
      <c r="AG139" s="857" t="b">
        <f>IF(TRIM($B139)="","",--ISNUMBER(SEARCH("ring fenced",$B139)))</f>
        <v>0</v>
      </c>
      <c r="AH139" s="853" t="str">
        <f>IF(TRIM($B139)="","",IF(COUNTIFS(Lists!$AN$2:$AN$22,TRIM($B139)&amp;" | "&amp;TRIM($D139),Lists!$AO$2:$AO$22,"&lt;&gt;"),INDEX(Lists!$AO$2:$AO$22,MATCH(TRIM($B139)&amp;" | "&amp;TRIM($D139),Lists!$AN$2:$AN$22,0)),IF(COUNTIF(Lists!$AR$2:$AR$3,$AJ139),"TDD Cyber",IF(AND(LEFT($AJ139,4)="EGI ",ISNUMBER(MATCH(TRIM(MID($AJ139,5,99)),Lists!$AS$2:$AS$12,0))),TRIM(MID($AJ139,5,99)),IF(AND(LEFT($AJ139,4)="EGI ",ISNUMBER(MATCH(TRIM(MID($AJ139,5,99)),Lists!$T$2:$T$21,0))),INDEX(Lists!$U$2:$U$21,MATCH(TRIM(MID($AJ139,5,99)),Lists!$T$2:$T$21,0)),IF(OR(TRIM($J139)="",UPPER(TRIM($J139))="NA"),IFERROR(INDEX(Lists!$R$2:$R$9,MATCH(TRIM($G139),Lists!$Q$2:$Q$9,0)),"UNMAPPED"),IFERROR(INDEX(Lists!$U$2:$U$21,MATCH(TRIM($J139),Lists!$T$2:$T$21,0)),IFERROR(INDEX(Lists!$R$2:$R$9,MATCH(TRIM($G139),Lists!$Q$2:$Q$9,0)),"UNMAPPED"))))))))</f>
        <v>Customer</v>
      </c>
      <c r="AI139" s="534" t="b">
        <f>IF(TRIM($B139)="","",--OR(TRIM($L139)="Leadership",TRIM($K139)="Leadership"))</f>
        <v>0</v>
      </c>
      <c r="AJ139" s="534" t="str">
        <f>IF(TRIM($B139)="","",IF(COUNTIFS(Lists!$AN$2:$AN$22,TRIM($B139)&amp;" | "&amp;TRIM($D139),Lists!$AP$2:$AP$22,"&lt;&gt;"),INDEX(Lists!$AP$2:$AP$22,MATCH(TRIM($B139)&amp;" | "&amp;TRIM($D139),Lists!$AN$2:$AN$22,0)),IF($AI139=1,"Leadership",IFERROR(INDEX(Lists!$X$2:$X$21,MATCH(TRIM($L139),Lists!$W$2:$W$21,0)),IF(OR(TRIM($L139)="",LOWER(TRIM($L139))="na"),IF(TRIM($H139)="","Unassigned",TRIM($H139)),TRIM($L139))))))</f>
        <v>Ampol Loyalty &amp; Martech</v>
      </c>
      <c r="AK139" s="534" t="str">
        <f>IF(TRIM($B139)="","",IF(COUNTIFS(Lists!$AN$2:$AN$22,TRIM($B139)&amp;" | "&amp;TRIM($D139),Lists!$AQ$2:$AQ$22,"&lt;&gt;"),INDEX(Lists!$AQ$2:$AQ$22,MATCH(TRIM($B139)&amp;" | "&amp;TRIM($D139),Lists!$AN$2:$AN$22,0)),IF(COUNTIF(Lists!$AF$2:$AF$8,$AJ139),$AJ139,IF(ISNUMBER(SEARCH("head of ",$D139)),"Head of Technology",IF(ISNUMBER(SEARCH("TDD BP",$D139)),"Business Partner",IF(OR(ISNUMBER(SEARCH("domain architect",$D139)),ISNUMBER(SEARCH("enterprise architect",$D139))),"Domain Architect",IF(ISNUMBER(SEARCH("delivery man",$D139)),"Delivery Manager",IF(OR(ISNUMBER(SEARCH("technology manager",$D139)),ISNUMBER(SEARCH("technology manger",$D139)),ISNUMBER(SEARCH("tech manager",$D139))),"Technology Manager","Squad"))))))))</f>
        <v>Squad</v>
      </c>
      <c r="AL139" s="534" t="str">
        <f>IF(TRIM($B139)="","",IF(AND($AM139=1,LEFT($AJ139,4)&lt;&gt;"EGI ",$AJ139&lt;&gt;"EGI"),IFERROR(INDEX(Lists!$Z$2:$Z$20,MATCH($AH139,Lists!$Y$2:$Y$20,0)),"EGI "&amp;$AH139),IF(COUNTIF(Lists!$AU$2:$AU$10,$AJ139),$AJ139,IF(OR(LEFT($AH139,3)="COE",$AH139="EGI"),$AJ139,IF($AK139&lt;&gt;"Squad",$AK139,$AJ139)))))</f>
        <v>Ampol Loyalty &amp; Martech</v>
      </c>
      <c r="AM139" s="534" t="b">
        <f>IF(TRIM($B139)="","",--(UPPER(TRIM($K139))="EGI"))</f>
        <v>0</v>
      </c>
      <c r="AN139" s="534" t="inlineStr">
        <is>
          <t>Vacant</t>
        </is>
      </c>
      <c r="AO139" s="534" t="inlineStr">
        <is>
          <t>NOTE: This is role is in the Z Loyalty &amp; Martech squad</t>
        </is>
      </c>
      <c r="AQ139" s="841" t="inlineStr">
        <is>
          <t>R0138</t>
        </is>
      </c>
      <c r="AZ139" s="841" t="n"/>
    </row>
    <row r="140" ht="18" customHeight="1" s="535">
      <c r="A140" s="842" t="n">
        <v>4781</v>
      </c>
      <c r="B140" s="843" t="inlineStr">
        <is>
          <t>Mark Wilson</t>
        </is>
      </c>
      <c r="C140" s="842" t="n">
        <v>4781</v>
      </c>
      <c r="D140" s="843" t="inlineStr">
        <is>
          <t>Digital Support Manager (AU)</t>
        </is>
      </c>
      <c r="E140" s="843" t="inlineStr">
        <is>
          <t>Shona Paul</t>
        </is>
      </c>
      <c r="F140" s="843" t="inlineStr">
        <is>
          <t>Head of Technology, Digital</t>
        </is>
      </c>
      <c r="G140" s="844" t="inlineStr">
        <is>
          <t>Customer</t>
        </is>
      </c>
      <c r="H140" s="843" t="inlineStr">
        <is>
          <t>Digital</t>
        </is>
      </c>
      <c r="I140" s="843" t="inlineStr">
        <is>
          <t>Digital Support (AU)</t>
        </is>
      </c>
      <c r="J140" s="843" t="inlineStr">
        <is>
          <t>Ampol Customer</t>
        </is>
      </c>
      <c r="K140" s="843" t="inlineStr">
        <is>
          <t>Ampol Digital</t>
        </is>
      </c>
      <c r="L140" s="843" t="inlineStr">
        <is>
          <t>Digital Operations</t>
        </is>
      </c>
      <c r="M140" s="843" t="n"/>
      <c r="N140" s="845" t="inlineStr">
        <is>
          <t>Australia</t>
        </is>
      </c>
      <c r="O140" s="846" t="inlineStr">
        <is>
          <t>CIC (Always)</t>
        </is>
      </c>
      <c r="P140" s="847" t="n">
        <v>1</v>
      </c>
      <c r="Q140" s="856" t="n"/>
      <c r="R140" s="847" t="inlineStr">
        <is>
          <t>Permanent - Full Time</t>
        </is>
      </c>
      <c r="S140" s="847" t="n"/>
      <c r="T140" s="847" t="n"/>
      <c r="U140" s="848" t="n">
        <v>193100</v>
      </c>
      <c r="V140" s="849" t="n">
        <v>193100</v>
      </c>
      <c r="W140" s="850" t="n">
        <v>0.12</v>
      </c>
      <c r="X140" s="847" t="n">
        <v>0.055</v>
      </c>
      <c r="Y140" s="850" t="n">
        <v>0.12</v>
      </c>
      <c r="Z140" s="851" t="n"/>
      <c r="AA140" s="850" t="n">
        <v>0.04</v>
      </c>
      <c r="AB140" s="852" t="n">
        <v>257788.5</v>
      </c>
      <c r="AD140" s="857" t="n"/>
      <c r="AE140" s="857">
        <f>IF(TRIM($B140)="","",IF(AND(N($P140)&gt;0,N($P140)&lt;1),N($AB140)*N($P140),N($AB140)))</f>
        <v>257788.5</v>
      </c>
      <c r="AF140" s="857" t="str">
        <f>IF(TRIM($B140)="","",IF(OR(ISNUMBER(SEARCH("vacant",$B140)),ISNUMBER(SEARCH("ring fenced",$B140)),LOWER(TRIM($B140))="remove"),"Vacant","Filled"))</f>
        <v>Filled</v>
      </c>
      <c r="AG140" s="857" t="b">
        <f>IF(TRIM($B140)="","",--ISNUMBER(SEARCH("ring fenced",$B140)))</f>
        <v>0</v>
      </c>
      <c r="AH140" s="853" t="str">
        <f>IF(TRIM($B140)="","",IF(COUNTIFS(Lists!$AN$2:$AN$22,TRIM($B140)&amp;" | "&amp;TRIM($D140),Lists!$AO$2:$AO$22,"&lt;&gt;"),INDEX(Lists!$AO$2:$AO$22,MATCH(TRIM($B140)&amp;" | "&amp;TRIM($D140),Lists!$AN$2:$AN$22,0)),IF(COUNTIF(Lists!$AR$2:$AR$3,$AJ140),"TDD Cyber",IF(AND(LEFT($AJ140,4)="EGI ",ISNUMBER(MATCH(TRIM(MID($AJ140,5,99)),Lists!$AS$2:$AS$12,0))),TRIM(MID($AJ140,5,99)),IF(AND(LEFT($AJ140,4)="EGI ",ISNUMBER(MATCH(TRIM(MID($AJ140,5,99)),Lists!$T$2:$T$21,0))),INDEX(Lists!$U$2:$U$21,MATCH(TRIM(MID($AJ140,5,99)),Lists!$T$2:$T$21,0)),IF(OR(TRIM($J140)="",UPPER(TRIM($J140))="NA"),IFERROR(INDEX(Lists!$R$2:$R$9,MATCH(TRIM($G140),Lists!$Q$2:$Q$9,0)),"UNMAPPED"),IFERROR(INDEX(Lists!$U$2:$U$21,MATCH(TRIM($J140),Lists!$T$2:$T$21,0)),IFERROR(INDEX(Lists!$R$2:$R$9,MATCH(TRIM($G140),Lists!$Q$2:$Q$9,0)),"UNMAPPED"))))))))</f>
        <v>Customer</v>
      </c>
      <c r="AI140" s="534" t="b">
        <f>IF(TRIM($B140)="","",--OR(TRIM($L140)="Leadership",TRIM($K140)="Leadership"))</f>
        <v>0</v>
      </c>
      <c r="AJ140" s="534" t="str">
        <f>IF(TRIM($B140)="","",IF(COUNTIFS(Lists!$AN$2:$AN$22,TRIM($B140)&amp;" | "&amp;TRIM($D140),Lists!$AP$2:$AP$22,"&lt;&gt;"),INDEX(Lists!$AP$2:$AP$22,MATCH(TRIM($B140)&amp;" | "&amp;TRIM($D140),Lists!$AN$2:$AN$22,0)),IF($AI140=1,"Leadership",IFERROR(INDEX(Lists!$X$2:$X$21,MATCH(TRIM($L140),Lists!$W$2:$W$21,0)),IF(OR(TRIM($L140)="",LOWER(TRIM($L140))="na"),IF(TRIM($H140)="","Unassigned",TRIM($H140)),TRIM($L140))))))</f>
        <v>Digital Operations</v>
      </c>
      <c r="AK140" s="534" t="str">
        <f>IF(TRIM($B140)="","",IF(COUNTIFS(Lists!$AN$2:$AN$22,TRIM($B140)&amp;" | "&amp;TRIM($D140),Lists!$AQ$2:$AQ$22,"&lt;&gt;"),INDEX(Lists!$AQ$2:$AQ$22,MATCH(TRIM($B140)&amp;" | "&amp;TRIM($D140),Lists!$AN$2:$AN$22,0)),IF(COUNTIF(Lists!$AF$2:$AF$8,$AJ140),$AJ140,IF(ISNUMBER(SEARCH("head of ",$D140)),"Head of Technology",IF(ISNUMBER(SEARCH("TDD BP",$D140)),"Business Partner",IF(OR(ISNUMBER(SEARCH("domain architect",$D140)),ISNUMBER(SEARCH("enterprise architect",$D140))),"Domain Architect",IF(ISNUMBER(SEARCH("delivery man",$D140)),"Delivery Manager",IF(OR(ISNUMBER(SEARCH("technology manager",$D140)),ISNUMBER(SEARCH("technology manger",$D140)),ISNUMBER(SEARCH("tech manager",$D140))),"Technology Manager","Squad"))))))))</f>
        <v>Squad</v>
      </c>
      <c r="AL140" s="534" t="str">
        <f>IF(TRIM($B140)="","",IF(AND($AM140=1,LEFT($AJ140,4)&lt;&gt;"EGI ",$AJ140&lt;&gt;"EGI"),IFERROR(INDEX(Lists!$Z$2:$Z$20,MATCH($AH140,Lists!$Y$2:$Y$20,0)),"EGI "&amp;$AH140),IF(COUNTIF(Lists!$AU$2:$AU$10,$AJ140),$AJ140,IF(OR(LEFT($AH140,3)="COE",$AH140="EGI"),$AJ140,IF($AK140&lt;&gt;"Squad",$AK140,$AJ140)))))</f>
        <v>Digital Operations</v>
      </c>
      <c r="AM140" s="534" t="b">
        <f>IF(TRIM($B140)="","",--(UPPER(TRIM($K140))="EGI"))</f>
        <v>0</v>
      </c>
      <c r="AN140" s="534" t="inlineStr">
        <is>
          <t>Filled</t>
        </is>
      </c>
      <c r="AQ140" s="841" t="inlineStr">
        <is>
          <t>R0139</t>
        </is>
      </c>
      <c r="AZ140" s="841" t="n"/>
    </row>
    <row r="141" ht="18" customHeight="1" s="535">
      <c r="A141" s="842" t="n">
        <v>113612</v>
      </c>
      <c r="B141" s="843" t="inlineStr">
        <is>
          <t>Shane Abrahams</t>
        </is>
      </c>
      <c r="C141" s="842" t="n">
        <v>113612</v>
      </c>
      <c r="D141" s="843" t="inlineStr">
        <is>
          <t>Digital Support Manager - NZ</t>
        </is>
      </c>
      <c r="E141" s="843" t="inlineStr">
        <is>
          <t>Shona Paul</t>
        </is>
      </c>
      <c r="F141" s="843" t="inlineStr">
        <is>
          <t>Head of Technology, Digital</t>
        </is>
      </c>
      <c r="G141" s="844" t="inlineStr">
        <is>
          <t>Customer</t>
        </is>
      </c>
      <c r="H141" s="843" t="inlineStr">
        <is>
          <t>Digital</t>
        </is>
      </c>
      <c r="I141" s="843" t="inlineStr">
        <is>
          <t>Digital Support (NZ)</t>
        </is>
      </c>
      <c r="J141" s="843" t="inlineStr">
        <is>
          <t>Z ENERGY (DIGITAL)</t>
        </is>
      </c>
      <c r="K141" s="843" t="inlineStr">
        <is>
          <t>Z Energy (Digitial)</t>
        </is>
      </c>
      <c r="L141" s="843" t="inlineStr">
        <is>
          <t>Z App and Web</t>
        </is>
      </c>
      <c r="M141" s="843" t="n"/>
      <c r="N141" s="845" t="inlineStr">
        <is>
          <t>NZ</t>
        </is>
      </c>
      <c r="O141" s="846" t="inlineStr">
        <is>
          <t>CIC (Always)</t>
        </is>
      </c>
      <c r="P141" s="847" t="n">
        <v>1</v>
      </c>
      <c r="Q141" s="856" t="n"/>
      <c r="R141" s="847" t="inlineStr">
        <is>
          <t>Permanent - Full Time</t>
        </is>
      </c>
      <c r="S141" s="847" t="n"/>
      <c r="T141" s="847" t="n"/>
      <c r="U141" s="848" t="n">
        <v>162180</v>
      </c>
      <c r="V141" s="849" t="n">
        <v>149205.6</v>
      </c>
      <c r="W141" s="850" t="n">
        <v>0.15</v>
      </c>
      <c r="X141" s="847" t="n"/>
      <c r="Y141" s="850" t="n">
        <v>0.05</v>
      </c>
      <c r="Z141" s="851" t="n">
        <v>2910</v>
      </c>
      <c r="AA141" s="850" t="n">
        <v>0.03</v>
      </c>
      <c r="AB141" s="852" t="n">
        <v>186432.888</v>
      </c>
      <c r="AD141" s="857" t="n"/>
      <c r="AE141" s="857">
        <f>IF(TRIM($B141)="","",IF(AND(N($P141)&gt;0,N($P141)&lt;1),N($AB141)*N($P141),N($AB141)))</f>
        <v>186432.888</v>
      </c>
      <c r="AF141" s="857" t="str">
        <f>IF(TRIM($B141)="","",IF(OR(ISNUMBER(SEARCH("vacant",$B141)),ISNUMBER(SEARCH("ring fenced",$B141)),LOWER(TRIM($B141))="remove"),"Vacant","Filled"))</f>
        <v>Filled</v>
      </c>
      <c r="AG141" s="857" t="b">
        <f>IF(TRIM($B141)="","",--ISNUMBER(SEARCH("ring fenced",$B141)))</f>
        <v>0</v>
      </c>
      <c r="AH141" s="853" t="str">
        <f>IF(TRIM($B141)="","",IF(COUNTIFS(Lists!$AN$2:$AN$22,TRIM($B141)&amp;" | "&amp;TRIM($D141),Lists!$AO$2:$AO$22,"&lt;&gt;"),INDEX(Lists!$AO$2:$AO$22,MATCH(TRIM($B141)&amp;" | "&amp;TRIM($D141),Lists!$AN$2:$AN$22,0)),IF(COUNTIF(Lists!$AR$2:$AR$3,$AJ141),"TDD Cyber",IF(AND(LEFT($AJ141,4)="EGI ",ISNUMBER(MATCH(TRIM(MID($AJ141,5,99)),Lists!$AS$2:$AS$12,0))),TRIM(MID($AJ141,5,99)),IF(AND(LEFT($AJ141,4)="EGI ",ISNUMBER(MATCH(TRIM(MID($AJ141,5,99)),Lists!$T$2:$T$21,0))),INDEX(Lists!$U$2:$U$21,MATCH(TRIM(MID($AJ141,5,99)),Lists!$T$2:$T$21,0)),IF(OR(TRIM($J141)="",UPPER(TRIM($J141))="NA"),IFERROR(INDEX(Lists!$R$2:$R$9,MATCH(TRIM($G141),Lists!$Q$2:$Q$9,0)),"UNMAPPED"),IFERROR(INDEX(Lists!$U$2:$U$21,MATCH(TRIM($J141),Lists!$T$2:$T$21,0)),IFERROR(INDEX(Lists!$R$2:$R$9,MATCH(TRIM($G141),Lists!$Q$2:$Q$9,0)),"UNMAPPED"))))))))</f>
        <v>Customer</v>
      </c>
      <c r="AI141" s="534" t="b">
        <f>IF(TRIM($B141)="","",--OR(TRIM($L141)="Leadership",TRIM($K141)="Leadership"))</f>
        <v>0</v>
      </c>
      <c r="AJ141" s="534" t="str">
        <f>IF(TRIM($B141)="","",IF(COUNTIFS(Lists!$AN$2:$AN$22,TRIM($B141)&amp;" | "&amp;TRIM($D141),Lists!$AP$2:$AP$22,"&lt;&gt;"),INDEX(Lists!$AP$2:$AP$22,MATCH(TRIM($B141)&amp;" | "&amp;TRIM($D141),Lists!$AN$2:$AN$22,0)),IF($AI141=1,"Leadership",IFERROR(INDEX(Lists!$X$2:$X$21,MATCH(TRIM($L141),Lists!$W$2:$W$21,0)),IF(OR(TRIM($L141)="",LOWER(TRIM($L141))="na"),IF(TRIM($H141)="","Unassigned",TRIM($H141)),TRIM($L141))))))</f>
        <v>Z App and Web</v>
      </c>
      <c r="AK141" s="534" t="str">
        <f>IF(TRIM($B141)="","",IF(COUNTIFS(Lists!$AN$2:$AN$22,TRIM($B141)&amp;" | "&amp;TRIM($D141),Lists!$AQ$2:$AQ$22,"&lt;&gt;"),INDEX(Lists!$AQ$2:$AQ$22,MATCH(TRIM($B141)&amp;" | "&amp;TRIM($D141),Lists!$AN$2:$AN$22,0)),IF(COUNTIF(Lists!$AF$2:$AF$8,$AJ141),$AJ141,IF(ISNUMBER(SEARCH("head of ",$D141)),"Head of Technology",IF(ISNUMBER(SEARCH("TDD BP",$D141)),"Business Partner",IF(OR(ISNUMBER(SEARCH("domain architect",$D141)),ISNUMBER(SEARCH("enterprise architect",$D141))),"Domain Architect",IF(ISNUMBER(SEARCH("delivery man",$D141)),"Delivery Manager",IF(OR(ISNUMBER(SEARCH("technology manager",$D141)),ISNUMBER(SEARCH("technology manger",$D141)),ISNUMBER(SEARCH("tech manager",$D141))),"Technology Manager","Squad"))))))))</f>
        <v>Squad</v>
      </c>
      <c r="AL141" s="534" t="str">
        <f>IF(TRIM($B141)="","",IF(AND($AM141=1,LEFT($AJ141,4)&lt;&gt;"EGI ",$AJ141&lt;&gt;"EGI"),IFERROR(INDEX(Lists!$Z$2:$Z$20,MATCH($AH141,Lists!$Y$2:$Y$20,0)),"EGI "&amp;$AH141),IF(COUNTIF(Lists!$AU$2:$AU$10,$AJ141),$AJ141,IF(OR(LEFT($AH141,3)="COE",$AH141="EGI"),$AJ141,IF($AK141&lt;&gt;"Squad",$AK141,$AJ141)))))</f>
        <v>Z App and Web</v>
      </c>
      <c r="AM141" s="534" t="b">
        <f>IF(TRIM($B141)="","",--(UPPER(TRIM($K141))="EGI"))</f>
        <v>0</v>
      </c>
      <c r="AN141" s="534" t="inlineStr">
        <is>
          <t>Filled</t>
        </is>
      </c>
      <c r="AQ141" s="841" t="inlineStr">
        <is>
          <t>R0140</t>
        </is>
      </c>
      <c r="AZ141" s="841" t="n"/>
    </row>
    <row r="142" ht="18" customHeight="1" s="535">
      <c r="A142" s="842" t="n">
        <v>116408</v>
      </c>
      <c r="B142" s="843" t="inlineStr">
        <is>
          <t>Abhilash Reddy</t>
        </is>
      </c>
      <c r="C142" s="842" t="n">
        <v>116408</v>
      </c>
      <c r="D142" s="843" t="inlineStr">
        <is>
          <t>Project Manager</t>
        </is>
      </c>
      <c r="E142" s="843" t="inlineStr">
        <is>
          <t>Vacant</t>
        </is>
      </c>
      <c r="F142" s="843" t="inlineStr">
        <is>
          <t>Program Manager</t>
        </is>
      </c>
      <c r="G142" s="844" t="inlineStr">
        <is>
          <t>Customer</t>
        </is>
      </c>
      <c r="H142" s="843" t="inlineStr">
        <is>
          <t>Customer, PMO</t>
        </is>
      </c>
      <c r="I142" s="843" t="n"/>
      <c r="J142" s="843" t="inlineStr">
        <is>
          <t>Ampol Customer</t>
        </is>
      </c>
      <c r="K142" s="843" t="inlineStr">
        <is>
          <t>Ampol Digital</t>
        </is>
      </c>
      <c r="L142" s="843" t="inlineStr">
        <is>
          <t>Leadership</t>
        </is>
      </c>
      <c r="M142" s="843" t="n"/>
      <c r="N142" s="845" t="inlineStr">
        <is>
          <t>Australia</t>
        </is>
      </c>
      <c r="O142" s="846" t="inlineStr">
        <is>
          <t>CIC (Always)</t>
        </is>
      </c>
      <c r="P142" s="847" t="n">
        <v>1</v>
      </c>
      <c r="Q142" s="856" t="n"/>
      <c r="R142" s="847" t="inlineStr">
        <is>
          <t>Temporary - Full Time</t>
        </is>
      </c>
      <c r="S142" s="847" t="n"/>
      <c r="T142" s="847" t="n"/>
      <c r="U142" s="848" t="n">
        <v>160000</v>
      </c>
      <c r="V142" s="849" t="n">
        <v>160000</v>
      </c>
      <c r="W142" s="850" t="n">
        <v>0.12</v>
      </c>
      <c r="X142" s="847" t="n">
        <v>0.055</v>
      </c>
      <c r="Y142" s="850" t="n">
        <v>0.12</v>
      </c>
      <c r="Z142" s="851" t="n"/>
      <c r="AA142" s="850" t="n">
        <v>0.04</v>
      </c>
      <c r="AB142" s="852" t="n">
        <v>240301</v>
      </c>
      <c r="AC142" s="534" t="inlineStr">
        <is>
          <t>end date: 9 March 2027</t>
        </is>
      </c>
      <c r="AD142" s="857" t="n"/>
      <c r="AE142" s="857">
        <f>IF(TRIM($B142)="","",IF(AND(N($P142)&gt;0,N($P142)&lt;1),N($AB142)*N($P142),N($AB142)))</f>
        <v>240301</v>
      </c>
      <c r="AF142" s="857" t="str">
        <f>IF(TRIM($B142)="","",IF(OR(ISNUMBER(SEARCH("vacant",$B142)),ISNUMBER(SEARCH("ring fenced",$B142)),LOWER(TRIM($B142))="remove"),"Vacant","Filled"))</f>
        <v>Filled</v>
      </c>
      <c r="AG142" s="857" t="b">
        <f>IF(TRIM($B142)="","",--ISNUMBER(SEARCH("ring fenced",$B142)))</f>
        <v>0</v>
      </c>
      <c r="AH142" s="853" t="str">
        <f>IF(TRIM($B142)="","",IF(COUNTIFS(Lists!$AN$2:$AN$22,TRIM($B142)&amp;" | "&amp;TRIM($D142),Lists!$AO$2:$AO$22,"&lt;&gt;"),INDEX(Lists!$AO$2:$AO$22,MATCH(TRIM($B142)&amp;" | "&amp;TRIM($D142),Lists!$AN$2:$AN$22,0)),IF(COUNTIF(Lists!$AR$2:$AR$3,$AJ142),"TDD Cyber",IF(AND(LEFT($AJ142,4)="EGI ",ISNUMBER(MATCH(TRIM(MID($AJ142,5,99)),Lists!$AS$2:$AS$12,0))),TRIM(MID($AJ142,5,99)),IF(AND(LEFT($AJ142,4)="EGI ",ISNUMBER(MATCH(TRIM(MID($AJ142,5,99)),Lists!$T$2:$T$21,0))),INDEX(Lists!$U$2:$U$21,MATCH(TRIM(MID($AJ142,5,99)),Lists!$T$2:$T$21,0)),IF(OR(TRIM($J142)="",UPPER(TRIM($J142))="NA"),IFERROR(INDEX(Lists!$R$2:$R$9,MATCH(TRIM($G142),Lists!$Q$2:$Q$9,0)),"UNMAPPED"),IFERROR(INDEX(Lists!$U$2:$U$21,MATCH(TRIM($J142),Lists!$T$2:$T$21,0)),IFERROR(INDEX(Lists!$R$2:$R$9,MATCH(TRIM($G142),Lists!$Q$2:$Q$9,0)),"UNMAPPED"))))))))</f>
        <v>Customer</v>
      </c>
      <c r="AI142" s="534" t="b">
        <f>IF(TRIM($B142)="","",--OR(TRIM($L142)="Leadership",TRIM($K142)="Leadership"))</f>
        <v>1</v>
      </c>
      <c r="AJ142" s="534" t="str">
        <f>IF(TRIM($B142)="","",IF(COUNTIFS(Lists!$AN$2:$AN$22,TRIM($B142)&amp;" | "&amp;TRIM($D142),Lists!$AP$2:$AP$22,"&lt;&gt;"),INDEX(Lists!$AP$2:$AP$22,MATCH(TRIM($B142)&amp;" | "&amp;TRIM($D142),Lists!$AN$2:$AN$22,0)),IF($AI142=1,"Leadership",IFERROR(INDEX(Lists!$X$2:$X$21,MATCH(TRIM($L142),Lists!$W$2:$W$21,0)),IF(OR(TRIM($L142)="",LOWER(TRIM($L142))="na"),IF(TRIM($H142)="","Unassigned",TRIM($H142)),TRIM($L142))))))</f>
        <v>Leadership</v>
      </c>
      <c r="AK142" s="534" t="str">
        <f>IF(TRIM($B142)="","",IF(COUNTIFS(Lists!$AN$2:$AN$22,TRIM($B142)&amp;" | "&amp;TRIM($D142),Lists!$AQ$2:$AQ$22,"&lt;&gt;"),INDEX(Lists!$AQ$2:$AQ$22,MATCH(TRIM($B142)&amp;" | "&amp;TRIM($D142),Lists!$AN$2:$AN$22,0)),IF(COUNTIF(Lists!$AF$2:$AF$8,$AJ142),$AJ142,IF(ISNUMBER(SEARCH("head of ",$D142)),"Head of Technology",IF(ISNUMBER(SEARCH("TDD BP",$D142)),"Business Partner",IF(OR(ISNUMBER(SEARCH("domain architect",$D142)),ISNUMBER(SEARCH("enterprise architect",$D142))),"Domain Architect",IF(ISNUMBER(SEARCH("delivery man",$D142)),"Delivery Manager",IF(OR(ISNUMBER(SEARCH("technology manager",$D142)),ISNUMBER(SEARCH("technology manger",$D142)),ISNUMBER(SEARCH("tech manager",$D142))),"Technology Manager","Squad"))))))))</f>
        <v>Squad</v>
      </c>
      <c r="AL142" s="534" t="str">
        <f>IF(TRIM($B142)="","",IF(AND($AM142=1,LEFT($AJ142,4)&lt;&gt;"EGI ",$AJ142&lt;&gt;"EGI"),IFERROR(INDEX(Lists!$Z$2:$Z$20,MATCH($AH142,Lists!$Y$2:$Y$20,0)),"EGI "&amp;$AH142),IF(COUNTIF(Lists!$AU$2:$AU$10,$AJ142),$AJ142,IF(OR(LEFT($AH142,3)="COE",$AH142="EGI"),$AJ142,IF($AK142&lt;&gt;"Squad",$AK142,$AJ142)))))</f>
        <v>Leadership</v>
      </c>
      <c r="AM142" s="534" t="b">
        <f>IF(TRIM($B142)="","",--(UPPER(TRIM($K142))="EGI"))</f>
        <v>0</v>
      </c>
      <c r="AN142" s="534" t="inlineStr">
        <is>
          <t>Filled</t>
        </is>
      </c>
      <c r="AO142" s="534" t="inlineStr">
        <is>
          <t>end date: 9 March 2027</t>
        </is>
      </c>
      <c r="AP142" s="854" t="n">
        <v>46455</v>
      </c>
      <c r="AQ142" s="841" t="inlineStr">
        <is>
          <t>R0141</t>
        </is>
      </c>
      <c r="AZ142" s="841" t="n"/>
    </row>
    <row r="143" ht="18" customHeight="1" s="535">
      <c r="A143" s="842" t="n">
        <v>114650</v>
      </c>
      <c r="B143" s="843" t="inlineStr">
        <is>
          <t>Jin Zhong</t>
        </is>
      </c>
      <c r="C143" s="842" t="n">
        <v>114650</v>
      </c>
      <c r="D143" s="843" t="inlineStr">
        <is>
          <t>Lead Engineer - BE</t>
        </is>
      </c>
      <c r="E143" s="843" t="inlineStr">
        <is>
          <t>Vacant</t>
        </is>
      </c>
      <c r="F143" s="843" t="inlineStr">
        <is>
          <t>Technology Manager, Digital Engineering</t>
        </is>
      </c>
      <c r="G143" s="844" t="inlineStr">
        <is>
          <t>Customer</t>
        </is>
      </c>
      <c r="H143" s="843" t="inlineStr">
        <is>
          <t>Digital</t>
        </is>
      </c>
      <c r="I143" s="843" t="inlineStr">
        <is>
          <t>Tech, Digital Engineering</t>
        </is>
      </c>
      <c r="J143" s="843" t="inlineStr">
        <is>
          <t>Ampol Customer</t>
        </is>
      </c>
      <c r="K143" s="843" t="inlineStr">
        <is>
          <t>Ampol Digital</t>
        </is>
      </c>
      <c r="L143" s="843" t="inlineStr">
        <is>
          <t>Ampol Web</t>
        </is>
      </c>
      <c r="M143" s="843" t="n"/>
      <c r="N143" s="845" t="inlineStr">
        <is>
          <t>Australia</t>
        </is>
      </c>
      <c r="O143" s="846" t="inlineStr">
        <is>
          <t>CIC (Always)</t>
        </is>
      </c>
      <c r="P143" s="847" t="n">
        <v>1</v>
      </c>
      <c r="Q143" s="856" t="n"/>
      <c r="R143" s="847" t="inlineStr">
        <is>
          <t>Permanent - Full Time</t>
        </is>
      </c>
      <c r="S143" s="847" t="n"/>
      <c r="T143" s="847" t="n"/>
      <c r="U143" s="848" t="n">
        <v>180000</v>
      </c>
      <c r="V143" s="849" t="n">
        <v>180000</v>
      </c>
      <c r="W143" s="850" t="n">
        <v>0.12</v>
      </c>
      <c r="X143" s="847" t="n">
        <v>0.055</v>
      </c>
      <c r="Y143" s="850" t="n">
        <v>0.12</v>
      </c>
      <c r="Z143" s="851" t="n"/>
      <c r="AA143" s="850" t="n">
        <v>0.04</v>
      </c>
      <c r="AB143" s="852" t="n">
        <v>240300</v>
      </c>
      <c r="AD143" s="857" t="n"/>
      <c r="AE143" s="857">
        <f>IF(TRIM($B143)="","",IF(AND(N($P143)&gt;0,N($P143)&lt;1),N($AB143)*N($P143),N($AB143)))</f>
        <v>240300</v>
      </c>
      <c r="AF143" s="857" t="str">
        <f>IF(TRIM($B143)="","",IF(OR(ISNUMBER(SEARCH("vacant",$B143)),ISNUMBER(SEARCH("ring fenced",$B143)),LOWER(TRIM($B143))="remove"),"Vacant","Filled"))</f>
        <v>Filled</v>
      </c>
      <c r="AG143" s="857" t="b">
        <f>IF(TRIM($B143)="","",--ISNUMBER(SEARCH("ring fenced",$B143)))</f>
        <v>0</v>
      </c>
      <c r="AH143" s="853" t="str">
        <f>IF(TRIM($B143)="","",IF(COUNTIFS(Lists!$AN$2:$AN$22,TRIM($B143)&amp;" | "&amp;TRIM($D143),Lists!$AO$2:$AO$22,"&lt;&gt;"),INDEX(Lists!$AO$2:$AO$22,MATCH(TRIM($B143)&amp;" | "&amp;TRIM($D143),Lists!$AN$2:$AN$22,0)),IF(COUNTIF(Lists!$AR$2:$AR$3,$AJ143),"TDD Cyber",IF(AND(LEFT($AJ143,4)="EGI ",ISNUMBER(MATCH(TRIM(MID($AJ143,5,99)),Lists!$AS$2:$AS$12,0))),TRIM(MID($AJ143,5,99)),IF(AND(LEFT($AJ143,4)="EGI ",ISNUMBER(MATCH(TRIM(MID($AJ143,5,99)),Lists!$T$2:$T$21,0))),INDEX(Lists!$U$2:$U$21,MATCH(TRIM(MID($AJ143,5,99)),Lists!$T$2:$T$21,0)),IF(OR(TRIM($J143)="",UPPER(TRIM($J143))="NA"),IFERROR(INDEX(Lists!$R$2:$R$9,MATCH(TRIM($G143),Lists!$Q$2:$Q$9,0)),"UNMAPPED"),IFERROR(INDEX(Lists!$U$2:$U$21,MATCH(TRIM($J143),Lists!$T$2:$T$21,0)),IFERROR(INDEX(Lists!$R$2:$R$9,MATCH(TRIM($G143),Lists!$Q$2:$Q$9,0)),"UNMAPPED"))))))))</f>
        <v>Customer</v>
      </c>
      <c r="AI143" s="534" t="b">
        <f>IF(TRIM($B143)="","",--OR(TRIM($L143)="Leadership",TRIM($K143)="Leadership"))</f>
        <v>0</v>
      </c>
      <c r="AJ143" s="534" t="str">
        <f>IF(TRIM($B143)="","",IF(COUNTIFS(Lists!$AN$2:$AN$22,TRIM($B143)&amp;" | "&amp;TRIM($D143),Lists!$AP$2:$AP$22,"&lt;&gt;"),INDEX(Lists!$AP$2:$AP$22,MATCH(TRIM($B143)&amp;" | "&amp;TRIM($D143),Lists!$AN$2:$AN$22,0)),IF($AI143=1,"Leadership",IFERROR(INDEX(Lists!$X$2:$X$21,MATCH(TRIM($L143),Lists!$W$2:$W$21,0)),IF(OR(TRIM($L143)="",LOWER(TRIM($L143))="na"),IF(TRIM($H143)="","Unassigned",TRIM($H143)),TRIM($L143))))))</f>
        <v>Ampol Web</v>
      </c>
      <c r="AK143" s="534" t="str">
        <f>IF(TRIM($B143)="","",IF(COUNTIFS(Lists!$AN$2:$AN$22,TRIM($B143)&amp;" | "&amp;TRIM($D143),Lists!$AQ$2:$AQ$22,"&lt;&gt;"),INDEX(Lists!$AQ$2:$AQ$22,MATCH(TRIM($B143)&amp;" | "&amp;TRIM($D143),Lists!$AN$2:$AN$22,0)),IF(COUNTIF(Lists!$AF$2:$AF$8,$AJ143),$AJ143,IF(ISNUMBER(SEARCH("head of ",$D143)),"Head of Technology",IF(ISNUMBER(SEARCH("TDD BP",$D143)),"Business Partner",IF(OR(ISNUMBER(SEARCH("domain architect",$D143)),ISNUMBER(SEARCH("enterprise architect",$D143))),"Domain Architect",IF(ISNUMBER(SEARCH("delivery man",$D143)),"Delivery Manager",IF(OR(ISNUMBER(SEARCH("technology manager",$D143)),ISNUMBER(SEARCH("technology manger",$D143)),ISNUMBER(SEARCH("tech manager",$D143))),"Technology Manager","Squad"))))))))</f>
        <v>Squad</v>
      </c>
      <c r="AL143" s="534" t="str">
        <f>IF(TRIM($B143)="","",IF(AND($AM143=1,LEFT($AJ143,4)&lt;&gt;"EGI ",$AJ143&lt;&gt;"EGI"),IFERROR(INDEX(Lists!$Z$2:$Z$20,MATCH($AH143,Lists!$Y$2:$Y$20,0)),"EGI "&amp;$AH143),IF(COUNTIF(Lists!$AU$2:$AU$10,$AJ143),$AJ143,IF(OR(LEFT($AH143,3)="COE",$AH143="EGI"),$AJ143,IF($AK143&lt;&gt;"Squad",$AK143,$AJ143)))))</f>
        <v>Ampol Web</v>
      </c>
      <c r="AM143" s="534" t="b">
        <f>IF(TRIM($B143)="","",--(UPPER(TRIM($K143))="EGI"))</f>
        <v>0</v>
      </c>
      <c r="AN143" s="534" t="inlineStr">
        <is>
          <t>Filled</t>
        </is>
      </c>
      <c r="AQ143" s="841" t="inlineStr">
        <is>
          <t>R0142</t>
        </is>
      </c>
      <c r="AZ143" s="841" t="n"/>
    </row>
    <row r="144" ht="18" customHeight="1" s="535">
      <c r="A144" s="842" t="n">
        <v>97634</v>
      </c>
      <c r="B144" s="843" t="inlineStr">
        <is>
          <t>Khalid Mahmud</t>
        </is>
      </c>
      <c r="C144" s="842" t="n">
        <v>97634</v>
      </c>
      <c r="D144" s="843" t="inlineStr">
        <is>
          <t>Lead Engineer - BE</t>
        </is>
      </c>
      <c r="E144" s="843" t="inlineStr">
        <is>
          <t>Vacant</t>
        </is>
      </c>
      <c r="F144" s="843" t="inlineStr">
        <is>
          <t>Technology Manager, Digital Engineering</t>
        </is>
      </c>
      <c r="G144" s="844" t="inlineStr">
        <is>
          <t>Customer</t>
        </is>
      </c>
      <c r="H144" s="843" t="inlineStr">
        <is>
          <t>Digital</t>
        </is>
      </c>
      <c r="I144" s="843" t="inlineStr">
        <is>
          <t>Tech, Digital Engineering</t>
        </is>
      </c>
      <c r="J144" s="843" t="inlineStr">
        <is>
          <t>Ampol Customer</t>
        </is>
      </c>
      <c r="K144" s="843" t="inlineStr">
        <is>
          <t>Ampol Digital</t>
        </is>
      </c>
      <c r="L144" s="843" t="inlineStr">
        <is>
          <t>Ampol App</t>
        </is>
      </c>
      <c r="M144" s="843" t="n"/>
      <c r="N144" s="845" t="inlineStr">
        <is>
          <t>Australia</t>
        </is>
      </c>
      <c r="O144" s="846" t="inlineStr">
        <is>
          <t>CIC (Always)</t>
        </is>
      </c>
      <c r="P144" s="847" t="n">
        <v>1</v>
      </c>
      <c r="Q144" s="856" t="n"/>
      <c r="R144" s="847" t="inlineStr">
        <is>
          <t>Permanent - Full Time</t>
        </is>
      </c>
      <c r="S144" s="847" t="n"/>
      <c r="T144" s="847" t="n"/>
      <c r="U144" s="848" t="n">
        <v>194910</v>
      </c>
      <c r="V144" s="849" t="n">
        <v>194910</v>
      </c>
      <c r="W144" s="850" t="n">
        <v>0.12</v>
      </c>
      <c r="X144" s="847" t="n">
        <v>0.055</v>
      </c>
      <c r="Y144" s="850" t="n">
        <v>0.12</v>
      </c>
      <c r="Z144" s="851" t="n"/>
      <c r="AA144" s="850" t="n">
        <v>0.04</v>
      </c>
      <c r="AB144" s="852" t="n">
        <v>260204.85</v>
      </c>
      <c r="AD144" s="857" t="n"/>
      <c r="AE144" s="857">
        <f>IF(TRIM($B144)="","",IF(AND(N($P144)&gt;0,N($P144)&lt;1),N($AB144)*N($P144),N($AB144)))</f>
        <v>260204.85</v>
      </c>
      <c r="AF144" s="857" t="str">
        <f>IF(TRIM($B144)="","",IF(OR(ISNUMBER(SEARCH("vacant",$B144)),ISNUMBER(SEARCH("ring fenced",$B144)),LOWER(TRIM($B144))="remove"),"Vacant","Filled"))</f>
        <v>Filled</v>
      </c>
      <c r="AG144" s="857" t="b">
        <f>IF(TRIM($B144)="","",--ISNUMBER(SEARCH("ring fenced",$B144)))</f>
        <v>0</v>
      </c>
      <c r="AH144" s="853" t="str">
        <f>IF(TRIM($B144)="","",IF(COUNTIFS(Lists!$AN$2:$AN$22,TRIM($B144)&amp;" | "&amp;TRIM($D144),Lists!$AO$2:$AO$22,"&lt;&gt;"),INDEX(Lists!$AO$2:$AO$22,MATCH(TRIM($B144)&amp;" | "&amp;TRIM($D144),Lists!$AN$2:$AN$22,0)),IF(COUNTIF(Lists!$AR$2:$AR$3,$AJ144),"TDD Cyber",IF(AND(LEFT($AJ144,4)="EGI ",ISNUMBER(MATCH(TRIM(MID($AJ144,5,99)),Lists!$AS$2:$AS$12,0))),TRIM(MID($AJ144,5,99)),IF(AND(LEFT($AJ144,4)="EGI ",ISNUMBER(MATCH(TRIM(MID($AJ144,5,99)),Lists!$T$2:$T$21,0))),INDEX(Lists!$U$2:$U$21,MATCH(TRIM(MID($AJ144,5,99)),Lists!$T$2:$T$21,0)),IF(OR(TRIM($J144)="",UPPER(TRIM($J144))="NA"),IFERROR(INDEX(Lists!$R$2:$R$9,MATCH(TRIM($G144),Lists!$Q$2:$Q$9,0)),"UNMAPPED"),IFERROR(INDEX(Lists!$U$2:$U$21,MATCH(TRIM($J144),Lists!$T$2:$T$21,0)),IFERROR(INDEX(Lists!$R$2:$R$9,MATCH(TRIM($G144),Lists!$Q$2:$Q$9,0)),"UNMAPPED"))))))))</f>
        <v>Customer</v>
      </c>
      <c r="AI144" s="534" t="b">
        <f>IF(TRIM($B144)="","",--OR(TRIM($L144)="Leadership",TRIM($K144)="Leadership"))</f>
        <v>0</v>
      </c>
      <c r="AJ144" s="534" t="str">
        <f>IF(TRIM($B144)="","",IF(COUNTIFS(Lists!$AN$2:$AN$22,TRIM($B144)&amp;" | "&amp;TRIM($D144),Lists!$AP$2:$AP$22,"&lt;&gt;"),INDEX(Lists!$AP$2:$AP$22,MATCH(TRIM($B144)&amp;" | "&amp;TRIM($D144),Lists!$AN$2:$AN$22,0)),IF($AI144=1,"Leadership",IFERROR(INDEX(Lists!$X$2:$X$21,MATCH(TRIM($L144),Lists!$W$2:$W$21,0)),IF(OR(TRIM($L144)="",LOWER(TRIM($L144))="na"),IF(TRIM($H144)="","Unassigned",TRIM($H144)),TRIM($L144))))))</f>
        <v>Ampol App</v>
      </c>
      <c r="AK144" s="534" t="str">
        <f>IF(TRIM($B144)="","",IF(COUNTIFS(Lists!$AN$2:$AN$22,TRIM($B144)&amp;" | "&amp;TRIM($D144),Lists!$AQ$2:$AQ$22,"&lt;&gt;"),INDEX(Lists!$AQ$2:$AQ$22,MATCH(TRIM($B144)&amp;" | "&amp;TRIM($D144),Lists!$AN$2:$AN$22,0)),IF(COUNTIF(Lists!$AF$2:$AF$8,$AJ144),$AJ144,IF(ISNUMBER(SEARCH("head of ",$D144)),"Head of Technology",IF(ISNUMBER(SEARCH("TDD BP",$D144)),"Business Partner",IF(OR(ISNUMBER(SEARCH("domain architect",$D144)),ISNUMBER(SEARCH("enterprise architect",$D144))),"Domain Architect",IF(ISNUMBER(SEARCH("delivery man",$D144)),"Delivery Manager",IF(OR(ISNUMBER(SEARCH("technology manager",$D144)),ISNUMBER(SEARCH("technology manger",$D144)),ISNUMBER(SEARCH("tech manager",$D144))),"Technology Manager","Squad"))))))))</f>
        <v>Squad</v>
      </c>
      <c r="AL144" s="534" t="str">
        <f>IF(TRIM($B144)="","",IF(AND($AM144=1,LEFT($AJ144,4)&lt;&gt;"EGI ",$AJ144&lt;&gt;"EGI"),IFERROR(INDEX(Lists!$Z$2:$Z$20,MATCH($AH144,Lists!$Y$2:$Y$20,0)),"EGI "&amp;$AH144),IF(COUNTIF(Lists!$AU$2:$AU$10,$AJ144),$AJ144,IF(OR(LEFT($AH144,3)="COE",$AH144="EGI"),$AJ144,IF($AK144&lt;&gt;"Squad",$AK144,$AJ144)))))</f>
        <v>Ampol App</v>
      </c>
      <c r="AM144" s="534" t="b">
        <f>IF(TRIM($B144)="","",--(UPPER(TRIM($K144))="EGI"))</f>
        <v>0</v>
      </c>
      <c r="AN144" s="534" t="inlineStr">
        <is>
          <t>Filled</t>
        </is>
      </c>
      <c r="AQ144" s="841" t="inlineStr">
        <is>
          <t>R0143</t>
        </is>
      </c>
      <c r="AZ144" s="841" t="n"/>
    </row>
    <row r="145" ht="18" customHeight="1" s="535">
      <c r="A145" s="842" t="n">
        <v>106547</v>
      </c>
      <c r="B145" s="843" t="inlineStr">
        <is>
          <t>Chin Fang Kwek</t>
        </is>
      </c>
      <c r="C145" s="842" t="n">
        <v>106547</v>
      </c>
      <c r="D145" s="843" t="inlineStr">
        <is>
          <t>System Analyst</t>
        </is>
      </c>
      <c r="E145" s="843" t="inlineStr">
        <is>
          <t>Allan Francia</t>
        </is>
      </c>
      <c r="F145" s="843" t="inlineStr">
        <is>
          <t>Technology Manager, T&amp;S</t>
        </is>
      </c>
      <c r="G145" s="844" t="inlineStr">
        <is>
          <t>TDD CFE&amp;I</t>
        </is>
      </c>
      <c r="H145" s="843" t="inlineStr">
        <is>
          <t>Commercial Fuels</t>
        </is>
      </c>
      <c r="I145" s="843" t="inlineStr">
        <is>
          <t>Technology, Trading &amp; Shipping</t>
        </is>
      </c>
      <c r="J145" s="843" t="inlineStr">
        <is>
          <t>Commercial Fuels</t>
        </is>
      </c>
      <c r="K145" s="843" t="inlineStr">
        <is>
          <t>Trading &amp; Shipping</t>
        </is>
      </c>
      <c r="L145" s="843" t="inlineStr">
        <is>
          <t>Trading &amp; Shipping</t>
        </is>
      </c>
      <c r="M145" s="843" t="n"/>
      <c r="N145" s="845" t="inlineStr">
        <is>
          <t>Singapore</t>
        </is>
      </c>
      <c r="O145" s="846" t="inlineStr">
        <is>
          <t>CIC</t>
        </is>
      </c>
      <c r="P145" s="847" t="n">
        <v>1</v>
      </c>
      <c r="Q145" s="856" t="n"/>
      <c r="R145" s="847" t="inlineStr">
        <is>
          <t>Permanent - Full Time</t>
        </is>
      </c>
      <c r="S145" s="847" t="n"/>
      <c r="T145" s="847" t="n"/>
      <c r="U145" s="848" t="n">
        <v>193688</v>
      </c>
      <c r="V145" s="849" t="n">
        <v>234362.48</v>
      </c>
      <c r="W145" s="850" t="n">
        <v>0.25</v>
      </c>
      <c r="X145" s="847" t="n"/>
      <c r="Y145" s="850" t="n">
        <v>0.17</v>
      </c>
      <c r="Z145" s="851" t="n">
        <v>3310</v>
      </c>
      <c r="AA145" s="850" t="n">
        <v>0.045</v>
      </c>
      <c r="AB145" s="852" t="n">
        <v>346651.0332</v>
      </c>
      <c r="AD145" s="857" t="n"/>
      <c r="AE145" s="857">
        <f>IF(TRIM($B145)="","",IF(AND(N($P145)&gt;0,N($P145)&lt;1),N($AB145)*N($P145),N($AB145)))</f>
        <v>346651.0332</v>
      </c>
      <c r="AF145" s="857" t="str">
        <f>IF(TRIM($B145)="","",IF(OR(ISNUMBER(SEARCH("vacant",$B145)),ISNUMBER(SEARCH("ring fenced",$B145)),LOWER(TRIM($B145))="remove"),"Vacant","Filled"))</f>
        <v>Filled</v>
      </c>
      <c r="AG145" s="857" t="b">
        <f>IF(TRIM($B145)="","",--ISNUMBER(SEARCH("ring fenced",$B145)))</f>
        <v>0</v>
      </c>
      <c r="AH145" s="853" t="str">
        <f>IF(TRIM($B145)="","",IF(COUNTIFS(Lists!$AN$2:$AN$22,TRIM($B145)&amp;" | "&amp;TRIM($D145),Lists!$AO$2:$AO$22,"&lt;&gt;"),INDEX(Lists!$AO$2:$AO$22,MATCH(TRIM($B145)&amp;" | "&amp;TRIM($D145),Lists!$AN$2:$AN$22,0)),IF(COUNTIF(Lists!$AR$2:$AR$3,$AJ145),"TDD Cyber",IF(AND(LEFT($AJ145,4)="EGI ",ISNUMBER(MATCH(TRIM(MID($AJ145,5,99)),Lists!$AS$2:$AS$12,0))),TRIM(MID($AJ145,5,99)),IF(AND(LEFT($AJ145,4)="EGI ",ISNUMBER(MATCH(TRIM(MID($AJ145,5,99)),Lists!$T$2:$T$21,0))),INDEX(Lists!$U$2:$U$21,MATCH(TRIM(MID($AJ145,5,99)),Lists!$T$2:$T$21,0)),IF(OR(TRIM($J145)="",UPPER(TRIM($J145))="NA"),IFERROR(INDEX(Lists!$R$2:$R$9,MATCH(TRIM($G145),Lists!$Q$2:$Q$9,0)),"UNMAPPED"),IFERROR(INDEX(Lists!$U$2:$U$21,MATCH(TRIM($J145),Lists!$T$2:$T$21,0)),IFERROR(INDEX(Lists!$R$2:$R$9,MATCH(TRIM($G145),Lists!$Q$2:$Q$9,0)),"UNMAPPED"))))))))</f>
        <v>Commercial Fuels</v>
      </c>
      <c r="AI145" s="534" t="b">
        <f>IF(TRIM($B145)="","",--OR(TRIM($L145)="Leadership",TRIM($K145)="Leadership"))</f>
        <v>0</v>
      </c>
      <c r="AJ145" s="534" t="str">
        <f>IF(TRIM($B145)="","",IF(COUNTIFS(Lists!$AN$2:$AN$22,TRIM($B145)&amp;" | "&amp;TRIM($D145),Lists!$AP$2:$AP$22,"&lt;&gt;"),INDEX(Lists!$AP$2:$AP$22,MATCH(TRIM($B145)&amp;" | "&amp;TRIM($D145),Lists!$AN$2:$AN$22,0)),IF($AI145=1,"Leadership",IFERROR(INDEX(Lists!$X$2:$X$21,MATCH(TRIM($L145),Lists!$W$2:$W$21,0)),IF(OR(TRIM($L145)="",LOWER(TRIM($L145))="na"),IF(TRIM($H145)="","Unassigned",TRIM($H145)),TRIM($L145))))))</f>
        <v>Trading &amp; Shipping</v>
      </c>
      <c r="AK145" s="534" t="str">
        <f>IF(TRIM($B145)="","",IF(COUNTIFS(Lists!$AN$2:$AN$22,TRIM($B145)&amp;" | "&amp;TRIM($D145),Lists!$AQ$2:$AQ$22,"&lt;&gt;"),INDEX(Lists!$AQ$2:$AQ$22,MATCH(TRIM($B145)&amp;" | "&amp;TRIM($D145),Lists!$AN$2:$AN$22,0)),IF(COUNTIF(Lists!$AF$2:$AF$8,$AJ145),$AJ145,IF(ISNUMBER(SEARCH("head of ",$D145)),"Head of Technology",IF(ISNUMBER(SEARCH("TDD BP",$D145)),"Business Partner",IF(OR(ISNUMBER(SEARCH("domain architect",$D145)),ISNUMBER(SEARCH("enterprise architect",$D145))),"Domain Architect",IF(ISNUMBER(SEARCH("delivery man",$D145)),"Delivery Manager",IF(OR(ISNUMBER(SEARCH("technology manager",$D145)),ISNUMBER(SEARCH("technology manger",$D145)),ISNUMBER(SEARCH("tech manager",$D145))),"Technology Manager","Squad"))))))))</f>
        <v>Squad</v>
      </c>
      <c r="AL145" s="534" t="str">
        <f>IF(TRIM($B145)="","",IF(AND($AM145=1,LEFT($AJ145,4)&lt;&gt;"EGI ",$AJ145&lt;&gt;"EGI"),IFERROR(INDEX(Lists!$Z$2:$Z$20,MATCH($AH145,Lists!$Y$2:$Y$20,0)),"EGI "&amp;$AH145),IF(COUNTIF(Lists!$AU$2:$AU$10,$AJ145),$AJ145,IF(OR(LEFT($AH145,3)="COE",$AH145="EGI"),$AJ145,IF($AK145&lt;&gt;"Squad",$AK145,$AJ145)))))</f>
        <v>Trading &amp; Shipping</v>
      </c>
      <c r="AM145" s="534" t="b">
        <f>IF(TRIM($B145)="","",--(UPPER(TRIM($K145))="EGI"))</f>
        <v>0</v>
      </c>
      <c r="AQ145" s="841" t="inlineStr">
        <is>
          <t>R0144</t>
        </is>
      </c>
      <c r="AZ145" s="841" t="n"/>
    </row>
    <row r="146" ht="18" customHeight="1" s="535">
      <c r="A146" s="842" t="n">
        <v>116312</v>
      </c>
      <c r="B146" s="843" t="inlineStr">
        <is>
          <t>Trung Truong</t>
        </is>
      </c>
      <c r="C146" s="842" t="n">
        <v>116312</v>
      </c>
      <c r="D146" s="843" t="inlineStr">
        <is>
          <t>Engineer Applications</t>
        </is>
      </c>
      <c r="E146" s="843" t="inlineStr">
        <is>
          <t>Allan Francia</t>
        </is>
      </c>
      <c r="F146" s="843" t="inlineStr">
        <is>
          <t>Technology Manager, T&amp;S</t>
        </is>
      </c>
      <c r="G146" s="844" t="inlineStr">
        <is>
          <t>TDD CFE&amp;I</t>
        </is>
      </c>
      <c r="H146" s="843" t="inlineStr">
        <is>
          <t>Commercial Fuels</t>
        </is>
      </c>
      <c r="I146" s="843" t="inlineStr">
        <is>
          <t>Technology, Trading &amp; Shipping</t>
        </is>
      </c>
      <c r="J146" s="843" t="inlineStr">
        <is>
          <t>Commercial Fuels</t>
        </is>
      </c>
      <c r="K146" s="843" t="inlineStr">
        <is>
          <t>CTRM</t>
        </is>
      </c>
      <c r="L146" s="843" t="inlineStr">
        <is>
          <t>CTRM</t>
        </is>
      </c>
      <c r="M146" s="843" t="n"/>
      <c r="N146" s="845" t="inlineStr">
        <is>
          <t>Singapore</t>
        </is>
      </c>
      <c r="O146" s="846" t="inlineStr">
        <is>
          <t>CIC</t>
        </is>
      </c>
      <c r="P146" s="847" t="n">
        <v>1</v>
      </c>
      <c r="Q146" s="856" t="n"/>
      <c r="R146" s="847" t="inlineStr">
        <is>
          <t>Permanent - Full Time</t>
        </is>
      </c>
      <c r="S146" s="847" t="n"/>
      <c r="T146" s="847" t="n"/>
      <c r="U146" s="848" t="n">
        <v>170000</v>
      </c>
      <c r="V146" s="849" t="n">
        <v>205700</v>
      </c>
      <c r="W146" s="850" t="n">
        <v>0.25</v>
      </c>
      <c r="X146" s="847" t="n"/>
      <c r="Y146" s="850" t="n">
        <v>0.17</v>
      </c>
      <c r="Z146" s="851" t="n">
        <v>3310</v>
      </c>
      <c r="AA146" s="850" t="n">
        <v>0.045</v>
      </c>
      <c r="AB146" s="852" t="n">
        <v>304660.5</v>
      </c>
      <c r="AD146" s="857" t="n"/>
      <c r="AE146" s="857">
        <f>IF(TRIM($B146)="","",IF(AND(N($P146)&gt;0,N($P146)&lt;1),N($AB146)*N($P146),N($AB146)))</f>
        <v>304660.5</v>
      </c>
      <c r="AF146" s="857" t="str">
        <f>IF(TRIM($B146)="","",IF(OR(ISNUMBER(SEARCH("vacant",$B146)),ISNUMBER(SEARCH("ring fenced",$B146)),LOWER(TRIM($B146))="remove"),"Vacant","Filled"))</f>
        <v>Filled</v>
      </c>
      <c r="AG146" s="857" t="b">
        <f>IF(TRIM($B146)="","",--ISNUMBER(SEARCH("ring fenced",$B146)))</f>
        <v>0</v>
      </c>
      <c r="AH146" s="853" t="str">
        <f>IF(TRIM($B146)="","",IF(COUNTIFS(Lists!$AN$2:$AN$22,TRIM($B146)&amp;" | "&amp;TRIM($D146),Lists!$AO$2:$AO$22,"&lt;&gt;"),INDEX(Lists!$AO$2:$AO$22,MATCH(TRIM($B146)&amp;" | "&amp;TRIM($D146),Lists!$AN$2:$AN$22,0)),IF(COUNTIF(Lists!$AR$2:$AR$3,$AJ146),"TDD Cyber",IF(AND(LEFT($AJ146,4)="EGI ",ISNUMBER(MATCH(TRIM(MID($AJ146,5,99)),Lists!$AS$2:$AS$12,0))),TRIM(MID($AJ146,5,99)),IF(AND(LEFT($AJ146,4)="EGI ",ISNUMBER(MATCH(TRIM(MID($AJ146,5,99)),Lists!$T$2:$T$21,0))),INDEX(Lists!$U$2:$U$21,MATCH(TRIM(MID($AJ146,5,99)),Lists!$T$2:$T$21,0)),IF(OR(TRIM($J146)="",UPPER(TRIM($J146))="NA"),IFERROR(INDEX(Lists!$R$2:$R$9,MATCH(TRIM($G146),Lists!$Q$2:$Q$9,0)),"UNMAPPED"),IFERROR(INDEX(Lists!$U$2:$U$21,MATCH(TRIM($J146),Lists!$T$2:$T$21,0)),IFERROR(INDEX(Lists!$R$2:$R$9,MATCH(TRIM($G146),Lists!$Q$2:$Q$9,0)),"UNMAPPED"))))))))</f>
        <v>Commercial Fuels</v>
      </c>
      <c r="AI146" s="534" t="b">
        <f>IF(TRIM($B146)="","",--OR(TRIM($L146)="Leadership",TRIM($K146)="Leadership"))</f>
        <v>0</v>
      </c>
      <c r="AJ146" s="534" t="str">
        <f>IF(TRIM($B146)="","",IF(COUNTIFS(Lists!$AN$2:$AN$22,TRIM($B146)&amp;" | "&amp;TRIM($D146),Lists!$AP$2:$AP$22,"&lt;&gt;"),INDEX(Lists!$AP$2:$AP$22,MATCH(TRIM($B146)&amp;" | "&amp;TRIM($D146),Lists!$AN$2:$AN$22,0)),IF($AI146=1,"Leadership",IFERROR(INDEX(Lists!$X$2:$X$21,MATCH(TRIM($L146),Lists!$W$2:$W$21,0)),IF(OR(TRIM($L146)="",LOWER(TRIM($L146))="na"),IF(TRIM($H146)="","Unassigned",TRIM($H146)),TRIM($L146))))))</f>
        <v>CTRM</v>
      </c>
      <c r="AK146" s="534" t="str">
        <f>IF(TRIM($B146)="","",IF(COUNTIFS(Lists!$AN$2:$AN$22,TRIM($B146)&amp;" | "&amp;TRIM($D146),Lists!$AQ$2:$AQ$22,"&lt;&gt;"),INDEX(Lists!$AQ$2:$AQ$22,MATCH(TRIM($B146)&amp;" | "&amp;TRIM($D146),Lists!$AN$2:$AN$22,0)),IF(COUNTIF(Lists!$AF$2:$AF$8,$AJ146),$AJ146,IF(ISNUMBER(SEARCH("head of ",$D146)),"Head of Technology",IF(ISNUMBER(SEARCH("TDD BP",$D146)),"Business Partner",IF(OR(ISNUMBER(SEARCH("domain architect",$D146)),ISNUMBER(SEARCH("enterprise architect",$D146))),"Domain Architect",IF(ISNUMBER(SEARCH("delivery man",$D146)),"Delivery Manager",IF(OR(ISNUMBER(SEARCH("technology manager",$D146)),ISNUMBER(SEARCH("technology manger",$D146)),ISNUMBER(SEARCH("tech manager",$D146))),"Technology Manager","Squad"))))))))</f>
        <v>Squad</v>
      </c>
      <c r="AL146" s="534" t="str">
        <f>IF(TRIM($B146)="","",IF(AND($AM146=1,LEFT($AJ146,4)&lt;&gt;"EGI ",$AJ146&lt;&gt;"EGI"),IFERROR(INDEX(Lists!$Z$2:$Z$20,MATCH($AH146,Lists!$Y$2:$Y$20,0)),"EGI "&amp;$AH146),IF(COUNTIF(Lists!$AU$2:$AU$10,$AJ146),$AJ146,IF(OR(LEFT($AH146,3)="COE",$AH146="EGI"),$AJ146,IF($AK146&lt;&gt;"Squad",$AK146,$AJ146)))))</f>
        <v>CTRM</v>
      </c>
      <c r="AM146" s="534" t="b">
        <f>IF(TRIM($B146)="","",--(UPPER(TRIM($K146))="EGI"))</f>
        <v>0</v>
      </c>
      <c r="AQ146" s="841" t="inlineStr">
        <is>
          <t>R0145</t>
        </is>
      </c>
      <c r="AZ146" s="841" t="n"/>
    </row>
    <row r="147" ht="18" customHeight="1" s="535">
      <c r="A147" s="842" t="n">
        <v>96270</v>
      </c>
      <c r="B147" s="843" t="inlineStr">
        <is>
          <t>Zhan Liu</t>
        </is>
      </c>
      <c r="C147" s="842" t="n">
        <v>96270</v>
      </c>
      <c r="D147" s="843" t="inlineStr">
        <is>
          <t>Engineer Applications</t>
        </is>
      </c>
      <c r="E147" s="843" t="inlineStr">
        <is>
          <t>Allan Francia</t>
        </is>
      </c>
      <c r="F147" s="843" t="inlineStr">
        <is>
          <t>Technology Manager, T&amp;S</t>
        </is>
      </c>
      <c r="G147" s="844" t="inlineStr">
        <is>
          <t>TDD CFE&amp;I</t>
        </is>
      </c>
      <c r="H147" s="843" t="inlineStr">
        <is>
          <t>Commercial Fuels</t>
        </is>
      </c>
      <c r="I147" s="843" t="inlineStr">
        <is>
          <t>Technology, Trading &amp; Shipping</t>
        </is>
      </c>
      <c r="J147" s="843" t="inlineStr">
        <is>
          <t>Commercial Fuels</t>
        </is>
      </c>
      <c r="K147" s="843" t="inlineStr">
        <is>
          <t>CTRM</t>
        </is>
      </c>
      <c r="L147" s="843" t="inlineStr">
        <is>
          <t>CTRM</t>
        </is>
      </c>
      <c r="M147" s="843" t="n"/>
      <c r="N147" s="845" t="inlineStr">
        <is>
          <t>Australia</t>
        </is>
      </c>
      <c r="O147" s="846" t="inlineStr">
        <is>
          <t>CIC</t>
        </is>
      </c>
      <c r="P147" s="847" t="n">
        <v>1</v>
      </c>
      <c r="Q147" s="856" t="n"/>
      <c r="R147" s="847" t="inlineStr">
        <is>
          <t>Permanent - Full Time</t>
        </is>
      </c>
      <c r="S147" s="847" t="n"/>
      <c r="T147" s="847" t="n"/>
      <c r="U147" s="848" t="n">
        <v>165730</v>
      </c>
      <c r="V147" s="849" t="n">
        <v>165730</v>
      </c>
      <c r="W147" s="850" t="n">
        <v>0.12</v>
      </c>
      <c r="X147" s="847" t="n">
        <v>0.055</v>
      </c>
      <c r="Y147" s="850" t="n">
        <v>0.12</v>
      </c>
      <c r="Z147" s="851" t="n"/>
      <c r="AA147" s="850" t="n">
        <v>0.04</v>
      </c>
      <c r="AB147" s="852" t="n">
        <v>221249.55</v>
      </c>
      <c r="AD147" s="857" t="n"/>
      <c r="AE147" s="857">
        <f>IF(TRIM($B147)="","",IF(AND(N($P147)&gt;0,N($P147)&lt;1),N($AB147)*N($P147),N($AB147)))</f>
        <v>221249.55</v>
      </c>
      <c r="AF147" s="857" t="str">
        <f>IF(TRIM($B147)="","",IF(OR(ISNUMBER(SEARCH("vacant",$B147)),ISNUMBER(SEARCH("ring fenced",$B147)),LOWER(TRIM($B147))="remove"),"Vacant","Filled"))</f>
        <v>Filled</v>
      </c>
      <c r="AG147" s="857" t="b">
        <f>IF(TRIM($B147)="","",--ISNUMBER(SEARCH("ring fenced",$B147)))</f>
        <v>0</v>
      </c>
      <c r="AH147" s="853" t="str">
        <f>IF(TRIM($B147)="","",IF(COUNTIFS(Lists!$AN$2:$AN$22,TRIM($B147)&amp;" | "&amp;TRIM($D147),Lists!$AO$2:$AO$22,"&lt;&gt;"),INDEX(Lists!$AO$2:$AO$22,MATCH(TRIM($B147)&amp;" | "&amp;TRIM($D147),Lists!$AN$2:$AN$22,0)),IF(COUNTIF(Lists!$AR$2:$AR$3,$AJ147),"TDD Cyber",IF(AND(LEFT($AJ147,4)="EGI ",ISNUMBER(MATCH(TRIM(MID($AJ147,5,99)),Lists!$AS$2:$AS$12,0))),TRIM(MID($AJ147,5,99)),IF(AND(LEFT($AJ147,4)="EGI ",ISNUMBER(MATCH(TRIM(MID($AJ147,5,99)),Lists!$T$2:$T$21,0))),INDEX(Lists!$U$2:$U$21,MATCH(TRIM(MID($AJ147,5,99)),Lists!$T$2:$T$21,0)),IF(OR(TRIM($J147)="",UPPER(TRIM($J147))="NA"),IFERROR(INDEX(Lists!$R$2:$R$9,MATCH(TRIM($G147),Lists!$Q$2:$Q$9,0)),"UNMAPPED"),IFERROR(INDEX(Lists!$U$2:$U$21,MATCH(TRIM($J147),Lists!$T$2:$T$21,0)),IFERROR(INDEX(Lists!$R$2:$R$9,MATCH(TRIM($G147),Lists!$Q$2:$Q$9,0)),"UNMAPPED"))))))))</f>
        <v>Commercial Fuels</v>
      </c>
      <c r="AI147" s="534" t="b">
        <f>IF(TRIM($B147)="","",--OR(TRIM($L147)="Leadership",TRIM($K147)="Leadership"))</f>
        <v>0</v>
      </c>
      <c r="AJ147" s="534" t="str">
        <f>IF(TRIM($B147)="","",IF(COUNTIFS(Lists!$AN$2:$AN$22,TRIM($B147)&amp;" | "&amp;TRIM($D147),Lists!$AP$2:$AP$22,"&lt;&gt;"),INDEX(Lists!$AP$2:$AP$22,MATCH(TRIM($B147)&amp;" | "&amp;TRIM($D147),Lists!$AN$2:$AN$22,0)),IF($AI147=1,"Leadership",IFERROR(INDEX(Lists!$X$2:$X$21,MATCH(TRIM($L147),Lists!$W$2:$W$21,0)),IF(OR(TRIM($L147)="",LOWER(TRIM($L147))="na"),IF(TRIM($H147)="","Unassigned",TRIM($H147)),TRIM($L147))))))</f>
        <v>CTRM</v>
      </c>
      <c r="AK147" s="534" t="str">
        <f>IF(TRIM($B147)="","",IF(COUNTIFS(Lists!$AN$2:$AN$22,TRIM($B147)&amp;" | "&amp;TRIM($D147),Lists!$AQ$2:$AQ$22,"&lt;&gt;"),INDEX(Lists!$AQ$2:$AQ$22,MATCH(TRIM($B147)&amp;" | "&amp;TRIM($D147),Lists!$AN$2:$AN$22,0)),IF(COUNTIF(Lists!$AF$2:$AF$8,$AJ147),$AJ147,IF(ISNUMBER(SEARCH("head of ",$D147)),"Head of Technology",IF(ISNUMBER(SEARCH("TDD BP",$D147)),"Business Partner",IF(OR(ISNUMBER(SEARCH("domain architect",$D147)),ISNUMBER(SEARCH("enterprise architect",$D147))),"Domain Architect",IF(ISNUMBER(SEARCH("delivery man",$D147)),"Delivery Manager",IF(OR(ISNUMBER(SEARCH("technology manager",$D147)),ISNUMBER(SEARCH("technology manger",$D147)),ISNUMBER(SEARCH("tech manager",$D147))),"Technology Manager","Squad"))))))))</f>
        <v>Squad</v>
      </c>
      <c r="AL147" s="534" t="str">
        <f>IF(TRIM($B147)="","",IF(AND($AM147=1,LEFT($AJ147,4)&lt;&gt;"EGI ",$AJ147&lt;&gt;"EGI"),IFERROR(INDEX(Lists!$Z$2:$Z$20,MATCH($AH147,Lists!$Y$2:$Y$20,0)),"EGI "&amp;$AH147),IF(COUNTIF(Lists!$AU$2:$AU$10,$AJ147),$AJ147,IF(OR(LEFT($AH147,3)="COE",$AH147="EGI"),$AJ147,IF($AK147&lt;&gt;"Squad",$AK147,$AJ147)))))</f>
        <v>CTRM</v>
      </c>
      <c r="AM147" s="534" t="b">
        <f>IF(TRIM($B147)="","",--(UPPER(TRIM($K147))="EGI"))</f>
        <v>0</v>
      </c>
      <c r="AQ147" s="841" t="inlineStr">
        <is>
          <t>R0146</t>
        </is>
      </c>
      <c r="AZ147" s="841" t="n"/>
    </row>
    <row r="148" ht="18" customHeight="1" s="535">
      <c r="A148" s="842" t="n">
        <v>106201</v>
      </c>
      <c r="B148" s="843" t="inlineStr">
        <is>
          <t>George Moun</t>
        </is>
      </c>
      <c r="C148" s="842" t="n">
        <v>106201</v>
      </c>
      <c r="D148" s="843" t="inlineStr">
        <is>
          <t>Solution Architect</t>
        </is>
      </c>
      <c r="E148" s="843" t="inlineStr">
        <is>
          <t>Amish Pandit</t>
        </is>
      </c>
      <c r="F148" s="843" t="inlineStr">
        <is>
          <t>Head of Technology, Infrastructure</t>
        </is>
      </c>
      <c r="G148" s="844" t="inlineStr">
        <is>
          <t>TDD CFE&amp;I</t>
        </is>
      </c>
      <c r="H148" s="843" t="inlineStr">
        <is>
          <t>Fuel Infrastructure</t>
        </is>
      </c>
      <c r="I148" s="843" t="inlineStr">
        <is>
          <t>Fuel Infrastructure</t>
        </is>
      </c>
      <c r="J148" s="843" t="inlineStr">
        <is>
          <t>Infrastructure</t>
        </is>
      </c>
      <c r="K148" s="843" t="inlineStr">
        <is>
          <t xml:space="preserve">Leadership </t>
        </is>
      </c>
      <c r="L148" s="843" t="inlineStr">
        <is>
          <t>Leadership</t>
        </is>
      </c>
      <c r="M148" s="843" t="n"/>
      <c r="N148" s="845" t="inlineStr">
        <is>
          <t>Australia</t>
        </is>
      </c>
      <c r="O148" s="846" t="inlineStr">
        <is>
          <t>CIC</t>
        </is>
      </c>
      <c r="P148" s="847" t="n">
        <v>1</v>
      </c>
      <c r="Q148" s="856" t="n"/>
      <c r="R148" s="847" t="inlineStr">
        <is>
          <t>Permanent - Full Time</t>
        </is>
      </c>
      <c r="S148" s="847" t="n"/>
      <c r="T148" s="847" t="n"/>
      <c r="U148" s="848" t="n">
        <v>192260</v>
      </c>
      <c r="V148" s="849" t="n">
        <v>192260</v>
      </c>
      <c r="W148" s="850" t="n">
        <v>0.12</v>
      </c>
      <c r="X148" s="847" t="n">
        <v>0.055</v>
      </c>
      <c r="Y148" s="850" t="n">
        <v>0.12</v>
      </c>
      <c r="Z148" s="851" t="n"/>
      <c r="AA148" s="850" t="n">
        <v>0.04</v>
      </c>
      <c r="AB148" s="852" t="n">
        <v>256667.1</v>
      </c>
      <c r="AD148" s="857" t="n"/>
      <c r="AE148" s="857">
        <f>IF(TRIM($B148)="","",IF(AND(N($P148)&gt;0,N($P148)&lt;1),N($AB148)*N($P148),N($AB148)))</f>
        <v>256667.1</v>
      </c>
      <c r="AF148" s="857" t="str">
        <f>IF(TRIM($B148)="","",IF(OR(ISNUMBER(SEARCH("vacant",$B148)),ISNUMBER(SEARCH("ring fenced",$B148)),LOWER(TRIM($B148))="remove"),"Vacant","Filled"))</f>
        <v>Filled</v>
      </c>
      <c r="AG148" s="857" t="b">
        <f>IF(TRIM($B148)="","",--ISNUMBER(SEARCH("ring fenced",$B148)))</f>
        <v>0</v>
      </c>
      <c r="AH148" s="853" t="str">
        <f>IF(TRIM($B148)="","",IF(COUNTIFS(Lists!$AN$2:$AN$22,TRIM($B148)&amp;" | "&amp;TRIM($D148),Lists!$AO$2:$AO$22,"&lt;&gt;"),INDEX(Lists!$AO$2:$AO$22,MATCH(TRIM($B148)&amp;" | "&amp;TRIM($D148),Lists!$AN$2:$AN$22,0)),IF(COUNTIF(Lists!$AR$2:$AR$3,$AJ148),"TDD Cyber",IF(AND(LEFT($AJ148,4)="EGI ",ISNUMBER(MATCH(TRIM(MID($AJ148,5,99)),Lists!$AS$2:$AS$12,0))),TRIM(MID($AJ148,5,99)),IF(AND(LEFT($AJ148,4)="EGI ",ISNUMBER(MATCH(TRIM(MID($AJ148,5,99)),Lists!$T$2:$T$21,0))),INDEX(Lists!$U$2:$U$21,MATCH(TRIM(MID($AJ148,5,99)),Lists!$T$2:$T$21,0)),IF(OR(TRIM($J148)="",UPPER(TRIM($J148))="NA"),IFERROR(INDEX(Lists!$R$2:$R$9,MATCH(TRIM($G148),Lists!$Q$2:$Q$9,0)),"UNMAPPED"),IFERROR(INDEX(Lists!$U$2:$U$21,MATCH(TRIM($J148),Lists!$T$2:$T$21,0)),IFERROR(INDEX(Lists!$R$2:$R$9,MATCH(TRIM($G148),Lists!$Q$2:$Q$9,0)),"UNMAPPED"))))))))</f>
        <v>Infrastructure</v>
      </c>
      <c r="AI148" s="534" t="b">
        <f>IF(TRIM($B148)="","",--OR(TRIM($L148)="Leadership",TRIM($K148)="Leadership"))</f>
        <v>1</v>
      </c>
      <c r="AJ148" s="534" t="str">
        <f>IF(TRIM($B148)="","",IF(COUNTIFS(Lists!$AN$2:$AN$22,TRIM($B148)&amp;" | "&amp;TRIM($D148),Lists!$AP$2:$AP$22,"&lt;&gt;"),INDEX(Lists!$AP$2:$AP$22,MATCH(TRIM($B148)&amp;" | "&amp;TRIM($D148),Lists!$AN$2:$AN$22,0)),IF($AI148=1,"Leadership",IFERROR(INDEX(Lists!$X$2:$X$21,MATCH(TRIM($L148),Lists!$W$2:$W$21,0)),IF(OR(TRIM($L148)="",LOWER(TRIM($L148))="na"),IF(TRIM($H148)="","Unassigned",TRIM($H148)),TRIM($L148))))))</f>
        <v>Leadership</v>
      </c>
      <c r="AK148" s="534" t="str">
        <f>IF(TRIM($B148)="","",IF(COUNTIFS(Lists!$AN$2:$AN$22,TRIM($B148)&amp;" | "&amp;TRIM($D148),Lists!$AQ$2:$AQ$22,"&lt;&gt;"),INDEX(Lists!$AQ$2:$AQ$22,MATCH(TRIM($B148)&amp;" | "&amp;TRIM($D148),Lists!$AN$2:$AN$22,0)),IF(COUNTIF(Lists!$AF$2:$AF$8,$AJ148),$AJ148,IF(ISNUMBER(SEARCH("head of ",$D148)),"Head of Technology",IF(ISNUMBER(SEARCH("TDD BP",$D148)),"Business Partner",IF(OR(ISNUMBER(SEARCH("domain architect",$D148)),ISNUMBER(SEARCH("enterprise architect",$D148))),"Domain Architect",IF(ISNUMBER(SEARCH("delivery man",$D148)),"Delivery Manager",IF(OR(ISNUMBER(SEARCH("technology manager",$D148)),ISNUMBER(SEARCH("technology manger",$D148)),ISNUMBER(SEARCH("tech manager",$D148))),"Technology Manager","Squad"))))))))</f>
        <v>Squad</v>
      </c>
      <c r="AL148" s="534" t="str">
        <f>IF(TRIM($B148)="","",IF(AND($AM148=1,LEFT($AJ148,4)&lt;&gt;"EGI ",$AJ148&lt;&gt;"EGI"),IFERROR(INDEX(Lists!$Z$2:$Z$20,MATCH($AH148,Lists!$Y$2:$Y$20,0)),"EGI "&amp;$AH148),IF(COUNTIF(Lists!$AU$2:$AU$10,$AJ148),$AJ148,IF(OR(LEFT($AH148,3)="COE",$AH148="EGI"),$AJ148,IF($AK148&lt;&gt;"Squad",$AK148,$AJ148)))))</f>
        <v>Leadership</v>
      </c>
      <c r="AM148" s="534" t="b">
        <f>IF(TRIM($B148)="","",--(UPPER(TRIM($K148))="EGI"))</f>
        <v>0</v>
      </c>
      <c r="AQ148" s="841" t="inlineStr">
        <is>
          <t>R0147</t>
        </is>
      </c>
      <c r="AZ148" s="841" t="n"/>
    </row>
    <row r="149" ht="18" customHeight="1" s="535">
      <c r="A149" s="842" t="n">
        <v>113615</v>
      </c>
      <c r="B149" s="843" t="inlineStr">
        <is>
          <t>Shomiya Shayal</t>
        </is>
      </c>
      <c r="C149" s="842" t="n">
        <v>113615</v>
      </c>
      <c r="D149" s="843" t="inlineStr">
        <is>
          <t>Risk &amp; Resilience Lead</t>
        </is>
      </c>
      <c r="E149" s="843" t="inlineStr">
        <is>
          <t>Brian Gates</t>
        </is>
      </c>
      <c r="F149" s="843" t="inlineStr">
        <is>
          <t xml:space="preserve">Manager Risk &amp; Resilience </t>
        </is>
      </c>
      <c r="G149" s="844" t="inlineStr">
        <is>
          <t>Cyber, Risk &amp; Operations</t>
        </is>
      </c>
      <c r="H149" s="843" t="inlineStr">
        <is>
          <t>Cyber Risk</t>
        </is>
      </c>
      <c r="I149" s="843" t="inlineStr">
        <is>
          <t>NA</t>
        </is>
      </c>
      <c r="J149" s="843" t="inlineStr">
        <is>
          <t>NA</t>
        </is>
      </c>
      <c r="K149" s="843" t="inlineStr">
        <is>
          <t>NA</t>
        </is>
      </c>
      <c r="L149" s="843" t="inlineStr">
        <is>
          <t>NA</t>
        </is>
      </c>
      <c r="M149" s="843" t="n"/>
      <c r="N149" s="845" t="inlineStr">
        <is>
          <t>NZ</t>
        </is>
      </c>
      <c r="O149" s="846" t="inlineStr">
        <is>
          <t>CIC</t>
        </is>
      </c>
      <c r="P149" s="847" t="n">
        <v>1</v>
      </c>
      <c r="Q149" s="856" t="n"/>
      <c r="R149" s="847" t="inlineStr">
        <is>
          <t>Permanent - Full Time</t>
        </is>
      </c>
      <c r="S149" s="847" t="n"/>
      <c r="T149" s="847" t="n"/>
      <c r="U149" s="848" t="n">
        <v>164020</v>
      </c>
      <c r="V149" s="849" t="n">
        <v>150898.4</v>
      </c>
      <c r="W149" s="850" t="n">
        <v>0.15</v>
      </c>
      <c r="X149" s="847" t="n"/>
      <c r="Y149" s="850" t="n">
        <v>0.05</v>
      </c>
      <c r="Z149" s="851" t="n">
        <v>2910</v>
      </c>
      <c r="AA149" s="850" t="n">
        <v>0.03</v>
      </c>
      <c r="AB149" s="852" t="n">
        <v>188515.032</v>
      </c>
      <c r="AD149" s="857" t="n"/>
      <c r="AE149" s="857">
        <f>IF(TRIM($B149)="","",IF(AND(N($P149)&gt;0,N($P149)&lt;1),N($AB149)*N($P149),N($AB149)))</f>
        <v>188515.032</v>
      </c>
      <c r="AF149" s="857" t="str">
        <f>IF(TRIM($B149)="","",IF(OR(ISNUMBER(SEARCH("vacant",$B149)),ISNUMBER(SEARCH("ring fenced",$B149)),LOWER(TRIM($B149))="remove"),"Vacant","Filled"))</f>
        <v>Filled</v>
      </c>
      <c r="AG149" s="857" t="b">
        <f>IF(TRIM($B149)="","",--ISNUMBER(SEARCH("ring fenced",$B149)))</f>
        <v>0</v>
      </c>
      <c r="AH149" s="853" t="str">
        <f>IF(TRIM($B149)="","",IF(COUNTIFS(Lists!$AN$2:$AN$22,TRIM($B149)&amp;" | "&amp;TRIM($D149),Lists!$AO$2:$AO$22,"&lt;&gt;"),INDEX(Lists!$AO$2:$AO$22,MATCH(TRIM($B149)&amp;" | "&amp;TRIM($D149),Lists!$AN$2:$AN$22,0)),IF(COUNTIF(Lists!$AR$2:$AR$3,$AJ149),"TDD Cyber",IF(AND(LEFT($AJ149,4)="EGI ",ISNUMBER(MATCH(TRIM(MID($AJ149,5,99)),Lists!$AS$2:$AS$12,0))),TRIM(MID($AJ149,5,99)),IF(AND(LEFT($AJ149,4)="EGI ",ISNUMBER(MATCH(TRIM(MID($AJ149,5,99)),Lists!$T$2:$T$21,0))),INDEX(Lists!$U$2:$U$21,MATCH(TRIM(MID($AJ149,5,99)),Lists!$T$2:$T$21,0)),IF(OR(TRIM($J149)="",UPPER(TRIM($J149))="NA"),IFERROR(INDEX(Lists!$R$2:$R$9,MATCH(TRIM($G149),Lists!$Q$2:$Q$9,0)),"UNMAPPED"),IFERROR(INDEX(Lists!$U$2:$U$21,MATCH(TRIM($J149),Lists!$T$2:$T$21,0)),IFERROR(INDEX(Lists!$R$2:$R$9,MATCH(TRIM($G149),Lists!$Q$2:$Q$9,0)),"UNMAPPED"))))))))</f>
        <v>COE Cyber</v>
      </c>
      <c r="AI149" s="534" t="b">
        <f>IF(TRIM($B149)="","",--OR(TRIM($L149)="Leadership",TRIM($K149)="Leadership"))</f>
        <v>0</v>
      </c>
      <c r="AJ149" s="534" t="str">
        <f>IF(TRIM($B149)="","",IF(COUNTIFS(Lists!$AN$2:$AN$22,TRIM($B149)&amp;" | "&amp;TRIM($D149),Lists!$AP$2:$AP$22,"&lt;&gt;"),INDEX(Lists!$AP$2:$AP$22,MATCH(TRIM($B149)&amp;" | "&amp;TRIM($D149),Lists!$AN$2:$AN$22,0)),IF($AI149=1,"Leadership",IFERROR(INDEX(Lists!$X$2:$X$21,MATCH(TRIM($L149),Lists!$W$2:$W$21,0)),IF(OR(TRIM($L149)="",LOWER(TRIM($L149))="na"),IF(TRIM($H149)="","Unassigned",TRIM($H149)),TRIM($L149))))))</f>
        <v>Cyber Risk</v>
      </c>
      <c r="AK149" s="534" t="str">
        <f>IF(TRIM($B149)="","",IF(COUNTIFS(Lists!$AN$2:$AN$22,TRIM($B149)&amp;" | "&amp;TRIM($D149),Lists!$AQ$2:$AQ$22,"&lt;&gt;"),INDEX(Lists!$AQ$2:$AQ$22,MATCH(TRIM($B149)&amp;" | "&amp;TRIM($D149),Lists!$AN$2:$AN$22,0)),IF(COUNTIF(Lists!$AF$2:$AF$8,$AJ149),$AJ149,IF(ISNUMBER(SEARCH("head of ",$D149)),"Head of Technology",IF(ISNUMBER(SEARCH("TDD BP",$D149)),"Business Partner",IF(OR(ISNUMBER(SEARCH("domain architect",$D149)),ISNUMBER(SEARCH("enterprise architect",$D149))),"Domain Architect",IF(ISNUMBER(SEARCH("delivery man",$D149)),"Delivery Manager",IF(OR(ISNUMBER(SEARCH("technology manager",$D149)),ISNUMBER(SEARCH("technology manger",$D149)),ISNUMBER(SEARCH("tech manager",$D149))),"Technology Manager","Squad"))))))))</f>
        <v>Squad</v>
      </c>
      <c r="AL149" s="534" t="str">
        <f>IF(TRIM($B149)="","",IF(AND($AM149=1,LEFT($AJ149,4)&lt;&gt;"EGI ",$AJ149&lt;&gt;"EGI"),IFERROR(INDEX(Lists!$Z$2:$Z$20,MATCH($AH149,Lists!$Y$2:$Y$20,0)),"EGI "&amp;$AH149),IF(COUNTIF(Lists!$AU$2:$AU$10,$AJ149),$AJ149,IF(OR(LEFT($AH149,3)="COE",$AH149="EGI"),$AJ149,IF($AK149&lt;&gt;"Squad",$AK149,$AJ149)))))</f>
        <v>Cyber Risk</v>
      </c>
      <c r="AM149" s="534" t="b">
        <f>IF(TRIM($B149)="","",--(UPPER(TRIM($K149))="EGI"))</f>
        <v>0</v>
      </c>
      <c r="AQ149" s="841" t="inlineStr">
        <is>
          <t>R0148</t>
        </is>
      </c>
      <c r="AZ149" s="841" t="n"/>
    </row>
    <row r="150" ht="18" customHeight="1" s="535">
      <c r="A150" s="842" t="n">
        <v>113531</v>
      </c>
      <c r="B150" s="843" t="inlineStr">
        <is>
          <t>Chris Wilson</t>
        </is>
      </c>
      <c r="C150" s="842" t="n">
        <v>113531</v>
      </c>
      <c r="D150" s="843" t="inlineStr">
        <is>
          <t>Solution Architect</t>
        </is>
      </c>
      <c r="E150" s="843" t="inlineStr">
        <is>
          <t>Callan McLaughlin</t>
        </is>
      </c>
      <c r="F150" s="843" t="inlineStr">
        <is>
          <t>Technology Manager,  Site Systems</t>
        </is>
      </c>
      <c r="G150" s="844" t="inlineStr">
        <is>
          <t>Ampol Retail &amp; Z</t>
        </is>
      </c>
      <c r="H150" s="843" t="inlineStr">
        <is>
          <t>Z &amp; Group Retail</t>
        </is>
      </c>
      <c r="I150" s="843" t="inlineStr">
        <is>
          <t>Z &amp; Group Retail, Site Systems</t>
        </is>
      </c>
      <c r="J150" s="843" t="inlineStr">
        <is>
          <t>Z</t>
        </is>
      </c>
      <c r="K150" s="843" t="inlineStr">
        <is>
          <t>Z Customer</t>
        </is>
      </c>
      <c r="L150" s="843" t="inlineStr">
        <is>
          <t>Site Systems</t>
        </is>
      </c>
      <c r="M150" s="843" t="n"/>
      <c r="N150" s="845" t="inlineStr">
        <is>
          <t>NZ</t>
        </is>
      </c>
      <c r="O150" s="846" t="inlineStr">
        <is>
          <t>CIC</t>
        </is>
      </c>
      <c r="P150" s="847" t="n">
        <v>1</v>
      </c>
      <c r="Q150" s="856" t="n"/>
      <c r="R150" s="847" t="inlineStr">
        <is>
          <t>Permanent - Full Time</t>
        </is>
      </c>
      <c r="S150" s="847" t="n"/>
      <c r="T150" s="847" t="n"/>
      <c r="U150" s="848" t="n">
        <v>161990</v>
      </c>
      <c r="V150" s="849" t="n">
        <v>149030.8</v>
      </c>
      <c r="W150" s="850" t="n">
        <v>0.15</v>
      </c>
      <c r="X150" s="847" t="n"/>
      <c r="Y150" s="850" t="n">
        <v>0.05</v>
      </c>
      <c r="Z150" s="851" t="n">
        <v>2910</v>
      </c>
      <c r="AA150" s="850" t="n">
        <v>0.03</v>
      </c>
      <c r="AB150" s="852" t="n">
        <v>186217.884</v>
      </c>
      <c r="AD150" s="857" t="n"/>
      <c r="AE150" s="857">
        <f>IF(TRIM($B150)="","",IF(AND(N($P150)&gt;0,N($P150)&lt;1),N($AB150)*N($P150),N($AB150)))</f>
        <v>186217.884</v>
      </c>
      <c r="AF150" s="857" t="str">
        <f>IF(TRIM($B150)="","",IF(OR(ISNUMBER(SEARCH("vacant",$B150)),ISNUMBER(SEARCH("ring fenced",$B150)),LOWER(TRIM($B150))="remove"),"Vacant","Filled"))</f>
        <v>Filled</v>
      </c>
      <c r="AG150" s="857" t="b">
        <f>IF(TRIM($B150)="","",--ISNUMBER(SEARCH("ring fenced",$B150)))</f>
        <v>0</v>
      </c>
      <c r="AH150" s="853" t="str">
        <f>IF(TRIM($B150)="","",IF(COUNTIFS(Lists!$AN$2:$AN$22,TRIM($B150)&amp;" | "&amp;TRIM($D150),Lists!$AO$2:$AO$22,"&lt;&gt;"),INDEX(Lists!$AO$2:$AO$22,MATCH(TRIM($B150)&amp;" | "&amp;TRIM($D150),Lists!$AN$2:$AN$22,0)),IF(COUNTIF(Lists!$AR$2:$AR$3,$AJ150),"TDD Cyber",IF(AND(LEFT($AJ150,4)="EGI ",ISNUMBER(MATCH(TRIM(MID($AJ150,5,99)),Lists!$AS$2:$AS$12,0))),TRIM(MID($AJ150,5,99)),IF(AND(LEFT($AJ150,4)="EGI ",ISNUMBER(MATCH(TRIM(MID($AJ150,5,99)),Lists!$T$2:$T$21,0))),INDEX(Lists!$U$2:$U$21,MATCH(TRIM(MID($AJ150,5,99)),Lists!$T$2:$T$21,0)),IF(OR(TRIM($J150)="",UPPER(TRIM($J150))="NA"),IFERROR(INDEX(Lists!$R$2:$R$9,MATCH(TRIM($G150),Lists!$Q$2:$Q$9,0)),"UNMAPPED"),IFERROR(INDEX(Lists!$U$2:$U$21,MATCH(TRIM($J150),Lists!$T$2:$T$21,0)),IFERROR(INDEX(Lists!$R$2:$R$9,MATCH(TRIM($G150),Lists!$Q$2:$Q$9,0)),"UNMAPPED"))))))))</f>
        <v>Z Retail</v>
      </c>
      <c r="AI150" s="534" t="b">
        <f>IF(TRIM($B150)="","",--OR(TRIM($L150)="Leadership",TRIM($K150)="Leadership"))</f>
        <v>0</v>
      </c>
      <c r="AJ150" s="534" t="str">
        <f>IF(TRIM($B150)="","",IF(COUNTIFS(Lists!$AN$2:$AN$22,TRIM($B150)&amp;" | "&amp;TRIM($D150),Lists!$AP$2:$AP$22,"&lt;&gt;"),INDEX(Lists!$AP$2:$AP$22,MATCH(TRIM($B150)&amp;" | "&amp;TRIM($D150),Lists!$AN$2:$AN$22,0)),IF($AI150=1,"Leadership",IFERROR(INDEX(Lists!$X$2:$X$21,MATCH(TRIM($L150),Lists!$W$2:$W$21,0)),IF(OR(TRIM($L150)="",LOWER(TRIM($L150))="na"),IF(TRIM($H150)="","Unassigned",TRIM($H150)),TRIM($L150))))))</f>
        <v>Site Systems</v>
      </c>
      <c r="AK150" s="534" t="str">
        <f>IF(TRIM($B150)="","",IF(COUNTIFS(Lists!$AN$2:$AN$22,TRIM($B150)&amp;" | "&amp;TRIM($D150),Lists!$AQ$2:$AQ$22,"&lt;&gt;"),INDEX(Lists!$AQ$2:$AQ$22,MATCH(TRIM($B150)&amp;" | "&amp;TRIM($D150),Lists!$AN$2:$AN$22,0)),IF(COUNTIF(Lists!$AF$2:$AF$8,$AJ150),$AJ150,IF(ISNUMBER(SEARCH("head of ",$D150)),"Head of Technology",IF(ISNUMBER(SEARCH("TDD BP",$D150)),"Business Partner",IF(OR(ISNUMBER(SEARCH("domain architect",$D150)),ISNUMBER(SEARCH("enterprise architect",$D150))),"Domain Architect",IF(ISNUMBER(SEARCH("delivery man",$D150)),"Delivery Manager",IF(OR(ISNUMBER(SEARCH("technology manager",$D150)),ISNUMBER(SEARCH("technology manger",$D150)),ISNUMBER(SEARCH("tech manager",$D150))),"Technology Manager","Squad"))))))))</f>
        <v>Squad</v>
      </c>
      <c r="AL150" s="534" t="str">
        <f>IF(TRIM($B150)="","",IF(AND($AM150=1,LEFT($AJ150,4)&lt;&gt;"EGI ",$AJ150&lt;&gt;"EGI"),IFERROR(INDEX(Lists!$Z$2:$Z$20,MATCH($AH150,Lists!$Y$2:$Y$20,0)),"EGI "&amp;$AH150),IF(COUNTIF(Lists!$AU$2:$AU$10,$AJ150),$AJ150,IF(OR(LEFT($AH150,3)="COE",$AH150="EGI"),$AJ150,IF($AK150&lt;&gt;"Squad",$AK150,$AJ150)))))</f>
        <v>Site Systems</v>
      </c>
      <c r="AM150" s="534" t="b">
        <f>IF(TRIM($B150)="","",--(UPPER(TRIM($K150))="EGI"))</f>
        <v>0</v>
      </c>
      <c r="AQ150" s="841" t="inlineStr">
        <is>
          <t>R0149</t>
        </is>
      </c>
      <c r="AZ150" s="841" t="n"/>
    </row>
    <row r="151" ht="18" customHeight="1" s="535">
      <c r="A151" s="842" t="n">
        <v>116260</v>
      </c>
      <c r="B151" s="843" t="inlineStr">
        <is>
          <t>Christian Guo</t>
        </is>
      </c>
      <c r="C151" s="842" t="n">
        <v>116260</v>
      </c>
      <c r="D151" s="843" t="inlineStr">
        <is>
          <t>Solution Architect</t>
        </is>
      </c>
      <c r="E151" s="843" t="inlineStr">
        <is>
          <t>Callan McLaughlin</t>
        </is>
      </c>
      <c r="F151" s="843" t="inlineStr">
        <is>
          <t>Technology Manager,  Site Systems</t>
        </is>
      </c>
      <c r="G151" s="844" t="inlineStr">
        <is>
          <t>Ampol Retail &amp; Z</t>
        </is>
      </c>
      <c r="H151" s="843" t="inlineStr">
        <is>
          <t>Z &amp; Group Retail</t>
        </is>
      </c>
      <c r="I151" s="843" t="inlineStr">
        <is>
          <t>Z &amp; Group Retail, Site Systems</t>
        </is>
      </c>
      <c r="J151" s="843" t="inlineStr">
        <is>
          <t>Z</t>
        </is>
      </c>
      <c r="K151" s="843" t="inlineStr">
        <is>
          <t>Z Customer</t>
        </is>
      </c>
      <c r="L151" s="843" t="inlineStr">
        <is>
          <t xml:space="preserve">Z Retail Backend </t>
        </is>
      </c>
      <c r="M151" s="843" t="n"/>
      <c r="N151" s="845" t="inlineStr">
        <is>
          <t>NZ</t>
        </is>
      </c>
      <c r="O151" s="846" t="inlineStr">
        <is>
          <t>CIC</t>
        </is>
      </c>
      <c r="P151" s="847" t="n">
        <v>1</v>
      </c>
      <c r="Q151" s="856" t="n"/>
      <c r="R151" s="847" t="inlineStr">
        <is>
          <t>Permanent - Full Time</t>
        </is>
      </c>
      <c r="S151" s="847" t="n"/>
      <c r="T151" s="847" t="n"/>
      <c r="U151" s="848" t="n">
        <v>180000</v>
      </c>
      <c r="V151" s="849" t="n">
        <v>165600</v>
      </c>
      <c r="W151" s="850" t="n">
        <v>0.15</v>
      </c>
      <c r="X151" s="847" t="n"/>
      <c r="Y151" s="850" t="n">
        <v>0.05</v>
      </c>
      <c r="Z151" s="851" t="n">
        <v>2910</v>
      </c>
      <c r="AA151" s="850" t="n">
        <v>0.03</v>
      </c>
      <c r="AB151" s="852" t="n">
        <v>206598</v>
      </c>
      <c r="AD151" s="857" t="n"/>
      <c r="AE151" s="857">
        <f>IF(TRIM($B151)="","",IF(AND(N($P151)&gt;0,N($P151)&lt;1),N($AB151)*N($P151),N($AB151)))</f>
        <v>206598</v>
      </c>
      <c r="AF151" s="857" t="str">
        <f>IF(TRIM($B151)="","",IF(OR(ISNUMBER(SEARCH("vacant",$B151)),ISNUMBER(SEARCH("ring fenced",$B151)),LOWER(TRIM($B151))="remove"),"Vacant","Filled"))</f>
        <v>Filled</v>
      </c>
      <c r="AG151" s="857" t="b">
        <f>IF(TRIM($B151)="","",--ISNUMBER(SEARCH("ring fenced",$B151)))</f>
        <v>0</v>
      </c>
      <c r="AH151" s="853" t="str">
        <f>IF(TRIM($B151)="","",IF(COUNTIFS(Lists!$AN$2:$AN$22,TRIM($B151)&amp;" | "&amp;TRIM($D151),Lists!$AO$2:$AO$22,"&lt;&gt;"),INDEX(Lists!$AO$2:$AO$22,MATCH(TRIM($B151)&amp;" | "&amp;TRIM($D151),Lists!$AN$2:$AN$22,0)),IF(COUNTIF(Lists!$AR$2:$AR$3,$AJ151),"TDD Cyber",IF(AND(LEFT($AJ151,4)="EGI ",ISNUMBER(MATCH(TRIM(MID($AJ151,5,99)),Lists!$AS$2:$AS$12,0))),TRIM(MID($AJ151,5,99)),IF(AND(LEFT($AJ151,4)="EGI ",ISNUMBER(MATCH(TRIM(MID($AJ151,5,99)),Lists!$T$2:$T$21,0))),INDEX(Lists!$U$2:$U$21,MATCH(TRIM(MID($AJ151,5,99)),Lists!$T$2:$T$21,0)),IF(OR(TRIM($J151)="",UPPER(TRIM($J151))="NA"),IFERROR(INDEX(Lists!$R$2:$R$9,MATCH(TRIM($G151),Lists!$Q$2:$Q$9,0)),"UNMAPPED"),IFERROR(INDEX(Lists!$U$2:$U$21,MATCH(TRIM($J151),Lists!$T$2:$T$21,0)),IFERROR(INDEX(Lists!$R$2:$R$9,MATCH(TRIM($G151),Lists!$Q$2:$Q$9,0)),"UNMAPPED"))))))))</f>
        <v>Z Retail</v>
      </c>
      <c r="AI151" s="534" t="b">
        <f>IF(TRIM($B151)="","",--OR(TRIM($L151)="Leadership",TRIM($K151)="Leadership"))</f>
        <v>0</v>
      </c>
      <c r="AJ151" s="534" t="str">
        <f>IF(TRIM($B151)="","",IF(COUNTIFS(Lists!$AN$2:$AN$22,TRIM($B151)&amp;" | "&amp;TRIM($D151),Lists!$AP$2:$AP$22,"&lt;&gt;"),INDEX(Lists!$AP$2:$AP$22,MATCH(TRIM($B151)&amp;" | "&amp;TRIM($D151),Lists!$AN$2:$AN$22,0)),IF($AI151=1,"Leadership",IFERROR(INDEX(Lists!$X$2:$X$21,MATCH(TRIM($L151),Lists!$W$2:$W$21,0)),IF(OR(TRIM($L151)="",LOWER(TRIM($L151))="na"),IF(TRIM($H151)="","Unassigned",TRIM($H151)),TRIM($L151))))))</f>
        <v>Z Retail Backend</v>
      </c>
      <c r="AK151" s="534" t="str">
        <f>IF(TRIM($B151)="","",IF(COUNTIFS(Lists!$AN$2:$AN$22,TRIM($B151)&amp;" | "&amp;TRIM($D151),Lists!$AQ$2:$AQ$22,"&lt;&gt;"),INDEX(Lists!$AQ$2:$AQ$22,MATCH(TRIM($B151)&amp;" | "&amp;TRIM($D151),Lists!$AN$2:$AN$22,0)),IF(COUNTIF(Lists!$AF$2:$AF$8,$AJ151),$AJ151,IF(ISNUMBER(SEARCH("head of ",$D151)),"Head of Technology",IF(ISNUMBER(SEARCH("TDD BP",$D151)),"Business Partner",IF(OR(ISNUMBER(SEARCH("domain architect",$D151)),ISNUMBER(SEARCH("enterprise architect",$D151))),"Domain Architect",IF(ISNUMBER(SEARCH("delivery man",$D151)),"Delivery Manager",IF(OR(ISNUMBER(SEARCH("technology manager",$D151)),ISNUMBER(SEARCH("technology manger",$D151)),ISNUMBER(SEARCH("tech manager",$D151))),"Technology Manager","Squad"))))))))</f>
        <v>Squad</v>
      </c>
      <c r="AL151" s="534" t="str">
        <f>IF(TRIM($B151)="","",IF(AND($AM151=1,LEFT($AJ151,4)&lt;&gt;"EGI ",$AJ151&lt;&gt;"EGI"),IFERROR(INDEX(Lists!$Z$2:$Z$20,MATCH($AH151,Lists!$Y$2:$Y$20,0)),"EGI "&amp;$AH151),IF(COUNTIF(Lists!$AU$2:$AU$10,$AJ151),$AJ151,IF(OR(LEFT($AH151,3)="COE",$AH151="EGI"),$AJ151,IF($AK151&lt;&gt;"Squad",$AK151,$AJ151)))))</f>
        <v>Z Retail Backend</v>
      </c>
      <c r="AM151" s="534" t="b">
        <f>IF(TRIM($B151)="","",--(UPPER(TRIM($K151))="EGI"))</f>
        <v>0</v>
      </c>
      <c r="AQ151" s="841" t="inlineStr">
        <is>
          <t>R0150</t>
        </is>
      </c>
      <c r="AZ151" s="841" t="n"/>
    </row>
    <row r="152" ht="18" customHeight="1" s="535">
      <c r="A152" s="842" t="n">
        <v>113566</v>
      </c>
      <c r="B152" s="843" t="inlineStr">
        <is>
          <t>Kelly Russell</t>
        </is>
      </c>
      <c r="C152" s="842" t="n">
        <v>113566</v>
      </c>
      <c r="D152" s="843" t="inlineStr">
        <is>
          <t>Lead Quality Assurance</t>
        </is>
      </c>
      <c r="E152" s="843" t="inlineStr">
        <is>
          <t>Callan McLaughlin</t>
        </is>
      </c>
      <c r="F152" s="843" t="inlineStr">
        <is>
          <t>Technology Manager,  Site Systems</t>
        </is>
      </c>
      <c r="G152" s="844" t="inlineStr">
        <is>
          <t>Ampol Retail &amp; Z</t>
        </is>
      </c>
      <c r="H152" s="843" t="inlineStr">
        <is>
          <t>Z &amp; Group Retail</t>
        </is>
      </c>
      <c r="I152" s="843" t="inlineStr">
        <is>
          <t>Z &amp; Group Retail, Site Systems</t>
        </is>
      </c>
      <c r="J152" s="843" t="inlineStr">
        <is>
          <t>Z</t>
        </is>
      </c>
      <c r="K152" s="843" t="inlineStr">
        <is>
          <t>Z Customer</t>
        </is>
      </c>
      <c r="L152" s="843" t="inlineStr">
        <is>
          <t>Site Systems</t>
        </is>
      </c>
      <c r="M152" s="843" t="n"/>
      <c r="N152" s="845" t="inlineStr">
        <is>
          <t>NZ</t>
        </is>
      </c>
      <c r="O152" s="846" t="inlineStr">
        <is>
          <t>CIC</t>
        </is>
      </c>
      <c r="P152" s="847" t="n">
        <v>1</v>
      </c>
      <c r="Q152" s="856" t="n"/>
      <c r="R152" s="847" t="inlineStr">
        <is>
          <t>Permanent - Full Time</t>
        </is>
      </c>
      <c r="S152" s="847" t="n"/>
      <c r="T152" s="847" t="n"/>
      <c r="U152" s="848" t="n">
        <v>72000</v>
      </c>
      <c r="V152" s="849" t="n">
        <v>66240</v>
      </c>
      <c r="W152" s="850" t="n">
        <v>0.1</v>
      </c>
      <c r="X152" s="847" t="n"/>
      <c r="Y152" s="850" t="n">
        <v>0.05</v>
      </c>
      <c r="Z152" s="851" t="n">
        <v>2910</v>
      </c>
      <c r="AA152" s="850" t="n">
        <v>0.03</v>
      </c>
      <c r="AB152" s="852" t="n">
        <v>81073.2</v>
      </c>
      <c r="AD152" s="857" t="n"/>
      <c r="AE152" s="857">
        <f>IF(TRIM($B152)="","",IF(AND(N($P152)&gt;0,N($P152)&lt;1),N($AB152)*N($P152),N($AB152)))</f>
        <v>81073.2</v>
      </c>
      <c r="AF152" s="857" t="str">
        <f>IF(TRIM($B152)="","",IF(OR(ISNUMBER(SEARCH("vacant",$B152)),ISNUMBER(SEARCH("ring fenced",$B152)),LOWER(TRIM($B152))="remove"),"Vacant","Filled"))</f>
        <v>Filled</v>
      </c>
      <c r="AG152" s="857" t="b">
        <f>IF(TRIM($B152)="","",--ISNUMBER(SEARCH("ring fenced",$B152)))</f>
        <v>0</v>
      </c>
      <c r="AH152" s="853" t="str">
        <f>IF(TRIM($B152)="","",IF(COUNTIFS(Lists!$AN$2:$AN$22,TRIM($B152)&amp;" | "&amp;TRIM($D152),Lists!$AO$2:$AO$22,"&lt;&gt;"),INDEX(Lists!$AO$2:$AO$22,MATCH(TRIM($B152)&amp;" | "&amp;TRIM($D152),Lists!$AN$2:$AN$22,0)),IF(COUNTIF(Lists!$AR$2:$AR$3,$AJ152),"TDD Cyber",IF(AND(LEFT($AJ152,4)="EGI ",ISNUMBER(MATCH(TRIM(MID($AJ152,5,99)),Lists!$AS$2:$AS$12,0))),TRIM(MID($AJ152,5,99)),IF(AND(LEFT($AJ152,4)="EGI ",ISNUMBER(MATCH(TRIM(MID($AJ152,5,99)),Lists!$T$2:$T$21,0))),INDEX(Lists!$U$2:$U$21,MATCH(TRIM(MID($AJ152,5,99)),Lists!$T$2:$T$21,0)),IF(OR(TRIM($J152)="",UPPER(TRIM($J152))="NA"),IFERROR(INDEX(Lists!$R$2:$R$9,MATCH(TRIM($G152),Lists!$Q$2:$Q$9,0)),"UNMAPPED"),IFERROR(INDEX(Lists!$U$2:$U$21,MATCH(TRIM($J152),Lists!$T$2:$T$21,0)),IFERROR(INDEX(Lists!$R$2:$R$9,MATCH(TRIM($G152),Lists!$Q$2:$Q$9,0)),"UNMAPPED"))))))))</f>
        <v>Z Retail</v>
      </c>
      <c r="AI152" s="534" t="b">
        <f>IF(TRIM($B152)="","",--OR(TRIM($L152)="Leadership",TRIM($K152)="Leadership"))</f>
        <v>0</v>
      </c>
      <c r="AJ152" s="534" t="str">
        <f>IF(TRIM($B152)="","",IF(COUNTIFS(Lists!$AN$2:$AN$22,TRIM($B152)&amp;" | "&amp;TRIM($D152),Lists!$AP$2:$AP$22,"&lt;&gt;"),INDEX(Lists!$AP$2:$AP$22,MATCH(TRIM($B152)&amp;" | "&amp;TRIM($D152),Lists!$AN$2:$AN$22,0)),IF($AI152=1,"Leadership",IFERROR(INDEX(Lists!$X$2:$X$21,MATCH(TRIM($L152),Lists!$W$2:$W$21,0)),IF(OR(TRIM($L152)="",LOWER(TRIM($L152))="na"),IF(TRIM($H152)="","Unassigned",TRIM($H152)),TRIM($L152))))))</f>
        <v>Site Systems</v>
      </c>
      <c r="AK152" s="534" t="str">
        <f>IF(TRIM($B152)="","",IF(COUNTIFS(Lists!$AN$2:$AN$22,TRIM($B152)&amp;" | "&amp;TRIM($D152),Lists!$AQ$2:$AQ$22,"&lt;&gt;"),INDEX(Lists!$AQ$2:$AQ$22,MATCH(TRIM($B152)&amp;" | "&amp;TRIM($D152),Lists!$AN$2:$AN$22,0)),IF(COUNTIF(Lists!$AF$2:$AF$8,$AJ152),$AJ152,IF(ISNUMBER(SEARCH("head of ",$D152)),"Head of Technology",IF(ISNUMBER(SEARCH("TDD BP",$D152)),"Business Partner",IF(OR(ISNUMBER(SEARCH("domain architect",$D152)),ISNUMBER(SEARCH("enterprise architect",$D152))),"Domain Architect",IF(ISNUMBER(SEARCH("delivery man",$D152)),"Delivery Manager",IF(OR(ISNUMBER(SEARCH("technology manager",$D152)),ISNUMBER(SEARCH("technology manger",$D152)),ISNUMBER(SEARCH("tech manager",$D152))),"Technology Manager","Squad"))))))))</f>
        <v>Squad</v>
      </c>
      <c r="AL152" s="534" t="str">
        <f>IF(TRIM($B152)="","",IF(AND($AM152=1,LEFT($AJ152,4)&lt;&gt;"EGI ",$AJ152&lt;&gt;"EGI"),IFERROR(INDEX(Lists!$Z$2:$Z$20,MATCH($AH152,Lists!$Y$2:$Y$20,0)),"EGI "&amp;$AH152),IF(COUNTIF(Lists!$AU$2:$AU$10,$AJ152),$AJ152,IF(OR(LEFT($AH152,3)="COE",$AH152="EGI"),$AJ152,IF($AK152&lt;&gt;"Squad",$AK152,$AJ152)))))</f>
        <v>Site Systems</v>
      </c>
      <c r="AM152" s="534" t="b">
        <f>IF(TRIM($B152)="","",--(UPPER(TRIM($K152))="EGI"))</f>
        <v>0</v>
      </c>
      <c r="AQ152" s="841" t="inlineStr">
        <is>
          <t>R0151</t>
        </is>
      </c>
      <c r="AZ152" s="841" t="n"/>
    </row>
    <row r="153" ht="18" customHeight="1" s="535">
      <c r="A153" s="842" t="n">
        <v>113622</v>
      </c>
      <c r="B153" s="843" t="inlineStr">
        <is>
          <t>Vanessa King</t>
        </is>
      </c>
      <c r="C153" s="842" t="n">
        <v>113622</v>
      </c>
      <c r="D153" s="843" t="inlineStr">
        <is>
          <t>Lead Quality Assurance</t>
        </is>
      </c>
      <c r="E153" s="843" t="inlineStr">
        <is>
          <t>Callan McLaughlin</t>
        </is>
      </c>
      <c r="F153" s="843" t="inlineStr">
        <is>
          <t>Technology Manager,  Site Systems</t>
        </is>
      </c>
      <c r="G153" s="844" t="inlineStr">
        <is>
          <t>Ampol Retail &amp; Z</t>
        </is>
      </c>
      <c r="H153" s="843" t="inlineStr">
        <is>
          <t>Z &amp; Group Retail</t>
        </is>
      </c>
      <c r="I153" s="843" t="inlineStr">
        <is>
          <t>Z &amp; Group Retail, Site Systems</t>
        </is>
      </c>
      <c r="J153" s="843" t="inlineStr">
        <is>
          <t>Z</t>
        </is>
      </c>
      <c r="K153" s="843" t="inlineStr">
        <is>
          <t>Z Customer</t>
        </is>
      </c>
      <c r="L153" s="843" t="inlineStr">
        <is>
          <t>Site Systems</t>
        </is>
      </c>
      <c r="M153" s="843" t="n"/>
      <c r="N153" s="845" t="inlineStr">
        <is>
          <t>NZ</t>
        </is>
      </c>
      <c r="O153" s="846" t="inlineStr">
        <is>
          <t>CIC</t>
        </is>
      </c>
      <c r="P153" s="847" t="n">
        <v>1</v>
      </c>
      <c r="Q153" s="856" t="n"/>
      <c r="R153" s="847" t="inlineStr">
        <is>
          <t>Permanent - Full Time</t>
        </is>
      </c>
      <c r="S153" s="847" t="n"/>
      <c r="T153" s="847" t="n"/>
      <c r="U153" s="848" t="n">
        <v>174080</v>
      </c>
      <c r="V153" s="849" t="n">
        <v>160153.6</v>
      </c>
      <c r="W153" s="850" t="n">
        <v>0.15</v>
      </c>
      <c r="X153" s="847" t="n"/>
      <c r="Y153" s="850" t="n">
        <v>0.05</v>
      </c>
      <c r="Z153" s="851" t="n">
        <v>2910</v>
      </c>
      <c r="AA153" s="850" t="n">
        <v>0.03</v>
      </c>
      <c r="AB153" s="852" t="n">
        <v>199898.928</v>
      </c>
      <c r="AD153" s="857" t="n"/>
      <c r="AE153" s="857">
        <f>IF(TRIM($B153)="","",IF(AND(N($P153)&gt;0,N($P153)&lt;1),N($AB153)*N($P153),N($AB153)))</f>
        <v>199898.928</v>
      </c>
      <c r="AF153" s="857" t="str">
        <f>IF(TRIM($B153)="","",IF(OR(ISNUMBER(SEARCH("vacant",$B153)),ISNUMBER(SEARCH("ring fenced",$B153)),LOWER(TRIM($B153))="remove"),"Vacant","Filled"))</f>
        <v>Filled</v>
      </c>
      <c r="AG153" s="857" t="b">
        <f>IF(TRIM($B153)="","",--ISNUMBER(SEARCH("ring fenced",$B153)))</f>
        <v>0</v>
      </c>
      <c r="AH153" s="853" t="str">
        <f>IF(TRIM($B153)="","",IF(COUNTIFS(Lists!$AN$2:$AN$22,TRIM($B153)&amp;" | "&amp;TRIM($D153),Lists!$AO$2:$AO$22,"&lt;&gt;"),INDEX(Lists!$AO$2:$AO$22,MATCH(TRIM($B153)&amp;" | "&amp;TRIM($D153),Lists!$AN$2:$AN$22,0)),IF(COUNTIF(Lists!$AR$2:$AR$3,$AJ153),"TDD Cyber",IF(AND(LEFT($AJ153,4)="EGI ",ISNUMBER(MATCH(TRIM(MID($AJ153,5,99)),Lists!$AS$2:$AS$12,0))),TRIM(MID($AJ153,5,99)),IF(AND(LEFT($AJ153,4)="EGI ",ISNUMBER(MATCH(TRIM(MID($AJ153,5,99)),Lists!$T$2:$T$21,0))),INDEX(Lists!$U$2:$U$21,MATCH(TRIM(MID($AJ153,5,99)),Lists!$T$2:$T$21,0)),IF(OR(TRIM($J153)="",UPPER(TRIM($J153))="NA"),IFERROR(INDEX(Lists!$R$2:$R$9,MATCH(TRIM($G153),Lists!$Q$2:$Q$9,0)),"UNMAPPED"),IFERROR(INDEX(Lists!$U$2:$U$21,MATCH(TRIM($J153),Lists!$T$2:$T$21,0)),IFERROR(INDEX(Lists!$R$2:$R$9,MATCH(TRIM($G153),Lists!$Q$2:$Q$9,0)),"UNMAPPED"))))))))</f>
        <v>Z Retail</v>
      </c>
      <c r="AI153" s="534" t="b">
        <f>IF(TRIM($B153)="","",--OR(TRIM($L153)="Leadership",TRIM($K153)="Leadership"))</f>
        <v>0</v>
      </c>
      <c r="AJ153" s="534" t="str">
        <f>IF(TRIM($B153)="","",IF(COUNTIFS(Lists!$AN$2:$AN$22,TRIM($B153)&amp;" | "&amp;TRIM($D153),Lists!$AP$2:$AP$22,"&lt;&gt;"),INDEX(Lists!$AP$2:$AP$22,MATCH(TRIM($B153)&amp;" | "&amp;TRIM($D153),Lists!$AN$2:$AN$22,0)),IF($AI153=1,"Leadership",IFERROR(INDEX(Lists!$X$2:$X$21,MATCH(TRIM($L153),Lists!$W$2:$W$21,0)),IF(OR(TRIM($L153)="",LOWER(TRIM($L153))="na"),IF(TRIM($H153)="","Unassigned",TRIM($H153)),TRIM($L153))))))</f>
        <v>Site Systems</v>
      </c>
      <c r="AK153" s="534" t="str">
        <f>IF(TRIM($B153)="","",IF(COUNTIFS(Lists!$AN$2:$AN$22,TRIM($B153)&amp;" | "&amp;TRIM($D153),Lists!$AQ$2:$AQ$22,"&lt;&gt;"),INDEX(Lists!$AQ$2:$AQ$22,MATCH(TRIM($B153)&amp;" | "&amp;TRIM($D153),Lists!$AN$2:$AN$22,0)),IF(COUNTIF(Lists!$AF$2:$AF$8,$AJ153),$AJ153,IF(ISNUMBER(SEARCH("head of ",$D153)),"Head of Technology",IF(ISNUMBER(SEARCH("TDD BP",$D153)),"Business Partner",IF(OR(ISNUMBER(SEARCH("domain architect",$D153)),ISNUMBER(SEARCH("enterprise architect",$D153))),"Domain Architect",IF(ISNUMBER(SEARCH("delivery man",$D153)),"Delivery Manager",IF(OR(ISNUMBER(SEARCH("technology manager",$D153)),ISNUMBER(SEARCH("technology manger",$D153)),ISNUMBER(SEARCH("tech manager",$D153))),"Technology Manager","Squad"))))))))</f>
        <v>Squad</v>
      </c>
      <c r="AL153" s="534" t="str">
        <f>IF(TRIM($B153)="","",IF(AND($AM153=1,LEFT($AJ153,4)&lt;&gt;"EGI ",$AJ153&lt;&gt;"EGI"),IFERROR(INDEX(Lists!$Z$2:$Z$20,MATCH($AH153,Lists!$Y$2:$Y$20,0)),"EGI "&amp;$AH153),IF(COUNTIF(Lists!$AU$2:$AU$10,$AJ153),$AJ153,IF(OR(LEFT($AH153,3)="COE",$AH153="EGI"),$AJ153,IF($AK153&lt;&gt;"Squad",$AK153,$AJ153)))))</f>
        <v>Site Systems</v>
      </c>
      <c r="AM153" s="534" t="b">
        <f>IF(TRIM($B153)="","",--(UPPER(TRIM($K153))="EGI"))</f>
        <v>0</v>
      </c>
      <c r="AQ153" s="841" t="inlineStr">
        <is>
          <t>R0152</t>
        </is>
      </c>
      <c r="AZ153" s="841" t="n"/>
    </row>
    <row r="154" ht="18" customHeight="1" s="535">
      <c r="A154" s="842" t="n">
        <v>83003</v>
      </c>
      <c r="B154" s="843" t="inlineStr">
        <is>
          <t>Grace Hadiwijaya</t>
        </is>
      </c>
      <c r="C154" s="842" t="n">
        <v>83003</v>
      </c>
      <c r="D154" s="843" t="inlineStr">
        <is>
          <t>Lead P&amp;C Platforms</t>
        </is>
      </c>
      <c r="E154" s="843" t="inlineStr">
        <is>
          <t>Dave O'Keefe</t>
        </is>
      </c>
      <c r="F154" s="843" t="inlineStr">
        <is>
          <t>Technology Manager P&amp;C Platforms</t>
        </is>
      </c>
      <c r="G154" s="844" t="inlineStr">
        <is>
          <t>TDD Group Functions</t>
        </is>
      </c>
      <c r="H154" s="843" t="inlineStr">
        <is>
          <t>P&amp;C, Finance &amp; Legal</t>
        </is>
      </c>
      <c r="I154" s="843" t="inlineStr">
        <is>
          <t>Tech, P&amp;C Platforms</t>
        </is>
      </c>
      <c r="J154" s="843" t="inlineStr">
        <is>
          <t>P&amp;C</t>
        </is>
      </c>
      <c r="K154" s="843" t="inlineStr">
        <is>
          <t>P&amp;C</t>
        </is>
      </c>
      <c r="L154" s="843" t="inlineStr">
        <is>
          <t>P&amp;C</t>
        </is>
      </c>
      <c r="M154" s="843" t="n"/>
      <c r="N154" s="845" t="inlineStr">
        <is>
          <t>Australia</t>
        </is>
      </c>
      <c r="O154" s="846" t="inlineStr">
        <is>
          <t>CIC</t>
        </is>
      </c>
      <c r="P154" s="847" t="n">
        <v>1</v>
      </c>
      <c r="Q154" s="856" t="n"/>
      <c r="R154" s="847" t="inlineStr">
        <is>
          <t>Permanent - Full Time</t>
        </is>
      </c>
      <c r="S154" s="847" t="n"/>
      <c r="T154" s="847" t="n"/>
      <c r="U154" s="848" t="n">
        <v>178250</v>
      </c>
      <c r="V154" s="849" t="n">
        <v>178250</v>
      </c>
      <c r="W154" s="850" t="n">
        <v>0.12</v>
      </c>
      <c r="X154" s="847" t="n">
        <v>0.055</v>
      </c>
      <c r="Y154" s="850" t="n">
        <v>0.12</v>
      </c>
      <c r="Z154" s="851" t="n"/>
      <c r="AA154" s="850" t="n">
        <v>0.04</v>
      </c>
      <c r="AB154" s="852" t="n">
        <v>237963.75</v>
      </c>
      <c r="AD154" s="857" t="n"/>
      <c r="AE154" s="857">
        <f>IF(TRIM($B154)="","",IF(AND(N($P154)&gt;0,N($P154)&lt;1),N($AB154)*N($P154),N($AB154)))</f>
        <v>237963.75</v>
      </c>
      <c r="AF154" s="857" t="str">
        <f>IF(TRIM($B154)="","",IF(OR(ISNUMBER(SEARCH("vacant",$B154)),ISNUMBER(SEARCH("ring fenced",$B154)),LOWER(TRIM($B154))="remove"),"Vacant","Filled"))</f>
        <v>Filled</v>
      </c>
      <c r="AG154" s="857" t="b">
        <f>IF(TRIM($B154)="","",--ISNUMBER(SEARCH("ring fenced",$B154)))</f>
        <v>0</v>
      </c>
      <c r="AH154" s="534" t="str">
        <f>IF(TRIM($B154)="","",IF(COUNTIFS(Lists!$AN$2:$AN$22,TRIM($B154)&amp;" | "&amp;TRIM($D154),Lists!$AO$2:$AO$22,"&lt;&gt;"),INDEX(Lists!$AO$2:$AO$22,MATCH(TRIM($B154)&amp;" | "&amp;TRIM($D154),Lists!$AN$2:$AN$22,0)),IF(COUNTIF(Lists!$AR$2:$AR$3,$AJ154),"TDD Cyber",IF(AND(LEFT($AJ154,4)="EGI ",ISNUMBER(MATCH(TRIM(MID($AJ154,5,99)),Lists!$AS$2:$AS$12,0))),TRIM(MID($AJ154,5,99)),IF(AND(LEFT($AJ154,4)="EGI ",ISNUMBER(MATCH(TRIM(MID($AJ154,5,99)),Lists!$T$2:$T$21,0))),INDEX(Lists!$U$2:$U$21,MATCH(TRIM(MID($AJ154,5,99)),Lists!$T$2:$T$21,0)),IF(OR(TRIM($J154)="",UPPER(TRIM($J154))="NA"),IFERROR(INDEX(Lists!$R$2:$R$9,MATCH(TRIM($G154),Lists!$Q$2:$Q$9,0)),"UNMAPPED"),IFERROR(INDEX(Lists!$U$2:$U$21,MATCH(TRIM($J154),Lists!$T$2:$T$21,0)),IFERROR(INDEX(Lists!$R$2:$R$9,MATCH(TRIM($G154),Lists!$Q$2:$Q$9,0)),"UNMAPPED"))))))))</f>
        <v>P&amp;C</v>
      </c>
      <c r="AI154" s="534" t="b">
        <f>IF(TRIM($B154)="","",--OR(TRIM($L154)="Leadership",TRIM($K154)="Leadership"))</f>
        <v>0</v>
      </c>
      <c r="AJ154" s="534" t="str">
        <f>IF(TRIM($B154)="","",IF(COUNTIFS(Lists!$AN$2:$AN$22,TRIM($B154)&amp;" | "&amp;TRIM($D154),Lists!$AP$2:$AP$22,"&lt;&gt;"),INDEX(Lists!$AP$2:$AP$22,MATCH(TRIM($B154)&amp;" | "&amp;TRIM($D154),Lists!$AN$2:$AN$22,0)),IF($AI154=1,"Leadership",IFERROR(INDEX(Lists!$X$2:$X$21,MATCH(TRIM($L154),Lists!$W$2:$W$21,0)),IF(OR(TRIM($L154)="",LOWER(TRIM($L154))="na"),IF(TRIM($H154)="","Unassigned",TRIM($H154)),TRIM($L154))))))</f>
        <v>P&amp;C</v>
      </c>
      <c r="AK154" s="534" t="str">
        <f>IF(TRIM($B154)="","",IF(COUNTIFS(Lists!$AN$2:$AN$22,TRIM($B154)&amp;" | "&amp;TRIM($D154),Lists!$AQ$2:$AQ$22,"&lt;&gt;"),INDEX(Lists!$AQ$2:$AQ$22,MATCH(TRIM($B154)&amp;" | "&amp;TRIM($D154),Lists!$AN$2:$AN$22,0)),IF(COUNTIF(Lists!$AF$2:$AF$8,$AJ154),$AJ154,IF(ISNUMBER(SEARCH("head of ",$D154)),"Head of Technology",IF(ISNUMBER(SEARCH("TDD BP",$D154)),"Business Partner",IF(OR(ISNUMBER(SEARCH("domain architect",$D154)),ISNUMBER(SEARCH("enterprise architect",$D154))),"Domain Architect",IF(ISNUMBER(SEARCH("delivery man",$D154)),"Delivery Manager",IF(OR(ISNUMBER(SEARCH("technology manager",$D154)),ISNUMBER(SEARCH("technology manger",$D154)),ISNUMBER(SEARCH("tech manager",$D154))),"Technology Manager","Squad"))))))))</f>
        <v>Squad</v>
      </c>
      <c r="AL154" s="534" t="str">
        <f>IF(TRIM($B154)="","",IF(AND($AM154=1,LEFT($AJ154,4)&lt;&gt;"EGI ",$AJ154&lt;&gt;"EGI"),IFERROR(INDEX(Lists!$Z$2:$Z$20,MATCH($AH154,Lists!$Y$2:$Y$20,0)),"EGI "&amp;$AH154),IF(COUNTIF(Lists!$AU$2:$AU$10,$AJ154),$AJ154,IF(OR(LEFT($AH154,3)="COE",$AH154="EGI"),$AJ154,IF($AK154&lt;&gt;"Squad",$AK154,$AJ154)))))</f>
        <v>P&amp;C</v>
      </c>
      <c r="AM154" s="534" t="b">
        <f>IF(TRIM($B154)="","",--(UPPER(TRIM($K154))="EGI"))</f>
        <v>0</v>
      </c>
      <c r="AQ154" s="841" t="inlineStr">
        <is>
          <t>R0153</t>
        </is>
      </c>
      <c r="AZ154" s="841" t="n"/>
    </row>
    <row r="155" ht="18" customHeight="1" s="535">
      <c r="A155" s="842" t="n">
        <v>108123</v>
      </c>
      <c r="B155" s="843" t="inlineStr">
        <is>
          <t>Maadhu Suresh</t>
        </is>
      </c>
      <c r="C155" s="842" t="n">
        <v>108123</v>
      </c>
      <c r="D155" s="843" t="inlineStr">
        <is>
          <t>Solution Architect</t>
        </is>
      </c>
      <c r="E155" s="843" t="inlineStr">
        <is>
          <t>Dave O'Keefe</t>
        </is>
      </c>
      <c r="F155" s="843" t="inlineStr">
        <is>
          <t>Technology Manager P&amp;C Platforms</t>
        </is>
      </c>
      <c r="G155" s="844" t="inlineStr">
        <is>
          <t>TDD Group Functions</t>
        </is>
      </c>
      <c r="H155" s="843" t="inlineStr">
        <is>
          <t>P&amp;C, Finance &amp; Legal</t>
        </is>
      </c>
      <c r="I155" s="843" t="inlineStr">
        <is>
          <t>Tech, P&amp;C Platforms</t>
        </is>
      </c>
      <c r="J155" s="843" t="inlineStr">
        <is>
          <t>P&amp;C</t>
        </is>
      </c>
      <c r="K155" s="843" t="inlineStr">
        <is>
          <t>P&amp;C</t>
        </is>
      </c>
      <c r="L155" s="843" t="inlineStr">
        <is>
          <t>P&amp;C</t>
        </is>
      </c>
      <c r="M155" s="843" t="n"/>
      <c r="N155" s="845" t="inlineStr">
        <is>
          <t>Australia</t>
        </is>
      </c>
      <c r="O155" s="846" t="inlineStr">
        <is>
          <t>CIC</t>
        </is>
      </c>
      <c r="P155" s="847" t="n">
        <v>1</v>
      </c>
      <c r="Q155" s="856" t="n"/>
      <c r="R155" s="847" t="inlineStr">
        <is>
          <t>Permanent - Full Time</t>
        </is>
      </c>
      <c r="S155" s="847" t="n"/>
      <c r="T155" s="847" t="n"/>
      <c r="U155" s="848" t="n">
        <v>204000</v>
      </c>
      <c r="V155" s="849" t="n">
        <v>204000</v>
      </c>
      <c r="W155" s="850" t="n">
        <v>0.12</v>
      </c>
      <c r="X155" s="847" t="n">
        <v>0.055</v>
      </c>
      <c r="Y155" s="850" t="n">
        <v>0.12</v>
      </c>
      <c r="Z155" s="851" t="n"/>
      <c r="AA155" s="850" t="n">
        <v>0.04</v>
      </c>
      <c r="AB155" s="852" t="n">
        <v>272340</v>
      </c>
      <c r="AD155" s="857" t="n"/>
      <c r="AE155" s="857">
        <f>IF(TRIM($B155)="","",IF(AND(N($P155)&gt;0,N($P155)&lt;1),N($AB155)*N($P155),N($AB155)))</f>
        <v>272340</v>
      </c>
      <c r="AF155" s="857" t="str">
        <f>IF(TRIM($B155)="","",IF(OR(ISNUMBER(SEARCH("vacant",$B155)),ISNUMBER(SEARCH("ring fenced",$B155)),LOWER(TRIM($B155))="remove"),"Vacant","Filled"))</f>
        <v>Filled</v>
      </c>
      <c r="AG155" s="857" t="b">
        <f>IF(TRIM($B155)="","",--ISNUMBER(SEARCH("ring fenced",$B155)))</f>
        <v>0</v>
      </c>
      <c r="AH155" s="853" t="str">
        <f>IF(TRIM($B155)="","",IF(COUNTIFS(Lists!$AN$2:$AN$22,TRIM($B155)&amp;" | "&amp;TRIM($D155),Lists!$AO$2:$AO$22,"&lt;&gt;"),INDEX(Lists!$AO$2:$AO$22,MATCH(TRIM($B155)&amp;" | "&amp;TRIM($D155),Lists!$AN$2:$AN$22,0)),IF(COUNTIF(Lists!$AR$2:$AR$3,$AJ155),"TDD Cyber",IF(AND(LEFT($AJ155,4)="EGI ",ISNUMBER(MATCH(TRIM(MID($AJ155,5,99)),Lists!$AS$2:$AS$12,0))),TRIM(MID($AJ155,5,99)),IF(AND(LEFT($AJ155,4)="EGI ",ISNUMBER(MATCH(TRIM(MID($AJ155,5,99)),Lists!$T$2:$T$21,0))),INDEX(Lists!$U$2:$U$21,MATCH(TRIM(MID($AJ155,5,99)),Lists!$T$2:$T$21,0)),IF(OR(TRIM($J155)="",UPPER(TRIM($J155))="NA"),IFERROR(INDEX(Lists!$R$2:$R$9,MATCH(TRIM($G155),Lists!$Q$2:$Q$9,0)),"UNMAPPED"),IFERROR(INDEX(Lists!$U$2:$U$21,MATCH(TRIM($J155),Lists!$T$2:$T$21,0)),IFERROR(INDEX(Lists!$R$2:$R$9,MATCH(TRIM($G155),Lists!$Q$2:$Q$9,0)),"UNMAPPED"))))))))</f>
        <v>P&amp;C</v>
      </c>
      <c r="AI155" s="534" t="b">
        <f>IF(TRIM($B155)="","",--OR(TRIM($L155)="Leadership",TRIM($K155)="Leadership"))</f>
        <v>0</v>
      </c>
      <c r="AJ155" s="534" t="str">
        <f>IF(TRIM($B155)="","",IF(COUNTIFS(Lists!$AN$2:$AN$22,TRIM($B155)&amp;" | "&amp;TRIM($D155),Lists!$AP$2:$AP$22,"&lt;&gt;"),INDEX(Lists!$AP$2:$AP$22,MATCH(TRIM($B155)&amp;" | "&amp;TRIM($D155),Lists!$AN$2:$AN$22,0)),IF($AI155=1,"Leadership",IFERROR(INDEX(Lists!$X$2:$X$21,MATCH(TRIM($L155),Lists!$W$2:$W$21,0)),IF(OR(TRIM($L155)="",LOWER(TRIM($L155))="na"),IF(TRIM($H155)="","Unassigned",TRIM($H155)),TRIM($L155))))))</f>
        <v>P&amp;C</v>
      </c>
      <c r="AK155" s="534" t="str">
        <f>IF(TRIM($B155)="","",IF(COUNTIFS(Lists!$AN$2:$AN$22,TRIM($B155)&amp;" | "&amp;TRIM($D155),Lists!$AQ$2:$AQ$22,"&lt;&gt;"),INDEX(Lists!$AQ$2:$AQ$22,MATCH(TRIM($B155)&amp;" | "&amp;TRIM($D155),Lists!$AN$2:$AN$22,0)),IF(COUNTIF(Lists!$AF$2:$AF$8,$AJ155),$AJ155,IF(ISNUMBER(SEARCH("head of ",$D155)),"Head of Technology",IF(ISNUMBER(SEARCH("TDD BP",$D155)),"Business Partner",IF(OR(ISNUMBER(SEARCH("domain architect",$D155)),ISNUMBER(SEARCH("enterprise architect",$D155))),"Domain Architect",IF(ISNUMBER(SEARCH("delivery man",$D155)),"Delivery Manager",IF(OR(ISNUMBER(SEARCH("technology manager",$D155)),ISNUMBER(SEARCH("technology manger",$D155)),ISNUMBER(SEARCH("tech manager",$D155))),"Technology Manager","Squad"))))))))</f>
        <v>Squad</v>
      </c>
      <c r="AL155" s="534" t="str">
        <f>IF(TRIM($B155)="","",IF(AND($AM155=1,LEFT($AJ155,4)&lt;&gt;"EGI ",$AJ155&lt;&gt;"EGI"),IFERROR(INDEX(Lists!$Z$2:$Z$20,MATCH($AH155,Lists!$Y$2:$Y$20,0)),"EGI "&amp;$AH155),IF(COUNTIF(Lists!$AU$2:$AU$10,$AJ155),$AJ155,IF(OR(LEFT($AH155,3)="COE",$AH155="EGI"),$AJ155,IF($AK155&lt;&gt;"Squad",$AK155,$AJ155)))))</f>
        <v>P&amp;C</v>
      </c>
      <c r="AM155" s="534" t="b">
        <f>IF(TRIM($B155)="","",--(UPPER(TRIM($K155))="EGI"))</f>
        <v>0</v>
      </c>
      <c r="AQ155" s="841" t="inlineStr">
        <is>
          <t>R0154</t>
        </is>
      </c>
      <c r="AZ155" s="841" t="n"/>
    </row>
    <row r="156" ht="18" customHeight="1" s="535">
      <c r="A156" s="842" t="n">
        <v>93476</v>
      </c>
      <c r="B156" s="843" t="inlineStr">
        <is>
          <t>Prerna Sharma</t>
        </is>
      </c>
      <c r="C156" s="842" t="n">
        <v>93476</v>
      </c>
      <c r="D156" s="843" t="inlineStr">
        <is>
          <t>SAP HR Specialist</t>
        </is>
      </c>
      <c r="E156" s="843" t="inlineStr">
        <is>
          <t>Dave O'Keefe</t>
        </is>
      </c>
      <c r="F156" s="843" t="inlineStr">
        <is>
          <t>Technology Manager P&amp;C Platforms</t>
        </is>
      </c>
      <c r="G156" s="844" t="inlineStr">
        <is>
          <t>TDD Group Functions</t>
        </is>
      </c>
      <c r="H156" s="843" t="inlineStr">
        <is>
          <t>P&amp;C, Finance &amp; Legal</t>
        </is>
      </c>
      <c r="I156" s="843" t="inlineStr">
        <is>
          <t>Tech, P&amp;C Platforms</t>
        </is>
      </c>
      <c r="J156" s="843" t="inlineStr">
        <is>
          <t>P&amp;C</t>
        </is>
      </c>
      <c r="K156" s="843" t="inlineStr">
        <is>
          <t>P&amp;C</t>
        </is>
      </c>
      <c r="L156" s="843" t="inlineStr">
        <is>
          <t>P&amp;C</t>
        </is>
      </c>
      <c r="M156" s="843" t="n"/>
      <c r="N156" s="845" t="inlineStr">
        <is>
          <t>Australia</t>
        </is>
      </c>
      <c r="O156" s="846" t="inlineStr">
        <is>
          <t>CIC</t>
        </is>
      </c>
      <c r="P156" s="847" t="n">
        <v>1</v>
      </c>
      <c r="Q156" s="856" t="n"/>
      <c r="R156" s="847" t="inlineStr">
        <is>
          <t>Permanent - Full Time</t>
        </is>
      </c>
      <c r="S156" s="847" t="n"/>
      <c r="T156" s="847" t="n"/>
      <c r="U156" s="848" t="n">
        <v>175410</v>
      </c>
      <c r="V156" s="849" t="n">
        <v>175410</v>
      </c>
      <c r="W156" s="850" t="n">
        <v>0.12</v>
      </c>
      <c r="X156" s="847" t="n">
        <v>0.055</v>
      </c>
      <c r="Y156" s="850" t="n">
        <v>0.12</v>
      </c>
      <c r="Z156" s="851" t="n"/>
      <c r="AA156" s="850" t="n">
        <v>0.04</v>
      </c>
      <c r="AB156" s="852" t="n">
        <v>234172.35</v>
      </c>
      <c r="AD156" s="857" t="n"/>
      <c r="AE156" s="857">
        <f>IF(TRIM($B156)="","",IF(AND(N($P156)&gt;0,N($P156)&lt;1),N($AB156)*N($P156),N($AB156)))</f>
        <v>234172.35</v>
      </c>
      <c r="AF156" s="857" t="str">
        <f>IF(TRIM($B156)="","",IF(OR(ISNUMBER(SEARCH("vacant",$B156)),ISNUMBER(SEARCH("ring fenced",$B156)),LOWER(TRIM($B156))="remove"),"Vacant","Filled"))</f>
        <v>Filled</v>
      </c>
      <c r="AG156" s="857" t="b">
        <f>IF(TRIM($B156)="","",--ISNUMBER(SEARCH("ring fenced",$B156)))</f>
        <v>0</v>
      </c>
      <c r="AH156" s="853" t="str">
        <f>IF(TRIM($B156)="","",IF(COUNTIFS(Lists!$AN$2:$AN$22,TRIM($B156)&amp;" | "&amp;TRIM($D156),Lists!$AO$2:$AO$22,"&lt;&gt;"),INDEX(Lists!$AO$2:$AO$22,MATCH(TRIM($B156)&amp;" | "&amp;TRIM($D156),Lists!$AN$2:$AN$22,0)),IF(COUNTIF(Lists!$AR$2:$AR$3,$AJ156),"TDD Cyber",IF(AND(LEFT($AJ156,4)="EGI ",ISNUMBER(MATCH(TRIM(MID($AJ156,5,99)),Lists!$AS$2:$AS$12,0))),TRIM(MID($AJ156,5,99)),IF(AND(LEFT($AJ156,4)="EGI ",ISNUMBER(MATCH(TRIM(MID($AJ156,5,99)),Lists!$T$2:$T$21,0))),INDEX(Lists!$U$2:$U$21,MATCH(TRIM(MID($AJ156,5,99)),Lists!$T$2:$T$21,0)),IF(OR(TRIM($J156)="",UPPER(TRIM($J156))="NA"),IFERROR(INDEX(Lists!$R$2:$R$9,MATCH(TRIM($G156),Lists!$Q$2:$Q$9,0)),"UNMAPPED"),IFERROR(INDEX(Lists!$U$2:$U$21,MATCH(TRIM($J156),Lists!$T$2:$T$21,0)),IFERROR(INDEX(Lists!$R$2:$R$9,MATCH(TRIM($G156),Lists!$Q$2:$Q$9,0)),"UNMAPPED"))))))))</f>
        <v>P&amp;C</v>
      </c>
      <c r="AI156" s="534" t="b">
        <f>IF(TRIM($B156)="","",--OR(TRIM($L156)="Leadership",TRIM($K156)="Leadership"))</f>
        <v>0</v>
      </c>
      <c r="AJ156" s="534" t="str">
        <f>IF(TRIM($B156)="","",IF(COUNTIFS(Lists!$AN$2:$AN$22,TRIM($B156)&amp;" | "&amp;TRIM($D156),Lists!$AP$2:$AP$22,"&lt;&gt;"),INDEX(Lists!$AP$2:$AP$22,MATCH(TRIM($B156)&amp;" | "&amp;TRIM($D156),Lists!$AN$2:$AN$22,0)),IF($AI156=1,"Leadership",IFERROR(INDEX(Lists!$X$2:$X$21,MATCH(TRIM($L156),Lists!$W$2:$W$21,0)),IF(OR(TRIM($L156)="",LOWER(TRIM($L156))="na"),IF(TRIM($H156)="","Unassigned",TRIM($H156)),TRIM($L156))))))</f>
        <v>P&amp;C</v>
      </c>
      <c r="AK156" s="534" t="str">
        <f>IF(TRIM($B156)="","",IF(COUNTIFS(Lists!$AN$2:$AN$22,TRIM($B156)&amp;" | "&amp;TRIM($D156),Lists!$AQ$2:$AQ$22,"&lt;&gt;"),INDEX(Lists!$AQ$2:$AQ$22,MATCH(TRIM($B156)&amp;" | "&amp;TRIM($D156),Lists!$AN$2:$AN$22,0)),IF(COUNTIF(Lists!$AF$2:$AF$8,$AJ156),$AJ156,IF(ISNUMBER(SEARCH("head of ",$D156)),"Head of Technology",IF(ISNUMBER(SEARCH("TDD BP",$D156)),"Business Partner",IF(OR(ISNUMBER(SEARCH("domain architect",$D156)),ISNUMBER(SEARCH("enterprise architect",$D156))),"Domain Architect",IF(ISNUMBER(SEARCH("delivery man",$D156)),"Delivery Manager",IF(OR(ISNUMBER(SEARCH("technology manager",$D156)),ISNUMBER(SEARCH("technology manger",$D156)),ISNUMBER(SEARCH("tech manager",$D156))),"Technology Manager","Squad"))))))))</f>
        <v>Squad</v>
      </c>
      <c r="AL156" s="534" t="str">
        <f>IF(TRIM($B156)="","",IF(AND($AM156=1,LEFT($AJ156,4)&lt;&gt;"EGI ",$AJ156&lt;&gt;"EGI"),IFERROR(INDEX(Lists!$Z$2:$Z$20,MATCH($AH156,Lists!$Y$2:$Y$20,0)),"EGI "&amp;$AH156),IF(COUNTIF(Lists!$AU$2:$AU$10,$AJ156),$AJ156,IF(OR(LEFT($AH156,3)="COE",$AH156="EGI"),$AJ156,IF($AK156&lt;&gt;"Squad",$AK156,$AJ156)))))</f>
        <v>P&amp;C</v>
      </c>
      <c r="AM156" s="534" t="b">
        <f>IF(TRIM($B156)="","",--(UPPER(TRIM($K156))="EGI"))</f>
        <v>0</v>
      </c>
      <c r="AQ156" s="841" t="inlineStr">
        <is>
          <t>R0155</t>
        </is>
      </c>
      <c r="AZ156" s="841" t="n"/>
    </row>
    <row r="157" ht="18" customHeight="1" s="535">
      <c r="A157" s="842" t="n">
        <v>114683</v>
      </c>
      <c r="B157" s="843" t="inlineStr">
        <is>
          <t>Prashanth Chandran</t>
        </is>
      </c>
      <c r="C157" s="842" t="n">
        <v>114683</v>
      </c>
      <c r="D157" s="843" t="inlineStr">
        <is>
          <t>Senior Cyber GRC Specialist</t>
        </is>
      </c>
      <c r="E157" s="843" t="inlineStr">
        <is>
          <t>Diya Thomas</t>
        </is>
      </c>
      <c r="F157" s="843" t="inlineStr">
        <is>
          <t>Manager Cyber Security GRC</t>
        </is>
      </c>
      <c r="G157" s="844" t="inlineStr">
        <is>
          <t>Cyber, Risk &amp; Operations</t>
        </is>
      </c>
      <c r="H157" s="843" t="inlineStr">
        <is>
          <t>Cyber GRC</t>
        </is>
      </c>
      <c r="I157" s="843" t="inlineStr">
        <is>
          <t>NA</t>
        </is>
      </c>
      <c r="J157" s="843" t="inlineStr">
        <is>
          <t>NA</t>
        </is>
      </c>
      <c r="K157" s="843" t="inlineStr">
        <is>
          <t>NA</t>
        </is>
      </c>
      <c r="L157" s="843" t="inlineStr">
        <is>
          <t>NA</t>
        </is>
      </c>
      <c r="M157" s="843" t="n"/>
      <c r="N157" s="845" t="inlineStr">
        <is>
          <t>Australia</t>
        </is>
      </c>
      <c r="O157" s="846" t="inlineStr">
        <is>
          <t>CIC</t>
        </is>
      </c>
      <c r="P157" s="847" t="n">
        <v>1</v>
      </c>
      <c r="Q157" s="856" t="n"/>
      <c r="R157" s="847" t="inlineStr">
        <is>
          <t>Permanent - Full Time</t>
        </is>
      </c>
      <c r="S157" s="847" t="n"/>
      <c r="T157" s="847" t="n"/>
      <c r="U157" s="848" t="n">
        <v>165000</v>
      </c>
      <c r="V157" s="849" t="n">
        <v>165000</v>
      </c>
      <c r="W157" s="850" t="n">
        <v>0.12</v>
      </c>
      <c r="X157" s="847" t="n">
        <v>0.055</v>
      </c>
      <c r="Y157" s="850" t="n">
        <v>0.12</v>
      </c>
      <c r="Z157" s="851" t="n"/>
      <c r="AA157" s="850" t="n">
        <v>0.04</v>
      </c>
      <c r="AB157" s="852" t="n">
        <v>220275</v>
      </c>
      <c r="AD157" s="857" t="n"/>
      <c r="AE157" s="857">
        <f>IF(TRIM($B157)="","",IF(AND(N($P157)&gt;0,N($P157)&lt;1),N($AB157)*N($P157),N($AB157)))</f>
        <v>220275</v>
      </c>
      <c r="AF157" s="857" t="str">
        <f>IF(TRIM($B157)="","",IF(OR(ISNUMBER(SEARCH("vacant",$B157)),ISNUMBER(SEARCH("ring fenced",$B157)),LOWER(TRIM($B157))="remove"),"Vacant","Filled"))</f>
        <v>Filled</v>
      </c>
      <c r="AG157" s="857" t="b">
        <f>IF(TRIM($B157)="","",--ISNUMBER(SEARCH("ring fenced",$B157)))</f>
        <v>0</v>
      </c>
      <c r="AH157" s="853" t="str">
        <f>IF(TRIM($B157)="","",IF(COUNTIFS(Lists!$AN$2:$AN$22,TRIM($B157)&amp;" | "&amp;TRIM($D157),Lists!$AO$2:$AO$22,"&lt;&gt;"),INDEX(Lists!$AO$2:$AO$22,MATCH(TRIM($B157)&amp;" | "&amp;TRIM($D157),Lists!$AN$2:$AN$22,0)),IF(COUNTIF(Lists!$AR$2:$AR$3,$AJ157),"TDD Cyber",IF(AND(LEFT($AJ157,4)="EGI ",ISNUMBER(MATCH(TRIM(MID($AJ157,5,99)),Lists!$AS$2:$AS$12,0))),TRIM(MID($AJ157,5,99)),IF(AND(LEFT($AJ157,4)="EGI ",ISNUMBER(MATCH(TRIM(MID($AJ157,5,99)),Lists!$T$2:$T$21,0))),INDEX(Lists!$U$2:$U$21,MATCH(TRIM(MID($AJ157,5,99)),Lists!$T$2:$T$21,0)),IF(OR(TRIM($J157)="",UPPER(TRIM($J157))="NA"),IFERROR(INDEX(Lists!$R$2:$R$9,MATCH(TRIM($G157),Lists!$Q$2:$Q$9,0)),"UNMAPPED"),IFERROR(INDEX(Lists!$U$2:$U$21,MATCH(TRIM($J157),Lists!$T$2:$T$21,0)),IFERROR(INDEX(Lists!$R$2:$R$9,MATCH(TRIM($G157),Lists!$Q$2:$Q$9,0)),"UNMAPPED"))))))))</f>
        <v>COE Cyber</v>
      </c>
      <c r="AI157" s="534" t="b">
        <f>IF(TRIM($B157)="","",--OR(TRIM($L157)="Leadership",TRIM($K157)="Leadership"))</f>
        <v>0</v>
      </c>
      <c r="AJ157" s="534" t="str">
        <f>IF(TRIM($B157)="","",IF(COUNTIFS(Lists!$AN$2:$AN$22,TRIM($B157)&amp;" | "&amp;TRIM($D157),Lists!$AP$2:$AP$22,"&lt;&gt;"),INDEX(Lists!$AP$2:$AP$22,MATCH(TRIM($B157)&amp;" | "&amp;TRIM($D157),Lists!$AN$2:$AN$22,0)),IF($AI157=1,"Leadership",IFERROR(INDEX(Lists!$X$2:$X$21,MATCH(TRIM($L157),Lists!$W$2:$W$21,0)),IF(OR(TRIM($L157)="",LOWER(TRIM($L157))="na"),IF(TRIM($H157)="","Unassigned",TRIM($H157)),TRIM($L157))))))</f>
        <v>Cyber GRC</v>
      </c>
      <c r="AK157" s="534" t="str">
        <f>IF(TRIM($B157)="","",IF(COUNTIFS(Lists!$AN$2:$AN$22,TRIM($B157)&amp;" | "&amp;TRIM($D157),Lists!$AQ$2:$AQ$22,"&lt;&gt;"),INDEX(Lists!$AQ$2:$AQ$22,MATCH(TRIM($B157)&amp;" | "&amp;TRIM($D157),Lists!$AN$2:$AN$22,0)),IF(COUNTIF(Lists!$AF$2:$AF$8,$AJ157),$AJ157,IF(ISNUMBER(SEARCH("head of ",$D157)),"Head of Technology",IF(ISNUMBER(SEARCH("TDD BP",$D157)),"Business Partner",IF(OR(ISNUMBER(SEARCH("domain architect",$D157)),ISNUMBER(SEARCH("enterprise architect",$D157))),"Domain Architect",IF(ISNUMBER(SEARCH("delivery man",$D157)),"Delivery Manager",IF(OR(ISNUMBER(SEARCH("technology manager",$D157)),ISNUMBER(SEARCH("technology manger",$D157)),ISNUMBER(SEARCH("tech manager",$D157))),"Technology Manager","Squad"))))))))</f>
        <v>Squad</v>
      </c>
      <c r="AL157" s="534" t="str">
        <f>IF(TRIM($B157)="","",IF(AND($AM157=1,LEFT($AJ157,4)&lt;&gt;"EGI ",$AJ157&lt;&gt;"EGI"),IFERROR(INDEX(Lists!$Z$2:$Z$20,MATCH($AH157,Lists!$Y$2:$Y$20,0)),"EGI "&amp;$AH157),IF(COUNTIF(Lists!$AU$2:$AU$10,$AJ157),$AJ157,IF(OR(LEFT($AH157,3)="COE",$AH157="EGI"),$AJ157,IF($AK157&lt;&gt;"Squad",$AK157,$AJ157)))))</f>
        <v>Cyber GRC</v>
      </c>
      <c r="AM157" s="534" t="b">
        <f>IF(TRIM($B157)="","",--(UPPER(TRIM($K157))="EGI"))</f>
        <v>0</v>
      </c>
      <c r="AQ157" s="841" t="inlineStr">
        <is>
          <t>R0156</t>
        </is>
      </c>
      <c r="AZ157" s="841" t="n"/>
    </row>
    <row r="158" ht="18" customHeight="1" s="535">
      <c r="A158" s="842" t="inlineStr">
        <is>
          <t>V</t>
        </is>
      </c>
      <c r="B158" s="843" t="inlineStr">
        <is>
          <t>Vacant</t>
        </is>
      </c>
      <c r="C158" s="842" t="inlineStr">
        <is>
          <t>V</t>
        </is>
      </c>
      <c r="D158" s="843" t="inlineStr">
        <is>
          <t>SAP Functional Specialist</t>
        </is>
      </c>
      <c r="E158" s="843" t="inlineStr">
        <is>
          <t>EE Lynn Yap</t>
        </is>
      </c>
      <c r="F158" s="843" t="inlineStr">
        <is>
          <t>SAP ERP Application Lead</t>
        </is>
      </c>
      <c r="G158" s="844" t="inlineStr">
        <is>
          <t>TDD Group Functions</t>
        </is>
      </c>
      <c r="H158" s="843" t="inlineStr">
        <is>
          <t>P&amp;C, Finance &amp; Legal</t>
        </is>
      </c>
      <c r="I158" s="843" t="inlineStr">
        <is>
          <t>Tech, Finance Platforms</t>
        </is>
      </c>
      <c r="J158" s="843" t="inlineStr">
        <is>
          <t>Finance</t>
        </is>
      </c>
      <c r="K158" s="843" t="inlineStr">
        <is>
          <t>AU Finance</t>
        </is>
      </c>
      <c r="L158" s="843" t="inlineStr">
        <is>
          <t>SAP ERP</t>
        </is>
      </c>
      <c r="M158" s="843" t="n"/>
      <c r="N158" s="845" t="inlineStr">
        <is>
          <t>Australia</t>
        </is>
      </c>
      <c r="O158" s="846" t="inlineStr">
        <is>
          <t>CIC</t>
        </is>
      </c>
      <c r="P158" s="847" t="n">
        <v>1</v>
      </c>
      <c r="Q158" s="856" t="n"/>
      <c r="R158" s="847" t="inlineStr">
        <is>
          <t>v</t>
        </is>
      </c>
      <c r="S158" s="847" t="n"/>
      <c r="T158" s="847" t="n"/>
      <c r="U158" s="848" t="n">
        <v>173550</v>
      </c>
      <c r="V158" s="849" t="n">
        <v>173550</v>
      </c>
      <c r="W158" s="850" t="n">
        <v>0.12</v>
      </c>
      <c r="X158" s="847" t="n">
        <v>0.055</v>
      </c>
      <c r="Y158" s="850" t="n">
        <v>0.12</v>
      </c>
      <c r="Z158" s="851" t="n"/>
      <c r="AA158" s="850" t="n">
        <v>0.04</v>
      </c>
      <c r="AB158" s="852" t="n">
        <v>231689.25</v>
      </c>
      <c r="AD158" s="857" t="n"/>
      <c r="AE158" s="857">
        <f>IF(TRIM($B158)="","",IF(AND(N($P158)&gt;0,N($P158)&lt;1),N($AB158)*N($P158),N($AB158)))</f>
        <v>231689.25</v>
      </c>
      <c r="AF158" s="857" t="str">
        <f>IF(TRIM($B158)="","",IF(OR(ISNUMBER(SEARCH("vacant",$B158)),ISNUMBER(SEARCH("ring fenced",$B158)),LOWER(TRIM($B158))="remove"),"Vacant","Filled"))</f>
        <v>Vacant</v>
      </c>
      <c r="AG158" s="857" t="b">
        <f>IF(TRIM($B158)="","",--ISNUMBER(SEARCH("ring fenced",$B158)))</f>
        <v>0</v>
      </c>
      <c r="AH158" s="853" t="str">
        <f>IF(TRIM($B158)="","",IF(COUNTIFS(Lists!$AN$2:$AN$22,TRIM($B158)&amp;" | "&amp;TRIM($D158),Lists!$AO$2:$AO$22,"&lt;&gt;"),INDEX(Lists!$AO$2:$AO$22,MATCH(TRIM($B158)&amp;" | "&amp;TRIM($D158),Lists!$AN$2:$AN$22,0)),IF(COUNTIF(Lists!$AR$2:$AR$3,$AJ158),"TDD Cyber",IF(AND(LEFT($AJ158,4)="EGI ",ISNUMBER(MATCH(TRIM(MID($AJ158,5,99)),Lists!$AS$2:$AS$12,0))),TRIM(MID($AJ158,5,99)),IF(AND(LEFT($AJ158,4)="EGI ",ISNUMBER(MATCH(TRIM(MID($AJ158,5,99)),Lists!$T$2:$T$21,0))),INDEX(Lists!$U$2:$U$21,MATCH(TRIM(MID($AJ158,5,99)),Lists!$T$2:$T$21,0)),IF(OR(TRIM($J158)="",UPPER(TRIM($J158))="NA"),IFERROR(INDEX(Lists!$R$2:$R$9,MATCH(TRIM($G158),Lists!$Q$2:$Q$9,0)),"UNMAPPED"),IFERROR(INDEX(Lists!$U$2:$U$21,MATCH(TRIM($J158),Lists!$T$2:$T$21,0)),IFERROR(INDEX(Lists!$R$2:$R$9,MATCH(TRIM($G158),Lists!$Q$2:$Q$9,0)),"UNMAPPED"))))))))</f>
        <v>Finance</v>
      </c>
      <c r="AI158" s="534" t="b">
        <f>IF(TRIM($B158)="","",--OR(TRIM($L158)="Leadership",TRIM($K158)="Leadership"))</f>
        <v>0</v>
      </c>
      <c r="AJ158" s="534" t="str">
        <f>IF(TRIM($B158)="","",IF(COUNTIFS(Lists!$AN$2:$AN$22,TRIM($B158)&amp;" | "&amp;TRIM($D158),Lists!$AP$2:$AP$22,"&lt;&gt;"),INDEX(Lists!$AP$2:$AP$22,MATCH(TRIM($B158)&amp;" | "&amp;TRIM($D158),Lists!$AN$2:$AN$22,0)),IF($AI158=1,"Leadership",IFERROR(INDEX(Lists!$X$2:$X$21,MATCH(TRIM($L158),Lists!$W$2:$W$21,0)),IF(OR(TRIM($L158)="",LOWER(TRIM($L158))="na"),IF(TRIM($H158)="","Unassigned",TRIM($H158)),TRIM($L158))))))</f>
        <v>SAP ERP</v>
      </c>
      <c r="AK158" s="534" t="str">
        <f>IF(TRIM($B158)="","",IF(COUNTIFS(Lists!$AN$2:$AN$22,TRIM($B158)&amp;" | "&amp;TRIM($D158),Lists!$AQ$2:$AQ$22,"&lt;&gt;"),INDEX(Lists!$AQ$2:$AQ$22,MATCH(TRIM($B158)&amp;" | "&amp;TRIM($D158),Lists!$AN$2:$AN$22,0)),IF(COUNTIF(Lists!$AF$2:$AF$8,$AJ158),$AJ158,IF(ISNUMBER(SEARCH("head of ",$D158)),"Head of Technology",IF(ISNUMBER(SEARCH("TDD BP",$D158)),"Business Partner",IF(OR(ISNUMBER(SEARCH("domain architect",$D158)),ISNUMBER(SEARCH("enterprise architect",$D158))),"Domain Architect",IF(ISNUMBER(SEARCH("delivery man",$D158)),"Delivery Manager",IF(OR(ISNUMBER(SEARCH("technology manager",$D158)),ISNUMBER(SEARCH("technology manger",$D158)),ISNUMBER(SEARCH("tech manager",$D158))),"Technology Manager","Squad"))))))))</f>
        <v>Squad</v>
      </c>
      <c r="AL158" s="534" t="str">
        <f>IF(TRIM($B158)="","",IF(AND($AM158=1,LEFT($AJ158,4)&lt;&gt;"EGI ",$AJ158&lt;&gt;"EGI"),IFERROR(INDEX(Lists!$Z$2:$Z$20,MATCH($AH158,Lists!$Y$2:$Y$20,0)),"EGI "&amp;$AH158),IF(COUNTIF(Lists!$AU$2:$AU$10,$AJ158),$AJ158,IF(OR(LEFT($AH158,3)="COE",$AH158="EGI"),$AJ158,IF($AK158&lt;&gt;"Squad",$AK158,$AJ158)))))</f>
        <v>SAP ERP</v>
      </c>
      <c r="AM158" s="534" t="b">
        <f>IF(TRIM($B158)="","",--(UPPER(TRIM($K158))="EGI"))</f>
        <v>0</v>
      </c>
      <c r="AQ158" s="841" t="inlineStr">
        <is>
          <t>R0157</t>
        </is>
      </c>
      <c r="AZ158" s="841" t="n"/>
    </row>
    <row r="159" ht="18" customHeight="1" s="535">
      <c r="A159" s="842" t="n">
        <v>99691</v>
      </c>
      <c r="B159" s="843" t="inlineStr">
        <is>
          <t>Frank Liang</t>
        </is>
      </c>
      <c r="C159" s="842" t="n">
        <v>99691</v>
      </c>
      <c r="D159" s="843" t="inlineStr">
        <is>
          <t>Senior Systems Analyst</t>
        </is>
      </c>
      <c r="E159" s="843" t="inlineStr">
        <is>
          <t>Elle Spencer</t>
        </is>
      </c>
      <c r="F159" s="843" t="inlineStr">
        <is>
          <t>Technology Manager, Energy Solutions</t>
        </is>
      </c>
      <c r="G159" s="844" t="inlineStr">
        <is>
          <t>TDD CFE&amp;I</t>
        </is>
      </c>
      <c r="H159" s="843" t="inlineStr">
        <is>
          <t>B2B &amp; Energy Solutions</t>
        </is>
      </c>
      <c r="I159" s="843" t="inlineStr">
        <is>
          <t>Technology B2B</t>
        </is>
      </c>
      <c r="J159" s="843" t="inlineStr">
        <is>
          <t>B2B &amp; Energy Solutions</t>
        </is>
      </c>
      <c r="K159" s="843" t="inlineStr">
        <is>
          <t>B2B</t>
        </is>
      </c>
      <c r="L159" s="843" t="inlineStr">
        <is>
          <t>B2B</t>
        </is>
      </c>
      <c r="M159" s="843" t="n"/>
      <c r="N159" s="845" t="inlineStr">
        <is>
          <t>Australia</t>
        </is>
      </c>
      <c r="O159" s="846" t="inlineStr">
        <is>
          <t>CIC</t>
        </is>
      </c>
      <c r="P159" s="847" t="n">
        <v>1</v>
      </c>
      <c r="Q159" s="856" t="n"/>
      <c r="R159" s="847" t="inlineStr">
        <is>
          <t>Permanent - Full Time</t>
        </is>
      </c>
      <c r="S159" s="847" t="n"/>
      <c r="T159" s="847" t="n"/>
      <c r="U159" s="848" t="n">
        <v>167510</v>
      </c>
      <c r="V159" s="849" t="n">
        <v>167510</v>
      </c>
      <c r="W159" s="850" t="n">
        <v>0.12</v>
      </c>
      <c r="X159" s="847" t="n">
        <v>0.055</v>
      </c>
      <c r="Y159" s="850" t="n">
        <v>0.12</v>
      </c>
      <c r="Z159" s="851" t="n"/>
      <c r="AA159" s="850" t="n">
        <v>0.04</v>
      </c>
      <c r="AB159" s="852" t="n">
        <v>223625.85</v>
      </c>
      <c r="AD159" s="857" t="n"/>
      <c r="AE159" s="857">
        <f>IF(TRIM($B159)="","",IF(AND(N($P159)&gt;0,N($P159)&lt;1),N($AB159)*N($P159),N($AB159)))</f>
        <v>223625.85</v>
      </c>
      <c r="AF159" s="857" t="str">
        <f>IF(TRIM($B159)="","",IF(OR(ISNUMBER(SEARCH("vacant",$B159)),ISNUMBER(SEARCH("ring fenced",$B159)),LOWER(TRIM($B159))="remove"),"Vacant","Filled"))</f>
        <v>Filled</v>
      </c>
      <c r="AG159" s="857" t="b">
        <f>IF(TRIM($B159)="","",--ISNUMBER(SEARCH("ring fenced",$B159)))</f>
        <v>0</v>
      </c>
      <c r="AH159" s="853" t="str">
        <f>IF(TRIM($B159)="","",IF(COUNTIFS(Lists!$AN$2:$AN$22,TRIM($B159)&amp;" | "&amp;TRIM($D159),Lists!$AO$2:$AO$22,"&lt;&gt;"),INDEX(Lists!$AO$2:$AO$22,MATCH(TRIM($B159)&amp;" | "&amp;TRIM($D159),Lists!$AN$2:$AN$22,0)),IF(COUNTIF(Lists!$AR$2:$AR$3,$AJ159),"TDD Cyber",IF(AND(LEFT($AJ159,4)="EGI ",ISNUMBER(MATCH(TRIM(MID($AJ159,5,99)),Lists!$AS$2:$AS$12,0))),TRIM(MID($AJ159,5,99)),IF(AND(LEFT($AJ159,4)="EGI ",ISNUMBER(MATCH(TRIM(MID($AJ159,5,99)),Lists!$T$2:$T$21,0))),INDEX(Lists!$U$2:$U$21,MATCH(TRIM(MID($AJ159,5,99)),Lists!$T$2:$T$21,0)),IF(OR(TRIM($J159)="",UPPER(TRIM($J159))="NA"),IFERROR(INDEX(Lists!$R$2:$R$9,MATCH(TRIM($G159),Lists!$Q$2:$Q$9,0)),"UNMAPPED"),IFERROR(INDEX(Lists!$U$2:$U$21,MATCH(TRIM($J159),Lists!$T$2:$T$21,0)),IFERROR(INDEX(Lists!$R$2:$R$9,MATCH(TRIM($G159),Lists!$Q$2:$Q$9,0)),"UNMAPPED"))))))))</f>
        <v>Energy Solutions &amp; B2B</v>
      </c>
      <c r="AI159" s="534" t="b">
        <f>IF(TRIM($B159)="","",--OR(TRIM($L159)="Leadership",TRIM($K159)="Leadership"))</f>
        <v>0</v>
      </c>
      <c r="AJ159" s="534" t="str">
        <f>IF(TRIM($B159)="","",IF(COUNTIFS(Lists!$AN$2:$AN$22,TRIM($B159)&amp;" | "&amp;TRIM($D159),Lists!$AP$2:$AP$22,"&lt;&gt;"),INDEX(Lists!$AP$2:$AP$22,MATCH(TRIM($B159)&amp;" | "&amp;TRIM($D159),Lists!$AN$2:$AN$22,0)),IF($AI159=1,"Leadership",IFERROR(INDEX(Lists!$X$2:$X$21,MATCH(TRIM($L159),Lists!$W$2:$W$21,0)),IF(OR(TRIM($L159)="",LOWER(TRIM($L159))="na"),IF(TRIM($H159)="","Unassigned",TRIM($H159)),TRIM($L159))))))</f>
        <v>B2B</v>
      </c>
      <c r="AK159" s="534" t="str">
        <f>IF(TRIM($B159)="","",IF(COUNTIFS(Lists!$AN$2:$AN$22,TRIM($B159)&amp;" | "&amp;TRIM($D159),Lists!$AQ$2:$AQ$22,"&lt;&gt;"),INDEX(Lists!$AQ$2:$AQ$22,MATCH(TRIM($B159)&amp;" | "&amp;TRIM($D159),Lists!$AN$2:$AN$22,0)),IF(COUNTIF(Lists!$AF$2:$AF$8,$AJ159),$AJ159,IF(ISNUMBER(SEARCH("head of ",$D159)),"Head of Technology",IF(ISNUMBER(SEARCH("TDD BP",$D159)),"Business Partner",IF(OR(ISNUMBER(SEARCH("domain architect",$D159)),ISNUMBER(SEARCH("enterprise architect",$D159))),"Domain Architect",IF(ISNUMBER(SEARCH("delivery man",$D159)),"Delivery Manager",IF(OR(ISNUMBER(SEARCH("technology manager",$D159)),ISNUMBER(SEARCH("technology manger",$D159)),ISNUMBER(SEARCH("tech manager",$D159))),"Technology Manager","Squad"))))))))</f>
        <v>Squad</v>
      </c>
      <c r="AL159" s="534" t="str">
        <f>IF(TRIM($B159)="","",IF(AND($AM159=1,LEFT($AJ159,4)&lt;&gt;"EGI ",$AJ159&lt;&gt;"EGI"),IFERROR(INDEX(Lists!$Z$2:$Z$20,MATCH($AH159,Lists!$Y$2:$Y$20,0)),"EGI "&amp;$AH159),IF(COUNTIF(Lists!$AU$2:$AU$10,$AJ159),$AJ159,IF(OR(LEFT($AH159,3)="COE",$AH159="EGI"),$AJ159,IF($AK159&lt;&gt;"Squad",$AK159,$AJ159)))))</f>
        <v>B2B</v>
      </c>
      <c r="AM159" s="534" t="b">
        <f>IF(TRIM($B159)="","",--(UPPER(TRIM($K159))="EGI"))</f>
        <v>0</v>
      </c>
      <c r="AQ159" s="841" t="inlineStr">
        <is>
          <t>R0158</t>
        </is>
      </c>
      <c r="AZ159" s="841" t="n"/>
    </row>
    <row r="160" ht="18" customHeight="1" s="535">
      <c r="A160" s="842" t="n">
        <v>114723</v>
      </c>
      <c r="B160" s="843" t="inlineStr">
        <is>
          <t>Ming Shao</t>
        </is>
      </c>
      <c r="C160" s="842" t="n">
        <v>114723</v>
      </c>
      <c r="D160" s="843" t="inlineStr">
        <is>
          <t>Senior Systems Analyst Card</t>
        </is>
      </c>
      <c r="E160" s="843" t="inlineStr">
        <is>
          <t>Elle Spencer</t>
        </is>
      </c>
      <c r="F160" s="843" t="inlineStr">
        <is>
          <t>Technology Manager, Energy Solutions</t>
        </is>
      </c>
      <c r="G160" s="844" t="inlineStr">
        <is>
          <t>TDD CFE&amp;I</t>
        </is>
      </c>
      <c r="H160" s="843" t="inlineStr">
        <is>
          <t>B2B &amp; Energy Solutions</t>
        </is>
      </c>
      <c r="I160" s="843" t="inlineStr">
        <is>
          <t>Technology B2B</t>
        </is>
      </c>
      <c r="J160" s="843" t="inlineStr">
        <is>
          <t>B2B &amp; Energy Solutions</t>
        </is>
      </c>
      <c r="K160" s="843" t="inlineStr">
        <is>
          <t>B2B</t>
        </is>
      </c>
      <c r="L160" s="843" t="inlineStr">
        <is>
          <t>B2B</t>
        </is>
      </c>
      <c r="M160" s="843" t="n"/>
      <c r="N160" s="845" t="inlineStr">
        <is>
          <t>Australia</t>
        </is>
      </c>
      <c r="O160" s="846" t="inlineStr">
        <is>
          <t>CIC</t>
        </is>
      </c>
      <c r="P160" s="847" t="n">
        <v>1</v>
      </c>
      <c r="Q160" s="858" t="n"/>
      <c r="R160" s="847" t="inlineStr">
        <is>
          <t>Permanent - Full Time</t>
        </is>
      </c>
      <c r="S160" s="847" t="n"/>
      <c r="T160" s="847" t="n"/>
      <c r="U160" s="848" t="n">
        <v>166000</v>
      </c>
      <c r="V160" s="849" t="n">
        <v>166000</v>
      </c>
      <c r="W160" s="850" t="n">
        <v>0.12</v>
      </c>
      <c r="X160" s="847" t="n">
        <v>0.055</v>
      </c>
      <c r="Y160" s="850" t="n">
        <v>0.12</v>
      </c>
      <c r="Z160" s="851" t="n"/>
      <c r="AA160" s="850" t="n">
        <v>0.04</v>
      </c>
      <c r="AB160" s="852" t="n">
        <v>221610</v>
      </c>
      <c r="AD160" s="857" t="n"/>
      <c r="AE160" s="857">
        <f>IF(TRIM($B160)="","",IF(AND(N($P160)&gt;0,N($P160)&lt;1),N($AB160)*N($P160),N($AB160)))</f>
        <v>221610</v>
      </c>
      <c r="AF160" s="857" t="str">
        <f>IF(TRIM($B160)="","",IF(OR(ISNUMBER(SEARCH("vacant",$B160)),ISNUMBER(SEARCH("ring fenced",$B160)),LOWER(TRIM($B160))="remove"),"Vacant","Filled"))</f>
        <v>Filled</v>
      </c>
      <c r="AG160" s="857" t="b">
        <f>IF(TRIM($B160)="","",--ISNUMBER(SEARCH("ring fenced",$B160)))</f>
        <v>0</v>
      </c>
      <c r="AH160" s="853" t="str">
        <f>IF(TRIM($B160)="","",IF(COUNTIFS(Lists!$AN$2:$AN$22,TRIM($B160)&amp;" | "&amp;TRIM($D160),Lists!$AO$2:$AO$22,"&lt;&gt;"),INDEX(Lists!$AO$2:$AO$22,MATCH(TRIM($B160)&amp;" | "&amp;TRIM($D160),Lists!$AN$2:$AN$22,0)),IF(COUNTIF(Lists!$AR$2:$AR$3,$AJ160),"TDD Cyber",IF(AND(LEFT($AJ160,4)="EGI ",ISNUMBER(MATCH(TRIM(MID($AJ160,5,99)),Lists!$AS$2:$AS$12,0))),TRIM(MID($AJ160,5,99)),IF(AND(LEFT($AJ160,4)="EGI ",ISNUMBER(MATCH(TRIM(MID($AJ160,5,99)),Lists!$T$2:$T$21,0))),INDEX(Lists!$U$2:$U$21,MATCH(TRIM(MID($AJ160,5,99)),Lists!$T$2:$T$21,0)),IF(OR(TRIM($J160)="",UPPER(TRIM($J160))="NA"),IFERROR(INDEX(Lists!$R$2:$R$9,MATCH(TRIM($G160),Lists!$Q$2:$Q$9,0)),"UNMAPPED"),IFERROR(INDEX(Lists!$U$2:$U$21,MATCH(TRIM($J160),Lists!$T$2:$T$21,0)),IFERROR(INDEX(Lists!$R$2:$R$9,MATCH(TRIM($G160),Lists!$Q$2:$Q$9,0)),"UNMAPPED"))))))))</f>
        <v>Energy Solutions &amp; B2B</v>
      </c>
      <c r="AI160" s="534" t="b">
        <f>IF(TRIM($B160)="","",--OR(TRIM($L160)="Leadership",TRIM($K160)="Leadership"))</f>
        <v>0</v>
      </c>
      <c r="AJ160" s="534" t="str">
        <f>IF(TRIM($B160)="","",IF(COUNTIFS(Lists!$AN$2:$AN$22,TRIM($B160)&amp;" | "&amp;TRIM($D160),Lists!$AP$2:$AP$22,"&lt;&gt;"),INDEX(Lists!$AP$2:$AP$22,MATCH(TRIM($B160)&amp;" | "&amp;TRIM($D160),Lists!$AN$2:$AN$22,0)),IF($AI160=1,"Leadership",IFERROR(INDEX(Lists!$X$2:$X$21,MATCH(TRIM($L160),Lists!$W$2:$W$21,0)),IF(OR(TRIM($L160)="",LOWER(TRIM($L160))="na"),IF(TRIM($H160)="","Unassigned",TRIM($H160)),TRIM($L160))))))</f>
        <v>B2B</v>
      </c>
      <c r="AK160" s="534" t="str">
        <f>IF(TRIM($B160)="","",IF(COUNTIFS(Lists!$AN$2:$AN$22,TRIM($B160)&amp;" | "&amp;TRIM($D160),Lists!$AQ$2:$AQ$22,"&lt;&gt;"),INDEX(Lists!$AQ$2:$AQ$22,MATCH(TRIM($B160)&amp;" | "&amp;TRIM($D160),Lists!$AN$2:$AN$22,0)),IF(COUNTIF(Lists!$AF$2:$AF$8,$AJ160),$AJ160,IF(ISNUMBER(SEARCH("head of ",$D160)),"Head of Technology",IF(ISNUMBER(SEARCH("TDD BP",$D160)),"Business Partner",IF(OR(ISNUMBER(SEARCH("domain architect",$D160)),ISNUMBER(SEARCH("enterprise architect",$D160))),"Domain Architect",IF(ISNUMBER(SEARCH("delivery man",$D160)),"Delivery Manager",IF(OR(ISNUMBER(SEARCH("technology manager",$D160)),ISNUMBER(SEARCH("technology manger",$D160)),ISNUMBER(SEARCH("tech manager",$D160))),"Technology Manager","Squad"))))))))</f>
        <v>Squad</v>
      </c>
      <c r="AL160" s="534" t="str">
        <f>IF(TRIM($B160)="","",IF(AND($AM160=1,LEFT($AJ160,4)&lt;&gt;"EGI ",$AJ160&lt;&gt;"EGI"),IFERROR(INDEX(Lists!$Z$2:$Z$20,MATCH($AH160,Lists!$Y$2:$Y$20,0)),"EGI "&amp;$AH160),IF(COUNTIF(Lists!$AU$2:$AU$10,$AJ160),$AJ160,IF(OR(LEFT($AH160,3)="COE",$AH160="EGI"),$AJ160,IF($AK160&lt;&gt;"Squad",$AK160,$AJ160)))))</f>
        <v>B2B</v>
      </c>
      <c r="AM160" s="534" t="b">
        <f>IF(TRIM($B160)="","",--(UPPER(TRIM($K160))="EGI"))</f>
        <v>0</v>
      </c>
      <c r="AQ160" s="841" t="inlineStr">
        <is>
          <t>R0159</t>
        </is>
      </c>
      <c r="AZ160" s="841" t="n"/>
    </row>
    <row r="161" ht="18" customHeight="1" s="535">
      <c r="A161" s="842" t="inlineStr">
        <is>
          <t>V</t>
        </is>
      </c>
      <c r="B161" s="843" t="inlineStr">
        <is>
          <t>Vacant</t>
        </is>
      </c>
      <c r="C161" s="842" t="inlineStr">
        <is>
          <t>V</t>
        </is>
      </c>
      <c r="D161" s="843" t="inlineStr">
        <is>
          <t>Solution Architect</t>
        </is>
      </c>
      <c r="E161" s="843" t="inlineStr">
        <is>
          <t>Elle Spencer</t>
        </is>
      </c>
      <c r="F161" s="843" t="inlineStr">
        <is>
          <t>Technology Manager, Energy Solutions</t>
        </is>
      </c>
      <c r="G161" s="844" t="inlineStr">
        <is>
          <t>TDD CFE&amp;I</t>
        </is>
      </c>
      <c r="H161" s="843" t="inlineStr">
        <is>
          <t>B2B &amp; Energy Solutions</t>
        </is>
      </c>
      <c r="I161" s="843" t="inlineStr">
        <is>
          <t>Technology B2B</t>
        </is>
      </c>
      <c r="J161" s="843" t="inlineStr">
        <is>
          <t>B2B &amp; Energy Solutions</t>
        </is>
      </c>
      <c r="K161" s="843" t="inlineStr">
        <is>
          <t>B2B</t>
        </is>
      </c>
      <c r="L161" s="843" t="inlineStr">
        <is>
          <t>B2B</t>
        </is>
      </c>
      <c r="M161" s="843" t="n"/>
      <c r="N161" s="845" t="inlineStr">
        <is>
          <t>australia</t>
        </is>
      </c>
      <c r="O161" s="846" t="inlineStr">
        <is>
          <t>CIC</t>
        </is>
      </c>
      <c r="P161" s="847" t="n">
        <v>1</v>
      </c>
      <c r="Q161" s="856" t="n"/>
      <c r="R161" s="847" t="inlineStr">
        <is>
          <t>v</t>
        </is>
      </c>
      <c r="S161" s="847" t="n"/>
      <c r="T161" s="847" t="n"/>
      <c r="U161" s="848" t="n">
        <v>173550</v>
      </c>
      <c r="V161" s="849" t="n">
        <v>173550</v>
      </c>
      <c r="W161" s="850" t="n">
        <v>0.12</v>
      </c>
      <c r="X161" s="847" t="n">
        <v>0.055</v>
      </c>
      <c r="Y161" s="850" t="n">
        <v>0.12</v>
      </c>
      <c r="Z161" s="851" t="n"/>
      <c r="AA161" s="850" t="n">
        <v>0.04</v>
      </c>
      <c r="AB161" s="852" t="n">
        <v>231689.25</v>
      </c>
      <c r="AD161" s="857" t="n"/>
      <c r="AE161" s="857">
        <f>IF(TRIM($B161)="","",IF(AND(N($P161)&gt;0,N($P161)&lt;1),N($AB161)*N($P161),N($AB161)))</f>
        <v>231689.25</v>
      </c>
      <c r="AF161" s="857" t="str">
        <f>IF(TRIM($B161)="","",IF(OR(ISNUMBER(SEARCH("vacant",$B161)),ISNUMBER(SEARCH("ring fenced",$B161)),LOWER(TRIM($B161))="remove"),"Vacant","Filled"))</f>
        <v>Vacant</v>
      </c>
      <c r="AG161" s="857" t="b">
        <f>IF(TRIM($B161)="","",--ISNUMBER(SEARCH("ring fenced",$B161)))</f>
        <v>0</v>
      </c>
      <c r="AH161" s="853" t="str">
        <f>IF(TRIM($B161)="","",IF(COUNTIFS(Lists!$AN$2:$AN$22,TRIM($B161)&amp;" | "&amp;TRIM($D161),Lists!$AO$2:$AO$22,"&lt;&gt;"),INDEX(Lists!$AO$2:$AO$22,MATCH(TRIM($B161)&amp;" | "&amp;TRIM($D161),Lists!$AN$2:$AN$22,0)),IF(COUNTIF(Lists!$AR$2:$AR$3,$AJ161),"TDD Cyber",IF(AND(LEFT($AJ161,4)="EGI ",ISNUMBER(MATCH(TRIM(MID($AJ161,5,99)),Lists!$AS$2:$AS$12,0))),TRIM(MID($AJ161,5,99)),IF(AND(LEFT($AJ161,4)="EGI ",ISNUMBER(MATCH(TRIM(MID($AJ161,5,99)),Lists!$T$2:$T$21,0))),INDEX(Lists!$U$2:$U$21,MATCH(TRIM(MID($AJ161,5,99)),Lists!$T$2:$T$21,0)),IF(OR(TRIM($J161)="",UPPER(TRIM($J161))="NA"),IFERROR(INDEX(Lists!$R$2:$R$9,MATCH(TRIM($G161),Lists!$Q$2:$Q$9,0)),"UNMAPPED"),IFERROR(INDEX(Lists!$U$2:$U$21,MATCH(TRIM($J161),Lists!$T$2:$T$21,0)),IFERROR(INDEX(Lists!$R$2:$R$9,MATCH(TRIM($G161),Lists!$Q$2:$Q$9,0)),"UNMAPPED"))))))))</f>
        <v>Energy Solutions &amp; B2B</v>
      </c>
      <c r="AI161" s="534" t="b">
        <f>IF(TRIM($B161)="","",--OR(TRIM($L161)="Leadership",TRIM($K161)="Leadership"))</f>
        <v>0</v>
      </c>
      <c r="AJ161" s="534" t="str">
        <f>IF(TRIM($B161)="","",IF(COUNTIFS(Lists!$AN$2:$AN$22,TRIM($B161)&amp;" | "&amp;TRIM($D161),Lists!$AP$2:$AP$22,"&lt;&gt;"),INDEX(Lists!$AP$2:$AP$22,MATCH(TRIM($B161)&amp;" | "&amp;TRIM($D161),Lists!$AN$2:$AN$22,0)),IF($AI161=1,"Leadership",IFERROR(INDEX(Lists!$X$2:$X$21,MATCH(TRIM($L161),Lists!$W$2:$W$21,0)),IF(OR(TRIM($L161)="",LOWER(TRIM($L161))="na"),IF(TRIM($H161)="","Unassigned",TRIM($H161)),TRIM($L161))))))</f>
        <v>B2B</v>
      </c>
      <c r="AK161" s="534" t="str">
        <f>IF(TRIM($B161)="","",IF(COUNTIFS(Lists!$AN$2:$AN$22,TRIM($B161)&amp;" | "&amp;TRIM($D161),Lists!$AQ$2:$AQ$22,"&lt;&gt;"),INDEX(Lists!$AQ$2:$AQ$22,MATCH(TRIM($B161)&amp;" | "&amp;TRIM($D161),Lists!$AN$2:$AN$22,0)),IF(COUNTIF(Lists!$AF$2:$AF$8,$AJ161),$AJ161,IF(ISNUMBER(SEARCH("head of ",$D161)),"Head of Technology",IF(ISNUMBER(SEARCH("TDD BP",$D161)),"Business Partner",IF(OR(ISNUMBER(SEARCH("domain architect",$D161)),ISNUMBER(SEARCH("enterprise architect",$D161))),"Domain Architect",IF(ISNUMBER(SEARCH("delivery man",$D161)),"Delivery Manager",IF(OR(ISNUMBER(SEARCH("technology manager",$D161)),ISNUMBER(SEARCH("technology manger",$D161)),ISNUMBER(SEARCH("tech manager",$D161))),"Technology Manager","Squad"))))))))</f>
        <v>Squad</v>
      </c>
      <c r="AL161" s="534" t="str">
        <f>IF(TRIM($B161)="","",IF(AND($AM161=1,LEFT($AJ161,4)&lt;&gt;"EGI ",$AJ161&lt;&gt;"EGI"),IFERROR(INDEX(Lists!$Z$2:$Z$20,MATCH($AH161,Lists!$Y$2:$Y$20,0)),"EGI "&amp;$AH161),IF(COUNTIF(Lists!$AU$2:$AU$10,$AJ161),$AJ161,IF(OR(LEFT($AH161,3)="COE",$AH161="EGI"),$AJ161,IF($AK161&lt;&gt;"Squad",$AK161,$AJ161)))))</f>
        <v>B2B</v>
      </c>
      <c r="AM161" s="534" t="b">
        <f>IF(TRIM($B161)="","",--(UPPER(TRIM($K161))="EGI"))</f>
        <v>0</v>
      </c>
      <c r="AN161" s="534" t="inlineStr">
        <is>
          <t>Vacant</t>
        </is>
      </c>
      <c r="AO161" s="534" t="inlineStr">
        <is>
          <t>NOTE: This is role is in the Z Loyalty &amp; Martech squad</t>
        </is>
      </c>
      <c r="AQ161" s="841" t="inlineStr">
        <is>
          <t>R0160</t>
        </is>
      </c>
      <c r="AZ161" s="841" t="n"/>
    </row>
    <row r="162" ht="18" customHeight="1" s="535">
      <c r="A162" s="842" t="n">
        <v>115523</v>
      </c>
      <c r="B162" s="843" t="inlineStr">
        <is>
          <t>Benjamin Sheffield</t>
        </is>
      </c>
      <c r="C162" s="842" t="n">
        <v>115523</v>
      </c>
      <c r="D162" s="843" t="inlineStr">
        <is>
          <t>Lead Engineer - Software</t>
        </is>
      </c>
      <c r="E162" s="843" t="inlineStr">
        <is>
          <t>Emma Natoli</t>
        </is>
      </c>
      <c r="F162" s="843" t="inlineStr">
        <is>
          <t>Technology Manager, Engineering</t>
        </is>
      </c>
      <c r="G162" s="844" t="inlineStr">
        <is>
          <t>Ampol Retail &amp; Z</t>
        </is>
      </c>
      <c r="H162" s="843" t="inlineStr">
        <is>
          <t>Z &amp; Group Retail</t>
        </is>
      </c>
      <c r="I162" s="843" t="inlineStr">
        <is>
          <t>Z &amp; Group Retail, Engineering</t>
        </is>
      </c>
      <c r="J162" s="843" t="inlineStr">
        <is>
          <t>Z</t>
        </is>
      </c>
      <c r="K162" s="843" t="inlineStr">
        <is>
          <t>Z Supply</t>
        </is>
      </c>
      <c r="L162" s="843" t="inlineStr">
        <is>
          <t>Z Supply</t>
        </is>
      </c>
      <c r="M162" s="843" t="n"/>
      <c r="N162" s="845" t="inlineStr">
        <is>
          <t>NZ</t>
        </is>
      </c>
      <c r="O162" s="846" t="inlineStr">
        <is>
          <t>CIC</t>
        </is>
      </c>
      <c r="P162" s="847" t="n">
        <v>1</v>
      </c>
      <c r="Q162" s="856" t="n"/>
      <c r="R162" s="847" t="inlineStr">
        <is>
          <t>Permanent - Full Time</t>
        </is>
      </c>
      <c r="S162" s="847" t="n"/>
      <c r="T162" s="847" t="n"/>
      <c r="U162" s="848" t="n">
        <v>160250</v>
      </c>
      <c r="V162" s="849" t="n">
        <v>147430</v>
      </c>
      <c r="W162" s="850" t="n">
        <v>0.15</v>
      </c>
      <c r="X162" s="847" t="n"/>
      <c r="Y162" s="850" t="n">
        <v>0.05</v>
      </c>
      <c r="Z162" s="851" t="n">
        <v>2910</v>
      </c>
      <c r="AA162" s="850" t="n">
        <v>0.03</v>
      </c>
      <c r="AB162" s="852" t="n">
        <v>184248.9</v>
      </c>
      <c r="AD162" s="857" t="n"/>
      <c r="AE162" s="857">
        <f>IF(TRIM($B162)="","",IF(AND(N($P162)&gt;0,N($P162)&lt;1),N($AB162)*N($P162),N($AB162)))</f>
        <v>184248.9</v>
      </c>
      <c r="AF162" s="857" t="str">
        <f>IF(TRIM($B162)="","",IF(OR(ISNUMBER(SEARCH("vacant",$B162)),ISNUMBER(SEARCH("ring fenced",$B162)),LOWER(TRIM($B162))="remove"),"Vacant","Filled"))</f>
        <v>Filled</v>
      </c>
      <c r="AG162" s="857" t="b">
        <f>IF(TRIM($B162)="","",--ISNUMBER(SEARCH("ring fenced",$B162)))</f>
        <v>0</v>
      </c>
      <c r="AH162" s="853" t="str">
        <f>IF(TRIM($B162)="","",IF(COUNTIFS(Lists!$AN$2:$AN$22,TRIM($B162)&amp;" | "&amp;TRIM($D162),Lists!$AO$2:$AO$22,"&lt;&gt;"),INDEX(Lists!$AO$2:$AO$22,MATCH(TRIM($B162)&amp;" | "&amp;TRIM($D162),Lists!$AN$2:$AN$22,0)),IF(COUNTIF(Lists!$AR$2:$AR$3,$AJ162),"TDD Cyber",IF(AND(LEFT($AJ162,4)="EGI ",ISNUMBER(MATCH(TRIM(MID($AJ162,5,99)),Lists!$AS$2:$AS$12,0))),TRIM(MID($AJ162,5,99)),IF(AND(LEFT($AJ162,4)="EGI ",ISNUMBER(MATCH(TRIM(MID($AJ162,5,99)),Lists!$T$2:$T$21,0))),INDEX(Lists!$U$2:$U$21,MATCH(TRIM(MID($AJ162,5,99)),Lists!$T$2:$T$21,0)),IF(OR(TRIM($J162)="",UPPER(TRIM($J162))="NA"),IFERROR(INDEX(Lists!$R$2:$R$9,MATCH(TRIM($G162),Lists!$Q$2:$Q$9,0)),"UNMAPPED"),IFERROR(INDEX(Lists!$U$2:$U$21,MATCH(TRIM($J162),Lists!$T$2:$T$21,0)),IFERROR(INDEX(Lists!$R$2:$R$9,MATCH(TRIM($G162),Lists!$Q$2:$Q$9,0)),"UNMAPPED"))))))))</f>
        <v>Z Retail</v>
      </c>
      <c r="AI162" s="534" t="b">
        <f>IF(TRIM($B162)="","",--OR(TRIM($L162)="Leadership",TRIM($K162)="Leadership"))</f>
        <v>0</v>
      </c>
      <c r="AJ162" s="534" t="str">
        <f>IF(TRIM($B162)="","",IF(COUNTIFS(Lists!$AN$2:$AN$22,TRIM($B162)&amp;" | "&amp;TRIM($D162),Lists!$AP$2:$AP$22,"&lt;&gt;"),INDEX(Lists!$AP$2:$AP$22,MATCH(TRIM($B162)&amp;" | "&amp;TRIM($D162),Lists!$AN$2:$AN$22,0)),IF($AI162=1,"Leadership",IFERROR(INDEX(Lists!$X$2:$X$21,MATCH(TRIM($L162),Lists!$W$2:$W$21,0)),IF(OR(TRIM($L162)="",LOWER(TRIM($L162))="na"),IF(TRIM($H162)="","Unassigned",TRIM($H162)),TRIM($L162))))))</f>
        <v>Z Supply</v>
      </c>
      <c r="AK162" s="534" t="str">
        <f>IF(TRIM($B162)="","",IF(COUNTIFS(Lists!$AN$2:$AN$22,TRIM($B162)&amp;" | "&amp;TRIM($D162),Lists!$AQ$2:$AQ$22,"&lt;&gt;"),INDEX(Lists!$AQ$2:$AQ$22,MATCH(TRIM($B162)&amp;" | "&amp;TRIM($D162),Lists!$AN$2:$AN$22,0)),IF(COUNTIF(Lists!$AF$2:$AF$8,$AJ162),$AJ162,IF(ISNUMBER(SEARCH("head of ",$D162)),"Head of Technology",IF(ISNUMBER(SEARCH("TDD BP",$D162)),"Business Partner",IF(OR(ISNUMBER(SEARCH("domain architect",$D162)),ISNUMBER(SEARCH("enterprise architect",$D162))),"Domain Architect",IF(ISNUMBER(SEARCH("delivery man",$D162)),"Delivery Manager",IF(OR(ISNUMBER(SEARCH("technology manager",$D162)),ISNUMBER(SEARCH("technology manger",$D162)),ISNUMBER(SEARCH("tech manager",$D162))),"Technology Manager","Squad"))))))))</f>
        <v>Squad</v>
      </c>
      <c r="AL162" s="534" t="str">
        <f>IF(TRIM($B162)="","",IF(AND($AM162=1,LEFT($AJ162,4)&lt;&gt;"EGI ",$AJ162&lt;&gt;"EGI"),IFERROR(INDEX(Lists!$Z$2:$Z$20,MATCH($AH162,Lists!$Y$2:$Y$20,0)),"EGI "&amp;$AH162),IF(COUNTIF(Lists!$AU$2:$AU$10,$AJ162),$AJ162,IF(OR(LEFT($AH162,3)="COE",$AH162="EGI"),$AJ162,IF($AK162&lt;&gt;"Squad",$AK162,$AJ162)))))</f>
        <v>Z Supply</v>
      </c>
      <c r="AM162" s="534" t="b">
        <f>IF(TRIM($B162)="","",--(UPPER(TRIM($K162))="EGI"))</f>
        <v>0</v>
      </c>
      <c r="AQ162" s="841" t="inlineStr">
        <is>
          <t>R0161</t>
        </is>
      </c>
      <c r="AZ162" s="841" t="n"/>
    </row>
    <row r="163" ht="18" customHeight="1" s="535">
      <c r="A163" s="842" t="n">
        <v>113620</v>
      </c>
      <c r="B163" s="843" t="inlineStr">
        <is>
          <t>Trevor Weaver</t>
        </is>
      </c>
      <c r="C163" s="842" t="n">
        <v>113620</v>
      </c>
      <c r="D163" s="843" t="inlineStr">
        <is>
          <t>Lead  Engineer - Software</t>
        </is>
      </c>
      <c r="E163" s="843" t="inlineStr">
        <is>
          <t>Emma Natoli</t>
        </is>
      </c>
      <c r="F163" s="843" t="inlineStr">
        <is>
          <t>Technology Manager, Engineering</t>
        </is>
      </c>
      <c r="G163" s="844" t="inlineStr">
        <is>
          <t>Ampol Retail &amp; Z</t>
        </is>
      </c>
      <c r="H163" s="843" t="inlineStr">
        <is>
          <t>Z &amp; Group Retail</t>
        </is>
      </c>
      <c r="I163" s="843" t="inlineStr">
        <is>
          <t>Z &amp; Group Retail, Engineering</t>
        </is>
      </c>
      <c r="J163" s="843" t="inlineStr">
        <is>
          <t>Z</t>
        </is>
      </c>
      <c r="K163" s="843" t="inlineStr">
        <is>
          <t>Z Customer</t>
        </is>
      </c>
      <c r="L163" s="843" t="inlineStr">
        <is>
          <t xml:space="preserve">Z Retail Backend </t>
        </is>
      </c>
      <c r="M163" s="843" t="n"/>
      <c r="N163" s="845" t="inlineStr">
        <is>
          <t>NZ</t>
        </is>
      </c>
      <c r="O163" s="846" t="inlineStr">
        <is>
          <t>CIC</t>
        </is>
      </c>
      <c r="P163" s="847" t="n">
        <v>1</v>
      </c>
      <c r="Q163" s="856" t="n"/>
      <c r="R163" s="847" t="inlineStr">
        <is>
          <t>Permanent - Full Time</t>
        </is>
      </c>
      <c r="S163" s="847" t="n"/>
      <c r="T163" s="847" t="n"/>
      <c r="U163" s="848" t="n">
        <v>133300</v>
      </c>
      <c r="V163" s="849" t="n">
        <v>133300</v>
      </c>
      <c r="W163" s="850" t="n">
        <v>0.1</v>
      </c>
      <c r="X163" s="847" t="n">
        <v>0.055</v>
      </c>
      <c r="Y163" s="850" t="n">
        <v>0.12</v>
      </c>
      <c r="Z163" s="851" t="n"/>
      <c r="AA163" s="850" t="n">
        <v>0.04</v>
      </c>
      <c r="AB163" s="852" t="n">
        <v>175289.5</v>
      </c>
      <c r="AD163" s="857" t="n"/>
      <c r="AE163" s="857">
        <f>IF(TRIM($B163)="","",IF(AND(N($P163)&gt;0,N($P163)&lt;1),N($AB163)*N($P163),N($AB163)))</f>
        <v>175289.5</v>
      </c>
      <c r="AF163" s="857" t="str">
        <f>IF(TRIM($B163)="","",IF(OR(ISNUMBER(SEARCH("vacant",$B163)),ISNUMBER(SEARCH("ring fenced",$B163)),LOWER(TRIM($B163))="remove"),"Vacant","Filled"))</f>
        <v>Filled</v>
      </c>
      <c r="AG163" s="857" t="b">
        <f>IF(TRIM($B163)="","",--ISNUMBER(SEARCH("ring fenced",$B163)))</f>
        <v>0</v>
      </c>
      <c r="AH163" s="853" t="str">
        <f>IF(TRIM($B163)="","",IF(COUNTIFS(Lists!$AN$2:$AN$22,TRIM($B163)&amp;" | "&amp;TRIM($D163),Lists!$AO$2:$AO$22,"&lt;&gt;"),INDEX(Lists!$AO$2:$AO$22,MATCH(TRIM($B163)&amp;" | "&amp;TRIM($D163),Lists!$AN$2:$AN$22,0)),IF(COUNTIF(Lists!$AR$2:$AR$3,$AJ163),"TDD Cyber",IF(AND(LEFT($AJ163,4)="EGI ",ISNUMBER(MATCH(TRIM(MID($AJ163,5,99)),Lists!$AS$2:$AS$12,0))),TRIM(MID($AJ163,5,99)),IF(AND(LEFT($AJ163,4)="EGI ",ISNUMBER(MATCH(TRIM(MID($AJ163,5,99)),Lists!$T$2:$T$21,0))),INDEX(Lists!$U$2:$U$21,MATCH(TRIM(MID($AJ163,5,99)),Lists!$T$2:$T$21,0)),IF(OR(TRIM($J163)="",UPPER(TRIM($J163))="NA"),IFERROR(INDEX(Lists!$R$2:$R$9,MATCH(TRIM($G163),Lists!$Q$2:$Q$9,0)),"UNMAPPED"),IFERROR(INDEX(Lists!$U$2:$U$21,MATCH(TRIM($J163),Lists!$T$2:$T$21,0)),IFERROR(INDEX(Lists!$R$2:$R$9,MATCH(TRIM($G163),Lists!$Q$2:$Q$9,0)),"UNMAPPED"))))))))</f>
        <v>Z Retail</v>
      </c>
      <c r="AI163" s="534" t="b">
        <f>IF(TRIM($B163)="","",--OR(TRIM($L163)="Leadership",TRIM($K163)="Leadership"))</f>
        <v>0</v>
      </c>
      <c r="AJ163" s="534" t="str">
        <f>IF(TRIM($B163)="","",IF(COUNTIFS(Lists!$AN$2:$AN$22,TRIM($B163)&amp;" | "&amp;TRIM($D163),Lists!$AP$2:$AP$22,"&lt;&gt;"),INDEX(Lists!$AP$2:$AP$22,MATCH(TRIM($B163)&amp;" | "&amp;TRIM($D163),Lists!$AN$2:$AN$22,0)),IF($AI163=1,"Leadership",IFERROR(INDEX(Lists!$X$2:$X$21,MATCH(TRIM($L163),Lists!$W$2:$W$21,0)),IF(OR(TRIM($L163)="",LOWER(TRIM($L163))="na"),IF(TRIM($H163)="","Unassigned",TRIM($H163)),TRIM($L163))))))</f>
        <v>Z Retail Backend</v>
      </c>
      <c r="AK163" s="534" t="str">
        <f>IF(TRIM($B163)="","",IF(COUNTIFS(Lists!$AN$2:$AN$22,TRIM($B163)&amp;" | "&amp;TRIM($D163),Lists!$AQ$2:$AQ$22,"&lt;&gt;"),INDEX(Lists!$AQ$2:$AQ$22,MATCH(TRIM($B163)&amp;" | "&amp;TRIM($D163),Lists!$AN$2:$AN$22,0)),IF(COUNTIF(Lists!$AF$2:$AF$8,$AJ163),$AJ163,IF(ISNUMBER(SEARCH("head of ",$D163)),"Head of Technology",IF(ISNUMBER(SEARCH("TDD BP",$D163)),"Business Partner",IF(OR(ISNUMBER(SEARCH("domain architect",$D163)),ISNUMBER(SEARCH("enterprise architect",$D163))),"Domain Architect",IF(ISNUMBER(SEARCH("delivery man",$D163)),"Delivery Manager",IF(OR(ISNUMBER(SEARCH("technology manager",$D163)),ISNUMBER(SEARCH("technology manger",$D163)),ISNUMBER(SEARCH("tech manager",$D163))),"Technology Manager","Squad"))))))))</f>
        <v>Squad</v>
      </c>
      <c r="AL163" s="534" t="str">
        <f>IF(TRIM($B163)="","",IF(AND($AM163=1,LEFT($AJ163,4)&lt;&gt;"EGI ",$AJ163&lt;&gt;"EGI"),IFERROR(INDEX(Lists!$Z$2:$Z$20,MATCH($AH163,Lists!$Y$2:$Y$20,0)),"EGI "&amp;$AH163),IF(COUNTIF(Lists!$AU$2:$AU$10,$AJ163),$AJ163,IF(OR(LEFT($AH163,3)="COE",$AH163="EGI"),$AJ163,IF($AK163&lt;&gt;"Squad",$AK163,$AJ163)))))</f>
        <v>Z Retail Backend</v>
      </c>
      <c r="AM163" s="534" t="b">
        <f>IF(TRIM($B163)="","",--(UPPER(TRIM($K163))="EGI"))</f>
        <v>0</v>
      </c>
      <c r="AQ163" s="841" t="inlineStr">
        <is>
          <t>R0162</t>
        </is>
      </c>
      <c r="AZ163" s="841" t="n"/>
    </row>
    <row r="164" ht="18" customHeight="1" s="535">
      <c r="A164" s="842" t="inlineStr">
        <is>
          <t>V</t>
        </is>
      </c>
      <c r="B164" s="843" t="inlineStr">
        <is>
          <t>Vacant</t>
        </is>
      </c>
      <c r="C164" s="842" t="inlineStr">
        <is>
          <t>V</t>
        </is>
      </c>
      <c r="D164" s="843" t="inlineStr">
        <is>
          <t>Lead Quality Assurance</t>
        </is>
      </c>
      <c r="E164" s="843" t="inlineStr">
        <is>
          <t>Emma Natoli</t>
        </is>
      </c>
      <c r="F164" s="843" t="inlineStr">
        <is>
          <t>Technology Manager, Engineering</t>
        </is>
      </c>
      <c r="G164" s="844" t="inlineStr">
        <is>
          <t>Ampol Retail &amp; Z</t>
        </is>
      </c>
      <c r="H164" s="843" t="inlineStr">
        <is>
          <t>Z &amp; Group Retail</t>
        </is>
      </c>
      <c r="I164" s="843" t="inlineStr">
        <is>
          <t>Z &amp; Group Retail, Engineering</t>
        </is>
      </c>
      <c r="J164" s="843" t="inlineStr">
        <is>
          <t>Z</t>
        </is>
      </c>
      <c r="K164" s="843" t="inlineStr">
        <is>
          <t>Z Customer</t>
        </is>
      </c>
      <c r="L164" s="843" t="inlineStr">
        <is>
          <t xml:space="preserve">Z Retail Backend </t>
        </is>
      </c>
      <c r="M164" s="843" t="n"/>
      <c r="N164" s="845" t="inlineStr">
        <is>
          <t>Australia</t>
        </is>
      </c>
      <c r="O164" s="846" t="inlineStr">
        <is>
          <t>CIC</t>
        </is>
      </c>
      <c r="P164" s="847" t="n">
        <v>1</v>
      </c>
      <c r="Q164" s="856" t="n"/>
      <c r="R164" s="847" t="inlineStr">
        <is>
          <t>v</t>
        </is>
      </c>
      <c r="S164" s="847" t="n"/>
      <c r="T164" s="847" t="n"/>
      <c r="U164" s="848" t="n">
        <v>129650</v>
      </c>
      <c r="V164" s="849" t="n">
        <v>129650</v>
      </c>
      <c r="W164" s="850" t="n">
        <v>0.1</v>
      </c>
      <c r="X164" s="847" t="n">
        <v>0.055</v>
      </c>
      <c r="Y164" s="850" t="n">
        <v>0.12</v>
      </c>
      <c r="Z164" s="851" t="n"/>
      <c r="AA164" s="850" t="n">
        <v>0.04</v>
      </c>
      <c r="AB164" s="852" t="n">
        <v>170489.75</v>
      </c>
      <c r="AD164" s="857" t="n"/>
      <c r="AE164" s="857">
        <f>IF(TRIM($B164)="","",IF(AND(N($P164)&gt;0,N($P164)&lt;1),N($AB164)*N($P164),N($AB164)))</f>
        <v>170489.75</v>
      </c>
      <c r="AF164" s="857" t="str">
        <f>IF(TRIM($B164)="","",IF(OR(ISNUMBER(SEARCH("vacant",$B164)),ISNUMBER(SEARCH("ring fenced",$B164)),LOWER(TRIM($B164))="remove"),"Vacant","Filled"))</f>
        <v>Vacant</v>
      </c>
      <c r="AG164" s="857" t="b">
        <f>IF(TRIM($B164)="","",--ISNUMBER(SEARCH("ring fenced",$B164)))</f>
        <v>0</v>
      </c>
      <c r="AH164" s="853" t="str">
        <f>IF(TRIM($B164)="","",IF(COUNTIFS(Lists!$AN$2:$AN$22,TRIM($B164)&amp;" | "&amp;TRIM($D164),Lists!$AO$2:$AO$22,"&lt;&gt;"),INDEX(Lists!$AO$2:$AO$22,MATCH(TRIM($B164)&amp;" | "&amp;TRIM($D164),Lists!$AN$2:$AN$22,0)),IF(COUNTIF(Lists!$AR$2:$AR$3,$AJ164),"TDD Cyber",IF(AND(LEFT($AJ164,4)="EGI ",ISNUMBER(MATCH(TRIM(MID($AJ164,5,99)),Lists!$AS$2:$AS$12,0))),TRIM(MID($AJ164,5,99)),IF(AND(LEFT($AJ164,4)="EGI ",ISNUMBER(MATCH(TRIM(MID($AJ164,5,99)),Lists!$T$2:$T$21,0))),INDEX(Lists!$U$2:$U$21,MATCH(TRIM(MID($AJ164,5,99)),Lists!$T$2:$T$21,0)),IF(OR(TRIM($J164)="",UPPER(TRIM($J164))="NA"),IFERROR(INDEX(Lists!$R$2:$R$9,MATCH(TRIM($G164),Lists!$Q$2:$Q$9,0)),"UNMAPPED"),IFERROR(INDEX(Lists!$U$2:$U$21,MATCH(TRIM($J164),Lists!$T$2:$T$21,0)),IFERROR(INDEX(Lists!$R$2:$R$9,MATCH(TRIM($G164),Lists!$Q$2:$Q$9,0)),"UNMAPPED"))))))))</f>
        <v>Z Retail</v>
      </c>
      <c r="AI164" s="534" t="b">
        <f>IF(TRIM($B164)="","",--OR(TRIM($L164)="Leadership",TRIM($K164)="Leadership"))</f>
        <v>0</v>
      </c>
      <c r="AJ164" s="534" t="str">
        <f>IF(TRIM($B164)="","",IF(COUNTIFS(Lists!$AN$2:$AN$22,TRIM($B164)&amp;" | "&amp;TRIM($D164),Lists!$AP$2:$AP$22,"&lt;&gt;"),INDEX(Lists!$AP$2:$AP$22,MATCH(TRIM($B164)&amp;" | "&amp;TRIM($D164),Lists!$AN$2:$AN$22,0)),IF($AI164=1,"Leadership",IFERROR(INDEX(Lists!$X$2:$X$21,MATCH(TRIM($L164),Lists!$W$2:$W$21,0)),IF(OR(TRIM($L164)="",LOWER(TRIM($L164))="na"),IF(TRIM($H164)="","Unassigned",TRIM($H164)),TRIM($L164))))))</f>
        <v>Z Retail Backend</v>
      </c>
      <c r="AK164" s="534" t="str">
        <f>IF(TRIM($B164)="","",IF(COUNTIFS(Lists!$AN$2:$AN$22,TRIM($B164)&amp;" | "&amp;TRIM($D164),Lists!$AQ$2:$AQ$22,"&lt;&gt;"),INDEX(Lists!$AQ$2:$AQ$22,MATCH(TRIM($B164)&amp;" | "&amp;TRIM($D164),Lists!$AN$2:$AN$22,0)),IF(COUNTIF(Lists!$AF$2:$AF$8,$AJ164),$AJ164,IF(ISNUMBER(SEARCH("head of ",$D164)),"Head of Technology",IF(ISNUMBER(SEARCH("TDD BP",$D164)),"Business Partner",IF(OR(ISNUMBER(SEARCH("domain architect",$D164)),ISNUMBER(SEARCH("enterprise architect",$D164))),"Domain Architect",IF(ISNUMBER(SEARCH("delivery man",$D164)),"Delivery Manager",IF(OR(ISNUMBER(SEARCH("technology manager",$D164)),ISNUMBER(SEARCH("technology manger",$D164)),ISNUMBER(SEARCH("tech manager",$D164))),"Technology Manager","Squad"))))))))</f>
        <v>Squad</v>
      </c>
      <c r="AL164" s="534" t="str">
        <f>IF(TRIM($B164)="","",IF(AND($AM164=1,LEFT($AJ164,4)&lt;&gt;"EGI ",$AJ164&lt;&gt;"EGI"),IFERROR(INDEX(Lists!$Z$2:$Z$20,MATCH($AH164,Lists!$Y$2:$Y$20,0)),"EGI "&amp;$AH164),IF(COUNTIF(Lists!$AU$2:$AU$10,$AJ164),$AJ164,IF(OR(LEFT($AH164,3)="COE",$AH164="EGI"),$AJ164,IF($AK164&lt;&gt;"Squad",$AK164,$AJ164)))))</f>
        <v>Z Retail Backend</v>
      </c>
      <c r="AM164" s="534" t="b">
        <f>IF(TRIM($B164)="","",--(UPPER(TRIM($K164))="EGI"))</f>
        <v>0</v>
      </c>
      <c r="AQ164" s="841" t="inlineStr">
        <is>
          <t>R0163</t>
        </is>
      </c>
      <c r="AZ164" s="841" t="n"/>
    </row>
    <row r="165" ht="18" customHeight="1" s="535">
      <c r="A165" s="842" t="n">
        <v>95017</v>
      </c>
      <c r="B165" s="843" t="inlineStr">
        <is>
          <t>Sjoerd Van Sluijs</t>
        </is>
      </c>
      <c r="C165" s="842" t="n">
        <v>95017</v>
      </c>
      <c r="D165" s="843" t="inlineStr">
        <is>
          <t>Senior PM PEP1, PEP18</t>
        </is>
      </c>
      <c r="E165" s="843" t="inlineStr">
        <is>
          <t>Greg Cassis</t>
        </is>
      </c>
      <c r="F165" s="843" t="inlineStr">
        <is>
          <t>GM TDD, EGI</t>
        </is>
      </c>
      <c r="G165" s="844" t="inlineStr">
        <is>
          <t>Ampol Retail &amp; Z</t>
        </is>
      </c>
      <c r="H165" s="843" t="inlineStr">
        <is>
          <t>EGI</t>
        </is>
      </c>
      <c r="I165" s="843" t="inlineStr">
        <is>
          <t>EGI</t>
        </is>
      </c>
      <c r="J165" s="843" t="inlineStr">
        <is>
          <t>EGI Integration</t>
        </is>
      </c>
      <c r="K165" s="843" t="inlineStr">
        <is>
          <t>EGI</t>
        </is>
      </c>
      <c r="L165" s="843" t="inlineStr">
        <is>
          <t>EGI Retail</t>
        </is>
      </c>
      <c r="M165" s="843" t="n"/>
      <c r="N165" s="845" t="inlineStr">
        <is>
          <t>Australia</t>
        </is>
      </c>
      <c r="O165" s="846" t="inlineStr">
        <is>
          <t>CIC</t>
        </is>
      </c>
      <c r="P165" s="847" t="n">
        <v>1</v>
      </c>
      <c r="Q165" s="856" t="n"/>
      <c r="R165" s="847" t="inlineStr">
        <is>
          <t>Permanent - Full Time</t>
        </is>
      </c>
      <c r="S165" s="847" t="n"/>
      <c r="T165" s="847" t="n"/>
      <c r="U165" s="848" t="n">
        <v>118280</v>
      </c>
      <c r="V165" s="849" t="n">
        <v>118280</v>
      </c>
      <c r="W165" s="850" t="n">
        <v>0.1</v>
      </c>
      <c r="X165" s="847" t="n">
        <v>0.055</v>
      </c>
      <c r="Y165" s="850" t="n">
        <v>0.12</v>
      </c>
      <c r="Z165" s="851" t="n"/>
      <c r="AA165" s="850" t="n">
        <v>0.04</v>
      </c>
      <c r="AB165" s="852" t="n">
        <v>155538.2</v>
      </c>
      <c r="AD165" s="857" t="n"/>
      <c r="AE165" s="857">
        <f>IF(TRIM($B165)="","",IF(AND(N($P165)&gt;0,N($P165)&lt;1),N($AB165)*N($P165),N($AB165)))</f>
        <v>155538.2</v>
      </c>
      <c r="AF165" s="857" t="str">
        <f>IF(TRIM($B165)="","",IF(OR(ISNUMBER(SEARCH("vacant",$B165)),ISNUMBER(SEARCH("ring fenced",$B165)),LOWER(TRIM($B165))="remove"),"Vacant","Filled"))</f>
        <v>Filled</v>
      </c>
      <c r="AG165" s="857" t="b">
        <f>IF(TRIM($B165)="","",--ISNUMBER(SEARCH("ring fenced",$B165)))</f>
        <v>0</v>
      </c>
      <c r="AH165" s="853" t="str">
        <f>IF(TRIM($B165)="","",IF(COUNTIFS(Lists!$AN$2:$AN$22,TRIM($B165)&amp;" | "&amp;TRIM($D165),Lists!$AO$2:$AO$22,"&lt;&gt;"),INDEX(Lists!$AO$2:$AO$22,MATCH(TRIM($B165)&amp;" | "&amp;TRIM($D165),Lists!$AN$2:$AN$22,0)),IF(COUNTIF(Lists!$AR$2:$AR$3,$AJ165),"TDD Cyber",IF(AND(LEFT($AJ165,4)="EGI ",ISNUMBER(MATCH(TRIM(MID($AJ165,5,99)),Lists!$AS$2:$AS$12,0))),TRIM(MID($AJ165,5,99)),IF(AND(LEFT($AJ165,4)="EGI ",ISNUMBER(MATCH(TRIM(MID($AJ165,5,99)),Lists!$T$2:$T$21,0))),INDEX(Lists!$U$2:$U$21,MATCH(TRIM(MID($AJ165,5,99)),Lists!$T$2:$T$21,0)),IF(OR(TRIM($J165)="",UPPER(TRIM($J165))="NA"),IFERROR(INDEX(Lists!$R$2:$R$9,MATCH(TRIM($G165),Lists!$Q$2:$Q$9,0)),"UNMAPPED"),IFERROR(INDEX(Lists!$U$2:$U$21,MATCH(TRIM($J165),Lists!$T$2:$T$21,0)),IFERROR(INDEX(Lists!$R$2:$R$9,MATCH(TRIM($G165),Lists!$Q$2:$Q$9,0)),"UNMAPPED"))))))))</f>
        <v>Ampol Retail</v>
      </c>
      <c r="AI165" s="534" t="b">
        <f>IF(TRIM($B165)="","",--OR(TRIM($L165)="Leadership",TRIM($K165)="Leadership"))</f>
        <v>0</v>
      </c>
      <c r="AJ165" s="534" t="str">
        <f>IF(TRIM($B165)="","",IF(COUNTIFS(Lists!$AN$2:$AN$22,TRIM($B165)&amp;" | "&amp;TRIM($D165),Lists!$AP$2:$AP$22,"&lt;&gt;"),INDEX(Lists!$AP$2:$AP$22,MATCH(TRIM($B165)&amp;" | "&amp;TRIM($D165),Lists!$AN$2:$AN$22,0)),IF($AI165=1,"Leadership",IFERROR(INDEX(Lists!$X$2:$X$21,MATCH(TRIM($L165),Lists!$W$2:$W$21,0)),IF(OR(TRIM($L165)="",LOWER(TRIM($L165))="na"),IF(TRIM($H165)="","Unassigned",TRIM($H165)),TRIM($L165))))))</f>
        <v>EGI Retail</v>
      </c>
      <c r="AK165" s="534" t="str">
        <f>IF(TRIM($B165)="","",IF(COUNTIFS(Lists!$AN$2:$AN$22,TRIM($B165)&amp;" | "&amp;TRIM($D165),Lists!$AQ$2:$AQ$22,"&lt;&gt;"),INDEX(Lists!$AQ$2:$AQ$22,MATCH(TRIM($B165)&amp;" | "&amp;TRIM($D165),Lists!$AN$2:$AN$22,0)),IF(COUNTIF(Lists!$AF$2:$AF$8,$AJ165),$AJ165,IF(ISNUMBER(SEARCH("head of ",$D165)),"Head of Technology",IF(ISNUMBER(SEARCH("TDD BP",$D165)),"Business Partner",IF(OR(ISNUMBER(SEARCH("domain architect",$D165)),ISNUMBER(SEARCH("enterprise architect",$D165))),"Domain Architect",IF(ISNUMBER(SEARCH("delivery man",$D165)),"Delivery Manager",IF(OR(ISNUMBER(SEARCH("technology manager",$D165)),ISNUMBER(SEARCH("technology manger",$D165)),ISNUMBER(SEARCH("tech manager",$D165))),"Technology Manager","Squad"))))))))</f>
        <v>Squad</v>
      </c>
      <c r="AL165" s="534" t="str">
        <f>IF(TRIM($B165)="","",IF(AND($AM165=1,LEFT($AJ165,4)&lt;&gt;"EGI ",$AJ165&lt;&gt;"EGI"),IFERROR(INDEX(Lists!$Z$2:$Z$20,MATCH($AH165,Lists!$Y$2:$Y$20,0)),"EGI "&amp;$AH165),IF(COUNTIF(Lists!$AU$2:$AU$10,$AJ165),$AJ165,IF(OR(LEFT($AH165,3)="COE",$AH165="EGI"),$AJ165,IF($AK165&lt;&gt;"Squad",$AK165,$AJ165)))))</f>
        <v>EGI Retail</v>
      </c>
      <c r="AM165" s="534" t="b">
        <f>IF(TRIM($B165)="","",--(UPPER(TRIM($K165))="EGI"))</f>
        <v>1</v>
      </c>
      <c r="AQ165" s="841" t="inlineStr">
        <is>
          <t>R0164</t>
        </is>
      </c>
      <c r="AZ165" s="841" t="n"/>
    </row>
    <row r="166" ht="18" customHeight="1" s="535">
      <c r="A166" s="842" t="n">
        <v>113599</v>
      </c>
      <c r="B166" s="843" t="inlineStr">
        <is>
          <t>Nico Lender</t>
        </is>
      </c>
      <c r="C166" s="842" t="n">
        <v>113599</v>
      </c>
      <c r="D166" s="843" t="inlineStr">
        <is>
          <t>Solution Architect</t>
        </is>
      </c>
      <c r="E166" s="843" t="inlineStr">
        <is>
          <t>Hitesh Patel</t>
        </is>
      </c>
      <c r="F166" s="843" t="inlineStr">
        <is>
          <t>Technology Manager, Energy Solutions</t>
        </is>
      </c>
      <c r="G166" s="844" t="inlineStr">
        <is>
          <t>TDD CFE&amp;I</t>
        </is>
      </c>
      <c r="H166" s="843" t="inlineStr">
        <is>
          <t>B2B &amp; Energy Solutions</t>
        </is>
      </c>
      <c r="I166" s="843" t="inlineStr">
        <is>
          <t>Technology Energy Solutions</t>
        </is>
      </c>
      <c r="J166" s="843" t="inlineStr">
        <is>
          <t>B2B &amp; Energy Solutions</t>
        </is>
      </c>
      <c r="K166" s="843" t="inlineStr">
        <is>
          <t>Energy Solutions</t>
        </is>
      </c>
      <c r="L166" s="843" t="inlineStr">
        <is>
          <t>Energy</t>
        </is>
      </c>
      <c r="M166" s="843" t="n"/>
      <c r="N166" s="845" t="inlineStr">
        <is>
          <t>NZ</t>
        </is>
      </c>
      <c r="O166" s="846" t="inlineStr">
        <is>
          <t>CIC</t>
        </is>
      </c>
      <c r="P166" s="847" t="n">
        <v>1</v>
      </c>
      <c r="Q166" s="856" t="n"/>
      <c r="R166" s="847" t="inlineStr">
        <is>
          <t>Permanent - Full Time</t>
        </is>
      </c>
      <c r="S166" s="847" t="n"/>
      <c r="T166" s="847" t="n"/>
      <c r="U166" s="848" t="n">
        <v>166850</v>
      </c>
      <c r="V166" s="849" t="n">
        <v>153502</v>
      </c>
      <c r="W166" s="850" t="n">
        <v>0.15</v>
      </c>
      <c r="X166" s="847" t="n"/>
      <c r="Y166" s="850" t="n">
        <v>0.05</v>
      </c>
      <c r="Z166" s="851" t="n">
        <v>2910</v>
      </c>
      <c r="AA166" s="850" t="n">
        <v>0.03</v>
      </c>
      <c r="AB166" s="852" t="n">
        <v>191717.46</v>
      </c>
      <c r="AD166" s="857" t="n"/>
      <c r="AE166" s="857">
        <f>IF(TRIM($B166)="","",IF(AND(N($P166)&gt;0,N($P166)&lt;1),N($AB166)*N($P166),N($AB166)))</f>
        <v>191717.46</v>
      </c>
      <c r="AF166" s="857" t="str">
        <f>IF(TRIM($B166)="","",IF(OR(ISNUMBER(SEARCH("vacant",$B166)),ISNUMBER(SEARCH("ring fenced",$B166)),LOWER(TRIM($B166))="remove"),"Vacant","Filled"))</f>
        <v>Filled</v>
      </c>
      <c r="AG166" s="857" t="b">
        <f>IF(TRIM($B166)="","",--ISNUMBER(SEARCH("ring fenced",$B166)))</f>
        <v>0</v>
      </c>
      <c r="AH166" s="534" t="str">
        <f>IF(TRIM($B166)="","",IF(COUNTIFS(Lists!$AN$2:$AN$22,TRIM($B166)&amp;" | "&amp;TRIM($D166),Lists!$AO$2:$AO$22,"&lt;&gt;"),INDEX(Lists!$AO$2:$AO$22,MATCH(TRIM($B166)&amp;" | "&amp;TRIM($D166),Lists!$AN$2:$AN$22,0)),IF(COUNTIF(Lists!$AR$2:$AR$3,$AJ166),"TDD Cyber",IF(AND(LEFT($AJ166,4)="EGI ",ISNUMBER(MATCH(TRIM(MID($AJ166,5,99)),Lists!$AS$2:$AS$12,0))),TRIM(MID($AJ166,5,99)),IF(AND(LEFT($AJ166,4)="EGI ",ISNUMBER(MATCH(TRIM(MID($AJ166,5,99)),Lists!$T$2:$T$21,0))),INDEX(Lists!$U$2:$U$21,MATCH(TRIM(MID($AJ166,5,99)),Lists!$T$2:$T$21,0)),IF(OR(TRIM($J166)="",UPPER(TRIM($J166))="NA"),IFERROR(INDEX(Lists!$R$2:$R$9,MATCH(TRIM($G166),Lists!$Q$2:$Q$9,0)),"UNMAPPED"),IFERROR(INDEX(Lists!$U$2:$U$21,MATCH(TRIM($J166),Lists!$T$2:$T$21,0)),IFERROR(INDEX(Lists!$R$2:$R$9,MATCH(TRIM($G166),Lists!$Q$2:$Q$9,0)),"UNMAPPED"))))))))</f>
        <v>Energy Solutions &amp; B2B</v>
      </c>
      <c r="AI166" s="534" t="b">
        <f>IF(TRIM($B166)="","",--OR(TRIM($L166)="Leadership",TRIM($K166)="Leadership"))</f>
        <v>0</v>
      </c>
      <c r="AJ166" s="534" t="str">
        <f>IF(TRIM($B166)="","",IF(COUNTIFS(Lists!$AN$2:$AN$22,TRIM($B166)&amp;" | "&amp;TRIM($D166),Lists!$AP$2:$AP$22,"&lt;&gt;"),INDEX(Lists!$AP$2:$AP$22,MATCH(TRIM($B166)&amp;" | "&amp;TRIM($D166),Lists!$AN$2:$AN$22,0)),IF($AI166=1,"Leadership",IFERROR(INDEX(Lists!$X$2:$X$21,MATCH(TRIM($L166),Lists!$W$2:$W$21,0)),IF(OR(TRIM($L166)="",LOWER(TRIM($L166))="na"),IF(TRIM($H166)="","Unassigned",TRIM($H166)),TRIM($L166))))))</f>
        <v>Energy</v>
      </c>
      <c r="AK166" s="534" t="str">
        <f>IF(TRIM($B166)="","",IF(COUNTIFS(Lists!$AN$2:$AN$22,TRIM($B166)&amp;" | "&amp;TRIM($D166),Lists!$AQ$2:$AQ$22,"&lt;&gt;"),INDEX(Lists!$AQ$2:$AQ$22,MATCH(TRIM($B166)&amp;" | "&amp;TRIM($D166),Lists!$AN$2:$AN$22,0)),IF(COUNTIF(Lists!$AF$2:$AF$8,$AJ166),$AJ166,IF(ISNUMBER(SEARCH("head of ",$D166)),"Head of Technology",IF(ISNUMBER(SEARCH("TDD BP",$D166)),"Business Partner",IF(OR(ISNUMBER(SEARCH("domain architect",$D166)),ISNUMBER(SEARCH("enterprise architect",$D166))),"Domain Architect",IF(ISNUMBER(SEARCH("delivery man",$D166)),"Delivery Manager",IF(OR(ISNUMBER(SEARCH("technology manager",$D166)),ISNUMBER(SEARCH("technology manger",$D166)),ISNUMBER(SEARCH("tech manager",$D166))),"Technology Manager","Squad"))))))))</f>
        <v>Squad</v>
      </c>
      <c r="AL166" s="534" t="str">
        <f>IF(TRIM($B166)="","",IF(AND($AM166=1,LEFT($AJ166,4)&lt;&gt;"EGI ",$AJ166&lt;&gt;"EGI"),IFERROR(INDEX(Lists!$Z$2:$Z$20,MATCH($AH166,Lists!$Y$2:$Y$20,0)),"EGI "&amp;$AH166),IF(COUNTIF(Lists!$AU$2:$AU$10,$AJ166),$AJ166,IF(OR(LEFT($AH166,3)="COE",$AH166="EGI"),$AJ166,IF($AK166&lt;&gt;"Squad",$AK166,$AJ166)))))</f>
        <v>Energy</v>
      </c>
      <c r="AM166" s="534" t="b">
        <f>IF(TRIM($B166)="","",--(UPPER(TRIM($K166))="EGI"))</f>
        <v>0</v>
      </c>
      <c r="AQ166" s="841" t="inlineStr">
        <is>
          <t>R0165</t>
        </is>
      </c>
      <c r="AZ166" s="841" t="n"/>
    </row>
    <row r="167" ht="18" customHeight="1" s="535">
      <c r="A167" s="842" t="n">
        <v>113542</v>
      </c>
      <c r="B167" s="843" t="inlineStr">
        <is>
          <t>Gokila Mylsamy</t>
        </is>
      </c>
      <c r="C167" s="842" t="n">
        <v>113542</v>
      </c>
      <c r="D167" s="843" t="inlineStr">
        <is>
          <t>Lead Engineer Software</t>
        </is>
      </c>
      <c r="E167" s="843" t="inlineStr">
        <is>
          <t>Hitesh Patel</t>
        </is>
      </c>
      <c r="F167" s="843" t="inlineStr">
        <is>
          <t>Technology Manager, Energy Solutions</t>
        </is>
      </c>
      <c r="G167" s="844" t="inlineStr">
        <is>
          <t>TDD CFE&amp;I</t>
        </is>
      </c>
      <c r="H167" s="843" t="inlineStr">
        <is>
          <t>B2B &amp; Energy Solutions</t>
        </is>
      </c>
      <c r="I167" s="843" t="inlineStr">
        <is>
          <t>Technology Energy Solutions</t>
        </is>
      </c>
      <c r="J167" s="843" t="inlineStr">
        <is>
          <t>B2B &amp; Energy Solutions</t>
        </is>
      </c>
      <c r="K167" s="843" t="inlineStr">
        <is>
          <t>Energy Solutions</t>
        </is>
      </c>
      <c r="L167" s="843" t="inlineStr">
        <is>
          <t>EVCI</t>
        </is>
      </c>
      <c r="M167" s="843" t="n"/>
      <c r="N167" s="845" t="inlineStr">
        <is>
          <t>NZ</t>
        </is>
      </c>
      <c r="O167" s="846" t="inlineStr">
        <is>
          <t>CIC</t>
        </is>
      </c>
      <c r="P167" s="847" t="n">
        <v>1</v>
      </c>
      <c r="Q167" s="856" t="n"/>
      <c r="R167" s="847" t="inlineStr">
        <is>
          <t>Permanent - Full Time</t>
        </is>
      </c>
      <c r="S167" s="847" t="n"/>
      <c r="T167" s="847" t="n"/>
      <c r="U167" s="848" t="n">
        <v>160220</v>
      </c>
      <c r="V167" s="849" t="n">
        <v>147402.4</v>
      </c>
      <c r="W167" s="850" t="n">
        <v>0.15</v>
      </c>
      <c r="X167" s="847" t="n"/>
      <c r="Y167" s="850" t="n">
        <v>0.05</v>
      </c>
      <c r="Z167" s="851" t="n">
        <v>2910</v>
      </c>
      <c r="AA167" s="850" t="n">
        <v>0.03</v>
      </c>
      <c r="AB167" s="852" t="n">
        <v>184214.952</v>
      </c>
      <c r="AD167" s="857" t="n"/>
      <c r="AE167" s="857">
        <f>IF(TRIM($B167)="","",IF(AND(N($P167)&gt;0,N($P167)&lt;1),N($AB167)*N($P167),N($AB167)))</f>
        <v>184214.952</v>
      </c>
      <c r="AF167" s="857" t="str">
        <f>IF(TRIM($B167)="","",IF(OR(ISNUMBER(SEARCH("vacant",$B167)),ISNUMBER(SEARCH("ring fenced",$B167)),LOWER(TRIM($B167))="remove"),"Vacant","Filled"))</f>
        <v>Filled</v>
      </c>
      <c r="AG167" s="857" t="b">
        <f>IF(TRIM($B167)="","",--ISNUMBER(SEARCH("ring fenced",$B167)))</f>
        <v>0</v>
      </c>
      <c r="AH167" s="853" t="str">
        <f>IF(TRIM($B167)="","",IF(COUNTIFS(Lists!$AN$2:$AN$22,TRIM($B167)&amp;" | "&amp;TRIM($D167),Lists!$AO$2:$AO$22,"&lt;&gt;"),INDEX(Lists!$AO$2:$AO$22,MATCH(TRIM($B167)&amp;" | "&amp;TRIM($D167),Lists!$AN$2:$AN$22,0)),IF(COUNTIF(Lists!$AR$2:$AR$3,$AJ167),"TDD Cyber",IF(AND(LEFT($AJ167,4)="EGI ",ISNUMBER(MATCH(TRIM(MID($AJ167,5,99)),Lists!$AS$2:$AS$12,0))),TRIM(MID($AJ167,5,99)),IF(AND(LEFT($AJ167,4)="EGI ",ISNUMBER(MATCH(TRIM(MID($AJ167,5,99)),Lists!$T$2:$T$21,0))),INDEX(Lists!$U$2:$U$21,MATCH(TRIM(MID($AJ167,5,99)),Lists!$T$2:$T$21,0)),IF(OR(TRIM($J167)="",UPPER(TRIM($J167))="NA"),IFERROR(INDEX(Lists!$R$2:$R$9,MATCH(TRIM($G167),Lists!$Q$2:$Q$9,0)),"UNMAPPED"),IFERROR(INDEX(Lists!$U$2:$U$21,MATCH(TRIM($J167),Lists!$T$2:$T$21,0)),IFERROR(INDEX(Lists!$R$2:$R$9,MATCH(TRIM($G167),Lists!$Q$2:$Q$9,0)),"UNMAPPED"))))))))</f>
        <v>Energy Solutions &amp; B2B</v>
      </c>
      <c r="AI167" s="534" t="b">
        <f>IF(TRIM($B167)="","",--OR(TRIM($L167)="Leadership",TRIM($K167)="Leadership"))</f>
        <v>0</v>
      </c>
      <c r="AJ167" s="534" t="str">
        <f>IF(TRIM($B167)="","",IF(COUNTIFS(Lists!$AN$2:$AN$22,TRIM($B167)&amp;" | "&amp;TRIM($D167),Lists!$AP$2:$AP$22,"&lt;&gt;"),INDEX(Lists!$AP$2:$AP$22,MATCH(TRIM($B167)&amp;" | "&amp;TRIM($D167),Lists!$AN$2:$AN$22,0)),IF($AI167=1,"Leadership",IFERROR(INDEX(Lists!$X$2:$X$21,MATCH(TRIM($L167),Lists!$W$2:$W$21,0)),IF(OR(TRIM($L167)="",LOWER(TRIM($L167))="na"),IF(TRIM($H167)="","Unassigned",TRIM($H167)),TRIM($L167))))))</f>
        <v>EVCI</v>
      </c>
      <c r="AK167" s="534" t="str">
        <f>IF(TRIM($B167)="","",IF(COUNTIFS(Lists!$AN$2:$AN$22,TRIM($B167)&amp;" | "&amp;TRIM($D167),Lists!$AQ$2:$AQ$22,"&lt;&gt;"),INDEX(Lists!$AQ$2:$AQ$22,MATCH(TRIM($B167)&amp;" | "&amp;TRIM($D167),Lists!$AN$2:$AN$22,0)),IF(COUNTIF(Lists!$AF$2:$AF$8,$AJ167),$AJ167,IF(ISNUMBER(SEARCH("head of ",$D167)),"Head of Technology",IF(ISNUMBER(SEARCH("TDD BP",$D167)),"Business Partner",IF(OR(ISNUMBER(SEARCH("domain architect",$D167)),ISNUMBER(SEARCH("enterprise architect",$D167))),"Domain Architect",IF(ISNUMBER(SEARCH("delivery man",$D167)),"Delivery Manager",IF(OR(ISNUMBER(SEARCH("technology manager",$D167)),ISNUMBER(SEARCH("technology manger",$D167)),ISNUMBER(SEARCH("tech manager",$D167))),"Technology Manager","Squad"))))))))</f>
        <v>Squad</v>
      </c>
      <c r="AL167" s="534" t="str">
        <f>IF(TRIM($B167)="","",IF(AND($AM167=1,LEFT($AJ167,4)&lt;&gt;"EGI ",$AJ167&lt;&gt;"EGI"),IFERROR(INDEX(Lists!$Z$2:$Z$20,MATCH($AH167,Lists!$Y$2:$Y$20,0)),"EGI "&amp;$AH167),IF(COUNTIF(Lists!$AU$2:$AU$10,$AJ167),$AJ167,IF(OR(LEFT($AH167,3)="COE",$AH167="EGI"),$AJ167,IF($AK167&lt;&gt;"Squad",$AK167,$AJ167)))))</f>
        <v>EVCI</v>
      </c>
      <c r="AM167" s="534" t="b">
        <f>IF(TRIM($B167)="","",--(UPPER(TRIM($K167))="EGI"))</f>
        <v>0</v>
      </c>
      <c r="AQ167" s="841" t="inlineStr">
        <is>
          <t>R0166</t>
        </is>
      </c>
      <c r="AZ167" s="841" t="n"/>
    </row>
    <row r="168" ht="18" customHeight="1" s="535">
      <c r="A168" s="842" t="n">
        <v>8367</v>
      </c>
      <c r="B168" s="843" t="inlineStr">
        <is>
          <t>Marcela Gonzalez</t>
        </is>
      </c>
      <c r="C168" s="842" t="n">
        <v>8367</v>
      </c>
      <c r="D168" s="843" t="inlineStr">
        <is>
          <t>Energy Platforms Lead</t>
        </is>
      </c>
      <c r="E168" s="843" t="inlineStr">
        <is>
          <t>Hitesh Patel</t>
        </is>
      </c>
      <c r="F168" s="843" t="inlineStr">
        <is>
          <t>Technology Manager, Energy Solutions</t>
        </is>
      </c>
      <c r="G168" s="844" t="inlineStr">
        <is>
          <t>TDD CFE&amp;I</t>
        </is>
      </c>
      <c r="H168" s="843" t="inlineStr">
        <is>
          <t>B2B &amp; Energy Solutions</t>
        </is>
      </c>
      <c r="I168" s="843" t="inlineStr">
        <is>
          <t>Technology Energy Solutions</t>
        </is>
      </c>
      <c r="J168" s="843" t="inlineStr">
        <is>
          <t>B2B &amp; Energy Solutions</t>
        </is>
      </c>
      <c r="K168" s="843" t="inlineStr">
        <is>
          <t>Energy Solutions</t>
        </is>
      </c>
      <c r="L168" s="843" t="inlineStr">
        <is>
          <t>Energy</t>
        </is>
      </c>
      <c r="M168" s="843" t="n"/>
      <c r="N168" s="845" t="inlineStr">
        <is>
          <t>Australia</t>
        </is>
      </c>
      <c r="O168" s="846" t="inlineStr">
        <is>
          <t>cic</t>
        </is>
      </c>
      <c r="P168" s="847" t="n">
        <v>1</v>
      </c>
      <c r="Q168" s="856" t="n"/>
      <c r="R168" s="847" t="inlineStr">
        <is>
          <t>Permanent - Full Time</t>
        </is>
      </c>
      <c r="S168" s="847" t="n"/>
      <c r="T168" s="847" t="n"/>
      <c r="U168" s="848" t="n">
        <v>187730</v>
      </c>
      <c r="V168" s="849" t="n">
        <v>187730</v>
      </c>
      <c r="W168" s="850" t="n">
        <v>0.12</v>
      </c>
      <c r="X168" s="847" t="n">
        <v>0.055</v>
      </c>
      <c r="Y168" s="850" t="n">
        <v>0.12</v>
      </c>
      <c r="Z168" s="851" t="n"/>
      <c r="AA168" s="850" t="n">
        <v>0.04</v>
      </c>
      <c r="AB168" s="852" t="n">
        <v>250619.55</v>
      </c>
      <c r="AD168" s="857" t="n"/>
      <c r="AE168" s="857">
        <f>IF(TRIM($B168)="","",IF(AND(N($P168)&gt;0,N($P168)&lt;1),N($AB168)*N($P168),N($AB168)))</f>
        <v>250619.55</v>
      </c>
      <c r="AF168" s="857" t="str">
        <f>IF(TRIM($B168)="","",IF(OR(ISNUMBER(SEARCH("vacant",$B168)),ISNUMBER(SEARCH("ring fenced",$B168)),LOWER(TRIM($B168))="remove"),"Vacant","Filled"))</f>
        <v>Filled</v>
      </c>
      <c r="AG168" s="857" t="b">
        <f>IF(TRIM($B168)="","",--ISNUMBER(SEARCH("ring fenced",$B168)))</f>
        <v>0</v>
      </c>
      <c r="AH168" s="853" t="str">
        <f>IF(TRIM($B168)="","",IF(COUNTIFS(Lists!$AN$2:$AN$22,TRIM($B168)&amp;" | "&amp;TRIM($D168),Lists!$AO$2:$AO$22,"&lt;&gt;"),INDEX(Lists!$AO$2:$AO$22,MATCH(TRIM($B168)&amp;" | "&amp;TRIM($D168),Lists!$AN$2:$AN$22,0)),IF(COUNTIF(Lists!$AR$2:$AR$3,$AJ168),"TDD Cyber",IF(AND(LEFT($AJ168,4)="EGI ",ISNUMBER(MATCH(TRIM(MID($AJ168,5,99)),Lists!$AS$2:$AS$12,0))),TRIM(MID($AJ168,5,99)),IF(AND(LEFT($AJ168,4)="EGI ",ISNUMBER(MATCH(TRIM(MID($AJ168,5,99)),Lists!$T$2:$T$21,0))),INDEX(Lists!$U$2:$U$21,MATCH(TRIM(MID($AJ168,5,99)),Lists!$T$2:$T$21,0)),IF(OR(TRIM($J168)="",UPPER(TRIM($J168))="NA"),IFERROR(INDEX(Lists!$R$2:$R$9,MATCH(TRIM($G168),Lists!$Q$2:$Q$9,0)),"UNMAPPED"),IFERROR(INDEX(Lists!$U$2:$U$21,MATCH(TRIM($J168),Lists!$T$2:$T$21,0)),IFERROR(INDEX(Lists!$R$2:$R$9,MATCH(TRIM($G168),Lists!$Q$2:$Q$9,0)),"UNMAPPED"))))))))</f>
        <v>Energy Solutions &amp; B2B</v>
      </c>
      <c r="AI168" s="534" t="b">
        <f>IF(TRIM($B168)="","",--OR(TRIM($L168)="Leadership",TRIM($K168)="Leadership"))</f>
        <v>0</v>
      </c>
      <c r="AJ168" s="534" t="str">
        <f>IF(TRIM($B168)="","",IF(COUNTIFS(Lists!$AN$2:$AN$22,TRIM($B168)&amp;" | "&amp;TRIM($D168),Lists!$AP$2:$AP$22,"&lt;&gt;"),INDEX(Lists!$AP$2:$AP$22,MATCH(TRIM($B168)&amp;" | "&amp;TRIM($D168),Lists!$AN$2:$AN$22,0)),IF($AI168=1,"Leadership",IFERROR(INDEX(Lists!$X$2:$X$21,MATCH(TRIM($L168),Lists!$W$2:$W$21,0)),IF(OR(TRIM($L168)="",LOWER(TRIM($L168))="na"),IF(TRIM($H168)="","Unassigned",TRIM($H168)),TRIM($L168))))))</f>
        <v>Energy</v>
      </c>
      <c r="AK168" s="534" t="str">
        <f>IF(TRIM($B168)="","",IF(COUNTIFS(Lists!$AN$2:$AN$22,TRIM($B168)&amp;" | "&amp;TRIM($D168),Lists!$AQ$2:$AQ$22,"&lt;&gt;"),INDEX(Lists!$AQ$2:$AQ$22,MATCH(TRIM($B168)&amp;" | "&amp;TRIM($D168),Lists!$AN$2:$AN$22,0)),IF(COUNTIF(Lists!$AF$2:$AF$8,$AJ168),$AJ168,IF(ISNUMBER(SEARCH("head of ",$D168)),"Head of Technology",IF(ISNUMBER(SEARCH("TDD BP",$D168)),"Business Partner",IF(OR(ISNUMBER(SEARCH("domain architect",$D168)),ISNUMBER(SEARCH("enterprise architect",$D168))),"Domain Architect",IF(ISNUMBER(SEARCH("delivery man",$D168)),"Delivery Manager",IF(OR(ISNUMBER(SEARCH("technology manager",$D168)),ISNUMBER(SEARCH("technology manger",$D168)),ISNUMBER(SEARCH("tech manager",$D168))),"Technology Manager","Squad"))))))))</f>
        <v>Squad</v>
      </c>
      <c r="AL168" s="534" t="str">
        <f>IF(TRIM($B168)="","",IF(AND($AM168=1,LEFT($AJ168,4)&lt;&gt;"EGI ",$AJ168&lt;&gt;"EGI"),IFERROR(INDEX(Lists!$Z$2:$Z$20,MATCH($AH168,Lists!$Y$2:$Y$20,0)),"EGI "&amp;$AH168),IF(COUNTIF(Lists!$AU$2:$AU$10,$AJ168),$AJ168,IF(OR(LEFT($AH168,3)="COE",$AH168="EGI"),$AJ168,IF($AK168&lt;&gt;"Squad",$AK168,$AJ168)))))</f>
        <v>Energy</v>
      </c>
      <c r="AM168" s="534" t="b">
        <f>IF(TRIM($B168)="","",--(UPPER(TRIM($K168))="EGI"))</f>
        <v>0</v>
      </c>
      <c r="AQ168" s="841" t="inlineStr">
        <is>
          <t>R0167</t>
        </is>
      </c>
      <c r="AZ168" s="841" t="n"/>
    </row>
    <row r="169" ht="18" customHeight="1" s="535">
      <c r="A169" s="842" t="n">
        <v>108809</v>
      </c>
      <c r="B169" s="843" t="inlineStr">
        <is>
          <t>Joe Nahma</t>
        </is>
      </c>
      <c r="C169" s="842" t="n">
        <v>108809</v>
      </c>
      <c r="D169" s="843" t="inlineStr">
        <is>
          <t>Manager Identity &amp; Access Management</t>
        </is>
      </c>
      <c r="E169" s="843" t="inlineStr">
        <is>
          <t>James Byrne</t>
        </is>
      </c>
      <c r="F169" s="843" t="inlineStr">
        <is>
          <t>Manager Cyber Security GRC</t>
        </is>
      </c>
      <c r="G169" s="844" t="inlineStr">
        <is>
          <t>Cyber, Risk &amp; Operations</t>
        </is>
      </c>
      <c r="H169" s="843" t="inlineStr">
        <is>
          <t>Cyber Strat &amp; Tech</t>
        </is>
      </c>
      <c r="I169" s="843" t="inlineStr">
        <is>
          <t>NA</t>
        </is>
      </c>
      <c r="J169" s="843" t="inlineStr">
        <is>
          <t>NA</t>
        </is>
      </c>
      <c r="K169" s="843" t="inlineStr">
        <is>
          <t>NA</t>
        </is>
      </c>
      <c r="L169" s="843" t="inlineStr">
        <is>
          <t>NA</t>
        </is>
      </c>
      <c r="M169" s="843" t="n"/>
      <c r="N169" s="845" t="inlineStr">
        <is>
          <t>Australia</t>
        </is>
      </c>
      <c r="O169" s="846" t="inlineStr">
        <is>
          <t>CIC</t>
        </is>
      </c>
      <c r="P169" s="847" t="n">
        <v>1</v>
      </c>
      <c r="Q169" s="856" t="n"/>
      <c r="R169" s="847" t="inlineStr">
        <is>
          <t>Permanent - Full Time</t>
        </is>
      </c>
      <c r="S169" s="847" t="n"/>
      <c r="T169" s="847" t="n"/>
      <c r="U169" s="848" t="n">
        <v>193790</v>
      </c>
      <c r="V169" s="849" t="n">
        <v>193790</v>
      </c>
      <c r="W169" s="850" t="n">
        <v>0.12</v>
      </c>
      <c r="X169" s="847" t="n">
        <v>0.055</v>
      </c>
      <c r="Y169" s="850" t="n">
        <v>0.12</v>
      </c>
      <c r="Z169" s="851" t="n"/>
      <c r="AA169" s="850" t="n">
        <v>0.04</v>
      </c>
      <c r="AB169" s="852" t="n">
        <v>258709.65</v>
      </c>
      <c r="AD169" s="857" t="n"/>
      <c r="AE169" s="857">
        <f>IF(TRIM($B169)="","",IF(AND(N($P169)&gt;0,N($P169)&lt;1),N($AB169)*N($P169),N($AB169)))</f>
        <v>258709.65</v>
      </c>
      <c r="AF169" s="857" t="str">
        <f>IF(TRIM($B169)="","",IF(OR(ISNUMBER(SEARCH("vacant",$B169)),ISNUMBER(SEARCH("ring fenced",$B169)),LOWER(TRIM($B169))="remove"),"Vacant","Filled"))</f>
        <v>Filled</v>
      </c>
      <c r="AG169" s="857" t="b">
        <f>IF(TRIM($B169)="","",--ISNUMBER(SEARCH("ring fenced",$B169)))</f>
        <v>0</v>
      </c>
      <c r="AH169" s="853" t="str">
        <f>IF(TRIM($B169)="","",IF(COUNTIFS(Lists!$AN$2:$AN$22,TRIM($B169)&amp;" | "&amp;TRIM($D169),Lists!$AO$2:$AO$22,"&lt;&gt;"),INDEX(Lists!$AO$2:$AO$22,MATCH(TRIM($B169)&amp;" | "&amp;TRIM($D169),Lists!$AN$2:$AN$22,0)),IF(COUNTIF(Lists!$AR$2:$AR$3,$AJ169),"TDD Cyber",IF(AND(LEFT($AJ169,4)="EGI ",ISNUMBER(MATCH(TRIM(MID($AJ169,5,99)),Lists!$AS$2:$AS$12,0))),TRIM(MID($AJ169,5,99)),IF(AND(LEFT($AJ169,4)="EGI ",ISNUMBER(MATCH(TRIM(MID($AJ169,5,99)),Lists!$T$2:$T$21,0))),INDEX(Lists!$U$2:$U$21,MATCH(TRIM(MID($AJ169,5,99)),Lists!$T$2:$T$21,0)),IF(OR(TRIM($J169)="",UPPER(TRIM($J169))="NA"),IFERROR(INDEX(Lists!$R$2:$R$9,MATCH(TRIM($G169),Lists!$Q$2:$Q$9,0)),"UNMAPPED"),IFERROR(INDEX(Lists!$U$2:$U$21,MATCH(TRIM($J169),Lists!$T$2:$T$21,0)),IFERROR(INDEX(Lists!$R$2:$R$9,MATCH(TRIM($G169),Lists!$Q$2:$Q$9,0)),"UNMAPPED"))))))))</f>
        <v>TDD Cyber</v>
      </c>
      <c r="AI169" s="534" t="b">
        <f>IF(TRIM($B169)="","",--OR(TRIM($L169)="Leadership",TRIM($K169)="Leadership"))</f>
        <v>0</v>
      </c>
      <c r="AJ169" s="534" t="str">
        <f>IF(TRIM($B169)="","",IF(COUNTIFS(Lists!$AN$2:$AN$22,TRIM($B169)&amp;" | "&amp;TRIM($D169),Lists!$AP$2:$AP$22,"&lt;&gt;"),INDEX(Lists!$AP$2:$AP$22,MATCH(TRIM($B169)&amp;" | "&amp;TRIM($D169),Lists!$AN$2:$AN$22,0)),IF($AI169=1,"Leadership",IFERROR(INDEX(Lists!$X$2:$X$21,MATCH(TRIM($L169),Lists!$W$2:$W$21,0)),IF(OR(TRIM($L169)="",LOWER(TRIM($L169))="na"),IF(TRIM($H169)="","Unassigned",TRIM($H169)),TRIM($L169))))))</f>
        <v>Identity</v>
      </c>
      <c r="AK169" s="534" t="str">
        <f>IF(TRIM($B169)="","",IF(COUNTIFS(Lists!$AN$2:$AN$22,TRIM($B169)&amp;" | "&amp;TRIM($D169),Lists!$AQ$2:$AQ$22,"&lt;&gt;"),INDEX(Lists!$AQ$2:$AQ$22,MATCH(TRIM($B169)&amp;" | "&amp;TRIM($D169),Lists!$AN$2:$AN$22,0)),IF(COUNTIF(Lists!$AF$2:$AF$8,$AJ169),$AJ169,IF(ISNUMBER(SEARCH("head of ",$D169)),"Head of Technology",IF(ISNUMBER(SEARCH("TDD BP",$D169)),"Business Partner",IF(OR(ISNUMBER(SEARCH("domain architect",$D169)),ISNUMBER(SEARCH("enterprise architect",$D169))),"Domain Architect",IF(ISNUMBER(SEARCH("delivery man",$D169)),"Delivery Manager",IF(OR(ISNUMBER(SEARCH("technology manager",$D169)),ISNUMBER(SEARCH("technology manger",$D169)),ISNUMBER(SEARCH("tech manager",$D169))),"Technology Manager","Squad"))))))))</f>
        <v>Squad</v>
      </c>
      <c r="AL169" s="534" t="str">
        <f>IF(TRIM($B169)="","",IF(AND($AM169=1,LEFT($AJ169,4)&lt;&gt;"EGI ",$AJ169&lt;&gt;"EGI"),IFERROR(INDEX(Lists!$Z$2:$Z$20,MATCH($AH169,Lists!$Y$2:$Y$20,0)),"EGI "&amp;$AH169),IF(COUNTIF(Lists!$AU$2:$AU$10,$AJ169),$AJ169,IF(OR(LEFT($AH169,3)="COE",$AH169="EGI"),$AJ169,IF($AK169&lt;&gt;"Squad",$AK169,$AJ169)))))</f>
        <v>Identity</v>
      </c>
      <c r="AM169" s="534" t="b">
        <f>IF(TRIM($B169)="","",--(UPPER(TRIM($K169))="EGI"))</f>
        <v>0</v>
      </c>
      <c r="AQ169" s="841" t="inlineStr">
        <is>
          <t>R0168</t>
        </is>
      </c>
      <c r="AZ169" s="841" t="n"/>
    </row>
    <row r="170" ht="18" customHeight="1" s="535">
      <c r="A170" s="842" t="n">
        <v>97592</v>
      </c>
      <c r="B170" s="843" t="inlineStr">
        <is>
          <t>Kevin Sheerin</t>
        </is>
      </c>
      <c r="C170" s="842" t="n">
        <v>97592</v>
      </c>
      <c r="D170" s="843" t="inlineStr">
        <is>
          <t>Cyber Architecture Lead</t>
        </is>
      </c>
      <c r="E170" s="843" t="inlineStr">
        <is>
          <t>James Byrne</t>
        </is>
      </c>
      <c r="F170" s="843" t="n"/>
      <c r="G170" s="844" t="inlineStr">
        <is>
          <t>Cyber, Risk &amp; Operations</t>
        </is>
      </c>
      <c r="H170" s="843" t="inlineStr">
        <is>
          <t>Cyber Strat &amp; Tech</t>
        </is>
      </c>
      <c r="I170" s="843" t="inlineStr">
        <is>
          <t>NA</t>
        </is>
      </c>
      <c r="J170" s="843" t="inlineStr">
        <is>
          <t>NA</t>
        </is>
      </c>
      <c r="K170" s="843" t="inlineStr">
        <is>
          <t>NA</t>
        </is>
      </c>
      <c r="L170" s="843" t="inlineStr">
        <is>
          <t>NA</t>
        </is>
      </c>
      <c r="M170" s="843" t="n"/>
      <c r="N170" s="845" t="inlineStr">
        <is>
          <t>Australia</t>
        </is>
      </c>
      <c r="O170" s="846" t="inlineStr">
        <is>
          <t>CIC</t>
        </is>
      </c>
      <c r="P170" s="847" t="n">
        <v>1</v>
      </c>
      <c r="Q170" s="856" t="n"/>
      <c r="R170" s="847" t="inlineStr">
        <is>
          <t>Permanent - Full Time</t>
        </is>
      </c>
      <c r="S170" s="847" t="n"/>
      <c r="T170" s="847" t="n"/>
      <c r="U170" s="848" t="n">
        <v>213470</v>
      </c>
      <c r="V170" s="849" t="n">
        <v>213470</v>
      </c>
      <c r="W170" s="850" t="n">
        <v>0.12</v>
      </c>
      <c r="X170" s="847" t="n">
        <v>0.055</v>
      </c>
      <c r="Y170" s="850" t="n">
        <v>0.12</v>
      </c>
      <c r="Z170" s="851" t="n"/>
      <c r="AA170" s="850" t="n">
        <v>0.04</v>
      </c>
      <c r="AB170" s="852" t="n">
        <v>284982.45</v>
      </c>
      <c r="AD170" s="857" t="n"/>
      <c r="AE170" s="857">
        <f>IF(TRIM($B170)="","",IF(AND(N($P170)&gt;0,N($P170)&lt;1),N($AB170)*N($P170),N($AB170)))</f>
        <v>284982.45</v>
      </c>
      <c r="AF170" s="857" t="str">
        <f>IF(TRIM($B170)="","",IF(OR(ISNUMBER(SEARCH("vacant",$B170)),ISNUMBER(SEARCH("ring fenced",$B170)),LOWER(TRIM($B170))="remove"),"Vacant","Filled"))</f>
        <v>Filled</v>
      </c>
      <c r="AG170" s="857" t="b">
        <f>IF(TRIM($B170)="","",--ISNUMBER(SEARCH("ring fenced",$B170)))</f>
        <v>0</v>
      </c>
      <c r="AH170" s="853" t="str">
        <f>IF(TRIM($B170)="","",IF(COUNTIFS(Lists!$AN$2:$AN$22,TRIM($B170)&amp;" | "&amp;TRIM($D170),Lists!$AO$2:$AO$22,"&lt;&gt;"),INDEX(Lists!$AO$2:$AO$22,MATCH(TRIM($B170)&amp;" | "&amp;TRIM($D170),Lists!$AN$2:$AN$22,0)),IF(COUNTIF(Lists!$AR$2:$AR$3,$AJ170),"TDD Cyber",IF(AND(LEFT($AJ170,4)="EGI ",ISNUMBER(MATCH(TRIM(MID($AJ170,5,99)),Lists!$AS$2:$AS$12,0))),TRIM(MID($AJ170,5,99)),IF(AND(LEFT($AJ170,4)="EGI ",ISNUMBER(MATCH(TRIM(MID($AJ170,5,99)),Lists!$T$2:$T$21,0))),INDEX(Lists!$U$2:$U$21,MATCH(TRIM(MID($AJ170,5,99)),Lists!$T$2:$T$21,0)),IF(OR(TRIM($J170)="",UPPER(TRIM($J170))="NA"),IFERROR(INDEX(Lists!$R$2:$R$9,MATCH(TRIM($G170),Lists!$Q$2:$Q$9,0)),"UNMAPPED"),IFERROR(INDEX(Lists!$U$2:$U$21,MATCH(TRIM($J170),Lists!$T$2:$T$21,0)),IFERROR(INDEX(Lists!$R$2:$R$9,MATCH(TRIM($G170),Lists!$Q$2:$Q$9,0)),"UNMAPPED"))))))))</f>
        <v>TDD Cyber</v>
      </c>
      <c r="AI170" s="534" t="b">
        <f>IF(TRIM($B170)="","",--OR(TRIM($L170)="Leadership",TRIM($K170)="Leadership"))</f>
        <v>0</v>
      </c>
      <c r="AJ170" s="534" t="str">
        <f>IF(TRIM($B170)="","",IF(COUNTIFS(Lists!$AN$2:$AN$22,TRIM($B170)&amp;" | "&amp;TRIM($D170),Lists!$AP$2:$AP$22,"&lt;&gt;"),INDEX(Lists!$AP$2:$AP$22,MATCH(TRIM($B170)&amp;" | "&amp;TRIM($D170),Lists!$AN$2:$AN$22,0)),IF($AI170=1,"Leadership",IFERROR(INDEX(Lists!$X$2:$X$21,MATCH(TRIM($L170),Lists!$W$2:$W$21,0)),IF(OR(TRIM($L170)="",LOWER(TRIM($L170))="na"),IF(TRIM($H170)="","Unassigned",TRIM($H170)),TRIM($L170))))))</f>
        <v>Cyber Uplift</v>
      </c>
      <c r="AK170" s="534" t="str">
        <f>IF(TRIM($B170)="","",IF(COUNTIFS(Lists!$AN$2:$AN$22,TRIM($B170)&amp;" | "&amp;TRIM($D170),Lists!$AQ$2:$AQ$22,"&lt;&gt;"),INDEX(Lists!$AQ$2:$AQ$22,MATCH(TRIM($B170)&amp;" | "&amp;TRIM($D170),Lists!$AN$2:$AN$22,0)),IF(COUNTIF(Lists!$AF$2:$AF$8,$AJ170),$AJ170,IF(ISNUMBER(SEARCH("head of ",$D170)),"Head of Technology",IF(ISNUMBER(SEARCH("TDD BP",$D170)),"Business Partner",IF(OR(ISNUMBER(SEARCH("domain architect",$D170)),ISNUMBER(SEARCH("enterprise architect",$D170))),"Domain Architect",IF(ISNUMBER(SEARCH("delivery man",$D170)),"Delivery Manager",IF(OR(ISNUMBER(SEARCH("technology manager",$D170)),ISNUMBER(SEARCH("technology manger",$D170)),ISNUMBER(SEARCH("tech manager",$D170))),"Technology Manager","Squad"))))))))</f>
        <v>Squad</v>
      </c>
      <c r="AL170" s="534" t="str">
        <f>IF(TRIM($B170)="","",IF(AND($AM170=1,LEFT($AJ170,4)&lt;&gt;"EGI ",$AJ170&lt;&gt;"EGI"),IFERROR(INDEX(Lists!$Z$2:$Z$20,MATCH($AH170,Lists!$Y$2:$Y$20,0)),"EGI "&amp;$AH170),IF(COUNTIF(Lists!$AU$2:$AU$10,$AJ170),$AJ170,IF(OR(LEFT($AH170,3)="COE",$AH170="EGI"),$AJ170,IF($AK170&lt;&gt;"Squad",$AK170,$AJ170)))))</f>
        <v>Cyber Uplift</v>
      </c>
      <c r="AM170" s="534" t="b">
        <f>IF(TRIM($B170)="","",--(UPPER(TRIM($K170))="EGI"))</f>
        <v>0</v>
      </c>
      <c r="AQ170" s="841" t="inlineStr">
        <is>
          <t>R0169</t>
        </is>
      </c>
      <c r="AZ170" s="841" t="n"/>
    </row>
    <row r="171" ht="18" customHeight="1" s="535">
      <c r="A171" s="842" t="n">
        <v>113451</v>
      </c>
      <c r="B171" s="843" t="inlineStr">
        <is>
          <t>Prashanth Krishnankutty</t>
        </is>
      </c>
      <c r="C171" s="842" t="n">
        <v>113451</v>
      </c>
      <c r="D171" s="843" t="inlineStr">
        <is>
          <t>Lead Reporting &amp; Insights</t>
        </is>
      </c>
      <c r="E171" s="843" t="inlineStr">
        <is>
          <t>Jason Gleason</t>
        </is>
      </c>
      <c r="F171" s="843" t="inlineStr">
        <is>
          <t>Technology Manager, Data Engineering &amp; Platforms</t>
        </is>
      </c>
      <c r="G171" s="844" t="inlineStr">
        <is>
          <t>Strategy, Architecture &amp; Data</t>
        </is>
      </c>
      <c r="H171" s="843" t="inlineStr">
        <is>
          <t>Group Data</t>
        </is>
      </c>
      <c r="I171" s="843" t="inlineStr">
        <is>
          <t>Data Engineering &amp; Platforms</t>
        </is>
      </c>
      <c r="J171" s="843" t="inlineStr">
        <is>
          <t>Enterprise Data</t>
        </is>
      </c>
      <c r="K171" s="843" t="inlineStr">
        <is>
          <t>Group Data</t>
        </is>
      </c>
      <c r="L171" s="843" t="inlineStr">
        <is>
          <t>Reporting &amp; Analytics</t>
        </is>
      </c>
      <c r="M171" s="843" t="n"/>
      <c r="N171" s="845" t="inlineStr">
        <is>
          <t>Australia</t>
        </is>
      </c>
      <c r="O171" s="846" t="inlineStr">
        <is>
          <t>CIC</t>
        </is>
      </c>
      <c r="P171" s="847" t="n">
        <v>1</v>
      </c>
      <c r="Q171" s="856" t="n"/>
      <c r="R171" s="847" t="inlineStr">
        <is>
          <t>Permanent - Full Time</t>
        </is>
      </c>
      <c r="S171" s="847" t="n"/>
      <c r="T171" s="847" t="n"/>
      <c r="U171" s="848" t="n">
        <v>191290</v>
      </c>
      <c r="V171" s="849" t="n">
        <v>191290</v>
      </c>
      <c r="W171" s="850" t="n">
        <v>0.12</v>
      </c>
      <c r="X171" s="847" t="n">
        <v>0.055</v>
      </c>
      <c r="Y171" s="850" t="n">
        <v>0.12</v>
      </c>
      <c r="Z171" s="851" t="n"/>
      <c r="AA171" s="850" t="n">
        <v>0.04</v>
      </c>
      <c r="AB171" s="852" t="n">
        <v>255372.15</v>
      </c>
      <c r="AD171" s="857" t="n"/>
      <c r="AE171" s="857">
        <f>IF(TRIM($B171)="","",IF(AND(N($P171)&gt;0,N($P171)&lt;1),N($AB171)*N($P171),N($AB171)))</f>
        <v>255372.15</v>
      </c>
      <c r="AF171" s="857" t="str">
        <f>IF(TRIM($B171)="","",IF(OR(ISNUMBER(SEARCH("vacant",$B171)),ISNUMBER(SEARCH("ring fenced",$B171)),LOWER(TRIM($B171))="remove"),"Vacant","Filled"))</f>
        <v>Filled</v>
      </c>
      <c r="AG171" s="857" t="b">
        <f>IF(TRIM($B171)="","",--ISNUMBER(SEARCH("ring fenced",$B171)))</f>
        <v>0</v>
      </c>
      <c r="AH171" s="853" t="str">
        <f>IF(TRIM($B171)="","",IF(COUNTIFS(Lists!$AN$2:$AN$22,TRIM($B171)&amp;" | "&amp;TRIM($D171),Lists!$AO$2:$AO$22,"&lt;&gt;"),INDEX(Lists!$AO$2:$AO$22,MATCH(TRIM($B171)&amp;" | "&amp;TRIM($D171),Lists!$AN$2:$AN$22,0)),IF(COUNTIF(Lists!$AR$2:$AR$3,$AJ171),"TDD Cyber",IF(AND(LEFT($AJ171,4)="EGI ",ISNUMBER(MATCH(TRIM(MID($AJ171,5,99)),Lists!$AS$2:$AS$12,0))),TRIM(MID($AJ171,5,99)),IF(AND(LEFT($AJ171,4)="EGI ",ISNUMBER(MATCH(TRIM(MID($AJ171,5,99)),Lists!$T$2:$T$21,0))),INDEX(Lists!$U$2:$U$21,MATCH(TRIM(MID($AJ171,5,99)),Lists!$T$2:$T$21,0)),IF(OR(TRIM($J171)="",UPPER(TRIM($J171))="NA"),IFERROR(INDEX(Lists!$R$2:$R$9,MATCH(TRIM($G171),Lists!$Q$2:$Q$9,0)),"UNMAPPED"),IFERROR(INDEX(Lists!$U$2:$U$21,MATCH(TRIM($J171),Lists!$T$2:$T$21,0)),IFERROR(INDEX(Lists!$R$2:$R$9,MATCH(TRIM($G171),Lists!$Q$2:$Q$9,0)),"UNMAPPED"))))))))</f>
        <v>Enterprise Data</v>
      </c>
      <c r="AI171" s="534" t="b">
        <f>IF(TRIM($B171)="","",--OR(TRIM($L171)="Leadership",TRIM($K171)="Leadership"))</f>
        <v>0</v>
      </c>
      <c r="AJ171" s="534" t="str">
        <f>IF(TRIM($B171)="","",IF(COUNTIFS(Lists!$AN$2:$AN$22,TRIM($B171)&amp;" | "&amp;TRIM($D171),Lists!$AP$2:$AP$22,"&lt;&gt;"),INDEX(Lists!$AP$2:$AP$22,MATCH(TRIM($B171)&amp;" | "&amp;TRIM($D171),Lists!$AN$2:$AN$22,0)),IF($AI171=1,"Leadership",IFERROR(INDEX(Lists!$X$2:$X$21,MATCH(TRIM($L171),Lists!$W$2:$W$21,0)),IF(OR(TRIM($L171)="",LOWER(TRIM($L171))="na"),IF(TRIM($H171)="","Unassigned",TRIM($H171)),TRIM($L171))))))</f>
        <v>Reporting &amp; Analytics</v>
      </c>
      <c r="AK171" s="534" t="str">
        <f>IF(TRIM($B171)="","",IF(COUNTIFS(Lists!$AN$2:$AN$22,TRIM($B171)&amp;" | "&amp;TRIM($D171),Lists!$AQ$2:$AQ$22,"&lt;&gt;"),INDEX(Lists!$AQ$2:$AQ$22,MATCH(TRIM($B171)&amp;" | "&amp;TRIM($D171),Lists!$AN$2:$AN$22,0)),IF(COUNTIF(Lists!$AF$2:$AF$8,$AJ171),$AJ171,IF(ISNUMBER(SEARCH("head of ",$D171)),"Head of Technology",IF(ISNUMBER(SEARCH("TDD BP",$D171)),"Business Partner",IF(OR(ISNUMBER(SEARCH("domain architect",$D171)),ISNUMBER(SEARCH("enterprise architect",$D171))),"Domain Architect",IF(ISNUMBER(SEARCH("delivery man",$D171)),"Delivery Manager",IF(OR(ISNUMBER(SEARCH("technology manager",$D171)),ISNUMBER(SEARCH("technology manger",$D171)),ISNUMBER(SEARCH("tech manager",$D171))),"Technology Manager","Squad"))))))))</f>
        <v>Squad</v>
      </c>
      <c r="AL171" s="534" t="str">
        <f>IF(TRIM($B171)="","",IF(AND($AM171=1,LEFT($AJ171,4)&lt;&gt;"EGI ",$AJ171&lt;&gt;"EGI"),IFERROR(INDEX(Lists!$Z$2:$Z$20,MATCH($AH171,Lists!$Y$2:$Y$20,0)),"EGI "&amp;$AH171),IF(COUNTIF(Lists!$AU$2:$AU$10,$AJ171),$AJ171,IF(OR(LEFT($AH171,3)="COE",$AH171="EGI"),$AJ171,IF($AK171&lt;&gt;"Squad",$AK171,$AJ171)))))</f>
        <v>Reporting &amp; Analytics</v>
      </c>
      <c r="AM171" s="534" t="b">
        <f>IF(TRIM($B171)="","",--(UPPER(TRIM($K171))="EGI"))</f>
        <v>0</v>
      </c>
      <c r="AQ171" s="841" t="inlineStr">
        <is>
          <t>R0170</t>
        </is>
      </c>
      <c r="AZ171" s="841" t="n"/>
    </row>
    <row r="172" ht="18" customHeight="1" s="535">
      <c r="A172" s="842" t="n">
        <v>113607</v>
      </c>
      <c r="B172" s="843" t="inlineStr">
        <is>
          <t>Roozbeh Shahbazirad</t>
        </is>
      </c>
      <c r="C172" s="842" t="n">
        <v>113607</v>
      </c>
      <c r="D172" s="843" t="inlineStr">
        <is>
          <t>Lead Engineer</t>
        </is>
      </c>
      <c r="E172" s="843" t="inlineStr">
        <is>
          <t>Jason Gleason</t>
        </is>
      </c>
      <c r="F172" s="843" t="inlineStr">
        <is>
          <t>Technology Manager, Data Engineering &amp; Platforms</t>
        </is>
      </c>
      <c r="G172" s="844" t="inlineStr">
        <is>
          <t>Strategy, Architecture &amp; Data</t>
        </is>
      </c>
      <c r="H172" s="843" t="inlineStr">
        <is>
          <t>Group Data</t>
        </is>
      </c>
      <c r="I172" s="843" t="inlineStr">
        <is>
          <t>Data Engineering &amp; Platforms</t>
        </is>
      </c>
      <c r="J172" s="843" t="inlineStr">
        <is>
          <t>Enterprise Data</t>
        </is>
      </c>
      <c r="K172" s="843" t="inlineStr">
        <is>
          <t>Group Data</t>
        </is>
      </c>
      <c r="L172" s="843" t="inlineStr">
        <is>
          <t>Data Platform</t>
        </is>
      </c>
      <c r="M172" s="843" t="n"/>
      <c r="N172" s="845" t="inlineStr">
        <is>
          <t>NZ</t>
        </is>
      </c>
      <c r="O172" s="846" t="inlineStr">
        <is>
          <t>CIC</t>
        </is>
      </c>
      <c r="P172" s="847" t="n">
        <v>1</v>
      </c>
      <c r="Q172" s="856" t="n"/>
      <c r="R172" s="847" t="inlineStr">
        <is>
          <t>Permanent - Full Time</t>
        </is>
      </c>
      <c r="S172" s="847" t="n"/>
      <c r="T172" s="847" t="n"/>
      <c r="U172" s="848" t="n">
        <v>177710</v>
      </c>
      <c r="V172" s="849" t="n">
        <v>163493.2</v>
      </c>
      <c r="W172" s="850" t="n">
        <v>0.15</v>
      </c>
      <c r="X172" s="847" t="n"/>
      <c r="Y172" s="850" t="n">
        <v>0.05</v>
      </c>
      <c r="Z172" s="851" t="n">
        <v>2910</v>
      </c>
      <c r="AA172" s="850" t="n">
        <v>0.03</v>
      </c>
      <c r="AB172" s="852" t="n">
        <v>204006.636</v>
      </c>
      <c r="AC172" s="534" t="n">
        <v>113607</v>
      </c>
      <c r="AD172" s="857" t="n"/>
      <c r="AE172" s="857">
        <f>IF(TRIM($B172)="","",IF(AND(N($P172)&gt;0,N($P172)&lt;1),N($AB172)*N($P172),N($AB172)))</f>
        <v>204006.636</v>
      </c>
      <c r="AF172" s="857" t="str">
        <f>IF(TRIM($B172)="","",IF(OR(ISNUMBER(SEARCH("vacant",$B172)),ISNUMBER(SEARCH("ring fenced",$B172)),LOWER(TRIM($B172))="remove"),"Vacant","Filled"))</f>
        <v>Filled</v>
      </c>
      <c r="AG172" s="857" t="b">
        <f>IF(TRIM($B172)="","",--ISNUMBER(SEARCH("ring fenced",$B172)))</f>
        <v>0</v>
      </c>
      <c r="AH172" s="853" t="str">
        <f>IF(TRIM($B172)="","",IF(COUNTIFS(Lists!$AN$2:$AN$22,TRIM($B172)&amp;" | "&amp;TRIM($D172),Lists!$AO$2:$AO$22,"&lt;&gt;"),INDEX(Lists!$AO$2:$AO$22,MATCH(TRIM($B172)&amp;" | "&amp;TRIM($D172),Lists!$AN$2:$AN$22,0)),IF(COUNTIF(Lists!$AR$2:$AR$3,$AJ172),"TDD Cyber",IF(AND(LEFT($AJ172,4)="EGI ",ISNUMBER(MATCH(TRIM(MID($AJ172,5,99)),Lists!$AS$2:$AS$12,0))),TRIM(MID($AJ172,5,99)),IF(AND(LEFT($AJ172,4)="EGI ",ISNUMBER(MATCH(TRIM(MID($AJ172,5,99)),Lists!$T$2:$T$21,0))),INDEX(Lists!$U$2:$U$21,MATCH(TRIM(MID($AJ172,5,99)),Lists!$T$2:$T$21,0)),IF(OR(TRIM($J172)="",UPPER(TRIM($J172))="NA"),IFERROR(INDEX(Lists!$R$2:$R$9,MATCH(TRIM($G172),Lists!$Q$2:$Q$9,0)),"UNMAPPED"),IFERROR(INDEX(Lists!$U$2:$U$21,MATCH(TRIM($J172),Lists!$T$2:$T$21,0)),IFERROR(INDEX(Lists!$R$2:$R$9,MATCH(TRIM($G172),Lists!$Q$2:$Q$9,0)),"UNMAPPED"))))))))</f>
        <v>Enterprise Data</v>
      </c>
      <c r="AI172" s="534" t="b">
        <f>IF(TRIM($B172)="","",--OR(TRIM($L172)="Leadership",TRIM($K172)="Leadership"))</f>
        <v>0</v>
      </c>
      <c r="AJ172" s="534" t="str">
        <f>IF(TRIM($B172)="","",IF(COUNTIFS(Lists!$AN$2:$AN$22,TRIM($B172)&amp;" | "&amp;TRIM($D172),Lists!$AP$2:$AP$22,"&lt;&gt;"),INDEX(Lists!$AP$2:$AP$22,MATCH(TRIM($B172)&amp;" | "&amp;TRIM($D172),Lists!$AN$2:$AN$22,0)),IF($AI172=1,"Leadership",IFERROR(INDEX(Lists!$X$2:$X$21,MATCH(TRIM($L172),Lists!$W$2:$W$21,0)),IF(OR(TRIM($L172)="",LOWER(TRIM($L172))="na"),IF(TRIM($H172)="","Unassigned",TRIM($H172)),TRIM($L172))))))</f>
        <v>Data Platforms</v>
      </c>
      <c r="AK172" s="534" t="str">
        <f>IF(TRIM($B172)="","",IF(COUNTIFS(Lists!$AN$2:$AN$22,TRIM($B172)&amp;" | "&amp;TRIM($D172),Lists!$AQ$2:$AQ$22,"&lt;&gt;"),INDEX(Lists!$AQ$2:$AQ$22,MATCH(TRIM($B172)&amp;" | "&amp;TRIM($D172),Lists!$AN$2:$AN$22,0)),IF(COUNTIF(Lists!$AF$2:$AF$8,$AJ172),$AJ172,IF(ISNUMBER(SEARCH("head of ",$D172)),"Head of Technology",IF(ISNUMBER(SEARCH("TDD BP",$D172)),"Business Partner",IF(OR(ISNUMBER(SEARCH("domain architect",$D172)),ISNUMBER(SEARCH("enterprise architect",$D172))),"Domain Architect",IF(ISNUMBER(SEARCH("delivery man",$D172)),"Delivery Manager",IF(OR(ISNUMBER(SEARCH("technology manager",$D172)),ISNUMBER(SEARCH("technology manger",$D172)),ISNUMBER(SEARCH("tech manager",$D172))),"Technology Manager","Squad"))))))))</f>
        <v>Squad</v>
      </c>
      <c r="AL172" s="534" t="str">
        <f>IF(TRIM($B172)="","",IF(AND($AM172=1,LEFT($AJ172,4)&lt;&gt;"EGI ",$AJ172&lt;&gt;"EGI"),IFERROR(INDEX(Lists!$Z$2:$Z$20,MATCH($AH172,Lists!$Y$2:$Y$20,0)),"EGI "&amp;$AH172),IF(COUNTIF(Lists!$AU$2:$AU$10,$AJ172),$AJ172,IF(OR(LEFT($AH172,3)="COE",$AH172="EGI"),$AJ172,IF($AK172&lt;&gt;"Squad",$AK172,$AJ172)))))</f>
        <v>Data Platforms</v>
      </c>
      <c r="AM172" s="534" t="b">
        <f>IF(TRIM($B172)="","",--(UPPER(TRIM($K172))="EGI"))</f>
        <v>0</v>
      </c>
      <c r="AQ172" s="841" t="inlineStr">
        <is>
          <t>R0171</t>
        </is>
      </c>
      <c r="AZ172" s="841" t="n"/>
    </row>
    <row r="173" ht="18" customHeight="1" s="535">
      <c r="A173" s="842" t="n">
        <v>12010</v>
      </c>
      <c r="B173" s="843" t="inlineStr">
        <is>
          <t>Sai Konka</t>
        </is>
      </c>
      <c r="C173" s="842" t="n">
        <v>12010</v>
      </c>
      <c r="D173" s="843" t="inlineStr">
        <is>
          <t>Application &amp; Analytics Manager</t>
        </is>
      </c>
      <c r="E173" s="843" t="inlineStr">
        <is>
          <t>Jason Gleason</t>
        </is>
      </c>
      <c r="F173" s="843" t="inlineStr">
        <is>
          <t>Technology Manager, Data Engineering &amp; Platforms</t>
        </is>
      </c>
      <c r="G173" s="844" t="inlineStr">
        <is>
          <t>Strategy, Architecture &amp; Data</t>
        </is>
      </c>
      <c r="H173" s="843" t="inlineStr">
        <is>
          <t>Group Data</t>
        </is>
      </c>
      <c r="I173" s="843" t="inlineStr">
        <is>
          <t>Data Engineering &amp; Platforms</t>
        </is>
      </c>
      <c r="J173" s="843" t="inlineStr">
        <is>
          <t>Enterprise Data</t>
        </is>
      </c>
      <c r="K173" s="843" t="inlineStr">
        <is>
          <t>EGI</t>
        </is>
      </c>
      <c r="L173" s="843" t="inlineStr">
        <is>
          <t>Reporting &amp; Analytics</t>
        </is>
      </c>
      <c r="M173" s="843" t="n"/>
      <c r="N173" s="845" t="inlineStr">
        <is>
          <t>Australia</t>
        </is>
      </c>
      <c r="O173" s="846" t="inlineStr">
        <is>
          <t>CIC</t>
        </is>
      </c>
      <c r="P173" s="847" t="n">
        <v>1</v>
      </c>
      <c r="Q173" s="856" t="n"/>
      <c r="R173" s="847" t="inlineStr">
        <is>
          <t>Permanent - Full Time</t>
        </is>
      </c>
      <c r="S173" s="847" t="n"/>
      <c r="T173" s="847" t="n"/>
      <c r="U173" s="848" t="n">
        <v>197480</v>
      </c>
      <c r="V173" s="849" t="n">
        <v>197480</v>
      </c>
      <c r="W173" s="850" t="n">
        <v>0.12</v>
      </c>
      <c r="X173" s="847" t="n">
        <v>0.055</v>
      </c>
      <c r="Y173" s="850" t="n">
        <v>0.12</v>
      </c>
      <c r="Z173" s="851" t="n"/>
      <c r="AA173" s="850" t="n">
        <v>0.04</v>
      </c>
      <c r="AB173" s="852" t="n">
        <v>263635.8</v>
      </c>
      <c r="AD173" s="857" t="n"/>
      <c r="AE173" s="857">
        <f>IF(TRIM($B173)="","",IF(AND(N($P173)&gt;0,N($P173)&lt;1),N($AB173)*N($P173),N($AB173)))</f>
        <v>263635.8</v>
      </c>
      <c r="AF173" s="857" t="str">
        <f>IF(TRIM($B173)="","",IF(OR(ISNUMBER(SEARCH("vacant",$B173)),ISNUMBER(SEARCH("ring fenced",$B173)),LOWER(TRIM($B173))="remove"),"Vacant","Filled"))</f>
        <v>Filled</v>
      </c>
      <c r="AG173" s="857" t="b">
        <f>IF(TRIM($B173)="","",--ISNUMBER(SEARCH("ring fenced",$B173)))</f>
        <v>0</v>
      </c>
      <c r="AH173" s="534" t="str">
        <f>IF(TRIM($B173)="","",IF(COUNTIFS(Lists!$AN$2:$AN$22,TRIM($B173)&amp;" | "&amp;TRIM($D173),Lists!$AO$2:$AO$22,"&lt;&gt;"),INDEX(Lists!$AO$2:$AO$22,MATCH(TRIM($B173)&amp;" | "&amp;TRIM($D173),Lists!$AN$2:$AN$22,0)),IF(COUNTIF(Lists!$AR$2:$AR$3,$AJ173),"TDD Cyber",IF(AND(LEFT($AJ173,4)="EGI ",ISNUMBER(MATCH(TRIM(MID($AJ173,5,99)),Lists!$AS$2:$AS$12,0))),TRIM(MID($AJ173,5,99)),IF(AND(LEFT($AJ173,4)="EGI ",ISNUMBER(MATCH(TRIM(MID($AJ173,5,99)),Lists!$T$2:$T$21,0))),INDEX(Lists!$U$2:$U$21,MATCH(TRIM(MID($AJ173,5,99)),Lists!$T$2:$T$21,0)),IF(OR(TRIM($J173)="",UPPER(TRIM($J173))="NA"),IFERROR(INDEX(Lists!$R$2:$R$9,MATCH(TRIM($G173),Lists!$Q$2:$Q$9,0)),"UNMAPPED"),IFERROR(INDEX(Lists!$U$2:$U$21,MATCH(TRIM($J173),Lists!$T$2:$T$21,0)),IFERROR(INDEX(Lists!$R$2:$R$9,MATCH(TRIM($G173),Lists!$Q$2:$Q$9,0)),"UNMAPPED"))))))))</f>
        <v>Enterprise Data</v>
      </c>
      <c r="AI173" s="534" t="b">
        <f>IF(TRIM($B173)="","",--OR(TRIM($L173)="Leadership",TRIM($K173)="Leadership"))</f>
        <v>0</v>
      </c>
      <c r="AJ173" s="534" t="str">
        <f>IF(TRIM($B173)="","",IF(COUNTIFS(Lists!$AN$2:$AN$22,TRIM($B173)&amp;" | "&amp;TRIM($D173),Lists!$AP$2:$AP$22,"&lt;&gt;"),INDEX(Lists!$AP$2:$AP$22,MATCH(TRIM($B173)&amp;" | "&amp;TRIM($D173),Lists!$AN$2:$AN$22,0)),IF($AI173=1,"Leadership",IFERROR(INDEX(Lists!$X$2:$X$21,MATCH(TRIM($L173),Lists!$W$2:$W$21,0)),IF(OR(TRIM($L173)="",LOWER(TRIM($L173))="na"),IF(TRIM($H173)="","Unassigned",TRIM($H173)),TRIM($L173))))))</f>
        <v>Reporting &amp; Analytics</v>
      </c>
      <c r="AK173" s="534" t="str">
        <f>IF(TRIM($B173)="","",IF(COUNTIFS(Lists!$AN$2:$AN$22,TRIM($B173)&amp;" | "&amp;TRIM($D173),Lists!$AQ$2:$AQ$22,"&lt;&gt;"),INDEX(Lists!$AQ$2:$AQ$22,MATCH(TRIM($B173)&amp;" | "&amp;TRIM($D173),Lists!$AN$2:$AN$22,0)),IF(COUNTIF(Lists!$AF$2:$AF$8,$AJ173),$AJ173,IF(ISNUMBER(SEARCH("head of ",$D173)),"Head of Technology",IF(ISNUMBER(SEARCH("TDD BP",$D173)),"Business Partner",IF(OR(ISNUMBER(SEARCH("domain architect",$D173)),ISNUMBER(SEARCH("enterprise architect",$D173))),"Domain Architect",IF(ISNUMBER(SEARCH("delivery man",$D173)),"Delivery Manager",IF(OR(ISNUMBER(SEARCH("technology manager",$D173)),ISNUMBER(SEARCH("technology manger",$D173)),ISNUMBER(SEARCH("tech manager",$D173))),"Technology Manager","Squad"))))))))</f>
        <v>Squad</v>
      </c>
      <c r="AL173" s="534" t="str">
        <f>IF(TRIM($B173)="","",IF(AND($AM173=1,LEFT($AJ173,4)&lt;&gt;"EGI ",$AJ173&lt;&gt;"EGI"),IFERROR(INDEX(Lists!$Z$2:$Z$20,MATCH($AH173,Lists!$Y$2:$Y$20,0)),"EGI "&amp;$AH173),IF(COUNTIF(Lists!$AU$2:$AU$10,$AJ173),$AJ173,IF(OR(LEFT($AH173,3)="COE",$AH173="EGI"),$AJ173,IF($AK173&lt;&gt;"Squad",$AK173,$AJ173)))))</f>
        <v>EGI Ent Data</v>
      </c>
      <c r="AM173" s="534" t="b">
        <f>IF(TRIM($B173)="","",--(UPPER(TRIM($K173))="EGI"))</f>
        <v>1</v>
      </c>
      <c r="AQ173" s="841" t="inlineStr">
        <is>
          <t>R0172</t>
        </is>
      </c>
      <c r="AZ173" s="841" t="n"/>
    </row>
    <row r="174" ht="18" customHeight="1" s="535">
      <c r="A174" s="842" t="n">
        <v>114147</v>
      </c>
      <c r="B174" s="843" t="inlineStr">
        <is>
          <t>Sumathi Manikkampichai</t>
        </is>
      </c>
      <c r="C174" s="842" t="n">
        <v>114147</v>
      </c>
      <c r="D174" s="843" t="inlineStr">
        <is>
          <t>Data Architect</t>
        </is>
      </c>
      <c r="E174" s="843" t="inlineStr">
        <is>
          <t>Jason Gleason</t>
        </is>
      </c>
      <c r="F174" s="843" t="inlineStr">
        <is>
          <t>Technology Manager, Data Engineering &amp; Platforms</t>
        </is>
      </c>
      <c r="G174" s="844" t="inlineStr">
        <is>
          <t>Strategy, Architecture &amp; Data</t>
        </is>
      </c>
      <c r="H174" s="843" t="inlineStr">
        <is>
          <t>Group Data</t>
        </is>
      </c>
      <c r="I174" s="843" t="inlineStr">
        <is>
          <t>Data Engineering &amp; Platforms</t>
        </is>
      </c>
      <c r="J174" s="843" t="inlineStr">
        <is>
          <t>Enterprise Data</t>
        </is>
      </c>
      <c r="K174" s="843" t="inlineStr">
        <is>
          <t>EGI</t>
        </is>
      </c>
      <c r="L174" s="843" t="inlineStr">
        <is>
          <t>Reporting &amp; Analytics</t>
        </is>
      </c>
      <c r="M174" s="843" t="n"/>
      <c r="N174" s="845" t="inlineStr">
        <is>
          <t>Australia</t>
        </is>
      </c>
      <c r="O174" s="846" t="inlineStr">
        <is>
          <t>CIC</t>
        </is>
      </c>
      <c r="P174" s="847" t="n">
        <v>1</v>
      </c>
      <c r="Q174" s="856" t="n"/>
      <c r="R174" s="847" t="inlineStr">
        <is>
          <t>Permanent - Full Time</t>
        </is>
      </c>
      <c r="S174" s="847" t="n"/>
      <c r="T174" s="847" t="n"/>
      <c r="U174" s="848" t="n">
        <v>188010</v>
      </c>
      <c r="V174" s="849" t="n">
        <v>188010</v>
      </c>
      <c r="W174" s="850" t="n">
        <v>0.12</v>
      </c>
      <c r="X174" s="847" t="n">
        <v>0.055</v>
      </c>
      <c r="Y174" s="850" t="n">
        <v>0.12</v>
      </c>
      <c r="Z174" s="851" t="n"/>
      <c r="AA174" s="850" t="n">
        <v>0.04</v>
      </c>
      <c r="AB174" s="852" t="n">
        <v>250993.35</v>
      </c>
      <c r="AD174" s="857" t="n"/>
      <c r="AE174" s="857">
        <f>IF(TRIM($B174)="","",IF(AND(N($P174)&gt;0,N($P174)&lt;1),N($AB174)*N($P174),N($AB174)))</f>
        <v>250993.35</v>
      </c>
      <c r="AF174" s="857" t="str">
        <f>IF(TRIM($B174)="","",IF(OR(ISNUMBER(SEARCH("vacant",$B174)),ISNUMBER(SEARCH("ring fenced",$B174)),LOWER(TRIM($B174))="remove"),"Vacant","Filled"))</f>
        <v>Filled</v>
      </c>
      <c r="AG174" s="857" t="b">
        <f>IF(TRIM($B174)="","",--ISNUMBER(SEARCH("ring fenced",$B174)))</f>
        <v>0</v>
      </c>
      <c r="AH174" s="534" t="str">
        <f>IF(TRIM($B174)="","",IF(COUNTIFS(Lists!$AN$2:$AN$22,TRIM($B174)&amp;" | "&amp;TRIM($D174),Lists!$AO$2:$AO$22,"&lt;&gt;"),INDEX(Lists!$AO$2:$AO$22,MATCH(TRIM($B174)&amp;" | "&amp;TRIM($D174),Lists!$AN$2:$AN$22,0)),IF(COUNTIF(Lists!$AR$2:$AR$3,$AJ174),"TDD Cyber",IF(AND(LEFT($AJ174,4)="EGI ",ISNUMBER(MATCH(TRIM(MID($AJ174,5,99)),Lists!$AS$2:$AS$12,0))),TRIM(MID($AJ174,5,99)),IF(AND(LEFT($AJ174,4)="EGI ",ISNUMBER(MATCH(TRIM(MID($AJ174,5,99)),Lists!$T$2:$T$21,0))),INDEX(Lists!$U$2:$U$21,MATCH(TRIM(MID($AJ174,5,99)),Lists!$T$2:$T$21,0)),IF(OR(TRIM($J174)="",UPPER(TRIM($J174))="NA"),IFERROR(INDEX(Lists!$R$2:$R$9,MATCH(TRIM($G174),Lists!$Q$2:$Q$9,0)),"UNMAPPED"),IFERROR(INDEX(Lists!$U$2:$U$21,MATCH(TRIM($J174),Lists!$T$2:$T$21,0)),IFERROR(INDEX(Lists!$R$2:$R$9,MATCH(TRIM($G174),Lists!$Q$2:$Q$9,0)),"UNMAPPED"))))))))</f>
        <v>Enterprise Data</v>
      </c>
      <c r="AI174" s="534" t="b">
        <f>IF(TRIM($B174)="","",--OR(TRIM($L174)="Leadership",TRIM($K174)="Leadership"))</f>
        <v>0</v>
      </c>
      <c r="AJ174" s="534" t="str">
        <f>IF(TRIM($B174)="","",IF(COUNTIFS(Lists!$AN$2:$AN$22,TRIM($B174)&amp;" | "&amp;TRIM($D174),Lists!$AP$2:$AP$22,"&lt;&gt;"),INDEX(Lists!$AP$2:$AP$22,MATCH(TRIM($B174)&amp;" | "&amp;TRIM($D174),Lists!$AN$2:$AN$22,0)),IF($AI174=1,"Leadership",IFERROR(INDEX(Lists!$X$2:$X$21,MATCH(TRIM($L174),Lists!$W$2:$W$21,0)),IF(OR(TRIM($L174)="",LOWER(TRIM($L174))="na"),IF(TRIM($H174)="","Unassigned",TRIM($H174)),TRIM($L174))))))</f>
        <v>Reporting &amp; Analytics</v>
      </c>
      <c r="AK174" s="534" t="str">
        <f>IF(TRIM($B174)="","",IF(COUNTIFS(Lists!$AN$2:$AN$22,TRIM($B174)&amp;" | "&amp;TRIM($D174),Lists!$AQ$2:$AQ$22,"&lt;&gt;"),INDEX(Lists!$AQ$2:$AQ$22,MATCH(TRIM($B174)&amp;" | "&amp;TRIM($D174),Lists!$AN$2:$AN$22,0)),IF(COUNTIF(Lists!$AF$2:$AF$8,$AJ174),$AJ174,IF(ISNUMBER(SEARCH("head of ",$D174)),"Head of Technology",IF(ISNUMBER(SEARCH("TDD BP",$D174)),"Business Partner",IF(OR(ISNUMBER(SEARCH("domain architect",$D174)),ISNUMBER(SEARCH("enterprise architect",$D174))),"Domain Architect",IF(ISNUMBER(SEARCH("delivery man",$D174)),"Delivery Manager",IF(OR(ISNUMBER(SEARCH("technology manager",$D174)),ISNUMBER(SEARCH("technology manger",$D174)),ISNUMBER(SEARCH("tech manager",$D174))),"Technology Manager","Squad"))))))))</f>
        <v>Squad</v>
      </c>
      <c r="AL174" s="534" t="str">
        <f>IF(TRIM($B174)="","",IF(AND($AM174=1,LEFT($AJ174,4)&lt;&gt;"EGI ",$AJ174&lt;&gt;"EGI"),IFERROR(INDEX(Lists!$Z$2:$Z$20,MATCH($AH174,Lists!$Y$2:$Y$20,0)),"EGI "&amp;$AH174),IF(COUNTIF(Lists!$AU$2:$AU$10,$AJ174),$AJ174,IF(OR(LEFT($AH174,3)="COE",$AH174="EGI"),$AJ174,IF($AK174&lt;&gt;"Squad",$AK174,$AJ174)))))</f>
        <v>EGI Ent Data</v>
      </c>
      <c r="AM174" s="534" t="b">
        <f>IF(TRIM($B174)="","",--(UPPER(TRIM($K174))="EGI"))</f>
        <v>1</v>
      </c>
      <c r="AQ174" s="841" t="inlineStr">
        <is>
          <t>R0173</t>
        </is>
      </c>
      <c r="AZ174" s="841" t="n"/>
    </row>
    <row r="175" ht="18" customHeight="1" s="535">
      <c r="A175" s="842" t="inlineStr">
        <is>
          <t>V</t>
        </is>
      </c>
      <c r="B175" s="843" t="inlineStr">
        <is>
          <t>Vacant</t>
        </is>
      </c>
      <c r="C175" s="842" t="inlineStr">
        <is>
          <t>V</t>
        </is>
      </c>
      <c r="D175" s="843" t="inlineStr">
        <is>
          <t>Solution Architect</t>
        </is>
      </c>
      <c r="E175" s="843" t="inlineStr">
        <is>
          <t>Jaya Ganasan</t>
        </is>
      </c>
      <c r="F175" s="843" t="inlineStr">
        <is>
          <t>Technology Manager, TDD Refinery</t>
        </is>
      </c>
      <c r="G175" s="844" t="inlineStr">
        <is>
          <t>TDD CFE&amp;I</t>
        </is>
      </c>
      <c r="H175" s="843" t="inlineStr">
        <is>
          <t>Fuel Infrastructure</t>
        </is>
      </c>
      <c r="I175" s="843" t="inlineStr">
        <is>
          <t>Refinery Applications</t>
        </is>
      </c>
      <c r="J175" s="843" t="inlineStr">
        <is>
          <t>Infrastructure</t>
        </is>
      </c>
      <c r="K175" s="843" t="inlineStr">
        <is>
          <t>Manufacturing</t>
        </is>
      </c>
      <c r="L175" s="843" t="inlineStr">
        <is>
          <t>Manufacturing Group Projects</t>
        </is>
      </c>
      <c r="M175" s="843" t="n"/>
      <c r="N175" s="845" t="inlineStr">
        <is>
          <t>australia</t>
        </is>
      </c>
      <c r="O175" s="846" t="inlineStr">
        <is>
          <t>CIC</t>
        </is>
      </c>
      <c r="P175" s="847" t="n">
        <v>1</v>
      </c>
      <c r="Q175" s="856" t="n"/>
      <c r="R175" s="847" t="inlineStr">
        <is>
          <t>v</t>
        </is>
      </c>
      <c r="S175" s="847" t="n"/>
      <c r="T175" s="847" t="n"/>
      <c r="U175" s="848" t="n">
        <v>173550</v>
      </c>
      <c r="V175" s="849" t="n">
        <v>173550</v>
      </c>
      <c r="W175" s="850" t="n">
        <v>0.12</v>
      </c>
      <c r="X175" s="847" t="n">
        <v>0.055</v>
      </c>
      <c r="Y175" s="850" t="n">
        <v>0.12</v>
      </c>
      <c r="Z175" s="851" t="n"/>
      <c r="AA175" s="850" t="n">
        <v>0.04</v>
      </c>
      <c r="AB175" s="852" t="n">
        <v>231689.25</v>
      </c>
      <c r="AD175" s="857" t="n"/>
      <c r="AE175" s="857">
        <f>IF(TRIM($B175)="","",IF(AND(N($P175)&gt;0,N($P175)&lt;1),N($AB175)*N($P175),N($AB175)))</f>
        <v>231689.25</v>
      </c>
      <c r="AF175" s="857" t="str">
        <f>IF(TRIM($B175)="","",IF(OR(ISNUMBER(SEARCH("vacant",$B175)),ISNUMBER(SEARCH("ring fenced",$B175)),LOWER(TRIM($B175))="remove"),"Vacant","Filled"))</f>
        <v>Vacant</v>
      </c>
      <c r="AG175" s="857" t="b">
        <f>IF(TRIM($B175)="","",--ISNUMBER(SEARCH("ring fenced",$B175)))</f>
        <v>0</v>
      </c>
      <c r="AH175" s="853" t="str">
        <f>IF(TRIM($B175)="","",IF(COUNTIFS(Lists!$AN$2:$AN$22,TRIM($B175)&amp;" | "&amp;TRIM($D175),Lists!$AO$2:$AO$22,"&lt;&gt;"),INDEX(Lists!$AO$2:$AO$22,MATCH(TRIM($B175)&amp;" | "&amp;TRIM($D175),Lists!$AN$2:$AN$22,0)),IF(COUNTIF(Lists!$AR$2:$AR$3,$AJ175),"TDD Cyber",IF(AND(LEFT($AJ175,4)="EGI ",ISNUMBER(MATCH(TRIM(MID($AJ175,5,99)),Lists!$AS$2:$AS$12,0))),TRIM(MID($AJ175,5,99)),IF(AND(LEFT($AJ175,4)="EGI ",ISNUMBER(MATCH(TRIM(MID($AJ175,5,99)),Lists!$T$2:$T$21,0))),INDEX(Lists!$U$2:$U$21,MATCH(TRIM(MID($AJ175,5,99)),Lists!$T$2:$T$21,0)),IF(OR(TRIM($J175)="",UPPER(TRIM($J175))="NA"),IFERROR(INDEX(Lists!$R$2:$R$9,MATCH(TRIM($G175),Lists!$Q$2:$Q$9,0)),"UNMAPPED"),IFERROR(INDEX(Lists!$U$2:$U$21,MATCH(TRIM($J175),Lists!$T$2:$T$21,0)),IFERROR(INDEX(Lists!$R$2:$R$9,MATCH(TRIM($G175),Lists!$Q$2:$Q$9,0)),"UNMAPPED"))))))))</f>
        <v>Infrastructure</v>
      </c>
      <c r="AI175" s="534" t="b">
        <f>IF(TRIM($B175)="","",--OR(TRIM($L175)="Leadership",TRIM($K175)="Leadership"))</f>
        <v>0</v>
      </c>
      <c r="AJ175" s="534" t="str">
        <f>IF(TRIM($B175)="","",IF(COUNTIFS(Lists!$AN$2:$AN$22,TRIM($B175)&amp;" | "&amp;TRIM($D175),Lists!$AP$2:$AP$22,"&lt;&gt;"),INDEX(Lists!$AP$2:$AP$22,MATCH(TRIM($B175)&amp;" | "&amp;TRIM($D175),Lists!$AN$2:$AN$22,0)),IF($AI175=1,"Leadership",IFERROR(INDEX(Lists!$X$2:$X$21,MATCH(TRIM($L175),Lists!$W$2:$W$21,0)),IF(OR(TRIM($L175)="",LOWER(TRIM($L175))="na"),IF(TRIM($H175)="","Unassigned",TRIM($H175)),TRIM($L175))))))</f>
        <v>Manufacturing Group Projects</v>
      </c>
      <c r="AK175" s="534" t="str">
        <f>IF(TRIM($B175)="","",IF(COUNTIFS(Lists!$AN$2:$AN$22,TRIM($B175)&amp;" | "&amp;TRIM($D175),Lists!$AQ$2:$AQ$22,"&lt;&gt;"),INDEX(Lists!$AQ$2:$AQ$22,MATCH(TRIM($B175)&amp;" | "&amp;TRIM($D175),Lists!$AN$2:$AN$22,0)),IF(COUNTIF(Lists!$AF$2:$AF$8,$AJ175),$AJ175,IF(ISNUMBER(SEARCH("head of ",$D175)),"Head of Technology",IF(ISNUMBER(SEARCH("TDD BP",$D175)),"Business Partner",IF(OR(ISNUMBER(SEARCH("domain architect",$D175)),ISNUMBER(SEARCH("enterprise architect",$D175))),"Domain Architect",IF(ISNUMBER(SEARCH("delivery man",$D175)),"Delivery Manager",IF(OR(ISNUMBER(SEARCH("technology manager",$D175)),ISNUMBER(SEARCH("technology manger",$D175)),ISNUMBER(SEARCH("tech manager",$D175))),"Technology Manager","Squad"))))))))</f>
        <v>Squad</v>
      </c>
      <c r="AL175" s="534" t="str">
        <f>IF(TRIM($B175)="","",IF(AND($AM175=1,LEFT($AJ175,4)&lt;&gt;"EGI ",$AJ175&lt;&gt;"EGI"),IFERROR(INDEX(Lists!$Z$2:$Z$20,MATCH($AH175,Lists!$Y$2:$Y$20,0)),"EGI "&amp;$AH175),IF(COUNTIF(Lists!$AU$2:$AU$10,$AJ175),$AJ175,IF(OR(LEFT($AH175,3)="COE",$AH175="EGI"),$AJ175,IF($AK175&lt;&gt;"Squad",$AK175,$AJ175)))))</f>
        <v>Manufacturing Group Projects</v>
      </c>
      <c r="AM175" s="534" t="b">
        <f>IF(TRIM($B175)="","",--(UPPER(TRIM($K175))="EGI"))</f>
        <v>0</v>
      </c>
      <c r="AN175" s="534" t="inlineStr">
        <is>
          <t>Vacant</t>
        </is>
      </c>
      <c r="AO175" s="534" t="inlineStr">
        <is>
          <t>NOTE: This is role is in the Z Loyalty &amp; Martech squad</t>
        </is>
      </c>
      <c r="AQ175" s="841" t="inlineStr">
        <is>
          <t>R0174</t>
        </is>
      </c>
      <c r="AZ175" s="841" t="n"/>
    </row>
    <row r="176" ht="18" customHeight="1" s="535">
      <c r="A176" s="842" t="n">
        <v>80477</v>
      </c>
      <c r="B176" s="843" t="inlineStr">
        <is>
          <t>Kina Birkby</t>
        </is>
      </c>
      <c r="C176" s="842" t="n">
        <v>80477</v>
      </c>
      <c r="D176" s="843" t="inlineStr">
        <is>
          <t>Delivery Lead</t>
        </is>
      </c>
      <c r="E176" s="843" t="inlineStr">
        <is>
          <t>Joel Vijayakumar</t>
        </is>
      </c>
      <c r="F176" s="843" t="inlineStr">
        <is>
          <t>Delivery Manager, Strategy, Architecture &amp; Data</t>
        </is>
      </c>
      <c r="G176" s="844" t="inlineStr">
        <is>
          <t>Strategy, Architecture &amp; Data</t>
        </is>
      </c>
      <c r="H176" s="843" t="inlineStr">
        <is>
          <t>Delivery, SADA</t>
        </is>
      </c>
      <c r="I176" s="843" t="n"/>
      <c r="J176" s="843" t="inlineStr">
        <is>
          <t>Enterprise Data</t>
        </is>
      </c>
      <c r="K176" s="843" t="inlineStr">
        <is>
          <t>Group Data</t>
        </is>
      </c>
      <c r="L176" s="843" t="inlineStr">
        <is>
          <t>Reporting &amp; Analytics</t>
        </is>
      </c>
      <c r="M176" s="843" t="n"/>
      <c r="N176" s="845" t="inlineStr">
        <is>
          <t>Australia</t>
        </is>
      </c>
      <c r="O176" s="846" t="inlineStr">
        <is>
          <t>CIC</t>
        </is>
      </c>
      <c r="P176" s="847" t="n">
        <v>0.6</v>
      </c>
      <c r="Q176" s="856" t="n"/>
      <c r="R176" s="847" t="inlineStr">
        <is>
          <t>Permanent - Part Time</t>
        </is>
      </c>
      <c r="S176" s="847" t="n"/>
      <c r="T176" s="847" t="n"/>
      <c r="U176" s="848" t="n">
        <v>197180</v>
      </c>
      <c r="V176" s="849" t="n">
        <v>197180</v>
      </c>
      <c r="W176" s="850" t="n">
        <v>0.12</v>
      </c>
      <c r="X176" s="847" t="n">
        <v>0.055</v>
      </c>
      <c r="Y176" s="850" t="n">
        <v>0.12</v>
      </c>
      <c r="Z176" s="851" t="n"/>
      <c r="AA176" s="850" t="n">
        <v>0.04</v>
      </c>
      <c r="AB176" s="852" t="n">
        <v>263235.3</v>
      </c>
      <c r="AD176" s="857" t="n"/>
      <c r="AE176" s="857">
        <f>IF(TRIM($B176)="","",IF(AND(N($P176)&gt;0,N($P176)&lt;1),N($AB176)*N($P176),N($AB176)))</f>
        <v>157941.18</v>
      </c>
      <c r="AF176" s="857" t="str">
        <f>IF(TRIM($B176)="","",IF(OR(ISNUMBER(SEARCH("vacant",$B176)),ISNUMBER(SEARCH("ring fenced",$B176)),LOWER(TRIM($B176))="remove"),"Vacant","Filled"))</f>
        <v>Filled</v>
      </c>
      <c r="AG176" s="857" t="b">
        <f>IF(TRIM($B176)="","",--ISNUMBER(SEARCH("ring fenced",$B176)))</f>
        <v>0</v>
      </c>
      <c r="AH176" s="534" t="str">
        <f>IF(TRIM($B176)="","",IF(COUNTIFS(Lists!$AN$2:$AN$22,TRIM($B176)&amp;" | "&amp;TRIM($D176),Lists!$AO$2:$AO$22,"&lt;&gt;"),INDEX(Lists!$AO$2:$AO$22,MATCH(TRIM($B176)&amp;" | "&amp;TRIM($D176),Lists!$AN$2:$AN$22,0)),IF(COUNTIF(Lists!$AR$2:$AR$3,$AJ176),"TDD Cyber",IF(AND(LEFT($AJ176,4)="EGI ",ISNUMBER(MATCH(TRIM(MID($AJ176,5,99)),Lists!$AS$2:$AS$12,0))),TRIM(MID($AJ176,5,99)),IF(AND(LEFT($AJ176,4)="EGI ",ISNUMBER(MATCH(TRIM(MID($AJ176,5,99)),Lists!$T$2:$T$21,0))),INDEX(Lists!$U$2:$U$21,MATCH(TRIM(MID($AJ176,5,99)),Lists!$T$2:$T$21,0)),IF(OR(TRIM($J176)="",UPPER(TRIM($J176))="NA"),IFERROR(INDEX(Lists!$R$2:$R$9,MATCH(TRIM($G176),Lists!$Q$2:$Q$9,0)),"UNMAPPED"),IFERROR(INDEX(Lists!$U$2:$U$21,MATCH(TRIM($J176),Lists!$T$2:$T$21,0)),IFERROR(INDEX(Lists!$R$2:$R$9,MATCH(TRIM($G176),Lists!$Q$2:$Q$9,0)),"UNMAPPED"))))))))</f>
        <v>Enterprise Data</v>
      </c>
      <c r="AI176" s="534" t="b">
        <f>IF(TRIM($B176)="","",--OR(TRIM($L176)="Leadership",TRIM($K176)="Leadership"))</f>
        <v>0</v>
      </c>
      <c r="AJ176" s="534" t="str">
        <f>IF(TRIM($B176)="","",IF(COUNTIFS(Lists!$AN$2:$AN$22,TRIM($B176)&amp;" | "&amp;TRIM($D176),Lists!$AP$2:$AP$22,"&lt;&gt;"),INDEX(Lists!$AP$2:$AP$22,MATCH(TRIM($B176)&amp;" | "&amp;TRIM($D176),Lists!$AN$2:$AN$22,0)),IF($AI176=1,"Leadership",IFERROR(INDEX(Lists!$X$2:$X$21,MATCH(TRIM($L176),Lists!$W$2:$W$21,0)),IF(OR(TRIM($L176)="",LOWER(TRIM($L176))="na"),IF(TRIM($H176)="","Unassigned",TRIM($H176)),TRIM($L176))))))</f>
        <v>Reporting &amp; Analytics</v>
      </c>
      <c r="AK176" s="534" t="str">
        <f>IF(TRIM($B176)="","",IF(COUNTIFS(Lists!$AN$2:$AN$22,TRIM($B176)&amp;" | "&amp;TRIM($D176),Lists!$AQ$2:$AQ$22,"&lt;&gt;"),INDEX(Lists!$AQ$2:$AQ$22,MATCH(TRIM($B176)&amp;" | "&amp;TRIM($D176),Lists!$AN$2:$AN$22,0)),IF(COUNTIF(Lists!$AF$2:$AF$8,$AJ176),$AJ176,IF(ISNUMBER(SEARCH("head of ",$D176)),"Head of Technology",IF(ISNUMBER(SEARCH("TDD BP",$D176)),"Business Partner",IF(OR(ISNUMBER(SEARCH("domain architect",$D176)),ISNUMBER(SEARCH("enterprise architect",$D176))),"Domain Architect",IF(ISNUMBER(SEARCH("delivery man",$D176)),"Delivery Manager",IF(OR(ISNUMBER(SEARCH("technology manager",$D176)),ISNUMBER(SEARCH("technology manger",$D176)),ISNUMBER(SEARCH("tech manager",$D176))),"Technology Manager","Squad"))))))))</f>
        <v>Squad</v>
      </c>
      <c r="AL176" s="534" t="str">
        <f>IF(TRIM($B176)="","",IF(AND($AM176=1,LEFT($AJ176,4)&lt;&gt;"EGI ",$AJ176&lt;&gt;"EGI"),IFERROR(INDEX(Lists!$Z$2:$Z$20,MATCH($AH176,Lists!$Y$2:$Y$20,0)),"EGI "&amp;$AH176),IF(COUNTIF(Lists!$AU$2:$AU$10,$AJ176),$AJ176,IF(OR(LEFT($AH176,3)="COE",$AH176="EGI"),$AJ176,IF($AK176&lt;&gt;"Squad",$AK176,$AJ176)))))</f>
        <v>Reporting &amp; Analytics</v>
      </c>
      <c r="AM176" s="534" t="b">
        <f>IF(TRIM($B176)="","",--(UPPER(TRIM($K176))="EGI"))</f>
        <v>0</v>
      </c>
      <c r="AQ176" s="841" t="inlineStr">
        <is>
          <t>R0175</t>
        </is>
      </c>
      <c r="AZ176" s="841" t="n"/>
    </row>
    <row r="177" ht="18" customHeight="1" s="535">
      <c r="A177" s="842" t="n">
        <v>94631</v>
      </c>
      <c r="B177" s="843" t="inlineStr">
        <is>
          <t>Rihan Schalkwyk</t>
        </is>
      </c>
      <c r="C177" s="842" t="n">
        <v>94631</v>
      </c>
      <c r="D177" s="843" t="inlineStr">
        <is>
          <t>Senior Business Analyst</t>
        </is>
      </c>
      <c r="E177" s="843" t="inlineStr">
        <is>
          <t>Joel Vijayakumar</t>
        </is>
      </c>
      <c r="F177" s="843" t="inlineStr">
        <is>
          <t>Delivery Manager, Strategy, Architecture &amp; Data</t>
        </is>
      </c>
      <c r="G177" s="844" t="inlineStr">
        <is>
          <t>Strategy, Architecture &amp; Data</t>
        </is>
      </c>
      <c r="H177" s="843" t="inlineStr">
        <is>
          <t>Delivery, SADA</t>
        </is>
      </c>
      <c r="I177" s="843" t="inlineStr">
        <is>
          <t xml:space="preserve"> </t>
        </is>
      </c>
      <c r="J177" s="843" t="inlineStr">
        <is>
          <t>Enterprise Data</t>
        </is>
      </c>
      <c r="K177" s="843" t="inlineStr">
        <is>
          <t>Group Data</t>
        </is>
      </c>
      <c r="L177" s="843" t="n"/>
      <c r="M177" s="843" t="n"/>
      <c r="N177" s="845" t="inlineStr">
        <is>
          <t>Australia</t>
        </is>
      </c>
      <c r="O177" s="846" t="inlineStr">
        <is>
          <t>CIC</t>
        </is>
      </c>
      <c r="P177" s="847" t="n">
        <v>1</v>
      </c>
      <c r="Q177" s="856" t="n"/>
      <c r="R177" s="847" t="inlineStr">
        <is>
          <t>Permanent - Full Time</t>
        </is>
      </c>
      <c r="S177" s="847" t="n"/>
      <c r="T177" s="847" t="n"/>
      <c r="U177" s="848" t="n">
        <v>186610</v>
      </c>
      <c r="V177" s="849" t="n">
        <v>186610</v>
      </c>
      <c r="W177" s="850" t="n">
        <v>0.12</v>
      </c>
      <c r="X177" s="847" t="n">
        <v>0.055</v>
      </c>
      <c r="Y177" s="850" t="n">
        <v>0.12</v>
      </c>
      <c r="Z177" s="851" t="n"/>
      <c r="AA177" s="850" t="n">
        <v>0.04</v>
      </c>
      <c r="AB177" s="852" t="n">
        <v>249124.35</v>
      </c>
      <c r="AD177" s="857" t="n"/>
      <c r="AE177" s="857">
        <f>IF(TRIM($B177)="","",IF(AND(N($P177)&gt;0,N($P177)&lt;1),N($AB177)*N($P177),N($AB177)))</f>
        <v>249124.35</v>
      </c>
      <c r="AF177" s="857" t="str">
        <f>IF(TRIM($B177)="","",IF(OR(ISNUMBER(SEARCH("vacant",$B177)),ISNUMBER(SEARCH("ring fenced",$B177)),LOWER(TRIM($B177))="remove"),"Vacant","Filled"))</f>
        <v>Filled</v>
      </c>
      <c r="AG177" s="857" t="b">
        <f>IF(TRIM($B177)="","",--ISNUMBER(SEARCH("ring fenced",$B177)))</f>
        <v>0</v>
      </c>
      <c r="AH177" s="853" t="str">
        <f>IF(TRIM($B177)="","",IF(COUNTIFS(Lists!$AN$2:$AN$22,TRIM($B177)&amp;" | "&amp;TRIM($D177),Lists!$AO$2:$AO$22,"&lt;&gt;"),INDEX(Lists!$AO$2:$AO$22,MATCH(TRIM($B177)&amp;" | "&amp;TRIM($D177),Lists!$AN$2:$AN$22,0)),IF(COUNTIF(Lists!$AR$2:$AR$3,$AJ177),"TDD Cyber",IF(AND(LEFT($AJ177,4)="EGI ",ISNUMBER(MATCH(TRIM(MID($AJ177,5,99)),Lists!$AS$2:$AS$12,0))),TRIM(MID($AJ177,5,99)),IF(AND(LEFT($AJ177,4)="EGI ",ISNUMBER(MATCH(TRIM(MID($AJ177,5,99)),Lists!$T$2:$T$21,0))),INDEX(Lists!$U$2:$U$21,MATCH(TRIM(MID($AJ177,5,99)),Lists!$T$2:$T$21,0)),IF(OR(TRIM($J177)="",UPPER(TRIM($J177))="NA"),IFERROR(INDEX(Lists!$R$2:$R$9,MATCH(TRIM($G177),Lists!$Q$2:$Q$9,0)),"UNMAPPED"),IFERROR(INDEX(Lists!$U$2:$U$21,MATCH(TRIM($J177),Lists!$T$2:$T$21,0)),IFERROR(INDEX(Lists!$R$2:$R$9,MATCH(TRIM($G177),Lists!$Q$2:$Q$9,0)),"UNMAPPED"))))))))</f>
        <v>Enterprise Data</v>
      </c>
      <c r="AI177" s="534" t="b">
        <f>IF(TRIM($B177)="","",--OR(TRIM($L177)="Leadership",TRIM($K177)="Leadership"))</f>
        <v>0</v>
      </c>
      <c r="AJ177" s="534" t="str">
        <f>IF(TRIM($B177)="","",IF(COUNTIFS(Lists!$AN$2:$AN$22,TRIM($B177)&amp;" | "&amp;TRIM($D177),Lists!$AP$2:$AP$22,"&lt;&gt;"),INDEX(Lists!$AP$2:$AP$22,MATCH(TRIM($B177)&amp;" | "&amp;TRIM($D177),Lists!$AN$2:$AN$22,0)),IF($AI177=1,"Leadership",IFERROR(INDEX(Lists!$X$2:$X$21,MATCH(TRIM($L177),Lists!$W$2:$W$21,0)),IF(OR(TRIM($L177)="",LOWER(TRIM($L177))="na"),IF(TRIM($H177)="","Unassigned",TRIM($H177)),TRIM($L177))))))</f>
        <v>Reporting &amp; Analytics</v>
      </c>
      <c r="AK177" s="534" t="str">
        <f>IF(TRIM($B177)="","",IF(COUNTIFS(Lists!$AN$2:$AN$22,TRIM($B177)&amp;" | "&amp;TRIM($D177),Lists!$AQ$2:$AQ$22,"&lt;&gt;"),INDEX(Lists!$AQ$2:$AQ$22,MATCH(TRIM($B177)&amp;" | "&amp;TRIM($D177),Lists!$AN$2:$AN$22,0)),IF(COUNTIF(Lists!$AF$2:$AF$8,$AJ177),$AJ177,IF(ISNUMBER(SEARCH("head of ",$D177)),"Head of Technology",IF(ISNUMBER(SEARCH("TDD BP",$D177)),"Business Partner",IF(OR(ISNUMBER(SEARCH("domain architect",$D177)),ISNUMBER(SEARCH("enterprise architect",$D177))),"Domain Architect",IF(ISNUMBER(SEARCH("delivery man",$D177)),"Delivery Manager",IF(OR(ISNUMBER(SEARCH("technology manager",$D177)),ISNUMBER(SEARCH("technology manger",$D177)),ISNUMBER(SEARCH("tech manager",$D177))),"Technology Manager","Squad"))))))))</f>
        <v>Squad</v>
      </c>
      <c r="AL177" s="534" t="str">
        <f>IF(TRIM($B177)="","",IF(AND($AM177=1,LEFT($AJ177,4)&lt;&gt;"EGI ",$AJ177&lt;&gt;"EGI"),IFERROR(INDEX(Lists!$Z$2:$Z$20,MATCH($AH177,Lists!$Y$2:$Y$20,0)),"EGI "&amp;$AH177),IF(COUNTIF(Lists!$AU$2:$AU$10,$AJ177),$AJ177,IF(OR(LEFT($AH177,3)="COE",$AH177="EGI"),$AJ177,IF($AK177&lt;&gt;"Squad",$AK177,$AJ177)))))</f>
        <v>Reporting &amp; Analytics</v>
      </c>
      <c r="AM177" s="534" t="b">
        <f>IF(TRIM($B177)="","",--(UPPER(TRIM($K177))="EGI"))</f>
        <v>0</v>
      </c>
      <c r="AQ177" s="841" t="inlineStr">
        <is>
          <t>R0176</t>
        </is>
      </c>
      <c r="AZ177" s="841" t="n"/>
    </row>
    <row r="178" ht="18" customHeight="1" s="535">
      <c r="A178" s="842" t="n">
        <v>113527</v>
      </c>
      <c r="B178" s="843" t="inlineStr">
        <is>
          <t>Carol Kuang</t>
        </is>
      </c>
      <c r="C178" s="842" t="n">
        <v>113527</v>
      </c>
      <c r="D178" s="843" t="inlineStr">
        <is>
          <t>Senior Data Scientist</t>
        </is>
      </c>
      <c r="E178" s="843" t="inlineStr">
        <is>
          <t>Jonathan Robinson</t>
        </is>
      </c>
      <c r="F178" s="843" t="inlineStr">
        <is>
          <t>Technology Manager, Data Science</t>
        </is>
      </c>
      <c r="G178" s="844" t="inlineStr">
        <is>
          <t>Strategy, Architecture &amp; Data</t>
        </is>
      </c>
      <c r="H178" s="843" t="inlineStr">
        <is>
          <t>Group Data</t>
        </is>
      </c>
      <c r="I178" s="843" t="inlineStr">
        <is>
          <t>Data Science</t>
        </is>
      </c>
      <c r="J178" s="843" t="inlineStr">
        <is>
          <t>Enterprise Data</t>
        </is>
      </c>
      <c r="K178" s="843" t="inlineStr">
        <is>
          <t>Group Data</t>
        </is>
      </c>
      <c r="L178" s="843" t="inlineStr">
        <is>
          <t>Data Science</t>
        </is>
      </c>
      <c r="M178" s="843" t="n"/>
      <c r="N178" s="845" t="inlineStr">
        <is>
          <t>NZ</t>
        </is>
      </c>
      <c r="O178" s="846" t="inlineStr">
        <is>
          <t>CIC</t>
        </is>
      </c>
      <c r="P178" s="847" t="n">
        <v>1</v>
      </c>
      <c r="Q178" s="856" t="n"/>
      <c r="R178" s="847" t="inlineStr">
        <is>
          <t>Permanent - Full Time</t>
        </is>
      </c>
      <c r="S178" s="847" t="n"/>
      <c r="T178" s="847" t="n"/>
      <c r="U178" s="848" t="n">
        <v>160800</v>
      </c>
      <c r="V178" s="849" t="n">
        <v>147936</v>
      </c>
      <c r="W178" s="850" t="n">
        <v>0.15</v>
      </c>
      <c r="X178" s="847" t="n"/>
      <c r="Y178" s="850" t="n">
        <v>0.05</v>
      </c>
      <c r="Z178" s="851" t="n">
        <v>2910</v>
      </c>
      <c r="AA178" s="850" t="n">
        <v>0.03</v>
      </c>
      <c r="AB178" s="852" t="n">
        <v>184871.28</v>
      </c>
      <c r="AC178" s="534" t="n">
        <v>113527</v>
      </c>
      <c r="AD178" s="857" t="n"/>
      <c r="AE178" s="857">
        <f>IF(TRIM($B178)="","",IF(AND(N($P178)&gt;0,N($P178)&lt;1),N($AB178)*N($P178),N($AB178)))</f>
        <v>184871.28</v>
      </c>
      <c r="AF178" s="857" t="str">
        <f>IF(TRIM($B178)="","",IF(OR(ISNUMBER(SEARCH("vacant",$B178)),ISNUMBER(SEARCH("ring fenced",$B178)),LOWER(TRIM($B178))="remove"),"Vacant","Filled"))</f>
        <v>Filled</v>
      </c>
      <c r="AG178" s="857" t="b">
        <f>IF(TRIM($B178)="","",--ISNUMBER(SEARCH("ring fenced",$B178)))</f>
        <v>0</v>
      </c>
      <c r="AH178" s="853" t="str">
        <f>IF(TRIM($B178)="","",IF(COUNTIFS(Lists!$AN$2:$AN$22,TRIM($B178)&amp;" | "&amp;TRIM($D178),Lists!$AO$2:$AO$22,"&lt;&gt;"),INDEX(Lists!$AO$2:$AO$22,MATCH(TRIM($B178)&amp;" | "&amp;TRIM($D178),Lists!$AN$2:$AN$22,0)),IF(COUNTIF(Lists!$AR$2:$AR$3,$AJ178),"TDD Cyber",IF(AND(LEFT($AJ178,4)="EGI ",ISNUMBER(MATCH(TRIM(MID($AJ178,5,99)),Lists!$AS$2:$AS$12,0))),TRIM(MID($AJ178,5,99)),IF(AND(LEFT($AJ178,4)="EGI ",ISNUMBER(MATCH(TRIM(MID($AJ178,5,99)),Lists!$T$2:$T$21,0))),INDEX(Lists!$U$2:$U$21,MATCH(TRIM(MID($AJ178,5,99)),Lists!$T$2:$T$21,0)),IF(OR(TRIM($J178)="",UPPER(TRIM($J178))="NA"),IFERROR(INDEX(Lists!$R$2:$R$9,MATCH(TRIM($G178),Lists!$Q$2:$Q$9,0)),"UNMAPPED"),IFERROR(INDEX(Lists!$U$2:$U$21,MATCH(TRIM($J178),Lists!$T$2:$T$21,0)),IFERROR(INDEX(Lists!$R$2:$R$9,MATCH(TRIM($G178),Lists!$Q$2:$Q$9,0)),"UNMAPPED"))))))))</f>
        <v>Enterprise Data</v>
      </c>
      <c r="AI178" s="534" t="b">
        <f>IF(TRIM($B178)="","",--OR(TRIM($L178)="Leadership",TRIM($K178)="Leadership"))</f>
        <v>0</v>
      </c>
      <c r="AJ178" s="534" t="str">
        <f>IF(TRIM($B178)="","",IF(COUNTIFS(Lists!$AN$2:$AN$22,TRIM($B178)&amp;" | "&amp;TRIM($D178),Lists!$AP$2:$AP$22,"&lt;&gt;"),INDEX(Lists!$AP$2:$AP$22,MATCH(TRIM($B178)&amp;" | "&amp;TRIM($D178),Lists!$AN$2:$AN$22,0)),IF($AI178=1,"Leadership",IFERROR(INDEX(Lists!$X$2:$X$21,MATCH(TRIM($L178),Lists!$W$2:$W$21,0)),IF(OR(TRIM($L178)="",LOWER(TRIM($L178))="na"),IF(TRIM($H178)="","Unassigned",TRIM($H178)),TRIM($L178))))))</f>
        <v>Data Science</v>
      </c>
      <c r="AK178" s="534" t="str">
        <f>IF(TRIM($B178)="","",IF(COUNTIFS(Lists!$AN$2:$AN$22,TRIM($B178)&amp;" | "&amp;TRIM($D178),Lists!$AQ$2:$AQ$22,"&lt;&gt;"),INDEX(Lists!$AQ$2:$AQ$22,MATCH(TRIM($B178)&amp;" | "&amp;TRIM($D178),Lists!$AN$2:$AN$22,0)),IF(COUNTIF(Lists!$AF$2:$AF$8,$AJ178),$AJ178,IF(ISNUMBER(SEARCH("head of ",$D178)),"Head of Technology",IF(ISNUMBER(SEARCH("TDD BP",$D178)),"Business Partner",IF(OR(ISNUMBER(SEARCH("domain architect",$D178)),ISNUMBER(SEARCH("enterprise architect",$D178))),"Domain Architect",IF(ISNUMBER(SEARCH("delivery man",$D178)),"Delivery Manager",IF(OR(ISNUMBER(SEARCH("technology manager",$D178)),ISNUMBER(SEARCH("technology manger",$D178)),ISNUMBER(SEARCH("tech manager",$D178))),"Technology Manager","Squad"))))))))</f>
        <v>Squad</v>
      </c>
      <c r="AL178" s="534" t="str">
        <f>IF(TRIM($B178)="","",IF(AND($AM178=1,LEFT($AJ178,4)&lt;&gt;"EGI ",$AJ178&lt;&gt;"EGI"),IFERROR(INDEX(Lists!$Z$2:$Z$20,MATCH($AH178,Lists!$Y$2:$Y$20,0)),"EGI "&amp;$AH178),IF(COUNTIF(Lists!$AU$2:$AU$10,$AJ178),$AJ178,IF(OR(LEFT($AH178,3)="COE",$AH178="EGI"),$AJ178,IF($AK178&lt;&gt;"Squad",$AK178,$AJ178)))))</f>
        <v>Data Science</v>
      </c>
      <c r="AM178" s="534" t="b">
        <f>IF(TRIM($B178)="","",--(UPPER(TRIM($K178))="EGI"))</f>
        <v>0</v>
      </c>
      <c r="AQ178" s="841" t="inlineStr">
        <is>
          <t>R0177</t>
        </is>
      </c>
      <c r="AZ178" s="841" t="n"/>
    </row>
    <row r="179" ht="18" customHeight="1" s="535">
      <c r="A179" s="842" t="n">
        <v>101166</v>
      </c>
      <c r="B179" s="843" t="inlineStr">
        <is>
          <t>Yu Chen</t>
        </is>
      </c>
      <c r="C179" s="842" t="n">
        <v>101166</v>
      </c>
      <c r="D179" s="843" t="inlineStr">
        <is>
          <t>Senior Data Scientist</t>
        </is>
      </c>
      <c r="E179" s="843" t="inlineStr">
        <is>
          <t>Jonathan Robinson</t>
        </is>
      </c>
      <c r="F179" s="843" t="inlineStr">
        <is>
          <t>Technology Manager, Data Science</t>
        </is>
      </c>
      <c r="G179" s="844" t="inlineStr">
        <is>
          <t>Strategy, Architecture &amp; Data</t>
        </is>
      </c>
      <c r="H179" s="843" t="inlineStr">
        <is>
          <t>Group Data</t>
        </is>
      </c>
      <c r="I179" s="843" t="inlineStr">
        <is>
          <t>Data Science</t>
        </is>
      </c>
      <c r="J179" s="843" t="inlineStr">
        <is>
          <t>Enterprise Data</t>
        </is>
      </c>
      <c r="K179" s="843" t="inlineStr">
        <is>
          <t>Group Data</t>
        </is>
      </c>
      <c r="L179" s="843" t="inlineStr">
        <is>
          <t>Data Science</t>
        </is>
      </c>
      <c r="M179" s="843" t="n"/>
      <c r="N179" s="845" t="inlineStr">
        <is>
          <t>Australia</t>
        </is>
      </c>
      <c r="O179" s="846" t="inlineStr">
        <is>
          <t>CIC</t>
        </is>
      </c>
      <c r="P179" s="847" t="n">
        <v>1</v>
      </c>
      <c r="Q179" s="856" t="n"/>
      <c r="R179" s="847" t="inlineStr">
        <is>
          <t>Permanent - Full Time</t>
        </is>
      </c>
      <c r="S179" s="847" t="n"/>
      <c r="T179" s="847" t="n"/>
      <c r="U179" s="848" t="n">
        <v>173470</v>
      </c>
      <c r="V179" s="849" t="n">
        <v>173470</v>
      </c>
      <c r="W179" s="850" t="n">
        <v>0.12</v>
      </c>
      <c r="X179" s="847" t="n">
        <v>0.055</v>
      </c>
      <c r="Y179" s="850" t="n">
        <v>0.12</v>
      </c>
      <c r="Z179" s="851" t="n"/>
      <c r="AA179" s="850" t="n">
        <v>0.04</v>
      </c>
      <c r="AB179" s="852" t="n">
        <v>231582.45</v>
      </c>
      <c r="AD179" s="857" t="n"/>
      <c r="AE179" s="857">
        <f>IF(TRIM($B179)="","",IF(AND(N($P179)&gt;0,N($P179)&lt;1),N($AB179)*N($P179),N($AB179)))</f>
        <v>231582.45</v>
      </c>
      <c r="AF179" s="857" t="str">
        <f>IF(TRIM($B179)="","",IF(OR(ISNUMBER(SEARCH("vacant",$B179)),ISNUMBER(SEARCH("ring fenced",$B179)),LOWER(TRIM($B179))="remove"),"Vacant","Filled"))</f>
        <v>Filled</v>
      </c>
      <c r="AG179" s="857" t="b">
        <f>IF(TRIM($B179)="","",--ISNUMBER(SEARCH("ring fenced",$B179)))</f>
        <v>0</v>
      </c>
      <c r="AH179" s="853" t="str">
        <f>IF(TRIM($B179)="","",IF(COUNTIFS(Lists!$AN$2:$AN$22,TRIM($B179)&amp;" | "&amp;TRIM($D179),Lists!$AO$2:$AO$22,"&lt;&gt;"),INDEX(Lists!$AO$2:$AO$22,MATCH(TRIM($B179)&amp;" | "&amp;TRIM($D179),Lists!$AN$2:$AN$22,0)),IF(COUNTIF(Lists!$AR$2:$AR$3,$AJ179),"TDD Cyber",IF(AND(LEFT($AJ179,4)="EGI ",ISNUMBER(MATCH(TRIM(MID($AJ179,5,99)),Lists!$AS$2:$AS$12,0))),TRIM(MID($AJ179,5,99)),IF(AND(LEFT($AJ179,4)="EGI ",ISNUMBER(MATCH(TRIM(MID($AJ179,5,99)),Lists!$T$2:$T$21,0))),INDEX(Lists!$U$2:$U$21,MATCH(TRIM(MID($AJ179,5,99)),Lists!$T$2:$T$21,0)),IF(OR(TRIM($J179)="",UPPER(TRIM($J179))="NA"),IFERROR(INDEX(Lists!$R$2:$R$9,MATCH(TRIM($G179),Lists!$Q$2:$Q$9,0)),"UNMAPPED"),IFERROR(INDEX(Lists!$U$2:$U$21,MATCH(TRIM($J179),Lists!$T$2:$T$21,0)),IFERROR(INDEX(Lists!$R$2:$R$9,MATCH(TRIM($G179),Lists!$Q$2:$Q$9,0)),"UNMAPPED"))))))))</f>
        <v>Enterprise Data</v>
      </c>
      <c r="AI179" s="534" t="b">
        <f>IF(TRIM($B179)="","",--OR(TRIM($L179)="Leadership",TRIM($K179)="Leadership"))</f>
        <v>0</v>
      </c>
      <c r="AJ179" s="534" t="str">
        <f>IF(TRIM($B179)="","",IF(COUNTIFS(Lists!$AN$2:$AN$22,TRIM($B179)&amp;" | "&amp;TRIM($D179),Lists!$AP$2:$AP$22,"&lt;&gt;"),INDEX(Lists!$AP$2:$AP$22,MATCH(TRIM($B179)&amp;" | "&amp;TRIM($D179),Lists!$AN$2:$AN$22,0)),IF($AI179=1,"Leadership",IFERROR(INDEX(Lists!$X$2:$X$21,MATCH(TRIM($L179),Lists!$W$2:$W$21,0)),IF(OR(TRIM($L179)="",LOWER(TRIM($L179))="na"),IF(TRIM($H179)="","Unassigned",TRIM($H179)),TRIM($L179))))))</f>
        <v>Data Science</v>
      </c>
      <c r="AK179" s="534" t="str">
        <f>IF(TRIM($B179)="","",IF(COUNTIFS(Lists!$AN$2:$AN$22,TRIM($B179)&amp;" | "&amp;TRIM($D179),Lists!$AQ$2:$AQ$22,"&lt;&gt;"),INDEX(Lists!$AQ$2:$AQ$22,MATCH(TRIM($B179)&amp;" | "&amp;TRIM($D179),Lists!$AN$2:$AN$22,0)),IF(COUNTIF(Lists!$AF$2:$AF$8,$AJ179),$AJ179,IF(ISNUMBER(SEARCH("head of ",$D179)),"Head of Technology",IF(ISNUMBER(SEARCH("TDD BP",$D179)),"Business Partner",IF(OR(ISNUMBER(SEARCH("domain architect",$D179)),ISNUMBER(SEARCH("enterprise architect",$D179))),"Domain Architect",IF(ISNUMBER(SEARCH("delivery man",$D179)),"Delivery Manager",IF(OR(ISNUMBER(SEARCH("technology manager",$D179)),ISNUMBER(SEARCH("technology manger",$D179)),ISNUMBER(SEARCH("tech manager",$D179))),"Technology Manager","Squad"))))))))</f>
        <v>Squad</v>
      </c>
      <c r="AL179" s="534" t="str">
        <f>IF(TRIM($B179)="","",IF(AND($AM179=1,LEFT($AJ179,4)&lt;&gt;"EGI ",$AJ179&lt;&gt;"EGI"),IFERROR(INDEX(Lists!$Z$2:$Z$20,MATCH($AH179,Lists!$Y$2:$Y$20,0)),"EGI "&amp;$AH179),IF(COUNTIF(Lists!$AU$2:$AU$10,$AJ179),$AJ179,IF(OR(LEFT($AH179,3)="COE",$AH179="EGI"),$AJ179,IF($AK179&lt;&gt;"Squad",$AK179,$AJ179)))))</f>
        <v>Data Science</v>
      </c>
      <c r="AM179" s="534" t="b">
        <f>IF(TRIM($B179)="","",--(UPPER(TRIM($K179))="EGI"))</f>
        <v>0</v>
      </c>
      <c r="AQ179" s="841" t="inlineStr">
        <is>
          <t>R0178</t>
        </is>
      </c>
      <c r="AZ179" s="841" t="n"/>
    </row>
    <row r="180" ht="18" customHeight="1" s="535">
      <c r="A180" s="842" t="inlineStr">
        <is>
          <t>V</t>
        </is>
      </c>
      <c r="B180" s="843" t="inlineStr">
        <is>
          <t>Vacant</t>
        </is>
      </c>
      <c r="C180" s="842" t="inlineStr">
        <is>
          <t>V</t>
        </is>
      </c>
      <c r="D180" s="843" t="inlineStr">
        <is>
          <t>SAP Functional Specialist</t>
        </is>
      </c>
      <c r="E180" s="843" t="inlineStr">
        <is>
          <t>Julma Bhagwani</t>
        </is>
      </c>
      <c r="F180" s="843" t="inlineStr">
        <is>
          <t>SAP ERP Application Lead</t>
        </is>
      </c>
      <c r="G180" s="844" t="inlineStr">
        <is>
          <t>TDD Group Functions</t>
        </is>
      </c>
      <c r="H180" s="843" t="inlineStr">
        <is>
          <t>P&amp;C, Finance &amp; Legal</t>
        </is>
      </c>
      <c r="I180" s="843" t="inlineStr">
        <is>
          <t>Tech, Finance Platforms</t>
        </is>
      </c>
      <c r="J180" s="843" t="inlineStr">
        <is>
          <t>Finance</t>
        </is>
      </c>
      <c r="K180" s="843" t="inlineStr">
        <is>
          <t>AU Finance</t>
        </is>
      </c>
      <c r="L180" s="843" t="inlineStr">
        <is>
          <t>SAP ERP</t>
        </is>
      </c>
      <c r="M180" s="843" t="n"/>
      <c r="N180" s="845" t="inlineStr">
        <is>
          <t>Australia</t>
        </is>
      </c>
      <c r="O180" s="846" t="inlineStr">
        <is>
          <t>CIC</t>
        </is>
      </c>
      <c r="P180" s="847" t="n">
        <v>1</v>
      </c>
      <c r="Q180" s="856" t="n"/>
      <c r="R180" s="847" t="inlineStr">
        <is>
          <t>v</t>
        </is>
      </c>
      <c r="S180" s="847" t="n"/>
      <c r="T180" s="847" t="n"/>
      <c r="U180" s="848" t="n">
        <v>173550</v>
      </c>
      <c r="V180" s="849" t="n">
        <v>173550</v>
      </c>
      <c r="W180" s="850" t="n">
        <v>0.12</v>
      </c>
      <c r="X180" s="847" t="n">
        <v>0.055</v>
      </c>
      <c r="Y180" s="850" t="n">
        <v>0.12</v>
      </c>
      <c r="Z180" s="851" t="n"/>
      <c r="AA180" s="850" t="n">
        <v>0.04</v>
      </c>
      <c r="AB180" s="852" t="n">
        <v>231689.25</v>
      </c>
      <c r="AD180" s="857" t="n"/>
      <c r="AE180" s="857">
        <f>IF(TRIM($B180)="","",IF(AND(N($P180)&gt;0,N($P180)&lt;1),N($AB180)*N($P180),N($AB180)))</f>
        <v>231689.25</v>
      </c>
      <c r="AF180" s="857" t="str">
        <f>IF(TRIM($B180)="","",IF(OR(ISNUMBER(SEARCH("vacant",$B180)),ISNUMBER(SEARCH("ring fenced",$B180)),LOWER(TRIM($B180))="remove"),"Vacant","Filled"))</f>
        <v>Vacant</v>
      </c>
      <c r="AG180" s="857" t="b">
        <f>IF(TRIM($B180)="","",--ISNUMBER(SEARCH("ring fenced",$B180)))</f>
        <v>0</v>
      </c>
      <c r="AH180" s="853" t="str">
        <f>IF(TRIM($B180)="","",IF(COUNTIFS(Lists!$AN$2:$AN$22,TRIM($B180)&amp;" | "&amp;TRIM($D180),Lists!$AO$2:$AO$22,"&lt;&gt;"),INDEX(Lists!$AO$2:$AO$22,MATCH(TRIM($B180)&amp;" | "&amp;TRIM($D180),Lists!$AN$2:$AN$22,0)),IF(COUNTIF(Lists!$AR$2:$AR$3,$AJ180),"TDD Cyber",IF(AND(LEFT($AJ180,4)="EGI ",ISNUMBER(MATCH(TRIM(MID($AJ180,5,99)),Lists!$AS$2:$AS$12,0))),TRIM(MID($AJ180,5,99)),IF(AND(LEFT($AJ180,4)="EGI ",ISNUMBER(MATCH(TRIM(MID($AJ180,5,99)),Lists!$T$2:$T$21,0))),INDEX(Lists!$U$2:$U$21,MATCH(TRIM(MID($AJ180,5,99)),Lists!$T$2:$T$21,0)),IF(OR(TRIM($J180)="",UPPER(TRIM($J180))="NA"),IFERROR(INDEX(Lists!$R$2:$R$9,MATCH(TRIM($G180),Lists!$Q$2:$Q$9,0)),"UNMAPPED"),IFERROR(INDEX(Lists!$U$2:$U$21,MATCH(TRIM($J180),Lists!$T$2:$T$21,0)),IFERROR(INDEX(Lists!$R$2:$R$9,MATCH(TRIM($G180),Lists!$Q$2:$Q$9,0)),"UNMAPPED"))))))))</f>
        <v>Finance</v>
      </c>
      <c r="AI180" s="534" t="b">
        <f>IF(TRIM($B180)="","",--OR(TRIM($L180)="Leadership",TRIM($K180)="Leadership"))</f>
        <v>0</v>
      </c>
      <c r="AJ180" s="534" t="str">
        <f>IF(TRIM($B180)="","",IF(COUNTIFS(Lists!$AN$2:$AN$22,TRIM($B180)&amp;" | "&amp;TRIM($D180),Lists!$AP$2:$AP$22,"&lt;&gt;"),INDEX(Lists!$AP$2:$AP$22,MATCH(TRIM($B180)&amp;" | "&amp;TRIM($D180),Lists!$AN$2:$AN$22,0)),IF($AI180=1,"Leadership",IFERROR(INDEX(Lists!$X$2:$X$21,MATCH(TRIM($L180),Lists!$W$2:$W$21,0)),IF(OR(TRIM($L180)="",LOWER(TRIM($L180))="na"),IF(TRIM($H180)="","Unassigned",TRIM($H180)),TRIM($L180))))))</f>
        <v>SAP ERP</v>
      </c>
      <c r="AK180" s="534" t="str">
        <f>IF(TRIM($B180)="","",IF(COUNTIFS(Lists!$AN$2:$AN$22,TRIM($B180)&amp;" | "&amp;TRIM($D180),Lists!$AQ$2:$AQ$22,"&lt;&gt;"),INDEX(Lists!$AQ$2:$AQ$22,MATCH(TRIM($B180)&amp;" | "&amp;TRIM($D180),Lists!$AN$2:$AN$22,0)),IF(COUNTIF(Lists!$AF$2:$AF$8,$AJ180),$AJ180,IF(ISNUMBER(SEARCH("head of ",$D180)),"Head of Technology",IF(ISNUMBER(SEARCH("TDD BP",$D180)),"Business Partner",IF(OR(ISNUMBER(SEARCH("domain architect",$D180)),ISNUMBER(SEARCH("enterprise architect",$D180))),"Domain Architect",IF(ISNUMBER(SEARCH("delivery man",$D180)),"Delivery Manager",IF(OR(ISNUMBER(SEARCH("technology manager",$D180)),ISNUMBER(SEARCH("technology manger",$D180)),ISNUMBER(SEARCH("tech manager",$D180))),"Technology Manager","Squad"))))))))</f>
        <v>Squad</v>
      </c>
      <c r="AL180" s="534" t="str">
        <f>IF(TRIM($B180)="","",IF(AND($AM180=1,LEFT($AJ180,4)&lt;&gt;"EGI ",$AJ180&lt;&gt;"EGI"),IFERROR(INDEX(Lists!$Z$2:$Z$20,MATCH($AH180,Lists!$Y$2:$Y$20,0)),"EGI "&amp;$AH180),IF(COUNTIF(Lists!$AU$2:$AU$10,$AJ180),$AJ180,IF(OR(LEFT($AH180,3)="COE",$AH180="EGI"),$AJ180,IF($AK180&lt;&gt;"Squad",$AK180,$AJ180)))))</f>
        <v>SAP ERP</v>
      </c>
      <c r="AM180" s="534" t="b">
        <f>IF(TRIM($B180)="","",--(UPPER(TRIM($K180))="EGI"))</f>
        <v>0</v>
      </c>
      <c r="AQ180" s="841" t="inlineStr">
        <is>
          <t>R0179</t>
        </is>
      </c>
      <c r="AY180" s="859" t="n"/>
      <c r="AZ180" s="841" t="n"/>
    </row>
    <row r="181" ht="18" customHeight="1" s="535">
      <c r="A181" s="842" t="n">
        <v>81395</v>
      </c>
      <c r="B181" s="843" t="inlineStr">
        <is>
          <t>Angus Gibson</t>
        </is>
      </c>
      <c r="C181" s="842" t="n">
        <v>81395</v>
      </c>
      <c r="D181" s="843" t="inlineStr">
        <is>
          <t>Senior Systems Analyst</t>
        </is>
      </c>
      <c r="E181" s="843" t="inlineStr">
        <is>
          <t>Karla Orozco Loza</t>
        </is>
      </c>
      <c r="F181" s="843" t="inlineStr">
        <is>
          <t>Technology Manager, Future Infrastructure</t>
        </is>
      </c>
      <c r="G181" s="844" t="inlineStr">
        <is>
          <t>TDD CFE&amp;I</t>
        </is>
      </c>
      <c r="H181" s="843" t="inlineStr">
        <is>
          <t>Fuel Infrastructure</t>
        </is>
      </c>
      <c r="I181" s="843" t="inlineStr">
        <is>
          <t>Technology - Distribution</t>
        </is>
      </c>
      <c r="J181" s="843" t="inlineStr">
        <is>
          <t>Infrastructure</t>
        </is>
      </c>
      <c r="K181" s="843" t="inlineStr">
        <is>
          <t>Distribution</t>
        </is>
      </c>
      <c r="L181" s="843" t="inlineStr">
        <is>
          <t>Distribution, Sales &amp; Services</t>
        </is>
      </c>
      <c r="M181" s="843" t="n"/>
      <c r="N181" s="845" t="inlineStr">
        <is>
          <t>Australia</t>
        </is>
      </c>
      <c r="O181" s="846" t="inlineStr">
        <is>
          <t>CIC</t>
        </is>
      </c>
      <c r="P181" s="847" t="n">
        <v>1</v>
      </c>
      <c r="Q181" s="856" t="n"/>
      <c r="R181" s="847" t="inlineStr">
        <is>
          <t>Permanent - Full Time</t>
        </is>
      </c>
      <c r="S181" s="847" t="n"/>
      <c r="T181" s="847" t="n"/>
      <c r="U181" s="848" t="n">
        <v>176400</v>
      </c>
      <c r="V181" s="849" t="n">
        <v>176400</v>
      </c>
      <c r="W181" s="850" t="n">
        <v>0.12</v>
      </c>
      <c r="X181" s="847" t="n">
        <v>0.055</v>
      </c>
      <c r="Y181" s="850" t="n">
        <v>0.12</v>
      </c>
      <c r="Z181" s="851" t="n"/>
      <c r="AA181" s="850" t="n">
        <v>0.04</v>
      </c>
      <c r="AB181" s="852" t="n">
        <v>235494</v>
      </c>
      <c r="AD181" s="857" t="n"/>
      <c r="AE181" s="857">
        <f>IF(TRIM($B181)="","",IF(AND(N($P181)&gt;0,N($P181)&lt;1),N($AB181)*N($P181),N($AB181)))</f>
        <v>235494</v>
      </c>
      <c r="AF181" s="857" t="str">
        <f>IF(TRIM($B181)="","",IF(OR(ISNUMBER(SEARCH("vacant",$B181)),ISNUMBER(SEARCH("ring fenced",$B181)),LOWER(TRIM($B181))="remove"),"Vacant","Filled"))</f>
        <v>Filled</v>
      </c>
      <c r="AG181" s="857" t="b">
        <f>IF(TRIM($B181)="","",--ISNUMBER(SEARCH("ring fenced",$B181)))</f>
        <v>0</v>
      </c>
      <c r="AH181" s="853" t="str">
        <f>IF(TRIM($B181)="","",IF(COUNTIFS(Lists!$AN$2:$AN$22,TRIM($B181)&amp;" | "&amp;TRIM($D181),Lists!$AO$2:$AO$22,"&lt;&gt;"),INDEX(Lists!$AO$2:$AO$22,MATCH(TRIM($B181)&amp;" | "&amp;TRIM($D181),Lists!$AN$2:$AN$22,0)),IF(COUNTIF(Lists!$AR$2:$AR$3,$AJ181),"TDD Cyber",IF(AND(LEFT($AJ181,4)="EGI ",ISNUMBER(MATCH(TRIM(MID($AJ181,5,99)),Lists!$AS$2:$AS$12,0))),TRIM(MID($AJ181,5,99)),IF(AND(LEFT($AJ181,4)="EGI ",ISNUMBER(MATCH(TRIM(MID($AJ181,5,99)),Lists!$T$2:$T$21,0))),INDEX(Lists!$U$2:$U$21,MATCH(TRIM(MID($AJ181,5,99)),Lists!$T$2:$T$21,0)),IF(OR(TRIM($J181)="",UPPER(TRIM($J181))="NA"),IFERROR(INDEX(Lists!$R$2:$R$9,MATCH(TRIM($G181),Lists!$Q$2:$Q$9,0)),"UNMAPPED"),IFERROR(INDEX(Lists!$U$2:$U$21,MATCH(TRIM($J181),Lists!$T$2:$T$21,0)),IFERROR(INDEX(Lists!$R$2:$R$9,MATCH(TRIM($G181),Lists!$Q$2:$Q$9,0)),"UNMAPPED"))))))))</f>
        <v>Infrastructure</v>
      </c>
      <c r="AI181" s="534" t="b">
        <f>IF(TRIM($B181)="","",--OR(TRIM($L181)="Leadership",TRIM($K181)="Leadership"))</f>
        <v>0</v>
      </c>
      <c r="AJ181" s="534" t="str">
        <f>IF(TRIM($B181)="","",IF(COUNTIFS(Lists!$AN$2:$AN$22,TRIM($B181)&amp;" | "&amp;TRIM($D181),Lists!$AP$2:$AP$22,"&lt;&gt;"),INDEX(Lists!$AP$2:$AP$22,MATCH(TRIM($B181)&amp;" | "&amp;TRIM($D181),Lists!$AN$2:$AN$22,0)),IF($AI181=1,"Leadership",IFERROR(INDEX(Lists!$X$2:$X$21,MATCH(TRIM($L181),Lists!$W$2:$W$21,0)),IF(OR(TRIM($L181)="",LOWER(TRIM($L181))="na"),IF(TRIM($H181)="","Unassigned",TRIM($H181)),TRIM($L181))))))</f>
        <v>Distribution, Sales &amp; Services</v>
      </c>
      <c r="AK181" s="534" t="str">
        <f>IF(TRIM($B181)="","",IF(COUNTIFS(Lists!$AN$2:$AN$22,TRIM($B181)&amp;" | "&amp;TRIM($D181),Lists!$AQ$2:$AQ$22,"&lt;&gt;"),INDEX(Lists!$AQ$2:$AQ$22,MATCH(TRIM($B181)&amp;" | "&amp;TRIM($D181),Lists!$AN$2:$AN$22,0)),IF(COUNTIF(Lists!$AF$2:$AF$8,$AJ181),$AJ181,IF(ISNUMBER(SEARCH("head of ",$D181)),"Head of Technology",IF(ISNUMBER(SEARCH("TDD BP",$D181)),"Business Partner",IF(OR(ISNUMBER(SEARCH("domain architect",$D181)),ISNUMBER(SEARCH("enterprise architect",$D181))),"Domain Architect",IF(ISNUMBER(SEARCH("delivery man",$D181)),"Delivery Manager",IF(OR(ISNUMBER(SEARCH("technology manager",$D181)),ISNUMBER(SEARCH("technology manger",$D181)),ISNUMBER(SEARCH("tech manager",$D181))),"Technology Manager","Squad"))))))))</f>
        <v>Squad</v>
      </c>
      <c r="AL181" s="534" t="str">
        <f>IF(TRIM($B181)="","",IF(AND($AM181=1,LEFT($AJ181,4)&lt;&gt;"EGI ",$AJ181&lt;&gt;"EGI"),IFERROR(INDEX(Lists!$Z$2:$Z$20,MATCH($AH181,Lists!$Y$2:$Y$20,0)),"EGI "&amp;$AH181),IF(COUNTIF(Lists!$AU$2:$AU$10,$AJ181),$AJ181,IF(OR(LEFT($AH181,3)="COE",$AH181="EGI"),$AJ181,IF($AK181&lt;&gt;"Squad",$AK181,$AJ181)))))</f>
        <v>Distribution, Sales &amp; Services</v>
      </c>
      <c r="AM181" s="534" t="b">
        <f>IF(TRIM($B181)="","",--(UPPER(TRIM($K181))="EGI"))</f>
        <v>0</v>
      </c>
      <c r="AQ181" s="841" t="inlineStr">
        <is>
          <t>R0180</t>
        </is>
      </c>
      <c r="AY181" s="859" t="n"/>
      <c r="AZ181" s="841" t="n"/>
    </row>
    <row r="182" ht="18" customHeight="1" s="535">
      <c r="A182" s="842" t="n">
        <v>99707</v>
      </c>
      <c r="B182" s="843" t="inlineStr">
        <is>
          <t>Darshan Suvama</t>
        </is>
      </c>
      <c r="C182" s="842" t="n">
        <v>99707</v>
      </c>
      <c r="D182" s="843" t="inlineStr">
        <is>
          <t>Cyber Offensive Security Lead</t>
        </is>
      </c>
      <c r="E182" s="843" t="inlineStr">
        <is>
          <t>Kevin Sheerin</t>
        </is>
      </c>
      <c r="F182" s="843" t="inlineStr">
        <is>
          <t>Cyber Architecture Lead</t>
        </is>
      </c>
      <c r="G182" s="844" t="inlineStr">
        <is>
          <t>Cyber, Risk &amp; Operations</t>
        </is>
      </c>
      <c r="H182" s="843" t="inlineStr">
        <is>
          <t>Cyber Strat &amp; Tech</t>
        </is>
      </c>
      <c r="I182" s="843" t="inlineStr">
        <is>
          <t>NA</t>
        </is>
      </c>
      <c r="J182" s="843" t="inlineStr">
        <is>
          <t>NA</t>
        </is>
      </c>
      <c r="K182" s="843" t="inlineStr">
        <is>
          <t>NA</t>
        </is>
      </c>
      <c r="L182" s="843" t="inlineStr">
        <is>
          <t>NA</t>
        </is>
      </c>
      <c r="M182" s="843" t="n"/>
      <c r="N182" s="845" t="inlineStr">
        <is>
          <t>Australia</t>
        </is>
      </c>
      <c r="O182" s="846" t="inlineStr">
        <is>
          <t>CIC</t>
        </is>
      </c>
      <c r="P182" s="847" t="n">
        <v>1</v>
      </c>
      <c r="Q182" s="856" t="n"/>
      <c r="R182" s="847" t="inlineStr">
        <is>
          <t>Permanent - Full Time</t>
        </is>
      </c>
      <c r="S182" s="847" t="n"/>
      <c r="T182" s="847" t="n"/>
      <c r="U182" s="848" t="n">
        <v>213740</v>
      </c>
      <c r="V182" s="849" t="n">
        <v>213740</v>
      </c>
      <c r="W182" s="850" t="n">
        <v>0.12</v>
      </c>
      <c r="X182" s="847" t="n">
        <v>0.055</v>
      </c>
      <c r="Y182" s="850" t="n">
        <v>0.12</v>
      </c>
      <c r="Z182" s="851" t="n"/>
      <c r="AA182" s="850" t="n">
        <v>0.04</v>
      </c>
      <c r="AB182" s="852" t="n">
        <v>285342.9</v>
      </c>
      <c r="AD182" s="857" t="n"/>
      <c r="AE182" s="857">
        <f>IF(TRIM($B182)="","",IF(AND(N($P182)&gt;0,N($P182)&lt;1),N($AB182)*N($P182),N($AB182)))</f>
        <v>285342.9</v>
      </c>
      <c r="AF182" s="857" t="str">
        <f>IF(TRIM($B182)="","",IF(OR(ISNUMBER(SEARCH("vacant",$B182)),ISNUMBER(SEARCH("ring fenced",$B182)),LOWER(TRIM($B182))="remove"),"Vacant","Filled"))</f>
        <v>Filled</v>
      </c>
      <c r="AG182" s="857" t="b">
        <f>IF(TRIM($B182)="","",--ISNUMBER(SEARCH("ring fenced",$B182)))</f>
        <v>0</v>
      </c>
      <c r="AH182" s="534" t="str">
        <f>IF(TRIM($B182)="","",IF(COUNTIFS(Lists!$AN$2:$AN$22,TRIM($B182)&amp;" | "&amp;TRIM($D182),Lists!$AO$2:$AO$22,"&lt;&gt;"),INDEX(Lists!$AO$2:$AO$22,MATCH(TRIM($B182)&amp;" | "&amp;TRIM($D182),Lists!$AN$2:$AN$22,0)),IF(COUNTIF(Lists!$AR$2:$AR$3,$AJ182),"TDD Cyber",IF(AND(LEFT($AJ182,4)="EGI ",ISNUMBER(MATCH(TRIM(MID($AJ182,5,99)),Lists!$AS$2:$AS$12,0))),TRIM(MID($AJ182,5,99)),IF(AND(LEFT($AJ182,4)="EGI ",ISNUMBER(MATCH(TRIM(MID($AJ182,5,99)),Lists!$T$2:$T$21,0))),INDEX(Lists!$U$2:$U$21,MATCH(TRIM(MID($AJ182,5,99)),Lists!$T$2:$T$21,0)),IF(OR(TRIM($J182)="",UPPER(TRIM($J182))="NA"),IFERROR(INDEX(Lists!$R$2:$R$9,MATCH(TRIM($G182),Lists!$Q$2:$Q$9,0)),"UNMAPPED"),IFERROR(INDEX(Lists!$U$2:$U$21,MATCH(TRIM($J182),Lists!$T$2:$T$21,0)),IFERROR(INDEX(Lists!$R$2:$R$9,MATCH(TRIM($G182),Lists!$Q$2:$Q$9,0)),"UNMAPPED"))))))))</f>
        <v>COE Cyber</v>
      </c>
      <c r="AI182" s="534" t="b">
        <f>IF(TRIM($B182)="","",--OR(TRIM($L182)="Leadership",TRIM($K182)="Leadership"))</f>
        <v>0</v>
      </c>
      <c r="AJ182" s="534" t="str">
        <f>IF(TRIM($B182)="","",IF(COUNTIFS(Lists!$AN$2:$AN$22,TRIM($B182)&amp;" | "&amp;TRIM($D182),Lists!$AP$2:$AP$22,"&lt;&gt;"),INDEX(Lists!$AP$2:$AP$22,MATCH(TRIM($B182)&amp;" | "&amp;TRIM($D182),Lists!$AN$2:$AN$22,0)),IF($AI182=1,"Leadership",IFERROR(INDEX(Lists!$X$2:$X$21,MATCH(TRIM($L182),Lists!$W$2:$W$21,0)),IF(OR(TRIM($L182)="",LOWER(TRIM($L182))="na"),IF(TRIM($H182)="","Unassigned",TRIM($H182)),TRIM($L182))))))</f>
        <v>Cyber Strat &amp; Tech</v>
      </c>
      <c r="AK182" s="534" t="str">
        <f>IF(TRIM($B182)="","",IF(COUNTIFS(Lists!$AN$2:$AN$22,TRIM($B182)&amp;" | "&amp;TRIM($D182),Lists!$AQ$2:$AQ$22,"&lt;&gt;"),INDEX(Lists!$AQ$2:$AQ$22,MATCH(TRIM($B182)&amp;" | "&amp;TRIM($D182),Lists!$AN$2:$AN$22,0)),IF(COUNTIF(Lists!$AF$2:$AF$8,$AJ182),$AJ182,IF(ISNUMBER(SEARCH("head of ",$D182)),"Head of Technology",IF(ISNUMBER(SEARCH("TDD BP",$D182)),"Business Partner",IF(OR(ISNUMBER(SEARCH("domain architect",$D182)),ISNUMBER(SEARCH("enterprise architect",$D182))),"Domain Architect",IF(ISNUMBER(SEARCH("delivery man",$D182)),"Delivery Manager",IF(OR(ISNUMBER(SEARCH("technology manager",$D182)),ISNUMBER(SEARCH("technology manger",$D182)),ISNUMBER(SEARCH("tech manager",$D182))),"Technology Manager","Squad"))))))))</f>
        <v>Squad</v>
      </c>
      <c r="AL182" s="534" t="str">
        <f>IF(TRIM($B182)="","",IF(AND($AM182=1,LEFT($AJ182,4)&lt;&gt;"EGI ",$AJ182&lt;&gt;"EGI"),IFERROR(INDEX(Lists!$Z$2:$Z$20,MATCH($AH182,Lists!$Y$2:$Y$20,0)),"EGI "&amp;$AH182),IF(COUNTIF(Lists!$AU$2:$AU$10,$AJ182),$AJ182,IF(OR(LEFT($AH182,3)="COE",$AH182="EGI"),$AJ182,IF($AK182&lt;&gt;"Squad",$AK182,$AJ182)))))</f>
        <v>Cyber Strat &amp; Tech</v>
      </c>
      <c r="AM182" s="534" t="b">
        <f>IF(TRIM($B182)="","",--(UPPER(TRIM($K182))="EGI"))</f>
        <v>0</v>
      </c>
      <c r="AQ182" s="841" t="inlineStr">
        <is>
          <t>R0181</t>
        </is>
      </c>
      <c r="AY182" s="859" t="n"/>
      <c r="AZ182" s="841" t="n"/>
    </row>
    <row r="183" ht="18" customHeight="1" s="535">
      <c r="A183" s="842" t="n">
        <v>102385</v>
      </c>
      <c r="B183" s="843" t="inlineStr">
        <is>
          <t>Chris Lyons</t>
        </is>
      </c>
      <c r="C183" s="842" t="n">
        <v>102385</v>
      </c>
      <c r="D183" s="843" t="inlineStr">
        <is>
          <t>Cyber Security Architect</t>
        </is>
      </c>
      <c r="E183" s="843" t="inlineStr">
        <is>
          <t>Kevin Sheerin</t>
        </is>
      </c>
      <c r="F183" s="843" t="inlineStr">
        <is>
          <t xml:space="preserve">Head of Cyber Strategy &amp; Technology </t>
        </is>
      </c>
      <c r="G183" s="844" t="inlineStr">
        <is>
          <t>Cyber, Risk &amp; Operations</t>
        </is>
      </c>
      <c r="H183" s="843" t="inlineStr">
        <is>
          <t>Cyber Strat &amp; Tech</t>
        </is>
      </c>
      <c r="I183" s="843" t="inlineStr">
        <is>
          <t>NA</t>
        </is>
      </c>
      <c r="J183" s="843" t="inlineStr">
        <is>
          <t>NA</t>
        </is>
      </c>
      <c r="K183" s="843" t="inlineStr">
        <is>
          <t>NA</t>
        </is>
      </c>
      <c r="L183" s="843" t="inlineStr">
        <is>
          <t>NA</t>
        </is>
      </c>
      <c r="M183" s="843" t="n"/>
      <c r="N183" s="845" t="inlineStr">
        <is>
          <t>Australia</t>
        </is>
      </c>
      <c r="O183" s="846" t="inlineStr">
        <is>
          <t>CIC</t>
        </is>
      </c>
      <c r="P183" s="847" t="n">
        <v>1</v>
      </c>
      <c r="Q183" s="856" t="n"/>
      <c r="R183" s="847" t="inlineStr">
        <is>
          <t>Permanent - Full Time</t>
        </is>
      </c>
      <c r="S183" s="847" t="n"/>
      <c r="T183" s="847" t="n"/>
      <c r="U183" s="848" t="n">
        <v>212250</v>
      </c>
      <c r="V183" s="849" t="n">
        <v>212250</v>
      </c>
      <c r="W183" s="850" t="n">
        <v>0.12</v>
      </c>
      <c r="X183" s="847" t="n">
        <v>0.055</v>
      </c>
      <c r="Y183" s="850" t="n">
        <v>0.12</v>
      </c>
      <c r="Z183" s="851" t="n"/>
      <c r="AA183" s="850" t="n">
        <v>0.04</v>
      </c>
      <c r="AB183" s="852" t="n">
        <v>283353.75</v>
      </c>
      <c r="AD183" s="857" t="n"/>
      <c r="AE183" s="857">
        <f>IF(TRIM($B183)="","",IF(AND(N($P183)&gt;0,N($P183)&lt;1),N($AB183)*N($P183),N($AB183)))</f>
        <v>283353.75</v>
      </c>
      <c r="AF183" s="857" t="str">
        <f>IF(TRIM($B183)="","",IF(OR(ISNUMBER(SEARCH("vacant",$B183)),ISNUMBER(SEARCH("ring fenced",$B183)),LOWER(TRIM($B183))="remove"),"Vacant","Filled"))</f>
        <v>Filled</v>
      </c>
      <c r="AG183" s="857" t="b">
        <f>IF(TRIM($B183)="","",--ISNUMBER(SEARCH("ring fenced",$B183)))</f>
        <v>0</v>
      </c>
      <c r="AH183" s="853" t="str">
        <f>IF(TRIM($B183)="","",IF(COUNTIFS(Lists!$AN$2:$AN$22,TRIM($B183)&amp;" | "&amp;TRIM($D183),Lists!$AO$2:$AO$22,"&lt;&gt;"),INDEX(Lists!$AO$2:$AO$22,MATCH(TRIM($B183)&amp;" | "&amp;TRIM($D183),Lists!$AN$2:$AN$22,0)),IF(COUNTIF(Lists!$AR$2:$AR$3,$AJ183),"TDD Cyber",IF(AND(LEFT($AJ183,4)="EGI ",ISNUMBER(MATCH(TRIM(MID($AJ183,5,99)),Lists!$AS$2:$AS$12,0))),TRIM(MID($AJ183,5,99)),IF(AND(LEFT($AJ183,4)="EGI ",ISNUMBER(MATCH(TRIM(MID($AJ183,5,99)),Lists!$T$2:$T$21,0))),INDEX(Lists!$U$2:$U$21,MATCH(TRIM(MID($AJ183,5,99)),Lists!$T$2:$T$21,0)),IF(OR(TRIM($J183)="",UPPER(TRIM($J183))="NA"),IFERROR(INDEX(Lists!$R$2:$R$9,MATCH(TRIM($G183),Lists!$Q$2:$Q$9,0)),"UNMAPPED"),IFERROR(INDEX(Lists!$U$2:$U$21,MATCH(TRIM($J183),Lists!$T$2:$T$21,0)),IFERROR(INDEX(Lists!$R$2:$R$9,MATCH(TRIM($G183),Lists!$Q$2:$Q$9,0)),"UNMAPPED"))))))))</f>
        <v>COE Cyber</v>
      </c>
      <c r="AI183" s="534" t="b">
        <f>IF(TRIM($B183)="","",--OR(TRIM($L183)="Leadership",TRIM($K183)="Leadership"))</f>
        <v>0</v>
      </c>
      <c r="AJ183" s="534" t="str">
        <f>IF(TRIM($B183)="","",IF(COUNTIFS(Lists!$AN$2:$AN$22,TRIM($B183)&amp;" | "&amp;TRIM($D183),Lists!$AP$2:$AP$22,"&lt;&gt;"),INDEX(Lists!$AP$2:$AP$22,MATCH(TRIM($B183)&amp;" | "&amp;TRIM($D183),Lists!$AN$2:$AN$22,0)),IF($AI183=1,"Leadership",IFERROR(INDEX(Lists!$X$2:$X$21,MATCH(TRIM($L183),Lists!$W$2:$W$21,0)),IF(OR(TRIM($L183)="",LOWER(TRIM($L183))="na"),IF(TRIM($H183)="","Unassigned",TRIM($H183)),TRIM($L183))))))</f>
        <v>Cyber Strat &amp; Tech</v>
      </c>
      <c r="AK183" s="534" t="str">
        <f>IF(TRIM($B183)="","",IF(COUNTIFS(Lists!$AN$2:$AN$22,TRIM($B183)&amp;" | "&amp;TRIM($D183),Lists!$AQ$2:$AQ$22,"&lt;&gt;"),INDEX(Lists!$AQ$2:$AQ$22,MATCH(TRIM($B183)&amp;" | "&amp;TRIM($D183),Lists!$AN$2:$AN$22,0)),IF(COUNTIF(Lists!$AF$2:$AF$8,$AJ183),$AJ183,IF(ISNUMBER(SEARCH("head of ",$D183)),"Head of Technology",IF(ISNUMBER(SEARCH("TDD BP",$D183)),"Business Partner",IF(OR(ISNUMBER(SEARCH("domain architect",$D183)),ISNUMBER(SEARCH("enterprise architect",$D183))),"Domain Architect",IF(ISNUMBER(SEARCH("delivery man",$D183)),"Delivery Manager",IF(OR(ISNUMBER(SEARCH("technology manager",$D183)),ISNUMBER(SEARCH("technology manger",$D183)),ISNUMBER(SEARCH("tech manager",$D183))),"Technology Manager","Squad"))))))))</f>
        <v>Squad</v>
      </c>
      <c r="AL183" s="534" t="str">
        <f>IF(TRIM($B183)="","",IF(AND($AM183=1,LEFT($AJ183,4)&lt;&gt;"EGI ",$AJ183&lt;&gt;"EGI"),IFERROR(INDEX(Lists!$Z$2:$Z$20,MATCH($AH183,Lists!$Y$2:$Y$20,0)),"EGI "&amp;$AH183),IF(COUNTIF(Lists!$AU$2:$AU$10,$AJ183),$AJ183,IF(OR(LEFT($AH183,3)="COE",$AH183="EGI"),$AJ183,IF($AK183&lt;&gt;"Squad",$AK183,$AJ183)))))</f>
        <v>Cyber Strat &amp; Tech</v>
      </c>
      <c r="AM183" s="534" t="b">
        <f>IF(TRIM($B183)="","",--(UPPER(TRIM($K183))="EGI"))</f>
        <v>0</v>
      </c>
      <c r="AQ183" s="841" t="inlineStr">
        <is>
          <t>R0182</t>
        </is>
      </c>
      <c r="AY183" s="859" t="n"/>
      <c r="AZ183" s="841" t="n"/>
    </row>
    <row r="184" ht="18" customHeight="1" s="535">
      <c r="A184" s="842" t="n">
        <v>104966</v>
      </c>
      <c r="B184" s="843" t="inlineStr">
        <is>
          <t>Rahul Sahni</t>
        </is>
      </c>
      <c r="C184" s="842" t="n">
        <v>104966</v>
      </c>
      <c r="D184" s="843" t="inlineStr">
        <is>
          <t>Cyber Security Architect</t>
        </is>
      </c>
      <c r="E184" s="843" t="inlineStr">
        <is>
          <t>Kevin Sheerin</t>
        </is>
      </c>
      <c r="F184" s="843" t="n"/>
      <c r="G184" s="844" t="inlineStr">
        <is>
          <t>Cyber, Risk &amp; Operations</t>
        </is>
      </c>
      <c r="H184" s="843" t="inlineStr">
        <is>
          <t>Cyber Strat &amp; Tech</t>
        </is>
      </c>
      <c r="I184" s="843" t="inlineStr">
        <is>
          <t>NA</t>
        </is>
      </c>
      <c r="J184" s="843" t="inlineStr">
        <is>
          <t>NA</t>
        </is>
      </c>
      <c r="K184" s="843" t="inlineStr">
        <is>
          <t>NA</t>
        </is>
      </c>
      <c r="L184" s="843" t="inlineStr">
        <is>
          <t>NA</t>
        </is>
      </c>
      <c r="M184" s="843" t="n"/>
      <c r="N184" s="845" t="inlineStr">
        <is>
          <t>Australia</t>
        </is>
      </c>
      <c r="O184" s="846" t="inlineStr">
        <is>
          <t>CIC</t>
        </is>
      </c>
      <c r="P184" s="847" t="n">
        <v>1</v>
      </c>
      <c r="Q184" s="856" t="n"/>
      <c r="R184" s="847" t="inlineStr">
        <is>
          <t>Permanent - Full Time</t>
        </is>
      </c>
      <c r="S184" s="847" t="n"/>
      <c r="T184" s="847" t="n"/>
      <c r="U184" s="848" t="n">
        <v>169500</v>
      </c>
      <c r="V184" s="849" t="n">
        <v>169500</v>
      </c>
      <c r="W184" s="850" t="n">
        <v>0.12</v>
      </c>
      <c r="X184" s="847" t="n">
        <v>0.055</v>
      </c>
      <c r="Y184" s="850" t="n">
        <v>0.12</v>
      </c>
      <c r="Z184" s="851" t="n"/>
      <c r="AA184" s="850" t="n">
        <v>0.04</v>
      </c>
      <c r="AB184" s="852" t="n">
        <v>226282.5</v>
      </c>
      <c r="AD184" s="857" t="n"/>
      <c r="AE184" s="857">
        <f>IF(TRIM($B184)="","",IF(AND(N($P184)&gt;0,N($P184)&lt;1),N($AB184)*N($P184),N($AB184)))</f>
        <v>226282.5</v>
      </c>
      <c r="AF184" s="857" t="str">
        <f>IF(TRIM($B184)="","",IF(OR(ISNUMBER(SEARCH("vacant",$B184)),ISNUMBER(SEARCH("ring fenced",$B184)),LOWER(TRIM($B184))="remove"),"Vacant","Filled"))</f>
        <v>Filled</v>
      </c>
      <c r="AG184" s="857" t="b">
        <f>IF(TRIM($B184)="","",--ISNUMBER(SEARCH("ring fenced",$B184)))</f>
        <v>0</v>
      </c>
      <c r="AH184" s="853" t="str">
        <f>IF(TRIM($B184)="","",IF(COUNTIFS(Lists!$AN$2:$AN$22,TRIM($B184)&amp;" | "&amp;TRIM($D184),Lists!$AO$2:$AO$22,"&lt;&gt;"),INDEX(Lists!$AO$2:$AO$22,MATCH(TRIM($B184)&amp;" | "&amp;TRIM($D184),Lists!$AN$2:$AN$22,0)),IF(COUNTIF(Lists!$AR$2:$AR$3,$AJ184),"TDD Cyber",IF(AND(LEFT($AJ184,4)="EGI ",ISNUMBER(MATCH(TRIM(MID($AJ184,5,99)),Lists!$AS$2:$AS$12,0))),TRIM(MID($AJ184,5,99)),IF(AND(LEFT($AJ184,4)="EGI ",ISNUMBER(MATCH(TRIM(MID($AJ184,5,99)),Lists!$T$2:$T$21,0))),INDEX(Lists!$U$2:$U$21,MATCH(TRIM(MID($AJ184,5,99)),Lists!$T$2:$T$21,0)),IF(OR(TRIM($J184)="",UPPER(TRIM($J184))="NA"),IFERROR(INDEX(Lists!$R$2:$R$9,MATCH(TRIM($G184),Lists!$Q$2:$Q$9,0)),"UNMAPPED"),IFERROR(INDEX(Lists!$U$2:$U$21,MATCH(TRIM($J184),Lists!$T$2:$T$21,0)),IFERROR(INDEX(Lists!$R$2:$R$9,MATCH(TRIM($G184),Lists!$Q$2:$Q$9,0)),"UNMAPPED"))))))))</f>
        <v>COE Cyber</v>
      </c>
      <c r="AI184" s="534" t="b">
        <f>IF(TRIM($B184)="","",--OR(TRIM($L184)="Leadership",TRIM($K184)="Leadership"))</f>
        <v>0</v>
      </c>
      <c r="AJ184" s="534" t="str">
        <f>IF(TRIM($B184)="","",IF(COUNTIFS(Lists!$AN$2:$AN$22,TRIM($B184)&amp;" | "&amp;TRIM($D184),Lists!$AP$2:$AP$22,"&lt;&gt;"),INDEX(Lists!$AP$2:$AP$22,MATCH(TRIM($B184)&amp;" | "&amp;TRIM($D184),Lists!$AN$2:$AN$22,0)),IF($AI184=1,"Leadership",IFERROR(INDEX(Lists!$X$2:$X$21,MATCH(TRIM($L184),Lists!$W$2:$W$21,0)),IF(OR(TRIM($L184)="",LOWER(TRIM($L184))="na"),IF(TRIM($H184)="","Unassigned",TRIM($H184)),TRIM($L184))))))</f>
        <v>Cyber Strat &amp; Tech</v>
      </c>
      <c r="AK184" s="534" t="str">
        <f>IF(TRIM($B184)="","",IF(COUNTIFS(Lists!$AN$2:$AN$22,TRIM($B184)&amp;" | "&amp;TRIM($D184),Lists!$AQ$2:$AQ$22,"&lt;&gt;"),INDEX(Lists!$AQ$2:$AQ$22,MATCH(TRIM($B184)&amp;" | "&amp;TRIM($D184),Lists!$AN$2:$AN$22,0)),IF(COUNTIF(Lists!$AF$2:$AF$8,$AJ184),$AJ184,IF(ISNUMBER(SEARCH("head of ",$D184)),"Head of Technology",IF(ISNUMBER(SEARCH("TDD BP",$D184)),"Business Partner",IF(OR(ISNUMBER(SEARCH("domain architect",$D184)),ISNUMBER(SEARCH("enterprise architect",$D184))),"Domain Architect",IF(ISNUMBER(SEARCH("delivery man",$D184)),"Delivery Manager",IF(OR(ISNUMBER(SEARCH("technology manager",$D184)),ISNUMBER(SEARCH("technology manger",$D184)),ISNUMBER(SEARCH("tech manager",$D184))),"Technology Manager","Squad"))))))))</f>
        <v>Squad</v>
      </c>
      <c r="AL184" s="534" t="str">
        <f>IF(TRIM($B184)="","",IF(AND($AM184=1,LEFT($AJ184,4)&lt;&gt;"EGI ",$AJ184&lt;&gt;"EGI"),IFERROR(INDEX(Lists!$Z$2:$Z$20,MATCH($AH184,Lists!$Y$2:$Y$20,0)),"EGI "&amp;$AH184),IF(COUNTIF(Lists!$AU$2:$AU$10,$AJ184),$AJ184,IF(OR(LEFT($AH184,3)="COE",$AH184="EGI"),$AJ184,IF($AK184&lt;&gt;"Squad",$AK184,$AJ184)))))</f>
        <v>Cyber Strat &amp; Tech</v>
      </c>
      <c r="AM184" s="534" t="b">
        <f>IF(TRIM($B184)="","",--(UPPER(TRIM($K184))="EGI"))</f>
        <v>0</v>
      </c>
      <c r="AQ184" s="841" t="inlineStr">
        <is>
          <t>R0183</t>
        </is>
      </c>
      <c r="AY184" s="859" t="n"/>
      <c r="AZ184" s="841" t="n"/>
    </row>
    <row r="185" ht="18" customHeight="1" s="535">
      <c r="A185" s="842" t="n">
        <v>113562</v>
      </c>
      <c r="B185" s="843" t="inlineStr">
        <is>
          <t>Kamal Patel</t>
        </is>
      </c>
      <c r="C185" s="842" t="n">
        <v>113562</v>
      </c>
      <c r="D185" s="843" t="inlineStr">
        <is>
          <t>JDE Senior Systems Specialist</t>
        </is>
      </c>
      <c r="E185" s="843" t="inlineStr">
        <is>
          <t>Lydia Pritchard</t>
        </is>
      </c>
      <c r="F185" s="843" t="inlineStr">
        <is>
          <t>Lead JDE System Specialist</t>
        </is>
      </c>
      <c r="G185" s="844" t="inlineStr">
        <is>
          <t>TDD Group Functions</t>
        </is>
      </c>
      <c r="H185" s="843" t="inlineStr">
        <is>
          <t>P&amp;C, Finance &amp; Legal</t>
        </is>
      </c>
      <c r="I185" s="843" t="inlineStr">
        <is>
          <t>Tech, Finance Platforms</t>
        </is>
      </c>
      <c r="J185" s="843" t="inlineStr">
        <is>
          <t>Finance</t>
        </is>
      </c>
      <c r="K185" s="843" t="inlineStr">
        <is>
          <t>NZ Finance</t>
        </is>
      </c>
      <c r="L185" s="843" t="inlineStr">
        <is>
          <t>NZ Finance</t>
        </is>
      </c>
      <c r="M185" s="843" t="n"/>
      <c r="N185" s="845" t="inlineStr">
        <is>
          <t>NZ</t>
        </is>
      </c>
      <c r="O185" s="846" t="inlineStr">
        <is>
          <t>CIC</t>
        </is>
      </c>
      <c r="P185" s="847" t="n">
        <v>1</v>
      </c>
      <c r="Q185" s="856" t="n"/>
      <c r="R185" s="847" t="inlineStr">
        <is>
          <t>Permanent - Full Time</t>
        </is>
      </c>
      <c r="S185" s="847" t="n"/>
      <c r="T185" s="847" t="n"/>
      <c r="U185" s="848" t="n">
        <v>160470</v>
      </c>
      <c r="V185" s="849" t="n">
        <v>147632.4</v>
      </c>
      <c r="W185" s="850" t="n">
        <v>0.15</v>
      </c>
      <c r="X185" s="847" t="n"/>
      <c r="Y185" s="850" t="n">
        <v>0.05</v>
      </c>
      <c r="Z185" s="851" t="n">
        <v>2910</v>
      </c>
      <c r="AA185" s="850" t="n">
        <v>0.03</v>
      </c>
      <c r="AB185" s="852" t="n">
        <v>184497.852</v>
      </c>
      <c r="AD185" s="857" t="n"/>
      <c r="AE185" s="857">
        <f>IF(TRIM($B185)="","",IF(AND(N($P185)&gt;0,N($P185)&lt;1),N($AB185)*N($P185),N($AB185)))</f>
        <v>184497.852</v>
      </c>
      <c r="AF185" s="857" t="str">
        <f>IF(TRIM($B185)="","",IF(OR(ISNUMBER(SEARCH("vacant",$B185)),ISNUMBER(SEARCH("ring fenced",$B185)),LOWER(TRIM($B185))="remove"),"Vacant","Filled"))</f>
        <v>Filled</v>
      </c>
      <c r="AG185" s="857" t="b">
        <f>IF(TRIM($B185)="","",--ISNUMBER(SEARCH("ring fenced",$B185)))</f>
        <v>0</v>
      </c>
      <c r="AH185" s="534" t="str">
        <f>IF(TRIM($B185)="","",IF(COUNTIFS(Lists!$AN$2:$AN$22,TRIM($B185)&amp;" | "&amp;TRIM($D185),Lists!$AO$2:$AO$22,"&lt;&gt;"),INDEX(Lists!$AO$2:$AO$22,MATCH(TRIM($B185)&amp;" | "&amp;TRIM($D185),Lists!$AN$2:$AN$22,0)),IF(COUNTIF(Lists!$AR$2:$AR$3,$AJ185),"TDD Cyber",IF(AND(LEFT($AJ185,4)="EGI ",ISNUMBER(MATCH(TRIM(MID($AJ185,5,99)),Lists!$AS$2:$AS$12,0))),TRIM(MID($AJ185,5,99)),IF(AND(LEFT($AJ185,4)="EGI ",ISNUMBER(MATCH(TRIM(MID($AJ185,5,99)),Lists!$T$2:$T$21,0))),INDEX(Lists!$U$2:$U$21,MATCH(TRIM(MID($AJ185,5,99)),Lists!$T$2:$T$21,0)),IF(OR(TRIM($J185)="",UPPER(TRIM($J185))="NA"),IFERROR(INDEX(Lists!$R$2:$R$9,MATCH(TRIM($G185),Lists!$Q$2:$Q$9,0)),"UNMAPPED"),IFERROR(INDEX(Lists!$U$2:$U$21,MATCH(TRIM($J185),Lists!$T$2:$T$21,0)),IFERROR(INDEX(Lists!$R$2:$R$9,MATCH(TRIM($G185),Lists!$Q$2:$Q$9,0)),"UNMAPPED"))))))))</f>
        <v>Finance</v>
      </c>
      <c r="AI185" s="534" t="b">
        <f>IF(TRIM($B185)="","",--OR(TRIM($L185)="Leadership",TRIM($K185)="Leadership"))</f>
        <v>0</v>
      </c>
      <c r="AJ185" s="534" t="str">
        <f>IF(TRIM($B185)="","",IF(COUNTIFS(Lists!$AN$2:$AN$22,TRIM($B185)&amp;" | "&amp;TRIM($D185),Lists!$AP$2:$AP$22,"&lt;&gt;"),INDEX(Lists!$AP$2:$AP$22,MATCH(TRIM($B185)&amp;" | "&amp;TRIM($D185),Lists!$AN$2:$AN$22,0)),IF($AI185=1,"Leadership",IFERROR(INDEX(Lists!$X$2:$X$21,MATCH(TRIM($L185),Lists!$W$2:$W$21,0)),IF(OR(TRIM($L185)="",LOWER(TRIM($L185))="na"),IF(TRIM($H185)="","Unassigned",TRIM($H185)),TRIM($L185))))))</f>
        <v>NZ Finance</v>
      </c>
      <c r="AK185" s="534" t="str">
        <f>IF(TRIM($B185)="","",IF(COUNTIFS(Lists!$AN$2:$AN$22,TRIM($B185)&amp;" | "&amp;TRIM($D185),Lists!$AQ$2:$AQ$22,"&lt;&gt;"),INDEX(Lists!$AQ$2:$AQ$22,MATCH(TRIM($B185)&amp;" | "&amp;TRIM($D185),Lists!$AN$2:$AN$22,0)),IF(COUNTIF(Lists!$AF$2:$AF$8,$AJ185),$AJ185,IF(ISNUMBER(SEARCH("head of ",$D185)),"Head of Technology",IF(ISNUMBER(SEARCH("TDD BP",$D185)),"Business Partner",IF(OR(ISNUMBER(SEARCH("domain architect",$D185)),ISNUMBER(SEARCH("enterprise architect",$D185))),"Domain Architect",IF(ISNUMBER(SEARCH("delivery man",$D185)),"Delivery Manager",IF(OR(ISNUMBER(SEARCH("technology manager",$D185)),ISNUMBER(SEARCH("technology manger",$D185)),ISNUMBER(SEARCH("tech manager",$D185))),"Technology Manager","Squad"))))))))</f>
        <v>Squad</v>
      </c>
      <c r="AL185" s="534" t="str">
        <f>IF(TRIM($B185)="","",IF(AND($AM185=1,LEFT($AJ185,4)&lt;&gt;"EGI ",$AJ185&lt;&gt;"EGI"),IFERROR(INDEX(Lists!$Z$2:$Z$20,MATCH($AH185,Lists!$Y$2:$Y$20,0)),"EGI "&amp;$AH185),IF(COUNTIF(Lists!$AU$2:$AU$10,$AJ185),$AJ185,IF(OR(LEFT($AH185,3)="COE",$AH185="EGI"),$AJ185,IF($AK185&lt;&gt;"Squad",$AK185,$AJ185)))))</f>
        <v>NZ Finance</v>
      </c>
      <c r="AM185" s="534" t="b">
        <f>IF(TRIM($B185)="","",--(UPPER(TRIM($K185))="EGI"))</f>
        <v>0</v>
      </c>
      <c r="AQ185" s="841" t="inlineStr">
        <is>
          <t>R0184</t>
        </is>
      </c>
      <c r="AY185" s="859" t="n"/>
      <c r="AZ185" s="841" t="n"/>
    </row>
    <row r="186" ht="18" customHeight="1" s="535">
      <c r="A186" s="842" t="n">
        <v>113587</v>
      </c>
      <c r="B186" s="843" t="inlineStr">
        <is>
          <t>Martyn Rudduck</t>
        </is>
      </c>
      <c r="C186" s="842" t="n">
        <v>113587</v>
      </c>
      <c r="D186" s="843" t="inlineStr">
        <is>
          <t>JDE Senior Systems Specialist</t>
        </is>
      </c>
      <c r="E186" s="843" t="inlineStr">
        <is>
          <t>Lydia Pritchard</t>
        </is>
      </c>
      <c r="F186" s="843" t="inlineStr">
        <is>
          <t>Lead JDE System Specialist</t>
        </is>
      </c>
      <c r="G186" s="844" t="inlineStr">
        <is>
          <t>TDD Group Functions</t>
        </is>
      </c>
      <c r="H186" s="843" t="inlineStr">
        <is>
          <t>P&amp;C, Finance &amp; Legal</t>
        </is>
      </c>
      <c r="I186" s="843" t="inlineStr">
        <is>
          <t>Tech, Finance Platforms</t>
        </is>
      </c>
      <c r="J186" s="843" t="inlineStr">
        <is>
          <t>Finance</t>
        </is>
      </c>
      <c r="K186" s="843" t="inlineStr">
        <is>
          <t>NZ Finance</t>
        </is>
      </c>
      <c r="L186" s="843" t="inlineStr">
        <is>
          <t>NZ Finance</t>
        </is>
      </c>
      <c r="M186" s="843" t="n"/>
      <c r="N186" s="845" t="inlineStr">
        <is>
          <t>NZ</t>
        </is>
      </c>
      <c r="O186" s="846" t="inlineStr">
        <is>
          <t>CIC</t>
        </is>
      </c>
      <c r="P186" s="847" t="n">
        <v>1</v>
      </c>
      <c r="Q186" s="856" t="n"/>
      <c r="R186" s="847" t="inlineStr">
        <is>
          <t>Permanent - Full Time</t>
        </is>
      </c>
      <c r="S186" s="847" t="n"/>
      <c r="T186" s="847" t="n"/>
      <c r="U186" s="848" t="n">
        <v>155550</v>
      </c>
      <c r="V186" s="849" t="n">
        <v>143106</v>
      </c>
      <c r="W186" s="850" t="n">
        <v>0.15</v>
      </c>
      <c r="X186" s="847" t="n"/>
      <c r="Y186" s="850" t="n">
        <v>0.05</v>
      </c>
      <c r="Z186" s="851" t="n">
        <v>2910</v>
      </c>
      <c r="AA186" s="850" t="n">
        <v>0.03</v>
      </c>
      <c r="AB186" s="852" t="n">
        <v>178930.38</v>
      </c>
      <c r="AD186" s="857" t="n"/>
      <c r="AE186" s="857">
        <f>IF(TRIM($B186)="","",IF(AND(N($P186)&gt;0,N($P186)&lt;1),N($AB186)*N($P186),N($AB186)))</f>
        <v>178930.38</v>
      </c>
      <c r="AF186" s="857" t="str">
        <f>IF(TRIM($B186)="","",IF(OR(ISNUMBER(SEARCH("vacant",$B186)),ISNUMBER(SEARCH("ring fenced",$B186)),LOWER(TRIM($B186))="remove"),"Vacant","Filled"))</f>
        <v>Filled</v>
      </c>
      <c r="AG186" s="857" t="b">
        <f>IF(TRIM($B186)="","",--ISNUMBER(SEARCH("ring fenced",$B186)))</f>
        <v>0</v>
      </c>
      <c r="AH186" s="853" t="str">
        <f>IF(TRIM($B186)="","",IF(COUNTIFS(Lists!$AN$2:$AN$22,TRIM($B186)&amp;" | "&amp;TRIM($D186),Lists!$AO$2:$AO$22,"&lt;&gt;"),INDEX(Lists!$AO$2:$AO$22,MATCH(TRIM($B186)&amp;" | "&amp;TRIM($D186),Lists!$AN$2:$AN$22,0)),IF(COUNTIF(Lists!$AR$2:$AR$3,$AJ186),"TDD Cyber",IF(AND(LEFT($AJ186,4)="EGI ",ISNUMBER(MATCH(TRIM(MID($AJ186,5,99)),Lists!$AS$2:$AS$12,0))),TRIM(MID($AJ186,5,99)),IF(AND(LEFT($AJ186,4)="EGI ",ISNUMBER(MATCH(TRIM(MID($AJ186,5,99)),Lists!$T$2:$T$21,0))),INDEX(Lists!$U$2:$U$21,MATCH(TRIM(MID($AJ186,5,99)),Lists!$T$2:$T$21,0)),IF(OR(TRIM($J186)="",UPPER(TRIM($J186))="NA"),IFERROR(INDEX(Lists!$R$2:$R$9,MATCH(TRIM($G186),Lists!$Q$2:$Q$9,0)),"UNMAPPED"),IFERROR(INDEX(Lists!$U$2:$U$21,MATCH(TRIM($J186),Lists!$T$2:$T$21,0)),IFERROR(INDEX(Lists!$R$2:$R$9,MATCH(TRIM($G186),Lists!$Q$2:$Q$9,0)),"UNMAPPED"))))))))</f>
        <v>Finance</v>
      </c>
      <c r="AI186" s="534" t="b">
        <f>IF(TRIM($B186)="","",--OR(TRIM($L186)="Leadership",TRIM($K186)="Leadership"))</f>
        <v>0</v>
      </c>
      <c r="AJ186" s="534" t="str">
        <f>IF(TRIM($B186)="","",IF(COUNTIFS(Lists!$AN$2:$AN$22,TRIM($B186)&amp;" | "&amp;TRIM($D186),Lists!$AP$2:$AP$22,"&lt;&gt;"),INDEX(Lists!$AP$2:$AP$22,MATCH(TRIM($B186)&amp;" | "&amp;TRIM($D186),Lists!$AN$2:$AN$22,0)),IF($AI186=1,"Leadership",IFERROR(INDEX(Lists!$X$2:$X$21,MATCH(TRIM($L186),Lists!$W$2:$W$21,0)),IF(OR(TRIM($L186)="",LOWER(TRIM($L186))="na"),IF(TRIM($H186)="","Unassigned",TRIM($H186)),TRIM($L186))))))</f>
        <v>NZ Finance</v>
      </c>
      <c r="AK186" s="534" t="str">
        <f>IF(TRIM($B186)="","",IF(COUNTIFS(Lists!$AN$2:$AN$22,TRIM($B186)&amp;" | "&amp;TRIM($D186),Lists!$AQ$2:$AQ$22,"&lt;&gt;"),INDEX(Lists!$AQ$2:$AQ$22,MATCH(TRIM($B186)&amp;" | "&amp;TRIM($D186),Lists!$AN$2:$AN$22,0)),IF(COUNTIF(Lists!$AF$2:$AF$8,$AJ186),$AJ186,IF(ISNUMBER(SEARCH("head of ",$D186)),"Head of Technology",IF(ISNUMBER(SEARCH("TDD BP",$D186)),"Business Partner",IF(OR(ISNUMBER(SEARCH("domain architect",$D186)),ISNUMBER(SEARCH("enterprise architect",$D186))),"Domain Architect",IF(ISNUMBER(SEARCH("delivery man",$D186)),"Delivery Manager",IF(OR(ISNUMBER(SEARCH("technology manager",$D186)),ISNUMBER(SEARCH("technology manger",$D186)),ISNUMBER(SEARCH("tech manager",$D186))),"Technology Manager","Squad"))))))))</f>
        <v>Squad</v>
      </c>
      <c r="AL186" s="534" t="str">
        <f>IF(TRIM($B186)="","",IF(AND($AM186=1,LEFT($AJ186,4)&lt;&gt;"EGI ",$AJ186&lt;&gt;"EGI"),IFERROR(INDEX(Lists!$Z$2:$Z$20,MATCH($AH186,Lists!$Y$2:$Y$20,0)),"EGI "&amp;$AH186),IF(COUNTIF(Lists!$AU$2:$AU$10,$AJ186),$AJ186,IF(OR(LEFT($AH186,3)="COE",$AH186="EGI"),$AJ186,IF($AK186&lt;&gt;"Squad",$AK186,$AJ186)))))</f>
        <v>NZ Finance</v>
      </c>
      <c r="AM186" s="534" t="b">
        <f>IF(TRIM($B186)="","",--(UPPER(TRIM($K186))="EGI"))</f>
        <v>0</v>
      </c>
      <c r="AQ186" s="841" t="inlineStr">
        <is>
          <t>R0185</t>
        </is>
      </c>
      <c r="AY186" s="859" t="n"/>
      <c r="AZ186" s="841" t="n"/>
    </row>
    <row r="187" ht="18" customHeight="1" s="535">
      <c r="A187" s="842" t="inlineStr">
        <is>
          <t>V</t>
        </is>
      </c>
      <c r="B187" s="843" t="inlineStr">
        <is>
          <t>Vacant</t>
        </is>
      </c>
      <c r="C187" s="842" t="inlineStr">
        <is>
          <t>V</t>
        </is>
      </c>
      <c r="D187" s="843" t="inlineStr">
        <is>
          <t>SAP Functional Specialist</t>
        </is>
      </c>
      <c r="E187" s="843" t="inlineStr">
        <is>
          <t>Maudud Chaudhury</t>
        </is>
      </c>
      <c r="F187" s="843" t="inlineStr">
        <is>
          <t>SAP ERP Application Lead</t>
        </is>
      </c>
      <c r="G187" s="844" t="inlineStr">
        <is>
          <t>TDD Group Functions</t>
        </is>
      </c>
      <c r="H187" s="843" t="inlineStr">
        <is>
          <t>P&amp;C, Finance &amp; Legal</t>
        </is>
      </c>
      <c r="I187" s="843" t="inlineStr">
        <is>
          <t>Tech, Finance Platforms</t>
        </is>
      </c>
      <c r="J187" s="843" t="inlineStr">
        <is>
          <t>Finance</t>
        </is>
      </c>
      <c r="K187" s="843" t="inlineStr">
        <is>
          <t>AU Finance</t>
        </is>
      </c>
      <c r="L187" s="843" t="inlineStr">
        <is>
          <t>SAP ERP</t>
        </is>
      </c>
      <c r="M187" s="843" t="n"/>
      <c r="N187" s="845" t="inlineStr">
        <is>
          <t>Australia</t>
        </is>
      </c>
      <c r="O187" s="846" t="inlineStr">
        <is>
          <t>CIC</t>
        </is>
      </c>
      <c r="P187" s="847" t="n">
        <v>1</v>
      </c>
      <c r="Q187" s="856" t="n"/>
      <c r="R187" s="847" t="inlineStr">
        <is>
          <t>v</t>
        </is>
      </c>
      <c r="S187" s="847" t="n"/>
      <c r="T187" s="847" t="n"/>
      <c r="U187" s="848" t="n">
        <v>173550</v>
      </c>
      <c r="V187" s="849" t="n">
        <v>173550</v>
      </c>
      <c r="W187" s="850" t="n">
        <v>0.12</v>
      </c>
      <c r="X187" s="847" t="n">
        <v>0.055</v>
      </c>
      <c r="Y187" s="850" t="n">
        <v>0.12</v>
      </c>
      <c r="Z187" s="851" t="n"/>
      <c r="AA187" s="850" t="n">
        <v>0.04</v>
      </c>
      <c r="AB187" s="852" t="n">
        <v>231689.25</v>
      </c>
      <c r="AD187" s="857" t="n"/>
      <c r="AE187" s="857">
        <f>IF(TRIM($B187)="","",IF(AND(N($P187)&gt;0,N($P187)&lt;1),N($AB187)*N($P187),N($AB187)))</f>
        <v>231689.25</v>
      </c>
      <c r="AF187" s="857" t="str">
        <f>IF(TRIM($B187)="","",IF(OR(ISNUMBER(SEARCH("vacant",$B187)),ISNUMBER(SEARCH("ring fenced",$B187)),LOWER(TRIM($B187))="remove"),"Vacant","Filled"))</f>
        <v>Vacant</v>
      </c>
      <c r="AG187" s="857" t="b">
        <f>IF(TRIM($B187)="","",--ISNUMBER(SEARCH("ring fenced",$B187)))</f>
        <v>0</v>
      </c>
      <c r="AH187" s="853" t="str">
        <f>IF(TRIM($B187)="","",IF(COUNTIFS(Lists!$AN$2:$AN$22,TRIM($B187)&amp;" | "&amp;TRIM($D187),Lists!$AO$2:$AO$22,"&lt;&gt;"),INDEX(Lists!$AO$2:$AO$22,MATCH(TRIM($B187)&amp;" | "&amp;TRIM($D187),Lists!$AN$2:$AN$22,0)),IF(COUNTIF(Lists!$AR$2:$AR$3,$AJ187),"TDD Cyber",IF(AND(LEFT($AJ187,4)="EGI ",ISNUMBER(MATCH(TRIM(MID($AJ187,5,99)),Lists!$AS$2:$AS$12,0))),TRIM(MID($AJ187,5,99)),IF(AND(LEFT($AJ187,4)="EGI ",ISNUMBER(MATCH(TRIM(MID($AJ187,5,99)),Lists!$T$2:$T$21,0))),INDEX(Lists!$U$2:$U$21,MATCH(TRIM(MID($AJ187,5,99)),Lists!$T$2:$T$21,0)),IF(OR(TRIM($J187)="",UPPER(TRIM($J187))="NA"),IFERROR(INDEX(Lists!$R$2:$R$9,MATCH(TRIM($G187),Lists!$Q$2:$Q$9,0)),"UNMAPPED"),IFERROR(INDEX(Lists!$U$2:$U$21,MATCH(TRIM($J187),Lists!$T$2:$T$21,0)),IFERROR(INDEX(Lists!$R$2:$R$9,MATCH(TRIM($G187),Lists!$Q$2:$Q$9,0)),"UNMAPPED"))))))))</f>
        <v>Finance</v>
      </c>
      <c r="AI187" s="534" t="b">
        <f>IF(TRIM($B187)="","",--OR(TRIM($L187)="Leadership",TRIM($K187)="Leadership"))</f>
        <v>0</v>
      </c>
      <c r="AJ187" s="534" t="str">
        <f>IF(TRIM($B187)="","",IF(COUNTIFS(Lists!$AN$2:$AN$22,TRIM($B187)&amp;" | "&amp;TRIM($D187),Lists!$AP$2:$AP$22,"&lt;&gt;"),INDEX(Lists!$AP$2:$AP$22,MATCH(TRIM($B187)&amp;" | "&amp;TRIM($D187),Lists!$AN$2:$AN$22,0)),IF($AI187=1,"Leadership",IFERROR(INDEX(Lists!$X$2:$X$21,MATCH(TRIM($L187),Lists!$W$2:$W$21,0)),IF(OR(TRIM($L187)="",LOWER(TRIM($L187))="na"),IF(TRIM($H187)="","Unassigned",TRIM($H187)),TRIM($L187))))))</f>
        <v>SAP ERP</v>
      </c>
      <c r="AK187" s="534" t="str">
        <f>IF(TRIM($B187)="","",IF(COUNTIFS(Lists!$AN$2:$AN$22,TRIM($B187)&amp;" | "&amp;TRIM($D187),Lists!$AQ$2:$AQ$22,"&lt;&gt;"),INDEX(Lists!$AQ$2:$AQ$22,MATCH(TRIM($B187)&amp;" | "&amp;TRIM($D187),Lists!$AN$2:$AN$22,0)),IF(COUNTIF(Lists!$AF$2:$AF$8,$AJ187),$AJ187,IF(ISNUMBER(SEARCH("head of ",$D187)),"Head of Technology",IF(ISNUMBER(SEARCH("TDD BP",$D187)),"Business Partner",IF(OR(ISNUMBER(SEARCH("domain architect",$D187)),ISNUMBER(SEARCH("enterprise architect",$D187))),"Domain Architect",IF(ISNUMBER(SEARCH("delivery man",$D187)),"Delivery Manager",IF(OR(ISNUMBER(SEARCH("technology manager",$D187)),ISNUMBER(SEARCH("technology manger",$D187)),ISNUMBER(SEARCH("tech manager",$D187))),"Technology Manager","Squad"))))))))</f>
        <v>Squad</v>
      </c>
      <c r="AL187" s="534" t="str">
        <f>IF(TRIM($B187)="","",IF(AND($AM187=1,LEFT($AJ187,4)&lt;&gt;"EGI ",$AJ187&lt;&gt;"EGI"),IFERROR(INDEX(Lists!$Z$2:$Z$20,MATCH($AH187,Lists!$Y$2:$Y$20,0)),"EGI "&amp;$AH187),IF(COUNTIF(Lists!$AU$2:$AU$10,$AJ187),$AJ187,IF(OR(LEFT($AH187,3)="COE",$AH187="EGI"),$AJ187,IF($AK187&lt;&gt;"Squad",$AK187,$AJ187)))))</f>
        <v>SAP ERP</v>
      </c>
      <c r="AM187" s="534" t="b">
        <f>IF(TRIM($B187)="","",--(UPPER(TRIM($K187))="EGI"))</f>
        <v>0</v>
      </c>
      <c r="AQ187" s="841" t="inlineStr">
        <is>
          <t>R0186</t>
        </is>
      </c>
      <c r="AZ187" s="841" t="n"/>
    </row>
    <row r="188" ht="18" customHeight="1" s="535">
      <c r="A188" s="842" t="n">
        <v>113516</v>
      </c>
      <c r="B188" s="843" t="inlineStr">
        <is>
          <t>Ashley Mueller</t>
        </is>
      </c>
      <c r="C188" s="842" t="n">
        <v>113516</v>
      </c>
      <c r="D188" s="843" t="inlineStr">
        <is>
          <t>Lead – Service Assurance</t>
        </is>
      </c>
      <c r="E188" s="843" t="inlineStr">
        <is>
          <t>Mick Collins</t>
        </is>
      </c>
      <c r="F188" s="843" t="inlineStr">
        <is>
          <t>Cyber Architecture Lead</t>
        </is>
      </c>
      <c r="G188" s="844" t="inlineStr">
        <is>
          <t>Cyber, Risk &amp; Operations</t>
        </is>
      </c>
      <c r="H188" s="843" t="inlineStr">
        <is>
          <t>Service Op &amp; Assurance</t>
        </is>
      </c>
      <c r="I188" s="843" t="inlineStr">
        <is>
          <t xml:space="preserve">Service Performance &amp; Assurance </t>
        </is>
      </c>
      <c r="J188" s="843" t="inlineStr">
        <is>
          <t>NA</t>
        </is>
      </c>
      <c r="K188" s="843" t="inlineStr">
        <is>
          <t>NA</t>
        </is>
      </c>
      <c r="L188" s="843" t="inlineStr">
        <is>
          <t>NA</t>
        </is>
      </c>
      <c r="M188" s="843" t="n"/>
      <c r="N188" s="845" t="inlineStr">
        <is>
          <t>NZ</t>
        </is>
      </c>
      <c r="O188" s="846" t="inlineStr">
        <is>
          <t>CIC</t>
        </is>
      </c>
      <c r="P188" s="847" t="n">
        <v>1</v>
      </c>
      <c r="Q188" s="856" t="n"/>
      <c r="R188" s="847" t="inlineStr">
        <is>
          <t>Permanent - Full Time</t>
        </is>
      </c>
      <c r="S188" s="847" t="n"/>
      <c r="T188" s="847" t="n"/>
      <c r="U188" s="848" t="n">
        <v>165310</v>
      </c>
      <c r="V188" s="849" t="n">
        <v>152085.2</v>
      </c>
      <c r="W188" s="850" t="n">
        <v>0.15</v>
      </c>
      <c r="X188" s="847" t="n"/>
      <c r="Y188" s="850" t="n">
        <v>0.05</v>
      </c>
      <c r="Z188" s="851" t="n">
        <v>2910</v>
      </c>
      <c r="AA188" s="850" t="n">
        <v>0.03</v>
      </c>
      <c r="AB188" s="852" t="n">
        <v>189974.796</v>
      </c>
      <c r="AD188" s="857" t="n"/>
      <c r="AE188" s="857">
        <f>IF(TRIM($B188)="","",IF(AND(N($P188)&gt;0,N($P188)&lt;1),N($AB188)*N($P188),N($AB188)))</f>
        <v>189974.796</v>
      </c>
      <c r="AF188" s="857" t="str">
        <f>IF(TRIM($B188)="","",IF(OR(ISNUMBER(SEARCH("vacant",$B188)),ISNUMBER(SEARCH("ring fenced",$B188)),LOWER(TRIM($B188))="remove"),"Vacant","Filled"))</f>
        <v>Filled</v>
      </c>
      <c r="AG188" s="857" t="b">
        <f>IF(TRIM($B188)="","",--ISNUMBER(SEARCH("ring fenced",$B188)))</f>
        <v>0</v>
      </c>
      <c r="AH188" s="853" t="str">
        <f>IF(TRIM($B188)="","",IF(COUNTIFS(Lists!$AN$2:$AN$22,TRIM($B188)&amp;" | "&amp;TRIM($D188),Lists!$AO$2:$AO$22,"&lt;&gt;"),INDEX(Lists!$AO$2:$AO$22,MATCH(TRIM($B188)&amp;" | "&amp;TRIM($D188),Lists!$AN$2:$AN$22,0)),IF(COUNTIF(Lists!$AR$2:$AR$3,$AJ188),"TDD Cyber",IF(AND(LEFT($AJ188,4)="EGI ",ISNUMBER(MATCH(TRIM(MID($AJ188,5,99)),Lists!$AS$2:$AS$12,0))),TRIM(MID($AJ188,5,99)),IF(AND(LEFT($AJ188,4)="EGI ",ISNUMBER(MATCH(TRIM(MID($AJ188,5,99)),Lists!$T$2:$T$21,0))),INDEX(Lists!$U$2:$U$21,MATCH(TRIM(MID($AJ188,5,99)),Lists!$T$2:$T$21,0)),IF(OR(TRIM($J188)="",UPPER(TRIM($J188))="NA"),IFERROR(INDEX(Lists!$R$2:$R$9,MATCH(TRIM($G188),Lists!$Q$2:$Q$9,0)),"UNMAPPED"),IFERROR(INDEX(Lists!$U$2:$U$21,MATCH(TRIM($J188),Lists!$T$2:$T$21,0)),IFERROR(INDEX(Lists!$R$2:$R$9,MATCH(TRIM($G188),Lists!$Q$2:$Q$9,0)),"UNMAPPED"))))))))</f>
        <v>COE Cyber</v>
      </c>
      <c r="AI188" s="534" t="b">
        <f>IF(TRIM($B188)="","",--OR(TRIM($L188)="Leadership",TRIM($K188)="Leadership"))</f>
        <v>0</v>
      </c>
      <c r="AJ188" s="534" t="str">
        <f>IF(TRIM($B188)="","",IF(COUNTIFS(Lists!$AN$2:$AN$22,TRIM($B188)&amp;" | "&amp;TRIM($D188),Lists!$AP$2:$AP$22,"&lt;&gt;"),INDEX(Lists!$AP$2:$AP$22,MATCH(TRIM($B188)&amp;" | "&amp;TRIM($D188),Lists!$AN$2:$AN$22,0)),IF($AI188=1,"Leadership",IFERROR(INDEX(Lists!$X$2:$X$21,MATCH(TRIM($L188),Lists!$W$2:$W$21,0)),IF(OR(TRIM($L188)="",LOWER(TRIM($L188))="na"),IF(TRIM($H188)="","Unassigned",TRIM($H188)),TRIM($L188))))))</f>
        <v>Service Op &amp; Assurance</v>
      </c>
      <c r="AK188" s="534" t="str">
        <f>IF(TRIM($B188)="","",IF(COUNTIFS(Lists!$AN$2:$AN$22,TRIM($B188)&amp;" | "&amp;TRIM($D188),Lists!$AQ$2:$AQ$22,"&lt;&gt;"),INDEX(Lists!$AQ$2:$AQ$22,MATCH(TRIM($B188)&amp;" | "&amp;TRIM($D188),Lists!$AN$2:$AN$22,0)),IF(COUNTIF(Lists!$AF$2:$AF$8,$AJ188),$AJ188,IF(ISNUMBER(SEARCH("head of ",$D188)),"Head of Technology",IF(ISNUMBER(SEARCH("TDD BP",$D188)),"Business Partner",IF(OR(ISNUMBER(SEARCH("domain architect",$D188)),ISNUMBER(SEARCH("enterprise architect",$D188))),"Domain Architect",IF(ISNUMBER(SEARCH("delivery man",$D188)),"Delivery Manager",IF(OR(ISNUMBER(SEARCH("technology manager",$D188)),ISNUMBER(SEARCH("technology manger",$D188)),ISNUMBER(SEARCH("tech manager",$D188))),"Technology Manager","Squad"))))))))</f>
        <v>Squad</v>
      </c>
      <c r="AL188" s="534" t="str">
        <f>IF(TRIM($B188)="","",IF(AND($AM188=1,LEFT($AJ188,4)&lt;&gt;"EGI ",$AJ188&lt;&gt;"EGI"),IFERROR(INDEX(Lists!$Z$2:$Z$20,MATCH($AH188,Lists!$Y$2:$Y$20,0)),"EGI "&amp;$AH188),IF(COUNTIF(Lists!$AU$2:$AU$10,$AJ188),$AJ188,IF(OR(LEFT($AH188,3)="COE",$AH188="EGI"),$AJ188,IF($AK188&lt;&gt;"Squad",$AK188,$AJ188)))))</f>
        <v>Service Op &amp; Assurance</v>
      </c>
      <c r="AM188" s="534" t="b">
        <f>IF(TRIM($B188)="","",--(UPPER(TRIM($K188))="EGI"))</f>
        <v>0</v>
      </c>
      <c r="AQ188" s="841" t="inlineStr">
        <is>
          <t>R0187</t>
        </is>
      </c>
      <c r="AY188" s="859" t="n"/>
      <c r="AZ188" s="841" t="n"/>
    </row>
    <row r="189" ht="18" customHeight="1" s="535">
      <c r="A189" s="842" t="n">
        <v>91635</v>
      </c>
      <c r="B189" s="843" t="inlineStr">
        <is>
          <t>Bala Thiruvadi</t>
        </is>
      </c>
      <c r="C189" s="842" t="n">
        <v>91635</v>
      </c>
      <c r="D189" s="843" t="inlineStr">
        <is>
          <t>Integration Architect - Boomi</t>
        </is>
      </c>
      <c r="E189" s="843" t="inlineStr">
        <is>
          <t>Mike Seales</t>
        </is>
      </c>
      <c r="F189" s="843" t="inlineStr">
        <is>
          <t>Technology Manager Integration &amp; Process Managemetn</t>
        </is>
      </c>
      <c r="G189" s="844" t="inlineStr">
        <is>
          <t>TDD Group Functions</t>
        </is>
      </c>
      <c r="H189" s="843" t="inlineStr">
        <is>
          <t xml:space="preserve">TDD &amp; Engineering </t>
        </is>
      </c>
      <c r="I189" s="843" t="inlineStr">
        <is>
          <t>Integration &amp; Process Management</t>
        </is>
      </c>
      <c r="J189" s="843" t="inlineStr">
        <is>
          <t>TDD</t>
        </is>
      </c>
      <c r="K189" s="843" t="inlineStr">
        <is>
          <t>TDD</t>
        </is>
      </c>
      <c r="L189" s="843" t="inlineStr">
        <is>
          <t>Integration &amp; Process automation</t>
        </is>
      </c>
      <c r="M189" s="843" t="n"/>
      <c r="N189" s="845" t="inlineStr">
        <is>
          <t>Australia</t>
        </is>
      </c>
      <c r="O189" s="846" t="inlineStr">
        <is>
          <t>CIC</t>
        </is>
      </c>
      <c r="P189" s="847" t="n">
        <v>1</v>
      </c>
      <c r="Q189" s="856" t="n"/>
      <c r="R189" s="847" t="inlineStr">
        <is>
          <t>Permanent - Full Time</t>
        </is>
      </c>
      <c r="S189" s="847" t="n"/>
      <c r="T189" s="847" t="n"/>
      <c r="U189" s="848" t="n">
        <v>203672</v>
      </c>
      <c r="V189" s="849" t="n">
        <v>203672</v>
      </c>
      <c r="W189" s="850" t="n">
        <v>0.12</v>
      </c>
      <c r="X189" s="847" t="n">
        <v>0.055</v>
      </c>
      <c r="Y189" s="850" t="n">
        <v>0.12</v>
      </c>
      <c r="Z189" s="851" t="n"/>
      <c r="AA189" s="850" t="n">
        <v>0.04</v>
      </c>
      <c r="AB189" s="852" t="n">
        <v>271902.12</v>
      </c>
      <c r="AD189" s="857" t="n"/>
      <c r="AE189" s="857">
        <f>IF(TRIM($B189)="","",IF(AND(N($P189)&gt;0,N($P189)&lt;1),N($AB189)*N($P189),N($AB189)))</f>
        <v>271902.12</v>
      </c>
      <c r="AF189" s="857" t="str">
        <f>IF(TRIM($B189)="","",IF(OR(ISNUMBER(SEARCH("vacant",$B189)),ISNUMBER(SEARCH("ring fenced",$B189)),LOWER(TRIM($B189))="remove"),"Vacant","Filled"))</f>
        <v>Filled</v>
      </c>
      <c r="AG189" s="857" t="b">
        <f>IF(TRIM($B189)="","",--ISNUMBER(SEARCH("ring fenced",$B189)))</f>
        <v>0</v>
      </c>
      <c r="AH189" s="534" t="str">
        <f>IF(TRIM($B189)="","",IF(COUNTIFS(Lists!$AN$2:$AN$22,TRIM($B189)&amp;" | "&amp;TRIM($D189),Lists!$AO$2:$AO$22,"&lt;&gt;"),INDEX(Lists!$AO$2:$AO$22,MATCH(TRIM($B189)&amp;" | "&amp;TRIM($D189),Lists!$AN$2:$AN$22,0)),IF(COUNTIF(Lists!$AR$2:$AR$3,$AJ189),"TDD Cyber",IF(AND(LEFT($AJ189,4)="EGI ",ISNUMBER(MATCH(TRIM(MID($AJ189,5,99)),Lists!$AS$2:$AS$12,0))),TRIM(MID($AJ189,5,99)),IF(AND(LEFT($AJ189,4)="EGI ",ISNUMBER(MATCH(TRIM(MID($AJ189,5,99)),Lists!$T$2:$T$21,0))),INDEX(Lists!$U$2:$U$21,MATCH(TRIM(MID($AJ189,5,99)),Lists!$T$2:$T$21,0)),IF(OR(TRIM($J189)="",UPPER(TRIM($J189))="NA"),IFERROR(INDEX(Lists!$R$2:$R$9,MATCH(TRIM($G189),Lists!$Q$2:$Q$9,0)),"UNMAPPED"),IFERROR(INDEX(Lists!$U$2:$U$21,MATCH(TRIM($J189),Lists!$T$2:$T$21,0)),IFERROR(INDEX(Lists!$R$2:$R$9,MATCH(TRIM($G189),Lists!$Q$2:$Q$9,0)),"UNMAPPED"))))))))</f>
        <v>TDD Group Functions</v>
      </c>
      <c r="AI189" s="534" t="b">
        <f>IF(TRIM($B189)="","",--OR(TRIM($L189)="Leadership",TRIM($K189)="Leadership"))</f>
        <v>0</v>
      </c>
      <c r="AJ189" s="534" t="str">
        <f>IF(TRIM($B189)="","",IF(COUNTIFS(Lists!$AN$2:$AN$22,TRIM($B189)&amp;" | "&amp;TRIM($D189),Lists!$AP$2:$AP$22,"&lt;&gt;"),INDEX(Lists!$AP$2:$AP$22,MATCH(TRIM($B189)&amp;" | "&amp;TRIM($D189),Lists!$AN$2:$AN$22,0)),IF($AI189=1,"Leadership",IFERROR(INDEX(Lists!$X$2:$X$21,MATCH(TRIM($L189),Lists!$W$2:$W$21,0)),IF(OR(TRIM($L189)="",LOWER(TRIM($L189))="na"),IF(TRIM($H189)="","Unassigned",TRIM($H189)),TRIM($L189))))))</f>
        <v>Integration &amp; Process Automation</v>
      </c>
      <c r="AK189" s="534" t="str">
        <f>IF(TRIM($B189)="","",IF(COUNTIFS(Lists!$AN$2:$AN$22,TRIM($B189)&amp;" | "&amp;TRIM($D189),Lists!$AQ$2:$AQ$22,"&lt;&gt;"),INDEX(Lists!$AQ$2:$AQ$22,MATCH(TRIM($B189)&amp;" | "&amp;TRIM($D189),Lists!$AN$2:$AN$22,0)),IF(COUNTIF(Lists!$AF$2:$AF$8,$AJ189),$AJ189,IF(ISNUMBER(SEARCH("head of ",$D189)),"Head of Technology",IF(ISNUMBER(SEARCH("TDD BP",$D189)),"Business Partner",IF(OR(ISNUMBER(SEARCH("domain architect",$D189)),ISNUMBER(SEARCH("enterprise architect",$D189))),"Domain Architect",IF(ISNUMBER(SEARCH("delivery man",$D189)),"Delivery Manager",IF(OR(ISNUMBER(SEARCH("technology manager",$D189)),ISNUMBER(SEARCH("technology manger",$D189)),ISNUMBER(SEARCH("tech manager",$D189))),"Technology Manager","Squad"))))))))</f>
        <v>Squad</v>
      </c>
      <c r="AL189" s="534" t="str">
        <f>IF(TRIM($B189)="","",IF(AND($AM189=1,LEFT($AJ189,4)&lt;&gt;"EGI ",$AJ189&lt;&gt;"EGI"),IFERROR(INDEX(Lists!$Z$2:$Z$20,MATCH($AH189,Lists!$Y$2:$Y$20,0)),"EGI "&amp;$AH189),IF(COUNTIF(Lists!$AU$2:$AU$10,$AJ189),$AJ189,IF(OR(LEFT($AH189,3)="COE",$AH189="EGI"),$AJ189,IF($AK189&lt;&gt;"Squad",$AK189,$AJ189)))))</f>
        <v>Integration &amp; Process Automation</v>
      </c>
      <c r="AM189" s="534" t="b">
        <f>IF(TRIM($B189)="","",--(UPPER(TRIM($K189))="EGI"))</f>
        <v>0</v>
      </c>
      <c r="AQ189" s="841" t="inlineStr">
        <is>
          <t>R0188</t>
        </is>
      </c>
      <c r="AY189" s="859" t="n"/>
      <c r="AZ189" s="841" t="n"/>
    </row>
    <row r="190" ht="18" customHeight="1" s="535">
      <c r="A190" s="842" t="n">
        <v>115503</v>
      </c>
      <c r="B190" s="843" t="inlineStr">
        <is>
          <t>Joel Krijnen</t>
        </is>
      </c>
      <c r="C190" s="842" t="n">
        <v>115503</v>
      </c>
      <c r="D190" s="843" t="inlineStr">
        <is>
          <t>Lead Engineer Software</t>
        </is>
      </c>
      <c r="E190" s="843" t="inlineStr">
        <is>
          <t>Mike Seales</t>
        </is>
      </c>
      <c r="F190" s="843" t="inlineStr">
        <is>
          <t>Technology Manager Integration &amp; Process Managemetn</t>
        </is>
      </c>
      <c r="G190" s="844" t="inlineStr">
        <is>
          <t>TDD Group Functions</t>
        </is>
      </c>
      <c r="H190" s="843" t="inlineStr">
        <is>
          <t xml:space="preserve">TDD &amp; Engineering </t>
        </is>
      </c>
      <c r="I190" s="843" t="inlineStr">
        <is>
          <t>Integration &amp; Process Management</t>
        </is>
      </c>
      <c r="J190" s="843" t="inlineStr">
        <is>
          <t>TDD</t>
        </is>
      </c>
      <c r="K190" s="843" t="inlineStr">
        <is>
          <t>TDD</t>
        </is>
      </c>
      <c r="L190" s="843" t="inlineStr">
        <is>
          <t>Integration &amp; Process automation</t>
        </is>
      </c>
      <c r="M190" s="843" t="n"/>
      <c r="N190" s="845" t="inlineStr">
        <is>
          <t>NZ</t>
        </is>
      </c>
      <c r="O190" s="846" t="inlineStr">
        <is>
          <t>CIC</t>
        </is>
      </c>
      <c r="P190" s="847" t="n">
        <v>1</v>
      </c>
      <c r="Q190" s="856" t="n"/>
      <c r="R190" s="847" t="inlineStr">
        <is>
          <t>Permanent - Full Time</t>
        </is>
      </c>
      <c r="S190" s="847" t="n"/>
      <c r="T190" s="847" t="n"/>
      <c r="U190" s="848" t="n">
        <v>154830</v>
      </c>
      <c r="V190" s="849" t="n">
        <v>142443.6</v>
      </c>
      <c r="W190" s="850" t="n">
        <v>0.15</v>
      </c>
      <c r="X190" s="847" t="n"/>
      <c r="Y190" s="850" t="n">
        <v>0.05</v>
      </c>
      <c r="Z190" s="851" t="n">
        <v>2910</v>
      </c>
      <c r="AA190" s="850" t="n">
        <v>0.03</v>
      </c>
      <c r="AB190" s="852" t="n">
        <v>178115.628</v>
      </c>
      <c r="AD190" s="857" t="n"/>
      <c r="AE190" s="857">
        <f>IF(TRIM($B190)="","",IF(AND(N($P190)&gt;0,N($P190)&lt;1),N($AB190)*N($P190),N($AB190)))</f>
        <v>178115.628</v>
      </c>
      <c r="AF190" s="857" t="str">
        <f>IF(TRIM($B190)="","",IF(OR(ISNUMBER(SEARCH("vacant",$B190)),ISNUMBER(SEARCH("ring fenced",$B190)),LOWER(TRIM($B190))="remove"),"Vacant","Filled"))</f>
        <v>Filled</v>
      </c>
      <c r="AG190" s="857" t="b">
        <f>IF(TRIM($B190)="","",--ISNUMBER(SEARCH("ring fenced",$B190)))</f>
        <v>0</v>
      </c>
      <c r="AH190" s="853" t="str">
        <f>IF(TRIM($B190)="","",IF(COUNTIFS(Lists!$AN$2:$AN$22,TRIM($B190)&amp;" | "&amp;TRIM($D190),Lists!$AO$2:$AO$22,"&lt;&gt;"),INDEX(Lists!$AO$2:$AO$22,MATCH(TRIM($B190)&amp;" | "&amp;TRIM($D190),Lists!$AN$2:$AN$22,0)),IF(COUNTIF(Lists!$AR$2:$AR$3,$AJ190),"TDD Cyber",IF(AND(LEFT($AJ190,4)="EGI ",ISNUMBER(MATCH(TRIM(MID($AJ190,5,99)),Lists!$AS$2:$AS$12,0))),TRIM(MID($AJ190,5,99)),IF(AND(LEFT($AJ190,4)="EGI ",ISNUMBER(MATCH(TRIM(MID($AJ190,5,99)),Lists!$T$2:$T$21,0))),INDEX(Lists!$U$2:$U$21,MATCH(TRIM(MID($AJ190,5,99)),Lists!$T$2:$T$21,0)),IF(OR(TRIM($J190)="",UPPER(TRIM($J190))="NA"),IFERROR(INDEX(Lists!$R$2:$R$9,MATCH(TRIM($G190),Lists!$Q$2:$Q$9,0)),"UNMAPPED"),IFERROR(INDEX(Lists!$U$2:$U$21,MATCH(TRIM($J190),Lists!$T$2:$T$21,0)),IFERROR(INDEX(Lists!$R$2:$R$9,MATCH(TRIM($G190),Lists!$Q$2:$Q$9,0)),"UNMAPPED"))))))))</f>
        <v>TDD Group Functions</v>
      </c>
      <c r="AI190" s="534" t="b">
        <f>IF(TRIM($B190)="","",--OR(TRIM($L190)="Leadership",TRIM($K190)="Leadership"))</f>
        <v>0</v>
      </c>
      <c r="AJ190" s="534" t="str">
        <f>IF(TRIM($B190)="","",IF(COUNTIFS(Lists!$AN$2:$AN$22,TRIM($B190)&amp;" | "&amp;TRIM($D190),Lists!$AP$2:$AP$22,"&lt;&gt;"),INDEX(Lists!$AP$2:$AP$22,MATCH(TRIM($B190)&amp;" | "&amp;TRIM($D190),Lists!$AN$2:$AN$22,0)),IF($AI190=1,"Leadership",IFERROR(INDEX(Lists!$X$2:$X$21,MATCH(TRIM($L190),Lists!$W$2:$W$21,0)),IF(OR(TRIM($L190)="",LOWER(TRIM($L190))="na"),IF(TRIM($H190)="","Unassigned",TRIM($H190)),TRIM($L190))))))</f>
        <v>Integration &amp; Process Automation</v>
      </c>
      <c r="AK190" s="534" t="str">
        <f>IF(TRIM($B190)="","",IF(COUNTIFS(Lists!$AN$2:$AN$22,TRIM($B190)&amp;" | "&amp;TRIM($D190),Lists!$AQ$2:$AQ$22,"&lt;&gt;"),INDEX(Lists!$AQ$2:$AQ$22,MATCH(TRIM($B190)&amp;" | "&amp;TRIM($D190),Lists!$AN$2:$AN$22,0)),IF(COUNTIF(Lists!$AF$2:$AF$8,$AJ190),$AJ190,IF(ISNUMBER(SEARCH("head of ",$D190)),"Head of Technology",IF(ISNUMBER(SEARCH("TDD BP",$D190)),"Business Partner",IF(OR(ISNUMBER(SEARCH("domain architect",$D190)),ISNUMBER(SEARCH("enterprise architect",$D190))),"Domain Architect",IF(ISNUMBER(SEARCH("delivery man",$D190)),"Delivery Manager",IF(OR(ISNUMBER(SEARCH("technology manager",$D190)),ISNUMBER(SEARCH("technology manger",$D190)),ISNUMBER(SEARCH("tech manager",$D190))),"Technology Manager","Squad"))))))))</f>
        <v>Squad</v>
      </c>
      <c r="AL190" s="534" t="str">
        <f>IF(TRIM($B190)="","",IF(AND($AM190=1,LEFT($AJ190,4)&lt;&gt;"EGI ",$AJ190&lt;&gt;"EGI"),IFERROR(INDEX(Lists!$Z$2:$Z$20,MATCH($AH190,Lists!$Y$2:$Y$20,0)),"EGI "&amp;$AH190),IF(COUNTIF(Lists!$AU$2:$AU$10,$AJ190),$AJ190,IF(OR(LEFT($AH190,3)="COE",$AH190="EGI"),$AJ190,IF($AK190&lt;&gt;"Squad",$AK190,$AJ190)))))</f>
        <v>Integration &amp; Process Automation</v>
      </c>
      <c r="AM190" s="534" t="b">
        <f>IF(TRIM($B190)="","",--(UPPER(TRIM($K190))="EGI"))</f>
        <v>0</v>
      </c>
      <c r="AQ190" s="841" t="inlineStr">
        <is>
          <t>R0189</t>
        </is>
      </c>
      <c r="AZ190" s="841" t="n"/>
    </row>
    <row r="191" ht="18" customHeight="1" s="535">
      <c r="A191" s="842" t="n">
        <v>113593</v>
      </c>
      <c r="B191" s="843" t="inlineStr">
        <is>
          <t>Michael Weng</t>
        </is>
      </c>
      <c r="C191" s="842" t="n">
        <v>113593</v>
      </c>
      <c r="D191" s="843" t="inlineStr">
        <is>
          <t>Solution Architect</t>
        </is>
      </c>
      <c r="E191" s="843" t="inlineStr">
        <is>
          <t>Mike Seales</t>
        </is>
      </c>
      <c r="F191" s="843" t="inlineStr">
        <is>
          <t>Technology Manager Integration &amp; Process Managemetn</t>
        </is>
      </c>
      <c r="G191" s="844" t="inlineStr">
        <is>
          <t>TDD Group Functions</t>
        </is>
      </c>
      <c r="H191" s="843" t="inlineStr">
        <is>
          <t xml:space="preserve">TDD &amp; Engineering </t>
        </is>
      </c>
      <c r="I191" s="843" t="inlineStr">
        <is>
          <t>Integration &amp; Process Management</t>
        </is>
      </c>
      <c r="J191" s="843" t="inlineStr">
        <is>
          <t>TDD</t>
        </is>
      </c>
      <c r="K191" s="843" t="inlineStr">
        <is>
          <t>TDD</t>
        </is>
      </c>
      <c r="L191" s="843" t="inlineStr">
        <is>
          <t>Integration &amp; Process automation</t>
        </is>
      </c>
      <c r="M191" s="843" t="n"/>
      <c r="N191" s="845" t="inlineStr">
        <is>
          <t>NZ</t>
        </is>
      </c>
      <c r="O191" s="846" t="inlineStr">
        <is>
          <t>CIC</t>
        </is>
      </c>
      <c r="P191" s="847" t="n">
        <v>1</v>
      </c>
      <c r="Q191" s="856" t="n"/>
      <c r="R191" s="847" t="inlineStr">
        <is>
          <t>Permanent - Full Time</t>
        </is>
      </c>
      <c r="S191" s="847" t="n"/>
      <c r="T191" s="847" t="n"/>
      <c r="U191" s="848" t="n">
        <v>188510</v>
      </c>
      <c r="V191" s="849" t="n">
        <v>173429.2</v>
      </c>
      <c r="W191" s="850" t="n">
        <v>0.15</v>
      </c>
      <c r="X191" s="847" t="n"/>
      <c r="Y191" s="850" t="n">
        <v>0.05</v>
      </c>
      <c r="Z191" s="851" t="n">
        <v>2910</v>
      </c>
      <c r="AA191" s="850" t="n">
        <v>0.03</v>
      </c>
      <c r="AB191" s="852" t="n">
        <v>216227.916</v>
      </c>
      <c r="AD191" s="857" t="n"/>
      <c r="AE191" s="857">
        <f>IF(TRIM($B191)="","",IF(AND(N($P191)&gt;0,N($P191)&lt;1),N($AB191)*N($P191),N($AB191)))</f>
        <v>216227.916</v>
      </c>
      <c r="AF191" s="857" t="str">
        <f>IF(TRIM($B191)="","",IF(OR(ISNUMBER(SEARCH("vacant",$B191)),ISNUMBER(SEARCH("ring fenced",$B191)),LOWER(TRIM($B191))="remove"),"Vacant","Filled"))</f>
        <v>Filled</v>
      </c>
      <c r="AG191" s="857" t="b">
        <f>IF(TRIM($B191)="","",--ISNUMBER(SEARCH("ring fenced",$B191)))</f>
        <v>0</v>
      </c>
      <c r="AH191" s="853" t="str">
        <f>IF(TRIM($B191)="","",IF(COUNTIFS(Lists!$AN$2:$AN$22,TRIM($B191)&amp;" | "&amp;TRIM($D191),Lists!$AO$2:$AO$22,"&lt;&gt;"),INDEX(Lists!$AO$2:$AO$22,MATCH(TRIM($B191)&amp;" | "&amp;TRIM($D191),Lists!$AN$2:$AN$22,0)),IF(COUNTIF(Lists!$AR$2:$AR$3,$AJ191),"TDD Cyber",IF(AND(LEFT($AJ191,4)="EGI ",ISNUMBER(MATCH(TRIM(MID($AJ191,5,99)),Lists!$AS$2:$AS$12,0))),TRIM(MID($AJ191,5,99)),IF(AND(LEFT($AJ191,4)="EGI ",ISNUMBER(MATCH(TRIM(MID($AJ191,5,99)),Lists!$T$2:$T$21,0))),INDEX(Lists!$U$2:$U$21,MATCH(TRIM(MID($AJ191,5,99)),Lists!$T$2:$T$21,0)),IF(OR(TRIM($J191)="",UPPER(TRIM($J191))="NA"),IFERROR(INDEX(Lists!$R$2:$R$9,MATCH(TRIM($G191),Lists!$Q$2:$Q$9,0)),"UNMAPPED"),IFERROR(INDEX(Lists!$U$2:$U$21,MATCH(TRIM($J191),Lists!$T$2:$T$21,0)),IFERROR(INDEX(Lists!$R$2:$R$9,MATCH(TRIM($G191),Lists!$Q$2:$Q$9,0)),"UNMAPPED"))))))))</f>
        <v>TDD Group Functions</v>
      </c>
      <c r="AI191" s="534" t="b">
        <f>IF(TRIM($B191)="","",--OR(TRIM($L191)="Leadership",TRIM($K191)="Leadership"))</f>
        <v>0</v>
      </c>
      <c r="AJ191" s="534" t="str">
        <f>IF(TRIM($B191)="","",IF(COUNTIFS(Lists!$AN$2:$AN$22,TRIM($B191)&amp;" | "&amp;TRIM($D191),Lists!$AP$2:$AP$22,"&lt;&gt;"),INDEX(Lists!$AP$2:$AP$22,MATCH(TRIM($B191)&amp;" | "&amp;TRIM($D191),Lists!$AN$2:$AN$22,0)),IF($AI191=1,"Leadership",IFERROR(INDEX(Lists!$X$2:$X$21,MATCH(TRIM($L191),Lists!$W$2:$W$21,0)),IF(OR(TRIM($L191)="",LOWER(TRIM($L191))="na"),IF(TRIM($H191)="","Unassigned",TRIM($H191)),TRIM($L191))))))</f>
        <v>Integration &amp; Process Automation</v>
      </c>
      <c r="AK191" s="534" t="str">
        <f>IF(TRIM($B191)="","",IF(COUNTIFS(Lists!$AN$2:$AN$22,TRIM($B191)&amp;" | "&amp;TRIM($D191),Lists!$AQ$2:$AQ$22,"&lt;&gt;"),INDEX(Lists!$AQ$2:$AQ$22,MATCH(TRIM($B191)&amp;" | "&amp;TRIM($D191),Lists!$AN$2:$AN$22,0)),IF(COUNTIF(Lists!$AF$2:$AF$8,$AJ191),$AJ191,IF(ISNUMBER(SEARCH("head of ",$D191)),"Head of Technology",IF(ISNUMBER(SEARCH("TDD BP",$D191)),"Business Partner",IF(OR(ISNUMBER(SEARCH("domain architect",$D191)),ISNUMBER(SEARCH("enterprise architect",$D191))),"Domain Architect",IF(ISNUMBER(SEARCH("delivery man",$D191)),"Delivery Manager",IF(OR(ISNUMBER(SEARCH("technology manager",$D191)),ISNUMBER(SEARCH("technology manger",$D191)),ISNUMBER(SEARCH("tech manager",$D191))),"Technology Manager","Squad"))))))))</f>
        <v>Squad</v>
      </c>
      <c r="AL191" s="534" t="str">
        <f>IF(TRIM($B191)="","",IF(AND($AM191=1,LEFT($AJ191,4)&lt;&gt;"EGI ",$AJ191&lt;&gt;"EGI"),IFERROR(INDEX(Lists!$Z$2:$Z$20,MATCH($AH191,Lists!$Y$2:$Y$20,0)),"EGI "&amp;$AH191),IF(COUNTIF(Lists!$AU$2:$AU$10,$AJ191),$AJ191,IF(OR(LEFT($AH191,3)="COE",$AH191="EGI"),$AJ191,IF($AK191&lt;&gt;"Squad",$AK191,$AJ191)))))</f>
        <v>Integration &amp; Process Automation</v>
      </c>
      <c r="AM191" s="534" t="b">
        <f>IF(TRIM($B191)="","",--(UPPER(TRIM($K191))="EGI"))</f>
        <v>0</v>
      </c>
      <c r="AQ191" s="841" t="inlineStr">
        <is>
          <t>R0190</t>
        </is>
      </c>
    </row>
    <row r="192" ht="18" customHeight="1" s="535">
      <c r="A192" s="842" t="inlineStr">
        <is>
          <t>V</t>
        </is>
      </c>
      <c r="B192" s="843" t="inlineStr">
        <is>
          <t>Vacant</t>
        </is>
      </c>
      <c r="C192" s="842" t="inlineStr">
        <is>
          <t>V</t>
        </is>
      </c>
      <c r="D192" s="843" t="inlineStr">
        <is>
          <t>RPA Lead</t>
        </is>
      </c>
      <c r="E192" s="843" t="inlineStr">
        <is>
          <t>Mike Seales</t>
        </is>
      </c>
      <c r="F192" s="843" t="inlineStr">
        <is>
          <t>Technology Manager Integration &amp; Process Managemetn</t>
        </is>
      </c>
      <c r="G192" s="844" t="inlineStr">
        <is>
          <t>TDD Group Functions</t>
        </is>
      </c>
      <c r="H192" s="843" t="inlineStr">
        <is>
          <t xml:space="preserve">TDD &amp; Engineering </t>
        </is>
      </c>
      <c r="I192" s="843" t="inlineStr">
        <is>
          <t>Integration &amp; Process Management</t>
        </is>
      </c>
      <c r="J192" s="843" t="inlineStr">
        <is>
          <t>TDD</t>
        </is>
      </c>
      <c r="K192" s="843" t="inlineStr">
        <is>
          <t>TDD</t>
        </is>
      </c>
      <c r="L192" s="843" t="inlineStr">
        <is>
          <t>Integration &amp; Process automation</t>
        </is>
      </c>
      <c r="M192" s="843" t="n"/>
      <c r="N192" s="845" t="inlineStr">
        <is>
          <t>Australia</t>
        </is>
      </c>
      <c r="O192" s="846" t="inlineStr">
        <is>
          <t>CIC</t>
        </is>
      </c>
      <c r="P192" s="847" t="n">
        <v>1</v>
      </c>
      <c r="Q192" s="856" t="n"/>
      <c r="R192" s="847" t="inlineStr">
        <is>
          <t>v</t>
        </is>
      </c>
      <c r="S192" s="847" t="n"/>
      <c r="T192" s="847" t="n"/>
      <c r="U192" s="848" t="n">
        <v>173550</v>
      </c>
      <c r="V192" s="849" t="n">
        <v>173550</v>
      </c>
      <c r="W192" s="850" t="n">
        <v>0.12</v>
      </c>
      <c r="X192" s="847" t="n">
        <v>0.055</v>
      </c>
      <c r="Y192" s="850" t="n">
        <v>0.12</v>
      </c>
      <c r="Z192" s="851" t="n"/>
      <c r="AA192" s="850" t="n">
        <v>0.04</v>
      </c>
      <c r="AB192" s="852" t="n">
        <v>231689.25</v>
      </c>
      <c r="AD192" s="857" t="n"/>
      <c r="AE192" s="857">
        <f>IF(TRIM($B192)="","",IF(AND(N($P192)&gt;0,N($P192)&lt;1),N($AB192)*N($P192),N($AB192)))</f>
        <v>231689.25</v>
      </c>
      <c r="AF192" s="857" t="str">
        <f>IF(TRIM($B192)="","",IF(OR(ISNUMBER(SEARCH("vacant",$B192)),ISNUMBER(SEARCH("ring fenced",$B192)),LOWER(TRIM($B192))="remove"),"Vacant","Filled"))</f>
        <v>Vacant</v>
      </c>
      <c r="AG192" s="857" t="b">
        <f>IF(TRIM($B192)="","",--ISNUMBER(SEARCH("ring fenced",$B192)))</f>
        <v>0</v>
      </c>
      <c r="AH192" s="534" t="str">
        <f>IF(TRIM($B192)="","",IF(COUNTIFS(Lists!$AN$2:$AN$22,TRIM($B192)&amp;" | "&amp;TRIM($D192),Lists!$AO$2:$AO$22,"&lt;&gt;"),INDEX(Lists!$AO$2:$AO$22,MATCH(TRIM($B192)&amp;" | "&amp;TRIM($D192),Lists!$AN$2:$AN$22,0)),IF(COUNTIF(Lists!$AR$2:$AR$3,$AJ192),"TDD Cyber",IF(AND(LEFT($AJ192,4)="EGI ",ISNUMBER(MATCH(TRIM(MID($AJ192,5,99)),Lists!$AS$2:$AS$12,0))),TRIM(MID($AJ192,5,99)),IF(AND(LEFT($AJ192,4)="EGI ",ISNUMBER(MATCH(TRIM(MID($AJ192,5,99)),Lists!$T$2:$T$21,0))),INDEX(Lists!$U$2:$U$21,MATCH(TRIM(MID($AJ192,5,99)),Lists!$T$2:$T$21,0)),IF(OR(TRIM($J192)="",UPPER(TRIM($J192))="NA"),IFERROR(INDEX(Lists!$R$2:$R$9,MATCH(TRIM($G192),Lists!$Q$2:$Q$9,0)),"UNMAPPED"),IFERROR(INDEX(Lists!$U$2:$U$21,MATCH(TRIM($J192),Lists!$T$2:$T$21,0)),IFERROR(INDEX(Lists!$R$2:$R$9,MATCH(TRIM($G192),Lists!$Q$2:$Q$9,0)),"UNMAPPED"))))))))</f>
        <v>TDD Group Functions</v>
      </c>
      <c r="AI192" s="534" t="b">
        <f>IF(TRIM($B192)="","",--OR(TRIM($L192)="Leadership",TRIM($K192)="Leadership"))</f>
        <v>0</v>
      </c>
      <c r="AJ192" s="534" t="str">
        <f>IF(TRIM($B192)="","",IF(COUNTIFS(Lists!$AN$2:$AN$22,TRIM($B192)&amp;" | "&amp;TRIM($D192),Lists!$AP$2:$AP$22,"&lt;&gt;"),INDEX(Lists!$AP$2:$AP$22,MATCH(TRIM($B192)&amp;" | "&amp;TRIM($D192),Lists!$AN$2:$AN$22,0)),IF($AI192=1,"Leadership",IFERROR(INDEX(Lists!$X$2:$X$21,MATCH(TRIM($L192),Lists!$W$2:$W$21,0)),IF(OR(TRIM($L192)="",LOWER(TRIM($L192))="na"),IF(TRIM($H192)="","Unassigned",TRIM($H192)),TRIM($L192))))))</f>
        <v>Integration &amp; Process Automation</v>
      </c>
      <c r="AK192" s="534" t="str">
        <f>IF(TRIM($B192)="","",IF(COUNTIFS(Lists!$AN$2:$AN$22,TRIM($B192)&amp;" | "&amp;TRIM($D192),Lists!$AQ$2:$AQ$22,"&lt;&gt;"),INDEX(Lists!$AQ$2:$AQ$22,MATCH(TRIM($B192)&amp;" | "&amp;TRIM($D192),Lists!$AN$2:$AN$22,0)),IF(COUNTIF(Lists!$AF$2:$AF$8,$AJ192),$AJ192,IF(ISNUMBER(SEARCH("head of ",$D192)),"Head of Technology",IF(ISNUMBER(SEARCH("TDD BP",$D192)),"Business Partner",IF(OR(ISNUMBER(SEARCH("domain architect",$D192)),ISNUMBER(SEARCH("enterprise architect",$D192))),"Domain Architect",IF(ISNUMBER(SEARCH("delivery man",$D192)),"Delivery Manager",IF(OR(ISNUMBER(SEARCH("technology manager",$D192)),ISNUMBER(SEARCH("technology manger",$D192)),ISNUMBER(SEARCH("tech manager",$D192))),"Technology Manager","Squad"))))))))</f>
        <v>Squad</v>
      </c>
      <c r="AL192" s="534" t="str">
        <f>IF(TRIM($B192)="","",IF(AND($AM192=1,LEFT($AJ192,4)&lt;&gt;"EGI ",$AJ192&lt;&gt;"EGI"),IFERROR(INDEX(Lists!$Z$2:$Z$20,MATCH($AH192,Lists!$Y$2:$Y$20,0)),"EGI "&amp;$AH192),IF(COUNTIF(Lists!$AU$2:$AU$10,$AJ192),$AJ192,IF(OR(LEFT($AH192,3)="COE",$AH192="EGI"),$AJ192,IF($AK192&lt;&gt;"Squad",$AK192,$AJ192)))))</f>
        <v>Integration &amp; Process Automation</v>
      </c>
      <c r="AM192" s="534" t="b">
        <f>IF(TRIM($B192)="","",--(UPPER(TRIM($K192))="EGI"))</f>
        <v>0</v>
      </c>
      <c r="AQ192" s="841" t="inlineStr">
        <is>
          <t>R0191</t>
        </is>
      </c>
    </row>
    <row r="193" ht="18" customHeight="1" s="535">
      <c r="A193" s="842" t="n">
        <v>95018</v>
      </c>
      <c r="B193" s="843" t="inlineStr">
        <is>
          <t>Ken Thomson</t>
        </is>
      </c>
      <c r="C193" s="842" t="n">
        <v>95018</v>
      </c>
      <c r="D193" s="843" t="inlineStr">
        <is>
          <t>Servicenow Platform Specialist</t>
        </is>
      </c>
      <c r="E193" s="843" t="inlineStr">
        <is>
          <t>Murray Mitchell</t>
        </is>
      </c>
      <c r="F193" s="843" t="inlineStr">
        <is>
          <t>Technology Manager, Enterprise Tooling</t>
        </is>
      </c>
      <c r="G193" s="844" t="inlineStr">
        <is>
          <t>TDD Group Functions</t>
        </is>
      </c>
      <c r="H193" s="843" t="inlineStr">
        <is>
          <t xml:space="preserve">TDD &amp; Engineering </t>
        </is>
      </c>
      <c r="I193" s="843" t="inlineStr">
        <is>
          <t>Workplace &amp; Enterprise Tooling</t>
        </is>
      </c>
      <c r="J193" s="843" t="inlineStr">
        <is>
          <t>TDD</t>
        </is>
      </c>
      <c r="K193" s="843" t="inlineStr">
        <is>
          <t>TDD</t>
        </is>
      </c>
      <c r="L193" s="843" t="inlineStr">
        <is>
          <t>Workplace &amp; Enterprise Tooling</t>
        </is>
      </c>
      <c r="M193" s="843" t="n"/>
      <c r="N193" s="845" t="inlineStr">
        <is>
          <t>Australia</t>
        </is>
      </c>
      <c r="O193" s="846" t="inlineStr">
        <is>
          <t>CIC</t>
        </is>
      </c>
      <c r="P193" s="847" t="n">
        <v>1</v>
      </c>
      <c r="Q193" s="847" t="n"/>
      <c r="R193" s="847" t="inlineStr">
        <is>
          <t>Permanent - Full Time</t>
        </is>
      </c>
      <c r="S193" s="847" t="n"/>
      <c r="T193" s="847" t="n"/>
      <c r="U193" s="848" t="n">
        <v>165450</v>
      </c>
      <c r="V193" s="849" t="n">
        <v>165450</v>
      </c>
      <c r="W193" s="850" t="n">
        <v>0.12</v>
      </c>
      <c r="X193" s="847" t="n">
        <v>0.055</v>
      </c>
      <c r="Y193" s="850" t="n">
        <v>0.12</v>
      </c>
      <c r="Z193" s="851" t="n"/>
      <c r="AA193" s="850" t="n">
        <v>0.04</v>
      </c>
      <c r="AB193" s="852" t="n">
        <v>220875.75</v>
      </c>
      <c r="AE193" s="534">
        <f>IF(TRIM($B193)="","",IF(AND(N($P193)&gt;0,N($P193)&lt;1),N($AB193)*N($P193),N($AB193)))</f>
        <v>220875.75</v>
      </c>
      <c r="AF193" s="534" t="str">
        <f>IF(TRIM($B193)="","",IF(OR(ISNUMBER(SEARCH("vacant",$B193)),ISNUMBER(SEARCH("ring fenced",$B193)),LOWER(TRIM($B193))="remove"),"Vacant","Filled"))</f>
        <v>Filled</v>
      </c>
      <c r="AG193" s="534" t="b">
        <f>IF(TRIM($B193)="","",--ISNUMBER(SEARCH("ring fenced",$B193)))</f>
        <v>0</v>
      </c>
      <c r="AH193" s="534" t="str">
        <f>IF(TRIM($B193)="","",IF(COUNTIFS(Lists!$AN$2:$AN$22,TRIM($B193)&amp;" | "&amp;TRIM($D193),Lists!$AO$2:$AO$22,"&lt;&gt;"),INDEX(Lists!$AO$2:$AO$22,MATCH(TRIM($B193)&amp;" | "&amp;TRIM($D193),Lists!$AN$2:$AN$22,0)),IF(COUNTIF(Lists!$AR$2:$AR$3,$AJ193),"TDD Cyber",IF(AND(LEFT($AJ193,4)="EGI ",ISNUMBER(MATCH(TRIM(MID($AJ193,5,99)),Lists!$AS$2:$AS$12,0))),TRIM(MID($AJ193,5,99)),IF(AND(LEFT($AJ193,4)="EGI ",ISNUMBER(MATCH(TRIM(MID($AJ193,5,99)),Lists!$T$2:$T$21,0))),INDEX(Lists!$U$2:$U$21,MATCH(TRIM(MID($AJ193,5,99)),Lists!$T$2:$T$21,0)),IF(OR(TRIM($J193)="",UPPER(TRIM($J193))="NA"),IFERROR(INDEX(Lists!$R$2:$R$9,MATCH(TRIM($G193),Lists!$Q$2:$Q$9,0)),"UNMAPPED"),IFERROR(INDEX(Lists!$U$2:$U$21,MATCH(TRIM($J193),Lists!$T$2:$T$21,0)),IFERROR(INDEX(Lists!$R$2:$R$9,MATCH(TRIM($G193),Lists!$Q$2:$Q$9,0)),"UNMAPPED"))))))))</f>
        <v>TDD Group Functions</v>
      </c>
      <c r="AI193" s="534" t="b">
        <f>IF(TRIM($B193)="","",--OR(TRIM($L193)="Leadership",TRIM($K193)="Leadership"))</f>
        <v>0</v>
      </c>
      <c r="AJ193" s="534" t="str">
        <f>IF(TRIM($B193)="","",IF(COUNTIFS(Lists!$AN$2:$AN$22,TRIM($B193)&amp;" | "&amp;TRIM($D193),Lists!$AP$2:$AP$22,"&lt;&gt;"),INDEX(Lists!$AP$2:$AP$22,MATCH(TRIM($B193)&amp;" | "&amp;TRIM($D193),Lists!$AN$2:$AN$22,0)),IF($AI193=1,"Leadership",IFERROR(INDEX(Lists!$X$2:$X$21,MATCH(TRIM($L193),Lists!$W$2:$W$21,0)),IF(OR(TRIM($L193)="",LOWER(TRIM($L193))="na"),IF(TRIM($H193)="","Unassigned",TRIM($H193)),TRIM($L193))))))</f>
        <v>Workplace &amp; Enterprise Tooling</v>
      </c>
      <c r="AK193" s="534" t="str">
        <f>IF(TRIM($B193)="","",IF(COUNTIFS(Lists!$AN$2:$AN$22,TRIM($B193)&amp;" | "&amp;TRIM($D193),Lists!$AQ$2:$AQ$22,"&lt;&gt;"),INDEX(Lists!$AQ$2:$AQ$22,MATCH(TRIM($B193)&amp;" | "&amp;TRIM($D193),Lists!$AN$2:$AN$22,0)),IF(COUNTIF(Lists!$AF$2:$AF$8,$AJ193),$AJ193,IF(ISNUMBER(SEARCH("head of ",$D193)),"Head of Technology",IF(ISNUMBER(SEARCH("TDD BP",$D193)),"Business Partner",IF(OR(ISNUMBER(SEARCH("domain architect",$D193)),ISNUMBER(SEARCH("enterprise architect",$D193))),"Domain Architect",IF(ISNUMBER(SEARCH("delivery man",$D193)),"Delivery Manager",IF(OR(ISNUMBER(SEARCH("technology manager",$D193)),ISNUMBER(SEARCH("technology manger",$D193)),ISNUMBER(SEARCH("tech manager",$D193))),"Technology Manager","Squad"))))))))</f>
        <v>Squad</v>
      </c>
      <c r="AL193" s="534" t="str">
        <f>IF(TRIM($B193)="","",IF(AND($AM193=1,LEFT($AJ193,4)&lt;&gt;"EGI ",$AJ193&lt;&gt;"EGI"),IFERROR(INDEX(Lists!$Z$2:$Z$20,MATCH($AH193,Lists!$Y$2:$Y$20,0)),"EGI "&amp;$AH193),IF(COUNTIF(Lists!$AU$2:$AU$10,$AJ193),$AJ193,IF(OR(LEFT($AH193,3)="COE",$AH193="EGI"),$AJ193,IF($AK193&lt;&gt;"Squad",$AK193,$AJ193)))))</f>
        <v>Workplace &amp; Enterprise Tooling</v>
      </c>
      <c r="AM193" s="534" t="b">
        <f>IF(TRIM($B193)="","",--(UPPER(TRIM($K193))="EGI"))</f>
        <v>0</v>
      </c>
      <c r="AQ193" s="841" t="inlineStr">
        <is>
          <t>R0192</t>
        </is>
      </c>
      <c r="AZ193" s="841" t="n"/>
    </row>
    <row r="194" ht="18" customHeight="1" s="535">
      <c r="A194" s="842" t="n">
        <v>105531</v>
      </c>
      <c r="B194" s="843" t="inlineStr">
        <is>
          <t>Jodi Higgins</t>
        </is>
      </c>
      <c r="C194" s="842" t="n">
        <v>105531</v>
      </c>
      <c r="D194" s="843" t="inlineStr">
        <is>
          <t>Delivery Lead</t>
        </is>
      </c>
      <c r="E194" s="843" t="inlineStr">
        <is>
          <t>Prem Shetty</t>
        </is>
      </c>
      <c r="F194" s="843" t="inlineStr">
        <is>
          <t>Delivery Manager, Infrastructure</t>
        </is>
      </c>
      <c r="G194" s="844" t="inlineStr">
        <is>
          <t>TDD CFE&amp;I</t>
        </is>
      </c>
      <c r="H194" s="843" t="inlineStr">
        <is>
          <t>Fuel Infrastructure</t>
        </is>
      </c>
      <c r="I194" s="843" t="inlineStr">
        <is>
          <t>Fuel Infrastructure, Delivery</t>
        </is>
      </c>
      <c r="J194" s="843" t="inlineStr">
        <is>
          <t>Infrastructure</t>
        </is>
      </c>
      <c r="K194" s="843" t="inlineStr">
        <is>
          <t>Distribution</t>
        </is>
      </c>
      <c r="L194" s="843" t="inlineStr">
        <is>
          <t>Distribution, Sales &amp; Services</t>
        </is>
      </c>
      <c r="M194" s="843" t="n"/>
      <c r="N194" s="845" t="inlineStr">
        <is>
          <t>Australia</t>
        </is>
      </c>
      <c r="O194" s="846" t="inlineStr">
        <is>
          <t>CIC</t>
        </is>
      </c>
      <c r="P194" s="847" t="n">
        <v>1</v>
      </c>
      <c r="Q194" s="846" t="n"/>
      <c r="R194" s="847" t="inlineStr">
        <is>
          <t>Permanent - Full Time</t>
        </is>
      </c>
      <c r="S194" s="847" t="n"/>
      <c r="T194" s="847" t="n"/>
      <c r="U194" s="848" t="n">
        <v>192870</v>
      </c>
      <c r="V194" s="849" t="n">
        <v>192870</v>
      </c>
      <c r="W194" s="850" t="n">
        <v>0.12</v>
      </c>
      <c r="X194" s="847" t="n">
        <v>0.055</v>
      </c>
      <c r="Y194" s="850" t="n">
        <v>0.12</v>
      </c>
      <c r="Z194" s="851" t="n"/>
      <c r="AA194" s="850" t="n">
        <v>0.04</v>
      </c>
      <c r="AB194" s="852" t="n">
        <v>257481.45</v>
      </c>
      <c r="AE194" s="534">
        <f>IF(TRIM($B194)="","",IF(AND(N($P194)&gt;0,N($P194)&lt;1),N($AB194)*N($P194),N($AB194)))</f>
        <v>257481.45</v>
      </c>
      <c r="AF194" s="534" t="str">
        <f>IF(TRIM($B194)="","",IF(OR(ISNUMBER(SEARCH("vacant",$B194)),ISNUMBER(SEARCH("ring fenced",$B194)),LOWER(TRIM($B194))="remove"),"Vacant","Filled"))</f>
        <v>Filled</v>
      </c>
      <c r="AG194" s="534" t="b">
        <f>IF(TRIM($B194)="","",--ISNUMBER(SEARCH("ring fenced",$B194)))</f>
        <v>0</v>
      </c>
      <c r="AH194" s="534" t="str">
        <f>IF(TRIM($B194)="","",IF(COUNTIFS(Lists!$AN$2:$AN$22,TRIM($B194)&amp;" | "&amp;TRIM($D194),Lists!$AO$2:$AO$22,"&lt;&gt;"),INDEX(Lists!$AO$2:$AO$22,MATCH(TRIM($B194)&amp;" | "&amp;TRIM($D194),Lists!$AN$2:$AN$22,0)),IF(COUNTIF(Lists!$AR$2:$AR$3,$AJ194),"TDD Cyber",IF(AND(LEFT($AJ194,4)="EGI ",ISNUMBER(MATCH(TRIM(MID($AJ194,5,99)),Lists!$AS$2:$AS$12,0))),TRIM(MID($AJ194,5,99)),IF(AND(LEFT($AJ194,4)="EGI ",ISNUMBER(MATCH(TRIM(MID($AJ194,5,99)),Lists!$T$2:$T$21,0))),INDEX(Lists!$U$2:$U$21,MATCH(TRIM(MID($AJ194,5,99)),Lists!$T$2:$T$21,0)),IF(OR(TRIM($J194)="",UPPER(TRIM($J194))="NA"),IFERROR(INDEX(Lists!$R$2:$R$9,MATCH(TRIM($G194),Lists!$Q$2:$Q$9,0)),"UNMAPPED"),IFERROR(INDEX(Lists!$U$2:$U$21,MATCH(TRIM($J194),Lists!$T$2:$T$21,0)),IFERROR(INDEX(Lists!$R$2:$R$9,MATCH(TRIM($G194),Lists!$Q$2:$Q$9,0)),"UNMAPPED"))))))))</f>
        <v>Infrastructure</v>
      </c>
      <c r="AI194" s="534" t="b">
        <f>IF(TRIM($B194)="","",--OR(TRIM($L194)="Leadership",TRIM($K194)="Leadership"))</f>
        <v>0</v>
      </c>
      <c r="AJ194" s="534" t="str">
        <f>IF(TRIM($B194)="","",IF(COUNTIFS(Lists!$AN$2:$AN$22,TRIM($B194)&amp;" | "&amp;TRIM($D194),Lists!$AP$2:$AP$22,"&lt;&gt;"),INDEX(Lists!$AP$2:$AP$22,MATCH(TRIM($B194)&amp;" | "&amp;TRIM($D194),Lists!$AN$2:$AN$22,0)),IF($AI194=1,"Leadership",IFERROR(INDEX(Lists!$X$2:$X$21,MATCH(TRIM($L194),Lists!$W$2:$W$21,0)),IF(OR(TRIM($L194)="",LOWER(TRIM($L194))="na"),IF(TRIM($H194)="","Unassigned",TRIM($H194)),TRIM($L194))))))</f>
        <v>Distribution, Sales &amp; Services</v>
      </c>
      <c r="AK194" s="534" t="str">
        <f>IF(TRIM($B194)="","",IF(COUNTIFS(Lists!$AN$2:$AN$22,TRIM($B194)&amp;" | "&amp;TRIM($D194),Lists!$AQ$2:$AQ$22,"&lt;&gt;"),INDEX(Lists!$AQ$2:$AQ$22,MATCH(TRIM($B194)&amp;" | "&amp;TRIM($D194),Lists!$AN$2:$AN$22,0)),IF(COUNTIF(Lists!$AF$2:$AF$8,$AJ194),$AJ194,IF(ISNUMBER(SEARCH("head of ",$D194)),"Head of Technology",IF(ISNUMBER(SEARCH("TDD BP",$D194)),"Business Partner",IF(OR(ISNUMBER(SEARCH("domain architect",$D194)),ISNUMBER(SEARCH("enterprise architect",$D194))),"Domain Architect",IF(ISNUMBER(SEARCH("delivery man",$D194)),"Delivery Manager",IF(OR(ISNUMBER(SEARCH("technology manager",$D194)),ISNUMBER(SEARCH("technology manger",$D194)),ISNUMBER(SEARCH("tech manager",$D194))),"Technology Manager","Squad"))))))))</f>
        <v>Squad</v>
      </c>
      <c r="AL194" s="534" t="str">
        <f>IF(TRIM($B194)="","",IF(AND($AM194=1,LEFT($AJ194,4)&lt;&gt;"EGI ",$AJ194&lt;&gt;"EGI"),IFERROR(INDEX(Lists!$Z$2:$Z$20,MATCH($AH194,Lists!$Y$2:$Y$20,0)),"EGI "&amp;$AH194),IF(COUNTIF(Lists!$AU$2:$AU$10,$AJ194),$AJ194,IF(OR(LEFT($AH194,3)="COE",$AH194="EGI"),$AJ194,IF($AK194&lt;&gt;"Squad",$AK194,$AJ194)))))</f>
        <v>Distribution, Sales &amp; Services</v>
      </c>
      <c r="AM194" s="534" t="b">
        <f>IF(TRIM($B194)="","",--(UPPER(TRIM($K194))="EGI"))</f>
        <v>0</v>
      </c>
      <c r="AQ194" s="841" t="inlineStr">
        <is>
          <t>R0193</t>
        </is>
      </c>
      <c r="AZ194" s="841" t="n"/>
    </row>
    <row r="195" ht="18" customHeight="1" s="535">
      <c r="A195" s="842" t="n">
        <v>110044</v>
      </c>
      <c r="B195" s="843" t="inlineStr">
        <is>
          <t>Kevin Nelson</t>
        </is>
      </c>
      <c r="C195" s="842" t="n">
        <v>110044</v>
      </c>
      <c r="D195" s="843" t="inlineStr">
        <is>
          <t>Delivery Lead</t>
        </is>
      </c>
      <c r="E195" s="843" t="inlineStr">
        <is>
          <t>Prem Shetty</t>
        </is>
      </c>
      <c r="F195" s="843" t="inlineStr">
        <is>
          <t>Delivery Manager, Infrastructure</t>
        </is>
      </c>
      <c r="G195" s="844" t="inlineStr">
        <is>
          <t>TDD CFE&amp;I</t>
        </is>
      </c>
      <c r="H195" s="843" t="inlineStr">
        <is>
          <t>Fuel Infrastructure</t>
        </is>
      </c>
      <c r="I195" s="843" t="inlineStr">
        <is>
          <t>Fuel Infrastructure, Delivery</t>
        </is>
      </c>
      <c r="J195" s="843" t="inlineStr">
        <is>
          <t>RETAIL</t>
        </is>
      </c>
      <c r="K195" s="843" t="inlineStr">
        <is>
          <t>AMPOS</t>
        </is>
      </c>
      <c r="L195" s="843" t="inlineStr">
        <is>
          <t>AmPos</t>
        </is>
      </c>
      <c r="M195" s="843" t="n"/>
      <c r="N195" s="845" t="inlineStr">
        <is>
          <t>Australia</t>
        </is>
      </c>
      <c r="O195" s="846" t="inlineStr">
        <is>
          <t>CIC</t>
        </is>
      </c>
      <c r="P195" s="847" t="n">
        <v>1</v>
      </c>
      <c r="Q195" s="846" t="n"/>
      <c r="R195" s="847" t="inlineStr">
        <is>
          <t>Permanent - Full Time</t>
        </is>
      </c>
      <c r="S195" s="847" t="n"/>
      <c r="T195" s="847" t="n"/>
      <c r="U195" s="848" t="n">
        <v>189620</v>
      </c>
      <c r="V195" s="849" t="n">
        <v>189620</v>
      </c>
      <c r="W195" s="850" t="n">
        <v>0.12</v>
      </c>
      <c r="X195" s="847" t="n">
        <v>0.055</v>
      </c>
      <c r="Y195" s="850" t="n">
        <v>0.12</v>
      </c>
      <c r="Z195" s="851" t="n"/>
      <c r="AA195" s="850" t="n">
        <v>0.04</v>
      </c>
      <c r="AB195" s="852" t="n">
        <v>253142.7</v>
      </c>
      <c r="AE195" s="534">
        <f>IF(TRIM($B195)="","",IF(AND(N($P195)&gt;0,N($P195)&lt;1),N($AB195)*N($P195),N($AB195)))</f>
        <v>253142.7</v>
      </c>
      <c r="AF195" s="534" t="str">
        <f>IF(TRIM($B195)="","",IF(OR(ISNUMBER(SEARCH("vacant",$B195)),ISNUMBER(SEARCH("ring fenced",$B195)),LOWER(TRIM($B195))="remove"),"Vacant","Filled"))</f>
        <v>Filled</v>
      </c>
      <c r="AG195" s="534" t="b">
        <f>IF(TRIM($B195)="","",--ISNUMBER(SEARCH("ring fenced",$B195)))</f>
        <v>0</v>
      </c>
      <c r="AH195" s="534" t="str">
        <f>IF(TRIM($B195)="","",IF(COUNTIFS(Lists!$AN$2:$AN$22,TRIM($B195)&amp;" | "&amp;TRIM($D195),Lists!$AO$2:$AO$22,"&lt;&gt;"),INDEX(Lists!$AO$2:$AO$22,MATCH(TRIM($B195)&amp;" | "&amp;TRIM($D195),Lists!$AN$2:$AN$22,0)),IF(COUNTIF(Lists!$AR$2:$AR$3,$AJ195),"TDD Cyber",IF(AND(LEFT($AJ195,4)="EGI ",ISNUMBER(MATCH(TRIM(MID($AJ195,5,99)),Lists!$AS$2:$AS$12,0))),TRIM(MID($AJ195,5,99)),IF(AND(LEFT($AJ195,4)="EGI ",ISNUMBER(MATCH(TRIM(MID($AJ195,5,99)),Lists!$T$2:$T$21,0))),INDEX(Lists!$U$2:$U$21,MATCH(TRIM(MID($AJ195,5,99)),Lists!$T$2:$T$21,0)),IF(OR(TRIM($J195)="",UPPER(TRIM($J195))="NA"),IFERROR(INDEX(Lists!$R$2:$R$9,MATCH(TRIM($G195),Lists!$Q$2:$Q$9,0)),"UNMAPPED"),IFERROR(INDEX(Lists!$U$2:$U$21,MATCH(TRIM($J195),Lists!$T$2:$T$21,0)),IFERROR(INDEX(Lists!$R$2:$R$9,MATCH(TRIM($G195),Lists!$Q$2:$Q$9,0)),"UNMAPPED"))))))))</f>
        <v>Ampol Retail</v>
      </c>
      <c r="AI195" s="534" t="b">
        <f>IF(TRIM($B195)="","",--OR(TRIM($L195)="Leadership",TRIM($K195)="Leadership"))</f>
        <v>0</v>
      </c>
      <c r="AJ195" s="534" t="str">
        <f>IF(TRIM($B195)="","",IF(COUNTIFS(Lists!$AN$2:$AN$22,TRIM($B195)&amp;" | "&amp;TRIM($D195),Lists!$AP$2:$AP$22,"&lt;&gt;"),INDEX(Lists!$AP$2:$AP$22,MATCH(TRIM($B195)&amp;" | "&amp;TRIM($D195),Lists!$AN$2:$AN$22,0)),IF($AI195=1,"Leadership",IFERROR(INDEX(Lists!$X$2:$X$21,MATCH(TRIM($L195),Lists!$W$2:$W$21,0)),IF(OR(TRIM($L195)="",LOWER(TRIM($L195))="na"),IF(TRIM($H195)="","Unassigned",TRIM($H195)),TRIM($L195))))))</f>
        <v>AmPOS</v>
      </c>
      <c r="AK195" s="534" t="str">
        <f>IF(TRIM($B195)="","",IF(COUNTIFS(Lists!$AN$2:$AN$22,TRIM($B195)&amp;" | "&amp;TRIM($D195),Lists!$AQ$2:$AQ$22,"&lt;&gt;"),INDEX(Lists!$AQ$2:$AQ$22,MATCH(TRIM($B195)&amp;" | "&amp;TRIM($D195),Lists!$AN$2:$AN$22,0)),IF(COUNTIF(Lists!$AF$2:$AF$8,$AJ195),$AJ195,IF(ISNUMBER(SEARCH("head of ",$D195)),"Head of Technology",IF(ISNUMBER(SEARCH("TDD BP",$D195)),"Business Partner",IF(OR(ISNUMBER(SEARCH("domain architect",$D195)),ISNUMBER(SEARCH("enterprise architect",$D195))),"Domain Architect",IF(ISNUMBER(SEARCH("delivery man",$D195)),"Delivery Manager",IF(OR(ISNUMBER(SEARCH("technology manager",$D195)),ISNUMBER(SEARCH("technology manger",$D195)),ISNUMBER(SEARCH("tech manager",$D195))),"Technology Manager","Squad"))))))))</f>
        <v>Squad</v>
      </c>
      <c r="AL195" s="534" t="str">
        <f>IF(TRIM($B195)="","",IF(AND($AM195=1,LEFT($AJ195,4)&lt;&gt;"EGI ",$AJ195&lt;&gt;"EGI"),IFERROR(INDEX(Lists!$Z$2:$Z$20,MATCH($AH195,Lists!$Y$2:$Y$20,0)),"EGI "&amp;$AH195),IF(COUNTIF(Lists!$AU$2:$AU$10,$AJ195),$AJ195,IF(OR(LEFT($AH195,3)="COE",$AH195="EGI"),$AJ195,IF($AK195&lt;&gt;"Squad",$AK195,$AJ195)))))</f>
        <v>AmPOS</v>
      </c>
      <c r="AM195" s="534" t="b">
        <f>IF(TRIM($B195)="","",--(UPPER(TRIM($K195))="EGI"))</f>
        <v>0</v>
      </c>
      <c r="AQ195" s="841" t="inlineStr">
        <is>
          <t>R0194</t>
        </is>
      </c>
      <c r="AZ195" s="841" t="n"/>
    </row>
    <row r="196" ht="18" customHeight="1" s="535">
      <c r="A196" s="842" t="n">
        <v>105488</v>
      </c>
      <c r="B196" s="843" t="inlineStr">
        <is>
          <t>Louis Ballington</t>
        </is>
      </c>
      <c r="C196" s="842" t="n">
        <v>105488</v>
      </c>
      <c r="D196" s="843" t="inlineStr">
        <is>
          <t>Delivery Lead</t>
        </is>
      </c>
      <c r="E196" s="843" t="inlineStr">
        <is>
          <t>Prem Shetty</t>
        </is>
      </c>
      <c r="F196" s="843" t="inlineStr">
        <is>
          <t>Delivery Manager, Infrastructure</t>
        </is>
      </c>
      <c r="G196" s="844" t="inlineStr">
        <is>
          <t>TDD CFE&amp;I</t>
        </is>
      </c>
      <c r="H196" s="843" t="inlineStr">
        <is>
          <t>Fuel Infrastructure</t>
        </is>
      </c>
      <c r="I196" s="843" t="inlineStr">
        <is>
          <t>Fuel Infrastructure, Delivery</t>
        </is>
      </c>
      <c r="J196" s="843" t="inlineStr">
        <is>
          <t>Infrastructure</t>
        </is>
      </c>
      <c r="K196" s="843" t="inlineStr">
        <is>
          <t>Manufacturing</t>
        </is>
      </c>
      <c r="L196" s="843" t="inlineStr">
        <is>
          <t>Manufacturing Group Projects</t>
        </is>
      </c>
      <c r="M196" s="843" t="n"/>
      <c r="N196" s="845" t="inlineStr">
        <is>
          <t>Australia</t>
        </is>
      </c>
      <c r="O196" s="846" t="inlineStr">
        <is>
          <t>CIC</t>
        </is>
      </c>
      <c r="P196" s="847" t="n">
        <v>1</v>
      </c>
      <c r="Q196" s="847" t="n"/>
      <c r="R196" s="847" t="inlineStr">
        <is>
          <t>Permanent - Full Time</t>
        </is>
      </c>
      <c r="S196" s="847" t="n"/>
      <c r="T196" s="847" t="n"/>
      <c r="U196" s="848" t="n">
        <v>192110</v>
      </c>
      <c r="V196" s="849" t="n">
        <v>192110</v>
      </c>
      <c r="W196" s="850" t="n">
        <v>0.12</v>
      </c>
      <c r="X196" s="847" t="n">
        <v>0.055</v>
      </c>
      <c r="Y196" s="850" t="n">
        <v>0.12</v>
      </c>
      <c r="Z196" s="851" t="n"/>
      <c r="AA196" s="850" t="n">
        <v>0.04</v>
      </c>
      <c r="AB196" s="852" t="n">
        <v>256466.85</v>
      </c>
      <c r="AE196" s="534">
        <f>IF(TRIM($B196)="","",IF(AND(N($P196)&gt;0,N($P196)&lt;1),N($AB196)*N($P196),N($AB196)))</f>
        <v>256466.85</v>
      </c>
      <c r="AF196" s="534" t="str">
        <f>IF(TRIM($B196)="","",IF(OR(ISNUMBER(SEARCH("vacant",$B196)),ISNUMBER(SEARCH("ring fenced",$B196)),LOWER(TRIM($B196))="remove"),"Vacant","Filled"))</f>
        <v>Filled</v>
      </c>
      <c r="AG196" s="534" t="b">
        <f>IF(TRIM($B196)="","",--ISNUMBER(SEARCH("ring fenced",$B196)))</f>
        <v>0</v>
      </c>
      <c r="AH196" s="534" t="str">
        <f>IF(TRIM($B196)="","",IF(COUNTIFS(Lists!$AN$2:$AN$22,TRIM($B196)&amp;" | "&amp;TRIM($D196),Lists!$AO$2:$AO$22,"&lt;&gt;"),INDEX(Lists!$AO$2:$AO$22,MATCH(TRIM($B196)&amp;" | "&amp;TRIM($D196),Lists!$AN$2:$AN$22,0)),IF(COUNTIF(Lists!$AR$2:$AR$3,$AJ196),"TDD Cyber",IF(AND(LEFT($AJ196,4)="EGI ",ISNUMBER(MATCH(TRIM(MID($AJ196,5,99)),Lists!$AS$2:$AS$12,0))),TRIM(MID($AJ196,5,99)),IF(AND(LEFT($AJ196,4)="EGI ",ISNUMBER(MATCH(TRIM(MID($AJ196,5,99)),Lists!$T$2:$T$21,0))),INDEX(Lists!$U$2:$U$21,MATCH(TRIM(MID($AJ196,5,99)),Lists!$T$2:$T$21,0)),IF(OR(TRIM($J196)="",UPPER(TRIM($J196))="NA"),IFERROR(INDEX(Lists!$R$2:$R$9,MATCH(TRIM($G196),Lists!$Q$2:$Q$9,0)),"UNMAPPED"),IFERROR(INDEX(Lists!$U$2:$U$21,MATCH(TRIM($J196),Lists!$T$2:$T$21,0)),IFERROR(INDEX(Lists!$R$2:$R$9,MATCH(TRIM($G196),Lists!$Q$2:$Q$9,0)),"UNMAPPED"))))))))</f>
        <v>Infrastructure</v>
      </c>
      <c r="AI196" s="534" t="b">
        <f>IF(TRIM($B196)="","",--OR(TRIM($L196)="Leadership",TRIM($K196)="Leadership"))</f>
        <v>0</v>
      </c>
      <c r="AJ196" s="534" t="str">
        <f>IF(TRIM($B196)="","",IF(COUNTIFS(Lists!$AN$2:$AN$22,TRIM($B196)&amp;" | "&amp;TRIM($D196),Lists!$AP$2:$AP$22,"&lt;&gt;"),INDEX(Lists!$AP$2:$AP$22,MATCH(TRIM($B196)&amp;" | "&amp;TRIM($D196),Lists!$AN$2:$AN$22,0)),IF($AI196=1,"Leadership",IFERROR(INDEX(Lists!$X$2:$X$21,MATCH(TRIM($L196),Lists!$W$2:$W$21,0)),IF(OR(TRIM($L196)="",LOWER(TRIM($L196))="na"),IF(TRIM($H196)="","Unassigned",TRIM($H196)),TRIM($L196))))))</f>
        <v>Manufacturing Group Projects</v>
      </c>
      <c r="AK196" s="534" t="str">
        <f>IF(TRIM($B196)="","",IF(COUNTIFS(Lists!$AN$2:$AN$22,TRIM($B196)&amp;" | "&amp;TRIM($D196),Lists!$AQ$2:$AQ$22,"&lt;&gt;"),INDEX(Lists!$AQ$2:$AQ$22,MATCH(TRIM($B196)&amp;" | "&amp;TRIM($D196),Lists!$AN$2:$AN$22,0)),IF(COUNTIF(Lists!$AF$2:$AF$8,$AJ196),$AJ196,IF(ISNUMBER(SEARCH("head of ",$D196)),"Head of Technology",IF(ISNUMBER(SEARCH("TDD BP",$D196)),"Business Partner",IF(OR(ISNUMBER(SEARCH("domain architect",$D196)),ISNUMBER(SEARCH("enterprise architect",$D196))),"Domain Architect",IF(ISNUMBER(SEARCH("delivery man",$D196)),"Delivery Manager",IF(OR(ISNUMBER(SEARCH("technology manager",$D196)),ISNUMBER(SEARCH("technology manger",$D196)),ISNUMBER(SEARCH("tech manager",$D196))),"Technology Manager","Squad"))))))))</f>
        <v>Squad</v>
      </c>
      <c r="AL196" s="534" t="str">
        <f>IF(TRIM($B196)="","",IF(AND($AM196=1,LEFT($AJ196,4)&lt;&gt;"EGI ",$AJ196&lt;&gt;"EGI"),IFERROR(INDEX(Lists!$Z$2:$Z$20,MATCH($AH196,Lists!$Y$2:$Y$20,0)),"EGI "&amp;$AH196),IF(COUNTIF(Lists!$AU$2:$AU$10,$AJ196),$AJ196,IF(OR(LEFT($AH196,3)="COE",$AH196="EGI"),$AJ196,IF($AK196&lt;&gt;"Squad",$AK196,$AJ196)))))</f>
        <v>Manufacturing Group Projects</v>
      </c>
      <c r="AM196" s="534" t="b">
        <f>IF(TRIM($B196)="","",--(UPPER(TRIM($K196))="EGI"))</f>
        <v>0</v>
      </c>
      <c r="AQ196" s="841" t="inlineStr">
        <is>
          <t>R0195</t>
        </is>
      </c>
      <c r="AZ196" s="841" t="n"/>
    </row>
    <row r="197" ht="18" customHeight="1" s="535">
      <c r="A197" s="842" t="n">
        <v>6307</v>
      </c>
      <c r="B197" s="843" t="inlineStr">
        <is>
          <t>Darren Koller</t>
        </is>
      </c>
      <c r="C197" s="842" t="n">
        <v>6307</v>
      </c>
      <c r="D197" s="843" t="inlineStr">
        <is>
          <t>Manager, Service Management &amp; Major Incident Mgmt Lead</t>
        </is>
      </c>
      <c r="E197" s="843" t="inlineStr">
        <is>
          <t>Rajini Onteddu Reddy</t>
        </is>
      </c>
      <c r="F197" s="843" t="inlineStr">
        <is>
          <t>Head of Service Operatoins &amp; Assurance</t>
        </is>
      </c>
      <c r="G197" s="844" t="inlineStr">
        <is>
          <t>Cyber, Risk &amp; Operations</t>
        </is>
      </c>
      <c r="H197" s="843" t="inlineStr">
        <is>
          <t>Service Op &amp; Assurance</t>
        </is>
      </c>
      <c r="I197" s="843" t="inlineStr">
        <is>
          <t>NA</t>
        </is>
      </c>
      <c r="J197" s="843" t="inlineStr">
        <is>
          <t>NA</t>
        </is>
      </c>
      <c r="K197" s="843" t="inlineStr">
        <is>
          <t>NA</t>
        </is>
      </c>
      <c r="L197" s="843" t="inlineStr">
        <is>
          <t>NA</t>
        </is>
      </c>
      <c r="M197" s="843" t="n"/>
      <c r="N197" s="845" t="inlineStr">
        <is>
          <t>Australia</t>
        </is>
      </c>
      <c r="O197" s="846" t="inlineStr">
        <is>
          <t>CIC</t>
        </is>
      </c>
      <c r="P197" s="847" t="n">
        <v>1</v>
      </c>
      <c r="Q197" s="846" t="n"/>
      <c r="R197" s="847" t="inlineStr">
        <is>
          <t>Permanent - Full Time</t>
        </is>
      </c>
      <c r="S197" s="847" t="n"/>
      <c r="T197" s="847" t="n"/>
      <c r="U197" s="848" t="n">
        <v>205950</v>
      </c>
      <c r="V197" s="849" t="n">
        <v>205950</v>
      </c>
      <c r="W197" s="850" t="n">
        <v>0.12</v>
      </c>
      <c r="X197" s="847" t="n">
        <v>0.055</v>
      </c>
      <c r="Y197" s="850" t="n">
        <v>0.12</v>
      </c>
      <c r="Z197" s="851" t="n"/>
      <c r="AA197" s="850" t="n">
        <v>0.04</v>
      </c>
      <c r="AB197" s="852" t="n">
        <v>274943.25</v>
      </c>
      <c r="AE197" s="534">
        <f>IF(TRIM($B197)="","",IF(AND(N($P197)&gt;0,N($P197)&lt;1),N($AB197)*N($P197),N($AB197)))</f>
        <v>274943.25</v>
      </c>
      <c r="AF197" s="534" t="str">
        <f>IF(TRIM($B197)="","",IF(OR(ISNUMBER(SEARCH("vacant",$B197)),ISNUMBER(SEARCH("ring fenced",$B197)),LOWER(TRIM($B197))="remove"),"Vacant","Filled"))</f>
        <v>Filled</v>
      </c>
      <c r="AG197" s="534" t="b">
        <f>IF(TRIM($B197)="","",--ISNUMBER(SEARCH("ring fenced",$B197)))</f>
        <v>0</v>
      </c>
      <c r="AH197" s="534" t="str">
        <f>IF(TRIM($B197)="","",IF(COUNTIFS(Lists!$AN$2:$AN$22,TRIM($B197)&amp;" | "&amp;TRIM($D197),Lists!$AO$2:$AO$22,"&lt;&gt;"),INDEX(Lists!$AO$2:$AO$22,MATCH(TRIM($B197)&amp;" | "&amp;TRIM($D197),Lists!$AN$2:$AN$22,0)),IF(COUNTIF(Lists!$AR$2:$AR$3,$AJ197),"TDD Cyber",IF(AND(LEFT($AJ197,4)="EGI ",ISNUMBER(MATCH(TRIM(MID($AJ197,5,99)),Lists!$AS$2:$AS$12,0))),TRIM(MID($AJ197,5,99)),IF(AND(LEFT($AJ197,4)="EGI ",ISNUMBER(MATCH(TRIM(MID($AJ197,5,99)),Lists!$T$2:$T$21,0))),INDEX(Lists!$U$2:$U$21,MATCH(TRIM(MID($AJ197,5,99)),Lists!$T$2:$T$21,0)),IF(OR(TRIM($J197)="",UPPER(TRIM($J197))="NA"),IFERROR(INDEX(Lists!$R$2:$R$9,MATCH(TRIM($G197),Lists!$Q$2:$Q$9,0)),"UNMAPPED"),IFERROR(INDEX(Lists!$U$2:$U$21,MATCH(TRIM($J197),Lists!$T$2:$T$21,0)),IFERROR(INDEX(Lists!$R$2:$R$9,MATCH(TRIM($G197),Lists!$Q$2:$Q$9,0)),"UNMAPPED"))))))))</f>
        <v>COE Cyber</v>
      </c>
      <c r="AI197" s="534" t="b">
        <f>IF(TRIM($B197)="","",--OR(TRIM($L197)="Leadership",TRIM($K197)="Leadership"))</f>
        <v>0</v>
      </c>
      <c r="AJ197" s="534" t="str">
        <f>IF(TRIM($B197)="","",IF(COUNTIFS(Lists!$AN$2:$AN$22,TRIM($B197)&amp;" | "&amp;TRIM($D197),Lists!$AP$2:$AP$22,"&lt;&gt;"),INDEX(Lists!$AP$2:$AP$22,MATCH(TRIM($B197)&amp;" | "&amp;TRIM($D197),Lists!$AN$2:$AN$22,0)),IF($AI197=1,"Leadership",IFERROR(INDEX(Lists!$X$2:$X$21,MATCH(TRIM($L197),Lists!$W$2:$W$21,0)),IF(OR(TRIM($L197)="",LOWER(TRIM($L197))="na"),IF(TRIM($H197)="","Unassigned",TRIM($H197)),TRIM($L197))))))</f>
        <v>Service Op &amp; Assurance</v>
      </c>
      <c r="AK197" s="534" t="str">
        <f>IF(TRIM($B197)="","",IF(COUNTIFS(Lists!$AN$2:$AN$22,TRIM($B197)&amp;" | "&amp;TRIM($D197),Lists!$AQ$2:$AQ$22,"&lt;&gt;"),INDEX(Lists!$AQ$2:$AQ$22,MATCH(TRIM($B197)&amp;" | "&amp;TRIM($D197),Lists!$AN$2:$AN$22,0)),IF(COUNTIF(Lists!$AF$2:$AF$8,$AJ197),$AJ197,IF(ISNUMBER(SEARCH("head of ",$D197)),"Head of Technology",IF(ISNUMBER(SEARCH("TDD BP",$D197)),"Business Partner",IF(OR(ISNUMBER(SEARCH("domain architect",$D197)),ISNUMBER(SEARCH("enterprise architect",$D197))),"Domain Architect",IF(ISNUMBER(SEARCH("delivery man",$D197)),"Delivery Manager",IF(OR(ISNUMBER(SEARCH("technology manager",$D197)),ISNUMBER(SEARCH("technology manger",$D197)),ISNUMBER(SEARCH("tech manager",$D197))),"Technology Manager","Squad"))))))))</f>
        <v>Squad</v>
      </c>
      <c r="AL197" s="534" t="str">
        <f>IF(TRIM($B197)="","",IF(AND($AM197=1,LEFT($AJ197,4)&lt;&gt;"EGI ",$AJ197&lt;&gt;"EGI"),IFERROR(INDEX(Lists!$Z$2:$Z$20,MATCH($AH197,Lists!$Y$2:$Y$20,0)),"EGI "&amp;$AH197),IF(COUNTIF(Lists!$AU$2:$AU$10,$AJ197),$AJ197,IF(OR(LEFT($AH197,3)="COE",$AH197="EGI"),$AJ197,IF($AK197&lt;&gt;"Squad",$AK197,$AJ197)))))</f>
        <v>Service Op &amp; Assurance</v>
      </c>
      <c r="AM197" s="534" t="b">
        <f>IF(TRIM($B197)="","",--(UPPER(TRIM($K197))="EGI"))</f>
        <v>0</v>
      </c>
      <c r="AQ197" s="841" t="inlineStr">
        <is>
          <t>R0196</t>
        </is>
      </c>
      <c r="AZ197" s="841" t="n"/>
    </row>
    <row r="198" ht="18" customHeight="1" s="535">
      <c r="A198" s="842" t="n">
        <v>84274</v>
      </c>
      <c r="B198" s="843" t="inlineStr">
        <is>
          <t>Chris Rojas</t>
        </is>
      </c>
      <c r="C198" s="842" t="n">
        <v>84274</v>
      </c>
      <c r="D198" s="843" t="inlineStr">
        <is>
          <t>Manager, Customer Support Operations</t>
        </is>
      </c>
      <c r="E198" s="843" t="inlineStr">
        <is>
          <t>Rajini Onteddu Reddy</t>
        </is>
      </c>
      <c r="F198" s="843" t="inlineStr">
        <is>
          <t xml:space="preserve">Manager Cyber Security Operations </t>
        </is>
      </c>
      <c r="G198" s="844" t="inlineStr">
        <is>
          <t>Cyber, Risk &amp; Operations</t>
        </is>
      </c>
      <c r="H198" s="843" t="inlineStr">
        <is>
          <t>Service Op &amp; Assurance</t>
        </is>
      </c>
      <c r="I198" s="843" t="inlineStr">
        <is>
          <t>NA</t>
        </is>
      </c>
      <c r="J198" s="843" t="inlineStr">
        <is>
          <t>NA</t>
        </is>
      </c>
      <c r="K198" s="843" t="inlineStr">
        <is>
          <t>NA</t>
        </is>
      </c>
      <c r="L198" s="843" t="inlineStr">
        <is>
          <t>NA</t>
        </is>
      </c>
      <c r="M198" s="843" t="n"/>
      <c r="N198" s="845" t="inlineStr">
        <is>
          <t>Australia</t>
        </is>
      </c>
      <c r="O198" s="846" t="inlineStr">
        <is>
          <t>CIC</t>
        </is>
      </c>
      <c r="P198" s="847" t="n">
        <v>1</v>
      </c>
      <c r="Q198" s="846" t="n"/>
      <c r="R198" s="847" t="inlineStr">
        <is>
          <t>Permanent - Full Time</t>
        </is>
      </c>
      <c r="S198" s="847" t="n"/>
      <c r="T198" s="847" t="n"/>
      <c r="U198" s="848" t="n">
        <v>182250</v>
      </c>
      <c r="V198" s="849" t="n">
        <v>182250</v>
      </c>
      <c r="W198" s="850" t="n">
        <v>0.12</v>
      </c>
      <c r="X198" s="847" t="n">
        <v>0.055</v>
      </c>
      <c r="Y198" s="850" t="n">
        <v>0.12</v>
      </c>
      <c r="Z198" s="851" t="n"/>
      <c r="AA198" s="850" t="n">
        <v>0.04</v>
      </c>
      <c r="AB198" s="852" t="n">
        <v>243303.75</v>
      </c>
      <c r="AE198" s="534">
        <f>IF(TRIM($B198)="","",IF(AND(N($P198)&gt;0,N($P198)&lt;1),N($AB198)*N($P198),N($AB198)))</f>
        <v>243303.75</v>
      </c>
      <c r="AF198" s="534" t="str">
        <f>IF(TRIM($B198)="","",IF(OR(ISNUMBER(SEARCH("vacant",$B198)),ISNUMBER(SEARCH("ring fenced",$B198)),LOWER(TRIM($B198))="remove"),"Vacant","Filled"))</f>
        <v>Filled</v>
      </c>
      <c r="AG198" s="534" t="b">
        <f>IF(TRIM($B198)="","",--ISNUMBER(SEARCH("ring fenced",$B198)))</f>
        <v>0</v>
      </c>
      <c r="AH198" s="534" t="str">
        <f>IF(TRIM($B198)="","",IF(COUNTIFS(Lists!$AN$2:$AN$22,TRIM($B198)&amp;" | "&amp;TRIM($D198),Lists!$AO$2:$AO$22,"&lt;&gt;"),INDEX(Lists!$AO$2:$AO$22,MATCH(TRIM($B198)&amp;" | "&amp;TRIM($D198),Lists!$AN$2:$AN$22,0)),IF(COUNTIF(Lists!$AR$2:$AR$3,$AJ198),"TDD Cyber",IF(AND(LEFT($AJ198,4)="EGI ",ISNUMBER(MATCH(TRIM(MID($AJ198,5,99)),Lists!$AS$2:$AS$12,0))),TRIM(MID($AJ198,5,99)),IF(AND(LEFT($AJ198,4)="EGI ",ISNUMBER(MATCH(TRIM(MID($AJ198,5,99)),Lists!$T$2:$T$21,0))),INDEX(Lists!$U$2:$U$21,MATCH(TRIM(MID($AJ198,5,99)),Lists!$T$2:$T$21,0)),IF(OR(TRIM($J198)="",UPPER(TRIM($J198))="NA"),IFERROR(INDEX(Lists!$R$2:$R$9,MATCH(TRIM($G198),Lists!$Q$2:$Q$9,0)),"UNMAPPED"),IFERROR(INDEX(Lists!$U$2:$U$21,MATCH(TRIM($J198),Lists!$T$2:$T$21,0)),IFERROR(INDEX(Lists!$R$2:$R$9,MATCH(TRIM($G198),Lists!$Q$2:$Q$9,0)),"UNMAPPED"))))))))</f>
        <v>COE Cyber</v>
      </c>
      <c r="AI198" s="534" t="b">
        <f>IF(TRIM($B198)="","",--OR(TRIM($L198)="Leadership",TRIM($K198)="Leadership"))</f>
        <v>0</v>
      </c>
      <c r="AJ198" s="534" t="str">
        <f>IF(TRIM($B198)="","",IF(COUNTIFS(Lists!$AN$2:$AN$22,TRIM($B198)&amp;" | "&amp;TRIM($D198),Lists!$AP$2:$AP$22,"&lt;&gt;"),INDEX(Lists!$AP$2:$AP$22,MATCH(TRIM($B198)&amp;" | "&amp;TRIM($D198),Lists!$AN$2:$AN$22,0)),IF($AI198=1,"Leadership",IFERROR(INDEX(Lists!$X$2:$X$21,MATCH(TRIM($L198),Lists!$W$2:$W$21,0)),IF(OR(TRIM($L198)="",LOWER(TRIM($L198))="na"),IF(TRIM($H198)="","Unassigned",TRIM($H198)),TRIM($L198))))))</f>
        <v>Service Op &amp; Assurance</v>
      </c>
      <c r="AK198" s="534" t="str">
        <f>IF(TRIM($B198)="","",IF(COUNTIFS(Lists!$AN$2:$AN$22,TRIM($B198)&amp;" | "&amp;TRIM($D198),Lists!$AQ$2:$AQ$22,"&lt;&gt;"),INDEX(Lists!$AQ$2:$AQ$22,MATCH(TRIM($B198)&amp;" | "&amp;TRIM($D198),Lists!$AN$2:$AN$22,0)),IF(COUNTIF(Lists!$AF$2:$AF$8,$AJ198),$AJ198,IF(ISNUMBER(SEARCH("head of ",$D198)),"Head of Technology",IF(ISNUMBER(SEARCH("TDD BP",$D198)),"Business Partner",IF(OR(ISNUMBER(SEARCH("domain architect",$D198)),ISNUMBER(SEARCH("enterprise architect",$D198))),"Domain Architect",IF(ISNUMBER(SEARCH("delivery man",$D198)),"Delivery Manager",IF(OR(ISNUMBER(SEARCH("technology manager",$D198)),ISNUMBER(SEARCH("technology manger",$D198)),ISNUMBER(SEARCH("tech manager",$D198))),"Technology Manager","Squad"))))))))</f>
        <v>Squad</v>
      </c>
      <c r="AL198" s="534" t="str">
        <f>IF(TRIM($B198)="","",IF(AND($AM198=1,LEFT($AJ198,4)&lt;&gt;"EGI ",$AJ198&lt;&gt;"EGI"),IFERROR(INDEX(Lists!$Z$2:$Z$20,MATCH($AH198,Lists!$Y$2:$Y$20,0)),"EGI "&amp;$AH198),IF(COUNTIF(Lists!$AU$2:$AU$10,$AJ198),$AJ198,IF(OR(LEFT($AH198,3)="COE",$AH198="EGI"),$AJ198,IF($AK198&lt;&gt;"Squad",$AK198,$AJ198)))))</f>
        <v>Service Op &amp; Assurance</v>
      </c>
      <c r="AM198" s="534" t="b">
        <f>IF(TRIM($B198)="","",--(UPPER(TRIM($K198))="EGI"))</f>
        <v>0</v>
      </c>
      <c r="AQ198" s="841" t="inlineStr">
        <is>
          <t>R0197</t>
        </is>
      </c>
      <c r="AZ198" s="841" t="n"/>
    </row>
    <row r="199" ht="18" customHeight="1" s="535">
      <c r="A199" s="842" t="n">
        <v>100330</v>
      </c>
      <c r="B199" s="843" t="inlineStr">
        <is>
          <t>Milan Patel</t>
        </is>
      </c>
      <c r="C199" s="842" t="n">
        <v>100330</v>
      </c>
      <c r="D199" s="843" t="inlineStr">
        <is>
          <t>Platform Architect</t>
        </is>
      </c>
      <c r="E199" s="843" t="inlineStr">
        <is>
          <t>Sanjay Tikoo</t>
        </is>
      </c>
      <c r="F199" s="843" t="inlineStr">
        <is>
          <t>Data Capability Manager</t>
        </is>
      </c>
      <c r="G199" s="844" t="inlineStr">
        <is>
          <t>Strategy, Architecture &amp; Data</t>
        </is>
      </c>
      <c r="H199" s="843" t="inlineStr">
        <is>
          <t>Group Data</t>
        </is>
      </c>
      <c r="I199" s="843" t="inlineStr">
        <is>
          <t>Data Capability</t>
        </is>
      </c>
      <c r="J199" s="843" t="n"/>
      <c r="K199" s="843" t="n"/>
      <c r="L199" s="843" t="inlineStr">
        <is>
          <t>Data Platform</t>
        </is>
      </c>
      <c r="M199" s="843" t="n"/>
      <c r="N199" s="845" t="inlineStr">
        <is>
          <t>Australia</t>
        </is>
      </c>
      <c r="O199" s="846" t="inlineStr">
        <is>
          <t>CIC</t>
        </is>
      </c>
      <c r="P199" s="847" t="n">
        <v>1</v>
      </c>
      <c r="Q199" s="847" t="n"/>
      <c r="R199" s="847" t="inlineStr">
        <is>
          <t>Permanent - Full Time</t>
        </is>
      </c>
      <c r="S199" s="847" t="n"/>
      <c r="T199" s="847" t="n"/>
      <c r="U199" s="848" t="n">
        <v>198940</v>
      </c>
      <c r="V199" s="849" t="n">
        <v>198940</v>
      </c>
      <c r="W199" s="850" t="n">
        <v>0.12</v>
      </c>
      <c r="X199" s="847" t="n">
        <v>0.055</v>
      </c>
      <c r="Y199" s="850" t="n">
        <v>0.12</v>
      </c>
      <c r="Z199" s="851" t="n"/>
      <c r="AA199" s="850" t="n">
        <v>0.04</v>
      </c>
      <c r="AB199" s="852" t="n">
        <v>265584.9</v>
      </c>
      <c r="AE199" s="534">
        <f>IF(TRIM($B199)="","",IF(AND(N($P199)&gt;0,N($P199)&lt;1),N($AB199)*N($P199),N($AB199)))</f>
        <v>265584.9</v>
      </c>
      <c r="AF199" s="534" t="str">
        <f>IF(TRIM($B199)="","",IF(OR(ISNUMBER(SEARCH("vacant",$B199)),ISNUMBER(SEARCH("ring fenced",$B199)),LOWER(TRIM($B199))="remove"),"Vacant","Filled"))</f>
        <v>Filled</v>
      </c>
      <c r="AG199" s="534" t="b">
        <f>IF(TRIM($B199)="","",--ISNUMBER(SEARCH("ring fenced",$B199)))</f>
        <v>0</v>
      </c>
      <c r="AH199" s="534" t="str">
        <f>IF(TRIM($B199)="","",IF(COUNTIFS(Lists!$AN$2:$AN$22,TRIM($B199)&amp;" | "&amp;TRIM($D199),Lists!$AO$2:$AO$22,"&lt;&gt;"),INDEX(Lists!$AO$2:$AO$22,MATCH(TRIM($B199)&amp;" | "&amp;TRIM($D199),Lists!$AN$2:$AN$22,0)),IF(COUNTIF(Lists!$AR$2:$AR$3,$AJ199),"TDD Cyber",IF(AND(LEFT($AJ199,4)="EGI ",ISNUMBER(MATCH(TRIM(MID($AJ199,5,99)),Lists!$AS$2:$AS$12,0))),TRIM(MID($AJ199,5,99)),IF(AND(LEFT($AJ199,4)="EGI ",ISNUMBER(MATCH(TRIM(MID($AJ199,5,99)),Lists!$T$2:$T$21,0))),INDEX(Lists!$U$2:$U$21,MATCH(TRIM(MID($AJ199,5,99)),Lists!$T$2:$T$21,0)),IF(OR(TRIM($J199)="",UPPER(TRIM($J199))="NA"),IFERROR(INDEX(Lists!$R$2:$R$9,MATCH(TRIM($G199),Lists!$Q$2:$Q$9,0)),"UNMAPPED"),IFERROR(INDEX(Lists!$U$2:$U$21,MATCH(TRIM($J199),Lists!$T$2:$T$21,0)),IFERROR(INDEX(Lists!$R$2:$R$9,MATCH(TRIM($G199),Lists!$Q$2:$Q$9,0)),"UNMAPPED"))))))))</f>
        <v>COE SA&amp;D</v>
      </c>
      <c r="AI199" s="534" t="b">
        <f>IF(TRIM($B199)="","",--OR(TRIM($L199)="Leadership",TRIM($K199)="Leadership"))</f>
        <v>0</v>
      </c>
      <c r="AJ199" s="534" t="str">
        <f>IF(TRIM($B199)="","",IF(COUNTIFS(Lists!$AN$2:$AN$22,TRIM($B199)&amp;" | "&amp;TRIM($D199),Lists!$AP$2:$AP$22,"&lt;&gt;"),INDEX(Lists!$AP$2:$AP$22,MATCH(TRIM($B199)&amp;" | "&amp;TRIM($D199),Lists!$AN$2:$AN$22,0)),IF($AI199=1,"Leadership",IFERROR(INDEX(Lists!$X$2:$X$21,MATCH(TRIM($L199),Lists!$W$2:$W$21,0)),IF(OR(TRIM($L199)="",LOWER(TRIM($L199))="na"),IF(TRIM($H199)="","Unassigned",TRIM($H199)),TRIM($L199))))))</f>
        <v>Data Platforms</v>
      </c>
      <c r="AK199" s="534" t="str">
        <f>IF(TRIM($B199)="","",IF(COUNTIFS(Lists!$AN$2:$AN$22,TRIM($B199)&amp;" | "&amp;TRIM($D199),Lists!$AQ$2:$AQ$22,"&lt;&gt;"),INDEX(Lists!$AQ$2:$AQ$22,MATCH(TRIM($B199)&amp;" | "&amp;TRIM($D199),Lists!$AN$2:$AN$22,0)),IF(COUNTIF(Lists!$AF$2:$AF$8,$AJ199),$AJ199,IF(ISNUMBER(SEARCH("head of ",$D199)),"Head of Technology",IF(ISNUMBER(SEARCH("TDD BP",$D199)),"Business Partner",IF(OR(ISNUMBER(SEARCH("domain architect",$D199)),ISNUMBER(SEARCH("enterprise architect",$D199))),"Domain Architect",IF(ISNUMBER(SEARCH("delivery man",$D199)),"Delivery Manager",IF(OR(ISNUMBER(SEARCH("technology manager",$D199)),ISNUMBER(SEARCH("technology manger",$D199)),ISNUMBER(SEARCH("tech manager",$D199))),"Technology Manager","Squad"))))))))</f>
        <v>Squad</v>
      </c>
      <c r="AL199" s="534" t="str">
        <f>IF(TRIM($B199)="","",IF(AND($AM199=1,LEFT($AJ199,4)&lt;&gt;"EGI ",$AJ199&lt;&gt;"EGI"),IFERROR(INDEX(Lists!$Z$2:$Z$20,MATCH($AH199,Lists!$Y$2:$Y$20,0)),"EGI "&amp;$AH199),IF(COUNTIF(Lists!$AU$2:$AU$10,$AJ199),$AJ199,IF(OR(LEFT($AH199,3)="COE",$AH199="EGI"),$AJ199,IF($AK199&lt;&gt;"Squad",$AK199,$AJ199)))))</f>
        <v>Data Platforms</v>
      </c>
      <c r="AM199" s="534" t="b">
        <f>IF(TRIM($B199)="","",--(UPPER(TRIM($K199))="EGI"))</f>
        <v>0</v>
      </c>
      <c r="AO199" s="534" t="inlineStr">
        <is>
          <t>move to COE, not in data platforms squad</t>
        </is>
      </c>
      <c r="AQ199" s="841" t="inlineStr">
        <is>
          <t>R0198</t>
        </is>
      </c>
      <c r="AZ199" s="841" t="n"/>
    </row>
    <row r="200" ht="18" customHeight="1" s="535">
      <c r="A200" s="842" t="n">
        <v>99522</v>
      </c>
      <c r="B200" s="843" t="inlineStr">
        <is>
          <t>Mitchell Clarke</t>
        </is>
      </c>
      <c r="C200" s="842" t="n">
        <v>99522</v>
      </c>
      <c r="D200" s="843" t="inlineStr">
        <is>
          <t>Snr Data Governance Specialist</t>
        </is>
      </c>
      <c r="E200" s="843" t="inlineStr">
        <is>
          <t>Sanjay Tikoo</t>
        </is>
      </c>
      <c r="F200" s="843" t="inlineStr">
        <is>
          <t>Data Capability Manager</t>
        </is>
      </c>
      <c r="G200" s="844" t="inlineStr">
        <is>
          <t>Strategy, Architecture &amp; Data</t>
        </is>
      </c>
      <c r="H200" s="843" t="inlineStr">
        <is>
          <t>Group Data</t>
        </is>
      </c>
      <c r="I200" s="843" t="inlineStr">
        <is>
          <t>Data Capability</t>
        </is>
      </c>
      <c r="J200" s="843" t="n"/>
      <c r="K200" s="843" t="n"/>
      <c r="L200" s="843" t="n"/>
      <c r="M200" s="843" t="n"/>
      <c r="N200" s="845" t="inlineStr">
        <is>
          <t>Australia</t>
        </is>
      </c>
      <c r="O200" s="846" t="inlineStr">
        <is>
          <t>CIC</t>
        </is>
      </c>
      <c r="P200" s="847" t="n">
        <v>1</v>
      </c>
      <c r="Q200" s="846" t="n"/>
      <c r="R200" s="847" t="inlineStr">
        <is>
          <t>Permanent - Full Time</t>
        </is>
      </c>
      <c r="S200" s="847" t="n"/>
      <c r="T200" s="847" t="n"/>
      <c r="U200" s="848" t="n">
        <v>169280</v>
      </c>
      <c r="V200" s="849" t="n">
        <v>169280</v>
      </c>
      <c r="W200" s="850" t="n">
        <v>0.12</v>
      </c>
      <c r="X200" s="847" t="n">
        <v>0.055</v>
      </c>
      <c r="Y200" s="850" t="n">
        <v>0.12</v>
      </c>
      <c r="Z200" s="851" t="n"/>
      <c r="AA200" s="850" t="n">
        <v>0.04</v>
      </c>
      <c r="AB200" s="852" t="n">
        <v>225988.8</v>
      </c>
      <c r="AE200" s="534">
        <f>IF(TRIM($B200)="","",IF(AND(N($P200)&gt;0,N($P200)&lt;1),N($AB200)*N($P200),N($AB200)))</f>
        <v>225988.8</v>
      </c>
      <c r="AF200" s="534" t="str">
        <f>IF(TRIM($B200)="","",IF(OR(ISNUMBER(SEARCH("vacant",$B200)),ISNUMBER(SEARCH("ring fenced",$B200)),LOWER(TRIM($B200))="remove"),"Vacant","Filled"))</f>
        <v>Filled</v>
      </c>
      <c r="AG200" s="534" t="b">
        <f>IF(TRIM($B200)="","",--ISNUMBER(SEARCH("ring fenced",$B200)))</f>
        <v>0</v>
      </c>
      <c r="AH200" s="534" t="str">
        <f>IF(TRIM($B200)="","",IF(COUNTIFS(Lists!$AN$2:$AN$22,TRIM($B200)&amp;" | "&amp;TRIM($D200),Lists!$AO$2:$AO$22,"&lt;&gt;"),INDEX(Lists!$AO$2:$AO$22,MATCH(TRIM($B200)&amp;" | "&amp;TRIM($D200),Lists!$AN$2:$AN$22,0)),IF(COUNTIF(Lists!$AR$2:$AR$3,$AJ200),"TDD Cyber",IF(AND(LEFT($AJ200,4)="EGI ",ISNUMBER(MATCH(TRIM(MID($AJ200,5,99)),Lists!$AS$2:$AS$12,0))),TRIM(MID($AJ200,5,99)),IF(AND(LEFT($AJ200,4)="EGI ",ISNUMBER(MATCH(TRIM(MID($AJ200,5,99)),Lists!$T$2:$T$21,0))),INDEX(Lists!$U$2:$U$21,MATCH(TRIM(MID($AJ200,5,99)),Lists!$T$2:$T$21,0)),IF(OR(TRIM($J200)="",UPPER(TRIM($J200))="NA"),IFERROR(INDEX(Lists!$R$2:$R$9,MATCH(TRIM($G200),Lists!$Q$2:$Q$9,0)),"UNMAPPED"),IFERROR(INDEX(Lists!$U$2:$U$21,MATCH(TRIM($J200),Lists!$T$2:$T$21,0)),IFERROR(INDEX(Lists!$R$2:$R$9,MATCH(TRIM($G200),Lists!$Q$2:$Q$9,0)),"UNMAPPED"))))))))</f>
        <v>COE SA&amp;D</v>
      </c>
      <c r="AI200" s="534" t="b">
        <f>IF(TRIM($B200)="","",--OR(TRIM($L200)="Leadership",TRIM($K200)="Leadership"))</f>
        <v>0</v>
      </c>
      <c r="AJ200" s="534" t="str">
        <f>IF(TRIM($B200)="","",IF(COUNTIFS(Lists!$AN$2:$AN$22,TRIM($B200)&amp;" | "&amp;TRIM($D200),Lists!$AP$2:$AP$22,"&lt;&gt;"),INDEX(Lists!$AP$2:$AP$22,MATCH(TRIM($B200)&amp;" | "&amp;TRIM($D200),Lists!$AN$2:$AN$22,0)),IF($AI200=1,"Leadership",IFERROR(INDEX(Lists!$X$2:$X$21,MATCH(TRIM($L200),Lists!$W$2:$W$21,0)),IF(OR(TRIM($L200)="",LOWER(TRIM($L200))="na"),IF(TRIM($H200)="","Unassigned",TRIM($H200)),TRIM($L200))))))</f>
        <v>Group Data</v>
      </c>
      <c r="AK200" s="534" t="str">
        <f>IF(TRIM($B200)="","",IF(COUNTIFS(Lists!$AN$2:$AN$22,TRIM($B200)&amp;" | "&amp;TRIM($D200),Lists!$AQ$2:$AQ$22,"&lt;&gt;"),INDEX(Lists!$AQ$2:$AQ$22,MATCH(TRIM($B200)&amp;" | "&amp;TRIM($D200),Lists!$AN$2:$AN$22,0)),IF(COUNTIF(Lists!$AF$2:$AF$8,$AJ200),$AJ200,IF(ISNUMBER(SEARCH("head of ",$D200)),"Head of Technology",IF(ISNUMBER(SEARCH("TDD BP",$D200)),"Business Partner",IF(OR(ISNUMBER(SEARCH("domain architect",$D200)),ISNUMBER(SEARCH("enterprise architect",$D200))),"Domain Architect",IF(ISNUMBER(SEARCH("delivery man",$D200)),"Delivery Manager",IF(OR(ISNUMBER(SEARCH("technology manager",$D200)),ISNUMBER(SEARCH("technology manger",$D200)),ISNUMBER(SEARCH("tech manager",$D200))),"Technology Manager","Squad"))))))))</f>
        <v>Squad</v>
      </c>
      <c r="AL200" s="534" t="str">
        <f>IF(TRIM($B200)="","",IF(AND($AM200=1,LEFT($AJ200,4)&lt;&gt;"EGI ",$AJ200&lt;&gt;"EGI"),IFERROR(INDEX(Lists!$Z$2:$Z$20,MATCH($AH200,Lists!$Y$2:$Y$20,0)),"EGI "&amp;$AH200),IF(COUNTIF(Lists!$AU$2:$AU$10,$AJ200),$AJ200,IF(OR(LEFT($AH200,3)="COE",$AH200="EGI"),$AJ200,IF($AK200&lt;&gt;"Squad",$AK200,$AJ200)))))</f>
        <v>Group Data</v>
      </c>
      <c r="AM200" s="534" t="b">
        <f>IF(TRIM($B200)="","",--(UPPER(TRIM($K200))="EGI"))</f>
        <v>0</v>
      </c>
      <c r="AQ200" s="841" t="inlineStr">
        <is>
          <t>R0199</t>
        </is>
      </c>
      <c r="AZ200" s="841" t="n"/>
    </row>
    <row r="201" ht="18" customHeight="1" s="535">
      <c r="A201" s="842" t="n">
        <v>113580</v>
      </c>
      <c r="B201" s="843" t="inlineStr">
        <is>
          <t>Luke Hamer</t>
        </is>
      </c>
      <c r="C201" s="842" t="n">
        <v>113580</v>
      </c>
      <c r="D201" s="843" t="inlineStr">
        <is>
          <t>Lead Engineer - Devops</t>
        </is>
      </c>
      <c r="E201" s="843" t="inlineStr">
        <is>
          <t>Scott McKenzie</t>
        </is>
      </c>
      <c r="F201" s="843" t="inlineStr">
        <is>
          <t>Technology Manager – DevOps and Quality Engineering</t>
        </is>
      </c>
      <c r="G201" s="844" t="inlineStr">
        <is>
          <t>TDD Group Functions</t>
        </is>
      </c>
      <c r="H201" s="843" t="inlineStr">
        <is>
          <t>TDD &amp; Engineering</t>
        </is>
      </c>
      <c r="I201" s="843" t="inlineStr">
        <is>
          <t>DevOps &amp; QE</t>
        </is>
      </c>
      <c r="J201" s="843" t="inlineStr">
        <is>
          <t>TDD</t>
        </is>
      </c>
      <c r="K201" s="843" t="inlineStr">
        <is>
          <t>TDD</t>
        </is>
      </c>
      <c r="L201" s="843" t="inlineStr">
        <is>
          <t>DevOps &amp; QE</t>
        </is>
      </c>
      <c r="M201" s="843" t="n"/>
      <c r="N201" s="845" t="inlineStr">
        <is>
          <t>NZ</t>
        </is>
      </c>
      <c r="O201" s="846" t="inlineStr">
        <is>
          <t>CIC</t>
        </is>
      </c>
      <c r="P201" s="847" t="n">
        <v>1</v>
      </c>
      <c r="Q201" s="846" t="n"/>
      <c r="R201" s="847" t="inlineStr">
        <is>
          <t>Permanent - Full Time</t>
        </is>
      </c>
      <c r="S201" s="847" t="n"/>
      <c r="T201" s="847" t="n"/>
      <c r="U201" s="848" t="n">
        <v>159200</v>
      </c>
      <c r="V201" s="849" t="n">
        <v>146464</v>
      </c>
      <c r="W201" s="850" t="n">
        <v>0.15</v>
      </c>
      <c r="X201" s="847" t="n"/>
      <c r="Y201" s="850" t="n">
        <v>0.05</v>
      </c>
      <c r="Z201" s="851" t="n">
        <v>2910</v>
      </c>
      <c r="AA201" s="850" t="n">
        <v>0.03</v>
      </c>
      <c r="AB201" s="852" t="n">
        <v>183060.72</v>
      </c>
      <c r="AE201" s="534">
        <f>IF(TRIM($B201)="","",IF(AND(N($P201)&gt;0,N($P201)&lt;1),N($AB201)*N($P201),N($AB201)))</f>
        <v>183060.72</v>
      </c>
      <c r="AF201" s="534" t="str">
        <f>IF(TRIM($B201)="","",IF(OR(ISNUMBER(SEARCH("vacant",$B201)),ISNUMBER(SEARCH("ring fenced",$B201)),LOWER(TRIM($B201))="remove"),"Vacant","Filled"))</f>
        <v>Filled</v>
      </c>
      <c r="AG201" s="534" t="b">
        <f>IF(TRIM($B201)="","",--ISNUMBER(SEARCH("ring fenced",$B201)))</f>
        <v>0</v>
      </c>
      <c r="AH201" s="534" t="str">
        <f>IF(TRIM($B201)="","",IF(COUNTIFS(Lists!$AN$2:$AN$22,TRIM($B201)&amp;" | "&amp;TRIM($D201),Lists!$AO$2:$AO$22,"&lt;&gt;"),INDEX(Lists!$AO$2:$AO$22,MATCH(TRIM($B201)&amp;" | "&amp;TRIM($D201),Lists!$AN$2:$AN$22,0)),IF(COUNTIF(Lists!$AR$2:$AR$3,$AJ201),"TDD Cyber",IF(AND(LEFT($AJ201,4)="EGI ",ISNUMBER(MATCH(TRIM(MID($AJ201,5,99)),Lists!$AS$2:$AS$12,0))),TRIM(MID($AJ201,5,99)),IF(AND(LEFT($AJ201,4)="EGI ",ISNUMBER(MATCH(TRIM(MID($AJ201,5,99)),Lists!$T$2:$T$21,0))),INDEX(Lists!$U$2:$U$21,MATCH(TRIM(MID($AJ201,5,99)),Lists!$T$2:$T$21,0)),IF(OR(TRIM($J201)="",UPPER(TRIM($J201))="NA"),IFERROR(INDEX(Lists!$R$2:$R$9,MATCH(TRIM($G201),Lists!$Q$2:$Q$9,0)),"UNMAPPED"),IFERROR(INDEX(Lists!$U$2:$U$21,MATCH(TRIM($J201),Lists!$T$2:$T$21,0)),IFERROR(INDEX(Lists!$R$2:$R$9,MATCH(TRIM($G201),Lists!$Q$2:$Q$9,0)),"UNMAPPED"))))))))</f>
        <v>TDD Group Functions</v>
      </c>
      <c r="AI201" s="534" t="b">
        <f>IF(TRIM($B201)="","",--OR(TRIM($L201)="Leadership",TRIM($K201)="Leadership"))</f>
        <v>0</v>
      </c>
      <c r="AJ201" s="534" t="str">
        <f>IF(TRIM($B201)="","",IF(COUNTIFS(Lists!$AN$2:$AN$22,TRIM($B201)&amp;" | "&amp;TRIM($D201),Lists!$AP$2:$AP$22,"&lt;&gt;"),INDEX(Lists!$AP$2:$AP$22,MATCH(TRIM($B201)&amp;" | "&amp;TRIM($D201),Lists!$AN$2:$AN$22,0)),IF($AI201=1,"Leadership",IFERROR(INDEX(Lists!$X$2:$X$21,MATCH(TRIM($L201),Lists!$W$2:$W$21,0)),IF(OR(TRIM($L201)="",LOWER(TRIM($L201))="na"),IF(TRIM($H201)="","Unassigned",TRIM($H201)),TRIM($L201))))))</f>
        <v>DevOps &amp; QE</v>
      </c>
      <c r="AK201" s="534" t="str">
        <f>IF(TRIM($B201)="","",IF(COUNTIFS(Lists!$AN$2:$AN$22,TRIM($B201)&amp;" | "&amp;TRIM($D201),Lists!$AQ$2:$AQ$22,"&lt;&gt;"),INDEX(Lists!$AQ$2:$AQ$22,MATCH(TRIM($B201)&amp;" | "&amp;TRIM($D201),Lists!$AN$2:$AN$22,0)),IF(COUNTIF(Lists!$AF$2:$AF$8,$AJ201),$AJ201,IF(ISNUMBER(SEARCH("head of ",$D201)),"Head of Technology",IF(ISNUMBER(SEARCH("TDD BP",$D201)),"Business Partner",IF(OR(ISNUMBER(SEARCH("domain architect",$D201)),ISNUMBER(SEARCH("enterprise architect",$D201))),"Domain Architect",IF(ISNUMBER(SEARCH("delivery man",$D201)),"Delivery Manager",IF(OR(ISNUMBER(SEARCH("technology manager",$D201)),ISNUMBER(SEARCH("technology manger",$D201)),ISNUMBER(SEARCH("tech manager",$D201))),"Technology Manager","Squad"))))))))</f>
        <v>Squad</v>
      </c>
      <c r="AL201" s="534" t="str">
        <f>IF(TRIM($B201)="","",IF(AND($AM201=1,LEFT($AJ201,4)&lt;&gt;"EGI ",$AJ201&lt;&gt;"EGI"),IFERROR(INDEX(Lists!$Z$2:$Z$20,MATCH($AH201,Lists!$Y$2:$Y$20,0)),"EGI "&amp;$AH201),IF(COUNTIF(Lists!$AU$2:$AU$10,$AJ201),$AJ201,IF(OR(LEFT($AH201,3)="COE",$AH201="EGI"),$AJ201,IF($AK201&lt;&gt;"Squad",$AK201,$AJ201)))))</f>
        <v>DevOps &amp; QE</v>
      </c>
      <c r="AM201" s="534" t="b">
        <f>IF(TRIM($B201)="","",--(UPPER(TRIM($K201))="EGI"))</f>
        <v>0</v>
      </c>
      <c r="AQ201" s="841" t="inlineStr">
        <is>
          <t>R0200</t>
        </is>
      </c>
      <c r="AZ201" s="841" t="n"/>
    </row>
    <row r="202" ht="18" customHeight="1" s="535">
      <c r="A202" s="842" t="n">
        <v>117818</v>
      </c>
      <c r="B202" s="843" t="inlineStr">
        <is>
          <t>Shobhit Mittal</t>
        </is>
      </c>
      <c r="C202" s="842" t="n">
        <v>117818</v>
      </c>
      <c r="D202" s="843" t="inlineStr">
        <is>
          <t>Lead Engineer - Automation Test</t>
        </is>
      </c>
      <c r="E202" s="843" t="inlineStr">
        <is>
          <t>Scott McKenzie</t>
        </is>
      </c>
      <c r="F202" s="843" t="inlineStr">
        <is>
          <t>Technology Manager – DevOps and Quality Engineering</t>
        </is>
      </c>
      <c r="G202" s="844" t="inlineStr">
        <is>
          <t>TDD Group Functions</t>
        </is>
      </c>
      <c r="H202" s="843" t="inlineStr">
        <is>
          <t>TDD &amp; Engineering</t>
        </is>
      </c>
      <c r="I202" s="843" t="inlineStr">
        <is>
          <t>Dev Ops  &amp; QE</t>
        </is>
      </c>
      <c r="J202" s="843" t="inlineStr">
        <is>
          <t>EGI</t>
        </is>
      </c>
      <c r="K202" s="843" t="inlineStr">
        <is>
          <t>EGI</t>
        </is>
      </c>
      <c r="L202" s="843" t="inlineStr">
        <is>
          <t>EGI TDD</t>
        </is>
      </c>
      <c r="M202" s="843" t="n"/>
      <c r="N202" s="845" t="inlineStr">
        <is>
          <t>NZ</t>
        </is>
      </c>
      <c r="O202" s="846" t="inlineStr">
        <is>
          <t>CIC</t>
        </is>
      </c>
      <c r="P202" s="847" t="n">
        <v>1</v>
      </c>
      <c r="Q202" s="847" t="n"/>
      <c r="R202" s="847" t="inlineStr">
        <is>
          <t>Permanent - Full Time</t>
        </is>
      </c>
      <c r="S202" s="847" t="n"/>
      <c r="T202" s="847" t="n"/>
      <c r="U202" s="848" t="n">
        <v>173600</v>
      </c>
      <c r="V202" s="849" t="n">
        <v>159712</v>
      </c>
      <c r="W202" s="850" t="n">
        <v>0.15</v>
      </c>
      <c r="X202" s="847" t="n"/>
      <c r="Y202" s="850" t="n">
        <v>0.05</v>
      </c>
      <c r="Z202" s="851" t="n">
        <v>2910</v>
      </c>
      <c r="AA202" s="850" t="n">
        <v>0.03</v>
      </c>
      <c r="AB202" s="852" t="n">
        <v>199355.76</v>
      </c>
      <c r="AE202" s="534">
        <f>IF(TRIM($B202)="","",IF(AND(N($P202)&gt;0,N($P202)&lt;1),N($AB202)*N($P202),N($AB202)))</f>
        <v>199355.76</v>
      </c>
      <c r="AF202" s="534" t="str">
        <f>IF(TRIM($B202)="","",IF(OR(ISNUMBER(SEARCH("vacant",$B202)),ISNUMBER(SEARCH("ring fenced",$B202)),LOWER(TRIM($B202))="remove"),"Vacant","Filled"))</f>
        <v>Filled</v>
      </c>
      <c r="AG202" s="534" t="b">
        <f>IF(TRIM($B202)="","",--ISNUMBER(SEARCH("ring fenced",$B202)))</f>
        <v>0</v>
      </c>
      <c r="AH202" s="534" t="str">
        <f>IF(TRIM($B202)="","",IF(COUNTIFS(Lists!$AN$2:$AN$22,TRIM($B202)&amp;" | "&amp;TRIM($D202),Lists!$AO$2:$AO$22,"&lt;&gt;"),INDEX(Lists!$AO$2:$AO$22,MATCH(TRIM($B202)&amp;" | "&amp;TRIM($D202),Lists!$AN$2:$AN$22,0)),IF(COUNTIF(Lists!$AR$2:$AR$3,$AJ202),"TDD Cyber",IF(AND(LEFT($AJ202,4)="EGI ",ISNUMBER(MATCH(TRIM(MID($AJ202,5,99)),Lists!$AS$2:$AS$12,0))),TRIM(MID($AJ202,5,99)),IF(AND(LEFT($AJ202,4)="EGI ",ISNUMBER(MATCH(TRIM(MID($AJ202,5,99)),Lists!$T$2:$T$21,0))),INDEX(Lists!$U$2:$U$21,MATCH(TRIM(MID($AJ202,5,99)),Lists!$T$2:$T$21,0)),IF(OR(TRIM($J202)="",UPPER(TRIM($J202))="NA"),IFERROR(INDEX(Lists!$R$2:$R$9,MATCH(TRIM($G202),Lists!$Q$2:$Q$9,0)),"UNMAPPED"),IFERROR(INDEX(Lists!$U$2:$U$21,MATCH(TRIM($J202),Lists!$T$2:$T$21,0)),IFERROR(INDEX(Lists!$R$2:$R$9,MATCH(TRIM($G202),Lists!$Q$2:$Q$9,0)),"UNMAPPED"))))))))</f>
        <v>TDD Group Functions</v>
      </c>
      <c r="AI202" s="534" t="b">
        <f>IF(TRIM($B202)="","",--OR(TRIM($L202)="Leadership",TRIM($K202)="Leadership"))</f>
        <v>0</v>
      </c>
      <c r="AJ202" s="534" t="str">
        <f>IF(TRIM($B202)="","",IF(COUNTIFS(Lists!$AN$2:$AN$22,TRIM($B202)&amp;" | "&amp;TRIM($D202),Lists!$AP$2:$AP$22,"&lt;&gt;"),INDEX(Lists!$AP$2:$AP$22,MATCH(TRIM($B202)&amp;" | "&amp;TRIM($D202),Lists!$AN$2:$AN$22,0)),IF($AI202=1,"Leadership",IFERROR(INDEX(Lists!$X$2:$X$21,MATCH(TRIM($L202),Lists!$W$2:$W$21,0)),IF(OR(TRIM($L202)="",LOWER(TRIM($L202))="na"),IF(TRIM($H202)="","Unassigned",TRIM($H202)),TRIM($L202))))))</f>
        <v>EGI TDD</v>
      </c>
      <c r="AK202" s="534" t="str">
        <f>IF(TRIM($B202)="","",IF(COUNTIFS(Lists!$AN$2:$AN$22,TRIM($B202)&amp;" | "&amp;TRIM($D202),Lists!$AQ$2:$AQ$22,"&lt;&gt;"),INDEX(Lists!$AQ$2:$AQ$22,MATCH(TRIM($B202)&amp;" | "&amp;TRIM($D202),Lists!$AN$2:$AN$22,0)),IF(COUNTIF(Lists!$AF$2:$AF$8,$AJ202),$AJ202,IF(ISNUMBER(SEARCH("head of ",$D202)),"Head of Technology",IF(ISNUMBER(SEARCH("TDD BP",$D202)),"Business Partner",IF(OR(ISNUMBER(SEARCH("domain architect",$D202)),ISNUMBER(SEARCH("enterprise architect",$D202))),"Domain Architect",IF(ISNUMBER(SEARCH("delivery man",$D202)),"Delivery Manager",IF(OR(ISNUMBER(SEARCH("technology manager",$D202)),ISNUMBER(SEARCH("technology manger",$D202)),ISNUMBER(SEARCH("tech manager",$D202))),"Technology Manager","Squad"))))))))</f>
        <v>Squad</v>
      </c>
      <c r="AL202" s="534" t="str">
        <f>IF(TRIM($B202)="","",IF(AND($AM202=1,LEFT($AJ202,4)&lt;&gt;"EGI ",$AJ202&lt;&gt;"EGI"),IFERROR(INDEX(Lists!$Z$2:$Z$20,MATCH($AH202,Lists!$Y$2:$Y$20,0)),"EGI "&amp;$AH202),IF(COUNTIF(Lists!$AU$2:$AU$10,$AJ202),$AJ202,IF(OR(LEFT($AH202,3)="COE",$AH202="EGI"),$AJ202,IF($AK202&lt;&gt;"Squad",$AK202,$AJ202)))))</f>
        <v>EGI TDD</v>
      </c>
      <c r="AM202" s="534" t="b">
        <f>IF(TRIM($B202)="","",--(UPPER(TRIM($K202))="EGI"))</f>
        <v>1</v>
      </c>
      <c r="AQ202" s="841" t="inlineStr">
        <is>
          <t>R0201</t>
        </is>
      </c>
      <c r="AZ202" s="841" t="n"/>
    </row>
    <row r="203" ht="18" customHeight="1" s="535">
      <c r="A203" s="842" t="n">
        <v>115802</v>
      </c>
      <c r="B203" s="843" t="inlineStr">
        <is>
          <t>Sunny Arya</t>
        </is>
      </c>
      <c r="C203" s="842" t="n">
        <v>115802</v>
      </c>
      <c r="D203" s="843" t="inlineStr">
        <is>
          <t>Lead Engineer, Devops</t>
        </is>
      </c>
      <c r="E203" s="843" t="inlineStr">
        <is>
          <t>Scott McKenzie</t>
        </is>
      </c>
      <c r="F203" s="843" t="inlineStr">
        <is>
          <t>Technology Manager – DevOps and Quality Engineering</t>
        </is>
      </c>
      <c r="G203" s="844" t="inlineStr">
        <is>
          <t>TDD Group Functions</t>
        </is>
      </c>
      <c r="H203" s="843" t="inlineStr">
        <is>
          <t>TDD &amp; Engineering</t>
        </is>
      </c>
      <c r="I203" s="843" t="inlineStr">
        <is>
          <t>DevOps &amp; QE</t>
        </is>
      </c>
      <c r="J203" s="843" t="inlineStr">
        <is>
          <t>TDD</t>
        </is>
      </c>
      <c r="K203" s="843" t="inlineStr">
        <is>
          <t>TDD</t>
        </is>
      </c>
      <c r="L203" s="843" t="inlineStr">
        <is>
          <t>DevOps &amp; QE</t>
        </is>
      </c>
      <c r="M203" s="843" t="n"/>
      <c r="N203" s="845" t="inlineStr">
        <is>
          <t>NZ</t>
        </is>
      </c>
      <c r="O203" s="846" t="inlineStr">
        <is>
          <t>CIC</t>
        </is>
      </c>
      <c r="P203" s="847" t="n">
        <v>1</v>
      </c>
      <c r="Q203" s="846" t="n"/>
      <c r="R203" s="847" t="inlineStr">
        <is>
          <t>Permanent - Full Time</t>
        </is>
      </c>
      <c r="S203" s="847" t="n"/>
      <c r="T203" s="847" t="n"/>
      <c r="U203" s="848" t="n">
        <v>175000</v>
      </c>
      <c r="V203" s="849" t="n">
        <v>161000</v>
      </c>
      <c r="W203" s="850" t="n">
        <v>0.15</v>
      </c>
      <c r="X203" s="847" t="n"/>
      <c r="Y203" s="850" t="n">
        <v>0.05</v>
      </c>
      <c r="Z203" s="851" t="n">
        <v>2910</v>
      </c>
      <c r="AA203" s="850" t="n">
        <v>0.03</v>
      </c>
      <c r="AB203" s="852" t="n">
        <v>200940</v>
      </c>
      <c r="AE203" s="534">
        <f>IF(TRIM($B203)="","",IF(AND(N($P203)&gt;0,N($P203)&lt;1),N($AB203)*N($P203),N($AB203)))</f>
        <v>200940</v>
      </c>
      <c r="AF203" s="534" t="str">
        <f>IF(TRIM($B203)="","",IF(OR(ISNUMBER(SEARCH("vacant",$B203)),ISNUMBER(SEARCH("ring fenced",$B203)),LOWER(TRIM($B203))="remove"),"Vacant","Filled"))</f>
        <v>Filled</v>
      </c>
      <c r="AG203" s="534" t="b">
        <f>IF(TRIM($B203)="","",--ISNUMBER(SEARCH("ring fenced",$B203)))</f>
        <v>0</v>
      </c>
      <c r="AH203" s="534" t="str">
        <f>IF(TRIM($B203)="","",IF(COUNTIFS(Lists!$AN$2:$AN$22,TRIM($B203)&amp;" | "&amp;TRIM($D203),Lists!$AO$2:$AO$22,"&lt;&gt;"),INDEX(Lists!$AO$2:$AO$22,MATCH(TRIM($B203)&amp;" | "&amp;TRIM($D203),Lists!$AN$2:$AN$22,0)),IF(COUNTIF(Lists!$AR$2:$AR$3,$AJ203),"TDD Cyber",IF(AND(LEFT($AJ203,4)="EGI ",ISNUMBER(MATCH(TRIM(MID($AJ203,5,99)),Lists!$AS$2:$AS$12,0))),TRIM(MID($AJ203,5,99)),IF(AND(LEFT($AJ203,4)="EGI ",ISNUMBER(MATCH(TRIM(MID($AJ203,5,99)),Lists!$T$2:$T$21,0))),INDEX(Lists!$U$2:$U$21,MATCH(TRIM(MID($AJ203,5,99)),Lists!$T$2:$T$21,0)),IF(OR(TRIM($J203)="",UPPER(TRIM($J203))="NA"),IFERROR(INDEX(Lists!$R$2:$R$9,MATCH(TRIM($G203),Lists!$Q$2:$Q$9,0)),"UNMAPPED"),IFERROR(INDEX(Lists!$U$2:$U$21,MATCH(TRIM($J203),Lists!$T$2:$T$21,0)),IFERROR(INDEX(Lists!$R$2:$R$9,MATCH(TRIM($G203),Lists!$Q$2:$Q$9,0)),"UNMAPPED"))))))))</f>
        <v>TDD Group Functions</v>
      </c>
      <c r="AI203" s="534" t="b">
        <f>IF(TRIM($B203)="","",--OR(TRIM($L203)="Leadership",TRIM($K203)="Leadership"))</f>
        <v>0</v>
      </c>
      <c r="AJ203" s="534" t="str">
        <f>IF(TRIM($B203)="","",IF(COUNTIFS(Lists!$AN$2:$AN$22,TRIM($B203)&amp;" | "&amp;TRIM($D203),Lists!$AP$2:$AP$22,"&lt;&gt;"),INDEX(Lists!$AP$2:$AP$22,MATCH(TRIM($B203)&amp;" | "&amp;TRIM($D203),Lists!$AN$2:$AN$22,0)),IF($AI203=1,"Leadership",IFERROR(INDEX(Lists!$X$2:$X$21,MATCH(TRIM($L203),Lists!$W$2:$W$21,0)),IF(OR(TRIM($L203)="",LOWER(TRIM($L203))="na"),IF(TRIM($H203)="","Unassigned",TRIM($H203)),TRIM($L203))))))</f>
        <v>DevOps &amp; QE</v>
      </c>
      <c r="AK203" s="534" t="str">
        <f>IF(TRIM($B203)="","",IF(COUNTIFS(Lists!$AN$2:$AN$22,TRIM($B203)&amp;" | "&amp;TRIM($D203),Lists!$AQ$2:$AQ$22,"&lt;&gt;"),INDEX(Lists!$AQ$2:$AQ$22,MATCH(TRIM($B203)&amp;" | "&amp;TRIM($D203),Lists!$AN$2:$AN$22,0)),IF(COUNTIF(Lists!$AF$2:$AF$8,$AJ203),$AJ203,IF(ISNUMBER(SEARCH("head of ",$D203)),"Head of Technology",IF(ISNUMBER(SEARCH("TDD BP",$D203)),"Business Partner",IF(OR(ISNUMBER(SEARCH("domain architect",$D203)),ISNUMBER(SEARCH("enterprise architect",$D203))),"Domain Architect",IF(ISNUMBER(SEARCH("delivery man",$D203)),"Delivery Manager",IF(OR(ISNUMBER(SEARCH("technology manager",$D203)),ISNUMBER(SEARCH("technology manger",$D203)),ISNUMBER(SEARCH("tech manager",$D203))),"Technology Manager","Squad"))))))))</f>
        <v>Squad</v>
      </c>
      <c r="AL203" s="534" t="str">
        <f>IF(TRIM($B203)="","",IF(AND($AM203=1,LEFT($AJ203,4)&lt;&gt;"EGI ",$AJ203&lt;&gt;"EGI"),IFERROR(INDEX(Lists!$Z$2:$Z$20,MATCH($AH203,Lists!$Y$2:$Y$20,0)),"EGI "&amp;$AH203),IF(COUNTIF(Lists!$AU$2:$AU$10,$AJ203),$AJ203,IF(OR(LEFT($AH203,3)="COE",$AH203="EGI"),$AJ203,IF($AK203&lt;&gt;"Squad",$AK203,$AJ203)))))</f>
        <v>DevOps &amp; QE</v>
      </c>
      <c r="AM203" s="534" t="b">
        <f>IF(TRIM($B203)="","",--(UPPER(TRIM($K203))="EGI"))</f>
        <v>0</v>
      </c>
      <c r="AQ203" s="841" t="inlineStr">
        <is>
          <t>R0202</t>
        </is>
      </c>
      <c r="AZ203" s="841" t="n"/>
    </row>
    <row r="204" ht="18" customHeight="1" s="535">
      <c r="A204" s="842" t="inlineStr">
        <is>
          <t>V</t>
        </is>
      </c>
      <c r="B204" s="843" t="inlineStr">
        <is>
          <t>Vacant</t>
        </is>
      </c>
      <c r="C204" s="842" t="inlineStr">
        <is>
          <t>V</t>
        </is>
      </c>
      <c r="D204" s="843" t="inlineStr">
        <is>
          <t>Lead Engineer (Automation Test)</t>
        </is>
      </c>
      <c r="E204" s="843" t="inlineStr">
        <is>
          <t>Scott McKenzie</t>
        </is>
      </c>
      <c r="F204" s="843" t="inlineStr">
        <is>
          <t>Technology Manager – DevOps and Quality Engineering</t>
        </is>
      </c>
      <c r="G204" s="844" t="inlineStr">
        <is>
          <t>TDD Group Functions</t>
        </is>
      </c>
      <c r="H204" s="843" t="inlineStr">
        <is>
          <t>TDD &amp; Engineering</t>
        </is>
      </c>
      <c r="I204" s="843" t="inlineStr">
        <is>
          <t>DevOps &amp; QE</t>
        </is>
      </c>
      <c r="J204" s="843" t="inlineStr">
        <is>
          <t>TDD</t>
        </is>
      </c>
      <c r="K204" s="843" t="inlineStr">
        <is>
          <t>TDD</t>
        </is>
      </c>
      <c r="L204" s="843" t="inlineStr">
        <is>
          <t>DevOps &amp; QE</t>
        </is>
      </c>
      <c r="M204" s="843" t="n"/>
      <c r="N204" s="845" t="inlineStr">
        <is>
          <t>Australia</t>
        </is>
      </c>
      <c r="O204" s="846" t="inlineStr">
        <is>
          <t>CIC</t>
        </is>
      </c>
      <c r="P204" s="847" t="n">
        <v>1</v>
      </c>
      <c r="Q204" s="846" t="n"/>
      <c r="R204" s="847" t="inlineStr">
        <is>
          <t>v</t>
        </is>
      </c>
      <c r="S204" s="847" t="n"/>
      <c r="T204" s="847" t="n"/>
      <c r="U204" s="848" t="n">
        <v>173550</v>
      </c>
      <c r="V204" s="849" t="n">
        <v>173550</v>
      </c>
      <c r="W204" s="850" t="n">
        <v>0.12</v>
      </c>
      <c r="X204" s="847" t="n">
        <v>0.055</v>
      </c>
      <c r="Y204" s="850" t="n">
        <v>0.12</v>
      </c>
      <c r="Z204" s="851" t="n"/>
      <c r="AA204" s="850" t="n">
        <v>0.04</v>
      </c>
      <c r="AB204" s="852" t="n">
        <v>231689.25</v>
      </c>
      <c r="AE204" s="534">
        <f>IF(TRIM($B204)="","",IF(AND(N($P204)&gt;0,N($P204)&lt;1),N($AB204)*N($P204),N($AB204)))</f>
        <v>231689.25</v>
      </c>
      <c r="AF204" s="534" t="str">
        <f>IF(TRIM($B204)="","",IF(OR(ISNUMBER(SEARCH("vacant",$B204)),ISNUMBER(SEARCH("ring fenced",$B204)),LOWER(TRIM($B204))="remove"),"Vacant","Filled"))</f>
        <v>Vacant</v>
      </c>
      <c r="AG204" s="534" t="b">
        <f>IF(TRIM($B204)="","",--ISNUMBER(SEARCH("ring fenced",$B204)))</f>
        <v>0</v>
      </c>
      <c r="AH204" s="534" t="str">
        <f>IF(TRIM($B204)="","",IF(COUNTIFS(Lists!$AN$2:$AN$22,TRIM($B204)&amp;" | "&amp;TRIM($D204),Lists!$AO$2:$AO$22,"&lt;&gt;"),INDEX(Lists!$AO$2:$AO$22,MATCH(TRIM($B204)&amp;" | "&amp;TRIM($D204),Lists!$AN$2:$AN$22,0)),IF(COUNTIF(Lists!$AR$2:$AR$3,$AJ204),"TDD Cyber",IF(AND(LEFT($AJ204,4)="EGI ",ISNUMBER(MATCH(TRIM(MID($AJ204,5,99)),Lists!$AS$2:$AS$12,0))),TRIM(MID($AJ204,5,99)),IF(AND(LEFT($AJ204,4)="EGI ",ISNUMBER(MATCH(TRIM(MID($AJ204,5,99)),Lists!$T$2:$T$21,0))),INDEX(Lists!$U$2:$U$21,MATCH(TRIM(MID($AJ204,5,99)),Lists!$T$2:$T$21,0)),IF(OR(TRIM($J204)="",UPPER(TRIM($J204))="NA"),IFERROR(INDEX(Lists!$R$2:$R$9,MATCH(TRIM($G204),Lists!$Q$2:$Q$9,0)),"UNMAPPED"),IFERROR(INDEX(Lists!$U$2:$U$21,MATCH(TRIM($J204),Lists!$T$2:$T$21,0)),IFERROR(INDEX(Lists!$R$2:$R$9,MATCH(TRIM($G204),Lists!$Q$2:$Q$9,0)),"UNMAPPED"))))))))</f>
        <v>TDD Group Functions</v>
      </c>
      <c r="AI204" s="534" t="b">
        <f>IF(TRIM($B204)="","",--OR(TRIM($L204)="Leadership",TRIM($K204)="Leadership"))</f>
        <v>0</v>
      </c>
      <c r="AJ204" s="534" t="str">
        <f>IF(TRIM($B204)="","",IF(COUNTIFS(Lists!$AN$2:$AN$22,TRIM($B204)&amp;" | "&amp;TRIM($D204),Lists!$AP$2:$AP$22,"&lt;&gt;"),INDEX(Lists!$AP$2:$AP$22,MATCH(TRIM($B204)&amp;" | "&amp;TRIM($D204),Lists!$AN$2:$AN$22,0)),IF($AI204=1,"Leadership",IFERROR(INDEX(Lists!$X$2:$X$21,MATCH(TRIM($L204),Lists!$W$2:$W$21,0)),IF(OR(TRIM($L204)="",LOWER(TRIM($L204))="na"),IF(TRIM($H204)="","Unassigned",TRIM($H204)),TRIM($L204))))))</f>
        <v>DevOps &amp; QE</v>
      </c>
      <c r="AK204" s="534" t="str">
        <f>IF(TRIM($B204)="","",IF(COUNTIFS(Lists!$AN$2:$AN$22,TRIM($B204)&amp;" | "&amp;TRIM($D204),Lists!$AQ$2:$AQ$22,"&lt;&gt;"),INDEX(Lists!$AQ$2:$AQ$22,MATCH(TRIM($B204)&amp;" | "&amp;TRIM($D204),Lists!$AN$2:$AN$22,0)),IF(COUNTIF(Lists!$AF$2:$AF$8,$AJ204),$AJ204,IF(ISNUMBER(SEARCH("head of ",$D204)),"Head of Technology",IF(ISNUMBER(SEARCH("TDD BP",$D204)),"Business Partner",IF(OR(ISNUMBER(SEARCH("domain architect",$D204)),ISNUMBER(SEARCH("enterprise architect",$D204))),"Domain Architect",IF(ISNUMBER(SEARCH("delivery man",$D204)),"Delivery Manager",IF(OR(ISNUMBER(SEARCH("technology manager",$D204)),ISNUMBER(SEARCH("technology manger",$D204)),ISNUMBER(SEARCH("tech manager",$D204))),"Technology Manager","Squad"))))))))</f>
        <v>Squad</v>
      </c>
      <c r="AL204" s="534" t="str">
        <f>IF(TRIM($B204)="","",IF(AND($AM204=1,LEFT($AJ204,4)&lt;&gt;"EGI ",$AJ204&lt;&gt;"EGI"),IFERROR(INDEX(Lists!$Z$2:$Z$20,MATCH($AH204,Lists!$Y$2:$Y$20,0)),"EGI "&amp;$AH204),IF(COUNTIF(Lists!$AU$2:$AU$10,$AJ204),$AJ204,IF(OR(LEFT($AH204,3)="COE",$AH204="EGI"),$AJ204,IF($AK204&lt;&gt;"Squad",$AK204,$AJ204)))))</f>
        <v>DevOps &amp; QE</v>
      </c>
      <c r="AM204" s="534" t="b">
        <f>IF(TRIM($B204)="","",--(UPPER(TRIM($K204))="EGI"))</f>
        <v>0</v>
      </c>
      <c r="AQ204" s="841" t="inlineStr">
        <is>
          <t>R0203</t>
        </is>
      </c>
      <c r="AZ204" s="841" t="n"/>
    </row>
    <row r="205" ht="18" customHeight="1" s="535">
      <c r="A205" s="842" t="n">
        <v>14148</v>
      </c>
      <c r="B205" s="843" t="inlineStr">
        <is>
          <t>Ee Lynn Yap</t>
        </is>
      </c>
      <c r="C205" s="842" t="n">
        <v>14148</v>
      </c>
      <c r="D205" s="843" t="inlineStr">
        <is>
          <t>SAP ERP Application Lead</t>
        </is>
      </c>
      <c r="E205" s="843" t="inlineStr">
        <is>
          <t>Shane Ker</t>
        </is>
      </c>
      <c r="F205" s="843" t="inlineStr">
        <is>
          <t>Technology Manager Finance Platforms</t>
        </is>
      </c>
      <c r="G205" s="844" t="inlineStr">
        <is>
          <t>TDD Group Functions</t>
        </is>
      </c>
      <c r="H205" s="843" t="inlineStr">
        <is>
          <t>P&amp;C, Finance &amp; Legal</t>
        </is>
      </c>
      <c r="I205" s="843" t="inlineStr">
        <is>
          <t>Tech, Finance Platforms</t>
        </is>
      </c>
      <c r="J205" s="843" t="inlineStr">
        <is>
          <t>EGI</t>
        </is>
      </c>
      <c r="K205" s="843" t="inlineStr">
        <is>
          <t>EGI</t>
        </is>
      </c>
      <c r="L205" s="843" t="inlineStr">
        <is>
          <t>EGI Finance</t>
        </is>
      </c>
      <c r="M205" s="843" t="n"/>
      <c r="N205" s="845" t="inlineStr">
        <is>
          <t>Australia</t>
        </is>
      </c>
      <c r="O205" s="846" t="inlineStr">
        <is>
          <t>CIC</t>
        </is>
      </c>
      <c r="P205" s="847" t="n">
        <v>1</v>
      </c>
      <c r="Q205" s="847" t="n"/>
      <c r="R205" s="847" t="inlineStr">
        <is>
          <t>Permanent - Full Time</t>
        </is>
      </c>
      <c r="S205" s="847" t="n"/>
      <c r="T205" s="847" t="n"/>
      <c r="U205" s="848" t="n">
        <v>181070</v>
      </c>
      <c r="V205" s="849" t="n">
        <v>181070</v>
      </c>
      <c r="W205" s="850" t="n">
        <v>0.12</v>
      </c>
      <c r="X205" s="847" t="n">
        <v>0.055</v>
      </c>
      <c r="Y205" s="850" t="n">
        <v>0.12</v>
      </c>
      <c r="Z205" s="851" t="n"/>
      <c r="AA205" s="850" t="n">
        <v>0.04</v>
      </c>
      <c r="AB205" s="852" t="n">
        <v>241728.45</v>
      </c>
      <c r="AE205" s="534">
        <f>IF(TRIM($B205)="","",IF(AND(N($P205)&gt;0,N($P205)&lt;1),N($AB205)*N($P205),N($AB205)))</f>
        <v>241728.45</v>
      </c>
      <c r="AF205" s="534" t="str">
        <f>IF(TRIM($B205)="","",IF(OR(ISNUMBER(SEARCH("vacant",$B205)),ISNUMBER(SEARCH("ring fenced",$B205)),LOWER(TRIM($B205))="remove"),"Vacant","Filled"))</f>
        <v>Filled</v>
      </c>
      <c r="AG205" s="534" t="b">
        <f>IF(TRIM($B205)="","",--ISNUMBER(SEARCH("ring fenced",$B205)))</f>
        <v>0</v>
      </c>
      <c r="AH205" s="534" t="str">
        <f>IF(TRIM($B205)="","",IF(COUNTIFS(Lists!$AN$2:$AN$22,TRIM($B205)&amp;" | "&amp;TRIM($D205),Lists!$AO$2:$AO$22,"&lt;&gt;"),INDEX(Lists!$AO$2:$AO$22,MATCH(TRIM($B205)&amp;" | "&amp;TRIM($D205),Lists!$AN$2:$AN$22,0)),IF(COUNTIF(Lists!$AR$2:$AR$3,$AJ205),"TDD Cyber",IF(AND(LEFT($AJ205,4)="EGI ",ISNUMBER(MATCH(TRIM(MID($AJ205,5,99)),Lists!$AS$2:$AS$12,0))),TRIM(MID($AJ205,5,99)),IF(AND(LEFT($AJ205,4)="EGI ",ISNUMBER(MATCH(TRIM(MID($AJ205,5,99)),Lists!$T$2:$T$21,0))),INDEX(Lists!$U$2:$U$21,MATCH(TRIM(MID($AJ205,5,99)),Lists!$T$2:$T$21,0)),IF(OR(TRIM($J205)="",UPPER(TRIM($J205))="NA"),IFERROR(INDEX(Lists!$R$2:$R$9,MATCH(TRIM($G205),Lists!$Q$2:$Q$9,0)),"UNMAPPED"),IFERROR(INDEX(Lists!$U$2:$U$21,MATCH(TRIM($J205),Lists!$T$2:$T$21,0)),IFERROR(INDEX(Lists!$R$2:$R$9,MATCH(TRIM($G205),Lists!$Q$2:$Q$9,0)),"UNMAPPED"))))))))</f>
        <v>Finance</v>
      </c>
      <c r="AI205" s="534" t="b">
        <f>IF(TRIM($B205)="","",--OR(TRIM($L205)="Leadership",TRIM($K205)="Leadership"))</f>
        <v>0</v>
      </c>
      <c r="AJ205" s="534" t="str">
        <f>IF(TRIM($B205)="","",IF(COUNTIFS(Lists!$AN$2:$AN$22,TRIM($B205)&amp;" | "&amp;TRIM($D205),Lists!$AP$2:$AP$22,"&lt;&gt;"),INDEX(Lists!$AP$2:$AP$22,MATCH(TRIM($B205)&amp;" | "&amp;TRIM($D205),Lists!$AN$2:$AN$22,0)),IF($AI205=1,"Leadership",IFERROR(INDEX(Lists!$X$2:$X$21,MATCH(TRIM($L205),Lists!$W$2:$W$21,0)),IF(OR(TRIM($L205)="",LOWER(TRIM($L205))="na"),IF(TRIM($H205)="","Unassigned",TRIM($H205)),TRIM($L205))))))</f>
        <v>EGI Finance</v>
      </c>
      <c r="AK205" s="534" t="str">
        <f>IF(TRIM($B205)="","",IF(COUNTIFS(Lists!$AN$2:$AN$22,TRIM($B205)&amp;" | "&amp;TRIM($D205),Lists!$AQ$2:$AQ$22,"&lt;&gt;"),INDEX(Lists!$AQ$2:$AQ$22,MATCH(TRIM($B205)&amp;" | "&amp;TRIM($D205),Lists!$AN$2:$AN$22,0)),IF(COUNTIF(Lists!$AF$2:$AF$8,$AJ205),$AJ205,IF(ISNUMBER(SEARCH("head of ",$D205)),"Head of Technology",IF(ISNUMBER(SEARCH("TDD BP",$D205)),"Business Partner",IF(OR(ISNUMBER(SEARCH("domain architect",$D205)),ISNUMBER(SEARCH("enterprise architect",$D205))),"Domain Architect",IF(ISNUMBER(SEARCH("delivery man",$D205)),"Delivery Manager",IF(OR(ISNUMBER(SEARCH("technology manager",$D205)),ISNUMBER(SEARCH("technology manger",$D205)),ISNUMBER(SEARCH("tech manager",$D205))),"Technology Manager","Squad"))))))))</f>
        <v>Squad</v>
      </c>
      <c r="AL205" s="534" t="str">
        <f>IF(TRIM($B205)="","",IF(AND($AM205=1,LEFT($AJ205,4)&lt;&gt;"EGI ",$AJ205&lt;&gt;"EGI"),IFERROR(INDEX(Lists!$Z$2:$Z$20,MATCH($AH205,Lists!$Y$2:$Y$20,0)),"EGI "&amp;$AH205),IF(COUNTIF(Lists!$AU$2:$AU$10,$AJ205),$AJ205,IF(OR(LEFT($AH205,3)="COE",$AH205="EGI"),$AJ205,IF($AK205&lt;&gt;"Squad",$AK205,$AJ205)))))</f>
        <v>EGI Finance</v>
      </c>
      <c r="AM205" s="534" t="b">
        <f>IF(TRIM($B205)="","",--(UPPER(TRIM($K205))="EGI"))</f>
        <v>1</v>
      </c>
      <c r="AQ205" s="841" t="inlineStr">
        <is>
          <t>R0204</t>
        </is>
      </c>
      <c r="AZ205" s="841" t="n"/>
    </row>
    <row r="206" ht="18" customHeight="1" s="535">
      <c r="A206" s="842" t="n">
        <v>11241</v>
      </c>
      <c r="B206" s="843" t="inlineStr">
        <is>
          <t>Julma Bhagwani</t>
        </is>
      </c>
      <c r="C206" s="842" t="n">
        <v>11241</v>
      </c>
      <c r="D206" s="843" t="inlineStr">
        <is>
          <t>SAP ERP Application Lead</t>
        </is>
      </c>
      <c r="E206" s="843" t="inlineStr">
        <is>
          <t>Shane Ker</t>
        </is>
      </c>
      <c r="F206" s="843" t="inlineStr">
        <is>
          <t>Technology Manager Finance Platforms</t>
        </is>
      </c>
      <c r="G206" s="844" t="inlineStr">
        <is>
          <t>TDD Group Functions</t>
        </is>
      </c>
      <c r="H206" s="843" t="inlineStr">
        <is>
          <t>P&amp;C, Finance &amp; Legal</t>
        </is>
      </c>
      <c r="I206" s="843" t="inlineStr">
        <is>
          <t>Tech, Finance Platforms</t>
        </is>
      </c>
      <c r="J206" s="843" t="inlineStr">
        <is>
          <t>Finance</t>
        </is>
      </c>
      <c r="K206" s="843" t="inlineStr">
        <is>
          <t>AU Finance</t>
        </is>
      </c>
      <c r="L206" s="843" t="inlineStr">
        <is>
          <t>SAP ERP</t>
        </is>
      </c>
      <c r="M206" s="843" t="n"/>
      <c r="N206" s="845" t="inlineStr">
        <is>
          <t>Australia</t>
        </is>
      </c>
      <c r="O206" s="846" t="inlineStr">
        <is>
          <t>CIC</t>
        </is>
      </c>
      <c r="P206" s="847" t="n">
        <v>1</v>
      </c>
      <c r="Q206" s="847" t="n"/>
      <c r="R206" s="847" t="inlineStr">
        <is>
          <t>Permanent - Full Time</t>
        </is>
      </c>
      <c r="S206" s="847" t="n"/>
      <c r="T206" s="847" t="n"/>
      <c r="U206" s="848" t="n">
        <v>179700</v>
      </c>
      <c r="V206" s="849" t="n">
        <v>179700</v>
      </c>
      <c r="W206" s="850" t="n">
        <v>0.12</v>
      </c>
      <c r="X206" s="847" t="n">
        <v>0.055</v>
      </c>
      <c r="Y206" s="850" t="n">
        <v>0.12</v>
      </c>
      <c r="Z206" s="851" t="n"/>
      <c r="AA206" s="850" t="n">
        <v>0.04</v>
      </c>
      <c r="AB206" s="852" t="n">
        <v>239899.5</v>
      </c>
      <c r="AE206" s="534">
        <f>IF(TRIM($B206)="","",IF(AND(N($P206)&gt;0,N($P206)&lt;1),N($AB206)*N($P206),N($AB206)))</f>
        <v>239899.5</v>
      </c>
      <c r="AF206" s="534" t="str">
        <f>IF(TRIM($B206)="","",IF(OR(ISNUMBER(SEARCH("vacant",$B206)),ISNUMBER(SEARCH("ring fenced",$B206)),LOWER(TRIM($B206))="remove"),"Vacant","Filled"))</f>
        <v>Filled</v>
      </c>
      <c r="AG206" s="534" t="b">
        <f>IF(TRIM($B206)="","",--ISNUMBER(SEARCH("ring fenced",$B206)))</f>
        <v>0</v>
      </c>
      <c r="AH206" s="534" t="str">
        <f>IF(TRIM($B206)="","",IF(COUNTIFS(Lists!$AN$2:$AN$22,TRIM($B206)&amp;" | "&amp;TRIM($D206),Lists!$AO$2:$AO$22,"&lt;&gt;"),INDEX(Lists!$AO$2:$AO$22,MATCH(TRIM($B206)&amp;" | "&amp;TRIM($D206),Lists!$AN$2:$AN$22,0)),IF(COUNTIF(Lists!$AR$2:$AR$3,$AJ206),"TDD Cyber",IF(AND(LEFT($AJ206,4)="EGI ",ISNUMBER(MATCH(TRIM(MID($AJ206,5,99)),Lists!$AS$2:$AS$12,0))),TRIM(MID($AJ206,5,99)),IF(AND(LEFT($AJ206,4)="EGI ",ISNUMBER(MATCH(TRIM(MID($AJ206,5,99)),Lists!$T$2:$T$21,0))),INDEX(Lists!$U$2:$U$21,MATCH(TRIM(MID($AJ206,5,99)),Lists!$T$2:$T$21,0)),IF(OR(TRIM($J206)="",UPPER(TRIM($J206))="NA"),IFERROR(INDEX(Lists!$R$2:$R$9,MATCH(TRIM($G206),Lists!$Q$2:$Q$9,0)),"UNMAPPED"),IFERROR(INDEX(Lists!$U$2:$U$21,MATCH(TRIM($J206),Lists!$T$2:$T$21,0)),IFERROR(INDEX(Lists!$R$2:$R$9,MATCH(TRIM($G206),Lists!$Q$2:$Q$9,0)),"UNMAPPED"))))))))</f>
        <v>Finance</v>
      </c>
      <c r="AI206" s="534" t="b">
        <f>IF(TRIM($B206)="","",--OR(TRIM($L206)="Leadership",TRIM($K206)="Leadership"))</f>
        <v>0</v>
      </c>
      <c r="AJ206" s="534" t="str">
        <f>IF(TRIM($B206)="","",IF(COUNTIFS(Lists!$AN$2:$AN$22,TRIM($B206)&amp;" | "&amp;TRIM($D206),Lists!$AP$2:$AP$22,"&lt;&gt;"),INDEX(Lists!$AP$2:$AP$22,MATCH(TRIM($B206)&amp;" | "&amp;TRIM($D206),Lists!$AN$2:$AN$22,0)),IF($AI206=1,"Leadership",IFERROR(INDEX(Lists!$X$2:$X$21,MATCH(TRIM($L206),Lists!$W$2:$W$21,0)),IF(OR(TRIM($L206)="",LOWER(TRIM($L206))="na"),IF(TRIM($H206)="","Unassigned",TRIM($H206)),TRIM($L206))))))</f>
        <v>SAP ERP</v>
      </c>
      <c r="AK206" s="534" t="str">
        <f>IF(TRIM($B206)="","",IF(COUNTIFS(Lists!$AN$2:$AN$22,TRIM($B206)&amp;" | "&amp;TRIM($D206),Lists!$AQ$2:$AQ$22,"&lt;&gt;"),INDEX(Lists!$AQ$2:$AQ$22,MATCH(TRIM($B206)&amp;" | "&amp;TRIM($D206),Lists!$AN$2:$AN$22,0)),IF(COUNTIF(Lists!$AF$2:$AF$8,$AJ206),$AJ206,IF(ISNUMBER(SEARCH("head of ",$D206)),"Head of Technology",IF(ISNUMBER(SEARCH("TDD BP",$D206)),"Business Partner",IF(OR(ISNUMBER(SEARCH("domain architect",$D206)),ISNUMBER(SEARCH("enterprise architect",$D206))),"Domain Architect",IF(ISNUMBER(SEARCH("delivery man",$D206)),"Delivery Manager",IF(OR(ISNUMBER(SEARCH("technology manager",$D206)),ISNUMBER(SEARCH("technology manger",$D206)),ISNUMBER(SEARCH("tech manager",$D206))),"Technology Manager","Squad"))))))))</f>
        <v>Squad</v>
      </c>
      <c r="AL206" s="534" t="str">
        <f>IF(TRIM($B206)="","",IF(AND($AM206=1,LEFT($AJ206,4)&lt;&gt;"EGI ",$AJ206&lt;&gt;"EGI"),IFERROR(INDEX(Lists!$Z$2:$Z$20,MATCH($AH206,Lists!$Y$2:$Y$20,0)),"EGI "&amp;$AH206),IF(COUNTIF(Lists!$AU$2:$AU$10,$AJ206),$AJ206,IF(OR(LEFT($AH206,3)="COE",$AH206="EGI"),$AJ206,IF($AK206&lt;&gt;"Squad",$AK206,$AJ206)))))</f>
        <v>SAP ERP</v>
      </c>
      <c r="AM206" s="534" t="b">
        <f>IF(TRIM($B206)="","",--(UPPER(TRIM($K206))="EGI"))</f>
        <v>0</v>
      </c>
      <c r="AQ206" s="841" t="inlineStr">
        <is>
          <t>R0205</t>
        </is>
      </c>
      <c r="AZ206" s="841" t="n"/>
    </row>
    <row r="207" ht="18" customHeight="1" s="535">
      <c r="A207" s="842" t="n">
        <v>113581</v>
      </c>
      <c r="B207" s="843" t="inlineStr">
        <is>
          <t>Lydia Pritchard</t>
        </is>
      </c>
      <c r="C207" s="842" t="n">
        <v>113581</v>
      </c>
      <c r="D207" s="843" t="inlineStr">
        <is>
          <t>Lead JDE Systems Specialist</t>
        </is>
      </c>
      <c r="E207" s="843" t="inlineStr">
        <is>
          <t>Shane Ker</t>
        </is>
      </c>
      <c r="F207" s="843" t="inlineStr">
        <is>
          <t>Technology Manager Finance Platforms</t>
        </is>
      </c>
      <c r="G207" s="844" t="inlineStr">
        <is>
          <t>TDD Group Functions</t>
        </is>
      </c>
      <c r="H207" s="843" t="inlineStr">
        <is>
          <t>P&amp;C, Finance &amp; Legal</t>
        </is>
      </c>
      <c r="I207" s="843" t="inlineStr">
        <is>
          <t>Tech, Finance Platforms</t>
        </is>
      </c>
      <c r="J207" s="843" t="inlineStr">
        <is>
          <t>Finance</t>
        </is>
      </c>
      <c r="K207" s="843" t="inlineStr">
        <is>
          <t>NZ Finance</t>
        </is>
      </c>
      <c r="L207" s="843" t="inlineStr">
        <is>
          <t>NZ Finance</t>
        </is>
      </c>
      <c r="M207" s="843" t="n"/>
      <c r="N207" s="845" t="inlineStr">
        <is>
          <t>NZ</t>
        </is>
      </c>
      <c r="O207" s="846" t="inlineStr">
        <is>
          <t>CIC</t>
        </is>
      </c>
      <c r="P207" s="847" t="n">
        <v>1</v>
      </c>
      <c r="Q207" s="846" t="n"/>
      <c r="R207" s="847" t="inlineStr">
        <is>
          <t>Permanent - Full Time</t>
        </is>
      </c>
      <c r="S207" s="847" t="n"/>
      <c r="T207" s="847" t="n"/>
      <c r="U207" s="848" t="n">
        <v>172490</v>
      </c>
      <c r="V207" s="849" t="n">
        <v>158690.8</v>
      </c>
      <c r="W207" s="850" t="n">
        <v>0.15</v>
      </c>
      <c r="X207" s="847" t="n"/>
      <c r="Y207" s="850" t="n">
        <v>0.05</v>
      </c>
      <c r="Z207" s="851" t="n">
        <v>2910</v>
      </c>
      <c r="AA207" s="850" t="n">
        <v>0.03</v>
      </c>
      <c r="AB207" s="852" t="n">
        <v>198099.684</v>
      </c>
      <c r="AE207" s="534">
        <f>IF(TRIM($B207)="","",IF(AND(N($P207)&gt;0,N($P207)&lt;1),N($AB207)*N($P207),N($AB207)))</f>
        <v>198099.684</v>
      </c>
      <c r="AF207" s="534" t="str">
        <f>IF(TRIM($B207)="","",IF(OR(ISNUMBER(SEARCH("vacant",$B207)),ISNUMBER(SEARCH("ring fenced",$B207)),LOWER(TRIM($B207))="remove"),"Vacant","Filled"))</f>
        <v>Filled</v>
      </c>
      <c r="AG207" s="534" t="b">
        <f>IF(TRIM($B207)="","",--ISNUMBER(SEARCH("ring fenced",$B207)))</f>
        <v>0</v>
      </c>
      <c r="AH207" s="534" t="str">
        <f>IF(TRIM($B207)="","",IF(COUNTIFS(Lists!$AN$2:$AN$22,TRIM($B207)&amp;" | "&amp;TRIM($D207),Lists!$AO$2:$AO$22,"&lt;&gt;"),INDEX(Lists!$AO$2:$AO$22,MATCH(TRIM($B207)&amp;" | "&amp;TRIM($D207),Lists!$AN$2:$AN$22,0)),IF(COUNTIF(Lists!$AR$2:$AR$3,$AJ207),"TDD Cyber",IF(AND(LEFT($AJ207,4)="EGI ",ISNUMBER(MATCH(TRIM(MID($AJ207,5,99)),Lists!$AS$2:$AS$12,0))),TRIM(MID($AJ207,5,99)),IF(AND(LEFT($AJ207,4)="EGI ",ISNUMBER(MATCH(TRIM(MID($AJ207,5,99)),Lists!$T$2:$T$21,0))),INDEX(Lists!$U$2:$U$21,MATCH(TRIM(MID($AJ207,5,99)),Lists!$T$2:$T$21,0)),IF(OR(TRIM($J207)="",UPPER(TRIM($J207))="NA"),IFERROR(INDEX(Lists!$R$2:$R$9,MATCH(TRIM($G207),Lists!$Q$2:$Q$9,0)),"UNMAPPED"),IFERROR(INDEX(Lists!$U$2:$U$21,MATCH(TRIM($J207),Lists!$T$2:$T$21,0)),IFERROR(INDEX(Lists!$R$2:$R$9,MATCH(TRIM($G207),Lists!$Q$2:$Q$9,0)),"UNMAPPED"))))))))</f>
        <v>Finance</v>
      </c>
      <c r="AI207" s="534" t="b">
        <f>IF(TRIM($B207)="","",--OR(TRIM($L207)="Leadership",TRIM($K207)="Leadership"))</f>
        <v>0</v>
      </c>
      <c r="AJ207" s="534" t="str">
        <f>IF(TRIM($B207)="","",IF(COUNTIFS(Lists!$AN$2:$AN$22,TRIM($B207)&amp;" | "&amp;TRIM($D207),Lists!$AP$2:$AP$22,"&lt;&gt;"),INDEX(Lists!$AP$2:$AP$22,MATCH(TRIM($B207)&amp;" | "&amp;TRIM($D207),Lists!$AN$2:$AN$22,0)),IF($AI207=1,"Leadership",IFERROR(INDEX(Lists!$X$2:$X$21,MATCH(TRIM($L207),Lists!$W$2:$W$21,0)),IF(OR(TRIM($L207)="",LOWER(TRIM($L207))="na"),IF(TRIM($H207)="","Unassigned",TRIM($H207)),TRIM($L207))))))</f>
        <v>NZ Finance</v>
      </c>
      <c r="AK207" s="534" t="str">
        <f>IF(TRIM($B207)="","",IF(COUNTIFS(Lists!$AN$2:$AN$22,TRIM($B207)&amp;" | "&amp;TRIM($D207),Lists!$AQ$2:$AQ$22,"&lt;&gt;"),INDEX(Lists!$AQ$2:$AQ$22,MATCH(TRIM($B207)&amp;" | "&amp;TRIM($D207),Lists!$AN$2:$AN$22,0)),IF(COUNTIF(Lists!$AF$2:$AF$8,$AJ207),$AJ207,IF(ISNUMBER(SEARCH("head of ",$D207)),"Head of Technology",IF(ISNUMBER(SEARCH("TDD BP",$D207)),"Business Partner",IF(OR(ISNUMBER(SEARCH("domain architect",$D207)),ISNUMBER(SEARCH("enterprise architect",$D207))),"Domain Architect",IF(ISNUMBER(SEARCH("delivery man",$D207)),"Delivery Manager",IF(OR(ISNUMBER(SEARCH("technology manager",$D207)),ISNUMBER(SEARCH("technology manger",$D207)),ISNUMBER(SEARCH("tech manager",$D207))),"Technology Manager","Squad"))))))))</f>
        <v>Squad</v>
      </c>
      <c r="AL207" s="534" t="str">
        <f>IF(TRIM($B207)="","",IF(AND($AM207=1,LEFT($AJ207,4)&lt;&gt;"EGI ",$AJ207&lt;&gt;"EGI"),IFERROR(INDEX(Lists!$Z$2:$Z$20,MATCH($AH207,Lists!$Y$2:$Y$20,0)),"EGI "&amp;$AH207),IF(COUNTIF(Lists!$AU$2:$AU$10,$AJ207),$AJ207,IF(OR(LEFT($AH207,3)="COE",$AH207="EGI"),$AJ207,IF($AK207&lt;&gt;"Squad",$AK207,$AJ207)))))</f>
        <v>NZ Finance</v>
      </c>
      <c r="AM207" s="534" t="b">
        <f>IF(TRIM($B207)="","",--(UPPER(TRIM($K207))="EGI"))</f>
        <v>0</v>
      </c>
      <c r="AQ207" s="841" t="inlineStr">
        <is>
          <t>R0206</t>
        </is>
      </c>
      <c r="AZ207" s="841" t="n"/>
    </row>
    <row r="208" ht="18" customHeight="1" s="535">
      <c r="A208" s="842" t="n">
        <v>4251</v>
      </c>
      <c r="B208" s="843" t="inlineStr">
        <is>
          <t>Maudud Chaudhury</t>
        </is>
      </c>
      <c r="C208" s="842" t="n">
        <v>4251</v>
      </c>
      <c r="D208" s="843" t="inlineStr">
        <is>
          <t>SAP ERP Application Lead</t>
        </is>
      </c>
      <c r="E208" s="843" t="inlineStr">
        <is>
          <t>Shane Ker</t>
        </is>
      </c>
      <c r="F208" s="843" t="inlineStr">
        <is>
          <t>Technology Manager Finance Platforms</t>
        </is>
      </c>
      <c r="G208" s="844" t="inlineStr">
        <is>
          <t>TDD Group Functions</t>
        </is>
      </c>
      <c r="H208" s="843" t="inlineStr">
        <is>
          <t>P&amp;C, Finance &amp; Legal</t>
        </is>
      </c>
      <c r="I208" s="843" t="inlineStr">
        <is>
          <t>Tech, Finance Platforms</t>
        </is>
      </c>
      <c r="J208" s="843" t="inlineStr">
        <is>
          <t>Finance</t>
        </is>
      </c>
      <c r="K208" s="843" t="inlineStr">
        <is>
          <t>AU Finance</t>
        </is>
      </c>
      <c r="L208" s="843" t="inlineStr">
        <is>
          <t>SAP ERP</t>
        </is>
      </c>
      <c r="M208" s="843" t="n"/>
      <c r="N208" s="845" t="inlineStr">
        <is>
          <t>Australia</t>
        </is>
      </c>
      <c r="O208" s="846" t="inlineStr">
        <is>
          <t>CIC</t>
        </is>
      </c>
      <c r="P208" s="847" t="n">
        <v>1</v>
      </c>
      <c r="Q208" s="846" t="n"/>
      <c r="R208" s="847" t="inlineStr">
        <is>
          <t>Permanent - Full Time</t>
        </is>
      </c>
      <c r="S208" s="847" t="n"/>
      <c r="T208" s="847" t="n"/>
      <c r="U208" s="848" t="n">
        <v>160370</v>
      </c>
      <c r="V208" s="849" t="n">
        <v>160370</v>
      </c>
      <c r="W208" s="850" t="n">
        <v>0.12</v>
      </c>
      <c r="X208" s="847" t="n">
        <v>0.055</v>
      </c>
      <c r="Y208" s="850" t="n">
        <v>0.12</v>
      </c>
      <c r="Z208" s="851" t="n"/>
      <c r="AA208" s="850" t="n">
        <v>0.04</v>
      </c>
      <c r="AB208" s="852" t="n">
        <v>214093.95</v>
      </c>
      <c r="AE208" s="534">
        <f>IF(TRIM($B208)="","",IF(AND(N($P208)&gt;0,N($P208)&lt;1),N($AB208)*N($P208),N($AB208)))</f>
        <v>214093.95</v>
      </c>
      <c r="AF208" s="534" t="str">
        <f>IF(TRIM($B208)="","",IF(OR(ISNUMBER(SEARCH("vacant",$B208)),ISNUMBER(SEARCH("ring fenced",$B208)),LOWER(TRIM($B208))="remove"),"Vacant","Filled"))</f>
        <v>Filled</v>
      </c>
      <c r="AG208" s="534" t="b">
        <f>IF(TRIM($B208)="","",--ISNUMBER(SEARCH("ring fenced",$B208)))</f>
        <v>0</v>
      </c>
      <c r="AH208" s="534" t="str">
        <f>IF(TRIM($B208)="","",IF(COUNTIFS(Lists!$AN$2:$AN$22,TRIM($B208)&amp;" | "&amp;TRIM($D208),Lists!$AO$2:$AO$22,"&lt;&gt;"),INDEX(Lists!$AO$2:$AO$22,MATCH(TRIM($B208)&amp;" | "&amp;TRIM($D208),Lists!$AN$2:$AN$22,0)),IF(COUNTIF(Lists!$AR$2:$AR$3,$AJ208),"TDD Cyber",IF(AND(LEFT($AJ208,4)="EGI ",ISNUMBER(MATCH(TRIM(MID($AJ208,5,99)),Lists!$AS$2:$AS$12,0))),TRIM(MID($AJ208,5,99)),IF(AND(LEFT($AJ208,4)="EGI ",ISNUMBER(MATCH(TRIM(MID($AJ208,5,99)),Lists!$T$2:$T$21,0))),INDEX(Lists!$U$2:$U$21,MATCH(TRIM(MID($AJ208,5,99)),Lists!$T$2:$T$21,0)),IF(OR(TRIM($J208)="",UPPER(TRIM($J208))="NA"),IFERROR(INDEX(Lists!$R$2:$R$9,MATCH(TRIM($G208),Lists!$Q$2:$Q$9,0)),"UNMAPPED"),IFERROR(INDEX(Lists!$U$2:$U$21,MATCH(TRIM($J208),Lists!$T$2:$T$21,0)),IFERROR(INDEX(Lists!$R$2:$R$9,MATCH(TRIM($G208),Lists!$Q$2:$Q$9,0)),"UNMAPPED"))))))))</f>
        <v>Finance</v>
      </c>
      <c r="AI208" s="534" t="b">
        <f>IF(TRIM($B208)="","",--OR(TRIM($L208)="Leadership",TRIM($K208)="Leadership"))</f>
        <v>0</v>
      </c>
      <c r="AJ208" s="534" t="str">
        <f>IF(TRIM($B208)="","",IF(COUNTIFS(Lists!$AN$2:$AN$22,TRIM($B208)&amp;" | "&amp;TRIM($D208),Lists!$AP$2:$AP$22,"&lt;&gt;"),INDEX(Lists!$AP$2:$AP$22,MATCH(TRIM($B208)&amp;" | "&amp;TRIM($D208),Lists!$AN$2:$AN$22,0)),IF($AI208=1,"Leadership",IFERROR(INDEX(Lists!$X$2:$X$21,MATCH(TRIM($L208),Lists!$W$2:$W$21,0)),IF(OR(TRIM($L208)="",LOWER(TRIM($L208))="na"),IF(TRIM($H208)="","Unassigned",TRIM($H208)),TRIM($L208))))))</f>
        <v>SAP ERP</v>
      </c>
      <c r="AK208" s="534" t="str">
        <f>IF(TRIM($B208)="","",IF(COUNTIFS(Lists!$AN$2:$AN$22,TRIM($B208)&amp;" | "&amp;TRIM($D208),Lists!$AQ$2:$AQ$22,"&lt;&gt;"),INDEX(Lists!$AQ$2:$AQ$22,MATCH(TRIM($B208)&amp;" | "&amp;TRIM($D208),Lists!$AN$2:$AN$22,0)),IF(COUNTIF(Lists!$AF$2:$AF$8,$AJ208),$AJ208,IF(ISNUMBER(SEARCH("head of ",$D208)),"Head of Technology",IF(ISNUMBER(SEARCH("TDD BP",$D208)),"Business Partner",IF(OR(ISNUMBER(SEARCH("domain architect",$D208)),ISNUMBER(SEARCH("enterprise architect",$D208))),"Domain Architect",IF(ISNUMBER(SEARCH("delivery man",$D208)),"Delivery Manager",IF(OR(ISNUMBER(SEARCH("technology manager",$D208)),ISNUMBER(SEARCH("technology manger",$D208)),ISNUMBER(SEARCH("tech manager",$D208))),"Technology Manager","Squad"))))))))</f>
        <v>Squad</v>
      </c>
      <c r="AL208" s="534" t="str">
        <f>IF(TRIM($B208)="","",IF(AND($AM208=1,LEFT($AJ208,4)&lt;&gt;"EGI ",$AJ208&lt;&gt;"EGI"),IFERROR(INDEX(Lists!$Z$2:$Z$20,MATCH($AH208,Lists!$Y$2:$Y$20,0)),"EGI "&amp;$AH208),IF(COUNTIF(Lists!$AU$2:$AU$10,$AJ208),$AJ208,IF(OR(LEFT($AH208,3)="COE",$AH208="EGI"),$AJ208,IF($AK208&lt;&gt;"Squad",$AK208,$AJ208)))))</f>
        <v>SAP ERP</v>
      </c>
      <c r="AM208" s="534" t="b">
        <f>IF(TRIM($B208)="","",--(UPPER(TRIM($K208))="EGI"))</f>
        <v>0</v>
      </c>
      <c r="AQ208" s="841" t="inlineStr">
        <is>
          <t>R0207</t>
        </is>
      </c>
      <c r="AZ208" s="841" t="n"/>
    </row>
    <row r="209" ht="18" customHeight="1" s="535">
      <c r="A209" s="842" t="inlineStr">
        <is>
          <t>V</t>
        </is>
      </c>
      <c r="B209" s="843" t="inlineStr">
        <is>
          <t>Vacant</t>
        </is>
      </c>
      <c r="C209" s="842" t="inlineStr">
        <is>
          <t>V</t>
        </is>
      </c>
      <c r="D209" s="843" t="inlineStr">
        <is>
          <t>SAP Functional Specialist</t>
        </is>
      </c>
      <c r="E209" s="843" t="inlineStr">
        <is>
          <t>Shane Ker</t>
        </is>
      </c>
      <c r="F209" s="843" t="inlineStr">
        <is>
          <t>Technology Manager Finance Platforms</t>
        </is>
      </c>
      <c r="G209" s="844" t="inlineStr">
        <is>
          <t>TDD Group Functions</t>
        </is>
      </c>
      <c r="H209" s="843" t="inlineStr">
        <is>
          <t>P&amp;C, Finance &amp; Legal</t>
        </is>
      </c>
      <c r="I209" s="843" t="inlineStr">
        <is>
          <t>Tech, Finance Platforms</t>
        </is>
      </c>
      <c r="J209" s="843" t="inlineStr">
        <is>
          <t>Finance</t>
        </is>
      </c>
      <c r="K209" s="843" t="inlineStr">
        <is>
          <t>AU Finance</t>
        </is>
      </c>
      <c r="L209" s="843" t="inlineStr">
        <is>
          <t>SAP ERP</t>
        </is>
      </c>
      <c r="M209" s="843" t="n"/>
      <c r="N209" s="845" t="inlineStr">
        <is>
          <t>Australia</t>
        </is>
      </c>
      <c r="O209" s="846" t="inlineStr">
        <is>
          <t>CIC</t>
        </is>
      </c>
      <c r="P209" s="847" t="n">
        <v>1</v>
      </c>
      <c r="Q209" s="846" t="n"/>
      <c r="R209" s="847" t="inlineStr">
        <is>
          <t>v</t>
        </is>
      </c>
      <c r="S209" s="847" t="n"/>
      <c r="T209" s="847" t="n"/>
      <c r="U209" s="848" t="n">
        <v>173550</v>
      </c>
      <c r="V209" s="849" t="n">
        <v>173550</v>
      </c>
      <c r="W209" s="850" t="n">
        <v>0.12</v>
      </c>
      <c r="X209" s="847" t="n">
        <v>0.055</v>
      </c>
      <c r="Y209" s="850" t="n">
        <v>0.12</v>
      </c>
      <c r="Z209" s="851" t="n"/>
      <c r="AA209" s="850" t="n">
        <v>0.04</v>
      </c>
      <c r="AB209" s="852" t="n">
        <v>231689.25</v>
      </c>
      <c r="AE209" s="534">
        <f>IF(TRIM($B209)="","",IF(AND(N($P209)&gt;0,N($P209)&lt;1),N($AB209)*N($P209),N($AB209)))</f>
        <v>231689.25</v>
      </c>
      <c r="AF209" s="534" t="str">
        <f>IF(TRIM($B209)="","",IF(OR(ISNUMBER(SEARCH("vacant",$B209)),ISNUMBER(SEARCH("ring fenced",$B209)),LOWER(TRIM($B209))="remove"),"Vacant","Filled"))</f>
        <v>Vacant</v>
      </c>
      <c r="AG209" s="534" t="b">
        <f>IF(TRIM($B209)="","",--ISNUMBER(SEARCH("ring fenced",$B209)))</f>
        <v>0</v>
      </c>
      <c r="AH209" s="534" t="str">
        <f>IF(TRIM($B209)="","",IF(COUNTIFS(Lists!$AN$2:$AN$22,TRIM($B209)&amp;" | "&amp;TRIM($D209),Lists!$AO$2:$AO$22,"&lt;&gt;"),INDEX(Lists!$AO$2:$AO$22,MATCH(TRIM($B209)&amp;" | "&amp;TRIM($D209),Lists!$AN$2:$AN$22,0)),IF(COUNTIF(Lists!$AR$2:$AR$3,$AJ209),"TDD Cyber",IF(AND(LEFT($AJ209,4)="EGI ",ISNUMBER(MATCH(TRIM(MID($AJ209,5,99)),Lists!$AS$2:$AS$12,0))),TRIM(MID($AJ209,5,99)),IF(AND(LEFT($AJ209,4)="EGI ",ISNUMBER(MATCH(TRIM(MID($AJ209,5,99)),Lists!$T$2:$T$21,0))),INDEX(Lists!$U$2:$U$21,MATCH(TRIM(MID($AJ209,5,99)),Lists!$T$2:$T$21,0)),IF(OR(TRIM($J209)="",UPPER(TRIM($J209))="NA"),IFERROR(INDEX(Lists!$R$2:$R$9,MATCH(TRIM($G209),Lists!$Q$2:$Q$9,0)),"UNMAPPED"),IFERROR(INDEX(Lists!$U$2:$U$21,MATCH(TRIM($J209),Lists!$T$2:$T$21,0)),IFERROR(INDEX(Lists!$R$2:$R$9,MATCH(TRIM($G209),Lists!$Q$2:$Q$9,0)),"UNMAPPED"))))))))</f>
        <v>Finance</v>
      </c>
      <c r="AI209" s="534" t="b">
        <f>IF(TRIM($B209)="","",--OR(TRIM($L209)="Leadership",TRIM($K209)="Leadership"))</f>
        <v>0</v>
      </c>
      <c r="AJ209" s="534" t="str">
        <f>IF(TRIM($B209)="","",IF(COUNTIFS(Lists!$AN$2:$AN$22,TRIM($B209)&amp;" | "&amp;TRIM($D209),Lists!$AP$2:$AP$22,"&lt;&gt;"),INDEX(Lists!$AP$2:$AP$22,MATCH(TRIM($B209)&amp;" | "&amp;TRIM($D209),Lists!$AN$2:$AN$22,0)),IF($AI209=1,"Leadership",IFERROR(INDEX(Lists!$X$2:$X$21,MATCH(TRIM($L209),Lists!$W$2:$W$21,0)),IF(OR(TRIM($L209)="",LOWER(TRIM($L209))="na"),IF(TRIM($H209)="","Unassigned",TRIM($H209)),TRIM($L209))))))</f>
        <v>SAP ERP</v>
      </c>
      <c r="AK209" s="534" t="str">
        <f>IF(TRIM($B209)="","",IF(COUNTIFS(Lists!$AN$2:$AN$22,TRIM($B209)&amp;" | "&amp;TRIM($D209),Lists!$AQ$2:$AQ$22,"&lt;&gt;"),INDEX(Lists!$AQ$2:$AQ$22,MATCH(TRIM($B209)&amp;" | "&amp;TRIM($D209),Lists!$AN$2:$AN$22,0)),IF(COUNTIF(Lists!$AF$2:$AF$8,$AJ209),$AJ209,IF(ISNUMBER(SEARCH("head of ",$D209)),"Head of Technology",IF(ISNUMBER(SEARCH("TDD BP",$D209)),"Business Partner",IF(OR(ISNUMBER(SEARCH("domain architect",$D209)),ISNUMBER(SEARCH("enterprise architect",$D209))),"Domain Architect",IF(ISNUMBER(SEARCH("delivery man",$D209)),"Delivery Manager",IF(OR(ISNUMBER(SEARCH("technology manager",$D209)),ISNUMBER(SEARCH("technology manger",$D209)),ISNUMBER(SEARCH("tech manager",$D209))),"Technology Manager","Squad"))))))))</f>
        <v>Squad</v>
      </c>
      <c r="AL209" s="534" t="str">
        <f>IF(TRIM($B209)="","",IF(AND($AM209=1,LEFT($AJ209,4)&lt;&gt;"EGI ",$AJ209&lt;&gt;"EGI"),IFERROR(INDEX(Lists!$Z$2:$Z$20,MATCH($AH209,Lists!$Y$2:$Y$20,0)),"EGI "&amp;$AH209),IF(COUNTIF(Lists!$AU$2:$AU$10,$AJ209),$AJ209,IF(OR(LEFT($AH209,3)="COE",$AH209="EGI"),$AJ209,IF($AK209&lt;&gt;"Squad",$AK209,$AJ209)))))</f>
        <v>SAP ERP</v>
      </c>
      <c r="AM209" s="534" t="b">
        <f>IF(TRIM($B209)="","",--(UPPER(TRIM($K209))="EGI"))</f>
        <v>0</v>
      </c>
      <c r="AQ209" s="841" t="inlineStr">
        <is>
          <t>R0208</t>
        </is>
      </c>
      <c r="AZ209" s="841" t="n"/>
    </row>
    <row r="210" ht="18" customHeight="1" s="535">
      <c r="A210" s="842" t="inlineStr">
        <is>
          <t>V</t>
        </is>
      </c>
      <c r="B210" s="843" t="inlineStr">
        <is>
          <t>Vacant</t>
        </is>
      </c>
      <c r="C210" s="842" t="inlineStr">
        <is>
          <t>V</t>
        </is>
      </c>
      <c r="D210" s="843" t="inlineStr">
        <is>
          <t>Solution Architect - Finance</t>
        </is>
      </c>
      <c r="E210" s="843" t="inlineStr">
        <is>
          <t>Shane Ker</t>
        </is>
      </c>
      <c r="F210" s="843" t="inlineStr">
        <is>
          <t>Technology Manager Finance Platforms</t>
        </is>
      </c>
      <c r="G210" s="844" t="inlineStr">
        <is>
          <t>TDD Group Functions</t>
        </is>
      </c>
      <c r="H210" s="843" t="inlineStr">
        <is>
          <t>P&amp;C, Finance &amp; Legal</t>
        </is>
      </c>
      <c r="I210" s="843" t="inlineStr">
        <is>
          <t>Tech, Finance Platforms</t>
        </is>
      </c>
      <c r="J210" s="843" t="inlineStr">
        <is>
          <t>Finance</t>
        </is>
      </c>
      <c r="K210" s="843" t="inlineStr">
        <is>
          <t>AU Finance</t>
        </is>
      </c>
      <c r="L210" s="843" t="inlineStr">
        <is>
          <t>SAP ERP</t>
        </is>
      </c>
      <c r="M210" s="843" t="n"/>
      <c r="N210" s="845" t="inlineStr">
        <is>
          <t>australia</t>
        </is>
      </c>
      <c r="O210" s="846" t="inlineStr">
        <is>
          <t>CIC</t>
        </is>
      </c>
      <c r="P210" s="847" t="n">
        <v>1</v>
      </c>
      <c r="Q210" s="846" t="n"/>
      <c r="R210" s="847" t="inlineStr">
        <is>
          <t>v</t>
        </is>
      </c>
      <c r="S210" s="847" t="n"/>
      <c r="T210" s="847" t="n"/>
      <c r="U210" s="848" t="n">
        <v>173550</v>
      </c>
      <c r="V210" s="849" t="n">
        <v>173550</v>
      </c>
      <c r="W210" s="850" t="n">
        <v>0.12</v>
      </c>
      <c r="X210" s="847" t="n">
        <v>0.055</v>
      </c>
      <c r="Y210" s="850" t="n">
        <v>0.12</v>
      </c>
      <c r="Z210" s="851" t="n"/>
      <c r="AA210" s="850" t="n">
        <v>0.04</v>
      </c>
      <c r="AB210" s="852" t="n">
        <v>231689.25</v>
      </c>
      <c r="AE210" s="534">
        <f>IF(TRIM($B210)="","",IF(AND(N($P210)&gt;0,N($P210)&lt;1),N($AB210)*N($P210),N($AB210)))</f>
        <v>231689.25</v>
      </c>
      <c r="AF210" s="534" t="str">
        <f>IF(TRIM($B210)="","",IF(OR(ISNUMBER(SEARCH("vacant",$B210)),ISNUMBER(SEARCH("ring fenced",$B210)),LOWER(TRIM($B210))="remove"),"Vacant","Filled"))</f>
        <v>Vacant</v>
      </c>
      <c r="AG210" s="534" t="b">
        <f>IF(TRIM($B210)="","",--ISNUMBER(SEARCH("ring fenced",$B210)))</f>
        <v>0</v>
      </c>
      <c r="AH210" s="534" t="str">
        <f>IF(TRIM($B210)="","",IF(COUNTIFS(Lists!$AN$2:$AN$22,TRIM($B210)&amp;" | "&amp;TRIM($D210),Lists!$AO$2:$AO$22,"&lt;&gt;"),INDEX(Lists!$AO$2:$AO$22,MATCH(TRIM($B210)&amp;" | "&amp;TRIM($D210),Lists!$AN$2:$AN$22,0)),IF(COUNTIF(Lists!$AR$2:$AR$3,$AJ210),"TDD Cyber",IF(AND(LEFT($AJ210,4)="EGI ",ISNUMBER(MATCH(TRIM(MID($AJ210,5,99)),Lists!$AS$2:$AS$12,0))),TRIM(MID($AJ210,5,99)),IF(AND(LEFT($AJ210,4)="EGI ",ISNUMBER(MATCH(TRIM(MID($AJ210,5,99)),Lists!$T$2:$T$21,0))),INDEX(Lists!$U$2:$U$21,MATCH(TRIM(MID($AJ210,5,99)),Lists!$T$2:$T$21,0)),IF(OR(TRIM($J210)="",UPPER(TRIM($J210))="NA"),IFERROR(INDEX(Lists!$R$2:$R$9,MATCH(TRIM($G210),Lists!$Q$2:$Q$9,0)),"UNMAPPED"),IFERROR(INDEX(Lists!$U$2:$U$21,MATCH(TRIM($J210),Lists!$T$2:$T$21,0)),IFERROR(INDEX(Lists!$R$2:$R$9,MATCH(TRIM($G210),Lists!$Q$2:$Q$9,0)),"UNMAPPED"))))))))</f>
        <v>Finance</v>
      </c>
      <c r="AI210" s="534" t="b">
        <f>IF(TRIM($B210)="","",--OR(TRIM($L210)="Leadership",TRIM($K210)="Leadership"))</f>
        <v>0</v>
      </c>
      <c r="AJ210" s="534" t="str">
        <f>IF(TRIM($B210)="","",IF(COUNTIFS(Lists!$AN$2:$AN$22,TRIM($B210)&amp;" | "&amp;TRIM($D210),Lists!$AP$2:$AP$22,"&lt;&gt;"),INDEX(Lists!$AP$2:$AP$22,MATCH(TRIM($B210)&amp;" | "&amp;TRIM($D210),Lists!$AN$2:$AN$22,0)),IF($AI210=1,"Leadership",IFERROR(INDEX(Lists!$X$2:$X$21,MATCH(TRIM($L210),Lists!$W$2:$W$21,0)),IF(OR(TRIM($L210)="",LOWER(TRIM($L210))="na"),IF(TRIM($H210)="","Unassigned",TRIM($H210)),TRIM($L210))))))</f>
        <v>SAP ERP</v>
      </c>
      <c r="AK210" s="534" t="str">
        <f>IF(TRIM($B210)="","",IF(COUNTIFS(Lists!$AN$2:$AN$22,TRIM($B210)&amp;" | "&amp;TRIM($D210),Lists!$AQ$2:$AQ$22,"&lt;&gt;"),INDEX(Lists!$AQ$2:$AQ$22,MATCH(TRIM($B210)&amp;" | "&amp;TRIM($D210),Lists!$AN$2:$AN$22,0)),IF(COUNTIF(Lists!$AF$2:$AF$8,$AJ210),$AJ210,IF(ISNUMBER(SEARCH("head of ",$D210)),"Head of Technology",IF(ISNUMBER(SEARCH("TDD BP",$D210)),"Business Partner",IF(OR(ISNUMBER(SEARCH("domain architect",$D210)),ISNUMBER(SEARCH("enterprise architect",$D210))),"Domain Architect",IF(ISNUMBER(SEARCH("delivery man",$D210)),"Delivery Manager",IF(OR(ISNUMBER(SEARCH("technology manager",$D210)),ISNUMBER(SEARCH("technology manger",$D210)),ISNUMBER(SEARCH("tech manager",$D210))),"Technology Manager","Squad"))))))))</f>
        <v>Squad</v>
      </c>
      <c r="AL210" s="534" t="str">
        <f>IF(TRIM($B210)="","",IF(AND($AM210=1,LEFT($AJ210,4)&lt;&gt;"EGI ",$AJ210&lt;&gt;"EGI"),IFERROR(INDEX(Lists!$Z$2:$Z$20,MATCH($AH210,Lists!$Y$2:$Y$20,0)),"EGI "&amp;$AH210),IF(COUNTIF(Lists!$AU$2:$AU$10,$AJ210),$AJ210,IF(OR(LEFT($AH210,3)="COE",$AH210="EGI"),$AJ210,IF($AK210&lt;&gt;"Squad",$AK210,$AJ210)))))</f>
        <v>SAP ERP</v>
      </c>
      <c r="AM210" s="534" t="b">
        <f>IF(TRIM($B210)="","",--(UPPER(TRIM($K210))="EGI"))</f>
        <v>0</v>
      </c>
      <c r="AQ210" s="841" t="inlineStr">
        <is>
          <t>R0209</t>
        </is>
      </c>
      <c r="AZ210" s="841" t="n"/>
    </row>
    <row r="211" ht="18" customHeight="1" s="535">
      <c r="A211" s="842" t="n">
        <v>113609</v>
      </c>
      <c r="B211" s="843" t="inlineStr">
        <is>
          <t>Sameer Pattanaik</t>
        </is>
      </c>
      <c r="C211" s="842" t="n">
        <v>113609</v>
      </c>
      <c r="D211" s="843" t="inlineStr">
        <is>
          <t>Cyber Security Operations Lead</t>
        </is>
      </c>
      <c r="E211" s="843" t="inlineStr">
        <is>
          <t>Steven Atcheson</t>
        </is>
      </c>
      <c r="F211" s="843" t="n"/>
      <c r="G211" s="844" t="inlineStr">
        <is>
          <t>Cyber, Risk &amp; Operations</t>
        </is>
      </c>
      <c r="H211" s="843" t="inlineStr">
        <is>
          <t>Cyber Sec Ops</t>
        </is>
      </c>
      <c r="I211" s="843" t="inlineStr">
        <is>
          <t>NA</t>
        </is>
      </c>
      <c r="J211" s="843" t="inlineStr">
        <is>
          <t>NA</t>
        </is>
      </c>
      <c r="K211" s="843" t="inlineStr">
        <is>
          <t>NA</t>
        </is>
      </c>
      <c r="L211" s="843" t="inlineStr">
        <is>
          <t>NA</t>
        </is>
      </c>
      <c r="M211" s="843" t="n"/>
      <c r="N211" s="845" t="inlineStr">
        <is>
          <t>NZ</t>
        </is>
      </c>
      <c r="O211" s="846" t="inlineStr">
        <is>
          <t>CIC</t>
        </is>
      </c>
      <c r="P211" s="847" t="n">
        <v>1</v>
      </c>
      <c r="Q211" s="846" t="n"/>
      <c r="R211" s="847" t="inlineStr">
        <is>
          <t>Permanent - Full Time</t>
        </is>
      </c>
      <c r="S211" s="847" t="n"/>
      <c r="T211" s="847" t="n"/>
      <c r="U211" s="848" t="n">
        <v>185550</v>
      </c>
      <c r="V211" s="849" t="n">
        <v>170706</v>
      </c>
      <c r="W211" s="850" t="n">
        <v>0.15</v>
      </c>
      <c r="X211" s="847" t="n"/>
      <c r="Y211" s="850" t="n">
        <v>0.05</v>
      </c>
      <c r="Z211" s="851" t="n">
        <v>2910</v>
      </c>
      <c r="AA211" s="850" t="n">
        <v>0.03</v>
      </c>
      <c r="AB211" s="852" t="n">
        <v>212878.38</v>
      </c>
      <c r="AE211" s="534">
        <f>IF(TRIM($B211)="","",IF(AND(N($P211)&gt;0,N($P211)&lt;1),N($AB211)*N($P211),N($AB211)))</f>
        <v>212878.38</v>
      </c>
      <c r="AF211" s="534" t="str">
        <f>IF(TRIM($B211)="","",IF(OR(ISNUMBER(SEARCH("vacant",$B211)),ISNUMBER(SEARCH("ring fenced",$B211)),LOWER(TRIM($B211))="remove"),"Vacant","Filled"))</f>
        <v>Filled</v>
      </c>
      <c r="AG211" s="534" t="b">
        <f>IF(TRIM($B211)="","",--ISNUMBER(SEARCH("ring fenced",$B211)))</f>
        <v>0</v>
      </c>
      <c r="AH211" s="534" t="str">
        <f>IF(TRIM($B211)="","",IF(COUNTIFS(Lists!$AN$2:$AN$22,TRIM($B211)&amp;" | "&amp;TRIM($D211),Lists!$AO$2:$AO$22,"&lt;&gt;"),INDEX(Lists!$AO$2:$AO$22,MATCH(TRIM($B211)&amp;" | "&amp;TRIM($D211),Lists!$AN$2:$AN$22,0)),IF(COUNTIF(Lists!$AR$2:$AR$3,$AJ211),"TDD Cyber",IF(AND(LEFT($AJ211,4)="EGI ",ISNUMBER(MATCH(TRIM(MID($AJ211,5,99)),Lists!$AS$2:$AS$12,0))),TRIM(MID($AJ211,5,99)),IF(AND(LEFT($AJ211,4)="EGI ",ISNUMBER(MATCH(TRIM(MID($AJ211,5,99)),Lists!$T$2:$T$21,0))),INDEX(Lists!$U$2:$U$21,MATCH(TRIM(MID($AJ211,5,99)),Lists!$T$2:$T$21,0)),IF(OR(TRIM($J211)="",UPPER(TRIM($J211))="NA"),IFERROR(INDEX(Lists!$R$2:$R$9,MATCH(TRIM($G211),Lists!$Q$2:$Q$9,0)),"UNMAPPED"),IFERROR(INDEX(Lists!$U$2:$U$21,MATCH(TRIM($J211),Lists!$T$2:$T$21,0)),IFERROR(INDEX(Lists!$R$2:$R$9,MATCH(TRIM($G211),Lists!$Q$2:$Q$9,0)),"UNMAPPED"))))))))</f>
        <v>COE Cyber</v>
      </c>
      <c r="AI211" s="534" t="b">
        <f>IF(TRIM($B211)="","",--OR(TRIM($L211)="Leadership",TRIM($K211)="Leadership"))</f>
        <v>0</v>
      </c>
      <c r="AJ211" s="534" t="str">
        <f>IF(TRIM($B211)="","",IF(COUNTIFS(Lists!$AN$2:$AN$22,TRIM($B211)&amp;" | "&amp;TRIM($D211),Lists!$AP$2:$AP$22,"&lt;&gt;"),INDEX(Lists!$AP$2:$AP$22,MATCH(TRIM($B211)&amp;" | "&amp;TRIM($D211),Lists!$AN$2:$AN$22,0)),IF($AI211=1,"Leadership",IFERROR(INDEX(Lists!$X$2:$X$21,MATCH(TRIM($L211),Lists!$W$2:$W$21,0)),IF(OR(TRIM($L211)="",LOWER(TRIM($L211))="na"),IF(TRIM($H211)="","Unassigned",TRIM($H211)),TRIM($L211))))))</f>
        <v>Cyber Sec Ops</v>
      </c>
      <c r="AK211" s="534" t="str">
        <f>IF(TRIM($B211)="","",IF(COUNTIFS(Lists!$AN$2:$AN$22,TRIM($B211)&amp;" | "&amp;TRIM($D211),Lists!$AQ$2:$AQ$22,"&lt;&gt;"),INDEX(Lists!$AQ$2:$AQ$22,MATCH(TRIM($B211)&amp;" | "&amp;TRIM($D211),Lists!$AN$2:$AN$22,0)),IF(COUNTIF(Lists!$AF$2:$AF$8,$AJ211),$AJ211,IF(ISNUMBER(SEARCH("head of ",$D211)),"Head of Technology",IF(ISNUMBER(SEARCH("TDD BP",$D211)),"Business Partner",IF(OR(ISNUMBER(SEARCH("domain architect",$D211)),ISNUMBER(SEARCH("enterprise architect",$D211))),"Domain Architect",IF(ISNUMBER(SEARCH("delivery man",$D211)),"Delivery Manager",IF(OR(ISNUMBER(SEARCH("technology manager",$D211)),ISNUMBER(SEARCH("technology manger",$D211)),ISNUMBER(SEARCH("tech manager",$D211))),"Technology Manager","Squad"))))))))</f>
        <v>Squad</v>
      </c>
      <c r="AL211" s="534" t="str">
        <f>IF(TRIM($B211)="","",IF(AND($AM211=1,LEFT($AJ211,4)&lt;&gt;"EGI ",$AJ211&lt;&gt;"EGI"),IFERROR(INDEX(Lists!$Z$2:$Z$20,MATCH($AH211,Lists!$Y$2:$Y$20,0)),"EGI "&amp;$AH211),IF(COUNTIF(Lists!$AU$2:$AU$10,$AJ211),$AJ211,IF(OR(LEFT($AH211,3)="COE",$AH211="EGI"),$AJ211,IF($AK211&lt;&gt;"Squad",$AK211,$AJ211)))))</f>
        <v>Cyber Sec Ops</v>
      </c>
      <c r="AM211" s="534" t="b">
        <f>IF(TRIM($B211)="","",--(UPPER(TRIM($K211))="EGI"))</f>
        <v>0</v>
      </c>
      <c r="AQ211" s="841" t="inlineStr">
        <is>
          <t>R0210</t>
        </is>
      </c>
      <c r="AZ211" s="841" t="n"/>
    </row>
    <row r="212" ht="18" customHeight="1" s="535">
      <c r="A212" s="842" t="n">
        <v>113517</v>
      </c>
      <c r="B212" s="843" t="inlineStr">
        <is>
          <t>Axel Soh</t>
        </is>
      </c>
      <c r="C212" s="842" t="n">
        <v>113517</v>
      </c>
      <c r="D212" s="843" t="inlineStr">
        <is>
          <t>Cloud Solutions Architect</t>
        </is>
      </c>
      <c r="E212" s="843" t="inlineStr">
        <is>
          <t>Vacant</t>
        </is>
      </c>
      <c r="F212" s="843" t="inlineStr">
        <is>
          <t>Technology Manager - Cloud, Network &amp; Infrastructure Operations</t>
        </is>
      </c>
      <c r="G212" s="844" t="inlineStr">
        <is>
          <t>TDD Group Functions</t>
        </is>
      </c>
      <c r="H212" s="843" t="inlineStr">
        <is>
          <t>TDD &amp; Engineering</t>
        </is>
      </c>
      <c r="I212" s="843" t="inlineStr">
        <is>
          <t>Cloud, Network &amp; Infra</t>
        </is>
      </c>
      <c r="J212" s="843" t="inlineStr">
        <is>
          <t>TDD</t>
        </is>
      </c>
      <c r="K212" s="843" t="inlineStr">
        <is>
          <t>TDD</t>
        </is>
      </c>
      <c r="L212" s="843" t="inlineStr">
        <is>
          <t>Cloud, Network &amp; Infra Ops</t>
        </is>
      </c>
      <c r="M212" s="843" t="n"/>
      <c r="N212" s="845" t="inlineStr">
        <is>
          <t>NZ</t>
        </is>
      </c>
      <c r="O212" s="846" t="inlineStr">
        <is>
          <t>CIC</t>
        </is>
      </c>
      <c r="P212" s="847" t="n">
        <v>1</v>
      </c>
      <c r="Q212" s="846" t="n"/>
      <c r="R212" s="847" t="inlineStr">
        <is>
          <t>Permanent - Full Time</t>
        </is>
      </c>
      <c r="S212" s="847" t="n"/>
      <c r="T212" s="847" t="n"/>
      <c r="U212" s="848" t="n">
        <v>169750</v>
      </c>
      <c r="V212" s="849" t="n">
        <v>156170</v>
      </c>
      <c r="W212" s="850" t="n">
        <v>0.15</v>
      </c>
      <c r="X212" s="847" t="n"/>
      <c r="Y212" s="850" t="n">
        <v>0.05</v>
      </c>
      <c r="Z212" s="851" t="n">
        <v>2910</v>
      </c>
      <c r="AA212" s="850" t="n">
        <v>0.03</v>
      </c>
      <c r="AB212" s="852" t="n">
        <v>194999.1</v>
      </c>
      <c r="AE212" s="534">
        <f>IF(TRIM($B212)="","",IF(AND(N($P212)&gt;0,N($P212)&lt;1),N($AB212)*N($P212),N($AB212)))</f>
        <v>194999.1</v>
      </c>
      <c r="AF212" s="534" t="str">
        <f>IF(TRIM($B212)="","",IF(OR(ISNUMBER(SEARCH("vacant",$B212)),ISNUMBER(SEARCH("ring fenced",$B212)),LOWER(TRIM($B212))="remove"),"Vacant","Filled"))</f>
        <v>Filled</v>
      </c>
      <c r="AG212" s="534" t="b">
        <f>IF(TRIM($B212)="","",--ISNUMBER(SEARCH("ring fenced",$B212)))</f>
        <v>0</v>
      </c>
      <c r="AH212" s="534" t="str">
        <f>IF(TRIM($B212)="","",IF(COUNTIFS(Lists!$AN$2:$AN$22,TRIM($B212)&amp;" | "&amp;TRIM($D212),Lists!$AO$2:$AO$22,"&lt;&gt;"),INDEX(Lists!$AO$2:$AO$22,MATCH(TRIM($B212)&amp;" | "&amp;TRIM($D212),Lists!$AN$2:$AN$22,0)),IF(COUNTIF(Lists!$AR$2:$AR$3,$AJ212),"TDD Cyber",IF(AND(LEFT($AJ212,4)="EGI ",ISNUMBER(MATCH(TRIM(MID($AJ212,5,99)),Lists!$AS$2:$AS$12,0))),TRIM(MID($AJ212,5,99)),IF(AND(LEFT($AJ212,4)="EGI ",ISNUMBER(MATCH(TRIM(MID($AJ212,5,99)),Lists!$T$2:$T$21,0))),INDEX(Lists!$U$2:$U$21,MATCH(TRIM(MID($AJ212,5,99)),Lists!$T$2:$T$21,0)),IF(OR(TRIM($J212)="",UPPER(TRIM($J212))="NA"),IFERROR(INDEX(Lists!$R$2:$R$9,MATCH(TRIM($G212),Lists!$Q$2:$Q$9,0)),"UNMAPPED"),IFERROR(INDEX(Lists!$U$2:$U$21,MATCH(TRIM($J212),Lists!$T$2:$T$21,0)),IFERROR(INDEX(Lists!$R$2:$R$9,MATCH(TRIM($G212),Lists!$Q$2:$Q$9,0)),"UNMAPPED"))))))))</f>
        <v>TDD Group Functions</v>
      </c>
      <c r="AI212" s="534" t="b">
        <f>IF(TRIM($B212)="","",--OR(TRIM($L212)="Leadership",TRIM($K212)="Leadership"))</f>
        <v>0</v>
      </c>
      <c r="AJ212" s="534" t="str">
        <f>IF(TRIM($B212)="","",IF(COUNTIFS(Lists!$AN$2:$AN$22,TRIM($B212)&amp;" | "&amp;TRIM($D212),Lists!$AP$2:$AP$22,"&lt;&gt;"),INDEX(Lists!$AP$2:$AP$22,MATCH(TRIM($B212)&amp;" | "&amp;TRIM($D212),Lists!$AN$2:$AN$22,0)),IF($AI212=1,"Leadership",IFERROR(INDEX(Lists!$X$2:$X$21,MATCH(TRIM($L212),Lists!$W$2:$W$21,0)),IF(OR(TRIM($L212)="",LOWER(TRIM($L212))="na"),IF(TRIM($H212)="","Unassigned",TRIM($H212)),TRIM($L212))))))</f>
        <v>Cloud, Network &amp; Infra Ops</v>
      </c>
      <c r="AK212" s="534" t="str">
        <f>IF(TRIM($B212)="","",IF(COUNTIFS(Lists!$AN$2:$AN$22,TRIM($B212)&amp;" | "&amp;TRIM($D212),Lists!$AQ$2:$AQ$22,"&lt;&gt;"),INDEX(Lists!$AQ$2:$AQ$22,MATCH(TRIM($B212)&amp;" | "&amp;TRIM($D212),Lists!$AN$2:$AN$22,0)),IF(COUNTIF(Lists!$AF$2:$AF$8,$AJ212),$AJ212,IF(ISNUMBER(SEARCH("head of ",$D212)),"Head of Technology",IF(ISNUMBER(SEARCH("TDD BP",$D212)),"Business Partner",IF(OR(ISNUMBER(SEARCH("domain architect",$D212)),ISNUMBER(SEARCH("enterprise architect",$D212))),"Domain Architect",IF(ISNUMBER(SEARCH("delivery man",$D212)),"Delivery Manager",IF(OR(ISNUMBER(SEARCH("technology manager",$D212)),ISNUMBER(SEARCH("technology manger",$D212)),ISNUMBER(SEARCH("tech manager",$D212))),"Technology Manager","Squad"))))))))</f>
        <v>Squad</v>
      </c>
      <c r="AL212" s="534" t="str">
        <f>IF(TRIM($B212)="","",IF(AND($AM212=1,LEFT($AJ212,4)&lt;&gt;"EGI ",$AJ212&lt;&gt;"EGI"),IFERROR(INDEX(Lists!$Z$2:$Z$20,MATCH($AH212,Lists!$Y$2:$Y$20,0)),"EGI "&amp;$AH212),IF(COUNTIF(Lists!$AU$2:$AU$10,$AJ212),$AJ212,IF(OR(LEFT($AH212,3)="COE",$AH212="EGI"),$AJ212,IF($AK212&lt;&gt;"Squad",$AK212,$AJ212)))))</f>
        <v>Cloud, Network &amp; Infra Ops</v>
      </c>
      <c r="AM212" s="534" t="b">
        <f>IF(TRIM($B212)="","",--(UPPER(TRIM($K212))="EGI"))</f>
        <v>0</v>
      </c>
      <c r="AQ212" s="841" t="inlineStr">
        <is>
          <t>R0211</t>
        </is>
      </c>
      <c r="AZ212" s="841" t="n"/>
    </row>
    <row r="213" ht="18" customHeight="1" s="535">
      <c r="A213" s="842" t="n">
        <v>96568</v>
      </c>
      <c r="B213" s="843" t="inlineStr">
        <is>
          <t>Johnny Li</t>
        </is>
      </c>
      <c r="C213" s="842" t="n">
        <v>96568</v>
      </c>
      <c r="D213" s="843" t="inlineStr">
        <is>
          <t>Cloud Solutions Architect</t>
        </is>
      </c>
      <c r="E213" s="843" t="inlineStr">
        <is>
          <t>Vacant</t>
        </is>
      </c>
      <c r="F213" s="843" t="inlineStr">
        <is>
          <t>Technology Manager - Cloud, Network &amp; Infrastructure Operations</t>
        </is>
      </c>
      <c r="G213" s="844" t="inlineStr">
        <is>
          <t>TDD Group Functions</t>
        </is>
      </c>
      <c r="H213" s="843" t="inlineStr">
        <is>
          <t>TDD &amp; Engineering</t>
        </is>
      </c>
      <c r="I213" s="843" t="inlineStr">
        <is>
          <t>Cloud, Network &amp; Infra</t>
        </is>
      </c>
      <c r="J213" s="843" t="inlineStr">
        <is>
          <t>TDD</t>
        </is>
      </c>
      <c r="K213" s="843" t="inlineStr">
        <is>
          <t>TDD</t>
        </is>
      </c>
      <c r="L213" s="843" t="inlineStr">
        <is>
          <t>Cloud, Network &amp; Infra Ops</t>
        </is>
      </c>
      <c r="M213" s="843" t="n"/>
      <c r="N213" s="845" t="inlineStr">
        <is>
          <t>Australia</t>
        </is>
      </c>
      <c r="O213" s="846" t="inlineStr">
        <is>
          <t>CIC</t>
        </is>
      </c>
      <c r="P213" s="847" t="n">
        <v>1</v>
      </c>
      <c r="Q213" s="847" t="n"/>
      <c r="R213" s="847" t="inlineStr">
        <is>
          <t>Permanent - Full Time</t>
        </is>
      </c>
      <c r="S213" s="847" t="n"/>
      <c r="T213" s="847" t="n"/>
      <c r="U213" s="848" t="n">
        <v>191260</v>
      </c>
      <c r="V213" s="849" t="n">
        <v>191260</v>
      </c>
      <c r="W213" s="850" t="n">
        <v>0.12</v>
      </c>
      <c r="X213" s="847" t="n">
        <v>0.055</v>
      </c>
      <c r="Y213" s="850" t="n">
        <v>0.12</v>
      </c>
      <c r="Z213" s="851" t="n"/>
      <c r="AA213" s="850" t="n">
        <v>0.04</v>
      </c>
      <c r="AB213" s="852" t="n">
        <v>255332.1</v>
      </c>
      <c r="AE213" s="534">
        <f>IF(TRIM($B213)="","",IF(AND(N($P213)&gt;0,N($P213)&lt;1),N($AB213)*N($P213),N($AB213)))</f>
        <v>255332.1</v>
      </c>
      <c r="AF213" s="534" t="str">
        <f>IF(TRIM($B213)="","",IF(OR(ISNUMBER(SEARCH("vacant",$B213)),ISNUMBER(SEARCH("ring fenced",$B213)),LOWER(TRIM($B213))="remove"),"Vacant","Filled"))</f>
        <v>Filled</v>
      </c>
      <c r="AG213" s="534" t="b">
        <f>IF(TRIM($B213)="","",--ISNUMBER(SEARCH("ring fenced",$B213)))</f>
        <v>0</v>
      </c>
      <c r="AH213" s="534" t="str">
        <f>IF(TRIM($B213)="","",IF(COUNTIFS(Lists!$AN$2:$AN$22,TRIM($B213)&amp;" | "&amp;TRIM($D213),Lists!$AO$2:$AO$22,"&lt;&gt;"),INDEX(Lists!$AO$2:$AO$22,MATCH(TRIM($B213)&amp;" | "&amp;TRIM($D213),Lists!$AN$2:$AN$22,0)),IF(COUNTIF(Lists!$AR$2:$AR$3,$AJ213),"TDD Cyber",IF(AND(LEFT($AJ213,4)="EGI ",ISNUMBER(MATCH(TRIM(MID($AJ213,5,99)),Lists!$AS$2:$AS$12,0))),TRIM(MID($AJ213,5,99)),IF(AND(LEFT($AJ213,4)="EGI ",ISNUMBER(MATCH(TRIM(MID($AJ213,5,99)),Lists!$T$2:$T$21,0))),INDEX(Lists!$U$2:$U$21,MATCH(TRIM(MID($AJ213,5,99)),Lists!$T$2:$T$21,0)),IF(OR(TRIM($J213)="",UPPER(TRIM($J213))="NA"),IFERROR(INDEX(Lists!$R$2:$R$9,MATCH(TRIM($G213),Lists!$Q$2:$Q$9,0)),"UNMAPPED"),IFERROR(INDEX(Lists!$U$2:$U$21,MATCH(TRIM($J213),Lists!$T$2:$T$21,0)),IFERROR(INDEX(Lists!$R$2:$R$9,MATCH(TRIM($G213),Lists!$Q$2:$Q$9,0)),"UNMAPPED"))))))))</f>
        <v>TDD Group Functions</v>
      </c>
      <c r="AI213" s="534" t="b">
        <f>IF(TRIM($B213)="","",--OR(TRIM($L213)="Leadership",TRIM($K213)="Leadership"))</f>
        <v>0</v>
      </c>
      <c r="AJ213" s="534" t="str">
        <f>IF(TRIM($B213)="","",IF(COUNTIFS(Lists!$AN$2:$AN$22,TRIM($B213)&amp;" | "&amp;TRIM($D213),Lists!$AP$2:$AP$22,"&lt;&gt;"),INDEX(Lists!$AP$2:$AP$22,MATCH(TRIM($B213)&amp;" | "&amp;TRIM($D213),Lists!$AN$2:$AN$22,0)),IF($AI213=1,"Leadership",IFERROR(INDEX(Lists!$X$2:$X$21,MATCH(TRIM($L213),Lists!$W$2:$W$21,0)),IF(OR(TRIM($L213)="",LOWER(TRIM($L213))="na"),IF(TRIM($H213)="","Unassigned",TRIM($H213)),TRIM($L213))))))</f>
        <v>Cloud, Network &amp; Infra Ops</v>
      </c>
      <c r="AK213" s="534" t="str">
        <f>IF(TRIM($B213)="","",IF(COUNTIFS(Lists!$AN$2:$AN$22,TRIM($B213)&amp;" | "&amp;TRIM($D213),Lists!$AQ$2:$AQ$22,"&lt;&gt;"),INDEX(Lists!$AQ$2:$AQ$22,MATCH(TRIM($B213)&amp;" | "&amp;TRIM($D213),Lists!$AN$2:$AN$22,0)),IF(COUNTIF(Lists!$AF$2:$AF$8,$AJ213),$AJ213,IF(ISNUMBER(SEARCH("head of ",$D213)),"Head of Technology",IF(ISNUMBER(SEARCH("TDD BP",$D213)),"Business Partner",IF(OR(ISNUMBER(SEARCH("domain architect",$D213)),ISNUMBER(SEARCH("enterprise architect",$D213))),"Domain Architect",IF(ISNUMBER(SEARCH("delivery man",$D213)),"Delivery Manager",IF(OR(ISNUMBER(SEARCH("technology manager",$D213)),ISNUMBER(SEARCH("technology manger",$D213)),ISNUMBER(SEARCH("tech manager",$D213))),"Technology Manager","Squad"))))))))</f>
        <v>Squad</v>
      </c>
      <c r="AL213" s="534" t="str">
        <f>IF(TRIM($B213)="","",IF(AND($AM213=1,LEFT($AJ213,4)&lt;&gt;"EGI ",$AJ213&lt;&gt;"EGI"),IFERROR(INDEX(Lists!$Z$2:$Z$20,MATCH($AH213,Lists!$Y$2:$Y$20,0)),"EGI "&amp;$AH213),IF(COUNTIF(Lists!$AU$2:$AU$10,$AJ213),$AJ213,IF(OR(LEFT($AH213,3)="COE",$AH213="EGI"),$AJ213,IF($AK213&lt;&gt;"Squad",$AK213,$AJ213)))))</f>
        <v>Cloud, Network &amp; Infra Ops</v>
      </c>
      <c r="AM213" s="534" t="b">
        <f>IF(TRIM($B213)="","",--(UPPER(TRIM($K213))="EGI"))</f>
        <v>0</v>
      </c>
      <c r="AQ213" s="841" t="inlineStr">
        <is>
          <t>R0212</t>
        </is>
      </c>
      <c r="AZ213" s="841" t="n"/>
    </row>
    <row r="214" ht="18" customHeight="1" s="535">
      <c r="A214" s="842" t="n">
        <v>92821</v>
      </c>
      <c r="B214" s="843" t="inlineStr">
        <is>
          <t>Pierre Spee</t>
        </is>
      </c>
      <c r="C214" s="842" t="n">
        <v>92821</v>
      </c>
      <c r="D214" s="843" t="inlineStr">
        <is>
          <t>Cloud Solutions Architect</t>
        </is>
      </c>
      <c r="E214" s="843" t="inlineStr">
        <is>
          <t>Vacant</t>
        </is>
      </c>
      <c r="F214" s="843" t="inlineStr">
        <is>
          <t>Technology Manager - Cloud, Network &amp; Infrastructure Operations</t>
        </is>
      </c>
      <c r="G214" s="844" t="inlineStr">
        <is>
          <t>TDD Group Functions</t>
        </is>
      </c>
      <c r="H214" s="843" t="inlineStr">
        <is>
          <t>TDD &amp; Engineering</t>
        </is>
      </c>
      <c r="I214" s="843" t="inlineStr">
        <is>
          <t>Cloud, Network &amp; Infra</t>
        </is>
      </c>
      <c r="J214" s="843" t="inlineStr">
        <is>
          <t>TDD</t>
        </is>
      </c>
      <c r="K214" s="843" t="inlineStr">
        <is>
          <t>TDD</t>
        </is>
      </c>
      <c r="L214" s="843" t="inlineStr">
        <is>
          <t>Cloud, Network &amp; Infra Ops</t>
        </is>
      </c>
      <c r="M214" s="843" t="n"/>
      <c r="N214" s="845" t="inlineStr">
        <is>
          <t>Australia</t>
        </is>
      </c>
      <c r="O214" s="846" t="inlineStr">
        <is>
          <t>CIC</t>
        </is>
      </c>
      <c r="P214" s="847" t="n">
        <v>1</v>
      </c>
      <c r="Q214" s="846" t="n"/>
      <c r="R214" s="847" t="inlineStr">
        <is>
          <t>Permanent - Full Time</t>
        </is>
      </c>
      <c r="S214" s="847" t="n"/>
      <c r="T214" s="847" t="n"/>
      <c r="U214" s="848" t="n">
        <v>190660</v>
      </c>
      <c r="V214" s="849" t="n">
        <v>190660</v>
      </c>
      <c r="W214" s="850" t="n">
        <v>0.12</v>
      </c>
      <c r="X214" s="847" t="n">
        <v>0.055</v>
      </c>
      <c r="Y214" s="850" t="n">
        <v>0.12</v>
      </c>
      <c r="Z214" s="851" t="n"/>
      <c r="AA214" s="850" t="n">
        <v>0.04</v>
      </c>
      <c r="AB214" s="852" t="n">
        <v>254531.1</v>
      </c>
      <c r="AE214" s="534">
        <f>IF(TRIM($B214)="","",IF(AND(N($P214)&gt;0,N($P214)&lt;1),N($AB214)*N($P214),N($AB214)))</f>
        <v>254531.1</v>
      </c>
      <c r="AF214" s="534" t="str">
        <f>IF(TRIM($B214)="","",IF(OR(ISNUMBER(SEARCH("vacant",$B214)),ISNUMBER(SEARCH("ring fenced",$B214)),LOWER(TRIM($B214))="remove"),"Vacant","Filled"))</f>
        <v>Filled</v>
      </c>
      <c r="AG214" s="534" t="b">
        <f>IF(TRIM($B214)="","",--ISNUMBER(SEARCH("ring fenced",$B214)))</f>
        <v>0</v>
      </c>
      <c r="AH214" s="534" t="str">
        <f>IF(TRIM($B214)="","",IF(COUNTIFS(Lists!$AN$2:$AN$22,TRIM($B214)&amp;" | "&amp;TRIM($D214),Lists!$AO$2:$AO$22,"&lt;&gt;"),INDEX(Lists!$AO$2:$AO$22,MATCH(TRIM($B214)&amp;" | "&amp;TRIM($D214),Lists!$AN$2:$AN$22,0)),IF(COUNTIF(Lists!$AR$2:$AR$3,$AJ214),"TDD Cyber",IF(AND(LEFT($AJ214,4)="EGI ",ISNUMBER(MATCH(TRIM(MID($AJ214,5,99)),Lists!$AS$2:$AS$12,0))),TRIM(MID($AJ214,5,99)),IF(AND(LEFT($AJ214,4)="EGI ",ISNUMBER(MATCH(TRIM(MID($AJ214,5,99)),Lists!$T$2:$T$21,0))),INDEX(Lists!$U$2:$U$21,MATCH(TRIM(MID($AJ214,5,99)),Lists!$T$2:$T$21,0)),IF(OR(TRIM($J214)="",UPPER(TRIM($J214))="NA"),IFERROR(INDEX(Lists!$R$2:$R$9,MATCH(TRIM($G214),Lists!$Q$2:$Q$9,0)),"UNMAPPED"),IFERROR(INDEX(Lists!$U$2:$U$21,MATCH(TRIM($J214),Lists!$T$2:$T$21,0)),IFERROR(INDEX(Lists!$R$2:$R$9,MATCH(TRIM($G214),Lists!$Q$2:$Q$9,0)),"UNMAPPED"))))))))</f>
        <v>TDD Group Functions</v>
      </c>
      <c r="AI214" s="534" t="b">
        <f>IF(TRIM($B214)="","",--OR(TRIM($L214)="Leadership",TRIM($K214)="Leadership"))</f>
        <v>0</v>
      </c>
      <c r="AJ214" s="534" t="str">
        <f>IF(TRIM($B214)="","",IF(COUNTIFS(Lists!$AN$2:$AN$22,TRIM($B214)&amp;" | "&amp;TRIM($D214),Lists!$AP$2:$AP$22,"&lt;&gt;"),INDEX(Lists!$AP$2:$AP$22,MATCH(TRIM($B214)&amp;" | "&amp;TRIM($D214),Lists!$AN$2:$AN$22,0)),IF($AI214=1,"Leadership",IFERROR(INDEX(Lists!$X$2:$X$21,MATCH(TRIM($L214),Lists!$W$2:$W$21,0)),IF(OR(TRIM($L214)="",LOWER(TRIM($L214))="na"),IF(TRIM($H214)="","Unassigned",TRIM($H214)),TRIM($L214))))))</f>
        <v>Cloud, Network &amp; Infra Ops</v>
      </c>
      <c r="AK214" s="534" t="str">
        <f>IF(TRIM($B214)="","",IF(COUNTIFS(Lists!$AN$2:$AN$22,TRIM($B214)&amp;" | "&amp;TRIM($D214),Lists!$AQ$2:$AQ$22,"&lt;&gt;"),INDEX(Lists!$AQ$2:$AQ$22,MATCH(TRIM($B214)&amp;" | "&amp;TRIM($D214),Lists!$AN$2:$AN$22,0)),IF(COUNTIF(Lists!$AF$2:$AF$8,$AJ214),$AJ214,IF(ISNUMBER(SEARCH("head of ",$D214)),"Head of Technology",IF(ISNUMBER(SEARCH("TDD BP",$D214)),"Business Partner",IF(OR(ISNUMBER(SEARCH("domain architect",$D214)),ISNUMBER(SEARCH("enterprise architect",$D214))),"Domain Architect",IF(ISNUMBER(SEARCH("delivery man",$D214)),"Delivery Manager",IF(OR(ISNUMBER(SEARCH("technology manager",$D214)),ISNUMBER(SEARCH("technology manger",$D214)),ISNUMBER(SEARCH("tech manager",$D214))),"Technology Manager","Squad"))))))))</f>
        <v>Squad</v>
      </c>
      <c r="AL214" s="534" t="str">
        <f>IF(TRIM($B214)="","",IF(AND($AM214=1,LEFT($AJ214,4)&lt;&gt;"EGI ",$AJ214&lt;&gt;"EGI"),IFERROR(INDEX(Lists!$Z$2:$Z$20,MATCH($AH214,Lists!$Y$2:$Y$20,0)),"EGI "&amp;$AH214),IF(COUNTIF(Lists!$AU$2:$AU$10,$AJ214),$AJ214,IF(OR(LEFT($AH214,3)="COE",$AH214="EGI"),$AJ214,IF($AK214&lt;&gt;"Squad",$AK214,$AJ214)))))</f>
        <v>Cloud, Network &amp; Infra Ops</v>
      </c>
      <c r="AM214" s="534" t="b">
        <f>IF(TRIM($B214)="","",--(UPPER(TRIM($K214))="EGI"))</f>
        <v>0</v>
      </c>
      <c r="AQ214" s="841" t="inlineStr">
        <is>
          <t>R0213</t>
        </is>
      </c>
      <c r="AZ214" s="841" t="n"/>
    </row>
    <row r="215" ht="18" customHeight="1" s="535">
      <c r="A215" s="842" t="inlineStr">
        <is>
          <t>V</t>
        </is>
      </c>
      <c r="B215" s="843" t="inlineStr">
        <is>
          <t>Vacant</t>
        </is>
      </c>
      <c r="C215" s="842" t="inlineStr">
        <is>
          <t>V</t>
        </is>
      </c>
      <c r="D215" s="843" t="inlineStr">
        <is>
          <t>Business Analysis Practice Lead</t>
        </is>
      </c>
      <c r="E215" s="843" t="inlineStr">
        <is>
          <t>Vacant</t>
        </is>
      </c>
      <c r="F215" s="843" t="inlineStr">
        <is>
          <t>Delivery Excellence Manager</t>
        </is>
      </c>
      <c r="G215" s="844" t="inlineStr">
        <is>
          <t>Partnering &amp; Transformation</t>
        </is>
      </c>
      <c r="H215" s="843" t="inlineStr">
        <is>
          <t>Transformation</t>
        </is>
      </c>
      <c r="I215" s="843" t="inlineStr">
        <is>
          <t>NA</t>
        </is>
      </c>
      <c r="J215" s="843" t="inlineStr">
        <is>
          <t>NA</t>
        </is>
      </c>
      <c r="K215" s="843" t="inlineStr">
        <is>
          <t>NA</t>
        </is>
      </c>
      <c r="L215" s="843" t="inlineStr">
        <is>
          <t>NA</t>
        </is>
      </c>
      <c r="M215" s="843" t="n"/>
      <c r="N215" s="845" t="inlineStr">
        <is>
          <t>Australia</t>
        </is>
      </c>
      <c r="O215" s="846" t="inlineStr">
        <is>
          <t>CIC</t>
        </is>
      </c>
      <c r="P215" s="847" t="n">
        <v>1</v>
      </c>
      <c r="Q215" s="846" t="n"/>
      <c r="R215" s="847" t="inlineStr">
        <is>
          <t>V</t>
        </is>
      </c>
      <c r="S215" s="847" t="n"/>
      <c r="T215" s="847" t="n"/>
      <c r="U215" s="848" t="n">
        <v>173550</v>
      </c>
      <c r="V215" s="849" t="n">
        <v>173550</v>
      </c>
      <c r="W215" s="850" t="n">
        <v>0.12</v>
      </c>
      <c r="X215" s="847" t="n">
        <v>0.055</v>
      </c>
      <c r="Y215" s="850" t="n">
        <v>0.12</v>
      </c>
      <c r="Z215" s="851" t="n"/>
      <c r="AA215" s="850" t="n">
        <v>0.04</v>
      </c>
      <c r="AB215" s="852" t="n">
        <v>231689.25</v>
      </c>
      <c r="AE215" s="534">
        <f>IF(TRIM($B215)="","",IF(AND(N($P215)&gt;0,N($P215)&lt;1),N($AB215)*N($P215),N($AB215)))</f>
        <v>231689.25</v>
      </c>
      <c r="AF215" s="534" t="str">
        <f>IF(TRIM($B215)="","",IF(OR(ISNUMBER(SEARCH("vacant",$B215)),ISNUMBER(SEARCH("ring fenced",$B215)),LOWER(TRIM($B215))="remove"),"Vacant","Filled"))</f>
        <v>Vacant</v>
      </c>
      <c r="AG215" s="534" t="b">
        <f>IF(TRIM($B215)="","",--ISNUMBER(SEARCH("ring fenced",$B215)))</f>
        <v>0</v>
      </c>
      <c r="AH215" s="534" t="str">
        <f>IF(TRIM($B215)="","",IF(COUNTIFS(Lists!$AN$2:$AN$22,TRIM($B215)&amp;" | "&amp;TRIM($D215),Lists!$AO$2:$AO$22,"&lt;&gt;"),INDEX(Lists!$AO$2:$AO$22,MATCH(TRIM($B215)&amp;" | "&amp;TRIM($D215),Lists!$AN$2:$AN$22,0)),IF(COUNTIF(Lists!$AR$2:$AR$3,$AJ215),"TDD Cyber",IF(AND(LEFT($AJ215,4)="EGI ",ISNUMBER(MATCH(TRIM(MID($AJ215,5,99)),Lists!$AS$2:$AS$12,0))),TRIM(MID($AJ215,5,99)),IF(AND(LEFT($AJ215,4)="EGI ",ISNUMBER(MATCH(TRIM(MID($AJ215,5,99)),Lists!$T$2:$T$21,0))),INDEX(Lists!$U$2:$U$21,MATCH(TRIM(MID($AJ215,5,99)),Lists!$T$2:$T$21,0)),IF(OR(TRIM($J215)="",UPPER(TRIM($J215))="NA"),IFERROR(INDEX(Lists!$R$2:$R$9,MATCH(TRIM($G215),Lists!$Q$2:$Q$9,0)),"UNMAPPED"),IFERROR(INDEX(Lists!$U$2:$U$21,MATCH(TRIM($J215),Lists!$T$2:$T$21,0)),IFERROR(INDEX(Lists!$R$2:$R$9,MATCH(TRIM($G215),Lists!$Q$2:$Q$9,0)),"UNMAPPED"))))))))</f>
        <v>COE BP&amp;T</v>
      </c>
      <c r="AI215" s="534" t="b">
        <f>IF(TRIM($B215)="","",--OR(TRIM($L215)="Leadership",TRIM($K215)="Leadership"))</f>
        <v>0</v>
      </c>
      <c r="AJ215" s="534" t="str">
        <f>IF(TRIM($B215)="","",IF(COUNTIFS(Lists!$AN$2:$AN$22,TRIM($B215)&amp;" | "&amp;TRIM($D215),Lists!$AP$2:$AP$22,"&lt;&gt;"),INDEX(Lists!$AP$2:$AP$22,MATCH(TRIM($B215)&amp;" | "&amp;TRIM($D215),Lists!$AN$2:$AN$22,0)),IF($AI215=1,"Leadership",IFERROR(INDEX(Lists!$X$2:$X$21,MATCH(TRIM($L215),Lists!$W$2:$W$21,0)),IF(OR(TRIM($L215)="",LOWER(TRIM($L215))="na"),IF(TRIM($H215)="","Unassigned",TRIM($H215)),TRIM($L215))))))</f>
        <v>Transformation</v>
      </c>
      <c r="AK215" s="534" t="str">
        <f>IF(TRIM($B215)="","",IF(COUNTIFS(Lists!$AN$2:$AN$22,TRIM($B215)&amp;" | "&amp;TRIM($D215),Lists!$AQ$2:$AQ$22,"&lt;&gt;"),INDEX(Lists!$AQ$2:$AQ$22,MATCH(TRIM($B215)&amp;" | "&amp;TRIM($D215),Lists!$AN$2:$AN$22,0)),IF(COUNTIF(Lists!$AF$2:$AF$8,$AJ215),$AJ215,IF(ISNUMBER(SEARCH("head of ",$D215)),"Head of Technology",IF(ISNUMBER(SEARCH("TDD BP",$D215)),"Business Partner",IF(OR(ISNUMBER(SEARCH("domain architect",$D215)),ISNUMBER(SEARCH("enterprise architect",$D215))),"Domain Architect",IF(ISNUMBER(SEARCH("delivery man",$D215)),"Delivery Manager",IF(OR(ISNUMBER(SEARCH("technology manager",$D215)),ISNUMBER(SEARCH("technology manger",$D215)),ISNUMBER(SEARCH("tech manager",$D215))),"Technology Manager","Squad"))))))))</f>
        <v>Squad</v>
      </c>
      <c r="AL215" s="534" t="str">
        <f>IF(TRIM($B215)="","",IF(AND($AM215=1,LEFT($AJ215,4)&lt;&gt;"EGI ",$AJ215&lt;&gt;"EGI"),IFERROR(INDEX(Lists!$Z$2:$Z$20,MATCH($AH215,Lists!$Y$2:$Y$20,0)),"EGI "&amp;$AH215),IF(COUNTIF(Lists!$AU$2:$AU$10,$AJ215),$AJ215,IF(OR(LEFT($AH215,3)="COE",$AH215="EGI"),$AJ215,IF($AK215&lt;&gt;"Squad",$AK215,$AJ215)))))</f>
        <v>Transformation</v>
      </c>
      <c r="AM215" s="534" t="b">
        <f>IF(TRIM($B215)="","",--(UPPER(TRIM($K215))="EGI"))</f>
        <v>0</v>
      </c>
      <c r="AQ215" s="841" t="inlineStr">
        <is>
          <t>R0214</t>
        </is>
      </c>
      <c r="AZ215" s="841" t="n"/>
    </row>
    <row r="216" ht="18" customHeight="1" s="535">
      <c r="A216" s="842" t="n">
        <v>113509</v>
      </c>
      <c r="B216" s="843" t="inlineStr">
        <is>
          <t>Angela Ross</t>
        </is>
      </c>
      <c r="C216" s="842" t="n">
        <v>113509</v>
      </c>
      <c r="D216" s="843" t="inlineStr">
        <is>
          <t>Delivery Lead</t>
        </is>
      </c>
      <c r="E216" s="843" t="inlineStr">
        <is>
          <t>Vacant</t>
        </is>
      </c>
      <c r="F216" s="843" t="inlineStr">
        <is>
          <t>Delivery Manager</t>
        </is>
      </c>
      <c r="G216" s="844" t="inlineStr">
        <is>
          <t>TDD CFE&amp;I</t>
        </is>
      </c>
      <c r="H216" s="843" t="inlineStr">
        <is>
          <t>B2B &amp; Energy Solutions</t>
        </is>
      </c>
      <c r="I216" s="843" t="inlineStr">
        <is>
          <t>Delivery</t>
        </is>
      </c>
      <c r="J216" s="843" t="inlineStr">
        <is>
          <t>B2B &amp; Energy Solutions</t>
        </is>
      </c>
      <c r="K216" s="843" t="inlineStr">
        <is>
          <t>Energy Solutions</t>
        </is>
      </c>
      <c r="L216" s="843" t="inlineStr">
        <is>
          <t>EVCI</t>
        </is>
      </c>
      <c r="M216" s="843" t="n"/>
      <c r="N216" s="845" t="inlineStr">
        <is>
          <t>NZ</t>
        </is>
      </c>
      <c r="O216" s="846" t="inlineStr">
        <is>
          <t>CIC</t>
        </is>
      </c>
      <c r="P216" s="847" t="n">
        <v>1</v>
      </c>
      <c r="Q216" s="846" t="n"/>
      <c r="R216" s="847" t="inlineStr">
        <is>
          <t>Permanent - Full Time</t>
        </is>
      </c>
      <c r="S216" s="847" t="n"/>
      <c r="T216" s="847" t="n"/>
      <c r="U216" s="848" t="n">
        <v>163830</v>
      </c>
      <c r="V216" s="849" t="n">
        <v>150723.6</v>
      </c>
      <c r="W216" s="850" t="n">
        <v>0.15</v>
      </c>
      <c r="X216" s="847" t="n"/>
      <c r="Y216" s="850" t="n">
        <v>0.05</v>
      </c>
      <c r="Z216" s="851" t="n">
        <v>2910</v>
      </c>
      <c r="AA216" s="850" t="n">
        <v>0.03</v>
      </c>
      <c r="AB216" s="852" t="n">
        <v>188300.028</v>
      </c>
      <c r="AE216" s="534">
        <f>IF(TRIM($B216)="","",IF(AND(N($P216)&gt;0,N($P216)&lt;1),N($AB216)*N($P216),N($AB216)))</f>
        <v>188300.028</v>
      </c>
      <c r="AF216" s="534" t="str">
        <f>IF(TRIM($B216)="","",IF(OR(ISNUMBER(SEARCH("vacant",$B216)),ISNUMBER(SEARCH("ring fenced",$B216)),LOWER(TRIM($B216))="remove"),"Vacant","Filled"))</f>
        <v>Filled</v>
      </c>
      <c r="AG216" s="534" t="b">
        <f>IF(TRIM($B216)="","",--ISNUMBER(SEARCH("ring fenced",$B216)))</f>
        <v>0</v>
      </c>
      <c r="AH216" s="534" t="str">
        <f>IF(TRIM($B216)="","",IF(COUNTIFS(Lists!$AN$2:$AN$22,TRIM($B216)&amp;" | "&amp;TRIM($D216),Lists!$AO$2:$AO$22,"&lt;&gt;"),INDEX(Lists!$AO$2:$AO$22,MATCH(TRIM($B216)&amp;" | "&amp;TRIM($D216),Lists!$AN$2:$AN$22,0)),IF(COUNTIF(Lists!$AR$2:$AR$3,$AJ216),"TDD Cyber",IF(AND(LEFT($AJ216,4)="EGI ",ISNUMBER(MATCH(TRIM(MID($AJ216,5,99)),Lists!$AS$2:$AS$12,0))),TRIM(MID($AJ216,5,99)),IF(AND(LEFT($AJ216,4)="EGI ",ISNUMBER(MATCH(TRIM(MID($AJ216,5,99)),Lists!$T$2:$T$21,0))),INDEX(Lists!$U$2:$U$21,MATCH(TRIM(MID($AJ216,5,99)),Lists!$T$2:$T$21,0)),IF(OR(TRIM($J216)="",UPPER(TRIM($J216))="NA"),IFERROR(INDEX(Lists!$R$2:$R$9,MATCH(TRIM($G216),Lists!$Q$2:$Q$9,0)),"UNMAPPED"),IFERROR(INDEX(Lists!$U$2:$U$21,MATCH(TRIM($J216),Lists!$T$2:$T$21,0)),IFERROR(INDEX(Lists!$R$2:$R$9,MATCH(TRIM($G216),Lists!$Q$2:$Q$9,0)),"UNMAPPED"))))))))</f>
        <v>Energy Solutions &amp; B2B</v>
      </c>
      <c r="AI216" s="534" t="b">
        <f>IF(TRIM($B216)="","",--OR(TRIM($L216)="Leadership",TRIM($K216)="Leadership"))</f>
        <v>0</v>
      </c>
      <c r="AJ216" s="534" t="str">
        <f>IF(TRIM($B216)="","",IF(COUNTIFS(Lists!$AN$2:$AN$22,TRIM($B216)&amp;" | "&amp;TRIM($D216),Lists!$AP$2:$AP$22,"&lt;&gt;"),INDEX(Lists!$AP$2:$AP$22,MATCH(TRIM($B216)&amp;" | "&amp;TRIM($D216),Lists!$AN$2:$AN$22,0)),IF($AI216=1,"Leadership",IFERROR(INDEX(Lists!$X$2:$X$21,MATCH(TRIM($L216),Lists!$W$2:$W$21,0)),IF(OR(TRIM($L216)="",LOWER(TRIM($L216))="na"),IF(TRIM($H216)="","Unassigned",TRIM($H216)),TRIM($L216))))))</f>
        <v>EVCI</v>
      </c>
      <c r="AK216" s="534" t="str">
        <f>IF(TRIM($B216)="","",IF(COUNTIFS(Lists!$AN$2:$AN$22,TRIM($B216)&amp;" | "&amp;TRIM($D216),Lists!$AQ$2:$AQ$22,"&lt;&gt;"),INDEX(Lists!$AQ$2:$AQ$22,MATCH(TRIM($B216)&amp;" | "&amp;TRIM($D216),Lists!$AN$2:$AN$22,0)),IF(COUNTIF(Lists!$AF$2:$AF$8,$AJ216),$AJ216,IF(ISNUMBER(SEARCH("head of ",$D216)),"Head of Technology",IF(ISNUMBER(SEARCH("TDD BP",$D216)),"Business Partner",IF(OR(ISNUMBER(SEARCH("domain architect",$D216)),ISNUMBER(SEARCH("enterprise architect",$D216))),"Domain Architect",IF(ISNUMBER(SEARCH("delivery man",$D216)),"Delivery Manager",IF(OR(ISNUMBER(SEARCH("technology manager",$D216)),ISNUMBER(SEARCH("technology manger",$D216)),ISNUMBER(SEARCH("tech manager",$D216))),"Technology Manager","Squad"))))))))</f>
        <v>Squad</v>
      </c>
      <c r="AL216" s="534" t="str">
        <f>IF(TRIM($B216)="","",IF(AND($AM216=1,LEFT($AJ216,4)&lt;&gt;"EGI ",$AJ216&lt;&gt;"EGI"),IFERROR(INDEX(Lists!$Z$2:$Z$20,MATCH($AH216,Lists!$Y$2:$Y$20,0)),"EGI "&amp;$AH216),IF(COUNTIF(Lists!$AU$2:$AU$10,$AJ216),$AJ216,IF(OR(LEFT($AH216,3)="COE",$AH216="EGI"),$AJ216,IF($AK216&lt;&gt;"Squad",$AK216,$AJ216)))))</f>
        <v>EVCI</v>
      </c>
      <c r="AM216" s="534" t="b">
        <f>IF(TRIM($B216)="","",--(UPPER(TRIM($K216))="EGI"))</f>
        <v>0</v>
      </c>
      <c r="AQ216" s="841" t="inlineStr">
        <is>
          <t>R0215</t>
        </is>
      </c>
      <c r="AZ216" s="841" t="n"/>
    </row>
    <row r="217" ht="18" customHeight="1" s="535">
      <c r="A217" s="842" t="n">
        <v>106829</v>
      </c>
      <c r="B217" s="843" t="inlineStr">
        <is>
          <t>C K Lau</t>
        </is>
      </c>
      <c r="C217" s="842" t="n">
        <v>106829</v>
      </c>
      <c r="D217" s="843" t="inlineStr">
        <is>
          <t>Delivery Lead (Cloud &amp; Network)</t>
        </is>
      </c>
      <c r="E217" s="843" t="inlineStr">
        <is>
          <t>Vacant</t>
        </is>
      </c>
      <c r="F217" s="843" t="inlineStr">
        <is>
          <t>Delivery Manager</t>
        </is>
      </c>
      <c r="G217" s="844" t="inlineStr">
        <is>
          <t>TDD Group Functions</t>
        </is>
      </c>
      <c r="H217" s="843" t="inlineStr">
        <is>
          <t xml:space="preserve">TDD &amp; Engineering </t>
        </is>
      </c>
      <c r="I217" s="843" t="inlineStr">
        <is>
          <t>Delivery, TDD &amp; Engineering</t>
        </is>
      </c>
      <c r="J217" s="843" t="inlineStr">
        <is>
          <t>TDD</t>
        </is>
      </c>
      <c r="K217" s="843" t="inlineStr">
        <is>
          <t>TDD</t>
        </is>
      </c>
      <c r="L217" s="843" t="inlineStr">
        <is>
          <t>Cloud, Network &amp; Infra Ops</t>
        </is>
      </c>
      <c r="M217" s="843" t="n"/>
      <c r="N217" s="845" t="inlineStr">
        <is>
          <t>Australia</t>
        </is>
      </c>
      <c r="O217" s="846" t="inlineStr">
        <is>
          <t>CIC</t>
        </is>
      </c>
      <c r="P217" s="847" t="n">
        <v>1</v>
      </c>
      <c r="Q217" s="846" t="n"/>
      <c r="R217" s="847" t="inlineStr">
        <is>
          <t>Permanent - Full Time</t>
        </is>
      </c>
      <c r="S217" s="847" t="n"/>
      <c r="T217" s="847" t="n"/>
      <c r="U217" s="848" t="n">
        <v>186640</v>
      </c>
      <c r="V217" s="849" t="n">
        <v>186640</v>
      </c>
      <c r="W217" s="850" t="n">
        <v>0.12</v>
      </c>
      <c r="X217" s="847" t="n">
        <v>0.055</v>
      </c>
      <c r="Y217" s="850" t="n">
        <v>0.12</v>
      </c>
      <c r="Z217" s="851" t="n"/>
      <c r="AA217" s="850" t="n">
        <v>0.04</v>
      </c>
      <c r="AB217" s="852" t="n">
        <v>249164.4</v>
      </c>
      <c r="AE217" s="534">
        <f>IF(TRIM($B217)="","",IF(AND(N($P217)&gt;0,N($P217)&lt;1),N($AB217)*N($P217),N($AB217)))</f>
        <v>249164.4</v>
      </c>
      <c r="AF217" s="534" t="str">
        <f>IF(TRIM($B217)="","",IF(OR(ISNUMBER(SEARCH("vacant",$B217)),ISNUMBER(SEARCH("ring fenced",$B217)),LOWER(TRIM($B217))="remove"),"Vacant","Filled"))</f>
        <v>Filled</v>
      </c>
      <c r="AG217" s="534" t="b">
        <f>IF(TRIM($B217)="","",--ISNUMBER(SEARCH("ring fenced",$B217)))</f>
        <v>0</v>
      </c>
      <c r="AH217" s="534" t="str">
        <f>IF(TRIM($B217)="","",IF(COUNTIFS(Lists!$AN$2:$AN$22,TRIM($B217)&amp;" | "&amp;TRIM($D217),Lists!$AO$2:$AO$22,"&lt;&gt;"),INDEX(Lists!$AO$2:$AO$22,MATCH(TRIM($B217)&amp;" | "&amp;TRIM($D217),Lists!$AN$2:$AN$22,0)),IF(COUNTIF(Lists!$AR$2:$AR$3,$AJ217),"TDD Cyber",IF(AND(LEFT($AJ217,4)="EGI ",ISNUMBER(MATCH(TRIM(MID($AJ217,5,99)),Lists!$AS$2:$AS$12,0))),TRIM(MID($AJ217,5,99)),IF(AND(LEFT($AJ217,4)="EGI ",ISNUMBER(MATCH(TRIM(MID($AJ217,5,99)),Lists!$T$2:$T$21,0))),INDEX(Lists!$U$2:$U$21,MATCH(TRIM(MID($AJ217,5,99)),Lists!$T$2:$T$21,0)),IF(OR(TRIM($J217)="",UPPER(TRIM($J217))="NA"),IFERROR(INDEX(Lists!$R$2:$R$9,MATCH(TRIM($G217),Lists!$Q$2:$Q$9,0)),"UNMAPPED"),IFERROR(INDEX(Lists!$U$2:$U$21,MATCH(TRIM($J217),Lists!$T$2:$T$21,0)),IFERROR(INDEX(Lists!$R$2:$R$9,MATCH(TRIM($G217),Lists!$Q$2:$Q$9,0)),"UNMAPPED"))))))))</f>
        <v>TDD Group Functions</v>
      </c>
      <c r="AI217" s="534" t="b">
        <f>IF(TRIM($B217)="","",--OR(TRIM($L217)="Leadership",TRIM($K217)="Leadership"))</f>
        <v>0</v>
      </c>
      <c r="AJ217" s="534" t="str">
        <f>IF(TRIM($B217)="","",IF(COUNTIFS(Lists!$AN$2:$AN$22,TRIM($B217)&amp;" | "&amp;TRIM($D217),Lists!$AP$2:$AP$22,"&lt;&gt;"),INDEX(Lists!$AP$2:$AP$22,MATCH(TRIM($B217)&amp;" | "&amp;TRIM($D217),Lists!$AN$2:$AN$22,0)),IF($AI217=1,"Leadership",IFERROR(INDEX(Lists!$X$2:$X$21,MATCH(TRIM($L217),Lists!$W$2:$W$21,0)),IF(OR(TRIM($L217)="",LOWER(TRIM($L217))="na"),IF(TRIM($H217)="","Unassigned",TRIM($H217)),TRIM($L217))))))</f>
        <v>Cloud, Network &amp; Infra Ops</v>
      </c>
      <c r="AK217" s="534" t="str">
        <f>IF(TRIM($B217)="","",IF(COUNTIFS(Lists!$AN$2:$AN$22,TRIM($B217)&amp;" | "&amp;TRIM($D217),Lists!$AQ$2:$AQ$22,"&lt;&gt;"),INDEX(Lists!$AQ$2:$AQ$22,MATCH(TRIM($B217)&amp;" | "&amp;TRIM($D217),Lists!$AN$2:$AN$22,0)),IF(COUNTIF(Lists!$AF$2:$AF$8,$AJ217),$AJ217,IF(ISNUMBER(SEARCH("head of ",$D217)),"Head of Technology",IF(ISNUMBER(SEARCH("TDD BP",$D217)),"Business Partner",IF(OR(ISNUMBER(SEARCH("domain architect",$D217)),ISNUMBER(SEARCH("enterprise architect",$D217))),"Domain Architect",IF(ISNUMBER(SEARCH("delivery man",$D217)),"Delivery Manager",IF(OR(ISNUMBER(SEARCH("technology manager",$D217)),ISNUMBER(SEARCH("technology manger",$D217)),ISNUMBER(SEARCH("tech manager",$D217))),"Technology Manager","Squad"))))))))</f>
        <v>Squad</v>
      </c>
      <c r="AL217" s="534" t="str">
        <f>IF(TRIM($B217)="","",IF(AND($AM217=1,LEFT($AJ217,4)&lt;&gt;"EGI ",$AJ217&lt;&gt;"EGI"),IFERROR(INDEX(Lists!$Z$2:$Z$20,MATCH($AH217,Lists!$Y$2:$Y$20,0)),"EGI "&amp;$AH217),IF(COUNTIF(Lists!$AU$2:$AU$10,$AJ217),$AJ217,IF(OR(LEFT($AH217,3)="COE",$AH217="EGI"),$AJ217,IF($AK217&lt;&gt;"Squad",$AK217,$AJ217)))))</f>
        <v>Cloud, Network &amp; Infra Ops</v>
      </c>
      <c r="AM217" s="534" t="b">
        <f>IF(TRIM($B217)="","",--(UPPER(TRIM($K217))="EGI"))</f>
        <v>0</v>
      </c>
      <c r="AQ217" s="841" t="inlineStr">
        <is>
          <t>R0216</t>
        </is>
      </c>
      <c r="AZ217" s="841" t="n"/>
    </row>
    <row r="218" ht="18" customHeight="1" s="535">
      <c r="A218" s="842" t="n">
        <v>105532</v>
      </c>
      <c r="B218" s="843" t="inlineStr">
        <is>
          <t>Debbie Gor</t>
        </is>
      </c>
      <c r="C218" s="842" t="n">
        <v>105532</v>
      </c>
      <c r="D218" s="843" t="inlineStr">
        <is>
          <t>Delivery Lead</t>
        </is>
      </c>
      <c r="E218" s="843" t="inlineStr">
        <is>
          <t>Vacant</t>
        </is>
      </c>
      <c r="F218" s="843" t="inlineStr">
        <is>
          <t>Delivery Manager</t>
        </is>
      </c>
      <c r="G218" s="844" t="inlineStr">
        <is>
          <t>TDD CFE&amp;I</t>
        </is>
      </c>
      <c r="H218" s="843" t="inlineStr">
        <is>
          <t>B2B &amp; Energy Solutions</t>
        </is>
      </c>
      <c r="I218" s="843" t="inlineStr">
        <is>
          <t>Delivery</t>
        </is>
      </c>
      <c r="J218" s="843" t="inlineStr">
        <is>
          <t>B2B &amp; Energy Solutions</t>
        </is>
      </c>
      <c r="K218" s="843" t="inlineStr">
        <is>
          <t>B2B</t>
        </is>
      </c>
      <c r="L218" s="843" t="inlineStr">
        <is>
          <t>B2B</t>
        </is>
      </c>
      <c r="M218" s="843" t="n"/>
      <c r="N218" s="845" t="inlineStr">
        <is>
          <t>Australia</t>
        </is>
      </c>
      <c r="O218" s="846" t="inlineStr">
        <is>
          <t>CIC</t>
        </is>
      </c>
      <c r="P218" s="847" t="n">
        <v>1</v>
      </c>
      <c r="Q218" s="846" t="n"/>
      <c r="R218" s="847" t="inlineStr">
        <is>
          <t>Permanent - Full Time</t>
        </is>
      </c>
      <c r="S218" s="847" t="n"/>
      <c r="T218" s="847" t="n"/>
      <c r="U218" s="848" t="n">
        <v>199710</v>
      </c>
      <c r="V218" s="849" t="n">
        <v>199710</v>
      </c>
      <c r="W218" s="850" t="n">
        <v>0.12</v>
      </c>
      <c r="X218" s="847" t="n">
        <v>0.055</v>
      </c>
      <c r="Y218" s="850" t="n">
        <v>0.12</v>
      </c>
      <c r="Z218" s="851" t="n"/>
      <c r="AA218" s="850" t="n">
        <v>0.04</v>
      </c>
      <c r="AB218" s="852" t="n">
        <v>266612.85</v>
      </c>
      <c r="AE218" s="534">
        <f>IF(TRIM($B218)="","",IF(AND(N($P218)&gt;0,N($P218)&lt;1),N($AB218)*N($P218),N($AB218)))</f>
        <v>266612.85</v>
      </c>
      <c r="AF218" s="534" t="str">
        <f>IF(TRIM($B218)="","",IF(OR(ISNUMBER(SEARCH("vacant",$B218)),ISNUMBER(SEARCH("ring fenced",$B218)),LOWER(TRIM($B218))="remove"),"Vacant","Filled"))</f>
        <v>Filled</v>
      </c>
      <c r="AG218" s="534" t="b">
        <f>IF(TRIM($B218)="","",--ISNUMBER(SEARCH("ring fenced",$B218)))</f>
        <v>0</v>
      </c>
      <c r="AH218" s="534" t="str">
        <f>IF(TRIM($B218)="","",IF(COUNTIFS(Lists!$AN$2:$AN$22,TRIM($B218)&amp;" | "&amp;TRIM($D218),Lists!$AO$2:$AO$22,"&lt;&gt;"),INDEX(Lists!$AO$2:$AO$22,MATCH(TRIM($B218)&amp;" | "&amp;TRIM($D218),Lists!$AN$2:$AN$22,0)),IF(COUNTIF(Lists!$AR$2:$AR$3,$AJ218),"TDD Cyber",IF(AND(LEFT($AJ218,4)="EGI ",ISNUMBER(MATCH(TRIM(MID($AJ218,5,99)),Lists!$AS$2:$AS$12,0))),TRIM(MID($AJ218,5,99)),IF(AND(LEFT($AJ218,4)="EGI ",ISNUMBER(MATCH(TRIM(MID($AJ218,5,99)),Lists!$T$2:$T$21,0))),INDEX(Lists!$U$2:$U$21,MATCH(TRIM(MID($AJ218,5,99)),Lists!$T$2:$T$21,0)),IF(OR(TRIM($J218)="",UPPER(TRIM($J218))="NA"),IFERROR(INDEX(Lists!$R$2:$R$9,MATCH(TRIM($G218),Lists!$Q$2:$Q$9,0)),"UNMAPPED"),IFERROR(INDEX(Lists!$U$2:$U$21,MATCH(TRIM($J218),Lists!$T$2:$T$21,0)),IFERROR(INDEX(Lists!$R$2:$R$9,MATCH(TRIM($G218),Lists!$Q$2:$Q$9,0)),"UNMAPPED"))))))))</f>
        <v>Energy Solutions &amp; B2B</v>
      </c>
      <c r="AI218" s="534" t="b">
        <f>IF(TRIM($B218)="","",--OR(TRIM($L218)="Leadership",TRIM($K218)="Leadership"))</f>
        <v>0</v>
      </c>
      <c r="AJ218" s="534" t="str">
        <f>IF(TRIM($B218)="","",IF(COUNTIFS(Lists!$AN$2:$AN$22,TRIM($B218)&amp;" | "&amp;TRIM($D218),Lists!$AP$2:$AP$22,"&lt;&gt;"),INDEX(Lists!$AP$2:$AP$22,MATCH(TRIM($B218)&amp;" | "&amp;TRIM($D218),Lists!$AN$2:$AN$22,0)),IF($AI218=1,"Leadership",IFERROR(INDEX(Lists!$X$2:$X$21,MATCH(TRIM($L218),Lists!$W$2:$W$21,0)),IF(OR(TRIM($L218)="",LOWER(TRIM($L218))="na"),IF(TRIM($H218)="","Unassigned",TRIM($H218)),TRIM($L218))))))</f>
        <v>B2B</v>
      </c>
      <c r="AK218" s="534" t="str">
        <f>IF(TRIM($B218)="","",IF(COUNTIFS(Lists!$AN$2:$AN$22,TRIM($B218)&amp;" | "&amp;TRIM($D218),Lists!$AQ$2:$AQ$22,"&lt;&gt;"),INDEX(Lists!$AQ$2:$AQ$22,MATCH(TRIM($B218)&amp;" | "&amp;TRIM($D218),Lists!$AN$2:$AN$22,0)),IF(COUNTIF(Lists!$AF$2:$AF$8,$AJ218),$AJ218,IF(ISNUMBER(SEARCH("head of ",$D218)),"Head of Technology",IF(ISNUMBER(SEARCH("TDD BP",$D218)),"Business Partner",IF(OR(ISNUMBER(SEARCH("domain architect",$D218)),ISNUMBER(SEARCH("enterprise architect",$D218))),"Domain Architect",IF(ISNUMBER(SEARCH("delivery man",$D218)),"Delivery Manager",IF(OR(ISNUMBER(SEARCH("technology manager",$D218)),ISNUMBER(SEARCH("technology manger",$D218)),ISNUMBER(SEARCH("tech manager",$D218))),"Technology Manager","Squad"))))))))</f>
        <v>Squad</v>
      </c>
      <c r="AL218" s="534" t="str">
        <f>IF(TRIM($B218)="","",IF(AND($AM218=1,LEFT($AJ218,4)&lt;&gt;"EGI ",$AJ218&lt;&gt;"EGI"),IFERROR(INDEX(Lists!$Z$2:$Z$20,MATCH($AH218,Lists!$Y$2:$Y$20,0)),"EGI "&amp;$AH218),IF(COUNTIF(Lists!$AU$2:$AU$10,$AJ218),$AJ218,IF(OR(LEFT($AH218,3)="COE",$AH218="EGI"),$AJ218,IF($AK218&lt;&gt;"Squad",$AK218,$AJ218)))))</f>
        <v>B2B</v>
      </c>
      <c r="AM218" s="534" t="b">
        <f>IF(TRIM($B218)="","",--(UPPER(TRIM($K218))="EGI"))</f>
        <v>0</v>
      </c>
      <c r="AQ218" s="841" t="inlineStr">
        <is>
          <t>R0217</t>
        </is>
      </c>
      <c r="AZ218" s="841" t="n"/>
    </row>
    <row r="219" ht="18" customHeight="1" s="535">
      <c r="A219" s="842" t="n">
        <v>113577</v>
      </c>
      <c r="B219" s="843" t="inlineStr">
        <is>
          <t>Lisa Rademakers</t>
        </is>
      </c>
      <c r="C219" s="842" t="n">
        <v>113577</v>
      </c>
      <c r="D219" s="843" t="inlineStr">
        <is>
          <t>Delivery Lead (Integrations)</t>
        </is>
      </c>
      <c r="E219" s="843" t="inlineStr">
        <is>
          <t>Vacant</t>
        </is>
      </c>
      <c r="F219" s="843" t="inlineStr">
        <is>
          <t>Delivery Manager</t>
        </is>
      </c>
      <c r="G219" s="844" t="inlineStr">
        <is>
          <t>TDD Group Functions</t>
        </is>
      </c>
      <c r="H219" s="843" t="inlineStr">
        <is>
          <t xml:space="preserve">TDD &amp; Engineering </t>
        </is>
      </c>
      <c r="I219" s="843" t="inlineStr">
        <is>
          <t>Delivery, TDD &amp; Engineering</t>
        </is>
      </c>
      <c r="J219" s="843" t="inlineStr">
        <is>
          <t>TDD</t>
        </is>
      </c>
      <c r="K219" s="843" t="inlineStr">
        <is>
          <t>TDD</t>
        </is>
      </c>
      <c r="L219" s="843" t="inlineStr">
        <is>
          <t>Integration &amp; Process Automation</t>
        </is>
      </c>
      <c r="M219" s="843" t="n"/>
      <c r="N219" s="845" t="inlineStr">
        <is>
          <t>NZ</t>
        </is>
      </c>
      <c r="O219" s="846" t="inlineStr">
        <is>
          <t>CIC</t>
        </is>
      </c>
      <c r="P219" s="847" t="n">
        <v>1</v>
      </c>
      <c r="Q219" s="846" t="n"/>
      <c r="R219" s="847" t="inlineStr">
        <is>
          <t>Permanent - Full Time</t>
        </is>
      </c>
      <c r="S219" s="847" t="n"/>
      <c r="T219" s="847" t="n"/>
      <c r="U219" s="848" t="n">
        <v>176220</v>
      </c>
      <c r="V219" s="849" t="n">
        <v>162122.4</v>
      </c>
      <c r="W219" s="850" t="n">
        <v>0.15</v>
      </c>
      <c r="X219" s="847" t="n"/>
      <c r="Y219" s="850" t="n">
        <v>0.05</v>
      </c>
      <c r="Z219" s="851" t="n">
        <v>2910</v>
      </c>
      <c r="AA219" s="850" t="n">
        <v>0.03</v>
      </c>
      <c r="AB219" s="852" t="n">
        <v>202320.552</v>
      </c>
      <c r="AE219" s="534">
        <f>IF(TRIM($B219)="","",IF(AND(N($P219)&gt;0,N($P219)&lt;1),N($AB219)*N($P219),N($AB219)))</f>
        <v>202320.552</v>
      </c>
      <c r="AF219" s="534" t="str">
        <f>IF(TRIM($B219)="","",IF(OR(ISNUMBER(SEARCH("vacant",$B219)),ISNUMBER(SEARCH("ring fenced",$B219)),LOWER(TRIM($B219))="remove"),"Vacant","Filled"))</f>
        <v>Filled</v>
      </c>
      <c r="AG219" s="534" t="b">
        <f>IF(TRIM($B219)="","",--ISNUMBER(SEARCH("ring fenced",$B219)))</f>
        <v>0</v>
      </c>
      <c r="AH219" s="534" t="str">
        <f>IF(TRIM($B219)="","",IF(COUNTIFS(Lists!$AN$2:$AN$22,TRIM($B219)&amp;" | "&amp;TRIM($D219),Lists!$AO$2:$AO$22,"&lt;&gt;"),INDEX(Lists!$AO$2:$AO$22,MATCH(TRIM($B219)&amp;" | "&amp;TRIM($D219),Lists!$AN$2:$AN$22,0)),IF(COUNTIF(Lists!$AR$2:$AR$3,$AJ219),"TDD Cyber",IF(AND(LEFT($AJ219,4)="EGI ",ISNUMBER(MATCH(TRIM(MID($AJ219,5,99)),Lists!$AS$2:$AS$12,0))),TRIM(MID($AJ219,5,99)),IF(AND(LEFT($AJ219,4)="EGI ",ISNUMBER(MATCH(TRIM(MID($AJ219,5,99)),Lists!$T$2:$T$21,0))),INDEX(Lists!$U$2:$U$21,MATCH(TRIM(MID($AJ219,5,99)),Lists!$T$2:$T$21,0)),IF(OR(TRIM($J219)="",UPPER(TRIM($J219))="NA"),IFERROR(INDEX(Lists!$R$2:$R$9,MATCH(TRIM($G219),Lists!$Q$2:$Q$9,0)),"UNMAPPED"),IFERROR(INDEX(Lists!$U$2:$U$21,MATCH(TRIM($J219),Lists!$T$2:$T$21,0)),IFERROR(INDEX(Lists!$R$2:$R$9,MATCH(TRIM($G219),Lists!$Q$2:$Q$9,0)),"UNMAPPED"))))))))</f>
        <v>TDD Group Functions</v>
      </c>
      <c r="AI219" s="534" t="b">
        <f>IF(TRIM($B219)="","",--OR(TRIM($L219)="Leadership",TRIM($K219)="Leadership"))</f>
        <v>0</v>
      </c>
      <c r="AJ219" s="534" t="str">
        <f>IF(TRIM($B219)="","",IF(COUNTIFS(Lists!$AN$2:$AN$22,TRIM($B219)&amp;" | "&amp;TRIM($D219),Lists!$AP$2:$AP$22,"&lt;&gt;"),INDEX(Lists!$AP$2:$AP$22,MATCH(TRIM($B219)&amp;" | "&amp;TRIM($D219),Lists!$AN$2:$AN$22,0)),IF($AI219=1,"Leadership",IFERROR(INDEX(Lists!$X$2:$X$21,MATCH(TRIM($L219),Lists!$W$2:$W$21,0)),IF(OR(TRIM($L219)="",LOWER(TRIM($L219))="na"),IF(TRIM($H219)="","Unassigned",TRIM($H219)),TRIM($L219))))))</f>
        <v>Integration &amp; Process Automation</v>
      </c>
      <c r="AK219" s="534" t="str">
        <f>IF(TRIM($B219)="","",IF(COUNTIFS(Lists!$AN$2:$AN$22,TRIM($B219)&amp;" | "&amp;TRIM($D219),Lists!$AQ$2:$AQ$22,"&lt;&gt;"),INDEX(Lists!$AQ$2:$AQ$22,MATCH(TRIM($B219)&amp;" | "&amp;TRIM($D219),Lists!$AN$2:$AN$22,0)),IF(COUNTIF(Lists!$AF$2:$AF$8,$AJ219),$AJ219,IF(ISNUMBER(SEARCH("head of ",$D219)),"Head of Technology",IF(ISNUMBER(SEARCH("TDD BP",$D219)),"Business Partner",IF(OR(ISNUMBER(SEARCH("domain architect",$D219)),ISNUMBER(SEARCH("enterprise architect",$D219))),"Domain Architect",IF(ISNUMBER(SEARCH("delivery man",$D219)),"Delivery Manager",IF(OR(ISNUMBER(SEARCH("technology manager",$D219)),ISNUMBER(SEARCH("technology manger",$D219)),ISNUMBER(SEARCH("tech manager",$D219))),"Technology Manager","Squad"))))))))</f>
        <v>Squad</v>
      </c>
      <c r="AL219" s="534" t="str">
        <f>IF(TRIM($B219)="","",IF(AND($AM219=1,LEFT($AJ219,4)&lt;&gt;"EGI ",$AJ219&lt;&gt;"EGI"),IFERROR(INDEX(Lists!$Z$2:$Z$20,MATCH($AH219,Lists!$Y$2:$Y$20,0)),"EGI "&amp;$AH219),IF(COUNTIF(Lists!$AU$2:$AU$10,$AJ219),$AJ219,IF(OR(LEFT($AH219,3)="COE",$AH219="EGI"),$AJ219,IF($AK219&lt;&gt;"Squad",$AK219,$AJ219)))))</f>
        <v>Integration &amp; Process Automation</v>
      </c>
      <c r="AM219" s="534" t="b">
        <f>IF(TRIM($B219)="","",--(UPPER(TRIM($K219))="EGI"))</f>
        <v>0</v>
      </c>
      <c r="AQ219" s="841" t="inlineStr">
        <is>
          <t>R0218</t>
        </is>
      </c>
      <c r="AZ219" s="841" t="n"/>
    </row>
    <row r="220" ht="18" customHeight="1" s="535">
      <c r="A220" s="842" t="n">
        <v>106907</v>
      </c>
      <c r="B220" s="843" t="inlineStr">
        <is>
          <t>Oz Shaaban</t>
        </is>
      </c>
      <c r="C220" s="842" t="n">
        <v>106907</v>
      </c>
      <c r="D220" s="843" t="inlineStr">
        <is>
          <t>Delivery Lead</t>
        </is>
      </c>
      <c r="E220" s="843" t="inlineStr">
        <is>
          <t>Vacant</t>
        </is>
      </c>
      <c r="F220" s="843" t="inlineStr">
        <is>
          <t>Delivery Manager</t>
        </is>
      </c>
      <c r="G220" s="844" t="inlineStr">
        <is>
          <t>TDD CFE&amp;I</t>
        </is>
      </c>
      <c r="H220" s="843" t="inlineStr">
        <is>
          <t>Commercial Fuels</t>
        </is>
      </c>
      <c r="I220" s="843" t="inlineStr">
        <is>
          <t>Delivery, Commercial Fuels</t>
        </is>
      </c>
      <c r="J220" s="843" t="inlineStr">
        <is>
          <t>Commercial Fuels</t>
        </is>
      </c>
      <c r="K220" s="843" t="inlineStr">
        <is>
          <t>CTRM</t>
        </is>
      </c>
      <c r="L220" s="843" t="inlineStr">
        <is>
          <t>CTRM</t>
        </is>
      </c>
      <c r="M220" s="843" t="n"/>
      <c r="N220" s="845" t="inlineStr">
        <is>
          <t>Australia</t>
        </is>
      </c>
      <c r="O220" s="846" t="inlineStr">
        <is>
          <t>CIC</t>
        </is>
      </c>
      <c r="P220" s="847" t="n">
        <v>1</v>
      </c>
      <c r="Q220" s="846" t="n"/>
      <c r="R220" s="847" t="inlineStr">
        <is>
          <t>Permanent - Full Time</t>
        </is>
      </c>
      <c r="S220" s="847" t="n"/>
      <c r="T220" s="847" t="n"/>
      <c r="U220" s="848" t="n">
        <v>190260</v>
      </c>
      <c r="V220" s="849" t="n">
        <v>190260</v>
      </c>
      <c r="W220" s="850" t="n">
        <v>0.12</v>
      </c>
      <c r="X220" s="847" t="n">
        <v>0.055</v>
      </c>
      <c r="Y220" s="850" t="n">
        <v>0.12</v>
      </c>
      <c r="Z220" s="851" t="n"/>
      <c r="AA220" s="850" t="n">
        <v>0.04</v>
      </c>
      <c r="AB220" s="852" t="n">
        <v>253997.1</v>
      </c>
      <c r="AE220" s="534">
        <f>IF(TRIM($B220)="","",IF(AND(N($P220)&gt;0,N($P220)&lt;1),N($AB220)*N($P220),N($AB220)))</f>
        <v>253997.1</v>
      </c>
      <c r="AF220" s="534" t="str">
        <f>IF(TRIM($B220)="","",IF(OR(ISNUMBER(SEARCH("vacant",$B220)),ISNUMBER(SEARCH("ring fenced",$B220)),LOWER(TRIM($B220))="remove"),"Vacant","Filled"))</f>
        <v>Filled</v>
      </c>
      <c r="AG220" s="534" t="b">
        <f>IF(TRIM($B220)="","",--ISNUMBER(SEARCH("ring fenced",$B220)))</f>
        <v>0</v>
      </c>
      <c r="AH220" s="534" t="str">
        <f>IF(TRIM($B220)="","",IF(COUNTIFS(Lists!$AN$2:$AN$22,TRIM($B220)&amp;" | "&amp;TRIM($D220),Lists!$AO$2:$AO$22,"&lt;&gt;"),INDEX(Lists!$AO$2:$AO$22,MATCH(TRIM($B220)&amp;" | "&amp;TRIM($D220),Lists!$AN$2:$AN$22,0)),IF(COUNTIF(Lists!$AR$2:$AR$3,$AJ220),"TDD Cyber",IF(AND(LEFT($AJ220,4)="EGI ",ISNUMBER(MATCH(TRIM(MID($AJ220,5,99)),Lists!$AS$2:$AS$12,0))),TRIM(MID($AJ220,5,99)),IF(AND(LEFT($AJ220,4)="EGI ",ISNUMBER(MATCH(TRIM(MID($AJ220,5,99)),Lists!$T$2:$T$21,0))),INDEX(Lists!$U$2:$U$21,MATCH(TRIM(MID($AJ220,5,99)),Lists!$T$2:$T$21,0)),IF(OR(TRIM($J220)="",UPPER(TRIM($J220))="NA"),IFERROR(INDEX(Lists!$R$2:$R$9,MATCH(TRIM($G220),Lists!$Q$2:$Q$9,0)),"UNMAPPED"),IFERROR(INDEX(Lists!$U$2:$U$21,MATCH(TRIM($J220),Lists!$T$2:$T$21,0)),IFERROR(INDEX(Lists!$R$2:$R$9,MATCH(TRIM($G220),Lists!$Q$2:$Q$9,0)),"UNMAPPED"))))))))</f>
        <v>Commercial Fuels</v>
      </c>
      <c r="AI220" s="534" t="b">
        <f>IF(TRIM($B220)="","",--OR(TRIM($L220)="Leadership",TRIM($K220)="Leadership"))</f>
        <v>0</v>
      </c>
      <c r="AJ220" s="534" t="str">
        <f>IF(TRIM($B220)="","",IF(COUNTIFS(Lists!$AN$2:$AN$22,TRIM($B220)&amp;" | "&amp;TRIM($D220),Lists!$AP$2:$AP$22,"&lt;&gt;"),INDEX(Lists!$AP$2:$AP$22,MATCH(TRIM($B220)&amp;" | "&amp;TRIM($D220),Lists!$AN$2:$AN$22,0)),IF($AI220=1,"Leadership",IFERROR(INDEX(Lists!$X$2:$X$21,MATCH(TRIM($L220),Lists!$W$2:$W$21,0)),IF(OR(TRIM($L220)="",LOWER(TRIM($L220))="na"),IF(TRIM($H220)="","Unassigned",TRIM($H220)),TRIM($L220))))))</f>
        <v>CTRM</v>
      </c>
      <c r="AK220" s="534" t="str">
        <f>IF(TRIM($B220)="","",IF(COUNTIFS(Lists!$AN$2:$AN$22,TRIM($B220)&amp;" | "&amp;TRIM($D220),Lists!$AQ$2:$AQ$22,"&lt;&gt;"),INDEX(Lists!$AQ$2:$AQ$22,MATCH(TRIM($B220)&amp;" | "&amp;TRIM($D220),Lists!$AN$2:$AN$22,0)),IF(COUNTIF(Lists!$AF$2:$AF$8,$AJ220),$AJ220,IF(ISNUMBER(SEARCH("head of ",$D220)),"Head of Technology",IF(ISNUMBER(SEARCH("TDD BP",$D220)),"Business Partner",IF(OR(ISNUMBER(SEARCH("domain architect",$D220)),ISNUMBER(SEARCH("enterprise architect",$D220))),"Domain Architect",IF(ISNUMBER(SEARCH("delivery man",$D220)),"Delivery Manager",IF(OR(ISNUMBER(SEARCH("technology manager",$D220)),ISNUMBER(SEARCH("technology manger",$D220)),ISNUMBER(SEARCH("tech manager",$D220))),"Technology Manager","Squad"))))))))</f>
        <v>Squad</v>
      </c>
      <c r="AL220" s="534" t="str">
        <f>IF(TRIM($B220)="","",IF(AND($AM220=1,LEFT($AJ220,4)&lt;&gt;"EGI ",$AJ220&lt;&gt;"EGI"),IFERROR(INDEX(Lists!$Z$2:$Z$20,MATCH($AH220,Lists!$Y$2:$Y$20,0)),"EGI "&amp;$AH220),IF(COUNTIF(Lists!$AU$2:$AU$10,$AJ220),$AJ220,IF(OR(LEFT($AH220,3)="COE",$AH220="EGI"),$AJ220,IF($AK220&lt;&gt;"Squad",$AK220,$AJ220)))))</f>
        <v>CTRM</v>
      </c>
      <c r="AM220" s="534" t="b">
        <f>IF(TRIM($B220)="","",--(UPPER(TRIM($K220))="EGI"))</f>
        <v>0</v>
      </c>
      <c r="AQ220" s="841" t="inlineStr">
        <is>
          <t>R0219</t>
        </is>
      </c>
      <c r="AZ220" s="841" t="n"/>
    </row>
    <row r="221" ht="18" customHeight="1" s="535">
      <c r="A221" s="842" t="n">
        <v>115935</v>
      </c>
      <c r="B221" s="843" t="inlineStr">
        <is>
          <t>Rick Abainza</t>
        </is>
      </c>
      <c r="C221" s="842" t="n">
        <v>115935</v>
      </c>
      <c r="D221" s="843" t="inlineStr">
        <is>
          <t>Lead Business Analyst</t>
        </is>
      </c>
      <c r="E221" s="843" t="inlineStr">
        <is>
          <t>Vacant</t>
        </is>
      </c>
      <c r="F221" s="843" t="inlineStr">
        <is>
          <t>Delivery Manager</t>
        </is>
      </c>
      <c r="G221" s="844" t="inlineStr">
        <is>
          <t>TDD CFE&amp;I</t>
        </is>
      </c>
      <c r="H221" s="843" t="inlineStr">
        <is>
          <t>Commercial Fuels</t>
        </is>
      </c>
      <c r="I221" s="843" t="inlineStr">
        <is>
          <t>Delivery, Commercial Fuels</t>
        </is>
      </c>
      <c r="J221" s="843" t="inlineStr">
        <is>
          <t>Commercial Fuels</t>
        </is>
      </c>
      <c r="K221" s="843" t="inlineStr">
        <is>
          <t>CTRM</t>
        </is>
      </c>
      <c r="L221" s="843" t="inlineStr">
        <is>
          <t>CTRM</t>
        </is>
      </c>
      <c r="M221" s="843" t="n"/>
      <c r="N221" s="845" t="inlineStr">
        <is>
          <t>Singapore</t>
        </is>
      </c>
      <c r="O221" s="846" t="inlineStr">
        <is>
          <t>CIC</t>
        </is>
      </c>
      <c r="P221" s="847" t="n">
        <v>1</v>
      </c>
      <c r="Q221" s="846" t="n"/>
      <c r="R221" s="847" t="inlineStr">
        <is>
          <t>Permanent - Full Time</t>
        </is>
      </c>
      <c r="S221" s="847" t="n"/>
      <c r="T221" s="847" t="n"/>
      <c r="U221" s="848" t="n">
        <v>205000</v>
      </c>
      <c r="V221" s="849" t="n">
        <v>248050</v>
      </c>
      <c r="W221" s="850" t="n">
        <v>0.25</v>
      </c>
      <c r="X221" s="847" t="n"/>
      <c r="Y221" s="850" t="n">
        <v>0.17</v>
      </c>
      <c r="Z221" s="851" t="n">
        <v>3310</v>
      </c>
      <c r="AA221" s="850" t="n">
        <v>0.045</v>
      </c>
      <c r="AB221" s="852" t="n">
        <v>366703.25</v>
      </c>
      <c r="AE221" s="534">
        <f>IF(TRIM($B221)="","",IF(AND(N($P221)&gt;0,N($P221)&lt;1),N($AB221)*N($P221),N($AB221)))</f>
        <v>366703.25</v>
      </c>
      <c r="AF221" s="534" t="str">
        <f>IF(TRIM($B221)="","",IF(OR(ISNUMBER(SEARCH("vacant",$B221)),ISNUMBER(SEARCH("ring fenced",$B221)),LOWER(TRIM($B221))="remove"),"Vacant","Filled"))</f>
        <v>Filled</v>
      </c>
      <c r="AG221" s="534" t="b">
        <f>IF(TRIM($B221)="","",--ISNUMBER(SEARCH("ring fenced",$B221)))</f>
        <v>0</v>
      </c>
      <c r="AH221" s="534" t="str">
        <f>IF(TRIM($B221)="","",IF(COUNTIFS(Lists!$AN$2:$AN$22,TRIM($B221)&amp;" | "&amp;TRIM($D221),Lists!$AO$2:$AO$22,"&lt;&gt;"),INDEX(Lists!$AO$2:$AO$22,MATCH(TRIM($B221)&amp;" | "&amp;TRIM($D221),Lists!$AN$2:$AN$22,0)),IF(COUNTIF(Lists!$AR$2:$AR$3,$AJ221),"TDD Cyber",IF(AND(LEFT($AJ221,4)="EGI ",ISNUMBER(MATCH(TRIM(MID($AJ221,5,99)),Lists!$AS$2:$AS$12,0))),TRIM(MID($AJ221,5,99)),IF(AND(LEFT($AJ221,4)="EGI ",ISNUMBER(MATCH(TRIM(MID($AJ221,5,99)),Lists!$T$2:$T$21,0))),INDEX(Lists!$U$2:$U$21,MATCH(TRIM(MID($AJ221,5,99)),Lists!$T$2:$T$21,0)),IF(OR(TRIM($J221)="",UPPER(TRIM($J221))="NA"),IFERROR(INDEX(Lists!$R$2:$R$9,MATCH(TRIM($G221),Lists!$Q$2:$Q$9,0)),"UNMAPPED"),IFERROR(INDEX(Lists!$U$2:$U$21,MATCH(TRIM($J221),Lists!$T$2:$T$21,0)),IFERROR(INDEX(Lists!$R$2:$R$9,MATCH(TRIM($G221),Lists!$Q$2:$Q$9,0)),"UNMAPPED"))))))))</f>
        <v>Commercial Fuels</v>
      </c>
      <c r="AI221" s="534" t="b">
        <f>IF(TRIM($B221)="","",--OR(TRIM($L221)="Leadership",TRIM($K221)="Leadership"))</f>
        <v>0</v>
      </c>
      <c r="AJ221" s="534" t="str">
        <f>IF(TRIM($B221)="","",IF(COUNTIFS(Lists!$AN$2:$AN$22,TRIM($B221)&amp;" | "&amp;TRIM($D221),Lists!$AP$2:$AP$22,"&lt;&gt;"),INDEX(Lists!$AP$2:$AP$22,MATCH(TRIM($B221)&amp;" | "&amp;TRIM($D221),Lists!$AN$2:$AN$22,0)),IF($AI221=1,"Leadership",IFERROR(INDEX(Lists!$X$2:$X$21,MATCH(TRIM($L221),Lists!$W$2:$W$21,0)),IF(OR(TRIM($L221)="",LOWER(TRIM($L221))="na"),IF(TRIM($H221)="","Unassigned",TRIM($H221)),TRIM($L221))))))</f>
        <v>CTRM</v>
      </c>
      <c r="AK221" s="534" t="str">
        <f>IF(TRIM($B221)="","",IF(COUNTIFS(Lists!$AN$2:$AN$22,TRIM($B221)&amp;" | "&amp;TRIM($D221),Lists!$AQ$2:$AQ$22,"&lt;&gt;"),INDEX(Lists!$AQ$2:$AQ$22,MATCH(TRIM($B221)&amp;" | "&amp;TRIM($D221),Lists!$AN$2:$AN$22,0)),IF(COUNTIF(Lists!$AF$2:$AF$8,$AJ221),$AJ221,IF(ISNUMBER(SEARCH("head of ",$D221)),"Head of Technology",IF(ISNUMBER(SEARCH("TDD BP",$D221)),"Business Partner",IF(OR(ISNUMBER(SEARCH("domain architect",$D221)),ISNUMBER(SEARCH("enterprise architect",$D221))),"Domain Architect",IF(ISNUMBER(SEARCH("delivery man",$D221)),"Delivery Manager",IF(OR(ISNUMBER(SEARCH("technology manager",$D221)),ISNUMBER(SEARCH("technology manger",$D221)),ISNUMBER(SEARCH("tech manager",$D221))),"Technology Manager","Squad"))))))))</f>
        <v>Squad</v>
      </c>
      <c r="AL221" s="534" t="str">
        <f>IF(TRIM($B221)="","",IF(AND($AM221=1,LEFT($AJ221,4)&lt;&gt;"EGI ",$AJ221&lt;&gt;"EGI"),IFERROR(INDEX(Lists!$Z$2:$Z$20,MATCH($AH221,Lists!$Y$2:$Y$20,0)),"EGI "&amp;$AH221),IF(COUNTIF(Lists!$AU$2:$AU$10,$AJ221),$AJ221,IF(OR(LEFT($AH221,3)="COE",$AH221="EGI"),$AJ221,IF($AK221&lt;&gt;"Squad",$AK221,$AJ221)))))</f>
        <v>CTRM</v>
      </c>
      <c r="AM221" s="534" t="b">
        <f>IF(TRIM($B221)="","",--(UPPER(TRIM($K221))="EGI"))</f>
        <v>0</v>
      </c>
      <c r="AQ221" s="841" t="inlineStr">
        <is>
          <t>R0220</t>
        </is>
      </c>
      <c r="AZ221" s="841" t="n"/>
    </row>
    <row r="222" ht="18" customHeight="1" s="535">
      <c r="A222" s="842" t="n">
        <v>106221</v>
      </c>
      <c r="B222" s="843" t="inlineStr">
        <is>
          <t>Suja Sugathan</t>
        </is>
      </c>
      <c r="C222" s="842" t="n">
        <v>106221</v>
      </c>
      <c r="D222" s="843" t="inlineStr">
        <is>
          <t>Senior Business Analyst</t>
        </is>
      </c>
      <c r="E222" s="843" t="inlineStr">
        <is>
          <t>Vacant</t>
        </is>
      </c>
      <c r="F222" s="843" t="inlineStr">
        <is>
          <t>Delivery Manager</t>
        </is>
      </c>
      <c r="G222" s="844" t="inlineStr">
        <is>
          <t>TDD CFE&amp;I</t>
        </is>
      </c>
      <c r="H222" s="843" t="inlineStr">
        <is>
          <t>Commercial Fuels</t>
        </is>
      </c>
      <c r="I222" s="843" t="inlineStr">
        <is>
          <t>Delivery, Commercial Fuels</t>
        </is>
      </c>
      <c r="J222" s="843" t="inlineStr">
        <is>
          <t>Commercial Fuels</t>
        </is>
      </c>
      <c r="K222" s="843" t="inlineStr">
        <is>
          <t>Trading &amp; Shipping</t>
        </is>
      </c>
      <c r="L222" s="843" t="inlineStr">
        <is>
          <t>Trading &amp; Shipping</t>
        </is>
      </c>
      <c r="M222" s="843" t="n"/>
      <c r="N222" s="845" t="inlineStr">
        <is>
          <t>Singapore</t>
        </is>
      </c>
      <c r="O222" s="846" t="inlineStr">
        <is>
          <t>CIC</t>
        </is>
      </c>
      <c r="P222" s="847" t="n">
        <v>1</v>
      </c>
      <c r="Q222" s="846" t="n"/>
      <c r="R222" s="847" t="inlineStr">
        <is>
          <t>Permanent - Full Time</t>
        </is>
      </c>
      <c r="S222" s="847" t="n"/>
      <c r="T222" s="847" t="n"/>
      <c r="U222" s="848" t="n">
        <v>196770</v>
      </c>
      <c r="V222" s="849" t="n">
        <v>238091.7</v>
      </c>
      <c r="W222" s="850" t="n">
        <v>0.25</v>
      </c>
      <c r="X222" s="847" t="n"/>
      <c r="Y222" s="850" t="n">
        <v>0.17</v>
      </c>
      <c r="Z222" s="851" t="n">
        <v>3310</v>
      </c>
      <c r="AA222" s="850" t="n">
        <v>0.045</v>
      </c>
      <c r="AB222" s="852" t="n">
        <v>352114.3405</v>
      </c>
      <c r="AE222" s="534">
        <f>IF(TRIM($B222)="","",IF(AND(N($P222)&gt;0,N($P222)&lt;1),N($AB222)*N($P222),N($AB222)))</f>
        <v>352114.3405</v>
      </c>
      <c r="AF222" s="534" t="str">
        <f>IF(TRIM($B222)="","",IF(OR(ISNUMBER(SEARCH("vacant",$B222)),ISNUMBER(SEARCH("ring fenced",$B222)),LOWER(TRIM($B222))="remove"),"Vacant","Filled"))</f>
        <v>Filled</v>
      </c>
      <c r="AG222" s="534" t="b">
        <f>IF(TRIM($B222)="","",--ISNUMBER(SEARCH("ring fenced",$B222)))</f>
        <v>0</v>
      </c>
      <c r="AH222" s="534" t="str">
        <f>IF(TRIM($B222)="","",IF(COUNTIFS(Lists!$AN$2:$AN$22,TRIM($B222)&amp;" | "&amp;TRIM($D222),Lists!$AO$2:$AO$22,"&lt;&gt;"),INDEX(Lists!$AO$2:$AO$22,MATCH(TRIM($B222)&amp;" | "&amp;TRIM($D222),Lists!$AN$2:$AN$22,0)),IF(COUNTIF(Lists!$AR$2:$AR$3,$AJ222),"TDD Cyber",IF(AND(LEFT($AJ222,4)="EGI ",ISNUMBER(MATCH(TRIM(MID($AJ222,5,99)),Lists!$AS$2:$AS$12,0))),TRIM(MID($AJ222,5,99)),IF(AND(LEFT($AJ222,4)="EGI ",ISNUMBER(MATCH(TRIM(MID($AJ222,5,99)),Lists!$T$2:$T$21,0))),INDEX(Lists!$U$2:$U$21,MATCH(TRIM(MID($AJ222,5,99)),Lists!$T$2:$T$21,0)),IF(OR(TRIM($J222)="",UPPER(TRIM($J222))="NA"),IFERROR(INDEX(Lists!$R$2:$R$9,MATCH(TRIM($G222),Lists!$Q$2:$Q$9,0)),"UNMAPPED"),IFERROR(INDEX(Lists!$U$2:$U$21,MATCH(TRIM($J222),Lists!$T$2:$T$21,0)),IFERROR(INDEX(Lists!$R$2:$R$9,MATCH(TRIM($G222),Lists!$Q$2:$Q$9,0)),"UNMAPPED"))))))))</f>
        <v>Commercial Fuels</v>
      </c>
      <c r="AI222" s="534" t="b">
        <f>IF(TRIM($B222)="","",--OR(TRIM($L222)="Leadership",TRIM($K222)="Leadership"))</f>
        <v>0</v>
      </c>
      <c r="AJ222" s="534" t="str">
        <f>IF(TRIM($B222)="","",IF(COUNTIFS(Lists!$AN$2:$AN$22,TRIM($B222)&amp;" | "&amp;TRIM($D222),Lists!$AP$2:$AP$22,"&lt;&gt;"),INDEX(Lists!$AP$2:$AP$22,MATCH(TRIM($B222)&amp;" | "&amp;TRIM($D222),Lists!$AN$2:$AN$22,0)),IF($AI222=1,"Leadership",IFERROR(INDEX(Lists!$X$2:$X$21,MATCH(TRIM($L222),Lists!$W$2:$W$21,0)),IF(OR(TRIM($L222)="",LOWER(TRIM($L222))="na"),IF(TRIM($H222)="","Unassigned",TRIM($H222)),TRIM($L222))))))</f>
        <v>Trading &amp; Shipping</v>
      </c>
      <c r="AK222" s="534" t="str">
        <f>IF(TRIM($B222)="","",IF(COUNTIFS(Lists!$AN$2:$AN$22,TRIM($B222)&amp;" | "&amp;TRIM($D222),Lists!$AQ$2:$AQ$22,"&lt;&gt;"),INDEX(Lists!$AQ$2:$AQ$22,MATCH(TRIM($B222)&amp;" | "&amp;TRIM($D222),Lists!$AN$2:$AN$22,0)),IF(COUNTIF(Lists!$AF$2:$AF$8,$AJ222),$AJ222,IF(ISNUMBER(SEARCH("head of ",$D222)),"Head of Technology",IF(ISNUMBER(SEARCH("TDD BP",$D222)),"Business Partner",IF(OR(ISNUMBER(SEARCH("domain architect",$D222)),ISNUMBER(SEARCH("enterprise architect",$D222))),"Domain Architect",IF(ISNUMBER(SEARCH("delivery man",$D222)),"Delivery Manager",IF(OR(ISNUMBER(SEARCH("technology manager",$D222)),ISNUMBER(SEARCH("technology manger",$D222)),ISNUMBER(SEARCH("tech manager",$D222))),"Technology Manager","Squad"))))))))</f>
        <v>Squad</v>
      </c>
      <c r="AL222" s="534" t="str">
        <f>IF(TRIM($B222)="","",IF(AND($AM222=1,LEFT($AJ222,4)&lt;&gt;"EGI ",$AJ222&lt;&gt;"EGI"),IFERROR(INDEX(Lists!$Z$2:$Z$20,MATCH($AH222,Lists!$Y$2:$Y$20,0)),"EGI "&amp;$AH222),IF(COUNTIF(Lists!$AU$2:$AU$10,$AJ222),$AJ222,IF(OR(LEFT($AH222,3)="COE",$AH222="EGI"),$AJ222,IF($AK222&lt;&gt;"Squad",$AK222,$AJ222)))))</f>
        <v>Trading &amp; Shipping</v>
      </c>
      <c r="AM222" s="534" t="b">
        <f>IF(TRIM($B222)="","",--(UPPER(TRIM($K222))="EGI"))</f>
        <v>0</v>
      </c>
      <c r="AQ222" s="841" t="inlineStr">
        <is>
          <t>R0221</t>
        </is>
      </c>
      <c r="AZ222" s="841" t="n"/>
    </row>
    <row r="223" ht="18" customHeight="1" s="535">
      <c r="A223" s="842" t="inlineStr">
        <is>
          <t>V</t>
        </is>
      </c>
      <c r="B223" s="843" t="inlineStr">
        <is>
          <t>Vacant</t>
        </is>
      </c>
      <c r="C223" s="842" t="inlineStr">
        <is>
          <t>V</t>
        </is>
      </c>
      <c r="D223" s="843" t="inlineStr">
        <is>
          <t>Delivery Lead</t>
        </is>
      </c>
      <c r="E223" s="843" t="inlineStr">
        <is>
          <t>Vacant</t>
        </is>
      </c>
      <c r="F223" s="843" t="inlineStr">
        <is>
          <t>Delivery Manager</t>
        </is>
      </c>
      <c r="G223" s="844" t="inlineStr">
        <is>
          <t>TDD CFE&amp;I</t>
        </is>
      </c>
      <c r="H223" s="843" t="inlineStr">
        <is>
          <t>Commercial Fuels</t>
        </is>
      </c>
      <c r="I223" s="843" t="inlineStr">
        <is>
          <t>Delivery, Commercial Fuels</t>
        </is>
      </c>
      <c r="J223" s="843" t="inlineStr">
        <is>
          <t>Commercial Fuels</t>
        </is>
      </c>
      <c r="K223" s="843" t="inlineStr">
        <is>
          <t>Supply</t>
        </is>
      </c>
      <c r="L223" s="843" t="inlineStr">
        <is>
          <t>Supply</t>
        </is>
      </c>
      <c r="M223" s="843" t="n"/>
      <c r="N223" s="845" t="inlineStr">
        <is>
          <t>Australia</t>
        </is>
      </c>
      <c r="O223" s="846" t="inlineStr">
        <is>
          <t>CIC</t>
        </is>
      </c>
      <c r="P223" s="847" t="n">
        <v>1</v>
      </c>
      <c r="Q223" s="846" t="n"/>
      <c r="R223" s="847" t="inlineStr">
        <is>
          <t>V</t>
        </is>
      </c>
      <c r="S223" s="847" t="n"/>
      <c r="T223" s="847" t="n"/>
      <c r="U223" s="848" t="n">
        <v>173550</v>
      </c>
      <c r="V223" s="849" t="n">
        <v>173550</v>
      </c>
      <c r="W223" s="850" t="n">
        <v>0.12</v>
      </c>
      <c r="X223" s="847" t="n">
        <v>0.055</v>
      </c>
      <c r="Y223" s="850" t="n">
        <v>0.12</v>
      </c>
      <c r="Z223" s="851" t="n"/>
      <c r="AA223" s="850" t="n">
        <v>0.04</v>
      </c>
      <c r="AB223" s="852" t="n">
        <v>231689.25</v>
      </c>
      <c r="AE223" s="534">
        <f>IF(TRIM($B223)="","",IF(AND(N($P223)&gt;0,N($P223)&lt;1),N($AB223)*N($P223),N($AB223)))</f>
        <v>231689.25</v>
      </c>
      <c r="AF223" s="534" t="str">
        <f>IF(TRIM($B223)="","",IF(OR(ISNUMBER(SEARCH("vacant",$B223)),ISNUMBER(SEARCH("ring fenced",$B223)),LOWER(TRIM($B223))="remove"),"Vacant","Filled"))</f>
        <v>Vacant</v>
      </c>
      <c r="AG223" s="534" t="b">
        <f>IF(TRIM($B223)="","",--ISNUMBER(SEARCH("ring fenced",$B223)))</f>
        <v>0</v>
      </c>
      <c r="AH223" s="534" t="str">
        <f>IF(TRIM($B223)="","",IF(COUNTIFS(Lists!$AN$2:$AN$22,TRIM($B223)&amp;" | "&amp;TRIM($D223),Lists!$AO$2:$AO$22,"&lt;&gt;"),INDEX(Lists!$AO$2:$AO$22,MATCH(TRIM($B223)&amp;" | "&amp;TRIM($D223),Lists!$AN$2:$AN$22,0)),IF(COUNTIF(Lists!$AR$2:$AR$3,$AJ223),"TDD Cyber",IF(AND(LEFT($AJ223,4)="EGI ",ISNUMBER(MATCH(TRIM(MID($AJ223,5,99)),Lists!$AS$2:$AS$12,0))),TRIM(MID($AJ223,5,99)),IF(AND(LEFT($AJ223,4)="EGI ",ISNUMBER(MATCH(TRIM(MID($AJ223,5,99)),Lists!$T$2:$T$21,0))),INDEX(Lists!$U$2:$U$21,MATCH(TRIM(MID($AJ223,5,99)),Lists!$T$2:$T$21,0)),IF(OR(TRIM($J223)="",UPPER(TRIM($J223))="NA"),IFERROR(INDEX(Lists!$R$2:$R$9,MATCH(TRIM($G223),Lists!$Q$2:$Q$9,0)),"UNMAPPED"),IFERROR(INDEX(Lists!$U$2:$U$21,MATCH(TRIM($J223),Lists!$T$2:$T$21,0)),IFERROR(INDEX(Lists!$R$2:$R$9,MATCH(TRIM($G223),Lists!$Q$2:$Q$9,0)),"UNMAPPED"))))))))</f>
        <v>Commercial Fuels</v>
      </c>
      <c r="AI223" s="534" t="b">
        <f>IF(TRIM($B223)="","",--OR(TRIM($L223)="Leadership",TRIM($K223)="Leadership"))</f>
        <v>0</v>
      </c>
      <c r="AJ223" s="534" t="str">
        <f>IF(TRIM($B223)="","",IF(COUNTIFS(Lists!$AN$2:$AN$22,TRIM($B223)&amp;" | "&amp;TRIM($D223),Lists!$AP$2:$AP$22,"&lt;&gt;"),INDEX(Lists!$AP$2:$AP$22,MATCH(TRIM($B223)&amp;" | "&amp;TRIM($D223),Lists!$AN$2:$AN$22,0)),IF($AI223=1,"Leadership",IFERROR(INDEX(Lists!$X$2:$X$21,MATCH(TRIM($L223),Lists!$W$2:$W$21,0)),IF(OR(TRIM($L223)="",LOWER(TRIM($L223))="na"),IF(TRIM($H223)="","Unassigned",TRIM($H223)),TRIM($L223))))))</f>
        <v>Supply</v>
      </c>
      <c r="AK223" s="534" t="str">
        <f>IF(TRIM($B223)="","",IF(COUNTIFS(Lists!$AN$2:$AN$22,TRIM($B223)&amp;" | "&amp;TRIM($D223),Lists!$AQ$2:$AQ$22,"&lt;&gt;"),INDEX(Lists!$AQ$2:$AQ$22,MATCH(TRIM($B223)&amp;" | "&amp;TRIM($D223),Lists!$AN$2:$AN$22,0)),IF(COUNTIF(Lists!$AF$2:$AF$8,$AJ223),$AJ223,IF(ISNUMBER(SEARCH("head of ",$D223)),"Head of Technology",IF(ISNUMBER(SEARCH("TDD BP",$D223)),"Business Partner",IF(OR(ISNUMBER(SEARCH("domain architect",$D223)),ISNUMBER(SEARCH("enterprise architect",$D223))),"Domain Architect",IF(ISNUMBER(SEARCH("delivery man",$D223)),"Delivery Manager",IF(OR(ISNUMBER(SEARCH("technology manager",$D223)),ISNUMBER(SEARCH("technology manger",$D223)),ISNUMBER(SEARCH("tech manager",$D223))),"Technology Manager","Squad"))))))))</f>
        <v>Squad</v>
      </c>
      <c r="AL223" s="534" t="str">
        <f>IF(TRIM($B223)="","",IF(AND($AM223=1,LEFT($AJ223,4)&lt;&gt;"EGI ",$AJ223&lt;&gt;"EGI"),IFERROR(INDEX(Lists!$Z$2:$Z$20,MATCH($AH223,Lists!$Y$2:$Y$20,0)),"EGI "&amp;$AH223),IF(COUNTIF(Lists!$AU$2:$AU$10,$AJ223),$AJ223,IF(OR(LEFT($AH223,3)="COE",$AH223="EGI"),$AJ223,IF($AK223&lt;&gt;"Squad",$AK223,$AJ223)))))</f>
        <v>Supply</v>
      </c>
      <c r="AM223" s="534" t="b">
        <f>IF(TRIM($B223)="","",--(UPPER(TRIM($K223))="EGI"))</f>
        <v>0</v>
      </c>
      <c r="AQ223" s="841" t="inlineStr">
        <is>
          <t>R0222</t>
        </is>
      </c>
      <c r="AZ223" s="841" t="n"/>
    </row>
    <row r="224" ht="18" customHeight="1" s="535">
      <c r="A224" s="842" t="inlineStr">
        <is>
          <t>V</t>
        </is>
      </c>
      <c r="B224" s="843" t="inlineStr">
        <is>
          <t>Vacant</t>
        </is>
      </c>
      <c r="C224" s="842" t="inlineStr">
        <is>
          <t>V</t>
        </is>
      </c>
      <c r="D224" s="843" t="inlineStr">
        <is>
          <t>Delivery Lead</t>
        </is>
      </c>
      <c r="E224" s="843" t="inlineStr">
        <is>
          <t>Vacant</t>
        </is>
      </c>
      <c r="F224" s="843" t="inlineStr">
        <is>
          <t>Delivery Manager</t>
        </is>
      </c>
      <c r="G224" s="844" t="inlineStr">
        <is>
          <t>TDD CFE&amp;I</t>
        </is>
      </c>
      <c r="H224" s="843" t="inlineStr">
        <is>
          <t>Commercial Fuels</t>
        </is>
      </c>
      <c r="I224" s="843" t="inlineStr">
        <is>
          <t>Delivery, Commercial Fuels</t>
        </is>
      </c>
      <c r="J224" s="843" t="inlineStr">
        <is>
          <t>Commercial Fuels</t>
        </is>
      </c>
      <c r="K224" s="843" t="inlineStr">
        <is>
          <t>Trading &amp; Shipping</t>
        </is>
      </c>
      <c r="L224" s="843" t="inlineStr">
        <is>
          <t>Trading &amp; Shipping</t>
        </is>
      </c>
      <c r="M224" s="843" t="n"/>
      <c r="N224" s="845" t="inlineStr">
        <is>
          <t>Australia</t>
        </is>
      </c>
      <c r="O224" s="846" t="inlineStr">
        <is>
          <t>CIC</t>
        </is>
      </c>
      <c r="P224" s="847" t="n">
        <v>1</v>
      </c>
      <c r="Q224" s="846" t="n"/>
      <c r="R224" s="847" t="inlineStr">
        <is>
          <t>V</t>
        </is>
      </c>
      <c r="S224" s="847" t="n"/>
      <c r="T224" s="847" t="n"/>
      <c r="U224" s="848" t="n">
        <v>173550</v>
      </c>
      <c r="V224" s="849" t="n">
        <v>173550</v>
      </c>
      <c r="W224" s="850" t="n">
        <v>0.12</v>
      </c>
      <c r="X224" s="847" t="n">
        <v>0.055</v>
      </c>
      <c r="Y224" s="850" t="n">
        <v>0.12</v>
      </c>
      <c r="Z224" s="851" t="n"/>
      <c r="AA224" s="850" t="n">
        <v>0.04</v>
      </c>
      <c r="AB224" s="852" t="n">
        <v>231689.25</v>
      </c>
      <c r="AE224" s="534">
        <f>IF(TRIM($B224)="","",IF(AND(N($P224)&gt;0,N($P224)&lt;1),N($AB224)*N($P224),N($AB224)))</f>
        <v>231689.25</v>
      </c>
      <c r="AF224" s="534" t="str">
        <f>IF(TRIM($B224)="","",IF(OR(ISNUMBER(SEARCH("vacant",$B224)),ISNUMBER(SEARCH("ring fenced",$B224)),LOWER(TRIM($B224))="remove"),"Vacant","Filled"))</f>
        <v>Vacant</v>
      </c>
      <c r="AG224" s="534" t="b">
        <f>IF(TRIM($B224)="","",--ISNUMBER(SEARCH("ring fenced",$B224)))</f>
        <v>0</v>
      </c>
      <c r="AH224" s="534" t="str">
        <f>IF(TRIM($B224)="","",IF(COUNTIFS(Lists!$AN$2:$AN$22,TRIM($B224)&amp;" | "&amp;TRIM($D224),Lists!$AO$2:$AO$22,"&lt;&gt;"),INDEX(Lists!$AO$2:$AO$22,MATCH(TRIM($B224)&amp;" | "&amp;TRIM($D224),Lists!$AN$2:$AN$22,0)),IF(COUNTIF(Lists!$AR$2:$AR$3,$AJ224),"TDD Cyber",IF(AND(LEFT($AJ224,4)="EGI ",ISNUMBER(MATCH(TRIM(MID($AJ224,5,99)),Lists!$AS$2:$AS$12,0))),TRIM(MID($AJ224,5,99)),IF(AND(LEFT($AJ224,4)="EGI ",ISNUMBER(MATCH(TRIM(MID($AJ224,5,99)),Lists!$T$2:$T$21,0))),INDEX(Lists!$U$2:$U$21,MATCH(TRIM(MID($AJ224,5,99)),Lists!$T$2:$T$21,0)),IF(OR(TRIM($J224)="",UPPER(TRIM($J224))="NA"),IFERROR(INDEX(Lists!$R$2:$R$9,MATCH(TRIM($G224),Lists!$Q$2:$Q$9,0)),"UNMAPPED"),IFERROR(INDEX(Lists!$U$2:$U$21,MATCH(TRIM($J224),Lists!$T$2:$T$21,0)),IFERROR(INDEX(Lists!$R$2:$R$9,MATCH(TRIM($G224),Lists!$Q$2:$Q$9,0)),"UNMAPPED"))))))))</f>
        <v>Commercial Fuels</v>
      </c>
      <c r="AI224" s="534" t="b">
        <f>IF(TRIM($B224)="","",--OR(TRIM($L224)="Leadership",TRIM($K224)="Leadership"))</f>
        <v>0</v>
      </c>
      <c r="AJ224" s="534" t="str">
        <f>IF(TRIM($B224)="","",IF(COUNTIFS(Lists!$AN$2:$AN$22,TRIM($B224)&amp;" | "&amp;TRIM($D224),Lists!$AP$2:$AP$22,"&lt;&gt;"),INDEX(Lists!$AP$2:$AP$22,MATCH(TRIM($B224)&amp;" | "&amp;TRIM($D224),Lists!$AN$2:$AN$22,0)),IF($AI224=1,"Leadership",IFERROR(INDEX(Lists!$X$2:$X$21,MATCH(TRIM($L224),Lists!$W$2:$W$21,0)),IF(OR(TRIM($L224)="",LOWER(TRIM($L224))="na"),IF(TRIM($H224)="","Unassigned",TRIM($H224)),TRIM($L224))))))</f>
        <v>Trading &amp; Shipping</v>
      </c>
      <c r="AK224" s="534" t="str">
        <f>IF(TRIM($B224)="","",IF(COUNTIFS(Lists!$AN$2:$AN$22,TRIM($B224)&amp;" | "&amp;TRIM($D224),Lists!$AQ$2:$AQ$22,"&lt;&gt;"),INDEX(Lists!$AQ$2:$AQ$22,MATCH(TRIM($B224)&amp;" | "&amp;TRIM($D224),Lists!$AN$2:$AN$22,0)),IF(COUNTIF(Lists!$AF$2:$AF$8,$AJ224),$AJ224,IF(ISNUMBER(SEARCH("head of ",$D224)),"Head of Technology",IF(ISNUMBER(SEARCH("TDD BP",$D224)),"Business Partner",IF(OR(ISNUMBER(SEARCH("domain architect",$D224)),ISNUMBER(SEARCH("enterprise architect",$D224))),"Domain Architect",IF(ISNUMBER(SEARCH("delivery man",$D224)),"Delivery Manager",IF(OR(ISNUMBER(SEARCH("technology manager",$D224)),ISNUMBER(SEARCH("technology manger",$D224)),ISNUMBER(SEARCH("tech manager",$D224))),"Technology Manager","Squad"))))))))</f>
        <v>Squad</v>
      </c>
      <c r="AL224" s="534" t="str">
        <f>IF(TRIM($B224)="","",IF(AND($AM224=1,LEFT($AJ224,4)&lt;&gt;"EGI ",$AJ224&lt;&gt;"EGI"),IFERROR(INDEX(Lists!$Z$2:$Z$20,MATCH($AH224,Lists!$Y$2:$Y$20,0)),"EGI "&amp;$AH224),IF(COUNTIF(Lists!$AU$2:$AU$10,$AJ224),$AJ224,IF(OR(LEFT($AH224,3)="COE",$AH224="EGI"),$AJ224,IF($AK224&lt;&gt;"Squad",$AK224,$AJ224)))))</f>
        <v>Trading &amp; Shipping</v>
      </c>
      <c r="AM224" s="534" t="b">
        <f>IF(TRIM($B224)="","",--(UPPER(TRIM($K224))="EGI"))</f>
        <v>0</v>
      </c>
      <c r="AQ224" s="841" t="inlineStr">
        <is>
          <t>R0223</t>
        </is>
      </c>
      <c r="AZ224" s="841" t="n"/>
    </row>
    <row r="225" ht="18" customHeight="1" s="535">
      <c r="A225" s="842" t="n">
        <v>106791</v>
      </c>
      <c r="B225" s="843" t="inlineStr">
        <is>
          <t>Victor Beuk</t>
        </is>
      </c>
      <c r="C225" s="842" t="n">
        <v>106791</v>
      </c>
      <c r="D225" s="843" t="inlineStr">
        <is>
          <t>Delivery Lead</t>
        </is>
      </c>
      <c r="E225" s="843" t="inlineStr">
        <is>
          <t>Vacant</t>
        </is>
      </c>
      <c r="F225" s="843" t="inlineStr">
        <is>
          <t>Delivery Manager</t>
        </is>
      </c>
      <c r="G225" s="844" t="inlineStr">
        <is>
          <t>TDD CFE&amp;I</t>
        </is>
      </c>
      <c r="H225" s="843" t="inlineStr">
        <is>
          <t>B2B &amp; Energy Solutions</t>
        </is>
      </c>
      <c r="I225" s="843" t="inlineStr">
        <is>
          <t>Delivery</t>
        </is>
      </c>
      <c r="J225" s="843" t="inlineStr">
        <is>
          <t>RETAIL</t>
        </is>
      </c>
      <c r="K225" s="843" t="inlineStr">
        <is>
          <t>AMPOS</t>
        </is>
      </c>
      <c r="L225" s="843" t="inlineStr">
        <is>
          <t>AmPos</t>
        </is>
      </c>
      <c r="M225" s="843" t="n"/>
      <c r="N225" s="845" t="inlineStr">
        <is>
          <t>Australia</t>
        </is>
      </c>
      <c r="O225" s="846" t="inlineStr">
        <is>
          <t>CIC</t>
        </is>
      </c>
      <c r="P225" s="847" t="n">
        <v>1</v>
      </c>
      <c r="Q225" s="846" t="n"/>
      <c r="R225" s="847" t="inlineStr">
        <is>
          <t>Permanent - Full Time</t>
        </is>
      </c>
      <c r="S225" s="847" t="n"/>
      <c r="T225" s="847" t="n"/>
      <c r="U225" s="848" t="n">
        <v>185360</v>
      </c>
      <c r="V225" s="849" t="n">
        <v>185360</v>
      </c>
      <c r="W225" s="850" t="n">
        <v>0.12</v>
      </c>
      <c r="X225" s="847" t="n">
        <v>0.055</v>
      </c>
      <c r="Y225" s="850" t="n">
        <v>0.12</v>
      </c>
      <c r="Z225" s="851" t="n"/>
      <c r="AA225" s="850" t="n">
        <v>0.04</v>
      </c>
      <c r="AB225" s="852" t="n">
        <v>247455.6</v>
      </c>
      <c r="AE225" s="534">
        <f>IF(TRIM($B225)="","",IF(AND(N($P225)&gt;0,N($P225)&lt;1),N($AB225)*N($P225),N($AB225)))</f>
        <v>247455.6</v>
      </c>
      <c r="AF225" s="534" t="str">
        <f>IF(TRIM($B225)="","",IF(OR(ISNUMBER(SEARCH("vacant",$B225)),ISNUMBER(SEARCH("ring fenced",$B225)),LOWER(TRIM($B225))="remove"),"Vacant","Filled"))</f>
        <v>Filled</v>
      </c>
      <c r="AG225" s="534" t="b">
        <f>IF(TRIM($B225)="","",--ISNUMBER(SEARCH("ring fenced",$B225)))</f>
        <v>0</v>
      </c>
      <c r="AH225" s="534" t="str">
        <f>IF(TRIM($B225)="","",IF(COUNTIFS(Lists!$AN$2:$AN$22,TRIM($B225)&amp;" | "&amp;TRIM($D225),Lists!$AO$2:$AO$22,"&lt;&gt;"),INDEX(Lists!$AO$2:$AO$22,MATCH(TRIM($B225)&amp;" | "&amp;TRIM($D225),Lists!$AN$2:$AN$22,0)),IF(COUNTIF(Lists!$AR$2:$AR$3,$AJ225),"TDD Cyber",IF(AND(LEFT($AJ225,4)="EGI ",ISNUMBER(MATCH(TRIM(MID($AJ225,5,99)),Lists!$AS$2:$AS$12,0))),TRIM(MID($AJ225,5,99)),IF(AND(LEFT($AJ225,4)="EGI ",ISNUMBER(MATCH(TRIM(MID($AJ225,5,99)),Lists!$T$2:$T$21,0))),INDEX(Lists!$U$2:$U$21,MATCH(TRIM(MID($AJ225,5,99)),Lists!$T$2:$T$21,0)),IF(OR(TRIM($J225)="",UPPER(TRIM($J225))="NA"),IFERROR(INDEX(Lists!$R$2:$R$9,MATCH(TRIM($G225),Lists!$Q$2:$Q$9,0)),"UNMAPPED"),IFERROR(INDEX(Lists!$U$2:$U$21,MATCH(TRIM($J225),Lists!$T$2:$T$21,0)),IFERROR(INDEX(Lists!$R$2:$R$9,MATCH(TRIM($G225),Lists!$Q$2:$Q$9,0)),"UNMAPPED"))))))))</f>
        <v>Ampol Retail</v>
      </c>
      <c r="AI225" s="534" t="b">
        <f>IF(TRIM($B225)="","",--OR(TRIM($L225)="Leadership",TRIM($K225)="Leadership"))</f>
        <v>0</v>
      </c>
      <c r="AJ225" s="534" t="str">
        <f>IF(TRIM($B225)="","",IF(COUNTIFS(Lists!$AN$2:$AN$22,TRIM($B225)&amp;" | "&amp;TRIM($D225),Lists!$AP$2:$AP$22,"&lt;&gt;"),INDEX(Lists!$AP$2:$AP$22,MATCH(TRIM($B225)&amp;" | "&amp;TRIM($D225),Lists!$AN$2:$AN$22,0)),IF($AI225=1,"Leadership",IFERROR(INDEX(Lists!$X$2:$X$21,MATCH(TRIM($L225),Lists!$W$2:$W$21,0)),IF(OR(TRIM($L225)="",LOWER(TRIM($L225))="na"),IF(TRIM($H225)="","Unassigned",TRIM($H225)),TRIM($L225))))))</f>
        <v>AmPOS</v>
      </c>
      <c r="AK225" s="534" t="str">
        <f>IF(TRIM($B225)="","",IF(COUNTIFS(Lists!$AN$2:$AN$22,TRIM($B225)&amp;" | "&amp;TRIM($D225),Lists!$AQ$2:$AQ$22,"&lt;&gt;"),INDEX(Lists!$AQ$2:$AQ$22,MATCH(TRIM($B225)&amp;" | "&amp;TRIM($D225),Lists!$AN$2:$AN$22,0)),IF(COUNTIF(Lists!$AF$2:$AF$8,$AJ225),$AJ225,IF(ISNUMBER(SEARCH("head of ",$D225)),"Head of Technology",IF(ISNUMBER(SEARCH("TDD BP",$D225)),"Business Partner",IF(OR(ISNUMBER(SEARCH("domain architect",$D225)),ISNUMBER(SEARCH("enterprise architect",$D225))),"Domain Architect",IF(ISNUMBER(SEARCH("delivery man",$D225)),"Delivery Manager",IF(OR(ISNUMBER(SEARCH("technology manager",$D225)),ISNUMBER(SEARCH("technology manger",$D225)),ISNUMBER(SEARCH("tech manager",$D225))),"Technology Manager","Squad"))))))))</f>
        <v>Squad</v>
      </c>
      <c r="AL225" s="534" t="str">
        <f>IF(TRIM($B225)="","",IF(AND($AM225=1,LEFT($AJ225,4)&lt;&gt;"EGI ",$AJ225&lt;&gt;"EGI"),IFERROR(INDEX(Lists!$Z$2:$Z$20,MATCH($AH225,Lists!$Y$2:$Y$20,0)),"EGI "&amp;$AH225),IF(COUNTIF(Lists!$AU$2:$AU$10,$AJ225),$AJ225,IF(OR(LEFT($AH225,3)="COE",$AH225="EGI"),$AJ225,IF($AK225&lt;&gt;"Squad",$AK225,$AJ225)))))</f>
        <v>AmPOS</v>
      </c>
      <c r="AM225" s="534" t="b">
        <f>IF(TRIM($B225)="","",--(UPPER(TRIM($K225))="EGI"))</f>
        <v>0</v>
      </c>
      <c r="AQ225" s="841" t="inlineStr">
        <is>
          <t>R0224</t>
        </is>
      </c>
      <c r="AZ225" s="841" t="n"/>
    </row>
    <row r="226" ht="18" customHeight="1" s="535">
      <c r="A226" s="842" t="n">
        <v>113592</v>
      </c>
      <c r="B226" s="843" t="inlineStr">
        <is>
          <t>Michael Pollock</t>
        </is>
      </c>
      <c r="C226" s="842" t="n">
        <v>113592</v>
      </c>
      <c r="D226" s="843" t="inlineStr">
        <is>
          <t>Lead Business Analyst</t>
        </is>
      </c>
      <c r="E226" s="843" t="inlineStr">
        <is>
          <t>Vacant</t>
        </is>
      </c>
      <c r="F226" s="843" t="inlineStr">
        <is>
          <t>Delivery Manager, P&amp;C, Finance &amp; Legal</t>
        </is>
      </c>
      <c r="G226" s="844" t="inlineStr">
        <is>
          <t>TDD Group Functions</t>
        </is>
      </c>
      <c r="H226" s="843" t="inlineStr">
        <is>
          <t>P&amp;C, Finance &amp; Legal</t>
        </is>
      </c>
      <c r="I226" s="843" t="inlineStr">
        <is>
          <t>Delivery, P&amp;C, Finance &amp; Legal</t>
        </is>
      </c>
      <c r="J226" s="843" t="inlineStr">
        <is>
          <t>P&amp;C</t>
        </is>
      </c>
      <c r="K226" s="843" t="inlineStr">
        <is>
          <t>P&amp;C</t>
        </is>
      </c>
      <c r="L226" s="843" t="inlineStr">
        <is>
          <t>P&amp;C</t>
        </is>
      </c>
      <c r="M226" s="843" t="n"/>
      <c r="N226" s="845" t="inlineStr">
        <is>
          <t>NZ</t>
        </is>
      </c>
      <c r="O226" s="846" t="inlineStr">
        <is>
          <t>CIC</t>
        </is>
      </c>
      <c r="P226" s="847" t="n">
        <v>1</v>
      </c>
      <c r="Q226" s="847" t="n"/>
      <c r="R226" s="847" t="inlineStr">
        <is>
          <t>Permanent - Full Time</t>
        </is>
      </c>
      <c r="S226" s="847" t="n"/>
      <c r="T226" s="847" t="n"/>
      <c r="U226" s="848" t="n">
        <v>168300</v>
      </c>
      <c r="V226" s="849" t="n">
        <v>154836</v>
      </c>
      <c r="W226" s="850" t="n">
        <v>0.15</v>
      </c>
      <c r="X226" s="847" t="n"/>
      <c r="Y226" s="850" t="n">
        <v>0.05</v>
      </c>
      <c r="Z226" s="851" t="n">
        <v>2910</v>
      </c>
      <c r="AA226" s="850" t="n">
        <v>0.03</v>
      </c>
      <c r="AB226" s="852" t="n">
        <v>193358.28</v>
      </c>
      <c r="AE226" s="534">
        <f>IF(TRIM($B226)="","",IF(AND(N($P226)&gt;0,N($P226)&lt;1),N($AB226)*N($P226),N($AB226)))</f>
        <v>193358.28</v>
      </c>
      <c r="AF226" s="534" t="str">
        <f>IF(TRIM($B226)="","",IF(OR(ISNUMBER(SEARCH("vacant",$B226)),ISNUMBER(SEARCH("ring fenced",$B226)),LOWER(TRIM($B226))="remove"),"Vacant","Filled"))</f>
        <v>Filled</v>
      </c>
      <c r="AG226" s="534" t="b">
        <f>IF(TRIM($B226)="","",--ISNUMBER(SEARCH("ring fenced",$B226)))</f>
        <v>0</v>
      </c>
      <c r="AH226" s="534" t="str">
        <f>IF(TRIM($B226)="","",IF(COUNTIFS(Lists!$AN$2:$AN$22,TRIM($B226)&amp;" | "&amp;TRIM($D226),Lists!$AO$2:$AO$22,"&lt;&gt;"),INDEX(Lists!$AO$2:$AO$22,MATCH(TRIM($B226)&amp;" | "&amp;TRIM($D226),Lists!$AN$2:$AN$22,0)),IF(COUNTIF(Lists!$AR$2:$AR$3,$AJ226),"TDD Cyber",IF(AND(LEFT($AJ226,4)="EGI ",ISNUMBER(MATCH(TRIM(MID($AJ226,5,99)),Lists!$AS$2:$AS$12,0))),TRIM(MID($AJ226,5,99)),IF(AND(LEFT($AJ226,4)="EGI ",ISNUMBER(MATCH(TRIM(MID($AJ226,5,99)),Lists!$T$2:$T$21,0))),INDEX(Lists!$U$2:$U$21,MATCH(TRIM(MID($AJ226,5,99)),Lists!$T$2:$T$21,0)),IF(OR(TRIM($J226)="",UPPER(TRIM($J226))="NA"),IFERROR(INDEX(Lists!$R$2:$R$9,MATCH(TRIM($G226),Lists!$Q$2:$Q$9,0)),"UNMAPPED"),IFERROR(INDEX(Lists!$U$2:$U$21,MATCH(TRIM($J226),Lists!$T$2:$T$21,0)),IFERROR(INDEX(Lists!$R$2:$R$9,MATCH(TRIM($G226),Lists!$Q$2:$Q$9,0)),"UNMAPPED"))))))))</f>
        <v>P&amp;C</v>
      </c>
      <c r="AI226" s="534" t="b">
        <f>IF(TRIM($B226)="","",--OR(TRIM($L226)="Leadership",TRIM($K226)="Leadership"))</f>
        <v>0</v>
      </c>
      <c r="AJ226" s="534" t="str">
        <f>IF(TRIM($B226)="","",IF(COUNTIFS(Lists!$AN$2:$AN$22,TRIM($B226)&amp;" | "&amp;TRIM($D226),Lists!$AP$2:$AP$22,"&lt;&gt;"),INDEX(Lists!$AP$2:$AP$22,MATCH(TRIM($B226)&amp;" | "&amp;TRIM($D226),Lists!$AN$2:$AN$22,0)),IF($AI226=1,"Leadership",IFERROR(INDEX(Lists!$X$2:$X$21,MATCH(TRIM($L226),Lists!$W$2:$W$21,0)),IF(OR(TRIM($L226)="",LOWER(TRIM($L226))="na"),IF(TRIM($H226)="","Unassigned",TRIM($H226)),TRIM($L226))))))</f>
        <v>P&amp;C</v>
      </c>
      <c r="AK226" s="534" t="str">
        <f>IF(TRIM($B226)="","",IF(COUNTIFS(Lists!$AN$2:$AN$22,TRIM($B226)&amp;" | "&amp;TRIM($D226),Lists!$AQ$2:$AQ$22,"&lt;&gt;"),INDEX(Lists!$AQ$2:$AQ$22,MATCH(TRIM($B226)&amp;" | "&amp;TRIM($D226),Lists!$AN$2:$AN$22,0)),IF(COUNTIF(Lists!$AF$2:$AF$8,$AJ226),$AJ226,IF(ISNUMBER(SEARCH("head of ",$D226)),"Head of Technology",IF(ISNUMBER(SEARCH("TDD BP",$D226)),"Business Partner",IF(OR(ISNUMBER(SEARCH("domain architect",$D226)),ISNUMBER(SEARCH("enterprise architect",$D226))),"Domain Architect",IF(ISNUMBER(SEARCH("delivery man",$D226)),"Delivery Manager",IF(OR(ISNUMBER(SEARCH("technology manager",$D226)),ISNUMBER(SEARCH("technology manger",$D226)),ISNUMBER(SEARCH("tech manager",$D226))),"Technology Manager","Squad"))))))))</f>
        <v>Squad</v>
      </c>
      <c r="AL226" s="534" t="str">
        <f>IF(TRIM($B226)="","",IF(AND($AM226=1,LEFT($AJ226,4)&lt;&gt;"EGI ",$AJ226&lt;&gt;"EGI"),IFERROR(INDEX(Lists!$Z$2:$Z$20,MATCH($AH226,Lists!$Y$2:$Y$20,0)),"EGI "&amp;$AH226),IF(COUNTIF(Lists!$AU$2:$AU$10,$AJ226),$AJ226,IF(OR(LEFT($AH226,3)="COE",$AH226="EGI"),$AJ226,IF($AK226&lt;&gt;"Squad",$AK226,$AJ226)))))</f>
        <v>P&amp;C</v>
      </c>
      <c r="AM226" s="534" t="b">
        <f>IF(TRIM($B226)="","",--(UPPER(TRIM($K226))="EGI"))</f>
        <v>0</v>
      </c>
      <c r="AQ226" s="841" t="inlineStr">
        <is>
          <t>R0225</t>
        </is>
      </c>
      <c r="AZ226" s="841" t="n"/>
    </row>
    <row r="227" ht="18" customHeight="1" s="535">
      <c r="A227" s="842" t="n">
        <v>99876</v>
      </c>
      <c r="B227" s="843" t="inlineStr">
        <is>
          <t>Thai Pung</t>
        </is>
      </c>
      <c r="C227" s="842" t="n">
        <v>99876</v>
      </c>
      <c r="D227" s="843" t="inlineStr">
        <is>
          <t>Delivery Lead - (P&amp;C)</t>
        </is>
      </c>
      <c r="E227" s="843" t="inlineStr">
        <is>
          <t>Vacant</t>
        </is>
      </c>
      <c r="F227" s="843" t="inlineStr">
        <is>
          <t>Delivery Manager, P&amp;C, Finance &amp; Legal</t>
        </is>
      </c>
      <c r="G227" s="844" t="inlineStr">
        <is>
          <t>TDD Group Functions</t>
        </is>
      </c>
      <c r="H227" s="843" t="inlineStr">
        <is>
          <t>P&amp;C, Finance &amp; Legal</t>
        </is>
      </c>
      <c r="I227" s="843" t="inlineStr">
        <is>
          <t>Delivery, P&amp;C, Finance &amp; Legal</t>
        </is>
      </c>
      <c r="J227" s="843" t="inlineStr">
        <is>
          <t>P&amp;C</t>
        </is>
      </c>
      <c r="K227" s="843" t="inlineStr">
        <is>
          <t>P&amp;C</t>
        </is>
      </c>
      <c r="L227" s="843" t="inlineStr">
        <is>
          <t>P&amp;C</t>
        </is>
      </c>
      <c r="M227" s="843" t="n"/>
      <c r="N227" s="845" t="inlineStr">
        <is>
          <t>Australia</t>
        </is>
      </c>
      <c r="O227" s="846" t="inlineStr">
        <is>
          <t>CIC</t>
        </is>
      </c>
      <c r="P227" s="847" t="n">
        <v>1</v>
      </c>
      <c r="Q227" s="847" t="n"/>
      <c r="R227" s="847" t="inlineStr">
        <is>
          <t>Permanent - Full Time</t>
        </is>
      </c>
      <c r="S227" s="847" t="n"/>
      <c r="T227" s="847" t="n"/>
      <c r="U227" s="848" t="n">
        <v>188380</v>
      </c>
      <c r="V227" s="849" t="n">
        <v>188380</v>
      </c>
      <c r="W227" s="850" t="n">
        <v>0.12</v>
      </c>
      <c r="X227" s="847" t="n">
        <v>0.055</v>
      </c>
      <c r="Y227" s="850" t="n">
        <v>0.12</v>
      </c>
      <c r="Z227" s="851" t="n"/>
      <c r="AA227" s="850" t="n">
        <v>0.04</v>
      </c>
      <c r="AB227" s="852" t="n">
        <v>251487.3</v>
      </c>
      <c r="AE227" s="534">
        <f>IF(TRIM($B227)="","",IF(AND(N($P227)&gt;0,N($P227)&lt;1),N($AB227)*N($P227),N($AB227)))</f>
        <v>251487.3</v>
      </c>
      <c r="AF227" s="534" t="str">
        <f>IF(TRIM($B227)="","",IF(OR(ISNUMBER(SEARCH("vacant",$B227)),ISNUMBER(SEARCH("ring fenced",$B227)),LOWER(TRIM($B227))="remove"),"Vacant","Filled"))</f>
        <v>Filled</v>
      </c>
      <c r="AG227" s="534" t="b">
        <f>IF(TRIM($B227)="","",--ISNUMBER(SEARCH("ring fenced",$B227)))</f>
        <v>0</v>
      </c>
      <c r="AH227" s="534" t="str">
        <f>IF(TRIM($B227)="","",IF(COUNTIFS(Lists!$AN$2:$AN$22,TRIM($B227)&amp;" | "&amp;TRIM($D227),Lists!$AO$2:$AO$22,"&lt;&gt;"),INDEX(Lists!$AO$2:$AO$22,MATCH(TRIM($B227)&amp;" | "&amp;TRIM($D227),Lists!$AN$2:$AN$22,0)),IF(COUNTIF(Lists!$AR$2:$AR$3,$AJ227),"TDD Cyber",IF(AND(LEFT($AJ227,4)="EGI ",ISNUMBER(MATCH(TRIM(MID($AJ227,5,99)),Lists!$AS$2:$AS$12,0))),TRIM(MID($AJ227,5,99)),IF(AND(LEFT($AJ227,4)="EGI ",ISNUMBER(MATCH(TRIM(MID($AJ227,5,99)),Lists!$T$2:$T$21,0))),INDEX(Lists!$U$2:$U$21,MATCH(TRIM(MID($AJ227,5,99)),Lists!$T$2:$T$21,0)),IF(OR(TRIM($J227)="",UPPER(TRIM($J227))="NA"),IFERROR(INDEX(Lists!$R$2:$R$9,MATCH(TRIM($G227),Lists!$Q$2:$Q$9,0)),"UNMAPPED"),IFERROR(INDEX(Lists!$U$2:$U$21,MATCH(TRIM($J227),Lists!$T$2:$T$21,0)),IFERROR(INDEX(Lists!$R$2:$R$9,MATCH(TRIM($G227),Lists!$Q$2:$Q$9,0)),"UNMAPPED"))))))))</f>
        <v>P&amp;C</v>
      </c>
      <c r="AI227" s="534" t="b">
        <f>IF(TRIM($B227)="","",--OR(TRIM($L227)="Leadership",TRIM($K227)="Leadership"))</f>
        <v>0</v>
      </c>
      <c r="AJ227" s="534" t="str">
        <f>IF(TRIM($B227)="","",IF(COUNTIFS(Lists!$AN$2:$AN$22,TRIM($B227)&amp;" | "&amp;TRIM($D227),Lists!$AP$2:$AP$22,"&lt;&gt;"),INDEX(Lists!$AP$2:$AP$22,MATCH(TRIM($B227)&amp;" | "&amp;TRIM($D227),Lists!$AN$2:$AN$22,0)),IF($AI227=1,"Leadership",IFERROR(INDEX(Lists!$X$2:$X$21,MATCH(TRIM($L227),Lists!$W$2:$W$21,0)),IF(OR(TRIM($L227)="",LOWER(TRIM($L227))="na"),IF(TRIM($H227)="","Unassigned",TRIM($H227)),TRIM($L227))))))</f>
        <v>P&amp;C</v>
      </c>
      <c r="AK227" s="534" t="str">
        <f>IF(TRIM($B227)="","",IF(COUNTIFS(Lists!$AN$2:$AN$22,TRIM($B227)&amp;" | "&amp;TRIM($D227),Lists!$AQ$2:$AQ$22,"&lt;&gt;"),INDEX(Lists!$AQ$2:$AQ$22,MATCH(TRIM($B227)&amp;" | "&amp;TRIM($D227),Lists!$AN$2:$AN$22,0)),IF(COUNTIF(Lists!$AF$2:$AF$8,$AJ227),$AJ227,IF(ISNUMBER(SEARCH("head of ",$D227)),"Head of Technology",IF(ISNUMBER(SEARCH("TDD BP",$D227)),"Business Partner",IF(OR(ISNUMBER(SEARCH("domain architect",$D227)),ISNUMBER(SEARCH("enterprise architect",$D227))),"Domain Architect",IF(ISNUMBER(SEARCH("delivery man",$D227)),"Delivery Manager",IF(OR(ISNUMBER(SEARCH("technology manager",$D227)),ISNUMBER(SEARCH("technology manger",$D227)),ISNUMBER(SEARCH("tech manager",$D227))),"Technology Manager","Squad"))))))))</f>
        <v>Squad</v>
      </c>
      <c r="AL227" s="534" t="str">
        <f>IF(TRIM($B227)="","",IF(AND($AM227=1,LEFT($AJ227,4)&lt;&gt;"EGI ",$AJ227&lt;&gt;"EGI"),IFERROR(INDEX(Lists!$Z$2:$Z$20,MATCH($AH227,Lists!$Y$2:$Y$20,0)),"EGI "&amp;$AH227),IF(COUNTIF(Lists!$AU$2:$AU$10,$AJ227),$AJ227,IF(OR(LEFT($AH227,3)="COE",$AH227="EGI"),$AJ227,IF($AK227&lt;&gt;"Squad",$AK227,$AJ227)))))</f>
        <v>P&amp;C</v>
      </c>
      <c r="AM227" s="534" t="b">
        <f>IF(TRIM($B227)="","",--(UPPER(TRIM($K227))="EGI"))</f>
        <v>0</v>
      </c>
      <c r="AQ227" s="841" t="inlineStr">
        <is>
          <t>R0226</t>
        </is>
      </c>
      <c r="AZ227" s="841" t="n"/>
    </row>
    <row r="228" ht="18" customHeight="1" s="535">
      <c r="A228" s="842" t="inlineStr">
        <is>
          <t>V</t>
        </is>
      </c>
      <c r="B228" s="843" t="inlineStr">
        <is>
          <t>Vacant</t>
        </is>
      </c>
      <c r="C228" s="842" t="inlineStr">
        <is>
          <t>V</t>
        </is>
      </c>
      <c r="D228" s="843" t="inlineStr">
        <is>
          <t>Delivery Lead (JDE)</t>
        </is>
      </c>
      <c r="E228" s="843" t="inlineStr">
        <is>
          <t>Vacant</t>
        </is>
      </c>
      <c r="F228" s="843" t="inlineStr">
        <is>
          <t>Delivery Manager, P&amp;C, Finance &amp; Legal</t>
        </is>
      </c>
      <c r="G228" s="844" t="inlineStr">
        <is>
          <t>TDD Group Functions</t>
        </is>
      </c>
      <c r="H228" s="843" t="inlineStr">
        <is>
          <t>P&amp;C, Finance &amp; Legal</t>
        </is>
      </c>
      <c r="I228" s="843" t="inlineStr">
        <is>
          <t>Delivery, P&amp;C, Finance &amp; Legal</t>
        </is>
      </c>
      <c r="J228" s="843" t="inlineStr">
        <is>
          <t>Finance</t>
        </is>
      </c>
      <c r="K228" s="843" t="inlineStr">
        <is>
          <t>NZ Finance</t>
        </is>
      </c>
      <c r="L228" s="843" t="inlineStr">
        <is>
          <t>NZ Finance</t>
        </is>
      </c>
      <c r="M228" s="843" t="n"/>
      <c r="N228" s="845" t="inlineStr">
        <is>
          <t>Australia</t>
        </is>
      </c>
      <c r="O228" s="846" t="inlineStr">
        <is>
          <t>CIC</t>
        </is>
      </c>
      <c r="P228" s="847" t="n">
        <v>1</v>
      </c>
      <c r="Q228" s="846" t="n"/>
      <c r="R228" s="847" t="inlineStr">
        <is>
          <t>V</t>
        </is>
      </c>
      <c r="S228" s="847" t="n"/>
      <c r="T228" s="847" t="n"/>
      <c r="U228" s="848" t="n">
        <v>173550</v>
      </c>
      <c r="V228" s="849" t="n">
        <v>173550</v>
      </c>
      <c r="W228" s="850" t="n">
        <v>0.12</v>
      </c>
      <c r="X228" s="847" t="n">
        <v>0.055</v>
      </c>
      <c r="Y228" s="850" t="n">
        <v>0.12</v>
      </c>
      <c r="Z228" s="851" t="n"/>
      <c r="AA228" s="850" t="n">
        <v>0.04</v>
      </c>
      <c r="AB228" s="852" t="n">
        <v>231689.25</v>
      </c>
      <c r="AE228" s="534">
        <f>IF(TRIM($B228)="","",IF(AND(N($P228)&gt;0,N($P228)&lt;1),N($AB228)*N($P228),N($AB228)))</f>
        <v>231689.25</v>
      </c>
      <c r="AF228" s="534" t="str">
        <f>IF(TRIM($B228)="","",IF(OR(ISNUMBER(SEARCH("vacant",$B228)),ISNUMBER(SEARCH("ring fenced",$B228)),LOWER(TRIM($B228))="remove"),"Vacant","Filled"))</f>
        <v>Vacant</v>
      </c>
      <c r="AG228" s="534" t="b">
        <f>IF(TRIM($B228)="","",--ISNUMBER(SEARCH("ring fenced",$B228)))</f>
        <v>0</v>
      </c>
      <c r="AH228" s="534" t="str">
        <f>IF(TRIM($B228)="","",IF(COUNTIFS(Lists!$AN$2:$AN$22,TRIM($B228)&amp;" | "&amp;TRIM($D228),Lists!$AO$2:$AO$22,"&lt;&gt;"),INDEX(Lists!$AO$2:$AO$22,MATCH(TRIM($B228)&amp;" | "&amp;TRIM($D228),Lists!$AN$2:$AN$22,0)),IF(COUNTIF(Lists!$AR$2:$AR$3,$AJ228),"TDD Cyber",IF(AND(LEFT($AJ228,4)="EGI ",ISNUMBER(MATCH(TRIM(MID($AJ228,5,99)),Lists!$AS$2:$AS$12,0))),TRIM(MID($AJ228,5,99)),IF(AND(LEFT($AJ228,4)="EGI ",ISNUMBER(MATCH(TRIM(MID($AJ228,5,99)),Lists!$T$2:$T$21,0))),INDEX(Lists!$U$2:$U$21,MATCH(TRIM(MID($AJ228,5,99)),Lists!$T$2:$T$21,0)),IF(OR(TRIM($J228)="",UPPER(TRIM($J228))="NA"),IFERROR(INDEX(Lists!$R$2:$R$9,MATCH(TRIM($G228),Lists!$Q$2:$Q$9,0)),"UNMAPPED"),IFERROR(INDEX(Lists!$U$2:$U$21,MATCH(TRIM($J228),Lists!$T$2:$T$21,0)),IFERROR(INDEX(Lists!$R$2:$R$9,MATCH(TRIM($G228),Lists!$Q$2:$Q$9,0)),"UNMAPPED"))))))))</f>
        <v>Finance</v>
      </c>
      <c r="AI228" s="534" t="b">
        <f>IF(TRIM($B228)="","",--OR(TRIM($L228)="Leadership",TRIM($K228)="Leadership"))</f>
        <v>0</v>
      </c>
      <c r="AJ228" s="534" t="str">
        <f>IF(TRIM($B228)="","",IF(COUNTIFS(Lists!$AN$2:$AN$22,TRIM($B228)&amp;" | "&amp;TRIM($D228),Lists!$AP$2:$AP$22,"&lt;&gt;"),INDEX(Lists!$AP$2:$AP$22,MATCH(TRIM($B228)&amp;" | "&amp;TRIM($D228),Lists!$AN$2:$AN$22,0)),IF($AI228=1,"Leadership",IFERROR(INDEX(Lists!$X$2:$X$21,MATCH(TRIM($L228),Lists!$W$2:$W$21,0)),IF(OR(TRIM($L228)="",LOWER(TRIM($L228))="na"),IF(TRIM($H228)="","Unassigned",TRIM($H228)),TRIM($L228))))))</f>
        <v>NZ Finance</v>
      </c>
      <c r="AK228" s="534" t="str">
        <f>IF(TRIM($B228)="","",IF(COUNTIFS(Lists!$AN$2:$AN$22,TRIM($B228)&amp;" | "&amp;TRIM($D228),Lists!$AQ$2:$AQ$22,"&lt;&gt;"),INDEX(Lists!$AQ$2:$AQ$22,MATCH(TRIM($B228)&amp;" | "&amp;TRIM($D228),Lists!$AN$2:$AN$22,0)),IF(COUNTIF(Lists!$AF$2:$AF$8,$AJ228),$AJ228,IF(ISNUMBER(SEARCH("head of ",$D228)),"Head of Technology",IF(ISNUMBER(SEARCH("TDD BP",$D228)),"Business Partner",IF(OR(ISNUMBER(SEARCH("domain architect",$D228)),ISNUMBER(SEARCH("enterprise architect",$D228))),"Domain Architect",IF(ISNUMBER(SEARCH("delivery man",$D228)),"Delivery Manager",IF(OR(ISNUMBER(SEARCH("technology manager",$D228)),ISNUMBER(SEARCH("technology manger",$D228)),ISNUMBER(SEARCH("tech manager",$D228))),"Technology Manager","Squad"))))))))</f>
        <v>Squad</v>
      </c>
      <c r="AL228" s="534" t="str">
        <f>IF(TRIM($B228)="","",IF(AND($AM228=1,LEFT($AJ228,4)&lt;&gt;"EGI ",$AJ228&lt;&gt;"EGI"),IFERROR(INDEX(Lists!$Z$2:$Z$20,MATCH($AH228,Lists!$Y$2:$Y$20,0)),"EGI "&amp;$AH228),IF(COUNTIF(Lists!$AU$2:$AU$10,$AJ228),$AJ228,IF(OR(LEFT($AH228,3)="COE",$AH228="EGI"),$AJ228,IF($AK228&lt;&gt;"Squad",$AK228,$AJ228)))))</f>
        <v>NZ Finance</v>
      </c>
      <c r="AM228" s="534" t="b">
        <f>IF(TRIM($B228)="","",--(UPPER(TRIM($K228))="EGI"))</f>
        <v>0</v>
      </c>
      <c r="AQ228" s="841" t="inlineStr">
        <is>
          <t>R0227</t>
        </is>
      </c>
      <c r="AZ228" s="841" t="n"/>
    </row>
    <row r="229" ht="18" customHeight="1" s="535">
      <c r="A229" s="842" t="inlineStr">
        <is>
          <t>V</t>
        </is>
      </c>
      <c r="B229" s="843" t="inlineStr">
        <is>
          <t>Vacant</t>
        </is>
      </c>
      <c r="C229" s="842" t="inlineStr">
        <is>
          <t>V</t>
        </is>
      </c>
      <c r="D229" s="843" t="inlineStr">
        <is>
          <t>Delivery Lead (RTA)</t>
        </is>
      </c>
      <c r="E229" s="843" t="inlineStr">
        <is>
          <t>Vacant</t>
        </is>
      </c>
      <c r="F229" s="843" t="inlineStr">
        <is>
          <t>Delivery Manager, P&amp;C, Finance &amp; Legal</t>
        </is>
      </c>
      <c r="G229" s="844" t="inlineStr">
        <is>
          <t>TDD Group Functions</t>
        </is>
      </c>
      <c r="H229" s="843" t="inlineStr">
        <is>
          <t>P&amp;C, Finance &amp; Legal</t>
        </is>
      </c>
      <c r="I229" s="843" t="inlineStr">
        <is>
          <t>Delivery, P&amp;C, Finance &amp; Legal</t>
        </is>
      </c>
      <c r="J229" s="843" t="inlineStr">
        <is>
          <t>P&amp;C</t>
        </is>
      </c>
      <c r="K229" s="843" t="inlineStr">
        <is>
          <t>P&amp;C</t>
        </is>
      </c>
      <c r="L229" s="843" t="inlineStr">
        <is>
          <t>P&amp;C RTA</t>
        </is>
      </c>
      <c r="M229" s="843" t="n"/>
      <c r="N229" s="845" t="inlineStr">
        <is>
          <t>Australia</t>
        </is>
      </c>
      <c r="O229" s="846" t="inlineStr">
        <is>
          <t>CIC</t>
        </is>
      </c>
      <c r="P229" s="847" t="n">
        <v>1</v>
      </c>
      <c r="Q229" s="847" t="n"/>
      <c r="R229" s="847" t="inlineStr">
        <is>
          <t>V</t>
        </is>
      </c>
      <c r="S229" s="847" t="n"/>
      <c r="T229" s="847" t="n"/>
      <c r="U229" s="848" t="n">
        <v>173550</v>
      </c>
      <c r="V229" s="849" t="n">
        <v>173550</v>
      </c>
      <c r="W229" s="850" t="n">
        <v>0.12</v>
      </c>
      <c r="X229" s="847" t="n">
        <v>0.055</v>
      </c>
      <c r="Y229" s="850" t="n">
        <v>0.12</v>
      </c>
      <c r="Z229" s="851" t="n"/>
      <c r="AA229" s="850" t="n">
        <v>0.04</v>
      </c>
      <c r="AB229" s="852" t="n">
        <v>231689.25</v>
      </c>
      <c r="AE229" s="534">
        <f>IF(TRIM($B229)="","",IF(AND(N($P229)&gt;0,N($P229)&lt;1),N($AB229)*N($P229),N($AB229)))</f>
        <v>231689.25</v>
      </c>
      <c r="AF229" s="534" t="str">
        <f>IF(TRIM($B229)="","",IF(OR(ISNUMBER(SEARCH("vacant",$B229)),ISNUMBER(SEARCH("ring fenced",$B229)),LOWER(TRIM($B229))="remove"),"Vacant","Filled"))</f>
        <v>Vacant</v>
      </c>
      <c r="AG229" s="534" t="b">
        <f>IF(TRIM($B229)="","",--ISNUMBER(SEARCH("ring fenced",$B229)))</f>
        <v>0</v>
      </c>
      <c r="AH229" s="534" t="str">
        <f>IF(TRIM($B229)="","",IF(COUNTIFS(Lists!$AN$2:$AN$22,TRIM($B229)&amp;" | "&amp;TRIM($D229),Lists!$AO$2:$AO$22,"&lt;&gt;"),INDEX(Lists!$AO$2:$AO$22,MATCH(TRIM($B229)&amp;" | "&amp;TRIM($D229),Lists!$AN$2:$AN$22,0)),IF(COUNTIF(Lists!$AR$2:$AR$3,$AJ229),"TDD Cyber",IF(AND(LEFT($AJ229,4)="EGI ",ISNUMBER(MATCH(TRIM(MID($AJ229,5,99)),Lists!$AS$2:$AS$12,0))),TRIM(MID($AJ229,5,99)),IF(AND(LEFT($AJ229,4)="EGI ",ISNUMBER(MATCH(TRIM(MID($AJ229,5,99)),Lists!$T$2:$T$21,0))),INDEX(Lists!$U$2:$U$21,MATCH(TRIM(MID($AJ229,5,99)),Lists!$T$2:$T$21,0)),IF(OR(TRIM($J229)="",UPPER(TRIM($J229))="NA"),IFERROR(INDEX(Lists!$R$2:$R$9,MATCH(TRIM($G229),Lists!$Q$2:$Q$9,0)),"UNMAPPED"),IFERROR(INDEX(Lists!$U$2:$U$21,MATCH(TRIM($J229),Lists!$T$2:$T$21,0)),IFERROR(INDEX(Lists!$R$2:$R$9,MATCH(TRIM($G229),Lists!$Q$2:$Q$9,0)),"UNMAPPED"))))))))</f>
        <v>P&amp;C</v>
      </c>
      <c r="AI229" s="534" t="b">
        <f>IF(TRIM($B229)="","",--OR(TRIM($L229)="Leadership",TRIM($K229)="Leadership"))</f>
        <v>0</v>
      </c>
      <c r="AJ229" s="534" t="str">
        <f>IF(TRIM($B229)="","",IF(COUNTIFS(Lists!$AN$2:$AN$22,TRIM($B229)&amp;" | "&amp;TRIM($D229),Lists!$AP$2:$AP$22,"&lt;&gt;"),INDEX(Lists!$AP$2:$AP$22,MATCH(TRIM($B229)&amp;" | "&amp;TRIM($D229),Lists!$AN$2:$AN$22,0)),IF($AI229=1,"Leadership",IFERROR(INDEX(Lists!$X$2:$X$21,MATCH(TRIM($L229),Lists!$W$2:$W$21,0)),IF(OR(TRIM($L229)="",LOWER(TRIM($L229))="na"),IF(TRIM($H229)="","Unassigned",TRIM($H229)),TRIM($L229))))))</f>
        <v>P&amp;C RTA</v>
      </c>
      <c r="AK229" s="534" t="str">
        <f>IF(TRIM($B229)="","",IF(COUNTIFS(Lists!$AN$2:$AN$22,TRIM($B229)&amp;" | "&amp;TRIM($D229),Lists!$AQ$2:$AQ$22,"&lt;&gt;"),INDEX(Lists!$AQ$2:$AQ$22,MATCH(TRIM($B229)&amp;" | "&amp;TRIM($D229),Lists!$AN$2:$AN$22,0)),IF(COUNTIF(Lists!$AF$2:$AF$8,$AJ229),$AJ229,IF(ISNUMBER(SEARCH("head of ",$D229)),"Head of Technology",IF(ISNUMBER(SEARCH("TDD BP",$D229)),"Business Partner",IF(OR(ISNUMBER(SEARCH("domain architect",$D229)),ISNUMBER(SEARCH("enterprise architect",$D229))),"Domain Architect",IF(ISNUMBER(SEARCH("delivery man",$D229)),"Delivery Manager",IF(OR(ISNUMBER(SEARCH("technology manager",$D229)),ISNUMBER(SEARCH("technology manger",$D229)),ISNUMBER(SEARCH("tech manager",$D229))),"Technology Manager","Squad"))))))))</f>
        <v>Squad</v>
      </c>
      <c r="AL229" s="534" t="str">
        <f>IF(TRIM($B229)="","",IF(AND($AM229=1,LEFT($AJ229,4)&lt;&gt;"EGI ",$AJ229&lt;&gt;"EGI"),IFERROR(INDEX(Lists!$Z$2:$Z$20,MATCH($AH229,Lists!$Y$2:$Y$20,0)),"EGI "&amp;$AH229),IF(COUNTIF(Lists!$AU$2:$AU$10,$AJ229),$AJ229,IF(OR(LEFT($AH229,3)="COE",$AH229="EGI"),$AJ229,IF($AK229&lt;&gt;"Squad",$AK229,$AJ229)))))</f>
        <v>P&amp;C RTA</v>
      </c>
      <c r="AM229" s="534" t="b">
        <f>IF(TRIM($B229)="","",--(UPPER(TRIM($K229))="EGI"))</f>
        <v>0</v>
      </c>
      <c r="AQ229" s="841" t="inlineStr">
        <is>
          <t>R0228</t>
        </is>
      </c>
      <c r="AZ229" s="841" t="n"/>
    </row>
    <row r="230" ht="18" customHeight="1" s="535">
      <c r="A230" s="842" t="inlineStr">
        <is>
          <t>V</t>
        </is>
      </c>
      <c r="B230" s="843" t="inlineStr">
        <is>
          <t>Vacant</t>
        </is>
      </c>
      <c r="C230" s="842" t="inlineStr">
        <is>
          <t>V</t>
        </is>
      </c>
      <c r="D230" s="843" t="inlineStr">
        <is>
          <t>Delivery Lead (SAP)</t>
        </is>
      </c>
      <c r="E230" s="843" t="inlineStr">
        <is>
          <t>Vacant</t>
        </is>
      </c>
      <c r="F230" s="843" t="inlineStr">
        <is>
          <t>Delivery Manager, P&amp;C, Finance &amp; Legal</t>
        </is>
      </c>
      <c r="G230" s="844" t="inlineStr">
        <is>
          <t>TDD Group Functions</t>
        </is>
      </c>
      <c r="H230" s="843" t="inlineStr">
        <is>
          <t>P&amp;C, Finance &amp; Legal</t>
        </is>
      </c>
      <c r="I230" s="843" t="inlineStr">
        <is>
          <t>Delivery, P&amp;C, Finance &amp; Legal</t>
        </is>
      </c>
      <c r="J230" s="843" t="inlineStr">
        <is>
          <t>Finance</t>
        </is>
      </c>
      <c r="K230" s="843" t="inlineStr">
        <is>
          <t>AU Finance</t>
        </is>
      </c>
      <c r="L230" s="843" t="inlineStr">
        <is>
          <t>SAP ERP</t>
        </is>
      </c>
      <c r="M230" s="843" t="n"/>
      <c r="N230" s="845" t="inlineStr">
        <is>
          <t>Australia</t>
        </is>
      </c>
      <c r="O230" s="846" t="inlineStr">
        <is>
          <t>CIC</t>
        </is>
      </c>
      <c r="P230" s="847" t="n">
        <v>1</v>
      </c>
      <c r="Q230" s="846" t="n"/>
      <c r="R230" s="847" t="inlineStr">
        <is>
          <t>V</t>
        </is>
      </c>
      <c r="S230" s="847" t="n"/>
      <c r="T230" s="847" t="n"/>
      <c r="U230" s="848" t="n">
        <v>173550</v>
      </c>
      <c r="V230" s="849" t="n">
        <v>173550</v>
      </c>
      <c r="W230" s="850" t="n">
        <v>0.12</v>
      </c>
      <c r="X230" s="847" t="n">
        <v>0.055</v>
      </c>
      <c r="Y230" s="850" t="n">
        <v>0.12</v>
      </c>
      <c r="Z230" s="851" t="n"/>
      <c r="AA230" s="850" t="n">
        <v>0.04</v>
      </c>
      <c r="AB230" s="852" t="n">
        <v>231689.25</v>
      </c>
      <c r="AE230" s="534">
        <f>IF(TRIM($B230)="","",IF(AND(N($P230)&gt;0,N($P230)&lt;1),N($AB230)*N($P230),N($AB230)))</f>
        <v>231689.25</v>
      </c>
      <c r="AF230" s="534" t="str">
        <f>IF(TRIM($B230)="","",IF(OR(ISNUMBER(SEARCH("vacant",$B230)),ISNUMBER(SEARCH("ring fenced",$B230)),LOWER(TRIM($B230))="remove"),"Vacant","Filled"))</f>
        <v>Vacant</v>
      </c>
      <c r="AG230" s="534" t="b">
        <f>IF(TRIM($B230)="","",--ISNUMBER(SEARCH("ring fenced",$B230)))</f>
        <v>0</v>
      </c>
      <c r="AH230" s="534" t="str">
        <f>IF(TRIM($B230)="","",IF(COUNTIFS(Lists!$AN$2:$AN$22,TRIM($B230)&amp;" | "&amp;TRIM($D230),Lists!$AO$2:$AO$22,"&lt;&gt;"),INDEX(Lists!$AO$2:$AO$22,MATCH(TRIM($B230)&amp;" | "&amp;TRIM($D230),Lists!$AN$2:$AN$22,0)),IF(COUNTIF(Lists!$AR$2:$AR$3,$AJ230),"TDD Cyber",IF(AND(LEFT($AJ230,4)="EGI ",ISNUMBER(MATCH(TRIM(MID($AJ230,5,99)),Lists!$AS$2:$AS$12,0))),TRIM(MID($AJ230,5,99)),IF(AND(LEFT($AJ230,4)="EGI ",ISNUMBER(MATCH(TRIM(MID($AJ230,5,99)),Lists!$T$2:$T$21,0))),INDEX(Lists!$U$2:$U$21,MATCH(TRIM(MID($AJ230,5,99)),Lists!$T$2:$T$21,0)),IF(OR(TRIM($J230)="",UPPER(TRIM($J230))="NA"),IFERROR(INDEX(Lists!$R$2:$R$9,MATCH(TRIM($G230),Lists!$Q$2:$Q$9,0)),"UNMAPPED"),IFERROR(INDEX(Lists!$U$2:$U$21,MATCH(TRIM($J230),Lists!$T$2:$T$21,0)),IFERROR(INDEX(Lists!$R$2:$R$9,MATCH(TRIM($G230),Lists!$Q$2:$Q$9,0)),"UNMAPPED"))))))))</f>
        <v>Finance</v>
      </c>
      <c r="AI230" s="534" t="b">
        <f>IF(TRIM($B230)="","",--OR(TRIM($L230)="Leadership",TRIM($K230)="Leadership"))</f>
        <v>0</v>
      </c>
      <c r="AJ230" s="534" t="str">
        <f>IF(TRIM($B230)="","",IF(COUNTIFS(Lists!$AN$2:$AN$22,TRIM($B230)&amp;" | "&amp;TRIM($D230),Lists!$AP$2:$AP$22,"&lt;&gt;"),INDEX(Lists!$AP$2:$AP$22,MATCH(TRIM($B230)&amp;" | "&amp;TRIM($D230),Lists!$AN$2:$AN$22,0)),IF($AI230=1,"Leadership",IFERROR(INDEX(Lists!$X$2:$X$21,MATCH(TRIM($L230),Lists!$W$2:$W$21,0)),IF(OR(TRIM($L230)="",LOWER(TRIM($L230))="na"),IF(TRIM($H230)="","Unassigned",TRIM($H230)),TRIM($L230))))))</f>
        <v>SAP ERP</v>
      </c>
      <c r="AK230" s="534" t="str">
        <f>IF(TRIM($B230)="","",IF(COUNTIFS(Lists!$AN$2:$AN$22,TRIM($B230)&amp;" | "&amp;TRIM($D230),Lists!$AQ$2:$AQ$22,"&lt;&gt;"),INDEX(Lists!$AQ$2:$AQ$22,MATCH(TRIM($B230)&amp;" | "&amp;TRIM($D230),Lists!$AN$2:$AN$22,0)),IF(COUNTIF(Lists!$AF$2:$AF$8,$AJ230),$AJ230,IF(ISNUMBER(SEARCH("head of ",$D230)),"Head of Technology",IF(ISNUMBER(SEARCH("TDD BP",$D230)),"Business Partner",IF(OR(ISNUMBER(SEARCH("domain architect",$D230)),ISNUMBER(SEARCH("enterprise architect",$D230))),"Domain Architect",IF(ISNUMBER(SEARCH("delivery man",$D230)),"Delivery Manager",IF(OR(ISNUMBER(SEARCH("technology manager",$D230)),ISNUMBER(SEARCH("technology manger",$D230)),ISNUMBER(SEARCH("tech manager",$D230))),"Technology Manager","Squad"))))))))</f>
        <v>Squad</v>
      </c>
      <c r="AL230" s="534" t="str">
        <f>IF(TRIM($B230)="","",IF(AND($AM230=1,LEFT($AJ230,4)&lt;&gt;"EGI ",$AJ230&lt;&gt;"EGI"),IFERROR(INDEX(Lists!$Z$2:$Z$20,MATCH($AH230,Lists!$Y$2:$Y$20,0)),"EGI "&amp;$AH230),IF(COUNTIF(Lists!$AU$2:$AU$10,$AJ230),$AJ230,IF(OR(LEFT($AH230,3)="COE",$AH230="EGI"),$AJ230,IF($AK230&lt;&gt;"Squad",$AK230,$AJ230)))))</f>
        <v>SAP ERP</v>
      </c>
      <c r="AM230" s="534" t="b">
        <f>IF(TRIM($B230)="","",--(UPPER(TRIM($K230))="EGI"))</f>
        <v>0</v>
      </c>
      <c r="AQ230" s="841" t="inlineStr">
        <is>
          <t>R0229</t>
        </is>
      </c>
      <c r="AZ230" s="841" t="n"/>
    </row>
    <row r="231" ht="18" customHeight="1" s="535">
      <c r="A231" s="842" t="n">
        <v>113067</v>
      </c>
      <c r="B231" s="843" t="inlineStr">
        <is>
          <t>Vikram Chhahira</t>
        </is>
      </c>
      <c r="C231" s="842" t="n">
        <v>113067</v>
      </c>
      <c r="D231" s="843" t="inlineStr">
        <is>
          <t>Delivery Lead, EGI</t>
        </is>
      </c>
      <c r="E231" s="843" t="inlineStr">
        <is>
          <t>Vacant</t>
        </is>
      </c>
      <c r="F231" s="843" t="inlineStr">
        <is>
          <t>Delivery Manager, P&amp;C, Finance &amp; Legal</t>
        </is>
      </c>
      <c r="G231" s="844" t="inlineStr">
        <is>
          <t>TDD Group Functions</t>
        </is>
      </c>
      <c r="H231" s="843" t="inlineStr">
        <is>
          <t>EGI</t>
        </is>
      </c>
      <c r="I231" s="843" t="n"/>
      <c r="J231" s="843" t="inlineStr">
        <is>
          <t>EGI</t>
        </is>
      </c>
      <c r="K231" s="843" t="inlineStr">
        <is>
          <t>EGI</t>
        </is>
      </c>
      <c r="L231" s="843" t="inlineStr">
        <is>
          <t>EGI P&amp;C</t>
        </is>
      </c>
      <c r="M231" s="843" t="n"/>
      <c r="N231" s="845" t="inlineStr">
        <is>
          <t>Australia</t>
        </is>
      </c>
      <c r="O231" s="846" t="inlineStr">
        <is>
          <t>CIC</t>
        </is>
      </c>
      <c r="P231" s="847" t="n">
        <v>1</v>
      </c>
      <c r="Q231" s="846" t="n"/>
      <c r="R231" s="847" t="inlineStr">
        <is>
          <t>Permanent - Full Time</t>
        </is>
      </c>
      <c r="S231" s="847" t="n"/>
      <c r="T231" s="847" t="n"/>
      <c r="U231" s="848" t="n">
        <v>179000</v>
      </c>
      <c r="V231" s="849" t="n">
        <v>179000</v>
      </c>
      <c r="W231" s="850" t="n">
        <v>0.12</v>
      </c>
      <c r="X231" s="847" t="n">
        <v>0.055</v>
      </c>
      <c r="Y231" s="850" t="n">
        <v>0.12</v>
      </c>
      <c r="Z231" s="851" t="n"/>
      <c r="AA231" s="850" t="n">
        <v>0.04</v>
      </c>
      <c r="AB231" s="852" t="n">
        <v>238965</v>
      </c>
      <c r="AE231" s="534">
        <f>IF(TRIM($B231)="","",IF(AND(N($P231)&gt;0,N($P231)&lt;1),N($AB231)*N($P231),N($AB231)))</f>
        <v>238965</v>
      </c>
      <c r="AF231" s="534" t="str">
        <f>IF(TRIM($B231)="","",IF(OR(ISNUMBER(SEARCH("vacant",$B231)),ISNUMBER(SEARCH("ring fenced",$B231)),LOWER(TRIM($B231))="remove"),"Vacant","Filled"))</f>
        <v>Filled</v>
      </c>
      <c r="AG231" s="534" t="b">
        <f>IF(TRIM($B231)="","",--ISNUMBER(SEARCH("ring fenced",$B231)))</f>
        <v>0</v>
      </c>
      <c r="AH231" s="534" t="str">
        <f>IF(TRIM($B231)="","",IF(COUNTIFS(Lists!$AN$2:$AN$22,TRIM($B231)&amp;" | "&amp;TRIM($D231),Lists!$AO$2:$AO$22,"&lt;&gt;"),INDEX(Lists!$AO$2:$AO$22,MATCH(TRIM($B231)&amp;" | "&amp;TRIM($D231),Lists!$AN$2:$AN$22,0)),IF(COUNTIF(Lists!$AR$2:$AR$3,$AJ231),"TDD Cyber",IF(AND(LEFT($AJ231,4)="EGI ",ISNUMBER(MATCH(TRIM(MID($AJ231,5,99)),Lists!$AS$2:$AS$12,0))),TRIM(MID($AJ231,5,99)),IF(AND(LEFT($AJ231,4)="EGI ",ISNUMBER(MATCH(TRIM(MID($AJ231,5,99)),Lists!$T$2:$T$21,0))),INDEX(Lists!$U$2:$U$21,MATCH(TRIM(MID($AJ231,5,99)),Lists!$T$2:$T$21,0)),IF(OR(TRIM($J231)="",UPPER(TRIM($J231))="NA"),IFERROR(INDEX(Lists!$R$2:$R$9,MATCH(TRIM($G231),Lists!$Q$2:$Q$9,0)),"UNMAPPED"),IFERROR(INDEX(Lists!$U$2:$U$21,MATCH(TRIM($J231),Lists!$T$2:$T$21,0)),IFERROR(INDEX(Lists!$R$2:$R$9,MATCH(TRIM($G231),Lists!$Q$2:$Q$9,0)),"UNMAPPED"))))))))</f>
        <v>P&amp;C</v>
      </c>
      <c r="AI231" s="534" t="b">
        <f>IF(TRIM($B231)="","",--OR(TRIM($L231)="Leadership",TRIM($K231)="Leadership"))</f>
        <v>0</v>
      </c>
      <c r="AJ231" s="534" t="str">
        <f>IF(TRIM($B231)="","",IF(COUNTIFS(Lists!$AN$2:$AN$22,TRIM($B231)&amp;" | "&amp;TRIM($D231),Lists!$AP$2:$AP$22,"&lt;&gt;"),INDEX(Lists!$AP$2:$AP$22,MATCH(TRIM($B231)&amp;" | "&amp;TRIM($D231),Lists!$AN$2:$AN$22,0)),IF($AI231=1,"Leadership",IFERROR(INDEX(Lists!$X$2:$X$21,MATCH(TRIM($L231),Lists!$W$2:$W$21,0)),IF(OR(TRIM($L231)="",LOWER(TRIM($L231))="na"),IF(TRIM($H231)="","Unassigned",TRIM($H231)),TRIM($L231))))))</f>
        <v>EGI P&amp;C</v>
      </c>
      <c r="AK231" s="534" t="str">
        <f>IF(TRIM($B231)="","",IF(COUNTIFS(Lists!$AN$2:$AN$22,TRIM($B231)&amp;" | "&amp;TRIM($D231),Lists!$AQ$2:$AQ$22,"&lt;&gt;"),INDEX(Lists!$AQ$2:$AQ$22,MATCH(TRIM($B231)&amp;" | "&amp;TRIM($D231),Lists!$AN$2:$AN$22,0)),IF(COUNTIF(Lists!$AF$2:$AF$8,$AJ231),$AJ231,IF(ISNUMBER(SEARCH("head of ",$D231)),"Head of Technology",IF(ISNUMBER(SEARCH("TDD BP",$D231)),"Business Partner",IF(OR(ISNUMBER(SEARCH("domain architect",$D231)),ISNUMBER(SEARCH("enterprise architect",$D231))),"Domain Architect",IF(ISNUMBER(SEARCH("delivery man",$D231)),"Delivery Manager",IF(OR(ISNUMBER(SEARCH("technology manager",$D231)),ISNUMBER(SEARCH("technology manger",$D231)),ISNUMBER(SEARCH("tech manager",$D231))),"Technology Manager","Squad"))))))))</f>
        <v>Squad</v>
      </c>
      <c r="AL231" s="534" t="str">
        <f>IF(TRIM($B231)="","",IF(AND($AM231=1,LEFT($AJ231,4)&lt;&gt;"EGI ",$AJ231&lt;&gt;"EGI"),IFERROR(INDEX(Lists!$Z$2:$Z$20,MATCH($AH231,Lists!$Y$2:$Y$20,0)),"EGI "&amp;$AH231),IF(COUNTIF(Lists!$AU$2:$AU$10,$AJ231),$AJ231,IF(OR(LEFT($AH231,3)="COE",$AH231="EGI"),$AJ231,IF($AK231&lt;&gt;"Squad",$AK231,$AJ231)))))</f>
        <v>EGI P&amp;C</v>
      </c>
      <c r="AM231" s="534" t="b">
        <f>IF(TRIM($B231)="","",--(UPPER(TRIM($K231))="EGI"))</f>
        <v>1</v>
      </c>
      <c r="AQ231" s="841" t="inlineStr">
        <is>
          <t>R0230</t>
        </is>
      </c>
      <c r="AZ231" s="841" t="n"/>
    </row>
    <row r="232" ht="18" customHeight="1" s="535">
      <c r="A232" s="842" t="n">
        <v>113513</v>
      </c>
      <c r="B232" s="843" t="inlineStr">
        <is>
          <t>Anne Pretorius</t>
        </is>
      </c>
      <c r="C232" s="842" t="n">
        <v>113513</v>
      </c>
      <c r="D232" s="843" t="inlineStr">
        <is>
          <t>Lead Business Analyst</t>
        </is>
      </c>
      <c r="E232" s="843" t="inlineStr">
        <is>
          <t>Vacant</t>
        </is>
      </c>
      <c r="F232" s="843" t="inlineStr">
        <is>
          <t>Delivery Manager, Z and Retail Data</t>
        </is>
      </c>
      <c r="G232" s="844" t="inlineStr">
        <is>
          <t>Ampol Retail &amp; Z</t>
        </is>
      </c>
      <c r="H232" s="843" t="inlineStr">
        <is>
          <t>Z &amp; Group Retail</t>
        </is>
      </c>
      <c r="I232" s="843" t="inlineStr">
        <is>
          <t>Z &amp; Group Retail, Delivery</t>
        </is>
      </c>
      <c r="J232" s="843" t="inlineStr">
        <is>
          <t>EGI Integration</t>
        </is>
      </c>
      <c r="K232" s="843" t="inlineStr">
        <is>
          <t>EGI</t>
        </is>
      </c>
      <c r="L232" s="843" t="inlineStr">
        <is>
          <t>EGI Retail</t>
        </is>
      </c>
      <c r="M232" s="843" t="n"/>
      <c r="N232" s="845" t="inlineStr">
        <is>
          <t>NZ</t>
        </is>
      </c>
      <c r="O232" s="846" t="inlineStr">
        <is>
          <t>CIC</t>
        </is>
      </c>
      <c r="P232" s="847" t="n">
        <v>0.8</v>
      </c>
      <c r="Q232" s="846" t="n"/>
      <c r="R232" s="847" t="inlineStr">
        <is>
          <t>Permanent - Part Time</t>
        </is>
      </c>
      <c r="S232" s="847" t="n"/>
      <c r="T232" s="847" t="n"/>
      <c r="U232" s="848" t="n">
        <v>170290</v>
      </c>
      <c r="V232" s="849" t="n">
        <v>156666.8</v>
      </c>
      <c r="W232" s="850" t="n">
        <v>0.15</v>
      </c>
      <c r="X232" s="847" t="n"/>
      <c r="Y232" s="850" t="n">
        <v>0.05</v>
      </c>
      <c r="Z232" s="851" t="n">
        <v>2910</v>
      </c>
      <c r="AA232" s="850" t="n">
        <v>0.03</v>
      </c>
      <c r="AB232" s="852" t="n">
        <v>195610.164</v>
      </c>
      <c r="AE232" s="534">
        <f>IF(TRIM($B232)="","",IF(AND(N($P232)&gt;0,N($P232)&lt;1),N($AB232)*N($P232),N($AB232)))</f>
        <v>156488.1312</v>
      </c>
      <c r="AF232" s="534" t="str">
        <f>IF(TRIM($B232)="","",IF(OR(ISNUMBER(SEARCH("vacant",$B232)),ISNUMBER(SEARCH("ring fenced",$B232)),LOWER(TRIM($B232))="remove"),"Vacant","Filled"))</f>
        <v>Filled</v>
      </c>
      <c r="AG232" s="534" t="b">
        <f>IF(TRIM($B232)="","",--ISNUMBER(SEARCH("ring fenced",$B232)))</f>
        <v>0</v>
      </c>
      <c r="AH232" s="534" t="str">
        <f>IF(TRIM($B232)="","",IF(COUNTIFS(Lists!$AN$2:$AN$22,TRIM($B232)&amp;" | "&amp;TRIM($D232),Lists!$AO$2:$AO$22,"&lt;&gt;"),INDEX(Lists!$AO$2:$AO$22,MATCH(TRIM($B232)&amp;" | "&amp;TRIM($D232),Lists!$AN$2:$AN$22,0)),IF(COUNTIF(Lists!$AR$2:$AR$3,$AJ232),"TDD Cyber",IF(AND(LEFT($AJ232,4)="EGI ",ISNUMBER(MATCH(TRIM(MID($AJ232,5,99)),Lists!$AS$2:$AS$12,0))),TRIM(MID($AJ232,5,99)),IF(AND(LEFT($AJ232,4)="EGI ",ISNUMBER(MATCH(TRIM(MID($AJ232,5,99)),Lists!$T$2:$T$21,0))),INDEX(Lists!$U$2:$U$21,MATCH(TRIM(MID($AJ232,5,99)),Lists!$T$2:$T$21,0)),IF(OR(TRIM($J232)="",UPPER(TRIM($J232))="NA"),IFERROR(INDEX(Lists!$R$2:$R$9,MATCH(TRIM($G232),Lists!$Q$2:$Q$9,0)),"UNMAPPED"),IFERROR(INDEX(Lists!$U$2:$U$21,MATCH(TRIM($J232),Lists!$T$2:$T$21,0)),IFERROR(INDEX(Lists!$R$2:$R$9,MATCH(TRIM($G232),Lists!$Q$2:$Q$9,0)),"UNMAPPED"))))))))</f>
        <v>Ampol Retail</v>
      </c>
      <c r="AI232" s="534" t="b">
        <f>IF(TRIM($B232)="","",--OR(TRIM($L232)="Leadership",TRIM($K232)="Leadership"))</f>
        <v>0</v>
      </c>
      <c r="AJ232" s="534" t="str">
        <f>IF(TRIM($B232)="","",IF(COUNTIFS(Lists!$AN$2:$AN$22,TRIM($B232)&amp;" | "&amp;TRIM($D232),Lists!$AP$2:$AP$22,"&lt;&gt;"),INDEX(Lists!$AP$2:$AP$22,MATCH(TRIM($B232)&amp;" | "&amp;TRIM($D232),Lists!$AN$2:$AN$22,0)),IF($AI232=1,"Leadership",IFERROR(INDEX(Lists!$X$2:$X$21,MATCH(TRIM($L232),Lists!$W$2:$W$21,0)),IF(OR(TRIM($L232)="",LOWER(TRIM($L232))="na"),IF(TRIM($H232)="","Unassigned",TRIM($H232)),TRIM($L232))))))</f>
        <v>EGI Retail</v>
      </c>
      <c r="AK232" s="534" t="str">
        <f>IF(TRIM($B232)="","",IF(COUNTIFS(Lists!$AN$2:$AN$22,TRIM($B232)&amp;" | "&amp;TRIM($D232),Lists!$AQ$2:$AQ$22,"&lt;&gt;"),INDEX(Lists!$AQ$2:$AQ$22,MATCH(TRIM($B232)&amp;" | "&amp;TRIM($D232),Lists!$AN$2:$AN$22,0)),IF(COUNTIF(Lists!$AF$2:$AF$8,$AJ232),$AJ232,IF(ISNUMBER(SEARCH("head of ",$D232)),"Head of Technology",IF(ISNUMBER(SEARCH("TDD BP",$D232)),"Business Partner",IF(OR(ISNUMBER(SEARCH("domain architect",$D232)),ISNUMBER(SEARCH("enterprise architect",$D232))),"Domain Architect",IF(ISNUMBER(SEARCH("delivery man",$D232)),"Delivery Manager",IF(OR(ISNUMBER(SEARCH("technology manager",$D232)),ISNUMBER(SEARCH("technology manger",$D232)),ISNUMBER(SEARCH("tech manager",$D232))),"Technology Manager","Squad"))))))))</f>
        <v>Squad</v>
      </c>
      <c r="AL232" s="534" t="str">
        <f>IF(TRIM($B232)="","",IF(AND($AM232=1,LEFT($AJ232,4)&lt;&gt;"EGI ",$AJ232&lt;&gt;"EGI"),IFERROR(INDEX(Lists!$Z$2:$Z$20,MATCH($AH232,Lists!$Y$2:$Y$20,0)),"EGI "&amp;$AH232),IF(COUNTIF(Lists!$AU$2:$AU$10,$AJ232),$AJ232,IF(OR(LEFT($AH232,3)="COE",$AH232="EGI"),$AJ232,IF($AK232&lt;&gt;"Squad",$AK232,$AJ232)))))</f>
        <v>EGI Retail</v>
      </c>
      <c r="AM232" s="534" t="b">
        <f>IF(TRIM($B232)="","",--(UPPER(TRIM($K232))="EGI"))</f>
        <v>1</v>
      </c>
      <c r="AQ232" s="841" t="inlineStr">
        <is>
          <t>R0231</t>
        </is>
      </c>
      <c r="AZ232" s="841" t="n"/>
    </row>
    <row r="233" ht="18" customHeight="1" s="535">
      <c r="A233" s="842" t="n">
        <v>113545</v>
      </c>
      <c r="B233" s="843" t="inlineStr">
        <is>
          <t>Helen Jones</t>
        </is>
      </c>
      <c r="C233" s="842" t="n">
        <v>113545</v>
      </c>
      <c r="D233" s="843" t="inlineStr">
        <is>
          <t>Delivery Lead</t>
        </is>
      </c>
      <c r="E233" s="843" t="inlineStr">
        <is>
          <t>Vacant</t>
        </is>
      </c>
      <c r="F233" s="843" t="inlineStr">
        <is>
          <t>Delivery Manager, Z and Retail Data</t>
        </is>
      </c>
      <c r="G233" s="844" t="inlineStr">
        <is>
          <t>Ampol Retail &amp; Z</t>
        </is>
      </c>
      <c r="H233" s="843" t="inlineStr">
        <is>
          <t>Z &amp; Group Retail</t>
        </is>
      </c>
      <c r="I233" s="843" t="inlineStr">
        <is>
          <t>Z &amp; Group Retail, Delivery</t>
        </is>
      </c>
      <c r="J233" s="843" t="inlineStr">
        <is>
          <t>Z</t>
        </is>
      </c>
      <c r="K233" s="843" t="inlineStr">
        <is>
          <t>Z Supply</t>
        </is>
      </c>
      <c r="L233" s="843" t="inlineStr">
        <is>
          <t>Z Supply</t>
        </is>
      </c>
      <c r="M233" s="843" t="n"/>
      <c r="N233" s="845" t="inlineStr">
        <is>
          <t>NZ</t>
        </is>
      </c>
      <c r="O233" s="846" t="inlineStr">
        <is>
          <t>CIC</t>
        </is>
      </c>
      <c r="P233" s="847" t="n">
        <v>1</v>
      </c>
      <c r="Q233" s="846" t="n"/>
      <c r="R233" s="847" t="inlineStr">
        <is>
          <t>Permanent - Full Time</t>
        </is>
      </c>
      <c r="S233" s="847" t="n"/>
      <c r="T233" s="847" t="n"/>
      <c r="U233" s="848" t="n">
        <v>179340</v>
      </c>
      <c r="V233" s="849" t="n">
        <v>179340</v>
      </c>
      <c r="W233" s="850" t="n">
        <v>0.12</v>
      </c>
      <c r="X233" s="847" t="n">
        <v>0.055</v>
      </c>
      <c r="Y233" s="850" t="n">
        <v>0.12</v>
      </c>
      <c r="Z233" s="851" t="n"/>
      <c r="AA233" s="850" t="n">
        <v>0.04</v>
      </c>
      <c r="AB233" s="852" t="n">
        <v>239418.9</v>
      </c>
      <c r="AE233" s="534">
        <f>IF(TRIM($B233)="","",IF(AND(N($P233)&gt;0,N($P233)&lt;1),N($AB233)*N($P233),N($AB233)))</f>
        <v>239418.9</v>
      </c>
      <c r="AF233" s="534" t="str">
        <f>IF(TRIM($B233)="","",IF(OR(ISNUMBER(SEARCH("vacant",$B233)),ISNUMBER(SEARCH("ring fenced",$B233)),LOWER(TRIM($B233))="remove"),"Vacant","Filled"))</f>
        <v>Filled</v>
      </c>
      <c r="AG233" s="534" t="b">
        <f>IF(TRIM($B233)="","",--ISNUMBER(SEARCH("ring fenced",$B233)))</f>
        <v>0</v>
      </c>
      <c r="AH233" s="534" t="str">
        <f>IF(TRIM($B233)="","",IF(COUNTIFS(Lists!$AN$2:$AN$22,TRIM($B233)&amp;" | "&amp;TRIM($D233),Lists!$AO$2:$AO$22,"&lt;&gt;"),INDEX(Lists!$AO$2:$AO$22,MATCH(TRIM($B233)&amp;" | "&amp;TRIM($D233),Lists!$AN$2:$AN$22,0)),IF(COUNTIF(Lists!$AR$2:$AR$3,$AJ233),"TDD Cyber",IF(AND(LEFT($AJ233,4)="EGI ",ISNUMBER(MATCH(TRIM(MID($AJ233,5,99)),Lists!$AS$2:$AS$12,0))),TRIM(MID($AJ233,5,99)),IF(AND(LEFT($AJ233,4)="EGI ",ISNUMBER(MATCH(TRIM(MID($AJ233,5,99)),Lists!$T$2:$T$21,0))),INDEX(Lists!$U$2:$U$21,MATCH(TRIM(MID($AJ233,5,99)),Lists!$T$2:$T$21,0)),IF(OR(TRIM($J233)="",UPPER(TRIM($J233))="NA"),IFERROR(INDEX(Lists!$R$2:$R$9,MATCH(TRIM($G233),Lists!$Q$2:$Q$9,0)),"UNMAPPED"),IFERROR(INDEX(Lists!$U$2:$U$21,MATCH(TRIM($J233),Lists!$T$2:$T$21,0)),IFERROR(INDEX(Lists!$R$2:$R$9,MATCH(TRIM($G233),Lists!$Q$2:$Q$9,0)),"UNMAPPED"))))))))</f>
        <v>Z Retail</v>
      </c>
      <c r="AI233" s="534" t="b">
        <f>IF(TRIM($B233)="","",--OR(TRIM($L233)="Leadership",TRIM($K233)="Leadership"))</f>
        <v>0</v>
      </c>
      <c r="AJ233" s="534" t="str">
        <f>IF(TRIM($B233)="","",IF(COUNTIFS(Lists!$AN$2:$AN$22,TRIM($B233)&amp;" | "&amp;TRIM($D233),Lists!$AP$2:$AP$22,"&lt;&gt;"),INDEX(Lists!$AP$2:$AP$22,MATCH(TRIM($B233)&amp;" | "&amp;TRIM($D233),Lists!$AN$2:$AN$22,0)),IF($AI233=1,"Leadership",IFERROR(INDEX(Lists!$X$2:$X$21,MATCH(TRIM($L233),Lists!$W$2:$W$21,0)),IF(OR(TRIM($L233)="",LOWER(TRIM($L233))="na"),IF(TRIM($H233)="","Unassigned",TRIM($H233)),TRIM($L233))))))</f>
        <v>Z Supply</v>
      </c>
      <c r="AK233" s="534" t="str">
        <f>IF(TRIM($B233)="","",IF(COUNTIFS(Lists!$AN$2:$AN$22,TRIM($B233)&amp;" | "&amp;TRIM($D233),Lists!$AQ$2:$AQ$22,"&lt;&gt;"),INDEX(Lists!$AQ$2:$AQ$22,MATCH(TRIM($B233)&amp;" | "&amp;TRIM($D233),Lists!$AN$2:$AN$22,0)),IF(COUNTIF(Lists!$AF$2:$AF$8,$AJ233),$AJ233,IF(ISNUMBER(SEARCH("head of ",$D233)),"Head of Technology",IF(ISNUMBER(SEARCH("TDD BP",$D233)),"Business Partner",IF(OR(ISNUMBER(SEARCH("domain architect",$D233)),ISNUMBER(SEARCH("enterprise architect",$D233))),"Domain Architect",IF(ISNUMBER(SEARCH("delivery man",$D233)),"Delivery Manager",IF(OR(ISNUMBER(SEARCH("technology manager",$D233)),ISNUMBER(SEARCH("technology manger",$D233)),ISNUMBER(SEARCH("tech manager",$D233))),"Technology Manager","Squad"))))))))</f>
        <v>Squad</v>
      </c>
      <c r="AL233" s="534" t="str">
        <f>IF(TRIM($B233)="","",IF(AND($AM233=1,LEFT($AJ233,4)&lt;&gt;"EGI ",$AJ233&lt;&gt;"EGI"),IFERROR(INDEX(Lists!$Z$2:$Z$20,MATCH($AH233,Lists!$Y$2:$Y$20,0)),"EGI "&amp;$AH233),IF(COUNTIF(Lists!$AU$2:$AU$10,$AJ233),$AJ233,IF(OR(LEFT($AH233,3)="COE",$AH233="EGI"),$AJ233,IF($AK233&lt;&gt;"Squad",$AK233,$AJ233)))))</f>
        <v>Z Supply</v>
      </c>
      <c r="AM233" s="534" t="b">
        <f>IF(TRIM($B233)="","",--(UPPER(TRIM($K233))="EGI"))</f>
        <v>0</v>
      </c>
      <c r="AQ233" s="841" t="inlineStr">
        <is>
          <t>R0232</t>
        </is>
      </c>
      <c r="AZ233" s="841" t="n"/>
    </row>
    <row r="234" ht="18" customHeight="1" s="535">
      <c r="A234" s="842" t="n">
        <v>115493</v>
      </c>
      <c r="B234" s="843" t="inlineStr">
        <is>
          <t>Mark Dickson</t>
        </is>
      </c>
      <c r="C234" s="842" t="n">
        <v>115493</v>
      </c>
      <c r="D234" s="843" t="inlineStr">
        <is>
          <t>Delivery Lead</t>
        </is>
      </c>
      <c r="E234" s="843" t="inlineStr">
        <is>
          <t>Vacant</t>
        </is>
      </c>
      <c r="F234" s="843" t="inlineStr">
        <is>
          <t>Delivery Manager, Z and Retail Data</t>
        </is>
      </c>
      <c r="G234" s="844" t="inlineStr">
        <is>
          <t>Ampol Retail &amp; Z</t>
        </is>
      </c>
      <c r="H234" s="843" t="inlineStr">
        <is>
          <t>Z &amp; Group Retail</t>
        </is>
      </c>
      <c r="I234" s="843" t="inlineStr">
        <is>
          <t>Z &amp; Group Retail, Delivery</t>
        </is>
      </c>
      <c r="J234" s="843" t="inlineStr">
        <is>
          <t>Z</t>
        </is>
      </c>
      <c r="K234" s="843" t="inlineStr">
        <is>
          <t>Z Customer</t>
        </is>
      </c>
      <c r="L234" s="843" t="inlineStr">
        <is>
          <t xml:space="preserve">Z Retail Backend </t>
        </is>
      </c>
      <c r="M234" s="843" t="n"/>
      <c r="N234" s="845" t="inlineStr">
        <is>
          <t>NZ</t>
        </is>
      </c>
      <c r="O234" s="846" t="inlineStr">
        <is>
          <t>CIC</t>
        </is>
      </c>
      <c r="P234" s="847" t="n">
        <v>1</v>
      </c>
      <c r="Q234" s="846" t="n"/>
      <c r="R234" s="847" t="inlineStr">
        <is>
          <t>Permanent - Full Time</t>
        </is>
      </c>
      <c r="S234" s="847" t="n"/>
      <c r="T234" s="847" t="n"/>
      <c r="U234" s="848" t="n">
        <v>135000</v>
      </c>
      <c r="V234" s="849" t="n">
        <v>135000</v>
      </c>
      <c r="W234" s="850" t="n">
        <v>0.12</v>
      </c>
      <c r="X234" s="847" t="n">
        <v>0.055</v>
      </c>
      <c r="Y234" s="850" t="n">
        <v>0.12</v>
      </c>
      <c r="Z234" s="851" t="n"/>
      <c r="AA234" s="850" t="n">
        <v>0.04</v>
      </c>
      <c r="AB234" s="852" t="n">
        <v>180225</v>
      </c>
      <c r="AE234" s="534">
        <f>IF(TRIM($B234)="","",IF(AND(N($P234)&gt;0,N($P234)&lt;1),N($AB234)*N($P234),N($AB234)))</f>
        <v>180225</v>
      </c>
      <c r="AF234" s="534" t="str">
        <f>IF(TRIM($B234)="","",IF(OR(ISNUMBER(SEARCH("vacant",$B234)),ISNUMBER(SEARCH("ring fenced",$B234)),LOWER(TRIM($B234))="remove"),"Vacant","Filled"))</f>
        <v>Filled</v>
      </c>
      <c r="AG234" s="534" t="b">
        <f>IF(TRIM($B234)="","",--ISNUMBER(SEARCH("ring fenced",$B234)))</f>
        <v>0</v>
      </c>
      <c r="AH234" s="534" t="str">
        <f>IF(TRIM($B234)="","",IF(COUNTIFS(Lists!$AN$2:$AN$22,TRIM($B234)&amp;" | "&amp;TRIM($D234),Lists!$AO$2:$AO$22,"&lt;&gt;"),INDEX(Lists!$AO$2:$AO$22,MATCH(TRIM($B234)&amp;" | "&amp;TRIM($D234),Lists!$AN$2:$AN$22,0)),IF(COUNTIF(Lists!$AR$2:$AR$3,$AJ234),"TDD Cyber",IF(AND(LEFT($AJ234,4)="EGI ",ISNUMBER(MATCH(TRIM(MID($AJ234,5,99)),Lists!$AS$2:$AS$12,0))),TRIM(MID($AJ234,5,99)),IF(AND(LEFT($AJ234,4)="EGI ",ISNUMBER(MATCH(TRIM(MID($AJ234,5,99)),Lists!$T$2:$T$21,0))),INDEX(Lists!$U$2:$U$21,MATCH(TRIM(MID($AJ234,5,99)),Lists!$T$2:$T$21,0)),IF(OR(TRIM($J234)="",UPPER(TRIM($J234))="NA"),IFERROR(INDEX(Lists!$R$2:$R$9,MATCH(TRIM($G234),Lists!$Q$2:$Q$9,0)),"UNMAPPED"),IFERROR(INDEX(Lists!$U$2:$U$21,MATCH(TRIM($J234),Lists!$T$2:$T$21,0)),IFERROR(INDEX(Lists!$R$2:$R$9,MATCH(TRIM($G234),Lists!$Q$2:$Q$9,0)),"UNMAPPED"))))))))</f>
        <v>Z Retail</v>
      </c>
      <c r="AI234" s="534" t="b">
        <f>IF(TRIM($B234)="","",--OR(TRIM($L234)="Leadership",TRIM($K234)="Leadership"))</f>
        <v>0</v>
      </c>
      <c r="AJ234" s="534" t="str">
        <f>IF(TRIM($B234)="","",IF(COUNTIFS(Lists!$AN$2:$AN$22,TRIM($B234)&amp;" | "&amp;TRIM($D234),Lists!$AP$2:$AP$22,"&lt;&gt;"),INDEX(Lists!$AP$2:$AP$22,MATCH(TRIM($B234)&amp;" | "&amp;TRIM($D234),Lists!$AN$2:$AN$22,0)),IF($AI234=1,"Leadership",IFERROR(INDEX(Lists!$X$2:$X$21,MATCH(TRIM($L234),Lists!$W$2:$W$21,0)),IF(OR(TRIM($L234)="",LOWER(TRIM($L234))="na"),IF(TRIM($H234)="","Unassigned",TRIM($H234)),TRIM($L234))))))</f>
        <v>Z Retail Backend</v>
      </c>
      <c r="AK234" s="534" t="str">
        <f>IF(TRIM($B234)="","",IF(COUNTIFS(Lists!$AN$2:$AN$22,TRIM($B234)&amp;" | "&amp;TRIM($D234),Lists!$AQ$2:$AQ$22,"&lt;&gt;"),INDEX(Lists!$AQ$2:$AQ$22,MATCH(TRIM($B234)&amp;" | "&amp;TRIM($D234),Lists!$AN$2:$AN$22,0)),IF(COUNTIF(Lists!$AF$2:$AF$8,$AJ234),$AJ234,IF(ISNUMBER(SEARCH("head of ",$D234)),"Head of Technology",IF(ISNUMBER(SEARCH("TDD BP",$D234)),"Business Partner",IF(OR(ISNUMBER(SEARCH("domain architect",$D234)),ISNUMBER(SEARCH("enterprise architect",$D234))),"Domain Architect",IF(ISNUMBER(SEARCH("delivery man",$D234)),"Delivery Manager",IF(OR(ISNUMBER(SEARCH("technology manager",$D234)),ISNUMBER(SEARCH("technology manger",$D234)),ISNUMBER(SEARCH("tech manager",$D234))),"Technology Manager","Squad"))))))))</f>
        <v>Squad</v>
      </c>
      <c r="AL234" s="534" t="str">
        <f>IF(TRIM($B234)="","",IF(AND($AM234=1,LEFT($AJ234,4)&lt;&gt;"EGI ",$AJ234&lt;&gt;"EGI"),IFERROR(INDEX(Lists!$Z$2:$Z$20,MATCH($AH234,Lists!$Y$2:$Y$20,0)),"EGI "&amp;$AH234),IF(COUNTIF(Lists!$AU$2:$AU$10,$AJ234),$AJ234,IF(OR(LEFT($AH234,3)="COE",$AH234="EGI"),$AJ234,IF($AK234&lt;&gt;"Squad",$AK234,$AJ234)))))</f>
        <v>Z Retail Backend</v>
      </c>
      <c r="AM234" s="534" t="b">
        <f>IF(TRIM($B234)="","",--(UPPER(TRIM($K234))="EGI"))</f>
        <v>0</v>
      </c>
      <c r="AQ234" s="841" t="inlineStr">
        <is>
          <t>R0233</t>
        </is>
      </c>
      <c r="AZ234" s="841" t="n"/>
    </row>
    <row r="235" ht="18" customHeight="1" s="535">
      <c r="A235" s="842" t="n">
        <v>113619</v>
      </c>
      <c r="B235" s="843" t="inlineStr">
        <is>
          <t>Tim Gurnsey</t>
        </is>
      </c>
      <c r="C235" s="842" t="n">
        <v>113619</v>
      </c>
      <c r="D235" s="843" t="inlineStr">
        <is>
          <t>Delivery Lead</t>
        </is>
      </c>
      <c r="E235" s="843" t="inlineStr">
        <is>
          <t>Vacant</t>
        </is>
      </c>
      <c r="F235" s="843" t="inlineStr">
        <is>
          <t>Delivery Manager, Z and Retail Data</t>
        </is>
      </c>
      <c r="G235" s="844" t="inlineStr">
        <is>
          <t>Ampol Retail &amp; Z</t>
        </is>
      </c>
      <c r="H235" s="843" t="inlineStr">
        <is>
          <t>Z &amp; Group Retail</t>
        </is>
      </c>
      <c r="I235" s="843" t="inlineStr">
        <is>
          <t>Z &amp; Group Retail, Delivery</t>
        </is>
      </c>
      <c r="J235" s="843" t="inlineStr">
        <is>
          <t>Z</t>
        </is>
      </c>
      <c r="K235" s="843" t="inlineStr">
        <is>
          <t>Z Customer</t>
        </is>
      </c>
      <c r="L235" s="843" t="inlineStr">
        <is>
          <t>Site Systems</t>
        </is>
      </c>
      <c r="M235" s="843" t="n"/>
      <c r="N235" s="845" t="inlineStr">
        <is>
          <t>NZ</t>
        </is>
      </c>
      <c r="O235" s="846" t="inlineStr">
        <is>
          <t>CIC</t>
        </is>
      </c>
      <c r="P235" s="847" t="n">
        <v>1</v>
      </c>
      <c r="Q235" s="846" t="n"/>
      <c r="R235" s="847" t="inlineStr">
        <is>
          <t>Permanent - Full Time</t>
        </is>
      </c>
      <c r="S235" s="847" t="n"/>
      <c r="T235" s="847" t="n"/>
      <c r="U235" s="848" t="n">
        <v>189604</v>
      </c>
      <c r="V235" s="849" t="n">
        <v>189604</v>
      </c>
      <c r="W235" s="850" t="n">
        <v>0.14</v>
      </c>
      <c r="X235" s="847" t="n">
        <v>0.055</v>
      </c>
      <c r="Y235" s="850" t="n">
        <v>0.12</v>
      </c>
      <c r="Z235" s="851" t="n"/>
      <c r="AA235" s="850" t="n">
        <v>0.04</v>
      </c>
      <c r="AB235" s="852" t="n">
        <v>256913.42</v>
      </c>
      <c r="AE235" s="534">
        <f>IF(TRIM($B235)="","",IF(AND(N($P235)&gt;0,N($P235)&lt;1),N($AB235)*N($P235),N($AB235)))</f>
        <v>256913.42</v>
      </c>
      <c r="AF235" s="534" t="str">
        <f>IF(TRIM($B235)="","",IF(OR(ISNUMBER(SEARCH("vacant",$B235)),ISNUMBER(SEARCH("ring fenced",$B235)),LOWER(TRIM($B235))="remove"),"Vacant","Filled"))</f>
        <v>Filled</v>
      </c>
      <c r="AG235" s="534" t="b">
        <f>IF(TRIM($B235)="","",--ISNUMBER(SEARCH("ring fenced",$B235)))</f>
        <v>0</v>
      </c>
      <c r="AH235" s="534" t="str">
        <f>IF(TRIM($B235)="","",IF(COUNTIFS(Lists!$AN$2:$AN$22,TRIM($B235)&amp;" | "&amp;TRIM($D235),Lists!$AO$2:$AO$22,"&lt;&gt;"),INDEX(Lists!$AO$2:$AO$22,MATCH(TRIM($B235)&amp;" | "&amp;TRIM($D235),Lists!$AN$2:$AN$22,0)),IF(COUNTIF(Lists!$AR$2:$AR$3,$AJ235),"TDD Cyber",IF(AND(LEFT($AJ235,4)="EGI ",ISNUMBER(MATCH(TRIM(MID($AJ235,5,99)),Lists!$AS$2:$AS$12,0))),TRIM(MID($AJ235,5,99)),IF(AND(LEFT($AJ235,4)="EGI ",ISNUMBER(MATCH(TRIM(MID($AJ235,5,99)),Lists!$T$2:$T$21,0))),INDEX(Lists!$U$2:$U$21,MATCH(TRIM(MID($AJ235,5,99)),Lists!$T$2:$T$21,0)),IF(OR(TRIM($J235)="",UPPER(TRIM($J235))="NA"),IFERROR(INDEX(Lists!$R$2:$R$9,MATCH(TRIM($G235),Lists!$Q$2:$Q$9,0)),"UNMAPPED"),IFERROR(INDEX(Lists!$U$2:$U$21,MATCH(TRIM($J235),Lists!$T$2:$T$21,0)),IFERROR(INDEX(Lists!$R$2:$R$9,MATCH(TRIM($G235),Lists!$Q$2:$Q$9,0)),"UNMAPPED"))))))))</f>
        <v>Z Retail</v>
      </c>
      <c r="AI235" s="534" t="b">
        <f>IF(TRIM($B235)="","",--OR(TRIM($L235)="Leadership",TRIM($K235)="Leadership"))</f>
        <v>0</v>
      </c>
      <c r="AJ235" s="534" t="str">
        <f>IF(TRIM($B235)="","",IF(COUNTIFS(Lists!$AN$2:$AN$22,TRIM($B235)&amp;" | "&amp;TRIM($D235),Lists!$AP$2:$AP$22,"&lt;&gt;"),INDEX(Lists!$AP$2:$AP$22,MATCH(TRIM($B235)&amp;" | "&amp;TRIM($D235),Lists!$AN$2:$AN$22,0)),IF($AI235=1,"Leadership",IFERROR(INDEX(Lists!$X$2:$X$21,MATCH(TRIM($L235),Lists!$W$2:$W$21,0)),IF(OR(TRIM($L235)="",LOWER(TRIM($L235))="na"),IF(TRIM($H235)="","Unassigned",TRIM($H235)),TRIM($L235))))))</f>
        <v>Site Systems</v>
      </c>
      <c r="AK235" s="534" t="str">
        <f>IF(TRIM($B235)="","",IF(COUNTIFS(Lists!$AN$2:$AN$22,TRIM($B235)&amp;" | "&amp;TRIM($D235),Lists!$AQ$2:$AQ$22,"&lt;&gt;"),INDEX(Lists!$AQ$2:$AQ$22,MATCH(TRIM($B235)&amp;" | "&amp;TRIM($D235),Lists!$AN$2:$AN$22,0)),IF(COUNTIF(Lists!$AF$2:$AF$8,$AJ235),$AJ235,IF(ISNUMBER(SEARCH("head of ",$D235)),"Head of Technology",IF(ISNUMBER(SEARCH("TDD BP",$D235)),"Business Partner",IF(OR(ISNUMBER(SEARCH("domain architect",$D235)),ISNUMBER(SEARCH("enterprise architect",$D235))),"Domain Architect",IF(ISNUMBER(SEARCH("delivery man",$D235)),"Delivery Manager",IF(OR(ISNUMBER(SEARCH("technology manager",$D235)),ISNUMBER(SEARCH("technology manger",$D235)),ISNUMBER(SEARCH("tech manager",$D235))),"Technology Manager","Squad"))))))))</f>
        <v>Squad</v>
      </c>
      <c r="AL235" s="534" t="str">
        <f>IF(TRIM($B235)="","",IF(AND($AM235=1,LEFT($AJ235,4)&lt;&gt;"EGI ",$AJ235&lt;&gt;"EGI"),IFERROR(INDEX(Lists!$Z$2:$Z$20,MATCH($AH235,Lists!$Y$2:$Y$20,0)),"EGI "&amp;$AH235),IF(COUNTIF(Lists!$AU$2:$AU$10,$AJ235),$AJ235,IF(OR(LEFT($AH235,3)="COE",$AH235="EGI"),$AJ235,IF($AK235&lt;&gt;"Squad",$AK235,$AJ235)))))</f>
        <v>Site Systems</v>
      </c>
      <c r="AM235" s="534" t="b">
        <f>IF(TRIM($B235)="","",--(UPPER(TRIM($K235))="EGI"))</f>
        <v>0</v>
      </c>
      <c r="AQ235" s="841" t="inlineStr">
        <is>
          <t>R0234</t>
        </is>
      </c>
      <c r="AZ235" s="841" t="n"/>
    </row>
    <row r="236" ht="18" customHeight="1" s="535">
      <c r="A236" s="842" t="inlineStr">
        <is>
          <t>V</t>
        </is>
      </c>
      <c r="B236" s="843" t="inlineStr">
        <is>
          <t>Vacant</t>
        </is>
      </c>
      <c r="C236" s="842" t="inlineStr">
        <is>
          <t>V</t>
        </is>
      </c>
      <c r="D236" s="843" t="inlineStr">
        <is>
          <t>Delivery Lead</t>
        </is>
      </c>
      <c r="E236" s="843" t="inlineStr">
        <is>
          <t>Vacant</t>
        </is>
      </c>
      <c r="F236" s="843" t="inlineStr">
        <is>
          <t>Delivery Manager, Z and Retail Data</t>
        </is>
      </c>
      <c r="G236" s="844" t="inlineStr">
        <is>
          <t>Ampol Retail &amp; Z</t>
        </is>
      </c>
      <c r="H236" s="843" t="inlineStr">
        <is>
          <t>Z &amp; Group Retail</t>
        </is>
      </c>
      <c r="I236" s="843" t="inlineStr">
        <is>
          <t>Z &amp; Group Retail, Delivery</t>
        </is>
      </c>
      <c r="J236" s="843" t="inlineStr">
        <is>
          <t>Retail</t>
        </is>
      </c>
      <c r="K236" s="843" t="inlineStr">
        <is>
          <t>(All Retail)</t>
        </is>
      </c>
      <c r="L236" s="843" t="inlineStr">
        <is>
          <t>Data - AU</t>
        </is>
      </c>
      <c r="M236" s="843" t="n"/>
      <c r="N236" s="845" t="inlineStr">
        <is>
          <t>Australia</t>
        </is>
      </c>
      <c r="O236" s="846" t="inlineStr">
        <is>
          <t>CIC</t>
        </is>
      </c>
      <c r="P236" s="847" t="n">
        <v>1</v>
      </c>
      <c r="Q236" s="846" t="n"/>
      <c r="R236" s="847" t="inlineStr">
        <is>
          <t>V</t>
        </is>
      </c>
      <c r="S236" s="847" t="n"/>
      <c r="T236" s="847" t="n"/>
      <c r="U236" s="848" t="n">
        <v>151950</v>
      </c>
      <c r="V236" s="849" t="n">
        <v>151950</v>
      </c>
      <c r="W236" s="850" t="n">
        <v>0.12</v>
      </c>
      <c r="X236" s="847" t="n">
        <v>0.055</v>
      </c>
      <c r="Y236" s="850" t="n">
        <v>0.12</v>
      </c>
      <c r="Z236" s="851" t="n"/>
      <c r="AA236" s="850" t="n">
        <v>0.04</v>
      </c>
      <c r="AB236" s="852" t="n">
        <v>202853.25</v>
      </c>
      <c r="AE236" s="534">
        <f>IF(TRIM($B236)="","",IF(AND(N($P236)&gt;0,N($P236)&lt;1),N($AB236)*N($P236),N($AB236)))</f>
        <v>202853.25</v>
      </c>
      <c r="AF236" s="534" t="str">
        <f>IF(TRIM($B236)="","",IF(OR(ISNUMBER(SEARCH("vacant",$B236)),ISNUMBER(SEARCH("ring fenced",$B236)),LOWER(TRIM($B236))="remove"),"Vacant","Filled"))</f>
        <v>Vacant</v>
      </c>
      <c r="AG236" s="534" t="b">
        <f>IF(TRIM($B236)="","",--ISNUMBER(SEARCH("ring fenced",$B236)))</f>
        <v>0</v>
      </c>
      <c r="AH236" s="534" t="str">
        <f>IF(TRIM($B236)="","",IF(COUNTIFS(Lists!$AN$2:$AN$22,TRIM($B236)&amp;" | "&amp;TRIM($D236),Lists!$AO$2:$AO$22,"&lt;&gt;"),INDEX(Lists!$AO$2:$AO$22,MATCH(TRIM($B236)&amp;" | "&amp;TRIM($D236),Lists!$AN$2:$AN$22,0)),IF(COUNTIF(Lists!$AR$2:$AR$3,$AJ236),"TDD Cyber",IF(AND(LEFT($AJ236,4)="EGI ",ISNUMBER(MATCH(TRIM(MID($AJ236,5,99)),Lists!$AS$2:$AS$12,0))),TRIM(MID($AJ236,5,99)),IF(AND(LEFT($AJ236,4)="EGI ",ISNUMBER(MATCH(TRIM(MID($AJ236,5,99)),Lists!$T$2:$T$21,0))),INDEX(Lists!$U$2:$U$21,MATCH(TRIM(MID($AJ236,5,99)),Lists!$T$2:$T$21,0)),IF(OR(TRIM($J236)="",UPPER(TRIM($J236))="NA"),IFERROR(INDEX(Lists!$R$2:$R$9,MATCH(TRIM($G236),Lists!$Q$2:$Q$9,0)),"UNMAPPED"),IFERROR(INDEX(Lists!$U$2:$U$21,MATCH(TRIM($J236),Lists!$T$2:$T$21,0)),IFERROR(INDEX(Lists!$R$2:$R$9,MATCH(TRIM($G236),Lists!$Q$2:$Q$9,0)),"UNMAPPED"))))))))</f>
        <v>Ampol Retail</v>
      </c>
      <c r="AI236" s="534" t="b">
        <f>IF(TRIM($B236)="","",--OR(TRIM($L236)="Leadership",TRIM($K236)="Leadership"))</f>
        <v>0</v>
      </c>
      <c r="AJ236" s="534" t="str">
        <f>IF(TRIM($B236)="","",IF(COUNTIFS(Lists!$AN$2:$AN$22,TRIM($B236)&amp;" | "&amp;TRIM($D236),Lists!$AP$2:$AP$22,"&lt;&gt;"),INDEX(Lists!$AP$2:$AP$22,MATCH(TRIM($B236)&amp;" | "&amp;TRIM($D236),Lists!$AN$2:$AN$22,0)),IF($AI236=1,"Leadership",IFERROR(INDEX(Lists!$X$2:$X$21,MATCH(TRIM($L236),Lists!$W$2:$W$21,0)),IF(OR(TRIM($L236)="",LOWER(TRIM($L236))="na"),IF(TRIM($H236)="","Unassigned",TRIM($H236)),TRIM($L236))))))</f>
        <v>Data AU</v>
      </c>
      <c r="AK236" s="534" t="str">
        <f>IF(TRIM($B236)="","",IF(COUNTIFS(Lists!$AN$2:$AN$22,TRIM($B236)&amp;" | "&amp;TRIM($D236),Lists!$AQ$2:$AQ$22,"&lt;&gt;"),INDEX(Lists!$AQ$2:$AQ$22,MATCH(TRIM($B236)&amp;" | "&amp;TRIM($D236),Lists!$AN$2:$AN$22,0)),IF(COUNTIF(Lists!$AF$2:$AF$8,$AJ236),$AJ236,IF(ISNUMBER(SEARCH("head of ",$D236)),"Head of Technology",IF(ISNUMBER(SEARCH("TDD BP",$D236)),"Business Partner",IF(OR(ISNUMBER(SEARCH("domain architect",$D236)),ISNUMBER(SEARCH("enterprise architect",$D236))),"Domain Architect",IF(ISNUMBER(SEARCH("delivery man",$D236)),"Delivery Manager",IF(OR(ISNUMBER(SEARCH("technology manager",$D236)),ISNUMBER(SEARCH("technology manger",$D236)),ISNUMBER(SEARCH("tech manager",$D236))),"Technology Manager","Squad"))))))))</f>
        <v>Squad</v>
      </c>
      <c r="AL236" s="534" t="str">
        <f>IF(TRIM($B236)="","",IF(AND($AM236=1,LEFT($AJ236,4)&lt;&gt;"EGI ",$AJ236&lt;&gt;"EGI"),IFERROR(INDEX(Lists!$Z$2:$Z$20,MATCH($AH236,Lists!$Y$2:$Y$20,0)),"EGI "&amp;$AH236),IF(COUNTIF(Lists!$AU$2:$AU$10,$AJ236),$AJ236,IF(OR(LEFT($AH236,3)="COE",$AH236="EGI"),$AJ236,IF($AK236&lt;&gt;"Squad",$AK236,$AJ236)))))</f>
        <v>Data AU</v>
      </c>
      <c r="AM236" s="534" t="b">
        <f>IF(TRIM($B236)="","",--(UPPER(TRIM($K236))="EGI"))</f>
        <v>0</v>
      </c>
      <c r="AQ236" s="841" t="inlineStr">
        <is>
          <t>R0235</t>
        </is>
      </c>
      <c r="AZ236" s="841" t="n"/>
    </row>
    <row r="237" ht="18" customHeight="1" s="535">
      <c r="A237" s="842" t="inlineStr">
        <is>
          <t>V</t>
        </is>
      </c>
      <c r="B237" s="843" t="inlineStr">
        <is>
          <t>Vacant</t>
        </is>
      </c>
      <c r="C237" s="842" t="inlineStr">
        <is>
          <t>V</t>
        </is>
      </c>
      <c r="D237" s="843" t="inlineStr">
        <is>
          <t>Delivery Lead</t>
        </is>
      </c>
      <c r="E237" s="843" t="inlineStr">
        <is>
          <t>Vacant</t>
        </is>
      </c>
      <c r="F237" s="843" t="inlineStr">
        <is>
          <t>Delivery Manager, Z and Retail Data</t>
        </is>
      </c>
      <c r="G237" s="844" t="inlineStr">
        <is>
          <t>Ampol Retail &amp; Z</t>
        </is>
      </c>
      <c r="H237" s="843" t="inlineStr">
        <is>
          <t>Z &amp; Group Retail</t>
        </is>
      </c>
      <c r="I237" s="843" t="inlineStr">
        <is>
          <t>Z &amp; Group Retail, Delivery</t>
        </is>
      </c>
      <c r="J237" s="843" t="inlineStr">
        <is>
          <t>Z</t>
        </is>
      </c>
      <c r="K237" s="843" t="inlineStr">
        <is>
          <t>Z Customer &amp; Z Supply</t>
        </is>
      </c>
      <c r="L237" s="843" t="inlineStr">
        <is>
          <t>Data - NZ</t>
        </is>
      </c>
      <c r="M237" s="843" t="n"/>
      <c r="N237" s="845" t="inlineStr">
        <is>
          <t>Australia</t>
        </is>
      </c>
      <c r="O237" s="846" t="inlineStr">
        <is>
          <t>CIC</t>
        </is>
      </c>
      <c r="P237" s="847" t="n">
        <v>1</v>
      </c>
      <c r="Q237" s="847" t="n"/>
      <c r="R237" s="847" t="inlineStr">
        <is>
          <t>V</t>
        </is>
      </c>
      <c r="S237" s="847" t="n"/>
      <c r="T237" s="847" t="n"/>
      <c r="U237" s="848" t="n">
        <v>203550</v>
      </c>
      <c r="V237" s="849" t="n">
        <v>203550</v>
      </c>
      <c r="W237" s="850" t="n">
        <v>0.14</v>
      </c>
      <c r="X237" s="847" t="n">
        <v>0.055</v>
      </c>
      <c r="Y237" s="850" t="n">
        <v>0.12</v>
      </c>
      <c r="Z237" s="851" t="n"/>
      <c r="AA237" s="850" t="n">
        <v>0.04</v>
      </c>
      <c r="AB237" s="852" t="n">
        <v>275810.25</v>
      </c>
      <c r="AE237" s="534">
        <f>IF(TRIM($B237)="","",IF(AND(N($P237)&gt;0,N($P237)&lt;1),N($AB237)*N($P237),N($AB237)))</f>
        <v>275810.25</v>
      </c>
      <c r="AF237" s="534" t="str">
        <f>IF(TRIM($B237)="","",IF(OR(ISNUMBER(SEARCH("vacant",$B237)),ISNUMBER(SEARCH("ring fenced",$B237)),LOWER(TRIM($B237))="remove"),"Vacant","Filled"))</f>
        <v>Vacant</v>
      </c>
      <c r="AG237" s="534" t="b">
        <f>IF(TRIM($B237)="","",--ISNUMBER(SEARCH("ring fenced",$B237)))</f>
        <v>0</v>
      </c>
      <c r="AH237" s="534" t="str">
        <f>IF(TRIM($B237)="","",IF(COUNTIFS(Lists!$AN$2:$AN$22,TRIM($B237)&amp;" | "&amp;TRIM($D237),Lists!$AO$2:$AO$22,"&lt;&gt;"),INDEX(Lists!$AO$2:$AO$22,MATCH(TRIM($B237)&amp;" | "&amp;TRIM($D237),Lists!$AN$2:$AN$22,0)),IF(COUNTIF(Lists!$AR$2:$AR$3,$AJ237),"TDD Cyber",IF(AND(LEFT($AJ237,4)="EGI ",ISNUMBER(MATCH(TRIM(MID($AJ237,5,99)),Lists!$AS$2:$AS$12,0))),TRIM(MID($AJ237,5,99)),IF(AND(LEFT($AJ237,4)="EGI ",ISNUMBER(MATCH(TRIM(MID($AJ237,5,99)),Lists!$T$2:$T$21,0))),INDEX(Lists!$U$2:$U$21,MATCH(TRIM(MID($AJ237,5,99)),Lists!$T$2:$T$21,0)),IF(OR(TRIM($J237)="",UPPER(TRIM($J237))="NA"),IFERROR(INDEX(Lists!$R$2:$R$9,MATCH(TRIM($G237),Lists!$Q$2:$Q$9,0)),"UNMAPPED"),IFERROR(INDEX(Lists!$U$2:$U$21,MATCH(TRIM($J237),Lists!$T$2:$T$21,0)),IFERROR(INDEX(Lists!$R$2:$R$9,MATCH(TRIM($G237),Lists!$Q$2:$Q$9,0)),"UNMAPPED"))))))))</f>
        <v>Z Retail</v>
      </c>
      <c r="AI237" s="534" t="b">
        <f>IF(TRIM($B237)="","",--OR(TRIM($L237)="Leadership",TRIM($K237)="Leadership"))</f>
        <v>0</v>
      </c>
      <c r="AJ237" s="534" t="str">
        <f>IF(TRIM($B237)="","",IF(COUNTIFS(Lists!$AN$2:$AN$22,TRIM($B237)&amp;" | "&amp;TRIM($D237),Lists!$AP$2:$AP$22,"&lt;&gt;"),INDEX(Lists!$AP$2:$AP$22,MATCH(TRIM($B237)&amp;" | "&amp;TRIM($D237),Lists!$AN$2:$AN$22,0)),IF($AI237=1,"Leadership",IFERROR(INDEX(Lists!$X$2:$X$21,MATCH(TRIM($L237),Lists!$W$2:$W$21,0)),IF(OR(TRIM($L237)="",LOWER(TRIM($L237))="na"),IF(TRIM($H237)="","Unassigned",TRIM($H237)),TRIM($L237))))))</f>
        <v>Data NZ</v>
      </c>
      <c r="AK237" s="534" t="str">
        <f>IF(TRIM($B237)="","",IF(COUNTIFS(Lists!$AN$2:$AN$22,TRIM($B237)&amp;" | "&amp;TRIM($D237),Lists!$AQ$2:$AQ$22,"&lt;&gt;"),INDEX(Lists!$AQ$2:$AQ$22,MATCH(TRIM($B237)&amp;" | "&amp;TRIM($D237),Lists!$AN$2:$AN$22,0)),IF(COUNTIF(Lists!$AF$2:$AF$8,$AJ237),$AJ237,IF(ISNUMBER(SEARCH("head of ",$D237)),"Head of Technology",IF(ISNUMBER(SEARCH("TDD BP",$D237)),"Business Partner",IF(OR(ISNUMBER(SEARCH("domain architect",$D237)),ISNUMBER(SEARCH("enterprise architect",$D237))),"Domain Architect",IF(ISNUMBER(SEARCH("delivery man",$D237)),"Delivery Manager",IF(OR(ISNUMBER(SEARCH("technology manager",$D237)),ISNUMBER(SEARCH("technology manger",$D237)),ISNUMBER(SEARCH("tech manager",$D237))),"Technology Manager","Squad"))))))))</f>
        <v>Squad</v>
      </c>
      <c r="AL237" s="534" t="str">
        <f>IF(TRIM($B237)="","",IF(AND($AM237=1,LEFT($AJ237,4)&lt;&gt;"EGI ",$AJ237&lt;&gt;"EGI"),IFERROR(INDEX(Lists!$Z$2:$Z$20,MATCH($AH237,Lists!$Y$2:$Y$20,0)),"EGI "&amp;$AH237),IF(COUNTIF(Lists!$AU$2:$AU$10,$AJ237),$AJ237,IF(OR(LEFT($AH237,3)="COE",$AH237="EGI"),$AJ237,IF($AK237&lt;&gt;"Squad",$AK237,$AJ237)))))</f>
        <v>Data NZ</v>
      </c>
      <c r="AM237" s="534" t="b">
        <f>IF(TRIM($B237)="","",--(UPPER(TRIM($K237))="EGI"))</f>
        <v>0</v>
      </c>
      <c r="AQ237" s="841" t="inlineStr">
        <is>
          <t>R0236</t>
        </is>
      </c>
      <c r="AZ237" s="841" t="n"/>
    </row>
    <row r="238" ht="18" customHeight="1" s="535">
      <c r="A238" s="842" t="n"/>
      <c r="B238" s="843" t="inlineStr">
        <is>
          <t>ring fenced</t>
        </is>
      </c>
      <c r="C238" s="842" t="n"/>
      <c r="D238" s="843" t="inlineStr">
        <is>
          <t>Domain Architect - Customer &amp; Digital Tech</t>
        </is>
      </c>
      <c r="E238" s="843" t="inlineStr">
        <is>
          <t>Vacant</t>
        </is>
      </c>
      <c r="F238" s="843" t="inlineStr">
        <is>
          <t>Head of Architecture</t>
        </is>
      </c>
      <c r="G238" s="844" t="inlineStr">
        <is>
          <t>Strategy, Architecture &amp; Data</t>
        </is>
      </c>
      <c r="H238" s="843" t="inlineStr">
        <is>
          <t>Architecture</t>
        </is>
      </c>
      <c r="I238" s="843" t="inlineStr">
        <is>
          <t>Architecture</t>
        </is>
      </c>
      <c r="J238" s="843" t="n"/>
      <c r="K238" s="843" t="n"/>
      <c r="L238" s="843" t="n"/>
      <c r="M238" s="843" t="n"/>
      <c r="N238" s="845" t="inlineStr">
        <is>
          <t>Australia</t>
        </is>
      </c>
      <c r="O238" s="846" t="inlineStr">
        <is>
          <t>CIC</t>
        </is>
      </c>
      <c r="P238" s="847" t="n">
        <v>1</v>
      </c>
      <c r="Q238" s="846" t="n"/>
      <c r="R238" s="847" t="inlineStr">
        <is>
          <t>v</t>
        </is>
      </c>
      <c r="S238" s="847" t="n"/>
      <c r="T238" s="847" t="n"/>
      <c r="U238" s="848" t="n">
        <v>173550</v>
      </c>
      <c r="V238" s="849" t="n">
        <v>173550</v>
      </c>
      <c r="W238" s="850" t="n">
        <v>0.12</v>
      </c>
      <c r="X238" s="847" t="n">
        <v>0.055</v>
      </c>
      <c r="Y238" s="850" t="n">
        <v>0.12</v>
      </c>
      <c r="Z238" s="851" t="n"/>
      <c r="AA238" s="850" t="n">
        <v>0.04</v>
      </c>
      <c r="AB238" s="852" t="n">
        <v>231689.25</v>
      </c>
      <c r="AE238" s="534">
        <f>IF(TRIM($B238)="","",IF(AND(N($P238)&gt;0,N($P238)&lt;1),N($AB238)*N($P238),N($AB238)))</f>
        <v>231689.25</v>
      </c>
      <c r="AF238" s="534" t="str">
        <f>IF(TRIM($B238)="","",IF(OR(ISNUMBER(SEARCH("vacant",$B238)),ISNUMBER(SEARCH("ring fenced",$B238)),LOWER(TRIM($B238))="remove"),"Vacant","Filled"))</f>
        <v>Vacant</v>
      </c>
      <c r="AG238" s="534" t="b">
        <f>IF(TRIM($B238)="","",--ISNUMBER(SEARCH("ring fenced",$B238)))</f>
        <v>1</v>
      </c>
      <c r="AH238" s="534" t="str">
        <f>IF(TRIM($B238)="","",IF(COUNTIFS(Lists!$AN$2:$AN$22,TRIM($B238)&amp;" | "&amp;TRIM($D238),Lists!$AO$2:$AO$22,"&lt;&gt;"),INDEX(Lists!$AO$2:$AO$22,MATCH(TRIM($B238)&amp;" | "&amp;TRIM($D238),Lists!$AN$2:$AN$22,0)),IF(COUNTIF(Lists!$AR$2:$AR$3,$AJ238),"TDD Cyber",IF(AND(LEFT($AJ238,4)="EGI ",ISNUMBER(MATCH(TRIM(MID($AJ238,5,99)),Lists!$AS$2:$AS$12,0))),TRIM(MID($AJ238,5,99)),IF(AND(LEFT($AJ238,4)="EGI ",ISNUMBER(MATCH(TRIM(MID($AJ238,5,99)),Lists!$T$2:$T$21,0))),INDEX(Lists!$U$2:$U$21,MATCH(TRIM(MID($AJ238,5,99)),Lists!$T$2:$T$21,0)),IF(OR(TRIM($J238)="",UPPER(TRIM($J238))="NA"),IFERROR(INDEX(Lists!$R$2:$R$9,MATCH(TRIM($G238),Lists!$Q$2:$Q$9,0)),"UNMAPPED"),IFERROR(INDEX(Lists!$U$2:$U$21,MATCH(TRIM($J238),Lists!$T$2:$T$21,0)),IFERROR(INDEX(Lists!$R$2:$R$9,MATCH(TRIM($G238),Lists!$Q$2:$Q$9,0)),"UNMAPPED"))))))))</f>
        <v>COE SA&amp;D</v>
      </c>
      <c r="AI238" s="534" t="b">
        <f>IF(TRIM($B238)="","",--OR(TRIM($L238)="Leadership",TRIM($K238)="Leadership"))</f>
        <v>0</v>
      </c>
      <c r="AJ238" s="534" t="str">
        <f>IF(TRIM($B238)="","",IF(COUNTIFS(Lists!$AN$2:$AN$22,TRIM($B238)&amp;" | "&amp;TRIM($D238),Lists!$AP$2:$AP$22,"&lt;&gt;"),INDEX(Lists!$AP$2:$AP$22,MATCH(TRIM($B238)&amp;" | "&amp;TRIM($D238),Lists!$AN$2:$AN$22,0)),IF($AI238=1,"Leadership",IFERROR(INDEX(Lists!$X$2:$X$21,MATCH(TRIM($L238),Lists!$W$2:$W$21,0)),IF(OR(TRIM($L238)="",LOWER(TRIM($L238))="na"),IF(TRIM($H238)="","Unassigned",TRIM($H238)),TRIM($L238))))))</f>
        <v>Architecture</v>
      </c>
      <c r="AK238" s="534" t="str">
        <f>IF(TRIM($B238)="","",IF(COUNTIFS(Lists!$AN$2:$AN$22,TRIM($B238)&amp;" | "&amp;TRIM($D238),Lists!$AQ$2:$AQ$22,"&lt;&gt;"),INDEX(Lists!$AQ$2:$AQ$22,MATCH(TRIM($B238)&amp;" | "&amp;TRIM($D238),Lists!$AN$2:$AN$22,0)),IF(COUNTIF(Lists!$AF$2:$AF$8,$AJ238),$AJ238,IF(ISNUMBER(SEARCH("head of ",$D238)),"Head of Technology",IF(ISNUMBER(SEARCH("TDD BP",$D238)),"Business Partner",IF(OR(ISNUMBER(SEARCH("domain architect",$D238)),ISNUMBER(SEARCH("enterprise architect",$D238))),"Domain Architect",IF(ISNUMBER(SEARCH("delivery man",$D238)),"Delivery Manager",IF(OR(ISNUMBER(SEARCH("technology manager",$D238)),ISNUMBER(SEARCH("technology manger",$D238)),ISNUMBER(SEARCH("tech manager",$D238))),"Technology Manager","Squad"))))))))</f>
        <v>Domain Architect</v>
      </c>
      <c r="AL238" s="534" t="str">
        <f>IF(TRIM($B238)="","",IF(AND($AM238=1,LEFT($AJ238,4)&lt;&gt;"EGI ",$AJ238&lt;&gt;"EGI"),IFERROR(INDEX(Lists!$Z$2:$Z$20,MATCH($AH238,Lists!$Y$2:$Y$20,0)),"EGI "&amp;$AH238),IF(COUNTIF(Lists!$AU$2:$AU$10,$AJ238),$AJ238,IF(OR(LEFT($AH238,3)="COE",$AH238="EGI"),$AJ238,IF($AK238&lt;&gt;"Squad",$AK238,$AJ238)))))</f>
        <v>Architecture</v>
      </c>
      <c r="AM238" s="534" t="b">
        <f>IF(TRIM($B238)="","",--(UPPER(TRIM($K238))="EGI"))</f>
        <v>0</v>
      </c>
      <c r="AQ238" s="841" t="inlineStr">
        <is>
          <t>R0237</t>
        </is>
      </c>
      <c r="AZ238" s="841" t="n"/>
    </row>
    <row r="239" ht="18" customHeight="1" s="535">
      <c r="A239" s="842" t="n"/>
      <c r="B239" s="843" t="inlineStr">
        <is>
          <t>ring fenced</t>
        </is>
      </c>
      <c r="C239" s="842" t="n"/>
      <c r="D239" s="843" t="inlineStr">
        <is>
          <t>Domain Architect - Retail &amp; Z</t>
        </is>
      </c>
      <c r="E239" s="843" t="inlineStr">
        <is>
          <t>Vacant</t>
        </is>
      </c>
      <c r="F239" s="843" t="inlineStr">
        <is>
          <t>Head of Architecture</t>
        </is>
      </c>
      <c r="G239" s="844" t="inlineStr">
        <is>
          <t>Strategy, Architecture &amp; Data</t>
        </is>
      </c>
      <c r="H239" s="843" t="inlineStr">
        <is>
          <t>Architecture</t>
        </is>
      </c>
      <c r="I239" s="843" t="inlineStr">
        <is>
          <t>Architecture</t>
        </is>
      </c>
      <c r="J239" s="843" t="n"/>
      <c r="K239" s="843" t="n"/>
      <c r="L239" s="843" t="n"/>
      <c r="M239" s="843" t="n"/>
      <c r="N239" s="845" t="inlineStr">
        <is>
          <t>Australia</t>
        </is>
      </c>
      <c r="O239" s="846" t="inlineStr">
        <is>
          <t>CIC</t>
        </is>
      </c>
      <c r="P239" s="847" t="n">
        <v>1</v>
      </c>
      <c r="Q239" s="860" t="n"/>
      <c r="R239" s="847" t="inlineStr">
        <is>
          <t>v</t>
        </is>
      </c>
      <c r="S239" s="847" t="n"/>
      <c r="T239" s="847" t="n"/>
      <c r="U239" s="848" t="n">
        <v>173550</v>
      </c>
      <c r="V239" s="849" t="n">
        <v>173550</v>
      </c>
      <c r="W239" s="850" t="n">
        <v>0.12</v>
      </c>
      <c r="X239" s="847" t="n">
        <v>0.055</v>
      </c>
      <c r="Y239" s="850" t="n">
        <v>0.12</v>
      </c>
      <c r="Z239" s="851" t="n"/>
      <c r="AA239" s="850" t="n">
        <v>0.04</v>
      </c>
      <c r="AB239" s="852" t="n">
        <v>231689.25</v>
      </c>
      <c r="AE239" s="534">
        <f>IF(TRIM($B239)="","",IF(AND(N($P239)&gt;0,N($P239)&lt;1),N($AB239)*N($P239),N($AB239)))</f>
        <v>231689.25</v>
      </c>
      <c r="AF239" s="534" t="str">
        <f>IF(TRIM($B239)="","",IF(OR(ISNUMBER(SEARCH("vacant",$B239)),ISNUMBER(SEARCH("ring fenced",$B239)),LOWER(TRIM($B239))="remove"),"Vacant","Filled"))</f>
        <v>Vacant</v>
      </c>
      <c r="AG239" s="534" t="b">
        <f>IF(TRIM($B239)="","",--ISNUMBER(SEARCH("ring fenced",$B239)))</f>
        <v>1</v>
      </c>
      <c r="AH239" s="853" t="str">
        <f>IF(TRIM($B239)="","",IF(COUNTIFS(Lists!$AN$2:$AN$22,TRIM($B239)&amp;" | "&amp;TRIM($D239),Lists!$AO$2:$AO$22,"&lt;&gt;"),INDEX(Lists!$AO$2:$AO$22,MATCH(TRIM($B239)&amp;" | "&amp;TRIM($D239),Lists!$AN$2:$AN$22,0)),IF(COUNTIF(Lists!$AR$2:$AR$3,$AJ239),"TDD Cyber",IF(AND(LEFT($AJ239,4)="EGI ",ISNUMBER(MATCH(TRIM(MID($AJ239,5,99)),Lists!$AS$2:$AS$12,0))),TRIM(MID($AJ239,5,99)),IF(AND(LEFT($AJ239,4)="EGI ",ISNUMBER(MATCH(TRIM(MID($AJ239,5,99)),Lists!$T$2:$T$21,0))),INDEX(Lists!$U$2:$U$21,MATCH(TRIM(MID($AJ239,5,99)),Lists!$T$2:$T$21,0)),IF(OR(TRIM($J239)="",UPPER(TRIM($J239))="NA"),IFERROR(INDEX(Lists!$R$2:$R$9,MATCH(TRIM($G239),Lists!$Q$2:$Q$9,0)),"UNMAPPED"),IFERROR(INDEX(Lists!$U$2:$U$21,MATCH(TRIM($J239),Lists!$T$2:$T$21,0)),IFERROR(INDEX(Lists!$R$2:$R$9,MATCH(TRIM($G239),Lists!$Q$2:$Q$9,0)),"UNMAPPED"))))))))</f>
        <v>COE SA&amp;D</v>
      </c>
      <c r="AI239" s="534" t="b">
        <f>IF(TRIM($B239)="","",--OR(TRIM($L239)="Leadership",TRIM($K239)="Leadership"))</f>
        <v>0</v>
      </c>
      <c r="AJ239" s="534" t="str">
        <f>IF(TRIM($B239)="","",IF(COUNTIFS(Lists!$AN$2:$AN$22,TRIM($B239)&amp;" | "&amp;TRIM($D239),Lists!$AP$2:$AP$22,"&lt;&gt;"),INDEX(Lists!$AP$2:$AP$22,MATCH(TRIM($B239)&amp;" | "&amp;TRIM($D239),Lists!$AN$2:$AN$22,0)),IF($AI239=1,"Leadership",IFERROR(INDEX(Lists!$X$2:$X$21,MATCH(TRIM($L239),Lists!$W$2:$W$21,0)),IF(OR(TRIM($L239)="",LOWER(TRIM($L239))="na"),IF(TRIM($H239)="","Unassigned",TRIM($H239)),TRIM($L239))))))</f>
        <v>Architecture</v>
      </c>
      <c r="AK239" s="534" t="str">
        <f>IF(TRIM($B239)="","",IF(COUNTIFS(Lists!$AN$2:$AN$22,TRIM($B239)&amp;" | "&amp;TRIM($D239),Lists!$AQ$2:$AQ$22,"&lt;&gt;"),INDEX(Lists!$AQ$2:$AQ$22,MATCH(TRIM($B239)&amp;" | "&amp;TRIM($D239),Lists!$AN$2:$AN$22,0)),IF(COUNTIF(Lists!$AF$2:$AF$8,$AJ239),$AJ239,IF(ISNUMBER(SEARCH("head of ",$D239)),"Head of Technology",IF(ISNUMBER(SEARCH("TDD BP",$D239)),"Business Partner",IF(OR(ISNUMBER(SEARCH("domain architect",$D239)),ISNUMBER(SEARCH("enterprise architect",$D239))),"Domain Architect",IF(ISNUMBER(SEARCH("delivery man",$D239)),"Delivery Manager",IF(OR(ISNUMBER(SEARCH("technology manager",$D239)),ISNUMBER(SEARCH("technology manger",$D239)),ISNUMBER(SEARCH("tech manager",$D239))),"Technology Manager","Squad"))))))))</f>
        <v>Domain Architect</v>
      </c>
      <c r="AL239" s="534" t="str">
        <f>IF(TRIM($B239)="","",IF(AND($AM239=1,LEFT($AJ239,4)&lt;&gt;"EGI ",$AJ239&lt;&gt;"EGI"),IFERROR(INDEX(Lists!$Z$2:$Z$20,MATCH($AH239,Lists!$Y$2:$Y$20,0)),"EGI "&amp;$AH239),IF(COUNTIF(Lists!$AU$2:$AU$10,$AJ239),$AJ239,IF(OR(LEFT($AH239,3)="COE",$AH239="EGI"),$AJ239,IF($AK239&lt;&gt;"Squad",$AK239,$AJ239)))))</f>
        <v>Architecture</v>
      </c>
      <c r="AM239" s="534" t="b">
        <f>IF(TRIM($B239)="","",--(UPPER(TRIM($K239))="EGI"))</f>
        <v>0</v>
      </c>
      <c r="AQ239" s="841" t="inlineStr">
        <is>
          <t>R0238</t>
        </is>
      </c>
      <c r="AZ239" s="841" t="n"/>
    </row>
    <row r="240" ht="18" customHeight="1" s="535">
      <c r="A240" s="842" t="n"/>
      <c r="B240" s="843" t="inlineStr">
        <is>
          <t>ring fenced</t>
        </is>
      </c>
      <c r="C240" s="842" t="n"/>
      <c r="D240" s="843" t="inlineStr">
        <is>
          <t>Domain Architect - TDD</t>
        </is>
      </c>
      <c r="E240" s="843" t="inlineStr">
        <is>
          <t>Vacant</t>
        </is>
      </c>
      <c r="F240" s="843" t="inlineStr">
        <is>
          <t>Head of Architecture</t>
        </is>
      </c>
      <c r="G240" s="844" t="inlineStr">
        <is>
          <t>Strategy, Architecture &amp; Data</t>
        </is>
      </c>
      <c r="H240" s="843" t="inlineStr">
        <is>
          <t>Architecture</t>
        </is>
      </c>
      <c r="I240" s="843" t="inlineStr">
        <is>
          <t>Architecture</t>
        </is>
      </c>
      <c r="J240" s="843" t="n"/>
      <c r="K240" s="843" t="n"/>
      <c r="L240" s="843" t="n"/>
      <c r="M240" s="843" t="n"/>
      <c r="N240" s="845" t="inlineStr">
        <is>
          <t>Australia</t>
        </is>
      </c>
      <c r="O240" s="846" t="inlineStr">
        <is>
          <t>CIC</t>
        </is>
      </c>
      <c r="P240" s="847" t="n">
        <v>1</v>
      </c>
      <c r="Q240" s="860" t="n"/>
      <c r="R240" s="847" t="inlineStr">
        <is>
          <t>v</t>
        </is>
      </c>
      <c r="S240" s="847" t="n"/>
      <c r="T240" s="847" t="n"/>
      <c r="U240" s="848" t="n">
        <v>173550</v>
      </c>
      <c r="V240" s="849" t="n">
        <v>173550</v>
      </c>
      <c r="W240" s="850" t="n">
        <v>0.12</v>
      </c>
      <c r="X240" s="847" t="n">
        <v>0.055</v>
      </c>
      <c r="Y240" s="850" t="n">
        <v>0.12</v>
      </c>
      <c r="Z240" s="851" t="n"/>
      <c r="AA240" s="850" t="n">
        <v>0.04</v>
      </c>
      <c r="AB240" s="852" t="n">
        <v>231689.25</v>
      </c>
      <c r="AE240" s="534">
        <f>IF(TRIM($B240)="","",IF(AND(N($P240)&gt;0,N($P240)&lt;1),N($AB240)*N($P240),N($AB240)))</f>
        <v>231689.25</v>
      </c>
      <c r="AF240" s="534" t="str">
        <f>IF(TRIM($B240)="","",IF(OR(ISNUMBER(SEARCH("vacant",$B240)),ISNUMBER(SEARCH("ring fenced",$B240)),LOWER(TRIM($B240))="remove"),"Vacant","Filled"))</f>
        <v>Vacant</v>
      </c>
      <c r="AG240" s="534" t="b">
        <f>IF(TRIM($B240)="","",--ISNUMBER(SEARCH("ring fenced",$B240)))</f>
        <v>1</v>
      </c>
      <c r="AH240" s="853" t="str">
        <f>IF(TRIM($B240)="","",IF(COUNTIFS(Lists!$AN$2:$AN$22,TRIM($B240)&amp;" | "&amp;TRIM($D240),Lists!$AO$2:$AO$22,"&lt;&gt;"),INDEX(Lists!$AO$2:$AO$22,MATCH(TRIM($B240)&amp;" | "&amp;TRIM($D240),Lists!$AN$2:$AN$22,0)),IF(COUNTIF(Lists!$AR$2:$AR$3,$AJ240),"TDD Cyber",IF(AND(LEFT($AJ240,4)="EGI ",ISNUMBER(MATCH(TRIM(MID($AJ240,5,99)),Lists!$AS$2:$AS$12,0))),TRIM(MID($AJ240,5,99)),IF(AND(LEFT($AJ240,4)="EGI ",ISNUMBER(MATCH(TRIM(MID($AJ240,5,99)),Lists!$T$2:$T$21,0))),INDEX(Lists!$U$2:$U$21,MATCH(TRIM(MID($AJ240,5,99)),Lists!$T$2:$T$21,0)),IF(OR(TRIM($J240)="",UPPER(TRIM($J240))="NA"),IFERROR(INDEX(Lists!$R$2:$R$9,MATCH(TRIM($G240),Lists!$Q$2:$Q$9,0)),"UNMAPPED"),IFERROR(INDEX(Lists!$U$2:$U$21,MATCH(TRIM($J240),Lists!$T$2:$T$21,0)),IFERROR(INDEX(Lists!$R$2:$R$9,MATCH(TRIM($G240),Lists!$Q$2:$Q$9,0)),"UNMAPPED"))))))))</f>
        <v>COE SA&amp;D</v>
      </c>
      <c r="AI240" s="534" t="b">
        <f>IF(TRIM($B240)="","",--OR(TRIM($L240)="Leadership",TRIM($K240)="Leadership"))</f>
        <v>0</v>
      </c>
      <c r="AJ240" s="534" t="str">
        <f>IF(TRIM($B240)="","",IF(COUNTIFS(Lists!$AN$2:$AN$22,TRIM($B240)&amp;" | "&amp;TRIM($D240),Lists!$AP$2:$AP$22,"&lt;&gt;"),INDEX(Lists!$AP$2:$AP$22,MATCH(TRIM($B240)&amp;" | "&amp;TRIM($D240),Lists!$AN$2:$AN$22,0)),IF($AI240=1,"Leadership",IFERROR(INDEX(Lists!$X$2:$X$21,MATCH(TRIM($L240),Lists!$W$2:$W$21,0)),IF(OR(TRIM($L240)="",LOWER(TRIM($L240))="na"),IF(TRIM($H240)="","Unassigned",TRIM($H240)),TRIM($L240))))))</f>
        <v>Architecture</v>
      </c>
      <c r="AK240" s="534" t="str">
        <f>IF(TRIM($B240)="","",IF(COUNTIFS(Lists!$AN$2:$AN$22,TRIM($B240)&amp;" | "&amp;TRIM($D240),Lists!$AQ$2:$AQ$22,"&lt;&gt;"),INDEX(Lists!$AQ$2:$AQ$22,MATCH(TRIM($B240)&amp;" | "&amp;TRIM($D240),Lists!$AN$2:$AN$22,0)),IF(COUNTIF(Lists!$AF$2:$AF$8,$AJ240),$AJ240,IF(ISNUMBER(SEARCH("head of ",$D240)),"Head of Technology",IF(ISNUMBER(SEARCH("TDD BP",$D240)),"Business Partner",IF(OR(ISNUMBER(SEARCH("domain architect",$D240)),ISNUMBER(SEARCH("enterprise architect",$D240))),"Domain Architect",IF(ISNUMBER(SEARCH("delivery man",$D240)),"Delivery Manager",IF(OR(ISNUMBER(SEARCH("technology manager",$D240)),ISNUMBER(SEARCH("technology manger",$D240)),ISNUMBER(SEARCH("tech manager",$D240))),"Technology Manager","Squad"))))))))</f>
        <v>Domain Architect</v>
      </c>
      <c r="AL240" s="534" t="str">
        <f>IF(TRIM($B240)="","",IF(AND($AM240=1,LEFT($AJ240,4)&lt;&gt;"EGI ",$AJ240&lt;&gt;"EGI"),IFERROR(INDEX(Lists!$Z$2:$Z$20,MATCH($AH240,Lists!$Y$2:$Y$20,0)),"EGI "&amp;$AH240),IF(COUNTIF(Lists!$AU$2:$AU$10,$AJ240),$AJ240,IF(OR(LEFT($AH240,3)="COE",$AH240="EGI"),$AJ240,IF($AK240&lt;&gt;"Squad",$AK240,$AJ240)))))</f>
        <v>Architecture</v>
      </c>
      <c r="AM240" s="534" t="b">
        <f>IF(TRIM($B240)="","",--(UPPER(TRIM($K240))="EGI"))</f>
        <v>0</v>
      </c>
      <c r="AQ240" s="841" t="inlineStr">
        <is>
          <t>R0239</t>
        </is>
      </c>
      <c r="AZ240" s="841" t="n"/>
    </row>
    <row r="241" ht="18" customHeight="1" s="535">
      <c r="A241" s="842" t="n">
        <v>109802</v>
      </c>
      <c r="B241" s="843" t="inlineStr">
        <is>
          <t>Roger Blazey</t>
        </is>
      </c>
      <c r="C241" s="842" t="n">
        <v>109802</v>
      </c>
      <c r="D241" s="843" t="inlineStr">
        <is>
          <t>Architect (AI Innovation)</t>
        </is>
      </c>
      <c r="E241" s="843" t="inlineStr">
        <is>
          <t>Vacant</t>
        </is>
      </c>
      <c r="F241" s="843" t="inlineStr">
        <is>
          <t>Head of Technology  Strategy &amp; AI Capability</t>
        </is>
      </c>
      <c r="G241" s="844" t="inlineStr">
        <is>
          <t>Strategy, Architecture &amp; Data</t>
        </is>
      </c>
      <c r="H241" s="843" t="inlineStr">
        <is>
          <t>Technology Strategy &amp; AI Capability</t>
        </is>
      </c>
      <c r="I241" s="843" t="inlineStr">
        <is>
          <t>Technology Strategy &amp; AI Capability</t>
        </is>
      </c>
      <c r="J241" s="843" t="n"/>
      <c r="K241" s="843" t="n"/>
      <c r="L241" s="843" t="n"/>
      <c r="M241" s="843" t="n"/>
      <c r="N241" s="845" t="inlineStr">
        <is>
          <t>Australia</t>
        </is>
      </c>
      <c r="O241" s="846" t="inlineStr">
        <is>
          <t>CIC</t>
        </is>
      </c>
      <c r="P241" s="847" t="n">
        <v>1</v>
      </c>
      <c r="Q241" s="860" t="n"/>
      <c r="R241" s="847" t="inlineStr">
        <is>
          <t>Permanent - Full Time</t>
        </is>
      </c>
      <c r="S241" s="847" t="n"/>
      <c r="T241" s="847" t="n"/>
      <c r="U241" s="848" t="n">
        <v>187450</v>
      </c>
      <c r="V241" s="849" t="n">
        <v>187450</v>
      </c>
      <c r="W241" s="850" t="n">
        <v>0.12</v>
      </c>
      <c r="X241" s="847" t="n">
        <v>0.055</v>
      </c>
      <c r="Y241" s="850" t="n">
        <v>0.12</v>
      </c>
      <c r="Z241" s="851" t="n"/>
      <c r="AA241" s="850" t="n">
        <v>0.04</v>
      </c>
      <c r="AB241" s="852" t="n">
        <v>250245.75</v>
      </c>
      <c r="AE241" s="534">
        <f>IF(TRIM($B241)="","",IF(AND(N($P241)&gt;0,N($P241)&lt;1),N($AB241)*N($P241),N($AB241)))</f>
        <v>250245.75</v>
      </c>
      <c r="AF241" s="534" t="str">
        <f>IF(TRIM($B241)="","",IF(OR(ISNUMBER(SEARCH("vacant",$B241)),ISNUMBER(SEARCH("ring fenced",$B241)),LOWER(TRIM($B241))="remove"),"Vacant","Filled"))</f>
        <v>Filled</v>
      </c>
      <c r="AG241" s="534" t="b">
        <f>IF(TRIM($B241)="","",--ISNUMBER(SEARCH("ring fenced",$B241)))</f>
        <v>0</v>
      </c>
      <c r="AH241" s="853" t="str">
        <f>IF(TRIM($B241)="","",IF(COUNTIFS(Lists!$AN$2:$AN$22,TRIM($B241)&amp;" | "&amp;TRIM($D241),Lists!$AO$2:$AO$22,"&lt;&gt;"),INDEX(Lists!$AO$2:$AO$22,MATCH(TRIM($B241)&amp;" | "&amp;TRIM($D241),Lists!$AN$2:$AN$22,0)),IF(COUNTIF(Lists!$AR$2:$AR$3,$AJ241),"TDD Cyber",IF(AND(LEFT($AJ241,4)="EGI ",ISNUMBER(MATCH(TRIM(MID($AJ241,5,99)),Lists!$AS$2:$AS$12,0))),TRIM(MID($AJ241,5,99)),IF(AND(LEFT($AJ241,4)="EGI ",ISNUMBER(MATCH(TRIM(MID($AJ241,5,99)),Lists!$T$2:$T$21,0))),INDEX(Lists!$U$2:$U$21,MATCH(TRIM(MID($AJ241,5,99)),Lists!$T$2:$T$21,0)),IF(OR(TRIM($J241)="",UPPER(TRIM($J241))="NA"),IFERROR(INDEX(Lists!$R$2:$R$9,MATCH(TRIM($G241),Lists!$Q$2:$Q$9,0)),"UNMAPPED"),IFERROR(INDEX(Lists!$U$2:$U$21,MATCH(TRIM($J241),Lists!$T$2:$T$21,0)),IFERROR(INDEX(Lists!$R$2:$R$9,MATCH(TRIM($G241),Lists!$Q$2:$Q$9,0)),"UNMAPPED"))))))))</f>
        <v>COE SA&amp;D</v>
      </c>
      <c r="AI241" s="534" t="b">
        <f>IF(TRIM($B241)="","",--OR(TRIM($L241)="Leadership",TRIM($K241)="Leadership"))</f>
        <v>0</v>
      </c>
      <c r="AJ241" s="534" t="str">
        <f>IF(TRIM($B241)="","",IF(COUNTIFS(Lists!$AN$2:$AN$22,TRIM($B241)&amp;" | "&amp;TRIM($D241),Lists!$AP$2:$AP$22,"&lt;&gt;"),INDEX(Lists!$AP$2:$AP$22,MATCH(TRIM($B241)&amp;" | "&amp;TRIM($D241),Lists!$AN$2:$AN$22,0)),IF($AI241=1,"Leadership",IFERROR(INDEX(Lists!$X$2:$X$21,MATCH(TRIM($L241),Lists!$W$2:$W$21,0)),IF(OR(TRIM($L241)="",LOWER(TRIM($L241))="na"),IF(TRIM($H241)="","Unassigned",TRIM($H241)),TRIM($L241))))))</f>
        <v>Technology Strategy &amp; AI Capability</v>
      </c>
      <c r="AK241" s="534" t="str">
        <f>IF(TRIM($B241)="","",IF(COUNTIFS(Lists!$AN$2:$AN$22,TRIM($B241)&amp;" | "&amp;TRIM($D241),Lists!$AQ$2:$AQ$22,"&lt;&gt;"),INDEX(Lists!$AQ$2:$AQ$22,MATCH(TRIM($B241)&amp;" | "&amp;TRIM($D241),Lists!$AN$2:$AN$22,0)),IF(COUNTIF(Lists!$AF$2:$AF$8,$AJ241),$AJ241,IF(ISNUMBER(SEARCH("head of ",$D241)),"Head of Technology",IF(ISNUMBER(SEARCH("TDD BP",$D241)),"Business Partner",IF(OR(ISNUMBER(SEARCH("domain architect",$D241)),ISNUMBER(SEARCH("enterprise architect",$D241))),"Domain Architect",IF(ISNUMBER(SEARCH("delivery man",$D241)),"Delivery Manager",IF(OR(ISNUMBER(SEARCH("technology manager",$D241)),ISNUMBER(SEARCH("technology manger",$D241)),ISNUMBER(SEARCH("tech manager",$D241))),"Technology Manager","Squad"))))))))</f>
        <v>Squad</v>
      </c>
      <c r="AL241" s="534" t="str">
        <f>IF(TRIM($B241)="","",IF(AND($AM241=1,LEFT($AJ241,4)&lt;&gt;"EGI ",$AJ241&lt;&gt;"EGI"),IFERROR(INDEX(Lists!$Z$2:$Z$20,MATCH($AH241,Lists!$Y$2:$Y$20,0)),"EGI "&amp;$AH241),IF(COUNTIF(Lists!$AU$2:$AU$10,$AJ241),$AJ241,IF(OR(LEFT($AH241,3)="COE",$AH241="EGI"),$AJ241,IF($AK241&lt;&gt;"Squad",$AK241,$AJ241)))))</f>
        <v>Technology Strategy &amp; AI Capability</v>
      </c>
      <c r="AM241" s="534" t="b">
        <f>IF(TRIM($B241)="","",--(UPPER(TRIM($K241))="EGI"))</f>
        <v>0</v>
      </c>
      <c r="AQ241" s="841" t="inlineStr">
        <is>
          <t>R0240</t>
        </is>
      </c>
      <c r="AZ241" s="841" t="n"/>
    </row>
    <row r="242" ht="18" customHeight="1" s="535">
      <c r="A242" s="842" t="n">
        <v>83658</v>
      </c>
      <c r="B242" s="843" t="inlineStr">
        <is>
          <t>Sam Chan</t>
        </is>
      </c>
      <c r="C242" s="842" t="n">
        <v>83658</v>
      </c>
      <c r="D242" s="843" t="inlineStr">
        <is>
          <t>FinOps Manager</t>
        </is>
      </c>
      <c r="E242" s="843" t="inlineStr">
        <is>
          <t>Vacant</t>
        </is>
      </c>
      <c r="F242" s="843" t="inlineStr">
        <is>
          <t xml:space="preserve">Manager Cyber Security Operations </t>
        </is>
      </c>
      <c r="G242" s="844" t="inlineStr">
        <is>
          <t>Partnering &amp; Transformation</t>
        </is>
      </c>
      <c r="H242" s="843" t="inlineStr">
        <is>
          <t>Transformation</t>
        </is>
      </c>
      <c r="I242" s="843" t="inlineStr">
        <is>
          <t>NA</t>
        </is>
      </c>
      <c r="J242" s="843" t="inlineStr">
        <is>
          <t>NA</t>
        </is>
      </c>
      <c r="K242" s="843" t="inlineStr">
        <is>
          <t>NA</t>
        </is>
      </c>
      <c r="L242" s="843" t="inlineStr">
        <is>
          <t>NA</t>
        </is>
      </c>
      <c r="M242" s="843" t="n"/>
      <c r="N242" s="845" t="inlineStr">
        <is>
          <t>Australia</t>
        </is>
      </c>
      <c r="O242" s="846" t="inlineStr">
        <is>
          <t>CIC</t>
        </is>
      </c>
      <c r="P242" s="847" t="n">
        <v>1</v>
      </c>
      <c r="Q242" s="860" t="n"/>
      <c r="R242" s="847" t="inlineStr">
        <is>
          <t>Permanent - Full Time</t>
        </is>
      </c>
      <c r="S242" s="847" t="n"/>
      <c r="T242" s="847" t="n"/>
      <c r="U242" s="848" t="n">
        <v>169130</v>
      </c>
      <c r="V242" s="849" t="n">
        <v>169130</v>
      </c>
      <c r="W242" s="850" t="n">
        <v>0.12</v>
      </c>
      <c r="X242" s="847" t="n">
        <v>0.055</v>
      </c>
      <c r="Y242" s="850" t="n">
        <v>0.12</v>
      </c>
      <c r="Z242" s="851" t="n"/>
      <c r="AA242" s="850" t="n">
        <v>0.04</v>
      </c>
      <c r="AB242" s="852" t="n">
        <v>225788.55</v>
      </c>
      <c r="AE242" s="534">
        <f>IF(TRIM($B242)="","",IF(AND(N($P242)&gt;0,N($P242)&lt;1),N($AB242)*N($P242),N($AB242)))</f>
        <v>225788.55</v>
      </c>
      <c r="AF242" s="534" t="str">
        <f>IF(TRIM($B242)="","",IF(OR(ISNUMBER(SEARCH("vacant",$B242)),ISNUMBER(SEARCH("ring fenced",$B242)),LOWER(TRIM($B242))="remove"),"Vacant","Filled"))</f>
        <v>Filled</v>
      </c>
      <c r="AG242" s="534" t="b">
        <f>IF(TRIM($B242)="","",--ISNUMBER(SEARCH("ring fenced",$B242)))</f>
        <v>0</v>
      </c>
      <c r="AH242" s="853" t="str">
        <f>IF(TRIM($B242)="","",IF(COUNTIFS(Lists!$AN$2:$AN$22,TRIM($B242)&amp;" | "&amp;TRIM($D242),Lists!$AO$2:$AO$22,"&lt;&gt;"),INDEX(Lists!$AO$2:$AO$22,MATCH(TRIM($B242)&amp;" | "&amp;TRIM($D242),Lists!$AN$2:$AN$22,0)),IF(COUNTIF(Lists!$AR$2:$AR$3,$AJ242),"TDD Cyber",IF(AND(LEFT($AJ242,4)="EGI ",ISNUMBER(MATCH(TRIM(MID($AJ242,5,99)),Lists!$AS$2:$AS$12,0))),TRIM(MID($AJ242,5,99)),IF(AND(LEFT($AJ242,4)="EGI ",ISNUMBER(MATCH(TRIM(MID($AJ242,5,99)),Lists!$T$2:$T$21,0))),INDEX(Lists!$U$2:$U$21,MATCH(TRIM(MID($AJ242,5,99)),Lists!$T$2:$T$21,0)),IF(OR(TRIM($J242)="",UPPER(TRIM($J242))="NA"),IFERROR(INDEX(Lists!$R$2:$R$9,MATCH(TRIM($G242),Lists!$Q$2:$Q$9,0)),"UNMAPPED"),IFERROR(INDEX(Lists!$U$2:$U$21,MATCH(TRIM($J242),Lists!$T$2:$T$21,0)),IFERROR(INDEX(Lists!$R$2:$R$9,MATCH(TRIM($G242),Lists!$Q$2:$Q$9,0)),"UNMAPPED"))))))))</f>
        <v>COE BP&amp;T</v>
      </c>
      <c r="AI242" s="534" t="b">
        <f>IF(TRIM($B242)="","",--OR(TRIM($L242)="Leadership",TRIM($K242)="Leadership"))</f>
        <v>0</v>
      </c>
      <c r="AJ242" s="534" t="str">
        <f>IF(TRIM($B242)="","",IF(COUNTIFS(Lists!$AN$2:$AN$22,TRIM($B242)&amp;" | "&amp;TRIM($D242),Lists!$AP$2:$AP$22,"&lt;&gt;"),INDEX(Lists!$AP$2:$AP$22,MATCH(TRIM($B242)&amp;" | "&amp;TRIM($D242),Lists!$AN$2:$AN$22,0)),IF($AI242=1,"Leadership",IFERROR(INDEX(Lists!$X$2:$X$21,MATCH(TRIM($L242),Lists!$W$2:$W$21,0)),IF(OR(TRIM($L242)="",LOWER(TRIM($L242))="na"),IF(TRIM($H242)="","Unassigned",TRIM($H242)),TRIM($L242))))))</f>
        <v>Transformation</v>
      </c>
      <c r="AK242" s="534" t="str">
        <f>IF(TRIM($B242)="","",IF(COUNTIFS(Lists!$AN$2:$AN$22,TRIM($B242)&amp;" | "&amp;TRIM($D242),Lists!$AQ$2:$AQ$22,"&lt;&gt;"),INDEX(Lists!$AQ$2:$AQ$22,MATCH(TRIM($B242)&amp;" | "&amp;TRIM($D242),Lists!$AN$2:$AN$22,0)),IF(COUNTIF(Lists!$AF$2:$AF$8,$AJ242),$AJ242,IF(ISNUMBER(SEARCH("head of ",$D242)),"Head of Technology",IF(ISNUMBER(SEARCH("TDD BP",$D242)),"Business Partner",IF(OR(ISNUMBER(SEARCH("domain architect",$D242)),ISNUMBER(SEARCH("enterprise architect",$D242))),"Domain Architect",IF(ISNUMBER(SEARCH("delivery man",$D242)),"Delivery Manager",IF(OR(ISNUMBER(SEARCH("technology manager",$D242)),ISNUMBER(SEARCH("technology manger",$D242)),ISNUMBER(SEARCH("tech manager",$D242))),"Technology Manager","Squad"))))))))</f>
        <v>Squad</v>
      </c>
      <c r="AL242" s="534" t="str">
        <f>IF(TRIM($B242)="","",IF(AND($AM242=1,LEFT($AJ242,4)&lt;&gt;"EGI ",$AJ242&lt;&gt;"EGI"),IFERROR(INDEX(Lists!$Z$2:$Z$20,MATCH($AH242,Lists!$Y$2:$Y$20,0)),"EGI "&amp;$AH242),IF(COUNTIF(Lists!$AU$2:$AU$10,$AJ242),$AJ242,IF(OR(LEFT($AH242,3)="COE",$AH242="EGI"),$AJ242,IF($AK242&lt;&gt;"Squad",$AK242,$AJ242)))))</f>
        <v>Transformation</v>
      </c>
      <c r="AM242" s="534" t="b">
        <f>IF(TRIM($B242)="","",--(UPPER(TRIM($K242))="EGI"))</f>
        <v>0</v>
      </c>
      <c r="AQ242" s="841" t="inlineStr">
        <is>
          <t>R0241</t>
        </is>
      </c>
      <c r="AZ242" s="841" t="n"/>
    </row>
    <row r="243" ht="18" customHeight="1" s="535">
      <c r="A243" s="842" t="n">
        <v>97800</v>
      </c>
      <c r="B243" s="843" t="inlineStr">
        <is>
          <t>John McCormack</t>
        </is>
      </c>
      <c r="C243" s="842" t="n">
        <v>97800</v>
      </c>
      <c r="D243" s="843" t="inlineStr">
        <is>
          <t>Manager - Infrastructure Operations</t>
        </is>
      </c>
      <c r="E243" s="843" t="inlineStr">
        <is>
          <t>Vacant</t>
        </is>
      </c>
      <c r="F243" s="843" t="inlineStr">
        <is>
          <t>Technology Manager - Cloud, Network &amp; Infrastructure Operations</t>
        </is>
      </c>
      <c r="G243" s="844" t="inlineStr">
        <is>
          <t>TDD Group Functions</t>
        </is>
      </c>
      <c r="H243" s="843" t="inlineStr">
        <is>
          <t>TDD &amp; Engineering</t>
        </is>
      </c>
      <c r="I243" s="843" t="inlineStr">
        <is>
          <t>Cloud, Network &amp; Infra</t>
        </is>
      </c>
      <c r="J243" s="843" t="inlineStr">
        <is>
          <t>TDD</t>
        </is>
      </c>
      <c r="K243" s="843" t="inlineStr">
        <is>
          <t>TDD</t>
        </is>
      </c>
      <c r="L243" s="843" t="inlineStr">
        <is>
          <t>Cloud, Network &amp; Infra Ops</t>
        </is>
      </c>
      <c r="M243" s="843" t="n"/>
      <c r="N243" s="845" t="inlineStr">
        <is>
          <t>Australia</t>
        </is>
      </c>
      <c r="O243" s="846" t="inlineStr">
        <is>
          <t>CIC</t>
        </is>
      </c>
      <c r="P243" s="847" t="n">
        <v>1</v>
      </c>
      <c r="Q243" s="860" t="n"/>
      <c r="R243" s="847" t="inlineStr">
        <is>
          <t>Permanent - Full Time</t>
        </is>
      </c>
      <c r="S243" s="847" t="n"/>
      <c r="T243" s="847" t="n"/>
      <c r="U243" s="848" t="n">
        <v>184640</v>
      </c>
      <c r="V243" s="849" t="n">
        <v>184640</v>
      </c>
      <c r="W243" s="850" t="n">
        <v>0.12</v>
      </c>
      <c r="X243" s="847" t="n">
        <v>0.055</v>
      </c>
      <c r="Y243" s="850" t="n">
        <v>0.12</v>
      </c>
      <c r="Z243" s="851" t="n"/>
      <c r="AA243" s="850" t="n">
        <v>0.04</v>
      </c>
      <c r="AB243" s="852" t="n">
        <v>246494.4</v>
      </c>
      <c r="AE243" s="534">
        <f>IF(TRIM($B243)="","",IF(AND(N($P243)&gt;0,N($P243)&lt;1),N($AB243)*N($P243),N($AB243)))</f>
        <v>246494.4</v>
      </c>
      <c r="AF243" s="534" t="str">
        <f>IF(TRIM($B243)="","",IF(OR(ISNUMBER(SEARCH("vacant",$B243)),ISNUMBER(SEARCH("ring fenced",$B243)),LOWER(TRIM($B243))="remove"),"Vacant","Filled"))</f>
        <v>Filled</v>
      </c>
      <c r="AG243" s="534" t="b">
        <f>IF(TRIM($B243)="","",--ISNUMBER(SEARCH("ring fenced",$B243)))</f>
        <v>0</v>
      </c>
      <c r="AH243" s="853" t="str">
        <f>IF(TRIM($B243)="","",IF(COUNTIFS(Lists!$AN$2:$AN$22,TRIM($B243)&amp;" | "&amp;TRIM($D243),Lists!$AO$2:$AO$22,"&lt;&gt;"),INDEX(Lists!$AO$2:$AO$22,MATCH(TRIM($B243)&amp;" | "&amp;TRIM($D243),Lists!$AN$2:$AN$22,0)),IF(COUNTIF(Lists!$AR$2:$AR$3,$AJ243),"TDD Cyber",IF(AND(LEFT($AJ243,4)="EGI ",ISNUMBER(MATCH(TRIM(MID($AJ243,5,99)),Lists!$AS$2:$AS$12,0))),TRIM(MID($AJ243,5,99)),IF(AND(LEFT($AJ243,4)="EGI ",ISNUMBER(MATCH(TRIM(MID($AJ243,5,99)),Lists!$T$2:$T$21,0))),INDEX(Lists!$U$2:$U$21,MATCH(TRIM(MID($AJ243,5,99)),Lists!$T$2:$T$21,0)),IF(OR(TRIM($J243)="",UPPER(TRIM($J243))="NA"),IFERROR(INDEX(Lists!$R$2:$R$9,MATCH(TRIM($G243),Lists!$Q$2:$Q$9,0)),"UNMAPPED"),IFERROR(INDEX(Lists!$U$2:$U$21,MATCH(TRIM($J243),Lists!$T$2:$T$21,0)),IFERROR(INDEX(Lists!$R$2:$R$9,MATCH(TRIM($G243),Lists!$Q$2:$Q$9,0)),"UNMAPPED"))))))))</f>
        <v>TDD Group Functions</v>
      </c>
      <c r="AI243" s="534" t="b">
        <f>IF(TRIM($B243)="","",--OR(TRIM($L243)="Leadership",TRIM($K243)="Leadership"))</f>
        <v>0</v>
      </c>
      <c r="AJ243" s="534" t="str">
        <f>IF(TRIM($B243)="","",IF(COUNTIFS(Lists!$AN$2:$AN$22,TRIM($B243)&amp;" | "&amp;TRIM($D243),Lists!$AP$2:$AP$22,"&lt;&gt;"),INDEX(Lists!$AP$2:$AP$22,MATCH(TRIM($B243)&amp;" | "&amp;TRIM($D243),Lists!$AN$2:$AN$22,0)),IF($AI243=1,"Leadership",IFERROR(INDEX(Lists!$X$2:$X$21,MATCH(TRIM($L243),Lists!$W$2:$W$21,0)),IF(OR(TRIM($L243)="",LOWER(TRIM($L243))="na"),IF(TRIM($H243)="","Unassigned",TRIM($H243)),TRIM($L243))))))</f>
        <v>Cloud, Network &amp; Infra Ops</v>
      </c>
      <c r="AK243" s="534" t="str">
        <f>IF(TRIM($B243)="","",IF(COUNTIFS(Lists!$AN$2:$AN$22,TRIM($B243)&amp;" | "&amp;TRIM($D243),Lists!$AQ$2:$AQ$22,"&lt;&gt;"),INDEX(Lists!$AQ$2:$AQ$22,MATCH(TRIM($B243)&amp;" | "&amp;TRIM($D243),Lists!$AN$2:$AN$22,0)),IF(COUNTIF(Lists!$AF$2:$AF$8,$AJ243),$AJ243,IF(ISNUMBER(SEARCH("head of ",$D243)),"Head of Technology",IF(ISNUMBER(SEARCH("TDD BP",$D243)),"Business Partner",IF(OR(ISNUMBER(SEARCH("domain architect",$D243)),ISNUMBER(SEARCH("enterprise architect",$D243))),"Domain Architect",IF(ISNUMBER(SEARCH("delivery man",$D243)),"Delivery Manager",IF(OR(ISNUMBER(SEARCH("technology manager",$D243)),ISNUMBER(SEARCH("technology manger",$D243)),ISNUMBER(SEARCH("tech manager",$D243))),"Technology Manager","Squad"))))))))</f>
        <v>Squad</v>
      </c>
      <c r="AL243" s="534" t="str">
        <f>IF(TRIM($B243)="","",IF(AND($AM243=1,LEFT($AJ243,4)&lt;&gt;"EGI ",$AJ243&lt;&gt;"EGI"),IFERROR(INDEX(Lists!$Z$2:$Z$20,MATCH($AH243,Lists!$Y$2:$Y$20,0)),"EGI "&amp;$AH243),IF(COUNTIF(Lists!$AU$2:$AU$10,$AJ243),$AJ243,IF(OR(LEFT($AH243,3)="COE",$AH243="EGI"),$AJ243,IF($AK243&lt;&gt;"Squad",$AK243,$AJ243)))))</f>
        <v>Cloud, Network &amp; Infra Ops</v>
      </c>
      <c r="AM243" s="534" t="b">
        <f>IF(TRIM($B243)="","",--(UPPER(TRIM($K243))="EGI"))</f>
        <v>0</v>
      </c>
      <c r="AQ243" s="841" t="inlineStr">
        <is>
          <t>R0242</t>
        </is>
      </c>
      <c r="AZ243" s="841" t="n"/>
    </row>
    <row r="244" ht="18" customHeight="1" s="535">
      <c r="A244" s="842" t="n">
        <v>97625</v>
      </c>
      <c r="B244" s="843" t="inlineStr">
        <is>
          <t>Satish Chowdhary</t>
        </is>
      </c>
      <c r="C244" s="842" t="n">
        <v>97625</v>
      </c>
      <c r="D244" s="843" t="inlineStr">
        <is>
          <t>Nework Architect</t>
        </is>
      </c>
      <c r="E244" s="843" t="inlineStr">
        <is>
          <t>Vacant</t>
        </is>
      </c>
      <c r="F244" s="843" t="inlineStr">
        <is>
          <t>Technology Manager - Cloud, Network &amp; Infrastructure Operations</t>
        </is>
      </c>
      <c r="G244" s="844" t="inlineStr">
        <is>
          <t>TDD Group Functions</t>
        </is>
      </c>
      <c r="H244" s="843" t="inlineStr">
        <is>
          <t>TDD &amp; Engineering</t>
        </is>
      </c>
      <c r="I244" s="843" t="inlineStr">
        <is>
          <t>Cloud, Network &amp; Infra</t>
        </is>
      </c>
      <c r="J244" s="843" t="inlineStr">
        <is>
          <t>TDD</t>
        </is>
      </c>
      <c r="K244" s="843" t="inlineStr">
        <is>
          <t>TDD</t>
        </is>
      </c>
      <c r="L244" s="843" t="inlineStr">
        <is>
          <t>Cloud, Network &amp; Infra Ops</t>
        </is>
      </c>
      <c r="M244" s="843" t="n"/>
      <c r="N244" s="845" t="inlineStr">
        <is>
          <t>Australia</t>
        </is>
      </c>
      <c r="O244" s="846" t="inlineStr">
        <is>
          <t>CIC</t>
        </is>
      </c>
      <c r="P244" s="847" t="n">
        <v>1</v>
      </c>
      <c r="Q244" s="860" t="n"/>
      <c r="R244" s="847" t="inlineStr">
        <is>
          <t>Permanent - Full Time</t>
        </is>
      </c>
      <c r="S244" s="847" t="n"/>
      <c r="T244" s="847" t="n"/>
      <c r="U244" s="848" t="n">
        <v>194100</v>
      </c>
      <c r="V244" s="849" t="n">
        <v>194100</v>
      </c>
      <c r="W244" s="850" t="n">
        <v>0.12</v>
      </c>
      <c r="X244" s="847" t="n">
        <v>0.055</v>
      </c>
      <c r="Y244" s="850" t="n">
        <v>0.12</v>
      </c>
      <c r="Z244" s="851" t="n"/>
      <c r="AA244" s="850" t="n">
        <v>0.04</v>
      </c>
      <c r="AB244" s="852" t="n">
        <v>259123.5</v>
      </c>
      <c r="AE244" s="534">
        <f>IF(TRIM($B244)="","",IF(AND(N($P244)&gt;0,N($P244)&lt;1),N($AB244)*N($P244),N($AB244)))</f>
        <v>259123.5</v>
      </c>
      <c r="AF244" s="534" t="str">
        <f>IF(TRIM($B244)="","",IF(OR(ISNUMBER(SEARCH("vacant",$B244)),ISNUMBER(SEARCH("ring fenced",$B244)),LOWER(TRIM($B244))="remove"),"Vacant","Filled"))</f>
        <v>Filled</v>
      </c>
      <c r="AG244" s="534" t="b">
        <f>IF(TRIM($B244)="","",--ISNUMBER(SEARCH("ring fenced",$B244)))</f>
        <v>0</v>
      </c>
      <c r="AH244" s="853" t="str">
        <f>IF(TRIM($B244)="","",IF(COUNTIFS(Lists!$AN$2:$AN$22,TRIM($B244)&amp;" | "&amp;TRIM($D244),Lists!$AO$2:$AO$22,"&lt;&gt;"),INDEX(Lists!$AO$2:$AO$22,MATCH(TRIM($B244)&amp;" | "&amp;TRIM($D244),Lists!$AN$2:$AN$22,0)),IF(COUNTIF(Lists!$AR$2:$AR$3,$AJ244),"TDD Cyber",IF(AND(LEFT($AJ244,4)="EGI ",ISNUMBER(MATCH(TRIM(MID($AJ244,5,99)),Lists!$AS$2:$AS$12,0))),TRIM(MID($AJ244,5,99)),IF(AND(LEFT($AJ244,4)="EGI ",ISNUMBER(MATCH(TRIM(MID($AJ244,5,99)),Lists!$T$2:$T$21,0))),INDEX(Lists!$U$2:$U$21,MATCH(TRIM(MID($AJ244,5,99)),Lists!$T$2:$T$21,0)),IF(OR(TRIM($J244)="",UPPER(TRIM($J244))="NA"),IFERROR(INDEX(Lists!$R$2:$R$9,MATCH(TRIM($G244),Lists!$Q$2:$Q$9,0)),"UNMAPPED"),IFERROR(INDEX(Lists!$U$2:$U$21,MATCH(TRIM($J244),Lists!$T$2:$T$21,0)),IFERROR(INDEX(Lists!$R$2:$R$9,MATCH(TRIM($G244),Lists!$Q$2:$Q$9,0)),"UNMAPPED"))))))))</f>
        <v>TDD Group Functions</v>
      </c>
      <c r="AI244" s="534" t="b">
        <f>IF(TRIM($B244)="","",--OR(TRIM($L244)="Leadership",TRIM($K244)="Leadership"))</f>
        <v>0</v>
      </c>
      <c r="AJ244" s="534" t="str">
        <f>IF(TRIM($B244)="","",IF(COUNTIFS(Lists!$AN$2:$AN$22,TRIM($B244)&amp;" | "&amp;TRIM($D244),Lists!$AP$2:$AP$22,"&lt;&gt;"),INDEX(Lists!$AP$2:$AP$22,MATCH(TRIM($B244)&amp;" | "&amp;TRIM($D244),Lists!$AN$2:$AN$22,0)),IF($AI244=1,"Leadership",IFERROR(INDEX(Lists!$X$2:$X$21,MATCH(TRIM($L244),Lists!$W$2:$W$21,0)),IF(OR(TRIM($L244)="",LOWER(TRIM($L244))="na"),IF(TRIM($H244)="","Unassigned",TRIM($H244)),TRIM($L244))))))</f>
        <v>Cloud, Network &amp; Infra Ops</v>
      </c>
      <c r="AK244" s="534" t="str">
        <f>IF(TRIM($B244)="","",IF(COUNTIFS(Lists!$AN$2:$AN$22,TRIM($B244)&amp;" | "&amp;TRIM($D244),Lists!$AQ$2:$AQ$22,"&lt;&gt;"),INDEX(Lists!$AQ$2:$AQ$22,MATCH(TRIM($B244)&amp;" | "&amp;TRIM($D244),Lists!$AN$2:$AN$22,0)),IF(COUNTIF(Lists!$AF$2:$AF$8,$AJ244),$AJ244,IF(ISNUMBER(SEARCH("head of ",$D244)),"Head of Technology",IF(ISNUMBER(SEARCH("TDD BP",$D244)),"Business Partner",IF(OR(ISNUMBER(SEARCH("domain architect",$D244)),ISNUMBER(SEARCH("enterprise architect",$D244))),"Domain Architect",IF(ISNUMBER(SEARCH("delivery man",$D244)),"Delivery Manager",IF(OR(ISNUMBER(SEARCH("technology manager",$D244)),ISNUMBER(SEARCH("technology manger",$D244)),ISNUMBER(SEARCH("tech manager",$D244))),"Technology Manager","Squad"))))))))</f>
        <v>Squad</v>
      </c>
      <c r="AL244" s="534" t="str">
        <f>IF(TRIM($B244)="","",IF(AND($AM244=1,LEFT($AJ244,4)&lt;&gt;"EGI ",$AJ244&lt;&gt;"EGI"),IFERROR(INDEX(Lists!$Z$2:$Z$20,MATCH($AH244,Lists!$Y$2:$Y$20,0)),"EGI "&amp;$AH244),IF(COUNTIF(Lists!$AU$2:$AU$10,$AJ244),$AJ244,IF(OR(LEFT($AH244,3)="COE",$AH244="EGI"),$AJ244,IF($AK244&lt;&gt;"Squad",$AK244,$AJ244)))))</f>
        <v>Cloud, Network &amp; Infra Ops</v>
      </c>
      <c r="AM244" s="534" t="b">
        <f>IF(TRIM($B244)="","",--(UPPER(TRIM($K244))="EGI"))</f>
        <v>0</v>
      </c>
      <c r="AQ244" s="841" t="inlineStr">
        <is>
          <t>R0243</t>
        </is>
      </c>
      <c r="AZ244" s="841" t="n"/>
    </row>
    <row r="245" ht="18" customHeight="1" s="535">
      <c r="A245" s="842" t="n">
        <v>6591</v>
      </c>
      <c r="B245" s="843" t="inlineStr">
        <is>
          <t>Steven Yong</t>
        </is>
      </c>
      <c r="C245" s="842" t="n">
        <v>6591</v>
      </c>
      <c r="D245" s="843" t="inlineStr">
        <is>
          <t>Nework Architect</t>
        </is>
      </c>
      <c r="E245" s="843" t="inlineStr">
        <is>
          <t>Vacant</t>
        </is>
      </c>
      <c r="F245" s="843" t="inlineStr">
        <is>
          <t>Technology Manager - Cloud, Network &amp; Infrastructure Operations</t>
        </is>
      </c>
      <c r="G245" s="844" t="inlineStr">
        <is>
          <t>TDD Group Functions</t>
        </is>
      </c>
      <c r="H245" s="843" t="inlineStr">
        <is>
          <t>TDD &amp; Engineering</t>
        </is>
      </c>
      <c r="I245" s="843" t="inlineStr">
        <is>
          <t>Cloud, Network &amp; Infra</t>
        </is>
      </c>
      <c r="J245" s="843" t="inlineStr">
        <is>
          <t>TDD</t>
        </is>
      </c>
      <c r="K245" s="843" t="inlineStr">
        <is>
          <t>TDD</t>
        </is>
      </c>
      <c r="L245" s="843" t="inlineStr">
        <is>
          <t>Cloud, Network &amp; Infra Ops</t>
        </is>
      </c>
      <c r="M245" s="843" t="n"/>
      <c r="N245" s="845" t="inlineStr">
        <is>
          <t>Australia</t>
        </is>
      </c>
      <c r="O245" s="846" t="inlineStr">
        <is>
          <t>CIC</t>
        </is>
      </c>
      <c r="P245" s="847" t="n">
        <v>1</v>
      </c>
      <c r="Q245" s="860" t="n"/>
      <c r="R245" s="847" t="inlineStr">
        <is>
          <t>Permanent - Full Time</t>
        </is>
      </c>
      <c r="S245" s="847" t="n"/>
      <c r="T245" s="847" t="n"/>
      <c r="U245" s="848" t="n">
        <v>182340</v>
      </c>
      <c r="V245" s="849" t="n">
        <v>182340</v>
      </c>
      <c r="W245" s="850" t="n">
        <v>0.12</v>
      </c>
      <c r="X245" s="847" t="n">
        <v>0.055</v>
      </c>
      <c r="Y245" s="850" t="n">
        <v>0.12</v>
      </c>
      <c r="Z245" s="851" t="n"/>
      <c r="AA245" s="850" t="n">
        <v>0.04</v>
      </c>
      <c r="AB245" s="852" t="n">
        <v>243423.9</v>
      </c>
      <c r="AE245" s="534">
        <f>IF(TRIM($B245)="","",IF(AND(N($P245)&gt;0,N($P245)&lt;1),N($AB245)*N($P245),N($AB245)))</f>
        <v>243423.9</v>
      </c>
      <c r="AF245" s="534" t="str">
        <f>IF(TRIM($B245)="","",IF(OR(ISNUMBER(SEARCH("vacant",$B245)),ISNUMBER(SEARCH("ring fenced",$B245)),LOWER(TRIM($B245))="remove"),"Vacant","Filled"))</f>
        <v>Filled</v>
      </c>
      <c r="AG245" s="534" t="b">
        <f>IF(TRIM($B245)="","",--ISNUMBER(SEARCH("ring fenced",$B245)))</f>
        <v>0</v>
      </c>
      <c r="AH245" s="534" t="str">
        <f>IF(TRIM($B245)="","",IF(COUNTIFS(Lists!$AN$2:$AN$22,TRIM($B245)&amp;" | "&amp;TRIM($D245),Lists!$AO$2:$AO$22,"&lt;&gt;"),INDEX(Lists!$AO$2:$AO$22,MATCH(TRIM($B245)&amp;" | "&amp;TRIM($D245),Lists!$AN$2:$AN$22,0)),IF(COUNTIF(Lists!$AR$2:$AR$3,$AJ245),"TDD Cyber",IF(AND(LEFT($AJ245,4)="EGI ",ISNUMBER(MATCH(TRIM(MID($AJ245,5,99)),Lists!$AS$2:$AS$12,0))),TRIM(MID($AJ245,5,99)),IF(AND(LEFT($AJ245,4)="EGI ",ISNUMBER(MATCH(TRIM(MID($AJ245,5,99)),Lists!$T$2:$T$21,0))),INDEX(Lists!$U$2:$U$21,MATCH(TRIM(MID($AJ245,5,99)),Lists!$T$2:$T$21,0)),IF(OR(TRIM($J245)="",UPPER(TRIM($J245))="NA"),IFERROR(INDEX(Lists!$R$2:$R$9,MATCH(TRIM($G245),Lists!$Q$2:$Q$9,0)),"UNMAPPED"),IFERROR(INDEX(Lists!$U$2:$U$21,MATCH(TRIM($J245),Lists!$T$2:$T$21,0)),IFERROR(INDEX(Lists!$R$2:$R$9,MATCH(TRIM($G245),Lists!$Q$2:$Q$9,0)),"UNMAPPED"))))))))</f>
        <v>TDD Group Functions</v>
      </c>
      <c r="AI245" s="534" t="b">
        <f>IF(TRIM($B245)="","",--OR(TRIM($L245)="Leadership",TRIM($K245)="Leadership"))</f>
        <v>0</v>
      </c>
      <c r="AJ245" s="534" t="str">
        <f>IF(TRIM($B245)="","",IF(COUNTIFS(Lists!$AN$2:$AN$22,TRIM($B245)&amp;" | "&amp;TRIM($D245),Lists!$AP$2:$AP$22,"&lt;&gt;"),INDEX(Lists!$AP$2:$AP$22,MATCH(TRIM($B245)&amp;" | "&amp;TRIM($D245),Lists!$AN$2:$AN$22,0)),IF($AI245=1,"Leadership",IFERROR(INDEX(Lists!$X$2:$X$21,MATCH(TRIM($L245),Lists!$W$2:$W$21,0)),IF(OR(TRIM($L245)="",LOWER(TRIM($L245))="na"),IF(TRIM($H245)="","Unassigned",TRIM($H245)),TRIM($L245))))))</f>
        <v>Cloud, Network &amp; Infra Ops</v>
      </c>
      <c r="AK245" s="534" t="str">
        <f>IF(TRIM($B245)="","",IF(COUNTIFS(Lists!$AN$2:$AN$22,TRIM($B245)&amp;" | "&amp;TRIM($D245),Lists!$AQ$2:$AQ$22,"&lt;&gt;"),INDEX(Lists!$AQ$2:$AQ$22,MATCH(TRIM($B245)&amp;" | "&amp;TRIM($D245),Lists!$AN$2:$AN$22,0)),IF(COUNTIF(Lists!$AF$2:$AF$8,$AJ245),$AJ245,IF(ISNUMBER(SEARCH("head of ",$D245)),"Head of Technology",IF(ISNUMBER(SEARCH("TDD BP",$D245)),"Business Partner",IF(OR(ISNUMBER(SEARCH("domain architect",$D245)),ISNUMBER(SEARCH("enterprise architect",$D245))),"Domain Architect",IF(ISNUMBER(SEARCH("delivery man",$D245)),"Delivery Manager",IF(OR(ISNUMBER(SEARCH("technology manager",$D245)),ISNUMBER(SEARCH("technology manger",$D245)),ISNUMBER(SEARCH("tech manager",$D245))),"Technology Manager","Squad"))))))))</f>
        <v>Squad</v>
      </c>
      <c r="AL245" s="534" t="str">
        <f>IF(TRIM($B245)="","",IF(AND($AM245=1,LEFT($AJ245,4)&lt;&gt;"EGI ",$AJ245&lt;&gt;"EGI"),IFERROR(INDEX(Lists!$Z$2:$Z$20,MATCH($AH245,Lists!$Y$2:$Y$20,0)),"EGI "&amp;$AH245),IF(COUNTIF(Lists!$AU$2:$AU$10,$AJ245),$AJ245,IF(OR(LEFT($AH245,3)="COE",$AH245="EGI"),$AJ245,IF($AK245&lt;&gt;"Squad",$AK245,$AJ245)))))</f>
        <v>Cloud, Network &amp; Infra Ops</v>
      </c>
      <c r="AM245" s="534" t="b">
        <f>IF(TRIM($B245)="","",--(UPPER(TRIM($K245))="EGI"))</f>
        <v>0</v>
      </c>
      <c r="AQ245" s="841" t="inlineStr">
        <is>
          <t>R0244</t>
        </is>
      </c>
      <c r="AZ245" s="841" t="n"/>
    </row>
    <row r="246" ht="18" customHeight="1" s="535">
      <c r="A246" s="842" t="n">
        <v>113039</v>
      </c>
      <c r="B246" s="843" t="inlineStr">
        <is>
          <t>Anusha Viswanatha</t>
        </is>
      </c>
      <c r="C246" s="842" t="n">
        <v>113039</v>
      </c>
      <c r="D246" s="843" t="inlineStr">
        <is>
          <t>Delivery Lead</t>
        </is>
      </c>
      <c r="E246" s="843" t="inlineStr">
        <is>
          <t>Vacant</t>
        </is>
      </c>
      <c r="F246" s="843" t="inlineStr">
        <is>
          <t>Technology Manager, Data</t>
        </is>
      </c>
      <c r="G246" s="844" t="inlineStr">
        <is>
          <t>TDD CFE&amp;I</t>
        </is>
      </c>
      <c r="H246" s="843" t="inlineStr">
        <is>
          <t>Commercial Fuels</t>
        </is>
      </c>
      <c r="I246" s="843" t="inlineStr">
        <is>
          <t>Technology, T&amp;S Data</t>
        </is>
      </c>
      <c r="J246" s="843" t="inlineStr">
        <is>
          <t>Commercial Fuels</t>
        </is>
      </c>
      <c r="K246" s="843" t="inlineStr">
        <is>
          <t>Trading &amp; Shipping</t>
        </is>
      </c>
      <c r="L246" s="843" t="inlineStr">
        <is>
          <t>Trading &amp; Shipping Data</t>
        </is>
      </c>
      <c r="M246" s="843" t="n"/>
      <c r="N246" s="845" t="inlineStr">
        <is>
          <t>Singapore</t>
        </is>
      </c>
      <c r="O246" s="846" t="inlineStr">
        <is>
          <t>CIC</t>
        </is>
      </c>
      <c r="P246" s="847" t="n">
        <v>1</v>
      </c>
      <c r="Q246" s="860" t="n"/>
      <c r="R246" s="847" t="inlineStr">
        <is>
          <t>Temporary - Full Time</t>
        </is>
      </c>
      <c r="S246" s="847" t="n"/>
      <c r="T246" s="847" t="n"/>
      <c r="U246" s="848" t="n">
        <v>160000</v>
      </c>
      <c r="V246" s="849" t="n">
        <v>193600</v>
      </c>
      <c r="W246" s="850" t="n">
        <v>0.25</v>
      </c>
      <c r="X246" s="847" t="n"/>
      <c r="Y246" s="850" t="n">
        <v>0.17</v>
      </c>
      <c r="Z246" s="851" t="n">
        <v>3310</v>
      </c>
      <c r="AA246" s="850" t="n">
        <v>0.045</v>
      </c>
      <c r="AB246" s="852" t="n">
        <v>286934</v>
      </c>
      <c r="AE246" s="534">
        <f>IF(TRIM($B246)="","",IF(AND(N($P246)&gt;0,N($P246)&lt;1),N($AB246)*N($P246),N($AB246)))</f>
        <v>286934</v>
      </c>
      <c r="AF246" s="534" t="str">
        <f>IF(TRIM($B246)="","",IF(OR(ISNUMBER(SEARCH("vacant",$B246)),ISNUMBER(SEARCH("ring fenced",$B246)),LOWER(TRIM($B246))="remove"),"Vacant","Filled"))</f>
        <v>Filled</v>
      </c>
      <c r="AG246" s="534" t="b">
        <f>IF(TRIM($B246)="","",--ISNUMBER(SEARCH("ring fenced",$B246)))</f>
        <v>0</v>
      </c>
      <c r="AH246" s="534" t="str">
        <f>IF(TRIM($B246)="","",IF(COUNTIFS(Lists!$AN$2:$AN$22,TRIM($B246)&amp;" | "&amp;TRIM($D246),Lists!$AO$2:$AO$22,"&lt;&gt;"),INDEX(Lists!$AO$2:$AO$22,MATCH(TRIM($B246)&amp;" | "&amp;TRIM($D246),Lists!$AN$2:$AN$22,0)),IF(COUNTIF(Lists!$AR$2:$AR$3,$AJ246),"TDD Cyber",IF(AND(LEFT($AJ246,4)="EGI ",ISNUMBER(MATCH(TRIM(MID($AJ246,5,99)),Lists!$AS$2:$AS$12,0))),TRIM(MID($AJ246,5,99)),IF(AND(LEFT($AJ246,4)="EGI ",ISNUMBER(MATCH(TRIM(MID($AJ246,5,99)),Lists!$T$2:$T$21,0))),INDEX(Lists!$U$2:$U$21,MATCH(TRIM(MID($AJ246,5,99)),Lists!$T$2:$T$21,0)),IF(OR(TRIM($J246)="",UPPER(TRIM($J246))="NA"),IFERROR(INDEX(Lists!$R$2:$R$9,MATCH(TRIM($G246),Lists!$Q$2:$Q$9,0)),"UNMAPPED"),IFERROR(INDEX(Lists!$U$2:$U$21,MATCH(TRIM($J246),Lists!$T$2:$T$21,0)),IFERROR(INDEX(Lists!$R$2:$R$9,MATCH(TRIM($G246),Lists!$Q$2:$Q$9,0)),"UNMAPPED"))))))))</f>
        <v>Commercial Fuels</v>
      </c>
      <c r="AI246" s="534" t="b">
        <f>IF(TRIM($B246)="","",--OR(TRIM($L246)="Leadership",TRIM($K246)="Leadership"))</f>
        <v>0</v>
      </c>
      <c r="AJ246" s="534" t="str">
        <f>IF(TRIM($B246)="","",IF(COUNTIFS(Lists!$AN$2:$AN$22,TRIM($B246)&amp;" | "&amp;TRIM($D246),Lists!$AP$2:$AP$22,"&lt;&gt;"),INDEX(Lists!$AP$2:$AP$22,MATCH(TRIM($B246)&amp;" | "&amp;TRIM($D246),Lists!$AN$2:$AN$22,0)),IF($AI246=1,"Leadership",IFERROR(INDEX(Lists!$X$2:$X$21,MATCH(TRIM($L246),Lists!$W$2:$W$21,0)),IF(OR(TRIM($L246)="",LOWER(TRIM($L246))="na"),IF(TRIM($H246)="","Unassigned",TRIM($H246)),TRIM($L246))))))</f>
        <v>Trading &amp; Shipping Data</v>
      </c>
      <c r="AK246" s="534" t="str">
        <f>IF(TRIM($B246)="","",IF(COUNTIFS(Lists!$AN$2:$AN$22,TRIM($B246)&amp;" | "&amp;TRIM($D246),Lists!$AQ$2:$AQ$22,"&lt;&gt;"),INDEX(Lists!$AQ$2:$AQ$22,MATCH(TRIM($B246)&amp;" | "&amp;TRIM($D246),Lists!$AN$2:$AN$22,0)),IF(COUNTIF(Lists!$AF$2:$AF$8,$AJ246),$AJ246,IF(ISNUMBER(SEARCH("head of ",$D246)),"Head of Technology",IF(ISNUMBER(SEARCH("TDD BP",$D246)),"Business Partner",IF(OR(ISNUMBER(SEARCH("domain architect",$D246)),ISNUMBER(SEARCH("enterprise architect",$D246))),"Domain Architect",IF(ISNUMBER(SEARCH("delivery man",$D246)),"Delivery Manager",IF(OR(ISNUMBER(SEARCH("technology manager",$D246)),ISNUMBER(SEARCH("technology manger",$D246)),ISNUMBER(SEARCH("tech manager",$D246))),"Technology Manager","Squad"))))))))</f>
        <v>Squad</v>
      </c>
      <c r="AL246" s="534" t="str">
        <f>IF(TRIM($B246)="","",IF(AND($AM246=1,LEFT($AJ246,4)&lt;&gt;"EGI ",$AJ246&lt;&gt;"EGI"),IFERROR(INDEX(Lists!$Z$2:$Z$20,MATCH($AH246,Lists!$Y$2:$Y$20,0)),"EGI "&amp;$AH246),IF(COUNTIF(Lists!$AU$2:$AU$10,$AJ246),$AJ246,IF(OR(LEFT($AH246,3)="COE",$AH246="EGI"),$AJ246,IF($AK246&lt;&gt;"Squad",$AK246,$AJ246)))))</f>
        <v>Trading &amp; Shipping Data</v>
      </c>
      <c r="AM246" s="534" t="b">
        <f>IF(TRIM($B246)="","",--(UPPER(TRIM($K246))="EGI"))</f>
        <v>0</v>
      </c>
      <c r="AQ246" s="841" t="inlineStr">
        <is>
          <t>R0245</t>
        </is>
      </c>
      <c r="AZ246" s="841" t="n"/>
    </row>
    <row r="247" ht="18" customHeight="1" s="535">
      <c r="A247" s="842" t="n">
        <v>115847</v>
      </c>
      <c r="B247" s="843" t="inlineStr">
        <is>
          <t>Jonathan Wong</t>
        </is>
      </c>
      <c r="C247" s="842" t="n">
        <v>115847</v>
      </c>
      <c r="D247" s="843" t="inlineStr">
        <is>
          <t>Senior Business Analyst</t>
        </is>
      </c>
      <c r="E247" s="843" t="inlineStr">
        <is>
          <t>Vacant</t>
        </is>
      </c>
      <c r="F247" s="843" t="inlineStr">
        <is>
          <t>Technology Manager, Data</t>
        </is>
      </c>
      <c r="G247" s="844" t="inlineStr">
        <is>
          <t>TDD CFE&amp;I</t>
        </is>
      </c>
      <c r="H247" s="843" t="inlineStr">
        <is>
          <t>Commercial Fuels</t>
        </is>
      </c>
      <c r="I247" s="843" t="inlineStr">
        <is>
          <t>Technology, T&amp;S Data</t>
        </is>
      </c>
      <c r="J247" s="843" t="inlineStr">
        <is>
          <t>Commercial Fuels</t>
        </is>
      </c>
      <c r="K247" s="843" t="inlineStr">
        <is>
          <t>Trading &amp; Shipping</t>
        </is>
      </c>
      <c r="L247" s="843" t="inlineStr">
        <is>
          <t>Trading &amp; Shipping Data</t>
        </is>
      </c>
      <c r="M247" s="843" t="n"/>
      <c r="N247" s="845" t="inlineStr">
        <is>
          <t>Singapore</t>
        </is>
      </c>
      <c r="O247" s="846" t="inlineStr">
        <is>
          <t>CIC</t>
        </is>
      </c>
      <c r="P247" s="847" t="n">
        <v>1</v>
      </c>
      <c r="Q247" s="860" t="n"/>
      <c r="R247" s="847" t="inlineStr">
        <is>
          <t>Permanent - Full Time</t>
        </is>
      </c>
      <c r="S247" s="847" t="n"/>
      <c r="T247" s="847" t="n"/>
      <c r="U247" s="848" t="n">
        <v>180000</v>
      </c>
      <c r="V247" s="849" t="n">
        <v>217800</v>
      </c>
      <c r="W247" s="850" t="n">
        <v>0.25</v>
      </c>
      <c r="X247" s="847" t="n"/>
      <c r="Y247" s="850" t="n">
        <v>0.17</v>
      </c>
      <c r="Z247" s="851" t="n">
        <v>3310</v>
      </c>
      <c r="AA247" s="850" t="n">
        <v>0.045</v>
      </c>
      <c r="AB247" s="852" t="n">
        <v>322387</v>
      </c>
      <c r="AE247" s="534">
        <f>IF(TRIM($B247)="","",IF(AND(N($P247)&gt;0,N($P247)&lt;1),N($AB247)*N($P247),N($AB247)))</f>
        <v>322387</v>
      </c>
      <c r="AF247" s="534" t="str">
        <f>IF(TRIM($B247)="","",IF(OR(ISNUMBER(SEARCH("vacant",$B247)),ISNUMBER(SEARCH("ring fenced",$B247)),LOWER(TRIM($B247))="remove"),"Vacant","Filled"))</f>
        <v>Filled</v>
      </c>
      <c r="AG247" s="534" t="b">
        <f>IF(TRIM($B247)="","",--ISNUMBER(SEARCH("ring fenced",$B247)))</f>
        <v>0</v>
      </c>
      <c r="AH247" s="534" t="str">
        <f>IF(TRIM($B247)="","",IF(COUNTIFS(Lists!$AN$2:$AN$22,TRIM($B247)&amp;" | "&amp;TRIM($D247),Lists!$AO$2:$AO$22,"&lt;&gt;"),INDEX(Lists!$AO$2:$AO$22,MATCH(TRIM($B247)&amp;" | "&amp;TRIM($D247),Lists!$AN$2:$AN$22,0)),IF(COUNTIF(Lists!$AR$2:$AR$3,$AJ247),"TDD Cyber",IF(AND(LEFT($AJ247,4)="EGI ",ISNUMBER(MATCH(TRIM(MID($AJ247,5,99)),Lists!$AS$2:$AS$12,0))),TRIM(MID($AJ247,5,99)),IF(AND(LEFT($AJ247,4)="EGI ",ISNUMBER(MATCH(TRIM(MID($AJ247,5,99)),Lists!$T$2:$T$21,0))),INDEX(Lists!$U$2:$U$21,MATCH(TRIM(MID($AJ247,5,99)),Lists!$T$2:$T$21,0)),IF(OR(TRIM($J247)="",UPPER(TRIM($J247))="NA"),IFERROR(INDEX(Lists!$R$2:$R$9,MATCH(TRIM($G247),Lists!$Q$2:$Q$9,0)),"UNMAPPED"),IFERROR(INDEX(Lists!$U$2:$U$21,MATCH(TRIM($J247),Lists!$T$2:$T$21,0)),IFERROR(INDEX(Lists!$R$2:$R$9,MATCH(TRIM($G247),Lists!$Q$2:$Q$9,0)),"UNMAPPED"))))))))</f>
        <v>Commercial Fuels</v>
      </c>
      <c r="AI247" s="534" t="b">
        <f>IF(TRIM($B247)="","",--OR(TRIM($L247)="Leadership",TRIM($K247)="Leadership"))</f>
        <v>0</v>
      </c>
      <c r="AJ247" s="534" t="str">
        <f>IF(TRIM($B247)="","",IF(COUNTIFS(Lists!$AN$2:$AN$22,TRIM($B247)&amp;" | "&amp;TRIM($D247),Lists!$AP$2:$AP$22,"&lt;&gt;"),INDEX(Lists!$AP$2:$AP$22,MATCH(TRIM($B247)&amp;" | "&amp;TRIM($D247),Lists!$AN$2:$AN$22,0)),IF($AI247=1,"Leadership",IFERROR(INDEX(Lists!$X$2:$X$21,MATCH(TRIM($L247),Lists!$W$2:$W$21,0)),IF(OR(TRIM($L247)="",LOWER(TRIM($L247))="na"),IF(TRIM($H247)="","Unassigned",TRIM($H247)),TRIM($L247))))))</f>
        <v>Trading &amp; Shipping Data</v>
      </c>
      <c r="AK247" s="534" t="str">
        <f>IF(TRIM($B247)="","",IF(COUNTIFS(Lists!$AN$2:$AN$22,TRIM($B247)&amp;" | "&amp;TRIM($D247),Lists!$AQ$2:$AQ$22,"&lt;&gt;"),INDEX(Lists!$AQ$2:$AQ$22,MATCH(TRIM($B247)&amp;" | "&amp;TRIM($D247),Lists!$AN$2:$AN$22,0)),IF(COUNTIF(Lists!$AF$2:$AF$8,$AJ247),$AJ247,IF(ISNUMBER(SEARCH("head of ",$D247)),"Head of Technology",IF(ISNUMBER(SEARCH("TDD BP",$D247)),"Business Partner",IF(OR(ISNUMBER(SEARCH("domain architect",$D247)),ISNUMBER(SEARCH("enterprise architect",$D247))),"Domain Architect",IF(ISNUMBER(SEARCH("delivery man",$D247)),"Delivery Manager",IF(OR(ISNUMBER(SEARCH("technology manager",$D247)),ISNUMBER(SEARCH("technology manger",$D247)),ISNUMBER(SEARCH("tech manager",$D247))),"Technology Manager","Squad"))))))))</f>
        <v>Squad</v>
      </c>
      <c r="AL247" s="534" t="str">
        <f>IF(TRIM($B247)="","",IF(AND($AM247=1,LEFT($AJ247,4)&lt;&gt;"EGI ",$AJ247&lt;&gt;"EGI"),IFERROR(INDEX(Lists!$Z$2:$Z$20,MATCH($AH247,Lists!$Y$2:$Y$20,0)),"EGI "&amp;$AH247),IF(COUNTIF(Lists!$AU$2:$AU$10,$AJ247),$AJ247,IF(OR(LEFT($AH247,3)="COE",$AH247="EGI"),$AJ247,IF($AK247&lt;&gt;"Squad",$AK247,$AJ247)))))</f>
        <v>Trading &amp; Shipping Data</v>
      </c>
      <c r="AM247" s="534" t="b">
        <f>IF(TRIM($B247)="","",--(UPPER(TRIM($K247))="EGI"))</f>
        <v>0</v>
      </c>
      <c r="AQ247" s="841" t="inlineStr">
        <is>
          <t>R0246</t>
        </is>
      </c>
      <c r="AZ247" s="841" t="n"/>
    </row>
    <row r="248" ht="18" customHeight="1" s="535">
      <c r="A248" s="842" t="n">
        <v>115723</v>
      </c>
      <c r="B248" s="843" t="inlineStr">
        <is>
          <t>Kumar Siva</t>
        </is>
      </c>
      <c r="C248" s="842" t="n">
        <v>115723</v>
      </c>
      <c r="D248" s="843" t="inlineStr">
        <is>
          <t>Lead engineer Data</t>
        </is>
      </c>
      <c r="E248" s="843" t="inlineStr">
        <is>
          <t>Vacant</t>
        </is>
      </c>
      <c r="F248" s="843" t="inlineStr">
        <is>
          <t>Technology Manager, Data</t>
        </is>
      </c>
      <c r="G248" s="844" t="inlineStr">
        <is>
          <t>TDD CFE&amp;I</t>
        </is>
      </c>
      <c r="H248" s="843" t="inlineStr">
        <is>
          <t>Commercial Fuels</t>
        </is>
      </c>
      <c r="I248" s="843" t="inlineStr">
        <is>
          <t>Technology, T&amp;S Data</t>
        </is>
      </c>
      <c r="J248" s="843" t="inlineStr">
        <is>
          <t>Commercial Fuels</t>
        </is>
      </c>
      <c r="K248" s="843" t="inlineStr">
        <is>
          <t>Trading &amp; Shipping</t>
        </is>
      </c>
      <c r="L248" s="843" t="inlineStr">
        <is>
          <t>Trading &amp; Shipping Data</t>
        </is>
      </c>
      <c r="M248" s="843" t="n"/>
      <c r="N248" s="845" t="inlineStr">
        <is>
          <t>Singapore</t>
        </is>
      </c>
      <c r="O248" s="846" t="inlineStr">
        <is>
          <t>CIC</t>
        </is>
      </c>
      <c r="P248" s="847" t="n">
        <v>1</v>
      </c>
      <c r="Q248" s="860" t="n"/>
      <c r="R248" s="847" t="inlineStr">
        <is>
          <t>Permanent - Full Time</t>
        </is>
      </c>
      <c r="S248" s="847" t="n"/>
      <c r="T248" s="847" t="n"/>
      <c r="U248" s="848" t="n">
        <v>210000</v>
      </c>
      <c r="V248" s="849" t="n">
        <v>254100</v>
      </c>
      <c r="W248" s="850" t="n">
        <v>0.25</v>
      </c>
      <c r="X248" s="847" t="n"/>
      <c r="Y248" s="850" t="n">
        <v>0.17</v>
      </c>
      <c r="Z248" s="851" t="n">
        <v>3310</v>
      </c>
      <c r="AA248" s="850" t="n">
        <v>0.045</v>
      </c>
      <c r="AB248" s="852" t="n">
        <v>375566.5</v>
      </c>
      <c r="AE248" s="534">
        <f>IF(TRIM($B248)="","",IF(AND(N($P248)&gt;0,N($P248)&lt;1),N($AB248)*N($P248),N($AB248)))</f>
        <v>375566.5</v>
      </c>
      <c r="AF248" s="534" t="str">
        <f>IF(TRIM($B248)="","",IF(OR(ISNUMBER(SEARCH("vacant",$B248)),ISNUMBER(SEARCH("ring fenced",$B248)),LOWER(TRIM($B248))="remove"),"Vacant","Filled"))</f>
        <v>Filled</v>
      </c>
      <c r="AG248" s="534" t="b">
        <f>IF(TRIM($B248)="","",--ISNUMBER(SEARCH("ring fenced",$B248)))</f>
        <v>0</v>
      </c>
      <c r="AH248" s="534" t="str">
        <f>IF(TRIM($B248)="","",IF(COUNTIFS(Lists!$AN$2:$AN$22,TRIM($B248)&amp;" | "&amp;TRIM($D248),Lists!$AO$2:$AO$22,"&lt;&gt;"),INDEX(Lists!$AO$2:$AO$22,MATCH(TRIM($B248)&amp;" | "&amp;TRIM($D248),Lists!$AN$2:$AN$22,0)),IF(COUNTIF(Lists!$AR$2:$AR$3,$AJ248),"TDD Cyber",IF(AND(LEFT($AJ248,4)="EGI ",ISNUMBER(MATCH(TRIM(MID($AJ248,5,99)),Lists!$AS$2:$AS$12,0))),TRIM(MID($AJ248,5,99)),IF(AND(LEFT($AJ248,4)="EGI ",ISNUMBER(MATCH(TRIM(MID($AJ248,5,99)),Lists!$T$2:$T$21,0))),INDEX(Lists!$U$2:$U$21,MATCH(TRIM(MID($AJ248,5,99)),Lists!$T$2:$T$21,0)),IF(OR(TRIM($J248)="",UPPER(TRIM($J248))="NA"),IFERROR(INDEX(Lists!$R$2:$R$9,MATCH(TRIM($G248),Lists!$Q$2:$Q$9,0)),"UNMAPPED"),IFERROR(INDEX(Lists!$U$2:$U$21,MATCH(TRIM($J248),Lists!$T$2:$T$21,0)),IFERROR(INDEX(Lists!$R$2:$R$9,MATCH(TRIM($G248),Lists!$Q$2:$Q$9,0)),"UNMAPPED"))))))))</f>
        <v>Commercial Fuels</v>
      </c>
      <c r="AI248" s="534" t="b">
        <f>IF(TRIM($B248)="","",--OR(TRIM($L248)="Leadership",TRIM($K248)="Leadership"))</f>
        <v>0</v>
      </c>
      <c r="AJ248" s="534" t="str">
        <f>IF(TRIM($B248)="","",IF(COUNTIFS(Lists!$AN$2:$AN$22,TRIM($B248)&amp;" | "&amp;TRIM($D248),Lists!$AP$2:$AP$22,"&lt;&gt;"),INDEX(Lists!$AP$2:$AP$22,MATCH(TRIM($B248)&amp;" | "&amp;TRIM($D248),Lists!$AN$2:$AN$22,0)),IF($AI248=1,"Leadership",IFERROR(INDEX(Lists!$X$2:$X$21,MATCH(TRIM($L248),Lists!$W$2:$W$21,0)),IF(OR(TRIM($L248)="",LOWER(TRIM($L248))="na"),IF(TRIM($H248)="","Unassigned",TRIM($H248)),TRIM($L248))))))</f>
        <v>Trading &amp; Shipping Data</v>
      </c>
      <c r="AK248" s="534" t="str">
        <f>IF(TRIM($B248)="","",IF(COUNTIFS(Lists!$AN$2:$AN$22,TRIM($B248)&amp;" | "&amp;TRIM($D248),Lists!$AQ$2:$AQ$22,"&lt;&gt;"),INDEX(Lists!$AQ$2:$AQ$22,MATCH(TRIM($B248)&amp;" | "&amp;TRIM($D248),Lists!$AN$2:$AN$22,0)),IF(COUNTIF(Lists!$AF$2:$AF$8,$AJ248),$AJ248,IF(ISNUMBER(SEARCH("head of ",$D248)),"Head of Technology",IF(ISNUMBER(SEARCH("TDD BP",$D248)),"Business Partner",IF(OR(ISNUMBER(SEARCH("domain architect",$D248)),ISNUMBER(SEARCH("enterprise architect",$D248))),"Domain Architect",IF(ISNUMBER(SEARCH("delivery man",$D248)),"Delivery Manager",IF(OR(ISNUMBER(SEARCH("technology manager",$D248)),ISNUMBER(SEARCH("technology manger",$D248)),ISNUMBER(SEARCH("tech manager",$D248))),"Technology Manager","Squad"))))))))</f>
        <v>Squad</v>
      </c>
      <c r="AL248" s="534" t="str">
        <f>IF(TRIM($B248)="","",IF(AND($AM248=1,LEFT($AJ248,4)&lt;&gt;"EGI ",$AJ248&lt;&gt;"EGI"),IFERROR(INDEX(Lists!$Z$2:$Z$20,MATCH($AH248,Lists!$Y$2:$Y$20,0)),"EGI "&amp;$AH248),IF(COUNTIF(Lists!$AU$2:$AU$10,$AJ248),$AJ248,IF(OR(LEFT($AH248,3)="COE",$AH248="EGI"),$AJ248,IF($AK248&lt;&gt;"Squad",$AK248,$AJ248)))))</f>
        <v>Trading &amp; Shipping Data</v>
      </c>
      <c r="AM248" s="534" t="b">
        <f>IF(TRIM($B248)="","",--(UPPER(TRIM($K248))="EGI"))</f>
        <v>0</v>
      </c>
      <c r="AQ248" s="841" t="inlineStr">
        <is>
          <t>R0247</t>
        </is>
      </c>
      <c r="AZ248" s="841" t="n"/>
    </row>
    <row r="249" ht="18" customHeight="1" s="535">
      <c r="A249" s="842" t="n">
        <v>110185</v>
      </c>
      <c r="B249" s="843" t="inlineStr">
        <is>
          <t>Soumya Choudhury</t>
        </is>
      </c>
      <c r="C249" s="842" t="n">
        <v>110185</v>
      </c>
      <c r="D249" s="843" t="inlineStr">
        <is>
          <t xml:space="preserve">Data Application Specialist </t>
        </is>
      </c>
      <c r="E249" s="843" t="inlineStr">
        <is>
          <t>Vacant</t>
        </is>
      </c>
      <c r="F249" s="843" t="inlineStr">
        <is>
          <t>Technology Manager, Data</t>
        </is>
      </c>
      <c r="G249" s="844" t="inlineStr">
        <is>
          <t>TDD CFE&amp;I</t>
        </is>
      </c>
      <c r="H249" s="843" t="inlineStr">
        <is>
          <t>Commercial Fuels</t>
        </is>
      </c>
      <c r="I249" s="843" t="inlineStr">
        <is>
          <t>Technology, T&amp;S Data</t>
        </is>
      </c>
      <c r="J249" s="843" t="inlineStr">
        <is>
          <t>Commercial Fuels</t>
        </is>
      </c>
      <c r="K249" s="843" t="inlineStr">
        <is>
          <t>Trading &amp; Shipping</t>
        </is>
      </c>
      <c r="L249" s="843" t="inlineStr">
        <is>
          <t>Trading &amp; Shipping Data</t>
        </is>
      </c>
      <c r="M249" s="843" t="n"/>
      <c r="N249" s="845" t="inlineStr">
        <is>
          <t>Singapore</t>
        </is>
      </c>
      <c r="O249" s="846" t="inlineStr">
        <is>
          <t>CIC</t>
        </is>
      </c>
      <c r="P249" s="847" t="n">
        <v>1</v>
      </c>
      <c r="Q249" s="860" t="n"/>
      <c r="R249" s="847" t="inlineStr">
        <is>
          <t>Permanent - Full Time</t>
        </is>
      </c>
      <c r="S249" s="847" t="n"/>
      <c r="T249" s="847" t="n"/>
      <c r="U249" s="848" t="n">
        <v>181860</v>
      </c>
      <c r="V249" s="849" t="n">
        <v>220050.6</v>
      </c>
      <c r="W249" s="850" t="n">
        <v>0.25</v>
      </c>
      <c r="X249" s="847" t="n"/>
      <c r="Y249" s="850" t="n">
        <v>0.17</v>
      </c>
      <c r="Z249" s="851" t="n">
        <v>3310</v>
      </c>
      <c r="AA249" s="850" t="n">
        <v>0.045</v>
      </c>
      <c r="AB249" s="852" t="n">
        <v>325684.129</v>
      </c>
      <c r="AE249" s="534">
        <f>IF(TRIM($B249)="","",IF(AND(N($P249)&gt;0,N($P249)&lt;1),N($AB249)*N($P249),N($AB249)))</f>
        <v>325684.129</v>
      </c>
      <c r="AF249" s="534" t="str">
        <f>IF(TRIM($B249)="","",IF(OR(ISNUMBER(SEARCH("vacant",$B249)),ISNUMBER(SEARCH("ring fenced",$B249)),LOWER(TRIM($B249))="remove"),"Vacant","Filled"))</f>
        <v>Filled</v>
      </c>
      <c r="AG249" s="534" t="b">
        <f>IF(TRIM($B249)="","",--ISNUMBER(SEARCH("ring fenced",$B249)))</f>
        <v>0</v>
      </c>
      <c r="AH249" s="534" t="str">
        <f>IF(TRIM($B249)="","",IF(COUNTIFS(Lists!$AN$2:$AN$22,TRIM($B249)&amp;" | "&amp;TRIM($D249),Lists!$AO$2:$AO$22,"&lt;&gt;"),INDEX(Lists!$AO$2:$AO$22,MATCH(TRIM($B249)&amp;" | "&amp;TRIM($D249),Lists!$AN$2:$AN$22,0)),IF(COUNTIF(Lists!$AR$2:$AR$3,$AJ249),"TDD Cyber",IF(AND(LEFT($AJ249,4)="EGI ",ISNUMBER(MATCH(TRIM(MID($AJ249,5,99)),Lists!$AS$2:$AS$12,0))),TRIM(MID($AJ249,5,99)),IF(AND(LEFT($AJ249,4)="EGI ",ISNUMBER(MATCH(TRIM(MID($AJ249,5,99)),Lists!$T$2:$T$21,0))),INDEX(Lists!$U$2:$U$21,MATCH(TRIM(MID($AJ249,5,99)),Lists!$T$2:$T$21,0)),IF(OR(TRIM($J249)="",UPPER(TRIM($J249))="NA"),IFERROR(INDEX(Lists!$R$2:$R$9,MATCH(TRIM($G249),Lists!$Q$2:$Q$9,0)),"UNMAPPED"),IFERROR(INDEX(Lists!$U$2:$U$21,MATCH(TRIM($J249),Lists!$T$2:$T$21,0)),IFERROR(INDEX(Lists!$R$2:$R$9,MATCH(TRIM($G249),Lists!$Q$2:$Q$9,0)),"UNMAPPED"))))))))</f>
        <v>Commercial Fuels</v>
      </c>
      <c r="AI249" s="534" t="b">
        <f>IF(TRIM($B249)="","",--OR(TRIM($L249)="Leadership",TRIM($K249)="Leadership"))</f>
        <v>0</v>
      </c>
      <c r="AJ249" s="534" t="str">
        <f>IF(TRIM($B249)="","",IF(COUNTIFS(Lists!$AN$2:$AN$22,TRIM($B249)&amp;" | "&amp;TRIM($D249),Lists!$AP$2:$AP$22,"&lt;&gt;"),INDEX(Lists!$AP$2:$AP$22,MATCH(TRIM($B249)&amp;" | "&amp;TRIM($D249),Lists!$AN$2:$AN$22,0)),IF($AI249=1,"Leadership",IFERROR(INDEX(Lists!$X$2:$X$21,MATCH(TRIM($L249),Lists!$W$2:$W$21,0)),IF(OR(TRIM($L249)="",LOWER(TRIM($L249))="na"),IF(TRIM($H249)="","Unassigned",TRIM($H249)),TRIM($L249))))))</f>
        <v>Trading &amp; Shipping Data</v>
      </c>
      <c r="AK249" s="534" t="str">
        <f>IF(TRIM($B249)="","",IF(COUNTIFS(Lists!$AN$2:$AN$22,TRIM($B249)&amp;" | "&amp;TRIM($D249),Lists!$AQ$2:$AQ$22,"&lt;&gt;"),INDEX(Lists!$AQ$2:$AQ$22,MATCH(TRIM($B249)&amp;" | "&amp;TRIM($D249),Lists!$AN$2:$AN$22,0)),IF(COUNTIF(Lists!$AF$2:$AF$8,$AJ249),$AJ249,IF(ISNUMBER(SEARCH("head of ",$D249)),"Head of Technology",IF(ISNUMBER(SEARCH("TDD BP",$D249)),"Business Partner",IF(OR(ISNUMBER(SEARCH("domain architect",$D249)),ISNUMBER(SEARCH("enterprise architect",$D249))),"Domain Architect",IF(ISNUMBER(SEARCH("delivery man",$D249)),"Delivery Manager",IF(OR(ISNUMBER(SEARCH("technology manager",$D249)),ISNUMBER(SEARCH("technology manger",$D249)),ISNUMBER(SEARCH("tech manager",$D249))),"Technology Manager","Squad"))))))))</f>
        <v>Squad</v>
      </c>
      <c r="AL249" s="534" t="str">
        <f>IF(TRIM($B249)="","",IF(AND($AM249=1,LEFT($AJ249,4)&lt;&gt;"EGI ",$AJ249&lt;&gt;"EGI"),IFERROR(INDEX(Lists!$Z$2:$Z$20,MATCH($AH249,Lists!$Y$2:$Y$20,0)),"EGI "&amp;$AH249),IF(COUNTIF(Lists!$AU$2:$AU$10,$AJ249),$AJ249,IF(OR(LEFT($AH249,3)="COE",$AH249="EGI"),$AJ249,IF($AK249&lt;&gt;"Squad",$AK249,$AJ249)))))</f>
        <v>Trading &amp; Shipping Data</v>
      </c>
      <c r="AM249" s="534" t="b">
        <f>IF(TRIM($B249)="","",--(UPPER(TRIM($K249))="EGI"))</f>
        <v>0</v>
      </c>
      <c r="AQ249" s="841" t="inlineStr">
        <is>
          <t>R0248</t>
        </is>
      </c>
      <c r="AZ249" s="841" t="n"/>
    </row>
    <row r="250" ht="18" customHeight="1" s="535">
      <c r="A250" s="842" t="n">
        <v>97284</v>
      </c>
      <c r="B250" s="843" t="inlineStr">
        <is>
          <t>Byron Leung</t>
        </is>
      </c>
      <c r="C250" s="842" t="n">
        <v>97284</v>
      </c>
      <c r="D250" s="843" t="inlineStr">
        <is>
          <t>Solution Architect</t>
        </is>
      </c>
      <c r="E250" s="843" t="inlineStr">
        <is>
          <t>Vacant</t>
        </is>
      </c>
      <c r="F250" s="843" t="inlineStr">
        <is>
          <t>Technology Manager, Engineering</t>
        </is>
      </c>
      <c r="G250" s="844" t="inlineStr">
        <is>
          <t>TDD CFE&amp;I</t>
        </is>
      </c>
      <c r="H250" s="843" t="inlineStr">
        <is>
          <t>Commercial Fuels</t>
        </is>
      </c>
      <c r="I250" s="843" t="inlineStr">
        <is>
          <t>Technology, CF Engineering</t>
        </is>
      </c>
      <c r="J250" s="843" t="inlineStr">
        <is>
          <t>Commercial Fuels</t>
        </is>
      </c>
      <c r="K250" s="843" t="inlineStr">
        <is>
          <t>CTRM</t>
        </is>
      </c>
      <c r="L250" s="843" t="inlineStr">
        <is>
          <t>CTRM</t>
        </is>
      </c>
      <c r="M250" s="843" t="n"/>
      <c r="N250" s="845" t="inlineStr">
        <is>
          <t>Australia</t>
        </is>
      </c>
      <c r="O250" s="846" t="inlineStr">
        <is>
          <t>CIC</t>
        </is>
      </c>
      <c r="P250" s="847" t="n">
        <v>1</v>
      </c>
      <c r="Q250" s="861" t="n"/>
      <c r="R250" s="847" t="inlineStr">
        <is>
          <t>Permanent - Full Time</t>
        </is>
      </c>
      <c r="S250" s="847" t="n"/>
      <c r="T250" s="847" t="n"/>
      <c r="U250" s="848" t="n">
        <v>207470</v>
      </c>
      <c r="V250" s="849" t="n">
        <v>207470</v>
      </c>
      <c r="W250" s="850" t="n">
        <v>0.12</v>
      </c>
      <c r="X250" s="847" t="n">
        <v>0.055</v>
      </c>
      <c r="Y250" s="850" t="n">
        <v>0.12</v>
      </c>
      <c r="Z250" s="851" t="n"/>
      <c r="AA250" s="850" t="n">
        <v>0.04</v>
      </c>
      <c r="AB250" s="852" t="n">
        <v>276972.45</v>
      </c>
      <c r="AE250" s="534">
        <f>IF(TRIM($B250)="","",IF(AND(N($P250)&gt;0,N($P250)&lt;1),N($AB250)*N($P250),N($AB250)))</f>
        <v>276972.45</v>
      </c>
      <c r="AF250" s="534" t="str">
        <f>IF(TRIM($B250)="","",IF(OR(ISNUMBER(SEARCH("vacant",$B250)),ISNUMBER(SEARCH("ring fenced",$B250)),LOWER(TRIM($B250))="remove"),"Vacant","Filled"))</f>
        <v>Filled</v>
      </c>
      <c r="AG250" s="534" t="b">
        <f>IF(TRIM($B250)="","",--ISNUMBER(SEARCH("ring fenced",$B250)))</f>
        <v>0</v>
      </c>
      <c r="AH250" s="534" t="str">
        <f>IF(TRIM($B250)="","",IF(COUNTIFS(Lists!$AN$2:$AN$22,TRIM($B250)&amp;" | "&amp;TRIM($D250),Lists!$AO$2:$AO$22,"&lt;&gt;"),INDEX(Lists!$AO$2:$AO$22,MATCH(TRIM($B250)&amp;" | "&amp;TRIM($D250),Lists!$AN$2:$AN$22,0)),IF(COUNTIF(Lists!$AR$2:$AR$3,$AJ250),"TDD Cyber",IF(AND(LEFT($AJ250,4)="EGI ",ISNUMBER(MATCH(TRIM(MID($AJ250,5,99)),Lists!$AS$2:$AS$12,0))),TRIM(MID($AJ250,5,99)),IF(AND(LEFT($AJ250,4)="EGI ",ISNUMBER(MATCH(TRIM(MID($AJ250,5,99)),Lists!$T$2:$T$21,0))),INDEX(Lists!$U$2:$U$21,MATCH(TRIM(MID($AJ250,5,99)),Lists!$T$2:$T$21,0)),IF(OR(TRIM($J250)="",UPPER(TRIM($J250))="NA"),IFERROR(INDEX(Lists!$R$2:$R$9,MATCH(TRIM($G250),Lists!$Q$2:$Q$9,0)),"UNMAPPED"),IFERROR(INDEX(Lists!$U$2:$U$21,MATCH(TRIM($J250),Lists!$T$2:$T$21,0)),IFERROR(INDEX(Lists!$R$2:$R$9,MATCH(TRIM($G250),Lists!$Q$2:$Q$9,0)),"UNMAPPED"))))))))</f>
        <v>Commercial Fuels</v>
      </c>
      <c r="AI250" s="534" t="b">
        <f>IF(TRIM($B250)="","",--OR(TRIM($L250)="Leadership",TRIM($K250)="Leadership"))</f>
        <v>0</v>
      </c>
      <c r="AJ250" s="534" t="str">
        <f>IF(TRIM($B250)="","",IF(COUNTIFS(Lists!$AN$2:$AN$22,TRIM($B250)&amp;" | "&amp;TRIM($D250),Lists!$AP$2:$AP$22,"&lt;&gt;"),INDEX(Lists!$AP$2:$AP$22,MATCH(TRIM($B250)&amp;" | "&amp;TRIM($D250),Lists!$AN$2:$AN$22,0)),IF($AI250=1,"Leadership",IFERROR(INDEX(Lists!$X$2:$X$21,MATCH(TRIM($L250),Lists!$W$2:$W$21,0)),IF(OR(TRIM($L250)="",LOWER(TRIM($L250))="na"),IF(TRIM($H250)="","Unassigned",TRIM($H250)),TRIM($L250))))))</f>
        <v>CTRM</v>
      </c>
      <c r="AK250" s="534" t="str">
        <f>IF(TRIM($B250)="","",IF(COUNTIFS(Lists!$AN$2:$AN$22,TRIM($B250)&amp;" | "&amp;TRIM($D250),Lists!$AQ$2:$AQ$22,"&lt;&gt;"),INDEX(Lists!$AQ$2:$AQ$22,MATCH(TRIM($B250)&amp;" | "&amp;TRIM($D250),Lists!$AN$2:$AN$22,0)),IF(COUNTIF(Lists!$AF$2:$AF$8,$AJ250),$AJ250,IF(ISNUMBER(SEARCH("head of ",$D250)),"Head of Technology",IF(ISNUMBER(SEARCH("TDD BP",$D250)),"Business Partner",IF(OR(ISNUMBER(SEARCH("domain architect",$D250)),ISNUMBER(SEARCH("enterprise architect",$D250))),"Domain Architect",IF(ISNUMBER(SEARCH("delivery man",$D250)),"Delivery Manager",IF(OR(ISNUMBER(SEARCH("technology manager",$D250)),ISNUMBER(SEARCH("technology manger",$D250)),ISNUMBER(SEARCH("tech manager",$D250))),"Technology Manager","Squad"))))))))</f>
        <v>Squad</v>
      </c>
      <c r="AL250" s="534" t="str">
        <f>IF(TRIM($B250)="","",IF(AND($AM250=1,LEFT($AJ250,4)&lt;&gt;"EGI ",$AJ250&lt;&gt;"EGI"),IFERROR(INDEX(Lists!$Z$2:$Z$20,MATCH($AH250,Lists!$Y$2:$Y$20,0)),"EGI "&amp;$AH250),IF(COUNTIF(Lists!$AU$2:$AU$10,$AJ250),$AJ250,IF(OR(LEFT($AH250,3)="COE",$AH250="EGI"),$AJ250,IF($AK250&lt;&gt;"Squad",$AK250,$AJ250)))))</f>
        <v>CTRM</v>
      </c>
      <c r="AM250" s="534" t="b">
        <f>IF(TRIM($B250)="","",--(UPPER(TRIM($K250))="EGI"))</f>
        <v>0</v>
      </c>
      <c r="AQ250" s="841" t="inlineStr">
        <is>
          <t>R0249</t>
        </is>
      </c>
      <c r="AZ250" s="841" t="n"/>
    </row>
    <row r="251" ht="18" customHeight="1" s="535">
      <c r="A251" s="842" t="n">
        <v>115506</v>
      </c>
      <c r="B251" s="843" t="inlineStr">
        <is>
          <t>Chantal Lynch</t>
        </is>
      </c>
      <c r="C251" s="842" t="n">
        <v>115506</v>
      </c>
      <c r="D251" s="843" t="inlineStr">
        <is>
          <t>Lead Quality Assurance</t>
        </is>
      </c>
      <c r="E251" s="843" t="inlineStr">
        <is>
          <t>Vacant</t>
        </is>
      </c>
      <c r="F251" s="843" t="inlineStr">
        <is>
          <t>Technology Manager, Engineering</t>
        </is>
      </c>
      <c r="G251" s="844" t="inlineStr">
        <is>
          <t>TDD CFE&amp;I</t>
        </is>
      </c>
      <c r="H251" s="843" t="inlineStr">
        <is>
          <t>Commercial Fuels</t>
        </is>
      </c>
      <c r="I251" s="843" t="inlineStr">
        <is>
          <t>Technology, CF Engineering</t>
        </is>
      </c>
      <c r="J251" s="843" t="inlineStr">
        <is>
          <t>Commercial Fuels</t>
        </is>
      </c>
      <c r="K251" s="843" t="inlineStr">
        <is>
          <t>CTRM</t>
        </is>
      </c>
      <c r="L251" s="843" t="inlineStr">
        <is>
          <t>CTRM</t>
        </is>
      </c>
      <c r="M251" s="843" t="n"/>
      <c r="N251" s="845" t="inlineStr">
        <is>
          <t>NZ</t>
        </is>
      </c>
      <c r="O251" s="846" t="inlineStr">
        <is>
          <t>CIC</t>
        </is>
      </c>
      <c r="P251" s="847" t="n">
        <v>1</v>
      </c>
      <c r="Q251" s="860" t="n"/>
      <c r="R251" s="847" t="inlineStr">
        <is>
          <t>Permanent - Full Time</t>
        </is>
      </c>
      <c r="S251" s="847" t="n"/>
      <c r="T251" s="847" t="n"/>
      <c r="U251" s="848" t="n">
        <v>157060</v>
      </c>
      <c r="V251" s="849" t="n">
        <v>144495.2</v>
      </c>
      <c r="W251" s="850" t="n">
        <v>0.15</v>
      </c>
      <c r="X251" s="847" t="n"/>
      <c r="Y251" s="850" t="n">
        <v>0.05</v>
      </c>
      <c r="Z251" s="851" t="n">
        <v>2910</v>
      </c>
      <c r="AA251" s="850" t="n">
        <v>0.03</v>
      </c>
      <c r="AB251" s="852" t="n">
        <v>180639.096</v>
      </c>
      <c r="AE251" s="534">
        <f>IF(TRIM($B251)="","",IF(AND(N($P251)&gt;0,N($P251)&lt;1),N($AB251)*N($P251),N($AB251)))</f>
        <v>180639.096</v>
      </c>
      <c r="AF251" s="534" t="str">
        <f>IF(TRIM($B251)="","",IF(OR(ISNUMBER(SEARCH("vacant",$B251)),ISNUMBER(SEARCH("ring fenced",$B251)),LOWER(TRIM($B251))="remove"),"Vacant","Filled"))</f>
        <v>Filled</v>
      </c>
      <c r="AG251" s="534" t="b">
        <f>IF(TRIM($B251)="","",--ISNUMBER(SEARCH("ring fenced",$B251)))</f>
        <v>0</v>
      </c>
      <c r="AH251" s="534" t="str">
        <f>IF(TRIM($B251)="","",IF(COUNTIFS(Lists!$AN$2:$AN$22,TRIM($B251)&amp;" | "&amp;TRIM($D251),Lists!$AO$2:$AO$22,"&lt;&gt;"),INDEX(Lists!$AO$2:$AO$22,MATCH(TRIM($B251)&amp;" | "&amp;TRIM($D251),Lists!$AN$2:$AN$22,0)),IF(COUNTIF(Lists!$AR$2:$AR$3,$AJ251),"TDD Cyber",IF(AND(LEFT($AJ251,4)="EGI ",ISNUMBER(MATCH(TRIM(MID($AJ251,5,99)),Lists!$AS$2:$AS$12,0))),TRIM(MID($AJ251,5,99)),IF(AND(LEFT($AJ251,4)="EGI ",ISNUMBER(MATCH(TRIM(MID($AJ251,5,99)),Lists!$T$2:$T$21,0))),INDEX(Lists!$U$2:$U$21,MATCH(TRIM(MID($AJ251,5,99)),Lists!$T$2:$T$21,0)),IF(OR(TRIM($J251)="",UPPER(TRIM($J251))="NA"),IFERROR(INDEX(Lists!$R$2:$R$9,MATCH(TRIM($G251),Lists!$Q$2:$Q$9,0)),"UNMAPPED"),IFERROR(INDEX(Lists!$U$2:$U$21,MATCH(TRIM($J251),Lists!$T$2:$T$21,0)),IFERROR(INDEX(Lists!$R$2:$R$9,MATCH(TRIM($G251),Lists!$Q$2:$Q$9,0)),"UNMAPPED"))))))))</f>
        <v>Commercial Fuels</v>
      </c>
      <c r="AI251" s="534" t="b">
        <f>IF(TRIM($B251)="","",--OR(TRIM($L251)="Leadership",TRIM($K251)="Leadership"))</f>
        <v>0</v>
      </c>
      <c r="AJ251" s="534" t="str">
        <f>IF(TRIM($B251)="","",IF(COUNTIFS(Lists!$AN$2:$AN$22,TRIM($B251)&amp;" | "&amp;TRIM($D251),Lists!$AP$2:$AP$22,"&lt;&gt;"),INDEX(Lists!$AP$2:$AP$22,MATCH(TRIM($B251)&amp;" | "&amp;TRIM($D251),Lists!$AN$2:$AN$22,0)),IF($AI251=1,"Leadership",IFERROR(INDEX(Lists!$X$2:$X$21,MATCH(TRIM($L251),Lists!$W$2:$W$21,0)),IF(OR(TRIM($L251)="",LOWER(TRIM($L251))="na"),IF(TRIM($H251)="","Unassigned",TRIM($H251)),TRIM($L251))))))</f>
        <v>CTRM</v>
      </c>
      <c r="AK251" s="534" t="str">
        <f>IF(TRIM($B251)="","",IF(COUNTIFS(Lists!$AN$2:$AN$22,TRIM($B251)&amp;" | "&amp;TRIM($D251),Lists!$AQ$2:$AQ$22,"&lt;&gt;"),INDEX(Lists!$AQ$2:$AQ$22,MATCH(TRIM($B251)&amp;" | "&amp;TRIM($D251),Lists!$AN$2:$AN$22,0)),IF(COUNTIF(Lists!$AF$2:$AF$8,$AJ251),$AJ251,IF(ISNUMBER(SEARCH("head of ",$D251)),"Head of Technology",IF(ISNUMBER(SEARCH("TDD BP",$D251)),"Business Partner",IF(OR(ISNUMBER(SEARCH("domain architect",$D251)),ISNUMBER(SEARCH("enterprise architect",$D251))),"Domain Architect",IF(ISNUMBER(SEARCH("delivery man",$D251)),"Delivery Manager",IF(OR(ISNUMBER(SEARCH("technology manager",$D251)),ISNUMBER(SEARCH("technology manger",$D251)),ISNUMBER(SEARCH("tech manager",$D251))),"Technology Manager","Squad"))))))))</f>
        <v>Squad</v>
      </c>
      <c r="AL251" s="534" t="str">
        <f>IF(TRIM($B251)="","",IF(AND($AM251=1,LEFT($AJ251,4)&lt;&gt;"EGI ",$AJ251&lt;&gt;"EGI"),IFERROR(INDEX(Lists!$Z$2:$Z$20,MATCH($AH251,Lists!$Y$2:$Y$20,0)),"EGI "&amp;$AH251),IF(COUNTIF(Lists!$AU$2:$AU$10,$AJ251),$AJ251,IF(OR(LEFT($AH251,3)="COE",$AH251="EGI"),$AJ251,IF($AK251&lt;&gt;"Squad",$AK251,$AJ251)))))</f>
        <v>CTRM</v>
      </c>
      <c r="AM251" s="534" t="b">
        <f>IF(TRIM($B251)="","",--(UPPER(TRIM($K251))="EGI"))</f>
        <v>0</v>
      </c>
      <c r="AQ251" s="841" t="inlineStr">
        <is>
          <t>R0250</t>
        </is>
      </c>
      <c r="AZ251" s="841" t="n"/>
    </row>
    <row r="252" ht="18" customHeight="1" s="535">
      <c r="A252" s="842" t="n">
        <v>114717</v>
      </c>
      <c r="B252" s="843" t="inlineStr">
        <is>
          <t>Fransiscus Setiawan</t>
        </is>
      </c>
      <c r="C252" s="842" t="n">
        <v>114717</v>
      </c>
      <c r="D252" s="843" t="inlineStr">
        <is>
          <t xml:space="preserve">Integration Architect   </t>
        </is>
      </c>
      <c r="E252" s="843" t="inlineStr">
        <is>
          <t>Vacant</t>
        </is>
      </c>
      <c r="F252" s="843" t="inlineStr">
        <is>
          <t>Technology Manager, Engineering</t>
        </is>
      </c>
      <c r="G252" s="844" t="inlineStr">
        <is>
          <t>TDD CFE&amp;I</t>
        </is>
      </c>
      <c r="H252" s="843" t="inlineStr">
        <is>
          <t>Commercial Fuels</t>
        </is>
      </c>
      <c r="I252" s="843" t="inlineStr">
        <is>
          <t>Technology, CF Engineering</t>
        </is>
      </c>
      <c r="J252" s="843" t="inlineStr">
        <is>
          <t>Commercial Fuels</t>
        </is>
      </c>
      <c r="K252" s="843" t="inlineStr">
        <is>
          <t>CTRM</t>
        </is>
      </c>
      <c r="L252" s="843" t="inlineStr">
        <is>
          <t>CTRM</t>
        </is>
      </c>
      <c r="M252" s="843" t="n"/>
      <c r="N252" s="845" t="inlineStr">
        <is>
          <t>Australia</t>
        </is>
      </c>
      <c r="O252" s="846" t="inlineStr">
        <is>
          <t>CIC</t>
        </is>
      </c>
      <c r="P252" s="847" t="n">
        <v>1</v>
      </c>
      <c r="Q252" s="860" t="n"/>
      <c r="R252" s="847" t="inlineStr">
        <is>
          <t>Permanent - Full Time</t>
        </is>
      </c>
      <c r="S252" s="847" t="n"/>
      <c r="T252" s="847" t="n"/>
      <c r="U252" s="848" t="n">
        <v>210000</v>
      </c>
      <c r="V252" s="849" t="n">
        <v>210000</v>
      </c>
      <c r="W252" s="850" t="n">
        <v>0.12</v>
      </c>
      <c r="X252" s="847" t="n">
        <v>0.055</v>
      </c>
      <c r="Y252" s="850" t="n">
        <v>0.12</v>
      </c>
      <c r="Z252" s="851" t="n"/>
      <c r="AA252" s="850" t="n">
        <v>0.04</v>
      </c>
      <c r="AB252" s="852" t="n">
        <v>280350</v>
      </c>
      <c r="AE252" s="534">
        <f>IF(TRIM($B252)="","",IF(AND(N($P252)&gt;0,N($P252)&lt;1),N($AB252)*N($P252),N($AB252)))</f>
        <v>280350</v>
      </c>
      <c r="AF252" s="534" t="str">
        <f>IF(TRIM($B252)="","",IF(OR(ISNUMBER(SEARCH("vacant",$B252)),ISNUMBER(SEARCH("ring fenced",$B252)),LOWER(TRIM($B252))="remove"),"Vacant","Filled"))</f>
        <v>Filled</v>
      </c>
      <c r="AG252" s="534" t="b">
        <f>IF(TRIM($B252)="","",--ISNUMBER(SEARCH("ring fenced",$B252)))</f>
        <v>0</v>
      </c>
      <c r="AH252" s="534" t="str">
        <f>IF(TRIM($B252)="","",IF(COUNTIFS(Lists!$AN$2:$AN$22,TRIM($B252)&amp;" | "&amp;TRIM($D252),Lists!$AO$2:$AO$22,"&lt;&gt;"),INDEX(Lists!$AO$2:$AO$22,MATCH(TRIM($B252)&amp;" | "&amp;TRIM($D252),Lists!$AN$2:$AN$22,0)),IF(COUNTIF(Lists!$AR$2:$AR$3,$AJ252),"TDD Cyber",IF(AND(LEFT($AJ252,4)="EGI ",ISNUMBER(MATCH(TRIM(MID($AJ252,5,99)),Lists!$AS$2:$AS$12,0))),TRIM(MID($AJ252,5,99)),IF(AND(LEFT($AJ252,4)="EGI ",ISNUMBER(MATCH(TRIM(MID($AJ252,5,99)),Lists!$T$2:$T$21,0))),INDEX(Lists!$U$2:$U$21,MATCH(TRIM(MID($AJ252,5,99)),Lists!$T$2:$T$21,0)),IF(OR(TRIM($J252)="",UPPER(TRIM($J252))="NA"),IFERROR(INDEX(Lists!$R$2:$R$9,MATCH(TRIM($G252),Lists!$Q$2:$Q$9,0)),"UNMAPPED"),IFERROR(INDEX(Lists!$U$2:$U$21,MATCH(TRIM($J252),Lists!$T$2:$T$21,0)),IFERROR(INDEX(Lists!$R$2:$R$9,MATCH(TRIM($G252),Lists!$Q$2:$Q$9,0)),"UNMAPPED"))))))))</f>
        <v>Commercial Fuels</v>
      </c>
      <c r="AI252" s="534" t="b">
        <f>IF(TRIM($B252)="","",--OR(TRIM($L252)="Leadership",TRIM($K252)="Leadership"))</f>
        <v>0</v>
      </c>
      <c r="AJ252" s="534" t="str">
        <f>IF(TRIM($B252)="","",IF(COUNTIFS(Lists!$AN$2:$AN$22,TRIM($B252)&amp;" | "&amp;TRIM($D252),Lists!$AP$2:$AP$22,"&lt;&gt;"),INDEX(Lists!$AP$2:$AP$22,MATCH(TRIM($B252)&amp;" | "&amp;TRIM($D252),Lists!$AN$2:$AN$22,0)),IF($AI252=1,"Leadership",IFERROR(INDEX(Lists!$X$2:$X$21,MATCH(TRIM($L252),Lists!$W$2:$W$21,0)),IF(OR(TRIM($L252)="",LOWER(TRIM($L252))="na"),IF(TRIM($H252)="","Unassigned",TRIM($H252)),TRIM($L252))))))</f>
        <v>CTRM</v>
      </c>
      <c r="AK252" s="534" t="str">
        <f>IF(TRIM($B252)="","",IF(COUNTIFS(Lists!$AN$2:$AN$22,TRIM($B252)&amp;" | "&amp;TRIM($D252),Lists!$AQ$2:$AQ$22,"&lt;&gt;"),INDEX(Lists!$AQ$2:$AQ$22,MATCH(TRIM($B252)&amp;" | "&amp;TRIM($D252),Lists!$AN$2:$AN$22,0)),IF(COUNTIF(Lists!$AF$2:$AF$8,$AJ252),$AJ252,IF(ISNUMBER(SEARCH("head of ",$D252)),"Head of Technology",IF(ISNUMBER(SEARCH("TDD BP",$D252)),"Business Partner",IF(OR(ISNUMBER(SEARCH("domain architect",$D252)),ISNUMBER(SEARCH("enterprise architect",$D252))),"Domain Architect",IF(ISNUMBER(SEARCH("delivery man",$D252)),"Delivery Manager",IF(OR(ISNUMBER(SEARCH("technology manager",$D252)),ISNUMBER(SEARCH("technology manger",$D252)),ISNUMBER(SEARCH("tech manager",$D252))),"Technology Manager","Squad"))))))))</f>
        <v>Squad</v>
      </c>
      <c r="AL252" s="534" t="str">
        <f>IF(TRIM($B252)="","",IF(AND($AM252=1,LEFT($AJ252,4)&lt;&gt;"EGI ",$AJ252&lt;&gt;"EGI"),IFERROR(INDEX(Lists!$Z$2:$Z$20,MATCH($AH252,Lists!$Y$2:$Y$20,0)),"EGI "&amp;$AH252),IF(COUNTIF(Lists!$AU$2:$AU$10,$AJ252),$AJ252,IF(OR(LEFT($AH252,3)="COE",$AH252="EGI"),$AJ252,IF($AK252&lt;&gt;"Squad",$AK252,$AJ252)))))</f>
        <v>CTRM</v>
      </c>
      <c r="AM252" s="534" t="b">
        <f>IF(TRIM($B252)="","",--(UPPER(TRIM($K252))="EGI"))</f>
        <v>0</v>
      </c>
      <c r="AQ252" s="841" t="inlineStr">
        <is>
          <t>R0251</t>
        </is>
      </c>
      <c r="AZ252" s="841" t="n"/>
    </row>
    <row r="253" ht="18" customHeight="1" s="535">
      <c r="A253" s="842" t="n">
        <v>113544</v>
      </c>
      <c r="B253" s="843" t="inlineStr">
        <is>
          <t>Hayden Corney</t>
        </is>
      </c>
      <c r="C253" s="842" t="n">
        <v>113544</v>
      </c>
      <c r="D253" s="843" t="inlineStr">
        <is>
          <t>Lead Engineer Software</t>
        </is>
      </c>
      <c r="E253" s="843" t="inlineStr">
        <is>
          <t>Vacant</t>
        </is>
      </c>
      <c r="F253" s="843" t="inlineStr">
        <is>
          <t>Technology Manager, Engineering</t>
        </is>
      </c>
      <c r="G253" s="844" t="inlineStr">
        <is>
          <t>TDD CFE&amp;I</t>
        </is>
      </c>
      <c r="H253" s="843" t="inlineStr">
        <is>
          <t>Commercial Fuels</t>
        </is>
      </c>
      <c r="I253" s="843" t="inlineStr">
        <is>
          <t>Technology, CF Engineering</t>
        </is>
      </c>
      <c r="J253" s="843" t="inlineStr">
        <is>
          <t>Commercial Fuels</t>
        </is>
      </c>
      <c r="K253" s="843" t="inlineStr">
        <is>
          <t>CTRM</t>
        </is>
      </c>
      <c r="L253" s="843" t="inlineStr">
        <is>
          <t>CTRM</t>
        </is>
      </c>
      <c r="M253" s="843" t="n"/>
      <c r="N253" s="845" t="inlineStr">
        <is>
          <t>NZ</t>
        </is>
      </c>
      <c r="O253" s="846" t="inlineStr">
        <is>
          <t>CIC</t>
        </is>
      </c>
      <c r="P253" s="847" t="n">
        <v>1</v>
      </c>
      <c r="Q253" s="860" t="n"/>
      <c r="R253" s="847" t="inlineStr">
        <is>
          <t>Permanent - Full Time</t>
        </is>
      </c>
      <c r="S253" s="847" t="n"/>
      <c r="T253" s="847" t="n"/>
      <c r="U253" s="848" t="n">
        <v>171800</v>
      </c>
      <c r="V253" s="849" t="n">
        <v>158056</v>
      </c>
      <c r="W253" s="850" t="n">
        <v>0.15</v>
      </c>
      <c r="X253" s="847" t="n"/>
      <c r="Y253" s="850" t="n">
        <v>0.05</v>
      </c>
      <c r="Z253" s="851" t="n">
        <v>2910</v>
      </c>
      <c r="AA253" s="850" t="n">
        <v>0.03</v>
      </c>
      <c r="AB253" s="852" t="n">
        <v>197318.88</v>
      </c>
      <c r="AE253" s="534">
        <f>IF(TRIM($B253)="","",IF(AND(N($P253)&gt;0,N($P253)&lt;1),N($AB253)*N($P253),N($AB253)))</f>
        <v>197318.88</v>
      </c>
      <c r="AF253" s="534" t="str">
        <f>IF(TRIM($B253)="","",IF(OR(ISNUMBER(SEARCH("vacant",$B253)),ISNUMBER(SEARCH("ring fenced",$B253)),LOWER(TRIM($B253))="remove"),"Vacant","Filled"))</f>
        <v>Filled</v>
      </c>
      <c r="AG253" s="534" t="b">
        <f>IF(TRIM($B253)="","",--ISNUMBER(SEARCH("ring fenced",$B253)))</f>
        <v>0</v>
      </c>
      <c r="AH253" s="534" t="str">
        <f>IF(TRIM($B253)="","",IF(COUNTIFS(Lists!$AN$2:$AN$22,TRIM($B253)&amp;" | "&amp;TRIM($D253),Lists!$AO$2:$AO$22,"&lt;&gt;"),INDEX(Lists!$AO$2:$AO$22,MATCH(TRIM($B253)&amp;" | "&amp;TRIM($D253),Lists!$AN$2:$AN$22,0)),IF(COUNTIF(Lists!$AR$2:$AR$3,$AJ253),"TDD Cyber",IF(AND(LEFT($AJ253,4)="EGI ",ISNUMBER(MATCH(TRIM(MID($AJ253,5,99)),Lists!$AS$2:$AS$12,0))),TRIM(MID($AJ253,5,99)),IF(AND(LEFT($AJ253,4)="EGI ",ISNUMBER(MATCH(TRIM(MID($AJ253,5,99)),Lists!$T$2:$T$21,0))),INDEX(Lists!$U$2:$U$21,MATCH(TRIM(MID($AJ253,5,99)),Lists!$T$2:$T$21,0)),IF(OR(TRIM($J253)="",UPPER(TRIM($J253))="NA"),IFERROR(INDEX(Lists!$R$2:$R$9,MATCH(TRIM($G253),Lists!$Q$2:$Q$9,0)),"UNMAPPED"),IFERROR(INDEX(Lists!$U$2:$U$21,MATCH(TRIM($J253),Lists!$T$2:$T$21,0)),IFERROR(INDEX(Lists!$R$2:$R$9,MATCH(TRIM($G253),Lists!$Q$2:$Q$9,0)),"UNMAPPED"))))))))</f>
        <v>Commercial Fuels</v>
      </c>
      <c r="AI253" s="534" t="b">
        <f>IF(TRIM($B253)="","",--OR(TRIM($L253)="Leadership",TRIM($K253)="Leadership"))</f>
        <v>0</v>
      </c>
      <c r="AJ253" s="534" t="str">
        <f>IF(TRIM($B253)="","",IF(COUNTIFS(Lists!$AN$2:$AN$22,TRIM($B253)&amp;" | "&amp;TRIM($D253),Lists!$AP$2:$AP$22,"&lt;&gt;"),INDEX(Lists!$AP$2:$AP$22,MATCH(TRIM($B253)&amp;" | "&amp;TRIM($D253),Lists!$AN$2:$AN$22,0)),IF($AI253=1,"Leadership",IFERROR(INDEX(Lists!$X$2:$X$21,MATCH(TRIM($L253),Lists!$W$2:$W$21,0)),IF(OR(TRIM($L253)="",LOWER(TRIM($L253))="na"),IF(TRIM($H253)="","Unassigned",TRIM($H253)),TRIM($L253))))))</f>
        <v>CTRM</v>
      </c>
      <c r="AK253" s="534" t="str">
        <f>IF(TRIM($B253)="","",IF(COUNTIFS(Lists!$AN$2:$AN$22,TRIM($B253)&amp;" | "&amp;TRIM($D253),Lists!$AQ$2:$AQ$22,"&lt;&gt;"),INDEX(Lists!$AQ$2:$AQ$22,MATCH(TRIM($B253)&amp;" | "&amp;TRIM($D253),Lists!$AN$2:$AN$22,0)),IF(COUNTIF(Lists!$AF$2:$AF$8,$AJ253),$AJ253,IF(ISNUMBER(SEARCH("head of ",$D253)),"Head of Technology",IF(ISNUMBER(SEARCH("TDD BP",$D253)),"Business Partner",IF(OR(ISNUMBER(SEARCH("domain architect",$D253)),ISNUMBER(SEARCH("enterprise architect",$D253))),"Domain Architect",IF(ISNUMBER(SEARCH("delivery man",$D253)),"Delivery Manager",IF(OR(ISNUMBER(SEARCH("technology manager",$D253)),ISNUMBER(SEARCH("technology manger",$D253)),ISNUMBER(SEARCH("tech manager",$D253))),"Technology Manager","Squad"))))))))</f>
        <v>Squad</v>
      </c>
      <c r="AL253" s="534" t="str">
        <f>IF(TRIM($B253)="","",IF(AND($AM253=1,LEFT($AJ253,4)&lt;&gt;"EGI ",$AJ253&lt;&gt;"EGI"),IFERROR(INDEX(Lists!$Z$2:$Z$20,MATCH($AH253,Lists!$Y$2:$Y$20,0)),"EGI "&amp;$AH253),IF(COUNTIF(Lists!$AU$2:$AU$10,$AJ253),$AJ253,IF(OR(LEFT($AH253,3)="COE",$AH253="EGI"),$AJ253,IF($AK253&lt;&gt;"Squad",$AK253,$AJ253)))))</f>
        <v>CTRM</v>
      </c>
      <c r="AM253" s="534" t="b">
        <f>IF(TRIM($B253)="","",--(UPPER(TRIM($K253))="EGI"))</f>
        <v>0</v>
      </c>
      <c r="AQ253" s="841" t="inlineStr">
        <is>
          <t>R0252</t>
        </is>
      </c>
      <c r="AZ253" s="841" t="n"/>
    </row>
    <row r="254" ht="18" customHeight="1" s="535">
      <c r="A254" s="842" t="inlineStr">
        <is>
          <t>V</t>
        </is>
      </c>
      <c r="B254" s="843" t="inlineStr">
        <is>
          <t>Vacant</t>
        </is>
      </c>
      <c r="C254" s="842" t="inlineStr">
        <is>
          <t>V</t>
        </is>
      </c>
      <c r="D254" s="843" t="inlineStr">
        <is>
          <t>Lead Data Analyst</t>
        </is>
      </c>
      <c r="E254" s="843" t="inlineStr">
        <is>
          <t>Vacant</t>
        </is>
      </c>
      <c r="F254" s="843" t="inlineStr">
        <is>
          <t>Technology Manger, Data</t>
        </is>
      </c>
      <c r="G254" s="844" t="inlineStr">
        <is>
          <t>TDD CFE&amp;I</t>
        </is>
      </c>
      <c r="H254" s="843" t="inlineStr">
        <is>
          <t>Fuel Infrastructure</t>
        </is>
      </c>
      <c r="I254" s="843" t="inlineStr">
        <is>
          <t>Fuel Infrastructure, Data</t>
        </is>
      </c>
      <c r="J254" s="843" t="inlineStr">
        <is>
          <t>Infrastructure</t>
        </is>
      </c>
      <c r="K254" s="843" t="inlineStr">
        <is>
          <t xml:space="preserve">Data &amp; Insights </t>
        </is>
      </c>
      <c r="L254" s="843" t="inlineStr">
        <is>
          <t xml:space="preserve">Data &amp; Insights </t>
        </is>
      </c>
      <c r="M254" s="843" t="n"/>
      <c r="N254" s="845" t="inlineStr">
        <is>
          <t>Australia</t>
        </is>
      </c>
      <c r="O254" s="846" t="inlineStr">
        <is>
          <t>CIC</t>
        </is>
      </c>
      <c r="P254" s="847" t="n">
        <v>1</v>
      </c>
      <c r="Q254" s="860" t="n"/>
      <c r="R254" s="847" t="inlineStr">
        <is>
          <t>v</t>
        </is>
      </c>
      <c r="S254" s="847" t="n"/>
      <c r="T254" s="847" t="n"/>
      <c r="U254" s="848" t="n">
        <v>173550</v>
      </c>
      <c r="V254" s="849" t="n">
        <v>173550</v>
      </c>
      <c r="W254" s="850" t="n">
        <v>0.12</v>
      </c>
      <c r="X254" s="847" t="n">
        <v>0.055</v>
      </c>
      <c r="Y254" s="850" t="n">
        <v>0.12</v>
      </c>
      <c r="Z254" s="851" t="n"/>
      <c r="AA254" s="850" t="n">
        <v>0.04</v>
      </c>
      <c r="AB254" s="852" t="n">
        <v>231689.25</v>
      </c>
      <c r="AE254" s="534">
        <f>IF(TRIM($B254)="","",IF(AND(N($P254)&gt;0,N($P254)&lt;1),N($AB254)*N($P254),N($AB254)))</f>
        <v>231689.25</v>
      </c>
      <c r="AF254" s="534" t="str">
        <f>IF(TRIM($B254)="","",IF(OR(ISNUMBER(SEARCH("vacant",$B254)),ISNUMBER(SEARCH("ring fenced",$B254)),LOWER(TRIM($B254))="remove"),"Vacant","Filled"))</f>
        <v>Vacant</v>
      </c>
      <c r="AG254" s="534" t="b">
        <f>IF(TRIM($B254)="","",--ISNUMBER(SEARCH("ring fenced",$B254)))</f>
        <v>0</v>
      </c>
      <c r="AH254" s="534" t="str">
        <f>IF(TRIM($B254)="","",IF(COUNTIFS(Lists!$AN$2:$AN$22,TRIM($B254)&amp;" | "&amp;TRIM($D254),Lists!$AO$2:$AO$22,"&lt;&gt;"),INDEX(Lists!$AO$2:$AO$22,MATCH(TRIM($B254)&amp;" | "&amp;TRIM($D254),Lists!$AN$2:$AN$22,0)),IF(COUNTIF(Lists!$AR$2:$AR$3,$AJ254),"TDD Cyber",IF(AND(LEFT($AJ254,4)="EGI ",ISNUMBER(MATCH(TRIM(MID($AJ254,5,99)),Lists!$AS$2:$AS$12,0))),TRIM(MID($AJ254,5,99)),IF(AND(LEFT($AJ254,4)="EGI ",ISNUMBER(MATCH(TRIM(MID($AJ254,5,99)),Lists!$T$2:$T$21,0))),INDEX(Lists!$U$2:$U$21,MATCH(TRIM(MID($AJ254,5,99)),Lists!$T$2:$T$21,0)),IF(OR(TRIM($J254)="",UPPER(TRIM($J254))="NA"),IFERROR(INDEX(Lists!$R$2:$R$9,MATCH(TRIM($G254),Lists!$Q$2:$Q$9,0)),"UNMAPPED"),IFERROR(INDEX(Lists!$U$2:$U$21,MATCH(TRIM($J254),Lists!$T$2:$T$21,0)),IFERROR(INDEX(Lists!$R$2:$R$9,MATCH(TRIM($G254),Lists!$Q$2:$Q$9,0)),"UNMAPPED"))))))))</f>
        <v>Infrastructure</v>
      </c>
      <c r="AI254" s="534" t="b">
        <f>IF(TRIM($B254)="","",--OR(TRIM($L254)="Leadership",TRIM($K254)="Leadership"))</f>
        <v>0</v>
      </c>
      <c r="AJ254" s="534" t="str">
        <f>IF(TRIM($B254)="","",IF(COUNTIFS(Lists!$AN$2:$AN$22,TRIM($B254)&amp;" | "&amp;TRIM($D254),Lists!$AP$2:$AP$22,"&lt;&gt;"),INDEX(Lists!$AP$2:$AP$22,MATCH(TRIM($B254)&amp;" | "&amp;TRIM($D254),Lists!$AN$2:$AN$22,0)),IF($AI254=1,"Leadership",IFERROR(INDEX(Lists!$X$2:$X$21,MATCH(TRIM($L254),Lists!$W$2:$W$21,0)),IF(OR(TRIM($L254)="",LOWER(TRIM($L254))="na"),IF(TRIM($H254)="","Unassigned",TRIM($H254)),TRIM($L254))))))</f>
        <v>Data &amp; Insights</v>
      </c>
      <c r="AK254" s="534" t="str">
        <f>IF(TRIM($B254)="","",IF(COUNTIFS(Lists!$AN$2:$AN$22,TRIM($B254)&amp;" | "&amp;TRIM($D254),Lists!$AQ$2:$AQ$22,"&lt;&gt;"),INDEX(Lists!$AQ$2:$AQ$22,MATCH(TRIM($B254)&amp;" | "&amp;TRIM($D254),Lists!$AN$2:$AN$22,0)),IF(COUNTIF(Lists!$AF$2:$AF$8,$AJ254),$AJ254,IF(ISNUMBER(SEARCH("head of ",$D254)),"Head of Technology",IF(ISNUMBER(SEARCH("TDD BP",$D254)),"Business Partner",IF(OR(ISNUMBER(SEARCH("domain architect",$D254)),ISNUMBER(SEARCH("enterprise architect",$D254))),"Domain Architect",IF(ISNUMBER(SEARCH("delivery man",$D254)),"Delivery Manager",IF(OR(ISNUMBER(SEARCH("technology manager",$D254)),ISNUMBER(SEARCH("technology manger",$D254)),ISNUMBER(SEARCH("tech manager",$D254))),"Technology Manager","Squad"))))))))</f>
        <v>Squad</v>
      </c>
      <c r="AL254" s="534" t="str">
        <f>IF(TRIM($B254)="","",IF(AND($AM254=1,LEFT($AJ254,4)&lt;&gt;"EGI ",$AJ254&lt;&gt;"EGI"),IFERROR(INDEX(Lists!$Z$2:$Z$20,MATCH($AH254,Lists!$Y$2:$Y$20,0)),"EGI "&amp;$AH254),IF(COUNTIF(Lists!$AU$2:$AU$10,$AJ254),$AJ254,IF(OR(LEFT($AH254,3)="COE",$AH254="EGI"),$AJ254,IF($AK254&lt;&gt;"Squad",$AK254,$AJ254)))))</f>
        <v>Data &amp; Insights</v>
      </c>
      <c r="AM254" s="534" t="b">
        <f>IF(TRIM($B254)="","",--(UPPER(TRIM($K254))="EGI"))</f>
        <v>0</v>
      </c>
      <c r="AQ254" s="841" t="inlineStr">
        <is>
          <t>R0253</t>
        </is>
      </c>
      <c r="AZ254" s="841" t="n"/>
    </row>
    <row r="255" ht="18" customHeight="1" s="535">
      <c r="A255" s="842" t="inlineStr">
        <is>
          <t>V</t>
        </is>
      </c>
      <c r="B255" s="843" t="inlineStr">
        <is>
          <t>Vacant</t>
        </is>
      </c>
      <c r="C255" s="842" t="inlineStr">
        <is>
          <t>V</t>
        </is>
      </c>
      <c r="D255" s="843" t="inlineStr">
        <is>
          <t>Delivery Capacity &amp; Assurance Lead</t>
        </is>
      </c>
      <c r="E255" s="843" t="inlineStr">
        <is>
          <t>Vacant</t>
        </is>
      </c>
      <c r="F255" s="843" t="inlineStr">
        <is>
          <t>vacant</t>
        </is>
      </c>
      <c r="G255" s="844" t="inlineStr">
        <is>
          <t>Partnering &amp; Transformation</t>
        </is>
      </c>
      <c r="H255" s="843" t="inlineStr">
        <is>
          <t>Transformation</t>
        </is>
      </c>
      <c r="I255" s="843" t="inlineStr">
        <is>
          <t>NA</t>
        </is>
      </c>
      <c r="J255" s="843" t="inlineStr">
        <is>
          <t>NA</t>
        </is>
      </c>
      <c r="K255" s="843" t="inlineStr">
        <is>
          <t>NA</t>
        </is>
      </c>
      <c r="L255" s="843" t="inlineStr">
        <is>
          <t>NA</t>
        </is>
      </c>
      <c r="M255" s="843" t="n"/>
      <c r="N255" s="845" t="inlineStr">
        <is>
          <t>Australia</t>
        </is>
      </c>
      <c r="O255" s="846" t="inlineStr">
        <is>
          <t>CIC</t>
        </is>
      </c>
      <c r="P255" s="847" t="n">
        <v>1</v>
      </c>
      <c r="Q255" s="846" t="n"/>
      <c r="R255" s="847" t="inlineStr">
        <is>
          <t>V</t>
        </is>
      </c>
      <c r="S255" s="847" t="n"/>
      <c r="T255" s="847" t="n"/>
      <c r="U255" s="848" t="n">
        <v>173550</v>
      </c>
      <c r="V255" s="849" t="n">
        <v>173550</v>
      </c>
      <c r="W255" s="850" t="n">
        <v>0.12</v>
      </c>
      <c r="X255" s="847" t="n">
        <v>0.055</v>
      </c>
      <c r="Y255" s="850" t="n">
        <v>0.12</v>
      </c>
      <c r="Z255" s="851" t="n"/>
      <c r="AA255" s="850" t="n">
        <v>0.04</v>
      </c>
      <c r="AB255" s="852" t="n">
        <v>231689.25</v>
      </c>
      <c r="AE255" s="534">
        <f>IF(TRIM($B255)="","",IF(AND(N($P255)&gt;0,N($P255)&lt;1),N($AB255)*N($P255),N($AB255)))</f>
        <v>231689.25</v>
      </c>
      <c r="AF255" s="534" t="str">
        <f>IF(TRIM($B255)="","",IF(OR(ISNUMBER(SEARCH("vacant",$B255)),ISNUMBER(SEARCH("ring fenced",$B255)),LOWER(TRIM($B255))="remove"),"Vacant","Filled"))</f>
        <v>Vacant</v>
      </c>
      <c r="AG255" s="534" t="b">
        <f>IF(TRIM($B255)="","",--ISNUMBER(SEARCH("ring fenced",$B255)))</f>
        <v>0</v>
      </c>
      <c r="AH255" s="534" t="str">
        <f>IF(TRIM($B255)="","",IF(COUNTIFS(Lists!$AN$2:$AN$22,TRIM($B255)&amp;" | "&amp;TRIM($D255),Lists!$AO$2:$AO$22,"&lt;&gt;"),INDEX(Lists!$AO$2:$AO$22,MATCH(TRIM($B255)&amp;" | "&amp;TRIM($D255),Lists!$AN$2:$AN$22,0)),IF(COUNTIF(Lists!$AR$2:$AR$3,$AJ255),"TDD Cyber",IF(AND(LEFT($AJ255,4)="EGI ",ISNUMBER(MATCH(TRIM(MID($AJ255,5,99)),Lists!$AS$2:$AS$12,0))),TRIM(MID($AJ255,5,99)),IF(AND(LEFT($AJ255,4)="EGI ",ISNUMBER(MATCH(TRIM(MID($AJ255,5,99)),Lists!$T$2:$T$21,0))),INDEX(Lists!$U$2:$U$21,MATCH(TRIM(MID($AJ255,5,99)),Lists!$T$2:$T$21,0)),IF(OR(TRIM($J255)="",UPPER(TRIM($J255))="NA"),IFERROR(INDEX(Lists!$R$2:$R$9,MATCH(TRIM($G255),Lists!$Q$2:$Q$9,0)),"UNMAPPED"),IFERROR(INDEX(Lists!$U$2:$U$21,MATCH(TRIM($J255),Lists!$T$2:$T$21,0)),IFERROR(INDEX(Lists!$R$2:$R$9,MATCH(TRIM($G255),Lists!$Q$2:$Q$9,0)),"UNMAPPED"))))))))</f>
        <v>COE BP&amp;T</v>
      </c>
      <c r="AI255" s="534" t="b">
        <f>IF(TRIM($B255)="","",--OR(TRIM($L255)="Leadership",TRIM($K255)="Leadership"))</f>
        <v>0</v>
      </c>
      <c r="AJ255" s="534" t="str">
        <f>IF(TRIM($B255)="","",IF(COUNTIFS(Lists!$AN$2:$AN$22,TRIM($B255)&amp;" | "&amp;TRIM($D255),Lists!$AP$2:$AP$22,"&lt;&gt;"),INDEX(Lists!$AP$2:$AP$22,MATCH(TRIM($B255)&amp;" | "&amp;TRIM($D255),Lists!$AN$2:$AN$22,0)),IF($AI255=1,"Leadership",IFERROR(INDEX(Lists!$X$2:$X$21,MATCH(TRIM($L255),Lists!$W$2:$W$21,0)),IF(OR(TRIM($L255)="",LOWER(TRIM($L255))="na"),IF(TRIM($H255)="","Unassigned",TRIM($H255)),TRIM($L255))))))</f>
        <v>Transformation</v>
      </c>
      <c r="AK255" s="534" t="str">
        <f>IF(TRIM($B255)="","",IF(COUNTIFS(Lists!$AN$2:$AN$22,TRIM($B255)&amp;" | "&amp;TRIM($D255),Lists!$AQ$2:$AQ$22,"&lt;&gt;"),INDEX(Lists!$AQ$2:$AQ$22,MATCH(TRIM($B255)&amp;" | "&amp;TRIM($D255),Lists!$AN$2:$AN$22,0)),IF(COUNTIF(Lists!$AF$2:$AF$8,$AJ255),$AJ255,IF(ISNUMBER(SEARCH("head of ",$D255)),"Head of Technology",IF(ISNUMBER(SEARCH("TDD BP",$D255)),"Business Partner",IF(OR(ISNUMBER(SEARCH("domain architect",$D255)),ISNUMBER(SEARCH("enterprise architect",$D255))),"Domain Architect",IF(ISNUMBER(SEARCH("delivery man",$D255)),"Delivery Manager",IF(OR(ISNUMBER(SEARCH("technology manager",$D255)),ISNUMBER(SEARCH("technology manger",$D255)),ISNUMBER(SEARCH("tech manager",$D255))),"Technology Manager","Squad"))))))))</f>
        <v>Squad</v>
      </c>
      <c r="AL255" s="534" t="str">
        <f>IF(TRIM($B255)="","",IF(AND($AM255=1,LEFT($AJ255,4)&lt;&gt;"EGI ",$AJ255&lt;&gt;"EGI"),IFERROR(INDEX(Lists!$Z$2:$Z$20,MATCH($AH255,Lists!$Y$2:$Y$20,0)),"EGI "&amp;$AH255),IF(COUNTIF(Lists!$AU$2:$AU$10,$AJ255),$AJ255,IF(OR(LEFT($AH255,3)="COE",$AH255="EGI"),$AJ255,IF($AK255&lt;&gt;"Squad",$AK255,$AJ255)))))</f>
        <v>Transformation</v>
      </c>
      <c r="AM255" s="534" t="b">
        <f>IF(TRIM($B255)="","",--(UPPER(TRIM($K255))="EGI"))</f>
        <v>0</v>
      </c>
      <c r="AQ255" s="841" t="inlineStr">
        <is>
          <t>R0254</t>
        </is>
      </c>
      <c r="AZ255" s="841" t="n"/>
    </row>
    <row r="256" ht="18" customHeight="1" s="535">
      <c r="A256" s="842" t="inlineStr">
        <is>
          <t>V</t>
        </is>
      </c>
      <c r="B256" s="843" t="inlineStr">
        <is>
          <t>Vacant</t>
        </is>
      </c>
      <c r="C256" s="842" t="inlineStr">
        <is>
          <t>V</t>
        </is>
      </c>
      <c r="D256" s="843" t="inlineStr">
        <is>
          <t>Lead Quality Assurance</t>
        </is>
      </c>
      <c r="E256" s="843" t="inlineStr">
        <is>
          <t>Vaishnavi Viswanathan</t>
        </is>
      </c>
      <c r="F256" s="843" t="inlineStr">
        <is>
          <t>Technology Manager, Store Platform</t>
        </is>
      </c>
      <c r="G256" s="844" t="inlineStr">
        <is>
          <t>Ampol Retail &amp; Z</t>
        </is>
      </c>
      <c r="H256" s="843" t="inlineStr">
        <is>
          <t>Ampol Retail</t>
        </is>
      </c>
      <c r="I256" s="843" t="inlineStr">
        <is>
          <t>Ampol Retail, Store Platforms</t>
        </is>
      </c>
      <c r="J256" s="843" t="inlineStr">
        <is>
          <t>Retail</t>
        </is>
      </c>
      <c r="K256" s="843" t="inlineStr">
        <is>
          <t>Store Operations</t>
        </is>
      </c>
      <c r="L256" s="843" t="inlineStr">
        <is>
          <t>POS</t>
        </is>
      </c>
      <c r="M256" s="843" t="n"/>
      <c r="N256" s="845" t="inlineStr">
        <is>
          <t>Australia</t>
        </is>
      </c>
      <c r="O256" s="846" t="inlineStr">
        <is>
          <t>CIC</t>
        </is>
      </c>
      <c r="P256" s="847" t="n">
        <v>1</v>
      </c>
      <c r="Q256" s="846" t="n"/>
      <c r="R256" s="847" t="inlineStr">
        <is>
          <t>v</t>
        </is>
      </c>
      <c r="S256" s="847" t="n"/>
      <c r="T256" s="847" t="n"/>
      <c r="U256" s="848" t="n">
        <v>168160</v>
      </c>
      <c r="V256" s="849" t="n">
        <v>168160</v>
      </c>
      <c r="W256" s="850" t="n">
        <v>0.12</v>
      </c>
      <c r="X256" s="847" t="n">
        <v>0.055</v>
      </c>
      <c r="Y256" s="850" t="n">
        <v>0.12</v>
      </c>
      <c r="Z256" s="851" t="n"/>
      <c r="AA256" s="850" t="n">
        <v>0.04</v>
      </c>
      <c r="AB256" s="852" t="n">
        <v>224493.6</v>
      </c>
      <c r="AE256" s="534">
        <f>IF(TRIM($B256)="","",IF(AND(N($P256)&gt;0,N($P256)&lt;1),N($AB256)*N($P256),N($AB256)))</f>
        <v>224493.6</v>
      </c>
      <c r="AF256" s="534" t="str">
        <f>IF(TRIM($B256)="","",IF(OR(ISNUMBER(SEARCH("vacant",$B256)),ISNUMBER(SEARCH("ring fenced",$B256)),LOWER(TRIM($B256))="remove"),"Vacant","Filled"))</f>
        <v>Vacant</v>
      </c>
      <c r="AG256" s="534" t="b">
        <f>IF(TRIM($B256)="","",--ISNUMBER(SEARCH("ring fenced",$B256)))</f>
        <v>0</v>
      </c>
      <c r="AH256" s="534" t="str">
        <f>IF(TRIM($B256)="","",IF(COUNTIFS(Lists!$AN$2:$AN$22,TRIM($B256)&amp;" | "&amp;TRIM($D256),Lists!$AO$2:$AO$22,"&lt;&gt;"),INDEX(Lists!$AO$2:$AO$22,MATCH(TRIM($B256)&amp;" | "&amp;TRIM($D256),Lists!$AN$2:$AN$22,0)),IF(COUNTIF(Lists!$AR$2:$AR$3,$AJ256),"TDD Cyber",IF(AND(LEFT($AJ256,4)="EGI ",ISNUMBER(MATCH(TRIM(MID($AJ256,5,99)),Lists!$AS$2:$AS$12,0))),TRIM(MID($AJ256,5,99)),IF(AND(LEFT($AJ256,4)="EGI ",ISNUMBER(MATCH(TRIM(MID($AJ256,5,99)),Lists!$T$2:$T$21,0))),INDEX(Lists!$U$2:$U$21,MATCH(TRIM(MID($AJ256,5,99)),Lists!$T$2:$T$21,0)),IF(OR(TRIM($J256)="",UPPER(TRIM($J256))="NA"),IFERROR(INDEX(Lists!$R$2:$R$9,MATCH(TRIM($G256),Lists!$Q$2:$Q$9,0)),"UNMAPPED"),IFERROR(INDEX(Lists!$U$2:$U$21,MATCH(TRIM($J256),Lists!$T$2:$T$21,0)),IFERROR(INDEX(Lists!$R$2:$R$9,MATCH(TRIM($G256),Lists!$Q$2:$Q$9,0)),"UNMAPPED"))))))))</f>
        <v>Ampol Retail</v>
      </c>
      <c r="AI256" s="534" t="b">
        <f>IF(TRIM($B256)="","",--OR(TRIM($L256)="Leadership",TRIM($K256)="Leadership"))</f>
        <v>0</v>
      </c>
      <c r="AJ256" s="534" t="str">
        <f>IF(TRIM($B256)="","",IF(COUNTIFS(Lists!$AN$2:$AN$22,TRIM($B256)&amp;" | "&amp;TRIM($D256),Lists!$AP$2:$AP$22,"&lt;&gt;"),INDEX(Lists!$AP$2:$AP$22,MATCH(TRIM($B256)&amp;" | "&amp;TRIM($D256),Lists!$AN$2:$AN$22,0)),IF($AI256=1,"Leadership",IFERROR(INDEX(Lists!$X$2:$X$21,MATCH(TRIM($L256),Lists!$W$2:$W$21,0)),IF(OR(TRIM($L256)="",LOWER(TRIM($L256))="na"),IF(TRIM($H256)="","Unassigned",TRIM($H256)),TRIM($L256))))))</f>
        <v>POS</v>
      </c>
      <c r="AK256" s="534" t="str">
        <f>IF(TRIM($B256)="","",IF(COUNTIFS(Lists!$AN$2:$AN$22,TRIM($B256)&amp;" | "&amp;TRIM($D256),Lists!$AQ$2:$AQ$22,"&lt;&gt;"),INDEX(Lists!$AQ$2:$AQ$22,MATCH(TRIM($B256)&amp;" | "&amp;TRIM($D256),Lists!$AN$2:$AN$22,0)),IF(COUNTIF(Lists!$AF$2:$AF$8,$AJ256),$AJ256,IF(ISNUMBER(SEARCH("head of ",$D256)),"Head of Technology",IF(ISNUMBER(SEARCH("TDD BP",$D256)),"Business Partner",IF(OR(ISNUMBER(SEARCH("domain architect",$D256)),ISNUMBER(SEARCH("enterprise architect",$D256))),"Domain Architect",IF(ISNUMBER(SEARCH("delivery man",$D256)),"Delivery Manager",IF(OR(ISNUMBER(SEARCH("technology manager",$D256)),ISNUMBER(SEARCH("technology manger",$D256)),ISNUMBER(SEARCH("tech manager",$D256))),"Technology Manager","Squad"))))))))</f>
        <v>Squad</v>
      </c>
      <c r="AL256" s="534" t="str">
        <f>IF(TRIM($B256)="","",IF(AND($AM256=1,LEFT($AJ256,4)&lt;&gt;"EGI ",$AJ256&lt;&gt;"EGI"),IFERROR(INDEX(Lists!$Z$2:$Z$20,MATCH($AH256,Lists!$Y$2:$Y$20,0)),"EGI "&amp;$AH256),IF(COUNTIF(Lists!$AU$2:$AU$10,$AJ256),$AJ256,IF(OR(LEFT($AH256,3)="COE",$AH256="EGI"),$AJ256,IF($AK256&lt;&gt;"Squad",$AK256,$AJ256)))))</f>
        <v>POS</v>
      </c>
      <c r="AM256" s="534" t="b">
        <f>IF(TRIM($B256)="","",--(UPPER(TRIM($K256))="EGI"))</f>
        <v>0</v>
      </c>
      <c r="AQ256" s="841" t="inlineStr">
        <is>
          <t>R0255</t>
        </is>
      </c>
      <c r="AZ256" s="841" t="n"/>
    </row>
    <row r="257" ht="18" customHeight="1" s="535">
      <c r="A257" s="842" t="n">
        <v>97784</v>
      </c>
      <c r="B257" s="843" t="inlineStr">
        <is>
          <t>Balaji Murugan</t>
        </is>
      </c>
      <c r="C257" s="842" t="n">
        <v>97784</v>
      </c>
      <c r="D257" s="843" t="inlineStr">
        <is>
          <t>Delivery Lead</t>
        </is>
      </c>
      <c r="E257" s="843" t="inlineStr">
        <is>
          <t>Vanessa Allen</t>
        </is>
      </c>
      <c r="F257" s="843" t="inlineStr">
        <is>
          <t>Delivery Manager, Ampol Retail</t>
        </is>
      </c>
      <c r="G257" s="844" t="inlineStr">
        <is>
          <t>Ampol Retail &amp; Z</t>
        </is>
      </c>
      <c r="H257" s="843" t="inlineStr">
        <is>
          <t>Ampol Retail</t>
        </is>
      </c>
      <c r="I257" s="843" t="inlineStr">
        <is>
          <t>Ampol Retail, Delivery</t>
        </is>
      </c>
      <c r="J257" s="843" t="inlineStr">
        <is>
          <t>Retail</t>
        </is>
      </c>
      <c r="K257" s="843" t="inlineStr">
        <is>
          <t>AMPOS</t>
        </is>
      </c>
      <c r="L257" s="843" t="inlineStr">
        <is>
          <t>AmPos</t>
        </is>
      </c>
      <c r="M257" s="843" t="n"/>
      <c r="N257" s="845" t="inlineStr">
        <is>
          <t>Australia</t>
        </is>
      </c>
      <c r="O257" s="846" t="inlineStr">
        <is>
          <t>CIC</t>
        </is>
      </c>
      <c r="P257" s="847" t="n">
        <v>1</v>
      </c>
      <c r="Q257" s="847" t="n"/>
      <c r="R257" s="847" t="inlineStr">
        <is>
          <t>Permanent - Full Time</t>
        </is>
      </c>
      <c r="S257" s="847" t="n"/>
      <c r="T257" s="847" t="n"/>
      <c r="U257" s="848" t="n">
        <v>178018</v>
      </c>
      <c r="V257" s="849" t="n">
        <v>178018</v>
      </c>
      <c r="W257" s="850" t="n">
        <v>0.12</v>
      </c>
      <c r="X257" s="847" t="n">
        <v>0.055</v>
      </c>
      <c r="Y257" s="850" t="n">
        <v>0.12</v>
      </c>
      <c r="Z257" s="851" t="n"/>
      <c r="AA257" s="850" t="n">
        <v>0.04</v>
      </c>
      <c r="AB257" s="852" t="n">
        <v>237654.03</v>
      </c>
      <c r="AE257" s="534">
        <f>IF(TRIM($B257)="","",IF(AND(N($P257)&gt;0,N($P257)&lt;1),N($AB257)*N($P257),N($AB257)))</f>
        <v>237654.03</v>
      </c>
      <c r="AF257" s="534" t="str">
        <f>IF(TRIM($B257)="","",IF(OR(ISNUMBER(SEARCH("vacant",$B257)),ISNUMBER(SEARCH("ring fenced",$B257)),LOWER(TRIM($B257))="remove"),"Vacant","Filled"))</f>
        <v>Filled</v>
      </c>
      <c r="AG257" s="534" t="b">
        <f>IF(TRIM($B257)="","",--ISNUMBER(SEARCH("ring fenced",$B257)))</f>
        <v>0</v>
      </c>
      <c r="AH257" s="534" t="str">
        <f>IF(TRIM($B257)="","",IF(COUNTIFS(Lists!$AN$2:$AN$22,TRIM($B257)&amp;" | "&amp;TRIM($D257),Lists!$AO$2:$AO$22,"&lt;&gt;"),INDEX(Lists!$AO$2:$AO$22,MATCH(TRIM($B257)&amp;" | "&amp;TRIM($D257),Lists!$AN$2:$AN$22,0)),IF(COUNTIF(Lists!$AR$2:$AR$3,$AJ257),"TDD Cyber",IF(AND(LEFT($AJ257,4)="EGI ",ISNUMBER(MATCH(TRIM(MID($AJ257,5,99)),Lists!$AS$2:$AS$12,0))),TRIM(MID($AJ257,5,99)),IF(AND(LEFT($AJ257,4)="EGI ",ISNUMBER(MATCH(TRIM(MID($AJ257,5,99)),Lists!$T$2:$T$21,0))),INDEX(Lists!$U$2:$U$21,MATCH(TRIM(MID($AJ257,5,99)),Lists!$T$2:$T$21,0)),IF(OR(TRIM($J257)="",UPPER(TRIM($J257))="NA"),IFERROR(INDEX(Lists!$R$2:$R$9,MATCH(TRIM($G257),Lists!$Q$2:$Q$9,0)),"UNMAPPED"),IFERROR(INDEX(Lists!$U$2:$U$21,MATCH(TRIM($J257),Lists!$T$2:$T$21,0)),IFERROR(INDEX(Lists!$R$2:$R$9,MATCH(TRIM($G257),Lists!$Q$2:$Q$9,0)),"UNMAPPED"))))))))</f>
        <v>Ampol Retail</v>
      </c>
      <c r="AI257" s="534" t="b">
        <f>IF(TRIM($B257)="","",--OR(TRIM($L257)="Leadership",TRIM($K257)="Leadership"))</f>
        <v>0</v>
      </c>
      <c r="AJ257" s="534" t="str">
        <f>IF(TRIM($B257)="","",IF(COUNTIFS(Lists!$AN$2:$AN$22,TRIM($B257)&amp;" | "&amp;TRIM($D257),Lists!$AP$2:$AP$22,"&lt;&gt;"),INDEX(Lists!$AP$2:$AP$22,MATCH(TRIM($B257)&amp;" | "&amp;TRIM($D257),Lists!$AN$2:$AN$22,0)),IF($AI257=1,"Leadership",IFERROR(INDEX(Lists!$X$2:$X$21,MATCH(TRIM($L257),Lists!$W$2:$W$21,0)),IF(OR(TRIM($L257)="",LOWER(TRIM($L257))="na"),IF(TRIM($H257)="","Unassigned",TRIM($H257)),TRIM($L257))))))</f>
        <v>AmPOS</v>
      </c>
      <c r="AK257" s="534" t="str">
        <f>IF(TRIM($B257)="","",IF(COUNTIFS(Lists!$AN$2:$AN$22,TRIM($B257)&amp;" | "&amp;TRIM($D257),Lists!$AQ$2:$AQ$22,"&lt;&gt;"),INDEX(Lists!$AQ$2:$AQ$22,MATCH(TRIM($B257)&amp;" | "&amp;TRIM($D257),Lists!$AN$2:$AN$22,0)),IF(COUNTIF(Lists!$AF$2:$AF$8,$AJ257),$AJ257,IF(ISNUMBER(SEARCH("head of ",$D257)),"Head of Technology",IF(ISNUMBER(SEARCH("TDD BP",$D257)),"Business Partner",IF(OR(ISNUMBER(SEARCH("domain architect",$D257)),ISNUMBER(SEARCH("enterprise architect",$D257))),"Domain Architect",IF(ISNUMBER(SEARCH("delivery man",$D257)),"Delivery Manager",IF(OR(ISNUMBER(SEARCH("technology manager",$D257)),ISNUMBER(SEARCH("technology manger",$D257)),ISNUMBER(SEARCH("tech manager",$D257))),"Technology Manager","Squad"))))))))</f>
        <v>Squad</v>
      </c>
      <c r="AL257" s="534" t="str">
        <f>IF(TRIM($B257)="","",IF(AND($AM257=1,LEFT($AJ257,4)&lt;&gt;"EGI ",$AJ257&lt;&gt;"EGI"),IFERROR(INDEX(Lists!$Z$2:$Z$20,MATCH($AH257,Lists!$Y$2:$Y$20,0)),"EGI "&amp;$AH257),IF(COUNTIF(Lists!$AU$2:$AU$10,$AJ257),$AJ257,IF(OR(LEFT($AH257,3)="COE",$AH257="EGI"),$AJ257,IF($AK257&lt;&gt;"Squad",$AK257,$AJ257)))))</f>
        <v>AmPOS</v>
      </c>
      <c r="AM257" s="534" t="b">
        <f>IF(TRIM($B257)="","",--(UPPER(TRIM($K257))="EGI"))</f>
        <v>0</v>
      </c>
      <c r="AQ257" s="841" t="inlineStr">
        <is>
          <t>R0256</t>
        </is>
      </c>
      <c r="AZ257" s="841" t="n"/>
    </row>
    <row r="258" ht="18" customHeight="1" s="535">
      <c r="A258" s="842" t="n">
        <v>110704</v>
      </c>
      <c r="B258" s="843" t="inlineStr">
        <is>
          <t>Irfan Zavahir</t>
        </is>
      </c>
      <c r="C258" s="842" t="n">
        <v>110704</v>
      </c>
      <c r="D258" s="843" t="inlineStr">
        <is>
          <t>Delivery Lead</t>
        </is>
      </c>
      <c r="E258" s="843" t="inlineStr">
        <is>
          <t>Vanessa Allen</t>
        </is>
      </c>
      <c r="F258" s="843" t="inlineStr">
        <is>
          <t>Delivery Manager, Ampol Retail</t>
        </is>
      </c>
      <c r="G258" s="844" t="inlineStr">
        <is>
          <t>Ampol Retail &amp; Z</t>
        </is>
      </c>
      <c r="H258" s="843" t="inlineStr">
        <is>
          <t>Ampol Retail</t>
        </is>
      </c>
      <c r="I258" s="843" t="inlineStr">
        <is>
          <t>Ampol Retail, Delivery</t>
        </is>
      </c>
      <c r="J258" s="843" t="inlineStr">
        <is>
          <t>Retail</t>
        </is>
      </c>
      <c r="K258" s="843" t="inlineStr">
        <is>
          <t>AMPOS</t>
        </is>
      </c>
      <c r="L258" s="843" t="inlineStr">
        <is>
          <t>AmPos</t>
        </is>
      </c>
      <c r="M258" s="843" t="n"/>
      <c r="N258" s="845" t="inlineStr">
        <is>
          <t>Australia</t>
        </is>
      </c>
      <c r="O258" s="846" t="inlineStr">
        <is>
          <t>CIC</t>
        </is>
      </c>
      <c r="P258" s="847" t="n">
        <v>1</v>
      </c>
      <c r="Q258" s="846" t="n"/>
      <c r="R258" s="847" t="inlineStr">
        <is>
          <t>Permanent - Full Time</t>
        </is>
      </c>
      <c r="S258" s="847" t="n"/>
      <c r="T258" s="847" t="n"/>
      <c r="U258" s="848" t="n">
        <v>140000</v>
      </c>
      <c r="V258" s="849" t="n">
        <v>128800</v>
      </c>
      <c r="W258" s="850" t="n">
        <v>0.15</v>
      </c>
      <c r="X258" s="847" t="n"/>
      <c r="Y258" s="850" t="n">
        <v>0.05</v>
      </c>
      <c r="Z258" s="851" t="n">
        <v>2910</v>
      </c>
      <c r="AA258" s="850" t="n">
        <v>0.03</v>
      </c>
      <c r="AB258" s="852" t="n">
        <v>161334</v>
      </c>
      <c r="AE258" s="534">
        <f>IF(TRIM($B258)="","",IF(AND(N($P258)&gt;0,N($P258)&lt;1),N($AB258)*N($P258),N($AB258)))</f>
        <v>161334</v>
      </c>
      <c r="AF258" s="534" t="str">
        <f>IF(TRIM($B258)="","",IF(OR(ISNUMBER(SEARCH("vacant",$B258)),ISNUMBER(SEARCH("ring fenced",$B258)),LOWER(TRIM($B258))="remove"),"Vacant","Filled"))</f>
        <v>Filled</v>
      </c>
      <c r="AG258" s="534" t="b">
        <f>IF(TRIM($B258)="","",--ISNUMBER(SEARCH("ring fenced",$B258)))</f>
        <v>0</v>
      </c>
      <c r="AH258" s="534" t="str">
        <f>IF(TRIM($B258)="","",IF(COUNTIFS(Lists!$AN$2:$AN$22,TRIM($B258)&amp;" | "&amp;TRIM($D258),Lists!$AO$2:$AO$22,"&lt;&gt;"),INDEX(Lists!$AO$2:$AO$22,MATCH(TRIM($B258)&amp;" | "&amp;TRIM($D258),Lists!$AN$2:$AN$22,0)),IF(COUNTIF(Lists!$AR$2:$AR$3,$AJ258),"TDD Cyber",IF(AND(LEFT($AJ258,4)="EGI ",ISNUMBER(MATCH(TRIM(MID($AJ258,5,99)),Lists!$AS$2:$AS$12,0))),TRIM(MID($AJ258,5,99)),IF(AND(LEFT($AJ258,4)="EGI ",ISNUMBER(MATCH(TRIM(MID($AJ258,5,99)),Lists!$T$2:$T$21,0))),INDEX(Lists!$U$2:$U$21,MATCH(TRIM(MID($AJ258,5,99)),Lists!$T$2:$T$21,0)),IF(OR(TRIM($J258)="",UPPER(TRIM($J258))="NA"),IFERROR(INDEX(Lists!$R$2:$R$9,MATCH(TRIM($G258),Lists!$Q$2:$Q$9,0)),"UNMAPPED"),IFERROR(INDEX(Lists!$U$2:$U$21,MATCH(TRIM($J258),Lists!$T$2:$T$21,0)),IFERROR(INDEX(Lists!$R$2:$R$9,MATCH(TRIM($G258),Lists!$Q$2:$Q$9,0)),"UNMAPPED"))))))))</f>
        <v>Ampol Retail</v>
      </c>
      <c r="AI258" s="534" t="b">
        <f>IF(TRIM($B258)="","",--OR(TRIM($L258)="Leadership",TRIM($K258)="Leadership"))</f>
        <v>0</v>
      </c>
      <c r="AJ258" s="534" t="str">
        <f>IF(TRIM($B258)="","",IF(COUNTIFS(Lists!$AN$2:$AN$22,TRIM($B258)&amp;" | "&amp;TRIM($D258),Lists!$AP$2:$AP$22,"&lt;&gt;"),INDEX(Lists!$AP$2:$AP$22,MATCH(TRIM($B258)&amp;" | "&amp;TRIM($D258),Lists!$AN$2:$AN$22,0)),IF($AI258=1,"Leadership",IFERROR(INDEX(Lists!$X$2:$X$21,MATCH(TRIM($L258),Lists!$W$2:$W$21,0)),IF(OR(TRIM($L258)="",LOWER(TRIM($L258))="na"),IF(TRIM($H258)="","Unassigned",TRIM($H258)),TRIM($L258))))))</f>
        <v>AmPOS</v>
      </c>
      <c r="AK258" s="534" t="str">
        <f>IF(TRIM($B258)="","",IF(COUNTIFS(Lists!$AN$2:$AN$22,TRIM($B258)&amp;" | "&amp;TRIM($D258),Lists!$AQ$2:$AQ$22,"&lt;&gt;"),INDEX(Lists!$AQ$2:$AQ$22,MATCH(TRIM($B258)&amp;" | "&amp;TRIM($D258),Lists!$AN$2:$AN$22,0)),IF(COUNTIF(Lists!$AF$2:$AF$8,$AJ258),$AJ258,IF(ISNUMBER(SEARCH("head of ",$D258)),"Head of Technology",IF(ISNUMBER(SEARCH("TDD BP",$D258)),"Business Partner",IF(OR(ISNUMBER(SEARCH("domain architect",$D258)),ISNUMBER(SEARCH("enterprise architect",$D258))),"Domain Architect",IF(ISNUMBER(SEARCH("delivery man",$D258)),"Delivery Manager",IF(OR(ISNUMBER(SEARCH("technology manager",$D258)),ISNUMBER(SEARCH("technology manger",$D258)),ISNUMBER(SEARCH("tech manager",$D258))),"Technology Manager","Squad"))))))))</f>
        <v>Squad</v>
      </c>
      <c r="AL258" s="534" t="str">
        <f>IF(TRIM($B258)="","",IF(AND($AM258=1,LEFT($AJ258,4)&lt;&gt;"EGI ",$AJ258&lt;&gt;"EGI"),IFERROR(INDEX(Lists!$Z$2:$Z$20,MATCH($AH258,Lists!$Y$2:$Y$20,0)),"EGI "&amp;$AH258),IF(COUNTIF(Lists!$AU$2:$AU$10,$AJ258),$AJ258,IF(OR(LEFT($AH258,3)="COE",$AH258="EGI"),$AJ258,IF($AK258&lt;&gt;"Squad",$AK258,$AJ258)))))</f>
        <v>AmPOS</v>
      </c>
      <c r="AM258" s="534" t="b">
        <f>IF(TRIM($B258)="","",--(UPPER(TRIM($K258))="EGI"))</f>
        <v>0</v>
      </c>
      <c r="AQ258" s="841" t="inlineStr">
        <is>
          <t>R0257</t>
        </is>
      </c>
      <c r="AZ258" s="841" t="n"/>
    </row>
    <row r="259" ht="18" customHeight="1" s="535">
      <c r="A259" s="842" t="n">
        <v>4259</v>
      </c>
      <c r="B259" s="843" t="inlineStr">
        <is>
          <t>Ephraim Adan</t>
        </is>
      </c>
      <c r="C259" s="842" t="n">
        <v>4259</v>
      </c>
      <c r="D259" s="843" t="inlineStr">
        <is>
          <t>Manager - AU Retail Operations</t>
        </is>
      </c>
      <c r="E259" s="843" t="inlineStr">
        <is>
          <t>Vedran Jukic</t>
        </is>
      </c>
      <c r="F259" s="843" t="inlineStr">
        <is>
          <t>Technology Manager, Retail</t>
        </is>
      </c>
      <c r="G259" s="844" t="inlineStr">
        <is>
          <t>Ampol Retail &amp; Z</t>
        </is>
      </c>
      <c r="H259" s="843" t="inlineStr">
        <is>
          <t>Ampol Retail</t>
        </is>
      </c>
      <c r="I259" s="843" t="inlineStr">
        <is>
          <t>Ampol Retail, Technology</t>
        </is>
      </c>
      <c r="J259" s="843" t="inlineStr">
        <is>
          <t>Retail</t>
        </is>
      </c>
      <c r="K259" s="843" t="inlineStr">
        <is>
          <t>Store Operations</t>
        </is>
      </c>
      <c r="L259" s="843" t="inlineStr">
        <is>
          <t>Store Operations</t>
        </is>
      </c>
      <c r="M259" s="843" t="n"/>
      <c r="N259" s="845" t="inlineStr">
        <is>
          <t>Australia</t>
        </is>
      </c>
      <c r="O259" s="846" t="inlineStr">
        <is>
          <t>CIC</t>
        </is>
      </c>
      <c r="P259" s="847" t="n">
        <v>1</v>
      </c>
      <c r="Q259" s="847" t="n"/>
      <c r="R259" s="847" t="inlineStr">
        <is>
          <t>Permanent - Full Time</t>
        </is>
      </c>
      <c r="S259" s="847" t="n"/>
      <c r="T259" s="847" t="n"/>
      <c r="U259" s="848" t="n">
        <v>68900</v>
      </c>
      <c r="V259" s="849" t="n">
        <v>63388</v>
      </c>
      <c r="W259" s="850" t="n">
        <v>0.1</v>
      </c>
      <c r="X259" s="847" t="n"/>
      <c r="Y259" s="850" t="n">
        <v>0.05</v>
      </c>
      <c r="Z259" s="851" t="n">
        <v>2910</v>
      </c>
      <c r="AA259" s="850" t="n">
        <v>0.03</v>
      </c>
      <c r="AB259" s="852" t="n">
        <v>77707.84</v>
      </c>
      <c r="AE259" s="534">
        <f>IF(TRIM($B259)="","",IF(AND(N($P259)&gt;0,N($P259)&lt;1),N($AB259)*N($P259),N($AB259)))</f>
        <v>77707.84</v>
      </c>
      <c r="AF259" s="534" t="str">
        <f>IF(TRIM($B259)="","",IF(OR(ISNUMBER(SEARCH("vacant",$B259)),ISNUMBER(SEARCH("ring fenced",$B259)),LOWER(TRIM($B259))="remove"),"Vacant","Filled"))</f>
        <v>Filled</v>
      </c>
      <c r="AG259" s="534" t="b">
        <f>IF(TRIM($B259)="","",--ISNUMBER(SEARCH("ring fenced",$B259)))</f>
        <v>0</v>
      </c>
      <c r="AH259" s="534" t="str">
        <f>IF(TRIM($B259)="","",IF(COUNTIFS(Lists!$AN$2:$AN$22,TRIM($B259)&amp;" | "&amp;TRIM($D259),Lists!$AO$2:$AO$22,"&lt;&gt;"),INDEX(Lists!$AO$2:$AO$22,MATCH(TRIM($B259)&amp;" | "&amp;TRIM($D259),Lists!$AN$2:$AN$22,0)),IF(COUNTIF(Lists!$AR$2:$AR$3,$AJ259),"TDD Cyber",IF(AND(LEFT($AJ259,4)="EGI ",ISNUMBER(MATCH(TRIM(MID($AJ259,5,99)),Lists!$AS$2:$AS$12,0))),TRIM(MID($AJ259,5,99)),IF(AND(LEFT($AJ259,4)="EGI ",ISNUMBER(MATCH(TRIM(MID($AJ259,5,99)),Lists!$T$2:$T$21,0))),INDEX(Lists!$U$2:$U$21,MATCH(TRIM(MID($AJ259,5,99)),Lists!$T$2:$T$21,0)),IF(OR(TRIM($J259)="",UPPER(TRIM($J259))="NA"),IFERROR(INDEX(Lists!$R$2:$R$9,MATCH(TRIM($G259),Lists!$Q$2:$Q$9,0)),"UNMAPPED"),IFERROR(INDEX(Lists!$U$2:$U$21,MATCH(TRIM($J259),Lists!$T$2:$T$21,0)),IFERROR(INDEX(Lists!$R$2:$R$9,MATCH(TRIM($G259),Lists!$Q$2:$Q$9,0)),"UNMAPPED"))))))))</f>
        <v>Ampol Retail</v>
      </c>
      <c r="AI259" s="534" t="b">
        <f>IF(TRIM($B259)="","",--OR(TRIM($L259)="Leadership",TRIM($K259)="Leadership"))</f>
        <v>0</v>
      </c>
      <c r="AJ259" s="534" t="str">
        <f>IF(TRIM($B259)="","",IF(COUNTIFS(Lists!$AN$2:$AN$22,TRIM($B259)&amp;" | "&amp;TRIM($D259),Lists!$AP$2:$AP$22,"&lt;&gt;"),INDEX(Lists!$AP$2:$AP$22,MATCH(TRIM($B259)&amp;" | "&amp;TRIM($D259),Lists!$AN$2:$AN$22,0)),IF($AI259=1,"Leadership",IFERROR(INDEX(Lists!$X$2:$X$21,MATCH(TRIM($L259),Lists!$W$2:$W$21,0)),IF(OR(TRIM($L259)="",LOWER(TRIM($L259))="na"),IF(TRIM($H259)="","Unassigned",TRIM($H259)),TRIM($L259))))))</f>
        <v>Store Operations</v>
      </c>
      <c r="AK259" s="534" t="str">
        <f>IF(TRIM($B259)="","",IF(COUNTIFS(Lists!$AN$2:$AN$22,TRIM($B259)&amp;" | "&amp;TRIM($D259),Lists!$AQ$2:$AQ$22,"&lt;&gt;"),INDEX(Lists!$AQ$2:$AQ$22,MATCH(TRIM($B259)&amp;" | "&amp;TRIM($D259),Lists!$AN$2:$AN$22,0)),IF(COUNTIF(Lists!$AF$2:$AF$8,$AJ259),$AJ259,IF(ISNUMBER(SEARCH("head of ",$D259)),"Head of Technology",IF(ISNUMBER(SEARCH("TDD BP",$D259)),"Business Partner",IF(OR(ISNUMBER(SEARCH("domain architect",$D259)),ISNUMBER(SEARCH("enterprise architect",$D259))),"Domain Architect",IF(ISNUMBER(SEARCH("delivery man",$D259)),"Delivery Manager",IF(OR(ISNUMBER(SEARCH("technology manager",$D259)),ISNUMBER(SEARCH("technology manger",$D259)),ISNUMBER(SEARCH("tech manager",$D259))),"Technology Manager","Squad"))))))))</f>
        <v>Squad</v>
      </c>
      <c r="AL259" s="534" t="str">
        <f>IF(TRIM($B259)="","",IF(AND($AM259=1,LEFT($AJ259,4)&lt;&gt;"EGI ",$AJ259&lt;&gt;"EGI"),IFERROR(INDEX(Lists!$Z$2:$Z$20,MATCH($AH259,Lists!$Y$2:$Y$20,0)),"EGI "&amp;$AH259),IF(COUNTIF(Lists!$AU$2:$AU$10,$AJ259),$AJ259,IF(OR(LEFT($AH259,3)="COE",$AH259="EGI"),$AJ259,IF($AK259&lt;&gt;"Squad",$AK259,$AJ259)))))</f>
        <v>Store Operations</v>
      </c>
      <c r="AM259" s="534" t="b">
        <f>IF(TRIM($B259)="","",--(UPPER(TRIM($K259))="EGI"))</f>
        <v>0</v>
      </c>
      <c r="AQ259" s="841" t="inlineStr">
        <is>
          <t>R0258</t>
        </is>
      </c>
      <c r="AZ259" s="841" t="n"/>
    </row>
    <row r="260" ht="18" customHeight="1" s="535">
      <c r="A260" s="842" t="n">
        <v>111835</v>
      </c>
      <c r="B260" s="843" t="inlineStr">
        <is>
          <t>Matthew Patane</t>
        </is>
      </c>
      <c r="C260" s="842" t="n">
        <v>111835</v>
      </c>
      <c r="D260" s="843" t="inlineStr">
        <is>
          <t>Release &amp; Deployment Manager</t>
        </is>
      </c>
      <c r="E260" s="843" t="inlineStr">
        <is>
          <t>Vedran Jukic</t>
        </is>
      </c>
      <c r="F260" s="843" t="inlineStr">
        <is>
          <t>Technology Manager, Retail</t>
        </is>
      </c>
      <c r="G260" s="844" t="inlineStr">
        <is>
          <t>Ampol Retail &amp; Z</t>
        </is>
      </c>
      <c r="H260" s="843" t="inlineStr">
        <is>
          <t>Ampol Retail</t>
        </is>
      </c>
      <c r="I260" s="843" t="inlineStr">
        <is>
          <t>Ampol Retail, Technology</t>
        </is>
      </c>
      <c r="J260" s="843" t="inlineStr">
        <is>
          <t>Retail</t>
        </is>
      </c>
      <c r="K260" s="843" t="inlineStr">
        <is>
          <t>Store Operations</t>
        </is>
      </c>
      <c r="L260" s="843" t="inlineStr">
        <is>
          <t>Deployment</t>
        </is>
      </c>
      <c r="M260" s="843" t="n"/>
      <c r="N260" s="845" t="inlineStr">
        <is>
          <t>Australia</t>
        </is>
      </c>
      <c r="O260" s="846" t="inlineStr">
        <is>
          <t>CIC</t>
        </is>
      </c>
      <c r="P260" s="847" t="n">
        <v>1</v>
      </c>
      <c r="Q260" s="847" t="n"/>
      <c r="R260" s="847" t="inlineStr">
        <is>
          <t>Permanent - Full Time</t>
        </is>
      </c>
      <c r="S260" s="847" t="n"/>
      <c r="T260" s="847" t="n"/>
      <c r="U260" s="848" t="n">
        <v>118020</v>
      </c>
      <c r="V260" s="849" t="n">
        <v>108578.4</v>
      </c>
      <c r="W260" s="850" t="n">
        <v>0.15</v>
      </c>
      <c r="X260" s="847" t="n"/>
      <c r="Y260" s="850" t="n">
        <v>0.05</v>
      </c>
      <c r="Z260" s="851" t="n">
        <v>2910</v>
      </c>
      <c r="AA260" s="850" t="n">
        <v>0.03</v>
      </c>
      <c r="AB260" s="852" t="n">
        <v>136461.432</v>
      </c>
      <c r="AE260" s="534">
        <f>IF(TRIM($B260)="","",IF(AND(N($P260)&gt;0,N($P260)&lt;1),N($AB260)*N($P260),N($AB260)))</f>
        <v>136461.432</v>
      </c>
      <c r="AF260" s="534" t="str">
        <f>IF(TRIM($B260)="","",IF(OR(ISNUMBER(SEARCH("vacant",$B260)),ISNUMBER(SEARCH("ring fenced",$B260)),LOWER(TRIM($B260))="remove"),"Vacant","Filled"))</f>
        <v>Filled</v>
      </c>
      <c r="AG260" s="534" t="b">
        <f>IF(TRIM($B260)="","",--ISNUMBER(SEARCH("ring fenced",$B260)))</f>
        <v>0</v>
      </c>
      <c r="AH260" s="534" t="str">
        <f>IF(TRIM($B260)="","",IF(COUNTIFS(Lists!$AN$2:$AN$22,TRIM($B260)&amp;" | "&amp;TRIM($D260),Lists!$AO$2:$AO$22,"&lt;&gt;"),INDEX(Lists!$AO$2:$AO$22,MATCH(TRIM($B260)&amp;" | "&amp;TRIM($D260),Lists!$AN$2:$AN$22,0)),IF(COUNTIF(Lists!$AR$2:$AR$3,$AJ260),"TDD Cyber",IF(AND(LEFT($AJ260,4)="EGI ",ISNUMBER(MATCH(TRIM(MID($AJ260,5,99)),Lists!$AS$2:$AS$12,0))),TRIM(MID($AJ260,5,99)),IF(AND(LEFT($AJ260,4)="EGI ",ISNUMBER(MATCH(TRIM(MID($AJ260,5,99)),Lists!$T$2:$T$21,0))),INDEX(Lists!$U$2:$U$21,MATCH(TRIM(MID($AJ260,5,99)),Lists!$T$2:$T$21,0)),IF(OR(TRIM($J260)="",UPPER(TRIM($J260))="NA"),IFERROR(INDEX(Lists!$R$2:$R$9,MATCH(TRIM($G260),Lists!$Q$2:$Q$9,0)),"UNMAPPED"),IFERROR(INDEX(Lists!$U$2:$U$21,MATCH(TRIM($J260),Lists!$T$2:$T$21,0)),IFERROR(INDEX(Lists!$R$2:$R$9,MATCH(TRIM($G260),Lists!$Q$2:$Q$9,0)),"UNMAPPED"))))))))</f>
        <v>Ampol Retail</v>
      </c>
      <c r="AI260" s="534" t="b">
        <f>IF(TRIM($B260)="","",--OR(TRIM($L260)="Leadership",TRIM($K260)="Leadership"))</f>
        <v>0</v>
      </c>
      <c r="AJ260" s="534" t="str">
        <f>IF(TRIM($B260)="","",IF(COUNTIFS(Lists!$AN$2:$AN$22,TRIM($B260)&amp;" | "&amp;TRIM($D260),Lists!$AP$2:$AP$22,"&lt;&gt;"),INDEX(Lists!$AP$2:$AP$22,MATCH(TRIM($B260)&amp;" | "&amp;TRIM($D260),Lists!$AN$2:$AN$22,0)),IF($AI260=1,"Leadership",IFERROR(INDEX(Lists!$X$2:$X$21,MATCH(TRIM($L260),Lists!$W$2:$W$21,0)),IF(OR(TRIM($L260)="",LOWER(TRIM($L260))="na"),IF(TRIM($H260)="","Unassigned",TRIM($H260)),TRIM($L260))))))</f>
        <v>Deployment</v>
      </c>
      <c r="AK260" s="534" t="str">
        <f>IF(TRIM($B260)="","",IF(COUNTIFS(Lists!$AN$2:$AN$22,TRIM($B260)&amp;" | "&amp;TRIM($D260),Lists!$AQ$2:$AQ$22,"&lt;&gt;"),INDEX(Lists!$AQ$2:$AQ$22,MATCH(TRIM($B260)&amp;" | "&amp;TRIM($D260),Lists!$AN$2:$AN$22,0)),IF(COUNTIF(Lists!$AF$2:$AF$8,$AJ260),$AJ260,IF(ISNUMBER(SEARCH("head of ",$D260)),"Head of Technology",IF(ISNUMBER(SEARCH("TDD BP",$D260)),"Business Partner",IF(OR(ISNUMBER(SEARCH("domain architect",$D260)),ISNUMBER(SEARCH("enterprise architect",$D260))),"Domain Architect",IF(ISNUMBER(SEARCH("delivery man",$D260)),"Delivery Manager",IF(OR(ISNUMBER(SEARCH("technology manager",$D260)),ISNUMBER(SEARCH("technology manger",$D260)),ISNUMBER(SEARCH("tech manager",$D260))),"Technology Manager","Squad"))))))))</f>
        <v>Squad</v>
      </c>
      <c r="AL260" s="534" t="str">
        <f>IF(TRIM($B260)="","",IF(AND($AM260=1,LEFT($AJ260,4)&lt;&gt;"EGI ",$AJ260&lt;&gt;"EGI"),IFERROR(INDEX(Lists!$Z$2:$Z$20,MATCH($AH260,Lists!$Y$2:$Y$20,0)),"EGI "&amp;$AH260),IF(COUNTIF(Lists!$AU$2:$AU$10,$AJ260),$AJ260,IF(OR(LEFT($AH260,3)="COE",$AH260="EGI"),$AJ260,IF($AK260&lt;&gt;"Squad",$AK260,$AJ260)))))</f>
        <v>Deployment</v>
      </c>
      <c r="AM260" s="534" t="b">
        <f>IF(TRIM($B260)="","",--(UPPER(TRIM($K260))="EGI"))</f>
        <v>0</v>
      </c>
      <c r="AQ260" s="841" t="inlineStr">
        <is>
          <t>R0259</t>
        </is>
      </c>
      <c r="AZ260" s="841" t="n"/>
    </row>
    <row r="261" ht="18" customHeight="1" s="535">
      <c r="A261" s="842" t="n">
        <v>95286</v>
      </c>
      <c r="B261" s="843" t="inlineStr">
        <is>
          <t>Navneet Singh</t>
        </is>
      </c>
      <c r="C261" s="842" t="n">
        <v>95286</v>
      </c>
      <c r="D261" s="843" t="inlineStr">
        <is>
          <t>Solution Architect</t>
        </is>
      </c>
      <c r="E261" s="843" t="inlineStr">
        <is>
          <t>Vedran Jukic</t>
        </is>
      </c>
      <c r="F261" s="843" t="inlineStr">
        <is>
          <t>Technology Manager, Retail</t>
        </is>
      </c>
      <c r="G261" s="844" t="inlineStr">
        <is>
          <t>Ampol Retail &amp; Z</t>
        </is>
      </c>
      <c r="H261" s="843" t="inlineStr">
        <is>
          <t>Ampol Retail</t>
        </is>
      </c>
      <c r="I261" s="843" t="inlineStr">
        <is>
          <t>Ampol Retail, Technology</t>
        </is>
      </c>
      <c r="J261" s="843" t="inlineStr">
        <is>
          <t>EGI Integration</t>
        </is>
      </c>
      <c r="K261" s="843" t="inlineStr">
        <is>
          <t>EGI</t>
        </is>
      </c>
      <c r="L261" s="843" t="inlineStr">
        <is>
          <t>EGI Retail</t>
        </is>
      </c>
      <c r="M261" s="843" t="n"/>
      <c r="N261" s="845" t="inlineStr">
        <is>
          <t>Australia</t>
        </is>
      </c>
      <c r="O261" s="846" t="inlineStr">
        <is>
          <t>CIC</t>
        </is>
      </c>
      <c r="P261" s="847" t="n">
        <v>1</v>
      </c>
      <c r="Q261" s="846" t="n"/>
      <c r="R261" s="847" t="inlineStr">
        <is>
          <t>Permanent - Full Time</t>
        </is>
      </c>
      <c r="S261" s="847" t="n"/>
      <c r="T261" s="847" t="n"/>
      <c r="U261" s="848" t="n">
        <v>100000</v>
      </c>
      <c r="V261" s="849" t="n">
        <v>100000</v>
      </c>
      <c r="W261" s="850" t="n">
        <v>0.12</v>
      </c>
      <c r="X261" s="847" t="n">
        <v>0.055</v>
      </c>
      <c r="Y261" s="850" t="n">
        <v>0.12</v>
      </c>
      <c r="Z261" s="851" t="n"/>
      <c r="AA261" s="850" t="n">
        <v>0.04</v>
      </c>
      <c r="AB261" s="852" t="n">
        <v>133500</v>
      </c>
      <c r="AE261" s="534">
        <f>IF(TRIM($B261)="","",IF(AND(N($P261)&gt;0,N($P261)&lt;1),N($AB261)*N($P261),N($AB261)))</f>
        <v>133500</v>
      </c>
      <c r="AF261" s="534" t="str">
        <f>IF(TRIM($B261)="","",IF(OR(ISNUMBER(SEARCH("vacant",$B261)),ISNUMBER(SEARCH("ring fenced",$B261)),LOWER(TRIM($B261))="remove"),"Vacant","Filled"))</f>
        <v>Filled</v>
      </c>
      <c r="AG261" s="534" t="b">
        <f>IF(TRIM($B261)="","",--ISNUMBER(SEARCH("ring fenced",$B261)))</f>
        <v>0</v>
      </c>
      <c r="AH261" s="534" t="str">
        <f>IF(TRIM($B261)="","",IF(COUNTIFS(Lists!$AN$2:$AN$22,TRIM($B261)&amp;" | "&amp;TRIM($D261),Lists!$AO$2:$AO$22,"&lt;&gt;"),INDEX(Lists!$AO$2:$AO$22,MATCH(TRIM($B261)&amp;" | "&amp;TRIM($D261),Lists!$AN$2:$AN$22,0)),IF(COUNTIF(Lists!$AR$2:$AR$3,$AJ261),"TDD Cyber",IF(AND(LEFT($AJ261,4)="EGI ",ISNUMBER(MATCH(TRIM(MID($AJ261,5,99)),Lists!$AS$2:$AS$12,0))),TRIM(MID($AJ261,5,99)),IF(AND(LEFT($AJ261,4)="EGI ",ISNUMBER(MATCH(TRIM(MID($AJ261,5,99)),Lists!$T$2:$T$21,0))),INDEX(Lists!$U$2:$U$21,MATCH(TRIM(MID($AJ261,5,99)),Lists!$T$2:$T$21,0)),IF(OR(TRIM($J261)="",UPPER(TRIM($J261))="NA"),IFERROR(INDEX(Lists!$R$2:$R$9,MATCH(TRIM($G261),Lists!$Q$2:$Q$9,0)),"UNMAPPED"),IFERROR(INDEX(Lists!$U$2:$U$21,MATCH(TRIM($J261),Lists!$T$2:$T$21,0)),IFERROR(INDEX(Lists!$R$2:$R$9,MATCH(TRIM($G261),Lists!$Q$2:$Q$9,0)),"UNMAPPED"))))))))</f>
        <v>Ampol Retail</v>
      </c>
      <c r="AI261" s="534" t="b">
        <f>IF(TRIM($B261)="","",--OR(TRIM($L261)="Leadership",TRIM($K261)="Leadership"))</f>
        <v>0</v>
      </c>
      <c r="AJ261" s="534" t="str">
        <f>IF(TRIM($B261)="","",IF(COUNTIFS(Lists!$AN$2:$AN$22,TRIM($B261)&amp;" | "&amp;TRIM($D261),Lists!$AP$2:$AP$22,"&lt;&gt;"),INDEX(Lists!$AP$2:$AP$22,MATCH(TRIM($B261)&amp;" | "&amp;TRIM($D261),Lists!$AN$2:$AN$22,0)),IF($AI261=1,"Leadership",IFERROR(INDEX(Lists!$X$2:$X$21,MATCH(TRIM($L261),Lists!$W$2:$W$21,0)),IF(OR(TRIM($L261)="",LOWER(TRIM($L261))="na"),IF(TRIM($H261)="","Unassigned",TRIM($H261)),TRIM($L261))))))</f>
        <v>EGI Retail</v>
      </c>
      <c r="AK261" s="534" t="str">
        <f>IF(TRIM($B261)="","",IF(COUNTIFS(Lists!$AN$2:$AN$22,TRIM($B261)&amp;" | "&amp;TRIM($D261),Lists!$AQ$2:$AQ$22,"&lt;&gt;"),INDEX(Lists!$AQ$2:$AQ$22,MATCH(TRIM($B261)&amp;" | "&amp;TRIM($D261),Lists!$AN$2:$AN$22,0)),IF(COUNTIF(Lists!$AF$2:$AF$8,$AJ261),$AJ261,IF(ISNUMBER(SEARCH("head of ",$D261)),"Head of Technology",IF(ISNUMBER(SEARCH("TDD BP",$D261)),"Business Partner",IF(OR(ISNUMBER(SEARCH("domain architect",$D261)),ISNUMBER(SEARCH("enterprise architect",$D261))),"Domain Architect",IF(ISNUMBER(SEARCH("delivery man",$D261)),"Delivery Manager",IF(OR(ISNUMBER(SEARCH("technology manager",$D261)),ISNUMBER(SEARCH("technology manger",$D261)),ISNUMBER(SEARCH("tech manager",$D261))),"Technology Manager","Squad"))))))))</f>
        <v>Squad</v>
      </c>
      <c r="AL261" s="534" t="str">
        <f>IF(TRIM($B261)="","",IF(AND($AM261=1,LEFT($AJ261,4)&lt;&gt;"EGI ",$AJ261&lt;&gt;"EGI"),IFERROR(INDEX(Lists!$Z$2:$Z$20,MATCH($AH261,Lists!$Y$2:$Y$20,0)),"EGI "&amp;$AH261),IF(COUNTIF(Lists!$AU$2:$AU$10,$AJ261),$AJ261,IF(OR(LEFT($AH261,3)="COE",$AH261="EGI"),$AJ261,IF($AK261&lt;&gt;"Squad",$AK261,$AJ261)))))</f>
        <v>EGI Retail</v>
      </c>
      <c r="AM261" s="534" t="b">
        <f>IF(TRIM($B261)="","",--(UPPER(TRIM($K261))="EGI"))</f>
        <v>1</v>
      </c>
      <c r="AQ261" s="841" t="inlineStr">
        <is>
          <t>R0260</t>
        </is>
      </c>
      <c r="AZ261" s="841" t="n"/>
    </row>
    <row r="262" ht="18" customHeight="1" s="535">
      <c r="A262" s="842" t="n">
        <v>98007</v>
      </c>
      <c r="B262" s="843" t="inlineStr">
        <is>
          <t>Sendhil Vinayagam (75% EGI)</t>
        </is>
      </c>
      <c r="C262" s="842" t="n">
        <v>98007</v>
      </c>
      <c r="D262" s="843" t="inlineStr">
        <is>
          <t>Solution Architect</t>
        </is>
      </c>
      <c r="E262" s="843" t="inlineStr">
        <is>
          <t>Vedran Jukic</t>
        </is>
      </c>
      <c r="F262" s="843" t="inlineStr">
        <is>
          <t>Technology Manager, Retail</t>
        </is>
      </c>
      <c r="G262" s="844" t="inlineStr">
        <is>
          <t>Ampol Retail &amp; Z</t>
        </is>
      </c>
      <c r="H262" s="843" t="inlineStr">
        <is>
          <t>Ampol Retail</t>
        </is>
      </c>
      <c r="I262" s="843" t="inlineStr">
        <is>
          <t>Ampol Retail, Technology</t>
        </is>
      </c>
      <c r="J262" s="843" t="inlineStr">
        <is>
          <t>EGI Integration</t>
        </is>
      </c>
      <c r="K262" s="843" t="inlineStr">
        <is>
          <t>EGI</t>
        </is>
      </c>
      <c r="L262" s="843" t="inlineStr">
        <is>
          <t>EGI Retail</t>
        </is>
      </c>
      <c r="M262" s="843" t="n"/>
      <c r="N262" s="845" t="inlineStr">
        <is>
          <t>Australia</t>
        </is>
      </c>
      <c r="O262" s="846" t="inlineStr">
        <is>
          <t>CIC</t>
        </is>
      </c>
      <c r="P262" s="847" t="n">
        <v>1</v>
      </c>
      <c r="Q262" s="847" t="n"/>
      <c r="R262" s="847" t="inlineStr">
        <is>
          <t>Permanent - Full Time</t>
        </is>
      </c>
      <c r="S262" s="847" t="n"/>
      <c r="T262" s="847" t="n"/>
      <c r="U262" s="848" t="n">
        <v>200410</v>
      </c>
      <c r="V262" s="849" t="n">
        <v>200410</v>
      </c>
      <c r="W262" s="850" t="n">
        <v>0.12</v>
      </c>
      <c r="X262" s="847" t="n">
        <v>0.055</v>
      </c>
      <c r="Y262" s="850" t="n">
        <v>0.12</v>
      </c>
      <c r="Z262" s="851" t="n"/>
      <c r="AA262" s="850" t="n">
        <v>0.04</v>
      </c>
      <c r="AB262" s="852" t="n">
        <v>267547.35</v>
      </c>
      <c r="AE262" s="534">
        <f>IF(TRIM($B262)="","",IF(AND(N($P262)&gt;0,N($P262)&lt;1),N($AB262)*N($P262),N($AB262)))</f>
        <v>267547.35</v>
      </c>
      <c r="AF262" s="534" t="str">
        <f>IF(TRIM($B262)="","",IF(OR(ISNUMBER(SEARCH("vacant",$B262)),ISNUMBER(SEARCH("ring fenced",$B262)),LOWER(TRIM($B262))="remove"),"Vacant","Filled"))</f>
        <v>Filled</v>
      </c>
      <c r="AG262" s="534" t="b">
        <f>IF(TRIM($B262)="","",--ISNUMBER(SEARCH("ring fenced",$B262)))</f>
        <v>0</v>
      </c>
      <c r="AH262" s="534" t="str">
        <f>IF(TRIM($B262)="","",IF(COUNTIFS(Lists!$AN$2:$AN$22,TRIM($B262)&amp;" | "&amp;TRIM($D262),Lists!$AO$2:$AO$22,"&lt;&gt;"),INDEX(Lists!$AO$2:$AO$22,MATCH(TRIM($B262)&amp;" | "&amp;TRIM($D262),Lists!$AN$2:$AN$22,0)),IF(COUNTIF(Lists!$AR$2:$AR$3,$AJ262),"TDD Cyber",IF(AND(LEFT($AJ262,4)="EGI ",ISNUMBER(MATCH(TRIM(MID($AJ262,5,99)),Lists!$AS$2:$AS$12,0))),TRIM(MID($AJ262,5,99)),IF(AND(LEFT($AJ262,4)="EGI ",ISNUMBER(MATCH(TRIM(MID($AJ262,5,99)),Lists!$T$2:$T$21,0))),INDEX(Lists!$U$2:$U$21,MATCH(TRIM(MID($AJ262,5,99)),Lists!$T$2:$T$21,0)),IF(OR(TRIM($J262)="",UPPER(TRIM($J262))="NA"),IFERROR(INDEX(Lists!$R$2:$R$9,MATCH(TRIM($G262),Lists!$Q$2:$Q$9,0)),"UNMAPPED"),IFERROR(INDEX(Lists!$U$2:$U$21,MATCH(TRIM($J262),Lists!$T$2:$T$21,0)),IFERROR(INDEX(Lists!$R$2:$R$9,MATCH(TRIM($G262),Lists!$Q$2:$Q$9,0)),"UNMAPPED"))))))))</f>
        <v>Ampol Retail</v>
      </c>
      <c r="AI262" s="534" t="b">
        <f>IF(TRIM($B262)="","",--OR(TRIM($L262)="Leadership",TRIM($K262)="Leadership"))</f>
        <v>0</v>
      </c>
      <c r="AJ262" s="534" t="str">
        <f>IF(TRIM($B262)="","",IF(COUNTIFS(Lists!$AN$2:$AN$22,TRIM($B262)&amp;" | "&amp;TRIM($D262),Lists!$AP$2:$AP$22,"&lt;&gt;"),INDEX(Lists!$AP$2:$AP$22,MATCH(TRIM($B262)&amp;" | "&amp;TRIM($D262),Lists!$AN$2:$AN$22,0)),IF($AI262=1,"Leadership",IFERROR(INDEX(Lists!$X$2:$X$21,MATCH(TRIM($L262),Lists!$W$2:$W$21,0)),IF(OR(TRIM($L262)="",LOWER(TRIM($L262))="na"),IF(TRIM($H262)="","Unassigned",TRIM($H262)),TRIM($L262))))))</f>
        <v>EGI Retail</v>
      </c>
      <c r="AK262" s="534" t="str">
        <f>IF(TRIM($B262)="","",IF(COUNTIFS(Lists!$AN$2:$AN$22,TRIM($B262)&amp;" | "&amp;TRIM($D262),Lists!$AQ$2:$AQ$22,"&lt;&gt;"),INDEX(Lists!$AQ$2:$AQ$22,MATCH(TRIM($B262)&amp;" | "&amp;TRIM($D262),Lists!$AN$2:$AN$22,0)),IF(COUNTIF(Lists!$AF$2:$AF$8,$AJ262),$AJ262,IF(ISNUMBER(SEARCH("head of ",$D262)),"Head of Technology",IF(ISNUMBER(SEARCH("TDD BP",$D262)),"Business Partner",IF(OR(ISNUMBER(SEARCH("domain architect",$D262)),ISNUMBER(SEARCH("enterprise architect",$D262))),"Domain Architect",IF(ISNUMBER(SEARCH("delivery man",$D262)),"Delivery Manager",IF(OR(ISNUMBER(SEARCH("technology manager",$D262)),ISNUMBER(SEARCH("technology manger",$D262)),ISNUMBER(SEARCH("tech manager",$D262))),"Technology Manager","Squad"))))))))</f>
        <v>Squad</v>
      </c>
      <c r="AL262" s="534" t="str">
        <f>IF(TRIM($B262)="","",IF(AND($AM262=1,LEFT($AJ262,4)&lt;&gt;"EGI ",$AJ262&lt;&gt;"EGI"),IFERROR(INDEX(Lists!$Z$2:$Z$20,MATCH($AH262,Lists!$Y$2:$Y$20,0)),"EGI "&amp;$AH262),IF(COUNTIF(Lists!$AU$2:$AU$10,$AJ262),$AJ262,IF(OR(LEFT($AH262,3)="COE",$AH262="EGI"),$AJ262,IF($AK262&lt;&gt;"Squad",$AK262,$AJ262)))))</f>
        <v>EGI Retail</v>
      </c>
      <c r="AM262" s="534" t="b">
        <f>IF(TRIM($B262)="","",--(UPPER(TRIM($K262))="EGI"))</f>
        <v>1</v>
      </c>
      <c r="AQ262" s="841" t="inlineStr">
        <is>
          <t>R0261</t>
        </is>
      </c>
      <c r="AZ262" s="841" t="n"/>
    </row>
    <row r="263" ht="18" customHeight="1" s="535">
      <c r="A263" s="842" t="n">
        <v>114990</v>
      </c>
      <c r="B263" s="843" t="inlineStr">
        <is>
          <t>Zhan Zhang</t>
        </is>
      </c>
      <c r="C263" s="842" t="n">
        <v>114990</v>
      </c>
      <c r="D263" s="843" t="inlineStr">
        <is>
          <t>Solution Architect</t>
        </is>
      </c>
      <c r="E263" s="843" t="inlineStr">
        <is>
          <t>Vedran Jukic</t>
        </is>
      </c>
      <c r="F263" s="843" t="inlineStr">
        <is>
          <t>Technology Manager, Retail</t>
        </is>
      </c>
      <c r="G263" s="844" t="inlineStr">
        <is>
          <t>Ampol Retail &amp; Z</t>
        </is>
      </c>
      <c r="H263" s="843" t="inlineStr">
        <is>
          <t>Ampol Retail</t>
        </is>
      </c>
      <c r="I263" s="843" t="inlineStr">
        <is>
          <t>Ampol Retail, Technology</t>
        </is>
      </c>
      <c r="J263" s="843" t="inlineStr">
        <is>
          <t>Retail</t>
        </is>
      </c>
      <c r="K263" s="843" t="inlineStr">
        <is>
          <t>Above Store</t>
        </is>
      </c>
      <c r="L263" s="843" t="inlineStr">
        <is>
          <t>Above Store</t>
        </is>
      </c>
      <c r="M263" s="843" t="n"/>
      <c r="N263" s="845" t="inlineStr">
        <is>
          <t>Australia</t>
        </is>
      </c>
      <c r="O263" s="846" t="inlineStr">
        <is>
          <t>CIC</t>
        </is>
      </c>
      <c r="P263" s="847" t="n">
        <v>1</v>
      </c>
      <c r="Q263" s="847" t="n"/>
      <c r="R263" s="847" t="inlineStr">
        <is>
          <t>Permanent - Full Time</t>
        </is>
      </c>
      <c r="S263" s="847" t="n"/>
      <c r="T263" s="847" t="n"/>
      <c r="U263" s="848" t="n">
        <v>182500</v>
      </c>
      <c r="V263" s="849" t="n">
        <v>182500</v>
      </c>
      <c r="W263" s="850" t="n">
        <v>0.12</v>
      </c>
      <c r="X263" s="847" t="n">
        <v>0.055</v>
      </c>
      <c r="Y263" s="850" t="n">
        <v>0.12</v>
      </c>
      <c r="Z263" s="851" t="n"/>
      <c r="AA263" s="850" t="n">
        <v>0.04</v>
      </c>
      <c r="AB263" s="852" t="n">
        <v>243637.5</v>
      </c>
      <c r="AE263" s="534">
        <f>IF(TRIM($B263)="","",IF(AND(N($P263)&gt;0,N($P263)&lt;1),N($AB263)*N($P263),N($AB263)))</f>
        <v>243637.5</v>
      </c>
      <c r="AF263" s="534" t="str">
        <f>IF(TRIM($B263)="","",IF(OR(ISNUMBER(SEARCH("vacant",$B263)),ISNUMBER(SEARCH("ring fenced",$B263)),LOWER(TRIM($B263))="remove"),"Vacant","Filled"))</f>
        <v>Filled</v>
      </c>
      <c r="AG263" s="534" t="b">
        <f>IF(TRIM($B263)="","",--ISNUMBER(SEARCH("ring fenced",$B263)))</f>
        <v>0</v>
      </c>
      <c r="AH263" s="534" t="str">
        <f>IF(TRIM($B263)="","",IF(COUNTIFS(Lists!$AN$2:$AN$22,TRIM($B263)&amp;" | "&amp;TRIM($D263),Lists!$AO$2:$AO$22,"&lt;&gt;"),INDEX(Lists!$AO$2:$AO$22,MATCH(TRIM($B263)&amp;" | "&amp;TRIM($D263),Lists!$AN$2:$AN$22,0)),IF(COUNTIF(Lists!$AR$2:$AR$3,$AJ263),"TDD Cyber",IF(AND(LEFT($AJ263,4)="EGI ",ISNUMBER(MATCH(TRIM(MID($AJ263,5,99)),Lists!$AS$2:$AS$12,0))),TRIM(MID($AJ263,5,99)),IF(AND(LEFT($AJ263,4)="EGI ",ISNUMBER(MATCH(TRIM(MID($AJ263,5,99)),Lists!$T$2:$T$21,0))),INDEX(Lists!$U$2:$U$21,MATCH(TRIM(MID($AJ263,5,99)),Lists!$T$2:$T$21,0)),IF(OR(TRIM($J263)="",UPPER(TRIM($J263))="NA"),IFERROR(INDEX(Lists!$R$2:$R$9,MATCH(TRIM($G263),Lists!$Q$2:$Q$9,0)),"UNMAPPED"),IFERROR(INDEX(Lists!$U$2:$U$21,MATCH(TRIM($J263),Lists!$T$2:$T$21,0)),IFERROR(INDEX(Lists!$R$2:$R$9,MATCH(TRIM($G263),Lists!$Q$2:$Q$9,0)),"UNMAPPED"))))))))</f>
        <v>Ampol Retail</v>
      </c>
      <c r="AI263" s="534" t="b">
        <f>IF(TRIM($B263)="","",--OR(TRIM($L263)="Leadership",TRIM($K263)="Leadership"))</f>
        <v>0</v>
      </c>
      <c r="AJ263" s="534" t="str">
        <f>IF(TRIM($B263)="","",IF(COUNTIFS(Lists!$AN$2:$AN$22,TRIM($B263)&amp;" | "&amp;TRIM($D263),Lists!$AP$2:$AP$22,"&lt;&gt;"),INDEX(Lists!$AP$2:$AP$22,MATCH(TRIM($B263)&amp;" | "&amp;TRIM($D263),Lists!$AN$2:$AN$22,0)),IF($AI263=1,"Leadership",IFERROR(INDEX(Lists!$X$2:$X$21,MATCH(TRIM($L263),Lists!$W$2:$W$21,0)),IF(OR(TRIM($L263)="",LOWER(TRIM($L263))="na"),IF(TRIM($H263)="","Unassigned",TRIM($H263)),TRIM($L263))))))</f>
        <v>Above Store</v>
      </c>
      <c r="AK263" s="534" t="str">
        <f>IF(TRIM($B263)="","",IF(COUNTIFS(Lists!$AN$2:$AN$22,TRIM($B263)&amp;" | "&amp;TRIM($D263),Lists!$AQ$2:$AQ$22,"&lt;&gt;"),INDEX(Lists!$AQ$2:$AQ$22,MATCH(TRIM($B263)&amp;" | "&amp;TRIM($D263),Lists!$AN$2:$AN$22,0)),IF(COUNTIF(Lists!$AF$2:$AF$8,$AJ263),$AJ263,IF(ISNUMBER(SEARCH("head of ",$D263)),"Head of Technology",IF(ISNUMBER(SEARCH("TDD BP",$D263)),"Business Partner",IF(OR(ISNUMBER(SEARCH("domain architect",$D263)),ISNUMBER(SEARCH("enterprise architect",$D263))),"Domain Architect",IF(ISNUMBER(SEARCH("delivery man",$D263)),"Delivery Manager",IF(OR(ISNUMBER(SEARCH("technology manager",$D263)),ISNUMBER(SEARCH("technology manger",$D263)),ISNUMBER(SEARCH("tech manager",$D263))),"Technology Manager","Squad"))))))))</f>
        <v>Squad</v>
      </c>
      <c r="AL263" s="534" t="str">
        <f>IF(TRIM($B263)="","",IF(AND($AM263=1,LEFT($AJ263,4)&lt;&gt;"EGI ",$AJ263&lt;&gt;"EGI"),IFERROR(INDEX(Lists!$Z$2:$Z$20,MATCH($AH263,Lists!$Y$2:$Y$20,0)),"EGI "&amp;$AH263),IF(COUNTIF(Lists!$AU$2:$AU$10,$AJ263),$AJ263,IF(OR(LEFT($AH263,3)="COE",$AH263="EGI"),$AJ263,IF($AK263&lt;&gt;"Squad",$AK263,$AJ263)))))</f>
        <v>Above Store</v>
      </c>
      <c r="AM263" s="534" t="b">
        <f>IF(TRIM($B263)="","",--(UPPER(TRIM($K263))="EGI"))</f>
        <v>0</v>
      </c>
      <c r="AQ263" s="841" t="inlineStr">
        <is>
          <t>R0262</t>
        </is>
      </c>
      <c r="AZ263" s="841" t="n"/>
    </row>
    <row r="264" ht="18" customHeight="1" s="535">
      <c r="A264" s="842" t="n">
        <v>98924</v>
      </c>
      <c r="B264" s="843" t="inlineStr">
        <is>
          <t>Dan Balsamo</t>
        </is>
      </c>
      <c r="C264" s="842" t="n">
        <v>98924</v>
      </c>
      <c r="D264" s="843" t="inlineStr">
        <is>
          <t>Senior Cyber Project Manager</t>
        </is>
      </c>
      <c r="E264" s="843" t="inlineStr">
        <is>
          <t>Vivienne Vasak</t>
        </is>
      </c>
      <c r="F264" s="843" t="inlineStr">
        <is>
          <t xml:space="preserve">Head of Cyber Strategy &amp; Technology </t>
        </is>
      </c>
      <c r="G264" s="844" t="inlineStr">
        <is>
          <t>Cyber, Risk &amp; Operations</t>
        </is>
      </c>
      <c r="H264" s="843" t="inlineStr">
        <is>
          <t>Cyber Strat &amp; Tech</t>
        </is>
      </c>
      <c r="I264" s="843" t="inlineStr">
        <is>
          <t>NA</t>
        </is>
      </c>
      <c r="J264" s="843" t="inlineStr">
        <is>
          <t>NA</t>
        </is>
      </c>
      <c r="K264" s="843" t="inlineStr">
        <is>
          <t>NA</t>
        </is>
      </c>
      <c r="L264" s="843" t="inlineStr">
        <is>
          <t>NA</t>
        </is>
      </c>
      <c r="M264" s="843" t="n"/>
      <c r="N264" s="845" t="inlineStr">
        <is>
          <t>Australia</t>
        </is>
      </c>
      <c r="O264" s="846" t="inlineStr">
        <is>
          <t>CIC</t>
        </is>
      </c>
      <c r="P264" s="847" t="n">
        <v>1</v>
      </c>
      <c r="Q264" s="846" t="n"/>
      <c r="R264" s="847" t="inlineStr">
        <is>
          <t>Permanent - Full Time</t>
        </is>
      </c>
      <c r="S264" s="847" t="n"/>
      <c r="T264" s="847" t="n"/>
      <c r="U264" s="848" t="n">
        <v>193690</v>
      </c>
      <c r="V264" s="849" t="n">
        <v>193690</v>
      </c>
      <c r="W264" s="850" t="n">
        <v>0.12</v>
      </c>
      <c r="X264" s="847" t="n">
        <v>0.055</v>
      </c>
      <c r="Y264" s="850" t="n">
        <v>0.12</v>
      </c>
      <c r="Z264" s="851" t="n"/>
      <c r="AA264" s="850" t="n">
        <v>0.04</v>
      </c>
      <c r="AB264" s="852" t="n">
        <v>258576.15</v>
      </c>
      <c r="AE264" s="534">
        <f>IF(TRIM($B264)="","",IF(AND(N($P264)&gt;0,N($P264)&lt;1),N($AB264)*N($P264),N($AB264)))</f>
        <v>258576.15</v>
      </c>
      <c r="AF264" s="534" t="str">
        <f>IF(TRIM($B264)="","",IF(OR(ISNUMBER(SEARCH("vacant",$B264)),ISNUMBER(SEARCH("ring fenced",$B264)),LOWER(TRIM($B264))="remove"),"Vacant","Filled"))</f>
        <v>Filled</v>
      </c>
      <c r="AG264" s="534" t="b">
        <f>IF(TRIM($B264)="","",--ISNUMBER(SEARCH("ring fenced",$B264)))</f>
        <v>0</v>
      </c>
      <c r="AH264" s="534" t="str">
        <f>IF(TRIM($B264)="","",IF(COUNTIFS(Lists!$AN$2:$AN$22,TRIM($B264)&amp;" | "&amp;TRIM($D264),Lists!$AO$2:$AO$22,"&lt;&gt;"),INDEX(Lists!$AO$2:$AO$22,MATCH(TRIM($B264)&amp;" | "&amp;TRIM($D264),Lists!$AN$2:$AN$22,0)),IF(COUNTIF(Lists!$AR$2:$AR$3,$AJ264),"TDD Cyber",IF(AND(LEFT($AJ264,4)="EGI ",ISNUMBER(MATCH(TRIM(MID($AJ264,5,99)),Lists!$AS$2:$AS$12,0))),TRIM(MID($AJ264,5,99)),IF(AND(LEFT($AJ264,4)="EGI ",ISNUMBER(MATCH(TRIM(MID($AJ264,5,99)),Lists!$T$2:$T$21,0))),INDEX(Lists!$U$2:$U$21,MATCH(TRIM(MID($AJ264,5,99)),Lists!$T$2:$T$21,0)),IF(OR(TRIM($J264)="",UPPER(TRIM($J264))="NA"),IFERROR(INDEX(Lists!$R$2:$R$9,MATCH(TRIM($G264),Lists!$Q$2:$Q$9,0)),"UNMAPPED"),IFERROR(INDEX(Lists!$U$2:$U$21,MATCH(TRIM($J264),Lists!$T$2:$T$21,0)),IFERROR(INDEX(Lists!$R$2:$R$9,MATCH(TRIM($G264),Lists!$Q$2:$Q$9,0)),"UNMAPPED"))))))))</f>
        <v>TDD Cyber</v>
      </c>
      <c r="AI264" s="534" t="b">
        <f>IF(TRIM($B264)="","",--OR(TRIM($L264)="Leadership",TRIM($K264)="Leadership"))</f>
        <v>0</v>
      </c>
      <c r="AJ264" s="534" t="str">
        <f>IF(TRIM($B264)="","",IF(COUNTIFS(Lists!$AN$2:$AN$22,TRIM($B264)&amp;" | "&amp;TRIM($D264),Lists!$AP$2:$AP$22,"&lt;&gt;"),INDEX(Lists!$AP$2:$AP$22,MATCH(TRIM($B264)&amp;" | "&amp;TRIM($D264),Lists!$AN$2:$AN$22,0)),IF($AI264=1,"Leadership",IFERROR(INDEX(Lists!$X$2:$X$21,MATCH(TRIM($L264),Lists!$W$2:$W$21,0)),IF(OR(TRIM($L264)="",LOWER(TRIM($L264))="na"),IF(TRIM($H264)="","Unassigned",TRIM($H264)),TRIM($L264))))))</f>
        <v>Cyber Uplift</v>
      </c>
      <c r="AK264" s="534" t="str">
        <f>IF(TRIM($B264)="","",IF(COUNTIFS(Lists!$AN$2:$AN$22,TRIM($B264)&amp;" | "&amp;TRIM($D264),Lists!$AQ$2:$AQ$22,"&lt;&gt;"),INDEX(Lists!$AQ$2:$AQ$22,MATCH(TRIM($B264)&amp;" | "&amp;TRIM($D264),Lists!$AN$2:$AN$22,0)),IF(COUNTIF(Lists!$AF$2:$AF$8,$AJ264),$AJ264,IF(ISNUMBER(SEARCH("head of ",$D264)),"Head of Technology",IF(ISNUMBER(SEARCH("TDD BP",$D264)),"Business Partner",IF(OR(ISNUMBER(SEARCH("domain architect",$D264)),ISNUMBER(SEARCH("enterprise architect",$D264))),"Domain Architect",IF(ISNUMBER(SEARCH("delivery man",$D264)),"Delivery Manager",IF(OR(ISNUMBER(SEARCH("technology manager",$D264)),ISNUMBER(SEARCH("technology manger",$D264)),ISNUMBER(SEARCH("tech manager",$D264))),"Technology Manager","Squad"))))))))</f>
        <v>Squad</v>
      </c>
      <c r="AL264" s="534" t="str">
        <f>IF(TRIM($B264)="","",IF(AND($AM264=1,LEFT($AJ264,4)&lt;&gt;"EGI ",$AJ264&lt;&gt;"EGI"),IFERROR(INDEX(Lists!$Z$2:$Z$20,MATCH($AH264,Lists!$Y$2:$Y$20,0)),"EGI "&amp;$AH264),IF(COUNTIF(Lists!$AU$2:$AU$10,$AJ264),$AJ264,IF(OR(LEFT($AH264,3)="COE",$AH264="EGI"),$AJ264,IF($AK264&lt;&gt;"Squad",$AK264,$AJ264)))))</f>
        <v>Cyber Uplift</v>
      </c>
      <c r="AM264" s="534" t="b">
        <f>IF(TRIM($B264)="","",--(UPPER(TRIM($K264))="EGI"))</f>
        <v>0</v>
      </c>
      <c r="AQ264" s="841" t="inlineStr">
        <is>
          <t>R0263</t>
        </is>
      </c>
      <c r="AZ264" s="841" t="n"/>
    </row>
    <row r="265" ht="18" customHeight="1" s="535">
      <c r="A265" s="842" t="n">
        <v>117595</v>
      </c>
      <c r="B265" s="843" t="inlineStr">
        <is>
          <t>Sri Balan Raj</t>
        </is>
      </c>
      <c r="C265" s="842" t="n">
        <v>117595</v>
      </c>
      <c r="D265" s="843" t="inlineStr">
        <is>
          <t>Business Analyst</t>
        </is>
      </c>
      <c r="E265" s="843" t="inlineStr">
        <is>
          <t>Adriel Jeyanandhan</t>
        </is>
      </c>
      <c r="F265" s="843" t="inlineStr">
        <is>
          <t>Delivery Manager, Digital</t>
        </is>
      </c>
      <c r="G265" s="844" t="inlineStr">
        <is>
          <t>Customer</t>
        </is>
      </c>
      <c r="H265" s="843" t="inlineStr">
        <is>
          <t>Digital</t>
        </is>
      </c>
      <c r="I265" s="843" t="inlineStr">
        <is>
          <t>Digital, Delivery</t>
        </is>
      </c>
      <c r="J265" s="843" t="inlineStr">
        <is>
          <t>EGI Integration</t>
        </is>
      </c>
      <c r="K265" s="843" t="inlineStr">
        <is>
          <t>EGI</t>
        </is>
      </c>
      <c r="L265" s="843" t="inlineStr">
        <is>
          <t>EGI Customer</t>
        </is>
      </c>
      <c r="M265" s="843" t="n"/>
      <c r="N265" s="845" t="inlineStr">
        <is>
          <t>Australia</t>
        </is>
      </c>
      <c r="O265" s="846" t="inlineStr">
        <is>
          <t>CIB (Often)</t>
        </is>
      </c>
      <c r="P265" s="847" t="n">
        <v>1</v>
      </c>
      <c r="Q265" s="846" t="n"/>
      <c r="R265" s="847" t="inlineStr">
        <is>
          <t>Permanent - Full Time</t>
        </is>
      </c>
      <c r="S265" s="847" t="n"/>
      <c r="T265" s="847" t="n"/>
      <c r="U265" s="848" t="n">
        <v>165000</v>
      </c>
      <c r="V265" s="849" t="n">
        <v>203550</v>
      </c>
      <c r="W265" s="850" t="n">
        <v>0.12</v>
      </c>
      <c r="X265" s="847" t="n">
        <v>0.055</v>
      </c>
      <c r="Y265" s="850" t="n">
        <v>0.12</v>
      </c>
      <c r="Z265" s="851" t="n"/>
      <c r="AA265" s="850" t="n">
        <v>0.04</v>
      </c>
      <c r="AB265" s="852" t="n">
        <v>216047.05</v>
      </c>
      <c r="AE265" s="534">
        <f>IF(TRIM($B265)="","",IF(AND(N($P265)&gt;0,N($P265)&lt;1),N($AB265)*N($P265),N($AB265)))</f>
        <v>216047.05</v>
      </c>
      <c r="AF265" s="534" t="str">
        <f>IF(TRIM($B265)="","",IF(OR(ISNUMBER(SEARCH("vacant",$B265)),ISNUMBER(SEARCH("ring fenced",$B265)),LOWER(TRIM($B265))="remove"),"Vacant","Filled"))</f>
        <v>Filled</v>
      </c>
      <c r="AG265" s="534" t="b">
        <f>IF(TRIM($B265)="","",--ISNUMBER(SEARCH("ring fenced",$B265)))</f>
        <v>0</v>
      </c>
      <c r="AH265" s="534" t="str">
        <f>IF(TRIM($B265)="","",IF(COUNTIFS(Lists!$AN$2:$AN$22,TRIM($B265)&amp;" | "&amp;TRIM($D265),Lists!$AO$2:$AO$22,"&lt;&gt;"),INDEX(Lists!$AO$2:$AO$22,MATCH(TRIM($B265)&amp;" | "&amp;TRIM($D265),Lists!$AN$2:$AN$22,0)),IF(COUNTIF(Lists!$AR$2:$AR$3,$AJ265),"TDD Cyber",IF(AND(LEFT($AJ265,4)="EGI ",ISNUMBER(MATCH(TRIM(MID($AJ265,5,99)),Lists!$AS$2:$AS$12,0))),TRIM(MID($AJ265,5,99)),IF(AND(LEFT($AJ265,4)="EGI ",ISNUMBER(MATCH(TRIM(MID($AJ265,5,99)),Lists!$T$2:$T$21,0))),INDEX(Lists!$U$2:$U$21,MATCH(TRIM(MID($AJ265,5,99)),Lists!$T$2:$T$21,0)),IF(OR(TRIM($J265)="",UPPER(TRIM($J265))="NA"),IFERROR(INDEX(Lists!$R$2:$R$9,MATCH(TRIM($G265),Lists!$Q$2:$Q$9,0)),"UNMAPPED"),IFERROR(INDEX(Lists!$U$2:$U$21,MATCH(TRIM($J265),Lists!$T$2:$T$21,0)),IFERROR(INDEX(Lists!$R$2:$R$9,MATCH(TRIM($G265),Lists!$Q$2:$Q$9,0)),"UNMAPPED"))))))))</f>
        <v>Customer</v>
      </c>
      <c r="AI265" s="534" t="b">
        <f>IF(TRIM($B265)="","",--OR(TRIM($L265)="Leadership",TRIM($K265)="Leadership"))</f>
        <v>0</v>
      </c>
      <c r="AJ265" s="534" t="str">
        <f>IF(TRIM($B265)="","",IF(COUNTIFS(Lists!$AN$2:$AN$22,TRIM($B265)&amp;" | "&amp;TRIM($D265),Lists!$AP$2:$AP$22,"&lt;&gt;"),INDEX(Lists!$AP$2:$AP$22,MATCH(TRIM($B265)&amp;" | "&amp;TRIM($D265),Lists!$AN$2:$AN$22,0)),IF($AI265=1,"Leadership",IFERROR(INDEX(Lists!$X$2:$X$21,MATCH(TRIM($L265),Lists!$W$2:$W$21,0)),IF(OR(TRIM($L265)="",LOWER(TRIM($L265))="na"),IF(TRIM($H265)="","Unassigned",TRIM($H265)),TRIM($L265))))))</f>
        <v>EGI Customer</v>
      </c>
      <c r="AK265" s="534" t="str">
        <f>IF(TRIM($B265)="","",IF(COUNTIFS(Lists!$AN$2:$AN$22,TRIM($B265)&amp;" | "&amp;TRIM($D265),Lists!$AQ$2:$AQ$22,"&lt;&gt;"),INDEX(Lists!$AQ$2:$AQ$22,MATCH(TRIM($B265)&amp;" | "&amp;TRIM($D265),Lists!$AN$2:$AN$22,0)),IF(COUNTIF(Lists!$AF$2:$AF$8,$AJ265),$AJ265,IF(ISNUMBER(SEARCH("head of ",$D265)),"Head of Technology",IF(ISNUMBER(SEARCH("TDD BP",$D265)),"Business Partner",IF(OR(ISNUMBER(SEARCH("domain architect",$D265)),ISNUMBER(SEARCH("enterprise architect",$D265))),"Domain Architect",IF(ISNUMBER(SEARCH("delivery man",$D265)),"Delivery Manager",IF(OR(ISNUMBER(SEARCH("technology manager",$D265)),ISNUMBER(SEARCH("technology manger",$D265)),ISNUMBER(SEARCH("tech manager",$D265))),"Technology Manager","Squad"))))))))</f>
        <v>Squad</v>
      </c>
      <c r="AL265" s="534" t="str">
        <f>IF(TRIM($B265)="","",IF(AND($AM265=1,LEFT($AJ265,4)&lt;&gt;"EGI ",$AJ265&lt;&gt;"EGI"),IFERROR(INDEX(Lists!$Z$2:$Z$20,MATCH($AH265,Lists!$Y$2:$Y$20,0)),"EGI "&amp;$AH265),IF(COUNTIF(Lists!$AU$2:$AU$10,$AJ265),$AJ265,IF(OR(LEFT($AH265,3)="COE",$AH265="EGI"),$AJ265,IF($AK265&lt;&gt;"Squad",$AK265,$AJ265)))))</f>
        <v>EGI Customer</v>
      </c>
      <c r="AM265" s="534" t="b">
        <f>IF(TRIM($B265)="","",--(UPPER(TRIM($K265))="EGI"))</f>
        <v>1</v>
      </c>
      <c r="AN265" s="534" t="inlineStr">
        <is>
          <t>Filled</t>
        </is>
      </c>
      <c r="AQ265" s="841" t="inlineStr">
        <is>
          <t>R0264</t>
        </is>
      </c>
      <c r="AZ265" s="841" t="n"/>
    </row>
    <row r="266" ht="18" customHeight="1" s="535">
      <c r="A266" s="842" t="n">
        <v>98144</v>
      </c>
      <c r="B266" s="843" t="inlineStr">
        <is>
          <t>Angie Ng</t>
        </is>
      </c>
      <c r="C266" s="842" t="n">
        <v>98144</v>
      </c>
      <c r="D266" s="843" t="inlineStr">
        <is>
          <t>Snr Engineer - BE</t>
        </is>
      </c>
      <c r="E266" s="843" t="inlineStr">
        <is>
          <t>Khalid Mahmud</t>
        </is>
      </c>
      <c r="F266" s="843" t="inlineStr">
        <is>
          <t>Lead Engineer - BE</t>
        </is>
      </c>
      <c r="G266" s="844" t="inlineStr">
        <is>
          <t>Customer</t>
        </is>
      </c>
      <c r="H266" s="843" t="inlineStr">
        <is>
          <t>Digital</t>
        </is>
      </c>
      <c r="I266" s="843" t="inlineStr">
        <is>
          <t>Tech, Digital Engineering</t>
        </is>
      </c>
      <c r="J266" s="843" t="inlineStr">
        <is>
          <t>EGI Integration</t>
        </is>
      </c>
      <c r="K266" s="843" t="inlineStr">
        <is>
          <t>EGI</t>
        </is>
      </c>
      <c r="L266" s="843" t="inlineStr">
        <is>
          <t>EGI Customer</t>
        </is>
      </c>
      <c r="M266" s="843" t="n"/>
      <c r="N266" s="845" t="inlineStr">
        <is>
          <t>Australia</t>
        </is>
      </c>
      <c r="O266" s="846" t="inlineStr">
        <is>
          <t>CIB (Often)</t>
        </is>
      </c>
      <c r="P266" s="847" t="n">
        <v>1</v>
      </c>
      <c r="Q266" s="847" t="n"/>
      <c r="R266" s="847" t="inlineStr">
        <is>
          <t>Permanent - Full Time</t>
        </is>
      </c>
      <c r="S266" s="847" t="n"/>
      <c r="T266" s="847" t="n"/>
      <c r="U266" s="848" t="n">
        <v>163990</v>
      </c>
      <c r="V266" s="849" t="n">
        <v>163990</v>
      </c>
      <c r="W266" s="850" t="n">
        <v>0.12</v>
      </c>
      <c r="X266" s="847" t="n">
        <v>0.055</v>
      </c>
      <c r="Y266" s="850" t="n">
        <v>0.12</v>
      </c>
      <c r="Z266" s="851" t="n"/>
      <c r="AA266" s="850" t="n">
        <v>0.04</v>
      </c>
      <c r="AB266" s="852" t="n">
        <v>218926.65</v>
      </c>
      <c r="AE266" s="534">
        <f>IF(TRIM($B266)="","",IF(AND(N($P266)&gt;0,N($P266)&lt;1),N($AB266)*N($P266),N($AB266)))</f>
        <v>218926.65</v>
      </c>
      <c r="AF266" s="534" t="str">
        <f>IF(TRIM($B266)="","",IF(OR(ISNUMBER(SEARCH("vacant",$B266)),ISNUMBER(SEARCH("ring fenced",$B266)),LOWER(TRIM($B266))="remove"),"Vacant","Filled"))</f>
        <v>Filled</v>
      </c>
      <c r="AG266" s="534" t="b">
        <f>IF(TRIM($B266)="","",--ISNUMBER(SEARCH("ring fenced",$B266)))</f>
        <v>0</v>
      </c>
      <c r="AH266" s="534" t="str">
        <f>IF(TRIM($B266)="","",IF(COUNTIFS(Lists!$AN$2:$AN$22,TRIM($B266)&amp;" | "&amp;TRIM($D266),Lists!$AO$2:$AO$22,"&lt;&gt;"),INDEX(Lists!$AO$2:$AO$22,MATCH(TRIM($B266)&amp;" | "&amp;TRIM($D266),Lists!$AN$2:$AN$22,0)),IF(COUNTIF(Lists!$AR$2:$AR$3,$AJ266),"TDD Cyber",IF(AND(LEFT($AJ266,4)="EGI ",ISNUMBER(MATCH(TRIM(MID($AJ266,5,99)),Lists!$AS$2:$AS$12,0))),TRIM(MID($AJ266,5,99)),IF(AND(LEFT($AJ266,4)="EGI ",ISNUMBER(MATCH(TRIM(MID($AJ266,5,99)),Lists!$T$2:$T$21,0))),INDEX(Lists!$U$2:$U$21,MATCH(TRIM(MID($AJ266,5,99)),Lists!$T$2:$T$21,0)),IF(OR(TRIM($J266)="",UPPER(TRIM($J266))="NA"),IFERROR(INDEX(Lists!$R$2:$R$9,MATCH(TRIM($G266),Lists!$Q$2:$Q$9,0)),"UNMAPPED"),IFERROR(INDEX(Lists!$U$2:$U$21,MATCH(TRIM($J266),Lists!$T$2:$T$21,0)),IFERROR(INDEX(Lists!$R$2:$R$9,MATCH(TRIM($G266),Lists!$Q$2:$Q$9,0)),"UNMAPPED"))))))))</f>
        <v>Customer</v>
      </c>
      <c r="AI266" s="534" t="b">
        <f>IF(TRIM($B266)="","",--OR(TRIM($L266)="Leadership",TRIM($K266)="Leadership"))</f>
        <v>0</v>
      </c>
      <c r="AJ266" s="534" t="str">
        <f>IF(TRIM($B266)="","",IF(COUNTIFS(Lists!$AN$2:$AN$22,TRIM($B266)&amp;" | "&amp;TRIM($D266),Lists!$AP$2:$AP$22,"&lt;&gt;"),INDEX(Lists!$AP$2:$AP$22,MATCH(TRIM($B266)&amp;" | "&amp;TRIM($D266),Lists!$AN$2:$AN$22,0)),IF($AI266=1,"Leadership",IFERROR(INDEX(Lists!$X$2:$X$21,MATCH(TRIM($L266),Lists!$W$2:$W$21,0)),IF(OR(TRIM($L266)="",LOWER(TRIM($L266))="na"),IF(TRIM($H266)="","Unassigned",TRIM($H266)),TRIM($L266))))))</f>
        <v>EGI Customer</v>
      </c>
      <c r="AK266" s="534" t="str">
        <f>IF(TRIM($B266)="","",IF(COUNTIFS(Lists!$AN$2:$AN$22,TRIM($B266)&amp;" | "&amp;TRIM($D266),Lists!$AQ$2:$AQ$22,"&lt;&gt;"),INDEX(Lists!$AQ$2:$AQ$22,MATCH(TRIM($B266)&amp;" | "&amp;TRIM($D266),Lists!$AN$2:$AN$22,0)),IF(COUNTIF(Lists!$AF$2:$AF$8,$AJ266),$AJ266,IF(ISNUMBER(SEARCH("head of ",$D266)),"Head of Technology",IF(ISNUMBER(SEARCH("TDD BP",$D266)),"Business Partner",IF(OR(ISNUMBER(SEARCH("domain architect",$D266)),ISNUMBER(SEARCH("enterprise architect",$D266))),"Domain Architect",IF(ISNUMBER(SEARCH("delivery man",$D266)),"Delivery Manager",IF(OR(ISNUMBER(SEARCH("technology manager",$D266)),ISNUMBER(SEARCH("technology manger",$D266)),ISNUMBER(SEARCH("tech manager",$D266))),"Technology Manager","Squad"))))))))</f>
        <v>Squad</v>
      </c>
      <c r="AL266" s="534" t="str">
        <f>IF(TRIM($B266)="","",IF(AND($AM266=1,LEFT($AJ266,4)&lt;&gt;"EGI ",$AJ266&lt;&gt;"EGI"),IFERROR(INDEX(Lists!$Z$2:$Z$20,MATCH($AH266,Lists!$Y$2:$Y$20,0)),"EGI "&amp;$AH266),IF(COUNTIF(Lists!$AU$2:$AU$10,$AJ266),$AJ266,IF(OR(LEFT($AH266,3)="COE",$AH266="EGI"),$AJ266,IF($AK266&lt;&gt;"Squad",$AK266,$AJ266)))))</f>
        <v>EGI Customer</v>
      </c>
      <c r="AM266" s="534" t="b">
        <f>IF(TRIM($B266)="","",--(UPPER(TRIM($K266))="EGI"))</f>
        <v>1</v>
      </c>
      <c r="AN266" s="534" t="inlineStr">
        <is>
          <t>Filled</t>
        </is>
      </c>
      <c r="AQ266" s="841" t="inlineStr">
        <is>
          <t>R0265</t>
        </is>
      </c>
      <c r="AZ266" s="841" t="n"/>
    </row>
    <row r="267" ht="18" customHeight="1" s="535">
      <c r="A267" s="842" t="n">
        <v>114411</v>
      </c>
      <c r="B267" s="843" t="inlineStr">
        <is>
          <t>Edwin Justin</t>
        </is>
      </c>
      <c r="C267" s="842" t="n">
        <v>114411</v>
      </c>
      <c r="D267" s="843" t="inlineStr">
        <is>
          <t>Senior Engineer - BE</t>
        </is>
      </c>
      <c r="E267" s="843" t="inlineStr">
        <is>
          <t>Khalid Mahmud</t>
        </is>
      </c>
      <c r="F267" s="843" t="inlineStr">
        <is>
          <t>Lead Engineer - BE</t>
        </is>
      </c>
      <c r="G267" s="844" t="inlineStr">
        <is>
          <t>Customer</t>
        </is>
      </c>
      <c r="H267" s="843" t="inlineStr">
        <is>
          <t>Digital</t>
        </is>
      </c>
      <c r="I267" s="843" t="inlineStr">
        <is>
          <t>Tech, Digital Engineering</t>
        </is>
      </c>
      <c r="J267" s="843" t="inlineStr">
        <is>
          <t>Ampol Customer</t>
        </is>
      </c>
      <c r="K267" s="843" t="inlineStr">
        <is>
          <t>Ampol Digital</t>
        </is>
      </c>
      <c r="L267" s="843" t="inlineStr">
        <is>
          <t>Ampol App</t>
        </is>
      </c>
      <c r="M267" s="843" t="n"/>
      <c r="N267" s="845" t="inlineStr">
        <is>
          <t>Australia</t>
        </is>
      </c>
      <c r="O267" s="846" t="inlineStr">
        <is>
          <t>CIB (Often)</t>
        </is>
      </c>
      <c r="P267" s="847" t="n">
        <v>1</v>
      </c>
      <c r="Q267" s="847" t="n"/>
      <c r="R267" s="847" t="inlineStr">
        <is>
          <t>Permanent - Full Time</t>
        </is>
      </c>
      <c r="S267" s="847" t="n"/>
      <c r="T267" s="847" t="n"/>
      <c r="U267" s="848" t="n">
        <v>161830</v>
      </c>
      <c r="V267" s="849" t="n">
        <v>161830</v>
      </c>
      <c r="W267" s="850" t="n">
        <v>0.12</v>
      </c>
      <c r="X267" s="847" t="n">
        <v>0.055</v>
      </c>
      <c r="Y267" s="850" t="n">
        <v>0.12</v>
      </c>
      <c r="Z267" s="851" t="n"/>
      <c r="AA267" s="850" t="n">
        <v>0.04</v>
      </c>
      <c r="AB267" s="852" t="n">
        <v>216043.05</v>
      </c>
      <c r="AE267" s="534">
        <f>IF(TRIM($B267)="","",IF(AND(N($P267)&gt;0,N($P267)&lt;1),N($AB267)*N($P267),N($AB267)))</f>
        <v>216043.05</v>
      </c>
      <c r="AF267" s="534" t="str">
        <f>IF(TRIM($B267)="","",IF(OR(ISNUMBER(SEARCH("vacant",$B267)),ISNUMBER(SEARCH("ring fenced",$B267)),LOWER(TRIM($B267))="remove"),"Vacant","Filled"))</f>
        <v>Filled</v>
      </c>
      <c r="AG267" s="534" t="b">
        <f>IF(TRIM($B267)="","",--ISNUMBER(SEARCH("ring fenced",$B267)))</f>
        <v>0</v>
      </c>
      <c r="AH267" s="534" t="str">
        <f>IF(TRIM($B267)="","",IF(COUNTIFS(Lists!$AN$2:$AN$22,TRIM($B267)&amp;" | "&amp;TRIM($D267),Lists!$AO$2:$AO$22,"&lt;&gt;"),INDEX(Lists!$AO$2:$AO$22,MATCH(TRIM($B267)&amp;" | "&amp;TRIM($D267),Lists!$AN$2:$AN$22,0)),IF(COUNTIF(Lists!$AR$2:$AR$3,$AJ267),"TDD Cyber",IF(AND(LEFT($AJ267,4)="EGI ",ISNUMBER(MATCH(TRIM(MID($AJ267,5,99)),Lists!$AS$2:$AS$12,0))),TRIM(MID($AJ267,5,99)),IF(AND(LEFT($AJ267,4)="EGI ",ISNUMBER(MATCH(TRIM(MID($AJ267,5,99)),Lists!$T$2:$T$21,0))),INDEX(Lists!$U$2:$U$21,MATCH(TRIM(MID($AJ267,5,99)),Lists!$T$2:$T$21,0)),IF(OR(TRIM($J267)="",UPPER(TRIM($J267))="NA"),IFERROR(INDEX(Lists!$R$2:$R$9,MATCH(TRIM($G267),Lists!$Q$2:$Q$9,0)),"UNMAPPED"),IFERROR(INDEX(Lists!$U$2:$U$21,MATCH(TRIM($J267),Lists!$T$2:$T$21,0)),IFERROR(INDEX(Lists!$R$2:$R$9,MATCH(TRIM($G267),Lists!$Q$2:$Q$9,0)),"UNMAPPED"))))))))</f>
        <v>Customer</v>
      </c>
      <c r="AI267" s="534" t="b">
        <f>IF(TRIM($B267)="","",--OR(TRIM($L267)="Leadership",TRIM($K267)="Leadership"))</f>
        <v>0</v>
      </c>
      <c r="AJ267" s="534" t="str">
        <f>IF(TRIM($B267)="","",IF(COUNTIFS(Lists!$AN$2:$AN$22,TRIM($B267)&amp;" | "&amp;TRIM($D267),Lists!$AP$2:$AP$22,"&lt;&gt;"),INDEX(Lists!$AP$2:$AP$22,MATCH(TRIM($B267)&amp;" | "&amp;TRIM($D267),Lists!$AN$2:$AN$22,0)),IF($AI267=1,"Leadership",IFERROR(INDEX(Lists!$X$2:$X$21,MATCH(TRIM($L267),Lists!$W$2:$W$21,0)),IF(OR(TRIM($L267)="",LOWER(TRIM($L267))="na"),IF(TRIM($H267)="","Unassigned",TRIM($H267)),TRIM($L267))))))</f>
        <v>Ampol App</v>
      </c>
      <c r="AK267" s="534" t="str">
        <f>IF(TRIM($B267)="","",IF(COUNTIFS(Lists!$AN$2:$AN$22,TRIM($B267)&amp;" | "&amp;TRIM($D267),Lists!$AQ$2:$AQ$22,"&lt;&gt;"),INDEX(Lists!$AQ$2:$AQ$22,MATCH(TRIM($B267)&amp;" | "&amp;TRIM($D267),Lists!$AN$2:$AN$22,0)),IF(COUNTIF(Lists!$AF$2:$AF$8,$AJ267),$AJ267,IF(ISNUMBER(SEARCH("head of ",$D267)),"Head of Technology",IF(ISNUMBER(SEARCH("TDD BP",$D267)),"Business Partner",IF(OR(ISNUMBER(SEARCH("domain architect",$D267)),ISNUMBER(SEARCH("enterprise architect",$D267))),"Domain Architect",IF(ISNUMBER(SEARCH("delivery man",$D267)),"Delivery Manager",IF(OR(ISNUMBER(SEARCH("technology manager",$D267)),ISNUMBER(SEARCH("technology manger",$D267)),ISNUMBER(SEARCH("tech manager",$D267))),"Technology Manager","Squad"))))))))</f>
        <v>Squad</v>
      </c>
      <c r="AL267" s="534" t="str">
        <f>IF(TRIM($B267)="","",IF(AND($AM267=1,LEFT($AJ267,4)&lt;&gt;"EGI ",$AJ267&lt;&gt;"EGI"),IFERROR(INDEX(Lists!$Z$2:$Z$20,MATCH($AH267,Lists!$Y$2:$Y$20,0)),"EGI "&amp;$AH267),IF(COUNTIF(Lists!$AU$2:$AU$10,$AJ267),$AJ267,IF(OR(LEFT($AH267,3)="COE",$AH267="EGI"),$AJ267,IF($AK267&lt;&gt;"Squad",$AK267,$AJ267)))))</f>
        <v>Ampol App</v>
      </c>
      <c r="AM267" s="534" t="b">
        <f>IF(TRIM($B267)="","",--(UPPER(TRIM($K267))="EGI"))</f>
        <v>0</v>
      </c>
      <c r="AN267" s="534" t="inlineStr">
        <is>
          <t>Filled</t>
        </is>
      </c>
      <c r="AQ267" s="841" t="inlineStr">
        <is>
          <t>R0266</t>
        </is>
      </c>
      <c r="AZ267" s="841" t="n"/>
    </row>
    <row r="268" ht="18" customHeight="1" s="535">
      <c r="A268" s="842" t="n">
        <v>108287</v>
      </c>
      <c r="B268" s="843" t="inlineStr">
        <is>
          <t>Binumon Mathai</t>
        </is>
      </c>
      <c r="C268" s="842" t="n">
        <v>108287</v>
      </c>
      <c r="D268" s="843" t="inlineStr">
        <is>
          <t>Senior Quality Assurance</t>
        </is>
      </c>
      <c r="E268" s="843" t="inlineStr">
        <is>
          <t>Mitesh Shah</t>
        </is>
      </c>
      <c r="F268" s="843" t="inlineStr">
        <is>
          <t>Technology Manager, Digitial</t>
        </is>
      </c>
      <c r="G268" s="844" t="inlineStr">
        <is>
          <t>Customer</t>
        </is>
      </c>
      <c r="H268" s="843" t="inlineStr">
        <is>
          <t>Digital</t>
        </is>
      </c>
      <c r="I268" s="843" t="inlineStr">
        <is>
          <t>Digital, Tech</t>
        </is>
      </c>
      <c r="J268" s="843" t="inlineStr">
        <is>
          <t>Ampol Customer</t>
        </is>
      </c>
      <c r="K268" s="843" t="inlineStr">
        <is>
          <t>Ampol Digital</t>
        </is>
      </c>
      <c r="L268" s="843" t="inlineStr">
        <is>
          <t>Ampol App</t>
        </is>
      </c>
      <c r="M268" s="843" t="n"/>
      <c r="N268" s="845" t="inlineStr">
        <is>
          <t>Australia</t>
        </is>
      </c>
      <c r="O268" s="846" t="inlineStr">
        <is>
          <t>CIB (Often)</t>
        </is>
      </c>
      <c r="P268" s="847" t="n">
        <v>1</v>
      </c>
      <c r="Q268" s="846" t="n"/>
      <c r="R268" s="847" t="inlineStr">
        <is>
          <t>Permanent - Full Time</t>
        </is>
      </c>
      <c r="S268" s="847" t="n"/>
      <c r="T268" s="847" t="n"/>
      <c r="U268" s="848" t="n">
        <v>163310</v>
      </c>
      <c r="V268" s="849" t="n">
        <v>163310</v>
      </c>
      <c r="W268" s="850" t="n">
        <v>0.12</v>
      </c>
      <c r="X268" s="847" t="n">
        <v>0.055</v>
      </c>
      <c r="Y268" s="850" t="n">
        <v>0.12</v>
      </c>
      <c r="Z268" s="851" t="n"/>
      <c r="AA268" s="850" t="n">
        <v>0.04</v>
      </c>
      <c r="AB268" s="852" t="n">
        <v>218018.85</v>
      </c>
      <c r="AE268" s="534">
        <f>IF(TRIM($B268)="","",IF(AND(N($P268)&gt;0,N($P268)&lt;1),N($AB268)*N($P268),N($AB268)))</f>
        <v>218018.85</v>
      </c>
      <c r="AF268" s="534" t="str">
        <f>IF(TRIM($B268)="","",IF(OR(ISNUMBER(SEARCH("vacant",$B268)),ISNUMBER(SEARCH("ring fenced",$B268)),LOWER(TRIM($B268))="remove"),"Vacant","Filled"))</f>
        <v>Filled</v>
      </c>
      <c r="AG268" s="534" t="b">
        <f>IF(TRIM($B268)="","",--ISNUMBER(SEARCH("ring fenced",$B268)))</f>
        <v>0</v>
      </c>
      <c r="AH268" s="534" t="str">
        <f>IF(TRIM($B268)="","",IF(COUNTIFS(Lists!$AN$2:$AN$22,TRIM($B268)&amp;" | "&amp;TRIM($D268),Lists!$AO$2:$AO$22,"&lt;&gt;"),INDEX(Lists!$AO$2:$AO$22,MATCH(TRIM($B268)&amp;" | "&amp;TRIM($D268),Lists!$AN$2:$AN$22,0)),IF(COUNTIF(Lists!$AR$2:$AR$3,$AJ268),"TDD Cyber",IF(AND(LEFT($AJ268,4)="EGI ",ISNUMBER(MATCH(TRIM(MID($AJ268,5,99)),Lists!$AS$2:$AS$12,0))),TRIM(MID($AJ268,5,99)),IF(AND(LEFT($AJ268,4)="EGI ",ISNUMBER(MATCH(TRIM(MID($AJ268,5,99)),Lists!$T$2:$T$21,0))),INDEX(Lists!$U$2:$U$21,MATCH(TRIM(MID($AJ268,5,99)),Lists!$T$2:$T$21,0)),IF(OR(TRIM($J268)="",UPPER(TRIM($J268))="NA"),IFERROR(INDEX(Lists!$R$2:$R$9,MATCH(TRIM($G268),Lists!$Q$2:$Q$9,0)),"UNMAPPED"),IFERROR(INDEX(Lists!$U$2:$U$21,MATCH(TRIM($J268),Lists!$T$2:$T$21,0)),IFERROR(INDEX(Lists!$R$2:$R$9,MATCH(TRIM($G268),Lists!$Q$2:$Q$9,0)),"UNMAPPED"))))))))</f>
        <v>Customer</v>
      </c>
      <c r="AI268" s="534" t="b">
        <f>IF(TRIM($B268)="","",--OR(TRIM($L268)="Leadership",TRIM($K268)="Leadership"))</f>
        <v>0</v>
      </c>
      <c r="AJ268" s="534" t="str">
        <f>IF(TRIM($B268)="","",IF(COUNTIFS(Lists!$AN$2:$AN$22,TRIM($B268)&amp;" | "&amp;TRIM($D268),Lists!$AP$2:$AP$22,"&lt;&gt;"),INDEX(Lists!$AP$2:$AP$22,MATCH(TRIM($B268)&amp;" | "&amp;TRIM($D268),Lists!$AN$2:$AN$22,0)),IF($AI268=1,"Leadership",IFERROR(INDEX(Lists!$X$2:$X$21,MATCH(TRIM($L268),Lists!$W$2:$W$21,0)),IF(OR(TRIM($L268)="",LOWER(TRIM($L268))="na"),IF(TRIM($H268)="","Unassigned",TRIM($H268)),TRIM($L268))))))</f>
        <v>Ampol App</v>
      </c>
      <c r="AK268" s="534" t="str">
        <f>IF(TRIM($B268)="","",IF(COUNTIFS(Lists!$AN$2:$AN$22,TRIM($B268)&amp;" | "&amp;TRIM($D268),Lists!$AQ$2:$AQ$22,"&lt;&gt;"),INDEX(Lists!$AQ$2:$AQ$22,MATCH(TRIM($B268)&amp;" | "&amp;TRIM($D268),Lists!$AN$2:$AN$22,0)),IF(COUNTIF(Lists!$AF$2:$AF$8,$AJ268),$AJ268,IF(ISNUMBER(SEARCH("head of ",$D268)),"Head of Technology",IF(ISNUMBER(SEARCH("TDD BP",$D268)),"Business Partner",IF(OR(ISNUMBER(SEARCH("domain architect",$D268)),ISNUMBER(SEARCH("enterprise architect",$D268))),"Domain Architect",IF(ISNUMBER(SEARCH("delivery man",$D268)),"Delivery Manager",IF(OR(ISNUMBER(SEARCH("technology manager",$D268)),ISNUMBER(SEARCH("technology manger",$D268)),ISNUMBER(SEARCH("tech manager",$D268))),"Technology Manager","Squad"))))))))</f>
        <v>Squad</v>
      </c>
      <c r="AL268" s="534" t="str">
        <f>IF(TRIM($B268)="","",IF(AND($AM268=1,LEFT($AJ268,4)&lt;&gt;"EGI ",$AJ268&lt;&gt;"EGI"),IFERROR(INDEX(Lists!$Z$2:$Z$20,MATCH($AH268,Lists!$Y$2:$Y$20,0)),"EGI "&amp;$AH268),IF(COUNTIF(Lists!$AU$2:$AU$10,$AJ268),$AJ268,IF(OR(LEFT($AH268,3)="COE",$AH268="EGI"),$AJ268,IF($AK268&lt;&gt;"Squad",$AK268,$AJ268)))))</f>
        <v>Ampol App</v>
      </c>
      <c r="AM268" s="534" t="b">
        <f>IF(TRIM($B268)="","",--(UPPER(TRIM($K268))="EGI"))</f>
        <v>0</v>
      </c>
      <c r="AN268" s="534" t="inlineStr">
        <is>
          <t>Filled</t>
        </is>
      </c>
      <c r="AQ268" s="841" t="inlineStr">
        <is>
          <t>R0267</t>
        </is>
      </c>
      <c r="AZ268" s="841" t="n"/>
    </row>
    <row r="269" ht="18" customHeight="1" s="535">
      <c r="A269" s="842" t="n">
        <v>109041</v>
      </c>
      <c r="B269" s="843" t="inlineStr">
        <is>
          <t>Darwin Morales</t>
        </is>
      </c>
      <c r="C269" s="842" t="n">
        <v>109041</v>
      </c>
      <c r="D269" s="843" t="inlineStr">
        <is>
          <t>Snr Engineer - FE</t>
        </is>
      </c>
      <c r="E269" s="843" t="inlineStr">
        <is>
          <t>Mitesh Shah</t>
        </is>
      </c>
      <c r="F269" s="843" t="inlineStr">
        <is>
          <t>Technology Manager, Digitial</t>
        </is>
      </c>
      <c r="G269" s="844" t="inlineStr">
        <is>
          <t>Customer</t>
        </is>
      </c>
      <c r="H269" s="843" t="inlineStr">
        <is>
          <t>Digital</t>
        </is>
      </c>
      <c r="I269" s="843" t="inlineStr">
        <is>
          <t>Digital, Tech</t>
        </is>
      </c>
      <c r="J269" s="843" t="inlineStr">
        <is>
          <t>Ampol Customer</t>
        </is>
      </c>
      <c r="K269" s="843" t="inlineStr">
        <is>
          <t>Ampol Digital</t>
        </is>
      </c>
      <c r="L269" s="843" t="inlineStr">
        <is>
          <t>Ampol Web</t>
        </is>
      </c>
      <c r="M269" s="843" t="n"/>
      <c r="N269" s="845" t="inlineStr">
        <is>
          <t>Australia</t>
        </is>
      </c>
      <c r="O269" s="846" t="inlineStr">
        <is>
          <t>CIB (Often)</t>
        </is>
      </c>
      <c r="P269" s="847" t="n">
        <v>1</v>
      </c>
      <c r="Q269" s="846" t="n"/>
      <c r="R269" s="847" t="inlineStr">
        <is>
          <t>Permanent - Full Time</t>
        </is>
      </c>
      <c r="S269" s="847" t="n"/>
      <c r="T269" s="847" t="n"/>
      <c r="U269" s="848" t="n">
        <v>155320</v>
      </c>
      <c r="V269" s="849" t="n">
        <v>155320</v>
      </c>
      <c r="W269" s="850" t="n">
        <v>0.12</v>
      </c>
      <c r="X269" s="847" t="n">
        <v>0.055</v>
      </c>
      <c r="Y269" s="850" t="n">
        <v>0.12</v>
      </c>
      <c r="Z269" s="851" t="n"/>
      <c r="AA269" s="850" t="n">
        <v>0.04</v>
      </c>
      <c r="AB269" s="852" t="n">
        <v>207352.2</v>
      </c>
      <c r="AE269" s="534">
        <f>IF(TRIM($B269)="","",IF(AND(N($P269)&gt;0,N($P269)&lt;1),N($AB269)*N($P269),N($AB269)))</f>
        <v>207352.2</v>
      </c>
      <c r="AF269" s="534" t="str">
        <f>IF(TRIM($B269)="","",IF(OR(ISNUMBER(SEARCH("vacant",$B269)),ISNUMBER(SEARCH("ring fenced",$B269)),LOWER(TRIM($B269))="remove"),"Vacant","Filled"))</f>
        <v>Filled</v>
      </c>
      <c r="AG269" s="534" t="b">
        <f>IF(TRIM($B269)="","",--ISNUMBER(SEARCH("ring fenced",$B269)))</f>
        <v>0</v>
      </c>
      <c r="AH269" s="534" t="str">
        <f>IF(TRIM($B269)="","",IF(COUNTIFS(Lists!$AN$2:$AN$22,TRIM($B269)&amp;" | "&amp;TRIM($D269),Lists!$AO$2:$AO$22,"&lt;&gt;"),INDEX(Lists!$AO$2:$AO$22,MATCH(TRIM($B269)&amp;" | "&amp;TRIM($D269),Lists!$AN$2:$AN$22,0)),IF(COUNTIF(Lists!$AR$2:$AR$3,$AJ269),"TDD Cyber",IF(AND(LEFT($AJ269,4)="EGI ",ISNUMBER(MATCH(TRIM(MID($AJ269,5,99)),Lists!$AS$2:$AS$12,0))),TRIM(MID($AJ269,5,99)),IF(AND(LEFT($AJ269,4)="EGI ",ISNUMBER(MATCH(TRIM(MID($AJ269,5,99)),Lists!$T$2:$T$21,0))),INDEX(Lists!$U$2:$U$21,MATCH(TRIM(MID($AJ269,5,99)),Lists!$T$2:$T$21,0)),IF(OR(TRIM($J269)="",UPPER(TRIM($J269))="NA"),IFERROR(INDEX(Lists!$R$2:$R$9,MATCH(TRIM($G269),Lists!$Q$2:$Q$9,0)),"UNMAPPED"),IFERROR(INDEX(Lists!$U$2:$U$21,MATCH(TRIM($J269),Lists!$T$2:$T$21,0)),IFERROR(INDEX(Lists!$R$2:$R$9,MATCH(TRIM($G269),Lists!$Q$2:$Q$9,0)),"UNMAPPED"))))))))</f>
        <v>Customer</v>
      </c>
      <c r="AI269" s="534" t="b">
        <f>IF(TRIM($B269)="","",--OR(TRIM($L269)="Leadership",TRIM($K269)="Leadership"))</f>
        <v>0</v>
      </c>
      <c r="AJ269" s="534" t="str">
        <f>IF(TRIM($B269)="","",IF(COUNTIFS(Lists!$AN$2:$AN$22,TRIM($B269)&amp;" | "&amp;TRIM($D269),Lists!$AP$2:$AP$22,"&lt;&gt;"),INDEX(Lists!$AP$2:$AP$22,MATCH(TRIM($B269)&amp;" | "&amp;TRIM($D269),Lists!$AN$2:$AN$22,0)),IF($AI269=1,"Leadership",IFERROR(INDEX(Lists!$X$2:$X$21,MATCH(TRIM($L269),Lists!$W$2:$W$21,0)),IF(OR(TRIM($L269)="",LOWER(TRIM($L269))="na"),IF(TRIM($H269)="","Unassigned",TRIM($H269)),TRIM($L269))))))</f>
        <v>Ampol Web</v>
      </c>
      <c r="AK269" s="534" t="str">
        <f>IF(TRIM($B269)="","",IF(COUNTIFS(Lists!$AN$2:$AN$22,TRIM($B269)&amp;" | "&amp;TRIM($D269),Lists!$AQ$2:$AQ$22,"&lt;&gt;"),INDEX(Lists!$AQ$2:$AQ$22,MATCH(TRIM($B269)&amp;" | "&amp;TRIM($D269),Lists!$AN$2:$AN$22,0)),IF(COUNTIF(Lists!$AF$2:$AF$8,$AJ269),$AJ269,IF(ISNUMBER(SEARCH("head of ",$D269)),"Head of Technology",IF(ISNUMBER(SEARCH("TDD BP",$D269)),"Business Partner",IF(OR(ISNUMBER(SEARCH("domain architect",$D269)),ISNUMBER(SEARCH("enterprise architect",$D269))),"Domain Architect",IF(ISNUMBER(SEARCH("delivery man",$D269)),"Delivery Manager",IF(OR(ISNUMBER(SEARCH("technology manager",$D269)),ISNUMBER(SEARCH("technology manger",$D269)),ISNUMBER(SEARCH("tech manager",$D269))),"Technology Manager","Squad"))))))))</f>
        <v>Squad</v>
      </c>
      <c r="AL269" s="534" t="str">
        <f>IF(TRIM($B269)="","",IF(AND($AM269=1,LEFT($AJ269,4)&lt;&gt;"EGI ",$AJ269&lt;&gt;"EGI"),IFERROR(INDEX(Lists!$Z$2:$Z$20,MATCH($AH269,Lists!$Y$2:$Y$20,0)),"EGI "&amp;$AH269),IF(COUNTIF(Lists!$AU$2:$AU$10,$AJ269),$AJ269,IF(OR(LEFT($AH269,3)="COE",$AH269="EGI"),$AJ269,IF($AK269&lt;&gt;"Squad",$AK269,$AJ269)))))</f>
        <v>Ampol Web</v>
      </c>
      <c r="AM269" s="534" t="b">
        <f>IF(TRIM($B269)="","",--(UPPER(TRIM($K269))="EGI"))</f>
        <v>0</v>
      </c>
      <c r="AN269" s="534" t="inlineStr">
        <is>
          <t>Filled</t>
        </is>
      </c>
      <c r="AQ269" s="841" t="inlineStr">
        <is>
          <t>R0268</t>
        </is>
      </c>
      <c r="AZ269" s="841" t="n"/>
    </row>
    <row r="270" ht="18" customHeight="1" s="535">
      <c r="A270" s="842" t="n">
        <v>116957</v>
      </c>
      <c r="B270" s="843" t="inlineStr">
        <is>
          <t>Raj Ganesan</t>
        </is>
      </c>
      <c r="C270" s="842" t="n">
        <v>116957</v>
      </c>
      <c r="D270" s="843" t="inlineStr">
        <is>
          <t>Engineer - Mobile (ios)</t>
        </is>
      </c>
      <c r="E270" s="843" t="inlineStr">
        <is>
          <t>Mitesh Shah</t>
        </is>
      </c>
      <c r="F270" s="843" t="inlineStr">
        <is>
          <t>Technology Manager, Digitial</t>
        </is>
      </c>
      <c r="G270" s="844" t="inlineStr">
        <is>
          <t>Customer</t>
        </is>
      </c>
      <c r="H270" s="843" t="inlineStr">
        <is>
          <t>Digital</t>
        </is>
      </c>
      <c r="I270" s="843" t="inlineStr">
        <is>
          <t>Tech, Digital</t>
        </is>
      </c>
      <c r="J270" s="843" t="inlineStr">
        <is>
          <t>Ampol Customer</t>
        </is>
      </c>
      <c r="K270" s="843" t="inlineStr">
        <is>
          <t>Ampol Digital</t>
        </is>
      </c>
      <c r="L270" s="843" t="inlineStr">
        <is>
          <t>Ampol App</t>
        </is>
      </c>
      <c r="M270" s="843" t="n"/>
      <c r="N270" s="845" t="inlineStr">
        <is>
          <t>Australia</t>
        </is>
      </c>
      <c r="O270" s="846" t="inlineStr">
        <is>
          <t>CIB (Often)</t>
        </is>
      </c>
      <c r="P270" s="847" t="n">
        <v>1</v>
      </c>
      <c r="Q270" s="846" t="n"/>
      <c r="R270" s="847" t="inlineStr">
        <is>
          <t>Temporary - Full Time</t>
        </is>
      </c>
      <c r="S270" s="847" t="n"/>
      <c r="T270" s="847" t="n"/>
      <c r="U270" s="848" t="n">
        <v>165000</v>
      </c>
      <c r="V270" s="849" t="n">
        <v>165000</v>
      </c>
      <c r="W270" s="850" t="n">
        <v>0.12</v>
      </c>
      <c r="X270" s="847" t="n">
        <v>0.055</v>
      </c>
      <c r="Y270" s="850" t="n">
        <v>0.12</v>
      </c>
      <c r="Z270" s="851" t="n"/>
      <c r="AA270" s="850" t="n">
        <v>0.04</v>
      </c>
      <c r="AB270" s="852" t="n">
        <v>216046.05</v>
      </c>
      <c r="AC270" s="534" t="inlineStr">
        <is>
          <t>End date: 7 May 2027</t>
        </is>
      </c>
      <c r="AE270" s="534">
        <f>IF(TRIM($B270)="","",IF(AND(N($P270)&gt;0,N($P270)&lt;1),N($AB270)*N($P270),N($AB270)))</f>
        <v>216046.05</v>
      </c>
      <c r="AF270" s="534" t="str">
        <f>IF(TRIM($B270)="","",IF(OR(ISNUMBER(SEARCH("vacant",$B270)),ISNUMBER(SEARCH("ring fenced",$B270)),LOWER(TRIM($B270))="remove"),"Vacant","Filled"))</f>
        <v>Filled</v>
      </c>
      <c r="AG270" s="534" t="b">
        <f>IF(TRIM($B270)="","",--ISNUMBER(SEARCH("ring fenced",$B270)))</f>
        <v>0</v>
      </c>
      <c r="AH270" s="534" t="str">
        <f>IF(TRIM($B270)="","",IF(COUNTIFS(Lists!$AN$2:$AN$22,TRIM($B270)&amp;" | "&amp;TRIM($D270),Lists!$AO$2:$AO$22,"&lt;&gt;"),INDEX(Lists!$AO$2:$AO$22,MATCH(TRIM($B270)&amp;" | "&amp;TRIM($D270),Lists!$AN$2:$AN$22,0)),IF(COUNTIF(Lists!$AR$2:$AR$3,$AJ270),"TDD Cyber",IF(AND(LEFT($AJ270,4)="EGI ",ISNUMBER(MATCH(TRIM(MID($AJ270,5,99)),Lists!$AS$2:$AS$12,0))),TRIM(MID($AJ270,5,99)),IF(AND(LEFT($AJ270,4)="EGI ",ISNUMBER(MATCH(TRIM(MID($AJ270,5,99)),Lists!$T$2:$T$21,0))),INDEX(Lists!$U$2:$U$21,MATCH(TRIM(MID($AJ270,5,99)),Lists!$T$2:$T$21,0)),IF(OR(TRIM($J270)="",UPPER(TRIM($J270))="NA"),IFERROR(INDEX(Lists!$R$2:$R$9,MATCH(TRIM($G270),Lists!$Q$2:$Q$9,0)),"UNMAPPED"),IFERROR(INDEX(Lists!$U$2:$U$21,MATCH(TRIM($J270),Lists!$T$2:$T$21,0)),IFERROR(INDEX(Lists!$R$2:$R$9,MATCH(TRIM($G270),Lists!$Q$2:$Q$9,0)),"UNMAPPED"))))))))</f>
        <v>Customer</v>
      </c>
      <c r="AI270" s="534" t="b">
        <f>IF(TRIM($B270)="","",--OR(TRIM($L270)="Leadership",TRIM($K270)="Leadership"))</f>
        <v>0</v>
      </c>
      <c r="AJ270" s="534" t="str">
        <f>IF(TRIM($B270)="","",IF(COUNTIFS(Lists!$AN$2:$AN$22,TRIM($B270)&amp;" | "&amp;TRIM($D270),Lists!$AP$2:$AP$22,"&lt;&gt;"),INDEX(Lists!$AP$2:$AP$22,MATCH(TRIM($B270)&amp;" | "&amp;TRIM($D270),Lists!$AN$2:$AN$22,0)),IF($AI270=1,"Leadership",IFERROR(INDEX(Lists!$X$2:$X$21,MATCH(TRIM($L270),Lists!$W$2:$W$21,0)),IF(OR(TRIM($L270)="",LOWER(TRIM($L270))="na"),IF(TRIM($H270)="","Unassigned",TRIM($H270)),TRIM($L270))))))</f>
        <v>Ampol App</v>
      </c>
      <c r="AK270" s="534" t="str">
        <f>IF(TRIM($B270)="","",IF(COUNTIFS(Lists!$AN$2:$AN$22,TRIM($B270)&amp;" | "&amp;TRIM($D270),Lists!$AQ$2:$AQ$22,"&lt;&gt;"),INDEX(Lists!$AQ$2:$AQ$22,MATCH(TRIM($B270)&amp;" | "&amp;TRIM($D270),Lists!$AN$2:$AN$22,0)),IF(COUNTIF(Lists!$AF$2:$AF$8,$AJ270),$AJ270,IF(ISNUMBER(SEARCH("head of ",$D270)),"Head of Technology",IF(ISNUMBER(SEARCH("TDD BP",$D270)),"Business Partner",IF(OR(ISNUMBER(SEARCH("domain architect",$D270)),ISNUMBER(SEARCH("enterprise architect",$D270))),"Domain Architect",IF(ISNUMBER(SEARCH("delivery man",$D270)),"Delivery Manager",IF(OR(ISNUMBER(SEARCH("technology manager",$D270)),ISNUMBER(SEARCH("technology manger",$D270)),ISNUMBER(SEARCH("tech manager",$D270))),"Technology Manager","Squad"))))))))</f>
        <v>Squad</v>
      </c>
      <c r="AL270" s="534" t="str">
        <f>IF(TRIM($B270)="","",IF(AND($AM270=1,LEFT($AJ270,4)&lt;&gt;"EGI ",$AJ270&lt;&gt;"EGI"),IFERROR(INDEX(Lists!$Z$2:$Z$20,MATCH($AH270,Lists!$Y$2:$Y$20,0)),"EGI "&amp;$AH270),IF(COUNTIF(Lists!$AU$2:$AU$10,$AJ270),$AJ270,IF(OR(LEFT($AH270,3)="COE",$AH270="EGI"),$AJ270,IF($AK270&lt;&gt;"Squad",$AK270,$AJ270)))))</f>
        <v>Ampol App</v>
      </c>
      <c r="AM270" s="534" t="b">
        <f>IF(TRIM($B270)="","",--(UPPER(TRIM($K270))="EGI"))</f>
        <v>0</v>
      </c>
      <c r="AN270" s="534" t="inlineStr">
        <is>
          <t>Filled</t>
        </is>
      </c>
      <c r="AO270" s="534" t="inlineStr">
        <is>
          <t>End date: 7 May 2027</t>
        </is>
      </c>
      <c r="AP270" s="854" t="n">
        <v>46514</v>
      </c>
      <c r="AQ270" s="841" t="inlineStr">
        <is>
          <t>R0269</t>
        </is>
      </c>
      <c r="AZ270" s="841" t="n"/>
    </row>
    <row r="271" ht="18" customHeight="1" s="535">
      <c r="A271" s="842" t="n">
        <v>107781</v>
      </c>
      <c r="B271" s="843" t="inlineStr">
        <is>
          <t>Ramez Haider</t>
        </is>
      </c>
      <c r="C271" s="842" t="n">
        <v>107781</v>
      </c>
      <c r="D271" s="843" t="inlineStr">
        <is>
          <t>Solution Architect</t>
        </is>
      </c>
      <c r="E271" s="843" t="inlineStr">
        <is>
          <t>Mitesh Shah</t>
        </is>
      </c>
      <c r="F271" s="843" t="inlineStr">
        <is>
          <t>Technology Manager, Digitial</t>
        </is>
      </c>
      <c r="G271" s="844" t="inlineStr">
        <is>
          <t>Customer</t>
        </is>
      </c>
      <c r="H271" s="843" t="inlineStr">
        <is>
          <t>Digital</t>
        </is>
      </c>
      <c r="I271" s="843" t="inlineStr">
        <is>
          <t>Digital, Tech</t>
        </is>
      </c>
      <c r="J271" s="843" t="inlineStr">
        <is>
          <t>EGI Integration</t>
        </is>
      </c>
      <c r="K271" s="843" t="inlineStr">
        <is>
          <t>EGI</t>
        </is>
      </c>
      <c r="L271" s="843" t="inlineStr">
        <is>
          <t>EGI Customer</t>
        </is>
      </c>
      <c r="M271" s="843" t="n"/>
      <c r="N271" s="845" t="inlineStr">
        <is>
          <t>Australia</t>
        </is>
      </c>
      <c r="O271" s="846" t="inlineStr">
        <is>
          <t>CIB (Often)</t>
        </is>
      </c>
      <c r="P271" s="847" t="n">
        <v>1</v>
      </c>
      <c r="Q271" s="846" t="n"/>
      <c r="R271" s="847" t="inlineStr">
        <is>
          <t>Permanent - Full Time</t>
        </is>
      </c>
      <c r="S271" s="847" t="n"/>
      <c r="T271" s="847" t="n"/>
      <c r="U271" s="848" t="n">
        <v>167750</v>
      </c>
      <c r="V271" s="849" t="n">
        <v>167750</v>
      </c>
      <c r="W271" s="850" t="n">
        <v>0.12</v>
      </c>
      <c r="X271" s="847" t="n">
        <v>0.055</v>
      </c>
      <c r="Y271" s="850" t="n">
        <v>0.12</v>
      </c>
      <c r="Z271" s="851" t="n"/>
      <c r="AA271" s="850" t="n">
        <v>0.04</v>
      </c>
      <c r="AB271" s="852" t="n">
        <v>223946.25</v>
      </c>
      <c r="AE271" s="534">
        <f>IF(TRIM($B271)="","",IF(AND(N($P271)&gt;0,N($P271)&lt;1),N($AB271)*N($P271),N($AB271)))</f>
        <v>223946.25</v>
      </c>
      <c r="AF271" s="534" t="str">
        <f>IF(TRIM($B271)="","",IF(OR(ISNUMBER(SEARCH("vacant",$B271)),ISNUMBER(SEARCH("ring fenced",$B271)),LOWER(TRIM($B271))="remove"),"Vacant","Filled"))</f>
        <v>Filled</v>
      </c>
      <c r="AG271" s="534" t="b">
        <f>IF(TRIM($B271)="","",--ISNUMBER(SEARCH("ring fenced",$B271)))</f>
        <v>0</v>
      </c>
      <c r="AH271" s="534" t="str">
        <f>IF(TRIM($B271)="","",IF(COUNTIFS(Lists!$AN$2:$AN$22,TRIM($B271)&amp;" | "&amp;TRIM($D271),Lists!$AO$2:$AO$22,"&lt;&gt;"),INDEX(Lists!$AO$2:$AO$22,MATCH(TRIM($B271)&amp;" | "&amp;TRIM($D271),Lists!$AN$2:$AN$22,0)),IF(COUNTIF(Lists!$AR$2:$AR$3,$AJ271),"TDD Cyber",IF(AND(LEFT($AJ271,4)="EGI ",ISNUMBER(MATCH(TRIM(MID($AJ271,5,99)),Lists!$AS$2:$AS$12,0))),TRIM(MID($AJ271,5,99)),IF(AND(LEFT($AJ271,4)="EGI ",ISNUMBER(MATCH(TRIM(MID($AJ271,5,99)),Lists!$T$2:$T$21,0))),INDEX(Lists!$U$2:$U$21,MATCH(TRIM(MID($AJ271,5,99)),Lists!$T$2:$T$21,0)),IF(OR(TRIM($J271)="",UPPER(TRIM($J271))="NA"),IFERROR(INDEX(Lists!$R$2:$R$9,MATCH(TRIM($G271),Lists!$Q$2:$Q$9,0)),"UNMAPPED"),IFERROR(INDEX(Lists!$U$2:$U$21,MATCH(TRIM($J271),Lists!$T$2:$T$21,0)),IFERROR(INDEX(Lists!$R$2:$R$9,MATCH(TRIM($G271),Lists!$Q$2:$Q$9,0)),"UNMAPPED"))))))))</f>
        <v>Customer</v>
      </c>
      <c r="AI271" s="534" t="b">
        <f>IF(TRIM($B271)="","",--OR(TRIM($L271)="Leadership",TRIM($K271)="Leadership"))</f>
        <v>0</v>
      </c>
      <c r="AJ271" s="534" t="str">
        <f>IF(TRIM($B271)="","",IF(COUNTIFS(Lists!$AN$2:$AN$22,TRIM($B271)&amp;" | "&amp;TRIM($D271),Lists!$AP$2:$AP$22,"&lt;&gt;"),INDEX(Lists!$AP$2:$AP$22,MATCH(TRIM($B271)&amp;" | "&amp;TRIM($D271),Lists!$AN$2:$AN$22,0)),IF($AI271=1,"Leadership",IFERROR(INDEX(Lists!$X$2:$X$21,MATCH(TRIM($L271),Lists!$W$2:$W$21,0)),IF(OR(TRIM($L271)="",LOWER(TRIM($L271))="na"),IF(TRIM($H271)="","Unassigned",TRIM($H271)),TRIM($L271))))))</f>
        <v>EGI Customer</v>
      </c>
      <c r="AK271" s="534" t="str">
        <f>IF(TRIM($B271)="","",IF(COUNTIFS(Lists!$AN$2:$AN$22,TRIM($B271)&amp;" | "&amp;TRIM($D271),Lists!$AQ$2:$AQ$22,"&lt;&gt;"),INDEX(Lists!$AQ$2:$AQ$22,MATCH(TRIM($B271)&amp;" | "&amp;TRIM($D271),Lists!$AN$2:$AN$22,0)),IF(COUNTIF(Lists!$AF$2:$AF$8,$AJ271),$AJ271,IF(ISNUMBER(SEARCH("head of ",$D271)),"Head of Technology",IF(ISNUMBER(SEARCH("TDD BP",$D271)),"Business Partner",IF(OR(ISNUMBER(SEARCH("domain architect",$D271)),ISNUMBER(SEARCH("enterprise architect",$D271))),"Domain Architect",IF(ISNUMBER(SEARCH("delivery man",$D271)),"Delivery Manager",IF(OR(ISNUMBER(SEARCH("technology manager",$D271)),ISNUMBER(SEARCH("technology manger",$D271)),ISNUMBER(SEARCH("tech manager",$D271))),"Technology Manager","Squad"))))))))</f>
        <v>Squad</v>
      </c>
      <c r="AL271" s="534" t="str">
        <f>IF(TRIM($B271)="","",IF(AND($AM271=1,LEFT($AJ271,4)&lt;&gt;"EGI ",$AJ271&lt;&gt;"EGI"),IFERROR(INDEX(Lists!$Z$2:$Z$20,MATCH($AH271,Lists!$Y$2:$Y$20,0)),"EGI "&amp;$AH271),IF(COUNTIF(Lists!$AU$2:$AU$10,$AJ271),$AJ271,IF(OR(LEFT($AH271,3)="COE",$AH271="EGI"),$AJ271,IF($AK271&lt;&gt;"Squad",$AK271,$AJ271)))))</f>
        <v>EGI Customer</v>
      </c>
      <c r="AM271" s="534" t="b">
        <f>IF(TRIM($B271)="","",--(UPPER(TRIM($K271))="EGI"))</f>
        <v>1</v>
      </c>
      <c r="AN271" s="534" t="inlineStr">
        <is>
          <t>Filled</t>
        </is>
      </c>
      <c r="AQ271" s="841" t="inlineStr">
        <is>
          <t>R0270</t>
        </is>
      </c>
      <c r="AZ271" s="841" t="n"/>
    </row>
    <row r="272" ht="18" customHeight="1" s="535">
      <c r="A272" s="842" t="n">
        <v>114395</v>
      </c>
      <c r="B272" s="843" t="inlineStr">
        <is>
          <t>Rishabh Bhatia</t>
        </is>
      </c>
      <c r="C272" s="842" t="n">
        <v>114395</v>
      </c>
      <c r="D272" s="843" t="inlineStr">
        <is>
          <t>Engineer - Mobile (Android)</t>
        </is>
      </c>
      <c r="E272" s="843" t="inlineStr">
        <is>
          <t>Mitesh Shah</t>
        </is>
      </c>
      <c r="F272" s="843" t="inlineStr">
        <is>
          <t>Technology Manager, Digitial</t>
        </is>
      </c>
      <c r="G272" s="844" t="inlineStr">
        <is>
          <t>Customer</t>
        </is>
      </c>
      <c r="H272" s="843" t="inlineStr">
        <is>
          <t>Digital</t>
        </is>
      </c>
      <c r="I272" s="843" t="inlineStr">
        <is>
          <t>Digital, Tech</t>
        </is>
      </c>
      <c r="J272" s="843" t="inlineStr">
        <is>
          <t>EGI Integration</t>
        </is>
      </c>
      <c r="K272" s="843" t="inlineStr">
        <is>
          <t>EGI</t>
        </is>
      </c>
      <c r="L272" s="843" t="inlineStr">
        <is>
          <t>EGI Customer</t>
        </is>
      </c>
      <c r="M272" s="843" t="n"/>
      <c r="N272" s="845" t="inlineStr">
        <is>
          <t>Australia</t>
        </is>
      </c>
      <c r="O272" s="846" t="inlineStr">
        <is>
          <t>CIB (Often)</t>
        </is>
      </c>
      <c r="P272" s="847" t="n">
        <v>1</v>
      </c>
      <c r="Q272" s="846" t="n"/>
      <c r="R272" s="847" t="inlineStr">
        <is>
          <t>Permanent - Full Time</t>
        </is>
      </c>
      <c r="S272" s="847" t="n"/>
      <c r="T272" s="847" t="n"/>
      <c r="U272" s="848" t="n">
        <v>148310</v>
      </c>
      <c r="V272" s="849" t="n">
        <v>148310</v>
      </c>
      <c r="W272" s="850" t="n">
        <v>0.12</v>
      </c>
      <c r="X272" s="847" t="n">
        <v>0.055</v>
      </c>
      <c r="Y272" s="850" t="n">
        <v>0.12</v>
      </c>
      <c r="Z272" s="851" t="n"/>
      <c r="AA272" s="850" t="n">
        <v>0.04</v>
      </c>
      <c r="AB272" s="852" t="n">
        <v>197993.85</v>
      </c>
      <c r="AE272" s="534">
        <f>IF(TRIM($B272)="","",IF(AND(N($P272)&gt;0,N($P272)&lt;1),N($AB272)*N($P272),N($AB272)))</f>
        <v>197993.85</v>
      </c>
      <c r="AF272" s="534" t="str">
        <f>IF(TRIM($B272)="","",IF(OR(ISNUMBER(SEARCH("vacant",$B272)),ISNUMBER(SEARCH("ring fenced",$B272)),LOWER(TRIM($B272))="remove"),"Vacant","Filled"))</f>
        <v>Filled</v>
      </c>
      <c r="AG272" s="534" t="b">
        <f>IF(TRIM($B272)="","",--ISNUMBER(SEARCH("ring fenced",$B272)))</f>
        <v>0</v>
      </c>
      <c r="AH272" s="534" t="str">
        <f>IF(TRIM($B272)="","",IF(COUNTIFS(Lists!$AN$2:$AN$22,TRIM($B272)&amp;" | "&amp;TRIM($D272),Lists!$AO$2:$AO$22,"&lt;&gt;"),INDEX(Lists!$AO$2:$AO$22,MATCH(TRIM($B272)&amp;" | "&amp;TRIM($D272),Lists!$AN$2:$AN$22,0)),IF(COUNTIF(Lists!$AR$2:$AR$3,$AJ272),"TDD Cyber",IF(AND(LEFT($AJ272,4)="EGI ",ISNUMBER(MATCH(TRIM(MID($AJ272,5,99)),Lists!$AS$2:$AS$12,0))),TRIM(MID($AJ272,5,99)),IF(AND(LEFT($AJ272,4)="EGI ",ISNUMBER(MATCH(TRIM(MID($AJ272,5,99)),Lists!$T$2:$T$21,0))),INDEX(Lists!$U$2:$U$21,MATCH(TRIM(MID($AJ272,5,99)),Lists!$T$2:$T$21,0)),IF(OR(TRIM($J272)="",UPPER(TRIM($J272))="NA"),IFERROR(INDEX(Lists!$R$2:$R$9,MATCH(TRIM($G272),Lists!$Q$2:$Q$9,0)),"UNMAPPED"),IFERROR(INDEX(Lists!$U$2:$U$21,MATCH(TRIM($J272),Lists!$T$2:$T$21,0)),IFERROR(INDEX(Lists!$R$2:$R$9,MATCH(TRIM($G272),Lists!$Q$2:$Q$9,0)),"UNMAPPED"))))))))</f>
        <v>Customer</v>
      </c>
      <c r="AI272" s="534" t="b">
        <f>IF(TRIM($B272)="","",--OR(TRIM($L272)="Leadership",TRIM($K272)="Leadership"))</f>
        <v>0</v>
      </c>
      <c r="AJ272" s="534" t="str">
        <f>IF(TRIM($B272)="","",IF(COUNTIFS(Lists!$AN$2:$AN$22,TRIM($B272)&amp;" | "&amp;TRIM($D272),Lists!$AP$2:$AP$22,"&lt;&gt;"),INDEX(Lists!$AP$2:$AP$22,MATCH(TRIM($B272)&amp;" | "&amp;TRIM($D272),Lists!$AN$2:$AN$22,0)),IF($AI272=1,"Leadership",IFERROR(INDEX(Lists!$X$2:$X$21,MATCH(TRIM($L272),Lists!$W$2:$W$21,0)),IF(OR(TRIM($L272)="",LOWER(TRIM($L272))="na"),IF(TRIM($H272)="","Unassigned",TRIM($H272)),TRIM($L272))))))</f>
        <v>EGI Customer</v>
      </c>
      <c r="AK272" s="534" t="str">
        <f>IF(TRIM($B272)="","",IF(COUNTIFS(Lists!$AN$2:$AN$22,TRIM($B272)&amp;" | "&amp;TRIM($D272),Lists!$AQ$2:$AQ$22,"&lt;&gt;"),INDEX(Lists!$AQ$2:$AQ$22,MATCH(TRIM($B272)&amp;" | "&amp;TRIM($D272),Lists!$AN$2:$AN$22,0)),IF(COUNTIF(Lists!$AF$2:$AF$8,$AJ272),$AJ272,IF(ISNUMBER(SEARCH("head of ",$D272)),"Head of Technology",IF(ISNUMBER(SEARCH("TDD BP",$D272)),"Business Partner",IF(OR(ISNUMBER(SEARCH("domain architect",$D272)),ISNUMBER(SEARCH("enterprise architect",$D272))),"Domain Architect",IF(ISNUMBER(SEARCH("delivery man",$D272)),"Delivery Manager",IF(OR(ISNUMBER(SEARCH("technology manager",$D272)),ISNUMBER(SEARCH("technology manger",$D272)),ISNUMBER(SEARCH("tech manager",$D272))),"Technology Manager","Squad"))))))))</f>
        <v>Squad</v>
      </c>
      <c r="AL272" s="534" t="str">
        <f>IF(TRIM($B272)="","",IF(AND($AM272=1,LEFT($AJ272,4)&lt;&gt;"EGI ",$AJ272&lt;&gt;"EGI"),IFERROR(INDEX(Lists!$Z$2:$Z$20,MATCH($AH272,Lists!$Y$2:$Y$20,0)),"EGI "&amp;$AH272),IF(COUNTIF(Lists!$AU$2:$AU$10,$AJ272),$AJ272,IF(OR(LEFT($AH272,3)="COE",$AH272="EGI"),$AJ272,IF($AK272&lt;&gt;"Squad",$AK272,$AJ272)))))</f>
        <v>EGI Customer</v>
      </c>
      <c r="AM272" s="534" t="b">
        <f>IF(TRIM($B272)="","",--(UPPER(TRIM($K272))="EGI"))</f>
        <v>1</v>
      </c>
      <c r="AN272" s="534" t="inlineStr">
        <is>
          <t>Filled</t>
        </is>
      </c>
      <c r="AQ272" s="841" t="inlineStr">
        <is>
          <t>R0271</t>
        </is>
      </c>
      <c r="AZ272" s="841" t="n"/>
    </row>
    <row r="273" ht="18" customHeight="1" s="535">
      <c r="A273" s="842" t="n">
        <v>115964</v>
      </c>
      <c r="B273" s="843" t="inlineStr">
        <is>
          <t>Toby Clark</t>
        </is>
      </c>
      <c r="C273" s="842" t="n">
        <v>115964</v>
      </c>
      <c r="D273" s="843" t="inlineStr">
        <is>
          <t>Engineer - Mobile (iOS)</t>
        </is>
      </c>
      <c r="E273" s="843" t="inlineStr">
        <is>
          <t>Mitesh Shah</t>
        </is>
      </c>
      <c r="F273" s="843" t="inlineStr">
        <is>
          <t>Technology Manager, Digitial</t>
        </is>
      </c>
      <c r="G273" s="844" t="inlineStr">
        <is>
          <t>Customer</t>
        </is>
      </c>
      <c r="H273" s="843" t="inlineStr">
        <is>
          <t>Digital</t>
        </is>
      </c>
      <c r="I273" s="843" t="inlineStr">
        <is>
          <t>Digital, Tech</t>
        </is>
      </c>
      <c r="J273" s="843" t="inlineStr">
        <is>
          <t>Ampol Customer</t>
        </is>
      </c>
      <c r="K273" s="843" t="inlineStr">
        <is>
          <t>Ampol Digital</t>
        </is>
      </c>
      <c r="L273" s="843" t="inlineStr">
        <is>
          <t>Ampol App</t>
        </is>
      </c>
      <c r="M273" s="843" t="n"/>
      <c r="N273" s="845" t="inlineStr">
        <is>
          <t>Australia</t>
        </is>
      </c>
      <c r="O273" s="846" t="inlineStr">
        <is>
          <t>CIB (Often)</t>
        </is>
      </c>
      <c r="P273" s="847" t="n">
        <v>1</v>
      </c>
      <c r="Q273" s="846" t="n"/>
      <c r="R273" s="847" t="inlineStr">
        <is>
          <t>Permanent - Full Time</t>
        </is>
      </c>
      <c r="S273" s="847" t="n"/>
      <c r="T273" s="847" t="n"/>
      <c r="U273" s="848" t="n">
        <v>126350</v>
      </c>
      <c r="V273" s="849" t="n">
        <v>203550</v>
      </c>
      <c r="W273" s="850" t="n">
        <v>0.12</v>
      </c>
      <c r="X273" s="847" t="n">
        <v>0.055</v>
      </c>
      <c r="Y273" s="850" t="n">
        <v>0.12</v>
      </c>
      <c r="Z273" s="851" t="n"/>
      <c r="AA273" s="850" t="n">
        <v>0.04</v>
      </c>
      <c r="AB273" s="852" t="n">
        <v>216044.05</v>
      </c>
      <c r="AE273" s="534">
        <f>IF(TRIM($B273)="","",IF(AND(N($P273)&gt;0,N($P273)&lt;1),N($AB273)*N($P273),N($AB273)))</f>
        <v>216044.05</v>
      </c>
      <c r="AF273" s="534" t="str">
        <f>IF(TRIM($B273)="","",IF(OR(ISNUMBER(SEARCH("vacant",$B273)),ISNUMBER(SEARCH("ring fenced",$B273)),LOWER(TRIM($B273))="remove"),"Vacant","Filled"))</f>
        <v>Filled</v>
      </c>
      <c r="AG273" s="534" t="b">
        <f>IF(TRIM($B273)="","",--ISNUMBER(SEARCH("ring fenced",$B273)))</f>
        <v>0</v>
      </c>
      <c r="AH273" s="534" t="str">
        <f>IF(TRIM($B273)="","",IF(COUNTIFS(Lists!$AN$2:$AN$22,TRIM($B273)&amp;" | "&amp;TRIM($D273),Lists!$AO$2:$AO$22,"&lt;&gt;"),INDEX(Lists!$AO$2:$AO$22,MATCH(TRIM($B273)&amp;" | "&amp;TRIM($D273),Lists!$AN$2:$AN$22,0)),IF(COUNTIF(Lists!$AR$2:$AR$3,$AJ273),"TDD Cyber",IF(AND(LEFT($AJ273,4)="EGI ",ISNUMBER(MATCH(TRIM(MID($AJ273,5,99)),Lists!$AS$2:$AS$12,0))),TRIM(MID($AJ273,5,99)),IF(AND(LEFT($AJ273,4)="EGI ",ISNUMBER(MATCH(TRIM(MID($AJ273,5,99)),Lists!$T$2:$T$21,0))),INDEX(Lists!$U$2:$U$21,MATCH(TRIM(MID($AJ273,5,99)),Lists!$T$2:$T$21,0)),IF(OR(TRIM($J273)="",UPPER(TRIM($J273))="NA"),IFERROR(INDEX(Lists!$R$2:$R$9,MATCH(TRIM($G273),Lists!$Q$2:$Q$9,0)),"UNMAPPED"),IFERROR(INDEX(Lists!$U$2:$U$21,MATCH(TRIM($J273),Lists!$T$2:$T$21,0)),IFERROR(INDEX(Lists!$R$2:$R$9,MATCH(TRIM($G273),Lists!$Q$2:$Q$9,0)),"UNMAPPED"))))))))</f>
        <v>Customer</v>
      </c>
      <c r="AI273" s="534" t="b">
        <f>IF(TRIM($B273)="","",--OR(TRIM($L273)="Leadership",TRIM($K273)="Leadership"))</f>
        <v>0</v>
      </c>
      <c r="AJ273" s="534" t="str">
        <f>IF(TRIM($B273)="","",IF(COUNTIFS(Lists!$AN$2:$AN$22,TRIM($B273)&amp;" | "&amp;TRIM($D273),Lists!$AP$2:$AP$22,"&lt;&gt;"),INDEX(Lists!$AP$2:$AP$22,MATCH(TRIM($B273)&amp;" | "&amp;TRIM($D273),Lists!$AN$2:$AN$22,0)),IF($AI273=1,"Leadership",IFERROR(INDEX(Lists!$X$2:$X$21,MATCH(TRIM($L273),Lists!$W$2:$W$21,0)),IF(OR(TRIM($L273)="",LOWER(TRIM($L273))="na"),IF(TRIM($H273)="","Unassigned",TRIM($H273)),TRIM($L273))))))</f>
        <v>Ampol App</v>
      </c>
      <c r="AK273" s="534" t="str">
        <f>IF(TRIM($B273)="","",IF(COUNTIFS(Lists!$AN$2:$AN$22,TRIM($B273)&amp;" | "&amp;TRIM($D273),Lists!$AQ$2:$AQ$22,"&lt;&gt;"),INDEX(Lists!$AQ$2:$AQ$22,MATCH(TRIM($B273)&amp;" | "&amp;TRIM($D273),Lists!$AN$2:$AN$22,0)),IF(COUNTIF(Lists!$AF$2:$AF$8,$AJ273),$AJ273,IF(ISNUMBER(SEARCH("head of ",$D273)),"Head of Technology",IF(ISNUMBER(SEARCH("TDD BP",$D273)),"Business Partner",IF(OR(ISNUMBER(SEARCH("domain architect",$D273)),ISNUMBER(SEARCH("enterprise architect",$D273))),"Domain Architect",IF(ISNUMBER(SEARCH("delivery man",$D273)),"Delivery Manager",IF(OR(ISNUMBER(SEARCH("technology manager",$D273)),ISNUMBER(SEARCH("technology manger",$D273)),ISNUMBER(SEARCH("tech manager",$D273))),"Technology Manager","Squad"))))))))</f>
        <v>Squad</v>
      </c>
      <c r="AL273" s="534" t="str">
        <f>IF(TRIM($B273)="","",IF(AND($AM273=1,LEFT($AJ273,4)&lt;&gt;"EGI ",$AJ273&lt;&gt;"EGI"),IFERROR(INDEX(Lists!$Z$2:$Z$20,MATCH($AH273,Lists!$Y$2:$Y$20,0)),"EGI "&amp;$AH273),IF(COUNTIF(Lists!$AU$2:$AU$10,$AJ273),$AJ273,IF(OR(LEFT($AH273,3)="COE",$AH273="EGI"),$AJ273,IF($AK273&lt;&gt;"Squad",$AK273,$AJ273)))))</f>
        <v>Ampol App</v>
      </c>
      <c r="AM273" s="534" t="b">
        <f>IF(TRIM($B273)="","",--(UPPER(TRIM($K273))="EGI"))</f>
        <v>0</v>
      </c>
      <c r="AN273" s="534" t="inlineStr">
        <is>
          <t>Filled</t>
        </is>
      </c>
      <c r="AQ273" s="841" t="inlineStr">
        <is>
          <t>R0272</t>
        </is>
      </c>
      <c r="AZ273" s="841" t="n"/>
    </row>
    <row r="274" ht="18" customHeight="1" s="535">
      <c r="A274" s="842" t="inlineStr">
        <is>
          <t>V</t>
        </is>
      </c>
      <c r="B274" s="843" t="inlineStr">
        <is>
          <t>Vacant</t>
        </is>
      </c>
      <c r="C274" s="842" t="inlineStr">
        <is>
          <t>V</t>
        </is>
      </c>
      <c r="D274" s="843" t="inlineStr">
        <is>
          <t>AI Engineer - Front End</t>
        </is>
      </c>
      <c r="E274" s="843" t="inlineStr">
        <is>
          <t>Vacant</t>
        </is>
      </c>
      <c r="F274" s="843" t="inlineStr">
        <is>
          <t>AI Enablement Lead</t>
        </is>
      </c>
      <c r="G274" s="844" t="inlineStr">
        <is>
          <t>Customer</t>
        </is>
      </c>
      <c r="H274" s="843" t="inlineStr">
        <is>
          <t>Customer, AI Enablement</t>
        </is>
      </c>
      <c r="I274" s="843" t="n"/>
      <c r="J274" s="843" t="inlineStr">
        <is>
          <t>Ampol Customer</t>
        </is>
      </c>
      <c r="K274" s="843" t="inlineStr">
        <is>
          <t>AI Enablement &amp; Program Management</t>
        </is>
      </c>
      <c r="L274" s="843" t="inlineStr">
        <is>
          <t>Customer, AI</t>
        </is>
      </c>
      <c r="M274" s="843" t="n"/>
      <c r="N274" s="845" t="inlineStr">
        <is>
          <t>Australia</t>
        </is>
      </c>
      <c r="O274" s="846" t="inlineStr">
        <is>
          <t>CIB (Often)</t>
        </is>
      </c>
      <c r="P274" s="847" t="n">
        <v>1</v>
      </c>
      <c r="Q274" s="846" t="n"/>
      <c r="R274" s="847" t="inlineStr">
        <is>
          <t>Vacant</t>
        </is>
      </c>
      <c r="S274" s="847" t="n"/>
      <c r="T274" s="847" t="n"/>
      <c r="U274" s="848" t="n">
        <v>145910</v>
      </c>
      <c r="V274" s="849" t="n">
        <v>145910</v>
      </c>
      <c r="W274" s="850" t="n">
        <v>0.12</v>
      </c>
      <c r="X274" s="847" t="n">
        <v>0.055</v>
      </c>
      <c r="Y274" s="850" t="n">
        <v>0.12</v>
      </c>
      <c r="Z274" s="851" t="n"/>
      <c r="AA274" s="850" t="n">
        <v>0.04</v>
      </c>
      <c r="AB274" s="852" t="n">
        <v>194789.85</v>
      </c>
      <c r="AE274" s="534">
        <f>IF(TRIM($B274)="","",IF(AND(N($P274)&gt;0,N($P274)&lt;1),N($AB274)*N($P274),N($AB274)))</f>
        <v>194789.85</v>
      </c>
      <c r="AF274" s="534" t="str">
        <f>IF(TRIM($B274)="","",IF(OR(ISNUMBER(SEARCH("vacant",$B274)),ISNUMBER(SEARCH("ring fenced",$B274)),LOWER(TRIM($B274))="remove"),"Vacant","Filled"))</f>
        <v>Vacant</v>
      </c>
      <c r="AG274" s="534" t="b">
        <f>IF(TRIM($B274)="","",--ISNUMBER(SEARCH("ring fenced",$B274)))</f>
        <v>0</v>
      </c>
      <c r="AH274" s="534" t="str">
        <f>IF(TRIM($B274)="","",IF(COUNTIFS(Lists!$AN$2:$AN$22,TRIM($B274)&amp;" | "&amp;TRIM($D274),Lists!$AO$2:$AO$22,"&lt;&gt;"),INDEX(Lists!$AO$2:$AO$22,MATCH(TRIM($B274)&amp;" | "&amp;TRIM($D274),Lists!$AN$2:$AN$22,0)),IF(COUNTIF(Lists!$AR$2:$AR$3,$AJ274),"TDD Cyber",IF(AND(LEFT($AJ274,4)="EGI ",ISNUMBER(MATCH(TRIM(MID($AJ274,5,99)),Lists!$AS$2:$AS$12,0))),TRIM(MID($AJ274,5,99)),IF(AND(LEFT($AJ274,4)="EGI ",ISNUMBER(MATCH(TRIM(MID($AJ274,5,99)),Lists!$T$2:$T$21,0))),INDEX(Lists!$U$2:$U$21,MATCH(TRIM(MID($AJ274,5,99)),Lists!$T$2:$T$21,0)),IF(OR(TRIM($J274)="",UPPER(TRIM($J274))="NA"),IFERROR(INDEX(Lists!$R$2:$R$9,MATCH(TRIM($G274),Lists!$Q$2:$Q$9,0)),"UNMAPPED"),IFERROR(INDEX(Lists!$U$2:$U$21,MATCH(TRIM($J274),Lists!$T$2:$T$21,0)),IFERROR(INDEX(Lists!$R$2:$R$9,MATCH(TRIM($G274),Lists!$Q$2:$Q$9,0)),"UNMAPPED"))))))))</f>
        <v>Customer</v>
      </c>
      <c r="AI274" s="534" t="b">
        <f>IF(TRIM($B274)="","",--OR(TRIM($L274)="Leadership",TRIM($K274)="Leadership"))</f>
        <v>0</v>
      </c>
      <c r="AJ274" s="534" t="str">
        <f>IF(TRIM($B274)="","",IF(COUNTIFS(Lists!$AN$2:$AN$22,TRIM($B274)&amp;" | "&amp;TRIM($D274),Lists!$AP$2:$AP$22,"&lt;&gt;"),INDEX(Lists!$AP$2:$AP$22,MATCH(TRIM($B274)&amp;" | "&amp;TRIM($D274),Lists!$AN$2:$AN$22,0)),IF($AI274=1,"Leadership",IFERROR(INDEX(Lists!$X$2:$X$21,MATCH(TRIM($L274),Lists!$W$2:$W$21,0)),IF(OR(TRIM($L274)="",LOWER(TRIM($L274))="na"),IF(TRIM($H274)="","Unassigned",TRIM($H274)),TRIM($L274))))))</f>
        <v>Customer, AI</v>
      </c>
      <c r="AK274" s="534" t="str">
        <f>IF(TRIM($B274)="","",IF(COUNTIFS(Lists!$AN$2:$AN$22,TRIM($B274)&amp;" | "&amp;TRIM($D274),Lists!$AQ$2:$AQ$22,"&lt;&gt;"),INDEX(Lists!$AQ$2:$AQ$22,MATCH(TRIM($B274)&amp;" | "&amp;TRIM($D274),Lists!$AN$2:$AN$22,0)),IF(COUNTIF(Lists!$AF$2:$AF$8,$AJ274),$AJ274,IF(ISNUMBER(SEARCH("head of ",$D274)),"Head of Technology",IF(ISNUMBER(SEARCH("TDD BP",$D274)),"Business Partner",IF(OR(ISNUMBER(SEARCH("domain architect",$D274)),ISNUMBER(SEARCH("enterprise architect",$D274))),"Domain Architect",IF(ISNUMBER(SEARCH("delivery man",$D274)),"Delivery Manager",IF(OR(ISNUMBER(SEARCH("technology manager",$D274)),ISNUMBER(SEARCH("technology manger",$D274)),ISNUMBER(SEARCH("tech manager",$D274))),"Technology Manager","Squad"))))))))</f>
        <v>Squad</v>
      </c>
      <c r="AL274" s="534" t="str">
        <f>IF(TRIM($B274)="","",IF(AND($AM274=1,LEFT($AJ274,4)&lt;&gt;"EGI ",$AJ274&lt;&gt;"EGI"),IFERROR(INDEX(Lists!$Z$2:$Z$20,MATCH($AH274,Lists!$Y$2:$Y$20,0)),"EGI "&amp;$AH274),IF(COUNTIF(Lists!$AU$2:$AU$10,$AJ274),$AJ274,IF(OR(LEFT($AH274,3)="COE",$AH274="EGI"),$AJ274,IF($AK274&lt;&gt;"Squad",$AK274,$AJ274)))))</f>
        <v>Customer, AI</v>
      </c>
      <c r="AM274" s="534" t="b">
        <f>IF(TRIM($B274)="","",--(UPPER(TRIM($K274))="EGI"))</f>
        <v>0</v>
      </c>
      <c r="AN274" s="534" t="inlineStr">
        <is>
          <t>Vacant</t>
        </is>
      </c>
      <c r="AQ274" s="841" t="inlineStr">
        <is>
          <t>R0273</t>
        </is>
      </c>
      <c r="AZ274" s="841" t="n"/>
    </row>
    <row r="275" ht="18" customHeight="1" s="535">
      <c r="A275" s="842" t="inlineStr">
        <is>
          <t>V</t>
        </is>
      </c>
      <c r="B275" s="843" t="inlineStr">
        <is>
          <t>Vacant</t>
        </is>
      </c>
      <c r="C275" s="842" t="inlineStr">
        <is>
          <t>V</t>
        </is>
      </c>
      <c r="D275" s="843" t="inlineStr">
        <is>
          <t xml:space="preserve">AI Engineer - Full Stack </t>
        </is>
      </c>
      <c r="E275" s="843" t="inlineStr">
        <is>
          <t>Vacant</t>
        </is>
      </c>
      <c r="F275" s="843" t="inlineStr">
        <is>
          <t>AI Enablement Lead</t>
        </is>
      </c>
      <c r="G275" s="844" t="inlineStr">
        <is>
          <t>Customer</t>
        </is>
      </c>
      <c r="H275" s="843" t="inlineStr">
        <is>
          <t>Customer, AI Enablement</t>
        </is>
      </c>
      <c r="I275" s="843" t="n"/>
      <c r="J275" s="843" t="inlineStr">
        <is>
          <t>Ampol Customer</t>
        </is>
      </c>
      <c r="K275" s="843" t="inlineStr">
        <is>
          <t>AI Enablement &amp; Program Management</t>
        </is>
      </c>
      <c r="L275" s="843" t="inlineStr">
        <is>
          <t>Customer, AI</t>
        </is>
      </c>
      <c r="M275" s="843" t="n"/>
      <c r="N275" s="845" t="inlineStr">
        <is>
          <t>Australia</t>
        </is>
      </c>
      <c r="O275" s="846" t="inlineStr">
        <is>
          <t>CIB (Often)</t>
        </is>
      </c>
      <c r="P275" s="847" t="n">
        <v>1</v>
      </c>
      <c r="Q275" s="846" t="n"/>
      <c r="R275" s="847" t="inlineStr">
        <is>
          <t>Vacant</t>
        </is>
      </c>
      <c r="S275" s="847" t="n"/>
      <c r="T275" s="847" t="n"/>
      <c r="U275" s="848" t="n">
        <v>145910</v>
      </c>
      <c r="V275" s="849" t="n">
        <v>145910</v>
      </c>
      <c r="W275" s="850" t="n">
        <v>0.12</v>
      </c>
      <c r="X275" s="847" t="n">
        <v>0.055</v>
      </c>
      <c r="Y275" s="850" t="n">
        <v>0.12</v>
      </c>
      <c r="Z275" s="851" t="n"/>
      <c r="AA275" s="850" t="n">
        <v>0.04</v>
      </c>
      <c r="AB275" s="852" t="n">
        <v>194789.85</v>
      </c>
      <c r="AE275" s="534">
        <f>IF(TRIM($B275)="","",IF(AND(N($P275)&gt;0,N($P275)&lt;1),N($AB275)*N($P275),N($AB275)))</f>
        <v>194789.85</v>
      </c>
      <c r="AF275" s="534" t="str">
        <f>IF(TRIM($B275)="","",IF(OR(ISNUMBER(SEARCH("vacant",$B275)),ISNUMBER(SEARCH("ring fenced",$B275)),LOWER(TRIM($B275))="remove"),"Vacant","Filled"))</f>
        <v>Vacant</v>
      </c>
      <c r="AG275" s="534" t="b">
        <f>IF(TRIM($B275)="","",--ISNUMBER(SEARCH("ring fenced",$B275)))</f>
        <v>0</v>
      </c>
      <c r="AH275" s="534" t="str">
        <f>IF(TRIM($B275)="","",IF(COUNTIFS(Lists!$AN$2:$AN$22,TRIM($B275)&amp;" | "&amp;TRIM($D275),Lists!$AO$2:$AO$22,"&lt;&gt;"),INDEX(Lists!$AO$2:$AO$22,MATCH(TRIM($B275)&amp;" | "&amp;TRIM($D275),Lists!$AN$2:$AN$22,0)),IF(COUNTIF(Lists!$AR$2:$AR$3,$AJ275),"TDD Cyber",IF(AND(LEFT($AJ275,4)="EGI ",ISNUMBER(MATCH(TRIM(MID($AJ275,5,99)),Lists!$AS$2:$AS$12,0))),TRIM(MID($AJ275,5,99)),IF(AND(LEFT($AJ275,4)="EGI ",ISNUMBER(MATCH(TRIM(MID($AJ275,5,99)),Lists!$T$2:$T$21,0))),INDEX(Lists!$U$2:$U$21,MATCH(TRIM(MID($AJ275,5,99)),Lists!$T$2:$T$21,0)),IF(OR(TRIM($J275)="",UPPER(TRIM($J275))="NA"),IFERROR(INDEX(Lists!$R$2:$R$9,MATCH(TRIM($G275),Lists!$Q$2:$Q$9,0)),"UNMAPPED"),IFERROR(INDEX(Lists!$U$2:$U$21,MATCH(TRIM($J275),Lists!$T$2:$T$21,0)),IFERROR(INDEX(Lists!$R$2:$R$9,MATCH(TRIM($G275),Lists!$Q$2:$Q$9,0)),"UNMAPPED"))))))))</f>
        <v>Customer</v>
      </c>
      <c r="AI275" s="534" t="b">
        <f>IF(TRIM($B275)="","",--OR(TRIM($L275)="Leadership",TRIM($K275)="Leadership"))</f>
        <v>0</v>
      </c>
      <c r="AJ275" s="534" t="str">
        <f>IF(TRIM($B275)="","",IF(COUNTIFS(Lists!$AN$2:$AN$22,TRIM($B275)&amp;" | "&amp;TRIM($D275),Lists!$AP$2:$AP$22,"&lt;&gt;"),INDEX(Lists!$AP$2:$AP$22,MATCH(TRIM($B275)&amp;" | "&amp;TRIM($D275),Lists!$AN$2:$AN$22,0)),IF($AI275=1,"Leadership",IFERROR(INDEX(Lists!$X$2:$X$21,MATCH(TRIM($L275),Lists!$W$2:$W$21,0)),IF(OR(TRIM($L275)="",LOWER(TRIM($L275))="na"),IF(TRIM($H275)="","Unassigned",TRIM($H275)),TRIM($L275))))))</f>
        <v>Customer, AI</v>
      </c>
      <c r="AK275" s="534" t="str">
        <f>IF(TRIM($B275)="","",IF(COUNTIFS(Lists!$AN$2:$AN$22,TRIM($B275)&amp;" | "&amp;TRIM($D275),Lists!$AQ$2:$AQ$22,"&lt;&gt;"),INDEX(Lists!$AQ$2:$AQ$22,MATCH(TRIM($B275)&amp;" | "&amp;TRIM($D275),Lists!$AN$2:$AN$22,0)),IF(COUNTIF(Lists!$AF$2:$AF$8,$AJ275),$AJ275,IF(ISNUMBER(SEARCH("head of ",$D275)),"Head of Technology",IF(ISNUMBER(SEARCH("TDD BP",$D275)),"Business Partner",IF(OR(ISNUMBER(SEARCH("domain architect",$D275)),ISNUMBER(SEARCH("enterprise architect",$D275))),"Domain Architect",IF(ISNUMBER(SEARCH("delivery man",$D275)),"Delivery Manager",IF(OR(ISNUMBER(SEARCH("technology manager",$D275)),ISNUMBER(SEARCH("technology manger",$D275)),ISNUMBER(SEARCH("tech manager",$D275))),"Technology Manager","Squad"))))))))</f>
        <v>Squad</v>
      </c>
      <c r="AL275" s="534" t="str">
        <f>IF(TRIM($B275)="","",IF(AND($AM275=1,LEFT($AJ275,4)&lt;&gt;"EGI ",$AJ275&lt;&gt;"EGI"),IFERROR(INDEX(Lists!$Z$2:$Z$20,MATCH($AH275,Lists!$Y$2:$Y$20,0)),"EGI "&amp;$AH275),IF(COUNTIF(Lists!$AU$2:$AU$10,$AJ275),$AJ275,IF(OR(LEFT($AH275,3)="COE",$AH275="EGI"),$AJ275,IF($AK275&lt;&gt;"Squad",$AK275,$AJ275)))))</f>
        <v>Customer, AI</v>
      </c>
      <c r="AM275" s="534" t="b">
        <f>IF(TRIM($B275)="","",--(UPPER(TRIM($K275))="EGI"))</f>
        <v>0</v>
      </c>
      <c r="AN275" s="534" t="inlineStr">
        <is>
          <t>Vacant</t>
        </is>
      </c>
      <c r="AQ275" s="841" t="inlineStr">
        <is>
          <t>R0274</t>
        </is>
      </c>
      <c r="AZ275" s="841" t="n"/>
    </row>
    <row r="276" ht="18" customHeight="1" s="535">
      <c r="A276" s="842" t="n">
        <v>116387</v>
      </c>
      <c r="B276" s="843" t="inlineStr">
        <is>
          <t>Christian Lazano</t>
        </is>
      </c>
      <c r="C276" s="842" t="n">
        <v>116387</v>
      </c>
      <c r="D276" s="843" t="inlineStr">
        <is>
          <t>Business Analyst</t>
        </is>
      </c>
      <c r="E276" s="843" t="inlineStr">
        <is>
          <t>Vacant</t>
        </is>
      </c>
      <c r="F276" s="843" t="inlineStr">
        <is>
          <t>customer, program manager</t>
        </is>
      </c>
      <c r="G276" s="844" t="inlineStr">
        <is>
          <t>Customer</t>
        </is>
      </c>
      <c r="H276" s="843" t="inlineStr">
        <is>
          <t>Customer, PMO</t>
        </is>
      </c>
      <c r="I276" s="843" t="n"/>
      <c r="J276" s="843" t="inlineStr">
        <is>
          <t>Ampol Customer</t>
        </is>
      </c>
      <c r="K276" s="843" t="inlineStr">
        <is>
          <t>(All Customer)</t>
        </is>
      </c>
      <c r="L276" s="843" t="inlineStr">
        <is>
          <t>Leadership</t>
        </is>
      </c>
      <c r="M276" s="843" t="n"/>
      <c r="N276" s="845" t="inlineStr">
        <is>
          <t>Australia</t>
        </is>
      </c>
      <c r="O276" s="846" t="inlineStr">
        <is>
          <t>CIB (Often)</t>
        </is>
      </c>
      <c r="P276" s="847" t="n">
        <v>1</v>
      </c>
      <c r="Q276" s="846" t="n"/>
      <c r="R276" s="847" t="inlineStr">
        <is>
          <t>Temporary - Full Time</t>
        </is>
      </c>
      <c r="S276" s="847" t="n"/>
      <c r="T276" s="847" t="n"/>
      <c r="U276" s="848" t="n">
        <v>165000</v>
      </c>
      <c r="V276" s="849" t="n">
        <v>165000</v>
      </c>
      <c r="W276" s="850" t="n">
        <v>0.12</v>
      </c>
      <c r="X276" s="847" t="n">
        <v>0.055</v>
      </c>
      <c r="Y276" s="850" t="n">
        <v>0.12</v>
      </c>
      <c r="Z276" s="851" t="n"/>
      <c r="AA276" s="850" t="n">
        <v>0.04</v>
      </c>
      <c r="AB276" s="852" t="n">
        <v>216045.05</v>
      </c>
      <c r="AC276" s="534" t="inlineStr">
        <is>
          <t>end date: 9 March 2027</t>
        </is>
      </c>
      <c r="AE276" s="534">
        <f>IF(TRIM($B276)="","",IF(AND(N($P276)&gt;0,N($P276)&lt;1),N($AB276)*N($P276),N($AB276)))</f>
        <v>216045.05</v>
      </c>
      <c r="AF276" s="534" t="str">
        <f>IF(TRIM($B276)="","",IF(OR(ISNUMBER(SEARCH("vacant",$B276)),ISNUMBER(SEARCH("ring fenced",$B276)),LOWER(TRIM($B276))="remove"),"Vacant","Filled"))</f>
        <v>Filled</v>
      </c>
      <c r="AG276" s="534" t="b">
        <f>IF(TRIM($B276)="","",--ISNUMBER(SEARCH("ring fenced",$B276)))</f>
        <v>0</v>
      </c>
      <c r="AH276" s="534" t="str">
        <f>IF(TRIM($B276)="","",IF(COUNTIFS(Lists!$AN$2:$AN$22,TRIM($B276)&amp;" | "&amp;TRIM($D276),Lists!$AO$2:$AO$22,"&lt;&gt;"),INDEX(Lists!$AO$2:$AO$22,MATCH(TRIM($B276)&amp;" | "&amp;TRIM($D276),Lists!$AN$2:$AN$22,0)),IF(COUNTIF(Lists!$AR$2:$AR$3,$AJ276),"TDD Cyber",IF(AND(LEFT($AJ276,4)="EGI ",ISNUMBER(MATCH(TRIM(MID($AJ276,5,99)),Lists!$AS$2:$AS$12,0))),TRIM(MID($AJ276,5,99)),IF(AND(LEFT($AJ276,4)="EGI ",ISNUMBER(MATCH(TRIM(MID($AJ276,5,99)),Lists!$T$2:$T$21,0))),INDEX(Lists!$U$2:$U$21,MATCH(TRIM(MID($AJ276,5,99)),Lists!$T$2:$T$21,0)),IF(OR(TRIM($J276)="",UPPER(TRIM($J276))="NA"),IFERROR(INDEX(Lists!$R$2:$R$9,MATCH(TRIM($G276),Lists!$Q$2:$Q$9,0)),"UNMAPPED"),IFERROR(INDEX(Lists!$U$2:$U$21,MATCH(TRIM($J276),Lists!$T$2:$T$21,0)),IFERROR(INDEX(Lists!$R$2:$R$9,MATCH(TRIM($G276),Lists!$Q$2:$Q$9,0)),"UNMAPPED"))))))))</f>
        <v>Customer</v>
      </c>
      <c r="AI276" s="534" t="b">
        <f>IF(TRIM($B276)="","",--OR(TRIM($L276)="Leadership",TRIM($K276)="Leadership"))</f>
        <v>1</v>
      </c>
      <c r="AJ276" s="534" t="str">
        <f>IF(TRIM($B276)="","",IF(COUNTIFS(Lists!$AN$2:$AN$22,TRIM($B276)&amp;" | "&amp;TRIM($D276),Lists!$AP$2:$AP$22,"&lt;&gt;"),INDEX(Lists!$AP$2:$AP$22,MATCH(TRIM($B276)&amp;" | "&amp;TRIM($D276),Lists!$AN$2:$AN$22,0)),IF($AI276=1,"Leadership",IFERROR(INDEX(Lists!$X$2:$X$21,MATCH(TRIM($L276),Lists!$W$2:$W$21,0)),IF(OR(TRIM($L276)="",LOWER(TRIM($L276))="na"),IF(TRIM($H276)="","Unassigned",TRIM($H276)),TRIM($L276))))))</f>
        <v>Leadership</v>
      </c>
      <c r="AK276" s="534" t="str">
        <f>IF(TRIM($B276)="","",IF(COUNTIFS(Lists!$AN$2:$AN$22,TRIM($B276)&amp;" | "&amp;TRIM($D276),Lists!$AQ$2:$AQ$22,"&lt;&gt;"),INDEX(Lists!$AQ$2:$AQ$22,MATCH(TRIM($B276)&amp;" | "&amp;TRIM($D276),Lists!$AN$2:$AN$22,0)),IF(COUNTIF(Lists!$AF$2:$AF$8,$AJ276),$AJ276,IF(ISNUMBER(SEARCH("head of ",$D276)),"Head of Technology",IF(ISNUMBER(SEARCH("TDD BP",$D276)),"Business Partner",IF(OR(ISNUMBER(SEARCH("domain architect",$D276)),ISNUMBER(SEARCH("enterprise architect",$D276))),"Domain Architect",IF(ISNUMBER(SEARCH("delivery man",$D276)),"Delivery Manager",IF(OR(ISNUMBER(SEARCH("technology manager",$D276)),ISNUMBER(SEARCH("technology manger",$D276)),ISNUMBER(SEARCH("tech manager",$D276))),"Technology Manager","Squad"))))))))</f>
        <v>Squad</v>
      </c>
      <c r="AL276" s="534" t="str">
        <f>IF(TRIM($B276)="","",IF(AND($AM276=1,LEFT($AJ276,4)&lt;&gt;"EGI ",$AJ276&lt;&gt;"EGI"),IFERROR(INDEX(Lists!$Z$2:$Z$20,MATCH($AH276,Lists!$Y$2:$Y$20,0)),"EGI "&amp;$AH276),IF(COUNTIF(Lists!$AU$2:$AU$10,$AJ276),$AJ276,IF(OR(LEFT($AH276,3)="COE",$AH276="EGI"),$AJ276,IF($AK276&lt;&gt;"Squad",$AK276,$AJ276)))))</f>
        <v>Leadership</v>
      </c>
      <c r="AM276" s="534" t="b">
        <f>IF(TRIM($B276)="","",--(UPPER(TRIM($K276))="EGI"))</f>
        <v>0</v>
      </c>
      <c r="AN276" s="534" t="inlineStr">
        <is>
          <t>Filled</t>
        </is>
      </c>
      <c r="AO276" s="534" t="inlineStr">
        <is>
          <t>end date: 9 March 2027</t>
        </is>
      </c>
      <c r="AP276" s="854" t="n">
        <v>46455</v>
      </c>
      <c r="AQ276" s="841" t="inlineStr">
        <is>
          <t>R0275</t>
        </is>
      </c>
      <c r="AZ276" s="841" t="n"/>
    </row>
    <row r="277" ht="18" customHeight="1" s="535">
      <c r="A277" s="842" t="n">
        <v>97241</v>
      </c>
      <c r="B277" s="843" t="inlineStr">
        <is>
          <t>Jawad Hassan</t>
        </is>
      </c>
      <c r="C277" s="842" t="n">
        <v>97241</v>
      </c>
      <c r="D277" s="843" t="inlineStr">
        <is>
          <t>Engineer Data (Snowflake)</t>
        </is>
      </c>
      <c r="E277" s="843" t="inlineStr">
        <is>
          <t>Zoe Udy</t>
        </is>
      </c>
      <c r="F277" s="843" t="inlineStr">
        <is>
          <t>Technology Manager, Data &amp; Engineering</t>
        </is>
      </c>
      <c r="G277" s="844" t="inlineStr">
        <is>
          <t>Customer</t>
        </is>
      </c>
      <c r="H277" s="843" t="inlineStr">
        <is>
          <t>Loyalty &amp; Martech</t>
        </is>
      </c>
      <c r="I277" s="843" t="inlineStr">
        <is>
          <t>Loyalty, Data &amp; Engineering</t>
        </is>
      </c>
      <c r="J277" s="843" t="inlineStr">
        <is>
          <t>Ampol Customer</t>
        </is>
      </c>
      <c r="K277" s="843" t="inlineStr">
        <is>
          <t>Ampol Loyalty &amp; Martech</t>
        </is>
      </c>
      <c r="L277" s="843" t="inlineStr">
        <is>
          <t>Ampol Loyalty &amp; Martech</t>
        </is>
      </c>
      <c r="M277" s="843" t="n"/>
      <c r="N277" s="845" t="inlineStr">
        <is>
          <t>Australia</t>
        </is>
      </c>
      <c r="O277" s="846" t="inlineStr">
        <is>
          <t>CIB (Often)</t>
        </is>
      </c>
      <c r="P277" s="847" t="n">
        <v>1</v>
      </c>
      <c r="Q277" s="846" t="n"/>
      <c r="R277" s="847" t="inlineStr">
        <is>
          <t>Permanent - Full Time</t>
        </is>
      </c>
      <c r="S277" s="847" t="n"/>
      <c r="T277" s="847" t="n"/>
      <c r="U277" s="848" t="n">
        <v>155040</v>
      </c>
      <c r="V277" s="849" t="n">
        <v>155040</v>
      </c>
      <c r="W277" s="850" t="n">
        <v>0.12</v>
      </c>
      <c r="X277" s="847" t="n">
        <v>0.055</v>
      </c>
      <c r="Y277" s="850" t="n">
        <v>0.12</v>
      </c>
      <c r="Z277" s="851" t="n"/>
      <c r="AA277" s="850" t="n">
        <v>0.04</v>
      </c>
      <c r="AB277" s="852" t="n">
        <v>206978.4</v>
      </c>
      <c r="AE277" s="534">
        <f>IF(TRIM($B277)="","",IF(AND(N($P277)&gt;0,N($P277)&lt;1),N($AB277)*N($P277),N($AB277)))</f>
        <v>206978.4</v>
      </c>
      <c r="AF277" s="534" t="str">
        <f>IF(TRIM($B277)="","",IF(OR(ISNUMBER(SEARCH("vacant",$B277)),ISNUMBER(SEARCH("ring fenced",$B277)),LOWER(TRIM($B277))="remove"),"Vacant","Filled"))</f>
        <v>Filled</v>
      </c>
      <c r="AG277" s="534" t="b">
        <f>IF(TRIM($B277)="","",--ISNUMBER(SEARCH("ring fenced",$B277)))</f>
        <v>0</v>
      </c>
      <c r="AH277" s="534" t="str">
        <f>IF(TRIM($B277)="","",IF(COUNTIFS(Lists!$AN$2:$AN$22,TRIM($B277)&amp;" | "&amp;TRIM($D277),Lists!$AO$2:$AO$22,"&lt;&gt;"),INDEX(Lists!$AO$2:$AO$22,MATCH(TRIM($B277)&amp;" | "&amp;TRIM($D277),Lists!$AN$2:$AN$22,0)),IF(COUNTIF(Lists!$AR$2:$AR$3,$AJ277),"TDD Cyber",IF(AND(LEFT($AJ277,4)="EGI ",ISNUMBER(MATCH(TRIM(MID($AJ277,5,99)),Lists!$AS$2:$AS$12,0))),TRIM(MID($AJ277,5,99)),IF(AND(LEFT($AJ277,4)="EGI ",ISNUMBER(MATCH(TRIM(MID($AJ277,5,99)),Lists!$T$2:$T$21,0))),INDEX(Lists!$U$2:$U$21,MATCH(TRIM(MID($AJ277,5,99)),Lists!$T$2:$T$21,0)),IF(OR(TRIM($J277)="",UPPER(TRIM($J277))="NA"),IFERROR(INDEX(Lists!$R$2:$R$9,MATCH(TRIM($G277),Lists!$Q$2:$Q$9,0)),"UNMAPPED"),IFERROR(INDEX(Lists!$U$2:$U$21,MATCH(TRIM($J277),Lists!$T$2:$T$21,0)),IFERROR(INDEX(Lists!$R$2:$R$9,MATCH(TRIM($G277),Lists!$Q$2:$Q$9,0)),"UNMAPPED"))))))))</f>
        <v>Customer</v>
      </c>
      <c r="AI277" s="534" t="b">
        <f>IF(TRIM($B277)="","",--OR(TRIM($L277)="Leadership",TRIM($K277)="Leadership"))</f>
        <v>0</v>
      </c>
      <c r="AJ277" s="534" t="str">
        <f>IF(TRIM($B277)="","",IF(COUNTIFS(Lists!$AN$2:$AN$22,TRIM($B277)&amp;" | "&amp;TRIM($D277),Lists!$AP$2:$AP$22,"&lt;&gt;"),INDEX(Lists!$AP$2:$AP$22,MATCH(TRIM($B277)&amp;" | "&amp;TRIM($D277),Lists!$AN$2:$AN$22,0)),IF($AI277=1,"Leadership",IFERROR(INDEX(Lists!$X$2:$X$21,MATCH(TRIM($L277),Lists!$W$2:$W$21,0)),IF(OR(TRIM($L277)="",LOWER(TRIM($L277))="na"),IF(TRIM($H277)="","Unassigned",TRIM($H277)),TRIM($L277))))))</f>
        <v>Ampol Loyalty &amp; Martech</v>
      </c>
      <c r="AK277" s="534" t="str">
        <f>IF(TRIM($B277)="","",IF(COUNTIFS(Lists!$AN$2:$AN$22,TRIM($B277)&amp;" | "&amp;TRIM($D277),Lists!$AQ$2:$AQ$22,"&lt;&gt;"),INDEX(Lists!$AQ$2:$AQ$22,MATCH(TRIM($B277)&amp;" | "&amp;TRIM($D277),Lists!$AN$2:$AN$22,0)),IF(COUNTIF(Lists!$AF$2:$AF$8,$AJ277),$AJ277,IF(ISNUMBER(SEARCH("head of ",$D277)),"Head of Technology",IF(ISNUMBER(SEARCH("TDD BP",$D277)),"Business Partner",IF(OR(ISNUMBER(SEARCH("domain architect",$D277)),ISNUMBER(SEARCH("enterprise architect",$D277))),"Domain Architect",IF(ISNUMBER(SEARCH("delivery man",$D277)),"Delivery Manager",IF(OR(ISNUMBER(SEARCH("technology manager",$D277)),ISNUMBER(SEARCH("technology manger",$D277)),ISNUMBER(SEARCH("tech manager",$D277))),"Technology Manager","Squad"))))))))</f>
        <v>Squad</v>
      </c>
      <c r="AL277" s="534" t="str">
        <f>IF(TRIM($B277)="","",IF(AND($AM277=1,LEFT($AJ277,4)&lt;&gt;"EGI ",$AJ277&lt;&gt;"EGI"),IFERROR(INDEX(Lists!$Z$2:$Z$20,MATCH($AH277,Lists!$Y$2:$Y$20,0)),"EGI "&amp;$AH277),IF(COUNTIF(Lists!$AU$2:$AU$10,$AJ277),$AJ277,IF(OR(LEFT($AH277,3)="COE",$AH277="EGI"),$AJ277,IF($AK277&lt;&gt;"Squad",$AK277,$AJ277)))))</f>
        <v>Ampol Loyalty &amp; Martech</v>
      </c>
      <c r="AM277" s="534" t="b">
        <f>IF(TRIM($B277)="","",--(UPPER(TRIM($K277))="EGI"))</f>
        <v>0</v>
      </c>
      <c r="AN277" s="534" t="inlineStr">
        <is>
          <t>Filled</t>
        </is>
      </c>
      <c r="AQ277" s="841" t="inlineStr">
        <is>
          <t>R0276</t>
        </is>
      </c>
      <c r="AZ277" s="841" t="n"/>
    </row>
    <row r="278" ht="18" customHeight="1" s="535">
      <c r="A278" s="842" t="n">
        <v>111777</v>
      </c>
      <c r="B278" s="843" t="inlineStr">
        <is>
          <t>Jeremy Xu</t>
        </is>
      </c>
      <c r="C278" s="842" t="n">
        <v>111777</v>
      </c>
      <c r="D278" s="843" t="inlineStr">
        <is>
          <t>Data Analyst</t>
        </is>
      </c>
      <c r="E278" s="843" t="inlineStr">
        <is>
          <t>Zoe Udy</t>
        </is>
      </c>
      <c r="F278" s="843" t="inlineStr">
        <is>
          <t>Technology Manager, Data &amp; Engineering</t>
        </is>
      </c>
      <c r="G278" s="844" t="inlineStr">
        <is>
          <t>Customer</t>
        </is>
      </c>
      <c r="H278" s="843" t="inlineStr">
        <is>
          <t>Loyalty &amp; Martech</t>
        </is>
      </c>
      <c r="I278" s="843" t="inlineStr">
        <is>
          <t>Loyalty, Data &amp; Engineering</t>
        </is>
      </c>
      <c r="J278" s="843" t="inlineStr">
        <is>
          <t>Ampol Customer</t>
        </is>
      </c>
      <c r="K278" s="843" t="inlineStr">
        <is>
          <t>Ampol Loyalty &amp; Martech</t>
        </is>
      </c>
      <c r="L278" s="843" t="inlineStr">
        <is>
          <t>Ampol Loyalty &amp; Martech</t>
        </is>
      </c>
      <c r="M278" s="843" t="n"/>
      <c r="N278" s="845" t="inlineStr">
        <is>
          <t>Australia</t>
        </is>
      </c>
      <c r="O278" s="846" t="inlineStr">
        <is>
          <t>CIB (Often)</t>
        </is>
      </c>
      <c r="P278" s="847" t="n">
        <v>1</v>
      </c>
      <c r="Q278" s="846" t="n"/>
      <c r="R278" s="847" t="inlineStr">
        <is>
          <t>Permanent - Full Time</t>
        </is>
      </c>
      <c r="S278" s="847" t="n"/>
      <c r="T278" s="847" t="n"/>
      <c r="U278" s="848" t="n">
        <v>145910</v>
      </c>
      <c r="V278" s="849" t="n">
        <v>145910</v>
      </c>
      <c r="W278" s="850" t="n">
        <v>0.12</v>
      </c>
      <c r="X278" s="847" t="n">
        <v>0.055</v>
      </c>
      <c r="Y278" s="850" t="n">
        <v>0.12</v>
      </c>
      <c r="Z278" s="851" t="n"/>
      <c r="AA278" s="850" t="n">
        <v>0.04</v>
      </c>
      <c r="AB278" s="852" t="n">
        <v>194789.85</v>
      </c>
      <c r="AE278" s="534">
        <f>IF(TRIM($B278)="","",IF(AND(N($P278)&gt;0,N($P278)&lt;1),N($AB278)*N($P278),N($AB278)))</f>
        <v>194789.85</v>
      </c>
      <c r="AF278" s="534" t="str">
        <f>IF(TRIM($B278)="","",IF(OR(ISNUMBER(SEARCH("vacant",$B278)),ISNUMBER(SEARCH("ring fenced",$B278)),LOWER(TRIM($B278))="remove"),"Vacant","Filled"))</f>
        <v>Filled</v>
      </c>
      <c r="AG278" s="534" t="b">
        <f>IF(TRIM($B278)="","",--ISNUMBER(SEARCH("ring fenced",$B278)))</f>
        <v>0</v>
      </c>
      <c r="AH278" s="534" t="str">
        <f>IF(TRIM($B278)="","",IF(COUNTIFS(Lists!$AN$2:$AN$22,TRIM($B278)&amp;" | "&amp;TRIM($D278),Lists!$AO$2:$AO$22,"&lt;&gt;"),INDEX(Lists!$AO$2:$AO$22,MATCH(TRIM($B278)&amp;" | "&amp;TRIM($D278),Lists!$AN$2:$AN$22,0)),IF(COUNTIF(Lists!$AR$2:$AR$3,$AJ278),"TDD Cyber",IF(AND(LEFT($AJ278,4)="EGI ",ISNUMBER(MATCH(TRIM(MID($AJ278,5,99)),Lists!$AS$2:$AS$12,0))),TRIM(MID($AJ278,5,99)),IF(AND(LEFT($AJ278,4)="EGI ",ISNUMBER(MATCH(TRIM(MID($AJ278,5,99)),Lists!$T$2:$T$21,0))),INDEX(Lists!$U$2:$U$21,MATCH(TRIM(MID($AJ278,5,99)),Lists!$T$2:$T$21,0)),IF(OR(TRIM($J278)="",UPPER(TRIM($J278))="NA"),IFERROR(INDEX(Lists!$R$2:$R$9,MATCH(TRIM($G278),Lists!$Q$2:$Q$9,0)),"UNMAPPED"),IFERROR(INDEX(Lists!$U$2:$U$21,MATCH(TRIM($J278),Lists!$T$2:$T$21,0)),IFERROR(INDEX(Lists!$R$2:$R$9,MATCH(TRIM($G278),Lists!$Q$2:$Q$9,0)),"UNMAPPED"))))))))</f>
        <v>Customer</v>
      </c>
      <c r="AI278" s="534" t="b">
        <f>IF(TRIM($B278)="","",--OR(TRIM($L278)="Leadership",TRIM($K278)="Leadership"))</f>
        <v>0</v>
      </c>
      <c r="AJ278" s="534" t="str">
        <f>IF(TRIM($B278)="","",IF(COUNTIFS(Lists!$AN$2:$AN$22,TRIM($B278)&amp;" | "&amp;TRIM($D278),Lists!$AP$2:$AP$22,"&lt;&gt;"),INDEX(Lists!$AP$2:$AP$22,MATCH(TRIM($B278)&amp;" | "&amp;TRIM($D278),Lists!$AN$2:$AN$22,0)),IF($AI278=1,"Leadership",IFERROR(INDEX(Lists!$X$2:$X$21,MATCH(TRIM($L278),Lists!$W$2:$W$21,0)),IF(OR(TRIM($L278)="",LOWER(TRIM($L278))="na"),IF(TRIM($H278)="","Unassigned",TRIM($H278)),TRIM($L278))))))</f>
        <v>Ampol Loyalty &amp; Martech</v>
      </c>
      <c r="AK278" s="534" t="str">
        <f>IF(TRIM($B278)="","",IF(COUNTIFS(Lists!$AN$2:$AN$22,TRIM($B278)&amp;" | "&amp;TRIM($D278),Lists!$AQ$2:$AQ$22,"&lt;&gt;"),INDEX(Lists!$AQ$2:$AQ$22,MATCH(TRIM($B278)&amp;" | "&amp;TRIM($D278),Lists!$AN$2:$AN$22,0)),IF(COUNTIF(Lists!$AF$2:$AF$8,$AJ278),$AJ278,IF(ISNUMBER(SEARCH("head of ",$D278)),"Head of Technology",IF(ISNUMBER(SEARCH("TDD BP",$D278)),"Business Partner",IF(OR(ISNUMBER(SEARCH("domain architect",$D278)),ISNUMBER(SEARCH("enterprise architect",$D278))),"Domain Architect",IF(ISNUMBER(SEARCH("delivery man",$D278)),"Delivery Manager",IF(OR(ISNUMBER(SEARCH("technology manager",$D278)),ISNUMBER(SEARCH("technology manger",$D278)),ISNUMBER(SEARCH("tech manager",$D278))),"Technology Manager","Squad"))))))))</f>
        <v>Squad</v>
      </c>
      <c r="AL278" s="534" t="str">
        <f>IF(TRIM($B278)="","",IF(AND($AM278=1,LEFT($AJ278,4)&lt;&gt;"EGI ",$AJ278&lt;&gt;"EGI"),IFERROR(INDEX(Lists!$Z$2:$Z$20,MATCH($AH278,Lists!$Y$2:$Y$20,0)),"EGI "&amp;$AH278),IF(COUNTIF(Lists!$AU$2:$AU$10,$AJ278),$AJ278,IF(OR(LEFT($AH278,3)="COE",$AH278="EGI"),$AJ278,IF($AK278&lt;&gt;"Squad",$AK278,$AJ278)))))</f>
        <v>Ampol Loyalty &amp; Martech</v>
      </c>
      <c r="AM278" s="534" t="b">
        <f>IF(TRIM($B278)="","",--(UPPER(TRIM($K278))="EGI"))</f>
        <v>0</v>
      </c>
      <c r="AN278" s="534" t="inlineStr">
        <is>
          <t>Filled</t>
        </is>
      </c>
      <c r="AQ278" s="841" t="inlineStr">
        <is>
          <t>R0277</t>
        </is>
      </c>
      <c r="AZ278" s="841" t="n"/>
    </row>
    <row r="279" ht="18" customHeight="1" s="535">
      <c r="A279" s="842" t="inlineStr">
        <is>
          <t>V</t>
        </is>
      </c>
      <c r="B279" s="843" t="inlineStr">
        <is>
          <t>Vacant</t>
        </is>
      </c>
      <c r="C279" s="842" t="inlineStr">
        <is>
          <t>V</t>
        </is>
      </c>
      <c r="D279" s="843" t="inlineStr">
        <is>
          <t>Data Analyst</t>
        </is>
      </c>
      <c r="E279" s="843" t="inlineStr">
        <is>
          <t>Zoe Udy</t>
        </is>
      </c>
      <c r="F279" s="843" t="inlineStr">
        <is>
          <t>Technology Manager, Data &amp; Engineering</t>
        </is>
      </c>
      <c r="G279" s="844" t="inlineStr">
        <is>
          <t>Customer</t>
        </is>
      </c>
      <c r="H279" s="843" t="inlineStr">
        <is>
          <t>Loyalty &amp; Martech</t>
        </is>
      </c>
      <c r="I279" s="843" t="inlineStr">
        <is>
          <t>Loyalty, Data &amp; Engineering</t>
        </is>
      </c>
      <c r="J279" s="843" t="inlineStr">
        <is>
          <t>Ampol Customer</t>
        </is>
      </c>
      <c r="K279" s="843" t="inlineStr">
        <is>
          <t>Ampol Loyalty &amp; Martech</t>
        </is>
      </c>
      <c r="L279" s="843" t="inlineStr">
        <is>
          <t>Ampol Loyalty &amp; Martech</t>
        </is>
      </c>
      <c r="M279" s="843" t="n"/>
      <c r="N279" s="845" t="inlineStr">
        <is>
          <t>Australia</t>
        </is>
      </c>
      <c r="O279" s="846" t="inlineStr">
        <is>
          <t>CIB (Often)</t>
        </is>
      </c>
      <c r="P279" s="847" t="n">
        <v>1</v>
      </c>
      <c r="Q279" s="846" t="n"/>
      <c r="R279" s="847" t="inlineStr">
        <is>
          <t>Vacant</t>
        </is>
      </c>
      <c r="S279" s="847" t="n"/>
      <c r="T279" s="847" t="n"/>
      <c r="U279" s="848" t="n">
        <v>145910</v>
      </c>
      <c r="V279" s="849" t="n">
        <v>145910</v>
      </c>
      <c r="W279" s="850" t="n">
        <v>0.12</v>
      </c>
      <c r="X279" s="847" t="n">
        <v>0.055</v>
      </c>
      <c r="Y279" s="850" t="n">
        <v>0.12</v>
      </c>
      <c r="Z279" s="851" t="n"/>
      <c r="AA279" s="850" t="n">
        <v>0.04</v>
      </c>
      <c r="AB279" s="852" t="n">
        <v>194789.85</v>
      </c>
      <c r="AE279" s="534">
        <f>IF(TRIM($B279)="","",IF(AND(N($P279)&gt;0,N($P279)&lt;1),N($AB279)*N($P279),N($AB279)))</f>
        <v>194789.85</v>
      </c>
      <c r="AF279" s="534" t="str">
        <f>IF(TRIM($B279)="","",IF(OR(ISNUMBER(SEARCH("vacant",$B279)),ISNUMBER(SEARCH("ring fenced",$B279)),LOWER(TRIM($B279))="remove"),"Vacant","Filled"))</f>
        <v>Vacant</v>
      </c>
      <c r="AG279" s="534" t="b">
        <f>IF(TRIM($B279)="","",--ISNUMBER(SEARCH("ring fenced",$B279)))</f>
        <v>0</v>
      </c>
      <c r="AH279" s="534" t="str">
        <f>IF(TRIM($B279)="","",IF(COUNTIFS(Lists!$AN$2:$AN$22,TRIM($B279)&amp;" | "&amp;TRIM($D279),Lists!$AO$2:$AO$22,"&lt;&gt;"),INDEX(Lists!$AO$2:$AO$22,MATCH(TRIM($B279)&amp;" | "&amp;TRIM($D279),Lists!$AN$2:$AN$22,0)),IF(COUNTIF(Lists!$AR$2:$AR$3,$AJ279),"TDD Cyber",IF(AND(LEFT($AJ279,4)="EGI ",ISNUMBER(MATCH(TRIM(MID($AJ279,5,99)),Lists!$AS$2:$AS$12,0))),TRIM(MID($AJ279,5,99)),IF(AND(LEFT($AJ279,4)="EGI ",ISNUMBER(MATCH(TRIM(MID($AJ279,5,99)),Lists!$T$2:$T$21,0))),INDEX(Lists!$U$2:$U$21,MATCH(TRIM(MID($AJ279,5,99)),Lists!$T$2:$T$21,0)),IF(OR(TRIM($J279)="",UPPER(TRIM($J279))="NA"),IFERROR(INDEX(Lists!$R$2:$R$9,MATCH(TRIM($G279),Lists!$Q$2:$Q$9,0)),"UNMAPPED"),IFERROR(INDEX(Lists!$U$2:$U$21,MATCH(TRIM($J279),Lists!$T$2:$T$21,0)),IFERROR(INDEX(Lists!$R$2:$R$9,MATCH(TRIM($G279),Lists!$Q$2:$Q$9,0)),"UNMAPPED"))))))))</f>
        <v>Customer</v>
      </c>
      <c r="AI279" s="534" t="b">
        <f>IF(TRIM($B279)="","",--OR(TRIM($L279)="Leadership",TRIM($K279)="Leadership"))</f>
        <v>0</v>
      </c>
      <c r="AJ279" s="534" t="str">
        <f>IF(TRIM($B279)="","",IF(COUNTIFS(Lists!$AN$2:$AN$22,TRIM($B279)&amp;" | "&amp;TRIM($D279),Lists!$AP$2:$AP$22,"&lt;&gt;"),INDEX(Lists!$AP$2:$AP$22,MATCH(TRIM($B279)&amp;" | "&amp;TRIM($D279),Lists!$AN$2:$AN$22,0)),IF($AI279=1,"Leadership",IFERROR(INDEX(Lists!$X$2:$X$21,MATCH(TRIM($L279),Lists!$W$2:$W$21,0)),IF(OR(TRIM($L279)="",LOWER(TRIM($L279))="na"),IF(TRIM($H279)="","Unassigned",TRIM($H279)),TRIM($L279))))))</f>
        <v>Ampol Loyalty &amp; Martech</v>
      </c>
      <c r="AK279" s="534" t="str">
        <f>IF(TRIM($B279)="","",IF(COUNTIFS(Lists!$AN$2:$AN$22,TRIM($B279)&amp;" | "&amp;TRIM($D279),Lists!$AQ$2:$AQ$22,"&lt;&gt;"),INDEX(Lists!$AQ$2:$AQ$22,MATCH(TRIM($B279)&amp;" | "&amp;TRIM($D279),Lists!$AN$2:$AN$22,0)),IF(COUNTIF(Lists!$AF$2:$AF$8,$AJ279),$AJ279,IF(ISNUMBER(SEARCH("head of ",$D279)),"Head of Technology",IF(ISNUMBER(SEARCH("TDD BP",$D279)),"Business Partner",IF(OR(ISNUMBER(SEARCH("domain architect",$D279)),ISNUMBER(SEARCH("enterprise architect",$D279))),"Domain Architect",IF(ISNUMBER(SEARCH("delivery man",$D279)),"Delivery Manager",IF(OR(ISNUMBER(SEARCH("technology manager",$D279)),ISNUMBER(SEARCH("technology manger",$D279)),ISNUMBER(SEARCH("tech manager",$D279))),"Technology Manager","Squad"))))))))</f>
        <v>Squad</v>
      </c>
      <c r="AL279" s="534" t="str">
        <f>IF(TRIM($B279)="","",IF(AND($AM279=1,LEFT($AJ279,4)&lt;&gt;"EGI ",$AJ279&lt;&gt;"EGI"),IFERROR(INDEX(Lists!$Z$2:$Z$20,MATCH($AH279,Lists!$Y$2:$Y$20,0)),"EGI "&amp;$AH279),IF(COUNTIF(Lists!$AU$2:$AU$10,$AJ279),$AJ279,IF(OR(LEFT($AH279,3)="COE",$AH279="EGI"),$AJ279,IF($AK279&lt;&gt;"Squad",$AK279,$AJ279)))))</f>
        <v>Ampol Loyalty &amp; Martech</v>
      </c>
      <c r="AM279" s="534" t="b">
        <f>IF(TRIM($B279)="","",--(UPPER(TRIM($K279))="EGI"))</f>
        <v>0</v>
      </c>
      <c r="AN279" s="534" t="inlineStr">
        <is>
          <t>Vacant</t>
        </is>
      </c>
      <c r="AQ279" s="841" t="inlineStr">
        <is>
          <t>R0278</t>
        </is>
      </c>
      <c r="AZ279" s="841" t="n"/>
    </row>
    <row r="280" ht="18" customHeight="1" s="535">
      <c r="A280" s="842" t="inlineStr">
        <is>
          <t>V</t>
        </is>
      </c>
      <c r="B280" s="843" t="inlineStr">
        <is>
          <t>Vacant</t>
        </is>
      </c>
      <c r="C280" s="842" t="inlineStr">
        <is>
          <t>V</t>
        </is>
      </c>
      <c r="D280" s="843" t="inlineStr">
        <is>
          <t>Engineer, Software</t>
        </is>
      </c>
      <c r="E280" s="843" t="inlineStr">
        <is>
          <t>Zoe Udy</t>
        </is>
      </c>
      <c r="F280" s="843" t="inlineStr">
        <is>
          <t>Technology Manager, Data &amp; Engineering</t>
        </is>
      </c>
      <c r="G280" s="844" t="inlineStr">
        <is>
          <t>Customer</t>
        </is>
      </c>
      <c r="H280" s="843" t="inlineStr">
        <is>
          <t>Loyalty &amp; Martech</t>
        </is>
      </c>
      <c r="I280" s="843" t="inlineStr">
        <is>
          <t>Loyalty, Data &amp; Engineering</t>
        </is>
      </c>
      <c r="J280" s="843" t="inlineStr">
        <is>
          <t>Ampol Customer</t>
        </is>
      </c>
      <c r="K280" s="843" t="inlineStr">
        <is>
          <t>Ampol Loyalty &amp; Martech</t>
        </is>
      </c>
      <c r="L280" s="843" t="inlineStr">
        <is>
          <t>Ampol Loyalty &amp; Martech</t>
        </is>
      </c>
      <c r="M280" s="843" t="n"/>
      <c r="N280" s="845" t="inlineStr">
        <is>
          <t>Australia</t>
        </is>
      </c>
      <c r="O280" s="846" t="inlineStr">
        <is>
          <t>CIB (Often)</t>
        </is>
      </c>
      <c r="P280" s="847" t="n">
        <v>1</v>
      </c>
      <c r="Q280" s="846" t="n"/>
      <c r="R280" s="847" t="inlineStr">
        <is>
          <t>Vacant</t>
        </is>
      </c>
      <c r="S280" s="847" t="n"/>
      <c r="T280" s="847" t="n"/>
      <c r="U280" s="848" t="n">
        <v>145910</v>
      </c>
      <c r="V280" s="849" t="n">
        <v>145910</v>
      </c>
      <c r="W280" s="850" t="n">
        <v>0.12</v>
      </c>
      <c r="X280" s="847" t="n">
        <v>0.055</v>
      </c>
      <c r="Y280" s="850" t="n">
        <v>0.12</v>
      </c>
      <c r="Z280" s="851" t="n"/>
      <c r="AA280" s="850" t="n">
        <v>0.04</v>
      </c>
      <c r="AB280" s="852" t="n">
        <v>194789.85</v>
      </c>
      <c r="AE280" s="534">
        <f>IF(TRIM($B280)="","",IF(AND(N($P280)&gt;0,N($P280)&lt;1),N($AB280)*N($P280),N($AB280)))</f>
        <v>194789.85</v>
      </c>
      <c r="AF280" s="534" t="str">
        <f>IF(TRIM($B280)="","",IF(OR(ISNUMBER(SEARCH("vacant",$B280)),ISNUMBER(SEARCH("ring fenced",$B280)),LOWER(TRIM($B280))="remove"),"Vacant","Filled"))</f>
        <v>Vacant</v>
      </c>
      <c r="AG280" s="534" t="b">
        <f>IF(TRIM($B280)="","",--ISNUMBER(SEARCH("ring fenced",$B280)))</f>
        <v>0</v>
      </c>
      <c r="AH280" s="534" t="str">
        <f>IF(TRIM($B280)="","",IF(COUNTIFS(Lists!$AN$2:$AN$22,TRIM($B280)&amp;" | "&amp;TRIM($D280),Lists!$AO$2:$AO$22,"&lt;&gt;"),INDEX(Lists!$AO$2:$AO$22,MATCH(TRIM($B280)&amp;" | "&amp;TRIM($D280),Lists!$AN$2:$AN$22,0)),IF(COUNTIF(Lists!$AR$2:$AR$3,$AJ280),"TDD Cyber",IF(AND(LEFT($AJ280,4)="EGI ",ISNUMBER(MATCH(TRIM(MID($AJ280,5,99)),Lists!$AS$2:$AS$12,0))),TRIM(MID($AJ280,5,99)),IF(AND(LEFT($AJ280,4)="EGI ",ISNUMBER(MATCH(TRIM(MID($AJ280,5,99)),Lists!$T$2:$T$21,0))),INDEX(Lists!$U$2:$U$21,MATCH(TRIM(MID($AJ280,5,99)),Lists!$T$2:$T$21,0)),IF(OR(TRIM($J280)="",UPPER(TRIM($J280))="NA"),IFERROR(INDEX(Lists!$R$2:$R$9,MATCH(TRIM($G280),Lists!$Q$2:$Q$9,0)),"UNMAPPED"),IFERROR(INDEX(Lists!$U$2:$U$21,MATCH(TRIM($J280),Lists!$T$2:$T$21,0)),IFERROR(INDEX(Lists!$R$2:$R$9,MATCH(TRIM($G280),Lists!$Q$2:$Q$9,0)),"UNMAPPED"))))))))</f>
        <v>Customer</v>
      </c>
      <c r="AI280" s="534" t="b">
        <f>IF(TRIM($B280)="","",--OR(TRIM($L280)="Leadership",TRIM($K280)="Leadership"))</f>
        <v>0</v>
      </c>
      <c r="AJ280" s="534" t="str">
        <f>IF(TRIM($B280)="","",IF(COUNTIFS(Lists!$AN$2:$AN$22,TRIM($B280)&amp;" | "&amp;TRIM($D280),Lists!$AP$2:$AP$22,"&lt;&gt;"),INDEX(Lists!$AP$2:$AP$22,MATCH(TRIM($B280)&amp;" | "&amp;TRIM($D280),Lists!$AN$2:$AN$22,0)),IF($AI280=1,"Leadership",IFERROR(INDEX(Lists!$X$2:$X$21,MATCH(TRIM($L280),Lists!$W$2:$W$21,0)),IF(OR(TRIM($L280)="",LOWER(TRIM($L280))="na"),IF(TRIM($H280)="","Unassigned",TRIM($H280)),TRIM($L280))))))</f>
        <v>Ampol Loyalty &amp; Martech</v>
      </c>
      <c r="AK280" s="534" t="str">
        <f>IF(TRIM($B280)="","",IF(COUNTIFS(Lists!$AN$2:$AN$22,TRIM($B280)&amp;" | "&amp;TRIM($D280),Lists!$AQ$2:$AQ$22,"&lt;&gt;"),INDEX(Lists!$AQ$2:$AQ$22,MATCH(TRIM($B280)&amp;" | "&amp;TRIM($D280),Lists!$AN$2:$AN$22,0)),IF(COUNTIF(Lists!$AF$2:$AF$8,$AJ280),$AJ280,IF(ISNUMBER(SEARCH("head of ",$D280)),"Head of Technology",IF(ISNUMBER(SEARCH("TDD BP",$D280)),"Business Partner",IF(OR(ISNUMBER(SEARCH("domain architect",$D280)),ISNUMBER(SEARCH("enterprise architect",$D280))),"Domain Architect",IF(ISNUMBER(SEARCH("delivery man",$D280)),"Delivery Manager",IF(OR(ISNUMBER(SEARCH("technology manager",$D280)),ISNUMBER(SEARCH("technology manger",$D280)),ISNUMBER(SEARCH("tech manager",$D280))),"Technology Manager","Squad"))))))))</f>
        <v>Squad</v>
      </c>
      <c r="AL280" s="534" t="str">
        <f>IF(TRIM($B280)="","",IF(AND($AM280=1,LEFT($AJ280,4)&lt;&gt;"EGI ",$AJ280&lt;&gt;"EGI"),IFERROR(INDEX(Lists!$Z$2:$Z$20,MATCH($AH280,Lists!$Y$2:$Y$20,0)),"EGI "&amp;$AH280),IF(COUNTIF(Lists!$AU$2:$AU$10,$AJ280),$AJ280,IF(OR(LEFT($AH280,3)="COE",$AH280="EGI"),$AJ280,IF($AK280&lt;&gt;"Squad",$AK280,$AJ280)))))</f>
        <v>Ampol Loyalty &amp; Martech</v>
      </c>
      <c r="AM280" s="534" t="b">
        <f>IF(TRIM($B280)="","",--(UPPER(TRIM($K280))="EGI"))</f>
        <v>0</v>
      </c>
      <c r="AN280" s="534" t="inlineStr">
        <is>
          <t>Vacant</t>
        </is>
      </c>
      <c r="AQ280" s="841" t="inlineStr">
        <is>
          <t>R0279</t>
        </is>
      </c>
      <c r="AZ280" s="841" t="n"/>
    </row>
    <row r="281" ht="18" customHeight="1" s="535">
      <c r="A281" s="842" t="inlineStr">
        <is>
          <t>V</t>
        </is>
      </c>
      <c r="B281" s="843" t="inlineStr">
        <is>
          <t>Vacant</t>
        </is>
      </c>
      <c r="C281" s="842" t="inlineStr">
        <is>
          <t>V</t>
        </is>
      </c>
      <c r="D281" s="843" t="inlineStr">
        <is>
          <t>Snr Engineer, Data</t>
        </is>
      </c>
      <c r="E281" s="843" t="inlineStr">
        <is>
          <t>Zoe Udy</t>
        </is>
      </c>
      <c r="F281" s="843" t="inlineStr">
        <is>
          <t>Technology Manager, Data &amp; Engineering</t>
        </is>
      </c>
      <c r="G281" s="844" t="inlineStr">
        <is>
          <t>Customer</t>
        </is>
      </c>
      <c r="H281" s="843" t="inlineStr">
        <is>
          <t>Loyalty &amp; Martech</t>
        </is>
      </c>
      <c r="I281" s="843" t="inlineStr">
        <is>
          <t>Loyalty, Data &amp; Engineering</t>
        </is>
      </c>
      <c r="J281" s="843" t="inlineStr">
        <is>
          <t>Ampol Customer</t>
        </is>
      </c>
      <c r="K281" s="843" t="inlineStr">
        <is>
          <t>Ampol Loyalty &amp; Martech</t>
        </is>
      </c>
      <c r="L281" s="843" t="inlineStr">
        <is>
          <t>Ampol Loyalty &amp; Martech</t>
        </is>
      </c>
      <c r="M281" s="843" t="n"/>
      <c r="N281" s="845" t="inlineStr">
        <is>
          <t>Australia</t>
        </is>
      </c>
      <c r="O281" s="846" t="inlineStr">
        <is>
          <t>CIB (Often)</t>
        </is>
      </c>
      <c r="P281" s="847" t="n">
        <v>1</v>
      </c>
      <c r="Q281" s="847" t="n"/>
      <c r="R281" s="847" t="inlineStr">
        <is>
          <t>Vacant</t>
        </is>
      </c>
      <c r="S281" s="847" t="n"/>
      <c r="T281" s="847" t="n"/>
      <c r="U281" s="848" t="n">
        <v>145910</v>
      </c>
      <c r="V281" s="849" t="n">
        <v>145910</v>
      </c>
      <c r="W281" s="850" t="n">
        <v>0.12</v>
      </c>
      <c r="X281" s="847" t="n">
        <v>0.055</v>
      </c>
      <c r="Y281" s="850" t="n">
        <v>0.12</v>
      </c>
      <c r="Z281" s="851" t="n"/>
      <c r="AA281" s="850" t="n">
        <v>0.04</v>
      </c>
      <c r="AB281" s="852" t="n">
        <v>194789.85</v>
      </c>
      <c r="AE281" s="534">
        <f>IF(TRIM($B281)="","",IF(AND(N($P281)&gt;0,N($P281)&lt;1),N($AB281)*N($P281),N($AB281)))</f>
        <v>194789.85</v>
      </c>
      <c r="AF281" s="534" t="str">
        <f>IF(TRIM($B281)="","",IF(OR(ISNUMBER(SEARCH("vacant",$B281)),ISNUMBER(SEARCH("ring fenced",$B281)),LOWER(TRIM($B281))="remove"),"Vacant","Filled"))</f>
        <v>Vacant</v>
      </c>
      <c r="AG281" s="534" t="b">
        <f>IF(TRIM($B281)="","",--ISNUMBER(SEARCH("ring fenced",$B281)))</f>
        <v>0</v>
      </c>
      <c r="AH281" s="853" t="str">
        <f>IF(TRIM($B281)="","",IF(COUNTIFS(Lists!$AN$2:$AN$22,TRIM($B281)&amp;" | "&amp;TRIM($D281),Lists!$AO$2:$AO$22,"&lt;&gt;"),INDEX(Lists!$AO$2:$AO$22,MATCH(TRIM($B281)&amp;" | "&amp;TRIM($D281),Lists!$AN$2:$AN$22,0)),IF(COUNTIF(Lists!$AR$2:$AR$3,$AJ281),"TDD Cyber",IF(AND(LEFT($AJ281,4)="EGI ",ISNUMBER(MATCH(TRIM(MID($AJ281,5,99)),Lists!$AS$2:$AS$12,0))),TRIM(MID($AJ281,5,99)),IF(AND(LEFT($AJ281,4)="EGI ",ISNUMBER(MATCH(TRIM(MID($AJ281,5,99)),Lists!$T$2:$T$21,0))),INDEX(Lists!$U$2:$U$21,MATCH(TRIM(MID($AJ281,5,99)),Lists!$T$2:$T$21,0)),IF(OR(TRIM($J281)="",UPPER(TRIM($J281))="NA"),IFERROR(INDEX(Lists!$R$2:$R$9,MATCH(TRIM($G281),Lists!$Q$2:$Q$9,0)),"UNMAPPED"),IFERROR(INDEX(Lists!$U$2:$U$21,MATCH(TRIM($J281),Lists!$T$2:$T$21,0)),IFERROR(INDEX(Lists!$R$2:$R$9,MATCH(TRIM($G281),Lists!$Q$2:$Q$9,0)),"UNMAPPED"))))))))</f>
        <v>Customer</v>
      </c>
      <c r="AI281" s="534" t="b">
        <f>IF(TRIM($B281)="","",--OR(TRIM($L281)="Leadership",TRIM($K281)="Leadership"))</f>
        <v>0</v>
      </c>
      <c r="AJ281" s="534" t="str">
        <f>IF(TRIM($B281)="","",IF(COUNTIFS(Lists!$AN$2:$AN$22,TRIM($B281)&amp;" | "&amp;TRIM($D281),Lists!$AP$2:$AP$22,"&lt;&gt;"),INDEX(Lists!$AP$2:$AP$22,MATCH(TRIM($B281)&amp;" | "&amp;TRIM($D281),Lists!$AN$2:$AN$22,0)),IF($AI281=1,"Leadership",IFERROR(INDEX(Lists!$X$2:$X$21,MATCH(TRIM($L281),Lists!$W$2:$W$21,0)),IF(OR(TRIM($L281)="",LOWER(TRIM($L281))="na"),IF(TRIM($H281)="","Unassigned",TRIM($H281)),TRIM($L281))))))</f>
        <v>Ampol Loyalty &amp; Martech</v>
      </c>
      <c r="AK281" s="534" t="str">
        <f>IF(TRIM($B281)="","",IF(COUNTIFS(Lists!$AN$2:$AN$22,TRIM($B281)&amp;" | "&amp;TRIM($D281),Lists!$AQ$2:$AQ$22,"&lt;&gt;"),INDEX(Lists!$AQ$2:$AQ$22,MATCH(TRIM($B281)&amp;" | "&amp;TRIM($D281),Lists!$AN$2:$AN$22,0)),IF(COUNTIF(Lists!$AF$2:$AF$8,$AJ281),$AJ281,IF(ISNUMBER(SEARCH("head of ",$D281)),"Head of Technology",IF(ISNUMBER(SEARCH("TDD BP",$D281)),"Business Partner",IF(OR(ISNUMBER(SEARCH("domain architect",$D281)),ISNUMBER(SEARCH("enterprise architect",$D281))),"Domain Architect",IF(ISNUMBER(SEARCH("delivery man",$D281)),"Delivery Manager",IF(OR(ISNUMBER(SEARCH("technology manager",$D281)),ISNUMBER(SEARCH("technology manger",$D281)),ISNUMBER(SEARCH("tech manager",$D281))),"Technology Manager","Squad"))))))))</f>
        <v>Squad</v>
      </c>
      <c r="AL281" s="534" t="str">
        <f>IF(TRIM($B281)="","",IF(AND($AM281=1,LEFT($AJ281,4)&lt;&gt;"EGI ",$AJ281&lt;&gt;"EGI"),IFERROR(INDEX(Lists!$Z$2:$Z$20,MATCH($AH281,Lists!$Y$2:$Y$20,0)),"EGI "&amp;$AH281),IF(COUNTIF(Lists!$AU$2:$AU$10,$AJ281),$AJ281,IF(OR(LEFT($AH281,3)="COE",$AH281="EGI"),$AJ281,IF($AK281&lt;&gt;"Squad",$AK281,$AJ281)))))</f>
        <v>Ampol Loyalty &amp; Martech</v>
      </c>
      <c r="AM281" s="534" t="b">
        <f>IF(TRIM($B281)="","",--(UPPER(TRIM($K281))="EGI"))</f>
        <v>0</v>
      </c>
      <c r="AN281" s="534" t="inlineStr">
        <is>
          <t>Vacant</t>
        </is>
      </c>
      <c r="AQ281" s="841" t="inlineStr">
        <is>
          <t>R0280</t>
        </is>
      </c>
      <c r="AZ281" s="841" t="n"/>
    </row>
    <row r="282" ht="18" customHeight="1" s="535">
      <c r="A282" s="842" t="n">
        <v>105010</v>
      </c>
      <c r="B282" s="843" t="inlineStr">
        <is>
          <t>Dinesh Chandrasekaran</t>
        </is>
      </c>
      <c r="C282" s="842" t="n">
        <v>105010</v>
      </c>
      <c r="D282" s="843" t="inlineStr">
        <is>
          <t>Lead Engineer (Snowflake)</t>
        </is>
      </c>
      <c r="E282" s="843" t="inlineStr">
        <is>
          <t>Jason Gleason</t>
        </is>
      </c>
      <c r="F282" s="843" t="inlineStr">
        <is>
          <t>Technology Manager, Data Engineering &amp; Platforms</t>
        </is>
      </c>
      <c r="G282" s="844" t="inlineStr">
        <is>
          <t>Strategy, Architecture &amp; Data</t>
        </is>
      </c>
      <c r="H282" s="843" t="inlineStr">
        <is>
          <t>Group Data</t>
        </is>
      </c>
      <c r="I282" s="843" t="inlineStr">
        <is>
          <t>Data Engineering &amp; Platforms</t>
        </is>
      </c>
      <c r="J282" s="843" t="inlineStr">
        <is>
          <t>Enterprise Data</t>
        </is>
      </c>
      <c r="K282" s="843" t="inlineStr">
        <is>
          <t>Group Data</t>
        </is>
      </c>
      <c r="L282" s="843" t="inlineStr">
        <is>
          <t>Data Platform</t>
        </is>
      </c>
      <c r="M282" s="843" t="n"/>
      <c r="N282" s="845" t="inlineStr">
        <is>
          <t>Australia</t>
        </is>
      </c>
      <c r="O282" s="846" t="inlineStr">
        <is>
          <t xml:space="preserve">CIB </t>
        </is>
      </c>
      <c r="P282" s="847" t="n">
        <v>1</v>
      </c>
      <c r="Q282" s="846" t="n"/>
      <c r="R282" s="847" t="inlineStr">
        <is>
          <t>Permanent - Full Time</t>
        </is>
      </c>
      <c r="S282" s="847" t="n"/>
      <c r="T282" s="847" t="n"/>
      <c r="U282" s="848" t="n">
        <v>182760</v>
      </c>
      <c r="V282" s="849" t="n">
        <v>182760</v>
      </c>
      <c r="W282" s="850" t="n">
        <v>0.12</v>
      </c>
      <c r="X282" s="847" t="n">
        <v>0.055</v>
      </c>
      <c r="Y282" s="850" t="n">
        <v>0.12</v>
      </c>
      <c r="Z282" s="851" t="n"/>
      <c r="AA282" s="850" t="n">
        <v>0.04</v>
      </c>
      <c r="AB282" s="852" t="n">
        <v>243984.6</v>
      </c>
      <c r="AE282" s="534">
        <f>IF(TRIM($B282)="","",IF(AND(N($P282)&gt;0,N($P282)&lt;1),N($AB282)*N($P282),N($AB282)))</f>
        <v>243984.6</v>
      </c>
      <c r="AF282" s="534" t="str">
        <f>IF(TRIM($B282)="","",IF(OR(ISNUMBER(SEARCH("vacant",$B282)),ISNUMBER(SEARCH("ring fenced",$B282)),LOWER(TRIM($B282))="remove"),"Vacant","Filled"))</f>
        <v>Filled</v>
      </c>
      <c r="AG282" s="534" t="b">
        <f>IF(TRIM($B282)="","",--ISNUMBER(SEARCH("ring fenced",$B282)))</f>
        <v>0</v>
      </c>
      <c r="AH282" s="534" t="str">
        <f>IF(TRIM($B282)="","",IF(COUNTIFS(Lists!$AN$2:$AN$22,TRIM($B282)&amp;" | "&amp;TRIM($D282),Lists!$AO$2:$AO$22,"&lt;&gt;"),INDEX(Lists!$AO$2:$AO$22,MATCH(TRIM($B282)&amp;" | "&amp;TRIM($D282),Lists!$AN$2:$AN$22,0)),IF(COUNTIF(Lists!$AR$2:$AR$3,$AJ282),"TDD Cyber",IF(AND(LEFT($AJ282,4)="EGI ",ISNUMBER(MATCH(TRIM(MID($AJ282,5,99)),Lists!$AS$2:$AS$12,0))),TRIM(MID($AJ282,5,99)),IF(AND(LEFT($AJ282,4)="EGI ",ISNUMBER(MATCH(TRIM(MID($AJ282,5,99)),Lists!$T$2:$T$21,0))),INDEX(Lists!$U$2:$U$21,MATCH(TRIM(MID($AJ282,5,99)),Lists!$T$2:$T$21,0)),IF(OR(TRIM($J282)="",UPPER(TRIM($J282))="NA"),IFERROR(INDEX(Lists!$R$2:$R$9,MATCH(TRIM($G282),Lists!$Q$2:$Q$9,0)),"UNMAPPED"),IFERROR(INDEX(Lists!$U$2:$U$21,MATCH(TRIM($J282),Lists!$T$2:$T$21,0)),IFERROR(INDEX(Lists!$R$2:$R$9,MATCH(TRIM($G282),Lists!$Q$2:$Q$9,0)),"UNMAPPED"))))))))</f>
        <v>Enterprise Data</v>
      </c>
      <c r="AI282" s="534" t="b">
        <f>IF(TRIM($B282)="","",--OR(TRIM($L282)="Leadership",TRIM($K282)="Leadership"))</f>
        <v>0</v>
      </c>
      <c r="AJ282" s="534" t="str">
        <f>IF(TRIM($B282)="","",IF(COUNTIFS(Lists!$AN$2:$AN$22,TRIM($B282)&amp;" | "&amp;TRIM($D282),Lists!$AP$2:$AP$22,"&lt;&gt;"),INDEX(Lists!$AP$2:$AP$22,MATCH(TRIM($B282)&amp;" | "&amp;TRIM($D282),Lists!$AN$2:$AN$22,0)),IF($AI282=1,"Leadership",IFERROR(INDEX(Lists!$X$2:$X$21,MATCH(TRIM($L282),Lists!$W$2:$W$21,0)),IF(OR(TRIM($L282)="",LOWER(TRIM($L282))="na"),IF(TRIM($H282)="","Unassigned",TRIM($H282)),TRIM($L282))))))</f>
        <v>Data Platforms</v>
      </c>
      <c r="AK282" s="534" t="str">
        <f>IF(TRIM($B282)="","",IF(COUNTIFS(Lists!$AN$2:$AN$22,TRIM($B282)&amp;" | "&amp;TRIM($D282),Lists!$AQ$2:$AQ$22,"&lt;&gt;"),INDEX(Lists!$AQ$2:$AQ$22,MATCH(TRIM($B282)&amp;" | "&amp;TRIM($D282),Lists!$AN$2:$AN$22,0)),IF(COUNTIF(Lists!$AF$2:$AF$8,$AJ282),$AJ282,IF(ISNUMBER(SEARCH("head of ",$D282)),"Head of Technology",IF(ISNUMBER(SEARCH("TDD BP",$D282)),"Business Partner",IF(OR(ISNUMBER(SEARCH("domain architect",$D282)),ISNUMBER(SEARCH("enterprise architect",$D282))),"Domain Architect",IF(ISNUMBER(SEARCH("delivery man",$D282)),"Delivery Manager",IF(OR(ISNUMBER(SEARCH("technology manager",$D282)),ISNUMBER(SEARCH("technology manger",$D282)),ISNUMBER(SEARCH("tech manager",$D282))),"Technology Manager","Squad"))))))))</f>
        <v>Squad</v>
      </c>
      <c r="AL282" s="534" t="str">
        <f>IF(TRIM($B282)="","",IF(AND($AM282=1,LEFT($AJ282,4)&lt;&gt;"EGI ",$AJ282&lt;&gt;"EGI"),IFERROR(INDEX(Lists!$Z$2:$Z$20,MATCH($AH282,Lists!$Y$2:$Y$20,0)),"EGI "&amp;$AH282),IF(COUNTIF(Lists!$AU$2:$AU$10,$AJ282),$AJ282,IF(OR(LEFT($AH282,3)="COE",$AH282="EGI"),$AJ282,IF($AK282&lt;&gt;"Squad",$AK282,$AJ282)))))</f>
        <v>Data Platforms</v>
      </c>
      <c r="AM282" s="534" t="b">
        <f>IF(TRIM($B282)="","",--(UPPER(TRIM($K282))="EGI"))</f>
        <v>0</v>
      </c>
      <c r="AQ282" s="841" t="inlineStr">
        <is>
          <t>R0281</t>
        </is>
      </c>
      <c r="AZ282" s="841" t="n"/>
    </row>
    <row r="283" ht="18" customHeight="1" s="535">
      <c r="A283" s="842" t="n">
        <v>103651</v>
      </c>
      <c r="B283" s="843" t="inlineStr">
        <is>
          <t>Hari Maneti</t>
        </is>
      </c>
      <c r="C283" s="842" t="n">
        <v>103651</v>
      </c>
      <c r="D283" s="843" t="inlineStr">
        <is>
          <t>Systems Analyst</t>
        </is>
      </c>
      <c r="E283" s="843" t="inlineStr">
        <is>
          <t>Allan Francia</t>
        </is>
      </c>
      <c r="F283" s="843" t="inlineStr">
        <is>
          <t>Technology Manager, T&amp;S</t>
        </is>
      </c>
      <c r="G283" s="844" t="inlineStr">
        <is>
          <t>TDD CFE&amp;I</t>
        </is>
      </c>
      <c r="H283" s="843" t="inlineStr">
        <is>
          <t>Commercial Fuels</t>
        </is>
      </c>
      <c r="I283" s="843" t="inlineStr">
        <is>
          <t>Technology, Trading &amp; Shipping</t>
        </is>
      </c>
      <c r="J283" s="843" t="inlineStr">
        <is>
          <t>Commercial Fuels</t>
        </is>
      </c>
      <c r="K283" s="843" t="inlineStr">
        <is>
          <t>Trading &amp; Shipping</t>
        </is>
      </c>
      <c r="L283" s="843" t="inlineStr">
        <is>
          <t>Trading &amp; Shipping</t>
        </is>
      </c>
      <c r="M283" s="843" t="n"/>
      <c r="N283" s="845" t="inlineStr">
        <is>
          <t>Singapore</t>
        </is>
      </c>
      <c r="O283" s="846" t="inlineStr">
        <is>
          <t>CIB</t>
        </is>
      </c>
      <c r="P283" s="847" t="n">
        <v>1</v>
      </c>
      <c r="Q283" s="846" t="n"/>
      <c r="R283" s="847" t="inlineStr">
        <is>
          <t>Permanent - Full Time</t>
        </is>
      </c>
      <c r="S283" s="847" t="n"/>
      <c r="T283" s="847" t="n"/>
      <c r="U283" s="848" t="n">
        <v>163780</v>
      </c>
      <c r="V283" s="849" t="n">
        <v>198173.8</v>
      </c>
      <c r="W283" s="850" t="n">
        <v>0.25</v>
      </c>
      <c r="X283" s="847" t="n"/>
      <c r="Y283" s="850" t="n">
        <v>0.17</v>
      </c>
      <c r="Z283" s="851" t="n">
        <v>3310</v>
      </c>
      <c r="AA283" s="850" t="n">
        <v>0.045</v>
      </c>
      <c r="AB283" s="852" t="n">
        <v>293634.617</v>
      </c>
      <c r="AE283" s="534">
        <f>IF(TRIM($B283)="","",IF(AND(N($P283)&gt;0,N($P283)&lt;1),N($AB283)*N($P283),N($AB283)))</f>
        <v>293634.617</v>
      </c>
      <c r="AF283" s="534" t="str">
        <f>IF(TRIM($B283)="","",IF(OR(ISNUMBER(SEARCH("vacant",$B283)),ISNUMBER(SEARCH("ring fenced",$B283)),LOWER(TRIM($B283))="remove"),"Vacant","Filled"))</f>
        <v>Filled</v>
      </c>
      <c r="AG283" s="534" t="b">
        <f>IF(TRIM($B283)="","",--ISNUMBER(SEARCH("ring fenced",$B283)))</f>
        <v>0</v>
      </c>
      <c r="AH283" s="534" t="str">
        <f>IF(TRIM($B283)="","",IF(COUNTIFS(Lists!$AN$2:$AN$22,TRIM($B283)&amp;" | "&amp;TRIM($D283),Lists!$AO$2:$AO$22,"&lt;&gt;"),INDEX(Lists!$AO$2:$AO$22,MATCH(TRIM($B283)&amp;" | "&amp;TRIM($D283),Lists!$AN$2:$AN$22,0)),IF(COUNTIF(Lists!$AR$2:$AR$3,$AJ283),"TDD Cyber",IF(AND(LEFT($AJ283,4)="EGI ",ISNUMBER(MATCH(TRIM(MID($AJ283,5,99)),Lists!$AS$2:$AS$12,0))),TRIM(MID($AJ283,5,99)),IF(AND(LEFT($AJ283,4)="EGI ",ISNUMBER(MATCH(TRIM(MID($AJ283,5,99)),Lists!$T$2:$T$21,0))),INDEX(Lists!$U$2:$U$21,MATCH(TRIM(MID($AJ283,5,99)),Lists!$T$2:$T$21,0)),IF(OR(TRIM($J283)="",UPPER(TRIM($J283))="NA"),IFERROR(INDEX(Lists!$R$2:$R$9,MATCH(TRIM($G283),Lists!$Q$2:$Q$9,0)),"UNMAPPED"),IFERROR(INDEX(Lists!$U$2:$U$21,MATCH(TRIM($J283),Lists!$T$2:$T$21,0)),IFERROR(INDEX(Lists!$R$2:$R$9,MATCH(TRIM($G283),Lists!$Q$2:$Q$9,0)),"UNMAPPED"))))))))</f>
        <v>Commercial Fuels</v>
      </c>
      <c r="AI283" s="534" t="b">
        <f>IF(TRIM($B283)="","",--OR(TRIM($L283)="Leadership",TRIM($K283)="Leadership"))</f>
        <v>0</v>
      </c>
      <c r="AJ283" s="534" t="str">
        <f>IF(TRIM($B283)="","",IF(COUNTIFS(Lists!$AN$2:$AN$22,TRIM($B283)&amp;" | "&amp;TRIM($D283),Lists!$AP$2:$AP$22,"&lt;&gt;"),INDEX(Lists!$AP$2:$AP$22,MATCH(TRIM($B283)&amp;" | "&amp;TRIM($D283),Lists!$AN$2:$AN$22,0)),IF($AI283=1,"Leadership",IFERROR(INDEX(Lists!$X$2:$X$21,MATCH(TRIM($L283),Lists!$W$2:$W$21,0)),IF(OR(TRIM($L283)="",LOWER(TRIM($L283))="na"),IF(TRIM($H283)="","Unassigned",TRIM($H283)),TRIM($L283))))))</f>
        <v>Trading &amp; Shipping</v>
      </c>
      <c r="AK283" s="534" t="str">
        <f>IF(TRIM($B283)="","",IF(COUNTIFS(Lists!$AN$2:$AN$22,TRIM($B283)&amp;" | "&amp;TRIM($D283),Lists!$AQ$2:$AQ$22,"&lt;&gt;"),INDEX(Lists!$AQ$2:$AQ$22,MATCH(TRIM($B283)&amp;" | "&amp;TRIM($D283),Lists!$AN$2:$AN$22,0)),IF(COUNTIF(Lists!$AF$2:$AF$8,$AJ283),$AJ283,IF(ISNUMBER(SEARCH("head of ",$D283)),"Head of Technology",IF(ISNUMBER(SEARCH("TDD BP",$D283)),"Business Partner",IF(OR(ISNUMBER(SEARCH("domain architect",$D283)),ISNUMBER(SEARCH("enterprise architect",$D283))),"Domain Architect",IF(ISNUMBER(SEARCH("delivery man",$D283)),"Delivery Manager",IF(OR(ISNUMBER(SEARCH("technology manager",$D283)),ISNUMBER(SEARCH("technology manger",$D283)),ISNUMBER(SEARCH("tech manager",$D283))),"Technology Manager","Squad"))))))))</f>
        <v>Squad</v>
      </c>
      <c r="AL283" s="534" t="str">
        <f>IF(TRIM($B283)="","",IF(AND($AM283=1,LEFT($AJ283,4)&lt;&gt;"EGI ",$AJ283&lt;&gt;"EGI"),IFERROR(INDEX(Lists!$Z$2:$Z$20,MATCH($AH283,Lists!$Y$2:$Y$20,0)),"EGI "&amp;$AH283),IF(COUNTIF(Lists!$AU$2:$AU$10,$AJ283),$AJ283,IF(OR(LEFT($AH283,3)="COE",$AH283="EGI"),$AJ283,IF($AK283&lt;&gt;"Squad",$AK283,$AJ283)))))</f>
        <v>Trading &amp; Shipping</v>
      </c>
      <c r="AM283" s="534" t="b">
        <f>IF(TRIM($B283)="","",--(UPPER(TRIM($K283))="EGI"))</f>
        <v>0</v>
      </c>
      <c r="AQ283" s="841" t="inlineStr">
        <is>
          <t>R0282</t>
        </is>
      </c>
      <c r="AZ283" s="841" t="n"/>
    </row>
    <row r="284" ht="18" customHeight="1" s="535">
      <c r="A284" s="842" t="n">
        <v>6511</v>
      </c>
      <c r="B284" s="843" t="inlineStr">
        <is>
          <t>Leo Machin</t>
        </is>
      </c>
      <c r="C284" s="842" t="n">
        <v>6511</v>
      </c>
      <c r="D284" s="843" t="inlineStr">
        <is>
          <t>Lead Engineer Applications</t>
        </is>
      </c>
      <c r="E284" s="843" t="inlineStr">
        <is>
          <t>Allan Francia</t>
        </is>
      </c>
      <c r="F284" s="843" t="inlineStr">
        <is>
          <t>Technology Manager, T&amp;S</t>
        </is>
      </c>
      <c r="G284" s="844" t="inlineStr">
        <is>
          <t>TDD CFE&amp;I</t>
        </is>
      </c>
      <c r="H284" s="843" t="inlineStr">
        <is>
          <t>Commercial Fuels</t>
        </is>
      </c>
      <c r="I284" s="843" t="inlineStr">
        <is>
          <t>Technology, Trading &amp; Shipping</t>
        </is>
      </c>
      <c r="J284" s="843" t="inlineStr">
        <is>
          <t>Commercial Fuels</t>
        </is>
      </c>
      <c r="K284" s="843" t="inlineStr">
        <is>
          <t>Trading &amp; Shipping</t>
        </is>
      </c>
      <c r="L284" s="843" t="inlineStr">
        <is>
          <t>Trading &amp; Shipping</t>
        </is>
      </c>
      <c r="M284" s="843" t="n"/>
      <c r="N284" s="845" t="inlineStr">
        <is>
          <t>Australia</t>
        </is>
      </c>
      <c r="O284" s="846" t="inlineStr">
        <is>
          <t>CIB</t>
        </is>
      </c>
      <c r="P284" s="847" t="n">
        <v>1</v>
      </c>
      <c r="Q284" s="846" t="n"/>
      <c r="R284" s="847" t="inlineStr">
        <is>
          <t>Permanent - Full Time</t>
        </is>
      </c>
      <c r="S284" s="847" t="n"/>
      <c r="T284" s="847" t="n"/>
      <c r="U284" s="848" t="n">
        <v>159220</v>
      </c>
      <c r="V284" s="849" t="n">
        <v>159220</v>
      </c>
      <c r="W284" s="850" t="n">
        <v>0.12</v>
      </c>
      <c r="X284" s="847" t="n">
        <v>0.055</v>
      </c>
      <c r="Y284" s="850" t="n">
        <v>0.12</v>
      </c>
      <c r="Z284" s="851" t="n"/>
      <c r="AA284" s="850" t="n">
        <v>0.04</v>
      </c>
      <c r="AB284" s="852" t="n">
        <v>212558.7</v>
      </c>
      <c r="AE284" s="534">
        <f>IF(TRIM($B284)="","",IF(AND(N($P284)&gt;0,N($P284)&lt;1),N($AB284)*N($P284),N($AB284)))</f>
        <v>212558.7</v>
      </c>
      <c r="AF284" s="534" t="str">
        <f>IF(TRIM($B284)="","",IF(OR(ISNUMBER(SEARCH("vacant",$B284)),ISNUMBER(SEARCH("ring fenced",$B284)),LOWER(TRIM($B284))="remove"),"Vacant","Filled"))</f>
        <v>Filled</v>
      </c>
      <c r="AG284" s="534" t="b">
        <f>IF(TRIM($B284)="","",--ISNUMBER(SEARCH("ring fenced",$B284)))</f>
        <v>0</v>
      </c>
      <c r="AH284" s="534" t="str">
        <f>IF(TRIM($B284)="","",IF(COUNTIFS(Lists!$AN$2:$AN$22,TRIM($B284)&amp;" | "&amp;TRIM($D284),Lists!$AO$2:$AO$22,"&lt;&gt;"),INDEX(Lists!$AO$2:$AO$22,MATCH(TRIM($B284)&amp;" | "&amp;TRIM($D284),Lists!$AN$2:$AN$22,0)),IF(COUNTIF(Lists!$AR$2:$AR$3,$AJ284),"TDD Cyber",IF(AND(LEFT($AJ284,4)="EGI ",ISNUMBER(MATCH(TRIM(MID($AJ284,5,99)),Lists!$AS$2:$AS$12,0))),TRIM(MID($AJ284,5,99)),IF(AND(LEFT($AJ284,4)="EGI ",ISNUMBER(MATCH(TRIM(MID($AJ284,5,99)),Lists!$T$2:$T$21,0))),INDEX(Lists!$U$2:$U$21,MATCH(TRIM(MID($AJ284,5,99)),Lists!$T$2:$T$21,0)),IF(OR(TRIM($J284)="",UPPER(TRIM($J284))="NA"),IFERROR(INDEX(Lists!$R$2:$R$9,MATCH(TRIM($G284),Lists!$Q$2:$Q$9,0)),"UNMAPPED"),IFERROR(INDEX(Lists!$U$2:$U$21,MATCH(TRIM($J284),Lists!$T$2:$T$21,0)),IFERROR(INDEX(Lists!$R$2:$R$9,MATCH(TRIM($G284),Lists!$Q$2:$Q$9,0)),"UNMAPPED"))))))))</f>
        <v>Commercial Fuels</v>
      </c>
      <c r="AI284" s="534" t="b">
        <f>IF(TRIM($B284)="","",--OR(TRIM($L284)="Leadership",TRIM($K284)="Leadership"))</f>
        <v>0</v>
      </c>
      <c r="AJ284" s="534" t="str">
        <f>IF(TRIM($B284)="","",IF(COUNTIFS(Lists!$AN$2:$AN$22,TRIM($B284)&amp;" | "&amp;TRIM($D284),Lists!$AP$2:$AP$22,"&lt;&gt;"),INDEX(Lists!$AP$2:$AP$22,MATCH(TRIM($B284)&amp;" | "&amp;TRIM($D284),Lists!$AN$2:$AN$22,0)),IF($AI284=1,"Leadership",IFERROR(INDEX(Lists!$X$2:$X$21,MATCH(TRIM($L284),Lists!$W$2:$W$21,0)),IF(OR(TRIM($L284)="",LOWER(TRIM($L284))="na"),IF(TRIM($H284)="","Unassigned",TRIM($H284)),TRIM($L284))))))</f>
        <v>Trading &amp; Shipping</v>
      </c>
      <c r="AK284" s="534" t="str">
        <f>IF(TRIM($B284)="","",IF(COUNTIFS(Lists!$AN$2:$AN$22,TRIM($B284)&amp;" | "&amp;TRIM($D284),Lists!$AQ$2:$AQ$22,"&lt;&gt;"),INDEX(Lists!$AQ$2:$AQ$22,MATCH(TRIM($B284)&amp;" | "&amp;TRIM($D284),Lists!$AN$2:$AN$22,0)),IF(COUNTIF(Lists!$AF$2:$AF$8,$AJ284),$AJ284,IF(ISNUMBER(SEARCH("head of ",$D284)),"Head of Technology",IF(ISNUMBER(SEARCH("TDD BP",$D284)),"Business Partner",IF(OR(ISNUMBER(SEARCH("domain architect",$D284)),ISNUMBER(SEARCH("enterprise architect",$D284))),"Domain Architect",IF(ISNUMBER(SEARCH("delivery man",$D284)),"Delivery Manager",IF(OR(ISNUMBER(SEARCH("technology manager",$D284)),ISNUMBER(SEARCH("technology manger",$D284)),ISNUMBER(SEARCH("tech manager",$D284))),"Technology Manager","Squad"))))))))</f>
        <v>Squad</v>
      </c>
      <c r="AL284" s="534" t="str">
        <f>IF(TRIM($B284)="","",IF(AND($AM284=1,LEFT($AJ284,4)&lt;&gt;"EGI ",$AJ284&lt;&gt;"EGI"),IFERROR(INDEX(Lists!$Z$2:$Z$20,MATCH($AH284,Lists!$Y$2:$Y$20,0)),"EGI "&amp;$AH284),IF(COUNTIF(Lists!$AU$2:$AU$10,$AJ284),$AJ284,IF(OR(LEFT($AH284,3)="COE",$AH284="EGI"),$AJ284,IF($AK284&lt;&gt;"Squad",$AK284,$AJ284)))))</f>
        <v>Trading &amp; Shipping</v>
      </c>
      <c r="AM284" s="534" t="b">
        <f>IF(TRIM($B284)="","",--(UPPER(TRIM($K284))="EGI"))</f>
        <v>0</v>
      </c>
      <c r="AQ284" s="841" t="inlineStr">
        <is>
          <t>R0283</t>
        </is>
      </c>
      <c r="AZ284" s="841" t="n"/>
    </row>
    <row r="285" ht="18" customHeight="1" s="535">
      <c r="A285" s="842" t="inlineStr">
        <is>
          <t>V</t>
        </is>
      </c>
      <c r="B285" s="843" t="inlineStr">
        <is>
          <t>Vacant</t>
        </is>
      </c>
      <c r="C285" s="842" t="inlineStr">
        <is>
          <t>V</t>
        </is>
      </c>
      <c r="D285" s="843" t="inlineStr">
        <is>
          <t>System Specialist</t>
        </is>
      </c>
      <c r="E285" s="843" t="inlineStr">
        <is>
          <t>Allan Francia</t>
        </is>
      </c>
      <c r="F285" s="843" t="inlineStr">
        <is>
          <t>Technology Manager, T&amp;S</t>
        </is>
      </c>
      <c r="G285" s="844" t="inlineStr">
        <is>
          <t>TDD CFE&amp;I</t>
        </is>
      </c>
      <c r="H285" s="843" t="inlineStr">
        <is>
          <t>Commercial Fuels</t>
        </is>
      </c>
      <c r="I285" s="843" t="inlineStr">
        <is>
          <t>Technology, Trading &amp; Shipping</t>
        </is>
      </c>
      <c r="J285" s="843" t="inlineStr">
        <is>
          <t>Commercial Fuels</t>
        </is>
      </c>
      <c r="K285" s="843" t="inlineStr">
        <is>
          <t>Supply</t>
        </is>
      </c>
      <c r="L285" s="843" t="inlineStr">
        <is>
          <t>Supply</t>
        </is>
      </c>
      <c r="M285" s="843" t="n"/>
      <c r="N285" s="845" t="inlineStr">
        <is>
          <t>Australia</t>
        </is>
      </c>
      <c r="O285" s="846" t="inlineStr">
        <is>
          <t>CIB</t>
        </is>
      </c>
      <c r="P285" s="847" t="n">
        <v>1</v>
      </c>
      <c r="Q285" s="847" t="n"/>
      <c r="R285" s="847" t="inlineStr">
        <is>
          <t>v</t>
        </is>
      </c>
      <c r="S285" s="847" t="n"/>
      <c r="T285" s="847" t="n"/>
      <c r="U285" s="848" t="n">
        <v>151950</v>
      </c>
      <c r="V285" s="849" t="n">
        <v>151950</v>
      </c>
      <c r="W285" s="850" t="n">
        <v>0.12</v>
      </c>
      <c r="X285" s="847" t="n">
        <v>0.055</v>
      </c>
      <c r="Y285" s="850" t="n">
        <v>0.12</v>
      </c>
      <c r="Z285" s="851" t="n"/>
      <c r="AA285" s="850" t="n">
        <v>0.04</v>
      </c>
      <c r="AB285" s="852" t="n">
        <v>202853.25</v>
      </c>
      <c r="AE285" s="534">
        <f>IF(TRIM($B285)="","",IF(AND(N($P285)&gt;0,N($P285)&lt;1),N($AB285)*N($P285),N($AB285)))</f>
        <v>202853.25</v>
      </c>
      <c r="AF285" s="534" t="str">
        <f>IF(TRIM($B285)="","",IF(OR(ISNUMBER(SEARCH("vacant",$B285)),ISNUMBER(SEARCH("ring fenced",$B285)),LOWER(TRIM($B285))="remove"),"Vacant","Filled"))</f>
        <v>Vacant</v>
      </c>
      <c r="AG285" s="534" t="b">
        <f>IF(TRIM($B285)="","",--ISNUMBER(SEARCH("ring fenced",$B285)))</f>
        <v>0</v>
      </c>
      <c r="AH285" s="534" t="str">
        <f>IF(TRIM($B285)="","",IF(COUNTIFS(Lists!$AN$2:$AN$22,TRIM($B285)&amp;" | "&amp;TRIM($D285),Lists!$AO$2:$AO$22,"&lt;&gt;"),INDEX(Lists!$AO$2:$AO$22,MATCH(TRIM($B285)&amp;" | "&amp;TRIM($D285),Lists!$AN$2:$AN$22,0)),IF(COUNTIF(Lists!$AR$2:$AR$3,$AJ285),"TDD Cyber",IF(AND(LEFT($AJ285,4)="EGI ",ISNUMBER(MATCH(TRIM(MID($AJ285,5,99)),Lists!$AS$2:$AS$12,0))),TRIM(MID($AJ285,5,99)),IF(AND(LEFT($AJ285,4)="EGI ",ISNUMBER(MATCH(TRIM(MID($AJ285,5,99)),Lists!$T$2:$T$21,0))),INDEX(Lists!$U$2:$U$21,MATCH(TRIM(MID($AJ285,5,99)),Lists!$T$2:$T$21,0)),IF(OR(TRIM($J285)="",UPPER(TRIM($J285))="NA"),IFERROR(INDEX(Lists!$R$2:$R$9,MATCH(TRIM($G285),Lists!$Q$2:$Q$9,0)),"UNMAPPED"),IFERROR(INDEX(Lists!$U$2:$U$21,MATCH(TRIM($J285),Lists!$T$2:$T$21,0)),IFERROR(INDEX(Lists!$R$2:$R$9,MATCH(TRIM($G285),Lists!$Q$2:$Q$9,0)),"UNMAPPED"))))))))</f>
        <v>Commercial Fuels</v>
      </c>
      <c r="AI285" s="534" t="b">
        <f>IF(TRIM($B285)="","",--OR(TRIM($L285)="Leadership",TRIM($K285)="Leadership"))</f>
        <v>0</v>
      </c>
      <c r="AJ285" s="534" t="str">
        <f>IF(TRIM($B285)="","",IF(COUNTIFS(Lists!$AN$2:$AN$22,TRIM($B285)&amp;" | "&amp;TRIM($D285),Lists!$AP$2:$AP$22,"&lt;&gt;"),INDEX(Lists!$AP$2:$AP$22,MATCH(TRIM($B285)&amp;" | "&amp;TRIM($D285),Lists!$AN$2:$AN$22,0)),IF($AI285=1,"Leadership",IFERROR(INDEX(Lists!$X$2:$X$21,MATCH(TRIM($L285),Lists!$W$2:$W$21,0)),IF(OR(TRIM($L285)="",LOWER(TRIM($L285))="na"),IF(TRIM($H285)="","Unassigned",TRIM($H285)),TRIM($L285))))))</f>
        <v>Supply</v>
      </c>
      <c r="AK285" s="534" t="str">
        <f>IF(TRIM($B285)="","",IF(COUNTIFS(Lists!$AN$2:$AN$22,TRIM($B285)&amp;" | "&amp;TRIM($D285),Lists!$AQ$2:$AQ$22,"&lt;&gt;"),INDEX(Lists!$AQ$2:$AQ$22,MATCH(TRIM($B285)&amp;" | "&amp;TRIM($D285),Lists!$AN$2:$AN$22,0)),IF(COUNTIF(Lists!$AF$2:$AF$8,$AJ285),$AJ285,IF(ISNUMBER(SEARCH("head of ",$D285)),"Head of Technology",IF(ISNUMBER(SEARCH("TDD BP",$D285)),"Business Partner",IF(OR(ISNUMBER(SEARCH("domain architect",$D285)),ISNUMBER(SEARCH("enterprise architect",$D285))),"Domain Architect",IF(ISNUMBER(SEARCH("delivery man",$D285)),"Delivery Manager",IF(OR(ISNUMBER(SEARCH("technology manager",$D285)),ISNUMBER(SEARCH("technology manger",$D285)),ISNUMBER(SEARCH("tech manager",$D285))),"Technology Manager","Squad"))))))))</f>
        <v>Squad</v>
      </c>
      <c r="AL285" s="534" t="str">
        <f>IF(TRIM($B285)="","",IF(AND($AM285=1,LEFT($AJ285,4)&lt;&gt;"EGI ",$AJ285&lt;&gt;"EGI"),IFERROR(INDEX(Lists!$Z$2:$Z$20,MATCH($AH285,Lists!$Y$2:$Y$20,0)),"EGI "&amp;$AH285),IF(COUNTIF(Lists!$AU$2:$AU$10,$AJ285),$AJ285,IF(OR(LEFT($AH285,3)="COE",$AH285="EGI"),$AJ285,IF($AK285&lt;&gt;"Squad",$AK285,$AJ285)))))</f>
        <v>Supply</v>
      </c>
      <c r="AM285" s="534" t="b">
        <f>IF(TRIM($B285)="","",--(UPPER(TRIM($K285))="EGI"))</f>
        <v>0</v>
      </c>
      <c r="AQ285" s="841" t="inlineStr">
        <is>
          <t>R0284</t>
        </is>
      </c>
      <c r="AZ285" s="841" t="n"/>
    </row>
    <row r="286" ht="18" customHeight="1" s="535">
      <c r="A286" s="842" t="inlineStr">
        <is>
          <t>V</t>
        </is>
      </c>
      <c r="B286" s="843" t="inlineStr">
        <is>
          <t>Vacant (anaplan)</t>
        </is>
      </c>
      <c r="C286" s="842" t="inlineStr">
        <is>
          <t>V</t>
        </is>
      </c>
      <c r="D286" s="843" t="inlineStr">
        <is>
          <t>System Specialist</t>
        </is>
      </c>
      <c r="E286" s="843" t="inlineStr">
        <is>
          <t>Allan Francia</t>
        </is>
      </c>
      <c r="F286" s="843" t="inlineStr">
        <is>
          <t>Technology Manager, T&amp;S</t>
        </is>
      </c>
      <c r="G286" s="844" t="inlineStr">
        <is>
          <t>TDD CFE&amp;I</t>
        </is>
      </c>
      <c r="H286" s="843" t="inlineStr">
        <is>
          <t>Commercial Fuels</t>
        </is>
      </c>
      <c r="I286" s="843" t="inlineStr">
        <is>
          <t>Technology, Trading &amp; Shipping</t>
        </is>
      </c>
      <c r="J286" s="843" t="inlineStr">
        <is>
          <t>Commercial Fuels</t>
        </is>
      </c>
      <c r="K286" s="843" t="inlineStr">
        <is>
          <t>Supply</t>
        </is>
      </c>
      <c r="L286" s="843" t="inlineStr">
        <is>
          <t>Supply</t>
        </is>
      </c>
      <c r="M286" s="843" t="n"/>
      <c r="N286" s="845" t="inlineStr">
        <is>
          <t>Australia</t>
        </is>
      </c>
      <c r="O286" s="846" t="inlineStr">
        <is>
          <t>CIB</t>
        </is>
      </c>
      <c r="P286" s="847" t="n">
        <v>1</v>
      </c>
      <c r="Q286" s="847" t="n"/>
      <c r="R286" s="847" t="inlineStr">
        <is>
          <t>v</t>
        </is>
      </c>
      <c r="S286" s="847" t="n"/>
      <c r="T286" s="847" t="n"/>
      <c r="U286" s="848" t="n">
        <v>151950</v>
      </c>
      <c r="V286" s="849" t="n">
        <v>151950</v>
      </c>
      <c r="W286" s="850" t="n">
        <v>0.12</v>
      </c>
      <c r="X286" s="847" t="n">
        <v>0.055</v>
      </c>
      <c r="Y286" s="850" t="n">
        <v>0.12</v>
      </c>
      <c r="Z286" s="851" t="n"/>
      <c r="AA286" s="850" t="n">
        <v>0.04</v>
      </c>
      <c r="AB286" s="852" t="n">
        <v>202853.25</v>
      </c>
      <c r="AE286" s="534">
        <f>IF(TRIM($B286)="","",IF(AND(N($P286)&gt;0,N($P286)&lt;1),N($AB286)*N($P286),N($AB286)))</f>
        <v>202853.25</v>
      </c>
      <c r="AF286" s="534" t="str">
        <f>IF(TRIM($B286)="","",IF(OR(ISNUMBER(SEARCH("vacant",$B286)),ISNUMBER(SEARCH("ring fenced",$B286)),LOWER(TRIM($B286))="remove"),"Vacant","Filled"))</f>
        <v>Vacant</v>
      </c>
      <c r="AG286" s="534" t="b">
        <f>IF(TRIM($B286)="","",--ISNUMBER(SEARCH("ring fenced",$B286)))</f>
        <v>0</v>
      </c>
      <c r="AH286" s="534" t="str">
        <f>IF(TRIM($B286)="","",IF(COUNTIFS(Lists!$AN$2:$AN$22,TRIM($B286)&amp;" | "&amp;TRIM($D286),Lists!$AO$2:$AO$22,"&lt;&gt;"),INDEX(Lists!$AO$2:$AO$22,MATCH(TRIM($B286)&amp;" | "&amp;TRIM($D286),Lists!$AN$2:$AN$22,0)),IF(COUNTIF(Lists!$AR$2:$AR$3,$AJ286),"TDD Cyber",IF(AND(LEFT($AJ286,4)="EGI ",ISNUMBER(MATCH(TRIM(MID($AJ286,5,99)),Lists!$AS$2:$AS$12,0))),TRIM(MID($AJ286,5,99)),IF(AND(LEFT($AJ286,4)="EGI ",ISNUMBER(MATCH(TRIM(MID($AJ286,5,99)),Lists!$T$2:$T$21,0))),INDEX(Lists!$U$2:$U$21,MATCH(TRIM(MID($AJ286,5,99)),Lists!$T$2:$T$21,0)),IF(OR(TRIM($J286)="",UPPER(TRIM($J286))="NA"),IFERROR(INDEX(Lists!$R$2:$R$9,MATCH(TRIM($G286),Lists!$Q$2:$Q$9,0)),"UNMAPPED"),IFERROR(INDEX(Lists!$U$2:$U$21,MATCH(TRIM($J286),Lists!$T$2:$T$21,0)),IFERROR(INDEX(Lists!$R$2:$R$9,MATCH(TRIM($G286),Lists!$Q$2:$Q$9,0)),"UNMAPPED"))))))))</f>
        <v>Commercial Fuels</v>
      </c>
      <c r="AI286" s="534" t="b">
        <f>IF(TRIM($B286)="","",--OR(TRIM($L286)="Leadership",TRIM($K286)="Leadership"))</f>
        <v>0</v>
      </c>
      <c r="AJ286" s="534" t="str">
        <f>IF(TRIM($B286)="","",IF(COUNTIFS(Lists!$AN$2:$AN$22,TRIM($B286)&amp;" | "&amp;TRIM($D286),Lists!$AP$2:$AP$22,"&lt;&gt;"),INDEX(Lists!$AP$2:$AP$22,MATCH(TRIM($B286)&amp;" | "&amp;TRIM($D286),Lists!$AN$2:$AN$22,0)),IF($AI286=1,"Leadership",IFERROR(INDEX(Lists!$X$2:$X$21,MATCH(TRIM($L286),Lists!$W$2:$W$21,0)),IF(OR(TRIM($L286)="",LOWER(TRIM($L286))="na"),IF(TRIM($H286)="","Unassigned",TRIM($H286)),TRIM($L286))))))</f>
        <v>Supply</v>
      </c>
      <c r="AK286" s="534" t="str">
        <f>IF(TRIM($B286)="","",IF(COUNTIFS(Lists!$AN$2:$AN$22,TRIM($B286)&amp;" | "&amp;TRIM($D286),Lists!$AQ$2:$AQ$22,"&lt;&gt;"),INDEX(Lists!$AQ$2:$AQ$22,MATCH(TRIM($B286)&amp;" | "&amp;TRIM($D286),Lists!$AN$2:$AN$22,0)),IF(COUNTIF(Lists!$AF$2:$AF$8,$AJ286),$AJ286,IF(ISNUMBER(SEARCH("head of ",$D286)),"Head of Technology",IF(ISNUMBER(SEARCH("TDD BP",$D286)),"Business Partner",IF(OR(ISNUMBER(SEARCH("domain architect",$D286)),ISNUMBER(SEARCH("enterprise architect",$D286))),"Domain Architect",IF(ISNUMBER(SEARCH("delivery man",$D286)),"Delivery Manager",IF(OR(ISNUMBER(SEARCH("technology manager",$D286)),ISNUMBER(SEARCH("technology manger",$D286)),ISNUMBER(SEARCH("tech manager",$D286))),"Technology Manager","Squad"))))))))</f>
        <v>Squad</v>
      </c>
      <c r="AL286" s="534" t="str">
        <f>IF(TRIM($B286)="","",IF(AND($AM286=1,LEFT($AJ286,4)&lt;&gt;"EGI ",$AJ286&lt;&gt;"EGI"),IFERROR(INDEX(Lists!$Z$2:$Z$20,MATCH($AH286,Lists!$Y$2:$Y$20,0)),"EGI "&amp;$AH286),IF(COUNTIF(Lists!$AU$2:$AU$10,$AJ286),$AJ286,IF(OR(LEFT($AH286,3)="COE",$AH286="EGI"),$AJ286,IF($AK286&lt;&gt;"Squad",$AK286,$AJ286)))))</f>
        <v>Supply</v>
      </c>
      <c r="AM286" s="534" t="b">
        <f>IF(TRIM($B286)="","",--(UPPER(TRIM($K286))="EGI"))</f>
        <v>0</v>
      </c>
      <c r="AQ286" s="841" t="inlineStr">
        <is>
          <t>R0285</t>
        </is>
      </c>
      <c r="AZ286" s="841" t="n"/>
    </row>
    <row r="287" ht="18" customHeight="1" s="535">
      <c r="A287" s="842" t="n">
        <v>96830</v>
      </c>
      <c r="B287" s="843" t="inlineStr">
        <is>
          <t>Lynda Niewidok</t>
        </is>
      </c>
      <c r="C287" s="842" t="n">
        <v>96830</v>
      </c>
      <c r="D287" s="843" t="inlineStr">
        <is>
          <t>Lead – Service Desk</t>
        </is>
      </c>
      <c r="E287" s="843" t="inlineStr">
        <is>
          <t>Chris Rojas</t>
        </is>
      </c>
      <c r="F287" s="843" t="inlineStr">
        <is>
          <t xml:space="preserve">CISO </t>
        </is>
      </c>
      <c r="G287" s="844" t="inlineStr">
        <is>
          <t>Cyber, Risk &amp; Operations</t>
        </is>
      </c>
      <c r="H287" s="843" t="inlineStr">
        <is>
          <t>Service Op &amp; Assurance</t>
        </is>
      </c>
      <c r="I287" s="843" t="inlineStr">
        <is>
          <t>NA</t>
        </is>
      </c>
      <c r="J287" s="843" t="inlineStr">
        <is>
          <t>NA</t>
        </is>
      </c>
      <c r="K287" s="843" t="inlineStr">
        <is>
          <t>NA</t>
        </is>
      </c>
      <c r="L287" s="843" t="inlineStr">
        <is>
          <t>NA</t>
        </is>
      </c>
      <c r="M287" s="843" t="n"/>
      <c r="N287" s="845" t="inlineStr">
        <is>
          <t>Australia</t>
        </is>
      </c>
      <c r="O287" s="846" t="inlineStr">
        <is>
          <t>CIB</t>
        </is>
      </c>
      <c r="P287" s="847" t="n">
        <v>1</v>
      </c>
      <c r="Q287" s="846" t="n"/>
      <c r="R287" s="847" t="inlineStr">
        <is>
          <t>Permanent - Full Time</t>
        </is>
      </c>
      <c r="S287" s="847" t="n"/>
      <c r="T287" s="847" t="n"/>
      <c r="U287" s="848" t="n">
        <v>152800</v>
      </c>
      <c r="V287" s="849" t="n">
        <v>152800</v>
      </c>
      <c r="W287" s="850" t="n">
        <v>0.12</v>
      </c>
      <c r="X287" s="847" t="n">
        <v>0.055</v>
      </c>
      <c r="Y287" s="850" t="n">
        <v>0.12</v>
      </c>
      <c r="Z287" s="851" t="n"/>
      <c r="AA287" s="850" t="n">
        <v>0.04</v>
      </c>
      <c r="AB287" s="852" t="n">
        <v>203988</v>
      </c>
      <c r="AE287" s="534">
        <f>IF(TRIM($B287)="","",IF(AND(N($P287)&gt;0,N($P287)&lt;1),N($AB287)*N($P287),N($AB287)))</f>
        <v>203988</v>
      </c>
      <c r="AF287" s="534" t="str">
        <f>IF(TRIM($B287)="","",IF(OR(ISNUMBER(SEARCH("vacant",$B287)),ISNUMBER(SEARCH("ring fenced",$B287)),LOWER(TRIM($B287))="remove"),"Vacant","Filled"))</f>
        <v>Filled</v>
      </c>
      <c r="AG287" s="534" t="b">
        <f>IF(TRIM($B287)="","",--ISNUMBER(SEARCH("ring fenced",$B287)))</f>
        <v>0</v>
      </c>
      <c r="AH287" s="534" t="str">
        <f>IF(TRIM($B287)="","",IF(COUNTIFS(Lists!$AN$2:$AN$22,TRIM($B287)&amp;" | "&amp;TRIM($D287),Lists!$AO$2:$AO$22,"&lt;&gt;"),INDEX(Lists!$AO$2:$AO$22,MATCH(TRIM($B287)&amp;" | "&amp;TRIM($D287),Lists!$AN$2:$AN$22,0)),IF(COUNTIF(Lists!$AR$2:$AR$3,$AJ287),"TDD Cyber",IF(AND(LEFT($AJ287,4)="EGI ",ISNUMBER(MATCH(TRIM(MID($AJ287,5,99)),Lists!$AS$2:$AS$12,0))),TRIM(MID($AJ287,5,99)),IF(AND(LEFT($AJ287,4)="EGI ",ISNUMBER(MATCH(TRIM(MID($AJ287,5,99)),Lists!$T$2:$T$21,0))),INDEX(Lists!$U$2:$U$21,MATCH(TRIM(MID($AJ287,5,99)),Lists!$T$2:$T$21,0)),IF(OR(TRIM($J287)="",UPPER(TRIM($J287))="NA"),IFERROR(INDEX(Lists!$R$2:$R$9,MATCH(TRIM($G287),Lists!$Q$2:$Q$9,0)),"UNMAPPED"),IFERROR(INDEX(Lists!$U$2:$U$21,MATCH(TRIM($J287),Lists!$T$2:$T$21,0)),IFERROR(INDEX(Lists!$R$2:$R$9,MATCH(TRIM($G287),Lists!$Q$2:$Q$9,0)),"UNMAPPED"))))))))</f>
        <v>COE Cyber</v>
      </c>
      <c r="AI287" s="534" t="b">
        <f>IF(TRIM($B287)="","",--OR(TRIM($L287)="Leadership",TRIM($K287)="Leadership"))</f>
        <v>0</v>
      </c>
      <c r="AJ287" s="534" t="str">
        <f>IF(TRIM($B287)="","",IF(COUNTIFS(Lists!$AN$2:$AN$22,TRIM($B287)&amp;" | "&amp;TRIM($D287),Lists!$AP$2:$AP$22,"&lt;&gt;"),INDEX(Lists!$AP$2:$AP$22,MATCH(TRIM($B287)&amp;" | "&amp;TRIM($D287),Lists!$AN$2:$AN$22,0)),IF($AI287=1,"Leadership",IFERROR(INDEX(Lists!$X$2:$X$21,MATCH(TRIM($L287),Lists!$W$2:$W$21,0)),IF(OR(TRIM($L287)="",LOWER(TRIM($L287))="na"),IF(TRIM($H287)="","Unassigned",TRIM($H287)),TRIM($L287))))))</f>
        <v>Service Op &amp; Assurance</v>
      </c>
      <c r="AK287" s="534" t="str">
        <f>IF(TRIM($B287)="","",IF(COUNTIFS(Lists!$AN$2:$AN$22,TRIM($B287)&amp;" | "&amp;TRIM($D287),Lists!$AQ$2:$AQ$22,"&lt;&gt;"),INDEX(Lists!$AQ$2:$AQ$22,MATCH(TRIM($B287)&amp;" | "&amp;TRIM($D287),Lists!$AN$2:$AN$22,0)),IF(COUNTIF(Lists!$AF$2:$AF$8,$AJ287),$AJ287,IF(ISNUMBER(SEARCH("head of ",$D287)),"Head of Technology",IF(ISNUMBER(SEARCH("TDD BP",$D287)),"Business Partner",IF(OR(ISNUMBER(SEARCH("domain architect",$D287)),ISNUMBER(SEARCH("enterprise architect",$D287))),"Domain Architect",IF(ISNUMBER(SEARCH("delivery man",$D287)),"Delivery Manager",IF(OR(ISNUMBER(SEARCH("technology manager",$D287)),ISNUMBER(SEARCH("technology manger",$D287)),ISNUMBER(SEARCH("tech manager",$D287))),"Technology Manager","Squad"))))))))</f>
        <v>Squad</v>
      </c>
      <c r="AL287" s="534" t="str">
        <f>IF(TRIM($B287)="","",IF(AND($AM287=1,LEFT($AJ287,4)&lt;&gt;"EGI ",$AJ287&lt;&gt;"EGI"),IFERROR(INDEX(Lists!$Z$2:$Z$20,MATCH($AH287,Lists!$Y$2:$Y$20,0)),"EGI "&amp;$AH287),IF(COUNTIF(Lists!$AU$2:$AU$10,$AJ287),$AJ287,IF(OR(LEFT($AH287,3)="COE",$AH287="EGI"),$AJ287,IF($AK287&lt;&gt;"Squad",$AK287,$AJ287)))))</f>
        <v>Service Op &amp; Assurance</v>
      </c>
      <c r="AM287" s="534" t="b">
        <f>IF(TRIM($B287)="","",--(UPPER(TRIM($K287))="EGI"))</f>
        <v>0</v>
      </c>
      <c r="AQ287" s="841" t="inlineStr">
        <is>
          <t>R0286</t>
        </is>
      </c>
      <c r="AZ287" s="841" t="n"/>
    </row>
    <row r="288" ht="18" customHeight="1" s="535">
      <c r="A288" s="842" t="n">
        <v>92681</v>
      </c>
      <c r="B288" s="843" t="inlineStr">
        <is>
          <t>Mark Pearson</t>
        </is>
      </c>
      <c r="C288" s="842" t="n">
        <v>92681</v>
      </c>
      <c r="D288" s="843" t="inlineStr">
        <is>
          <t>Lead – Technology Support</t>
        </is>
      </c>
      <c r="E288" s="843" t="inlineStr">
        <is>
          <t>Chris Rojas</t>
        </is>
      </c>
      <c r="F288" s="843" t="inlineStr">
        <is>
          <t xml:space="preserve">Manager Service Management &amp; Major Incident Management Lead </t>
        </is>
      </c>
      <c r="G288" s="844" t="inlineStr">
        <is>
          <t>Cyber, Risk &amp; Operations</t>
        </is>
      </c>
      <c r="H288" s="843" t="inlineStr">
        <is>
          <t>Service Op &amp; Assurance</t>
        </is>
      </c>
      <c r="I288" s="843" t="inlineStr">
        <is>
          <t>NA</t>
        </is>
      </c>
      <c r="J288" s="843" t="inlineStr">
        <is>
          <t>NA</t>
        </is>
      </c>
      <c r="K288" s="843" t="inlineStr">
        <is>
          <t>NA</t>
        </is>
      </c>
      <c r="L288" s="843" t="inlineStr">
        <is>
          <t>NA</t>
        </is>
      </c>
      <c r="M288" s="843" t="n"/>
      <c r="N288" s="845" t="inlineStr">
        <is>
          <t>Australia</t>
        </is>
      </c>
      <c r="O288" s="846" t="inlineStr">
        <is>
          <t>CIB</t>
        </is>
      </c>
      <c r="P288" s="847" t="n">
        <v>1</v>
      </c>
      <c r="Q288" s="846" t="n"/>
      <c r="R288" s="847" t="inlineStr">
        <is>
          <t>Permanent - Full Time</t>
        </is>
      </c>
      <c r="S288" s="847" t="n"/>
      <c r="T288" s="847" t="n"/>
      <c r="U288" s="848" t="n">
        <v>152690</v>
      </c>
      <c r="V288" s="849" t="n">
        <v>152690</v>
      </c>
      <c r="W288" s="850" t="n">
        <v>0.12</v>
      </c>
      <c r="X288" s="847" t="n">
        <v>0.055</v>
      </c>
      <c r="Y288" s="850" t="n">
        <v>0.12</v>
      </c>
      <c r="Z288" s="851" t="n"/>
      <c r="AA288" s="850" t="n">
        <v>0.04</v>
      </c>
      <c r="AB288" s="852" t="n">
        <v>203841.15</v>
      </c>
      <c r="AE288" s="534">
        <f>IF(TRIM($B288)="","",IF(AND(N($P288)&gt;0,N($P288)&lt;1),N($AB288)*N($P288),N($AB288)))</f>
        <v>203841.15</v>
      </c>
      <c r="AF288" s="534" t="str">
        <f>IF(TRIM($B288)="","",IF(OR(ISNUMBER(SEARCH("vacant",$B288)),ISNUMBER(SEARCH("ring fenced",$B288)),LOWER(TRIM($B288))="remove"),"Vacant","Filled"))</f>
        <v>Filled</v>
      </c>
      <c r="AG288" s="534" t="b">
        <f>IF(TRIM($B288)="","",--ISNUMBER(SEARCH("ring fenced",$B288)))</f>
        <v>0</v>
      </c>
      <c r="AH288" s="534" t="str">
        <f>IF(TRIM($B288)="","",IF(COUNTIFS(Lists!$AN$2:$AN$22,TRIM($B288)&amp;" | "&amp;TRIM($D288),Lists!$AO$2:$AO$22,"&lt;&gt;"),INDEX(Lists!$AO$2:$AO$22,MATCH(TRIM($B288)&amp;" | "&amp;TRIM($D288),Lists!$AN$2:$AN$22,0)),IF(COUNTIF(Lists!$AR$2:$AR$3,$AJ288),"TDD Cyber",IF(AND(LEFT($AJ288,4)="EGI ",ISNUMBER(MATCH(TRIM(MID($AJ288,5,99)),Lists!$AS$2:$AS$12,0))),TRIM(MID($AJ288,5,99)),IF(AND(LEFT($AJ288,4)="EGI ",ISNUMBER(MATCH(TRIM(MID($AJ288,5,99)),Lists!$T$2:$T$21,0))),INDEX(Lists!$U$2:$U$21,MATCH(TRIM(MID($AJ288,5,99)),Lists!$T$2:$T$21,0)),IF(OR(TRIM($J288)="",UPPER(TRIM($J288))="NA"),IFERROR(INDEX(Lists!$R$2:$R$9,MATCH(TRIM($G288),Lists!$Q$2:$Q$9,0)),"UNMAPPED"),IFERROR(INDEX(Lists!$U$2:$U$21,MATCH(TRIM($J288),Lists!$T$2:$T$21,0)),IFERROR(INDEX(Lists!$R$2:$R$9,MATCH(TRIM($G288),Lists!$Q$2:$Q$9,0)),"UNMAPPED"))))))))</f>
        <v>COE Cyber</v>
      </c>
      <c r="AI288" s="534" t="b">
        <f>IF(TRIM($B288)="","",--OR(TRIM($L288)="Leadership",TRIM($K288)="Leadership"))</f>
        <v>0</v>
      </c>
      <c r="AJ288" s="534" t="str">
        <f>IF(TRIM($B288)="","",IF(COUNTIFS(Lists!$AN$2:$AN$22,TRIM($B288)&amp;" | "&amp;TRIM($D288),Lists!$AP$2:$AP$22,"&lt;&gt;"),INDEX(Lists!$AP$2:$AP$22,MATCH(TRIM($B288)&amp;" | "&amp;TRIM($D288),Lists!$AN$2:$AN$22,0)),IF($AI288=1,"Leadership",IFERROR(INDEX(Lists!$X$2:$X$21,MATCH(TRIM($L288),Lists!$W$2:$W$21,0)),IF(OR(TRIM($L288)="",LOWER(TRIM($L288))="na"),IF(TRIM($H288)="","Unassigned",TRIM($H288)),TRIM($L288))))))</f>
        <v>Service Op &amp; Assurance</v>
      </c>
      <c r="AK288" s="534" t="str">
        <f>IF(TRIM($B288)="","",IF(COUNTIFS(Lists!$AN$2:$AN$22,TRIM($B288)&amp;" | "&amp;TRIM($D288),Lists!$AQ$2:$AQ$22,"&lt;&gt;"),INDEX(Lists!$AQ$2:$AQ$22,MATCH(TRIM($B288)&amp;" | "&amp;TRIM($D288),Lists!$AN$2:$AN$22,0)),IF(COUNTIF(Lists!$AF$2:$AF$8,$AJ288),$AJ288,IF(ISNUMBER(SEARCH("head of ",$D288)),"Head of Technology",IF(ISNUMBER(SEARCH("TDD BP",$D288)),"Business Partner",IF(OR(ISNUMBER(SEARCH("domain architect",$D288)),ISNUMBER(SEARCH("enterprise architect",$D288))),"Domain Architect",IF(ISNUMBER(SEARCH("delivery man",$D288)),"Delivery Manager",IF(OR(ISNUMBER(SEARCH("technology manager",$D288)),ISNUMBER(SEARCH("technology manger",$D288)),ISNUMBER(SEARCH("tech manager",$D288))),"Technology Manager","Squad"))))))))</f>
        <v>Squad</v>
      </c>
      <c r="AL288" s="534" t="str">
        <f>IF(TRIM($B288)="","",IF(AND($AM288=1,LEFT($AJ288,4)&lt;&gt;"EGI ",$AJ288&lt;&gt;"EGI"),IFERROR(INDEX(Lists!$Z$2:$Z$20,MATCH($AH288,Lists!$Y$2:$Y$20,0)),"EGI "&amp;$AH288),IF(COUNTIF(Lists!$AU$2:$AU$10,$AJ288),$AJ288,IF(OR(LEFT($AH288,3)="COE",$AH288="EGI"),$AJ288,IF($AK288&lt;&gt;"Squad",$AK288,$AJ288)))))</f>
        <v>Service Op &amp; Assurance</v>
      </c>
      <c r="AM288" s="534" t="b">
        <f>IF(TRIM($B288)="","",--(UPPER(TRIM($K288))="EGI"))</f>
        <v>0</v>
      </c>
      <c r="AQ288" s="841" t="inlineStr">
        <is>
          <t>R0287</t>
        </is>
      </c>
      <c r="AZ288" s="841" t="n"/>
    </row>
    <row r="289" ht="18" customHeight="1" s="535">
      <c r="A289" s="842" t="n">
        <v>108728</v>
      </c>
      <c r="B289" s="843" t="inlineStr">
        <is>
          <t>Remya Pookat</t>
        </is>
      </c>
      <c r="C289" s="842" t="n">
        <v>108728</v>
      </c>
      <c r="D289" s="843" t="inlineStr">
        <is>
          <t>Lead – Change &amp; Release Management</t>
        </is>
      </c>
      <c r="E289" s="843" t="inlineStr">
        <is>
          <t>Darren Koller</t>
        </is>
      </c>
      <c r="F289" s="843" t="inlineStr">
        <is>
          <t>Manager Cyber Security GRC</t>
        </is>
      </c>
      <c r="G289" s="844" t="inlineStr">
        <is>
          <t>Cyber, Risk &amp; Operations</t>
        </is>
      </c>
      <c r="H289" s="843" t="inlineStr">
        <is>
          <t>Service Op &amp; Assurance</t>
        </is>
      </c>
      <c r="I289" s="843" t="inlineStr">
        <is>
          <t>NA</t>
        </is>
      </c>
      <c r="J289" s="843" t="inlineStr">
        <is>
          <t>NA</t>
        </is>
      </c>
      <c r="K289" s="843" t="inlineStr">
        <is>
          <t>NA</t>
        </is>
      </c>
      <c r="L289" s="843" t="inlineStr">
        <is>
          <t>NA</t>
        </is>
      </c>
      <c r="M289" s="843" t="n"/>
      <c r="N289" s="845" t="inlineStr">
        <is>
          <t>Australia</t>
        </is>
      </c>
      <c r="O289" s="846" t="inlineStr">
        <is>
          <t>CIB</t>
        </is>
      </c>
      <c r="P289" s="847" t="n">
        <v>1</v>
      </c>
      <c r="Q289" s="846" t="n"/>
      <c r="R289" s="847" t="inlineStr">
        <is>
          <t>Permanent - Full Time</t>
        </is>
      </c>
      <c r="S289" s="847" t="n"/>
      <c r="T289" s="847" t="n"/>
      <c r="U289" s="848" t="n">
        <v>165450</v>
      </c>
      <c r="V289" s="849" t="n">
        <v>165450</v>
      </c>
      <c r="W289" s="850" t="n">
        <v>0.12</v>
      </c>
      <c r="X289" s="847" t="n">
        <v>0.055</v>
      </c>
      <c r="Y289" s="850" t="n">
        <v>0.12</v>
      </c>
      <c r="Z289" s="851" t="n"/>
      <c r="AA289" s="850" t="n">
        <v>0.04</v>
      </c>
      <c r="AB289" s="852" t="n">
        <v>220875.75</v>
      </c>
      <c r="AE289" s="534">
        <f>IF(TRIM($B289)="","",IF(AND(N($P289)&gt;0,N($P289)&lt;1),N($AB289)*N($P289),N($AB289)))</f>
        <v>220875.75</v>
      </c>
      <c r="AF289" s="534" t="str">
        <f>IF(TRIM($B289)="","",IF(OR(ISNUMBER(SEARCH("vacant",$B289)),ISNUMBER(SEARCH("ring fenced",$B289)),LOWER(TRIM($B289))="remove"),"Vacant","Filled"))</f>
        <v>Filled</v>
      </c>
      <c r="AG289" s="534" t="b">
        <f>IF(TRIM($B289)="","",--ISNUMBER(SEARCH("ring fenced",$B289)))</f>
        <v>0</v>
      </c>
      <c r="AH289" s="534" t="str">
        <f>IF(TRIM($B289)="","",IF(COUNTIFS(Lists!$AN$2:$AN$22,TRIM($B289)&amp;" | "&amp;TRIM($D289),Lists!$AO$2:$AO$22,"&lt;&gt;"),INDEX(Lists!$AO$2:$AO$22,MATCH(TRIM($B289)&amp;" | "&amp;TRIM($D289),Lists!$AN$2:$AN$22,0)),IF(COUNTIF(Lists!$AR$2:$AR$3,$AJ289),"TDD Cyber",IF(AND(LEFT($AJ289,4)="EGI ",ISNUMBER(MATCH(TRIM(MID($AJ289,5,99)),Lists!$AS$2:$AS$12,0))),TRIM(MID($AJ289,5,99)),IF(AND(LEFT($AJ289,4)="EGI ",ISNUMBER(MATCH(TRIM(MID($AJ289,5,99)),Lists!$T$2:$T$21,0))),INDEX(Lists!$U$2:$U$21,MATCH(TRIM(MID($AJ289,5,99)),Lists!$T$2:$T$21,0)),IF(OR(TRIM($J289)="",UPPER(TRIM($J289))="NA"),IFERROR(INDEX(Lists!$R$2:$R$9,MATCH(TRIM($G289),Lists!$Q$2:$Q$9,0)),"UNMAPPED"),IFERROR(INDEX(Lists!$U$2:$U$21,MATCH(TRIM($J289),Lists!$T$2:$T$21,0)),IFERROR(INDEX(Lists!$R$2:$R$9,MATCH(TRIM($G289),Lists!$Q$2:$Q$9,0)),"UNMAPPED"))))))))</f>
        <v>COE Cyber</v>
      </c>
      <c r="AI289" s="534" t="b">
        <f>IF(TRIM($B289)="","",--OR(TRIM($L289)="Leadership",TRIM($K289)="Leadership"))</f>
        <v>0</v>
      </c>
      <c r="AJ289" s="534" t="str">
        <f>IF(TRIM($B289)="","",IF(COUNTIFS(Lists!$AN$2:$AN$22,TRIM($B289)&amp;" | "&amp;TRIM($D289),Lists!$AP$2:$AP$22,"&lt;&gt;"),INDEX(Lists!$AP$2:$AP$22,MATCH(TRIM($B289)&amp;" | "&amp;TRIM($D289),Lists!$AN$2:$AN$22,0)),IF($AI289=1,"Leadership",IFERROR(INDEX(Lists!$X$2:$X$21,MATCH(TRIM($L289),Lists!$W$2:$W$21,0)),IF(OR(TRIM($L289)="",LOWER(TRIM($L289))="na"),IF(TRIM($H289)="","Unassigned",TRIM($H289)),TRIM($L289))))))</f>
        <v>Service Op &amp; Assurance</v>
      </c>
      <c r="AK289" s="534" t="str">
        <f>IF(TRIM($B289)="","",IF(COUNTIFS(Lists!$AN$2:$AN$22,TRIM($B289)&amp;" | "&amp;TRIM($D289),Lists!$AQ$2:$AQ$22,"&lt;&gt;"),INDEX(Lists!$AQ$2:$AQ$22,MATCH(TRIM($B289)&amp;" | "&amp;TRIM($D289),Lists!$AN$2:$AN$22,0)),IF(COUNTIF(Lists!$AF$2:$AF$8,$AJ289),$AJ289,IF(ISNUMBER(SEARCH("head of ",$D289)),"Head of Technology",IF(ISNUMBER(SEARCH("TDD BP",$D289)),"Business Partner",IF(OR(ISNUMBER(SEARCH("domain architect",$D289)),ISNUMBER(SEARCH("enterprise architect",$D289))),"Domain Architect",IF(ISNUMBER(SEARCH("delivery man",$D289)),"Delivery Manager",IF(OR(ISNUMBER(SEARCH("technology manager",$D289)),ISNUMBER(SEARCH("technology manger",$D289)),ISNUMBER(SEARCH("tech manager",$D289))),"Technology Manager","Squad"))))))))</f>
        <v>Squad</v>
      </c>
      <c r="AL289" s="534" t="str">
        <f>IF(TRIM($B289)="","",IF(AND($AM289=1,LEFT($AJ289,4)&lt;&gt;"EGI ",$AJ289&lt;&gt;"EGI"),IFERROR(INDEX(Lists!$Z$2:$Z$20,MATCH($AH289,Lists!$Y$2:$Y$20,0)),"EGI "&amp;$AH289),IF(COUNTIF(Lists!$AU$2:$AU$10,$AJ289),$AJ289,IF(OR(LEFT($AH289,3)="COE",$AH289="EGI"),$AJ289,IF($AK289&lt;&gt;"Squad",$AK289,$AJ289)))))</f>
        <v>Service Op &amp; Assurance</v>
      </c>
      <c r="AM289" s="534" t="b">
        <f>IF(TRIM($B289)="","",--(UPPER(TRIM($K289))="EGI"))</f>
        <v>0</v>
      </c>
      <c r="AQ289" s="841" t="inlineStr">
        <is>
          <t>R0288</t>
        </is>
      </c>
      <c r="AZ289" s="841" t="n"/>
    </row>
    <row r="290" ht="18" customHeight="1" s="535">
      <c r="A290" s="842" t="inlineStr">
        <is>
          <t>V</t>
        </is>
      </c>
      <c r="B290" s="843" t="inlineStr">
        <is>
          <t>Vacant</t>
        </is>
      </c>
      <c r="C290" s="842" t="inlineStr">
        <is>
          <t>V</t>
        </is>
      </c>
      <c r="D290" s="843" t="inlineStr">
        <is>
          <t>Engineer</t>
        </is>
      </c>
      <c r="E290" s="843" t="inlineStr">
        <is>
          <t>Dave O'Keefe</t>
        </is>
      </c>
      <c r="F290" s="843" t="inlineStr">
        <is>
          <t>Technology Manager P&amp;C Platforms</t>
        </is>
      </c>
      <c r="G290" s="844" t="inlineStr">
        <is>
          <t>TDD Group Functions</t>
        </is>
      </c>
      <c r="H290" s="843" t="inlineStr">
        <is>
          <t>P&amp;C, Finance &amp; Legal</t>
        </is>
      </c>
      <c r="I290" s="843" t="inlineStr">
        <is>
          <t>Tech, P&amp;C Platforms</t>
        </is>
      </c>
      <c r="J290" s="843" t="inlineStr">
        <is>
          <t>P&amp;C</t>
        </is>
      </c>
      <c r="K290" s="843" t="inlineStr">
        <is>
          <t>P&amp;C</t>
        </is>
      </c>
      <c r="L290" s="843" t="inlineStr">
        <is>
          <t>P&amp;C</t>
        </is>
      </c>
      <c r="M290" s="843" t="n"/>
      <c r="N290" s="845" t="inlineStr">
        <is>
          <t>Australia</t>
        </is>
      </c>
      <c r="O290" s="846" t="inlineStr">
        <is>
          <t>cib</t>
        </is>
      </c>
      <c r="P290" s="847" t="n">
        <v>1</v>
      </c>
      <c r="Q290" s="847" t="n"/>
      <c r="R290" s="847" t="inlineStr">
        <is>
          <t>V</t>
        </is>
      </c>
      <c r="S290" s="847" t="n"/>
      <c r="T290" s="847" t="n"/>
      <c r="U290" s="848" t="n">
        <v>151950</v>
      </c>
      <c r="V290" s="849" t="n">
        <v>151950</v>
      </c>
      <c r="W290" s="850" t="n">
        <v>0.12</v>
      </c>
      <c r="X290" s="847" t="n">
        <v>0.055</v>
      </c>
      <c r="Y290" s="850" t="n">
        <v>0.12</v>
      </c>
      <c r="Z290" s="851" t="n"/>
      <c r="AA290" s="850" t="n">
        <v>0.04</v>
      </c>
      <c r="AB290" s="852" t="n">
        <v>202853.25</v>
      </c>
      <c r="AE290" s="534">
        <f>IF(TRIM($B290)="","",IF(AND(N($P290)&gt;0,N($P290)&lt;1),N($AB290)*N($P290),N($AB290)))</f>
        <v>202853.25</v>
      </c>
      <c r="AF290" s="534" t="str">
        <f>IF(TRIM($B290)="","",IF(OR(ISNUMBER(SEARCH("vacant",$B290)),ISNUMBER(SEARCH("ring fenced",$B290)),LOWER(TRIM($B290))="remove"),"Vacant","Filled"))</f>
        <v>Vacant</v>
      </c>
      <c r="AG290" s="534" t="b">
        <f>IF(TRIM($B290)="","",--ISNUMBER(SEARCH("ring fenced",$B290)))</f>
        <v>0</v>
      </c>
      <c r="AH290" s="534" t="str">
        <f>IF(TRIM($B290)="","",IF(COUNTIFS(Lists!$AN$2:$AN$22,TRIM($B290)&amp;" | "&amp;TRIM($D290),Lists!$AO$2:$AO$22,"&lt;&gt;"),INDEX(Lists!$AO$2:$AO$22,MATCH(TRIM($B290)&amp;" | "&amp;TRIM($D290),Lists!$AN$2:$AN$22,0)),IF(COUNTIF(Lists!$AR$2:$AR$3,$AJ290),"TDD Cyber",IF(AND(LEFT($AJ290,4)="EGI ",ISNUMBER(MATCH(TRIM(MID($AJ290,5,99)),Lists!$AS$2:$AS$12,0))),TRIM(MID($AJ290,5,99)),IF(AND(LEFT($AJ290,4)="EGI ",ISNUMBER(MATCH(TRIM(MID($AJ290,5,99)),Lists!$T$2:$T$21,0))),INDEX(Lists!$U$2:$U$21,MATCH(TRIM(MID($AJ290,5,99)),Lists!$T$2:$T$21,0)),IF(OR(TRIM($J290)="",UPPER(TRIM($J290))="NA"),IFERROR(INDEX(Lists!$R$2:$R$9,MATCH(TRIM($G290),Lists!$Q$2:$Q$9,0)),"UNMAPPED"),IFERROR(INDEX(Lists!$U$2:$U$21,MATCH(TRIM($J290),Lists!$T$2:$T$21,0)),IFERROR(INDEX(Lists!$R$2:$R$9,MATCH(TRIM($G290),Lists!$Q$2:$Q$9,0)),"UNMAPPED"))))))))</f>
        <v>P&amp;C</v>
      </c>
      <c r="AI290" s="534" t="b">
        <f>IF(TRIM($B290)="","",--OR(TRIM($L290)="Leadership",TRIM($K290)="Leadership"))</f>
        <v>0</v>
      </c>
      <c r="AJ290" s="534" t="str">
        <f>IF(TRIM($B290)="","",IF(COUNTIFS(Lists!$AN$2:$AN$22,TRIM($B290)&amp;" | "&amp;TRIM($D290),Lists!$AP$2:$AP$22,"&lt;&gt;"),INDEX(Lists!$AP$2:$AP$22,MATCH(TRIM($B290)&amp;" | "&amp;TRIM($D290),Lists!$AN$2:$AN$22,0)),IF($AI290=1,"Leadership",IFERROR(INDEX(Lists!$X$2:$X$21,MATCH(TRIM($L290),Lists!$W$2:$W$21,0)),IF(OR(TRIM($L290)="",LOWER(TRIM($L290))="na"),IF(TRIM($H290)="","Unassigned",TRIM($H290)),TRIM($L290))))))</f>
        <v>P&amp;C</v>
      </c>
      <c r="AK290" s="534" t="str">
        <f>IF(TRIM($B290)="","",IF(COUNTIFS(Lists!$AN$2:$AN$22,TRIM($B290)&amp;" | "&amp;TRIM($D290),Lists!$AQ$2:$AQ$22,"&lt;&gt;"),INDEX(Lists!$AQ$2:$AQ$22,MATCH(TRIM($B290)&amp;" | "&amp;TRIM($D290),Lists!$AN$2:$AN$22,0)),IF(COUNTIF(Lists!$AF$2:$AF$8,$AJ290),$AJ290,IF(ISNUMBER(SEARCH("head of ",$D290)),"Head of Technology",IF(ISNUMBER(SEARCH("TDD BP",$D290)),"Business Partner",IF(OR(ISNUMBER(SEARCH("domain architect",$D290)),ISNUMBER(SEARCH("enterprise architect",$D290))),"Domain Architect",IF(ISNUMBER(SEARCH("delivery man",$D290)),"Delivery Manager",IF(OR(ISNUMBER(SEARCH("technology manager",$D290)),ISNUMBER(SEARCH("technology manger",$D290)),ISNUMBER(SEARCH("tech manager",$D290))),"Technology Manager","Squad"))))))))</f>
        <v>Squad</v>
      </c>
      <c r="AL290" s="534" t="str">
        <f>IF(TRIM($B290)="","",IF(AND($AM290=1,LEFT($AJ290,4)&lt;&gt;"EGI ",$AJ290&lt;&gt;"EGI"),IFERROR(INDEX(Lists!$Z$2:$Z$20,MATCH($AH290,Lists!$Y$2:$Y$20,0)),"EGI "&amp;$AH290),IF(COUNTIF(Lists!$AU$2:$AU$10,$AJ290),$AJ290,IF(OR(LEFT($AH290,3)="COE",$AH290="EGI"),$AJ290,IF($AK290&lt;&gt;"Squad",$AK290,$AJ290)))))</f>
        <v>P&amp;C</v>
      </c>
      <c r="AM290" s="534" t="b">
        <f>IF(TRIM($B290)="","",--(UPPER(TRIM($K290))="EGI"))</f>
        <v>0</v>
      </c>
      <c r="AQ290" s="841" t="inlineStr">
        <is>
          <t>R0289</t>
        </is>
      </c>
      <c r="AZ290" s="841" t="n"/>
    </row>
    <row r="291" ht="18" customHeight="1" s="535">
      <c r="A291" s="842" t="inlineStr">
        <is>
          <t>V</t>
        </is>
      </c>
      <c r="B291" s="843" t="inlineStr">
        <is>
          <t>Vacant</t>
        </is>
      </c>
      <c r="C291" s="842" t="inlineStr">
        <is>
          <t>V</t>
        </is>
      </c>
      <c r="D291" s="843" t="inlineStr">
        <is>
          <t>Engineer</t>
        </is>
      </c>
      <c r="E291" s="843" t="inlineStr">
        <is>
          <t>Dave O'Keefe</t>
        </is>
      </c>
      <c r="F291" s="843" t="inlineStr">
        <is>
          <t>Technology Manager P&amp;C Platforms</t>
        </is>
      </c>
      <c r="G291" s="844" t="inlineStr">
        <is>
          <t>TDD Group Functions</t>
        </is>
      </c>
      <c r="H291" s="843" t="inlineStr">
        <is>
          <t>P&amp;C, Finance &amp; Legal</t>
        </is>
      </c>
      <c r="I291" s="843" t="inlineStr">
        <is>
          <t>Tech, P&amp;C Platforms</t>
        </is>
      </c>
      <c r="J291" s="843" t="inlineStr">
        <is>
          <t>P&amp;C</t>
        </is>
      </c>
      <c r="K291" s="843" t="inlineStr">
        <is>
          <t>P&amp;C</t>
        </is>
      </c>
      <c r="L291" s="843" t="inlineStr">
        <is>
          <t>P&amp;C</t>
        </is>
      </c>
      <c r="M291" s="843" t="n"/>
      <c r="N291" s="845" t="inlineStr">
        <is>
          <t>Australia</t>
        </is>
      </c>
      <c r="O291" s="846" t="inlineStr">
        <is>
          <t>cib</t>
        </is>
      </c>
      <c r="P291" s="847" t="n">
        <v>1</v>
      </c>
      <c r="Q291" s="847" t="n"/>
      <c r="R291" s="847" t="inlineStr">
        <is>
          <t>V</t>
        </is>
      </c>
      <c r="S291" s="847" t="n"/>
      <c r="T291" s="847" t="n"/>
      <c r="U291" s="848" t="n">
        <v>151950</v>
      </c>
      <c r="V291" s="849" t="n">
        <v>151950</v>
      </c>
      <c r="W291" s="850" t="n">
        <v>0.12</v>
      </c>
      <c r="X291" s="847" t="n">
        <v>0.055</v>
      </c>
      <c r="Y291" s="850" t="n">
        <v>0.12</v>
      </c>
      <c r="Z291" s="851" t="n"/>
      <c r="AA291" s="850" t="n">
        <v>0.04</v>
      </c>
      <c r="AB291" s="852" t="n">
        <v>202853.25</v>
      </c>
      <c r="AE291" s="534">
        <f>IF(TRIM($B291)="","",IF(AND(N($P291)&gt;0,N($P291)&lt;1),N($AB291)*N($P291),N($AB291)))</f>
        <v>202853.25</v>
      </c>
      <c r="AF291" s="534" t="str">
        <f>IF(TRIM($B291)="","",IF(OR(ISNUMBER(SEARCH("vacant",$B291)),ISNUMBER(SEARCH("ring fenced",$B291)),LOWER(TRIM($B291))="remove"),"Vacant","Filled"))</f>
        <v>Vacant</v>
      </c>
      <c r="AG291" s="534" t="b">
        <f>IF(TRIM($B291)="","",--ISNUMBER(SEARCH("ring fenced",$B291)))</f>
        <v>0</v>
      </c>
      <c r="AH291" s="853" t="str">
        <f>IF(TRIM($B291)="","",IF(COUNTIFS(Lists!$AN$2:$AN$22,TRIM($B291)&amp;" | "&amp;TRIM($D291),Lists!$AO$2:$AO$22,"&lt;&gt;"),INDEX(Lists!$AO$2:$AO$22,MATCH(TRIM($B291)&amp;" | "&amp;TRIM($D291),Lists!$AN$2:$AN$22,0)),IF(COUNTIF(Lists!$AR$2:$AR$3,$AJ291),"TDD Cyber",IF(AND(LEFT($AJ291,4)="EGI ",ISNUMBER(MATCH(TRIM(MID($AJ291,5,99)),Lists!$AS$2:$AS$12,0))),TRIM(MID($AJ291,5,99)),IF(AND(LEFT($AJ291,4)="EGI ",ISNUMBER(MATCH(TRIM(MID($AJ291,5,99)),Lists!$T$2:$T$21,0))),INDEX(Lists!$U$2:$U$21,MATCH(TRIM(MID($AJ291,5,99)),Lists!$T$2:$T$21,0)),IF(OR(TRIM($J291)="",UPPER(TRIM($J291))="NA"),IFERROR(INDEX(Lists!$R$2:$R$9,MATCH(TRIM($G291),Lists!$Q$2:$Q$9,0)),"UNMAPPED"),IFERROR(INDEX(Lists!$U$2:$U$21,MATCH(TRIM($J291),Lists!$T$2:$T$21,0)),IFERROR(INDEX(Lists!$R$2:$R$9,MATCH(TRIM($G291),Lists!$Q$2:$Q$9,0)),"UNMAPPED"))))))))</f>
        <v>P&amp;C</v>
      </c>
      <c r="AI291" s="534" t="b">
        <f>IF(TRIM($B291)="","",--OR(TRIM($L291)="Leadership",TRIM($K291)="Leadership"))</f>
        <v>0</v>
      </c>
      <c r="AJ291" s="534" t="str">
        <f>IF(TRIM($B291)="","",IF(COUNTIFS(Lists!$AN$2:$AN$22,TRIM($B291)&amp;" | "&amp;TRIM($D291),Lists!$AP$2:$AP$22,"&lt;&gt;"),INDEX(Lists!$AP$2:$AP$22,MATCH(TRIM($B291)&amp;" | "&amp;TRIM($D291),Lists!$AN$2:$AN$22,0)),IF($AI291=1,"Leadership",IFERROR(INDEX(Lists!$X$2:$X$21,MATCH(TRIM($L291),Lists!$W$2:$W$21,0)),IF(OR(TRIM($L291)="",LOWER(TRIM($L291))="na"),IF(TRIM($H291)="","Unassigned",TRIM($H291)),TRIM($L291))))))</f>
        <v>P&amp;C</v>
      </c>
      <c r="AK291" s="534" t="str">
        <f>IF(TRIM($B291)="","",IF(COUNTIFS(Lists!$AN$2:$AN$22,TRIM($B291)&amp;" | "&amp;TRIM($D291),Lists!$AQ$2:$AQ$22,"&lt;&gt;"),INDEX(Lists!$AQ$2:$AQ$22,MATCH(TRIM($B291)&amp;" | "&amp;TRIM($D291),Lists!$AN$2:$AN$22,0)),IF(COUNTIF(Lists!$AF$2:$AF$8,$AJ291),$AJ291,IF(ISNUMBER(SEARCH("head of ",$D291)),"Head of Technology",IF(ISNUMBER(SEARCH("TDD BP",$D291)),"Business Partner",IF(OR(ISNUMBER(SEARCH("domain architect",$D291)),ISNUMBER(SEARCH("enterprise architect",$D291))),"Domain Architect",IF(ISNUMBER(SEARCH("delivery man",$D291)),"Delivery Manager",IF(OR(ISNUMBER(SEARCH("technology manager",$D291)),ISNUMBER(SEARCH("technology manger",$D291)),ISNUMBER(SEARCH("tech manager",$D291))),"Technology Manager","Squad"))))))))</f>
        <v>Squad</v>
      </c>
      <c r="AL291" s="534" t="str">
        <f>IF(TRIM($B291)="","",IF(AND($AM291=1,LEFT($AJ291,4)&lt;&gt;"EGI ",$AJ291&lt;&gt;"EGI"),IFERROR(INDEX(Lists!$Z$2:$Z$20,MATCH($AH291,Lists!$Y$2:$Y$20,0)),"EGI "&amp;$AH291),IF(COUNTIF(Lists!$AU$2:$AU$10,$AJ291),$AJ291,IF(OR(LEFT($AH291,3)="COE",$AH291="EGI"),$AJ291,IF($AK291&lt;&gt;"Squad",$AK291,$AJ291)))))</f>
        <v>P&amp;C</v>
      </c>
      <c r="AM291" s="534" t="b">
        <f>IF(TRIM($B291)="","",--(UPPER(TRIM($K291))="EGI"))</f>
        <v>0</v>
      </c>
      <c r="AQ291" s="841" t="inlineStr">
        <is>
          <t>R0290</t>
        </is>
      </c>
      <c r="AZ291" s="841" t="n"/>
    </row>
    <row r="292" ht="18" customHeight="1" s="535">
      <c r="A292" s="842" t="inlineStr">
        <is>
          <t>V</t>
        </is>
      </c>
      <c r="B292" s="843" t="inlineStr">
        <is>
          <t>Vacant</t>
        </is>
      </c>
      <c r="C292" s="842" t="inlineStr">
        <is>
          <t>V</t>
        </is>
      </c>
      <c r="D292" s="843" t="inlineStr">
        <is>
          <t>Engineer</t>
        </is>
      </c>
      <c r="E292" s="843" t="inlineStr">
        <is>
          <t>Dave O'Keefe</t>
        </is>
      </c>
      <c r="F292" s="843" t="inlineStr">
        <is>
          <t>Technology Manager P&amp;C Platforms</t>
        </is>
      </c>
      <c r="G292" s="844" t="inlineStr">
        <is>
          <t>TDD Group Functions</t>
        </is>
      </c>
      <c r="H292" s="843" t="inlineStr">
        <is>
          <t>P&amp;C, Finance &amp; Legal</t>
        </is>
      </c>
      <c r="I292" s="843" t="inlineStr">
        <is>
          <t>Tech, P&amp;C Platforms</t>
        </is>
      </c>
      <c r="J292" s="843" t="inlineStr">
        <is>
          <t>P&amp;C</t>
        </is>
      </c>
      <c r="K292" s="843" t="inlineStr">
        <is>
          <t>P&amp;C</t>
        </is>
      </c>
      <c r="L292" s="843" t="inlineStr">
        <is>
          <t>P&amp;C RTA</t>
        </is>
      </c>
      <c r="M292" s="843" t="n"/>
      <c r="N292" s="845" t="inlineStr">
        <is>
          <t>Australia</t>
        </is>
      </c>
      <c r="O292" s="846" t="inlineStr">
        <is>
          <t>CIB</t>
        </is>
      </c>
      <c r="P292" s="847" t="n">
        <v>1</v>
      </c>
      <c r="Q292" s="846" t="n"/>
      <c r="R292" s="847" t="inlineStr">
        <is>
          <t>V</t>
        </is>
      </c>
      <c r="S292" s="847" t="n"/>
      <c r="T292" s="847" t="n"/>
      <c r="U292" s="848" t="n">
        <v>151950</v>
      </c>
      <c r="V292" s="849" t="n">
        <v>151950</v>
      </c>
      <c r="W292" s="850" t="n">
        <v>0.12</v>
      </c>
      <c r="X292" s="847" t="n">
        <v>0.055</v>
      </c>
      <c r="Y292" s="850" t="n">
        <v>0.12</v>
      </c>
      <c r="Z292" s="851" t="n"/>
      <c r="AA292" s="850" t="n">
        <v>0.04</v>
      </c>
      <c r="AB292" s="852" t="n">
        <v>202853.25</v>
      </c>
      <c r="AE292" s="534">
        <f>IF(TRIM($B292)="","",IF(AND(N($P292)&gt;0,N($P292)&lt;1),N($AB292)*N($P292),N($AB292)))</f>
        <v>202853.25</v>
      </c>
      <c r="AF292" s="534" t="str">
        <f>IF(TRIM($B292)="","",IF(OR(ISNUMBER(SEARCH("vacant",$B292)),ISNUMBER(SEARCH("ring fenced",$B292)),LOWER(TRIM($B292))="remove"),"Vacant","Filled"))</f>
        <v>Vacant</v>
      </c>
      <c r="AG292" s="534" t="b">
        <f>IF(TRIM($B292)="","",--ISNUMBER(SEARCH("ring fenced",$B292)))</f>
        <v>0</v>
      </c>
      <c r="AH292" s="534" t="str">
        <f>IF(TRIM($B292)="","",IF(COUNTIFS(Lists!$AN$2:$AN$22,TRIM($B292)&amp;" | "&amp;TRIM($D292),Lists!$AO$2:$AO$22,"&lt;&gt;"),INDEX(Lists!$AO$2:$AO$22,MATCH(TRIM($B292)&amp;" | "&amp;TRIM($D292),Lists!$AN$2:$AN$22,0)),IF(COUNTIF(Lists!$AR$2:$AR$3,$AJ292),"TDD Cyber",IF(AND(LEFT($AJ292,4)="EGI ",ISNUMBER(MATCH(TRIM(MID($AJ292,5,99)),Lists!$AS$2:$AS$12,0))),TRIM(MID($AJ292,5,99)),IF(AND(LEFT($AJ292,4)="EGI ",ISNUMBER(MATCH(TRIM(MID($AJ292,5,99)),Lists!$T$2:$T$21,0))),INDEX(Lists!$U$2:$U$21,MATCH(TRIM(MID($AJ292,5,99)),Lists!$T$2:$T$21,0)),IF(OR(TRIM($J292)="",UPPER(TRIM($J292))="NA"),IFERROR(INDEX(Lists!$R$2:$R$9,MATCH(TRIM($G292),Lists!$Q$2:$Q$9,0)),"UNMAPPED"),IFERROR(INDEX(Lists!$U$2:$U$21,MATCH(TRIM($J292),Lists!$T$2:$T$21,0)),IFERROR(INDEX(Lists!$R$2:$R$9,MATCH(TRIM($G292),Lists!$Q$2:$Q$9,0)),"UNMAPPED"))))))))</f>
        <v>P&amp;C</v>
      </c>
      <c r="AI292" s="534" t="b">
        <f>IF(TRIM($B292)="","",--OR(TRIM($L292)="Leadership",TRIM($K292)="Leadership"))</f>
        <v>0</v>
      </c>
      <c r="AJ292" s="534" t="str">
        <f>IF(TRIM($B292)="","",IF(COUNTIFS(Lists!$AN$2:$AN$22,TRIM($B292)&amp;" | "&amp;TRIM($D292),Lists!$AP$2:$AP$22,"&lt;&gt;"),INDEX(Lists!$AP$2:$AP$22,MATCH(TRIM($B292)&amp;" | "&amp;TRIM($D292),Lists!$AN$2:$AN$22,0)),IF($AI292=1,"Leadership",IFERROR(INDEX(Lists!$X$2:$X$21,MATCH(TRIM($L292),Lists!$W$2:$W$21,0)),IF(OR(TRIM($L292)="",LOWER(TRIM($L292))="na"),IF(TRIM($H292)="","Unassigned",TRIM($H292)),TRIM($L292))))))</f>
        <v>P&amp;C RTA</v>
      </c>
      <c r="AK292" s="534" t="str">
        <f>IF(TRIM($B292)="","",IF(COUNTIFS(Lists!$AN$2:$AN$22,TRIM($B292)&amp;" | "&amp;TRIM($D292),Lists!$AQ$2:$AQ$22,"&lt;&gt;"),INDEX(Lists!$AQ$2:$AQ$22,MATCH(TRIM($B292)&amp;" | "&amp;TRIM($D292),Lists!$AN$2:$AN$22,0)),IF(COUNTIF(Lists!$AF$2:$AF$8,$AJ292),$AJ292,IF(ISNUMBER(SEARCH("head of ",$D292)),"Head of Technology",IF(ISNUMBER(SEARCH("TDD BP",$D292)),"Business Partner",IF(OR(ISNUMBER(SEARCH("domain architect",$D292)),ISNUMBER(SEARCH("enterprise architect",$D292))),"Domain Architect",IF(ISNUMBER(SEARCH("delivery man",$D292)),"Delivery Manager",IF(OR(ISNUMBER(SEARCH("technology manager",$D292)),ISNUMBER(SEARCH("technology manger",$D292)),ISNUMBER(SEARCH("tech manager",$D292))),"Technology Manager","Squad"))))))))</f>
        <v>Squad</v>
      </c>
      <c r="AL292" s="534" t="str">
        <f>IF(TRIM($B292)="","",IF(AND($AM292=1,LEFT($AJ292,4)&lt;&gt;"EGI ",$AJ292&lt;&gt;"EGI"),IFERROR(INDEX(Lists!$Z$2:$Z$20,MATCH($AH292,Lists!$Y$2:$Y$20,0)),"EGI "&amp;$AH292),IF(COUNTIF(Lists!$AU$2:$AU$10,$AJ292),$AJ292,IF(OR(LEFT($AH292,3)="COE",$AH292="EGI"),$AJ292,IF($AK292&lt;&gt;"Squad",$AK292,$AJ292)))))</f>
        <v>P&amp;C RTA</v>
      </c>
      <c r="AM292" s="534" t="b">
        <f>IF(TRIM($B292)="","",--(UPPER(TRIM($K292))="EGI"))</f>
        <v>0</v>
      </c>
      <c r="AQ292" s="841" t="inlineStr">
        <is>
          <t>R0291</t>
        </is>
      </c>
      <c r="AZ292" s="841" t="n"/>
    </row>
    <row r="293" ht="18" customHeight="1" s="535">
      <c r="A293" s="842" t="inlineStr">
        <is>
          <t>V</t>
        </is>
      </c>
      <c r="B293" s="843" t="inlineStr">
        <is>
          <t>Vacant</t>
        </is>
      </c>
      <c r="C293" s="842" t="inlineStr">
        <is>
          <t>V</t>
        </is>
      </c>
      <c r="D293" s="843" t="inlineStr">
        <is>
          <t>Service Transition Lead</t>
        </is>
      </c>
      <c r="E293" s="843" t="inlineStr">
        <is>
          <t>Deepali Mahajan</t>
        </is>
      </c>
      <c r="F293" s="843" t="inlineStr">
        <is>
          <t>Data Operations Manager</t>
        </is>
      </c>
      <c r="G293" s="844" t="inlineStr">
        <is>
          <t>Strategy, Architecture &amp; Data</t>
        </is>
      </c>
      <c r="H293" s="843" t="inlineStr">
        <is>
          <t>Group Data</t>
        </is>
      </c>
      <c r="I293" s="843" t="inlineStr">
        <is>
          <t>Data Operations</t>
        </is>
      </c>
      <c r="J293" s="843" t="inlineStr">
        <is>
          <t>Enterprise Data</t>
        </is>
      </c>
      <c r="K293" s="843" t="inlineStr">
        <is>
          <t>Leadership</t>
        </is>
      </c>
      <c r="L293" s="843" t="n"/>
      <c r="M293" s="843" t="n"/>
      <c r="N293" s="845" t="inlineStr">
        <is>
          <t>Australia</t>
        </is>
      </c>
      <c r="O293" s="846" t="inlineStr">
        <is>
          <t>CIB</t>
        </is>
      </c>
      <c r="P293" s="847" t="n">
        <v>1</v>
      </c>
      <c r="Q293" s="846" t="n"/>
      <c r="R293" s="847" t="inlineStr">
        <is>
          <t>v</t>
        </is>
      </c>
      <c r="S293" s="847" t="n"/>
      <c r="T293" s="847" t="n"/>
      <c r="U293" s="848" t="n">
        <v>151950</v>
      </c>
      <c r="V293" s="849" t="n">
        <v>151950</v>
      </c>
      <c r="W293" s="850" t="n">
        <v>0.12</v>
      </c>
      <c r="X293" s="847" t="n">
        <v>0.055</v>
      </c>
      <c r="Y293" s="850" t="n">
        <v>0.12</v>
      </c>
      <c r="Z293" s="851" t="n"/>
      <c r="AA293" s="850" t="n">
        <v>0.04</v>
      </c>
      <c r="AB293" s="852" t="n">
        <v>202853.25</v>
      </c>
      <c r="AE293" s="534">
        <f>IF(TRIM($B293)="","",IF(AND(N($P293)&gt;0,N($P293)&lt;1),N($AB293)*N($P293),N($AB293)))</f>
        <v>202853.25</v>
      </c>
      <c r="AF293" s="534" t="str">
        <f>IF(TRIM($B293)="","",IF(OR(ISNUMBER(SEARCH("vacant",$B293)),ISNUMBER(SEARCH("ring fenced",$B293)),LOWER(TRIM($B293))="remove"),"Vacant","Filled"))</f>
        <v>Vacant</v>
      </c>
      <c r="AG293" s="534" t="b">
        <f>IF(TRIM($B293)="","",--ISNUMBER(SEARCH("ring fenced",$B293)))</f>
        <v>0</v>
      </c>
      <c r="AH293" s="534" t="str">
        <f>IF(TRIM($B293)="","",IF(COUNTIFS(Lists!$AN$2:$AN$22,TRIM($B293)&amp;" | "&amp;TRIM($D293),Lists!$AO$2:$AO$22,"&lt;&gt;"),INDEX(Lists!$AO$2:$AO$22,MATCH(TRIM($B293)&amp;" | "&amp;TRIM($D293),Lists!$AN$2:$AN$22,0)),IF(COUNTIF(Lists!$AR$2:$AR$3,$AJ293),"TDD Cyber",IF(AND(LEFT($AJ293,4)="EGI ",ISNUMBER(MATCH(TRIM(MID($AJ293,5,99)),Lists!$AS$2:$AS$12,0))),TRIM(MID($AJ293,5,99)),IF(AND(LEFT($AJ293,4)="EGI ",ISNUMBER(MATCH(TRIM(MID($AJ293,5,99)),Lists!$T$2:$T$21,0))),INDEX(Lists!$U$2:$U$21,MATCH(TRIM(MID($AJ293,5,99)),Lists!$T$2:$T$21,0)),IF(OR(TRIM($J293)="",UPPER(TRIM($J293))="NA"),IFERROR(INDEX(Lists!$R$2:$R$9,MATCH(TRIM($G293),Lists!$Q$2:$Q$9,0)),"UNMAPPED"),IFERROR(INDEX(Lists!$U$2:$U$21,MATCH(TRIM($J293),Lists!$T$2:$T$21,0)),IFERROR(INDEX(Lists!$R$2:$R$9,MATCH(TRIM($G293),Lists!$Q$2:$Q$9,0)),"UNMAPPED"))))))))</f>
        <v>Enterprise Data</v>
      </c>
      <c r="AI293" s="534" t="b">
        <f>IF(TRIM($B293)="","",--OR(TRIM($L293)="Leadership",TRIM($K293)="Leadership"))</f>
        <v>1</v>
      </c>
      <c r="AJ293" s="534" t="str">
        <f>IF(TRIM($B293)="","",IF(COUNTIFS(Lists!$AN$2:$AN$22,TRIM($B293)&amp;" | "&amp;TRIM($D293),Lists!$AP$2:$AP$22,"&lt;&gt;"),INDEX(Lists!$AP$2:$AP$22,MATCH(TRIM($B293)&amp;" | "&amp;TRIM($D293),Lists!$AN$2:$AN$22,0)),IF($AI293=1,"Leadership",IFERROR(INDEX(Lists!$X$2:$X$21,MATCH(TRIM($L293),Lists!$W$2:$W$21,0)),IF(OR(TRIM($L293)="",LOWER(TRIM($L293))="na"),IF(TRIM($H293)="","Unassigned",TRIM($H293)),TRIM($L293))))))</f>
        <v>Leadership</v>
      </c>
      <c r="AK293" s="534" t="str">
        <f>IF(TRIM($B293)="","",IF(COUNTIFS(Lists!$AN$2:$AN$22,TRIM($B293)&amp;" | "&amp;TRIM($D293),Lists!$AQ$2:$AQ$22,"&lt;&gt;"),INDEX(Lists!$AQ$2:$AQ$22,MATCH(TRIM($B293)&amp;" | "&amp;TRIM($D293),Lists!$AN$2:$AN$22,0)),IF(COUNTIF(Lists!$AF$2:$AF$8,$AJ293),$AJ293,IF(ISNUMBER(SEARCH("head of ",$D293)),"Head of Technology",IF(ISNUMBER(SEARCH("TDD BP",$D293)),"Business Partner",IF(OR(ISNUMBER(SEARCH("domain architect",$D293)),ISNUMBER(SEARCH("enterprise architect",$D293))),"Domain Architect",IF(ISNUMBER(SEARCH("delivery man",$D293)),"Delivery Manager",IF(OR(ISNUMBER(SEARCH("technology manager",$D293)),ISNUMBER(SEARCH("technology manger",$D293)),ISNUMBER(SEARCH("tech manager",$D293))),"Technology Manager","Squad"))))))))</f>
        <v>Squad</v>
      </c>
      <c r="AL293" s="534" t="str">
        <f>IF(TRIM($B293)="","",IF(AND($AM293=1,LEFT($AJ293,4)&lt;&gt;"EGI ",$AJ293&lt;&gt;"EGI"),IFERROR(INDEX(Lists!$Z$2:$Z$20,MATCH($AH293,Lists!$Y$2:$Y$20,0)),"EGI "&amp;$AH293),IF(COUNTIF(Lists!$AU$2:$AU$10,$AJ293),$AJ293,IF(OR(LEFT($AH293,3)="COE",$AH293="EGI"),$AJ293,IF($AK293&lt;&gt;"Squad",$AK293,$AJ293)))))</f>
        <v>Leadership</v>
      </c>
      <c r="AM293" s="534" t="b">
        <f>IF(TRIM($B293)="","",--(UPPER(TRIM($K293))="EGI"))</f>
        <v>0</v>
      </c>
      <c r="AQ293" s="841" t="inlineStr">
        <is>
          <t>R0292</t>
        </is>
      </c>
      <c r="AZ293" s="841" t="n"/>
    </row>
    <row r="294" ht="18" customHeight="1" s="535">
      <c r="A294" s="842" t="n">
        <v>106044</v>
      </c>
      <c r="B294" s="843" t="inlineStr">
        <is>
          <t>Ronak Patel</t>
        </is>
      </c>
      <c r="C294" s="842" t="n">
        <v>106044</v>
      </c>
      <c r="D294" s="843" t="inlineStr">
        <is>
          <t xml:space="preserve">Engineer Data  </t>
        </is>
      </c>
      <c r="E294" s="843" t="inlineStr">
        <is>
          <t>Dinesh Chandrasekaran</t>
        </is>
      </c>
      <c r="F294" s="843" t="inlineStr">
        <is>
          <t>Lead Engineer (Snowflake)</t>
        </is>
      </c>
      <c r="G294" s="844" t="inlineStr">
        <is>
          <t>Strategy, Architecture &amp; Data</t>
        </is>
      </c>
      <c r="H294" s="843" t="inlineStr">
        <is>
          <t>Group Data</t>
        </is>
      </c>
      <c r="I294" s="843" t="inlineStr">
        <is>
          <t>Data Engineering &amp; Platforms</t>
        </is>
      </c>
      <c r="J294" s="843" t="inlineStr">
        <is>
          <t>Enterprise Data</t>
        </is>
      </c>
      <c r="K294" s="843" t="inlineStr">
        <is>
          <t>Group Data</t>
        </is>
      </c>
      <c r="L294" s="843" t="inlineStr">
        <is>
          <t>Data Platform</t>
        </is>
      </c>
      <c r="M294" s="843" t="n"/>
      <c r="N294" s="845" t="inlineStr">
        <is>
          <t>Australia</t>
        </is>
      </c>
      <c r="O294" s="846" t="inlineStr">
        <is>
          <t>CIB</t>
        </is>
      </c>
      <c r="P294" s="847" t="n">
        <v>1</v>
      </c>
      <c r="Q294" s="846" t="n"/>
      <c r="R294" s="847" t="inlineStr">
        <is>
          <t>Permanent - Full Time</t>
        </is>
      </c>
      <c r="S294" s="847" t="n"/>
      <c r="T294" s="847" t="n"/>
      <c r="U294" s="848" t="n">
        <v>159820</v>
      </c>
      <c r="V294" s="849" t="n">
        <v>159820</v>
      </c>
      <c r="W294" s="850" t="n">
        <v>0.12</v>
      </c>
      <c r="X294" s="847" t="n">
        <v>0.055</v>
      </c>
      <c r="Y294" s="850" t="n">
        <v>0.12</v>
      </c>
      <c r="Z294" s="851" t="n"/>
      <c r="AA294" s="850" t="n">
        <v>0.04</v>
      </c>
      <c r="AB294" s="852" t="n">
        <v>213359.7</v>
      </c>
      <c r="AE294" s="534">
        <f>IF(TRIM($B294)="","",IF(AND(N($P294)&gt;0,N($P294)&lt;1),N($AB294)*N($P294),N($AB294)))</f>
        <v>213359.7</v>
      </c>
      <c r="AF294" s="534" t="str">
        <f>IF(TRIM($B294)="","",IF(OR(ISNUMBER(SEARCH("vacant",$B294)),ISNUMBER(SEARCH("ring fenced",$B294)),LOWER(TRIM($B294))="remove"),"Vacant","Filled"))</f>
        <v>Filled</v>
      </c>
      <c r="AG294" s="534" t="b">
        <f>IF(TRIM($B294)="","",--ISNUMBER(SEARCH("ring fenced",$B294)))</f>
        <v>0</v>
      </c>
      <c r="AH294" s="534" t="str">
        <f>IF(TRIM($B294)="","",IF(COUNTIFS(Lists!$AN$2:$AN$22,TRIM($B294)&amp;" | "&amp;TRIM($D294),Lists!$AO$2:$AO$22,"&lt;&gt;"),INDEX(Lists!$AO$2:$AO$22,MATCH(TRIM($B294)&amp;" | "&amp;TRIM($D294),Lists!$AN$2:$AN$22,0)),IF(COUNTIF(Lists!$AR$2:$AR$3,$AJ294),"TDD Cyber",IF(AND(LEFT($AJ294,4)="EGI ",ISNUMBER(MATCH(TRIM(MID($AJ294,5,99)),Lists!$AS$2:$AS$12,0))),TRIM(MID($AJ294,5,99)),IF(AND(LEFT($AJ294,4)="EGI ",ISNUMBER(MATCH(TRIM(MID($AJ294,5,99)),Lists!$T$2:$T$21,0))),INDEX(Lists!$U$2:$U$21,MATCH(TRIM(MID($AJ294,5,99)),Lists!$T$2:$T$21,0)),IF(OR(TRIM($J294)="",UPPER(TRIM($J294))="NA"),IFERROR(INDEX(Lists!$R$2:$R$9,MATCH(TRIM($G294),Lists!$Q$2:$Q$9,0)),"UNMAPPED"),IFERROR(INDEX(Lists!$U$2:$U$21,MATCH(TRIM($J294),Lists!$T$2:$T$21,0)),IFERROR(INDEX(Lists!$R$2:$R$9,MATCH(TRIM($G294),Lists!$Q$2:$Q$9,0)),"UNMAPPED"))))))))</f>
        <v>Enterprise Data</v>
      </c>
      <c r="AI294" s="534" t="b">
        <f>IF(TRIM($B294)="","",--OR(TRIM($L294)="Leadership",TRIM($K294)="Leadership"))</f>
        <v>0</v>
      </c>
      <c r="AJ294" s="534" t="str">
        <f>IF(TRIM($B294)="","",IF(COUNTIFS(Lists!$AN$2:$AN$22,TRIM($B294)&amp;" | "&amp;TRIM($D294),Lists!$AP$2:$AP$22,"&lt;&gt;"),INDEX(Lists!$AP$2:$AP$22,MATCH(TRIM($B294)&amp;" | "&amp;TRIM($D294),Lists!$AN$2:$AN$22,0)),IF($AI294=1,"Leadership",IFERROR(INDEX(Lists!$X$2:$X$21,MATCH(TRIM($L294),Lists!$W$2:$W$21,0)),IF(OR(TRIM($L294)="",LOWER(TRIM($L294))="na"),IF(TRIM($H294)="","Unassigned",TRIM($H294)),TRIM($L294))))))</f>
        <v>Data Platforms</v>
      </c>
      <c r="AK294" s="534" t="str">
        <f>IF(TRIM($B294)="","",IF(COUNTIFS(Lists!$AN$2:$AN$22,TRIM($B294)&amp;" | "&amp;TRIM($D294),Lists!$AQ$2:$AQ$22,"&lt;&gt;"),INDEX(Lists!$AQ$2:$AQ$22,MATCH(TRIM($B294)&amp;" | "&amp;TRIM($D294),Lists!$AN$2:$AN$22,0)),IF(COUNTIF(Lists!$AF$2:$AF$8,$AJ294),$AJ294,IF(ISNUMBER(SEARCH("head of ",$D294)),"Head of Technology",IF(ISNUMBER(SEARCH("TDD BP",$D294)),"Business Partner",IF(OR(ISNUMBER(SEARCH("domain architect",$D294)),ISNUMBER(SEARCH("enterprise architect",$D294))),"Domain Architect",IF(ISNUMBER(SEARCH("delivery man",$D294)),"Delivery Manager",IF(OR(ISNUMBER(SEARCH("technology manager",$D294)),ISNUMBER(SEARCH("technology manger",$D294)),ISNUMBER(SEARCH("tech manager",$D294))),"Technology Manager","Squad"))))))))</f>
        <v>Squad</v>
      </c>
      <c r="AL294" s="534" t="str">
        <f>IF(TRIM($B294)="","",IF(AND($AM294=1,LEFT($AJ294,4)&lt;&gt;"EGI ",$AJ294&lt;&gt;"EGI"),IFERROR(INDEX(Lists!$Z$2:$Z$20,MATCH($AH294,Lists!$Y$2:$Y$20,0)),"EGI "&amp;$AH294),IF(COUNTIF(Lists!$AU$2:$AU$10,$AJ294),$AJ294,IF(OR(LEFT($AH294,3)="COE",$AH294="EGI"),$AJ294,IF($AK294&lt;&gt;"Squad",$AK294,$AJ294)))))</f>
        <v>Data Platforms</v>
      </c>
      <c r="AM294" s="534" t="b">
        <f>IF(TRIM($B294)="","",--(UPPER(TRIM($K294))="EGI"))</f>
        <v>0</v>
      </c>
      <c r="AQ294" s="841" t="inlineStr">
        <is>
          <t>R0293</t>
        </is>
      </c>
      <c r="AZ294" s="841" t="n"/>
    </row>
    <row r="295" ht="18" customHeight="1" s="535">
      <c r="A295" s="842" t="n">
        <v>109491</v>
      </c>
      <c r="B295" s="843" t="inlineStr">
        <is>
          <t>Pooja Kuperkar</t>
        </is>
      </c>
      <c r="C295" s="842" t="n">
        <v>109491</v>
      </c>
      <c r="D295" s="843" t="inlineStr">
        <is>
          <t>Cyber GRC Analyst</t>
        </is>
      </c>
      <c r="E295" s="843" t="inlineStr">
        <is>
          <t>Diya Thomas</t>
        </is>
      </c>
      <c r="F295" s="843" t="n"/>
      <c r="G295" s="844" t="inlineStr">
        <is>
          <t>Cyber, Risk &amp; Operations</t>
        </is>
      </c>
      <c r="H295" s="843" t="inlineStr">
        <is>
          <t>Cyber GRC</t>
        </is>
      </c>
      <c r="I295" s="843" t="inlineStr">
        <is>
          <t>NA</t>
        </is>
      </c>
      <c r="J295" s="843" t="inlineStr">
        <is>
          <t>NA</t>
        </is>
      </c>
      <c r="K295" s="843" t="inlineStr">
        <is>
          <t>NA</t>
        </is>
      </c>
      <c r="L295" s="843" t="inlineStr">
        <is>
          <t>NA</t>
        </is>
      </c>
      <c r="M295" s="843" t="n"/>
      <c r="N295" s="845" t="inlineStr">
        <is>
          <t>Australia</t>
        </is>
      </c>
      <c r="O295" s="846" t="inlineStr">
        <is>
          <t>CIB</t>
        </is>
      </c>
      <c r="P295" s="847" t="n">
        <v>1</v>
      </c>
      <c r="Q295" s="846" t="n"/>
      <c r="R295" s="847" t="inlineStr">
        <is>
          <t>Permanent - Full Time</t>
        </is>
      </c>
      <c r="S295" s="847" t="n"/>
      <c r="T295" s="847" t="n"/>
      <c r="U295" s="848" t="n">
        <v>152390</v>
      </c>
      <c r="V295" s="849" t="n">
        <v>152390</v>
      </c>
      <c r="W295" s="850" t="n">
        <v>0.12</v>
      </c>
      <c r="X295" s="847" t="n">
        <v>0.055</v>
      </c>
      <c r="Y295" s="850" t="n">
        <v>0.12</v>
      </c>
      <c r="Z295" s="851" t="n"/>
      <c r="AA295" s="850" t="n">
        <v>0.04</v>
      </c>
      <c r="AB295" s="852" t="n">
        <v>203440.65</v>
      </c>
      <c r="AE295" s="534">
        <f>IF(TRIM($B295)="","",IF(AND(N($P295)&gt;0,N($P295)&lt;1),N($AB295)*N($P295),N($AB295)))</f>
        <v>203440.65</v>
      </c>
      <c r="AF295" s="534" t="str">
        <f>IF(TRIM($B295)="","",IF(OR(ISNUMBER(SEARCH("vacant",$B295)),ISNUMBER(SEARCH("ring fenced",$B295)),LOWER(TRIM($B295))="remove"),"Vacant","Filled"))</f>
        <v>Filled</v>
      </c>
      <c r="AG295" s="534" t="b">
        <f>IF(TRIM($B295)="","",--ISNUMBER(SEARCH("ring fenced",$B295)))</f>
        <v>0</v>
      </c>
      <c r="AH295" s="534" t="str">
        <f>IF(TRIM($B295)="","",IF(COUNTIFS(Lists!$AN$2:$AN$22,TRIM($B295)&amp;" | "&amp;TRIM($D295),Lists!$AO$2:$AO$22,"&lt;&gt;"),INDEX(Lists!$AO$2:$AO$22,MATCH(TRIM($B295)&amp;" | "&amp;TRIM($D295),Lists!$AN$2:$AN$22,0)),IF(COUNTIF(Lists!$AR$2:$AR$3,$AJ295),"TDD Cyber",IF(AND(LEFT($AJ295,4)="EGI ",ISNUMBER(MATCH(TRIM(MID($AJ295,5,99)),Lists!$AS$2:$AS$12,0))),TRIM(MID($AJ295,5,99)),IF(AND(LEFT($AJ295,4)="EGI ",ISNUMBER(MATCH(TRIM(MID($AJ295,5,99)),Lists!$T$2:$T$21,0))),INDEX(Lists!$U$2:$U$21,MATCH(TRIM(MID($AJ295,5,99)),Lists!$T$2:$T$21,0)),IF(OR(TRIM($J295)="",UPPER(TRIM($J295))="NA"),IFERROR(INDEX(Lists!$R$2:$R$9,MATCH(TRIM($G295),Lists!$Q$2:$Q$9,0)),"UNMAPPED"),IFERROR(INDEX(Lists!$U$2:$U$21,MATCH(TRIM($J295),Lists!$T$2:$T$21,0)),IFERROR(INDEX(Lists!$R$2:$R$9,MATCH(TRIM($G295),Lists!$Q$2:$Q$9,0)),"UNMAPPED"))))))))</f>
        <v>COE Cyber</v>
      </c>
      <c r="AI295" s="534" t="b">
        <f>IF(TRIM($B295)="","",--OR(TRIM($L295)="Leadership",TRIM($K295)="Leadership"))</f>
        <v>0</v>
      </c>
      <c r="AJ295" s="534" t="str">
        <f>IF(TRIM($B295)="","",IF(COUNTIFS(Lists!$AN$2:$AN$22,TRIM($B295)&amp;" | "&amp;TRIM($D295),Lists!$AP$2:$AP$22,"&lt;&gt;"),INDEX(Lists!$AP$2:$AP$22,MATCH(TRIM($B295)&amp;" | "&amp;TRIM($D295),Lists!$AN$2:$AN$22,0)),IF($AI295=1,"Leadership",IFERROR(INDEX(Lists!$X$2:$X$21,MATCH(TRIM($L295),Lists!$W$2:$W$21,0)),IF(OR(TRIM($L295)="",LOWER(TRIM($L295))="na"),IF(TRIM($H295)="","Unassigned",TRIM($H295)),TRIM($L295))))))</f>
        <v>Cyber GRC</v>
      </c>
      <c r="AK295" s="534" t="str">
        <f>IF(TRIM($B295)="","",IF(COUNTIFS(Lists!$AN$2:$AN$22,TRIM($B295)&amp;" | "&amp;TRIM($D295),Lists!$AQ$2:$AQ$22,"&lt;&gt;"),INDEX(Lists!$AQ$2:$AQ$22,MATCH(TRIM($B295)&amp;" | "&amp;TRIM($D295),Lists!$AN$2:$AN$22,0)),IF(COUNTIF(Lists!$AF$2:$AF$8,$AJ295),$AJ295,IF(ISNUMBER(SEARCH("head of ",$D295)),"Head of Technology",IF(ISNUMBER(SEARCH("TDD BP",$D295)),"Business Partner",IF(OR(ISNUMBER(SEARCH("domain architect",$D295)),ISNUMBER(SEARCH("enterprise architect",$D295))),"Domain Architect",IF(ISNUMBER(SEARCH("delivery man",$D295)),"Delivery Manager",IF(OR(ISNUMBER(SEARCH("technology manager",$D295)),ISNUMBER(SEARCH("technology manger",$D295)),ISNUMBER(SEARCH("tech manager",$D295))),"Technology Manager","Squad"))))))))</f>
        <v>Squad</v>
      </c>
      <c r="AL295" s="534" t="str">
        <f>IF(TRIM($B295)="","",IF(AND($AM295=1,LEFT($AJ295,4)&lt;&gt;"EGI ",$AJ295&lt;&gt;"EGI"),IFERROR(INDEX(Lists!$Z$2:$Z$20,MATCH($AH295,Lists!$Y$2:$Y$20,0)),"EGI "&amp;$AH295),IF(COUNTIF(Lists!$AU$2:$AU$10,$AJ295),$AJ295,IF(OR(LEFT($AH295,3)="COE",$AH295="EGI"),$AJ295,IF($AK295&lt;&gt;"Squad",$AK295,$AJ295)))))</f>
        <v>Cyber GRC</v>
      </c>
      <c r="AM295" s="534" t="b">
        <f>IF(TRIM($B295)="","",--(UPPER(TRIM($K295))="EGI"))</f>
        <v>0</v>
      </c>
      <c r="AQ295" s="841" t="inlineStr">
        <is>
          <t>R0294</t>
        </is>
      </c>
      <c r="AZ295" s="841" t="n"/>
    </row>
    <row r="296" ht="18" customHeight="1" s="535">
      <c r="A296" s="842" t="n">
        <v>104805</v>
      </c>
      <c r="B296" s="843" t="inlineStr">
        <is>
          <t>Shruti Manchanda</t>
        </is>
      </c>
      <c r="C296" s="842" t="n">
        <v>104805</v>
      </c>
      <c r="D296" s="843" t="inlineStr">
        <is>
          <t>Cyber GRC Analyst</t>
        </is>
      </c>
      <c r="E296" s="843" t="inlineStr">
        <is>
          <t>Diya Thomas</t>
        </is>
      </c>
      <c r="F296" s="843" t="n"/>
      <c r="G296" s="844" t="inlineStr">
        <is>
          <t>Cyber, Risk &amp; Operations</t>
        </is>
      </c>
      <c r="H296" s="843" t="inlineStr">
        <is>
          <t>Cyber GRC</t>
        </is>
      </c>
      <c r="I296" s="843" t="inlineStr">
        <is>
          <t>NA</t>
        </is>
      </c>
      <c r="J296" s="843" t="inlineStr">
        <is>
          <t>NA</t>
        </is>
      </c>
      <c r="K296" s="843" t="inlineStr">
        <is>
          <t>NA</t>
        </is>
      </c>
      <c r="L296" s="843" t="inlineStr">
        <is>
          <t>NA</t>
        </is>
      </c>
      <c r="M296" s="843" t="n"/>
      <c r="N296" s="845" t="inlineStr">
        <is>
          <t>Australia</t>
        </is>
      </c>
      <c r="O296" s="846" t="inlineStr">
        <is>
          <t>CIB</t>
        </is>
      </c>
      <c r="P296" s="847" t="n">
        <v>1</v>
      </c>
      <c r="Q296" s="846" t="n"/>
      <c r="R296" s="847" t="inlineStr">
        <is>
          <t>Permanent - Full Time</t>
        </is>
      </c>
      <c r="S296" s="847" t="n"/>
      <c r="T296" s="847" t="n"/>
      <c r="U296" s="848" t="n">
        <v>171450</v>
      </c>
      <c r="V296" s="849" t="n">
        <v>171450</v>
      </c>
      <c r="W296" s="850" t="n">
        <v>0.12</v>
      </c>
      <c r="X296" s="847" t="n">
        <v>0.055</v>
      </c>
      <c r="Y296" s="850" t="n">
        <v>0.12</v>
      </c>
      <c r="Z296" s="851" t="n"/>
      <c r="AA296" s="850" t="n">
        <v>0.04</v>
      </c>
      <c r="AB296" s="852" t="n">
        <v>228885.75</v>
      </c>
      <c r="AE296" s="534">
        <f>IF(TRIM($B296)="","",IF(AND(N($P296)&gt;0,N($P296)&lt;1),N($AB296)*N($P296),N($AB296)))</f>
        <v>228885.75</v>
      </c>
      <c r="AF296" s="534" t="str">
        <f>IF(TRIM($B296)="","",IF(OR(ISNUMBER(SEARCH("vacant",$B296)),ISNUMBER(SEARCH("ring fenced",$B296)),LOWER(TRIM($B296))="remove"),"Vacant","Filled"))</f>
        <v>Filled</v>
      </c>
      <c r="AG296" s="534" t="b">
        <f>IF(TRIM($B296)="","",--ISNUMBER(SEARCH("ring fenced",$B296)))</f>
        <v>0</v>
      </c>
      <c r="AH296" s="534" t="str">
        <f>IF(TRIM($B296)="","",IF(COUNTIFS(Lists!$AN$2:$AN$22,TRIM($B296)&amp;" | "&amp;TRIM($D296),Lists!$AO$2:$AO$22,"&lt;&gt;"),INDEX(Lists!$AO$2:$AO$22,MATCH(TRIM($B296)&amp;" | "&amp;TRIM($D296),Lists!$AN$2:$AN$22,0)),IF(COUNTIF(Lists!$AR$2:$AR$3,$AJ296),"TDD Cyber",IF(AND(LEFT($AJ296,4)="EGI ",ISNUMBER(MATCH(TRIM(MID($AJ296,5,99)),Lists!$AS$2:$AS$12,0))),TRIM(MID($AJ296,5,99)),IF(AND(LEFT($AJ296,4)="EGI ",ISNUMBER(MATCH(TRIM(MID($AJ296,5,99)),Lists!$T$2:$T$21,0))),INDEX(Lists!$U$2:$U$21,MATCH(TRIM(MID($AJ296,5,99)),Lists!$T$2:$T$21,0)),IF(OR(TRIM($J296)="",UPPER(TRIM($J296))="NA"),IFERROR(INDEX(Lists!$R$2:$R$9,MATCH(TRIM($G296),Lists!$Q$2:$Q$9,0)),"UNMAPPED"),IFERROR(INDEX(Lists!$U$2:$U$21,MATCH(TRIM($J296),Lists!$T$2:$T$21,0)),IFERROR(INDEX(Lists!$R$2:$R$9,MATCH(TRIM($G296),Lists!$Q$2:$Q$9,0)),"UNMAPPED"))))))))</f>
        <v>COE Cyber</v>
      </c>
      <c r="AI296" s="534" t="b">
        <f>IF(TRIM($B296)="","",--OR(TRIM($L296)="Leadership",TRIM($K296)="Leadership"))</f>
        <v>0</v>
      </c>
      <c r="AJ296" s="534" t="str">
        <f>IF(TRIM($B296)="","",IF(COUNTIFS(Lists!$AN$2:$AN$22,TRIM($B296)&amp;" | "&amp;TRIM($D296),Lists!$AP$2:$AP$22,"&lt;&gt;"),INDEX(Lists!$AP$2:$AP$22,MATCH(TRIM($B296)&amp;" | "&amp;TRIM($D296),Lists!$AN$2:$AN$22,0)),IF($AI296=1,"Leadership",IFERROR(INDEX(Lists!$X$2:$X$21,MATCH(TRIM($L296),Lists!$W$2:$W$21,0)),IF(OR(TRIM($L296)="",LOWER(TRIM($L296))="na"),IF(TRIM($H296)="","Unassigned",TRIM($H296)),TRIM($L296))))))</f>
        <v>Cyber GRC</v>
      </c>
      <c r="AK296" s="534" t="str">
        <f>IF(TRIM($B296)="","",IF(COUNTIFS(Lists!$AN$2:$AN$22,TRIM($B296)&amp;" | "&amp;TRIM($D296),Lists!$AQ$2:$AQ$22,"&lt;&gt;"),INDEX(Lists!$AQ$2:$AQ$22,MATCH(TRIM($B296)&amp;" | "&amp;TRIM($D296),Lists!$AN$2:$AN$22,0)),IF(COUNTIF(Lists!$AF$2:$AF$8,$AJ296),$AJ296,IF(ISNUMBER(SEARCH("head of ",$D296)),"Head of Technology",IF(ISNUMBER(SEARCH("TDD BP",$D296)),"Business Partner",IF(OR(ISNUMBER(SEARCH("domain architect",$D296)),ISNUMBER(SEARCH("enterprise architect",$D296))),"Domain Architect",IF(ISNUMBER(SEARCH("delivery man",$D296)),"Delivery Manager",IF(OR(ISNUMBER(SEARCH("technology manager",$D296)),ISNUMBER(SEARCH("technology manger",$D296)),ISNUMBER(SEARCH("tech manager",$D296))),"Technology Manager","Squad"))))))))</f>
        <v>Squad</v>
      </c>
      <c r="AL296" s="534" t="str">
        <f>IF(TRIM($B296)="","",IF(AND($AM296=1,LEFT($AJ296,4)&lt;&gt;"EGI ",$AJ296&lt;&gt;"EGI"),IFERROR(INDEX(Lists!$Z$2:$Z$20,MATCH($AH296,Lists!$Y$2:$Y$20,0)),"EGI "&amp;$AH296),IF(COUNTIF(Lists!$AU$2:$AU$10,$AJ296),$AJ296,IF(OR(LEFT($AH296,3)="COE",$AH296="EGI"),$AJ296,IF($AK296&lt;&gt;"Squad",$AK296,$AJ296)))))</f>
        <v>Cyber GRC</v>
      </c>
      <c r="AM296" s="534" t="b">
        <f>IF(TRIM($B296)="","",--(UPPER(TRIM($K296))="EGI"))</f>
        <v>0</v>
      </c>
      <c r="AQ296" s="841" t="inlineStr">
        <is>
          <t>R0295</t>
        </is>
      </c>
      <c r="AZ296" s="841" t="n"/>
    </row>
    <row r="297" ht="18" customHeight="1" s="535">
      <c r="A297" s="842" t="n">
        <v>90813</v>
      </c>
      <c r="B297" s="843" t="inlineStr">
        <is>
          <t>Mikey Tran</t>
        </is>
      </c>
      <c r="C297" s="842" t="n">
        <v>90813</v>
      </c>
      <c r="D297" s="843" t="inlineStr">
        <is>
          <t>Senior Systems Analyst - Card</t>
        </is>
      </c>
      <c r="E297" s="843" t="inlineStr">
        <is>
          <t>Elle Spencer</t>
        </is>
      </c>
      <c r="F297" s="843" t="inlineStr">
        <is>
          <t>Technology Manager, Energy Solutions</t>
        </is>
      </c>
      <c r="G297" s="844" t="inlineStr">
        <is>
          <t>TDD CFE&amp;I</t>
        </is>
      </c>
      <c r="H297" s="843" t="inlineStr">
        <is>
          <t>B2B &amp; Energy Solutions</t>
        </is>
      </c>
      <c r="I297" s="843" t="inlineStr">
        <is>
          <t>Technology B2B</t>
        </is>
      </c>
      <c r="J297" s="843" t="inlineStr">
        <is>
          <t>B2B &amp; Energy Solutions</t>
        </is>
      </c>
      <c r="K297" s="843" t="inlineStr">
        <is>
          <t>B2B</t>
        </is>
      </c>
      <c r="L297" s="843" t="inlineStr">
        <is>
          <t>B2B</t>
        </is>
      </c>
      <c r="M297" s="843" t="n"/>
      <c r="N297" s="845" t="inlineStr">
        <is>
          <t>Australia</t>
        </is>
      </c>
      <c r="O297" s="846" t="inlineStr">
        <is>
          <t>CIB</t>
        </is>
      </c>
      <c r="P297" s="847" t="n">
        <v>1</v>
      </c>
      <c r="Q297" s="846" t="n"/>
      <c r="R297" s="847" t="inlineStr">
        <is>
          <t>Permanent - Full Time</t>
        </is>
      </c>
      <c r="S297" s="847" t="n"/>
      <c r="T297" s="847" t="n"/>
      <c r="U297" s="848" t="n">
        <v>140000</v>
      </c>
      <c r="V297" s="849" t="n">
        <v>140000</v>
      </c>
      <c r="W297" s="850" t="n">
        <v>0.12</v>
      </c>
      <c r="X297" s="847" t="n">
        <v>0.055</v>
      </c>
      <c r="Y297" s="850" t="n">
        <v>0.12</v>
      </c>
      <c r="Z297" s="851" t="n"/>
      <c r="AA297" s="850" t="n">
        <v>0.04</v>
      </c>
      <c r="AB297" s="852" t="n">
        <v>186900</v>
      </c>
      <c r="AE297" s="534">
        <f>IF(TRIM($B297)="","",IF(AND(N($P297)&gt;0,N($P297)&lt;1),N($AB297)*N($P297),N($AB297)))</f>
        <v>186900</v>
      </c>
      <c r="AF297" s="534" t="str">
        <f>IF(TRIM($B297)="","",IF(OR(ISNUMBER(SEARCH("vacant",$B297)),ISNUMBER(SEARCH("ring fenced",$B297)),LOWER(TRIM($B297))="remove"),"Vacant","Filled"))</f>
        <v>Filled</v>
      </c>
      <c r="AG297" s="534" t="b">
        <f>IF(TRIM($B297)="","",--ISNUMBER(SEARCH("ring fenced",$B297)))</f>
        <v>0</v>
      </c>
      <c r="AH297" s="534" t="str">
        <f>IF(TRIM($B297)="","",IF(COUNTIFS(Lists!$AN$2:$AN$22,TRIM($B297)&amp;" | "&amp;TRIM($D297),Lists!$AO$2:$AO$22,"&lt;&gt;"),INDEX(Lists!$AO$2:$AO$22,MATCH(TRIM($B297)&amp;" | "&amp;TRIM($D297),Lists!$AN$2:$AN$22,0)),IF(COUNTIF(Lists!$AR$2:$AR$3,$AJ297),"TDD Cyber",IF(AND(LEFT($AJ297,4)="EGI ",ISNUMBER(MATCH(TRIM(MID($AJ297,5,99)),Lists!$AS$2:$AS$12,0))),TRIM(MID($AJ297,5,99)),IF(AND(LEFT($AJ297,4)="EGI ",ISNUMBER(MATCH(TRIM(MID($AJ297,5,99)),Lists!$T$2:$T$21,0))),INDEX(Lists!$U$2:$U$21,MATCH(TRIM(MID($AJ297,5,99)),Lists!$T$2:$T$21,0)),IF(OR(TRIM($J297)="",UPPER(TRIM($J297))="NA"),IFERROR(INDEX(Lists!$R$2:$R$9,MATCH(TRIM($G297),Lists!$Q$2:$Q$9,0)),"UNMAPPED"),IFERROR(INDEX(Lists!$U$2:$U$21,MATCH(TRIM($J297),Lists!$T$2:$T$21,0)),IFERROR(INDEX(Lists!$R$2:$R$9,MATCH(TRIM($G297),Lists!$Q$2:$Q$9,0)),"UNMAPPED"))))))))</f>
        <v>Energy Solutions &amp; B2B</v>
      </c>
      <c r="AI297" s="534" t="b">
        <f>IF(TRIM($B297)="","",--OR(TRIM($L297)="Leadership",TRIM($K297)="Leadership"))</f>
        <v>0</v>
      </c>
      <c r="AJ297" s="534" t="str">
        <f>IF(TRIM($B297)="","",IF(COUNTIFS(Lists!$AN$2:$AN$22,TRIM($B297)&amp;" | "&amp;TRIM($D297),Lists!$AP$2:$AP$22,"&lt;&gt;"),INDEX(Lists!$AP$2:$AP$22,MATCH(TRIM($B297)&amp;" | "&amp;TRIM($D297),Lists!$AN$2:$AN$22,0)),IF($AI297=1,"Leadership",IFERROR(INDEX(Lists!$X$2:$X$21,MATCH(TRIM($L297),Lists!$W$2:$W$21,0)),IF(OR(TRIM($L297)="",LOWER(TRIM($L297))="na"),IF(TRIM($H297)="","Unassigned",TRIM($H297)),TRIM($L297))))))</f>
        <v>B2B</v>
      </c>
      <c r="AK297" s="534" t="str">
        <f>IF(TRIM($B297)="","",IF(COUNTIFS(Lists!$AN$2:$AN$22,TRIM($B297)&amp;" | "&amp;TRIM($D297),Lists!$AQ$2:$AQ$22,"&lt;&gt;"),INDEX(Lists!$AQ$2:$AQ$22,MATCH(TRIM($B297)&amp;" | "&amp;TRIM($D297),Lists!$AN$2:$AN$22,0)),IF(COUNTIF(Lists!$AF$2:$AF$8,$AJ297),$AJ297,IF(ISNUMBER(SEARCH("head of ",$D297)),"Head of Technology",IF(ISNUMBER(SEARCH("TDD BP",$D297)),"Business Partner",IF(OR(ISNUMBER(SEARCH("domain architect",$D297)),ISNUMBER(SEARCH("enterprise architect",$D297))),"Domain Architect",IF(ISNUMBER(SEARCH("delivery man",$D297)),"Delivery Manager",IF(OR(ISNUMBER(SEARCH("technology manager",$D297)),ISNUMBER(SEARCH("technology manger",$D297)),ISNUMBER(SEARCH("tech manager",$D297))),"Technology Manager","Squad"))))))))</f>
        <v>Squad</v>
      </c>
      <c r="AL297" s="534" t="str">
        <f>IF(TRIM($B297)="","",IF(AND($AM297=1,LEFT($AJ297,4)&lt;&gt;"EGI ",$AJ297&lt;&gt;"EGI"),IFERROR(INDEX(Lists!$Z$2:$Z$20,MATCH($AH297,Lists!$Y$2:$Y$20,0)),"EGI "&amp;$AH297),IF(COUNTIF(Lists!$AU$2:$AU$10,$AJ297),$AJ297,IF(OR(LEFT($AH297,3)="COE",$AH297="EGI"),$AJ297,IF($AK297&lt;&gt;"Squad",$AK297,$AJ297)))))</f>
        <v>B2B</v>
      </c>
      <c r="AM297" s="534" t="b">
        <f>IF(TRIM($B297)="","",--(UPPER(TRIM($K297))="EGI"))</f>
        <v>0</v>
      </c>
      <c r="AQ297" s="841" t="inlineStr">
        <is>
          <t>R0296</t>
        </is>
      </c>
      <c r="AZ297" s="841" t="n"/>
    </row>
    <row r="298" ht="18" customHeight="1" s="535">
      <c r="A298" s="842" t="inlineStr">
        <is>
          <t>V</t>
        </is>
      </c>
      <c r="B298" s="843" t="inlineStr">
        <is>
          <t>Vacant</t>
        </is>
      </c>
      <c r="C298" s="842" t="inlineStr">
        <is>
          <t>V</t>
        </is>
      </c>
      <c r="D298" s="843" t="inlineStr">
        <is>
          <t>Engineer Software</t>
        </is>
      </c>
      <c r="E298" s="843" t="inlineStr">
        <is>
          <t>Elle Spencer</t>
        </is>
      </c>
      <c r="F298" s="843" t="inlineStr">
        <is>
          <t>Technology Manager, Energy Solutions</t>
        </is>
      </c>
      <c r="G298" s="844" t="inlineStr">
        <is>
          <t>TDD CFE&amp;I</t>
        </is>
      </c>
      <c r="H298" s="843" t="inlineStr">
        <is>
          <t>B2B &amp; Energy Solutions</t>
        </is>
      </c>
      <c r="I298" s="843" t="inlineStr">
        <is>
          <t>Technology B2B</t>
        </is>
      </c>
      <c r="J298" s="843" t="inlineStr">
        <is>
          <t>B2B &amp; Energy Solutions</t>
        </is>
      </c>
      <c r="K298" s="843" t="inlineStr">
        <is>
          <t>B2B</t>
        </is>
      </c>
      <c r="L298" s="843" t="inlineStr">
        <is>
          <t>B2B</t>
        </is>
      </c>
      <c r="M298" s="843" t="n"/>
      <c r="N298" s="845" t="inlineStr">
        <is>
          <t>Australia</t>
        </is>
      </c>
      <c r="O298" s="846" t="inlineStr">
        <is>
          <t>CIB</t>
        </is>
      </c>
      <c r="P298" s="847" t="n">
        <v>1</v>
      </c>
      <c r="Q298" s="847" t="n"/>
      <c r="R298" s="847" t="inlineStr">
        <is>
          <t>V</t>
        </is>
      </c>
      <c r="S298" s="847" t="n"/>
      <c r="T298" s="847" t="n"/>
      <c r="U298" s="848" t="n">
        <v>151950</v>
      </c>
      <c r="V298" s="849" t="n">
        <v>151950</v>
      </c>
      <c r="W298" s="850" t="n">
        <v>0.12</v>
      </c>
      <c r="X298" s="847" t="n">
        <v>0.055</v>
      </c>
      <c r="Y298" s="850" t="n">
        <v>0.12</v>
      </c>
      <c r="Z298" s="851" t="n"/>
      <c r="AA298" s="850" t="n">
        <v>0.04</v>
      </c>
      <c r="AB298" s="852" t="n">
        <v>202853.25</v>
      </c>
      <c r="AE298" s="534">
        <f>IF(TRIM($B298)="","",IF(AND(N($P298)&gt;0,N($P298)&lt;1),N($AB298)*N($P298),N($AB298)))</f>
        <v>202853.25</v>
      </c>
      <c r="AF298" s="534" t="str">
        <f>IF(TRIM($B298)="","",IF(OR(ISNUMBER(SEARCH("vacant",$B298)),ISNUMBER(SEARCH("ring fenced",$B298)),LOWER(TRIM($B298))="remove"),"Vacant","Filled"))</f>
        <v>Vacant</v>
      </c>
      <c r="AG298" s="534" t="b">
        <f>IF(TRIM($B298)="","",--ISNUMBER(SEARCH("ring fenced",$B298)))</f>
        <v>0</v>
      </c>
      <c r="AH298" s="534" t="str">
        <f>IF(TRIM($B298)="","",IF(COUNTIFS(Lists!$AN$2:$AN$22,TRIM($B298)&amp;" | "&amp;TRIM($D298),Lists!$AO$2:$AO$22,"&lt;&gt;"),INDEX(Lists!$AO$2:$AO$22,MATCH(TRIM($B298)&amp;" | "&amp;TRIM($D298),Lists!$AN$2:$AN$22,0)),IF(COUNTIF(Lists!$AR$2:$AR$3,$AJ298),"TDD Cyber",IF(AND(LEFT($AJ298,4)="EGI ",ISNUMBER(MATCH(TRIM(MID($AJ298,5,99)),Lists!$AS$2:$AS$12,0))),TRIM(MID($AJ298,5,99)),IF(AND(LEFT($AJ298,4)="EGI ",ISNUMBER(MATCH(TRIM(MID($AJ298,5,99)),Lists!$T$2:$T$21,0))),INDEX(Lists!$U$2:$U$21,MATCH(TRIM(MID($AJ298,5,99)),Lists!$T$2:$T$21,0)),IF(OR(TRIM($J298)="",UPPER(TRIM($J298))="NA"),IFERROR(INDEX(Lists!$R$2:$R$9,MATCH(TRIM($G298),Lists!$Q$2:$Q$9,0)),"UNMAPPED"),IFERROR(INDEX(Lists!$U$2:$U$21,MATCH(TRIM($J298),Lists!$T$2:$T$21,0)),IFERROR(INDEX(Lists!$R$2:$R$9,MATCH(TRIM($G298),Lists!$Q$2:$Q$9,0)),"UNMAPPED"))))))))</f>
        <v>Energy Solutions &amp; B2B</v>
      </c>
      <c r="AI298" s="534" t="b">
        <f>IF(TRIM($B298)="","",--OR(TRIM($L298)="Leadership",TRIM($K298)="Leadership"))</f>
        <v>0</v>
      </c>
      <c r="AJ298" s="534" t="str">
        <f>IF(TRIM($B298)="","",IF(COUNTIFS(Lists!$AN$2:$AN$22,TRIM($B298)&amp;" | "&amp;TRIM($D298),Lists!$AP$2:$AP$22,"&lt;&gt;"),INDEX(Lists!$AP$2:$AP$22,MATCH(TRIM($B298)&amp;" | "&amp;TRIM($D298),Lists!$AN$2:$AN$22,0)),IF($AI298=1,"Leadership",IFERROR(INDEX(Lists!$X$2:$X$21,MATCH(TRIM($L298),Lists!$W$2:$W$21,0)),IF(OR(TRIM($L298)="",LOWER(TRIM($L298))="na"),IF(TRIM($H298)="","Unassigned",TRIM($H298)),TRIM($L298))))))</f>
        <v>B2B</v>
      </c>
      <c r="AK298" s="534" t="str">
        <f>IF(TRIM($B298)="","",IF(COUNTIFS(Lists!$AN$2:$AN$22,TRIM($B298)&amp;" | "&amp;TRIM($D298),Lists!$AQ$2:$AQ$22,"&lt;&gt;"),INDEX(Lists!$AQ$2:$AQ$22,MATCH(TRIM($B298)&amp;" | "&amp;TRIM($D298),Lists!$AN$2:$AN$22,0)),IF(COUNTIF(Lists!$AF$2:$AF$8,$AJ298),$AJ298,IF(ISNUMBER(SEARCH("head of ",$D298)),"Head of Technology",IF(ISNUMBER(SEARCH("TDD BP",$D298)),"Business Partner",IF(OR(ISNUMBER(SEARCH("domain architect",$D298)),ISNUMBER(SEARCH("enterprise architect",$D298))),"Domain Architect",IF(ISNUMBER(SEARCH("delivery man",$D298)),"Delivery Manager",IF(OR(ISNUMBER(SEARCH("technology manager",$D298)),ISNUMBER(SEARCH("technology manger",$D298)),ISNUMBER(SEARCH("tech manager",$D298))),"Technology Manager","Squad"))))))))</f>
        <v>Squad</v>
      </c>
      <c r="AL298" s="534" t="str">
        <f>IF(TRIM($B298)="","",IF(AND($AM298=1,LEFT($AJ298,4)&lt;&gt;"EGI ",$AJ298&lt;&gt;"EGI"),IFERROR(INDEX(Lists!$Z$2:$Z$20,MATCH($AH298,Lists!$Y$2:$Y$20,0)),"EGI "&amp;$AH298),IF(COUNTIF(Lists!$AU$2:$AU$10,$AJ298),$AJ298,IF(OR(LEFT($AH298,3)="COE",$AH298="EGI"),$AJ298,IF($AK298&lt;&gt;"Squad",$AK298,$AJ298)))))</f>
        <v>B2B</v>
      </c>
      <c r="AM298" s="534" t="b">
        <f>IF(TRIM($B298)="","",--(UPPER(TRIM($K298))="EGI"))</f>
        <v>0</v>
      </c>
      <c r="AN298" s="534" t="inlineStr">
        <is>
          <t>Vacant</t>
        </is>
      </c>
      <c r="AQ298" s="841" t="inlineStr">
        <is>
          <t>R0297</t>
        </is>
      </c>
      <c r="AZ298" s="841" t="n"/>
    </row>
    <row r="299" ht="18" customHeight="1" s="535">
      <c r="A299" s="842" t="n">
        <v>115813</v>
      </c>
      <c r="B299" s="843" t="inlineStr">
        <is>
          <t>Isuru Herath</t>
        </is>
      </c>
      <c r="C299" s="842" t="n">
        <v>115813</v>
      </c>
      <c r="D299" s="843" t="inlineStr">
        <is>
          <t>Senior Engineer - Software</t>
        </is>
      </c>
      <c r="E299" s="843" t="inlineStr">
        <is>
          <t>Emma Natoli</t>
        </is>
      </c>
      <c r="F299" s="843" t="inlineStr">
        <is>
          <t>Technology Manager, Engineering</t>
        </is>
      </c>
      <c r="G299" s="844" t="inlineStr">
        <is>
          <t>Ampol Retail &amp; Z</t>
        </is>
      </c>
      <c r="H299" s="843" t="inlineStr">
        <is>
          <t>Z &amp; Group Retail</t>
        </is>
      </c>
      <c r="I299" s="843" t="inlineStr">
        <is>
          <t>Z &amp; Group Retail, Engineering</t>
        </is>
      </c>
      <c r="J299" s="843" t="inlineStr">
        <is>
          <t>Z</t>
        </is>
      </c>
      <c r="K299" s="843" t="inlineStr">
        <is>
          <t>Z Supply</t>
        </is>
      </c>
      <c r="L299" s="843" t="inlineStr">
        <is>
          <t>Z Supply</t>
        </is>
      </c>
      <c r="M299" s="843" t="n"/>
      <c r="N299" s="845" t="inlineStr">
        <is>
          <t>NZ</t>
        </is>
      </c>
      <c r="O299" s="846" t="inlineStr">
        <is>
          <t>CIB</t>
        </is>
      </c>
      <c r="P299" s="847" t="n">
        <v>1</v>
      </c>
      <c r="Q299" s="846" t="n"/>
      <c r="R299" s="847" t="inlineStr">
        <is>
          <t>Permanent - Full Time</t>
        </is>
      </c>
      <c r="S299" s="847" t="n"/>
      <c r="T299" s="847" t="n"/>
      <c r="U299" s="848" t="n">
        <v>168160</v>
      </c>
      <c r="V299" s="849" t="n">
        <v>168160</v>
      </c>
      <c r="W299" s="850" t="n">
        <v>0.12</v>
      </c>
      <c r="X299" s="847" t="n">
        <v>0.055</v>
      </c>
      <c r="Y299" s="850" t="n">
        <v>0.12</v>
      </c>
      <c r="Z299" s="851" t="n"/>
      <c r="AA299" s="850" t="n">
        <v>0.04</v>
      </c>
      <c r="AB299" s="852" t="n">
        <v>224493.6</v>
      </c>
      <c r="AE299" s="534">
        <f>IF(TRIM($B299)="","",IF(AND(N($P299)&gt;0,N($P299)&lt;1),N($AB299)*N($P299),N($AB299)))</f>
        <v>224493.6</v>
      </c>
      <c r="AF299" s="534" t="str">
        <f>IF(TRIM($B299)="","",IF(OR(ISNUMBER(SEARCH("vacant",$B299)),ISNUMBER(SEARCH("ring fenced",$B299)),LOWER(TRIM($B299))="remove"),"Vacant","Filled"))</f>
        <v>Filled</v>
      </c>
      <c r="AG299" s="534" t="b">
        <f>IF(TRIM($B299)="","",--ISNUMBER(SEARCH("ring fenced",$B299)))</f>
        <v>0</v>
      </c>
      <c r="AH299" s="534" t="str">
        <f>IF(TRIM($B299)="","",IF(COUNTIFS(Lists!$AN$2:$AN$22,TRIM($B299)&amp;" | "&amp;TRIM($D299),Lists!$AO$2:$AO$22,"&lt;&gt;"),INDEX(Lists!$AO$2:$AO$22,MATCH(TRIM($B299)&amp;" | "&amp;TRIM($D299),Lists!$AN$2:$AN$22,0)),IF(COUNTIF(Lists!$AR$2:$AR$3,$AJ299),"TDD Cyber",IF(AND(LEFT($AJ299,4)="EGI ",ISNUMBER(MATCH(TRIM(MID($AJ299,5,99)),Lists!$AS$2:$AS$12,0))),TRIM(MID($AJ299,5,99)),IF(AND(LEFT($AJ299,4)="EGI ",ISNUMBER(MATCH(TRIM(MID($AJ299,5,99)),Lists!$T$2:$T$21,0))),INDEX(Lists!$U$2:$U$21,MATCH(TRIM(MID($AJ299,5,99)),Lists!$T$2:$T$21,0)),IF(OR(TRIM($J299)="",UPPER(TRIM($J299))="NA"),IFERROR(INDEX(Lists!$R$2:$R$9,MATCH(TRIM($G299),Lists!$Q$2:$Q$9,0)),"UNMAPPED"),IFERROR(INDEX(Lists!$U$2:$U$21,MATCH(TRIM($J299),Lists!$T$2:$T$21,0)),IFERROR(INDEX(Lists!$R$2:$R$9,MATCH(TRIM($G299),Lists!$Q$2:$Q$9,0)),"UNMAPPED"))))))))</f>
        <v>Z Retail</v>
      </c>
      <c r="AI299" s="534" t="b">
        <f>IF(TRIM($B299)="","",--OR(TRIM($L299)="Leadership",TRIM($K299)="Leadership"))</f>
        <v>0</v>
      </c>
      <c r="AJ299" s="534" t="str">
        <f>IF(TRIM($B299)="","",IF(COUNTIFS(Lists!$AN$2:$AN$22,TRIM($B299)&amp;" | "&amp;TRIM($D299),Lists!$AP$2:$AP$22,"&lt;&gt;"),INDEX(Lists!$AP$2:$AP$22,MATCH(TRIM($B299)&amp;" | "&amp;TRIM($D299),Lists!$AN$2:$AN$22,0)),IF($AI299=1,"Leadership",IFERROR(INDEX(Lists!$X$2:$X$21,MATCH(TRIM($L299),Lists!$W$2:$W$21,0)),IF(OR(TRIM($L299)="",LOWER(TRIM($L299))="na"),IF(TRIM($H299)="","Unassigned",TRIM($H299)),TRIM($L299))))))</f>
        <v>Z Supply</v>
      </c>
      <c r="AK299" s="534" t="str">
        <f>IF(TRIM($B299)="","",IF(COUNTIFS(Lists!$AN$2:$AN$22,TRIM($B299)&amp;" | "&amp;TRIM($D299),Lists!$AQ$2:$AQ$22,"&lt;&gt;"),INDEX(Lists!$AQ$2:$AQ$22,MATCH(TRIM($B299)&amp;" | "&amp;TRIM($D299),Lists!$AN$2:$AN$22,0)),IF(COUNTIF(Lists!$AF$2:$AF$8,$AJ299),$AJ299,IF(ISNUMBER(SEARCH("head of ",$D299)),"Head of Technology",IF(ISNUMBER(SEARCH("TDD BP",$D299)),"Business Partner",IF(OR(ISNUMBER(SEARCH("domain architect",$D299)),ISNUMBER(SEARCH("enterprise architect",$D299))),"Domain Architect",IF(ISNUMBER(SEARCH("delivery man",$D299)),"Delivery Manager",IF(OR(ISNUMBER(SEARCH("technology manager",$D299)),ISNUMBER(SEARCH("technology manger",$D299)),ISNUMBER(SEARCH("tech manager",$D299))),"Technology Manager","Squad"))))))))</f>
        <v>Squad</v>
      </c>
      <c r="AL299" s="534" t="str">
        <f>IF(TRIM($B299)="","",IF(AND($AM299=1,LEFT($AJ299,4)&lt;&gt;"EGI ",$AJ299&lt;&gt;"EGI"),IFERROR(INDEX(Lists!$Z$2:$Z$20,MATCH($AH299,Lists!$Y$2:$Y$20,0)),"EGI "&amp;$AH299),IF(COUNTIF(Lists!$AU$2:$AU$10,$AJ299),$AJ299,IF(OR(LEFT($AH299,3)="COE",$AH299="EGI"),$AJ299,IF($AK299&lt;&gt;"Squad",$AK299,$AJ299)))))</f>
        <v>Z Supply</v>
      </c>
      <c r="AM299" s="534" t="b">
        <f>IF(TRIM($B299)="","",--(UPPER(TRIM($K299))="EGI"))</f>
        <v>0</v>
      </c>
      <c r="AQ299" s="841" t="inlineStr">
        <is>
          <t>R0298</t>
        </is>
      </c>
      <c r="AZ299" s="841" t="n"/>
    </row>
    <row r="300" ht="18" customHeight="1" s="535">
      <c r="A300" s="842" t="inlineStr">
        <is>
          <t>V</t>
        </is>
      </c>
      <c r="B300" s="843" t="inlineStr">
        <is>
          <t>Vacant</t>
        </is>
      </c>
      <c r="C300" s="842" t="inlineStr">
        <is>
          <t>V</t>
        </is>
      </c>
      <c r="D300" s="843" t="inlineStr">
        <is>
          <t>Engineer - Software</t>
        </is>
      </c>
      <c r="E300" s="843" t="inlineStr">
        <is>
          <t>Emma Natoli</t>
        </is>
      </c>
      <c r="F300" s="843" t="inlineStr">
        <is>
          <t>Technology Manager, Engineering</t>
        </is>
      </c>
      <c r="G300" s="844" t="inlineStr">
        <is>
          <t>Ampol Retail &amp; Z</t>
        </is>
      </c>
      <c r="H300" s="843" t="inlineStr">
        <is>
          <t>Z &amp; Group Retail</t>
        </is>
      </c>
      <c r="I300" s="843" t="inlineStr">
        <is>
          <t>Z &amp; Group Retail, Engineering</t>
        </is>
      </c>
      <c r="J300" s="843" t="inlineStr">
        <is>
          <t>Z</t>
        </is>
      </c>
      <c r="K300" s="843" t="inlineStr">
        <is>
          <t>Z Customer</t>
        </is>
      </c>
      <c r="L300" s="843" t="inlineStr">
        <is>
          <t xml:space="preserve">Z Retail Backend </t>
        </is>
      </c>
      <c r="M300" s="843" t="n"/>
      <c r="N300" s="845" t="inlineStr">
        <is>
          <t>australia</t>
        </is>
      </c>
      <c r="O300" s="846" t="inlineStr">
        <is>
          <t>cib</t>
        </is>
      </c>
      <c r="P300" s="847" t="n">
        <v>1</v>
      </c>
      <c r="Q300" s="846" t="n"/>
      <c r="R300" s="847" t="inlineStr">
        <is>
          <t>v</t>
        </is>
      </c>
      <c r="S300" s="847" t="n"/>
      <c r="T300" s="847" t="n"/>
      <c r="U300" s="848" t="n">
        <v>173550</v>
      </c>
      <c r="V300" s="849" t="n">
        <v>173550</v>
      </c>
      <c r="W300" s="850" t="n">
        <v>0.12</v>
      </c>
      <c r="X300" s="847" t="n">
        <v>0.055</v>
      </c>
      <c r="Y300" s="850" t="n">
        <v>0.12</v>
      </c>
      <c r="Z300" s="851" t="n"/>
      <c r="AA300" s="850" t="n">
        <v>0.04</v>
      </c>
      <c r="AB300" s="852" t="n">
        <v>231689.25</v>
      </c>
      <c r="AE300" s="534">
        <f>IF(TRIM($B300)="","",IF(AND(N($P300)&gt;0,N($P300)&lt;1),N($AB300)*N($P300),N($AB300)))</f>
        <v>231689.25</v>
      </c>
      <c r="AF300" s="534" t="str">
        <f>IF(TRIM($B300)="","",IF(OR(ISNUMBER(SEARCH("vacant",$B300)),ISNUMBER(SEARCH("ring fenced",$B300)),LOWER(TRIM($B300))="remove"),"Vacant","Filled"))</f>
        <v>Vacant</v>
      </c>
      <c r="AG300" s="534" t="b">
        <f>IF(TRIM($B300)="","",--ISNUMBER(SEARCH("ring fenced",$B300)))</f>
        <v>0</v>
      </c>
      <c r="AH300" s="534" t="str">
        <f>IF(TRIM($B300)="","",IF(COUNTIFS(Lists!$AN$2:$AN$22,TRIM($B300)&amp;" | "&amp;TRIM($D300),Lists!$AO$2:$AO$22,"&lt;&gt;"),INDEX(Lists!$AO$2:$AO$22,MATCH(TRIM($B300)&amp;" | "&amp;TRIM($D300),Lists!$AN$2:$AN$22,0)),IF(COUNTIF(Lists!$AR$2:$AR$3,$AJ300),"TDD Cyber",IF(AND(LEFT($AJ300,4)="EGI ",ISNUMBER(MATCH(TRIM(MID($AJ300,5,99)),Lists!$AS$2:$AS$12,0))),TRIM(MID($AJ300,5,99)),IF(AND(LEFT($AJ300,4)="EGI ",ISNUMBER(MATCH(TRIM(MID($AJ300,5,99)),Lists!$T$2:$T$21,0))),INDEX(Lists!$U$2:$U$21,MATCH(TRIM(MID($AJ300,5,99)),Lists!$T$2:$T$21,0)),IF(OR(TRIM($J300)="",UPPER(TRIM($J300))="NA"),IFERROR(INDEX(Lists!$R$2:$R$9,MATCH(TRIM($G300),Lists!$Q$2:$Q$9,0)),"UNMAPPED"),IFERROR(INDEX(Lists!$U$2:$U$21,MATCH(TRIM($J300),Lists!$T$2:$T$21,0)),IFERROR(INDEX(Lists!$R$2:$R$9,MATCH(TRIM($G300),Lists!$Q$2:$Q$9,0)),"UNMAPPED"))))))))</f>
        <v>Z Retail</v>
      </c>
      <c r="AI300" s="534" t="b">
        <f>IF(TRIM($B300)="","",--OR(TRIM($L300)="Leadership",TRIM($K300)="Leadership"))</f>
        <v>0</v>
      </c>
      <c r="AJ300" s="534" t="str">
        <f>IF(TRIM($B300)="","",IF(COUNTIFS(Lists!$AN$2:$AN$22,TRIM($B300)&amp;" | "&amp;TRIM($D300),Lists!$AP$2:$AP$22,"&lt;&gt;"),INDEX(Lists!$AP$2:$AP$22,MATCH(TRIM($B300)&amp;" | "&amp;TRIM($D300),Lists!$AN$2:$AN$22,0)),IF($AI300=1,"Leadership",IFERROR(INDEX(Lists!$X$2:$X$21,MATCH(TRIM($L300),Lists!$W$2:$W$21,0)),IF(OR(TRIM($L300)="",LOWER(TRIM($L300))="na"),IF(TRIM($H300)="","Unassigned",TRIM($H300)),TRIM($L300))))))</f>
        <v>Z Retail Backend</v>
      </c>
      <c r="AK300" s="534" t="str">
        <f>IF(TRIM($B300)="","",IF(COUNTIFS(Lists!$AN$2:$AN$22,TRIM($B300)&amp;" | "&amp;TRIM($D300),Lists!$AQ$2:$AQ$22,"&lt;&gt;"),INDEX(Lists!$AQ$2:$AQ$22,MATCH(TRIM($B300)&amp;" | "&amp;TRIM($D300),Lists!$AN$2:$AN$22,0)),IF(COUNTIF(Lists!$AF$2:$AF$8,$AJ300),$AJ300,IF(ISNUMBER(SEARCH("head of ",$D300)),"Head of Technology",IF(ISNUMBER(SEARCH("TDD BP",$D300)),"Business Partner",IF(OR(ISNUMBER(SEARCH("domain architect",$D300)),ISNUMBER(SEARCH("enterprise architect",$D300))),"Domain Architect",IF(ISNUMBER(SEARCH("delivery man",$D300)),"Delivery Manager",IF(OR(ISNUMBER(SEARCH("technology manager",$D300)),ISNUMBER(SEARCH("technology manger",$D300)),ISNUMBER(SEARCH("tech manager",$D300))),"Technology Manager","Squad"))))))))</f>
        <v>Squad</v>
      </c>
      <c r="AL300" s="534" t="str">
        <f>IF(TRIM($B300)="","",IF(AND($AM300=1,LEFT($AJ300,4)&lt;&gt;"EGI ",$AJ300&lt;&gt;"EGI"),IFERROR(INDEX(Lists!$Z$2:$Z$20,MATCH($AH300,Lists!$Y$2:$Y$20,0)),"EGI "&amp;$AH300),IF(COUNTIF(Lists!$AU$2:$AU$10,$AJ300),$AJ300,IF(OR(LEFT($AH300,3)="COE",$AH300="EGI"),$AJ300,IF($AK300&lt;&gt;"Squad",$AK300,$AJ300)))))</f>
        <v>Z Retail Backend</v>
      </c>
      <c r="AM300" s="534" t="b">
        <f>IF(TRIM($B300)="","",--(UPPER(TRIM($K300))="EGI"))</f>
        <v>0</v>
      </c>
      <c r="AN300" s="534" t="inlineStr">
        <is>
          <t>Vacant</t>
        </is>
      </c>
      <c r="AQ300" s="841" t="inlineStr">
        <is>
          <t>R0299</t>
        </is>
      </c>
      <c r="AZ300" s="841" t="n"/>
    </row>
    <row r="301" ht="18" customHeight="1" s="535">
      <c r="A301" s="842" t="n">
        <v>113524</v>
      </c>
      <c r="B301" s="843" t="inlineStr">
        <is>
          <t>Caitlin Dyas</t>
        </is>
      </c>
      <c r="C301" s="842" t="n">
        <v>113524</v>
      </c>
      <c r="D301" s="843" t="inlineStr">
        <is>
          <t>Snr Engineer Software</t>
        </is>
      </c>
      <c r="E301" s="843" t="inlineStr">
        <is>
          <t>Hitesh Patel</t>
        </is>
      </c>
      <c r="F301" s="843" t="inlineStr">
        <is>
          <t>Technology Manager, Energy Solutions</t>
        </is>
      </c>
      <c r="G301" s="844" t="inlineStr">
        <is>
          <t>TDD CFE&amp;I</t>
        </is>
      </c>
      <c r="H301" s="843" t="inlineStr">
        <is>
          <t>B2B &amp; Energy Solutions</t>
        </is>
      </c>
      <c r="I301" s="843" t="inlineStr">
        <is>
          <t>Technology Energy Solutions</t>
        </is>
      </c>
      <c r="J301" s="843" t="inlineStr">
        <is>
          <t>B2B &amp; Energy Solutions</t>
        </is>
      </c>
      <c r="K301" s="843" t="inlineStr">
        <is>
          <t>Energy Solutions</t>
        </is>
      </c>
      <c r="L301" s="843" t="inlineStr">
        <is>
          <t>EVCI</t>
        </is>
      </c>
      <c r="M301" s="843" t="n"/>
      <c r="N301" s="845" t="inlineStr">
        <is>
          <t>NZ</t>
        </is>
      </c>
      <c r="O301" s="846" t="inlineStr">
        <is>
          <t>CIB</t>
        </is>
      </c>
      <c r="P301" s="847" t="n">
        <v>1</v>
      </c>
      <c r="Q301" s="846" t="n"/>
      <c r="R301" s="847" t="inlineStr">
        <is>
          <t>Permanent - Full Time</t>
        </is>
      </c>
      <c r="S301" s="847" t="n"/>
      <c r="T301" s="847" t="n"/>
      <c r="U301" s="848" t="n">
        <v>125000</v>
      </c>
      <c r="V301" s="849" t="n">
        <v>115000</v>
      </c>
      <c r="W301" s="850" t="n">
        <v>0.15</v>
      </c>
      <c r="X301" s="847" t="n"/>
      <c r="Y301" s="850" t="n">
        <v>0.05</v>
      </c>
      <c r="Z301" s="851" t="n">
        <v>2910</v>
      </c>
      <c r="AA301" s="850" t="n">
        <v>0.03</v>
      </c>
      <c r="AB301" s="852" t="n">
        <v>144360</v>
      </c>
      <c r="AE301" s="534">
        <f>IF(TRIM($B301)="","",IF(AND(N($P301)&gt;0,N($P301)&lt;1),N($AB301)*N($P301),N($AB301)))</f>
        <v>144360</v>
      </c>
      <c r="AF301" s="534" t="str">
        <f>IF(TRIM($B301)="","",IF(OR(ISNUMBER(SEARCH("vacant",$B301)),ISNUMBER(SEARCH("ring fenced",$B301)),LOWER(TRIM($B301))="remove"),"Vacant","Filled"))</f>
        <v>Filled</v>
      </c>
      <c r="AG301" s="534" t="b">
        <f>IF(TRIM($B301)="","",--ISNUMBER(SEARCH("ring fenced",$B301)))</f>
        <v>0</v>
      </c>
      <c r="AH301" s="534" t="str">
        <f>IF(TRIM($B301)="","",IF(COUNTIFS(Lists!$AN$2:$AN$22,TRIM($B301)&amp;" | "&amp;TRIM($D301),Lists!$AO$2:$AO$22,"&lt;&gt;"),INDEX(Lists!$AO$2:$AO$22,MATCH(TRIM($B301)&amp;" | "&amp;TRIM($D301),Lists!$AN$2:$AN$22,0)),IF(COUNTIF(Lists!$AR$2:$AR$3,$AJ301),"TDD Cyber",IF(AND(LEFT($AJ301,4)="EGI ",ISNUMBER(MATCH(TRIM(MID($AJ301,5,99)),Lists!$AS$2:$AS$12,0))),TRIM(MID($AJ301,5,99)),IF(AND(LEFT($AJ301,4)="EGI ",ISNUMBER(MATCH(TRIM(MID($AJ301,5,99)),Lists!$T$2:$T$21,0))),INDEX(Lists!$U$2:$U$21,MATCH(TRIM(MID($AJ301,5,99)),Lists!$T$2:$T$21,0)),IF(OR(TRIM($J301)="",UPPER(TRIM($J301))="NA"),IFERROR(INDEX(Lists!$R$2:$R$9,MATCH(TRIM($G301),Lists!$Q$2:$Q$9,0)),"UNMAPPED"),IFERROR(INDEX(Lists!$U$2:$U$21,MATCH(TRIM($J301),Lists!$T$2:$T$21,0)),IFERROR(INDEX(Lists!$R$2:$R$9,MATCH(TRIM($G301),Lists!$Q$2:$Q$9,0)),"UNMAPPED"))))))))</f>
        <v>Energy Solutions &amp; B2B</v>
      </c>
      <c r="AI301" s="534" t="b">
        <f>IF(TRIM($B301)="","",--OR(TRIM($L301)="Leadership",TRIM($K301)="Leadership"))</f>
        <v>0</v>
      </c>
      <c r="AJ301" s="534" t="str">
        <f>IF(TRIM($B301)="","",IF(COUNTIFS(Lists!$AN$2:$AN$22,TRIM($B301)&amp;" | "&amp;TRIM($D301),Lists!$AP$2:$AP$22,"&lt;&gt;"),INDEX(Lists!$AP$2:$AP$22,MATCH(TRIM($B301)&amp;" | "&amp;TRIM($D301),Lists!$AN$2:$AN$22,0)),IF($AI301=1,"Leadership",IFERROR(INDEX(Lists!$X$2:$X$21,MATCH(TRIM($L301),Lists!$W$2:$W$21,0)),IF(OR(TRIM($L301)="",LOWER(TRIM($L301))="na"),IF(TRIM($H301)="","Unassigned",TRIM($H301)),TRIM($L301))))))</f>
        <v>EVCI</v>
      </c>
      <c r="AK301" s="534" t="str">
        <f>IF(TRIM($B301)="","",IF(COUNTIFS(Lists!$AN$2:$AN$22,TRIM($B301)&amp;" | "&amp;TRIM($D301),Lists!$AQ$2:$AQ$22,"&lt;&gt;"),INDEX(Lists!$AQ$2:$AQ$22,MATCH(TRIM($B301)&amp;" | "&amp;TRIM($D301),Lists!$AN$2:$AN$22,0)),IF(COUNTIF(Lists!$AF$2:$AF$8,$AJ301),$AJ301,IF(ISNUMBER(SEARCH("head of ",$D301)),"Head of Technology",IF(ISNUMBER(SEARCH("TDD BP",$D301)),"Business Partner",IF(OR(ISNUMBER(SEARCH("domain architect",$D301)),ISNUMBER(SEARCH("enterprise architect",$D301))),"Domain Architect",IF(ISNUMBER(SEARCH("delivery man",$D301)),"Delivery Manager",IF(OR(ISNUMBER(SEARCH("technology manager",$D301)),ISNUMBER(SEARCH("technology manger",$D301)),ISNUMBER(SEARCH("tech manager",$D301))),"Technology Manager","Squad"))))))))</f>
        <v>Squad</v>
      </c>
      <c r="AL301" s="534" t="str">
        <f>IF(TRIM($B301)="","",IF(AND($AM301=1,LEFT($AJ301,4)&lt;&gt;"EGI ",$AJ301&lt;&gt;"EGI"),IFERROR(INDEX(Lists!$Z$2:$Z$20,MATCH($AH301,Lists!$Y$2:$Y$20,0)),"EGI "&amp;$AH301),IF(COUNTIF(Lists!$AU$2:$AU$10,$AJ301),$AJ301,IF(OR(LEFT($AH301,3)="COE",$AH301="EGI"),$AJ301,IF($AK301&lt;&gt;"Squad",$AK301,$AJ301)))))</f>
        <v>EVCI</v>
      </c>
      <c r="AM301" s="534" t="b">
        <f>IF(TRIM($B301)="","",--(UPPER(TRIM($K301))="EGI"))</f>
        <v>0</v>
      </c>
      <c r="AQ301" s="841" t="inlineStr">
        <is>
          <t>R0300</t>
        </is>
      </c>
      <c r="AZ301" s="841" t="n"/>
    </row>
    <row r="302" ht="18" customHeight="1" s="535">
      <c r="A302" s="842" t="n">
        <v>107550</v>
      </c>
      <c r="B302" s="843" t="inlineStr">
        <is>
          <t>Gunjan Vasudeva</t>
        </is>
      </c>
      <c r="C302" s="842" t="n">
        <v>107550</v>
      </c>
      <c r="D302" s="843" t="inlineStr">
        <is>
          <t>Lead Quality Assurance</t>
        </is>
      </c>
      <c r="E302" s="843" t="inlineStr">
        <is>
          <t>Hitesh Patel</t>
        </is>
      </c>
      <c r="F302" s="843" t="inlineStr">
        <is>
          <t>Technology Manager, Energy Solutions</t>
        </is>
      </c>
      <c r="G302" s="844" t="inlineStr">
        <is>
          <t>TDD CFE&amp;I</t>
        </is>
      </c>
      <c r="H302" s="843" t="inlineStr">
        <is>
          <t>B2B &amp; Energy Solutions</t>
        </is>
      </c>
      <c r="I302" s="843" t="inlineStr">
        <is>
          <t>Technology Energy Solutions</t>
        </is>
      </c>
      <c r="J302" s="843" t="inlineStr">
        <is>
          <t>B2B &amp; Energy Solutions</t>
        </is>
      </c>
      <c r="K302" s="843" t="inlineStr">
        <is>
          <t>Energy Solutions</t>
        </is>
      </c>
      <c r="L302" s="843" t="inlineStr">
        <is>
          <t>Energy</t>
        </is>
      </c>
      <c r="M302" s="843" t="n"/>
      <c r="N302" s="845" t="inlineStr">
        <is>
          <t>Australia</t>
        </is>
      </c>
      <c r="O302" s="846" t="inlineStr">
        <is>
          <t>CIB</t>
        </is>
      </c>
      <c r="P302" s="847" t="n">
        <v>1</v>
      </c>
      <c r="Q302" s="846" t="n"/>
      <c r="R302" s="847" t="inlineStr">
        <is>
          <t>Permanent - Full Time</t>
        </is>
      </c>
      <c r="S302" s="847" t="n"/>
      <c r="T302" s="847" t="n"/>
      <c r="U302" s="848" t="n">
        <v>156160</v>
      </c>
      <c r="V302" s="849" t="n">
        <v>156160</v>
      </c>
      <c r="W302" s="850" t="n">
        <v>0.12</v>
      </c>
      <c r="X302" s="847" t="n">
        <v>0.055</v>
      </c>
      <c r="Y302" s="850" t="n">
        <v>0.12</v>
      </c>
      <c r="Z302" s="851" t="n"/>
      <c r="AA302" s="850" t="n">
        <v>0.04</v>
      </c>
      <c r="AB302" s="852" t="n">
        <v>208473.6</v>
      </c>
      <c r="AE302" s="534">
        <f>IF(TRIM($B302)="","",IF(AND(N($P302)&gt;0,N($P302)&lt;1),N($AB302)*N($P302),N($AB302)))</f>
        <v>208473.6</v>
      </c>
      <c r="AF302" s="534" t="str">
        <f>IF(TRIM($B302)="","",IF(OR(ISNUMBER(SEARCH("vacant",$B302)),ISNUMBER(SEARCH("ring fenced",$B302)),LOWER(TRIM($B302))="remove"),"Vacant","Filled"))</f>
        <v>Filled</v>
      </c>
      <c r="AG302" s="534" t="b">
        <f>IF(TRIM($B302)="","",--ISNUMBER(SEARCH("ring fenced",$B302)))</f>
        <v>0</v>
      </c>
      <c r="AH302" s="534" t="str">
        <f>IF(TRIM($B302)="","",IF(COUNTIFS(Lists!$AN$2:$AN$22,TRIM($B302)&amp;" | "&amp;TRIM($D302),Lists!$AO$2:$AO$22,"&lt;&gt;"),INDEX(Lists!$AO$2:$AO$22,MATCH(TRIM($B302)&amp;" | "&amp;TRIM($D302),Lists!$AN$2:$AN$22,0)),IF(COUNTIF(Lists!$AR$2:$AR$3,$AJ302),"TDD Cyber",IF(AND(LEFT($AJ302,4)="EGI ",ISNUMBER(MATCH(TRIM(MID($AJ302,5,99)),Lists!$AS$2:$AS$12,0))),TRIM(MID($AJ302,5,99)),IF(AND(LEFT($AJ302,4)="EGI ",ISNUMBER(MATCH(TRIM(MID($AJ302,5,99)),Lists!$T$2:$T$21,0))),INDEX(Lists!$U$2:$U$21,MATCH(TRIM(MID($AJ302,5,99)),Lists!$T$2:$T$21,0)),IF(OR(TRIM($J302)="",UPPER(TRIM($J302))="NA"),IFERROR(INDEX(Lists!$R$2:$R$9,MATCH(TRIM($G302),Lists!$Q$2:$Q$9,0)),"UNMAPPED"),IFERROR(INDEX(Lists!$U$2:$U$21,MATCH(TRIM($J302),Lists!$T$2:$T$21,0)),IFERROR(INDEX(Lists!$R$2:$R$9,MATCH(TRIM($G302),Lists!$Q$2:$Q$9,0)),"UNMAPPED"))))))))</f>
        <v>Energy Solutions &amp; B2B</v>
      </c>
      <c r="AI302" s="534" t="b">
        <f>IF(TRIM($B302)="","",--OR(TRIM($L302)="Leadership",TRIM($K302)="Leadership"))</f>
        <v>0</v>
      </c>
      <c r="AJ302" s="534" t="str">
        <f>IF(TRIM($B302)="","",IF(COUNTIFS(Lists!$AN$2:$AN$22,TRIM($B302)&amp;" | "&amp;TRIM($D302),Lists!$AP$2:$AP$22,"&lt;&gt;"),INDEX(Lists!$AP$2:$AP$22,MATCH(TRIM($B302)&amp;" | "&amp;TRIM($D302),Lists!$AN$2:$AN$22,0)),IF($AI302=1,"Leadership",IFERROR(INDEX(Lists!$X$2:$X$21,MATCH(TRIM($L302),Lists!$W$2:$W$21,0)),IF(OR(TRIM($L302)="",LOWER(TRIM($L302))="na"),IF(TRIM($H302)="","Unassigned",TRIM($H302)),TRIM($L302))))))</f>
        <v>Energy</v>
      </c>
      <c r="AK302" s="534" t="str">
        <f>IF(TRIM($B302)="","",IF(COUNTIFS(Lists!$AN$2:$AN$22,TRIM($B302)&amp;" | "&amp;TRIM($D302),Lists!$AQ$2:$AQ$22,"&lt;&gt;"),INDEX(Lists!$AQ$2:$AQ$22,MATCH(TRIM($B302)&amp;" | "&amp;TRIM($D302),Lists!$AN$2:$AN$22,0)),IF(COUNTIF(Lists!$AF$2:$AF$8,$AJ302),$AJ302,IF(ISNUMBER(SEARCH("head of ",$D302)),"Head of Technology",IF(ISNUMBER(SEARCH("TDD BP",$D302)),"Business Partner",IF(OR(ISNUMBER(SEARCH("domain architect",$D302)),ISNUMBER(SEARCH("enterprise architect",$D302))),"Domain Architect",IF(ISNUMBER(SEARCH("delivery man",$D302)),"Delivery Manager",IF(OR(ISNUMBER(SEARCH("technology manager",$D302)),ISNUMBER(SEARCH("technology manger",$D302)),ISNUMBER(SEARCH("tech manager",$D302))),"Technology Manager","Squad"))))))))</f>
        <v>Squad</v>
      </c>
      <c r="AL302" s="534" t="str">
        <f>IF(TRIM($B302)="","",IF(AND($AM302=1,LEFT($AJ302,4)&lt;&gt;"EGI ",$AJ302&lt;&gt;"EGI"),IFERROR(INDEX(Lists!$Z$2:$Z$20,MATCH($AH302,Lists!$Y$2:$Y$20,0)),"EGI "&amp;$AH302),IF(COUNTIF(Lists!$AU$2:$AU$10,$AJ302),$AJ302,IF(OR(LEFT($AH302,3)="COE",$AH302="EGI"),$AJ302,IF($AK302&lt;&gt;"Squad",$AK302,$AJ302)))))</f>
        <v>Energy</v>
      </c>
      <c r="AM302" s="534" t="b">
        <f>IF(TRIM($B302)="","",--(UPPER(TRIM($K302))="EGI"))</f>
        <v>0</v>
      </c>
      <c r="AQ302" s="841" t="inlineStr">
        <is>
          <t>R0301</t>
        </is>
      </c>
      <c r="AZ302" s="841" t="n"/>
    </row>
    <row r="303" ht="18" customHeight="1" s="535">
      <c r="A303" s="842" t="n">
        <v>104159</v>
      </c>
      <c r="B303" s="843" t="inlineStr">
        <is>
          <t>James Hung</t>
        </is>
      </c>
      <c r="C303" s="842" t="n">
        <v>104159</v>
      </c>
      <c r="D303" s="843" t="inlineStr">
        <is>
          <t>System Specialist</t>
        </is>
      </c>
      <c r="E303" s="843" t="inlineStr">
        <is>
          <t>Hitesh Patel</t>
        </is>
      </c>
      <c r="F303" s="843" t="inlineStr">
        <is>
          <t>Technology Manager, Energy Solutions</t>
        </is>
      </c>
      <c r="G303" s="844" t="inlineStr">
        <is>
          <t>TDD CFE&amp;I</t>
        </is>
      </c>
      <c r="H303" s="843" t="inlineStr">
        <is>
          <t>B2B &amp; Energy Solutions</t>
        </is>
      </c>
      <c r="I303" s="843" t="inlineStr">
        <is>
          <t>Technology Energy Solutions</t>
        </is>
      </c>
      <c r="J303" s="843" t="inlineStr">
        <is>
          <t>B2B &amp; Energy Solutions</t>
        </is>
      </c>
      <c r="K303" s="843" t="inlineStr">
        <is>
          <t>Energy Solutions</t>
        </is>
      </c>
      <c r="L303" s="843" t="inlineStr">
        <is>
          <t>Energy</t>
        </is>
      </c>
      <c r="M303" s="843" t="n"/>
      <c r="N303" s="845" t="inlineStr">
        <is>
          <t>Australia</t>
        </is>
      </c>
      <c r="O303" s="846" t="inlineStr">
        <is>
          <t>CIB</t>
        </is>
      </c>
      <c r="P303" s="847" t="n">
        <v>1</v>
      </c>
      <c r="Q303" s="846" t="n"/>
      <c r="R303" s="847" t="inlineStr">
        <is>
          <t>Permanent - Full Time</t>
        </is>
      </c>
      <c r="S303" s="847" t="n"/>
      <c r="T303" s="847" t="n"/>
      <c r="U303" s="848" t="n">
        <v>159950</v>
      </c>
      <c r="V303" s="849" t="n">
        <v>159950</v>
      </c>
      <c r="W303" s="850" t="n">
        <v>0.12</v>
      </c>
      <c r="X303" s="847" t="n">
        <v>0.055</v>
      </c>
      <c r="Y303" s="850" t="n">
        <v>0.12</v>
      </c>
      <c r="Z303" s="851" t="n"/>
      <c r="AA303" s="850" t="n">
        <v>0.04</v>
      </c>
      <c r="AB303" s="852" t="n">
        <v>213533.25</v>
      </c>
      <c r="AE303" s="534">
        <f>IF(TRIM($B303)="","",IF(AND(N($P303)&gt;0,N($P303)&lt;1),N($AB303)*N($P303),N($AB303)))</f>
        <v>213533.25</v>
      </c>
      <c r="AF303" s="534" t="str">
        <f>IF(TRIM($B303)="","",IF(OR(ISNUMBER(SEARCH("vacant",$B303)),ISNUMBER(SEARCH("ring fenced",$B303)),LOWER(TRIM($B303))="remove"),"Vacant","Filled"))</f>
        <v>Filled</v>
      </c>
      <c r="AG303" s="534" t="b">
        <f>IF(TRIM($B303)="","",--ISNUMBER(SEARCH("ring fenced",$B303)))</f>
        <v>0</v>
      </c>
      <c r="AH303" s="534" t="str">
        <f>IF(TRIM($B303)="","",IF(COUNTIFS(Lists!$AN$2:$AN$22,TRIM($B303)&amp;" | "&amp;TRIM($D303),Lists!$AO$2:$AO$22,"&lt;&gt;"),INDEX(Lists!$AO$2:$AO$22,MATCH(TRIM($B303)&amp;" | "&amp;TRIM($D303),Lists!$AN$2:$AN$22,0)),IF(COUNTIF(Lists!$AR$2:$AR$3,$AJ303),"TDD Cyber",IF(AND(LEFT($AJ303,4)="EGI ",ISNUMBER(MATCH(TRIM(MID($AJ303,5,99)),Lists!$AS$2:$AS$12,0))),TRIM(MID($AJ303,5,99)),IF(AND(LEFT($AJ303,4)="EGI ",ISNUMBER(MATCH(TRIM(MID($AJ303,5,99)),Lists!$T$2:$T$21,0))),INDEX(Lists!$U$2:$U$21,MATCH(TRIM(MID($AJ303,5,99)),Lists!$T$2:$T$21,0)),IF(OR(TRIM($J303)="",UPPER(TRIM($J303))="NA"),IFERROR(INDEX(Lists!$R$2:$R$9,MATCH(TRIM($G303),Lists!$Q$2:$Q$9,0)),"UNMAPPED"),IFERROR(INDEX(Lists!$U$2:$U$21,MATCH(TRIM($J303),Lists!$T$2:$T$21,0)),IFERROR(INDEX(Lists!$R$2:$R$9,MATCH(TRIM($G303),Lists!$Q$2:$Q$9,0)),"UNMAPPED"))))))))</f>
        <v>Energy Solutions &amp; B2B</v>
      </c>
      <c r="AI303" s="534" t="b">
        <f>IF(TRIM($B303)="","",--OR(TRIM($L303)="Leadership",TRIM($K303)="Leadership"))</f>
        <v>0</v>
      </c>
      <c r="AJ303" s="534" t="str">
        <f>IF(TRIM($B303)="","",IF(COUNTIFS(Lists!$AN$2:$AN$22,TRIM($B303)&amp;" | "&amp;TRIM($D303),Lists!$AP$2:$AP$22,"&lt;&gt;"),INDEX(Lists!$AP$2:$AP$22,MATCH(TRIM($B303)&amp;" | "&amp;TRIM($D303),Lists!$AN$2:$AN$22,0)),IF($AI303=1,"Leadership",IFERROR(INDEX(Lists!$X$2:$X$21,MATCH(TRIM($L303),Lists!$W$2:$W$21,0)),IF(OR(TRIM($L303)="",LOWER(TRIM($L303))="na"),IF(TRIM($H303)="","Unassigned",TRIM($H303)),TRIM($L303))))))</f>
        <v>Energy</v>
      </c>
      <c r="AK303" s="534" t="str">
        <f>IF(TRIM($B303)="","",IF(COUNTIFS(Lists!$AN$2:$AN$22,TRIM($B303)&amp;" | "&amp;TRIM($D303),Lists!$AQ$2:$AQ$22,"&lt;&gt;"),INDEX(Lists!$AQ$2:$AQ$22,MATCH(TRIM($B303)&amp;" | "&amp;TRIM($D303),Lists!$AN$2:$AN$22,0)),IF(COUNTIF(Lists!$AF$2:$AF$8,$AJ303),$AJ303,IF(ISNUMBER(SEARCH("head of ",$D303)),"Head of Technology",IF(ISNUMBER(SEARCH("TDD BP",$D303)),"Business Partner",IF(OR(ISNUMBER(SEARCH("domain architect",$D303)),ISNUMBER(SEARCH("enterprise architect",$D303))),"Domain Architect",IF(ISNUMBER(SEARCH("delivery man",$D303)),"Delivery Manager",IF(OR(ISNUMBER(SEARCH("technology manager",$D303)),ISNUMBER(SEARCH("technology manger",$D303)),ISNUMBER(SEARCH("tech manager",$D303))),"Technology Manager","Squad"))))))))</f>
        <v>Squad</v>
      </c>
      <c r="AL303" s="534" t="str">
        <f>IF(TRIM($B303)="","",IF(AND($AM303=1,LEFT($AJ303,4)&lt;&gt;"EGI ",$AJ303&lt;&gt;"EGI"),IFERROR(INDEX(Lists!$Z$2:$Z$20,MATCH($AH303,Lists!$Y$2:$Y$20,0)),"EGI "&amp;$AH303),IF(COUNTIF(Lists!$AU$2:$AU$10,$AJ303),$AJ303,IF(OR(LEFT($AH303,3)="COE",$AH303="EGI"),$AJ303,IF($AK303&lt;&gt;"Squad",$AK303,$AJ303)))))</f>
        <v>Energy</v>
      </c>
      <c r="AM303" s="534" t="b">
        <f>IF(TRIM($B303)="","",--(UPPER(TRIM($K303))="EGI"))</f>
        <v>0</v>
      </c>
      <c r="AQ303" s="841" t="inlineStr">
        <is>
          <t>R0302</t>
        </is>
      </c>
      <c r="AZ303" s="841" t="n"/>
    </row>
    <row r="304" ht="18" customHeight="1" s="535">
      <c r="A304" s="842" t="inlineStr">
        <is>
          <t>V</t>
        </is>
      </c>
      <c r="B304" s="843" t="inlineStr">
        <is>
          <t>Vacant</t>
        </is>
      </c>
      <c r="C304" s="842" t="inlineStr">
        <is>
          <t>V</t>
        </is>
      </c>
      <c r="D304" s="843" t="inlineStr">
        <is>
          <t>Engineer Automation - Testing</t>
        </is>
      </c>
      <c r="E304" s="843" t="inlineStr">
        <is>
          <t>Hitesh Patel</t>
        </is>
      </c>
      <c r="F304" s="843" t="inlineStr">
        <is>
          <t>Technology Manager, Energy Solutions</t>
        </is>
      </c>
      <c r="G304" s="844" t="inlineStr">
        <is>
          <t>TDD CFE&amp;I</t>
        </is>
      </c>
      <c r="H304" s="843" t="inlineStr">
        <is>
          <t>B2B &amp; Energy Solutions</t>
        </is>
      </c>
      <c r="I304" s="843" t="inlineStr">
        <is>
          <t>Technology Energy Solutions</t>
        </is>
      </c>
      <c r="J304" s="843" t="inlineStr">
        <is>
          <t>B2B &amp; Energy Solutions</t>
        </is>
      </c>
      <c r="K304" s="843" t="inlineStr">
        <is>
          <t>Energy Solutions</t>
        </is>
      </c>
      <c r="L304" s="843" t="inlineStr">
        <is>
          <t>Energy</t>
        </is>
      </c>
      <c r="M304" s="843" t="n"/>
      <c r="N304" s="845" t="inlineStr">
        <is>
          <t>Australia</t>
        </is>
      </c>
      <c r="O304" s="846" t="inlineStr">
        <is>
          <t>CIB</t>
        </is>
      </c>
      <c r="P304" s="847" t="n">
        <v>1</v>
      </c>
      <c r="Q304" s="846" t="n"/>
      <c r="R304" s="847" t="inlineStr">
        <is>
          <t>V</t>
        </is>
      </c>
      <c r="S304" s="847" t="n"/>
      <c r="T304" s="847" t="n"/>
      <c r="U304" s="848" t="n">
        <v>151950</v>
      </c>
      <c r="V304" s="849" t="n">
        <v>151950</v>
      </c>
      <c r="W304" s="850" t="n">
        <v>0.12</v>
      </c>
      <c r="X304" s="847" t="n">
        <v>0.055</v>
      </c>
      <c r="Y304" s="850" t="n">
        <v>0.12</v>
      </c>
      <c r="Z304" s="851" t="n"/>
      <c r="AA304" s="850" t="n">
        <v>0.04</v>
      </c>
      <c r="AB304" s="852" t="n">
        <v>202853.25</v>
      </c>
      <c r="AE304" s="534">
        <f>IF(TRIM($B304)="","",IF(AND(N($P304)&gt;0,N($P304)&lt;1),N($AB304)*N($P304),N($AB304)))</f>
        <v>202853.25</v>
      </c>
      <c r="AF304" s="534" t="str">
        <f>IF(TRIM($B304)="","",IF(OR(ISNUMBER(SEARCH("vacant",$B304)),ISNUMBER(SEARCH("ring fenced",$B304)),LOWER(TRIM($B304))="remove"),"Vacant","Filled"))</f>
        <v>Vacant</v>
      </c>
      <c r="AG304" s="534" t="b">
        <f>IF(TRIM($B304)="","",--ISNUMBER(SEARCH("ring fenced",$B304)))</f>
        <v>0</v>
      </c>
      <c r="AH304" s="534" t="str">
        <f>IF(TRIM($B304)="","",IF(COUNTIFS(Lists!$AN$2:$AN$22,TRIM($B304)&amp;" | "&amp;TRIM($D304),Lists!$AO$2:$AO$22,"&lt;&gt;"),INDEX(Lists!$AO$2:$AO$22,MATCH(TRIM($B304)&amp;" | "&amp;TRIM($D304),Lists!$AN$2:$AN$22,0)),IF(COUNTIF(Lists!$AR$2:$AR$3,$AJ304),"TDD Cyber",IF(AND(LEFT($AJ304,4)="EGI ",ISNUMBER(MATCH(TRIM(MID($AJ304,5,99)),Lists!$AS$2:$AS$12,0))),TRIM(MID($AJ304,5,99)),IF(AND(LEFT($AJ304,4)="EGI ",ISNUMBER(MATCH(TRIM(MID($AJ304,5,99)),Lists!$T$2:$T$21,0))),INDEX(Lists!$U$2:$U$21,MATCH(TRIM(MID($AJ304,5,99)),Lists!$T$2:$T$21,0)),IF(OR(TRIM($J304)="",UPPER(TRIM($J304))="NA"),IFERROR(INDEX(Lists!$R$2:$R$9,MATCH(TRIM($G304),Lists!$Q$2:$Q$9,0)),"UNMAPPED"),IFERROR(INDEX(Lists!$U$2:$U$21,MATCH(TRIM($J304),Lists!$T$2:$T$21,0)),IFERROR(INDEX(Lists!$R$2:$R$9,MATCH(TRIM($G304),Lists!$Q$2:$Q$9,0)),"UNMAPPED"))))))))</f>
        <v>Energy Solutions &amp; B2B</v>
      </c>
      <c r="AI304" s="534" t="b">
        <f>IF(TRIM($B304)="","",--OR(TRIM($L304)="Leadership",TRIM($K304)="Leadership"))</f>
        <v>0</v>
      </c>
      <c r="AJ304" s="534" t="str">
        <f>IF(TRIM($B304)="","",IF(COUNTIFS(Lists!$AN$2:$AN$22,TRIM($B304)&amp;" | "&amp;TRIM($D304),Lists!$AP$2:$AP$22,"&lt;&gt;"),INDEX(Lists!$AP$2:$AP$22,MATCH(TRIM($B304)&amp;" | "&amp;TRIM($D304),Lists!$AN$2:$AN$22,0)),IF($AI304=1,"Leadership",IFERROR(INDEX(Lists!$X$2:$X$21,MATCH(TRIM($L304),Lists!$W$2:$W$21,0)),IF(OR(TRIM($L304)="",LOWER(TRIM($L304))="na"),IF(TRIM($H304)="","Unassigned",TRIM($H304)),TRIM($L304))))))</f>
        <v>Energy</v>
      </c>
      <c r="AK304" s="534" t="str">
        <f>IF(TRIM($B304)="","",IF(COUNTIFS(Lists!$AN$2:$AN$22,TRIM($B304)&amp;" | "&amp;TRIM($D304),Lists!$AQ$2:$AQ$22,"&lt;&gt;"),INDEX(Lists!$AQ$2:$AQ$22,MATCH(TRIM($B304)&amp;" | "&amp;TRIM($D304),Lists!$AN$2:$AN$22,0)),IF(COUNTIF(Lists!$AF$2:$AF$8,$AJ304),$AJ304,IF(ISNUMBER(SEARCH("head of ",$D304)),"Head of Technology",IF(ISNUMBER(SEARCH("TDD BP",$D304)),"Business Partner",IF(OR(ISNUMBER(SEARCH("domain architect",$D304)),ISNUMBER(SEARCH("enterprise architect",$D304))),"Domain Architect",IF(ISNUMBER(SEARCH("delivery man",$D304)),"Delivery Manager",IF(OR(ISNUMBER(SEARCH("technology manager",$D304)),ISNUMBER(SEARCH("technology manger",$D304)),ISNUMBER(SEARCH("tech manager",$D304))),"Technology Manager","Squad"))))))))</f>
        <v>Squad</v>
      </c>
      <c r="AL304" s="534" t="str">
        <f>IF(TRIM($B304)="","",IF(AND($AM304=1,LEFT($AJ304,4)&lt;&gt;"EGI ",$AJ304&lt;&gt;"EGI"),IFERROR(INDEX(Lists!$Z$2:$Z$20,MATCH($AH304,Lists!$Y$2:$Y$20,0)),"EGI "&amp;$AH304),IF(COUNTIF(Lists!$AU$2:$AU$10,$AJ304),$AJ304,IF(OR(LEFT($AH304,3)="COE",$AH304="EGI"),$AJ304,IF($AK304&lt;&gt;"Squad",$AK304,$AJ304)))))</f>
        <v>Energy</v>
      </c>
      <c r="AM304" s="534" t="b">
        <f>IF(TRIM($B304)="","",--(UPPER(TRIM($K304))="EGI"))</f>
        <v>0</v>
      </c>
      <c r="AQ304" s="841" t="inlineStr">
        <is>
          <t>R0303</t>
        </is>
      </c>
      <c r="AZ304" s="841" t="n"/>
    </row>
    <row r="305" ht="18" customHeight="1" s="535">
      <c r="A305" s="842" t="inlineStr">
        <is>
          <t>V</t>
        </is>
      </c>
      <c r="B305" s="843" t="inlineStr">
        <is>
          <t>Vacant</t>
        </is>
      </c>
      <c r="C305" s="842" t="inlineStr">
        <is>
          <t>V</t>
        </is>
      </c>
      <c r="D305" s="843" t="inlineStr">
        <is>
          <t>Snr Engineer Software</t>
        </is>
      </c>
      <c r="E305" s="843" t="inlineStr">
        <is>
          <t>Hitesh Patel</t>
        </is>
      </c>
      <c r="F305" s="843" t="inlineStr">
        <is>
          <t>Technology Manager, Energy Solutions</t>
        </is>
      </c>
      <c r="G305" s="844" t="inlineStr">
        <is>
          <t>TDD CFE&amp;I</t>
        </is>
      </c>
      <c r="H305" s="843" t="inlineStr">
        <is>
          <t>B2B &amp; Energy Solutions</t>
        </is>
      </c>
      <c r="I305" s="843" t="inlineStr">
        <is>
          <t>Technology Energy Solutions</t>
        </is>
      </c>
      <c r="J305" s="843" t="inlineStr">
        <is>
          <t>B2B &amp; Energy Solutions</t>
        </is>
      </c>
      <c r="K305" s="843" t="inlineStr">
        <is>
          <t>Energy Solutions</t>
        </is>
      </c>
      <c r="L305" s="843" t="inlineStr">
        <is>
          <t>Energy</t>
        </is>
      </c>
      <c r="M305" s="843" t="n"/>
      <c r="N305" s="845" t="inlineStr">
        <is>
          <t>Australia</t>
        </is>
      </c>
      <c r="O305" s="846" t="inlineStr">
        <is>
          <t>CIB</t>
        </is>
      </c>
      <c r="P305" s="847" t="n">
        <v>1</v>
      </c>
      <c r="Q305" s="846" t="n"/>
      <c r="R305" s="847" t="inlineStr">
        <is>
          <t>v</t>
        </is>
      </c>
      <c r="S305" s="847" t="n"/>
      <c r="T305" s="847" t="n"/>
      <c r="U305" s="848" t="n">
        <v>151950</v>
      </c>
      <c r="V305" s="849" t="n">
        <v>151950</v>
      </c>
      <c r="W305" s="850" t="n">
        <v>0.12</v>
      </c>
      <c r="X305" s="847" t="n">
        <v>0.055</v>
      </c>
      <c r="Y305" s="850" t="n">
        <v>0.12</v>
      </c>
      <c r="Z305" s="851" t="n"/>
      <c r="AA305" s="850" t="n">
        <v>0.04</v>
      </c>
      <c r="AB305" s="852" t="n">
        <v>202853.25</v>
      </c>
      <c r="AE305" s="534">
        <f>IF(TRIM($B305)="","",IF(AND(N($P305)&gt;0,N($P305)&lt;1),N($AB305)*N($P305),N($AB305)))</f>
        <v>202853.25</v>
      </c>
      <c r="AF305" s="534" t="str">
        <f>IF(TRIM($B305)="","",IF(OR(ISNUMBER(SEARCH("vacant",$B305)),ISNUMBER(SEARCH("ring fenced",$B305)),LOWER(TRIM($B305))="remove"),"Vacant","Filled"))</f>
        <v>Vacant</v>
      </c>
      <c r="AG305" s="534" t="b">
        <f>IF(TRIM($B305)="","",--ISNUMBER(SEARCH("ring fenced",$B305)))</f>
        <v>0</v>
      </c>
      <c r="AH305" s="534" t="str">
        <f>IF(TRIM($B305)="","",IF(COUNTIFS(Lists!$AN$2:$AN$22,TRIM($B305)&amp;" | "&amp;TRIM($D305),Lists!$AO$2:$AO$22,"&lt;&gt;"),INDEX(Lists!$AO$2:$AO$22,MATCH(TRIM($B305)&amp;" | "&amp;TRIM($D305),Lists!$AN$2:$AN$22,0)),IF(COUNTIF(Lists!$AR$2:$AR$3,$AJ305),"TDD Cyber",IF(AND(LEFT($AJ305,4)="EGI ",ISNUMBER(MATCH(TRIM(MID($AJ305,5,99)),Lists!$AS$2:$AS$12,0))),TRIM(MID($AJ305,5,99)),IF(AND(LEFT($AJ305,4)="EGI ",ISNUMBER(MATCH(TRIM(MID($AJ305,5,99)),Lists!$T$2:$T$21,0))),INDEX(Lists!$U$2:$U$21,MATCH(TRIM(MID($AJ305,5,99)),Lists!$T$2:$T$21,0)),IF(OR(TRIM($J305)="",UPPER(TRIM($J305))="NA"),IFERROR(INDEX(Lists!$R$2:$R$9,MATCH(TRIM($G305),Lists!$Q$2:$Q$9,0)),"UNMAPPED"),IFERROR(INDEX(Lists!$U$2:$U$21,MATCH(TRIM($J305),Lists!$T$2:$T$21,0)),IFERROR(INDEX(Lists!$R$2:$R$9,MATCH(TRIM($G305),Lists!$Q$2:$Q$9,0)),"UNMAPPED"))))))))</f>
        <v>Energy Solutions &amp; B2B</v>
      </c>
      <c r="AI305" s="534" t="b">
        <f>IF(TRIM($B305)="","",--OR(TRIM($L305)="Leadership",TRIM($K305)="Leadership"))</f>
        <v>0</v>
      </c>
      <c r="AJ305" s="534" t="str">
        <f>IF(TRIM($B305)="","",IF(COUNTIFS(Lists!$AN$2:$AN$22,TRIM($B305)&amp;" | "&amp;TRIM($D305),Lists!$AP$2:$AP$22,"&lt;&gt;"),INDEX(Lists!$AP$2:$AP$22,MATCH(TRIM($B305)&amp;" | "&amp;TRIM($D305),Lists!$AN$2:$AN$22,0)),IF($AI305=1,"Leadership",IFERROR(INDEX(Lists!$X$2:$X$21,MATCH(TRIM($L305),Lists!$W$2:$W$21,0)),IF(OR(TRIM($L305)="",LOWER(TRIM($L305))="na"),IF(TRIM($H305)="","Unassigned",TRIM($H305)),TRIM($L305))))))</f>
        <v>Energy</v>
      </c>
      <c r="AK305" s="534" t="str">
        <f>IF(TRIM($B305)="","",IF(COUNTIFS(Lists!$AN$2:$AN$22,TRIM($B305)&amp;" | "&amp;TRIM($D305),Lists!$AQ$2:$AQ$22,"&lt;&gt;"),INDEX(Lists!$AQ$2:$AQ$22,MATCH(TRIM($B305)&amp;" | "&amp;TRIM($D305),Lists!$AN$2:$AN$22,0)),IF(COUNTIF(Lists!$AF$2:$AF$8,$AJ305),$AJ305,IF(ISNUMBER(SEARCH("head of ",$D305)),"Head of Technology",IF(ISNUMBER(SEARCH("TDD BP",$D305)),"Business Partner",IF(OR(ISNUMBER(SEARCH("domain architect",$D305)),ISNUMBER(SEARCH("enterprise architect",$D305))),"Domain Architect",IF(ISNUMBER(SEARCH("delivery man",$D305)),"Delivery Manager",IF(OR(ISNUMBER(SEARCH("technology manager",$D305)),ISNUMBER(SEARCH("technology manger",$D305)),ISNUMBER(SEARCH("tech manager",$D305))),"Technology Manager","Squad"))))))))</f>
        <v>Squad</v>
      </c>
      <c r="AL305" s="534" t="str">
        <f>IF(TRIM($B305)="","",IF(AND($AM305=1,LEFT($AJ305,4)&lt;&gt;"EGI ",$AJ305&lt;&gt;"EGI"),IFERROR(INDEX(Lists!$Z$2:$Z$20,MATCH($AH305,Lists!$Y$2:$Y$20,0)),"EGI "&amp;$AH305),IF(COUNTIF(Lists!$AU$2:$AU$10,$AJ305),$AJ305,IF(OR(LEFT($AH305,3)="COE",$AH305="EGI"),$AJ305,IF($AK305&lt;&gt;"Squad",$AK305,$AJ305)))))</f>
        <v>Energy</v>
      </c>
      <c r="AM305" s="534" t="b">
        <f>IF(TRIM($B305)="","",--(UPPER(TRIM($K305))="EGI"))</f>
        <v>0</v>
      </c>
      <c r="AQ305" s="841" t="inlineStr">
        <is>
          <t>R0304</t>
        </is>
      </c>
      <c r="AZ305" s="841" t="n"/>
    </row>
    <row r="306" ht="18" customHeight="1" s="535">
      <c r="A306" s="842" t="inlineStr">
        <is>
          <t>V</t>
        </is>
      </c>
      <c r="B306" s="843" t="inlineStr">
        <is>
          <t>Vacant</t>
        </is>
      </c>
      <c r="C306" s="842" t="inlineStr">
        <is>
          <t>V</t>
        </is>
      </c>
      <c r="D306" s="843" t="inlineStr">
        <is>
          <t>Engineer - DevOps</t>
        </is>
      </c>
      <c r="E306" s="843" t="inlineStr">
        <is>
          <t>Jason Gleason</t>
        </is>
      </c>
      <c r="F306" s="843" t="inlineStr">
        <is>
          <t>Technology Manager, Data Engineering &amp; Platforms</t>
        </is>
      </c>
      <c r="G306" s="844" t="inlineStr">
        <is>
          <t>Strategy, Architecture &amp; Data</t>
        </is>
      </c>
      <c r="H306" s="843" t="inlineStr">
        <is>
          <t>Group Data</t>
        </is>
      </c>
      <c r="I306" s="843" t="inlineStr">
        <is>
          <t>Data Engineering &amp; Platforms</t>
        </is>
      </c>
      <c r="J306" s="843" t="inlineStr">
        <is>
          <t>Enterprise Data</t>
        </is>
      </c>
      <c r="K306" s="843" t="inlineStr">
        <is>
          <t>Group Data</t>
        </is>
      </c>
      <c r="L306" s="843" t="inlineStr">
        <is>
          <t>Data Platform</t>
        </is>
      </c>
      <c r="M306" s="843" t="n"/>
      <c r="N306" s="845" t="inlineStr">
        <is>
          <t>Australia</t>
        </is>
      </c>
      <c r="O306" s="846" t="inlineStr">
        <is>
          <t>cib</t>
        </is>
      </c>
      <c r="P306" s="847" t="n">
        <v>1</v>
      </c>
      <c r="Q306" s="846" t="n"/>
      <c r="R306" s="847" t="inlineStr">
        <is>
          <t>V</t>
        </is>
      </c>
      <c r="S306" s="847" t="n"/>
      <c r="T306" s="847" t="n"/>
      <c r="U306" s="848" t="n">
        <v>151950</v>
      </c>
      <c r="V306" s="849" t="n">
        <v>151950</v>
      </c>
      <c r="W306" s="850" t="n">
        <v>0.12</v>
      </c>
      <c r="X306" s="847" t="n">
        <v>0.055</v>
      </c>
      <c r="Y306" s="850" t="n">
        <v>0.12</v>
      </c>
      <c r="Z306" s="851" t="n"/>
      <c r="AA306" s="850" t="n">
        <v>0.04</v>
      </c>
      <c r="AB306" s="852" t="n">
        <v>202853.25</v>
      </c>
      <c r="AE306" s="534">
        <f>IF(TRIM($B306)="","",IF(AND(N($P306)&gt;0,N($P306)&lt;1),N($AB306)*N($P306),N($AB306)))</f>
        <v>202853.25</v>
      </c>
      <c r="AF306" s="534" t="str">
        <f>IF(TRIM($B306)="","",IF(OR(ISNUMBER(SEARCH("vacant",$B306)),ISNUMBER(SEARCH("ring fenced",$B306)),LOWER(TRIM($B306))="remove"),"Vacant","Filled"))</f>
        <v>Vacant</v>
      </c>
      <c r="AG306" s="534" t="b">
        <f>IF(TRIM($B306)="","",--ISNUMBER(SEARCH("ring fenced",$B306)))</f>
        <v>0</v>
      </c>
      <c r="AH306" s="534" t="str">
        <f>IF(TRIM($B306)="","",IF(COUNTIFS(Lists!$AN$2:$AN$22,TRIM($B306)&amp;" | "&amp;TRIM($D306),Lists!$AO$2:$AO$22,"&lt;&gt;"),INDEX(Lists!$AO$2:$AO$22,MATCH(TRIM($B306)&amp;" | "&amp;TRIM($D306),Lists!$AN$2:$AN$22,0)),IF(COUNTIF(Lists!$AR$2:$AR$3,$AJ306),"TDD Cyber",IF(AND(LEFT($AJ306,4)="EGI ",ISNUMBER(MATCH(TRIM(MID($AJ306,5,99)),Lists!$AS$2:$AS$12,0))),TRIM(MID($AJ306,5,99)),IF(AND(LEFT($AJ306,4)="EGI ",ISNUMBER(MATCH(TRIM(MID($AJ306,5,99)),Lists!$T$2:$T$21,0))),INDEX(Lists!$U$2:$U$21,MATCH(TRIM(MID($AJ306,5,99)),Lists!$T$2:$T$21,0)),IF(OR(TRIM($J306)="",UPPER(TRIM($J306))="NA"),IFERROR(INDEX(Lists!$R$2:$R$9,MATCH(TRIM($G306),Lists!$Q$2:$Q$9,0)),"UNMAPPED"),IFERROR(INDEX(Lists!$U$2:$U$21,MATCH(TRIM($J306),Lists!$T$2:$T$21,0)),IFERROR(INDEX(Lists!$R$2:$R$9,MATCH(TRIM($G306),Lists!$Q$2:$Q$9,0)),"UNMAPPED"))))))))</f>
        <v>Enterprise Data</v>
      </c>
      <c r="AI306" s="534" t="b">
        <f>IF(TRIM($B306)="","",--OR(TRIM($L306)="Leadership",TRIM($K306)="Leadership"))</f>
        <v>0</v>
      </c>
      <c r="AJ306" s="534" t="str">
        <f>IF(TRIM($B306)="","",IF(COUNTIFS(Lists!$AN$2:$AN$22,TRIM($B306)&amp;" | "&amp;TRIM($D306),Lists!$AP$2:$AP$22,"&lt;&gt;"),INDEX(Lists!$AP$2:$AP$22,MATCH(TRIM($B306)&amp;" | "&amp;TRIM($D306),Lists!$AN$2:$AN$22,0)),IF($AI306=1,"Leadership",IFERROR(INDEX(Lists!$X$2:$X$21,MATCH(TRIM($L306),Lists!$W$2:$W$21,0)),IF(OR(TRIM($L306)="",LOWER(TRIM($L306))="na"),IF(TRIM($H306)="","Unassigned",TRIM($H306)),TRIM($L306))))))</f>
        <v>Data Platforms</v>
      </c>
      <c r="AK306" s="534" t="str">
        <f>IF(TRIM($B306)="","",IF(COUNTIFS(Lists!$AN$2:$AN$22,TRIM($B306)&amp;" | "&amp;TRIM($D306),Lists!$AQ$2:$AQ$22,"&lt;&gt;"),INDEX(Lists!$AQ$2:$AQ$22,MATCH(TRIM($B306)&amp;" | "&amp;TRIM($D306),Lists!$AN$2:$AN$22,0)),IF(COUNTIF(Lists!$AF$2:$AF$8,$AJ306),$AJ306,IF(ISNUMBER(SEARCH("head of ",$D306)),"Head of Technology",IF(ISNUMBER(SEARCH("TDD BP",$D306)),"Business Partner",IF(OR(ISNUMBER(SEARCH("domain architect",$D306)),ISNUMBER(SEARCH("enterprise architect",$D306))),"Domain Architect",IF(ISNUMBER(SEARCH("delivery man",$D306)),"Delivery Manager",IF(OR(ISNUMBER(SEARCH("technology manager",$D306)),ISNUMBER(SEARCH("technology manger",$D306)),ISNUMBER(SEARCH("tech manager",$D306))),"Technology Manager","Squad"))))))))</f>
        <v>Squad</v>
      </c>
      <c r="AL306" s="534" t="str">
        <f>IF(TRIM($B306)="","",IF(AND($AM306=1,LEFT($AJ306,4)&lt;&gt;"EGI ",$AJ306&lt;&gt;"EGI"),IFERROR(INDEX(Lists!$Z$2:$Z$20,MATCH($AH306,Lists!$Y$2:$Y$20,0)),"EGI "&amp;$AH306),IF(COUNTIF(Lists!$AU$2:$AU$10,$AJ306),$AJ306,IF(OR(LEFT($AH306,3)="COE",$AH306="EGI"),$AJ306,IF($AK306&lt;&gt;"Squad",$AK306,$AJ306)))))</f>
        <v>Data Platforms</v>
      </c>
      <c r="AM306" s="534" t="b">
        <f>IF(TRIM($B306)="","",--(UPPER(TRIM($K306))="EGI"))</f>
        <v>0</v>
      </c>
      <c r="AQ306" s="841" t="inlineStr">
        <is>
          <t>R0305</t>
        </is>
      </c>
      <c r="AZ306" s="841" t="n"/>
    </row>
    <row r="307" ht="18" customHeight="1" s="535">
      <c r="A307" s="842" t="n">
        <v>116090</v>
      </c>
      <c r="B307" s="843" t="inlineStr">
        <is>
          <t>Fabian Moreno Cortes</t>
        </is>
      </c>
      <c r="C307" s="842" t="n">
        <v>116090</v>
      </c>
      <c r="D307" s="843" t="inlineStr">
        <is>
          <t>Engineer - Software</t>
        </is>
      </c>
      <c r="E307" s="843" t="inlineStr">
        <is>
          <t>Jaya Ganasan</t>
        </is>
      </c>
      <c r="F307" s="843" t="inlineStr">
        <is>
          <t>Technology Manager, TDD Refinery</t>
        </is>
      </c>
      <c r="G307" s="844" t="inlineStr">
        <is>
          <t>TDD CFE&amp;I</t>
        </is>
      </c>
      <c r="H307" s="843" t="inlineStr">
        <is>
          <t>Fuel Infrastructure</t>
        </is>
      </c>
      <c r="I307" s="843" t="inlineStr">
        <is>
          <t>Refinery Applications</t>
        </is>
      </c>
      <c r="J307" s="843" t="inlineStr">
        <is>
          <t>Infrastructure</t>
        </is>
      </c>
      <c r="K307" s="843" t="inlineStr">
        <is>
          <t>Manufacturing</t>
        </is>
      </c>
      <c r="L307" s="843" t="inlineStr">
        <is>
          <t>Manuacturing Group Projects</t>
        </is>
      </c>
      <c r="M307" s="843" t="n"/>
      <c r="N307" s="845" t="inlineStr">
        <is>
          <t>Australia</t>
        </is>
      </c>
      <c r="O307" s="846" t="inlineStr">
        <is>
          <t>CIB</t>
        </is>
      </c>
      <c r="P307" s="847" t="n">
        <v>1</v>
      </c>
      <c r="Q307" s="847" t="n"/>
      <c r="R307" s="847" t="inlineStr">
        <is>
          <t>Permanent - Full Time</t>
        </is>
      </c>
      <c r="S307" s="847" t="n"/>
      <c r="T307" s="847" t="n"/>
      <c r="U307" s="848" t="n">
        <v>145000</v>
      </c>
      <c r="V307" s="849" t="n">
        <v>145000</v>
      </c>
      <c r="W307" s="850" t="n">
        <v>0.12</v>
      </c>
      <c r="X307" s="847" t="n">
        <v>0.055</v>
      </c>
      <c r="Y307" s="850" t="n">
        <v>0.12</v>
      </c>
      <c r="Z307" s="851" t="n"/>
      <c r="AA307" s="850" t="n">
        <v>0.04</v>
      </c>
      <c r="AB307" s="852" t="n">
        <v>193575</v>
      </c>
      <c r="AE307" s="534">
        <f>IF(TRIM($B307)="","",IF(AND(N($P307)&gt;0,N($P307)&lt;1),N($AB307)*N($P307),N($AB307)))</f>
        <v>193575</v>
      </c>
      <c r="AF307" s="534" t="str">
        <f>IF(TRIM($B307)="","",IF(OR(ISNUMBER(SEARCH("vacant",$B307)),ISNUMBER(SEARCH("ring fenced",$B307)),LOWER(TRIM($B307))="remove"),"Vacant","Filled"))</f>
        <v>Filled</v>
      </c>
      <c r="AG307" s="534" t="b">
        <f>IF(TRIM($B307)="","",--ISNUMBER(SEARCH("ring fenced",$B307)))</f>
        <v>0</v>
      </c>
      <c r="AH307" s="853" t="str">
        <f>IF(TRIM($B307)="","",IF(COUNTIFS(Lists!$AN$2:$AN$22,TRIM($B307)&amp;" | "&amp;TRIM($D307),Lists!$AO$2:$AO$22,"&lt;&gt;"),INDEX(Lists!$AO$2:$AO$22,MATCH(TRIM($B307)&amp;" | "&amp;TRIM($D307),Lists!$AN$2:$AN$22,0)),IF(COUNTIF(Lists!$AR$2:$AR$3,$AJ307),"TDD Cyber",IF(AND(LEFT($AJ307,4)="EGI ",ISNUMBER(MATCH(TRIM(MID($AJ307,5,99)),Lists!$AS$2:$AS$12,0))),TRIM(MID($AJ307,5,99)),IF(AND(LEFT($AJ307,4)="EGI ",ISNUMBER(MATCH(TRIM(MID($AJ307,5,99)),Lists!$T$2:$T$21,0))),INDEX(Lists!$U$2:$U$21,MATCH(TRIM(MID($AJ307,5,99)),Lists!$T$2:$T$21,0)),IF(OR(TRIM($J307)="",UPPER(TRIM($J307))="NA"),IFERROR(INDEX(Lists!$R$2:$R$9,MATCH(TRIM($G307),Lists!$Q$2:$Q$9,0)),"UNMAPPED"),IFERROR(INDEX(Lists!$U$2:$U$21,MATCH(TRIM($J307),Lists!$T$2:$T$21,0)),IFERROR(INDEX(Lists!$R$2:$R$9,MATCH(TRIM($G307),Lists!$Q$2:$Q$9,0)),"UNMAPPED"))))))))</f>
        <v>Infrastructure</v>
      </c>
      <c r="AI307" s="534" t="b">
        <f>IF(TRIM($B307)="","",--OR(TRIM($L307)="Leadership",TRIM($K307)="Leadership"))</f>
        <v>0</v>
      </c>
      <c r="AJ307" s="534" t="str">
        <f>IF(TRIM($B307)="","",IF(COUNTIFS(Lists!$AN$2:$AN$22,TRIM($B307)&amp;" | "&amp;TRIM($D307),Lists!$AP$2:$AP$22,"&lt;&gt;"),INDEX(Lists!$AP$2:$AP$22,MATCH(TRIM($B307)&amp;" | "&amp;TRIM($D307),Lists!$AN$2:$AN$22,0)),IF($AI307=1,"Leadership",IFERROR(INDEX(Lists!$X$2:$X$21,MATCH(TRIM($L307),Lists!$W$2:$W$21,0)),IF(OR(TRIM($L307)="",LOWER(TRIM($L307))="na"),IF(TRIM($H307)="","Unassigned",TRIM($H307)),TRIM($L307))))))</f>
        <v>Manufacturing Group Projects</v>
      </c>
      <c r="AK307" s="534" t="str">
        <f>IF(TRIM($B307)="","",IF(COUNTIFS(Lists!$AN$2:$AN$22,TRIM($B307)&amp;" | "&amp;TRIM($D307),Lists!$AQ$2:$AQ$22,"&lt;&gt;"),INDEX(Lists!$AQ$2:$AQ$22,MATCH(TRIM($B307)&amp;" | "&amp;TRIM($D307),Lists!$AN$2:$AN$22,0)),IF(COUNTIF(Lists!$AF$2:$AF$8,$AJ307),$AJ307,IF(ISNUMBER(SEARCH("head of ",$D307)),"Head of Technology",IF(ISNUMBER(SEARCH("TDD BP",$D307)),"Business Partner",IF(OR(ISNUMBER(SEARCH("domain architect",$D307)),ISNUMBER(SEARCH("enterprise architect",$D307))),"Domain Architect",IF(ISNUMBER(SEARCH("delivery man",$D307)),"Delivery Manager",IF(OR(ISNUMBER(SEARCH("technology manager",$D307)),ISNUMBER(SEARCH("technology manger",$D307)),ISNUMBER(SEARCH("tech manager",$D307))),"Technology Manager","Squad"))))))))</f>
        <v>Squad</v>
      </c>
      <c r="AL307" s="534" t="str">
        <f>IF(TRIM($B307)="","",IF(AND($AM307=1,LEFT($AJ307,4)&lt;&gt;"EGI ",$AJ307&lt;&gt;"EGI"),IFERROR(INDEX(Lists!$Z$2:$Z$20,MATCH($AH307,Lists!$Y$2:$Y$20,0)),"EGI "&amp;$AH307),IF(COUNTIF(Lists!$AU$2:$AU$10,$AJ307),$AJ307,IF(OR(LEFT($AH307,3)="COE",$AH307="EGI"),$AJ307,IF($AK307&lt;&gt;"Squad",$AK307,$AJ307)))))</f>
        <v>Manufacturing Group Projects</v>
      </c>
      <c r="AM307" s="534" t="b">
        <f>IF(TRIM($B307)="","",--(UPPER(TRIM($K307))="EGI"))</f>
        <v>0</v>
      </c>
      <c r="AQ307" s="841" t="inlineStr">
        <is>
          <t>R0306</t>
        </is>
      </c>
      <c r="AZ307" s="841" t="n"/>
    </row>
    <row r="308" ht="18" customHeight="1" s="535">
      <c r="A308" s="842" t="n">
        <v>98087</v>
      </c>
      <c r="B308" s="843" t="inlineStr">
        <is>
          <t>Victor Olasanoye</t>
        </is>
      </c>
      <c r="C308" s="842" t="n">
        <v>98087</v>
      </c>
      <c r="D308" s="843" t="inlineStr">
        <is>
          <t>Senior Systems Analyst</t>
        </is>
      </c>
      <c r="E308" s="843" t="inlineStr">
        <is>
          <t>Jaya Ganasan</t>
        </is>
      </c>
      <c r="F308" s="843" t="inlineStr">
        <is>
          <t>Technology Manager, TDD Refinery</t>
        </is>
      </c>
      <c r="G308" s="844" t="inlineStr">
        <is>
          <t>TDD CFE&amp;I</t>
        </is>
      </c>
      <c r="H308" s="843" t="inlineStr">
        <is>
          <t>Fuel Infrastructure</t>
        </is>
      </c>
      <c r="I308" s="843" t="inlineStr">
        <is>
          <t>Refinery Applications</t>
        </is>
      </c>
      <c r="J308" s="843" t="inlineStr">
        <is>
          <t>Infrastructure</t>
        </is>
      </c>
      <c r="K308" s="843" t="inlineStr">
        <is>
          <t>Manufacturing</t>
        </is>
      </c>
      <c r="L308" s="843" t="inlineStr">
        <is>
          <t>Manufacturing Group Projects</t>
        </is>
      </c>
      <c r="M308" s="843" t="n"/>
      <c r="N308" s="845" t="inlineStr">
        <is>
          <t>Australia</t>
        </is>
      </c>
      <c r="O308" s="846" t="inlineStr">
        <is>
          <t>CIB</t>
        </is>
      </c>
      <c r="P308" s="847" t="n">
        <v>1</v>
      </c>
      <c r="Q308" s="847" t="n"/>
      <c r="R308" s="847" t="inlineStr">
        <is>
          <t>Permanent - Full Time</t>
        </is>
      </c>
      <c r="S308" s="847" t="n"/>
      <c r="T308" s="847" t="n"/>
      <c r="U308" s="848" t="n">
        <v>159820</v>
      </c>
      <c r="V308" s="849" t="n">
        <v>159820</v>
      </c>
      <c r="W308" s="850" t="n">
        <v>0.12</v>
      </c>
      <c r="X308" s="847" t="n">
        <v>0.055</v>
      </c>
      <c r="Y308" s="850" t="n">
        <v>0.12</v>
      </c>
      <c r="Z308" s="851" t="n"/>
      <c r="AA308" s="850" t="n">
        <v>0.04</v>
      </c>
      <c r="AB308" s="852" t="n">
        <v>213359.7</v>
      </c>
      <c r="AE308" s="534">
        <f>IF(TRIM($B308)="","",IF(AND(N($P308)&gt;0,N($P308)&lt;1),N($AB308)*N($P308),N($AB308)))</f>
        <v>213359.7</v>
      </c>
      <c r="AF308" s="534" t="str">
        <f>IF(TRIM($B308)="","",IF(OR(ISNUMBER(SEARCH("vacant",$B308)),ISNUMBER(SEARCH("ring fenced",$B308)),LOWER(TRIM($B308))="remove"),"Vacant","Filled"))</f>
        <v>Filled</v>
      </c>
      <c r="AG308" s="534" t="b">
        <f>IF(TRIM($B308)="","",--ISNUMBER(SEARCH("ring fenced",$B308)))</f>
        <v>0</v>
      </c>
      <c r="AH308" s="534" t="str">
        <f>IF(TRIM($B308)="","",IF(COUNTIFS(Lists!$AN$2:$AN$22,TRIM($B308)&amp;" | "&amp;TRIM($D308),Lists!$AO$2:$AO$22,"&lt;&gt;"),INDEX(Lists!$AO$2:$AO$22,MATCH(TRIM($B308)&amp;" | "&amp;TRIM($D308),Lists!$AN$2:$AN$22,0)),IF(COUNTIF(Lists!$AR$2:$AR$3,$AJ308),"TDD Cyber",IF(AND(LEFT($AJ308,4)="EGI ",ISNUMBER(MATCH(TRIM(MID($AJ308,5,99)),Lists!$AS$2:$AS$12,0))),TRIM(MID($AJ308,5,99)),IF(AND(LEFT($AJ308,4)="EGI ",ISNUMBER(MATCH(TRIM(MID($AJ308,5,99)),Lists!$T$2:$T$21,0))),INDEX(Lists!$U$2:$U$21,MATCH(TRIM(MID($AJ308,5,99)),Lists!$T$2:$T$21,0)),IF(OR(TRIM($J308)="",UPPER(TRIM($J308))="NA"),IFERROR(INDEX(Lists!$R$2:$R$9,MATCH(TRIM($G308),Lists!$Q$2:$Q$9,0)),"UNMAPPED"),IFERROR(INDEX(Lists!$U$2:$U$21,MATCH(TRIM($J308),Lists!$T$2:$T$21,0)),IFERROR(INDEX(Lists!$R$2:$R$9,MATCH(TRIM($G308),Lists!$Q$2:$Q$9,0)),"UNMAPPED"))))))))</f>
        <v>Infrastructure</v>
      </c>
      <c r="AI308" s="534" t="b">
        <f>IF(TRIM($B308)="","",--OR(TRIM($L308)="Leadership",TRIM($K308)="Leadership"))</f>
        <v>0</v>
      </c>
      <c r="AJ308" s="534" t="str">
        <f>IF(TRIM($B308)="","",IF(COUNTIFS(Lists!$AN$2:$AN$22,TRIM($B308)&amp;" | "&amp;TRIM($D308),Lists!$AP$2:$AP$22,"&lt;&gt;"),INDEX(Lists!$AP$2:$AP$22,MATCH(TRIM($B308)&amp;" | "&amp;TRIM($D308),Lists!$AN$2:$AN$22,0)),IF($AI308=1,"Leadership",IFERROR(INDEX(Lists!$X$2:$X$21,MATCH(TRIM($L308),Lists!$W$2:$W$21,0)),IF(OR(TRIM($L308)="",LOWER(TRIM($L308))="na"),IF(TRIM($H308)="","Unassigned",TRIM($H308)),TRIM($L308))))))</f>
        <v>Manufacturing Group Projects</v>
      </c>
      <c r="AK308" s="534" t="str">
        <f>IF(TRIM($B308)="","",IF(COUNTIFS(Lists!$AN$2:$AN$22,TRIM($B308)&amp;" | "&amp;TRIM($D308),Lists!$AQ$2:$AQ$22,"&lt;&gt;"),INDEX(Lists!$AQ$2:$AQ$22,MATCH(TRIM($B308)&amp;" | "&amp;TRIM($D308),Lists!$AN$2:$AN$22,0)),IF(COUNTIF(Lists!$AF$2:$AF$8,$AJ308),$AJ308,IF(ISNUMBER(SEARCH("head of ",$D308)),"Head of Technology",IF(ISNUMBER(SEARCH("TDD BP",$D308)),"Business Partner",IF(OR(ISNUMBER(SEARCH("domain architect",$D308)),ISNUMBER(SEARCH("enterprise architect",$D308))),"Domain Architect",IF(ISNUMBER(SEARCH("delivery man",$D308)),"Delivery Manager",IF(OR(ISNUMBER(SEARCH("technology manager",$D308)),ISNUMBER(SEARCH("technology manger",$D308)),ISNUMBER(SEARCH("tech manager",$D308))),"Technology Manager","Squad"))))))))</f>
        <v>Squad</v>
      </c>
      <c r="AL308" s="534" t="str">
        <f>IF(TRIM($B308)="","",IF(AND($AM308=1,LEFT($AJ308,4)&lt;&gt;"EGI ",$AJ308&lt;&gt;"EGI"),IFERROR(INDEX(Lists!$Z$2:$Z$20,MATCH($AH308,Lists!$Y$2:$Y$20,0)),"EGI "&amp;$AH308),IF(COUNTIF(Lists!$AU$2:$AU$10,$AJ308),$AJ308,IF(OR(LEFT($AH308,3)="COE",$AH308="EGI"),$AJ308,IF($AK308&lt;&gt;"Squad",$AK308,$AJ308)))))</f>
        <v>Manufacturing Group Projects</v>
      </c>
      <c r="AM308" s="534" t="b">
        <f>IF(TRIM($B308)="","",--(UPPER(TRIM($K308))="EGI"))</f>
        <v>0</v>
      </c>
      <c r="AQ308" s="841" t="inlineStr">
        <is>
          <t>R0307</t>
        </is>
      </c>
      <c r="AZ308" s="841" t="n"/>
    </row>
    <row r="309" ht="18" customHeight="1" s="535">
      <c r="A309" s="842" t="n">
        <v>87951</v>
      </c>
      <c r="B309" s="843" t="inlineStr">
        <is>
          <t>Iwan Wibisono</t>
        </is>
      </c>
      <c r="C309" s="842" t="n">
        <v>87951</v>
      </c>
      <c r="D309" s="843" t="inlineStr">
        <is>
          <t>Engineer - IDAM</t>
        </is>
      </c>
      <c r="E309" s="843" t="inlineStr">
        <is>
          <t>Joe Nahma</t>
        </is>
      </c>
      <c r="F309" s="843" t="inlineStr">
        <is>
          <t xml:space="preserve">Lead Service Desk </t>
        </is>
      </c>
      <c r="G309" s="844" t="inlineStr">
        <is>
          <t>Cyber, Risk &amp; Operations</t>
        </is>
      </c>
      <c r="H309" s="843" t="inlineStr">
        <is>
          <t>Cyber Strat &amp; Tech</t>
        </is>
      </c>
      <c r="I309" s="843" t="inlineStr">
        <is>
          <t>NA</t>
        </is>
      </c>
      <c r="J309" s="843" t="inlineStr">
        <is>
          <t>NA</t>
        </is>
      </c>
      <c r="K309" s="843" t="inlineStr">
        <is>
          <t>NA</t>
        </is>
      </c>
      <c r="L309" s="843" t="inlineStr">
        <is>
          <t>NA</t>
        </is>
      </c>
      <c r="M309" s="843" t="n"/>
      <c r="N309" s="845" t="inlineStr">
        <is>
          <t>Australia</t>
        </is>
      </c>
      <c r="O309" s="846" t="inlineStr">
        <is>
          <t>CIB</t>
        </is>
      </c>
      <c r="P309" s="847" t="n">
        <v>1</v>
      </c>
      <c r="Q309" s="846" t="n"/>
      <c r="R309" s="847" t="inlineStr">
        <is>
          <t>Permanent - Full Time</t>
        </is>
      </c>
      <c r="S309" s="847" t="n"/>
      <c r="T309" s="847" t="n"/>
      <c r="U309" s="848" t="n">
        <v>161560</v>
      </c>
      <c r="V309" s="849" t="n">
        <v>161560</v>
      </c>
      <c r="W309" s="850" t="n">
        <v>0.12</v>
      </c>
      <c r="X309" s="847" t="n">
        <v>0.055</v>
      </c>
      <c r="Y309" s="850" t="n">
        <v>0.12</v>
      </c>
      <c r="Z309" s="851" t="n"/>
      <c r="AA309" s="850" t="n">
        <v>0.04</v>
      </c>
      <c r="AB309" s="852" t="n">
        <v>215682.6</v>
      </c>
      <c r="AE309" s="534">
        <f>IF(TRIM($B309)="","",IF(AND(N($P309)&gt;0,N($P309)&lt;1),N($AB309)*N($P309),N($AB309)))</f>
        <v>215682.6</v>
      </c>
      <c r="AF309" s="534" t="str">
        <f>IF(TRIM($B309)="","",IF(OR(ISNUMBER(SEARCH("vacant",$B309)),ISNUMBER(SEARCH("ring fenced",$B309)),LOWER(TRIM($B309))="remove"),"Vacant","Filled"))</f>
        <v>Filled</v>
      </c>
      <c r="AG309" s="534" t="b">
        <f>IF(TRIM($B309)="","",--ISNUMBER(SEARCH("ring fenced",$B309)))</f>
        <v>0</v>
      </c>
      <c r="AH309" s="534" t="str">
        <f>IF(TRIM($B309)="","",IF(COUNTIFS(Lists!$AN$2:$AN$22,TRIM($B309)&amp;" | "&amp;TRIM($D309),Lists!$AO$2:$AO$22,"&lt;&gt;"),INDEX(Lists!$AO$2:$AO$22,MATCH(TRIM($B309)&amp;" | "&amp;TRIM($D309),Lists!$AN$2:$AN$22,0)),IF(COUNTIF(Lists!$AR$2:$AR$3,$AJ309),"TDD Cyber",IF(AND(LEFT($AJ309,4)="EGI ",ISNUMBER(MATCH(TRIM(MID($AJ309,5,99)),Lists!$AS$2:$AS$12,0))),TRIM(MID($AJ309,5,99)),IF(AND(LEFT($AJ309,4)="EGI ",ISNUMBER(MATCH(TRIM(MID($AJ309,5,99)),Lists!$T$2:$T$21,0))),INDEX(Lists!$U$2:$U$21,MATCH(TRIM(MID($AJ309,5,99)),Lists!$T$2:$T$21,0)),IF(OR(TRIM($J309)="",UPPER(TRIM($J309))="NA"),IFERROR(INDEX(Lists!$R$2:$R$9,MATCH(TRIM($G309),Lists!$Q$2:$Q$9,0)),"UNMAPPED"),IFERROR(INDEX(Lists!$U$2:$U$21,MATCH(TRIM($J309),Lists!$T$2:$T$21,0)),IFERROR(INDEX(Lists!$R$2:$R$9,MATCH(TRIM($G309),Lists!$Q$2:$Q$9,0)),"UNMAPPED"))))))))</f>
        <v>TDD Cyber</v>
      </c>
      <c r="AI309" s="534" t="b">
        <f>IF(TRIM($B309)="","",--OR(TRIM($L309)="Leadership",TRIM($K309)="Leadership"))</f>
        <v>0</v>
      </c>
      <c r="AJ309" s="534" t="str">
        <f>IF(TRIM($B309)="","",IF(COUNTIFS(Lists!$AN$2:$AN$22,TRIM($B309)&amp;" | "&amp;TRIM($D309),Lists!$AP$2:$AP$22,"&lt;&gt;"),INDEX(Lists!$AP$2:$AP$22,MATCH(TRIM($B309)&amp;" | "&amp;TRIM($D309),Lists!$AN$2:$AN$22,0)),IF($AI309=1,"Leadership",IFERROR(INDEX(Lists!$X$2:$X$21,MATCH(TRIM($L309),Lists!$W$2:$W$21,0)),IF(OR(TRIM($L309)="",LOWER(TRIM($L309))="na"),IF(TRIM($H309)="","Unassigned",TRIM($H309)),TRIM($L309))))))</f>
        <v>Identity</v>
      </c>
      <c r="AK309" s="534" t="str">
        <f>IF(TRIM($B309)="","",IF(COUNTIFS(Lists!$AN$2:$AN$22,TRIM($B309)&amp;" | "&amp;TRIM($D309),Lists!$AQ$2:$AQ$22,"&lt;&gt;"),INDEX(Lists!$AQ$2:$AQ$22,MATCH(TRIM($B309)&amp;" | "&amp;TRIM($D309),Lists!$AN$2:$AN$22,0)),IF(COUNTIF(Lists!$AF$2:$AF$8,$AJ309),$AJ309,IF(ISNUMBER(SEARCH("head of ",$D309)),"Head of Technology",IF(ISNUMBER(SEARCH("TDD BP",$D309)),"Business Partner",IF(OR(ISNUMBER(SEARCH("domain architect",$D309)),ISNUMBER(SEARCH("enterprise architect",$D309))),"Domain Architect",IF(ISNUMBER(SEARCH("delivery man",$D309)),"Delivery Manager",IF(OR(ISNUMBER(SEARCH("technology manager",$D309)),ISNUMBER(SEARCH("technology manger",$D309)),ISNUMBER(SEARCH("tech manager",$D309))),"Technology Manager","Squad"))))))))</f>
        <v>Squad</v>
      </c>
      <c r="AL309" s="534" t="str">
        <f>IF(TRIM($B309)="","",IF(AND($AM309=1,LEFT($AJ309,4)&lt;&gt;"EGI ",$AJ309&lt;&gt;"EGI"),IFERROR(INDEX(Lists!$Z$2:$Z$20,MATCH($AH309,Lists!$Y$2:$Y$20,0)),"EGI "&amp;$AH309),IF(COUNTIF(Lists!$AU$2:$AU$10,$AJ309),$AJ309,IF(OR(LEFT($AH309,3)="COE",$AH309="EGI"),$AJ309,IF($AK309&lt;&gt;"Squad",$AK309,$AJ309)))))</f>
        <v>Identity</v>
      </c>
      <c r="AM309" s="534" t="b">
        <f>IF(TRIM($B309)="","",--(UPPER(TRIM($K309))="EGI"))</f>
        <v>0</v>
      </c>
      <c r="AQ309" s="841" t="inlineStr">
        <is>
          <t>R0308</t>
        </is>
      </c>
      <c r="AZ309" s="841" t="n"/>
    </row>
    <row r="310" ht="18" customHeight="1" s="535">
      <c r="A310" s="842" t="inlineStr">
        <is>
          <t>V</t>
        </is>
      </c>
      <c r="B310" s="843" t="inlineStr">
        <is>
          <t>Vacant</t>
        </is>
      </c>
      <c r="C310" s="842" t="inlineStr">
        <is>
          <t>V</t>
        </is>
      </c>
      <c r="D310" s="843" t="inlineStr">
        <is>
          <t>Business Analyst</t>
        </is>
      </c>
      <c r="E310" s="843" t="inlineStr">
        <is>
          <t>Joel Vijayakumar</t>
        </is>
      </c>
      <c r="F310" s="843" t="inlineStr">
        <is>
          <t>Delivery Manager, Strategy, Architecture &amp; Data</t>
        </is>
      </c>
      <c r="G310" s="844" t="inlineStr">
        <is>
          <t>Strategy, Architecture &amp; Data</t>
        </is>
      </c>
      <c r="H310" s="843" t="inlineStr">
        <is>
          <t>Delivery, SADA</t>
        </is>
      </c>
      <c r="I310" s="843" t="n"/>
      <c r="J310" s="843" t="inlineStr">
        <is>
          <t>Enterprise Data</t>
        </is>
      </c>
      <c r="K310" s="843" t="inlineStr">
        <is>
          <t>EGI</t>
        </is>
      </c>
      <c r="L310" s="843" t="inlineStr">
        <is>
          <t>Reporting &amp; Analytics</t>
        </is>
      </c>
      <c r="M310" s="843" t="n"/>
      <c r="N310" s="845" t="inlineStr">
        <is>
          <t>Australia</t>
        </is>
      </c>
      <c r="O310" s="846" t="inlineStr">
        <is>
          <t>CIB</t>
        </is>
      </c>
      <c r="P310" s="847" t="n">
        <v>1</v>
      </c>
      <c r="Q310" s="847" t="n"/>
      <c r="R310" s="847" t="inlineStr">
        <is>
          <t>Pause</t>
        </is>
      </c>
      <c r="S310" s="847" t="n"/>
      <c r="T310" s="847" t="n"/>
      <c r="U310" s="848" t="n">
        <v>151950</v>
      </c>
      <c r="V310" s="849" t="n">
        <v>151950</v>
      </c>
      <c r="W310" s="850" t="n">
        <v>0.12</v>
      </c>
      <c r="X310" s="847" t="n">
        <v>0.055</v>
      </c>
      <c r="Y310" s="850" t="n">
        <v>0.12</v>
      </c>
      <c r="Z310" s="851" t="n"/>
      <c r="AA310" s="850" t="n">
        <v>0.04</v>
      </c>
      <c r="AB310" s="852" t="n">
        <v>202853.25</v>
      </c>
      <c r="AE310" s="534">
        <f>IF(TRIM($B310)="","",IF(AND(N($P310)&gt;0,N($P310)&lt;1),N($AB310)*N($P310),N($AB310)))</f>
        <v>202853.25</v>
      </c>
      <c r="AF310" s="534" t="str">
        <f>IF(TRIM($B310)="","",IF(OR(ISNUMBER(SEARCH("vacant",$B310)),ISNUMBER(SEARCH("ring fenced",$B310)),LOWER(TRIM($B310))="remove"),"Vacant","Filled"))</f>
        <v>Vacant</v>
      </c>
      <c r="AG310" s="534" t="b">
        <f>IF(TRIM($B310)="","",--ISNUMBER(SEARCH("ring fenced",$B310)))</f>
        <v>0</v>
      </c>
      <c r="AH310" s="534" t="str">
        <f>IF(TRIM($B310)="","",IF(COUNTIFS(Lists!$AN$2:$AN$22,TRIM($B310)&amp;" | "&amp;TRIM($D310),Lists!$AO$2:$AO$22,"&lt;&gt;"),INDEX(Lists!$AO$2:$AO$22,MATCH(TRIM($B310)&amp;" | "&amp;TRIM($D310),Lists!$AN$2:$AN$22,0)),IF(COUNTIF(Lists!$AR$2:$AR$3,$AJ310),"TDD Cyber",IF(AND(LEFT($AJ310,4)="EGI ",ISNUMBER(MATCH(TRIM(MID($AJ310,5,99)),Lists!$AS$2:$AS$12,0))),TRIM(MID($AJ310,5,99)),IF(AND(LEFT($AJ310,4)="EGI ",ISNUMBER(MATCH(TRIM(MID($AJ310,5,99)),Lists!$T$2:$T$21,0))),INDEX(Lists!$U$2:$U$21,MATCH(TRIM(MID($AJ310,5,99)),Lists!$T$2:$T$21,0)),IF(OR(TRIM($J310)="",UPPER(TRIM($J310))="NA"),IFERROR(INDEX(Lists!$R$2:$R$9,MATCH(TRIM($G310),Lists!$Q$2:$Q$9,0)),"UNMAPPED"),IFERROR(INDEX(Lists!$U$2:$U$21,MATCH(TRIM($J310),Lists!$T$2:$T$21,0)),IFERROR(INDEX(Lists!$R$2:$R$9,MATCH(TRIM($G310),Lists!$Q$2:$Q$9,0)),"UNMAPPED"))))))))</f>
        <v>Enterprise Data</v>
      </c>
      <c r="AI310" s="534" t="b">
        <f>IF(TRIM($B310)="","",--OR(TRIM($L310)="Leadership",TRIM($K310)="Leadership"))</f>
        <v>0</v>
      </c>
      <c r="AJ310" s="534" t="str">
        <f>IF(TRIM($B310)="","",IF(COUNTIFS(Lists!$AN$2:$AN$22,TRIM($B310)&amp;" | "&amp;TRIM($D310),Lists!$AP$2:$AP$22,"&lt;&gt;"),INDEX(Lists!$AP$2:$AP$22,MATCH(TRIM($B310)&amp;" | "&amp;TRIM($D310),Lists!$AN$2:$AN$22,0)),IF($AI310=1,"Leadership",IFERROR(INDEX(Lists!$X$2:$X$21,MATCH(TRIM($L310),Lists!$W$2:$W$21,0)),IF(OR(TRIM($L310)="",LOWER(TRIM($L310))="na"),IF(TRIM($H310)="","Unassigned",TRIM($H310)),TRIM($L310))))))</f>
        <v>Reporting &amp; Analytics</v>
      </c>
      <c r="AK310" s="534" t="str">
        <f>IF(TRIM($B310)="","",IF(COUNTIFS(Lists!$AN$2:$AN$22,TRIM($B310)&amp;" | "&amp;TRIM($D310),Lists!$AQ$2:$AQ$22,"&lt;&gt;"),INDEX(Lists!$AQ$2:$AQ$22,MATCH(TRIM($B310)&amp;" | "&amp;TRIM($D310),Lists!$AN$2:$AN$22,0)),IF(COUNTIF(Lists!$AF$2:$AF$8,$AJ310),$AJ310,IF(ISNUMBER(SEARCH("head of ",$D310)),"Head of Technology",IF(ISNUMBER(SEARCH("TDD BP",$D310)),"Business Partner",IF(OR(ISNUMBER(SEARCH("domain architect",$D310)),ISNUMBER(SEARCH("enterprise architect",$D310))),"Domain Architect",IF(ISNUMBER(SEARCH("delivery man",$D310)),"Delivery Manager",IF(OR(ISNUMBER(SEARCH("technology manager",$D310)),ISNUMBER(SEARCH("technology manger",$D310)),ISNUMBER(SEARCH("tech manager",$D310))),"Technology Manager","Squad"))))))))</f>
        <v>Squad</v>
      </c>
      <c r="AL310" s="534" t="str">
        <f>IF(TRIM($B310)="","",IF(AND($AM310=1,LEFT($AJ310,4)&lt;&gt;"EGI ",$AJ310&lt;&gt;"EGI"),IFERROR(INDEX(Lists!$Z$2:$Z$20,MATCH($AH310,Lists!$Y$2:$Y$20,0)),"EGI "&amp;$AH310),IF(COUNTIF(Lists!$AU$2:$AU$10,$AJ310),$AJ310,IF(OR(LEFT($AH310,3)="COE",$AH310="EGI"),$AJ310,IF($AK310&lt;&gt;"Squad",$AK310,$AJ310)))))</f>
        <v>EGI Ent Data</v>
      </c>
      <c r="AM310" s="534" t="b">
        <f>IF(TRIM($B310)="","",--(UPPER(TRIM($K310))="EGI"))</f>
        <v>1</v>
      </c>
      <c r="AQ310" s="841" t="inlineStr">
        <is>
          <t>R0309</t>
        </is>
      </c>
      <c r="AZ310" s="841" t="n"/>
    </row>
    <row r="311" ht="18" customHeight="1" s="535">
      <c r="A311" s="842" t="inlineStr">
        <is>
          <t>V</t>
        </is>
      </c>
      <c r="B311" s="843" t="inlineStr">
        <is>
          <t>Vacant</t>
        </is>
      </c>
      <c r="C311" s="842" t="inlineStr">
        <is>
          <t>V</t>
        </is>
      </c>
      <c r="D311" s="843" t="inlineStr">
        <is>
          <t>Business Analyst</t>
        </is>
      </c>
      <c r="E311" s="843" t="inlineStr">
        <is>
          <t>Joel Vijayakumar</t>
        </is>
      </c>
      <c r="F311" s="843" t="inlineStr">
        <is>
          <t>Delivery Manager, Strategy, Architecture &amp; Data</t>
        </is>
      </c>
      <c r="G311" s="844" t="inlineStr">
        <is>
          <t>Strategy, Architecture &amp; Data</t>
        </is>
      </c>
      <c r="H311" s="843" t="inlineStr">
        <is>
          <t>Delivery, SADA</t>
        </is>
      </c>
      <c r="I311" s="843" t="n"/>
      <c r="J311" s="843" t="inlineStr">
        <is>
          <t>Enterprise Data</t>
        </is>
      </c>
      <c r="K311" s="843" t="inlineStr">
        <is>
          <t>Group Data</t>
        </is>
      </c>
      <c r="L311" s="843" t="inlineStr">
        <is>
          <t>Data Platform</t>
        </is>
      </c>
      <c r="M311" s="843" t="n"/>
      <c r="N311" s="845" t="inlineStr">
        <is>
          <t>Australia</t>
        </is>
      </c>
      <c r="O311" s="846" t="inlineStr">
        <is>
          <t>CIB</t>
        </is>
      </c>
      <c r="P311" s="847" t="n">
        <v>1</v>
      </c>
      <c r="Q311" s="846" t="n"/>
      <c r="R311" s="847" t="inlineStr">
        <is>
          <t>V</t>
        </is>
      </c>
      <c r="S311" s="847" t="n"/>
      <c r="T311" s="847" t="n"/>
      <c r="U311" s="848" t="n">
        <v>151950</v>
      </c>
      <c r="V311" s="849" t="n">
        <v>151950</v>
      </c>
      <c r="W311" s="850" t="n">
        <v>0.12</v>
      </c>
      <c r="X311" s="847" t="n">
        <v>0.055</v>
      </c>
      <c r="Y311" s="850" t="n">
        <v>0.12</v>
      </c>
      <c r="Z311" s="851" t="n"/>
      <c r="AA311" s="850" t="n">
        <v>0.04</v>
      </c>
      <c r="AB311" s="852" t="n">
        <v>202853.25</v>
      </c>
      <c r="AE311" s="534">
        <f>IF(TRIM($B311)="","",IF(AND(N($P311)&gt;0,N($P311)&lt;1),N($AB311)*N($P311),N($AB311)))</f>
        <v>202853.25</v>
      </c>
      <c r="AF311" s="534" t="str">
        <f>IF(TRIM($B311)="","",IF(OR(ISNUMBER(SEARCH("vacant",$B311)),ISNUMBER(SEARCH("ring fenced",$B311)),LOWER(TRIM($B311))="remove"),"Vacant","Filled"))</f>
        <v>Vacant</v>
      </c>
      <c r="AG311" s="534" t="b">
        <f>IF(TRIM($B311)="","",--ISNUMBER(SEARCH("ring fenced",$B311)))</f>
        <v>0</v>
      </c>
      <c r="AH311" s="534" t="str">
        <f>IF(TRIM($B311)="","",IF(COUNTIFS(Lists!$AN$2:$AN$22,TRIM($B311)&amp;" | "&amp;TRIM($D311),Lists!$AO$2:$AO$22,"&lt;&gt;"),INDEX(Lists!$AO$2:$AO$22,MATCH(TRIM($B311)&amp;" | "&amp;TRIM($D311),Lists!$AN$2:$AN$22,0)),IF(COUNTIF(Lists!$AR$2:$AR$3,$AJ311),"TDD Cyber",IF(AND(LEFT($AJ311,4)="EGI ",ISNUMBER(MATCH(TRIM(MID($AJ311,5,99)),Lists!$AS$2:$AS$12,0))),TRIM(MID($AJ311,5,99)),IF(AND(LEFT($AJ311,4)="EGI ",ISNUMBER(MATCH(TRIM(MID($AJ311,5,99)),Lists!$T$2:$T$21,0))),INDEX(Lists!$U$2:$U$21,MATCH(TRIM(MID($AJ311,5,99)),Lists!$T$2:$T$21,0)),IF(OR(TRIM($J311)="",UPPER(TRIM($J311))="NA"),IFERROR(INDEX(Lists!$R$2:$R$9,MATCH(TRIM($G311),Lists!$Q$2:$Q$9,0)),"UNMAPPED"),IFERROR(INDEX(Lists!$U$2:$U$21,MATCH(TRIM($J311),Lists!$T$2:$T$21,0)),IFERROR(INDEX(Lists!$R$2:$R$9,MATCH(TRIM($G311),Lists!$Q$2:$Q$9,0)),"UNMAPPED"))))))))</f>
        <v>Enterprise Data</v>
      </c>
      <c r="AI311" s="534" t="b">
        <f>IF(TRIM($B311)="","",--OR(TRIM($L311)="Leadership",TRIM($K311)="Leadership"))</f>
        <v>0</v>
      </c>
      <c r="AJ311" s="534" t="str">
        <f>IF(TRIM($B311)="","",IF(COUNTIFS(Lists!$AN$2:$AN$22,TRIM($B311)&amp;" | "&amp;TRIM($D311),Lists!$AP$2:$AP$22,"&lt;&gt;"),INDEX(Lists!$AP$2:$AP$22,MATCH(TRIM($B311)&amp;" | "&amp;TRIM($D311),Lists!$AN$2:$AN$22,0)),IF($AI311=1,"Leadership",IFERROR(INDEX(Lists!$X$2:$X$21,MATCH(TRIM($L311),Lists!$W$2:$W$21,0)),IF(OR(TRIM($L311)="",LOWER(TRIM($L311))="na"),IF(TRIM($H311)="","Unassigned",TRIM($H311)),TRIM($L311))))))</f>
        <v>Data Platforms</v>
      </c>
      <c r="AK311" s="534" t="str">
        <f>IF(TRIM($B311)="","",IF(COUNTIFS(Lists!$AN$2:$AN$22,TRIM($B311)&amp;" | "&amp;TRIM($D311),Lists!$AQ$2:$AQ$22,"&lt;&gt;"),INDEX(Lists!$AQ$2:$AQ$22,MATCH(TRIM($B311)&amp;" | "&amp;TRIM($D311),Lists!$AN$2:$AN$22,0)),IF(COUNTIF(Lists!$AF$2:$AF$8,$AJ311),$AJ311,IF(ISNUMBER(SEARCH("head of ",$D311)),"Head of Technology",IF(ISNUMBER(SEARCH("TDD BP",$D311)),"Business Partner",IF(OR(ISNUMBER(SEARCH("domain architect",$D311)),ISNUMBER(SEARCH("enterprise architect",$D311))),"Domain Architect",IF(ISNUMBER(SEARCH("delivery man",$D311)),"Delivery Manager",IF(OR(ISNUMBER(SEARCH("technology manager",$D311)),ISNUMBER(SEARCH("technology manger",$D311)),ISNUMBER(SEARCH("tech manager",$D311))),"Technology Manager","Squad"))))))))</f>
        <v>Squad</v>
      </c>
      <c r="AL311" s="534" t="str">
        <f>IF(TRIM($B311)="","",IF(AND($AM311=1,LEFT($AJ311,4)&lt;&gt;"EGI ",$AJ311&lt;&gt;"EGI"),IFERROR(INDEX(Lists!$Z$2:$Z$20,MATCH($AH311,Lists!$Y$2:$Y$20,0)),"EGI "&amp;$AH311),IF(COUNTIF(Lists!$AU$2:$AU$10,$AJ311),$AJ311,IF(OR(LEFT($AH311,3)="COE",$AH311="EGI"),$AJ311,IF($AK311&lt;&gt;"Squad",$AK311,$AJ311)))))</f>
        <v>Data Platforms</v>
      </c>
      <c r="AM311" s="534" t="b">
        <f>IF(TRIM($B311)="","",--(UPPER(TRIM($K311))="EGI"))</f>
        <v>0</v>
      </c>
      <c r="AQ311" s="841" t="inlineStr">
        <is>
          <t>R0310</t>
        </is>
      </c>
      <c r="AZ311" s="841" t="n"/>
    </row>
    <row r="312" ht="18" customHeight="1" s="535">
      <c r="A312" s="842" t="n">
        <v>110830</v>
      </c>
      <c r="B312" s="843" t="inlineStr">
        <is>
          <t>Jason Satoso</t>
        </is>
      </c>
      <c r="C312" s="842" t="n">
        <v>110830</v>
      </c>
      <c r="D312" s="843" t="inlineStr">
        <is>
          <t>Cloud Operations Engineer</t>
        </is>
      </c>
      <c r="E312" s="843" t="inlineStr">
        <is>
          <t>John McCormack</t>
        </is>
      </c>
      <c r="F312" s="843" t="inlineStr">
        <is>
          <t>Manager - Infrastructure Operations</t>
        </is>
      </c>
      <c r="G312" s="844" t="inlineStr">
        <is>
          <t>TDD Group Functions</t>
        </is>
      </c>
      <c r="H312" s="843" t="inlineStr">
        <is>
          <t>TDD &amp; Engineering</t>
        </is>
      </c>
      <c r="I312" s="843" t="inlineStr">
        <is>
          <t>Cloud, Network &amp; Infra</t>
        </is>
      </c>
      <c r="J312" s="843" t="inlineStr">
        <is>
          <t>TDD</t>
        </is>
      </c>
      <c r="K312" s="843" t="inlineStr">
        <is>
          <t>TDD</t>
        </is>
      </c>
      <c r="L312" s="843" t="inlineStr">
        <is>
          <t>Cloud, Network &amp; Infra Ops</t>
        </is>
      </c>
      <c r="M312" s="843" t="n"/>
      <c r="N312" s="845" t="inlineStr">
        <is>
          <t>Australia</t>
        </is>
      </c>
      <c r="O312" s="846" t="inlineStr">
        <is>
          <t>CIB</t>
        </is>
      </c>
      <c r="P312" s="847" t="n">
        <v>1</v>
      </c>
      <c r="Q312" s="847" t="n"/>
      <c r="R312" s="847" t="inlineStr">
        <is>
          <t>Permanent - Full Time</t>
        </is>
      </c>
      <c r="S312" s="847" t="n"/>
      <c r="T312" s="847" t="n"/>
      <c r="U312" s="848" t="n">
        <v>154450</v>
      </c>
      <c r="V312" s="849" t="n">
        <v>154450</v>
      </c>
      <c r="W312" s="850" t="n">
        <v>0.12</v>
      </c>
      <c r="X312" s="847" t="n">
        <v>0.055</v>
      </c>
      <c r="Y312" s="850" t="n">
        <v>0.12</v>
      </c>
      <c r="Z312" s="851" t="n"/>
      <c r="AA312" s="850" t="n">
        <v>0.04</v>
      </c>
      <c r="AB312" s="852" t="n">
        <v>206190.75</v>
      </c>
      <c r="AE312" s="534">
        <f>IF(TRIM($B312)="","",IF(AND(N($P312)&gt;0,N($P312)&lt;1),N($AB312)*N($P312),N($AB312)))</f>
        <v>206190.75</v>
      </c>
      <c r="AF312" s="534" t="str">
        <f>IF(TRIM($B312)="","",IF(OR(ISNUMBER(SEARCH("vacant",$B312)),ISNUMBER(SEARCH("ring fenced",$B312)),LOWER(TRIM($B312))="remove"),"Vacant","Filled"))</f>
        <v>Filled</v>
      </c>
      <c r="AG312" s="534" t="b">
        <f>IF(TRIM($B312)="","",--ISNUMBER(SEARCH("ring fenced",$B312)))</f>
        <v>0</v>
      </c>
      <c r="AH312" s="853" t="str">
        <f>IF(TRIM($B312)="","",IF(COUNTIFS(Lists!$AN$2:$AN$22,TRIM($B312)&amp;" | "&amp;TRIM($D312),Lists!$AO$2:$AO$22,"&lt;&gt;"),INDEX(Lists!$AO$2:$AO$22,MATCH(TRIM($B312)&amp;" | "&amp;TRIM($D312),Lists!$AN$2:$AN$22,0)),IF(COUNTIF(Lists!$AR$2:$AR$3,$AJ312),"TDD Cyber",IF(AND(LEFT($AJ312,4)="EGI ",ISNUMBER(MATCH(TRIM(MID($AJ312,5,99)),Lists!$AS$2:$AS$12,0))),TRIM(MID($AJ312,5,99)),IF(AND(LEFT($AJ312,4)="EGI ",ISNUMBER(MATCH(TRIM(MID($AJ312,5,99)),Lists!$T$2:$T$21,0))),INDEX(Lists!$U$2:$U$21,MATCH(TRIM(MID($AJ312,5,99)),Lists!$T$2:$T$21,0)),IF(OR(TRIM($J312)="",UPPER(TRIM($J312))="NA"),IFERROR(INDEX(Lists!$R$2:$R$9,MATCH(TRIM($G312),Lists!$Q$2:$Q$9,0)),"UNMAPPED"),IFERROR(INDEX(Lists!$U$2:$U$21,MATCH(TRIM($J312),Lists!$T$2:$T$21,0)),IFERROR(INDEX(Lists!$R$2:$R$9,MATCH(TRIM($G312),Lists!$Q$2:$Q$9,0)),"UNMAPPED"))))))))</f>
        <v>TDD Group Functions</v>
      </c>
      <c r="AI312" s="534" t="b">
        <f>IF(TRIM($B312)="","",--OR(TRIM($L312)="Leadership",TRIM($K312)="Leadership"))</f>
        <v>0</v>
      </c>
      <c r="AJ312" s="534" t="str">
        <f>IF(TRIM($B312)="","",IF(COUNTIFS(Lists!$AN$2:$AN$22,TRIM($B312)&amp;" | "&amp;TRIM($D312),Lists!$AP$2:$AP$22,"&lt;&gt;"),INDEX(Lists!$AP$2:$AP$22,MATCH(TRIM($B312)&amp;" | "&amp;TRIM($D312),Lists!$AN$2:$AN$22,0)),IF($AI312=1,"Leadership",IFERROR(INDEX(Lists!$X$2:$X$21,MATCH(TRIM($L312),Lists!$W$2:$W$21,0)),IF(OR(TRIM($L312)="",LOWER(TRIM($L312))="na"),IF(TRIM($H312)="","Unassigned",TRIM($H312)),TRIM($L312))))))</f>
        <v>Cloud, Network &amp; Infra Ops</v>
      </c>
      <c r="AK312" s="534" t="str">
        <f>IF(TRIM($B312)="","",IF(COUNTIFS(Lists!$AN$2:$AN$22,TRIM($B312)&amp;" | "&amp;TRIM($D312),Lists!$AQ$2:$AQ$22,"&lt;&gt;"),INDEX(Lists!$AQ$2:$AQ$22,MATCH(TRIM($B312)&amp;" | "&amp;TRIM($D312),Lists!$AN$2:$AN$22,0)),IF(COUNTIF(Lists!$AF$2:$AF$8,$AJ312),$AJ312,IF(ISNUMBER(SEARCH("head of ",$D312)),"Head of Technology",IF(ISNUMBER(SEARCH("TDD BP",$D312)),"Business Partner",IF(OR(ISNUMBER(SEARCH("domain architect",$D312)),ISNUMBER(SEARCH("enterprise architect",$D312))),"Domain Architect",IF(ISNUMBER(SEARCH("delivery man",$D312)),"Delivery Manager",IF(OR(ISNUMBER(SEARCH("technology manager",$D312)),ISNUMBER(SEARCH("technology manger",$D312)),ISNUMBER(SEARCH("tech manager",$D312))),"Technology Manager","Squad"))))))))</f>
        <v>Squad</v>
      </c>
      <c r="AL312" s="534" t="str">
        <f>IF(TRIM($B312)="","",IF(AND($AM312=1,LEFT($AJ312,4)&lt;&gt;"EGI ",$AJ312&lt;&gt;"EGI"),IFERROR(INDEX(Lists!$Z$2:$Z$20,MATCH($AH312,Lists!$Y$2:$Y$20,0)),"EGI "&amp;$AH312),IF(COUNTIF(Lists!$AU$2:$AU$10,$AJ312),$AJ312,IF(OR(LEFT($AH312,3)="COE",$AH312="EGI"),$AJ312,IF($AK312&lt;&gt;"Squad",$AK312,$AJ312)))))</f>
        <v>Cloud, Network &amp; Infra Ops</v>
      </c>
      <c r="AM312" s="534" t="b">
        <f>IF(TRIM($B312)="","",--(UPPER(TRIM($K312))="EGI"))</f>
        <v>0</v>
      </c>
      <c r="AQ312" s="841" t="inlineStr">
        <is>
          <t>R0311</t>
        </is>
      </c>
      <c r="AZ312" s="841" t="n"/>
    </row>
    <row r="313" ht="18" customHeight="1" s="535">
      <c r="A313" s="842" t="n">
        <v>106117</v>
      </c>
      <c r="B313" s="843" t="inlineStr">
        <is>
          <t>Muhammad Abubaker</t>
        </is>
      </c>
      <c r="C313" s="842" t="n">
        <v>106117</v>
      </c>
      <c r="D313" s="843" t="inlineStr">
        <is>
          <t>Network Operations Engineer</t>
        </is>
      </c>
      <c r="E313" s="843" t="inlineStr">
        <is>
          <t>John McCormack</t>
        </is>
      </c>
      <c r="F313" s="843" t="inlineStr">
        <is>
          <t>Manager - Infrastructure Operations</t>
        </is>
      </c>
      <c r="G313" s="844" t="inlineStr">
        <is>
          <t>TDD Group Functions</t>
        </is>
      </c>
      <c r="H313" s="843" t="inlineStr">
        <is>
          <t>TDD &amp; Engineering</t>
        </is>
      </c>
      <c r="I313" s="843" t="inlineStr">
        <is>
          <t>Cloud, Network &amp; Infra</t>
        </is>
      </c>
      <c r="J313" s="843" t="inlineStr">
        <is>
          <t>TDD</t>
        </is>
      </c>
      <c r="K313" s="843" t="inlineStr">
        <is>
          <t>TDD</t>
        </is>
      </c>
      <c r="L313" s="843" t="inlineStr">
        <is>
          <t>Cloud, Network &amp; Infra Ops</t>
        </is>
      </c>
      <c r="M313" s="843" t="n"/>
      <c r="N313" s="845" t="inlineStr">
        <is>
          <t>Australia</t>
        </is>
      </c>
      <c r="O313" s="846" t="inlineStr">
        <is>
          <t>CIB</t>
        </is>
      </c>
      <c r="P313" s="847" t="n">
        <v>1</v>
      </c>
      <c r="Q313" s="846" t="n"/>
      <c r="R313" s="847" t="inlineStr">
        <is>
          <t>Permanent - Full Time</t>
        </is>
      </c>
      <c r="S313" s="847" t="n"/>
      <c r="T313" s="847" t="n"/>
      <c r="U313" s="848" t="n">
        <v>163040</v>
      </c>
      <c r="V313" s="849" t="n">
        <v>163040</v>
      </c>
      <c r="W313" s="850" t="n">
        <v>0.12</v>
      </c>
      <c r="X313" s="847" t="n">
        <v>0.055</v>
      </c>
      <c r="Y313" s="850" t="n">
        <v>0.12</v>
      </c>
      <c r="Z313" s="851" t="n"/>
      <c r="AA313" s="850" t="n">
        <v>0.04</v>
      </c>
      <c r="AB313" s="852" t="n">
        <v>217658.4</v>
      </c>
      <c r="AE313" s="534">
        <f>IF(TRIM($B313)="","",IF(AND(N($P313)&gt;0,N($P313)&lt;1),N($AB313)*N($P313),N($AB313)))</f>
        <v>217658.4</v>
      </c>
      <c r="AF313" s="534" t="str">
        <f>IF(TRIM($B313)="","",IF(OR(ISNUMBER(SEARCH("vacant",$B313)),ISNUMBER(SEARCH("ring fenced",$B313)),LOWER(TRIM($B313))="remove"),"Vacant","Filled"))</f>
        <v>Filled</v>
      </c>
      <c r="AG313" s="534" t="b">
        <f>IF(TRIM($B313)="","",--ISNUMBER(SEARCH("ring fenced",$B313)))</f>
        <v>0</v>
      </c>
      <c r="AH313" s="534" t="str">
        <f>IF(TRIM($B313)="","",IF(COUNTIFS(Lists!$AN$2:$AN$22,TRIM($B313)&amp;" | "&amp;TRIM($D313),Lists!$AO$2:$AO$22,"&lt;&gt;"),INDEX(Lists!$AO$2:$AO$22,MATCH(TRIM($B313)&amp;" | "&amp;TRIM($D313),Lists!$AN$2:$AN$22,0)),IF(COUNTIF(Lists!$AR$2:$AR$3,$AJ313),"TDD Cyber",IF(AND(LEFT($AJ313,4)="EGI ",ISNUMBER(MATCH(TRIM(MID($AJ313,5,99)),Lists!$AS$2:$AS$12,0))),TRIM(MID($AJ313,5,99)),IF(AND(LEFT($AJ313,4)="EGI ",ISNUMBER(MATCH(TRIM(MID($AJ313,5,99)),Lists!$T$2:$T$21,0))),INDEX(Lists!$U$2:$U$21,MATCH(TRIM(MID($AJ313,5,99)),Lists!$T$2:$T$21,0)),IF(OR(TRIM($J313)="",UPPER(TRIM($J313))="NA"),IFERROR(INDEX(Lists!$R$2:$R$9,MATCH(TRIM($G313),Lists!$Q$2:$Q$9,0)),"UNMAPPED"),IFERROR(INDEX(Lists!$U$2:$U$21,MATCH(TRIM($J313),Lists!$T$2:$T$21,0)),IFERROR(INDEX(Lists!$R$2:$R$9,MATCH(TRIM($G313),Lists!$Q$2:$Q$9,0)),"UNMAPPED"))))))))</f>
        <v>TDD Group Functions</v>
      </c>
      <c r="AI313" s="534" t="b">
        <f>IF(TRIM($B313)="","",--OR(TRIM($L313)="Leadership",TRIM($K313)="Leadership"))</f>
        <v>0</v>
      </c>
      <c r="AJ313" s="534" t="str">
        <f>IF(TRIM($B313)="","",IF(COUNTIFS(Lists!$AN$2:$AN$22,TRIM($B313)&amp;" | "&amp;TRIM($D313),Lists!$AP$2:$AP$22,"&lt;&gt;"),INDEX(Lists!$AP$2:$AP$22,MATCH(TRIM($B313)&amp;" | "&amp;TRIM($D313),Lists!$AN$2:$AN$22,0)),IF($AI313=1,"Leadership",IFERROR(INDEX(Lists!$X$2:$X$21,MATCH(TRIM($L313),Lists!$W$2:$W$21,0)),IF(OR(TRIM($L313)="",LOWER(TRIM($L313))="na"),IF(TRIM($H313)="","Unassigned",TRIM($H313)),TRIM($L313))))))</f>
        <v>Cloud, Network &amp; Infra Ops</v>
      </c>
      <c r="AK313" s="534" t="str">
        <f>IF(TRIM($B313)="","",IF(COUNTIFS(Lists!$AN$2:$AN$22,TRIM($B313)&amp;" | "&amp;TRIM($D313),Lists!$AQ$2:$AQ$22,"&lt;&gt;"),INDEX(Lists!$AQ$2:$AQ$22,MATCH(TRIM($B313)&amp;" | "&amp;TRIM($D313),Lists!$AN$2:$AN$22,0)),IF(COUNTIF(Lists!$AF$2:$AF$8,$AJ313),$AJ313,IF(ISNUMBER(SEARCH("head of ",$D313)),"Head of Technology",IF(ISNUMBER(SEARCH("TDD BP",$D313)),"Business Partner",IF(OR(ISNUMBER(SEARCH("domain architect",$D313)),ISNUMBER(SEARCH("enterprise architect",$D313))),"Domain Architect",IF(ISNUMBER(SEARCH("delivery man",$D313)),"Delivery Manager",IF(OR(ISNUMBER(SEARCH("technology manager",$D313)),ISNUMBER(SEARCH("technology manger",$D313)),ISNUMBER(SEARCH("tech manager",$D313))),"Technology Manager","Squad"))))))))</f>
        <v>Squad</v>
      </c>
      <c r="AL313" s="534" t="str">
        <f>IF(TRIM($B313)="","",IF(AND($AM313=1,LEFT($AJ313,4)&lt;&gt;"EGI ",$AJ313&lt;&gt;"EGI"),IFERROR(INDEX(Lists!$Z$2:$Z$20,MATCH($AH313,Lists!$Y$2:$Y$20,0)),"EGI "&amp;$AH313),IF(COUNTIF(Lists!$AU$2:$AU$10,$AJ313),$AJ313,IF(OR(LEFT($AH313,3)="COE",$AH313="EGI"),$AJ313,IF($AK313&lt;&gt;"Squad",$AK313,$AJ313)))))</f>
        <v>Cloud, Network &amp; Infra Ops</v>
      </c>
      <c r="AM313" s="534" t="b">
        <f>IF(TRIM($B313)="","",--(UPPER(TRIM($K313))="EGI"))</f>
        <v>0</v>
      </c>
      <c r="AQ313" s="841" t="inlineStr">
        <is>
          <t>R0312</t>
        </is>
      </c>
      <c r="AZ313" s="841" t="n"/>
    </row>
    <row r="314" ht="18" customHeight="1" s="535">
      <c r="A314" s="842" t="inlineStr">
        <is>
          <t>V</t>
        </is>
      </c>
      <c r="B314" s="843" t="inlineStr">
        <is>
          <t>Vacant</t>
        </is>
      </c>
      <c r="C314" s="842" t="inlineStr">
        <is>
          <t>V</t>
        </is>
      </c>
      <c r="D314" s="843" t="inlineStr">
        <is>
          <t>Infrastructure Operations Lead</t>
        </is>
      </c>
      <c r="E314" s="843" t="inlineStr">
        <is>
          <t>John McCormack</t>
        </is>
      </c>
      <c r="F314" s="843" t="inlineStr">
        <is>
          <t>Manager - Infrastructure Operations</t>
        </is>
      </c>
      <c r="G314" s="844" t="inlineStr">
        <is>
          <t>TDD Group Functions</t>
        </is>
      </c>
      <c r="H314" s="843" t="inlineStr">
        <is>
          <t>TDD &amp; Engineering</t>
        </is>
      </c>
      <c r="I314" s="843" t="inlineStr">
        <is>
          <t>Cloud, Network &amp; Infra</t>
        </is>
      </c>
      <c r="J314" s="843" t="inlineStr">
        <is>
          <t>TDD</t>
        </is>
      </c>
      <c r="K314" s="843" t="inlineStr">
        <is>
          <t>TDD</t>
        </is>
      </c>
      <c r="L314" s="843" t="inlineStr">
        <is>
          <t>Cloud, Network &amp; Infra Ops</t>
        </is>
      </c>
      <c r="M314" s="843" t="n"/>
      <c r="N314" s="845" t="inlineStr">
        <is>
          <t>Australia</t>
        </is>
      </c>
      <c r="O314" s="846" t="inlineStr">
        <is>
          <t>CIB</t>
        </is>
      </c>
      <c r="P314" s="847" t="n">
        <v>1</v>
      </c>
      <c r="Q314" s="846" t="n"/>
      <c r="R314" s="847" t="inlineStr">
        <is>
          <t>v</t>
        </is>
      </c>
      <c r="S314" s="847" t="n"/>
      <c r="T314" s="847" t="n"/>
      <c r="U314" s="848" t="n">
        <v>151950</v>
      </c>
      <c r="V314" s="849" t="n">
        <v>151950</v>
      </c>
      <c r="W314" s="850" t="n">
        <v>0.12</v>
      </c>
      <c r="X314" s="847" t="n">
        <v>0.055</v>
      </c>
      <c r="Y314" s="850" t="n">
        <v>0.12</v>
      </c>
      <c r="Z314" s="851" t="n"/>
      <c r="AA314" s="850" t="n">
        <v>0.04</v>
      </c>
      <c r="AB314" s="852" t="n">
        <v>202853.25</v>
      </c>
      <c r="AE314" s="534">
        <f>IF(TRIM($B314)="","",IF(AND(N($P314)&gt;0,N($P314)&lt;1),N($AB314)*N($P314),N($AB314)))</f>
        <v>202853.25</v>
      </c>
      <c r="AF314" s="534" t="str">
        <f>IF(TRIM($B314)="","",IF(OR(ISNUMBER(SEARCH("vacant",$B314)),ISNUMBER(SEARCH("ring fenced",$B314)),LOWER(TRIM($B314))="remove"),"Vacant","Filled"))</f>
        <v>Vacant</v>
      </c>
      <c r="AG314" s="534" t="b">
        <f>IF(TRIM($B314)="","",--ISNUMBER(SEARCH("ring fenced",$B314)))</f>
        <v>0</v>
      </c>
      <c r="AH314" s="534" t="str">
        <f>IF(TRIM($B314)="","",IF(COUNTIFS(Lists!$AN$2:$AN$22,TRIM($B314)&amp;" | "&amp;TRIM($D314),Lists!$AO$2:$AO$22,"&lt;&gt;"),INDEX(Lists!$AO$2:$AO$22,MATCH(TRIM($B314)&amp;" | "&amp;TRIM($D314),Lists!$AN$2:$AN$22,0)),IF(COUNTIF(Lists!$AR$2:$AR$3,$AJ314),"TDD Cyber",IF(AND(LEFT($AJ314,4)="EGI ",ISNUMBER(MATCH(TRIM(MID($AJ314,5,99)),Lists!$AS$2:$AS$12,0))),TRIM(MID($AJ314,5,99)),IF(AND(LEFT($AJ314,4)="EGI ",ISNUMBER(MATCH(TRIM(MID($AJ314,5,99)),Lists!$T$2:$T$21,0))),INDEX(Lists!$U$2:$U$21,MATCH(TRIM(MID($AJ314,5,99)),Lists!$T$2:$T$21,0)),IF(OR(TRIM($J314)="",UPPER(TRIM($J314))="NA"),IFERROR(INDEX(Lists!$R$2:$R$9,MATCH(TRIM($G314),Lists!$Q$2:$Q$9,0)),"UNMAPPED"),IFERROR(INDEX(Lists!$U$2:$U$21,MATCH(TRIM($J314),Lists!$T$2:$T$21,0)),IFERROR(INDEX(Lists!$R$2:$R$9,MATCH(TRIM($G314),Lists!$Q$2:$Q$9,0)),"UNMAPPED"))))))))</f>
        <v>TDD Group Functions</v>
      </c>
      <c r="AI314" s="534" t="b">
        <f>IF(TRIM($B314)="","",--OR(TRIM($L314)="Leadership",TRIM($K314)="Leadership"))</f>
        <v>0</v>
      </c>
      <c r="AJ314" s="534" t="str">
        <f>IF(TRIM($B314)="","",IF(COUNTIFS(Lists!$AN$2:$AN$22,TRIM($B314)&amp;" | "&amp;TRIM($D314),Lists!$AP$2:$AP$22,"&lt;&gt;"),INDEX(Lists!$AP$2:$AP$22,MATCH(TRIM($B314)&amp;" | "&amp;TRIM($D314),Lists!$AN$2:$AN$22,0)),IF($AI314=1,"Leadership",IFERROR(INDEX(Lists!$X$2:$X$21,MATCH(TRIM($L314),Lists!$W$2:$W$21,0)),IF(OR(TRIM($L314)="",LOWER(TRIM($L314))="na"),IF(TRIM($H314)="","Unassigned",TRIM($H314)),TRIM($L314))))))</f>
        <v>Cloud, Network &amp; Infra Ops</v>
      </c>
      <c r="AK314" s="534" t="str">
        <f>IF(TRIM($B314)="","",IF(COUNTIFS(Lists!$AN$2:$AN$22,TRIM($B314)&amp;" | "&amp;TRIM($D314),Lists!$AQ$2:$AQ$22,"&lt;&gt;"),INDEX(Lists!$AQ$2:$AQ$22,MATCH(TRIM($B314)&amp;" | "&amp;TRIM($D314),Lists!$AN$2:$AN$22,0)),IF(COUNTIF(Lists!$AF$2:$AF$8,$AJ314),$AJ314,IF(ISNUMBER(SEARCH("head of ",$D314)),"Head of Technology",IF(ISNUMBER(SEARCH("TDD BP",$D314)),"Business Partner",IF(OR(ISNUMBER(SEARCH("domain architect",$D314)),ISNUMBER(SEARCH("enterprise architect",$D314))),"Domain Architect",IF(ISNUMBER(SEARCH("delivery man",$D314)),"Delivery Manager",IF(OR(ISNUMBER(SEARCH("technology manager",$D314)),ISNUMBER(SEARCH("technology manger",$D314)),ISNUMBER(SEARCH("tech manager",$D314))),"Technology Manager","Squad"))))))))</f>
        <v>Squad</v>
      </c>
      <c r="AL314" s="534" t="str">
        <f>IF(TRIM($B314)="","",IF(AND($AM314=1,LEFT($AJ314,4)&lt;&gt;"EGI ",$AJ314&lt;&gt;"EGI"),IFERROR(INDEX(Lists!$Z$2:$Z$20,MATCH($AH314,Lists!$Y$2:$Y$20,0)),"EGI "&amp;$AH314),IF(COUNTIF(Lists!$AU$2:$AU$10,$AJ314),$AJ314,IF(OR(LEFT($AH314,3)="COE",$AH314="EGI"),$AJ314,IF($AK314&lt;&gt;"Squad",$AK314,$AJ314)))))</f>
        <v>Cloud, Network &amp; Infra Ops</v>
      </c>
      <c r="AM314" s="534" t="b">
        <f>IF(TRIM($B314)="","",--(UPPER(TRIM($K314))="EGI"))</f>
        <v>0</v>
      </c>
      <c r="AQ314" s="841" t="inlineStr">
        <is>
          <t>R0313</t>
        </is>
      </c>
      <c r="AZ314" s="841" t="n"/>
    </row>
    <row r="315" ht="18" customHeight="1" s="535">
      <c r="A315" s="842" t="inlineStr">
        <is>
          <t>v</t>
        </is>
      </c>
      <c r="B315" s="843" t="inlineStr">
        <is>
          <t>vacant</t>
        </is>
      </c>
      <c r="C315" s="842" t="inlineStr">
        <is>
          <t>v</t>
        </is>
      </c>
      <c r="D315" s="843" t="inlineStr">
        <is>
          <t>Snr BA</t>
        </is>
      </c>
      <c r="E315" s="843" t="inlineStr">
        <is>
          <t>John McCormack</t>
        </is>
      </c>
      <c r="F315" s="843" t="inlineStr">
        <is>
          <t>Manager - Infrastructure Operations</t>
        </is>
      </c>
      <c r="G315" s="844" t="inlineStr">
        <is>
          <t>TDD Group Functions</t>
        </is>
      </c>
      <c r="H315" s="843" t="inlineStr">
        <is>
          <t>TDD &amp; Engineering</t>
        </is>
      </c>
      <c r="I315" s="843" t="inlineStr">
        <is>
          <t>Cloud, Network &amp; Infra</t>
        </is>
      </c>
      <c r="J315" s="843" t="inlineStr">
        <is>
          <t>TDD</t>
        </is>
      </c>
      <c r="K315" s="843" t="inlineStr">
        <is>
          <t>TDD</t>
        </is>
      </c>
      <c r="L315" s="843" t="inlineStr">
        <is>
          <t>Cloud, Network &amp; Infra Ops</t>
        </is>
      </c>
      <c r="M315" s="843" t="n"/>
      <c r="N315" s="845" t="inlineStr">
        <is>
          <t>Australia</t>
        </is>
      </c>
      <c r="O315" s="846" t="inlineStr">
        <is>
          <t>CIB</t>
        </is>
      </c>
      <c r="P315" s="847" t="n">
        <v>1</v>
      </c>
      <c r="Q315" s="846" t="n"/>
      <c r="R315" s="847" t="inlineStr">
        <is>
          <t>v</t>
        </is>
      </c>
      <c r="S315" s="847" t="n"/>
      <c r="T315" s="847" t="n"/>
      <c r="U315" s="848" t="n">
        <v>151950</v>
      </c>
      <c r="V315" s="849" t="n">
        <v>151950</v>
      </c>
      <c r="W315" s="850" t="n">
        <v>0.12</v>
      </c>
      <c r="X315" s="847" t="n">
        <v>0.055</v>
      </c>
      <c r="Y315" s="850" t="n">
        <v>0.12</v>
      </c>
      <c r="Z315" s="851" t="n"/>
      <c r="AA315" s="850" t="n">
        <v>0.04</v>
      </c>
      <c r="AB315" s="852" t="n">
        <v>202853.25</v>
      </c>
      <c r="AE315" s="534">
        <f>IF(TRIM($B315)="","",IF(AND(N($P315)&gt;0,N($P315)&lt;1),N($AB315)*N($P315),N($AB315)))</f>
        <v>202853.25</v>
      </c>
      <c r="AF315" s="534" t="str">
        <f>IF(TRIM($B315)="","",IF(OR(ISNUMBER(SEARCH("vacant",$B315)),ISNUMBER(SEARCH("ring fenced",$B315)),LOWER(TRIM($B315))="remove"),"Vacant","Filled"))</f>
        <v>Vacant</v>
      </c>
      <c r="AG315" s="534" t="b">
        <f>IF(TRIM($B315)="","",--ISNUMBER(SEARCH("ring fenced",$B315)))</f>
        <v>0</v>
      </c>
      <c r="AH315" s="534" t="str">
        <f>IF(TRIM($B315)="","",IF(COUNTIFS(Lists!$AN$2:$AN$22,TRIM($B315)&amp;" | "&amp;TRIM($D315),Lists!$AO$2:$AO$22,"&lt;&gt;"),INDEX(Lists!$AO$2:$AO$22,MATCH(TRIM($B315)&amp;" | "&amp;TRIM($D315),Lists!$AN$2:$AN$22,0)),IF(COUNTIF(Lists!$AR$2:$AR$3,$AJ315),"TDD Cyber",IF(AND(LEFT($AJ315,4)="EGI ",ISNUMBER(MATCH(TRIM(MID($AJ315,5,99)),Lists!$AS$2:$AS$12,0))),TRIM(MID($AJ315,5,99)),IF(AND(LEFT($AJ315,4)="EGI ",ISNUMBER(MATCH(TRIM(MID($AJ315,5,99)),Lists!$T$2:$T$21,0))),INDEX(Lists!$U$2:$U$21,MATCH(TRIM(MID($AJ315,5,99)),Lists!$T$2:$T$21,0)),IF(OR(TRIM($J315)="",UPPER(TRIM($J315))="NA"),IFERROR(INDEX(Lists!$R$2:$R$9,MATCH(TRIM($G315),Lists!$Q$2:$Q$9,0)),"UNMAPPED"),IFERROR(INDEX(Lists!$U$2:$U$21,MATCH(TRIM($J315),Lists!$T$2:$T$21,0)),IFERROR(INDEX(Lists!$R$2:$R$9,MATCH(TRIM($G315),Lists!$Q$2:$Q$9,0)),"UNMAPPED"))))))))</f>
        <v>TDD Group Functions</v>
      </c>
      <c r="AI315" s="534" t="b">
        <f>IF(TRIM($B315)="","",--OR(TRIM($L315)="Leadership",TRIM($K315)="Leadership"))</f>
        <v>0</v>
      </c>
      <c r="AJ315" s="534" t="str">
        <f>IF(TRIM($B315)="","",IF(COUNTIFS(Lists!$AN$2:$AN$22,TRIM($B315)&amp;" | "&amp;TRIM($D315),Lists!$AP$2:$AP$22,"&lt;&gt;"),INDEX(Lists!$AP$2:$AP$22,MATCH(TRIM($B315)&amp;" | "&amp;TRIM($D315),Lists!$AN$2:$AN$22,0)),IF($AI315=1,"Leadership",IFERROR(INDEX(Lists!$X$2:$X$21,MATCH(TRIM($L315),Lists!$W$2:$W$21,0)),IF(OR(TRIM($L315)="",LOWER(TRIM($L315))="na"),IF(TRIM($H315)="","Unassigned",TRIM($H315)),TRIM($L315))))))</f>
        <v>Cloud, Network &amp; Infra Ops</v>
      </c>
      <c r="AK315" s="534" t="str">
        <f>IF(TRIM($B315)="","",IF(COUNTIFS(Lists!$AN$2:$AN$22,TRIM($B315)&amp;" | "&amp;TRIM($D315),Lists!$AQ$2:$AQ$22,"&lt;&gt;"),INDEX(Lists!$AQ$2:$AQ$22,MATCH(TRIM($B315)&amp;" | "&amp;TRIM($D315),Lists!$AN$2:$AN$22,0)),IF(COUNTIF(Lists!$AF$2:$AF$8,$AJ315),$AJ315,IF(ISNUMBER(SEARCH("head of ",$D315)),"Head of Technology",IF(ISNUMBER(SEARCH("TDD BP",$D315)),"Business Partner",IF(OR(ISNUMBER(SEARCH("domain architect",$D315)),ISNUMBER(SEARCH("enterprise architect",$D315))),"Domain Architect",IF(ISNUMBER(SEARCH("delivery man",$D315)),"Delivery Manager",IF(OR(ISNUMBER(SEARCH("technology manager",$D315)),ISNUMBER(SEARCH("technology manger",$D315)),ISNUMBER(SEARCH("tech manager",$D315))),"Technology Manager","Squad"))))))))</f>
        <v>Squad</v>
      </c>
      <c r="AL315" s="534" t="str">
        <f>IF(TRIM($B315)="","",IF(AND($AM315=1,LEFT($AJ315,4)&lt;&gt;"EGI ",$AJ315&lt;&gt;"EGI"),IFERROR(INDEX(Lists!$Z$2:$Z$20,MATCH($AH315,Lists!$Y$2:$Y$20,0)),"EGI "&amp;$AH315),IF(COUNTIF(Lists!$AU$2:$AU$10,$AJ315),$AJ315,IF(OR(LEFT($AH315,3)="COE",$AH315="EGI"),$AJ315,IF($AK315&lt;&gt;"Squad",$AK315,$AJ315)))))</f>
        <v>Cloud, Network &amp; Infra Ops</v>
      </c>
      <c r="AM315" s="534" t="b">
        <f>IF(TRIM($B315)="","",--(UPPER(TRIM($K315))="EGI"))</f>
        <v>0</v>
      </c>
      <c r="AQ315" s="841" t="inlineStr">
        <is>
          <t>R0314</t>
        </is>
      </c>
      <c r="AZ315" s="841" t="n"/>
    </row>
    <row r="316" ht="18" customHeight="1" s="535">
      <c r="A316" s="842" t="n">
        <v>107154</v>
      </c>
      <c r="B316" s="843" t="inlineStr">
        <is>
          <t>Prashant Tataskar</t>
        </is>
      </c>
      <c r="C316" s="842" t="n">
        <v>107154</v>
      </c>
      <c r="D316" s="843" t="inlineStr">
        <is>
          <t>Data Scientist</t>
        </is>
      </c>
      <c r="E316" s="843" t="inlineStr">
        <is>
          <t>Jonathan Robinson</t>
        </is>
      </c>
      <c r="F316" s="843" t="inlineStr">
        <is>
          <t>Technology Manager, Data Science</t>
        </is>
      </c>
      <c r="G316" s="844" t="inlineStr">
        <is>
          <t>Strategy, Architecture &amp; Data</t>
        </is>
      </c>
      <c r="H316" s="843" t="inlineStr">
        <is>
          <t>Group Data</t>
        </is>
      </c>
      <c r="I316" s="843" t="inlineStr">
        <is>
          <t>Data Science</t>
        </is>
      </c>
      <c r="J316" s="843" t="inlineStr">
        <is>
          <t>Enterprise Data</t>
        </is>
      </c>
      <c r="K316" s="843" t="inlineStr">
        <is>
          <t>Group Data</t>
        </is>
      </c>
      <c r="L316" s="843" t="inlineStr">
        <is>
          <t>Data Science</t>
        </is>
      </c>
      <c r="M316" s="843" t="n"/>
      <c r="N316" s="845" t="inlineStr">
        <is>
          <t>Australia</t>
        </is>
      </c>
      <c r="O316" s="846" t="inlineStr">
        <is>
          <t>CIB</t>
        </is>
      </c>
      <c r="P316" s="847" t="n">
        <v>1</v>
      </c>
      <c r="Q316" s="846" t="n"/>
      <c r="R316" s="847" t="inlineStr">
        <is>
          <t>Permanent - Full Time</t>
        </is>
      </c>
      <c r="S316" s="847" t="n"/>
      <c r="T316" s="847" t="n"/>
      <c r="U316" s="848" t="n">
        <v>156160</v>
      </c>
      <c r="V316" s="849" t="n">
        <v>156160</v>
      </c>
      <c r="W316" s="850" t="n">
        <v>0.12</v>
      </c>
      <c r="X316" s="847" t="n">
        <v>0.055</v>
      </c>
      <c r="Y316" s="850" t="n">
        <v>0.12</v>
      </c>
      <c r="Z316" s="851" t="n"/>
      <c r="AA316" s="850" t="n">
        <v>0.04</v>
      </c>
      <c r="AB316" s="852" t="n">
        <v>208473.6</v>
      </c>
      <c r="AE316" s="534">
        <f>IF(TRIM($B316)="","",IF(AND(N($P316)&gt;0,N($P316)&lt;1),N($AB316)*N($P316),N($AB316)))</f>
        <v>208473.6</v>
      </c>
      <c r="AF316" s="534" t="str">
        <f>IF(TRIM($B316)="","",IF(OR(ISNUMBER(SEARCH("vacant",$B316)),ISNUMBER(SEARCH("ring fenced",$B316)),LOWER(TRIM($B316))="remove"),"Vacant","Filled"))</f>
        <v>Filled</v>
      </c>
      <c r="AG316" s="534" t="b">
        <f>IF(TRIM($B316)="","",--ISNUMBER(SEARCH("ring fenced",$B316)))</f>
        <v>0</v>
      </c>
      <c r="AH316" s="534" t="str">
        <f>IF(TRIM($B316)="","",IF(COUNTIFS(Lists!$AN$2:$AN$22,TRIM($B316)&amp;" | "&amp;TRIM($D316),Lists!$AO$2:$AO$22,"&lt;&gt;"),INDEX(Lists!$AO$2:$AO$22,MATCH(TRIM($B316)&amp;" | "&amp;TRIM($D316),Lists!$AN$2:$AN$22,0)),IF(COUNTIF(Lists!$AR$2:$AR$3,$AJ316),"TDD Cyber",IF(AND(LEFT($AJ316,4)="EGI ",ISNUMBER(MATCH(TRIM(MID($AJ316,5,99)),Lists!$AS$2:$AS$12,0))),TRIM(MID($AJ316,5,99)),IF(AND(LEFT($AJ316,4)="EGI ",ISNUMBER(MATCH(TRIM(MID($AJ316,5,99)),Lists!$T$2:$T$21,0))),INDEX(Lists!$U$2:$U$21,MATCH(TRIM(MID($AJ316,5,99)),Lists!$T$2:$T$21,0)),IF(OR(TRIM($J316)="",UPPER(TRIM($J316))="NA"),IFERROR(INDEX(Lists!$R$2:$R$9,MATCH(TRIM($G316),Lists!$Q$2:$Q$9,0)),"UNMAPPED"),IFERROR(INDEX(Lists!$U$2:$U$21,MATCH(TRIM($J316),Lists!$T$2:$T$21,0)),IFERROR(INDEX(Lists!$R$2:$R$9,MATCH(TRIM($G316),Lists!$Q$2:$Q$9,0)),"UNMAPPED"))))))))</f>
        <v>Enterprise Data</v>
      </c>
      <c r="AI316" s="534" t="b">
        <f>IF(TRIM($B316)="","",--OR(TRIM($L316)="Leadership",TRIM($K316)="Leadership"))</f>
        <v>0</v>
      </c>
      <c r="AJ316" s="534" t="str">
        <f>IF(TRIM($B316)="","",IF(COUNTIFS(Lists!$AN$2:$AN$22,TRIM($B316)&amp;" | "&amp;TRIM($D316),Lists!$AP$2:$AP$22,"&lt;&gt;"),INDEX(Lists!$AP$2:$AP$22,MATCH(TRIM($B316)&amp;" | "&amp;TRIM($D316),Lists!$AN$2:$AN$22,0)),IF($AI316=1,"Leadership",IFERROR(INDEX(Lists!$X$2:$X$21,MATCH(TRIM($L316),Lists!$W$2:$W$21,0)),IF(OR(TRIM($L316)="",LOWER(TRIM($L316))="na"),IF(TRIM($H316)="","Unassigned",TRIM($H316)),TRIM($L316))))))</f>
        <v>Data Science</v>
      </c>
      <c r="AK316" s="534" t="str">
        <f>IF(TRIM($B316)="","",IF(COUNTIFS(Lists!$AN$2:$AN$22,TRIM($B316)&amp;" | "&amp;TRIM($D316),Lists!$AQ$2:$AQ$22,"&lt;&gt;"),INDEX(Lists!$AQ$2:$AQ$22,MATCH(TRIM($B316)&amp;" | "&amp;TRIM($D316),Lists!$AN$2:$AN$22,0)),IF(COUNTIF(Lists!$AF$2:$AF$8,$AJ316),$AJ316,IF(ISNUMBER(SEARCH("head of ",$D316)),"Head of Technology",IF(ISNUMBER(SEARCH("TDD BP",$D316)),"Business Partner",IF(OR(ISNUMBER(SEARCH("domain architect",$D316)),ISNUMBER(SEARCH("enterprise architect",$D316))),"Domain Architect",IF(ISNUMBER(SEARCH("delivery man",$D316)),"Delivery Manager",IF(OR(ISNUMBER(SEARCH("technology manager",$D316)),ISNUMBER(SEARCH("technology manger",$D316)),ISNUMBER(SEARCH("tech manager",$D316))),"Technology Manager","Squad"))))))))</f>
        <v>Squad</v>
      </c>
      <c r="AL316" s="534" t="str">
        <f>IF(TRIM($B316)="","",IF(AND($AM316=1,LEFT($AJ316,4)&lt;&gt;"EGI ",$AJ316&lt;&gt;"EGI"),IFERROR(INDEX(Lists!$Z$2:$Z$20,MATCH($AH316,Lists!$Y$2:$Y$20,0)),"EGI "&amp;$AH316),IF(COUNTIF(Lists!$AU$2:$AU$10,$AJ316),$AJ316,IF(OR(LEFT($AH316,3)="COE",$AH316="EGI"),$AJ316,IF($AK316&lt;&gt;"Squad",$AK316,$AJ316)))))</f>
        <v>Data Science</v>
      </c>
      <c r="AM316" s="534" t="b">
        <f>IF(TRIM($B316)="","",--(UPPER(TRIM($K316))="EGI"))</f>
        <v>0</v>
      </c>
      <c r="AQ316" s="841" t="inlineStr">
        <is>
          <t>R0315</t>
        </is>
      </c>
      <c r="AZ316" s="841" t="n"/>
    </row>
    <row r="317" ht="18" customHeight="1" s="535">
      <c r="A317" s="842" t="n">
        <v>97776</v>
      </c>
      <c r="B317" s="843" t="inlineStr">
        <is>
          <t>Anvitha Kurra</t>
        </is>
      </c>
      <c r="C317" s="842" t="n">
        <v>97776</v>
      </c>
      <c r="D317" s="843" t="inlineStr">
        <is>
          <t>Senior Systems Analyst</t>
        </is>
      </c>
      <c r="E317" s="843" t="inlineStr">
        <is>
          <t>Karla Orozco Loza</t>
        </is>
      </c>
      <c r="F317" s="843" t="inlineStr">
        <is>
          <t>Technology Manager, Future Infrastructure</t>
        </is>
      </c>
      <c r="G317" s="844" t="inlineStr">
        <is>
          <t>TDD CFE&amp;I</t>
        </is>
      </c>
      <c r="H317" s="843" t="inlineStr">
        <is>
          <t>Fuel Infrastructure</t>
        </is>
      </c>
      <c r="I317" s="843" t="inlineStr">
        <is>
          <t>Technology - Distribution</t>
        </is>
      </c>
      <c r="J317" s="843" t="inlineStr">
        <is>
          <t>Infrastructure</t>
        </is>
      </c>
      <c r="K317" s="843" t="inlineStr">
        <is>
          <t>Distribution</t>
        </is>
      </c>
      <c r="L317" s="843" t="inlineStr">
        <is>
          <t>Distribution, Sales &amp; Services</t>
        </is>
      </c>
      <c r="M317" s="843" t="n"/>
      <c r="N317" s="845" t="inlineStr">
        <is>
          <t>Australia</t>
        </is>
      </c>
      <c r="O317" s="846" t="inlineStr">
        <is>
          <t>CIB</t>
        </is>
      </c>
      <c r="P317" s="847" t="n">
        <v>1</v>
      </c>
      <c r="Q317" s="846" t="n"/>
      <c r="R317" s="847" t="inlineStr">
        <is>
          <t>Permanent - Full Time</t>
        </is>
      </c>
      <c r="S317" s="847" t="n"/>
      <c r="T317" s="847" t="n"/>
      <c r="U317" s="848" t="n">
        <v>161340</v>
      </c>
      <c r="V317" s="849" t="n">
        <v>161340</v>
      </c>
      <c r="W317" s="850" t="n">
        <v>0.12</v>
      </c>
      <c r="X317" s="847" t="n">
        <v>0.055</v>
      </c>
      <c r="Y317" s="850" t="n">
        <v>0.12</v>
      </c>
      <c r="Z317" s="851" t="n"/>
      <c r="AA317" s="850" t="n">
        <v>0.04</v>
      </c>
      <c r="AB317" s="852" t="n">
        <v>215388.9</v>
      </c>
      <c r="AE317" s="534">
        <f>IF(TRIM($B317)="","",IF(AND(N($P317)&gt;0,N($P317)&lt;1),N($AB317)*N($P317),N($AB317)))</f>
        <v>215388.9</v>
      </c>
      <c r="AF317" s="534" t="str">
        <f>IF(TRIM($B317)="","",IF(OR(ISNUMBER(SEARCH("vacant",$B317)),ISNUMBER(SEARCH("ring fenced",$B317)),LOWER(TRIM($B317))="remove"),"Vacant","Filled"))</f>
        <v>Filled</v>
      </c>
      <c r="AG317" s="534" t="b">
        <f>IF(TRIM($B317)="","",--ISNUMBER(SEARCH("ring fenced",$B317)))</f>
        <v>0</v>
      </c>
      <c r="AH317" s="534" t="str">
        <f>IF(TRIM($B317)="","",IF(COUNTIFS(Lists!$AN$2:$AN$22,TRIM($B317)&amp;" | "&amp;TRIM($D317),Lists!$AO$2:$AO$22,"&lt;&gt;"),INDEX(Lists!$AO$2:$AO$22,MATCH(TRIM($B317)&amp;" | "&amp;TRIM($D317),Lists!$AN$2:$AN$22,0)),IF(COUNTIF(Lists!$AR$2:$AR$3,$AJ317),"TDD Cyber",IF(AND(LEFT($AJ317,4)="EGI ",ISNUMBER(MATCH(TRIM(MID($AJ317,5,99)),Lists!$AS$2:$AS$12,0))),TRIM(MID($AJ317,5,99)),IF(AND(LEFT($AJ317,4)="EGI ",ISNUMBER(MATCH(TRIM(MID($AJ317,5,99)),Lists!$T$2:$T$21,0))),INDEX(Lists!$U$2:$U$21,MATCH(TRIM(MID($AJ317,5,99)),Lists!$T$2:$T$21,0)),IF(OR(TRIM($J317)="",UPPER(TRIM($J317))="NA"),IFERROR(INDEX(Lists!$R$2:$R$9,MATCH(TRIM($G317),Lists!$Q$2:$Q$9,0)),"UNMAPPED"),IFERROR(INDEX(Lists!$U$2:$U$21,MATCH(TRIM($J317),Lists!$T$2:$T$21,0)),IFERROR(INDEX(Lists!$R$2:$R$9,MATCH(TRIM($G317),Lists!$Q$2:$Q$9,0)),"UNMAPPED"))))))))</f>
        <v>Infrastructure</v>
      </c>
      <c r="AI317" s="534" t="b">
        <f>IF(TRIM($B317)="","",--OR(TRIM($L317)="Leadership",TRIM($K317)="Leadership"))</f>
        <v>0</v>
      </c>
      <c r="AJ317" s="534" t="str">
        <f>IF(TRIM($B317)="","",IF(COUNTIFS(Lists!$AN$2:$AN$22,TRIM($B317)&amp;" | "&amp;TRIM($D317),Lists!$AP$2:$AP$22,"&lt;&gt;"),INDEX(Lists!$AP$2:$AP$22,MATCH(TRIM($B317)&amp;" | "&amp;TRIM($D317),Lists!$AN$2:$AN$22,0)),IF($AI317=1,"Leadership",IFERROR(INDEX(Lists!$X$2:$X$21,MATCH(TRIM($L317),Lists!$W$2:$W$21,0)),IF(OR(TRIM($L317)="",LOWER(TRIM($L317))="na"),IF(TRIM($H317)="","Unassigned",TRIM($H317)),TRIM($L317))))))</f>
        <v>Distribution, Sales &amp; Services</v>
      </c>
      <c r="AK317" s="534" t="str">
        <f>IF(TRIM($B317)="","",IF(COUNTIFS(Lists!$AN$2:$AN$22,TRIM($B317)&amp;" | "&amp;TRIM($D317),Lists!$AQ$2:$AQ$22,"&lt;&gt;"),INDEX(Lists!$AQ$2:$AQ$22,MATCH(TRIM($B317)&amp;" | "&amp;TRIM($D317),Lists!$AN$2:$AN$22,0)),IF(COUNTIF(Lists!$AF$2:$AF$8,$AJ317),$AJ317,IF(ISNUMBER(SEARCH("head of ",$D317)),"Head of Technology",IF(ISNUMBER(SEARCH("TDD BP",$D317)),"Business Partner",IF(OR(ISNUMBER(SEARCH("domain architect",$D317)),ISNUMBER(SEARCH("enterprise architect",$D317))),"Domain Architect",IF(ISNUMBER(SEARCH("delivery man",$D317)),"Delivery Manager",IF(OR(ISNUMBER(SEARCH("technology manager",$D317)),ISNUMBER(SEARCH("technology manger",$D317)),ISNUMBER(SEARCH("tech manager",$D317))),"Technology Manager","Squad"))))))))</f>
        <v>Squad</v>
      </c>
      <c r="AL317" s="534" t="str">
        <f>IF(TRIM($B317)="","",IF(AND($AM317=1,LEFT($AJ317,4)&lt;&gt;"EGI ",$AJ317&lt;&gt;"EGI"),IFERROR(INDEX(Lists!$Z$2:$Z$20,MATCH($AH317,Lists!$Y$2:$Y$20,0)),"EGI "&amp;$AH317),IF(COUNTIF(Lists!$AU$2:$AU$10,$AJ317),$AJ317,IF(OR(LEFT($AH317,3)="COE",$AH317="EGI"),$AJ317,IF($AK317&lt;&gt;"Squad",$AK317,$AJ317)))))</f>
        <v>Distribution, Sales &amp; Services</v>
      </c>
      <c r="AM317" s="534" t="b">
        <f>IF(TRIM($B317)="","",--(UPPER(TRIM($K317))="EGI"))</f>
        <v>0</v>
      </c>
      <c r="AQ317" s="841" t="inlineStr">
        <is>
          <t>R0316</t>
        </is>
      </c>
      <c r="AZ317" s="841" t="n"/>
    </row>
    <row r="318" ht="18" customHeight="1" s="535">
      <c r="A318" s="842" t="n">
        <v>113202</v>
      </c>
      <c r="B318" s="843" t="inlineStr">
        <is>
          <t>Rohan Patel</t>
        </is>
      </c>
      <c r="C318" s="842" t="n">
        <v>113202</v>
      </c>
      <c r="D318" s="843" t="inlineStr">
        <is>
          <t>Senior Systems Analyst</t>
        </is>
      </c>
      <c r="E318" s="843" t="inlineStr">
        <is>
          <t>Karla Orozco Loza</t>
        </is>
      </c>
      <c r="F318" s="843" t="inlineStr">
        <is>
          <t>Technology Manager, Future Infrastructure</t>
        </is>
      </c>
      <c r="G318" s="844" t="inlineStr">
        <is>
          <t>TDD CFE&amp;I</t>
        </is>
      </c>
      <c r="H318" s="843" t="inlineStr">
        <is>
          <t>Fuel Infrastructure</t>
        </is>
      </c>
      <c r="I318" s="843" t="inlineStr">
        <is>
          <t>Technology - Distribution</t>
        </is>
      </c>
      <c r="J318" s="843" t="inlineStr">
        <is>
          <t>Infrastructure</t>
        </is>
      </c>
      <c r="K318" s="843" t="inlineStr">
        <is>
          <t>Distribution</t>
        </is>
      </c>
      <c r="L318" s="843" t="inlineStr">
        <is>
          <t>Distribution, Sales &amp; Services</t>
        </is>
      </c>
      <c r="M318" s="843" t="n"/>
      <c r="N318" s="845" t="inlineStr">
        <is>
          <t>Australia</t>
        </is>
      </c>
      <c r="O318" s="846" t="inlineStr">
        <is>
          <t>CIB</t>
        </is>
      </c>
      <c r="P318" s="847" t="n">
        <v>1</v>
      </c>
      <c r="Q318" s="846" t="n"/>
      <c r="R318" s="847" t="inlineStr">
        <is>
          <t>Permanent - Full Time</t>
        </is>
      </c>
      <c r="S318" s="847" t="n"/>
      <c r="T318" s="847" t="n"/>
      <c r="U318" s="848" t="n">
        <v>156850</v>
      </c>
      <c r="V318" s="849" t="n">
        <v>156850</v>
      </c>
      <c r="W318" s="850" t="n">
        <v>0.12</v>
      </c>
      <c r="X318" s="847" t="n">
        <v>0.055</v>
      </c>
      <c r="Y318" s="850" t="n">
        <v>0.12</v>
      </c>
      <c r="Z318" s="851" t="n"/>
      <c r="AA318" s="850" t="n">
        <v>0.04</v>
      </c>
      <c r="AB318" s="852" t="n">
        <v>209394.75</v>
      </c>
      <c r="AE318" s="534">
        <f>IF(TRIM($B318)="","",IF(AND(N($P318)&gt;0,N($P318)&lt;1),N($AB318)*N($P318),N($AB318)))</f>
        <v>209394.75</v>
      </c>
      <c r="AF318" s="534" t="str">
        <f>IF(TRIM($B318)="","",IF(OR(ISNUMBER(SEARCH("vacant",$B318)),ISNUMBER(SEARCH("ring fenced",$B318)),LOWER(TRIM($B318))="remove"),"Vacant","Filled"))</f>
        <v>Filled</v>
      </c>
      <c r="AG318" s="534" t="b">
        <f>IF(TRIM($B318)="","",--ISNUMBER(SEARCH("ring fenced",$B318)))</f>
        <v>0</v>
      </c>
      <c r="AH318" s="534" t="str">
        <f>IF(TRIM($B318)="","",IF(COUNTIFS(Lists!$AN$2:$AN$22,TRIM($B318)&amp;" | "&amp;TRIM($D318),Lists!$AO$2:$AO$22,"&lt;&gt;"),INDEX(Lists!$AO$2:$AO$22,MATCH(TRIM($B318)&amp;" | "&amp;TRIM($D318),Lists!$AN$2:$AN$22,0)),IF(COUNTIF(Lists!$AR$2:$AR$3,$AJ318),"TDD Cyber",IF(AND(LEFT($AJ318,4)="EGI ",ISNUMBER(MATCH(TRIM(MID($AJ318,5,99)),Lists!$AS$2:$AS$12,0))),TRIM(MID($AJ318,5,99)),IF(AND(LEFT($AJ318,4)="EGI ",ISNUMBER(MATCH(TRIM(MID($AJ318,5,99)),Lists!$T$2:$T$21,0))),INDEX(Lists!$U$2:$U$21,MATCH(TRIM(MID($AJ318,5,99)),Lists!$T$2:$T$21,0)),IF(OR(TRIM($J318)="",UPPER(TRIM($J318))="NA"),IFERROR(INDEX(Lists!$R$2:$R$9,MATCH(TRIM($G318),Lists!$Q$2:$Q$9,0)),"UNMAPPED"),IFERROR(INDEX(Lists!$U$2:$U$21,MATCH(TRIM($J318),Lists!$T$2:$T$21,0)),IFERROR(INDEX(Lists!$R$2:$R$9,MATCH(TRIM($G318),Lists!$Q$2:$Q$9,0)),"UNMAPPED"))))))))</f>
        <v>Infrastructure</v>
      </c>
      <c r="AI318" s="534" t="b">
        <f>IF(TRIM($B318)="","",--OR(TRIM($L318)="Leadership",TRIM($K318)="Leadership"))</f>
        <v>0</v>
      </c>
      <c r="AJ318" s="534" t="str">
        <f>IF(TRIM($B318)="","",IF(COUNTIFS(Lists!$AN$2:$AN$22,TRIM($B318)&amp;" | "&amp;TRIM($D318),Lists!$AP$2:$AP$22,"&lt;&gt;"),INDEX(Lists!$AP$2:$AP$22,MATCH(TRIM($B318)&amp;" | "&amp;TRIM($D318),Lists!$AN$2:$AN$22,0)),IF($AI318=1,"Leadership",IFERROR(INDEX(Lists!$X$2:$X$21,MATCH(TRIM($L318),Lists!$W$2:$W$21,0)),IF(OR(TRIM($L318)="",LOWER(TRIM($L318))="na"),IF(TRIM($H318)="","Unassigned",TRIM($H318)),TRIM($L318))))))</f>
        <v>Distribution, Sales &amp; Services</v>
      </c>
      <c r="AK318" s="534" t="str">
        <f>IF(TRIM($B318)="","",IF(COUNTIFS(Lists!$AN$2:$AN$22,TRIM($B318)&amp;" | "&amp;TRIM($D318),Lists!$AQ$2:$AQ$22,"&lt;&gt;"),INDEX(Lists!$AQ$2:$AQ$22,MATCH(TRIM($B318)&amp;" | "&amp;TRIM($D318),Lists!$AN$2:$AN$22,0)),IF(COUNTIF(Lists!$AF$2:$AF$8,$AJ318),$AJ318,IF(ISNUMBER(SEARCH("head of ",$D318)),"Head of Technology",IF(ISNUMBER(SEARCH("TDD BP",$D318)),"Business Partner",IF(OR(ISNUMBER(SEARCH("domain architect",$D318)),ISNUMBER(SEARCH("enterprise architect",$D318))),"Domain Architect",IF(ISNUMBER(SEARCH("delivery man",$D318)),"Delivery Manager",IF(OR(ISNUMBER(SEARCH("technology manager",$D318)),ISNUMBER(SEARCH("technology manger",$D318)),ISNUMBER(SEARCH("tech manager",$D318))),"Technology Manager","Squad"))))))))</f>
        <v>Squad</v>
      </c>
      <c r="AL318" s="534" t="str">
        <f>IF(TRIM($B318)="","",IF(AND($AM318=1,LEFT($AJ318,4)&lt;&gt;"EGI ",$AJ318&lt;&gt;"EGI"),IFERROR(INDEX(Lists!$Z$2:$Z$20,MATCH($AH318,Lists!$Y$2:$Y$20,0)),"EGI "&amp;$AH318),IF(COUNTIF(Lists!$AU$2:$AU$10,$AJ318),$AJ318,IF(OR(LEFT($AH318,3)="COE",$AH318="EGI"),$AJ318,IF($AK318&lt;&gt;"Squad",$AK318,$AJ318)))))</f>
        <v>Distribution, Sales &amp; Services</v>
      </c>
      <c r="AM318" s="534" t="b">
        <f>IF(TRIM($B318)="","",--(UPPER(TRIM($K318))="EGI"))</f>
        <v>0</v>
      </c>
      <c r="AQ318" s="841" t="inlineStr">
        <is>
          <t>R0317</t>
        </is>
      </c>
      <c r="AZ318" s="841" t="n"/>
    </row>
    <row r="319" ht="18" customHeight="1" s="535">
      <c r="A319" s="842" t="n">
        <v>116253</v>
      </c>
      <c r="B319" s="843" t="inlineStr">
        <is>
          <t>Siva Chimmani</t>
        </is>
      </c>
      <c r="C319" s="842" t="n">
        <v>116253</v>
      </c>
      <c r="D319" s="843" t="inlineStr">
        <is>
          <t>Senior Engineer</t>
        </is>
      </c>
      <c r="E319" s="843" t="inlineStr">
        <is>
          <t>Karla Orozco Loza</t>
        </is>
      </c>
      <c r="F319" s="843" t="inlineStr">
        <is>
          <t>Technology Manager, Future Infrastructure</t>
        </is>
      </c>
      <c r="G319" s="844" t="inlineStr">
        <is>
          <t>TDD CFE&amp;I</t>
        </is>
      </c>
      <c r="H319" s="843" t="inlineStr">
        <is>
          <t>Fuel Infrastructure</t>
        </is>
      </c>
      <c r="I319" s="843" t="inlineStr">
        <is>
          <t>Technology - Distribution</t>
        </is>
      </c>
      <c r="J319" s="843" t="inlineStr">
        <is>
          <t>Infrastructure</t>
        </is>
      </c>
      <c r="K319" s="843" t="inlineStr">
        <is>
          <t>Distribution</t>
        </is>
      </c>
      <c r="L319" s="843" t="inlineStr">
        <is>
          <t>Distribution, Sales &amp; Services</t>
        </is>
      </c>
      <c r="M319" s="843" t="n"/>
      <c r="N319" s="845" t="inlineStr">
        <is>
          <t>Australia</t>
        </is>
      </c>
      <c r="O319" s="846" t="inlineStr">
        <is>
          <t>CIB</t>
        </is>
      </c>
      <c r="P319" s="847" t="n">
        <v>1</v>
      </c>
      <c r="Q319" s="846" t="n"/>
      <c r="R319" s="847" t="inlineStr">
        <is>
          <t>Permanent - Full Time</t>
        </is>
      </c>
      <c r="S319" s="847" t="n"/>
      <c r="T319" s="847" t="n"/>
      <c r="U319" s="848" t="n">
        <v>160000</v>
      </c>
      <c r="V319" s="849" t="n">
        <v>160000</v>
      </c>
      <c r="W319" s="850" t="n">
        <v>0.12</v>
      </c>
      <c r="X319" s="847" t="n">
        <v>0.055</v>
      </c>
      <c r="Y319" s="850" t="n">
        <v>0.12</v>
      </c>
      <c r="Z319" s="851" t="n"/>
      <c r="AA319" s="850" t="n">
        <v>0.04</v>
      </c>
      <c r="AB319" s="852" t="n">
        <v>213600</v>
      </c>
      <c r="AE319" s="534">
        <f>IF(TRIM($B319)="","",IF(AND(N($P319)&gt;0,N($P319)&lt;1),N($AB319)*N($P319),N($AB319)))</f>
        <v>213600</v>
      </c>
      <c r="AF319" s="534" t="str">
        <f>IF(TRIM($B319)="","",IF(OR(ISNUMBER(SEARCH("vacant",$B319)),ISNUMBER(SEARCH("ring fenced",$B319)),LOWER(TRIM($B319))="remove"),"Vacant","Filled"))</f>
        <v>Filled</v>
      </c>
      <c r="AG319" s="534" t="b">
        <f>IF(TRIM($B319)="","",--ISNUMBER(SEARCH("ring fenced",$B319)))</f>
        <v>0</v>
      </c>
      <c r="AH319" s="534" t="str">
        <f>IF(TRIM($B319)="","",IF(COUNTIFS(Lists!$AN$2:$AN$22,TRIM($B319)&amp;" | "&amp;TRIM($D319),Lists!$AO$2:$AO$22,"&lt;&gt;"),INDEX(Lists!$AO$2:$AO$22,MATCH(TRIM($B319)&amp;" | "&amp;TRIM($D319),Lists!$AN$2:$AN$22,0)),IF(COUNTIF(Lists!$AR$2:$AR$3,$AJ319),"TDD Cyber",IF(AND(LEFT($AJ319,4)="EGI ",ISNUMBER(MATCH(TRIM(MID($AJ319,5,99)),Lists!$AS$2:$AS$12,0))),TRIM(MID($AJ319,5,99)),IF(AND(LEFT($AJ319,4)="EGI ",ISNUMBER(MATCH(TRIM(MID($AJ319,5,99)),Lists!$T$2:$T$21,0))),INDEX(Lists!$U$2:$U$21,MATCH(TRIM(MID($AJ319,5,99)),Lists!$T$2:$T$21,0)),IF(OR(TRIM($J319)="",UPPER(TRIM($J319))="NA"),IFERROR(INDEX(Lists!$R$2:$R$9,MATCH(TRIM($G319),Lists!$Q$2:$Q$9,0)),"UNMAPPED"),IFERROR(INDEX(Lists!$U$2:$U$21,MATCH(TRIM($J319),Lists!$T$2:$T$21,0)),IFERROR(INDEX(Lists!$R$2:$R$9,MATCH(TRIM($G319),Lists!$Q$2:$Q$9,0)),"UNMAPPED"))))))))</f>
        <v>Infrastructure</v>
      </c>
      <c r="AI319" s="534" t="b">
        <f>IF(TRIM($B319)="","",--OR(TRIM($L319)="Leadership",TRIM($K319)="Leadership"))</f>
        <v>0</v>
      </c>
      <c r="AJ319" s="534" t="str">
        <f>IF(TRIM($B319)="","",IF(COUNTIFS(Lists!$AN$2:$AN$22,TRIM($B319)&amp;" | "&amp;TRIM($D319),Lists!$AP$2:$AP$22,"&lt;&gt;"),INDEX(Lists!$AP$2:$AP$22,MATCH(TRIM($B319)&amp;" | "&amp;TRIM($D319),Lists!$AN$2:$AN$22,0)),IF($AI319=1,"Leadership",IFERROR(INDEX(Lists!$X$2:$X$21,MATCH(TRIM($L319),Lists!$W$2:$W$21,0)),IF(OR(TRIM($L319)="",LOWER(TRIM($L319))="na"),IF(TRIM($H319)="","Unassigned",TRIM($H319)),TRIM($L319))))))</f>
        <v>Distribution, Sales &amp; Services</v>
      </c>
      <c r="AK319" s="534" t="str">
        <f>IF(TRIM($B319)="","",IF(COUNTIFS(Lists!$AN$2:$AN$22,TRIM($B319)&amp;" | "&amp;TRIM($D319),Lists!$AQ$2:$AQ$22,"&lt;&gt;"),INDEX(Lists!$AQ$2:$AQ$22,MATCH(TRIM($B319)&amp;" | "&amp;TRIM($D319),Lists!$AN$2:$AN$22,0)),IF(COUNTIF(Lists!$AF$2:$AF$8,$AJ319),$AJ319,IF(ISNUMBER(SEARCH("head of ",$D319)),"Head of Technology",IF(ISNUMBER(SEARCH("TDD BP",$D319)),"Business Partner",IF(OR(ISNUMBER(SEARCH("domain architect",$D319)),ISNUMBER(SEARCH("enterprise architect",$D319))),"Domain Architect",IF(ISNUMBER(SEARCH("delivery man",$D319)),"Delivery Manager",IF(OR(ISNUMBER(SEARCH("technology manager",$D319)),ISNUMBER(SEARCH("technology manger",$D319)),ISNUMBER(SEARCH("tech manager",$D319))),"Technology Manager","Squad"))))))))</f>
        <v>Squad</v>
      </c>
      <c r="AL319" s="534" t="str">
        <f>IF(TRIM($B319)="","",IF(AND($AM319=1,LEFT($AJ319,4)&lt;&gt;"EGI ",$AJ319&lt;&gt;"EGI"),IFERROR(INDEX(Lists!$Z$2:$Z$20,MATCH($AH319,Lists!$Y$2:$Y$20,0)),"EGI "&amp;$AH319),IF(COUNTIF(Lists!$AU$2:$AU$10,$AJ319),$AJ319,IF(OR(LEFT($AH319,3)="COE",$AH319="EGI"),$AJ319,IF($AK319&lt;&gt;"Squad",$AK319,$AJ319)))))</f>
        <v>Distribution, Sales &amp; Services</v>
      </c>
      <c r="AM319" s="534" t="b">
        <f>IF(TRIM($B319)="","",--(UPPER(TRIM($K319))="EGI"))</f>
        <v>0</v>
      </c>
      <c r="AQ319" s="841" t="inlineStr">
        <is>
          <t>R0318</t>
        </is>
      </c>
      <c r="AZ319" s="841" t="n"/>
    </row>
    <row r="320" ht="18" customHeight="1" s="535">
      <c r="A320" s="842" t="n">
        <v>101059</v>
      </c>
      <c r="B320" s="843" t="inlineStr">
        <is>
          <t>Sriramani Deyyala</t>
        </is>
      </c>
      <c r="C320" s="842" t="n">
        <v>101059</v>
      </c>
      <c r="D320" s="843" t="inlineStr">
        <is>
          <t>Systems Analyst</t>
        </is>
      </c>
      <c r="E320" s="843" t="inlineStr">
        <is>
          <t>Karla Orozco Loza</t>
        </is>
      </c>
      <c r="F320" s="843" t="inlineStr">
        <is>
          <t>Technology Manager, Future Infrastructure</t>
        </is>
      </c>
      <c r="G320" s="844" t="inlineStr">
        <is>
          <t>TDD CFE&amp;I</t>
        </is>
      </c>
      <c r="H320" s="843" t="inlineStr">
        <is>
          <t>Fuel Infrastructure</t>
        </is>
      </c>
      <c r="I320" s="843" t="inlineStr">
        <is>
          <t>Technology - Distribution</t>
        </is>
      </c>
      <c r="J320" s="843" t="inlineStr">
        <is>
          <t>Infrastructure</t>
        </is>
      </c>
      <c r="K320" s="843" t="inlineStr">
        <is>
          <t>Distribution</t>
        </is>
      </c>
      <c r="L320" s="843" t="inlineStr">
        <is>
          <t>Distribution, Sales &amp; Services</t>
        </is>
      </c>
      <c r="M320" s="843" t="n"/>
      <c r="N320" s="845" t="inlineStr">
        <is>
          <t>Australia</t>
        </is>
      </c>
      <c r="O320" s="846" t="inlineStr">
        <is>
          <t>CIB</t>
        </is>
      </c>
      <c r="P320" s="847" t="n">
        <v>1</v>
      </c>
      <c r="Q320" s="846" t="n"/>
      <c r="R320" s="847" t="inlineStr">
        <is>
          <t>Permanent - Full Time</t>
        </is>
      </c>
      <c r="S320" s="847" t="n"/>
      <c r="T320" s="847" t="n"/>
      <c r="U320" s="848" t="n">
        <v>166360</v>
      </c>
      <c r="V320" s="849" t="n">
        <v>166360</v>
      </c>
      <c r="W320" s="850" t="n">
        <v>0.12</v>
      </c>
      <c r="X320" s="847" t="n">
        <v>0.055</v>
      </c>
      <c r="Y320" s="850" t="n">
        <v>0.12</v>
      </c>
      <c r="Z320" s="851" t="n"/>
      <c r="AA320" s="850" t="n">
        <v>0.04</v>
      </c>
      <c r="AB320" s="852" t="n">
        <v>222090.6</v>
      </c>
      <c r="AE320" s="534">
        <f>IF(TRIM($B320)="","",IF(AND(N($P320)&gt;0,N($P320)&lt;1),N($AB320)*N($P320),N($AB320)))</f>
        <v>222090.6</v>
      </c>
      <c r="AF320" s="534" t="str">
        <f>IF(TRIM($B320)="","",IF(OR(ISNUMBER(SEARCH("vacant",$B320)),ISNUMBER(SEARCH("ring fenced",$B320)),LOWER(TRIM($B320))="remove"),"Vacant","Filled"))</f>
        <v>Filled</v>
      </c>
      <c r="AG320" s="534" t="b">
        <f>IF(TRIM($B320)="","",--ISNUMBER(SEARCH("ring fenced",$B320)))</f>
        <v>0</v>
      </c>
      <c r="AH320" s="534" t="str">
        <f>IF(TRIM($B320)="","",IF(COUNTIFS(Lists!$AN$2:$AN$22,TRIM($B320)&amp;" | "&amp;TRIM($D320),Lists!$AO$2:$AO$22,"&lt;&gt;"),INDEX(Lists!$AO$2:$AO$22,MATCH(TRIM($B320)&amp;" | "&amp;TRIM($D320),Lists!$AN$2:$AN$22,0)),IF(COUNTIF(Lists!$AR$2:$AR$3,$AJ320),"TDD Cyber",IF(AND(LEFT($AJ320,4)="EGI ",ISNUMBER(MATCH(TRIM(MID($AJ320,5,99)),Lists!$AS$2:$AS$12,0))),TRIM(MID($AJ320,5,99)),IF(AND(LEFT($AJ320,4)="EGI ",ISNUMBER(MATCH(TRIM(MID($AJ320,5,99)),Lists!$T$2:$T$21,0))),INDEX(Lists!$U$2:$U$21,MATCH(TRIM(MID($AJ320,5,99)),Lists!$T$2:$T$21,0)),IF(OR(TRIM($J320)="",UPPER(TRIM($J320))="NA"),IFERROR(INDEX(Lists!$R$2:$R$9,MATCH(TRIM($G320),Lists!$Q$2:$Q$9,0)),"UNMAPPED"),IFERROR(INDEX(Lists!$U$2:$U$21,MATCH(TRIM($J320),Lists!$T$2:$T$21,0)),IFERROR(INDEX(Lists!$R$2:$R$9,MATCH(TRIM($G320),Lists!$Q$2:$Q$9,0)),"UNMAPPED"))))))))</f>
        <v>Infrastructure</v>
      </c>
      <c r="AI320" s="534" t="b">
        <f>IF(TRIM($B320)="","",--OR(TRIM($L320)="Leadership",TRIM($K320)="Leadership"))</f>
        <v>0</v>
      </c>
      <c r="AJ320" s="534" t="str">
        <f>IF(TRIM($B320)="","",IF(COUNTIFS(Lists!$AN$2:$AN$22,TRIM($B320)&amp;" | "&amp;TRIM($D320),Lists!$AP$2:$AP$22,"&lt;&gt;"),INDEX(Lists!$AP$2:$AP$22,MATCH(TRIM($B320)&amp;" | "&amp;TRIM($D320),Lists!$AN$2:$AN$22,0)),IF($AI320=1,"Leadership",IFERROR(INDEX(Lists!$X$2:$X$21,MATCH(TRIM($L320),Lists!$W$2:$W$21,0)),IF(OR(TRIM($L320)="",LOWER(TRIM($L320))="na"),IF(TRIM($H320)="","Unassigned",TRIM($H320)),TRIM($L320))))))</f>
        <v>Distribution, Sales &amp; Services</v>
      </c>
      <c r="AK320" s="534" t="str">
        <f>IF(TRIM($B320)="","",IF(COUNTIFS(Lists!$AN$2:$AN$22,TRIM($B320)&amp;" | "&amp;TRIM($D320),Lists!$AQ$2:$AQ$22,"&lt;&gt;"),INDEX(Lists!$AQ$2:$AQ$22,MATCH(TRIM($B320)&amp;" | "&amp;TRIM($D320),Lists!$AN$2:$AN$22,0)),IF(COUNTIF(Lists!$AF$2:$AF$8,$AJ320),$AJ320,IF(ISNUMBER(SEARCH("head of ",$D320)),"Head of Technology",IF(ISNUMBER(SEARCH("TDD BP",$D320)),"Business Partner",IF(OR(ISNUMBER(SEARCH("domain architect",$D320)),ISNUMBER(SEARCH("enterprise architect",$D320))),"Domain Architect",IF(ISNUMBER(SEARCH("delivery man",$D320)),"Delivery Manager",IF(OR(ISNUMBER(SEARCH("technology manager",$D320)),ISNUMBER(SEARCH("technology manger",$D320)),ISNUMBER(SEARCH("tech manager",$D320))),"Technology Manager","Squad"))))))))</f>
        <v>Squad</v>
      </c>
      <c r="AL320" s="534" t="str">
        <f>IF(TRIM($B320)="","",IF(AND($AM320=1,LEFT($AJ320,4)&lt;&gt;"EGI ",$AJ320&lt;&gt;"EGI"),IFERROR(INDEX(Lists!$Z$2:$Z$20,MATCH($AH320,Lists!$Y$2:$Y$20,0)),"EGI "&amp;$AH320),IF(COUNTIF(Lists!$AU$2:$AU$10,$AJ320),$AJ320,IF(OR(LEFT($AH320,3)="COE",$AH320="EGI"),$AJ320,IF($AK320&lt;&gt;"Squad",$AK320,$AJ320)))))</f>
        <v>Distribution, Sales &amp; Services</v>
      </c>
      <c r="AM320" s="534" t="b">
        <f>IF(TRIM($B320)="","",--(UPPER(TRIM($K320))="EGI"))</f>
        <v>0</v>
      </c>
      <c r="AQ320" s="841" t="inlineStr">
        <is>
          <t>R0319</t>
        </is>
      </c>
      <c r="AZ320" s="841" t="n"/>
    </row>
    <row r="321" ht="18" customHeight="1" s="535">
      <c r="A321" s="842" t="inlineStr">
        <is>
          <t>V</t>
        </is>
      </c>
      <c r="B321" s="843" t="inlineStr">
        <is>
          <t>Vacant</t>
        </is>
      </c>
      <c r="C321" s="842" t="inlineStr">
        <is>
          <t>V</t>
        </is>
      </c>
      <c r="D321" s="843" t="inlineStr">
        <is>
          <t>Data Analyst</t>
        </is>
      </c>
      <c r="E321" s="843" t="inlineStr">
        <is>
          <t>Manjot Kaur</t>
        </is>
      </c>
      <c r="F321" s="843" t="inlineStr">
        <is>
          <t>Technology Manager, Data</t>
        </is>
      </c>
      <c r="G321" s="844" t="inlineStr">
        <is>
          <t>Ampol Retail &amp; Z</t>
        </is>
      </c>
      <c r="H321" s="843" t="inlineStr">
        <is>
          <t>Z &amp; Group Retail</t>
        </is>
      </c>
      <c r="I321" s="843" t="inlineStr">
        <is>
          <t>Z &amp; Group Retail, Data</t>
        </is>
      </c>
      <c r="J321" s="843" t="inlineStr">
        <is>
          <t>Retail</t>
        </is>
      </c>
      <c r="K321" s="843" t="inlineStr">
        <is>
          <t>(All Retail)</t>
        </is>
      </c>
      <c r="L321" s="843" t="inlineStr">
        <is>
          <t>Data - AU</t>
        </is>
      </c>
      <c r="M321" s="843" t="n"/>
      <c r="N321" s="845" t="inlineStr">
        <is>
          <t>Australia</t>
        </is>
      </c>
      <c r="O321" s="846" t="inlineStr">
        <is>
          <t>CIB</t>
        </is>
      </c>
      <c r="P321" s="847" t="n">
        <v>1</v>
      </c>
      <c r="Q321" s="846" t="n"/>
      <c r="R321" s="847" t="inlineStr">
        <is>
          <t>V</t>
        </is>
      </c>
      <c r="S321" s="847" t="n"/>
      <c r="T321" s="847" t="n"/>
      <c r="U321" s="848" t="n">
        <v>151000</v>
      </c>
      <c r="V321" s="849" t="n">
        <v>151000</v>
      </c>
      <c r="W321" s="850" t="n">
        <v>0.12</v>
      </c>
      <c r="X321" s="847" t="n">
        <v>0.055</v>
      </c>
      <c r="Y321" s="850" t="n">
        <v>0.12</v>
      </c>
      <c r="Z321" s="851" t="n"/>
      <c r="AA321" s="850" t="n">
        <v>0.04</v>
      </c>
      <c r="AB321" s="852" t="n">
        <v>201585</v>
      </c>
      <c r="AE321" s="534">
        <f>IF(TRIM($B321)="","",IF(AND(N($P321)&gt;0,N($P321)&lt;1),N($AB321)*N($P321),N($AB321)))</f>
        <v>201585</v>
      </c>
      <c r="AF321" s="534" t="str">
        <f>IF(TRIM($B321)="","",IF(OR(ISNUMBER(SEARCH("vacant",$B321)),ISNUMBER(SEARCH("ring fenced",$B321)),LOWER(TRIM($B321))="remove"),"Vacant","Filled"))</f>
        <v>Vacant</v>
      </c>
      <c r="AG321" s="534" t="b">
        <f>IF(TRIM($B321)="","",--ISNUMBER(SEARCH("ring fenced",$B321)))</f>
        <v>0</v>
      </c>
      <c r="AH321" s="534" t="str">
        <f>IF(TRIM($B321)="","",IF(COUNTIFS(Lists!$AN$2:$AN$22,TRIM($B321)&amp;" | "&amp;TRIM($D321),Lists!$AO$2:$AO$22,"&lt;&gt;"),INDEX(Lists!$AO$2:$AO$22,MATCH(TRIM($B321)&amp;" | "&amp;TRIM($D321),Lists!$AN$2:$AN$22,0)),IF(COUNTIF(Lists!$AR$2:$AR$3,$AJ321),"TDD Cyber",IF(AND(LEFT($AJ321,4)="EGI ",ISNUMBER(MATCH(TRIM(MID($AJ321,5,99)),Lists!$AS$2:$AS$12,0))),TRIM(MID($AJ321,5,99)),IF(AND(LEFT($AJ321,4)="EGI ",ISNUMBER(MATCH(TRIM(MID($AJ321,5,99)),Lists!$T$2:$T$21,0))),INDEX(Lists!$U$2:$U$21,MATCH(TRIM(MID($AJ321,5,99)),Lists!$T$2:$T$21,0)),IF(OR(TRIM($J321)="",UPPER(TRIM($J321))="NA"),IFERROR(INDEX(Lists!$R$2:$R$9,MATCH(TRIM($G321),Lists!$Q$2:$Q$9,0)),"UNMAPPED"),IFERROR(INDEX(Lists!$U$2:$U$21,MATCH(TRIM($J321),Lists!$T$2:$T$21,0)),IFERROR(INDEX(Lists!$R$2:$R$9,MATCH(TRIM($G321),Lists!$Q$2:$Q$9,0)),"UNMAPPED"))))))))</f>
        <v>Ampol Retail</v>
      </c>
      <c r="AI321" s="534" t="b">
        <f>IF(TRIM($B321)="","",--OR(TRIM($L321)="Leadership",TRIM($K321)="Leadership"))</f>
        <v>0</v>
      </c>
      <c r="AJ321" s="534" t="str">
        <f>IF(TRIM($B321)="","",IF(COUNTIFS(Lists!$AN$2:$AN$22,TRIM($B321)&amp;" | "&amp;TRIM($D321),Lists!$AP$2:$AP$22,"&lt;&gt;"),INDEX(Lists!$AP$2:$AP$22,MATCH(TRIM($B321)&amp;" | "&amp;TRIM($D321),Lists!$AN$2:$AN$22,0)),IF($AI321=1,"Leadership",IFERROR(INDEX(Lists!$X$2:$X$21,MATCH(TRIM($L321),Lists!$W$2:$W$21,0)),IF(OR(TRIM($L321)="",LOWER(TRIM($L321))="na"),IF(TRIM($H321)="","Unassigned",TRIM($H321)),TRIM($L321))))))</f>
        <v>Data AU</v>
      </c>
      <c r="AK321" s="534" t="str">
        <f>IF(TRIM($B321)="","",IF(COUNTIFS(Lists!$AN$2:$AN$22,TRIM($B321)&amp;" | "&amp;TRIM($D321),Lists!$AQ$2:$AQ$22,"&lt;&gt;"),INDEX(Lists!$AQ$2:$AQ$22,MATCH(TRIM($B321)&amp;" | "&amp;TRIM($D321),Lists!$AN$2:$AN$22,0)),IF(COUNTIF(Lists!$AF$2:$AF$8,$AJ321),$AJ321,IF(ISNUMBER(SEARCH("head of ",$D321)),"Head of Technology",IF(ISNUMBER(SEARCH("TDD BP",$D321)),"Business Partner",IF(OR(ISNUMBER(SEARCH("domain architect",$D321)),ISNUMBER(SEARCH("enterprise architect",$D321))),"Domain Architect",IF(ISNUMBER(SEARCH("delivery man",$D321)),"Delivery Manager",IF(OR(ISNUMBER(SEARCH("technology manager",$D321)),ISNUMBER(SEARCH("technology manger",$D321)),ISNUMBER(SEARCH("tech manager",$D321))),"Technology Manager","Squad"))))))))</f>
        <v>Squad</v>
      </c>
      <c r="AL321" s="534" t="str">
        <f>IF(TRIM($B321)="","",IF(AND($AM321=1,LEFT($AJ321,4)&lt;&gt;"EGI ",$AJ321&lt;&gt;"EGI"),IFERROR(INDEX(Lists!$Z$2:$Z$20,MATCH($AH321,Lists!$Y$2:$Y$20,0)),"EGI "&amp;$AH321),IF(COUNTIF(Lists!$AU$2:$AU$10,$AJ321),$AJ321,IF(OR(LEFT($AH321,3)="COE",$AH321="EGI"),$AJ321,IF($AK321&lt;&gt;"Squad",$AK321,$AJ321)))))</f>
        <v>Data AU</v>
      </c>
      <c r="AM321" s="534" t="b">
        <f>IF(TRIM($B321)="","",--(UPPER(TRIM($K321))="EGI"))</f>
        <v>0</v>
      </c>
      <c r="AN321" s="534" t="inlineStr">
        <is>
          <t>Vacant</t>
        </is>
      </c>
      <c r="AQ321" s="841" t="inlineStr">
        <is>
          <t>R0320</t>
        </is>
      </c>
      <c r="AZ321" s="841" t="n"/>
    </row>
    <row r="322" ht="18" customHeight="1" s="535">
      <c r="A322" s="842" t="inlineStr">
        <is>
          <t>V</t>
        </is>
      </c>
      <c r="B322" s="843" t="inlineStr">
        <is>
          <t>Vacant</t>
        </is>
      </c>
      <c r="C322" s="842" t="inlineStr">
        <is>
          <t>V</t>
        </is>
      </c>
      <c r="D322" s="843" t="inlineStr">
        <is>
          <t>Data Analyst</t>
        </is>
      </c>
      <c r="E322" s="843" t="inlineStr">
        <is>
          <t>Manjot Kaur</t>
        </is>
      </c>
      <c r="F322" s="843" t="inlineStr">
        <is>
          <t>Technology Manager, Data</t>
        </is>
      </c>
      <c r="G322" s="844" t="inlineStr">
        <is>
          <t>Ampol Retail &amp; Z</t>
        </is>
      </c>
      <c r="H322" s="843" t="inlineStr">
        <is>
          <t>Z &amp; Group Retail</t>
        </is>
      </c>
      <c r="I322" s="843" t="inlineStr">
        <is>
          <t>Z &amp; Group Retail, Data</t>
        </is>
      </c>
      <c r="J322" s="843" t="inlineStr">
        <is>
          <t>Retail</t>
        </is>
      </c>
      <c r="K322" s="843" t="inlineStr">
        <is>
          <t>(All Retail)</t>
        </is>
      </c>
      <c r="L322" s="843" t="inlineStr">
        <is>
          <t>Data - AU</t>
        </is>
      </c>
      <c r="M322" s="843" t="n"/>
      <c r="N322" s="845" t="inlineStr">
        <is>
          <t>Australia</t>
        </is>
      </c>
      <c r="O322" s="846" t="inlineStr">
        <is>
          <t>CIB</t>
        </is>
      </c>
      <c r="P322" s="847" t="n">
        <v>1</v>
      </c>
      <c r="Q322" s="846" t="n"/>
      <c r="R322" s="847" t="inlineStr">
        <is>
          <t>V</t>
        </is>
      </c>
      <c r="S322" s="847" t="n"/>
      <c r="T322" s="847" t="n"/>
      <c r="U322" s="848" t="n">
        <v>173550</v>
      </c>
      <c r="V322" s="849" t="n">
        <v>173550</v>
      </c>
      <c r="W322" s="850" t="n">
        <v>0.12</v>
      </c>
      <c r="X322" s="847" t="n">
        <v>0.055</v>
      </c>
      <c r="Y322" s="850" t="n">
        <v>0.12</v>
      </c>
      <c r="Z322" s="851" t="n"/>
      <c r="AA322" s="850" t="n">
        <v>0.04</v>
      </c>
      <c r="AB322" s="852" t="n">
        <v>231689.25</v>
      </c>
      <c r="AE322" s="534">
        <f>IF(TRIM($B322)="","",IF(AND(N($P322)&gt;0,N($P322)&lt;1),N($AB322)*N($P322),N($AB322)))</f>
        <v>231689.25</v>
      </c>
      <c r="AF322" s="534" t="str">
        <f>IF(TRIM($B322)="","",IF(OR(ISNUMBER(SEARCH("vacant",$B322)),ISNUMBER(SEARCH("ring fenced",$B322)),LOWER(TRIM($B322))="remove"),"Vacant","Filled"))</f>
        <v>Vacant</v>
      </c>
      <c r="AG322" s="534" t="b">
        <f>IF(TRIM($B322)="","",--ISNUMBER(SEARCH("ring fenced",$B322)))</f>
        <v>0</v>
      </c>
      <c r="AH322" s="534" t="str">
        <f>IF(TRIM($B322)="","",IF(COUNTIFS(Lists!$AN$2:$AN$22,TRIM($B322)&amp;" | "&amp;TRIM($D322),Lists!$AO$2:$AO$22,"&lt;&gt;"),INDEX(Lists!$AO$2:$AO$22,MATCH(TRIM($B322)&amp;" | "&amp;TRIM($D322),Lists!$AN$2:$AN$22,0)),IF(COUNTIF(Lists!$AR$2:$AR$3,$AJ322),"TDD Cyber",IF(AND(LEFT($AJ322,4)="EGI ",ISNUMBER(MATCH(TRIM(MID($AJ322,5,99)),Lists!$AS$2:$AS$12,0))),TRIM(MID($AJ322,5,99)),IF(AND(LEFT($AJ322,4)="EGI ",ISNUMBER(MATCH(TRIM(MID($AJ322,5,99)),Lists!$T$2:$T$21,0))),INDEX(Lists!$U$2:$U$21,MATCH(TRIM(MID($AJ322,5,99)),Lists!$T$2:$T$21,0)),IF(OR(TRIM($J322)="",UPPER(TRIM($J322))="NA"),IFERROR(INDEX(Lists!$R$2:$R$9,MATCH(TRIM($G322),Lists!$Q$2:$Q$9,0)),"UNMAPPED"),IFERROR(INDEX(Lists!$U$2:$U$21,MATCH(TRIM($J322),Lists!$T$2:$T$21,0)),IFERROR(INDEX(Lists!$R$2:$R$9,MATCH(TRIM($G322),Lists!$Q$2:$Q$9,0)),"UNMAPPED"))))))))</f>
        <v>Ampol Retail</v>
      </c>
      <c r="AI322" s="534" t="b">
        <f>IF(TRIM($B322)="","",--OR(TRIM($L322)="Leadership",TRIM($K322)="Leadership"))</f>
        <v>0</v>
      </c>
      <c r="AJ322" s="534" t="str">
        <f>IF(TRIM($B322)="","",IF(COUNTIFS(Lists!$AN$2:$AN$22,TRIM($B322)&amp;" | "&amp;TRIM($D322),Lists!$AP$2:$AP$22,"&lt;&gt;"),INDEX(Lists!$AP$2:$AP$22,MATCH(TRIM($B322)&amp;" | "&amp;TRIM($D322),Lists!$AN$2:$AN$22,0)),IF($AI322=1,"Leadership",IFERROR(INDEX(Lists!$X$2:$X$21,MATCH(TRIM($L322),Lists!$W$2:$W$21,0)),IF(OR(TRIM($L322)="",LOWER(TRIM($L322))="na"),IF(TRIM($H322)="","Unassigned",TRIM($H322)),TRIM($L322))))))</f>
        <v>Data AU</v>
      </c>
      <c r="AK322" s="534" t="str">
        <f>IF(TRIM($B322)="","",IF(COUNTIFS(Lists!$AN$2:$AN$22,TRIM($B322)&amp;" | "&amp;TRIM($D322),Lists!$AQ$2:$AQ$22,"&lt;&gt;"),INDEX(Lists!$AQ$2:$AQ$22,MATCH(TRIM($B322)&amp;" | "&amp;TRIM($D322),Lists!$AN$2:$AN$22,0)),IF(COUNTIF(Lists!$AF$2:$AF$8,$AJ322),$AJ322,IF(ISNUMBER(SEARCH("head of ",$D322)),"Head of Technology",IF(ISNUMBER(SEARCH("TDD BP",$D322)),"Business Partner",IF(OR(ISNUMBER(SEARCH("domain architect",$D322)),ISNUMBER(SEARCH("enterprise architect",$D322))),"Domain Architect",IF(ISNUMBER(SEARCH("delivery man",$D322)),"Delivery Manager",IF(OR(ISNUMBER(SEARCH("technology manager",$D322)),ISNUMBER(SEARCH("technology manger",$D322)),ISNUMBER(SEARCH("tech manager",$D322))),"Technology Manager","Squad"))))))))</f>
        <v>Squad</v>
      </c>
      <c r="AL322" s="534" t="str">
        <f>IF(TRIM($B322)="","",IF(AND($AM322=1,LEFT($AJ322,4)&lt;&gt;"EGI ",$AJ322&lt;&gt;"EGI"),IFERROR(INDEX(Lists!$Z$2:$Z$20,MATCH($AH322,Lists!$Y$2:$Y$20,0)),"EGI "&amp;$AH322),IF(COUNTIF(Lists!$AU$2:$AU$10,$AJ322),$AJ322,IF(OR(LEFT($AH322,3)="COE",$AH322="EGI"),$AJ322,IF($AK322&lt;&gt;"Squad",$AK322,$AJ322)))))</f>
        <v>Data AU</v>
      </c>
      <c r="AM322" s="534" t="b">
        <f>IF(TRIM($B322)="","",--(UPPER(TRIM($K322))="EGI"))</f>
        <v>0</v>
      </c>
      <c r="AN322" s="534" t="inlineStr">
        <is>
          <t>Vacant</t>
        </is>
      </c>
      <c r="AQ322" s="841" t="inlineStr">
        <is>
          <t>R0321</t>
        </is>
      </c>
      <c r="AZ322" s="841" t="n"/>
    </row>
    <row r="323" ht="18" customHeight="1" s="535">
      <c r="A323" s="842" t="inlineStr">
        <is>
          <t>V</t>
        </is>
      </c>
      <c r="B323" s="843" t="inlineStr">
        <is>
          <t>Vacant</t>
        </is>
      </c>
      <c r="C323" s="842" t="inlineStr">
        <is>
          <t>V</t>
        </is>
      </c>
      <c r="D323" s="843" t="inlineStr">
        <is>
          <t>Engineer - Data</t>
        </is>
      </c>
      <c r="E323" s="843" t="inlineStr">
        <is>
          <t>Manjot Kaur</t>
        </is>
      </c>
      <c r="F323" s="843" t="inlineStr">
        <is>
          <t>Technology Manager, Data</t>
        </is>
      </c>
      <c r="G323" s="844" t="inlineStr">
        <is>
          <t>Ampol Retail &amp; Z</t>
        </is>
      </c>
      <c r="H323" s="843" t="inlineStr">
        <is>
          <t>Z &amp; Group Retail</t>
        </is>
      </c>
      <c r="I323" s="843" t="inlineStr">
        <is>
          <t>Z &amp; Group Retail, Data</t>
        </is>
      </c>
      <c r="J323" s="843" t="inlineStr">
        <is>
          <t>Retail</t>
        </is>
      </c>
      <c r="K323" s="843" t="inlineStr">
        <is>
          <t>(All Retail)</t>
        </is>
      </c>
      <c r="L323" s="843" t="inlineStr">
        <is>
          <t>Data - AU</t>
        </is>
      </c>
      <c r="M323" s="843" t="n"/>
      <c r="N323" s="845" t="inlineStr">
        <is>
          <t>Australia</t>
        </is>
      </c>
      <c r="O323" s="846" t="inlineStr">
        <is>
          <t>CIB</t>
        </is>
      </c>
      <c r="P323" s="847" t="n">
        <v>1</v>
      </c>
      <c r="Q323" s="846" t="n"/>
      <c r="R323" s="847" t="inlineStr">
        <is>
          <t>V</t>
        </is>
      </c>
      <c r="S323" s="847" t="n"/>
      <c r="T323" s="847" t="n"/>
      <c r="U323" s="848" t="n">
        <v>151950</v>
      </c>
      <c r="V323" s="849" t="n">
        <v>151950</v>
      </c>
      <c r="W323" s="850" t="n">
        <v>0.12</v>
      </c>
      <c r="X323" s="847" t="n">
        <v>0.055</v>
      </c>
      <c r="Y323" s="850" t="n">
        <v>0.12</v>
      </c>
      <c r="Z323" s="851" t="n"/>
      <c r="AA323" s="850" t="n">
        <v>0.04</v>
      </c>
      <c r="AB323" s="852" t="n">
        <v>202853.25</v>
      </c>
      <c r="AE323" s="534">
        <f>IF(TRIM($B323)="","",IF(AND(N($P323)&gt;0,N($P323)&lt;1),N($AB323)*N($P323),N($AB323)))</f>
        <v>202853.25</v>
      </c>
      <c r="AF323" s="534" t="str">
        <f>IF(TRIM($B323)="","",IF(OR(ISNUMBER(SEARCH("vacant",$B323)),ISNUMBER(SEARCH("ring fenced",$B323)),LOWER(TRIM($B323))="remove"),"Vacant","Filled"))</f>
        <v>Vacant</v>
      </c>
      <c r="AG323" s="534" t="b">
        <f>IF(TRIM($B323)="","",--ISNUMBER(SEARCH("ring fenced",$B323)))</f>
        <v>0</v>
      </c>
      <c r="AH323" s="534" t="str">
        <f>IF(TRIM($B323)="","",IF(COUNTIFS(Lists!$AN$2:$AN$22,TRIM($B323)&amp;" | "&amp;TRIM($D323),Lists!$AO$2:$AO$22,"&lt;&gt;"),INDEX(Lists!$AO$2:$AO$22,MATCH(TRIM($B323)&amp;" | "&amp;TRIM($D323),Lists!$AN$2:$AN$22,0)),IF(COUNTIF(Lists!$AR$2:$AR$3,$AJ323),"TDD Cyber",IF(AND(LEFT($AJ323,4)="EGI ",ISNUMBER(MATCH(TRIM(MID($AJ323,5,99)),Lists!$AS$2:$AS$12,0))),TRIM(MID($AJ323,5,99)),IF(AND(LEFT($AJ323,4)="EGI ",ISNUMBER(MATCH(TRIM(MID($AJ323,5,99)),Lists!$T$2:$T$21,0))),INDEX(Lists!$U$2:$U$21,MATCH(TRIM(MID($AJ323,5,99)),Lists!$T$2:$T$21,0)),IF(OR(TRIM($J323)="",UPPER(TRIM($J323))="NA"),IFERROR(INDEX(Lists!$R$2:$R$9,MATCH(TRIM($G323),Lists!$Q$2:$Q$9,0)),"UNMAPPED"),IFERROR(INDEX(Lists!$U$2:$U$21,MATCH(TRIM($J323),Lists!$T$2:$T$21,0)),IFERROR(INDEX(Lists!$R$2:$R$9,MATCH(TRIM($G323),Lists!$Q$2:$Q$9,0)),"UNMAPPED"))))))))</f>
        <v>Ampol Retail</v>
      </c>
      <c r="AI323" s="534" t="b">
        <f>IF(TRIM($B323)="","",--OR(TRIM($L323)="Leadership",TRIM($K323)="Leadership"))</f>
        <v>0</v>
      </c>
      <c r="AJ323" s="534" t="str">
        <f>IF(TRIM($B323)="","",IF(COUNTIFS(Lists!$AN$2:$AN$22,TRIM($B323)&amp;" | "&amp;TRIM($D323),Lists!$AP$2:$AP$22,"&lt;&gt;"),INDEX(Lists!$AP$2:$AP$22,MATCH(TRIM($B323)&amp;" | "&amp;TRIM($D323),Lists!$AN$2:$AN$22,0)),IF($AI323=1,"Leadership",IFERROR(INDEX(Lists!$X$2:$X$21,MATCH(TRIM($L323),Lists!$W$2:$W$21,0)),IF(OR(TRIM($L323)="",LOWER(TRIM($L323))="na"),IF(TRIM($H323)="","Unassigned",TRIM($H323)),TRIM($L323))))))</f>
        <v>Data AU</v>
      </c>
      <c r="AK323" s="534" t="str">
        <f>IF(TRIM($B323)="","",IF(COUNTIFS(Lists!$AN$2:$AN$22,TRIM($B323)&amp;" | "&amp;TRIM($D323),Lists!$AQ$2:$AQ$22,"&lt;&gt;"),INDEX(Lists!$AQ$2:$AQ$22,MATCH(TRIM($B323)&amp;" | "&amp;TRIM($D323),Lists!$AN$2:$AN$22,0)),IF(COUNTIF(Lists!$AF$2:$AF$8,$AJ323),$AJ323,IF(ISNUMBER(SEARCH("head of ",$D323)),"Head of Technology",IF(ISNUMBER(SEARCH("TDD BP",$D323)),"Business Partner",IF(OR(ISNUMBER(SEARCH("domain architect",$D323)),ISNUMBER(SEARCH("enterprise architect",$D323))),"Domain Architect",IF(ISNUMBER(SEARCH("delivery man",$D323)),"Delivery Manager",IF(OR(ISNUMBER(SEARCH("technology manager",$D323)),ISNUMBER(SEARCH("technology manger",$D323)),ISNUMBER(SEARCH("tech manager",$D323))),"Technology Manager","Squad"))))))))</f>
        <v>Squad</v>
      </c>
      <c r="AL323" s="534" t="str">
        <f>IF(TRIM($B323)="","",IF(AND($AM323=1,LEFT($AJ323,4)&lt;&gt;"EGI ",$AJ323&lt;&gt;"EGI"),IFERROR(INDEX(Lists!$Z$2:$Z$20,MATCH($AH323,Lists!$Y$2:$Y$20,0)),"EGI "&amp;$AH323),IF(COUNTIF(Lists!$AU$2:$AU$10,$AJ323),$AJ323,IF(OR(LEFT($AH323,3)="COE",$AH323="EGI"),$AJ323,IF($AK323&lt;&gt;"Squad",$AK323,$AJ323)))))</f>
        <v>Data AU</v>
      </c>
      <c r="AM323" s="534" t="b">
        <f>IF(TRIM($B323)="","",--(UPPER(TRIM($K323))="EGI"))</f>
        <v>0</v>
      </c>
      <c r="AQ323" s="841" t="inlineStr">
        <is>
          <t>R0322</t>
        </is>
      </c>
      <c r="AZ323" s="841" t="n"/>
    </row>
    <row r="324" ht="18" customHeight="1" s="535">
      <c r="A324" s="842" t="inlineStr">
        <is>
          <t>V</t>
        </is>
      </c>
      <c r="B324" s="843" t="inlineStr">
        <is>
          <t>Vacant</t>
        </is>
      </c>
      <c r="C324" s="842" t="inlineStr">
        <is>
          <t>V</t>
        </is>
      </c>
      <c r="D324" s="843" t="inlineStr">
        <is>
          <t>Engineer - Data</t>
        </is>
      </c>
      <c r="E324" s="843" t="inlineStr">
        <is>
          <t>Manjot Kaur</t>
        </is>
      </c>
      <c r="F324" s="843" t="inlineStr">
        <is>
          <t>Technology Manager, Data</t>
        </is>
      </c>
      <c r="G324" s="844" t="inlineStr">
        <is>
          <t>Ampol Retail &amp; Z</t>
        </is>
      </c>
      <c r="H324" s="843" t="inlineStr">
        <is>
          <t>Z &amp; Group Retail</t>
        </is>
      </c>
      <c r="I324" s="843" t="inlineStr">
        <is>
          <t>Z &amp; Group Retail, Data</t>
        </is>
      </c>
      <c r="J324" s="843" t="inlineStr">
        <is>
          <t>Retail</t>
        </is>
      </c>
      <c r="K324" s="843" t="inlineStr">
        <is>
          <t>(All Retail)</t>
        </is>
      </c>
      <c r="L324" s="843" t="inlineStr">
        <is>
          <t>Data - AU</t>
        </is>
      </c>
      <c r="M324" s="843" t="n"/>
      <c r="N324" s="845" t="inlineStr">
        <is>
          <t>Australia</t>
        </is>
      </c>
      <c r="O324" s="846" t="inlineStr">
        <is>
          <t>CIB</t>
        </is>
      </c>
      <c r="P324" s="847" t="n">
        <v>1</v>
      </c>
      <c r="Q324" s="846" t="n"/>
      <c r="R324" s="847" t="inlineStr">
        <is>
          <t>V</t>
        </is>
      </c>
      <c r="S324" s="847" t="n"/>
      <c r="T324" s="847" t="n"/>
      <c r="U324" s="848" t="n">
        <v>151950</v>
      </c>
      <c r="V324" s="849" t="n">
        <v>151950</v>
      </c>
      <c r="W324" s="850" t="n">
        <v>0.12</v>
      </c>
      <c r="X324" s="847" t="n">
        <v>0.055</v>
      </c>
      <c r="Y324" s="850" t="n">
        <v>0.12</v>
      </c>
      <c r="Z324" s="851" t="n"/>
      <c r="AA324" s="850" t="n">
        <v>0.04</v>
      </c>
      <c r="AB324" s="852" t="n">
        <v>202853.25</v>
      </c>
      <c r="AE324" s="534">
        <f>IF(TRIM($B324)="","",IF(AND(N($P324)&gt;0,N($P324)&lt;1),N($AB324)*N($P324),N($AB324)))</f>
        <v>202853.25</v>
      </c>
      <c r="AF324" s="534" t="str">
        <f>IF(TRIM($B324)="","",IF(OR(ISNUMBER(SEARCH("vacant",$B324)),ISNUMBER(SEARCH("ring fenced",$B324)),LOWER(TRIM($B324))="remove"),"Vacant","Filled"))</f>
        <v>Vacant</v>
      </c>
      <c r="AG324" s="534" t="b">
        <f>IF(TRIM($B324)="","",--ISNUMBER(SEARCH("ring fenced",$B324)))</f>
        <v>0</v>
      </c>
      <c r="AH324" s="534" t="str">
        <f>IF(TRIM($B324)="","",IF(COUNTIFS(Lists!$AN$2:$AN$22,TRIM($B324)&amp;" | "&amp;TRIM($D324),Lists!$AO$2:$AO$22,"&lt;&gt;"),INDEX(Lists!$AO$2:$AO$22,MATCH(TRIM($B324)&amp;" | "&amp;TRIM($D324),Lists!$AN$2:$AN$22,0)),IF(COUNTIF(Lists!$AR$2:$AR$3,$AJ324),"TDD Cyber",IF(AND(LEFT($AJ324,4)="EGI ",ISNUMBER(MATCH(TRIM(MID($AJ324,5,99)),Lists!$AS$2:$AS$12,0))),TRIM(MID($AJ324,5,99)),IF(AND(LEFT($AJ324,4)="EGI ",ISNUMBER(MATCH(TRIM(MID($AJ324,5,99)),Lists!$T$2:$T$21,0))),INDEX(Lists!$U$2:$U$21,MATCH(TRIM(MID($AJ324,5,99)),Lists!$T$2:$T$21,0)),IF(OR(TRIM($J324)="",UPPER(TRIM($J324))="NA"),IFERROR(INDEX(Lists!$R$2:$R$9,MATCH(TRIM($G324),Lists!$Q$2:$Q$9,0)),"UNMAPPED"),IFERROR(INDEX(Lists!$U$2:$U$21,MATCH(TRIM($J324),Lists!$T$2:$T$21,0)),IFERROR(INDEX(Lists!$R$2:$R$9,MATCH(TRIM($G324),Lists!$Q$2:$Q$9,0)),"UNMAPPED"))))))))</f>
        <v>Ampol Retail</v>
      </c>
      <c r="AI324" s="534" t="b">
        <f>IF(TRIM($B324)="","",--OR(TRIM($L324)="Leadership",TRIM($K324)="Leadership"))</f>
        <v>0</v>
      </c>
      <c r="AJ324" s="534" t="str">
        <f>IF(TRIM($B324)="","",IF(COUNTIFS(Lists!$AN$2:$AN$22,TRIM($B324)&amp;" | "&amp;TRIM($D324),Lists!$AP$2:$AP$22,"&lt;&gt;"),INDEX(Lists!$AP$2:$AP$22,MATCH(TRIM($B324)&amp;" | "&amp;TRIM($D324),Lists!$AN$2:$AN$22,0)),IF($AI324=1,"Leadership",IFERROR(INDEX(Lists!$X$2:$X$21,MATCH(TRIM($L324),Lists!$W$2:$W$21,0)),IF(OR(TRIM($L324)="",LOWER(TRIM($L324))="na"),IF(TRIM($H324)="","Unassigned",TRIM($H324)),TRIM($L324))))))</f>
        <v>Data AU</v>
      </c>
      <c r="AK324" s="534" t="str">
        <f>IF(TRIM($B324)="","",IF(COUNTIFS(Lists!$AN$2:$AN$22,TRIM($B324)&amp;" | "&amp;TRIM($D324),Lists!$AQ$2:$AQ$22,"&lt;&gt;"),INDEX(Lists!$AQ$2:$AQ$22,MATCH(TRIM($B324)&amp;" | "&amp;TRIM($D324),Lists!$AN$2:$AN$22,0)),IF(COUNTIF(Lists!$AF$2:$AF$8,$AJ324),$AJ324,IF(ISNUMBER(SEARCH("head of ",$D324)),"Head of Technology",IF(ISNUMBER(SEARCH("TDD BP",$D324)),"Business Partner",IF(OR(ISNUMBER(SEARCH("domain architect",$D324)),ISNUMBER(SEARCH("enterprise architect",$D324))),"Domain Architect",IF(ISNUMBER(SEARCH("delivery man",$D324)),"Delivery Manager",IF(OR(ISNUMBER(SEARCH("technology manager",$D324)),ISNUMBER(SEARCH("technology manger",$D324)),ISNUMBER(SEARCH("tech manager",$D324))),"Technology Manager","Squad"))))))))</f>
        <v>Squad</v>
      </c>
      <c r="AL324" s="534" t="str">
        <f>IF(TRIM($B324)="","",IF(AND($AM324=1,LEFT($AJ324,4)&lt;&gt;"EGI ",$AJ324&lt;&gt;"EGI"),IFERROR(INDEX(Lists!$Z$2:$Z$20,MATCH($AH324,Lists!$Y$2:$Y$20,0)),"EGI "&amp;$AH324),IF(COUNTIF(Lists!$AU$2:$AU$10,$AJ324),$AJ324,IF(OR(LEFT($AH324,3)="COE",$AH324="EGI"),$AJ324,IF($AK324&lt;&gt;"Squad",$AK324,$AJ324)))))</f>
        <v>Data AU</v>
      </c>
      <c r="AM324" s="534" t="b">
        <f>IF(TRIM($B324)="","",--(UPPER(TRIM($K324))="EGI"))</f>
        <v>0</v>
      </c>
      <c r="AQ324" s="841" t="inlineStr">
        <is>
          <t>R0323</t>
        </is>
      </c>
      <c r="AZ324" s="841" t="n"/>
    </row>
    <row r="325" ht="18" customHeight="1" s="535">
      <c r="A325" s="842" t="inlineStr">
        <is>
          <t>V</t>
        </is>
      </c>
      <c r="B325" s="843" t="inlineStr">
        <is>
          <t>Vacant</t>
        </is>
      </c>
      <c r="C325" s="842" t="inlineStr">
        <is>
          <t>V</t>
        </is>
      </c>
      <c r="D325" s="843" t="inlineStr">
        <is>
          <t>Engineer - Data</t>
        </is>
      </c>
      <c r="E325" s="843" t="inlineStr">
        <is>
          <t>Manjot Kaur</t>
        </is>
      </c>
      <c r="F325" s="843" t="inlineStr">
        <is>
          <t>Technology Manager, Data</t>
        </is>
      </c>
      <c r="G325" s="844" t="inlineStr">
        <is>
          <t>Ampol Retail &amp; Z</t>
        </is>
      </c>
      <c r="H325" s="843" t="inlineStr">
        <is>
          <t>Z &amp; Group Retail</t>
        </is>
      </c>
      <c r="I325" s="843" t="inlineStr">
        <is>
          <t>Z &amp; Group Retail, Data</t>
        </is>
      </c>
      <c r="J325" s="843" t="inlineStr">
        <is>
          <t>Retail</t>
        </is>
      </c>
      <c r="K325" s="843" t="inlineStr">
        <is>
          <t>(All Retail)</t>
        </is>
      </c>
      <c r="L325" s="843" t="inlineStr">
        <is>
          <t>Data - AU</t>
        </is>
      </c>
      <c r="M325" s="843" t="n"/>
      <c r="N325" s="845" t="inlineStr">
        <is>
          <t>Australia</t>
        </is>
      </c>
      <c r="O325" s="846" t="inlineStr">
        <is>
          <t>CIB</t>
        </is>
      </c>
      <c r="P325" s="847" t="n">
        <v>1</v>
      </c>
      <c r="Q325" s="846" t="n"/>
      <c r="R325" s="847" t="inlineStr">
        <is>
          <t>v</t>
        </is>
      </c>
      <c r="S325" s="847" t="n"/>
      <c r="T325" s="847" t="n"/>
      <c r="U325" s="848" t="n">
        <v>129650</v>
      </c>
      <c r="V325" s="849" t="n">
        <v>129650</v>
      </c>
      <c r="W325" s="850" t="n">
        <v>0.1</v>
      </c>
      <c r="X325" s="847" t="n">
        <v>0.055</v>
      </c>
      <c r="Y325" s="850" t="n">
        <v>0.12</v>
      </c>
      <c r="Z325" s="851" t="n"/>
      <c r="AA325" s="850" t="n">
        <v>0.04</v>
      </c>
      <c r="AB325" s="852" t="n">
        <v>170489.75</v>
      </c>
      <c r="AE325" s="534">
        <f>IF(TRIM($B325)="","",IF(AND(N($P325)&gt;0,N($P325)&lt;1),N($AB325)*N($P325),N($AB325)))</f>
        <v>170489.75</v>
      </c>
      <c r="AF325" s="534" t="str">
        <f>IF(TRIM($B325)="","",IF(OR(ISNUMBER(SEARCH("vacant",$B325)),ISNUMBER(SEARCH("ring fenced",$B325)),LOWER(TRIM($B325))="remove"),"Vacant","Filled"))</f>
        <v>Vacant</v>
      </c>
      <c r="AG325" s="534" t="b">
        <f>IF(TRIM($B325)="","",--ISNUMBER(SEARCH("ring fenced",$B325)))</f>
        <v>0</v>
      </c>
      <c r="AH325" s="534" t="str">
        <f>IF(TRIM($B325)="","",IF(COUNTIFS(Lists!$AN$2:$AN$22,TRIM($B325)&amp;" | "&amp;TRIM($D325),Lists!$AO$2:$AO$22,"&lt;&gt;"),INDEX(Lists!$AO$2:$AO$22,MATCH(TRIM($B325)&amp;" | "&amp;TRIM($D325),Lists!$AN$2:$AN$22,0)),IF(COUNTIF(Lists!$AR$2:$AR$3,$AJ325),"TDD Cyber",IF(AND(LEFT($AJ325,4)="EGI ",ISNUMBER(MATCH(TRIM(MID($AJ325,5,99)),Lists!$AS$2:$AS$12,0))),TRIM(MID($AJ325,5,99)),IF(AND(LEFT($AJ325,4)="EGI ",ISNUMBER(MATCH(TRIM(MID($AJ325,5,99)),Lists!$T$2:$T$21,0))),INDEX(Lists!$U$2:$U$21,MATCH(TRIM(MID($AJ325,5,99)),Lists!$T$2:$T$21,0)),IF(OR(TRIM($J325)="",UPPER(TRIM($J325))="NA"),IFERROR(INDEX(Lists!$R$2:$R$9,MATCH(TRIM($G325),Lists!$Q$2:$Q$9,0)),"UNMAPPED"),IFERROR(INDEX(Lists!$U$2:$U$21,MATCH(TRIM($J325),Lists!$T$2:$T$21,0)),IFERROR(INDEX(Lists!$R$2:$R$9,MATCH(TRIM($G325),Lists!$Q$2:$Q$9,0)),"UNMAPPED"))))))))</f>
        <v>Ampol Retail</v>
      </c>
      <c r="AI325" s="534" t="b">
        <f>IF(TRIM($B325)="","",--OR(TRIM($L325)="Leadership",TRIM($K325)="Leadership"))</f>
        <v>0</v>
      </c>
      <c r="AJ325" s="534" t="str">
        <f>IF(TRIM($B325)="","",IF(COUNTIFS(Lists!$AN$2:$AN$22,TRIM($B325)&amp;" | "&amp;TRIM($D325),Lists!$AP$2:$AP$22,"&lt;&gt;"),INDEX(Lists!$AP$2:$AP$22,MATCH(TRIM($B325)&amp;" | "&amp;TRIM($D325),Lists!$AN$2:$AN$22,0)),IF($AI325=1,"Leadership",IFERROR(INDEX(Lists!$X$2:$X$21,MATCH(TRIM($L325),Lists!$W$2:$W$21,0)),IF(OR(TRIM($L325)="",LOWER(TRIM($L325))="na"),IF(TRIM($H325)="","Unassigned",TRIM($H325)),TRIM($L325))))))</f>
        <v>Data AU</v>
      </c>
      <c r="AK325" s="534" t="str">
        <f>IF(TRIM($B325)="","",IF(COUNTIFS(Lists!$AN$2:$AN$22,TRIM($B325)&amp;" | "&amp;TRIM($D325),Lists!$AQ$2:$AQ$22,"&lt;&gt;"),INDEX(Lists!$AQ$2:$AQ$22,MATCH(TRIM($B325)&amp;" | "&amp;TRIM($D325),Lists!$AN$2:$AN$22,0)),IF(COUNTIF(Lists!$AF$2:$AF$8,$AJ325),$AJ325,IF(ISNUMBER(SEARCH("head of ",$D325)),"Head of Technology",IF(ISNUMBER(SEARCH("TDD BP",$D325)),"Business Partner",IF(OR(ISNUMBER(SEARCH("domain architect",$D325)),ISNUMBER(SEARCH("enterprise architect",$D325))),"Domain Architect",IF(ISNUMBER(SEARCH("delivery man",$D325)),"Delivery Manager",IF(OR(ISNUMBER(SEARCH("technology manager",$D325)),ISNUMBER(SEARCH("technology manger",$D325)),ISNUMBER(SEARCH("tech manager",$D325))),"Technology Manager","Squad"))))))))</f>
        <v>Squad</v>
      </c>
      <c r="AL325" s="534" t="str">
        <f>IF(TRIM($B325)="","",IF(AND($AM325=1,LEFT($AJ325,4)&lt;&gt;"EGI ",$AJ325&lt;&gt;"EGI"),IFERROR(INDEX(Lists!$Z$2:$Z$20,MATCH($AH325,Lists!$Y$2:$Y$20,0)),"EGI "&amp;$AH325),IF(COUNTIF(Lists!$AU$2:$AU$10,$AJ325),$AJ325,IF(OR(LEFT($AH325,3)="COE",$AH325="EGI"),$AJ325,IF($AK325&lt;&gt;"Squad",$AK325,$AJ325)))))</f>
        <v>Data AU</v>
      </c>
      <c r="AM325" s="534" t="b">
        <f>IF(TRIM($B325)="","",--(UPPER(TRIM($K325))="EGI"))</f>
        <v>0</v>
      </c>
      <c r="AQ325" s="841" t="inlineStr">
        <is>
          <t>R0324</t>
        </is>
      </c>
      <c r="AZ325" s="841" t="n"/>
    </row>
    <row r="326" ht="18" customHeight="1" s="535">
      <c r="A326" s="842" t="inlineStr">
        <is>
          <t>V</t>
        </is>
      </c>
      <c r="B326" s="843" t="inlineStr">
        <is>
          <t>Vacant</t>
        </is>
      </c>
      <c r="C326" s="842" t="inlineStr">
        <is>
          <t>V</t>
        </is>
      </c>
      <c r="D326" s="843" t="inlineStr">
        <is>
          <t>Engineer - Data</t>
        </is>
      </c>
      <c r="E326" s="843" t="inlineStr">
        <is>
          <t>Manjot Kaur</t>
        </is>
      </c>
      <c r="F326" s="843" t="inlineStr">
        <is>
          <t>Technology Manager, Data</t>
        </is>
      </c>
      <c r="G326" s="844" t="inlineStr">
        <is>
          <t>Ampol Retail &amp; Z</t>
        </is>
      </c>
      <c r="H326" s="843" t="inlineStr">
        <is>
          <t>Z &amp; Group Retail</t>
        </is>
      </c>
      <c r="I326" s="843" t="inlineStr">
        <is>
          <t>Z &amp; Group Retail, Data</t>
        </is>
      </c>
      <c r="J326" s="843" t="inlineStr">
        <is>
          <t>Z</t>
        </is>
      </c>
      <c r="K326" s="843" t="inlineStr">
        <is>
          <t>Z Customer &amp; Z Supply</t>
        </is>
      </c>
      <c r="L326" s="843" t="inlineStr">
        <is>
          <t>Data - NZ</t>
        </is>
      </c>
      <c r="M326" s="843" t="n"/>
      <c r="N326" s="845" t="inlineStr">
        <is>
          <t>Australia</t>
        </is>
      </c>
      <c r="O326" s="846" t="inlineStr">
        <is>
          <t>CIB</t>
        </is>
      </c>
      <c r="P326" s="847" t="n">
        <v>1</v>
      </c>
      <c r="Q326" s="846" t="n"/>
      <c r="R326" s="847" t="inlineStr">
        <is>
          <t>V</t>
        </is>
      </c>
      <c r="S326" s="847" t="n"/>
      <c r="T326" s="847" t="n"/>
      <c r="U326" s="848" t="n">
        <v>151950</v>
      </c>
      <c r="V326" s="849" t="n">
        <v>151950</v>
      </c>
      <c r="W326" s="850" t="n">
        <v>0.12</v>
      </c>
      <c r="X326" s="847" t="n">
        <v>0.055</v>
      </c>
      <c r="Y326" s="850" t="n">
        <v>0.12</v>
      </c>
      <c r="Z326" s="851" t="n"/>
      <c r="AA326" s="850" t="n">
        <v>0.04</v>
      </c>
      <c r="AB326" s="852" t="n">
        <v>202853.25</v>
      </c>
      <c r="AE326" s="534">
        <f>IF(TRIM($B326)="","",IF(AND(N($P326)&gt;0,N($P326)&lt;1),N($AB326)*N($P326),N($AB326)))</f>
        <v>202853.25</v>
      </c>
      <c r="AF326" s="534" t="str">
        <f>IF(TRIM($B326)="","",IF(OR(ISNUMBER(SEARCH("vacant",$B326)),ISNUMBER(SEARCH("ring fenced",$B326)),LOWER(TRIM($B326))="remove"),"Vacant","Filled"))</f>
        <v>Vacant</v>
      </c>
      <c r="AG326" s="534" t="b">
        <f>IF(TRIM($B326)="","",--ISNUMBER(SEARCH("ring fenced",$B326)))</f>
        <v>0</v>
      </c>
      <c r="AH326" s="534" t="str">
        <f>IF(TRIM($B326)="","",IF(COUNTIFS(Lists!$AN$2:$AN$22,TRIM($B326)&amp;" | "&amp;TRIM($D326),Lists!$AO$2:$AO$22,"&lt;&gt;"),INDEX(Lists!$AO$2:$AO$22,MATCH(TRIM($B326)&amp;" | "&amp;TRIM($D326),Lists!$AN$2:$AN$22,0)),IF(COUNTIF(Lists!$AR$2:$AR$3,$AJ326),"TDD Cyber",IF(AND(LEFT($AJ326,4)="EGI ",ISNUMBER(MATCH(TRIM(MID($AJ326,5,99)),Lists!$AS$2:$AS$12,0))),TRIM(MID($AJ326,5,99)),IF(AND(LEFT($AJ326,4)="EGI ",ISNUMBER(MATCH(TRIM(MID($AJ326,5,99)),Lists!$T$2:$T$21,0))),INDEX(Lists!$U$2:$U$21,MATCH(TRIM(MID($AJ326,5,99)),Lists!$T$2:$T$21,0)),IF(OR(TRIM($J326)="",UPPER(TRIM($J326))="NA"),IFERROR(INDEX(Lists!$R$2:$R$9,MATCH(TRIM($G326),Lists!$Q$2:$Q$9,0)),"UNMAPPED"),IFERROR(INDEX(Lists!$U$2:$U$21,MATCH(TRIM($J326),Lists!$T$2:$T$21,0)),IFERROR(INDEX(Lists!$R$2:$R$9,MATCH(TRIM($G326),Lists!$Q$2:$Q$9,0)),"UNMAPPED"))))))))</f>
        <v>Z Retail</v>
      </c>
      <c r="AI326" s="534" t="b">
        <f>IF(TRIM($B326)="","",--OR(TRIM($L326)="Leadership",TRIM($K326)="Leadership"))</f>
        <v>0</v>
      </c>
      <c r="AJ326" s="534" t="str">
        <f>IF(TRIM($B326)="","",IF(COUNTIFS(Lists!$AN$2:$AN$22,TRIM($B326)&amp;" | "&amp;TRIM($D326),Lists!$AP$2:$AP$22,"&lt;&gt;"),INDEX(Lists!$AP$2:$AP$22,MATCH(TRIM($B326)&amp;" | "&amp;TRIM($D326),Lists!$AN$2:$AN$22,0)),IF($AI326=1,"Leadership",IFERROR(INDEX(Lists!$X$2:$X$21,MATCH(TRIM($L326),Lists!$W$2:$W$21,0)),IF(OR(TRIM($L326)="",LOWER(TRIM($L326))="na"),IF(TRIM($H326)="","Unassigned",TRIM($H326)),TRIM($L326))))))</f>
        <v>Data NZ</v>
      </c>
      <c r="AK326" s="534" t="str">
        <f>IF(TRIM($B326)="","",IF(COUNTIFS(Lists!$AN$2:$AN$22,TRIM($B326)&amp;" | "&amp;TRIM($D326),Lists!$AQ$2:$AQ$22,"&lt;&gt;"),INDEX(Lists!$AQ$2:$AQ$22,MATCH(TRIM($B326)&amp;" | "&amp;TRIM($D326),Lists!$AN$2:$AN$22,0)),IF(COUNTIF(Lists!$AF$2:$AF$8,$AJ326),$AJ326,IF(ISNUMBER(SEARCH("head of ",$D326)),"Head of Technology",IF(ISNUMBER(SEARCH("TDD BP",$D326)),"Business Partner",IF(OR(ISNUMBER(SEARCH("domain architect",$D326)),ISNUMBER(SEARCH("enterprise architect",$D326))),"Domain Architect",IF(ISNUMBER(SEARCH("delivery man",$D326)),"Delivery Manager",IF(OR(ISNUMBER(SEARCH("technology manager",$D326)),ISNUMBER(SEARCH("technology manger",$D326)),ISNUMBER(SEARCH("tech manager",$D326))),"Technology Manager","Squad"))))))))</f>
        <v>Squad</v>
      </c>
      <c r="AL326" s="534" t="str">
        <f>IF(TRIM($B326)="","",IF(AND($AM326=1,LEFT($AJ326,4)&lt;&gt;"EGI ",$AJ326&lt;&gt;"EGI"),IFERROR(INDEX(Lists!$Z$2:$Z$20,MATCH($AH326,Lists!$Y$2:$Y$20,0)),"EGI "&amp;$AH326),IF(COUNTIF(Lists!$AU$2:$AU$10,$AJ326),$AJ326,IF(OR(LEFT($AH326,3)="COE",$AH326="EGI"),$AJ326,IF($AK326&lt;&gt;"Squad",$AK326,$AJ326)))))</f>
        <v>Data NZ</v>
      </c>
      <c r="AM326" s="534" t="b">
        <f>IF(TRIM($B326)="","",--(UPPER(TRIM($K326))="EGI"))</f>
        <v>0</v>
      </c>
      <c r="AQ326" s="841" t="inlineStr">
        <is>
          <t>R0325</t>
        </is>
      </c>
      <c r="AZ326" s="841" t="n"/>
    </row>
    <row r="327" ht="18" customHeight="1" s="535">
      <c r="A327" s="842" t="inlineStr">
        <is>
          <t>V</t>
        </is>
      </c>
      <c r="B327" s="843" t="inlineStr">
        <is>
          <t>Vacant</t>
        </is>
      </c>
      <c r="C327" s="842" t="inlineStr">
        <is>
          <t>V</t>
        </is>
      </c>
      <c r="D327" s="843" t="inlineStr">
        <is>
          <t>Senior Communications Advisor</t>
        </is>
      </c>
      <c r="E327" s="843" t="inlineStr">
        <is>
          <t>Matt Ashley</t>
        </is>
      </c>
      <c r="F327" s="843" t="inlineStr">
        <is>
          <t>GM TDD, Strategy, Architecture, Data</t>
        </is>
      </c>
      <c r="G327" s="844" t="inlineStr">
        <is>
          <t>Strategy, Architecture &amp; Data</t>
        </is>
      </c>
      <c r="H327" s="843" t="inlineStr">
        <is>
          <t>na</t>
        </is>
      </c>
      <c r="I327" s="843" t="n"/>
      <c r="J327" s="843" t="n"/>
      <c r="K327" s="843" t="inlineStr">
        <is>
          <t>Leadership</t>
        </is>
      </c>
      <c r="L327" s="843" t="n"/>
      <c r="M327" s="843" t="n"/>
      <c r="N327" s="845" t="inlineStr">
        <is>
          <t>Australia</t>
        </is>
      </c>
      <c r="O327" s="846" t="inlineStr">
        <is>
          <t>CIB</t>
        </is>
      </c>
      <c r="P327" s="847" t="n">
        <v>1</v>
      </c>
      <c r="Q327" s="846" t="n"/>
      <c r="R327" s="847" t="inlineStr">
        <is>
          <t>v</t>
        </is>
      </c>
      <c r="S327" s="847" t="n"/>
      <c r="T327" s="847" t="n"/>
      <c r="U327" s="848" t="n">
        <v>140000</v>
      </c>
      <c r="V327" s="849" t="n">
        <v>140000</v>
      </c>
      <c r="W327" s="850" t="n">
        <v>0.12</v>
      </c>
      <c r="X327" s="847" t="n">
        <v>0.055</v>
      </c>
      <c r="Y327" s="850" t="n">
        <v>0.12</v>
      </c>
      <c r="Z327" s="851" t="n"/>
      <c r="AA327" s="850" t="n">
        <v>0.04</v>
      </c>
      <c r="AB327" s="852" t="n">
        <v>186900</v>
      </c>
      <c r="AE327" s="534">
        <f>IF(TRIM($B327)="","",IF(AND(N($P327)&gt;0,N($P327)&lt;1),N($AB327)*N($P327),N($AB327)))</f>
        <v>186900</v>
      </c>
      <c r="AF327" s="534" t="str">
        <f>IF(TRIM($B327)="","",IF(OR(ISNUMBER(SEARCH("vacant",$B327)),ISNUMBER(SEARCH("ring fenced",$B327)),LOWER(TRIM($B327))="remove"),"Vacant","Filled"))</f>
        <v>Vacant</v>
      </c>
      <c r="AG327" s="534" t="b">
        <f>IF(TRIM($B327)="","",--ISNUMBER(SEARCH("ring fenced",$B327)))</f>
        <v>0</v>
      </c>
      <c r="AH327" s="534" t="str">
        <f>IF(TRIM($B327)="","",IF(COUNTIFS(Lists!$AN$2:$AN$22,TRIM($B327)&amp;" | "&amp;TRIM($D327),Lists!$AO$2:$AO$22,"&lt;&gt;"),INDEX(Lists!$AO$2:$AO$22,MATCH(TRIM($B327)&amp;" | "&amp;TRIM($D327),Lists!$AN$2:$AN$22,0)),IF(COUNTIF(Lists!$AR$2:$AR$3,$AJ327),"TDD Cyber",IF(AND(LEFT($AJ327,4)="EGI ",ISNUMBER(MATCH(TRIM(MID($AJ327,5,99)),Lists!$AS$2:$AS$12,0))),TRIM(MID($AJ327,5,99)),IF(AND(LEFT($AJ327,4)="EGI ",ISNUMBER(MATCH(TRIM(MID($AJ327,5,99)),Lists!$T$2:$T$21,0))),INDEX(Lists!$U$2:$U$21,MATCH(TRIM(MID($AJ327,5,99)),Lists!$T$2:$T$21,0)),IF(OR(TRIM($J327)="",UPPER(TRIM($J327))="NA"),IFERROR(INDEX(Lists!$R$2:$R$9,MATCH(TRIM($G327),Lists!$Q$2:$Q$9,0)),"UNMAPPED"),IFERROR(INDEX(Lists!$U$2:$U$21,MATCH(TRIM($J327),Lists!$T$2:$T$21,0)),IFERROR(INDEX(Lists!$R$2:$R$9,MATCH(TRIM($G327),Lists!$Q$2:$Q$9,0)),"UNMAPPED"))))))))</f>
        <v>COE SA&amp;D</v>
      </c>
      <c r="AI327" s="534" t="b">
        <f>IF(TRIM($B327)="","",--OR(TRIM($L327)="Leadership",TRIM($K327)="Leadership"))</f>
        <v>1</v>
      </c>
      <c r="AJ327" s="534" t="str">
        <f>IF(TRIM($B327)="","",IF(COUNTIFS(Lists!$AN$2:$AN$22,TRIM($B327)&amp;" | "&amp;TRIM($D327),Lists!$AP$2:$AP$22,"&lt;&gt;"),INDEX(Lists!$AP$2:$AP$22,MATCH(TRIM($B327)&amp;" | "&amp;TRIM($D327),Lists!$AN$2:$AN$22,0)),IF($AI327=1,"Leadership",IFERROR(INDEX(Lists!$X$2:$X$21,MATCH(TRIM($L327),Lists!$W$2:$W$21,0)),IF(OR(TRIM($L327)="",LOWER(TRIM($L327))="na"),IF(TRIM($H327)="","Unassigned",TRIM($H327)),TRIM($L327))))))</f>
        <v>Leadership</v>
      </c>
      <c r="AK327" s="534" t="str">
        <f>IF(TRIM($B327)="","",IF(COUNTIFS(Lists!$AN$2:$AN$22,TRIM($B327)&amp;" | "&amp;TRIM($D327),Lists!$AQ$2:$AQ$22,"&lt;&gt;"),INDEX(Lists!$AQ$2:$AQ$22,MATCH(TRIM($B327)&amp;" | "&amp;TRIM($D327),Lists!$AN$2:$AN$22,0)),IF(COUNTIF(Lists!$AF$2:$AF$8,$AJ327),$AJ327,IF(ISNUMBER(SEARCH("head of ",$D327)),"Head of Technology",IF(ISNUMBER(SEARCH("TDD BP",$D327)),"Business Partner",IF(OR(ISNUMBER(SEARCH("domain architect",$D327)),ISNUMBER(SEARCH("enterprise architect",$D327))),"Domain Architect",IF(ISNUMBER(SEARCH("delivery man",$D327)),"Delivery Manager",IF(OR(ISNUMBER(SEARCH("technology manager",$D327)),ISNUMBER(SEARCH("technology manger",$D327)),ISNUMBER(SEARCH("tech manager",$D327))),"Technology Manager","Squad"))))))))</f>
        <v>Squad</v>
      </c>
      <c r="AL327" s="534" t="str">
        <f>IF(TRIM($B327)="","",IF(AND($AM327=1,LEFT($AJ327,4)&lt;&gt;"EGI ",$AJ327&lt;&gt;"EGI"),IFERROR(INDEX(Lists!$Z$2:$Z$20,MATCH($AH327,Lists!$Y$2:$Y$20,0)),"EGI "&amp;$AH327),IF(COUNTIF(Lists!$AU$2:$AU$10,$AJ327),$AJ327,IF(OR(LEFT($AH327,3)="COE",$AH327="EGI"),$AJ327,IF($AK327&lt;&gt;"Squad",$AK327,$AJ327)))))</f>
        <v>Leadership</v>
      </c>
      <c r="AM327" s="534" t="b">
        <f>IF(TRIM($B327)="","",--(UPPER(TRIM($K327))="EGI"))</f>
        <v>0</v>
      </c>
      <c r="AQ327" s="841" t="inlineStr">
        <is>
          <t>R0326</t>
        </is>
      </c>
      <c r="AZ327" s="841" t="n"/>
    </row>
    <row r="328" ht="18" customHeight="1" s="535">
      <c r="A328" s="842" t="n">
        <v>111451</v>
      </c>
      <c r="B328" s="843" t="inlineStr">
        <is>
          <t>Aniket Banerji</t>
        </is>
      </c>
      <c r="C328" s="842" t="n">
        <v>111451</v>
      </c>
      <c r="D328" s="843" t="inlineStr">
        <is>
          <t>Deployment Lead</t>
        </is>
      </c>
      <c r="E328" s="843" t="inlineStr">
        <is>
          <t>Matthew Patane</t>
        </is>
      </c>
      <c r="F328" s="843" t="inlineStr">
        <is>
          <t>Release &amp; Deployment Manager</t>
        </is>
      </c>
      <c r="G328" s="844" t="inlineStr">
        <is>
          <t>Ampol Retail &amp; Z</t>
        </is>
      </c>
      <c r="H328" s="843" t="inlineStr">
        <is>
          <t>Ampol Retail</t>
        </is>
      </c>
      <c r="I328" s="843" t="inlineStr">
        <is>
          <t>Ampol Retail, Technology</t>
        </is>
      </c>
      <c r="J328" s="843" t="inlineStr">
        <is>
          <t>Retail</t>
        </is>
      </c>
      <c r="K328" s="843" t="inlineStr">
        <is>
          <t>Store Operations</t>
        </is>
      </c>
      <c r="L328" s="843" t="inlineStr">
        <is>
          <t>Deployment</t>
        </is>
      </c>
      <c r="M328" s="843" t="n"/>
      <c r="N328" s="845" t="inlineStr">
        <is>
          <t>Australia</t>
        </is>
      </c>
      <c r="O328" s="846" t="inlineStr">
        <is>
          <t>CIB</t>
        </is>
      </c>
      <c r="P328" s="847" t="n">
        <v>1</v>
      </c>
      <c r="Q328" s="846" t="n"/>
      <c r="R328" s="847" t="inlineStr">
        <is>
          <t>Temporary - Full Time</t>
        </is>
      </c>
      <c r="S328" s="847" t="n"/>
      <c r="T328" s="847" t="n"/>
      <c r="U328" s="848" t="n">
        <v>150000</v>
      </c>
      <c r="V328" s="849" t="n">
        <v>150000</v>
      </c>
      <c r="W328" s="850" t="n">
        <v>0.12</v>
      </c>
      <c r="X328" s="847" t="n">
        <v>0.055</v>
      </c>
      <c r="Y328" s="850" t="n">
        <v>0.12</v>
      </c>
      <c r="Z328" s="851" t="n"/>
      <c r="AA328" s="850" t="n">
        <v>0.04</v>
      </c>
      <c r="AB328" s="852" t="n">
        <v>200250</v>
      </c>
      <c r="AE328" s="534">
        <f>IF(TRIM($B328)="","",IF(AND(N($P328)&gt;0,N($P328)&lt;1),N($AB328)*N($P328),N($AB328)))</f>
        <v>200250</v>
      </c>
      <c r="AF328" s="534" t="str">
        <f>IF(TRIM($B328)="","",IF(OR(ISNUMBER(SEARCH("vacant",$B328)),ISNUMBER(SEARCH("ring fenced",$B328)),LOWER(TRIM($B328))="remove"),"Vacant","Filled"))</f>
        <v>Filled</v>
      </c>
      <c r="AG328" s="534" t="b">
        <f>IF(TRIM($B328)="","",--ISNUMBER(SEARCH("ring fenced",$B328)))</f>
        <v>0</v>
      </c>
      <c r="AH328" s="534" t="str">
        <f>IF(TRIM($B328)="","",IF(COUNTIFS(Lists!$AN$2:$AN$22,TRIM($B328)&amp;" | "&amp;TRIM($D328),Lists!$AO$2:$AO$22,"&lt;&gt;"),INDEX(Lists!$AO$2:$AO$22,MATCH(TRIM($B328)&amp;" | "&amp;TRIM($D328),Lists!$AN$2:$AN$22,0)),IF(COUNTIF(Lists!$AR$2:$AR$3,$AJ328),"TDD Cyber",IF(AND(LEFT($AJ328,4)="EGI ",ISNUMBER(MATCH(TRIM(MID($AJ328,5,99)),Lists!$AS$2:$AS$12,0))),TRIM(MID($AJ328,5,99)),IF(AND(LEFT($AJ328,4)="EGI ",ISNUMBER(MATCH(TRIM(MID($AJ328,5,99)),Lists!$T$2:$T$21,0))),INDEX(Lists!$U$2:$U$21,MATCH(TRIM(MID($AJ328,5,99)),Lists!$T$2:$T$21,0)),IF(OR(TRIM($J328)="",UPPER(TRIM($J328))="NA"),IFERROR(INDEX(Lists!$R$2:$R$9,MATCH(TRIM($G328),Lists!$Q$2:$Q$9,0)),"UNMAPPED"),IFERROR(INDEX(Lists!$U$2:$U$21,MATCH(TRIM($J328),Lists!$T$2:$T$21,0)),IFERROR(INDEX(Lists!$R$2:$R$9,MATCH(TRIM($G328),Lists!$Q$2:$Q$9,0)),"UNMAPPED"))))))))</f>
        <v>Ampol Retail</v>
      </c>
      <c r="AI328" s="534" t="b">
        <f>IF(TRIM($B328)="","",--OR(TRIM($L328)="Leadership",TRIM($K328)="Leadership"))</f>
        <v>0</v>
      </c>
      <c r="AJ328" s="534" t="str">
        <f>IF(TRIM($B328)="","",IF(COUNTIFS(Lists!$AN$2:$AN$22,TRIM($B328)&amp;" | "&amp;TRIM($D328),Lists!$AP$2:$AP$22,"&lt;&gt;"),INDEX(Lists!$AP$2:$AP$22,MATCH(TRIM($B328)&amp;" | "&amp;TRIM($D328),Lists!$AN$2:$AN$22,0)),IF($AI328=1,"Leadership",IFERROR(INDEX(Lists!$X$2:$X$21,MATCH(TRIM($L328),Lists!$W$2:$W$21,0)),IF(OR(TRIM($L328)="",LOWER(TRIM($L328))="na"),IF(TRIM($H328)="","Unassigned",TRIM($H328)),TRIM($L328))))))</f>
        <v>Deployment</v>
      </c>
      <c r="AK328" s="534" t="str">
        <f>IF(TRIM($B328)="","",IF(COUNTIFS(Lists!$AN$2:$AN$22,TRIM($B328)&amp;" | "&amp;TRIM($D328),Lists!$AQ$2:$AQ$22,"&lt;&gt;"),INDEX(Lists!$AQ$2:$AQ$22,MATCH(TRIM($B328)&amp;" | "&amp;TRIM($D328),Lists!$AN$2:$AN$22,0)),IF(COUNTIF(Lists!$AF$2:$AF$8,$AJ328),$AJ328,IF(ISNUMBER(SEARCH("head of ",$D328)),"Head of Technology",IF(ISNUMBER(SEARCH("TDD BP",$D328)),"Business Partner",IF(OR(ISNUMBER(SEARCH("domain architect",$D328)),ISNUMBER(SEARCH("enterprise architect",$D328))),"Domain Architect",IF(ISNUMBER(SEARCH("delivery man",$D328)),"Delivery Manager",IF(OR(ISNUMBER(SEARCH("technology manager",$D328)),ISNUMBER(SEARCH("technology manger",$D328)),ISNUMBER(SEARCH("tech manager",$D328))),"Technology Manager","Squad"))))))))</f>
        <v>Squad</v>
      </c>
      <c r="AL328" s="534" t="str">
        <f>IF(TRIM($B328)="","",IF(AND($AM328=1,LEFT($AJ328,4)&lt;&gt;"EGI ",$AJ328&lt;&gt;"EGI"),IFERROR(INDEX(Lists!$Z$2:$Z$20,MATCH($AH328,Lists!$Y$2:$Y$20,0)),"EGI "&amp;$AH328),IF(COUNTIF(Lists!$AU$2:$AU$10,$AJ328),$AJ328,IF(OR(LEFT($AH328,3)="COE",$AH328="EGI"),$AJ328,IF($AK328&lt;&gt;"Squad",$AK328,$AJ328)))))</f>
        <v>Deployment</v>
      </c>
      <c r="AM328" s="534" t="b">
        <f>IF(TRIM($B328)="","",--(UPPER(TRIM($K328))="EGI"))</f>
        <v>0</v>
      </c>
      <c r="AQ328" s="841" t="inlineStr">
        <is>
          <t>R0327</t>
        </is>
      </c>
      <c r="AZ328" s="841" t="n"/>
    </row>
    <row r="329" ht="18" customHeight="1" s="535">
      <c r="A329" s="842" t="n">
        <v>95128</v>
      </c>
      <c r="B329" s="843" t="inlineStr">
        <is>
          <t>Deepak Kubendran</t>
        </is>
      </c>
      <c r="C329" s="842" t="n">
        <v>95128</v>
      </c>
      <c r="D329" s="843" t="inlineStr">
        <is>
          <t>Project Manager – Deployments</t>
        </is>
      </c>
      <c r="E329" s="843" t="inlineStr">
        <is>
          <t>Matthew Patane</t>
        </is>
      </c>
      <c r="F329" s="843" t="inlineStr">
        <is>
          <t>Release &amp; Deployment Manager</t>
        </is>
      </c>
      <c r="G329" s="844" t="inlineStr">
        <is>
          <t>Ampol Retail &amp; Z</t>
        </is>
      </c>
      <c r="H329" s="843" t="inlineStr">
        <is>
          <t>Ampol Retail</t>
        </is>
      </c>
      <c r="I329" s="843" t="inlineStr">
        <is>
          <t>Ampol Retail, Technology</t>
        </is>
      </c>
      <c r="J329" s="843" t="inlineStr">
        <is>
          <t>Retail</t>
        </is>
      </c>
      <c r="K329" s="843" t="inlineStr">
        <is>
          <t>Store Operations</t>
        </is>
      </c>
      <c r="L329" s="843" t="inlineStr">
        <is>
          <t>Deployment</t>
        </is>
      </c>
      <c r="M329" s="843" t="n"/>
      <c r="N329" s="845" t="inlineStr">
        <is>
          <t>Australia</t>
        </is>
      </c>
      <c r="O329" s="846" t="inlineStr">
        <is>
          <t>CIB</t>
        </is>
      </c>
      <c r="P329" s="847" t="n">
        <v>1</v>
      </c>
      <c r="Q329" s="846" t="n"/>
      <c r="R329" s="847" t="inlineStr">
        <is>
          <t>Permanent - Full Time</t>
        </is>
      </c>
      <c r="S329" s="847" t="n"/>
      <c r="T329" s="847" t="n"/>
      <c r="U329" s="848" t="n">
        <v>153920</v>
      </c>
      <c r="V329" s="849" t="n">
        <v>153920</v>
      </c>
      <c r="W329" s="850" t="n">
        <v>0.12</v>
      </c>
      <c r="X329" s="847" t="n">
        <v>0.055</v>
      </c>
      <c r="Y329" s="850" t="n">
        <v>0.12</v>
      </c>
      <c r="Z329" s="851" t="n"/>
      <c r="AA329" s="850" t="n">
        <v>0.04</v>
      </c>
      <c r="AB329" s="852" t="n">
        <v>205483.2</v>
      </c>
      <c r="AE329" s="534">
        <f>IF(TRIM($B329)="","",IF(AND(N($P329)&gt;0,N($P329)&lt;1),N($AB329)*N($P329),N($AB329)))</f>
        <v>205483.2</v>
      </c>
      <c r="AF329" s="534" t="str">
        <f>IF(TRIM($B329)="","",IF(OR(ISNUMBER(SEARCH("vacant",$B329)),ISNUMBER(SEARCH("ring fenced",$B329)),LOWER(TRIM($B329))="remove"),"Vacant","Filled"))</f>
        <v>Filled</v>
      </c>
      <c r="AG329" s="534" t="b">
        <f>IF(TRIM($B329)="","",--ISNUMBER(SEARCH("ring fenced",$B329)))</f>
        <v>0</v>
      </c>
      <c r="AH329" s="534" t="str">
        <f>IF(TRIM($B329)="","",IF(COUNTIFS(Lists!$AN$2:$AN$22,TRIM($B329)&amp;" | "&amp;TRIM($D329),Lists!$AO$2:$AO$22,"&lt;&gt;"),INDEX(Lists!$AO$2:$AO$22,MATCH(TRIM($B329)&amp;" | "&amp;TRIM($D329),Lists!$AN$2:$AN$22,0)),IF(COUNTIF(Lists!$AR$2:$AR$3,$AJ329),"TDD Cyber",IF(AND(LEFT($AJ329,4)="EGI ",ISNUMBER(MATCH(TRIM(MID($AJ329,5,99)),Lists!$AS$2:$AS$12,0))),TRIM(MID($AJ329,5,99)),IF(AND(LEFT($AJ329,4)="EGI ",ISNUMBER(MATCH(TRIM(MID($AJ329,5,99)),Lists!$T$2:$T$21,0))),INDEX(Lists!$U$2:$U$21,MATCH(TRIM(MID($AJ329,5,99)),Lists!$T$2:$T$21,0)),IF(OR(TRIM($J329)="",UPPER(TRIM($J329))="NA"),IFERROR(INDEX(Lists!$R$2:$R$9,MATCH(TRIM($G329),Lists!$Q$2:$Q$9,0)),"UNMAPPED"),IFERROR(INDEX(Lists!$U$2:$U$21,MATCH(TRIM($J329),Lists!$T$2:$T$21,0)),IFERROR(INDEX(Lists!$R$2:$R$9,MATCH(TRIM($G329),Lists!$Q$2:$Q$9,0)),"UNMAPPED"))))))))</f>
        <v>Ampol Retail</v>
      </c>
      <c r="AI329" s="534" t="b">
        <f>IF(TRIM($B329)="","",--OR(TRIM($L329)="Leadership",TRIM($K329)="Leadership"))</f>
        <v>0</v>
      </c>
      <c r="AJ329" s="534" t="str">
        <f>IF(TRIM($B329)="","",IF(COUNTIFS(Lists!$AN$2:$AN$22,TRIM($B329)&amp;" | "&amp;TRIM($D329),Lists!$AP$2:$AP$22,"&lt;&gt;"),INDEX(Lists!$AP$2:$AP$22,MATCH(TRIM($B329)&amp;" | "&amp;TRIM($D329),Lists!$AN$2:$AN$22,0)),IF($AI329=1,"Leadership",IFERROR(INDEX(Lists!$X$2:$X$21,MATCH(TRIM($L329),Lists!$W$2:$W$21,0)),IF(OR(TRIM($L329)="",LOWER(TRIM($L329))="na"),IF(TRIM($H329)="","Unassigned",TRIM($H329)),TRIM($L329))))))</f>
        <v>Deployment</v>
      </c>
      <c r="AK329" s="534" t="str">
        <f>IF(TRIM($B329)="","",IF(COUNTIFS(Lists!$AN$2:$AN$22,TRIM($B329)&amp;" | "&amp;TRIM($D329),Lists!$AQ$2:$AQ$22,"&lt;&gt;"),INDEX(Lists!$AQ$2:$AQ$22,MATCH(TRIM($B329)&amp;" | "&amp;TRIM($D329),Lists!$AN$2:$AN$22,0)),IF(COUNTIF(Lists!$AF$2:$AF$8,$AJ329),$AJ329,IF(ISNUMBER(SEARCH("head of ",$D329)),"Head of Technology",IF(ISNUMBER(SEARCH("TDD BP",$D329)),"Business Partner",IF(OR(ISNUMBER(SEARCH("domain architect",$D329)),ISNUMBER(SEARCH("enterprise architect",$D329))),"Domain Architect",IF(ISNUMBER(SEARCH("delivery man",$D329)),"Delivery Manager",IF(OR(ISNUMBER(SEARCH("technology manager",$D329)),ISNUMBER(SEARCH("technology manger",$D329)),ISNUMBER(SEARCH("tech manager",$D329))),"Technology Manager","Squad"))))))))</f>
        <v>Squad</v>
      </c>
      <c r="AL329" s="534" t="str">
        <f>IF(TRIM($B329)="","",IF(AND($AM329=1,LEFT($AJ329,4)&lt;&gt;"EGI ",$AJ329&lt;&gt;"EGI"),IFERROR(INDEX(Lists!$Z$2:$Z$20,MATCH($AH329,Lists!$Y$2:$Y$20,0)),"EGI "&amp;$AH329),IF(COUNTIF(Lists!$AU$2:$AU$10,$AJ329),$AJ329,IF(OR(LEFT($AH329,3)="COE",$AH329="EGI"),$AJ329,IF($AK329&lt;&gt;"Squad",$AK329,$AJ329)))))</f>
        <v>Deployment</v>
      </c>
      <c r="AM329" s="534" t="b">
        <f>IF(TRIM($B329)="","",--(UPPER(TRIM($K329))="EGI"))</f>
        <v>0</v>
      </c>
      <c r="AQ329" s="841" t="inlineStr">
        <is>
          <t>R0328</t>
        </is>
      </c>
      <c r="AZ329" s="841" t="n"/>
    </row>
    <row r="330" ht="18" customHeight="1" s="535">
      <c r="A330" s="842" t="inlineStr">
        <is>
          <t>V</t>
        </is>
      </c>
      <c r="B330" s="843" t="inlineStr">
        <is>
          <t>Vacant</t>
        </is>
      </c>
      <c r="C330" s="842" t="inlineStr">
        <is>
          <t>V</t>
        </is>
      </c>
      <c r="D330" s="843" t="inlineStr">
        <is>
          <t>Lead – Asset &amp; Configuration</t>
        </is>
      </c>
      <c r="E330" s="843" t="inlineStr">
        <is>
          <t>Mick Collins</t>
        </is>
      </c>
      <c r="F330" s="843" t="inlineStr">
        <is>
          <t xml:space="preserve">Manager Cyber Security Operations </t>
        </is>
      </c>
      <c r="G330" s="844" t="inlineStr">
        <is>
          <t>Cyber, Risk &amp; Operations</t>
        </is>
      </c>
      <c r="H330" s="843" t="inlineStr">
        <is>
          <t>Service Op &amp; Assurance</t>
        </is>
      </c>
      <c r="I330" s="843" t="inlineStr">
        <is>
          <t>NA</t>
        </is>
      </c>
      <c r="J330" s="843" t="inlineStr">
        <is>
          <t>NA</t>
        </is>
      </c>
      <c r="K330" s="843" t="inlineStr">
        <is>
          <t>NA</t>
        </is>
      </c>
      <c r="L330" s="843" t="inlineStr">
        <is>
          <t>NA</t>
        </is>
      </c>
      <c r="M330" s="843" t="n"/>
      <c r="N330" s="845" t="inlineStr">
        <is>
          <t>Australia</t>
        </is>
      </c>
      <c r="O330" s="846" t="inlineStr">
        <is>
          <t>CIB</t>
        </is>
      </c>
      <c r="P330" s="847" t="n">
        <v>1</v>
      </c>
      <c r="Q330" s="862" t="n"/>
      <c r="R330" s="847" t="inlineStr">
        <is>
          <t>v</t>
        </is>
      </c>
      <c r="S330" s="847" t="n"/>
      <c r="T330" s="847" t="n"/>
      <c r="U330" s="848" t="n">
        <v>151950</v>
      </c>
      <c r="V330" s="849" t="n">
        <v>151950</v>
      </c>
      <c r="W330" s="850" t="n">
        <v>0.12</v>
      </c>
      <c r="X330" s="847" t="n">
        <v>0.055</v>
      </c>
      <c r="Y330" s="850" t="n">
        <v>0.12</v>
      </c>
      <c r="Z330" s="851" t="n"/>
      <c r="AA330" s="850" t="n">
        <v>0.04</v>
      </c>
      <c r="AB330" s="852" t="n">
        <v>202853.25</v>
      </c>
      <c r="AE330" s="534">
        <f>IF(TRIM($B330)="","",IF(AND(N($P330)&gt;0,N($P330)&lt;1),N($AB330)*N($P330),N($AB330)))</f>
        <v>202853.25</v>
      </c>
      <c r="AF330" s="534" t="str">
        <f>IF(TRIM($B330)="","",IF(OR(ISNUMBER(SEARCH("vacant",$B330)),ISNUMBER(SEARCH("ring fenced",$B330)),LOWER(TRIM($B330))="remove"),"Vacant","Filled"))</f>
        <v>Vacant</v>
      </c>
      <c r="AG330" s="534" t="b">
        <f>IF(TRIM($B330)="","",--ISNUMBER(SEARCH("ring fenced",$B330)))</f>
        <v>0</v>
      </c>
      <c r="AH330" s="534" t="str">
        <f>IF(TRIM($B330)="","",IF(COUNTIFS(Lists!$AN$2:$AN$22,TRIM($B330)&amp;" | "&amp;TRIM($D330),Lists!$AO$2:$AO$22,"&lt;&gt;"),INDEX(Lists!$AO$2:$AO$22,MATCH(TRIM($B330)&amp;" | "&amp;TRIM($D330),Lists!$AN$2:$AN$22,0)),IF(COUNTIF(Lists!$AR$2:$AR$3,$AJ330),"TDD Cyber",IF(AND(LEFT($AJ330,4)="EGI ",ISNUMBER(MATCH(TRIM(MID($AJ330,5,99)),Lists!$AS$2:$AS$12,0))),TRIM(MID($AJ330,5,99)),IF(AND(LEFT($AJ330,4)="EGI ",ISNUMBER(MATCH(TRIM(MID($AJ330,5,99)),Lists!$T$2:$T$21,0))),INDEX(Lists!$U$2:$U$21,MATCH(TRIM(MID($AJ330,5,99)),Lists!$T$2:$T$21,0)),IF(OR(TRIM($J330)="",UPPER(TRIM($J330))="NA"),IFERROR(INDEX(Lists!$R$2:$R$9,MATCH(TRIM($G330),Lists!$Q$2:$Q$9,0)),"UNMAPPED"),IFERROR(INDEX(Lists!$U$2:$U$21,MATCH(TRIM($J330),Lists!$T$2:$T$21,0)),IFERROR(INDEX(Lists!$R$2:$R$9,MATCH(TRIM($G330),Lists!$Q$2:$Q$9,0)),"UNMAPPED"))))))))</f>
        <v>COE Cyber</v>
      </c>
      <c r="AI330" s="534" t="b">
        <f>IF(TRIM($B330)="","",--OR(TRIM($L330)="Leadership",TRIM($K330)="Leadership"))</f>
        <v>0</v>
      </c>
      <c r="AJ330" s="534" t="str">
        <f>IF(TRIM($B330)="","",IF(COUNTIFS(Lists!$AN$2:$AN$22,TRIM($B330)&amp;" | "&amp;TRIM($D330),Lists!$AP$2:$AP$22,"&lt;&gt;"),INDEX(Lists!$AP$2:$AP$22,MATCH(TRIM($B330)&amp;" | "&amp;TRIM($D330),Lists!$AN$2:$AN$22,0)),IF($AI330=1,"Leadership",IFERROR(INDEX(Lists!$X$2:$X$21,MATCH(TRIM($L330),Lists!$W$2:$W$21,0)),IF(OR(TRIM($L330)="",LOWER(TRIM($L330))="na"),IF(TRIM($H330)="","Unassigned",TRIM($H330)),TRIM($L330))))))</f>
        <v>Service Op &amp; Assurance</v>
      </c>
      <c r="AK330" s="534" t="str">
        <f>IF(TRIM($B330)="","",IF(COUNTIFS(Lists!$AN$2:$AN$22,TRIM($B330)&amp;" | "&amp;TRIM($D330),Lists!$AQ$2:$AQ$22,"&lt;&gt;"),INDEX(Lists!$AQ$2:$AQ$22,MATCH(TRIM($B330)&amp;" | "&amp;TRIM($D330),Lists!$AN$2:$AN$22,0)),IF(COUNTIF(Lists!$AF$2:$AF$8,$AJ330),$AJ330,IF(ISNUMBER(SEARCH("head of ",$D330)),"Head of Technology",IF(ISNUMBER(SEARCH("TDD BP",$D330)),"Business Partner",IF(OR(ISNUMBER(SEARCH("domain architect",$D330)),ISNUMBER(SEARCH("enterprise architect",$D330))),"Domain Architect",IF(ISNUMBER(SEARCH("delivery man",$D330)),"Delivery Manager",IF(OR(ISNUMBER(SEARCH("technology manager",$D330)),ISNUMBER(SEARCH("technology manger",$D330)),ISNUMBER(SEARCH("tech manager",$D330))),"Technology Manager","Squad"))))))))</f>
        <v>Squad</v>
      </c>
      <c r="AL330" s="534" t="str">
        <f>IF(TRIM($B330)="","",IF(AND($AM330=1,LEFT($AJ330,4)&lt;&gt;"EGI ",$AJ330&lt;&gt;"EGI"),IFERROR(INDEX(Lists!$Z$2:$Z$20,MATCH($AH330,Lists!$Y$2:$Y$20,0)),"EGI "&amp;$AH330),IF(COUNTIF(Lists!$AU$2:$AU$10,$AJ330),$AJ330,IF(OR(LEFT($AH330,3)="COE",$AH330="EGI"),$AJ330,IF($AK330&lt;&gt;"Squad",$AK330,$AJ330)))))</f>
        <v>Service Op &amp; Assurance</v>
      </c>
      <c r="AM330" s="534" t="b">
        <f>IF(TRIM($B330)="","",--(UPPER(TRIM($K330))="EGI"))</f>
        <v>0</v>
      </c>
      <c r="AQ330" s="841" t="inlineStr">
        <is>
          <t>R0329</t>
        </is>
      </c>
      <c r="AZ330" s="841" t="n"/>
    </row>
    <row r="331" ht="18" customHeight="1" s="535">
      <c r="A331" s="842" t="inlineStr">
        <is>
          <t>V</t>
        </is>
      </c>
      <c r="B331" s="843" t="inlineStr">
        <is>
          <t>Vacant</t>
        </is>
      </c>
      <c r="C331" s="842" t="inlineStr">
        <is>
          <t>V</t>
        </is>
      </c>
      <c r="D331" s="843" t="inlineStr">
        <is>
          <t>Lead – Service Performance &amp; Insights</t>
        </is>
      </c>
      <c r="E331" s="843" t="inlineStr">
        <is>
          <t>Mick Collins</t>
        </is>
      </c>
      <c r="F331" s="843" t="inlineStr">
        <is>
          <t xml:space="preserve">Manager Identity &amp; Access Management </t>
        </is>
      </c>
      <c r="G331" s="844" t="inlineStr">
        <is>
          <t>Cyber, Risk &amp; Operations</t>
        </is>
      </c>
      <c r="H331" s="843" t="inlineStr">
        <is>
          <t>Service Op &amp; Assurance</t>
        </is>
      </c>
      <c r="I331" s="843" t="inlineStr">
        <is>
          <t>NA</t>
        </is>
      </c>
      <c r="J331" s="843" t="inlineStr">
        <is>
          <t>NA</t>
        </is>
      </c>
      <c r="K331" s="843" t="inlineStr">
        <is>
          <t>NA</t>
        </is>
      </c>
      <c r="L331" s="843" t="inlineStr">
        <is>
          <t>NA</t>
        </is>
      </c>
      <c r="M331" s="843" t="n"/>
      <c r="N331" s="845" t="inlineStr">
        <is>
          <t>Australia</t>
        </is>
      </c>
      <c r="O331" s="846" t="inlineStr">
        <is>
          <t>CIB</t>
        </is>
      </c>
      <c r="P331" s="847" t="n">
        <v>1</v>
      </c>
      <c r="Q331" s="846" t="n"/>
      <c r="R331" s="847" t="inlineStr">
        <is>
          <t>v</t>
        </is>
      </c>
      <c r="S331" s="847" t="n"/>
      <c r="T331" s="847" t="n"/>
      <c r="U331" s="848" t="n">
        <v>151950</v>
      </c>
      <c r="V331" s="849" t="n">
        <v>151950</v>
      </c>
      <c r="W331" s="850" t="n">
        <v>0.12</v>
      </c>
      <c r="X331" s="847" t="n">
        <v>0.055</v>
      </c>
      <c r="Y331" s="850" t="n">
        <v>0.12</v>
      </c>
      <c r="Z331" s="851" t="n"/>
      <c r="AA331" s="850" t="n">
        <v>0.04</v>
      </c>
      <c r="AB331" s="852" t="n">
        <v>202853.25</v>
      </c>
      <c r="AE331" s="534">
        <f>IF(TRIM($B331)="","",IF(AND(N($P331)&gt;0,N($P331)&lt;1),N($AB331)*N($P331),N($AB331)))</f>
        <v>202853.25</v>
      </c>
      <c r="AF331" s="534" t="str">
        <f>IF(TRIM($B331)="","",IF(OR(ISNUMBER(SEARCH("vacant",$B331)),ISNUMBER(SEARCH("ring fenced",$B331)),LOWER(TRIM($B331))="remove"),"Vacant","Filled"))</f>
        <v>Vacant</v>
      </c>
      <c r="AG331" s="534" t="b">
        <f>IF(TRIM($B331)="","",--ISNUMBER(SEARCH("ring fenced",$B331)))</f>
        <v>0</v>
      </c>
      <c r="AH331" s="534" t="str">
        <f>IF(TRIM($B331)="","",IF(COUNTIFS(Lists!$AN$2:$AN$22,TRIM($B331)&amp;" | "&amp;TRIM($D331),Lists!$AO$2:$AO$22,"&lt;&gt;"),INDEX(Lists!$AO$2:$AO$22,MATCH(TRIM($B331)&amp;" | "&amp;TRIM($D331),Lists!$AN$2:$AN$22,0)),IF(COUNTIF(Lists!$AR$2:$AR$3,$AJ331),"TDD Cyber",IF(AND(LEFT($AJ331,4)="EGI ",ISNUMBER(MATCH(TRIM(MID($AJ331,5,99)),Lists!$AS$2:$AS$12,0))),TRIM(MID($AJ331,5,99)),IF(AND(LEFT($AJ331,4)="EGI ",ISNUMBER(MATCH(TRIM(MID($AJ331,5,99)),Lists!$T$2:$T$21,0))),INDEX(Lists!$U$2:$U$21,MATCH(TRIM(MID($AJ331,5,99)),Lists!$T$2:$T$21,0)),IF(OR(TRIM($J331)="",UPPER(TRIM($J331))="NA"),IFERROR(INDEX(Lists!$R$2:$R$9,MATCH(TRIM($G331),Lists!$Q$2:$Q$9,0)),"UNMAPPED"),IFERROR(INDEX(Lists!$U$2:$U$21,MATCH(TRIM($J331),Lists!$T$2:$T$21,0)),IFERROR(INDEX(Lists!$R$2:$R$9,MATCH(TRIM($G331),Lists!$Q$2:$Q$9,0)),"UNMAPPED"))))))))</f>
        <v>COE Cyber</v>
      </c>
      <c r="AI331" s="534" t="b">
        <f>IF(TRIM($B331)="","",--OR(TRIM($L331)="Leadership",TRIM($K331)="Leadership"))</f>
        <v>0</v>
      </c>
      <c r="AJ331" s="534" t="str">
        <f>IF(TRIM($B331)="","",IF(COUNTIFS(Lists!$AN$2:$AN$22,TRIM($B331)&amp;" | "&amp;TRIM($D331),Lists!$AP$2:$AP$22,"&lt;&gt;"),INDEX(Lists!$AP$2:$AP$22,MATCH(TRIM($B331)&amp;" | "&amp;TRIM($D331),Lists!$AN$2:$AN$22,0)),IF($AI331=1,"Leadership",IFERROR(INDEX(Lists!$X$2:$X$21,MATCH(TRIM($L331),Lists!$W$2:$W$21,0)),IF(OR(TRIM($L331)="",LOWER(TRIM($L331))="na"),IF(TRIM($H331)="","Unassigned",TRIM($H331)),TRIM($L331))))))</f>
        <v>Service Op &amp; Assurance</v>
      </c>
      <c r="AK331" s="534" t="str">
        <f>IF(TRIM($B331)="","",IF(COUNTIFS(Lists!$AN$2:$AN$22,TRIM($B331)&amp;" | "&amp;TRIM($D331),Lists!$AQ$2:$AQ$22,"&lt;&gt;"),INDEX(Lists!$AQ$2:$AQ$22,MATCH(TRIM($B331)&amp;" | "&amp;TRIM($D331),Lists!$AN$2:$AN$22,0)),IF(COUNTIF(Lists!$AF$2:$AF$8,$AJ331),$AJ331,IF(ISNUMBER(SEARCH("head of ",$D331)),"Head of Technology",IF(ISNUMBER(SEARCH("TDD BP",$D331)),"Business Partner",IF(OR(ISNUMBER(SEARCH("domain architect",$D331)),ISNUMBER(SEARCH("enterprise architect",$D331))),"Domain Architect",IF(ISNUMBER(SEARCH("delivery man",$D331)),"Delivery Manager",IF(OR(ISNUMBER(SEARCH("technology manager",$D331)),ISNUMBER(SEARCH("technology manger",$D331)),ISNUMBER(SEARCH("tech manager",$D331))),"Technology Manager","Squad"))))))))</f>
        <v>Squad</v>
      </c>
      <c r="AL331" s="534" t="str">
        <f>IF(TRIM($B331)="","",IF(AND($AM331=1,LEFT($AJ331,4)&lt;&gt;"EGI ",$AJ331&lt;&gt;"EGI"),IFERROR(INDEX(Lists!$Z$2:$Z$20,MATCH($AH331,Lists!$Y$2:$Y$20,0)),"EGI "&amp;$AH331),IF(COUNTIF(Lists!$AU$2:$AU$10,$AJ331),$AJ331,IF(OR(LEFT($AH331,3)="COE",$AH331="EGI"),$AJ331,IF($AK331&lt;&gt;"Squad",$AK331,$AJ331)))))</f>
        <v>Service Op &amp; Assurance</v>
      </c>
      <c r="AM331" s="534" t="b">
        <f>IF(TRIM($B331)="","",--(UPPER(TRIM($K331))="EGI"))</f>
        <v>0</v>
      </c>
      <c r="AQ331" s="841" t="inlineStr">
        <is>
          <t>R0330</t>
        </is>
      </c>
      <c r="AZ331" s="841" t="n"/>
    </row>
    <row r="332" ht="18" customHeight="1" s="535">
      <c r="A332" s="842" t="n">
        <v>114367</v>
      </c>
      <c r="B332" s="843" t="inlineStr">
        <is>
          <t>Thandava Krishna Kakarala</t>
        </is>
      </c>
      <c r="C332" s="842" t="n">
        <v>114367</v>
      </c>
      <c r="D332" s="843" t="inlineStr">
        <is>
          <t>Snr Engineer - Boomi</t>
        </is>
      </c>
      <c r="E332" s="843" t="inlineStr">
        <is>
          <t>Mike Seales</t>
        </is>
      </c>
      <c r="F332" s="843" t="inlineStr">
        <is>
          <t>Technology Manager Integration &amp; Process Managemetn</t>
        </is>
      </c>
      <c r="G332" s="844" t="inlineStr">
        <is>
          <t>TDD Group Functions</t>
        </is>
      </c>
      <c r="H332" s="843" t="inlineStr">
        <is>
          <t xml:space="preserve">TDD &amp; Engineering </t>
        </is>
      </c>
      <c r="I332" s="843" t="inlineStr">
        <is>
          <t>Integration &amp; Process Management</t>
        </is>
      </c>
      <c r="J332" s="843" t="inlineStr">
        <is>
          <t>TDD</t>
        </is>
      </c>
      <c r="K332" s="843" t="inlineStr">
        <is>
          <t>TDD</t>
        </is>
      </c>
      <c r="L332" s="843" t="inlineStr">
        <is>
          <t>Integration &amp; Process automation</t>
        </is>
      </c>
      <c r="M332" s="843" t="n"/>
      <c r="N332" s="845" t="inlineStr">
        <is>
          <t>Australia</t>
        </is>
      </c>
      <c r="O332" s="846" t="inlineStr">
        <is>
          <t>CIB</t>
        </is>
      </c>
      <c r="P332" s="847" t="n">
        <v>1</v>
      </c>
      <c r="Q332" s="846" t="n"/>
      <c r="R332" s="847" t="inlineStr">
        <is>
          <t>Permanent - Full Time</t>
        </is>
      </c>
      <c r="S332" s="847" t="n"/>
      <c r="T332" s="847" t="n"/>
      <c r="U332" s="848" t="n">
        <v>140000</v>
      </c>
      <c r="V332" s="849" t="n">
        <v>140000</v>
      </c>
      <c r="W332" s="850" t="n">
        <v>0.12</v>
      </c>
      <c r="X332" s="847" t="n">
        <v>0.055</v>
      </c>
      <c r="Y332" s="850" t="n">
        <v>0.12</v>
      </c>
      <c r="Z332" s="851" t="n"/>
      <c r="AA332" s="850" t="n">
        <v>0.04</v>
      </c>
      <c r="AB332" s="852" t="n">
        <v>186900</v>
      </c>
      <c r="AE332" s="534">
        <f>IF(TRIM($B332)="","",IF(AND(N($P332)&gt;0,N($P332)&lt;1),N($AB332)*N($P332),N($AB332)))</f>
        <v>186900</v>
      </c>
      <c r="AF332" s="534" t="str">
        <f>IF(TRIM($B332)="","",IF(OR(ISNUMBER(SEARCH("vacant",$B332)),ISNUMBER(SEARCH("ring fenced",$B332)),LOWER(TRIM($B332))="remove"),"Vacant","Filled"))</f>
        <v>Filled</v>
      </c>
      <c r="AG332" s="534" t="b">
        <f>IF(TRIM($B332)="","",--ISNUMBER(SEARCH("ring fenced",$B332)))</f>
        <v>0</v>
      </c>
      <c r="AH332" s="534" t="str">
        <f>IF(TRIM($B332)="","",IF(COUNTIFS(Lists!$AN$2:$AN$22,TRIM($B332)&amp;" | "&amp;TRIM($D332),Lists!$AO$2:$AO$22,"&lt;&gt;"),INDEX(Lists!$AO$2:$AO$22,MATCH(TRIM($B332)&amp;" | "&amp;TRIM($D332),Lists!$AN$2:$AN$22,0)),IF(COUNTIF(Lists!$AR$2:$AR$3,$AJ332),"TDD Cyber",IF(AND(LEFT($AJ332,4)="EGI ",ISNUMBER(MATCH(TRIM(MID($AJ332,5,99)),Lists!$AS$2:$AS$12,0))),TRIM(MID($AJ332,5,99)),IF(AND(LEFT($AJ332,4)="EGI ",ISNUMBER(MATCH(TRIM(MID($AJ332,5,99)),Lists!$T$2:$T$21,0))),INDEX(Lists!$U$2:$U$21,MATCH(TRIM(MID($AJ332,5,99)),Lists!$T$2:$T$21,0)),IF(OR(TRIM($J332)="",UPPER(TRIM($J332))="NA"),IFERROR(INDEX(Lists!$R$2:$R$9,MATCH(TRIM($G332),Lists!$Q$2:$Q$9,0)),"UNMAPPED"),IFERROR(INDEX(Lists!$U$2:$U$21,MATCH(TRIM($J332),Lists!$T$2:$T$21,0)),IFERROR(INDEX(Lists!$R$2:$R$9,MATCH(TRIM($G332),Lists!$Q$2:$Q$9,0)),"UNMAPPED"))))))))</f>
        <v>TDD Group Functions</v>
      </c>
      <c r="AI332" s="534" t="b">
        <f>IF(TRIM($B332)="","",--OR(TRIM($L332)="Leadership",TRIM($K332)="Leadership"))</f>
        <v>0</v>
      </c>
      <c r="AJ332" s="534" t="str">
        <f>IF(TRIM($B332)="","",IF(COUNTIFS(Lists!$AN$2:$AN$22,TRIM($B332)&amp;" | "&amp;TRIM($D332),Lists!$AP$2:$AP$22,"&lt;&gt;"),INDEX(Lists!$AP$2:$AP$22,MATCH(TRIM($B332)&amp;" | "&amp;TRIM($D332),Lists!$AN$2:$AN$22,0)),IF($AI332=1,"Leadership",IFERROR(INDEX(Lists!$X$2:$X$21,MATCH(TRIM($L332),Lists!$W$2:$W$21,0)),IF(OR(TRIM($L332)="",LOWER(TRIM($L332))="na"),IF(TRIM($H332)="","Unassigned",TRIM($H332)),TRIM($L332))))))</f>
        <v>Integration &amp; Process Automation</v>
      </c>
      <c r="AK332" s="534" t="str">
        <f>IF(TRIM($B332)="","",IF(COUNTIFS(Lists!$AN$2:$AN$22,TRIM($B332)&amp;" | "&amp;TRIM($D332),Lists!$AQ$2:$AQ$22,"&lt;&gt;"),INDEX(Lists!$AQ$2:$AQ$22,MATCH(TRIM($B332)&amp;" | "&amp;TRIM($D332),Lists!$AN$2:$AN$22,0)),IF(COUNTIF(Lists!$AF$2:$AF$8,$AJ332),$AJ332,IF(ISNUMBER(SEARCH("head of ",$D332)),"Head of Technology",IF(ISNUMBER(SEARCH("TDD BP",$D332)),"Business Partner",IF(OR(ISNUMBER(SEARCH("domain architect",$D332)),ISNUMBER(SEARCH("enterprise architect",$D332))),"Domain Architect",IF(ISNUMBER(SEARCH("delivery man",$D332)),"Delivery Manager",IF(OR(ISNUMBER(SEARCH("technology manager",$D332)),ISNUMBER(SEARCH("technology manger",$D332)),ISNUMBER(SEARCH("tech manager",$D332))),"Technology Manager","Squad"))))))))</f>
        <v>Squad</v>
      </c>
      <c r="AL332" s="534" t="str">
        <f>IF(TRIM($B332)="","",IF(AND($AM332=1,LEFT($AJ332,4)&lt;&gt;"EGI ",$AJ332&lt;&gt;"EGI"),IFERROR(INDEX(Lists!$Z$2:$Z$20,MATCH($AH332,Lists!$Y$2:$Y$20,0)),"EGI "&amp;$AH332),IF(COUNTIF(Lists!$AU$2:$AU$10,$AJ332),$AJ332,IF(OR(LEFT($AH332,3)="COE",$AH332="EGI"),$AJ332,IF($AK332&lt;&gt;"Squad",$AK332,$AJ332)))))</f>
        <v>Integration &amp; Process Automation</v>
      </c>
      <c r="AM332" s="534" t="b">
        <f>IF(TRIM($B332)="","",--(UPPER(TRIM($K332))="EGI"))</f>
        <v>0</v>
      </c>
      <c r="AQ332" s="841" t="inlineStr">
        <is>
          <t>R0331</t>
        </is>
      </c>
      <c r="AZ332" s="841" t="n"/>
    </row>
    <row r="333" ht="18" customHeight="1" s="535">
      <c r="A333" s="842" t="n">
        <v>106024</v>
      </c>
      <c r="B333" s="843" t="inlineStr">
        <is>
          <t>Nicholas McKay</t>
        </is>
      </c>
      <c r="C333" s="842" t="n">
        <v>106024</v>
      </c>
      <c r="D333" s="843" t="inlineStr">
        <is>
          <t>Workplace Tooling Specialist</t>
        </is>
      </c>
      <c r="E333" s="843" t="inlineStr">
        <is>
          <t>Murray Mitchell</t>
        </is>
      </c>
      <c r="F333" s="843" t="inlineStr">
        <is>
          <t>Technology Manager, Enterprise Tooling</t>
        </is>
      </c>
      <c r="G333" s="844" t="inlineStr">
        <is>
          <t>TDD Group Functions</t>
        </is>
      </c>
      <c r="H333" s="843" t="inlineStr">
        <is>
          <t xml:space="preserve">TDD &amp; Engineering </t>
        </is>
      </c>
      <c r="I333" s="843" t="inlineStr">
        <is>
          <t>Workplace &amp; Enterprise Tooling</t>
        </is>
      </c>
      <c r="J333" s="843" t="inlineStr">
        <is>
          <t>TDD</t>
        </is>
      </c>
      <c r="K333" s="843" t="inlineStr">
        <is>
          <t>TDD</t>
        </is>
      </c>
      <c r="L333" s="843" t="inlineStr">
        <is>
          <t>Workplace &amp; Enterprise Tooling</t>
        </is>
      </c>
      <c r="M333" s="843" t="n"/>
      <c r="N333" s="845" t="inlineStr">
        <is>
          <t>Australia</t>
        </is>
      </c>
      <c r="O333" s="846" t="inlineStr">
        <is>
          <t>CIB</t>
        </is>
      </c>
      <c r="P333" s="847" t="n">
        <v>1</v>
      </c>
      <c r="Q333" s="846" t="n"/>
      <c r="R333" s="847" t="inlineStr">
        <is>
          <t>Permanent - Full Time</t>
        </is>
      </c>
      <c r="S333" s="847" t="n"/>
      <c r="T333" s="847" t="n"/>
      <c r="U333" s="848" t="n">
        <v>159130</v>
      </c>
      <c r="V333" s="849" t="n">
        <v>159130</v>
      </c>
      <c r="W333" s="850" t="n">
        <v>0.12</v>
      </c>
      <c r="X333" s="847" t="n">
        <v>0.055</v>
      </c>
      <c r="Y333" s="850" t="n">
        <v>0.12</v>
      </c>
      <c r="Z333" s="851" t="n"/>
      <c r="AA333" s="850" t="n">
        <v>0.04</v>
      </c>
      <c r="AB333" s="852" t="n">
        <v>212438.55</v>
      </c>
      <c r="AE333" s="534">
        <f>IF(TRIM($B333)="","",IF(AND(N($P333)&gt;0,N($P333)&lt;1),N($AB333)*N($P333),N($AB333)))</f>
        <v>212438.55</v>
      </c>
      <c r="AF333" s="534" t="str">
        <f>IF(TRIM($B333)="","",IF(OR(ISNUMBER(SEARCH("vacant",$B333)),ISNUMBER(SEARCH("ring fenced",$B333)),LOWER(TRIM($B333))="remove"),"Vacant","Filled"))</f>
        <v>Filled</v>
      </c>
      <c r="AG333" s="534" t="b">
        <f>IF(TRIM($B333)="","",--ISNUMBER(SEARCH("ring fenced",$B333)))</f>
        <v>0</v>
      </c>
      <c r="AH333" s="534" t="str">
        <f>IF(TRIM($B333)="","",IF(COUNTIFS(Lists!$AN$2:$AN$22,TRIM($B333)&amp;" | "&amp;TRIM($D333),Lists!$AO$2:$AO$22,"&lt;&gt;"),INDEX(Lists!$AO$2:$AO$22,MATCH(TRIM($B333)&amp;" | "&amp;TRIM($D333),Lists!$AN$2:$AN$22,0)),IF(COUNTIF(Lists!$AR$2:$AR$3,$AJ333),"TDD Cyber",IF(AND(LEFT($AJ333,4)="EGI ",ISNUMBER(MATCH(TRIM(MID($AJ333,5,99)),Lists!$AS$2:$AS$12,0))),TRIM(MID($AJ333,5,99)),IF(AND(LEFT($AJ333,4)="EGI ",ISNUMBER(MATCH(TRIM(MID($AJ333,5,99)),Lists!$T$2:$T$21,0))),INDEX(Lists!$U$2:$U$21,MATCH(TRIM(MID($AJ333,5,99)),Lists!$T$2:$T$21,0)),IF(OR(TRIM($J333)="",UPPER(TRIM($J333))="NA"),IFERROR(INDEX(Lists!$R$2:$R$9,MATCH(TRIM($G333),Lists!$Q$2:$Q$9,0)),"UNMAPPED"),IFERROR(INDEX(Lists!$U$2:$U$21,MATCH(TRIM($J333),Lists!$T$2:$T$21,0)),IFERROR(INDEX(Lists!$R$2:$R$9,MATCH(TRIM($G333),Lists!$Q$2:$Q$9,0)),"UNMAPPED"))))))))</f>
        <v>TDD Group Functions</v>
      </c>
      <c r="AI333" s="534" t="b">
        <f>IF(TRIM($B333)="","",--OR(TRIM($L333)="Leadership",TRIM($K333)="Leadership"))</f>
        <v>0</v>
      </c>
      <c r="AJ333" s="534" t="str">
        <f>IF(TRIM($B333)="","",IF(COUNTIFS(Lists!$AN$2:$AN$22,TRIM($B333)&amp;" | "&amp;TRIM($D333),Lists!$AP$2:$AP$22,"&lt;&gt;"),INDEX(Lists!$AP$2:$AP$22,MATCH(TRIM($B333)&amp;" | "&amp;TRIM($D333),Lists!$AN$2:$AN$22,0)),IF($AI333=1,"Leadership",IFERROR(INDEX(Lists!$X$2:$X$21,MATCH(TRIM($L333),Lists!$W$2:$W$21,0)),IF(OR(TRIM($L333)="",LOWER(TRIM($L333))="na"),IF(TRIM($H333)="","Unassigned",TRIM($H333)),TRIM($L333))))))</f>
        <v>Workplace &amp; Enterprise Tooling</v>
      </c>
      <c r="AK333" s="534" t="str">
        <f>IF(TRIM($B333)="","",IF(COUNTIFS(Lists!$AN$2:$AN$22,TRIM($B333)&amp;" | "&amp;TRIM($D333),Lists!$AQ$2:$AQ$22,"&lt;&gt;"),INDEX(Lists!$AQ$2:$AQ$22,MATCH(TRIM($B333)&amp;" | "&amp;TRIM($D333),Lists!$AN$2:$AN$22,0)),IF(COUNTIF(Lists!$AF$2:$AF$8,$AJ333),$AJ333,IF(ISNUMBER(SEARCH("head of ",$D333)),"Head of Technology",IF(ISNUMBER(SEARCH("TDD BP",$D333)),"Business Partner",IF(OR(ISNUMBER(SEARCH("domain architect",$D333)),ISNUMBER(SEARCH("enterprise architect",$D333))),"Domain Architect",IF(ISNUMBER(SEARCH("delivery man",$D333)),"Delivery Manager",IF(OR(ISNUMBER(SEARCH("technology manager",$D333)),ISNUMBER(SEARCH("technology manger",$D333)),ISNUMBER(SEARCH("tech manager",$D333))),"Technology Manager","Squad"))))))))</f>
        <v>Squad</v>
      </c>
      <c r="AL333" s="534" t="str">
        <f>IF(TRIM($B333)="","",IF(AND($AM333=1,LEFT($AJ333,4)&lt;&gt;"EGI ",$AJ333&lt;&gt;"EGI"),IFERROR(INDEX(Lists!$Z$2:$Z$20,MATCH($AH333,Lists!$Y$2:$Y$20,0)),"EGI "&amp;$AH333),IF(COUNTIF(Lists!$AU$2:$AU$10,$AJ333),$AJ333,IF(OR(LEFT($AH333,3)="COE",$AH333="EGI"),$AJ333,IF($AK333&lt;&gt;"Squad",$AK333,$AJ333)))))</f>
        <v>Workplace &amp; Enterprise Tooling</v>
      </c>
      <c r="AM333" s="534" t="b">
        <f>IF(TRIM($B333)="","",--(UPPER(TRIM($K333))="EGI"))</f>
        <v>0</v>
      </c>
      <c r="AQ333" s="841" t="inlineStr">
        <is>
          <t>R0332</t>
        </is>
      </c>
      <c r="AZ333" s="841" t="n"/>
    </row>
    <row r="334" ht="18" customHeight="1" s="535">
      <c r="A334" s="842" t="inlineStr">
        <is>
          <t>V</t>
        </is>
      </c>
      <c r="B334" s="843" t="inlineStr">
        <is>
          <t>Vacant</t>
        </is>
      </c>
      <c r="C334" s="842" t="inlineStr">
        <is>
          <t>V</t>
        </is>
      </c>
      <c r="D334" s="843" t="inlineStr">
        <is>
          <t>Enterprise Systems Specialist</t>
        </is>
      </c>
      <c r="E334" s="843" t="inlineStr">
        <is>
          <t>Murray Mitchell</t>
        </is>
      </c>
      <c r="F334" s="843" t="inlineStr">
        <is>
          <t>Technology Manager, Enterprise Tooling</t>
        </is>
      </c>
      <c r="G334" s="844" t="inlineStr">
        <is>
          <t>TDD Group Functions</t>
        </is>
      </c>
      <c r="H334" s="843" t="inlineStr">
        <is>
          <t xml:space="preserve">TDD &amp; Engineering </t>
        </is>
      </c>
      <c r="I334" s="843" t="inlineStr">
        <is>
          <t>Workplace &amp; Enterprise Tooling</t>
        </is>
      </c>
      <c r="J334" s="843" t="inlineStr">
        <is>
          <t>TDD</t>
        </is>
      </c>
      <c r="K334" s="843" t="inlineStr">
        <is>
          <t>TDD</t>
        </is>
      </c>
      <c r="L334" s="843" t="inlineStr">
        <is>
          <t>Workplace &amp; Enterprise Tooling</t>
        </is>
      </c>
      <c r="M334" s="843" t="n"/>
      <c r="N334" s="845" t="inlineStr">
        <is>
          <t>Australia</t>
        </is>
      </c>
      <c r="O334" s="846" t="inlineStr">
        <is>
          <t>CIB</t>
        </is>
      </c>
      <c r="P334" s="847" t="n">
        <v>1</v>
      </c>
      <c r="Q334" s="847" t="n"/>
      <c r="R334" s="847" t="inlineStr">
        <is>
          <t>V</t>
        </is>
      </c>
      <c r="S334" s="847" t="n"/>
      <c r="T334" s="847" t="n"/>
      <c r="U334" s="848" t="n">
        <v>151950</v>
      </c>
      <c r="V334" s="849" t="n">
        <v>151950</v>
      </c>
      <c r="W334" s="850" t="n">
        <v>0.12</v>
      </c>
      <c r="X334" s="847" t="n">
        <v>0.055</v>
      </c>
      <c r="Y334" s="850" t="n">
        <v>0.12</v>
      </c>
      <c r="Z334" s="851" t="n"/>
      <c r="AA334" s="850" t="n">
        <v>0.04</v>
      </c>
      <c r="AB334" s="852" t="n">
        <v>202853.25</v>
      </c>
      <c r="AE334" s="534">
        <f>IF(TRIM($B334)="","",IF(AND(N($P334)&gt;0,N($P334)&lt;1),N($AB334)*N($P334),N($AB334)))</f>
        <v>202853.25</v>
      </c>
      <c r="AF334" s="534" t="str">
        <f>IF(TRIM($B334)="","",IF(OR(ISNUMBER(SEARCH("vacant",$B334)),ISNUMBER(SEARCH("ring fenced",$B334)),LOWER(TRIM($B334))="remove"),"Vacant","Filled"))</f>
        <v>Vacant</v>
      </c>
      <c r="AG334" s="534" t="b">
        <f>IF(TRIM($B334)="","",--ISNUMBER(SEARCH("ring fenced",$B334)))</f>
        <v>0</v>
      </c>
      <c r="AH334" s="534" t="str">
        <f>IF(TRIM($B334)="","",IF(COUNTIFS(Lists!$AN$2:$AN$22,TRIM($B334)&amp;" | "&amp;TRIM($D334),Lists!$AO$2:$AO$22,"&lt;&gt;"),INDEX(Lists!$AO$2:$AO$22,MATCH(TRIM($B334)&amp;" | "&amp;TRIM($D334),Lists!$AN$2:$AN$22,0)),IF(COUNTIF(Lists!$AR$2:$AR$3,$AJ334),"TDD Cyber",IF(AND(LEFT($AJ334,4)="EGI ",ISNUMBER(MATCH(TRIM(MID($AJ334,5,99)),Lists!$AS$2:$AS$12,0))),TRIM(MID($AJ334,5,99)),IF(AND(LEFT($AJ334,4)="EGI ",ISNUMBER(MATCH(TRIM(MID($AJ334,5,99)),Lists!$T$2:$T$21,0))),INDEX(Lists!$U$2:$U$21,MATCH(TRIM(MID($AJ334,5,99)),Lists!$T$2:$T$21,0)),IF(OR(TRIM($J334)="",UPPER(TRIM($J334))="NA"),IFERROR(INDEX(Lists!$R$2:$R$9,MATCH(TRIM($G334),Lists!$Q$2:$Q$9,0)),"UNMAPPED"),IFERROR(INDEX(Lists!$U$2:$U$21,MATCH(TRIM($J334),Lists!$T$2:$T$21,0)),IFERROR(INDEX(Lists!$R$2:$R$9,MATCH(TRIM($G334),Lists!$Q$2:$Q$9,0)),"UNMAPPED"))))))))</f>
        <v>TDD Group Functions</v>
      </c>
      <c r="AI334" s="534" t="b">
        <f>IF(TRIM($B334)="","",--OR(TRIM($L334)="Leadership",TRIM($K334)="Leadership"))</f>
        <v>0</v>
      </c>
      <c r="AJ334" s="534" t="str">
        <f>IF(TRIM($B334)="","",IF(COUNTIFS(Lists!$AN$2:$AN$22,TRIM($B334)&amp;" | "&amp;TRIM($D334),Lists!$AP$2:$AP$22,"&lt;&gt;"),INDEX(Lists!$AP$2:$AP$22,MATCH(TRIM($B334)&amp;" | "&amp;TRIM($D334),Lists!$AN$2:$AN$22,0)),IF($AI334=1,"Leadership",IFERROR(INDEX(Lists!$X$2:$X$21,MATCH(TRIM($L334),Lists!$W$2:$W$21,0)),IF(OR(TRIM($L334)="",LOWER(TRIM($L334))="na"),IF(TRIM($H334)="","Unassigned",TRIM($H334)),TRIM($L334))))))</f>
        <v>Workplace &amp; Enterprise Tooling</v>
      </c>
      <c r="AK334" s="534" t="str">
        <f>IF(TRIM($B334)="","",IF(COUNTIFS(Lists!$AN$2:$AN$22,TRIM($B334)&amp;" | "&amp;TRIM($D334),Lists!$AQ$2:$AQ$22,"&lt;&gt;"),INDEX(Lists!$AQ$2:$AQ$22,MATCH(TRIM($B334)&amp;" | "&amp;TRIM($D334),Lists!$AN$2:$AN$22,0)),IF(COUNTIF(Lists!$AF$2:$AF$8,$AJ334),$AJ334,IF(ISNUMBER(SEARCH("head of ",$D334)),"Head of Technology",IF(ISNUMBER(SEARCH("TDD BP",$D334)),"Business Partner",IF(OR(ISNUMBER(SEARCH("domain architect",$D334)),ISNUMBER(SEARCH("enterprise architect",$D334))),"Domain Architect",IF(ISNUMBER(SEARCH("delivery man",$D334)),"Delivery Manager",IF(OR(ISNUMBER(SEARCH("technology manager",$D334)),ISNUMBER(SEARCH("technology manger",$D334)),ISNUMBER(SEARCH("tech manager",$D334))),"Technology Manager","Squad"))))))))</f>
        <v>Squad</v>
      </c>
      <c r="AL334" s="534" t="str">
        <f>IF(TRIM($B334)="","",IF(AND($AM334=1,LEFT($AJ334,4)&lt;&gt;"EGI ",$AJ334&lt;&gt;"EGI"),IFERROR(INDEX(Lists!$Z$2:$Z$20,MATCH($AH334,Lists!$Y$2:$Y$20,0)),"EGI "&amp;$AH334),IF(COUNTIF(Lists!$AU$2:$AU$10,$AJ334),$AJ334,IF(OR(LEFT($AH334,3)="COE",$AH334="EGI"),$AJ334,IF($AK334&lt;&gt;"Squad",$AK334,$AJ334)))))</f>
        <v>Workplace &amp; Enterprise Tooling</v>
      </c>
      <c r="AM334" s="534" t="b">
        <f>IF(TRIM($B334)="","",--(UPPER(TRIM($K334))="EGI"))</f>
        <v>0</v>
      </c>
      <c r="AQ334" s="841" t="inlineStr">
        <is>
          <t>R0333</t>
        </is>
      </c>
      <c r="AZ334" s="841" t="n"/>
    </row>
    <row r="335" ht="18" customHeight="1" s="535">
      <c r="A335" s="842" t="n">
        <v>102098</v>
      </c>
      <c r="B335" s="843" t="inlineStr">
        <is>
          <t>Bobby Mason</t>
        </is>
      </c>
      <c r="C335" s="842" t="n">
        <v>102098</v>
      </c>
      <c r="D335" s="843" t="inlineStr">
        <is>
          <t>Reporting Analyst</t>
        </is>
      </c>
      <c r="E335" s="843" t="inlineStr">
        <is>
          <t>Prashanth Krishnankutty</t>
        </is>
      </c>
      <c r="F335" s="843" t="inlineStr">
        <is>
          <t>Lead, Reporting &amp; Insights</t>
        </is>
      </c>
      <c r="G335" s="844" t="inlineStr">
        <is>
          <t>Strategy, Architecture &amp; Data</t>
        </is>
      </c>
      <c r="H335" s="843" t="inlineStr">
        <is>
          <t>Group Data</t>
        </is>
      </c>
      <c r="I335" s="843" t="inlineStr">
        <is>
          <t>Data Engineering &amp; Platforms</t>
        </is>
      </c>
      <c r="J335" s="843" t="inlineStr">
        <is>
          <t>Enterprise Data</t>
        </is>
      </c>
      <c r="K335" s="843" t="inlineStr">
        <is>
          <t>Group Data</t>
        </is>
      </c>
      <c r="L335" s="843" t="inlineStr">
        <is>
          <t>Reporting &amp; Analytics</t>
        </is>
      </c>
      <c r="M335" s="843" t="n"/>
      <c r="N335" s="845" t="inlineStr">
        <is>
          <t>Australia</t>
        </is>
      </c>
      <c r="O335" s="846" t="inlineStr">
        <is>
          <t>CIB</t>
        </is>
      </c>
      <c r="P335" s="847" t="n">
        <v>1</v>
      </c>
      <c r="Q335" s="846" t="n"/>
      <c r="R335" s="847" t="inlineStr">
        <is>
          <t>Permanent - Full Time</t>
        </is>
      </c>
      <c r="S335" s="847" t="n"/>
      <c r="T335" s="847" t="n"/>
      <c r="U335" s="848" t="n">
        <v>166560</v>
      </c>
      <c r="V335" s="849" t="n">
        <v>166560</v>
      </c>
      <c r="W335" s="850" t="n">
        <v>0.12</v>
      </c>
      <c r="X335" s="847" t="n">
        <v>0.055</v>
      </c>
      <c r="Y335" s="850" t="n">
        <v>0.12</v>
      </c>
      <c r="Z335" s="851" t="n"/>
      <c r="AA335" s="850" t="n">
        <v>0.04</v>
      </c>
      <c r="AB335" s="852" t="n">
        <v>222357.6</v>
      </c>
      <c r="AE335" s="534">
        <f>IF(TRIM($B335)="","",IF(AND(N($P335)&gt;0,N($P335)&lt;1),N($AB335)*N($P335),N($AB335)))</f>
        <v>222357.6</v>
      </c>
      <c r="AF335" s="534" t="str">
        <f>IF(TRIM($B335)="","",IF(OR(ISNUMBER(SEARCH("vacant",$B335)),ISNUMBER(SEARCH("ring fenced",$B335)),LOWER(TRIM($B335))="remove"),"Vacant","Filled"))</f>
        <v>Filled</v>
      </c>
      <c r="AG335" s="534" t="b">
        <f>IF(TRIM($B335)="","",--ISNUMBER(SEARCH("ring fenced",$B335)))</f>
        <v>0</v>
      </c>
      <c r="AH335" s="534" t="str">
        <f>IF(TRIM($B335)="","",IF(COUNTIFS(Lists!$AN$2:$AN$22,TRIM($B335)&amp;" | "&amp;TRIM($D335),Lists!$AO$2:$AO$22,"&lt;&gt;"),INDEX(Lists!$AO$2:$AO$22,MATCH(TRIM($B335)&amp;" | "&amp;TRIM($D335),Lists!$AN$2:$AN$22,0)),IF(COUNTIF(Lists!$AR$2:$AR$3,$AJ335),"TDD Cyber",IF(AND(LEFT($AJ335,4)="EGI ",ISNUMBER(MATCH(TRIM(MID($AJ335,5,99)),Lists!$AS$2:$AS$12,0))),TRIM(MID($AJ335,5,99)),IF(AND(LEFT($AJ335,4)="EGI ",ISNUMBER(MATCH(TRIM(MID($AJ335,5,99)),Lists!$T$2:$T$21,0))),INDEX(Lists!$U$2:$U$21,MATCH(TRIM(MID($AJ335,5,99)),Lists!$T$2:$T$21,0)),IF(OR(TRIM($J335)="",UPPER(TRIM($J335))="NA"),IFERROR(INDEX(Lists!$R$2:$R$9,MATCH(TRIM($G335),Lists!$Q$2:$Q$9,0)),"UNMAPPED"),IFERROR(INDEX(Lists!$U$2:$U$21,MATCH(TRIM($J335),Lists!$T$2:$T$21,0)),IFERROR(INDEX(Lists!$R$2:$R$9,MATCH(TRIM($G335),Lists!$Q$2:$Q$9,0)),"UNMAPPED"))))))))</f>
        <v>Enterprise Data</v>
      </c>
      <c r="AI335" s="534" t="b">
        <f>IF(TRIM($B335)="","",--OR(TRIM($L335)="Leadership",TRIM($K335)="Leadership"))</f>
        <v>0</v>
      </c>
      <c r="AJ335" s="534" t="str">
        <f>IF(TRIM($B335)="","",IF(COUNTIFS(Lists!$AN$2:$AN$22,TRIM($B335)&amp;" | "&amp;TRIM($D335),Lists!$AP$2:$AP$22,"&lt;&gt;"),INDEX(Lists!$AP$2:$AP$22,MATCH(TRIM($B335)&amp;" | "&amp;TRIM($D335),Lists!$AN$2:$AN$22,0)),IF($AI335=1,"Leadership",IFERROR(INDEX(Lists!$X$2:$X$21,MATCH(TRIM($L335),Lists!$W$2:$W$21,0)),IF(OR(TRIM($L335)="",LOWER(TRIM($L335))="na"),IF(TRIM($H335)="","Unassigned",TRIM($H335)),TRIM($L335))))))</f>
        <v>Reporting &amp; Analytics</v>
      </c>
      <c r="AK335" s="534" t="str">
        <f>IF(TRIM($B335)="","",IF(COUNTIFS(Lists!$AN$2:$AN$22,TRIM($B335)&amp;" | "&amp;TRIM($D335),Lists!$AQ$2:$AQ$22,"&lt;&gt;"),INDEX(Lists!$AQ$2:$AQ$22,MATCH(TRIM($B335)&amp;" | "&amp;TRIM($D335),Lists!$AN$2:$AN$22,0)),IF(COUNTIF(Lists!$AF$2:$AF$8,$AJ335),$AJ335,IF(ISNUMBER(SEARCH("head of ",$D335)),"Head of Technology",IF(ISNUMBER(SEARCH("TDD BP",$D335)),"Business Partner",IF(OR(ISNUMBER(SEARCH("domain architect",$D335)),ISNUMBER(SEARCH("enterprise architect",$D335))),"Domain Architect",IF(ISNUMBER(SEARCH("delivery man",$D335)),"Delivery Manager",IF(OR(ISNUMBER(SEARCH("technology manager",$D335)),ISNUMBER(SEARCH("technology manger",$D335)),ISNUMBER(SEARCH("tech manager",$D335))),"Technology Manager","Squad"))))))))</f>
        <v>Squad</v>
      </c>
      <c r="AL335" s="534" t="str">
        <f>IF(TRIM($B335)="","",IF(AND($AM335=1,LEFT($AJ335,4)&lt;&gt;"EGI ",$AJ335&lt;&gt;"EGI"),IFERROR(INDEX(Lists!$Z$2:$Z$20,MATCH($AH335,Lists!$Y$2:$Y$20,0)),"EGI "&amp;$AH335),IF(COUNTIF(Lists!$AU$2:$AU$10,$AJ335),$AJ335,IF(OR(LEFT($AH335,3)="COE",$AH335="EGI"),$AJ335,IF($AK335&lt;&gt;"Squad",$AK335,$AJ335)))))</f>
        <v>Reporting &amp; Analytics</v>
      </c>
      <c r="AM335" s="534" t="b">
        <f>IF(TRIM($B335)="","",--(UPPER(TRIM($K335))="EGI"))</f>
        <v>0</v>
      </c>
      <c r="AQ335" s="841" t="inlineStr">
        <is>
          <t>R0334</t>
        </is>
      </c>
      <c r="AZ335" s="841" t="n"/>
    </row>
    <row r="336" ht="18" customHeight="1" s="535">
      <c r="A336" s="842" t="inlineStr">
        <is>
          <t>V</t>
        </is>
      </c>
      <c r="B336" s="843" t="inlineStr">
        <is>
          <t>Vacant (contract)</t>
        </is>
      </c>
      <c r="C336" s="842" t="inlineStr">
        <is>
          <t>V</t>
        </is>
      </c>
      <c r="D336" s="843" t="inlineStr">
        <is>
          <t>Reporting analysts - Strategic Programs</t>
        </is>
      </c>
      <c r="E336" s="843" t="inlineStr">
        <is>
          <t>Prashanth Krishnankutty</t>
        </is>
      </c>
      <c r="F336" s="843" t="inlineStr">
        <is>
          <t>Lead, Reporting &amp; Insights</t>
        </is>
      </c>
      <c r="G336" s="844" t="inlineStr">
        <is>
          <t>Strategy, Architecture &amp; Data</t>
        </is>
      </c>
      <c r="H336" s="843" t="inlineStr">
        <is>
          <t>Group Data</t>
        </is>
      </c>
      <c r="I336" s="843" t="inlineStr">
        <is>
          <t>Data Engineering &amp; Platforms</t>
        </is>
      </c>
      <c r="J336" s="843" t="inlineStr">
        <is>
          <t>Enterprise Data</t>
        </is>
      </c>
      <c r="K336" s="843" t="inlineStr">
        <is>
          <t>Group Data</t>
        </is>
      </c>
      <c r="L336" s="843" t="inlineStr">
        <is>
          <t>Reporting &amp; Analytics</t>
        </is>
      </c>
      <c r="M336" s="843" t="n"/>
      <c r="N336" s="845" t="inlineStr">
        <is>
          <t>Australia</t>
        </is>
      </c>
      <c r="O336" s="846" t="inlineStr">
        <is>
          <t>CIB</t>
        </is>
      </c>
      <c r="P336" s="847" t="n">
        <v>1</v>
      </c>
      <c r="Q336" s="847" t="n"/>
      <c r="R336" s="847" t="inlineStr">
        <is>
          <t>v</t>
        </is>
      </c>
      <c r="S336" s="847" t="n"/>
      <c r="T336" s="847" t="n"/>
      <c r="U336" s="848" t="n">
        <v>151950</v>
      </c>
      <c r="V336" s="849" t="n">
        <v>151950</v>
      </c>
      <c r="W336" s="850" t="n">
        <v>0.12</v>
      </c>
      <c r="X336" s="847" t="n">
        <v>0.055</v>
      </c>
      <c r="Y336" s="850" t="n">
        <v>0.12</v>
      </c>
      <c r="Z336" s="851" t="n"/>
      <c r="AA336" s="850" t="n">
        <v>0.04</v>
      </c>
      <c r="AB336" s="852" t="n">
        <v>202853.25</v>
      </c>
      <c r="AE336" s="534">
        <f>IF(TRIM($B336)="","",IF(AND(N($P336)&gt;0,N($P336)&lt;1),N($AB336)*N($P336),N($AB336)))</f>
        <v>202853.25</v>
      </c>
      <c r="AF336" s="534" t="str">
        <f>IF(TRIM($B336)="","",IF(OR(ISNUMBER(SEARCH("vacant",$B336)),ISNUMBER(SEARCH("ring fenced",$B336)),LOWER(TRIM($B336))="remove"),"Vacant","Filled"))</f>
        <v>Vacant</v>
      </c>
      <c r="AG336" s="534" t="b">
        <f>IF(TRIM($B336)="","",--ISNUMBER(SEARCH("ring fenced",$B336)))</f>
        <v>0</v>
      </c>
      <c r="AH336" s="534" t="str">
        <f>IF(TRIM($B336)="","",IF(COUNTIFS(Lists!$AN$2:$AN$22,TRIM($B336)&amp;" | "&amp;TRIM($D336),Lists!$AO$2:$AO$22,"&lt;&gt;"),INDEX(Lists!$AO$2:$AO$22,MATCH(TRIM($B336)&amp;" | "&amp;TRIM($D336),Lists!$AN$2:$AN$22,0)),IF(COUNTIF(Lists!$AR$2:$AR$3,$AJ336),"TDD Cyber",IF(AND(LEFT($AJ336,4)="EGI ",ISNUMBER(MATCH(TRIM(MID($AJ336,5,99)),Lists!$AS$2:$AS$12,0))),TRIM(MID($AJ336,5,99)),IF(AND(LEFT($AJ336,4)="EGI ",ISNUMBER(MATCH(TRIM(MID($AJ336,5,99)),Lists!$T$2:$T$21,0))),INDEX(Lists!$U$2:$U$21,MATCH(TRIM(MID($AJ336,5,99)),Lists!$T$2:$T$21,0)),IF(OR(TRIM($J336)="",UPPER(TRIM($J336))="NA"),IFERROR(INDEX(Lists!$R$2:$R$9,MATCH(TRIM($G336),Lists!$Q$2:$Q$9,0)),"UNMAPPED"),IFERROR(INDEX(Lists!$U$2:$U$21,MATCH(TRIM($J336),Lists!$T$2:$T$21,0)),IFERROR(INDEX(Lists!$R$2:$R$9,MATCH(TRIM($G336),Lists!$Q$2:$Q$9,0)),"UNMAPPED"))))))))</f>
        <v>Enterprise Data</v>
      </c>
      <c r="AI336" s="534" t="b">
        <f>IF(TRIM($B336)="","",--OR(TRIM($L336)="Leadership",TRIM($K336)="Leadership"))</f>
        <v>0</v>
      </c>
      <c r="AJ336" s="534" t="str">
        <f>IF(TRIM($B336)="","",IF(COUNTIFS(Lists!$AN$2:$AN$22,TRIM($B336)&amp;" | "&amp;TRIM($D336),Lists!$AP$2:$AP$22,"&lt;&gt;"),INDEX(Lists!$AP$2:$AP$22,MATCH(TRIM($B336)&amp;" | "&amp;TRIM($D336),Lists!$AN$2:$AN$22,0)),IF($AI336=1,"Leadership",IFERROR(INDEX(Lists!$X$2:$X$21,MATCH(TRIM($L336),Lists!$W$2:$W$21,0)),IF(OR(TRIM($L336)="",LOWER(TRIM($L336))="na"),IF(TRIM($H336)="","Unassigned",TRIM($H336)),TRIM($L336))))))</f>
        <v>Reporting &amp; Analytics</v>
      </c>
      <c r="AK336" s="534" t="str">
        <f>IF(TRIM($B336)="","",IF(COUNTIFS(Lists!$AN$2:$AN$22,TRIM($B336)&amp;" | "&amp;TRIM($D336),Lists!$AQ$2:$AQ$22,"&lt;&gt;"),INDEX(Lists!$AQ$2:$AQ$22,MATCH(TRIM($B336)&amp;" | "&amp;TRIM($D336),Lists!$AN$2:$AN$22,0)),IF(COUNTIF(Lists!$AF$2:$AF$8,$AJ336),$AJ336,IF(ISNUMBER(SEARCH("head of ",$D336)),"Head of Technology",IF(ISNUMBER(SEARCH("TDD BP",$D336)),"Business Partner",IF(OR(ISNUMBER(SEARCH("domain architect",$D336)),ISNUMBER(SEARCH("enterprise architect",$D336))),"Domain Architect",IF(ISNUMBER(SEARCH("delivery man",$D336)),"Delivery Manager",IF(OR(ISNUMBER(SEARCH("technology manager",$D336)),ISNUMBER(SEARCH("technology manger",$D336)),ISNUMBER(SEARCH("tech manager",$D336))),"Technology Manager","Squad"))))))))</f>
        <v>Squad</v>
      </c>
      <c r="AL336" s="534" t="str">
        <f>IF(TRIM($B336)="","",IF(AND($AM336=1,LEFT($AJ336,4)&lt;&gt;"EGI ",$AJ336&lt;&gt;"EGI"),IFERROR(INDEX(Lists!$Z$2:$Z$20,MATCH($AH336,Lists!$Y$2:$Y$20,0)),"EGI "&amp;$AH336),IF(COUNTIF(Lists!$AU$2:$AU$10,$AJ336),$AJ336,IF(OR(LEFT($AH336,3)="COE",$AH336="EGI"),$AJ336,IF($AK336&lt;&gt;"Squad",$AK336,$AJ336)))))</f>
        <v>Reporting &amp; Analytics</v>
      </c>
      <c r="AM336" s="534" t="b">
        <f>IF(TRIM($B336)="","",--(UPPER(TRIM($K336))="EGI"))</f>
        <v>0</v>
      </c>
      <c r="AQ336" s="841" t="inlineStr">
        <is>
          <t>R0335</t>
        </is>
      </c>
      <c r="AZ336" s="841" t="n"/>
    </row>
    <row r="337" ht="18" customHeight="1" s="535">
      <c r="A337" s="842" t="n">
        <v>106026</v>
      </c>
      <c r="B337" s="843" t="inlineStr">
        <is>
          <t>Vincent Lu</t>
        </is>
      </c>
      <c r="C337" s="842" t="n">
        <v>106026</v>
      </c>
      <c r="D337" s="843" t="inlineStr">
        <is>
          <t>Reporting Analyst</t>
        </is>
      </c>
      <c r="E337" s="843" t="inlineStr">
        <is>
          <t>Prashanth Krishnankutty</t>
        </is>
      </c>
      <c r="F337" s="843" t="inlineStr">
        <is>
          <t>Lead, Reporting &amp; Insights</t>
        </is>
      </c>
      <c r="G337" s="844" t="inlineStr">
        <is>
          <t>Strategy, Architecture &amp; Data</t>
        </is>
      </c>
      <c r="H337" s="843" t="inlineStr">
        <is>
          <t>Group Data</t>
        </is>
      </c>
      <c r="I337" s="843" t="inlineStr">
        <is>
          <t>Data Engineering &amp; Platforms</t>
        </is>
      </c>
      <c r="J337" s="843" t="inlineStr">
        <is>
          <t>Enterprise Data</t>
        </is>
      </c>
      <c r="K337" s="843" t="inlineStr">
        <is>
          <t>Group Data</t>
        </is>
      </c>
      <c r="L337" s="843" t="inlineStr">
        <is>
          <t>Reporting &amp; Analytics</t>
        </is>
      </c>
      <c r="M337" s="843" t="n"/>
      <c r="N337" s="845" t="inlineStr">
        <is>
          <t>Australia</t>
        </is>
      </c>
      <c r="O337" s="846" t="inlineStr">
        <is>
          <t>CIB</t>
        </is>
      </c>
      <c r="P337" s="847" t="n">
        <v>1</v>
      </c>
      <c r="Q337" s="846" t="n"/>
      <c r="R337" s="847" t="inlineStr">
        <is>
          <t>Permanent - Full Time</t>
        </is>
      </c>
      <c r="S337" s="847" t="n"/>
      <c r="T337" s="847" t="n"/>
      <c r="U337" s="848" t="n">
        <v>134550</v>
      </c>
      <c r="V337" s="849" t="n">
        <v>134550</v>
      </c>
      <c r="W337" s="850" t="n">
        <v>0.12</v>
      </c>
      <c r="X337" s="847" t="n">
        <v>0.055</v>
      </c>
      <c r="Y337" s="850" t="n">
        <v>0.12</v>
      </c>
      <c r="Z337" s="851" t="n"/>
      <c r="AA337" s="850" t="n">
        <v>0.04</v>
      </c>
      <c r="AB337" s="852" t="n">
        <v>179624.25</v>
      </c>
      <c r="AE337" s="534">
        <f>IF(TRIM($B337)="","",IF(AND(N($P337)&gt;0,N($P337)&lt;1),N($AB337)*N($P337),N($AB337)))</f>
        <v>179624.25</v>
      </c>
      <c r="AF337" s="534" t="str">
        <f>IF(TRIM($B337)="","",IF(OR(ISNUMBER(SEARCH("vacant",$B337)),ISNUMBER(SEARCH("ring fenced",$B337)),LOWER(TRIM($B337))="remove"),"Vacant","Filled"))</f>
        <v>Filled</v>
      </c>
      <c r="AG337" s="534" t="b">
        <f>IF(TRIM($B337)="","",--ISNUMBER(SEARCH("ring fenced",$B337)))</f>
        <v>0</v>
      </c>
      <c r="AH337" s="534" t="str">
        <f>IF(TRIM($B337)="","",IF(COUNTIFS(Lists!$AN$2:$AN$22,TRIM($B337)&amp;" | "&amp;TRIM($D337),Lists!$AO$2:$AO$22,"&lt;&gt;"),INDEX(Lists!$AO$2:$AO$22,MATCH(TRIM($B337)&amp;" | "&amp;TRIM($D337),Lists!$AN$2:$AN$22,0)),IF(COUNTIF(Lists!$AR$2:$AR$3,$AJ337),"TDD Cyber",IF(AND(LEFT($AJ337,4)="EGI ",ISNUMBER(MATCH(TRIM(MID($AJ337,5,99)),Lists!$AS$2:$AS$12,0))),TRIM(MID($AJ337,5,99)),IF(AND(LEFT($AJ337,4)="EGI ",ISNUMBER(MATCH(TRIM(MID($AJ337,5,99)),Lists!$T$2:$T$21,0))),INDEX(Lists!$U$2:$U$21,MATCH(TRIM(MID($AJ337,5,99)),Lists!$T$2:$T$21,0)),IF(OR(TRIM($J337)="",UPPER(TRIM($J337))="NA"),IFERROR(INDEX(Lists!$R$2:$R$9,MATCH(TRIM($G337),Lists!$Q$2:$Q$9,0)),"UNMAPPED"),IFERROR(INDEX(Lists!$U$2:$U$21,MATCH(TRIM($J337),Lists!$T$2:$T$21,0)),IFERROR(INDEX(Lists!$R$2:$R$9,MATCH(TRIM($G337),Lists!$Q$2:$Q$9,0)),"UNMAPPED"))))))))</f>
        <v>Enterprise Data</v>
      </c>
      <c r="AI337" s="534" t="b">
        <f>IF(TRIM($B337)="","",--OR(TRIM($L337)="Leadership",TRIM($K337)="Leadership"))</f>
        <v>0</v>
      </c>
      <c r="AJ337" s="534" t="str">
        <f>IF(TRIM($B337)="","",IF(COUNTIFS(Lists!$AN$2:$AN$22,TRIM($B337)&amp;" | "&amp;TRIM($D337),Lists!$AP$2:$AP$22,"&lt;&gt;"),INDEX(Lists!$AP$2:$AP$22,MATCH(TRIM($B337)&amp;" | "&amp;TRIM($D337),Lists!$AN$2:$AN$22,0)),IF($AI337=1,"Leadership",IFERROR(INDEX(Lists!$X$2:$X$21,MATCH(TRIM($L337),Lists!$W$2:$W$21,0)),IF(OR(TRIM($L337)="",LOWER(TRIM($L337))="na"),IF(TRIM($H337)="","Unassigned",TRIM($H337)),TRIM($L337))))))</f>
        <v>Reporting &amp; Analytics</v>
      </c>
      <c r="AK337" s="534" t="str">
        <f>IF(TRIM($B337)="","",IF(COUNTIFS(Lists!$AN$2:$AN$22,TRIM($B337)&amp;" | "&amp;TRIM($D337),Lists!$AQ$2:$AQ$22,"&lt;&gt;"),INDEX(Lists!$AQ$2:$AQ$22,MATCH(TRIM($B337)&amp;" | "&amp;TRIM($D337),Lists!$AN$2:$AN$22,0)),IF(COUNTIF(Lists!$AF$2:$AF$8,$AJ337),$AJ337,IF(ISNUMBER(SEARCH("head of ",$D337)),"Head of Technology",IF(ISNUMBER(SEARCH("TDD BP",$D337)),"Business Partner",IF(OR(ISNUMBER(SEARCH("domain architect",$D337)),ISNUMBER(SEARCH("enterprise architect",$D337))),"Domain Architect",IF(ISNUMBER(SEARCH("delivery man",$D337)),"Delivery Manager",IF(OR(ISNUMBER(SEARCH("technology manager",$D337)),ISNUMBER(SEARCH("technology manger",$D337)),ISNUMBER(SEARCH("tech manager",$D337))),"Technology Manager","Squad"))))))))</f>
        <v>Squad</v>
      </c>
      <c r="AL337" s="534" t="str">
        <f>IF(TRIM($B337)="","",IF(AND($AM337=1,LEFT($AJ337,4)&lt;&gt;"EGI ",$AJ337&lt;&gt;"EGI"),IFERROR(INDEX(Lists!$Z$2:$Z$20,MATCH($AH337,Lists!$Y$2:$Y$20,0)),"EGI "&amp;$AH337),IF(COUNTIF(Lists!$AU$2:$AU$10,$AJ337),$AJ337,IF(OR(LEFT($AH337,3)="COE",$AH337="EGI"),$AJ337,IF($AK337&lt;&gt;"Squad",$AK337,$AJ337)))))</f>
        <v>Reporting &amp; Analytics</v>
      </c>
      <c r="AM337" s="534" t="b">
        <f>IF(TRIM($B337)="","",--(UPPER(TRIM($K337))="EGI"))</f>
        <v>0</v>
      </c>
      <c r="AQ337" s="841" t="inlineStr">
        <is>
          <t>R0336</t>
        </is>
      </c>
      <c r="AZ337" s="841" t="n"/>
    </row>
    <row r="338" ht="18" customHeight="1" s="535">
      <c r="A338" s="842" t="n">
        <v>107588</v>
      </c>
      <c r="B338" s="843" t="inlineStr">
        <is>
          <t>Akhil Sriram</t>
        </is>
      </c>
      <c r="C338" s="842" t="n">
        <v>107588</v>
      </c>
      <c r="D338" s="843" t="inlineStr">
        <is>
          <t>Snr Business Analyst</t>
        </is>
      </c>
      <c r="E338" s="843" t="inlineStr">
        <is>
          <t>Prem Shetty</t>
        </is>
      </c>
      <c r="F338" s="843" t="inlineStr">
        <is>
          <t>Delivery Manager, Infrastructure</t>
        </is>
      </c>
      <c r="G338" s="844" t="inlineStr">
        <is>
          <t>TDD CFE&amp;I</t>
        </is>
      </c>
      <c r="H338" s="843" t="inlineStr">
        <is>
          <t>Fuel Infrastructure</t>
        </is>
      </c>
      <c r="I338" s="843" t="inlineStr">
        <is>
          <t>Fuel Infrastructure, Delivery</t>
        </is>
      </c>
      <c r="J338" s="843" t="inlineStr">
        <is>
          <t>Infrastructure</t>
        </is>
      </c>
      <c r="K338" s="843" t="inlineStr">
        <is>
          <t>Manufacturing</t>
        </is>
      </c>
      <c r="L338" s="843" t="inlineStr">
        <is>
          <t>Manufacturing Group Projects</t>
        </is>
      </c>
      <c r="M338" s="843" t="n"/>
      <c r="N338" s="845" t="inlineStr">
        <is>
          <t>Australia</t>
        </is>
      </c>
      <c r="O338" s="846" t="inlineStr">
        <is>
          <t>CIB</t>
        </is>
      </c>
      <c r="P338" s="847" t="n">
        <v>1</v>
      </c>
      <c r="Q338" s="847" t="n"/>
      <c r="R338" s="847" t="inlineStr">
        <is>
          <t>Permanent - Full Time</t>
        </is>
      </c>
      <c r="S338" s="847" t="n"/>
      <c r="T338" s="847" t="n"/>
      <c r="U338" s="848" t="n">
        <v>166140</v>
      </c>
      <c r="V338" s="849" t="n">
        <v>166140</v>
      </c>
      <c r="W338" s="850" t="n">
        <v>0.12</v>
      </c>
      <c r="X338" s="847" t="n">
        <v>0.055</v>
      </c>
      <c r="Y338" s="850" t="n">
        <v>0.12</v>
      </c>
      <c r="Z338" s="851" t="n"/>
      <c r="AA338" s="850" t="n">
        <v>0.04</v>
      </c>
      <c r="AB338" s="852" t="n">
        <v>221796.9</v>
      </c>
      <c r="AE338" s="534">
        <f>IF(TRIM($B338)="","",IF(AND(N($P338)&gt;0,N($P338)&lt;1),N($AB338)*N($P338),N($AB338)))</f>
        <v>221796.9</v>
      </c>
      <c r="AF338" s="534" t="str">
        <f>IF(TRIM($B338)="","",IF(OR(ISNUMBER(SEARCH("vacant",$B338)),ISNUMBER(SEARCH("ring fenced",$B338)),LOWER(TRIM($B338))="remove"),"Vacant","Filled"))</f>
        <v>Filled</v>
      </c>
      <c r="AG338" s="534" t="b">
        <f>IF(TRIM($B338)="","",--ISNUMBER(SEARCH("ring fenced",$B338)))</f>
        <v>0</v>
      </c>
      <c r="AH338" s="534" t="str">
        <f>IF(TRIM($B338)="","",IF(COUNTIFS(Lists!$AN$2:$AN$22,TRIM($B338)&amp;" | "&amp;TRIM($D338),Lists!$AO$2:$AO$22,"&lt;&gt;"),INDEX(Lists!$AO$2:$AO$22,MATCH(TRIM($B338)&amp;" | "&amp;TRIM($D338),Lists!$AN$2:$AN$22,0)),IF(COUNTIF(Lists!$AR$2:$AR$3,$AJ338),"TDD Cyber",IF(AND(LEFT($AJ338,4)="EGI ",ISNUMBER(MATCH(TRIM(MID($AJ338,5,99)),Lists!$AS$2:$AS$12,0))),TRIM(MID($AJ338,5,99)),IF(AND(LEFT($AJ338,4)="EGI ",ISNUMBER(MATCH(TRIM(MID($AJ338,5,99)),Lists!$T$2:$T$21,0))),INDEX(Lists!$U$2:$U$21,MATCH(TRIM(MID($AJ338,5,99)),Lists!$T$2:$T$21,0)),IF(OR(TRIM($J338)="",UPPER(TRIM($J338))="NA"),IFERROR(INDEX(Lists!$R$2:$R$9,MATCH(TRIM($G338),Lists!$Q$2:$Q$9,0)),"UNMAPPED"),IFERROR(INDEX(Lists!$U$2:$U$21,MATCH(TRIM($J338),Lists!$T$2:$T$21,0)),IFERROR(INDEX(Lists!$R$2:$R$9,MATCH(TRIM($G338),Lists!$Q$2:$Q$9,0)),"UNMAPPED"))))))))</f>
        <v>Infrastructure</v>
      </c>
      <c r="AI338" s="534" t="b">
        <f>IF(TRIM($B338)="","",--OR(TRIM($L338)="Leadership",TRIM($K338)="Leadership"))</f>
        <v>0</v>
      </c>
      <c r="AJ338" s="534" t="str">
        <f>IF(TRIM($B338)="","",IF(COUNTIFS(Lists!$AN$2:$AN$22,TRIM($B338)&amp;" | "&amp;TRIM($D338),Lists!$AP$2:$AP$22,"&lt;&gt;"),INDEX(Lists!$AP$2:$AP$22,MATCH(TRIM($B338)&amp;" | "&amp;TRIM($D338),Lists!$AN$2:$AN$22,0)),IF($AI338=1,"Leadership",IFERROR(INDEX(Lists!$X$2:$X$21,MATCH(TRIM($L338),Lists!$W$2:$W$21,0)),IF(OR(TRIM($L338)="",LOWER(TRIM($L338))="na"),IF(TRIM($H338)="","Unassigned",TRIM($H338)),TRIM($L338))))))</f>
        <v>Manufacturing Group Projects</v>
      </c>
      <c r="AK338" s="534" t="str">
        <f>IF(TRIM($B338)="","",IF(COUNTIFS(Lists!$AN$2:$AN$22,TRIM($B338)&amp;" | "&amp;TRIM($D338),Lists!$AQ$2:$AQ$22,"&lt;&gt;"),INDEX(Lists!$AQ$2:$AQ$22,MATCH(TRIM($B338)&amp;" | "&amp;TRIM($D338),Lists!$AN$2:$AN$22,0)),IF(COUNTIF(Lists!$AF$2:$AF$8,$AJ338),$AJ338,IF(ISNUMBER(SEARCH("head of ",$D338)),"Head of Technology",IF(ISNUMBER(SEARCH("TDD BP",$D338)),"Business Partner",IF(OR(ISNUMBER(SEARCH("domain architect",$D338)),ISNUMBER(SEARCH("enterprise architect",$D338))),"Domain Architect",IF(ISNUMBER(SEARCH("delivery man",$D338)),"Delivery Manager",IF(OR(ISNUMBER(SEARCH("technology manager",$D338)),ISNUMBER(SEARCH("technology manger",$D338)),ISNUMBER(SEARCH("tech manager",$D338))),"Technology Manager","Squad"))))))))</f>
        <v>Squad</v>
      </c>
      <c r="AL338" s="534" t="str">
        <f>IF(TRIM($B338)="","",IF(AND($AM338=1,LEFT($AJ338,4)&lt;&gt;"EGI ",$AJ338&lt;&gt;"EGI"),IFERROR(INDEX(Lists!$Z$2:$Z$20,MATCH($AH338,Lists!$Y$2:$Y$20,0)),"EGI "&amp;$AH338),IF(COUNTIF(Lists!$AU$2:$AU$10,$AJ338),$AJ338,IF(OR(LEFT($AH338,3)="COE",$AH338="EGI"),$AJ338,IF($AK338&lt;&gt;"Squad",$AK338,$AJ338)))))</f>
        <v>Manufacturing Group Projects</v>
      </c>
      <c r="AM338" s="534" t="b">
        <f>IF(TRIM($B338)="","",--(UPPER(TRIM($K338))="EGI"))</f>
        <v>0</v>
      </c>
      <c r="AQ338" s="841" t="inlineStr">
        <is>
          <t>R0337</t>
        </is>
      </c>
      <c r="AZ338" s="841" t="n"/>
    </row>
    <row r="339" ht="18" customHeight="1" s="535">
      <c r="A339" s="842" t="n">
        <v>97884</v>
      </c>
      <c r="B339" s="843" t="inlineStr">
        <is>
          <t>Rebecca Estepa</t>
        </is>
      </c>
      <c r="C339" s="842" t="n">
        <v>97884</v>
      </c>
      <c r="D339" s="843" t="inlineStr">
        <is>
          <t>Snr Business Analyst</t>
        </is>
      </c>
      <c r="E339" s="843" t="inlineStr">
        <is>
          <t>Prem Shetty</t>
        </is>
      </c>
      <c r="F339" s="843" t="inlineStr">
        <is>
          <t>Delivery Manager, Infrastructure</t>
        </is>
      </c>
      <c r="G339" s="844" t="inlineStr">
        <is>
          <t>TDD CFE&amp;I</t>
        </is>
      </c>
      <c r="H339" s="843" t="inlineStr">
        <is>
          <t>Fuel Infrastructure</t>
        </is>
      </c>
      <c r="I339" s="843" t="inlineStr">
        <is>
          <t>Fuel Infrastructure, Delivery</t>
        </is>
      </c>
      <c r="J339" s="843" t="inlineStr">
        <is>
          <t>Infrastructure</t>
        </is>
      </c>
      <c r="K339" s="843" t="inlineStr">
        <is>
          <t>Distribution</t>
        </is>
      </c>
      <c r="L339" s="843" t="inlineStr">
        <is>
          <t>Distribution, Sales &amp; Services</t>
        </is>
      </c>
      <c r="M339" s="843" t="n"/>
      <c r="N339" s="845" t="inlineStr">
        <is>
          <t>Australia</t>
        </is>
      </c>
      <c r="O339" s="846" t="inlineStr">
        <is>
          <t>CIB</t>
        </is>
      </c>
      <c r="P339" s="847" t="n">
        <v>1</v>
      </c>
      <c r="Q339" s="846" t="n"/>
      <c r="R339" s="847" t="inlineStr">
        <is>
          <t>Permanent - Full Time</t>
        </is>
      </c>
      <c r="S339" s="847" t="n"/>
      <c r="T339" s="847" t="n"/>
      <c r="U339" s="848" t="n">
        <v>174780</v>
      </c>
      <c r="V339" s="849" t="n">
        <v>174780</v>
      </c>
      <c r="W339" s="850" t="n">
        <v>0.12</v>
      </c>
      <c r="X339" s="847" t="n">
        <v>0.055</v>
      </c>
      <c r="Y339" s="850" t="n">
        <v>0.12</v>
      </c>
      <c r="Z339" s="851" t="n"/>
      <c r="AA339" s="850" t="n">
        <v>0.04</v>
      </c>
      <c r="AB339" s="852" t="n">
        <v>233331.3</v>
      </c>
      <c r="AE339" s="534">
        <f>IF(TRIM($B339)="","",IF(AND(N($P339)&gt;0,N($P339)&lt;1),N($AB339)*N($P339),N($AB339)))</f>
        <v>233331.3</v>
      </c>
      <c r="AF339" s="534" t="str">
        <f>IF(TRIM($B339)="","",IF(OR(ISNUMBER(SEARCH("vacant",$B339)),ISNUMBER(SEARCH("ring fenced",$B339)),LOWER(TRIM($B339))="remove"),"Vacant","Filled"))</f>
        <v>Filled</v>
      </c>
      <c r="AG339" s="534" t="b">
        <f>IF(TRIM($B339)="","",--ISNUMBER(SEARCH("ring fenced",$B339)))</f>
        <v>0</v>
      </c>
      <c r="AH339" s="534" t="str">
        <f>IF(TRIM($B339)="","",IF(COUNTIFS(Lists!$AN$2:$AN$22,TRIM($B339)&amp;" | "&amp;TRIM($D339),Lists!$AO$2:$AO$22,"&lt;&gt;"),INDEX(Lists!$AO$2:$AO$22,MATCH(TRIM($B339)&amp;" | "&amp;TRIM($D339),Lists!$AN$2:$AN$22,0)),IF(COUNTIF(Lists!$AR$2:$AR$3,$AJ339),"TDD Cyber",IF(AND(LEFT($AJ339,4)="EGI ",ISNUMBER(MATCH(TRIM(MID($AJ339,5,99)),Lists!$AS$2:$AS$12,0))),TRIM(MID($AJ339,5,99)),IF(AND(LEFT($AJ339,4)="EGI ",ISNUMBER(MATCH(TRIM(MID($AJ339,5,99)),Lists!$T$2:$T$21,0))),INDEX(Lists!$U$2:$U$21,MATCH(TRIM(MID($AJ339,5,99)),Lists!$T$2:$T$21,0)),IF(OR(TRIM($J339)="",UPPER(TRIM($J339))="NA"),IFERROR(INDEX(Lists!$R$2:$R$9,MATCH(TRIM($G339),Lists!$Q$2:$Q$9,0)),"UNMAPPED"),IFERROR(INDEX(Lists!$U$2:$U$21,MATCH(TRIM($J339),Lists!$T$2:$T$21,0)),IFERROR(INDEX(Lists!$R$2:$R$9,MATCH(TRIM($G339),Lists!$Q$2:$Q$9,0)),"UNMAPPED"))))))))</f>
        <v>Infrastructure</v>
      </c>
      <c r="AI339" s="534" t="b">
        <f>IF(TRIM($B339)="","",--OR(TRIM($L339)="Leadership",TRIM($K339)="Leadership"))</f>
        <v>0</v>
      </c>
      <c r="AJ339" s="534" t="str">
        <f>IF(TRIM($B339)="","",IF(COUNTIFS(Lists!$AN$2:$AN$22,TRIM($B339)&amp;" | "&amp;TRIM($D339),Lists!$AP$2:$AP$22,"&lt;&gt;"),INDEX(Lists!$AP$2:$AP$22,MATCH(TRIM($B339)&amp;" | "&amp;TRIM($D339),Lists!$AN$2:$AN$22,0)),IF($AI339=1,"Leadership",IFERROR(INDEX(Lists!$X$2:$X$21,MATCH(TRIM($L339),Lists!$W$2:$W$21,0)),IF(OR(TRIM($L339)="",LOWER(TRIM($L339))="na"),IF(TRIM($H339)="","Unassigned",TRIM($H339)),TRIM($L339))))))</f>
        <v>Distribution, Sales &amp; Services</v>
      </c>
      <c r="AK339" s="534" t="str">
        <f>IF(TRIM($B339)="","",IF(COUNTIFS(Lists!$AN$2:$AN$22,TRIM($B339)&amp;" | "&amp;TRIM($D339),Lists!$AQ$2:$AQ$22,"&lt;&gt;"),INDEX(Lists!$AQ$2:$AQ$22,MATCH(TRIM($B339)&amp;" | "&amp;TRIM($D339),Lists!$AN$2:$AN$22,0)),IF(COUNTIF(Lists!$AF$2:$AF$8,$AJ339),$AJ339,IF(ISNUMBER(SEARCH("head of ",$D339)),"Head of Technology",IF(ISNUMBER(SEARCH("TDD BP",$D339)),"Business Partner",IF(OR(ISNUMBER(SEARCH("domain architect",$D339)),ISNUMBER(SEARCH("enterprise architect",$D339))),"Domain Architect",IF(ISNUMBER(SEARCH("delivery man",$D339)),"Delivery Manager",IF(OR(ISNUMBER(SEARCH("technology manager",$D339)),ISNUMBER(SEARCH("technology manger",$D339)),ISNUMBER(SEARCH("tech manager",$D339))),"Technology Manager","Squad"))))))))</f>
        <v>Squad</v>
      </c>
      <c r="AL339" s="534" t="str">
        <f>IF(TRIM($B339)="","",IF(AND($AM339=1,LEFT($AJ339,4)&lt;&gt;"EGI ",$AJ339&lt;&gt;"EGI"),IFERROR(INDEX(Lists!$Z$2:$Z$20,MATCH($AH339,Lists!$Y$2:$Y$20,0)),"EGI "&amp;$AH339),IF(COUNTIF(Lists!$AU$2:$AU$10,$AJ339),$AJ339,IF(OR(LEFT($AH339,3)="COE",$AH339="EGI"),$AJ339,IF($AK339&lt;&gt;"Squad",$AK339,$AJ339)))))</f>
        <v>Distribution, Sales &amp; Services</v>
      </c>
      <c r="AM339" s="534" t="b">
        <f>IF(TRIM($B339)="","",--(UPPER(TRIM($K339))="EGI"))</f>
        <v>0</v>
      </c>
      <c r="AQ339" s="841" t="inlineStr">
        <is>
          <t>R0338</t>
        </is>
      </c>
      <c r="AZ339" s="841" t="n"/>
    </row>
    <row r="340" ht="18" customHeight="1" s="535">
      <c r="A340" s="842" t="inlineStr">
        <is>
          <t>V</t>
        </is>
      </c>
      <c r="B340" s="843" t="inlineStr">
        <is>
          <t>Vacant</t>
        </is>
      </c>
      <c r="C340" s="842" t="inlineStr">
        <is>
          <t>V</t>
        </is>
      </c>
      <c r="D340" s="843" t="inlineStr">
        <is>
          <t>Business Analyst</t>
        </is>
      </c>
      <c r="E340" s="843" t="inlineStr">
        <is>
          <t>Prem Shetty</t>
        </is>
      </c>
      <c r="F340" s="843" t="inlineStr">
        <is>
          <t>Delivery Manager, Infrastructure</t>
        </is>
      </c>
      <c r="G340" s="844" t="inlineStr">
        <is>
          <t>TDD CFE&amp;I</t>
        </is>
      </c>
      <c r="H340" s="843" t="inlineStr">
        <is>
          <t>Fuel Infrastructure</t>
        </is>
      </c>
      <c r="I340" s="843" t="inlineStr">
        <is>
          <t>Fuel Infrastructure, Delivery</t>
        </is>
      </c>
      <c r="J340" s="843" t="inlineStr">
        <is>
          <t>Infrastructure</t>
        </is>
      </c>
      <c r="K340" s="843" t="inlineStr">
        <is>
          <t>Distribution</t>
        </is>
      </c>
      <c r="L340" s="843" t="inlineStr">
        <is>
          <t>Distribution, Sales &amp; Services</t>
        </is>
      </c>
      <c r="M340" s="843" t="n"/>
      <c r="N340" s="845" t="inlineStr">
        <is>
          <t>Australia</t>
        </is>
      </c>
      <c r="O340" s="846" t="inlineStr">
        <is>
          <t>CIB</t>
        </is>
      </c>
      <c r="P340" s="847" t="n">
        <v>1</v>
      </c>
      <c r="Q340" s="847" t="n"/>
      <c r="R340" s="847" t="inlineStr">
        <is>
          <t>V</t>
        </is>
      </c>
      <c r="S340" s="847" t="n"/>
      <c r="T340" s="847" t="n"/>
      <c r="U340" s="848" t="n">
        <v>151950</v>
      </c>
      <c r="V340" s="849" t="n">
        <v>151950</v>
      </c>
      <c r="W340" s="850" t="n">
        <v>0.12</v>
      </c>
      <c r="X340" s="847" t="n">
        <v>0.055</v>
      </c>
      <c r="Y340" s="850" t="n">
        <v>0.12</v>
      </c>
      <c r="Z340" s="851" t="n"/>
      <c r="AA340" s="850" t="n">
        <v>0.04</v>
      </c>
      <c r="AB340" s="852" t="n">
        <v>202853.25</v>
      </c>
      <c r="AE340" s="534">
        <f>IF(TRIM($B340)="","",IF(AND(N($P340)&gt;0,N($P340)&lt;1),N($AB340)*N($P340),N($AB340)))</f>
        <v>202853.25</v>
      </c>
      <c r="AF340" s="534" t="str">
        <f>IF(TRIM($B340)="","",IF(OR(ISNUMBER(SEARCH("vacant",$B340)),ISNUMBER(SEARCH("ring fenced",$B340)),LOWER(TRIM($B340))="remove"),"Vacant","Filled"))</f>
        <v>Vacant</v>
      </c>
      <c r="AG340" s="534" t="b">
        <f>IF(TRIM($B340)="","",--ISNUMBER(SEARCH("ring fenced",$B340)))</f>
        <v>0</v>
      </c>
      <c r="AH340" s="534" t="str">
        <f>IF(TRIM($B340)="","",IF(COUNTIFS(Lists!$AN$2:$AN$22,TRIM($B340)&amp;" | "&amp;TRIM($D340),Lists!$AO$2:$AO$22,"&lt;&gt;"),INDEX(Lists!$AO$2:$AO$22,MATCH(TRIM($B340)&amp;" | "&amp;TRIM($D340),Lists!$AN$2:$AN$22,0)),IF(COUNTIF(Lists!$AR$2:$AR$3,$AJ340),"TDD Cyber",IF(AND(LEFT($AJ340,4)="EGI ",ISNUMBER(MATCH(TRIM(MID($AJ340,5,99)),Lists!$AS$2:$AS$12,0))),TRIM(MID($AJ340,5,99)),IF(AND(LEFT($AJ340,4)="EGI ",ISNUMBER(MATCH(TRIM(MID($AJ340,5,99)),Lists!$T$2:$T$21,0))),INDEX(Lists!$U$2:$U$21,MATCH(TRIM(MID($AJ340,5,99)),Lists!$T$2:$T$21,0)),IF(OR(TRIM($J340)="",UPPER(TRIM($J340))="NA"),IFERROR(INDEX(Lists!$R$2:$R$9,MATCH(TRIM($G340),Lists!$Q$2:$Q$9,0)),"UNMAPPED"),IFERROR(INDEX(Lists!$U$2:$U$21,MATCH(TRIM($J340),Lists!$T$2:$T$21,0)),IFERROR(INDEX(Lists!$R$2:$R$9,MATCH(TRIM($G340),Lists!$Q$2:$Q$9,0)),"UNMAPPED"))))))))</f>
        <v>Infrastructure</v>
      </c>
      <c r="AI340" s="534" t="b">
        <f>IF(TRIM($B340)="","",--OR(TRIM($L340)="Leadership",TRIM($K340)="Leadership"))</f>
        <v>0</v>
      </c>
      <c r="AJ340" s="534" t="str">
        <f>IF(TRIM($B340)="","",IF(COUNTIFS(Lists!$AN$2:$AN$22,TRIM($B340)&amp;" | "&amp;TRIM($D340),Lists!$AP$2:$AP$22,"&lt;&gt;"),INDEX(Lists!$AP$2:$AP$22,MATCH(TRIM($B340)&amp;" | "&amp;TRIM($D340),Lists!$AN$2:$AN$22,0)),IF($AI340=1,"Leadership",IFERROR(INDEX(Lists!$X$2:$X$21,MATCH(TRIM($L340),Lists!$W$2:$W$21,0)),IF(OR(TRIM($L340)="",LOWER(TRIM($L340))="na"),IF(TRIM($H340)="","Unassigned",TRIM($H340)),TRIM($L340))))))</f>
        <v>Distribution, Sales &amp; Services</v>
      </c>
      <c r="AK340" s="534" t="str">
        <f>IF(TRIM($B340)="","",IF(COUNTIFS(Lists!$AN$2:$AN$22,TRIM($B340)&amp;" | "&amp;TRIM($D340),Lists!$AQ$2:$AQ$22,"&lt;&gt;"),INDEX(Lists!$AQ$2:$AQ$22,MATCH(TRIM($B340)&amp;" | "&amp;TRIM($D340),Lists!$AN$2:$AN$22,0)),IF(COUNTIF(Lists!$AF$2:$AF$8,$AJ340),$AJ340,IF(ISNUMBER(SEARCH("head of ",$D340)),"Head of Technology",IF(ISNUMBER(SEARCH("TDD BP",$D340)),"Business Partner",IF(OR(ISNUMBER(SEARCH("domain architect",$D340)),ISNUMBER(SEARCH("enterprise architect",$D340))),"Domain Architect",IF(ISNUMBER(SEARCH("delivery man",$D340)),"Delivery Manager",IF(OR(ISNUMBER(SEARCH("technology manager",$D340)),ISNUMBER(SEARCH("technology manger",$D340)),ISNUMBER(SEARCH("tech manager",$D340))),"Technology Manager","Squad"))))))))</f>
        <v>Squad</v>
      </c>
      <c r="AL340" s="534" t="str">
        <f>IF(TRIM($B340)="","",IF(AND($AM340=1,LEFT($AJ340,4)&lt;&gt;"EGI ",$AJ340&lt;&gt;"EGI"),IFERROR(INDEX(Lists!$Z$2:$Z$20,MATCH($AH340,Lists!$Y$2:$Y$20,0)),"EGI "&amp;$AH340),IF(COUNTIF(Lists!$AU$2:$AU$10,$AJ340),$AJ340,IF(OR(LEFT($AH340,3)="COE",$AH340="EGI"),$AJ340,IF($AK340&lt;&gt;"Squad",$AK340,$AJ340)))))</f>
        <v>Distribution, Sales &amp; Services</v>
      </c>
      <c r="AM340" s="534" t="b">
        <f>IF(TRIM($B340)="","",--(UPPER(TRIM($K340))="EGI"))</f>
        <v>0</v>
      </c>
      <c r="AQ340" s="841" t="inlineStr">
        <is>
          <t>R0339</t>
        </is>
      </c>
      <c r="AZ340" s="841" t="n"/>
    </row>
    <row r="341" ht="18" customHeight="1" s="535">
      <c r="A341" s="842" t="inlineStr">
        <is>
          <t>V</t>
        </is>
      </c>
      <c r="B341" s="843" t="inlineStr">
        <is>
          <t>vacant</t>
        </is>
      </c>
      <c r="C341" s="842" t="inlineStr">
        <is>
          <t>V</t>
        </is>
      </c>
      <c r="D341" s="843" t="inlineStr">
        <is>
          <t>Engineer - Data</t>
        </is>
      </c>
      <c r="E341" s="843" t="inlineStr">
        <is>
          <t>Roozbeh Shahbazirad</t>
        </is>
      </c>
      <c r="F341" s="843" t="inlineStr">
        <is>
          <t>Lead Engineer (Databricks)</t>
        </is>
      </c>
      <c r="G341" s="844" t="inlineStr">
        <is>
          <t>Strategy, Architecture &amp; Data</t>
        </is>
      </c>
      <c r="H341" s="843" t="inlineStr">
        <is>
          <t>Group Data</t>
        </is>
      </c>
      <c r="I341" s="843" t="inlineStr">
        <is>
          <t>Data Engineering &amp; Platforms</t>
        </is>
      </c>
      <c r="J341" s="843" t="inlineStr">
        <is>
          <t>Enterprise Data</t>
        </is>
      </c>
      <c r="K341" s="843" t="inlineStr">
        <is>
          <t>Group Data</t>
        </is>
      </c>
      <c r="L341" s="843" t="inlineStr">
        <is>
          <t>Data Platform</t>
        </is>
      </c>
      <c r="M341" s="843" t="n"/>
      <c r="N341" s="845" t="inlineStr">
        <is>
          <t>Australia</t>
        </is>
      </c>
      <c r="O341" s="846" t="inlineStr">
        <is>
          <t>CIB</t>
        </is>
      </c>
      <c r="P341" s="847" t="n">
        <v>1</v>
      </c>
      <c r="Q341" s="847" t="n"/>
      <c r="R341" s="847" t="inlineStr">
        <is>
          <t>V</t>
        </is>
      </c>
      <c r="S341" s="847" t="n"/>
      <c r="T341" s="847" t="n"/>
      <c r="U341" s="848" t="n">
        <v>151950</v>
      </c>
      <c r="V341" s="849" t="n">
        <v>151950</v>
      </c>
      <c r="W341" s="850" t="n">
        <v>0.12</v>
      </c>
      <c r="X341" s="847" t="n">
        <v>0.055</v>
      </c>
      <c r="Y341" s="850" t="n">
        <v>0.12</v>
      </c>
      <c r="Z341" s="851" t="n"/>
      <c r="AA341" s="850" t="n">
        <v>0.04</v>
      </c>
      <c r="AB341" s="852" t="n">
        <v>202853.25</v>
      </c>
      <c r="AE341" s="534">
        <f>IF(TRIM($B341)="","",IF(AND(N($P341)&gt;0,N($P341)&lt;1),N($AB341)*N($P341),N($AB341)))</f>
        <v>202853.25</v>
      </c>
      <c r="AF341" s="534" t="str">
        <f>IF(TRIM($B341)="","",IF(OR(ISNUMBER(SEARCH("vacant",$B341)),ISNUMBER(SEARCH("ring fenced",$B341)),LOWER(TRIM($B341))="remove"),"Vacant","Filled"))</f>
        <v>Vacant</v>
      </c>
      <c r="AG341" s="534" t="b">
        <f>IF(TRIM($B341)="","",--ISNUMBER(SEARCH("ring fenced",$B341)))</f>
        <v>0</v>
      </c>
      <c r="AH341" s="534" t="str">
        <f>IF(TRIM($B341)="","",IF(COUNTIFS(Lists!$AN$2:$AN$22,TRIM($B341)&amp;" | "&amp;TRIM($D341),Lists!$AO$2:$AO$22,"&lt;&gt;"),INDEX(Lists!$AO$2:$AO$22,MATCH(TRIM($B341)&amp;" | "&amp;TRIM($D341),Lists!$AN$2:$AN$22,0)),IF(COUNTIF(Lists!$AR$2:$AR$3,$AJ341),"TDD Cyber",IF(AND(LEFT($AJ341,4)="EGI ",ISNUMBER(MATCH(TRIM(MID($AJ341,5,99)),Lists!$AS$2:$AS$12,0))),TRIM(MID($AJ341,5,99)),IF(AND(LEFT($AJ341,4)="EGI ",ISNUMBER(MATCH(TRIM(MID($AJ341,5,99)),Lists!$T$2:$T$21,0))),INDEX(Lists!$U$2:$U$21,MATCH(TRIM(MID($AJ341,5,99)),Lists!$T$2:$T$21,0)),IF(OR(TRIM($J341)="",UPPER(TRIM($J341))="NA"),IFERROR(INDEX(Lists!$R$2:$R$9,MATCH(TRIM($G341),Lists!$Q$2:$Q$9,0)),"UNMAPPED"),IFERROR(INDEX(Lists!$U$2:$U$21,MATCH(TRIM($J341),Lists!$T$2:$T$21,0)),IFERROR(INDEX(Lists!$R$2:$R$9,MATCH(TRIM($G341),Lists!$Q$2:$Q$9,0)),"UNMAPPED"))))))))</f>
        <v>Enterprise Data</v>
      </c>
      <c r="AI341" s="534" t="b">
        <f>IF(TRIM($B341)="","",--OR(TRIM($L341)="Leadership",TRIM($K341)="Leadership"))</f>
        <v>0</v>
      </c>
      <c r="AJ341" s="534" t="str">
        <f>IF(TRIM($B341)="","",IF(COUNTIFS(Lists!$AN$2:$AN$22,TRIM($B341)&amp;" | "&amp;TRIM($D341),Lists!$AP$2:$AP$22,"&lt;&gt;"),INDEX(Lists!$AP$2:$AP$22,MATCH(TRIM($B341)&amp;" | "&amp;TRIM($D341),Lists!$AN$2:$AN$22,0)),IF($AI341=1,"Leadership",IFERROR(INDEX(Lists!$X$2:$X$21,MATCH(TRIM($L341),Lists!$W$2:$W$21,0)),IF(OR(TRIM($L341)="",LOWER(TRIM($L341))="na"),IF(TRIM($H341)="","Unassigned",TRIM($H341)),TRIM($L341))))))</f>
        <v>Data Platforms</v>
      </c>
      <c r="AK341" s="534" t="str">
        <f>IF(TRIM($B341)="","",IF(COUNTIFS(Lists!$AN$2:$AN$22,TRIM($B341)&amp;" | "&amp;TRIM($D341),Lists!$AQ$2:$AQ$22,"&lt;&gt;"),INDEX(Lists!$AQ$2:$AQ$22,MATCH(TRIM($B341)&amp;" | "&amp;TRIM($D341),Lists!$AN$2:$AN$22,0)),IF(COUNTIF(Lists!$AF$2:$AF$8,$AJ341),$AJ341,IF(ISNUMBER(SEARCH("head of ",$D341)),"Head of Technology",IF(ISNUMBER(SEARCH("TDD BP",$D341)),"Business Partner",IF(OR(ISNUMBER(SEARCH("domain architect",$D341)),ISNUMBER(SEARCH("enterprise architect",$D341))),"Domain Architect",IF(ISNUMBER(SEARCH("delivery man",$D341)),"Delivery Manager",IF(OR(ISNUMBER(SEARCH("technology manager",$D341)),ISNUMBER(SEARCH("technology manger",$D341)),ISNUMBER(SEARCH("tech manager",$D341))),"Technology Manager","Squad"))))))))</f>
        <v>Squad</v>
      </c>
      <c r="AL341" s="534" t="str">
        <f>IF(TRIM($B341)="","",IF(AND($AM341=1,LEFT($AJ341,4)&lt;&gt;"EGI ",$AJ341&lt;&gt;"EGI"),IFERROR(INDEX(Lists!$Z$2:$Z$20,MATCH($AH341,Lists!$Y$2:$Y$20,0)),"EGI "&amp;$AH341),IF(COUNTIF(Lists!$AU$2:$AU$10,$AJ341),$AJ341,IF(OR(LEFT($AH341,3)="COE",$AH341="EGI"),$AJ341,IF($AK341&lt;&gt;"Squad",$AK341,$AJ341)))))</f>
        <v>Data Platforms</v>
      </c>
      <c r="AM341" s="534" t="b">
        <f>IF(TRIM($B341)="","",--(UPPER(TRIM($K341))="EGI"))</f>
        <v>0</v>
      </c>
      <c r="AQ341" s="841" t="inlineStr">
        <is>
          <t>R0340</t>
        </is>
      </c>
      <c r="AZ341" s="841" t="n"/>
    </row>
    <row r="342" ht="18" customHeight="1" s="535">
      <c r="A342" s="842" t="inlineStr">
        <is>
          <t>V</t>
        </is>
      </c>
      <c r="B342" s="843" t="inlineStr">
        <is>
          <t>Vacant</t>
        </is>
      </c>
      <c r="C342" s="842" t="inlineStr">
        <is>
          <t>V</t>
        </is>
      </c>
      <c r="D342" s="843" t="inlineStr">
        <is>
          <t>Delivery Systems Analyst</t>
        </is>
      </c>
      <c r="E342" s="843" t="inlineStr">
        <is>
          <t>Ruth Chou</t>
        </is>
      </c>
      <c r="F342" s="843" t="inlineStr">
        <is>
          <t>Portfolio Reporting Manger</t>
        </is>
      </c>
      <c r="G342" s="844" t="inlineStr">
        <is>
          <t>Partnering &amp; Transformation</t>
        </is>
      </c>
      <c r="H342" s="843" t="inlineStr">
        <is>
          <t>Transformation</t>
        </is>
      </c>
      <c r="I342" s="843" t="inlineStr">
        <is>
          <t>NA</t>
        </is>
      </c>
      <c r="J342" s="843" t="inlineStr">
        <is>
          <t>NA</t>
        </is>
      </c>
      <c r="K342" s="843" t="inlineStr">
        <is>
          <t>NA</t>
        </is>
      </c>
      <c r="L342" s="843" t="inlineStr">
        <is>
          <t>NA</t>
        </is>
      </c>
      <c r="M342" s="843" t="n"/>
      <c r="N342" s="845" t="inlineStr">
        <is>
          <t>Australia</t>
        </is>
      </c>
      <c r="O342" s="846" t="inlineStr">
        <is>
          <t>cib</t>
        </is>
      </c>
      <c r="P342" s="847" t="n">
        <v>1</v>
      </c>
      <c r="Q342" s="847" t="n"/>
      <c r="R342" s="847" t="inlineStr">
        <is>
          <t>V</t>
        </is>
      </c>
      <c r="S342" s="847" t="n"/>
      <c r="T342" s="847" t="n"/>
      <c r="U342" s="848" t="n">
        <v>151950</v>
      </c>
      <c r="V342" s="849" t="n">
        <v>151950</v>
      </c>
      <c r="W342" s="850" t="n">
        <v>0.12</v>
      </c>
      <c r="X342" s="847" t="n">
        <v>0.055</v>
      </c>
      <c r="Y342" s="850" t="n">
        <v>0.12</v>
      </c>
      <c r="Z342" s="851" t="n"/>
      <c r="AA342" s="850" t="n">
        <v>0.04</v>
      </c>
      <c r="AB342" s="852" t="n">
        <v>202853.25</v>
      </c>
      <c r="AE342" s="534">
        <f>IF(TRIM($B342)="","",IF(AND(N($P342)&gt;0,N($P342)&lt;1),N($AB342)*N($P342),N($AB342)))</f>
        <v>202853.25</v>
      </c>
      <c r="AF342" s="534" t="str">
        <f>IF(TRIM($B342)="","",IF(OR(ISNUMBER(SEARCH("vacant",$B342)),ISNUMBER(SEARCH("ring fenced",$B342)),LOWER(TRIM($B342))="remove"),"Vacant","Filled"))</f>
        <v>Vacant</v>
      </c>
      <c r="AG342" s="534" t="b">
        <f>IF(TRIM($B342)="","",--ISNUMBER(SEARCH("ring fenced",$B342)))</f>
        <v>0</v>
      </c>
      <c r="AH342" s="534" t="str">
        <f>IF(TRIM($B342)="","",IF(COUNTIFS(Lists!$AN$2:$AN$22,TRIM($B342)&amp;" | "&amp;TRIM($D342),Lists!$AO$2:$AO$22,"&lt;&gt;"),INDEX(Lists!$AO$2:$AO$22,MATCH(TRIM($B342)&amp;" | "&amp;TRIM($D342),Lists!$AN$2:$AN$22,0)),IF(COUNTIF(Lists!$AR$2:$AR$3,$AJ342),"TDD Cyber",IF(AND(LEFT($AJ342,4)="EGI ",ISNUMBER(MATCH(TRIM(MID($AJ342,5,99)),Lists!$AS$2:$AS$12,0))),TRIM(MID($AJ342,5,99)),IF(AND(LEFT($AJ342,4)="EGI ",ISNUMBER(MATCH(TRIM(MID($AJ342,5,99)),Lists!$T$2:$T$21,0))),INDEX(Lists!$U$2:$U$21,MATCH(TRIM(MID($AJ342,5,99)),Lists!$T$2:$T$21,0)),IF(OR(TRIM($J342)="",UPPER(TRIM($J342))="NA"),IFERROR(INDEX(Lists!$R$2:$R$9,MATCH(TRIM($G342),Lists!$Q$2:$Q$9,0)),"UNMAPPED"),IFERROR(INDEX(Lists!$U$2:$U$21,MATCH(TRIM($J342),Lists!$T$2:$T$21,0)),IFERROR(INDEX(Lists!$R$2:$R$9,MATCH(TRIM($G342),Lists!$Q$2:$Q$9,0)),"UNMAPPED"))))))))</f>
        <v>COE BP&amp;T</v>
      </c>
      <c r="AI342" s="534" t="b">
        <f>IF(TRIM($B342)="","",--OR(TRIM($L342)="Leadership",TRIM($K342)="Leadership"))</f>
        <v>0</v>
      </c>
      <c r="AJ342" s="534" t="str">
        <f>IF(TRIM($B342)="","",IF(COUNTIFS(Lists!$AN$2:$AN$22,TRIM($B342)&amp;" | "&amp;TRIM($D342),Lists!$AP$2:$AP$22,"&lt;&gt;"),INDEX(Lists!$AP$2:$AP$22,MATCH(TRIM($B342)&amp;" | "&amp;TRIM($D342),Lists!$AN$2:$AN$22,0)),IF($AI342=1,"Leadership",IFERROR(INDEX(Lists!$X$2:$X$21,MATCH(TRIM($L342),Lists!$W$2:$W$21,0)),IF(OR(TRIM($L342)="",LOWER(TRIM($L342))="na"),IF(TRIM($H342)="","Unassigned",TRIM($H342)),TRIM($L342))))))</f>
        <v>Transformation</v>
      </c>
      <c r="AK342" s="534" t="str">
        <f>IF(TRIM($B342)="","",IF(COUNTIFS(Lists!$AN$2:$AN$22,TRIM($B342)&amp;" | "&amp;TRIM($D342),Lists!$AQ$2:$AQ$22,"&lt;&gt;"),INDEX(Lists!$AQ$2:$AQ$22,MATCH(TRIM($B342)&amp;" | "&amp;TRIM($D342),Lists!$AN$2:$AN$22,0)),IF(COUNTIF(Lists!$AF$2:$AF$8,$AJ342),$AJ342,IF(ISNUMBER(SEARCH("head of ",$D342)),"Head of Technology",IF(ISNUMBER(SEARCH("TDD BP",$D342)),"Business Partner",IF(OR(ISNUMBER(SEARCH("domain architect",$D342)),ISNUMBER(SEARCH("enterprise architect",$D342))),"Domain Architect",IF(ISNUMBER(SEARCH("delivery man",$D342)),"Delivery Manager",IF(OR(ISNUMBER(SEARCH("technology manager",$D342)),ISNUMBER(SEARCH("technology manger",$D342)),ISNUMBER(SEARCH("tech manager",$D342))),"Technology Manager","Squad"))))))))</f>
        <v>Squad</v>
      </c>
      <c r="AL342" s="534" t="str">
        <f>IF(TRIM($B342)="","",IF(AND($AM342=1,LEFT($AJ342,4)&lt;&gt;"EGI ",$AJ342&lt;&gt;"EGI"),IFERROR(INDEX(Lists!$Z$2:$Z$20,MATCH($AH342,Lists!$Y$2:$Y$20,0)),"EGI "&amp;$AH342),IF(COUNTIF(Lists!$AU$2:$AU$10,$AJ342),$AJ342,IF(OR(LEFT($AH342,3)="COE",$AH342="EGI"),$AJ342,IF($AK342&lt;&gt;"Squad",$AK342,$AJ342)))))</f>
        <v>Transformation</v>
      </c>
      <c r="AM342" s="534" t="b">
        <f>IF(TRIM($B342)="","",--(UPPER(TRIM($K342))="EGI"))</f>
        <v>0</v>
      </c>
      <c r="AQ342" s="841" t="inlineStr">
        <is>
          <t>R0341</t>
        </is>
      </c>
      <c r="AZ342" s="841" t="n"/>
    </row>
    <row r="343" ht="18" customHeight="1" s="535">
      <c r="A343" s="842" t="n">
        <v>116032</v>
      </c>
      <c r="B343" s="843" t="inlineStr">
        <is>
          <t>Abdul Ghaffar</t>
        </is>
      </c>
      <c r="C343" s="842" t="n">
        <v>116032</v>
      </c>
      <c r="D343" s="843" t="inlineStr">
        <is>
          <t>Applications Specialist - Demand Planning</t>
        </is>
      </c>
      <c r="E343" s="843" t="inlineStr">
        <is>
          <t>Sai Konka</t>
        </is>
      </c>
      <c r="F343" s="843" t="inlineStr">
        <is>
          <t>Applications &amp; Analytics Manager</t>
        </is>
      </c>
      <c r="G343" s="844" t="inlineStr">
        <is>
          <t>Strategy, Architecture &amp; Data</t>
        </is>
      </c>
      <c r="H343" s="843" t="inlineStr">
        <is>
          <t>Group Data</t>
        </is>
      </c>
      <c r="I343" s="843" t="inlineStr">
        <is>
          <t>Data Engineering &amp; Platforms</t>
        </is>
      </c>
      <c r="J343" s="843" t="inlineStr">
        <is>
          <t>Enterprise Data</t>
        </is>
      </c>
      <c r="K343" s="843" t="inlineStr">
        <is>
          <t>EGI</t>
        </is>
      </c>
      <c r="L343" s="843" t="inlineStr">
        <is>
          <t>Reporting &amp; Analytics</t>
        </is>
      </c>
      <c r="M343" s="843" t="n"/>
      <c r="N343" s="845" t="inlineStr">
        <is>
          <t>Australia</t>
        </is>
      </c>
      <c r="O343" s="846" t="inlineStr">
        <is>
          <t>CIB</t>
        </is>
      </c>
      <c r="P343" s="847" t="n">
        <v>1</v>
      </c>
      <c r="Q343" s="847" t="n"/>
      <c r="R343" s="847" t="inlineStr">
        <is>
          <t>Permanent - Full Time</t>
        </is>
      </c>
      <c r="S343" s="847" t="n"/>
      <c r="T343" s="847" t="n"/>
      <c r="U343" s="848" t="n">
        <v>180000</v>
      </c>
      <c r="V343" s="849" t="n">
        <v>180000</v>
      </c>
      <c r="W343" s="850" t="n">
        <v>0.12</v>
      </c>
      <c r="X343" s="847" t="n">
        <v>0.055</v>
      </c>
      <c r="Y343" s="850" t="n">
        <v>0.12</v>
      </c>
      <c r="Z343" s="851" t="n"/>
      <c r="AA343" s="850" t="n">
        <v>0.04</v>
      </c>
      <c r="AB343" s="852" t="n">
        <v>240300</v>
      </c>
      <c r="AE343" s="534">
        <f>IF(TRIM($B343)="","",IF(AND(N($P343)&gt;0,N($P343)&lt;1),N($AB343)*N($P343),N($AB343)))</f>
        <v>240300</v>
      </c>
      <c r="AF343" s="534" t="str">
        <f>IF(TRIM($B343)="","",IF(OR(ISNUMBER(SEARCH("vacant",$B343)),ISNUMBER(SEARCH("ring fenced",$B343)),LOWER(TRIM($B343))="remove"),"Vacant","Filled"))</f>
        <v>Filled</v>
      </c>
      <c r="AG343" s="534" t="b">
        <f>IF(TRIM($B343)="","",--ISNUMBER(SEARCH("ring fenced",$B343)))</f>
        <v>0</v>
      </c>
      <c r="AH343" s="534" t="str">
        <f>IF(TRIM($B343)="","",IF(COUNTIFS(Lists!$AN$2:$AN$22,TRIM($B343)&amp;" | "&amp;TRIM($D343),Lists!$AO$2:$AO$22,"&lt;&gt;"),INDEX(Lists!$AO$2:$AO$22,MATCH(TRIM($B343)&amp;" | "&amp;TRIM($D343),Lists!$AN$2:$AN$22,0)),IF(COUNTIF(Lists!$AR$2:$AR$3,$AJ343),"TDD Cyber",IF(AND(LEFT($AJ343,4)="EGI ",ISNUMBER(MATCH(TRIM(MID($AJ343,5,99)),Lists!$AS$2:$AS$12,0))),TRIM(MID($AJ343,5,99)),IF(AND(LEFT($AJ343,4)="EGI ",ISNUMBER(MATCH(TRIM(MID($AJ343,5,99)),Lists!$T$2:$T$21,0))),INDEX(Lists!$U$2:$U$21,MATCH(TRIM(MID($AJ343,5,99)),Lists!$T$2:$T$21,0)),IF(OR(TRIM($J343)="",UPPER(TRIM($J343))="NA"),IFERROR(INDEX(Lists!$R$2:$R$9,MATCH(TRIM($G343),Lists!$Q$2:$Q$9,0)),"UNMAPPED"),IFERROR(INDEX(Lists!$U$2:$U$21,MATCH(TRIM($J343),Lists!$T$2:$T$21,0)),IFERROR(INDEX(Lists!$R$2:$R$9,MATCH(TRIM($G343),Lists!$Q$2:$Q$9,0)),"UNMAPPED"))))))))</f>
        <v>Enterprise Data</v>
      </c>
      <c r="AI343" s="534" t="b">
        <f>IF(TRIM($B343)="","",--OR(TRIM($L343)="Leadership",TRIM($K343)="Leadership"))</f>
        <v>0</v>
      </c>
      <c r="AJ343" s="534" t="str">
        <f>IF(TRIM($B343)="","",IF(COUNTIFS(Lists!$AN$2:$AN$22,TRIM($B343)&amp;" | "&amp;TRIM($D343),Lists!$AP$2:$AP$22,"&lt;&gt;"),INDEX(Lists!$AP$2:$AP$22,MATCH(TRIM($B343)&amp;" | "&amp;TRIM($D343),Lists!$AN$2:$AN$22,0)),IF($AI343=1,"Leadership",IFERROR(INDEX(Lists!$X$2:$X$21,MATCH(TRIM($L343),Lists!$W$2:$W$21,0)),IF(OR(TRIM($L343)="",LOWER(TRIM($L343))="na"),IF(TRIM($H343)="","Unassigned",TRIM($H343)),TRIM($L343))))))</f>
        <v>Reporting &amp; Analytics</v>
      </c>
      <c r="AK343" s="534" t="str">
        <f>IF(TRIM($B343)="","",IF(COUNTIFS(Lists!$AN$2:$AN$22,TRIM($B343)&amp;" | "&amp;TRIM($D343),Lists!$AQ$2:$AQ$22,"&lt;&gt;"),INDEX(Lists!$AQ$2:$AQ$22,MATCH(TRIM($B343)&amp;" | "&amp;TRIM($D343),Lists!$AN$2:$AN$22,0)),IF(COUNTIF(Lists!$AF$2:$AF$8,$AJ343),$AJ343,IF(ISNUMBER(SEARCH("head of ",$D343)),"Head of Technology",IF(ISNUMBER(SEARCH("TDD BP",$D343)),"Business Partner",IF(OR(ISNUMBER(SEARCH("domain architect",$D343)),ISNUMBER(SEARCH("enterprise architect",$D343))),"Domain Architect",IF(ISNUMBER(SEARCH("delivery man",$D343)),"Delivery Manager",IF(OR(ISNUMBER(SEARCH("technology manager",$D343)),ISNUMBER(SEARCH("technology manger",$D343)),ISNUMBER(SEARCH("tech manager",$D343))),"Technology Manager","Squad"))))))))</f>
        <v>Squad</v>
      </c>
      <c r="AL343" s="534" t="str">
        <f>IF(TRIM($B343)="","",IF(AND($AM343=1,LEFT($AJ343,4)&lt;&gt;"EGI ",$AJ343&lt;&gt;"EGI"),IFERROR(INDEX(Lists!$Z$2:$Z$20,MATCH($AH343,Lists!$Y$2:$Y$20,0)),"EGI "&amp;$AH343),IF(COUNTIF(Lists!$AU$2:$AU$10,$AJ343),$AJ343,IF(OR(LEFT($AH343,3)="COE",$AH343="EGI"),$AJ343,IF($AK343&lt;&gt;"Squad",$AK343,$AJ343)))))</f>
        <v>EGI Ent Data</v>
      </c>
      <c r="AM343" s="534" t="b">
        <f>IF(TRIM($B343)="","",--(UPPER(TRIM($K343))="EGI"))</f>
        <v>1</v>
      </c>
      <c r="AQ343" s="841" t="inlineStr">
        <is>
          <t>R0342</t>
        </is>
      </c>
      <c r="AZ343" s="841" t="n"/>
    </row>
    <row r="344" ht="18" customHeight="1" s="535">
      <c r="A344" s="842" t="n">
        <v>83092</v>
      </c>
      <c r="B344" s="843" t="inlineStr">
        <is>
          <t>Rakshit Kaul</t>
        </is>
      </c>
      <c r="C344" s="842" t="n">
        <v>83092</v>
      </c>
      <c r="D344" s="843" t="inlineStr">
        <is>
          <t>Applications Specialist</t>
        </is>
      </c>
      <c r="E344" s="843" t="inlineStr">
        <is>
          <t>Sai Konka</t>
        </is>
      </c>
      <c r="F344" s="843" t="inlineStr">
        <is>
          <t>Applications &amp; Analytics Manager</t>
        </is>
      </c>
      <c r="G344" s="844" t="inlineStr">
        <is>
          <t>Strategy, Architecture &amp; Data</t>
        </is>
      </c>
      <c r="H344" s="843" t="inlineStr">
        <is>
          <t>Group Data</t>
        </is>
      </c>
      <c r="I344" s="843" t="inlineStr">
        <is>
          <t>Data Engineering &amp; Platforms</t>
        </is>
      </c>
      <c r="J344" s="843" t="inlineStr">
        <is>
          <t>Enterprise Data</t>
        </is>
      </c>
      <c r="K344" s="843" t="inlineStr">
        <is>
          <t>EGI</t>
        </is>
      </c>
      <c r="L344" s="843" t="inlineStr">
        <is>
          <t>Reporting &amp; Analytics</t>
        </is>
      </c>
      <c r="M344" s="843" t="n"/>
      <c r="N344" s="845" t="inlineStr">
        <is>
          <t>Australia</t>
        </is>
      </c>
      <c r="O344" s="846" t="inlineStr">
        <is>
          <t>CIB</t>
        </is>
      </c>
      <c r="P344" s="847" t="n">
        <v>1</v>
      </c>
      <c r="Q344" s="846" t="n"/>
      <c r="R344" s="847" t="inlineStr">
        <is>
          <t>Permanent - Full Time</t>
        </is>
      </c>
      <c r="S344" s="847" t="n"/>
      <c r="T344" s="847" t="n"/>
      <c r="U344" s="848" t="n">
        <v>178100</v>
      </c>
      <c r="V344" s="849" t="n">
        <v>178100</v>
      </c>
      <c r="W344" s="850" t="n">
        <v>0.12</v>
      </c>
      <c r="X344" s="847" t="n">
        <v>0.055</v>
      </c>
      <c r="Y344" s="850" t="n">
        <v>0.12</v>
      </c>
      <c r="Z344" s="851" t="n"/>
      <c r="AA344" s="850" t="n">
        <v>0.04</v>
      </c>
      <c r="AB344" s="852" t="n">
        <v>237763.5</v>
      </c>
      <c r="AE344" s="534">
        <f>IF(TRIM($B344)="","",IF(AND(N($P344)&gt;0,N($P344)&lt;1),N($AB344)*N($P344),N($AB344)))</f>
        <v>237763.5</v>
      </c>
      <c r="AF344" s="534" t="str">
        <f>IF(TRIM($B344)="","",IF(OR(ISNUMBER(SEARCH("vacant",$B344)),ISNUMBER(SEARCH("ring fenced",$B344)),LOWER(TRIM($B344))="remove"),"Vacant","Filled"))</f>
        <v>Filled</v>
      </c>
      <c r="AG344" s="534" t="b">
        <f>IF(TRIM($B344)="","",--ISNUMBER(SEARCH("ring fenced",$B344)))</f>
        <v>0</v>
      </c>
      <c r="AH344" s="534" t="str">
        <f>IF(TRIM($B344)="","",IF(COUNTIFS(Lists!$AN$2:$AN$22,TRIM($B344)&amp;" | "&amp;TRIM($D344),Lists!$AO$2:$AO$22,"&lt;&gt;"),INDEX(Lists!$AO$2:$AO$22,MATCH(TRIM($B344)&amp;" | "&amp;TRIM($D344),Lists!$AN$2:$AN$22,0)),IF(COUNTIF(Lists!$AR$2:$AR$3,$AJ344),"TDD Cyber",IF(AND(LEFT($AJ344,4)="EGI ",ISNUMBER(MATCH(TRIM(MID($AJ344,5,99)),Lists!$AS$2:$AS$12,0))),TRIM(MID($AJ344,5,99)),IF(AND(LEFT($AJ344,4)="EGI ",ISNUMBER(MATCH(TRIM(MID($AJ344,5,99)),Lists!$T$2:$T$21,0))),INDEX(Lists!$U$2:$U$21,MATCH(TRIM(MID($AJ344,5,99)),Lists!$T$2:$T$21,0)),IF(OR(TRIM($J344)="",UPPER(TRIM($J344))="NA"),IFERROR(INDEX(Lists!$R$2:$R$9,MATCH(TRIM($G344),Lists!$Q$2:$Q$9,0)),"UNMAPPED"),IFERROR(INDEX(Lists!$U$2:$U$21,MATCH(TRIM($J344),Lists!$T$2:$T$21,0)),IFERROR(INDEX(Lists!$R$2:$R$9,MATCH(TRIM($G344),Lists!$Q$2:$Q$9,0)),"UNMAPPED"))))))))</f>
        <v>Enterprise Data</v>
      </c>
      <c r="AI344" s="534" t="b">
        <f>IF(TRIM($B344)="","",--OR(TRIM($L344)="Leadership",TRIM($K344)="Leadership"))</f>
        <v>0</v>
      </c>
      <c r="AJ344" s="534" t="str">
        <f>IF(TRIM($B344)="","",IF(COUNTIFS(Lists!$AN$2:$AN$22,TRIM($B344)&amp;" | "&amp;TRIM($D344),Lists!$AP$2:$AP$22,"&lt;&gt;"),INDEX(Lists!$AP$2:$AP$22,MATCH(TRIM($B344)&amp;" | "&amp;TRIM($D344),Lists!$AN$2:$AN$22,0)),IF($AI344=1,"Leadership",IFERROR(INDEX(Lists!$X$2:$X$21,MATCH(TRIM($L344),Lists!$W$2:$W$21,0)),IF(OR(TRIM($L344)="",LOWER(TRIM($L344))="na"),IF(TRIM($H344)="","Unassigned",TRIM($H344)),TRIM($L344))))))</f>
        <v>Reporting &amp; Analytics</v>
      </c>
      <c r="AK344" s="534" t="str">
        <f>IF(TRIM($B344)="","",IF(COUNTIFS(Lists!$AN$2:$AN$22,TRIM($B344)&amp;" | "&amp;TRIM($D344),Lists!$AQ$2:$AQ$22,"&lt;&gt;"),INDEX(Lists!$AQ$2:$AQ$22,MATCH(TRIM($B344)&amp;" | "&amp;TRIM($D344),Lists!$AN$2:$AN$22,0)),IF(COUNTIF(Lists!$AF$2:$AF$8,$AJ344),$AJ344,IF(ISNUMBER(SEARCH("head of ",$D344)),"Head of Technology",IF(ISNUMBER(SEARCH("TDD BP",$D344)),"Business Partner",IF(OR(ISNUMBER(SEARCH("domain architect",$D344)),ISNUMBER(SEARCH("enterprise architect",$D344))),"Domain Architect",IF(ISNUMBER(SEARCH("delivery man",$D344)),"Delivery Manager",IF(OR(ISNUMBER(SEARCH("technology manager",$D344)),ISNUMBER(SEARCH("technology manger",$D344)),ISNUMBER(SEARCH("tech manager",$D344))),"Technology Manager","Squad"))))))))</f>
        <v>Squad</v>
      </c>
      <c r="AL344" s="534" t="str">
        <f>IF(TRIM($B344)="","",IF(AND($AM344=1,LEFT($AJ344,4)&lt;&gt;"EGI ",$AJ344&lt;&gt;"EGI"),IFERROR(INDEX(Lists!$Z$2:$Z$20,MATCH($AH344,Lists!$Y$2:$Y$20,0)),"EGI "&amp;$AH344),IF(COUNTIF(Lists!$AU$2:$AU$10,$AJ344),$AJ344,IF(OR(LEFT($AH344,3)="COE",$AH344="EGI"),$AJ344,IF($AK344&lt;&gt;"Squad",$AK344,$AJ344)))))</f>
        <v>EGI Ent Data</v>
      </c>
      <c r="AM344" s="534" t="b">
        <f>IF(TRIM($B344)="","",--(UPPER(TRIM($K344))="EGI"))</f>
        <v>1</v>
      </c>
      <c r="AQ344" s="841" t="inlineStr">
        <is>
          <t>R0343</t>
        </is>
      </c>
      <c r="AZ344" s="841" t="n"/>
    </row>
    <row r="345" ht="18" customHeight="1" s="535">
      <c r="A345" s="842" t="n">
        <v>80549</v>
      </c>
      <c r="B345" s="843" t="inlineStr">
        <is>
          <t>Steve Murray</t>
        </is>
      </c>
      <c r="C345" s="842" t="n">
        <v>80549</v>
      </c>
      <c r="D345" s="843" t="inlineStr">
        <is>
          <t>Applications Specialist</t>
        </is>
      </c>
      <c r="E345" s="843" t="inlineStr">
        <is>
          <t>Sai Konka</t>
        </is>
      </c>
      <c r="F345" s="843" t="inlineStr">
        <is>
          <t>Applications &amp; Analytics Manager</t>
        </is>
      </c>
      <c r="G345" s="844" t="inlineStr">
        <is>
          <t>Strategy, Architecture &amp; Data</t>
        </is>
      </c>
      <c r="H345" s="843" t="inlineStr">
        <is>
          <t>Group Data</t>
        </is>
      </c>
      <c r="I345" s="843" t="inlineStr">
        <is>
          <t>Data Engineering &amp; Platforms</t>
        </is>
      </c>
      <c r="J345" s="843" t="inlineStr">
        <is>
          <t>Enterprise Data</t>
        </is>
      </c>
      <c r="K345" s="843" t="inlineStr">
        <is>
          <t>EGI</t>
        </is>
      </c>
      <c r="L345" s="843" t="inlineStr">
        <is>
          <t>Reporting &amp; Analytics</t>
        </is>
      </c>
      <c r="M345" s="843" t="n"/>
      <c r="N345" s="845" t="inlineStr">
        <is>
          <t>Australia</t>
        </is>
      </c>
      <c r="O345" s="846" t="inlineStr">
        <is>
          <t>CIB</t>
        </is>
      </c>
      <c r="P345" s="847" t="n">
        <v>1</v>
      </c>
      <c r="Q345" s="846" t="n"/>
      <c r="R345" s="847" t="inlineStr">
        <is>
          <t>Permanent - Full Time</t>
        </is>
      </c>
      <c r="S345" s="847" t="n"/>
      <c r="T345" s="847" t="n"/>
      <c r="U345" s="848" t="n">
        <v>182000</v>
      </c>
      <c r="V345" s="849" t="n">
        <v>182000</v>
      </c>
      <c r="W345" s="850" t="n">
        <v>0.12</v>
      </c>
      <c r="X345" s="847" t="n">
        <v>0.055</v>
      </c>
      <c r="Y345" s="850" t="n">
        <v>0.12</v>
      </c>
      <c r="Z345" s="851" t="n"/>
      <c r="AA345" s="850" t="n">
        <v>0.04</v>
      </c>
      <c r="AB345" s="852" t="n">
        <v>242970</v>
      </c>
      <c r="AE345" s="534">
        <f>IF(TRIM($B345)="","",IF(AND(N($P345)&gt;0,N($P345)&lt;1),N($AB345)*N($P345),N($AB345)))</f>
        <v>242970</v>
      </c>
      <c r="AF345" s="534" t="str">
        <f>IF(TRIM($B345)="","",IF(OR(ISNUMBER(SEARCH("vacant",$B345)),ISNUMBER(SEARCH("ring fenced",$B345)),LOWER(TRIM($B345))="remove"),"Vacant","Filled"))</f>
        <v>Filled</v>
      </c>
      <c r="AG345" s="534" t="b">
        <f>IF(TRIM($B345)="","",--ISNUMBER(SEARCH("ring fenced",$B345)))</f>
        <v>0</v>
      </c>
      <c r="AH345" s="534" t="str">
        <f>IF(TRIM($B345)="","",IF(COUNTIFS(Lists!$AN$2:$AN$22,TRIM($B345)&amp;" | "&amp;TRIM($D345),Lists!$AO$2:$AO$22,"&lt;&gt;"),INDEX(Lists!$AO$2:$AO$22,MATCH(TRIM($B345)&amp;" | "&amp;TRIM($D345),Lists!$AN$2:$AN$22,0)),IF(COUNTIF(Lists!$AR$2:$AR$3,$AJ345),"TDD Cyber",IF(AND(LEFT($AJ345,4)="EGI ",ISNUMBER(MATCH(TRIM(MID($AJ345,5,99)),Lists!$AS$2:$AS$12,0))),TRIM(MID($AJ345,5,99)),IF(AND(LEFT($AJ345,4)="EGI ",ISNUMBER(MATCH(TRIM(MID($AJ345,5,99)),Lists!$T$2:$T$21,0))),INDEX(Lists!$U$2:$U$21,MATCH(TRIM(MID($AJ345,5,99)),Lists!$T$2:$T$21,0)),IF(OR(TRIM($J345)="",UPPER(TRIM($J345))="NA"),IFERROR(INDEX(Lists!$R$2:$R$9,MATCH(TRIM($G345),Lists!$Q$2:$Q$9,0)),"UNMAPPED"),IFERROR(INDEX(Lists!$U$2:$U$21,MATCH(TRIM($J345),Lists!$T$2:$T$21,0)),IFERROR(INDEX(Lists!$R$2:$R$9,MATCH(TRIM($G345),Lists!$Q$2:$Q$9,0)),"UNMAPPED"))))))))</f>
        <v>Enterprise Data</v>
      </c>
      <c r="AI345" s="534" t="b">
        <f>IF(TRIM($B345)="","",--OR(TRIM($L345)="Leadership",TRIM($K345)="Leadership"))</f>
        <v>0</v>
      </c>
      <c r="AJ345" s="534" t="str">
        <f>IF(TRIM($B345)="","",IF(COUNTIFS(Lists!$AN$2:$AN$22,TRIM($B345)&amp;" | "&amp;TRIM($D345),Lists!$AP$2:$AP$22,"&lt;&gt;"),INDEX(Lists!$AP$2:$AP$22,MATCH(TRIM($B345)&amp;" | "&amp;TRIM($D345),Lists!$AN$2:$AN$22,0)),IF($AI345=1,"Leadership",IFERROR(INDEX(Lists!$X$2:$X$21,MATCH(TRIM($L345),Lists!$W$2:$W$21,0)),IF(OR(TRIM($L345)="",LOWER(TRIM($L345))="na"),IF(TRIM($H345)="","Unassigned",TRIM($H345)),TRIM($L345))))))</f>
        <v>Reporting &amp; Analytics</v>
      </c>
      <c r="AK345" s="534" t="str">
        <f>IF(TRIM($B345)="","",IF(COUNTIFS(Lists!$AN$2:$AN$22,TRIM($B345)&amp;" | "&amp;TRIM($D345),Lists!$AQ$2:$AQ$22,"&lt;&gt;"),INDEX(Lists!$AQ$2:$AQ$22,MATCH(TRIM($B345)&amp;" | "&amp;TRIM($D345),Lists!$AN$2:$AN$22,0)),IF(COUNTIF(Lists!$AF$2:$AF$8,$AJ345),$AJ345,IF(ISNUMBER(SEARCH("head of ",$D345)),"Head of Technology",IF(ISNUMBER(SEARCH("TDD BP",$D345)),"Business Partner",IF(OR(ISNUMBER(SEARCH("domain architect",$D345)),ISNUMBER(SEARCH("enterprise architect",$D345))),"Domain Architect",IF(ISNUMBER(SEARCH("delivery man",$D345)),"Delivery Manager",IF(OR(ISNUMBER(SEARCH("technology manager",$D345)),ISNUMBER(SEARCH("technology manger",$D345)),ISNUMBER(SEARCH("tech manager",$D345))),"Technology Manager","Squad"))))))))</f>
        <v>Squad</v>
      </c>
      <c r="AL345" s="534" t="str">
        <f>IF(TRIM($B345)="","",IF(AND($AM345=1,LEFT($AJ345,4)&lt;&gt;"EGI ",$AJ345&lt;&gt;"EGI"),IFERROR(INDEX(Lists!$Z$2:$Z$20,MATCH($AH345,Lists!$Y$2:$Y$20,0)),"EGI "&amp;$AH345),IF(COUNTIF(Lists!$AU$2:$AU$10,$AJ345),$AJ345,IF(OR(LEFT($AH345,3)="COE",$AH345="EGI"),$AJ345,IF($AK345&lt;&gt;"Squad",$AK345,$AJ345)))))</f>
        <v>EGI Ent Data</v>
      </c>
      <c r="AM345" s="534" t="b">
        <f>IF(TRIM($B345)="","",--(UPPER(TRIM($K345))="EGI"))</f>
        <v>1</v>
      </c>
      <c r="AQ345" s="841" t="inlineStr">
        <is>
          <t>R0344</t>
        </is>
      </c>
      <c r="AZ345" s="841" t="n"/>
    </row>
    <row r="346" ht="18" customHeight="1" s="535">
      <c r="A346" s="842" t="n">
        <v>116845</v>
      </c>
      <c r="B346" s="843" t="inlineStr">
        <is>
          <t>Sudeer Pulpati</t>
        </is>
      </c>
      <c r="C346" s="842" t="n">
        <v>116845</v>
      </c>
      <c r="D346" s="843" t="inlineStr">
        <is>
          <t>Applications Specialist - Strategic Programs</t>
        </is>
      </c>
      <c r="E346" s="843" t="inlineStr">
        <is>
          <t>Sai Konka</t>
        </is>
      </c>
      <c r="F346" s="843" t="inlineStr">
        <is>
          <t>Applications &amp; Analytics Manager</t>
        </is>
      </c>
      <c r="G346" s="844" t="inlineStr">
        <is>
          <t>Strategy, Architecture &amp; Data</t>
        </is>
      </c>
      <c r="H346" s="843" t="inlineStr">
        <is>
          <t>Group Data</t>
        </is>
      </c>
      <c r="I346" s="843" t="inlineStr">
        <is>
          <t>Data Engineering &amp; Platforms</t>
        </is>
      </c>
      <c r="J346" s="843" t="inlineStr">
        <is>
          <t>Enterprise Data</t>
        </is>
      </c>
      <c r="K346" s="843" t="inlineStr">
        <is>
          <t>EGI</t>
        </is>
      </c>
      <c r="L346" s="843" t="inlineStr">
        <is>
          <t>Reporting &amp; Analytics</t>
        </is>
      </c>
      <c r="M346" s="843" t="n"/>
      <c r="N346" s="845" t="inlineStr">
        <is>
          <t>Australia</t>
        </is>
      </c>
      <c r="O346" s="846" t="inlineStr">
        <is>
          <t>CIB</t>
        </is>
      </c>
      <c r="P346" s="847" t="n">
        <v>1</v>
      </c>
      <c r="Q346" s="846" t="n"/>
      <c r="R346" s="847" t="inlineStr">
        <is>
          <t>Temporary - Full Time</t>
        </is>
      </c>
      <c r="S346" s="847" t="n"/>
      <c r="T346" s="847" t="n"/>
      <c r="U346" s="848" t="n">
        <v>170000</v>
      </c>
      <c r="V346" s="849" t="n">
        <v>170000</v>
      </c>
      <c r="W346" s="850" t="n">
        <v>0.12</v>
      </c>
      <c r="X346" s="847" t="n">
        <v>0.055</v>
      </c>
      <c r="Y346" s="850" t="n">
        <v>0.12</v>
      </c>
      <c r="Z346" s="851" t="n"/>
      <c r="AA346" s="850" t="n">
        <v>0.04</v>
      </c>
      <c r="AB346" s="852" t="n">
        <v>226950</v>
      </c>
      <c r="AE346" s="534">
        <f>IF(TRIM($B346)="","",IF(AND(N($P346)&gt;0,N($P346)&lt;1),N($AB346)*N($P346),N($AB346)))</f>
        <v>226950</v>
      </c>
      <c r="AF346" s="534" t="str">
        <f>IF(TRIM($B346)="","",IF(OR(ISNUMBER(SEARCH("vacant",$B346)),ISNUMBER(SEARCH("ring fenced",$B346)),LOWER(TRIM($B346))="remove"),"Vacant","Filled"))</f>
        <v>Filled</v>
      </c>
      <c r="AG346" s="534" t="b">
        <f>IF(TRIM($B346)="","",--ISNUMBER(SEARCH("ring fenced",$B346)))</f>
        <v>0</v>
      </c>
      <c r="AH346" s="534" t="str">
        <f>IF(TRIM($B346)="","",IF(COUNTIFS(Lists!$AN$2:$AN$22,TRIM($B346)&amp;" | "&amp;TRIM($D346),Lists!$AO$2:$AO$22,"&lt;&gt;"),INDEX(Lists!$AO$2:$AO$22,MATCH(TRIM($B346)&amp;" | "&amp;TRIM($D346),Lists!$AN$2:$AN$22,0)),IF(COUNTIF(Lists!$AR$2:$AR$3,$AJ346),"TDD Cyber",IF(AND(LEFT($AJ346,4)="EGI ",ISNUMBER(MATCH(TRIM(MID($AJ346,5,99)),Lists!$AS$2:$AS$12,0))),TRIM(MID($AJ346,5,99)),IF(AND(LEFT($AJ346,4)="EGI ",ISNUMBER(MATCH(TRIM(MID($AJ346,5,99)),Lists!$T$2:$T$21,0))),INDEX(Lists!$U$2:$U$21,MATCH(TRIM(MID($AJ346,5,99)),Lists!$T$2:$T$21,0)),IF(OR(TRIM($J346)="",UPPER(TRIM($J346))="NA"),IFERROR(INDEX(Lists!$R$2:$R$9,MATCH(TRIM($G346),Lists!$Q$2:$Q$9,0)),"UNMAPPED"),IFERROR(INDEX(Lists!$U$2:$U$21,MATCH(TRIM($J346),Lists!$T$2:$T$21,0)),IFERROR(INDEX(Lists!$R$2:$R$9,MATCH(TRIM($G346),Lists!$Q$2:$Q$9,0)),"UNMAPPED"))))))))</f>
        <v>Enterprise Data</v>
      </c>
      <c r="AI346" s="534" t="b">
        <f>IF(TRIM($B346)="","",--OR(TRIM($L346)="Leadership",TRIM($K346)="Leadership"))</f>
        <v>0</v>
      </c>
      <c r="AJ346" s="534" t="str">
        <f>IF(TRIM($B346)="","",IF(COUNTIFS(Lists!$AN$2:$AN$22,TRIM($B346)&amp;" | "&amp;TRIM($D346),Lists!$AP$2:$AP$22,"&lt;&gt;"),INDEX(Lists!$AP$2:$AP$22,MATCH(TRIM($B346)&amp;" | "&amp;TRIM($D346),Lists!$AN$2:$AN$22,0)),IF($AI346=1,"Leadership",IFERROR(INDEX(Lists!$X$2:$X$21,MATCH(TRIM($L346),Lists!$W$2:$W$21,0)),IF(OR(TRIM($L346)="",LOWER(TRIM($L346))="na"),IF(TRIM($H346)="","Unassigned",TRIM($H346)),TRIM($L346))))))</f>
        <v>Reporting &amp; Analytics</v>
      </c>
      <c r="AK346" s="534" t="str">
        <f>IF(TRIM($B346)="","",IF(COUNTIFS(Lists!$AN$2:$AN$22,TRIM($B346)&amp;" | "&amp;TRIM($D346),Lists!$AQ$2:$AQ$22,"&lt;&gt;"),INDEX(Lists!$AQ$2:$AQ$22,MATCH(TRIM($B346)&amp;" | "&amp;TRIM($D346),Lists!$AN$2:$AN$22,0)),IF(COUNTIF(Lists!$AF$2:$AF$8,$AJ346),$AJ346,IF(ISNUMBER(SEARCH("head of ",$D346)),"Head of Technology",IF(ISNUMBER(SEARCH("TDD BP",$D346)),"Business Partner",IF(OR(ISNUMBER(SEARCH("domain architect",$D346)),ISNUMBER(SEARCH("enterprise architect",$D346))),"Domain Architect",IF(ISNUMBER(SEARCH("delivery man",$D346)),"Delivery Manager",IF(OR(ISNUMBER(SEARCH("technology manager",$D346)),ISNUMBER(SEARCH("technology manger",$D346)),ISNUMBER(SEARCH("tech manager",$D346))),"Technology Manager","Squad"))))))))</f>
        <v>Squad</v>
      </c>
      <c r="AL346" s="534" t="str">
        <f>IF(TRIM($B346)="","",IF(AND($AM346=1,LEFT($AJ346,4)&lt;&gt;"EGI ",$AJ346&lt;&gt;"EGI"),IFERROR(INDEX(Lists!$Z$2:$Z$20,MATCH($AH346,Lists!$Y$2:$Y$20,0)),"EGI "&amp;$AH346),IF(COUNTIF(Lists!$AU$2:$AU$10,$AJ346),$AJ346,IF(OR(LEFT($AH346,3)="COE",$AH346="EGI"),$AJ346,IF($AK346&lt;&gt;"Squad",$AK346,$AJ346)))))</f>
        <v>EGI Ent Data</v>
      </c>
      <c r="AM346" s="534" t="b">
        <f>IF(TRIM($B346)="","",--(UPPER(TRIM($K346))="EGI"))</f>
        <v>1</v>
      </c>
      <c r="AQ346" s="841" t="inlineStr">
        <is>
          <t>R0345</t>
        </is>
      </c>
      <c r="AZ346" s="841" t="n"/>
    </row>
    <row r="347" ht="18" customHeight="1" s="535">
      <c r="A347" s="842" t="n">
        <v>82561</v>
      </c>
      <c r="B347" s="843" t="inlineStr">
        <is>
          <t>Jenny Chan</t>
        </is>
      </c>
      <c r="C347" s="842" t="n">
        <v>82561</v>
      </c>
      <c r="D347" s="843" t="inlineStr">
        <is>
          <t>Project Finance Lead</t>
        </is>
      </c>
      <c r="E347" s="843" t="inlineStr">
        <is>
          <t>Sam Chan</t>
        </is>
      </c>
      <c r="F347" s="843" t="inlineStr">
        <is>
          <t xml:space="preserve">Manager Risk &amp; Resilience </t>
        </is>
      </c>
      <c r="G347" s="844" t="inlineStr">
        <is>
          <t>Partnering &amp; Transformation</t>
        </is>
      </c>
      <c r="H347" s="843" t="inlineStr">
        <is>
          <t>Transformation</t>
        </is>
      </c>
      <c r="I347" s="843" t="inlineStr">
        <is>
          <t>NA</t>
        </is>
      </c>
      <c r="J347" s="843" t="inlineStr">
        <is>
          <t>NA</t>
        </is>
      </c>
      <c r="K347" s="843" t="inlineStr">
        <is>
          <t>NA</t>
        </is>
      </c>
      <c r="L347" s="843" t="inlineStr">
        <is>
          <t>NA</t>
        </is>
      </c>
      <c r="M347" s="843" t="n"/>
      <c r="N347" s="845" t="inlineStr">
        <is>
          <t>Australia</t>
        </is>
      </c>
      <c r="O347" s="846" t="inlineStr">
        <is>
          <t>CIB</t>
        </is>
      </c>
      <c r="P347" s="847" t="n">
        <v>1</v>
      </c>
      <c r="Q347" s="846" t="n"/>
      <c r="R347" s="847" t="inlineStr">
        <is>
          <t>Permanent - Full Time</t>
        </is>
      </c>
      <c r="S347" s="847" t="n"/>
      <c r="T347" s="847" t="n"/>
      <c r="U347" s="848" t="n">
        <v>154400</v>
      </c>
      <c r="V347" s="849" t="n">
        <v>154400</v>
      </c>
      <c r="W347" s="850" t="n">
        <v>0.12</v>
      </c>
      <c r="X347" s="847" t="n">
        <v>0.055</v>
      </c>
      <c r="Y347" s="850" t="n">
        <v>0.12</v>
      </c>
      <c r="Z347" s="851" t="n"/>
      <c r="AA347" s="850" t="n">
        <v>0.04</v>
      </c>
      <c r="AB347" s="852" t="n">
        <v>206124</v>
      </c>
      <c r="AE347" s="534">
        <f>IF(TRIM($B347)="","",IF(AND(N($P347)&gt;0,N($P347)&lt;1),N($AB347)*N($P347),N($AB347)))</f>
        <v>206124</v>
      </c>
      <c r="AF347" s="534" t="str">
        <f>IF(TRIM($B347)="","",IF(OR(ISNUMBER(SEARCH("vacant",$B347)),ISNUMBER(SEARCH("ring fenced",$B347)),LOWER(TRIM($B347))="remove"),"Vacant","Filled"))</f>
        <v>Filled</v>
      </c>
      <c r="AG347" s="534" t="b">
        <f>IF(TRIM($B347)="","",--ISNUMBER(SEARCH("ring fenced",$B347)))</f>
        <v>0</v>
      </c>
      <c r="AH347" s="534" t="str">
        <f>IF(TRIM($B347)="","",IF(COUNTIFS(Lists!$AN$2:$AN$22,TRIM($B347)&amp;" | "&amp;TRIM($D347),Lists!$AO$2:$AO$22,"&lt;&gt;"),INDEX(Lists!$AO$2:$AO$22,MATCH(TRIM($B347)&amp;" | "&amp;TRIM($D347),Lists!$AN$2:$AN$22,0)),IF(COUNTIF(Lists!$AR$2:$AR$3,$AJ347),"TDD Cyber",IF(AND(LEFT($AJ347,4)="EGI ",ISNUMBER(MATCH(TRIM(MID($AJ347,5,99)),Lists!$AS$2:$AS$12,0))),TRIM(MID($AJ347,5,99)),IF(AND(LEFT($AJ347,4)="EGI ",ISNUMBER(MATCH(TRIM(MID($AJ347,5,99)),Lists!$T$2:$T$21,0))),INDEX(Lists!$U$2:$U$21,MATCH(TRIM(MID($AJ347,5,99)),Lists!$T$2:$T$21,0)),IF(OR(TRIM($J347)="",UPPER(TRIM($J347))="NA"),IFERROR(INDEX(Lists!$R$2:$R$9,MATCH(TRIM($G347),Lists!$Q$2:$Q$9,0)),"UNMAPPED"),IFERROR(INDEX(Lists!$U$2:$U$21,MATCH(TRIM($J347),Lists!$T$2:$T$21,0)),IFERROR(INDEX(Lists!$R$2:$R$9,MATCH(TRIM($G347),Lists!$Q$2:$Q$9,0)),"UNMAPPED"))))))))</f>
        <v>COE BP&amp;T</v>
      </c>
      <c r="AI347" s="534" t="b">
        <f>IF(TRIM($B347)="","",--OR(TRIM($L347)="Leadership",TRIM($K347)="Leadership"))</f>
        <v>0</v>
      </c>
      <c r="AJ347" s="534" t="str">
        <f>IF(TRIM($B347)="","",IF(COUNTIFS(Lists!$AN$2:$AN$22,TRIM($B347)&amp;" | "&amp;TRIM($D347),Lists!$AP$2:$AP$22,"&lt;&gt;"),INDEX(Lists!$AP$2:$AP$22,MATCH(TRIM($B347)&amp;" | "&amp;TRIM($D347),Lists!$AN$2:$AN$22,0)),IF($AI347=1,"Leadership",IFERROR(INDEX(Lists!$X$2:$X$21,MATCH(TRIM($L347),Lists!$W$2:$W$21,0)),IF(OR(TRIM($L347)="",LOWER(TRIM($L347))="na"),IF(TRIM($H347)="","Unassigned",TRIM($H347)),TRIM($L347))))))</f>
        <v>Transformation</v>
      </c>
      <c r="AK347" s="534" t="str">
        <f>IF(TRIM($B347)="","",IF(COUNTIFS(Lists!$AN$2:$AN$22,TRIM($B347)&amp;" | "&amp;TRIM($D347),Lists!$AQ$2:$AQ$22,"&lt;&gt;"),INDEX(Lists!$AQ$2:$AQ$22,MATCH(TRIM($B347)&amp;" | "&amp;TRIM($D347),Lists!$AN$2:$AN$22,0)),IF(COUNTIF(Lists!$AF$2:$AF$8,$AJ347),$AJ347,IF(ISNUMBER(SEARCH("head of ",$D347)),"Head of Technology",IF(ISNUMBER(SEARCH("TDD BP",$D347)),"Business Partner",IF(OR(ISNUMBER(SEARCH("domain architect",$D347)),ISNUMBER(SEARCH("enterprise architect",$D347))),"Domain Architect",IF(ISNUMBER(SEARCH("delivery man",$D347)),"Delivery Manager",IF(OR(ISNUMBER(SEARCH("technology manager",$D347)),ISNUMBER(SEARCH("technology manger",$D347)),ISNUMBER(SEARCH("tech manager",$D347))),"Technology Manager","Squad"))))))))</f>
        <v>Squad</v>
      </c>
      <c r="AL347" s="534" t="str">
        <f>IF(TRIM($B347)="","",IF(AND($AM347=1,LEFT($AJ347,4)&lt;&gt;"EGI ",$AJ347&lt;&gt;"EGI"),IFERROR(INDEX(Lists!$Z$2:$Z$20,MATCH($AH347,Lists!$Y$2:$Y$20,0)),"EGI "&amp;$AH347),IF(COUNTIF(Lists!$AU$2:$AU$10,$AJ347),$AJ347,IF(OR(LEFT($AH347,3)="COE",$AH347="EGI"),$AJ347,IF($AK347&lt;&gt;"Squad",$AK347,$AJ347)))))</f>
        <v>Transformation</v>
      </c>
      <c r="AM347" s="534" t="b">
        <f>IF(TRIM($B347)="","",--(UPPER(TRIM($K347))="EGI"))</f>
        <v>0</v>
      </c>
      <c r="AQ347" s="841" t="inlineStr">
        <is>
          <t>R0346</t>
        </is>
      </c>
      <c r="AZ347" s="841" t="n"/>
    </row>
    <row r="348" ht="18" customHeight="1" s="535">
      <c r="A348" s="842" t="n">
        <v>115531</v>
      </c>
      <c r="B348" s="843" t="inlineStr">
        <is>
          <t>Lynn Yiew</t>
        </is>
      </c>
      <c r="C348" s="842" t="n">
        <v>115531</v>
      </c>
      <c r="D348" s="843" t="inlineStr">
        <is>
          <t>Data Governance Specialist</t>
        </is>
      </c>
      <c r="E348" s="843" t="inlineStr">
        <is>
          <t>Sanjay Tikoo</t>
        </is>
      </c>
      <c r="F348" s="843" t="inlineStr">
        <is>
          <t>Data Capability Manager</t>
        </is>
      </c>
      <c r="G348" s="844" t="inlineStr">
        <is>
          <t>Strategy, Architecture &amp; Data</t>
        </is>
      </c>
      <c r="H348" s="843" t="inlineStr">
        <is>
          <t>Group Data</t>
        </is>
      </c>
      <c r="I348" s="843" t="inlineStr">
        <is>
          <t>Data Capability</t>
        </is>
      </c>
      <c r="J348" s="843" t="n"/>
      <c r="K348" s="843" t="n"/>
      <c r="L348" s="843" t="n"/>
      <c r="M348" s="843" t="n"/>
      <c r="N348" s="845" t="inlineStr">
        <is>
          <t>NZ</t>
        </is>
      </c>
      <c r="O348" s="846" t="inlineStr">
        <is>
          <t>CIB</t>
        </is>
      </c>
      <c r="P348" s="847" t="n">
        <v>1</v>
      </c>
      <c r="Q348" s="847" t="n"/>
      <c r="R348" s="847" t="inlineStr">
        <is>
          <t>Permanent - Full Time</t>
        </is>
      </c>
      <c r="S348" s="847" t="n"/>
      <c r="T348" s="847" t="n"/>
      <c r="U348" s="848" t="n">
        <v>129760</v>
      </c>
      <c r="V348" s="849" t="n">
        <v>119379.2</v>
      </c>
      <c r="W348" s="850" t="n">
        <v>0.15</v>
      </c>
      <c r="X348" s="847" t="n"/>
      <c r="Y348" s="850" t="n">
        <v>0.05</v>
      </c>
      <c r="Z348" s="851" t="n">
        <v>2910</v>
      </c>
      <c r="AA348" s="850" t="n">
        <v>0.03</v>
      </c>
      <c r="AB348" s="852" t="n">
        <v>149746.416</v>
      </c>
      <c r="AC348" s="534" t="n">
        <v>113582</v>
      </c>
      <c r="AE348" s="534">
        <f>IF(TRIM($B348)="","",IF(AND(N($P348)&gt;0,N($P348)&lt;1),N($AB348)*N($P348),N($AB348)))</f>
        <v>149746.416</v>
      </c>
      <c r="AF348" s="534" t="str">
        <f>IF(TRIM($B348)="","",IF(OR(ISNUMBER(SEARCH("vacant",$B348)),ISNUMBER(SEARCH("ring fenced",$B348)),LOWER(TRIM($B348))="remove"),"Vacant","Filled"))</f>
        <v>Filled</v>
      </c>
      <c r="AG348" s="534" t="b">
        <f>IF(TRIM($B348)="","",--ISNUMBER(SEARCH("ring fenced",$B348)))</f>
        <v>0</v>
      </c>
      <c r="AH348" s="534" t="str">
        <f>IF(TRIM($B348)="","",IF(COUNTIFS(Lists!$AN$2:$AN$22,TRIM($B348)&amp;" | "&amp;TRIM($D348),Lists!$AO$2:$AO$22,"&lt;&gt;"),INDEX(Lists!$AO$2:$AO$22,MATCH(TRIM($B348)&amp;" | "&amp;TRIM($D348),Lists!$AN$2:$AN$22,0)),IF(COUNTIF(Lists!$AR$2:$AR$3,$AJ348),"TDD Cyber",IF(AND(LEFT($AJ348,4)="EGI ",ISNUMBER(MATCH(TRIM(MID($AJ348,5,99)),Lists!$AS$2:$AS$12,0))),TRIM(MID($AJ348,5,99)),IF(AND(LEFT($AJ348,4)="EGI ",ISNUMBER(MATCH(TRIM(MID($AJ348,5,99)),Lists!$T$2:$T$21,0))),INDEX(Lists!$U$2:$U$21,MATCH(TRIM(MID($AJ348,5,99)),Lists!$T$2:$T$21,0)),IF(OR(TRIM($J348)="",UPPER(TRIM($J348))="NA"),IFERROR(INDEX(Lists!$R$2:$R$9,MATCH(TRIM($G348),Lists!$Q$2:$Q$9,0)),"UNMAPPED"),IFERROR(INDEX(Lists!$U$2:$U$21,MATCH(TRIM($J348),Lists!$T$2:$T$21,0)),IFERROR(INDEX(Lists!$R$2:$R$9,MATCH(TRIM($G348),Lists!$Q$2:$Q$9,0)),"UNMAPPED"))))))))</f>
        <v>COE SA&amp;D</v>
      </c>
      <c r="AI348" s="534" t="b">
        <f>IF(TRIM($B348)="","",--OR(TRIM($L348)="Leadership",TRIM($K348)="Leadership"))</f>
        <v>0</v>
      </c>
      <c r="AJ348" s="534" t="str">
        <f>IF(TRIM($B348)="","",IF(COUNTIFS(Lists!$AN$2:$AN$22,TRIM($B348)&amp;" | "&amp;TRIM($D348),Lists!$AP$2:$AP$22,"&lt;&gt;"),INDEX(Lists!$AP$2:$AP$22,MATCH(TRIM($B348)&amp;" | "&amp;TRIM($D348),Lists!$AN$2:$AN$22,0)),IF($AI348=1,"Leadership",IFERROR(INDEX(Lists!$X$2:$X$21,MATCH(TRIM($L348),Lists!$W$2:$W$21,0)),IF(OR(TRIM($L348)="",LOWER(TRIM($L348))="na"),IF(TRIM($H348)="","Unassigned",TRIM($H348)),TRIM($L348))))))</f>
        <v>Group Data</v>
      </c>
      <c r="AK348" s="534" t="str">
        <f>IF(TRIM($B348)="","",IF(COUNTIFS(Lists!$AN$2:$AN$22,TRIM($B348)&amp;" | "&amp;TRIM($D348),Lists!$AQ$2:$AQ$22,"&lt;&gt;"),INDEX(Lists!$AQ$2:$AQ$22,MATCH(TRIM($B348)&amp;" | "&amp;TRIM($D348),Lists!$AN$2:$AN$22,0)),IF(COUNTIF(Lists!$AF$2:$AF$8,$AJ348),$AJ348,IF(ISNUMBER(SEARCH("head of ",$D348)),"Head of Technology",IF(ISNUMBER(SEARCH("TDD BP",$D348)),"Business Partner",IF(OR(ISNUMBER(SEARCH("domain architect",$D348)),ISNUMBER(SEARCH("enterprise architect",$D348))),"Domain Architect",IF(ISNUMBER(SEARCH("delivery man",$D348)),"Delivery Manager",IF(OR(ISNUMBER(SEARCH("technology manager",$D348)),ISNUMBER(SEARCH("technology manger",$D348)),ISNUMBER(SEARCH("tech manager",$D348))),"Technology Manager","Squad"))))))))</f>
        <v>Squad</v>
      </c>
      <c r="AL348" s="534" t="str">
        <f>IF(TRIM($B348)="","",IF(AND($AM348=1,LEFT($AJ348,4)&lt;&gt;"EGI ",$AJ348&lt;&gt;"EGI"),IFERROR(INDEX(Lists!$Z$2:$Z$20,MATCH($AH348,Lists!$Y$2:$Y$20,0)),"EGI "&amp;$AH348),IF(COUNTIF(Lists!$AU$2:$AU$10,$AJ348),$AJ348,IF(OR(LEFT($AH348,3)="COE",$AH348="EGI"),$AJ348,IF($AK348&lt;&gt;"Squad",$AK348,$AJ348)))))</f>
        <v>Group Data</v>
      </c>
      <c r="AM348" s="534" t="b">
        <f>IF(TRIM($B348)="","",--(UPPER(TRIM($K348))="EGI"))</f>
        <v>0</v>
      </c>
      <c r="AQ348" s="841" t="inlineStr">
        <is>
          <t>R0347</t>
        </is>
      </c>
      <c r="AZ348" s="841" t="n"/>
    </row>
    <row r="349" ht="18" customHeight="1" s="535">
      <c r="A349" s="842" t="n">
        <v>110146</v>
      </c>
      <c r="B349" s="843" t="inlineStr">
        <is>
          <t>Renosh Matthew Thomas</t>
        </is>
      </c>
      <c r="C349" s="842" t="n">
        <v>110146</v>
      </c>
      <c r="D349" s="843" t="inlineStr">
        <is>
          <t>Data Enablement Lead</t>
        </is>
      </c>
      <c r="E349" s="843" t="inlineStr">
        <is>
          <t>Sanjay Tikoo</t>
        </is>
      </c>
      <c r="F349" s="843" t="inlineStr">
        <is>
          <t>Data Capability Manager</t>
        </is>
      </c>
      <c r="G349" s="844" t="inlineStr">
        <is>
          <t>Strategy, Architecture &amp; Data</t>
        </is>
      </c>
      <c r="H349" s="843" t="inlineStr">
        <is>
          <t>Group Data</t>
        </is>
      </c>
      <c r="I349" s="843" t="inlineStr">
        <is>
          <t>Data Capability</t>
        </is>
      </c>
      <c r="J349" s="843" t="n"/>
      <c r="K349" s="843" t="n"/>
      <c r="L349" s="843" t="n"/>
      <c r="M349" s="843" t="n"/>
      <c r="N349" s="845" t="inlineStr">
        <is>
          <t>Australia</t>
        </is>
      </c>
      <c r="O349" s="846" t="inlineStr">
        <is>
          <t>CIB</t>
        </is>
      </c>
      <c r="P349" s="847" t="n">
        <v>1</v>
      </c>
      <c r="Q349" s="846" t="n"/>
      <c r="R349" s="847" t="inlineStr">
        <is>
          <t>Permanent - Full Time</t>
        </is>
      </c>
      <c r="S349" s="847" t="n"/>
      <c r="T349" s="847" t="n"/>
      <c r="U349" s="848" t="n">
        <v>170080</v>
      </c>
      <c r="V349" s="849" t="n">
        <v>170080</v>
      </c>
      <c r="W349" s="850" t="n">
        <v>0.12</v>
      </c>
      <c r="X349" s="847" t="n">
        <v>0.055</v>
      </c>
      <c r="Y349" s="850" t="n">
        <v>0.12</v>
      </c>
      <c r="Z349" s="851" t="n"/>
      <c r="AA349" s="850" t="n">
        <v>0.04</v>
      </c>
      <c r="AB349" s="852" t="n">
        <v>227056.8</v>
      </c>
      <c r="AE349" s="534">
        <f>IF(TRIM($B349)="","",IF(AND(N($P349)&gt;0,N($P349)&lt;1),N($AB349)*N($P349),N($AB349)))</f>
        <v>227056.8</v>
      </c>
      <c r="AF349" s="534" t="str">
        <f>IF(TRIM($B349)="","",IF(OR(ISNUMBER(SEARCH("vacant",$B349)),ISNUMBER(SEARCH("ring fenced",$B349)),LOWER(TRIM($B349))="remove"),"Vacant","Filled"))</f>
        <v>Filled</v>
      </c>
      <c r="AG349" s="534" t="b">
        <f>IF(TRIM($B349)="","",--ISNUMBER(SEARCH("ring fenced",$B349)))</f>
        <v>0</v>
      </c>
      <c r="AH349" s="534" t="str">
        <f>IF(TRIM($B349)="","",IF(COUNTIFS(Lists!$AN$2:$AN$22,TRIM($B349)&amp;" | "&amp;TRIM($D349),Lists!$AO$2:$AO$22,"&lt;&gt;"),INDEX(Lists!$AO$2:$AO$22,MATCH(TRIM($B349)&amp;" | "&amp;TRIM($D349),Lists!$AN$2:$AN$22,0)),IF(COUNTIF(Lists!$AR$2:$AR$3,$AJ349),"TDD Cyber",IF(AND(LEFT($AJ349,4)="EGI ",ISNUMBER(MATCH(TRIM(MID($AJ349,5,99)),Lists!$AS$2:$AS$12,0))),TRIM(MID($AJ349,5,99)),IF(AND(LEFT($AJ349,4)="EGI ",ISNUMBER(MATCH(TRIM(MID($AJ349,5,99)),Lists!$T$2:$T$21,0))),INDEX(Lists!$U$2:$U$21,MATCH(TRIM(MID($AJ349,5,99)),Lists!$T$2:$T$21,0)),IF(OR(TRIM($J349)="",UPPER(TRIM($J349))="NA"),IFERROR(INDEX(Lists!$R$2:$R$9,MATCH(TRIM($G349),Lists!$Q$2:$Q$9,0)),"UNMAPPED"),IFERROR(INDEX(Lists!$U$2:$U$21,MATCH(TRIM($J349),Lists!$T$2:$T$21,0)),IFERROR(INDEX(Lists!$R$2:$R$9,MATCH(TRIM($G349),Lists!$Q$2:$Q$9,0)),"UNMAPPED"))))))))</f>
        <v>COE SA&amp;D</v>
      </c>
      <c r="AI349" s="534" t="b">
        <f>IF(TRIM($B349)="","",--OR(TRIM($L349)="Leadership",TRIM($K349)="Leadership"))</f>
        <v>0</v>
      </c>
      <c r="AJ349" s="534" t="str">
        <f>IF(TRIM($B349)="","",IF(COUNTIFS(Lists!$AN$2:$AN$22,TRIM($B349)&amp;" | "&amp;TRIM($D349),Lists!$AP$2:$AP$22,"&lt;&gt;"),INDEX(Lists!$AP$2:$AP$22,MATCH(TRIM($B349)&amp;" | "&amp;TRIM($D349),Lists!$AN$2:$AN$22,0)),IF($AI349=1,"Leadership",IFERROR(INDEX(Lists!$X$2:$X$21,MATCH(TRIM($L349),Lists!$W$2:$W$21,0)),IF(OR(TRIM($L349)="",LOWER(TRIM($L349))="na"),IF(TRIM($H349)="","Unassigned",TRIM($H349)),TRIM($L349))))))</f>
        <v>Group Data</v>
      </c>
      <c r="AK349" s="534" t="str">
        <f>IF(TRIM($B349)="","",IF(COUNTIFS(Lists!$AN$2:$AN$22,TRIM($B349)&amp;" | "&amp;TRIM($D349),Lists!$AQ$2:$AQ$22,"&lt;&gt;"),INDEX(Lists!$AQ$2:$AQ$22,MATCH(TRIM($B349)&amp;" | "&amp;TRIM($D349),Lists!$AN$2:$AN$22,0)),IF(COUNTIF(Lists!$AF$2:$AF$8,$AJ349),$AJ349,IF(ISNUMBER(SEARCH("head of ",$D349)),"Head of Technology",IF(ISNUMBER(SEARCH("TDD BP",$D349)),"Business Partner",IF(OR(ISNUMBER(SEARCH("domain architect",$D349)),ISNUMBER(SEARCH("enterprise architect",$D349))),"Domain Architect",IF(ISNUMBER(SEARCH("delivery man",$D349)),"Delivery Manager",IF(OR(ISNUMBER(SEARCH("technology manager",$D349)),ISNUMBER(SEARCH("technology manger",$D349)),ISNUMBER(SEARCH("tech manager",$D349))),"Technology Manager","Squad"))))))))</f>
        <v>Squad</v>
      </c>
      <c r="AL349" s="534" t="str">
        <f>IF(TRIM($B349)="","",IF(AND($AM349=1,LEFT($AJ349,4)&lt;&gt;"EGI ",$AJ349&lt;&gt;"EGI"),IFERROR(INDEX(Lists!$Z$2:$Z$20,MATCH($AH349,Lists!$Y$2:$Y$20,0)),"EGI "&amp;$AH349),IF(COUNTIF(Lists!$AU$2:$AU$10,$AJ349),$AJ349,IF(OR(LEFT($AH349,3)="COE",$AH349="EGI"),$AJ349,IF($AK349&lt;&gt;"Squad",$AK349,$AJ349)))))</f>
        <v>Group Data</v>
      </c>
      <c r="AM349" s="534" t="b">
        <f>IF(TRIM($B349)="","",--(UPPER(TRIM($K349))="EGI"))</f>
        <v>0</v>
      </c>
      <c r="AQ349" s="841" t="inlineStr">
        <is>
          <t>R0348</t>
        </is>
      </c>
      <c r="AZ349" s="841" t="n"/>
    </row>
    <row r="350" ht="18" customHeight="1" s="535">
      <c r="A350" s="842" t="n">
        <v>98599</v>
      </c>
      <c r="B350" s="843" t="inlineStr">
        <is>
          <t>Raymond Bai</t>
        </is>
      </c>
      <c r="C350" s="842" t="n">
        <v>98599</v>
      </c>
      <c r="D350" s="843" t="inlineStr">
        <is>
          <t>Data Adoption Specialist</t>
        </is>
      </c>
      <c r="E350" s="843" t="inlineStr">
        <is>
          <t>Sanjay Tikoo</t>
        </is>
      </c>
      <c r="F350" s="843" t="inlineStr">
        <is>
          <t>Lead Engineer (Databricks)</t>
        </is>
      </c>
      <c r="G350" s="844" t="inlineStr">
        <is>
          <t>Strategy, Architecture &amp; Data</t>
        </is>
      </c>
      <c r="H350" s="843" t="inlineStr">
        <is>
          <t>Group Data</t>
        </is>
      </c>
      <c r="I350" s="843" t="inlineStr">
        <is>
          <t>Data Capability</t>
        </is>
      </c>
      <c r="J350" s="843" t="n"/>
      <c r="K350" s="843" t="n"/>
      <c r="L350" s="843" t="n"/>
      <c r="M350" s="843" t="n"/>
      <c r="N350" s="845" t="inlineStr">
        <is>
          <t>Australia</t>
        </is>
      </c>
      <c r="O350" s="846" t="inlineStr">
        <is>
          <t>CIB</t>
        </is>
      </c>
      <c r="P350" s="847" t="n">
        <v>1</v>
      </c>
      <c r="Q350" s="846" t="n"/>
      <c r="R350" s="847" t="inlineStr">
        <is>
          <t>Permanent - Full Time</t>
        </is>
      </c>
      <c r="S350" s="847" t="n"/>
      <c r="T350" s="847" t="n"/>
      <c r="U350" s="848" t="n">
        <v>131740</v>
      </c>
      <c r="V350" s="849" t="n">
        <v>131740</v>
      </c>
      <c r="W350" s="850" t="n">
        <v>0.12</v>
      </c>
      <c r="X350" s="847" t="n">
        <v>0.055</v>
      </c>
      <c r="Y350" s="850" t="n">
        <v>0.12</v>
      </c>
      <c r="Z350" s="851" t="n"/>
      <c r="AA350" s="850" t="n">
        <v>0.04</v>
      </c>
      <c r="AB350" s="852" t="n">
        <v>175872.9</v>
      </c>
      <c r="AE350" s="534">
        <f>IF(TRIM($B350)="","",IF(AND(N($P350)&gt;0,N($P350)&lt;1),N($AB350)*N($P350),N($AB350)))</f>
        <v>175872.9</v>
      </c>
      <c r="AF350" s="534" t="str">
        <f>IF(TRIM($B350)="","",IF(OR(ISNUMBER(SEARCH("vacant",$B350)),ISNUMBER(SEARCH("ring fenced",$B350)),LOWER(TRIM($B350))="remove"),"Vacant","Filled"))</f>
        <v>Filled</v>
      </c>
      <c r="AG350" s="534" t="b">
        <f>IF(TRIM($B350)="","",--ISNUMBER(SEARCH("ring fenced",$B350)))</f>
        <v>0</v>
      </c>
      <c r="AH350" s="534" t="str">
        <f>IF(TRIM($B350)="","",IF(COUNTIFS(Lists!$AN$2:$AN$22,TRIM($B350)&amp;" | "&amp;TRIM($D350),Lists!$AO$2:$AO$22,"&lt;&gt;"),INDEX(Lists!$AO$2:$AO$22,MATCH(TRIM($B350)&amp;" | "&amp;TRIM($D350),Lists!$AN$2:$AN$22,0)),IF(COUNTIF(Lists!$AR$2:$AR$3,$AJ350),"TDD Cyber",IF(AND(LEFT($AJ350,4)="EGI ",ISNUMBER(MATCH(TRIM(MID($AJ350,5,99)),Lists!$AS$2:$AS$12,0))),TRIM(MID($AJ350,5,99)),IF(AND(LEFT($AJ350,4)="EGI ",ISNUMBER(MATCH(TRIM(MID($AJ350,5,99)),Lists!$T$2:$T$21,0))),INDEX(Lists!$U$2:$U$21,MATCH(TRIM(MID($AJ350,5,99)),Lists!$T$2:$T$21,0)),IF(OR(TRIM($J350)="",UPPER(TRIM($J350))="NA"),IFERROR(INDEX(Lists!$R$2:$R$9,MATCH(TRIM($G350),Lists!$Q$2:$Q$9,0)),"UNMAPPED"),IFERROR(INDEX(Lists!$U$2:$U$21,MATCH(TRIM($J350),Lists!$T$2:$T$21,0)),IFERROR(INDEX(Lists!$R$2:$R$9,MATCH(TRIM($G350),Lists!$Q$2:$Q$9,0)),"UNMAPPED"))))))))</f>
        <v>COE SA&amp;D</v>
      </c>
      <c r="AI350" s="534" t="b">
        <f>IF(TRIM($B350)="","",--OR(TRIM($L350)="Leadership",TRIM($K350)="Leadership"))</f>
        <v>0</v>
      </c>
      <c r="AJ350" s="534" t="str">
        <f>IF(TRIM($B350)="","",IF(COUNTIFS(Lists!$AN$2:$AN$22,TRIM($B350)&amp;" | "&amp;TRIM($D350),Lists!$AP$2:$AP$22,"&lt;&gt;"),INDEX(Lists!$AP$2:$AP$22,MATCH(TRIM($B350)&amp;" | "&amp;TRIM($D350),Lists!$AN$2:$AN$22,0)),IF($AI350=1,"Leadership",IFERROR(INDEX(Lists!$X$2:$X$21,MATCH(TRIM($L350),Lists!$W$2:$W$21,0)),IF(OR(TRIM($L350)="",LOWER(TRIM($L350))="na"),IF(TRIM($H350)="","Unassigned",TRIM($H350)),TRIM($L350))))))</f>
        <v>Group Data</v>
      </c>
      <c r="AK350" s="534" t="str">
        <f>IF(TRIM($B350)="","",IF(COUNTIFS(Lists!$AN$2:$AN$22,TRIM($B350)&amp;" | "&amp;TRIM($D350),Lists!$AQ$2:$AQ$22,"&lt;&gt;"),INDEX(Lists!$AQ$2:$AQ$22,MATCH(TRIM($B350)&amp;" | "&amp;TRIM($D350),Lists!$AN$2:$AN$22,0)),IF(COUNTIF(Lists!$AF$2:$AF$8,$AJ350),$AJ350,IF(ISNUMBER(SEARCH("head of ",$D350)),"Head of Technology",IF(ISNUMBER(SEARCH("TDD BP",$D350)),"Business Partner",IF(OR(ISNUMBER(SEARCH("domain architect",$D350)),ISNUMBER(SEARCH("enterprise architect",$D350))),"Domain Architect",IF(ISNUMBER(SEARCH("delivery man",$D350)),"Delivery Manager",IF(OR(ISNUMBER(SEARCH("technology manager",$D350)),ISNUMBER(SEARCH("technology manger",$D350)),ISNUMBER(SEARCH("tech manager",$D350))),"Technology Manager","Squad"))))))))</f>
        <v>Squad</v>
      </c>
      <c r="AL350" s="534" t="str">
        <f>IF(TRIM($B350)="","",IF(AND($AM350=1,LEFT($AJ350,4)&lt;&gt;"EGI ",$AJ350&lt;&gt;"EGI"),IFERROR(INDEX(Lists!$Z$2:$Z$20,MATCH($AH350,Lists!$Y$2:$Y$20,0)),"EGI "&amp;$AH350),IF(COUNTIF(Lists!$AU$2:$AU$10,$AJ350),$AJ350,IF(OR(LEFT($AH350,3)="COE",$AH350="EGI"),$AJ350,IF($AK350&lt;&gt;"Squad",$AK350,$AJ350)))))</f>
        <v>Group Data</v>
      </c>
      <c r="AM350" s="534" t="b">
        <f>IF(TRIM($B350)="","",--(UPPER(TRIM($K350))="EGI"))</f>
        <v>0</v>
      </c>
      <c r="AQ350" s="841" t="inlineStr">
        <is>
          <t>R0349</t>
        </is>
      </c>
      <c r="AZ350" s="841" t="n"/>
    </row>
    <row r="351" ht="18" customHeight="1" s="535">
      <c r="A351" s="842" t="inlineStr">
        <is>
          <t>V</t>
        </is>
      </c>
      <c r="B351" s="843" t="inlineStr">
        <is>
          <t>vacant</t>
        </is>
      </c>
      <c r="C351" s="842" t="inlineStr">
        <is>
          <t>V</t>
        </is>
      </c>
      <c r="D351" s="843" t="inlineStr">
        <is>
          <t>Environments and Test Data Manager</t>
        </is>
      </c>
      <c r="E351" s="843" t="inlineStr">
        <is>
          <t>Scott McKenzie</t>
        </is>
      </c>
      <c r="F351" s="843" t="inlineStr">
        <is>
          <t>Technology Manager – DevOps and Quality Engineering</t>
        </is>
      </c>
      <c r="G351" s="844" t="inlineStr">
        <is>
          <t>TDD Group Functions</t>
        </is>
      </c>
      <c r="H351" s="843" t="inlineStr">
        <is>
          <t>TDD &amp; Engineering</t>
        </is>
      </c>
      <c r="I351" s="843" t="inlineStr">
        <is>
          <t>DevOps &amp; QE</t>
        </is>
      </c>
      <c r="J351" s="843" t="inlineStr">
        <is>
          <t>TDD</t>
        </is>
      </c>
      <c r="K351" s="843" t="inlineStr">
        <is>
          <t>TDD</t>
        </is>
      </c>
      <c r="L351" s="843" t="inlineStr">
        <is>
          <t>DevOps &amp; QE</t>
        </is>
      </c>
      <c r="M351" s="843" t="n"/>
      <c r="N351" s="845" t="inlineStr">
        <is>
          <t>Australia</t>
        </is>
      </c>
      <c r="O351" s="846" t="inlineStr">
        <is>
          <t>CIB</t>
        </is>
      </c>
      <c r="P351" s="847" t="n">
        <v>1</v>
      </c>
      <c r="Q351" s="847" t="n"/>
      <c r="R351" s="847" t="inlineStr">
        <is>
          <t>V</t>
        </is>
      </c>
      <c r="S351" s="847" t="n"/>
      <c r="T351" s="847" t="n"/>
      <c r="U351" s="848" t="n">
        <v>151950</v>
      </c>
      <c r="V351" s="849" t="n">
        <v>151950</v>
      </c>
      <c r="W351" s="850" t="n">
        <v>0.12</v>
      </c>
      <c r="X351" s="847" t="n">
        <v>0.055</v>
      </c>
      <c r="Y351" s="850" t="n">
        <v>0.12</v>
      </c>
      <c r="Z351" s="851" t="n"/>
      <c r="AA351" s="850" t="n">
        <v>0.04</v>
      </c>
      <c r="AB351" s="852" t="n">
        <v>202853.25</v>
      </c>
      <c r="AE351" s="534">
        <f>IF(TRIM($B351)="","",IF(AND(N($P351)&gt;0,N($P351)&lt;1),N($AB351)*N($P351),N($AB351)))</f>
        <v>202853.25</v>
      </c>
      <c r="AF351" s="534" t="str">
        <f>IF(TRIM($B351)="","",IF(OR(ISNUMBER(SEARCH("vacant",$B351)),ISNUMBER(SEARCH("ring fenced",$B351)),LOWER(TRIM($B351))="remove"),"Vacant","Filled"))</f>
        <v>Vacant</v>
      </c>
      <c r="AG351" s="534" t="b">
        <f>IF(TRIM($B351)="","",--ISNUMBER(SEARCH("ring fenced",$B351)))</f>
        <v>0</v>
      </c>
      <c r="AH351" s="534" t="str">
        <f>IF(TRIM($B351)="","",IF(COUNTIFS(Lists!$AN$2:$AN$22,TRIM($B351)&amp;" | "&amp;TRIM($D351),Lists!$AO$2:$AO$22,"&lt;&gt;"),INDEX(Lists!$AO$2:$AO$22,MATCH(TRIM($B351)&amp;" | "&amp;TRIM($D351),Lists!$AN$2:$AN$22,0)),IF(COUNTIF(Lists!$AR$2:$AR$3,$AJ351),"TDD Cyber",IF(AND(LEFT($AJ351,4)="EGI ",ISNUMBER(MATCH(TRIM(MID($AJ351,5,99)),Lists!$AS$2:$AS$12,0))),TRIM(MID($AJ351,5,99)),IF(AND(LEFT($AJ351,4)="EGI ",ISNUMBER(MATCH(TRIM(MID($AJ351,5,99)),Lists!$T$2:$T$21,0))),INDEX(Lists!$U$2:$U$21,MATCH(TRIM(MID($AJ351,5,99)),Lists!$T$2:$T$21,0)),IF(OR(TRIM($J351)="",UPPER(TRIM($J351))="NA"),IFERROR(INDEX(Lists!$R$2:$R$9,MATCH(TRIM($G351),Lists!$Q$2:$Q$9,0)),"UNMAPPED"),IFERROR(INDEX(Lists!$U$2:$U$21,MATCH(TRIM($J351),Lists!$T$2:$T$21,0)),IFERROR(INDEX(Lists!$R$2:$R$9,MATCH(TRIM($G351),Lists!$Q$2:$Q$9,0)),"UNMAPPED"))))))))</f>
        <v>TDD Group Functions</v>
      </c>
      <c r="AI351" s="534" t="b">
        <f>IF(TRIM($B351)="","",--OR(TRIM($L351)="Leadership",TRIM($K351)="Leadership"))</f>
        <v>0</v>
      </c>
      <c r="AJ351" s="534" t="str">
        <f>IF(TRIM($B351)="","",IF(COUNTIFS(Lists!$AN$2:$AN$22,TRIM($B351)&amp;" | "&amp;TRIM($D351),Lists!$AP$2:$AP$22,"&lt;&gt;"),INDEX(Lists!$AP$2:$AP$22,MATCH(TRIM($B351)&amp;" | "&amp;TRIM($D351),Lists!$AN$2:$AN$22,0)),IF($AI351=1,"Leadership",IFERROR(INDEX(Lists!$X$2:$X$21,MATCH(TRIM($L351),Lists!$W$2:$W$21,0)),IF(OR(TRIM($L351)="",LOWER(TRIM($L351))="na"),IF(TRIM($H351)="","Unassigned",TRIM($H351)),TRIM($L351))))))</f>
        <v>DevOps &amp; QE</v>
      </c>
      <c r="AK351" s="534" t="str">
        <f>IF(TRIM($B351)="","",IF(COUNTIFS(Lists!$AN$2:$AN$22,TRIM($B351)&amp;" | "&amp;TRIM($D351),Lists!$AQ$2:$AQ$22,"&lt;&gt;"),INDEX(Lists!$AQ$2:$AQ$22,MATCH(TRIM($B351)&amp;" | "&amp;TRIM($D351),Lists!$AN$2:$AN$22,0)),IF(COUNTIF(Lists!$AF$2:$AF$8,$AJ351),$AJ351,IF(ISNUMBER(SEARCH("head of ",$D351)),"Head of Technology",IF(ISNUMBER(SEARCH("TDD BP",$D351)),"Business Partner",IF(OR(ISNUMBER(SEARCH("domain architect",$D351)),ISNUMBER(SEARCH("enterprise architect",$D351))),"Domain Architect",IF(ISNUMBER(SEARCH("delivery man",$D351)),"Delivery Manager",IF(OR(ISNUMBER(SEARCH("technology manager",$D351)),ISNUMBER(SEARCH("technology manger",$D351)),ISNUMBER(SEARCH("tech manager",$D351))),"Technology Manager","Squad"))))))))</f>
        <v>Squad</v>
      </c>
      <c r="AL351" s="534" t="str">
        <f>IF(TRIM($B351)="","",IF(AND($AM351=1,LEFT($AJ351,4)&lt;&gt;"EGI ",$AJ351&lt;&gt;"EGI"),IFERROR(INDEX(Lists!$Z$2:$Z$20,MATCH($AH351,Lists!$Y$2:$Y$20,0)),"EGI "&amp;$AH351),IF(COUNTIF(Lists!$AU$2:$AU$10,$AJ351),$AJ351,IF(OR(LEFT($AH351,3)="COE",$AH351="EGI"),$AJ351,IF($AK351&lt;&gt;"Squad",$AK351,$AJ351)))))</f>
        <v>DevOps &amp; QE</v>
      </c>
      <c r="AM351" s="534" t="b">
        <f>IF(TRIM($B351)="","",--(UPPER(TRIM($K351))="EGI"))</f>
        <v>0</v>
      </c>
      <c r="AQ351" s="841" t="inlineStr">
        <is>
          <t>R0350</t>
        </is>
      </c>
      <c r="AZ351" s="841" t="n"/>
    </row>
    <row r="352" ht="18" customHeight="1" s="535">
      <c r="A352" s="842" t="inlineStr">
        <is>
          <t>V</t>
        </is>
      </c>
      <c r="B352" s="843" t="inlineStr">
        <is>
          <t xml:space="preserve">Vacant </t>
        </is>
      </c>
      <c r="C352" s="842" t="inlineStr">
        <is>
          <t>V</t>
        </is>
      </c>
      <c r="D352" s="843" t="inlineStr">
        <is>
          <t>Integration Specialist (ASAPIO CTRM)</t>
        </is>
      </c>
      <c r="E352" s="843" t="inlineStr">
        <is>
          <t>Shane Ker</t>
        </is>
      </c>
      <c r="F352" s="843" t="inlineStr">
        <is>
          <t>Technology Manager Finance Platforms</t>
        </is>
      </c>
      <c r="G352" s="844" t="inlineStr">
        <is>
          <t>TDD Group Functions</t>
        </is>
      </c>
      <c r="H352" s="843" t="inlineStr">
        <is>
          <t>P&amp;C, Finance &amp; Legal</t>
        </is>
      </c>
      <c r="I352" s="843" t="inlineStr">
        <is>
          <t>Tech, Finance Platforms</t>
        </is>
      </c>
      <c r="J352" s="843" t="inlineStr">
        <is>
          <t>Finance</t>
        </is>
      </c>
      <c r="K352" s="843" t="inlineStr">
        <is>
          <t>AU Finance</t>
        </is>
      </c>
      <c r="L352" s="843" t="inlineStr">
        <is>
          <t>SAP ERP</t>
        </is>
      </c>
      <c r="M352" s="843" t="n"/>
      <c r="N352" s="845" t="inlineStr">
        <is>
          <t>NZ</t>
        </is>
      </c>
      <c r="O352" s="846" t="inlineStr">
        <is>
          <t>CIB</t>
        </is>
      </c>
      <c r="P352" s="847" t="n">
        <v>1</v>
      </c>
      <c r="Q352" s="847" t="n"/>
      <c r="R352" s="847" t="inlineStr">
        <is>
          <t>v</t>
        </is>
      </c>
      <c r="S352" s="847" t="n"/>
      <c r="T352" s="847" t="n"/>
      <c r="U352" s="848" t="n">
        <v>151950</v>
      </c>
      <c r="V352" s="849" t="n">
        <v>139794</v>
      </c>
      <c r="W352" s="850" t="n">
        <v>0.15</v>
      </c>
      <c r="X352" s="847" t="n"/>
      <c r="Y352" s="850" t="n">
        <v>0.05</v>
      </c>
      <c r="Z352" s="851" t="n">
        <v>2910</v>
      </c>
      <c r="AA352" s="850" t="n">
        <v>0.03</v>
      </c>
      <c r="AB352" s="852" t="n">
        <v>174856.62</v>
      </c>
      <c r="AE352" s="534">
        <f>IF(TRIM($B352)="","",IF(AND(N($P352)&gt;0,N($P352)&lt;1),N($AB352)*N($P352),N($AB352)))</f>
        <v>174856.62</v>
      </c>
      <c r="AF352" s="534" t="str">
        <f>IF(TRIM($B352)="","",IF(OR(ISNUMBER(SEARCH("vacant",$B352)),ISNUMBER(SEARCH("ring fenced",$B352)),LOWER(TRIM($B352))="remove"),"Vacant","Filled"))</f>
        <v>Vacant</v>
      </c>
      <c r="AG352" s="534" t="b">
        <f>IF(TRIM($B352)="","",--ISNUMBER(SEARCH("ring fenced",$B352)))</f>
        <v>0</v>
      </c>
      <c r="AH352" s="534" t="str">
        <f>IF(TRIM($B352)="","",IF(COUNTIFS(Lists!$AN$2:$AN$22,TRIM($B352)&amp;" | "&amp;TRIM($D352),Lists!$AO$2:$AO$22,"&lt;&gt;"),INDEX(Lists!$AO$2:$AO$22,MATCH(TRIM($B352)&amp;" | "&amp;TRIM($D352),Lists!$AN$2:$AN$22,0)),IF(COUNTIF(Lists!$AR$2:$AR$3,$AJ352),"TDD Cyber",IF(AND(LEFT($AJ352,4)="EGI ",ISNUMBER(MATCH(TRIM(MID($AJ352,5,99)),Lists!$AS$2:$AS$12,0))),TRIM(MID($AJ352,5,99)),IF(AND(LEFT($AJ352,4)="EGI ",ISNUMBER(MATCH(TRIM(MID($AJ352,5,99)),Lists!$T$2:$T$21,0))),INDEX(Lists!$U$2:$U$21,MATCH(TRIM(MID($AJ352,5,99)),Lists!$T$2:$T$21,0)),IF(OR(TRIM($J352)="",UPPER(TRIM($J352))="NA"),IFERROR(INDEX(Lists!$R$2:$R$9,MATCH(TRIM($G352),Lists!$Q$2:$Q$9,0)),"UNMAPPED"),IFERROR(INDEX(Lists!$U$2:$U$21,MATCH(TRIM($J352),Lists!$T$2:$T$21,0)),IFERROR(INDEX(Lists!$R$2:$R$9,MATCH(TRIM($G352),Lists!$Q$2:$Q$9,0)),"UNMAPPED"))))))))</f>
        <v>Finance</v>
      </c>
      <c r="AI352" s="534" t="b">
        <f>IF(TRIM($B352)="","",--OR(TRIM($L352)="Leadership",TRIM($K352)="Leadership"))</f>
        <v>0</v>
      </c>
      <c r="AJ352" s="534" t="str">
        <f>IF(TRIM($B352)="","",IF(COUNTIFS(Lists!$AN$2:$AN$22,TRIM($B352)&amp;" | "&amp;TRIM($D352),Lists!$AP$2:$AP$22,"&lt;&gt;"),INDEX(Lists!$AP$2:$AP$22,MATCH(TRIM($B352)&amp;" | "&amp;TRIM($D352),Lists!$AN$2:$AN$22,0)),IF($AI352=1,"Leadership",IFERROR(INDEX(Lists!$X$2:$X$21,MATCH(TRIM($L352),Lists!$W$2:$W$21,0)),IF(OR(TRIM($L352)="",LOWER(TRIM($L352))="na"),IF(TRIM($H352)="","Unassigned",TRIM($H352)),TRIM($L352))))))</f>
        <v>SAP ERP</v>
      </c>
      <c r="AK352" s="534" t="str">
        <f>IF(TRIM($B352)="","",IF(COUNTIFS(Lists!$AN$2:$AN$22,TRIM($B352)&amp;" | "&amp;TRIM($D352),Lists!$AQ$2:$AQ$22,"&lt;&gt;"),INDEX(Lists!$AQ$2:$AQ$22,MATCH(TRIM($B352)&amp;" | "&amp;TRIM($D352),Lists!$AN$2:$AN$22,0)),IF(COUNTIF(Lists!$AF$2:$AF$8,$AJ352),$AJ352,IF(ISNUMBER(SEARCH("head of ",$D352)),"Head of Technology",IF(ISNUMBER(SEARCH("TDD BP",$D352)),"Business Partner",IF(OR(ISNUMBER(SEARCH("domain architect",$D352)),ISNUMBER(SEARCH("enterprise architect",$D352))),"Domain Architect",IF(ISNUMBER(SEARCH("delivery man",$D352)),"Delivery Manager",IF(OR(ISNUMBER(SEARCH("technology manager",$D352)),ISNUMBER(SEARCH("technology manger",$D352)),ISNUMBER(SEARCH("tech manager",$D352))),"Technology Manager","Squad"))))))))</f>
        <v>Squad</v>
      </c>
      <c r="AL352" s="534" t="str">
        <f>IF(TRIM($B352)="","",IF(AND($AM352=1,LEFT($AJ352,4)&lt;&gt;"EGI ",$AJ352&lt;&gt;"EGI"),IFERROR(INDEX(Lists!$Z$2:$Z$20,MATCH($AH352,Lists!$Y$2:$Y$20,0)),"EGI "&amp;$AH352),IF(COUNTIF(Lists!$AU$2:$AU$10,$AJ352),$AJ352,IF(OR(LEFT($AH352,3)="COE",$AH352="EGI"),$AJ352,IF($AK352&lt;&gt;"Squad",$AK352,$AJ352)))))</f>
        <v>SAP ERP</v>
      </c>
      <c r="AM352" s="534" t="b">
        <f>IF(TRIM($B352)="","",--(UPPER(TRIM($K352))="EGI"))</f>
        <v>0</v>
      </c>
      <c r="AQ352" s="841" t="inlineStr">
        <is>
          <t>R0351</t>
        </is>
      </c>
      <c r="AZ352" s="841" t="n"/>
    </row>
    <row r="353" ht="18" customHeight="1" s="535">
      <c r="A353" s="842" t="n">
        <v>116057</v>
      </c>
      <c r="B353" s="843" t="inlineStr">
        <is>
          <t>Lucas Wang</t>
        </is>
      </c>
      <c r="C353" s="842" t="n">
        <v>116057</v>
      </c>
      <c r="D353" s="843" t="inlineStr">
        <is>
          <t>Senior Engineer (Automation Test)</t>
        </is>
      </c>
      <c r="E353" s="843" t="inlineStr">
        <is>
          <t>Shobhit Mittal</t>
        </is>
      </c>
      <c r="F353" s="843" t="inlineStr">
        <is>
          <t>Lead Engineer (Automation Test)</t>
        </is>
      </c>
      <c r="G353" s="844" t="inlineStr">
        <is>
          <t>TDD Group Functions</t>
        </is>
      </c>
      <c r="H353" s="843" t="inlineStr">
        <is>
          <t>TDD &amp; Engineering</t>
        </is>
      </c>
      <c r="I353" s="843" t="inlineStr">
        <is>
          <t>DevOps &amp; QE</t>
        </is>
      </c>
      <c r="J353" s="843" t="inlineStr">
        <is>
          <t>TDD</t>
        </is>
      </c>
      <c r="K353" s="843" t="inlineStr">
        <is>
          <t>TDD</t>
        </is>
      </c>
      <c r="L353" s="843" t="inlineStr">
        <is>
          <t>DevOps &amp; QE</t>
        </is>
      </c>
      <c r="M353" s="843" t="n"/>
      <c r="N353" s="845" t="inlineStr">
        <is>
          <t>Australia</t>
        </is>
      </c>
      <c r="O353" s="846" t="inlineStr">
        <is>
          <t>CIB</t>
        </is>
      </c>
      <c r="P353" s="847" t="n">
        <v>1</v>
      </c>
      <c r="Q353" s="846" t="n"/>
      <c r="R353" s="847" t="inlineStr">
        <is>
          <t>Permanent - Full Time</t>
        </is>
      </c>
      <c r="S353" s="847" t="n"/>
      <c r="T353" s="847" t="n"/>
      <c r="U353" s="848" t="n">
        <v>145710</v>
      </c>
      <c r="V353" s="849" t="n">
        <v>145710</v>
      </c>
      <c r="W353" s="850" t="n">
        <v>0.12</v>
      </c>
      <c r="X353" s="847" t="n">
        <v>0.055</v>
      </c>
      <c r="Y353" s="850" t="n">
        <v>0.12</v>
      </c>
      <c r="Z353" s="851" t="n"/>
      <c r="AA353" s="850" t="n">
        <v>0.04</v>
      </c>
      <c r="AB353" s="852" t="n">
        <v>194522.85</v>
      </c>
      <c r="AE353" s="534">
        <f>IF(TRIM($B353)="","",IF(AND(N($P353)&gt;0,N($P353)&lt;1),N($AB353)*N($P353),N($AB353)))</f>
        <v>194522.85</v>
      </c>
      <c r="AF353" s="534" t="str">
        <f>IF(TRIM($B353)="","",IF(OR(ISNUMBER(SEARCH("vacant",$B353)),ISNUMBER(SEARCH("ring fenced",$B353)),LOWER(TRIM($B353))="remove"),"Vacant","Filled"))</f>
        <v>Filled</v>
      </c>
      <c r="AG353" s="534" t="b">
        <f>IF(TRIM($B353)="","",--ISNUMBER(SEARCH("ring fenced",$B353)))</f>
        <v>0</v>
      </c>
      <c r="AH353" s="534" t="str">
        <f>IF(TRIM($B353)="","",IF(COUNTIFS(Lists!$AN$2:$AN$22,TRIM($B353)&amp;" | "&amp;TRIM($D353),Lists!$AO$2:$AO$22,"&lt;&gt;"),INDEX(Lists!$AO$2:$AO$22,MATCH(TRIM($B353)&amp;" | "&amp;TRIM($D353),Lists!$AN$2:$AN$22,0)),IF(COUNTIF(Lists!$AR$2:$AR$3,$AJ353),"TDD Cyber",IF(AND(LEFT($AJ353,4)="EGI ",ISNUMBER(MATCH(TRIM(MID($AJ353,5,99)),Lists!$AS$2:$AS$12,0))),TRIM(MID($AJ353,5,99)),IF(AND(LEFT($AJ353,4)="EGI ",ISNUMBER(MATCH(TRIM(MID($AJ353,5,99)),Lists!$T$2:$T$21,0))),INDEX(Lists!$U$2:$U$21,MATCH(TRIM(MID($AJ353,5,99)),Lists!$T$2:$T$21,0)),IF(OR(TRIM($J353)="",UPPER(TRIM($J353))="NA"),IFERROR(INDEX(Lists!$R$2:$R$9,MATCH(TRIM($G353),Lists!$Q$2:$Q$9,0)),"UNMAPPED"),IFERROR(INDEX(Lists!$U$2:$U$21,MATCH(TRIM($J353),Lists!$T$2:$T$21,0)),IFERROR(INDEX(Lists!$R$2:$R$9,MATCH(TRIM($G353),Lists!$Q$2:$Q$9,0)),"UNMAPPED"))))))))</f>
        <v>TDD Group Functions</v>
      </c>
      <c r="AI353" s="534" t="b">
        <f>IF(TRIM($B353)="","",--OR(TRIM($L353)="Leadership",TRIM($K353)="Leadership"))</f>
        <v>0</v>
      </c>
      <c r="AJ353" s="534" t="str">
        <f>IF(TRIM($B353)="","",IF(COUNTIFS(Lists!$AN$2:$AN$22,TRIM($B353)&amp;" | "&amp;TRIM($D353),Lists!$AP$2:$AP$22,"&lt;&gt;"),INDEX(Lists!$AP$2:$AP$22,MATCH(TRIM($B353)&amp;" | "&amp;TRIM($D353),Lists!$AN$2:$AN$22,0)),IF($AI353=1,"Leadership",IFERROR(INDEX(Lists!$X$2:$X$21,MATCH(TRIM($L353),Lists!$W$2:$W$21,0)),IF(OR(TRIM($L353)="",LOWER(TRIM($L353))="na"),IF(TRIM($H353)="","Unassigned",TRIM($H353)),TRIM($L353))))))</f>
        <v>DevOps &amp; QE</v>
      </c>
      <c r="AK353" s="534" t="str">
        <f>IF(TRIM($B353)="","",IF(COUNTIFS(Lists!$AN$2:$AN$22,TRIM($B353)&amp;" | "&amp;TRIM($D353),Lists!$AQ$2:$AQ$22,"&lt;&gt;"),INDEX(Lists!$AQ$2:$AQ$22,MATCH(TRIM($B353)&amp;" | "&amp;TRIM($D353),Lists!$AN$2:$AN$22,0)),IF(COUNTIF(Lists!$AF$2:$AF$8,$AJ353),$AJ353,IF(ISNUMBER(SEARCH("head of ",$D353)),"Head of Technology",IF(ISNUMBER(SEARCH("TDD BP",$D353)),"Business Partner",IF(OR(ISNUMBER(SEARCH("domain architect",$D353)),ISNUMBER(SEARCH("enterprise architect",$D353))),"Domain Architect",IF(ISNUMBER(SEARCH("delivery man",$D353)),"Delivery Manager",IF(OR(ISNUMBER(SEARCH("technology manager",$D353)),ISNUMBER(SEARCH("technology manger",$D353)),ISNUMBER(SEARCH("tech manager",$D353))),"Technology Manager","Squad"))))))))</f>
        <v>Squad</v>
      </c>
      <c r="AL353" s="534" t="str">
        <f>IF(TRIM($B353)="","",IF(AND($AM353=1,LEFT($AJ353,4)&lt;&gt;"EGI ",$AJ353&lt;&gt;"EGI"),IFERROR(INDEX(Lists!$Z$2:$Z$20,MATCH($AH353,Lists!$Y$2:$Y$20,0)),"EGI "&amp;$AH353),IF(COUNTIF(Lists!$AU$2:$AU$10,$AJ353),$AJ353,IF(OR(LEFT($AH353,3)="COE",$AH353="EGI"),$AJ353,IF($AK353&lt;&gt;"Squad",$AK353,$AJ353)))))</f>
        <v>DevOps &amp; QE</v>
      </c>
      <c r="AM353" s="534" t="b">
        <f>IF(TRIM($B353)="","",--(UPPER(TRIM($K353))="EGI"))</f>
        <v>0</v>
      </c>
      <c r="AQ353" s="841" t="inlineStr">
        <is>
          <t>R0352</t>
        </is>
      </c>
      <c r="AZ353" s="841" t="n"/>
    </row>
    <row r="354" ht="18" customHeight="1" s="535">
      <c r="A354" s="842" t="inlineStr">
        <is>
          <t>V</t>
        </is>
      </c>
      <c r="B354" s="843" t="inlineStr">
        <is>
          <t>Vacant</t>
        </is>
      </c>
      <c r="C354" s="842" t="inlineStr">
        <is>
          <t>V</t>
        </is>
      </c>
      <c r="D354" s="843" t="inlineStr">
        <is>
          <t>Senior Engineer (Automation Test)</t>
        </is>
      </c>
      <c r="E354" s="843" t="inlineStr">
        <is>
          <t>Shobhit Mittal</t>
        </is>
      </c>
      <c r="F354" s="843" t="inlineStr">
        <is>
          <t>Lead Engineer (Automation Test)</t>
        </is>
      </c>
      <c r="G354" s="844" t="inlineStr">
        <is>
          <t>TDD Group Functions</t>
        </is>
      </c>
      <c r="H354" s="843" t="inlineStr">
        <is>
          <t>TDD &amp; Engineering</t>
        </is>
      </c>
      <c r="I354" s="843" t="inlineStr">
        <is>
          <t>DevOps &amp; QE</t>
        </is>
      </c>
      <c r="J354" s="843" t="inlineStr">
        <is>
          <t>TDD</t>
        </is>
      </c>
      <c r="K354" s="843" t="inlineStr">
        <is>
          <t>TDD</t>
        </is>
      </c>
      <c r="L354" s="843" t="inlineStr">
        <is>
          <t>DevOps &amp; QE</t>
        </is>
      </c>
      <c r="M354" s="843" t="n"/>
      <c r="N354" s="845" t="inlineStr">
        <is>
          <t>Australia</t>
        </is>
      </c>
      <c r="O354" s="846" t="inlineStr">
        <is>
          <t>CIB</t>
        </is>
      </c>
      <c r="P354" s="847" t="n">
        <v>1</v>
      </c>
      <c r="Q354" s="847" t="n"/>
      <c r="R354" s="847" t="inlineStr">
        <is>
          <t>v</t>
        </is>
      </c>
      <c r="S354" s="847" t="n"/>
      <c r="T354" s="847" t="n"/>
      <c r="U354" s="848" t="n">
        <v>151950</v>
      </c>
      <c r="V354" s="849" t="n">
        <v>151950</v>
      </c>
      <c r="W354" s="850" t="n">
        <v>0.12</v>
      </c>
      <c r="X354" s="847" t="n">
        <v>0.055</v>
      </c>
      <c r="Y354" s="850" t="n">
        <v>0.12</v>
      </c>
      <c r="Z354" s="851" t="n"/>
      <c r="AA354" s="850" t="n">
        <v>0.04</v>
      </c>
      <c r="AB354" s="852" t="n">
        <v>202853.25</v>
      </c>
      <c r="AE354" s="534">
        <f>IF(TRIM($B354)="","",IF(AND(N($P354)&gt;0,N($P354)&lt;1),N($AB354)*N($P354),N($AB354)))</f>
        <v>202853.25</v>
      </c>
      <c r="AF354" s="534" t="str">
        <f>IF(TRIM($B354)="","",IF(OR(ISNUMBER(SEARCH("vacant",$B354)),ISNUMBER(SEARCH("ring fenced",$B354)),LOWER(TRIM($B354))="remove"),"Vacant","Filled"))</f>
        <v>Vacant</v>
      </c>
      <c r="AG354" s="534" t="b">
        <f>IF(TRIM($B354)="","",--ISNUMBER(SEARCH("ring fenced",$B354)))</f>
        <v>0</v>
      </c>
      <c r="AH354" s="534" t="str">
        <f>IF(TRIM($B354)="","",IF(COUNTIFS(Lists!$AN$2:$AN$22,TRIM($B354)&amp;" | "&amp;TRIM($D354),Lists!$AO$2:$AO$22,"&lt;&gt;"),INDEX(Lists!$AO$2:$AO$22,MATCH(TRIM($B354)&amp;" | "&amp;TRIM($D354),Lists!$AN$2:$AN$22,0)),IF(COUNTIF(Lists!$AR$2:$AR$3,$AJ354),"TDD Cyber",IF(AND(LEFT($AJ354,4)="EGI ",ISNUMBER(MATCH(TRIM(MID($AJ354,5,99)),Lists!$AS$2:$AS$12,0))),TRIM(MID($AJ354,5,99)),IF(AND(LEFT($AJ354,4)="EGI ",ISNUMBER(MATCH(TRIM(MID($AJ354,5,99)),Lists!$T$2:$T$21,0))),INDEX(Lists!$U$2:$U$21,MATCH(TRIM(MID($AJ354,5,99)),Lists!$T$2:$T$21,0)),IF(OR(TRIM($J354)="",UPPER(TRIM($J354))="NA"),IFERROR(INDEX(Lists!$R$2:$R$9,MATCH(TRIM($G354),Lists!$Q$2:$Q$9,0)),"UNMAPPED"),IFERROR(INDEX(Lists!$U$2:$U$21,MATCH(TRIM($J354),Lists!$T$2:$T$21,0)),IFERROR(INDEX(Lists!$R$2:$R$9,MATCH(TRIM($G354),Lists!$Q$2:$Q$9,0)),"UNMAPPED"))))))))</f>
        <v>TDD Group Functions</v>
      </c>
      <c r="AI354" s="534" t="b">
        <f>IF(TRIM($B354)="","",--OR(TRIM($L354)="Leadership",TRIM($K354)="Leadership"))</f>
        <v>0</v>
      </c>
      <c r="AJ354" s="534" t="str">
        <f>IF(TRIM($B354)="","",IF(COUNTIFS(Lists!$AN$2:$AN$22,TRIM($B354)&amp;" | "&amp;TRIM($D354),Lists!$AP$2:$AP$22,"&lt;&gt;"),INDEX(Lists!$AP$2:$AP$22,MATCH(TRIM($B354)&amp;" | "&amp;TRIM($D354),Lists!$AN$2:$AN$22,0)),IF($AI354=1,"Leadership",IFERROR(INDEX(Lists!$X$2:$X$21,MATCH(TRIM($L354),Lists!$W$2:$W$21,0)),IF(OR(TRIM($L354)="",LOWER(TRIM($L354))="na"),IF(TRIM($H354)="","Unassigned",TRIM($H354)),TRIM($L354))))))</f>
        <v>DevOps &amp; QE</v>
      </c>
      <c r="AK354" s="534" t="str">
        <f>IF(TRIM($B354)="","",IF(COUNTIFS(Lists!$AN$2:$AN$22,TRIM($B354)&amp;" | "&amp;TRIM($D354),Lists!$AQ$2:$AQ$22,"&lt;&gt;"),INDEX(Lists!$AQ$2:$AQ$22,MATCH(TRIM($B354)&amp;" | "&amp;TRIM($D354),Lists!$AN$2:$AN$22,0)),IF(COUNTIF(Lists!$AF$2:$AF$8,$AJ354),$AJ354,IF(ISNUMBER(SEARCH("head of ",$D354)),"Head of Technology",IF(ISNUMBER(SEARCH("TDD BP",$D354)),"Business Partner",IF(OR(ISNUMBER(SEARCH("domain architect",$D354)),ISNUMBER(SEARCH("enterprise architect",$D354))),"Domain Architect",IF(ISNUMBER(SEARCH("delivery man",$D354)),"Delivery Manager",IF(OR(ISNUMBER(SEARCH("technology manager",$D354)),ISNUMBER(SEARCH("technology manger",$D354)),ISNUMBER(SEARCH("tech manager",$D354))),"Technology Manager","Squad"))))))))</f>
        <v>Squad</v>
      </c>
      <c r="AL354" s="534" t="str">
        <f>IF(TRIM($B354)="","",IF(AND($AM354=1,LEFT($AJ354,4)&lt;&gt;"EGI ",$AJ354&lt;&gt;"EGI"),IFERROR(INDEX(Lists!$Z$2:$Z$20,MATCH($AH354,Lists!$Y$2:$Y$20,0)),"EGI "&amp;$AH354),IF(COUNTIF(Lists!$AU$2:$AU$10,$AJ354),$AJ354,IF(OR(LEFT($AH354,3)="COE",$AH354="EGI"),$AJ354,IF($AK354&lt;&gt;"Squad",$AK354,$AJ354)))))</f>
        <v>DevOps &amp; QE</v>
      </c>
      <c r="AM354" s="534" t="b">
        <f>IF(TRIM($B354)="","",--(UPPER(TRIM($K354))="EGI"))</f>
        <v>0</v>
      </c>
      <c r="AQ354" s="841" t="inlineStr">
        <is>
          <t>R0353</t>
        </is>
      </c>
      <c r="AZ354" s="841" t="n"/>
    </row>
    <row r="355" ht="18" customHeight="1" s="535">
      <c r="A355" s="842" t="n">
        <v>97425</v>
      </c>
      <c r="B355" s="843" t="inlineStr">
        <is>
          <t>Nischal Bhusal</t>
        </is>
      </c>
      <c r="C355" s="842" t="n">
        <v>97425</v>
      </c>
      <c r="D355" s="843" t="inlineStr">
        <is>
          <t>Cyber Security Analyst</t>
        </is>
      </c>
      <c r="E355" s="843" t="inlineStr">
        <is>
          <t>Steven Atcheson</t>
        </is>
      </c>
      <c r="F355" s="843" t="n"/>
      <c r="G355" s="844" t="inlineStr">
        <is>
          <t>Cyber, Risk &amp; Operations</t>
        </is>
      </c>
      <c r="H355" s="843" t="inlineStr">
        <is>
          <t>Cyber Sec Ops</t>
        </is>
      </c>
      <c r="I355" s="843" t="inlineStr">
        <is>
          <t>NA</t>
        </is>
      </c>
      <c r="J355" s="843" t="inlineStr">
        <is>
          <t>NA</t>
        </is>
      </c>
      <c r="K355" s="843" t="inlineStr">
        <is>
          <t>NA</t>
        </is>
      </c>
      <c r="L355" s="843" t="inlineStr">
        <is>
          <t>NA</t>
        </is>
      </c>
      <c r="M355" s="843" t="n"/>
      <c r="N355" s="845" t="inlineStr">
        <is>
          <t>Australia</t>
        </is>
      </c>
      <c r="O355" s="846" t="inlineStr">
        <is>
          <t>CIB</t>
        </is>
      </c>
      <c r="P355" s="847" t="n">
        <v>1</v>
      </c>
      <c r="Q355" s="846" t="n"/>
      <c r="R355" s="847" t="inlineStr">
        <is>
          <t>Permanent - Full Time</t>
        </is>
      </c>
      <c r="S355" s="847" t="n"/>
      <c r="T355" s="847" t="n"/>
      <c r="U355" s="848" t="n">
        <v>161520</v>
      </c>
      <c r="V355" s="849" t="n">
        <v>161520</v>
      </c>
      <c r="W355" s="850" t="n">
        <v>0.12</v>
      </c>
      <c r="X355" s="847" t="n">
        <v>0.055</v>
      </c>
      <c r="Y355" s="850" t="n">
        <v>0.12</v>
      </c>
      <c r="Z355" s="851" t="n"/>
      <c r="AA355" s="850" t="n">
        <v>0.04</v>
      </c>
      <c r="AB355" s="852" t="n">
        <v>215629.2</v>
      </c>
      <c r="AE355" s="534">
        <f>IF(TRIM($B355)="","",IF(AND(N($P355)&gt;0,N($P355)&lt;1),N($AB355)*N($P355),N($AB355)))</f>
        <v>215629.2</v>
      </c>
      <c r="AF355" s="534" t="str">
        <f>IF(TRIM($B355)="","",IF(OR(ISNUMBER(SEARCH("vacant",$B355)),ISNUMBER(SEARCH("ring fenced",$B355)),LOWER(TRIM($B355))="remove"),"Vacant","Filled"))</f>
        <v>Filled</v>
      </c>
      <c r="AG355" s="534" t="b">
        <f>IF(TRIM($B355)="","",--ISNUMBER(SEARCH("ring fenced",$B355)))</f>
        <v>0</v>
      </c>
      <c r="AH355" s="534" t="str">
        <f>IF(TRIM($B355)="","",IF(COUNTIFS(Lists!$AN$2:$AN$22,TRIM($B355)&amp;" | "&amp;TRIM($D355),Lists!$AO$2:$AO$22,"&lt;&gt;"),INDEX(Lists!$AO$2:$AO$22,MATCH(TRIM($B355)&amp;" | "&amp;TRIM($D355),Lists!$AN$2:$AN$22,0)),IF(COUNTIF(Lists!$AR$2:$AR$3,$AJ355),"TDD Cyber",IF(AND(LEFT($AJ355,4)="EGI ",ISNUMBER(MATCH(TRIM(MID($AJ355,5,99)),Lists!$AS$2:$AS$12,0))),TRIM(MID($AJ355,5,99)),IF(AND(LEFT($AJ355,4)="EGI ",ISNUMBER(MATCH(TRIM(MID($AJ355,5,99)),Lists!$T$2:$T$21,0))),INDEX(Lists!$U$2:$U$21,MATCH(TRIM(MID($AJ355,5,99)),Lists!$T$2:$T$21,0)),IF(OR(TRIM($J355)="",UPPER(TRIM($J355))="NA"),IFERROR(INDEX(Lists!$R$2:$R$9,MATCH(TRIM($G355),Lists!$Q$2:$Q$9,0)),"UNMAPPED"),IFERROR(INDEX(Lists!$U$2:$U$21,MATCH(TRIM($J355),Lists!$T$2:$T$21,0)),IFERROR(INDEX(Lists!$R$2:$R$9,MATCH(TRIM($G355),Lists!$Q$2:$Q$9,0)),"UNMAPPED"))))))))</f>
        <v>COE Cyber</v>
      </c>
      <c r="AI355" s="534" t="b">
        <f>IF(TRIM($B355)="","",--OR(TRIM($L355)="Leadership",TRIM($K355)="Leadership"))</f>
        <v>0</v>
      </c>
      <c r="AJ355" s="534" t="str">
        <f>IF(TRIM($B355)="","",IF(COUNTIFS(Lists!$AN$2:$AN$22,TRIM($B355)&amp;" | "&amp;TRIM($D355),Lists!$AP$2:$AP$22,"&lt;&gt;"),INDEX(Lists!$AP$2:$AP$22,MATCH(TRIM($B355)&amp;" | "&amp;TRIM($D355),Lists!$AN$2:$AN$22,0)),IF($AI355=1,"Leadership",IFERROR(INDEX(Lists!$X$2:$X$21,MATCH(TRIM($L355),Lists!$W$2:$W$21,0)),IF(OR(TRIM($L355)="",LOWER(TRIM($L355))="na"),IF(TRIM($H355)="","Unassigned",TRIM($H355)),TRIM($L355))))))</f>
        <v>Cyber Sec Ops</v>
      </c>
      <c r="AK355" s="534" t="str">
        <f>IF(TRIM($B355)="","",IF(COUNTIFS(Lists!$AN$2:$AN$22,TRIM($B355)&amp;" | "&amp;TRIM($D355),Lists!$AQ$2:$AQ$22,"&lt;&gt;"),INDEX(Lists!$AQ$2:$AQ$22,MATCH(TRIM($B355)&amp;" | "&amp;TRIM($D355),Lists!$AN$2:$AN$22,0)),IF(COUNTIF(Lists!$AF$2:$AF$8,$AJ355),$AJ355,IF(ISNUMBER(SEARCH("head of ",$D355)),"Head of Technology",IF(ISNUMBER(SEARCH("TDD BP",$D355)),"Business Partner",IF(OR(ISNUMBER(SEARCH("domain architect",$D355)),ISNUMBER(SEARCH("enterprise architect",$D355))),"Domain Architect",IF(ISNUMBER(SEARCH("delivery man",$D355)),"Delivery Manager",IF(OR(ISNUMBER(SEARCH("technology manager",$D355)),ISNUMBER(SEARCH("technology manger",$D355)),ISNUMBER(SEARCH("tech manager",$D355))),"Technology Manager","Squad"))))))))</f>
        <v>Squad</v>
      </c>
      <c r="AL355" s="534" t="str">
        <f>IF(TRIM($B355)="","",IF(AND($AM355=1,LEFT($AJ355,4)&lt;&gt;"EGI ",$AJ355&lt;&gt;"EGI"),IFERROR(INDEX(Lists!$Z$2:$Z$20,MATCH($AH355,Lists!$Y$2:$Y$20,0)),"EGI "&amp;$AH355),IF(COUNTIF(Lists!$AU$2:$AU$10,$AJ355),$AJ355,IF(OR(LEFT($AH355,3)="COE",$AH355="EGI"),$AJ355,IF($AK355&lt;&gt;"Squad",$AK355,$AJ355)))))</f>
        <v>Cyber Sec Ops</v>
      </c>
      <c r="AM355" s="534" t="b">
        <f>IF(TRIM($B355)="","",--(UPPER(TRIM($K355))="EGI"))</f>
        <v>0</v>
      </c>
      <c r="AQ355" s="841" t="inlineStr">
        <is>
          <t>R0354</t>
        </is>
      </c>
      <c r="AZ355" s="841" t="n"/>
    </row>
    <row r="356" ht="18" customHeight="1" s="535">
      <c r="A356" s="842" t="n">
        <v>98371</v>
      </c>
      <c r="B356" s="843" t="inlineStr">
        <is>
          <t>Stafford Dowling</t>
        </is>
      </c>
      <c r="C356" s="842" t="n">
        <v>98371</v>
      </c>
      <c r="D356" s="843" t="inlineStr">
        <is>
          <t>Cyber Security Analyst</t>
        </is>
      </c>
      <c r="E356" s="843" t="inlineStr">
        <is>
          <t>Steven Atcheson</t>
        </is>
      </c>
      <c r="F356" s="843" t="n"/>
      <c r="G356" s="844" t="inlineStr">
        <is>
          <t>Cyber, Risk &amp; Operations</t>
        </is>
      </c>
      <c r="H356" s="843" t="inlineStr">
        <is>
          <t>Cyber Sec Ops</t>
        </is>
      </c>
      <c r="I356" s="843" t="inlineStr">
        <is>
          <t>NA</t>
        </is>
      </c>
      <c r="J356" s="843" t="inlineStr">
        <is>
          <t>NA</t>
        </is>
      </c>
      <c r="K356" s="843" t="inlineStr">
        <is>
          <t>NA</t>
        </is>
      </c>
      <c r="L356" s="843" t="inlineStr">
        <is>
          <t>NA</t>
        </is>
      </c>
      <c r="M356" s="843" t="n"/>
      <c r="N356" s="845" t="inlineStr">
        <is>
          <t>Australia</t>
        </is>
      </c>
      <c r="O356" s="846" t="inlineStr">
        <is>
          <t>CIB</t>
        </is>
      </c>
      <c r="P356" s="847" t="n">
        <v>1</v>
      </c>
      <c r="Q356" s="846" t="n"/>
      <c r="R356" s="847" t="inlineStr">
        <is>
          <t>Permanent - Full Time</t>
        </is>
      </c>
      <c r="S356" s="847" t="n"/>
      <c r="T356" s="847" t="n"/>
      <c r="U356" s="848" t="n">
        <v>163830</v>
      </c>
      <c r="V356" s="849" t="n">
        <v>163830</v>
      </c>
      <c r="W356" s="850" t="n">
        <v>0.12</v>
      </c>
      <c r="X356" s="847" t="n">
        <v>0.055</v>
      </c>
      <c r="Y356" s="850" t="n">
        <v>0.12</v>
      </c>
      <c r="Z356" s="851" t="n"/>
      <c r="AA356" s="850" t="n">
        <v>0.04</v>
      </c>
      <c r="AB356" s="852" t="n">
        <v>218713.05</v>
      </c>
      <c r="AE356" s="534">
        <f>IF(TRIM($B356)="","",IF(AND(N($P356)&gt;0,N($P356)&lt;1),N($AB356)*N($P356),N($AB356)))</f>
        <v>218713.05</v>
      </c>
      <c r="AF356" s="534" t="str">
        <f>IF(TRIM($B356)="","",IF(OR(ISNUMBER(SEARCH("vacant",$B356)),ISNUMBER(SEARCH("ring fenced",$B356)),LOWER(TRIM($B356))="remove"),"Vacant","Filled"))</f>
        <v>Filled</v>
      </c>
      <c r="AG356" s="534" t="b">
        <f>IF(TRIM($B356)="","",--ISNUMBER(SEARCH("ring fenced",$B356)))</f>
        <v>0</v>
      </c>
      <c r="AH356" s="534" t="str">
        <f>IF(TRIM($B356)="","",IF(COUNTIFS(Lists!$AN$2:$AN$22,TRIM($B356)&amp;" | "&amp;TRIM($D356),Lists!$AO$2:$AO$22,"&lt;&gt;"),INDEX(Lists!$AO$2:$AO$22,MATCH(TRIM($B356)&amp;" | "&amp;TRIM($D356),Lists!$AN$2:$AN$22,0)),IF(COUNTIF(Lists!$AR$2:$AR$3,$AJ356),"TDD Cyber",IF(AND(LEFT($AJ356,4)="EGI ",ISNUMBER(MATCH(TRIM(MID($AJ356,5,99)),Lists!$AS$2:$AS$12,0))),TRIM(MID($AJ356,5,99)),IF(AND(LEFT($AJ356,4)="EGI ",ISNUMBER(MATCH(TRIM(MID($AJ356,5,99)),Lists!$T$2:$T$21,0))),INDEX(Lists!$U$2:$U$21,MATCH(TRIM(MID($AJ356,5,99)),Lists!$T$2:$T$21,0)),IF(OR(TRIM($J356)="",UPPER(TRIM($J356))="NA"),IFERROR(INDEX(Lists!$R$2:$R$9,MATCH(TRIM($G356),Lists!$Q$2:$Q$9,0)),"UNMAPPED"),IFERROR(INDEX(Lists!$U$2:$U$21,MATCH(TRIM($J356),Lists!$T$2:$T$21,0)),IFERROR(INDEX(Lists!$R$2:$R$9,MATCH(TRIM($G356),Lists!$Q$2:$Q$9,0)),"UNMAPPED"))))))))</f>
        <v>COE Cyber</v>
      </c>
      <c r="AI356" s="534" t="b">
        <f>IF(TRIM($B356)="","",--OR(TRIM($L356)="Leadership",TRIM($K356)="Leadership"))</f>
        <v>0</v>
      </c>
      <c r="AJ356" s="534" t="str">
        <f>IF(TRIM($B356)="","",IF(COUNTIFS(Lists!$AN$2:$AN$22,TRIM($B356)&amp;" | "&amp;TRIM($D356),Lists!$AP$2:$AP$22,"&lt;&gt;"),INDEX(Lists!$AP$2:$AP$22,MATCH(TRIM($B356)&amp;" | "&amp;TRIM($D356),Lists!$AN$2:$AN$22,0)),IF($AI356=1,"Leadership",IFERROR(INDEX(Lists!$X$2:$X$21,MATCH(TRIM($L356),Lists!$W$2:$W$21,0)),IF(OR(TRIM($L356)="",LOWER(TRIM($L356))="na"),IF(TRIM($H356)="","Unassigned",TRIM($H356)),TRIM($L356))))))</f>
        <v>Cyber Sec Ops</v>
      </c>
      <c r="AK356" s="534" t="str">
        <f>IF(TRIM($B356)="","",IF(COUNTIFS(Lists!$AN$2:$AN$22,TRIM($B356)&amp;" | "&amp;TRIM($D356),Lists!$AQ$2:$AQ$22,"&lt;&gt;"),INDEX(Lists!$AQ$2:$AQ$22,MATCH(TRIM($B356)&amp;" | "&amp;TRIM($D356),Lists!$AN$2:$AN$22,0)),IF(COUNTIF(Lists!$AF$2:$AF$8,$AJ356),$AJ356,IF(ISNUMBER(SEARCH("head of ",$D356)),"Head of Technology",IF(ISNUMBER(SEARCH("TDD BP",$D356)),"Business Partner",IF(OR(ISNUMBER(SEARCH("domain architect",$D356)),ISNUMBER(SEARCH("enterprise architect",$D356))),"Domain Architect",IF(ISNUMBER(SEARCH("delivery man",$D356)),"Delivery Manager",IF(OR(ISNUMBER(SEARCH("technology manager",$D356)),ISNUMBER(SEARCH("technology manger",$D356)),ISNUMBER(SEARCH("tech manager",$D356))),"Technology Manager","Squad"))))))))</f>
        <v>Squad</v>
      </c>
      <c r="AL356" s="534" t="str">
        <f>IF(TRIM($B356)="","",IF(AND($AM356=1,LEFT($AJ356,4)&lt;&gt;"EGI ",$AJ356&lt;&gt;"EGI"),IFERROR(INDEX(Lists!$Z$2:$Z$20,MATCH($AH356,Lists!$Y$2:$Y$20,0)),"EGI "&amp;$AH356),IF(COUNTIF(Lists!$AU$2:$AU$10,$AJ356),$AJ356,IF(OR(LEFT($AH356,3)="COE",$AH356="EGI"),$AJ356,IF($AK356&lt;&gt;"Squad",$AK356,$AJ356)))))</f>
        <v>Cyber Sec Ops</v>
      </c>
      <c r="AM356" s="534" t="b">
        <f>IF(TRIM($B356)="","",--(UPPER(TRIM($K356))="EGI"))</f>
        <v>0</v>
      </c>
      <c r="AQ356" s="841" t="inlineStr">
        <is>
          <t>R0355</t>
        </is>
      </c>
      <c r="AZ356" s="841" t="n"/>
    </row>
    <row r="357" ht="18" customHeight="1" s="535">
      <c r="A357" s="842" t="n">
        <v>7001</v>
      </c>
      <c r="B357" s="843" t="inlineStr">
        <is>
          <t>Joseph Maroun</t>
        </is>
      </c>
      <c r="C357" s="842" t="n">
        <v>7001</v>
      </c>
      <c r="D357" s="843" t="inlineStr">
        <is>
          <t>Systems Analyst</t>
        </is>
      </c>
      <c r="E357" s="843" t="inlineStr">
        <is>
          <t>Tracy Lee Reaper</t>
        </is>
      </c>
      <c r="F357" s="843" t="inlineStr">
        <is>
          <t>Tech Manager, Merchandising &amp; WFM</t>
        </is>
      </c>
      <c r="G357" s="844" t="inlineStr">
        <is>
          <t>Ampol Retail &amp; Z</t>
        </is>
      </c>
      <c r="H357" s="843" t="inlineStr">
        <is>
          <t>Ampol Retail</t>
        </is>
      </c>
      <c r="I357" s="843" t="inlineStr">
        <is>
          <t>Ampol Retail, Merch &amp; RTA</t>
        </is>
      </c>
      <c r="J357" s="843" t="inlineStr">
        <is>
          <t>Retail</t>
        </is>
      </c>
      <c r="K357" s="843" t="inlineStr">
        <is>
          <t>Above Store</t>
        </is>
      </c>
      <c r="L357" s="843" t="inlineStr">
        <is>
          <t>Above Store</t>
        </is>
      </c>
      <c r="M357" s="843" t="n"/>
      <c r="N357" s="845" t="inlineStr">
        <is>
          <t>Australia</t>
        </is>
      </c>
      <c r="O357" s="846" t="inlineStr">
        <is>
          <t>CIB</t>
        </is>
      </c>
      <c r="P357" s="847" t="n">
        <v>1</v>
      </c>
      <c r="Q357" s="846" t="n"/>
      <c r="R357" s="847" t="inlineStr">
        <is>
          <t>Permanent - Full Time</t>
        </is>
      </c>
      <c r="S357" s="847" t="n"/>
      <c r="T357" s="847" t="n"/>
      <c r="U357" s="848" t="n">
        <v>134270</v>
      </c>
      <c r="V357" s="849" t="n">
        <v>134270</v>
      </c>
      <c r="W357" s="850" t="n">
        <v>0.1</v>
      </c>
      <c r="X357" s="847" t="n">
        <v>0.055</v>
      </c>
      <c r="Y357" s="850" t="n">
        <v>0.12</v>
      </c>
      <c r="Z357" s="851" t="n"/>
      <c r="AA357" s="850" t="n">
        <v>0.04</v>
      </c>
      <c r="AB357" s="852" t="n">
        <v>176565.05</v>
      </c>
      <c r="AE357" s="534">
        <f>IF(TRIM($B357)="","",IF(AND(N($P357)&gt;0,N($P357)&lt;1),N($AB357)*N($P357),N($AB357)))</f>
        <v>176565.05</v>
      </c>
      <c r="AF357" s="534" t="str">
        <f>IF(TRIM($B357)="","",IF(OR(ISNUMBER(SEARCH("vacant",$B357)),ISNUMBER(SEARCH("ring fenced",$B357)),LOWER(TRIM($B357))="remove"),"Vacant","Filled"))</f>
        <v>Filled</v>
      </c>
      <c r="AG357" s="534" t="b">
        <f>IF(TRIM($B357)="","",--ISNUMBER(SEARCH("ring fenced",$B357)))</f>
        <v>0</v>
      </c>
      <c r="AH357" s="534" t="str">
        <f>IF(TRIM($B357)="","",IF(COUNTIFS(Lists!$AN$2:$AN$22,TRIM($B357)&amp;" | "&amp;TRIM($D357),Lists!$AO$2:$AO$22,"&lt;&gt;"),INDEX(Lists!$AO$2:$AO$22,MATCH(TRIM($B357)&amp;" | "&amp;TRIM($D357),Lists!$AN$2:$AN$22,0)),IF(COUNTIF(Lists!$AR$2:$AR$3,$AJ357),"TDD Cyber",IF(AND(LEFT($AJ357,4)="EGI ",ISNUMBER(MATCH(TRIM(MID($AJ357,5,99)),Lists!$AS$2:$AS$12,0))),TRIM(MID($AJ357,5,99)),IF(AND(LEFT($AJ357,4)="EGI ",ISNUMBER(MATCH(TRIM(MID($AJ357,5,99)),Lists!$T$2:$T$21,0))),INDEX(Lists!$U$2:$U$21,MATCH(TRIM(MID($AJ357,5,99)),Lists!$T$2:$T$21,0)),IF(OR(TRIM($J357)="",UPPER(TRIM($J357))="NA"),IFERROR(INDEX(Lists!$R$2:$R$9,MATCH(TRIM($G357),Lists!$Q$2:$Q$9,0)),"UNMAPPED"),IFERROR(INDEX(Lists!$U$2:$U$21,MATCH(TRIM($J357),Lists!$T$2:$T$21,0)),IFERROR(INDEX(Lists!$R$2:$R$9,MATCH(TRIM($G357),Lists!$Q$2:$Q$9,0)),"UNMAPPED"))))))))</f>
        <v>Ampol Retail</v>
      </c>
      <c r="AI357" s="534" t="b">
        <f>IF(TRIM($B357)="","",--OR(TRIM($L357)="Leadership",TRIM($K357)="Leadership"))</f>
        <v>0</v>
      </c>
      <c r="AJ357" s="534" t="str">
        <f>IF(TRIM($B357)="","",IF(COUNTIFS(Lists!$AN$2:$AN$22,TRIM($B357)&amp;" | "&amp;TRIM($D357),Lists!$AP$2:$AP$22,"&lt;&gt;"),INDEX(Lists!$AP$2:$AP$22,MATCH(TRIM($B357)&amp;" | "&amp;TRIM($D357),Lists!$AN$2:$AN$22,0)),IF($AI357=1,"Leadership",IFERROR(INDEX(Lists!$X$2:$X$21,MATCH(TRIM($L357),Lists!$W$2:$W$21,0)),IF(OR(TRIM($L357)="",LOWER(TRIM($L357))="na"),IF(TRIM($H357)="","Unassigned",TRIM($H357)),TRIM($L357))))))</f>
        <v>Above Store</v>
      </c>
      <c r="AK357" s="534" t="str">
        <f>IF(TRIM($B357)="","",IF(COUNTIFS(Lists!$AN$2:$AN$22,TRIM($B357)&amp;" | "&amp;TRIM($D357),Lists!$AQ$2:$AQ$22,"&lt;&gt;"),INDEX(Lists!$AQ$2:$AQ$22,MATCH(TRIM($B357)&amp;" | "&amp;TRIM($D357),Lists!$AN$2:$AN$22,0)),IF(COUNTIF(Lists!$AF$2:$AF$8,$AJ357),$AJ357,IF(ISNUMBER(SEARCH("head of ",$D357)),"Head of Technology",IF(ISNUMBER(SEARCH("TDD BP",$D357)),"Business Partner",IF(OR(ISNUMBER(SEARCH("domain architect",$D357)),ISNUMBER(SEARCH("enterprise architect",$D357))),"Domain Architect",IF(ISNUMBER(SEARCH("delivery man",$D357)),"Delivery Manager",IF(OR(ISNUMBER(SEARCH("technology manager",$D357)),ISNUMBER(SEARCH("technology manger",$D357)),ISNUMBER(SEARCH("tech manager",$D357))),"Technology Manager","Squad"))))))))</f>
        <v>Squad</v>
      </c>
      <c r="AL357" s="534" t="str">
        <f>IF(TRIM($B357)="","",IF(AND($AM357=1,LEFT($AJ357,4)&lt;&gt;"EGI ",$AJ357&lt;&gt;"EGI"),IFERROR(INDEX(Lists!$Z$2:$Z$20,MATCH($AH357,Lists!$Y$2:$Y$20,0)),"EGI "&amp;$AH357),IF(COUNTIF(Lists!$AU$2:$AU$10,$AJ357),$AJ357,IF(OR(LEFT($AH357,3)="COE",$AH357="EGI"),$AJ357,IF($AK357&lt;&gt;"Squad",$AK357,$AJ357)))))</f>
        <v>Above Store</v>
      </c>
      <c r="AM357" s="534" t="b">
        <f>IF(TRIM($B357)="","",--(UPPER(TRIM($K357))="EGI"))</f>
        <v>0</v>
      </c>
      <c r="AQ357" s="841" t="inlineStr">
        <is>
          <t>R0356</t>
        </is>
      </c>
      <c r="AZ357" s="841" t="n"/>
    </row>
    <row r="358" ht="18" customHeight="1" s="535">
      <c r="A358" s="842" t="n">
        <v>86743</v>
      </c>
      <c r="B358" s="843" t="inlineStr">
        <is>
          <t>Majdi Abedi</t>
        </is>
      </c>
      <c r="C358" s="842" t="n">
        <v>86743</v>
      </c>
      <c r="D358" s="843" t="inlineStr">
        <is>
          <t>Systems Analyst</t>
        </is>
      </c>
      <c r="E358" s="843" t="inlineStr">
        <is>
          <t>Tracy Lee Reaper</t>
        </is>
      </c>
      <c r="F358" s="843" t="inlineStr">
        <is>
          <t>Tech Manager, Merchandising &amp; WFM</t>
        </is>
      </c>
      <c r="G358" s="844" t="inlineStr">
        <is>
          <t>Ampol Retail &amp; Z</t>
        </is>
      </c>
      <c r="H358" s="843" t="inlineStr">
        <is>
          <t>Ampol Retail</t>
        </is>
      </c>
      <c r="I358" s="843" t="inlineStr">
        <is>
          <t>Ampol Retail, Merch &amp; RTA</t>
        </is>
      </c>
      <c r="J358" s="843" t="inlineStr">
        <is>
          <t>Retail</t>
        </is>
      </c>
      <c r="K358" s="843" t="inlineStr">
        <is>
          <t>Above Store</t>
        </is>
      </c>
      <c r="L358" s="843" t="inlineStr">
        <is>
          <t>Above Store</t>
        </is>
      </c>
      <c r="M358" s="843" t="n"/>
      <c r="N358" s="845" t="inlineStr">
        <is>
          <t>Australia</t>
        </is>
      </c>
      <c r="O358" s="846" t="inlineStr">
        <is>
          <t>CIB</t>
        </is>
      </c>
      <c r="P358" s="847" t="n">
        <v>1</v>
      </c>
      <c r="Q358" s="846" t="n"/>
      <c r="R358" s="847" t="inlineStr">
        <is>
          <t>Permanent - Full Time</t>
        </is>
      </c>
      <c r="S358" s="847" t="n"/>
      <c r="T358" s="847" t="n"/>
      <c r="U358" s="848" t="n">
        <v>116170</v>
      </c>
      <c r="V358" s="849" t="n">
        <v>106876.4</v>
      </c>
      <c r="W358" s="850" t="n">
        <v>0.15</v>
      </c>
      <c r="X358" s="847" t="n"/>
      <c r="Y358" s="850" t="n">
        <v>0.05</v>
      </c>
      <c r="Z358" s="851" t="n">
        <v>2910</v>
      </c>
      <c r="AA358" s="850" t="n">
        <v>0.03</v>
      </c>
      <c r="AB358" s="852" t="n">
        <v>134367.972</v>
      </c>
      <c r="AE358" s="534">
        <f>IF(TRIM($B358)="","",IF(AND(N($P358)&gt;0,N($P358)&lt;1),N($AB358)*N($P358),N($AB358)))</f>
        <v>134367.972</v>
      </c>
      <c r="AF358" s="534" t="str">
        <f>IF(TRIM($B358)="","",IF(OR(ISNUMBER(SEARCH("vacant",$B358)),ISNUMBER(SEARCH("ring fenced",$B358)),LOWER(TRIM($B358))="remove"),"Vacant","Filled"))</f>
        <v>Filled</v>
      </c>
      <c r="AG358" s="534" t="b">
        <f>IF(TRIM($B358)="","",--ISNUMBER(SEARCH("ring fenced",$B358)))</f>
        <v>0</v>
      </c>
      <c r="AH358" s="534" t="str">
        <f>IF(TRIM($B358)="","",IF(COUNTIFS(Lists!$AN$2:$AN$22,TRIM($B358)&amp;" | "&amp;TRIM($D358),Lists!$AO$2:$AO$22,"&lt;&gt;"),INDEX(Lists!$AO$2:$AO$22,MATCH(TRIM($B358)&amp;" | "&amp;TRIM($D358),Lists!$AN$2:$AN$22,0)),IF(COUNTIF(Lists!$AR$2:$AR$3,$AJ358),"TDD Cyber",IF(AND(LEFT($AJ358,4)="EGI ",ISNUMBER(MATCH(TRIM(MID($AJ358,5,99)),Lists!$AS$2:$AS$12,0))),TRIM(MID($AJ358,5,99)),IF(AND(LEFT($AJ358,4)="EGI ",ISNUMBER(MATCH(TRIM(MID($AJ358,5,99)),Lists!$T$2:$T$21,0))),INDEX(Lists!$U$2:$U$21,MATCH(TRIM(MID($AJ358,5,99)),Lists!$T$2:$T$21,0)),IF(OR(TRIM($J358)="",UPPER(TRIM($J358))="NA"),IFERROR(INDEX(Lists!$R$2:$R$9,MATCH(TRIM($G358),Lists!$Q$2:$Q$9,0)),"UNMAPPED"),IFERROR(INDEX(Lists!$U$2:$U$21,MATCH(TRIM($J358),Lists!$T$2:$T$21,0)),IFERROR(INDEX(Lists!$R$2:$R$9,MATCH(TRIM($G358),Lists!$Q$2:$Q$9,0)),"UNMAPPED"))))))))</f>
        <v>Ampol Retail</v>
      </c>
      <c r="AI358" s="534" t="b">
        <f>IF(TRIM($B358)="","",--OR(TRIM($L358)="Leadership",TRIM($K358)="Leadership"))</f>
        <v>0</v>
      </c>
      <c r="AJ358" s="534" t="str">
        <f>IF(TRIM($B358)="","",IF(COUNTIFS(Lists!$AN$2:$AN$22,TRIM($B358)&amp;" | "&amp;TRIM($D358),Lists!$AP$2:$AP$22,"&lt;&gt;"),INDEX(Lists!$AP$2:$AP$22,MATCH(TRIM($B358)&amp;" | "&amp;TRIM($D358),Lists!$AN$2:$AN$22,0)),IF($AI358=1,"Leadership",IFERROR(INDEX(Lists!$X$2:$X$21,MATCH(TRIM($L358),Lists!$W$2:$W$21,0)),IF(OR(TRIM($L358)="",LOWER(TRIM($L358))="na"),IF(TRIM($H358)="","Unassigned",TRIM($H358)),TRIM($L358))))))</f>
        <v>Above Store</v>
      </c>
      <c r="AK358" s="534" t="str">
        <f>IF(TRIM($B358)="","",IF(COUNTIFS(Lists!$AN$2:$AN$22,TRIM($B358)&amp;" | "&amp;TRIM($D358),Lists!$AQ$2:$AQ$22,"&lt;&gt;"),INDEX(Lists!$AQ$2:$AQ$22,MATCH(TRIM($B358)&amp;" | "&amp;TRIM($D358),Lists!$AN$2:$AN$22,0)),IF(COUNTIF(Lists!$AF$2:$AF$8,$AJ358),$AJ358,IF(ISNUMBER(SEARCH("head of ",$D358)),"Head of Technology",IF(ISNUMBER(SEARCH("TDD BP",$D358)),"Business Partner",IF(OR(ISNUMBER(SEARCH("domain architect",$D358)),ISNUMBER(SEARCH("enterprise architect",$D358))),"Domain Architect",IF(ISNUMBER(SEARCH("delivery man",$D358)),"Delivery Manager",IF(OR(ISNUMBER(SEARCH("technology manager",$D358)),ISNUMBER(SEARCH("technology manger",$D358)),ISNUMBER(SEARCH("tech manager",$D358))),"Technology Manager","Squad"))))))))</f>
        <v>Squad</v>
      </c>
      <c r="AL358" s="534" t="str">
        <f>IF(TRIM($B358)="","",IF(AND($AM358=1,LEFT($AJ358,4)&lt;&gt;"EGI ",$AJ358&lt;&gt;"EGI"),IFERROR(INDEX(Lists!$Z$2:$Z$20,MATCH($AH358,Lists!$Y$2:$Y$20,0)),"EGI "&amp;$AH358),IF(COUNTIF(Lists!$AU$2:$AU$10,$AJ358),$AJ358,IF(OR(LEFT($AH358,3)="COE",$AH358="EGI"),$AJ358,IF($AK358&lt;&gt;"Squad",$AK358,$AJ358)))))</f>
        <v>Above Store</v>
      </c>
      <c r="AM358" s="534" t="b">
        <f>IF(TRIM($B358)="","",--(UPPER(TRIM($K358))="EGI"))</f>
        <v>0</v>
      </c>
      <c r="AQ358" s="841" t="inlineStr">
        <is>
          <t>R0357</t>
        </is>
      </c>
      <c r="AZ358" s="841" t="n"/>
    </row>
    <row r="359" ht="18" customHeight="1" s="535">
      <c r="A359" s="842" t="n">
        <v>108357</v>
      </c>
      <c r="B359" s="843" t="inlineStr">
        <is>
          <t>Pahul Oberoi</t>
        </is>
      </c>
      <c r="C359" s="842" t="n">
        <v>108357</v>
      </c>
      <c r="D359" s="843" t="inlineStr">
        <is>
          <t>Systems Analyst</t>
        </is>
      </c>
      <c r="E359" s="843" t="inlineStr">
        <is>
          <t>Tracy Lee Reaper</t>
        </is>
      </c>
      <c r="F359" s="843" t="inlineStr">
        <is>
          <t>Tech Manager, Merchandising &amp; WFM</t>
        </is>
      </c>
      <c r="G359" s="844" t="inlineStr">
        <is>
          <t>Ampol Retail &amp; Z</t>
        </is>
      </c>
      <c r="H359" s="843" t="inlineStr">
        <is>
          <t>Ampol Retail</t>
        </is>
      </c>
      <c r="I359" s="843" t="inlineStr">
        <is>
          <t>Ampol Retail, Merch &amp; RTA</t>
        </is>
      </c>
      <c r="J359" s="843" t="inlineStr">
        <is>
          <t>Retail</t>
        </is>
      </c>
      <c r="K359" s="843" t="inlineStr">
        <is>
          <t>Above Store</t>
        </is>
      </c>
      <c r="L359" s="843" t="inlineStr">
        <is>
          <t>Above Store</t>
        </is>
      </c>
      <c r="M359" s="843" t="n"/>
      <c r="N359" s="845" t="inlineStr">
        <is>
          <t>Australia</t>
        </is>
      </c>
      <c r="O359" s="846" t="inlineStr">
        <is>
          <t>CIB</t>
        </is>
      </c>
      <c r="P359" s="847" t="n">
        <v>1</v>
      </c>
      <c r="Q359" s="847" t="n"/>
      <c r="R359" s="847" t="inlineStr">
        <is>
          <t>Permanent - Full Time</t>
        </is>
      </c>
      <c r="S359" s="847" t="n"/>
      <c r="T359" s="847" t="n"/>
      <c r="U359" s="848" t="n">
        <v>123240</v>
      </c>
      <c r="V359" s="849" t="n">
        <v>123240</v>
      </c>
      <c r="W359" s="850" t="n">
        <v>0.1</v>
      </c>
      <c r="X359" s="847" t="n">
        <v>0.055</v>
      </c>
      <c r="Y359" s="850" t="n">
        <v>0.12</v>
      </c>
      <c r="Z359" s="851" t="n"/>
      <c r="AA359" s="850" t="n">
        <v>0.04</v>
      </c>
      <c r="AB359" s="852" t="n">
        <v>162060.6</v>
      </c>
      <c r="AE359" s="534">
        <f>IF(TRIM($B359)="","",IF(AND(N($P359)&gt;0,N($P359)&lt;1),N($AB359)*N($P359),N($AB359)))</f>
        <v>162060.6</v>
      </c>
      <c r="AF359" s="534" t="str">
        <f>IF(TRIM($B359)="","",IF(OR(ISNUMBER(SEARCH("vacant",$B359)),ISNUMBER(SEARCH("ring fenced",$B359)),LOWER(TRIM($B359))="remove"),"Vacant","Filled"))</f>
        <v>Filled</v>
      </c>
      <c r="AG359" s="534" t="b">
        <f>IF(TRIM($B359)="","",--ISNUMBER(SEARCH("ring fenced",$B359)))</f>
        <v>0</v>
      </c>
      <c r="AH359" s="534" t="str">
        <f>IF(TRIM($B359)="","",IF(COUNTIFS(Lists!$AN$2:$AN$22,TRIM($B359)&amp;" | "&amp;TRIM($D359),Lists!$AO$2:$AO$22,"&lt;&gt;"),INDEX(Lists!$AO$2:$AO$22,MATCH(TRIM($B359)&amp;" | "&amp;TRIM($D359),Lists!$AN$2:$AN$22,0)),IF(COUNTIF(Lists!$AR$2:$AR$3,$AJ359),"TDD Cyber",IF(AND(LEFT($AJ359,4)="EGI ",ISNUMBER(MATCH(TRIM(MID($AJ359,5,99)),Lists!$AS$2:$AS$12,0))),TRIM(MID($AJ359,5,99)),IF(AND(LEFT($AJ359,4)="EGI ",ISNUMBER(MATCH(TRIM(MID($AJ359,5,99)),Lists!$T$2:$T$21,0))),INDEX(Lists!$U$2:$U$21,MATCH(TRIM(MID($AJ359,5,99)),Lists!$T$2:$T$21,0)),IF(OR(TRIM($J359)="",UPPER(TRIM($J359))="NA"),IFERROR(INDEX(Lists!$R$2:$R$9,MATCH(TRIM($G359),Lists!$Q$2:$Q$9,0)),"UNMAPPED"),IFERROR(INDEX(Lists!$U$2:$U$21,MATCH(TRIM($J359),Lists!$T$2:$T$21,0)),IFERROR(INDEX(Lists!$R$2:$R$9,MATCH(TRIM($G359),Lists!$Q$2:$Q$9,0)),"UNMAPPED"))))))))</f>
        <v>Ampol Retail</v>
      </c>
      <c r="AI359" s="534" t="b">
        <f>IF(TRIM($B359)="","",--OR(TRIM($L359)="Leadership",TRIM($K359)="Leadership"))</f>
        <v>0</v>
      </c>
      <c r="AJ359" s="534" t="str">
        <f>IF(TRIM($B359)="","",IF(COUNTIFS(Lists!$AN$2:$AN$22,TRIM($B359)&amp;" | "&amp;TRIM($D359),Lists!$AP$2:$AP$22,"&lt;&gt;"),INDEX(Lists!$AP$2:$AP$22,MATCH(TRIM($B359)&amp;" | "&amp;TRIM($D359),Lists!$AN$2:$AN$22,0)),IF($AI359=1,"Leadership",IFERROR(INDEX(Lists!$X$2:$X$21,MATCH(TRIM($L359),Lists!$W$2:$W$21,0)),IF(OR(TRIM($L359)="",LOWER(TRIM($L359))="na"),IF(TRIM($H359)="","Unassigned",TRIM($H359)),TRIM($L359))))))</f>
        <v>Above Store</v>
      </c>
      <c r="AK359" s="534" t="str">
        <f>IF(TRIM($B359)="","",IF(COUNTIFS(Lists!$AN$2:$AN$22,TRIM($B359)&amp;" | "&amp;TRIM($D359),Lists!$AQ$2:$AQ$22,"&lt;&gt;"),INDEX(Lists!$AQ$2:$AQ$22,MATCH(TRIM($B359)&amp;" | "&amp;TRIM($D359),Lists!$AN$2:$AN$22,0)),IF(COUNTIF(Lists!$AF$2:$AF$8,$AJ359),$AJ359,IF(ISNUMBER(SEARCH("head of ",$D359)),"Head of Technology",IF(ISNUMBER(SEARCH("TDD BP",$D359)),"Business Partner",IF(OR(ISNUMBER(SEARCH("domain architect",$D359)),ISNUMBER(SEARCH("enterprise architect",$D359))),"Domain Architect",IF(ISNUMBER(SEARCH("delivery man",$D359)),"Delivery Manager",IF(OR(ISNUMBER(SEARCH("technology manager",$D359)),ISNUMBER(SEARCH("technology manger",$D359)),ISNUMBER(SEARCH("tech manager",$D359))),"Technology Manager","Squad"))))))))</f>
        <v>Squad</v>
      </c>
      <c r="AL359" s="534" t="str">
        <f>IF(TRIM($B359)="","",IF(AND($AM359=1,LEFT($AJ359,4)&lt;&gt;"EGI ",$AJ359&lt;&gt;"EGI"),IFERROR(INDEX(Lists!$Z$2:$Z$20,MATCH($AH359,Lists!$Y$2:$Y$20,0)),"EGI "&amp;$AH359),IF(COUNTIF(Lists!$AU$2:$AU$10,$AJ359),$AJ359,IF(OR(LEFT($AH359,3)="COE",$AH359="EGI"),$AJ359,IF($AK359&lt;&gt;"Squad",$AK359,$AJ359)))))</f>
        <v>Above Store</v>
      </c>
      <c r="AM359" s="534" t="b">
        <f>IF(TRIM($B359)="","",--(UPPER(TRIM($K359))="EGI"))</f>
        <v>0</v>
      </c>
      <c r="AQ359" s="841" t="inlineStr">
        <is>
          <t>R0358</t>
        </is>
      </c>
      <c r="AZ359" s="841" t="n"/>
    </row>
    <row r="360" ht="18" customHeight="1" s="535">
      <c r="A360" s="842" t="n">
        <v>11424</v>
      </c>
      <c r="B360" s="843" t="inlineStr">
        <is>
          <t>Sao Keawprasit</t>
        </is>
      </c>
      <c r="C360" s="842" t="n">
        <v>11424</v>
      </c>
      <c r="D360" s="843" t="inlineStr">
        <is>
          <t>Systems Analyst</t>
        </is>
      </c>
      <c r="E360" s="843" t="inlineStr">
        <is>
          <t>Tracy Lee Reaper</t>
        </is>
      </c>
      <c r="F360" s="843" t="inlineStr">
        <is>
          <t>Tech Manager, Merchandising &amp; WFM</t>
        </is>
      </c>
      <c r="G360" s="844" t="inlineStr">
        <is>
          <t>Ampol Retail &amp; Z</t>
        </is>
      </c>
      <c r="H360" s="843" t="inlineStr">
        <is>
          <t>Ampol Retail</t>
        </is>
      </c>
      <c r="I360" s="843" t="inlineStr">
        <is>
          <t>Ampol Retail, Merch &amp; RTA</t>
        </is>
      </c>
      <c r="J360" s="843" t="inlineStr">
        <is>
          <t>Retail</t>
        </is>
      </c>
      <c r="K360" s="843" t="inlineStr">
        <is>
          <t>Above Store</t>
        </is>
      </c>
      <c r="L360" s="843" t="inlineStr">
        <is>
          <t>Above Store</t>
        </is>
      </c>
      <c r="M360" s="843" t="n"/>
      <c r="N360" s="845" t="inlineStr">
        <is>
          <t>Australia</t>
        </is>
      </c>
      <c r="O360" s="846" t="inlineStr">
        <is>
          <t>CIB</t>
        </is>
      </c>
      <c r="P360" s="847" t="n">
        <v>1</v>
      </c>
      <c r="Q360" s="846" t="n"/>
      <c r="R360" s="847" t="inlineStr">
        <is>
          <t>Permanent - Full Time</t>
        </is>
      </c>
      <c r="S360" s="847" t="n"/>
      <c r="T360" s="847" t="n"/>
      <c r="U360" s="848" t="n">
        <v>152220</v>
      </c>
      <c r="V360" s="849" t="n">
        <v>152220</v>
      </c>
      <c r="W360" s="850" t="n">
        <v>0.12</v>
      </c>
      <c r="X360" s="847" t="n">
        <v>0.055</v>
      </c>
      <c r="Y360" s="850" t="n">
        <v>0.12</v>
      </c>
      <c r="Z360" s="851" t="n"/>
      <c r="AA360" s="850" t="n">
        <v>0.04</v>
      </c>
      <c r="AB360" s="852" t="n">
        <v>203213.7</v>
      </c>
      <c r="AE360" s="534">
        <f>IF(TRIM($B360)="","",IF(AND(N($P360)&gt;0,N($P360)&lt;1),N($AB360)*N($P360),N($AB360)))</f>
        <v>203213.7</v>
      </c>
      <c r="AF360" s="534" t="str">
        <f>IF(TRIM($B360)="","",IF(OR(ISNUMBER(SEARCH("vacant",$B360)),ISNUMBER(SEARCH("ring fenced",$B360)),LOWER(TRIM($B360))="remove"),"Vacant","Filled"))</f>
        <v>Filled</v>
      </c>
      <c r="AG360" s="534" t="b">
        <f>IF(TRIM($B360)="","",--ISNUMBER(SEARCH("ring fenced",$B360)))</f>
        <v>0</v>
      </c>
      <c r="AH360" s="534" t="str">
        <f>IF(TRIM($B360)="","",IF(COUNTIFS(Lists!$AN$2:$AN$22,TRIM($B360)&amp;" | "&amp;TRIM($D360),Lists!$AO$2:$AO$22,"&lt;&gt;"),INDEX(Lists!$AO$2:$AO$22,MATCH(TRIM($B360)&amp;" | "&amp;TRIM($D360),Lists!$AN$2:$AN$22,0)),IF(COUNTIF(Lists!$AR$2:$AR$3,$AJ360),"TDD Cyber",IF(AND(LEFT($AJ360,4)="EGI ",ISNUMBER(MATCH(TRIM(MID($AJ360,5,99)),Lists!$AS$2:$AS$12,0))),TRIM(MID($AJ360,5,99)),IF(AND(LEFT($AJ360,4)="EGI ",ISNUMBER(MATCH(TRIM(MID($AJ360,5,99)),Lists!$T$2:$T$21,0))),INDEX(Lists!$U$2:$U$21,MATCH(TRIM(MID($AJ360,5,99)),Lists!$T$2:$T$21,0)),IF(OR(TRIM($J360)="",UPPER(TRIM($J360))="NA"),IFERROR(INDEX(Lists!$R$2:$R$9,MATCH(TRIM($G360),Lists!$Q$2:$Q$9,0)),"UNMAPPED"),IFERROR(INDEX(Lists!$U$2:$U$21,MATCH(TRIM($J360),Lists!$T$2:$T$21,0)),IFERROR(INDEX(Lists!$R$2:$R$9,MATCH(TRIM($G360),Lists!$Q$2:$Q$9,0)),"UNMAPPED"))))))))</f>
        <v>Ampol Retail</v>
      </c>
      <c r="AI360" s="534" t="b">
        <f>IF(TRIM($B360)="","",--OR(TRIM($L360)="Leadership",TRIM($K360)="Leadership"))</f>
        <v>0</v>
      </c>
      <c r="AJ360" s="534" t="str">
        <f>IF(TRIM($B360)="","",IF(COUNTIFS(Lists!$AN$2:$AN$22,TRIM($B360)&amp;" | "&amp;TRIM($D360),Lists!$AP$2:$AP$22,"&lt;&gt;"),INDEX(Lists!$AP$2:$AP$22,MATCH(TRIM($B360)&amp;" | "&amp;TRIM($D360),Lists!$AN$2:$AN$22,0)),IF($AI360=1,"Leadership",IFERROR(INDEX(Lists!$X$2:$X$21,MATCH(TRIM($L360),Lists!$W$2:$W$21,0)),IF(OR(TRIM($L360)="",LOWER(TRIM($L360))="na"),IF(TRIM($H360)="","Unassigned",TRIM($H360)),TRIM($L360))))))</f>
        <v>Above Store</v>
      </c>
      <c r="AK360" s="534" t="str">
        <f>IF(TRIM($B360)="","",IF(COUNTIFS(Lists!$AN$2:$AN$22,TRIM($B360)&amp;" | "&amp;TRIM($D360),Lists!$AQ$2:$AQ$22,"&lt;&gt;"),INDEX(Lists!$AQ$2:$AQ$22,MATCH(TRIM($B360)&amp;" | "&amp;TRIM($D360),Lists!$AN$2:$AN$22,0)),IF(COUNTIF(Lists!$AF$2:$AF$8,$AJ360),$AJ360,IF(ISNUMBER(SEARCH("head of ",$D360)),"Head of Technology",IF(ISNUMBER(SEARCH("TDD BP",$D360)),"Business Partner",IF(OR(ISNUMBER(SEARCH("domain architect",$D360)),ISNUMBER(SEARCH("enterprise architect",$D360))),"Domain Architect",IF(ISNUMBER(SEARCH("delivery man",$D360)),"Delivery Manager",IF(OR(ISNUMBER(SEARCH("technology manager",$D360)),ISNUMBER(SEARCH("technology manger",$D360)),ISNUMBER(SEARCH("tech manager",$D360))),"Technology Manager","Squad"))))))))</f>
        <v>Squad</v>
      </c>
      <c r="AL360" s="534" t="str">
        <f>IF(TRIM($B360)="","",IF(AND($AM360=1,LEFT($AJ360,4)&lt;&gt;"EGI ",$AJ360&lt;&gt;"EGI"),IFERROR(INDEX(Lists!$Z$2:$Z$20,MATCH($AH360,Lists!$Y$2:$Y$20,0)),"EGI "&amp;$AH360),IF(COUNTIF(Lists!$AU$2:$AU$10,$AJ360),$AJ360,IF(OR(LEFT($AH360,3)="COE",$AH360="EGI"),$AJ360,IF($AK360&lt;&gt;"Squad",$AK360,$AJ360)))))</f>
        <v>Above Store</v>
      </c>
      <c r="AM360" s="534" t="b">
        <f>IF(TRIM($B360)="","",--(UPPER(TRIM($K360))="EGI"))</f>
        <v>0</v>
      </c>
      <c r="AQ360" s="841" t="inlineStr">
        <is>
          <t>R0359</t>
        </is>
      </c>
      <c r="AZ360" s="841" t="n"/>
    </row>
    <row r="361" ht="18" customHeight="1" s="535">
      <c r="A361" s="842" t="inlineStr">
        <is>
          <t>V</t>
        </is>
      </c>
      <c r="B361" s="843" t="inlineStr">
        <is>
          <t>Vacant</t>
        </is>
      </c>
      <c r="C361" s="842" t="inlineStr">
        <is>
          <t>V</t>
        </is>
      </c>
      <c r="D361" s="843" t="inlineStr">
        <is>
          <t>Engineer - Integration</t>
        </is>
      </c>
      <c r="E361" s="843" t="inlineStr">
        <is>
          <t>Tracy Lee Reaper</t>
        </is>
      </c>
      <c r="F361" s="843" t="inlineStr">
        <is>
          <t>Tech Manager, Merchandising &amp; WFM</t>
        </is>
      </c>
      <c r="G361" s="844" t="inlineStr">
        <is>
          <t>Ampol Retail &amp; Z</t>
        </is>
      </c>
      <c r="H361" s="843" t="inlineStr">
        <is>
          <t>Ampol Retail</t>
        </is>
      </c>
      <c r="I361" s="843" t="inlineStr">
        <is>
          <t>Ampol Retail, Merch &amp; RTA</t>
        </is>
      </c>
      <c r="J361" s="843" t="inlineStr">
        <is>
          <t>Retail</t>
        </is>
      </c>
      <c r="K361" s="843" t="inlineStr">
        <is>
          <t>Above Store</t>
        </is>
      </c>
      <c r="L361" s="843" t="inlineStr">
        <is>
          <t>Above Store</t>
        </is>
      </c>
      <c r="M361" s="843" t="n"/>
      <c r="N361" s="845" t="inlineStr">
        <is>
          <t>Australia</t>
        </is>
      </c>
      <c r="O361" s="846" t="inlineStr">
        <is>
          <t>CIB</t>
        </is>
      </c>
      <c r="P361" s="847" t="n">
        <v>1</v>
      </c>
      <c r="Q361" s="846" t="n"/>
      <c r="R361" s="847" t="inlineStr">
        <is>
          <t>v</t>
        </is>
      </c>
      <c r="S361" s="847" t="n"/>
      <c r="T361" s="847" t="n"/>
      <c r="U361" s="848" t="n">
        <v>129650</v>
      </c>
      <c r="V361" s="849" t="n">
        <v>129650</v>
      </c>
      <c r="W361" s="850" t="n">
        <v>0.1</v>
      </c>
      <c r="X361" s="847" t="n">
        <v>0.055</v>
      </c>
      <c r="Y361" s="850" t="n">
        <v>0.12</v>
      </c>
      <c r="Z361" s="851" t="n"/>
      <c r="AA361" s="850" t="n">
        <v>0.04</v>
      </c>
      <c r="AB361" s="852" t="n">
        <v>170489.75</v>
      </c>
      <c r="AE361" s="534">
        <f>IF(TRIM($B361)="","",IF(AND(N($P361)&gt;0,N($P361)&lt;1),N($AB361)*N($P361),N($AB361)))</f>
        <v>170489.75</v>
      </c>
      <c r="AF361" s="534" t="str">
        <f>IF(TRIM($B361)="","",IF(OR(ISNUMBER(SEARCH("vacant",$B361)),ISNUMBER(SEARCH("ring fenced",$B361)),LOWER(TRIM($B361))="remove"),"Vacant","Filled"))</f>
        <v>Vacant</v>
      </c>
      <c r="AG361" s="534" t="b">
        <f>IF(TRIM($B361)="","",--ISNUMBER(SEARCH("ring fenced",$B361)))</f>
        <v>0</v>
      </c>
      <c r="AH361" s="534" t="str">
        <f>IF(TRIM($B361)="","",IF(COUNTIFS(Lists!$AN$2:$AN$22,TRIM($B361)&amp;" | "&amp;TRIM($D361),Lists!$AO$2:$AO$22,"&lt;&gt;"),INDEX(Lists!$AO$2:$AO$22,MATCH(TRIM($B361)&amp;" | "&amp;TRIM($D361),Lists!$AN$2:$AN$22,0)),IF(COUNTIF(Lists!$AR$2:$AR$3,$AJ361),"TDD Cyber",IF(AND(LEFT($AJ361,4)="EGI ",ISNUMBER(MATCH(TRIM(MID($AJ361,5,99)),Lists!$AS$2:$AS$12,0))),TRIM(MID($AJ361,5,99)),IF(AND(LEFT($AJ361,4)="EGI ",ISNUMBER(MATCH(TRIM(MID($AJ361,5,99)),Lists!$T$2:$T$21,0))),INDEX(Lists!$U$2:$U$21,MATCH(TRIM(MID($AJ361,5,99)),Lists!$T$2:$T$21,0)),IF(OR(TRIM($J361)="",UPPER(TRIM($J361))="NA"),IFERROR(INDEX(Lists!$R$2:$R$9,MATCH(TRIM($G361),Lists!$Q$2:$Q$9,0)),"UNMAPPED"),IFERROR(INDEX(Lists!$U$2:$U$21,MATCH(TRIM($J361),Lists!$T$2:$T$21,0)),IFERROR(INDEX(Lists!$R$2:$R$9,MATCH(TRIM($G361),Lists!$Q$2:$Q$9,0)),"UNMAPPED"))))))))</f>
        <v>Ampol Retail</v>
      </c>
      <c r="AI361" s="534" t="b">
        <f>IF(TRIM($B361)="","",--OR(TRIM($L361)="Leadership",TRIM($K361)="Leadership"))</f>
        <v>0</v>
      </c>
      <c r="AJ361" s="534" t="str">
        <f>IF(TRIM($B361)="","",IF(COUNTIFS(Lists!$AN$2:$AN$22,TRIM($B361)&amp;" | "&amp;TRIM($D361),Lists!$AP$2:$AP$22,"&lt;&gt;"),INDEX(Lists!$AP$2:$AP$22,MATCH(TRIM($B361)&amp;" | "&amp;TRIM($D361),Lists!$AN$2:$AN$22,0)),IF($AI361=1,"Leadership",IFERROR(INDEX(Lists!$X$2:$X$21,MATCH(TRIM($L361),Lists!$W$2:$W$21,0)),IF(OR(TRIM($L361)="",LOWER(TRIM($L361))="na"),IF(TRIM($H361)="","Unassigned",TRIM($H361)),TRIM($L361))))))</f>
        <v>Above Store</v>
      </c>
      <c r="AK361" s="534" t="str">
        <f>IF(TRIM($B361)="","",IF(COUNTIFS(Lists!$AN$2:$AN$22,TRIM($B361)&amp;" | "&amp;TRIM($D361),Lists!$AQ$2:$AQ$22,"&lt;&gt;"),INDEX(Lists!$AQ$2:$AQ$22,MATCH(TRIM($B361)&amp;" | "&amp;TRIM($D361),Lists!$AN$2:$AN$22,0)),IF(COUNTIF(Lists!$AF$2:$AF$8,$AJ361),$AJ361,IF(ISNUMBER(SEARCH("head of ",$D361)),"Head of Technology",IF(ISNUMBER(SEARCH("TDD BP",$D361)),"Business Partner",IF(OR(ISNUMBER(SEARCH("domain architect",$D361)),ISNUMBER(SEARCH("enterprise architect",$D361))),"Domain Architect",IF(ISNUMBER(SEARCH("delivery man",$D361)),"Delivery Manager",IF(OR(ISNUMBER(SEARCH("technology manager",$D361)),ISNUMBER(SEARCH("technology manger",$D361)),ISNUMBER(SEARCH("tech manager",$D361))),"Technology Manager","Squad"))))))))</f>
        <v>Squad</v>
      </c>
      <c r="AL361" s="534" t="str">
        <f>IF(TRIM($B361)="","",IF(AND($AM361=1,LEFT($AJ361,4)&lt;&gt;"EGI ",$AJ361&lt;&gt;"EGI"),IFERROR(INDEX(Lists!$Z$2:$Z$20,MATCH($AH361,Lists!$Y$2:$Y$20,0)),"EGI "&amp;$AH361),IF(COUNTIF(Lists!$AU$2:$AU$10,$AJ361),$AJ361,IF(OR(LEFT($AH361,3)="COE",$AH361="EGI"),$AJ361,IF($AK361&lt;&gt;"Squad",$AK361,$AJ361)))))</f>
        <v>Above Store</v>
      </c>
      <c r="AM361" s="534" t="b">
        <f>IF(TRIM($B361)="","",--(UPPER(TRIM($K361))="EGI"))</f>
        <v>0</v>
      </c>
      <c r="AQ361" s="841" t="inlineStr">
        <is>
          <t>R0360</t>
        </is>
      </c>
      <c r="AZ361" s="841" t="n"/>
    </row>
    <row r="362" ht="18" customHeight="1" s="535">
      <c r="A362" s="842" t="n">
        <v>117167</v>
      </c>
      <c r="B362" s="843" t="inlineStr">
        <is>
          <t>Vijay Patel</t>
        </is>
      </c>
      <c r="C362" s="842" t="n">
        <v>117167</v>
      </c>
      <c r="D362" s="843" t="inlineStr">
        <is>
          <t>Systems Analyst</t>
        </is>
      </c>
      <c r="E362" s="843" t="inlineStr">
        <is>
          <t>Tracy Lee Reaper</t>
        </is>
      </c>
      <c r="F362" s="843" t="inlineStr">
        <is>
          <t>Tech Manager, Merchandising &amp; WFM</t>
        </is>
      </c>
      <c r="G362" s="844" t="inlineStr">
        <is>
          <t>Ampol Retail &amp; Z</t>
        </is>
      </c>
      <c r="H362" s="843" t="inlineStr">
        <is>
          <t>Ampol Retail</t>
        </is>
      </c>
      <c r="I362" s="843" t="inlineStr">
        <is>
          <t>Ampol Retail, Merch &amp; RTA</t>
        </is>
      </c>
      <c r="J362" s="843" t="inlineStr">
        <is>
          <t>Retail</t>
        </is>
      </c>
      <c r="K362" s="843" t="inlineStr">
        <is>
          <t>Above Store</t>
        </is>
      </c>
      <c r="L362" s="843" t="inlineStr">
        <is>
          <t>Above Store</t>
        </is>
      </c>
      <c r="M362" s="843" t="n"/>
      <c r="N362" s="845" t="inlineStr">
        <is>
          <t>Australia</t>
        </is>
      </c>
      <c r="O362" s="846" t="inlineStr">
        <is>
          <t>CIB</t>
        </is>
      </c>
      <c r="P362" s="847" t="n">
        <v>1</v>
      </c>
      <c r="Q362" s="846" t="n"/>
      <c r="R362" s="847" t="inlineStr">
        <is>
          <t>Permanent - Full Time</t>
        </is>
      </c>
      <c r="S362" s="847" t="n"/>
      <c r="T362" s="847" t="n"/>
      <c r="U362" s="848" t="n">
        <v>145000</v>
      </c>
      <c r="V362" s="849" t="n">
        <v>145000</v>
      </c>
      <c r="W362" s="850" t="n">
        <v>0.12</v>
      </c>
      <c r="X362" s="847" t="n">
        <v>0.055</v>
      </c>
      <c r="Y362" s="850" t="n">
        <v>0.12</v>
      </c>
      <c r="Z362" s="851" t="n"/>
      <c r="AA362" s="850" t="n">
        <v>0.04</v>
      </c>
      <c r="AB362" s="852" t="n">
        <v>193575</v>
      </c>
      <c r="AE362" s="534">
        <f>IF(TRIM($B362)="","",IF(AND(N($P362)&gt;0,N($P362)&lt;1),N($AB362)*N($P362),N($AB362)))</f>
        <v>193575</v>
      </c>
      <c r="AF362" s="534" t="str">
        <f>IF(TRIM($B362)="","",IF(OR(ISNUMBER(SEARCH("vacant",$B362)),ISNUMBER(SEARCH("ring fenced",$B362)),LOWER(TRIM($B362))="remove"),"Vacant","Filled"))</f>
        <v>Filled</v>
      </c>
      <c r="AG362" s="534" t="b">
        <f>IF(TRIM($B362)="","",--ISNUMBER(SEARCH("ring fenced",$B362)))</f>
        <v>0</v>
      </c>
      <c r="AH362" s="534" t="str">
        <f>IF(TRIM($B362)="","",IF(COUNTIFS(Lists!$AN$2:$AN$22,TRIM($B362)&amp;" | "&amp;TRIM($D362),Lists!$AO$2:$AO$22,"&lt;&gt;"),INDEX(Lists!$AO$2:$AO$22,MATCH(TRIM($B362)&amp;" | "&amp;TRIM($D362),Lists!$AN$2:$AN$22,0)),IF(COUNTIF(Lists!$AR$2:$AR$3,$AJ362),"TDD Cyber",IF(AND(LEFT($AJ362,4)="EGI ",ISNUMBER(MATCH(TRIM(MID($AJ362,5,99)),Lists!$AS$2:$AS$12,0))),TRIM(MID($AJ362,5,99)),IF(AND(LEFT($AJ362,4)="EGI ",ISNUMBER(MATCH(TRIM(MID($AJ362,5,99)),Lists!$T$2:$T$21,0))),INDEX(Lists!$U$2:$U$21,MATCH(TRIM(MID($AJ362,5,99)),Lists!$T$2:$T$21,0)),IF(OR(TRIM($J362)="",UPPER(TRIM($J362))="NA"),IFERROR(INDEX(Lists!$R$2:$R$9,MATCH(TRIM($G362),Lists!$Q$2:$Q$9,0)),"UNMAPPED"),IFERROR(INDEX(Lists!$U$2:$U$21,MATCH(TRIM($J362),Lists!$T$2:$T$21,0)),IFERROR(INDEX(Lists!$R$2:$R$9,MATCH(TRIM($G362),Lists!$Q$2:$Q$9,0)),"UNMAPPED"))))))))</f>
        <v>Ampol Retail</v>
      </c>
      <c r="AI362" s="534" t="b">
        <f>IF(TRIM($B362)="","",--OR(TRIM($L362)="Leadership",TRIM($K362)="Leadership"))</f>
        <v>0</v>
      </c>
      <c r="AJ362" s="534" t="str">
        <f>IF(TRIM($B362)="","",IF(COUNTIFS(Lists!$AN$2:$AN$22,TRIM($B362)&amp;" | "&amp;TRIM($D362),Lists!$AP$2:$AP$22,"&lt;&gt;"),INDEX(Lists!$AP$2:$AP$22,MATCH(TRIM($B362)&amp;" | "&amp;TRIM($D362),Lists!$AN$2:$AN$22,0)),IF($AI362=1,"Leadership",IFERROR(INDEX(Lists!$X$2:$X$21,MATCH(TRIM($L362),Lists!$W$2:$W$21,0)),IF(OR(TRIM($L362)="",LOWER(TRIM($L362))="na"),IF(TRIM($H362)="","Unassigned",TRIM($H362)),TRIM($L362))))))</f>
        <v>Above Store</v>
      </c>
      <c r="AK362" s="534" t="str">
        <f>IF(TRIM($B362)="","",IF(COUNTIFS(Lists!$AN$2:$AN$22,TRIM($B362)&amp;" | "&amp;TRIM($D362),Lists!$AQ$2:$AQ$22,"&lt;&gt;"),INDEX(Lists!$AQ$2:$AQ$22,MATCH(TRIM($B362)&amp;" | "&amp;TRIM($D362),Lists!$AN$2:$AN$22,0)),IF(COUNTIF(Lists!$AF$2:$AF$8,$AJ362),$AJ362,IF(ISNUMBER(SEARCH("head of ",$D362)),"Head of Technology",IF(ISNUMBER(SEARCH("TDD BP",$D362)),"Business Partner",IF(OR(ISNUMBER(SEARCH("domain architect",$D362)),ISNUMBER(SEARCH("enterprise architect",$D362))),"Domain Architect",IF(ISNUMBER(SEARCH("delivery man",$D362)),"Delivery Manager",IF(OR(ISNUMBER(SEARCH("technology manager",$D362)),ISNUMBER(SEARCH("technology manger",$D362)),ISNUMBER(SEARCH("tech manager",$D362))),"Technology Manager","Squad"))))))))</f>
        <v>Squad</v>
      </c>
      <c r="AL362" s="534" t="str">
        <f>IF(TRIM($B362)="","",IF(AND($AM362=1,LEFT($AJ362,4)&lt;&gt;"EGI ",$AJ362&lt;&gt;"EGI"),IFERROR(INDEX(Lists!$Z$2:$Z$20,MATCH($AH362,Lists!$Y$2:$Y$20,0)),"EGI "&amp;$AH362),IF(COUNTIF(Lists!$AU$2:$AU$10,$AJ362),$AJ362,IF(OR(LEFT($AH362,3)="COE",$AH362="EGI"),$AJ362,IF($AK362&lt;&gt;"Squad",$AK362,$AJ362)))))</f>
        <v>Above Store</v>
      </c>
      <c r="AM362" s="534" t="b">
        <f>IF(TRIM($B362)="","",--(UPPER(TRIM($K362))="EGI"))</f>
        <v>0</v>
      </c>
      <c r="AQ362" s="841" t="inlineStr">
        <is>
          <t>R0361</t>
        </is>
      </c>
      <c r="AZ362" s="841" t="n"/>
    </row>
    <row r="363" ht="18" customHeight="1" s="535">
      <c r="A363" s="842" t="n">
        <v>114829</v>
      </c>
      <c r="B363" s="843" t="inlineStr">
        <is>
          <t>Zuan Zheng</t>
        </is>
      </c>
      <c r="C363" s="842" t="n">
        <v>114829</v>
      </c>
      <c r="D363" s="843" t="inlineStr">
        <is>
          <t>Systems Analyst</t>
        </is>
      </c>
      <c r="E363" s="843" t="inlineStr">
        <is>
          <t>Tracy Lee Reaper</t>
        </is>
      </c>
      <c r="F363" s="843" t="inlineStr">
        <is>
          <t>Tech Manager, Merchandising &amp; WFM</t>
        </is>
      </c>
      <c r="G363" s="844" t="inlineStr">
        <is>
          <t>Ampol Retail &amp; Z</t>
        </is>
      </c>
      <c r="H363" s="843" t="inlineStr">
        <is>
          <t>Ampol Retail</t>
        </is>
      </c>
      <c r="I363" s="843" t="inlineStr">
        <is>
          <t>Ampol Retail, Merch &amp; RTA</t>
        </is>
      </c>
      <c r="J363" s="843" t="inlineStr">
        <is>
          <t>Retail</t>
        </is>
      </c>
      <c r="K363" s="843" t="inlineStr">
        <is>
          <t>Above Store</t>
        </is>
      </c>
      <c r="L363" s="843" t="inlineStr">
        <is>
          <t>Above Store</t>
        </is>
      </c>
      <c r="M363" s="843" t="n"/>
      <c r="N363" s="845" t="inlineStr">
        <is>
          <t>Singapore</t>
        </is>
      </c>
      <c r="O363" s="846" t="inlineStr">
        <is>
          <t>CIB</t>
        </is>
      </c>
      <c r="P363" s="847" t="n">
        <v>1</v>
      </c>
      <c r="Q363" s="846" t="n"/>
      <c r="R363" s="847" t="inlineStr">
        <is>
          <t>Permanent - Full Time</t>
        </is>
      </c>
      <c r="S363" s="847" t="n"/>
      <c r="T363" s="847" t="n"/>
      <c r="U363" s="848" t="n">
        <v>133000</v>
      </c>
      <c r="V363" s="849" t="n">
        <v>160930</v>
      </c>
      <c r="W363" s="850" t="n">
        <v>0.25</v>
      </c>
      <c r="X363" s="847" t="n"/>
      <c r="Y363" s="850" t="n">
        <v>0.17</v>
      </c>
      <c r="Z363" s="851" t="n">
        <v>3310</v>
      </c>
      <c r="AA363" s="850" t="n">
        <v>0.045</v>
      </c>
      <c r="AB363" s="852" t="n">
        <v>239072.45</v>
      </c>
      <c r="AE363" s="534">
        <f>IF(TRIM($B363)="","",IF(AND(N($P363)&gt;0,N($P363)&lt;1),N($AB363)*N($P363),N($AB363)))</f>
        <v>239072.45</v>
      </c>
      <c r="AF363" s="534" t="str">
        <f>IF(TRIM($B363)="","",IF(OR(ISNUMBER(SEARCH("vacant",$B363)),ISNUMBER(SEARCH("ring fenced",$B363)),LOWER(TRIM($B363))="remove"),"Vacant","Filled"))</f>
        <v>Filled</v>
      </c>
      <c r="AG363" s="534" t="b">
        <f>IF(TRIM($B363)="","",--ISNUMBER(SEARCH("ring fenced",$B363)))</f>
        <v>0</v>
      </c>
      <c r="AH363" s="534" t="str">
        <f>IF(TRIM($B363)="","",IF(COUNTIFS(Lists!$AN$2:$AN$22,TRIM($B363)&amp;" | "&amp;TRIM($D363),Lists!$AO$2:$AO$22,"&lt;&gt;"),INDEX(Lists!$AO$2:$AO$22,MATCH(TRIM($B363)&amp;" | "&amp;TRIM($D363),Lists!$AN$2:$AN$22,0)),IF(COUNTIF(Lists!$AR$2:$AR$3,$AJ363),"TDD Cyber",IF(AND(LEFT($AJ363,4)="EGI ",ISNUMBER(MATCH(TRIM(MID($AJ363,5,99)),Lists!$AS$2:$AS$12,0))),TRIM(MID($AJ363,5,99)),IF(AND(LEFT($AJ363,4)="EGI ",ISNUMBER(MATCH(TRIM(MID($AJ363,5,99)),Lists!$T$2:$T$21,0))),INDEX(Lists!$U$2:$U$21,MATCH(TRIM(MID($AJ363,5,99)),Lists!$T$2:$T$21,0)),IF(OR(TRIM($J363)="",UPPER(TRIM($J363))="NA"),IFERROR(INDEX(Lists!$R$2:$R$9,MATCH(TRIM($G363),Lists!$Q$2:$Q$9,0)),"UNMAPPED"),IFERROR(INDEX(Lists!$U$2:$U$21,MATCH(TRIM($J363),Lists!$T$2:$T$21,0)),IFERROR(INDEX(Lists!$R$2:$R$9,MATCH(TRIM($G363),Lists!$Q$2:$Q$9,0)),"UNMAPPED"))))))))</f>
        <v>Ampol Retail</v>
      </c>
      <c r="AI363" s="534" t="b">
        <f>IF(TRIM($B363)="","",--OR(TRIM($L363)="Leadership",TRIM($K363)="Leadership"))</f>
        <v>0</v>
      </c>
      <c r="AJ363" s="534" t="str">
        <f>IF(TRIM($B363)="","",IF(COUNTIFS(Lists!$AN$2:$AN$22,TRIM($B363)&amp;" | "&amp;TRIM($D363),Lists!$AP$2:$AP$22,"&lt;&gt;"),INDEX(Lists!$AP$2:$AP$22,MATCH(TRIM($B363)&amp;" | "&amp;TRIM($D363),Lists!$AN$2:$AN$22,0)),IF($AI363=1,"Leadership",IFERROR(INDEX(Lists!$X$2:$X$21,MATCH(TRIM($L363),Lists!$W$2:$W$21,0)),IF(OR(TRIM($L363)="",LOWER(TRIM($L363))="na"),IF(TRIM($H363)="","Unassigned",TRIM($H363)),TRIM($L363))))))</f>
        <v>Above Store</v>
      </c>
      <c r="AK363" s="534" t="str">
        <f>IF(TRIM($B363)="","",IF(COUNTIFS(Lists!$AN$2:$AN$22,TRIM($B363)&amp;" | "&amp;TRIM($D363),Lists!$AQ$2:$AQ$22,"&lt;&gt;"),INDEX(Lists!$AQ$2:$AQ$22,MATCH(TRIM($B363)&amp;" | "&amp;TRIM($D363),Lists!$AN$2:$AN$22,0)),IF(COUNTIF(Lists!$AF$2:$AF$8,$AJ363),$AJ363,IF(ISNUMBER(SEARCH("head of ",$D363)),"Head of Technology",IF(ISNUMBER(SEARCH("TDD BP",$D363)),"Business Partner",IF(OR(ISNUMBER(SEARCH("domain architect",$D363)),ISNUMBER(SEARCH("enterprise architect",$D363))),"Domain Architect",IF(ISNUMBER(SEARCH("delivery man",$D363)),"Delivery Manager",IF(OR(ISNUMBER(SEARCH("technology manager",$D363)),ISNUMBER(SEARCH("technology manger",$D363)),ISNUMBER(SEARCH("tech manager",$D363))),"Technology Manager","Squad"))))))))</f>
        <v>Squad</v>
      </c>
      <c r="AL363" s="534" t="str">
        <f>IF(TRIM($B363)="","",IF(AND($AM363=1,LEFT($AJ363,4)&lt;&gt;"EGI ",$AJ363&lt;&gt;"EGI"),IFERROR(INDEX(Lists!$Z$2:$Z$20,MATCH($AH363,Lists!$Y$2:$Y$20,0)),"EGI "&amp;$AH363),IF(COUNTIF(Lists!$AU$2:$AU$10,$AJ363),$AJ363,IF(OR(LEFT($AH363,3)="COE",$AH363="EGI"),$AJ363,IF($AK363&lt;&gt;"Squad",$AK363,$AJ363)))))</f>
        <v>Above Store</v>
      </c>
      <c r="AM363" s="534" t="b">
        <f>IF(TRIM($B363)="","",--(UPPER(TRIM($K363))="EGI"))</f>
        <v>0</v>
      </c>
      <c r="AQ363" s="841" t="inlineStr">
        <is>
          <t>R0362</t>
        </is>
      </c>
      <c r="AZ363" s="841" t="n"/>
    </row>
    <row r="364" ht="18" customHeight="1" s="535">
      <c r="A364" s="842" t="n">
        <v>8005</v>
      </c>
      <c r="B364" s="843" t="inlineStr">
        <is>
          <t>John Badia</t>
        </is>
      </c>
      <c r="C364" s="842" t="n">
        <v>8005</v>
      </c>
      <c r="D364" s="843" t="inlineStr">
        <is>
          <t>Cloud Solutions Architect</t>
        </is>
      </c>
      <c r="E364" s="843" t="inlineStr">
        <is>
          <t>Vacant</t>
        </is>
      </c>
      <c r="F364" s="843" t="inlineStr">
        <is>
          <t>Technology Manager - Cloud, Network &amp; Infrastructure Operations</t>
        </is>
      </c>
      <c r="G364" s="844" t="inlineStr">
        <is>
          <t>TDD Group Functions</t>
        </is>
      </c>
      <c r="H364" s="843" t="inlineStr">
        <is>
          <t>TDD &amp; Engineering</t>
        </is>
      </c>
      <c r="I364" s="843" t="inlineStr">
        <is>
          <t>Cloud, Network &amp; Infra</t>
        </is>
      </c>
      <c r="J364" s="843" t="inlineStr">
        <is>
          <t>TDD</t>
        </is>
      </c>
      <c r="K364" s="843" t="inlineStr">
        <is>
          <t>TDD</t>
        </is>
      </c>
      <c r="L364" s="843" t="inlineStr">
        <is>
          <t>Cloud, Network &amp; Infra Ops</t>
        </is>
      </c>
      <c r="M364" s="843" t="n"/>
      <c r="N364" s="845" t="inlineStr">
        <is>
          <t>Australia</t>
        </is>
      </c>
      <c r="O364" s="846" t="inlineStr">
        <is>
          <t>CIB</t>
        </is>
      </c>
      <c r="P364" s="847" t="n">
        <v>1</v>
      </c>
      <c r="Q364" s="846" t="n"/>
      <c r="R364" s="847" t="inlineStr">
        <is>
          <t>Permanent - Full Time</t>
        </is>
      </c>
      <c r="S364" s="847" t="n"/>
      <c r="T364" s="847" t="n"/>
      <c r="U364" s="848" t="n">
        <v>152280</v>
      </c>
      <c r="V364" s="849" t="n">
        <v>152280</v>
      </c>
      <c r="W364" s="850" t="n">
        <v>0.12</v>
      </c>
      <c r="X364" s="847" t="n">
        <v>0.055</v>
      </c>
      <c r="Y364" s="850" t="n">
        <v>0.12</v>
      </c>
      <c r="Z364" s="851" t="n"/>
      <c r="AA364" s="850" t="n">
        <v>0.04</v>
      </c>
      <c r="AB364" s="852" t="n">
        <v>203293.8</v>
      </c>
      <c r="AE364" s="534">
        <f>IF(TRIM($B364)="","",IF(AND(N($P364)&gt;0,N($P364)&lt;1),N($AB364)*N($P364),N($AB364)))</f>
        <v>203293.8</v>
      </c>
      <c r="AF364" s="534" t="str">
        <f>IF(TRIM($B364)="","",IF(OR(ISNUMBER(SEARCH("vacant",$B364)),ISNUMBER(SEARCH("ring fenced",$B364)),LOWER(TRIM($B364))="remove"),"Vacant","Filled"))</f>
        <v>Filled</v>
      </c>
      <c r="AG364" s="534" t="b">
        <f>IF(TRIM($B364)="","",--ISNUMBER(SEARCH("ring fenced",$B364)))</f>
        <v>0</v>
      </c>
      <c r="AH364" s="534" t="str">
        <f>IF(TRIM($B364)="","",IF(COUNTIFS(Lists!$AN$2:$AN$22,TRIM($B364)&amp;" | "&amp;TRIM($D364),Lists!$AO$2:$AO$22,"&lt;&gt;"),INDEX(Lists!$AO$2:$AO$22,MATCH(TRIM($B364)&amp;" | "&amp;TRIM($D364),Lists!$AN$2:$AN$22,0)),IF(COUNTIF(Lists!$AR$2:$AR$3,$AJ364),"TDD Cyber",IF(AND(LEFT($AJ364,4)="EGI ",ISNUMBER(MATCH(TRIM(MID($AJ364,5,99)),Lists!$AS$2:$AS$12,0))),TRIM(MID($AJ364,5,99)),IF(AND(LEFT($AJ364,4)="EGI ",ISNUMBER(MATCH(TRIM(MID($AJ364,5,99)),Lists!$T$2:$T$21,0))),INDEX(Lists!$U$2:$U$21,MATCH(TRIM(MID($AJ364,5,99)),Lists!$T$2:$T$21,0)),IF(OR(TRIM($J364)="",UPPER(TRIM($J364))="NA"),IFERROR(INDEX(Lists!$R$2:$R$9,MATCH(TRIM($G364),Lists!$Q$2:$Q$9,0)),"UNMAPPED"),IFERROR(INDEX(Lists!$U$2:$U$21,MATCH(TRIM($J364),Lists!$T$2:$T$21,0)),IFERROR(INDEX(Lists!$R$2:$R$9,MATCH(TRIM($G364),Lists!$Q$2:$Q$9,0)),"UNMAPPED"))))))))</f>
        <v>TDD Group Functions</v>
      </c>
      <c r="AI364" s="534" t="b">
        <f>IF(TRIM($B364)="","",--OR(TRIM($L364)="Leadership",TRIM($K364)="Leadership"))</f>
        <v>0</v>
      </c>
      <c r="AJ364" s="534" t="str">
        <f>IF(TRIM($B364)="","",IF(COUNTIFS(Lists!$AN$2:$AN$22,TRIM($B364)&amp;" | "&amp;TRIM($D364),Lists!$AP$2:$AP$22,"&lt;&gt;"),INDEX(Lists!$AP$2:$AP$22,MATCH(TRIM($B364)&amp;" | "&amp;TRIM($D364),Lists!$AN$2:$AN$22,0)),IF($AI364=1,"Leadership",IFERROR(INDEX(Lists!$X$2:$X$21,MATCH(TRIM($L364),Lists!$W$2:$W$21,0)),IF(OR(TRIM($L364)="",LOWER(TRIM($L364))="na"),IF(TRIM($H364)="","Unassigned",TRIM($H364)),TRIM($L364))))))</f>
        <v>Cloud, Network &amp; Infra Ops</v>
      </c>
      <c r="AK364" s="534" t="str">
        <f>IF(TRIM($B364)="","",IF(COUNTIFS(Lists!$AN$2:$AN$22,TRIM($B364)&amp;" | "&amp;TRIM($D364),Lists!$AQ$2:$AQ$22,"&lt;&gt;"),INDEX(Lists!$AQ$2:$AQ$22,MATCH(TRIM($B364)&amp;" | "&amp;TRIM($D364),Lists!$AN$2:$AN$22,0)),IF(COUNTIF(Lists!$AF$2:$AF$8,$AJ364),$AJ364,IF(ISNUMBER(SEARCH("head of ",$D364)),"Head of Technology",IF(ISNUMBER(SEARCH("TDD BP",$D364)),"Business Partner",IF(OR(ISNUMBER(SEARCH("domain architect",$D364)),ISNUMBER(SEARCH("enterprise architect",$D364))),"Domain Architect",IF(ISNUMBER(SEARCH("delivery man",$D364)),"Delivery Manager",IF(OR(ISNUMBER(SEARCH("technology manager",$D364)),ISNUMBER(SEARCH("technology manger",$D364)),ISNUMBER(SEARCH("tech manager",$D364))),"Technology Manager","Squad"))))))))</f>
        <v>Squad</v>
      </c>
      <c r="AL364" s="534" t="str">
        <f>IF(TRIM($B364)="","",IF(AND($AM364=1,LEFT($AJ364,4)&lt;&gt;"EGI ",$AJ364&lt;&gt;"EGI"),IFERROR(INDEX(Lists!$Z$2:$Z$20,MATCH($AH364,Lists!$Y$2:$Y$20,0)),"EGI "&amp;$AH364),IF(COUNTIF(Lists!$AU$2:$AU$10,$AJ364),$AJ364,IF(OR(LEFT($AH364,3)="COE",$AH364="EGI"),$AJ364,IF($AK364&lt;&gt;"Squad",$AK364,$AJ364)))))</f>
        <v>Cloud, Network &amp; Infra Ops</v>
      </c>
      <c r="AM364" s="534" t="b">
        <f>IF(TRIM($B364)="","",--(UPPER(TRIM($K364))="EGI"))</f>
        <v>0</v>
      </c>
      <c r="AQ364" s="841" t="inlineStr">
        <is>
          <t>R0363</t>
        </is>
      </c>
      <c r="AZ364" s="841" t="n"/>
    </row>
    <row r="365" ht="18" customHeight="1" s="535">
      <c r="A365" s="842" t="n">
        <v>111449</v>
      </c>
      <c r="B365" s="843" t="inlineStr">
        <is>
          <t>Clare Cairns</t>
        </is>
      </c>
      <c r="C365" s="842" t="n">
        <v>111449</v>
      </c>
      <c r="D365" s="843" t="inlineStr">
        <is>
          <t>Data Analyst</t>
        </is>
      </c>
      <c r="E365" s="843" t="inlineStr">
        <is>
          <t>Vacant</t>
        </is>
      </c>
      <c r="F365" s="843" t="inlineStr">
        <is>
          <t>Technology Manger, Data</t>
        </is>
      </c>
      <c r="G365" s="844" t="inlineStr">
        <is>
          <t>TDD CFE&amp;I</t>
        </is>
      </c>
      <c r="H365" s="843" t="inlineStr">
        <is>
          <t>Fuel Infrastructure</t>
        </is>
      </c>
      <c r="I365" s="843" t="inlineStr">
        <is>
          <t>Fuel Infrastructure, Data</t>
        </is>
      </c>
      <c r="J365" s="843" t="inlineStr">
        <is>
          <t>Infrastructure</t>
        </is>
      </c>
      <c r="K365" s="843" t="inlineStr">
        <is>
          <t xml:space="preserve">Data &amp; Insights </t>
        </is>
      </c>
      <c r="L365" s="843" t="inlineStr">
        <is>
          <t xml:space="preserve">Data &amp; Insights </t>
        </is>
      </c>
      <c r="M365" s="843" t="n"/>
      <c r="N365" s="845" t="inlineStr">
        <is>
          <t>Australia</t>
        </is>
      </c>
      <c r="O365" s="846" t="inlineStr">
        <is>
          <t>CIB</t>
        </is>
      </c>
      <c r="P365" s="847" t="n">
        <v>1</v>
      </c>
      <c r="Q365" s="863" t="n"/>
      <c r="R365" s="847" t="inlineStr">
        <is>
          <t>Permanent - Full Time</t>
        </is>
      </c>
      <c r="S365" s="847" t="n"/>
      <c r="T365" s="847" t="n"/>
      <c r="U365" s="848" t="n">
        <v>141930</v>
      </c>
      <c r="V365" s="849" t="n">
        <v>141930</v>
      </c>
      <c r="W365" s="850" t="n">
        <v>0.12</v>
      </c>
      <c r="X365" s="847" t="n">
        <v>0.055</v>
      </c>
      <c r="Y365" s="850" t="n">
        <v>0.12</v>
      </c>
      <c r="Z365" s="851" t="n"/>
      <c r="AA365" s="850" t="n">
        <v>0.04</v>
      </c>
      <c r="AB365" s="852" t="n">
        <v>189476.55</v>
      </c>
      <c r="AE365" s="534">
        <f>IF(TRIM($B365)="","",IF(AND(N($P365)&gt;0,N($P365)&lt;1),N($AB365)*N($P365),N($AB365)))</f>
        <v>189476.55</v>
      </c>
      <c r="AF365" s="534" t="str">
        <f>IF(TRIM($B365)="","",IF(OR(ISNUMBER(SEARCH("vacant",$B365)),ISNUMBER(SEARCH("ring fenced",$B365)),LOWER(TRIM($B365))="remove"),"Vacant","Filled"))</f>
        <v>Filled</v>
      </c>
      <c r="AG365" s="534" t="b">
        <f>IF(TRIM($B365)="","",--ISNUMBER(SEARCH("ring fenced",$B365)))</f>
        <v>0</v>
      </c>
      <c r="AH365" s="534" t="str">
        <f>IF(TRIM($B365)="","",IF(COUNTIFS(Lists!$AN$2:$AN$22,TRIM($B365)&amp;" | "&amp;TRIM($D365),Lists!$AO$2:$AO$22,"&lt;&gt;"),INDEX(Lists!$AO$2:$AO$22,MATCH(TRIM($B365)&amp;" | "&amp;TRIM($D365),Lists!$AN$2:$AN$22,0)),IF(COUNTIF(Lists!$AR$2:$AR$3,$AJ365),"TDD Cyber",IF(AND(LEFT($AJ365,4)="EGI ",ISNUMBER(MATCH(TRIM(MID($AJ365,5,99)),Lists!$AS$2:$AS$12,0))),TRIM(MID($AJ365,5,99)),IF(AND(LEFT($AJ365,4)="EGI ",ISNUMBER(MATCH(TRIM(MID($AJ365,5,99)),Lists!$T$2:$T$21,0))),INDEX(Lists!$U$2:$U$21,MATCH(TRIM(MID($AJ365,5,99)),Lists!$T$2:$T$21,0)),IF(OR(TRIM($J365)="",UPPER(TRIM($J365))="NA"),IFERROR(INDEX(Lists!$R$2:$R$9,MATCH(TRIM($G365),Lists!$Q$2:$Q$9,0)),"UNMAPPED"),IFERROR(INDEX(Lists!$U$2:$U$21,MATCH(TRIM($J365),Lists!$T$2:$T$21,0)),IFERROR(INDEX(Lists!$R$2:$R$9,MATCH(TRIM($G365),Lists!$Q$2:$Q$9,0)),"UNMAPPED"))))))))</f>
        <v>Infrastructure</v>
      </c>
      <c r="AI365" s="534" t="b">
        <f>IF(TRIM($B365)="","",--OR(TRIM($L365)="Leadership",TRIM($K365)="Leadership"))</f>
        <v>0</v>
      </c>
      <c r="AJ365" s="534" t="str">
        <f>IF(TRIM($B365)="","",IF(COUNTIFS(Lists!$AN$2:$AN$22,TRIM($B365)&amp;" | "&amp;TRIM($D365),Lists!$AP$2:$AP$22,"&lt;&gt;"),INDEX(Lists!$AP$2:$AP$22,MATCH(TRIM($B365)&amp;" | "&amp;TRIM($D365),Lists!$AN$2:$AN$22,0)),IF($AI365=1,"Leadership",IFERROR(INDEX(Lists!$X$2:$X$21,MATCH(TRIM($L365),Lists!$W$2:$W$21,0)),IF(OR(TRIM($L365)="",LOWER(TRIM($L365))="na"),IF(TRIM($H365)="","Unassigned",TRIM($H365)),TRIM($L365))))))</f>
        <v>Data &amp; Insights</v>
      </c>
      <c r="AK365" s="534" t="str">
        <f>IF(TRIM($B365)="","",IF(COUNTIFS(Lists!$AN$2:$AN$22,TRIM($B365)&amp;" | "&amp;TRIM($D365),Lists!$AQ$2:$AQ$22,"&lt;&gt;"),INDEX(Lists!$AQ$2:$AQ$22,MATCH(TRIM($B365)&amp;" | "&amp;TRIM($D365),Lists!$AN$2:$AN$22,0)),IF(COUNTIF(Lists!$AF$2:$AF$8,$AJ365),$AJ365,IF(ISNUMBER(SEARCH("head of ",$D365)),"Head of Technology",IF(ISNUMBER(SEARCH("TDD BP",$D365)),"Business Partner",IF(OR(ISNUMBER(SEARCH("domain architect",$D365)),ISNUMBER(SEARCH("enterprise architect",$D365))),"Domain Architect",IF(ISNUMBER(SEARCH("delivery man",$D365)),"Delivery Manager",IF(OR(ISNUMBER(SEARCH("technology manager",$D365)),ISNUMBER(SEARCH("technology manger",$D365)),ISNUMBER(SEARCH("tech manager",$D365))),"Technology Manager","Squad"))))))))</f>
        <v>Squad</v>
      </c>
      <c r="AL365" s="534" t="str">
        <f>IF(TRIM($B365)="","",IF(AND($AM365=1,LEFT($AJ365,4)&lt;&gt;"EGI ",$AJ365&lt;&gt;"EGI"),IFERROR(INDEX(Lists!$Z$2:$Z$20,MATCH($AH365,Lists!$Y$2:$Y$20,0)),"EGI "&amp;$AH365),IF(COUNTIF(Lists!$AU$2:$AU$10,$AJ365),$AJ365,IF(OR(LEFT($AH365,3)="COE",$AH365="EGI"),$AJ365,IF($AK365&lt;&gt;"Squad",$AK365,$AJ365)))))</f>
        <v>Data &amp; Insights</v>
      </c>
      <c r="AM365" s="534" t="b">
        <f>IF(TRIM($B365)="","",--(UPPER(TRIM($K365))="EGI"))</f>
        <v>0</v>
      </c>
      <c r="AQ365" s="841" t="inlineStr">
        <is>
          <t>R0364</t>
        </is>
      </c>
      <c r="AZ365" s="841" t="n"/>
    </row>
    <row r="366" ht="18" customHeight="1" s="535">
      <c r="A366" s="842" t="n">
        <v>105068</v>
      </c>
      <c r="B366" s="843" t="inlineStr">
        <is>
          <t>Mary Joy</t>
        </is>
      </c>
      <c r="C366" s="842" t="n">
        <v>105068</v>
      </c>
      <c r="D366" s="843" t="inlineStr">
        <is>
          <t>Senior Engineer Data</t>
        </is>
      </c>
      <c r="E366" s="843" t="inlineStr">
        <is>
          <t>Vacant</t>
        </is>
      </c>
      <c r="F366" s="843" t="inlineStr">
        <is>
          <t>Technology Manger, Data</t>
        </is>
      </c>
      <c r="G366" s="844" t="inlineStr">
        <is>
          <t>TDD CFE&amp;I</t>
        </is>
      </c>
      <c r="H366" s="843" t="inlineStr">
        <is>
          <t>Fuel Infrastructure</t>
        </is>
      </c>
      <c r="I366" s="843" t="inlineStr">
        <is>
          <t>Fuel Infrastructure, Data</t>
        </is>
      </c>
      <c r="J366" s="843" t="inlineStr">
        <is>
          <t>Infrastructure</t>
        </is>
      </c>
      <c r="K366" s="843" t="inlineStr">
        <is>
          <t xml:space="preserve">Data &amp; Insights </t>
        </is>
      </c>
      <c r="L366" s="843" t="inlineStr">
        <is>
          <t xml:space="preserve">Data &amp; Insights </t>
        </is>
      </c>
      <c r="M366" s="843" t="n"/>
      <c r="N366" s="845" t="inlineStr">
        <is>
          <t>Australia</t>
        </is>
      </c>
      <c r="O366" s="846" t="inlineStr">
        <is>
          <t>CIB</t>
        </is>
      </c>
      <c r="P366" s="847" t="n">
        <v>1</v>
      </c>
      <c r="Q366" s="864" t="n"/>
      <c r="R366" s="847" t="inlineStr">
        <is>
          <t>Permanent - Full Time</t>
        </is>
      </c>
      <c r="S366" s="847" t="n"/>
      <c r="T366" s="847" t="n"/>
      <c r="U366" s="848" t="n">
        <v>172530</v>
      </c>
      <c r="V366" s="849" t="n">
        <v>172530</v>
      </c>
      <c r="W366" s="850" t="n">
        <v>0.12</v>
      </c>
      <c r="X366" s="847" t="n">
        <v>0.055</v>
      </c>
      <c r="Y366" s="850" t="n">
        <v>0.12</v>
      </c>
      <c r="Z366" s="851" t="n"/>
      <c r="AA366" s="850" t="n">
        <v>0.04</v>
      </c>
      <c r="AB366" s="852" t="n">
        <v>230327.55</v>
      </c>
      <c r="AE366" s="534">
        <f>IF(TRIM($B366)="","",IF(AND(N($P366)&gt;0,N($P366)&lt;1),N($AB366)*N($P366),N($AB366)))</f>
        <v>230327.55</v>
      </c>
      <c r="AF366" s="534" t="str">
        <f>IF(TRIM($B366)="","",IF(OR(ISNUMBER(SEARCH("vacant",$B366)),ISNUMBER(SEARCH("ring fenced",$B366)),LOWER(TRIM($B366))="remove"),"Vacant","Filled"))</f>
        <v>Filled</v>
      </c>
      <c r="AG366" s="534" t="b">
        <f>IF(TRIM($B366)="","",--ISNUMBER(SEARCH("ring fenced",$B366)))</f>
        <v>0</v>
      </c>
      <c r="AH366" s="534" t="str">
        <f>IF(TRIM($B366)="","",IF(COUNTIFS(Lists!$AN$2:$AN$22,TRIM($B366)&amp;" | "&amp;TRIM($D366),Lists!$AO$2:$AO$22,"&lt;&gt;"),INDEX(Lists!$AO$2:$AO$22,MATCH(TRIM($B366)&amp;" | "&amp;TRIM($D366),Lists!$AN$2:$AN$22,0)),IF(COUNTIF(Lists!$AR$2:$AR$3,$AJ366),"TDD Cyber",IF(AND(LEFT($AJ366,4)="EGI ",ISNUMBER(MATCH(TRIM(MID($AJ366,5,99)),Lists!$AS$2:$AS$12,0))),TRIM(MID($AJ366,5,99)),IF(AND(LEFT($AJ366,4)="EGI ",ISNUMBER(MATCH(TRIM(MID($AJ366,5,99)),Lists!$T$2:$T$21,0))),INDEX(Lists!$U$2:$U$21,MATCH(TRIM(MID($AJ366,5,99)),Lists!$T$2:$T$21,0)),IF(OR(TRIM($J366)="",UPPER(TRIM($J366))="NA"),IFERROR(INDEX(Lists!$R$2:$R$9,MATCH(TRIM($G366),Lists!$Q$2:$Q$9,0)),"UNMAPPED"),IFERROR(INDEX(Lists!$U$2:$U$21,MATCH(TRIM($J366),Lists!$T$2:$T$21,0)),IFERROR(INDEX(Lists!$R$2:$R$9,MATCH(TRIM($G366),Lists!$Q$2:$Q$9,0)),"UNMAPPED"))))))))</f>
        <v>Infrastructure</v>
      </c>
      <c r="AI366" s="534" t="b">
        <f>IF(TRIM($B366)="","",--OR(TRIM($L366)="Leadership",TRIM($K366)="Leadership"))</f>
        <v>0</v>
      </c>
      <c r="AJ366" s="534" t="str">
        <f>IF(TRIM($B366)="","",IF(COUNTIFS(Lists!$AN$2:$AN$22,TRIM($B366)&amp;" | "&amp;TRIM($D366),Lists!$AP$2:$AP$22,"&lt;&gt;"),INDEX(Lists!$AP$2:$AP$22,MATCH(TRIM($B366)&amp;" | "&amp;TRIM($D366),Lists!$AN$2:$AN$22,0)),IF($AI366=1,"Leadership",IFERROR(INDEX(Lists!$X$2:$X$21,MATCH(TRIM($L366),Lists!$W$2:$W$21,0)),IF(OR(TRIM($L366)="",LOWER(TRIM($L366))="na"),IF(TRIM($H366)="","Unassigned",TRIM($H366)),TRIM($L366))))))</f>
        <v>Data &amp; Insights</v>
      </c>
      <c r="AK366" s="534" t="str">
        <f>IF(TRIM($B366)="","",IF(COUNTIFS(Lists!$AN$2:$AN$22,TRIM($B366)&amp;" | "&amp;TRIM($D366),Lists!$AQ$2:$AQ$22,"&lt;&gt;"),INDEX(Lists!$AQ$2:$AQ$22,MATCH(TRIM($B366)&amp;" | "&amp;TRIM($D366),Lists!$AN$2:$AN$22,0)),IF(COUNTIF(Lists!$AF$2:$AF$8,$AJ366),$AJ366,IF(ISNUMBER(SEARCH("head of ",$D366)),"Head of Technology",IF(ISNUMBER(SEARCH("TDD BP",$D366)),"Business Partner",IF(OR(ISNUMBER(SEARCH("domain architect",$D366)),ISNUMBER(SEARCH("enterprise architect",$D366))),"Domain Architect",IF(ISNUMBER(SEARCH("delivery man",$D366)),"Delivery Manager",IF(OR(ISNUMBER(SEARCH("technology manager",$D366)),ISNUMBER(SEARCH("technology manger",$D366)),ISNUMBER(SEARCH("tech manager",$D366))),"Technology Manager","Squad"))))))))</f>
        <v>Squad</v>
      </c>
      <c r="AL366" s="534" t="str">
        <f>IF(TRIM($B366)="","",IF(AND($AM366=1,LEFT($AJ366,4)&lt;&gt;"EGI ",$AJ366&lt;&gt;"EGI"),IFERROR(INDEX(Lists!$Z$2:$Z$20,MATCH($AH366,Lists!$Y$2:$Y$20,0)),"EGI "&amp;$AH366),IF(COUNTIF(Lists!$AU$2:$AU$10,$AJ366),$AJ366,IF(OR(LEFT($AH366,3)="COE",$AH366="EGI"),$AJ366,IF($AK366&lt;&gt;"Squad",$AK366,$AJ366)))))</f>
        <v>Data &amp; Insights</v>
      </c>
      <c r="AM366" s="534" t="b">
        <f>IF(TRIM($B366)="","",--(UPPER(TRIM($K366))="EGI"))</f>
        <v>0</v>
      </c>
      <c r="AQ366" s="841" t="inlineStr">
        <is>
          <t>R0365</t>
        </is>
      </c>
      <c r="AZ366" s="841" t="n"/>
    </row>
    <row r="367" ht="18" customHeight="1" s="535">
      <c r="A367" s="842" t="n">
        <v>97479</v>
      </c>
      <c r="B367" s="843" t="inlineStr">
        <is>
          <t>Megha Agarwal</t>
        </is>
      </c>
      <c r="C367" s="842" t="n">
        <v>97479</v>
      </c>
      <c r="D367" s="843" t="inlineStr">
        <is>
          <t>Engineer Data</t>
        </is>
      </c>
      <c r="E367" s="843" t="inlineStr">
        <is>
          <t>Vacant</t>
        </is>
      </c>
      <c r="F367" s="843" t="inlineStr">
        <is>
          <t>Technology Manger, Data</t>
        </is>
      </c>
      <c r="G367" s="844" t="inlineStr">
        <is>
          <t>TDD CFE&amp;I</t>
        </is>
      </c>
      <c r="H367" s="843" t="inlineStr">
        <is>
          <t>Fuel Infrastructure</t>
        </is>
      </c>
      <c r="I367" s="843" t="inlineStr">
        <is>
          <t>Fuel Infrastructure, Data</t>
        </is>
      </c>
      <c r="J367" s="843" t="inlineStr">
        <is>
          <t>Infrastructure</t>
        </is>
      </c>
      <c r="K367" s="843" t="inlineStr">
        <is>
          <t xml:space="preserve">Data &amp; Insights </t>
        </is>
      </c>
      <c r="L367" s="843" t="inlineStr">
        <is>
          <t xml:space="preserve">Data &amp; Insights </t>
        </is>
      </c>
      <c r="M367" s="843" t="n"/>
      <c r="N367" s="845" t="inlineStr">
        <is>
          <t>Australia</t>
        </is>
      </c>
      <c r="O367" s="846" t="inlineStr">
        <is>
          <t>CIB</t>
        </is>
      </c>
      <c r="P367" s="847" t="n">
        <v>1</v>
      </c>
      <c r="Q367" s="863" t="n"/>
      <c r="R367" s="847" t="inlineStr">
        <is>
          <t>Permanent - Full Time</t>
        </is>
      </c>
      <c r="S367" s="847" t="n"/>
      <c r="T367" s="847" t="n"/>
      <c r="U367" s="848" t="n">
        <v>154440</v>
      </c>
      <c r="V367" s="849" t="n">
        <v>154440</v>
      </c>
      <c r="W367" s="850" t="n">
        <v>0.12</v>
      </c>
      <c r="X367" s="847" t="n">
        <v>0.055</v>
      </c>
      <c r="Y367" s="850" t="n">
        <v>0.12</v>
      </c>
      <c r="Z367" s="851" t="n"/>
      <c r="AA367" s="850" t="n">
        <v>0.04</v>
      </c>
      <c r="AB367" s="852" t="n">
        <v>206177.4</v>
      </c>
      <c r="AE367" s="534">
        <f>IF(TRIM($B367)="","",IF(AND(N($P367)&gt;0,N($P367)&lt;1),N($AB367)*N($P367),N($AB367)))</f>
        <v>206177.4</v>
      </c>
      <c r="AF367" s="534" t="str">
        <f>IF(TRIM($B367)="","",IF(OR(ISNUMBER(SEARCH("vacant",$B367)),ISNUMBER(SEARCH("ring fenced",$B367)),LOWER(TRIM($B367))="remove"),"Vacant","Filled"))</f>
        <v>Filled</v>
      </c>
      <c r="AG367" s="534" t="b">
        <f>IF(TRIM($B367)="","",--ISNUMBER(SEARCH("ring fenced",$B367)))</f>
        <v>0</v>
      </c>
      <c r="AH367" s="534" t="str">
        <f>IF(TRIM($B367)="","",IF(COUNTIFS(Lists!$AN$2:$AN$22,TRIM($B367)&amp;" | "&amp;TRIM($D367),Lists!$AO$2:$AO$22,"&lt;&gt;"),INDEX(Lists!$AO$2:$AO$22,MATCH(TRIM($B367)&amp;" | "&amp;TRIM($D367),Lists!$AN$2:$AN$22,0)),IF(COUNTIF(Lists!$AR$2:$AR$3,$AJ367),"TDD Cyber",IF(AND(LEFT($AJ367,4)="EGI ",ISNUMBER(MATCH(TRIM(MID($AJ367,5,99)),Lists!$AS$2:$AS$12,0))),TRIM(MID($AJ367,5,99)),IF(AND(LEFT($AJ367,4)="EGI ",ISNUMBER(MATCH(TRIM(MID($AJ367,5,99)),Lists!$T$2:$T$21,0))),INDEX(Lists!$U$2:$U$21,MATCH(TRIM(MID($AJ367,5,99)),Lists!$T$2:$T$21,0)),IF(OR(TRIM($J367)="",UPPER(TRIM($J367))="NA"),IFERROR(INDEX(Lists!$R$2:$R$9,MATCH(TRIM($G367),Lists!$Q$2:$Q$9,0)),"UNMAPPED"),IFERROR(INDEX(Lists!$U$2:$U$21,MATCH(TRIM($J367),Lists!$T$2:$T$21,0)),IFERROR(INDEX(Lists!$R$2:$R$9,MATCH(TRIM($G367),Lists!$Q$2:$Q$9,0)),"UNMAPPED"))))))))</f>
        <v>Infrastructure</v>
      </c>
      <c r="AI367" s="534" t="b">
        <f>IF(TRIM($B367)="","",--OR(TRIM($L367)="Leadership",TRIM($K367)="Leadership"))</f>
        <v>0</v>
      </c>
      <c r="AJ367" s="534" t="str">
        <f>IF(TRIM($B367)="","",IF(COUNTIFS(Lists!$AN$2:$AN$22,TRIM($B367)&amp;" | "&amp;TRIM($D367),Lists!$AP$2:$AP$22,"&lt;&gt;"),INDEX(Lists!$AP$2:$AP$22,MATCH(TRIM($B367)&amp;" | "&amp;TRIM($D367),Lists!$AN$2:$AN$22,0)),IF($AI367=1,"Leadership",IFERROR(INDEX(Lists!$X$2:$X$21,MATCH(TRIM($L367),Lists!$W$2:$W$21,0)),IF(OR(TRIM($L367)="",LOWER(TRIM($L367))="na"),IF(TRIM($H367)="","Unassigned",TRIM($H367)),TRIM($L367))))))</f>
        <v>Data &amp; Insights</v>
      </c>
      <c r="AK367" s="534" t="str">
        <f>IF(TRIM($B367)="","",IF(COUNTIFS(Lists!$AN$2:$AN$22,TRIM($B367)&amp;" | "&amp;TRIM($D367),Lists!$AQ$2:$AQ$22,"&lt;&gt;"),INDEX(Lists!$AQ$2:$AQ$22,MATCH(TRIM($B367)&amp;" | "&amp;TRIM($D367),Lists!$AN$2:$AN$22,0)),IF(COUNTIF(Lists!$AF$2:$AF$8,$AJ367),$AJ367,IF(ISNUMBER(SEARCH("head of ",$D367)),"Head of Technology",IF(ISNUMBER(SEARCH("TDD BP",$D367)),"Business Partner",IF(OR(ISNUMBER(SEARCH("domain architect",$D367)),ISNUMBER(SEARCH("enterprise architect",$D367))),"Domain Architect",IF(ISNUMBER(SEARCH("delivery man",$D367)),"Delivery Manager",IF(OR(ISNUMBER(SEARCH("technology manager",$D367)),ISNUMBER(SEARCH("technology manger",$D367)),ISNUMBER(SEARCH("tech manager",$D367))),"Technology Manager","Squad"))))))))</f>
        <v>Squad</v>
      </c>
      <c r="AL367" s="534" t="str">
        <f>IF(TRIM($B367)="","",IF(AND($AM367=1,LEFT($AJ367,4)&lt;&gt;"EGI ",$AJ367&lt;&gt;"EGI"),IFERROR(INDEX(Lists!$Z$2:$Z$20,MATCH($AH367,Lists!$Y$2:$Y$20,0)),"EGI "&amp;$AH367),IF(COUNTIF(Lists!$AU$2:$AU$10,$AJ367),$AJ367,IF(OR(LEFT($AH367,3)="COE",$AH367="EGI"),$AJ367,IF($AK367&lt;&gt;"Squad",$AK367,$AJ367)))))</f>
        <v>Data &amp; Insights</v>
      </c>
      <c r="AM367" s="534" t="b">
        <f>IF(TRIM($B367)="","",--(UPPER(TRIM($K367))="EGI"))</f>
        <v>0</v>
      </c>
      <c r="AQ367" s="841" t="inlineStr">
        <is>
          <t>R0366</t>
        </is>
      </c>
      <c r="AZ367" s="841" t="n"/>
    </row>
    <row r="368" ht="18" customHeight="1" s="535">
      <c r="A368" s="842" t="n">
        <v>95835</v>
      </c>
      <c r="B368" s="843" t="inlineStr">
        <is>
          <t>Briony Scott</t>
        </is>
      </c>
      <c r="C368" s="842" t="n">
        <v>95835</v>
      </c>
      <c r="D368" s="843" t="inlineStr">
        <is>
          <t>Service &amp; Contract Specialist AU</t>
        </is>
      </c>
      <c r="E368" s="843" t="inlineStr">
        <is>
          <t>Vacant</t>
        </is>
      </c>
      <c r="F368" s="843" t="inlineStr">
        <is>
          <t>Commercial Director</t>
        </is>
      </c>
      <c r="G368" s="844" t="inlineStr">
        <is>
          <t>Partnering &amp; Transformation</t>
        </is>
      </c>
      <c r="H368" s="843" t="inlineStr">
        <is>
          <t>Commercial</t>
        </is>
      </c>
      <c r="I368" s="843" t="inlineStr">
        <is>
          <t>NA</t>
        </is>
      </c>
      <c r="J368" s="843" t="inlineStr">
        <is>
          <t>NA</t>
        </is>
      </c>
      <c r="K368" s="843" t="inlineStr">
        <is>
          <t>NA</t>
        </is>
      </c>
      <c r="L368" s="843" t="inlineStr">
        <is>
          <t>NA</t>
        </is>
      </c>
      <c r="M368" s="843" t="n"/>
      <c r="N368" s="845" t="inlineStr">
        <is>
          <t>Australia</t>
        </is>
      </c>
      <c r="O368" s="846" t="inlineStr">
        <is>
          <t>CIB</t>
        </is>
      </c>
      <c r="P368" s="847" t="n">
        <v>1</v>
      </c>
      <c r="Q368" s="863" t="n"/>
      <c r="R368" s="847" t="inlineStr">
        <is>
          <t>Permanent - Full Time</t>
        </is>
      </c>
      <c r="S368" s="847" t="n"/>
      <c r="T368" s="847" t="n"/>
      <c r="U368" s="848" t="n">
        <v>153600</v>
      </c>
      <c r="V368" s="849" t="n">
        <v>153600</v>
      </c>
      <c r="W368" s="850" t="n">
        <v>0.12</v>
      </c>
      <c r="X368" s="847" t="n">
        <v>0.055</v>
      </c>
      <c r="Y368" s="850" t="n">
        <v>0.12</v>
      </c>
      <c r="Z368" s="851" t="n"/>
      <c r="AA368" s="850" t="n">
        <v>0.04</v>
      </c>
      <c r="AB368" s="852" t="n">
        <v>205056</v>
      </c>
      <c r="AE368" s="534">
        <f>IF(TRIM($B368)="","",IF(AND(N($P368)&gt;0,N($P368)&lt;1),N($AB368)*N($P368),N($AB368)))</f>
        <v>205056</v>
      </c>
      <c r="AF368" s="534" t="str">
        <f>IF(TRIM($B368)="","",IF(OR(ISNUMBER(SEARCH("vacant",$B368)),ISNUMBER(SEARCH("ring fenced",$B368)),LOWER(TRIM($B368))="remove"),"Vacant","Filled"))</f>
        <v>Filled</v>
      </c>
      <c r="AG368" s="534" t="b">
        <f>IF(TRIM($B368)="","",--ISNUMBER(SEARCH("ring fenced",$B368)))</f>
        <v>0</v>
      </c>
      <c r="AH368" s="534" t="str">
        <f>IF(TRIM($B368)="","",IF(COUNTIFS(Lists!$AN$2:$AN$22,TRIM($B368)&amp;" | "&amp;TRIM($D368),Lists!$AO$2:$AO$22,"&lt;&gt;"),INDEX(Lists!$AO$2:$AO$22,MATCH(TRIM($B368)&amp;" | "&amp;TRIM($D368),Lists!$AN$2:$AN$22,0)),IF(COUNTIF(Lists!$AR$2:$AR$3,$AJ368),"TDD Cyber",IF(AND(LEFT($AJ368,4)="EGI ",ISNUMBER(MATCH(TRIM(MID($AJ368,5,99)),Lists!$AS$2:$AS$12,0))),TRIM(MID($AJ368,5,99)),IF(AND(LEFT($AJ368,4)="EGI ",ISNUMBER(MATCH(TRIM(MID($AJ368,5,99)),Lists!$T$2:$T$21,0))),INDEX(Lists!$U$2:$U$21,MATCH(TRIM(MID($AJ368,5,99)),Lists!$T$2:$T$21,0)),IF(OR(TRIM($J368)="",UPPER(TRIM($J368))="NA"),IFERROR(INDEX(Lists!$R$2:$R$9,MATCH(TRIM($G368),Lists!$Q$2:$Q$9,0)),"UNMAPPED"),IFERROR(INDEX(Lists!$U$2:$U$21,MATCH(TRIM($J368),Lists!$T$2:$T$21,0)),IFERROR(INDEX(Lists!$R$2:$R$9,MATCH(TRIM($G368),Lists!$Q$2:$Q$9,0)),"UNMAPPED"))))))))</f>
        <v>COE BP&amp;T</v>
      </c>
      <c r="AI368" s="534" t="b">
        <f>IF(TRIM($B368)="","",--OR(TRIM($L368)="Leadership",TRIM($K368)="Leadership"))</f>
        <v>0</v>
      </c>
      <c r="AJ368" s="534" t="str">
        <f>IF(TRIM($B368)="","",IF(COUNTIFS(Lists!$AN$2:$AN$22,TRIM($B368)&amp;" | "&amp;TRIM($D368),Lists!$AP$2:$AP$22,"&lt;&gt;"),INDEX(Lists!$AP$2:$AP$22,MATCH(TRIM($B368)&amp;" | "&amp;TRIM($D368),Lists!$AN$2:$AN$22,0)),IF($AI368=1,"Leadership",IFERROR(INDEX(Lists!$X$2:$X$21,MATCH(TRIM($L368),Lists!$W$2:$W$21,0)),IF(OR(TRIM($L368)="",LOWER(TRIM($L368))="na"),IF(TRIM($H368)="","Unassigned",TRIM($H368)),TRIM($L368))))))</f>
        <v>Commercial</v>
      </c>
      <c r="AK368" s="534" t="str">
        <f>IF(TRIM($B368)="","",IF(COUNTIFS(Lists!$AN$2:$AN$22,TRIM($B368)&amp;" | "&amp;TRIM($D368),Lists!$AQ$2:$AQ$22,"&lt;&gt;"),INDEX(Lists!$AQ$2:$AQ$22,MATCH(TRIM($B368)&amp;" | "&amp;TRIM($D368),Lists!$AN$2:$AN$22,0)),IF(COUNTIF(Lists!$AF$2:$AF$8,$AJ368),$AJ368,IF(ISNUMBER(SEARCH("head of ",$D368)),"Head of Technology",IF(ISNUMBER(SEARCH("TDD BP",$D368)),"Business Partner",IF(OR(ISNUMBER(SEARCH("domain architect",$D368)),ISNUMBER(SEARCH("enterprise architect",$D368))),"Domain Architect",IF(ISNUMBER(SEARCH("delivery man",$D368)),"Delivery Manager",IF(OR(ISNUMBER(SEARCH("technology manager",$D368)),ISNUMBER(SEARCH("technology manger",$D368)),ISNUMBER(SEARCH("tech manager",$D368))),"Technology Manager","Squad"))))))))</f>
        <v>Squad</v>
      </c>
      <c r="AL368" s="534" t="str">
        <f>IF(TRIM($B368)="","",IF(AND($AM368=1,LEFT($AJ368,4)&lt;&gt;"EGI ",$AJ368&lt;&gt;"EGI"),IFERROR(INDEX(Lists!$Z$2:$Z$20,MATCH($AH368,Lists!$Y$2:$Y$20,0)),"EGI "&amp;$AH368),IF(COUNTIF(Lists!$AU$2:$AU$10,$AJ368),$AJ368,IF(OR(LEFT($AH368,3)="COE",$AH368="EGI"),$AJ368,IF($AK368&lt;&gt;"Squad",$AK368,$AJ368)))))</f>
        <v>Commercial</v>
      </c>
      <c r="AM368" s="534" t="b">
        <f>IF(TRIM($B368)="","",--(UPPER(TRIM($K368))="EGI"))</f>
        <v>0</v>
      </c>
      <c r="AQ368" s="841" t="inlineStr">
        <is>
          <t>R0367</t>
        </is>
      </c>
      <c r="AZ368" s="841" t="n"/>
    </row>
    <row r="369" ht="18" customHeight="1" s="535">
      <c r="A369" s="842" t="n">
        <v>113362</v>
      </c>
      <c r="B369" s="843" t="inlineStr">
        <is>
          <t>Jane Esclandra</t>
        </is>
      </c>
      <c r="C369" s="842" t="n">
        <v>113362</v>
      </c>
      <c r="D369" s="843" t="inlineStr">
        <is>
          <t>Software Asset Specialist</t>
        </is>
      </c>
      <c r="E369" s="843" t="inlineStr">
        <is>
          <t>Vacant</t>
        </is>
      </c>
      <c r="F369" s="843" t="inlineStr">
        <is>
          <t>Commercial Director</t>
        </is>
      </c>
      <c r="G369" s="844" t="inlineStr">
        <is>
          <t>Partnering &amp; Transformation</t>
        </is>
      </c>
      <c r="H369" s="843" t="inlineStr">
        <is>
          <t>Commercial</t>
        </is>
      </c>
      <c r="I369" s="843" t="inlineStr">
        <is>
          <t>NA</t>
        </is>
      </c>
      <c r="J369" s="843" t="inlineStr">
        <is>
          <t>NA</t>
        </is>
      </c>
      <c r="K369" s="843" t="inlineStr">
        <is>
          <t>NA</t>
        </is>
      </c>
      <c r="L369" s="843" t="inlineStr">
        <is>
          <t>NA</t>
        </is>
      </c>
      <c r="M369" s="843" t="n"/>
      <c r="N369" s="845" t="inlineStr">
        <is>
          <t>Australia</t>
        </is>
      </c>
      <c r="O369" s="846" t="inlineStr">
        <is>
          <t>CIB</t>
        </is>
      </c>
      <c r="P369" s="847" t="n">
        <v>1</v>
      </c>
      <c r="Q369" s="864" t="n"/>
      <c r="R369" s="847" t="inlineStr">
        <is>
          <t>Permanent - Full Time</t>
        </is>
      </c>
      <c r="S369" s="847" t="n"/>
      <c r="T369" s="847" t="n"/>
      <c r="U369" s="848" t="n">
        <v>137420</v>
      </c>
      <c r="V369" s="849" t="n">
        <v>137420</v>
      </c>
      <c r="W369" s="850" t="n">
        <v>0.12</v>
      </c>
      <c r="X369" s="847" t="n">
        <v>0.055</v>
      </c>
      <c r="Y369" s="850" t="n">
        <v>0.12</v>
      </c>
      <c r="Z369" s="851" t="n"/>
      <c r="AA369" s="850" t="n">
        <v>0.04</v>
      </c>
      <c r="AB369" s="852" t="n">
        <v>183455.7</v>
      </c>
      <c r="AE369" s="534">
        <f>IF(TRIM($B369)="","",IF(AND(N($P369)&gt;0,N($P369)&lt;1),N($AB369)*N($P369),N($AB369)))</f>
        <v>183455.7</v>
      </c>
      <c r="AF369" s="534" t="str">
        <f>IF(TRIM($B369)="","",IF(OR(ISNUMBER(SEARCH("vacant",$B369)),ISNUMBER(SEARCH("ring fenced",$B369)),LOWER(TRIM($B369))="remove"),"Vacant","Filled"))</f>
        <v>Filled</v>
      </c>
      <c r="AG369" s="534" t="b">
        <f>IF(TRIM($B369)="","",--ISNUMBER(SEARCH("ring fenced",$B369)))</f>
        <v>0</v>
      </c>
      <c r="AH369" s="534" t="str">
        <f>IF(TRIM($B369)="","",IF(COUNTIFS(Lists!$AN$2:$AN$22,TRIM($B369)&amp;" | "&amp;TRIM($D369),Lists!$AO$2:$AO$22,"&lt;&gt;"),INDEX(Lists!$AO$2:$AO$22,MATCH(TRIM($B369)&amp;" | "&amp;TRIM($D369),Lists!$AN$2:$AN$22,0)),IF(COUNTIF(Lists!$AR$2:$AR$3,$AJ369),"TDD Cyber",IF(AND(LEFT($AJ369,4)="EGI ",ISNUMBER(MATCH(TRIM(MID($AJ369,5,99)),Lists!$AS$2:$AS$12,0))),TRIM(MID($AJ369,5,99)),IF(AND(LEFT($AJ369,4)="EGI ",ISNUMBER(MATCH(TRIM(MID($AJ369,5,99)),Lists!$T$2:$T$21,0))),INDEX(Lists!$U$2:$U$21,MATCH(TRIM(MID($AJ369,5,99)),Lists!$T$2:$T$21,0)),IF(OR(TRIM($J369)="",UPPER(TRIM($J369))="NA"),IFERROR(INDEX(Lists!$R$2:$R$9,MATCH(TRIM($G369),Lists!$Q$2:$Q$9,0)),"UNMAPPED"),IFERROR(INDEX(Lists!$U$2:$U$21,MATCH(TRIM($J369),Lists!$T$2:$T$21,0)),IFERROR(INDEX(Lists!$R$2:$R$9,MATCH(TRIM($G369),Lists!$Q$2:$Q$9,0)),"UNMAPPED"))))))))</f>
        <v>COE BP&amp;T</v>
      </c>
      <c r="AI369" s="534" t="b">
        <f>IF(TRIM($B369)="","",--OR(TRIM($L369)="Leadership",TRIM($K369)="Leadership"))</f>
        <v>0</v>
      </c>
      <c r="AJ369" s="534" t="str">
        <f>IF(TRIM($B369)="","",IF(COUNTIFS(Lists!$AN$2:$AN$22,TRIM($B369)&amp;" | "&amp;TRIM($D369),Lists!$AP$2:$AP$22,"&lt;&gt;"),INDEX(Lists!$AP$2:$AP$22,MATCH(TRIM($B369)&amp;" | "&amp;TRIM($D369),Lists!$AN$2:$AN$22,0)),IF($AI369=1,"Leadership",IFERROR(INDEX(Lists!$X$2:$X$21,MATCH(TRIM($L369),Lists!$W$2:$W$21,0)),IF(OR(TRIM($L369)="",LOWER(TRIM($L369))="na"),IF(TRIM($H369)="","Unassigned",TRIM($H369)),TRIM($L369))))))</f>
        <v>Commercial</v>
      </c>
      <c r="AK369" s="534" t="str">
        <f>IF(TRIM($B369)="","",IF(COUNTIFS(Lists!$AN$2:$AN$22,TRIM($B369)&amp;" | "&amp;TRIM($D369),Lists!$AQ$2:$AQ$22,"&lt;&gt;"),INDEX(Lists!$AQ$2:$AQ$22,MATCH(TRIM($B369)&amp;" | "&amp;TRIM($D369),Lists!$AN$2:$AN$22,0)),IF(COUNTIF(Lists!$AF$2:$AF$8,$AJ369),$AJ369,IF(ISNUMBER(SEARCH("head of ",$D369)),"Head of Technology",IF(ISNUMBER(SEARCH("TDD BP",$D369)),"Business Partner",IF(OR(ISNUMBER(SEARCH("domain architect",$D369)),ISNUMBER(SEARCH("enterprise architect",$D369))),"Domain Architect",IF(ISNUMBER(SEARCH("delivery man",$D369)),"Delivery Manager",IF(OR(ISNUMBER(SEARCH("technology manager",$D369)),ISNUMBER(SEARCH("technology manger",$D369)),ISNUMBER(SEARCH("tech manager",$D369))),"Technology Manager","Squad"))))))))</f>
        <v>Squad</v>
      </c>
      <c r="AL369" s="534" t="str">
        <f>IF(TRIM($B369)="","",IF(AND($AM369=1,LEFT($AJ369,4)&lt;&gt;"EGI ",$AJ369&lt;&gt;"EGI"),IFERROR(INDEX(Lists!$Z$2:$Z$20,MATCH($AH369,Lists!$Y$2:$Y$20,0)),"EGI "&amp;$AH369),IF(COUNTIF(Lists!$AU$2:$AU$10,$AJ369),$AJ369,IF(OR(LEFT($AH369,3)="COE",$AH369="EGI"),$AJ369,IF($AK369&lt;&gt;"Squad",$AK369,$AJ369)))))</f>
        <v>Commercial</v>
      </c>
      <c r="AM369" s="534" t="b">
        <f>IF(TRIM($B369)="","",--(UPPER(TRIM($K369))="EGI"))</f>
        <v>0</v>
      </c>
      <c r="AQ369" s="841" t="inlineStr">
        <is>
          <t>R0368</t>
        </is>
      </c>
      <c r="AZ369" s="841" t="n"/>
    </row>
    <row r="370" ht="18" customHeight="1" s="535">
      <c r="A370" s="842" t="n">
        <v>6851</v>
      </c>
      <c r="B370" s="843" t="inlineStr">
        <is>
          <t>Ann Aquino</t>
        </is>
      </c>
      <c r="C370" s="842" t="n">
        <v>6851</v>
      </c>
      <c r="D370" s="843" t="inlineStr">
        <is>
          <t>Senior Business Analyst</t>
        </is>
      </c>
      <c r="E370" s="843" t="inlineStr">
        <is>
          <t>Vacant</t>
        </is>
      </c>
      <c r="F370" s="843" t="inlineStr">
        <is>
          <t>Delivery Manager</t>
        </is>
      </c>
      <c r="G370" s="844" t="inlineStr">
        <is>
          <t>TDD CFE&amp;I</t>
        </is>
      </c>
      <c r="H370" s="843" t="inlineStr">
        <is>
          <t>Commercial Fuels</t>
        </is>
      </c>
      <c r="I370" s="843" t="inlineStr">
        <is>
          <t>Delivery, Commercial Fuels</t>
        </is>
      </c>
      <c r="J370" s="843" t="inlineStr">
        <is>
          <t>Commercial Fuels</t>
        </is>
      </c>
      <c r="K370" s="843" t="inlineStr">
        <is>
          <t>Supply</t>
        </is>
      </c>
      <c r="L370" s="843" t="inlineStr">
        <is>
          <t>Supply</t>
        </is>
      </c>
      <c r="M370" s="843" t="n"/>
      <c r="N370" s="845" t="inlineStr">
        <is>
          <t>Australia</t>
        </is>
      </c>
      <c r="O370" s="846" t="inlineStr">
        <is>
          <t>CIB</t>
        </is>
      </c>
      <c r="P370" s="847" t="n">
        <v>1</v>
      </c>
      <c r="Q370" s="863" t="n"/>
      <c r="R370" s="847" t="inlineStr">
        <is>
          <t>Permanent - Full Time</t>
        </is>
      </c>
      <c r="S370" s="847" t="n"/>
      <c r="T370" s="847" t="n"/>
      <c r="U370" s="848" t="n">
        <v>164050</v>
      </c>
      <c r="V370" s="849" t="n">
        <v>164050</v>
      </c>
      <c r="W370" s="850" t="n">
        <v>0.12</v>
      </c>
      <c r="X370" s="847" t="n">
        <v>0.055</v>
      </c>
      <c r="Y370" s="850" t="n">
        <v>0.12</v>
      </c>
      <c r="Z370" s="851" t="n"/>
      <c r="AA370" s="850" t="n">
        <v>0.04</v>
      </c>
      <c r="AB370" s="852" t="n">
        <v>219006.75</v>
      </c>
      <c r="AE370" s="534">
        <f>IF(TRIM($B370)="","",IF(AND(N($P370)&gt;0,N($P370)&lt;1),N($AB370)*N($P370),N($AB370)))</f>
        <v>219006.75</v>
      </c>
      <c r="AF370" s="534" t="str">
        <f>IF(TRIM($B370)="","",IF(OR(ISNUMBER(SEARCH("vacant",$B370)),ISNUMBER(SEARCH("ring fenced",$B370)),LOWER(TRIM($B370))="remove"),"Vacant","Filled"))</f>
        <v>Filled</v>
      </c>
      <c r="AG370" s="534" t="b">
        <f>IF(TRIM($B370)="","",--ISNUMBER(SEARCH("ring fenced",$B370)))</f>
        <v>0</v>
      </c>
      <c r="AH370" s="534" t="str">
        <f>IF(TRIM($B370)="","",IF(COUNTIFS(Lists!$AN$2:$AN$22,TRIM($B370)&amp;" | "&amp;TRIM($D370),Lists!$AO$2:$AO$22,"&lt;&gt;"),INDEX(Lists!$AO$2:$AO$22,MATCH(TRIM($B370)&amp;" | "&amp;TRIM($D370),Lists!$AN$2:$AN$22,0)),IF(COUNTIF(Lists!$AR$2:$AR$3,$AJ370),"TDD Cyber",IF(AND(LEFT($AJ370,4)="EGI ",ISNUMBER(MATCH(TRIM(MID($AJ370,5,99)),Lists!$AS$2:$AS$12,0))),TRIM(MID($AJ370,5,99)),IF(AND(LEFT($AJ370,4)="EGI ",ISNUMBER(MATCH(TRIM(MID($AJ370,5,99)),Lists!$T$2:$T$21,0))),INDEX(Lists!$U$2:$U$21,MATCH(TRIM(MID($AJ370,5,99)),Lists!$T$2:$T$21,0)),IF(OR(TRIM($J370)="",UPPER(TRIM($J370))="NA"),IFERROR(INDEX(Lists!$R$2:$R$9,MATCH(TRIM($G370),Lists!$Q$2:$Q$9,0)),"UNMAPPED"),IFERROR(INDEX(Lists!$U$2:$U$21,MATCH(TRIM($J370),Lists!$T$2:$T$21,0)),IFERROR(INDEX(Lists!$R$2:$R$9,MATCH(TRIM($G370),Lists!$Q$2:$Q$9,0)),"UNMAPPED"))))))))</f>
        <v>Commercial Fuels</v>
      </c>
      <c r="AI370" s="534" t="b">
        <f>IF(TRIM($B370)="","",--OR(TRIM($L370)="Leadership",TRIM($K370)="Leadership"))</f>
        <v>0</v>
      </c>
      <c r="AJ370" s="534" t="str">
        <f>IF(TRIM($B370)="","",IF(COUNTIFS(Lists!$AN$2:$AN$22,TRIM($B370)&amp;" | "&amp;TRIM($D370),Lists!$AP$2:$AP$22,"&lt;&gt;"),INDEX(Lists!$AP$2:$AP$22,MATCH(TRIM($B370)&amp;" | "&amp;TRIM($D370),Lists!$AN$2:$AN$22,0)),IF($AI370=1,"Leadership",IFERROR(INDEX(Lists!$X$2:$X$21,MATCH(TRIM($L370),Lists!$W$2:$W$21,0)),IF(OR(TRIM($L370)="",LOWER(TRIM($L370))="na"),IF(TRIM($H370)="","Unassigned",TRIM($H370)),TRIM($L370))))))</f>
        <v>Supply</v>
      </c>
      <c r="AK370" s="534" t="str">
        <f>IF(TRIM($B370)="","",IF(COUNTIFS(Lists!$AN$2:$AN$22,TRIM($B370)&amp;" | "&amp;TRIM($D370),Lists!$AQ$2:$AQ$22,"&lt;&gt;"),INDEX(Lists!$AQ$2:$AQ$22,MATCH(TRIM($B370)&amp;" | "&amp;TRIM($D370),Lists!$AN$2:$AN$22,0)),IF(COUNTIF(Lists!$AF$2:$AF$8,$AJ370),$AJ370,IF(ISNUMBER(SEARCH("head of ",$D370)),"Head of Technology",IF(ISNUMBER(SEARCH("TDD BP",$D370)),"Business Partner",IF(OR(ISNUMBER(SEARCH("domain architect",$D370)),ISNUMBER(SEARCH("enterprise architect",$D370))),"Domain Architect",IF(ISNUMBER(SEARCH("delivery man",$D370)),"Delivery Manager",IF(OR(ISNUMBER(SEARCH("technology manager",$D370)),ISNUMBER(SEARCH("technology manger",$D370)),ISNUMBER(SEARCH("tech manager",$D370))),"Technology Manager","Squad"))))))))</f>
        <v>Squad</v>
      </c>
      <c r="AL370" s="534" t="str">
        <f>IF(TRIM($B370)="","",IF(AND($AM370=1,LEFT($AJ370,4)&lt;&gt;"EGI ",$AJ370&lt;&gt;"EGI"),IFERROR(INDEX(Lists!$Z$2:$Z$20,MATCH($AH370,Lists!$Y$2:$Y$20,0)),"EGI "&amp;$AH370),IF(COUNTIF(Lists!$AU$2:$AU$10,$AJ370),$AJ370,IF(OR(LEFT($AH370,3)="COE",$AH370="EGI"),$AJ370,IF($AK370&lt;&gt;"Squad",$AK370,$AJ370)))))</f>
        <v>Supply</v>
      </c>
      <c r="AM370" s="534" t="b">
        <f>IF(TRIM($B370)="","",--(UPPER(TRIM($K370))="EGI"))</f>
        <v>0</v>
      </c>
      <c r="AQ370" s="841" t="inlineStr">
        <is>
          <t>R0369</t>
        </is>
      </c>
      <c r="AZ370" s="841" t="n"/>
    </row>
    <row r="371" ht="18" customHeight="1" s="535">
      <c r="A371" s="842" t="n">
        <v>108075</v>
      </c>
      <c r="B371" s="843" t="inlineStr">
        <is>
          <t>Isha Riyat</t>
        </is>
      </c>
      <c r="C371" s="842" t="n">
        <v>108075</v>
      </c>
      <c r="D371" s="843" t="inlineStr">
        <is>
          <t>Senior Business Analyst</t>
        </is>
      </c>
      <c r="E371" s="843" t="inlineStr">
        <is>
          <t>Vacant</t>
        </is>
      </c>
      <c r="F371" s="843" t="inlineStr">
        <is>
          <t>Delivery Manager</t>
        </is>
      </c>
      <c r="G371" s="844" t="inlineStr">
        <is>
          <t>TDD CFE&amp;I</t>
        </is>
      </c>
      <c r="H371" s="843" t="inlineStr">
        <is>
          <t>Commercial Fuels</t>
        </is>
      </c>
      <c r="I371" s="843" t="inlineStr">
        <is>
          <t>Delivery, Commercial Fuels</t>
        </is>
      </c>
      <c r="J371" s="843" t="inlineStr">
        <is>
          <t>Commercial Fuels</t>
        </is>
      </c>
      <c r="K371" s="843" t="inlineStr">
        <is>
          <t>Trading &amp; Shipping</t>
        </is>
      </c>
      <c r="L371" s="843" t="inlineStr">
        <is>
          <t>Trading &amp; Shipping</t>
        </is>
      </c>
      <c r="M371" s="843" t="n"/>
      <c r="N371" s="845" t="inlineStr">
        <is>
          <t>Australia</t>
        </is>
      </c>
      <c r="O371" s="846" t="inlineStr">
        <is>
          <t>CIB</t>
        </is>
      </c>
      <c r="P371" s="847" t="n">
        <v>1</v>
      </c>
      <c r="Q371" s="863" t="n"/>
      <c r="R371" s="847" t="inlineStr">
        <is>
          <t>Permanent - Full Time</t>
        </is>
      </c>
      <c r="S371" s="847" t="n"/>
      <c r="T371" s="847" t="n"/>
      <c r="U371" s="848" t="n">
        <v>169610</v>
      </c>
      <c r="V371" s="849" t="n">
        <v>169610</v>
      </c>
      <c r="W371" s="850" t="n">
        <v>0.12</v>
      </c>
      <c r="X371" s="847" t="n">
        <v>0.055</v>
      </c>
      <c r="Y371" s="850" t="n">
        <v>0.12</v>
      </c>
      <c r="Z371" s="851" t="n"/>
      <c r="AA371" s="850" t="n">
        <v>0.04</v>
      </c>
      <c r="AB371" s="852" t="n">
        <v>226429.35</v>
      </c>
      <c r="AE371" s="534">
        <f>IF(TRIM($B371)="","",IF(AND(N($P371)&gt;0,N($P371)&lt;1),N($AB371)*N($P371),N($AB371)))</f>
        <v>226429.35</v>
      </c>
      <c r="AF371" s="534" t="str">
        <f>IF(TRIM($B371)="","",IF(OR(ISNUMBER(SEARCH("vacant",$B371)),ISNUMBER(SEARCH("ring fenced",$B371)),LOWER(TRIM($B371))="remove"),"Vacant","Filled"))</f>
        <v>Filled</v>
      </c>
      <c r="AG371" s="534" t="b">
        <f>IF(TRIM($B371)="","",--ISNUMBER(SEARCH("ring fenced",$B371)))</f>
        <v>0</v>
      </c>
      <c r="AH371" s="534" t="str">
        <f>IF(TRIM($B371)="","",IF(COUNTIFS(Lists!$AN$2:$AN$22,TRIM($B371)&amp;" | "&amp;TRIM($D371),Lists!$AO$2:$AO$22,"&lt;&gt;"),INDEX(Lists!$AO$2:$AO$22,MATCH(TRIM($B371)&amp;" | "&amp;TRIM($D371),Lists!$AN$2:$AN$22,0)),IF(COUNTIF(Lists!$AR$2:$AR$3,$AJ371),"TDD Cyber",IF(AND(LEFT($AJ371,4)="EGI ",ISNUMBER(MATCH(TRIM(MID($AJ371,5,99)),Lists!$AS$2:$AS$12,0))),TRIM(MID($AJ371,5,99)),IF(AND(LEFT($AJ371,4)="EGI ",ISNUMBER(MATCH(TRIM(MID($AJ371,5,99)),Lists!$T$2:$T$21,0))),INDEX(Lists!$U$2:$U$21,MATCH(TRIM(MID($AJ371,5,99)),Lists!$T$2:$T$21,0)),IF(OR(TRIM($J371)="",UPPER(TRIM($J371))="NA"),IFERROR(INDEX(Lists!$R$2:$R$9,MATCH(TRIM($G371),Lists!$Q$2:$Q$9,0)),"UNMAPPED"),IFERROR(INDEX(Lists!$U$2:$U$21,MATCH(TRIM($J371),Lists!$T$2:$T$21,0)),IFERROR(INDEX(Lists!$R$2:$R$9,MATCH(TRIM($G371),Lists!$Q$2:$Q$9,0)),"UNMAPPED"))))))))</f>
        <v>Commercial Fuels</v>
      </c>
      <c r="AI371" s="534" t="b">
        <f>IF(TRIM($B371)="","",--OR(TRIM($L371)="Leadership",TRIM($K371)="Leadership"))</f>
        <v>0</v>
      </c>
      <c r="AJ371" s="534" t="str">
        <f>IF(TRIM($B371)="","",IF(COUNTIFS(Lists!$AN$2:$AN$22,TRIM($B371)&amp;" | "&amp;TRIM($D371),Lists!$AP$2:$AP$22,"&lt;&gt;"),INDEX(Lists!$AP$2:$AP$22,MATCH(TRIM($B371)&amp;" | "&amp;TRIM($D371),Lists!$AN$2:$AN$22,0)),IF($AI371=1,"Leadership",IFERROR(INDEX(Lists!$X$2:$X$21,MATCH(TRIM($L371),Lists!$W$2:$W$21,0)),IF(OR(TRIM($L371)="",LOWER(TRIM($L371))="na"),IF(TRIM($H371)="","Unassigned",TRIM($H371)),TRIM($L371))))))</f>
        <v>Trading &amp; Shipping</v>
      </c>
      <c r="AK371" s="534" t="str">
        <f>IF(TRIM($B371)="","",IF(COUNTIFS(Lists!$AN$2:$AN$22,TRIM($B371)&amp;" | "&amp;TRIM($D371),Lists!$AQ$2:$AQ$22,"&lt;&gt;"),INDEX(Lists!$AQ$2:$AQ$22,MATCH(TRIM($B371)&amp;" | "&amp;TRIM($D371),Lists!$AN$2:$AN$22,0)),IF(COUNTIF(Lists!$AF$2:$AF$8,$AJ371),$AJ371,IF(ISNUMBER(SEARCH("head of ",$D371)),"Head of Technology",IF(ISNUMBER(SEARCH("TDD BP",$D371)),"Business Partner",IF(OR(ISNUMBER(SEARCH("domain architect",$D371)),ISNUMBER(SEARCH("enterprise architect",$D371))),"Domain Architect",IF(ISNUMBER(SEARCH("delivery man",$D371)),"Delivery Manager",IF(OR(ISNUMBER(SEARCH("technology manager",$D371)),ISNUMBER(SEARCH("technology manger",$D371)),ISNUMBER(SEARCH("tech manager",$D371))),"Technology Manager","Squad"))))))))</f>
        <v>Squad</v>
      </c>
      <c r="AL371" s="534" t="str">
        <f>IF(TRIM($B371)="","",IF(AND($AM371=1,LEFT($AJ371,4)&lt;&gt;"EGI ",$AJ371&lt;&gt;"EGI"),IFERROR(INDEX(Lists!$Z$2:$Z$20,MATCH($AH371,Lists!$Y$2:$Y$20,0)),"EGI "&amp;$AH371),IF(COUNTIF(Lists!$AU$2:$AU$10,$AJ371),$AJ371,IF(OR(LEFT($AH371,3)="COE",$AH371="EGI"),$AJ371,IF($AK371&lt;&gt;"Squad",$AK371,$AJ371)))))</f>
        <v>Trading &amp; Shipping</v>
      </c>
      <c r="AM371" s="534" t="b">
        <f>IF(TRIM($B371)="","",--(UPPER(TRIM($K371))="EGI"))</f>
        <v>0</v>
      </c>
      <c r="AQ371" s="841" t="inlineStr">
        <is>
          <t>R0370</t>
        </is>
      </c>
      <c r="AZ371" s="841" t="n"/>
    </row>
    <row r="372" ht="18" customHeight="1" s="535">
      <c r="A372" s="842" t="n">
        <v>85491</v>
      </c>
      <c r="B372" s="843" t="inlineStr">
        <is>
          <t>Mick DaSilva</t>
        </is>
      </c>
      <c r="C372" s="842" t="n">
        <v>85491</v>
      </c>
      <c r="D372" s="843" t="inlineStr">
        <is>
          <t>Senior Business Analyst</t>
        </is>
      </c>
      <c r="E372" s="843" t="inlineStr">
        <is>
          <t>Vacant</t>
        </is>
      </c>
      <c r="F372" s="843" t="inlineStr">
        <is>
          <t>Delivery Manager</t>
        </is>
      </c>
      <c r="G372" s="844" t="inlineStr">
        <is>
          <t>TDD CFE&amp;I</t>
        </is>
      </c>
      <c r="H372" s="843" t="inlineStr">
        <is>
          <t>B2B &amp; Energy Solutions</t>
        </is>
      </c>
      <c r="I372" s="843" t="inlineStr">
        <is>
          <t>Delivery</t>
        </is>
      </c>
      <c r="J372" s="843" t="inlineStr">
        <is>
          <t>B2B &amp; Energy Solutions</t>
        </is>
      </c>
      <c r="K372" s="843" t="inlineStr">
        <is>
          <t>B2B</t>
        </is>
      </c>
      <c r="L372" s="843" t="inlineStr">
        <is>
          <t>B2B</t>
        </is>
      </c>
      <c r="M372" s="843" t="n"/>
      <c r="N372" s="845" t="inlineStr">
        <is>
          <t>Australia</t>
        </is>
      </c>
      <c r="O372" s="846" t="inlineStr">
        <is>
          <t>CIB</t>
        </is>
      </c>
      <c r="P372" s="847" t="n">
        <v>1</v>
      </c>
      <c r="Q372" s="863" t="n"/>
      <c r="R372" s="847" t="inlineStr">
        <is>
          <t>Permanent - Full Time</t>
        </is>
      </c>
      <c r="S372" s="847" t="n"/>
      <c r="T372" s="847" t="n"/>
      <c r="U372" s="848" t="n">
        <v>164380</v>
      </c>
      <c r="V372" s="849" t="n">
        <v>164380</v>
      </c>
      <c r="W372" s="850" t="n">
        <v>0.12</v>
      </c>
      <c r="X372" s="847" t="n">
        <v>0.055</v>
      </c>
      <c r="Y372" s="850" t="n">
        <v>0.12</v>
      </c>
      <c r="Z372" s="851" t="n"/>
      <c r="AA372" s="850" t="n">
        <v>0.04</v>
      </c>
      <c r="AB372" s="852" t="n">
        <v>219447.3</v>
      </c>
      <c r="AE372" s="534">
        <f>IF(TRIM($B372)="","",IF(AND(N($P372)&gt;0,N($P372)&lt;1),N($AB372)*N($P372),N($AB372)))</f>
        <v>219447.3</v>
      </c>
      <c r="AF372" s="534" t="str">
        <f>IF(TRIM($B372)="","",IF(OR(ISNUMBER(SEARCH("vacant",$B372)),ISNUMBER(SEARCH("ring fenced",$B372)),LOWER(TRIM($B372))="remove"),"Vacant","Filled"))</f>
        <v>Filled</v>
      </c>
      <c r="AG372" s="534" t="b">
        <f>IF(TRIM($B372)="","",--ISNUMBER(SEARCH("ring fenced",$B372)))</f>
        <v>0</v>
      </c>
      <c r="AH372" s="534" t="str">
        <f>IF(TRIM($B372)="","",IF(COUNTIFS(Lists!$AN$2:$AN$22,TRIM($B372)&amp;" | "&amp;TRIM($D372),Lists!$AO$2:$AO$22,"&lt;&gt;"),INDEX(Lists!$AO$2:$AO$22,MATCH(TRIM($B372)&amp;" | "&amp;TRIM($D372),Lists!$AN$2:$AN$22,0)),IF(COUNTIF(Lists!$AR$2:$AR$3,$AJ372),"TDD Cyber",IF(AND(LEFT($AJ372,4)="EGI ",ISNUMBER(MATCH(TRIM(MID($AJ372,5,99)),Lists!$AS$2:$AS$12,0))),TRIM(MID($AJ372,5,99)),IF(AND(LEFT($AJ372,4)="EGI ",ISNUMBER(MATCH(TRIM(MID($AJ372,5,99)),Lists!$T$2:$T$21,0))),INDEX(Lists!$U$2:$U$21,MATCH(TRIM(MID($AJ372,5,99)),Lists!$T$2:$T$21,0)),IF(OR(TRIM($J372)="",UPPER(TRIM($J372))="NA"),IFERROR(INDEX(Lists!$R$2:$R$9,MATCH(TRIM($G372),Lists!$Q$2:$Q$9,0)),"UNMAPPED"),IFERROR(INDEX(Lists!$U$2:$U$21,MATCH(TRIM($J372),Lists!$T$2:$T$21,0)),IFERROR(INDEX(Lists!$R$2:$R$9,MATCH(TRIM($G372),Lists!$Q$2:$Q$9,0)),"UNMAPPED"))))))))</f>
        <v>Energy Solutions &amp; B2B</v>
      </c>
      <c r="AI372" s="534" t="b">
        <f>IF(TRIM($B372)="","",--OR(TRIM($L372)="Leadership",TRIM($K372)="Leadership"))</f>
        <v>0</v>
      </c>
      <c r="AJ372" s="534" t="str">
        <f>IF(TRIM($B372)="","",IF(COUNTIFS(Lists!$AN$2:$AN$22,TRIM($B372)&amp;" | "&amp;TRIM($D372),Lists!$AP$2:$AP$22,"&lt;&gt;"),INDEX(Lists!$AP$2:$AP$22,MATCH(TRIM($B372)&amp;" | "&amp;TRIM($D372),Lists!$AN$2:$AN$22,0)),IF($AI372=1,"Leadership",IFERROR(INDEX(Lists!$X$2:$X$21,MATCH(TRIM($L372),Lists!$W$2:$W$21,0)),IF(OR(TRIM($L372)="",LOWER(TRIM($L372))="na"),IF(TRIM($H372)="","Unassigned",TRIM($H372)),TRIM($L372))))))</f>
        <v>B2B</v>
      </c>
      <c r="AK372" s="534" t="str">
        <f>IF(TRIM($B372)="","",IF(COUNTIFS(Lists!$AN$2:$AN$22,TRIM($B372)&amp;" | "&amp;TRIM($D372),Lists!$AQ$2:$AQ$22,"&lt;&gt;"),INDEX(Lists!$AQ$2:$AQ$22,MATCH(TRIM($B372)&amp;" | "&amp;TRIM($D372),Lists!$AN$2:$AN$22,0)),IF(COUNTIF(Lists!$AF$2:$AF$8,$AJ372),$AJ372,IF(ISNUMBER(SEARCH("head of ",$D372)),"Head of Technology",IF(ISNUMBER(SEARCH("TDD BP",$D372)),"Business Partner",IF(OR(ISNUMBER(SEARCH("domain architect",$D372)),ISNUMBER(SEARCH("enterprise architect",$D372))),"Domain Architect",IF(ISNUMBER(SEARCH("delivery man",$D372)),"Delivery Manager",IF(OR(ISNUMBER(SEARCH("technology manager",$D372)),ISNUMBER(SEARCH("technology manger",$D372)),ISNUMBER(SEARCH("tech manager",$D372))),"Technology Manager","Squad"))))))))</f>
        <v>Squad</v>
      </c>
      <c r="AL372" s="534" t="str">
        <f>IF(TRIM($B372)="","",IF(AND($AM372=1,LEFT($AJ372,4)&lt;&gt;"EGI ",$AJ372&lt;&gt;"EGI"),IFERROR(INDEX(Lists!$Z$2:$Z$20,MATCH($AH372,Lists!$Y$2:$Y$20,0)),"EGI "&amp;$AH372),IF(COUNTIF(Lists!$AU$2:$AU$10,$AJ372),$AJ372,IF(OR(LEFT($AH372,3)="COE",$AH372="EGI"),$AJ372,IF($AK372&lt;&gt;"Squad",$AK372,$AJ372)))))</f>
        <v>B2B</v>
      </c>
      <c r="AM372" s="534" t="b">
        <f>IF(TRIM($B372)="","",--(UPPER(TRIM($K372))="EGI"))</f>
        <v>0</v>
      </c>
      <c r="AQ372" s="841" t="inlineStr">
        <is>
          <t>R0371</t>
        </is>
      </c>
      <c r="AZ372" s="841" t="n"/>
    </row>
    <row r="373" ht="18" customHeight="1" s="535">
      <c r="A373" s="842" t="n">
        <v>102187</v>
      </c>
      <c r="B373" s="843" t="inlineStr">
        <is>
          <t>Sijin Zhu</t>
        </is>
      </c>
      <c r="C373" s="842" t="n">
        <v>102187</v>
      </c>
      <c r="D373" s="843" t="inlineStr">
        <is>
          <t>Business Analyst</t>
        </is>
      </c>
      <c r="E373" s="843" t="inlineStr">
        <is>
          <t>Vacant</t>
        </is>
      </c>
      <c r="F373" s="843" t="inlineStr">
        <is>
          <t>Delivery Manager</t>
        </is>
      </c>
      <c r="G373" s="844" t="inlineStr">
        <is>
          <t>TDD CFE&amp;I</t>
        </is>
      </c>
      <c r="H373" s="843" t="inlineStr">
        <is>
          <t>Commercial Fuels</t>
        </is>
      </c>
      <c r="I373" s="843" t="inlineStr">
        <is>
          <t>Delivery, Commercial Fuels</t>
        </is>
      </c>
      <c r="J373" s="843" t="inlineStr">
        <is>
          <t>Commercial Fuels</t>
        </is>
      </c>
      <c r="K373" s="843" t="inlineStr">
        <is>
          <t>CTRM</t>
        </is>
      </c>
      <c r="L373" s="843" t="inlineStr">
        <is>
          <t>CTRM</t>
        </is>
      </c>
      <c r="M373" s="843" t="n"/>
      <c r="N373" s="845" t="inlineStr">
        <is>
          <t>Singapore</t>
        </is>
      </c>
      <c r="O373" s="846" t="inlineStr">
        <is>
          <t>CIB</t>
        </is>
      </c>
      <c r="P373" s="847" t="n">
        <v>1</v>
      </c>
      <c r="Q373" s="864" t="n"/>
      <c r="R373" s="847" t="inlineStr">
        <is>
          <t>Permanent - Full Time</t>
        </is>
      </c>
      <c r="S373" s="847" t="n"/>
      <c r="T373" s="847" t="n"/>
      <c r="U373" s="848" t="n">
        <v>155640</v>
      </c>
      <c r="V373" s="849" t="n">
        <v>188324.4</v>
      </c>
      <c r="W373" s="850" t="n">
        <v>0.25</v>
      </c>
      <c r="X373" s="847" t="n"/>
      <c r="Y373" s="850" t="n">
        <v>0.17</v>
      </c>
      <c r="Z373" s="851" t="n">
        <v>3310</v>
      </c>
      <c r="AA373" s="850" t="n">
        <v>0.045</v>
      </c>
      <c r="AB373" s="852" t="n">
        <v>279205.246</v>
      </c>
      <c r="AE373" s="534">
        <f>IF(TRIM($B373)="","",IF(AND(N($P373)&gt;0,N($P373)&lt;1),N($AB373)*N($P373),N($AB373)))</f>
        <v>279205.246</v>
      </c>
      <c r="AF373" s="534" t="str">
        <f>IF(TRIM($B373)="","",IF(OR(ISNUMBER(SEARCH("vacant",$B373)),ISNUMBER(SEARCH("ring fenced",$B373)),LOWER(TRIM($B373))="remove"),"Vacant","Filled"))</f>
        <v>Filled</v>
      </c>
      <c r="AG373" s="534" t="b">
        <f>IF(TRIM($B373)="","",--ISNUMBER(SEARCH("ring fenced",$B373)))</f>
        <v>0</v>
      </c>
      <c r="AH373" s="534" t="str">
        <f>IF(TRIM($B373)="","",IF(COUNTIFS(Lists!$AN$2:$AN$22,TRIM($B373)&amp;" | "&amp;TRIM($D373),Lists!$AO$2:$AO$22,"&lt;&gt;"),INDEX(Lists!$AO$2:$AO$22,MATCH(TRIM($B373)&amp;" | "&amp;TRIM($D373),Lists!$AN$2:$AN$22,0)),IF(COUNTIF(Lists!$AR$2:$AR$3,$AJ373),"TDD Cyber",IF(AND(LEFT($AJ373,4)="EGI ",ISNUMBER(MATCH(TRIM(MID($AJ373,5,99)),Lists!$AS$2:$AS$12,0))),TRIM(MID($AJ373,5,99)),IF(AND(LEFT($AJ373,4)="EGI ",ISNUMBER(MATCH(TRIM(MID($AJ373,5,99)),Lists!$T$2:$T$21,0))),INDEX(Lists!$U$2:$U$21,MATCH(TRIM(MID($AJ373,5,99)),Lists!$T$2:$T$21,0)),IF(OR(TRIM($J373)="",UPPER(TRIM($J373))="NA"),IFERROR(INDEX(Lists!$R$2:$R$9,MATCH(TRIM($G373),Lists!$Q$2:$Q$9,0)),"UNMAPPED"),IFERROR(INDEX(Lists!$U$2:$U$21,MATCH(TRIM($J373),Lists!$T$2:$T$21,0)),IFERROR(INDEX(Lists!$R$2:$R$9,MATCH(TRIM($G373),Lists!$Q$2:$Q$9,0)),"UNMAPPED"))))))))</f>
        <v>Commercial Fuels</v>
      </c>
      <c r="AI373" s="534" t="b">
        <f>IF(TRIM($B373)="","",--OR(TRIM($L373)="Leadership",TRIM($K373)="Leadership"))</f>
        <v>0</v>
      </c>
      <c r="AJ373" s="534" t="str">
        <f>IF(TRIM($B373)="","",IF(COUNTIFS(Lists!$AN$2:$AN$22,TRIM($B373)&amp;" | "&amp;TRIM($D373),Lists!$AP$2:$AP$22,"&lt;&gt;"),INDEX(Lists!$AP$2:$AP$22,MATCH(TRIM($B373)&amp;" | "&amp;TRIM($D373),Lists!$AN$2:$AN$22,0)),IF($AI373=1,"Leadership",IFERROR(INDEX(Lists!$X$2:$X$21,MATCH(TRIM($L373),Lists!$W$2:$W$21,0)),IF(OR(TRIM($L373)="",LOWER(TRIM($L373))="na"),IF(TRIM($H373)="","Unassigned",TRIM($H373)),TRIM($L373))))))</f>
        <v>CTRM</v>
      </c>
      <c r="AK373" s="534" t="str">
        <f>IF(TRIM($B373)="","",IF(COUNTIFS(Lists!$AN$2:$AN$22,TRIM($B373)&amp;" | "&amp;TRIM($D373),Lists!$AQ$2:$AQ$22,"&lt;&gt;"),INDEX(Lists!$AQ$2:$AQ$22,MATCH(TRIM($B373)&amp;" | "&amp;TRIM($D373),Lists!$AN$2:$AN$22,0)),IF(COUNTIF(Lists!$AF$2:$AF$8,$AJ373),$AJ373,IF(ISNUMBER(SEARCH("head of ",$D373)),"Head of Technology",IF(ISNUMBER(SEARCH("TDD BP",$D373)),"Business Partner",IF(OR(ISNUMBER(SEARCH("domain architect",$D373)),ISNUMBER(SEARCH("enterprise architect",$D373))),"Domain Architect",IF(ISNUMBER(SEARCH("delivery man",$D373)),"Delivery Manager",IF(OR(ISNUMBER(SEARCH("technology manager",$D373)),ISNUMBER(SEARCH("technology manger",$D373)),ISNUMBER(SEARCH("tech manager",$D373))),"Technology Manager","Squad"))))))))</f>
        <v>Squad</v>
      </c>
      <c r="AL373" s="534" t="str">
        <f>IF(TRIM($B373)="","",IF(AND($AM373=1,LEFT($AJ373,4)&lt;&gt;"EGI ",$AJ373&lt;&gt;"EGI"),IFERROR(INDEX(Lists!$Z$2:$Z$20,MATCH($AH373,Lists!$Y$2:$Y$20,0)),"EGI "&amp;$AH373),IF(COUNTIF(Lists!$AU$2:$AU$10,$AJ373),$AJ373,IF(OR(LEFT($AH373,3)="COE",$AH373="EGI"),$AJ373,IF($AK373&lt;&gt;"Squad",$AK373,$AJ373)))))</f>
        <v>CTRM</v>
      </c>
      <c r="AM373" s="534" t="b">
        <f>IF(TRIM($B373)="","",--(UPPER(TRIM($K373))="EGI"))</f>
        <v>0</v>
      </c>
      <c r="AQ373" s="841" t="inlineStr">
        <is>
          <t>R0372</t>
        </is>
      </c>
      <c r="AZ373" s="841" t="n"/>
    </row>
    <row r="374" ht="18" customHeight="1" s="535">
      <c r="A374" s="842" t="inlineStr">
        <is>
          <t>V</t>
        </is>
      </c>
      <c r="B374" s="843" t="inlineStr">
        <is>
          <t>Vacant</t>
        </is>
      </c>
      <c r="C374" s="842" t="inlineStr">
        <is>
          <t>V</t>
        </is>
      </c>
      <c r="D374" s="843" t="inlineStr">
        <is>
          <t>Business Analyst (Integrations)</t>
        </is>
      </c>
      <c r="E374" s="843" t="inlineStr">
        <is>
          <t>Vacant</t>
        </is>
      </c>
      <c r="F374" s="843" t="inlineStr">
        <is>
          <t>Delivery Manager</t>
        </is>
      </c>
      <c r="G374" s="844" t="inlineStr">
        <is>
          <t>TDD Group Functions</t>
        </is>
      </c>
      <c r="H374" s="843" t="inlineStr">
        <is>
          <t xml:space="preserve">TDD &amp; Engineering </t>
        </is>
      </c>
      <c r="I374" s="843" t="inlineStr">
        <is>
          <t>Delivery, TDD &amp; Engineering</t>
        </is>
      </c>
      <c r="J374" s="843" t="inlineStr">
        <is>
          <t>TDD</t>
        </is>
      </c>
      <c r="K374" s="843" t="inlineStr">
        <is>
          <t>TDD</t>
        </is>
      </c>
      <c r="L374" s="843" t="inlineStr">
        <is>
          <t>Integration &amp; Process Automation</t>
        </is>
      </c>
      <c r="M374" s="843" t="n"/>
      <c r="N374" s="845" t="inlineStr">
        <is>
          <t>Australia</t>
        </is>
      </c>
      <c r="O374" s="846" t="inlineStr">
        <is>
          <t>CIB</t>
        </is>
      </c>
      <c r="P374" s="847" t="n">
        <v>1</v>
      </c>
      <c r="Q374" s="863" t="n"/>
      <c r="R374" s="847" t="inlineStr">
        <is>
          <t>V</t>
        </is>
      </c>
      <c r="S374" s="847" t="n"/>
      <c r="T374" s="847" t="n"/>
      <c r="U374" s="848" t="n">
        <v>151000</v>
      </c>
      <c r="V374" s="849" t="n">
        <v>151000</v>
      </c>
      <c r="W374" s="850" t="n">
        <v>0.12</v>
      </c>
      <c r="X374" s="847" t="n">
        <v>0.055</v>
      </c>
      <c r="Y374" s="850" t="n">
        <v>0.12</v>
      </c>
      <c r="Z374" s="851" t="n"/>
      <c r="AA374" s="850" t="n">
        <v>0.04</v>
      </c>
      <c r="AB374" s="852" t="n">
        <v>201585</v>
      </c>
      <c r="AE374" s="534">
        <f>IF(TRIM($B374)="","",IF(AND(N($P374)&gt;0,N($P374)&lt;1),N($AB374)*N($P374),N($AB374)))</f>
        <v>201585</v>
      </c>
      <c r="AF374" s="534" t="str">
        <f>IF(TRIM($B374)="","",IF(OR(ISNUMBER(SEARCH("vacant",$B374)),ISNUMBER(SEARCH("ring fenced",$B374)),LOWER(TRIM($B374))="remove"),"Vacant","Filled"))</f>
        <v>Vacant</v>
      </c>
      <c r="AG374" s="534" t="b">
        <f>IF(TRIM($B374)="","",--ISNUMBER(SEARCH("ring fenced",$B374)))</f>
        <v>0</v>
      </c>
      <c r="AH374" s="534" t="str">
        <f>IF(TRIM($B374)="","",IF(COUNTIFS(Lists!$AN$2:$AN$22,TRIM($B374)&amp;" | "&amp;TRIM($D374),Lists!$AO$2:$AO$22,"&lt;&gt;"),INDEX(Lists!$AO$2:$AO$22,MATCH(TRIM($B374)&amp;" | "&amp;TRIM($D374),Lists!$AN$2:$AN$22,0)),IF(COUNTIF(Lists!$AR$2:$AR$3,$AJ374),"TDD Cyber",IF(AND(LEFT($AJ374,4)="EGI ",ISNUMBER(MATCH(TRIM(MID($AJ374,5,99)),Lists!$AS$2:$AS$12,0))),TRIM(MID($AJ374,5,99)),IF(AND(LEFT($AJ374,4)="EGI ",ISNUMBER(MATCH(TRIM(MID($AJ374,5,99)),Lists!$T$2:$T$21,0))),INDEX(Lists!$U$2:$U$21,MATCH(TRIM(MID($AJ374,5,99)),Lists!$T$2:$T$21,0)),IF(OR(TRIM($J374)="",UPPER(TRIM($J374))="NA"),IFERROR(INDEX(Lists!$R$2:$R$9,MATCH(TRIM($G374),Lists!$Q$2:$Q$9,0)),"UNMAPPED"),IFERROR(INDEX(Lists!$U$2:$U$21,MATCH(TRIM($J374),Lists!$T$2:$T$21,0)),IFERROR(INDEX(Lists!$R$2:$R$9,MATCH(TRIM($G374),Lists!$Q$2:$Q$9,0)),"UNMAPPED"))))))))</f>
        <v>TDD Group Functions</v>
      </c>
      <c r="AI374" s="534" t="b">
        <f>IF(TRIM($B374)="","",--OR(TRIM($L374)="Leadership",TRIM($K374)="Leadership"))</f>
        <v>0</v>
      </c>
      <c r="AJ374" s="534" t="str">
        <f>IF(TRIM($B374)="","",IF(COUNTIFS(Lists!$AN$2:$AN$22,TRIM($B374)&amp;" | "&amp;TRIM($D374),Lists!$AP$2:$AP$22,"&lt;&gt;"),INDEX(Lists!$AP$2:$AP$22,MATCH(TRIM($B374)&amp;" | "&amp;TRIM($D374),Lists!$AN$2:$AN$22,0)),IF($AI374=1,"Leadership",IFERROR(INDEX(Lists!$X$2:$X$21,MATCH(TRIM($L374),Lists!$W$2:$W$21,0)),IF(OR(TRIM($L374)="",LOWER(TRIM($L374))="na"),IF(TRIM($H374)="","Unassigned",TRIM($H374)),TRIM($L374))))))</f>
        <v>Integration &amp; Process Automation</v>
      </c>
      <c r="AK374" s="534" t="str">
        <f>IF(TRIM($B374)="","",IF(COUNTIFS(Lists!$AN$2:$AN$22,TRIM($B374)&amp;" | "&amp;TRIM($D374),Lists!$AQ$2:$AQ$22,"&lt;&gt;"),INDEX(Lists!$AQ$2:$AQ$22,MATCH(TRIM($B374)&amp;" | "&amp;TRIM($D374),Lists!$AN$2:$AN$22,0)),IF(COUNTIF(Lists!$AF$2:$AF$8,$AJ374),$AJ374,IF(ISNUMBER(SEARCH("head of ",$D374)),"Head of Technology",IF(ISNUMBER(SEARCH("TDD BP",$D374)),"Business Partner",IF(OR(ISNUMBER(SEARCH("domain architect",$D374)),ISNUMBER(SEARCH("enterprise architect",$D374))),"Domain Architect",IF(ISNUMBER(SEARCH("delivery man",$D374)),"Delivery Manager",IF(OR(ISNUMBER(SEARCH("technology manager",$D374)),ISNUMBER(SEARCH("technology manger",$D374)),ISNUMBER(SEARCH("tech manager",$D374))),"Technology Manager","Squad"))))))))</f>
        <v>Squad</v>
      </c>
      <c r="AL374" s="534" t="str">
        <f>IF(TRIM($B374)="","",IF(AND($AM374=1,LEFT($AJ374,4)&lt;&gt;"EGI ",$AJ374&lt;&gt;"EGI"),IFERROR(INDEX(Lists!$Z$2:$Z$20,MATCH($AH374,Lists!$Y$2:$Y$20,0)),"EGI "&amp;$AH374),IF(COUNTIF(Lists!$AU$2:$AU$10,$AJ374),$AJ374,IF(OR(LEFT($AH374,3)="COE",$AH374="EGI"),$AJ374,IF($AK374&lt;&gt;"Squad",$AK374,$AJ374)))))</f>
        <v>Integration &amp; Process Automation</v>
      </c>
      <c r="AM374" s="534" t="b">
        <f>IF(TRIM($B374)="","",--(UPPER(TRIM($K374))="EGI"))</f>
        <v>0</v>
      </c>
      <c r="AQ374" s="841" t="inlineStr">
        <is>
          <t>R0373</t>
        </is>
      </c>
      <c r="AZ374" s="841" t="n"/>
    </row>
    <row r="375" ht="18" customHeight="1" s="535">
      <c r="A375" s="842" t="inlineStr">
        <is>
          <t>V</t>
        </is>
      </c>
      <c r="B375" s="843" t="inlineStr">
        <is>
          <t xml:space="preserve">Vacant </t>
        </is>
      </c>
      <c r="C375" s="842" t="inlineStr">
        <is>
          <t>V</t>
        </is>
      </c>
      <c r="D375" s="843" t="inlineStr">
        <is>
          <t>Business Analyst</t>
        </is>
      </c>
      <c r="E375" s="843" t="inlineStr">
        <is>
          <t>Vacant</t>
        </is>
      </c>
      <c r="F375" s="843" t="inlineStr">
        <is>
          <t>Delivery Manager</t>
        </is>
      </c>
      <c r="G375" s="844" t="inlineStr">
        <is>
          <t>TDD CFE&amp;I</t>
        </is>
      </c>
      <c r="H375" s="843" t="inlineStr">
        <is>
          <t>B2B &amp; Energy Solutions</t>
        </is>
      </c>
      <c r="I375" s="843" t="inlineStr">
        <is>
          <t>Delivery</t>
        </is>
      </c>
      <c r="J375" s="843" t="inlineStr">
        <is>
          <t>B2B &amp; Energy Solutions</t>
        </is>
      </c>
      <c r="K375" s="843" t="inlineStr">
        <is>
          <t>B2B</t>
        </is>
      </c>
      <c r="L375" s="843" t="inlineStr">
        <is>
          <t>B2B</t>
        </is>
      </c>
      <c r="M375" s="843" t="n"/>
      <c r="N375" s="845" t="inlineStr">
        <is>
          <t>Australia</t>
        </is>
      </c>
      <c r="O375" s="846" t="inlineStr">
        <is>
          <t>CIB</t>
        </is>
      </c>
      <c r="P375" s="847" t="n">
        <v>1</v>
      </c>
      <c r="Q375" s="863" t="n"/>
      <c r="R375" s="847" t="inlineStr">
        <is>
          <t>V</t>
        </is>
      </c>
      <c r="S375" s="847" t="n"/>
      <c r="T375" s="847" t="n"/>
      <c r="U375" s="848" t="n">
        <v>151950</v>
      </c>
      <c r="V375" s="849" t="n">
        <v>151950</v>
      </c>
      <c r="W375" s="850" t="n">
        <v>0.12</v>
      </c>
      <c r="X375" s="847" t="n">
        <v>0.055</v>
      </c>
      <c r="Y375" s="850" t="n">
        <v>0.12</v>
      </c>
      <c r="Z375" s="851" t="n"/>
      <c r="AA375" s="850" t="n">
        <v>0.04</v>
      </c>
      <c r="AB375" s="852" t="n">
        <v>202853.25</v>
      </c>
      <c r="AE375" s="534">
        <f>IF(TRIM($B375)="","",IF(AND(N($P375)&gt;0,N($P375)&lt;1),N($AB375)*N($P375),N($AB375)))</f>
        <v>202853.25</v>
      </c>
      <c r="AF375" s="534" t="str">
        <f>IF(TRIM($B375)="","",IF(OR(ISNUMBER(SEARCH("vacant",$B375)),ISNUMBER(SEARCH("ring fenced",$B375)),LOWER(TRIM($B375))="remove"),"Vacant","Filled"))</f>
        <v>Vacant</v>
      </c>
      <c r="AG375" s="534" t="b">
        <f>IF(TRIM($B375)="","",--ISNUMBER(SEARCH("ring fenced",$B375)))</f>
        <v>0</v>
      </c>
      <c r="AH375" s="534" t="str">
        <f>IF(TRIM($B375)="","",IF(COUNTIFS(Lists!$AN$2:$AN$22,TRIM($B375)&amp;" | "&amp;TRIM($D375),Lists!$AO$2:$AO$22,"&lt;&gt;"),INDEX(Lists!$AO$2:$AO$22,MATCH(TRIM($B375)&amp;" | "&amp;TRIM($D375),Lists!$AN$2:$AN$22,0)),IF(COUNTIF(Lists!$AR$2:$AR$3,$AJ375),"TDD Cyber",IF(AND(LEFT($AJ375,4)="EGI ",ISNUMBER(MATCH(TRIM(MID($AJ375,5,99)),Lists!$AS$2:$AS$12,0))),TRIM(MID($AJ375,5,99)),IF(AND(LEFT($AJ375,4)="EGI ",ISNUMBER(MATCH(TRIM(MID($AJ375,5,99)),Lists!$T$2:$T$21,0))),INDEX(Lists!$U$2:$U$21,MATCH(TRIM(MID($AJ375,5,99)),Lists!$T$2:$T$21,0)),IF(OR(TRIM($J375)="",UPPER(TRIM($J375))="NA"),IFERROR(INDEX(Lists!$R$2:$R$9,MATCH(TRIM($G375),Lists!$Q$2:$Q$9,0)),"UNMAPPED"),IFERROR(INDEX(Lists!$U$2:$U$21,MATCH(TRIM($J375),Lists!$T$2:$T$21,0)),IFERROR(INDEX(Lists!$R$2:$R$9,MATCH(TRIM($G375),Lists!$Q$2:$Q$9,0)),"UNMAPPED"))))))))</f>
        <v>Energy Solutions &amp; B2B</v>
      </c>
      <c r="AI375" s="534" t="b">
        <f>IF(TRIM($B375)="","",--OR(TRIM($L375)="Leadership",TRIM($K375)="Leadership"))</f>
        <v>0</v>
      </c>
      <c r="AJ375" s="534" t="str">
        <f>IF(TRIM($B375)="","",IF(COUNTIFS(Lists!$AN$2:$AN$22,TRIM($B375)&amp;" | "&amp;TRIM($D375),Lists!$AP$2:$AP$22,"&lt;&gt;"),INDEX(Lists!$AP$2:$AP$22,MATCH(TRIM($B375)&amp;" | "&amp;TRIM($D375),Lists!$AN$2:$AN$22,0)),IF($AI375=1,"Leadership",IFERROR(INDEX(Lists!$X$2:$X$21,MATCH(TRIM($L375),Lists!$W$2:$W$21,0)),IF(OR(TRIM($L375)="",LOWER(TRIM($L375))="na"),IF(TRIM($H375)="","Unassigned",TRIM($H375)),TRIM($L375))))))</f>
        <v>B2B</v>
      </c>
      <c r="AK375" s="534" t="str">
        <f>IF(TRIM($B375)="","",IF(COUNTIFS(Lists!$AN$2:$AN$22,TRIM($B375)&amp;" | "&amp;TRIM($D375),Lists!$AQ$2:$AQ$22,"&lt;&gt;"),INDEX(Lists!$AQ$2:$AQ$22,MATCH(TRIM($B375)&amp;" | "&amp;TRIM($D375),Lists!$AN$2:$AN$22,0)),IF(COUNTIF(Lists!$AF$2:$AF$8,$AJ375),$AJ375,IF(ISNUMBER(SEARCH("head of ",$D375)),"Head of Technology",IF(ISNUMBER(SEARCH("TDD BP",$D375)),"Business Partner",IF(OR(ISNUMBER(SEARCH("domain architect",$D375)),ISNUMBER(SEARCH("enterprise architect",$D375))),"Domain Architect",IF(ISNUMBER(SEARCH("delivery man",$D375)),"Delivery Manager",IF(OR(ISNUMBER(SEARCH("technology manager",$D375)),ISNUMBER(SEARCH("technology manger",$D375)),ISNUMBER(SEARCH("tech manager",$D375))),"Technology Manager","Squad"))))))))</f>
        <v>Squad</v>
      </c>
      <c r="AL375" s="534" t="str">
        <f>IF(TRIM($B375)="","",IF(AND($AM375=1,LEFT($AJ375,4)&lt;&gt;"EGI ",$AJ375&lt;&gt;"EGI"),IFERROR(INDEX(Lists!$Z$2:$Z$20,MATCH($AH375,Lists!$Y$2:$Y$20,0)),"EGI "&amp;$AH375),IF(COUNTIF(Lists!$AU$2:$AU$10,$AJ375),$AJ375,IF(OR(LEFT($AH375,3)="COE",$AH375="EGI"),$AJ375,IF($AK375&lt;&gt;"Squad",$AK375,$AJ375)))))</f>
        <v>B2B</v>
      </c>
      <c r="AM375" s="534" t="b">
        <f>IF(TRIM($B375)="","",--(UPPER(TRIM($K375))="EGI"))</f>
        <v>0</v>
      </c>
      <c r="AQ375" s="841" t="inlineStr">
        <is>
          <t>R0374</t>
        </is>
      </c>
      <c r="AZ375" s="841" t="n"/>
    </row>
    <row r="376" ht="18" customHeight="1" s="535">
      <c r="A376" s="842" t="inlineStr">
        <is>
          <t>V</t>
        </is>
      </c>
      <c r="B376" s="843" t="inlineStr">
        <is>
          <t xml:space="preserve">Vacant </t>
        </is>
      </c>
      <c r="C376" s="842" t="inlineStr">
        <is>
          <t>V</t>
        </is>
      </c>
      <c r="D376" s="843" t="inlineStr">
        <is>
          <t>Business Analyst</t>
        </is>
      </c>
      <c r="E376" s="843" t="inlineStr">
        <is>
          <t>Vacant</t>
        </is>
      </c>
      <c r="F376" s="843" t="inlineStr">
        <is>
          <t>Delivery Manager</t>
        </is>
      </c>
      <c r="G376" s="844" t="inlineStr">
        <is>
          <t>TDD CFE&amp;I</t>
        </is>
      </c>
      <c r="H376" s="843" t="inlineStr">
        <is>
          <t>B2B &amp; Energy Solutions</t>
        </is>
      </c>
      <c r="I376" s="843" t="inlineStr">
        <is>
          <t>Delivery</t>
        </is>
      </c>
      <c r="J376" s="843" t="inlineStr">
        <is>
          <t>B2B &amp; Energy Solutions</t>
        </is>
      </c>
      <c r="K376" s="843" t="inlineStr">
        <is>
          <t>Energy Solutions</t>
        </is>
      </c>
      <c r="L376" s="843" t="inlineStr">
        <is>
          <t>Energy</t>
        </is>
      </c>
      <c r="M376" s="843" t="n"/>
      <c r="N376" s="845" t="inlineStr">
        <is>
          <t>Australia</t>
        </is>
      </c>
      <c r="O376" s="846" t="inlineStr">
        <is>
          <t>CIB</t>
        </is>
      </c>
      <c r="P376" s="847" t="n">
        <v>1</v>
      </c>
      <c r="Q376" s="863" t="n"/>
      <c r="R376" s="847" t="inlineStr">
        <is>
          <t>V</t>
        </is>
      </c>
      <c r="S376" s="847" t="n"/>
      <c r="T376" s="847" t="n"/>
      <c r="U376" s="848" t="n">
        <v>151950</v>
      </c>
      <c r="V376" s="849" t="n">
        <v>151950</v>
      </c>
      <c r="W376" s="850" t="n">
        <v>0.12</v>
      </c>
      <c r="X376" s="847" t="n">
        <v>0.055</v>
      </c>
      <c r="Y376" s="850" t="n">
        <v>0.12</v>
      </c>
      <c r="Z376" s="851" t="n"/>
      <c r="AA376" s="850" t="n">
        <v>0.04</v>
      </c>
      <c r="AB376" s="852" t="n">
        <v>202853.25</v>
      </c>
      <c r="AE376" s="534">
        <f>IF(TRIM($B376)="","",IF(AND(N($P376)&gt;0,N($P376)&lt;1),N($AB376)*N($P376),N($AB376)))</f>
        <v>202853.25</v>
      </c>
      <c r="AF376" s="534" t="str">
        <f>IF(TRIM($B376)="","",IF(OR(ISNUMBER(SEARCH("vacant",$B376)),ISNUMBER(SEARCH("ring fenced",$B376)),LOWER(TRIM($B376))="remove"),"Vacant","Filled"))</f>
        <v>Vacant</v>
      </c>
      <c r="AG376" s="534" t="b">
        <f>IF(TRIM($B376)="","",--ISNUMBER(SEARCH("ring fenced",$B376)))</f>
        <v>0</v>
      </c>
      <c r="AH376" s="534" t="str">
        <f>IF(TRIM($B376)="","",IF(COUNTIFS(Lists!$AN$2:$AN$22,TRIM($B376)&amp;" | "&amp;TRIM($D376),Lists!$AO$2:$AO$22,"&lt;&gt;"),INDEX(Lists!$AO$2:$AO$22,MATCH(TRIM($B376)&amp;" | "&amp;TRIM($D376),Lists!$AN$2:$AN$22,0)),IF(COUNTIF(Lists!$AR$2:$AR$3,$AJ376),"TDD Cyber",IF(AND(LEFT($AJ376,4)="EGI ",ISNUMBER(MATCH(TRIM(MID($AJ376,5,99)),Lists!$AS$2:$AS$12,0))),TRIM(MID($AJ376,5,99)),IF(AND(LEFT($AJ376,4)="EGI ",ISNUMBER(MATCH(TRIM(MID($AJ376,5,99)),Lists!$T$2:$T$21,0))),INDEX(Lists!$U$2:$U$21,MATCH(TRIM(MID($AJ376,5,99)),Lists!$T$2:$T$21,0)),IF(OR(TRIM($J376)="",UPPER(TRIM($J376))="NA"),IFERROR(INDEX(Lists!$R$2:$R$9,MATCH(TRIM($G376),Lists!$Q$2:$Q$9,0)),"UNMAPPED"),IFERROR(INDEX(Lists!$U$2:$U$21,MATCH(TRIM($J376),Lists!$T$2:$T$21,0)),IFERROR(INDEX(Lists!$R$2:$R$9,MATCH(TRIM($G376),Lists!$Q$2:$Q$9,0)),"UNMAPPED"))))))))</f>
        <v>Energy Solutions &amp; B2B</v>
      </c>
      <c r="AI376" s="534" t="b">
        <f>IF(TRIM($B376)="","",--OR(TRIM($L376)="Leadership",TRIM($K376)="Leadership"))</f>
        <v>0</v>
      </c>
      <c r="AJ376" s="534" t="str">
        <f>IF(TRIM($B376)="","",IF(COUNTIFS(Lists!$AN$2:$AN$22,TRIM($B376)&amp;" | "&amp;TRIM($D376),Lists!$AP$2:$AP$22,"&lt;&gt;"),INDEX(Lists!$AP$2:$AP$22,MATCH(TRIM($B376)&amp;" | "&amp;TRIM($D376),Lists!$AN$2:$AN$22,0)),IF($AI376=1,"Leadership",IFERROR(INDEX(Lists!$X$2:$X$21,MATCH(TRIM($L376),Lists!$W$2:$W$21,0)),IF(OR(TRIM($L376)="",LOWER(TRIM($L376))="na"),IF(TRIM($H376)="","Unassigned",TRIM($H376)),TRIM($L376))))))</f>
        <v>Energy</v>
      </c>
      <c r="AK376" s="534" t="str">
        <f>IF(TRIM($B376)="","",IF(COUNTIFS(Lists!$AN$2:$AN$22,TRIM($B376)&amp;" | "&amp;TRIM($D376),Lists!$AQ$2:$AQ$22,"&lt;&gt;"),INDEX(Lists!$AQ$2:$AQ$22,MATCH(TRIM($B376)&amp;" | "&amp;TRIM($D376),Lists!$AN$2:$AN$22,0)),IF(COUNTIF(Lists!$AF$2:$AF$8,$AJ376),$AJ376,IF(ISNUMBER(SEARCH("head of ",$D376)),"Head of Technology",IF(ISNUMBER(SEARCH("TDD BP",$D376)),"Business Partner",IF(OR(ISNUMBER(SEARCH("domain architect",$D376)),ISNUMBER(SEARCH("enterprise architect",$D376))),"Domain Architect",IF(ISNUMBER(SEARCH("delivery man",$D376)),"Delivery Manager",IF(OR(ISNUMBER(SEARCH("technology manager",$D376)),ISNUMBER(SEARCH("technology manger",$D376)),ISNUMBER(SEARCH("tech manager",$D376))),"Technology Manager","Squad"))))))))</f>
        <v>Squad</v>
      </c>
      <c r="AL376" s="534" t="str">
        <f>IF(TRIM($B376)="","",IF(AND($AM376=1,LEFT($AJ376,4)&lt;&gt;"EGI ",$AJ376&lt;&gt;"EGI"),IFERROR(INDEX(Lists!$Z$2:$Z$20,MATCH($AH376,Lists!$Y$2:$Y$20,0)),"EGI "&amp;$AH376),IF(COUNTIF(Lists!$AU$2:$AU$10,$AJ376),$AJ376,IF(OR(LEFT($AH376,3)="COE",$AH376="EGI"),$AJ376,IF($AK376&lt;&gt;"Squad",$AK376,$AJ376)))))</f>
        <v>Energy</v>
      </c>
      <c r="AM376" s="534" t="b">
        <f>IF(TRIM($B376)="","",--(UPPER(TRIM($K376))="EGI"))</f>
        <v>0</v>
      </c>
      <c r="AQ376" s="841" t="inlineStr">
        <is>
          <t>R0375</t>
        </is>
      </c>
      <c r="AZ376" s="841" t="n"/>
    </row>
    <row r="377" ht="18" customHeight="1" s="535">
      <c r="A377" s="842" t="n">
        <v>109092</v>
      </c>
      <c r="B377" s="843" t="inlineStr">
        <is>
          <t>Anjali Patra</t>
        </is>
      </c>
      <c r="C377" s="842" t="n">
        <v>109092</v>
      </c>
      <c r="D377" s="843" t="inlineStr">
        <is>
          <t>Delivery Lead - EGI</t>
        </is>
      </c>
      <c r="E377" s="843" t="inlineStr">
        <is>
          <t>Vacant</t>
        </is>
      </c>
      <c r="F377" s="843" t="inlineStr">
        <is>
          <t xml:space="preserve">Delivery Manager </t>
        </is>
      </c>
      <c r="G377" s="844" t="inlineStr">
        <is>
          <t>TDD Group Functions</t>
        </is>
      </c>
      <c r="H377" s="843" t="inlineStr">
        <is>
          <t>TDD &amp; Engineering</t>
        </is>
      </c>
      <c r="I377" s="843" t="inlineStr">
        <is>
          <t>Delivery, TDD &amp; Engineering</t>
        </is>
      </c>
      <c r="J377" s="843" t="inlineStr">
        <is>
          <t>EGI</t>
        </is>
      </c>
      <c r="K377" s="843" t="inlineStr">
        <is>
          <t>EGI</t>
        </is>
      </c>
      <c r="L377" s="843" t="inlineStr">
        <is>
          <t>EGI TDD</t>
        </is>
      </c>
      <c r="M377" s="843" t="n"/>
      <c r="N377" s="845" t="inlineStr">
        <is>
          <t>Australia</t>
        </is>
      </c>
      <c r="O377" s="846" t="inlineStr">
        <is>
          <t>CIB</t>
        </is>
      </c>
      <c r="P377" s="847" t="n">
        <v>1</v>
      </c>
      <c r="Q377" s="864" t="n"/>
      <c r="R377" s="847" t="inlineStr">
        <is>
          <t>Permanent - Full Time</t>
        </is>
      </c>
      <c r="S377" s="847" t="n"/>
      <c r="T377" s="847" t="n"/>
      <c r="U377" s="848" t="n">
        <v>158050</v>
      </c>
      <c r="V377" s="849" t="n">
        <v>158050</v>
      </c>
      <c r="W377" s="850" t="n">
        <v>0.12</v>
      </c>
      <c r="X377" s="847" t="n">
        <v>0.055</v>
      </c>
      <c r="Y377" s="850" t="n">
        <v>0.12</v>
      </c>
      <c r="Z377" s="851" t="n"/>
      <c r="AA377" s="850" t="n">
        <v>0.04</v>
      </c>
      <c r="AB377" s="852" t="n">
        <v>210996.75</v>
      </c>
      <c r="AE377" s="534">
        <f>IF(TRIM($B377)="","",IF(AND(N($P377)&gt;0,N($P377)&lt;1),N($AB377)*N($P377),N($AB377)))</f>
        <v>210996.75</v>
      </c>
      <c r="AF377" s="534" t="str">
        <f>IF(TRIM($B377)="","",IF(OR(ISNUMBER(SEARCH("vacant",$B377)),ISNUMBER(SEARCH("ring fenced",$B377)),LOWER(TRIM($B377))="remove"),"Vacant","Filled"))</f>
        <v>Filled</v>
      </c>
      <c r="AG377" s="534" t="b">
        <f>IF(TRIM($B377)="","",--ISNUMBER(SEARCH("ring fenced",$B377)))</f>
        <v>0</v>
      </c>
      <c r="AH377" s="534" t="str">
        <f>IF(TRIM($B377)="","",IF(COUNTIFS(Lists!$AN$2:$AN$22,TRIM($B377)&amp;" | "&amp;TRIM($D377),Lists!$AO$2:$AO$22,"&lt;&gt;"),INDEX(Lists!$AO$2:$AO$22,MATCH(TRIM($B377)&amp;" | "&amp;TRIM($D377),Lists!$AN$2:$AN$22,0)),IF(COUNTIF(Lists!$AR$2:$AR$3,$AJ377),"TDD Cyber",IF(AND(LEFT($AJ377,4)="EGI ",ISNUMBER(MATCH(TRIM(MID($AJ377,5,99)),Lists!$AS$2:$AS$12,0))),TRIM(MID($AJ377,5,99)),IF(AND(LEFT($AJ377,4)="EGI ",ISNUMBER(MATCH(TRIM(MID($AJ377,5,99)),Lists!$T$2:$T$21,0))),INDEX(Lists!$U$2:$U$21,MATCH(TRIM(MID($AJ377,5,99)),Lists!$T$2:$T$21,0)),IF(OR(TRIM($J377)="",UPPER(TRIM($J377))="NA"),IFERROR(INDEX(Lists!$R$2:$R$9,MATCH(TRIM($G377),Lists!$Q$2:$Q$9,0)),"UNMAPPED"),IFERROR(INDEX(Lists!$U$2:$U$21,MATCH(TRIM($J377),Lists!$T$2:$T$21,0)),IFERROR(INDEX(Lists!$R$2:$R$9,MATCH(TRIM($G377),Lists!$Q$2:$Q$9,0)),"UNMAPPED"))))))))</f>
        <v>TDD Group Functions</v>
      </c>
      <c r="AI377" s="534" t="b">
        <f>IF(TRIM($B377)="","",--OR(TRIM($L377)="Leadership",TRIM($K377)="Leadership"))</f>
        <v>0</v>
      </c>
      <c r="AJ377" s="534" t="str">
        <f>IF(TRIM($B377)="","",IF(COUNTIFS(Lists!$AN$2:$AN$22,TRIM($B377)&amp;" | "&amp;TRIM($D377),Lists!$AP$2:$AP$22,"&lt;&gt;"),INDEX(Lists!$AP$2:$AP$22,MATCH(TRIM($B377)&amp;" | "&amp;TRIM($D377),Lists!$AN$2:$AN$22,0)),IF($AI377=1,"Leadership",IFERROR(INDEX(Lists!$X$2:$X$21,MATCH(TRIM($L377),Lists!$W$2:$W$21,0)),IF(OR(TRIM($L377)="",LOWER(TRIM($L377))="na"),IF(TRIM($H377)="","Unassigned",TRIM($H377)),TRIM($L377))))))</f>
        <v>EGI TDD</v>
      </c>
      <c r="AK377" s="534" t="str">
        <f>IF(TRIM($B377)="","",IF(COUNTIFS(Lists!$AN$2:$AN$22,TRIM($B377)&amp;" | "&amp;TRIM($D377),Lists!$AQ$2:$AQ$22,"&lt;&gt;"),INDEX(Lists!$AQ$2:$AQ$22,MATCH(TRIM($B377)&amp;" | "&amp;TRIM($D377),Lists!$AN$2:$AN$22,0)),IF(COUNTIF(Lists!$AF$2:$AF$8,$AJ377),$AJ377,IF(ISNUMBER(SEARCH("head of ",$D377)),"Head of Technology",IF(ISNUMBER(SEARCH("TDD BP",$D377)),"Business Partner",IF(OR(ISNUMBER(SEARCH("domain architect",$D377)),ISNUMBER(SEARCH("enterprise architect",$D377))),"Domain Architect",IF(ISNUMBER(SEARCH("delivery man",$D377)),"Delivery Manager",IF(OR(ISNUMBER(SEARCH("technology manager",$D377)),ISNUMBER(SEARCH("technology manger",$D377)),ISNUMBER(SEARCH("tech manager",$D377))),"Technology Manager","Squad"))))))))</f>
        <v>Squad</v>
      </c>
      <c r="AL377" s="534" t="str">
        <f>IF(TRIM($B377)="","",IF(AND($AM377=1,LEFT($AJ377,4)&lt;&gt;"EGI ",$AJ377&lt;&gt;"EGI"),IFERROR(INDEX(Lists!$Z$2:$Z$20,MATCH($AH377,Lists!$Y$2:$Y$20,0)),"EGI "&amp;$AH377),IF(COUNTIF(Lists!$AU$2:$AU$10,$AJ377),$AJ377,IF(OR(LEFT($AH377,3)="COE",$AH377="EGI"),$AJ377,IF($AK377&lt;&gt;"Squad",$AK377,$AJ377)))))</f>
        <v>EGI TDD</v>
      </c>
      <c r="AM377" s="534" t="b">
        <f>IF(TRIM($B377)="","",--(UPPER(TRIM($K377))="EGI"))</f>
        <v>1</v>
      </c>
      <c r="AQ377" s="841" t="inlineStr">
        <is>
          <t>R0376</t>
        </is>
      </c>
      <c r="AZ377" s="841" t="n"/>
    </row>
    <row r="378" ht="18" customHeight="1" s="535">
      <c r="A378" s="842" t="n">
        <v>105823</v>
      </c>
      <c r="B378" s="843" t="inlineStr">
        <is>
          <t>Hardik Trivedi</t>
        </is>
      </c>
      <c r="C378" s="842" t="n">
        <v>105823</v>
      </c>
      <c r="D378" s="843" t="inlineStr">
        <is>
          <t>Snr Business Analyst</t>
        </is>
      </c>
      <c r="E378" s="843" t="inlineStr">
        <is>
          <t>Vacant</t>
        </is>
      </c>
      <c r="F378" s="843" t="inlineStr">
        <is>
          <t xml:space="preserve">Delivery Manager </t>
        </is>
      </c>
      <c r="G378" s="844" t="inlineStr">
        <is>
          <t>TDD Group Functions</t>
        </is>
      </c>
      <c r="H378" s="843" t="inlineStr">
        <is>
          <t>TDD &amp; Engineering</t>
        </is>
      </c>
      <c r="I378" s="843" t="inlineStr">
        <is>
          <t>Delivery, TDD &amp; Engineering</t>
        </is>
      </c>
      <c r="J378" s="843" t="inlineStr">
        <is>
          <t>Retail</t>
        </is>
      </c>
      <c r="K378" s="843" t="inlineStr">
        <is>
          <t>AmPOS</t>
        </is>
      </c>
      <c r="L378" s="843" t="inlineStr">
        <is>
          <t>AmPOS</t>
        </is>
      </c>
      <c r="M378" s="843" t="n"/>
      <c r="N378" s="845" t="inlineStr">
        <is>
          <t>Australia</t>
        </is>
      </c>
      <c r="O378" s="846" t="inlineStr">
        <is>
          <t>CIB</t>
        </is>
      </c>
      <c r="P378" s="847" t="n">
        <v>1</v>
      </c>
      <c r="Q378" s="863" t="n"/>
      <c r="R378" s="847" t="inlineStr">
        <is>
          <t>Permanent - Full Time</t>
        </is>
      </c>
      <c r="S378" s="847" t="n"/>
      <c r="T378" s="847" t="n"/>
      <c r="U378" s="848" t="n">
        <v>157560</v>
      </c>
      <c r="V378" s="849" t="n">
        <v>157560</v>
      </c>
      <c r="W378" s="850" t="n">
        <v>0.12</v>
      </c>
      <c r="X378" s="847" t="n">
        <v>0.055</v>
      </c>
      <c r="Y378" s="850" t="n">
        <v>0.12</v>
      </c>
      <c r="Z378" s="851" t="n"/>
      <c r="AA378" s="850" t="n">
        <v>0.04</v>
      </c>
      <c r="AB378" s="852" t="n">
        <v>210342.6</v>
      </c>
      <c r="AE378" s="534">
        <f>IF(TRIM($B378)="","",IF(AND(N($P378)&gt;0,N($P378)&lt;1),N($AB378)*N($P378),N($AB378)))</f>
        <v>210342.6</v>
      </c>
      <c r="AF378" s="534" t="str">
        <f>IF(TRIM($B378)="","",IF(OR(ISNUMBER(SEARCH("vacant",$B378)),ISNUMBER(SEARCH("ring fenced",$B378)),LOWER(TRIM($B378))="remove"),"Vacant","Filled"))</f>
        <v>Filled</v>
      </c>
      <c r="AG378" s="534" t="b">
        <f>IF(TRIM($B378)="","",--ISNUMBER(SEARCH("ring fenced",$B378)))</f>
        <v>0</v>
      </c>
      <c r="AH378" s="534" t="str">
        <f>IF(TRIM($B378)="","",IF(COUNTIFS(Lists!$AN$2:$AN$22,TRIM($B378)&amp;" | "&amp;TRIM($D378),Lists!$AO$2:$AO$22,"&lt;&gt;"),INDEX(Lists!$AO$2:$AO$22,MATCH(TRIM($B378)&amp;" | "&amp;TRIM($D378),Lists!$AN$2:$AN$22,0)),IF(COUNTIF(Lists!$AR$2:$AR$3,$AJ378),"TDD Cyber",IF(AND(LEFT($AJ378,4)="EGI ",ISNUMBER(MATCH(TRIM(MID($AJ378,5,99)),Lists!$AS$2:$AS$12,0))),TRIM(MID($AJ378,5,99)),IF(AND(LEFT($AJ378,4)="EGI ",ISNUMBER(MATCH(TRIM(MID($AJ378,5,99)),Lists!$T$2:$T$21,0))),INDEX(Lists!$U$2:$U$21,MATCH(TRIM(MID($AJ378,5,99)),Lists!$T$2:$T$21,0)),IF(OR(TRIM($J378)="",UPPER(TRIM($J378))="NA"),IFERROR(INDEX(Lists!$R$2:$R$9,MATCH(TRIM($G378),Lists!$Q$2:$Q$9,0)),"UNMAPPED"),IFERROR(INDEX(Lists!$U$2:$U$21,MATCH(TRIM($J378),Lists!$T$2:$T$21,0)),IFERROR(INDEX(Lists!$R$2:$R$9,MATCH(TRIM($G378),Lists!$Q$2:$Q$9,0)),"UNMAPPED"))))))))</f>
        <v>Ampol Retail</v>
      </c>
      <c r="AI378" s="534" t="b">
        <f>IF(TRIM($B378)="","",--OR(TRIM($L378)="Leadership",TRIM($K378)="Leadership"))</f>
        <v>0</v>
      </c>
      <c r="AJ378" s="534" t="str">
        <f>IF(TRIM($B378)="","",IF(COUNTIFS(Lists!$AN$2:$AN$22,TRIM($B378)&amp;" | "&amp;TRIM($D378),Lists!$AP$2:$AP$22,"&lt;&gt;"),INDEX(Lists!$AP$2:$AP$22,MATCH(TRIM($B378)&amp;" | "&amp;TRIM($D378),Lists!$AN$2:$AN$22,0)),IF($AI378=1,"Leadership",IFERROR(INDEX(Lists!$X$2:$X$21,MATCH(TRIM($L378),Lists!$W$2:$W$21,0)),IF(OR(TRIM($L378)="",LOWER(TRIM($L378))="na"),IF(TRIM($H378)="","Unassigned",TRIM($H378)),TRIM($L378))))))</f>
        <v>AmPOS</v>
      </c>
      <c r="AK378" s="534" t="str">
        <f>IF(TRIM($B378)="","",IF(COUNTIFS(Lists!$AN$2:$AN$22,TRIM($B378)&amp;" | "&amp;TRIM($D378),Lists!$AQ$2:$AQ$22,"&lt;&gt;"),INDEX(Lists!$AQ$2:$AQ$22,MATCH(TRIM($B378)&amp;" | "&amp;TRIM($D378),Lists!$AN$2:$AN$22,0)),IF(COUNTIF(Lists!$AF$2:$AF$8,$AJ378),$AJ378,IF(ISNUMBER(SEARCH("head of ",$D378)),"Head of Technology",IF(ISNUMBER(SEARCH("TDD BP",$D378)),"Business Partner",IF(OR(ISNUMBER(SEARCH("domain architect",$D378)),ISNUMBER(SEARCH("enterprise architect",$D378))),"Domain Architect",IF(ISNUMBER(SEARCH("delivery man",$D378)),"Delivery Manager",IF(OR(ISNUMBER(SEARCH("technology manager",$D378)),ISNUMBER(SEARCH("technology manger",$D378)),ISNUMBER(SEARCH("tech manager",$D378))),"Technology Manager","Squad"))))))))</f>
        <v>Squad</v>
      </c>
      <c r="AL378" s="534" t="str">
        <f>IF(TRIM($B378)="","",IF(AND($AM378=1,LEFT($AJ378,4)&lt;&gt;"EGI ",$AJ378&lt;&gt;"EGI"),IFERROR(INDEX(Lists!$Z$2:$Z$20,MATCH($AH378,Lists!$Y$2:$Y$20,0)),"EGI "&amp;$AH378),IF(COUNTIF(Lists!$AU$2:$AU$10,$AJ378),$AJ378,IF(OR(LEFT($AH378,3)="COE",$AH378="EGI"),$AJ378,IF($AK378&lt;&gt;"Squad",$AK378,$AJ378)))))</f>
        <v>AmPOS</v>
      </c>
      <c r="AM378" s="534" t="b">
        <f>IF(TRIM($B378)="","",--(UPPER(TRIM($K378))="EGI"))</f>
        <v>0</v>
      </c>
      <c r="AQ378" s="841" t="inlineStr">
        <is>
          <t>R0377</t>
        </is>
      </c>
      <c r="AZ378" s="841" t="n"/>
    </row>
    <row r="379" ht="18" customHeight="1" s="535">
      <c r="A379" s="842" t="inlineStr">
        <is>
          <t>V</t>
        </is>
      </c>
      <c r="B379" s="843" t="inlineStr">
        <is>
          <t>Vacant</t>
        </is>
      </c>
      <c r="C379" s="842" t="inlineStr">
        <is>
          <t>V</t>
        </is>
      </c>
      <c r="D379" s="843" t="inlineStr">
        <is>
          <t>Business Analyst (Workplace &amp; Enterprise Tooling)</t>
        </is>
      </c>
      <c r="E379" s="843" t="inlineStr">
        <is>
          <t>Vacant</t>
        </is>
      </c>
      <c r="F379" s="843" t="inlineStr">
        <is>
          <t xml:space="preserve">Delivery Manager </t>
        </is>
      </c>
      <c r="G379" s="844" t="inlineStr">
        <is>
          <t>TDD Group Functions</t>
        </is>
      </c>
      <c r="H379" s="843" t="inlineStr">
        <is>
          <t>TDD &amp; Engineering</t>
        </is>
      </c>
      <c r="I379" s="843" t="inlineStr">
        <is>
          <t>Delivery, TDD &amp; Engineering</t>
        </is>
      </c>
      <c r="J379" s="843" t="inlineStr">
        <is>
          <t>TDD</t>
        </is>
      </c>
      <c r="K379" s="843" t="inlineStr">
        <is>
          <t>TDD</t>
        </is>
      </c>
      <c r="L379" s="843" t="inlineStr">
        <is>
          <t>Workplace &amp; Enterprise Tooling</t>
        </is>
      </c>
      <c r="M379" s="843" t="n"/>
      <c r="N379" s="845" t="inlineStr">
        <is>
          <t>Australia</t>
        </is>
      </c>
      <c r="O379" s="846" t="inlineStr">
        <is>
          <t>CIB</t>
        </is>
      </c>
      <c r="P379" s="847" t="n">
        <v>1</v>
      </c>
      <c r="Q379" s="865" t="n"/>
      <c r="R379" s="847" t="inlineStr">
        <is>
          <t>V</t>
        </is>
      </c>
      <c r="S379" s="847" t="n"/>
      <c r="T379" s="847" t="n"/>
      <c r="U379" s="848" t="n">
        <v>151000</v>
      </c>
      <c r="V379" s="849" t="n">
        <v>151000</v>
      </c>
      <c r="W379" s="850" t="n">
        <v>0.12</v>
      </c>
      <c r="X379" s="847" t="n">
        <v>0.055</v>
      </c>
      <c r="Y379" s="850" t="n">
        <v>0.12</v>
      </c>
      <c r="Z379" s="851" t="n"/>
      <c r="AA379" s="850" t="n">
        <v>0.04</v>
      </c>
      <c r="AB379" s="852" t="n">
        <v>201585</v>
      </c>
      <c r="AE379" s="534">
        <f>IF(TRIM($B379)="","",IF(AND(N($P379)&gt;0,N($P379)&lt;1),N($AB379)*N($P379),N($AB379)))</f>
        <v>201585</v>
      </c>
      <c r="AF379" s="534" t="str">
        <f>IF(TRIM($B379)="","",IF(OR(ISNUMBER(SEARCH("vacant",$B379)),ISNUMBER(SEARCH("ring fenced",$B379)),LOWER(TRIM($B379))="remove"),"Vacant","Filled"))</f>
        <v>Vacant</v>
      </c>
      <c r="AG379" s="534" t="b">
        <f>IF(TRIM($B379)="","",--ISNUMBER(SEARCH("ring fenced",$B379)))</f>
        <v>0</v>
      </c>
      <c r="AH379" s="534" t="str">
        <f>IF(TRIM($B379)="","",IF(COUNTIFS(Lists!$AN$2:$AN$22,TRIM($B379)&amp;" | "&amp;TRIM($D379),Lists!$AO$2:$AO$22,"&lt;&gt;"),INDEX(Lists!$AO$2:$AO$22,MATCH(TRIM($B379)&amp;" | "&amp;TRIM($D379),Lists!$AN$2:$AN$22,0)),IF(COUNTIF(Lists!$AR$2:$AR$3,$AJ379),"TDD Cyber",IF(AND(LEFT($AJ379,4)="EGI ",ISNUMBER(MATCH(TRIM(MID($AJ379,5,99)),Lists!$AS$2:$AS$12,0))),TRIM(MID($AJ379,5,99)),IF(AND(LEFT($AJ379,4)="EGI ",ISNUMBER(MATCH(TRIM(MID($AJ379,5,99)),Lists!$T$2:$T$21,0))),INDEX(Lists!$U$2:$U$21,MATCH(TRIM(MID($AJ379,5,99)),Lists!$T$2:$T$21,0)),IF(OR(TRIM($J379)="",UPPER(TRIM($J379))="NA"),IFERROR(INDEX(Lists!$R$2:$R$9,MATCH(TRIM($G379),Lists!$Q$2:$Q$9,0)),"UNMAPPED"),IFERROR(INDEX(Lists!$U$2:$U$21,MATCH(TRIM($J379),Lists!$T$2:$T$21,0)),IFERROR(INDEX(Lists!$R$2:$R$9,MATCH(TRIM($G379),Lists!$Q$2:$Q$9,0)),"UNMAPPED"))))))))</f>
        <v>TDD Group Functions</v>
      </c>
      <c r="AI379" s="534" t="b">
        <f>IF(TRIM($B379)="","",--OR(TRIM($L379)="Leadership",TRIM($K379)="Leadership"))</f>
        <v>0</v>
      </c>
      <c r="AJ379" s="534" t="str">
        <f>IF(TRIM($B379)="","",IF(COUNTIFS(Lists!$AN$2:$AN$22,TRIM($B379)&amp;" | "&amp;TRIM($D379),Lists!$AP$2:$AP$22,"&lt;&gt;"),INDEX(Lists!$AP$2:$AP$22,MATCH(TRIM($B379)&amp;" | "&amp;TRIM($D379),Lists!$AN$2:$AN$22,0)),IF($AI379=1,"Leadership",IFERROR(INDEX(Lists!$X$2:$X$21,MATCH(TRIM($L379),Lists!$W$2:$W$21,0)),IF(OR(TRIM($L379)="",LOWER(TRIM($L379))="na"),IF(TRIM($H379)="","Unassigned",TRIM($H379)),TRIM($L379))))))</f>
        <v>Workplace &amp; Enterprise Tooling</v>
      </c>
      <c r="AK379" s="534" t="str">
        <f>IF(TRIM($B379)="","",IF(COUNTIFS(Lists!$AN$2:$AN$22,TRIM($B379)&amp;" | "&amp;TRIM($D379),Lists!$AQ$2:$AQ$22,"&lt;&gt;"),INDEX(Lists!$AQ$2:$AQ$22,MATCH(TRIM($B379)&amp;" | "&amp;TRIM($D379),Lists!$AN$2:$AN$22,0)),IF(COUNTIF(Lists!$AF$2:$AF$8,$AJ379),$AJ379,IF(ISNUMBER(SEARCH("head of ",$D379)),"Head of Technology",IF(ISNUMBER(SEARCH("TDD BP",$D379)),"Business Partner",IF(OR(ISNUMBER(SEARCH("domain architect",$D379)),ISNUMBER(SEARCH("enterprise architect",$D379))),"Domain Architect",IF(ISNUMBER(SEARCH("delivery man",$D379)),"Delivery Manager",IF(OR(ISNUMBER(SEARCH("technology manager",$D379)),ISNUMBER(SEARCH("technology manger",$D379)),ISNUMBER(SEARCH("tech manager",$D379))),"Technology Manager","Squad"))))))))</f>
        <v>Squad</v>
      </c>
      <c r="AL379" s="534" t="str">
        <f>IF(TRIM($B379)="","",IF(AND($AM379=1,LEFT($AJ379,4)&lt;&gt;"EGI ",$AJ379&lt;&gt;"EGI"),IFERROR(INDEX(Lists!$Z$2:$Z$20,MATCH($AH379,Lists!$Y$2:$Y$20,0)),"EGI "&amp;$AH379),IF(COUNTIF(Lists!$AU$2:$AU$10,$AJ379),$AJ379,IF(OR(LEFT($AH379,3)="COE",$AH379="EGI"),$AJ379,IF($AK379&lt;&gt;"Squad",$AK379,$AJ379)))))</f>
        <v>Workplace &amp; Enterprise Tooling</v>
      </c>
      <c r="AM379" s="534" t="b">
        <f>IF(TRIM($B379)="","",--(UPPER(TRIM($K379))="EGI"))</f>
        <v>0</v>
      </c>
      <c r="AQ379" s="841" t="inlineStr">
        <is>
          <t>R0378</t>
        </is>
      </c>
      <c r="AZ379" s="841" t="n"/>
    </row>
    <row r="380" ht="18" customHeight="1" s="535">
      <c r="A380" s="842" t="inlineStr">
        <is>
          <t>V</t>
        </is>
      </c>
      <c r="B380" s="843" t="inlineStr">
        <is>
          <t>Vacant</t>
        </is>
      </c>
      <c r="C380" s="842" t="inlineStr">
        <is>
          <t>V</t>
        </is>
      </c>
      <c r="D380" s="843" t="inlineStr">
        <is>
          <t>Business Analyst (P&amp;C RTA)</t>
        </is>
      </c>
      <c r="E380" s="843" t="inlineStr">
        <is>
          <t>Vacant</t>
        </is>
      </c>
      <c r="F380" s="843" t="inlineStr">
        <is>
          <t>Delivery Manager, P&amp;C, Finance &amp; Legal</t>
        </is>
      </c>
      <c r="G380" s="844" t="inlineStr">
        <is>
          <t>TDD Group Functions</t>
        </is>
      </c>
      <c r="H380" s="843" t="inlineStr">
        <is>
          <t>P&amp;C, Finance &amp; Legal</t>
        </is>
      </c>
      <c r="I380" s="843" t="inlineStr">
        <is>
          <t>Delivery, P&amp;C, Finance &amp; Legal</t>
        </is>
      </c>
      <c r="J380" s="843" t="inlineStr">
        <is>
          <t>P&amp;C</t>
        </is>
      </c>
      <c r="K380" s="843" t="inlineStr">
        <is>
          <t>P&amp;C</t>
        </is>
      </c>
      <c r="L380" s="843" t="inlineStr">
        <is>
          <t>P&amp;C RTA</t>
        </is>
      </c>
      <c r="M380" s="843" t="n"/>
      <c r="N380" s="845" t="inlineStr">
        <is>
          <t>Australia</t>
        </is>
      </c>
      <c r="O380" s="846" t="inlineStr">
        <is>
          <t>CIB</t>
        </is>
      </c>
      <c r="P380" s="847" t="n">
        <v>1</v>
      </c>
      <c r="Q380" s="863" t="n"/>
      <c r="R380" s="847" t="inlineStr">
        <is>
          <t>V</t>
        </is>
      </c>
      <c r="S380" s="847" t="n"/>
      <c r="T380" s="847" t="n"/>
      <c r="U380" s="848" t="n">
        <v>151000</v>
      </c>
      <c r="V380" s="849" t="n">
        <v>151000</v>
      </c>
      <c r="W380" s="850" t="n">
        <v>0.12</v>
      </c>
      <c r="X380" s="847" t="n">
        <v>0.055</v>
      </c>
      <c r="Y380" s="850" t="n">
        <v>0.12</v>
      </c>
      <c r="Z380" s="851" t="n"/>
      <c r="AA380" s="850" t="n">
        <v>0.04</v>
      </c>
      <c r="AB380" s="852" t="n">
        <v>201585</v>
      </c>
      <c r="AE380" s="534">
        <f>IF(TRIM($B380)="","",IF(AND(N($P380)&gt;0,N($P380)&lt;1),N($AB380)*N($P380),N($AB380)))</f>
        <v>201585</v>
      </c>
      <c r="AF380" s="534" t="str">
        <f>IF(TRIM($B380)="","",IF(OR(ISNUMBER(SEARCH("vacant",$B380)),ISNUMBER(SEARCH("ring fenced",$B380)),LOWER(TRIM($B380))="remove"),"Vacant","Filled"))</f>
        <v>Vacant</v>
      </c>
      <c r="AG380" s="534" t="b">
        <f>IF(TRIM($B380)="","",--ISNUMBER(SEARCH("ring fenced",$B380)))</f>
        <v>0</v>
      </c>
      <c r="AH380" s="534" t="str">
        <f>IF(TRIM($B380)="","",IF(COUNTIFS(Lists!$AN$2:$AN$22,TRIM($B380)&amp;" | "&amp;TRIM($D380),Lists!$AO$2:$AO$22,"&lt;&gt;"),INDEX(Lists!$AO$2:$AO$22,MATCH(TRIM($B380)&amp;" | "&amp;TRIM($D380),Lists!$AN$2:$AN$22,0)),IF(COUNTIF(Lists!$AR$2:$AR$3,$AJ380),"TDD Cyber",IF(AND(LEFT($AJ380,4)="EGI ",ISNUMBER(MATCH(TRIM(MID($AJ380,5,99)),Lists!$AS$2:$AS$12,0))),TRIM(MID($AJ380,5,99)),IF(AND(LEFT($AJ380,4)="EGI ",ISNUMBER(MATCH(TRIM(MID($AJ380,5,99)),Lists!$T$2:$T$21,0))),INDEX(Lists!$U$2:$U$21,MATCH(TRIM(MID($AJ380,5,99)),Lists!$T$2:$T$21,0)),IF(OR(TRIM($J380)="",UPPER(TRIM($J380))="NA"),IFERROR(INDEX(Lists!$R$2:$R$9,MATCH(TRIM($G380),Lists!$Q$2:$Q$9,0)),"UNMAPPED"),IFERROR(INDEX(Lists!$U$2:$U$21,MATCH(TRIM($J380),Lists!$T$2:$T$21,0)),IFERROR(INDEX(Lists!$R$2:$R$9,MATCH(TRIM($G380),Lists!$Q$2:$Q$9,0)),"UNMAPPED"))))))))</f>
        <v>P&amp;C</v>
      </c>
      <c r="AI380" s="534" t="b">
        <f>IF(TRIM($B380)="","",--OR(TRIM($L380)="Leadership",TRIM($K380)="Leadership"))</f>
        <v>0</v>
      </c>
      <c r="AJ380" s="534" t="str">
        <f>IF(TRIM($B380)="","",IF(COUNTIFS(Lists!$AN$2:$AN$22,TRIM($B380)&amp;" | "&amp;TRIM($D380),Lists!$AP$2:$AP$22,"&lt;&gt;"),INDEX(Lists!$AP$2:$AP$22,MATCH(TRIM($B380)&amp;" | "&amp;TRIM($D380),Lists!$AN$2:$AN$22,0)),IF($AI380=1,"Leadership",IFERROR(INDEX(Lists!$X$2:$X$21,MATCH(TRIM($L380),Lists!$W$2:$W$21,0)),IF(OR(TRIM($L380)="",LOWER(TRIM($L380))="na"),IF(TRIM($H380)="","Unassigned",TRIM($H380)),TRIM($L380))))))</f>
        <v>P&amp;C RTA</v>
      </c>
      <c r="AK380" s="534" t="str">
        <f>IF(TRIM($B380)="","",IF(COUNTIFS(Lists!$AN$2:$AN$22,TRIM($B380)&amp;" | "&amp;TRIM($D380),Lists!$AQ$2:$AQ$22,"&lt;&gt;"),INDEX(Lists!$AQ$2:$AQ$22,MATCH(TRIM($B380)&amp;" | "&amp;TRIM($D380),Lists!$AN$2:$AN$22,0)),IF(COUNTIF(Lists!$AF$2:$AF$8,$AJ380),$AJ380,IF(ISNUMBER(SEARCH("head of ",$D380)),"Head of Technology",IF(ISNUMBER(SEARCH("TDD BP",$D380)),"Business Partner",IF(OR(ISNUMBER(SEARCH("domain architect",$D380)),ISNUMBER(SEARCH("enterprise architect",$D380))),"Domain Architect",IF(ISNUMBER(SEARCH("delivery man",$D380)),"Delivery Manager",IF(OR(ISNUMBER(SEARCH("technology manager",$D380)),ISNUMBER(SEARCH("technology manger",$D380)),ISNUMBER(SEARCH("tech manager",$D380))),"Technology Manager","Squad"))))))))</f>
        <v>Squad</v>
      </c>
      <c r="AL380" s="534" t="str">
        <f>IF(TRIM($B380)="","",IF(AND($AM380=1,LEFT($AJ380,4)&lt;&gt;"EGI ",$AJ380&lt;&gt;"EGI"),IFERROR(INDEX(Lists!$Z$2:$Z$20,MATCH($AH380,Lists!$Y$2:$Y$20,0)),"EGI "&amp;$AH380),IF(COUNTIF(Lists!$AU$2:$AU$10,$AJ380),$AJ380,IF(OR(LEFT($AH380,3)="COE",$AH380="EGI"),$AJ380,IF($AK380&lt;&gt;"Squad",$AK380,$AJ380)))))</f>
        <v>P&amp;C RTA</v>
      </c>
      <c r="AM380" s="534" t="b">
        <f>IF(TRIM($B380)="","",--(UPPER(TRIM($K380))="EGI"))</f>
        <v>0</v>
      </c>
      <c r="AQ380" s="841" t="inlineStr">
        <is>
          <t>R0379</t>
        </is>
      </c>
      <c r="AZ380" s="841" t="n"/>
    </row>
    <row r="381" ht="18" customHeight="1" s="535">
      <c r="A381" s="842" t="inlineStr">
        <is>
          <t>V</t>
        </is>
      </c>
      <c r="B381" s="843" t="inlineStr">
        <is>
          <t>Vacant</t>
        </is>
      </c>
      <c r="C381" s="842" t="inlineStr">
        <is>
          <t>V</t>
        </is>
      </c>
      <c r="D381" s="843" t="inlineStr">
        <is>
          <t>Enterprise Process Lead</t>
        </is>
      </c>
      <c r="E381" s="843" t="inlineStr">
        <is>
          <t>Vacant</t>
        </is>
      </c>
      <c r="F381" s="843" t="inlineStr">
        <is>
          <t>Head of Technology  Strategy &amp; AI Capability</t>
        </is>
      </c>
      <c r="G381" s="844" t="inlineStr">
        <is>
          <t>Strategy, Architecture &amp; Data</t>
        </is>
      </c>
      <c r="H381" s="843" t="inlineStr">
        <is>
          <t>Technology Strategy &amp; AI Capability</t>
        </is>
      </c>
      <c r="I381" s="843" t="inlineStr">
        <is>
          <t>Technology Strategy &amp; AI Capability</t>
        </is>
      </c>
      <c r="J381" s="843" t="n"/>
      <c r="K381" s="843" t="n"/>
      <c r="L381" s="843" t="n"/>
      <c r="M381" s="843" t="n"/>
      <c r="N381" s="845" t="inlineStr">
        <is>
          <t>Australia</t>
        </is>
      </c>
      <c r="O381" s="846" t="inlineStr">
        <is>
          <t>CIB</t>
        </is>
      </c>
      <c r="P381" s="847" t="n">
        <v>1</v>
      </c>
      <c r="Q381" s="863" t="n"/>
      <c r="R381" s="847" t="inlineStr">
        <is>
          <t>V</t>
        </is>
      </c>
      <c r="S381" s="847" t="n"/>
      <c r="T381" s="847" t="n"/>
      <c r="U381" s="848" t="n">
        <v>151950</v>
      </c>
      <c r="V381" s="849" t="n">
        <v>151950</v>
      </c>
      <c r="W381" s="850" t="n">
        <v>0.12</v>
      </c>
      <c r="X381" s="847" t="n">
        <v>0.055</v>
      </c>
      <c r="Y381" s="850" t="n">
        <v>0.12</v>
      </c>
      <c r="Z381" s="851" t="n"/>
      <c r="AA381" s="850" t="n">
        <v>0.04</v>
      </c>
      <c r="AB381" s="852" t="n">
        <v>202853.25</v>
      </c>
      <c r="AE381" s="534">
        <f>IF(TRIM($B381)="","",IF(AND(N($P381)&gt;0,N($P381)&lt;1),N($AB381)*N($P381),N($AB381)))</f>
        <v>202853.25</v>
      </c>
      <c r="AF381" s="534" t="str">
        <f>IF(TRIM($B381)="","",IF(OR(ISNUMBER(SEARCH("vacant",$B381)),ISNUMBER(SEARCH("ring fenced",$B381)),LOWER(TRIM($B381))="remove"),"Vacant","Filled"))</f>
        <v>Vacant</v>
      </c>
      <c r="AG381" s="534" t="b">
        <f>IF(TRIM($B381)="","",--ISNUMBER(SEARCH("ring fenced",$B381)))</f>
        <v>0</v>
      </c>
      <c r="AH381" s="534" t="str">
        <f>IF(TRIM($B381)="","",IF(COUNTIFS(Lists!$AN$2:$AN$22,TRIM($B381)&amp;" | "&amp;TRIM($D381),Lists!$AO$2:$AO$22,"&lt;&gt;"),INDEX(Lists!$AO$2:$AO$22,MATCH(TRIM($B381)&amp;" | "&amp;TRIM($D381),Lists!$AN$2:$AN$22,0)),IF(COUNTIF(Lists!$AR$2:$AR$3,$AJ381),"TDD Cyber",IF(AND(LEFT($AJ381,4)="EGI ",ISNUMBER(MATCH(TRIM(MID($AJ381,5,99)),Lists!$AS$2:$AS$12,0))),TRIM(MID($AJ381,5,99)),IF(AND(LEFT($AJ381,4)="EGI ",ISNUMBER(MATCH(TRIM(MID($AJ381,5,99)),Lists!$T$2:$T$21,0))),INDEX(Lists!$U$2:$U$21,MATCH(TRIM(MID($AJ381,5,99)),Lists!$T$2:$T$21,0)),IF(OR(TRIM($J381)="",UPPER(TRIM($J381))="NA"),IFERROR(INDEX(Lists!$R$2:$R$9,MATCH(TRIM($G381),Lists!$Q$2:$Q$9,0)),"UNMAPPED"),IFERROR(INDEX(Lists!$U$2:$U$21,MATCH(TRIM($J381),Lists!$T$2:$T$21,0)),IFERROR(INDEX(Lists!$R$2:$R$9,MATCH(TRIM($G381),Lists!$Q$2:$Q$9,0)),"UNMAPPED"))))))))</f>
        <v>COE SA&amp;D</v>
      </c>
      <c r="AI381" s="534" t="b">
        <f>IF(TRIM($B381)="","",--OR(TRIM($L381)="Leadership",TRIM($K381)="Leadership"))</f>
        <v>0</v>
      </c>
      <c r="AJ381" s="534" t="str">
        <f>IF(TRIM($B381)="","",IF(COUNTIFS(Lists!$AN$2:$AN$22,TRIM($B381)&amp;" | "&amp;TRIM($D381),Lists!$AP$2:$AP$22,"&lt;&gt;"),INDEX(Lists!$AP$2:$AP$22,MATCH(TRIM($B381)&amp;" | "&amp;TRIM($D381),Lists!$AN$2:$AN$22,0)),IF($AI381=1,"Leadership",IFERROR(INDEX(Lists!$X$2:$X$21,MATCH(TRIM($L381),Lists!$W$2:$W$21,0)),IF(OR(TRIM($L381)="",LOWER(TRIM($L381))="na"),IF(TRIM($H381)="","Unassigned",TRIM($H381)),TRIM($L381))))))</f>
        <v>Technology Strategy &amp; AI Capability</v>
      </c>
      <c r="AK381" s="534" t="str">
        <f>IF(TRIM($B381)="","",IF(COUNTIFS(Lists!$AN$2:$AN$22,TRIM($B381)&amp;" | "&amp;TRIM($D381),Lists!$AQ$2:$AQ$22,"&lt;&gt;"),INDEX(Lists!$AQ$2:$AQ$22,MATCH(TRIM($B381)&amp;" | "&amp;TRIM($D381),Lists!$AN$2:$AN$22,0)),IF(COUNTIF(Lists!$AF$2:$AF$8,$AJ381),$AJ381,IF(ISNUMBER(SEARCH("head of ",$D381)),"Head of Technology",IF(ISNUMBER(SEARCH("TDD BP",$D381)),"Business Partner",IF(OR(ISNUMBER(SEARCH("domain architect",$D381)),ISNUMBER(SEARCH("enterprise architect",$D381))),"Domain Architect",IF(ISNUMBER(SEARCH("delivery man",$D381)),"Delivery Manager",IF(OR(ISNUMBER(SEARCH("technology manager",$D381)),ISNUMBER(SEARCH("technology manger",$D381)),ISNUMBER(SEARCH("tech manager",$D381))),"Technology Manager","Squad"))))))))</f>
        <v>Squad</v>
      </c>
      <c r="AL381" s="534" t="str">
        <f>IF(TRIM($B381)="","",IF(AND($AM381=1,LEFT($AJ381,4)&lt;&gt;"EGI ",$AJ381&lt;&gt;"EGI"),IFERROR(INDEX(Lists!$Z$2:$Z$20,MATCH($AH381,Lists!$Y$2:$Y$20,0)),"EGI "&amp;$AH381),IF(COUNTIF(Lists!$AU$2:$AU$10,$AJ381),$AJ381,IF(OR(LEFT($AH381,3)="COE",$AH381="EGI"),$AJ381,IF($AK381&lt;&gt;"Squad",$AK381,$AJ381)))))</f>
        <v>Technology Strategy &amp; AI Capability</v>
      </c>
      <c r="AM381" s="534" t="b">
        <f>IF(TRIM($B381)="","",--(UPPER(TRIM($K381))="EGI"))</f>
        <v>0</v>
      </c>
      <c r="AQ381" s="841" t="inlineStr">
        <is>
          <t>R0380</t>
        </is>
      </c>
      <c r="AZ381" s="841" t="n"/>
    </row>
    <row r="382" ht="18" customHeight="1" s="535">
      <c r="A382" s="842" t="inlineStr">
        <is>
          <t>V</t>
        </is>
      </c>
      <c r="B382" s="843" t="inlineStr">
        <is>
          <t>Vacant</t>
        </is>
      </c>
      <c r="C382" s="842" t="inlineStr">
        <is>
          <t>V</t>
        </is>
      </c>
      <c r="D382" s="843" t="inlineStr">
        <is>
          <t>Release &amp; Environments Manager</t>
        </is>
      </c>
      <c r="E382" s="843" t="inlineStr">
        <is>
          <t>Vacant</t>
        </is>
      </c>
      <c r="F382" s="843" t="inlineStr">
        <is>
          <t>Lead Quality Assurance</t>
        </is>
      </c>
      <c r="G382" s="844" t="inlineStr">
        <is>
          <t>Ampol Retail &amp; Z</t>
        </is>
      </c>
      <c r="H382" s="843" t="inlineStr">
        <is>
          <t>Ampol Retail</t>
        </is>
      </c>
      <c r="I382" s="843" t="inlineStr">
        <is>
          <t>Ampol Retail, Store Platforms</t>
        </is>
      </c>
      <c r="J382" s="843" t="inlineStr">
        <is>
          <t>Retail</t>
        </is>
      </c>
      <c r="K382" s="843" t="inlineStr">
        <is>
          <t>Store Operations</t>
        </is>
      </c>
      <c r="L382" s="843" t="inlineStr">
        <is>
          <t>POS</t>
        </is>
      </c>
      <c r="M382" s="843" t="n"/>
      <c r="N382" s="845" t="inlineStr">
        <is>
          <t>Australia</t>
        </is>
      </c>
      <c r="O382" s="846" t="inlineStr">
        <is>
          <t>CIB</t>
        </is>
      </c>
      <c r="P382" s="847" t="n">
        <v>1</v>
      </c>
      <c r="Q382" s="864" t="n"/>
      <c r="R382" s="847" t="inlineStr">
        <is>
          <t>V</t>
        </is>
      </c>
      <c r="S382" s="847" t="n"/>
      <c r="T382" s="847" t="n"/>
      <c r="U382" s="848" t="n">
        <v>151950</v>
      </c>
      <c r="V382" s="849" t="n">
        <v>151950</v>
      </c>
      <c r="W382" s="850" t="n">
        <v>0.12</v>
      </c>
      <c r="X382" s="847" t="n">
        <v>0.055</v>
      </c>
      <c r="Y382" s="850" t="n">
        <v>0.12</v>
      </c>
      <c r="Z382" s="851" t="n"/>
      <c r="AA382" s="850" t="n">
        <v>0.04</v>
      </c>
      <c r="AB382" s="852" t="n">
        <v>202853.25</v>
      </c>
      <c r="AE382" s="534">
        <f>IF(TRIM($B382)="","",IF(AND(N($P382)&gt;0,N($P382)&lt;1),N($AB382)*N($P382),N($AB382)))</f>
        <v>202853.25</v>
      </c>
      <c r="AF382" s="534" t="str">
        <f>IF(TRIM($B382)="","",IF(OR(ISNUMBER(SEARCH("vacant",$B382)),ISNUMBER(SEARCH("ring fenced",$B382)),LOWER(TRIM($B382))="remove"),"Vacant","Filled"))</f>
        <v>Vacant</v>
      </c>
      <c r="AG382" s="534" t="b">
        <f>IF(TRIM($B382)="","",--ISNUMBER(SEARCH("ring fenced",$B382)))</f>
        <v>0</v>
      </c>
      <c r="AH382" s="534" t="str">
        <f>IF(TRIM($B382)="","",IF(COUNTIFS(Lists!$AN$2:$AN$22,TRIM($B382)&amp;" | "&amp;TRIM($D382),Lists!$AO$2:$AO$22,"&lt;&gt;"),INDEX(Lists!$AO$2:$AO$22,MATCH(TRIM($B382)&amp;" | "&amp;TRIM($D382),Lists!$AN$2:$AN$22,0)),IF(COUNTIF(Lists!$AR$2:$AR$3,$AJ382),"TDD Cyber",IF(AND(LEFT($AJ382,4)="EGI ",ISNUMBER(MATCH(TRIM(MID($AJ382,5,99)),Lists!$AS$2:$AS$12,0))),TRIM(MID($AJ382,5,99)),IF(AND(LEFT($AJ382,4)="EGI ",ISNUMBER(MATCH(TRIM(MID($AJ382,5,99)),Lists!$T$2:$T$21,0))),INDEX(Lists!$U$2:$U$21,MATCH(TRIM(MID($AJ382,5,99)),Lists!$T$2:$T$21,0)),IF(OR(TRIM($J382)="",UPPER(TRIM($J382))="NA"),IFERROR(INDEX(Lists!$R$2:$R$9,MATCH(TRIM($G382),Lists!$Q$2:$Q$9,0)),"UNMAPPED"),IFERROR(INDEX(Lists!$U$2:$U$21,MATCH(TRIM($J382),Lists!$T$2:$T$21,0)),IFERROR(INDEX(Lists!$R$2:$R$9,MATCH(TRIM($G382),Lists!$Q$2:$Q$9,0)),"UNMAPPED"))))))))</f>
        <v>Ampol Retail</v>
      </c>
      <c r="AI382" s="534" t="b">
        <f>IF(TRIM($B382)="","",--OR(TRIM($L382)="Leadership",TRIM($K382)="Leadership"))</f>
        <v>0</v>
      </c>
      <c r="AJ382" s="534" t="str">
        <f>IF(TRIM($B382)="","",IF(COUNTIFS(Lists!$AN$2:$AN$22,TRIM($B382)&amp;" | "&amp;TRIM($D382),Lists!$AP$2:$AP$22,"&lt;&gt;"),INDEX(Lists!$AP$2:$AP$22,MATCH(TRIM($B382)&amp;" | "&amp;TRIM($D382),Lists!$AN$2:$AN$22,0)),IF($AI382=1,"Leadership",IFERROR(INDEX(Lists!$X$2:$X$21,MATCH(TRIM($L382),Lists!$W$2:$W$21,0)),IF(OR(TRIM($L382)="",LOWER(TRIM($L382))="na"),IF(TRIM($H382)="","Unassigned",TRIM($H382)),TRIM($L382))))))</f>
        <v>POS</v>
      </c>
      <c r="AK382" s="534" t="str">
        <f>IF(TRIM($B382)="","",IF(COUNTIFS(Lists!$AN$2:$AN$22,TRIM($B382)&amp;" | "&amp;TRIM($D382),Lists!$AQ$2:$AQ$22,"&lt;&gt;"),INDEX(Lists!$AQ$2:$AQ$22,MATCH(TRIM($B382)&amp;" | "&amp;TRIM($D382),Lists!$AN$2:$AN$22,0)),IF(COUNTIF(Lists!$AF$2:$AF$8,$AJ382),$AJ382,IF(ISNUMBER(SEARCH("head of ",$D382)),"Head of Technology",IF(ISNUMBER(SEARCH("TDD BP",$D382)),"Business Partner",IF(OR(ISNUMBER(SEARCH("domain architect",$D382)),ISNUMBER(SEARCH("enterprise architect",$D382))),"Domain Architect",IF(ISNUMBER(SEARCH("delivery man",$D382)),"Delivery Manager",IF(OR(ISNUMBER(SEARCH("technology manager",$D382)),ISNUMBER(SEARCH("technology manger",$D382)),ISNUMBER(SEARCH("tech manager",$D382))),"Technology Manager","Squad"))))))))</f>
        <v>Squad</v>
      </c>
      <c r="AL382" s="534" t="str">
        <f>IF(TRIM($B382)="","",IF(AND($AM382=1,LEFT($AJ382,4)&lt;&gt;"EGI ",$AJ382&lt;&gt;"EGI"),IFERROR(INDEX(Lists!$Z$2:$Z$20,MATCH($AH382,Lists!$Y$2:$Y$20,0)),"EGI "&amp;$AH382),IF(COUNTIF(Lists!$AU$2:$AU$10,$AJ382),$AJ382,IF(OR(LEFT($AH382,3)="COE",$AH382="EGI"),$AJ382,IF($AK382&lt;&gt;"Squad",$AK382,$AJ382)))))</f>
        <v>POS</v>
      </c>
      <c r="AM382" s="534" t="b">
        <f>IF(TRIM($B382)="","",--(UPPER(TRIM($K382))="EGI"))</f>
        <v>0</v>
      </c>
      <c r="AQ382" s="841" t="inlineStr">
        <is>
          <t>R0381</t>
        </is>
      </c>
      <c r="AZ382" s="841" t="n"/>
    </row>
    <row r="383" ht="18" customHeight="1" s="535">
      <c r="A383" s="842" t="n">
        <v>114573</v>
      </c>
      <c r="B383" s="843" t="inlineStr">
        <is>
          <t>Archana Chetiwal</t>
        </is>
      </c>
      <c r="C383" s="842" t="n">
        <v>114573</v>
      </c>
      <c r="D383" s="843" t="inlineStr">
        <is>
          <t>Snr Engineer</t>
        </is>
      </c>
      <c r="E383" s="843" t="inlineStr">
        <is>
          <t>Vacant</t>
        </is>
      </c>
      <c r="F383" s="843" t="inlineStr">
        <is>
          <t>RPA Lead</t>
        </is>
      </c>
      <c r="G383" s="844" t="inlineStr">
        <is>
          <t>TDD Group Functions</t>
        </is>
      </c>
      <c r="H383" s="843" t="inlineStr">
        <is>
          <t xml:space="preserve">TDD &amp; Engineering </t>
        </is>
      </c>
      <c r="I383" s="843" t="inlineStr">
        <is>
          <t>Integration &amp; Process automation</t>
        </is>
      </c>
      <c r="J383" s="843" t="inlineStr">
        <is>
          <t>TDD</t>
        </is>
      </c>
      <c r="K383" s="843" t="inlineStr">
        <is>
          <t>TDD</t>
        </is>
      </c>
      <c r="L383" s="843" t="inlineStr">
        <is>
          <t>Integration &amp; Process automation</t>
        </is>
      </c>
      <c r="M383" s="843" t="n"/>
      <c r="N383" s="845" t="inlineStr">
        <is>
          <t>Australia</t>
        </is>
      </c>
      <c r="O383" s="846" t="inlineStr">
        <is>
          <t>CIB</t>
        </is>
      </c>
      <c r="P383" s="847" t="n">
        <v>1</v>
      </c>
      <c r="Q383" s="864" t="n"/>
      <c r="R383" s="847" t="inlineStr">
        <is>
          <t>Permanent - Full Time</t>
        </is>
      </c>
      <c r="S383" s="847" t="n"/>
      <c r="T383" s="847" t="n"/>
      <c r="U383" s="848" t="n">
        <v>140000</v>
      </c>
      <c r="V383" s="849" t="n">
        <v>140000</v>
      </c>
      <c r="W383" s="850" t="n">
        <v>0.12</v>
      </c>
      <c r="X383" s="847" t="n">
        <v>0.055</v>
      </c>
      <c r="Y383" s="850" t="n">
        <v>0.12</v>
      </c>
      <c r="Z383" s="851" t="n"/>
      <c r="AA383" s="850" t="n">
        <v>0.04</v>
      </c>
      <c r="AB383" s="852" t="n">
        <v>186900</v>
      </c>
      <c r="AE383" s="534">
        <f>IF(TRIM($B383)="","",IF(AND(N($P383)&gt;0,N($P383)&lt;1),N($AB383)*N($P383),N($AB383)))</f>
        <v>186900</v>
      </c>
      <c r="AF383" s="534" t="str">
        <f>IF(TRIM($B383)="","",IF(OR(ISNUMBER(SEARCH("vacant",$B383)),ISNUMBER(SEARCH("ring fenced",$B383)),LOWER(TRIM($B383))="remove"),"Vacant","Filled"))</f>
        <v>Filled</v>
      </c>
      <c r="AG383" s="534" t="b">
        <f>IF(TRIM($B383)="","",--ISNUMBER(SEARCH("ring fenced",$B383)))</f>
        <v>0</v>
      </c>
      <c r="AH383" s="534" t="str">
        <f>IF(TRIM($B383)="","",IF(COUNTIFS(Lists!$AN$2:$AN$22,TRIM($B383)&amp;" | "&amp;TRIM($D383),Lists!$AO$2:$AO$22,"&lt;&gt;"),INDEX(Lists!$AO$2:$AO$22,MATCH(TRIM($B383)&amp;" | "&amp;TRIM($D383),Lists!$AN$2:$AN$22,0)),IF(COUNTIF(Lists!$AR$2:$AR$3,$AJ383),"TDD Cyber",IF(AND(LEFT($AJ383,4)="EGI ",ISNUMBER(MATCH(TRIM(MID($AJ383,5,99)),Lists!$AS$2:$AS$12,0))),TRIM(MID($AJ383,5,99)),IF(AND(LEFT($AJ383,4)="EGI ",ISNUMBER(MATCH(TRIM(MID($AJ383,5,99)),Lists!$T$2:$T$21,0))),INDEX(Lists!$U$2:$U$21,MATCH(TRIM(MID($AJ383,5,99)),Lists!$T$2:$T$21,0)),IF(OR(TRIM($J383)="",UPPER(TRIM($J383))="NA"),IFERROR(INDEX(Lists!$R$2:$R$9,MATCH(TRIM($G383),Lists!$Q$2:$Q$9,0)),"UNMAPPED"),IFERROR(INDEX(Lists!$U$2:$U$21,MATCH(TRIM($J383),Lists!$T$2:$T$21,0)),IFERROR(INDEX(Lists!$R$2:$R$9,MATCH(TRIM($G383),Lists!$Q$2:$Q$9,0)),"UNMAPPED"))))))))</f>
        <v>TDD Group Functions</v>
      </c>
      <c r="AI383" s="534" t="b">
        <f>IF(TRIM($B383)="","",--OR(TRIM($L383)="Leadership",TRIM($K383)="Leadership"))</f>
        <v>0</v>
      </c>
      <c r="AJ383" s="534" t="str">
        <f>IF(TRIM($B383)="","",IF(COUNTIFS(Lists!$AN$2:$AN$22,TRIM($B383)&amp;" | "&amp;TRIM($D383),Lists!$AP$2:$AP$22,"&lt;&gt;"),INDEX(Lists!$AP$2:$AP$22,MATCH(TRIM($B383)&amp;" | "&amp;TRIM($D383),Lists!$AN$2:$AN$22,0)),IF($AI383=1,"Leadership",IFERROR(INDEX(Lists!$X$2:$X$21,MATCH(TRIM($L383),Lists!$W$2:$W$21,0)),IF(OR(TRIM($L383)="",LOWER(TRIM($L383))="na"),IF(TRIM($H383)="","Unassigned",TRIM($H383)),TRIM($L383))))))</f>
        <v>Integration &amp; Process Automation</v>
      </c>
      <c r="AK383" s="534" t="str">
        <f>IF(TRIM($B383)="","",IF(COUNTIFS(Lists!$AN$2:$AN$22,TRIM($B383)&amp;" | "&amp;TRIM($D383),Lists!$AQ$2:$AQ$22,"&lt;&gt;"),INDEX(Lists!$AQ$2:$AQ$22,MATCH(TRIM($B383)&amp;" | "&amp;TRIM($D383),Lists!$AN$2:$AN$22,0)),IF(COUNTIF(Lists!$AF$2:$AF$8,$AJ383),$AJ383,IF(ISNUMBER(SEARCH("head of ",$D383)),"Head of Technology",IF(ISNUMBER(SEARCH("TDD BP",$D383)),"Business Partner",IF(OR(ISNUMBER(SEARCH("domain architect",$D383)),ISNUMBER(SEARCH("enterprise architect",$D383))),"Domain Architect",IF(ISNUMBER(SEARCH("delivery man",$D383)),"Delivery Manager",IF(OR(ISNUMBER(SEARCH("technology manager",$D383)),ISNUMBER(SEARCH("technology manger",$D383)),ISNUMBER(SEARCH("tech manager",$D383))),"Technology Manager","Squad"))))))))</f>
        <v>Squad</v>
      </c>
      <c r="AL383" s="534" t="str">
        <f>IF(TRIM($B383)="","",IF(AND($AM383=1,LEFT($AJ383,4)&lt;&gt;"EGI ",$AJ383&lt;&gt;"EGI"),IFERROR(INDEX(Lists!$Z$2:$Z$20,MATCH($AH383,Lists!$Y$2:$Y$20,0)),"EGI "&amp;$AH383),IF(COUNTIF(Lists!$AU$2:$AU$10,$AJ383),$AJ383,IF(OR(LEFT($AH383,3)="COE",$AH383="EGI"),$AJ383,IF($AK383&lt;&gt;"Squad",$AK383,$AJ383)))))</f>
        <v>Integration &amp; Process Automation</v>
      </c>
      <c r="AM383" s="534" t="b">
        <f>IF(TRIM($B383)="","",--(UPPER(TRIM($K383))="EGI"))</f>
        <v>0</v>
      </c>
      <c r="AQ383" s="841" t="inlineStr">
        <is>
          <t>R0382</t>
        </is>
      </c>
      <c r="AZ383" s="841" t="n"/>
    </row>
    <row r="384" ht="18" customHeight="1" s="535">
      <c r="A384" s="842" t="n">
        <v>111319</v>
      </c>
      <c r="B384" s="843" t="inlineStr">
        <is>
          <t>Arun Prakash Jayaprakasam</t>
        </is>
      </c>
      <c r="C384" s="842" t="n">
        <v>111319</v>
      </c>
      <c r="D384" s="843" t="inlineStr">
        <is>
          <t>Data Engineer Analyst</t>
        </is>
      </c>
      <c r="E384" s="843" t="inlineStr">
        <is>
          <t>Vacant</t>
        </is>
      </c>
      <c r="F384" s="843" t="inlineStr">
        <is>
          <t>Technology Manager, Data</t>
        </is>
      </c>
      <c r="G384" s="844" t="inlineStr">
        <is>
          <t>TDD CFE&amp;I</t>
        </is>
      </c>
      <c r="H384" s="843" t="inlineStr">
        <is>
          <t>Commercial Fuels</t>
        </is>
      </c>
      <c r="I384" s="843" t="inlineStr">
        <is>
          <t>Technology, T&amp;S Data</t>
        </is>
      </c>
      <c r="J384" s="843" t="inlineStr">
        <is>
          <t>Commercial Fuels</t>
        </is>
      </c>
      <c r="K384" s="843" t="inlineStr">
        <is>
          <t>Trading &amp; Shipping</t>
        </is>
      </c>
      <c r="L384" s="843" t="inlineStr">
        <is>
          <t>Trading &amp; Shipping Data</t>
        </is>
      </c>
      <c r="M384" s="843" t="n"/>
      <c r="N384" s="845" t="inlineStr">
        <is>
          <t>Singapore</t>
        </is>
      </c>
      <c r="O384" s="846" t="inlineStr">
        <is>
          <t>CIB</t>
        </is>
      </c>
      <c r="P384" s="847" t="n">
        <v>1</v>
      </c>
      <c r="Q384" s="864" t="n"/>
      <c r="R384" s="847" t="inlineStr">
        <is>
          <t>Permanent - Full Time</t>
        </is>
      </c>
      <c r="S384" s="847" t="n"/>
      <c r="T384" s="847" t="n"/>
      <c r="U384" s="848" t="n">
        <v>149480</v>
      </c>
      <c r="V384" s="849" t="n">
        <v>180870.8</v>
      </c>
      <c r="W384" s="850" t="n">
        <v>0.25</v>
      </c>
      <c r="X384" s="847" t="n"/>
      <c r="Y384" s="850" t="n">
        <v>0.17</v>
      </c>
      <c r="Z384" s="851" t="n">
        <v>3310</v>
      </c>
      <c r="AA384" s="850" t="n">
        <v>0.045</v>
      </c>
      <c r="AB384" s="852" t="n">
        <v>268285.722</v>
      </c>
      <c r="AE384" s="534">
        <f>IF(TRIM($B384)="","",IF(AND(N($P384)&gt;0,N($P384)&lt;1),N($AB384)*N($P384),N($AB384)))</f>
        <v>268285.722</v>
      </c>
      <c r="AF384" s="534" t="str">
        <f>IF(TRIM($B384)="","",IF(OR(ISNUMBER(SEARCH("vacant",$B384)),ISNUMBER(SEARCH("ring fenced",$B384)),LOWER(TRIM($B384))="remove"),"Vacant","Filled"))</f>
        <v>Filled</v>
      </c>
      <c r="AG384" s="534" t="b">
        <f>IF(TRIM($B384)="","",--ISNUMBER(SEARCH("ring fenced",$B384)))</f>
        <v>0</v>
      </c>
      <c r="AH384" s="534" t="str">
        <f>IF(TRIM($B384)="","",IF(COUNTIFS(Lists!$AN$2:$AN$22,TRIM($B384)&amp;" | "&amp;TRIM($D384),Lists!$AO$2:$AO$22,"&lt;&gt;"),INDEX(Lists!$AO$2:$AO$22,MATCH(TRIM($B384)&amp;" | "&amp;TRIM($D384),Lists!$AN$2:$AN$22,0)),IF(COUNTIF(Lists!$AR$2:$AR$3,$AJ384),"TDD Cyber",IF(AND(LEFT($AJ384,4)="EGI ",ISNUMBER(MATCH(TRIM(MID($AJ384,5,99)),Lists!$AS$2:$AS$12,0))),TRIM(MID($AJ384,5,99)),IF(AND(LEFT($AJ384,4)="EGI ",ISNUMBER(MATCH(TRIM(MID($AJ384,5,99)),Lists!$T$2:$T$21,0))),INDEX(Lists!$U$2:$U$21,MATCH(TRIM(MID($AJ384,5,99)),Lists!$T$2:$T$21,0)),IF(OR(TRIM($J384)="",UPPER(TRIM($J384))="NA"),IFERROR(INDEX(Lists!$R$2:$R$9,MATCH(TRIM($G384),Lists!$Q$2:$Q$9,0)),"UNMAPPED"),IFERROR(INDEX(Lists!$U$2:$U$21,MATCH(TRIM($J384),Lists!$T$2:$T$21,0)),IFERROR(INDEX(Lists!$R$2:$R$9,MATCH(TRIM($G384),Lists!$Q$2:$Q$9,0)),"UNMAPPED"))))))))</f>
        <v>Commercial Fuels</v>
      </c>
      <c r="AI384" s="534" t="b">
        <f>IF(TRIM($B384)="","",--OR(TRIM($L384)="Leadership",TRIM($K384)="Leadership"))</f>
        <v>0</v>
      </c>
      <c r="AJ384" s="534" t="str">
        <f>IF(TRIM($B384)="","",IF(COUNTIFS(Lists!$AN$2:$AN$22,TRIM($B384)&amp;" | "&amp;TRIM($D384),Lists!$AP$2:$AP$22,"&lt;&gt;"),INDEX(Lists!$AP$2:$AP$22,MATCH(TRIM($B384)&amp;" | "&amp;TRIM($D384),Lists!$AN$2:$AN$22,0)),IF($AI384=1,"Leadership",IFERROR(INDEX(Lists!$X$2:$X$21,MATCH(TRIM($L384),Lists!$W$2:$W$21,0)),IF(OR(TRIM($L384)="",LOWER(TRIM($L384))="na"),IF(TRIM($H384)="","Unassigned",TRIM($H384)),TRIM($L384))))))</f>
        <v>Trading &amp; Shipping Data</v>
      </c>
      <c r="AK384" s="534" t="str">
        <f>IF(TRIM($B384)="","",IF(COUNTIFS(Lists!$AN$2:$AN$22,TRIM($B384)&amp;" | "&amp;TRIM($D384),Lists!$AQ$2:$AQ$22,"&lt;&gt;"),INDEX(Lists!$AQ$2:$AQ$22,MATCH(TRIM($B384)&amp;" | "&amp;TRIM($D384),Lists!$AN$2:$AN$22,0)),IF(COUNTIF(Lists!$AF$2:$AF$8,$AJ384),$AJ384,IF(ISNUMBER(SEARCH("head of ",$D384)),"Head of Technology",IF(ISNUMBER(SEARCH("TDD BP",$D384)),"Business Partner",IF(OR(ISNUMBER(SEARCH("domain architect",$D384)),ISNUMBER(SEARCH("enterprise architect",$D384))),"Domain Architect",IF(ISNUMBER(SEARCH("delivery man",$D384)),"Delivery Manager",IF(OR(ISNUMBER(SEARCH("technology manager",$D384)),ISNUMBER(SEARCH("technology manger",$D384)),ISNUMBER(SEARCH("tech manager",$D384))),"Technology Manager","Squad"))))))))</f>
        <v>Squad</v>
      </c>
      <c r="AL384" s="534" t="str">
        <f>IF(TRIM($B384)="","",IF(AND($AM384=1,LEFT($AJ384,4)&lt;&gt;"EGI ",$AJ384&lt;&gt;"EGI"),IFERROR(INDEX(Lists!$Z$2:$Z$20,MATCH($AH384,Lists!$Y$2:$Y$20,0)),"EGI "&amp;$AH384),IF(COUNTIF(Lists!$AU$2:$AU$10,$AJ384),$AJ384,IF(OR(LEFT($AH384,3)="COE",$AH384="EGI"),$AJ384,IF($AK384&lt;&gt;"Squad",$AK384,$AJ384)))))</f>
        <v>Trading &amp; Shipping Data</v>
      </c>
      <c r="AM384" s="534" t="b">
        <f>IF(TRIM($B384)="","",--(UPPER(TRIM($K384))="EGI"))</f>
        <v>0</v>
      </c>
      <c r="AQ384" s="841" t="inlineStr">
        <is>
          <t>R0383</t>
        </is>
      </c>
      <c r="AZ384" s="841" t="n"/>
    </row>
    <row r="385" ht="18" customHeight="1" s="535">
      <c r="A385" s="842" t="n">
        <v>108033</v>
      </c>
      <c r="B385" s="843" t="inlineStr">
        <is>
          <t>Ayushi Agarwal</t>
        </is>
      </c>
      <c r="C385" s="842" t="n">
        <v>108033</v>
      </c>
      <c r="D385" s="843" t="inlineStr">
        <is>
          <t>Engineer Data</t>
        </is>
      </c>
      <c r="E385" s="843" t="inlineStr">
        <is>
          <t>Vacant</t>
        </is>
      </c>
      <c r="F385" s="843" t="inlineStr">
        <is>
          <t>Technology Manager, Data</t>
        </is>
      </c>
      <c r="G385" s="844" t="inlineStr">
        <is>
          <t>TDD CFE&amp;I</t>
        </is>
      </c>
      <c r="H385" s="843" t="inlineStr">
        <is>
          <t>Commercial Fuels</t>
        </is>
      </c>
      <c r="I385" s="843" t="inlineStr">
        <is>
          <t>Technology, T&amp;S Data</t>
        </is>
      </c>
      <c r="J385" s="843" t="inlineStr">
        <is>
          <t>Commercial Fuels</t>
        </is>
      </c>
      <c r="K385" s="843" t="inlineStr">
        <is>
          <t>Trading &amp; Shipping</t>
        </is>
      </c>
      <c r="L385" s="843" t="inlineStr">
        <is>
          <t>Trading &amp; Shipping Data</t>
        </is>
      </c>
      <c r="M385" s="843" t="n"/>
      <c r="N385" s="845" t="inlineStr">
        <is>
          <t>Singapore</t>
        </is>
      </c>
      <c r="O385" s="846" t="inlineStr">
        <is>
          <t>CIB</t>
        </is>
      </c>
      <c r="P385" s="847" t="n">
        <v>1</v>
      </c>
      <c r="Q385" s="864" t="n"/>
      <c r="R385" s="847" t="inlineStr">
        <is>
          <t>Permanent - Full Time</t>
        </is>
      </c>
      <c r="S385" s="847" t="n"/>
      <c r="T385" s="847" t="n"/>
      <c r="U385" s="848" t="n">
        <v>145320</v>
      </c>
      <c r="V385" s="849" t="n">
        <v>175837.2</v>
      </c>
      <c r="W385" s="850" t="n">
        <v>0.25</v>
      </c>
      <c r="X385" s="847" t="n"/>
      <c r="Y385" s="850" t="n">
        <v>0.17</v>
      </c>
      <c r="Z385" s="851" t="n">
        <v>3310</v>
      </c>
      <c r="AA385" s="850" t="n">
        <v>0.045</v>
      </c>
      <c r="AB385" s="852" t="n">
        <v>260911.498</v>
      </c>
      <c r="AE385" s="534">
        <f>IF(TRIM($B385)="","",IF(AND(N($P385)&gt;0,N($P385)&lt;1),N($AB385)*N($P385),N($AB385)))</f>
        <v>260911.498</v>
      </c>
      <c r="AF385" s="534" t="str">
        <f>IF(TRIM($B385)="","",IF(OR(ISNUMBER(SEARCH("vacant",$B385)),ISNUMBER(SEARCH("ring fenced",$B385)),LOWER(TRIM($B385))="remove"),"Vacant","Filled"))</f>
        <v>Filled</v>
      </c>
      <c r="AG385" s="534" t="b">
        <f>IF(TRIM($B385)="","",--ISNUMBER(SEARCH("ring fenced",$B385)))</f>
        <v>0</v>
      </c>
      <c r="AH385" s="534" t="str">
        <f>IF(TRIM($B385)="","",IF(COUNTIFS(Lists!$AN$2:$AN$22,TRIM($B385)&amp;" | "&amp;TRIM($D385),Lists!$AO$2:$AO$22,"&lt;&gt;"),INDEX(Lists!$AO$2:$AO$22,MATCH(TRIM($B385)&amp;" | "&amp;TRIM($D385),Lists!$AN$2:$AN$22,0)),IF(COUNTIF(Lists!$AR$2:$AR$3,$AJ385),"TDD Cyber",IF(AND(LEFT($AJ385,4)="EGI ",ISNUMBER(MATCH(TRIM(MID($AJ385,5,99)),Lists!$AS$2:$AS$12,0))),TRIM(MID($AJ385,5,99)),IF(AND(LEFT($AJ385,4)="EGI ",ISNUMBER(MATCH(TRIM(MID($AJ385,5,99)),Lists!$T$2:$T$21,0))),INDEX(Lists!$U$2:$U$21,MATCH(TRIM(MID($AJ385,5,99)),Lists!$T$2:$T$21,0)),IF(OR(TRIM($J385)="",UPPER(TRIM($J385))="NA"),IFERROR(INDEX(Lists!$R$2:$R$9,MATCH(TRIM($G385),Lists!$Q$2:$Q$9,0)),"UNMAPPED"),IFERROR(INDEX(Lists!$U$2:$U$21,MATCH(TRIM($J385),Lists!$T$2:$T$21,0)),IFERROR(INDEX(Lists!$R$2:$R$9,MATCH(TRIM($G385),Lists!$Q$2:$Q$9,0)),"UNMAPPED"))))))))</f>
        <v>Commercial Fuels</v>
      </c>
      <c r="AI385" s="534" t="b">
        <f>IF(TRIM($B385)="","",--OR(TRIM($L385)="Leadership",TRIM($K385)="Leadership"))</f>
        <v>0</v>
      </c>
      <c r="AJ385" s="534" t="str">
        <f>IF(TRIM($B385)="","",IF(COUNTIFS(Lists!$AN$2:$AN$22,TRIM($B385)&amp;" | "&amp;TRIM($D385),Lists!$AP$2:$AP$22,"&lt;&gt;"),INDEX(Lists!$AP$2:$AP$22,MATCH(TRIM($B385)&amp;" | "&amp;TRIM($D385),Lists!$AN$2:$AN$22,0)),IF($AI385=1,"Leadership",IFERROR(INDEX(Lists!$X$2:$X$21,MATCH(TRIM($L385),Lists!$W$2:$W$21,0)),IF(OR(TRIM($L385)="",LOWER(TRIM($L385))="na"),IF(TRIM($H385)="","Unassigned",TRIM($H385)),TRIM($L385))))))</f>
        <v>Trading &amp; Shipping Data</v>
      </c>
      <c r="AK385" s="534" t="str">
        <f>IF(TRIM($B385)="","",IF(COUNTIFS(Lists!$AN$2:$AN$22,TRIM($B385)&amp;" | "&amp;TRIM($D385),Lists!$AQ$2:$AQ$22,"&lt;&gt;"),INDEX(Lists!$AQ$2:$AQ$22,MATCH(TRIM($B385)&amp;" | "&amp;TRIM($D385),Lists!$AN$2:$AN$22,0)),IF(COUNTIF(Lists!$AF$2:$AF$8,$AJ385),$AJ385,IF(ISNUMBER(SEARCH("head of ",$D385)),"Head of Technology",IF(ISNUMBER(SEARCH("TDD BP",$D385)),"Business Partner",IF(OR(ISNUMBER(SEARCH("domain architect",$D385)),ISNUMBER(SEARCH("enterprise architect",$D385))),"Domain Architect",IF(ISNUMBER(SEARCH("delivery man",$D385)),"Delivery Manager",IF(OR(ISNUMBER(SEARCH("technology manager",$D385)),ISNUMBER(SEARCH("technology manger",$D385)),ISNUMBER(SEARCH("tech manager",$D385))),"Technology Manager","Squad"))))))))</f>
        <v>Squad</v>
      </c>
      <c r="AL385" s="534" t="str">
        <f>IF(TRIM($B385)="","",IF(AND($AM385=1,LEFT($AJ385,4)&lt;&gt;"EGI ",$AJ385&lt;&gt;"EGI"),IFERROR(INDEX(Lists!$Z$2:$Z$20,MATCH($AH385,Lists!$Y$2:$Y$20,0)),"EGI "&amp;$AH385),IF(COUNTIF(Lists!$AU$2:$AU$10,$AJ385),$AJ385,IF(OR(LEFT($AH385,3)="COE",$AH385="EGI"),$AJ385,IF($AK385&lt;&gt;"Squad",$AK385,$AJ385)))))</f>
        <v>Trading &amp; Shipping Data</v>
      </c>
      <c r="AM385" s="534" t="b">
        <f>IF(TRIM($B385)="","",--(UPPER(TRIM($K385))="EGI"))</f>
        <v>0</v>
      </c>
      <c r="AQ385" s="841" t="inlineStr">
        <is>
          <t>R0384</t>
        </is>
      </c>
      <c r="AZ385" s="841" t="n"/>
    </row>
    <row r="386" ht="18" customHeight="1" s="535">
      <c r="A386" s="842" t="n">
        <v>97973</v>
      </c>
      <c r="B386" s="843" t="inlineStr">
        <is>
          <t>Elma Kurian</t>
        </is>
      </c>
      <c r="C386" s="842" t="n">
        <v>97973</v>
      </c>
      <c r="D386" s="843" t="inlineStr">
        <is>
          <t>System Specialist</t>
        </is>
      </c>
      <c r="E386" s="843" t="inlineStr">
        <is>
          <t>Vacant</t>
        </is>
      </c>
      <c r="F386" s="843" t="inlineStr">
        <is>
          <t>Technology Manager, Energy Solutions</t>
        </is>
      </c>
      <c r="G386" s="844" t="inlineStr">
        <is>
          <t>TDD CFE&amp;I</t>
        </is>
      </c>
      <c r="H386" s="843" t="inlineStr">
        <is>
          <t>B2B &amp; Energy Solutions</t>
        </is>
      </c>
      <c r="I386" s="843" t="inlineStr">
        <is>
          <t>Technology Energy Solutions</t>
        </is>
      </c>
      <c r="J386" s="843" t="inlineStr">
        <is>
          <t>B2B &amp; Energy Solutions</t>
        </is>
      </c>
      <c r="K386" s="843" t="inlineStr">
        <is>
          <t>Energy Solutions</t>
        </is>
      </c>
      <c r="L386" s="843" t="inlineStr">
        <is>
          <t>Energy</t>
        </is>
      </c>
      <c r="M386" s="843" t="n"/>
      <c r="N386" s="845" t="inlineStr">
        <is>
          <t>Australia</t>
        </is>
      </c>
      <c r="O386" s="846" t="inlineStr">
        <is>
          <t>CIB</t>
        </is>
      </c>
      <c r="P386" s="847" t="n">
        <v>1</v>
      </c>
      <c r="Q386" s="863" t="n"/>
      <c r="R386" s="847" t="inlineStr">
        <is>
          <t>Permanent - Full Time</t>
        </is>
      </c>
      <c r="S386" s="847" t="n"/>
      <c r="T386" s="847" t="n"/>
      <c r="U386" s="848" t="n">
        <v>152250</v>
      </c>
      <c r="V386" s="849" t="n">
        <v>152250</v>
      </c>
      <c r="W386" s="850" t="n">
        <v>0.12</v>
      </c>
      <c r="X386" s="847" t="n">
        <v>0.055</v>
      </c>
      <c r="Y386" s="850" t="n">
        <v>0.12</v>
      </c>
      <c r="Z386" s="851" t="n"/>
      <c r="AA386" s="850" t="n">
        <v>0.04</v>
      </c>
      <c r="AB386" s="852" t="n">
        <v>203253.75</v>
      </c>
      <c r="AE386" s="534">
        <f>IF(TRIM($B386)="","",IF(AND(N($P386)&gt;0,N($P386)&lt;1),N($AB386)*N($P386),N($AB386)))</f>
        <v>203253.75</v>
      </c>
      <c r="AF386" s="534" t="str">
        <f>IF(TRIM($B386)="","",IF(OR(ISNUMBER(SEARCH("vacant",$B386)),ISNUMBER(SEARCH("ring fenced",$B386)),LOWER(TRIM($B386))="remove"),"Vacant","Filled"))</f>
        <v>Filled</v>
      </c>
      <c r="AG386" s="534" t="b">
        <f>IF(TRIM($B386)="","",--ISNUMBER(SEARCH("ring fenced",$B386)))</f>
        <v>0</v>
      </c>
      <c r="AH386" s="534" t="str">
        <f>IF(TRIM($B386)="","",IF(COUNTIFS(Lists!$AN$2:$AN$22,TRIM($B386)&amp;" | "&amp;TRIM($D386),Lists!$AO$2:$AO$22,"&lt;&gt;"),INDEX(Lists!$AO$2:$AO$22,MATCH(TRIM($B386)&amp;" | "&amp;TRIM($D386),Lists!$AN$2:$AN$22,0)),IF(COUNTIF(Lists!$AR$2:$AR$3,$AJ386),"TDD Cyber",IF(AND(LEFT($AJ386,4)="EGI ",ISNUMBER(MATCH(TRIM(MID($AJ386,5,99)),Lists!$AS$2:$AS$12,0))),TRIM(MID($AJ386,5,99)),IF(AND(LEFT($AJ386,4)="EGI ",ISNUMBER(MATCH(TRIM(MID($AJ386,5,99)),Lists!$T$2:$T$21,0))),INDEX(Lists!$U$2:$U$21,MATCH(TRIM(MID($AJ386,5,99)),Lists!$T$2:$T$21,0)),IF(OR(TRIM($J386)="",UPPER(TRIM($J386))="NA"),IFERROR(INDEX(Lists!$R$2:$R$9,MATCH(TRIM($G386),Lists!$Q$2:$Q$9,0)),"UNMAPPED"),IFERROR(INDEX(Lists!$U$2:$U$21,MATCH(TRIM($J386),Lists!$T$2:$T$21,0)),IFERROR(INDEX(Lists!$R$2:$R$9,MATCH(TRIM($G386),Lists!$Q$2:$Q$9,0)),"UNMAPPED"))))))))</f>
        <v>Energy Solutions &amp; B2B</v>
      </c>
      <c r="AI386" s="534" t="b">
        <f>IF(TRIM($B386)="","",--OR(TRIM($L386)="Leadership",TRIM($K386)="Leadership"))</f>
        <v>0</v>
      </c>
      <c r="AJ386" s="534" t="str">
        <f>IF(TRIM($B386)="","",IF(COUNTIFS(Lists!$AN$2:$AN$22,TRIM($B386)&amp;" | "&amp;TRIM($D386),Lists!$AP$2:$AP$22,"&lt;&gt;"),INDEX(Lists!$AP$2:$AP$22,MATCH(TRIM($B386)&amp;" | "&amp;TRIM($D386),Lists!$AN$2:$AN$22,0)),IF($AI386=1,"Leadership",IFERROR(INDEX(Lists!$X$2:$X$21,MATCH(TRIM($L386),Lists!$W$2:$W$21,0)),IF(OR(TRIM($L386)="",LOWER(TRIM($L386))="na"),IF(TRIM($H386)="","Unassigned",TRIM($H386)),TRIM($L386))))))</f>
        <v>Energy</v>
      </c>
      <c r="AK386" s="534" t="str">
        <f>IF(TRIM($B386)="","",IF(COUNTIFS(Lists!$AN$2:$AN$22,TRIM($B386)&amp;" | "&amp;TRIM($D386),Lists!$AQ$2:$AQ$22,"&lt;&gt;"),INDEX(Lists!$AQ$2:$AQ$22,MATCH(TRIM($B386)&amp;" | "&amp;TRIM($D386),Lists!$AN$2:$AN$22,0)),IF(COUNTIF(Lists!$AF$2:$AF$8,$AJ386),$AJ386,IF(ISNUMBER(SEARCH("head of ",$D386)),"Head of Technology",IF(ISNUMBER(SEARCH("TDD BP",$D386)),"Business Partner",IF(OR(ISNUMBER(SEARCH("domain architect",$D386)),ISNUMBER(SEARCH("enterprise architect",$D386))),"Domain Architect",IF(ISNUMBER(SEARCH("delivery man",$D386)),"Delivery Manager",IF(OR(ISNUMBER(SEARCH("technology manager",$D386)),ISNUMBER(SEARCH("technology manger",$D386)),ISNUMBER(SEARCH("tech manager",$D386))),"Technology Manager","Squad"))))))))</f>
        <v>Squad</v>
      </c>
      <c r="AL386" s="534" t="str">
        <f>IF(TRIM($B386)="","",IF(AND($AM386=1,LEFT($AJ386,4)&lt;&gt;"EGI ",$AJ386&lt;&gt;"EGI"),IFERROR(INDEX(Lists!$Z$2:$Z$20,MATCH($AH386,Lists!$Y$2:$Y$20,0)),"EGI "&amp;$AH386),IF(COUNTIF(Lists!$AU$2:$AU$10,$AJ386),$AJ386,IF(OR(LEFT($AH386,3)="COE",$AH386="EGI"),$AJ386,IF($AK386&lt;&gt;"Squad",$AK386,$AJ386)))))</f>
        <v>Energy</v>
      </c>
      <c r="AM386" s="534" t="b">
        <f>IF(TRIM($B386)="","",--(UPPER(TRIM($K386))="EGI"))</f>
        <v>0</v>
      </c>
      <c r="AQ386" s="841" t="inlineStr">
        <is>
          <t>R0385</t>
        </is>
      </c>
      <c r="AZ386" s="841" t="n"/>
    </row>
    <row r="387" ht="18" customHeight="1" s="535">
      <c r="A387" s="842" t="n">
        <v>107463</v>
      </c>
      <c r="B387" s="843" t="inlineStr">
        <is>
          <t>Deepa Kaur</t>
        </is>
      </c>
      <c r="C387" s="842" t="n">
        <v>107463</v>
      </c>
      <c r="D387" s="843" t="inlineStr">
        <is>
          <t>Senior Engineer Automation Testing</t>
        </is>
      </c>
      <c r="E387" s="843" t="inlineStr">
        <is>
          <t>Vacant</t>
        </is>
      </c>
      <c r="F387" s="843" t="inlineStr">
        <is>
          <t>Technology Manager, Engineering</t>
        </is>
      </c>
      <c r="G387" s="844" t="inlineStr">
        <is>
          <t>TDD CFE&amp;I</t>
        </is>
      </c>
      <c r="H387" s="843" t="inlineStr">
        <is>
          <t>Commercial Fuels</t>
        </is>
      </c>
      <c r="I387" s="843" t="inlineStr">
        <is>
          <t>Technology, CF Engineering</t>
        </is>
      </c>
      <c r="J387" s="843" t="inlineStr">
        <is>
          <t>Commercial Fuels</t>
        </is>
      </c>
      <c r="K387" s="843" t="inlineStr">
        <is>
          <t>CTRM</t>
        </is>
      </c>
      <c r="L387" s="843" t="inlineStr">
        <is>
          <t>CTRM</t>
        </is>
      </c>
      <c r="M387" s="843" t="n"/>
      <c r="N387" s="845" t="inlineStr">
        <is>
          <t>Australia</t>
        </is>
      </c>
      <c r="O387" s="846" t="inlineStr">
        <is>
          <t>CIB</t>
        </is>
      </c>
      <c r="P387" s="847" t="n">
        <v>1</v>
      </c>
      <c r="Q387" s="863" t="n"/>
      <c r="R387" s="847" t="inlineStr">
        <is>
          <t>Permanent - Full Time</t>
        </is>
      </c>
      <c r="S387" s="847" t="n"/>
      <c r="T387" s="847" t="n"/>
      <c r="U387" s="848" t="n">
        <v>145710</v>
      </c>
      <c r="V387" s="849" t="n">
        <v>145710</v>
      </c>
      <c r="W387" s="850" t="n">
        <v>0.12</v>
      </c>
      <c r="X387" s="847" t="n">
        <v>0.055</v>
      </c>
      <c r="Y387" s="850" t="n">
        <v>0.12</v>
      </c>
      <c r="Z387" s="851" t="n"/>
      <c r="AA387" s="850" t="n">
        <v>0.04</v>
      </c>
      <c r="AB387" s="852" t="n">
        <v>194522.85</v>
      </c>
      <c r="AE387" s="534">
        <f>IF(TRIM($B387)="","",IF(AND(N($P387)&gt;0,N($P387)&lt;1),N($AB387)*N($P387),N($AB387)))</f>
        <v>194522.85</v>
      </c>
      <c r="AF387" s="534" t="str">
        <f>IF(TRIM($B387)="","",IF(OR(ISNUMBER(SEARCH("vacant",$B387)),ISNUMBER(SEARCH("ring fenced",$B387)),LOWER(TRIM($B387))="remove"),"Vacant","Filled"))</f>
        <v>Filled</v>
      </c>
      <c r="AG387" s="534" t="b">
        <f>IF(TRIM($B387)="","",--ISNUMBER(SEARCH("ring fenced",$B387)))</f>
        <v>0</v>
      </c>
      <c r="AH387" s="534" t="str">
        <f>IF(TRIM($B387)="","",IF(COUNTIFS(Lists!$AN$2:$AN$22,TRIM($B387)&amp;" | "&amp;TRIM($D387),Lists!$AO$2:$AO$22,"&lt;&gt;"),INDEX(Lists!$AO$2:$AO$22,MATCH(TRIM($B387)&amp;" | "&amp;TRIM($D387),Lists!$AN$2:$AN$22,0)),IF(COUNTIF(Lists!$AR$2:$AR$3,$AJ387),"TDD Cyber",IF(AND(LEFT($AJ387,4)="EGI ",ISNUMBER(MATCH(TRIM(MID($AJ387,5,99)),Lists!$AS$2:$AS$12,0))),TRIM(MID($AJ387,5,99)),IF(AND(LEFT($AJ387,4)="EGI ",ISNUMBER(MATCH(TRIM(MID($AJ387,5,99)),Lists!$T$2:$T$21,0))),INDEX(Lists!$U$2:$U$21,MATCH(TRIM(MID($AJ387,5,99)),Lists!$T$2:$T$21,0)),IF(OR(TRIM($J387)="",UPPER(TRIM($J387))="NA"),IFERROR(INDEX(Lists!$R$2:$R$9,MATCH(TRIM($G387),Lists!$Q$2:$Q$9,0)),"UNMAPPED"),IFERROR(INDEX(Lists!$U$2:$U$21,MATCH(TRIM($J387),Lists!$T$2:$T$21,0)),IFERROR(INDEX(Lists!$R$2:$R$9,MATCH(TRIM($G387),Lists!$Q$2:$Q$9,0)),"UNMAPPED"))))))))</f>
        <v>Commercial Fuels</v>
      </c>
      <c r="AI387" s="534" t="b">
        <f>IF(TRIM($B387)="","",--OR(TRIM($L387)="Leadership",TRIM($K387)="Leadership"))</f>
        <v>0</v>
      </c>
      <c r="AJ387" s="534" t="str">
        <f>IF(TRIM($B387)="","",IF(COUNTIFS(Lists!$AN$2:$AN$22,TRIM($B387)&amp;" | "&amp;TRIM($D387),Lists!$AP$2:$AP$22,"&lt;&gt;"),INDEX(Lists!$AP$2:$AP$22,MATCH(TRIM($B387)&amp;" | "&amp;TRIM($D387),Lists!$AN$2:$AN$22,0)),IF($AI387=1,"Leadership",IFERROR(INDEX(Lists!$X$2:$X$21,MATCH(TRIM($L387),Lists!$W$2:$W$21,0)),IF(OR(TRIM($L387)="",LOWER(TRIM($L387))="na"),IF(TRIM($H387)="","Unassigned",TRIM($H387)),TRIM($L387))))))</f>
        <v>CTRM</v>
      </c>
      <c r="AK387" s="534" t="str">
        <f>IF(TRIM($B387)="","",IF(COUNTIFS(Lists!$AN$2:$AN$22,TRIM($B387)&amp;" | "&amp;TRIM($D387),Lists!$AQ$2:$AQ$22,"&lt;&gt;"),INDEX(Lists!$AQ$2:$AQ$22,MATCH(TRIM($B387)&amp;" | "&amp;TRIM($D387),Lists!$AN$2:$AN$22,0)),IF(COUNTIF(Lists!$AF$2:$AF$8,$AJ387),$AJ387,IF(ISNUMBER(SEARCH("head of ",$D387)),"Head of Technology",IF(ISNUMBER(SEARCH("TDD BP",$D387)),"Business Partner",IF(OR(ISNUMBER(SEARCH("domain architect",$D387)),ISNUMBER(SEARCH("enterprise architect",$D387))),"Domain Architect",IF(ISNUMBER(SEARCH("delivery man",$D387)),"Delivery Manager",IF(OR(ISNUMBER(SEARCH("technology manager",$D387)),ISNUMBER(SEARCH("technology manger",$D387)),ISNUMBER(SEARCH("tech manager",$D387))),"Technology Manager","Squad"))))))))</f>
        <v>Squad</v>
      </c>
      <c r="AL387" s="534" t="str">
        <f>IF(TRIM($B387)="","",IF(AND($AM387=1,LEFT($AJ387,4)&lt;&gt;"EGI ",$AJ387&lt;&gt;"EGI"),IFERROR(INDEX(Lists!$Z$2:$Z$20,MATCH($AH387,Lists!$Y$2:$Y$20,0)),"EGI "&amp;$AH387),IF(COUNTIF(Lists!$AU$2:$AU$10,$AJ387),$AJ387,IF(OR(LEFT($AH387,3)="COE",$AH387="EGI"),$AJ387,IF($AK387&lt;&gt;"Squad",$AK387,$AJ387)))))</f>
        <v>CTRM</v>
      </c>
      <c r="AM387" s="534" t="b">
        <f>IF(TRIM($B387)="","",--(UPPER(TRIM($K387))="EGI"))</f>
        <v>0</v>
      </c>
      <c r="AQ387" s="841" t="inlineStr">
        <is>
          <t>R0386</t>
        </is>
      </c>
      <c r="AZ387" s="841" t="n"/>
    </row>
    <row r="388" ht="18" customHeight="1" s="535">
      <c r="A388" s="842" t="inlineStr">
        <is>
          <t>V</t>
        </is>
      </c>
      <c r="B388" s="843" t="inlineStr">
        <is>
          <t xml:space="preserve">Vacant </t>
        </is>
      </c>
      <c r="C388" s="842" t="inlineStr">
        <is>
          <t>V</t>
        </is>
      </c>
      <c r="D388" s="843" t="inlineStr">
        <is>
          <t>Engineer Software</t>
        </is>
      </c>
      <c r="E388" s="843" t="inlineStr">
        <is>
          <t>Vacant</t>
        </is>
      </c>
      <c r="F388" s="843" t="inlineStr">
        <is>
          <t>Technology Manager, Engineering</t>
        </is>
      </c>
      <c r="G388" s="844" t="inlineStr">
        <is>
          <t>TDD CFE&amp;I</t>
        </is>
      </c>
      <c r="H388" s="843" t="inlineStr">
        <is>
          <t>Commercial Fuels</t>
        </is>
      </c>
      <c r="I388" s="843" t="inlineStr">
        <is>
          <t>Technology, CF Engineering</t>
        </is>
      </c>
      <c r="J388" s="843" t="inlineStr">
        <is>
          <t>Commercial Fuels</t>
        </is>
      </c>
      <c r="K388" s="843" t="inlineStr">
        <is>
          <t>Supply</t>
        </is>
      </c>
      <c r="L388" s="843" t="inlineStr">
        <is>
          <t>Supply</t>
        </is>
      </c>
      <c r="M388" s="843" t="n"/>
      <c r="N388" s="845" t="inlineStr">
        <is>
          <t>Australia</t>
        </is>
      </c>
      <c r="O388" s="846" t="inlineStr">
        <is>
          <t>CIB</t>
        </is>
      </c>
      <c r="P388" s="847" t="n">
        <v>1</v>
      </c>
      <c r="Q388" s="864" t="n"/>
      <c r="R388" s="847" t="inlineStr">
        <is>
          <t>V</t>
        </is>
      </c>
      <c r="S388" s="847" t="n"/>
      <c r="T388" s="847" t="n"/>
      <c r="U388" s="848" t="n">
        <v>151950</v>
      </c>
      <c r="V388" s="849" t="n">
        <v>151950</v>
      </c>
      <c r="W388" s="850" t="n">
        <v>0.12</v>
      </c>
      <c r="X388" s="847" t="n">
        <v>0.055</v>
      </c>
      <c r="Y388" s="850" t="n">
        <v>0.12</v>
      </c>
      <c r="Z388" s="851" t="n"/>
      <c r="AA388" s="850" t="n">
        <v>0.04</v>
      </c>
      <c r="AB388" s="852" t="n">
        <v>202853.25</v>
      </c>
      <c r="AE388" s="534">
        <f>IF(TRIM($B388)="","",IF(AND(N($P388)&gt;0,N($P388)&lt;1),N($AB388)*N($P388),N($AB388)))</f>
        <v>202853.25</v>
      </c>
      <c r="AF388" s="534" t="str">
        <f>IF(TRIM($B388)="","",IF(OR(ISNUMBER(SEARCH("vacant",$B388)),ISNUMBER(SEARCH("ring fenced",$B388)),LOWER(TRIM($B388))="remove"),"Vacant","Filled"))</f>
        <v>Vacant</v>
      </c>
      <c r="AG388" s="534" t="b">
        <f>IF(TRIM($B388)="","",--ISNUMBER(SEARCH("ring fenced",$B388)))</f>
        <v>0</v>
      </c>
      <c r="AH388" s="534" t="str">
        <f>IF(TRIM($B388)="","",IF(COUNTIFS(Lists!$AN$2:$AN$22,TRIM($B388)&amp;" | "&amp;TRIM($D388),Lists!$AO$2:$AO$22,"&lt;&gt;"),INDEX(Lists!$AO$2:$AO$22,MATCH(TRIM($B388)&amp;" | "&amp;TRIM($D388),Lists!$AN$2:$AN$22,0)),IF(COUNTIF(Lists!$AR$2:$AR$3,$AJ388),"TDD Cyber",IF(AND(LEFT($AJ388,4)="EGI ",ISNUMBER(MATCH(TRIM(MID($AJ388,5,99)),Lists!$AS$2:$AS$12,0))),TRIM(MID($AJ388,5,99)),IF(AND(LEFT($AJ388,4)="EGI ",ISNUMBER(MATCH(TRIM(MID($AJ388,5,99)),Lists!$T$2:$T$21,0))),INDEX(Lists!$U$2:$U$21,MATCH(TRIM(MID($AJ388,5,99)),Lists!$T$2:$T$21,0)),IF(OR(TRIM($J388)="",UPPER(TRIM($J388))="NA"),IFERROR(INDEX(Lists!$R$2:$R$9,MATCH(TRIM($G388),Lists!$Q$2:$Q$9,0)),"UNMAPPED"),IFERROR(INDEX(Lists!$U$2:$U$21,MATCH(TRIM($J388),Lists!$T$2:$T$21,0)),IFERROR(INDEX(Lists!$R$2:$R$9,MATCH(TRIM($G388),Lists!$Q$2:$Q$9,0)),"UNMAPPED"))))))))</f>
        <v>Commercial Fuels</v>
      </c>
      <c r="AI388" s="534" t="b">
        <f>IF(TRIM($B388)="","",--OR(TRIM($L388)="Leadership",TRIM($K388)="Leadership"))</f>
        <v>0</v>
      </c>
      <c r="AJ388" s="534" t="str">
        <f>IF(TRIM($B388)="","",IF(COUNTIFS(Lists!$AN$2:$AN$22,TRIM($B388)&amp;" | "&amp;TRIM($D388),Lists!$AP$2:$AP$22,"&lt;&gt;"),INDEX(Lists!$AP$2:$AP$22,MATCH(TRIM($B388)&amp;" | "&amp;TRIM($D388),Lists!$AN$2:$AN$22,0)),IF($AI388=1,"Leadership",IFERROR(INDEX(Lists!$X$2:$X$21,MATCH(TRIM($L388),Lists!$W$2:$W$21,0)),IF(OR(TRIM($L388)="",LOWER(TRIM($L388))="na"),IF(TRIM($H388)="","Unassigned",TRIM($H388)),TRIM($L388))))))</f>
        <v>Supply</v>
      </c>
      <c r="AK388" s="534" t="str">
        <f>IF(TRIM($B388)="","",IF(COUNTIFS(Lists!$AN$2:$AN$22,TRIM($B388)&amp;" | "&amp;TRIM($D388),Lists!$AQ$2:$AQ$22,"&lt;&gt;"),INDEX(Lists!$AQ$2:$AQ$22,MATCH(TRIM($B388)&amp;" | "&amp;TRIM($D388),Lists!$AN$2:$AN$22,0)),IF(COUNTIF(Lists!$AF$2:$AF$8,$AJ388),$AJ388,IF(ISNUMBER(SEARCH("head of ",$D388)),"Head of Technology",IF(ISNUMBER(SEARCH("TDD BP",$D388)),"Business Partner",IF(OR(ISNUMBER(SEARCH("domain architect",$D388)),ISNUMBER(SEARCH("enterprise architect",$D388))),"Domain Architect",IF(ISNUMBER(SEARCH("delivery man",$D388)),"Delivery Manager",IF(OR(ISNUMBER(SEARCH("technology manager",$D388)),ISNUMBER(SEARCH("technology manger",$D388)),ISNUMBER(SEARCH("tech manager",$D388))),"Technology Manager","Squad"))))))))</f>
        <v>Squad</v>
      </c>
      <c r="AL388" s="534" t="str">
        <f>IF(TRIM($B388)="","",IF(AND($AM388=1,LEFT($AJ388,4)&lt;&gt;"EGI ",$AJ388&lt;&gt;"EGI"),IFERROR(INDEX(Lists!$Z$2:$Z$20,MATCH($AH388,Lists!$Y$2:$Y$20,0)),"EGI "&amp;$AH388),IF(COUNTIF(Lists!$AU$2:$AU$10,$AJ388),$AJ388,IF(OR(LEFT($AH388,3)="COE",$AH388="EGI"),$AJ388,IF($AK388&lt;&gt;"Squad",$AK388,$AJ388)))))</f>
        <v>Supply</v>
      </c>
      <c r="AM388" s="534" t="b">
        <f>IF(TRIM($B388)="","",--(UPPER(TRIM($K388))="EGI"))</f>
        <v>0</v>
      </c>
      <c r="AN388" s="534" t="inlineStr">
        <is>
          <t>Vacant</t>
        </is>
      </c>
      <c r="AQ388" s="841" t="inlineStr">
        <is>
          <t>R0387</t>
        </is>
      </c>
      <c r="AZ388" s="841" t="n"/>
    </row>
    <row r="389" ht="18" customHeight="1" s="535">
      <c r="A389" s="842" t="inlineStr">
        <is>
          <t>V</t>
        </is>
      </c>
      <c r="B389" s="843" t="inlineStr">
        <is>
          <t>Vacant</t>
        </is>
      </c>
      <c r="C389" s="842" t="inlineStr">
        <is>
          <t>V</t>
        </is>
      </c>
      <c r="D389" s="843" t="inlineStr">
        <is>
          <t>Reporting Analyst</t>
        </is>
      </c>
      <c r="E389" s="843" t="inlineStr">
        <is>
          <t>Vacant</t>
        </is>
      </c>
      <c r="F389" s="843" t="inlineStr">
        <is>
          <t>Technology Manger, Data</t>
        </is>
      </c>
      <c r="G389" s="844" t="inlineStr">
        <is>
          <t>TDD CFE&amp;I</t>
        </is>
      </c>
      <c r="H389" s="843" t="inlineStr">
        <is>
          <t>Fuel Infrastructure</t>
        </is>
      </c>
      <c r="I389" s="843" t="inlineStr">
        <is>
          <t>Fuel Infrastructure, Data</t>
        </is>
      </c>
      <c r="J389" s="843" t="inlineStr">
        <is>
          <t>Infrastructure</t>
        </is>
      </c>
      <c r="K389" s="843" t="inlineStr">
        <is>
          <t xml:space="preserve">Data &amp; Insights </t>
        </is>
      </c>
      <c r="L389" s="843" t="inlineStr">
        <is>
          <t xml:space="preserve">Data &amp; Insights </t>
        </is>
      </c>
      <c r="M389" s="843" t="n"/>
      <c r="N389" s="845" t="inlineStr">
        <is>
          <t>Australia</t>
        </is>
      </c>
      <c r="O389" s="846" t="inlineStr">
        <is>
          <t>CIB</t>
        </is>
      </c>
      <c r="P389" s="847" t="n">
        <v>1</v>
      </c>
      <c r="Q389" s="864" t="n"/>
      <c r="R389" s="847" t="inlineStr">
        <is>
          <t>v</t>
        </is>
      </c>
      <c r="S389" s="847" t="n"/>
      <c r="T389" s="847" t="n"/>
      <c r="U389" s="848" t="n">
        <v>151950</v>
      </c>
      <c r="V389" s="849" t="n">
        <v>151950</v>
      </c>
      <c r="W389" s="850" t="n">
        <v>0.12</v>
      </c>
      <c r="X389" s="847" t="n">
        <v>0.055</v>
      </c>
      <c r="Y389" s="850" t="n">
        <v>0.12</v>
      </c>
      <c r="Z389" s="851" t="n"/>
      <c r="AA389" s="850" t="n">
        <v>0.04</v>
      </c>
      <c r="AB389" s="852" t="n">
        <v>202853.25</v>
      </c>
      <c r="AE389" s="534">
        <f>IF(TRIM($B389)="","",IF(AND(N($P389)&gt;0,N($P389)&lt;1),N($AB389)*N($P389),N($AB389)))</f>
        <v>202853.25</v>
      </c>
      <c r="AF389" s="534" t="str">
        <f>IF(TRIM($B389)="","",IF(OR(ISNUMBER(SEARCH("vacant",$B389)),ISNUMBER(SEARCH("ring fenced",$B389)),LOWER(TRIM($B389))="remove"),"Vacant","Filled"))</f>
        <v>Vacant</v>
      </c>
      <c r="AG389" s="534" t="b">
        <f>IF(TRIM($B389)="","",--ISNUMBER(SEARCH("ring fenced",$B389)))</f>
        <v>0</v>
      </c>
      <c r="AH389" s="534" t="str">
        <f>IF(TRIM($B389)="","",IF(COUNTIFS(Lists!$AN$2:$AN$22,TRIM($B389)&amp;" | "&amp;TRIM($D389),Lists!$AO$2:$AO$22,"&lt;&gt;"),INDEX(Lists!$AO$2:$AO$22,MATCH(TRIM($B389)&amp;" | "&amp;TRIM($D389),Lists!$AN$2:$AN$22,0)),IF(COUNTIF(Lists!$AR$2:$AR$3,$AJ389),"TDD Cyber",IF(AND(LEFT($AJ389,4)="EGI ",ISNUMBER(MATCH(TRIM(MID($AJ389,5,99)),Lists!$AS$2:$AS$12,0))),TRIM(MID($AJ389,5,99)),IF(AND(LEFT($AJ389,4)="EGI ",ISNUMBER(MATCH(TRIM(MID($AJ389,5,99)),Lists!$T$2:$T$21,0))),INDEX(Lists!$U$2:$U$21,MATCH(TRIM(MID($AJ389,5,99)),Lists!$T$2:$T$21,0)),IF(OR(TRIM($J389)="",UPPER(TRIM($J389))="NA"),IFERROR(INDEX(Lists!$R$2:$R$9,MATCH(TRIM($G389),Lists!$Q$2:$Q$9,0)),"UNMAPPED"),IFERROR(INDEX(Lists!$U$2:$U$21,MATCH(TRIM($J389),Lists!$T$2:$T$21,0)),IFERROR(INDEX(Lists!$R$2:$R$9,MATCH(TRIM($G389),Lists!$Q$2:$Q$9,0)),"UNMAPPED"))))))))</f>
        <v>Infrastructure</v>
      </c>
      <c r="AI389" s="534" t="b">
        <f>IF(TRIM($B389)="","",--OR(TRIM($L389)="Leadership",TRIM($K389)="Leadership"))</f>
        <v>0</v>
      </c>
      <c r="AJ389" s="534" t="str">
        <f>IF(TRIM($B389)="","",IF(COUNTIFS(Lists!$AN$2:$AN$22,TRIM($B389)&amp;" | "&amp;TRIM($D389),Lists!$AP$2:$AP$22,"&lt;&gt;"),INDEX(Lists!$AP$2:$AP$22,MATCH(TRIM($B389)&amp;" | "&amp;TRIM($D389),Lists!$AN$2:$AN$22,0)),IF($AI389=1,"Leadership",IFERROR(INDEX(Lists!$X$2:$X$21,MATCH(TRIM($L389),Lists!$W$2:$W$21,0)),IF(OR(TRIM($L389)="",LOWER(TRIM($L389))="na"),IF(TRIM($H389)="","Unassigned",TRIM($H389)),TRIM($L389))))))</f>
        <v>Data &amp; Insights</v>
      </c>
      <c r="AK389" s="534" t="str">
        <f>IF(TRIM($B389)="","",IF(COUNTIFS(Lists!$AN$2:$AN$22,TRIM($B389)&amp;" | "&amp;TRIM($D389),Lists!$AQ$2:$AQ$22,"&lt;&gt;"),INDEX(Lists!$AQ$2:$AQ$22,MATCH(TRIM($B389)&amp;" | "&amp;TRIM($D389),Lists!$AN$2:$AN$22,0)),IF(COUNTIF(Lists!$AF$2:$AF$8,$AJ389),$AJ389,IF(ISNUMBER(SEARCH("head of ",$D389)),"Head of Technology",IF(ISNUMBER(SEARCH("TDD BP",$D389)),"Business Partner",IF(OR(ISNUMBER(SEARCH("domain architect",$D389)),ISNUMBER(SEARCH("enterprise architect",$D389))),"Domain Architect",IF(ISNUMBER(SEARCH("delivery man",$D389)),"Delivery Manager",IF(OR(ISNUMBER(SEARCH("technology manager",$D389)),ISNUMBER(SEARCH("technology manger",$D389)),ISNUMBER(SEARCH("tech manager",$D389))),"Technology Manager","Squad"))))))))</f>
        <v>Squad</v>
      </c>
      <c r="AL389" s="534" t="str">
        <f>IF(TRIM($B389)="","",IF(AND($AM389=1,LEFT($AJ389,4)&lt;&gt;"EGI ",$AJ389&lt;&gt;"EGI"),IFERROR(INDEX(Lists!$Z$2:$Z$20,MATCH($AH389,Lists!$Y$2:$Y$20,0)),"EGI "&amp;$AH389),IF(COUNTIF(Lists!$AU$2:$AU$10,$AJ389),$AJ389,IF(OR(LEFT($AH389,3)="COE",$AH389="EGI"),$AJ389,IF($AK389&lt;&gt;"Squad",$AK389,$AJ389)))))</f>
        <v>Data &amp; Insights</v>
      </c>
      <c r="AM389" s="534" t="b">
        <f>IF(TRIM($B389)="","",--(UPPER(TRIM($K389))="EGI"))</f>
        <v>0</v>
      </c>
      <c r="AQ389" s="841" t="inlineStr">
        <is>
          <t>R0388</t>
        </is>
      </c>
      <c r="AZ389" s="841" t="n"/>
    </row>
    <row r="390" ht="18" customHeight="1" s="535">
      <c r="A390" s="842" t="n">
        <v>85321</v>
      </c>
      <c r="B390" s="843" t="inlineStr">
        <is>
          <t>Karthikeyan Kuppan</t>
        </is>
      </c>
      <c r="C390" s="842" t="n">
        <v>85321</v>
      </c>
      <c r="D390" s="843" t="inlineStr">
        <is>
          <t>Lead - AU Retail Operations</t>
        </is>
      </c>
      <c r="E390" s="843" t="inlineStr">
        <is>
          <t>Vaishnavi Viswanathan</t>
        </is>
      </c>
      <c r="F390" s="843" t="inlineStr">
        <is>
          <t>Technology Manager, Store Platform</t>
        </is>
      </c>
      <c r="G390" s="844" t="inlineStr">
        <is>
          <t>Ampol Retail &amp; Z</t>
        </is>
      </c>
      <c r="H390" s="843" t="inlineStr">
        <is>
          <t>Ampol Retail</t>
        </is>
      </c>
      <c r="I390" s="843" t="inlineStr">
        <is>
          <t>Ampol Retail, Store Platforms</t>
        </is>
      </c>
      <c r="J390" s="843" t="inlineStr">
        <is>
          <t>Retail</t>
        </is>
      </c>
      <c r="K390" s="843" t="inlineStr">
        <is>
          <t>Store Operations</t>
        </is>
      </c>
      <c r="L390" s="843" t="inlineStr">
        <is>
          <t>Store Operations</t>
        </is>
      </c>
      <c r="M390" s="843" t="n"/>
      <c r="N390" s="845" t="inlineStr">
        <is>
          <t>Australia</t>
        </is>
      </c>
      <c r="O390" s="846" t="inlineStr">
        <is>
          <t>CIB</t>
        </is>
      </c>
      <c r="P390" s="847" t="n">
        <v>1</v>
      </c>
      <c r="Q390" s="863" t="n"/>
      <c r="R390" s="847" t="inlineStr">
        <is>
          <t>Permanent - Full Time</t>
        </is>
      </c>
      <c r="S390" s="847" t="n"/>
      <c r="T390" s="847" t="n"/>
      <c r="U390" s="848" t="n">
        <v>212110</v>
      </c>
      <c r="V390" s="849" t="n">
        <v>195141.2</v>
      </c>
      <c r="W390" s="850" t="n">
        <v>0.15</v>
      </c>
      <c r="X390" s="847" t="n"/>
      <c r="Y390" s="850" t="n">
        <v>0.05</v>
      </c>
      <c r="Z390" s="851" t="n">
        <v>2910</v>
      </c>
      <c r="AA390" s="850" t="n">
        <v>0.03</v>
      </c>
      <c r="AB390" s="852" t="n">
        <v>242933.676</v>
      </c>
      <c r="AE390" s="534">
        <f>IF(TRIM($B390)="","",IF(AND(N($P390)&gt;0,N($P390)&lt;1),N($AB390)*N($P390),N($AB390)))</f>
        <v>242933.676</v>
      </c>
      <c r="AF390" s="534" t="str">
        <f>IF(TRIM($B390)="","",IF(OR(ISNUMBER(SEARCH("vacant",$B390)),ISNUMBER(SEARCH("ring fenced",$B390)),LOWER(TRIM($B390))="remove"),"Vacant","Filled"))</f>
        <v>Filled</v>
      </c>
      <c r="AG390" s="534" t="b">
        <f>IF(TRIM($B390)="","",--ISNUMBER(SEARCH("ring fenced",$B390)))</f>
        <v>0</v>
      </c>
      <c r="AH390" s="534" t="str">
        <f>IF(TRIM($B390)="","",IF(COUNTIFS(Lists!$AN$2:$AN$22,TRIM($B390)&amp;" | "&amp;TRIM($D390),Lists!$AO$2:$AO$22,"&lt;&gt;"),INDEX(Lists!$AO$2:$AO$22,MATCH(TRIM($B390)&amp;" | "&amp;TRIM($D390),Lists!$AN$2:$AN$22,0)),IF(COUNTIF(Lists!$AR$2:$AR$3,$AJ390),"TDD Cyber",IF(AND(LEFT($AJ390,4)="EGI ",ISNUMBER(MATCH(TRIM(MID($AJ390,5,99)),Lists!$AS$2:$AS$12,0))),TRIM(MID($AJ390,5,99)),IF(AND(LEFT($AJ390,4)="EGI ",ISNUMBER(MATCH(TRIM(MID($AJ390,5,99)),Lists!$T$2:$T$21,0))),INDEX(Lists!$U$2:$U$21,MATCH(TRIM(MID($AJ390,5,99)),Lists!$T$2:$T$21,0)),IF(OR(TRIM($J390)="",UPPER(TRIM($J390))="NA"),IFERROR(INDEX(Lists!$R$2:$R$9,MATCH(TRIM($G390),Lists!$Q$2:$Q$9,0)),"UNMAPPED"),IFERROR(INDEX(Lists!$U$2:$U$21,MATCH(TRIM($J390),Lists!$T$2:$T$21,0)),IFERROR(INDEX(Lists!$R$2:$R$9,MATCH(TRIM($G390),Lists!$Q$2:$Q$9,0)),"UNMAPPED"))))))))</f>
        <v>Ampol Retail</v>
      </c>
      <c r="AI390" s="534" t="b">
        <f>IF(TRIM($B390)="","",--OR(TRIM($L390)="Leadership",TRIM($K390)="Leadership"))</f>
        <v>0</v>
      </c>
      <c r="AJ390" s="534" t="str">
        <f>IF(TRIM($B390)="","",IF(COUNTIFS(Lists!$AN$2:$AN$22,TRIM($B390)&amp;" | "&amp;TRIM($D390),Lists!$AP$2:$AP$22,"&lt;&gt;"),INDEX(Lists!$AP$2:$AP$22,MATCH(TRIM($B390)&amp;" | "&amp;TRIM($D390),Lists!$AN$2:$AN$22,0)),IF($AI390=1,"Leadership",IFERROR(INDEX(Lists!$X$2:$X$21,MATCH(TRIM($L390),Lists!$W$2:$W$21,0)),IF(OR(TRIM($L390)="",LOWER(TRIM($L390))="na"),IF(TRIM($H390)="","Unassigned",TRIM($H390)),TRIM($L390))))))</f>
        <v>Store Operations</v>
      </c>
      <c r="AK390" s="534" t="str">
        <f>IF(TRIM($B390)="","",IF(COUNTIFS(Lists!$AN$2:$AN$22,TRIM($B390)&amp;" | "&amp;TRIM($D390),Lists!$AQ$2:$AQ$22,"&lt;&gt;"),INDEX(Lists!$AQ$2:$AQ$22,MATCH(TRIM($B390)&amp;" | "&amp;TRIM($D390),Lists!$AN$2:$AN$22,0)),IF(COUNTIF(Lists!$AF$2:$AF$8,$AJ390),$AJ390,IF(ISNUMBER(SEARCH("head of ",$D390)),"Head of Technology",IF(ISNUMBER(SEARCH("TDD BP",$D390)),"Business Partner",IF(OR(ISNUMBER(SEARCH("domain architect",$D390)),ISNUMBER(SEARCH("enterprise architect",$D390))),"Domain Architect",IF(ISNUMBER(SEARCH("delivery man",$D390)),"Delivery Manager",IF(OR(ISNUMBER(SEARCH("technology manager",$D390)),ISNUMBER(SEARCH("technology manger",$D390)),ISNUMBER(SEARCH("tech manager",$D390))),"Technology Manager","Squad"))))))))</f>
        <v>Squad</v>
      </c>
      <c r="AL390" s="534" t="str">
        <f>IF(TRIM($B390)="","",IF(AND($AM390=1,LEFT($AJ390,4)&lt;&gt;"EGI ",$AJ390&lt;&gt;"EGI"),IFERROR(INDEX(Lists!$Z$2:$Z$20,MATCH($AH390,Lists!$Y$2:$Y$20,0)),"EGI "&amp;$AH390),IF(COUNTIF(Lists!$AU$2:$AU$10,$AJ390),$AJ390,IF(OR(LEFT($AH390,3)="COE",$AH390="EGI"),$AJ390,IF($AK390&lt;&gt;"Squad",$AK390,$AJ390)))))</f>
        <v>Store Operations</v>
      </c>
      <c r="AM390" s="534" t="b">
        <f>IF(TRIM($B390)="","",--(UPPER(TRIM($K390))="EGI"))</f>
        <v>0</v>
      </c>
      <c r="AQ390" s="841" t="inlineStr">
        <is>
          <t>R0389</t>
        </is>
      </c>
      <c r="AZ390" s="841" t="n"/>
    </row>
    <row r="391" ht="18" customHeight="1" s="535">
      <c r="A391" s="842" t="n">
        <v>85137</v>
      </c>
      <c r="B391" s="843" t="inlineStr">
        <is>
          <t>Mick Standen</t>
        </is>
      </c>
      <c r="C391" s="842" t="n">
        <v>85137</v>
      </c>
      <c r="D391" s="843" t="inlineStr">
        <is>
          <t>Systems Analyst</t>
        </is>
      </c>
      <c r="E391" s="843" t="inlineStr">
        <is>
          <t>Vaishnavi Viswanathan</t>
        </is>
      </c>
      <c r="F391" s="843" t="inlineStr">
        <is>
          <t>Technology Manager, Store Platform</t>
        </is>
      </c>
      <c r="G391" s="844" t="inlineStr">
        <is>
          <t>Ampol Retail &amp; Z</t>
        </is>
      </c>
      <c r="H391" s="843" t="inlineStr">
        <is>
          <t>Ampol Retail</t>
        </is>
      </c>
      <c r="I391" s="843" t="inlineStr">
        <is>
          <t>Ampol Retail, Store Platforms</t>
        </is>
      </c>
      <c r="J391" s="843" t="inlineStr">
        <is>
          <t>Retail</t>
        </is>
      </c>
      <c r="K391" s="843" t="inlineStr">
        <is>
          <t>AMPOS</t>
        </is>
      </c>
      <c r="L391" s="843" t="inlineStr">
        <is>
          <t>AmPos</t>
        </is>
      </c>
      <c r="M391" s="843" t="n"/>
      <c r="N391" s="845" t="inlineStr">
        <is>
          <t>Australia</t>
        </is>
      </c>
      <c r="O391" s="846" t="inlineStr">
        <is>
          <t>CIB</t>
        </is>
      </c>
      <c r="P391" s="847" t="n">
        <v>1</v>
      </c>
      <c r="Q391" s="846" t="n"/>
      <c r="R391" s="847" t="inlineStr">
        <is>
          <t>Permanent - Full Time</t>
        </is>
      </c>
      <c r="S391" s="847" t="n"/>
      <c r="T391" s="847" t="n"/>
      <c r="U391" s="848" t="n">
        <v>196740</v>
      </c>
      <c r="V391" s="849" t="n">
        <v>196740</v>
      </c>
      <c r="W391" s="850" t="n">
        <v>0.12</v>
      </c>
      <c r="X391" s="847" t="n">
        <v>0.055</v>
      </c>
      <c r="Y391" s="850" t="n">
        <v>0.12</v>
      </c>
      <c r="Z391" s="851" t="n"/>
      <c r="AA391" s="850" t="n">
        <v>0.04</v>
      </c>
      <c r="AB391" s="852" t="n">
        <v>262647.9</v>
      </c>
      <c r="AD391" s="866" t="n"/>
      <c r="AE391" s="866">
        <f>IF(TRIM($B391)="","",IF(AND(N($P391)&gt;0,N($P391)&lt;1),N($AB391)*N($P391),N($AB391)))</f>
        <v>262647.9</v>
      </c>
      <c r="AF391" s="866" t="str">
        <f>IF(TRIM($B391)="","",IF(OR(ISNUMBER(SEARCH("vacant",$B391)),ISNUMBER(SEARCH("ring fenced",$B391)),LOWER(TRIM($B391))="remove"),"Vacant","Filled"))</f>
        <v>Filled</v>
      </c>
      <c r="AG391" s="866" t="b">
        <f>IF(TRIM($B391)="","",--ISNUMBER(SEARCH("ring fenced",$B391)))</f>
        <v>0</v>
      </c>
      <c r="AH391" s="534" t="str">
        <f>IF(TRIM($B391)="","",IF(COUNTIFS(Lists!$AN$2:$AN$22,TRIM($B391)&amp;" | "&amp;TRIM($D391),Lists!$AO$2:$AO$22,"&lt;&gt;"),INDEX(Lists!$AO$2:$AO$22,MATCH(TRIM($B391)&amp;" | "&amp;TRIM($D391),Lists!$AN$2:$AN$22,0)),IF(COUNTIF(Lists!$AR$2:$AR$3,$AJ391),"TDD Cyber",IF(AND(LEFT($AJ391,4)="EGI ",ISNUMBER(MATCH(TRIM(MID($AJ391,5,99)),Lists!$AS$2:$AS$12,0))),TRIM(MID($AJ391,5,99)),IF(AND(LEFT($AJ391,4)="EGI ",ISNUMBER(MATCH(TRIM(MID($AJ391,5,99)),Lists!$T$2:$T$21,0))),INDEX(Lists!$U$2:$U$21,MATCH(TRIM(MID($AJ391,5,99)),Lists!$T$2:$T$21,0)),IF(OR(TRIM($J391)="",UPPER(TRIM($J391))="NA"),IFERROR(INDEX(Lists!$R$2:$R$9,MATCH(TRIM($G391),Lists!$Q$2:$Q$9,0)),"UNMAPPED"),IFERROR(INDEX(Lists!$U$2:$U$21,MATCH(TRIM($J391),Lists!$T$2:$T$21,0)),IFERROR(INDEX(Lists!$R$2:$R$9,MATCH(TRIM($G391),Lists!$Q$2:$Q$9,0)),"UNMAPPED"))))))))</f>
        <v>Ampol Retail</v>
      </c>
      <c r="AI391" s="534" t="b">
        <f>IF(TRIM($B391)="","",--OR(TRIM($L391)="Leadership",TRIM($K391)="Leadership"))</f>
        <v>0</v>
      </c>
      <c r="AJ391" s="534" t="str">
        <f>IF(TRIM($B391)="","",IF(COUNTIFS(Lists!$AN$2:$AN$22,TRIM($B391)&amp;" | "&amp;TRIM($D391),Lists!$AP$2:$AP$22,"&lt;&gt;"),INDEX(Lists!$AP$2:$AP$22,MATCH(TRIM($B391)&amp;" | "&amp;TRIM($D391),Lists!$AN$2:$AN$22,0)),IF($AI391=1,"Leadership",IFERROR(INDEX(Lists!$X$2:$X$21,MATCH(TRIM($L391),Lists!$W$2:$W$21,0)),IF(OR(TRIM($L391)="",LOWER(TRIM($L391))="na"),IF(TRIM($H391)="","Unassigned",TRIM($H391)),TRIM($L391))))))</f>
        <v>AmPOS</v>
      </c>
      <c r="AK391" s="534" t="str">
        <f>IF(TRIM($B391)="","",IF(COUNTIFS(Lists!$AN$2:$AN$22,TRIM($B391)&amp;" | "&amp;TRIM($D391),Lists!$AQ$2:$AQ$22,"&lt;&gt;"),INDEX(Lists!$AQ$2:$AQ$22,MATCH(TRIM($B391)&amp;" | "&amp;TRIM($D391),Lists!$AN$2:$AN$22,0)),IF(COUNTIF(Lists!$AF$2:$AF$8,$AJ391),$AJ391,IF(ISNUMBER(SEARCH("head of ",$D391)),"Head of Technology",IF(ISNUMBER(SEARCH("TDD BP",$D391)),"Business Partner",IF(OR(ISNUMBER(SEARCH("domain architect",$D391)),ISNUMBER(SEARCH("enterprise architect",$D391))),"Domain Architect",IF(ISNUMBER(SEARCH("delivery man",$D391)),"Delivery Manager",IF(OR(ISNUMBER(SEARCH("technology manager",$D391)),ISNUMBER(SEARCH("technology manger",$D391)),ISNUMBER(SEARCH("tech manager",$D391))),"Technology Manager","Squad"))))))))</f>
        <v>Squad</v>
      </c>
      <c r="AL391" s="534" t="str">
        <f>IF(TRIM($B391)="","",IF(AND($AM391=1,LEFT($AJ391,4)&lt;&gt;"EGI ",$AJ391&lt;&gt;"EGI"),IFERROR(INDEX(Lists!$Z$2:$Z$20,MATCH($AH391,Lists!$Y$2:$Y$20,0)),"EGI "&amp;$AH391),IF(COUNTIF(Lists!$AU$2:$AU$10,$AJ391),$AJ391,IF(OR(LEFT($AH391,3)="COE",$AH391="EGI"),$AJ391,IF($AK391&lt;&gt;"Squad",$AK391,$AJ391)))))</f>
        <v>AmPOS</v>
      </c>
      <c r="AM391" s="534" t="b">
        <f>IF(TRIM($B391)="","",--(UPPER(TRIM($K391))="EGI"))</f>
        <v>0</v>
      </c>
      <c r="AQ391" s="841" t="inlineStr">
        <is>
          <t>R0390</t>
        </is>
      </c>
      <c r="AZ391" s="841" t="n"/>
    </row>
    <row r="392" ht="18" customHeight="1" s="535">
      <c r="A392" s="842" t="n">
        <v>94420</v>
      </c>
      <c r="B392" s="843" t="inlineStr">
        <is>
          <t>Peter Nicolopoulos</t>
        </is>
      </c>
      <c r="C392" s="842" t="n">
        <v>94420</v>
      </c>
      <c r="D392" s="843" t="inlineStr">
        <is>
          <t>Systems Analyst</t>
        </is>
      </c>
      <c r="E392" s="843" t="inlineStr">
        <is>
          <t>Vaishnavi Viswanathan</t>
        </is>
      </c>
      <c r="F392" s="843" t="inlineStr">
        <is>
          <t>Technology Manager, Store Platform</t>
        </is>
      </c>
      <c r="G392" s="844" t="inlineStr">
        <is>
          <t>Ampol Retail &amp; Z</t>
        </is>
      </c>
      <c r="H392" s="843" t="inlineStr">
        <is>
          <t>Ampol Retail</t>
        </is>
      </c>
      <c r="I392" s="843" t="inlineStr">
        <is>
          <t>Ampol Retail, Store Platforms</t>
        </is>
      </c>
      <c r="J392" s="843" t="inlineStr">
        <is>
          <t>Retail</t>
        </is>
      </c>
      <c r="K392" s="843" t="inlineStr">
        <is>
          <t>AMPOS</t>
        </is>
      </c>
      <c r="L392" s="843" t="inlineStr">
        <is>
          <t>AmPos</t>
        </is>
      </c>
      <c r="M392" s="843" t="n"/>
      <c r="N392" s="845" t="inlineStr">
        <is>
          <t>Australia</t>
        </is>
      </c>
      <c r="O392" s="846" t="inlineStr">
        <is>
          <t>CIB</t>
        </is>
      </c>
      <c r="P392" s="847" t="n">
        <v>1</v>
      </c>
      <c r="Q392" s="847" t="n"/>
      <c r="R392" s="847" t="inlineStr">
        <is>
          <t>Permanent - Full Time</t>
        </is>
      </c>
      <c r="S392" s="847" t="n"/>
      <c r="T392" s="847" t="n"/>
      <c r="U392" s="848" t="n">
        <v>127740</v>
      </c>
      <c r="V392" s="849" t="n">
        <v>117520.8</v>
      </c>
      <c r="W392" s="850" t="n">
        <v>0.15</v>
      </c>
      <c r="X392" s="847" t="n"/>
      <c r="Y392" s="850" t="n">
        <v>0.05</v>
      </c>
      <c r="Z392" s="851" t="n">
        <v>2910</v>
      </c>
      <c r="AA392" s="850" t="n">
        <v>0.03</v>
      </c>
      <c r="AB392" s="852" t="n">
        <v>147460.584</v>
      </c>
      <c r="AD392" s="866" t="n"/>
      <c r="AE392" s="866">
        <f>IF(TRIM($B392)="","",IF(AND(N($P392)&gt;0,N($P392)&lt;1),N($AB392)*N($P392),N($AB392)))</f>
        <v>147460.584</v>
      </c>
      <c r="AF392" s="866" t="str">
        <f>IF(TRIM($B392)="","",IF(OR(ISNUMBER(SEARCH("vacant",$B392)),ISNUMBER(SEARCH("ring fenced",$B392)),LOWER(TRIM($B392))="remove"),"Vacant","Filled"))</f>
        <v>Filled</v>
      </c>
      <c r="AG392" s="866" t="b">
        <f>IF(TRIM($B392)="","",--ISNUMBER(SEARCH("ring fenced",$B392)))</f>
        <v>0</v>
      </c>
      <c r="AH392" s="534" t="str">
        <f>IF(TRIM($B392)="","",IF(COUNTIFS(Lists!$AN$2:$AN$22,TRIM($B392)&amp;" | "&amp;TRIM($D392),Lists!$AO$2:$AO$22,"&lt;&gt;"),INDEX(Lists!$AO$2:$AO$22,MATCH(TRIM($B392)&amp;" | "&amp;TRIM($D392),Lists!$AN$2:$AN$22,0)),IF(COUNTIF(Lists!$AR$2:$AR$3,$AJ392),"TDD Cyber",IF(AND(LEFT($AJ392,4)="EGI ",ISNUMBER(MATCH(TRIM(MID($AJ392,5,99)),Lists!$AS$2:$AS$12,0))),TRIM(MID($AJ392,5,99)),IF(AND(LEFT($AJ392,4)="EGI ",ISNUMBER(MATCH(TRIM(MID($AJ392,5,99)),Lists!$T$2:$T$21,0))),INDEX(Lists!$U$2:$U$21,MATCH(TRIM(MID($AJ392,5,99)),Lists!$T$2:$T$21,0)),IF(OR(TRIM($J392)="",UPPER(TRIM($J392))="NA"),IFERROR(INDEX(Lists!$R$2:$R$9,MATCH(TRIM($G392),Lists!$Q$2:$Q$9,0)),"UNMAPPED"),IFERROR(INDEX(Lists!$U$2:$U$21,MATCH(TRIM($J392),Lists!$T$2:$T$21,0)),IFERROR(INDEX(Lists!$R$2:$R$9,MATCH(TRIM($G392),Lists!$Q$2:$Q$9,0)),"UNMAPPED"))))))))</f>
        <v>Ampol Retail</v>
      </c>
      <c r="AI392" s="534" t="b">
        <f>IF(TRIM($B392)="","",--OR(TRIM($L392)="Leadership",TRIM($K392)="Leadership"))</f>
        <v>0</v>
      </c>
      <c r="AJ392" s="534" t="str">
        <f>IF(TRIM($B392)="","",IF(COUNTIFS(Lists!$AN$2:$AN$22,TRIM($B392)&amp;" | "&amp;TRIM($D392),Lists!$AP$2:$AP$22,"&lt;&gt;"),INDEX(Lists!$AP$2:$AP$22,MATCH(TRIM($B392)&amp;" | "&amp;TRIM($D392),Lists!$AN$2:$AN$22,0)),IF($AI392=1,"Leadership",IFERROR(INDEX(Lists!$X$2:$X$21,MATCH(TRIM($L392),Lists!$W$2:$W$21,0)),IF(OR(TRIM($L392)="",LOWER(TRIM($L392))="na"),IF(TRIM($H392)="","Unassigned",TRIM($H392)),TRIM($L392))))))</f>
        <v>AmPOS</v>
      </c>
      <c r="AK392" s="534" t="str">
        <f>IF(TRIM($B392)="","",IF(COUNTIFS(Lists!$AN$2:$AN$22,TRIM($B392)&amp;" | "&amp;TRIM($D392),Lists!$AQ$2:$AQ$22,"&lt;&gt;"),INDEX(Lists!$AQ$2:$AQ$22,MATCH(TRIM($B392)&amp;" | "&amp;TRIM($D392),Lists!$AN$2:$AN$22,0)),IF(COUNTIF(Lists!$AF$2:$AF$8,$AJ392),$AJ392,IF(ISNUMBER(SEARCH("head of ",$D392)),"Head of Technology",IF(ISNUMBER(SEARCH("TDD BP",$D392)),"Business Partner",IF(OR(ISNUMBER(SEARCH("domain architect",$D392)),ISNUMBER(SEARCH("enterprise architect",$D392))),"Domain Architect",IF(ISNUMBER(SEARCH("delivery man",$D392)),"Delivery Manager",IF(OR(ISNUMBER(SEARCH("technology manager",$D392)),ISNUMBER(SEARCH("technology manger",$D392)),ISNUMBER(SEARCH("tech manager",$D392))),"Technology Manager","Squad"))))))))</f>
        <v>Squad</v>
      </c>
      <c r="AL392" s="534" t="str">
        <f>IF(TRIM($B392)="","",IF(AND($AM392=1,LEFT($AJ392,4)&lt;&gt;"EGI ",$AJ392&lt;&gt;"EGI"),IFERROR(INDEX(Lists!$Z$2:$Z$20,MATCH($AH392,Lists!$Y$2:$Y$20,0)),"EGI "&amp;$AH392),IF(COUNTIF(Lists!$AU$2:$AU$10,$AJ392),$AJ392,IF(OR(LEFT($AH392,3)="COE",$AH392="EGI"),$AJ392,IF($AK392&lt;&gt;"Squad",$AK392,$AJ392)))))</f>
        <v>AmPOS</v>
      </c>
      <c r="AM392" s="534" t="b">
        <f>IF(TRIM($B392)="","",--(UPPER(TRIM($K392))="EGI"))</f>
        <v>0</v>
      </c>
      <c r="AQ392" s="841" t="inlineStr">
        <is>
          <t>R0391</t>
        </is>
      </c>
      <c r="AZ392" s="841" t="n"/>
    </row>
    <row r="393" ht="18" customHeight="1" s="535">
      <c r="A393" s="842" t="n">
        <v>114003</v>
      </c>
      <c r="B393" s="843" t="inlineStr">
        <is>
          <t>Sayan Kar</t>
        </is>
      </c>
      <c r="C393" s="842" t="n">
        <v>114003</v>
      </c>
      <c r="D393" s="843" t="inlineStr">
        <is>
          <t>Systems Analyst</t>
        </is>
      </c>
      <c r="E393" s="843" t="inlineStr">
        <is>
          <t>Vaishnavi Viswanathan</t>
        </is>
      </c>
      <c r="F393" s="843" t="inlineStr">
        <is>
          <t>Technology Manager, Store Platform</t>
        </is>
      </c>
      <c r="G393" s="844" t="inlineStr">
        <is>
          <t>Ampol Retail &amp; Z</t>
        </is>
      </c>
      <c r="H393" s="843" t="inlineStr">
        <is>
          <t>Ampol Retail</t>
        </is>
      </c>
      <c r="I393" s="843" t="inlineStr">
        <is>
          <t>Ampol Retail, Store Platforms</t>
        </is>
      </c>
      <c r="J393" s="843" t="inlineStr">
        <is>
          <t>Retail</t>
        </is>
      </c>
      <c r="K393" s="843" t="inlineStr">
        <is>
          <t>Store Operations</t>
        </is>
      </c>
      <c r="L393" s="843" t="inlineStr">
        <is>
          <t>Payments</t>
        </is>
      </c>
      <c r="M393" s="843" t="n"/>
      <c r="N393" s="845" t="inlineStr">
        <is>
          <t>Australia</t>
        </is>
      </c>
      <c r="O393" s="846" t="inlineStr">
        <is>
          <t>CIB</t>
        </is>
      </c>
      <c r="P393" s="847" t="n">
        <v>1</v>
      </c>
      <c r="Q393" s="847" t="n"/>
      <c r="R393" s="847" t="inlineStr">
        <is>
          <t>Permanent - Full Time</t>
        </is>
      </c>
      <c r="S393" s="847" t="n"/>
      <c r="T393" s="847" t="n"/>
      <c r="U393" s="848" t="n">
        <v>194190</v>
      </c>
      <c r="V393" s="849" t="n">
        <v>194190</v>
      </c>
      <c r="W393" s="850" t="n">
        <v>0.12</v>
      </c>
      <c r="X393" s="847" t="n">
        <v>0.055</v>
      </c>
      <c r="Y393" s="850" t="n">
        <v>0.12</v>
      </c>
      <c r="Z393" s="851" t="n"/>
      <c r="AA393" s="850" t="n">
        <v>0.04</v>
      </c>
      <c r="AB393" s="852" t="n">
        <v>259243.65</v>
      </c>
      <c r="AD393" s="866" t="n"/>
      <c r="AE393" s="866">
        <f>IF(TRIM($B393)="","",IF(AND(N($P393)&gt;0,N($P393)&lt;1),N($AB393)*N($P393),N($AB393)))</f>
        <v>259243.65</v>
      </c>
      <c r="AF393" s="866" t="str">
        <f>IF(TRIM($B393)="","",IF(OR(ISNUMBER(SEARCH("vacant",$B393)),ISNUMBER(SEARCH("ring fenced",$B393)),LOWER(TRIM($B393))="remove"),"Vacant","Filled"))</f>
        <v>Filled</v>
      </c>
      <c r="AG393" s="866" t="b">
        <f>IF(TRIM($B393)="","",--ISNUMBER(SEARCH("ring fenced",$B393)))</f>
        <v>0</v>
      </c>
      <c r="AH393" s="534" t="str">
        <f>IF(TRIM($B393)="","",IF(COUNTIFS(Lists!$AN$2:$AN$22,TRIM($B393)&amp;" | "&amp;TRIM($D393),Lists!$AO$2:$AO$22,"&lt;&gt;"),INDEX(Lists!$AO$2:$AO$22,MATCH(TRIM($B393)&amp;" | "&amp;TRIM($D393),Lists!$AN$2:$AN$22,0)),IF(COUNTIF(Lists!$AR$2:$AR$3,$AJ393),"TDD Cyber",IF(AND(LEFT($AJ393,4)="EGI ",ISNUMBER(MATCH(TRIM(MID($AJ393,5,99)),Lists!$AS$2:$AS$12,0))),TRIM(MID($AJ393,5,99)),IF(AND(LEFT($AJ393,4)="EGI ",ISNUMBER(MATCH(TRIM(MID($AJ393,5,99)),Lists!$T$2:$T$21,0))),INDEX(Lists!$U$2:$U$21,MATCH(TRIM(MID($AJ393,5,99)),Lists!$T$2:$T$21,0)),IF(OR(TRIM($J393)="",UPPER(TRIM($J393))="NA"),IFERROR(INDEX(Lists!$R$2:$R$9,MATCH(TRIM($G393),Lists!$Q$2:$Q$9,0)),"UNMAPPED"),IFERROR(INDEX(Lists!$U$2:$U$21,MATCH(TRIM($J393),Lists!$T$2:$T$21,0)),IFERROR(INDEX(Lists!$R$2:$R$9,MATCH(TRIM($G393),Lists!$Q$2:$Q$9,0)),"UNMAPPED"))))))))</f>
        <v>Ampol Retail</v>
      </c>
      <c r="AI393" s="534" t="b">
        <f>IF(TRIM($B393)="","",--OR(TRIM($L393)="Leadership",TRIM($K393)="Leadership"))</f>
        <v>0</v>
      </c>
      <c r="AJ393" s="534" t="str">
        <f>IF(TRIM($B393)="","",IF(COUNTIFS(Lists!$AN$2:$AN$22,TRIM($B393)&amp;" | "&amp;TRIM($D393),Lists!$AP$2:$AP$22,"&lt;&gt;"),INDEX(Lists!$AP$2:$AP$22,MATCH(TRIM($B393)&amp;" | "&amp;TRIM($D393),Lists!$AN$2:$AN$22,0)),IF($AI393=1,"Leadership",IFERROR(INDEX(Lists!$X$2:$X$21,MATCH(TRIM($L393),Lists!$W$2:$W$21,0)),IF(OR(TRIM($L393)="",LOWER(TRIM($L393))="na"),IF(TRIM($H393)="","Unassigned",TRIM($H393)),TRIM($L393))))))</f>
        <v>Payments</v>
      </c>
      <c r="AK393" s="534" t="str">
        <f>IF(TRIM($B393)="","",IF(COUNTIFS(Lists!$AN$2:$AN$22,TRIM($B393)&amp;" | "&amp;TRIM($D393),Lists!$AQ$2:$AQ$22,"&lt;&gt;"),INDEX(Lists!$AQ$2:$AQ$22,MATCH(TRIM($B393)&amp;" | "&amp;TRIM($D393),Lists!$AN$2:$AN$22,0)),IF(COUNTIF(Lists!$AF$2:$AF$8,$AJ393),$AJ393,IF(ISNUMBER(SEARCH("head of ",$D393)),"Head of Technology",IF(ISNUMBER(SEARCH("TDD BP",$D393)),"Business Partner",IF(OR(ISNUMBER(SEARCH("domain architect",$D393)),ISNUMBER(SEARCH("enterprise architect",$D393))),"Domain Architect",IF(ISNUMBER(SEARCH("delivery man",$D393)),"Delivery Manager",IF(OR(ISNUMBER(SEARCH("technology manager",$D393)),ISNUMBER(SEARCH("technology manger",$D393)),ISNUMBER(SEARCH("tech manager",$D393))),"Technology Manager","Squad"))))))))</f>
        <v>Squad</v>
      </c>
      <c r="AL393" s="534" t="str">
        <f>IF(TRIM($B393)="","",IF(AND($AM393=1,LEFT($AJ393,4)&lt;&gt;"EGI ",$AJ393&lt;&gt;"EGI"),IFERROR(INDEX(Lists!$Z$2:$Z$20,MATCH($AH393,Lists!$Y$2:$Y$20,0)),"EGI "&amp;$AH393),IF(COUNTIF(Lists!$AU$2:$AU$10,$AJ393),$AJ393,IF(OR(LEFT($AH393,3)="COE",$AH393="EGI"),$AJ393,IF($AK393&lt;&gt;"Squad",$AK393,$AJ393)))))</f>
        <v>Payments</v>
      </c>
      <c r="AM393" s="534" t="b">
        <f>IF(TRIM($B393)="","",--(UPPER(TRIM($K393))="EGI"))</f>
        <v>0</v>
      </c>
      <c r="AQ393" s="841" t="inlineStr">
        <is>
          <t>R0392</t>
        </is>
      </c>
      <c r="AZ393" s="841" t="n"/>
    </row>
    <row r="394" ht="18" customHeight="1" s="535">
      <c r="A394" s="842" t="inlineStr">
        <is>
          <t>V</t>
        </is>
      </c>
      <c r="B394" s="843" t="inlineStr">
        <is>
          <t>Vacant</t>
        </is>
      </c>
      <c r="C394" s="842" t="inlineStr">
        <is>
          <t>V</t>
        </is>
      </c>
      <c r="D394" s="843" t="inlineStr">
        <is>
          <t>Engineer Integration</t>
        </is>
      </c>
      <c r="E394" s="843" t="inlineStr">
        <is>
          <t>Vaishnavi Viswanathan</t>
        </is>
      </c>
      <c r="F394" s="843" t="inlineStr">
        <is>
          <t>Technology Manager, Store Platform</t>
        </is>
      </c>
      <c r="G394" s="844" t="inlineStr">
        <is>
          <t>Ampol Retail &amp; Z</t>
        </is>
      </c>
      <c r="H394" s="843" t="inlineStr">
        <is>
          <t>Ampol Retail</t>
        </is>
      </c>
      <c r="I394" s="843" t="inlineStr">
        <is>
          <t>Ampol Retail, Store Platforms</t>
        </is>
      </c>
      <c r="J394" s="843" t="inlineStr">
        <is>
          <t>Retail</t>
        </is>
      </c>
      <c r="K394" s="843" t="inlineStr">
        <is>
          <t>Store Operations</t>
        </is>
      </c>
      <c r="L394" s="843" t="inlineStr">
        <is>
          <t>POS</t>
        </is>
      </c>
      <c r="M394" s="843" t="n"/>
      <c r="N394" s="845" t="inlineStr">
        <is>
          <t>Australia</t>
        </is>
      </c>
      <c r="O394" s="846" t="inlineStr">
        <is>
          <t>CIB</t>
        </is>
      </c>
      <c r="P394" s="847" t="n">
        <v>1</v>
      </c>
      <c r="Q394" s="846" t="n"/>
      <c r="R394" s="847" t="inlineStr">
        <is>
          <t>v</t>
        </is>
      </c>
      <c r="S394" s="847" t="n"/>
      <c r="T394" s="847" t="n"/>
      <c r="U394" s="848" t="n">
        <v>173550</v>
      </c>
      <c r="V394" s="849" t="n">
        <v>173550</v>
      </c>
      <c r="W394" s="850" t="n">
        <v>0.12</v>
      </c>
      <c r="X394" s="847" t="n">
        <v>0.055</v>
      </c>
      <c r="Y394" s="850" t="n">
        <v>0.12</v>
      </c>
      <c r="Z394" s="851" t="n"/>
      <c r="AA394" s="850" t="n">
        <v>0.04</v>
      </c>
      <c r="AB394" s="852" t="n">
        <v>231689.25</v>
      </c>
      <c r="AD394" s="866" t="n"/>
      <c r="AE394" s="866">
        <f>IF(TRIM($B394)="","",IF(AND(N($P394)&gt;0,N($P394)&lt;1),N($AB394)*N($P394),N($AB394)))</f>
        <v>231689.25</v>
      </c>
      <c r="AF394" s="866" t="str">
        <f>IF(TRIM($B394)="","",IF(OR(ISNUMBER(SEARCH("vacant",$B394)),ISNUMBER(SEARCH("ring fenced",$B394)),LOWER(TRIM($B394))="remove"),"Vacant","Filled"))</f>
        <v>Vacant</v>
      </c>
      <c r="AG394" s="866" t="b">
        <f>IF(TRIM($B394)="","",--ISNUMBER(SEARCH("ring fenced",$B394)))</f>
        <v>0</v>
      </c>
      <c r="AH394" s="534" t="str">
        <f>IF(TRIM($B394)="","",IF(COUNTIFS(Lists!$AN$2:$AN$22,TRIM($B394)&amp;" | "&amp;TRIM($D394),Lists!$AO$2:$AO$22,"&lt;&gt;"),INDEX(Lists!$AO$2:$AO$22,MATCH(TRIM($B394)&amp;" | "&amp;TRIM($D394),Lists!$AN$2:$AN$22,0)),IF(COUNTIF(Lists!$AR$2:$AR$3,$AJ394),"TDD Cyber",IF(AND(LEFT($AJ394,4)="EGI ",ISNUMBER(MATCH(TRIM(MID($AJ394,5,99)),Lists!$AS$2:$AS$12,0))),TRIM(MID($AJ394,5,99)),IF(AND(LEFT($AJ394,4)="EGI ",ISNUMBER(MATCH(TRIM(MID($AJ394,5,99)),Lists!$T$2:$T$21,0))),INDEX(Lists!$U$2:$U$21,MATCH(TRIM(MID($AJ394,5,99)),Lists!$T$2:$T$21,0)),IF(OR(TRIM($J394)="",UPPER(TRIM($J394))="NA"),IFERROR(INDEX(Lists!$R$2:$R$9,MATCH(TRIM($G394),Lists!$Q$2:$Q$9,0)),"UNMAPPED"),IFERROR(INDEX(Lists!$U$2:$U$21,MATCH(TRIM($J394),Lists!$T$2:$T$21,0)),IFERROR(INDEX(Lists!$R$2:$R$9,MATCH(TRIM($G394),Lists!$Q$2:$Q$9,0)),"UNMAPPED"))))))))</f>
        <v>Ampol Retail</v>
      </c>
      <c r="AI394" s="534" t="b">
        <f>IF(TRIM($B394)="","",--OR(TRIM($L394)="Leadership",TRIM($K394)="Leadership"))</f>
        <v>0</v>
      </c>
      <c r="AJ394" s="534" t="str">
        <f>IF(TRIM($B394)="","",IF(COUNTIFS(Lists!$AN$2:$AN$22,TRIM($B394)&amp;" | "&amp;TRIM($D394),Lists!$AP$2:$AP$22,"&lt;&gt;"),INDEX(Lists!$AP$2:$AP$22,MATCH(TRIM($B394)&amp;" | "&amp;TRIM($D394),Lists!$AN$2:$AN$22,0)),IF($AI394=1,"Leadership",IFERROR(INDEX(Lists!$X$2:$X$21,MATCH(TRIM($L394),Lists!$W$2:$W$21,0)),IF(OR(TRIM($L394)="",LOWER(TRIM($L394))="na"),IF(TRIM($H394)="","Unassigned",TRIM($H394)),TRIM($L394))))))</f>
        <v>POS</v>
      </c>
      <c r="AK394" s="534" t="str">
        <f>IF(TRIM($B394)="","",IF(COUNTIFS(Lists!$AN$2:$AN$22,TRIM($B394)&amp;" | "&amp;TRIM($D394),Lists!$AQ$2:$AQ$22,"&lt;&gt;"),INDEX(Lists!$AQ$2:$AQ$22,MATCH(TRIM($B394)&amp;" | "&amp;TRIM($D394),Lists!$AN$2:$AN$22,0)),IF(COUNTIF(Lists!$AF$2:$AF$8,$AJ394),$AJ394,IF(ISNUMBER(SEARCH("head of ",$D394)),"Head of Technology",IF(ISNUMBER(SEARCH("TDD BP",$D394)),"Business Partner",IF(OR(ISNUMBER(SEARCH("domain architect",$D394)),ISNUMBER(SEARCH("enterprise architect",$D394))),"Domain Architect",IF(ISNUMBER(SEARCH("delivery man",$D394)),"Delivery Manager",IF(OR(ISNUMBER(SEARCH("technology manager",$D394)),ISNUMBER(SEARCH("technology manger",$D394)),ISNUMBER(SEARCH("tech manager",$D394))),"Technology Manager","Squad"))))))))</f>
        <v>Squad</v>
      </c>
      <c r="AL394" s="534" t="str">
        <f>IF(TRIM($B394)="","",IF(AND($AM394=1,LEFT($AJ394,4)&lt;&gt;"EGI ",$AJ394&lt;&gt;"EGI"),IFERROR(INDEX(Lists!$Z$2:$Z$20,MATCH($AH394,Lists!$Y$2:$Y$20,0)),"EGI "&amp;$AH394),IF(COUNTIF(Lists!$AU$2:$AU$10,$AJ394),$AJ394,IF(OR(LEFT($AH394,3)="COE",$AH394="EGI"),$AJ394,IF($AK394&lt;&gt;"Squad",$AK394,$AJ394)))))</f>
        <v>POS</v>
      </c>
      <c r="AM394" s="534" t="b">
        <f>IF(TRIM($B394)="","",--(UPPER(TRIM($K394))="EGI"))</f>
        <v>0</v>
      </c>
      <c r="AQ394" s="841" t="inlineStr">
        <is>
          <t>R0393</t>
        </is>
      </c>
      <c r="AZ394" s="841" t="n"/>
    </row>
    <row r="395" ht="18" customHeight="1" s="535">
      <c r="A395" s="842" t="inlineStr">
        <is>
          <t>V</t>
        </is>
      </c>
      <c r="B395" s="843" t="inlineStr">
        <is>
          <t>Vacant</t>
        </is>
      </c>
      <c r="C395" s="842" t="inlineStr">
        <is>
          <t>V</t>
        </is>
      </c>
      <c r="D395" s="843" t="inlineStr">
        <is>
          <t>Support Analyst -Retail</t>
        </is>
      </c>
      <c r="E395" s="843" t="inlineStr">
        <is>
          <t>Vaishnavi Viswanathan</t>
        </is>
      </c>
      <c r="F395" s="843" t="inlineStr">
        <is>
          <t>Technology Manager, Store Platform</t>
        </is>
      </c>
      <c r="G395" s="844" t="inlineStr">
        <is>
          <t>Ampol Retail &amp; Z</t>
        </is>
      </c>
      <c r="H395" s="843" t="inlineStr">
        <is>
          <t>Ampol Retail</t>
        </is>
      </c>
      <c r="I395" s="843" t="inlineStr">
        <is>
          <t>Ampol Retail, Store Platforms</t>
        </is>
      </c>
      <c r="J395" s="843" t="inlineStr">
        <is>
          <t>Retail</t>
        </is>
      </c>
      <c r="K395" s="843" t="inlineStr">
        <is>
          <t>Store Operations</t>
        </is>
      </c>
      <c r="L395" s="843" t="inlineStr">
        <is>
          <t>Store Operations</t>
        </is>
      </c>
      <c r="M395" s="843" t="n"/>
      <c r="N395" s="845" t="inlineStr">
        <is>
          <t>Australia</t>
        </is>
      </c>
      <c r="O395" s="846" t="inlineStr">
        <is>
          <t>CIB</t>
        </is>
      </c>
      <c r="P395" s="847" t="n">
        <v>1</v>
      </c>
      <c r="Q395" s="847" t="n"/>
      <c r="R395" s="847" t="inlineStr">
        <is>
          <t>v</t>
        </is>
      </c>
      <c r="S395" s="847" t="n"/>
      <c r="T395" s="847" t="n"/>
      <c r="U395" s="848" t="n">
        <v>129659</v>
      </c>
      <c r="V395" s="849" t="n">
        <v>129659</v>
      </c>
      <c r="W395" s="850" t="n">
        <v>0.1</v>
      </c>
      <c r="X395" s="847" t="n">
        <v>0.055</v>
      </c>
      <c r="Y395" s="850" t="n">
        <v>0.12</v>
      </c>
      <c r="Z395" s="851" t="n"/>
      <c r="AA395" s="850" t="n">
        <v>0.04</v>
      </c>
      <c r="AB395" s="852" t="n">
        <v>170501.585</v>
      </c>
      <c r="AD395" s="866" t="n"/>
      <c r="AE395" s="866">
        <f>IF(TRIM($B395)="","",IF(AND(N($P395)&gt;0,N($P395)&lt;1),N($AB395)*N($P395),N($AB395)))</f>
        <v>170501.585</v>
      </c>
      <c r="AF395" s="866" t="str">
        <f>IF(TRIM($B395)="","",IF(OR(ISNUMBER(SEARCH("vacant",$B395)),ISNUMBER(SEARCH("ring fenced",$B395)),LOWER(TRIM($B395))="remove"),"Vacant","Filled"))</f>
        <v>Vacant</v>
      </c>
      <c r="AG395" s="866" t="b">
        <f>IF(TRIM($B395)="","",--ISNUMBER(SEARCH("ring fenced",$B395)))</f>
        <v>0</v>
      </c>
      <c r="AH395" s="534" t="str">
        <f>IF(TRIM($B395)="","",IF(COUNTIFS(Lists!$AN$2:$AN$22,TRIM($B395)&amp;" | "&amp;TRIM($D395),Lists!$AO$2:$AO$22,"&lt;&gt;"),INDEX(Lists!$AO$2:$AO$22,MATCH(TRIM($B395)&amp;" | "&amp;TRIM($D395),Lists!$AN$2:$AN$22,0)),IF(COUNTIF(Lists!$AR$2:$AR$3,$AJ395),"TDD Cyber",IF(AND(LEFT($AJ395,4)="EGI ",ISNUMBER(MATCH(TRIM(MID($AJ395,5,99)),Lists!$AS$2:$AS$12,0))),TRIM(MID($AJ395,5,99)),IF(AND(LEFT($AJ395,4)="EGI ",ISNUMBER(MATCH(TRIM(MID($AJ395,5,99)),Lists!$T$2:$T$21,0))),INDEX(Lists!$U$2:$U$21,MATCH(TRIM(MID($AJ395,5,99)),Lists!$T$2:$T$21,0)),IF(OR(TRIM($J395)="",UPPER(TRIM($J395))="NA"),IFERROR(INDEX(Lists!$R$2:$R$9,MATCH(TRIM($G395),Lists!$Q$2:$Q$9,0)),"UNMAPPED"),IFERROR(INDEX(Lists!$U$2:$U$21,MATCH(TRIM($J395),Lists!$T$2:$T$21,0)),IFERROR(INDEX(Lists!$R$2:$R$9,MATCH(TRIM($G395),Lists!$Q$2:$Q$9,0)),"UNMAPPED"))))))))</f>
        <v>Ampol Retail</v>
      </c>
      <c r="AI395" s="534" t="b">
        <f>IF(TRIM($B395)="","",--OR(TRIM($L395)="Leadership",TRIM($K395)="Leadership"))</f>
        <v>0</v>
      </c>
      <c r="AJ395" s="534" t="str">
        <f>IF(TRIM($B395)="","",IF(COUNTIFS(Lists!$AN$2:$AN$22,TRIM($B395)&amp;" | "&amp;TRIM($D395),Lists!$AP$2:$AP$22,"&lt;&gt;"),INDEX(Lists!$AP$2:$AP$22,MATCH(TRIM($B395)&amp;" | "&amp;TRIM($D395),Lists!$AN$2:$AN$22,0)),IF($AI395=1,"Leadership",IFERROR(INDEX(Lists!$X$2:$X$21,MATCH(TRIM($L395),Lists!$W$2:$W$21,0)),IF(OR(TRIM($L395)="",LOWER(TRIM($L395))="na"),IF(TRIM($H395)="","Unassigned",TRIM($H395)),TRIM($L395))))))</f>
        <v>Store Operations</v>
      </c>
      <c r="AK395" s="534" t="str">
        <f>IF(TRIM($B395)="","",IF(COUNTIFS(Lists!$AN$2:$AN$22,TRIM($B395)&amp;" | "&amp;TRIM($D395),Lists!$AQ$2:$AQ$22,"&lt;&gt;"),INDEX(Lists!$AQ$2:$AQ$22,MATCH(TRIM($B395)&amp;" | "&amp;TRIM($D395),Lists!$AN$2:$AN$22,0)),IF(COUNTIF(Lists!$AF$2:$AF$8,$AJ395),$AJ395,IF(ISNUMBER(SEARCH("head of ",$D395)),"Head of Technology",IF(ISNUMBER(SEARCH("TDD BP",$D395)),"Business Partner",IF(OR(ISNUMBER(SEARCH("domain architect",$D395)),ISNUMBER(SEARCH("enterprise architect",$D395))),"Domain Architect",IF(ISNUMBER(SEARCH("delivery man",$D395)),"Delivery Manager",IF(OR(ISNUMBER(SEARCH("technology manager",$D395)),ISNUMBER(SEARCH("technology manger",$D395)),ISNUMBER(SEARCH("tech manager",$D395))),"Technology Manager","Squad"))))))))</f>
        <v>Squad</v>
      </c>
      <c r="AL395" s="534" t="str">
        <f>IF(TRIM($B395)="","",IF(AND($AM395=1,LEFT($AJ395,4)&lt;&gt;"EGI ",$AJ395&lt;&gt;"EGI"),IFERROR(INDEX(Lists!$Z$2:$Z$20,MATCH($AH395,Lists!$Y$2:$Y$20,0)),"EGI "&amp;$AH395),IF(COUNTIF(Lists!$AU$2:$AU$10,$AJ395),$AJ395,IF(OR(LEFT($AH395,3)="COE",$AH395="EGI"),$AJ395,IF($AK395&lt;&gt;"Squad",$AK395,$AJ395)))))</f>
        <v>Store Operations</v>
      </c>
      <c r="AM395" s="534" t="b">
        <f>IF(TRIM($B395)="","",--(UPPER(TRIM($K395))="EGI"))</f>
        <v>0</v>
      </c>
      <c r="AQ395" s="841" t="inlineStr">
        <is>
          <t>R0394</t>
        </is>
      </c>
      <c r="AZ395" s="841" t="n"/>
    </row>
    <row r="396" ht="18" customHeight="1" s="535">
      <c r="A396" s="842" t="inlineStr">
        <is>
          <t>V</t>
        </is>
      </c>
      <c r="B396" s="843" t="inlineStr">
        <is>
          <t>Vacant</t>
        </is>
      </c>
      <c r="C396" s="842" t="inlineStr">
        <is>
          <t>V</t>
        </is>
      </c>
      <c r="D396" s="843" t="inlineStr">
        <is>
          <t>Business Analyst</t>
        </is>
      </c>
      <c r="E396" s="843" t="inlineStr">
        <is>
          <t>Vanessa Allen</t>
        </is>
      </c>
      <c r="F396" s="843" t="inlineStr">
        <is>
          <t>Delivery Manager, Ampol Retail</t>
        </is>
      </c>
      <c r="G396" s="844" t="inlineStr">
        <is>
          <t>Ampol Retail &amp; Z</t>
        </is>
      </c>
      <c r="H396" s="843" t="inlineStr">
        <is>
          <t>Ampol Retail</t>
        </is>
      </c>
      <c r="I396" s="843" t="inlineStr">
        <is>
          <t>Ampol Retail, Delivery</t>
        </is>
      </c>
      <c r="J396" s="843" t="inlineStr">
        <is>
          <t>Retail</t>
        </is>
      </c>
      <c r="K396" s="843" t="inlineStr">
        <is>
          <t>Above Store</t>
        </is>
      </c>
      <c r="L396" s="843" t="inlineStr">
        <is>
          <t>Above Store</t>
        </is>
      </c>
      <c r="M396" s="843" t="n"/>
      <c r="N396" s="845" t="inlineStr">
        <is>
          <t>Australia</t>
        </is>
      </c>
      <c r="O396" s="846" t="inlineStr">
        <is>
          <t>CIB</t>
        </is>
      </c>
      <c r="P396" s="847" t="n">
        <v>1</v>
      </c>
      <c r="Q396" s="846" t="n"/>
      <c r="R396" s="847" t="inlineStr">
        <is>
          <t>V</t>
        </is>
      </c>
      <c r="S396" s="847" t="n"/>
      <c r="T396" s="847" t="n"/>
      <c r="U396" s="848" t="n">
        <v>151950</v>
      </c>
      <c r="V396" s="849" t="n">
        <v>151950</v>
      </c>
      <c r="W396" s="850" t="n">
        <v>0.12</v>
      </c>
      <c r="X396" s="847" t="n">
        <v>0.055</v>
      </c>
      <c r="Y396" s="850" t="n">
        <v>0.12</v>
      </c>
      <c r="Z396" s="851" t="n"/>
      <c r="AA396" s="850" t="n">
        <v>0.04</v>
      </c>
      <c r="AB396" s="852" t="n">
        <v>202853.25</v>
      </c>
      <c r="AD396" s="866" t="n"/>
      <c r="AE396" s="866">
        <f>IF(TRIM($B396)="","",IF(AND(N($P396)&gt;0,N($P396)&lt;1),N($AB396)*N($P396),N($AB396)))</f>
        <v>202853.25</v>
      </c>
      <c r="AF396" s="866" t="str">
        <f>IF(TRIM($B396)="","",IF(OR(ISNUMBER(SEARCH("vacant",$B396)),ISNUMBER(SEARCH("ring fenced",$B396)),LOWER(TRIM($B396))="remove"),"Vacant","Filled"))</f>
        <v>Vacant</v>
      </c>
      <c r="AG396" s="866" t="b">
        <f>IF(TRIM($B396)="","",--ISNUMBER(SEARCH("ring fenced",$B396)))</f>
        <v>0</v>
      </c>
      <c r="AH396" s="534" t="str">
        <f>IF(TRIM($B396)="","",IF(COUNTIFS(Lists!$AN$2:$AN$22,TRIM($B396)&amp;" | "&amp;TRIM($D396),Lists!$AO$2:$AO$22,"&lt;&gt;"),INDEX(Lists!$AO$2:$AO$22,MATCH(TRIM($B396)&amp;" | "&amp;TRIM($D396),Lists!$AN$2:$AN$22,0)),IF(COUNTIF(Lists!$AR$2:$AR$3,$AJ396),"TDD Cyber",IF(AND(LEFT($AJ396,4)="EGI ",ISNUMBER(MATCH(TRIM(MID($AJ396,5,99)),Lists!$AS$2:$AS$12,0))),TRIM(MID($AJ396,5,99)),IF(AND(LEFT($AJ396,4)="EGI ",ISNUMBER(MATCH(TRIM(MID($AJ396,5,99)),Lists!$T$2:$T$21,0))),INDEX(Lists!$U$2:$U$21,MATCH(TRIM(MID($AJ396,5,99)),Lists!$T$2:$T$21,0)),IF(OR(TRIM($J396)="",UPPER(TRIM($J396))="NA"),IFERROR(INDEX(Lists!$R$2:$R$9,MATCH(TRIM($G396),Lists!$Q$2:$Q$9,0)),"UNMAPPED"),IFERROR(INDEX(Lists!$U$2:$U$21,MATCH(TRIM($J396),Lists!$T$2:$T$21,0)),IFERROR(INDEX(Lists!$R$2:$R$9,MATCH(TRIM($G396),Lists!$Q$2:$Q$9,0)),"UNMAPPED"))))))))</f>
        <v>Ampol Retail</v>
      </c>
      <c r="AI396" s="534" t="b">
        <f>IF(TRIM($B396)="","",--OR(TRIM($L396)="Leadership",TRIM($K396)="Leadership"))</f>
        <v>0</v>
      </c>
      <c r="AJ396" s="534" t="str">
        <f>IF(TRIM($B396)="","",IF(COUNTIFS(Lists!$AN$2:$AN$22,TRIM($B396)&amp;" | "&amp;TRIM($D396),Lists!$AP$2:$AP$22,"&lt;&gt;"),INDEX(Lists!$AP$2:$AP$22,MATCH(TRIM($B396)&amp;" | "&amp;TRIM($D396),Lists!$AN$2:$AN$22,0)),IF($AI396=1,"Leadership",IFERROR(INDEX(Lists!$X$2:$X$21,MATCH(TRIM($L396),Lists!$W$2:$W$21,0)),IF(OR(TRIM($L396)="",LOWER(TRIM($L396))="na"),IF(TRIM($H396)="","Unassigned",TRIM($H396)),TRIM($L396))))))</f>
        <v>Above Store</v>
      </c>
      <c r="AK396" s="534" t="str">
        <f>IF(TRIM($B396)="","",IF(COUNTIFS(Lists!$AN$2:$AN$22,TRIM($B396)&amp;" | "&amp;TRIM($D396),Lists!$AQ$2:$AQ$22,"&lt;&gt;"),INDEX(Lists!$AQ$2:$AQ$22,MATCH(TRIM($B396)&amp;" | "&amp;TRIM($D396),Lists!$AN$2:$AN$22,0)),IF(COUNTIF(Lists!$AF$2:$AF$8,$AJ396),$AJ396,IF(ISNUMBER(SEARCH("head of ",$D396)),"Head of Technology",IF(ISNUMBER(SEARCH("TDD BP",$D396)),"Business Partner",IF(OR(ISNUMBER(SEARCH("domain architect",$D396)),ISNUMBER(SEARCH("enterprise architect",$D396))),"Domain Architect",IF(ISNUMBER(SEARCH("delivery man",$D396)),"Delivery Manager",IF(OR(ISNUMBER(SEARCH("technology manager",$D396)),ISNUMBER(SEARCH("technology manger",$D396)),ISNUMBER(SEARCH("tech manager",$D396))),"Technology Manager","Squad"))))))))</f>
        <v>Squad</v>
      </c>
      <c r="AL396" s="534" t="str">
        <f>IF(TRIM($B396)="","",IF(AND($AM396=1,LEFT($AJ396,4)&lt;&gt;"EGI ",$AJ396&lt;&gt;"EGI"),IFERROR(INDEX(Lists!$Z$2:$Z$20,MATCH($AH396,Lists!$Y$2:$Y$20,0)),"EGI "&amp;$AH396),IF(COUNTIF(Lists!$AU$2:$AU$10,$AJ396),$AJ396,IF(OR(LEFT($AH396,3)="COE",$AH396="EGI"),$AJ396,IF($AK396&lt;&gt;"Squad",$AK396,$AJ396)))))</f>
        <v>Above Store</v>
      </c>
      <c r="AM396" s="534" t="b">
        <f>IF(TRIM($B396)="","",--(UPPER(TRIM($K396))="EGI"))</f>
        <v>0</v>
      </c>
      <c r="AQ396" s="841" t="inlineStr">
        <is>
          <t>R0395</t>
        </is>
      </c>
      <c r="AZ396" s="841" t="n"/>
    </row>
    <row r="397" ht="18" customHeight="1" s="535">
      <c r="A397" s="842" t="inlineStr">
        <is>
          <t>V</t>
        </is>
      </c>
      <c r="B397" s="843" t="inlineStr">
        <is>
          <t>Vacant</t>
        </is>
      </c>
      <c r="C397" s="842" t="inlineStr">
        <is>
          <t>V</t>
        </is>
      </c>
      <c r="D397" s="843" t="inlineStr">
        <is>
          <t>Business Analyst</t>
        </is>
      </c>
      <c r="E397" s="843" t="inlineStr">
        <is>
          <t>Vanessa Allen</t>
        </is>
      </c>
      <c r="F397" s="843" t="inlineStr">
        <is>
          <t>Delivery Manager, Ampol Retail</t>
        </is>
      </c>
      <c r="G397" s="844" t="inlineStr">
        <is>
          <t>Ampol Retail &amp; Z</t>
        </is>
      </c>
      <c r="H397" s="843" t="inlineStr">
        <is>
          <t>Ampol Retail</t>
        </is>
      </c>
      <c r="I397" s="843" t="inlineStr">
        <is>
          <t>Ampol Retail, Delivery</t>
        </is>
      </c>
      <c r="J397" s="843" t="inlineStr">
        <is>
          <t>Retail</t>
        </is>
      </c>
      <c r="K397" s="843" t="inlineStr">
        <is>
          <t>Network/QSR</t>
        </is>
      </c>
      <c r="L397" s="843" t="inlineStr">
        <is>
          <t>Network &amp; QSR</t>
        </is>
      </c>
      <c r="M397" s="843" t="n"/>
      <c r="N397" s="845" t="inlineStr">
        <is>
          <t>Australia</t>
        </is>
      </c>
      <c r="O397" s="846" t="inlineStr">
        <is>
          <t>CIB</t>
        </is>
      </c>
      <c r="P397" s="847" t="n">
        <v>1</v>
      </c>
      <c r="Q397" s="846" t="n"/>
      <c r="R397" s="847" t="inlineStr">
        <is>
          <t>V</t>
        </is>
      </c>
      <c r="S397" s="847" t="n"/>
      <c r="T397" s="847" t="n"/>
      <c r="U397" s="848" t="n">
        <v>151950</v>
      </c>
      <c r="V397" s="849" t="n">
        <v>151950</v>
      </c>
      <c r="W397" s="850" t="n">
        <v>0.12</v>
      </c>
      <c r="X397" s="847" t="n">
        <v>0.055</v>
      </c>
      <c r="Y397" s="850" t="n">
        <v>0.12</v>
      </c>
      <c r="Z397" s="851" t="n"/>
      <c r="AA397" s="850" t="n">
        <v>0.04</v>
      </c>
      <c r="AB397" s="852" t="n">
        <v>202853.25</v>
      </c>
      <c r="AD397" s="866" t="n"/>
      <c r="AE397" s="866">
        <f>IF(TRIM($B397)="","",IF(AND(N($P397)&gt;0,N($P397)&lt;1),N($AB397)*N($P397),N($AB397)))</f>
        <v>202853.25</v>
      </c>
      <c r="AF397" s="866" t="str">
        <f>IF(TRIM($B397)="","",IF(OR(ISNUMBER(SEARCH("vacant",$B397)),ISNUMBER(SEARCH("ring fenced",$B397)),LOWER(TRIM($B397))="remove"),"Vacant","Filled"))</f>
        <v>Vacant</v>
      </c>
      <c r="AG397" s="866" t="b">
        <f>IF(TRIM($B397)="","",--ISNUMBER(SEARCH("ring fenced",$B397)))</f>
        <v>0</v>
      </c>
      <c r="AH397" s="866" t="str">
        <f>IF(TRIM($B397)="","",IF(COUNTIFS(Lists!$AN$2:$AN$22,TRIM($B397)&amp;" | "&amp;TRIM($D397),Lists!$AO$2:$AO$22,"&lt;&gt;"),INDEX(Lists!$AO$2:$AO$22,MATCH(TRIM($B397)&amp;" | "&amp;TRIM($D397),Lists!$AN$2:$AN$22,0)),IF(COUNTIF(Lists!$AR$2:$AR$3,$AJ397),"TDD Cyber",IF(AND(LEFT($AJ397,4)="EGI ",ISNUMBER(MATCH(TRIM(MID($AJ397,5,99)),Lists!$AS$2:$AS$12,0))),TRIM(MID($AJ397,5,99)),IF(AND(LEFT($AJ397,4)="EGI ",ISNUMBER(MATCH(TRIM(MID($AJ397,5,99)),Lists!$T$2:$T$21,0))),INDEX(Lists!$U$2:$U$21,MATCH(TRIM(MID($AJ397,5,99)),Lists!$T$2:$T$21,0)),IF(OR(TRIM($J397)="",UPPER(TRIM($J397))="NA"),IFERROR(INDEX(Lists!$R$2:$R$9,MATCH(TRIM($G397),Lists!$Q$2:$Q$9,0)),"UNMAPPED"),IFERROR(INDEX(Lists!$U$2:$U$21,MATCH(TRIM($J397),Lists!$T$2:$T$21,0)),IFERROR(INDEX(Lists!$R$2:$R$9,MATCH(TRIM($G397),Lists!$Q$2:$Q$9,0)),"UNMAPPED"))))))))</f>
        <v>Ampol Retail</v>
      </c>
      <c r="AI397" s="534" t="b">
        <f>IF(TRIM($B397)="","",--OR(TRIM($L397)="Leadership",TRIM($K397)="Leadership"))</f>
        <v>0</v>
      </c>
      <c r="AJ397" s="534" t="str">
        <f>IF(TRIM($B397)="","",IF(COUNTIFS(Lists!$AN$2:$AN$22,TRIM($B397)&amp;" | "&amp;TRIM($D397),Lists!$AP$2:$AP$22,"&lt;&gt;"),INDEX(Lists!$AP$2:$AP$22,MATCH(TRIM($B397)&amp;" | "&amp;TRIM($D397),Lists!$AN$2:$AN$22,0)),IF($AI397=1,"Leadership",IFERROR(INDEX(Lists!$X$2:$X$21,MATCH(TRIM($L397),Lists!$W$2:$W$21,0)),IF(OR(TRIM($L397)="",LOWER(TRIM($L397))="na"),IF(TRIM($H397)="","Unassigned",TRIM($H397)),TRIM($L397))))))</f>
        <v>Network &amp; QSR</v>
      </c>
      <c r="AK397" s="534" t="str">
        <f>IF(TRIM($B397)="","",IF(COUNTIFS(Lists!$AN$2:$AN$22,TRIM($B397)&amp;" | "&amp;TRIM($D397),Lists!$AQ$2:$AQ$22,"&lt;&gt;"),INDEX(Lists!$AQ$2:$AQ$22,MATCH(TRIM($B397)&amp;" | "&amp;TRIM($D397),Lists!$AN$2:$AN$22,0)),IF(COUNTIF(Lists!$AF$2:$AF$8,$AJ397),$AJ397,IF(ISNUMBER(SEARCH("head of ",$D397)),"Head of Technology",IF(ISNUMBER(SEARCH("TDD BP",$D397)),"Business Partner",IF(OR(ISNUMBER(SEARCH("domain architect",$D397)),ISNUMBER(SEARCH("enterprise architect",$D397))),"Domain Architect",IF(ISNUMBER(SEARCH("delivery man",$D397)),"Delivery Manager",IF(OR(ISNUMBER(SEARCH("technology manager",$D397)),ISNUMBER(SEARCH("technology manger",$D397)),ISNUMBER(SEARCH("tech manager",$D397))),"Technology Manager","Squad"))))))))</f>
        <v>Squad</v>
      </c>
      <c r="AL397" s="534" t="str">
        <f>IF(TRIM($B397)="","",IF(AND($AM397=1,LEFT($AJ397,4)&lt;&gt;"EGI ",$AJ397&lt;&gt;"EGI"),IFERROR(INDEX(Lists!$Z$2:$Z$20,MATCH($AH397,Lists!$Y$2:$Y$20,0)),"EGI "&amp;$AH397),IF(COUNTIF(Lists!$AU$2:$AU$10,$AJ397),$AJ397,IF(OR(LEFT($AH397,3)="COE",$AH397="EGI"),$AJ397,IF($AK397&lt;&gt;"Squad",$AK397,$AJ397)))))</f>
        <v>Network &amp; QSR</v>
      </c>
      <c r="AM397" s="534" t="b">
        <f>IF(TRIM($B397)="","",--(UPPER(TRIM($K397))="EGI"))</f>
        <v>0</v>
      </c>
      <c r="AQ397" s="841" t="inlineStr">
        <is>
          <t>R0396</t>
        </is>
      </c>
      <c r="AZ397" s="841" t="n"/>
    </row>
    <row r="398" ht="18" customHeight="1" s="535">
      <c r="A398" s="842" t="inlineStr">
        <is>
          <t>V</t>
        </is>
      </c>
      <c r="B398" s="843" t="inlineStr">
        <is>
          <t>Vacant</t>
        </is>
      </c>
      <c r="C398" s="842" t="inlineStr">
        <is>
          <t>V</t>
        </is>
      </c>
      <c r="D398" s="843" t="inlineStr">
        <is>
          <t>Business Analyst</t>
        </is>
      </c>
      <c r="E398" s="843" t="inlineStr">
        <is>
          <t>Vanessa Allen</t>
        </is>
      </c>
      <c r="F398" s="843" t="inlineStr">
        <is>
          <t>Delivery Manager, Ampol Retail</t>
        </is>
      </c>
      <c r="G398" s="844" t="inlineStr">
        <is>
          <t>Ampol Retail &amp; Z</t>
        </is>
      </c>
      <c r="H398" s="843" t="inlineStr">
        <is>
          <t>Ampol Retail</t>
        </is>
      </c>
      <c r="I398" s="843" t="inlineStr">
        <is>
          <t>Ampol Retail, Delivery</t>
        </is>
      </c>
      <c r="J398" s="843" t="inlineStr">
        <is>
          <t>Retail</t>
        </is>
      </c>
      <c r="K398" s="843" t="inlineStr">
        <is>
          <t>Store Operations</t>
        </is>
      </c>
      <c r="L398" s="843" t="inlineStr">
        <is>
          <t>POS</t>
        </is>
      </c>
      <c r="M398" s="843" t="n"/>
      <c r="N398" s="845" t="inlineStr">
        <is>
          <t>Australia</t>
        </is>
      </c>
      <c r="O398" s="846" t="inlineStr">
        <is>
          <t>CIB</t>
        </is>
      </c>
      <c r="P398" s="847" t="n">
        <v>1</v>
      </c>
      <c r="Q398" s="846" t="n"/>
      <c r="R398" s="847" t="inlineStr">
        <is>
          <t>v</t>
        </is>
      </c>
      <c r="S398" s="847" t="n"/>
      <c r="T398" s="847" t="n"/>
      <c r="U398" s="848" t="n">
        <v>129659</v>
      </c>
      <c r="V398" s="849" t="n">
        <v>129659</v>
      </c>
      <c r="W398" s="850" t="n">
        <v>0.1</v>
      </c>
      <c r="X398" s="847" t="n">
        <v>0.055</v>
      </c>
      <c r="Y398" s="850" t="n">
        <v>0.12</v>
      </c>
      <c r="Z398" s="851" t="n"/>
      <c r="AA398" s="850" t="n">
        <v>0.04</v>
      </c>
      <c r="AB398" s="852" t="n">
        <v>170501.585</v>
      </c>
      <c r="AD398" s="866" t="n"/>
      <c r="AE398" s="866">
        <f>IF(TRIM($B398)="","",IF(AND(N($P398)&gt;0,N($P398)&lt;1),N($AB398)*N($P398),N($AB398)))</f>
        <v>170501.585</v>
      </c>
      <c r="AF398" s="866" t="str">
        <f>IF(TRIM($B398)="","",IF(OR(ISNUMBER(SEARCH("vacant",$B398)),ISNUMBER(SEARCH("ring fenced",$B398)),LOWER(TRIM($B398))="remove"),"Vacant","Filled"))</f>
        <v>Vacant</v>
      </c>
      <c r="AG398" s="866" t="b">
        <f>IF(TRIM($B398)="","",--ISNUMBER(SEARCH("ring fenced",$B398)))</f>
        <v>0</v>
      </c>
      <c r="AH398" s="866" t="str">
        <f>IF(TRIM($B398)="","",IF(COUNTIFS(Lists!$AN$2:$AN$22,TRIM($B398)&amp;" | "&amp;TRIM($D398),Lists!$AO$2:$AO$22,"&lt;&gt;"),INDEX(Lists!$AO$2:$AO$22,MATCH(TRIM($B398)&amp;" | "&amp;TRIM($D398),Lists!$AN$2:$AN$22,0)),IF(COUNTIF(Lists!$AR$2:$AR$3,$AJ398),"TDD Cyber",IF(AND(LEFT($AJ398,4)="EGI ",ISNUMBER(MATCH(TRIM(MID($AJ398,5,99)),Lists!$AS$2:$AS$12,0))),TRIM(MID($AJ398,5,99)),IF(AND(LEFT($AJ398,4)="EGI ",ISNUMBER(MATCH(TRIM(MID($AJ398,5,99)),Lists!$T$2:$T$21,0))),INDEX(Lists!$U$2:$U$21,MATCH(TRIM(MID($AJ398,5,99)),Lists!$T$2:$T$21,0)),IF(OR(TRIM($J398)="",UPPER(TRIM($J398))="NA"),IFERROR(INDEX(Lists!$R$2:$R$9,MATCH(TRIM($G398),Lists!$Q$2:$Q$9,0)),"UNMAPPED"),IFERROR(INDEX(Lists!$U$2:$U$21,MATCH(TRIM($J398),Lists!$T$2:$T$21,0)),IFERROR(INDEX(Lists!$R$2:$R$9,MATCH(TRIM($G398),Lists!$Q$2:$Q$9,0)),"UNMAPPED"))))))))</f>
        <v>Ampol Retail</v>
      </c>
      <c r="AI398" s="534" t="b">
        <f>IF(TRIM($B398)="","",--OR(TRIM($L398)="Leadership",TRIM($K398)="Leadership"))</f>
        <v>0</v>
      </c>
      <c r="AJ398" s="534" t="str">
        <f>IF(TRIM($B398)="","",IF(COUNTIFS(Lists!$AN$2:$AN$22,TRIM($B398)&amp;" | "&amp;TRIM($D398),Lists!$AP$2:$AP$22,"&lt;&gt;"),INDEX(Lists!$AP$2:$AP$22,MATCH(TRIM($B398)&amp;" | "&amp;TRIM($D398),Lists!$AN$2:$AN$22,0)),IF($AI398=1,"Leadership",IFERROR(INDEX(Lists!$X$2:$X$21,MATCH(TRIM($L398),Lists!$W$2:$W$21,0)),IF(OR(TRIM($L398)="",LOWER(TRIM($L398))="na"),IF(TRIM($H398)="","Unassigned",TRIM($H398)),TRIM($L398))))))</f>
        <v>POS</v>
      </c>
      <c r="AK398" s="534" t="str">
        <f>IF(TRIM($B398)="","",IF(COUNTIFS(Lists!$AN$2:$AN$22,TRIM($B398)&amp;" | "&amp;TRIM($D398),Lists!$AQ$2:$AQ$22,"&lt;&gt;"),INDEX(Lists!$AQ$2:$AQ$22,MATCH(TRIM($B398)&amp;" | "&amp;TRIM($D398),Lists!$AN$2:$AN$22,0)),IF(COUNTIF(Lists!$AF$2:$AF$8,$AJ398),$AJ398,IF(ISNUMBER(SEARCH("head of ",$D398)),"Head of Technology",IF(ISNUMBER(SEARCH("TDD BP",$D398)),"Business Partner",IF(OR(ISNUMBER(SEARCH("domain architect",$D398)),ISNUMBER(SEARCH("enterprise architect",$D398))),"Domain Architect",IF(ISNUMBER(SEARCH("delivery man",$D398)),"Delivery Manager",IF(OR(ISNUMBER(SEARCH("technology manager",$D398)),ISNUMBER(SEARCH("technology manger",$D398)),ISNUMBER(SEARCH("tech manager",$D398))),"Technology Manager","Squad"))))))))</f>
        <v>Squad</v>
      </c>
      <c r="AL398" s="534" t="str">
        <f>IF(TRIM($B398)="","",IF(AND($AM398=1,LEFT($AJ398,4)&lt;&gt;"EGI ",$AJ398&lt;&gt;"EGI"),IFERROR(INDEX(Lists!$Z$2:$Z$20,MATCH($AH398,Lists!$Y$2:$Y$20,0)),"EGI "&amp;$AH398),IF(COUNTIF(Lists!$AU$2:$AU$10,$AJ398),$AJ398,IF(OR(LEFT($AH398,3)="COE",$AH398="EGI"),$AJ398,IF($AK398&lt;&gt;"Squad",$AK398,$AJ398)))))</f>
        <v>POS</v>
      </c>
      <c r="AM398" s="534" t="b">
        <f>IF(TRIM($B398)="","",--(UPPER(TRIM($K398))="EGI"))</f>
        <v>0</v>
      </c>
      <c r="AQ398" s="841" t="inlineStr">
        <is>
          <t>R0397</t>
        </is>
      </c>
      <c r="AZ398" s="841" t="n"/>
    </row>
    <row r="399" ht="18" customHeight="1" s="535">
      <c r="A399" s="842" t="n">
        <v>98158</v>
      </c>
      <c r="B399" s="843" t="inlineStr">
        <is>
          <t>Vanessa Trujillo Munoz</t>
        </is>
      </c>
      <c r="C399" s="842" t="n">
        <v>98158</v>
      </c>
      <c r="D399" s="843" t="inlineStr">
        <is>
          <t>Delivery Lead</t>
        </is>
      </c>
      <c r="E399" s="843" t="inlineStr">
        <is>
          <t>Vanessa Allen</t>
        </is>
      </c>
      <c r="F399" s="843" t="inlineStr">
        <is>
          <t>Delivery Manager, Ampol Retail</t>
        </is>
      </c>
      <c r="G399" s="844" t="inlineStr">
        <is>
          <t>Ampol Retail &amp; Z</t>
        </is>
      </c>
      <c r="H399" s="843" t="inlineStr">
        <is>
          <t>Ampol Retail</t>
        </is>
      </c>
      <c r="I399" s="843" t="inlineStr">
        <is>
          <t>Ampol Retail, Delivery</t>
        </is>
      </c>
      <c r="J399" s="843" t="inlineStr">
        <is>
          <t>Retail</t>
        </is>
      </c>
      <c r="K399" s="843" t="inlineStr">
        <is>
          <t>Network/QSR</t>
        </is>
      </c>
      <c r="L399" s="843" t="inlineStr">
        <is>
          <t>Network &amp; QSR</t>
        </is>
      </c>
      <c r="M399" s="843" t="n"/>
      <c r="N399" s="845" t="inlineStr">
        <is>
          <t>Australia</t>
        </is>
      </c>
      <c r="O399" s="846" t="inlineStr">
        <is>
          <t>CIB</t>
        </is>
      </c>
      <c r="P399" s="847" t="n">
        <v>1</v>
      </c>
      <c r="Q399" s="847" t="n"/>
      <c r="R399" s="847" t="inlineStr">
        <is>
          <t>Permanent - Full Time</t>
        </is>
      </c>
      <c r="S399" s="847" t="n"/>
      <c r="T399" s="847" t="n"/>
      <c r="U399" s="848" t="n">
        <v>136670</v>
      </c>
      <c r="V399" s="849" t="n">
        <v>136670</v>
      </c>
      <c r="W399" s="850" t="n">
        <v>0.12</v>
      </c>
      <c r="X399" s="847" t="n">
        <v>0.055</v>
      </c>
      <c r="Y399" s="850" t="n">
        <v>0.12</v>
      </c>
      <c r="Z399" s="851" t="n"/>
      <c r="AA399" s="850" t="n">
        <v>0.04</v>
      </c>
      <c r="AB399" s="852" t="n">
        <v>182454.45</v>
      </c>
      <c r="AD399" s="866" t="n"/>
      <c r="AE399" s="866">
        <f>IF(TRIM($B399)="","",IF(AND(N($P399)&gt;0,N($P399)&lt;1),N($AB399)*N($P399),N($AB399)))</f>
        <v>182454.45</v>
      </c>
      <c r="AF399" s="866" t="str">
        <f>IF(TRIM($B399)="","",IF(OR(ISNUMBER(SEARCH("vacant",$B399)),ISNUMBER(SEARCH("ring fenced",$B399)),LOWER(TRIM($B399))="remove"),"Vacant","Filled"))</f>
        <v>Filled</v>
      </c>
      <c r="AG399" s="866" t="b">
        <f>IF(TRIM($B399)="","",--ISNUMBER(SEARCH("ring fenced",$B399)))</f>
        <v>0</v>
      </c>
      <c r="AH399" s="866" t="str">
        <f>IF(TRIM($B399)="","",IF(COUNTIFS(Lists!$AN$2:$AN$22,TRIM($B399)&amp;" | "&amp;TRIM($D399),Lists!$AO$2:$AO$22,"&lt;&gt;"),INDEX(Lists!$AO$2:$AO$22,MATCH(TRIM($B399)&amp;" | "&amp;TRIM($D399),Lists!$AN$2:$AN$22,0)),IF(COUNTIF(Lists!$AR$2:$AR$3,$AJ399),"TDD Cyber",IF(AND(LEFT($AJ399,4)="EGI ",ISNUMBER(MATCH(TRIM(MID($AJ399,5,99)),Lists!$AS$2:$AS$12,0))),TRIM(MID($AJ399,5,99)),IF(AND(LEFT($AJ399,4)="EGI ",ISNUMBER(MATCH(TRIM(MID($AJ399,5,99)),Lists!$T$2:$T$21,0))),INDEX(Lists!$U$2:$U$21,MATCH(TRIM(MID($AJ399,5,99)),Lists!$T$2:$T$21,0)),IF(OR(TRIM($J399)="",UPPER(TRIM($J399))="NA"),IFERROR(INDEX(Lists!$R$2:$R$9,MATCH(TRIM($G399),Lists!$Q$2:$Q$9,0)),"UNMAPPED"),IFERROR(INDEX(Lists!$U$2:$U$21,MATCH(TRIM($J399),Lists!$T$2:$T$21,0)),IFERROR(INDEX(Lists!$R$2:$R$9,MATCH(TRIM($G399),Lists!$Q$2:$Q$9,0)),"UNMAPPED"))))))))</f>
        <v>Ampol Retail</v>
      </c>
      <c r="AI399" s="534" t="b">
        <f>IF(TRIM($B399)="","",--OR(TRIM($L399)="Leadership",TRIM($K399)="Leadership"))</f>
        <v>0</v>
      </c>
      <c r="AJ399" s="534" t="str">
        <f>IF(TRIM($B399)="","",IF(COUNTIFS(Lists!$AN$2:$AN$22,TRIM($B399)&amp;" | "&amp;TRIM($D399),Lists!$AP$2:$AP$22,"&lt;&gt;"),INDEX(Lists!$AP$2:$AP$22,MATCH(TRIM($B399)&amp;" | "&amp;TRIM($D399),Lists!$AN$2:$AN$22,0)),IF($AI399=1,"Leadership",IFERROR(INDEX(Lists!$X$2:$X$21,MATCH(TRIM($L399),Lists!$W$2:$W$21,0)),IF(OR(TRIM($L399)="",LOWER(TRIM($L399))="na"),IF(TRIM($H399)="","Unassigned",TRIM($H399)),TRIM($L399))))))</f>
        <v>Network &amp; QSR</v>
      </c>
      <c r="AK399" s="534" t="str">
        <f>IF(TRIM($B399)="","",IF(COUNTIFS(Lists!$AN$2:$AN$22,TRIM($B399)&amp;" | "&amp;TRIM($D399),Lists!$AQ$2:$AQ$22,"&lt;&gt;"),INDEX(Lists!$AQ$2:$AQ$22,MATCH(TRIM($B399)&amp;" | "&amp;TRIM($D399),Lists!$AN$2:$AN$22,0)),IF(COUNTIF(Lists!$AF$2:$AF$8,$AJ399),$AJ399,IF(ISNUMBER(SEARCH("head of ",$D399)),"Head of Technology",IF(ISNUMBER(SEARCH("TDD BP",$D399)),"Business Partner",IF(OR(ISNUMBER(SEARCH("domain architect",$D399)),ISNUMBER(SEARCH("enterprise architect",$D399))),"Domain Architect",IF(ISNUMBER(SEARCH("delivery man",$D399)),"Delivery Manager",IF(OR(ISNUMBER(SEARCH("technology manager",$D399)),ISNUMBER(SEARCH("technology manger",$D399)),ISNUMBER(SEARCH("tech manager",$D399))),"Technology Manager","Squad"))))))))</f>
        <v>Squad</v>
      </c>
      <c r="AL399" s="534" t="str">
        <f>IF(TRIM($B399)="","",IF(AND($AM399=1,LEFT($AJ399,4)&lt;&gt;"EGI ",$AJ399&lt;&gt;"EGI"),IFERROR(INDEX(Lists!$Z$2:$Z$20,MATCH($AH399,Lists!$Y$2:$Y$20,0)),"EGI "&amp;$AH399),IF(COUNTIF(Lists!$AU$2:$AU$10,$AJ399),$AJ399,IF(OR(LEFT($AH399,3)="COE",$AH399="EGI"),$AJ399,IF($AK399&lt;&gt;"Squad",$AK399,$AJ399)))))</f>
        <v>Network &amp; QSR</v>
      </c>
      <c r="AM399" s="534" t="b">
        <f>IF(TRIM($B399)="","",--(UPPER(TRIM($K399))="EGI"))</f>
        <v>0</v>
      </c>
      <c r="AQ399" s="841" t="inlineStr">
        <is>
          <t>R0398</t>
        </is>
      </c>
      <c r="AZ399" s="841" t="n"/>
    </row>
    <row r="400" ht="18" customHeight="1" s="535">
      <c r="A400" s="842" t="n">
        <v>115831</v>
      </c>
      <c r="B400" s="843" t="inlineStr">
        <is>
          <t>Venkat Kedharanathan</t>
        </is>
      </c>
      <c r="C400" s="842" t="n">
        <v>115831</v>
      </c>
      <c r="D400" s="843" t="inlineStr">
        <is>
          <t>Senior Business Analyst</t>
        </is>
      </c>
      <c r="E400" s="843" t="inlineStr">
        <is>
          <t>Vanessa Allen</t>
        </is>
      </c>
      <c r="F400" s="843" t="inlineStr">
        <is>
          <t>Delivery Manager, Ampol Retail</t>
        </is>
      </c>
      <c r="G400" s="844" t="inlineStr">
        <is>
          <t>Ampol Retail &amp; Z</t>
        </is>
      </c>
      <c r="H400" s="843" t="inlineStr">
        <is>
          <t>Ampol Retail</t>
        </is>
      </c>
      <c r="I400" s="843" t="inlineStr">
        <is>
          <t>Ampol Retail, Delivery</t>
        </is>
      </c>
      <c r="J400" s="843" t="inlineStr">
        <is>
          <t>Retail</t>
        </is>
      </c>
      <c r="K400" s="843" t="inlineStr">
        <is>
          <t>Store Operations</t>
        </is>
      </c>
      <c r="L400" s="843" t="inlineStr">
        <is>
          <t>Payments</t>
        </is>
      </c>
      <c r="M400" s="843" t="n"/>
      <c r="N400" s="845" t="inlineStr">
        <is>
          <t>Australia</t>
        </is>
      </c>
      <c r="O400" s="846" t="inlineStr">
        <is>
          <t>CIB</t>
        </is>
      </c>
      <c r="P400" s="847" t="n">
        <v>1</v>
      </c>
      <c r="Q400" s="846" t="n"/>
      <c r="R400" s="847" t="inlineStr">
        <is>
          <t>Permanent - Full Time</t>
        </is>
      </c>
      <c r="S400" s="847" t="n"/>
      <c r="T400" s="847" t="n"/>
      <c r="U400" s="848" t="n">
        <v>160000</v>
      </c>
      <c r="V400" s="849" t="n">
        <v>160000</v>
      </c>
      <c r="W400" s="850" t="n">
        <v>0.12</v>
      </c>
      <c r="X400" s="847" t="n">
        <v>0.055</v>
      </c>
      <c r="Y400" s="850" t="n">
        <v>0.12</v>
      </c>
      <c r="Z400" s="851" t="n"/>
      <c r="AA400" s="850" t="n">
        <v>0.04</v>
      </c>
      <c r="AB400" s="852" t="n">
        <v>213600</v>
      </c>
      <c r="AD400" s="866" t="n"/>
      <c r="AE400" s="866">
        <f>IF(TRIM($B400)="","",IF(AND(N($P400)&gt;0,N($P400)&lt;1),N($AB400)*N($P400),N($AB400)))</f>
        <v>213600</v>
      </c>
      <c r="AF400" s="866" t="str">
        <f>IF(TRIM($B400)="","",IF(OR(ISNUMBER(SEARCH("vacant",$B400)),ISNUMBER(SEARCH("ring fenced",$B400)),LOWER(TRIM($B400))="remove"),"Vacant","Filled"))</f>
        <v>Filled</v>
      </c>
      <c r="AG400" s="866" t="b">
        <f>IF(TRIM($B400)="","",--ISNUMBER(SEARCH("ring fenced",$B400)))</f>
        <v>0</v>
      </c>
      <c r="AH400" s="866" t="str">
        <f>IF(TRIM($B400)="","",IF(COUNTIFS(Lists!$AN$2:$AN$22,TRIM($B400)&amp;" | "&amp;TRIM($D400),Lists!$AO$2:$AO$22,"&lt;&gt;"),INDEX(Lists!$AO$2:$AO$22,MATCH(TRIM($B400)&amp;" | "&amp;TRIM($D400),Lists!$AN$2:$AN$22,0)),IF(COUNTIF(Lists!$AR$2:$AR$3,$AJ400),"TDD Cyber",IF(AND(LEFT($AJ400,4)="EGI ",ISNUMBER(MATCH(TRIM(MID($AJ400,5,99)),Lists!$AS$2:$AS$12,0))),TRIM(MID($AJ400,5,99)),IF(AND(LEFT($AJ400,4)="EGI ",ISNUMBER(MATCH(TRIM(MID($AJ400,5,99)),Lists!$T$2:$T$21,0))),INDEX(Lists!$U$2:$U$21,MATCH(TRIM(MID($AJ400,5,99)),Lists!$T$2:$T$21,0)),IF(OR(TRIM($J400)="",UPPER(TRIM($J400))="NA"),IFERROR(INDEX(Lists!$R$2:$R$9,MATCH(TRIM($G400),Lists!$Q$2:$Q$9,0)),"UNMAPPED"),IFERROR(INDEX(Lists!$U$2:$U$21,MATCH(TRIM($J400),Lists!$T$2:$T$21,0)),IFERROR(INDEX(Lists!$R$2:$R$9,MATCH(TRIM($G400),Lists!$Q$2:$Q$9,0)),"UNMAPPED"))))))))</f>
        <v>Ampol Retail</v>
      </c>
      <c r="AI400" s="534" t="b">
        <f>IF(TRIM($B400)="","",--OR(TRIM($L400)="Leadership",TRIM($K400)="Leadership"))</f>
        <v>0</v>
      </c>
      <c r="AJ400" s="534" t="str">
        <f>IF(TRIM($B400)="","",IF(COUNTIFS(Lists!$AN$2:$AN$22,TRIM($B400)&amp;" | "&amp;TRIM($D400),Lists!$AP$2:$AP$22,"&lt;&gt;"),INDEX(Lists!$AP$2:$AP$22,MATCH(TRIM($B400)&amp;" | "&amp;TRIM($D400),Lists!$AN$2:$AN$22,0)),IF($AI400=1,"Leadership",IFERROR(INDEX(Lists!$X$2:$X$21,MATCH(TRIM($L400),Lists!$W$2:$W$21,0)),IF(OR(TRIM($L400)="",LOWER(TRIM($L400))="na"),IF(TRIM($H400)="","Unassigned",TRIM($H400)),TRIM($L400))))))</f>
        <v>Payments</v>
      </c>
      <c r="AK400" s="534" t="str">
        <f>IF(TRIM($B400)="","",IF(COUNTIFS(Lists!$AN$2:$AN$22,TRIM($B400)&amp;" | "&amp;TRIM($D400),Lists!$AQ$2:$AQ$22,"&lt;&gt;"),INDEX(Lists!$AQ$2:$AQ$22,MATCH(TRIM($B400)&amp;" | "&amp;TRIM($D400),Lists!$AN$2:$AN$22,0)),IF(COUNTIF(Lists!$AF$2:$AF$8,$AJ400),$AJ400,IF(ISNUMBER(SEARCH("head of ",$D400)),"Head of Technology",IF(ISNUMBER(SEARCH("TDD BP",$D400)),"Business Partner",IF(OR(ISNUMBER(SEARCH("domain architect",$D400)),ISNUMBER(SEARCH("enterprise architect",$D400))),"Domain Architect",IF(ISNUMBER(SEARCH("delivery man",$D400)),"Delivery Manager",IF(OR(ISNUMBER(SEARCH("technology manager",$D400)),ISNUMBER(SEARCH("technology manger",$D400)),ISNUMBER(SEARCH("tech manager",$D400))),"Technology Manager","Squad"))))))))</f>
        <v>Squad</v>
      </c>
      <c r="AL400" s="534" t="str">
        <f>IF(TRIM($B400)="","",IF(AND($AM400=1,LEFT($AJ400,4)&lt;&gt;"EGI ",$AJ400&lt;&gt;"EGI"),IFERROR(INDEX(Lists!$Z$2:$Z$20,MATCH($AH400,Lists!$Y$2:$Y$20,0)),"EGI "&amp;$AH400),IF(COUNTIF(Lists!$AU$2:$AU$10,$AJ400),$AJ400,IF(OR(LEFT($AH400,3)="COE",$AH400="EGI"),$AJ400,IF($AK400&lt;&gt;"Squad",$AK400,$AJ400)))))</f>
        <v>Payments</v>
      </c>
      <c r="AM400" s="534" t="b">
        <f>IF(TRIM($B400)="","",--(UPPER(TRIM($K400))="EGI"))</f>
        <v>0</v>
      </c>
      <c r="AQ400" s="841" t="inlineStr">
        <is>
          <t>R0399</t>
        </is>
      </c>
      <c r="AZ400" s="841" t="n"/>
    </row>
    <row r="401" ht="18" customHeight="1" s="535">
      <c r="A401" s="842" t="n">
        <v>110197</v>
      </c>
      <c r="B401" s="843" t="inlineStr">
        <is>
          <t>Anthony Dumbrell</t>
        </is>
      </c>
      <c r="C401" s="842" t="n">
        <v>110197</v>
      </c>
      <c r="D401" s="843" t="inlineStr">
        <is>
          <t>Technology &amp; Lab Specialist Stores</t>
        </is>
      </c>
      <c r="E401" s="843" t="inlineStr">
        <is>
          <t>Vedran Jukic</t>
        </is>
      </c>
      <c r="F401" s="843" t="inlineStr">
        <is>
          <t>Technology Manager, Retail</t>
        </is>
      </c>
      <c r="G401" s="844" t="inlineStr">
        <is>
          <t>Ampol Retail &amp; Z</t>
        </is>
      </c>
      <c r="H401" s="843" t="inlineStr">
        <is>
          <t>Ampol Retail</t>
        </is>
      </c>
      <c r="I401" s="843" t="inlineStr">
        <is>
          <t>Ampol Retail, Technology</t>
        </is>
      </c>
      <c r="J401" s="843" t="inlineStr">
        <is>
          <t>Retail</t>
        </is>
      </c>
      <c r="K401" s="843" t="inlineStr">
        <is>
          <t>Store Operations</t>
        </is>
      </c>
      <c r="L401" s="843" t="inlineStr">
        <is>
          <t>Deployment</t>
        </is>
      </c>
      <c r="M401" s="843" t="n"/>
      <c r="N401" s="845" t="inlineStr">
        <is>
          <t>Australia</t>
        </is>
      </c>
      <c r="O401" s="846" t="inlineStr">
        <is>
          <t>CIB</t>
        </is>
      </c>
      <c r="P401" s="847" t="n">
        <v>1</v>
      </c>
      <c r="Q401" s="846" t="n"/>
      <c r="R401" s="847" t="inlineStr">
        <is>
          <t>Permanent - Full Time</t>
        </is>
      </c>
      <c r="S401" s="847" t="n"/>
      <c r="T401" s="847" t="n"/>
      <c r="U401" s="848" t="n">
        <v>154360</v>
      </c>
      <c r="V401" s="849" t="n">
        <v>154360</v>
      </c>
      <c r="W401" s="850" t="n">
        <v>0.12</v>
      </c>
      <c r="X401" s="847" t="n">
        <v>0.055</v>
      </c>
      <c r="Y401" s="850" t="n">
        <v>0.12</v>
      </c>
      <c r="Z401" s="851" t="n"/>
      <c r="AA401" s="850" t="n">
        <v>0.04</v>
      </c>
      <c r="AB401" s="852" t="n">
        <v>206070.6</v>
      </c>
      <c r="AD401" s="866" t="n"/>
      <c r="AE401" s="866">
        <f>IF(TRIM($B401)="","",IF(AND(N($P401)&gt;0,N($P401)&lt;1),N($AB401)*N($P401),N($AB401)))</f>
        <v>206070.6</v>
      </c>
      <c r="AF401" s="866" t="str">
        <f>IF(TRIM($B401)="","",IF(OR(ISNUMBER(SEARCH("vacant",$B401)),ISNUMBER(SEARCH("ring fenced",$B401)),LOWER(TRIM($B401))="remove"),"Vacant","Filled"))</f>
        <v>Filled</v>
      </c>
      <c r="AG401" s="866" t="b">
        <f>IF(TRIM($B401)="","",--ISNUMBER(SEARCH("ring fenced",$B401)))</f>
        <v>0</v>
      </c>
      <c r="AH401" s="866" t="str">
        <f>IF(TRIM($B401)="","",IF(COUNTIFS(Lists!$AN$2:$AN$22,TRIM($B401)&amp;" | "&amp;TRIM($D401),Lists!$AO$2:$AO$22,"&lt;&gt;"),INDEX(Lists!$AO$2:$AO$22,MATCH(TRIM($B401)&amp;" | "&amp;TRIM($D401),Lists!$AN$2:$AN$22,0)),IF(COUNTIF(Lists!$AR$2:$AR$3,$AJ401),"TDD Cyber",IF(AND(LEFT($AJ401,4)="EGI ",ISNUMBER(MATCH(TRIM(MID($AJ401,5,99)),Lists!$AS$2:$AS$12,0))),TRIM(MID($AJ401,5,99)),IF(AND(LEFT($AJ401,4)="EGI ",ISNUMBER(MATCH(TRIM(MID($AJ401,5,99)),Lists!$T$2:$T$21,0))),INDEX(Lists!$U$2:$U$21,MATCH(TRIM(MID($AJ401,5,99)),Lists!$T$2:$T$21,0)),IF(OR(TRIM($J401)="",UPPER(TRIM($J401))="NA"),IFERROR(INDEX(Lists!$R$2:$R$9,MATCH(TRIM($G401),Lists!$Q$2:$Q$9,0)),"UNMAPPED"),IFERROR(INDEX(Lists!$U$2:$U$21,MATCH(TRIM($J401),Lists!$T$2:$T$21,0)),IFERROR(INDEX(Lists!$R$2:$R$9,MATCH(TRIM($G401),Lists!$Q$2:$Q$9,0)),"UNMAPPED"))))))))</f>
        <v>Ampol Retail</v>
      </c>
      <c r="AI401" s="534" t="b">
        <f>IF(TRIM($B401)="","",--OR(TRIM($L401)="Leadership",TRIM($K401)="Leadership"))</f>
        <v>0</v>
      </c>
      <c r="AJ401" s="534" t="str">
        <f>IF(TRIM($B401)="","",IF(COUNTIFS(Lists!$AN$2:$AN$22,TRIM($B401)&amp;" | "&amp;TRIM($D401),Lists!$AP$2:$AP$22,"&lt;&gt;"),INDEX(Lists!$AP$2:$AP$22,MATCH(TRIM($B401)&amp;" | "&amp;TRIM($D401),Lists!$AN$2:$AN$22,0)),IF($AI401=1,"Leadership",IFERROR(INDEX(Lists!$X$2:$X$21,MATCH(TRIM($L401),Lists!$W$2:$W$21,0)),IF(OR(TRIM($L401)="",LOWER(TRIM($L401))="na"),IF(TRIM($H401)="","Unassigned",TRIM($H401)),TRIM($L401))))))</f>
        <v>Deployment</v>
      </c>
      <c r="AK401" s="534" t="str">
        <f>IF(TRIM($B401)="","",IF(COUNTIFS(Lists!$AN$2:$AN$22,TRIM($B401)&amp;" | "&amp;TRIM($D401),Lists!$AQ$2:$AQ$22,"&lt;&gt;"),INDEX(Lists!$AQ$2:$AQ$22,MATCH(TRIM($B401)&amp;" | "&amp;TRIM($D401),Lists!$AN$2:$AN$22,0)),IF(COUNTIF(Lists!$AF$2:$AF$8,$AJ401),$AJ401,IF(ISNUMBER(SEARCH("head of ",$D401)),"Head of Technology",IF(ISNUMBER(SEARCH("TDD BP",$D401)),"Business Partner",IF(OR(ISNUMBER(SEARCH("domain architect",$D401)),ISNUMBER(SEARCH("enterprise architect",$D401))),"Domain Architect",IF(ISNUMBER(SEARCH("delivery man",$D401)),"Delivery Manager",IF(OR(ISNUMBER(SEARCH("technology manager",$D401)),ISNUMBER(SEARCH("technology manger",$D401)),ISNUMBER(SEARCH("tech manager",$D401))),"Technology Manager","Squad"))))))))</f>
        <v>Squad</v>
      </c>
      <c r="AL401" s="534" t="str">
        <f>IF(TRIM($B401)="","",IF(AND($AM401=1,LEFT($AJ401,4)&lt;&gt;"EGI ",$AJ401&lt;&gt;"EGI"),IFERROR(INDEX(Lists!$Z$2:$Z$20,MATCH($AH401,Lists!$Y$2:$Y$20,0)),"EGI "&amp;$AH401),IF(COUNTIF(Lists!$AU$2:$AU$10,$AJ401),$AJ401,IF(OR(LEFT($AH401,3)="COE",$AH401="EGI"),$AJ401,IF($AK401&lt;&gt;"Squad",$AK401,$AJ401)))))</f>
        <v>Deployment</v>
      </c>
      <c r="AM401" s="534" t="b">
        <f>IF(TRIM($B401)="","",--(UPPER(TRIM($K401))="EGI"))</f>
        <v>0</v>
      </c>
      <c r="AQ401" s="841" t="inlineStr">
        <is>
          <t>R0400</t>
        </is>
      </c>
      <c r="AZ401" s="841" t="n"/>
    </row>
    <row r="402" ht="18" customHeight="1" s="535">
      <c r="A402" s="842" t="n">
        <v>91356</v>
      </c>
      <c r="B402" s="843" t="inlineStr">
        <is>
          <t>Javier Aguirre Castellanos</t>
        </is>
      </c>
      <c r="C402" s="842" t="n">
        <v>91356</v>
      </c>
      <c r="D402" s="843" t="inlineStr">
        <is>
          <t>Solution Architect</t>
        </is>
      </c>
      <c r="E402" s="843" t="inlineStr">
        <is>
          <t>Vedran Jukic</t>
        </is>
      </c>
      <c r="F402" s="843" t="inlineStr">
        <is>
          <t>Technology Manager, Retail</t>
        </is>
      </c>
      <c r="G402" s="844" t="inlineStr">
        <is>
          <t>Ampol Retail &amp; Z</t>
        </is>
      </c>
      <c r="H402" s="843" t="inlineStr">
        <is>
          <t>Ampol Retail</t>
        </is>
      </c>
      <c r="I402" s="843" t="inlineStr">
        <is>
          <t>Ampol Retail, Technology</t>
        </is>
      </c>
      <c r="J402" s="843" t="inlineStr">
        <is>
          <t>Retail</t>
        </is>
      </c>
      <c r="K402" s="843" t="inlineStr">
        <is>
          <t>Network/QSR</t>
        </is>
      </c>
      <c r="L402" s="843" t="inlineStr">
        <is>
          <t>Network &amp; QSR</t>
        </is>
      </c>
      <c r="M402" s="843" t="n"/>
      <c r="N402" s="845" t="inlineStr">
        <is>
          <t>Australia</t>
        </is>
      </c>
      <c r="O402" s="846" t="inlineStr">
        <is>
          <t>CIB</t>
        </is>
      </c>
      <c r="P402" s="847" t="n">
        <v>1</v>
      </c>
      <c r="Q402" s="846" t="n"/>
      <c r="R402" s="847" t="inlineStr">
        <is>
          <t>Permanent - Full Time</t>
        </is>
      </c>
      <c r="S402" s="847" t="n"/>
      <c r="T402" s="847" t="n"/>
      <c r="U402" s="848" t="n">
        <v>115000</v>
      </c>
      <c r="V402" s="849" t="n">
        <v>105800</v>
      </c>
      <c r="W402" s="850" t="n">
        <v>0.15</v>
      </c>
      <c r="X402" s="847" t="n"/>
      <c r="Y402" s="850" t="n">
        <v>0.05</v>
      </c>
      <c r="Z402" s="851" t="n">
        <v>2910</v>
      </c>
      <c r="AA402" s="850" t="n">
        <v>0.03</v>
      </c>
      <c r="AB402" s="852" t="n">
        <v>133044</v>
      </c>
      <c r="AD402" s="866" t="n"/>
      <c r="AE402" s="866">
        <f>IF(TRIM($B402)="","",IF(AND(N($P402)&gt;0,N($P402)&lt;1),N($AB402)*N($P402),N($AB402)))</f>
        <v>133044</v>
      </c>
      <c r="AF402" s="866" t="str">
        <f>IF(TRIM($B402)="","",IF(OR(ISNUMBER(SEARCH("vacant",$B402)),ISNUMBER(SEARCH("ring fenced",$B402)),LOWER(TRIM($B402))="remove"),"Vacant","Filled"))</f>
        <v>Filled</v>
      </c>
      <c r="AG402" s="866" t="b">
        <f>IF(TRIM($B402)="","",--ISNUMBER(SEARCH("ring fenced",$B402)))</f>
        <v>0</v>
      </c>
      <c r="AH402" s="866" t="str">
        <f>IF(TRIM($B402)="","",IF(COUNTIFS(Lists!$AN$2:$AN$22,TRIM($B402)&amp;" | "&amp;TRIM($D402),Lists!$AO$2:$AO$22,"&lt;&gt;"),INDEX(Lists!$AO$2:$AO$22,MATCH(TRIM($B402)&amp;" | "&amp;TRIM($D402),Lists!$AN$2:$AN$22,0)),IF(COUNTIF(Lists!$AR$2:$AR$3,$AJ402),"TDD Cyber",IF(AND(LEFT($AJ402,4)="EGI ",ISNUMBER(MATCH(TRIM(MID($AJ402,5,99)),Lists!$AS$2:$AS$12,0))),TRIM(MID($AJ402,5,99)),IF(AND(LEFT($AJ402,4)="EGI ",ISNUMBER(MATCH(TRIM(MID($AJ402,5,99)),Lists!$T$2:$T$21,0))),INDEX(Lists!$U$2:$U$21,MATCH(TRIM(MID($AJ402,5,99)),Lists!$T$2:$T$21,0)),IF(OR(TRIM($J402)="",UPPER(TRIM($J402))="NA"),IFERROR(INDEX(Lists!$R$2:$R$9,MATCH(TRIM($G402),Lists!$Q$2:$Q$9,0)),"UNMAPPED"),IFERROR(INDEX(Lists!$U$2:$U$21,MATCH(TRIM($J402),Lists!$T$2:$T$21,0)),IFERROR(INDEX(Lists!$R$2:$R$9,MATCH(TRIM($G402),Lists!$Q$2:$Q$9,0)),"UNMAPPED"))))))))</f>
        <v>Ampol Retail</v>
      </c>
      <c r="AI402" s="534" t="b">
        <f>IF(TRIM($B402)="","",--OR(TRIM($L402)="Leadership",TRIM($K402)="Leadership"))</f>
        <v>0</v>
      </c>
      <c r="AJ402" s="534" t="str">
        <f>IF(TRIM($B402)="","",IF(COUNTIFS(Lists!$AN$2:$AN$22,TRIM($B402)&amp;" | "&amp;TRIM($D402),Lists!$AP$2:$AP$22,"&lt;&gt;"),INDEX(Lists!$AP$2:$AP$22,MATCH(TRIM($B402)&amp;" | "&amp;TRIM($D402),Lists!$AN$2:$AN$22,0)),IF($AI402=1,"Leadership",IFERROR(INDEX(Lists!$X$2:$X$21,MATCH(TRIM($L402),Lists!$W$2:$W$21,0)),IF(OR(TRIM($L402)="",LOWER(TRIM($L402))="na"),IF(TRIM($H402)="","Unassigned",TRIM($H402)),TRIM($L402))))))</f>
        <v>Network &amp; QSR</v>
      </c>
      <c r="AK402" s="534" t="str">
        <f>IF(TRIM($B402)="","",IF(COUNTIFS(Lists!$AN$2:$AN$22,TRIM($B402)&amp;" | "&amp;TRIM($D402),Lists!$AQ$2:$AQ$22,"&lt;&gt;"),INDEX(Lists!$AQ$2:$AQ$22,MATCH(TRIM($B402)&amp;" | "&amp;TRIM($D402),Lists!$AN$2:$AN$22,0)),IF(COUNTIF(Lists!$AF$2:$AF$8,$AJ402),$AJ402,IF(ISNUMBER(SEARCH("head of ",$D402)),"Head of Technology",IF(ISNUMBER(SEARCH("TDD BP",$D402)),"Business Partner",IF(OR(ISNUMBER(SEARCH("domain architect",$D402)),ISNUMBER(SEARCH("enterprise architect",$D402))),"Domain Architect",IF(ISNUMBER(SEARCH("delivery man",$D402)),"Delivery Manager",IF(OR(ISNUMBER(SEARCH("technology manager",$D402)),ISNUMBER(SEARCH("technology manger",$D402)),ISNUMBER(SEARCH("tech manager",$D402))),"Technology Manager","Squad"))))))))</f>
        <v>Squad</v>
      </c>
      <c r="AL402" s="534" t="str">
        <f>IF(TRIM($B402)="","",IF(AND($AM402=1,LEFT($AJ402,4)&lt;&gt;"EGI ",$AJ402&lt;&gt;"EGI"),IFERROR(INDEX(Lists!$Z$2:$Z$20,MATCH($AH402,Lists!$Y$2:$Y$20,0)),"EGI "&amp;$AH402),IF(COUNTIF(Lists!$AU$2:$AU$10,$AJ402),$AJ402,IF(OR(LEFT($AH402,3)="COE",$AH402="EGI"),$AJ402,IF($AK402&lt;&gt;"Squad",$AK402,$AJ402)))))</f>
        <v>Network &amp; QSR</v>
      </c>
      <c r="AM402" s="534" t="b">
        <f>IF(TRIM($B402)="","",--(UPPER(TRIM($K402))="EGI"))</f>
        <v>0</v>
      </c>
      <c r="AQ402" s="841" t="inlineStr">
        <is>
          <t>R0401</t>
        </is>
      </c>
      <c r="AZ402" s="841" t="n"/>
    </row>
    <row r="403" ht="18" customHeight="1" s="535">
      <c r="A403" s="842" t="n">
        <v>114616</v>
      </c>
      <c r="B403" s="843" t="inlineStr">
        <is>
          <t>Marty O'Shea</t>
        </is>
      </c>
      <c r="C403" s="842" t="n">
        <v>114616</v>
      </c>
      <c r="D403" s="843" t="inlineStr">
        <is>
          <t>Systems Analyst</t>
        </is>
      </c>
      <c r="E403" s="843" t="inlineStr">
        <is>
          <t>Vedran Jukic</t>
        </is>
      </c>
      <c r="F403" s="843" t="inlineStr">
        <is>
          <t>Technology Manager, Retail</t>
        </is>
      </c>
      <c r="G403" s="844" t="inlineStr">
        <is>
          <t>Ampol Retail &amp; Z</t>
        </is>
      </c>
      <c r="H403" s="843" t="inlineStr">
        <is>
          <t>Ampol Retail</t>
        </is>
      </c>
      <c r="I403" s="843" t="inlineStr">
        <is>
          <t>Ampol Retail, Technology</t>
        </is>
      </c>
      <c r="J403" s="843" t="inlineStr">
        <is>
          <t>EGI Integration</t>
        </is>
      </c>
      <c r="K403" s="843" t="inlineStr">
        <is>
          <t>EGI</t>
        </is>
      </c>
      <c r="L403" s="843" t="inlineStr">
        <is>
          <t>EGI Retail</t>
        </is>
      </c>
      <c r="M403" s="843" t="n"/>
      <c r="N403" s="845" t="inlineStr">
        <is>
          <t>Australia</t>
        </is>
      </c>
      <c r="O403" s="846" t="inlineStr">
        <is>
          <t>CIB</t>
        </is>
      </c>
      <c r="P403" s="847" t="n">
        <v>1</v>
      </c>
      <c r="Q403" s="847" t="n"/>
      <c r="R403" s="847" t="inlineStr">
        <is>
          <t>Permanent - Full Time</t>
        </is>
      </c>
      <c r="S403" s="847" t="n"/>
      <c r="T403" s="847" t="n"/>
      <c r="U403" s="848" t="n">
        <v>185140</v>
      </c>
      <c r="V403" s="849" t="n">
        <v>185140</v>
      </c>
      <c r="W403" s="850" t="n">
        <v>0.12</v>
      </c>
      <c r="X403" s="847" t="n">
        <v>0.055</v>
      </c>
      <c r="Y403" s="850" t="n">
        <v>0.12</v>
      </c>
      <c r="Z403" s="851" t="n"/>
      <c r="AA403" s="850" t="n">
        <v>0.04</v>
      </c>
      <c r="AB403" s="852" t="n">
        <v>247161.9</v>
      </c>
      <c r="AD403" s="866" t="n"/>
      <c r="AE403" s="866">
        <f>IF(TRIM($B403)="","",IF(AND(N($P403)&gt;0,N($P403)&lt;1),N($AB403)*N($P403),N($AB403)))</f>
        <v>247161.9</v>
      </c>
      <c r="AF403" s="866" t="str">
        <f>IF(TRIM($B403)="","",IF(OR(ISNUMBER(SEARCH("vacant",$B403)),ISNUMBER(SEARCH("ring fenced",$B403)),LOWER(TRIM($B403))="remove"),"Vacant","Filled"))</f>
        <v>Filled</v>
      </c>
      <c r="AG403" s="866" t="b">
        <f>IF(TRIM($B403)="","",--ISNUMBER(SEARCH("ring fenced",$B403)))</f>
        <v>0</v>
      </c>
      <c r="AH403" s="866" t="str">
        <f>IF(TRIM($B403)="","",IF(COUNTIFS(Lists!$AN$2:$AN$22,TRIM($B403)&amp;" | "&amp;TRIM($D403),Lists!$AO$2:$AO$22,"&lt;&gt;"),INDEX(Lists!$AO$2:$AO$22,MATCH(TRIM($B403)&amp;" | "&amp;TRIM($D403),Lists!$AN$2:$AN$22,0)),IF(COUNTIF(Lists!$AR$2:$AR$3,$AJ403),"TDD Cyber",IF(AND(LEFT($AJ403,4)="EGI ",ISNUMBER(MATCH(TRIM(MID($AJ403,5,99)),Lists!$AS$2:$AS$12,0))),TRIM(MID($AJ403,5,99)),IF(AND(LEFT($AJ403,4)="EGI ",ISNUMBER(MATCH(TRIM(MID($AJ403,5,99)),Lists!$T$2:$T$21,0))),INDEX(Lists!$U$2:$U$21,MATCH(TRIM(MID($AJ403,5,99)),Lists!$T$2:$T$21,0)),IF(OR(TRIM($J403)="",UPPER(TRIM($J403))="NA"),IFERROR(INDEX(Lists!$R$2:$R$9,MATCH(TRIM($G403),Lists!$Q$2:$Q$9,0)),"UNMAPPED"),IFERROR(INDEX(Lists!$U$2:$U$21,MATCH(TRIM($J403),Lists!$T$2:$T$21,0)),IFERROR(INDEX(Lists!$R$2:$R$9,MATCH(TRIM($G403),Lists!$Q$2:$Q$9,0)),"UNMAPPED"))))))))</f>
        <v>Ampol Retail</v>
      </c>
      <c r="AI403" s="534" t="b">
        <f>IF(TRIM($B403)="","",--OR(TRIM($L403)="Leadership",TRIM($K403)="Leadership"))</f>
        <v>0</v>
      </c>
      <c r="AJ403" s="534" t="str">
        <f>IF(TRIM($B403)="","",IF(COUNTIFS(Lists!$AN$2:$AN$22,TRIM($B403)&amp;" | "&amp;TRIM($D403),Lists!$AP$2:$AP$22,"&lt;&gt;"),INDEX(Lists!$AP$2:$AP$22,MATCH(TRIM($B403)&amp;" | "&amp;TRIM($D403),Lists!$AN$2:$AN$22,0)),IF($AI403=1,"Leadership",IFERROR(INDEX(Lists!$X$2:$X$21,MATCH(TRIM($L403),Lists!$W$2:$W$21,0)),IF(OR(TRIM($L403)="",LOWER(TRIM($L403))="na"),IF(TRIM($H403)="","Unassigned",TRIM($H403)),TRIM($L403))))))</f>
        <v>EGI Retail</v>
      </c>
      <c r="AK403" s="534" t="str">
        <f>IF(TRIM($B403)="","",IF(COUNTIFS(Lists!$AN$2:$AN$22,TRIM($B403)&amp;" | "&amp;TRIM($D403),Lists!$AQ$2:$AQ$22,"&lt;&gt;"),INDEX(Lists!$AQ$2:$AQ$22,MATCH(TRIM($B403)&amp;" | "&amp;TRIM($D403),Lists!$AN$2:$AN$22,0)),IF(COUNTIF(Lists!$AF$2:$AF$8,$AJ403),$AJ403,IF(ISNUMBER(SEARCH("head of ",$D403)),"Head of Technology",IF(ISNUMBER(SEARCH("TDD BP",$D403)),"Business Partner",IF(OR(ISNUMBER(SEARCH("domain architect",$D403)),ISNUMBER(SEARCH("enterprise architect",$D403))),"Domain Architect",IF(ISNUMBER(SEARCH("delivery man",$D403)),"Delivery Manager",IF(OR(ISNUMBER(SEARCH("technology manager",$D403)),ISNUMBER(SEARCH("technology manger",$D403)),ISNUMBER(SEARCH("tech manager",$D403))),"Technology Manager","Squad"))))))))</f>
        <v>Squad</v>
      </c>
      <c r="AL403" s="534" t="str">
        <f>IF(TRIM($B403)="","",IF(AND($AM403=1,LEFT($AJ403,4)&lt;&gt;"EGI ",$AJ403&lt;&gt;"EGI"),IFERROR(INDEX(Lists!$Z$2:$Z$20,MATCH($AH403,Lists!$Y$2:$Y$20,0)),"EGI "&amp;$AH403),IF(COUNTIF(Lists!$AU$2:$AU$10,$AJ403),$AJ403,IF(OR(LEFT($AH403,3)="COE",$AH403="EGI"),$AJ403,IF($AK403&lt;&gt;"Squad",$AK403,$AJ403)))))</f>
        <v>EGI Retail</v>
      </c>
      <c r="AM403" s="534" t="b">
        <f>IF(TRIM($B403)="","",--(UPPER(TRIM($K403))="EGI"))</f>
        <v>1</v>
      </c>
      <c r="AQ403" s="841" t="inlineStr">
        <is>
          <t>R0402</t>
        </is>
      </c>
      <c r="AZ403" s="841" t="n"/>
    </row>
    <row r="404" ht="18" customHeight="1" s="535">
      <c r="A404" s="842" t="n">
        <v>106511</v>
      </c>
      <c r="B404" s="843" t="inlineStr">
        <is>
          <t>Catherine Gire</t>
        </is>
      </c>
      <c r="C404" s="842" t="n">
        <v>106511</v>
      </c>
      <c r="D404" s="843" t="inlineStr">
        <is>
          <t>Cyber Technical Business Analyst</t>
        </is>
      </c>
      <c r="E404" s="843" t="inlineStr">
        <is>
          <t>Vivienne Vasak</t>
        </is>
      </c>
      <c r="F404" s="843" t="inlineStr">
        <is>
          <t xml:space="preserve">Portfolio Manger Cyber Security </t>
        </is>
      </c>
      <c r="G404" s="844" t="inlineStr">
        <is>
          <t>Cyber, Risk &amp; Operations</t>
        </is>
      </c>
      <c r="H404" s="843" t="inlineStr">
        <is>
          <t>Cyber Strat &amp; Tech</t>
        </is>
      </c>
      <c r="I404" s="843" t="inlineStr">
        <is>
          <t>Cyber Security Uplift Program</t>
        </is>
      </c>
      <c r="J404" s="843" t="inlineStr">
        <is>
          <t>NA</t>
        </is>
      </c>
      <c r="K404" s="843" t="inlineStr">
        <is>
          <t>NA</t>
        </is>
      </c>
      <c r="L404" s="843" t="inlineStr">
        <is>
          <t>NA</t>
        </is>
      </c>
      <c r="M404" s="843" t="n"/>
      <c r="N404" s="845" t="inlineStr">
        <is>
          <t>Australia</t>
        </is>
      </c>
      <c r="O404" s="846" t="inlineStr">
        <is>
          <t>CIB</t>
        </is>
      </c>
      <c r="P404" s="847" t="n">
        <v>1</v>
      </c>
      <c r="Q404" s="846" t="n"/>
      <c r="R404" s="847" t="inlineStr">
        <is>
          <t>Permanent - Full Time</t>
        </is>
      </c>
      <c r="S404" s="847" t="n"/>
      <c r="T404" s="847" t="n"/>
      <c r="U404" s="848" t="n">
        <v>170160</v>
      </c>
      <c r="V404" s="849" t="n">
        <v>170160</v>
      </c>
      <c r="W404" s="850" t="n">
        <v>0.12</v>
      </c>
      <c r="X404" s="847" t="n">
        <v>0.055</v>
      </c>
      <c r="Y404" s="850" t="n">
        <v>0.12</v>
      </c>
      <c r="Z404" s="851" t="n"/>
      <c r="AA404" s="850" t="n">
        <v>0.04</v>
      </c>
      <c r="AB404" s="852" t="n">
        <v>227163.6</v>
      </c>
      <c r="AD404" s="866" t="n"/>
      <c r="AE404" s="866">
        <f>IF(TRIM($B404)="","",IF(AND(N($P404)&gt;0,N($P404)&lt;1),N($AB404)*N($P404),N($AB404)))</f>
        <v>227163.6</v>
      </c>
      <c r="AF404" s="866" t="str">
        <f>IF(TRIM($B404)="","",IF(OR(ISNUMBER(SEARCH("vacant",$B404)),ISNUMBER(SEARCH("ring fenced",$B404)),LOWER(TRIM($B404))="remove"),"Vacant","Filled"))</f>
        <v>Filled</v>
      </c>
      <c r="AG404" s="866" t="b">
        <f>IF(TRIM($B404)="","",--ISNUMBER(SEARCH("ring fenced",$B404)))</f>
        <v>0</v>
      </c>
      <c r="AH404" s="866" t="str">
        <f>IF(TRIM($B404)="","",IF(COUNTIFS(Lists!$AN$2:$AN$22,TRIM($B404)&amp;" | "&amp;TRIM($D404),Lists!$AO$2:$AO$22,"&lt;&gt;"),INDEX(Lists!$AO$2:$AO$22,MATCH(TRIM($B404)&amp;" | "&amp;TRIM($D404),Lists!$AN$2:$AN$22,0)),IF(COUNTIF(Lists!$AR$2:$AR$3,$AJ404),"TDD Cyber",IF(AND(LEFT($AJ404,4)="EGI ",ISNUMBER(MATCH(TRIM(MID($AJ404,5,99)),Lists!$AS$2:$AS$12,0))),TRIM(MID($AJ404,5,99)),IF(AND(LEFT($AJ404,4)="EGI ",ISNUMBER(MATCH(TRIM(MID($AJ404,5,99)),Lists!$T$2:$T$21,0))),INDEX(Lists!$U$2:$U$21,MATCH(TRIM(MID($AJ404,5,99)),Lists!$T$2:$T$21,0)),IF(OR(TRIM($J404)="",UPPER(TRIM($J404))="NA"),IFERROR(INDEX(Lists!$R$2:$R$9,MATCH(TRIM($G404),Lists!$Q$2:$Q$9,0)),"UNMAPPED"),IFERROR(INDEX(Lists!$U$2:$U$21,MATCH(TRIM($J404),Lists!$T$2:$T$21,0)),IFERROR(INDEX(Lists!$R$2:$R$9,MATCH(TRIM($G404),Lists!$Q$2:$Q$9,0)),"UNMAPPED"))))))))</f>
        <v>TDD Cyber</v>
      </c>
      <c r="AI404" s="534" t="b">
        <f>IF(TRIM($B404)="","",--OR(TRIM($L404)="Leadership",TRIM($K404)="Leadership"))</f>
        <v>0</v>
      </c>
      <c r="AJ404" s="534" t="str">
        <f>IF(TRIM($B404)="","",IF(COUNTIFS(Lists!$AN$2:$AN$22,TRIM($B404)&amp;" | "&amp;TRIM($D404),Lists!$AP$2:$AP$22,"&lt;&gt;"),INDEX(Lists!$AP$2:$AP$22,MATCH(TRIM($B404)&amp;" | "&amp;TRIM($D404),Lists!$AN$2:$AN$22,0)),IF($AI404=1,"Leadership",IFERROR(INDEX(Lists!$X$2:$X$21,MATCH(TRIM($L404),Lists!$W$2:$W$21,0)),IF(OR(TRIM($L404)="",LOWER(TRIM($L404))="na"),IF(TRIM($H404)="","Unassigned",TRIM($H404)),TRIM($L404))))))</f>
        <v>Cyber Uplift</v>
      </c>
      <c r="AK404" s="534" t="str">
        <f>IF(TRIM($B404)="","",IF(COUNTIFS(Lists!$AN$2:$AN$22,TRIM($B404)&amp;" | "&amp;TRIM($D404),Lists!$AQ$2:$AQ$22,"&lt;&gt;"),INDEX(Lists!$AQ$2:$AQ$22,MATCH(TRIM($B404)&amp;" | "&amp;TRIM($D404),Lists!$AN$2:$AN$22,0)),IF(COUNTIF(Lists!$AF$2:$AF$8,$AJ404),$AJ404,IF(ISNUMBER(SEARCH("head of ",$D404)),"Head of Technology",IF(ISNUMBER(SEARCH("TDD BP",$D404)),"Business Partner",IF(OR(ISNUMBER(SEARCH("domain architect",$D404)),ISNUMBER(SEARCH("enterprise architect",$D404))),"Domain Architect",IF(ISNUMBER(SEARCH("delivery man",$D404)),"Delivery Manager",IF(OR(ISNUMBER(SEARCH("technology manager",$D404)),ISNUMBER(SEARCH("technology manger",$D404)),ISNUMBER(SEARCH("tech manager",$D404))),"Technology Manager","Squad"))))))))</f>
        <v>Squad</v>
      </c>
      <c r="AL404" s="534" t="str">
        <f>IF(TRIM($B404)="","",IF(AND($AM404=1,LEFT($AJ404,4)&lt;&gt;"EGI ",$AJ404&lt;&gt;"EGI"),IFERROR(INDEX(Lists!$Z$2:$Z$20,MATCH($AH404,Lists!$Y$2:$Y$20,0)),"EGI "&amp;$AH404),IF(COUNTIF(Lists!$AU$2:$AU$10,$AJ404),$AJ404,IF(OR(LEFT($AH404,3)="COE",$AH404="EGI"),$AJ404,IF($AK404&lt;&gt;"Squad",$AK404,$AJ404)))))</f>
        <v>Cyber Uplift</v>
      </c>
      <c r="AM404" s="534" t="b">
        <f>IF(TRIM($B404)="","",--(UPPER(TRIM($K404))="EGI"))</f>
        <v>0</v>
      </c>
      <c r="AQ404" s="841" t="inlineStr">
        <is>
          <t>R0403</t>
        </is>
      </c>
      <c r="AZ404" s="841" t="n"/>
    </row>
    <row r="405" ht="18" customHeight="1" s="535">
      <c r="A405" s="842" t="n">
        <v>114383</v>
      </c>
      <c r="B405" s="843" t="inlineStr">
        <is>
          <t>Tony Keeler</t>
        </is>
      </c>
      <c r="C405" s="842" t="n">
        <v>114383</v>
      </c>
      <c r="D405" s="843" t="inlineStr">
        <is>
          <t>Cyber Business Analyst</t>
        </is>
      </c>
      <c r="E405" s="843" t="inlineStr">
        <is>
          <t>Vivienne Vasak</t>
        </is>
      </c>
      <c r="F405" s="843" t="inlineStr">
        <is>
          <t xml:space="preserve">Portfolio Manger Cyber Security </t>
        </is>
      </c>
      <c r="G405" s="844" t="inlineStr">
        <is>
          <t>Cyber, Risk &amp; Operations</t>
        </is>
      </c>
      <c r="H405" s="843" t="inlineStr">
        <is>
          <t>Cyber Strat &amp; Tech</t>
        </is>
      </c>
      <c r="I405" s="843" t="inlineStr">
        <is>
          <t>NA</t>
        </is>
      </c>
      <c r="J405" s="843" t="inlineStr">
        <is>
          <t>NA</t>
        </is>
      </c>
      <c r="K405" s="843" t="inlineStr">
        <is>
          <t>NA</t>
        </is>
      </c>
      <c r="L405" s="843" t="inlineStr">
        <is>
          <t>NA</t>
        </is>
      </c>
      <c r="M405" s="843" t="n"/>
      <c r="N405" s="845" t="inlineStr">
        <is>
          <t>Australia</t>
        </is>
      </c>
      <c r="O405" s="846" t="inlineStr">
        <is>
          <t>CIB</t>
        </is>
      </c>
      <c r="P405" s="847" t="n">
        <v>1</v>
      </c>
      <c r="Q405" s="846" t="n"/>
      <c r="R405" s="847" t="inlineStr">
        <is>
          <t>Permanent - Full Time</t>
        </is>
      </c>
      <c r="S405" s="847" t="n"/>
      <c r="T405" s="847" t="n"/>
      <c r="U405" s="848" t="n">
        <v>160000</v>
      </c>
      <c r="V405" s="849" t="n">
        <v>160000</v>
      </c>
      <c r="W405" s="850" t="n">
        <v>0.12</v>
      </c>
      <c r="X405" s="847" t="n">
        <v>0.055</v>
      </c>
      <c r="Y405" s="850" t="n">
        <v>0.12</v>
      </c>
      <c r="Z405" s="851" t="n"/>
      <c r="AA405" s="850" t="n">
        <v>0.04</v>
      </c>
      <c r="AB405" s="852" t="n">
        <v>213600</v>
      </c>
      <c r="AD405" s="866" t="n"/>
      <c r="AE405" s="866">
        <f>IF(TRIM($B405)="","",IF(AND(N($P405)&gt;0,N($P405)&lt;1),N($AB405)*N($P405),N($AB405)))</f>
        <v>213600</v>
      </c>
      <c r="AF405" s="866" t="str">
        <f>IF(TRIM($B405)="","",IF(OR(ISNUMBER(SEARCH("vacant",$B405)),ISNUMBER(SEARCH("ring fenced",$B405)),LOWER(TRIM($B405))="remove"),"Vacant","Filled"))</f>
        <v>Filled</v>
      </c>
      <c r="AG405" s="866" t="b">
        <f>IF(TRIM($B405)="","",--ISNUMBER(SEARCH("ring fenced",$B405)))</f>
        <v>0</v>
      </c>
      <c r="AH405" s="866" t="str">
        <f>IF(TRIM($B405)="","",IF(COUNTIFS(Lists!$AN$2:$AN$22,TRIM($B405)&amp;" | "&amp;TRIM($D405),Lists!$AO$2:$AO$22,"&lt;&gt;"),INDEX(Lists!$AO$2:$AO$22,MATCH(TRIM($B405)&amp;" | "&amp;TRIM($D405),Lists!$AN$2:$AN$22,0)),IF(COUNTIF(Lists!$AR$2:$AR$3,$AJ405),"TDD Cyber",IF(AND(LEFT($AJ405,4)="EGI ",ISNUMBER(MATCH(TRIM(MID($AJ405,5,99)),Lists!$AS$2:$AS$12,0))),TRIM(MID($AJ405,5,99)),IF(AND(LEFT($AJ405,4)="EGI ",ISNUMBER(MATCH(TRIM(MID($AJ405,5,99)),Lists!$T$2:$T$21,0))),INDEX(Lists!$U$2:$U$21,MATCH(TRIM(MID($AJ405,5,99)),Lists!$T$2:$T$21,0)),IF(OR(TRIM($J405)="",UPPER(TRIM($J405))="NA"),IFERROR(INDEX(Lists!$R$2:$R$9,MATCH(TRIM($G405),Lists!$Q$2:$Q$9,0)),"UNMAPPED"),IFERROR(INDEX(Lists!$U$2:$U$21,MATCH(TRIM($J405),Lists!$T$2:$T$21,0)),IFERROR(INDEX(Lists!$R$2:$R$9,MATCH(TRIM($G405),Lists!$Q$2:$Q$9,0)),"UNMAPPED"))))))))</f>
        <v>TDD Cyber</v>
      </c>
      <c r="AI405" s="534" t="b">
        <f>IF(TRIM($B405)="","",--OR(TRIM($L405)="Leadership",TRIM($K405)="Leadership"))</f>
        <v>0</v>
      </c>
      <c r="AJ405" s="534" t="str">
        <f>IF(TRIM($B405)="","",IF(COUNTIFS(Lists!$AN$2:$AN$22,TRIM($B405)&amp;" | "&amp;TRIM($D405),Lists!$AP$2:$AP$22,"&lt;&gt;"),INDEX(Lists!$AP$2:$AP$22,MATCH(TRIM($B405)&amp;" | "&amp;TRIM($D405),Lists!$AN$2:$AN$22,0)),IF($AI405=1,"Leadership",IFERROR(INDEX(Lists!$X$2:$X$21,MATCH(TRIM($L405),Lists!$W$2:$W$21,0)),IF(OR(TRIM($L405)="",LOWER(TRIM($L405))="na"),IF(TRIM($H405)="","Unassigned",TRIM($H405)),TRIM($L405))))))</f>
        <v>Cyber Uplift</v>
      </c>
      <c r="AK405" s="534" t="str">
        <f>IF(TRIM($B405)="","",IF(COUNTIFS(Lists!$AN$2:$AN$22,TRIM($B405)&amp;" | "&amp;TRIM($D405),Lists!$AQ$2:$AQ$22,"&lt;&gt;"),INDEX(Lists!$AQ$2:$AQ$22,MATCH(TRIM($B405)&amp;" | "&amp;TRIM($D405),Lists!$AN$2:$AN$22,0)),IF(COUNTIF(Lists!$AF$2:$AF$8,$AJ405),$AJ405,IF(ISNUMBER(SEARCH("head of ",$D405)),"Head of Technology",IF(ISNUMBER(SEARCH("TDD BP",$D405)),"Business Partner",IF(OR(ISNUMBER(SEARCH("domain architect",$D405)),ISNUMBER(SEARCH("enterprise architect",$D405))),"Domain Architect",IF(ISNUMBER(SEARCH("delivery man",$D405)),"Delivery Manager",IF(OR(ISNUMBER(SEARCH("technology manager",$D405)),ISNUMBER(SEARCH("technology manger",$D405)),ISNUMBER(SEARCH("tech manager",$D405))),"Technology Manager","Squad"))))))))</f>
        <v>Squad</v>
      </c>
      <c r="AL405" s="534" t="str">
        <f>IF(TRIM($B405)="","",IF(AND($AM405=1,LEFT($AJ405,4)&lt;&gt;"EGI ",$AJ405&lt;&gt;"EGI"),IFERROR(INDEX(Lists!$Z$2:$Z$20,MATCH($AH405,Lists!$Y$2:$Y$20,0)),"EGI "&amp;$AH405),IF(COUNTIF(Lists!$AU$2:$AU$10,$AJ405),$AJ405,IF(OR(LEFT($AH405,3)="COE",$AH405="EGI"),$AJ405,IF($AK405&lt;&gt;"Squad",$AK405,$AJ405)))))</f>
        <v>Cyber Uplift</v>
      </c>
      <c r="AM405" s="534" t="b">
        <f>IF(TRIM($B405)="","",--(UPPER(TRIM($K405))="EGI"))</f>
        <v>0</v>
      </c>
      <c r="AQ405" s="841" t="inlineStr">
        <is>
          <t>R0404</t>
        </is>
      </c>
      <c r="AZ405" s="841" t="n"/>
    </row>
    <row r="406" ht="18" customHeight="1" s="535">
      <c r="A406" s="842" t="n">
        <v>113904</v>
      </c>
      <c r="B406" s="843" t="inlineStr">
        <is>
          <t>Sam Turnball</t>
        </is>
      </c>
      <c r="C406" s="842" t="n">
        <v>113904</v>
      </c>
      <c r="D406" s="843" t="inlineStr">
        <is>
          <t>Associate Experience Designer</t>
        </is>
      </c>
      <c r="E406" s="843" t="inlineStr">
        <is>
          <t>Byron Thornhill</t>
        </is>
      </c>
      <c r="F406" s="843" t="inlineStr">
        <is>
          <t>Design Manager</t>
        </is>
      </c>
      <c r="G406" s="844" t="inlineStr">
        <is>
          <t>Customer</t>
        </is>
      </c>
      <c r="H406" s="843" t="inlineStr">
        <is>
          <t>Digital</t>
        </is>
      </c>
      <c r="I406" s="843" t="inlineStr">
        <is>
          <t>Digital, Design</t>
        </is>
      </c>
      <c r="J406" s="843" t="inlineStr">
        <is>
          <t>Z ENERGY (DIGITAL)</t>
        </is>
      </c>
      <c r="K406" s="843" t="inlineStr">
        <is>
          <t>Z Energy (Digitial)</t>
        </is>
      </c>
      <c r="L406" s="843" t="inlineStr">
        <is>
          <t>Z App and Web</t>
        </is>
      </c>
      <c r="M406" s="843" t="n"/>
      <c r="N406" s="845" t="inlineStr">
        <is>
          <t>NZ</t>
        </is>
      </c>
      <c r="O406" s="846" t="inlineStr">
        <is>
          <t>CIA (Sometimes)</t>
        </is>
      </c>
      <c r="P406" s="847" t="n">
        <v>1</v>
      </c>
      <c r="Q406" s="846" t="n"/>
      <c r="R406" s="847" t="inlineStr">
        <is>
          <t>Permanent - Full Time</t>
        </is>
      </c>
      <c r="S406" s="847" t="n"/>
      <c r="T406" s="847" t="n"/>
      <c r="U406" s="848" t="n">
        <v>98480</v>
      </c>
      <c r="V406" s="849" t="n">
        <v>90601.60000000001</v>
      </c>
      <c r="W406" s="850" t="n">
        <v>0.15</v>
      </c>
      <c r="X406" s="847" t="n"/>
      <c r="Y406" s="850" t="n">
        <v>0.05</v>
      </c>
      <c r="Z406" s="851" t="n">
        <v>2910</v>
      </c>
      <c r="AA406" s="850" t="n">
        <v>0.03</v>
      </c>
      <c r="AB406" s="852" t="n">
        <v>114349.968</v>
      </c>
      <c r="AD406" s="866" t="n"/>
      <c r="AE406" s="866">
        <f>IF(TRIM($B406)="","",IF(AND(N($P406)&gt;0,N($P406)&lt;1),N($AB406)*N($P406),N($AB406)))</f>
        <v>114349.968</v>
      </c>
      <c r="AF406" s="866" t="str">
        <f>IF(TRIM($B406)="","",IF(OR(ISNUMBER(SEARCH("vacant",$B406)),ISNUMBER(SEARCH("ring fenced",$B406)),LOWER(TRIM($B406))="remove"),"Vacant","Filled"))</f>
        <v>Filled</v>
      </c>
      <c r="AG406" s="866" t="b">
        <f>IF(TRIM($B406)="","",--ISNUMBER(SEARCH("ring fenced",$B406)))</f>
        <v>0</v>
      </c>
      <c r="AH406" s="866" t="str">
        <f>IF(TRIM($B406)="","",IF(COUNTIFS(Lists!$AN$2:$AN$22,TRIM($B406)&amp;" | "&amp;TRIM($D406),Lists!$AO$2:$AO$22,"&lt;&gt;"),INDEX(Lists!$AO$2:$AO$22,MATCH(TRIM($B406)&amp;" | "&amp;TRIM($D406),Lists!$AN$2:$AN$22,0)),IF(COUNTIF(Lists!$AR$2:$AR$3,$AJ406),"TDD Cyber",IF(AND(LEFT($AJ406,4)="EGI ",ISNUMBER(MATCH(TRIM(MID($AJ406,5,99)),Lists!$AS$2:$AS$12,0))),TRIM(MID($AJ406,5,99)),IF(AND(LEFT($AJ406,4)="EGI ",ISNUMBER(MATCH(TRIM(MID($AJ406,5,99)),Lists!$T$2:$T$21,0))),INDEX(Lists!$U$2:$U$21,MATCH(TRIM(MID($AJ406,5,99)),Lists!$T$2:$T$21,0)),IF(OR(TRIM($J406)="",UPPER(TRIM($J406))="NA"),IFERROR(INDEX(Lists!$R$2:$R$9,MATCH(TRIM($G406),Lists!$Q$2:$Q$9,0)),"UNMAPPED"),IFERROR(INDEX(Lists!$U$2:$U$21,MATCH(TRIM($J406),Lists!$T$2:$T$21,0)),IFERROR(INDEX(Lists!$R$2:$R$9,MATCH(TRIM($G406),Lists!$Q$2:$Q$9,0)),"UNMAPPED"))))))))</f>
        <v>Customer</v>
      </c>
      <c r="AI406" s="534" t="b">
        <f>IF(TRIM($B406)="","",--OR(TRIM($L406)="Leadership",TRIM($K406)="Leadership"))</f>
        <v>0</v>
      </c>
      <c r="AJ406" s="534" t="str">
        <f>IF(TRIM($B406)="","",IF(COUNTIFS(Lists!$AN$2:$AN$22,TRIM($B406)&amp;" | "&amp;TRIM($D406),Lists!$AP$2:$AP$22,"&lt;&gt;"),INDEX(Lists!$AP$2:$AP$22,MATCH(TRIM($B406)&amp;" | "&amp;TRIM($D406),Lists!$AN$2:$AN$22,0)),IF($AI406=1,"Leadership",IFERROR(INDEX(Lists!$X$2:$X$21,MATCH(TRIM($L406),Lists!$W$2:$W$21,0)),IF(OR(TRIM($L406)="",LOWER(TRIM($L406))="na"),IF(TRIM($H406)="","Unassigned",TRIM($H406)),TRIM($L406))))))</f>
        <v>Z App and Web</v>
      </c>
      <c r="AK406" s="534" t="str">
        <f>IF(TRIM($B406)="","",IF(COUNTIFS(Lists!$AN$2:$AN$22,TRIM($B406)&amp;" | "&amp;TRIM($D406),Lists!$AQ$2:$AQ$22,"&lt;&gt;"),INDEX(Lists!$AQ$2:$AQ$22,MATCH(TRIM($B406)&amp;" | "&amp;TRIM($D406),Lists!$AN$2:$AN$22,0)),IF(COUNTIF(Lists!$AF$2:$AF$8,$AJ406),$AJ406,IF(ISNUMBER(SEARCH("head of ",$D406)),"Head of Technology",IF(ISNUMBER(SEARCH("TDD BP",$D406)),"Business Partner",IF(OR(ISNUMBER(SEARCH("domain architect",$D406)),ISNUMBER(SEARCH("enterprise architect",$D406))),"Domain Architect",IF(ISNUMBER(SEARCH("delivery man",$D406)),"Delivery Manager",IF(OR(ISNUMBER(SEARCH("technology manager",$D406)),ISNUMBER(SEARCH("technology manger",$D406)),ISNUMBER(SEARCH("tech manager",$D406))),"Technology Manager","Squad"))))))))</f>
        <v>Squad</v>
      </c>
      <c r="AL406" s="534" t="str">
        <f>IF(TRIM($B406)="","",IF(AND($AM406=1,LEFT($AJ406,4)&lt;&gt;"EGI ",$AJ406&lt;&gt;"EGI"),IFERROR(INDEX(Lists!$Z$2:$Z$20,MATCH($AH406,Lists!$Y$2:$Y$20,0)),"EGI "&amp;$AH406),IF(COUNTIF(Lists!$AU$2:$AU$10,$AJ406),$AJ406,IF(OR(LEFT($AH406,3)="COE",$AH406="EGI"),$AJ406,IF($AK406&lt;&gt;"Squad",$AK406,$AJ406)))))</f>
        <v>Z App and Web</v>
      </c>
      <c r="AM406" s="534" t="b">
        <f>IF(TRIM($B406)="","",--(UPPER(TRIM($K406))="EGI"))</f>
        <v>0</v>
      </c>
      <c r="AN406" s="534" t="inlineStr">
        <is>
          <t>Filled</t>
        </is>
      </c>
      <c r="AQ406" s="841" t="inlineStr">
        <is>
          <t>R0405</t>
        </is>
      </c>
      <c r="AZ406" s="841" t="n"/>
    </row>
    <row r="407" ht="18" customHeight="1" s="535">
      <c r="A407" s="842" t="n">
        <v>113590</v>
      </c>
      <c r="B407" s="843" t="inlineStr">
        <is>
          <t>Megan Rodgers</t>
        </is>
      </c>
      <c r="C407" s="842" t="n">
        <v>113590</v>
      </c>
      <c r="D407" s="843" t="inlineStr">
        <is>
          <t>Business Analyst</t>
        </is>
      </c>
      <c r="E407" s="843" t="inlineStr">
        <is>
          <t>Jill Martin</t>
        </is>
      </c>
      <c r="F407" s="843" t="inlineStr">
        <is>
          <t>Delivery Manager, Loyalty</t>
        </is>
      </c>
      <c r="G407" s="844" t="inlineStr">
        <is>
          <t>Customer</t>
        </is>
      </c>
      <c r="H407" s="843" t="inlineStr">
        <is>
          <t>Loyalty &amp; Martech</t>
        </is>
      </c>
      <c r="I407" s="843" t="inlineStr">
        <is>
          <t xml:space="preserve">Loyalty, Delivery </t>
        </is>
      </c>
      <c r="J407" s="843" t="inlineStr">
        <is>
          <t>Z ENERGY (DIGITAL)</t>
        </is>
      </c>
      <c r="K407" s="843" t="inlineStr">
        <is>
          <t>Z Loyalty &amp; Martech</t>
        </is>
      </c>
      <c r="L407" s="843" t="inlineStr">
        <is>
          <t>Z Loyalty &amp; Martech</t>
        </is>
      </c>
      <c r="M407" s="843" t="n"/>
      <c r="N407" s="845" t="inlineStr">
        <is>
          <t>NZ</t>
        </is>
      </c>
      <c r="O407" s="846" t="inlineStr">
        <is>
          <t>CIA (Sometimes)</t>
        </is>
      </c>
      <c r="P407" s="847" t="n">
        <v>0.8</v>
      </c>
      <c r="Q407" s="847" t="n"/>
      <c r="R407" s="847" t="inlineStr">
        <is>
          <t>Permanent - Part Time</t>
        </is>
      </c>
      <c r="S407" s="847" t="n"/>
      <c r="T407" s="847" t="n"/>
      <c r="U407" s="848" t="n">
        <v>128530</v>
      </c>
      <c r="V407" s="849" t="n">
        <v>118247.6</v>
      </c>
      <c r="W407" s="850" t="n">
        <v>0.15</v>
      </c>
      <c r="X407" s="847" t="n"/>
      <c r="Y407" s="850" t="n">
        <v>0.05</v>
      </c>
      <c r="Z407" s="851" t="n">
        <v>2910</v>
      </c>
      <c r="AA407" s="850" t="n">
        <v>0.03</v>
      </c>
      <c r="AB407" s="852" t="n">
        <v>148354.548</v>
      </c>
      <c r="AD407" s="866" t="n"/>
      <c r="AE407" s="866">
        <f>IF(TRIM($B407)="","",IF(AND(N($P407)&gt;0,N($P407)&lt;1),N($AB407)*N($P407),N($AB407)))</f>
        <v>118683.6384</v>
      </c>
      <c r="AF407" s="866" t="str">
        <f>IF(TRIM($B407)="","",IF(OR(ISNUMBER(SEARCH("vacant",$B407)),ISNUMBER(SEARCH("ring fenced",$B407)),LOWER(TRIM($B407))="remove"),"Vacant","Filled"))</f>
        <v>Filled</v>
      </c>
      <c r="AG407" s="866" t="b">
        <f>IF(TRIM($B407)="","",--ISNUMBER(SEARCH("ring fenced",$B407)))</f>
        <v>0</v>
      </c>
      <c r="AH407" s="866" t="str">
        <f>IF(TRIM($B407)="","",IF(COUNTIFS(Lists!$AN$2:$AN$22,TRIM($B407)&amp;" | "&amp;TRIM($D407),Lists!$AO$2:$AO$22,"&lt;&gt;"),INDEX(Lists!$AO$2:$AO$22,MATCH(TRIM($B407)&amp;" | "&amp;TRIM($D407),Lists!$AN$2:$AN$22,0)),IF(COUNTIF(Lists!$AR$2:$AR$3,$AJ407),"TDD Cyber",IF(AND(LEFT($AJ407,4)="EGI ",ISNUMBER(MATCH(TRIM(MID($AJ407,5,99)),Lists!$AS$2:$AS$12,0))),TRIM(MID($AJ407,5,99)),IF(AND(LEFT($AJ407,4)="EGI ",ISNUMBER(MATCH(TRIM(MID($AJ407,5,99)),Lists!$T$2:$T$21,0))),INDEX(Lists!$U$2:$U$21,MATCH(TRIM(MID($AJ407,5,99)),Lists!$T$2:$T$21,0)),IF(OR(TRIM($J407)="",UPPER(TRIM($J407))="NA"),IFERROR(INDEX(Lists!$R$2:$R$9,MATCH(TRIM($G407),Lists!$Q$2:$Q$9,0)),"UNMAPPED"),IFERROR(INDEX(Lists!$U$2:$U$21,MATCH(TRIM($J407),Lists!$T$2:$T$21,0)),IFERROR(INDEX(Lists!$R$2:$R$9,MATCH(TRIM($G407),Lists!$Q$2:$Q$9,0)),"UNMAPPED"))))))))</f>
        <v>Customer</v>
      </c>
      <c r="AI407" s="534" t="b">
        <f>IF(TRIM($B407)="","",--OR(TRIM($L407)="Leadership",TRIM($K407)="Leadership"))</f>
        <v>0</v>
      </c>
      <c r="AJ407" s="534" t="str">
        <f>IF(TRIM($B407)="","",IF(COUNTIFS(Lists!$AN$2:$AN$22,TRIM($B407)&amp;" | "&amp;TRIM($D407),Lists!$AP$2:$AP$22,"&lt;&gt;"),INDEX(Lists!$AP$2:$AP$22,MATCH(TRIM($B407)&amp;" | "&amp;TRIM($D407),Lists!$AN$2:$AN$22,0)),IF($AI407=1,"Leadership",IFERROR(INDEX(Lists!$X$2:$X$21,MATCH(TRIM($L407),Lists!$W$2:$W$21,0)),IF(OR(TRIM($L407)="",LOWER(TRIM($L407))="na"),IF(TRIM($H407)="","Unassigned",TRIM($H407)),TRIM($L407))))))</f>
        <v>Z Loyalty &amp; Martech</v>
      </c>
      <c r="AK407" s="534" t="str">
        <f>IF(TRIM($B407)="","",IF(COUNTIFS(Lists!$AN$2:$AN$22,TRIM($B407)&amp;" | "&amp;TRIM($D407),Lists!$AQ$2:$AQ$22,"&lt;&gt;"),INDEX(Lists!$AQ$2:$AQ$22,MATCH(TRIM($B407)&amp;" | "&amp;TRIM($D407),Lists!$AN$2:$AN$22,0)),IF(COUNTIF(Lists!$AF$2:$AF$8,$AJ407),$AJ407,IF(ISNUMBER(SEARCH("head of ",$D407)),"Head of Technology",IF(ISNUMBER(SEARCH("TDD BP",$D407)),"Business Partner",IF(OR(ISNUMBER(SEARCH("domain architect",$D407)),ISNUMBER(SEARCH("enterprise architect",$D407))),"Domain Architect",IF(ISNUMBER(SEARCH("delivery man",$D407)),"Delivery Manager",IF(OR(ISNUMBER(SEARCH("technology manager",$D407)),ISNUMBER(SEARCH("technology manger",$D407)),ISNUMBER(SEARCH("tech manager",$D407))),"Technology Manager","Squad"))))))))</f>
        <v>Squad</v>
      </c>
      <c r="AL407" s="534" t="str">
        <f>IF(TRIM($B407)="","",IF(AND($AM407=1,LEFT($AJ407,4)&lt;&gt;"EGI ",$AJ407&lt;&gt;"EGI"),IFERROR(INDEX(Lists!$Z$2:$Z$20,MATCH($AH407,Lists!$Y$2:$Y$20,0)),"EGI "&amp;$AH407),IF(COUNTIF(Lists!$AU$2:$AU$10,$AJ407),$AJ407,IF(OR(LEFT($AH407,3)="COE",$AH407="EGI"),$AJ407,IF($AK407&lt;&gt;"Squad",$AK407,$AJ407)))))</f>
        <v>Z Loyalty &amp; Martech</v>
      </c>
      <c r="AM407" s="534" t="b">
        <f>IF(TRIM($B407)="","",--(UPPER(TRIM($K407))="EGI"))</f>
        <v>0</v>
      </c>
      <c r="AN407" s="534" t="inlineStr">
        <is>
          <t>Filled</t>
        </is>
      </c>
      <c r="AQ407" s="841" t="inlineStr">
        <is>
          <t>R0406</t>
        </is>
      </c>
      <c r="AZ407" s="841" t="n"/>
    </row>
    <row r="408" ht="18" customHeight="1" s="535">
      <c r="A408" s="842" t="n">
        <v>113614</v>
      </c>
      <c r="B408" s="843" t="inlineStr">
        <is>
          <t>Shinal Chamberlain</t>
        </is>
      </c>
      <c r="C408" s="842" t="n">
        <v>113614</v>
      </c>
      <c r="D408" s="843" t="inlineStr">
        <is>
          <t>Business Analyst</t>
        </is>
      </c>
      <c r="E408" s="843" t="inlineStr">
        <is>
          <t>Jill Martin</t>
        </is>
      </c>
      <c r="F408" s="843" t="inlineStr">
        <is>
          <t>Delivery Manager, Loyalty</t>
        </is>
      </c>
      <c r="G408" s="844" t="inlineStr">
        <is>
          <t>Customer</t>
        </is>
      </c>
      <c r="H408" s="843" t="inlineStr">
        <is>
          <t>Loyalty &amp; Martech</t>
        </is>
      </c>
      <c r="I408" s="843" t="inlineStr">
        <is>
          <t xml:space="preserve">Loyalty, Delivery </t>
        </is>
      </c>
      <c r="J408" s="843" t="inlineStr">
        <is>
          <t>Z ENERGY (DIGITAL)</t>
        </is>
      </c>
      <c r="K408" s="843" t="inlineStr">
        <is>
          <t>Z Loyalty &amp; Martech</t>
        </is>
      </c>
      <c r="L408" s="843" t="inlineStr">
        <is>
          <t>Z Loyalty &amp; Martech</t>
        </is>
      </c>
      <c r="M408" s="843" t="n"/>
      <c r="N408" s="845" t="inlineStr">
        <is>
          <t>NZ</t>
        </is>
      </c>
      <c r="O408" s="846" t="inlineStr">
        <is>
          <t>CIA (Sometimes)</t>
        </is>
      </c>
      <c r="P408" s="847" t="n">
        <v>1</v>
      </c>
      <c r="Q408" s="846" t="n"/>
      <c r="R408" s="847" t="inlineStr">
        <is>
          <t>Permanent - Full Time</t>
        </is>
      </c>
      <c r="S408" s="847" t="n"/>
      <c r="T408" s="847" t="n"/>
      <c r="U408" s="848" t="n">
        <v>133930</v>
      </c>
      <c r="V408" s="849" t="n">
        <v>123215.6</v>
      </c>
      <c r="W408" s="850" t="n">
        <v>0.15</v>
      </c>
      <c r="X408" s="847" t="n"/>
      <c r="Y408" s="850" t="n">
        <v>0.05</v>
      </c>
      <c r="Z408" s="851" t="n">
        <v>2910</v>
      </c>
      <c r="AA408" s="850" t="n">
        <v>0.03</v>
      </c>
      <c r="AB408" s="852" t="n">
        <v>154465.188</v>
      </c>
      <c r="AD408" s="866" t="n"/>
      <c r="AE408" s="866">
        <f>IF(TRIM($B408)="","",IF(AND(N($P408)&gt;0,N($P408)&lt;1),N($AB408)*N($P408),N($AB408)))</f>
        <v>154465.188</v>
      </c>
      <c r="AF408" s="866" t="str">
        <f>IF(TRIM($B408)="","",IF(OR(ISNUMBER(SEARCH("vacant",$B408)),ISNUMBER(SEARCH("ring fenced",$B408)),LOWER(TRIM($B408))="remove"),"Vacant","Filled"))</f>
        <v>Filled</v>
      </c>
      <c r="AG408" s="866" t="b">
        <f>IF(TRIM($B408)="","",--ISNUMBER(SEARCH("ring fenced",$B408)))</f>
        <v>0</v>
      </c>
      <c r="AH408" s="866" t="str">
        <f>IF(TRIM($B408)="","",IF(COUNTIFS(Lists!$AN$2:$AN$22,TRIM($B408)&amp;" | "&amp;TRIM($D408),Lists!$AO$2:$AO$22,"&lt;&gt;"),INDEX(Lists!$AO$2:$AO$22,MATCH(TRIM($B408)&amp;" | "&amp;TRIM($D408),Lists!$AN$2:$AN$22,0)),IF(COUNTIF(Lists!$AR$2:$AR$3,$AJ408),"TDD Cyber",IF(AND(LEFT($AJ408,4)="EGI ",ISNUMBER(MATCH(TRIM(MID($AJ408,5,99)),Lists!$AS$2:$AS$12,0))),TRIM(MID($AJ408,5,99)),IF(AND(LEFT($AJ408,4)="EGI ",ISNUMBER(MATCH(TRIM(MID($AJ408,5,99)),Lists!$T$2:$T$21,0))),INDEX(Lists!$U$2:$U$21,MATCH(TRIM(MID($AJ408,5,99)),Lists!$T$2:$T$21,0)),IF(OR(TRIM($J408)="",UPPER(TRIM($J408))="NA"),IFERROR(INDEX(Lists!$R$2:$R$9,MATCH(TRIM($G408),Lists!$Q$2:$Q$9,0)),"UNMAPPED"),IFERROR(INDEX(Lists!$U$2:$U$21,MATCH(TRIM($J408),Lists!$T$2:$T$21,0)),IFERROR(INDEX(Lists!$R$2:$R$9,MATCH(TRIM($G408),Lists!$Q$2:$Q$9,0)),"UNMAPPED"))))))))</f>
        <v>Customer</v>
      </c>
      <c r="AI408" s="534" t="b">
        <f>IF(TRIM($B408)="","",--OR(TRIM($L408)="Leadership",TRIM($K408)="Leadership"))</f>
        <v>0</v>
      </c>
      <c r="AJ408" s="534" t="str">
        <f>IF(TRIM($B408)="","",IF(COUNTIFS(Lists!$AN$2:$AN$22,TRIM($B408)&amp;" | "&amp;TRIM($D408),Lists!$AP$2:$AP$22,"&lt;&gt;"),INDEX(Lists!$AP$2:$AP$22,MATCH(TRIM($B408)&amp;" | "&amp;TRIM($D408),Lists!$AN$2:$AN$22,0)),IF($AI408=1,"Leadership",IFERROR(INDEX(Lists!$X$2:$X$21,MATCH(TRIM($L408),Lists!$W$2:$W$21,0)),IF(OR(TRIM($L408)="",LOWER(TRIM($L408))="na"),IF(TRIM($H408)="","Unassigned",TRIM($H408)),TRIM($L408))))))</f>
        <v>Z Loyalty &amp; Martech</v>
      </c>
      <c r="AK408" s="534" t="str">
        <f>IF(TRIM($B408)="","",IF(COUNTIFS(Lists!$AN$2:$AN$22,TRIM($B408)&amp;" | "&amp;TRIM($D408),Lists!$AQ$2:$AQ$22,"&lt;&gt;"),INDEX(Lists!$AQ$2:$AQ$22,MATCH(TRIM($B408)&amp;" | "&amp;TRIM($D408),Lists!$AN$2:$AN$22,0)),IF(COUNTIF(Lists!$AF$2:$AF$8,$AJ408),$AJ408,IF(ISNUMBER(SEARCH("head of ",$D408)),"Head of Technology",IF(ISNUMBER(SEARCH("TDD BP",$D408)),"Business Partner",IF(OR(ISNUMBER(SEARCH("domain architect",$D408)),ISNUMBER(SEARCH("enterprise architect",$D408))),"Domain Architect",IF(ISNUMBER(SEARCH("delivery man",$D408)),"Delivery Manager",IF(OR(ISNUMBER(SEARCH("technology manager",$D408)),ISNUMBER(SEARCH("technology manger",$D408)),ISNUMBER(SEARCH("tech manager",$D408))),"Technology Manager","Squad"))))))))</f>
        <v>Squad</v>
      </c>
      <c r="AL408" s="534" t="str">
        <f>IF(TRIM($B408)="","",IF(AND($AM408=1,LEFT($AJ408,4)&lt;&gt;"EGI ",$AJ408&lt;&gt;"EGI"),IFERROR(INDEX(Lists!$Z$2:$Z$20,MATCH($AH408,Lists!$Y$2:$Y$20,0)),"EGI "&amp;$AH408),IF(COUNTIF(Lists!$AU$2:$AU$10,$AJ408),$AJ408,IF(OR(LEFT($AH408,3)="COE",$AH408="EGI"),$AJ408,IF($AK408&lt;&gt;"Squad",$AK408,$AJ408)))))</f>
        <v>Z Loyalty &amp; Martech</v>
      </c>
      <c r="AM408" s="534" t="b">
        <f>IF(TRIM($B408)="","",--(UPPER(TRIM($K408))="EGI"))</f>
        <v>0</v>
      </c>
      <c r="AN408" s="534" t="inlineStr">
        <is>
          <t>Filled</t>
        </is>
      </c>
      <c r="AQ408" s="841" t="inlineStr">
        <is>
          <t>R0407</t>
        </is>
      </c>
      <c r="AZ408" s="841" t="n"/>
    </row>
    <row r="409" ht="18" customHeight="1" s="535">
      <c r="A409" s="842" t="n">
        <v>107144</v>
      </c>
      <c r="B409" s="843" t="inlineStr">
        <is>
          <t>Jasper Na</t>
        </is>
      </c>
      <c r="C409" s="842" t="n">
        <v>107144</v>
      </c>
      <c r="D409" s="843" t="inlineStr">
        <is>
          <t>Associate Engineer - BE</t>
        </is>
      </c>
      <c r="E409" s="843" t="inlineStr">
        <is>
          <t>Jin Zhong</t>
        </is>
      </c>
      <c r="F409" s="843" t="inlineStr">
        <is>
          <t>Lead Engineer - BE</t>
        </is>
      </c>
      <c r="G409" s="844" t="inlineStr">
        <is>
          <t>Customer</t>
        </is>
      </c>
      <c r="H409" s="843" t="inlineStr">
        <is>
          <t>Digital</t>
        </is>
      </c>
      <c r="I409" s="843" t="inlineStr">
        <is>
          <t>Tech, Digital Engineering</t>
        </is>
      </c>
      <c r="J409" s="843" t="inlineStr">
        <is>
          <t>Ampol Customer</t>
        </is>
      </c>
      <c r="K409" s="843" t="inlineStr">
        <is>
          <t>Ampol Digital</t>
        </is>
      </c>
      <c r="L409" s="843" t="inlineStr">
        <is>
          <t>Energy</t>
        </is>
      </c>
      <c r="M409" s="843" t="n"/>
      <c r="N409" s="845" t="inlineStr">
        <is>
          <t>Australia</t>
        </is>
      </c>
      <c r="O409" s="846" t="inlineStr">
        <is>
          <t>CIA (Sometimes)</t>
        </is>
      </c>
      <c r="P409" s="847" t="n">
        <v>1</v>
      </c>
      <c r="Q409" s="846" t="n"/>
      <c r="R409" s="847" t="inlineStr">
        <is>
          <t>Permanent - Full Time</t>
        </is>
      </c>
      <c r="S409" s="847" t="n"/>
      <c r="T409" s="847" t="n"/>
      <c r="U409" s="848" t="n">
        <v>104000</v>
      </c>
      <c r="V409" s="849" t="n">
        <v>104000</v>
      </c>
      <c r="W409" s="850" t="n">
        <v>0.1</v>
      </c>
      <c r="X409" s="847" t="n">
        <v>0.055</v>
      </c>
      <c r="Y409" s="850" t="n">
        <v>0.12</v>
      </c>
      <c r="Z409" s="851" t="n"/>
      <c r="AA409" s="850" t="n">
        <v>0.04</v>
      </c>
      <c r="AB409" s="852" t="n">
        <v>136760</v>
      </c>
      <c r="AD409" s="866" t="n"/>
      <c r="AE409" s="866">
        <f>IF(TRIM($B409)="","",IF(AND(N($P409)&gt;0,N($P409)&lt;1),N($AB409)*N($P409),N($AB409)))</f>
        <v>136760</v>
      </c>
      <c r="AF409" s="866" t="str">
        <f>IF(TRIM($B409)="","",IF(OR(ISNUMBER(SEARCH("vacant",$B409)),ISNUMBER(SEARCH("ring fenced",$B409)),LOWER(TRIM($B409))="remove"),"Vacant","Filled"))</f>
        <v>Filled</v>
      </c>
      <c r="AG409" s="866" t="b">
        <f>IF(TRIM($B409)="","",--ISNUMBER(SEARCH("ring fenced",$B409)))</f>
        <v>0</v>
      </c>
      <c r="AH409" s="866" t="str">
        <f>IF(TRIM($B409)="","",IF(COUNTIFS(Lists!$AN$2:$AN$22,TRIM($B409)&amp;" | "&amp;TRIM($D409),Lists!$AO$2:$AO$22,"&lt;&gt;"),INDEX(Lists!$AO$2:$AO$22,MATCH(TRIM($B409)&amp;" | "&amp;TRIM($D409),Lists!$AN$2:$AN$22,0)),IF(COUNTIF(Lists!$AR$2:$AR$3,$AJ409),"TDD Cyber",IF(AND(LEFT($AJ409,4)="EGI ",ISNUMBER(MATCH(TRIM(MID($AJ409,5,99)),Lists!$AS$2:$AS$12,0))),TRIM(MID($AJ409,5,99)),IF(AND(LEFT($AJ409,4)="EGI ",ISNUMBER(MATCH(TRIM(MID($AJ409,5,99)),Lists!$T$2:$T$21,0))),INDEX(Lists!$U$2:$U$21,MATCH(TRIM(MID($AJ409,5,99)),Lists!$T$2:$T$21,0)),IF(OR(TRIM($J409)="",UPPER(TRIM($J409))="NA"),IFERROR(INDEX(Lists!$R$2:$R$9,MATCH(TRIM($G409),Lists!$Q$2:$Q$9,0)),"UNMAPPED"),IFERROR(INDEX(Lists!$U$2:$U$21,MATCH(TRIM($J409),Lists!$T$2:$T$21,0)),IFERROR(INDEX(Lists!$R$2:$R$9,MATCH(TRIM($G409),Lists!$Q$2:$Q$9,0)),"UNMAPPED"))))))))</f>
        <v>Customer</v>
      </c>
      <c r="AI409" s="534" t="b">
        <f>IF(TRIM($B409)="","",--OR(TRIM($L409)="Leadership",TRIM($K409)="Leadership"))</f>
        <v>0</v>
      </c>
      <c r="AJ409" s="534" t="str">
        <f>IF(TRIM($B409)="","",IF(COUNTIFS(Lists!$AN$2:$AN$22,TRIM($B409)&amp;" | "&amp;TRIM($D409),Lists!$AP$2:$AP$22,"&lt;&gt;"),INDEX(Lists!$AP$2:$AP$22,MATCH(TRIM($B409)&amp;" | "&amp;TRIM($D409),Lists!$AN$2:$AN$22,0)),IF($AI409=1,"Leadership",IFERROR(INDEX(Lists!$X$2:$X$21,MATCH(TRIM($L409),Lists!$W$2:$W$21,0)),IF(OR(TRIM($L409)="",LOWER(TRIM($L409))="na"),IF(TRIM($H409)="","Unassigned",TRIM($H409)),TRIM($L409))))))</f>
        <v>Energy</v>
      </c>
      <c r="AK409" s="534" t="str">
        <f>IF(TRIM($B409)="","",IF(COUNTIFS(Lists!$AN$2:$AN$22,TRIM($B409)&amp;" | "&amp;TRIM($D409),Lists!$AQ$2:$AQ$22,"&lt;&gt;"),INDEX(Lists!$AQ$2:$AQ$22,MATCH(TRIM($B409)&amp;" | "&amp;TRIM($D409),Lists!$AN$2:$AN$22,0)),IF(COUNTIF(Lists!$AF$2:$AF$8,$AJ409),$AJ409,IF(ISNUMBER(SEARCH("head of ",$D409)),"Head of Technology",IF(ISNUMBER(SEARCH("TDD BP",$D409)),"Business Partner",IF(OR(ISNUMBER(SEARCH("domain architect",$D409)),ISNUMBER(SEARCH("enterprise architect",$D409))),"Domain Architect",IF(ISNUMBER(SEARCH("delivery man",$D409)),"Delivery Manager",IF(OR(ISNUMBER(SEARCH("technology manager",$D409)),ISNUMBER(SEARCH("technology manger",$D409)),ISNUMBER(SEARCH("tech manager",$D409))),"Technology Manager","Squad"))))))))</f>
        <v>Squad</v>
      </c>
      <c r="AL409" s="534" t="str">
        <f>IF(TRIM($B409)="","",IF(AND($AM409=1,LEFT($AJ409,4)&lt;&gt;"EGI ",$AJ409&lt;&gt;"EGI"),IFERROR(INDEX(Lists!$Z$2:$Z$20,MATCH($AH409,Lists!$Y$2:$Y$20,0)),"EGI "&amp;$AH409),IF(COUNTIF(Lists!$AU$2:$AU$10,$AJ409),$AJ409,IF(OR(LEFT($AH409,3)="COE",$AH409="EGI"),$AJ409,IF($AK409&lt;&gt;"Squad",$AK409,$AJ409)))))</f>
        <v>Energy</v>
      </c>
      <c r="AM409" s="534" t="b">
        <f>IF(TRIM($B409)="","",--(UPPER(TRIM($K409))="EGI"))</f>
        <v>0</v>
      </c>
      <c r="AN409" s="534" t="inlineStr">
        <is>
          <t>Filled</t>
        </is>
      </c>
      <c r="AQ409" s="841" t="inlineStr">
        <is>
          <t>R0408</t>
        </is>
      </c>
      <c r="AZ409" s="841" t="n"/>
    </row>
    <row r="410" ht="18" customHeight="1" s="535">
      <c r="A410" s="842" t="n">
        <v>115607</v>
      </c>
      <c r="B410" s="843" t="inlineStr">
        <is>
          <t>Zohan Sim</t>
        </is>
      </c>
      <c r="C410" s="842" t="n">
        <v>115607</v>
      </c>
      <c r="D410" s="843" t="inlineStr">
        <is>
          <t>Engineer - BE</t>
        </is>
      </c>
      <c r="E410" s="843" t="inlineStr">
        <is>
          <t>Jin Zhong</t>
        </is>
      </c>
      <c r="F410" s="843" t="inlineStr">
        <is>
          <t>Lead Engineer - BE</t>
        </is>
      </c>
      <c r="G410" s="844" t="inlineStr">
        <is>
          <t>Customer</t>
        </is>
      </c>
      <c r="H410" s="843" t="inlineStr">
        <is>
          <t>Digital</t>
        </is>
      </c>
      <c r="I410" s="843" t="inlineStr">
        <is>
          <t>Tech, Digital Engineering</t>
        </is>
      </c>
      <c r="J410" s="843" t="inlineStr">
        <is>
          <t>Ampol Customer</t>
        </is>
      </c>
      <c r="K410" s="843" t="inlineStr">
        <is>
          <t>Ampol Digital</t>
        </is>
      </c>
      <c r="L410" s="843" t="inlineStr">
        <is>
          <t>Ampol Web</t>
        </is>
      </c>
      <c r="M410" s="843" t="n"/>
      <c r="N410" s="845" t="inlineStr">
        <is>
          <t>Australia</t>
        </is>
      </c>
      <c r="O410" s="846" t="inlineStr">
        <is>
          <t>CIA (Sometimes)</t>
        </is>
      </c>
      <c r="P410" s="847" t="n">
        <v>1</v>
      </c>
      <c r="Q410" s="846" t="n"/>
      <c r="R410" s="847" t="inlineStr">
        <is>
          <t>Permanent - Full Time</t>
        </is>
      </c>
      <c r="S410" s="847" t="n"/>
      <c r="T410" s="847" t="n"/>
      <c r="U410" s="848" t="n">
        <v>135000</v>
      </c>
      <c r="V410" s="849" t="n">
        <v>135000</v>
      </c>
      <c r="W410" s="850" t="n">
        <v>0.1</v>
      </c>
      <c r="X410" s="847" t="n">
        <v>0.055</v>
      </c>
      <c r="Y410" s="850" t="n">
        <v>0.12</v>
      </c>
      <c r="Z410" s="851" t="n"/>
      <c r="AA410" s="850" t="n">
        <v>0.04</v>
      </c>
      <c r="AB410" s="852" t="n">
        <v>177525</v>
      </c>
      <c r="AD410" s="866" t="n"/>
      <c r="AE410" s="866">
        <f>IF(TRIM($B410)="","",IF(AND(N($P410)&gt;0,N($P410)&lt;1),N($AB410)*N($P410),N($AB410)))</f>
        <v>177525</v>
      </c>
      <c r="AF410" s="866" t="str">
        <f>IF(TRIM($B410)="","",IF(OR(ISNUMBER(SEARCH("vacant",$B410)),ISNUMBER(SEARCH("ring fenced",$B410)),LOWER(TRIM($B410))="remove"),"Vacant","Filled"))</f>
        <v>Filled</v>
      </c>
      <c r="AG410" s="866" t="b">
        <f>IF(TRIM($B410)="","",--ISNUMBER(SEARCH("ring fenced",$B410)))</f>
        <v>0</v>
      </c>
      <c r="AH410" s="866" t="str">
        <f>IF(TRIM($B410)="","",IF(COUNTIFS(Lists!$AN$2:$AN$22,TRIM($B410)&amp;" | "&amp;TRIM($D410),Lists!$AO$2:$AO$22,"&lt;&gt;"),INDEX(Lists!$AO$2:$AO$22,MATCH(TRIM($B410)&amp;" | "&amp;TRIM($D410),Lists!$AN$2:$AN$22,0)),IF(COUNTIF(Lists!$AR$2:$AR$3,$AJ410),"TDD Cyber",IF(AND(LEFT($AJ410,4)="EGI ",ISNUMBER(MATCH(TRIM(MID($AJ410,5,99)),Lists!$AS$2:$AS$12,0))),TRIM(MID($AJ410,5,99)),IF(AND(LEFT($AJ410,4)="EGI ",ISNUMBER(MATCH(TRIM(MID($AJ410,5,99)),Lists!$T$2:$T$21,0))),INDEX(Lists!$U$2:$U$21,MATCH(TRIM(MID($AJ410,5,99)),Lists!$T$2:$T$21,0)),IF(OR(TRIM($J410)="",UPPER(TRIM($J410))="NA"),IFERROR(INDEX(Lists!$R$2:$R$9,MATCH(TRIM($G410),Lists!$Q$2:$Q$9,0)),"UNMAPPED"),IFERROR(INDEX(Lists!$U$2:$U$21,MATCH(TRIM($J410),Lists!$T$2:$T$21,0)),IFERROR(INDEX(Lists!$R$2:$R$9,MATCH(TRIM($G410),Lists!$Q$2:$Q$9,0)),"UNMAPPED"))))))))</f>
        <v>Customer</v>
      </c>
      <c r="AI410" s="534" t="b">
        <f>IF(TRIM($B410)="","",--OR(TRIM($L410)="Leadership",TRIM($K410)="Leadership"))</f>
        <v>0</v>
      </c>
      <c r="AJ410" s="534" t="str">
        <f>IF(TRIM($B410)="","",IF(COUNTIFS(Lists!$AN$2:$AN$22,TRIM($B410)&amp;" | "&amp;TRIM($D410),Lists!$AP$2:$AP$22,"&lt;&gt;"),INDEX(Lists!$AP$2:$AP$22,MATCH(TRIM($B410)&amp;" | "&amp;TRIM($D410),Lists!$AN$2:$AN$22,0)),IF($AI410=1,"Leadership",IFERROR(INDEX(Lists!$X$2:$X$21,MATCH(TRIM($L410),Lists!$W$2:$W$21,0)),IF(OR(TRIM($L410)="",LOWER(TRIM($L410))="na"),IF(TRIM($H410)="","Unassigned",TRIM($H410)),TRIM($L410))))))</f>
        <v>Ampol Web</v>
      </c>
      <c r="AK410" s="534" t="str">
        <f>IF(TRIM($B410)="","",IF(COUNTIFS(Lists!$AN$2:$AN$22,TRIM($B410)&amp;" | "&amp;TRIM($D410),Lists!$AQ$2:$AQ$22,"&lt;&gt;"),INDEX(Lists!$AQ$2:$AQ$22,MATCH(TRIM($B410)&amp;" | "&amp;TRIM($D410),Lists!$AN$2:$AN$22,0)),IF(COUNTIF(Lists!$AF$2:$AF$8,$AJ410),$AJ410,IF(ISNUMBER(SEARCH("head of ",$D410)),"Head of Technology",IF(ISNUMBER(SEARCH("TDD BP",$D410)),"Business Partner",IF(OR(ISNUMBER(SEARCH("domain architect",$D410)),ISNUMBER(SEARCH("enterprise architect",$D410))),"Domain Architect",IF(ISNUMBER(SEARCH("delivery man",$D410)),"Delivery Manager",IF(OR(ISNUMBER(SEARCH("technology manager",$D410)),ISNUMBER(SEARCH("technology manger",$D410)),ISNUMBER(SEARCH("tech manager",$D410))),"Technology Manager","Squad"))))))))</f>
        <v>Squad</v>
      </c>
      <c r="AL410" s="534" t="str">
        <f>IF(TRIM($B410)="","",IF(AND($AM410=1,LEFT($AJ410,4)&lt;&gt;"EGI ",$AJ410&lt;&gt;"EGI"),IFERROR(INDEX(Lists!$Z$2:$Z$20,MATCH($AH410,Lists!$Y$2:$Y$20,0)),"EGI "&amp;$AH410),IF(COUNTIF(Lists!$AU$2:$AU$10,$AJ410),$AJ410,IF(OR(LEFT($AH410,3)="COE",$AH410="EGI"),$AJ410,IF($AK410&lt;&gt;"Squad",$AK410,$AJ410)))))</f>
        <v>Ampol Web</v>
      </c>
      <c r="AM410" s="534" t="b">
        <f>IF(TRIM($B410)="","",--(UPPER(TRIM($K410))="EGI"))</f>
        <v>0</v>
      </c>
      <c r="AN410" s="534" t="inlineStr">
        <is>
          <t>Filled</t>
        </is>
      </c>
      <c r="AQ410" s="841" t="inlineStr">
        <is>
          <t>R0409</t>
        </is>
      </c>
      <c r="AZ410" s="841" t="n"/>
    </row>
    <row r="411" ht="18" customHeight="1" s="535">
      <c r="A411" s="842" t="n">
        <v>113526</v>
      </c>
      <c r="B411" s="843" t="inlineStr">
        <is>
          <t>Carianne Monast</t>
        </is>
      </c>
      <c r="C411" s="842" t="n">
        <v>113526</v>
      </c>
      <c r="D411" s="843" t="inlineStr">
        <is>
          <t>Martech Specialist</t>
        </is>
      </c>
      <c r="E411" s="843" t="inlineStr">
        <is>
          <t>Kris Hamilton</t>
        </is>
      </c>
      <c r="F411" s="843" t="inlineStr">
        <is>
          <t>Technology Manager, Loyalty &amp; Martech</t>
        </is>
      </c>
      <c r="G411" s="844" t="inlineStr">
        <is>
          <t>Customer</t>
        </is>
      </c>
      <c r="H411" s="843" t="inlineStr">
        <is>
          <t>Loyalty &amp; Martech</t>
        </is>
      </c>
      <c r="I411" s="843" t="inlineStr">
        <is>
          <t>Loyalty, Tech</t>
        </is>
      </c>
      <c r="J411" s="843" t="inlineStr">
        <is>
          <t>Z ENERGY (DIGITAL)</t>
        </is>
      </c>
      <c r="K411" s="843" t="inlineStr">
        <is>
          <t>Z Loyalty &amp; Martech</t>
        </is>
      </c>
      <c r="L411" s="843" t="inlineStr">
        <is>
          <t>Z Loyalty &amp; Martech</t>
        </is>
      </c>
      <c r="M411" s="843" t="n"/>
      <c r="N411" s="845" t="inlineStr">
        <is>
          <t>NZ</t>
        </is>
      </c>
      <c r="O411" s="846" t="inlineStr">
        <is>
          <t>CIA (Sometimes)</t>
        </is>
      </c>
      <c r="P411" s="847" t="n">
        <v>1</v>
      </c>
      <c r="Q411" s="846" t="n"/>
      <c r="R411" s="847" t="inlineStr">
        <is>
          <t>Permanent - Full Time</t>
        </is>
      </c>
      <c r="S411" s="847" t="n"/>
      <c r="T411" s="847" t="n"/>
      <c r="U411" s="848" t="n">
        <v>137040</v>
      </c>
      <c r="V411" s="849" t="n">
        <v>126076.8</v>
      </c>
      <c r="W411" s="850" t="n">
        <v>0.15</v>
      </c>
      <c r="X411" s="847" t="n"/>
      <c r="Y411" s="850" t="n">
        <v>0.05</v>
      </c>
      <c r="Z411" s="851" t="n">
        <v>2910</v>
      </c>
      <c r="AA411" s="850" t="n">
        <v>0.03</v>
      </c>
      <c r="AB411" s="852" t="n">
        <v>157984.464</v>
      </c>
      <c r="AD411" s="866" t="n"/>
      <c r="AE411" s="866">
        <f>IF(TRIM($B411)="","",IF(AND(N($P411)&gt;0,N($P411)&lt;1),N($AB411)*N($P411),N($AB411)))</f>
        <v>157984.464</v>
      </c>
      <c r="AF411" s="866" t="str">
        <f>IF(TRIM($B411)="","",IF(OR(ISNUMBER(SEARCH("vacant",$B411)),ISNUMBER(SEARCH("ring fenced",$B411)),LOWER(TRIM($B411))="remove"),"Vacant","Filled"))</f>
        <v>Filled</v>
      </c>
      <c r="AG411" s="866" t="b">
        <f>IF(TRIM($B411)="","",--ISNUMBER(SEARCH("ring fenced",$B411)))</f>
        <v>0</v>
      </c>
      <c r="AH411" s="866" t="str">
        <f>IF(TRIM($B411)="","",IF(COUNTIFS(Lists!$AN$2:$AN$22,TRIM($B411)&amp;" | "&amp;TRIM($D411),Lists!$AO$2:$AO$22,"&lt;&gt;"),INDEX(Lists!$AO$2:$AO$22,MATCH(TRIM($B411)&amp;" | "&amp;TRIM($D411),Lists!$AN$2:$AN$22,0)),IF(COUNTIF(Lists!$AR$2:$AR$3,$AJ411),"TDD Cyber",IF(AND(LEFT($AJ411,4)="EGI ",ISNUMBER(MATCH(TRIM(MID($AJ411,5,99)),Lists!$AS$2:$AS$12,0))),TRIM(MID($AJ411,5,99)),IF(AND(LEFT($AJ411,4)="EGI ",ISNUMBER(MATCH(TRIM(MID($AJ411,5,99)),Lists!$T$2:$T$21,0))),INDEX(Lists!$U$2:$U$21,MATCH(TRIM(MID($AJ411,5,99)),Lists!$T$2:$T$21,0)),IF(OR(TRIM($J411)="",UPPER(TRIM($J411))="NA"),IFERROR(INDEX(Lists!$R$2:$R$9,MATCH(TRIM($G411),Lists!$Q$2:$Q$9,0)),"UNMAPPED"),IFERROR(INDEX(Lists!$U$2:$U$21,MATCH(TRIM($J411),Lists!$T$2:$T$21,0)),IFERROR(INDEX(Lists!$R$2:$R$9,MATCH(TRIM($G411),Lists!$Q$2:$Q$9,0)),"UNMAPPED"))))))))</f>
        <v>Customer</v>
      </c>
      <c r="AI411" s="534" t="b">
        <f>IF(TRIM($B411)="","",--OR(TRIM($L411)="Leadership",TRIM($K411)="Leadership"))</f>
        <v>0</v>
      </c>
      <c r="AJ411" s="534" t="str">
        <f>IF(TRIM($B411)="","",IF(COUNTIFS(Lists!$AN$2:$AN$22,TRIM($B411)&amp;" | "&amp;TRIM($D411),Lists!$AP$2:$AP$22,"&lt;&gt;"),INDEX(Lists!$AP$2:$AP$22,MATCH(TRIM($B411)&amp;" | "&amp;TRIM($D411),Lists!$AN$2:$AN$22,0)),IF($AI411=1,"Leadership",IFERROR(INDEX(Lists!$X$2:$X$21,MATCH(TRIM($L411),Lists!$W$2:$W$21,0)),IF(OR(TRIM($L411)="",LOWER(TRIM($L411))="na"),IF(TRIM($H411)="","Unassigned",TRIM($H411)),TRIM($L411))))))</f>
        <v>Z Loyalty &amp; Martech</v>
      </c>
      <c r="AK411" s="534" t="str">
        <f>IF(TRIM($B411)="","",IF(COUNTIFS(Lists!$AN$2:$AN$22,TRIM($B411)&amp;" | "&amp;TRIM($D411),Lists!$AQ$2:$AQ$22,"&lt;&gt;"),INDEX(Lists!$AQ$2:$AQ$22,MATCH(TRIM($B411)&amp;" | "&amp;TRIM($D411),Lists!$AN$2:$AN$22,0)),IF(COUNTIF(Lists!$AF$2:$AF$8,$AJ411),$AJ411,IF(ISNUMBER(SEARCH("head of ",$D411)),"Head of Technology",IF(ISNUMBER(SEARCH("TDD BP",$D411)),"Business Partner",IF(OR(ISNUMBER(SEARCH("domain architect",$D411)),ISNUMBER(SEARCH("enterprise architect",$D411))),"Domain Architect",IF(ISNUMBER(SEARCH("delivery man",$D411)),"Delivery Manager",IF(OR(ISNUMBER(SEARCH("technology manager",$D411)),ISNUMBER(SEARCH("technology manger",$D411)),ISNUMBER(SEARCH("tech manager",$D411))),"Technology Manager","Squad"))))))))</f>
        <v>Squad</v>
      </c>
      <c r="AL411" s="534" t="str">
        <f>IF(TRIM($B411)="","",IF(AND($AM411=1,LEFT($AJ411,4)&lt;&gt;"EGI ",$AJ411&lt;&gt;"EGI"),IFERROR(INDEX(Lists!$Z$2:$Z$20,MATCH($AH411,Lists!$Y$2:$Y$20,0)),"EGI "&amp;$AH411),IF(COUNTIF(Lists!$AU$2:$AU$10,$AJ411),$AJ411,IF(OR(LEFT($AH411,3)="COE",$AH411="EGI"),$AJ411,IF($AK411&lt;&gt;"Squad",$AK411,$AJ411)))))</f>
        <v>Z Loyalty &amp; Martech</v>
      </c>
      <c r="AM411" s="534" t="b">
        <f>IF(TRIM($B411)="","",--(UPPER(TRIM($K411))="EGI"))</f>
        <v>0</v>
      </c>
      <c r="AN411" s="534" t="inlineStr">
        <is>
          <t>Filled</t>
        </is>
      </c>
      <c r="AQ411" s="841" t="inlineStr">
        <is>
          <t>R0410</t>
        </is>
      </c>
      <c r="AZ411" s="841" t="n"/>
    </row>
    <row r="412" ht="18" customHeight="1" s="535">
      <c r="A412" s="842" t="n">
        <v>115807</v>
      </c>
      <c r="B412" s="843" t="inlineStr">
        <is>
          <t>Denise Esguerra</t>
        </is>
      </c>
      <c r="C412" s="842" t="n">
        <v>115807</v>
      </c>
      <c r="D412" s="843" t="inlineStr">
        <is>
          <t>Martech Specialist</t>
        </is>
      </c>
      <c r="E412" s="843" t="inlineStr">
        <is>
          <t>Kris Hamilton</t>
        </is>
      </c>
      <c r="F412" s="843" t="inlineStr">
        <is>
          <t>Technology Manager, Loyalty &amp; Martech</t>
        </is>
      </c>
      <c r="G412" s="844" t="inlineStr">
        <is>
          <t>Customer</t>
        </is>
      </c>
      <c r="H412" s="843" t="inlineStr">
        <is>
          <t>Loyalty &amp; Martech</t>
        </is>
      </c>
      <c r="I412" s="843" t="inlineStr">
        <is>
          <t>Loyalty, Tech</t>
        </is>
      </c>
      <c r="J412" s="843" t="inlineStr">
        <is>
          <t>Z ENERGY (DIGITAL)</t>
        </is>
      </c>
      <c r="K412" s="843" t="inlineStr">
        <is>
          <t>Z Loyalty &amp; Martech</t>
        </is>
      </c>
      <c r="L412" s="843" t="inlineStr">
        <is>
          <t>Z Energy Martech</t>
        </is>
      </c>
      <c r="M412" s="843" t="n"/>
      <c r="N412" s="845" t="inlineStr">
        <is>
          <t>NZ</t>
        </is>
      </c>
      <c r="O412" s="846" t="inlineStr">
        <is>
          <t>CIA (Sometimes)</t>
        </is>
      </c>
      <c r="P412" s="847" t="n">
        <v>1</v>
      </c>
      <c r="Q412" s="846" t="n"/>
      <c r="R412" s="847" t="inlineStr">
        <is>
          <t>Permanent - Full Time</t>
        </is>
      </c>
      <c r="S412" s="847" t="n"/>
      <c r="T412" s="847" t="n"/>
      <c r="U412" s="848" t="n">
        <v>119630</v>
      </c>
      <c r="V412" s="849" t="n">
        <v>110059.6</v>
      </c>
      <c r="W412" s="850" t="n">
        <v>0.15</v>
      </c>
      <c r="X412" s="847" t="n"/>
      <c r="Y412" s="850" t="n">
        <v>0.05</v>
      </c>
      <c r="Z412" s="851" t="n">
        <v>2911</v>
      </c>
      <c r="AA412" s="850" t="n">
        <v>0.03</v>
      </c>
      <c r="AB412" s="852" t="n">
        <v>138284.308</v>
      </c>
      <c r="AD412" s="866" t="n"/>
      <c r="AE412" s="866">
        <f>IF(TRIM($B412)="","",IF(AND(N($P412)&gt;0,N($P412)&lt;1),N($AB412)*N($P412),N($AB412)))</f>
        <v>138284.308</v>
      </c>
      <c r="AF412" s="866" t="str">
        <f>IF(TRIM($B412)="","",IF(OR(ISNUMBER(SEARCH("vacant",$B412)),ISNUMBER(SEARCH("ring fenced",$B412)),LOWER(TRIM($B412))="remove"),"Vacant","Filled"))</f>
        <v>Filled</v>
      </c>
      <c r="AG412" s="866" t="b">
        <f>IF(TRIM($B412)="","",--ISNUMBER(SEARCH("ring fenced",$B412)))</f>
        <v>0</v>
      </c>
      <c r="AH412" s="866" t="str">
        <f>IF(TRIM($B412)="","",IF(COUNTIFS(Lists!$AN$2:$AN$22,TRIM($B412)&amp;" | "&amp;TRIM($D412),Lists!$AO$2:$AO$22,"&lt;&gt;"),INDEX(Lists!$AO$2:$AO$22,MATCH(TRIM($B412)&amp;" | "&amp;TRIM($D412),Lists!$AN$2:$AN$22,0)),IF(COUNTIF(Lists!$AR$2:$AR$3,$AJ412),"TDD Cyber",IF(AND(LEFT($AJ412,4)="EGI ",ISNUMBER(MATCH(TRIM(MID($AJ412,5,99)),Lists!$AS$2:$AS$12,0))),TRIM(MID($AJ412,5,99)),IF(AND(LEFT($AJ412,4)="EGI ",ISNUMBER(MATCH(TRIM(MID($AJ412,5,99)),Lists!$T$2:$T$21,0))),INDEX(Lists!$U$2:$U$21,MATCH(TRIM(MID($AJ412,5,99)),Lists!$T$2:$T$21,0)),IF(OR(TRIM($J412)="",UPPER(TRIM($J412))="NA"),IFERROR(INDEX(Lists!$R$2:$R$9,MATCH(TRIM($G412),Lists!$Q$2:$Q$9,0)),"UNMAPPED"),IFERROR(INDEX(Lists!$U$2:$U$21,MATCH(TRIM($J412),Lists!$T$2:$T$21,0)),IFERROR(INDEX(Lists!$R$2:$R$9,MATCH(TRIM($G412),Lists!$Q$2:$Q$9,0)),"UNMAPPED"))))))))</f>
        <v>Customer</v>
      </c>
      <c r="AI412" s="534" t="b">
        <f>IF(TRIM($B412)="","",--OR(TRIM($L412)="Leadership",TRIM($K412)="Leadership"))</f>
        <v>0</v>
      </c>
      <c r="AJ412" s="534" t="str">
        <f>IF(TRIM($B412)="","",IF(COUNTIFS(Lists!$AN$2:$AN$22,TRIM($B412)&amp;" | "&amp;TRIM($D412),Lists!$AP$2:$AP$22,"&lt;&gt;"),INDEX(Lists!$AP$2:$AP$22,MATCH(TRIM($B412)&amp;" | "&amp;TRIM($D412),Lists!$AN$2:$AN$22,0)),IF($AI412=1,"Leadership",IFERROR(INDEX(Lists!$X$2:$X$21,MATCH(TRIM($L412),Lists!$W$2:$W$21,0)),IF(OR(TRIM($L412)="",LOWER(TRIM($L412))="na"),IF(TRIM($H412)="","Unassigned",TRIM($H412)),TRIM($L412))))))</f>
        <v>Z Loyalty &amp; Martech</v>
      </c>
      <c r="AK412" s="534" t="str">
        <f>IF(TRIM($B412)="","",IF(COUNTIFS(Lists!$AN$2:$AN$22,TRIM($B412)&amp;" | "&amp;TRIM($D412),Lists!$AQ$2:$AQ$22,"&lt;&gt;"),INDEX(Lists!$AQ$2:$AQ$22,MATCH(TRIM($B412)&amp;" | "&amp;TRIM($D412),Lists!$AN$2:$AN$22,0)),IF(COUNTIF(Lists!$AF$2:$AF$8,$AJ412),$AJ412,IF(ISNUMBER(SEARCH("head of ",$D412)),"Head of Technology",IF(ISNUMBER(SEARCH("TDD BP",$D412)),"Business Partner",IF(OR(ISNUMBER(SEARCH("domain architect",$D412)),ISNUMBER(SEARCH("enterprise architect",$D412))),"Domain Architect",IF(ISNUMBER(SEARCH("delivery man",$D412)),"Delivery Manager",IF(OR(ISNUMBER(SEARCH("technology manager",$D412)),ISNUMBER(SEARCH("technology manger",$D412)),ISNUMBER(SEARCH("tech manager",$D412))),"Technology Manager","Squad"))))))))</f>
        <v>Squad</v>
      </c>
      <c r="AL412" s="534" t="str">
        <f>IF(TRIM($B412)="","",IF(AND($AM412=1,LEFT($AJ412,4)&lt;&gt;"EGI ",$AJ412&lt;&gt;"EGI"),IFERROR(INDEX(Lists!$Z$2:$Z$20,MATCH($AH412,Lists!$Y$2:$Y$20,0)),"EGI "&amp;$AH412),IF(COUNTIF(Lists!$AU$2:$AU$10,$AJ412),$AJ412,IF(OR(LEFT($AH412,3)="COE",$AH412="EGI"),$AJ412,IF($AK412&lt;&gt;"Squad",$AK412,$AJ412)))))</f>
        <v>Z Loyalty &amp; Martech</v>
      </c>
      <c r="AM412" s="534" t="b">
        <f>IF(TRIM($B412)="","",--(UPPER(TRIM($K412))="EGI"))</f>
        <v>0</v>
      </c>
      <c r="AN412" s="534" t="inlineStr">
        <is>
          <t>Filled</t>
        </is>
      </c>
      <c r="AQ412" s="841" t="inlineStr">
        <is>
          <t>R0411</t>
        </is>
      </c>
      <c r="AZ412" s="841" t="n"/>
    </row>
    <row r="413" ht="18" customHeight="1" s="535">
      <c r="A413" s="842" t="n">
        <v>117151</v>
      </c>
      <c r="B413" s="843" t="inlineStr">
        <is>
          <t>Yash Thakkar</t>
        </is>
      </c>
      <c r="C413" s="842" t="n">
        <v>117151</v>
      </c>
      <c r="D413" s="843" t="inlineStr">
        <is>
          <t>Martech Specialist</t>
        </is>
      </c>
      <c r="E413" s="843" t="inlineStr">
        <is>
          <t>Kris Hamilton</t>
        </is>
      </c>
      <c r="F413" s="843" t="inlineStr">
        <is>
          <t>Technology Manager, Loyalty &amp; Martech</t>
        </is>
      </c>
      <c r="G413" s="844" t="inlineStr">
        <is>
          <t>Customer</t>
        </is>
      </c>
      <c r="H413" s="843" t="inlineStr">
        <is>
          <t>Loyalty &amp; Martech</t>
        </is>
      </c>
      <c r="I413" s="843" t="inlineStr">
        <is>
          <t>Loyalty, Tech</t>
        </is>
      </c>
      <c r="J413" s="843" t="inlineStr">
        <is>
          <t>Z ENERGY (DIGITAL)</t>
        </is>
      </c>
      <c r="K413" s="843" t="inlineStr">
        <is>
          <t>Z Loyalty &amp; Martech</t>
        </is>
      </c>
      <c r="L413" s="843" t="inlineStr">
        <is>
          <t>Z Energy Martech</t>
        </is>
      </c>
      <c r="M413" s="843" t="n"/>
      <c r="N413" s="845" t="inlineStr">
        <is>
          <t>NZ</t>
        </is>
      </c>
      <c r="O413" s="846" t="inlineStr">
        <is>
          <t>CIA (Sometimes)</t>
        </is>
      </c>
      <c r="P413" s="847" t="n">
        <v>1</v>
      </c>
      <c r="Q413" s="846" t="n"/>
      <c r="R413" s="847" t="inlineStr">
        <is>
          <t>Permanent - Full Time</t>
        </is>
      </c>
      <c r="S413" s="847" t="n"/>
      <c r="T413" s="847" t="n"/>
      <c r="U413" s="848" t="n">
        <v>130000</v>
      </c>
      <c r="V413" s="849" t="n">
        <v>119600</v>
      </c>
      <c r="W413" s="850" t="n">
        <v>0.15</v>
      </c>
      <c r="X413" s="847" t="n"/>
      <c r="Y413" s="850" t="n">
        <v>0.05</v>
      </c>
      <c r="Z413" s="851" t="n">
        <v>2913</v>
      </c>
      <c r="AA413" s="850" t="n">
        <v>0.03</v>
      </c>
      <c r="AB413" s="852" t="n">
        <v>150021</v>
      </c>
      <c r="AD413" s="866" t="n"/>
      <c r="AE413" s="866">
        <f>IF(TRIM($B413)="","",IF(AND(N($P413)&gt;0,N($P413)&lt;1),N($AB413)*N($P413),N($AB413)))</f>
        <v>150021</v>
      </c>
      <c r="AF413" s="866" t="str">
        <f>IF(TRIM($B413)="","",IF(OR(ISNUMBER(SEARCH("vacant",$B413)),ISNUMBER(SEARCH("ring fenced",$B413)),LOWER(TRIM($B413))="remove"),"Vacant","Filled"))</f>
        <v>Filled</v>
      </c>
      <c r="AG413" s="866" t="b">
        <f>IF(TRIM($B413)="","",--ISNUMBER(SEARCH("ring fenced",$B413)))</f>
        <v>0</v>
      </c>
      <c r="AH413" s="866" t="str">
        <f>IF(TRIM($B413)="","",IF(COUNTIFS(Lists!$AN$2:$AN$22,TRIM($B413)&amp;" | "&amp;TRIM($D413),Lists!$AO$2:$AO$22,"&lt;&gt;"),INDEX(Lists!$AO$2:$AO$22,MATCH(TRIM($B413)&amp;" | "&amp;TRIM($D413),Lists!$AN$2:$AN$22,0)),IF(COUNTIF(Lists!$AR$2:$AR$3,$AJ413),"TDD Cyber",IF(AND(LEFT($AJ413,4)="EGI ",ISNUMBER(MATCH(TRIM(MID($AJ413,5,99)),Lists!$AS$2:$AS$12,0))),TRIM(MID($AJ413,5,99)),IF(AND(LEFT($AJ413,4)="EGI ",ISNUMBER(MATCH(TRIM(MID($AJ413,5,99)),Lists!$T$2:$T$21,0))),INDEX(Lists!$U$2:$U$21,MATCH(TRIM(MID($AJ413,5,99)),Lists!$T$2:$T$21,0)),IF(OR(TRIM($J413)="",UPPER(TRIM($J413))="NA"),IFERROR(INDEX(Lists!$R$2:$R$9,MATCH(TRIM($G413),Lists!$Q$2:$Q$9,0)),"UNMAPPED"),IFERROR(INDEX(Lists!$U$2:$U$21,MATCH(TRIM($J413),Lists!$T$2:$T$21,0)),IFERROR(INDEX(Lists!$R$2:$R$9,MATCH(TRIM($G413),Lists!$Q$2:$Q$9,0)),"UNMAPPED"))))))))</f>
        <v>Customer</v>
      </c>
      <c r="AI413" s="534" t="b">
        <f>IF(TRIM($B413)="","",--OR(TRIM($L413)="Leadership",TRIM($K413)="Leadership"))</f>
        <v>0</v>
      </c>
      <c r="AJ413" s="534" t="str">
        <f>IF(TRIM($B413)="","",IF(COUNTIFS(Lists!$AN$2:$AN$22,TRIM($B413)&amp;" | "&amp;TRIM($D413),Lists!$AP$2:$AP$22,"&lt;&gt;"),INDEX(Lists!$AP$2:$AP$22,MATCH(TRIM($B413)&amp;" | "&amp;TRIM($D413),Lists!$AN$2:$AN$22,0)),IF($AI413=1,"Leadership",IFERROR(INDEX(Lists!$X$2:$X$21,MATCH(TRIM($L413),Lists!$W$2:$W$21,0)),IF(OR(TRIM($L413)="",LOWER(TRIM($L413))="na"),IF(TRIM($H413)="","Unassigned",TRIM($H413)),TRIM($L413))))))</f>
        <v>Z Loyalty &amp; Martech</v>
      </c>
      <c r="AK413" s="534" t="str">
        <f>IF(TRIM($B413)="","",IF(COUNTIFS(Lists!$AN$2:$AN$22,TRIM($B413)&amp;" | "&amp;TRIM($D413),Lists!$AQ$2:$AQ$22,"&lt;&gt;"),INDEX(Lists!$AQ$2:$AQ$22,MATCH(TRIM($B413)&amp;" | "&amp;TRIM($D413),Lists!$AN$2:$AN$22,0)),IF(COUNTIF(Lists!$AF$2:$AF$8,$AJ413),$AJ413,IF(ISNUMBER(SEARCH("head of ",$D413)),"Head of Technology",IF(ISNUMBER(SEARCH("TDD BP",$D413)),"Business Partner",IF(OR(ISNUMBER(SEARCH("domain architect",$D413)),ISNUMBER(SEARCH("enterprise architect",$D413))),"Domain Architect",IF(ISNUMBER(SEARCH("delivery man",$D413)),"Delivery Manager",IF(OR(ISNUMBER(SEARCH("technology manager",$D413)),ISNUMBER(SEARCH("technology manger",$D413)),ISNUMBER(SEARCH("tech manager",$D413))),"Technology Manager","Squad"))))))))</f>
        <v>Squad</v>
      </c>
      <c r="AL413" s="534" t="str">
        <f>IF(TRIM($B413)="","",IF(AND($AM413=1,LEFT($AJ413,4)&lt;&gt;"EGI ",$AJ413&lt;&gt;"EGI"),IFERROR(INDEX(Lists!$Z$2:$Z$20,MATCH($AH413,Lists!$Y$2:$Y$20,0)),"EGI "&amp;$AH413),IF(COUNTIF(Lists!$AU$2:$AU$10,$AJ413),$AJ413,IF(OR(LEFT($AH413,3)="COE",$AH413="EGI"),$AJ413,IF($AK413&lt;&gt;"Squad",$AK413,$AJ413)))))</f>
        <v>Z Loyalty &amp; Martech</v>
      </c>
      <c r="AM413" s="534" t="b">
        <f>IF(TRIM($B413)="","",--(UPPER(TRIM($K413))="EGI"))</f>
        <v>0</v>
      </c>
      <c r="AN413" s="534" t="inlineStr">
        <is>
          <t>Filled</t>
        </is>
      </c>
      <c r="AQ413" s="841" t="inlineStr">
        <is>
          <t>R0412</t>
        </is>
      </c>
      <c r="AZ413" s="841" t="n"/>
    </row>
    <row r="414" ht="18" customHeight="1" s="535">
      <c r="A414" s="842" t="n">
        <v>97357</v>
      </c>
      <c r="B414" s="843" t="inlineStr">
        <is>
          <t>Daniel Arban</t>
        </is>
      </c>
      <c r="C414" s="842" t="n">
        <v>97357</v>
      </c>
      <c r="D414" s="843" t="inlineStr">
        <is>
          <t>Service Delivery Lead</t>
        </is>
      </c>
      <c r="E414" s="843" t="inlineStr">
        <is>
          <t>Mark Wilson</t>
        </is>
      </c>
      <c r="F414" s="843" t="inlineStr">
        <is>
          <t>Digital Support Manager(AU)</t>
        </is>
      </c>
      <c r="G414" s="844" t="inlineStr">
        <is>
          <t>Customer</t>
        </is>
      </c>
      <c r="H414" s="843" t="inlineStr">
        <is>
          <t>Digital</t>
        </is>
      </c>
      <c r="I414" s="843" t="inlineStr">
        <is>
          <t>Digital Support (AU)</t>
        </is>
      </c>
      <c r="J414" s="843" t="inlineStr">
        <is>
          <t>Ampol Customer</t>
        </is>
      </c>
      <c r="K414" s="843" t="inlineStr">
        <is>
          <t>Ampol Digital</t>
        </is>
      </c>
      <c r="L414" s="843" t="inlineStr">
        <is>
          <t>Digital Operations</t>
        </is>
      </c>
      <c r="M414" s="843" t="n"/>
      <c r="N414" s="845" t="inlineStr">
        <is>
          <t>Australia</t>
        </is>
      </c>
      <c r="O414" s="846" t="inlineStr">
        <is>
          <t>CIA (Sometimes)</t>
        </is>
      </c>
      <c r="P414" s="847" t="n">
        <v>1</v>
      </c>
      <c r="Q414" s="846" t="n"/>
      <c r="R414" s="847" t="inlineStr">
        <is>
          <t>Permanent - Full Time</t>
        </is>
      </c>
      <c r="S414" s="847" t="n"/>
      <c r="T414" s="847" t="n"/>
      <c r="U414" s="848" t="n">
        <v>126130</v>
      </c>
      <c r="V414" s="849" t="n">
        <v>126130</v>
      </c>
      <c r="W414" s="850" t="n">
        <v>0.1</v>
      </c>
      <c r="X414" s="847" t="n">
        <v>0.055</v>
      </c>
      <c r="Y414" s="850" t="n">
        <v>0.12</v>
      </c>
      <c r="Z414" s="851" t="n"/>
      <c r="AA414" s="850" t="n">
        <v>0.04</v>
      </c>
      <c r="AB414" s="852" t="n">
        <v>165860.95</v>
      </c>
      <c r="AD414" s="866" t="n"/>
      <c r="AE414" s="866">
        <f>IF(TRIM($B414)="","",IF(AND(N($P414)&gt;0,N($P414)&lt;1),N($AB414)*N($P414),N($AB414)))</f>
        <v>165860.95</v>
      </c>
      <c r="AF414" s="866" t="str">
        <f>IF(TRIM($B414)="","",IF(OR(ISNUMBER(SEARCH("vacant",$B414)),ISNUMBER(SEARCH("ring fenced",$B414)),LOWER(TRIM($B414))="remove"),"Vacant","Filled"))</f>
        <v>Filled</v>
      </c>
      <c r="AG414" s="866" t="b">
        <f>IF(TRIM($B414)="","",--ISNUMBER(SEARCH("ring fenced",$B414)))</f>
        <v>0</v>
      </c>
      <c r="AH414" s="866" t="str">
        <f>IF(TRIM($B414)="","",IF(COUNTIFS(Lists!$AN$2:$AN$22,TRIM($B414)&amp;" | "&amp;TRIM($D414),Lists!$AO$2:$AO$22,"&lt;&gt;"),INDEX(Lists!$AO$2:$AO$22,MATCH(TRIM($B414)&amp;" | "&amp;TRIM($D414),Lists!$AN$2:$AN$22,0)),IF(COUNTIF(Lists!$AR$2:$AR$3,$AJ414),"TDD Cyber",IF(AND(LEFT($AJ414,4)="EGI ",ISNUMBER(MATCH(TRIM(MID($AJ414,5,99)),Lists!$AS$2:$AS$12,0))),TRIM(MID($AJ414,5,99)),IF(AND(LEFT($AJ414,4)="EGI ",ISNUMBER(MATCH(TRIM(MID($AJ414,5,99)),Lists!$T$2:$T$21,0))),INDEX(Lists!$U$2:$U$21,MATCH(TRIM(MID($AJ414,5,99)),Lists!$T$2:$T$21,0)),IF(OR(TRIM($J414)="",UPPER(TRIM($J414))="NA"),IFERROR(INDEX(Lists!$R$2:$R$9,MATCH(TRIM($G414),Lists!$Q$2:$Q$9,0)),"UNMAPPED"),IFERROR(INDEX(Lists!$U$2:$U$21,MATCH(TRIM($J414),Lists!$T$2:$T$21,0)),IFERROR(INDEX(Lists!$R$2:$R$9,MATCH(TRIM($G414),Lists!$Q$2:$Q$9,0)),"UNMAPPED"))))))))</f>
        <v>Customer</v>
      </c>
      <c r="AI414" s="534" t="b">
        <f>IF(TRIM($B414)="","",--OR(TRIM($L414)="Leadership",TRIM($K414)="Leadership"))</f>
        <v>0</v>
      </c>
      <c r="AJ414" s="534" t="str">
        <f>IF(TRIM($B414)="","",IF(COUNTIFS(Lists!$AN$2:$AN$22,TRIM($B414)&amp;" | "&amp;TRIM($D414),Lists!$AP$2:$AP$22,"&lt;&gt;"),INDEX(Lists!$AP$2:$AP$22,MATCH(TRIM($B414)&amp;" | "&amp;TRIM($D414),Lists!$AN$2:$AN$22,0)),IF($AI414=1,"Leadership",IFERROR(INDEX(Lists!$X$2:$X$21,MATCH(TRIM($L414),Lists!$W$2:$W$21,0)),IF(OR(TRIM($L414)="",LOWER(TRIM($L414))="na"),IF(TRIM($H414)="","Unassigned",TRIM($H414)),TRIM($L414))))))</f>
        <v>Digital Operations</v>
      </c>
      <c r="AK414" s="534" t="str">
        <f>IF(TRIM($B414)="","",IF(COUNTIFS(Lists!$AN$2:$AN$22,TRIM($B414)&amp;" | "&amp;TRIM($D414),Lists!$AQ$2:$AQ$22,"&lt;&gt;"),INDEX(Lists!$AQ$2:$AQ$22,MATCH(TRIM($B414)&amp;" | "&amp;TRIM($D414),Lists!$AN$2:$AN$22,0)),IF(COUNTIF(Lists!$AF$2:$AF$8,$AJ414),$AJ414,IF(ISNUMBER(SEARCH("head of ",$D414)),"Head of Technology",IF(ISNUMBER(SEARCH("TDD BP",$D414)),"Business Partner",IF(OR(ISNUMBER(SEARCH("domain architect",$D414)),ISNUMBER(SEARCH("enterprise architect",$D414))),"Domain Architect",IF(ISNUMBER(SEARCH("delivery man",$D414)),"Delivery Manager",IF(OR(ISNUMBER(SEARCH("technology manager",$D414)),ISNUMBER(SEARCH("technology manger",$D414)),ISNUMBER(SEARCH("tech manager",$D414))),"Technology Manager","Squad"))))))))</f>
        <v>Squad</v>
      </c>
      <c r="AL414" s="534" t="str">
        <f>IF(TRIM($B414)="","",IF(AND($AM414=1,LEFT($AJ414,4)&lt;&gt;"EGI ",$AJ414&lt;&gt;"EGI"),IFERROR(INDEX(Lists!$Z$2:$Z$20,MATCH($AH414,Lists!$Y$2:$Y$20,0)),"EGI "&amp;$AH414),IF(COUNTIF(Lists!$AU$2:$AU$10,$AJ414),$AJ414,IF(OR(LEFT($AH414,3)="COE",$AH414="EGI"),$AJ414,IF($AK414&lt;&gt;"Squad",$AK414,$AJ414)))))</f>
        <v>Digital Operations</v>
      </c>
      <c r="AM414" s="534" t="b">
        <f>IF(TRIM($B414)="","",--(UPPER(TRIM($K414))="EGI"))</f>
        <v>0</v>
      </c>
      <c r="AN414" s="534" t="inlineStr">
        <is>
          <t>Filled</t>
        </is>
      </c>
      <c r="AQ414" s="841" t="inlineStr">
        <is>
          <t>R0413</t>
        </is>
      </c>
      <c r="AZ414" s="841" t="n"/>
    </row>
    <row r="415" ht="18" customHeight="1" s="535">
      <c r="A415" s="842" t="n">
        <v>117426</v>
      </c>
      <c r="B415" s="843" t="inlineStr">
        <is>
          <t>Anthony Gen</t>
        </is>
      </c>
      <c r="C415" s="842" t="n">
        <v>117426</v>
      </c>
      <c r="D415" s="843" t="inlineStr">
        <is>
          <t>Data Analyst</t>
        </is>
      </c>
      <c r="E415" s="843" t="inlineStr">
        <is>
          <t>Zoe Udy</t>
        </is>
      </c>
      <c r="F415" s="843" t="inlineStr">
        <is>
          <t>Technology Manager, Data &amp; Engineering</t>
        </is>
      </c>
      <c r="G415" s="844" t="inlineStr">
        <is>
          <t>Customer</t>
        </is>
      </c>
      <c r="H415" s="843" t="inlineStr">
        <is>
          <t>Loyalty &amp; Martech</t>
        </is>
      </c>
      <c r="I415" s="843" t="inlineStr">
        <is>
          <t>Loyalty, Data &amp; Engineering</t>
        </is>
      </c>
      <c r="J415" s="843" t="inlineStr">
        <is>
          <t>Z ENERGY (DIGITAL)</t>
        </is>
      </c>
      <c r="K415" s="843" t="inlineStr">
        <is>
          <t>Z Loyalty &amp; Martech</t>
        </is>
      </c>
      <c r="L415" s="843" t="inlineStr">
        <is>
          <t>Z Loyalty &amp; Martech</t>
        </is>
      </c>
      <c r="M415" s="843" t="n"/>
      <c r="N415" s="845" t="inlineStr">
        <is>
          <t>NZ</t>
        </is>
      </c>
      <c r="O415" s="846" t="inlineStr">
        <is>
          <t>CIA (Sometimes)</t>
        </is>
      </c>
      <c r="P415" s="847" t="n">
        <v>1</v>
      </c>
      <c r="Q415" s="846" t="n"/>
      <c r="R415" s="847" t="inlineStr">
        <is>
          <t>Temporary - Full Time</t>
        </is>
      </c>
      <c r="S415" s="847" t="n"/>
      <c r="T415" s="847" t="n"/>
      <c r="U415" s="848" t="n">
        <v>135000</v>
      </c>
      <c r="V415" s="849" t="n">
        <v>124200</v>
      </c>
      <c r="W415" s="850" t="n">
        <v>0.15</v>
      </c>
      <c r="X415" s="847" t="n"/>
      <c r="Y415" s="850" t="n">
        <v>0.05</v>
      </c>
      <c r="Z415" s="851" t="n">
        <v>2914</v>
      </c>
      <c r="AA415" s="850" t="n">
        <v>0.03</v>
      </c>
      <c r="AB415" s="852" t="n">
        <v>155680</v>
      </c>
      <c r="AC415" s="534" t="inlineStr">
        <is>
          <t>end date: 4 June 2027</t>
        </is>
      </c>
      <c r="AD415" s="866" t="n"/>
      <c r="AE415" s="866">
        <f>IF(TRIM($B415)="","",IF(AND(N($P415)&gt;0,N($P415)&lt;1),N($AB415)*N($P415),N($AB415)))</f>
        <v>155680</v>
      </c>
      <c r="AF415" s="866" t="str">
        <f>IF(TRIM($B415)="","",IF(OR(ISNUMBER(SEARCH("vacant",$B415)),ISNUMBER(SEARCH("ring fenced",$B415)),LOWER(TRIM($B415))="remove"),"Vacant","Filled"))</f>
        <v>Filled</v>
      </c>
      <c r="AG415" s="866" t="b">
        <f>IF(TRIM($B415)="","",--ISNUMBER(SEARCH("ring fenced",$B415)))</f>
        <v>0</v>
      </c>
      <c r="AH415" s="866" t="str">
        <f>IF(TRIM($B415)="","",IF(COUNTIFS(Lists!$AN$2:$AN$22,TRIM($B415)&amp;" | "&amp;TRIM($D415),Lists!$AO$2:$AO$22,"&lt;&gt;"),INDEX(Lists!$AO$2:$AO$22,MATCH(TRIM($B415)&amp;" | "&amp;TRIM($D415),Lists!$AN$2:$AN$22,0)),IF(COUNTIF(Lists!$AR$2:$AR$3,$AJ415),"TDD Cyber",IF(AND(LEFT($AJ415,4)="EGI ",ISNUMBER(MATCH(TRIM(MID($AJ415,5,99)),Lists!$AS$2:$AS$12,0))),TRIM(MID($AJ415,5,99)),IF(AND(LEFT($AJ415,4)="EGI ",ISNUMBER(MATCH(TRIM(MID($AJ415,5,99)),Lists!$T$2:$T$21,0))),INDEX(Lists!$U$2:$U$21,MATCH(TRIM(MID($AJ415,5,99)),Lists!$T$2:$T$21,0)),IF(OR(TRIM($J415)="",UPPER(TRIM($J415))="NA"),IFERROR(INDEX(Lists!$R$2:$R$9,MATCH(TRIM($G415),Lists!$Q$2:$Q$9,0)),"UNMAPPED"),IFERROR(INDEX(Lists!$U$2:$U$21,MATCH(TRIM($J415),Lists!$T$2:$T$21,0)),IFERROR(INDEX(Lists!$R$2:$R$9,MATCH(TRIM($G415),Lists!$Q$2:$Q$9,0)),"UNMAPPED"))))))))</f>
        <v>Customer</v>
      </c>
      <c r="AI415" s="534" t="b">
        <f>IF(TRIM($B415)="","",--OR(TRIM($L415)="Leadership",TRIM($K415)="Leadership"))</f>
        <v>0</v>
      </c>
      <c r="AJ415" s="534" t="str">
        <f>IF(TRIM($B415)="","",IF(COUNTIFS(Lists!$AN$2:$AN$22,TRIM($B415)&amp;" | "&amp;TRIM($D415),Lists!$AP$2:$AP$22,"&lt;&gt;"),INDEX(Lists!$AP$2:$AP$22,MATCH(TRIM($B415)&amp;" | "&amp;TRIM($D415),Lists!$AN$2:$AN$22,0)),IF($AI415=1,"Leadership",IFERROR(INDEX(Lists!$X$2:$X$21,MATCH(TRIM($L415),Lists!$W$2:$W$21,0)),IF(OR(TRIM($L415)="",LOWER(TRIM($L415))="na"),IF(TRIM($H415)="","Unassigned",TRIM($H415)),TRIM($L415))))))</f>
        <v>Z Loyalty &amp; Martech</v>
      </c>
      <c r="AK415" s="534" t="str">
        <f>IF(TRIM($B415)="","",IF(COUNTIFS(Lists!$AN$2:$AN$22,TRIM($B415)&amp;" | "&amp;TRIM($D415),Lists!$AQ$2:$AQ$22,"&lt;&gt;"),INDEX(Lists!$AQ$2:$AQ$22,MATCH(TRIM($B415)&amp;" | "&amp;TRIM($D415),Lists!$AN$2:$AN$22,0)),IF(COUNTIF(Lists!$AF$2:$AF$8,$AJ415),$AJ415,IF(ISNUMBER(SEARCH("head of ",$D415)),"Head of Technology",IF(ISNUMBER(SEARCH("TDD BP",$D415)),"Business Partner",IF(OR(ISNUMBER(SEARCH("domain architect",$D415)),ISNUMBER(SEARCH("enterprise architect",$D415))),"Domain Architect",IF(ISNUMBER(SEARCH("delivery man",$D415)),"Delivery Manager",IF(OR(ISNUMBER(SEARCH("technology manager",$D415)),ISNUMBER(SEARCH("technology manger",$D415)),ISNUMBER(SEARCH("tech manager",$D415))),"Technology Manager","Squad"))))))))</f>
        <v>Squad</v>
      </c>
      <c r="AL415" s="534" t="str">
        <f>IF(TRIM($B415)="","",IF(AND($AM415=1,LEFT($AJ415,4)&lt;&gt;"EGI ",$AJ415&lt;&gt;"EGI"),IFERROR(INDEX(Lists!$Z$2:$Z$20,MATCH($AH415,Lists!$Y$2:$Y$20,0)),"EGI "&amp;$AH415),IF(COUNTIF(Lists!$AU$2:$AU$10,$AJ415),$AJ415,IF(OR(LEFT($AH415,3)="COE",$AH415="EGI"),$AJ415,IF($AK415&lt;&gt;"Squad",$AK415,$AJ415)))))</f>
        <v>Z Loyalty &amp; Martech</v>
      </c>
      <c r="AM415" s="534" t="b">
        <f>IF(TRIM($B415)="","",--(UPPER(TRIM($K415))="EGI"))</f>
        <v>0</v>
      </c>
      <c r="AN415" s="534" t="inlineStr">
        <is>
          <t>Filled</t>
        </is>
      </c>
      <c r="AO415" s="534" t="inlineStr">
        <is>
          <t>end date: 4 June 2027</t>
        </is>
      </c>
      <c r="AP415" s="854" t="n">
        <v>46542</v>
      </c>
      <c r="AQ415" s="841" t="inlineStr">
        <is>
          <t>R0414</t>
        </is>
      </c>
      <c r="AZ415" s="841" t="n"/>
    </row>
    <row r="416" ht="18" customHeight="1" s="535">
      <c r="A416" s="842" t="n">
        <v>115809</v>
      </c>
      <c r="B416" s="843" t="inlineStr">
        <is>
          <t>Dasha Fothergill</t>
        </is>
      </c>
      <c r="C416" s="842" t="n">
        <v>115809</v>
      </c>
      <c r="D416" s="843" t="inlineStr">
        <is>
          <t>Data Analyst</t>
        </is>
      </c>
      <c r="E416" s="843" t="inlineStr">
        <is>
          <t>Zoe Udy</t>
        </is>
      </c>
      <c r="F416" s="843" t="inlineStr">
        <is>
          <t>Technology Manager, Data &amp; Engineering</t>
        </is>
      </c>
      <c r="G416" s="844" t="inlineStr">
        <is>
          <t>Customer</t>
        </is>
      </c>
      <c r="H416" s="843" t="inlineStr">
        <is>
          <t>Loyalty &amp; Martech</t>
        </is>
      </c>
      <c r="I416" s="843" t="inlineStr">
        <is>
          <t>Loyalty, Data &amp; Engineering</t>
        </is>
      </c>
      <c r="J416" s="843" t="inlineStr">
        <is>
          <t>EGI Integration</t>
        </is>
      </c>
      <c r="K416" s="843" t="inlineStr">
        <is>
          <t>EGI</t>
        </is>
      </c>
      <c r="L416" s="843" t="inlineStr">
        <is>
          <t>EGI Customer</t>
        </is>
      </c>
      <c r="M416" s="843" t="n"/>
      <c r="N416" s="845" t="inlineStr">
        <is>
          <t>NZ</t>
        </is>
      </c>
      <c r="O416" s="846" t="inlineStr">
        <is>
          <t>CIA (Sometimes)</t>
        </is>
      </c>
      <c r="P416" s="847" t="n">
        <v>1</v>
      </c>
      <c r="Q416" s="846" t="n"/>
      <c r="R416" s="847" t="inlineStr">
        <is>
          <t>Permanent - Full Time</t>
        </is>
      </c>
      <c r="S416" s="847" t="n"/>
      <c r="T416" s="847" t="n"/>
      <c r="U416" s="848" t="n">
        <v>120000</v>
      </c>
      <c r="V416" s="849" t="n">
        <v>110400</v>
      </c>
      <c r="W416" s="850" t="n">
        <v>0.15</v>
      </c>
      <c r="X416" s="847" t="n"/>
      <c r="Y416" s="850" t="n">
        <v>0.05</v>
      </c>
      <c r="Z416" s="851" t="n">
        <v>2912</v>
      </c>
      <c r="AA416" s="850" t="n">
        <v>0.03</v>
      </c>
      <c r="AB416" s="852" t="n">
        <v>138704</v>
      </c>
      <c r="AD416" s="866" t="n"/>
      <c r="AE416" s="866">
        <f>IF(TRIM($B416)="","",IF(AND(N($P416)&gt;0,N($P416)&lt;1),N($AB416)*N($P416),N($AB416)))</f>
        <v>138704</v>
      </c>
      <c r="AF416" s="866" t="str">
        <f>IF(TRIM($B416)="","",IF(OR(ISNUMBER(SEARCH("vacant",$B416)),ISNUMBER(SEARCH("ring fenced",$B416)),LOWER(TRIM($B416))="remove"),"Vacant","Filled"))</f>
        <v>Filled</v>
      </c>
      <c r="AG416" s="866" t="b">
        <f>IF(TRIM($B416)="","",--ISNUMBER(SEARCH("ring fenced",$B416)))</f>
        <v>0</v>
      </c>
      <c r="AH416" s="866" t="str">
        <f>IF(TRIM($B416)="","",IF(COUNTIFS(Lists!$AN$2:$AN$22,TRIM($B416)&amp;" | "&amp;TRIM($D416),Lists!$AO$2:$AO$22,"&lt;&gt;"),INDEX(Lists!$AO$2:$AO$22,MATCH(TRIM($B416)&amp;" | "&amp;TRIM($D416),Lists!$AN$2:$AN$22,0)),IF(COUNTIF(Lists!$AR$2:$AR$3,$AJ416),"TDD Cyber",IF(AND(LEFT($AJ416,4)="EGI ",ISNUMBER(MATCH(TRIM(MID($AJ416,5,99)),Lists!$AS$2:$AS$12,0))),TRIM(MID($AJ416,5,99)),IF(AND(LEFT($AJ416,4)="EGI ",ISNUMBER(MATCH(TRIM(MID($AJ416,5,99)),Lists!$T$2:$T$21,0))),INDEX(Lists!$U$2:$U$21,MATCH(TRIM(MID($AJ416,5,99)),Lists!$T$2:$T$21,0)),IF(OR(TRIM($J416)="",UPPER(TRIM($J416))="NA"),IFERROR(INDEX(Lists!$R$2:$R$9,MATCH(TRIM($G416),Lists!$Q$2:$Q$9,0)),"UNMAPPED"),IFERROR(INDEX(Lists!$U$2:$U$21,MATCH(TRIM($J416),Lists!$T$2:$T$21,0)),IFERROR(INDEX(Lists!$R$2:$R$9,MATCH(TRIM($G416),Lists!$Q$2:$Q$9,0)),"UNMAPPED"))))))))</f>
        <v>Customer</v>
      </c>
      <c r="AI416" s="534" t="b">
        <f>IF(TRIM($B416)="","",--OR(TRIM($L416)="Leadership",TRIM($K416)="Leadership"))</f>
        <v>0</v>
      </c>
      <c r="AJ416" s="534" t="str">
        <f>IF(TRIM($B416)="","",IF(COUNTIFS(Lists!$AN$2:$AN$22,TRIM($B416)&amp;" | "&amp;TRIM($D416),Lists!$AP$2:$AP$22,"&lt;&gt;"),INDEX(Lists!$AP$2:$AP$22,MATCH(TRIM($B416)&amp;" | "&amp;TRIM($D416),Lists!$AN$2:$AN$22,0)),IF($AI416=1,"Leadership",IFERROR(INDEX(Lists!$X$2:$X$21,MATCH(TRIM($L416),Lists!$W$2:$W$21,0)),IF(OR(TRIM($L416)="",LOWER(TRIM($L416))="na"),IF(TRIM($H416)="","Unassigned",TRIM($H416)),TRIM($L416))))))</f>
        <v>EGI Customer</v>
      </c>
      <c r="AK416" s="534" t="str">
        <f>IF(TRIM($B416)="","",IF(COUNTIFS(Lists!$AN$2:$AN$22,TRIM($B416)&amp;" | "&amp;TRIM($D416),Lists!$AQ$2:$AQ$22,"&lt;&gt;"),INDEX(Lists!$AQ$2:$AQ$22,MATCH(TRIM($B416)&amp;" | "&amp;TRIM($D416),Lists!$AN$2:$AN$22,0)),IF(COUNTIF(Lists!$AF$2:$AF$8,$AJ416),$AJ416,IF(ISNUMBER(SEARCH("head of ",$D416)),"Head of Technology",IF(ISNUMBER(SEARCH("TDD BP",$D416)),"Business Partner",IF(OR(ISNUMBER(SEARCH("domain architect",$D416)),ISNUMBER(SEARCH("enterprise architect",$D416))),"Domain Architect",IF(ISNUMBER(SEARCH("delivery man",$D416)),"Delivery Manager",IF(OR(ISNUMBER(SEARCH("technology manager",$D416)),ISNUMBER(SEARCH("technology manger",$D416)),ISNUMBER(SEARCH("tech manager",$D416))),"Technology Manager","Squad"))))))))</f>
        <v>Squad</v>
      </c>
      <c r="AL416" s="534" t="str">
        <f>IF(TRIM($B416)="","",IF(AND($AM416=1,LEFT($AJ416,4)&lt;&gt;"EGI ",$AJ416&lt;&gt;"EGI"),IFERROR(INDEX(Lists!$Z$2:$Z$20,MATCH($AH416,Lists!$Y$2:$Y$20,0)),"EGI "&amp;$AH416),IF(COUNTIF(Lists!$AU$2:$AU$10,$AJ416),$AJ416,IF(OR(LEFT($AH416,3)="COE",$AH416="EGI"),$AJ416,IF($AK416&lt;&gt;"Squad",$AK416,$AJ416)))))</f>
        <v>EGI Customer</v>
      </c>
      <c r="AM416" s="534" t="b">
        <f>IF(TRIM($B416)="","",--(UPPER(TRIM($K416))="EGI"))</f>
        <v>1</v>
      </c>
      <c r="AN416" s="534" t="inlineStr">
        <is>
          <t>Filled</t>
        </is>
      </c>
      <c r="AQ416" s="841" t="inlineStr">
        <is>
          <t>R0415</t>
        </is>
      </c>
      <c r="AZ416" s="841" t="n"/>
    </row>
    <row r="417" ht="18" customHeight="1" s="535">
      <c r="A417" s="842" t="n">
        <v>14013</v>
      </c>
      <c r="B417" s="843" t="inlineStr">
        <is>
          <t>Jem Cruz</t>
        </is>
      </c>
      <c r="C417" s="842" t="n">
        <v>14013</v>
      </c>
      <c r="D417" s="843" t="inlineStr">
        <is>
          <t>System Specialist</t>
        </is>
      </c>
      <c r="E417" s="843" t="inlineStr">
        <is>
          <t>Allan Francia</t>
        </is>
      </c>
      <c r="F417" s="843" t="inlineStr">
        <is>
          <t>Technology Manager, T&amp;S</t>
        </is>
      </c>
      <c r="G417" s="844" t="inlineStr">
        <is>
          <t>TDD CFE&amp;I</t>
        </is>
      </c>
      <c r="H417" s="843" t="inlineStr">
        <is>
          <t>Commercial Fuels</t>
        </is>
      </c>
      <c r="I417" s="843" t="inlineStr">
        <is>
          <t>Technology, Trading &amp; Shipping</t>
        </is>
      </c>
      <c r="J417" s="843" t="inlineStr">
        <is>
          <t>Commercial Fuels</t>
        </is>
      </c>
      <c r="K417" s="843" t="inlineStr">
        <is>
          <t>Trading &amp; Shipping</t>
        </is>
      </c>
      <c r="L417" s="843" t="inlineStr">
        <is>
          <t>Trading &amp; Shipping</t>
        </is>
      </c>
      <c r="M417" s="843" t="n"/>
      <c r="N417" s="845" t="inlineStr">
        <is>
          <t>Australia</t>
        </is>
      </c>
      <c r="O417" s="846" t="inlineStr">
        <is>
          <t>CIA</t>
        </is>
      </c>
      <c r="P417" s="847" t="n">
        <v>1</v>
      </c>
      <c r="Q417" s="846" t="n"/>
      <c r="R417" s="847" t="inlineStr">
        <is>
          <t>Permanent - Full Time</t>
        </is>
      </c>
      <c r="S417" s="847" t="n"/>
      <c r="T417" s="847" t="n"/>
      <c r="U417" s="848" t="n">
        <v>136890</v>
      </c>
      <c r="V417" s="849" t="n">
        <v>136890</v>
      </c>
      <c r="W417" s="850" t="n">
        <v>0.1</v>
      </c>
      <c r="X417" s="847" t="n">
        <v>0.055</v>
      </c>
      <c r="Y417" s="850" t="n">
        <v>0.12</v>
      </c>
      <c r="Z417" s="851" t="n"/>
      <c r="AA417" s="850" t="n">
        <v>0.04</v>
      </c>
      <c r="AB417" s="852" t="n">
        <v>180010.35</v>
      </c>
      <c r="AD417" s="866" t="n"/>
      <c r="AE417" s="866">
        <f>IF(TRIM($B417)="","",IF(AND(N($P417)&gt;0,N($P417)&lt;1),N($AB417)*N($P417),N($AB417)))</f>
        <v>180010.35</v>
      </c>
      <c r="AF417" s="866" t="str">
        <f>IF(TRIM($B417)="","",IF(OR(ISNUMBER(SEARCH("vacant",$B417)),ISNUMBER(SEARCH("ring fenced",$B417)),LOWER(TRIM($B417))="remove"),"Vacant","Filled"))</f>
        <v>Filled</v>
      </c>
      <c r="AG417" s="866" t="b">
        <f>IF(TRIM($B417)="","",--ISNUMBER(SEARCH("ring fenced",$B417)))</f>
        <v>0</v>
      </c>
      <c r="AH417" s="866" t="str">
        <f>IF(TRIM($B417)="","",IF(COUNTIFS(Lists!$AN$2:$AN$22,TRIM($B417)&amp;" | "&amp;TRIM($D417),Lists!$AO$2:$AO$22,"&lt;&gt;"),INDEX(Lists!$AO$2:$AO$22,MATCH(TRIM($B417)&amp;" | "&amp;TRIM($D417),Lists!$AN$2:$AN$22,0)),IF(COUNTIF(Lists!$AR$2:$AR$3,$AJ417),"TDD Cyber",IF(AND(LEFT($AJ417,4)="EGI ",ISNUMBER(MATCH(TRIM(MID($AJ417,5,99)),Lists!$AS$2:$AS$12,0))),TRIM(MID($AJ417,5,99)),IF(AND(LEFT($AJ417,4)="EGI ",ISNUMBER(MATCH(TRIM(MID($AJ417,5,99)),Lists!$T$2:$T$21,0))),INDEX(Lists!$U$2:$U$21,MATCH(TRIM(MID($AJ417,5,99)),Lists!$T$2:$T$21,0)),IF(OR(TRIM($J417)="",UPPER(TRIM($J417))="NA"),IFERROR(INDEX(Lists!$R$2:$R$9,MATCH(TRIM($G417),Lists!$Q$2:$Q$9,0)),"UNMAPPED"),IFERROR(INDEX(Lists!$U$2:$U$21,MATCH(TRIM($J417),Lists!$T$2:$T$21,0)),IFERROR(INDEX(Lists!$R$2:$R$9,MATCH(TRIM($G417),Lists!$Q$2:$Q$9,0)),"UNMAPPED"))))))))</f>
        <v>Commercial Fuels</v>
      </c>
      <c r="AI417" s="534" t="b">
        <f>IF(TRIM($B417)="","",--OR(TRIM($L417)="Leadership",TRIM($K417)="Leadership"))</f>
        <v>0</v>
      </c>
      <c r="AJ417" s="534" t="str">
        <f>IF(TRIM($B417)="","",IF(COUNTIFS(Lists!$AN$2:$AN$22,TRIM($B417)&amp;" | "&amp;TRIM($D417),Lists!$AP$2:$AP$22,"&lt;&gt;"),INDEX(Lists!$AP$2:$AP$22,MATCH(TRIM($B417)&amp;" | "&amp;TRIM($D417),Lists!$AN$2:$AN$22,0)),IF($AI417=1,"Leadership",IFERROR(INDEX(Lists!$X$2:$X$21,MATCH(TRIM($L417),Lists!$W$2:$W$21,0)),IF(OR(TRIM($L417)="",LOWER(TRIM($L417))="na"),IF(TRIM($H417)="","Unassigned",TRIM($H417)),TRIM($L417))))))</f>
        <v>Trading &amp; Shipping</v>
      </c>
      <c r="AK417" s="534" t="str">
        <f>IF(TRIM($B417)="","",IF(COUNTIFS(Lists!$AN$2:$AN$22,TRIM($B417)&amp;" | "&amp;TRIM($D417),Lists!$AQ$2:$AQ$22,"&lt;&gt;"),INDEX(Lists!$AQ$2:$AQ$22,MATCH(TRIM($B417)&amp;" | "&amp;TRIM($D417),Lists!$AN$2:$AN$22,0)),IF(COUNTIF(Lists!$AF$2:$AF$8,$AJ417),$AJ417,IF(ISNUMBER(SEARCH("head of ",$D417)),"Head of Technology",IF(ISNUMBER(SEARCH("TDD BP",$D417)),"Business Partner",IF(OR(ISNUMBER(SEARCH("domain architect",$D417)),ISNUMBER(SEARCH("enterprise architect",$D417))),"Domain Architect",IF(ISNUMBER(SEARCH("delivery man",$D417)),"Delivery Manager",IF(OR(ISNUMBER(SEARCH("technology manager",$D417)),ISNUMBER(SEARCH("technology manger",$D417)),ISNUMBER(SEARCH("tech manager",$D417))),"Technology Manager","Squad"))))))))</f>
        <v>Squad</v>
      </c>
      <c r="AL417" s="534" t="str">
        <f>IF(TRIM($B417)="","",IF(AND($AM417=1,LEFT($AJ417,4)&lt;&gt;"EGI ",$AJ417&lt;&gt;"EGI"),IFERROR(INDEX(Lists!$Z$2:$Z$20,MATCH($AH417,Lists!$Y$2:$Y$20,0)),"EGI "&amp;$AH417),IF(COUNTIF(Lists!$AU$2:$AU$10,$AJ417),$AJ417,IF(OR(LEFT($AH417,3)="COE",$AH417="EGI"),$AJ417,IF($AK417&lt;&gt;"Squad",$AK417,$AJ417)))))</f>
        <v>Trading &amp; Shipping</v>
      </c>
      <c r="AM417" s="534" t="b">
        <f>IF(TRIM($B417)="","",--(UPPER(TRIM($K417))="EGI"))</f>
        <v>0</v>
      </c>
      <c r="AQ417" s="841" t="inlineStr">
        <is>
          <t>R0416</t>
        </is>
      </c>
      <c r="AZ417" s="841" t="n"/>
    </row>
    <row r="418" ht="18" customHeight="1" s="535">
      <c r="A418" s="842" t="n">
        <v>115836</v>
      </c>
      <c r="B418" s="843" t="inlineStr">
        <is>
          <t>JR Panganiban</t>
        </is>
      </c>
      <c r="C418" s="842" t="n">
        <v>115836</v>
      </c>
      <c r="D418" s="843" t="inlineStr">
        <is>
          <t>Technology Support Engineer</t>
        </is>
      </c>
      <c r="E418" s="843" t="inlineStr">
        <is>
          <t>Allan Francia</t>
        </is>
      </c>
      <c r="F418" s="843" t="inlineStr">
        <is>
          <t>Technology Manager, T&amp;S</t>
        </is>
      </c>
      <c r="G418" s="844" t="inlineStr">
        <is>
          <t>TDD CFE&amp;I</t>
        </is>
      </c>
      <c r="H418" s="843" t="inlineStr">
        <is>
          <t>Commercial Fuels</t>
        </is>
      </c>
      <c r="I418" s="843" t="inlineStr">
        <is>
          <t>Technology, Trading &amp; Shipping</t>
        </is>
      </c>
      <c r="J418" s="843" t="inlineStr">
        <is>
          <t>Commercial Fuels</t>
        </is>
      </c>
      <c r="K418" s="843" t="inlineStr">
        <is>
          <t>Trading &amp; Shipping</t>
        </is>
      </c>
      <c r="L418" s="843" t="inlineStr">
        <is>
          <t>Trading &amp; Shipping</t>
        </is>
      </c>
      <c r="M418" s="843" t="n"/>
      <c r="N418" s="845" t="inlineStr">
        <is>
          <t>USA</t>
        </is>
      </c>
      <c r="O418" s="846" t="inlineStr">
        <is>
          <t>CIA</t>
        </is>
      </c>
      <c r="P418" s="847" t="n">
        <v>1</v>
      </c>
      <c r="Q418" s="846" t="n"/>
      <c r="R418" s="847" t="inlineStr">
        <is>
          <t>Permanent - Full Time</t>
        </is>
      </c>
      <c r="S418" s="847" t="n"/>
      <c r="T418" s="847" t="n"/>
      <c r="U418" s="848" t="n">
        <v>92000</v>
      </c>
      <c r="V418" s="849" t="n">
        <v>140760</v>
      </c>
      <c r="W418" s="850" t="n">
        <v>0</v>
      </c>
      <c r="X418" s="847" t="n">
        <v>0</v>
      </c>
      <c r="Y418" s="850" t="n">
        <v>0</v>
      </c>
      <c r="Z418" s="851" t="n">
        <v>0</v>
      </c>
      <c r="AA418" s="850" t="n">
        <v>0.04</v>
      </c>
      <c r="AB418" s="852" t="n">
        <v>146390.4</v>
      </c>
      <c r="AD418" s="866" t="n"/>
      <c r="AE418" s="866">
        <f>IF(TRIM($B418)="","",IF(AND(N($P418)&gt;0,N($P418)&lt;1),N($AB418)*N($P418),N($AB418)))</f>
        <v>146390.4</v>
      </c>
      <c r="AF418" s="866" t="str">
        <f>IF(TRIM($B418)="","",IF(OR(ISNUMBER(SEARCH("vacant",$B418)),ISNUMBER(SEARCH("ring fenced",$B418)),LOWER(TRIM($B418))="remove"),"Vacant","Filled"))</f>
        <v>Filled</v>
      </c>
      <c r="AG418" s="866" t="b">
        <f>IF(TRIM($B418)="","",--ISNUMBER(SEARCH("ring fenced",$B418)))</f>
        <v>0</v>
      </c>
      <c r="AH418" s="866" t="str">
        <f>IF(TRIM($B418)="","",IF(COUNTIFS(Lists!$AN$2:$AN$22,TRIM($B418)&amp;" | "&amp;TRIM($D418),Lists!$AO$2:$AO$22,"&lt;&gt;"),INDEX(Lists!$AO$2:$AO$22,MATCH(TRIM($B418)&amp;" | "&amp;TRIM($D418),Lists!$AN$2:$AN$22,0)),IF(COUNTIF(Lists!$AR$2:$AR$3,$AJ418),"TDD Cyber",IF(AND(LEFT($AJ418,4)="EGI ",ISNUMBER(MATCH(TRIM(MID($AJ418,5,99)),Lists!$AS$2:$AS$12,0))),TRIM(MID($AJ418,5,99)),IF(AND(LEFT($AJ418,4)="EGI ",ISNUMBER(MATCH(TRIM(MID($AJ418,5,99)),Lists!$T$2:$T$21,0))),INDEX(Lists!$U$2:$U$21,MATCH(TRIM(MID($AJ418,5,99)),Lists!$T$2:$T$21,0)),IF(OR(TRIM($J418)="",UPPER(TRIM($J418))="NA"),IFERROR(INDEX(Lists!$R$2:$R$9,MATCH(TRIM($G418),Lists!$Q$2:$Q$9,0)),"UNMAPPED"),IFERROR(INDEX(Lists!$U$2:$U$21,MATCH(TRIM($J418),Lists!$T$2:$T$21,0)),IFERROR(INDEX(Lists!$R$2:$R$9,MATCH(TRIM($G418),Lists!$Q$2:$Q$9,0)),"UNMAPPED"))))))))</f>
        <v>Commercial Fuels</v>
      </c>
      <c r="AI418" s="534" t="b">
        <f>IF(TRIM($B418)="","",--OR(TRIM($L418)="Leadership",TRIM($K418)="Leadership"))</f>
        <v>0</v>
      </c>
      <c r="AJ418" s="534" t="str">
        <f>IF(TRIM($B418)="","",IF(COUNTIFS(Lists!$AN$2:$AN$22,TRIM($B418)&amp;" | "&amp;TRIM($D418),Lists!$AP$2:$AP$22,"&lt;&gt;"),INDEX(Lists!$AP$2:$AP$22,MATCH(TRIM($B418)&amp;" | "&amp;TRIM($D418),Lists!$AN$2:$AN$22,0)),IF($AI418=1,"Leadership",IFERROR(INDEX(Lists!$X$2:$X$21,MATCH(TRIM($L418),Lists!$W$2:$W$21,0)),IF(OR(TRIM($L418)="",LOWER(TRIM($L418))="na"),IF(TRIM($H418)="","Unassigned",TRIM($H418)),TRIM($L418))))))</f>
        <v>Trading &amp; Shipping</v>
      </c>
      <c r="AK418" s="534" t="str">
        <f>IF(TRIM($B418)="","",IF(COUNTIFS(Lists!$AN$2:$AN$22,TRIM($B418)&amp;" | "&amp;TRIM($D418),Lists!$AQ$2:$AQ$22,"&lt;&gt;"),INDEX(Lists!$AQ$2:$AQ$22,MATCH(TRIM($B418)&amp;" | "&amp;TRIM($D418),Lists!$AN$2:$AN$22,0)),IF(COUNTIF(Lists!$AF$2:$AF$8,$AJ418),$AJ418,IF(ISNUMBER(SEARCH("head of ",$D418)),"Head of Technology",IF(ISNUMBER(SEARCH("TDD BP",$D418)),"Business Partner",IF(OR(ISNUMBER(SEARCH("domain architect",$D418)),ISNUMBER(SEARCH("enterprise architect",$D418))),"Domain Architect",IF(ISNUMBER(SEARCH("delivery man",$D418)),"Delivery Manager",IF(OR(ISNUMBER(SEARCH("technology manager",$D418)),ISNUMBER(SEARCH("technology manger",$D418)),ISNUMBER(SEARCH("tech manager",$D418))),"Technology Manager","Squad"))))))))</f>
        <v>Squad</v>
      </c>
      <c r="AL418" s="534" t="str">
        <f>IF(TRIM($B418)="","",IF(AND($AM418=1,LEFT($AJ418,4)&lt;&gt;"EGI ",$AJ418&lt;&gt;"EGI"),IFERROR(INDEX(Lists!$Z$2:$Z$20,MATCH($AH418,Lists!$Y$2:$Y$20,0)),"EGI "&amp;$AH418),IF(COUNTIF(Lists!$AU$2:$AU$10,$AJ418),$AJ418,IF(OR(LEFT($AH418,3)="COE",$AH418="EGI"),$AJ418,IF($AK418&lt;&gt;"Squad",$AK418,$AJ418)))))</f>
        <v>Trading &amp; Shipping</v>
      </c>
      <c r="AM418" s="534" t="b">
        <f>IF(TRIM($B418)="","",--(UPPER(TRIM($K418))="EGI"))</f>
        <v>0</v>
      </c>
      <c r="AQ418" s="841" t="inlineStr">
        <is>
          <t>R0417</t>
        </is>
      </c>
      <c r="AZ418" s="841" t="n"/>
    </row>
    <row r="419" ht="18" customHeight="1" s="535">
      <c r="A419" s="842" t="n">
        <v>11661</v>
      </c>
      <c r="B419" s="843" t="inlineStr">
        <is>
          <t>Kevin Li</t>
        </is>
      </c>
      <c r="C419" s="842" t="n">
        <v>11661</v>
      </c>
      <c r="D419" s="843" t="inlineStr">
        <is>
          <t>System Specialist</t>
        </is>
      </c>
      <c r="E419" s="843" t="inlineStr">
        <is>
          <t>Allan Francia</t>
        </is>
      </c>
      <c r="F419" s="843" t="inlineStr">
        <is>
          <t>Technology Manager, T&amp;S</t>
        </is>
      </c>
      <c r="G419" s="844" t="inlineStr">
        <is>
          <t>TDD CFE&amp;I</t>
        </is>
      </c>
      <c r="H419" s="843" t="inlineStr">
        <is>
          <t>Commercial Fuels</t>
        </is>
      </c>
      <c r="I419" s="843" t="inlineStr">
        <is>
          <t>Technology, Trading &amp; Shipping</t>
        </is>
      </c>
      <c r="J419" s="843" t="inlineStr">
        <is>
          <t>Commercial Fuels</t>
        </is>
      </c>
      <c r="K419" s="843" t="inlineStr">
        <is>
          <t>Trading &amp; Shipping</t>
        </is>
      </c>
      <c r="L419" s="843" t="inlineStr">
        <is>
          <t>Trading &amp; Shipping</t>
        </is>
      </c>
      <c r="M419" s="843" t="n"/>
      <c r="N419" s="845" t="inlineStr">
        <is>
          <t>Australia</t>
        </is>
      </c>
      <c r="O419" s="846" t="inlineStr">
        <is>
          <t>CIA</t>
        </is>
      </c>
      <c r="P419" s="847" t="n">
        <v>1</v>
      </c>
      <c r="Q419" s="846" t="n"/>
      <c r="R419" s="847" t="inlineStr">
        <is>
          <t>Permanent - Full Time</t>
        </is>
      </c>
      <c r="S419" s="847" t="n"/>
      <c r="T419" s="847" t="n"/>
      <c r="U419" s="848" t="n">
        <v>136860</v>
      </c>
      <c r="V419" s="849" t="n">
        <v>136860</v>
      </c>
      <c r="W419" s="850" t="n">
        <v>0.1</v>
      </c>
      <c r="X419" s="847" t="n">
        <v>0.055</v>
      </c>
      <c r="Y419" s="850" t="n">
        <v>0.12</v>
      </c>
      <c r="Z419" s="851" t="n"/>
      <c r="AA419" s="850" t="n">
        <v>0.04</v>
      </c>
      <c r="AB419" s="852" t="n">
        <v>179970.9</v>
      </c>
      <c r="AD419" s="866" t="n"/>
      <c r="AE419" s="866">
        <f>IF(TRIM($B419)="","",IF(AND(N($P419)&gt;0,N($P419)&lt;1),N($AB419)*N($P419),N($AB419)))</f>
        <v>179970.9</v>
      </c>
      <c r="AF419" s="866" t="str">
        <f>IF(TRIM($B419)="","",IF(OR(ISNUMBER(SEARCH("vacant",$B419)),ISNUMBER(SEARCH("ring fenced",$B419)),LOWER(TRIM($B419))="remove"),"Vacant","Filled"))</f>
        <v>Filled</v>
      </c>
      <c r="AG419" s="866" t="b">
        <f>IF(TRIM($B419)="","",--ISNUMBER(SEARCH("ring fenced",$B419)))</f>
        <v>0</v>
      </c>
      <c r="AH419" s="866" t="str">
        <f>IF(TRIM($B419)="","",IF(COUNTIFS(Lists!$AN$2:$AN$22,TRIM($B419)&amp;" | "&amp;TRIM($D419),Lists!$AO$2:$AO$22,"&lt;&gt;"),INDEX(Lists!$AO$2:$AO$22,MATCH(TRIM($B419)&amp;" | "&amp;TRIM($D419),Lists!$AN$2:$AN$22,0)),IF(COUNTIF(Lists!$AR$2:$AR$3,$AJ419),"TDD Cyber",IF(AND(LEFT($AJ419,4)="EGI ",ISNUMBER(MATCH(TRIM(MID($AJ419,5,99)),Lists!$AS$2:$AS$12,0))),TRIM(MID($AJ419,5,99)),IF(AND(LEFT($AJ419,4)="EGI ",ISNUMBER(MATCH(TRIM(MID($AJ419,5,99)),Lists!$T$2:$T$21,0))),INDEX(Lists!$U$2:$U$21,MATCH(TRIM(MID($AJ419,5,99)),Lists!$T$2:$T$21,0)),IF(OR(TRIM($J419)="",UPPER(TRIM($J419))="NA"),IFERROR(INDEX(Lists!$R$2:$R$9,MATCH(TRIM($G419),Lists!$Q$2:$Q$9,0)),"UNMAPPED"),IFERROR(INDEX(Lists!$U$2:$U$21,MATCH(TRIM($J419),Lists!$T$2:$T$21,0)),IFERROR(INDEX(Lists!$R$2:$R$9,MATCH(TRIM($G419),Lists!$Q$2:$Q$9,0)),"UNMAPPED"))))))))</f>
        <v>Commercial Fuels</v>
      </c>
      <c r="AI419" s="534" t="b">
        <f>IF(TRIM($B419)="","",--OR(TRIM($L419)="Leadership",TRIM($K419)="Leadership"))</f>
        <v>0</v>
      </c>
      <c r="AJ419" s="534" t="str">
        <f>IF(TRIM($B419)="","",IF(COUNTIFS(Lists!$AN$2:$AN$22,TRIM($B419)&amp;" | "&amp;TRIM($D419),Lists!$AP$2:$AP$22,"&lt;&gt;"),INDEX(Lists!$AP$2:$AP$22,MATCH(TRIM($B419)&amp;" | "&amp;TRIM($D419),Lists!$AN$2:$AN$22,0)),IF($AI419=1,"Leadership",IFERROR(INDEX(Lists!$X$2:$X$21,MATCH(TRIM($L419),Lists!$W$2:$W$21,0)),IF(OR(TRIM($L419)="",LOWER(TRIM($L419))="na"),IF(TRIM($H419)="","Unassigned",TRIM($H419)),TRIM($L419))))))</f>
        <v>Trading &amp; Shipping</v>
      </c>
      <c r="AK419" s="534" t="str">
        <f>IF(TRIM($B419)="","",IF(COUNTIFS(Lists!$AN$2:$AN$22,TRIM($B419)&amp;" | "&amp;TRIM($D419),Lists!$AQ$2:$AQ$22,"&lt;&gt;"),INDEX(Lists!$AQ$2:$AQ$22,MATCH(TRIM($B419)&amp;" | "&amp;TRIM($D419),Lists!$AN$2:$AN$22,0)),IF(COUNTIF(Lists!$AF$2:$AF$8,$AJ419),$AJ419,IF(ISNUMBER(SEARCH("head of ",$D419)),"Head of Technology",IF(ISNUMBER(SEARCH("TDD BP",$D419)),"Business Partner",IF(OR(ISNUMBER(SEARCH("domain architect",$D419)),ISNUMBER(SEARCH("enterprise architect",$D419))),"Domain Architect",IF(ISNUMBER(SEARCH("delivery man",$D419)),"Delivery Manager",IF(OR(ISNUMBER(SEARCH("technology manager",$D419)),ISNUMBER(SEARCH("technology manger",$D419)),ISNUMBER(SEARCH("tech manager",$D419))),"Technology Manager","Squad"))))))))</f>
        <v>Squad</v>
      </c>
      <c r="AL419" s="534" t="str">
        <f>IF(TRIM($B419)="","",IF(AND($AM419=1,LEFT($AJ419,4)&lt;&gt;"EGI ",$AJ419&lt;&gt;"EGI"),IFERROR(INDEX(Lists!$Z$2:$Z$20,MATCH($AH419,Lists!$Y$2:$Y$20,0)),"EGI "&amp;$AH419),IF(COUNTIF(Lists!$AU$2:$AU$10,$AJ419),$AJ419,IF(OR(LEFT($AH419,3)="COE",$AH419="EGI"),$AJ419,IF($AK419&lt;&gt;"Squad",$AK419,$AJ419)))))</f>
        <v>Trading &amp; Shipping</v>
      </c>
      <c r="AM419" s="534" t="b">
        <f>IF(TRIM($B419)="","",--(UPPER(TRIM($K419))="EGI"))</f>
        <v>0</v>
      </c>
      <c r="AQ419" s="841" t="inlineStr">
        <is>
          <t>R0418</t>
        </is>
      </c>
      <c r="AZ419" s="841" t="n"/>
    </row>
    <row r="420" ht="18" customHeight="1" s="535">
      <c r="A420" s="842" t="n">
        <v>14920</v>
      </c>
      <c r="B420" s="843" t="inlineStr">
        <is>
          <t>Poch Fernandez</t>
        </is>
      </c>
      <c r="C420" s="842" t="n">
        <v>14920</v>
      </c>
      <c r="D420" s="843" t="inlineStr">
        <is>
          <t xml:space="preserve">Lead Technology Support  </t>
        </is>
      </c>
      <c r="E420" s="843" t="inlineStr">
        <is>
          <t>Allan Francia</t>
        </is>
      </c>
      <c r="F420" s="843" t="inlineStr">
        <is>
          <t>Technology Manager, T&amp;S</t>
        </is>
      </c>
      <c r="G420" s="844" t="inlineStr">
        <is>
          <t>TDD CFE&amp;I</t>
        </is>
      </c>
      <c r="H420" s="843" t="inlineStr">
        <is>
          <t>Commercial Fuels</t>
        </is>
      </c>
      <c r="I420" s="843" t="inlineStr">
        <is>
          <t>Technology, Trading &amp; Shipping</t>
        </is>
      </c>
      <c r="J420" s="843" t="inlineStr">
        <is>
          <t>Commercial Fuels</t>
        </is>
      </c>
      <c r="K420" s="843" t="inlineStr">
        <is>
          <t>Trading &amp; Shipping</t>
        </is>
      </c>
      <c r="L420" s="843" t="inlineStr">
        <is>
          <t>Trading &amp; Shipping</t>
        </is>
      </c>
      <c r="M420" s="843" t="n"/>
      <c r="N420" s="845" t="inlineStr">
        <is>
          <t>Singapore</t>
        </is>
      </c>
      <c r="O420" s="846" t="inlineStr">
        <is>
          <t>CIA</t>
        </is>
      </c>
      <c r="P420" s="847" t="n">
        <v>1</v>
      </c>
      <c r="Q420" s="846" t="n"/>
      <c r="R420" s="847" t="inlineStr">
        <is>
          <t>Permanent - Full Time</t>
        </is>
      </c>
      <c r="S420" s="847" t="n"/>
      <c r="T420" s="847" t="n"/>
      <c r="U420" s="848" t="n">
        <v>126380</v>
      </c>
      <c r="V420" s="849" t="n">
        <v>152919.8</v>
      </c>
      <c r="W420" s="850" t="n">
        <v>0.18</v>
      </c>
      <c r="X420" s="847" t="n"/>
      <c r="Y420" s="850" t="n">
        <v>0.17</v>
      </c>
      <c r="Z420" s="851" t="n">
        <v>3310</v>
      </c>
      <c r="AA420" s="850" t="n">
        <v>0.045</v>
      </c>
      <c r="AB420" s="852" t="n">
        <v>216633.121</v>
      </c>
      <c r="AD420" s="866" t="n"/>
      <c r="AE420" s="866">
        <f>IF(TRIM($B420)="","",IF(AND(N($P420)&gt;0,N($P420)&lt;1),N($AB420)*N($P420),N($AB420)))</f>
        <v>216633.121</v>
      </c>
      <c r="AF420" s="866" t="str">
        <f>IF(TRIM($B420)="","",IF(OR(ISNUMBER(SEARCH("vacant",$B420)),ISNUMBER(SEARCH("ring fenced",$B420)),LOWER(TRIM($B420))="remove"),"Vacant","Filled"))</f>
        <v>Filled</v>
      </c>
      <c r="AG420" s="866" t="b">
        <f>IF(TRIM($B420)="","",--ISNUMBER(SEARCH("ring fenced",$B420)))</f>
        <v>0</v>
      </c>
      <c r="AH420" s="866" t="str">
        <f>IF(TRIM($B420)="","",IF(COUNTIFS(Lists!$AN$2:$AN$22,TRIM($B420)&amp;" | "&amp;TRIM($D420),Lists!$AO$2:$AO$22,"&lt;&gt;"),INDEX(Lists!$AO$2:$AO$22,MATCH(TRIM($B420)&amp;" | "&amp;TRIM($D420),Lists!$AN$2:$AN$22,0)),IF(COUNTIF(Lists!$AR$2:$AR$3,$AJ420),"TDD Cyber",IF(AND(LEFT($AJ420,4)="EGI ",ISNUMBER(MATCH(TRIM(MID($AJ420,5,99)),Lists!$AS$2:$AS$12,0))),TRIM(MID($AJ420,5,99)),IF(AND(LEFT($AJ420,4)="EGI ",ISNUMBER(MATCH(TRIM(MID($AJ420,5,99)),Lists!$T$2:$T$21,0))),INDEX(Lists!$U$2:$U$21,MATCH(TRIM(MID($AJ420,5,99)),Lists!$T$2:$T$21,0)),IF(OR(TRIM($J420)="",UPPER(TRIM($J420))="NA"),IFERROR(INDEX(Lists!$R$2:$R$9,MATCH(TRIM($G420),Lists!$Q$2:$Q$9,0)),"UNMAPPED"),IFERROR(INDEX(Lists!$U$2:$U$21,MATCH(TRIM($J420),Lists!$T$2:$T$21,0)),IFERROR(INDEX(Lists!$R$2:$R$9,MATCH(TRIM($G420),Lists!$Q$2:$Q$9,0)),"UNMAPPED"))))))))</f>
        <v>Commercial Fuels</v>
      </c>
      <c r="AI420" s="534" t="b">
        <f>IF(TRIM($B420)="","",--OR(TRIM($L420)="Leadership",TRIM($K420)="Leadership"))</f>
        <v>0</v>
      </c>
      <c r="AJ420" s="534" t="str">
        <f>IF(TRIM($B420)="","",IF(COUNTIFS(Lists!$AN$2:$AN$22,TRIM($B420)&amp;" | "&amp;TRIM($D420),Lists!$AP$2:$AP$22,"&lt;&gt;"),INDEX(Lists!$AP$2:$AP$22,MATCH(TRIM($B420)&amp;" | "&amp;TRIM($D420),Lists!$AN$2:$AN$22,0)),IF($AI420=1,"Leadership",IFERROR(INDEX(Lists!$X$2:$X$21,MATCH(TRIM($L420),Lists!$W$2:$W$21,0)),IF(OR(TRIM($L420)="",LOWER(TRIM($L420))="na"),IF(TRIM($H420)="","Unassigned",TRIM($H420)),TRIM($L420))))))</f>
        <v>Trading &amp; Shipping</v>
      </c>
      <c r="AK420" s="534" t="str">
        <f>IF(TRIM($B420)="","",IF(COUNTIFS(Lists!$AN$2:$AN$22,TRIM($B420)&amp;" | "&amp;TRIM($D420),Lists!$AQ$2:$AQ$22,"&lt;&gt;"),INDEX(Lists!$AQ$2:$AQ$22,MATCH(TRIM($B420)&amp;" | "&amp;TRIM($D420),Lists!$AN$2:$AN$22,0)),IF(COUNTIF(Lists!$AF$2:$AF$8,$AJ420),$AJ420,IF(ISNUMBER(SEARCH("head of ",$D420)),"Head of Technology",IF(ISNUMBER(SEARCH("TDD BP",$D420)),"Business Partner",IF(OR(ISNUMBER(SEARCH("domain architect",$D420)),ISNUMBER(SEARCH("enterprise architect",$D420))),"Domain Architect",IF(ISNUMBER(SEARCH("delivery man",$D420)),"Delivery Manager",IF(OR(ISNUMBER(SEARCH("technology manager",$D420)),ISNUMBER(SEARCH("technology manger",$D420)),ISNUMBER(SEARCH("tech manager",$D420))),"Technology Manager","Squad"))))))))</f>
        <v>Squad</v>
      </c>
      <c r="AL420" s="534" t="str">
        <f>IF(TRIM($B420)="","",IF(AND($AM420=1,LEFT($AJ420,4)&lt;&gt;"EGI ",$AJ420&lt;&gt;"EGI"),IFERROR(INDEX(Lists!$Z$2:$Z$20,MATCH($AH420,Lists!$Y$2:$Y$20,0)),"EGI "&amp;$AH420),IF(COUNTIF(Lists!$AU$2:$AU$10,$AJ420),$AJ420,IF(OR(LEFT($AH420,3)="COE",$AH420="EGI"),$AJ420,IF($AK420&lt;&gt;"Squad",$AK420,$AJ420)))))</f>
        <v>Trading &amp; Shipping</v>
      </c>
      <c r="AM420" s="534" t="b">
        <f>IF(TRIM($B420)="","",--(UPPER(TRIM($K420))="EGI"))</f>
        <v>0</v>
      </c>
      <c r="AQ420" s="841" t="inlineStr">
        <is>
          <t>R0419</t>
        </is>
      </c>
      <c r="AZ420" s="841" t="n"/>
    </row>
    <row r="421" ht="18" customHeight="1" s="535">
      <c r="A421" s="842" t="n">
        <v>113530</v>
      </c>
      <c r="B421" s="843" t="inlineStr">
        <is>
          <t>Chris Mitchell</t>
        </is>
      </c>
      <c r="C421" s="842" t="n">
        <v>113530</v>
      </c>
      <c r="D421" s="843" t="inlineStr">
        <is>
          <t>Deployment Lead</t>
        </is>
      </c>
      <c r="E421" s="843" t="inlineStr">
        <is>
          <t>Callan McLaughlin</t>
        </is>
      </c>
      <c r="F421" s="843" t="inlineStr">
        <is>
          <t>Technology Manager,  Site Systems</t>
        </is>
      </c>
      <c r="G421" s="844" t="inlineStr">
        <is>
          <t>Ampol Retail &amp; Z</t>
        </is>
      </c>
      <c r="H421" s="843" t="inlineStr">
        <is>
          <t>Z &amp; Group Retail</t>
        </is>
      </c>
      <c r="I421" s="843" t="inlineStr">
        <is>
          <t>Z &amp; Group Retail, Site Systems</t>
        </is>
      </c>
      <c r="J421" s="843" t="inlineStr">
        <is>
          <t>Z</t>
        </is>
      </c>
      <c r="K421" s="843" t="inlineStr">
        <is>
          <t>Z Customer</t>
        </is>
      </c>
      <c r="L421" s="843" t="inlineStr">
        <is>
          <t>Site Systems</t>
        </is>
      </c>
      <c r="M421" s="843" t="n"/>
      <c r="N421" s="845" t="inlineStr">
        <is>
          <t>NZ</t>
        </is>
      </c>
      <c r="O421" s="846" t="inlineStr">
        <is>
          <t>CIA</t>
        </is>
      </c>
      <c r="P421" s="847" t="n">
        <v>1</v>
      </c>
      <c r="Q421" s="846" t="n"/>
      <c r="R421" s="847" t="inlineStr">
        <is>
          <t>Permanent - Full Time</t>
        </is>
      </c>
      <c r="S421" s="847" t="n"/>
      <c r="T421" s="847" t="n"/>
      <c r="U421" s="848" t="n">
        <v>118000</v>
      </c>
      <c r="V421" s="849" t="n">
        <v>108560</v>
      </c>
      <c r="W421" s="850" t="n">
        <v>0.15</v>
      </c>
      <c r="X421" s="847" t="n"/>
      <c r="Y421" s="850" t="n">
        <v>0.05</v>
      </c>
      <c r="Z421" s="851" t="n">
        <v>2910</v>
      </c>
      <c r="AA421" s="850" t="n">
        <v>0.03</v>
      </c>
      <c r="AB421" s="852" t="n">
        <v>136438.8</v>
      </c>
      <c r="AD421" s="866" t="n"/>
      <c r="AE421" s="866">
        <f>IF(TRIM($B421)="","",IF(AND(N($P421)&gt;0,N($P421)&lt;1),N($AB421)*N($P421),N($AB421)))</f>
        <v>136438.8</v>
      </c>
      <c r="AF421" s="866" t="str">
        <f>IF(TRIM($B421)="","",IF(OR(ISNUMBER(SEARCH("vacant",$B421)),ISNUMBER(SEARCH("ring fenced",$B421)),LOWER(TRIM($B421))="remove"),"Vacant","Filled"))</f>
        <v>Filled</v>
      </c>
      <c r="AG421" s="866" t="b">
        <f>IF(TRIM($B421)="","",--ISNUMBER(SEARCH("ring fenced",$B421)))</f>
        <v>0</v>
      </c>
      <c r="AH421" s="866" t="str">
        <f>IF(TRIM($B421)="","",IF(COUNTIFS(Lists!$AN$2:$AN$22,TRIM($B421)&amp;" | "&amp;TRIM($D421),Lists!$AO$2:$AO$22,"&lt;&gt;"),INDEX(Lists!$AO$2:$AO$22,MATCH(TRIM($B421)&amp;" | "&amp;TRIM($D421),Lists!$AN$2:$AN$22,0)),IF(COUNTIF(Lists!$AR$2:$AR$3,$AJ421),"TDD Cyber",IF(AND(LEFT($AJ421,4)="EGI ",ISNUMBER(MATCH(TRIM(MID($AJ421,5,99)),Lists!$AS$2:$AS$12,0))),TRIM(MID($AJ421,5,99)),IF(AND(LEFT($AJ421,4)="EGI ",ISNUMBER(MATCH(TRIM(MID($AJ421,5,99)),Lists!$T$2:$T$21,0))),INDEX(Lists!$U$2:$U$21,MATCH(TRIM(MID($AJ421,5,99)),Lists!$T$2:$T$21,0)),IF(OR(TRIM($J421)="",UPPER(TRIM($J421))="NA"),IFERROR(INDEX(Lists!$R$2:$R$9,MATCH(TRIM($G421),Lists!$Q$2:$Q$9,0)),"UNMAPPED"),IFERROR(INDEX(Lists!$U$2:$U$21,MATCH(TRIM($J421),Lists!$T$2:$T$21,0)),IFERROR(INDEX(Lists!$R$2:$R$9,MATCH(TRIM($G421),Lists!$Q$2:$Q$9,0)),"UNMAPPED"))))))))</f>
        <v>Z Retail</v>
      </c>
      <c r="AI421" s="534" t="b">
        <f>IF(TRIM($B421)="","",--OR(TRIM($L421)="Leadership",TRIM($K421)="Leadership"))</f>
        <v>0</v>
      </c>
      <c r="AJ421" s="534" t="str">
        <f>IF(TRIM($B421)="","",IF(COUNTIFS(Lists!$AN$2:$AN$22,TRIM($B421)&amp;" | "&amp;TRIM($D421),Lists!$AP$2:$AP$22,"&lt;&gt;"),INDEX(Lists!$AP$2:$AP$22,MATCH(TRIM($B421)&amp;" | "&amp;TRIM($D421),Lists!$AN$2:$AN$22,0)),IF($AI421=1,"Leadership",IFERROR(INDEX(Lists!$X$2:$X$21,MATCH(TRIM($L421),Lists!$W$2:$W$21,0)),IF(OR(TRIM($L421)="",LOWER(TRIM($L421))="na"),IF(TRIM($H421)="","Unassigned",TRIM($H421)),TRIM($L421))))))</f>
        <v>Site Systems</v>
      </c>
      <c r="AK421" s="534" t="str">
        <f>IF(TRIM($B421)="","",IF(COUNTIFS(Lists!$AN$2:$AN$22,TRIM($B421)&amp;" | "&amp;TRIM($D421),Lists!$AQ$2:$AQ$22,"&lt;&gt;"),INDEX(Lists!$AQ$2:$AQ$22,MATCH(TRIM($B421)&amp;" | "&amp;TRIM($D421),Lists!$AN$2:$AN$22,0)),IF(COUNTIF(Lists!$AF$2:$AF$8,$AJ421),$AJ421,IF(ISNUMBER(SEARCH("head of ",$D421)),"Head of Technology",IF(ISNUMBER(SEARCH("TDD BP",$D421)),"Business Partner",IF(OR(ISNUMBER(SEARCH("domain architect",$D421)),ISNUMBER(SEARCH("enterprise architect",$D421))),"Domain Architect",IF(ISNUMBER(SEARCH("delivery man",$D421)),"Delivery Manager",IF(OR(ISNUMBER(SEARCH("technology manager",$D421)),ISNUMBER(SEARCH("technology manger",$D421)),ISNUMBER(SEARCH("tech manager",$D421))),"Technology Manager","Squad"))))))))</f>
        <v>Squad</v>
      </c>
      <c r="AL421" s="534" t="str">
        <f>IF(TRIM($B421)="","",IF(AND($AM421=1,LEFT($AJ421,4)&lt;&gt;"EGI ",$AJ421&lt;&gt;"EGI"),IFERROR(INDEX(Lists!$Z$2:$Z$20,MATCH($AH421,Lists!$Y$2:$Y$20,0)),"EGI "&amp;$AH421),IF(COUNTIF(Lists!$AU$2:$AU$10,$AJ421),$AJ421,IF(OR(LEFT($AH421,3)="COE",$AH421="EGI"),$AJ421,IF($AK421&lt;&gt;"Squad",$AK421,$AJ421)))))</f>
        <v>Site Systems</v>
      </c>
      <c r="AM421" s="534" t="b">
        <f>IF(TRIM($B421)="","",--(UPPER(TRIM($K421))="EGI"))</f>
        <v>0</v>
      </c>
      <c r="AQ421" s="841" t="inlineStr">
        <is>
          <t>R0420</t>
        </is>
      </c>
      <c r="AZ421" s="841" t="n"/>
    </row>
    <row r="422" ht="18" customHeight="1" s="535">
      <c r="A422" s="842" t="n">
        <v>113608</v>
      </c>
      <c r="B422" s="843" t="inlineStr">
        <is>
          <t>Sakshi Sachdeva</t>
        </is>
      </c>
      <c r="C422" s="842" t="n">
        <v>113608</v>
      </c>
      <c r="D422" s="843" t="inlineStr">
        <is>
          <t xml:space="preserve">Senior Quality Assurance </t>
        </is>
      </c>
      <c r="E422" s="843" t="inlineStr">
        <is>
          <t>Callan McLaughlin</t>
        </is>
      </c>
      <c r="F422" s="843" t="inlineStr">
        <is>
          <t>Technology Manager,  Site Systems</t>
        </is>
      </c>
      <c r="G422" s="844" t="inlineStr">
        <is>
          <t>Ampol Retail &amp; Z</t>
        </is>
      </c>
      <c r="H422" s="843" t="inlineStr">
        <is>
          <t>Z &amp; Group Retail</t>
        </is>
      </c>
      <c r="I422" s="843" t="inlineStr">
        <is>
          <t>Z &amp; Group Retail, Site Systems</t>
        </is>
      </c>
      <c r="J422" s="843" t="inlineStr">
        <is>
          <t>Z</t>
        </is>
      </c>
      <c r="K422" s="843" t="inlineStr">
        <is>
          <t>Z Customer</t>
        </is>
      </c>
      <c r="L422" s="843" t="inlineStr">
        <is>
          <t>Site Systems</t>
        </is>
      </c>
      <c r="M422" s="843" t="n"/>
      <c r="N422" s="845" t="inlineStr">
        <is>
          <t>NZ</t>
        </is>
      </c>
      <c r="O422" s="846" t="inlineStr">
        <is>
          <t>CIA</t>
        </is>
      </c>
      <c r="P422" s="847" t="n">
        <v>1</v>
      </c>
      <c r="Q422" s="846" t="n"/>
      <c r="R422" s="847" t="inlineStr">
        <is>
          <t>Permanent - Full Time</t>
        </is>
      </c>
      <c r="S422" s="847" t="n"/>
      <c r="T422" s="847" t="n"/>
      <c r="U422" s="848" t="n">
        <v>133110</v>
      </c>
      <c r="V422" s="849" t="n">
        <v>133110</v>
      </c>
      <c r="W422" s="850" t="n">
        <v>0.1</v>
      </c>
      <c r="X422" s="847" t="n">
        <v>0.055</v>
      </c>
      <c r="Y422" s="850" t="n">
        <v>0.12</v>
      </c>
      <c r="Z422" s="851" t="n"/>
      <c r="AA422" s="850" t="n">
        <v>0.04</v>
      </c>
      <c r="AB422" s="852" t="n">
        <v>175039.65</v>
      </c>
      <c r="AD422" s="866" t="n"/>
      <c r="AE422" s="866">
        <f>IF(TRIM($B422)="","",IF(AND(N($P422)&gt;0,N($P422)&lt;1),N($AB422)*N($P422),N($AB422)))</f>
        <v>175039.65</v>
      </c>
      <c r="AF422" s="866" t="str">
        <f>IF(TRIM($B422)="","",IF(OR(ISNUMBER(SEARCH("vacant",$B422)),ISNUMBER(SEARCH("ring fenced",$B422)),LOWER(TRIM($B422))="remove"),"Vacant","Filled"))</f>
        <v>Filled</v>
      </c>
      <c r="AG422" s="866" t="b">
        <f>IF(TRIM($B422)="","",--ISNUMBER(SEARCH("ring fenced",$B422)))</f>
        <v>0</v>
      </c>
      <c r="AH422" s="866" t="str">
        <f>IF(TRIM($B422)="","",IF(COUNTIFS(Lists!$AN$2:$AN$22,TRIM($B422)&amp;" | "&amp;TRIM($D422),Lists!$AO$2:$AO$22,"&lt;&gt;"),INDEX(Lists!$AO$2:$AO$22,MATCH(TRIM($B422)&amp;" | "&amp;TRIM($D422),Lists!$AN$2:$AN$22,0)),IF(COUNTIF(Lists!$AR$2:$AR$3,$AJ422),"TDD Cyber",IF(AND(LEFT($AJ422,4)="EGI ",ISNUMBER(MATCH(TRIM(MID($AJ422,5,99)),Lists!$AS$2:$AS$12,0))),TRIM(MID($AJ422,5,99)),IF(AND(LEFT($AJ422,4)="EGI ",ISNUMBER(MATCH(TRIM(MID($AJ422,5,99)),Lists!$T$2:$T$21,0))),INDEX(Lists!$U$2:$U$21,MATCH(TRIM(MID($AJ422,5,99)),Lists!$T$2:$T$21,0)),IF(OR(TRIM($J422)="",UPPER(TRIM($J422))="NA"),IFERROR(INDEX(Lists!$R$2:$R$9,MATCH(TRIM($G422),Lists!$Q$2:$Q$9,0)),"UNMAPPED"),IFERROR(INDEX(Lists!$U$2:$U$21,MATCH(TRIM($J422),Lists!$T$2:$T$21,0)),IFERROR(INDEX(Lists!$R$2:$R$9,MATCH(TRIM($G422),Lists!$Q$2:$Q$9,0)),"UNMAPPED"))))))))</f>
        <v>Z Retail</v>
      </c>
      <c r="AI422" s="534" t="b">
        <f>IF(TRIM($B422)="","",--OR(TRIM($L422)="Leadership",TRIM($K422)="Leadership"))</f>
        <v>0</v>
      </c>
      <c r="AJ422" s="534" t="str">
        <f>IF(TRIM($B422)="","",IF(COUNTIFS(Lists!$AN$2:$AN$22,TRIM($B422)&amp;" | "&amp;TRIM($D422),Lists!$AP$2:$AP$22,"&lt;&gt;"),INDEX(Lists!$AP$2:$AP$22,MATCH(TRIM($B422)&amp;" | "&amp;TRIM($D422),Lists!$AN$2:$AN$22,0)),IF($AI422=1,"Leadership",IFERROR(INDEX(Lists!$X$2:$X$21,MATCH(TRIM($L422),Lists!$W$2:$W$21,0)),IF(OR(TRIM($L422)="",LOWER(TRIM($L422))="na"),IF(TRIM($H422)="","Unassigned",TRIM($H422)),TRIM($L422))))))</f>
        <v>Site Systems</v>
      </c>
      <c r="AK422" s="534" t="str">
        <f>IF(TRIM($B422)="","",IF(COUNTIFS(Lists!$AN$2:$AN$22,TRIM($B422)&amp;" | "&amp;TRIM($D422),Lists!$AQ$2:$AQ$22,"&lt;&gt;"),INDEX(Lists!$AQ$2:$AQ$22,MATCH(TRIM($B422)&amp;" | "&amp;TRIM($D422),Lists!$AN$2:$AN$22,0)),IF(COUNTIF(Lists!$AF$2:$AF$8,$AJ422),$AJ422,IF(ISNUMBER(SEARCH("head of ",$D422)),"Head of Technology",IF(ISNUMBER(SEARCH("TDD BP",$D422)),"Business Partner",IF(OR(ISNUMBER(SEARCH("domain architect",$D422)),ISNUMBER(SEARCH("enterprise architect",$D422))),"Domain Architect",IF(ISNUMBER(SEARCH("delivery man",$D422)),"Delivery Manager",IF(OR(ISNUMBER(SEARCH("technology manager",$D422)),ISNUMBER(SEARCH("technology manger",$D422)),ISNUMBER(SEARCH("tech manager",$D422))),"Technology Manager","Squad"))))))))</f>
        <v>Squad</v>
      </c>
      <c r="AL422" s="534" t="str">
        <f>IF(TRIM($B422)="","",IF(AND($AM422=1,LEFT($AJ422,4)&lt;&gt;"EGI ",$AJ422&lt;&gt;"EGI"),IFERROR(INDEX(Lists!$Z$2:$Z$20,MATCH($AH422,Lists!$Y$2:$Y$20,0)),"EGI "&amp;$AH422),IF(COUNTIF(Lists!$AU$2:$AU$10,$AJ422),$AJ422,IF(OR(LEFT($AH422,3)="COE",$AH422="EGI"),$AJ422,IF($AK422&lt;&gt;"Squad",$AK422,$AJ422)))))</f>
        <v>Site Systems</v>
      </c>
      <c r="AM422" s="534" t="b">
        <f>IF(TRIM($B422)="","",--(UPPER(TRIM($K422))="EGI"))</f>
        <v>0</v>
      </c>
      <c r="AQ422" s="841" t="inlineStr">
        <is>
          <t>R0421</t>
        </is>
      </c>
      <c r="AZ422" s="841" t="n"/>
    </row>
    <row r="423" ht="18" customHeight="1" s="535">
      <c r="A423" s="842" t="n">
        <v>113624</v>
      </c>
      <c r="B423" s="843" t="inlineStr">
        <is>
          <t>Warren Grieve</t>
        </is>
      </c>
      <c r="C423" s="842" t="n">
        <v>113624</v>
      </c>
      <c r="D423" s="843" t="inlineStr">
        <is>
          <t>Senior Site Systems Analyst</t>
        </is>
      </c>
      <c r="E423" s="843" t="inlineStr">
        <is>
          <t>Callan McLaughlin</t>
        </is>
      </c>
      <c r="F423" s="843" t="inlineStr">
        <is>
          <t>Technology Manager,  Site Systems</t>
        </is>
      </c>
      <c r="G423" s="844" t="inlineStr">
        <is>
          <t>Ampol Retail &amp; Z</t>
        </is>
      </c>
      <c r="H423" s="843" t="inlineStr">
        <is>
          <t>Z &amp; Group Retail</t>
        </is>
      </c>
      <c r="I423" s="843" t="inlineStr">
        <is>
          <t>Z &amp; Group Retail, Site Systems</t>
        </is>
      </c>
      <c r="J423" s="843" t="inlineStr">
        <is>
          <t>Z</t>
        </is>
      </c>
      <c r="K423" s="843" t="inlineStr">
        <is>
          <t>Z Customer</t>
        </is>
      </c>
      <c r="L423" s="843" t="inlineStr">
        <is>
          <t>Site Systems</t>
        </is>
      </c>
      <c r="M423" s="843" t="n"/>
      <c r="N423" s="845" t="inlineStr">
        <is>
          <t>NZ</t>
        </is>
      </c>
      <c r="O423" s="846" t="inlineStr">
        <is>
          <t>CIA</t>
        </is>
      </c>
      <c r="P423" s="847" t="n">
        <v>1</v>
      </c>
      <c r="Q423" s="846" t="n"/>
      <c r="R423" s="847" t="inlineStr">
        <is>
          <t>Permanent - Full Time</t>
        </is>
      </c>
      <c r="S423" s="847" t="n"/>
      <c r="T423" s="847" t="n"/>
      <c r="U423" s="848" t="n">
        <v>116710</v>
      </c>
      <c r="V423" s="849" t="n">
        <v>107373.2</v>
      </c>
      <c r="W423" s="850" t="n">
        <v>0.15</v>
      </c>
      <c r="X423" s="847" t="n"/>
      <c r="Y423" s="850" t="n">
        <v>0.05</v>
      </c>
      <c r="Z423" s="851" t="n">
        <v>2910</v>
      </c>
      <c r="AA423" s="850" t="n">
        <v>0.03</v>
      </c>
      <c r="AB423" s="852" t="n">
        <v>134979.036</v>
      </c>
      <c r="AD423" s="866" t="n"/>
      <c r="AE423" s="866">
        <f>IF(TRIM($B423)="","",IF(AND(N($P423)&gt;0,N($P423)&lt;1),N($AB423)*N($P423),N($AB423)))</f>
        <v>134979.036</v>
      </c>
      <c r="AF423" s="866" t="str">
        <f>IF(TRIM($B423)="","",IF(OR(ISNUMBER(SEARCH("vacant",$B423)),ISNUMBER(SEARCH("ring fenced",$B423)),LOWER(TRIM($B423))="remove"),"Vacant","Filled"))</f>
        <v>Filled</v>
      </c>
      <c r="AG423" s="866" t="b">
        <f>IF(TRIM($B423)="","",--ISNUMBER(SEARCH("ring fenced",$B423)))</f>
        <v>0</v>
      </c>
      <c r="AH423" s="866" t="str">
        <f>IF(TRIM($B423)="","",IF(COUNTIFS(Lists!$AN$2:$AN$22,TRIM($B423)&amp;" | "&amp;TRIM($D423),Lists!$AO$2:$AO$22,"&lt;&gt;"),INDEX(Lists!$AO$2:$AO$22,MATCH(TRIM($B423)&amp;" | "&amp;TRIM($D423),Lists!$AN$2:$AN$22,0)),IF(COUNTIF(Lists!$AR$2:$AR$3,$AJ423),"TDD Cyber",IF(AND(LEFT($AJ423,4)="EGI ",ISNUMBER(MATCH(TRIM(MID($AJ423,5,99)),Lists!$AS$2:$AS$12,0))),TRIM(MID($AJ423,5,99)),IF(AND(LEFT($AJ423,4)="EGI ",ISNUMBER(MATCH(TRIM(MID($AJ423,5,99)),Lists!$T$2:$T$21,0))),INDEX(Lists!$U$2:$U$21,MATCH(TRIM(MID($AJ423,5,99)),Lists!$T$2:$T$21,0)),IF(OR(TRIM($J423)="",UPPER(TRIM($J423))="NA"),IFERROR(INDEX(Lists!$R$2:$R$9,MATCH(TRIM($G423),Lists!$Q$2:$Q$9,0)),"UNMAPPED"),IFERROR(INDEX(Lists!$U$2:$U$21,MATCH(TRIM($J423),Lists!$T$2:$T$21,0)),IFERROR(INDEX(Lists!$R$2:$R$9,MATCH(TRIM($G423),Lists!$Q$2:$Q$9,0)),"UNMAPPED"))))))))</f>
        <v>Z Retail</v>
      </c>
      <c r="AI423" s="534" t="b">
        <f>IF(TRIM($B423)="","",--OR(TRIM($L423)="Leadership",TRIM($K423)="Leadership"))</f>
        <v>0</v>
      </c>
      <c r="AJ423" s="534" t="str">
        <f>IF(TRIM($B423)="","",IF(COUNTIFS(Lists!$AN$2:$AN$22,TRIM($B423)&amp;" | "&amp;TRIM($D423),Lists!$AP$2:$AP$22,"&lt;&gt;"),INDEX(Lists!$AP$2:$AP$22,MATCH(TRIM($B423)&amp;" | "&amp;TRIM($D423),Lists!$AN$2:$AN$22,0)),IF($AI423=1,"Leadership",IFERROR(INDEX(Lists!$X$2:$X$21,MATCH(TRIM($L423),Lists!$W$2:$W$21,0)),IF(OR(TRIM($L423)="",LOWER(TRIM($L423))="na"),IF(TRIM($H423)="","Unassigned",TRIM($H423)),TRIM($L423))))))</f>
        <v>Site Systems</v>
      </c>
      <c r="AK423" s="534" t="str">
        <f>IF(TRIM($B423)="","",IF(COUNTIFS(Lists!$AN$2:$AN$22,TRIM($B423)&amp;" | "&amp;TRIM($D423),Lists!$AQ$2:$AQ$22,"&lt;&gt;"),INDEX(Lists!$AQ$2:$AQ$22,MATCH(TRIM($B423)&amp;" | "&amp;TRIM($D423),Lists!$AN$2:$AN$22,0)),IF(COUNTIF(Lists!$AF$2:$AF$8,$AJ423),$AJ423,IF(ISNUMBER(SEARCH("head of ",$D423)),"Head of Technology",IF(ISNUMBER(SEARCH("TDD BP",$D423)),"Business Partner",IF(OR(ISNUMBER(SEARCH("domain architect",$D423)),ISNUMBER(SEARCH("enterprise architect",$D423))),"Domain Architect",IF(ISNUMBER(SEARCH("delivery man",$D423)),"Delivery Manager",IF(OR(ISNUMBER(SEARCH("technology manager",$D423)),ISNUMBER(SEARCH("technology manger",$D423)),ISNUMBER(SEARCH("tech manager",$D423))),"Technology Manager","Squad"))))))))</f>
        <v>Squad</v>
      </c>
      <c r="AL423" s="534" t="str">
        <f>IF(TRIM($B423)="","",IF(AND($AM423=1,LEFT($AJ423,4)&lt;&gt;"EGI ",$AJ423&lt;&gt;"EGI"),IFERROR(INDEX(Lists!$Z$2:$Z$20,MATCH($AH423,Lists!$Y$2:$Y$20,0)),"EGI "&amp;$AH423),IF(COUNTIF(Lists!$AU$2:$AU$10,$AJ423),$AJ423,IF(OR(LEFT($AH423,3)="COE",$AH423="EGI"),$AJ423,IF($AK423&lt;&gt;"Squad",$AK423,$AJ423)))))</f>
        <v>Site Systems</v>
      </c>
      <c r="AM423" s="534" t="b">
        <f>IF(TRIM($B423)="","",--(UPPER(TRIM($K423))="EGI"))</f>
        <v>0</v>
      </c>
      <c r="AQ423" s="841" t="inlineStr">
        <is>
          <t>R0422</t>
        </is>
      </c>
      <c r="AZ423" s="841" t="n"/>
    </row>
    <row r="424" ht="18" customHeight="1" s="535">
      <c r="A424" s="842" t="inlineStr">
        <is>
          <t>V</t>
        </is>
      </c>
      <c r="B424" s="843" t="inlineStr">
        <is>
          <t>Vacant</t>
        </is>
      </c>
      <c r="C424" s="842" t="inlineStr">
        <is>
          <t>V</t>
        </is>
      </c>
      <c r="D424" s="843" t="inlineStr">
        <is>
          <t>Lead – Problem Management</t>
        </is>
      </c>
      <c r="E424" s="843" t="inlineStr">
        <is>
          <t>Darren Koller</t>
        </is>
      </c>
      <c r="F424" s="843" t="inlineStr">
        <is>
          <t>Manager Cyber Security GRC</t>
        </is>
      </c>
      <c r="G424" s="844" t="inlineStr">
        <is>
          <t>Cyber, Risk &amp; Operations</t>
        </is>
      </c>
      <c r="H424" s="843" t="inlineStr">
        <is>
          <t>Service Op &amp; Assurance</t>
        </is>
      </c>
      <c r="I424" s="843" t="inlineStr">
        <is>
          <t>NA</t>
        </is>
      </c>
      <c r="J424" s="843" t="inlineStr">
        <is>
          <t>NA</t>
        </is>
      </c>
      <c r="K424" s="843" t="inlineStr">
        <is>
          <t>NA</t>
        </is>
      </c>
      <c r="L424" s="843" t="inlineStr">
        <is>
          <t>NA</t>
        </is>
      </c>
      <c r="M424" s="843" t="n"/>
      <c r="N424" s="845" t="inlineStr">
        <is>
          <t>Australia</t>
        </is>
      </c>
      <c r="O424" s="846" t="inlineStr">
        <is>
          <t>CIA</t>
        </is>
      </c>
      <c r="P424" s="847" t="n">
        <v>1</v>
      </c>
      <c r="Q424" s="846" t="n"/>
      <c r="R424" s="847" t="inlineStr">
        <is>
          <t>v</t>
        </is>
      </c>
      <c r="S424" s="847" t="n"/>
      <c r="T424" s="847" t="n"/>
      <c r="U424" s="848" t="n">
        <v>129650</v>
      </c>
      <c r="V424" s="849" t="n">
        <v>129650</v>
      </c>
      <c r="W424" s="850" t="n">
        <v>0.1</v>
      </c>
      <c r="X424" s="847" t="n">
        <v>0.055</v>
      </c>
      <c r="Y424" s="850" t="n">
        <v>0.12</v>
      </c>
      <c r="Z424" s="851" t="n"/>
      <c r="AA424" s="850" t="n">
        <v>0.04</v>
      </c>
      <c r="AB424" s="852" t="n">
        <v>170489.75</v>
      </c>
      <c r="AD424" s="866" t="n"/>
      <c r="AE424" s="866">
        <f>IF(TRIM($B424)="","",IF(AND(N($P424)&gt;0,N($P424)&lt;1),N($AB424)*N($P424),N($AB424)))</f>
        <v>170489.75</v>
      </c>
      <c r="AF424" s="866" t="str">
        <f>IF(TRIM($B424)="","",IF(OR(ISNUMBER(SEARCH("vacant",$B424)),ISNUMBER(SEARCH("ring fenced",$B424)),LOWER(TRIM($B424))="remove"),"Vacant","Filled"))</f>
        <v>Vacant</v>
      </c>
      <c r="AG424" s="866" t="b">
        <f>IF(TRIM($B424)="","",--ISNUMBER(SEARCH("ring fenced",$B424)))</f>
        <v>0</v>
      </c>
      <c r="AH424" s="866" t="str">
        <f>IF(TRIM($B424)="","",IF(COUNTIFS(Lists!$AN$2:$AN$22,TRIM($B424)&amp;" | "&amp;TRIM($D424),Lists!$AO$2:$AO$22,"&lt;&gt;"),INDEX(Lists!$AO$2:$AO$22,MATCH(TRIM($B424)&amp;" | "&amp;TRIM($D424),Lists!$AN$2:$AN$22,0)),IF(COUNTIF(Lists!$AR$2:$AR$3,$AJ424),"TDD Cyber",IF(AND(LEFT($AJ424,4)="EGI ",ISNUMBER(MATCH(TRIM(MID($AJ424,5,99)),Lists!$AS$2:$AS$12,0))),TRIM(MID($AJ424,5,99)),IF(AND(LEFT($AJ424,4)="EGI ",ISNUMBER(MATCH(TRIM(MID($AJ424,5,99)),Lists!$T$2:$T$21,0))),INDEX(Lists!$U$2:$U$21,MATCH(TRIM(MID($AJ424,5,99)),Lists!$T$2:$T$21,0)),IF(OR(TRIM($J424)="",UPPER(TRIM($J424))="NA"),IFERROR(INDEX(Lists!$R$2:$R$9,MATCH(TRIM($G424),Lists!$Q$2:$Q$9,0)),"UNMAPPED"),IFERROR(INDEX(Lists!$U$2:$U$21,MATCH(TRIM($J424),Lists!$T$2:$T$21,0)),IFERROR(INDEX(Lists!$R$2:$R$9,MATCH(TRIM($G424),Lists!$Q$2:$Q$9,0)),"UNMAPPED"))))))))</f>
        <v>COE Cyber</v>
      </c>
      <c r="AI424" s="534" t="b">
        <f>IF(TRIM($B424)="","",--OR(TRIM($L424)="Leadership",TRIM($K424)="Leadership"))</f>
        <v>0</v>
      </c>
      <c r="AJ424" s="534" t="str">
        <f>IF(TRIM($B424)="","",IF(COUNTIFS(Lists!$AN$2:$AN$22,TRIM($B424)&amp;" | "&amp;TRIM($D424),Lists!$AP$2:$AP$22,"&lt;&gt;"),INDEX(Lists!$AP$2:$AP$22,MATCH(TRIM($B424)&amp;" | "&amp;TRIM($D424),Lists!$AN$2:$AN$22,0)),IF($AI424=1,"Leadership",IFERROR(INDEX(Lists!$X$2:$X$21,MATCH(TRIM($L424),Lists!$W$2:$W$21,0)),IF(OR(TRIM($L424)="",LOWER(TRIM($L424))="na"),IF(TRIM($H424)="","Unassigned",TRIM($H424)),TRIM($L424))))))</f>
        <v>Service Op &amp; Assurance</v>
      </c>
      <c r="AK424" s="534" t="str">
        <f>IF(TRIM($B424)="","",IF(COUNTIFS(Lists!$AN$2:$AN$22,TRIM($B424)&amp;" | "&amp;TRIM($D424),Lists!$AQ$2:$AQ$22,"&lt;&gt;"),INDEX(Lists!$AQ$2:$AQ$22,MATCH(TRIM($B424)&amp;" | "&amp;TRIM($D424),Lists!$AN$2:$AN$22,0)),IF(COUNTIF(Lists!$AF$2:$AF$8,$AJ424),$AJ424,IF(ISNUMBER(SEARCH("head of ",$D424)),"Head of Technology",IF(ISNUMBER(SEARCH("TDD BP",$D424)),"Business Partner",IF(OR(ISNUMBER(SEARCH("domain architect",$D424)),ISNUMBER(SEARCH("enterprise architect",$D424))),"Domain Architect",IF(ISNUMBER(SEARCH("delivery man",$D424)),"Delivery Manager",IF(OR(ISNUMBER(SEARCH("technology manager",$D424)),ISNUMBER(SEARCH("technology manger",$D424)),ISNUMBER(SEARCH("tech manager",$D424))),"Technology Manager","Squad"))))))))</f>
        <v>Squad</v>
      </c>
      <c r="AL424" s="534" t="str">
        <f>IF(TRIM($B424)="","",IF(AND($AM424=1,LEFT($AJ424,4)&lt;&gt;"EGI ",$AJ424&lt;&gt;"EGI"),IFERROR(INDEX(Lists!$Z$2:$Z$20,MATCH($AH424,Lists!$Y$2:$Y$20,0)),"EGI "&amp;$AH424),IF(COUNTIF(Lists!$AU$2:$AU$10,$AJ424),$AJ424,IF(OR(LEFT($AH424,3)="COE",$AH424="EGI"),$AJ424,IF($AK424&lt;&gt;"Squad",$AK424,$AJ424)))))</f>
        <v>Service Op &amp; Assurance</v>
      </c>
      <c r="AM424" s="534" t="b">
        <f>IF(TRIM($B424)="","",--(UPPER(TRIM($K424))="EGI"))</f>
        <v>0</v>
      </c>
      <c r="AQ424" s="841" t="inlineStr">
        <is>
          <t>R0423</t>
        </is>
      </c>
      <c r="AZ424" s="841" t="n"/>
    </row>
    <row r="425" ht="18" customHeight="1" s="535">
      <c r="A425" s="842" t="inlineStr">
        <is>
          <t>V</t>
        </is>
      </c>
      <c r="B425" s="843" t="inlineStr">
        <is>
          <t>Vacant</t>
        </is>
      </c>
      <c r="C425" s="842" t="inlineStr">
        <is>
          <t>V</t>
        </is>
      </c>
      <c r="D425" s="843" t="inlineStr">
        <is>
          <t>Quality Assurance</t>
        </is>
      </c>
      <c r="E425" s="843" t="inlineStr">
        <is>
          <t>Dave O'Keefe</t>
        </is>
      </c>
      <c r="F425" s="843" t="inlineStr">
        <is>
          <t>Technology Manager P&amp;C Platforms</t>
        </is>
      </c>
      <c r="G425" s="844" t="inlineStr">
        <is>
          <t>TDD Group Functions</t>
        </is>
      </c>
      <c r="H425" s="843" t="inlineStr">
        <is>
          <t>P&amp;C, Finance &amp; Legal</t>
        </is>
      </c>
      <c r="I425" s="843" t="inlineStr">
        <is>
          <t>Tech, P&amp;C Platforms</t>
        </is>
      </c>
      <c r="J425" s="843" t="inlineStr">
        <is>
          <t>P&amp;C</t>
        </is>
      </c>
      <c r="K425" s="843" t="inlineStr">
        <is>
          <t>P&amp;C</t>
        </is>
      </c>
      <c r="L425" s="843" t="inlineStr">
        <is>
          <t>P&amp;C</t>
        </is>
      </c>
      <c r="M425" s="843" t="n"/>
      <c r="N425" s="845" t="inlineStr">
        <is>
          <t>Australia</t>
        </is>
      </c>
      <c r="O425" s="846" t="inlineStr">
        <is>
          <t>CIA</t>
        </is>
      </c>
      <c r="P425" s="847" t="n">
        <v>1</v>
      </c>
      <c r="Q425" s="846" t="n"/>
      <c r="R425" s="847" t="inlineStr">
        <is>
          <t>v</t>
        </is>
      </c>
      <c r="S425" s="847" t="n"/>
      <c r="T425" s="847" t="n"/>
      <c r="U425" s="848" t="n">
        <v>129650</v>
      </c>
      <c r="V425" s="849" t="n">
        <v>129650</v>
      </c>
      <c r="W425" s="850" t="n">
        <v>0.1</v>
      </c>
      <c r="X425" s="847" t="n">
        <v>0.055</v>
      </c>
      <c r="Y425" s="850" t="n">
        <v>0.12</v>
      </c>
      <c r="Z425" s="851" t="n"/>
      <c r="AA425" s="850" t="n">
        <v>0.04</v>
      </c>
      <c r="AB425" s="852" t="n">
        <v>170489.75</v>
      </c>
      <c r="AD425" s="866" t="n"/>
      <c r="AE425" s="866">
        <f>IF(TRIM($B425)="","",IF(AND(N($P425)&gt;0,N($P425)&lt;1),N($AB425)*N($P425),N($AB425)))</f>
        <v>170489.75</v>
      </c>
      <c r="AF425" s="866" t="str">
        <f>IF(TRIM($B425)="","",IF(OR(ISNUMBER(SEARCH("vacant",$B425)),ISNUMBER(SEARCH("ring fenced",$B425)),LOWER(TRIM($B425))="remove"),"Vacant","Filled"))</f>
        <v>Vacant</v>
      </c>
      <c r="AG425" s="866" t="b">
        <f>IF(TRIM($B425)="","",--ISNUMBER(SEARCH("ring fenced",$B425)))</f>
        <v>0</v>
      </c>
      <c r="AH425" s="866" t="str">
        <f>IF(TRIM($B425)="","",IF(COUNTIFS(Lists!$AN$2:$AN$22,TRIM($B425)&amp;" | "&amp;TRIM($D425),Lists!$AO$2:$AO$22,"&lt;&gt;"),INDEX(Lists!$AO$2:$AO$22,MATCH(TRIM($B425)&amp;" | "&amp;TRIM($D425),Lists!$AN$2:$AN$22,0)),IF(COUNTIF(Lists!$AR$2:$AR$3,$AJ425),"TDD Cyber",IF(AND(LEFT($AJ425,4)="EGI ",ISNUMBER(MATCH(TRIM(MID($AJ425,5,99)),Lists!$AS$2:$AS$12,0))),TRIM(MID($AJ425,5,99)),IF(AND(LEFT($AJ425,4)="EGI ",ISNUMBER(MATCH(TRIM(MID($AJ425,5,99)),Lists!$T$2:$T$21,0))),INDEX(Lists!$U$2:$U$21,MATCH(TRIM(MID($AJ425,5,99)),Lists!$T$2:$T$21,0)),IF(OR(TRIM($J425)="",UPPER(TRIM($J425))="NA"),IFERROR(INDEX(Lists!$R$2:$R$9,MATCH(TRIM($G425),Lists!$Q$2:$Q$9,0)),"UNMAPPED"),IFERROR(INDEX(Lists!$U$2:$U$21,MATCH(TRIM($J425),Lists!$T$2:$T$21,0)),IFERROR(INDEX(Lists!$R$2:$R$9,MATCH(TRIM($G425),Lists!$Q$2:$Q$9,0)),"UNMAPPED"))))))))</f>
        <v>P&amp;C</v>
      </c>
      <c r="AI425" s="534" t="b">
        <f>IF(TRIM($B425)="","",--OR(TRIM($L425)="Leadership",TRIM($K425)="Leadership"))</f>
        <v>0</v>
      </c>
      <c r="AJ425" s="534" t="str">
        <f>IF(TRIM($B425)="","",IF(COUNTIFS(Lists!$AN$2:$AN$22,TRIM($B425)&amp;" | "&amp;TRIM($D425),Lists!$AP$2:$AP$22,"&lt;&gt;"),INDEX(Lists!$AP$2:$AP$22,MATCH(TRIM($B425)&amp;" | "&amp;TRIM($D425),Lists!$AN$2:$AN$22,0)),IF($AI425=1,"Leadership",IFERROR(INDEX(Lists!$X$2:$X$21,MATCH(TRIM($L425),Lists!$W$2:$W$21,0)),IF(OR(TRIM($L425)="",LOWER(TRIM($L425))="na"),IF(TRIM($H425)="","Unassigned",TRIM($H425)),TRIM($L425))))))</f>
        <v>P&amp;C</v>
      </c>
      <c r="AK425" s="534" t="str">
        <f>IF(TRIM($B425)="","",IF(COUNTIFS(Lists!$AN$2:$AN$22,TRIM($B425)&amp;" | "&amp;TRIM($D425),Lists!$AQ$2:$AQ$22,"&lt;&gt;"),INDEX(Lists!$AQ$2:$AQ$22,MATCH(TRIM($B425)&amp;" | "&amp;TRIM($D425),Lists!$AN$2:$AN$22,0)),IF(COUNTIF(Lists!$AF$2:$AF$8,$AJ425),$AJ425,IF(ISNUMBER(SEARCH("head of ",$D425)),"Head of Technology",IF(ISNUMBER(SEARCH("TDD BP",$D425)),"Business Partner",IF(OR(ISNUMBER(SEARCH("domain architect",$D425)),ISNUMBER(SEARCH("enterprise architect",$D425))),"Domain Architect",IF(ISNUMBER(SEARCH("delivery man",$D425)),"Delivery Manager",IF(OR(ISNUMBER(SEARCH("technology manager",$D425)),ISNUMBER(SEARCH("technology manger",$D425)),ISNUMBER(SEARCH("tech manager",$D425))),"Technology Manager","Squad"))))))))</f>
        <v>Squad</v>
      </c>
      <c r="AL425" s="534" t="str">
        <f>IF(TRIM($B425)="","",IF(AND($AM425=1,LEFT($AJ425,4)&lt;&gt;"EGI ",$AJ425&lt;&gt;"EGI"),IFERROR(INDEX(Lists!$Z$2:$Z$20,MATCH($AH425,Lists!$Y$2:$Y$20,0)),"EGI "&amp;$AH425),IF(COUNTIF(Lists!$AU$2:$AU$10,$AJ425),$AJ425,IF(OR(LEFT($AH425,3)="COE",$AH425="EGI"),$AJ425,IF($AK425&lt;&gt;"Squad",$AK425,$AJ425)))))</f>
        <v>P&amp;C</v>
      </c>
      <c r="AM425" s="534" t="b">
        <f>IF(TRIM($B425)="","",--(UPPER(TRIM($K425))="EGI"))</f>
        <v>0</v>
      </c>
      <c r="AQ425" s="841" t="inlineStr">
        <is>
          <t>R0424</t>
        </is>
      </c>
      <c r="AZ425" s="841" t="n"/>
    </row>
    <row r="426" ht="18" customHeight="1" s="535">
      <c r="A426" s="842" t="inlineStr">
        <is>
          <t>V</t>
        </is>
      </c>
      <c r="B426" s="843" t="inlineStr">
        <is>
          <t>Vacant</t>
        </is>
      </c>
      <c r="C426" s="842" t="inlineStr">
        <is>
          <t>V</t>
        </is>
      </c>
      <c r="D426" s="843" t="inlineStr">
        <is>
          <t>Quality Assurance</t>
        </is>
      </c>
      <c r="E426" s="843" t="inlineStr">
        <is>
          <t>Dave O'Keefe</t>
        </is>
      </c>
      <c r="F426" s="843" t="inlineStr">
        <is>
          <t>Technology Manager P&amp;C Platforms</t>
        </is>
      </c>
      <c r="G426" s="844" t="inlineStr">
        <is>
          <t>TDD Group Functions</t>
        </is>
      </c>
      <c r="H426" s="843" t="inlineStr">
        <is>
          <t>P&amp;C, Finance &amp; Legal</t>
        </is>
      </c>
      <c r="I426" s="843" t="inlineStr">
        <is>
          <t>Tech, P&amp;C Platforms</t>
        </is>
      </c>
      <c r="J426" s="843" t="inlineStr">
        <is>
          <t>P&amp;C</t>
        </is>
      </c>
      <c r="K426" s="843" t="inlineStr">
        <is>
          <t>P&amp;C</t>
        </is>
      </c>
      <c r="L426" s="843" t="inlineStr">
        <is>
          <t>P&amp;C RTA</t>
        </is>
      </c>
      <c r="M426" s="843" t="n"/>
      <c r="N426" s="845" t="inlineStr">
        <is>
          <t>Australia</t>
        </is>
      </c>
      <c r="O426" s="846" t="inlineStr">
        <is>
          <t>CIA</t>
        </is>
      </c>
      <c r="P426" s="847" t="n">
        <v>1</v>
      </c>
      <c r="Q426" s="846" t="n"/>
      <c r="R426" s="847" t="inlineStr">
        <is>
          <t>v</t>
        </is>
      </c>
      <c r="S426" s="847" t="n"/>
      <c r="T426" s="847" t="n"/>
      <c r="U426" s="848" t="n">
        <v>129650</v>
      </c>
      <c r="V426" s="849" t="n">
        <v>129650</v>
      </c>
      <c r="W426" s="850" t="n">
        <v>0.1</v>
      </c>
      <c r="X426" s="847" t="n">
        <v>0.055</v>
      </c>
      <c r="Y426" s="850" t="n">
        <v>0.12</v>
      </c>
      <c r="Z426" s="851" t="n"/>
      <c r="AA426" s="850" t="n">
        <v>0.04</v>
      </c>
      <c r="AB426" s="852" t="n">
        <v>170489.75</v>
      </c>
      <c r="AD426" s="866" t="n"/>
      <c r="AE426" s="866">
        <f>IF(TRIM($B426)="","",IF(AND(N($P426)&gt;0,N($P426)&lt;1),N($AB426)*N($P426),N($AB426)))</f>
        <v>170489.75</v>
      </c>
      <c r="AF426" s="866" t="str">
        <f>IF(TRIM($B426)="","",IF(OR(ISNUMBER(SEARCH("vacant",$B426)),ISNUMBER(SEARCH("ring fenced",$B426)),LOWER(TRIM($B426))="remove"),"Vacant","Filled"))</f>
        <v>Vacant</v>
      </c>
      <c r="AG426" s="866" t="b">
        <f>IF(TRIM($B426)="","",--ISNUMBER(SEARCH("ring fenced",$B426)))</f>
        <v>0</v>
      </c>
      <c r="AH426" s="866" t="str">
        <f>IF(TRIM($B426)="","",IF(COUNTIFS(Lists!$AN$2:$AN$22,TRIM($B426)&amp;" | "&amp;TRIM($D426),Lists!$AO$2:$AO$22,"&lt;&gt;"),INDEX(Lists!$AO$2:$AO$22,MATCH(TRIM($B426)&amp;" | "&amp;TRIM($D426),Lists!$AN$2:$AN$22,0)),IF(COUNTIF(Lists!$AR$2:$AR$3,$AJ426),"TDD Cyber",IF(AND(LEFT($AJ426,4)="EGI ",ISNUMBER(MATCH(TRIM(MID($AJ426,5,99)),Lists!$AS$2:$AS$12,0))),TRIM(MID($AJ426,5,99)),IF(AND(LEFT($AJ426,4)="EGI ",ISNUMBER(MATCH(TRIM(MID($AJ426,5,99)),Lists!$T$2:$T$21,0))),INDEX(Lists!$U$2:$U$21,MATCH(TRIM(MID($AJ426,5,99)),Lists!$T$2:$T$21,0)),IF(OR(TRIM($J426)="",UPPER(TRIM($J426))="NA"),IFERROR(INDEX(Lists!$R$2:$R$9,MATCH(TRIM($G426),Lists!$Q$2:$Q$9,0)),"UNMAPPED"),IFERROR(INDEX(Lists!$U$2:$U$21,MATCH(TRIM($J426),Lists!$T$2:$T$21,0)),IFERROR(INDEX(Lists!$R$2:$R$9,MATCH(TRIM($G426),Lists!$Q$2:$Q$9,0)),"UNMAPPED"))))))))</f>
        <v>P&amp;C</v>
      </c>
      <c r="AI426" s="534" t="b">
        <f>IF(TRIM($B426)="","",--OR(TRIM($L426)="Leadership",TRIM($K426)="Leadership"))</f>
        <v>0</v>
      </c>
      <c r="AJ426" s="534" t="str">
        <f>IF(TRIM($B426)="","",IF(COUNTIFS(Lists!$AN$2:$AN$22,TRIM($B426)&amp;" | "&amp;TRIM($D426),Lists!$AP$2:$AP$22,"&lt;&gt;"),INDEX(Lists!$AP$2:$AP$22,MATCH(TRIM($B426)&amp;" | "&amp;TRIM($D426),Lists!$AN$2:$AN$22,0)),IF($AI426=1,"Leadership",IFERROR(INDEX(Lists!$X$2:$X$21,MATCH(TRIM($L426),Lists!$W$2:$W$21,0)),IF(OR(TRIM($L426)="",LOWER(TRIM($L426))="na"),IF(TRIM($H426)="","Unassigned",TRIM($H426)),TRIM($L426))))))</f>
        <v>P&amp;C RTA</v>
      </c>
      <c r="AK426" s="534" t="str">
        <f>IF(TRIM($B426)="","",IF(COUNTIFS(Lists!$AN$2:$AN$22,TRIM($B426)&amp;" | "&amp;TRIM($D426),Lists!$AQ$2:$AQ$22,"&lt;&gt;"),INDEX(Lists!$AQ$2:$AQ$22,MATCH(TRIM($B426)&amp;" | "&amp;TRIM($D426),Lists!$AN$2:$AN$22,0)),IF(COUNTIF(Lists!$AF$2:$AF$8,$AJ426),$AJ426,IF(ISNUMBER(SEARCH("head of ",$D426)),"Head of Technology",IF(ISNUMBER(SEARCH("TDD BP",$D426)),"Business Partner",IF(OR(ISNUMBER(SEARCH("domain architect",$D426)),ISNUMBER(SEARCH("enterprise architect",$D426))),"Domain Architect",IF(ISNUMBER(SEARCH("delivery man",$D426)),"Delivery Manager",IF(OR(ISNUMBER(SEARCH("technology manager",$D426)),ISNUMBER(SEARCH("technology manger",$D426)),ISNUMBER(SEARCH("tech manager",$D426))),"Technology Manager","Squad"))))))))</f>
        <v>Squad</v>
      </c>
      <c r="AL426" s="534" t="str">
        <f>IF(TRIM($B426)="","",IF(AND($AM426=1,LEFT($AJ426,4)&lt;&gt;"EGI ",$AJ426&lt;&gt;"EGI"),IFERROR(INDEX(Lists!$Z$2:$Z$20,MATCH($AH426,Lists!$Y$2:$Y$20,0)),"EGI "&amp;$AH426),IF(COUNTIF(Lists!$AU$2:$AU$10,$AJ426),$AJ426,IF(OR(LEFT($AH426,3)="COE",$AH426="EGI"),$AJ426,IF($AK426&lt;&gt;"Squad",$AK426,$AJ426)))))</f>
        <v>P&amp;C RTA</v>
      </c>
      <c r="AM426" s="534" t="b">
        <f>IF(TRIM($B426)="","",--(UPPER(TRIM($K426))="EGI"))</f>
        <v>0</v>
      </c>
      <c r="AQ426" s="841" t="inlineStr">
        <is>
          <t>R0425</t>
        </is>
      </c>
      <c r="AZ426" s="841" t="n"/>
    </row>
    <row r="427" ht="18" customHeight="1" s="535">
      <c r="A427" s="842" t="inlineStr">
        <is>
          <t>V</t>
        </is>
      </c>
      <c r="B427" s="843" t="inlineStr">
        <is>
          <t>Vacant</t>
        </is>
      </c>
      <c r="C427" s="842" t="inlineStr">
        <is>
          <t>V</t>
        </is>
      </c>
      <c r="D427" s="843" t="inlineStr">
        <is>
          <t>Systems Specialist</t>
        </is>
      </c>
      <c r="E427" s="843" t="inlineStr">
        <is>
          <t>Dave O'Keefe</t>
        </is>
      </c>
      <c r="F427" s="843" t="inlineStr">
        <is>
          <t>Technology Manager P&amp;C Platforms</t>
        </is>
      </c>
      <c r="G427" s="844" t="inlineStr">
        <is>
          <t>TDD Group Functions</t>
        </is>
      </c>
      <c r="H427" s="843" t="inlineStr">
        <is>
          <t>P&amp;C, Finance &amp; Legal</t>
        </is>
      </c>
      <c r="I427" s="843" t="inlineStr">
        <is>
          <t>Tech, P&amp;C Platforms</t>
        </is>
      </c>
      <c r="J427" s="843" t="inlineStr">
        <is>
          <t>P&amp;C</t>
        </is>
      </c>
      <c r="K427" s="843" t="inlineStr">
        <is>
          <t>P&amp;C</t>
        </is>
      </c>
      <c r="L427" s="843" t="inlineStr">
        <is>
          <t>P&amp;C RTA</t>
        </is>
      </c>
      <c r="M427" s="843" t="n"/>
      <c r="N427" s="845" t="inlineStr">
        <is>
          <t>Australia</t>
        </is>
      </c>
      <c r="O427" s="846" t="inlineStr">
        <is>
          <t>CIA</t>
        </is>
      </c>
      <c r="P427" s="847" t="n">
        <v>1</v>
      </c>
      <c r="Q427" s="846" t="n"/>
      <c r="R427" s="847" t="inlineStr">
        <is>
          <t>v</t>
        </is>
      </c>
      <c r="S427" s="847" t="n"/>
      <c r="T427" s="847" t="n"/>
      <c r="U427" s="848" t="n">
        <v>136860</v>
      </c>
      <c r="V427" s="849" t="n">
        <v>136860</v>
      </c>
      <c r="W427" s="850" t="n">
        <v>0.1</v>
      </c>
      <c r="X427" s="847" t="n">
        <v>0.055</v>
      </c>
      <c r="Y427" s="850" t="n">
        <v>0.12</v>
      </c>
      <c r="Z427" s="851" t="n"/>
      <c r="AA427" s="850" t="n">
        <v>0.04</v>
      </c>
      <c r="AB427" s="852" t="n">
        <v>179970.9</v>
      </c>
      <c r="AD427" s="866" t="n"/>
      <c r="AE427" s="866">
        <f>IF(TRIM($B427)="","",IF(AND(N($P427)&gt;0,N($P427)&lt;1),N($AB427)*N($P427),N($AB427)))</f>
        <v>179970.9</v>
      </c>
      <c r="AF427" s="866" t="str">
        <f>IF(TRIM($B427)="","",IF(OR(ISNUMBER(SEARCH("vacant",$B427)),ISNUMBER(SEARCH("ring fenced",$B427)),LOWER(TRIM($B427))="remove"),"Vacant","Filled"))</f>
        <v>Vacant</v>
      </c>
      <c r="AG427" s="866" t="b">
        <f>IF(TRIM($B427)="","",--ISNUMBER(SEARCH("ring fenced",$B427)))</f>
        <v>0</v>
      </c>
      <c r="AH427" s="866" t="str">
        <f>IF(TRIM($B427)="","",IF(COUNTIFS(Lists!$AN$2:$AN$22,TRIM($B427)&amp;" | "&amp;TRIM($D427),Lists!$AO$2:$AO$22,"&lt;&gt;"),INDEX(Lists!$AO$2:$AO$22,MATCH(TRIM($B427)&amp;" | "&amp;TRIM($D427),Lists!$AN$2:$AN$22,0)),IF(COUNTIF(Lists!$AR$2:$AR$3,$AJ427),"TDD Cyber",IF(AND(LEFT($AJ427,4)="EGI ",ISNUMBER(MATCH(TRIM(MID($AJ427,5,99)),Lists!$AS$2:$AS$12,0))),TRIM(MID($AJ427,5,99)),IF(AND(LEFT($AJ427,4)="EGI ",ISNUMBER(MATCH(TRIM(MID($AJ427,5,99)),Lists!$T$2:$T$21,0))),INDEX(Lists!$U$2:$U$21,MATCH(TRIM(MID($AJ427,5,99)),Lists!$T$2:$T$21,0)),IF(OR(TRIM($J427)="",UPPER(TRIM($J427))="NA"),IFERROR(INDEX(Lists!$R$2:$R$9,MATCH(TRIM($G427),Lists!$Q$2:$Q$9,0)),"UNMAPPED"),IFERROR(INDEX(Lists!$U$2:$U$21,MATCH(TRIM($J427),Lists!$T$2:$T$21,0)),IFERROR(INDEX(Lists!$R$2:$R$9,MATCH(TRIM($G427),Lists!$Q$2:$Q$9,0)),"UNMAPPED"))))))))</f>
        <v>P&amp;C</v>
      </c>
      <c r="AI427" s="534" t="b">
        <f>IF(TRIM($B427)="","",--OR(TRIM($L427)="Leadership",TRIM($K427)="Leadership"))</f>
        <v>0</v>
      </c>
      <c r="AJ427" s="534" t="str">
        <f>IF(TRIM($B427)="","",IF(COUNTIFS(Lists!$AN$2:$AN$22,TRIM($B427)&amp;" | "&amp;TRIM($D427),Lists!$AP$2:$AP$22,"&lt;&gt;"),INDEX(Lists!$AP$2:$AP$22,MATCH(TRIM($B427)&amp;" | "&amp;TRIM($D427),Lists!$AN$2:$AN$22,0)),IF($AI427=1,"Leadership",IFERROR(INDEX(Lists!$X$2:$X$21,MATCH(TRIM($L427),Lists!$W$2:$W$21,0)),IF(OR(TRIM($L427)="",LOWER(TRIM($L427))="na"),IF(TRIM($H427)="","Unassigned",TRIM($H427)),TRIM($L427))))))</f>
        <v>P&amp;C RTA</v>
      </c>
      <c r="AK427" s="534" t="str">
        <f>IF(TRIM($B427)="","",IF(COUNTIFS(Lists!$AN$2:$AN$22,TRIM($B427)&amp;" | "&amp;TRIM($D427),Lists!$AQ$2:$AQ$22,"&lt;&gt;"),INDEX(Lists!$AQ$2:$AQ$22,MATCH(TRIM($B427)&amp;" | "&amp;TRIM($D427),Lists!$AN$2:$AN$22,0)),IF(COUNTIF(Lists!$AF$2:$AF$8,$AJ427),$AJ427,IF(ISNUMBER(SEARCH("head of ",$D427)),"Head of Technology",IF(ISNUMBER(SEARCH("TDD BP",$D427)),"Business Partner",IF(OR(ISNUMBER(SEARCH("domain architect",$D427)),ISNUMBER(SEARCH("enterprise architect",$D427))),"Domain Architect",IF(ISNUMBER(SEARCH("delivery man",$D427)),"Delivery Manager",IF(OR(ISNUMBER(SEARCH("technology manager",$D427)),ISNUMBER(SEARCH("technology manger",$D427)),ISNUMBER(SEARCH("tech manager",$D427))),"Technology Manager","Squad"))))))))</f>
        <v>Squad</v>
      </c>
      <c r="AL427" s="534" t="str">
        <f>IF(TRIM($B427)="","",IF(AND($AM427=1,LEFT($AJ427,4)&lt;&gt;"EGI ",$AJ427&lt;&gt;"EGI"),IFERROR(INDEX(Lists!$Z$2:$Z$20,MATCH($AH427,Lists!$Y$2:$Y$20,0)),"EGI "&amp;$AH427),IF(COUNTIF(Lists!$AU$2:$AU$10,$AJ427),$AJ427,IF(OR(LEFT($AH427,3)="COE",$AH427="EGI"),$AJ427,IF($AK427&lt;&gt;"Squad",$AK427,$AJ427)))))</f>
        <v>P&amp;C RTA</v>
      </c>
      <c r="AM427" s="534" t="b">
        <f>IF(TRIM($B427)="","",--(UPPER(TRIM($K427))="EGI"))</f>
        <v>0</v>
      </c>
      <c r="AQ427" s="841" t="inlineStr">
        <is>
          <t>R0426</t>
        </is>
      </c>
      <c r="AZ427" s="841" t="n"/>
    </row>
    <row r="428" ht="18" customHeight="1" s="535">
      <c r="A428" s="842" t="inlineStr">
        <is>
          <t>V</t>
        </is>
      </c>
      <c r="B428" s="843" t="inlineStr">
        <is>
          <t>Vacant</t>
        </is>
      </c>
      <c r="C428" s="842" t="inlineStr">
        <is>
          <t>V</t>
        </is>
      </c>
      <c r="D428" s="843" t="inlineStr">
        <is>
          <t>Quality Assurance</t>
        </is>
      </c>
      <c r="E428" s="843" t="inlineStr">
        <is>
          <t>Dinesh Chandrasekaran</t>
        </is>
      </c>
      <c r="F428" s="843" t="inlineStr">
        <is>
          <t>Lead Engineer (Snowflake)</t>
        </is>
      </c>
      <c r="G428" s="844" t="inlineStr">
        <is>
          <t>Strategy, Architecture &amp; Data</t>
        </is>
      </c>
      <c r="H428" s="843" t="inlineStr">
        <is>
          <t>Group Data</t>
        </is>
      </c>
      <c r="I428" s="843" t="inlineStr">
        <is>
          <t>Data Engineering &amp; Platforms</t>
        </is>
      </c>
      <c r="J428" s="843" t="inlineStr">
        <is>
          <t>Enterprise Data</t>
        </is>
      </c>
      <c r="K428" s="843" t="inlineStr">
        <is>
          <t>Group Data</t>
        </is>
      </c>
      <c r="L428" s="843" t="inlineStr">
        <is>
          <t>Data Platform</t>
        </is>
      </c>
      <c r="M428" s="843" t="n"/>
      <c r="N428" s="845" t="inlineStr">
        <is>
          <t>Australia</t>
        </is>
      </c>
      <c r="O428" s="846" t="inlineStr">
        <is>
          <t>CIA</t>
        </is>
      </c>
      <c r="P428" s="847" t="n">
        <v>1</v>
      </c>
      <c r="Q428" s="846" t="n"/>
      <c r="R428" s="847" t="inlineStr">
        <is>
          <t>v</t>
        </is>
      </c>
      <c r="S428" s="847" t="n"/>
      <c r="T428" s="847" t="n"/>
      <c r="U428" s="848" t="n">
        <v>129650</v>
      </c>
      <c r="V428" s="849" t="n">
        <v>129650</v>
      </c>
      <c r="W428" s="850" t="n">
        <v>0.1</v>
      </c>
      <c r="X428" s="847" t="n">
        <v>0.055</v>
      </c>
      <c r="Y428" s="850" t="n">
        <v>0.12</v>
      </c>
      <c r="Z428" s="851" t="n"/>
      <c r="AA428" s="850" t="n">
        <v>0.04</v>
      </c>
      <c r="AB428" s="852" t="n">
        <v>170489.75</v>
      </c>
      <c r="AD428" s="866" t="n"/>
      <c r="AE428" s="866">
        <f>IF(TRIM($B428)="","",IF(AND(N($P428)&gt;0,N($P428)&lt;1),N($AB428)*N($P428),N($AB428)))</f>
        <v>170489.75</v>
      </c>
      <c r="AF428" s="866" t="str">
        <f>IF(TRIM($B428)="","",IF(OR(ISNUMBER(SEARCH("vacant",$B428)),ISNUMBER(SEARCH("ring fenced",$B428)),LOWER(TRIM($B428))="remove"),"Vacant","Filled"))</f>
        <v>Vacant</v>
      </c>
      <c r="AG428" s="866" t="b">
        <f>IF(TRIM($B428)="","",--ISNUMBER(SEARCH("ring fenced",$B428)))</f>
        <v>0</v>
      </c>
      <c r="AH428" s="866" t="str">
        <f>IF(TRIM($B428)="","",IF(COUNTIFS(Lists!$AN$2:$AN$22,TRIM($B428)&amp;" | "&amp;TRIM($D428),Lists!$AO$2:$AO$22,"&lt;&gt;"),INDEX(Lists!$AO$2:$AO$22,MATCH(TRIM($B428)&amp;" | "&amp;TRIM($D428),Lists!$AN$2:$AN$22,0)),IF(COUNTIF(Lists!$AR$2:$AR$3,$AJ428),"TDD Cyber",IF(AND(LEFT($AJ428,4)="EGI ",ISNUMBER(MATCH(TRIM(MID($AJ428,5,99)),Lists!$AS$2:$AS$12,0))),TRIM(MID($AJ428,5,99)),IF(AND(LEFT($AJ428,4)="EGI ",ISNUMBER(MATCH(TRIM(MID($AJ428,5,99)),Lists!$T$2:$T$21,0))),INDEX(Lists!$U$2:$U$21,MATCH(TRIM(MID($AJ428,5,99)),Lists!$T$2:$T$21,0)),IF(OR(TRIM($J428)="",UPPER(TRIM($J428))="NA"),IFERROR(INDEX(Lists!$R$2:$R$9,MATCH(TRIM($G428),Lists!$Q$2:$Q$9,0)),"UNMAPPED"),IFERROR(INDEX(Lists!$U$2:$U$21,MATCH(TRIM($J428),Lists!$T$2:$T$21,0)),IFERROR(INDEX(Lists!$R$2:$R$9,MATCH(TRIM($G428),Lists!$Q$2:$Q$9,0)),"UNMAPPED"))))))))</f>
        <v>Enterprise Data</v>
      </c>
      <c r="AI428" s="534" t="b">
        <f>IF(TRIM($B428)="","",--OR(TRIM($L428)="Leadership",TRIM($K428)="Leadership"))</f>
        <v>0</v>
      </c>
      <c r="AJ428" s="534" t="str">
        <f>IF(TRIM($B428)="","",IF(COUNTIFS(Lists!$AN$2:$AN$22,TRIM($B428)&amp;" | "&amp;TRIM($D428),Lists!$AP$2:$AP$22,"&lt;&gt;"),INDEX(Lists!$AP$2:$AP$22,MATCH(TRIM($B428)&amp;" | "&amp;TRIM($D428),Lists!$AN$2:$AN$22,0)),IF($AI428=1,"Leadership",IFERROR(INDEX(Lists!$X$2:$X$21,MATCH(TRIM($L428),Lists!$W$2:$W$21,0)),IF(OR(TRIM($L428)="",LOWER(TRIM($L428))="na"),IF(TRIM($H428)="","Unassigned",TRIM($H428)),TRIM($L428))))))</f>
        <v>Data Platforms</v>
      </c>
      <c r="AK428" s="534" t="str">
        <f>IF(TRIM($B428)="","",IF(COUNTIFS(Lists!$AN$2:$AN$22,TRIM($B428)&amp;" | "&amp;TRIM($D428),Lists!$AQ$2:$AQ$22,"&lt;&gt;"),INDEX(Lists!$AQ$2:$AQ$22,MATCH(TRIM($B428)&amp;" | "&amp;TRIM($D428),Lists!$AN$2:$AN$22,0)),IF(COUNTIF(Lists!$AF$2:$AF$8,$AJ428),$AJ428,IF(ISNUMBER(SEARCH("head of ",$D428)),"Head of Technology",IF(ISNUMBER(SEARCH("TDD BP",$D428)),"Business Partner",IF(OR(ISNUMBER(SEARCH("domain architect",$D428)),ISNUMBER(SEARCH("enterprise architect",$D428))),"Domain Architect",IF(ISNUMBER(SEARCH("delivery man",$D428)),"Delivery Manager",IF(OR(ISNUMBER(SEARCH("technology manager",$D428)),ISNUMBER(SEARCH("technology manger",$D428)),ISNUMBER(SEARCH("tech manager",$D428))),"Technology Manager","Squad"))))))))</f>
        <v>Squad</v>
      </c>
      <c r="AL428" s="534" t="str">
        <f>IF(TRIM($B428)="","",IF(AND($AM428=1,LEFT($AJ428,4)&lt;&gt;"EGI ",$AJ428&lt;&gt;"EGI"),IFERROR(INDEX(Lists!$Z$2:$Z$20,MATCH($AH428,Lists!$Y$2:$Y$20,0)),"EGI "&amp;$AH428),IF(COUNTIF(Lists!$AU$2:$AU$10,$AJ428),$AJ428,IF(OR(LEFT($AH428,3)="COE",$AH428="EGI"),$AJ428,IF($AK428&lt;&gt;"Squad",$AK428,$AJ428)))))</f>
        <v>Data Platforms</v>
      </c>
      <c r="AM428" s="534" t="b">
        <f>IF(TRIM($B428)="","",--(UPPER(TRIM($K428))="EGI"))</f>
        <v>0</v>
      </c>
      <c r="AQ428" s="841" t="inlineStr">
        <is>
          <t>R0427</t>
        </is>
      </c>
      <c r="AZ428" s="841" t="n"/>
    </row>
    <row r="429" ht="18" customHeight="1" s="535">
      <c r="A429" s="842" t="n">
        <v>115490</v>
      </c>
      <c r="B429" s="843" t="inlineStr">
        <is>
          <t>Vanessa Castro</t>
        </is>
      </c>
      <c r="C429" s="842" t="n">
        <v>115490</v>
      </c>
      <c r="D429" s="843" t="inlineStr">
        <is>
          <t>Cyber GRC Analyst</t>
        </is>
      </c>
      <c r="E429" s="843" t="inlineStr">
        <is>
          <t>Diya Thomas</t>
        </is>
      </c>
      <c r="F429" s="843" t="n"/>
      <c r="G429" s="844" t="inlineStr">
        <is>
          <t>Cyber, Risk &amp; Operations</t>
        </is>
      </c>
      <c r="H429" s="843" t="inlineStr">
        <is>
          <t>Cyber GRC</t>
        </is>
      </c>
      <c r="I429" s="843" t="inlineStr">
        <is>
          <t>NA</t>
        </is>
      </c>
      <c r="J429" s="843" t="inlineStr">
        <is>
          <t>NA</t>
        </is>
      </c>
      <c r="K429" s="843" t="inlineStr">
        <is>
          <t>NA</t>
        </is>
      </c>
      <c r="L429" s="843" t="inlineStr">
        <is>
          <t>NA</t>
        </is>
      </c>
      <c r="M429" s="843" t="n"/>
      <c r="N429" s="845" t="inlineStr">
        <is>
          <t>NZ</t>
        </is>
      </c>
      <c r="O429" s="846" t="inlineStr">
        <is>
          <t>CIA</t>
        </is>
      </c>
      <c r="P429" s="847" t="n">
        <v>1</v>
      </c>
      <c r="Q429" s="846" t="n"/>
      <c r="R429" s="847" t="inlineStr">
        <is>
          <t>Permanent - Full Time</t>
        </is>
      </c>
      <c r="S429" s="847" t="n"/>
      <c r="T429" s="847" t="n"/>
      <c r="U429" s="848" t="n">
        <v>113930</v>
      </c>
      <c r="V429" s="849" t="n">
        <v>104815.6</v>
      </c>
      <c r="W429" s="850" t="n">
        <v>0.15</v>
      </c>
      <c r="X429" s="847" t="n"/>
      <c r="Y429" s="850" t="n">
        <v>0.05</v>
      </c>
      <c r="Z429" s="851" t="n">
        <v>2910</v>
      </c>
      <c r="AA429" s="850" t="n">
        <v>0.03</v>
      </c>
      <c r="AB429" s="852" t="n">
        <v>131833.188</v>
      </c>
      <c r="AD429" s="866" t="n"/>
      <c r="AE429" s="866">
        <f>IF(TRIM($B429)="","",IF(AND(N($P429)&gt;0,N($P429)&lt;1),N($AB429)*N($P429),N($AB429)))</f>
        <v>131833.188</v>
      </c>
      <c r="AF429" s="866" t="str">
        <f>IF(TRIM($B429)="","",IF(OR(ISNUMBER(SEARCH("vacant",$B429)),ISNUMBER(SEARCH("ring fenced",$B429)),LOWER(TRIM($B429))="remove"),"Vacant","Filled"))</f>
        <v>Filled</v>
      </c>
      <c r="AG429" s="866" t="b">
        <f>IF(TRIM($B429)="","",--ISNUMBER(SEARCH("ring fenced",$B429)))</f>
        <v>0</v>
      </c>
      <c r="AH429" s="866" t="str">
        <f>IF(TRIM($B429)="","",IF(COUNTIFS(Lists!$AN$2:$AN$22,TRIM($B429)&amp;" | "&amp;TRIM($D429),Lists!$AO$2:$AO$22,"&lt;&gt;"),INDEX(Lists!$AO$2:$AO$22,MATCH(TRIM($B429)&amp;" | "&amp;TRIM($D429),Lists!$AN$2:$AN$22,0)),IF(COUNTIF(Lists!$AR$2:$AR$3,$AJ429),"TDD Cyber",IF(AND(LEFT($AJ429,4)="EGI ",ISNUMBER(MATCH(TRIM(MID($AJ429,5,99)),Lists!$AS$2:$AS$12,0))),TRIM(MID($AJ429,5,99)),IF(AND(LEFT($AJ429,4)="EGI ",ISNUMBER(MATCH(TRIM(MID($AJ429,5,99)),Lists!$T$2:$T$21,0))),INDEX(Lists!$U$2:$U$21,MATCH(TRIM(MID($AJ429,5,99)),Lists!$T$2:$T$21,0)),IF(OR(TRIM($J429)="",UPPER(TRIM($J429))="NA"),IFERROR(INDEX(Lists!$R$2:$R$9,MATCH(TRIM($G429),Lists!$Q$2:$Q$9,0)),"UNMAPPED"),IFERROR(INDEX(Lists!$U$2:$U$21,MATCH(TRIM($J429),Lists!$T$2:$T$21,0)),IFERROR(INDEX(Lists!$R$2:$R$9,MATCH(TRIM($G429),Lists!$Q$2:$Q$9,0)),"UNMAPPED"))))))))</f>
        <v>COE Cyber</v>
      </c>
      <c r="AI429" s="534" t="b">
        <f>IF(TRIM($B429)="","",--OR(TRIM($L429)="Leadership",TRIM($K429)="Leadership"))</f>
        <v>0</v>
      </c>
      <c r="AJ429" s="534" t="str">
        <f>IF(TRIM($B429)="","",IF(COUNTIFS(Lists!$AN$2:$AN$22,TRIM($B429)&amp;" | "&amp;TRIM($D429),Lists!$AP$2:$AP$22,"&lt;&gt;"),INDEX(Lists!$AP$2:$AP$22,MATCH(TRIM($B429)&amp;" | "&amp;TRIM($D429),Lists!$AN$2:$AN$22,0)),IF($AI429=1,"Leadership",IFERROR(INDEX(Lists!$X$2:$X$21,MATCH(TRIM($L429),Lists!$W$2:$W$21,0)),IF(OR(TRIM($L429)="",LOWER(TRIM($L429))="na"),IF(TRIM($H429)="","Unassigned",TRIM($H429)),TRIM($L429))))))</f>
        <v>Cyber GRC</v>
      </c>
      <c r="AK429" s="534" t="str">
        <f>IF(TRIM($B429)="","",IF(COUNTIFS(Lists!$AN$2:$AN$22,TRIM($B429)&amp;" | "&amp;TRIM($D429),Lists!$AQ$2:$AQ$22,"&lt;&gt;"),INDEX(Lists!$AQ$2:$AQ$22,MATCH(TRIM($B429)&amp;" | "&amp;TRIM($D429),Lists!$AN$2:$AN$22,0)),IF(COUNTIF(Lists!$AF$2:$AF$8,$AJ429),$AJ429,IF(ISNUMBER(SEARCH("head of ",$D429)),"Head of Technology",IF(ISNUMBER(SEARCH("TDD BP",$D429)),"Business Partner",IF(OR(ISNUMBER(SEARCH("domain architect",$D429)),ISNUMBER(SEARCH("enterprise architect",$D429))),"Domain Architect",IF(ISNUMBER(SEARCH("delivery man",$D429)),"Delivery Manager",IF(OR(ISNUMBER(SEARCH("technology manager",$D429)),ISNUMBER(SEARCH("technology manger",$D429)),ISNUMBER(SEARCH("tech manager",$D429))),"Technology Manager","Squad"))))))))</f>
        <v>Squad</v>
      </c>
      <c r="AL429" s="534" t="str">
        <f>IF(TRIM($B429)="","",IF(AND($AM429=1,LEFT($AJ429,4)&lt;&gt;"EGI ",$AJ429&lt;&gt;"EGI"),IFERROR(INDEX(Lists!$Z$2:$Z$20,MATCH($AH429,Lists!$Y$2:$Y$20,0)),"EGI "&amp;$AH429),IF(COUNTIF(Lists!$AU$2:$AU$10,$AJ429),$AJ429,IF(OR(LEFT($AH429,3)="COE",$AH429="EGI"),$AJ429,IF($AK429&lt;&gt;"Squad",$AK429,$AJ429)))))</f>
        <v>Cyber GRC</v>
      </c>
      <c r="AM429" s="534" t="b">
        <f>IF(TRIM($B429)="","",--(UPPER(TRIM($K429))="EGI"))</f>
        <v>0</v>
      </c>
      <c r="AQ429" s="841" t="inlineStr">
        <is>
          <t>R0428</t>
        </is>
      </c>
      <c r="AZ429" s="841" t="n"/>
    </row>
    <row r="430" ht="18" customHeight="1" s="535">
      <c r="A430" s="842" t="n">
        <v>105799</v>
      </c>
      <c r="B430" s="843" t="inlineStr">
        <is>
          <t>Lindsay Baipas</t>
        </is>
      </c>
      <c r="C430" s="842" t="n">
        <v>105799</v>
      </c>
      <c r="D430" s="843" t="inlineStr">
        <is>
          <t>System Analyst Card</t>
        </is>
      </c>
      <c r="E430" s="843" t="inlineStr">
        <is>
          <t>Elle Spencer</t>
        </is>
      </c>
      <c r="F430" s="843" t="inlineStr">
        <is>
          <t>Technology Manager, Energy Solutions</t>
        </is>
      </c>
      <c r="G430" s="844" t="inlineStr">
        <is>
          <t>TDD CFE&amp;I</t>
        </is>
      </c>
      <c r="H430" s="843" t="inlineStr">
        <is>
          <t>B2B &amp; Energy Solutions</t>
        </is>
      </c>
      <c r="I430" s="843" t="inlineStr">
        <is>
          <t>Technology B2B</t>
        </is>
      </c>
      <c r="J430" s="843" t="inlineStr">
        <is>
          <t>B2B &amp; Energy Solutions</t>
        </is>
      </c>
      <c r="K430" s="843" t="inlineStr">
        <is>
          <t>B2B</t>
        </is>
      </c>
      <c r="L430" s="843" t="inlineStr">
        <is>
          <t>B2B</t>
        </is>
      </c>
      <c r="M430" s="843" t="n"/>
      <c r="N430" s="845" t="inlineStr">
        <is>
          <t>Australia</t>
        </is>
      </c>
      <c r="O430" s="846" t="inlineStr">
        <is>
          <t>CIA</t>
        </is>
      </c>
      <c r="P430" s="847" t="n">
        <v>1</v>
      </c>
      <c r="Q430" s="846" t="n"/>
      <c r="R430" s="847" t="inlineStr">
        <is>
          <t>Permanent - Full Time</t>
        </is>
      </c>
      <c r="S430" s="847" t="n"/>
      <c r="T430" s="847" t="n"/>
      <c r="U430" s="848" t="n">
        <v>144720</v>
      </c>
      <c r="V430" s="849" t="n">
        <v>144720</v>
      </c>
      <c r="W430" s="850" t="n">
        <v>0.1</v>
      </c>
      <c r="X430" s="847" t="n">
        <v>0.055</v>
      </c>
      <c r="Y430" s="850" t="n">
        <v>0.12</v>
      </c>
      <c r="Z430" s="851" t="n"/>
      <c r="AA430" s="850" t="n">
        <v>0.04</v>
      </c>
      <c r="AB430" s="852" t="n">
        <v>190306.8</v>
      </c>
      <c r="AD430" s="866" t="n"/>
      <c r="AE430" s="866">
        <f>IF(TRIM($B430)="","",IF(AND(N($P430)&gt;0,N($P430)&lt;1),N($AB430)*N($P430),N($AB430)))</f>
        <v>190306.8</v>
      </c>
      <c r="AF430" s="866" t="str">
        <f>IF(TRIM($B430)="","",IF(OR(ISNUMBER(SEARCH("vacant",$B430)),ISNUMBER(SEARCH("ring fenced",$B430)),LOWER(TRIM($B430))="remove"),"Vacant","Filled"))</f>
        <v>Filled</v>
      </c>
      <c r="AG430" s="866" t="b">
        <f>IF(TRIM($B430)="","",--ISNUMBER(SEARCH("ring fenced",$B430)))</f>
        <v>0</v>
      </c>
      <c r="AH430" s="866" t="str">
        <f>IF(TRIM($B430)="","",IF(COUNTIFS(Lists!$AN$2:$AN$22,TRIM($B430)&amp;" | "&amp;TRIM($D430),Lists!$AO$2:$AO$22,"&lt;&gt;"),INDEX(Lists!$AO$2:$AO$22,MATCH(TRIM($B430)&amp;" | "&amp;TRIM($D430),Lists!$AN$2:$AN$22,0)),IF(COUNTIF(Lists!$AR$2:$AR$3,$AJ430),"TDD Cyber",IF(AND(LEFT($AJ430,4)="EGI ",ISNUMBER(MATCH(TRIM(MID($AJ430,5,99)),Lists!$AS$2:$AS$12,0))),TRIM(MID($AJ430,5,99)),IF(AND(LEFT($AJ430,4)="EGI ",ISNUMBER(MATCH(TRIM(MID($AJ430,5,99)),Lists!$T$2:$T$21,0))),INDEX(Lists!$U$2:$U$21,MATCH(TRIM(MID($AJ430,5,99)),Lists!$T$2:$T$21,0)),IF(OR(TRIM($J430)="",UPPER(TRIM($J430))="NA"),IFERROR(INDEX(Lists!$R$2:$R$9,MATCH(TRIM($G430),Lists!$Q$2:$Q$9,0)),"UNMAPPED"),IFERROR(INDEX(Lists!$U$2:$U$21,MATCH(TRIM($J430),Lists!$T$2:$T$21,0)),IFERROR(INDEX(Lists!$R$2:$R$9,MATCH(TRIM($G430),Lists!$Q$2:$Q$9,0)),"UNMAPPED"))))))))</f>
        <v>Energy Solutions &amp; B2B</v>
      </c>
      <c r="AI430" s="534" t="b">
        <f>IF(TRIM($B430)="","",--OR(TRIM($L430)="Leadership",TRIM($K430)="Leadership"))</f>
        <v>0</v>
      </c>
      <c r="AJ430" s="534" t="str">
        <f>IF(TRIM($B430)="","",IF(COUNTIFS(Lists!$AN$2:$AN$22,TRIM($B430)&amp;" | "&amp;TRIM($D430),Lists!$AP$2:$AP$22,"&lt;&gt;"),INDEX(Lists!$AP$2:$AP$22,MATCH(TRIM($B430)&amp;" | "&amp;TRIM($D430),Lists!$AN$2:$AN$22,0)),IF($AI430=1,"Leadership",IFERROR(INDEX(Lists!$X$2:$X$21,MATCH(TRIM($L430),Lists!$W$2:$W$21,0)),IF(OR(TRIM($L430)="",LOWER(TRIM($L430))="na"),IF(TRIM($H430)="","Unassigned",TRIM($H430)),TRIM($L430))))))</f>
        <v>B2B</v>
      </c>
      <c r="AK430" s="534" t="str">
        <f>IF(TRIM($B430)="","",IF(COUNTIFS(Lists!$AN$2:$AN$22,TRIM($B430)&amp;" | "&amp;TRIM($D430),Lists!$AQ$2:$AQ$22,"&lt;&gt;"),INDEX(Lists!$AQ$2:$AQ$22,MATCH(TRIM($B430)&amp;" | "&amp;TRIM($D430),Lists!$AN$2:$AN$22,0)),IF(COUNTIF(Lists!$AF$2:$AF$8,$AJ430),$AJ430,IF(ISNUMBER(SEARCH("head of ",$D430)),"Head of Technology",IF(ISNUMBER(SEARCH("TDD BP",$D430)),"Business Partner",IF(OR(ISNUMBER(SEARCH("domain architect",$D430)),ISNUMBER(SEARCH("enterprise architect",$D430))),"Domain Architect",IF(ISNUMBER(SEARCH("delivery man",$D430)),"Delivery Manager",IF(OR(ISNUMBER(SEARCH("technology manager",$D430)),ISNUMBER(SEARCH("technology manger",$D430)),ISNUMBER(SEARCH("tech manager",$D430))),"Technology Manager","Squad"))))))))</f>
        <v>Squad</v>
      </c>
      <c r="AL430" s="534" t="str">
        <f>IF(TRIM($B430)="","",IF(AND($AM430=1,LEFT($AJ430,4)&lt;&gt;"EGI ",$AJ430&lt;&gt;"EGI"),IFERROR(INDEX(Lists!$Z$2:$Z$20,MATCH($AH430,Lists!$Y$2:$Y$20,0)),"EGI "&amp;$AH430),IF(COUNTIF(Lists!$AU$2:$AU$10,$AJ430),$AJ430,IF(OR(LEFT($AH430,3)="COE",$AH430="EGI"),$AJ430,IF($AK430&lt;&gt;"Squad",$AK430,$AJ430)))))</f>
        <v>B2B</v>
      </c>
      <c r="AM430" s="534" t="b">
        <f>IF(TRIM($B430)="","",--(UPPER(TRIM($K430))="EGI"))</f>
        <v>0</v>
      </c>
      <c r="AQ430" s="841" t="inlineStr">
        <is>
          <t>R0429</t>
        </is>
      </c>
      <c r="AZ430" s="841" t="n"/>
    </row>
    <row r="431" ht="18" customHeight="1" s="535">
      <c r="A431" s="842" t="n">
        <v>113606</v>
      </c>
      <c r="B431" s="843" t="inlineStr">
        <is>
          <t>Rod Santillan</t>
        </is>
      </c>
      <c r="C431" s="842" t="n">
        <v>113606</v>
      </c>
      <c r="D431" s="843" t="inlineStr">
        <is>
          <t>Snr Engineer Software</t>
        </is>
      </c>
      <c r="E431" s="843" t="inlineStr">
        <is>
          <t>Elle Spencer</t>
        </is>
      </c>
      <c r="F431" s="843" t="inlineStr">
        <is>
          <t>Technology Manager, Energy Solutions</t>
        </is>
      </c>
      <c r="G431" s="844" t="inlineStr">
        <is>
          <t>TDD CFE&amp;I</t>
        </is>
      </c>
      <c r="H431" s="843" t="inlineStr">
        <is>
          <t>B2B &amp; Energy Solutions</t>
        </is>
      </c>
      <c r="I431" s="843" t="inlineStr">
        <is>
          <t>Technology B2B</t>
        </is>
      </c>
      <c r="J431" s="843" t="inlineStr">
        <is>
          <t>B2B &amp; Energy Solutions</t>
        </is>
      </c>
      <c r="K431" s="843" t="inlineStr">
        <is>
          <t>B2B</t>
        </is>
      </c>
      <c r="L431" s="843" t="inlineStr">
        <is>
          <t>B2B</t>
        </is>
      </c>
      <c r="M431" s="843" t="n"/>
      <c r="N431" s="845" t="inlineStr">
        <is>
          <t>NZ</t>
        </is>
      </c>
      <c r="O431" s="846" t="inlineStr">
        <is>
          <t>CIA</t>
        </is>
      </c>
      <c r="P431" s="847" t="n">
        <v>1</v>
      </c>
      <c r="Q431" s="846" t="n"/>
      <c r="R431" s="847" t="inlineStr">
        <is>
          <t>Permanent - Full Time</t>
        </is>
      </c>
      <c r="S431" s="847" t="n"/>
      <c r="T431" s="847" t="n"/>
      <c r="U431" s="848" t="n">
        <v>142200</v>
      </c>
      <c r="V431" s="849" t="n">
        <v>130824</v>
      </c>
      <c r="W431" s="850" t="n">
        <v>0.15</v>
      </c>
      <c r="X431" s="847" t="n"/>
      <c r="Y431" s="850" t="n">
        <v>0.05</v>
      </c>
      <c r="Z431" s="851" t="n">
        <v>2910</v>
      </c>
      <c r="AA431" s="850" t="n">
        <v>0.03</v>
      </c>
      <c r="AB431" s="852" t="n">
        <v>163823.52</v>
      </c>
      <c r="AD431" s="866" t="n"/>
      <c r="AE431" s="866">
        <f>IF(TRIM($B431)="","",IF(AND(N($P431)&gt;0,N($P431)&lt;1),N($AB431)*N($P431),N($AB431)))</f>
        <v>163823.52</v>
      </c>
      <c r="AF431" s="866" t="str">
        <f>IF(TRIM($B431)="","",IF(OR(ISNUMBER(SEARCH("vacant",$B431)),ISNUMBER(SEARCH("ring fenced",$B431)),LOWER(TRIM($B431))="remove"),"Vacant","Filled"))</f>
        <v>Filled</v>
      </c>
      <c r="AG431" s="866" t="b">
        <f>IF(TRIM($B431)="","",--ISNUMBER(SEARCH("ring fenced",$B431)))</f>
        <v>0</v>
      </c>
      <c r="AH431" s="866" t="str">
        <f>IF(TRIM($B431)="","",IF(COUNTIFS(Lists!$AN$2:$AN$22,TRIM($B431)&amp;" | "&amp;TRIM($D431),Lists!$AO$2:$AO$22,"&lt;&gt;"),INDEX(Lists!$AO$2:$AO$22,MATCH(TRIM($B431)&amp;" | "&amp;TRIM($D431),Lists!$AN$2:$AN$22,0)),IF(COUNTIF(Lists!$AR$2:$AR$3,$AJ431),"TDD Cyber",IF(AND(LEFT($AJ431,4)="EGI ",ISNUMBER(MATCH(TRIM(MID($AJ431,5,99)),Lists!$AS$2:$AS$12,0))),TRIM(MID($AJ431,5,99)),IF(AND(LEFT($AJ431,4)="EGI ",ISNUMBER(MATCH(TRIM(MID($AJ431,5,99)),Lists!$T$2:$T$21,0))),INDEX(Lists!$U$2:$U$21,MATCH(TRIM(MID($AJ431,5,99)),Lists!$T$2:$T$21,0)),IF(OR(TRIM($J431)="",UPPER(TRIM($J431))="NA"),IFERROR(INDEX(Lists!$R$2:$R$9,MATCH(TRIM($G431),Lists!$Q$2:$Q$9,0)),"UNMAPPED"),IFERROR(INDEX(Lists!$U$2:$U$21,MATCH(TRIM($J431),Lists!$T$2:$T$21,0)),IFERROR(INDEX(Lists!$R$2:$R$9,MATCH(TRIM($G431),Lists!$Q$2:$Q$9,0)),"UNMAPPED"))))))))</f>
        <v>Energy Solutions &amp; B2B</v>
      </c>
      <c r="AI431" s="534" t="b">
        <f>IF(TRIM($B431)="","",--OR(TRIM($L431)="Leadership",TRIM($K431)="Leadership"))</f>
        <v>0</v>
      </c>
      <c r="AJ431" s="534" t="str">
        <f>IF(TRIM($B431)="","",IF(COUNTIFS(Lists!$AN$2:$AN$22,TRIM($B431)&amp;" | "&amp;TRIM($D431),Lists!$AP$2:$AP$22,"&lt;&gt;"),INDEX(Lists!$AP$2:$AP$22,MATCH(TRIM($B431)&amp;" | "&amp;TRIM($D431),Lists!$AN$2:$AN$22,0)),IF($AI431=1,"Leadership",IFERROR(INDEX(Lists!$X$2:$X$21,MATCH(TRIM($L431),Lists!$W$2:$W$21,0)),IF(OR(TRIM($L431)="",LOWER(TRIM($L431))="na"),IF(TRIM($H431)="","Unassigned",TRIM($H431)),TRIM($L431))))))</f>
        <v>B2B</v>
      </c>
      <c r="AK431" s="534" t="str">
        <f>IF(TRIM($B431)="","",IF(COUNTIFS(Lists!$AN$2:$AN$22,TRIM($B431)&amp;" | "&amp;TRIM($D431),Lists!$AQ$2:$AQ$22,"&lt;&gt;"),INDEX(Lists!$AQ$2:$AQ$22,MATCH(TRIM($B431)&amp;" | "&amp;TRIM($D431),Lists!$AN$2:$AN$22,0)),IF(COUNTIF(Lists!$AF$2:$AF$8,$AJ431),$AJ431,IF(ISNUMBER(SEARCH("head of ",$D431)),"Head of Technology",IF(ISNUMBER(SEARCH("TDD BP",$D431)),"Business Partner",IF(OR(ISNUMBER(SEARCH("domain architect",$D431)),ISNUMBER(SEARCH("enterprise architect",$D431))),"Domain Architect",IF(ISNUMBER(SEARCH("delivery man",$D431)),"Delivery Manager",IF(OR(ISNUMBER(SEARCH("technology manager",$D431)),ISNUMBER(SEARCH("technology manger",$D431)),ISNUMBER(SEARCH("tech manager",$D431))),"Technology Manager","Squad"))))))))</f>
        <v>Squad</v>
      </c>
      <c r="AL431" s="534" t="str">
        <f>IF(TRIM($B431)="","",IF(AND($AM431=1,LEFT($AJ431,4)&lt;&gt;"EGI ",$AJ431&lt;&gt;"EGI"),IFERROR(INDEX(Lists!$Z$2:$Z$20,MATCH($AH431,Lists!$Y$2:$Y$20,0)),"EGI "&amp;$AH431),IF(COUNTIF(Lists!$AU$2:$AU$10,$AJ431),$AJ431,IF(OR(LEFT($AH431,3)="COE",$AH431="EGI"),$AJ431,IF($AK431&lt;&gt;"Squad",$AK431,$AJ431)))))</f>
        <v>B2B</v>
      </c>
      <c r="AM431" s="534" t="b">
        <f>IF(TRIM($B431)="","",--(UPPER(TRIM($K431))="EGI"))</f>
        <v>0</v>
      </c>
      <c r="AQ431" s="841" t="inlineStr">
        <is>
          <t>R0430</t>
        </is>
      </c>
      <c r="AZ431" s="841" t="n"/>
    </row>
    <row r="432" ht="18" customHeight="1" s="535">
      <c r="A432" s="842" t="n">
        <v>113501</v>
      </c>
      <c r="B432" s="843" t="inlineStr">
        <is>
          <t>Adrian Alcance</t>
        </is>
      </c>
      <c r="C432" s="842" t="n">
        <v>113501</v>
      </c>
      <c r="D432" s="843" t="inlineStr">
        <is>
          <t>Senior Engineer - DevOps</t>
        </is>
      </c>
      <c r="E432" s="843" t="inlineStr">
        <is>
          <t>Emma Natoli</t>
        </is>
      </c>
      <c r="F432" s="843" t="inlineStr">
        <is>
          <t>Technology Manager, Engineering</t>
        </is>
      </c>
      <c r="G432" s="844" t="inlineStr">
        <is>
          <t>Ampol Retail &amp; Z</t>
        </is>
      </c>
      <c r="H432" s="843" t="inlineStr">
        <is>
          <t>Z &amp; Group Retail</t>
        </is>
      </c>
      <c r="I432" s="843" t="inlineStr">
        <is>
          <t>Z &amp; Group Retail, Engineering</t>
        </is>
      </c>
      <c r="J432" s="843" t="inlineStr">
        <is>
          <t>Z</t>
        </is>
      </c>
      <c r="K432" s="843" t="inlineStr">
        <is>
          <t>Z Customer</t>
        </is>
      </c>
      <c r="L432" s="843" t="inlineStr">
        <is>
          <t xml:space="preserve">Z Retail Backend </t>
        </is>
      </c>
      <c r="M432" s="843" t="n"/>
      <c r="N432" s="845" t="inlineStr">
        <is>
          <t>NZ</t>
        </is>
      </c>
      <c r="O432" s="846" t="inlineStr">
        <is>
          <t>CIA</t>
        </is>
      </c>
      <c r="P432" s="847" t="n">
        <v>1</v>
      </c>
      <c r="Q432" s="846" t="n"/>
      <c r="R432" s="847" t="inlineStr">
        <is>
          <t>Permanent - Full Time</t>
        </is>
      </c>
      <c r="S432" s="847" t="n"/>
      <c r="T432" s="847" t="n"/>
      <c r="U432" s="848" t="n">
        <v>123710</v>
      </c>
      <c r="V432" s="849" t="n">
        <v>113813.2</v>
      </c>
      <c r="W432" s="850" t="n">
        <v>0.15</v>
      </c>
      <c r="X432" s="847" t="n"/>
      <c r="Y432" s="850" t="n">
        <v>0.05</v>
      </c>
      <c r="Z432" s="851" t="n">
        <v>2910</v>
      </c>
      <c r="AA432" s="850" t="n">
        <v>0.03</v>
      </c>
      <c r="AB432" s="852" t="n">
        <v>142900.236</v>
      </c>
      <c r="AD432" s="866" t="n"/>
      <c r="AE432" s="866">
        <f>IF(TRIM($B432)="","",IF(AND(N($P432)&gt;0,N($P432)&lt;1),N($AB432)*N($P432),N($AB432)))</f>
        <v>142900.236</v>
      </c>
      <c r="AF432" s="866" t="str">
        <f>IF(TRIM($B432)="","",IF(OR(ISNUMBER(SEARCH("vacant",$B432)),ISNUMBER(SEARCH("ring fenced",$B432)),LOWER(TRIM($B432))="remove"),"Vacant","Filled"))</f>
        <v>Filled</v>
      </c>
      <c r="AG432" s="866" t="b">
        <f>IF(TRIM($B432)="","",--ISNUMBER(SEARCH("ring fenced",$B432)))</f>
        <v>0</v>
      </c>
      <c r="AH432" s="866" t="str">
        <f>IF(TRIM($B432)="","",IF(COUNTIFS(Lists!$AN$2:$AN$22,TRIM($B432)&amp;" | "&amp;TRIM($D432),Lists!$AO$2:$AO$22,"&lt;&gt;"),INDEX(Lists!$AO$2:$AO$22,MATCH(TRIM($B432)&amp;" | "&amp;TRIM($D432),Lists!$AN$2:$AN$22,0)),IF(COUNTIF(Lists!$AR$2:$AR$3,$AJ432),"TDD Cyber",IF(AND(LEFT($AJ432,4)="EGI ",ISNUMBER(MATCH(TRIM(MID($AJ432,5,99)),Lists!$AS$2:$AS$12,0))),TRIM(MID($AJ432,5,99)),IF(AND(LEFT($AJ432,4)="EGI ",ISNUMBER(MATCH(TRIM(MID($AJ432,5,99)),Lists!$T$2:$T$21,0))),INDEX(Lists!$U$2:$U$21,MATCH(TRIM(MID($AJ432,5,99)),Lists!$T$2:$T$21,0)),IF(OR(TRIM($J432)="",UPPER(TRIM($J432))="NA"),IFERROR(INDEX(Lists!$R$2:$R$9,MATCH(TRIM($G432),Lists!$Q$2:$Q$9,0)),"UNMAPPED"),IFERROR(INDEX(Lists!$U$2:$U$21,MATCH(TRIM($J432),Lists!$T$2:$T$21,0)),IFERROR(INDEX(Lists!$R$2:$R$9,MATCH(TRIM($G432),Lists!$Q$2:$Q$9,0)),"UNMAPPED"))))))))</f>
        <v>Z Retail</v>
      </c>
      <c r="AI432" s="534" t="b">
        <f>IF(TRIM($B432)="","",--OR(TRIM($L432)="Leadership",TRIM($K432)="Leadership"))</f>
        <v>0</v>
      </c>
      <c r="AJ432" s="534" t="str">
        <f>IF(TRIM($B432)="","",IF(COUNTIFS(Lists!$AN$2:$AN$22,TRIM($B432)&amp;" | "&amp;TRIM($D432),Lists!$AP$2:$AP$22,"&lt;&gt;"),INDEX(Lists!$AP$2:$AP$22,MATCH(TRIM($B432)&amp;" | "&amp;TRIM($D432),Lists!$AN$2:$AN$22,0)),IF($AI432=1,"Leadership",IFERROR(INDEX(Lists!$X$2:$X$21,MATCH(TRIM($L432),Lists!$W$2:$W$21,0)),IF(OR(TRIM($L432)="",LOWER(TRIM($L432))="na"),IF(TRIM($H432)="","Unassigned",TRIM($H432)),TRIM($L432))))))</f>
        <v>Z Retail Backend</v>
      </c>
      <c r="AK432" s="534" t="str">
        <f>IF(TRIM($B432)="","",IF(COUNTIFS(Lists!$AN$2:$AN$22,TRIM($B432)&amp;" | "&amp;TRIM($D432),Lists!$AQ$2:$AQ$22,"&lt;&gt;"),INDEX(Lists!$AQ$2:$AQ$22,MATCH(TRIM($B432)&amp;" | "&amp;TRIM($D432),Lists!$AN$2:$AN$22,0)),IF(COUNTIF(Lists!$AF$2:$AF$8,$AJ432),$AJ432,IF(ISNUMBER(SEARCH("head of ",$D432)),"Head of Technology",IF(ISNUMBER(SEARCH("TDD BP",$D432)),"Business Partner",IF(OR(ISNUMBER(SEARCH("domain architect",$D432)),ISNUMBER(SEARCH("enterprise architect",$D432))),"Domain Architect",IF(ISNUMBER(SEARCH("delivery man",$D432)),"Delivery Manager",IF(OR(ISNUMBER(SEARCH("technology manager",$D432)),ISNUMBER(SEARCH("technology manger",$D432)),ISNUMBER(SEARCH("tech manager",$D432))),"Technology Manager","Squad"))))))))</f>
        <v>Squad</v>
      </c>
      <c r="AL432" s="534" t="str">
        <f>IF(TRIM($B432)="","",IF(AND($AM432=1,LEFT($AJ432,4)&lt;&gt;"EGI ",$AJ432&lt;&gt;"EGI"),IFERROR(INDEX(Lists!$Z$2:$Z$20,MATCH($AH432,Lists!$Y$2:$Y$20,0)),"EGI "&amp;$AH432),IF(COUNTIF(Lists!$AU$2:$AU$10,$AJ432),$AJ432,IF(OR(LEFT($AH432,3)="COE",$AH432="EGI"),$AJ432,IF($AK432&lt;&gt;"Squad",$AK432,$AJ432)))))</f>
        <v>Z Retail Backend</v>
      </c>
      <c r="AM432" s="534" t="b">
        <f>IF(TRIM($B432)="","",--(UPPER(TRIM($K432))="EGI"))</f>
        <v>0</v>
      </c>
      <c r="AQ432" s="841" t="inlineStr">
        <is>
          <t>R0431</t>
        </is>
      </c>
      <c r="AZ432" s="841" t="n"/>
    </row>
    <row r="433" ht="18" customHeight="1" s="535">
      <c r="A433" s="842" t="n">
        <v>113556</v>
      </c>
      <c r="B433" s="843" t="inlineStr">
        <is>
          <t>Joe Kuttikkatt</t>
        </is>
      </c>
      <c r="C433" s="842" t="n">
        <v>113556</v>
      </c>
      <c r="D433" s="843" t="inlineStr">
        <is>
          <t>Senior Quality Assurance</t>
        </is>
      </c>
      <c r="E433" s="843" t="inlineStr">
        <is>
          <t>Emma Natoli</t>
        </is>
      </c>
      <c r="F433" s="843" t="inlineStr">
        <is>
          <t>Technology Manager, Engineering</t>
        </is>
      </c>
      <c r="G433" s="844" t="inlineStr">
        <is>
          <t>Ampol Retail &amp; Z</t>
        </is>
      </c>
      <c r="H433" s="843" t="inlineStr">
        <is>
          <t>Z &amp; Group Retail</t>
        </is>
      </c>
      <c r="I433" s="843" t="inlineStr">
        <is>
          <t>Z &amp; Group Retail, Engineering</t>
        </is>
      </c>
      <c r="J433" s="843" t="inlineStr">
        <is>
          <t>Z</t>
        </is>
      </c>
      <c r="K433" s="843" t="inlineStr">
        <is>
          <t>Z Supply</t>
        </is>
      </c>
      <c r="L433" s="843" t="inlineStr">
        <is>
          <t>Z Supply</t>
        </is>
      </c>
      <c r="M433" s="843" t="n"/>
      <c r="N433" s="845" t="inlineStr">
        <is>
          <t>NZ</t>
        </is>
      </c>
      <c r="O433" s="846" t="inlineStr">
        <is>
          <t>CIA</t>
        </is>
      </c>
      <c r="P433" s="847" t="n">
        <v>1</v>
      </c>
      <c r="Q433" s="846" t="n"/>
      <c r="R433" s="847" t="inlineStr">
        <is>
          <t>Permanent - Full Time</t>
        </is>
      </c>
      <c r="S433" s="847" t="n"/>
      <c r="T433" s="847" t="n"/>
      <c r="U433" s="848" t="n">
        <v>93640</v>
      </c>
      <c r="V433" s="849" t="n">
        <v>86148.8</v>
      </c>
      <c r="W433" s="850" t="n">
        <v>0.1</v>
      </c>
      <c r="X433" s="847" t="n"/>
      <c r="Y433" s="850" t="n">
        <v>0.05</v>
      </c>
      <c r="Z433" s="851" t="n">
        <v>2910</v>
      </c>
      <c r="AA433" s="850" t="n">
        <v>0.03</v>
      </c>
      <c r="AB433" s="852" t="n">
        <v>104565.584</v>
      </c>
      <c r="AD433" s="866" t="n"/>
      <c r="AE433" s="866">
        <f>IF(TRIM($B433)="","",IF(AND(N($P433)&gt;0,N($P433)&lt;1),N($AB433)*N($P433),N($AB433)))</f>
        <v>104565.584</v>
      </c>
      <c r="AF433" s="866" t="str">
        <f>IF(TRIM($B433)="","",IF(OR(ISNUMBER(SEARCH("vacant",$B433)),ISNUMBER(SEARCH("ring fenced",$B433)),LOWER(TRIM($B433))="remove"),"Vacant","Filled"))</f>
        <v>Filled</v>
      </c>
      <c r="AG433" s="866" t="b">
        <f>IF(TRIM($B433)="","",--ISNUMBER(SEARCH("ring fenced",$B433)))</f>
        <v>0</v>
      </c>
      <c r="AH433" s="866" t="str">
        <f>IF(TRIM($B433)="","",IF(COUNTIFS(Lists!$AN$2:$AN$22,TRIM($B433)&amp;" | "&amp;TRIM($D433),Lists!$AO$2:$AO$22,"&lt;&gt;"),INDEX(Lists!$AO$2:$AO$22,MATCH(TRIM($B433)&amp;" | "&amp;TRIM($D433),Lists!$AN$2:$AN$22,0)),IF(COUNTIF(Lists!$AR$2:$AR$3,$AJ433),"TDD Cyber",IF(AND(LEFT($AJ433,4)="EGI ",ISNUMBER(MATCH(TRIM(MID($AJ433,5,99)),Lists!$AS$2:$AS$12,0))),TRIM(MID($AJ433,5,99)),IF(AND(LEFT($AJ433,4)="EGI ",ISNUMBER(MATCH(TRIM(MID($AJ433,5,99)),Lists!$T$2:$T$21,0))),INDEX(Lists!$U$2:$U$21,MATCH(TRIM(MID($AJ433,5,99)),Lists!$T$2:$T$21,0)),IF(OR(TRIM($J433)="",UPPER(TRIM($J433))="NA"),IFERROR(INDEX(Lists!$R$2:$R$9,MATCH(TRIM($G433),Lists!$Q$2:$Q$9,0)),"UNMAPPED"),IFERROR(INDEX(Lists!$U$2:$U$21,MATCH(TRIM($J433),Lists!$T$2:$T$21,0)),IFERROR(INDEX(Lists!$R$2:$R$9,MATCH(TRIM($G433),Lists!$Q$2:$Q$9,0)),"UNMAPPED"))))))))</f>
        <v>Z Retail</v>
      </c>
      <c r="AI433" s="534" t="b">
        <f>IF(TRIM($B433)="","",--OR(TRIM($L433)="Leadership",TRIM($K433)="Leadership"))</f>
        <v>0</v>
      </c>
      <c r="AJ433" s="534" t="str">
        <f>IF(TRIM($B433)="","",IF(COUNTIFS(Lists!$AN$2:$AN$22,TRIM($B433)&amp;" | "&amp;TRIM($D433),Lists!$AP$2:$AP$22,"&lt;&gt;"),INDEX(Lists!$AP$2:$AP$22,MATCH(TRIM($B433)&amp;" | "&amp;TRIM($D433),Lists!$AN$2:$AN$22,0)),IF($AI433=1,"Leadership",IFERROR(INDEX(Lists!$X$2:$X$21,MATCH(TRIM($L433),Lists!$W$2:$W$21,0)),IF(OR(TRIM($L433)="",LOWER(TRIM($L433))="na"),IF(TRIM($H433)="","Unassigned",TRIM($H433)),TRIM($L433))))))</f>
        <v>Z Supply</v>
      </c>
      <c r="AK433" s="534" t="str">
        <f>IF(TRIM($B433)="","",IF(COUNTIFS(Lists!$AN$2:$AN$22,TRIM($B433)&amp;" | "&amp;TRIM($D433),Lists!$AQ$2:$AQ$22,"&lt;&gt;"),INDEX(Lists!$AQ$2:$AQ$22,MATCH(TRIM($B433)&amp;" | "&amp;TRIM($D433),Lists!$AN$2:$AN$22,0)),IF(COUNTIF(Lists!$AF$2:$AF$8,$AJ433),$AJ433,IF(ISNUMBER(SEARCH("head of ",$D433)),"Head of Technology",IF(ISNUMBER(SEARCH("TDD BP",$D433)),"Business Partner",IF(OR(ISNUMBER(SEARCH("domain architect",$D433)),ISNUMBER(SEARCH("enterprise architect",$D433))),"Domain Architect",IF(ISNUMBER(SEARCH("delivery man",$D433)),"Delivery Manager",IF(OR(ISNUMBER(SEARCH("technology manager",$D433)),ISNUMBER(SEARCH("technology manger",$D433)),ISNUMBER(SEARCH("tech manager",$D433))),"Technology Manager","Squad"))))))))</f>
        <v>Squad</v>
      </c>
      <c r="AL433" s="534" t="str">
        <f>IF(TRIM($B433)="","",IF(AND($AM433=1,LEFT($AJ433,4)&lt;&gt;"EGI ",$AJ433&lt;&gt;"EGI"),IFERROR(INDEX(Lists!$Z$2:$Z$20,MATCH($AH433,Lists!$Y$2:$Y$20,0)),"EGI "&amp;$AH433),IF(COUNTIF(Lists!$AU$2:$AU$10,$AJ433),$AJ433,IF(OR(LEFT($AH433,3)="COE",$AH433="EGI"),$AJ433,IF($AK433&lt;&gt;"Squad",$AK433,$AJ433)))))</f>
        <v>Z Supply</v>
      </c>
      <c r="AM433" s="534" t="b">
        <f>IF(TRIM($B433)="","",--(UPPER(TRIM($K433))="EGI"))</f>
        <v>0</v>
      </c>
      <c r="AQ433" s="841" t="inlineStr">
        <is>
          <t>R0432</t>
        </is>
      </c>
      <c r="AZ433" s="841" t="n"/>
    </row>
    <row r="434" ht="18" customHeight="1" s="535">
      <c r="A434" s="842" t="n">
        <v>113584</v>
      </c>
      <c r="B434" s="843" t="inlineStr">
        <is>
          <t>Malachi Ah Hoi</t>
        </is>
      </c>
      <c r="C434" s="842" t="n">
        <v>113584</v>
      </c>
      <c r="D434" s="843" t="inlineStr">
        <is>
          <t>Senior Quality Assurance</t>
        </is>
      </c>
      <c r="E434" s="843" t="inlineStr">
        <is>
          <t>Emma Natoli</t>
        </is>
      </c>
      <c r="F434" s="843" t="inlineStr">
        <is>
          <t>Technology Manager, Engineering</t>
        </is>
      </c>
      <c r="G434" s="844" t="inlineStr">
        <is>
          <t>Ampol Retail &amp; Z</t>
        </is>
      </c>
      <c r="H434" s="843" t="inlineStr">
        <is>
          <t>Z &amp; Group Retail</t>
        </is>
      </c>
      <c r="I434" s="843" t="inlineStr">
        <is>
          <t>Z &amp; Group Retail, Engineering</t>
        </is>
      </c>
      <c r="J434" s="843" t="inlineStr">
        <is>
          <t>Z</t>
        </is>
      </c>
      <c r="K434" s="843" t="inlineStr">
        <is>
          <t>Z Customer</t>
        </is>
      </c>
      <c r="L434" s="843" t="inlineStr">
        <is>
          <t xml:space="preserve">Z Retail Backend </t>
        </is>
      </c>
      <c r="M434" s="843" t="n"/>
      <c r="N434" s="845" t="inlineStr">
        <is>
          <t>NZ</t>
        </is>
      </c>
      <c r="O434" s="846" t="inlineStr">
        <is>
          <t>CIA</t>
        </is>
      </c>
      <c r="P434" s="847" t="n">
        <v>1</v>
      </c>
      <c r="Q434" s="846" t="n"/>
      <c r="R434" s="847" t="inlineStr">
        <is>
          <t>Permanent - Full Time</t>
        </is>
      </c>
      <c r="S434" s="847" t="n"/>
      <c r="T434" s="847" t="n"/>
      <c r="U434" s="848" t="n">
        <v>173620</v>
      </c>
      <c r="V434" s="849" t="n">
        <v>159730.4</v>
      </c>
      <c r="W434" s="850" t="n">
        <v>0.15</v>
      </c>
      <c r="X434" s="847" t="n"/>
      <c r="Y434" s="850" t="n">
        <v>0.05</v>
      </c>
      <c r="Z434" s="851" t="n">
        <v>2910</v>
      </c>
      <c r="AA434" s="850" t="n">
        <v>0.03</v>
      </c>
      <c r="AB434" s="852" t="n">
        <v>199378.392</v>
      </c>
      <c r="AD434" s="866" t="n"/>
      <c r="AE434" s="866">
        <f>IF(TRIM($B434)="","",IF(AND(N($P434)&gt;0,N($P434)&lt;1),N($AB434)*N($P434),N($AB434)))</f>
        <v>199378.392</v>
      </c>
      <c r="AF434" s="866" t="str">
        <f>IF(TRIM($B434)="","",IF(OR(ISNUMBER(SEARCH("vacant",$B434)),ISNUMBER(SEARCH("ring fenced",$B434)),LOWER(TRIM($B434))="remove"),"Vacant","Filled"))</f>
        <v>Filled</v>
      </c>
      <c r="AG434" s="866" t="b">
        <f>IF(TRIM($B434)="","",--ISNUMBER(SEARCH("ring fenced",$B434)))</f>
        <v>0</v>
      </c>
      <c r="AH434" s="866" t="str">
        <f>IF(TRIM($B434)="","",IF(COUNTIFS(Lists!$AN$2:$AN$22,TRIM($B434)&amp;" | "&amp;TRIM($D434),Lists!$AO$2:$AO$22,"&lt;&gt;"),INDEX(Lists!$AO$2:$AO$22,MATCH(TRIM($B434)&amp;" | "&amp;TRIM($D434),Lists!$AN$2:$AN$22,0)),IF(COUNTIF(Lists!$AR$2:$AR$3,$AJ434),"TDD Cyber",IF(AND(LEFT($AJ434,4)="EGI ",ISNUMBER(MATCH(TRIM(MID($AJ434,5,99)),Lists!$AS$2:$AS$12,0))),TRIM(MID($AJ434,5,99)),IF(AND(LEFT($AJ434,4)="EGI ",ISNUMBER(MATCH(TRIM(MID($AJ434,5,99)),Lists!$T$2:$T$21,0))),INDEX(Lists!$U$2:$U$21,MATCH(TRIM(MID($AJ434,5,99)),Lists!$T$2:$T$21,0)),IF(OR(TRIM($J434)="",UPPER(TRIM($J434))="NA"),IFERROR(INDEX(Lists!$R$2:$R$9,MATCH(TRIM($G434),Lists!$Q$2:$Q$9,0)),"UNMAPPED"),IFERROR(INDEX(Lists!$U$2:$U$21,MATCH(TRIM($J434),Lists!$T$2:$T$21,0)),IFERROR(INDEX(Lists!$R$2:$R$9,MATCH(TRIM($G434),Lists!$Q$2:$Q$9,0)),"UNMAPPED"))))))))</f>
        <v>Z Retail</v>
      </c>
      <c r="AI434" s="534" t="b">
        <f>IF(TRIM($B434)="","",--OR(TRIM($L434)="Leadership",TRIM($K434)="Leadership"))</f>
        <v>0</v>
      </c>
      <c r="AJ434" s="534" t="str">
        <f>IF(TRIM($B434)="","",IF(COUNTIFS(Lists!$AN$2:$AN$22,TRIM($B434)&amp;" | "&amp;TRIM($D434),Lists!$AP$2:$AP$22,"&lt;&gt;"),INDEX(Lists!$AP$2:$AP$22,MATCH(TRIM($B434)&amp;" | "&amp;TRIM($D434),Lists!$AN$2:$AN$22,0)),IF($AI434=1,"Leadership",IFERROR(INDEX(Lists!$X$2:$X$21,MATCH(TRIM($L434),Lists!$W$2:$W$21,0)),IF(OR(TRIM($L434)="",LOWER(TRIM($L434))="na"),IF(TRIM($H434)="","Unassigned",TRIM($H434)),TRIM($L434))))))</f>
        <v>Z Retail Backend</v>
      </c>
      <c r="AK434" s="534" t="str">
        <f>IF(TRIM($B434)="","",IF(COUNTIFS(Lists!$AN$2:$AN$22,TRIM($B434)&amp;" | "&amp;TRIM($D434),Lists!$AQ$2:$AQ$22,"&lt;&gt;"),INDEX(Lists!$AQ$2:$AQ$22,MATCH(TRIM($B434)&amp;" | "&amp;TRIM($D434),Lists!$AN$2:$AN$22,0)),IF(COUNTIF(Lists!$AF$2:$AF$8,$AJ434),$AJ434,IF(ISNUMBER(SEARCH("head of ",$D434)),"Head of Technology",IF(ISNUMBER(SEARCH("TDD BP",$D434)),"Business Partner",IF(OR(ISNUMBER(SEARCH("domain architect",$D434)),ISNUMBER(SEARCH("enterprise architect",$D434))),"Domain Architect",IF(ISNUMBER(SEARCH("delivery man",$D434)),"Delivery Manager",IF(OR(ISNUMBER(SEARCH("technology manager",$D434)),ISNUMBER(SEARCH("technology manger",$D434)),ISNUMBER(SEARCH("tech manager",$D434))),"Technology Manager","Squad"))))))))</f>
        <v>Squad</v>
      </c>
      <c r="AL434" s="534" t="str">
        <f>IF(TRIM($B434)="","",IF(AND($AM434=1,LEFT($AJ434,4)&lt;&gt;"EGI ",$AJ434&lt;&gt;"EGI"),IFERROR(INDEX(Lists!$Z$2:$Z$20,MATCH($AH434,Lists!$Y$2:$Y$20,0)),"EGI "&amp;$AH434),IF(COUNTIF(Lists!$AU$2:$AU$10,$AJ434),$AJ434,IF(OR(LEFT($AH434,3)="COE",$AH434="EGI"),$AJ434,IF($AK434&lt;&gt;"Squad",$AK434,$AJ434)))))</f>
        <v>Z Retail Backend</v>
      </c>
      <c r="AM434" s="534" t="b">
        <f>IF(TRIM($B434)="","",--(UPPER(TRIM($K434))="EGI"))</f>
        <v>0</v>
      </c>
      <c r="AQ434" s="841" t="inlineStr">
        <is>
          <t>R0433</t>
        </is>
      </c>
      <c r="AZ434" s="841" t="n"/>
    </row>
    <row r="435" ht="18" customHeight="1" s="535">
      <c r="A435" s="842" t="inlineStr">
        <is>
          <t>V</t>
        </is>
      </c>
      <c r="B435" s="843" t="inlineStr">
        <is>
          <t>Vacant</t>
        </is>
      </c>
      <c r="C435" s="842" t="inlineStr">
        <is>
          <t>V</t>
        </is>
      </c>
      <c r="D435" s="843" t="inlineStr">
        <is>
          <t>Quality Assurance</t>
        </is>
      </c>
      <c r="E435" s="843" t="inlineStr">
        <is>
          <t>Emma Natoli</t>
        </is>
      </c>
      <c r="F435" s="843" t="inlineStr">
        <is>
          <t>Technology Manager, Engineering</t>
        </is>
      </c>
      <c r="G435" s="844" t="inlineStr">
        <is>
          <t>Ampol Retail &amp; Z</t>
        </is>
      </c>
      <c r="H435" s="843" t="inlineStr">
        <is>
          <t>Z &amp; Group Retail</t>
        </is>
      </c>
      <c r="I435" s="843" t="inlineStr">
        <is>
          <t>Z &amp; Group Retail, Engineering</t>
        </is>
      </c>
      <c r="J435" s="843" t="inlineStr">
        <is>
          <t>Z</t>
        </is>
      </c>
      <c r="K435" s="843" t="inlineStr">
        <is>
          <t>Z Supply</t>
        </is>
      </c>
      <c r="L435" s="843" t="inlineStr">
        <is>
          <t>Z Supply</t>
        </is>
      </c>
      <c r="M435" s="843" t="n"/>
      <c r="N435" s="845" t="inlineStr">
        <is>
          <t>Australia</t>
        </is>
      </c>
      <c r="O435" s="846" t="inlineStr">
        <is>
          <t>CIA</t>
        </is>
      </c>
      <c r="P435" s="847" t="n">
        <v>1</v>
      </c>
      <c r="Q435" s="846" t="n"/>
      <c r="R435" s="847" t="inlineStr">
        <is>
          <t>v</t>
        </is>
      </c>
      <c r="S435" s="847" t="n"/>
      <c r="T435" s="847" t="n"/>
      <c r="U435" s="848" t="n">
        <v>203550</v>
      </c>
      <c r="V435" s="849" t="n">
        <v>203550</v>
      </c>
      <c r="W435" s="850" t="n">
        <v>0.14</v>
      </c>
      <c r="X435" s="847" t="n">
        <v>0.055</v>
      </c>
      <c r="Y435" s="850" t="n">
        <v>0.12</v>
      </c>
      <c r="Z435" s="851" t="n"/>
      <c r="AA435" s="850" t="n">
        <v>0.04</v>
      </c>
      <c r="AB435" s="852" t="n">
        <v>275810.25</v>
      </c>
      <c r="AD435" s="866" t="n"/>
      <c r="AE435" s="866">
        <f>IF(TRIM($B435)="","",IF(AND(N($P435)&gt;0,N($P435)&lt;1),N($AB435)*N($P435),N($AB435)))</f>
        <v>275810.25</v>
      </c>
      <c r="AF435" s="866" t="str">
        <f>IF(TRIM($B435)="","",IF(OR(ISNUMBER(SEARCH("vacant",$B435)),ISNUMBER(SEARCH("ring fenced",$B435)),LOWER(TRIM($B435))="remove"),"Vacant","Filled"))</f>
        <v>Vacant</v>
      </c>
      <c r="AG435" s="866" t="b">
        <f>IF(TRIM($B435)="","",--ISNUMBER(SEARCH("ring fenced",$B435)))</f>
        <v>0</v>
      </c>
      <c r="AH435" s="866" t="str">
        <f>IF(TRIM($B435)="","",IF(COUNTIFS(Lists!$AN$2:$AN$22,TRIM($B435)&amp;" | "&amp;TRIM($D435),Lists!$AO$2:$AO$22,"&lt;&gt;"),INDEX(Lists!$AO$2:$AO$22,MATCH(TRIM($B435)&amp;" | "&amp;TRIM($D435),Lists!$AN$2:$AN$22,0)),IF(COUNTIF(Lists!$AR$2:$AR$3,$AJ435),"TDD Cyber",IF(AND(LEFT($AJ435,4)="EGI ",ISNUMBER(MATCH(TRIM(MID($AJ435,5,99)),Lists!$AS$2:$AS$12,0))),TRIM(MID($AJ435,5,99)),IF(AND(LEFT($AJ435,4)="EGI ",ISNUMBER(MATCH(TRIM(MID($AJ435,5,99)),Lists!$T$2:$T$21,0))),INDEX(Lists!$U$2:$U$21,MATCH(TRIM(MID($AJ435,5,99)),Lists!$T$2:$T$21,0)),IF(OR(TRIM($J435)="",UPPER(TRIM($J435))="NA"),IFERROR(INDEX(Lists!$R$2:$R$9,MATCH(TRIM($G435),Lists!$Q$2:$Q$9,0)),"UNMAPPED"),IFERROR(INDEX(Lists!$U$2:$U$21,MATCH(TRIM($J435),Lists!$T$2:$T$21,0)),IFERROR(INDEX(Lists!$R$2:$R$9,MATCH(TRIM($G435),Lists!$Q$2:$Q$9,0)),"UNMAPPED"))))))))</f>
        <v>Z Retail</v>
      </c>
      <c r="AI435" s="534" t="b">
        <f>IF(TRIM($B435)="","",--OR(TRIM($L435)="Leadership",TRIM($K435)="Leadership"))</f>
        <v>0</v>
      </c>
      <c r="AJ435" s="534" t="str">
        <f>IF(TRIM($B435)="","",IF(COUNTIFS(Lists!$AN$2:$AN$22,TRIM($B435)&amp;" | "&amp;TRIM($D435),Lists!$AP$2:$AP$22,"&lt;&gt;"),INDEX(Lists!$AP$2:$AP$22,MATCH(TRIM($B435)&amp;" | "&amp;TRIM($D435),Lists!$AN$2:$AN$22,0)),IF($AI435=1,"Leadership",IFERROR(INDEX(Lists!$X$2:$X$21,MATCH(TRIM($L435),Lists!$W$2:$W$21,0)),IF(OR(TRIM($L435)="",LOWER(TRIM($L435))="na"),IF(TRIM($H435)="","Unassigned",TRIM($H435)),TRIM($L435))))))</f>
        <v>Z Supply</v>
      </c>
      <c r="AK435" s="534" t="str">
        <f>IF(TRIM($B435)="","",IF(COUNTIFS(Lists!$AN$2:$AN$22,TRIM($B435)&amp;" | "&amp;TRIM($D435),Lists!$AQ$2:$AQ$22,"&lt;&gt;"),INDEX(Lists!$AQ$2:$AQ$22,MATCH(TRIM($B435)&amp;" | "&amp;TRIM($D435),Lists!$AN$2:$AN$22,0)),IF(COUNTIF(Lists!$AF$2:$AF$8,$AJ435),$AJ435,IF(ISNUMBER(SEARCH("head of ",$D435)),"Head of Technology",IF(ISNUMBER(SEARCH("TDD BP",$D435)),"Business Partner",IF(OR(ISNUMBER(SEARCH("domain architect",$D435)),ISNUMBER(SEARCH("enterprise architect",$D435))),"Domain Architect",IF(ISNUMBER(SEARCH("delivery man",$D435)),"Delivery Manager",IF(OR(ISNUMBER(SEARCH("technology manager",$D435)),ISNUMBER(SEARCH("technology manger",$D435)),ISNUMBER(SEARCH("tech manager",$D435))),"Technology Manager","Squad"))))))))</f>
        <v>Squad</v>
      </c>
      <c r="AL435" s="534" t="str">
        <f>IF(TRIM($B435)="","",IF(AND($AM435=1,LEFT($AJ435,4)&lt;&gt;"EGI ",$AJ435&lt;&gt;"EGI"),IFERROR(INDEX(Lists!$Z$2:$Z$20,MATCH($AH435,Lists!$Y$2:$Y$20,0)),"EGI "&amp;$AH435),IF(COUNTIF(Lists!$AU$2:$AU$10,$AJ435),$AJ435,IF(OR(LEFT($AH435,3)="COE",$AH435="EGI"),$AJ435,IF($AK435&lt;&gt;"Squad",$AK435,$AJ435)))))</f>
        <v>Z Supply</v>
      </c>
      <c r="AM435" s="534" t="b">
        <f>IF(TRIM($B435)="","",--(UPPER(TRIM($K435))="EGI"))</f>
        <v>0</v>
      </c>
      <c r="AQ435" s="841" t="inlineStr">
        <is>
          <t>R0434</t>
        </is>
      </c>
      <c r="AZ435" s="841" t="n"/>
    </row>
    <row r="436" ht="18" customHeight="1" s="535">
      <c r="A436" s="842" t="n">
        <v>8445</v>
      </c>
      <c r="B436" s="843" t="inlineStr">
        <is>
          <t>Geoff Goddard</t>
        </is>
      </c>
      <c r="C436" s="842" t="n">
        <v>8445</v>
      </c>
      <c r="D436" s="843" t="inlineStr">
        <is>
          <t>Field Systems Operations Lead - VIC</t>
        </is>
      </c>
      <c r="E436" s="843" t="inlineStr">
        <is>
          <t>Ephraim Adan</t>
        </is>
      </c>
      <c r="F436" s="843" t="inlineStr">
        <is>
          <t>Manager, AU Retail Operations</t>
        </is>
      </c>
      <c r="G436" s="844" t="inlineStr">
        <is>
          <t>Ampol Retail &amp; Z</t>
        </is>
      </c>
      <c r="H436" s="843" t="inlineStr">
        <is>
          <t>Ampol Retail</t>
        </is>
      </c>
      <c r="I436" s="843" t="inlineStr">
        <is>
          <t>Ampol Retail, Technology</t>
        </is>
      </c>
      <c r="J436" s="843" t="inlineStr">
        <is>
          <t>Retail</t>
        </is>
      </c>
      <c r="K436" s="843" t="inlineStr">
        <is>
          <t>Store Operations</t>
        </is>
      </c>
      <c r="L436" s="843" t="inlineStr">
        <is>
          <t>Store Operations</t>
        </is>
      </c>
      <c r="M436" s="843" t="n"/>
      <c r="N436" s="845" t="inlineStr">
        <is>
          <t>Australia</t>
        </is>
      </c>
      <c r="O436" s="846" t="inlineStr">
        <is>
          <t>CIA</t>
        </is>
      </c>
      <c r="P436" s="847" t="n">
        <v>1</v>
      </c>
      <c r="Q436" s="846" t="n"/>
      <c r="R436" s="847" t="inlineStr">
        <is>
          <t>Permanent - Full Time</t>
        </is>
      </c>
      <c r="S436" s="847" t="n"/>
      <c r="T436" s="847" t="n"/>
      <c r="U436" s="848" t="n">
        <v>127270</v>
      </c>
      <c r="V436" s="849" t="n">
        <v>127270</v>
      </c>
      <c r="W436" s="850" t="n">
        <v>0.1</v>
      </c>
      <c r="X436" s="847" t="n">
        <v>0.055</v>
      </c>
      <c r="Y436" s="850" t="n">
        <v>0.12</v>
      </c>
      <c r="Z436" s="851" t="n"/>
      <c r="AA436" s="850" t="n">
        <v>0.04</v>
      </c>
      <c r="AB436" s="852" t="n">
        <v>167360.05</v>
      </c>
      <c r="AD436" s="866" t="n"/>
      <c r="AE436" s="866">
        <f>IF(TRIM($B436)="","",IF(AND(N($P436)&gt;0,N($P436)&lt;1),N($AB436)*N($P436),N($AB436)))</f>
        <v>167360.05</v>
      </c>
      <c r="AF436" s="866" t="str">
        <f>IF(TRIM($B436)="","",IF(OR(ISNUMBER(SEARCH("vacant",$B436)),ISNUMBER(SEARCH("ring fenced",$B436)),LOWER(TRIM($B436))="remove"),"Vacant","Filled"))</f>
        <v>Filled</v>
      </c>
      <c r="AG436" s="866" t="b">
        <f>IF(TRIM($B436)="","",--ISNUMBER(SEARCH("ring fenced",$B436)))</f>
        <v>0</v>
      </c>
      <c r="AH436" s="866" t="str">
        <f>IF(TRIM($B436)="","",IF(COUNTIFS(Lists!$AN$2:$AN$22,TRIM($B436)&amp;" | "&amp;TRIM($D436),Lists!$AO$2:$AO$22,"&lt;&gt;"),INDEX(Lists!$AO$2:$AO$22,MATCH(TRIM($B436)&amp;" | "&amp;TRIM($D436),Lists!$AN$2:$AN$22,0)),IF(COUNTIF(Lists!$AR$2:$AR$3,$AJ436),"TDD Cyber",IF(AND(LEFT($AJ436,4)="EGI ",ISNUMBER(MATCH(TRIM(MID($AJ436,5,99)),Lists!$AS$2:$AS$12,0))),TRIM(MID($AJ436,5,99)),IF(AND(LEFT($AJ436,4)="EGI ",ISNUMBER(MATCH(TRIM(MID($AJ436,5,99)),Lists!$T$2:$T$21,0))),INDEX(Lists!$U$2:$U$21,MATCH(TRIM(MID($AJ436,5,99)),Lists!$T$2:$T$21,0)),IF(OR(TRIM($J436)="",UPPER(TRIM($J436))="NA"),IFERROR(INDEX(Lists!$R$2:$R$9,MATCH(TRIM($G436),Lists!$Q$2:$Q$9,0)),"UNMAPPED"),IFERROR(INDEX(Lists!$U$2:$U$21,MATCH(TRIM($J436),Lists!$T$2:$T$21,0)),IFERROR(INDEX(Lists!$R$2:$R$9,MATCH(TRIM($G436),Lists!$Q$2:$Q$9,0)),"UNMAPPED"))))))))</f>
        <v>Ampol Retail</v>
      </c>
      <c r="AI436" s="534" t="b">
        <f>IF(TRIM($B436)="","",--OR(TRIM($L436)="Leadership",TRIM($K436)="Leadership"))</f>
        <v>0</v>
      </c>
      <c r="AJ436" s="534" t="str">
        <f>IF(TRIM($B436)="","",IF(COUNTIFS(Lists!$AN$2:$AN$22,TRIM($B436)&amp;" | "&amp;TRIM($D436),Lists!$AP$2:$AP$22,"&lt;&gt;"),INDEX(Lists!$AP$2:$AP$22,MATCH(TRIM($B436)&amp;" | "&amp;TRIM($D436),Lists!$AN$2:$AN$22,0)),IF($AI436=1,"Leadership",IFERROR(INDEX(Lists!$X$2:$X$21,MATCH(TRIM($L436),Lists!$W$2:$W$21,0)),IF(OR(TRIM($L436)="",LOWER(TRIM($L436))="na"),IF(TRIM($H436)="","Unassigned",TRIM($H436)),TRIM($L436))))))</f>
        <v>Store Operations</v>
      </c>
      <c r="AK436" s="534" t="str">
        <f>IF(TRIM($B436)="","",IF(COUNTIFS(Lists!$AN$2:$AN$22,TRIM($B436)&amp;" | "&amp;TRIM($D436),Lists!$AQ$2:$AQ$22,"&lt;&gt;"),INDEX(Lists!$AQ$2:$AQ$22,MATCH(TRIM($B436)&amp;" | "&amp;TRIM($D436),Lists!$AN$2:$AN$22,0)),IF(COUNTIF(Lists!$AF$2:$AF$8,$AJ436),$AJ436,IF(ISNUMBER(SEARCH("head of ",$D436)),"Head of Technology",IF(ISNUMBER(SEARCH("TDD BP",$D436)),"Business Partner",IF(OR(ISNUMBER(SEARCH("domain architect",$D436)),ISNUMBER(SEARCH("enterprise architect",$D436))),"Domain Architect",IF(ISNUMBER(SEARCH("delivery man",$D436)),"Delivery Manager",IF(OR(ISNUMBER(SEARCH("technology manager",$D436)),ISNUMBER(SEARCH("technology manger",$D436)),ISNUMBER(SEARCH("tech manager",$D436))),"Technology Manager","Squad"))))))))</f>
        <v>Squad</v>
      </c>
      <c r="AL436" s="534" t="str">
        <f>IF(TRIM($B436)="","",IF(AND($AM436=1,LEFT($AJ436,4)&lt;&gt;"EGI ",$AJ436&lt;&gt;"EGI"),IFERROR(INDEX(Lists!$Z$2:$Z$20,MATCH($AH436,Lists!$Y$2:$Y$20,0)),"EGI "&amp;$AH436),IF(COUNTIF(Lists!$AU$2:$AU$10,$AJ436),$AJ436,IF(OR(LEFT($AH436,3)="COE",$AH436="EGI"),$AJ436,IF($AK436&lt;&gt;"Squad",$AK436,$AJ436)))))</f>
        <v>Store Operations</v>
      </c>
      <c r="AM436" s="534" t="b">
        <f>IF(TRIM($B436)="","",--(UPPER(TRIM($K436))="EGI"))</f>
        <v>0</v>
      </c>
      <c r="AQ436" s="841" t="inlineStr">
        <is>
          <t>R0435</t>
        </is>
      </c>
      <c r="AZ436" s="841" t="n"/>
    </row>
    <row r="437" ht="18" customHeight="1" s="535">
      <c r="A437" s="842" t="n">
        <v>109974</v>
      </c>
      <c r="B437" s="843" t="inlineStr">
        <is>
          <t>Gerald Aguas</t>
        </is>
      </c>
      <c r="C437" s="842" t="n">
        <v>109974</v>
      </c>
      <c r="D437" s="843" t="inlineStr">
        <is>
          <t>Field Systems Operations Lead - NSW</t>
        </is>
      </c>
      <c r="E437" s="843" t="inlineStr">
        <is>
          <t>Ephraim Adan</t>
        </is>
      </c>
      <c r="F437" s="843" t="inlineStr">
        <is>
          <t>Manager, AU Retail Operations</t>
        </is>
      </c>
      <c r="G437" s="844" t="inlineStr">
        <is>
          <t>Ampol Retail &amp; Z</t>
        </is>
      </c>
      <c r="H437" s="843" t="inlineStr">
        <is>
          <t>Ampol Retail</t>
        </is>
      </c>
      <c r="I437" s="843" t="inlineStr">
        <is>
          <t>Ampol Retail, Technology</t>
        </is>
      </c>
      <c r="J437" s="843" t="inlineStr">
        <is>
          <t>Retail</t>
        </is>
      </c>
      <c r="K437" s="843" t="inlineStr">
        <is>
          <t>Store Operations</t>
        </is>
      </c>
      <c r="L437" s="843" t="inlineStr">
        <is>
          <t>Store Operations</t>
        </is>
      </c>
      <c r="M437" s="843" t="n"/>
      <c r="N437" s="845" t="inlineStr">
        <is>
          <t>Australia</t>
        </is>
      </c>
      <c r="O437" s="846" t="inlineStr">
        <is>
          <t>CIA</t>
        </is>
      </c>
      <c r="P437" s="847" t="n">
        <v>1</v>
      </c>
      <c r="Q437" s="846" t="n"/>
      <c r="R437" s="847" t="inlineStr">
        <is>
          <t>Permanent - Full Time</t>
        </is>
      </c>
      <c r="S437" s="847" t="n"/>
      <c r="T437" s="847" t="n"/>
      <c r="U437" s="848" t="n">
        <v>165470</v>
      </c>
      <c r="V437" s="849" t="n">
        <v>152232.4</v>
      </c>
      <c r="W437" s="850" t="n">
        <v>0.15</v>
      </c>
      <c r="X437" s="847" t="n"/>
      <c r="Y437" s="850" t="n">
        <v>0.05</v>
      </c>
      <c r="Z437" s="851" t="n">
        <v>2910</v>
      </c>
      <c r="AA437" s="850" t="n">
        <v>0.03</v>
      </c>
      <c r="AB437" s="852" t="n">
        <v>190155.852</v>
      </c>
      <c r="AD437" s="866" t="n"/>
      <c r="AE437" s="866">
        <f>IF(TRIM($B437)="","",IF(AND(N($P437)&gt;0,N($P437)&lt;1),N($AB437)*N($P437),N($AB437)))</f>
        <v>190155.852</v>
      </c>
      <c r="AF437" s="866" t="str">
        <f>IF(TRIM($B437)="","",IF(OR(ISNUMBER(SEARCH("vacant",$B437)),ISNUMBER(SEARCH("ring fenced",$B437)),LOWER(TRIM($B437))="remove"),"Vacant","Filled"))</f>
        <v>Filled</v>
      </c>
      <c r="AG437" s="866" t="b">
        <f>IF(TRIM($B437)="","",--ISNUMBER(SEARCH("ring fenced",$B437)))</f>
        <v>0</v>
      </c>
      <c r="AH437" s="866" t="str">
        <f>IF(TRIM($B437)="","",IF(COUNTIFS(Lists!$AN$2:$AN$22,TRIM($B437)&amp;" | "&amp;TRIM($D437),Lists!$AO$2:$AO$22,"&lt;&gt;"),INDEX(Lists!$AO$2:$AO$22,MATCH(TRIM($B437)&amp;" | "&amp;TRIM($D437),Lists!$AN$2:$AN$22,0)),IF(COUNTIF(Lists!$AR$2:$AR$3,$AJ437),"TDD Cyber",IF(AND(LEFT($AJ437,4)="EGI ",ISNUMBER(MATCH(TRIM(MID($AJ437,5,99)),Lists!$AS$2:$AS$12,0))),TRIM(MID($AJ437,5,99)),IF(AND(LEFT($AJ437,4)="EGI ",ISNUMBER(MATCH(TRIM(MID($AJ437,5,99)),Lists!$T$2:$T$21,0))),INDEX(Lists!$U$2:$U$21,MATCH(TRIM(MID($AJ437,5,99)),Lists!$T$2:$T$21,0)),IF(OR(TRIM($J437)="",UPPER(TRIM($J437))="NA"),IFERROR(INDEX(Lists!$R$2:$R$9,MATCH(TRIM($G437),Lists!$Q$2:$Q$9,0)),"UNMAPPED"),IFERROR(INDEX(Lists!$U$2:$U$21,MATCH(TRIM($J437),Lists!$T$2:$T$21,0)),IFERROR(INDEX(Lists!$R$2:$R$9,MATCH(TRIM($G437),Lists!$Q$2:$Q$9,0)),"UNMAPPED"))))))))</f>
        <v>Ampol Retail</v>
      </c>
      <c r="AI437" s="534" t="b">
        <f>IF(TRIM($B437)="","",--OR(TRIM($L437)="Leadership",TRIM($K437)="Leadership"))</f>
        <v>0</v>
      </c>
      <c r="AJ437" s="534" t="str">
        <f>IF(TRIM($B437)="","",IF(COUNTIFS(Lists!$AN$2:$AN$22,TRIM($B437)&amp;" | "&amp;TRIM($D437),Lists!$AP$2:$AP$22,"&lt;&gt;"),INDEX(Lists!$AP$2:$AP$22,MATCH(TRIM($B437)&amp;" | "&amp;TRIM($D437),Lists!$AN$2:$AN$22,0)),IF($AI437=1,"Leadership",IFERROR(INDEX(Lists!$X$2:$X$21,MATCH(TRIM($L437),Lists!$W$2:$W$21,0)),IF(OR(TRIM($L437)="",LOWER(TRIM($L437))="na"),IF(TRIM($H437)="","Unassigned",TRIM($H437)),TRIM($L437))))))</f>
        <v>Store Operations</v>
      </c>
      <c r="AK437" s="534" t="str">
        <f>IF(TRIM($B437)="","",IF(COUNTIFS(Lists!$AN$2:$AN$22,TRIM($B437)&amp;" | "&amp;TRIM($D437),Lists!$AQ$2:$AQ$22,"&lt;&gt;"),INDEX(Lists!$AQ$2:$AQ$22,MATCH(TRIM($B437)&amp;" | "&amp;TRIM($D437),Lists!$AN$2:$AN$22,0)),IF(COUNTIF(Lists!$AF$2:$AF$8,$AJ437),$AJ437,IF(ISNUMBER(SEARCH("head of ",$D437)),"Head of Technology",IF(ISNUMBER(SEARCH("TDD BP",$D437)),"Business Partner",IF(OR(ISNUMBER(SEARCH("domain architect",$D437)),ISNUMBER(SEARCH("enterprise architect",$D437))),"Domain Architect",IF(ISNUMBER(SEARCH("delivery man",$D437)),"Delivery Manager",IF(OR(ISNUMBER(SEARCH("technology manager",$D437)),ISNUMBER(SEARCH("technology manger",$D437)),ISNUMBER(SEARCH("tech manager",$D437))),"Technology Manager","Squad"))))))))</f>
        <v>Squad</v>
      </c>
      <c r="AL437" s="534" t="str">
        <f>IF(TRIM($B437)="","",IF(AND($AM437=1,LEFT($AJ437,4)&lt;&gt;"EGI ",$AJ437&lt;&gt;"EGI"),IFERROR(INDEX(Lists!$Z$2:$Z$20,MATCH($AH437,Lists!$Y$2:$Y$20,0)),"EGI "&amp;$AH437),IF(COUNTIF(Lists!$AU$2:$AU$10,$AJ437),$AJ437,IF(OR(LEFT($AH437,3)="COE",$AH437="EGI"),$AJ437,IF($AK437&lt;&gt;"Squad",$AK437,$AJ437)))))</f>
        <v>Store Operations</v>
      </c>
      <c r="AM437" s="534" t="b">
        <f>IF(TRIM($B437)="","",--(UPPER(TRIM($K437))="EGI"))</f>
        <v>0</v>
      </c>
      <c r="AQ437" s="841" t="inlineStr">
        <is>
          <t>R0436</t>
        </is>
      </c>
      <c r="AZ437" s="841" t="n"/>
    </row>
    <row r="438" ht="18" customHeight="1" s="535">
      <c r="A438" s="842" t="n">
        <v>85136</v>
      </c>
      <c r="B438" s="843" t="inlineStr">
        <is>
          <t>Tuan Edwards</t>
        </is>
      </c>
      <c r="C438" s="842" t="n">
        <v>85136</v>
      </c>
      <c r="D438" s="843" t="inlineStr">
        <is>
          <t>Field Systems Operations Lead - QLD</t>
        </is>
      </c>
      <c r="E438" s="843" t="inlineStr">
        <is>
          <t>Ephraim Adan</t>
        </is>
      </c>
      <c r="F438" s="843" t="inlineStr">
        <is>
          <t>Manager, AU Retail Operations</t>
        </is>
      </c>
      <c r="G438" s="844" t="inlineStr">
        <is>
          <t>Ampol Retail &amp; Z</t>
        </is>
      </c>
      <c r="H438" s="843" t="inlineStr">
        <is>
          <t>Ampol Retail</t>
        </is>
      </c>
      <c r="I438" s="843" t="inlineStr">
        <is>
          <t>Ampol Retail, Technology</t>
        </is>
      </c>
      <c r="J438" s="843" t="inlineStr">
        <is>
          <t>Retail</t>
        </is>
      </c>
      <c r="K438" s="843" t="inlineStr">
        <is>
          <t>Store Operations</t>
        </is>
      </c>
      <c r="L438" s="843" t="inlineStr">
        <is>
          <t>Store Operations</t>
        </is>
      </c>
      <c r="M438" s="843" t="n"/>
      <c r="N438" s="845" t="inlineStr">
        <is>
          <t>Australia</t>
        </is>
      </c>
      <c r="O438" s="846" t="inlineStr">
        <is>
          <t>CIA</t>
        </is>
      </c>
      <c r="P438" s="847" t="n">
        <v>1</v>
      </c>
      <c r="Q438" s="846" t="n"/>
      <c r="R438" s="847" t="inlineStr">
        <is>
          <t>V</t>
        </is>
      </c>
      <c r="S438" s="847" t="n"/>
      <c r="T438" s="847" t="n"/>
      <c r="U438" s="848" t="n">
        <v>151950</v>
      </c>
      <c r="V438" s="849" t="n">
        <v>151950</v>
      </c>
      <c r="W438" s="850" t="n">
        <v>0.12</v>
      </c>
      <c r="X438" s="847" t="n">
        <v>0.055</v>
      </c>
      <c r="Y438" s="850" t="n">
        <v>0.12</v>
      </c>
      <c r="Z438" s="851" t="n"/>
      <c r="AA438" s="850" t="n">
        <v>0.04</v>
      </c>
      <c r="AB438" s="852" t="n">
        <v>202853.25</v>
      </c>
      <c r="AD438" s="866" t="n"/>
      <c r="AE438" s="866">
        <f>IF(TRIM($B438)="","",IF(AND(N($P438)&gt;0,N($P438)&lt;1),N($AB438)*N($P438),N($AB438)))</f>
        <v>202853.25</v>
      </c>
      <c r="AF438" s="866" t="str">
        <f>IF(TRIM($B438)="","",IF(OR(ISNUMBER(SEARCH("vacant",$B438)),ISNUMBER(SEARCH("ring fenced",$B438)),LOWER(TRIM($B438))="remove"),"Vacant","Filled"))</f>
        <v>Filled</v>
      </c>
      <c r="AG438" s="866" t="b">
        <f>IF(TRIM($B438)="","",--ISNUMBER(SEARCH("ring fenced",$B438)))</f>
        <v>0</v>
      </c>
      <c r="AH438" s="866" t="str">
        <f>IF(TRIM($B438)="","",IF(COUNTIFS(Lists!$AN$2:$AN$22,TRIM($B438)&amp;" | "&amp;TRIM($D438),Lists!$AO$2:$AO$22,"&lt;&gt;"),INDEX(Lists!$AO$2:$AO$22,MATCH(TRIM($B438)&amp;" | "&amp;TRIM($D438),Lists!$AN$2:$AN$22,0)),IF(COUNTIF(Lists!$AR$2:$AR$3,$AJ438),"TDD Cyber",IF(AND(LEFT($AJ438,4)="EGI ",ISNUMBER(MATCH(TRIM(MID($AJ438,5,99)),Lists!$AS$2:$AS$12,0))),TRIM(MID($AJ438,5,99)),IF(AND(LEFT($AJ438,4)="EGI ",ISNUMBER(MATCH(TRIM(MID($AJ438,5,99)),Lists!$T$2:$T$21,0))),INDEX(Lists!$U$2:$U$21,MATCH(TRIM(MID($AJ438,5,99)),Lists!$T$2:$T$21,0)),IF(OR(TRIM($J438)="",UPPER(TRIM($J438))="NA"),IFERROR(INDEX(Lists!$R$2:$R$9,MATCH(TRIM($G438),Lists!$Q$2:$Q$9,0)),"UNMAPPED"),IFERROR(INDEX(Lists!$U$2:$U$21,MATCH(TRIM($J438),Lists!$T$2:$T$21,0)),IFERROR(INDEX(Lists!$R$2:$R$9,MATCH(TRIM($G438),Lists!$Q$2:$Q$9,0)),"UNMAPPED"))))))))</f>
        <v>Ampol Retail</v>
      </c>
      <c r="AI438" s="534" t="b">
        <f>IF(TRIM($B438)="","",--OR(TRIM($L438)="Leadership",TRIM($K438)="Leadership"))</f>
        <v>0</v>
      </c>
      <c r="AJ438" s="534" t="str">
        <f>IF(TRIM($B438)="","",IF(COUNTIFS(Lists!$AN$2:$AN$22,TRIM($B438)&amp;" | "&amp;TRIM($D438),Lists!$AP$2:$AP$22,"&lt;&gt;"),INDEX(Lists!$AP$2:$AP$22,MATCH(TRIM($B438)&amp;" | "&amp;TRIM($D438),Lists!$AN$2:$AN$22,0)),IF($AI438=1,"Leadership",IFERROR(INDEX(Lists!$X$2:$X$21,MATCH(TRIM($L438),Lists!$W$2:$W$21,0)),IF(OR(TRIM($L438)="",LOWER(TRIM($L438))="na"),IF(TRIM($H438)="","Unassigned",TRIM($H438)),TRIM($L438))))))</f>
        <v>Store Operations</v>
      </c>
      <c r="AK438" s="534" t="str">
        <f>IF(TRIM($B438)="","",IF(COUNTIFS(Lists!$AN$2:$AN$22,TRIM($B438)&amp;" | "&amp;TRIM($D438),Lists!$AQ$2:$AQ$22,"&lt;&gt;"),INDEX(Lists!$AQ$2:$AQ$22,MATCH(TRIM($B438)&amp;" | "&amp;TRIM($D438),Lists!$AN$2:$AN$22,0)),IF(COUNTIF(Lists!$AF$2:$AF$8,$AJ438),$AJ438,IF(ISNUMBER(SEARCH("head of ",$D438)),"Head of Technology",IF(ISNUMBER(SEARCH("TDD BP",$D438)),"Business Partner",IF(OR(ISNUMBER(SEARCH("domain architect",$D438)),ISNUMBER(SEARCH("enterprise architect",$D438))),"Domain Architect",IF(ISNUMBER(SEARCH("delivery man",$D438)),"Delivery Manager",IF(OR(ISNUMBER(SEARCH("technology manager",$D438)),ISNUMBER(SEARCH("technology manger",$D438)),ISNUMBER(SEARCH("tech manager",$D438))),"Technology Manager","Squad"))))))))</f>
        <v>Squad</v>
      </c>
      <c r="AL438" s="534" t="str">
        <f>IF(TRIM($B438)="","",IF(AND($AM438=1,LEFT($AJ438,4)&lt;&gt;"EGI ",$AJ438&lt;&gt;"EGI"),IFERROR(INDEX(Lists!$Z$2:$Z$20,MATCH($AH438,Lists!$Y$2:$Y$20,0)),"EGI "&amp;$AH438),IF(COUNTIF(Lists!$AU$2:$AU$10,$AJ438),$AJ438,IF(OR(LEFT($AH438,3)="COE",$AH438="EGI"),$AJ438,IF($AK438&lt;&gt;"Squad",$AK438,$AJ438)))))</f>
        <v>Store Operations</v>
      </c>
      <c r="AM438" s="534" t="b">
        <f>IF(TRIM($B438)="","",--(UPPER(TRIM($K438))="EGI"))</f>
        <v>0</v>
      </c>
      <c r="AQ438" s="841" t="inlineStr">
        <is>
          <t>R0437</t>
        </is>
      </c>
      <c r="AZ438" s="841" t="n"/>
    </row>
    <row r="439" ht="18" customHeight="1" s="535">
      <c r="A439" s="842" t="n">
        <v>4534</v>
      </c>
      <c r="B439" s="843" t="inlineStr">
        <is>
          <t>Andrew Whitford</t>
        </is>
      </c>
      <c r="C439" s="842" t="n">
        <v>4534</v>
      </c>
      <c r="D439" s="843" t="inlineStr">
        <is>
          <t>Field Systems Operations Lead - WA</t>
        </is>
      </c>
      <c r="E439" s="843" t="inlineStr">
        <is>
          <t>Ephriam Adan</t>
        </is>
      </c>
      <c r="F439" s="843" t="inlineStr">
        <is>
          <t>Manager, AU Retail Operations</t>
        </is>
      </c>
      <c r="G439" s="844" t="inlineStr">
        <is>
          <t>Ampol Retail &amp; Z</t>
        </is>
      </c>
      <c r="H439" s="843" t="inlineStr">
        <is>
          <t>Ampol Retail</t>
        </is>
      </c>
      <c r="I439" s="843" t="inlineStr">
        <is>
          <t>Ampol Retail, Technology</t>
        </is>
      </c>
      <c r="J439" s="843" t="inlineStr">
        <is>
          <t>Retail</t>
        </is>
      </c>
      <c r="K439" s="843" t="inlineStr">
        <is>
          <t>Store Operations</t>
        </is>
      </c>
      <c r="L439" s="843" t="inlineStr">
        <is>
          <t>Store Operations</t>
        </is>
      </c>
      <c r="M439" s="843" t="n"/>
      <c r="N439" s="845" t="inlineStr">
        <is>
          <t>Australia</t>
        </is>
      </c>
      <c r="O439" s="846" t="inlineStr">
        <is>
          <t>CIA</t>
        </is>
      </c>
      <c r="P439" s="847" t="n">
        <v>1</v>
      </c>
      <c r="Q439" s="846" t="n"/>
      <c r="R439" s="847" t="inlineStr">
        <is>
          <t>Permanent - Full Time</t>
        </is>
      </c>
      <c r="S439" s="847" t="n"/>
      <c r="T439" s="847" t="n"/>
      <c r="U439" s="848" t="n">
        <v>124740</v>
      </c>
      <c r="V439" s="849" t="n">
        <v>124740</v>
      </c>
      <c r="W439" s="850" t="n">
        <v>0.1</v>
      </c>
      <c r="X439" s="847" t="n">
        <v>0.055</v>
      </c>
      <c r="Y439" s="850" t="n">
        <v>0.12</v>
      </c>
      <c r="Z439" s="851" t="n"/>
      <c r="AA439" s="850" t="n">
        <v>0.04</v>
      </c>
      <c r="AB439" s="852" t="n">
        <v>164033.1</v>
      </c>
      <c r="AD439" s="866" t="n"/>
      <c r="AE439" s="866">
        <f>IF(TRIM($B439)="","",IF(AND(N($P439)&gt;0,N($P439)&lt;1),N($AB439)*N($P439),N($AB439)))</f>
        <v>164033.1</v>
      </c>
      <c r="AF439" s="866" t="str">
        <f>IF(TRIM($B439)="","",IF(OR(ISNUMBER(SEARCH("vacant",$B439)),ISNUMBER(SEARCH("ring fenced",$B439)),LOWER(TRIM($B439))="remove"),"Vacant","Filled"))</f>
        <v>Filled</v>
      </c>
      <c r="AG439" s="866" t="b">
        <f>IF(TRIM($B439)="","",--ISNUMBER(SEARCH("ring fenced",$B439)))</f>
        <v>0</v>
      </c>
      <c r="AH439" s="866" t="str">
        <f>IF(TRIM($B439)="","",IF(COUNTIFS(Lists!$AN$2:$AN$22,TRIM($B439)&amp;" | "&amp;TRIM($D439),Lists!$AO$2:$AO$22,"&lt;&gt;"),INDEX(Lists!$AO$2:$AO$22,MATCH(TRIM($B439)&amp;" | "&amp;TRIM($D439),Lists!$AN$2:$AN$22,0)),IF(COUNTIF(Lists!$AR$2:$AR$3,$AJ439),"TDD Cyber",IF(AND(LEFT($AJ439,4)="EGI ",ISNUMBER(MATCH(TRIM(MID($AJ439,5,99)),Lists!$AS$2:$AS$12,0))),TRIM(MID($AJ439,5,99)),IF(AND(LEFT($AJ439,4)="EGI ",ISNUMBER(MATCH(TRIM(MID($AJ439,5,99)),Lists!$T$2:$T$21,0))),INDEX(Lists!$U$2:$U$21,MATCH(TRIM(MID($AJ439,5,99)),Lists!$T$2:$T$21,0)),IF(OR(TRIM($J439)="",UPPER(TRIM($J439))="NA"),IFERROR(INDEX(Lists!$R$2:$R$9,MATCH(TRIM($G439),Lists!$Q$2:$Q$9,0)),"UNMAPPED"),IFERROR(INDEX(Lists!$U$2:$U$21,MATCH(TRIM($J439),Lists!$T$2:$T$21,0)),IFERROR(INDEX(Lists!$R$2:$R$9,MATCH(TRIM($G439),Lists!$Q$2:$Q$9,0)),"UNMAPPED"))))))))</f>
        <v>Ampol Retail</v>
      </c>
      <c r="AI439" s="534" t="b">
        <f>IF(TRIM($B439)="","",--OR(TRIM($L439)="Leadership",TRIM($K439)="Leadership"))</f>
        <v>0</v>
      </c>
      <c r="AJ439" s="534" t="str">
        <f>IF(TRIM($B439)="","",IF(COUNTIFS(Lists!$AN$2:$AN$22,TRIM($B439)&amp;" | "&amp;TRIM($D439),Lists!$AP$2:$AP$22,"&lt;&gt;"),INDEX(Lists!$AP$2:$AP$22,MATCH(TRIM($B439)&amp;" | "&amp;TRIM($D439),Lists!$AN$2:$AN$22,0)),IF($AI439=1,"Leadership",IFERROR(INDEX(Lists!$X$2:$X$21,MATCH(TRIM($L439),Lists!$W$2:$W$21,0)),IF(OR(TRIM($L439)="",LOWER(TRIM($L439))="na"),IF(TRIM($H439)="","Unassigned",TRIM($H439)),TRIM($L439))))))</f>
        <v>Store Operations</v>
      </c>
      <c r="AK439" s="534" t="str">
        <f>IF(TRIM($B439)="","",IF(COUNTIFS(Lists!$AN$2:$AN$22,TRIM($B439)&amp;" | "&amp;TRIM($D439),Lists!$AQ$2:$AQ$22,"&lt;&gt;"),INDEX(Lists!$AQ$2:$AQ$22,MATCH(TRIM($B439)&amp;" | "&amp;TRIM($D439),Lists!$AN$2:$AN$22,0)),IF(COUNTIF(Lists!$AF$2:$AF$8,$AJ439),$AJ439,IF(ISNUMBER(SEARCH("head of ",$D439)),"Head of Technology",IF(ISNUMBER(SEARCH("TDD BP",$D439)),"Business Partner",IF(OR(ISNUMBER(SEARCH("domain architect",$D439)),ISNUMBER(SEARCH("enterprise architect",$D439))),"Domain Architect",IF(ISNUMBER(SEARCH("delivery man",$D439)),"Delivery Manager",IF(OR(ISNUMBER(SEARCH("technology manager",$D439)),ISNUMBER(SEARCH("technology manger",$D439)),ISNUMBER(SEARCH("tech manager",$D439))),"Technology Manager","Squad"))))))))</f>
        <v>Squad</v>
      </c>
      <c r="AL439" s="534" t="str">
        <f>IF(TRIM($B439)="","",IF(AND($AM439=1,LEFT($AJ439,4)&lt;&gt;"EGI ",$AJ439&lt;&gt;"EGI"),IFERROR(INDEX(Lists!$Z$2:$Z$20,MATCH($AH439,Lists!$Y$2:$Y$20,0)),"EGI "&amp;$AH439),IF(COUNTIF(Lists!$AU$2:$AU$10,$AJ439),$AJ439,IF(OR(LEFT($AH439,3)="COE",$AH439="EGI"),$AJ439,IF($AK439&lt;&gt;"Squad",$AK439,$AJ439)))))</f>
        <v>Store Operations</v>
      </c>
      <c r="AM439" s="534" t="b">
        <f>IF(TRIM($B439)="","",--(UPPER(TRIM($K439))="EGI"))</f>
        <v>0</v>
      </c>
      <c r="AQ439" s="841" t="inlineStr">
        <is>
          <t>R0438</t>
        </is>
      </c>
      <c r="AZ439" s="841" t="n"/>
    </row>
    <row r="440" ht="18" customHeight="1" s="535">
      <c r="A440" s="842" t="n">
        <v>90097</v>
      </c>
      <c r="B440" s="843" t="inlineStr">
        <is>
          <t>Patrick Ericson Nario</t>
        </is>
      </c>
      <c r="C440" s="842" t="n">
        <v>90097</v>
      </c>
      <c r="D440" s="843" t="inlineStr">
        <is>
          <t>Support Analyst - Field Operations</t>
        </is>
      </c>
      <c r="E440" s="843" t="inlineStr">
        <is>
          <t>Ephriam Adan</t>
        </is>
      </c>
      <c r="F440" s="843" t="inlineStr">
        <is>
          <t>Manager, AU Retail Operations</t>
        </is>
      </c>
      <c r="G440" s="844" t="inlineStr">
        <is>
          <t>Ampol Retail &amp; Z</t>
        </is>
      </c>
      <c r="H440" s="843" t="inlineStr">
        <is>
          <t>Ampol Retail</t>
        </is>
      </c>
      <c r="I440" s="843" t="inlineStr">
        <is>
          <t>Ampol Retail, Technology</t>
        </is>
      </c>
      <c r="J440" s="843" t="inlineStr">
        <is>
          <t>Retail</t>
        </is>
      </c>
      <c r="K440" s="843" t="inlineStr">
        <is>
          <t>Store Operations</t>
        </is>
      </c>
      <c r="L440" s="843" t="inlineStr">
        <is>
          <t>Store Operations</t>
        </is>
      </c>
      <c r="M440" s="843" t="n"/>
      <c r="N440" s="845" t="inlineStr">
        <is>
          <t>Australia</t>
        </is>
      </c>
      <c r="O440" s="846" t="inlineStr">
        <is>
          <t>CIA</t>
        </is>
      </c>
      <c r="P440" s="847" t="n">
        <v>1</v>
      </c>
      <c r="Q440" s="846" t="n"/>
      <c r="R440" s="847" t="inlineStr">
        <is>
          <t>Permanent - Full Time</t>
        </is>
      </c>
      <c r="S440" s="847" t="n"/>
      <c r="T440" s="847" t="n"/>
      <c r="U440" s="848" t="n">
        <v>160460</v>
      </c>
      <c r="V440" s="849" t="n">
        <v>160460</v>
      </c>
      <c r="W440" s="850" t="n">
        <v>0.12</v>
      </c>
      <c r="X440" s="847" t="n">
        <v>0.055</v>
      </c>
      <c r="Y440" s="850" t="n">
        <v>0.12</v>
      </c>
      <c r="Z440" s="851" t="n"/>
      <c r="AA440" s="850" t="n">
        <v>0.04</v>
      </c>
      <c r="AB440" s="852" t="n">
        <v>214214.1</v>
      </c>
      <c r="AD440" s="866" t="n"/>
      <c r="AE440" s="866">
        <f>IF(TRIM($B440)="","",IF(AND(N($P440)&gt;0,N($P440)&lt;1),N($AB440)*N($P440),N($AB440)))</f>
        <v>214214.1</v>
      </c>
      <c r="AF440" s="866" t="str">
        <f>IF(TRIM($B440)="","",IF(OR(ISNUMBER(SEARCH("vacant",$B440)),ISNUMBER(SEARCH("ring fenced",$B440)),LOWER(TRIM($B440))="remove"),"Vacant","Filled"))</f>
        <v>Filled</v>
      </c>
      <c r="AG440" s="866" t="b">
        <f>IF(TRIM($B440)="","",--ISNUMBER(SEARCH("ring fenced",$B440)))</f>
        <v>0</v>
      </c>
      <c r="AH440" s="866" t="str">
        <f>IF(TRIM($B440)="","",IF(COUNTIFS(Lists!$AN$2:$AN$22,TRIM($B440)&amp;" | "&amp;TRIM($D440),Lists!$AO$2:$AO$22,"&lt;&gt;"),INDEX(Lists!$AO$2:$AO$22,MATCH(TRIM($B440)&amp;" | "&amp;TRIM($D440),Lists!$AN$2:$AN$22,0)),IF(COUNTIF(Lists!$AR$2:$AR$3,$AJ440),"TDD Cyber",IF(AND(LEFT($AJ440,4)="EGI ",ISNUMBER(MATCH(TRIM(MID($AJ440,5,99)),Lists!$AS$2:$AS$12,0))),TRIM(MID($AJ440,5,99)),IF(AND(LEFT($AJ440,4)="EGI ",ISNUMBER(MATCH(TRIM(MID($AJ440,5,99)),Lists!$T$2:$T$21,0))),INDEX(Lists!$U$2:$U$21,MATCH(TRIM(MID($AJ440,5,99)),Lists!$T$2:$T$21,0)),IF(OR(TRIM($J440)="",UPPER(TRIM($J440))="NA"),IFERROR(INDEX(Lists!$R$2:$R$9,MATCH(TRIM($G440),Lists!$Q$2:$Q$9,0)),"UNMAPPED"),IFERROR(INDEX(Lists!$U$2:$U$21,MATCH(TRIM($J440),Lists!$T$2:$T$21,0)),IFERROR(INDEX(Lists!$R$2:$R$9,MATCH(TRIM($G440),Lists!$Q$2:$Q$9,0)),"UNMAPPED"))))))))</f>
        <v>Ampol Retail</v>
      </c>
      <c r="AI440" s="534" t="b">
        <f>IF(TRIM($B440)="","",--OR(TRIM($L440)="Leadership",TRIM($K440)="Leadership"))</f>
        <v>0</v>
      </c>
      <c r="AJ440" s="534" t="str">
        <f>IF(TRIM($B440)="","",IF(COUNTIFS(Lists!$AN$2:$AN$22,TRIM($B440)&amp;" | "&amp;TRIM($D440),Lists!$AP$2:$AP$22,"&lt;&gt;"),INDEX(Lists!$AP$2:$AP$22,MATCH(TRIM($B440)&amp;" | "&amp;TRIM($D440),Lists!$AN$2:$AN$22,0)),IF($AI440=1,"Leadership",IFERROR(INDEX(Lists!$X$2:$X$21,MATCH(TRIM($L440),Lists!$W$2:$W$21,0)),IF(OR(TRIM($L440)="",LOWER(TRIM($L440))="na"),IF(TRIM($H440)="","Unassigned",TRIM($H440)),TRIM($L440))))))</f>
        <v>Store Operations</v>
      </c>
      <c r="AK440" s="534" t="str">
        <f>IF(TRIM($B440)="","",IF(COUNTIFS(Lists!$AN$2:$AN$22,TRIM($B440)&amp;" | "&amp;TRIM($D440),Lists!$AQ$2:$AQ$22,"&lt;&gt;"),INDEX(Lists!$AQ$2:$AQ$22,MATCH(TRIM($B440)&amp;" | "&amp;TRIM($D440),Lists!$AN$2:$AN$22,0)),IF(COUNTIF(Lists!$AF$2:$AF$8,$AJ440),$AJ440,IF(ISNUMBER(SEARCH("head of ",$D440)),"Head of Technology",IF(ISNUMBER(SEARCH("TDD BP",$D440)),"Business Partner",IF(OR(ISNUMBER(SEARCH("domain architect",$D440)),ISNUMBER(SEARCH("enterprise architect",$D440))),"Domain Architect",IF(ISNUMBER(SEARCH("delivery man",$D440)),"Delivery Manager",IF(OR(ISNUMBER(SEARCH("technology manager",$D440)),ISNUMBER(SEARCH("technology manger",$D440)),ISNUMBER(SEARCH("tech manager",$D440))),"Technology Manager","Squad"))))))))</f>
        <v>Squad</v>
      </c>
      <c r="AL440" s="534" t="str">
        <f>IF(TRIM($B440)="","",IF(AND($AM440=1,LEFT($AJ440,4)&lt;&gt;"EGI ",$AJ440&lt;&gt;"EGI"),IFERROR(INDEX(Lists!$Z$2:$Z$20,MATCH($AH440,Lists!$Y$2:$Y$20,0)),"EGI "&amp;$AH440),IF(COUNTIF(Lists!$AU$2:$AU$10,$AJ440),$AJ440,IF(OR(LEFT($AH440,3)="COE",$AH440="EGI"),$AJ440,IF($AK440&lt;&gt;"Squad",$AK440,$AJ440)))))</f>
        <v>Store Operations</v>
      </c>
      <c r="AM440" s="534" t="b">
        <f>IF(TRIM($B440)="","",--(UPPER(TRIM($K440))="EGI"))</f>
        <v>0</v>
      </c>
      <c r="AQ440" s="841" t="inlineStr">
        <is>
          <t>R0439</t>
        </is>
      </c>
      <c r="AZ440" s="841" t="n"/>
    </row>
    <row r="441" ht="18" customHeight="1" s="535">
      <c r="A441" s="842" t="n">
        <v>92699</v>
      </c>
      <c r="B441" s="843" t="inlineStr">
        <is>
          <t>Alison Rosier</t>
        </is>
      </c>
      <c r="C441" s="842" t="n">
        <v>92699</v>
      </c>
      <c r="D441" s="843" t="inlineStr">
        <is>
          <t>Technology Support Engineer - Infrastructure</t>
        </is>
      </c>
      <c r="E441" s="843" t="inlineStr">
        <is>
          <t>Glenn Earl</t>
        </is>
      </c>
      <c r="F441" s="843" t="inlineStr">
        <is>
          <t>Lead Support, Infrastructure</t>
        </is>
      </c>
      <c r="G441" s="844" t="inlineStr">
        <is>
          <t>TDD CFE&amp;I</t>
        </is>
      </c>
      <c r="H441" s="843" t="inlineStr">
        <is>
          <t>Fuel Infrastructure</t>
        </is>
      </c>
      <c r="I441" s="843" t="inlineStr">
        <is>
          <t>Refinery Applications</t>
        </is>
      </c>
      <c r="J441" s="843" t="inlineStr">
        <is>
          <t>Infrastructure</t>
        </is>
      </c>
      <c r="K441" s="843" t="inlineStr">
        <is>
          <t>Fuel Infrastructure</t>
        </is>
      </c>
      <c r="L441" s="843" t="inlineStr">
        <is>
          <t>Technology Suport</t>
        </is>
      </c>
      <c r="M441" s="843" t="n"/>
      <c r="N441" s="845" t="inlineStr">
        <is>
          <t>Australia</t>
        </is>
      </c>
      <c r="O441" s="846" t="inlineStr">
        <is>
          <t>CIA</t>
        </is>
      </c>
      <c r="P441" s="847" t="n">
        <v>1</v>
      </c>
      <c r="Q441" s="846" t="n"/>
      <c r="R441" s="847" t="inlineStr">
        <is>
          <t>Permanent - Full Time</t>
        </is>
      </c>
      <c r="S441" s="847" t="n"/>
      <c r="T441" s="847" t="n"/>
      <c r="U441" s="848" t="n">
        <v>123906</v>
      </c>
      <c r="V441" s="849" t="n">
        <v>123906</v>
      </c>
      <c r="W441" s="850" t="n">
        <v>0.1</v>
      </c>
      <c r="X441" s="847" t="n">
        <v>0.055</v>
      </c>
      <c r="Y441" s="850" t="n">
        <v>0.12</v>
      </c>
      <c r="Z441" s="851" t="n"/>
      <c r="AA441" s="850" t="n">
        <v>0.04</v>
      </c>
      <c r="AB441" s="852" t="n">
        <v>162936.39</v>
      </c>
      <c r="AD441" s="866" t="n"/>
      <c r="AE441" s="866">
        <f>IF(TRIM($B441)="","",IF(AND(N($P441)&gt;0,N($P441)&lt;1),N($AB441)*N($P441),N($AB441)))</f>
        <v>162936.39</v>
      </c>
      <c r="AF441" s="866" t="str">
        <f>IF(TRIM($B441)="","",IF(OR(ISNUMBER(SEARCH("vacant",$B441)),ISNUMBER(SEARCH("ring fenced",$B441)),LOWER(TRIM($B441))="remove"),"Vacant","Filled"))</f>
        <v>Filled</v>
      </c>
      <c r="AG441" s="866" t="b">
        <f>IF(TRIM($B441)="","",--ISNUMBER(SEARCH("ring fenced",$B441)))</f>
        <v>0</v>
      </c>
      <c r="AH441" s="866" t="str">
        <f>IF(TRIM($B441)="","",IF(COUNTIFS(Lists!$AN$2:$AN$22,TRIM($B441)&amp;" | "&amp;TRIM($D441),Lists!$AO$2:$AO$22,"&lt;&gt;"),INDEX(Lists!$AO$2:$AO$22,MATCH(TRIM($B441)&amp;" | "&amp;TRIM($D441),Lists!$AN$2:$AN$22,0)),IF(COUNTIF(Lists!$AR$2:$AR$3,$AJ441),"TDD Cyber",IF(AND(LEFT($AJ441,4)="EGI ",ISNUMBER(MATCH(TRIM(MID($AJ441,5,99)),Lists!$AS$2:$AS$12,0))),TRIM(MID($AJ441,5,99)),IF(AND(LEFT($AJ441,4)="EGI ",ISNUMBER(MATCH(TRIM(MID($AJ441,5,99)),Lists!$T$2:$T$21,0))),INDEX(Lists!$U$2:$U$21,MATCH(TRIM(MID($AJ441,5,99)),Lists!$T$2:$T$21,0)),IF(OR(TRIM($J441)="",UPPER(TRIM($J441))="NA"),IFERROR(INDEX(Lists!$R$2:$R$9,MATCH(TRIM($G441),Lists!$Q$2:$Q$9,0)),"UNMAPPED"),IFERROR(INDEX(Lists!$U$2:$U$21,MATCH(TRIM($J441),Lists!$T$2:$T$21,0)),IFERROR(INDEX(Lists!$R$2:$R$9,MATCH(TRIM($G441),Lists!$Q$2:$Q$9,0)),"UNMAPPED"))))))))</f>
        <v>Infrastructure</v>
      </c>
      <c r="AI441" s="534" t="b">
        <f>IF(TRIM($B441)="","",--OR(TRIM($L441)="Leadership",TRIM($K441)="Leadership"))</f>
        <v>0</v>
      </c>
      <c r="AJ441" s="534" t="str">
        <f>IF(TRIM($B441)="","",IF(COUNTIFS(Lists!$AN$2:$AN$22,TRIM($B441)&amp;" | "&amp;TRIM($D441),Lists!$AP$2:$AP$22,"&lt;&gt;"),INDEX(Lists!$AP$2:$AP$22,MATCH(TRIM($B441)&amp;" | "&amp;TRIM($D441),Lists!$AN$2:$AN$22,0)),IF($AI441=1,"Leadership",IFERROR(INDEX(Lists!$X$2:$X$21,MATCH(TRIM($L441),Lists!$W$2:$W$21,0)),IF(OR(TRIM($L441)="",LOWER(TRIM($L441))="na"),IF(TRIM($H441)="","Unassigned",TRIM($H441)),TRIM($L441))))))</f>
        <v>Technology Support</v>
      </c>
      <c r="AK441" s="534" t="str">
        <f>IF(TRIM($B441)="","",IF(COUNTIFS(Lists!$AN$2:$AN$22,TRIM($B441)&amp;" | "&amp;TRIM($D441),Lists!$AQ$2:$AQ$22,"&lt;&gt;"),INDEX(Lists!$AQ$2:$AQ$22,MATCH(TRIM($B441)&amp;" | "&amp;TRIM($D441),Lists!$AN$2:$AN$22,0)),IF(COUNTIF(Lists!$AF$2:$AF$8,$AJ441),$AJ441,IF(ISNUMBER(SEARCH("head of ",$D441)),"Head of Technology",IF(ISNUMBER(SEARCH("TDD BP",$D441)),"Business Partner",IF(OR(ISNUMBER(SEARCH("domain architect",$D441)),ISNUMBER(SEARCH("enterprise architect",$D441))),"Domain Architect",IF(ISNUMBER(SEARCH("delivery man",$D441)),"Delivery Manager",IF(OR(ISNUMBER(SEARCH("technology manager",$D441)),ISNUMBER(SEARCH("technology manger",$D441)),ISNUMBER(SEARCH("tech manager",$D441))),"Technology Manager","Squad"))))))))</f>
        <v>Squad</v>
      </c>
      <c r="AL441" s="534" t="str">
        <f>IF(TRIM($B441)="","",IF(AND($AM441=1,LEFT($AJ441,4)&lt;&gt;"EGI ",$AJ441&lt;&gt;"EGI"),IFERROR(INDEX(Lists!$Z$2:$Z$20,MATCH($AH441,Lists!$Y$2:$Y$20,0)),"EGI "&amp;$AH441),IF(COUNTIF(Lists!$AU$2:$AU$10,$AJ441),$AJ441,IF(OR(LEFT($AH441,3)="COE",$AH441="EGI"),$AJ441,IF($AK441&lt;&gt;"Squad",$AK441,$AJ441)))))</f>
        <v>Technology Support</v>
      </c>
      <c r="AM441" s="534" t="b">
        <f>IF(TRIM($B441)="","",--(UPPER(TRIM($K441))="EGI"))</f>
        <v>0</v>
      </c>
      <c r="AQ441" s="841" t="inlineStr">
        <is>
          <t>R0440</t>
        </is>
      </c>
      <c r="AZ441" s="841" t="n"/>
    </row>
    <row r="442" ht="18" customHeight="1" s="535">
      <c r="A442" s="842" t="n">
        <v>92697</v>
      </c>
      <c r="B442" s="843" t="inlineStr">
        <is>
          <t>Radek Rybar</t>
        </is>
      </c>
      <c r="C442" s="842" t="n">
        <v>92697</v>
      </c>
      <c r="D442" s="843" t="inlineStr">
        <is>
          <t>Technology Support Engineer - Infrastructure</t>
        </is>
      </c>
      <c r="E442" s="843" t="inlineStr">
        <is>
          <t>Glenn Earl</t>
        </is>
      </c>
      <c r="F442" s="843" t="inlineStr">
        <is>
          <t>Lead Support, Infrastructure</t>
        </is>
      </c>
      <c r="G442" s="844" t="inlineStr">
        <is>
          <t>TDD CFE&amp;I</t>
        </is>
      </c>
      <c r="H442" s="843" t="inlineStr">
        <is>
          <t>Fuel Infrastructure</t>
        </is>
      </c>
      <c r="I442" s="843" t="inlineStr">
        <is>
          <t>Refinery Applications</t>
        </is>
      </c>
      <c r="J442" s="843" t="inlineStr">
        <is>
          <t>Infrastructure</t>
        </is>
      </c>
      <c r="K442" s="843" t="inlineStr">
        <is>
          <t>Fuel Infrastructure</t>
        </is>
      </c>
      <c r="L442" s="843" t="inlineStr">
        <is>
          <t>Technology Suport</t>
        </is>
      </c>
      <c r="M442" s="843" t="n"/>
      <c r="N442" s="845" t="inlineStr">
        <is>
          <t>Australia</t>
        </is>
      </c>
      <c r="O442" s="846" t="inlineStr">
        <is>
          <t>CIA</t>
        </is>
      </c>
      <c r="P442" s="847" t="n">
        <v>1</v>
      </c>
      <c r="Q442" s="846" t="n"/>
      <c r="R442" s="847" t="inlineStr">
        <is>
          <t>Permanent - Full Time</t>
        </is>
      </c>
      <c r="S442" s="847" t="n"/>
      <c r="T442" s="847" t="n"/>
      <c r="U442" s="848" t="n">
        <v>116880</v>
      </c>
      <c r="V442" s="849" t="n">
        <v>116880</v>
      </c>
      <c r="W442" s="850" t="n">
        <v>0.1</v>
      </c>
      <c r="X442" s="847" t="n">
        <v>0.055</v>
      </c>
      <c r="Y442" s="850" t="n">
        <v>0.12</v>
      </c>
      <c r="Z442" s="851" t="n"/>
      <c r="AA442" s="850" t="n">
        <v>0.04</v>
      </c>
      <c r="AB442" s="852" t="n">
        <v>153697.2</v>
      </c>
      <c r="AD442" s="866" t="n"/>
      <c r="AE442" s="866">
        <f>IF(TRIM($B442)="","",IF(AND(N($P442)&gt;0,N($P442)&lt;1),N($AB442)*N($P442),N($AB442)))</f>
        <v>153697.2</v>
      </c>
      <c r="AF442" s="866" t="str">
        <f>IF(TRIM($B442)="","",IF(OR(ISNUMBER(SEARCH("vacant",$B442)),ISNUMBER(SEARCH("ring fenced",$B442)),LOWER(TRIM($B442))="remove"),"Vacant","Filled"))</f>
        <v>Filled</v>
      </c>
      <c r="AG442" s="866" t="b">
        <f>IF(TRIM($B442)="","",--ISNUMBER(SEARCH("ring fenced",$B442)))</f>
        <v>0</v>
      </c>
      <c r="AH442" s="866" t="str">
        <f>IF(TRIM($B442)="","",IF(COUNTIFS(Lists!$AN$2:$AN$22,TRIM($B442)&amp;" | "&amp;TRIM($D442),Lists!$AO$2:$AO$22,"&lt;&gt;"),INDEX(Lists!$AO$2:$AO$22,MATCH(TRIM($B442)&amp;" | "&amp;TRIM($D442),Lists!$AN$2:$AN$22,0)),IF(COUNTIF(Lists!$AR$2:$AR$3,$AJ442),"TDD Cyber",IF(AND(LEFT($AJ442,4)="EGI ",ISNUMBER(MATCH(TRIM(MID($AJ442,5,99)),Lists!$AS$2:$AS$12,0))),TRIM(MID($AJ442,5,99)),IF(AND(LEFT($AJ442,4)="EGI ",ISNUMBER(MATCH(TRIM(MID($AJ442,5,99)),Lists!$T$2:$T$21,0))),INDEX(Lists!$U$2:$U$21,MATCH(TRIM(MID($AJ442,5,99)),Lists!$T$2:$T$21,0)),IF(OR(TRIM($J442)="",UPPER(TRIM($J442))="NA"),IFERROR(INDEX(Lists!$R$2:$R$9,MATCH(TRIM($G442),Lists!$Q$2:$Q$9,0)),"UNMAPPED"),IFERROR(INDEX(Lists!$U$2:$U$21,MATCH(TRIM($J442),Lists!$T$2:$T$21,0)),IFERROR(INDEX(Lists!$R$2:$R$9,MATCH(TRIM($G442),Lists!$Q$2:$Q$9,0)),"UNMAPPED"))))))))</f>
        <v>Infrastructure</v>
      </c>
      <c r="AI442" s="534" t="b">
        <f>IF(TRIM($B442)="","",--OR(TRIM($L442)="Leadership",TRIM($K442)="Leadership"))</f>
        <v>0</v>
      </c>
      <c r="AJ442" s="534" t="str">
        <f>IF(TRIM($B442)="","",IF(COUNTIFS(Lists!$AN$2:$AN$22,TRIM($B442)&amp;" | "&amp;TRIM($D442),Lists!$AP$2:$AP$22,"&lt;&gt;"),INDEX(Lists!$AP$2:$AP$22,MATCH(TRIM($B442)&amp;" | "&amp;TRIM($D442),Lists!$AN$2:$AN$22,0)),IF($AI442=1,"Leadership",IFERROR(INDEX(Lists!$X$2:$X$21,MATCH(TRIM($L442),Lists!$W$2:$W$21,0)),IF(OR(TRIM($L442)="",LOWER(TRIM($L442))="na"),IF(TRIM($H442)="","Unassigned",TRIM($H442)),TRIM($L442))))))</f>
        <v>Technology Support</v>
      </c>
      <c r="AK442" s="534" t="str">
        <f>IF(TRIM($B442)="","",IF(COUNTIFS(Lists!$AN$2:$AN$22,TRIM($B442)&amp;" | "&amp;TRIM($D442),Lists!$AQ$2:$AQ$22,"&lt;&gt;"),INDEX(Lists!$AQ$2:$AQ$22,MATCH(TRIM($B442)&amp;" | "&amp;TRIM($D442),Lists!$AN$2:$AN$22,0)),IF(COUNTIF(Lists!$AF$2:$AF$8,$AJ442),$AJ442,IF(ISNUMBER(SEARCH("head of ",$D442)),"Head of Technology",IF(ISNUMBER(SEARCH("TDD BP",$D442)),"Business Partner",IF(OR(ISNUMBER(SEARCH("domain architect",$D442)),ISNUMBER(SEARCH("enterprise architect",$D442))),"Domain Architect",IF(ISNUMBER(SEARCH("delivery man",$D442)),"Delivery Manager",IF(OR(ISNUMBER(SEARCH("technology manager",$D442)),ISNUMBER(SEARCH("technology manger",$D442)),ISNUMBER(SEARCH("tech manager",$D442))),"Technology Manager","Squad"))))))))</f>
        <v>Squad</v>
      </c>
      <c r="AL442" s="534" t="str">
        <f>IF(TRIM($B442)="","",IF(AND($AM442=1,LEFT($AJ442,4)&lt;&gt;"EGI ",$AJ442&lt;&gt;"EGI"),IFERROR(INDEX(Lists!$Z$2:$Z$20,MATCH($AH442,Lists!$Y$2:$Y$20,0)),"EGI "&amp;$AH442),IF(COUNTIF(Lists!$AU$2:$AU$10,$AJ442),$AJ442,IF(OR(LEFT($AH442,3)="COE",$AH442="EGI"),$AJ442,IF($AK442&lt;&gt;"Squad",$AK442,$AJ442)))))</f>
        <v>Technology Support</v>
      </c>
      <c r="AM442" s="534" t="b">
        <f>IF(TRIM($B442)="","",--(UPPER(TRIM($K442))="EGI"))</f>
        <v>0</v>
      </c>
      <c r="AQ442" s="841" t="inlineStr">
        <is>
          <t>R0441</t>
        </is>
      </c>
      <c r="AZ442" s="841" t="n"/>
    </row>
    <row r="443" ht="18" customHeight="1" s="535">
      <c r="A443" s="842" t="n">
        <v>109362</v>
      </c>
      <c r="B443" s="843" t="inlineStr">
        <is>
          <t>Scott Hasson</t>
        </is>
      </c>
      <c r="C443" s="842" t="n">
        <v>109362</v>
      </c>
      <c r="D443" s="843" t="inlineStr">
        <is>
          <t>Technology Support Engineer - Infrastructure</t>
        </is>
      </c>
      <c r="E443" s="843" t="inlineStr">
        <is>
          <t>Glenn Earl</t>
        </is>
      </c>
      <c r="F443" s="843" t="inlineStr">
        <is>
          <t>Lead Support, Infrastructure</t>
        </is>
      </c>
      <c r="G443" s="844" t="inlineStr">
        <is>
          <t>TDD CFE&amp;I</t>
        </is>
      </c>
      <c r="H443" s="843" t="inlineStr">
        <is>
          <t>Fuel Infrastructure</t>
        </is>
      </c>
      <c r="I443" s="843" t="inlineStr">
        <is>
          <t>Refinery Applications</t>
        </is>
      </c>
      <c r="J443" s="843" t="inlineStr">
        <is>
          <t>Infrastructure</t>
        </is>
      </c>
      <c r="K443" s="843" t="inlineStr">
        <is>
          <t>Fuel Infrastructure</t>
        </is>
      </c>
      <c r="L443" s="843" t="inlineStr">
        <is>
          <t>Technology Suport</t>
        </is>
      </c>
      <c r="M443" s="843" t="n"/>
      <c r="N443" s="845" t="inlineStr">
        <is>
          <t>Australia</t>
        </is>
      </c>
      <c r="O443" s="846" t="inlineStr">
        <is>
          <t>CIA</t>
        </is>
      </c>
      <c r="P443" s="847" t="n">
        <v>1</v>
      </c>
      <c r="Q443" s="846" t="n"/>
      <c r="R443" s="847" t="inlineStr">
        <is>
          <t>Permanent - Full Time</t>
        </is>
      </c>
      <c r="S443" s="847" t="n"/>
      <c r="T443" s="847" t="n"/>
      <c r="U443" s="848" t="n">
        <v>111580</v>
      </c>
      <c r="V443" s="849" t="n">
        <v>111580</v>
      </c>
      <c r="W443" s="850" t="n">
        <v>0.1</v>
      </c>
      <c r="X443" s="847" t="n">
        <v>0.055</v>
      </c>
      <c r="Y443" s="850" t="n">
        <v>0.12</v>
      </c>
      <c r="Z443" s="851" t="n"/>
      <c r="AA443" s="850" t="n">
        <v>0.04</v>
      </c>
      <c r="AB443" s="852" t="n">
        <v>146727.7</v>
      </c>
      <c r="AD443" s="866" t="n"/>
      <c r="AE443" s="866">
        <f>IF(TRIM($B443)="","",IF(AND(N($P443)&gt;0,N($P443)&lt;1),N($AB443)*N($P443),N($AB443)))</f>
        <v>146727.7</v>
      </c>
      <c r="AF443" s="866" t="str">
        <f>IF(TRIM($B443)="","",IF(OR(ISNUMBER(SEARCH("vacant",$B443)),ISNUMBER(SEARCH("ring fenced",$B443)),LOWER(TRIM($B443))="remove"),"Vacant","Filled"))</f>
        <v>Filled</v>
      </c>
      <c r="AG443" s="866" t="b">
        <f>IF(TRIM($B443)="","",--ISNUMBER(SEARCH("ring fenced",$B443)))</f>
        <v>0</v>
      </c>
      <c r="AH443" s="866" t="str">
        <f>IF(TRIM($B443)="","",IF(COUNTIFS(Lists!$AN$2:$AN$22,TRIM($B443)&amp;" | "&amp;TRIM($D443),Lists!$AO$2:$AO$22,"&lt;&gt;"),INDEX(Lists!$AO$2:$AO$22,MATCH(TRIM($B443)&amp;" | "&amp;TRIM($D443),Lists!$AN$2:$AN$22,0)),IF(COUNTIF(Lists!$AR$2:$AR$3,$AJ443),"TDD Cyber",IF(AND(LEFT($AJ443,4)="EGI ",ISNUMBER(MATCH(TRIM(MID($AJ443,5,99)),Lists!$AS$2:$AS$12,0))),TRIM(MID($AJ443,5,99)),IF(AND(LEFT($AJ443,4)="EGI ",ISNUMBER(MATCH(TRIM(MID($AJ443,5,99)),Lists!$T$2:$T$21,0))),INDEX(Lists!$U$2:$U$21,MATCH(TRIM(MID($AJ443,5,99)),Lists!$T$2:$T$21,0)),IF(OR(TRIM($J443)="",UPPER(TRIM($J443))="NA"),IFERROR(INDEX(Lists!$R$2:$R$9,MATCH(TRIM($G443),Lists!$Q$2:$Q$9,0)),"UNMAPPED"),IFERROR(INDEX(Lists!$U$2:$U$21,MATCH(TRIM($J443),Lists!$T$2:$T$21,0)),IFERROR(INDEX(Lists!$R$2:$R$9,MATCH(TRIM($G443),Lists!$Q$2:$Q$9,0)),"UNMAPPED"))))))))</f>
        <v>Infrastructure</v>
      </c>
      <c r="AI443" s="534" t="b">
        <f>IF(TRIM($B443)="","",--OR(TRIM($L443)="Leadership",TRIM($K443)="Leadership"))</f>
        <v>0</v>
      </c>
      <c r="AJ443" s="534" t="str">
        <f>IF(TRIM($B443)="","",IF(COUNTIFS(Lists!$AN$2:$AN$22,TRIM($B443)&amp;" | "&amp;TRIM($D443),Lists!$AP$2:$AP$22,"&lt;&gt;"),INDEX(Lists!$AP$2:$AP$22,MATCH(TRIM($B443)&amp;" | "&amp;TRIM($D443),Lists!$AN$2:$AN$22,0)),IF($AI443=1,"Leadership",IFERROR(INDEX(Lists!$X$2:$X$21,MATCH(TRIM($L443),Lists!$W$2:$W$21,0)),IF(OR(TRIM($L443)="",LOWER(TRIM($L443))="na"),IF(TRIM($H443)="","Unassigned",TRIM($H443)),TRIM($L443))))))</f>
        <v>Technology Support</v>
      </c>
      <c r="AK443" s="534" t="str">
        <f>IF(TRIM($B443)="","",IF(COUNTIFS(Lists!$AN$2:$AN$22,TRIM($B443)&amp;" | "&amp;TRIM($D443),Lists!$AQ$2:$AQ$22,"&lt;&gt;"),INDEX(Lists!$AQ$2:$AQ$22,MATCH(TRIM($B443)&amp;" | "&amp;TRIM($D443),Lists!$AN$2:$AN$22,0)),IF(COUNTIF(Lists!$AF$2:$AF$8,$AJ443),$AJ443,IF(ISNUMBER(SEARCH("head of ",$D443)),"Head of Technology",IF(ISNUMBER(SEARCH("TDD BP",$D443)),"Business Partner",IF(OR(ISNUMBER(SEARCH("domain architect",$D443)),ISNUMBER(SEARCH("enterprise architect",$D443))),"Domain Architect",IF(ISNUMBER(SEARCH("delivery man",$D443)),"Delivery Manager",IF(OR(ISNUMBER(SEARCH("technology manager",$D443)),ISNUMBER(SEARCH("technology manger",$D443)),ISNUMBER(SEARCH("tech manager",$D443))),"Technology Manager","Squad"))))))))</f>
        <v>Squad</v>
      </c>
      <c r="AL443" s="534" t="str">
        <f>IF(TRIM($B443)="","",IF(AND($AM443=1,LEFT($AJ443,4)&lt;&gt;"EGI ",$AJ443&lt;&gt;"EGI"),IFERROR(INDEX(Lists!$Z$2:$Z$20,MATCH($AH443,Lists!$Y$2:$Y$20,0)),"EGI "&amp;$AH443),IF(COUNTIF(Lists!$AU$2:$AU$10,$AJ443),$AJ443,IF(OR(LEFT($AH443,3)="COE",$AH443="EGI"),$AJ443,IF($AK443&lt;&gt;"Squad",$AK443,$AJ443)))))</f>
        <v>Technology Support</v>
      </c>
      <c r="AM443" s="534" t="b">
        <f>IF(TRIM($B443)="","",--(UPPER(TRIM($K443))="EGI"))</f>
        <v>0</v>
      </c>
      <c r="AQ443" s="841" t="inlineStr">
        <is>
          <t>R0442</t>
        </is>
      </c>
      <c r="AZ443" s="841" t="n"/>
    </row>
    <row r="444" ht="18" customHeight="1" s="535">
      <c r="A444" s="842" t="n">
        <v>113511</v>
      </c>
      <c r="B444" s="843" t="inlineStr">
        <is>
          <t>Anie Camerino</t>
        </is>
      </c>
      <c r="C444" s="842" t="n">
        <v>113511</v>
      </c>
      <c r="D444" s="843" t="inlineStr">
        <is>
          <t>Snr Quality Assurance</t>
        </is>
      </c>
      <c r="E444" s="843" t="inlineStr">
        <is>
          <t>Hitesh Patel</t>
        </is>
      </c>
      <c r="F444" s="843" t="inlineStr">
        <is>
          <t>Technology Manager, Energy Solutions</t>
        </is>
      </c>
      <c r="G444" s="844" t="inlineStr">
        <is>
          <t>TDD CFE&amp;I</t>
        </is>
      </c>
      <c r="H444" s="843" t="inlineStr">
        <is>
          <t>B2B &amp; Energy Solutions</t>
        </is>
      </c>
      <c r="I444" s="843" t="inlineStr">
        <is>
          <t>Technology Energy Solutions</t>
        </is>
      </c>
      <c r="J444" s="843" t="inlineStr">
        <is>
          <t>B2B &amp; Energy Solutions</t>
        </is>
      </c>
      <c r="K444" s="843" t="inlineStr">
        <is>
          <t>Energy Solutions</t>
        </is>
      </c>
      <c r="L444" s="843" t="inlineStr">
        <is>
          <t>EVCI</t>
        </is>
      </c>
      <c r="M444" s="843" t="n"/>
      <c r="N444" s="845" t="inlineStr">
        <is>
          <t>NZ</t>
        </is>
      </c>
      <c r="O444" s="846" t="inlineStr">
        <is>
          <t>CIA</t>
        </is>
      </c>
      <c r="P444" s="847" t="n">
        <v>1</v>
      </c>
      <c r="Q444" s="847" t="n"/>
      <c r="R444" s="847" t="inlineStr">
        <is>
          <t>Permanent - Full Time</t>
        </is>
      </c>
      <c r="S444" s="847" t="n"/>
      <c r="T444" s="847" t="n"/>
      <c r="U444" s="848" t="n">
        <v>133080</v>
      </c>
      <c r="V444" s="849" t="n">
        <v>122433.6</v>
      </c>
      <c r="W444" s="850" t="n">
        <v>0.15</v>
      </c>
      <c r="X444" s="847" t="n"/>
      <c r="Y444" s="850" t="n">
        <v>0.05</v>
      </c>
      <c r="Z444" s="851" t="n">
        <v>2910</v>
      </c>
      <c r="AA444" s="850" t="n">
        <v>0.03</v>
      </c>
      <c r="AB444" s="852" t="n">
        <v>153503.328</v>
      </c>
      <c r="AD444" s="866" t="n"/>
      <c r="AE444" s="866">
        <f>IF(TRIM($B444)="","",IF(AND(N($P444)&gt;0,N($P444)&lt;1),N($AB444)*N($P444),N($AB444)))</f>
        <v>153503.328</v>
      </c>
      <c r="AF444" s="866" t="str">
        <f>IF(TRIM($B444)="","",IF(OR(ISNUMBER(SEARCH("vacant",$B444)),ISNUMBER(SEARCH("ring fenced",$B444)),LOWER(TRIM($B444))="remove"),"Vacant","Filled"))</f>
        <v>Filled</v>
      </c>
      <c r="AG444" s="866" t="b">
        <f>IF(TRIM($B444)="","",--ISNUMBER(SEARCH("ring fenced",$B444)))</f>
        <v>0</v>
      </c>
      <c r="AH444" s="866" t="str">
        <f>IF(TRIM($B444)="","",IF(COUNTIFS(Lists!$AN$2:$AN$22,TRIM($B444)&amp;" | "&amp;TRIM($D444),Lists!$AO$2:$AO$22,"&lt;&gt;"),INDEX(Lists!$AO$2:$AO$22,MATCH(TRIM($B444)&amp;" | "&amp;TRIM($D444),Lists!$AN$2:$AN$22,0)),IF(COUNTIF(Lists!$AR$2:$AR$3,$AJ444),"TDD Cyber",IF(AND(LEFT($AJ444,4)="EGI ",ISNUMBER(MATCH(TRIM(MID($AJ444,5,99)),Lists!$AS$2:$AS$12,0))),TRIM(MID($AJ444,5,99)),IF(AND(LEFT($AJ444,4)="EGI ",ISNUMBER(MATCH(TRIM(MID($AJ444,5,99)),Lists!$T$2:$T$21,0))),INDEX(Lists!$U$2:$U$21,MATCH(TRIM(MID($AJ444,5,99)),Lists!$T$2:$T$21,0)),IF(OR(TRIM($J444)="",UPPER(TRIM($J444))="NA"),IFERROR(INDEX(Lists!$R$2:$R$9,MATCH(TRIM($G444),Lists!$Q$2:$Q$9,0)),"UNMAPPED"),IFERROR(INDEX(Lists!$U$2:$U$21,MATCH(TRIM($J444),Lists!$T$2:$T$21,0)),IFERROR(INDEX(Lists!$R$2:$R$9,MATCH(TRIM($G444),Lists!$Q$2:$Q$9,0)),"UNMAPPED"))))))))</f>
        <v>Energy Solutions &amp; B2B</v>
      </c>
      <c r="AI444" s="534" t="b">
        <f>IF(TRIM($B444)="","",--OR(TRIM($L444)="Leadership",TRIM($K444)="Leadership"))</f>
        <v>0</v>
      </c>
      <c r="AJ444" s="534" t="str">
        <f>IF(TRIM($B444)="","",IF(COUNTIFS(Lists!$AN$2:$AN$22,TRIM($B444)&amp;" | "&amp;TRIM($D444),Lists!$AP$2:$AP$22,"&lt;&gt;"),INDEX(Lists!$AP$2:$AP$22,MATCH(TRIM($B444)&amp;" | "&amp;TRIM($D444),Lists!$AN$2:$AN$22,0)),IF($AI444=1,"Leadership",IFERROR(INDEX(Lists!$X$2:$X$21,MATCH(TRIM($L444),Lists!$W$2:$W$21,0)),IF(OR(TRIM($L444)="",LOWER(TRIM($L444))="na"),IF(TRIM($H444)="","Unassigned",TRIM($H444)),TRIM($L444))))))</f>
        <v>EVCI</v>
      </c>
      <c r="AK444" s="534" t="str">
        <f>IF(TRIM($B444)="","",IF(COUNTIFS(Lists!$AN$2:$AN$22,TRIM($B444)&amp;" | "&amp;TRIM($D444),Lists!$AQ$2:$AQ$22,"&lt;&gt;"),INDEX(Lists!$AQ$2:$AQ$22,MATCH(TRIM($B444)&amp;" | "&amp;TRIM($D444),Lists!$AN$2:$AN$22,0)),IF(COUNTIF(Lists!$AF$2:$AF$8,$AJ444),$AJ444,IF(ISNUMBER(SEARCH("head of ",$D444)),"Head of Technology",IF(ISNUMBER(SEARCH("TDD BP",$D444)),"Business Partner",IF(OR(ISNUMBER(SEARCH("domain architect",$D444)),ISNUMBER(SEARCH("enterprise architect",$D444))),"Domain Architect",IF(ISNUMBER(SEARCH("delivery man",$D444)),"Delivery Manager",IF(OR(ISNUMBER(SEARCH("technology manager",$D444)),ISNUMBER(SEARCH("technology manger",$D444)),ISNUMBER(SEARCH("tech manager",$D444))),"Technology Manager","Squad"))))))))</f>
        <v>Squad</v>
      </c>
      <c r="AL444" s="534" t="str">
        <f>IF(TRIM($B444)="","",IF(AND($AM444=1,LEFT($AJ444,4)&lt;&gt;"EGI ",$AJ444&lt;&gt;"EGI"),IFERROR(INDEX(Lists!$Z$2:$Z$20,MATCH($AH444,Lists!$Y$2:$Y$20,0)),"EGI "&amp;$AH444),IF(COUNTIF(Lists!$AU$2:$AU$10,$AJ444),$AJ444,IF(OR(LEFT($AH444,3)="COE",$AH444="EGI"),$AJ444,IF($AK444&lt;&gt;"Squad",$AK444,$AJ444)))))</f>
        <v>EVCI</v>
      </c>
      <c r="AM444" s="534" t="b">
        <f>IF(TRIM($B444)="","",--(UPPER(TRIM($K444))="EGI"))</f>
        <v>0</v>
      </c>
      <c r="AQ444" s="841" t="inlineStr">
        <is>
          <t>R0443</t>
        </is>
      </c>
      <c r="AZ444" s="841" t="n"/>
    </row>
    <row r="445" ht="18" customHeight="1" s="535">
      <c r="A445" s="842" t="n">
        <v>102576</v>
      </c>
      <c r="B445" s="843" t="inlineStr">
        <is>
          <t>Glenn Earl</t>
        </is>
      </c>
      <c r="C445" s="842" t="n">
        <v>102576</v>
      </c>
      <c r="D445" s="843" t="inlineStr">
        <is>
          <t>Lead Technology Support - Infrastructure</t>
        </is>
      </c>
      <c r="E445" s="843" t="inlineStr">
        <is>
          <t>Jaya Ganasan</t>
        </is>
      </c>
      <c r="F445" s="843" t="inlineStr">
        <is>
          <t>Technology Manager, TDD Refinery</t>
        </is>
      </c>
      <c r="G445" s="844" t="inlineStr">
        <is>
          <t>TDD CFE&amp;I</t>
        </is>
      </c>
      <c r="H445" s="843" t="inlineStr">
        <is>
          <t>Fuel Infrastructure</t>
        </is>
      </c>
      <c r="I445" s="843" t="inlineStr">
        <is>
          <t>Refinery Applications</t>
        </is>
      </c>
      <c r="J445" s="843" t="inlineStr">
        <is>
          <t>Infrastructure</t>
        </is>
      </c>
      <c r="K445" s="843" t="inlineStr">
        <is>
          <t>Fuel Infrastructure</t>
        </is>
      </c>
      <c r="L445" s="843" t="inlineStr">
        <is>
          <t>Technology Suport</t>
        </is>
      </c>
      <c r="M445" s="843" t="n"/>
      <c r="N445" s="845" t="inlineStr">
        <is>
          <t>Australia</t>
        </is>
      </c>
      <c r="O445" s="846" t="inlineStr">
        <is>
          <t>CIA</t>
        </is>
      </c>
      <c r="P445" s="847" t="n">
        <v>1</v>
      </c>
      <c r="Q445" s="847" t="n"/>
      <c r="R445" s="847" t="inlineStr">
        <is>
          <t>Permanent - Full Time</t>
        </is>
      </c>
      <c r="S445" s="847" t="n"/>
      <c r="T445" s="847" t="n"/>
      <c r="U445" s="848" t="n">
        <v>130260</v>
      </c>
      <c r="V445" s="849" t="n">
        <v>130260</v>
      </c>
      <c r="W445" s="850" t="n">
        <v>0.1</v>
      </c>
      <c r="X445" s="847" t="n">
        <v>0.055</v>
      </c>
      <c r="Y445" s="850" t="n">
        <v>0.12</v>
      </c>
      <c r="Z445" s="851" t="n"/>
      <c r="AA445" s="850" t="n">
        <v>0.04</v>
      </c>
      <c r="AB445" s="852" t="n">
        <v>171291.9</v>
      </c>
      <c r="AD445" s="866" t="n"/>
      <c r="AE445" s="866">
        <f>IF(TRIM($B445)="","",IF(AND(N($P445)&gt;0,N($P445)&lt;1),N($AB445)*N($P445),N($AB445)))</f>
        <v>171291.9</v>
      </c>
      <c r="AF445" s="866" t="str">
        <f>IF(TRIM($B445)="","",IF(OR(ISNUMBER(SEARCH("vacant",$B445)),ISNUMBER(SEARCH("ring fenced",$B445)),LOWER(TRIM($B445))="remove"),"Vacant","Filled"))</f>
        <v>Filled</v>
      </c>
      <c r="AG445" s="866" t="b">
        <f>IF(TRIM($B445)="","",--ISNUMBER(SEARCH("ring fenced",$B445)))</f>
        <v>0</v>
      </c>
      <c r="AH445" s="866" t="str">
        <f>IF(TRIM($B445)="","",IF(COUNTIFS(Lists!$AN$2:$AN$22,TRIM($B445)&amp;" | "&amp;TRIM($D445),Lists!$AO$2:$AO$22,"&lt;&gt;"),INDEX(Lists!$AO$2:$AO$22,MATCH(TRIM($B445)&amp;" | "&amp;TRIM($D445),Lists!$AN$2:$AN$22,0)),IF(COUNTIF(Lists!$AR$2:$AR$3,$AJ445),"TDD Cyber",IF(AND(LEFT($AJ445,4)="EGI ",ISNUMBER(MATCH(TRIM(MID($AJ445,5,99)),Lists!$AS$2:$AS$12,0))),TRIM(MID($AJ445,5,99)),IF(AND(LEFT($AJ445,4)="EGI ",ISNUMBER(MATCH(TRIM(MID($AJ445,5,99)),Lists!$T$2:$T$21,0))),INDEX(Lists!$U$2:$U$21,MATCH(TRIM(MID($AJ445,5,99)),Lists!$T$2:$T$21,0)),IF(OR(TRIM($J445)="",UPPER(TRIM($J445))="NA"),IFERROR(INDEX(Lists!$R$2:$R$9,MATCH(TRIM($G445),Lists!$Q$2:$Q$9,0)),"UNMAPPED"),IFERROR(INDEX(Lists!$U$2:$U$21,MATCH(TRIM($J445),Lists!$T$2:$T$21,0)),IFERROR(INDEX(Lists!$R$2:$R$9,MATCH(TRIM($G445),Lists!$Q$2:$Q$9,0)),"UNMAPPED"))))))))</f>
        <v>Infrastructure</v>
      </c>
      <c r="AI445" s="534" t="b">
        <f>IF(TRIM($B445)="","",--OR(TRIM($L445)="Leadership",TRIM($K445)="Leadership"))</f>
        <v>0</v>
      </c>
      <c r="AJ445" s="534" t="str">
        <f>IF(TRIM($B445)="","",IF(COUNTIFS(Lists!$AN$2:$AN$22,TRIM($B445)&amp;" | "&amp;TRIM($D445),Lists!$AP$2:$AP$22,"&lt;&gt;"),INDEX(Lists!$AP$2:$AP$22,MATCH(TRIM($B445)&amp;" | "&amp;TRIM($D445),Lists!$AN$2:$AN$22,0)),IF($AI445=1,"Leadership",IFERROR(INDEX(Lists!$X$2:$X$21,MATCH(TRIM($L445),Lists!$W$2:$W$21,0)),IF(OR(TRIM($L445)="",LOWER(TRIM($L445))="na"),IF(TRIM($H445)="","Unassigned",TRIM($H445)),TRIM($L445))))))</f>
        <v>Technology Support</v>
      </c>
      <c r="AK445" s="534" t="str">
        <f>IF(TRIM($B445)="","",IF(COUNTIFS(Lists!$AN$2:$AN$22,TRIM($B445)&amp;" | "&amp;TRIM($D445),Lists!$AQ$2:$AQ$22,"&lt;&gt;"),INDEX(Lists!$AQ$2:$AQ$22,MATCH(TRIM($B445)&amp;" | "&amp;TRIM($D445),Lists!$AN$2:$AN$22,0)),IF(COUNTIF(Lists!$AF$2:$AF$8,$AJ445),$AJ445,IF(ISNUMBER(SEARCH("head of ",$D445)),"Head of Technology",IF(ISNUMBER(SEARCH("TDD BP",$D445)),"Business Partner",IF(OR(ISNUMBER(SEARCH("domain architect",$D445)),ISNUMBER(SEARCH("enterprise architect",$D445))),"Domain Architect",IF(ISNUMBER(SEARCH("delivery man",$D445)),"Delivery Manager",IF(OR(ISNUMBER(SEARCH("technology manager",$D445)),ISNUMBER(SEARCH("technology manger",$D445)),ISNUMBER(SEARCH("tech manager",$D445))),"Technology Manager","Squad"))))))))</f>
        <v>Squad</v>
      </c>
      <c r="AL445" s="534" t="str">
        <f>IF(TRIM($B445)="","",IF(AND($AM445=1,LEFT($AJ445,4)&lt;&gt;"EGI ",$AJ445&lt;&gt;"EGI"),IFERROR(INDEX(Lists!$Z$2:$Z$20,MATCH($AH445,Lists!$Y$2:$Y$20,0)),"EGI "&amp;$AH445),IF(COUNTIF(Lists!$AU$2:$AU$10,$AJ445),$AJ445,IF(OR(LEFT($AH445,3)="COE",$AH445="EGI"),$AJ445,IF($AK445&lt;&gt;"Squad",$AK445,$AJ445)))))</f>
        <v>Technology Support</v>
      </c>
      <c r="AM445" s="534" t="b">
        <f>IF(TRIM($B445)="","",--(UPPER(TRIM($K445))="EGI"))</f>
        <v>0</v>
      </c>
      <c r="AQ445" s="841" t="inlineStr">
        <is>
          <t>R0444</t>
        </is>
      </c>
      <c r="AZ445" s="841" t="n"/>
    </row>
    <row r="446" ht="18" customHeight="1" s="535">
      <c r="A446" s="842" t="n">
        <v>110040</v>
      </c>
      <c r="B446" s="843" t="inlineStr">
        <is>
          <t>Tyler Meggs</t>
        </is>
      </c>
      <c r="C446" s="842" t="n">
        <v>110040</v>
      </c>
      <c r="D446" s="843" t="inlineStr">
        <is>
          <t>System Analyst</t>
        </is>
      </c>
      <c r="E446" s="843" t="inlineStr">
        <is>
          <t>Jaya Ganasan</t>
        </is>
      </c>
      <c r="F446" s="843" t="inlineStr">
        <is>
          <t>Technology Manager, TDD Refinery</t>
        </is>
      </c>
      <c r="G446" s="844" t="inlineStr">
        <is>
          <t>TDD CFE&amp;I</t>
        </is>
      </c>
      <c r="H446" s="843" t="inlineStr">
        <is>
          <t>Fuel Infrastructure</t>
        </is>
      </c>
      <c r="I446" s="843" t="inlineStr">
        <is>
          <t>Refinery Applications</t>
        </is>
      </c>
      <c r="J446" s="843" t="inlineStr">
        <is>
          <t>Infrastructure</t>
        </is>
      </c>
      <c r="K446" s="843" t="inlineStr">
        <is>
          <t>Manufacturing</t>
        </is>
      </c>
      <c r="L446" s="843" t="inlineStr">
        <is>
          <t>Manufacturing Group Projects</t>
        </is>
      </c>
      <c r="M446" s="843" t="n"/>
      <c r="N446" s="845" t="inlineStr">
        <is>
          <t>Australia</t>
        </is>
      </c>
      <c r="O446" s="846" t="inlineStr">
        <is>
          <t>CIA</t>
        </is>
      </c>
      <c r="P446" s="847" t="n">
        <v>1</v>
      </c>
      <c r="Q446" s="847" t="n"/>
      <c r="R446" s="847" t="inlineStr">
        <is>
          <t>Permanent - Full Time</t>
        </is>
      </c>
      <c r="S446" s="847" t="n"/>
      <c r="T446" s="847" t="n"/>
      <c r="U446" s="848" t="n">
        <v>110000</v>
      </c>
      <c r="V446" s="849" t="n">
        <v>110000</v>
      </c>
      <c r="W446" s="850" t="n">
        <v>0.1</v>
      </c>
      <c r="X446" s="847" t="n">
        <v>0.055</v>
      </c>
      <c r="Y446" s="850" t="n">
        <v>0.12</v>
      </c>
      <c r="Z446" s="851" t="n"/>
      <c r="AA446" s="850" t="n">
        <v>0.04</v>
      </c>
      <c r="AB446" s="852" t="n">
        <v>144650</v>
      </c>
      <c r="AD446" s="866" t="n"/>
      <c r="AE446" s="866">
        <f>IF(TRIM($B446)="","",IF(AND(N($P446)&gt;0,N($P446)&lt;1),N($AB446)*N($P446),N($AB446)))</f>
        <v>144650</v>
      </c>
      <c r="AF446" s="866" t="str">
        <f>IF(TRIM($B446)="","",IF(OR(ISNUMBER(SEARCH("vacant",$B446)),ISNUMBER(SEARCH("ring fenced",$B446)),LOWER(TRIM($B446))="remove"),"Vacant","Filled"))</f>
        <v>Filled</v>
      </c>
      <c r="AG446" s="866" t="b">
        <f>IF(TRIM($B446)="","",--ISNUMBER(SEARCH("ring fenced",$B446)))</f>
        <v>0</v>
      </c>
      <c r="AH446" s="866" t="str">
        <f>IF(TRIM($B446)="","",IF(COUNTIFS(Lists!$AN$2:$AN$22,TRIM($B446)&amp;" | "&amp;TRIM($D446),Lists!$AO$2:$AO$22,"&lt;&gt;"),INDEX(Lists!$AO$2:$AO$22,MATCH(TRIM($B446)&amp;" | "&amp;TRIM($D446),Lists!$AN$2:$AN$22,0)),IF(COUNTIF(Lists!$AR$2:$AR$3,$AJ446),"TDD Cyber",IF(AND(LEFT($AJ446,4)="EGI ",ISNUMBER(MATCH(TRIM(MID($AJ446,5,99)),Lists!$AS$2:$AS$12,0))),TRIM(MID($AJ446,5,99)),IF(AND(LEFT($AJ446,4)="EGI ",ISNUMBER(MATCH(TRIM(MID($AJ446,5,99)),Lists!$T$2:$T$21,0))),INDEX(Lists!$U$2:$U$21,MATCH(TRIM(MID($AJ446,5,99)),Lists!$T$2:$T$21,0)),IF(OR(TRIM($J446)="",UPPER(TRIM($J446))="NA"),IFERROR(INDEX(Lists!$R$2:$R$9,MATCH(TRIM($G446),Lists!$Q$2:$Q$9,0)),"UNMAPPED"),IFERROR(INDEX(Lists!$U$2:$U$21,MATCH(TRIM($J446),Lists!$T$2:$T$21,0)),IFERROR(INDEX(Lists!$R$2:$R$9,MATCH(TRIM($G446),Lists!$Q$2:$Q$9,0)),"UNMAPPED"))))))))</f>
        <v>Infrastructure</v>
      </c>
      <c r="AI446" s="534" t="b">
        <f>IF(TRIM($B446)="","",--OR(TRIM($L446)="Leadership",TRIM($K446)="Leadership"))</f>
        <v>0</v>
      </c>
      <c r="AJ446" s="534" t="str">
        <f>IF(TRIM($B446)="","",IF(COUNTIFS(Lists!$AN$2:$AN$22,TRIM($B446)&amp;" | "&amp;TRIM($D446),Lists!$AP$2:$AP$22,"&lt;&gt;"),INDEX(Lists!$AP$2:$AP$22,MATCH(TRIM($B446)&amp;" | "&amp;TRIM($D446),Lists!$AN$2:$AN$22,0)),IF($AI446=1,"Leadership",IFERROR(INDEX(Lists!$X$2:$X$21,MATCH(TRIM($L446),Lists!$W$2:$W$21,0)),IF(OR(TRIM($L446)="",LOWER(TRIM($L446))="na"),IF(TRIM($H446)="","Unassigned",TRIM($H446)),TRIM($L446))))))</f>
        <v>Manufacturing Group Projects</v>
      </c>
      <c r="AK446" s="534" t="str">
        <f>IF(TRIM($B446)="","",IF(COUNTIFS(Lists!$AN$2:$AN$22,TRIM($B446)&amp;" | "&amp;TRIM($D446),Lists!$AQ$2:$AQ$22,"&lt;&gt;"),INDEX(Lists!$AQ$2:$AQ$22,MATCH(TRIM($B446)&amp;" | "&amp;TRIM($D446),Lists!$AN$2:$AN$22,0)),IF(COUNTIF(Lists!$AF$2:$AF$8,$AJ446),$AJ446,IF(ISNUMBER(SEARCH("head of ",$D446)),"Head of Technology",IF(ISNUMBER(SEARCH("TDD BP",$D446)),"Business Partner",IF(OR(ISNUMBER(SEARCH("domain architect",$D446)),ISNUMBER(SEARCH("enterprise architect",$D446))),"Domain Architect",IF(ISNUMBER(SEARCH("delivery man",$D446)),"Delivery Manager",IF(OR(ISNUMBER(SEARCH("technology manager",$D446)),ISNUMBER(SEARCH("technology manger",$D446)),ISNUMBER(SEARCH("tech manager",$D446))),"Technology Manager","Squad"))))))))</f>
        <v>Squad</v>
      </c>
      <c r="AL446" s="534" t="str">
        <f>IF(TRIM($B446)="","",IF(AND($AM446=1,LEFT($AJ446,4)&lt;&gt;"EGI ",$AJ446&lt;&gt;"EGI"),IFERROR(INDEX(Lists!$Z$2:$Z$20,MATCH($AH446,Lists!$Y$2:$Y$20,0)),"EGI "&amp;$AH446),IF(COUNTIF(Lists!$AU$2:$AU$10,$AJ446),$AJ446,IF(OR(LEFT($AH446,3)="COE",$AH446="EGI"),$AJ446,IF($AK446&lt;&gt;"Squad",$AK446,$AJ446)))))</f>
        <v>Manufacturing Group Projects</v>
      </c>
      <c r="AM446" s="534" t="b">
        <f>IF(TRIM($B446)="","",--(UPPER(TRIM($K446))="EGI"))</f>
        <v>0</v>
      </c>
      <c r="AQ446" s="841" t="inlineStr">
        <is>
          <t>R0445</t>
        </is>
      </c>
      <c r="AZ446" s="841" t="n"/>
    </row>
    <row r="447" ht="18" customHeight="1" s="535">
      <c r="A447" s="842" t="inlineStr">
        <is>
          <t>V</t>
        </is>
      </c>
      <c r="B447" s="843" t="inlineStr">
        <is>
          <t>Vacant</t>
        </is>
      </c>
      <c r="C447" s="842" t="inlineStr">
        <is>
          <t>V</t>
        </is>
      </c>
      <c r="D447" s="843" t="inlineStr">
        <is>
          <t>Quality Assurance</t>
        </is>
      </c>
      <c r="E447" s="843" t="inlineStr">
        <is>
          <t>Jaya Ganasan</t>
        </is>
      </c>
      <c r="F447" s="843" t="inlineStr">
        <is>
          <t>Technology Manager, TDD Refinery</t>
        </is>
      </c>
      <c r="G447" s="844" t="inlineStr">
        <is>
          <t>TDD CFE&amp;I</t>
        </is>
      </c>
      <c r="H447" s="843" t="inlineStr">
        <is>
          <t>Fuel Infrastructure</t>
        </is>
      </c>
      <c r="I447" s="843" t="inlineStr">
        <is>
          <t>Refinery Applications</t>
        </is>
      </c>
      <c r="J447" s="843" t="inlineStr">
        <is>
          <t>Infrastructure</t>
        </is>
      </c>
      <c r="K447" s="843" t="inlineStr">
        <is>
          <t>Manufacturing</t>
        </is>
      </c>
      <c r="L447" s="843" t="inlineStr">
        <is>
          <t>Manufacturing Group Projects</t>
        </is>
      </c>
      <c r="M447" s="843" t="n"/>
      <c r="N447" s="845" t="inlineStr">
        <is>
          <t>Australia</t>
        </is>
      </c>
      <c r="O447" s="846" t="inlineStr">
        <is>
          <t>CIA</t>
        </is>
      </c>
      <c r="P447" s="847" t="n">
        <v>1</v>
      </c>
      <c r="Q447" s="846" t="n"/>
      <c r="R447" s="847" t="inlineStr">
        <is>
          <t>v</t>
        </is>
      </c>
      <c r="S447" s="847" t="n"/>
      <c r="T447" s="847" t="n"/>
      <c r="U447" s="848" t="n">
        <v>129650</v>
      </c>
      <c r="V447" s="849" t="n">
        <v>129650</v>
      </c>
      <c r="W447" s="850" t="n">
        <v>0.1</v>
      </c>
      <c r="X447" s="847" t="n">
        <v>0.055</v>
      </c>
      <c r="Y447" s="850" t="n">
        <v>0.12</v>
      </c>
      <c r="Z447" s="851" t="n"/>
      <c r="AA447" s="850" t="n">
        <v>0.04</v>
      </c>
      <c r="AB447" s="852" t="n">
        <v>170489.75</v>
      </c>
      <c r="AD447" s="866" t="n"/>
      <c r="AE447" s="866">
        <f>IF(TRIM($B447)="","",IF(AND(N($P447)&gt;0,N($P447)&lt;1),N($AB447)*N($P447),N($AB447)))</f>
        <v>170489.75</v>
      </c>
      <c r="AF447" s="866" t="str">
        <f>IF(TRIM($B447)="","",IF(OR(ISNUMBER(SEARCH("vacant",$B447)),ISNUMBER(SEARCH("ring fenced",$B447)),LOWER(TRIM($B447))="remove"),"Vacant","Filled"))</f>
        <v>Vacant</v>
      </c>
      <c r="AG447" s="866" t="b">
        <f>IF(TRIM($B447)="","",--ISNUMBER(SEARCH("ring fenced",$B447)))</f>
        <v>0</v>
      </c>
      <c r="AH447" s="866" t="str">
        <f>IF(TRIM($B447)="","",IF(COUNTIFS(Lists!$AN$2:$AN$22,TRIM($B447)&amp;" | "&amp;TRIM($D447),Lists!$AO$2:$AO$22,"&lt;&gt;"),INDEX(Lists!$AO$2:$AO$22,MATCH(TRIM($B447)&amp;" | "&amp;TRIM($D447),Lists!$AN$2:$AN$22,0)),IF(COUNTIF(Lists!$AR$2:$AR$3,$AJ447),"TDD Cyber",IF(AND(LEFT($AJ447,4)="EGI ",ISNUMBER(MATCH(TRIM(MID($AJ447,5,99)),Lists!$AS$2:$AS$12,0))),TRIM(MID($AJ447,5,99)),IF(AND(LEFT($AJ447,4)="EGI ",ISNUMBER(MATCH(TRIM(MID($AJ447,5,99)),Lists!$T$2:$T$21,0))),INDEX(Lists!$U$2:$U$21,MATCH(TRIM(MID($AJ447,5,99)),Lists!$T$2:$T$21,0)),IF(OR(TRIM($J447)="",UPPER(TRIM($J447))="NA"),IFERROR(INDEX(Lists!$R$2:$R$9,MATCH(TRIM($G447),Lists!$Q$2:$Q$9,0)),"UNMAPPED"),IFERROR(INDEX(Lists!$U$2:$U$21,MATCH(TRIM($J447),Lists!$T$2:$T$21,0)),IFERROR(INDEX(Lists!$R$2:$R$9,MATCH(TRIM($G447),Lists!$Q$2:$Q$9,0)),"UNMAPPED"))))))))</f>
        <v>Infrastructure</v>
      </c>
      <c r="AI447" s="534" t="b">
        <f>IF(TRIM($B447)="","",--OR(TRIM($L447)="Leadership",TRIM($K447)="Leadership"))</f>
        <v>0</v>
      </c>
      <c r="AJ447" s="534" t="str">
        <f>IF(TRIM($B447)="","",IF(COUNTIFS(Lists!$AN$2:$AN$22,TRIM($B447)&amp;" | "&amp;TRIM($D447),Lists!$AP$2:$AP$22,"&lt;&gt;"),INDEX(Lists!$AP$2:$AP$22,MATCH(TRIM($B447)&amp;" | "&amp;TRIM($D447),Lists!$AN$2:$AN$22,0)),IF($AI447=1,"Leadership",IFERROR(INDEX(Lists!$X$2:$X$21,MATCH(TRIM($L447),Lists!$W$2:$W$21,0)),IF(OR(TRIM($L447)="",LOWER(TRIM($L447))="na"),IF(TRIM($H447)="","Unassigned",TRIM($H447)),TRIM($L447))))))</f>
        <v>Manufacturing Group Projects</v>
      </c>
      <c r="AK447" s="534" t="str">
        <f>IF(TRIM($B447)="","",IF(COUNTIFS(Lists!$AN$2:$AN$22,TRIM($B447)&amp;" | "&amp;TRIM($D447),Lists!$AQ$2:$AQ$22,"&lt;&gt;"),INDEX(Lists!$AQ$2:$AQ$22,MATCH(TRIM($B447)&amp;" | "&amp;TRIM($D447),Lists!$AN$2:$AN$22,0)),IF(COUNTIF(Lists!$AF$2:$AF$8,$AJ447),$AJ447,IF(ISNUMBER(SEARCH("head of ",$D447)),"Head of Technology",IF(ISNUMBER(SEARCH("TDD BP",$D447)),"Business Partner",IF(OR(ISNUMBER(SEARCH("domain architect",$D447)),ISNUMBER(SEARCH("enterprise architect",$D447))),"Domain Architect",IF(ISNUMBER(SEARCH("delivery man",$D447)),"Delivery Manager",IF(OR(ISNUMBER(SEARCH("technology manager",$D447)),ISNUMBER(SEARCH("technology manger",$D447)),ISNUMBER(SEARCH("tech manager",$D447))),"Technology Manager","Squad"))))))))</f>
        <v>Squad</v>
      </c>
      <c r="AL447" s="534" t="str">
        <f>IF(TRIM($B447)="","",IF(AND($AM447=1,LEFT($AJ447,4)&lt;&gt;"EGI ",$AJ447&lt;&gt;"EGI"),IFERROR(INDEX(Lists!$Z$2:$Z$20,MATCH($AH447,Lists!$Y$2:$Y$20,0)),"EGI "&amp;$AH447),IF(COUNTIF(Lists!$AU$2:$AU$10,$AJ447),$AJ447,IF(OR(LEFT($AH447,3)="COE",$AH447="EGI"),$AJ447,IF($AK447&lt;&gt;"Squad",$AK447,$AJ447)))))</f>
        <v>Manufacturing Group Projects</v>
      </c>
      <c r="AM447" s="534" t="b">
        <f>IF(TRIM($B447)="","",--(UPPER(TRIM($K447))="EGI"))</f>
        <v>0</v>
      </c>
      <c r="AQ447" s="841" t="inlineStr">
        <is>
          <t>R0446</t>
        </is>
      </c>
      <c r="AZ447" s="841" t="n"/>
    </row>
    <row r="448" ht="18" customHeight="1" s="535">
      <c r="A448" s="842" t="n">
        <v>116241</v>
      </c>
      <c r="B448" s="843" t="inlineStr">
        <is>
          <t>Raymond Cheung</t>
        </is>
      </c>
      <c r="C448" s="842" t="n">
        <v>116241</v>
      </c>
      <c r="D448" s="843" t="inlineStr">
        <is>
          <t>Engineer - IDAM</t>
        </is>
      </c>
      <c r="E448" s="843" t="inlineStr">
        <is>
          <t>Joe Nahma</t>
        </is>
      </c>
      <c r="F448" s="843" t="inlineStr">
        <is>
          <t xml:space="preserve">Head Cyber Strategy &amp; Technology </t>
        </is>
      </c>
      <c r="G448" s="844" t="inlineStr">
        <is>
          <t>Cyber, Risk &amp; Operations</t>
        </is>
      </c>
      <c r="H448" s="843" t="inlineStr">
        <is>
          <t>Cyber Strat &amp; Tech</t>
        </is>
      </c>
      <c r="I448" s="843" t="inlineStr">
        <is>
          <t>NA</t>
        </is>
      </c>
      <c r="J448" s="843" t="inlineStr">
        <is>
          <t>NA</t>
        </is>
      </c>
      <c r="K448" s="843" t="inlineStr">
        <is>
          <t>NA</t>
        </is>
      </c>
      <c r="L448" s="843" t="inlineStr">
        <is>
          <t>NA</t>
        </is>
      </c>
      <c r="M448" s="843" t="n"/>
      <c r="N448" s="845" t="inlineStr">
        <is>
          <t>Australia</t>
        </is>
      </c>
      <c r="O448" s="846" t="inlineStr">
        <is>
          <t>CIA</t>
        </is>
      </c>
      <c r="P448" s="847" t="n">
        <v>1</v>
      </c>
      <c r="Q448" s="846" t="n"/>
      <c r="R448" s="847" t="inlineStr">
        <is>
          <t>Permanent - Full Time</t>
        </is>
      </c>
      <c r="S448" s="847" t="n"/>
      <c r="T448" s="847" t="n"/>
      <c r="U448" s="848" t="n">
        <v>145000</v>
      </c>
      <c r="V448" s="849" t="n">
        <v>145000</v>
      </c>
      <c r="W448" s="850" t="n">
        <v>0.1</v>
      </c>
      <c r="X448" s="847" t="n">
        <v>0.055</v>
      </c>
      <c r="Y448" s="850" t="n">
        <v>0.12</v>
      </c>
      <c r="Z448" s="851" t="n"/>
      <c r="AA448" s="850" t="n">
        <v>0.04</v>
      </c>
      <c r="AB448" s="852" t="n">
        <v>190675</v>
      </c>
      <c r="AD448" s="866" t="n"/>
      <c r="AE448" s="866">
        <f>IF(TRIM($B448)="","",IF(AND(N($P448)&gt;0,N($P448)&lt;1),N($AB448)*N($P448),N($AB448)))</f>
        <v>190675</v>
      </c>
      <c r="AF448" s="866" t="str">
        <f>IF(TRIM($B448)="","",IF(OR(ISNUMBER(SEARCH("vacant",$B448)),ISNUMBER(SEARCH("ring fenced",$B448)),LOWER(TRIM($B448))="remove"),"Vacant","Filled"))</f>
        <v>Filled</v>
      </c>
      <c r="AG448" s="866" t="b">
        <f>IF(TRIM($B448)="","",--ISNUMBER(SEARCH("ring fenced",$B448)))</f>
        <v>0</v>
      </c>
      <c r="AH448" s="866" t="str">
        <f>IF(TRIM($B448)="","",IF(COUNTIFS(Lists!$AN$2:$AN$22,TRIM($B448)&amp;" | "&amp;TRIM($D448),Lists!$AO$2:$AO$22,"&lt;&gt;"),INDEX(Lists!$AO$2:$AO$22,MATCH(TRIM($B448)&amp;" | "&amp;TRIM($D448),Lists!$AN$2:$AN$22,0)),IF(COUNTIF(Lists!$AR$2:$AR$3,$AJ448),"TDD Cyber",IF(AND(LEFT($AJ448,4)="EGI ",ISNUMBER(MATCH(TRIM(MID($AJ448,5,99)),Lists!$AS$2:$AS$12,0))),TRIM(MID($AJ448,5,99)),IF(AND(LEFT($AJ448,4)="EGI ",ISNUMBER(MATCH(TRIM(MID($AJ448,5,99)),Lists!$T$2:$T$21,0))),INDEX(Lists!$U$2:$U$21,MATCH(TRIM(MID($AJ448,5,99)),Lists!$T$2:$T$21,0)),IF(OR(TRIM($J448)="",UPPER(TRIM($J448))="NA"),IFERROR(INDEX(Lists!$R$2:$R$9,MATCH(TRIM($G448),Lists!$Q$2:$Q$9,0)),"UNMAPPED"),IFERROR(INDEX(Lists!$U$2:$U$21,MATCH(TRIM($J448),Lists!$T$2:$T$21,0)),IFERROR(INDEX(Lists!$R$2:$R$9,MATCH(TRIM($G448),Lists!$Q$2:$Q$9,0)),"UNMAPPED"))))))))</f>
        <v>TDD Cyber</v>
      </c>
      <c r="AI448" s="534" t="b">
        <f>IF(TRIM($B448)="","",--OR(TRIM($L448)="Leadership",TRIM($K448)="Leadership"))</f>
        <v>0</v>
      </c>
      <c r="AJ448" s="534" t="str">
        <f>IF(TRIM($B448)="","",IF(COUNTIFS(Lists!$AN$2:$AN$22,TRIM($B448)&amp;" | "&amp;TRIM($D448),Lists!$AP$2:$AP$22,"&lt;&gt;"),INDEX(Lists!$AP$2:$AP$22,MATCH(TRIM($B448)&amp;" | "&amp;TRIM($D448),Lists!$AN$2:$AN$22,0)),IF($AI448=1,"Leadership",IFERROR(INDEX(Lists!$X$2:$X$21,MATCH(TRIM($L448),Lists!$W$2:$W$21,0)),IF(OR(TRIM($L448)="",LOWER(TRIM($L448))="na"),IF(TRIM($H448)="","Unassigned",TRIM($H448)),TRIM($L448))))))</f>
        <v>Identity</v>
      </c>
      <c r="AK448" s="534" t="str">
        <f>IF(TRIM($B448)="","",IF(COUNTIFS(Lists!$AN$2:$AN$22,TRIM($B448)&amp;" | "&amp;TRIM($D448),Lists!$AQ$2:$AQ$22,"&lt;&gt;"),INDEX(Lists!$AQ$2:$AQ$22,MATCH(TRIM($B448)&amp;" | "&amp;TRIM($D448),Lists!$AN$2:$AN$22,0)),IF(COUNTIF(Lists!$AF$2:$AF$8,$AJ448),$AJ448,IF(ISNUMBER(SEARCH("head of ",$D448)),"Head of Technology",IF(ISNUMBER(SEARCH("TDD BP",$D448)),"Business Partner",IF(OR(ISNUMBER(SEARCH("domain architect",$D448)),ISNUMBER(SEARCH("enterprise architect",$D448))),"Domain Architect",IF(ISNUMBER(SEARCH("delivery man",$D448)),"Delivery Manager",IF(OR(ISNUMBER(SEARCH("technology manager",$D448)),ISNUMBER(SEARCH("technology manger",$D448)),ISNUMBER(SEARCH("tech manager",$D448))),"Technology Manager","Squad"))))))))</f>
        <v>Squad</v>
      </c>
      <c r="AL448" s="534" t="str">
        <f>IF(TRIM($B448)="","",IF(AND($AM448=1,LEFT($AJ448,4)&lt;&gt;"EGI ",$AJ448&lt;&gt;"EGI"),IFERROR(INDEX(Lists!$Z$2:$Z$20,MATCH($AH448,Lists!$Y$2:$Y$20,0)),"EGI "&amp;$AH448),IF(COUNTIF(Lists!$AU$2:$AU$10,$AJ448),$AJ448,IF(OR(LEFT($AH448,3)="COE",$AH448="EGI"),$AJ448,IF($AK448&lt;&gt;"Squad",$AK448,$AJ448)))))</f>
        <v>Identity</v>
      </c>
      <c r="AM448" s="534" t="b">
        <f>IF(TRIM($B448)="","",--(UPPER(TRIM($K448))="EGI"))</f>
        <v>0</v>
      </c>
      <c r="AQ448" s="841" t="inlineStr">
        <is>
          <t>R0447</t>
        </is>
      </c>
      <c r="AZ448" s="841" t="n"/>
    </row>
    <row r="449" ht="18" customHeight="1" s="535">
      <c r="A449" s="842" t="n">
        <v>86962</v>
      </c>
      <c r="B449" s="843" t="inlineStr">
        <is>
          <t>Cameron Watman</t>
        </is>
      </c>
      <c r="C449" s="842" t="n">
        <v>86962</v>
      </c>
      <c r="D449" s="843" t="inlineStr">
        <is>
          <t>Engineer - IDAM</t>
        </is>
      </c>
      <c r="E449" s="843" t="inlineStr">
        <is>
          <t>Joe Nahma</t>
        </is>
      </c>
      <c r="F449" s="843" t="inlineStr">
        <is>
          <t xml:space="preserve">Head of Cyber Strategy &amp; Technology </t>
        </is>
      </c>
      <c r="G449" s="844" t="inlineStr">
        <is>
          <t>Cyber, Risk &amp; Operations</t>
        </is>
      </c>
      <c r="H449" s="843" t="inlineStr">
        <is>
          <t>Cyber Strat &amp; Tech</t>
        </is>
      </c>
      <c r="I449" s="843" t="inlineStr">
        <is>
          <t xml:space="preserve">Identity &amp; Access Management </t>
        </is>
      </c>
      <c r="J449" s="843" t="inlineStr">
        <is>
          <t>NA</t>
        </is>
      </c>
      <c r="K449" s="843" t="inlineStr">
        <is>
          <t>NA</t>
        </is>
      </c>
      <c r="L449" s="843" t="inlineStr">
        <is>
          <t>NA</t>
        </is>
      </c>
      <c r="M449" s="843" t="n"/>
      <c r="N449" s="845" t="inlineStr">
        <is>
          <t>Australia</t>
        </is>
      </c>
      <c r="O449" s="846" t="inlineStr">
        <is>
          <t>CIA</t>
        </is>
      </c>
      <c r="P449" s="847" t="n">
        <v>1</v>
      </c>
      <c r="Q449" s="847" t="n"/>
      <c r="R449" s="847" t="inlineStr">
        <is>
          <t>Permanent - Full Time</t>
        </is>
      </c>
      <c r="S449" s="847" t="n"/>
      <c r="T449" s="847" t="n"/>
      <c r="U449" s="848" t="n">
        <v>131660</v>
      </c>
      <c r="V449" s="849" t="n">
        <v>131660</v>
      </c>
      <c r="W449" s="850" t="n">
        <v>0.1</v>
      </c>
      <c r="X449" s="847" t="n">
        <v>0.055</v>
      </c>
      <c r="Y449" s="850" t="n">
        <v>0.12</v>
      </c>
      <c r="Z449" s="851" t="n"/>
      <c r="AA449" s="850" t="n">
        <v>0.04</v>
      </c>
      <c r="AB449" s="852" t="n">
        <v>173132.9</v>
      </c>
      <c r="AD449" s="866" t="n"/>
      <c r="AE449" s="866">
        <f>IF(TRIM($B449)="","",IF(AND(N($P449)&gt;0,N($P449)&lt;1),N($AB449)*N($P449),N($AB449)))</f>
        <v>173132.9</v>
      </c>
      <c r="AF449" s="866" t="str">
        <f>IF(TRIM($B449)="","",IF(OR(ISNUMBER(SEARCH("vacant",$B449)),ISNUMBER(SEARCH("ring fenced",$B449)),LOWER(TRIM($B449))="remove"),"Vacant","Filled"))</f>
        <v>Filled</v>
      </c>
      <c r="AG449" s="866" t="b">
        <f>IF(TRIM($B449)="","",--ISNUMBER(SEARCH("ring fenced",$B449)))</f>
        <v>0</v>
      </c>
      <c r="AH449" s="866" t="str">
        <f>IF(TRIM($B449)="","",IF(COUNTIFS(Lists!$AN$2:$AN$22,TRIM($B449)&amp;" | "&amp;TRIM($D449),Lists!$AO$2:$AO$22,"&lt;&gt;"),INDEX(Lists!$AO$2:$AO$22,MATCH(TRIM($B449)&amp;" | "&amp;TRIM($D449),Lists!$AN$2:$AN$22,0)),IF(COUNTIF(Lists!$AR$2:$AR$3,$AJ449),"TDD Cyber",IF(AND(LEFT($AJ449,4)="EGI ",ISNUMBER(MATCH(TRIM(MID($AJ449,5,99)),Lists!$AS$2:$AS$12,0))),TRIM(MID($AJ449,5,99)),IF(AND(LEFT($AJ449,4)="EGI ",ISNUMBER(MATCH(TRIM(MID($AJ449,5,99)),Lists!$T$2:$T$21,0))),INDEX(Lists!$U$2:$U$21,MATCH(TRIM(MID($AJ449,5,99)),Lists!$T$2:$T$21,0)),IF(OR(TRIM($J449)="",UPPER(TRIM($J449))="NA"),IFERROR(INDEX(Lists!$R$2:$R$9,MATCH(TRIM($G449),Lists!$Q$2:$Q$9,0)),"UNMAPPED"),IFERROR(INDEX(Lists!$U$2:$U$21,MATCH(TRIM($J449),Lists!$T$2:$T$21,0)),IFERROR(INDEX(Lists!$R$2:$R$9,MATCH(TRIM($G449),Lists!$Q$2:$Q$9,0)),"UNMAPPED"))))))))</f>
        <v>TDD Cyber</v>
      </c>
      <c r="AI449" s="534" t="b">
        <f>IF(TRIM($B449)="","",--OR(TRIM($L449)="Leadership",TRIM($K449)="Leadership"))</f>
        <v>0</v>
      </c>
      <c r="AJ449" s="534" t="str">
        <f>IF(TRIM($B449)="","",IF(COUNTIFS(Lists!$AN$2:$AN$22,TRIM($B449)&amp;" | "&amp;TRIM($D449),Lists!$AP$2:$AP$22,"&lt;&gt;"),INDEX(Lists!$AP$2:$AP$22,MATCH(TRIM($B449)&amp;" | "&amp;TRIM($D449),Lists!$AN$2:$AN$22,0)),IF($AI449=1,"Leadership",IFERROR(INDEX(Lists!$X$2:$X$21,MATCH(TRIM($L449),Lists!$W$2:$W$21,0)),IF(OR(TRIM($L449)="",LOWER(TRIM($L449))="na"),IF(TRIM($H449)="","Unassigned",TRIM($H449)),TRIM($L449))))))</f>
        <v>Identity</v>
      </c>
      <c r="AK449" s="534" t="str">
        <f>IF(TRIM($B449)="","",IF(COUNTIFS(Lists!$AN$2:$AN$22,TRIM($B449)&amp;" | "&amp;TRIM($D449),Lists!$AQ$2:$AQ$22,"&lt;&gt;"),INDEX(Lists!$AQ$2:$AQ$22,MATCH(TRIM($B449)&amp;" | "&amp;TRIM($D449),Lists!$AN$2:$AN$22,0)),IF(COUNTIF(Lists!$AF$2:$AF$8,$AJ449),$AJ449,IF(ISNUMBER(SEARCH("head of ",$D449)),"Head of Technology",IF(ISNUMBER(SEARCH("TDD BP",$D449)),"Business Partner",IF(OR(ISNUMBER(SEARCH("domain architect",$D449)),ISNUMBER(SEARCH("enterprise architect",$D449))),"Domain Architect",IF(ISNUMBER(SEARCH("delivery man",$D449)),"Delivery Manager",IF(OR(ISNUMBER(SEARCH("technology manager",$D449)),ISNUMBER(SEARCH("technology manger",$D449)),ISNUMBER(SEARCH("tech manager",$D449))),"Technology Manager","Squad"))))))))</f>
        <v>Squad</v>
      </c>
      <c r="AL449" s="534" t="str">
        <f>IF(TRIM($B449)="","",IF(AND($AM449=1,LEFT($AJ449,4)&lt;&gt;"EGI ",$AJ449&lt;&gt;"EGI"),IFERROR(INDEX(Lists!$Z$2:$Z$20,MATCH($AH449,Lists!$Y$2:$Y$20,0)),"EGI "&amp;$AH449),IF(COUNTIF(Lists!$AU$2:$AU$10,$AJ449),$AJ449,IF(OR(LEFT($AH449,3)="COE",$AH449="EGI"),$AJ449,IF($AK449&lt;&gt;"Squad",$AK449,$AJ449)))))</f>
        <v>Identity</v>
      </c>
      <c r="AM449" s="534" t="b">
        <f>IF(TRIM($B449)="","",--(UPPER(TRIM($K449))="EGI"))</f>
        <v>0</v>
      </c>
      <c r="AQ449" s="841" t="inlineStr">
        <is>
          <t>R0448</t>
        </is>
      </c>
      <c r="AZ449" s="841" t="n"/>
    </row>
    <row r="450" ht="18" customHeight="1" s="535">
      <c r="A450" s="842" t="n">
        <v>113540</v>
      </c>
      <c r="B450" s="843" t="inlineStr">
        <is>
          <t>Fan Zhang</t>
        </is>
      </c>
      <c r="C450" s="842" t="n">
        <v>113540</v>
      </c>
      <c r="D450" s="843" t="inlineStr">
        <is>
          <t>Infrastructure Engineer</t>
        </is>
      </c>
      <c r="E450" s="843" t="inlineStr">
        <is>
          <t>John McCormack</t>
        </is>
      </c>
      <c r="F450" s="843" t="inlineStr">
        <is>
          <t>Manager - Infrastructure Operations</t>
        </is>
      </c>
      <c r="G450" s="844" t="inlineStr">
        <is>
          <t>TDD Group Functions</t>
        </is>
      </c>
      <c r="H450" s="843" t="inlineStr">
        <is>
          <t>TDD &amp; Engineering</t>
        </is>
      </c>
      <c r="I450" s="843" t="inlineStr">
        <is>
          <t>Cloud, Network &amp; Infra</t>
        </is>
      </c>
      <c r="J450" s="843" t="inlineStr">
        <is>
          <t>TDD</t>
        </is>
      </c>
      <c r="K450" s="843" t="inlineStr">
        <is>
          <t>TDD</t>
        </is>
      </c>
      <c r="L450" s="843" t="inlineStr">
        <is>
          <t>Cloud, Network &amp; Infra Ops</t>
        </is>
      </c>
      <c r="M450" s="843" t="n"/>
      <c r="N450" s="845" t="inlineStr">
        <is>
          <t>NZ</t>
        </is>
      </c>
      <c r="O450" s="846" t="inlineStr">
        <is>
          <t>CIA</t>
        </is>
      </c>
      <c r="P450" s="847" t="n">
        <v>1</v>
      </c>
      <c r="Q450" s="847" t="n"/>
      <c r="R450" s="847" t="inlineStr">
        <is>
          <t>Permanent - Full Time</t>
        </is>
      </c>
      <c r="S450" s="847" t="n"/>
      <c r="T450" s="847" t="n"/>
      <c r="U450" s="848" t="n">
        <v>115679</v>
      </c>
      <c r="V450" s="849" t="n">
        <v>106424.68</v>
      </c>
      <c r="W450" s="850" t="n">
        <v>0.15</v>
      </c>
      <c r="X450" s="847" t="n"/>
      <c r="Y450" s="850" t="n">
        <v>0.05</v>
      </c>
      <c r="Z450" s="851" t="n">
        <v>2910</v>
      </c>
      <c r="AA450" s="850" t="n">
        <v>0.03</v>
      </c>
      <c r="AB450" s="852" t="n">
        <v>133812.3564</v>
      </c>
      <c r="AD450" s="866" t="n"/>
      <c r="AE450" s="866">
        <f>IF(TRIM($B450)="","",IF(AND(N($P450)&gt;0,N($P450)&lt;1),N($AB450)*N($P450),N($AB450)))</f>
        <v>133812.3564</v>
      </c>
      <c r="AF450" s="866" t="str">
        <f>IF(TRIM($B450)="","",IF(OR(ISNUMBER(SEARCH("vacant",$B450)),ISNUMBER(SEARCH("ring fenced",$B450)),LOWER(TRIM($B450))="remove"),"Vacant","Filled"))</f>
        <v>Filled</v>
      </c>
      <c r="AG450" s="866" t="b">
        <f>IF(TRIM($B450)="","",--ISNUMBER(SEARCH("ring fenced",$B450)))</f>
        <v>0</v>
      </c>
      <c r="AH450" s="866" t="str">
        <f>IF(TRIM($B450)="","",IF(COUNTIFS(Lists!$AN$2:$AN$22,TRIM($B450)&amp;" | "&amp;TRIM($D450),Lists!$AO$2:$AO$22,"&lt;&gt;"),INDEX(Lists!$AO$2:$AO$22,MATCH(TRIM($B450)&amp;" | "&amp;TRIM($D450),Lists!$AN$2:$AN$22,0)),IF(COUNTIF(Lists!$AR$2:$AR$3,$AJ450),"TDD Cyber",IF(AND(LEFT($AJ450,4)="EGI ",ISNUMBER(MATCH(TRIM(MID($AJ450,5,99)),Lists!$AS$2:$AS$12,0))),TRIM(MID($AJ450,5,99)),IF(AND(LEFT($AJ450,4)="EGI ",ISNUMBER(MATCH(TRIM(MID($AJ450,5,99)),Lists!$T$2:$T$21,0))),INDEX(Lists!$U$2:$U$21,MATCH(TRIM(MID($AJ450,5,99)),Lists!$T$2:$T$21,0)),IF(OR(TRIM($J450)="",UPPER(TRIM($J450))="NA"),IFERROR(INDEX(Lists!$R$2:$R$9,MATCH(TRIM($G450),Lists!$Q$2:$Q$9,0)),"UNMAPPED"),IFERROR(INDEX(Lists!$U$2:$U$21,MATCH(TRIM($J450),Lists!$T$2:$T$21,0)),IFERROR(INDEX(Lists!$R$2:$R$9,MATCH(TRIM($G450),Lists!$Q$2:$Q$9,0)),"UNMAPPED"))))))))</f>
        <v>TDD Group Functions</v>
      </c>
      <c r="AI450" s="534" t="b">
        <f>IF(TRIM($B450)="","",--OR(TRIM($L450)="Leadership",TRIM($K450)="Leadership"))</f>
        <v>0</v>
      </c>
      <c r="AJ450" s="534" t="str">
        <f>IF(TRIM($B450)="","",IF(COUNTIFS(Lists!$AN$2:$AN$22,TRIM($B450)&amp;" | "&amp;TRIM($D450),Lists!$AP$2:$AP$22,"&lt;&gt;"),INDEX(Lists!$AP$2:$AP$22,MATCH(TRIM($B450)&amp;" | "&amp;TRIM($D450),Lists!$AN$2:$AN$22,0)),IF($AI450=1,"Leadership",IFERROR(INDEX(Lists!$X$2:$X$21,MATCH(TRIM($L450),Lists!$W$2:$W$21,0)),IF(OR(TRIM($L450)="",LOWER(TRIM($L450))="na"),IF(TRIM($H450)="","Unassigned",TRIM($H450)),TRIM($L450))))))</f>
        <v>Cloud, Network &amp; Infra Ops</v>
      </c>
      <c r="AK450" s="534" t="str">
        <f>IF(TRIM($B450)="","",IF(COUNTIFS(Lists!$AN$2:$AN$22,TRIM($B450)&amp;" | "&amp;TRIM($D450),Lists!$AQ$2:$AQ$22,"&lt;&gt;"),INDEX(Lists!$AQ$2:$AQ$22,MATCH(TRIM($B450)&amp;" | "&amp;TRIM($D450),Lists!$AN$2:$AN$22,0)),IF(COUNTIF(Lists!$AF$2:$AF$8,$AJ450),$AJ450,IF(ISNUMBER(SEARCH("head of ",$D450)),"Head of Technology",IF(ISNUMBER(SEARCH("TDD BP",$D450)),"Business Partner",IF(OR(ISNUMBER(SEARCH("domain architect",$D450)),ISNUMBER(SEARCH("enterprise architect",$D450))),"Domain Architect",IF(ISNUMBER(SEARCH("delivery man",$D450)),"Delivery Manager",IF(OR(ISNUMBER(SEARCH("technology manager",$D450)),ISNUMBER(SEARCH("technology manger",$D450)),ISNUMBER(SEARCH("tech manager",$D450))),"Technology Manager","Squad"))))))))</f>
        <v>Squad</v>
      </c>
      <c r="AL450" s="534" t="str">
        <f>IF(TRIM($B450)="","",IF(AND($AM450=1,LEFT($AJ450,4)&lt;&gt;"EGI ",$AJ450&lt;&gt;"EGI"),IFERROR(INDEX(Lists!$Z$2:$Z$20,MATCH($AH450,Lists!$Y$2:$Y$20,0)),"EGI "&amp;$AH450),IF(COUNTIF(Lists!$AU$2:$AU$10,$AJ450),$AJ450,IF(OR(LEFT($AH450,3)="COE",$AH450="EGI"),$AJ450,IF($AK450&lt;&gt;"Squad",$AK450,$AJ450)))))</f>
        <v>Cloud, Network &amp; Infra Ops</v>
      </c>
      <c r="AM450" s="534" t="b">
        <f>IF(TRIM($B450)="","",--(UPPER(TRIM($K450))="EGI"))</f>
        <v>0</v>
      </c>
      <c r="AQ450" s="841" t="inlineStr">
        <is>
          <t>R0449</t>
        </is>
      </c>
      <c r="AZ450" s="841" t="n"/>
    </row>
    <row r="451" ht="18" customHeight="1" s="535">
      <c r="A451" s="842" t="n">
        <v>107048</v>
      </c>
      <c r="B451" s="843" t="inlineStr">
        <is>
          <t>Om Singh</t>
        </is>
      </c>
      <c r="C451" s="842" t="n">
        <v>107048</v>
      </c>
      <c r="D451" s="843" t="inlineStr">
        <is>
          <t>Data Scientist</t>
        </is>
      </c>
      <c r="E451" s="843" t="inlineStr">
        <is>
          <t>Jonathan Robinson</t>
        </is>
      </c>
      <c r="F451" s="843" t="inlineStr">
        <is>
          <t>Technology Manager, Data Science</t>
        </is>
      </c>
      <c r="G451" s="844" t="inlineStr">
        <is>
          <t>Strategy, Architecture &amp; Data</t>
        </is>
      </c>
      <c r="H451" s="843" t="inlineStr">
        <is>
          <t>Group Data</t>
        </is>
      </c>
      <c r="I451" s="843" t="inlineStr">
        <is>
          <t>Data Science</t>
        </is>
      </c>
      <c r="J451" s="843" t="inlineStr">
        <is>
          <t>Enterprise Data</t>
        </is>
      </c>
      <c r="K451" s="843" t="inlineStr">
        <is>
          <t>Group Data</t>
        </is>
      </c>
      <c r="L451" s="843" t="inlineStr">
        <is>
          <t>Data Science</t>
        </is>
      </c>
      <c r="M451" s="843" t="n"/>
      <c r="N451" s="845" t="inlineStr">
        <is>
          <t>Australia</t>
        </is>
      </c>
      <c r="O451" s="846" t="inlineStr">
        <is>
          <t>CIA</t>
        </is>
      </c>
      <c r="P451" s="847" t="n">
        <v>1</v>
      </c>
      <c r="Q451" s="847" t="n"/>
      <c r="R451" s="847" t="inlineStr">
        <is>
          <t>Temporary - Full Time</t>
        </is>
      </c>
      <c r="S451" s="847" t="n"/>
      <c r="T451" s="847" t="n"/>
      <c r="U451" s="848" t="n">
        <v>138000</v>
      </c>
      <c r="V451" s="849" t="n">
        <v>138000</v>
      </c>
      <c r="W451" s="850" t="n">
        <v>0.1</v>
      </c>
      <c r="X451" s="847" t="n">
        <v>0.055</v>
      </c>
      <c r="Y451" s="850" t="n">
        <v>0.12</v>
      </c>
      <c r="Z451" s="851" t="n"/>
      <c r="AA451" s="850" t="n">
        <v>0.04</v>
      </c>
      <c r="AB451" s="852" t="n">
        <v>181470</v>
      </c>
      <c r="AD451" s="866" t="n"/>
      <c r="AE451" s="866">
        <f>IF(TRIM($B451)="","",IF(AND(N($P451)&gt;0,N($P451)&lt;1),N($AB451)*N($P451),N($AB451)))</f>
        <v>181470</v>
      </c>
      <c r="AF451" s="866" t="str">
        <f>IF(TRIM($B451)="","",IF(OR(ISNUMBER(SEARCH("vacant",$B451)),ISNUMBER(SEARCH("ring fenced",$B451)),LOWER(TRIM($B451))="remove"),"Vacant","Filled"))</f>
        <v>Filled</v>
      </c>
      <c r="AG451" s="866" t="b">
        <f>IF(TRIM($B451)="","",--ISNUMBER(SEARCH("ring fenced",$B451)))</f>
        <v>0</v>
      </c>
      <c r="AH451" s="866" t="str">
        <f>IF(TRIM($B451)="","",IF(COUNTIFS(Lists!$AN$2:$AN$22,TRIM($B451)&amp;" | "&amp;TRIM($D451),Lists!$AO$2:$AO$22,"&lt;&gt;"),INDEX(Lists!$AO$2:$AO$22,MATCH(TRIM($B451)&amp;" | "&amp;TRIM($D451),Lists!$AN$2:$AN$22,0)),IF(COUNTIF(Lists!$AR$2:$AR$3,$AJ451),"TDD Cyber",IF(AND(LEFT($AJ451,4)="EGI ",ISNUMBER(MATCH(TRIM(MID($AJ451,5,99)),Lists!$AS$2:$AS$12,0))),TRIM(MID($AJ451,5,99)),IF(AND(LEFT($AJ451,4)="EGI ",ISNUMBER(MATCH(TRIM(MID($AJ451,5,99)),Lists!$T$2:$T$21,0))),INDEX(Lists!$U$2:$U$21,MATCH(TRIM(MID($AJ451,5,99)),Lists!$T$2:$T$21,0)),IF(OR(TRIM($J451)="",UPPER(TRIM($J451))="NA"),IFERROR(INDEX(Lists!$R$2:$R$9,MATCH(TRIM($G451),Lists!$Q$2:$Q$9,0)),"UNMAPPED"),IFERROR(INDEX(Lists!$U$2:$U$21,MATCH(TRIM($J451),Lists!$T$2:$T$21,0)),IFERROR(INDEX(Lists!$R$2:$R$9,MATCH(TRIM($G451),Lists!$Q$2:$Q$9,0)),"UNMAPPED"))))))))</f>
        <v>Enterprise Data</v>
      </c>
      <c r="AI451" s="534" t="b">
        <f>IF(TRIM($B451)="","",--OR(TRIM($L451)="Leadership",TRIM($K451)="Leadership"))</f>
        <v>0</v>
      </c>
      <c r="AJ451" s="534" t="str">
        <f>IF(TRIM($B451)="","",IF(COUNTIFS(Lists!$AN$2:$AN$22,TRIM($B451)&amp;" | "&amp;TRIM($D451),Lists!$AP$2:$AP$22,"&lt;&gt;"),INDEX(Lists!$AP$2:$AP$22,MATCH(TRIM($B451)&amp;" | "&amp;TRIM($D451),Lists!$AN$2:$AN$22,0)),IF($AI451=1,"Leadership",IFERROR(INDEX(Lists!$X$2:$X$21,MATCH(TRIM($L451),Lists!$W$2:$W$21,0)),IF(OR(TRIM($L451)="",LOWER(TRIM($L451))="na"),IF(TRIM($H451)="","Unassigned",TRIM($H451)),TRIM($L451))))))</f>
        <v>Data Science</v>
      </c>
      <c r="AK451" s="534" t="str">
        <f>IF(TRIM($B451)="","",IF(COUNTIFS(Lists!$AN$2:$AN$22,TRIM($B451)&amp;" | "&amp;TRIM($D451),Lists!$AQ$2:$AQ$22,"&lt;&gt;"),INDEX(Lists!$AQ$2:$AQ$22,MATCH(TRIM($B451)&amp;" | "&amp;TRIM($D451),Lists!$AN$2:$AN$22,0)),IF(COUNTIF(Lists!$AF$2:$AF$8,$AJ451),$AJ451,IF(ISNUMBER(SEARCH("head of ",$D451)),"Head of Technology",IF(ISNUMBER(SEARCH("TDD BP",$D451)),"Business Partner",IF(OR(ISNUMBER(SEARCH("domain architect",$D451)),ISNUMBER(SEARCH("enterprise architect",$D451))),"Domain Architect",IF(ISNUMBER(SEARCH("delivery man",$D451)),"Delivery Manager",IF(OR(ISNUMBER(SEARCH("technology manager",$D451)),ISNUMBER(SEARCH("technology manger",$D451)),ISNUMBER(SEARCH("tech manager",$D451))),"Technology Manager","Squad"))))))))</f>
        <v>Squad</v>
      </c>
      <c r="AL451" s="534" t="str">
        <f>IF(TRIM($B451)="","",IF(AND($AM451=1,LEFT($AJ451,4)&lt;&gt;"EGI ",$AJ451&lt;&gt;"EGI"),IFERROR(INDEX(Lists!$Z$2:$Z$20,MATCH($AH451,Lists!$Y$2:$Y$20,0)),"EGI "&amp;$AH451),IF(COUNTIF(Lists!$AU$2:$AU$10,$AJ451),$AJ451,IF(OR(LEFT($AH451,3)="COE",$AH451="EGI"),$AJ451,IF($AK451&lt;&gt;"Squad",$AK451,$AJ451)))))</f>
        <v>Data Science</v>
      </c>
      <c r="AM451" s="534" t="b">
        <f>IF(TRIM($B451)="","",--(UPPER(TRIM($K451))="EGI"))</f>
        <v>0</v>
      </c>
      <c r="AQ451" s="841" t="inlineStr">
        <is>
          <t>R0450</t>
        </is>
      </c>
      <c r="AZ451" s="841" t="n"/>
    </row>
    <row r="452" ht="18" customHeight="1" s="535">
      <c r="A452" s="842" t="n">
        <v>101539</v>
      </c>
      <c r="B452" s="843" t="inlineStr">
        <is>
          <t>Breanna Hua</t>
        </is>
      </c>
      <c r="C452" s="842" t="n">
        <v>101539</v>
      </c>
      <c r="D452" s="843" t="inlineStr">
        <is>
          <t>Systems Analyst</t>
        </is>
      </c>
      <c r="E452" s="843" t="inlineStr">
        <is>
          <t>Karla Orozco Loza</t>
        </is>
      </c>
      <c r="F452" s="843" t="inlineStr">
        <is>
          <t>Technology Manager, Future Infrastructure</t>
        </is>
      </c>
      <c r="G452" s="844" t="inlineStr">
        <is>
          <t>TDD CFE&amp;I</t>
        </is>
      </c>
      <c r="H452" s="843" t="inlineStr">
        <is>
          <t>Fuel Infrastructure</t>
        </is>
      </c>
      <c r="I452" s="843" t="inlineStr">
        <is>
          <t>Fuel Infrastructure</t>
        </is>
      </c>
      <c r="J452" s="843" t="inlineStr">
        <is>
          <t>Infrastructure</t>
        </is>
      </c>
      <c r="K452" s="843" t="inlineStr">
        <is>
          <t>Distribution</t>
        </is>
      </c>
      <c r="L452" s="843" t="inlineStr">
        <is>
          <t>Distribution, Sales &amp; Services</t>
        </is>
      </c>
      <c r="M452" s="843" t="n"/>
      <c r="N452" s="845" t="inlineStr">
        <is>
          <t>Australia</t>
        </is>
      </c>
      <c r="O452" s="846" t="inlineStr">
        <is>
          <t>CIA</t>
        </is>
      </c>
      <c r="P452" s="847" t="n">
        <v>1</v>
      </c>
      <c r="Q452" s="847" t="n"/>
      <c r="R452" s="847" t="inlineStr">
        <is>
          <t>Permanent - Full Time</t>
        </is>
      </c>
      <c r="S452" s="847" t="n"/>
      <c r="T452" s="847" t="n"/>
      <c r="U452" s="848" t="n">
        <v>127110</v>
      </c>
      <c r="V452" s="849" t="n">
        <v>127110</v>
      </c>
      <c r="W452" s="850" t="n">
        <v>0.1</v>
      </c>
      <c r="X452" s="847" t="n">
        <v>0.055</v>
      </c>
      <c r="Y452" s="850" t="n">
        <v>0.12</v>
      </c>
      <c r="Z452" s="851" t="n"/>
      <c r="AA452" s="850" t="n">
        <v>0.04</v>
      </c>
      <c r="AB452" s="852" t="n">
        <v>167149.65</v>
      </c>
      <c r="AD452" s="866" t="n"/>
      <c r="AE452" s="866">
        <f>IF(TRIM($B452)="","",IF(AND(N($P452)&gt;0,N($P452)&lt;1),N($AB452)*N($P452),N($AB452)))</f>
        <v>167149.65</v>
      </c>
      <c r="AF452" s="866" t="str">
        <f>IF(TRIM($B452)="","",IF(OR(ISNUMBER(SEARCH("vacant",$B452)),ISNUMBER(SEARCH("ring fenced",$B452)),LOWER(TRIM($B452))="remove"),"Vacant","Filled"))</f>
        <v>Filled</v>
      </c>
      <c r="AG452" s="866" t="b">
        <f>IF(TRIM($B452)="","",--ISNUMBER(SEARCH("ring fenced",$B452)))</f>
        <v>0</v>
      </c>
      <c r="AH452" s="866" t="str">
        <f>IF(TRIM($B452)="","",IF(COUNTIFS(Lists!$AN$2:$AN$22,TRIM($B452)&amp;" | "&amp;TRIM($D452),Lists!$AO$2:$AO$22,"&lt;&gt;"),INDEX(Lists!$AO$2:$AO$22,MATCH(TRIM($B452)&amp;" | "&amp;TRIM($D452),Lists!$AN$2:$AN$22,0)),IF(COUNTIF(Lists!$AR$2:$AR$3,$AJ452),"TDD Cyber",IF(AND(LEFT($AJ452,4)="EGI ",ISNUMBER(MATCH(TRIM(MID($AJ452,5,99)),Lists!$AS$2:$AS$12,0))),TRIM(MID($AJ452,5,99)),IF(AND(LEFT($AJ452,4)="EGI ",ISNUMBER(MATCH(TRIM(MID($AJ452,5,99)),Lists!$T$2:$T$21,0))),INDEX(Lists!$U$2:$U$21,MATCH(TRIM(MID($AJ452,5,99)),Lists!$T$2:$T$21,0)),IF(OR(TRIM($J452)="",UPPER(TRIM($J452))="NA"),IFERROR(INDEX(Lists!$R$2:$R$9,MATCH(TRIM($G452),Lists!$Q$2:$Q$9,0)),"UNMAPPED"),IFERROR(INDEX(Lists!$U$2:$U$21,MATCH(TRIM($J452),Lists!$T$2:$T$21,0)),IFERROR(INDEX(Lists!$R$2:$R$9,MATCH(TRIM($G452),Lists!$Q$2:$Q$9,0)),"UNMAPPED"))))))))</f>
        <v>Infrastructure</v>
      </c>
      <c r="AI452" s="534" t="b">
        <f>IF(TRIM($B452)="","",--OR(TRIM($L452)="Leadership",TRIM($K452)="Leadership"))</f>
        <v>0</v>
      </c>
      <c r="AJ452" s="534" t="str">
        <f>IF(TRIM($B452)="","",IF(COUNTIFS(Lists!$AN$2:$AN$22,TRIM($B452)&amp;" | "&amp;TRIM($D452),Lists!$AP$2:$AP$22,"&lt;&gt;"),INDEX(Lists!$AP$2:$AP$22,MATCH(TRIM($B452)&amp;" | "&amp;TRIM($D452),Lists!$AN$2:$AN$22,0)),IF($AI452=1,"Leadership",IFERROR(INDEX(Lists!$X$2:$X$21,MATCH(TRIM($L452),Lists!$W$2:$W$21,0)),IF(OR(TRIM($L452)="",LOWER(TRIM($L452))="na"),IF(TRIM($H452)="","Unassigned",TRIM($H452)),TRIM($L452))))))</f>
        <v>Distribution, Sales &amp; Services</v>
      </c>
      <c r="AK452" s="534" t="str">
        <f>IF(TRIM($B452)="","",IF(COUNTIFS(Lists!$AN$2:$AN$22,TRIM($B452)&amp;" | "&amp;TRIM($D452),Lists!$AQ$2:$AQ$22,"&lt;&gt;"),INDEX(Lists!$AQ$2:$AQ$22,MATCH(TRIM($B452)&amp;" | "&amp;TRIM($D452),Lists!$AN$2:$AN$22,0)),IF(COUNTIF(Lists!$AF$2:$AF$8,$AJ452),$AJ452,IF(ISNUMBER(SEARCH("head of ",$D452)),"Head of Technology",IF(ISNUMBER(SEARCH("TDD BP",$D452)),"Business Partner",IF(OR(ISNUMBER(SEARCH("domain architect",$D452)),ISNUMBER(SEARCH("enterprise architect",$D452))),"Domain Architect",IF(ISNUMBER(SEARCH("delivery man",$D452)),"Delivery Manager",IF(OR(ISNUMBER(SEARCH("technology manager",$D452)),ISNUMBER(SEARCH("technology manger",$D452)),ISNUMBER(SEARCH("tech manager",$D452))),"Technology Manager","Squad"))))))))</f>
        <v>Squad</v>
      </c>
      <c r="AL452" s="534" t="str">
        <f>IF(TRIM($B452)="","",IF(AND($AM452=1,LEFT($AJ452,4)&lt;&gt;"EGI ",$AJ452&lt;&gt;"EGI"),IFERROR(INDEX(Lists!$Z$2:$Z$20,MATCH($AH452,Lists!$Y$2:$Y$20,0)),"EGI "&amp;$AH452),IF(COUNTIF(Lists!$AU$2:$AU$10,$AJ452),$AJ452,IF(OR(LEFT($AH452,3)="COE",$AH452="EGI"),$AJ452,IF($AK452&lt;&gt;"Squad",$AK452,$AJ452)))))</f>
        <v>Distribution, Sales &amp; Services</v>
      </c>
      <c r="AM452" s="534" t="b">
        <f>IF(TRIM($B452)="","",--(UPPER(TRIM($K452))="EGI"))</f>
        <v>0</v>
      </c>
      <c r="AQ452" s="841" t="inlineStr">
        <is>
          <t>R0451</t>
        </is>
      </c>
      <c r="AZ452" s="841" t="n"/>
    </row>
    <row r="453" ht="18" customHeight="1" s="535">
      <c r="A453" s="842" t="inlineStr">
        <is>
          <t>V</t>
        </is>
      </c>
      <c r="B453" s="843" t="inlineStr">
        <is>
          <t>Vacant</t>
        </is>
      </c>
      <c r="C453" s="842" t="inlineStr">
        <is>
          <t>V</t>
        </is>
      </c>
      <c r="D453" s="843" t="inlineStr">
        <is>
          <t>Quality Assurance</t>
        </is>
      </c>
      <c r="E453" s="843" t="inlineStr">
        <is>
          <t>Karla Orozco Loza</t>
        </is>
      </c>
      <c r="F453" s="843" t="inlineStr">
        <is>
          <t>Technology Manager, Future Infrastructure</t>
        </is>
      </c>
      <c r="G453" s="844" t="inlineStr">
        <is>
          <t>TDD CFE&amp;I</t>
        </is>
      </c>
      <c r="H453" s="843" t="inlineStr">
        <is>
          <t>Fuel Infrastructure</t>
        </is>
      </c>
      <c r="I453" s="843" t="inlineStr">
        <is>
          <t>Technology - Distribution</t>
        </is>
      </c>
      <c r="J453" s="843" t="inlineStr">
        <is>
          <t>Infrastructure</t>
        </is>
      </c>
      <c r="K453" s="843" t="inlineStr">
        <is>
          <t>Distribution</t>
        </is>
      </c>
      <c r="L453" s="843" t="inlineStr">
        <is>
          <t>Distribution, Sales &amp; Services</t>
        </is>
      </c>
      <c r="M453" s="843" t="n"/>
      <c r="N453" s="845" t="inlineStr">
        <is>
          <t>Australia</t>
        </is>
      </c>
      <c r="O453" s="846" t="inlineStr">
        <is>
          <t>CIA</t>
        </is>
      </c>
      <c r="P453" s="847" t="n">
        <v>1</v>
      </c>
      <c r="Q453" s="847" t="n"/>
      <c r="R453" s="847" t="inlineStr">
        <is>
          <t>v</t>
        </is>
      </c>
      <c r="S453" s="847" t="n"/>
      <c r="T453" s="847" t="n"/>
      <c r="U453" s="848" t="n">
        <v>129650</v>
      </c>
      <c r="V453" s="849" t="n">
        <v>129650</v>
      </c>
      <c r="W453" s="850" t="n">
        <v>0.1</v>
      </c>
      <c r="X453" s="847" t="n">
        <v>0.055</v>
      </c>
      <c r="Y453" s="850" t="n">
        <v>0.12</v>
      </c>
      <c r="Z453" s="851" t="n"/>
      <c r="AA453" s="850" t="n">
        <v>0.04</v>
      </c>
      <c r="AB453" s="852" t="n">
        <v>170489.75</v>
      </c>
      <c r="AD453" s="866" t="n"/>
      <c r="AE453" s="866">
        <f>IF(TRIM($B453)="","",IF(AND(N($P453)&gt;0,N($P453)&lt;1),N($AB453)*N($P453),N($AB453)))</f>
        <v>170489.75</v>
      </c>
      <c r="AF453" s="866" t="str">
        <f>IF(TRIM($B453)="","",IF(OR(ISNUMBER(SEARCH("vacant",$B453)),ISNUMBER(SEARCH("ring fenced",$B453)),LOWER(TRIM($B453))="remove"),"Vacant","Filled"))</f>
        <v>Vacant</v>
      </c>
      <c r="AG453" s="866" t="b">
        <f>IF(TRIM($B453)="","",--ISNUMBER(SEARCH("ring fenced",$B453)))</f>
        <v>0</v>
      </c>
      <c r="AH453" s="866" t="str">
        <f>IF(TRIM($B453)="","",IF(COUNTIFS(Lists!$AN$2:$AN$22,TRIM($B453)&amp;" | "&amp;TRIM($D453),Lists!$AO$2:$AO$22,"&lt;&gt;"),INDEX(Lists!$AO$2:$AO$22,MATCH(TRIM($B453)&amp;" | "&amp;TRIM($D453),Lists!$AN$2:$AN$22,0)),IF(COUNTIF(Lists!$AR$2:$AR$3,$AJ453),"TDD Cyber",IF(AND(LEFT($AJ453,4)="EGI ",ISNUMBER(MATCH(TRIM(MID($AJ453,5,99)),Lists!$AS$2:$AS$12,0))),TRIM(MID($AJ453,5,99)),IF(AND(LEFT($AJ453,4)="EGI ",ISNUMBER(MATCH(TRIM(MID($AJ453,5,99)),Lists!$T$2:$T$21,0))),INDEX(Lists!$U$2:$U$21,MATCH(TRIM(MID($AJ453,5,99)),Lists!$T$2:$T$21,0)),IF(OR(TRIM($J453)="",UPPER(TRIM($J453))="NA"),IFERROR(INDEX(Lists!$R$2:$R$9,MATCH(TRIM($G453),Lists!$Q$2:$Q$9,0)),"UNMAPPED"),IFERROR(INDEX(Lists!$U$2:$U$21,MATCH(TRIM($J453),Lists!$T$2:$T$21,0)),IFERROR(INDEX(Lists!$R$2:$R$9,MATCH(TRIM($G453),Lists!$Q$2:$Q$9,0)),"UNMAPPED"))))))))</f>
        <v>Infrastructure</v>
      </c>
      <c r="AI453" s="534" t="b">
        <f>IF(TRIM($B453)="","",--OR(TRIM($L453)="Leadership",TRIM($K453)="Leadership"))</f>
        <v>0</v>
      </c>
      <c r="AJ453" s="534" t="str">
        <f>IF(TRIM($B453)="","",IF(COUNTIFS(Lists!$AN$2:$AN$22,TRIM($B453)&amp;" | "&amp;TRIM($D453),Lists!$AP$2:$AP$22,"&lt;&gt;"),INDEX(Lists!$AP$2:$AP$22,MATCH(TRIM($B453)&amp;" | "&amp;TRIM($D453),Lists!$AN$2:$AN$22,0)),IF($AI453=1,"Leadership",IFERROR(INDEX(Lists!$X$2:$X$21,MATCH(TRIM($L453),Lists!$W$2:$W$21,0)),IF(OR(TRIM($L453)="",LOWER(TRIM($L453))="na"),IF(TRIM($H453)="","Unassigned",TRIM($H453)),TRIM($L453))))))</f>
        <v>Distribution, Sales &amp; Services</v>
      </c>
      <c r="AK453" s="534" t="str">
        <f>IF(TRIM($B453)="","",IF(COUNTIFS(Lists!$AN$2:$AN$22,TRIM($B453)&amp;" | "&amp;TRIM($D453),Lists!$AQ$2:$AQ$22,"&lt;&gt;"),INDEX(Lists!$AQ$2:$AQ$22,MATCH(TRIM($B453)&amp;" | "&amp;TRIM($D453),Lists!$AN$2:$AN$22,0)),IF(COUNTIF(Lists!$AF$2:$AF$8,$AJ453),$AJ453,IF(ISNUMBER(SEARCH("head of ",$D453)),"Head of Technology",IF(ISNUMBER(SEARCH("TDD BP",$D453)),"Business Partner",IF(OR(ISNUMBER(SEARCH("domain architect",$D453)),ISNUMBER(SEARCH("enterprise architect",$D453))),"Domain Architect",IF(ISNUMBER(SEARCH("delivery man",$D453)),"Delivery Manager",IF(OR(ISNUMBER(SEARCH("technology manager",$D453)),ISNUMBER(SEARCH("technology manger",$D453)),ISNUMBER(SEARCH("tech manager",$D453))),"Technology Manager","Squad"))))))))</f>
        <v>Squad</v>
      </c>
      <c r="AL453" s="534" t="str">
        <f>IF(TRIM($B453)="","",IF(AND($AM453=1,LEFT($AJ453,4)&lt;&gt;"EGI ",$AJ453&lt;&gt;"EGI"),IFERROR(INDEX(Lists!$Z$2:$Z$20,MATCH($AH453,Lists!$Y$2:$Y$20,0)),"EGI "&amp;$AH453),IF(COUNTIF(Lists!$AU$2:$AU$10,$AJ453),$AJ453,IF(OR(LEFT($AH453,3)="COE",$AH453="EGI"),$AJ453,IF($AK453&lt;&gt;"Squad",$AK453,$AJ453)))))</f>
        <v>Distribution, Sales &amp; Services</v>
      </c>
      <c r="AM453" s="534" t="b">
        <f>IF(TRIM($B453)="","",--(UPPER(TRIM($K453))="EGI"))</f>
        <v>0</v>
      </c>
      <c r="AQ453" s="841" t="inlineStr">
        <is>
          <t>R0452</t>
        </is>
      </c>
      <c r="AZ453" s="841" t="n"/>
    </row>
    <row r="454" ht="18" customHeight="1" s="535">
      <c r="A454" s="842" t="n">
        <v>104555</v>
      </c>
      <c r="B454" s="843" t="inlineStr">
        <is>
          <t>Ritika Salaria</t>
        </is>
      </c>
      <c r="C454" s="842" t="n">
        <v>104555</v>
      </c>
      <c r="D454" s="843" t="inlineStr">
        <is>
          <t>Configuration Analyst</t>
        </is>
      </c>
      <c r="E454" s="843" t="inlineStr">
        <is>
          <t>Lead – Asset &amp; Configuration (Vacant)</t>
        </is>
      </c>
      <c r="F454" s="843" t="n"/>
      <c r="G454" s="844" t="inlineStr">
        <is>
          <t>Cyber, Risk &amp; Operations</t>
        </is>
      </c>
      <c r="H454" s="843" t="inlineStr">
        <is>
          <t>Service Op &amp; Assurance</t>
        </is>
      </c>
      <c r="I454" s="843" t="inlineStr">
        <is>
          <t>NA</t>
        </is>
      </c>
      <c r="J454" s="843" t="inlineStr">
        <is>
          <t>NA</t>
        </is>
      </c>
      <c r="K454" s="843" t="inlineStr">
        <is>
          <t>NA</t>
        </is>
      </c>
      <c r="L454" s="843" t="inlineStr">
        <is>
          <t>NA</t>
        </is>
      </c>
      <c r="M454" s="843" t="n"/>
      <c r="N454" s="845" t="inlineStr">
        <is>
          <t>Australia</t>
        </is>
      </c>
      <c r="O454" s="846" t="inlineStr">
        <is>
          <t>CIA</t>
        </is>
      </c>
      <c r="P454" s="847" t="n">
        <v>1</v>
      </c>
      <c r="Q454" s="846" t="n"/>
      <c r="R454" s="847" t="inlineStr">
        <is>
          <t>Permanent - Full Time</t>
        </is>
      </c>
      <c r="S454" s="847" t="n"/>
      <c r="T454" s="847" t="n"/>
      <c r="U454" s="848" t="n">
        <v>131640</v>
      </c>
      <c r="V454" s="849" t="n">
        <v>131640</v>
      </c>
      <c r="W454" s="850" t="n">
        <v>0.1</v>
      </c>
      <c r="X454" s="847" t="n">
        <v>0.055</v>
      </c>
      <c r="Y454" s="850" t="n">
        <v>0.12</v>
      </c>
      <c r="Z454" s="851" t="n"/>
      <c r="AA454" s="850" t="n">
        <v>0.04</v>
      </c>
      <c r="AB454" s="852" t="n">
        <v>173106.6</v>
      </c>
      <c r="AD454" s="866" t="n"/>
      <c r="AE454" s="866">
        <f>IF(TRIM($B454)="","",IF(AND(N($P454)&gt;0,N($P454)&lt;1),N($AB454)*N($P454),N($AB454)))</f>
        <v>173106.6</v>
      </c>
      <c r="AF454" s="866" t="str">
        <f>IF(TRIM($B454)="","",IF(OR(ISNUMBER(SEARCH("vacant",$B454)),ISNUMBER(SEARCH("ring fenced",$B454)),LOWER(TRIM($B454))="remove"),"Vacant","Filled"))</f>
        <v>Filled</v>
      </c>
      <c r="AG454" s="866" t="b">
        <f>IF(TRIM($B454)="","",--ISNUMBER(SEARCH("ring fenced",$B454)))</f>
        <v>0</v>
      </c>
      <c r="AH454" s="866" t="str">
        <f>IF(TRIM($B454)="","",IF(COUNTIFS(Lists!$AN$2:$AN$22,TRIM($B454)&amp;" | "&amp;TRIM($D454),Lists!$AO$2:$AO$22,"&lt;&gt;"),INDEX(Lists!$AO$2:$AO$22,MATCH(TRIM($B454)&amp;" | "&amp;TRIM($D454),Lists!$AN$2:$AN$22,0)),IF(COUNTIF(Lists!$AR$2:$AR$3,$AJ454),"TDD Cyber",IF(AND(LEFT($AJ454,4)="EGI ",ISNUMBER(MATCH(TRIM(MID($AJ454,5,99)),Lists!$AS$2:$AS$12,0))),TRIM(MID($AJ454,5,99)),IF(AND(LEFT($AJ454,4)="EGI ",ISNUMBER(MATCH(TRIM(MID($AJ454,5,99)),Lists!$T$2:$T$21,0))),INDEX(Lists!$U$2:$U$21,MATCH(TRIM(MID($AJ454,5,99)),Lists!$T$2:$T$21,0)),IF(OR(TRIM($J454)="",UPPER(TRIM($J454))="NA"),IFERROR(INDEX(Lists!$R$2:$R$9,MATCH(TRIM($G454),Lists!$Q$2:$Q$9,0)),"UNMAPPED"),IFERROR(INDEX(Lists!$U$2:$U$21,MATCH(TRIM($J454),Lists!$T$2:$T$21,0)),IFERROR(INDEX(Lists!$R$2:$R$9,MATCH(TRIM($G454),Lists!$Q$2:$Q$9,0)),"UNMAPPED"))))))))</f>
        <v>COE Cyber</v>
      </c>
      <c r="AI454" s="534" t="b">
        <f>IF(TRIM($B454)="","",--OR(TRIM($L454)="Leadership",TRIM($K454)="Leadership"))</f>
        <v>0</v>
      </c>
      <c r="AJ454" s="534" t="str">
        <f>IF(TRIM($B454)="","",IF(COUNTIFS(Lists!$AN$2:$AN$22,TRIM($B454)&amp;" | "&amp;TRIM($D454),Lists!$AP$2:$AP$22,"&lt;&gt;"),INDEX(Lists!$AP$2:$AP$22,MATCH(TRIM($B454)&amp;" | "&amp;TRIM($D454),Lists!$AN$2:$AN$22,0)),IF($AI454=1,"Leadership",IFERROR(INDEX(Lists!$X$2:$X$21,MATCH(TRIM($L454),Lists!$W$2:$W$21,0)),IF(OR(TRIM($L454)="",LOWER(TRIM($L454))="na"),IF(TRIM($H454)="","Unassigned",TRIM($H454)),TRIM($L454))))))</f>
        <v>Service Op &amp; Assurance</v>
      </c>
      <c r="AK454" s="534" t="str">
        <f>IF(TRIM($B454)="","",IF(COUNTIFS(Lists!$AN$2:$AN$22,TRIM($B454)&amp;" | "&amp;TRIM($D454),Lists!$AQ$2:$AQ$22,"&lt;&gt;"),INDEX(Lists!$AQ$2:$AQ$22,MATCH(TRIM($B454)&amp;" | "&amp;TRIM($D454),Lists!$AN$2:$AN$22,0)),IF(COUNTIF(Lists!$AF$2:$AF$8,$AJ454),$AJ454,IF(ISNUMBER(SEARCH("head of ",$D454)),"Head of Technology",IF(ISNUMBER(SEARCH("TDD BP",$D454)),"Business Partner",IF(OR(ISNUMBER(SEARCH("domain architect",$D454)),ISNUMBER(SEARCH("enterprise architect",$D454))),"Domain Architect",IF(ISNUMBER(SEARCH("delivery man",$D454)),"Delivery Manager",IF(OR(ISNUMBER(SEARCH("technology manager",$D454)),ISNUMBER(SEARCH("technology manger",$D454)),ISNUMBER(SEARCH("tech manager",$D454))),"Technology Manager","Squad"))))))))</f>
        <v>Squad</v>
      </c>
      <c r="AL454" s="534" t="str">
        <f>IF(TRIM($B454)="","",IF(AND($AM454=1,LEFT($AJ454,4)&lt;&gt;"EGI ",$AJ454&lt;&gt;"EGI"),IFERROR(INDEX(Lists!$Z$2:$Z$20,MATCH($AH454,Lists!$Y$2:$Y$20,0)),"EGI "&amp;$AH454),IF(COUNTIF(Lists!$AU$2:$AU$10,$AJ454),$AJ454,IF(OR(LEFT($AH454,3)="COE",$AH454="EGI"),$AJ454,IF($AK454&lt;&gt;"Squad",$AK454,$AJ454)))))</f>
        <v>Service Op &amp; Assurance</v>
      </c>
      <c r="AM454" s="534" t="b">
        <f>IF(TRIM($B454)="","",--(UPPER(TRIM($K454))="EGI"))</f>
        <v>0</v>
      </c>
      <c r="AQ454" s="841" t="inlineStr">
        <is>
          <t>R0453</t>
        </is>
      </c>
      <c r="AZ454" s="841" t="n"/>
    </row>
    <row r="455" ht="18" customHeight="1" s="535">
      <c r="A455" s="842" t="n">
        <v>113515</v>
      </c>
      <c r="B455" s="843" t="inlineStr">
        <is>
          <t>Ash Muthumala</t>
        </is>
      </c>
      <c r="C455" s="842" t="n">
        <v>113515</v>
      </c>
      <c r="D455" s="843" t="inlineStr">
        <is>
          <t>Senior QA Analyst</t>
        </is>
      </c>
      <c r="E455" s="843" t="inlineStr">
        <is>
          <t>Manjot Kaur</t>
        </is>
      </c>
      <c r="F455" s="843" t="inlineStr">
        <is>
          <t>Technology Manager, Data</t>
        </is>
      </c>
      <c r="G455" s="844" t="inlineStr">
        <is>
          <t>Ampol Retail &amp; Z</t>
        </is>
      </c>
      <c r="H455" s="843" t="inlineStr">
        <is>
          <t>Z &amp; Group Retail</t>
        </is>
      </c>
      <c r="I455" s="843" t="inlineStr">
        <is>
          <t>Z &amp; Group Retail, Data</t>
        </is>
      </c>
      <c r="J455" s="843" t="inlineStr">
        <is>
          <t>Z</t>
        </is>
      </c>
      <c r="K455" s="843" t="inlineStr">
        <is>
          <t>Z Customer &amp; Z Supply</t>
        </is>
      </c>
      <c r="L455" s="843" t="inlineStr">
        <is>
          <t>Data - NZ</t>
        </is>
      </c>
      <c r="M455" s="843" t="n"/>
      <c r="N455" s="845" t="inlineStr">
        <is>
          <t>NZ</t>
        </is>
      </c>
      <c r="O455" s="846" t="inlineStr">
        <is>
          <t>CIA</t>
        </is>
      </c>
      <c r="P455" s="847" t="n">
        <v>1</v>
      </c>
      <c r="Q455" s="847" t="n"/>
      <c r="R455" s="847" t="inlineStr">
        <is>
          <t>Permanent - Full Time</t>
        </is>
      </c>
      <c r="S455" s="847" t="n"/>
      <c r="T455" s="847" t="n"/>
      <c r="U455" s="848" t="n">
        <v>121830</v>
      </c>
      <c r="V455" s="849" t="n">
        <v>112083.6</v>
      </c>
      <c r="W455" s="850" t="n">
        <v>0.15</v>
      </c>
      <c r="X455" s="847" t="n"/>
      <c r="Y455" s="850" t="n">
        <v>0.05</v>
      </c>
      <c r="Z455" s="851" t="n">
        <v>2910</v>
      </c>
      <c r="AA455" s="850" t="n">
        <v>0.03</v>
      </c>
      <c r="AB455" s="852" t="n">
        <v>140772.828</v>
      </c>
      <c r="AD455" s="866" t="n"/>
      <c r="AE455" s="866">
        <f>IF(TRIM($B455)="","",IF(AND(N($P455)&gt;0,N($P455)&lt;1),N($AB455)*N($P455),N($AB455)))</f>
        <v>140772.828</v>
      </c>
      <c r="AF455" s="866" t="str">
        <f>IF(TRIM($B455)="","",IF(OR(ISNUMBER(SEARCH("vacant",$B455)),ISNUMBER(SEARCH("ring fenced",$B455)),LOWER(TRIM($B455))="remove"),"Vacant","Filled"))</f>
        <v>Filled</v>
      </c>
      <c r="AG455" s="866" t="b">
        <f>IF(TRIM($B455)="","",--ISNUMBER(SEARCH("ring fenced",$B455)))</f>
        <v>0</v>
      </c>
      <c r="AH455" s="866" t="str">
        <f>IF(TRIM($B455)="","",IF(COUNTIFS(Lists!$AN$2:$AN$22,TRIM($B455)&amp;" | "&amp;TRIM($D455),Lists!$AO$2:$AO$22,"&lt;&gt;"),INDEX(Lists!$AO$2:$AO$22,MATCH(TRIM($B455)&amp;" | "&amp;TRIM($D455),Lists!$AN$2:$AN$22,0)),IF(COUNTIF(Lists!$AR$2:$AR$3,$AJ455),"TDD Cyber",IF(AND(LEFT($AJ455,4)="EGI ",ISNUMBER(MATCH(TRIM(MID($AJ455,5,99)),Lists!$AS$2:$AS$12,0))),TRIM(MID($AJ455,5,99)),IF(AND(LEFT($AJ455,4)="EGI ",ISNUMBER(MATCH(TRIM(MID($AJ455,5,99)),Lists!$T$2:$T$21,0))),INDEX(Lists!$U$2:$U$21,MATCH(TRIM(MID($AJ455,5,99)),Lists!$T$2:$T$21,0)),IF(OR(TRIM($J455)="",UPPER(TRIM($J455))="NA"),IFERROR(INDEX(Lists!$R$2:$R$9,MATCH(TRIM($G455),Lists!$Q$2:$Q$9,0)),"UNMAPPED"),IFERROR(INDEX(Lists!$U$2:$U$21,MATCH(TRIM($J455),Lists!$T$2:$T$21,0)),IFERROR(INDEX(Lists!$R$2:$R$9,MATCH(TRIM($G455),Lists!$Q$2:$Q$9,0)),"UNMAPPED"))))))))</f>
        <v>Z Retail</v>
      </c>
      <c r="AI455" s="534" t="b">
        <f>IF(TRIM($B455)="","",--OR(TRIM($L455)="Leadership",TRIM($K455)="Leadership"))</f>
        <v>0</v>
      </c>
      <c r="AJ455" s="534" t="str">
        <f>IF(TRIM($B455)="","",IF(COUNTIFS(Lists!$AN$2:$AN$22,TRIM($B455)&amp;" | "&amp;TRIM($D455),Lists!$AP$2:$AP$22,"&lt;&gt;"),INDEX(Lists!$AP$2:$AP$22,MATCH(TRIM($B455)&amp;" | "&amp;TRIM($D455),Lists!$AN$2:$AN$22,0)),IF($AI455=1,"Leadership",IFERROR(INDEX(Lists!$X$2:$X$21,MATCH(TRIM($L455),Lists!$W$2:$W$21,0)),IF(OR(TRIM($L455)="",LOWER(TRIM($L455))="na"),IF(TRIM($H455)="","Unassigned",TRIM($H455)),TRIM($L455))))))</f>
        <v>Data NZ</v>
      </c>
      <c r="AK455" s="534" t="str">
        <f>IF(TRIM($B455)="","",IF(COUNTIFS(Lists!$AN$2:$AN$22,TRIM($B455)&amp;" | "&amp;TRIM($D455),Lists!$AQ$2:$AQ$22,"&lt;&gt;"),INDEX(Lists!$AQ$2:$AQ$22,MATCH(TRIM($B455)&amp;" | "&amp;TRIM($D455),Lists!$AN$2:$AN$22,0)),IF(COUNTIF(Lists!$AF$2:$AF$8,$AJ455),$AJ455,IF(ISNUMBER(SEARCH("head of ",$D455)),"Head of Technology",IF(ISNUMBER(SEARCH("TDD BP",$D455)),"Business Partner",IF(OR(ISNUMBER(SEARCH("domain architect",$D455)),ISNUMBER(SEARCH("enterprise architect",$D455))),"Domain Architect",IF(ISNUMBER(SEARCH("delivery man",$D455)),"Delivery Manager",IF(OR(ISNUMBER(SEARCH("technology manager",$D455)),ISNUMBER(SEARCH("technology manger",$D455)),ISNUMBER(SEARCH("tech manager",$D455))),"Technology Manager","Squad"))))))))</f>
        <v>Squad</v>
      </c>
      <c r="AL455" s="534" t="str">
        <f>IF(TRIM($B455)="","",IF(AND($AM455=1,LEFT($AJ455,4)&lt;&gt;"EGI ",$AJ455&lt;&gt;"EGI"),IFERROR(INDEX(Lists!$Z$2:$Z$20,MATCH($AH455,Lists!$Y$2:$Y$20,0)),"EGI "&amp;$AH455),IF(COUNTIF(Lists!$AU$2:$AU$10,$AJ455),$AJ455,IF(OR(LEFT($AH455,3)="COE",$AH455="EGI"),$AJ455,IF($AK455&lt;&gt;"Squad",$AK455,$AJ455)))))</f>
        <v>Data NZ</v>
      </c>
      <c r="AM455" s="534" t="b">
        <f>IF(TRIM($B455)="","",--(UPPER(TRIM($K455))="EGI"))</f>
        <v>0</v>
      </c>
      <c r="AQ455" s="841" t="inlineStr">
        <is>
          <t>R0454</t>
        </is>
      </c>
      <c r="AZ455" s="841" t="n"/>
    </row>
    <row r="456" ht="18" customHeight="1" s="535">
      <c r="A456" s="842" t="n">
        <v>113523</v>
      </c>
      <c r="B456" s="843" t="inlineStr">
        <is>
          <t>Brian Lai</t>
        </is>
      </c>
      <c r="C456" s="842" t="n">
        <v>113523</v>
      </c>
      <c r="D456" s="843" t="inlineStr">
        <is>
          <t>Engineer - Data</t>
        </is>
      </c>
      <c r="E456" s="843" t="inlineStr">
        <is>
          <t>Manjot Kaur</t>
        </is>
      </c>
      <c r="F456" s="843" t="inlineStr">
        <is>
          <t>Technology Manager, Data</t>
        </is>
      </c>
      <c r="G456" s="844" t="inlineStr">
        <is>
          <t>Ampol Retail &amp; Z</t>
        </is>
      </c>
      <c r="H456" s="843" t="inlineStr">
        <is>
          <t>Z &amp; Group Retail</t>
        </is>
      </c>
      <c r="I456" s="843" t="inlineStr">
        <is>
          <t>Z &amp; Group Retail, Data</t>
        </is>
      </c>
      <c r="J456" s="843" t="inlineStr">
        <is>
          <t>Z</t>
        </is>
      </c>
      <c r="K456" s="843" t="inlineStr">
        <is>
          <t>Z Customer &amp; Z Supply</t>
        </is>
      </c>
      <c r="L456" s="843" t="inlineStr">
        <is>
          <t>Data - NZ</t>
        </is>
      </c>
      <c r="M456" s="843" t="n"/>
      <c r="N456" s="845" t="inlineStr">
        <is>
          <t>NZ</t>
        </is>
      </c>
      <c r="O456" s="846" t="inlineStr">
        <is>
          <t>CIA</t>
        </is>
      </c>
      <c r="P456" s="847" t="n">
        <v>1</v>
      </c>
      <c r="Q456" s="847" t="n"/>
      <c r="R456" s="847" t="inlineStr">
        <is>
          <t>Permanent - Full Time</t>
        </is>
      </c>
      <c r="S456" s="847" t="n"/>
      <c r="T456" s="847" t="n"/>
      <c r="U456" s="848" t="n">
        <v>135000</v>
      </c>
      <c r="V456" s="849" t="n">
        <v>124200</v>
      </c>
      <c r="W456" s="850" t="n">
        <v>0.15</v>
      </c>
      <c r="X456" s="847" t="n"/>
      <c r="Y456" s="850" t="n">
        <v>0.05</v>
      </c>
      <c r="Z456" s="851" t="n">
        <v>2910</v>
      </c>
      <c r="AA456" s="850" t="n">
        <v>0.03</v>
      </c>
      <c r="AB456" s="852" t="n">
        <v>155676</v>
      </c>
      <c r="AD456" s="866" t="n"/>
      <c r="AE456" s="866">
        <f>IF(TRIM($B456)="","",IF(AND(N($P456)&gt;0,N($P456)&lt;1),N($AB456)*N($P456),N($AB456)))</f>
        <v>155676</v>
      </c>
      <c r="AF456" s="866" t="str">
        <f>IF(TRIM($B456)="","",IF(OR(ISNUMBER(SEARCH("vacant",$B456)),ISNUMBER(SEARCH("ring fenced",$B456)),LOWER(TRIM($B456))="remove"),"Vacant","Filled"))</f>
        <v>Filled</v>
      </c>
      <c r="AG456" s="866" t="b">
        <f>IF(TRIM($B456)="","",--ISNUMBER(SEARCH("ring fenced",$B456)))</f>
        <v>0</v>
      </c>
      <c r="AH456" s="866" t="str">
        <f>IF(TRIM($B456)="","",IF(COUNTIFS(Lists!$AN$2:$AN$22,TRIM($B456)&amp;" | "&amp;TRIM($D456),Lists!$AO$2:$AO$22,"&lt;&gt;"),INDEX(Lists!$AO$2:$AO$22,MATCH(TRIM($B456)&amp;" | "&amp;TRIM($D456),Lists!$AN$2:$AN$22,0)),IF(COUNTIF(Lists!$AR$2:$AR$3,$AJ456),"TDD Cyber",IF(AND(LEFT($AJ456,4)="EGI ",ISNUMBER(MATCH(TRIM(MID($AJ456,5,99)),Lists!$AS$2:$AS$12,0))),TRIM(MID($AJ456,5,99)),IF(AND(LEFT($AJ456,4)="EGI ",ISNUMBER(MATCH(TRIM(MID($AJ456,5,99)),Lists!$T$2:$T$21,0))),INDEX(Lists!$U$2:$U$21,MATCH(TRIM(MID($AJ456,5,99)),Lists!$T$2:$T$21,0)),IF(OR(TRIM($J456)="",UPPER(TRIM($J456))="NA"),IFERROR(INDEX(Lists!$R$2:$R$9,MATCH(TRIM($G456),Lists!$Q$2:$Q$9,0)),"UNMAPPED"),IFERROR(INDEX(Lists!$U$2:$U$21,MATCH(TRIM($J456),Lists!$T$2:$T$21,0)),IFERROR(INDEX(Lists!$R$2:$R$9,MATCH(TRIM($G456),Lists!$Q$2:$Q$9,0)),"UNMAPPED"))))))))</f>
        <v>Z Retail</v>
      </c>
      <c r="AI456" s="534" t="b">
        <f>IF(TRIM($B456)="","",--OR(TRIM($L456)="Leadership",TRIM($K456)="Leadership"))</f>
        <v>0</v>
      </c>
      <c r="AJ456" s="534" t="str">
        <f>IF(TRIM($B456)="","",IF(COUNTIFS(Lists!$AN$2:$AN$22,TRIM($B456)&amp;" | "&amp;TRIM($D456),Lists!$AP$2:$AP$22,"&lt;&gt;"),INDEX(Lists!$AP$2:$AP$22,MATCH(TRIM($B456)&amp;" | "&amp;TRIM($D456),Lists!$AN$2:$AN$22,0)),IF($AI456=1,"Leadership",IFERROR(INDEX(Lists!$X$2:$X$21,MATCH(TRIM($L456),Lists!$W$2:$W$21,0)),IF(OR(TRIM($L456)="",LOWER(TRIM($L456))="na"),IF(TRIM($H456)="","Unassigned",TRIM($H456)),TRIM($L456))))))</f>
        <v>Data NZ</v>
      </c>
      <c r="AK456" s="534" t="str">
        <f>IF(TRIM($B456)="","",IF(COUNTIFS(Lists!$AN$2:$AN$22,TRIM($B456)&amp;" | "&amp;TRIM($D456),Lists!$AQ$2:$AQ$22,"&lt;&gt;"),INDEX(Lists!$AQ$2:$AQ$22,MATCH(TRIM($B456)&amp;" | "&amp;TRIM($D456),Lists!$AN$2:$AN$22,0)),IF(COUNTIF(Lists!$AF$2:$AF$8,$AJ456),$AJ456,IF(ISNUMBER(SEARCH("head of ",$D456)),"Head of Technology",IF(ISNUMBER(SEARCH("TDD BP",$D456)),"Business Partner",IF(OR(ISNUMBER(SEARCH("domain architect",$D456)),ISNUMBER(SEARCH("enterprise architect",$D456))),"Domain Architect",IF(ISNUMBER(SEARCH("delivery man",$D456)),"Delivery Manager",IF(OR(ISNUMBER(SEARCH("technology manager",$D456)),ISNUMBER(SEARCH("technology manger",$D456)),ISNUMBER(SEARCH("tech manager",$D456))),"Technology Manager","Squad"))))))))</f>
        <v>Squad</v>
      </c>
      <c r="AL456" s="534" t="str">
        <f>IF(TRIM($B456)="","",IF(AND($AM456=1,LEFT($AJ456,4)&lt;&gt;"EGI ",$AJ456&lt;&gt;"EGI"),IFERROR(INDEX(Lists!$Z$2:$Z$20,MATCH($AH456,Lists!$Y$2:$Y$20,0)),"EGI "&amp;$AH456),IF(COUNTIF(Lists!$AU$2:$AU$10,$AJ456),$AJ456,IF(OR(LEFT($AH456,3)="COE",$AH456="EGI"),$AJ456,IF($AK456&lt;&gt;"Squad",$AK456,$AJ456)))))</f>
        <v>Data NZ</v>
      </c>
      <c r="AM456" s="534" t="b">
        <f>IF(TRIM($B456)="","",--(UPPER(TRIM($K456))="EGI"))</f>
        <v>0</v>
      </c>
      <c r="AQ456" s="841" t="inlineStr">
        <is>
          <t>R0455</t>
        </is>
      </c>
      <c r="AZ456" s="841" t="n"/>
    </row>
    <row r="457" ht="18" customHeight="1" s="535">
      <c r="A457" s="842" t="n">
        <v>115821</v>
      </c>
      <c r="B457" s="843" t="inlineStr">
        <is>
          <t>Jodie Marquez</t>
        </is>
      </c>
      <c r="C457" s="842" t="n">
        <v>115821</v>
      </c>
      <c r="D457" s="843" t="inlineStr">
        <is>
          <t>Data Analyst</t>
        </is>
      </c>
      <c r="E457" s="843" t="inlineStr">
        <is>
          <t>Manjot Kaur</t>
        </is>
      </c>
      <c r="F457" s="843" t="inlineStr">
        <is>
          <t>Technology Manager, Data</t>
        </is>
      </c>
      <c r="G457" s="844" t="inlineStr">
        <is>
          <t>Ampol Retail &amp; Z</t>
        </is>
      </c>
      <c r="H457" s="843" t="inlineStr">
        <is>
          <t>Z &amp; Group Retail</t>
        </is>
      </c>
      <c r="I457" s="843" t="inlineStr">
        <is>
          <t>Z &amp; Group Retail, Data</t>
        </is>
      </c>
      <c r="J457" s="843" t="inlineStr">
        <is>
          <t>Z</t>
        </is>
      </c>
      <c r="K457" s="843" t="inlineStr">
        <is>
          <t>Z Customer &amp; Z Supply</t>
        </is>
      </c>
      <c r="L457" s="843" t="inlineStr">
        <is>
          <t>Data - NZ</t>
        </is>
      </c>
      <c r="M457" s="843" t="n"/>
      <c r="N457" s="845" t="inlineStr">
        <is>
          <t>NZ</t>
        </is>
      </c>
      <c r="O457" s="846" t="inlineStr">
        <is>
          <t>CIA</t>
        </is>
      </c>
      <c r="P457" s="847" t="n">
        <v>1</v>
      </c>
      <c r="Q457" s="846" t="n"/>
      <c r="R457" s="847" t="inlineStr">
        <is>
          <t>Permanent - Full Time</t>
        </is>
      </c>
      <c r="S457" s="847" t="n"/>
      <c r="T457" s="847" t="n"/>
      <c r="U457" s="848" t="n">
        <v>125250</v>
      </c>
      <c r="V457" s="849" t="n">
        <v>115230</v>
      </c>
      <c r="W457" s="850" t="n">
        <v>0.15</v>
      </c>
      <c r="X457" s="847" t="n"/>
      <c r="Y457" s="850" t="n">
        <v>0.05</v>
      </c>
      <c r="Z457" s="851" t="n">
        <v>2910</v>
      </c>
      <c r="AA457" s="850" t="n">
        <v>0.03</v>
      </c>
      <c r="AB457" s="852" t="n">
        <v>144642.9</v>
      </c>
      <c r="AD457" s="866" t="n"/>
      <c r="AE457" s="866">
        <f>IF(TRIM($B457)="","",IF(AND(N($P457)&gt;0,N($P457)&lt;1),N($AB457)*N($P457),N($AB457)))</f>
        <v>144642.9</v>
      </c>
      <c r="AF457" s="866" t="str">
        <f>IF(TRIM($B457)="","",IF(OR(ISNUMBER(SEARCH("vacant",$B457)),ISNUMBER(SEARCH("ring fenced",$B457)),LOWER(TRIM($B457))="remove"),"Vacant","Filled"))</f>
        <v>Filled</v>
      </c>
      <c r="AG457" s="866" t="b">
        <f>IF(TRIM($B457)="","",--ISNUMBER(SEARCH("ring fenced",$B457)))</f>
        <v>0</v>
      </c>
      <c r="AH457" s="866" t="str">
        <f>IF(TRIM($B457)="","",IF(COUNTIFS(Lists!$AN$2:$AN$22,TRIM($B457)&amp;" | "&amp;TRIM($D457),Lists!$AO$2:$AO$22,"&lt;&gt;"),INDEX(Lists!$AO$2:$AO$22,MATCH(TRIM($B457)&amp;" | "&amp;TRIM($D457),Lists!$AN$2:$AN$22,0)),IF(COUNTIF(Lists!$AR$2:$AR$3,$AJ457),"TDD Cyber",IF(AND(LEFT($AJ457,4)="EGI ",ISNUMBER(MATCH(TRIM(MID($AJ457,5,99)),Lists!$AS$2:$AS$12,0))),TRIM(MID($AJ457,5,99)),IF(AND(LEFT($AJ457,4)="EGI ",ISNUMBER(MATCH(TRIM(MID($AJ457,5,99)),Lists!$T$2:$T$21,0))),INDEX(Lists!$U$2:$U$21,MATCH(TRIM(MID($AJ457,5,99)),Lists!$T$2:$T$21,0)),IF(OR(TRIM($J457)="",UPPER(TRIM($J457))="NA"),IFERROR(INDEX(Lists!$R$2:$R$9,MATCH(TRIM($G457),Lists!$Q$2:$Q$9,0)),"UNMAPPED"),IFERROR(INDEX(Lists!$U$2:$U$21,MATCH(TRIM($J457),Lists!$T$2:$T$21,0)),IFERROR(INDEX(Lists!$R$2:$R$9,MATCH(TRIM($G457),Lists!$Q$2:$Q$9,0)),"UNMAPPED"))))))))</f>
        <v>Z Retail</v>
      </c>
      <c r="AI457" s="534" t="b">
        <f>IF(TRIM($B457)="","",--OR(TRIM($L457)="Leadership",TRIM($K457)="Leadership"))</f>
        <v>0</v>
      </c>
      <c r="AJ457" s="534" t="str">
        <f>IF(TRIM($B457)="","",IF(COUNTIFS(Lists!$AN$2:$AN$22,TRIM($B457)&amp;" | "&amp;TRIM($D457),Lists!$AP$2:$AP$22,"&lt;&gt;"),INDEX(Lists!$AP$2:$AP$22,MATCH(TRIM($B457)&amp;" | "&amp;TRIM($D457),Lists!$AN$2:$AN$22,0)),IF($AI457=1,"Leadership",IFERROR(INDEX(Lists!$X$2:$X$21,MATCH(TRIM($L457),Lists!$W$2:$W$21,0)),IF(OR(TRIM($L457)="",LOWER(TRIM($L457))="na"),IF(TRIM($H457)="","Unassigned",TRIM($H457)),TRIM($L457))))))</f>
        <v>Data NZ</v>
      </c>
      <c r="AK457" s="534" t="str">
        <f>IF(TRIM($B457)="","",IF(COUNTIFS(Lists!$AN$2:$AN$22,TRIM($B457)&amp;" | "&amp;TRIM($D457),Lists!$AQ$2:$AQ$22,"&lt;&gt;"),INDEX(Lists!$AQ$2:$AQ$22,MATCH(TRIM($B457)&amp;" | "&amp;TRIM($D457),Lists!$AN$2:$AN$22,0)),IF(COUNTIF(Lists!$AF$2:$AF$8,$AJ457),$AJ457,IF(ISNUMBER(SEARCH("head of ",$D457)),"Head of Technology",IF(ISNUMBER(SEARCH("TDD BP",$D457)),"Business Partner",IF(OR(ISNUMBER(SEARCH("domain architect",$D457)),ISNUMBER(SEARCH("enterprise architect",$D457))),"Domain Architect",IF(ISNUMBER(SEARCH("delivery man",$D457)),"Delivery Manager",IF(OR(ISNUMBER(SEARCH("technology manager",$D457)),ISNUMBER(SEARCH("technology manger",$D457)),ISNUMBER(SEARCH("tech manager",$D457))),"Technology Manager","Squad"))))))))</f>
        <v>Squad</v>
      </c>
      <c r="AL457" s="534" t="str">
        <f>IF(TRIM($B457)="","",IF(AND($AM457=1,LEFT($AJ457,4)&lt;&gt;"EGI ",$AJ457&lt;&gt;"EGI"),IFERROR(INDEX(Lists!$Z$2:$Z$20,MATCH($AH457,Lists!$Y$2:$Y$20,0)),"EGI "&amp;$AH457),IF(COUNTIF(Lists!$AU$2:$AU$10,$AJ457),$AJ457,IF(OR(LEFT($AH457,3)="COE",$AH457="EGI"),$AJ457,IF($AK457&lt;&gt;"Squad",$AK457,$AJ457)))))</f>
        <v>Data NZ</v>
      </c>
      <c r="AM457" s="534" t="b">
        <f>IF(TRIM($B457)="","",--(UPPER(TRIM($K457))="EGI"))</f>
        <v>0</v>
      </c>
      <c r="AQ457" s="841" t="inlineStr">
        <is>
          <t>R0456</t>
        </is>
      </c>
      <c r="AZ457" s="841" t="n"/>
    </row>
    <row r="458" ht="18" customHeight="1" s="535">
      <c r="A458" s="842" t="n">
        <v>113589</v>
      </c>
      <c r="B458" s="843" t="inlineStr">
        <is>
          <t>McKenzie Tournquist</t>
        </is>
      </c>
      <c r="C458" s="842" t="n">
        <v>113589</v>
      </c>
      <c r="D458" s="843" t="inlineStr">
        <is>
          <t>Data Analyst</t>
        </is>
      </c>
      <c r="E458" s="843" t="inlineStr">
        <is>
          <t>Manjot Kaur</t>
        </is>
      </c>
      <c r="F458" s="843" t="inlineStr">
        <is>
          <t>Technology Manager, Data</t>
        </is>
      </c>
      <c r="G458" s="844" t="inlineStr">
        <is>
          <t>Ampol Retail &amp; Z</t>
        </is>
      </c>
      <c r="H458" s="843" t="inlineStr">
        <is>
          <t>Z &amp; Group Retail</t>
        </is>
      </c>
      <c r="I458" s="843" t="inlineStr">
        <is>
          <t>Z &amp; Group Retail, Data</t>
        </is>
      </c>
      <c r="J458" s="843" t="inlineStr">
        <is>
          <t>Z</t>
        </is>
      </c>
      <c r="K458" s="843" t="inlineStr">
        <is>
          <t>Z Customer &amp; Z Supply</t>
        </is>
      </c>
      <c r="L458" s="843" t="inlineStr">
        <is>
          <t>Data - NZ</t>
        </is>
      </c>
      <c r="M458" s="843" t="n"/>
      <c r="N458" s="845" t="inlineStr">
        <is>
          <t>NZ</t>
        </is>
      </c>
      <c r="O458" s="846" t="inlineStr">
        <is>
          <t>CIA</t>
        </is>
      </c>
      <c r="P458" s="847" t="n">
        <v>1</v>
      </c>
      <c r="Q458" s="846" t="n"/>
      <c r="R458" s="847" t="inlineStr">
        <is>
          <t>Permanent - Full Time</t>
        </is>
      </c>
      <c r="S458" s="847" t="n"/>
      <c r="T458" s="847" t="n"/>
      <c r="U458" s="848" t="n">
        <v>81890</v>
      </c>
      <c r="V458" s="849" t="n">
        <v>75338.8</v>
      </c>
      <c r="W458" s="850" t="n">
        <v>0.1</v>
      </c>
      <c r="X458" s="847" t="n"/>
      <c r="Y458" s="850" t="n">
        <v>0.05</v>
      </c>
      <c r="Z458" s="851" t="n">
        <v>2910</v>
      </c>
      <c r="AA458" s="850" t="n">
        <v>0.03</v>
      </c>
      <c r="AB458" s="852" t="n">
        <v>91809.784</v>
      </c>
      <c r="AD458" s="866" t="n"/>
      <c r="AE458" s="866">
        <f>IF(TRIM($B458)="","",IF(AND(N($P458)&gt;0,N($P458)&lt;1),N($AB458)*N($P458),N($AB458)))</f>
        <v>91809.784</v>
      </c>
      <c r="AF458" s="866" t="str">
        <f>IF(TRIM($B458)="","",IF(OR(ISNUMBER(SEARCH("vacant",$B458)),ISNUMBER(SEARCH("ring fenced",$B458)),LOWER(TRIM($B458))="remove"),"Vacant","Filled"))</f>
        <v>Filled</v>
      </c>
      <c r="AG458" s="866" t="b">
        <f>IF(TRIM($B458)="","",--ISNUMBER(SEARCH("ring fenced",$B458)))</f>
        <v>0</v>
      </c>
      <c r="AH458" s="866" t="str">
        <f>IF(TRIM($B458)="","",IF(COUNTIFS(Lists!$AN$2:$AN$22,TRIM($B458)&amp;" | "&amp;TRIM($D458),Lists!$AO$2:$AO$22,"&lt;&gt;"),INDEX(Lists!$AO$2:$AO$22,MATCH(TRIM($B458)&amp;" | "&amp;TRIM($D458),Lists!$AN$2:$AN$22,0)),IF(COUNTIF(Lists!$AR$2:$AR$3,$AJ458),"TDD Cyber",IF(AND(LEFT($AJ458,4)="EGI ",ISNUMBER(MATCH(TRIM(MID($AJ458,5,99)),Lists!$AS$2:$AS$12,0))),TRIM(MID($AJ458,5,99)),IF(AND(LEFT($AJ458,4)="EGI ",ISNUMBER(MATCH(TRIM(MID($AJ458,5,99)),Lists!$T$2:$T$21,0))),INDEX(Lists!$U$2:$U$21,MATCH(TRIM(MID($AJ458,5,99)),Lists!$T$2:$T$21,0)),IF(OR(TRIM($J458)="",UPPER(TRIM($J458))="NA"),IFERROR(INDEX(Lists!$R$2:$R$9,MATCH(TRIM($G458),Lists!$Q$2:$Q$9,0)),"UNMAPPED"),IFERROR(INDEX(Lists!$U$2:$U$21,MATCH(TRIM($J458),Lists!$T$2:$T$21,0)),IFERROR(INDEX(Lists!$R$2:$R$9,MATCH(TRIM($G458),Lists!$Q$2:$Q$9,0)),"UNMAPPED"))))))))</f>
        <v>Z Retail</v>
      </c>
      <c r="AI458" s="534" t="b">
        <f>IF(TRIM($B458)="","",--OR(TRIM($L458)="Leadership",TRIM($K458)="Leadership"))</f>
        <v>0</v>
      </c>
      <c r="AJ458" s="534" t="str">
        <f>IF(TRIM($B458)="","",IF(COUNTIFS(Lists!$AN$2:$AN$22,TRIM($B458)&amp;" | "&amp;TRIM($D458),Lists!$AP$2:$AP$22,"&lt;&gt;"),INDEX(Lists!$AP$2:$AP$22,MATCH(TRIM($B458)&amp;" | "&amp;TRIM($D458),Lists!$AN$2:$AN$22,0)),IF($AI458=1,"Leadership",IFERROR(INDEX(Lists!$X$2:$X$21,MATCH(TRIM($L458),Lists!$W$2:$W$21,0)),IF(OR(TRIM($L458)="",LOWER(TRIM($L458))="na"),IF(TRIM($H458)="","Unassigned",TRIM($H458)),TRIM($L458))))))</f>
        <v>Data NZ</v>
      </c>
      <c r="AK458" s="534" t="str">
        <f>IF(TRIM($B458)="","",IF(COUNTIFS(Lists!$AN$2:$AN$22,TRIM($B458)&amp;" | "&amp;TRIM($D458),Lists!$AQ$2:$AQ$22,"&lt;&gt;"),INDEX(Lists!$AQ$2:$AQ$22,MATCH(TRIM($B458)&amp;" | "&amp;TRIM($D458),Lists!$AN$2:$AN$22,0)),IF(COUNTIF(Lists!$AF$2:$AF$8,$AJ458),$AJ458,IF(ISNUMBER(SEARCH("head of ",$D458)),"Head of Technology",IF(ISNUMBER(SEARCH("TDD BP",$D458)),"Business Partner",IF(OR(ISNUMBER(SEARCH("domain architect",$D458)),ISNUMBER(SEARCH("enterprise architect",$D458))),"Domain Architect",IF(ISNUMBER(SEARCH("delivery man",$D458)),"Delivery Manager",IF(OR(ISNUMBER(SEARCH("technology manager",$D458)),ISNUMBER(SEARCH("technology manger",$D458)),ISNUMBER(SEARCH("tech manager",$D458))),"Technology Manager","Squad"))))))))</f>
        <v>Squad</v>
      </c>
      <c r="AL458" s="534" t="str">
        <f>IF(TRIM($B458)="","",IF(AND($AM458=1,LEFT($AJ458,4)&lt;&gt;"EGI ",$AJ458&lt;&gt;"EGI"),IFERROR(INDEX(Lists!$Z$2:$Z$20,MATCH($AH458,Lists!$Y$2:$Y$20,0)),"EGI "&amp;$AH458),IF(COUNTIF(Lists!$AU$2:$AU$10,$AJ458),$AJ458,IF(OR(LEFT($AH458,3)="COE",$AH458="EGI"),$AJ458,IF($AK458&lt;&gt;"Squad",$AK458,$AJ458)))))</f>
        <v>Data NZ</v>
      </c>
      <c r="AM458" s="534" t="b">
        <f>IF(TRIM($B458)="","",--(UPPER(TRIM($K458))="EGI"))</f>
        <v>0</v>
      </c>
      <c r="AQ458" s="841" t="inlineStr">
        <is>
          <t>R0457</t>
        </is>
      </c>
      <c r="AZ458" s="841" t="n"/>
    </row>
    <row r="459" ht="18" customHeight="1" s="535">
      <c r="A459" s="842" t="n">
        <v>108013</v>
      </c>
      <c r="B459" s="843" t="inlineStr">
        <is>
          <t>Belinda Hoskens</t>
        </is>
      </c>
      <c r="C459" s="842" t="n">
        <v>108013</v>
      </c>
      <c r="D459" s="843" t="inlineStr">
        <is>
          <t>Technology Support Engineer</t>
        </is>
      </c>
      <c r="E459" s="843" t="inlineStr">
        <is>
          <t>Mark Pearson</t>
        </is>
      </c>
      <c r="F459" s="843" t="inlineStr">
        <is>
          <t xml:space="preserve">Lead Technology Support </t>
        </is>
      </c>
      <c r="G459" s="844" t="inlineStr">
        <is>
          <t>Cyber, Risk &amp; Operations</t>
        </is>
      </c>
      <c r="H459" s="843" t="inlineStr">
        <is>
          <t>Service Op &amp; Assurance</t>
        </is>
      </c>
      <c r="I459" s="843" t="inlineStr">
        <is>
          <t xml:space="preserve">Technology Support </t>
        </is>
      </c>
      <c r="J459" s="843" t="inlineStr">
        <is>
          <t>NA</t>
        </is>
      </c>
      <c r="K459" s="843" t="inlineStr">
        <is>
          <t>NA</t>
        </is>
      </c>
      <c r="L459" s="843" t="inlineStr">
        <is>
          <t>NA</t>
        </is>
      </c>
      <c r="M459" s="843" t="n"/>
      <c r="N459" s="845" t="inlineStr">
        <is>
          <t>Australia</t>
        </is>
      </c>
      <c r="O459" s="846" t="inlineStr">
        <is>
          <t>CIA</t>
        </is>
      </c>
      <c r="P459" s="847" t="n">
        <v>1</v>
      </c>
      <c r="Q459" s="847" t="n"/>
      <c r="R459" s="847" t="inlineStr">
        <is>
          <t>Permanent - Full Time</t>
        </is>
      </c>
      <c r="S459" s="847" t="n"/>
      <c r="T459" s="847" t="n"/>
      <c r="U459" s="848" t="n">
        <v>123300</v>
      </c>
      <c r="V459" s="849" t="n">
        <v>123300</v>
      </c>
      <c r="W459" s="850" t="n">
        <v>0.1</v>
      </c>
      <c r="X459" s="847" t="n">
        <v>0.055</v>
      </c>
      <c r="Y459" s="850" t="n">
        <v>0.12</v>
      </c>
      <c r="Z459" s="851" t="n"/>
      <c r="AA459" s="850" t="n">
        <v>0.04</v>
      </c>
      <c r="AB459" s="852" t="n">
        <v>162139.5</v>
      </c>
      <c r="AD459" s="866" t="n"/>
      <c r="AE459" s="866">
        <f>IF(TRIM($B459)="","",IF(AND(N($P459)&gt;0,N($P459)&lt;1),N($AB459)*N($P459),N($AB459)))</f>
        <v>162139.5</v>
      </c>
      <c r="AF459" s="866" t="str">
        <f>IF(TRIM($B459)="","",IF(OR(ISNUMBER(SEARCH("vacant",$B459)),ISNUMBER(SEARCH("ring fenced",$B459)),LOWER(TRIM($B459))="remove"),"Vacant","Filled"))</f>
        <v>Filled</v>
      </c>
      <c r="AG459" s="866" t="b">
        <f>IF(TRIM($B459)="","",--ISNUMBER(SEARCH("ring fenced",$B459)))</f>
        <v>0</v>
      </c>
      <c r="AH459" s="866" t="str">
        <f>IF(TRIM($B459)="","",IF(COUNTIFS(Lists!$AN$2:$AN$22,TRIM($B459)&amp;" | "&amp;TRIM($D459),Lists!$AO$2:$AO$22,"&lt;&gt;"),INDEX(Lists!$AO$2:$AO$22,MATCH(TRIM($B459)&amp;" | "&amp;TRIM($D459),Lists!$AN$2:$AN$22,0)),IF(COUNTIF(Lists!$AR$2:$AR$3,$AJ459),"TDD Cyber",IF(AND(LEFT($AJ459,4)="EGI ",ISNUMBER(MATCH(TRIM(MID($AJ459,5,99)),Lists!$AS$2:$AS$12,0))),TRIM(MID($AJ459,5,99)),IF(AND(LEFT($AJ459,4)="EGI ",ISNUMBER(MATCH(TRIM(MID($AJ459,5,99)),Lists!$T$2:$T$21,0))),INDEX(Lists!$U$2:$U$21,MATCH(TRIM(MID($AJ459,5,99)),Lists!$T$2:$T$21,0)),IF(OR(TRIM($J459)="",UPPER(TRIM($J459))="NA"),IFERROR(INDEX(Lists!$R$2:$R$9,MATCH(TRIM($G459),Lists!$Q$2:$Q$9,0)),"UNMAPPED"),IFERROR(INDEX(Lists!$U$2:$U$21,MATCH(TRIM($J459),Lists!$T$2:$T$21,0)),IFERROR(INDEX(Lists!$R$2:$R$9,MATCH(TRIM($G459),Lists!$Q$2:$Q$9,0)),"UNMAPPED"))))))))</f>
        <v>COE Cyber</v>
      </c>
      <c r="AI459" s="534" t="b">
        <f>IF(TRIM($B459)="","",--OR(TRIM($L459)="Leadership",TRIM($K459)="Leadership"))</f>
        <v>0</v>
      </c>
      <c r="AJ459" s="534" t="str">
        <f>IF(TRIM($B459)="","",IF(COUNTIFS(Lists!$AN$2:$AN$22,TRIM($B459)&amp;" | "&amp;TRIM($D459),Lists!$AP$2:$AP$22,"&lt;&gt;"),INDEX(Lists!$AP$2:$AP$22,MATCH(TRIM($B459)&amp;" | "&amp;TRIM($D459),Lists!$AN$2:$AN$22,0)),IF($AI459=1,"Leadership",IFERROR(INDEX(Lists!$X$2:$X$21,MATCH(TRIM($L459),Lists!$W$2:$W$21,0)),IF(OR(TRIM($L459)="",LOWER(TRIM($L459))="na"),IF(TRIM($H459)="","Unassigned",TRIM($H459)),TRIM($L459))))))</f>
        <v>Service Op &amp; Assurance</v>
      </c>
      <c r="AK459" s="534" t="str">
        <f>IF(TRIM($B459)="","",IF(COUNTIFS(Lists!$AN$2:$AN$22,TRIM($B459)&amp;" | "&amp;TRIM($D459),Lists!$AQ$2:$AQ$22,"&lt;&gt;"),INDEX(Lists!$AQ$2:$AQ$22,MATCH(TRIM($B459)&amp;" | "&amp;TRIM($D459),Lists!$AN$2:$AN$22,0)),IF(COUNTIF(Lists!$AF$2:$AF$8,$AJ459),$AJ459,IF(ISNUMBER(SEARCH("head of ",$D459)),"Head of Technology",IF(ISNUMBER(SEARCH("TDD BP",$D459)),"Business Partner",IF(OR(ISNUMBER(SEARCH("domain architect",$D459)),ISNUMBER(SEARCH("enterprise architect",$D459))),"Domain Architect",IF(ISNUMBER(SEARCH("delivery man",$D459)),"Delivery Manager",IF(OR(ISNUMBER(SEARCH("technology manager",$D459)),ISNUMBER(SEARCH("technology manger",$D459)),ISNUMBER(SEARCH("tech manager",$D459))),"Technology Manager","Squad"))))))))</f>
        <v>Squad</v>
      </c>
      <c r="AL459" s="534" t="str">
        <f>IF(TRIM($B459)="","",IF(AND($AM459=1,LEFT($AJ459,4)&lt;&gt;"EGI ",$AJ459&lt;&gt;"EGI"),IFERROR(INDEX(Lists!$Z$2:$Z$20,MATCH($AH459,Lists!$Y$2:$Y$20,0)),"EGI "&amp;$AH459),IF(COUNTIF(Lists!$AU$2:$AU$10,$AJ459),$AJ459,IF(OR(LEFT($AH459,3)="COE",$AH459="EGI"),$AJ459,IF($AK459&lt;&gt;"Squad",$AK459,$AJ459)))))</f>
        <v>Service Op &amp; Assurance</v>
      </c>
      <c r="AM459" s="534" t="b">
        <f>IF(TRIM($B459)="","",--(UPPER(TRIM($K459))="EGI"))</f>
        <v>0</v>
      </c>
      <c r="AQ459" s="841" t="inlineStr">
        <is>
          <t>R0458</t>
        </is>
      </c>
      <c r="AZ459" s="841" t="n"/>
    </row>
    <row r="460" ht="18" customHeight="1" s="535">
      <c r="A460" s="842" t="n">
        <v>108727</v>
      </c>
      <c r="B460" s="843" t="inlineStr">
        <is>
          <t>Jas Mann</t>
        </is>
      </c>
      <c r="C460" s="842" t="n">
        <v>108727</v>
      </c>
      <c r="D460" s="843" t="inlineStr">
        <is>
          <t>Technology Support Engineer</t>
        </is>
      </c>
      <c r="E460" s="843" t="inlineStr">
        <is>
          <t>Mark Pearson</t>
        </is>
      </c>
      <c r="F460" s="843" t="inlineStr">
        <is>
          <t xml:space="preserve">Lead Technology Support </t>
        </is>
      </c>
      <c r="G460" s="844" t="inlineStr">
        <is>
          <t>Cyber, Risk &amp; Operations</t>
        </is>
      </c>
      <c r="H460" s="843" t="inlineStr">
        <is>
          <t>Service Op &amp; Assurance</t>
        </is>
      </c>
      <c r="I460" s="843" t="inlineStr">
        <is>
          <t>NA</t>
        </is>
      </c>
      <c r="J460" s="843" t="inlineStr">
        <is>
          <t>NA</t>
        </is>
      </c>
      <c r="K460" s="843" t="inlineStr">
        <is>
          <t>NA</t>
        </is>
      </c>
      <c r="L460" s="843" t="inlineStr">
        <is>
          <t>NA</t>
        </is>
      </c>
      <c r="M460" s="843" t="n"/>
      <c r="N460" s="845" t="inlineStr">
        <is>
          <t>Australia</t>
        </is>
      </c>
      <c r="O460" s="846" t="inlineStr">
        <is>
          <t>CIA</t>
        </is>
      </c>
      <c r="P460" s="847" t="n">
        <v>1</v>
      </c>
      <c r="Q460" s="846" t="n"/>
      <c r="R460" s="847" t="inlineStr">
        <is>
          <t>Permanent - Full Time</t>
        </is>
      </c>
      <c r="S460" s="847" t="n"/>
      <c r="T460" s="847" t="n"/>
      <c r="U460" s="848" t="n">
        <v>111700</v>
      </c>
      <c r="V460" s="849" t="n">
        <v>111700</v>
      </c>
      <c r="W460" s="850" t="n">
        <v>0.1</v>
      </c>
      <c r="X460" s="847" t="n">
        <v>0.055</v>
      </c>
      <c r="Y460" s="850" t="n">
        <v>0.12</v>
      </c>
      <c r="Z460" s="851" t="n"/>
      <c r="AA460" s="850" t="n">
        <v>0.04</v>
      </c>
      <c r="AB460" s="852" t="n">
        <v>146885.5</v>
      </c>
      <c r="AD460" s="866" t="n"/>
      <c r="AE460" s="866">
        <f>IF(TRIM($B460)="","",IF(AND(N($P460)&gt;0,N($P460)&lt;1),N($AB460)*N($P460),N($AB460)))</f>
        <v>146885.5</v>
      </c>
      <c r="AF460" s="866" t="str">
        <f>IF(TRIM($B460)="","",IF(OR(ISNUMBER(SEARCH("vacant",$B460)),ISNUMBER(SEARCH("ring fenced",$B460)),LOWER(TRIM($B460))="remove"),"Vacant","Filled"))</f>
        <v>Filled</v>
      </c>
      <c r="AG460" s="866" t="b">
        <f>IF(TRIM($B460)="","",--ISNUMBER(SEARCH("ring fenced",$B460)))</f>
        <v>0</v>
      </c>
      <c r="AH460" s="866" t="str">
        <f>IF(TRIM($B460)="","",IF(COUNTIFS(Lists!$AN$2:$AN$22,TRIM($B460)&amp;" | "&amp;TRIM($D460),Lists!$AO$2:$AO$22,"&lt;&gt;"),INDEX(Lists!$AO$2:$AO$22,MATCH(TRIM($B460)&amp;" | "&amp;TRIM($D460),Lists!$AN$2:$AN$22,0)),IF(COUNTIF(Lists!$AR$2:$AR$3,$AJ460),"TDD Cyber",IF(AND(LEFT($AJ460,4)="EGI ",ISNUMBER(MATCH(TRIM(MID($AJ460,5,99)),Lists!$AS$2:$AS$12,0))),TRIM(MID($AJ460,5,99)),IF(AND(LEFT($AJ460,4)="EGI ",ISNUMBER(MATCH(TRIM(MID($AJ460,5,99)),Lists!$T$2:$T$21,0))),INDEX(Lists!$U$2:$U$21,MATCH(TRIM(MID($AJ460,5,99)),Lists!$T$2:$T$21,0)),IF(OR(TRIM($J460)="",UPPER(TRIM($J460))="NA"),IFERROR(INDEX(Lists!$R$2:$R$9,MATCH(TRIM($G460),Lists!$Q$2:$Q$9,0)),"UNMAPPED"),IFERROR(INDEX(Lists!$U$2:$U$21,MATCH(TRIM($J460),Lists!$T$2:$T$21,0)),IFERROR(INDEX(Lists!$R$2:$R$9,MATCH(TRIM($G460),Lists!$Q$2:$Q$9,0)),"UNMAPPED"))))))))</f>
        <v>COE Cyber</v>
      </c>
      <c r="AI460" s="534" t="b">
        <f>IF(TRIM($B460)="","",--OR(TRIM($L460)="Leadership",TRIM($K460)="Leadership"))</f>
        <v>0</v>
      </c>
      <c r="AJ460" s="534" t="str">
        <f>IF(TRIM($B460)="","",IF(COUNTIFS(Lists!$AN$2:$AN$22,TRIM($B460)&amp;" | "&amp;TRIM($D460),Lists!$AP$2:$AP$22,"&lt;&gt;"),INDEX(Lists!$AP$2:$AP$22,MATCH(TRIM($B460)&amp;" | "&amp;TRIM($D460),Lists!$AN$2:$AN$22,0)),IF($AI460=1,"Leadership",IFERROR(INDEX(Lists!$X$2:$X$21,MATCH(TRIM($L460),Lists!$W$2:$W$21,0)),IF(OR(TRIM($L460)="",LOWER(TRIM($L460))="na"),IF(TRIM($H460)="","Unassigned",TRIM($H460)),TRIM($L460))))))</f>
        <v>Service Op &amp; Assurance</v>
      </c>
      <c r="AK460" s="534" t="str">
        <f>IF(TRIM($B460)="","",IF(COUNTIFS(Lists!$AN$2:$AN$22,TRIM($B460)&amp;" | "&amp;TRIM($D460),Lists!$AQ$2:$AQ$22,"&lt;&gt;"),INDEX(Lists!$AQ$2:$AQ$22,MATCH(TRIM($B460)&amp;" | "&amp;TRIM($D460),Lists!$AN$2:$AN$22,0)),IF(COUNTIF(Lists!$AF$2:$AF$8,$AJ460),$AJ460,IF(ISNUMBER(SEARCH("head of ",$D460)),"Head of Technology",IF(ISNUMBER(SEARCH("TDD BP",$D460)),"Business Partner",IF(OR(ISNUMBER(SEARCH("domain architect",$D460)),ISNUMBER(SEARCH("enterprise architect",$D460))),"Domain Architect",IF(ISNUMBER(SEARCH("delivery man",$D460)),"Delivery Manager",IF(OR(ISNUMBER(SEARCH("technology manager",$D460)),ISNUMBER(SEARCH("technology manger",$D460)),ISNUMBER(SEARCH("tech manager",$D460))),"Technology Manager","Squad"))))))))</f>
        <v>Squad</v>
      </c>
      <c r="AL460" s="534" t="str">
        <f>IF(TRIM($B460)="","",IF(AND($AM460=1,LEFT($AJ460,4)&lt;&gt;"EGI ",$AJ460&lt;&gt;"EGI"),IFERROR(INDEX(Lists!$Z$2:$Z$20,MATCH($AH460,Lists!$Y$2:$Y$20,0)),"EGI "&amp;$AH460),IF(COUNTIF(Lists!$AU$2:$AU$10,$AJ460),$AJ460,IF(OR(LEFT($AH460,3)="COE",$AH460="EGI"),$AJ460,IF($AK460&lt;&gt;"Squad",$AK460,$AJ460)))))</f>
        <v>Service Op &amp; Assurance</v>
      </c>
      <c r="AM460" s="534" t="b">
        <f>IF(TRIM($B460)="","",--(UPPER(TRIM($K460))="EGI"))</f>
        <v>0</v>
      </c>
      <c r="AQ460" s="841" t="inlineStr">
        <is>
          <t>R0459</t>
        </is>
      </c>
      <c r="AZ460" s="841" t="n"/>
    </row>
    <row r="461" ht="18" customHeight="1" s="535">
      <c r="A461" s="842" t="n">
        <v>113520</v>
      </c>
      <c r="B461" s="843" t="inlineStr">
        <is>
          <t>Billie Connolly</t>
        </is>
      </c>
      <c r="C461" s="842" t="n">
        <v>113520</v>
      </c>
      <c r="D461" s="843" t="inlineStr">
        <is>
          <t>Engineer - Modern Workplaces</t>
        </is>
      </c>
      <c r="E461" s="843" t="inlineStr">
        <is>
          <t>Murray Mitchell</t>
        </is>
      </c>
      <c r="F461" s="843" t="inlineStr">
        <is>
          <t>Technology Manager, Enterprise Tooling</t>
        </is>
      </c>
      <c r="G461" s="844" t="inlineStr">
        <is>
          <t>TDD Group Functions</t>
        </is>
      </c>
      <c r="H461" s="843" t="inlineStr">
        <is>
          <t xml:space="preserve">TDD &amp; Engineering </t>
        </is>
      </c>
      <c r="I461" s="843" t="inlineStr">
        <is>
          <t>Workplace &amp; Enterprise Tooling</t>
        </is>
      </c>
      <c r="J461" s="843" t="inlineStr">
        <is>
          <t>TDD</t>
        </is>
      </c>
      <c r="K461" s="843" t="inlineStr">
        <is>
          <t>TDD</t>
        </is>
      </c>
      <c r="L461" s="843" t="inlineStr">
        <is>
          <t>Workplace &amp; Enterprise Tooling</t>
        </is>
      </c>
      <c r="M461" s="843" t="n"/>
      <c r="N461" s="845" t="inlineStr">
        <is>
          <t>NZ</t>
        </is>
      </c>
      <c r="O461" s="846" t="inlineStr">
        <is>
          <t>CIA</t>
        </is>
      </c>
      <c r="P461" s="847" t="n">
        <v>1</v>
      </c>
      <c r="Q461" s="847" t="n"/>
      <c r="R461" s="847" t="inlineStr">
        <is>
          <t>Permanent - Full Time</t>
        </is>
      </c>
      <c r="S461" s="847" t="n"/>
      <c r="T461" s="847" t="n"/>
      <c r="U461" s="848" t="n">
        <v>117530</v>
      </c>
      <c r="V461" s="849" t="n">
        <v>108127.6</v>
      </c>
      <c r="W461" s="850" t="n">
        <v>0.15</v>
      </c>
      <c r="X461" s="847" t="n"/>
      <c r="Y461" s="850" t="n">
        <v>0.05</v>
      </c>
      <c r="Z461" s="851" t="n">
        <v>2910</v>
      </c>
      <c r="AA461" s="850" t="n">
        <v>0.03</v>
      </c>
      <c r="AB461" s="852" t="n">
        <v>135906.948</v>
      </c>
      <c r="AD461" s="866" t="n"/>
      <c r="AE461" s="866">
        <f>IF(TRIM($B461)="","",IF(AND(N($P461)&gt;0,N($P461)&lt;1),N($AB461)*N($P461),N($AB461)))</f>
        <v>135906.948</v>
      </c>
      <c r="AF461" s="866" t="str">
        <f>IF(TRIM($B461)="","",IF(OR(ISNUMBER(SEARCH("vacant",$B461)),ISNUMBER(SEARCH("ring fenced",$B461)),LOWER(TRIM($B461))="remove"),"Vacant","Filled"))</f>
        <v>Filled</v>
      </c>
      <c r="AG461" s="866" t="b">
        <f>IF(TRIM($B461)="","",--ISNUMBER(SEARCH("ring fenced",$B461)))</f>
        <v>0</v>
      </c>
      <c r="AH461" s="866" t="str">
        <f>IF(TRIM($B461)="","",IF(COUNTIFS(Lists!$AN$2:$AN$22,TRIM($B461)&amp;" | "&amp;TRIM($D461),Lists!$AO$2:$AO$22,"&lt;&gt;"),INDEX(Lists!$AO$2:$AO$22,MATCH(TRIM($B461)&amp;" | "&amp;TRIM($D461),Lists!$AN$2:$AN$22,0)),IF(COUNTIF(Lists!$AR$2:$AR$3,$AJ461),"TDD Cyber",IF(AND(LEFT($AJ461,4)="EGI ",ISNUMBER(MATCH(TRIM(MID($AJ461,5,99)),Lists!$AS$2:$AS$12,0))),TRIM(MID($AJ461,5,99)),IF(AND(LEFT($AJ461,4)="EGI ",ISNUMBER(MATCH(TRIM(MID($AJ461,5,99)),Lists!$T$2:$T$21,0))),INDEX(Lists!$U$2:$U$21,MATCH(TRIM(MID($AJ461,5,99)),Lists!$T$2:$T$21,0)),IF(OR(TRIM($J461)="",UPPER(TRIM($J461))="NA"),IFERROR(INDEX(Lists!$R$2:$R$9,MATCH(TRIM($G461),Lists!$Q$2:$Q$9,0)),"UNMAPPED"),IFERROR(INDEX(Lists!$U$2:$U$21,MATCH(TRIM($J461),Lists!$T$2:$T$21,0)),IFERROR(INDEX(Lists!$R$2:$R$9,MATCH(TRIM($G461),Lists!$Q$2:$Q$9,0)),"UNMAPPED"))))))))</f>
        <v>TDD Group Functions</v>
      </c>
      <c r="AI461" s="534" t="b">
        <f>IF(TRIM($B461)="","",--OR(TRIM($L461)="Leadership",TRIM($K461)="Leadership"))</f>
        <v>0</v>
      </c>
      <c r="AJ461" s="534" t="str">
        <f>IF(TRIM($B461)="","",IF(COUNTIFS(Lists!$AN$2:$AN$22,TRIM($B461)&amp;" | "&amp;TRIM($D461),Lists!$AP$2:$AP$22,"&lt;&gt;"),INDEX(Lists!$AP$2:$AP$22,MATCH(TRIM($B461)&amp;" | "&amp;TRIM($D461),Lists!$AN$2:$AN$22,0)),IF($AI461=1,"Leadership",IFERROR(INDEX(Lists!$X$2:$X$21,MATCH(TRIM($L461),Lists!$W$2:$W$21,0)),IF(OR(TRIM($L461)="",LOWER(TRIM($L461))="na"),IF(TRIM($H461)="","Unassigned",TRIM($H461)),TRIM($L461))))))</f>
        <v>Workplace &amp; Enterprise Tooling</v>
      </c>
      <c r="AK461" s="534" t="str">
        <f>IF(TRIM($B461)="","",IF(COUNTIFS(Lists!$AN$2:$AN$22,TRIM($B461)&amp;" | "&amp;TRIM($D461),Lists!$AQ$2:$AQ$22,"&lt;&gt;"),INDEX(Lists!$AQ$2:$AQ$22,MATCH(TRIM($B461)&amp;" | "&amp;TRIM($D461),Lists!$AN$2:$AN$22,0)),IF(COUNTIF(Lists!$AF$2:$AF$8,$AJ461),$AJ461,IF(ISNUMBER(SEARCH("head of ",$D461)),"Head of Technology",IF(ISNUMBER(SEARCH("TDD BP",$D461)),"Business Partner",IF(OR(ISNUMBER(SEARCH("domain architect",$D461)),ISNUMBER(SEARCH("enterprise architect",$D461))),"Domain Architect",IF(ISNUMBER(SEARCH("delivery man",$D461)),"Delivery Manager",IF(OR(ISNUMBER(SEARCH("technology manager",$D461)),ISNUMBER(SEARCH("technology manger",$D461)),ISNUMBER(SEARCH("tech manager",$D461))),"Technology Manager","Squad"))))))))</f>
        <v>Squad</v>
      </c>
      <c r="AL461" s="534" t="str">
        <f>IF(TRIM($B461)="","",IF(AND($AM461=1,LEFT($AJ461,4)&lt;&gt;"EGI ",$AJ461&lt;&gt;"EGI"),IFERROR(INDEX(Lists!$Z$2:$Z$20,MATCH($AH461,Lists!$Y$2:$Y$20,0)),"EGI "&amp;$AH461),IF(COUNTIF(Lists!$AU$2:$AU$10,$AJ461),$AJ461,IF(OR(LEFT($AH461,3)="COE",$AH461="EGI"),$AJ461,IF($AK461&lt;&gt;"Squad",$AK461,$AJ461)))))</f>
        <v>Workplace &amp; Enterprise Tooling</v>
      </c>
      <c r="AM461" s="534" t="b">
        <f>IF(TRIM($B461)="","",--(UPPER(TRIM($K461))="EGI"))</f>
        <v>0</v>
      </c>
      <c r="AQ461" s="841" t="inlineStr">
        <is>
          <t>R0460</t>
        </is>
      </c>
      <c r="AZ461" s="841" t="n"/>
    </row>
    <row r="462" ht="18" customHeight="1" s="535">
      <c r="A462" s="842" t="n">
        <v>113605</v>
      </c>
      <c r="B462" s="843" t="inlineStr">
        <is>
          <t>Rob Struthers</t>
        </is>
      </c>
      <c r="C462" s="842" t="n">
        <v>113605</v>
      </c>
      <c r="D462" s="843" t="inlineStr">
        <is>
          <t>Engineer - Modern Workplaces</t>
        </is>
      </c>
      <c r="E462" s="843" t="inlineStr">
        <is>
          <t>Murray Mitchell</t>
        </is>
      </c>
      <c r="F462" s="843" t="inlineStr">
        <is>
          <t>Technology Manager, Enterprise Tooling</t>
        </is>
      </c>
      <c r="G462" s="844" t="inlineStr">
        <is>
          <t>TDD Group Functions</t>
        </is>
      </c>
      <c r="H462" s="843" t="inlineStr">
        <is>
          <t xml:space="preserve">TDD &amp; Engineering </t>
        </is>
      </c>
      <c r="I462" s="843" t="inlineStr">
        <is>
          <t>Workplace &amp; Enterprise Tooling</t>
        </is>
      </c>
      <c r="J462" s="843" t="inlineStr">
        <is>
          <t>TDD</t>
        </is>
      </c>
      <c r="K462" s="843" t="inlineStr">
        <is>
          <t>TDD</t>
        </is>
      </c>
      <c r="L462" s="843" t="inlineStr">
        <is>
          <t>Workplace &amp; Enterprise Tooling</t>
        </is>
      </c>
      <c r="M462" s="843" t="n"/>
      <c r="N462" s="845" t="inlineStr">
        <is>
          <t>NZ</t>
        </is>
      </c>
      <c r="O462" s="846" t="inlineStr">
        <is>
          <t>CIA</t>
        </is>
      </c>
      <c r="P462" s="847" t="n">
        <v>1</v>
      </c>
      <c r="Q462" s="846" t="n"/>
      <c r="R462" s="847" t="inlineStr">
        <is>
          <t>Permanent - Full Time</t>
        </is>
      </c>
      <c r="S462" s="847" t="n"/>
      <c r="T462" s="847" t="n"/>
      <c r="U462" s="848" t="n">
        <v>124390</v>
      </c>
      <c r="V462" s="849" t="n">
        <v>114438.8</v>
      </c>
      <c r="W462" s="850" t="n">
        <v>0.15</v>
      </c>
      <c r="X462" s="847" t="n"/>
      <c r="Y462" s="850" t="n">
        <v>0.05</v>
      </c>
      <c r="Z462" s="851" t="n">
        <v>2910</v>
      </c>
      <c r="AA462" s="850" t="n">
        <v>0.03</v>
      </c>
      <c r="AB462" s="852" t="n">
        <v>143669.724</v>
      </c>
      <c r="AD462" s="866" t="n"/>
      <c r="AE462" s="866">
        <f>IF(TRIM($B462)="","",IF(AND(N($P462)&gt;0,N($P462)&lt;1),N($AB462)*N($P462),N($AB462)))</f>
        <v>143669.724</v>
      </c>
      <c r="AF462" s="866" t="str">
        <f>IF(TRIM($B462)="","",IF(OR(ISNUMBER(SEARCH("vacant",$B462)),ISNUMBER(SEARCH("ring fenced",$B462)),LOWER(TRIM($B462))="remove"),"Vacant","Filled"))</f>
        <v>Filled</v>
      </c>
      <c r="AG462" s="866" t="b">
        <f>IF(TRIM($B462)="","",--ISNUMBER(SEARCH("ring fenced",$B462)))</f>
        <v>0</v>
      </c>
      <c r="AH462" s="866" t="str">
        <f>IF(TRIM($B462)="","",IF(COUNTIFS(Lists!$AN$2:$AN$22,TRIM($B462)&amp;" | "&amp;TRIM($D462),Lists!$AO$2:$AO$22,"&lt;&gt;"),INDEX(Lists!$AO$2:$AO$22,MATCH(TRIM($B462)&amp;" | "&amp;TRIM($D462),Lists!$AN$2:$AN$22,0)),IF(COUNTIF(Lists!$AR$2:$AR$3,$AJ462),"TDD Cyber",IF(AND(LEFT($AJ462,4)="EGI ",ISNUMBER(MATCH(TRIM(MID($AJ462,5,99)),Lists!$AS$2:$AS$12,0))),TRIM(MID($AJ462,5,99)),IF(AND(LEFT($AJ462,4)="EGI ",ISNUMBER(MATCH(TRIM(MID($AJ462,5,99)),Lists!$T$2:$T$21,0))),INDEX(Lists!$U$2:$U$21,MATCH(TRIM(MID($AJ462,5,99)),Lists!$T$2:$T$21,0)),IF(OR(TRIM($J462)="",UPPER(TRIM($J462))="NA"),IFERROR(INDEX(Lists!$R$2:$R$9,MATCH(TRIM($G462),Lists!$Q$2:$Q$9,0)),"UNMAPPED"),IFERROR(INDEX(Lists!$U$2:$U$21,MATCH(TRIM($J462),Lists!$T$2:$T$21,0)),IFERROR(INDEX(Lists!$R$2:$R$9,MATCH(TRIM($G462),Lists!$Q$2:$Q$9,0)),"UNMAPPED"))))))))</f>
        <v>TDD Group Functions</v>
      </c>
      <c r="AI462" s="534" t="b">
        <f>IF(TRIM($B462)="","",--OR(TRIM($L462)="Leadership",TRIM($K462)="Leadership"))</f>
        <v>0</v>
      </c>
      <c r="AJ462" s="534" t="str">
        <f>IF(TRIM($B462)="","",IF(COUNTIFS(Lists!$AN$2:$AN$22,TRIM($B462)&amp;" | "&amp;TRIM($D462),Lists!$AP$2:$AP$22,"&lt;&gt;"),INDEX(Lists!$AP$2:$AP$22,MATCH(TRIM($B462)&amp;" | "&amp;TRIM($D462),Lists!$AN$2:$AN$22,0)),IF($AI462=1,"Leadership",IFERROR(INDEX(Lists!$X$2:$X$21,MATCH(TRIM($L462),Lists!$W$2:$W$21,0)),IF(OR(TRIM($L462)="",LOWER(TRIM($L462))="na"),IF(TRIM($H462)="","Unassigned",TRIM($H462)),TRIM($L462))))))</f>
        <v>Workplace &amp; Enterprise Tooling</v>
      </c>
      <c r="AK462" s="534" t="str">
        <f>IF(TRIM($B462)="","",IF(COUNTIFS(Lists!$AN$2:$AN$22,TRIM($B462)&amp;" | "&amp;TRIM($D462),Lists!$AQ$2:$AQ$22,"&lt;&gt;"),INDEX(Lists!$AQ$2:$AQ$22,MATCH(TRIM($B462)&amp;" | "&amp;TRIM($D462),Lists!$AN$2:$AN$22,0)),IF(COUNTIF(Lists!$AF$2:$AF$8,$AJ462),$AJ462,IF(ISNUMBER(SEARCH("head of ",$D462)),"Head of Technology",IF(ISNUMBER(SEARCH("TDD BP",$D462)),"Business Partner",IF(OR(ISNUMBER(SEARCH("domain architect",$D462)),ISNUMBER(SEARCH("enterprise architect",$D462))),"Domain Architect",IF(ISNUMBER(SEARCH("delivery man",$D462)),"Delivery Manager",IF(OR(ISNUMBER(SEARCH("technology manager",$D462)),ISNUMBER(SEARCH("technology manger",$D462)),ISNUMBER(SEARCH("tech manager",$D462))),"Technology Manager","Squad"))))))))</f>
        <v>Squad</v>
      </c>
      <c r="AL462" s="534" t="str">
        <f>IF(TRIM($B462)="","",IF(AND($AM462=1,LEFT($AJ462,4)&lt;&gt;"EGI ",$AJ462&lt;&gt;"EGI"),IFERROR(INDEX(Lists!$Z$2:$Z$20,MATCH($AH462,Lists!$Y$2:$Y$20,0)),"EGI "&amp;$AH462),IF(COUNTIF(Lists!$AU$2:$AU$10,$AJ462),$AJ462,IF(OR(LEFT($AH462,3)="COE",$AH462="EGI"),$AJ462,IF($AK462&lt;&gt;"Squad",$AK462,$AJ462)))))</f>
        <v>Workplace &amp; Enterprise Tooling</v>
      </c>
      <c r="AM462" s="534" t="b">
        <f>IF(TRIM($B462)="","",--(UPPER(TRIM($K462))="EGI"))</f>
        <v>0</v>
      </c>
      <c r="AQ462" s="841" t="inlineStr">
        <is>
          <t>R0461</t>
        </is>
      </c>
      <c r="AZ462" s="841" t="n"/>
    </row>
    <row r="463" ht="18" customHeight="1" s="535">
      <c r="A463" s="842" t="inlineStr">
        <is>
          <t>V</t>
        </is>
      </c>
      <c r="B463" s="843" t="inlineStr">
        <is>
          <t>vacant</t>
        </is>
      </c>
      <c r="C463" s="842" t="inlineStr">
        <is>
          <t>V</t>
        </is>
      </c>
      <c r="D463" s="843" t="inlineStr">
        <is>
          <t>Quality Assurance</t>
        </is>
      </c>
      <c r="E463" s="843" t="inlineStr">
        <is>
          <t>Roozbeh Shahbazirad</t>
        </is>
      </c>
      <c r="F463" s="843" t="inlineStr">
        <is>
          <t>Lead Engineer (Databricks)</t>
        </is>
      </c>
      <c r="G463" s="844" t="inlineStr">
        <is>
          <t>Strategy, Architecture &amp; Data</t>
        </is>
      </c>
      <c r="H463" s="843" t="inlineStr">
        <is>
          <t>Group Data</t>
        </is>
      </c>
      <c r="I463" s="843" t="inlineStr">
        <is>
          <t>Data Engineering &amp; Platforms</t>
        </is>
      </c>
      <c r="J463" s="843" t="inlineStr">
        <is>
          <t>Enterprise Data</t>
        </is>
      </c>
      <c r="K463" s="843" t="inlineStr">
        <is>
          <t>EGI</t>
        </is>
      </c>
      <c r="L463" s="843" t="inlineStr">
        <is>
          <t>Data Platform</t>
        </is>
      </c>
      <c r="M463" s="843" t="n"/>
      <c r="N463" s="845" t="inlineStr">
        <is>
          <t>Australia</t>
        </is>
      </c>
      <c r="O463" s="846" t="inlineStr">
        <is>
          <t>CIA</t>
        </is>
      </c>
      <c r="P463" s="847" t="n">
        <v>1</v>
      </c>
      <c r="Q463" s="846" t="n"/>
      <c r="R463" s="847" t="inlineStr">
        <is>
          <t>v</t>
        </is>
      </c>
      <c r="S463" s="847" t="n"/>
      <c r="T463" s="847" t="n"/>
      <c r="U463" s="848" t="n">
        <v>129650</v>
      </c>
      <c r="V463" s="849" t="n">
        <v>129650</v>
      </c>
      <c r="W463" s="850" t="n">
        <v>0.1</v>
      </c>
      <c r="X463" s="847" t="n">
        <v>0.055</v>
      </c>
      <c r="Y463" s="850" t="n">
        <v>0.12</v>
      </c>
      <c r="Z463" s="851" t="n"/>
      <c r="AA463" s="850" t="n">
        <v>0.04</v>
      </c>
      <c r="AB463" s="852" t="n">
        <v>170489.75</v>
      </c>
      <c r="AD463" s="866" t="n"/>
      <c r="AE463" s="866">
        <f>IF(TRIM($B463)="","",IF(AND(N($P463)&gt;0,N($P463)&lt;1),N($AB463)*N($P463),N($AB463)))</f>
        <v>170489.75</v>
      </c>
      <c r="AF463" s="866" t="str">
        <f>IF(TRIM($B463)="","",IF(OR(ISNUMBER(SEARCH("vacant",$B463)),ISNUMBER(SEARCH("ring fenced",$B463)),LOWER(TRIM($B463))="remove"),"Vacant","Filled"))</f>
        <v>Vacant</v>
      </c>
      <c r="AG463" s="866" t="b">
        <f>IF(TRIM($B463)="","",--ISNUMBER(SEARCH("ring fenced",$B463)))</f>
        <v>0</v>
      </c>
      <c r="AH463" s="866" t="str">
        <f>IF(TRIM($B463)="","",IF(COUNTIFS(Lists!$AN$2:$AN$22,TRIM($B463)&amp;" | "&amp;TRIM($D463),Lists!$AO$2:$AO$22,"&lt;&gt;"),INDEX(Lists!$AO$2:$AO$22,MATCH(TRIM($B463)&amp;" | "&amp;TRIM($D463),Lists!$AN$2:$AN$22,0)),IF(COUNTIF(Lists!$AR$2:$AR$3,$AJ463),"TDD Cyber",IF(AND(LEFT($AJ463,4)="EGI ",ISNUMBER(MATCH(TRIM(MID($AJ463,5,99)),Lists!$AS$2:$AS$12,0))),TRIM(MID($AJ463,5,99)),IF(AND(LEFT($AJ463,4)="EGI ",ISNUMBER(MATCH(TRIM(MID($AJ463,5,99)),Lists!$T$2:$T$21,0))),INDEX(Lists!$U$2:$U$21,MATCH(TRIM(MID($AJ463,5,99)),Lists!$T$2:$T$21,0)),IF(OR(TRIM($J463)="",UPPER(TRIM($J463))="NA"),IFERROR(INDEX(Lists!$R$2:$R$9,MATCH(TRIM($G463),Lists!$Q$2:$Q$9,0)),"UNMAPPED"),IFERROR(INDEX(Lists!$U$2:$U$21,MATCH(TRIM($J463),Lists!$T$2:$T$21,0)),IFERROR(INDEX(Lists!$R$2:$R$9,MATCH(TRIM($G463),Lists!$Q$2:$Q$9,0)),"UNMAPPED"))))))))</f>
        <v>Enterprise Data</v>
      </c>
      <c r="AI463" s="534" t="b">
        <f>IF(TRIM($B463)="","",--OR(TRIM($L463)="Leadership",TRIM($K463)="Leadership"))</f>
        <v>0</v>
      </c>
      <c r="AJ463" s="534" t="str">
        <f>IF(TRIM($B463)="","",IF(COUNTIFS(Lists!$AN$2:$AN$22,TRIM($B463)&amp;" | "&amp;TRIM($D463),Lists!$AP$2:$AP$22,"&lt;&gt;"),INDEX(Lists!$AP$2:$AP$22,MATCH(TRIM($B463)&amp;" | "&amp;TRIM($D463),Lists!$AN$2:$AN$22,0)),IF($AI463=1,"Leadership",IFERROR(INDEX(Lists!$X$2:$X$21,MATCH(TRIM($L463),Lists!$W$2:$W$21,0)),IF(OR(TRIM($L463)="",LOWER(TRIM($L463))="na"),IF(TRIM($H463)="","Unassigned",TRIM($H463)),TRIM($L463))))))</f>
        <v>Data Platforms</v>
      </c>
      <c r="AK463" s="534" t="str">
        <f>IF(TRIM($B463)="","",IF(COUNTIFS(Lists!$AN$2:$AN$22,TRIM($B463)&amp;" | "&amp;TRIM($D463),Lists!$AQ$2:$AQ$22,"&lt;&gt;"),INDEX(Lists!$AQ$2:$AQ$22,MATCH(TRIM($B463)&amp;" | "&amp;TRIM($D463),Lists!$AN$2:$AN$22,0)),IF(COUNTIF(Lists!$AF$2:$AF$8,$AJ463),$AJ463,IF(ISNUMBER(SEARCH("head of ",$D463)),"Head of Technology",IF(ISNUMBER(SEARCH("TDD BP",$D463)),"Business Partner",IF(OR(ISNUMBER(SEARCH("domain architect",$D463)),ISNUMBER(SEARCH("enterprise architect",$D463))),"Domain Architect",IF(ISNUMBER(SEARCH("delivery man",$D463)),"Delivery Manager",IF(OR(ISNUMBER(SEARCH("technology manager",$D463)),ISNUMBER(SEARCH("technology manger",$D463)),ISNUMBER(SEARCH("tech manager",$D463))),"Technology Manager","Squad"))))))))</f>
        <v>Squad</v>
      </c>
      <c r="AL463" s="534" t="str">
        <f>IF(TRIM($B463)="","",IF(AND($AM463=1,LEFT($AJ463,4)&lt;&gt;"EGI ",$AJ463&lt;&gt;"EGI"),IFERROR(INDEX(Lists!$Z$2:$Z$20,MATCH($AH463,Lists!$Y$2:$Y$20,0)),"EGI "&amp;$AH463),IF(COUNTIF(Lists!$AU$2:$AU$10,$AJ463),$AJ463,IF(OR(LEFT($AH463,3)="COE",$AH463="EGI"),$AJ463,IF($AK463&lt;&gt;"Squad",$AK463,$AJ463)))))</f>
        <v>EGI Ent Data</v>
      </c>
      <c r="AM463" s="534" t="b">
        <f>IF(TRIM($B463)="","",--(UPPER(TRIM($K463))="EGI"))</f>
        <v>1</v>
      </c>
      <c r="AQ463" s="841" t="inlineStr">
        <is>
          <t>R0462</t>
        </is>
      </c>
      <c r="AZ463" s="841" t="n"/>
    </row>
    <row r="464" ht="18" customHeight="1" s="535">
      <c r="A464" s="842" t="inlineStr">
        <is>
          <t>V</t>
        </is>
      </c>
      <c r="B464" s="843" t="inlineStr">
        <is>
          <t xml:space="preserve">Vacant </t>
        </is>
      </c>
      <c r="C464" s="842" t="inlineStr">
        <is>
          <t>V</t>
        </is>
      </c>
      <c r="D464" s="843" t="inlineStr">
        <is>
          <t>Portfolio Analyst</t>
        </is>
      </c>
      <c r="E464" s="843" t="inlineStr">
        <is>
          <t>Ruth Chou</t>
        </is>
      </c>
      <c r="F464" s="843" t="inlineStr">
        <is>
          <t xml:space="preserve">Manager Service Perforance &amp; Assurance </t>
        </is>
      </c>
      <c r="G464" s="844" t="inlineStr">
        <is>
          <t>Partnering &amp; Transformation</t>
        </is>
      </c>
      <c r="H464" s="843" t="inlineStr">
        <is>
          <t>Transformation</t>
        </is>
      </c>
      <c r="I464" s="843" t="inlineStr">
        <is>
          <t>NA</t>
        </is>
      </c>
      <c r="J464" s="843" t="inlineStr">
        <is>
          <t>NA</t>
        </is>
      </c>
      <c r="K464" s="843" t="inlineStr">
        <is>
          <t>NA</t>
        </is>
      </c>
      <c r="L464" s="843" t="inlineStr">
        <is>
          <t>NA</t>
        </is>
      </c>
      <c r="M464" s="843" t="n"/>
      <c r="N464" s="845" t="inlineStr">
        <is>
          <t>Australia</t>
        </is>
      </c>
      <c r="O464" s="846" t="inlineStr">
        <is>
          <t>CIA</t>
        </is>
      </c>
      <c r="P464" s="847" t="n">
        <v>1</v>
      </c>
      <c r="Q464" s="847" t="n"/>
      <c r="R464" s="847" t="inlineStr">
        <is>
          <t>v</t>
        </is>
      </c>
      <c r="S464" s="847" t="n"/>
      <c r="T464" s="847" t="n"/>
      <c r="U464" s="848" t="n">
        <v>129650</v>
      </c>
      <c r="V464" s="849" t="n">
        <v>129650</v>
      </c>
      <c r="W464" s="850" t="n">
        <v>0.1</v>
      </c>
      <c r="X464" s="847" t="n">
        <v>0.055</v>
      </c>
      <c r="Y464" s="850" t="n">
        <v>0.12</v>
      </c>
      <c r="Z464" s="851" t="n"/>
      <c r="AA464" s="850" t="n">
        <v>0.04</v>
      </c>
      <c r="AB464" s="852" t="n">
        <v>170489.75</v>
      </c>
      <c r="AD464" s="866" t="n"/>
      <c r="AE464" s="866">
        <f>IF(TRIM($B464)="","",IF(AND(N($P464)&gt;0,N($P464)&lt;1),N($AB464)*N($P464),N($AB464)))</f>
        <v>170489.75</v>
      </c>
      <c r="AF464" s="866" t="str">
        <f>IF(TRIM($B464)="","",IF(OR(ISNUMBER(SEARCH("vacant",$B464)),ISNUMBER(SEARCH("ring fenced",$B464)),LOWER(TRIM($B464))="remove"),"Vacant","Filled"))</f>
        <v>Vacant</v>
      </c>
      <c r="AG464" s="866" t="b">
        <f>IF(TRIM($B464)="","",--ISNUMBER(SEARCH("ring fenced",$B464)))</f>
        <v>0</v>
      </c>
      <c r="AH464" s="866" t="str">
        <f>IF(TRIM($B464)="","",IF(COUNTIFS(Lists!$AN$2:$AN$22,TRIM($B464)&amp;" | "&amp;TRIM($D464),Lists!$AO$2:$AO$22,"&lt;&gt;"),INDEX(Lists!$AO$2:$AO$22,MATCH(TRIM($B464)&amp;" | "&amp;TRIM($D464),Lists!$AN$2:$AN$22,0)),IF(COUNTIF(Lists!$AR$2:$AR$3,$AJ464),"TDD Cyber",IF(AND(LEFT($AJ464,4)="EGI ",ISNUMBER(MATCH(TRIM(MID($AJ464,5,99)),Lists!$AS$2:$AS$12,0))),TRIM(MID($AJ464,5,99)),IF(AND(LEFT($AJ464,4)="EGI ",ISNUMBER(MATCH(TRIM(MID($AJ464,5,99)),Lists!$T$2:$T$21,0))),INDEX(Lists!$U$2:$U$21,MATCH(TRIM(MID($AJ464,5,99)),Lists!$T$2:$T$21,0)),IF(OR(TRIM($J464)="",UPPER(TRIM($J464))="NA"),IFERROR(INDEX(Lists!$R$2:$R$9,MATCH(TRIM($G464),Lists!$Q$2:$Q$9,0)),"UNMAPPED"),IFERROR(INDEX(Lists!$U$2:$U$21,MATCH(TRIM($J464),Lists!$T$2:$T$21,0)),IFERROR(INDEX(Lists!$R$2:$R$9,MATCH(TRIM($G464),Lists!$Q$2:$Q$9,0)),"UNMAPPED"))))))))</f>
        <v>COE BP&amp;T</v>
      </c>
      <c r="AI464" s="534" t="b">
        <f>IF(TRIM($B464)="","",--OR(TRIM($L464)="Leadership",TRIM($K464)="Leadership"))</f>
        <v>0</v>
      </c>
      <c r="AJ464" s="534" t="str">
        <f>IF(TRIM($B464)="","",IF(COUNTIFS(Lists!$AN$2:$AN$22,TRIM($B464)&amp;" | "&amp;TRIM($D464),Lists!$AP$2:$AP$22,"&lt;&gt;"),INDEX(Lists!$AP$2:$AP$22,MATCH(TRIM($B464)&amp;" | "&amp;TRIM($D464),Lists!$AN$2:$AN$22,0)),IF($AI464=1,"Leadership",IFERROR(INDEX(Lists!$X$2:$X$21,MATCH(TRIM($L464),Lists!$W$2:$W$21,0)),IF(OR(TRIM($L464)="",LOWER(TRIM($L464))="na"),IF(TRIM($H464)="","Unassigned",TRIM($H464)),TRIM($L464))))))</f>
        <v>Transformation</v>
      </c>
      <c r="AK464" s="534" t="str">
        <f>IF(TRIM($B464)="","",IF(COUNTIFS(Lists!$AN$2:$AN$22,TRIM($B464)&amp;" | "&amp;TRIM($D464),Lists!$AQ$2:$AQ$22,"&lt;&gt;"),INDEX(Lists!$AQ$2:$AQ$22,MATCH(TRIM($B464)&amp;" | "&amp;TRIM($D464),Lists!$AN$2:$AN$22,0)),IF(COUNTIF(Lists!$AF$2:$AF$8,$AJ464),$AJ464,IF(ISNUMBER(SEARCH("head of ",$D464)),"Head of Technology",IF(ISNUMBER(SEARCH("TDD BP",$D464)),"Business Partner",IF(OR(ISNUMBER(SEARCH("domain architect",$D464)),ISNUMBER(SEARCH("enterprise architect",$D464))),"Domain Architect",IF(ISNUMBER(SEARCH("delivery man",$D464)),"Delivery Manager",IF(OR(ISNUMBER(SEARCH("technology manager",$D464)),ISNUMBER(SEARCH("technology manger",$D464)),ISNUMBER(SEARCH("tech manager",$D464))),"Technology Manager","Squad"))))))))</f>
        <v>Squad</v>
      </c>
      <c r="AL464" s="534" t="str">
        <f>IF(TRIM($B464)="","",IF(AND($AM464=1,LEFT($AJ464,4)&lt;&gt;"EGI ",$AJ464&lt;&gt;"EGI"),IFERROR(INDEX(Lists!$Z$2:$Z$20,MATCH($AH464,Lists!$Y$2:$Y$20,0)),"EGI "&amp;$AH464),IF(COUNTIF(Lists!$AU$2:$AU$10,$AJ464),$AJ464,IF(OR(LEFT($AH464,3)="COE",$AH464="EGI"),$AJ464,IF($AK464&lt;&gt;"Squad",$AK464,$AJ464)))))</f>
        <v>Transformation</v>
      </c>
      <c r="AM464" s="534" t="b">
        <f>IF(TRIM($B464)="","",--(UPPER(TRIM($K464))="EGI"))</f>
        <v>0</v>
      </c>
      <c r="AQ464" s="841" t="inlineStr">
        <is>
          <t>R0463</t>
        </is>
      </c>
      <c r="AZ464" s="841" t="n"/>
    </row>
    <row r="465" ht="18" customHeight="1" s="535">
      <c r="A465" s="842" t="n">
        <v>5607</v>
      </c>
      <c r="B465" s="843" t="inlineStr">
        <is>
          <t>Maria Somera</t>
        </is>
      </c>
      <c r="C465" s="842" t="n">
        <v>5607</v>
      </c>
      <c r="D465" s="843" t="inlineStr">
        <is>
          <t>Technology Finance Analyst</t>
        </is>
      </c>
      <c r="E465" s="843" t="inlineStr">
        <is>
          <t>Sam Chan</t>
        </is>
      </c>
      <c r="F465" s="843" t="inlineStr">
        <is>
          <t>Fin Ops Manager</t>
        </is>
      </c>
      <c r="G465" s="844" t="inlineStr">
        <is>
          <t>Partnering &amp; Transformation</t>
        </is>
      </c>
      <c r="H465" s="843" t="inlineStr">
        <is>
          <t>Transformation</t>
        </is>
      </c>
      <c r="I465" s="843" t="inlineStr">
        <is>
          <t>NA</t>
        </is>
      </c>
      <c r="J465" s="843" t="inlineStr">
        <is>
          <t>NA</t>
        </is>
      </c>
      <c r="K465" s="843" t="inlineStr">
        <is>
          <t>NA</t>
        </is>
      </c>
      <c r="L465" s="843" t="inlineStr">
        <is>
          <t>NA</t>
        </is>
      </c>
      <c r="M465" s="843" t="n"/>
      <c r="N465" s="845" t="inlineStr">
        <is>
          <t>Australia</t>
        </is>
      </c>
      <c r="O465" s="846" t="inlineStr">
        <is>
          <t>CIA</t>
        </is>
      </c>
      <c r="P465" s="847" t="n">
        <v>1</v>
      </c>
      <c r="Q465" s="847" t="n"/>
      <c r="R465" s="847" t="inlineStr">
        <is>
          <t>Permanent - Full Time</t>
        </is>
      </c>
      <c r="S465" s="847" t="n"/>
      <c r="T465" s="847" t="n"/>
      <c r="U465" s="848" t="n">
        <v>136360</v>
      </c>
      <c r="V465" s="849" t="n">
        <v>136360</v>
      </c>
      <c r="W465" s="850" t="n">
        <v>0.1</v>
      </c>
      <c r="X465" s="847" t="n">
        <v>0.055</v>
      </c>
      <c r="Y465" s="850" t="n">
        <v>0.12</v>
      </c>
      <c r="Z465" s="851" t="n"/>
      <c r="AA465" s="850" t="n">
        <v>0.04</v>
      </c>
      <c r="AB465" s="852" t="n">
        <v>179313.4</v>
      </c>
      <c r="AD465" s="866" t="n"/>
      <c r="AE465" s="866">
        <f>IF(TRIM($B465)="","",IF(AND(N($P465)&gt;0,N($P465)&lt;1),N($AB465)*N($P465),N($AB465)))</f>
        <v>179313.4</v>
      </c>
      <c r="AF465" s="866" t="str">
        <f>IF(TRIM($B465)="","",IF(OR(ISNUMBER(SEARCH("vacant",$B465)),ISNUMBER(SEARCH("ring fenced",$B465)),LOWER(TRIM($B465))="remove"),"Vacant","Filled"))</f>
        <v>Filled</v>
      </c>
      <c r="AG465" s="866" t="b">
        <f>IF(TRIM($B465)="","",--ISNUMBER(SEARCH("ring fenced",$B465)))</f>
        <v>0</v>
      </c>
      <c r="AH465" s="866" t="str">
        <f>IF(TRIM($B465)="","",IF(COUNTIFS(Lists!$AN$2:$AN$22,TRIM($B465)&amp;" | "&amp;TRIM($D465),Lists!$AO$2:$AO$22,"&lt;&gt;"),INDEX(Lists!$AO$2:$AO$22,MATCH(TRIM($B465)&amp;" | "&amp;TRIM($D465),Lists!$AN$2:$AN$22,0)),IF(COUNTIF(Lists!$AR$2:$AR$3,$AJ465),"TDD Cyber",IF(AND(LEFT($AJ465,4)="EGI ",ISNUMBER(MATCH(TRIM(MID($AJ465,5,99)),Lists!$AS$2:$AS$12,0))),TRIM(MID($AJ465,5,99)),IF(AND(LEFT($AJ465,4)="EGI ",ISNUMBER(MATCH(TRIM(MID($AJ465,5,99)),Lists!$T$2:$T$21,0))),INDEX(Lists!$U$2:$U$21,MATCH(TRIM(MID($AJ465,5,99)),Lists!$T$2:$T$21,0)),IF(OR(TRIM($J465)="",UPPER(TRIM($J465))="NA"),IFERROR(INDEX(Lists!$R$2:$R$9,MATCH(TRIM($G465),Lists!$Q$2:$Q$9,0)),"UNMAPPED"),IFERROR(INDEX(Lists!$U$2:$U$21,MATCH(TRIM($J465),Lists!$T$2:$T$21,0)),IFERROR(INDEX(Lists!$R$2:$R$9,MATCH(TRIM($G465),Lists!$Q$2:$Q$9,0)),"UNMAPPED"))))))))</f>
        <v>COE BP&amp;T</v>
      </c>
      <c r="AI465" s="534" t="b">
        <f>IF(TRIM($B465)="","",--OR(TRIM($L465)="Leadership",TRIM($K465)="Leadership"))</f>
        <v>0</v>
      </c>
      <c r="AJ465" s="534" t="str">
        <f>IF(TRIM($B465)="","",IF(COUNTIFS(Lists!$AN$2:$AN$22,TRIM($B465)&amp;" | "&amp;TRIM($D465),Lists!$AP$2:$AP$22,"&lt;&gt;"),INDEX(Lists!$AP$2:$AP$22,MATCH(TRIM($B465)&amp;" | "&amp;TRIM($D465),Lists!$AN$2:$AN$22,0)),IF($AI465=1,"Leadership",IFERROR(INDEX(Lists!$X$2:$X$21,MATCH(TRIM($L465),Lists!$W$2:$W$21,0)),IF(OR(TRIM($L465)="",LOWER(TRIM($L465))="na"),IF(TRIM($H465)="","Unassigned",TRIM($H465)),TRIM($L465))))))</f>
        <v>Transformation</v>
      </c>
      <c r="AK465" s="534" t="str">
        <f>IF(TRIM($B465)="","",IF(COUNTIFS(Lists!$AN$2:$AN$22,TRIM($B465)&amp;" | "&amp;TRIM($D465),Lists!$AQ$2:$AQ$22,"&lt;&gt;"),INDEX(Lists!$AQ$2:$AQ$22,MATCH(TRIM($B465)&amp;" | "&amp;TRIM($D465),Lists!$AN$2:$AN$22,0)),IF(COUNTIF(Lists!$AF$2:$AF$8,$AJ465),$AJ465,IF(ISNUMBER(SEARCH("head of ",$D465)),"Head of Technology",IF(ISNUMBER(SEARCH("TDD BP",$D465)),"Business Partner",IF(OR(ISNUMBER(SEARCH("domain architect",$D465)),ISNUMBER(SEARCH("enterprise architect",$D465))),"Domain Architect",IF(ISNUMBER(SEARCH("delivery man",$D465)),"Delivery Manager",IF(OR(ISNUMBER(SEARCH("technology manager",$D465)),ISNUMBER(SEARCH("technology manger",$D465)),ISNUMBER(SEARCH("tech manager",$D465))),"Technology Manager","Squad"))))))))</f>
        <v>Squad</v>
      </c>
      <c r="AL465" s="534" t="str">
        <f>IF(TRIM($B465)="","",IF(AND($AM465=1,LEFT($AJ465,4)&lt;&gt;"EGI ",$AJ465&lt;&gt;"EGI"),IFERROR(INDEX(Lists!$Z$2:$Z$20,MATCH($AH465,Lists!$Y$2:$Y$20,0)),"EGI "&amp;$AH465),IF(COUNTIF(Lists!$AU$2:$AU$10,$AJ465),$AJ465,IF(OR(LEFT($AH465,3)="COE",$AH465="EGI"),$AJ465,IF($AK465&lt;&gt;"Squad",$AK465,$AJ465)))))</f>
        <v>Transformation</v>
      </c>
      <c r="AM465" s="534" t="b">
        <f>IF(TRIM($B465)="","",--(UPPER(TRIM($K465))="EGI"))</f>
        <v>0</v>
      </c>
      <c r="AQ465" s="841" t="inlineStr">
        <is>
          <t>R0464</t>
        </is>
      </c>
      <c r="AZ465" s="841" t="n"/>
    </row>
    <row r="466" ht="18" customHeight="1" s="535">
      <c r="A466" s="842" t="n">
        <v>113596</v>
      </c>
      <c r="B466" s="843" t="inlineStr">
        <is>
          <t>Mike Lealamanu</t>
        </is>
      </c>
      <c r="C466" s="842" t="n">
        <v>113596</v>
      </c>
      <c r="D466" s="843" t="inlineStr">
        <is>
          <t>Quality Assurance</t>
        </is>
      </c>
      <c r="E466" s="843" t="inlineStr">
        <is>
          <t>Scott McKenzie</t>
        </is>
      </c>
      <c r="F466" s="843" t="inlineStr">
        <is>
          <t>Technology Manager – DevOps and Quality Engineering</t>
        </is>
      </c>
      <c r="G466" s="844" t="inlineStr">
        <is>
          <t>TDD Group Functions</t>
        </is>
      </c>
      <c r="H466" s="843" t="inlineStr">
        <is>
          <t>TDD &amp; Engineering</t>
        </is>
      </c>
      <c r="I466" s="843" t="inlineStr">
        <is>
          <t>DevOps &amp; QE</t>
        </is>
      </c>
      <c r="J466" s="843" t="inlineStr">
        <is>
          <t>TDD</t>
        </is>
      </c>
      <c r="K466" s="843" t="inlineStr">
        <is>
          <t>TDD</t>
        </is>
      </c>
      <c r="L466" s="843" t="inlineStr">
        <is>
          <t>DevOps &amp; QE</t>
        </is>
      </c>
      <c r="M466" s="843" t="n"/>
      <c r="N466" s="845" t="inlineStr">
        <is>
          <t>NZ</t>
        </is>
      </c>
      <c r="O466" s="846" t="inlineStr">
        <is>
          <t>CIA</t>
        </is>
      </c>
      <c r="P466" s="847" t="n">
        <v>1</v>
      </c>
      <c r="Q466" s="846" t="n"/>
      <c r="R466" s="847" t="inlineStr">
        <is>
          <t>Permanent - Full Time</t>
        </is>
      </c>
      <c r="S466" s="847" t="n"/>
      <c r="T466" s="847" t="n"/>
      <c r="U466" s="848" t="n">
        <v>115830</v>
      </c>
      <c r="V466" s="849" t="n">
        <v>106563.6</v>
      </c>
      <c r="W466" s="850" t="n">
        <v>0.15</v>
      </c>
      <c r="X466" s="847" t="n"/>
      <c r="Y466" s="850" t="n">
        <v>0.05</v>
      </c>
      <c r="Z466" s="851" t="n">
        <v>2910</v>
      </c>
      <c r="AA466" s="850" t="n">
        <v>0.03</v>
      </c>
      <c r="AB466" s="852" t="n">
        <v>133983.228</v>
      </c>
      <c r="AD466" s="866" t="n"/>
      <c r="AE466" s="866">
        <f>IF(TRIM($B466)="","",IF(AND(N($P466)&gt;0,N($P466)&lt;1),N($AB466)*N($P466),N($AB466)))</f>
        <v>133983.228</v>
      </c>
      <c r="AF466" s="866" t="str">
        <f>IF(TRIM($B466)="","",IF(OR(ISNUMBER(SEARCH("vacant",$B466)),ISNUMBER(SEARCH("ring fenced",$B466)),LOWER(TRIM($B466))="remove"),"Vacant","Filled"))</f>
        <v>Filled</v>
      </c>
      <c r="AG466" s="866" t="b">
        <f>IF(TRIM($B466)="","",--ISNUMBER(SEARCH("ring fenced",$B466)))</f>
        <v>0</v>
      </c>
      <c r="AH466" s="866" t="str">
        <f>IF(TRIM($B466)="","",IF(COUNTIFS(Lists!$AN$2:$AN$22,TRIM($B466)&amp;" | "&amp;TRIM($D466),Lists!$AO$2:$AO$22,"&lt;&gt;"),INDEX(Lists!$AO$2:$AO$22,MATCH(TRIM($B466)&amp;" | "&amp;TRIM($D466),Lists!$AN$2:$AN$22,0)),IF(COUNTIF(Lists!$AR$2:$AR$3,$AJ466),"TDD Cyber",IF(AND(LEFT($AJ466,4)="EGI ",ISNUMBER(MATCH(TRIM(MID($AJ466,5,99)),Lists!$AS$2:$AS$12,0))),TRIM(MID($AJ466,5,99)),IF(AND(LEFT($AJ466,4)="EGI ",ISNUMBER(MATCH(TRIM(MID($AJ466,5,99)),Lists!$T$2:$T$21,0))),INDEX(Lists!$U$2:$U$21,MATCH(TRIM(MID($AJ466,5,99)),Lists!$T$2:$T$21,0)),IF(OR(TRIM($J466)="",UPPER(TRIM($J466))="NA"),IFERROR(INDEX(Lists!$R$2:$R$9,MATCH(TRIM($G466),Lists!$Q$2:$Q$9,0)),"UNMAPPED"),IFERROR(INDEX(Lists!$U$2:$U$21,MATCH(TRIM($J466),Lists!$T$2:$T$21,0)),IFERROR(INDEX(Lists!$R$2:$R$9,MATCH(TRIM($G466),Lists!$Q$2:$Q$9,0)),"UNMAPPED"))))))))</f>
        <v>TDD Group Functions</v>
      </c>
      <c r="AI466" s="534" t="b">
        <f>IF(TRIM($B466)="","",--OR(TRIM($L466)="Leadership",TRIM($K466)="Leadership"))</f>
        <v>0</v>
      </c>
      <c r="AJ466" s="534" t="str">
        <f>IF(TRIM($B466)="","",IF(COUNTIFS(Lists!$AN$2:$AN$22,TRIM($B466)&amp;" | "&amp;TRIM($D466),Lists!$AP$2:$AP$22,"&lt;&gt;"),INDEX(Lists!$AP$2:$AP$22,MATCH(TRIM($B466)&amp;" | "&amp;TRIM($D466),Lists!$AN$2:$AN$22,0)),IF($AI466=1,"Leadership",IFERROR(INDEX(Lists!$X$2:$X$21,MATCH(TRIM($L466),Lists!$W$2:$W$21,0)),IF(OR(TRIM($L466)="",LOWER(TRIM($L466))="na"),IF(TRIM($H466)="","Unassigned",TRIM($H466)),TRIM($L466))))))</f>
        <v>DevOps &amp; QE</v>
      </c>
      <c r="AK466" s="534" t="str">
        <f>IF(TRIM($B466)="","",IF(COUNTIFS(Lists!$AN$2:$AN$22,TRIM($B466)&amp;" | "&amp;TRIM($D466),Lists!$AQ$2:$AQ$22,"&lt;&gt;"),INDEX(Lists!$AQ$2:$AQ$22,MATCH(TRIM($B466)&amp;" | "&amp;TRIM($D466),Lists!$AN$2:$AN$22,0)),IF(COUNTIF(Lists!$AF$2:$AF$8,$AJ466),$AJ466,IF(ISNUMBER(SEARCH("head of ",$D466)),"Head of Technology",IF(ISNUMBER(SEARCH("TDD BP",$D466)),"Business Partner",IF(OR(ISNUMBER(SEARCH("domain architect",$D466)),ISNUMBER(SEARCH("enterprise architect",$D466))),"Domain Architect",IF(ISNUMBER(SEARCH("delivery man",$D466)),"Delivery Manager",IF(OR(ISNUMBER(SEARCH("technology manager",$D466)),ISNUMBER(SEARCH("technology manger",$D466)),ISNUMBER(SEARCH("tech manager",$D466))),"Technology Manager","Squad"))))))))</f>
        <v>Squad</v>
      </c>
      <c r="AL466" s="534" t="str">
        <f>IF(TRIM($B466)="","",IF(AND($AM466=1,LEFT($AJ466,4)&lt;&gt;"EGI ",$AJ466&lt;&gt;"EGI"),IFERROR(INDEX(Lists!$Z$2:$Z$20,MATCH($AH466,Lists!$Y$2:$Y$20,0)),"EGI "&amp;$AH466),IF(COUNTIF(Lists!$AU$2:$AU$10,$AJ466),$AJ466,IF(OR(LEFT($AH466,3)="COE",$AH466="EGI"),$AJ466,IF($AK466&lt;&gt;"Squad",$AK466,$AJ466)))))</f>
        <v>DevOps &amp; QE</v>
      </c>
      <c r="AM466" s="534" t="b">
        <f>IF(TRIM($B466)="","",--(UPPER(TRIM($K466))="EGI"))</f>
        <v>0</v>
      </c>
      <c r="AQ466" s="841" t="inlineStr">
        <is>
          <t>R0465</t>
        </is>
      </c>
      <c r="AZ466" s="841" t="n"/>
    </row>
    <row r="467" ht="18" customHeight="1" s="535">
      <c r="A467" s="842" t="n">
        <v>113576</v>
      </c>
      <c r="B467" s="843" t="inlineStr">
        <is>
          <t>Lisa Ng</t>
        </is>
      </c>
      <c r="C467" s="842" t="n">
        <v>113576</v>
      </c>
      <c r="D467" s="843" t="inlineStr">
        <is>
          <t>Cyber Security Analyst</t>
        </is>
      </c>
      <c r="E467" s="843" t="inlineStr">
        <is>
          <t>Steven Atcheson</t>
        </is>
      </c>
      <c r="F467" s="843" t="n"/>
      <c r="G467" s="844" t="inlineStr">
        <is>
          <t>Cyber, Risk &amp; Operations</t>
        </is>
      </c>
      <c r="H467" s="843" t="inlineStr">
        <is>
          <t>Cyber Sec Ops</t>
        </is>
      </c>
      <c r="I467" s="843" t="inlineStr">
        <is>
          <t>NA</t>
        </is>
      </c>
      <c r="J467" s="843" t="inlineStr">
        <is>
          <t>NA</t>
        </is>
      </c>
      <c r="K467" s="843" t="inlineStr">
        <is>
          <t>NA</t>
        </is>
      </c>
      <c r="L467" s="843" t="inlineStr">
        <is>
          <t>NA</t>
        </is>
      </c>
      <c r="M467" s="843" t="n"/>
      <c r="N467" s="845" t="inlineStr">
        <is>
          <t>NZ</t>
        </is>
      </c>
      <c r="O467" s="846" t="inlineStr">
        <is>
          <t>CIA</t>
        </is>
      </c>
      <c r="P467" s="847" t="n">
        <v>0.8</v>
      </c>
      <c r="Q467" s="846" t="n"/>
      <c r="R467" s="847" t="inlineStr">
        <is>
          <t>Permanent - Part Time</t>
        </is>
      </c>
      <c r="S467" s="847" t="n"/>
      <c r="T467" s="847" t="n"/>
      <c r="U467" s="848" t="n">
        <v>128040</v>
      </c>
      <c r="V467" s="849" t="n">
        <v>117796.8</v>
      </c>
      <c r="W467" s="850" t="n">
        <v>0.15</v>
      </c>
      <c r="X467" s="847" t="n"/>
      <c r="Y467" s="850" t="n">
        <v>0.05</v>
      </c>
      <c r="Z467" s="851" t="n">
        <v>2910</v>
      </c>
      <c r="AA467" s="850" t="n">
        <v>0.03</v>
      </c>
      <c r="AB467" s="852" t="n">
        <v>147800.064</v>
      </c>
      <c r="AD467" s="866" t="n"/>
      <c r="AE467" s="866">
        <f>IF(TRIM($B467)="","",IF(AND(N($P467)&gt;0,N($P467)&lt;1),N($AB467)*N($P467),N($AB467)))</f>
        <v>118240.0512</v>
      </c>
      <c r="AF467" s="866" t="str">
        <f>IF(TRIM($B467)="","",IF(OR(ISNUMBER(SEARCH("vacant",$B467)),ISNUMBER(SEARCH("ring fenced",$B467)),LOWER(TRIM($B467))="remove"),"Vacant","Filled"))</f>
        <v>Filled</v>
      </c>
      <c r="AG467" s="866" t="b">
        <f>IF(TRIM($B467)="","",--ISNUMBER(SEARCH("ring fenced",$B467)))</f>
        <v>0</v>
      </c>
      <c r="AH467" s="866" t="str">
        <f>IF(TRIM($B467)="","",IF(COUNTIFS(Lists!$AN$2:$AN$22,TRIM($B467)&amp;" | "&amp;TRIM($D467),Lists!$AO$2:$AO$22,"&lt;&gt;"),INDEX(Lists!$AO$2:$AO$22,MATCH(TRIM($B467)&amp;" | "&amp;TRIM($D467),Lists!$AN$2:$AN$22,0)),IF(COUNTIF(Lists!$AR$2:$AR$3,$AJ467),"TDD Cyber",IF(AND(LEFT($AJ467,4)="EGI ",ISNUMBER(MATCH(TRIM(MID($AJ467,5,99)),Lists!$AS$2:$AS$12,0))),TRIM(MID($AJ467,5,99)),IF(AND(LEFT($AJ467,4)="EGI ",ISNUMBER(MATCH(TRIM(MID($AJ467,5,99)),Lists!$T$2:$T$21,0))),INDEX(Lists!$U$2:$U$21,MATCH(TRIM(MID($AJ467,5,99)),Lists!$T$2:$T$21,0)),IF(OR(TRIM($J467)="",UPPER(TRIM($J467))="NA"),IFERROR(INDEX(Lists!$R$2:$R$9,MATCH(TRIM($G467),Lists!$Q$2:$Q$9,0)),"UNMAPPED"),IFERROR(INDEX(Lists!$U$2:$U$21,MATCH(TRIM($J467),Lists!$T$2:$T$21,0)),IFERROR(INDEX(Lists!$R$2:$R$9,MATCH(TRIM($G467),Lists!$Q$2:$Q$9,0)),"UNMAPPED"))))))))</f>
        <v>COE Cyber</v>
      </c>
      <c r="AI467" s="534" t="b">
        <f>IF(TRIM($B467)="","",--OR(TRIM($L467)="Leadership",TRIM($K467)="Leadership"))</f>
        <v>0</v>
      </c>
      <c r="AJ467" s="534" t="str">
        <f>IF(TRIM($B467)="","",IF(COUNTIFS(Lists!$AN$2:$AN$22,TRIM($B467)&amp;" | "&amp;TRIM($D467),Lists!$AP$2:$AP$22,"&lt;&gt;"),INDEX(Lists!$AP$2:$AP$22,MATCH(TRIM($B467)&amp;" | "&amp;TRIM($D467),Lists!$AN$2:$AN$22,0)),IF($AI467=1,"Leadership",IFERROR(INDEX(Lists!$X$2:$X$21,MATCH(TRIM($L467),Lists!$W$2:$W$21,0)),IF(OR(TRIM($L467)="",LOWER(TRIM($L467))="na"),IF(TRIM($H467)="","Unassigned",TRIM($H467)),TRIM($L467))))))</f>
        <v>Cyber Sec Ops</v>
      </c>
      <c r="AK467" s="534" t="str">
        <f>IF(TRIM($B467)="","",IF(COUNTIFS(Lists!$AN$2:$AN$22,TRIM($B467)&amp;" | "&amp;TRIM($D467),Lists!$AQ$2:$AQ$22,"&lt;&gt;"),INDEX(Lists!$AQ$2:$AQ$22,MATCH(TRIM($B467)&amp;" | "&amp;TRIM($D467),Lists!$AN$2:$AN$22,0)),IF(COUNTIF(Lists!$AF$2:$AF$8,$AJ467),$AJ467,IF(ISNUMBER(SEARCH("head of ",$D467)),"Head of Technology",IF(ISNUMBER(SEARCH("TDD BP",$D467)),"Business Partner",IF(OR(ISNUMBER(SEARCH("domain architect",$D467)),ISNUMBER(SEARCH("enterprise architect",$D467))),"Domain Architect",IF(ISNUMBER(SEARCH("delivery man",$D467)),"Delivery Manager",IF(OR(ISNUMBER(SEARCH("technology manager",$D467)),ISNUMBER(SEARCH("technology manger",$D467)),ISNUMBER(SEARCH("tech manager",$D467))),"Technology Manager","Squad"))))))))</f>
        <v>Squad</v>
      </c>
      <c r="AL467" s="534" t="str">
        <f>IF(TRIM($B467)="","",IF(AND($AM467=1,LEFT($AJ467,4)&lt;&gt;"EGI ",$AJ467&lt;&gt;"EGI"),IFERROR(INDEX(Lists!$Z$2:$Z$20,MATCH($AH467,Lists!$Y$2:$Y$20,0)),"EGI "&amp;$AH467),IF(COUNTIF(Lists!$AU$2:$AU$10,$AJ467),$AJ467,IF(OR(LEFT($AH467,3)="COE",$AH467="EGI"),$AJ467,IF($AK467&lt;&gt;"Squad",$AK467,$AJ467)))))</f>
        <v>Cyber Sec Ops</v>
      </c>
      <c r="AM467" s="534" t="b">
        <f>IF(TRIM($B467)="","",--(UPPER(TRIM($K467))="EGI"))</f>
        <v>0</v>
      </c>
      <c r="AQ467" s="841" t="inlineStr">
        <is>
          <t>R0466</t>
        </is>
      </c>
      <c r="AZ467" s="841" t="n"/>
    </row>
    <row r="468" ht="18" customHeight="1" s="535">
      <c r="A468" s="842" t="inlineStr">
        <is>
          <t>V</t>
        </is>
      </c>
      <c r="B468" s="843" t="inlineStr">
        <is>
          <t>Vacant</t>
        </is>
      </c>
      <c r="C468" s="842" t="inlineStr">
        <is>
          <t>V</t>
        </is>
      </c>
      <c r="D468" s="843" t="inlineStr">
        <is>
          <t>Quality Assurance</t>
        </is>
      </c>
      <c r="E468" s="843" t="inlineStr">
        <is>
          <t>Tracy Lee Reaper</t>
        </is>
      </c>
      <c r="F468" s="843" t="inlineStr">
        <is>
          <t>Tech Manager, Merchandising &amp; WFM</t>
        </is>
      </c>
      <c r="G468" s="844" t="inlineStr">
        <is>
          <t>Ampol Retail &amp; Z</t>
        </is>
      </c>
      <c r="H468" s="843" t="inlineStr">
        <is>
          <t>Ampol Retail</t>
        </is>
      </c>
      <c r="I468" s="843" t="inlineStr">
        <is>
          <t>Ampol Retail, Merch &amp; RTA</t>
        </is>
      </c>
      <c r="J468" s="843" t="inlineStr">
        <is>
          <t>Retail</t>
        </is>
      </c>
      <c r="K468" s="843" t="inlineStr">
        <is>
          <t>Above Store</t>
        </is>
      </c>
      <c r="L468" s="843" t="inlineStr">
        <is>
          <t>Above Store</t>
        </is>
      </c>
      <c r="M468" s="843" t="n"/>
      <c r="N468" s="845" t="inlineStr">
        <is>
          <t>Australia</t>
        </is>
      </c>
      <c r="O468" s="846" t="inlineStr">
        <is>
          <t>CIA</t>
        </is>
      </c>
      <c r="P468" s="847" t="n">
        <v>1</v>
      </c>
      <c r="Q468" s="847" t="n"/>
      <c r="R468" s="847" t="inlineStr">
        <is>
          <t>v</t>
        </is>
      </c>
      <c r="S468" s="847" t="n"/>
      <c r="T468" s="847" t="n"/>
      <c r="U468" s="848" t="n">
        <v>129659</v>
      </c>
      <c r="V468" s="849" t="n">
        <v>129659</v>
      </c>
      <c r="W468" s="850" t="n">
        <v>0.1</v>
      </c>
      <c r="X468" s="847" t="n">
        <v>0.055</v>
      </c>
      <c r="Y468" s="850" t="n">
        <v>0.12</v>
      </c>
      <c r="Z468" s="851" t="n"/>
      <c r="AA468" s="850" t="n">
        <v>0.04</v>
      </c>
      <c r="AB468" s="852" t="n">
        <v>170501.585</v>
      </c>
      <c r="AD468" s="866" t="n"/>
      <c r="AE468" s="866">
        <f>IF(TRIM($B468)="","",IF(AND(N($P468)&gt;0,N($P468)&lt;1),N($AB468)*N($P468),N($AB468)))</f>
        <v>170501.585</v>
      </c>
      <c r="AF468" s="866" t="str">
        <f>IF(TRIM($B468)="","",IF(OR(ISNUMBER(SEARCH("vacant",$B468)),ISNUMBER(SEARCH("ring fenced",$B468)),LOWER(TRIM($B468))="remove"),"Vacant","Filled"))</f>
        <v>Vacant</v>
      </c>
      <c r="AG468" s="866" t="b">
        <f>IF(TRIM($B468)="","",--ISNUMBER(SEARCH("ring fenced",$B468)))</f>
        <v>0</v>
      </c>
      <c r="AH468" s="866" t="str">
        <f>IF(TRIM($B468)="","",IF(COUNTIFS(Lists!$AN$2:$AN$22,TRIM($B468)&amp;" | "&amp;TRIM($D468),Lists!$AO$2:$AO$22,"&lt;&gt;"),INDEX(Lists!$AO$2:$AO$22,MATCH(TRIM($B468)&amp;" | "&amp;TRIM($D468),Lists!$AN$2:$AN$22,0)),IF(COUNTIF(Lists!$AR$2:$AR$3,$AJ468),"TDD Cyber",IF(AND(LEFT($AJ468,4)="EGI ",ISNUMBER(MATCH(TRIM(MID($AJ468,5,99)),Lists!$AS$2:$AS$12,0))),TRIM(MID($AJ468,5,99)),IF(AND(LEFT($AJ468,4)="EGI ",ISNUMBER(MATCH(TRIM(MID($AJ468,5,99)),Lists!$T$2:$T$21,0))),INDEX(Lists!$U$2:$U$21,MATCH(TRIM(MID($AJ468,5,99)),Lists!$T$2:$T$21,0)),IF(OR(TRIM($J468)="",UPPER(TRIM($J468))="NA"),IFERROR(INDEX(Lists!$R$2:$R$9,MATCH(TRIM($G468),Lists!$Q$2:$Q$9,0)),"UNMAPPED"),IFERROR(INDEX(Lists!$U$2:$U$21,MATCH(TRIM($J468),Lists!$T$2:$T$21,0)),IFERROR(INDEX(Lists!$R$2:$R$9,MATCH(TRIM($G468),Lists!$Q$2:$Q$9,0)),"UNMAPPED"))))))))</f>
        <v>Ampol Retail</v>
      </c>
      <c r="AI468" s="534" t="b">
        <f>IF(TRIM($B468)="","",--OR(TRIM($L468)="Leadership",TRIM($K468)="Leadership"))</f>
        <v>0</v>
      </c>
      <c r="AJ468" s="534" t="str">
        <f>IF(TRIM($B468)="","",IF(COUNTIFS(Lists!$AN$2:$AN$22,TRIM($B468)&amp;" | "&amp;TRIM($D468),Lists!$AP$2:$AP$22,"&lt;&gt;"),INDEX(Lists!$AP$2:$AP$22,MATCH(TRIM($B468)&amp;" | "&amp;TRIM($D468),Lists!$AN$2:$AN$22,0)),IF($AI468=1,"Leadership",IFERROR(INDEX(Lists!$X$2:$X$21,MATCH(TRIM($L468),Lists!$W$2:$W$21,0)),IF(OR(TRIM($L468)="",LOWER(TRIM($L468))="na"),IF(TRIM($H468)="","Unassigned",TRIM($H468)),TRIM($L468))))))</f>
        <v>Above Store</v>
      </c>
      <c r="AK468" s="534" t="str">
        <f>IF(TRIM($B468)="","",IF(COUNTIFS(Lists!$AN$2:$AN$22,TRIM($B468)&amp;" | "&amp;TRIM($D468),Lists!$AQ$2:$AQ$22,"&lt;&gt;"),INDEX(Lists!$AQ$2:$AQ$22,MATCH(TRIM($B468)&amp;" | "&amp;TRIM($D468),Lists!$AN$2:$AN$22,0)),IF(COUNTIF(Lists!$AF$2:$AF$8,$AJ468),$AJ468,IF(ISNUMBER(SEARCH("head of ",$D468)),"Head of Technology",IF(ISNUMBER(SEARCH("TDD BP",$D468)),"Business Partner",IF(OR(ISNUMBER(SEARCH("domain architect",$D468)),ISNUMBER(SEARCH("enterprise architect",$D468))),"Domain Architect",IF(ISNUMBER(SEARCH("delivery man",$D468)),"Delivery Manager",IF(OR(ISNUMBER(SEARCH("technology manager",$D468)),ISNUMBER(SEARCH("technology manger",$D468)),ISNUMBER(SEARCH("tech manager",$D468))),"Technology Manager","Squad"))))))))</f>
        <v>Squad</v>
      </c>
      <c r="AL468" s="534" t="str">
        <f>IF(TRIM($B468)="","",IF(AND($AM468=1,LEFT($AJ468,4)&lt;&gt;"EGI ",$AJ468&lt;&gt;"EGI"),IFERROR(INDEX(Lists!$Z$2:$Z$20,MATCH($AH468,Lists!$Y$2:$Y$20,0)),"EGI "&amp;$AH468),IF(COUNTIF(Lists!$AU$2:$AU$10,$AJ468),$AJ468,IF(OR(LEFT($AH468,3)="COE",$AH468="EGI"),$AJ468,IF($AK468&lt;&gt;"Squad",$AK468,$AJ468)))))</f>
        <v>Above Store</v>
      </c>
      <c r="AM468" s="534" t="b">
        <f>IF(TRIM($B468)="","",--(UPPER(TRIM($K468))="EGI"))</f>
        <v>0</v>
      </c>
      <c r="AQ468" s="841" t="inlineStr">
        <is>
          <t>R0467</t>
        </is>
      </c>
      <c r="AZ468" s="841" t="n"/>
    </row>
    <row r="469" ht="18" customHeight="1" s="535">
      <c r="A469" s="842" t="inlineStr">
        <is>
          <t>V</t>
        </is>
      </c>
      <c r="B469" s="843" t="inlineStr">
        <is>
          <t>Vacant</t>
        </is>
      </c>
      <c r="C469" s="842" t="inlineStr">
        <is>
          <t>V</t>
        </is>
      </c>
      <c r="D469" s="843" t="inlineStr">
        <is>
          <t>Systems Analyst</t>
        </is>
      </c>
      <c r="E469" s="843" t="inlineStr">
        <is>
          <t>Tracy Lee Reaper</t>
        </is>
      </c>
      <c r="F469" s="843" t="inlineStr">
        <is>
          <t>Tech Manager, Merchandising &amp; WFM</t>
        </is>
      </c>
      <c r="G469" s="844" t="inlineStr">
        <is>
          <t>Ampol Retail &amp; Z</t>
        </is>
      </c>
      <c r="H469" s="843" t="inlineStr">
        <is>
          <t>Ampol Retail</t>
        </is>
      </c>
      <c r="I469" s="843" t="inlineStr">
        <is>
          <t>Ampol Retail, Merch &amp; RTA</t>
        </is>
      </c>
      <c r="J469" s="843" t="inlineStr">
        <is>
          <t>Retail</t>
        </is>
      </c>
      <c r="K469" s="843" t="inlineStr">
        <is>
          <t>Above Store</t>
        </is>
      </c>
      <c r="L469" s="843" t="inlineStr">
        <is>
          <t>Above Store</t>
        </is>
      </c>
      <c r="M469" s="843" t="n"/>
      <c r="N469" s="845" t="inlineStr">
        <is>
          <t>Australia</t>
        </is>
      </c>
      <c r="O469" s="846" t="inlineStr">
        <is>
          <t>CIA</t>
        </is>
      </c>
      <c r="P469" s="847" t="n">
        <v>1</v>
      </c>
      <c r="Q469" s="846" t="n"/>
      <c r="R469" s="847" t="inlineStr">
        <is>
          <t>V</t>
        </is>
      </c>
      <c r="S469" s="847" t="n"/>
      <c r="T469" s="847" t="n"/>
      <c r="U469" s="848" t="n">
        <v>151000</v>
      </c>
      <c r="V469" s="849" t="n">
        <v>151000</v>
      </c>
      <c r="W469" s="850" t="n">
        <v>0.12</v>
      </c>
      <c r="X469" s="847" t="n">
        <v>0.055</v>
      </c>
      <c r="Y469" s="850" t="n">
        <v>0.12</v>
      </c>
      <c r="Z469" s="851" t="n"/>
      <c r="AA469" s="850" t="n">
        <v>0.04</v>
      </c>
      <c r="AB469" s="852" t="n">
        <v>201585</v>
      </c>
      <c r="AD469" s="866" t="n"/>
      <c r="AE469" s="866">
        <f>IF(TRIM($B469)="","",IF(AND(N($P469)&gt;0,N($P469)&lt;1),N($AB469)*N($P469),N($AB469)))</f>
        <v>201585</v>
      </c>
      <c r="AF469" s="866" t="str">
        <f>IF(TRIM($B469)="","",IF(OR(ISNUMBER(SEARCH("vacant",$B469)),ISNUMBER(SEARCH("ring fenced",$B469)),LOWER(TRIM($B469))="remove"),"Vacant","Filled"))</f>
        <v>Vacant</v>
      </c>
      <c r="AG469" s="866" t="b">
        <f>IF(TRIM($B469)="","",--ISNUMBER(SEARCH("ring fenced",$B469)))</f>
        <v>0</v>
      </c>
      <c r="AH469" s="866" t="str">
        <f>IF(TRIM($B469)="","",IF(COUNTIFS(Lists!$AN$2:$AN$22,TRIM($B469)&amp;" | "&amp;TRIM($D469),Lists!$AO$2:$AO$22,"&lt;&gt;"),INDEX(Lists!$AO$2:$AO$22,MATCH(TRIM($B469)&amp;" | "&amp;TRIM($D469),Lists!$AN$2:$AN$22,0)),IF(COUNTIF(Lists!$AR$2:$AR$3,$AJ469),"TDD Cyber",IF(AND(LEFT($AJ469,4)="EGI ",ISNUMBER(MATCH(TRIM(MID($AJ469,5,99)),Lists!$AS$2:$AS$12,0))),TRIM(MID($AJ469,5,99)),IF(AND(LEFT($AJ469,4)="EGI ",ISNUMBER(MATCH(TRIM(MID($AJ469,5,99)),Lists!$T$2:$T$21,0))),INDEX(Lists!$U$2:$U$21,MATCH(TRIM(MID($AJ469,5,99)),Lists!$T$2:$T$21,0)),IF(OR(TRIM($J469)="",UPPER(TRIM($J469))="NA"),IFERROR(INDEX(Lists!$R$2:$R$9,MATCH(TRIM($G469),Lists!$Q$2:$Q$9,0)),"UNMAPPED"),IFERROR(INDEX(Lists!$U$2:$U$21,MATCH(TRIM($J469),Lists!$T$2:$T$21,0)),IFERROR(INDEX(Lists!$R$2:$R$9,MATCH(TRIM($G469),Lists!$Q$2:$Q$9,0)),"UNMAPPED"))))))))</f>
        <v>Ampol Retail</v>
      </c>
      <c r="AI469" s="534" t="b">
        <f>IF(TRIM($B469)="","",--OR(TRIM($L469)="Leadership",TRIM($K469)="Leadership"))</f>
        <v>0</v>
      </c>
      <c r="AJ469" s="534" t="str">
        <f>IF(TRIM($B469)="","",IF(COUNTIFS(Lists!$AN$2:$AN$22,TRIM($B469)&amp;" | "&amp;TRIM($D469),Lists!$AP$2:$AP$22,"&lt;&gt;"),INDEX(Lists!$AP$2:$AP$22,MATCH(TRIM($B469)&amp;" | "&amp;TRIM($D469),Lists!$AN$2:$AN$22,0)),IF($AI469=1,"Leadership",IFERROR(INDEX(Lists!$X$2:$X$21,MATCH(TRIM($L469),Lists!$W$2:$W$21,0)),IF(OR(TRIM($L469)="",LOWER(TRIM($L469))="na"),IF(TRIM($H469)="","Unassigned",TRIM($H469)),TRIM($L469))))))</f>
        <v>Above Store</v>
      </c>
      <c r="AK469" s="534" t="str">
        <f>IF(TRIM($B469)="","",IF(COUNTIFS(Lists!$AN$2:$AN$22,TRIM($B469)&amp;" | "&amp;TRIM($D469),Lists!$AQ$2:$AQ$22,"&lt;&gt;"),INDEX(Lists!$AQ$2:$AQ$22,MATCH(TRIM($B469)&amp;" | "&amp;TRIM($D469),Lists!$AN$2:$AN$22,0)),IF(COUNTIF(Lists!$AF$2:$AF$8,$AJ469),$AJ469,IF(ISNUMBER(SEARCH("head of ",$D469)),"Head of Technology",IF(ISNUMBER(SEARCH("TDD BP",$D469)),"Business Partner",IF(OR(ISNUMBER(SEARCH("domain architect",$D469)),ISNUMBER(SEARCH("enterprise architect",$D469))),"Domain Architect",IF(ISNUMBER(SEARCH("delivery man",$D469)),"Delivery Manager",IF(OR(ISNUMBER(SEARCH("technology manager",$D469)),ISNUMBER(SEARCH("technology manger",$D469)),ISNUMBER(SEARCH("tech manager",$D469))),"Technology Manager","Squad"))))))))</f>
        <v>Squad</v>
      </c>
      <c r="AL469" s="534" t="str">
        <f>IF(TRIM($B469)="","",IF(AND($AM469=1,LEFT($AJ469,4)&lt;&gt;"EGI ",$AJ469&lt;&gt;"EGI"),IFERROR(INDEX(Lists!$Z$2:$Z$20,MATCH($AH469,Lists!$Y$2:$Y$20,0)),"EGI "&amp;$AH469),IF(COUNTIF(Lists!$AU$2:$AU$10,$AJ469),$AJ469,IF(OR(LEFT($AH469,3)="COE",$AH469="EGI"),$AJ469,IF($AK469&lt;&gt;"Squad",$AK469,$AJ469)))))</f>
        <v>Above Store</v>
      </c>
      <c r="AM469" s="534" t="b">
        <f>IF(TRIM($B469)="","",--(UPPER(TRIM($K469))="EGI"))</f>
        <v>0</v>
      </c>
      <c r="AQ469" s="841" t="inlineStr">
        <is>
          <t>R0468</t>
        </is>
      </c>
      <c r="AZ469" s="841" t="n"/>
    </row>
    <row r="470" ht="18" customHeight="1" s="535">
      <c r="A470" s="842" t="n">
        <v>113546</v>
      </c>
      <c r="B470" s="843" t="inlineStr">
        <is>
          <t>Helen Ngu</t>
        </is>
      </c>
      <c r="C470" s="842" t="n">
        <v>113546</v>
      </c>
      <c r="D470" s="843" t="inlineStr">
        <is>
          <t>Service &amp; Contract Specialist NZ</t>
        </is>
      </c>
      <c r="E470" s="843" t="inlineStr">
        <is>
          <t>Vacant</t>
        </is>
      </c>
      <c r="F470" s="843" t="inlineStr">
        <is>
          <t>Commercial Director</t>
        </is>
      </c>
      <c r="G470" s="844" t="inlineStr">
        <is>
          <t>Partnering &amp; Transformation</t>
        </is>
      </c>
      <c r="H470" s="843" t="inlineStr">
        <is>
          <t>Commercial</t>
        </is>
      </c>
      <c r="I470" s="843" t="inlineStr">
        <is>
          <t>NA</t>
        </is>
      </c>
      <c r="J470" s="843" t="inlineStr">
        <is>
          <t>NA</t>
        </is>
      </c>
      <c r="K470" s="843" t="inlineStr">
        <is>
          <t>NA</t>
        </is>
      </c>
      <c r="L470" s="843" t="inlineStr">
        <is>
          <t>NA</t>
        </is>
      </c>
      <c r="M470" s="843" t="n"/>
      <c r="N470" s="845" t="inlineStr">
        <is>
          <t>NZ</t>
        </is>
      </c>
      <c r="O470" s="846" t="inlineStr">
        <is>
          <t>CIA</t>
        </is>
      </c>
      <c r="P470" s="847" t="n">
        <v>1</v>
      </c>
      <c r="Q470" s="846" t="n"/>
      <c r="R470" s="847" t="inlineStr">
        <is>
          <t>Permanent - Full Time</t>
        </is>
      </c>
      <c r="S470" s="847" t="n"/>
      <c r="T470" s="847" t="n"/>
      <c r="U470" s="848" t="n">
        <v>130870</v>
      </c>
      <c r="V470" s="849" t="n">
        <v>120400.4</v>
      </c>
      <c r="W470" s="850" t="n">
        <v>0.15</v>
      </c>
      <c r="X470" s="847" t="n"/>
      <c r="Y470" s="850" t="n">
        <v>0.05</v>
      </c>
      <c r="Z470" s="851" t="n">
        <v>2910</v>
      </c>
      <c r="AA470" s="850" t="n">
        <v>0.03</v>
      </c>
      <c r="AB470" s="852" t="n">
        <v>151002.492</v>
      </c>
      <c r="AD470" s="866" t="n"/>
      <c r="AE470" s="866">
        <f>IF(TRIM($B470)="","",IF(AND(N($P470)&gt;0,N($P470)&lt;1),N($AB470)*N($P470),N($AB470)))</f>
        <v>151002.492</v>
      </c>
      <c r="AF470" s="866" t="str">
        <f>IF(TRIM($B470)="","",IF(OR(ISNUMBER(SEARCH("vacant",$B470)),ISNUMBER(SEARCH("ring fenced",$B470)),LOWER(TRIM($B470))="remove"),"Vacant","Filled"))</f>
        <v>Filled</v>
      </c>
      <c r="AG470" s="866" t="b">
        <f>IF(TRIM($B470)="","",--ISNUMBER(SEARCH("ring fenced",$B470)))</f>
        <v>0</v>
      </c>
      <c r="AH470" s="866" t="str">
        <f>IF(TRIM($B470)="","",IF(COUNTIFS(Lists!$AN$2:$AN$22,TRIM($B470)&amp;" | "&amp;TRIM($D470),Lists!$AO$2:$AO$22,"&lt;&gt;"),INDEX(Lists!$AO$2:$AO$22,MATCH(TRIM($B470)&amp;" | "&amp;TRIM($D470),Lists!$AN$2:$AN$22,0)),IF(COUNTIF(Lists!$AR$2:$AR$3,$AJ470),"TDD Cyber",IF(AND(LEFT($AJ470,4)="EGI ",ISNUMBER(MATCH(TRIM(MID($AJ470,5,99)),Lists!$AS$2:$AS$12,0))),TRIM(MID($AJ470,5,99)),IF(AND(LEFT($AJ470,4)="EGI ",ISNUMBER(MATCH(TRIM(MID($AJ470,5,99)),Lists!$T$2:$T$21,0))),INDEX(Lists!$U$2:$U$21,MATCH(TRIM(MID($AJ470,5,99)),Lists!$T$2:$T$21,0)),IF(OR(TRIM($J470)="",UPPER(TRIM($J470))="NA"),IFERROR(INDEX(Lists!$R$2:$R$9,MATCH(TRIM($G470),Lists!$Q$2:$Q$9,0)),"UNMAPPED"),IFERROR(INDEX(Lists!$U$2:$U$21,MATCH(TRIM($J470),Lists!$T$2:$T$21,0)),IFERROR(INDEX(Lists!$R$2:$R$9,MATCH(TRIM($G470),Lists!$Q$2:$Q$9,0)),"UNMAPPED"))))))))</f>
        <v>COE BP&amp;T</v>
      </c>
      <c r="AI470" s="534" t="b">
        <f>IF(TRIM($B470)="","",--OR(TRIM($L470)="Leadership",TRIM($K470)="Leadership"))</f>
        <v>0</v>
      </c>
      <c r="AJ470" s="534" t="str">
        <f>IF(TRIM($B470)="","",IF(COUNTIFS(Lists!$AN$2:$AN$22,TRIM($B470)&amp;" | "&amp;TRIM($D470),Lists!$AP$2:$AP$22,"&lt;&gt;"),INDEX(Lists!$AP$2:$AP$22,MATCH(TRIM($B470)&amp;" | "&amp;TRIM($D470),Lists!$AN$2:$AN$22,0)),IF($AI470=1,"Leadership",IFERROR(INDEX(Lists!$X$2:$X$21,MATCH(TRIM($L470),Lists!$W$2:$W$21,0)),IF(OR(TRIM($L470)="",LOWER(TRIM($L470))="na"),IF(TRIM($H470)="","Unassigned",TRIM($H470)),TRIM($L470))))))</f>
        <v>Commercial</v>
      </c>
      <c r="AK470" s="534" t="str">
        <f>IF(TRIM($B470)="","",IF(COUNTIFS(Lists!$AN$2:$AN$22,TRIM($B470)&amp;" | "&amp;TRIM($D470),Lists!$AQ$2:$AQ$22,"&lt;&gt;"),INDEX(Lists!$AQ$2:$AQ$22,MATCH(TRIM($B470)&amp;" | "&amp;TRIM($D470),Lists!$AN$2:$AN$22,0)),IF(COUNTIF(Lists!$AF$2:$AF$8,$AJ470),$AJ470,IF(ISNUMBER(SEARCH("head of ",$D470)),"Head of Technology",IF(ISNUMBER(SEARCH("TDD BP",$D470)),"Business Partner",IF(OR(ISNUMBER(SEARCH("domain architect",$D470)),ISNUMBER(SEARCH("enterprise architect",$D470))),"Domain Architect",IF(ISNUMBER(SEARCH("delivery man",$D470)),"Delivery Manager",IF(OR(ISNUMBER(SEARCH("technology manager",$D470)),ISNUMBER(SEARCH("technology manger",$D470)),ISNUMBER(SEARCH("tech manager",$D470))),"Technology Manager","Squad"))))))))</f>
        <v>Squad</v>
      </c>
      <c r="AL470" s="534" t="str">
        <f>IF(TRIM($B470)="","",IF(AND($AM470=1,LEFT($AJ470,4)&lt;&gt;"EGI ",$AJ470&lt;&gt;"EGI"),IFERROR(INDEX(Lists!$Z$2:$Z$20,MATCH($AH470,Lists!$Y$2:$Y$20,0)),"EGI "&amp;$AH470),IF(COUNTIF(Lists!$AU$2:$AU$10,$AJ470),$AJ470,IF(OR(LEFT($AH470,3)="COE",$AH470="EGI"),$AJ470,IF($AK470&lt;&gt;"Squad",$AK470,$AJ470)))))</f>
        <v>Commercial</v>
      </c>
      <c r="AM470" s="534" t="b">
        <f>IF(TRIM($B470)="","",--(UPPER(TRIM($K470))="EGI"))</f>
        <v>0</v>
      </c>
      <c r="AQ470" s="841" t="inlineStr">
        <is>
          <t>R0469</t>
        </is>
      </c>
      <c r="AZ470" s="841" t="n"/>
    </row>
    <row r="471" ht="18" customHeight="1" s="535">
      <c r="A471" s="842" t="n">
        <v>90096</v>
      </c>
      <c r="B471" s="843" t="inlineStr">
        <is>
          <t>Mary-Grace Rivera</t>
        </is>
      </c>
      <c r="C471" s="842" t="n">
        <v>90096</v>
      </c>
      <c r="D471" s="843" t="inlineStr">
        <is>
          <t>Lead, Service Management</t>
        </is>
      </c>
      <c r="E471" s="843" t="inlineStr">
        <is>
          <t>Vacant</t>
        </is>
      </c>
      <c r="F471" s="843" t="inlineStr">
        <is>
          <t>Darren Koller</t>
        </is>
      </c>
      <c r="G471" s="844" t="inlineStr">
        <is>
          <t>Cyber, Risk &amp; Operations</t>
        </is>
      </c>
      <c r="H471" s="843" t="inlineStr">
        <is>
          <t>Service Op &amp; Assurance</t>
        </is>
      </c>
      <c r="I471" s="843" t="inlineStr">
        <is>
          <t>NA</t>
        </is>
      </c>
      <c r="J471" s="843" t="inlineStr">
        <is>
          <t>NA</t>
        </is>
      </c>
      <c r="K471" s="843" t="inlineStr">
        <is>
          <t>NA</t>
        </is>
      </c>
      <c r="L471" s="843" t="inlineStr">
        <is>
          <t>NA</t>
        </is>
      </c>
      <c r="M471" s="843" t="n"/>
      <c r="N471" s="845" t="inlineStr">
        <is>
          <t>Australia</t>
        </is>
      </c>
      <c r="O471" s="846" t="inlineStr">
        <is>
          <t>CIA</t>
        </is>
      </c>
      <c r="P471" s="847" t="n">
        <v>1</v>
      </c>
      <c r="Q471" s="846" t="n"/>
      <c r="R471" s="847" t="inlineStr">
        <is>
          <t>Permanent - Full Time</t>
        </is>
      </c>
      <c r="S471" s="847" t="n"/>
      <c r="T471" s="847" t="n"/>
      <c r="U471" s="848" t="n">
        <v>137620</v>
      </c>
      <c r="V471" s="849" t="n">
        <v>137620</v>
      </c>
      <c r="W471" s="850" t="n">
        <v>0.1</v>
      </c>
      <c r="X471" s="847" t="n">
        <v>0.055</v>
      </c>
      <c r="Y471" s="850" t="n">
        <v>0.12</v>
      </c>
      <c r="Z471" s="851" t="n"/>
      <c r="AA471" s="850" t="n">
        <v>0.04</v>
      </c>
      <c r="AB471" s="852" t="n">
        <v>180970.3</v>
      </c>
      <c r="AD471" s="866" t="n"/>
      <c r="AE471" s="866">
        <f>IF(TRIM($B471)="","",IF(AND(N($P471)&gt;0,N($P471)&lt;1),N($AB471)*N($P471),N($AB471)))</f>
        <v>180970.3</v>
      </c>
      <c r="AF471" s="866" t="str">
        <f>IF(TRIM($B471)="","",IF(OR(ISNUMBER(SEARCH("vacant",$B471)),ISNUMBER(SEARCH("ring fenced",$B471)),LOWER(TRIM($B471))="remove"),"Vacant","Filled"))</f>
        <v>Filled</v>
      </c>
      <c r="AG471" s="866" t="b">
        <f>IF(TRIM($B471)="","",--ISNUMBER(SEARCH("ring fenced",$B471)))</f>
        <v>0</v>
      </c>
      <c r="AH471" s="866" t="str">
        <f>IF(TRIM($B471)="","",IF(COUNTIFS(Lists!$AN$2:$AN$22,TRIM($B471)&amp;" | "&amp;TRIM($D471),Lists!$AO$2:$AO$22,"&lt;&gt;"),INDEX(Lists!$AO$2:$AO$22,MATCH(TRIM($B471)&amp;" | "&amp;TRIM($D471),Lists!$AN$2:$AN$22,0)),IF(COUNTIF(Lists!$AR$2:$AR$3,$AJ471),"TDD Cyber",IF(AND(LEFT($AJ471,4)="EGI ",ISNUMBER(MATCH(TRIM(MID($AJ471,5,99)),Lists!$AS$2:$AS$12,0))),TRIM(MID($AJ471,5,99)),IF(AND(LEFT($AJ471,4)="EGI ",ISNUMBER(MATCH(TRIM(MID($AJ471,5,99)),Lists!$T$2:$T$21,0))),INDEX(Lists!$U$2:$U$21,MATCH(TRIM(MID($AJ471,5,99)),Lists!$T$2:$T$21,0)),IF(OR(TRIM($J471)="",UPPER(TRIM($J471))="NA"),IFERROR(INDEX(Lists!$R$2:$R$9,MATCH(TRIM($G471),Lists!$Q$2:$Q$9,0)),"UNMAPPED"),IFERROR(INDEX(Lists!$U$2:$U$21,MATCH(TRIM($J471),Lists!$T$2:$T$21,0)),IFERROR(INDEX(Lists!$R$2:$R$9,MATCH(TRIM($G471),Lists!$Q$2:$Q$9,0)),"UNMAPPED"))))))))</f>
        <v>COE Cyber</v>
      </c>
      <c r="AI471" s="534" t="b">
        <f>IF(TRIM($B471)="","",--OR(TRIM($L471)="Leadership",TRIM($K471)="Leadership"))</f>
        <v>0</v>
      </c>
      <c r="AJ471" s="534" t="str">
        <f>IF(TRIM($B471)="","",IF(COUNTIFS(Lists!$AN$2:$AN$22,TRIM($B471)&amp;" | "&amp;TRIM($D471),Lists!$AP$2:$AP$22,"&lt;&gt;"),INDEX(Lists!$AP$2:$AP$22,MATCH(TRIM($B471)&amp;" | "&amp;TRIM($D471),Lists!$AN$2:$AN$22,0)),IF($AI471=1,"Leadership",IFERROR(INDEX(Lists!$X$2:$X$21,MATCH(TRIM($L471),Lists!$W$2:$W$21,0)),IF(OR(TRIM($L471)="",LOWER(TRIM($L471))="na"),IF(TRIM($H471)="","Unassigned",TRIM($H471)),TRIM($L471))))))</f>
        <v>Service Op &amp; Assurance</v>
      </c>
      <c r="AK471" s="534" t="str">
        <f>IF(TRIM($B471)="","",IF(COUNTIFS(Lists!$AN$2:$AN$22,TRIM($B471)&amp;" | "&amp;TRIM($D471),Lists!$AQ$2:$AQ$22,"&lt;&gt;"),INDEX(Lists!$AQ$2:$AQ$22,MATCH(TRIM($B471)&amp;" | "&amp;TRIM($D471),Lists!$AN$2:$AN$22,0)),IF(COUNTIF(Lists!$AF$2:$AF$8,$AJ471),$AJ471,IF(ISNUMBER(SEARCH("head of ",$D471)),"Head of Technology",IF(ISNUMBER(SEARCH("TDD BP",$D471)),"Business Partner",IF(OR(ISNUMBER(SEARCH("domain architect",$D471)),ISNUMBER(SEARCH("enterprise architect",$D471))),"Domain Architect",IF(ISNUMBER(SEARCH("delivery man",$D471)),"Delivery Manager",IF(OR(ISNUMBER(SEARCH("technology manager",$D471)),ISNUMBER(SEARCH("technology manger",$D471)),ISNUMBER(SEARCH("tech manager",$D471))),"Technology Manager","Squad"))))))))</f>
        <v>Squad</v>
      </c>
      <c r="AL471" s="534" t="str">
        <f>IF(TRIM($B471)="","",IF(AND($AM471=1,LEFT($AJ471,4)&lt;&gt;"EGI ",$AJ471&lt;&gt;"EGI"),IFERROR(INDEX(Lists!$Z$2:$Z$20,MATCH($AH471,Lists!$Y$2:$Y$20,0)),"EGI "&amp;$AH471),IF(COUNTIF(Lists!$AU$2:$AU$10,$AJ471),$AJ471,IF(OR(LEFT($AH471,3)="COE",$AH471="EGI"),$AJ471,IF($AK471&lt;&gt;"Squad",$AK471,$AJ471)))))</f>
        <v>Service Op &amp; Assurance</v>
      </c>
      <c r="AM471" s="534" t="b">
        <f>IF(TRIM($B471)="","",--(UPPER(TRIM($K471))="EGI"))</f>
        <v>0</v>
      </c>
      <c r="AQ471" s="841" t="inlineStr">
        <is>
          <t>R0470</t>
        </is>
      </c>
      <c r="AZ471" s="841" t="n"/>
    </row>
    <row r="472" ht="18" customHeight="1" s="535">
      <c r="A472" s="842" t="n">
        <v>113570</v>
      </c>
      <c r="B472" s="843" t="inlineStr">
        <is>
          <t>Lana Wagner</t>
        </is>
      </c>
      <c r="C472" s="842" t="n">
        <v>113570</v>
      </c>
      <c r="D472" s="843" t="inlineStr">
        <is>
          <t>Senior Business Analyst</t>
        </is>
      </c>
      <c r="E472" s="843" t="inlineStr">
        <is>
          <t>Vacant</t>
        </is>
      </c>
      <c r="F472" s="843" t="inlineStr">
        <is>
          <t>Delivery Manager</t>
        </is>
      </c>
      <c r="G472" s="844" t="inlineStr">
        <is>
          <t>TDD CFE&amp;I</t>
        </is>
      </c>
      <c r="H472" s="843" t="inlineStr">
        <is>
          <t>B2B &amp; Energy Solutions</t>
        </is>
      </c>
      <c r="I472" s="843" t="inlineStr">
        <is>
          <t>Delivery</t>
        </is>
      </c>
      <c r="J472" s="843" t="inlineStr">
        <is>
          <t>B2B &amp; Energy Solutions</t>
        </is>
      </c>
      <c r="K472" s="843" t="inlineStr">
        <is>
          <t>Energy Solutions</t>
        </is>
      </c>
      <c r="L472" s="843" t="inlineStr">
        <is>
          <t>EVCI</t>
        </is>
      </c>
      <c r="M472" s="843" t="n"/>
      <c r="N472" s="845" t="inlineStr">
        <is>
          <t>NZ</t>
        </is>
      </c>
      <c r="O472" s="846" t="inlineStr">
        <is>
          <t>CIA</t>
        </is>
      </c>
      <c r="P472" s="847" t="n">
        <v>1</v>
      </c>
      <c r="Q472" s="846" t="n"/>
      <c r="R472" s="847" t="inlineStr">
        <is>
          <t>Permanent - Full Time</t>
        </is>
      </c>
      <c r="S472" s="847" t="n"/>
      <c r="T472" s="847" t="n"/>
      <c r="U472" s="848" t="n">
        <v>137720</v>
      </c>
      <c r="V472" s="849" t="n">
        <v>126702.4</v>
      </c>
      <c r="W472" s="850" t="n">
        <v>0.15</v>
      </c>
      <c r="X472" s="847" t="n"/>
      <c r="Y472" s="850" t="n">
        <v>0.05</v>
      </c>
      <c r="Z472" s="851" t="n">
        <v>2910</v>
      </c>
      <c r="AA472" s="850" t="n">
        <v>0.03</v>
      </c>
      <c r="AB472" s="852" t="n">
        <v>158753.952</v>
      </c>
      <c r="AD472" s="866" t="n"/>
      <c r="AE472" s="866">
        <f>IF(TRIM($B472)="","",IF(AND(N($P472)&gt;0,N($P472)&lt;1),N($AB472)*N($P472),N($AB472)))</f>
        <v>158753.952</v>
      </c>
      <c r="AF472" s="866" t="str">
        <f>IF(TRIM($B472)="","",IF(OR(ISNUMBER(SEARCH("vacant",$B472)),ISNUMBER(SEARCH("ring fenced",$B472)),LOWER(TRIM($B472))="remove"),"Vacant","Filled"))</f>
        <v>Filled</v>
      </c>
      <c r="AG472" s="866" t="b">
        <f>IF(TRIM($B472)="","",--ISNUMBER(SEARCH("ring fenced",$B472)))</f>
        <v>0</v>
      </c>
      <c r="AH472" s="866" t="str">
        <f>IF(TRIM($B472)="","",IF(COUNTIFS(Lists!$AN$2:$AN$22,TRIM($B472)&amp;" | "&amp;TRIM($D472),Lists!$AO$2:$AO$22,"&lt;&gt;"),INDEX(Lists!$AO$2:$AO$22,MATCH(TRIM($B472)&amp;" | "&amp;TRIM($D472),Lists!$AN$2:$AN$22,0)),IF(COUNTIF(Lists!$AR$2:$AR$3,$AJ472),"TDD Cyber",IF(AND(LEFT($AJ472,4)="EGI ",ISNUMBER(MATCH(TRIM(MID($AJ472,5,99)),Lists!$AS$2:$AS$12,0))),TRIM(MID($AJ472,5,99)),IF(AND(LEFT($AJ472,4)="EGI ",ISNUMBER(MATCH(TRIM(MID($AJ472,5,99)),Lists!$T$2:$T$21,0))),INDEX(Lists!$U$2:$U$21,MATCH(TRIM(MID($AJ472,5,99)),Lists!$T$2:$T$21,0)),IF(OR(TRIM($J472)="",UPPER(TRIM($J472))="NA"),IFERROR(INDEX(Lists!$R$2:$R$9,MATCH(TRIM($G472),Lists!$Q$2:$Q$9,0)),"UNMAPPED"),IFERROR(INDEX(Lists!$U$2:$U$21,MATCH(TRIM($J472),Lists!$T$2:$T$21,0)),IFERROR(INDEX(Lists!$R$2:$R$9,MATCH(TRIM($G472),Lists!$Q$2:$Q$9,0)),"UNMAPPED"))))))))</f>
        <v>Energy Solutions &amp; B2B</v>
      </c>
      <c r="AI472" s="534" t="b">
        <f>IF(TRIM($B472)="","",--OR(TRIM($L472)="Leadership",TRIM($K472)="Leadership"))</f>
        <v>0</v>
      </c>
      <c r="AJ472" s="534" t="str">
        <f>IF(TRIM($B472)="","",IF(COUNTIFS(Lists!$AN$2:$AN$22,TRIM($B472)&amp;" | "&amp;TRIM($D472),Lists!$AP$2:$AP$22,"&lt;&gt;"),INDEX(Lists!$AP$2:$AP$22,MATCH(TRIM($B472)&amp;" | "&amp;TRIM($D472),Lists!$AN$2:$AN$22,0)),IF($AI472=1,"Leadership",IFERROR(INDEX(Lists!$X$2:$X$21,MATCH(TRIM($L472),Lists!$W$2:$W$21,0)),IF(OR(TRIM($L472)="",LOWER(TRIM($L472))="na"),IF(TRIM($H472)="","Unassigned",TRIM($H472)),TRIM($L472))))))</f>
        <v>EVCI</v>
      </c>
      <c r="AK472" s="534" t="str">
        <f>IF(TRIM($B472)="","",IF(COUNTIFS(Lists!$AN$2:$AN$22,TRIM($B472)&amp;" | "&amp;TRIM($D472),Lists!$AQ$2:$AQ$22,"&lt;&gt;"),INDEX(Lists!$AQ$2:$AQ$22,MATCH(TRIM($B472)&amp;" | "&amp;TRIM($D472),Lists!$AN$2:$AN$22,0)),IF(COUNTIF(Lists!$AF$2:$AF$8,$AJ472),$AJ472,IF(ISNUMBER(SEARCH("head of ",$D472)),"Head of Technology",IF(ISNUMBER(SEARCH("TDD BP",$D472)),"Business Partner",IF(OR(ISNUMBER(SEARCH("domain architect",$D472)),ISNUMBER(SEARCH("enterprise architect",$D472))),"Domain Architect",IF(ISNUMBER(SEARCH("delivery man",$D472)),"Delivery Manager",IF(OR(ISNUMBER(SEARCH("technology manager",$D472)),ISNUMBER(SEARCH("technology manger",$D472)),ISNUMBER(SEARCH("tech manager",$D472))),"Technology Manager","Squad"))))))))</f>
        <v>Squad</v>
      </c>
      <c r="AL472" s="534" t="str">
        <f>IF(TRIM($B472)="","",IF(AND($AM472=1,LEFT($AJ472,4)&lt;&gt;"EGI ",$AJ472&lt;&gt;"EGI"),IFERROR(INDEX(Lists!$Z$2:$Z$20,MATCH($AH472,Lists!$Y$2:$Y$20,0)),"EGI "&amp;$AH472),IF(COUNTIF(Lists!$AU$2:$AU$10,$AJ472),$AJ472,IF(OR(LEFT($AH472,3)="COE",$AH472="EGI"),$AJ472,IF($AK472&lt;&gt;"Squad",$AK472,$AJ472)))))</f>
        <v>EVCI</v>
      </c>
      <c r="AM472" s="534" t="b">
        <f>IF(TRIM($B472)="","",--(UPPER(TRIM($K472))="EGI"))</f>
        <v>0</v>
      </c>
      <c r="AQ472" s="841" t="inlineStr">
        <is>
          <t>R0471</t>
        </is>
      </c>
      <c r="AZ472" s="841" t="n"/>
    </row>
    <row r="473" ht="18" customHeight="1" s="535">
      <c r="A473" s="842" t="n">
        <v>113512</v>
      </c>
      <c r="B473" s="843" t="inlineStr">
        <is>
          <t>Anna Koot</t>
        </is>
      </c>
      <c r="C473" s="842" t="n">
        <v>113512</v>
      </c>
      <c r="D473" s="843" t="inlineStr">
        <is>
          <t>Senior Business Analyst</t>
        </is>
      </c>
      <c r="E473" s="843" t="inlineStr">
        <is>
          <t>Vacant</t>
        </is>
      </c>
      <c r="F473" s="843" t="inlineStr">
        <is>
          <t>Delivery Manager, Z and Retail Data</t>
        </is>
      </c>
      <c r="G473" s="844" t="inlineStr">
        <is>
          <t>Ampol Retail &amp; Z</t>
        </is>
      </c>
      <c r="H473" s="843" t="inlineStr">
        <is>
          <t>Z &amp; Group Retail</t>
        </is>
      </c>
      <c r="I473" s="843" t="inlineStr">
        <is>
          <t>Z &amp; Group Retail, Delivery</t>
        </is>
      </c>
      <c r="J473" s="843" t="inlineStr">
        <is>
          <t>Z</t>
        </is>
      </c>
      <c r="K473" s="843" t="inlineStr">
        <is>
          <t>Z Supply</t>
        </is>
      </c>
      <c r="L473" s="843" t="inlineStr">
        <is>
          <t>Z Supply</t>
        </is>
      </c>
      <c r="M473" s="843" t="n"/>
      <c r="N473" s="845" t="inlineStr">
        <is>
          <t>NZ</t>
        </is>
      </c>
      <c r="O473" s="846" t="inlineStr">
        <is>
          <t>CIA</t>
        </is>
      </c>
      <c r="P473" s="847" t="n">
        <v>1</v>
      </c>
      <c r="Q473" s="846" t="n"/>
      <c r="R473" s="847" t="inlineStr">
        <is>
          <t>Permanent - Full Time</t>
        </is>
      </c>
      <c r="S473" s="847" t="n"/>
      <c r="T473" s="847" t="n"/>
      <c r="U473" s="848" t="n">
        <v>133320</v>
      </c>
      <c r="V473" s="849" t="n">
        <v>122654.4</v>
      </c>
      <c r="W473" s="850" t="n">
        <v>0.15</v>
      </c>
      <c r="X473" s="847" t="n"/>
      <c r="Y473" s="850" t="n">
        <v>0.05</v>
      </c>
      <c r="Z473" s="851" t="n">
        <v>2910</v>
      </c>
      <c r="AA473" s="850" t="n">
        <v>0.03</v>
      </c>
      <c r="AB473" s="852" t="n">
        <v>153774.912</v>
      </c>
      <c r="AD473" s="866" t="n"/>
      <c r="AE473" s="866">
        <f>IF(TRIM($B473)="","",IF(AND(N($P473)&gt;0,N($P473)&lt;1),N($AB473)*N($P473),N($AB473)))</f>
        <v>153774.912</v>
      </c>
      <c r="AF473" s="866" t="str">
        <f>IF(TRIM($B473)="","",IF(OR(ISNUMBER(SEARCH("vacant",$B473)),ISNUMBER(SEARCH("ring fenced",$B473)),LOWER(TRIM($B473))="remove"),"Vacant","Filled"))</f>
        <v>Filled</v>
      </c>
      <c r="AG473" s="866" t="b">
        <f>IF(TRIM($B473)="","",--ISNUMBER(SEARCH("ring fenced",$B473)))</f>
        <v>0</v>
      </c>
      <c r="AH473" s="866" t="str">
        <f>IF(TRIM($B473)="","",IF(COUNTIFS(Lists!$AN$2:$AN$22,TRIM($B473)&amp;" | "&amp;TRIM($D473),Lists!$AO$2:$AO$22,"&lt;&gt;"),INDEX(Lists!$AO$2:$AO$22,MATCH(TRIM($B473)&amp;" | "&amp;TRIM($D473),Lists!$AN$2:$AN$22,0)),IF(COUNTIF(Lists!$AR$2:$AR$3,$AJ473),"TDD Cyber",IF(AND(LEFT($AJ473,4)="EGI ",ISNUMBER(MATCH(TRIM(MID($AJ473,5,99)),Lists!$AS$2:$AS$12,0))),TRIM(MID($AJ473,5,99)),IF(AND(LEFT($AJ473,4)="EGI ",ISNUMBER(MATCH(TRIM(MID($AJ473,5,99)),Lists!$T$2:$T$21,0))),INDEX(Lists!$U$2:$U$21,MATCH(TRIM(MID($AJ473,5,99)),Lists!$T$2:$T$21,0)),IF(OR(TRIM($J473)="",UPPER(TRIM($J473))="NA"),IFERROR(INDEX(Lists!$R$2:$R$9,MATCH(TRIM($G473),Lists!$Q$2:$Q$9,0)),"UNMAPPED"),IFERROR(INDEX(Lists!$U$2:$U$21,MATCH(TRIM($J473),Lists!$T$2:$T$21,0)),IFERROR(INDEX(Lists!$R$2:$R$9,MATCH(TRIM($G473),Lists!$Q$2:$Q$9,0)),"UNMAPPED"))))))))</f>
        <v>Z Retail</v>
      </c>
      <c r="AI473" s="534" t="b">
        <f>IF(TRIM($B473)="","",--OR(TRIM($L473)="Leadership",TRIM($K473)="Leadership"))</f>
        <v>0</v>
      </c>
      <c r="AJ473" s="534" t="str">
        <f>IF(TRIM($B473)="","",IF(COUNTIFS(Lists!$AN$2:$AN$22,TRIM($B473)&amp;" | "&amp;TRIM($D473),Lists!$AP$2:$AP$22,"&lt;&gt;"),INDEX(Lists!$AP$2:$AP$22,MATCH(TRIM($B473)&amp;" | "&amp;TRIM($D473),Lists!$AN$2:$AN$22,0)),IF($AI473=1,"Leadership",IFERROR(INDEX(Lists!$X$2:$X$21,MATCH(TRIM($L473),Lists!$W$2:$W$21,0)),IF(OR(TRIM($L473)="",LOWER(TRIM($L473))="na"),IF(TRIM($H473)="","Unassigned",TRIM($H473)),TRIM($L473))))))</f>
        <v>Z Supply</v>
      </c>
      <c r="AK473" s="534" t="str">
        <f>IF(TRIM($B473)="","",IF(COUNTIFS(Lists!$AN$2:$AN$22,TRIM($B473)&amp;" | "&amp;TRIM($D473),Lists!$AQ$2:$AQ$22,"&lt;&gt;"),INDEX(Lists!$AQ$2:$AQ$22,MATCH(TRIM($B473)&amp;" | "&amp;TRIM($D473),Lists!$AN$2:$AN$22,0)),IF(COUNTIF(Lists!$AF$2:$AF$8,$AJ473),$AJ473,IF(ISNUMBER(SEARCH("head of ",$D473)),"Head of Technology",IF(ISNUMBER(SEARCH("TDD BP",$D473)),"Business Partner",IF(OR(ISNUMBER(SEARCH("domain architect",$D473)),ISNUMBER(SEARCH("enterprise architect",$D473))),"Domain Architect",IF(ISNUMBER(SEARCH("delivery man",$D473)),"Delivery Manager",IF(OR(ISNUMBER(SEARCH("technology manager",$D473)),ISNUMBER(SEARCH("technology manger",$D473)),ISNUMBER(SEARCH("tech manager",$D473))),"Technology Manager","Squad"))))))))</f>
        <v>Squad</v>
      </c>
      <c r="AL473" s="534" t="str">
        <f>IF(TRIM($B473)="","",IF(AND($AM473=1,LEFT($AJ473,4)&lt;&gt;"EGI ",$AJ473&lt;&gt;"EGI"),IFERROR(INDEX(Lists!$Z$2:$Z$20,MATCH($AH473,Lists!$Y$2:$Y$20,0)),"EGI "&amp;$AH473),IF(COUNTIF(Lists!$AU$2:$AU$10,$AJ473),$AJ473,IF(OR(LEFT($AH473,3)="COE",$AH473="EGI"),$AJ473,IF($AK473&lt;&gt;"Squad",$AK473,$AJ473)))))</f>
        <v>Z Supply</v>
      </c>
      <c r="AM473" s="534" t="b">
        <f>IF(TRIM($B473)="","",--(UPPER(TRIM($K473))="EGI"))</f>
        <v>0</v>
      </c>
      <c r="AQ473" s="841" t="inlineStr">
        <is>
          <t>R0472</t>
        </is>
      </c>
      <c r="AZ473" s="841" t="n"/>
    </row>
    <row r="474" ht="18" customHeight="1" s="535">
      <c r="A474" s="842" t="inlineStr">
        <is>
          <t>V</t>
        </is>
      </c>
      <c r="B474" s="843" t="inlineStr">
        <is>
          <t>Vacant</t>
        </is>
      </c>
      <c r="C474" s="842" t="inlineStr">
        <is>
          <t>V</t>
        </is>
      </c>
      <c r="D474" s="843" t="inlineStr">
        <is>
          <t>EnterpriseProcess Analyst</t>
        </is>
      </c>
      <c r="E474" s="843" t="inlineStr">
        <is>
          <t>Vacant</t>
        </is>
      </c>
      <c r="F474" s="843" t="inlineStr">
        <is>
          <t>Enterprise Process Lead</t>
        </is>
      </c>
      <c r="G474" s="844" t="inlineStr">
        <is>
          <t>Strategy, Architecture &amp; Data</t>
        </is>
      </c>
      <c r="H474" s="843" t="inlineStr">
        <is>
          <t>Technology Strategy &amp; AI Capability</t>
        </is>
      </c>
      <c r="I474" s="843" t="inlineStr">
        <is>
          <t>Technology Strategy &amp; AI Capability</t>
        </is>
      </c>
      <c r="J474" s="843" t="n"/>
      <c r="K474" s="843" t="n"/>
      <c r="L474" s="843" t="n"/>
      <c r="M474" s="843" t="n"/>
      <c r="N474" s="845" t="inlineStr">
        <is>
          <t>Australia</t>
        </is>
      </c>
      <c r="O474" s="846" t="inlineStr">
        <is>
          <t>CIA</t>
        </is>
      </c>
      <c r="P474" s="847" t="n">
        <v>1</v>
      </c>
      <c r="Q474" s="846" t="n"/>
      <c r="R474" s="847" t="inlineStr">
        <is>
          <t>V</t>
        </is>
      </c>
      <c r="S474" s="847" t="n"/>
      <c r="T474" s="847" t="n"/>
      <c r="U474" s="848" t="n">
        <v>129650</v>
      </c>
      <c r="V474" s="849" t="n">
        <v>129650</v>
      </c>
      <c r="W474" s="850" t="n">
        <v>0.1</v>
      </c>
      <c r="X474" s="847" t="n">
        <v>0.055</v>
      </c>
      <c r="Y474" s="850" t="n">
        <v>0.12</v>
      </c>
      <c r="Z474" s="851" t="n"/>
      <c r="AA474" s="850" t="n">
        <v>0.04</v>
      </c>
      <c r="AB474" s="852" t="n">
        <v>170489.75</v>
      </c>
      <c r="AD474" s="866" t="n"/>
      <c r="AE474" s="866">
        <f>IF(TRIM($B474)="","",IF(AND(N($P474)&gt;0,N($P474)&lt;1),N($AB474)*N($P474),N($AB474)))</f>
        <v>170489.75</v>
      </c>
      <c r="AF474" s="866" t="str">
        <f>IF(TRIM($B474)="","",IF(OR(ISNUMBER(SEARCH("vacant",$B474)),ISNUMBER(SEARCH("ring fenced",$B474)),LOWER(TRIM($B474))="remove"),"Vacant","Filled"))</f>
        <v>Vacant</v>
      </c>
      <c r="AG474" s="866" t="b">
        <f>IF(TRIM($B474)="","",--ISNUMBER(SEARCH("ring fenced",$B474)))</f>
        <v>0</v>
      </c>
      <c r="AH474" s="866" t="str">
        <f>IF(TRIM($B474)="","",IF(COUNTIFS(Lists!$AN$2:$AN$22,TRIM($B474)&amp;" | "&amp;TRIM($D474),Lists!$AO$2:$AO$22,"&lt;&gt;"),INDEX(Lists!$AO$2:$AO$22,MATCH(TRIM($B474)&amp;" | "&amp;TRIM($D474),Lists!$AN$2:$AN$22,0)),IF(COUNTIF(Lists!$AR$2:$AR$3,$AJ474),"TDD Cyber",IF(AND(LEFT($AJ474,4)="EGI ",ISNUMBER(MATCH(TRIM(MID($AJ474,5,99)),Lists!$AS$2:$AS$12,0))),TRIM(MID($AJ474,5,99)),IF(AND(LEFT($AJ474,4)="EGI ",ISNUMBER(MATCH(TRIM(MID($AJ474,5,99)),Lists!$T$2:$T$21,0))),INDEX(Lists!$U$2:$U$21,MATCH(TRIM(MID($AJ474,5,99)),Lists!$T$2:$T$21,0)),IF(OR(TRIM($J474)="",UPPER(TRIM($J474))="NA"),IFERROR(INDEX(Lists!$R$2:$R$9,MATCH(TRIM($G474),Lists!$Q$2:$Q$9,0)),"UNMAPPED"),IFERROR(INDEX(Lists!$U$2:$U$21,MATCH(TRIM($J474),Lists!$T$2:$T$21,0)),IFERROR(INDEX(Lists!$R$2:$R$9,MATCH(TRIM($G474),Lists!$Q$2:$Q$9,0)),"UNMAPPED"))))))))</f>
        <v>COE SA&amp;D</v>
      </c>
      <c r="AI474" s="534" t="b">
        <f>IF(TRIM($B474)="","",--OR(TRIM($L474)="Leadership",TRIM($K474)="Leadership"))</f>
        <v>0</v>
      </c>
      <c r="AJ474" s="534" t="str">
        <f>IF(TRIM($B474)="","",IF(COUNTIFS(Lists!$AN$2:$AN$22,TRIM($B474)&amp;" | "&amp;TRIM($D474),Lists!$AP$2:$AP$22,"&lt;&gt;"),INDEX(Lists!$AP$2:$AP$22,MATCH(TRIM($B474)&amp;" | "&amp;TRIM($D474),Lists!$AN$2:$AN$22,0)),IF($AI474=1,"Leadership",IFERROR(INDEX(Lists!$X$2:$X$21,MATCH(TRIM($L474),Lists!$W$2:$W$21,0)),IF(OR(TRIM($L474)="",LOWER(TRIM($L474))="na"),IF(TRIM($H474)="","Unassigned",TRIM($H474)),TRIM($L474))))))</f>
        <v>Technology Strategy &amp; AI Capability</v>
      </c>
      <c r="AK474" s="534" t="str">
        <f>IF(TRIM($B474)="","",IF(COUNTIFS(Lists!$AN$2:$AN$22,TRIM($B474)&amp;" | "&amp;TRIM($D474),Lists!$AQ$2:$AQ$22,"&lt;&gt;"),INDEX(Lists!$AQ$2:$AQ$22,MATCH(TRIM($B474)&amp;" | "&amp;TRIM($D474),Lists!$AN$2:$AN$22,0)),IF(COUNTIF(Lists!$AF$2:$AF$8,$AJ474),$AJ474,IF(ISNUMBER(SEARCH("head of ",$D474)),"Head of Technology",IF(ISNUMBER(SEARCH("TDD BP",$D474)),"Business Partner",IF(OR(ISNUMBER(SEARCH("domain architect",$D474)),ISNUMBER(SEARCH("enterprise architect",$D474))),"Domain Architect",IF(ISNUMBER(SEARCH("delivery man",$D474)),"Delivery Manager",IF(OR(ISNUMBER(SEARCH("technology manager",$D474)),ISNUMBER(SEARCH("technology manger",$D474)),ISNUMBER(SEARCH("tech manager",$D474))),"Technology Manager","Squad"))))))))</f>
        <v>Squad</v>
      </c>
      <c r="AL474" s="534" t="str">
        <f>IF(TRIM($B474)="","",IF(AND($AM474=1,LEFT($AJ474,4)&lt;&gt;"EGI ",$AJ474&lt;&gt;"EGI"),IFERROR(INDEX(Lists!$Z$2:$Z$20,MATCH($AH474,Lists!$Y$2:$Y$20,0)),"EGI "&amp;$AH474),IF(COUNTIF(Lists!$AU$2:$AU$10,$AJ474),$AJ474,IF(OR(LEFT($AH474,3)="COE",$AH474="EGI"),$AJ474,IF($AK474&lt;&gt;"Squad",$AK474,$AJ474)))))</f>
        <v>Technology Strategy &amp; AI Capability</v>
      </c>
      <c r="AM474" s="534" t="b">
        <f>IF(TRIM($B474)="","",--(UPPER(TRIM($K474))="EGI"))</f>
        <v>0</v>
      </c>
      <c r="AQ474" s="841" t="inlineStr">
        <is>
          <t>R0473</t>
        </is>
      </c>
      <c r="AZ474" s="841" t="n"/>
    </row>
    <row r="475" ht="18" customHeight="1" s="535">
      <c r="A475" s="842" t="inlineStr">
        <is>
          <t>V</t>
        </is>
      </c>
      <c r="B475" s="843" t="inlineStr">
        <is>
          <t>Vacant</t>
        </is>
      </c>
      <c r="C475" s="842" t="inlineStr">
        <is>
          <t>V</t>
        </is>
      </c>
      <c r="D475" s="843" t="inlineStr">
        <is>
          <t>Strategy Analyst</t>
        </is>
      </c>
      <c r="E475" s="843" t="inlineStr">
        <is>
          <t>Vacant</t>
        </is>
      </c>
      <c r="F475" s="843" t="inlineStr">
        <is>
          <t>Head of Technology  Strategy &amp; AI Capability</t>
        </is>
      </c>
      <c r="G475" s="844" t="inlineStr">
        <is>
          <t>Strategy, Architecture &amp; Data</t>
        </is>
      </c>
      <c r="H475" s="843" t="inlineStr">
        <is>
          <t>Technology Strategy &amp; AI Capability</t>
        </is>
      </c>
      <c r="I475" s="843" t="inlineStr">
        <is>
          <t>Technology Strategy &amp; AI Capability</t>
        </is>
      </c>
      <c r="J475" s="843" t="n"/>
      <c r="K475" s="843" t="n"/>
      <c r="L475" s="843" t="n"/>
      <c r="M475" s="843" t="n"/>
      <c r="N475" s="845" t="inlineStr">
        <is>
          <t>Australia</t>
        </is>
      </c>
      <c r="O475" s="846" t="inlineStr">
        <is>
          <t>CIA</t>
        </is>
      </c>
      <c r="P475" s="847" t="n">
        <v>1</v>
      </c>
      <c r="Q475" s="846" t="n"/>
      <c r="R475" s="847" t="inlineStr">
        <is>
          <t>v</t>
        </is>
      </c>
      <c r="S475" s="847" t="n"/>
      <c r="T475" s="847" t="n"/>
      <c r="U475" s="848" t="n">
        <v>129650</v>
      </c>
      <c r="V475" s="849" t="n">
        <v>129650</v>
      </c>
      <c r="W475" s="850" t="n">
        <v>0.1</v>
      </c>
      <c r="X475" s="847" t="n">
        <v>0.055</v>
      </c>
      <c r="Y475" s="850" t="n">
        <v>0.12</v>
      </c>
      <c r="Z475" s="851" t="n"/>
      <c r="AA475" s="850" t="n">
        <v>0.04</v>
      </c>
      <c r="AB475" s="852" t="n">
        <v>170489.75</v>
      </c>
      <c r="AE475" s="534">
        <f>IF(TRIM($B475)="","",IF(AND(N($P475)&gt;0,N($P475)&lt;1),N($AB475)*N($P475),N($AB475)))</f>
        <v>170489.75</v>
      </c>
      <c r="AF475" s="534" t="str">
        <f>IF(TRIM($B475)="","",IF(OR(ISNUMBER(SEARCH("vacant",$B475)),ISNUMBER(SEARCH("ring fenced",$B475)),LOWER(TRIM($B475))="remove"),"Vacant","Filled"))</f>
        <v>Vacant</v>
      </c>
      <c r="AG475" s="534" t="b">
        <f>IF(TRIM($B475)="","",--ISNUMBER(SEARCH("ring fenced",$B475)))</f>
        <v>0</v>
      </c>
      <c r="AH475" s="866" t="str">
        <f>IF(TRIM($B475)="","",IF(COUNTIFS(Lists!$AN$2:$AN$22,TRIM($B475)&amp;" | "&amp;TRIM($D475),Lists!$AO$2:$AO$22,"&lt;&gt;"),INDEX(Lists!$AO$2:$AO$22,MATCH(TRIM($B475)&amp;" | "&amp;TRIM($D475),Lists!$AN$2:$AN$22,0)),IF(COUNTIF(Lists!$AR$2:$AR$3,$AJ475),"TDD Cyber",IF(AND(LEFT($AJ475,4)="EGI ",ISNUMBER(MATCH(TRIM(MID($AJ475,5,99)),Lists!$AS$2:$AS$12,0))),TRIM(MID($AJ475,5,99)),IF(AND(LEFT($AJ475,4)="EGI ",ISNUMBER(MATCH(TRIM(MID($AJ475,5,99)),Lists!$T$2:$T$21,0))),INDEX(Lists!$U$2:$U$21,MATCH(TRIM(MID($AJ475,5,99)),Lists!$T$2:$T$21,0)),IF(OR(TRIM($J475)="",UPPER(TRIM($J475))="NA"),IFERROR(INDEX(Lists!$R$2:$R$9,MATCH(TRIM($G475),Lists!$Q$2:$Q$9,0)),"UNMAPPED"),IFERROR(INDEX(Lists!$U$2:$U$21,MATCH(TRIM($J475),Lists!$T$2:$T$21,0)),IFERROR(INDEX(Lists!$R$2:$R$9,MATCH(TRIM($G475),Lists!$Q$2:$Q$9,0)),"UNMAPPED"))))))))</f>
        <v>COE SA&amp;D</v>
      </c>
      <c r="AI475" s="534" t="b">
        <f>IF(TRIM($B475)="","",--OR(TRIM($L475)="Leadership",TRIM($K475)="Leadership"))</f>
        <v>0</v>
      </c>
      <c r="AJ475" s="534" t="str">
        <f>IF(TRIM($B475)="","",IF(COUNTIFS(Lists!$AN$2:$AN$22,TRIM($B475)&amp;" | "&amp;TRIM($D475),Lists!$AP$2:$AP$22,"&lt;&gt;"),INDEX(Lists!$AP$2:$AP$22,MATCH(TRIM($B475)&amp;" | "&amp;TRIM($D475),Lists!$AN$2:$AN$22,0)),IF($AI475=1,"Leadership",IFERROR(INDEX(Lists!$X$2:$X$21,MATCH(TRIM($L475),Lists!$W$2:$W$21,0)),IF(OR(TRIM($L475)="",LOWER(TRIM($L475))="na"),IF(TRIM($H475)="","Unassigned",TRIM($H475)),TRIM($L475))))))</f>
        <v>Technology Strategy &amp; AI Capability</v>
      </c>
      <c r="AK475" s="534" t="str">
        <f>IF(TRIM($B475)="","",IF(COUNTIFS(Lists!$AN$2:$AN$22,TRIM($B475)&amp;" | "&amp;TRIM($D475),Lists!$AQ$2:$AQ$22,"&lt;&gt;"),INDEX(Lists!$AQ$2:$AQ$22,MATCH(TRIM($B475)&amp;" | "&amp;TRIM($D475),Lists!$AN$2:$AN$22,0)),IF(COUNTIF(Lists!$AF$2:$AF$8,$AJ475),$AJ475,IF(ISNUMBER(SEARCH("head of ",$D475)),"Head of Technology",IF(ISNUMBER(SEARCH("TDD BP",$D475)),"Business Partner",IF(OR(ISNUMBER(SEARCH("domain architect",$D475)),ISNUMBER(SEARCH("enterprise architect",$D475))),"Domain Architect",IF(ISNUMBER(SEARCH("delivery man",$D475)),"Delivery Manager",IF(OR(ISNUMBER(SEARCH("technology manager",$D475)),ISNUMBER(SEARCH("technology manger",$D475)),ISNUMBER(SEARCH("tech manager",$D475))),"Technology Manager","Squad"))))))))</f>
        <v>Squad</v>
      </c>
      <c r="AL475" s="534" t="str">
        <f>IF(TRIM($B475)="","",IF(AND($AM475=1,LEFT($AJ475,4)&lt;&gt;"EGI ",$AJ475&lt;&gt;"EGI"),IFERROR(INDEX(Lists!$Z$2:$Z$20,MATCH($AH475,Lists!$Y$2:$Y$20,0)),"EGI "&amp;$AH475),IF(COUNTIF(Lists!$AU$2:$AU$10,$AJ475),$AJ475,IF(OR(LEFT($AH475,3)="COE",$AH475="EGI"),$AJ475,IF($AK475&lt;&gt;"Squad",$AK475,$AJ475)))))</f>
        <v>Technology Strategy &amp; AI Capability</v>
      </c>
      <c r="AM475" s="534" t="b">
        <f>IF(TRIM($B475)="","",--(UPPER(TRIM($K475))="EGI"))</f>
        <v>0</v>
      </c>
      <c r="AQ475" s="841" t="inlineStr">
        <is>
          <t>R0474</t>
        </is>
      </c>
      <c r="AZ475" s="841" t="n"/>
    </row>
    <row r="476" ht="18" customHeight="1" s="535">
      <c r="A476" s="842" t="n">
        <v>113382</v>
      </c>
      <c r="B476" s="843" t="inlineStr">
        <is>
          <t>Jack Jenkins</t>
        </is>
      </c>
      <c r="C476" s="842" t="n">
        <v>113382</v>
      </c>
      <c r="D476" s="843" t="inlineStr">
        <is>
          <t>Asset Analyst</t>
        </is>
      </c>
      <c r="E476" s="843" t="inlineStr">
        <is>
          <t>Vacant</t>
        </is>
      </c>
      <c r="F476" s="843" t="inlineStr">
        <is>
          <t>Lead – Asset &amp; Configuration (Vacant)</t>
        </is>
      </c>
      <c r="G476" s="844" t="inlineStr">
        <is>
          <t>Cyber, Risk &amp; Operations</t>
        </is>
      </c>
      <c r="H476" s="843" t="inlineStr">
        <is>
          <t>Service Op &amp; Assurance</t>
        </is>
      </c>
      <c r="I476" s="843" t="inlineStr">
        <is>
          <t>NA</t>
        </is>
      </c>
      <c r="J476" s="843" t="inlineStr">
        <is>
          <t>NA</t>
        </is>
      </c>
      <c r="K476" s="843" t="inlineStr">
        <is>
          <t>NA</t>
        </is>
      </c>
      <c r="L476" s="843" t="inlineStr">
        <is>
          <t>NA</t>
        </is>
      </c>
      <c r="M476" s="843" t="n"/>
      <c r="N476" s="845" t="inlineStr">
        <is>
          <t>Australia</t>
        </is>
      </c>
      <c r="O476" s="846" t="inlineStr">
        <is>
          <t>CIA</t>
        </is>
      </c>
      <c r="P476" s="847" t="n">
        <v>1</v>
      </c>
      <c r="Q476" s="847" t="n"/>
      <c r="R476" s="847" t="inlineStr">
        <is>
          <t>Permanent - Full Time</t>
        </is>
      </c>
      <c r="S476" s="847" t="n"/>
      <c r="T476" s="847" t="n"/>
      <c r="U476" s="848" t="n">
        <v>105710</v>
      </c>
      <c r="V476" s="849" t="n">
        <v>105710</v>
      </c>
      <c r="W476" s="850" t="n">
        <v>0.1</v>
      </c>
      <c r="X476" s="847" t="n">
        <v>0.055</v>
      </c>
      <c r="Y476" s="850" t="n">
        <v>0.12</v>
      </c>
      <c r="Z476" s="851" t="n"/>
      <c r="AA476" s="850" t="n">
        <v>0.04</v>
      </c>
      <c r="AB476" s="852" t="n">
        <v>139008.65</v>
      </c>
      <c r="AE476" s="534">
        <f>IF(TRIM($B476)="","",IF(AND(N($P476)&gt;0,N($P476)&lt;1),N($AB476)*N($P476),N($AB476)))</f>
        <v>139008.65</v>
      </c>
      <c r="AF476" s="534" t="str">
        <f>IF(TRIM($B476)="","",IF(OR(ISNUMBER(SEARCH("vacant",$B476)),ISNUMBER(SEARCH("ring fenced",$B476)),LOWER(TRIM($B476))="remove"),"Vacant","Filled"))</f>
        <v>Filled</v>
      </c>
      <c r="AG476" s="534" t="b">
        <f>IF(TRIM($B476)="","",--ISNUMBER(SEARCH("ring fenced",$B476)))</f>
        <v>0</v>
      </c>
      <c r="AH476" s="866" t="str">
        <f>IF(TRIM($B476)="","",IF(COUNTIFS(Lists!$AN$2:$AN$22,TRIM($B476)&amp;" | "&amp;TRIM($D476),Lists!$AO$2:$AO$22,"&lt;&gt;"),INDEX(Lists!$AO$2:$AO$22,MATCH(TRIM($B476)&amp;" | "&amp;TRIM($D476),Lists!$AN$2:$AN$22,0)),IF(COUNTIF(Lists!$AR$2:$AR$3,$AJ476),"TDD Cyber",IF(AND(LEFT($AJ476,4)="EGI ",ISNUMBER(MATCH(TRIM(MID($AJ476,5,99)),Lists!$AS$2:$AS$12,0))),TRIM(MID($AJ476,5,99)),IF(AND(LEFT($AJ476,4)="EGI ",ISNUMBER(MATCH(TRIM(MID($AJ476,5,99)),Lists!$T$2:$T$21,0))),INDEX(Lists!$U$2:$U$21,MATCH(TRIM(MID($AJ476,5,99)),Lists!$T$2:$T$21,0)),IF(OR(TRIM($J476)="",UPPER(TRIM($J476))="NA"),IFERROR(INDEX(Lists!$R$2:$R$9,MATCH(TRIM($G476),Lists!$Q$2:$Q$9,0)),"UNMAPPED"),IFERROR(INDEX(Lists!$U$2:$U$21,MATCH(TRIM($J476),Lists!$T$2:$T$21,0)),IFERROR(INDEX(Lists!$R$2:$R$9,MATCH(TRIM($G476),Lists!$Q$2:$Q$9,0)),"UNMAPPED"))))))))</f>
        <v>COE Cyber</v>
      </c>
      <c r="AI476" s="534" t="b">
        <f>IF(TRIM($B476)="","",--OR(TRIM($L476)="Leadership",TRIM($K476)="Leadership"))</f>
        <v>0</v>
      </c>
      <c r="AJ476" s="534" t="str">
        <f>IF(TRIM($B476)="","",IF(COUNTIFS(Lists!$AN$2:$AN$22,TRIM($B476)&amp;" | "&amp;TRIM($D476),Lists!$AP$2:$AP$22,"&lt;&gt;"),INDEX(Lists!$AP$2:$AP$22,MATCH(TRIM($B476)&amp;" | "&amp;TRIM($D476),Lists!$AN$2:$AN$22,0)),IF($AI476=1,"Leadership",IFERROR(INDEX(Lists!$X$2:$X$21,MATCH(TRIM($L476),Lists!$W$2:$W$21,0)),IF(OR(TRIM($L476)="",LOWER(TRIM($L476))="na"),IF(TRIM($H476)="","Unassigned",TRIM($H476)),TRIM($L476))))))</f>
        <v>Service Op &amp; Assurance</v>
      </c>
      <c r="AK476" s="534" t="str">
        <f>IF(TRIM($B476)="","",IF(COUNTIFS(Lists!$AN$2:$AN$22,TRIM($B476)&amp;" | "&amp;TRIM($D476),Lists!$AQ$2:$AQ$22,"&lt;&gt;"),INDEX(Lists!$AQ$2:$AQ$22,MATCH(TRIM($B476)&amp;" | "&amp;TRIM($D476),Lists!$AN$2:$AN$22,0)),IF(COUNTIF(Lists!$AF$2:$AF$8,$AJ476),$AJ476,IF(ISNUMBER(SEARCH("head of ",$D476)),"Head of Technology",IF(ISNUMBER(SEARCH("TDD BP",$D476)),"Business Partner",IF(OR(ISNUMBER(SEARCH("domain architect",$D476)),ISNUMBER(SEARCH("enterprise architect",$D476))),"Domain Architect",IF(ISNUMBER(SEARCH("delivery man",$D476)),"Delivery Manager",IF(OR(ISNUMBER(SEARCH("technology manager",$D476)),ISNUMBER(SEARCH("technology manger",$D476)),ISNUMBER(SEARCH("tech manager",$D476))),"Technology Manager","Squad"))))))))</f>
        <v>Squad</v>
      </c>
      <c r="AL476" s="534" t="str">
        <f>IF(TRIM($B476)="","",IF(AND($AM476=1,LEFT($AJ476,4)&lt;&gt;"EGI ",$AJ476&lt;&gt;"EGI"),IFERROR(INDEX(Lists!$Z$2:$Z$20,MATCH($AH476,Lists!$Y$2:$Y$20,0)),"EGI "&amp;$AH476),IF(COUNTIF(Lists!$AU$2:$AU$10,$AJ476),$AJ476,IF(OR(LEFT($AH476,3)="COE",$AH476="EGI"),$AJ476,IF($AK476&lt;&gt;"Squad",$AK476,$AJ476)))))</f>
        <v>Service Op &amp; Assurance</v>
      </c>
      <c r="AM476" s="534" t="b">
        <f>IF(TRIM($B476)="","",--(UPPER(TRIM($K476))="EGI"))</f>
        <v>0</v>
      </c>
      <c r="AQ476" s="841" t="inlineStr">
        <is>
          <t>R0475</t>
        </is>
      </c>
      <c r="AZ476" s="841" t="n"/>
    </row>
    <row r="477" ht="18" customHeight="1" s="535">
      <c r="A477" s="842" t="n">
        <v>84413</v>
      </c>
      <c r="B477" s="843" t="inlineStr">
        <is>
          <t>Karthick Sathiyamoorthy</t>
        </is>
      </c>
      <c r="C477" s="842" t="n">
        <v>84413</v>
      </c>
      <c r="D477" s="843" t="inlineStr">
        <is>
          <t>Quality Assurance</t>
        </is>
      </c>
      <c r="E477" s="843" t="inlineStr">
        <is>
          <t>Vacant</t>
        </is>
      </c>
      <c r="F477" s="843" t="inlineStr">
        <is>
          <t>Lead Quality Assurance</t>
        </is>
      </c>
      <c r="G477" s="844" t="inlineStr">
        <is>
          <t>Ampol Retail &amp; Z</t>
        </is>
      </c>
      <c r="H477" s="843" t="inlineStr">
        <is>
          <t>Ampol Retail</t>
        </is>
      </c>
      <c r="I477" s="843" t="inlineStr">
        <is>
          <t>Ampol Retail, Store Platforms</t>
        </is>
      </c>
      <c r="J477" s="843" t="inlineStr">
        <is>
          <t>Retail</t>
        </is>
      </c>
      <c r="K477" s="843" t="inlineStr">
        <is>
          <t>AMPOS</t>
        </is>
      </c>
      <c r="L477" s="843" t="inlineStr">
        <is>
          <t>AmPos</t>
        </is>
      </c>
      <c r="M477" s="843" t="n"/>
      <c r="N477" s="845" t="inlineStr">
        <is>
          <t>Australia</t>
        </is>
      </c>
      <c r="O477" s="846" t="inlineStr">
        <is>
          <t>CIA</t>
        </is>
      </c>
      <c r="P477" s="847" t="n">
        <v>1</v>
      </c>
      <c r="Q477" s="846" t="n"/>
      <c r="R477" s="847" t="inlineStr">
        <is>
          <t>Permanent - Full Time</t>
        </is>
      </c>
      <c r="S477" s="847" t="n"/>
      <c r="T477" s="847" t="n"/>
      <c r="U477" s="848" t="n">
        <v>145340</v>
      </c>
      <c r="V477" s="849" t="n">
        <v>145340</v>
      </c>
      <c r="W477" s="850" t="n">
        <v>0.12</v>
      </c>
      <c r="X477" s="847" t="n">
        <v>0.055</v>
      </c>
      <c r="Y477" s="850" t="n">
        <v>0.12</v>
      </c>
      <c r="Z477" s="851" t="n"/>
      <c r="AA477" s="850" t="n">
        <v>0.04</v>
      </c>
      <c r="AB477" s="852" t="n">
        <v>194028.9</v>
      </c>
      <c r="AE477" s="534">
        <f>IF(TRIM($B477)="","",IF(AND(N($P477)&gt;0,N($P477)&lt;1),N($AB477)*N($P477),N($AB477)))</f>
        <v>194028.9</v>
      </c>
      <c r="AF477" s="534" t="str">
        <f>IF(TRIM($B477)="","",IF(OR(ISNUMBER(SEARCH("vacant",$B477)),ISNUMBER(SEARCH("ring fenced",$B477)),LOWER(TRIM($B477))="remove"),"Vacant","Filled"))</f>
        <v>Filled</v>
      </c>
      <c r="AG477" s="534" t="b">
        <f>IF(TRIM($B477)="","",--ISNUMBER(SEARCH("ring fenced",$B477)))</f>
        <v>0</v>
      </c>
      <c r="AH477" s="866" t="str">
        <f>IF(TRIM($B477)="","",IF(COUNTIFS(Lists!$AN$2:$AN$22,TRIM($B477)&amp;" | "&amp;TRIM($D477),Lists!$AO$2:$AO$22,"&lt;&gt;"),INDEX(Lists!$AO$2:$AO$22,MATCH(TRIM($B477)&amp;" | "&amp;TRIM($D477),Lists!$AN$2:$AN$22,0)),IF(COUNTIF(Lists!$AR$2:$AR$3,$AJ477),"TDD Cyber",IF(AND(LEFT($AJ477,4)="EGI ",ISNUMBER(MATCH(TRIM(MID($AJ477,5,99)),Lists!$AS$2:$AS$12,0))),TRIM(MID($AJ477,5,99)),IF(AND(LEFT($AJ477,4)="EGI ",ISNUMBER(MATCH(TRIM(MID($AJ477,5,99)),Lists!$T$2:$T$21,0))),INDEX(Lists!$U$2:$U$21,MATCH(TRIM(MID($AJ477,5,99)),Lists!$T$2:$T$21,0)),IF(OR(TRIM($J477)="",UPPER(TRIM($J477))="NA"),IFERROR(INDEX(Lists!$R$2:$R$9,MATCH(TRIM($G477),Lists!$Q$2:$Q$9,0)),"UNMAPPED"),IFERROR(INDEX(Lists!$U$2:$U$21,MATCH(TRIM($J477),Lists!$T$2:$T$21,0)),IFERROR(INDEX(Lists!$R$2:$R$9,MATCH(TRIM($G477),Lists!$Q$2:$Q$9,0)),"UNMAPPED"))))))))</f>
        <v>Ampol Retail</v>
      </c>
      <c r="AI477" s="534" t="b">
        <f>IF(TRIM($B477)="","",--OR(TRIM($L477)="Leadership",TRIM($K477)="Leadership"))</f>
        <v>0</v>
      </c>
      <c r="AJ477" s="534" t="str">
        <f>IF(TRIM($B477)="","",IF(COUNTIFS(Lists!$AN$2:$AN$22,TRIM($B477)&amp;" | "&amp;TRIM($D477),Lists!$AP$2:$AP$22,"&lt;&gt;"),INDEX(Lists!$AP$2:$AP$22,MATCH(TRIM($B477)&amp;" | "&amp;TRIM($D477),Lists!$AN$2:$AN$22,0)),IF($AI477=1,"Leadership",IFERROR(INDEX(Lists!$X$2:$X$21,MATCH(TRIM($L477),Lists!$W$2:$W$21,0)),IF(OR(TRIM($L477)="",LOWER(TRIM($L477))="na"),IF(TRIM($H477)="","Unassigned",TRIM($H477)),TRIM($L477))))))</f>
        <v>AmPOS</v>
      </c>
      <c r="AK477" s="534" t="str">
        <f>IF(TRIM($B477)="","",IF(COUNTIFS(Lists!$AN$2:$AN$22,TRIM($B477)&amp;" | "&amp;TRIM($D477),Lists!$AQ$2:$AQ$22,"&lt;&gt;"),INDEX(Lists!$AQ$2:$AQ$22,MATCH(TRIM($B477)&amp;" | "&amp;TRIM($D477),Lists!$AN$2:$AN$22,0)),IF(COUNTIF(Lists!$AF$2:$AF$8,$AJ477),$AJ477,IF(ISNUMBER(SEARCH("head of ",$D477)),"Head of Technology",IF(ISNUMBER(SEARCH("TDD BP",$D477)),"Business Partner",IF(OR(ISNUMBER(SEARCH("domain architect",$D477)),ISNUMBER(SEARCH("enterprise architect",$D477))),"Domain Architect",IF(ISNUMBER(SEARCH("delivery man",$D477)),"Delivery Manager",IF(OR(ISNUMBER(SEARCH("technology manager",$D477)),ISNUMBER(SEARCH("technology manger",$D477)),ISNUMBER(SEARCH("tech manager",$D477))),"Technology Manager","Squad"))))))))</f>
        <v>Squad</v>
      </c>
      <c r="AL477" s="534" t="str">
        <f>IF(TRIM($B477)="","",IF(AND($AM477=1,LEFT($AJ477,4)&lt;&gt;"EGI ",$AJ477&lt;&gt;"EGI"),IFERROR(INDEX(Lists!$Z$2:$Z$20,MATCH($AH477,Lists!$Y$2:$Y$20,0)),"EGI "&amp;$AH477),IF(COUNTIF(Lists!$AU$2:$AU$10,$AJ477),$AJ477,IF(OR(LEFT($AH477,3)="COE",$AH477="EGI"),$AJ477,IF($AK477&lt;&gt;"Squad",$AK477,$AJ477)))))</f>
        <v>AmPOS</v>
      </c>
      <c r="AM477" s="534" t="b">
        <f>IF(TRIM($B477)="","",--(UPPER(TRIM($K477))="EGI"))</f>
        <v>0</v>
      </c>
      <c r="AQ477" s="841" t="inlineStr">
        <is>
          <t>R0476</t>
        </is>
      </c>
      <c r="AZ477" s="841" t="n"/>
    </row>
    <row r="478" ht="18" customHeight="1" s="535">
      <c r="A478" s="842" t="inlineStr">
        <is>
          <t>V</t>
        </is>
      </c>
      <c r="B478" s="843" t="inlineStr">
        <is>
          <t>Vacant</t>
        </is>
      </c>
      <c r="C478" s="842" t="inlineStr">
        <is>
          <t>V</t>
        </is>
      </c>
      <c r="D478" s="843" t="inlineStr">
        <is>
          <t>Quality Assurance</t>
        </is>
      </c>
      <c r="E478" s="843" t="inlineStr">
        <is>
          <t>Vacant</t>
        </is>
      </c>
      <c r="F478" s="843" t="inlineStr">
        <is>
          <t>Lead Quality Assurance</t>
        </is>
      </c>
      <c r="G478" s="844" t="inlineStr">
        <is>
          <t>Ampol Retail &amp; Z</t>
        </is>
      </c>
      <c r="H478" s="843" t="inlineStr">
        <is>
          <t>Ampol Retail</t>
        </is>
      </c>
      <c r="I478" s="843" t="inlineStr">
        <is>
          <t>Ampol Retail, Store Platforms</t>
        </is>
      </c>
      <c r="J478" s="843" t="inlineStr">
        <is>
          <t>Retail</t>
        </is>
      </c>
      <c r="K478" s="843" t="inlineStr">
        <is>
          <t>Store Operations</t>
        </is>
      </c>
      <c r="L478" s="843" t="inlineStr">
        <is>
          <t>POS</t>
        </is>
      </c>
      <c r="M478" s="843" t="n"/>
      <c r="N478" s="845" t="inlineStr">
        <is>
          <t>Australia</t>
        </is>
      </c>
      <c r="O478" s="846" t="inlineStr">
        <is>
          <t>CIA</t>
        </is>
      </c>
      <c r="P478" s="847" t="n">
        <v>1</v>
      </c>
      <c r="Q478" s="847" t="n"/>
      <c r="R478" s="847" t="inlineStr">
        <is>
          <t>v</t>
        </is>
      </c>
      <c r="S478" s="847" t="n"/>
      <c r="T478" s="847" t="n"/>
      <c r="U478" s="848" t="n">
        <v>129650</v>
      </c>
      <c r="V478" s="849" t="n">
        <v>129650</v>
      </c>
      <c r="W478" s="850" t="n">
        <v>0.1</v>
      </c>
      <c r="X478" s="847" t="n">
        <v>0.055</v>
      </c>
      <c r="Y478" s="850" t="n">
        <v>0.12</v>
      </c>
      <c r="Z478" s="851" t="n"/>
      <c r="AA478" s="850" t="n">
        <v>0.04</v>
      </c>
      <c r="AB478" s="852" t="n">
        <v>170489.75</v>
      </c>
      <c r="AE478" s="534">
        <f>IF(TRIM($B478)="","",IF(AND(N($P478)&gt;0,N($P478)&lt;1),N($AB478)*N($P478),N($AB478)))</f>
        <v>170489.75</v>
      </c>
      <c r="AF478" s="534" t="str">
        <f>IF(TRIM($B478)="","",IF(OR(ISNUMBER(SEARCH("vacant",$B478)),ISNUMBER(SEARCH("ring fenced",$B478)),LOWER(TRIM($B478))="remove"),"Vacant","Filled"))</f>
        <v>Vacant</v>
      </c>
      <c r="AG478" s="534" t="b">
        <f>IF(TRIM($B478)="","",--ISNUMBER(SEARCH("ring fenced",$B478)))</f>
        <v>0</v>
      </c>
      <c r="AH478" s="866" t="str">
        <f>IF(TRIM($B478)="","",IF(COUNTIFS(Lists!$AN$2:$AN$22,TRIM($B478)&amp;" | "&amp;TRIM($D478),Lists!$AO$2:$AO$22,"&lt;&gt;"),INDEX(Lists!$AO$2:$AO$22,MATCH(TRIM($B478)&amp;" | "&amp;TRIM($D478),Lists!$AN$2:$AN$22,0)),IF(COUNTIF(Lists!$AR$2:$AR$3,$AJ478),"TDD Cyber",IF(AND(LEFT($AJ478,4)="EGI ",ISNUMBER(MATCH(TRIM(MID($AJ478,5,99)),Lists!$AS$2:$AS$12,0))),TRIM(MID($AJ478,5,99)),IF(AND(LEFT($AJ478,4)="EGI ",ISNUMBER(MATCH(TRIM(MID($AJ478,5,99)),Lists!$T$2:$T$21,0))),INDEX(Lists!$U$2:$U$21,MATCH(TRIM(MID($AJ478,5,99)),Lists!$T$2:$T$21,0)),IF(OR(TRIM($J478)="",UPPER(TRIM($J478))="NA"),IFERROR(INDEX(Lists!$R$2:$R$9,MATCH(TRIM($G478),Lists!$Q$2:$Q$9,0)),"UNMAPPED"),IFERROR(INDEX(Lists!$U$2:$U$21,MATCH(TRIM($J478),Lists!$T$2:$T$21,0)),IFERROR(INDEX(Lists!$R$2:$R$9,MATCH(TRIM($G478),Lists!$Q$2:$Q$9,0)),"UNMAPPED"))))))))</f>
        <v>Ampol Retail</v>
      </c>
      <c r="AI478" s="534" t="b">
        <f>IF(TRIM($B478)="","",--OR(TRIM($L478)="Leadership",TRIM($K478)="Leadership"))</f>
        <v>0</v>
      </c>
      <c r="AJ478" s="534" t="str">
        <f>IF(TRIM($B478)="","",IF(COUNTIFS(Lists!$AN$2:$AN$22,TRIM($B478)&amp;" | "&amp;TRIM($D478),Lists!$AP$2:$AP$22,"&lt;&gt;"),INDEX(Lists!$AP$2:$AP$22,MATCH(TRIM($B478)&amp;" | "&amp;TRIM($D478),Lists!$AN$2:$AN$22,0)),IF($AI478=1,"Leadership",IFERROR(INDEX(Lists!$X$2:$X$21,MATCH(TRIM($L478),Lists!$W$2:$W$21,0)),IF(OR(TRIM($L478)="",LOWER(TRIM($L478))="na"),IF(TRIM($H478)="","Unassigned",TRIM($H478)),TRIM($L478))))))</f>
        <v>POS</v>
      </c>
      <c r="AK478" s="534" t="str">
        <f>IF(TRIM($B478)="","",IF(COUNTIFS(Lists!$AN$2:$AN$22,TRIM($B478)&amp;" | "&amp;TRIM($D478),Lists!$AQ$2:$AQ$22,"&lt;&gt;"),INDEX(Lists!$AQ$2:$AQ$22,MATCH(TRIM($B478)&amp;" | "&amp;TRIM($D478),Lists!$AN$2:$AN$22,0)),IF(COUNTIF(Lists!$AF$2:$AF$8,$AJ478),$AJ478,IF(ISNUMBER(SEARCH("head of ",$D478)),"Head of Technology",IF(ISNUMBER(SEARCH("TDD BP",$D478)),"Business Partner",IF(OR(ISNUMBER(SEARCH("domain architect",$D478)),ISNUMBER(SEARCH("enterprise architect",$D478))),"Domain Architect",IF(ISNUMBER(SEARCH("delivery man",$D478)),"Delivery Manager",IF(OR(ISNUMBER(SEARCH("technology manager",$D478)),ISNUMBER(SEARCH("technology manger",$D478)),ISNUMBER(SEARCH("tech manager",$D478))),"Technology Manager","Squad"))))))))</f>
        <v>Squad</v>
      </c>
      <c r="AL478" s="534" t="str">
        <f>IF(TRIM($B478)="","",IF(AND($AM478=1,LEFT($AJ478,4)&lt;&gt;"EGI ",$AJ478&lt;&gt;"EGI"),IFERROR(INDEX(Lists!$Z$2:$Z$20,MATCH($AH478,Lists!$Y$2:$Y$20,0)),"EGI "&amp;$AH478),IF(COUNTIF(Lists!$AU$2:$AU$10,$AJ478),$AJ478,IF(OR(LEFT($AH478,3)="COE",$AH478="EGI"),$AJ478,IF($AK478&lt;&gt;"Squad",$AK478,$AJ478)))))</f>
        <v>POS</v>
      </c>
      <c r="AM478" s="534" t="b">
        <f>IF(TRIM($B478)="","",--(UPPER(TRIM($K478))="EGI"))</f>
        <v>0</v>
      </c>
      <c r="AQ478" s="841" t="inlineStr">
        <is>
          <t>R0477</t>
        </is>
      </c>
      <c r="AZ478" s="841" t="n"/>
    </row>
    <row r="479" ht="18" customHeight="1" s="535">
      <c r="A479" s="842" t="inlineStr">
        <is>
          <t>V</t>
        </is>
      </c>
      <c r="B479" s="843" t="inlineStr">
        <is>
          <t>Vacant</t>
        </is>
      </c>
      <c r="C479" s="842" t="inlineStr">
        <is>
          <t>V</t>
        </is>
      </c>
      <c r="D479" s="843" t="inlineStr">
        <is>
          <t>Quality Assurance</t>
        </is>
      </c>
      <c r="E479" s="843" t="inlineStr">
        <is>
          <t>Vacant</t>
        </is>
      </c>
      <c r="F479" s="843" t="inlineStr">
        <is>
          <t>Lead Quality Assurance</t>
        </is>
      </c>
      <c r="G479" s="844" t="inlineStr">
        <is>
          <t>Ampol Retail &amp; Z</t>
        </is>
      </c>
      <c r="H479" s="843" t="inlineStr">
        <is>
          <t>Ampol Retail</t>
        </is>
      </c>
      <c r="I479" s="843" t="inlineStr">
        <is>
          <t>Ampol Retail, Store Platforms</t>
        </is>
      </c>
      <c r="J479" s="843" t="inlineStr">
        <is>
          <t>Retail</t>
        </is>
      </c>
      <c r="K479" s="843" t="inlineStr">
        <is>
          <t>Store Operations</t>
        </is>
      </c>
      <c r="L479" s="843" t="inlineStr">
        <is>
          <t>POS</t>
        </is>
      </c>
      <c r="M479" s="843" t="n"/>
      <c r="N479" s="845" t="inlineStr">
        <is>
          <t>Australia</t>
        </is>
      </c>
      <c r="O479" s="846" t="inlineStr">
        <is>
          <t>CIA</t>
        </is>
      </c>
      <c r="P479" s="847" t="n">
        <v>1</v>
      </c>
      <c r="Q479" s="847" t="n"/>
      <c r="R479" s="847" t="inlineStr">
        <is>
          <t>v</t>
        </is>
      </c>
      <c r="S479" s="847" t="n"/>
      <c r="T479" s="847" t="n"/>
      <c r="U479" s="848" t="n">
        <v>129650</v>
      </c>
      <c r="V479" s="849" t="n">
        <v>129650</v>
      </c>
      <c r="W479" s="850" t="n">
        <v>0.1</v>
      </c>
      <c r="X479" s="847" t="n">
        <v>0.055</v>
      </c>
      <c r="Y479" s="850" t="n">
        <v>0.12</v>
      </c>
      <c r="Z479" s="851" t="n"/>
      <c r="AA479" s="850" t="n">
        <v>0.04</v>
      </c>
      <c r="AB479" s="852" t="n">
        <v>170489.75</v>
      </c>
      <c r="AE479" s="534">
        <f>IF(TRIM($B479)="","",IF(AND(N($P479)&gt;0,N($P479)&lt;1),N($AB479)*N($P479),N($AB479)))</f>
        <v>170489.75</v>
      </c>
      <c r="AF479" s="534" t="str">
        <f>IF(TRIM($B479)="","",IF(OR(ISNUMBER(SEARCH("vacant",$B479)),ISNUMBER(SEARCH("ring fenced",$B479)),LOWER(TRIM($B479))="remove"),"Vacant","Filled"))</f>
        <v>Vacant</v>
      </c>
      <c r="AG479" s="534" t="b">
        <f>IF(TRIM($B479)="","",--ISNUMBER(SEARCH("ring fenced",$B479)))</f>
        <v>0</v>
      </c>
      <c r="AH479" s="866" t="str">
        <f>IF(TRIM($B479)="","",IF(COUNTIFS(Lists!$AN$2:$AN$22,TRIM($B479)&amp;" | "&amp;TRIM($D479),Lists!$AO$2:$AO$22,"&lt;&gt;"),INDEX(Lists!$AO$2:$AO$22,MATCH(TRIM($B479)&amp;" | "&amp;TRIM($D479),Lists!$AN$2:$AN$22,0)),IF(COUNTIF(Lists!$AR$2:$AR$3,$AJ479),"TDD Cyber",IF(AND(LEFT($AJ479,4)="EGI ",ISNUMBER(MATCH(TRIM(MID($AJ479,5,99)),Lists!$AS$2:$AS$12,0))),TRIM(MID($AJ479,5,99)),IF(AND(LEFT($AJ479,4)="EGI ",ISNUMBER(MATCH(TRIM(MID($AJ479,5,99)),Lists!$T$2:$T$21,0))),INDEX(Lists!$U$2:$U$21,MATCH(TRIM(MID($AJ479,5,99)),Lists!$T$2:$T$21,0)),IF(OR(TRIM($J479)="",UPPER(TRIM($J479))="NA"),IFERROR(INDEX(Lists!$R$2:$R$9,MATCH(TRIM($G479),Lists!$Q$2:$Q$9,0)),"UNMAPPED"),IFERROR(INDEX(Lists!$U$2:$U$21,MATCH(TRIM($J479),Lists!$T$2:$T$21,0)),IFERROR(INDEX(Lists!$R$2:$R$9,MATCH(TRIM($G479),Lists!$Q$2:$Q$9,0)),"UNMAPPED"))))))))</f>
        <v>Ampol Retail</v>
      </c>
      <c r="AI479" s="534" t="b">
        <f>IF(TRIM($B479)="","",--OR(TRIM($L479)="Leadership",TRIM($K479)="Leadership"))</f>
        <v>0</v>
      </c>
      <c r="AJ479" s="534" t="str">
        <f>IF(TRIM($B479)="","",IF(COUNTIFS(Lists!$AN$2:$AN$22,TRIM($B479)&amp;" | "&amp;TRIM($D479),Lists!$AP$2:$AP$22,"&lt;&gt;"),INDEX(Lists!$AP$2:$AP$22,MATCH(TRIM($B479)&amp;" | "&amp;TRIM($D479),Lists!$AN$2:$AN$22,0)),IF($AI479=1,"Leadership",IFERROR(INDEX(Lists!$X$2:$X$21,MATCH(TRIM($L479),Lists!$W$2:$W$21,0)),IF(OR(TRIM($L479)="",LOWER(TRIM($L479))="na"),IF(TRIM($H479)="","Unassigned",TRIM($H479)),TRIM($L479))))))</f>
        <v>POS</v>
      </c>
      <c r="AK479" s="534" t="str">
        <f>IF(TRIM($B479)="","",IF(COUNTIFS(Lists!$AN$2:$AN$22,TRIM($B479)&amp;" | "&amp;TRIM($D479),Lists!$AQ$2:$AQ$22,"&lt;&gt;"),INDEX(Lists!$AQ$2:$AQ$22,MATCH(TRIM($B479)&amp;" | "&amp;TRIM($D479),Lists!$AN$2:$AN$22,0)),IF(COUNTIF(Lists!$AF$2:$AF$8,$AJ479),$AJ479,IF(ISNUMBER(SEARCH("head of ",$D479)),"Head of Technology",IF(ISNUMBER(SEARCH("TDD BP",$D479)),"Business Partner",IF(OR(ISNUMBER(SEARCH("domain architect",$D479)),ISNUMBER(SEARCH("enterprise architect",$D479))),"Domain Architect",IF(ISNUMBER(SEARCH("delivery man",$D479)),"Delivery Manager",IF(OR(ISNUMBER(SEARCH("technology manager",$D479)),ISNUMBER(SEARCH("technology manger",$D479)),ISNUMBER(SEARCH("tech manager",$D479))),"Technology Manager","Squad"))))))))</f>
        <v>Squad</v>
      </c>
      <c r="AL479" s="534" t="str">
        <f>IF(TRIM($B479)="","",IF(AND($AM479=1,LEFT($AJ479,4)&lt;&gt;"EGI ",$AJ479&lt;&gt;"EGI"),IFERROR(INDEX(Lists!$Z$2:$Z$20,MATCH($AH479,Lists!$Y$2:$Y$20,0)),"EGI "&amp;$AH479),IF(COUNTIF(Lists!$AU$2:$AU$10,$AJ479),$AJ479,IF(OR(LEFT($AH479,3)="COE",$AH479="EGI"),$AJ479,IF($AK479&lt;&gt;"Squad",$AK479,$AJ479)))))</f>
        <v>POS</v>
      </c>
      <c r="AM479" s="534" t="b">
        <f>IF(TRIM($B479)="","",--(UPPER(TRIM($K479))="EGI"))</f>
        <v>0</v>
      </c>
      <c r="AQ479" s="841" t="inlineStr">
        <is>
          <t>R0478</t>
        </is>
      </c>
      <c r="AZ479" s="841" t="n"/>
    </row>
    <row r="480" ht="18" customHeight="1" s="535">
      <c r="A480" s="842" t="inlineStr">
        <is>
          <t>V</t>
        </is>
      </c>
      <c r="B480" s="843" t="inlineStr">
        <is>
          <t>Vacant</t>
        </is>
      </c>
      <c r="C480" s="842" t="inlineStr">
        <is>
          <t>V</t>
        </is>
      </c>
      <c r="D480" s="843" t="inlineStr">
        <is>
          <t>Quality Assurance</t>
        </is>
      </c>
      <c r="E480" s="843" t="inlineStr">
        <is>
          <t>Vacant</t>
        </is>
      </c>
      <c r="F480" s="843" t="inlineStr">
        <is>
          <t>Lead Quality Assurance</t>
        </is>
      </c>
      <c r="G480" s="844" t="inlineStr">
        <is>
          <t>Ampol Retail &amp; Z</t>
        </is>
      </c>
      <c r="H480" s="843" t="inlineStr">
        <is>
          <t>Ampol Retail</t>
        </is>
      </c>
      <c r="I480" s="843" t="inlineStr">
        <is>
          <t>Ampol Retail, Store Platforms</t>
        </is>
      </c>
      <c r="J480" s="843" t="inlineStr">
        <is>
          <t>Retail</t>
        </is>
      </c>
      <c r="K480" s="843" t="inlineStr">
        <is>
          <t>Store Operations</t>
        </is>
      </c>
      <c r="L480" s="843" t="inlineStr">
        <is>
          <t>POS</t>
        </is>
      </c>
      <c r="M480" s="843" t="n"/>
      <c r="N480" s="845" t="inlineStr">
        <is>
          <t>Australia</t>
        </is>
      </c>
      <c r="O480" s="846" t="inlineStr">
        <is>
          <t>CIA</t>
        </is>
      </c>
      <c r="P480" s="847" t="n">
        <v>1</v>
      </c>
      <c r="Q480" s="847" t="n"/>
      <c r="R480" s="847" t="inlineStr">
        <is>
          <t>v</t>
        </is>
      </c>
      <c r="S480" s="847" t="n"/>
      <c r="T480" s="847" t="n"/>
      <c r="U480" s="848" t="n">
        <v>151950</v>
      </c>
      <c r="V480" s="849" t="n">
        <v>151950</v>
      </c>
      <c r="W480" s="850" t="n">
        <v>0.12</v>
      </c>
      <c r="X480" s="847" t="n">
        <v>0.055</v>
      </c>
      <c r="Y480" s="850" t="n">
        <v>0.12</v>
      </c>
      <c r="Z480" s="851" t="n"/>
      <c r="AA480" s="850" t="n">
        <v>0.04</v>
      </c>
      <c r="AB480" s="852" t="n">
        <v>202853.25</v>
      </c>
      <c r="AE480" s="534">
        <f>IF(TRIM($B480)="","",IF(AND(N($P480)&gt;0,N($P480)&lt;1),N($AB480)*N($P480),N($AB480)))</f>
        <v>202853.25</v>
      </c>
      <c r="AF480" s="534" t="str">
        <f>IF(TRIM($B480)="","",IF(OR(ISNUMBER(SEARCH("vacant",$B480)),ISNUMBER(SEARCH("ring fenced",$B480)),LOWER(TRIM($B480))="remove"),"Vacant","Filled"))</f>
        <v>Vacant</v>
      </c>
      <c r="AG480" s="534" t="b">
        <f>IF(TRIM($B480)="","",--ISNUMBER(SEARCH("ring fenced",$B480)))</f>
        <v>0</v>
      </c>
      <c r="AH480" s="534" t="str">
        <f>IF(TRIM($B480)="","",IF(COUNTIFS(Lists!$AN$2:$AN$22,TRIM($B480)&amp;" | "&amp;TRIM($D480),Lists!$AO$2:$AO$22,"&lt;&gt;"),INDEX(Lists!$AO$2:$AO$22,MATCH(TRIM($B480)&amp;" | "&amp;TRIM($D480),Lists!$AN$2:$AN$22,0)),IF(COUNTIF(Lists!$AR$2:$AR$3,$AJ480),"TDD Cyber",IF(AND(LEFT($AJ480,4)="EGI ",ISNUMBER(MATCH(TRIM(MID($AJ480,5,99)),Lists!$AS$2:$AS$12,0))),TRIM(MID($AJ480,5,99)),IF(AND(LEFT($AJ480,4)="EGI ",ISNUMBER(MATCH(TRIM(MID($AJ480,5,99)),Lists!$T$2:$T$21,0))),INDEX(Lists!$U$2:$U$21,MATCH(TRIM(MID($AJ480,5,99)),Lists!$T$2:$T$21,0)),IF(OR(TRIM($J480)="",UPPER(TRIM($J480))="NA"),IFERROR(INDEX(Lists!$R$2:$R$9,MATCH(TRIM($G480),Lists!$Q$2:$Q$9,0)),"UNMAPPED"),IFERROR(INDEX(Lists!$U$2:$U$21,MATCH(TRIM($J480),Lists!$T$2:$T$21,0)),IFERROR(INDEX(Lists!$R$2:$R$9,MATCH(TRIM($G480),Lists!$Q$2:$Q$9,0)),"UNMAPPED"))))))))</f>
        <v>Ampol Retail</v>
      </c>
      <c r="AI480" s="534" t="b">
        <f>IF(TRIM($B480)="","",--OR(TRIM($L480)="Leadership",TRIM($K480)="Leadership"))</f>
        <v>0</v>
      </c>
      <c r="AJ480" s="534" t="str">
        <f>IF(TRIM($B480)="","",IF(COUNTIFS(Lists!$AN$2:$AN$22,TRIM($B480)&amp;" | "&amp;TRIM($D480),Lists!$AP$2:$AP$22,"&lt;&gt;"),INDEX(Lists!$AP$2:$AP$22,MATCH(TRIM($B480)&amp;" | "&amp;TRIM($D480),Lists!$AN$2:$AN$22,0)),IF($AI480=1,"Leadership",IFERROR(INDEX(Lists!$X$2:$X$21,MATCH(TRIM($L480),Lists!$W$2:$W$21,0)),IF(OR(TRIM($L480)="",LOWER(TRIM($L480))="na"),IF(TRIM($H480)="","Unassigned",TRIM($H480)),TRIM($L480))))))</f>
        <v>POS</v>
      </c>
      <c r="AK480" s="534" t="str">
        <f>IF(TRIM($B480)="","",IF(COUNTIFS(Lists!$AN$2:$AN$22,TRIM($B480)&amp;" | "&amp;TRIM($D480),Lists!$AQ$2:$AQ$22,"&lt;&gt;"),INDEX(Lists!$AQ$2:$AQ$22,MATCH(TRIM($B480)&amp;" | "&amp;TRIM($D480),Lists!$AN$2:$AN$22,0)),IF(COUNTIF(Lists!$AF$2:$AF$8,$AJ480),$AJ480,IF(ISNUMBER(SEARCH("head of ",$D480)),"Head of Technology",IF(ISNUMBER(SEARCH("TDD BP",$D480)),"Business Partner",IF(OR(ISNUMBER(SEARCH("domain architect",$D480)),ISNUMBER(SEARCH("enterprise architect",$D480))),"Domain Architect",IF(ISNUMBER(SEARCH("delivery man",$D480)),"Delivery Manager",IF(OR(ISNUMBER(SEARCH("technology manager",$D480)),ISNUMBER(SEARCH("technology manger",$D480)),ISNUMBER(SEARCH("tech manager",$D480))),"Technology Manager","Squad"))))))))</f>
        <v>Squad</v>
      </c>
      <c r="AL480" s="534" t="str">
        <f>IF(TRIM($B480)="","",IF(AND($AM480=1,LEFT($AJ480,4)&lt;&gt;"EGI ",$AJ480&lt;&gt;"EGI"),IFERROR(INDEX(Lists!$Z$2:$Z$20,MATCH($AH480,Lists!$Y$2:$Y$20,0)),"EGI "&amp;$AH480),IF(COUNTIF(Lists!$AU$2:$AU$10,$AJ480),$AJ480,IF(OR(LEFT($AH480,3)="COE",$AH480="EGI"),$AJ480,IF($AK480&lt;&gt;"Squad",$AK480,$AJ480)))))</f>
        <v>POS</v>
      </c>
      <c r="AM480" s="534" t="b">
        <f>IF(TRIM($B480)="","",--(UPPER(TRIM($K480))="EGI"))</f>
        <v>0</v>
      </c>
      <c r="AQ480" s="841" t="inlineStr">
        <is>
          <t>R0479</t>
        </is>
      </c>
      <c r="AZ480" s="841" t="n"/>
    </row>
    <row r="481" ht="18" customHeight="1" s="535">
      <c r="A481" s="842" t="n">
        <v>115827</v>
      </c>
      <c r="B481" s="843" t="inlineStr">
        <is>
          <t>Matt Saunders</t>
        </is>
      </c>
      <c r="C481" s="842" t="n">
        <v>115827</v>
      </c>
      <c r="D481" s="843" t="inlineStr">
        <is>
          <t>Scrum Master</t>
        </is>
      </c>
      <c r="E481" s="843" t="inlineStr">
        <is>
          <t>Vacant</t>
        </is>
      </c>
      <c r="F481" s="843" t="inlineStr">
        <is>
          <t xml:space="preserve">Lead Technology Support </t>
        </is>
      </c>
      <c r="G481" s="844" t="inlineStr">
        <is>
          <t>Partnering &amp; Transformation</t>
        </is>
      </c>
      <c r="H481" s="843" t="inlineStr">
        <is>
          <t>Transformation</t>
        </is>
      </c>
      <c r="I481" s="843" t="inlineStr">
        <is>
          <t>NA</t>
        </is>
      </c>
      <c r="J481" s="843" t="inlineStr">
        <is>
          <t>NA</t>
        </is>
      </c>
      <c r="K481" s="843" t="inlineStr">
        <is>
          <t>NA</t>
        </is>
      </c>
      <c r="L481" s="843" t="inlineStr">
        <is>
          <t>NA</t>
        </is>
      </c>
      <c r="M481" s="843" t="n"/>
      <c r="N481" s="845" t="inlineStr">
        <is>
          <t>NZ</t>
        </is>
      </c>
      <c r="O481" s="846" t="inlineStr">
        <is>
          <t>CIA</t>
        </is>
      </c>
      <c r="P481" s="847" t="n">
        <v>1</v>
      </c>
      <c r="Q481" s="846" t="n"/>
      <c r="R481" s="847" t="inlineStr">
        <is>
          <t>Permanent - Full Time</t>
        </is>
      </c>
      <c r="S481" s="847" t="n"/>
      <c r="T481" s="847" t="n"/>
      <c r="U481" s="848" t="n">
        <v>128000</v>
      </c>
      <c r="V481" s="849" t="n">
        <v>117760</v>
      </c>
      <c r="W481" s="850" t="n">
        <v>0.15</v>
      </c>
      <c r="X481" s="847" t="n"/>
      <c r="Y481" s="850" t="n">
        <v>0.05</v>
      </c>
      <c r="Z481" s="851" t="n">
        <v>2910</v>
      </c>
      <c r="AA481" s="850" t="n">
        <v>0.03</v>
      </c>
      <c r="AB481" s="852" t="n">
        <v>147754.8</v>
      </c>
      <c r="AE481" s="534">
        <f>IF(TRIM($B481)="","",IF(AND(N($P481)&gt;0,N($P481)&lt;1),N($AB481)*N($P481),N($AB481)))</f>
        <v>147754.8</v>
      </c>
      <c r="AF481" s="534" t="str">
        <f>IF(TRIM($B481)="","",IF(OR(ISNUMBER(SEARCH("vacant",$B481)),ISNUMBER(SEARCH("ring fenced",$B481)),LOWER(TRIM($B481))="remove"),"Vacant","Filled"))</f>
        <v>Filled</v>
      </c>
      <c r="AG481" s="534" t="b">
        <f>IF(TRIM($B481)="","",--ISNUMBER(SEARCH("ring fenced",$B481)))</f>
        <v>0</v>
      </c>
      <c r="AH481" s="534" t="str">
        <f>IF(TRIM($B481)="","",IF(COUNTIFS(Lists!$AN$2:$AN$22,TRIM($B481)&amp;" | "&amp;TRIM($D481),Lists!$AO$2:$AO$22,"&lt;&gt;"),INDEX(Lists!$AO$2:$AO$22,MATCH(TRIM($B481)&amp;" | "&amp;TRIM($D481),Lists!$AN$2:$AN$22,0)),IF(COUNTIF(Lists!$AR$2:$AR$3,$AJ481),"TDD Cyber",IF(AND(LEFT($AJ481,4)="EGI ",ISNUMBER(MATCH(TRIM(MID($AJ481,5,99)),Lists!$AS$2:$AS$12,0))),TRIM(MID($AJ481,5,99)),IF(AND(LEFT($AJ481,4)="EGI ",ISNUMBER(MATCH(TRIM(MID($AJ481,5,99)),Lists!$T$2:$T$21,0))),INDEX(Lists!$U$2:$U$21,MATCH(TRIM(MID($AJ481,5,99)),Lists!$T$2:$T$21,0)),IF(OR(TRIM($J481)="",UPPER(TRIM($J481))="NA"),IFERROR(INDEX(Lists!$R$2:$R$9,MATCH(TRIM($G481),Lists!$Q$2:$Q$9,0)),"UNMAPPED"),IFERROR(INDEX(Lists!$U$2:$U$21,MATCH(TRIM($J481),Lists!$T$2:$T$21,0)),IFERROR(INDEX(Lists!$R$2:$R$9,MATCH(TRIM($G481),Lists!$Q$2:$Q$9,0)),"UNMAPPED"))))))))</f>
        <v>COE BP&amp;T</v>
      </c>
      <c r="AI481" s="534" t="b">
        <f>IF(TRIM($B481)="","",--OR(TRIM($L481)="Leadership",TRIM($K481)="Leadership"))</f>
        <v>0</v>
      </c>
      <c r="AJ481" s="534" t="str">
        <f>IF(TRIM($B481)="","",IF(COUNTIFS(Lists!$AN$2:$AN$22,TRIM($B481)&amp;" | "&amp;TRIM($D481),Lists!$AP$2:$AP$22,"&lt;&gt;"),INDEX(Lists!$AP$2:$AP$22,MATCH(TRIM($B481)&amp;" | "&amp;TRIM($D481),Lists!$AN$2:$AN$22,0)),IF($AI481=1,"Leadership",IFERROR(INDEX(Lists!$X$2:$X$21,MATCH(TRIM($L481),Lists!$W$2:$W$21,0)),IF(OR(TRIM($L481)="",LOWER(TRIM($L481))="na"),IF(TRIM($H481)="","Unassigned",TRIM($H481)),TRIM($L481))))))</f>
        <v>Transformation</v>
      </c>
      <c r="AK481" s="534" t="str">
        <f>IF(TRIM($B481)="","",IF(COUNTIFS(Lists!$AN$2:$AN$22,TRIM($B481)&amp;" | "&amp;TRIM($D481),Lists!$AQ$2:$AQ$22,"&lt;&gt;"),INDEX(Lists!$AQ$2:$AQ$22,MATCH(TRIM($B481)&amp;" | "&amp;TRIM($D481),Lists!$AN$2:$AN$22,0)),IF(COUNTIF(Lists!$AF$2:$AF$8,$AJ481),$AJ481,IF(ISNUMBER(SEARCH("head of ",$D481)),"Head of Technology",IF(ISNUMBER(SEARCH("TDD BP",$D481)),"Business Partner",IF(OR(ISNUMBER(SEARCH("domain architect",$D481)),ISNUMBER(SEARCH("enterprise architect",$D481))),"Domain Architect",IF(ISNUMBER(SEARCH("delivery man",$D481)),"Delivery Manager",IF(OR(ISNUMBER(SEARCH("technology manager",$D481)),ISNUMBER(SEARCH("technology manger",$D481)),ISNUMBER(SEARCH("tech manager",$D481))),"Technology Manager","Squad"))))))))</f>
        <v>Squad</v>
      </c>
      <c r="AL481" s="534" t="str">
        <f>IF(TRIM($B481)="","",IF(AND($AM481=1,LEFT($AJ481,4)&lt;&gt;"EGI ",$AJ481&lt;&gt;"EGI"),IFERROR(INDEX(Lists!$Z$2:$Z$20,MATCH($AH481,Lists!$Y$2:$Y$20,0)),"EGI "&amp;$AH481),IF(COUNTIF(Lists!$AU$2:$AU$10,$AJ481),$AJ481,IF(OR(LEFT($AH481,3)="COE",$AH481="EGI"),$AJ481,IF($AK481&lt;&gt;"Squad",$AK481,$AJ481)))))</f>
        <v>Transformation</v>
      </c>
      <c r="AM481" s="534" t="b">
        <f>IF(TRIM($B481)="","",--(UPPER(TRIM($K481))="EGI"))</f>
        <v>0</v>
      </c>
      <c r="AQ481" s="841" t="inlineStr">
        <is>
          <t>R0480</t>
        </is>
      </c>
      <c r="AZ481" s="841" t="n"/>
    </row>
    <row r="482" ht="18" customHeight="1" s="535">
      <c r="A482" s="842" t="inlineStr">
        <is>
          <t>V</t>
        </is>
      </c>
      <c r="B482" s="843" t="inlineStr">
        <is>
          <t>Vacant</t>
        </is>
      </c>
      <c r="C482" s="842" t="inlineStr">
        <is>
          <t>V</t>
        </is>
      </c>
      <c r="D482" s="843" t="inlineStr">
        <is>
          <t>Scrum Master</t>
        </is>
      </c>
      <c r="E482" s="843" t="inlineStr">
        <is>
          <t>Vacant</t>
        </is>
      </c>
      <c r="F482" s="843" t="inlineStr">
        <is>
          <t xml:space="preserve">Lead Technology Support </t>
        </is>
      </c>
      <c r="G482" s="844" t="inlineStr">
        <is>
          <t>Partnering &amp; Transformation</t>
        </is>
      </c>
      <c r="H482" s="843" t="inlineStr">
        <is>
          <t>Transformation</t>
        </is>
      </c>
      <c r="I482" s="843" t="inlineStr">
        <is>
          <t>NA</t>
        </is>
      </c>
      <c r="J482" s="843" t="inlineStr">
        <is>
          <t>NA</t>
        </is>
      </c>
      <c r="K482" s="843" t="inlineStr">
        <is>
          <t>NA</t>
        </is>
      </c>
      <c r="L482" s="843" t="inlineStr">
        <is>
          <t>NA</t>
        </is>
      </c>
      <c r="M482" s="843" t="n"/>
      <c r="N482" s="845" t="inlineStr">
        <is>
          <t>NZ</t>
        </is>
      </c>
      <c r="O482" s="846" t="inlineStr">
        <is>
          <t>CIA</t>
        </is>
      </c>
      <c r="P482" s="847" t="n">
        <v>1</v>
      </c>
      <c r="Q482" s="846" t="n"/>
      <c r="R482" s="847" t="inlineStr">
        <is>
          <t>v</t>
        </is>
      </c>
      <c r="S482" s="847" t="n"/>
      <c r="T482" s="847" t="n"/>
      <c r="U482" s="848" t="n">
        <v>131550</v>
      </c>
      <c r="V482" s="849" t="n">
        <v>121026</v>
      </c>
      <c r="W482" s="850" t="n">
        <v>0.15</v>
      </c>
      <c r="X482" s="847" t="n"/>
      <c r="Y482" s="850" t="n">
        <v>0.05</v>
      </c>
      <c r="Z482" s="851" t="n">
        <v>2910</v>
      </c>
      <c r="AA482" s="850" t="n">
        <v>0.03</v>
      </c>
      <c r="AB482" s="852" t="n">
        <v>151771.98</v>
      </c>
      <c r="AE482" s="534">
        <f>IF(TRIM($B482)="","",IF(AND(N($P482)&gt;0,N($P482)&lt;1),N($AB482)*N($P482),N($AB482)))</f>
        <v>151771.98</v>
      </c>
      <c r="AF482" s="534" t="str">
        <f>IF(TRIM($B482)="","",IF(OR(ISNUMBER(SEARCH("vacant",$B482)),ISNUMBER(SEARCH("ring fenced",$B482)),LOWER(TRIM($B482))="remove"),"Vacant","Filled"))</f>
        <v>Vacant</v>
      </c>
      <c r="AG482" s="534" t="b">
        <f>IF(TRIM($B482)="","",--ISNUMBER(SEARCH("ring fenced",$B482)))</f>
        <v>0</v>
      </c>
      <c r="AH482" s="534" t="str">
        <f>IF(TRIM($B482)="","",IF(COUNTIFS(Lists!$AN$2:$AN$22,TRIM($B482)&amp;" | "&amp;TRIM($D482),Lists!$AO$2:$AO$22,"&lt;&gt;"),INDEX(Lists!$AO$2:$AO$22,MATCH(TRIM($B482)&amp;" | "&amp;TRIM($D482),Lists!$AN$2:$AN$22,0)),IF(COUNTIF(Lists!$AR$2:$AR$3,$AJ482),"TDD Cyber",IF(AND(LEFT($AJ482,4)="EGI ",ISNUMBER(MATCH(TRIM(MID($AJ482,5,99)),Lists!$AS$2:$AS$12,0))),TRIM(MID($AJ482,5,99)),IF(AND(LEFT($AJ482,4)="EGI ",ISNUMBER(MATCH(TRIM(MID($AJ482,5,99)),Lists!$T$2:$T$21,0))),INDEX(Lists!$U$2:$U$21,MATCH(TRIM(MID($AJ482,5,99)),Lists!$T$2:$T$21,0)),IF(OR(TRIM($J482)="",UPPER(TRIM($J482))="NA"),IFERROR(INDEX(Lists!$R$2:$R$9,MATCH(TRIM($G482),Lists!$Q$2:$Q$9,0)),"UNMAPPED"),IFERROR(INDEX(Lists!$U$2:$U$21,MATCH(TRIM($J482),Lists!$T$2:$T$21,0)),IFERROR(INDEX(Lists!$R$2:$R$9,MATCH(TRIM($G482),Lists!$Q$2:$Q$9,0)),"UNMAPPED"))))))))</f>
        <v>COE BP&amp;T</v>
      </c>
      <c r="AI482" s="534" t="b">
        <f>IF(TRIM($B482)="","",--OR(TRIM($L482)="Leadership",TRIM($K482)="Leadership"))</f>
        <v>0</v>
      </c>
      <c r="AJ482" s="534" t="str">
        <f>IF(TRIM($B482)="","",IF(COUNTIFS(Lists!$AN$2:$AN$22,TRIM($B482)&amp;" | "&amp;TRIM($D482),Lists!$AP$2:$AP$22,"&lt;&gt;"),INDEX(Lists!$AP$2:$AP$22,MATCH(TRIM($B482)&amp;" | "&amp;TRIM($D482),Lists!$AN$2:$AN$22,0)),IF($AI482=1,"Leadership",IFERROR(INDEX(Lists!$X$2:$X$21,MATCH(TRIM($L482),Lists!$W$2:$W$21,0)),IF(OR(TRIM($L482)="",LOWER(TRIM($L482))="na"),IF(TRIM($H482)="","Unassigned",TRIM($H482)),TRIM($L482))))))</f>
        <v>Transformation</v>
      </c>
      <c r="AK482" s="534" t="str">
        <f>IF(TRIM($B482)="","",IF(COUNTIFS(Lists!$AN$2:$AN$22,TRIM($B482)&amp;" | "&amp;TRIM($D482),Lists!$AQ$2:$AQ$22,"&lt;&gt;"),INDEX(Lists!$AQ$2:$AQ$22,MATCH(TRIM($B482)&amp;" | "&amp;TRIM($D482),Lists!$AN$2:$AN$22,0)),IF(COUNTIF(Lists!$AF$2:$AF$8,$AJ482),$AJ482,IF(ISNUMBER(SEARCH("head of ",$D482)),"Head of Technology",IF(ISNUMBER(SEARCH("TDD BP",$D482)),"Business Partner",IF(OR(ISNUMBER(SEARCH("domain architect",$D482)),ISNUMBER(SEARCH("enterprise architect",$D482))),"Domain Architect",IF(ISNUMBER(SEARCH("delivery man",$D482)),"Delivery Manager",IF(OR(ISNUMBER(SEARCH("technology manager",$D482)),ISNUMBER(SEARCH("technology manger",$D482)),ISNUMBER(SEARCH("tech manager",$D482))),"Technology Manager","Squad"))))))))</f>
        <v>Squad</v>
      </c>
      <c r="AL482" s="534" t="str">
        <f>IF(TRIM($B482)="","",IF(AND($AM482=1,LEFT($AJ482,4)&lt;&gt;"EGI ",$AJ482&lt;&gt;"EGI"),IFERROR(INDEX(Lists!$Z$2:$Z$20,MATCH($AH482,Lists!$Y$2:$Y$20,0)),"EGI "&amp;$AH482),IF(COUNTIF(Lists!$AU$2:$AU$10,$AJ482),$AJ482,IF(OR(LEFT($AH482,3)="COE",$AH482="EGI"),$AJ482,IF($AK482&lt;&gt;"Squad",$AK482,$AJ482)))))</f>
        <v>Transformation</v>
      </c>
      <c r="AM482" s="534" t="b">
        <f>IF(TRIM($B482)="","",--(UPPER(TRIM($K482))="EGI"))</f>
        <v>0</v>
      </c>
      <c r="AQ482" s="841" t="inlineStr">
        <is>
          <t>R0481</t>
        </is>
      </c>
      <c r="AZ482" s="841" t="n"/>
    </row>
    <row r="483" ht="18" customHeight="1" s="535">
      <c r="A483" s="842" t="n">
        <v>115512</v>
      </c>
      <c r="B483" s="843" t="inlineStr">
        <is>
          <t>Noel Morris</t>
        </is>
      </c>
      <c r="C483" s="842" t="n">
        <v>115512</v>
      </c>
      <c r="D483" s="843" t="inlineStr">
        <is>
          <t>Snr Engineer</t>
        </is>
      </c>
      <c r="E483" s="843" t="inlineStr">
        <is>
          <t>Vacant</t>
        </is>
      </c>
      <c r="F483" s="843" t="inlineStr">
        <is>
          <t>RPA Lead</t>
        </is>
      </c>
      <c r="G483" s="844" t="inlineStr">
        <is>
          <t>TDD Group Functions</t>
        </is>
      </c>
      <c r="H483" s="843" t="inlineStr">
        <is>
          <t xml:space="preserve">TDD &amp; Engineering </t>
        </is>
      </c>
      <c r="I483" s="843" t="inlineStr">
        <is>
          <t>Integration &amp; Process automation</t>
        </is>
      </c>
      <c r="J483" s="843" t="inlineStr">
        <is>
          <t>TDD</t>
        </is>
      </c>
      <c r="K483" s="843" t="inlineStr">
        <is>
          <t>TDD</t>
        </is>
      </c>
      <c r="L483" s="843" t="inlineStr">
        <is>
          <t>Integration &amp; Process automation</t>
        </is>
      </c>
      <c r="M483" s="843" t="n"/>
      <c r="N483" s="845" t="inlineStr">
        <is>
          <t>NZ</t>
        </is>
      </c>
      <c r="O483" s="846" t="inlineStr">
        <is>
          <t>CIA</t>
        </is>
      </c>
      <c r="P483" s="847" t="n">
        <v>1</v>
      </c>
      <c r="Q483" s="847" t="n"/>
      <c r="R483" s="847" t="inlineStr">
        <is>
          <t>Permanent - Full Time</t>
        </is>
      </c>
      <c r="S483" s="847" t="n"/>
      <c r="T483" s="847" t="n"/>
      <c r="U483" s="848" t="n">
        <v>120800</v>
      </c>
      <c r="V483" s="849" t="n">
        <v>111136</v>
      </c>
      <c r="W483" s="850" t="n">
        <v>0.15</v>
      </c>
      <c r="X483" s="847" t="n"/>
      <c r="Y483" s="850" t="n">
        <v>0.05</v>
      </c>
      <c r="Z483" s="851" t="n">
        <v>2910</v>
      </c>
      <c r="AA483" s="850" t="n">
        <v>0.03</v>
      </c>
      <c r="AB483" s="852" t="n">
        <v>139607.28</v>
      </c>
      <c r="AE483" s="534">
        <f>IF(TRIM($B483)="","",IF(AND(N($P483)&gt;0,N($P483)&lt;1),N($AB483)*N($P483),N($AB483)))</f>
        <v>139607.28</v>
      </c>
      <c r="AF483" s="534" t="str">
        <f>IF(TRIM($B483)="","",IF(OR(ISNUMBER(SEARCH("vacant",$B483)),ISNUMBER(SEARCH("ring fenced",$B483)),LOWER(TRIM($B483))="remove"),"Vacant","Filled"))</f>
        <v>Filled</v>
      </c>
      <c r="AG483" s="534" t="b">
        <f>IF(TRIM($B483)="","",--ISNUMBER(SEARCH("ring fenced",$B483)))</f>
        <v>0</v>
      </c>
      <c r="AH483" s="534" t="str">
        <f>IF(TRIM($B483)="","",IF(COUNTIFS(Lists!$AN$2:$AN$22,TRIM($B483)&amp;" | "&amp;TRIM($D483),Lists!$AO$2:$AO$22,"&lt;&gt;"),INDEX(Lists!$AO$2:$AO$22,MATCH(TRIM($B483)&amp;" | "&amp;TRIM($D483),Lists!$AN$2:$AN$22,0)),IF(COUNTIF(Lists!$AR$2:$AR$3,$AJ483),"TDD Cyber",IF(AND(LEFT($AJ483,4)="EGI ",ISNUMBER(MATCH(TRIM(MID($AJ483,5,99)),Lists!$AS$2:$AS$12,0))),TRIM(MID($AJ483,5,99)),IF(AND(LEFT($AJ483,4)="EGI ",ISNUMBER(MATCH(TRIM(MID($AJ483,5,99)),Lists!$T$2:$T$21,0))),INDEX(Lists!$U$2:$U$21,MATCH(TRIM(MID($AJ483,5,99)),Lists!$T$2:$T$21,0)),IF(OR(TRIM($J483)="",UPPER(TRIM($J483))="NA"),IFERROR(INDEX(Lists!$R$2:$R$9,MATCH(TRIM($G483),Lists!$Q$2:$Q$9,0)),"UNMAPPED"),IFERROR(INDEX(Lists!$U$2:$U$21,MATCH(TRIM($J483),Lists!$T$2:$T$21,0)),IFERROR(INDEX(Lists!$R$2:$R$9,MATCH(TRIM($G483),Lists!$Q$2:$Q$9,0)),"UNMAPPED"))))))))</f>
        <v>TDD Group Functions</v>
      </c>
      <c r="AI483" s="534" t="b">
        <f>IF(TRIM($B483)="","",--OR(TRIM($L483)="Leadership",TRIM($K483)="Leadership"))</f>
        <v>0</v>
      </c>
      <c r="AJ483" s="534" t="str">
        <f>IF(TRIM($B483)="","",IF(COUNTIFS(Lists!$AN$2:$AN$22,TRIM($B483)&amp;" | "&amp;TRIM($D483),Lists!$AP$2:$AP$22,"&lt;&gt;"),INDEX(Lists!$AP$2:$AP$22,MATCH(TRIM($B483)&amp;" | "&amp;TRIM($D483),Lists!$AN$2:$AN$22,0)),IF($AI483=1,"Leadership",IFERROR(INDEX(Lists!$X$2:$X$21,MATCH(TRIM($L483),Lists!$W$2:$W$21,0)),IF(OR(TRIM($L483)="",LOWER(TRIM($L483))="na"),IF(TRIM($H483)="","Unassigned",TRIM($H483)),TRIM($L483))))))</f>
        <v>Integration &amp; Process Automation</v>
      </c>
      <c r="AK483" s="534" t="str">
        <f>IF(TRIM($B483)="","",IF(COUNTIFS(Lists!$AN$2:$AN$22,TRIM($B483)&amp;" | "&amp;TRIM($D483),Lists!$AQ$2:$AQ$22,"&lt;&gt;"),INDEX(Lists!$AQ$2:$AQ$22,MATCH(TRIM($B483)&amp;" | "&amp;TRIM($D483),Lists!$AN$2:$AN$22,0)),IF(COUNTIF(Lists!$AF$2:$AF$8,$AJ483),$AJ483,IF(ISNUMBER(SEARCH("head of ",$D483)),"Head of Technology",IF(ISNUMBER(SEARCH("TDD BP",$D483)),"Business Partner",IF(OR(ISNUMBER(SEARCH("domain architect",$D483)),ISNUMBER(SEARCH("enterprise architect",$D483))),"Domain Architect",IF(ISNUMBER(SEARCH("delivery man",$D483)),"Delivery Manager",IF(OR(ISNUMBER(SEARCH("technology manager",$D483)),ISNUMBER(SEARCH("technology manger",$D483)),ISNUMBER(SEARCH("tech manager",$D483))),"Technology Manager","Squad"))))))))</f>
        <v>Squad</v>
      </c>
      <c r="AL483" s="534" t="str">
        <f>IF(TRIM($B483)="","",IF(AND($AM483=1,LEFT($AJ483,4)&lt;&gt;"EGI ",$AJ483&lt;&gt;"EGI"),IFERROR(INDEX(Lists!$Z$2:$Z$20,MATCH($AH483,Lists!$Y$2:$Y$20,0)),"EGI "&amp;$AH483),IF(COUNTIF(Lists!$AU$2:$AU$10,$AJ483),$AJ483,IF(OR(LEFT($AH483,3)="COE",$AH483="EGI"),$AJ483,IF($AK483&lt;&gt;"Squad",$AK483,$AJ483)))))</f>
        <v>Integration &amp; Process Automation</v>
      </c>
      <c r="AM483" s="534" t="b">
        <f>IF(TRIM($B483)="","",--(UPPER(TRIM($K483))="EGI"))</f>
        <v>0</v>
      </c>
      <c r="AQ483" s="841" t="inlineStr">
        <is>
          <t>R0482</t>
        </is>
      </c>
      <c r="AZ483" s="841" t="n"/>
    </row>
    <row r="484" ht="18" customHeight="1" s="535">
      <c r="A484" s="842" t="n">
        <v>115520</v>
      </c>
      <c r="B484" s="843" t="inlineStr">
        <is>
          <t>Laura Roberts</t>
        </is>
      </c>
      <c r="C484" s="842" t="n">
        <v>115520</v>
      </c>
      <c r="D484" s="843" t="inlineStr">
        <is>
          <t>Senior Engineer Software</t>
        </is>
      </c>
      <c r="E484" s="843" t="inlineStr">
        <is>
          <t>Vacant</t>
        </is>
      </c>
      <c r="F484" s="843" t="inlineStr">
        <is>
          <t>Technology Manager, Engineering</t>
        </is>
      </c>
      <c r="G484" s="844" t="inlineStr">
        <is>
          <t>TDD CFE&amp;I</t>
        </is>
      </c>
      <c r="H484" s="843" t="inlineStr">
        <is>
          <t>Commercial Fuels</t>
        </is>
      </c>
      <c r="I484" s="843" t="inlineStr">
        <is>
          <t>Technology, CF Engineering</t>
        </is>
      </c>
      <c r="J484" s="843" t="inlineStr">
        <is>
          <t>Commercial Fuels</t>
        </is>
      </c>
      <c r="K484" s="843" t="inlineStr">
        <is>
          <t>CTRM</t>
        </is>
      </c>
      <c r="L484" s="843" t="inlineStr">
        <is>
          <t>CTRM</t>
        </is>
      </c>
      <c r="M484" s="843" t="n"/>
      <c r="N484" s="845" t="inlineStr">
        <is>
          <t>NZ</t>
        </is>
      </c>
      <c r="O484" s="846" t="inlineStr">
        <is>
          <t>CIA</t>
        </is>
      </c>
      <c r="P484" s="847" t="n">
        <v>1</v>
      </c>
      <c r="Q484" s="847" t="n"/>
      <c r="R484" s="847" t="inlineStr">
        <is>
          <t>Permanent - Full Time</t>
        </is>
      </c>
      <c r="S484" s="847" t="n"/>
      <c r="T484" s="847" t="n"/>
      <c r="U484" s="848" t="n">
        <v>135720</v>
      </c>
      <c r="V484" s="849" t="n">
        <v>124862.4</v>
      </c>
      <c r="W484" s="850" t="n">
        <v>0.15</v>
      </c>
      <c r="X484" s="847" t="n"/>
      <c r="Y484" s="850" t="n">
        <v>0.05</v>
      </c>
      <c r="Z484" s="851" t="n">
        <v>2910</v>
      </c>
      <c r="AA484" s="850" t="n">
        <v>0.03</v>
      </c>
      <c r="AB484" s="852" t="n">
        <v>156490.752</v>
      </c>
      <c r="AE484" s="534">
        <f>IF(TRIM($B484)="","",IF(AND(N($P484)&gt;0,N($P484)&lt;1),N($AB484)*N($P484),N($AB484)))</f>
        <v>156490.752</v>
      </c>
      <c r="AF484" s="534" t="str">
        <f>IF(TRIM($B484)="","",IF(OR(ISNUMBER(SEARCH("vacant",$B484)),ISNUMBER(SEARCH("ring fenced",$B484)),LOWER(TRIM($B484))="remove"),"Vacant","Filled"))</f>
        <v>Filled</v>
      </c>
      <c r="AG484" s="534" t="b">
        <f>IF(TRIM($B484)="","",--ISNUMBER(SEARCH("ring fenced",$B484)))</f>
        <v>0</v>
      </c>
      <c r="AH484" s="534" t="str">
        <f>IF(TRIM($B484)="","",IF(COUNTIFS(Lists!$AN$2:$AN$22,TRIM($B484)&amp;" | "&amp;TRIM($D484),Lists!$AO$2:$AO$22,"&lt;&gt;"),INDEX(Lists!$AO$2:$AO$22,MATCH(TRIM($B484)&amp;" | "&amp;TRIM($D484),Lists!$AN$2:$AN$22,0)),IF(COUNTIF(Lists!$AR$2:$AR$3,$AJ484),"TDD Cyber",IF(AND(LEFT($AJ484,4)="EGI ",ISNUMBER(MATCH(TRIM(MID($AJ484,5,99)),Lists!$AS$2:$AS$12,0))),TRIM(MID($AJ484,5,99)),IF(AND(LEFT($AJ484,4)="EGI ",ISNUMBER(MATCH(TRIM(MID($AJ484,5,99)),Lists!$T$2:$T$21,0))),INDEX(Lists!$U$2:$U$21,MATCH(TRIM(MID($AJ484,5,99)),Lists!$T$2:$T$21,0)),IF(OR(TRIM($J484)="",UPPER(TRIM($J484))="NA"),IFERROR(INDEX(Lists!$R$2:$R$9,MATCH(TRIM($G484),Lists!$Q$2:$Q$9,0)),"UNMAPPED"),IFERROR(INDEX(Lists!$U$2:$U$21,MATCH(TRIM($J484),Lists!$T$2:$T$21,0)),IFERROR(INDEX(Lists!$R$2:$R$9,MATCH(TRIM($G484),Lists!$Q$2:$Q$9,0)),"UNMAPPED"))))))))</f>
        <v>Commercial Fuels</v>
      </c>
      <c r="AI484" s="534" t="b">
        <f>IF(TRIM($B484)="","",--OR(TRIM($L484)="Leadership",TRIM($K484)="Leadership"))</f>
        <v>0</v>
      </c>
      <c r="AJ484" s="534" t="str">
        <f>IF(TRIM($B484)="","",IF(COUNTIFS(Lists!$AN$2:$AN$22,TRIM($B484)&amp;" | "&amp;TRIM($D484),Lists!$AP$2:$AP$22,"&lt;&gt;"),INDEX(Lists!$AP$2:$AP$22,MATCH(TRIM($B484)&amp;" | "&amp;TRIM($D484),Lists!$AN$2:$AN$22,0)),IF($AI484=1,"Leadership",IFERROR(INDEX(Lists!$X$2:$X$21,MATCH(TRIM($L484),Lists!$W$2:$W$21,0)),IF(OR(TRIM($L484)="",LOWER(TRIM($L484))="na"),IF(TRIM($H484)="","Unassigned",TRIM($H484)),TRIM($L484))))))</f>
        <v>CTRM</v>
      </c>
      <c r="AK484" s="534" t="str">
        <f>IF(TRIM($B484)="","",IF(COUNTIFS(Lists!$AN$2:$AN$22,TRIM($B484)&amp;" | "&amp;TRIM($D484),Lists!$AQ$2:$AQ$22,"&lt;&gt;"),INDEX(Lists!$AQ$2:$AQ$22,MATCH(TRIM($B484)&amp;" | "&amp;TRIM($D484),Lists!$AN$2:$AN$22,0)),IF(COUNTIF(Lists!$AF$2:$AF$8,$AJ484),$AJ484,IF(ISNUMBER(SEARCH("head of ",$D484)),"Head of Technology",IF(ISNUMBER(SEARCH("TDD BP",$D484)),"Business Partner",IF(OR(ISNUMBER(SEARCH("domain architect",$D484)),ISNUMBER(SEARCH("enterprise architect",$D484))),"Domain Architect",IF(ISNUMBER(SEARCH("delivery man",$D484)),"Delivery Manager",IF(OR(ISNUMBER(SEARCH("technology manager",$D484)),ISNUMBER(SEARCH("technology manger",$D484)),ISNUMBER(SEARCH("tech manager",$D484))),"Technology Manager","Squad"))))))))</f>
        <v>Squad</v>
      </c>
      <c r="AL484" s="534" t="str">
        <f>IF(TRIM($B484)="","",IF(AND($AM484=1,LEFT($AJ484,4)&lt;&gt;"EGI ",$AJ484&lt;&gt;"EGI"),IFERROR(INDEX(Lists!$Z$2:$Z$20,MATCH($AH484,Lists!$Y$2:$Y$20,0)),"EGI "&amp;$AH484),IF(COUNTIF(Lists!$AU$2:$AU$10,$AJ484),$AJ484,IF(OR(LEFT($AH484,3)="COE",$AH484="EGI"),$AJ484,IF($AK484&lt;&gt;"Squad",$AK484,$AJ484)))))</f>
        <v>CTRM</v>
      </c>
      <c r="AM484" s="534" t="b">
        <f>IF(TRIM($B484)="","",--(UPPER(TRIM($K484))="EGI"))</f>
        <v>0</v>
      </c>
      <c r="AQ484" s="841" t="inlineStr">
        <is>
          <t>R0483</t>
        </is>
      </c>
      <c r="AZ484" s="841" t="n"/>
    </row>
    <row r="485" ht="18" customHeight="1" s="535">
      <c r="A485" s="842" t="inlineStr">
        <is>
          <t>V</t>
        </is>
      </c>
      <c r="B485" s="843" t="inlineStr">
        <is>
          <t>Vacant</t>
        </is>
      </c>
      <c r="C485" s="842" t="inlineStr">
        <is>
          <t>V</t>
        </is>
      </c>
      <c r="D485" s="843" t="inlineStr">
        <is>
          <t>Quality Assurance</t>
        </is>
      </c>
      <c r="E485" s="843" t="inlineStr">
        <is>
          <t>Vacant</t>
        </is>
      </c>
      <c r="F485" s="843" t="inlineStr">
        <is>
          <t>Technology Manager, Engineering</t>
        </is>
      </c>
      <c r="G485" s="844" t="inlineStr">
        <is>
          <t>TDD CFE&amp;I</t>
        </is>
      </c>
      <c r="H485" s="843" t="inlineStr">
        <is>
          <t>Commercial Fuels</t>
        </is>
      </c>
      <c r="I485" s="843" t="inlineStr">
        <is>
          <t>Technology, CF Engineering</t>
        </is>
      </c>
      <c r="J485" s="843" t="inlineStr">
        <is>
          <t>Commercial Fuels</t>
        </is>
      </c>
      <c r="K485" s="843" t="inlineStr">
        <is>
          <t>Trading &amp; Shipping</t>
        </is>
      </c>
      <c r="L485" s="843" t="inlineStr">
        <is>
          <t>Trading &amp; Shipping</t>
        </is>
      </c>
      <c r="M485" s="843" t="n"/>
      <c r="N485" s="845" t="inlineStr">
        <is>
          <t>Australia</t>
        </is>
      </c>
      <c r="O485" s="846" t="inlineStr">
        <is>
          <t>CIA</t>
        </is>
      </c>
      <c r="P485" s="847" t="n">
        <v>1</v>
      </c>
      <c r="Q485" s="847" t="n"/>
      <c r="R485" s="847" t="inlineStr">
        <is>
          <t>v</t>
        </is>
      </c>
      <c r="S485" s="847" t="n"/>
      <c r="T485" s="847" t="n"/>
      <c r="U485" s="848" t="n">
        <v>129650</v>
      </c>
      <c r="V485" s="849" t="n">
        <v>129650</v>
      </c>
      <c r="W485" s="850" t="n">
        <v>0.1</v>
      </c>
      <c r="X485" s="847" t="n">
        <v>0.055</v>
      </c>
      <c r="Y485" s="850" t="n">
        <v>0.12</v>
      </c>
      <c r="Z485" s="851" t="n"/>
      <c r="AA485" s="850" t="n">
        <v>0.04</v>
      </c>
      <c r="AB485" s="852" t="n">
        <v>170489.75</v>
      </c>
      <c r="AE485" s="534">
        <f>IF(TRIM($B485)="","",IF(AND(N($P485)&gt;0,N($P485)&lt;1),N($AB485)*N($P485),N($AB485)))</f>
        <v>170489.75</v>
      </c>
      <c r="AF485" s="534" t="str">
        <f>IF(TRIM($B485)="","",IF(OR(ISNUMBER(SEARCH("vacant",$B485)),ISNUMBER(SEARCH("ring fenced",$B485)),LOWER(TRIM($B485))="remove"),"Vacant","Filled"))</f>
        <v>Vacant</v>
      </c>
      <c r="AG485" s="534" t="b">
        <f>IF(TRIM($B485)="","",--ISNUMBER(SEARCH("ring fenced",$B485)))</f>
        <v>0</v>
      </c>
      <c r="AH485" s="534" t="str">
        <f>IF(TRIM($B485)="","",IF(COUNTIFS(Lists!$AN$2:$AN$22,TRIM($B485)&amp;" | "&amp;TRIM($D485),Lists!$AO$2:$AO$22,"&lt;&gt;"),INDEX(Lists!$AO$2:$AO$22,MATCH(TRIM($B485)&amp;" | "&amp;TRIM($D485),Lists!$AN$2:$AN$22,0)),IF(COUNTIF(Lists!$AR$2:$AR$3,$AJ485),"TDD Cyber",IF(AND(LEFT($AJ485,4)="EGI ",ISNUMBER(MATCH(TRIM(MID($AJ485,5,99)),Lists!$AS$2:$AS$12,0))),TRIM(MID($AJ485,5,99)),IF(AND(LEFT($AJ485,4)="EGI ",ISNUMBER(MATCH(TRIM(MID($AJ485,5,99)),Lists!$T$2:$T$21,0))),INDEX(Lists!$U$2:$U$21,MATCH(TRIM(MID($AJ485,5,99)),Lists!$T$2:$T$21,0)),IF(OR(TRIM($J485)="",UPPER(TRIM($J485))="NA"),IFERROR(INDEX(Lists!$R$2:$R$9,MATCH(TRIM($G485),Lists!$Q$2:$Q$9,0)),"UNMAPPED"),IFERROR(INDEX(Lists!$U$2:$U$21,MATCH(TRIM($J485),Lists!$T$2:$T$21,0)),IFERROR(INDEX(Lists!$R$2:$R$9,MATCH(TRIM($G485),Lists!$Q$2:$Q$9,0)),"UNMAPPED"))))))))</f>
        <v>Commercial Fuels</v>
      </c>
      <c r="AI485" s="534" t="b">
        <f>IF(TRIM($B485)="","",--OR(TRIM($L485)="Leadership",TRIM($K485)="Leadership"))</f>
        <v>0</v>
      </c>
      <c r="AJ485" s="534" t="str">
        <f>IF(TRIM($B485)="","",IF(COUNTIFS(Lists!$AN$2:$AN$22,TRIM($B485)&amp;" | "&amp;TRIM($D485),Lists!$AP$2:$AP$22,"&lt;&gt;"),INDEX(Lists!$AP$2:$AP$22,MATCH(TRIM($B485)&amp;" | "&amp;TRIM($D485),Lists!$AN$2:$AN$22,0)),IF($AI485=1,"Leadership",IFERROR(INDEX(Lists!$X$2:$X$21,MATCH(TRIM($L485),Lists!$W$2:$W$21,0)),IF(OR(TRIM($L485)="",LOWER(TRIM($L485))="na"),IF(TRIM($H485)="","Unassigned",TRIM($H485)),TRIM($L485))))))</f>
        <v>Trading &amp; Shipping</v>
      </c>
      <c r="AK485" s="534" t="str">
        <f>IF(TRIM($B485)="","",IF(COUNTIFS(Lists!$AN$2:$AN$22,TRIM($B485)&amp;" | "&amp;TRIM($D485),Lists!$AQ$2:$AQ$22,"&lt;&gt;"),INDEX(Lists!$AQ$2:$AQ$22,MATCH(TRIM($B485)&amp;" | "&amp;TRIM($D485),Lists!$AN$2:$AN$22,0)),IF(COUNTIF(Lists!$AF$2:$AF$8,$AJ485),$AJ485,IF(ISNUMBER(SEARCH("head of ",$D485)),"Head of Technology",IF(ISNUMBER(SEARCH("TDD BP",$D485)),"Business Partner",IF(OR(ISNUMBER(SEARCH("domain architect",$D485)),ISNUMBER(SEARCH("enterprise architect",$D485))),"Domain Architect",IF(ISNUMBER(SEARCH("delivery man",$D485)),"Delivery Manager",IF(OR(ISNUMBER(SEARCH("technology manager",$D485)),ISNUMBER(SEARCH("technology manger",$D485)),ISNUMBER(SEARCH("tech manager",$D485))),"Technology Manager","Squad"))))))))</f>
        <v>Squad</v>
      </c>
      <c r="AL485" s="534" t="str">
        <f>IF(TRIM($B485)="","",IF(AND($AM485=1,LEFT($AJ485,4)&lt;&gt;"EGI ",$AJ485&lt;&gt;"EGI"),IFERROR(INDEX(Lists!$Z$2:$Z$20,MATCH($AH485,Lists!$Y$2:$Y$20,0)),"EGI "&amp;$AH485),IF(COUNTIF(Lists!$AU$2:$AU$10,$AJ485),$AJ485,IF(OR(LEFT($AH485,3)="COE",$AH485="EGI"),$AJ485,IF($AK485&lt;&gt;"Squad",$AK485,$AJ485)))))</f>
        <v>Trading &amp; Shipping</v>
      </c>
      <c r="AM485" s="534" t="b">
        <f>IF(TRIM($B485)="","",--(UPPER(TRIM($K485))="EGI"))</f>
        <v>0</v>
      </c>
      <c r="AQ485" s="841" t="inlineStr">
        <is>
          <t>R0484</t>
        </is>
      </c>
      <c r="AZ485" s="841" t="n"/>
    </row>
    <row r="486" ht="18" customHeight="1" s="535">
      <c r="A486" s="842" t="inlineStr">
        <is>
          <t>V</t>
        </is>
      </c>
      <c r="B486" s="843" t="inlineStr">
        <is>
          <t>Vacant</t>
        </is>
      </c>
      <c r="C486" s="842" t="inlineStr">
        <is>
          <t>V</t>
        </is>
      </c>
      <c r="D486" s="843" t="inlineStr">
        <is>
          <t>Systems Analyst</t>
        </is>
      </c>
      <c r="E486" s="843" t="inlineStr">
        <is>
          <t>Vaishnavi Viswanathan</t>
        </is>
      </c>
      <c r="F486" s="843" t="inlineStr">
        <is>
          <t>Technology Manager, Store Platform</t>
        </is>
      </c>
      <c r="G486" s="844" t="inlineStr">
        <is>
          <t>Ampol Retail &amp; Z</t>
        </is>
      </c>
      <c r="H486" s="843" t="inlineStr">
        <is>
          <t>Ampol Retail</t>
        </is>
      </c>
      <c r="I486" s="843" t="inlineStr">
        <is>
          <t>Ampol Retail, Store Platforms</t>
        </is>
      </c>
      <c r="J486" s="843" t="inlineStr">
        <is>
          <t>Retail</t>
        </is>
      </c>
      <c r="K486" s="843" t="inlineStr">
        <is>
          <t>Store Operations</t>
        </is>
      </c>
      <c r="L486" s="843" t="inlineStr">
        <is>
          <t>Payments</t>
        </is>
      </c>
      <c r="M486" s="843" t="n"/>
      <c r="N486" s="845" t="inlineStr">
        <is>
          <t>Australia</t>
        </is>
      </c>
      <c r="O486" s="846" t="inlineStr">
        <is>
          <t>CIA</t>
        </is>
      </c>
      <c r="P486" s="847" t="n">
        <v>1</v>
      </c>
      <c r="Q486" s="847" t="n"/>
      <c r="R486" s="847" t="inlineStr">
        <is>
          <t>v</t>
        </is>
      </c>
      <c r="S486" s="847" t="n"/>
      <c r="T486" s="847" t="n"/>
      <c r="U486" s="848" t="n">
        <v>129659</v>
      </c>
      <c r="V486" s="849" t="n">
        <v>129659</v>
      </c>
      <c r="W486" s="850" t="n">
        <v>0.1</v>
      </c>
      <c r="X486" s="847" t="n">
        <v>0.055</v>
      </c>
      <c r="Y486" s="850" t="n">
        <v>0.12</v>
      </c>
      <c r="Z486" s="851" t="n"/>
      <c r="AA486" s="850" t="n">
        <v>0.04</v>
      </c>
      <c r="AB486" s="852" t="n">
        <v>170501.585</v>
      </c>
      <c r="AE486" s="534">
        <f>IF(TRIM($B486)="","",IF(AND(N($P486)&gt;0,N($P486)&lt;1),N($AB486)*N($P486),N($AB486)))</f>
        <v>170501.585</v>
      </c>
      <c r="AF486" s="534" t="str">
        <f>IF(TRIM($B486)="","",IF(OR(ISNUMBER(SEARCH("vacant",$B486)),ISNUMBER(SEARCH("ring fenced",$B486)),LOWER(TRIM($B486))="remove"),"Vacant","Filled"))</f>
        <v>Vacant</v>
      </c>
      <c r="AG486" s="534" t="b">
        <f>IF(TRIM($B486)="","",--ISNUMBER(SEARCH("ring fenced",$B486)))</f>
        <v>0</v>
      </c>
      <c r="AH486" s="534" t="str">
        <f>IF(TRIM($B486)="","",IF(COUNTIFS(Lists!$AN$2:$AN$22,TRIM($B486)&amp;" | "&amp;TRIM($D486),Lists!$AO$2:$AO$22,"&lt;&gt;"),INDEX(Lists!$AO$2:$AO$22,MATCH(TRIM($B486)&amp;" | "&amp;TRIM($D486),Lists!$AN$2:$AN$22,0)),IF(COUNTIF(Lists!$AR$2:$AR$3,$AJ486),"TDD Cyber",IF(AND(LEFT($AJ486,4)="EGI ",ISNUMBER(MATCH(TRIM(MID($AJ486,5,99)),Lists!$AS$2:$AS$12,0))),TRIM(MID($AJ486,5,99)),IF(AND(LEFT($AJ486,4)="EGI ",ISNUMBER(MATCH(TRIM(MID($AJ486,5,99)),Lists!$T$2:$T$21,0))),INDEX(Lists!$U$2:$U$21,MATCH(TRIM(MID($AJ486,5,99)),Lists!$T$2:$T$21,0)),IF(OR(TRIM($J486)="",UPPER(TRIM($J486))="NA"),IFERROR(INDEX(Lists!$R$2:$R$9,MATCH(TRIM($G486),Lists!$Q$2:$Q$9,0)),"UNMAPPED"),IFERROR(INDEX(Lists!$U$2:$U$21,MATCH(TRIM($J486),Lists!$T$2:$T$21,0)),IFERROR(INDEX(Lists!$R$2:$R$9,MATCH(TRIM($G486),Lists!$Q$2:$Q$9,0)),"UNMAPPED"))))))))</f>
        <v>Ampol Retail</v>
      </c>
      <c r="AI486" s="534" t="b">
        <f>IF(TRIM($B486)="","",--OR(TRIM($L486)="Leadership",TRIM($K486)="Leadership"))</f>
        <v>0</v>
      </c>
      <c r="AJ486" s="534" t="str">
        <f>IF(TRIM($B486)="","",IF(COUNTIFS(Lists!$AN$2:$AN$22,TRIM($B486)&amp;" | "&amp;TRIM($D486),Lists!$AP$2:$AP$22,"&lt;&gt;"),INDEX(Lists!$AP$2:$AP$22,MATCH(TRIM($B486)&amp;" | "&amp;TRIM($D486),Lists!$AN$2:$AN$22,0)),IF($AI486=1,"Leadership",IFERROR(INDEX(Lists!$X$2:$X$21,MATCH(TRIM($L486),Lists!$W$2:$W$21,0)),IF(OR(TRIM($L486)="",LOWER(TRIM($L486))="na"),IF(TRIM($H486)="","Unassigned",TRIM($H486)),TRIM($L486))))))</f>
        <v>Payments</v>
      </c>
      <c r="AK486" s="534" t="str">
        <f>IF(TRIM($B486)="","",IF(COUNTIFS(Lists!$AN$2:$AN$22,TRIM($B486)&amp;" | "&amp;TRIM($D486),Lists!$AQ$2:$AQ$22,"&lt;&gt;"),INDEX(Lists!$AQ$2:$AQ$22,MATCH(TRIM($B486)&amp;" | "&amp;TRIM($D486),Lists!$AN$2:$AN$22,0)),IF(COUNTIF(Lists!$AF$2:$AF$8,$AJ486),$AJ486,IF(ISNUMBER(SEARCH("head of ",$D486)),"Head of Technology",IF(ISNUMBER(SEARCH("TDD BP",$D486)),"Business Partner",IF(OR(ISNUMBER(SEARCH("domain architect",$D486)),ISNUMBER(SEARCH("enterprise architect",$D486))),"Domain Architect",IF(ISNUMBER(SEARCH("delivery man",$D486)),"Delivery Manager",IF(OR(ISNUMBER(SEARCH("technology manager",$D486)),ISNUMBER(SEARCH("technology manger",$D486)),ISNUMBER(SEARCH("tech manager",$D486))),"Technology Manager","Squad"))))))))</f>
        <v>Squad</v>
      </c>
      <c r="AL486" s="534" t="str">
        <f>IF(TRIM($B486)="","",IF(AND($AM486=1,LEFT($AJ486,4)&lt;&gt;"EGI ",$AJ486&lt;&gt;"EGI"),IFERROR(INDEX(Lists!$Z$2:$Z$20,MATCH($AH486,Lists!$Y$2:$Y$20,0)),"EGI "&amp;$AH486),IF(COUNTIF(Lists!$AU$2:$AU$10,$AJ486),$AJ486,IF(OR(LEFT($AH486,3)="COE",$AH486="EGI"),$AJ486,IF($AK486&lt;&gt;"Squad",$AK486,$AJ486)))))</f>
        <v>Payments</v>
      </c>
      <c r="AM486" s="534" t="b">
        <f>IF(TRIM($B486)="","",--(UPPER(TRIM($K486))="EGI"))</f>
        <v>0</v>
      </c>
      <c r="AQ486" s="841" t="inlineStr">
        <is>
          <t>R0485</t>
        </is>
      </c>
      <c r="AZ486" s="841" t="n"/>
    </row>
    <row r="487" ht="18" customHeight="1" s="535">
      <c r="A487" s="842" t="inlineStr">
        <is>
          <t>V</t>
        </is>
      </c>
      <c r="B487" s="843" t="inlineStr">
        <is>
          <t>Vacant</t>
        </is>
      </c>
      <c r="C487" s="842" t="inlineStr">
        <is>
          <t>V</t>
        </is>
      </c>
      <c r="D487" s="843" t="inlineStr">
        <is>
          <t>Systems Analyst</t>
        </is>
      </c>
      <c r="E487" s="843" t="inlineStr">
        <is>
          <t>Vaishnavi Viswanathan</t>
        </is>
      </c>
      <c r="F487" s="843" t="inlineStr">
        <is>
          <t>Technology Manager, Store Platform</t>
        </is>
      </c>
      <c r="G487" s="844" t="inlineStr">
        <is>
          <t>Ampol Retail &amp; Z</t>
        </is>
      </c>
      <c r="H487" s="843" t="inlineStr">
        <is>
          <t>Ampol Retail</t>
        </is>
      </c>
      <c r="I487" s="843" t="inlineStr">
        <is>
          <t>Ampol Retail, Store Platforms</t>
        </is>
      </c>
      <c r="J487" s="843" t="inlineStr">
        <is>
          <t>Retail</t>
        </is>
      </c>
      <c r="K487" s="843" t="inlineStr">
        <is>
          <t>Store Operations</t>
        </is>
      </c>
      <c r="L487" s="843" t="inlineStr">
        <is>
          <t>POS</t>
        </is>
      </c>
      <c r="M487" s="843" t="n"/>
      <c r="N487" s="845" t="inlineStr">
        <is>
          <t>Australia</t>
        </is>
      </c>
      <c r="O487" s="846" t="inlineStr">
        <is>
          <t>CIA</t>
        </is>
      </c>
      <c r="P487" s="847" t="n">
        <v>1</v>
      </c>
      <c r="Q487" s="847" t="n"/>
      <c r="R487" s="847" t="inlineStr">
        <is>
          <t>V</t>
        </is>
      </c>
      <c r="S487" s="847" t="n"/>
      <c r="T487" s="847" t="n"/>
      <c r="U487" s="848" t="n">
        <v>151950</v>
      </c>
      <c r="V487" s="849" t="n">
        <v>151950</v>
      </c>
      <c r="W487" s="850" t="n">
        <v>0.12</v>
      </c>
      <c r="X487" s="847" t="n">
        <v>0.055</v>
      </c>
      <c r="Y487" s="850" t="n">
        <v>0.12</v>
      </c>
      <c r="Z487" s="851" t="n"/>
      <c r="AA487" s="850" t="n">
        <v>0.04</v>
      </c>
      <c r="AB487" s="852" t="n">
        <v>202853.25</v>
      </c>
      <c r="AE487" s="534">
        <f>IF(TRIM($B487)="","",IF(AND(N($P487)&gt;0,N($P487)&lt;1),N($AB487)*N($P487),N($AB487)))</f>
        <v>202853.25</v>
      </c>
      <c r="AF487" s="534" t="str">
        <f>IF(TRIM($B487)="","",IF(OR(ISNUMBER(SEARCH("vacant",$B487)),ISNUMBER(SEARCH("ring fenced",$B487)),LOWER(TRIM($B487))="remove"),"Vacant","Filled"))</f>
        <v>Vacant</v>
      </c>
      <c r="AG487" s="534" t="b">
        <f>IF(TRIM($B487)="","",--ISNUMBER(SEARCH("ring fenced",$B487)))</f>
        <v>0</v>
      </c>
      <c r="AH487" s="534" t="str">
        <f>IF(TRIM($B487)="","",IF(COUNTIFS(Lists!$AN$2:$AN$22,TRIM($B487)&amp;" | "&amp;TRIM($D487),Lists!$AO$2:$AO$22,"&lt;&gt;"),INDEX(Lists!$AO$2:$AO$22,MATCH(TRIM($B487)&amp;" | "&amp;TRIM($D487),Lists!$AN$2:$AN$22,0)),IF(COUNTIF(Lists!$AR$2:$AR$3,$AJ487),"TDD Cyber",IF(AND(LEFT($AJ487,4)="EGI ",ISNUMBER(MATCH(TRIM(MID($AJ487,5,99)),Lists!$AS$2:$AS$12,0))),TRIM(MID($AJ487,5,99)),IF(AND(LEFT($AJ487,4)="EGI ",ISNUMBER(MATCH(TRIM(MID($AJ487,5,99)),Lists!$T$2:$T$21,0))),INDEX(Lists!$U$2:$U$21,MATCH(TRIM(MID($AJ487,5,99)),Lists!$T$2:$T$21,0)),IF(OR(TRIM($J487)="",UPPER(TRIM($J487))="NA"),IFERROR(INDEX(Lists!$R$2:$R$9,MATCH(TRIM($G487),Lists!$Q$2:$Q$9,0)),"UNMAPPED"),IFERROR(INDEX(Lists!$U$2:$U$21,MATCH(TRIM($J487),Lists!$T$2:$T$21,0)),IFERROR(INDEX(Lists!$R$2:$R$9,MATCH(TRIM($G487),Lists!$Q$2:$Q$9,0)),"UNMAPPED"))))))))</f>
        <v>Ampol Retail</v>
      </c>
      <c r="AI487" s="534" t="b">
        <f>IF(TRIM($B487)="","",--OR(TRIM($L487)="Leadership",TRIM($K487)="Leadership"))</f>
        <v>0</v>
      </c>
      <c r="AJ487" s="534" t="str">
        <f>IF(TRIM($B487)="","",IF(COUNTIFS(Lists!$AN$2:$AN$22,TRIM($B487)&amp;" | "&amp;TRIM($D487),Lists!$AP$2:$AP$22,"&lt;&gt;"),INDEX(Lists!$AP$2:$AP$22,MATCH(TRIM($B487)&amp;" | "&amp;TRIM($D487),Lists!$AN$2:$AN$22,0)),IF($AI487=1,"Leadership",IFERROR(INDEX(Lists!$X$2:$X$21,MATCH(TRIM($L487),Lists!$W$2:$W$21,0)),IF(OR(TRIM($L487)="",LOWER(TRIM($L487))="na"),IF(TRIM($H487)="","Unassigned",TRIM($H487)),TRIM($L487))))))</f>
        <v>POS</v>
      </c>
      <c r="AK487" s="534" t="str">
        <f>IF(TRIM($B487)="","",IF(COUNTIFS(Lists!$AN$2:$AN$22,TRIM($B487)&amp;" | "&amp;TRIM($D487),Lists!$AQ$2:$AQ$22,"&lt;&gt;"),INDEX(Lists!$AQ$2:$AQ$22,MATCH(TRIM($B487)&amp;" | "&amp;TRIM($D487),Lists!$AN$2:$AN$22,0)),IF(COUNTIF(Lists!$AF$2:$AF$8,$AJ487),$AJ487,IF(ISNUMBER(SEARCH("head of ",$D487)),"Head of Technology",IF(ISNUMBER(SEARCH("TDD BP",$D487)),"Business Partner",IF(OR(ISNUMBER(SEARCH("domain architect",$D487)),ISNUMBER(SEARCH("enterprise architect",$D487))),"Domain Architect",IF(ISNUMBER(SEARCH("delivery man",$D487)),"Delivery Manager",IF(OR(ISNUMBER(SEARCH("technology manager",$D487)),ISNUMBER(SEARCH("technology manger",$D487)),ISNUMBER(SEARCH("tech manager",$D487))),"Technology Manager","Squad"))))))))</f>
        <v>Squad</v>
      </c>
      <c r="AL487" s="534" t="str">
        <f>IF(TRIM($B487)="","",IF(AND($AM487=1,LEFT($AJ487,4)&lt;&gt;"EGI ",$AJ487&lt;&gt;"EGI"),IFERROR(INDEX(Lists!$Z$2:$Z$20,MATCH($AH487,Lists!$Y$2:$Y$20,0)),"EGI "&amp;$AH487),IF(COUNTIF(Lists!$AU$2:$AU$10,$AJ487),$AJ487,IF(OR(LEFT($AH487,3)="COE",$AH487="EGI"),$AJ487,IF($AK487&lt;&gt;"Squad",$AK487,$AJ487)))))</f>
        <v>POS</v>
      </c>
      <c r="AM487" s="534" t="b">
        <f>IF(TRIM($B487)="","",--(UPPER(TRIM($K487))="EGI"))</f>
        <v>0</v>
      </c>
      <c r="AQ487" s="841" t="inlineStr">
        <is>
          <t>R0486</t>
        </is>
      </c>
      <c r="AZ487" s="841" t="n"/>
    </row>
    <row r="488" ht="18" customHeight="1" s="535">
      <c r="A488" s="842" t="n">
        <v>110388</v>
      </c>
      <c r="B488" s="843" t="inlineStr">
        <is>
          <t>Adrian Lueng</t>
        </is>
      </c>
      <c r="C488" s="842" t="n">
        <v>110388</v>
      </c>
      <c r="D488" s="843" t="inlineStr">
        <is>
          <t>Quality Assurance</t>
        </is>
      </c>
      <c r="E488" s="843" t="inlineStr">
        <is>
          <t>Vedran Jukic</t>
        </is>
      </c>
      <c r="F488" s="843" t="inlineStr">
        <is>
          <t>Technology Manager, Retail</t>
        </is>
      </c>
      <c r="G488" s="844" t="inlineStr">
        <is>
          <t>Ampol Retail &amp; Z</t>
        </is>
      </c>
      <c r="H488" s="843" t="inlineStr">
        <is>
          <t>Ampol Retail</t>
        </is>
      </c>
      <c r="I488" s="843" t="inlineStr">
        <is>
          <t>Ampol Retail, Technology</t>
        </is>
      </c>
      <c r="J488" s="843" t="inlineStr">
        <is>
          <t>Retail</t>
        </is>
      </c>
      <c r="K488" s="843" t="inlineStr">
        <is>
          <t>Network/QSR</t>
        </is>
      </c>
      <c r="L488" s="843" t="inlineStr">
        <is>
          <t>Network &amp; QSR</t>
        </is>
      </c>
      <c r="M488" s="843" t="n"/>
      <c r="N488" s="845" t="inlineStr">
        <is>
          <t>Australia</t>
        </is>
      </c>
      <c r="O488" s="846" t="inlineStr">
        <is>
          <t>CIA</t>
        </is>
      </c>
      <c r="P488" s="847" t="n">
        <v>1</v>
      </c>
      <c r="Q488" s="846" t="n"/>
      <c r="R488" s="847" t="inlineStr">
        <is>
          <t>Permanent - Full Time</t>
        </is>
      </c>
      <c r="S488" s="847" t="n"/>
      <c r="T488" s="847" t="n"/>
      <c r="U488" s="848" t="n">
        <v>120030</v>
      </c>
      <c r="V488" s="849" t="n">
        <v>120030</v>
      </c>
      <c r="W488" s="850" t="n">
        <v>0.1</v>
      </c>
      <c r="X488" s="847" t="n">
        <v>0.055</v>
      </c>
      <c r="Y488" s="850" t="n">
        <v>0.12</v>
      </c>
      <c r="Z488" s="851" t="n"/>
      <c r="AA488" s="850" t="n">
        <v>0.04</v>
      </c>
      <c r="AB488" s="852" t="n">
        <v>157839.45</v>
      </c>
      <c r="AE488" s="534">
        <f>IF(TRIM($B488)="","",IF(AND(N($P488)&gt;0,N($P488)&lt;1),N($AB488)*N($P488),N($AB488)))</f>
        <v>157839.45</v>
      </c>
      <c r="AF488" s="534" t="str">
        <f>IF(TRIM($B488)="","",IF(OR(ISNUMBER(SEARCH("vacant",$B488)),ISNUMBER(SEARCH("ring fenced",$B488)),LOWER(TRIM($B488))="remove"),"Vacant","Filled"))</f>
        <v>Filled</v>
      </c>
      <c r="AG488" s="534" t="b">
        <f>IF(TRIM($B488)="","",--ISNUMBER(SEARCH("ring fenced",$B488)))</f>
        <v>0</v>
      </c>
      <c r="AH488" s="534" t="str">
        <f>IF(TRIM($B488)="","",IF(COUNTIFS(Lists!$AN$2:$AN$22,TRIM($B488)&amp;" | "&amp;TRIM($D488),Lists!$AO$2:$AO$22,"&lt;&gt;"),INDEX(Lists!$AO$2:$AO$22,MATCH(TRIM($B488)&amp;" | "&amp;TRIM($D488),Lists!$AN$2:$AN$22,0)),IF(COUNTIF(Lists!$AR$2:$AR$3,$AJ488),"TDD Cyber",IF(AND(LEFT($AJ488,4)="EGI ",ISNUMBER(MATCH(TRIM(MID($AJ488,5,99)),Lists!$AS$2:$AS$12,0))),TRIM(MID($AJ488,5,99)),IF(AND(LEFT($AJ488,4)="EGI ",ISNUMBER(MATCH(TRIM(MID($AJ488,5,99)),Lists!$T$2:$T$21,0))),INDEX(Lists!$U$2:$U$21,MATCH(TRIM(MID($AJ488,5,99)),Lists!$T$2:$T$21,0)),IF(OR(TRIM($J488)="",UPPER(TRIM($J488))="NA"),IFERROR(INDEX(Lists!$R$2:$R$9,MATCH(TRIM($G488),Lists!$Q$2:$Q$9,0)),"UNMAPPED"),IFERROR(INDEX(Lists!$U$2:$U$21,MATCH(TRIM($J488),Lists!$T$2:$T$21,0)),IFERROR(INDEX(Lists!$R$2:$R$9,MATCH(TRIM($G488),Lists!$Q$2:$Q$9,0)),"UNMAPPED"))))))))</f>
        <v>Ampol Retail</v>
      </c>
      <c r="AI488" s="534" t="b">
        <f>IF(TRIM($B488)="","",--OR(TRIM($L488)="Leadership",TRIM($K488)="Leadership"))</f>
        <v>0</v>
      </c>
      <c r="AJ488" s="534" t="str">
        <f>IF(TRIM($B488)="","",IF(COUNTIFS(Lists!$AN$2:$AN$22,TRIM($B488)&amp;" | "&amp;TRIM($D488),Lists!$AP$2:$AP$22,"&lt;&gt;"),INDEX(Lists!$AP$2:$AP$22,MATCH(TRIM($B488)&amp;" | "&amp;TRIM($D488),Lists!$AN$2:$AN$22,0)),IF($AI488=1,"Leadership",IFERROR(INDEX(Lists!$X$2:$X$21,MATCH(TRIM($L488),Lists!$W$2:$W$21,0)),IF(OR(TRIM($L488)="",LOWER(TRIM($L488))="na"),IF(TRIM($H488)="","Unassigned",TRIM($H488)),TRIM($L488))))))</f>
        <v>Network &amp; QSR</v>
      </c>
      <c r="AK488" s="534" t="str">
        <f>IF(TRIM($B488)="","",IF(COUNTIFS(Lists!$AN$2:$AN$22,TRIM($B488)&amp;" | "&amp;TRIM($D488),Lists!$AQ$2:$AQ$22,"&lt;&gt;"),INDEX(Lists!$AQ$2:$AQ$22,MATCH(TRIM($B488)&amp;" | "&amp;TRIM($D488),Lists!$AN$2:$AN$22,0)),IF(COUNTIF(Lists!$AF$2:$AF$8,$AJ488),$AJ488,IF(ISNUMBER(SEARCH("head of ",$D488)),"Head of Technology",IF(ISNUMBER(SEARCH("TDD BP",$D488)),"Business Partner",IF(OR(ISNUMBER(SEARCH("domain architect",$D488)),ISNUMBER(SEARCH("enterprise architect",$D488))),"Domain Architect",IF(ISNUMBER(SEARCH("delivery man",$D488)),"Delivery Manager",IF(OR(ISNUMBER(SEARCH("technology manager",$D488)),ISNUMBER(SEARCH("technology manger",$D488)),ISNUMBER(SEARCH("tech manager",$D488))),"Technology Manager","Squad"))))))))</f>
        <v>Squad</v>
      </c>
      <c r="AL488" s="534" t="str">
        <f>IF(TRIM($B488)="","",IF(AND($AM488=1,LEFT($AJ488,4)&lt;&gt;"EGI ",$AJ488&lt;&gt;"EGI"),IFERROR(INDEX(Lists!$Z$2:$Z$20,MATCH($AH488,Lists!$Y$2:$Y$20,0)),"EGI "&amp;$AH488),IF(COUNTIF(Lists!$AU$2:$AU$10,$AJ488),$AJ488,IF(OR(LEFT($AH488,3)="COE",$AH488="EGI"),$AJ488,IF($AK488&lt;&gt;"Squad",$AK488,$AJ488)))))</f>
        <v>Network &amp; QSR</v>
      </c>
      <c r="AM488" s="534" t="b">
        <f>IF(TRIM($B488)="","",--(UPPER(TRIM($K488))="EGI"))</f>
        <v>0</v>
      </c>
      <c r="AQ488" s="841" t="inlineStr">
        <is>
          <t>R0487</t>
        </is>
      </c>
      <c r="AZ488" s="841" t="n"/>
    </row>
    <row r="489" ht="18" customHeight="1" s="535">
      <c r="A489" s="842" t="n">
        <v>107164</v>
      </c>
      <c r="B489" s="843" t="inlineStr">
        <is>
          <t>Santiago Hernandez Arevalo</t>
        </is>
      </c>
      <c r="C489" s="842" t="n">
        <v>107164</v>
      </c>
      <c r="D489" s="843" t="inlineStr">
        <is>
          <t>Systems Analyst</t>
        </is>
      </c>
      <c r="E489" s="843" t="inlineStr">
        <is>
          <t>Vedran Jukic</t>
        </is>
      </c>
      <c r="F489" s="843" t="inlineStr">
        <is>
          <t>Technology Manager, Retail</t>
        </is>
      </c>
      <c r="G489" s="844" t="inlineStr">
        <is>
          <t>Ampol Retail &amp; Z</t>
        </is>
      </c>
      <c r="H489" s="843" t="inlineStr">
        <is>
          <t>Ampol Retail</t>
        </is>
      </c>
      <c r="I489" s="843" t="inlineStr">
        <is>
          <t>Ampol Retail, Technology</t>
        </is>
      </c>
      <c r="J489" s="843" t="inlineStr">
        <is>
          <t>Retail</t>
        </is>
      </c>
      <c r="K489" s="843" t="inlineStr">
        <is>
          <t>Network/QSR</t>
        </is>
      </c>
      <c r="L489" s="843" t="inlineStr">
        <is>
          <t>Network &amp; QSR</t>
        </is>
      </c>
      <c r="M489" s="843" t="n"/>
      <c r="N489" s="845" t="inlineStr">
        <is>
          <t>Australia</t>
        </is>
      </c>
      <c r="O489" s="846" t="inlineStr">
        <is>
          <t>CIA</t>
        </is>
      </c>
      <c r="P489" s="847" t="n">
        <v>1</v>
      </c>
      <c r="Q489" s="867" t="n"/>
      <c r="R489" s="847" t="inlineStr">
        <is>
          <t>Permanent - Full Time</t>
        </is>
      </c>
      <c r="S489" s="847" t="n"/>
      <c r="T489" s="847" t="n"/>
      <c r="U489" s="848" t="n">
        <v>154420</v>
      </c>
      <c r="V489" s="849" t="n">
        <v>154420</v>
      </c>
      <c r="W489" s="850" t="n">
        <v>0.12</v>
      </c>
      <c r="X489" s="847" t="n">
        <v>0.055</v>
      </c>
      <c r="Y489" s="850" t="n">
        <v>0.12</v>
      </c>
      <c r="Z489" s="851" t="n"/>
      <c r="AA489" s="850" t="n">
        <v>0.04</v>
      </c>
      <c r="AB489" s="852" t="n">
        <v>206150.7</v>
      </c>
      <c r="AE489" s="534">
        <f>IF(TRIM($B489)="","",IF(AND(N($P489)&gt;0,N($P489)&lt;1),N($AB489)*N($P489),N($AB489)))</f>
        <v>206150.7</v>
      </c>
      <c r="AF489" s="534" t="str">
        <f>IF(TRIM($B489)="","",IF(OR(ISNUMBER(SEARCH("vacant",$B489)),ISNUMBER(SEARCH("ring fenced",$B489)),LOWER(TRIM($B489))="remove"),"Vacant","Filled"))</f>
        <v>Filled</v>
      </c>
      <c r="AG489" s="534" t="b">
        <f>IF(TRIM($B489)="","",--ISNUMBER(SEARCH("ring fenced",$B489)))</f>
        <v>0</v>
      </c>
      <c r="AH489" s="534" t="str">
        <f>IF(TRIM($B489)="","",IF(COUNTIFS(Lists!$AN$2:$AN$22,TRIM($B489)&amp;" | "&amp;TRIM($D489),Lists!$AO$2:$AO$22,"&lt;&gt;"),INDEX(Lists!$AO$2:$AO$22,MATCH(TRIM($B489)&amp;" | "&amp;TRIM($D489),Lists!$AN$2:$AN$22,0)),IF(COUNTIF(Lists!$AR$2:$AR$3,$AJ489),"TDD Cyber",IF(AND(LEFT($AJ489,4)="EGI ",ISNUMBER(MATCH(TRIM(MID($AJ489,5,99)),Lists!$AS$2:$AS$12,0))),TRIM(MID($AJ489,5,99)),IF(AND(LEFT($AJ489,4)="EGI ",ISNUMBER(MATCH(TRIM(MID($AJ489,5,99)),Lists!$T$2:$T$21,0))),INDEX(Lists!$U$2:$U$21,MATCH(TRIM(MID($AJ489,5,99)),Lists!$T$2:$T$21,0)),IF(OR(TRIM($J489)="",UPPER(TRIM($J489))="NA"),IFERROR(INDEX(Lists!$R$2:$R$9,MATCH(TRIM($G489),Lists!$Q$2:$Q$9,0)),"UNMAPPED"),IFERROR(INDEX(Lists!$U$2:$U$21,MATCH(TRIM($J489),Lists!$T$2:$T$21,0)),IFERROR(INDEX(Lists!$R$2:$R$9,MATCH(TRIM($G489),Lists!$Q$2:$Q$9,0)),"UNMAPPED"))))))))</f>
        <v>Ampol Retail</v>
      </c>
      <c r="AI489" s="534" t="b">
        <f>IF(TRIM($B489)="","",--OR(TRIM($L489)="Leadership",TRIM($K489)="Leadership"))</f>
        <v>0</v>
      </c>
      <c r="AJ489" s="534" t="str">
        <f>IF(TRIM($B489)="","",IF(COUNTIFS(Lists!$AN$2:$AN$22,TRIM($B489)&amp;" | "&amp;TRIM($D489),Lists!$AP$2:$AP$22,"&lt;&gt;"),INDEX(Lists!$AP$2:$AP$22,MATCH(TRIM($B489)&amp;" | "&amp;TRIM($D489),Lists!$AN$2:$AN$22,0)),IF($AI489=1,"Leadership",IFERROR(INDEX(Lists!$X$2:$X$21,MATCH(TRIM($L489),Lists!$W$2:$W$21,0)),IF(OR(TRIM($L489)="",LOWER(TRIM($L489))="na"),IF(TRIM($H489)="","Unassigned",TRIM($H489)),TRIM($L489))))))</f>
        <v>Network &amp; QSR</v>
      </c>
      <c r="AK489" s="534" t="str">
        <f>IF(TRIM($B489)="","",IF(COUNTIFS(Lists!$AN$2:$AN$22,TRIM($B489)&amp;" | "&amp;TRIM($D489),Lists!$AQ$2:$AQ$22,"&lt;&gt;"),INDEX(Lists!$AQ$2:$AQ$22,MATCH(TRIM($B489)&amp;" | "&amp;TRIM($D489),Lists!$AN$2:$AN$22,0)),IF(COUNTIF(Lists!$AF$2:$AF$8,$AJ489),$AJ489,IF(ISNUMBER(SEARCH("head of ",$D489)),"Head of Technology",IF(ISNUMBER(SEARCH("TDD BP",$D489)),"Business Partner",IF(OR(ISNUMBER(SEARCH("domain architect",$D489)),ISNUMBER(SEARCH("enterprise architect",$D489))),"Domain Architect",IF(ISNUMBER(SEARCH("delivery man",$D489)),"Delivery Manager",IF(OR(ISNUMBER(SEARCH("technology manager",$D489)),ISNUMBER(SEARCH("technology manger",$D489)),ISNUMBER(SEARCH("tech manager",$D489))),"Technology Manager","Squad"))))))))</f>
        <v>Squad</v>
      </c>
      <c r="AL489" s="534" t="str">
        <f>IF(TRIM($B489)="","",IF(AND($AM489=1,LEFT($AJ489,4)&lt;&gt;"EGI ",$AJ489&lt;&gt;"EGI"),IFERROR(INDEX(Lists!$Z$2:$Z$20,MATCH($AH489,Lists!$Y$2:$Y$20,0)),"EGI "&amp;$AH489),IF(COUNTIF(Lists!$AU$2:$AU$10,$AJ489),$AJ489,IF(OR(LEFT($AH489,3)="COE",$AH489="EGI"),$AJ489,IF($AK489&lt;&gt;"Squad",$AK489,$AJ489)))))</f>
        <v>Network &amp; QSR</v>
      </c>
      <c r="AM489" s="534" t="b">
        <f>IF(TRIM($B489)="","",--(UPPER(TRIM($K489))="EGI"))</f>
        <v>0</v>
      </c>
      <c r="AQ489" s="841" t="inlineStr">
        <is>
          <t>R0488</t>
        </is>
      </c>
      <c r="AR489" s="868" t="n"/>
      <c r="AT489" s="868" t="n"/>
      <c r="AU489" s="869" t="n"/>
      <c r="AV489" s="868" t="n"/>
      <c r="AZ489" s="841" t="n"/>
    </row>
    <row r="490" ht="18" customHeight="1" s="535">
      <c r="A490" s="842" t="inlineStr">
        <is>
          <t>V</t>
        </is>
      </c>
      <c r="B490" s="843" t="inlineStr">
        <is>
          <t>Vacant</t>
        </is>
      </c>
      <c r="C490" s="842" t="inlineStr">
        <is>
          <t>V</t>
        </is>
      </c>
      <c r="D490" s="843" t="inlineStr">
        <is>
          <t>Systems Analyst</t>
        </is>
      </c>
      <c r="E490" s="843" t="inlineStr">
        <is>
          <t>Vedran Jukic</t>
        </is>
      </c>
      <c r="F490" s="843" t="inlineStr">
        <is>
          <t>Technology Manager, Retail</t>
        </is>
      </c>
      <c r="G490" s="844" t="inlineStr">
        <is>
          <t>Ampol Retail &amp; Z</t>
        </is>
      </c>
      <c r="H490" s="843" t="inlineStr">
        <is>
          <t>Ampol Retail</t>
        </is>
      </c>
      <c r="I490" s="843" t="inlineStr">
        <is>
          <t>Ampol Retail, Technology</t>
        </is>
      </c>
      <c r="J490" s="843" t="inlineStr">
        <is>
          <t>Retail</t>
        </is>
      </c>
      <c r="K490" s="843" t="inlineStr">
        <is>
          <t>Network/QSR</t>
        </is>
      </c>
      <c r="L490" s="843" t="inlineStr">
        <is>
          <t>Network &amp; QSR</t>
        </is>
      </c>
      <c r="M490" s="843" t="n"/>
      <c r="N490" s="845" t="inlineStr">
        <is>
          <t>Australia</t>
        </is>
      </c>
      <c r="O490" s="846" t="inlineStr">
        <is>
          <t>CIA</t>
        </is>
      </c>
      <c r="P490" s="847" t="n">
        <v>1</v>
      </c>
      <c r="Q490" s="847" t="n"/>
      <c r="R490" s="847" t="inlineStr">
        <is>
          <t>V</t>
        </is>
      </c>
      <c r="S490" s="847" t="n"/>
      <c r="T490" s="847" t="n"/>
      <c r="U490" s="848" t="n">
        <v>173550</v>
      </c>
      <c r="V490" s="849" t="n">
        <v>173550</v>
      </c>
      <c r="W490" s="850" t="n">
        <v>0.12</v>
      </c>
      <c r="X490" s="847" t="n">
        <v>0.055</v>
      </c>
      <c r="Y490" s="850" t="n">
        <v>0.12</v>
      </c>
      <c r="Z490" s="851" t="n"/>
      <c r="AA490" s="850" t="n">
        <v>0.04</v>
      </c>
      <c r="AB490" s="852" t="n">
        <v>231689.25</v>
      </c>
      <c r="AE490" s="534">
        <f>IF(TRIM($B490)="","",IF(AND(N($P490)&gt;0,N($P490)&lt;1),N($AB490)*N($P490),N($AB490)))</f>
        <v>231689.25</v>
      </c>
      <c r="AF490" s="534" t="str">
        <f>IF(TRIM($B490)="","",IF(OR(ISNUMBER(SEARCH("vacant",$B490)),ISNUMBER(SEARCH("ring fenced",$B490)),LOWER(TRIM($B490))="remove"),"Vacant","Filled"))</f>
        <v>Vacant</v>
      </c>
      <c r="AG490" s="534" t="b">
        <f>IF(TRIM($B490)="","",--ISNUMBER(SEARCH("ring fenced",$B490)))</f>
        <v>0</v>
      </c>
      <c r="AH490" s="534" t="str">
        <f>IF(TRIM($B490)="","",IF(COUNTIFS(Lists!$AN$2:$AN$22,TRIM($B490)&amp;" | "&amp;TRIM($D490),Lists!$AO$2:$AO$22,"&lt;&gt;"),INDEX(Lists!$AO$2:$AO$22,MATCH(TRIM($B490)&amp;" | "&amp;TRIM($D490),Lists!$AN$2:$AN$22,0)),IF(COUNTIF(Lists!$AR$2:$AR$3,$AJ490),"TDD Cyber",IF(AND(LEFT($AJ490,4)="EGI ",ISNUMBER(MATCH(TRIM(MID($AJ490,5,99)),Lists!$AS$2:$AS$12,0))),TRIM(MID($AJ490,5,99)),IF(AND(LEFT($AJ490,4)="EGI ",ISNUMBER(MATCH(TRIM(MID($AJ490,5,99)),Lists!$T$2:$T$21,0))),INDEX(Lists!$U$2:$U$21,MATCH(TRIM(MID($AJ490,5,99)),Lists!$T$2:$T$21,0)),IF(OR(TRIM($J490)="",UPPER(TRIM($J490))="NA"),IFERROR(INDEX(Lists!$R$2:$R$9,MATCH(TRIM($G490),Lists!$Q$2:$Q$9,0)),"UNMAPPED"),IFERROR(INDEX(Lists!$U$2:$U$21,MATCH(TRIM($J490),Lists!$T$2:$T$21,0)),IFERROR(INDEX(Lists!$R$2:$R$9,MATCH(TRIM($G490),Lists!$Q$2:$Q$9,0)),"UNMAPPED"))))))))</f>
        <v>Ampol Retail</v>
      </c>
      <c r="AI490" s="534" t="b">
        <f>IF(TRIM($B490)="","",--OR(TRIM($L490)="Leadership",TRIM($K490)="Leadership"))</f>
        <v>0</v>
      </c>
      <c r="AJ490" s="534" t="str">
        <f>IF(TRIM($B490)="","",IF(COUNTIFS(Lists!$AN$2:$AN$22,TRIM($B490)&amp;" | "&amp;TRIM($D490),Lists!$AP$2:$AP$22,"&lt;&gt;"),INDEX(Lists!$AP$2:$AP$22,MATCH(TRIM($B490)&amp;" | "&amp;TRIM($D490),Lists!$AN$2:$AN$22,0)),IF($AI490=1,"Leadership",IFERROR(INDEX(Lists!$X$2:$X$21,MATCH(TRIM($L490),Lists!$W$2:$W$21,0)),IF(OR(TRIM($L490)="",LOWER(TRIM($L490))="na"),IF(TRIM($H490)="","Unassigned",TRIM($H490)),TRIM($L490))))))</f>
        <v>Network &amp; QSR</v>
      </c>
      <c r="AK490" s="534" t="str">
        <f>IF(TRIM($B490)="","",IF(COUNTIFS(Lists!$AN$2:$AN$22,TRIM($B490)&amp;" | "&amp;TRIM($D490),Lists!$AQ$2:$AQ$22,"&lt;&gt;"),INDEX(Lists!$AQ$2:$AQ$22,MATCH(TRIM($B490)&amp;" | "&amp;TRIM($D490),Lists!$AN$2:$AN$22,0)),IF(COUNTIF(Lists!$AF$2:$AF$8,$AJ490),$AJ490,IF(ISNUMBER(SEARCH("head of ",$D490)),"Head of Technology",IF(ISNUMBER(SEARCH("TDD BP",$D490)),"Business Partner",IF(OR(ISNUMBER(SEARCH("domain architect",$D490)),ISNUMBER(SEARCH("enterprise architect",$D490))),"Domain Architect",IF(ISNUMBER(SEARCH("delivery man",$D490)),"Delivery Manager",IF(OR(ISNUMBER(SEARCH("technology manager",$D490)),ISNUMBER(SEARCH("technology manger",$D490)),ISNUMBER(SEARCH("tech manager",$D490))),"Technology Manager","Squad"))))))))</f>
        <v>Squad</v>
      </c>
      <c r="AL490" s="534" t="str">
        <f>IF(TRIM($B490)="","",IF(AND($AM490=1,LEFT($AJ490,4)&lt;&gt;"EGI ",$AJ490&lt;&gt;"EGI"),IFERROR(INDEX(Lists!$Z$2:$Z$20,MATCH($AH490,Lists!$Y$2:$Y$20,0)),"EGI "&amp;$AH490),IF(COUNTIF(Lists!$AU$2:$AU$10,$AJ490),$AJ490,IF(OR(LEFT($AH490,3)="COE",$AH490="EGI"),$AJ490,IF($AK490&lt;&gt;"Squad",$AK490,$AJ490)))))</f>
        <v>Network &amp; QSR</v>
      </c>
      <c r="AM490" s="534" t="b">
        <f>IF(TRIM($B490)="","",--(UPPER(TRIM($K490))="EGI"))</f>
        <v>0</v>
      </c>
      <c r="AQ490" s="841" t="inlineStr">
        <is>
          <t>R0489</t>
        </is>
      </c>
      <c r="AZ490" s="841" t="n"/>
    </row>
    <row r="491" ht="18" customFormat="1" customHeight="1" s="870">
      <c r="A491" s="842" t="n">
        <v>98015</v>
      </c>
      <c r="B491" s="843" t="inlineStr">
        <is>
          <t>Ethan Laffan</t>
        </is>
      </c>
      <c r="C491" s="842" t="n">
        <v>98015</v>
      </c>
      <c r="D491" s="843" t="inlineStr">
        <is>
          <t>Associate Experience Designer</t>
        </is>
      </c>
      <c r="E491" s="843" t="inlineStr">
        <is>
          <t>Byron Thornhill</t>
        </is>
      </c>
      <c r="F491" s="843" t="inlineStr">
        <is>
          <t>Design Manager</t>
        </is>
      </c>
      <c r="G491" s="844" t="inlineStr">
        <is>
          <t>Customer</t>
        </is>
      </c>
      <c r="H491" s="843" t="inlineStr">
        <is>
          <t>Digital</t>
        </is>
      </c>
      <c r="I491" s="843" t="inlineStr">
        <is>
          <t>Digital, Design</t>
        </is>
      </c>
      <c r="J491" s="843" t="inlineStr">
        <is>
          <t>Ampol Customer</t>
        </is>
      </c>
      <c r="K491" s="843" t="inlineStr">
        <is>
          <t>Ampol Digital</t>
        </is>
      </c>
      <c r="L491" s="843" t="inlineStr">
        <is>
          <t>Ampol App</t>
        </is>
      </c>
      <c r="M491" s="843" t="n"/>
      <c r="N491" s="845" t="inlineStr">
        <is>
          <t>Australia</t>
        </is>
      </c>
      <c r="O491" s="846" t="inlineStr">
        <is>
          <t>CDC (Always)</t>
        </is>
      </c>
      <c r="P491" s="847" t="n">
        <v>1</v>
      </c>
      <c r="Q491" s="846" t="n"/>
      <c r="R491" s="847" t="inlineStr">
        <is>
          <t>Permanent - Full Time</t>
        </is>
      </c>
      <c r="S491" s="847" t="n"/>
      <c r="T491" s="847" t="n"/>
      <c r="U491" s="848" t="n">
        <v>111380</v>
      </c>
      <c r="V491" s="849" t="n">
        <v>111380</v>
      </c>
      <c r="W491" s="850" t="n">
        <v>0.1</v>
      </c>
      <c r="X491" s="847" t="n">
        <v>0.055</v>
      </c>
      <c r="Y491" s="850" t="n">
        <v>0.12</v>
      </c>
      <c r="Z491" s="851" t="n"/>
      <c r="AA491" s="850" t="n">
        <v>0.04</v>
      </c>
      <c r="AB491" s="852" t="n">
        <v>146464.7</v>
      </c>
      <c r="AE491" s="870">
        <f>IF(TRIM($B491)="","",IF(AND(N($P491)&gt;0,N($P491)&lt;1),N($AB491)*N($P491),N($AB491)))</f>
        <v>146464.7</v>
      </c>
      <c r="AF491" s="870" t="str">
        <f>IF(TRIM($B491)="","",IF(OR(ISNUMBER(SEARCH("vacant",$B491)),ISNUMBER(SEARCH("ring fenced",$B491)),LOWER(TRIM($B491))="remove"),"Vacant","Filled"))</f>
        <v>Filled</v>
      </c>
      <c r="AG491" s="870" t="b">
        <f>IF(TRIM($B491)="","",--ISNUMBER(SEARCH("ring fenced",$B491)))</f>
        <v>0</v>
      </c>
      <c r="AH491" s="870" t="str">
        <f>IF(TRIM($B491)="","",IF(COUNTIFS(Lists!$AN$2:$AN$22,TRIM($B491)&amp;" | "&amp;TRIM($D491),Lists!$AO$2:$AO$22,"&lt;&gt;"),INDEX(Lists!$AO$2:$AO$22,MATCH(TRIM($B491)&amp;" | "&amp;TRIM($D491),Lists!$AN$2:$AN$22,0)),IF(COUNTIF(Lists!$AR$2:$AR$3,$AJ491),"TDD Cyber",IF(AND(LEFT($AJ491,4)="EGI ",ISNUMBER(MATCH(TRIM(MID($AJ491,5,99)),Lists!$AS$2:$AS$12,0))),TRIM(MID($AJ491,5,99)),IF(AND(LEFT($AJ491,4)="EGI ",ISNUMBER(MATCH(TRIM(MID($AJ491,5,99)),Lists!$T$2:$T$21,0))),INDEX(Lists!$U$2:$U$21,MATCH(TRIM(MID($AJ491,5,99)),Lists!$T$2:$T$21,0)),IF(OR(TRIM($J491)="",UPPER(TRIM($J491))="NA"),IFERROR(INDEX(Lists!$R$2:$R$9,MATCH(TRIM($G491),Lists!$Q$2:$Q$9,0)),"UNMAPPED"),IFERROR(INDEX(Lists!$U$2:$U$21,MATCH(TRIM($J491),Lists!$T$2:$T$21,0)),IFERROR(INDEX(Lists!$R$2:$R$9,MATCH(TRIM($G491),Lists!$Q$2:$Q$9,0)),"UNMAPPED"))))))))</f>
        <v>Customer</v>
      </c>
      <c r="AI491" s="870" t="b">
        <f>IF(TRIM($B491)="","",--OR(TRIM($L491)="Leadership",TRIM($K491)="Leadership"))</f>
        <v>0</v>
      </c>
      <c r="AJ491" s="870" t="str">
        <f>IF(TRIM($B491)="","",IF(COUNTIFS(Lists!$AN$2:$AN$22,TRIM($B491)&amp;" | "&amp;TRIM($D491),Lists!$AP$2:$AP$22,"&lt;&gt;"),INDEX(Lists!$AP$2:$AP$22,MATCH(TRIM($B491)&amp;" | "&amp;TRIM($D491),Lists!$AN$2:$AN$22,0)),IF($AI491=1,"Leadership",IFERROR(INDEX(Lists!$X$2:$X$21,MATCH(TRIM($L491),Lists!$W$2:$W$21,0)),IF(OR(TRIM($L491)="",LOWER(TRIM($L491))="na"),IF(TRIM($H491)="","Unassigned",TRIM($H491)),TRIM($L491))))))</f>
        <v>Ampol App</v>
      </c>
      <c r="AK491" s="870" t="str">
        <f>IF(TRIM($B491)="","",IF(COUNTIFS(Lists!$AN$2:$AN$22,TRIM($B491)&amp;" | "&amp;TRIM($D491),Lists!$AQ$2:$AQ$22,"&lt;&gt;"),INDEX(Lists!$AQ$2:$AQ$22,MATCH(TRIM($B491)&amp;" | "&amp;TRIM($D491),Lists!$AN$2:$AN$22,0)),IF(COUNTIF(Lists!$AF$2:$AF$8,$AJ491),$AJ491,IF(ISNUMBER(SEARCH("head of ",$D491)),"Head of Technology",IF(ISNUMBER(SEARCH("TDD BP",$D491)),"Business Partner",IF(OR(ISNUMBER(SEARCH("domain architect",$D491)),ISNUMBER(SEARCH("enterprise architect",$D491))),"Domain Architect",IF(ISNUMBER(SEARCH("delivery man",$D491)),"Delivery Manager",IF(OR(ISNUMBER(SEARCH("technology manager",$D491)),ISNUMBER(SEARCH("technology manger",$D491)),ISNUMBER(SEARCH("tech manager",$D491))),"Technology Manager","Squad"))))))))</f>
        <v>Squad</v>
      </c>
      <c r="AL491" s="870" t="str">
        <f>IF(TRIM($B491)="","",IF(AND($AM491=1,LEFT($AJ491,4)&lt;&gt;"EGI ",$AJ491&lt;&gt;"EGI"),IFERROR(INDEX(Lists!$Z$2:$Z$20,MATCH($AH491,Lists!$Y$2:$Y$20,0)),"EGI "&amp;$AH491),IF(COUNTIF(Lists!$AU$2:$AU$10,$AJ491),$AJ491,IF(OR(LEFT($AH491,3)="COE",$AH491="EGI"),$AJ491,IF($AK491&lt;&gt;"Squad",$AK491,$AJ491)))))</f>
        <v>Ampol App</v>
      </c>
      <c r="AM491" s="870" t="b">
        <f>IF(TRIM($B491)="","",--(UPPER(TRIM($K491))="EGI"))</f>
        <v>0</v>
      </c>
      <c r="AN491" s="870" t="inlineStr">
        <is>
          <t>Filled</t>
        </is>
      </c>
      <c r="AQ491" s="841" t="inlineStr">
        <is>
          <t>R0490</t>
        </is>
      </c>
      <c r="AZ491" s="841" t="n"/>
    </row>
    <row r="492" ht="18" customHeight="1" s="535">
      <c r="A492" s="842" t="n">
        <v>113567</v>
      </c>
      <c r="B492" s="843" t="inlineStr">
        <is>
          <t>Kishore Ganesan</t>
        </is>
      </c>
      <c r="C492" s="842" t="n">
        <v>113567</v>
      </c>
      <c r="D492" s="843" t="inlineStr">
        <is>
          <t>Intermediate Quality Assurance</t>
        </is>
      </c>
      <c r="E492" s="843" t="inlineStr">
        <is>
          <t>Kris Hamilton</t>
        </is>
      </c>
      <c r="F492" s="843" t="inlineStr">
        <is>
          <t>Technology Manager, Loyalty &amp; Martech</t>
        </is>
      </c>
      <c r="G492" s="844" t="inlineStr">
        <is>
          <t>Customer</t>
        </is>
      </c>
      <c r="H492" s="843" t="inlineStr">
        <is>
          <t>Loyalty &amp; Martech</t>
        </is>
      </c>
      <c r="I492" s="843" t="inlineStr">
        <is>
          <t>Loyalty, Tech</t>
        </is>
      </c>
      <c r="J492" s="843" t="inlineStr">
        <is>
          <t>Z ENERGY (DIGITAL)</t>
        </is>
      </c>
      <c r="K492" s="843" t="inlineStr">
        <is>
          <t>Z Loyalty &amp; Martech</t>
        </is>
      </c>
      <c r="L492" s="843" t="inlineStr">
        <is>
          <t>Z Loyalty &amp; Martech</t>
        </is>
      </c>
      <c r="M492" s="843" t="n"/>
      <c r="N492" s="845" t="inlineStr">
        <is>
          <t>NZ</t>
        </is>
      </c>
      <c r="O492" s="846" t="inlineStr">
        <is>
          <t>CDC (Always)</t>
        </is>
      </c>
      <c r="P492" s="847" t="n">
        <v>1</v>
      </c>
      <c r="Q492" s="846" t="n"/>
      <c r="R492" s="847" t="inlineStr">
        <is>
          <t>Permanent - Full Time</t>
        </is>
      </c>
      <c r="S492" s="847" t="n"/>
      <c r="T492" s="847" t="n"/>
      <c r="U492" s="848" t="n">
        <v>96140</v>
      </c>
      <c r="V492" s="849" t="n">
        <v>88448.8</v>
      </c>
      <c r="W492" s="850" t="n">
        <v>0.1</v>
      </c>
      <c r="X492" s="847" t="n"/>
      <c r="Y492" s="850" t="n">
        <v>0.05</v>
      </c>
      <c r="Z492" s="851" t="n">
        <v>2910</v>
      </c>
      <c r="AA492" s="850" t="n">
        <v>0.03</v>
      </c>
      <c r="AB492" s="852" t="n">
        <v>107279.584</v>
      </c>
      <c r="AE492" s="534">
        <f>IF(TRIM($B492)="","",IF(AND(N($P492)&gt;0,N($P492)&lt;1),N($AB492)*N($P492),N($AB492)))</f>
        <v>107279.584</v>
      </c>
      <c r="AF492" s="534" t="str">
        <f>IF(TRIM($B492)="","",IF(OR(ISNUMBER(SEARCH("vacant",$B492)),ISNUMBER(SEARCH("ring fenced",$B492)),LOWER(TRIM($B492))="remove"),"Vacant","Filled"))</f>
        <v>Filled</v>
      </c>
      <c r="AG492" s="534" t="b">
        <f>IF(TRIM($B492)="","",--ISNUMBER(SEARCH("ring fenced",$B492)))</f>
        <v>0</v>
      </c>
      <c r="AH492" s="534" t="str">
        <f>IF(TRIM($B492)="","",IF(COUNTIFS(Lists!$AN$2:$AN$22,TRIM($B492)&amp;" | "&amp;TRIM($D492),Lists!$AO$2:$AO$22,"&lt;&gt;"),INDEX(Lists!$AO$2:$AO$22,MATCH(TRIM($B492)&amp;" | "&amp;TRIM($D492),Lists!$AN$2:$AN$22,0)),IF(COUNTIF(Lists!$AR$2:$AR$3,$AJ492),"TDD Cyber",IF(AND(LEFT($AJ492,4)="EGI ",ISNUMBER(MATCH(TRIM(MID($AJ492,5,99)),Lists!$AS$2:$AS$12,0))),TRIM(MID($AJ492,5,99)),IF(AND(LEFT($AJ492,4)="EGI ",ISNUMBER(MATCH(TRIM(MID($AJ492,5,99)),Lists!$T$2:$T$21,0))),INDEX(Lists!$U$2:$U$21,MATCH(TRIM(MID($AJ492,5,99)),Lists!$T$2:$T$21,0)),IF(OR(TRIM($J492)="",UPPER(TRIM($J492))="NA"),IFERROR(INDEX(Lists!$R$2:$R$9,MATCH(TRIM($G492),Lists!$Q$2:$Q$9,0)),"UNMAPPED"),IFERROR(INDEX(Lists!$U$2:$U$21,MATCH(TRIM($J492),Lists!$T$2:$T$21,0)),IFERROR(INDEX(Lists!$R$2:$R$9,MATCH(TRIM($G492),Lists!$Q$2:$Q$9,0)),"UNMAPPED"))))))))</f>
        <v>Customer</v>
      </c>
      <c r="AI492" s="534" t="b">
        <f>IF(TRIM($B492)="","",--OR(TRIM($L492)="Leadership",TRIM($K492)="Leadership"))</f>
        <v>0</v>
      </c>
      <c r="AJ492" s="534" t="str">
        <f>IF(TRIM($B492)="","",IF(COUNTIFS(Lists!$AN$2:$AN$22,TRIM($B492)&amp;" | "&amp;TRIM($D492),Lists!$AP$2:$AP$22,"&lt;&gt;"),INDEX(Lists!$AP$2:$AP$22,MATCH(TRIM($B492)&amp;" | "&amp;TRIM($D492),Lists!$AN$2:$AN$22,0)),IF($AI492=1,"Leadership",IFERROR(INDEX(Lists!$X$2:$X$21,MATCH(TRIM($L492),Lists!$W$2:$W$21,0)),IF(OR(TRIM($L492)="",LOWER(TRIM($L492))="na"),IF(TRIM($H492)="","Unassigned",TRIM($H492)),TRIM($L492))))))</f>
        <v>Z Loyalty &amp; Martech</v>
      </c>
      <c r="AK492" s="534" t="str">
        <f>IF(TRIM($B492)="","",IF(COUNTIFS(Lists!$AN$2:$AN$22,TRIM($B492)&amp;" | "&amp;TRIM($D492),Lists!$AQ$2:$AQ$22,"&lt;&gt;"),INDEX(Lists!$AQ$2:$AQ$22,MATCH(TRIM($B492)&amp;" | "&amp;TRIM($D492),Lists!$AN$2:$AN$22,0)),IF(COUNTIF(Lists!$AF$2:$AF$8,$AJ492),$AJ492,IF(ISNUMBER(SEARCH("head of ",$D492)),"Head of Technology",IF(ISNUMBER(SEARCH("TDD BP",$D492)),"Business Partner",IF(OR(ISNUMBER(SEARCH("domain architect",$D492)),ISNUMBER(SEARCH("enterprise architect",$D492))),"Domain Architect",IF(ISNUMBER(SEARCH("delivery man",$D492)),"Delivery Manager",IF(OR(ISNUMBER(SEARCH("technology manager",$D492)),ISNUMBER(SEARCH("technology manger",$D492)),ISNUMBER(SEARCH("tech manager",$D492))),"Technology Manager","Squad"))))))))</f>
        <v>Squad</v>
      </c>
      <c r="AL492" s="534" t="str">
        <f>IF(TRIM($B492)="","",IF(AND($AM492=1,LEFT($AJ492,4)&lt;&gt;"EGI ",$AJ492&lt;&gt;"EGI"),IFERROR(INDEX(Lists!$Z$2:$Z$20,MATCH($AH492,Lists!$Y$2:$Y$20,0)),"EGI "&amp;$AH492),IF(COUNTIF(Lists!$AU$2:$AU$10,$AJ492),$AJ492,IF(OR(LEFT($AH492,3)="COE",$AH492="EGI"),$AJ492,IF($AK492&lt;&gt;"Squad",$AK492,$AJ492)))))</f>
        <v>Z Loyalty &amp; Martech</v>
      </c>
      <c r="AM492" s="534" t="b">
        <f>IF(TRIM($B492)="","",--(UPPER(TRIM($K492))="EGI"))</f>
        <v>0</v>
      </c>
      <c r="AN492" s="534" t="inlineStr">
        <is>
          <t>Filled</t>
        </is>
      </c>
      <c r="AQ492" s="841" t="inlineStr">
        <is>
          <t>R0491</t>
        </is>
      </c>
      <c r="AZ492" s="841" t="n"/>
    </row>
    <row r="493" ht="18" customHeight="1" s="535">
      <c r="A493" s="842" t="n">
        <v>117173</v>
      </c>
      <c r="B493" s="843" t="inlineStr">
        <is>
          <t>Ashwini Gaikwad</t>
        </is>
      </c>
      <c r="C493" s="842" t="n">
        <v>117173</v>
      </c>
      <c r="D493" s="843" t="inlineStr">
        <is>
          <t>Quality Assurance</t>
        </is>
      </c>
      <c r="E493" s="843" t="inlineStr">
        <is>
          <t>Mitesh Shah</t>
        </is>
      </c>
      <c r="F493" s="843" t="inlineStr">
        <is>
          <t>Technology Manager, Digitial</t>
        </is>
      </c>
      <c r="G493" s="844" t="inlineStr">
        <is>
          <t>Customer</t>
        </is>
      </c>
      <c r="H493" s="843" t="inlineStr">
        <is>
          <t>Digital</t>
        </is>
      </c>
      <c r="I493" s="843" t="inlineStr">
        <is>
          <t>Digital, Tech</t>
        </is>
      </c>
      <c r="J493" s="843" t="inlineStr">
        <is>
          <t>Ampol Customer</t>
        </is>
      </c>
      <c r="K493" s="843" t="inlineStr">
        <is>
          <t>Ampol Digital</t>
        </is>
      </c>
      <c r="L493" s="843" t="inlineStr">
        <is>
          <t>Ampol Web</t>
        </is>
      </c>
      <c r="M493" s="843" t="n"/>
      <c r="N493" s="845" t="inlineStr">
        <is>
          <t>Australia</t>
        </is>
      </c>
      <c r="O493" s="846" t="inlineStr">
        <is>
          <t>CDC (Always)</t>
        </is>
      </c>
      <c r="P493" s="847" t="n">
        <v>1</v>
      </c>
      <c r="Q493" s="846" t="n"/>
      <c r="R493" s="847" t="inlineStr">
        <is>
          <t>Permanent - Full Time</t>
        </is>
      </c>
      <c r="S493" s="847" t="n"/>
      <c r="T493" s="847" t="n"/>
      <c r="U493" s="848" t="n">
        <v>119900</v>
      </c>
      <c r="V493" s="849" t="n">
        <v>126350</v>
      </c>
      <c r="W493" s="850" t="n">
        <v>0.1</v>
      </c>
      <c r="X493" s="847" t="n">
        <v>0.055</v>
      </c>
      <c r="Y493" s="850" t="n">
        <v>0.12</v>
      </c>
      <c r="Z493" s="851" t="n"/>
      <c r="AA493" s="850" t="n">
        <v>0.04</v>
      </c>
      <c r="AB493" s="852" t="n">
        <v>146465.7</v>
      </c>
      <c r="AE493" s="534">
        <f>IF(TRIM($B493)="","",IF(AND(N($P493)&gt;0,N($P493)&lt;1),N($AB493)*N($P493),N($AB493)))</f>
        <v>146465.7</v>
      </c>
      <c r="AF493" s="534" t="str">
        <f>IF(TRIM($B493)="","",IF(OR(ISNUMBER(SEARCH("vacant",$B493)),ISNUMBER(SEARCH("ring fenced",$B493)),LOWER(TRIM($B493))="remove"),"Vacant","Filled"))</f>
        <v>Filled</v>
      </c>
      <c r="AG493" s="534" t="b">
        <f>IF(TRIM($B493)="","",--ISNUMBER(SEARCH("ring fenced",$B493)))</f>
        <v>0</v>
      </c>
      <c r="AH493" s="534" t="str">
        <f>IF(TRIM($B493)="","",IF(COUNTIFS(Lists!$AN$2:$AN$22,TRIM($B493)&amp;" | "&amp;TRIM($D493),Lists!$AO$2:$AO$22,"&lt;&gt;"),INDEX(Lists!$AO$2:$AO$22,MATCH(TRIM($B493)&amp;" | "&amp;TRIM($D493),Lists!$AN$2:$AN$22,0)),IF(COUNTIF(Lists!$AR$2:$AR$3,$AJ493),"TDD Cyber",IF(AND(LEFT($AJ493,4)="EGI ",ISNUMBER(MATCH(TRIM(MID($AJ493,5,99)),Lists!$AS$2:$AS$12,0))),TRIM(MID($AJ493,5,99)),IF(AND(LEFT($AJ493,4)="EGI ",ISNUMBER(MATCH(TRIM(MID($AJ493,5,99)),Lists!$T$2:$T$21,0))),INDEX(Lists!$U$2:$U$21,MATCH(TRIM(MID($AJ493,5,99)),Lists!$T$2:$T$21,0)),IF(OR(TRIM($J493)="",UPPER(TRIM($J493))="NA"),IFERROR(INDEX(Lists!$R$2:$R$9,MATCH(TRIM($G493),Lists!$Q$2:$Q$9,0)),"UNMAPPED"),IFERROR(INDEX(Lists!$U$2:$U$21,MATCH(TRIM($J493),Lists!$T$2:$T$21,0)),IFERROR(INDEX(Lists!$R$2:$R$9,MATCH(TRIM($G493),Lists!$Q$2:$Q$9,0)),"UNMAPPED"))))))))</f>
        <v>Customer</v>
      </c>
      <c r="AI493" s="534" t="b">
        <f>IF(TRIM($B493)="","",--OR(TRIM($L493)="Leadership",TRIM($K493)="Leadership"))</f>
        <v>0</v>
      </c>
      <c r="AJ493" s="534" t="str">
        <f>IF(TRIM($B493)="","",IF(COUNTIFS(Lists!$AN$2:$AN$22,TRIM($B493)&amp;" | "&amp;TRIM($D493),Lists!$AP$2:$AP$22,"&lt;&gt;"),INDEX(Lists!$AP$2:$AP$22,MATCH(TRIM($B493)&amp;" | "&amp;TRIM($D493),Lists!$AN$2:$AN$22,0)),IF($AI493=1,"Leadership",IFERROR(INDEX(Lists!$X$2:$X$21,MATCH(TRIM($L493),Lists!$W$2:$W$21,0)),IF(OR(TRIM($L493)="",LOWER(TRIM($L493))="na"),IF(TRIM($H493)="","Unassigned",TRIM($H493)),TRIM($L493))))))</f>
        <v>Ampol Web</v>
      </c>
      <c r="AK493" s="534" t="str">
        <f>IF(TRIM($B493)="","",IF(COUNTIFS(Lists!$AN$2:$AN$22,TRIM($B493)&amp;" | "&amp;TRIM($D493),Lists!$AQ$2:$AQ$22,"&lt;&gt;"),INDEX(Lists!$AQ$2:$AQ$22,MATCH(TRIM($B493)&amp;" | "&amp;TRIM($D493),Lists!$AN$2:$AN$22,0)),IF(COUNTIF(Lists!$AF$2:$AF$8,$AJ493),$AJ493,IF(ISNUMBER(SEARCH("head of ",$D493)),"Head of Technology",IF(ISNUMBER(SEARCH("TDD BP",$D493)),"Business Partner",IF(OR(ISNUMBER(SEARCH("domain architect",$D493)),ISNUMBER(SEARCH("enterprise architect",$D493))),"Domain Architect",IF(ISNUMBER(SEARCH("delivery man",$D493)),"Delivery Manager",IF(OR(ISNUMBER(SEARCH("technology manager",$D493)),ISNUMBER(SEARCH("technology manger",$D493)),ISNUMBER(SEARCH("tech manager",$D493))),"Technology Manager","Squad"))))))))</f>
        <v>Squad</v>
      </c>
      <c r="AL493" s="534" t="str">
        <f>IF(TRIM($B493)="","",IF(AND($AM493=1,LEFT($AJ493,4)&lt;&gt;"EGI ",$AJ493&lt;&gt;"EGI"),IFERROR(INDEX(Lists!$Z$2:$Z$20,MATCH($AH493,Lists!$Y$2:$Y$20,0)),"EGI "&amp;$AH493),IF(COUNTIF(Lists!$AU$2:$AU$10,$AJ493),$AJ493,IF(OR(LEFT($AH493,3)="COE",$AH493="EGI"),$AJ493,IF($AK493&lt;&gt;"Squad",$AK493,$AJ493)))))</f>
        <v>Ampol Web</v>
      </c>
      <c r="AM493" s="534" t="b">
        <f>IF(TRIM($B493)="","",--(UPPER(TRIM($K493))="EGI"))</f>
        <v>0</v>
      </c>
      <c r="AN493" s="534" t="inlineStr">
        <is>
          <t>Filled</t>
        </is>
      </c>
      <c r="AQ493" s="841" t="inlineStr">
        <is>
          <t>R0492</t>
        </is>
      </c>
      <c r="AZ493" s="841" t="n"/>
    </row>
    <row r="494" ht="18" customHeight="1" s="535">
      <c r="A494" s="842" t="n">
        <v>113522</v>
      </c>
      <c r="B494" s="843" t="inlineStr">
        <is>
          <t>Bradley Cunningham</t>
        </is>
      </c>
      <c r="C494" s="842" t="n">
        <v>113522</v>
      </c>
      <c r="D494" s="843" t="inlineStr">
        <is>
          <t>Site Systems Analyst</t>
        </is>
      </c>
      <c r="E494" s="843" t="inlineStr">
        <is>
          <t>Callan McLaughlin</t>
        </is>
      </c>
      <c r="F494" s="843" t="inlineStr">
        <is>
          <t>Technology Manager,  Site Systems</t>
        </is>
      </c>
      <c r="G494" s="844" t="inlineStr">
        <is>
          <t>Ampol Retail &amp; Z</t>
        </is>
      </c>
      <c r="H494" s="843" t="inlineStr">
        <is>
          <t>Z &amp; Group Retail</t>
        </is>
      </c>
      <c r="I494" s="843" t="inlineStr">
        <is>
          <t>Z &amp; Group Retail, Site Systems</t>
        </is>
      </c>
      <c r="J494" s="843" t="inlineStr">
        <is>
          <t>Z</t>
        </is>
      </c>
      <c r="K494" s="843" t="inlineStr">
        <is>
          <t>Z Customer</t>
        </is>
      </c>
      <c r="L494" s="843" t="inlineStr">
        <is>
          <t>Site Systems</t>
        </is>
      </c>
      <c r="M494" s="843" t="n"/>
      <c r="N494" s="845" t="inlineStr">
        <is>
          <t>NZ</t>
        </is>
      </c>
      <c r="O494" s="846" t="inlineStr">
        <is>
          <t>CDC</t>
        </is>
      </c>
      <c r="P494" s="847" t="n">
        <v>1</v>
      </c>
      <c r="Q494" s="846" t="n"/>
      <c r="R494" s="847" t="inlineStr">
        <is>
          <t>Permanent - Full Time</t>
        </is>
      </c>
      <c r="S494" s="847" t="n"/>
      <c r="T494" s="847" t="n"/>
      <c r="U494" s="848" t="n">
        <v>96110</v>
      </c>
      <c r="V494" s="849" t="n">
        <v>88421.2</v>
      </c>
      <c r="W494" s="850" t="n">
        <v>0.1</v>
      </c>
      <c r="X494" s="847" t="n"/>
      <c r="Y494" s="850" t="n">
        <v>0.05</v>
      </c>
      <c r="Z494" s="851" t="n">
        <v>2910</v>
      </c>
      <c r="AA494" s="850" t="n">
        <v>0.03</v>
      </c>
      <c r="AB494" s="852" t="n">
        <v>107247.016</v>
      </c>
      <c r="AE494" s="534">
        <f>IF(TRIM($B494)="","",IF(AND(N($P494)&gt;0,N($P494)&lt;1),N($AB494)*N($P494),N($AB494)))</f>
        <v>107247.016</v>
      </c>
      <c r="AF494" s="534" t="str">
        <f>IF(TRIM($B494)="","",IF(OR(ISNUMBER(SEARCH("vacant",$B494)),ISNUMBER(SEARCH("ring fenced",$B494)),LOWER(TRIM($B494))="remove"),"Vacant","Filled"))</f>
        <v>Filled</v>
      </c>
      <c r="AG494" s="534" t="b">
        <f>IF(TRIM($B494)="","",--ISNUMBER(SEARCH("ring fenced",$B494)))</f>
        <v>0</v>
      </c>
      <c r="AH494" s="534" t="str">
        <f>IF(TRIM($B494)="","",IF(COUNTIFS(Lists!$AN$2:$AN$22,TRIM($B494)&amp;" | "&amp;TRIM($D494),Lists!$AO$2:$AO$22,"&lt;&gt;"),INDEX(Lists!$AO$2:$AO$22,MATCH(TRIM($B494)&amp;" | "&amp;TRIM($D494),Lists!$AN$2:$AN$22,0)),IF(COUNTIF(Lists!$AR$2:$AR$3,$AJ494),"TDD Cyber",IF(AND(LEFT($AJ494,4)="EGI ",ISNUMBER(MATCH(TRIM(MID($AJ494,5,99)),Lists!$AS$2:$AS$12,0))),TRIM(MID($AJ494,5,99)),IF(AND(LEFT($AJ494,4)="EGI ",ISNUMBER(MATCH(TRIM(MID($AJ494,5,99)),Lists!$T$2:$T$21,0))),INDEX(Lists!$U$2:$U$21,MATCH(TRIM(MID($AJ494,5,99)),Lists!$T$2:$T$21,0)),IF(OR(TRIM($J494)="",UPPER(TRIM($J494))="NA"),IFERROR(INDEX(Lists!$R$2:$R$9,MATCH(TRIM($G494),Lists!$Q$2:$Q$9,0)),"UNMAPPED"),IFERROR(INDEX(Lists!$U$2:$U$21,MATCH(TRIM($J494),Lists!$T$2:$T$21,0)),IFERROR(INDEX(Lists!$R$2:$R$9,MATCH(TRIM($G494),Lists!$Q$2:$Q$9,0)),"UNMAPPED"))))))))</f>
        <v>Z Retail</v>
      </c>
      <c r="AI494" s="534" t="b">
        <f>IF(TRIM($B494)="","",--OR(TRIM($L494)="Leadership",TRIM($K494)="Leadership"))</f>
        <v>0</v>
      </c>
      <c r="AJ494" s="534" t="str">
        <f>IF(TRIM($B494)="","",IF(COUNTIFS(Lists!$AN$2:$AN$22,TRIM($B494)&amp;" | "&amp;TRIM($D494),Lists!$AP$2:$AP$22,"&lt;&gt;"),INDEX(Lists!$AP$2:$AP$22,MATCH(TRIM($B494)&amp;" | "&amp;TRIM($D494),Lists!$AN$2:$AN$22,0)),IF($AI494=1,"Leadership",IFERROR(INDEX(Lists!$X$2:$X$21,MATCH(TRIM($L494),Lists!$W$2:$W$21,0)),IF(OR(TRIM($L494)="",LOWER(TRIM($L494))="na"),IF(TRIM($H494)="","Unassigned",TRIM($H494)),TRIM($L494))))))</f>
        <v>Site Systems</v>
      </c>
      <c r="AK494" s="534" t="str">
        <f>IF(TRIM($B494)="","",IF(COUNTIFS(Lists!$AN$2:$AN$22,TRIM($B494)&amp;" | "&amp;TRIM($D494),Lists!$AQ$2:$AQ$22,"&lt;&gt;"),INDEX(Lists!$AQ$2:$AQ$22,MATCH(TRIM($B494)&amp;" | "&amp;TRIM($D494),Lists!$AN$2:$AN$22,0)),IF(COUNTIF(Lists!$AF$2:$AF$8,$AJ494),$AJ494,IF(ISNUMBER(SEARCH("head of ",$D494)),"Head of Technology",IF(ISNUMBER(SEARCH("TDD BP",$D494)),"Business Partner",IF(OR(ISNUMBER(SEARCH("domain architect",$D494)),ISNUMBER(SEARCH("enterprise architect",$D494))),"Domain Architect",IF(ISNUMBER(SEARCH("delivery man",$D494)),"Delivery Manager",IF(OR(ISNUMBER(SEARCH("technology manager",$D494)),ISNUMBER(SEARCH("technology manger",$D494)),ISNUMBER(SEARCH("tech manager",$D494))),"Technology Manager","Squad"))))))))</f>
        <v>Squad</v>
      </c>
      <c r="AL494" s="534" t="str">
        <f>IF(TRIM($B494)="","",IF(AND($AM494=1,LEFT($AJ494,4)&lt;&gt;"EGI ",$AJ494&lt;&gt;"EGI"),IFERROR(INDEX(Lists!$Z$2:$Z$20,MATCH($AH494,Lists!$Y$2:$Y$20,0)),"EGI "&amp;$AH494),IF(COUNTIF(Lists!$AU$2:$AU$10,$AJ494),$AJ494,IF(OR(LEFT($AH494,3)="COE",$AH494="EGI"),$AJ494,IF($AK494&lt;&gt;"Squad",$AK494,$AJ494)))))</f>
        <v>Site Systems</v>
      </c>
      <c r="AM494" s="534" t="b">
        <f>IF(TRIM($B494)="","",--(UPPER(TRIM($K494))="EGI"))</f>
        <v>0</v>
      </c>
      <c r="AQ494" s="841" t="inlineStr">
        <is>
          <t>R0493</t>
        </is>
      </c>
      <c r="AZ494" s="841" t="n"/>
    </row>
    <row r="495" ht="18" customHeight="1" s="535">
      <c r="A495" s="842" t="n">
        <v>14100</v>
      </c>
      <c r="B495" s="843" t="inlineStr">
        <is>
          <t>Belinda Ford</t>
        </is>
      </c>
      <c r="C495" s="842" t="n">
        <v>14100</v>
      </c>
      <c r="D495" s="843" t="inlineStr">
        <is>
          <t>Quality Assurance</t>
        </is>
      </c>
      <c r="E495" s="843" t="inlineStr">
        <is>
          <t>Elle Spencer</t>
        </is>
      </c>
      <c r="F495" s="843" t="inlineStr">
        <is>
          <t>Technology Manager, Energy Solutions</t>
        </is>
      </c>
      <c r="G495" s="844" t="inlineStr">
        <is>
          <t>TDD CFE&amp;I</t>
        </is>
      </c>
      <c r="H495" s="843" t="inlineStr">
        <is>
          <t>B2B &amp; Energy Solutions</t>
        </is>
      </c>
      <c r="I495" s="843" t="inlineStr">
        <is>
          <t>Technology B2B</t>
        </is>
      </c>
      <c r="J495" s="843" t="inlineStr">
        <is>
          <t>B2B &amp; Energy Solutions</t>
        </is>
      </c>
      <c r="K495" s="843" t="inlineStr">
        <is>
          <t>B2B</t>
        </is>
      </c>
      <c r="L495" s="843" t="inlineStr">
        <is>
          <t>B2B</t>
        </is>
      </c>
      <c r="M495" s="843" t="n"/>
      <c r="N495" s="845" t="inlineStr">
        <is>
          <t>Australia</t>
        </is>
      </c>
      <c r="O495" s="846" t="inlineStr">
        <is>
          <t>CDC</t>
        </is>
      </c>
      <c r="P495" s="847" t="n">
        <v>1</v>
      </c>
      <c r="Q495" s="846" t="n"/>
      <c r="R495" s="847" t="inlineStr">
        <is>
          <t>Permanent - Full Time</t>
        </is>
      </c>
      <c r="S495" s="847" t="n"/>
      <c r="T495" s="847" t="n"/>
      <c r="U495" s="848" t="n">
        <v>113430</v>
      </c>
      <c r="V495" s="849" t="n">
        <v>113430</v>
      </c>
      <c r="W495" s="850" t="n">
        <v>0.1</v>
      </c>
      <c r="X495" s="847" t="n">
        <v>0.055</v>
      </c>
      <c r="Y495" s="850" t="n">
        <v>0.12</v>
      </c>
      <c r="Z495" s="851" t="n"/>
      <c r="AA495" s="850" t="n">
        <v>0.04</v>
      </c>
      <c r="AB495" s="852" t="n">
        <v>149160.45</v>
      </c>
      <c r="AE495" s="534">
        <f>IF(TRIM($B495)="","",IF(AND(N($P495)&gt;0,N($P495)&lt;1),N($AB495)*N($P495),N($AB495)))</f>
        <v>149160.45</v>
      </c>
      <c r="AF495" s="534" t="str">
        <f>IF(TRIM($B495)="","",IF(OR(ISNUMBER(SEARCH("vacant",$B495)),ISNUMBER(SEARCH("ring fenced",$B495)),LOWER(TRIM($B495))="remove"),"Vacant","Filled"))</f>
        <v>Filled</v>
      </c>
      <c r="AG495" s="534" t="b">
        <f>IF(TRIM($B495)="","",--ISNUMBER(SEARCH("ring fenced",$B495)))</f>
        <v>0</v>
      </c>
      <c r="AH495" s="534" t="str">
        <f>IF(TRIM($B495)="","",IF(COUNTIFS(Lists!$AN$2:$AN$22,TRIM($B495)&amp;" | "&amp;TRIM($D495),Lists!$AO$2:$AO$22,"&lt;&gt;"),INDEX(Lists!$AO$2:$AO$22,MATCH(TRIM($B495)&amp;" | "&amp;TRIM($D495),Lists!$AN$2:$AN$22,0)),IF(COUNTIF(Lists!$AR$2:$AR$3,$AJ495),"TDD Cyber",IF(AND(LEFT($AJ495,4)="EGI ",ISNUMBER(MATCH(TRIM(MID($AJ495,5,99)),Lists!$AS$2:$AS$12,0))),TRIM(MID($AJ495,5,99)),IF(AND(LEFT($AJ495,4)="EGI ",ISNUMBER(MATCH(TRIM(MID($AJ495,5,99)),Lists!$T$2:$T$21,0))),INDEX(Lists!$U$2:$U$21,MATCH(TRIM(MID($AJ495,5,99)),Lists!$T$2:$T$21,0)),IF(OR(TRIM($J495)="",UPPER(TRIM($J495))="NA"),IFERROR(INDEX(Lists!$R$2:$R$9,MATCH(TRIM($G495),Lists!$Q$2:$Q$9,0)),"UNMAPPED"),IFERROR(INDEX(Lists!$U$2:$U$21,MATCH(TRIM($J495),Lists!$T$2:$T$21,0)),IFERROR(INDEX(Lists!$R$2:$R$9,MATCH(TRIM($G495),Lists!$Q$2:$Q$9,0)),"UNMAPPED"))))))))</f>
        <v>Energy Solutions &amp; B2B</v>
      </c>
      <c r="AI495" s="534" t="b">
        <f>IF(TRIM($B495)="","",--OR(TRIM($L495)="Leadership",TRIM($K495)="Leadership"))</f>
        <v>0</v>
      </c>
      <c r="AJ495" s="534" t="str">
        <f>IF(TRIM($B495)="","",IF(COUNTIFS(Lists!$AN$2:$AN$22,TRIM($B495)&amp;" | "&amp;TRIM($D495),Lists!$AP$2:$AP$22,"&lt;&gt;"),INDEX(Lists!$AP$2:$AP$22,MATCH(TRIM($B495)&amp;" | "&amp;TRIM($D495),Lists!$AN$2:$AN$22,0)),IF($AI495=1,"Leadership",IFERROR(INDEX(Lists!$X$2:$X$21,MATCH(TRIM($L495),Lists!$W$2:$W$21,0)),IF(OR(TRIM($L495)="",LOWER(TRIM($L495))="na"),IF(TRIM($H495)="","Unassigned",TRIM($H495)),TRIM($L495))))))</f>
        <v>B2B</v>
      </c>
      <c r="AK495" s="534" t="str">
        <f>IF(TRIM($B495)="","",IF(COUNTIFS(Lists!$AN$2:$AN$22,TRIM($B495)&amp;" | "&amp;TRIM($D495),Lists!$AQ$2:$AQ$22,"&lt;&gt;"),INDEX(Lists!$AQ$2:$AQ$22,MATCH(TRIM($B495)&amp;" | "&amp;TRIM($D495),Lists!$AN$2:$AN$22,0)),IF(COUNTIF(Lists!$AF$2:$AF$8,$AJ495),$AJ495,IF(ISNUMBER(SEARCH("head of ",$D495)),"Head of Technology",IF(ISNUMBER(SEARCH("TDD BP",$D495)),"Business Partner",IF(OR(ISNUMBER(SEARCH("domain architect",$D495)),ISNUMBER(SEARCH("enterprise architect",$D495))),"Domain Architect",IF(ISNUMBER(SEARCH("delivery man",$D495)),"Delivery Manager",IF(OR(ISNUMBER(SEARCH("technology manager",$D495)),ISNUMBER(SEARCH("technology manger",$D495)),ISNUMBER(SEARCH("tech manager",$D495))),"Technology Manager","Squad"))))))))</f>
        <v>Squad</v>
      </c>
      <c r="AL495" s="534" t="str">
        <f>IF(TRIM($B495)="","",IF(AND($AM495=1,LEFT($AJ495,4)&lt;&gt;"EGI ",$AJ495&lt;&gt;"EGI"),IFERROR(INDEX(Lists!$Z$2:$Z$20,MATCH($AH495,Lists!$Y$2:$Y$20,0)),"EGI "&amp;$AH495),IF(COUNTIF(Lists!$AU$2:$AU$10,$AJ495),$AJ495,IF(OR(LEFT($AH495,3)="COE",$AH495="EGI"),$AJ495,IF($AK495&lt;&gt;"Squad",$AK495,$AJ495)))))</f>
        <v>B2B</v>
      </c>
      <c r="AM495" s="534" t="b">
        <f>IF(TRIM($B495)="","",--(UPPER(TRIM($K495))="EGI"))</f>
        <v>0</v>
      </c>
      <c r="AQ495" s="841" t="inlineStr">
        <is>
          <t>R0494</t>
        </is>
      </c>
      <c r="AZ495" s="841" t="n"/>
    </row>
    <row r="496" ht="18" customHeight="1" s="535">
      <c r="A496" s="842" t="n">
        <v>101157</v>
      </c>
      <c r="B496" s="843" t="inlineStr">
        <is>
          <t>Jessica Calla</t>
        </is>
      </c>
      <c r="C496" s="842" t="n">
        <v>101157</v>
      </c>
      <c r="D496" s="843" t="inlineStr">
        <is>
          <t>System Analyst Card</t>
        </is>
      </c>
      <c r="E496" s="843" t="inlineStr">
        <is>
          <t>Elle Spencer</t>
        </is>
      </c>
      <c r="F496" s="843" t="inlineStr">
        <is>
          <t>Technology Manager, Energy Solutions</t>
        </is>
      </c>
      <c r="G496" s="844" t="inlineStr">
        <is>
          <t>TDD CFE&amp;I</t>
        </is>
      </c>
      <c r="H496" s="843" t="inlineStr">
        <is>
          <t>B2B &amp; Energy Solutions</t>
        </is>
      </c>
      <c r="I496" s="843" t="inlineStr">
        <is>
          <t>Technology B2B</t>
        </is>
      </c>
      <c r="J496" s="843" t="inlineStr">
        <is>
          <t>B2B &amp; Energy Solutions</t>
        </is>
      </c>
      <c r="K496" s="843" t="inlineStr">
        <is>
          <t>B2B</t>
        </is>
      </c>
      <c r="L496" s="843" t="inlineStr">
        <is>
          <t>B2B</t>
        </is>
      </c>
      <c r="M496" s="843" t="n"/>
      <c r="N496" s="845" t="inlineStr">
        <is>
          <t>Australia</t>
        </is>
      </c>
      <c r="O496" s="846" t="inlineStr">
        <is>
          <t>CDC</t>
        </is>
      </c>
      <c r="P496" s="847" t="n">
        <v>1</v>
      </c>
      <c r="Q496" s="846" t="n"/>
      <c r="R496" s="847" t="inlineStr">
        <is>
          <t>Permanent - Full Time</t>
        </is>
      </c>
      <c r="S496" s="847" t="n"/>
      <c r="T496" s="847" t="n"/>
      <c r="U496" s="848" t="n">
        <v>104570</v>
      </c>
      <c r="V496" s="849" t="n">
        <v>104570</v>
      </c>
      <c r="W496" s="850" t="n">
        <v>0.1</v>
      </c>
      <c r="X496" s="847" t="n">
        <v>0.055</v>
      </c>
      <c r="Y496" s="850" t="n">
        <v>0.12</v>
      </c>
      <c r="Z496" s="851" t="n"/>
      <c r="AA496" s="850" t="n">
        <v>0.04</v>
      </c>
      <c r="AB496" s="852" t="n">
        <v>137509.55</v>
      </c>
      <c r="AE496" s="534">
        <f>IF(TRIM($B496)="","",IF(AND(N($P496)&gt;0,N($P496)&lt;1),N($AB496)*N($P496),N($AB496)))</f>
        <v>137509.55</v>
      </c>
      <c r="AF496" s="534" t="str">
        <f>IF(TRIM($B496)="","",IF(OR(ISNUMBER(SEARCH("vacant",$B496)),ISNUMBER(SEARCH("ring fenced",$B496)),LOWER(TRIM($B496))="remove"),"Vacant","Filled"))</f>
        <v>Filled</v>
      </c>
      <c r="AG496" s="534" t="b">
        <f>IF(TRIM($B496)="","",--ISNUMBER(SEARCH("ring fenced",$B496)))</f>
        <v>0</v>
      </c>
      <c r="AH496" s="534" t="str">
        <f>IF(TRIM($B496)="","",IF(COUNTIFS(Lists!$AN$2:$AN$22,TRIM($B496)&amp;" | "&amp;TRIM($D496),Lists!$AO$2:$AO$22,"&lt;&gt;"),INDEX(Lists!$AO$2:$AO$22,MATCH(TRIM($B496)&amp;" | "&amp;TRIM($D496),Lists!$AN$2:$AN$22,0)),IF(COUNTIF(Lists!$AR$2:$AR$3,$AJ496),"TDD Cyber",IF(AND(LEFT($AJ496,4)="EGI ",ISNUMBER(MATCH(TRIM(MID($AJ496,5,99)),Lists!$AS$2:$AS$12,0))),TRIM(MID($AJ496,5,99)),IF(AND(LEFT($AJ496,4)="EGI ",ISNUMBER(MATCH(TRIM(MID($AJ496,5,99)),Lists!$T$2:$T$21,0))),INDEX(Lists!$U$2:$U$21,MATCH(TRIM(MID($AJ496,5,99)),Lists!$T$2:$T$21,0)),IF(OR(TRIM($J496)="",UPPER(TRIM($J496))="NA"),IFERROR(INDEX(Lists!$R$2:$R$9,MATCH(TRIM($G496),Lists!$Q$2:$Q$9,0)),"UNMAPPED"),IFERROR(INDEX(Lists!$U$2:$U$21,MATCH(TRIM($J496),Lists!$T$2:$T$21,0)),IFERROR(INDEX(Lists!$R$2:$R$9,MATCH(TRIM($G496),Lists!$Q$2:$Q$9,0)),"UNMAPPED"))))))))</f>
        <v>Energy Solutions &amp; B2B</v>
      </c>
      <c r="AI496" s="534" t="b">
        <f>IF(TRIM($B496)="","",--OR(TRIM($L496)="Leadership",TRIM($K496)="Leadership"))</f>
        <v>0</v>
      </c>
      <c r="AJ496" s="534" t="str">
        <f>IF(TRIM($B496)="","",IF(COUNTIFS(Lists!$AN$2:$AN$22,TRIM($B496)&amp;" | "&amp;TRIM($D496),Lists!$AP$2:$AP$22,"&lt;&gt;"),INDEX(Lists!$AP$2:$AP$22,MATCH(TRIM($B496)&amp;" | "&amp;TRIM($D496),Lists!$AN$2:$AN$22,0)),IF($AI496=1,"Leadership",IFERROR(INDEX(Lists!$X$2:$X$21,MATCH(TRIM($L496),Lists!$W$2:$W$21,0)),IF(OR(TRIM($L496)="",LOWER(TRIM($L496))="na"),IF(TRIM($H496)="","Unassigned",TRIM($H496)),TRIM($L496))))))</f>
        <v>B2B</v>
      </c>
      <c r="AK496" s="534" t="str">
        <f>IF(TRIM($B496)="","",IF(COUNTIFS(Lists!$AN$2:$AN$22,TRIM($B496)&amp;" | "&amp;TRIM($D496),Lists!$AQ$2:$AQ$22,"&lt;&gt;"),INDEX(Lists!$AQ$2:$AQ$22,MATCH(TRIM($B496)&amp;" | "&amp;TRIM($D496),Lists!$AN$2:$AN$22,0)),IF(COUNTIF(Lists!$AF$2:$AF$8,$AJ496),$AJ496,IF(ISNUMBER(SEARCH("head of ",$D496)),"Head of Technology",IF(ISNUMBER(SEARCH("TDD BP",$D496)),"Business Partner",IF(OR(ISNUMBER(SEARCH("domain architect",$D496)),ISNUMBER(SEARCH("enterprise architect",$D496))),"Domain Architect",IF(ISNUMBER(SEARCH("delivery man",$D496)),"Delivery Manager",IF(OR(ISNUMBER(SEARCH("technology manager",$D496)),ISNUMBER(SEARCH("technology manger",$D496)),ISNUMBER(SEARCH("tech manager",$D496))),"Technology Manager","Squad"))))))))</f>
        <v>Squad</v>
      </c>
      <c r="AL496" s="534" t="str">
        <f>IF(TRIM($B496)="","",IF(AND($AM496=1,LEFT($AJ496,4)&lt;&gt;"EGI ",$AJ496&lt;&gt;"EGI"),IFERROR(INDEX(Lists!$Z$2:$Z$20,MATCH($AH496,Lists!$Y$2:$Y$20,0)),"EGI "&amp;$AH496),IF(COUNTIF(Lists!$AU$2:$AU$10,$AJ496),$AJ496,IF(OR(LEFT($AH496,3)="COE",$AH496="EGI"),$AJ496,IF($AK496&lt;&gt;"Squad",$AK496,$AJ496)))))</f>
        <v>B2B</v>
      </c>
      <c r="AM496" s="534" t="b">
        <f>IF(TRIM($B496)="","",--(UPPER(TRIM($K496))="EGI"))</f>
        <v>0</v>
      </c>
      <c r="AQ496" s="841" t="inlineStr">
        <is>
          <t>R0495</t>
        </is>
      </c>
      <c r="AZ496" s="841" t="n"/>
    </row>
    <row r="497" ht="18" customHeight="1" s="535">
      <c r="A497" s="842" t="n">
        <v>110204</v>
      </c>
      <c r="B497" s="843" t="inlineStr">
        <is>
          <t>Daniel Jolley</t>
        </is>
      </c>
      <c r="C497" s="842" t="n">
        <v>110204</v>
      </c>
      <c r="D497" s="843" t="inlineStr">
        <is>
          <t>Tech Support Technician</t>
        </is>
      </c>
      <c r="E497" s="843" t="inlineStr">
        <is>
          <t>Mark Pearson</t>
        </is>
      </c>
      <c r="F497" s="843" t="inlineStr">
        <is>
          <t xml:space="preserve">Lead Technology Support </t>
        </is>
      </c>
      <c r="G497" s="844" t="inlineStr">
        <is>
          <t>Cyber, Risk &amp; Operations</t>
        </is>
      </c>
      <c r="H497" s="843" t="inlineStr">
        <is>
          <t>Service Op &amp; Assurance</t>
        </is>
      </c>
      <c r="I497" s="843" t="inlineStr">
        <is>
          <t>NA</t>
        </is>
      </c>
      <c r="J497" s="843" t="inlineStr">
        <is>
          <t>NA</t>
        </is>
      </c>
      <c r="K497" s="843" t="inlineStr">
        <is>
          <t>NA</t>
        </is>
      </c>
      <c r="L497" s="843" t="inlineStr">
        <is>
          <t>NA</t>
        </is>
      </c>
      <c r="M497" s="843" t="n"/>
      <c r="N497" s="845" t="inlineStr">
        <is>
          <t>Australia</t>
        </is>
      </c>
      <c r="O497" s="846" t="inlineStr">
        <is>
          <t>CDC</t>
        </is>
      </c>
      <c r="P497" s="847" t="n">
        <v>1</v>
      </c>
      <c r="Q497" s="846" t="n"/>
      <c r="R497" s="847" t="inlineStr">
        <is>
          <t>Permanent - Full Time</t>
        </is>
      </c>
      <c r="S497" s="847" t="n"/>
      <c r="T497" s="847" t="n"/>
      <c r="U497" s="848" t="n">
        <v>88100</v>
      </c>
      <c r="V497" s="849" t="n">
        <v>88100</v>
      </c>
      <c r="W497" s="850" t="n">
        <v>0.1</v>
      </c>
      <c r="X497" s="847" t="n">
        <v>0.055</v>
      </c>
      <c r="Y497" s="850" t="n">
        <v>0.12</v>
      </c>
      <c r="Z497" s="851" t="n"/>
      <c r="AA497" s="850" t="n">
        <v>0.04</v>
      </c>
      <c r="AB497" s="852" t="n">
        <v>115851.5</v>
      </c>
      <c r="AE497" s="534">
        <f>IF(TRIM($B497)="","",IF(AND(N($P497)&gt;0,N($P497)&lt;1),N($AB497)*N($P497),N($AB497)))</f>
        <v>115851.5</v>
      </c>
      <c r="AF497" s="534" t="str">
        <f>IF(TRIM($B497)="","",IF(OR(ISNUMBER(SEARCH("vacant",$B497)),ISNUMBER(SEARCH("ring fenced",$B497)),LOWER(TRIM($B497))="remove"),"Vacant","Filled"))</f>
        <v>Filled</v>
      </c>
      <c r="AG497" s="534" t="b">
        <f>IF(TRIM($B497)="","",--ISNUMBER(SEARCH("ring fenced",$B497)))</f>
        <v>0</v>
      </c>
      <c r="AH497" s="534" t="str">
        <f>IF(TRIM($B497)="","",IF(COUNTIFS(Lists!$AN$2:$AN$22,TRIM($B497)&amp;" | "&amp;TRIM($D497),Lists!$AO$2:$AO$22,"&lt;&gt;"),INDEX(Lists!$AO$2:$AO$22,MATCH(TRIM($B497)&amp;" | "&amp;TRIM($D497),Lists!$AN$2:$AN$22,0)),IF(COUNTIF(Lists!$AR$2:$AR$3,$AJ497),"TDD Cyber",IF(AND(LEFT($AJ497,4)="EGI ",ISNUMBER(MATCH(TRIM(MID($AJ497,5,99)),Lists!$AS$2:$AS$12,0))),TRIM(MID($AJ497,5,99)),IF(AND(LEFT($AJ497,4)="EGI ",ISNUMBER(MATCH(TRIM(MID($AJ497,5,99)),Lists!$T$2:$T$21,0))),INDEX(Lists!$U$2:$U$21,MATCH(TRIM(MID($AJ497,5,99)),Lists!$T$2:$T$21,0)),IF(OR(TRIM($J497)="",UPPER(TRIM($J497))="NA"),IFERROR(INDEX(Lists!$R$2:$R$9,MATCH(TRIM($G497),Lists!$Q$2:$Q$9,0)),"UNMAPPED"),IFERROR(INDEX(Lists!$U$2:$U$21,MATCH(TRIM($J497),Lists!$T$2:$T$21,0)),IFERROR(INDEX(Lists!$R$2:$R$9,MATCH(TRIM($G497),Lists!$Q$2:$Q$9,0)),"UNMAPPED"))))))))</f>
        <v>COE Cyber</v>
      </c>
      <c r="AI497" s="534" t="b">
        <f>IF(TRIM($B497)="","",--OR(TRIM($L497)="Leadership",TRIM($K497)="Leadership"))</f>
        <v>0</v>
      </c>
      <c r="AJ497" s="534" t="str">
        <f>IF(TRIM($B497)="","",IF(COUNTIFS(Lists!$AN$2:$AN$22,TRIM($B497)&amp;" | "&amp;TRIM($D497),Lists!$AP$2:$AP$22,"&lt;&gt;"),INDEX(Lists!$AP$2:$AP$22,MATCH(TRIM($B497)&amp;" | "&amp;TRIM($D497),Lists!$AN$2:$AN$22,0)),IF($AI497=1,"Leadership",IFERROR(INDEX(Lists!$X$2:$X$21,MATCH(TRIM($L497),Lists!$W$2:$W$21,0)),IF(OR(TRIM($L497)="",LOWER(TRIM($L497))="na"),IF(TRIM($H497)="","Unassigned",TRIM($H497)),TRIM($L497))))))</f>
        <v>Service Op &amp; Assurance</v>
      </c>
      <c r="AK497" s="534" t="str">
        <f>IF(TRIM($B497)="","",IF(COUNTIFS(Lists!$AN$2:$AN$22,TRIM($B497)&amp;" | "&amp;TRIM($D497),Lists!$AQ$2:$AQ$22,"&lt;&gt;"),INDEX(Lists!$AQ$2:$AQ$22,MATCH(TRIM($B497)&amp;" | "&amp;TRIM($D497),Lists!$AN$2:$AN$22,0)),IF(COUNTIF(Lists!$AF$2:$AF$8,$AJ497),$AJ497,IF(ISNUMBER(SEARCH("head of ",$D497)),"Head of Technology",IF(ISNUMBER(SEARCH("TDD BP",$D497)),"Business Partner",IF(OR(ISNUMBER(SEARCH("domain architect",$D497)),ISNUMBER(SEARCH("enterprise architect",$D497))),"Domain Architect",IF(ISNUMBER(SEARCH("delivery man",$D497)),"Delivery Manager",IF(OR(ISNUMBER(SEARCH("technology manager",$D497)),ISNUMBER(SEARCH("technology manger",$D497)),ISNUMBER(SEARCH("tech manager",$D497))),"Technology Manager","Squad"))))))))</f>
        <v>Squad</v>
      </c>
      <c r="AL497" s="534" t="str">
        <f>IF(TRIM($B497)="","",IF(AND($AM497=1,LEFT($AJ497,4)&lt;&gt;"EGI ",$AJ497&lt;&gt;"EGI"),IFERROR(INDEX(Lists!$Z$2:$Z$20,MATCH($AH497,Lists!$Y$2:$Y$20,0)),"EGI "&amp;$AH497),IF(COUNTIF(Lists!$AU$2:$AU$10,$AJ497),$AJ497,IF(OR(LEFT($AH497,3)="COE",$AH497="EGI"),$AJ497,IF($AK497&lt;&gt;"Squad",$AK497,$AJ497)))))</f>
        <v>Service Op &amp; Assurance</v>
      </c>
      <c r="AM497" s="534" t="b">
        <f>IF(TRIM($B497)="","",--(UPPER(TRIM($K497))="EGI"))</f>
        <v>0</v>
      </c>
      <c r="AQ497" s="841" t="inlineStr">
        <is>
          <t>R0496</t>
        </is>
      </c>
      <c r="AZ497" s="841" t="n"/>
    </row>
    <row r="498" ht="18" customHeight="1" s="535">
      <c r="A498" s="842" t="n">
        <v>104050</v>
      </c>
      <c r="B498" s="843" t="inlineStr">
        <is>
          <t>Violeta Trajkovski</t>
        </is>
      </c>
      <c r="C498" s="842" t="n">
        <v>104050</v>
      </c>
      <c r="D498" s="843" t="inlineStr">
        <is>
          <t>Deployment Coordinator</t>
        </is>
      </c>
      <c r="E498" s="843" t="inlineStr">
        <is>
          <t>Matthew Patane</t>
        </is>
      </c>
      <c r="F498" s="843" t="inlineStr">
        <is>
          <t>Release &amp; Deployment Manager</t>
        </is>
      </c>
      <c r="G498" s="844" t="inlineStr">
        <is>
          <t>Ampol Retail &amp; Z</t>
        </is>
      </c>
      <c r="H498" s="843" t="inlineStr">
        <is>
          <t>Ampol Retail</t>
        </is>
      </c>
      <c r="I498" s="843" t="inlineStr">
        <is>
          <t>Ampol Retail, Technology</t>
        </is>
      </c>
      <c r="J498" s="843" t="inlineStr">
        <is>
          <t>Retail</t>
        </is>
      </c>
      <c r="K498" s="843" t="inlineStr">
        <is>
          <t>Store Operations</t>
        </is>
      </c>
      <c r="L498" s="843" t="inlineStr">
        <is>
          <t>Deployment</t>
        </is>
      </c>
      <c r="M498" s="843" t="n"/>
      <c r="N498" s="845" t="inlineStr">
        <is>
          <t>Australia</t>
        </is>
      </c>
      <c r="O498" s="846" t="inlineStr">
        <is>
          <t>CDC</t>
        </is>
      </c>
      <c r="P498" s="847" t="n">
        <v>1</v>
      </c>
      <c r="Q498" s="846" t="n"/>
      <c r="R498" s="847" t="inlineStr">
        <is>
          <t>Permanent - Full Time</t>
        </is>
      </c>
      <c r="S498" s="847" t="n"/>
      <c r="T498" s="847" t="n"/>
      <c r="U498" s="848" t="n">
        <v>110700</v>
      </c>
      <c r="V498" s="849" t="n">
        <v>110700</v>
      </c>
      <c r="W498" s="850" t="n">
        <v>0.1</v>
      </c>
      <c r="X498" s="847" t="n">
        <v>0.055</v>
      </c>
      <c r="Y498" s="850" t="n">
        <v>0.12</v>
      </c>
      <c r="Z498" s="851" t="n"/>
      <c r="AA498" s="850" t="n">
        <v>0.04</v>
      </c>
      <c r="AB498" s="852" t="n">
        <v>145570.5</v>
      </c>
      <c r="AE498" s="534">
        <f>IF(TRIM($B498)="","",IF(AND(N($P498)&gt;0,N($P498)&lt;1),N($AB498)*N($P498),N($AB498)))</f>
        <v>145570.5</v>
      </c>
      <c r="AF498" s="534" t="str">
        <f>IF(TRIM($B498)="","",IF(OR(ISNUMBER(SEARCH("vacant",$B498)),ISNUMBER(SEARCH("ring fenced",$B498)),LOWER(TRIM($B498))="remove"),"Vacant","Filled"))</f>
        <v>Filled</v>
      </c>
      <c r="AG498" s="534" t="b">
        <f>IF(TRIM($B498)="","",--ISNUMBER(SEARCH("ring fenced",$B498)))</f>
        <v>0</v>
      </c>
      <c r="AH498" s="534" t="str">
        <f>IF(TRIM($B498)="","",IF(COUNTIFS(Lists!$AN$2:$AN$22,TRIM($B498)&amp;" | "&amp;TRIM($D498),Lists!$AO$2:$AO$22,"&lt;&gt;"),INDEX(Lists!$AO$2:$AO$22,MATCH(TRIM($B498)&amp;" | "&amp;TRIM($D498),Lists!$AN$2:$AN$22,0)),IF(COUNTIF(Lists!$AR$2:$AR$3,$AJ498),"TDD Cyber",IF(AND(LEFT($AJ498,4)="EGI ",ISNUMBER(MATCH(TRIM(MID($AJ498,5,99)),Lists!$AS$2:$AS$12,0))),TRIM(MID($AJ498,5,99)),IF(AND(LEFT($AJ498,4)="EGI ",ISNUMBER(MATCH(TRIM(MID($AJ498,5,99)),Lists!$T$2:$T$21,0))),INDEX(Lists!$U$2:$U$21,MATCH(TRIM(MID($AJ498,5,99)),Lists!$T$2:$T$21,0)),IF(OR(TRIM($J498)="",UPPER(TRIM($J498))="NA"),IFERROR(INDEX(Lists!$R$2:$R$9,MATCH(TRIM($G498),Lists!$Q$2:$Q$9,0)),"UNMAPPED"),IFERROR(INDEX(Lists!$U$2:$U$21,MATCH(TRIM($J498),Lists!$T$2:$T$21,0)),IFERROR(INDEX(Lists!$R$2:$R$9,MATCH(TRIM($G498),Lists!$Q$2:$Q$9,0)),"UNMAPPED"))))))))</f>
        <v>Ampol Retail</v>
      </c>
      <c r="AI498" s="534" t="b">
        <f>IF(TRIM($B498)="","",--OR(TRIM($L498)="Leadership",TRIM($K498)="Leadership"))</f>
        <v>0</v>
      </c>
      <c r="AJ498" s="534" t="str">
        <f>IF(TRIM($B498)="","",IF(COUNTIFS(Lists!$AN$2:$AN$22,TRIM($B498)&amp;" | "&amp;TRIM($D498),Lists!$AP$2:$AP$22,"&lt;&gt;"),INDEX(Lists!$AP$2:$AP$22,MATCH(TRIM($B498)&amp;" | "&amp;TRIM($D498),Lists!$AN$2:$AN$22,0)),IF($AI498=1,"Leadership",IFERROR(INDEX(Lists!$X$2:$X$21,MATCH(TRIM($L498),Lists!$W$2:$W$21,0)),IF(OR(TRIM($L498)="",LOWER(TRIM($L498))="na"),IF(TRIM($H498)="","Unassigned",TRIM($H498)),TRIM($L498))))))</f>
        <v>Deployment</v>
      </c>
      <c r="AK498" s="534" t="str">
        <f>IF(TRIM($B498)="","",IF(COUNTIFS(Lists!$AN$2:$AN$22,TRIM($B498)&amp;" | "&amp;TRIM($D498),Lists!$AQ$2:$AQ$22,"&lt;&gt;"),INDEX(Lists!$AQ$2:$AQ$22,MATCH(TRIM($B498)&amp;" | "&amp;TRIM($D498),Lists!$AN$2:$AN$22,0)),IF(COUNTIF(Lists!$AF$2:$AF$8,$AJ498),$AJ498,IF(ISNUMBER(SEARCH("head of ",$D498)),"Head of Technology",IF(ISNUMBER(SEARCH("TDD BP",$D498)),"Business Partner",IF(OR(ISNUMBER(SEARCH("domain architect",$D498)),ISNUMBER(SEARCH("enterprise architect",$D498))),"Domain Architect",IF(ISNUMBER(SEARCH("delivery man",$D498)),"Delivery Manager",IF(OR(ISNUMBER(SEARCH("technology manager",$D498)),ISNUMBER(SEARCH("technology manger",$D498)),ISNUMBER(SEARCH("tech manager",$D498))),"Technology Manager","Squad"))))))))</f>
        <v>Squad</v>
      </c>
      <c r="AL498" s="534" t="str">
        <f>IF(TRIM($B498)="","",IF(AND($AM498=1,LEFT($AJ498,4)&lt;&gt;"EGI ",$AJ498&lt;&gt;"EGI"),IFERROR(INDEX(Lists!$Z$2:$Z$20,MATCH($AH498,Lists!$Y$2:$Y$20,0)),"EGI "&amp;$AH498),IF(COUNTIF(Lists!$AU$2:$AU$10,$AJ498),$AJ498,IF(OR(LEFT($AH498,3)="COE",$AH498="EGI"),$AJ498,IF($AK498&lt;&gt;"Squad",$AK498,$AJ498)))))</f>
        <v>Deployment</v>
      </c>
      <c r="AM498" s="534" t="b">
        <f>IF(TRIM($B498)="","",--(UPPER(TRIM($K498))="EGI"))</f>
        <v>0</v>
      </c>
      <c r="AQ498" s="841" t="inlineStr">
        <is>
          <t>R0497</t>
        </is>
      </c>
      <c r="AZ498" s="841" t="n"/>
    </row>
    <row r="499" ht="18" customHeight="1" s="535">
      <c r="A499" s="842" t="n">
        <v>12992</v>
      </c>
      <c r="B499" s="843" t="inlineStr">
        <is>
          <t>Jeannie Chu</t>
        </is>
      </c>
      <c r="C499" s="842" t="n">
        <v>12992</v>
      </c>
      <c r="D499" s="843" t="inlineStr">
        <is>
          <t>Snr Finance Support Administrator</t>
        </is>
      </c>
      <c r="E499" s="843" t="inlineStr">
        <is>
          <t>Sam Chan</t>
        </is>
      </c>
      <c r="F499" s="843" t="inlineStr">
        <is>
          <t>Fin Ops Manager</t>
        </is>
      </c>
      <c r="G499" s="844" t="inlineStr">
        <is>
          <t>Partnering &amp; Transformation</t>
        </is>
      </c>
      <c r="H499" s="843" t="inlineStr">
        <is>
          <t>Transformation</t>
        </is>
      </c>
      <c r="I499" s="843" t="inlineStr">
        <is>
          <t>NA</t>
        </is>
      </c>
      <c r="J499" s="843" t="inlineStr">
        <is>
          <t>NA</t>
        </is>
      </c>
      <c r="K499" s="843" t="inlineStr">
        <is>
          <t>NA</t>
        </is>
      </c>
      <c r="L499" s="843" t="inlineStr">
        <is>
          <t>NA</t>
        </is>
      </c>
      <c r="M499" s="843" t="n"/>
      <c r="N499" s="845" t="inlineStr">
        <is>
          <t>Australia</t>
        </is>
      </c>
      <c r="O499" s="846" t="inlineStr">
        <is>
          <t>CDC</t>
        </is>
      </c>
      <c r="P499" s="847" t="n">
        <v>1</v>
      </c>
      <c r="Q499" s="846" t="n"/>
      <c r="R499" s="847" t="inlineStr">
        <is>
          <t>Permanent - Full Time</t>
        </is>
      </c>
      <c r="S499" s="847" t="n"/>
      <c r="T499" s="847" t="n"/>
      <c r="U499" s="848" t="n">
        <v>112310</v>
      </c>
      <c r="V499" s="849" t="n">
        <v>112310</v>
      </c>
      <c r="W499" s="850" t="n">
        <v>0.1</v>
      </c>
      <c r="X499" s="847" t="n">
        <v>0.055</v>
      </c>
      <c r="Y499" s="850" t="n">
        <v>0.12</v>
      </c>
      <c r="Z499" s="851" t="n"/>
      <c r="AA499" s="850" t="n">
        <v>0.04</v>
      </c>
      <c r="AB499" s="852" t="n">
        <v>147687.65</v>
      </c>
      <c r="AE499" s="534">
        <f>IF(TRIM($B499)="","",IF(AND(N($P499)&gt;0,N($P499)&lt;1),N($AB499)*N($P499),N($AB499)))</f>
        <v>147687.65</v>
      </c>
      <c r="AF499" s="534" t="str">
        <f>IF(TRIM($B499)="","",IF(OR(ISNUMBER(SEARCH("vacant",$B499)),ISNUMBER(SEARCH("ring fenced",$B499)),LOWER(TRIM($B499))="remove"),"Vacant","Filled"))</f>
        <v>Filled</v>
      </c>
      <c r="AG499" s="534" t="b">
        <f>IF(TRIM($B499)="","",--ISNUMBER(SEARCH("ring fenced",$B499)))</f>
        <v>0</v>
      </c>
      <c r="AH499" s="534" t="str">
        <f>IF(TRIM($B499)="","",IF(COUNTIFS(Lists!$AN$2:$AN$22,TRIM($B499)&amp;" | "&amp;TRIM($D499),Lists!$AO$2:$AO$22,"&lt;&gt;"),INDEX(Lists!$AO$2:$AO$22,MATCH(TRIM($B499)&amp;" | "&amp;TRIM($D499),Lists!$AN$2:$AN$22,0)),IF(COUNTIF(Lists!$AR$2:$AR$3,$AJ499),"TDD Cyber",IF(AND(LEFT($AJ499,4)="EGI ",ISNUMBER(MATCH(TRIM(MID($AJ499,5,99)),Lists!$AS$2:$AS$12,0))),TRIM(MID($AJ499,5,99)),IF(AND(LEFT($AJ499,4)="EGI ",ISNUMBER(MATCH(TRIM(MID($AJ499,5,99)),Lists!$T$2:$T$21,0))),INDEX(Lists!$U$2:$U$21,MATCH(TRIM(MID($AJ499,5,99)),Lists!$T$2:$T$21,0)),IF(OR(TRIM($J499)="",UPPER(TRIM($J499))="NA"),IFERROR(INDEX(Lists!$R$2:$R$9,MATCH(TRIM($G499),Lists!$Q$2:$Q$9,0)),"UNMAPPED"),IFERROR(INDEX(Lists!$U$2:$U$21,MATCH(TRIM($J499),Lists!$T$2:$T$21,0)),IFERROR(INDEX(Lists!$R$2:$R$9,MATCH(TRIM($G499),Lists!$Q$2:$Q$9,0)),"UNMAPPED"))))))))</f>
        <v>COE BP&amp;T</v>
      </c>
      <c r="AI499" s="534" t="b">
        <f>IF(TRIM($B499)="","",--OR(TRIM($L499)="Leadership",TRIM($K499)="Leadership"))</f>
        <v>0</v>
      </c>
      <c r="AJ499" s="534" t="str">
        <f>IF(TRIM($B499)="","",IF(COUNTIFS(Lists!$AN$2:$AN$22,TRIM($B499)&amp;" | "&amp;TRIM($D499),Lists!$AP$2:$AP$22,"&lt;&gt;"),INDEX(Lists!$AP$2:$AP$22,MATCH(TRIM($B499)&amp;" | "&amp;TRIM($D499),Lists!$AN$2:$AN$22,0)),IF($AI499=1,"Leadership",IFERROR(INDEX(Lists!$X$2:$X$21,MATCH(TRIM($L499),Lists!$W$2:$W$21,0)),IF(OR(TRIM($L499)="",LOWER(TRIM($L499))="na"),IF(TRIM($H499)="","Unassigned",TRIM($H499)),TRIM($L499))))))</f>
        <v>Transformation</v>
      </c>
      <c r="AK499" s="534" t="str">
        <f>IF(TRIM($B499)="","",IF(COUNTIFS(Lists!$AN$2:$AN$22,TRIM($B499)&amp;" | "&amp;TRIM($D499),Lists!$AQ$2:$AQ$22,"&lt;&gt;"),INDEX(Lists!$AQ$2:$AQ$22,MATCH(TRIM($B499)&amp;" | "&amp;TRIM($D499),Lists!$AN$2:$AN$22,0)),IF(COUNTIF(Lists!$AF$2:$AF$8,$AJ499),$AJ499,IF(ISNUMBER(SEARCH("head of ",$D499)),"Head of Technology",IF(ISNUMBER(SEARCH("TDD BP",$D499)),"Business Partner",IF(OR(ISNUMBER(SEARCH("domain architect",$D499)),ISNUMBER(SEARCH("enterprise architect",$D499))),"Domain Architect",IF(ISNUMBER(SEARCH("delivery man",$D499)),"Delivery Manager",IF(OR(ISNUMBER(SEARCH("technology manager",$D499)),ISNUMBER(SEARCH("technology manger",$D499)),ISNUMBER(SEARCH("tech manager",$D499))),"Technology Manager","Squad"))))))))</f>
        <v>Squad</v>
      </c>
      <c r="AL499" s="534" t="str">
        <f>IF(TRIM($B499)="","",IF(AND($AM499=1,LEFT($AJ499,4)&lt;&gt;"EGI ",$AJ499&lt;&gt;"EGI"),IFERROR(INDEX(Lists!$Z$2:$Z$20,MATCH($AH499,Lists!$Y$2:$Y$20,0)),"EGI "&amp;$AH499),IF(COUNTIF(Lists!$AU$2:$AU$10,$AJ499),$AJ499,IF(OR(LEFT($AH499,3)="COE",$AH499="EGI"),$AJ499,IF($AK499&lt;&gt;"Squad",$AK499,$AJ499)))))</f>
        <v>Transformation</v>
      </c>
      <c r="AM499" s="534" t="b">
        <f>IF(TRIM($B499)="","",--(UPPER(TRIM($K499))="EGI"))</f>
        <v>0</v>
      </c>
      <c r="AQ499" s="841" t="inlineStr">
        <is>
          <t>R0498</t>
        </is>
      </c>
      <c r="AZ499" s="841" t="n"/>
    </row>
    <row r="500" ht="18" customHeight="1" s="535">
      <c r="A500" s="842" t="n">
        <v>97847</v>
      </c>
      <c r="B500" s="843" t="inlineStr">
        <is>
          <t>Beenu Murali</t>
        </is>
      </c>
      <c r="C500" s="842" t="n">
        <v>97847</v>
      </c>
      <c r="D500" s="843" t="inlineStr">
        <is>
          <t>Quality Assurance</t>
        </is>
      </c>
      <c r="E500" s="843" t="inlineStr">
        <is>
          <t>Vacant</t>
        </is>
      </c>
      <c r="F500" s="843" t="inlineStr">
        <is>
          <t>Lead Quality Assurance</t>
        </is>
      </c>
      <c r="G500" s="844" t="inlineStr">
        <is>
          <t>Ampol Retail &amp; Z</t>
        </is>
      </c>
      <c r="H500" s="843" t="inlineStr">
        <is>
          <t>Ampol Retail</t>
        </is>
      </c>
      <c r="I500" s="843" t="inlineStr">
        <is>
          <t>Ampol Retail, Store Platforms</t>
        </is>
      </c>
      <c r="J500" s="843" t="inlineStr">
        <is>
          <t>Retail</t>
        </is>
      </c>
      <c r="K500" s="843" t="inlineStr">
        <is>
          <t>Store Operations</t>
        </is>
      </c>
      <c r="L500" s="843" t="inlineStr">
        <is>
          <t>Payments</t>
        </is>
      </c>
      <c r="M500" s="843" t="n"/>
      <c r="N500" s="845" t="inlineStr">
        <is>
          <t>Australia</t>
        </is>
      </c>
      <c r="O500" s="846" t="inlineStr">
        <is>
          <t>CDC</t>
        </is>
      </c>
      <c r="P500" s="847" t="n">
        <v>1</v>
      </c>
      <c r="Q500" s="846" t="n"/>
      <c r="R500" s="847" t="inlineStr">
        <is>
          <t>Permanent - Full Time</t>
        </is>
      </c>
      <c r="S500" s="847" t="n"/>
      <c r="T500" s="847" t="n"/>
      <c r="U500" s="848" t="n">
        <v>111090</v>
      </c>
      <c r="V500" s="849" t="n">
        <v>111090</v>
      </c>
      <c r="W500" s="850" t="n">
        <v>0.1</v>
      </c>
      <c r="X500" s="847" t="n">
        <v>0.055</v>
      </c>
      <c r="Y500" s="850" t="n">
        <v>0.12</v>
      </c>
      <c r="Z500" s="851" t="n"/>
      <c r="AA500" s="850" t="n">
        <v>0.04</v>
      </c>
      <c r="AB500" s="852" t="n">
        <v>146083.35</v>
      </c>
      <c r="AE500" s="534">
        <f>IF(TRIM($B500)="","",IF(AND(N($P500)&gt;0,N($P500)&lt;1),N($AB500)*N($P500),N($AB500)))</f>
        <v>146083.35</v>
      </c>
      <c r="AF500" s="534" t="str">
        <f>IF(TRIM($B500)="","",IF(OR(ISNUMBER(SEARCH("vacant",$B500)),ISNUMBER(SEARCH("ring fenced",$B500)),LOWER(TRIM($B500))="remove"),"Vacant","Filled"))</f>
        <v>Filled</v>
      </c>
      <c r="AG500" s="534" t="b">
        <f>IF(TRIM($B500)="","",--ISNUMBER(SEARCH("ring fenced",$B500)))</f>
        <v>0</v>
      </c>
      <c r="AH500" s="534" t="str">
        <f>IF(TRIM($B500)="","",IF(COUNTIFS(Lists!$AN$2:$AN$22,TRIM($B500)&amp;" | "&amp;TRIM($D500),Lists!$AO$2:$AO$22,"&lt;&gt;"),INDEX(Lists!$AO$2:$AO$22,MATCH(TRIM($B500)&amp;" | "&amp;TRIM($D500),Lists!$AN$2:$AN$22,0)),IF(COUNTIF(Lists!$AR$2:$AR$3,$AJ500),"TDD Cyber",IF(AND(LEFT($AJ500,4)="EGI ",ISNUMBER(MATCH(TRIM(MID($AJ500,5,99)),Lists!$AS$2:$AS$12,0))),TRIM(MID($AJ500,5,99)),IF(AND(LEFT($AJ500,4)="EGI ",ISNUMBER(MATCH(TRIM(MID($AJ500,5,99)),Lists!$T$2:$T$21,0))),INDEX(Lists!$U$2:$U$21,MATCH(TRIM(MID($AJ500,5,99)),Lists!$T$2:$T$21,0)),IF(OR(TRIM($J500)="",UPPER(TRIM($J500))="NA"),IFERROR(INDEX(Lists!$R$2:$R$9,MATCH(TRIM($G500),Lists!$Q$2:$Q$9,0)),"UNMAPPED"),IFERROR(INDEX(Lists!$U$2:$U$21,MATCH(TRIM($J500),Lists!$T$2:$T$21,0)),IFERROR(INDEX(Lists!$R$2:$R$9,MATCH(TRIM($G500),Lists!$Q$2:$Q$9,0)),"UNMAPPED"))))))))</f>
        <v>Ampol Retail</v>
      </c>
      <c r="AI500" s="534" t="b">
        <f>IF(TRIM($B500)="","",--OR(TRIM($L500)="Leadership",TRIM($K500)="Leadership"))</f>
        <v>0</v>
      </c>
      <c r="AJ500" s="534" t="str">
        <f>IF(TRIM($B500)="","",IF(COUNTIFS(Lists!$AN$2:$AN$22,TRIM($B500)&amp;" | "&amp;TRIM($D500),Lists!$AP$2:$AP$22,"&lt;&gt;"),INDEX(Lists!$AP$2:$AP$22,MATCH(TRIM($B500)&amp;" | "&amp;TRIM($D500),Lists!$AN$2:$AN$22,0)),IF($AI500=1,"Leadership",IFERROR(INDEX(Lists!$X$2:$X$21,MATCH(TRIM($L500),Lists!$W$2:$W$21,0)),IF(OR(TRIM($L500)="",LOWER(TRIM($L500))="na"),IF(TRIM($H500)="","Unassigned",TRIM($H500)),TRIM($L500))))))</f>
        <v>Payments</v>
      </c>
      <c r="AK500" s="534" t="str">
        <f>IF(TRIM($B500)="","",IF(COUNTIFS(Lists!$AN$2:$AN$22,TRIM($B500)&amp;" | "&amp;TRIM($D500),Lists!$AQ$2:$AQ$22,"&lt;&gt;"),INDEX(Lists!$AQ$2:$AQ$22,MATCH(TRIM($B500)&amp;" | "&amp;TRIM($D500),Lists!$AN$2:$AN$22,0)),IF(COUNTIF(Lists!$AF$2:$AF$8,$AJ500),$AJ500,IF(ISNUMBER(SEARCH("head of ",$D500)),"Head of Technology",IF(ISNUMBER(SEARCH("TDD BP",$D500)),"Business Partner",IF(OR(ISNUMBER(SEARCH("domain architect",$D500)),ISNUMBER(SEARCH("enterprise architect",$D500))),"Domain Architect",IF(ISNUMBER(SEARCH("delivery man",$D500)),"Delivery Manager",IF(OR(ISNUMBER(SEARCH("technology manager",$D500)),ISNUMBER(SEARCH("technology manger",$D500)),ISNUMBER(SEARCH("tech manager",$D500))),"Technology Manager","Squad"))))))))</f>
        <v>Squad</v>
      </c>
      <c r="AL500" s="534" t="str">
        <f>IF(TRIM($B500)="","",IF(AND($AM500=1,LEFT($AJ500,4)&lt;&gt;"EGI ",$AJ500&lt;&gt;"EGI"),IFERROR(INDEX(Lists!$Z$2:$Z$20,MATCH($AH500,Lists!$Y$2:$Y$20,0)),"EGI "&amp;$AH500),IF(COUNTIF(Lists!$AU$2:$AU$10,$AJ500),$AJ500,IF(OR(LEFT($AH500,3)="COE",$AH500="EGI"),$AJ500,IF($AK500&lt;&gt;"Squad",$AK500,$AJ500)))))</f>
        <v>Payments</v>
      </c>
      <c r="AM500" s="534" t="b">
        <f>IF(TRIM($B500)="","",--(UPPER(TRIM($K500))="EGI"))</f>
        <v>0</v>
      </c>
      <c r="AQ500" s="841" t="inlineStr">
        <is>
          <t>R0499</t>
        </is>
      </c>
      <c r="AZ500" s="841" t="n"/>
    </row>
    <row r="501" ht="18" customHeight="1" s="535">
      <c r="A501" s="842" t="n">
        <v>113783</v>
      </c>
      <c r="B501" s="843" t="inlineStr">
        <is>
          <t>Tabitha Raharadjo</t>
        </is>
      </c>
      <c r="C501" s="842" t="n">
        <v>113783</v>
      </c>
      <c r="D501" s="843" t="inlineStr">
        <is>
          <t>Project Coordinator</t>
        </is>
      </c>
      <c r="E501" s="843" t="inlineStr">
        <is>
          <t>Vanessa Allen</t>
        </is>
      </c>
      <c r="F501" s="843" t="inlineStr">
        <is>
          <t>Delivery Manager, Ampol Retail</t>
        </is>
      </c>
      <c r="G501" s="844" t="inlineStr">
        <is>
          <t>Ampol Retail &amp; Z</t>
        </is>
      </c>
      <c r="H501" s="843" t="inlineStr">
        <is>
          <t>Ampol Retail</t>
        </is>
      </c>
      <c r="I501" s="843" t="inlineStr">
        <is>
          <t>Ampol Retail, Delivery</t>
        </is>
      </c>
      <c r="J501" s="843" t="inlineStr">
        <is>
          <t>Retail</t>
        </is>
      </c>
      <c r="K501" s="843" t="inlineStr">
        <is>
          <t>AMPOS</t>
        </is>
      </c>
      <c r="L501" s="843" t="inlineStr">
        <is>
          <t>AmPos</t>
        </is>
      </c>
      <c r="M501" s="843" t="n"/>
      <c r="N501" s="845" t="inlineStr">
        <is>
          <t>Australia</t>
        </is>
      </c>
      <c r="O501" s="846" t="inlineStr">
        <is>
          <t>CDC</t>
        </is>
      </c>
      <c r="P501" s="847" t="n">
        <v>1</v>
      </c>
      <c r="Q501" s="846" t="n"/>
      <c r="R501" s="847" t="inlineStr">
        <is>
          <t>Permanent - Full Time</t>
        </is>
      </c>
      <c r="S501" s="847" t="n"/>
      <c r="T501" s="847" t="n"/>
      <c r="U501" s="848" t="n">
        <v>173230</v>
      </c>
      <c r="V501" s="849" t="n">
        <v>159371.6</v>
      </c>
      <c r="W501" s="850" t="n">
        <v>0.15</v>
      </c>
      <c r="X501" s="847" t="n"/>
      <c r="Y501" s="850" t="n">
        <v>0.05</v>
      </c>
      <c r="Z501" s="851" t="n">
        <v>2910</v>
      </c>
      <c r="AA501" s="850" t="n">
        <v>0.03</v>
      </c>
      <c r="AB501" s="852" t="n">
        <v>198937.068</v>
      </c>
      <c r="AE501" s="534">
        <f>IF(TRIM($B501)="","",IF(AND(N($P501)&gt;0,N($P501)&lt;1),N($AB501)*N($P501),N($AB501)))</f>
        <v>198937.068</v>
      </c>
      <c r="AF501" s="534" t="str">
        <f>IF(TRIM($B501)="","",IF(OR(ISNUMBER(SEARCH("vacant",$B501)),ISNUMBER(SEARCH("ring fenced",$B501)),LOWER(TRIM($B501))="remove"),"Vacant","Filled"))</f>
        <v>Filled</v>
      </c>
      <c r="AG501" s="534" t="b">
        <f>IF(TRIM($B501)="","",--ISNUMBER(SEARCH("ring fenced",$B501)))</f>
        <v>0</v>
      </c>
      <c r="AH501" s="534" t="str">
        <f>IF(TRIM($B501)="","",IF(COUNTIFS(Lists!$AN$2:$AN$22,TRIM($B501)&amp;" | "&amp;TRIM($D501),Lists!$AO$2:$AO$22,"&lt;&gt;"),INDEX(Lists!$AO$2:$AO$22,MATCH(TRIM($B501)&amp;" | "&amp;TRIM($D501),Lists!$AN$2:$AN$22,0)),IF(COUNTIF(Lists!$AR$2:$AR$3,$AJ501),"TDD Cyber",IF(AND(LEFT($AJ501,4)="EGI ",ISNUMBER(MATCH(TRIM(MID($AJ501,5,99)),Lists!$AS$2:$AS$12,0))),TRIM(MID($AJ501,5,99)),IF(AND(LEFT($AJ501,4)="EGI ",ISNUMBER(MATCH(TRIM(MID($AJ501,5,99)),Lists!$T$2:$T$21,0))),INDEX(Lists!$U$2:$U$21,MATCH(TRIM(MID($AJ501,5,99)),Lists!$T$2:$T$21,0)),IF(OR(TRIM($J501)="",UPPER(TRIM($J501))="NA"),IFERROR(INDEX(Lists!$R$2:$R$9,MATCH(TRIM($G501),Lists!$Q$2:$Q$9,0)),"UNMAPPED"),IFERROR(INDEX(Lists!$U$2:$U$21,MATCH(TRIM($J501),Lists!$T$2:$T$21,0)),IFERROR(INDEX(Lists!$R$2:$R$9,MATCH(TRIM($G501),Lists!$Q$2:$Q$9,0)),"UNMAPPED"))))))))</f>
        <v>Ampol Retail</v>
      </c>
      <c r="AI501" s="534" t="b">
        <f>IF(TRIM($B501)="","",--OR(TRIM($L501)="Leadership",TRIM($K501)="Leadership"))</f>
        <v>0</v>
      </c>
      <c r="AJ501" s="534" t="str">
        <f>IF(TRIM($B501)="","",IF(COUNTIFS(Lists!$AN$2:$AN$22,TRIM($B501)&amp;" | "&amp;TRIM($D501),Lists!$AP$2:$AP$22,"&lt;&gt;"),INDEX(Lists!$AP$2:$AP$22,MATCH(TRIM($B501)&amp;" | "&amp;TRIM($D501),Lists!$AN$2:$AN$22,0)),IF($AI501=1,"Leadership",IFERROR(INDEX(Lists!$X$2:$X$21,MATCH(TRIM($L501),Lists!$W$2:$W$21,0)),IF(OR(TRIM($L501)="",LOWER(TRIM($L501))="na"),IF(TRIM($H501)="","Unassigned",TRIM($H501)),TRIM($L501))))))</f>
        <v>AmPOS</v>
      </c>
      <c r="AK501" s="534" t="str">
        <f>IF(TRIM($B501)="","",IF(COUNTIFS(Lists!$AN$2:$AN$22,TRIM($B501)&amp;" | "&amp;TRIM($D501),Lists!$AQ$2:$AQ$22,"&lt;&gt;"),INDEX(Lists!$AQ$2:$AQ$22,MATCH(TRIM($B501)&amp;" | "&amp;TRIM($D501),Lists!$AN$2:$AN$22,0)),IF(COUNTIF(Lists!$AF$2:$AF$8,$AJ501),$AJ501,IF(ISNUMBER(SEARCH("head of ",$D501)),"Head of Technology",IF(ISNUMBER(SEARCH("TDD BP",$D501)),"Business Partner",IF(OR(ISNUMBER(SEARCH("domain architect",$D501)),ISNUMBER(SEARCH("enterprise architect",$D501))),"Domain Architect",IF(ISNUMBER(SEARCH("delivery man",$D501)),"Delivery Manager",IF(OR(ISNUMBER(SEARCH("technology manager",$D501)),ISNUMBER(SEARCH("technology manger",$D501)),ISNUMBER(SEARCH("tech manager",$D501))),"Technology Manager","Squad"))))))))</f>
        <v>Squad</v>
      </c>
      <c r="AL501" s="534" t="str">
        <f>IF(TRIM($B501)="","",IF(AND($AM501=1,LEFT($AJ501,4)&lt;&gt;"EGI ",$AJ501&lt;&gt;"EGI"),IFERROR(INDEX(Lists!$Z$2:$Z$20,MATCH($AH501,Lists!$Y$2:$Y$20,0)),"EGI "&amp;$AH501),IF(COUNTIF(Lists!$AU$2:$AU$10,$AJ501),$AJ501,IF(OR(LEFT($AH501,3)="COE",$AH501="EGI"),$AJ501,IF($AK501&lt;&gt;"Squad",$AK501,$AJ501)))))</f>
        <v>AmPOS</v>
      </c>
      <c r="AM501" s="534" t="b">
        <f>IF(TRIM($B501)="","",--(UPPER(TRIM($K501))="EGI"))</f>
        <v>0</v>
      </c>
      <c r="AQ501" s="841" t="inlineStr">
        <is>
          <t>R0500</t>
        </is>
      </c>
      <c r="AZ501" s="841" t="n"/>
    </row>
    <row r="502" ht="18" customHeight="1" s="535">
      <c r="A502" s="842" t="n">
        <v>113564</v>
      </c>
      <c r="B502" s="843" t="inlineStr">
        <is>
          <t>Kaye Javier</t>
        </is>
      </c>
      <c r="C502" s="842" t="n">
        <v>113564</v>
      </c>
      <c r="D502" s="843" t="inlineStr">
        <is>
          <t>QA Analyst</t>
        </is>
      </c>
      <c r="E502" s="843" t="inlineStr">
        <is>
          <t>Kris Hamilton</t>
        </is>
      </c>
      <c r="F502" s="843" t="inlineStr">
        <is>
          <t>Technology Manager, Loyalty &amp; Martech</t>
        </is>
      </c>
      <c r="G502" s="844" t="inlineStr">
        <is>
          <t>Customer</t>
        </is>
      </c>
      <c r="H502" s="843" t="inlineStr">
        <is>
          <t>Loyalty &amp; Martech</t>
        </is>
      </c>
      <c r="I502" s="843" t="inlineStr">
        <is>
          <t>Loyalty, Tech</t>
        </is>
      </c>
      <c r="J502" s="843" t="inlineStr">
        <is>
          <t>Z ENERGY (DIGITAL)</t>
        </is>
      </c>
      <c r="K502" s="843" t="inlineStr">
        <is>
          <t>Z Loyalty &amp; Martech</t>
        </is>
      </c>
      <c r="L502" s="843" t="inlineStr">
        <is>
          <t>Z Loyalty &amp; Martech</t>
        </is>
      </c>
      <c r="M502" s="843" t="n"/>
      <c r="N502" s="845" t="inlineStr">
        <is>
          <t>NZ</t>
        </is>
      </c>
      <c r="O502" s="846" t="inlineStr">
        <is>
          <t>CDB (Often)</t>
        </is>
      </c>
      <c r="P502" s="847" t="n">
        <v>1</v>
      </c>
      <c r="Q502" s="846" t="n"/>
      <c r="R502" s="847" t="inlineStr">
        <is>
          <t>Permanent - Full Time</t>
        </is>
      </c>
      <c r="S502" s="847" t="n"/>
      <c r="T502" s="847" t="n"/>
      <c r="U502" s="848" t="n">
        <v>94080</v>
      </c>
      <c r="V502" s="849" t="n">
        <v>86553.60000000001</v>
      </c>
      <c r="W502" s="850" t="n">
        <v>0.1</v>
      </c>
      <c r="X502" s="847" t="n"/>
      <c r="Y502" s="850" t="n">
        <v>0.05</v>
      </c>
      <c r="Z502" s="851" t="n">
        <v>2910</v>
      </c>
      <c r="AA502" s="850" t="n">
        <v>0.03</v>
      </c>
      <c r="AB502" s="852" t="n">
        <v>105043.248</v>
      </c>
      <c r="AE502" s="534">
        <f>IF(TRIM($B502)="","",IF(AND(N($P502)&gt;0,N($P502)&lt;1),N($AB502)*N($P502),N($AB502)))</f>
        <v>105043.248</v>
      </c>
      <c r="AF502" s="534" t="str">
        <f>IF(TRIM($B502)="","",IF(OR(ISNUMBER(SEARCH("vacant",$B502)),ISNUMBER(SEARCH("ring fenced",$B502)),LOWER(TRIM($B502))="remove"),"Vacant","Filled"))</f>
        <v>Filled</v>
      </c>
      <c r="AG502" s="534" t="b">
        <f>IF(TRIM($B502)="","",--ISNUMBER(SEARCH("ring fenced",$B502)))</f>
        <v>0</v>
      </c>
      <c r="AH502" s="534" t="str">
        <f>IF(TRIM($B502)="","",IF(COUNTIFS(Lists!$AN$2:$AN$22,TRIM($B502)&amp;" | "&amp;TRIM($D502),Lists!$AO$2:$AO$22,"&lt;&gt;"),INDEX(Lists!$AO$2:$AO$22,MATCH(TRIM($B502)&amp;" | "&amp;TRIM($D502),Lists!$AN$2:$AN$22,0)),IF(COUNTIF(Lists!$AR$2:$AR$3,$AJ502),"TDD Cyber",IF(AND(LEFT($AJ502,4)="EGI ",ISNUMBER(MATCH(TRIM(MID($AJ502,5,99)),Lists!$AS$2:$AS$12,0))),TRIM(MID($AJ502,5,99)),IF(AND(LEFT($AJ502,4)="EGI ",ISNUMBER(MATCH(TRIM(MID($AJ502,5,99)),Lists!$T$2:$T$21,0))),INDEX(Lists!$U$2:$U$21,MATCH(TRIM(MID($AJ502,5,99)),Lists!$T$2:$T$21,0)),IF(OR(TRIM($J502)="",UPPER(TRIM($J502))="NA"),IFERROR(INDEX(Lists!$R$2:$R$9,MATCH(TRIM($G502),Lists!$Q$2:$Q$9,0)),"UNMAPPED"),IFERROR(INDEX(Lists!$U$2:$U$21,MATCH(TRIM($J502),Lists!$T$2:$T$21,0)),IFERROR(INDEX(Lists!$R$2:$R$9,MATCH(TRIM($G502),Lists!$Q$2:$Q$9,0)),"UNMAPPED"))))))))</f>
        <v>Customer</v>
      </c>
      <c r="AI502" s="534" t="b">
        <f>IF(TRIM($B502)="","",--OR(TRIM($L502)="Leadership",TRIM($K502)="Leadership"))</f>
        <v>0</v>
      </c>
      <c r="AJ502" s="534" t="str">
        <f>IF(TRIM($B502)="","",IF(COUNTIFS(Lists!$AN$2:$AN$22,TRIM($B502)&amp;" | "&amp;TRIM($D502),Lists!$AP$2:$AP$22,"&lt;&gt;"),INDEX(Lists!$AP$2:$AP$22,MATCH(TRIM($B502)&amp;" | "&amp;TRIM($D502),Lists!$AN$2:$AN$22,0)),IF($AI502=1,"Leadership",IFERROR(INDEX(Lists!$X$2:$X$21,MATCH(TRIM($L502),Lists!$W$2:$W$21,0)),IF(OR(TRIM($L502)="",LOWER(TRIM($L502))="na"),IF(TRIM($H502)="","Unassigned",TRIM($H502)),TRIM($L502))))))</f>
        <v>Z Loyalty &amp; Martech</v>
      </c>
      <c r="AK502" s="534" t="str">
        <f>IF(TRIM($B502)="","",IF(COUNTIFS(Lists!$AN$2:$AN$22,TRIM($B502)&amp;" | "&amp;TRIM($D502),Lists!$AQ$2:$AQ$22,"&lt;&gt;"),INDEX(Lists!$AQ$2:$AQ$22,MATCH(TRIM($B502)&amp;" | "&amp;TRIM($D502),Lists!$AN$2:$AN$22,0)),IF(COUNTIF(Lists!$AF$2:$AF$8,$AJ502),$AJ502,IF(ISNUMBER(SEARCH("head of ",$D502)),"Head of Technology",IF(ISNUMBER(SEARCH("TDD BP",$D502)),"Business Partner",IF(OR(ISNUMBER(SEARCH("domain architect",$D502)),ISNUMBER(SEARCH("enterprise architect",$D502))),"Domain Architect",IF(ISNUMBER(SEARCH("delivery man",$D502)),"Delivery Manager",IF(OR(ISNUMBER(SEARCH("technology manager",$D502)),ISNUMBER(SEARCH("technology manger",$D502)),ISNUMBER(SEARCH("tech manager",$D502))),"Technology Manager","Squad"))))))))</f>
        <v>Squad</v>
      </c>
      <c r="AL502" s="534" t="str">
        <f>IF(TRIM($B502)="","",IF(AND($AM502=1,LEFT($AJ502,4)&lt;&gt;"EGI ",$AJ502&lt;&gt;"EGI"),IFERROR(INDEX(Lists!$Z$2:$Z$20,MATCH($AH502,Lists!$Y$2:$Y$20,0)),"EGI "&amp;$AH502),IF(COUNTIF(Lists!$AU$2:$AU$10,$AJ502),$AJ502,IF(OR(LEFT($AH502,3)="COE",$AH502="EGI"),$AJ502,IF($AK502&lt;&gt;"Squad",$AK502,$AJ502)))))</f>
        <v>Z Loyalty &amp; Martech</v>
      </c>
      <c r="AM502" s="534" t="b">
        <f>IF(TRIM($B502)="","",--(UPPER(TRIM($K502))="EGI"))</f>
        <v>0</v>
      </c>
      <c r="AN502" s="534" t="inlineStr">
        <is>
          <t>Filled</t>
        </is>
      </c>
      <c r="AQ502" s="841" t="inlineStr">
        <is>
          <t>R0501</t>
        </is>
      </c>
      <c r="AZ502" s="841" t="n"/>
    </row>
    <row r="503" ht="18" customHeight="1" s="535">
      <c r="A503" s="842" t="n">
        <v>113560</v>
      </c>
      <c r="B503" s="843" t="inlineStr">
        <is>
          <t>Jordan Kettles</t>
        </is>
      </c>
      <c r="C503" s="842" t="n">
        <v>113560</v>
      </c>
      <c r="D503" s="843" t="inlineStr">
        <is>
          <t>Engineer, Sotware</t>
        </is>
      </c>
      <c r="E503" s="843" t="inlineStr">
        <is>
          <t>Zoe Udy</t>
        </is>
      </c>
      <c r="F503" s="843" t="inlineStr">
        <is>
          <t>Technology Manager, Data &amp; Engineering</t>
        </is>
      </c>
      <c r="G503" s="844" t="inlineStr">
        <is>
          <t>Customer</t>
        </is>
      </c>
      <c r="H503" s="843" t="inlineStr">
        <is>
          <t>Loyalty &amp; Martech</t>
        </is>
      </c>
      <c r="I503" s="843" t="inlineStr">
        <is>
          <t>Loyalty, Data &amp; Engineering</t>
        </is>
      </c>
      <c r="J503" s="843" t="inlineStr">
        <is>
          <t>Z ENERGY (DIGITAL)</t>
        </is>
      </c>
      <c r="K503" s="843" t="inlineStr">
        <is>
          <t>Z Loyalty &amp; Martech</t>
        </is>
      </c>
      <c r="L503" s="843" t="inlineStr">
        <is>
          <t>Z Loyalty &amp; Martech</t>
        </is>
      </c>
      <c r="M503" s="843" t="n"/>
      <c r="N503" s="845" t="inlineStr">
        <is>
          <t>NZ</t>
        </is>
      </c>
      <c r="O503" s="846" t="inlineStr">
        <is>
          <t>CDB (Often)</t>
        </is>
      </c>
      <c r="P503" s="847" t="n">
        <v>1</v>
      </c>
      <c r="Q503" s="846" t="n"/>
      <c r="R503" s="847" t="inlineStr">
        <is>
          <t>Permanent - Full Time</t>
        </is>
      </c>
      <c r="S503" s="847" t="n"/>
      <c r="T503" s="847" t="n"/>
      <c r="U503" s="848" t="n">
        <v>95440</v>
      </c>
      <c r="V503" s="849" t="n">
        <v>87804.8</v>
      </c>
      <c r="W503" s="850" t="n">
        <v>0.1</v>
      </c>
      <c r="X503" s="847" t="n"/>
      <c r="Y503" s="850" t="n">
        <v>0.05</v>
      </c>
      <c r="Z503" s="851" t="n">
        <v>2910</v>
      </c>
      <c r="AA503" s="850" t="n">
        <v>0.03</v>
      </c>
      <c r="AB503" s="852" t="n">
        <v>106519.664</v>
      </c>
      <c r="AE503" s="534">
        <f>IF(TRIM($B503)="","",IF(AND(N($P503)&gt;0,N($P503)&lt;1),N($AB503)*N($P503),N($AB503)))</f>
        <v>106519.664</v>
      </c>
      <c r="AF503" s="534" t="str">
        <f>IF(TRIM($B503)="","",IF(OR(ISNUMBER(SEARCH("vacant",$B503)),ISNUMBER(SEARCH("ring fenced",$B503)),LOWER(TRIM($B503))="remove"),"Vacant","Filled"))</f>
        <v>Filled</v>
      </c>
      <c r="AG503" s="534" t="b">
        <f>IF(TRIM($B503)="","",--ISNUMBER(SEARCH("ring fenced",$B503)))</f>
        <v>0</v>
      </c>
      <c r="AH503" s="534" t="str">
        <f>IF(TRIM($B503)="","",IF(COUNTIFS(Lists!$AN$2:$AN$22,TRIM($B503)&amp;" | "&amp;TRIM($D503),Lists!$AO$2:$AO$22,"&lt;&gt;"),INDEX(Lists!$AO$2:$AO$22,MATCH(TRIM($B503)&amp;" | "&amp;TRIM($D503),Lists!$AN$2:$AN$22,0)),IF(COUNTIF(Lists!$AR$2:$AR$3,$AJ503),"TDD Cyber",IF(AND(LEFT($AJ503,4)="EGI ",ISNUMBER(MATCH(TRIM(MID($AJ503,5,99)),Lists!$AS$2:$AS$12,0))),TRIM(MID($AJ503,5,99)),IF(AND(LEFT($AJ503,4)="EGI ",ISNUMBER(MATCH(TRIM(MID($AJ503,5,99)),Lists!$T$2:$T$21,0))),INDEX(Lists!$U$2:$U$21,MATCH(TRIM(MID($AJ503,5,99)),Lists!$T$2:$T$21,0)),IF(OR(TRIM($J503)="",UPPER(TRIM($J503))="NA"),IFERROR(INDEX(Lists!$R$2:$R$9,MATCH(TRIM($G503),Lists!$Q$2:$Q$9,0)),"UNMAPPED"),IFERROR(INDEX(Lists!$U$2:$U$21,MATCH(TRIM($J503),Lists!$T$2:$T$21,0)),IFERROR(INDEX(Lists!$R$2:$R$9,MATCH(TRIM($G503),Lists!$Q$2:$Q$9,0)),"UNMAPPED"))))))))</f>
        <v>Customer</v>
      </c>
      <c r="AI503" s="534" t="b">
        <f>IF(TRIM($B503)="","",--OR(TRIM($L503)="Leadership",TRIM($K503)="Leadership"))</f>
        <v>0</v>
      </c>
      <c r="AJ503" s="534" t="str">
        <f>IF(TRIM($B503)="","",IF(COUNTIFS(Lists!$AN$2:$AN$22,TRIM($B503)&amp;" | "&amp;TRIM($D503),Lists!$AP$2:$AP$22,"&lt;&gt;"),INDEX(Lists!$AP$2:$AP$22,MATCH(TRIM($B503)&amp;" | "&amp;TRIM($D503),Lists!$AN$2:$AN$22,0)),IF($AI503=1,"Leadership",IFERROR(INDEX(Lists!$X$2:$X$21,MATCH(TRIM($L503),Lists!$W$2:$W$21,0)),IF(OR(TRIM($L503)="",LOWER(TRIM($L503))="na"),IF(TRIM($H503)="","Unassigned",TRIM($H503)),TRIM($L503))))))</f>
        <v>Z Loyalty &amp; Martech</v>
      </c>
      <c r="AK503" s="534" t="str">
        <f>IF(TRIM($B503)="","",IF(COUNTIFS(Lists!$AN$2:$AN$22,TRIM($B503)&amp;" | "&amp;TRIM($D503),Lists!$AQ$2:$AQ$22,"&lt;&gt;"),INDEX(Lists!$AQ$2:$AQ$22,MATCH(TRIM($B503)&amp;" | "&amp;TRIM($D503),Lists!$AN$2:$AN$22,0)),IF(COUNTIF(Lists!$AF$2:$AF$8,$AJ503),$AJ503,IF(ISNUMBER(SEARCH("head of ",$D503)),"Head of Technology",IF(ISNUMBER(SEARCH("TDD BP",$D503)),"Business Partner",IF(OR(ISNUMBER(SEARCH("domain architect",$D503)),ISNUMBER(SEARCH("enterprise architect",$D503))),"Domain Architect",IF(ISNUMBER(SEARCH("delivery man",$D503)),"Delivery Manager",IF(OR(ISNUMBER(SEARCH("technology manager",$D503)),ISNUMBER(SEARCH("technology manger",$D503)),ISNUMBER(SEARCH("tech manager",$D503))),"Technology Manager","Squad"))))))))</f>
        <v>Squad</v>
      </c>
      <c r="AL503" s="534" t="str">
        <f>IF(TRIM($B503)="","",IF(AND($AM503=1,LEFT($AJ503,4)&lt;&gt;"EGI ",$AJ503&lt;&gt;"EGI"),IFERROR(INDEX(Lists!$Z$2:$Z$20,MATCH($AH503,Lists!$Y$2:$Y$20,0)),"EGI "&amp;$AH503),IF(COUNTIF(Lists!$AU$2:$AU$10,$AJ503),$AJ503,IF(OR(LEFT($AH503,3)="COE",$AH503="EGI"),$AJ503,IF($AK503&lt;&gt;"Squad",$AK503,$AJ503)))))</f>
        <v>Z Loyalty &amp; Martech</v>
      </c>
      <c r="AM503" s="534" t="b">
        <f>IF(TRIM($B503)="","",--(UPPER(TRIM($K503))="EGI"))</f>
        <v>0</v>
      </c>
      <c r="AN503" s="534" t="inlineStr">
        <is>
          <t>Filled</t>
        </is>
      </c>
      <c r="AQ503" s="841" t="inlineStr">
        <is>
          <t>R0502</t>
        </is>
      </c>
      <c r="AZ503" s="841" t="n"/>
    </row>
    <row r="504" ht="18" customHeight="1" s="535">
      <c r="A504" s="842" t="n">
        <v>113611</v>
      </c>
      <c r="B504" s="843" t="inlineStr">
        <is>
          <t>Scott Cullen</t>
        </is>
      </c>
      <c r="C504" s="842" t="n">
        <v>113611</v>
      </c>
      <c r="D504" s="843" t="inlineStr">
        <is>
          <t>Engineer, Dev Ops</t>
        </is>
      </c>
      <c r="E504" s="843" t="inlineStr">
        <is>
          <t>Zoe Udy</t>
        </is>
      </c>
      <c r="F504" s="843" t="inlineStr">
        <is>
          <t>Technology Manager, Data &amp; Engineering</t>
        </is>
      </c>
      <c r="G504" s="844" t="inlineStr">
        <is>
          <t>Customer</t>
        </is>
      </c>
      <c r="H504" s="843" t="inlineStr">
        <is>
          <t>Loyalty &amp; Martech</t>
        </is>
      </c>
      <c r="I504" s="843" t="inlineStr">
        <is>
          <t>Loyalty, Data &amp; Engineering</t>
        </is>
      </c>
      <c r="J504" s="843" t="inlineStr">
        <is>
          <t>Z ENERGY (DIGITAL)</t>
        </is>
      </c>
      <c r="K504" s="843" t="inlineStr">
        <is>
          <t>Z Loyalty &amp; Martech</t>
        </is>
      </c>
      <c r="L504" s="843" t="inlineStr">
        <is>
          <t>Z Loyalty &amp; Martech</t>
        </is>
      </c>
      <c r="M504" s="843" t="n"/>
      <c r="N504" s="845" t="inlineStr">
        <is>
          <t>NZ</t>
        </is>
      </c>
      <c r="O504" s="846" t="inlineStr">
        <is>
          <t>CDB (Often)</t>
        </is>
      </c>
      <c r="P504" s="847" t="n">
        <v>1</v>
      </c>
      <c r="Q504" s="846" t="n"/>
      <c r="R504" s="847" t="inlineStr">
        <is>
          <t>Permanent - Full Time</t>
        </is>
      </c>
      <c r="S504" s="847" t="n"/>
      <c r="T504" s="847" t="n"/>
      <c r="U504" s="848" t="n">
        <v>93900</v>
      </c>
      <c r="V504" s="849" t="n">
        <v>86388</v>
      </c>
      <c r="W504" s="850" t="n">
        <v>0.1</v>
      </c>
      <c r="X504" s="847" t="n"/>
      <c r="Y504" s="850" t="n">
        <v>0.05</v>
      </c>
      <c r="Z504" s="851" t="n">
        <v>2910</v>
      </c>
      <c r="AA504" s="850" t="n">
        <v>0.03</v>
      </c>
      <c r="AB504" s="852" t="n">
        <v>104847.84</v>
      </c>
      <c r="AE504" s="534">
        <f>IF(TRIM($B504)="","",IF(AND(N($P504)&gt;0,N($P504)&lt;1),N($AB504)*N($P504),N($AB504)))</f>
        <v>104847.84</v>
      </c>
      <c r="AF504" s="534" t="str">
        <f>IF(TRIM($B504)="","",IF(OR(ISNUMBER(SEARCH("vacant",$B504)),ISNUMBER(SEARCH("ring fenced",$B504)),LOWER(TRIM($B504))="remove"),"Vacant","Filled"))</f>
        <v>Filled</v>
      </c>
      <c r="AG504" s="534" t="b">
        <f>IF(TRIM($B504)="","",--ISNUMBER(SEARCH("ring fenced",$B504)))</f>
        <v>0</v>
      </c>
      <c r="AH504" s="534" t="str">
        <f>IF(TRIM($B504)="","",IF(COUNTIFS(Lists!$AN$2:$AN$22,TRIM($B504)&amp;" | "&amp;TRIM($D504),Lists!$AO$2:$AO$22,"&lt;&gt;"),INDEX(Lists!$AO$2:$AO$22,MATCH(TRIM($B504)&amp;" | "&amp;TRIM($D504),Lists!$AN$2:$AN$22,0)),IF(COUNTIF(Lists!$AR$2:$AR$3,$AJ504),"TDD Cyber",IF(AND(LEFT($AJ504,4)="EGI ",ISNUMBER(MATCH(TRIM(MID($AJ504,5,99)),Lists!$AS$2:$AS$12,0))),TRIM(MID($AJ504,5,99)),IF(AND(LEFT($AJ504,4)="EGI ",ISNUMBER(MATCH(TRIM(MID($AJ504,5,99)),Lists!$T$2:$T$21,0))),INDEX(Lists!$U$2:$U$21,MATCH(TRIM(MID($AJ504,5,99)),Lists!$T$2:$T$21,0)),IF(OR(TRIM($J504)="",UPPER(TRIM($J504))="NA"),IFERROR(INDEX(Lists!$R$2:$R$9,MATCH(TRIM($G504),Lists!$Q$2:$Q$9,0)),"UNMAPPED"),IFERROR(INDEX(Lists!$U$2:$U$21,MATCH(TRIM($J504),Lists!$T$2:$T$21,0)),IFERROR(INDEX(Lists!$R$2:$R$9,MATCH(TRIM($G504),Lists!$Q$2:$Q$9,0)),"UNMAPPED"))))))))</f>
        <v>Customer</v>
      </c>
      <c r="AI504" s="534" t="b">
        <f>IF(TRIM($B504)="","",--OR(TRIM($L504)="Leadership",TRIM($K504)="Leadership"))</f>
        <v>0</v>
      </c>
      <c r="AJ504" s="534" t="str">
        <f>IF(TRIM($B504)="","",IF(COUNTIFS(Lists!$AN$2:$AN$22,TRIM($B504)&amp;" | "&amp;TRIM($D504),Lists!$AP$2:$AP$22,"&lt;&gt;"),INDEX(Lists!$AP$2:$AP$22,MATCH(TRIM($B504)&amp;" | "&amp;TRIM($D504),Lists!$AN$2:$AN$22,0)),IF($AI504=1,"Leadership",IFERROR(INDEX(Lists!$X$2:$X$21,MATCH(TRIM($L504),Lists!$W$2:$W$21,0)),IF(OR(TRIM($L504)="",LOWER(TRIM($L504))="na"),IF(TRIM($H504)="","Unassigned",TRIM($H504)),TRIM($L504))))))</f>
        <v>Z Loyalty &amp; Martech</v>
      </c>
      <c r="AK504" s="534" t="str">
        <f>IF(TRIM($B504)="","",IF(COUNTIFS(Lists!$AN$2:$AN$22,TRIM($B504)&amp;" | "&amp;TRIM($D504),Lists!$AQ$2:$AQ$22,"&lt;&gt;"),INDEX(Lists!$AQ$2:$AQ$22,MATCH(TRIM($B504)&amp;" | "&amp;TRIM($D504),Lists!$AN$2:$AN$22,0)),IF(COUNTIF(Lists!$AF$2:$AF$8,$AJ504),$AJ504,IF(ISNUMBER(SEARCH("head of ",$D504)),"Head of Technology",IF(ISNUMBER(SEARCH("TDD BP",$D504)),"Business Partner",IF(OR(ISNUMBER(SEARCH("domain architect",$D504)),ISNUMBER(SEARCH("enterprise architect",$D504))),"Domain Architect",IF(ISNUMBER(SEARCH("delivery man",$D504)),"Delivery Manager",IF(OR(ISNUMBER(SEARCH("technology manager",$D504)),ISNUMBER(SEARCH("technology manger",$D504)),ISNUMBER(SEARCH("tech manager",$D504))),"Technology Manager","Squad"))))))))</f>
        <v>Squad</v>
      </c>
      <c r="AL504" s="534" t="str">
        <f>IF(TRIM($B504)="","",IF(AND($AM504=1,LEFT($AJ504,4)&lt;&gt;"EGI ",$AJ504&lt;&gt;"EGI"),IFERROR(INDEX(Lists!$Z$2:$Z$20,MATCH($AH504,Lists!$Y$2:$Y$20,0)),"EGI "&amp;$AH504),IF(COUNTIF(Lists!$AU$2:$AU$10,$AJ504),$AJ504,IF(OR(LEFT($AH504,3)="COE",$AH504="EGI"),$AJ504,IF($AK504&lt;&gt;"Squad",$AK504,$AJ504)))))</f>
        <v>Z Loyalty &amp; Martech</v>
      </c>
      <c r="AM504" s="534" t="b">
        <f>IF(TRIM($B504)="","",--(UPPER(TRIM($K504))="EGI"))</f>
        <v>0</v>
      </c>
      <c r="AN504" s="534" t="inlineStr">
        <is>
          <t>Filled</t>
        </is>
      </c>
      <c r="AQ504" s="841" t="inlineStr">
        <is>
          <t>R0503</t>
        </is>
      </c>
      <c r="AZ504" s="841" t="n"/>
    </row>
    <row r="505" ht="18" customHeight="1" s="535">
      <c r="A505" s="842" t="inlineStr">
        <is>
          <t>V</t>
        </is>
      </c>
      <c r="B505" s="843" t="inlineStr">
        <is>
          <t>Vacant</t>
        </is>
      </c>
      <c r="C505" s="842" t="inlineStr">
        <is>
          <t>V</t>
        </is>
      </c>
      <c r="D505" s="843" t="inlineStr">
        <is>
          <t>Tech Support Technician</t>
        </is>
      </c>
      <c r="E505" s="843" t="inlineStr">
        <is>
          <t>Allan Francia</t>
        </is>
      </c>
      <c r="F505" s="843" t="inlineStr">
        <is>
          <t>Technology Manager, T&amp;S</t>
        </is>
      </c>
      <c r="G505" s="844" t="inlineStr">
        <is>
          <t>TDD CFE&amp;I</t>
        </is>
      </c>
      <c r="H505" s="843" t="inlineStr">
        <is>
          <t>Commercial Fuels</t>
        </is>
      </c>
      <c r="I505" s="843" t="inlineStr">
        <is>
          <t>Technology, Trading &amp; Shipping</t>
        </is>
      </c>
      <c r="J505" s="843" t="inlineStr">
        <is>
          <t>Commercial Fuels</t>
        </is>
      </c>
      <c r="K505" s="843" t="inlineStr">
        <is>
          <t>Trading &amp; Shipping</t>
        </is>
      </c>
      <c r="L505" s="843" t="inlineStr">
        <is>
          <t>Trading &amp; Shipping</t>
        </is>
      </c>
      <c r="M505" s="843" t="n"/>
      <c r="N505" s="845" t="inlineStr">
        <is>
          <t>Australia</t>
        </is>
      </c>
      <c r="O505" s="846" t="inlineStr">
        <is>
          <t>CDB</t>
        </is>
      </c>
      <c r="P505" s="847" t="n">
        <v>1</v>
      </c>
      <c r="Q505" s="846" t="n"/>
      <c r="R505" s="847" t="inlineStr">
        <is>
          <t>v</t>
        </is>
      </c>
      <c r="S505" s="847" t="n"/>
      <c r="T505" s="847" t="n"/>
      <c r="U505" s="848" t="n">
        <v>94650</v>
      </c>
      <c r="V505" s="849" t="n">
        <v>94650</v>
      </c>
      <c r="W505" s="850" t="n">
        <v>0.08</v>
      </c>
      <c r="X505" s="847" t="n">
        <v>0.055</v>
      </c>
      <c r="Y505" s="850" t="n">
        <v>0.12</v>
      </c>
      <c r="Z505" s="851" t="n"/>
      <c r="AA505" s="850" t="n">
        <v>0.04</v>
      </c>
      <c r="AB505" s="852" t="n">
        <v>122571.75</v>
      </c>
      <c r="AE505" s="534">
        <f>IF(TRIM($B505)="","",IF(AND(N($P505)&gt;0,N($P505)&lt;1),N($AB505)*N($P505),N($AB505)))</f>
        <v>122571.75</v>
      </c>
      <c r="AF505" s="534" t="str">
        <f>IF(TRIM($B505)="","",IF(OR(ISNUMBER(SEARCH("vacant",$B505)),ISNUMBER(SEARCH("ring fenced",$B505)),LOWER(TRIM($B505))="remove"),"Vacant","Filled"))</f>
        <v>Vacant</v>
      </c>
      <c r="AG505" s="534" t="b">
        <f>IF(TRIM($B505)="","",--ISNUMBER(SEARCH("ring fenced",$B505)))</f>
        <v>0</v>
      </c>
      <c r="AH505" s="534" t="str">
        <f>IF(TRIM($B505)="","",IF(COUNTIFS(Lists!$AN$2:$AN$22,TRIM($B505)&amp;" | "&amp;TRIM($D505),Lists!$AO$2:$AO$22,"&lt;&gt;"),INDEX(Lists!$AO$2:$AO$22,MATCH(TRIM($B505)&amp;" | "&amp;TRIM($D505),Lists!$AN$2:$AN$22,0)),IF(COUNTIF(Lists!$AR$2:$AR$3,$AJ505),"TDD Cyber",IF(AND(LEFT($AJ505,4)="EGI ",ISNUMBER(MATCH(TRIM(MID($AJ505,5,99)),Lists!$AS$2:$AS$12,0))),TRIM(MID($AJ505,5,99)),IF(AND(LEFT($AJ505,4)="EGI ",ISNUMBER(MATCH(TRIM(MID($AJ505,5,99)),Lists!$T$2:$T$21,0))),INDEX(Lists!$U$2:$U$21,MATCH(TRIM(MID($AJ505,5,99)),Lists!$T$2:$T$21,0)),IF(OR(TRIM($J505)="",UPPER(TRIM($J505))="NA"),IFERROR(INDEX(Lists!$R$2:$R$9,MATCH(TRIM($G505),Lists!$Q$2:$Q$9,0)),"UNMAPPED"),IFERROR(INDEX(Lists!$U$2:$U$21,MATCH(TRIM($J505),Lists!$T$2:$T$21,0)),IFERROR(INDEX(Lists!$R$2:$R$9,MATCH(TRIM($G505),Lists!$Q$2:$Q$9,0)),"UNMAPPED"))))))))</f>
        <v>Commercial Fuels</v>
      </c>
      <c r="AI505" s="534" t="b">
        <f>IF(TRIM($B505)="","",--OR(TRIM($L505)="Leadership",TRIM($K505)="Leadership"))</f>
        <v>0</v>
      </c>
      <c r="AJ505" s="534" t="str">
        <f>IF(TRIM($B505)="","",IF(COUNTIFS(Lists!$AN$2:$AN$22,TRIM($B505)&amp;" | "&amp;TRIM($D505),Lists!$AP$2:$AP$22,"&lt;&gt;"),INDEX(Lists!$AP$2:$AP$22,MATCH(TRIM($B505)&amp;" | "&amp;TRIM($D505),Lists!$AN$2:$AN$22,0)),IF($AI505=1,"Leadership",IFERROR(INDEX(Lists!$X$2:$X$21,MATCH(TRIM($L505),Lists!$W$2:$W$21,0)),IF(OR(TRIM($L505)="",LOWER(TRIM($L505))="na"),IF(TRIM($H505)="","Unassigned",TRIM($H505)),TRIM($L505))))))</f>
        <v>Trading &amp; Shipping</v>
      </c>
      <c r="AK505" s="534" t="str">
        <f>IF(TRIM($B505)="","",IF(COUNTIFS(Lists!$AN$2:$AN$22,TRIM($B505)&amp;" | "&amp;TRIM($D505),Lists!$AQ$2:$AQ$22,"&lt;&gt;"),INDEX(Lists!$AQ$2:$AQ$22,MATCH(TRIM($B505)&amp;" | "&amp;TRIM($D505),Lists!$AN$2:$AN$22,0)),IF(COUNTIF(Lists!$AF$2:$AF$8,$AJ505),$AJ505,IF(ISNUMBER(SEARCH("head of ",$D505)),"Head of Technology",IF(ISNUMBER(SEARCH("TDD BP",$D505)),"Business Partner",IF(OR(ISNUMBER(SEARCH("domain architect",$D505)),ISNUMBER(SEARCH("enterprise architect",$D505))),"Domain Architect",IF(ISNUMBER(SEARCH("delivery man",$D505)),"Delivery Manager",IF(OR(ISNUMBER(SEARCH("technology manager",$D505)),ISNUMBER(SEARCH("technology manger",$D505)),ISNUMBER(SEARCH("tech manager",$D505))),"Technology Manager","Squad"))))))))</f>
        <v>Squad</v>
      </c>
      <c r="AL505" s="534" t="str">
        <f>IF(TRIM($B505)="","",IF(AND($AM505=1,LEFT($AJ505,4)&lt;&gt;"EGI ",$AJ505&lt;&gt;"EGI"),IFERROR(INDEX(Lists!$Z$2:$Z$20,MATCH($AH505,Lists!$Y$2:$Y$20,0)),"EGI "&amp;$AH505),IF(COUNTIF(Lists!$AU$2:$AU$10,$AJ505),$AJ505,IF(OR(LEFT($AH505,3)="COE",$AH505="EGI"),$AJ505,IF($AK505&lt;&gt;"Squad",$AK505,$AJ505)))))</f>
        <v>Trading &amp; Shipping</v>
      </c>
      <c r="AM505" s="534" t="b">
        <f>IF(TRIM($B505)="","",--(UPPER(TRIM($K505))="EGI"))</f>
        <v>0</v>
      </c>
      <c r="AQ505" s="841" t="inlineStr">
        <is>
          <t>R0504</t>
        </is>
      </c>
      <c r="AZ505" s="841" t="n"/>
    </row>
    <row r="506" ht="18" customHeight="1" s="535">
      <c r="A506" s="842" t="n">
        <v>113502</v>
      </c>
      <c r="B506" s="843" t="inlineStr">
        <is>
          <t>Alex Sutherland</t>
        </is>
      </c>
      <c r="C506" s="842" t="n">
        <v>113502</v>
      </c>
      <c r="D506" s="843" t="inlineStr">
        <is>
          <t>Site Systems Analyst</t>
        </is>
      </c>
      <c r="E506" s="843" t="inlineStr">
        <is>
          <t>Callan McLaughlin</t>
        </is>
      </c>
      <c r="F506" s="843" t="inlineStr">
        <is>
          <t>Technology Manager,  Site Systems</t>
        </is>
      </c>
      <c r="G506" s="844" t="inlineStr">
        <is>
          <t>Ampol Retail &amp; Z</t>
        </is>
      </c>
      <c r="H506" s="843" t="inlineStr">
        <is>
          <t>Z &amp; Group Retail</t>
        </is>
      </c>
      <c r="I506" s="843" t="inlineStr">
        <is>
          <t>Z &amp; Group Retail, Site Systems</t>
        </is>
      </c>
      <c r="J506" s="843" t="inlineStr">
        <is>
          <t>Z</t>
        </is>
      </c>
      <c r="K506" s="843" t="inlineStr">
        <is>
          <t>Z Customer</t>
        </is>
      </c>
      <c r="L506" s="843" t="inlineStr">
        <is>
          <t>Site Systems</t>
        </is>
      </c>
      <c r="M506" s="843" t="n"/>
      <c r="N506" s="845" t="inlineStr">
        <is>
          <t>NZ</t>
        </is>
      </c>
      <c r="O506" s="846" t="inlineStr">
        <is>
          <t>CDB</t>
        </is>
      </c>
      <c r="P506" s="847" t="n">
        <v>1</v>
      </c>
      <c r="Q506" s="847" t="n"/>
      <c r="R506" s="847" t="inlineStr">
        <is>
          <t>Permanent - Full Time</t>
        </is>
      </c>
      <c r="S506" s="847" t="n"/>
      <c r="T506" s="847" t="n"/>
      <c r="U506" s="848" t="n">
        <v>86540</v>
      </c>
      <c r="V506" s="849" t="n">
        <v>79616.8</v>
      </c>
      <c r="W506" s="850" t="n">
        <v>0.1</v>
      </c>
      <c r="X506" s="847" t="n"/>
      <c r="Y506" s="850" t="n">
        <v>0.05</v>
      </c>
      <c r="Z506" s="851" t="n">
        <v>2910</v>
      </c>
      <c r="AA506" s="850" t="n">
        <v>0.03</v>
      </c>
      <c r="AB506" s="852" t="n">
        <v>96857.82399999999</v>
      </c>
      <c r="AE506" s="534">
        <f>IF(TRIM($B506)="","",IF(AND(N($P506)&gt;0,N($P506)&lt;1),N($AB506)*N($P506),N($AB506)))</f>
        <v>96857.824</v>
      </c>
      <c r="AF506" s="534" t="str">
        <f>IF(TRIM($B506)="","",IF(OR(ISNUMBER(SEARCH("vacant",$B506)),ISNUMBER(SEARCH("ring fenced",$B506)),LOWER(TRIM($B506))="remove"),"Vacant","Filled"))</f>
        <v>Filled</v>
      </c>
      <c r="AG506" s="534" t="b">
        <f>IF(TRIM($B506)="","",--ISNUMBER(SEARCH("ring fenced",$B506)))</f>
        <v>0</v>
      </c>
      <c r="AH506" s="534" t="str">
        <f>IF(TRIM($B506)="","",IF(COUNTIFS(Lists!$AN$2:$AN$22,TRIM($B506)&amp;" | "&amp;TRIM($D506),Lists!$AO$2:$AO$22,"&lt;&gt;"),INDEX(Lists!$AO$2:$AO$22,MATCH(TRIM($B506)&amp;" | "&amp;TRIM($D506),Lists!$AN$2:$AN$22,0)),IF(COUNTIF(Lists!$AR$2:$AR$3,$AJ506),"TDD Cyber",IF(AND(LEFT($AJ506,4)="EGI ",ISNUMBER(MATCH(TRIM(MID($AJ506,5,99)),Lists!$AS$2:$AS$12,0))),TRIM(MID($AJ506,5,99)),IF(AND(LEFT($AJ506,4)="EGI ",ISNUMBER(MATCH(TRIM(MID($AJ506,5,99)),Lists!$T$2:$T$21,0))),INDEX(Lists!$U$2:$U$21,MATCH(TRIM(MID($AJ506,5,99)),Lists!$T$2:$T$21,0)),IF(OR(TRIM($J506)="",UPPER(TRIM($J506))="NA"),IFERROR(INDEX(Lists!$R$2:$R$9,MATCH(TRIM($G506),Lists!$Q$2:$Q$9,0)),"UNMAPPED"),IFERROR(INDEX(Lists!$U$2:$U$21,MATCH(TRIM($J506),Lists!$T$2:$T$21,0)),IFERROR(INDEX(Lists!$R$2:$R$9,MATCH(TRIM($G506),Lists!$Q$2:$Q$9,0)),"UNMAPPED"))))))))</f>
        <v>Z Retail</v>
      </c>
      <c r="AI506" s="534" t="b">
        <f>IF(TRIM($B506)="","",--OR(TRIM($L506)="Leadership",TRIM($K506)="Leadership"))</f>
        <v>0</v>
      </c>
      <c r="AJ506" s="534" t="str">
        <f>IF(TRIM($B506)="","",IF(COUNTIFS(Lists!$AN$2:$AN$22,TRIM($B506)&amp;" | "&amp;TRIM($D506),Lists!$AP$2:$AP$22,"&lt;&gt;"),INDEX(Lists!$AP$2:$AP$22,MATCH(TRIM($B506)&amp;" | "&amp;TRIM($D506),Lists!$AN$2:$AN$22,0)),IF($AI506=1,"Leadership",IFERROR(INDEX(Lists!$X$2:$X$21,MATCH(TRIM($L506),Lists!$W$2:$W$21,0)),IF(OR(TRIM($L506)="",LOWER(TRIM($L506))="na"),IF(TRIM($H506)="","Unassigned",TRIM($H506)),TRIM($L506))))))</f>
        <v>Site Systems</v>
      </c>
      <c r="AK506" s="534" t="str">
        <f>IF(TRIM($B506)="","",IF(COUNTIFS(Lists!$AN$2:$AN$22,TRIM($B506)&amp;" | "&amp;TRIM($D506),Lists!$AQ$2:$AQ$22,"&lt;&gt;"),INDEX(Lists!$AQ$2:$AQ$22,MATCH(TRIM($B506)&amp;" | "&amp;TRIM($D506),Lists!$AN$2:$AN$22,0)),IF(COUNTIF(Lists!$AF$2:$AF$8,$AJ506),$AJ506,IF(ISNUMBER(SEARCH("head of ",$D506)),"Head of Technology",IF(ISNUMBER(SEARCH("TDD BP",$D506)),"Business Partner",IF(OR(ISNUMBER(SEARCH("domain architect",$D506)),ISNUMBER(SEARCH("enterprise architect",$D506))),"Domain Architect",IF(ISNUMBER(SEARCH("delivery man",$D506)),"Delivery Manager",IF(OR(ISNUMBER(SEARCH("technology manager",$D506)),ISNUMBER(SEARCH("technology manger",$D506)),ISNUMBER(SEARCH("tech manager",$D506))),"Technology Manager","Squad"))))))))</f>
        <v>Squad</v>
      </c>
      <c r="AL506" s="534" t="str">
        <f>IF(TRIM($B506)="","",IF(AND($AM506=1,LEFT($AJ506,4)&lt;&gt;"EGI ",$AJ506&lt;&gt;"EGI"),IFERROR(INDEX(Lists!$Z$2:$Z$20,MATCH($AH506,Lists!$Y$2:$Y$20,0)),"EGI "&amp;$AH506),IF(COUNTIF(Lists!$AU$2:$AU$10,$AJ506),$AJ506,IF(OR(LEFT($AH506,3)="COE",$AH506="EGI"),$AJ506,IF($AK506&lt;&gt;"Squad",$AK506,$AJ506)))))</f>
        <v>Site Systems</v>
      </c>
      <c r="AM506" s="534" t="b">
        <f>IF(TRIM($B506)="","",--(UPPER(TRIM($K506))="EGI"))</f>
        <v>0</v>
      </c>
      <c r="AQ506" s="841" t="inlineStr">
        <is>
          <t>R0505</t>
        </is>
      </c>
      <c r="AZ506" s="841" t="n"/>
    </row>
    <row r="507" ht="18" customHeight="1" s="535">
      <c r="A507" s="842" t="n">
        <v>113305</v>
      </c>
      <c r="B507" s="843" t="inlineStr">
        <is>
          <t>Alex Abelita</t>
        </is>
      </c>
      <c r="C507" s="842" t="n">
        <v>113305</v>
      </c>
      <c r="D507" s="843" t="inlineStr">
        <is>
          <t>Associate Engineer - Automation Testing</t>
        </is>
      </c>
      <c r="E507" s="843" t="inlineStr">
        <is>
          <t>Elle Spencer</t>
        </is>
      </c>
      <c r="F507" s="843" t="inlineStr">
        <is>
          <t>Technology Manager, Energy Solutions</t>
        </is>
      </c>
      <c r="G507" s="844" t="inlineStr">
        <is>
          <t>TDD CFE&amp;I</t>
        </is>
      </c>
      <c r="H507" s="843" t="inlineStr">
        <is>
          <t>B2B &amp; Energy Solutions</t>
        </is>
      </c>
      <c r="I507" s="843" t="inlineStr">
        <is>
          <t>Technology B2B</t>
        </is>
      </c>
      <c r="J507" s="843" t="inlineStr">
        <is>
          <t>B2B &amp; Energy Solutions</t>
        </is>
      </c>
      <c r="K507" s="843" t="inlineStr">
        <is>
          <t>B2B</t>
        </is>
      </c>
      <c r="L507" s="843" t="inlineStr">
        <is>
          <t>B2B</t>
        </is>
      </c>
      <c r="M507" s="843" t="n"/>
      <c r="N507" s="845" t="inlineStr">
        <is>
          <t>NZ</t>
        </is>
      </c>
      <c r="O507" s="846" t="inlineStr">
        <is>
          <t>CDB</t>
        </is>
      </c>
      <c r="P507" s="847" t="n">
        <v>1</v>
      </c>
      <c r="Q507" s="846" t="n"/>
      <c r="R507" s="847" t="inlineStr">
        <is>
          <t>Permanent - Full Time</t>
        </is>
      </c>
      <c r="S507" s="847" t="n"/>
      <c r="T507" s="847" t="n"/>
      <c r="U507" s="848" t="n">
        <v>77500</v>
      </c>
      <c r="V507" s="849" t="n">
        <v>71300</v>
      </c>
      <c r="W507" s="850" t="n">
        <v>0.1</v>
      </c>
      <c r="X507" s="847" t="n"/>
      <c r="Y507" s="850" t="n">
        <v>0.05</v>
      </c>
      <c r="Z507" s="851" t="n">
        <v>2910</v>
      </c>
      <c r="AA507" s="850" t="n">
        <v>0.03</v>
      </c>
      <c r="AB507" s="852" t="n">
        <v>87044</v>
      </c>
      <c r="AE507" s="534">
        <f>IF(TRIM($B507)="","",IF(AND(N($P507)&gt;0,N($P507)&lt;1),N($AB507)*N($P507),N($AB507)))</f>
        <v>87044</v>
      </c>
      <c r="AF507" s="534" t="str">
        <f>IF(TRIM($B507)="","",IF(OR(ISNUMBER(SEARCH("vacant",$B507)),ISNUMBER(SEARCH("ring fenced",$B507)),LOWER(TRIM($B507))="remove"),"Vacant","Filled"))</f>
        <v>Filled</v>
      </c>
      <c r="AG507" s="534" t="b">
        <f>IF(TRIM($B507)="","",--ISNUMBER(SEARCH("ring fenced",$B507)))</f>
        <v>0</v>
      </c>
      <c r="AH507" s="534" t="str">
        <f>IF(TRIM($B507)="","",IF(COUNTIFS(Lists!$AN$2:$AN$22,TRIM($B507)&amp;" | "&amp;TRIM($D507),Lists!$AO$2:$AO$22,"&lt;&gt;"),INDEX(Lists!$AO$2:$AO$22,MATCH(TRIM($B507)&amp;" | "&amp;TRIM($D507),Lists!$AN$2:$AN$22,0)),IF(COUNTIF(Lists!$AR$2:$AR$3,$AJ507),"TDD Cyber",IF(AND(LEFT($AJ507,4)="EGI ",ISNUMBER(MATCH(TRIM(MID($AJ507,5,99)),Lists!$AS$2:$AS$12,0))),TRIM(MID($AJ507,5,99)),IF(AND(LEFT($AJ507,4)="EGI ",ISNUMBER(MATCH(TRIM(MID($AJ507,5,99)),Lists!$T$2:$T$21,0))),INDEX(Lists!$U$2:$U$21,MATCH(TRIM(MID($AJ507,5,99)),Lists!$T$2:$T$21,0)),IF(OR(TRIM($J507)="",UPPER(TRIM($J507))="NA"),IFERROR(INDEX(Lists!$R$2:$R$9,MATCH(TRIM($G507),Lists!$Q$2:$Q$9,0)),"UNMAPPED"),IFERROR(INDEX(Lists!$U$2:$U$21,MATCH(TRIM($J507),Lists!$T$2:$T$21,0)),IFERROR(INDEX(Lists!$R$2:$R$9,MATCH(TRIM($G507),Lists!$Q$2:$Q$9,0)),"UNMAPPED"))))))))</f>
        <v>Energy Solutions &amp; B2B</v>
      </c>
      <c r="AI507" s="534" t="b">
        <f>IF(TRIM($B507)="","",--OR(TRIM($L507)="Leadership",TRIM($K507)="Leadership"))</f>
        <v>0</v>
      </c>
      <c r="AJ507" s="534" t="str">
        <f>IF(TRIM($B507)="","",IF(COUNTIFS(Lists!$AN$2:$AN$22,TRIM($B507)&amp;" | "&amp;TRIM($D507),Lists!$AP$2:$AP$22,"&lt;&gt;"),INDEX(Lists!$AP$2:$AP$22,MATCH(TRIM($B507)&amp;" | "&amp;TRIM($D507),Lists!$AN$2:$AN$22,0)),IF($AI507=1,"Leadership",IFERROR(INDEX(Lists!$X$2:$X$21,MATCH(TRIM($L507),Lists!$W$2:$W$21,0)),IF(OR(TRIM($L507)="",LOWER(TRIM($L507))="na"),IF(TRIM($H507)="","Unassigned",TRIM($H507)),TRIM($L507))))))</f>
        <v>B2B</v>
      </c>
      <c r="AK507" s="534" t="str">
        <f>IF(TRIM($B507)="","",IF(COUNTIFS(Lists!$AN$2:$AN$22,TRIM($B507)&amp;" | "&amp;TRIM($D507),Lists!$AQ$2:$AQ$22,"&lt;&gt;"),INDEX(Lists!$AQ$2:$AQ$22,MATCH(TRIM($B507)&amp;" | "&amp;TRIM($D507),Lists!$AN$2:$AN$22,0)),IF(COUNTIF(Lists!$AF$2:$AF$8,$AJ507),$AJ507,IF(ISNUMBER(SEARCH("head of ",$D507)),"Head of Technology",IF(ISNUMBER(SEARCH("TDD BP",$D507)),"Business Partner",IF(OR(ISNUMBER(SEARCH("domain architect",$D507)),ISNUMBER(SEARCH("enterprise architect",$D507))),"Domain Architect",IF(ISNUMBER(SEARCH("delivery man",$D507)),"Delivery Manager",IF(OR(ISNUMBER(SEARCH("technology manager",$D507)),ISNUMBER(SEARCH("technology manger",$D507)),ISNUMBER(SEARCH("tech manager",$D507))),"Technology Manager","Squad"))))))))</f>
        <v>Squad</v>
      </c>
      <c r="AL507" s="534" t="str">
        <f>IF(TRIM($B507)="","",IF(AND($AM507=1,LEFT($AJ507,4)&lt;&gt;"EGI ",$AJ507&lt;&gt;"EGI"),IFERROR(INDEX(Lists!$Z$2:$Z$20,MATCH($AH507,Lists!$Y$2:$Y$20,0)),"EGI "&amp;$AH507),IF(COUNTIF(Lists!$AU$2:$AU$10,$AJ507),$AJ507,IF(OR(LEFT($AH507,3)="COE",$AH507="EGI"),$AJ507,IF($AK507&lt;&gt;"Squad",$AK507,$AJ507)))))</f>
        <v>B2B</v>
      </c>
      <c r="AM507" s="534" t="b">
        <f>IF(TRIM($B507)="","",--(UPPER(TRIM($K507))="EGI"))</f>
        <v>0</v>
      </c>
      <c r="AQ507" s="841" t="inlineStr">
        <is>
          <t>R0506</t>
        </is>
      </c>
      <c r="AZ507" s="841" t="n"/>
    </row>
    <row r="508" ht="18" customHeight="1" s="535">
      <c r="A508" s="842" t="n">
        <v>114366</v>
      </c>
      <c r="B508" s="843" t="inlineStr">
        <is>
          <t>Allyn Puente</t>
        </is>
      </c>
      <c r="C508" s="842" t="n">
        <v>114366</v>
      </c>
      <c r="D508" s="843" t="inlineStr">
        <is>
          <t>Graduate</t>
        </is>
      </c>
      <c r="E508" s="843" t="inlineStr">
        <is>
          <t>Elle Spencer</t>
        </is>
      </c>
      <c r="F508" s="843" t="inlineStr">
        <is>
          <t>Technology Manager, Energy Solutions</t>
        </is>
      </c>
      <c r="G508" s="844" t="inlineStr">
        <is>
          <t>TDD CFE&amp;I</t>
        </is>
      </c>
      <c r="H508" s="843" t="inlineStr">
        <is>
          <t>B2B &amp; Energy Solutions</t>
        </is>
      </c>
      <c r="I508" s="843" t="inlineStr">
        <is>
          <t>Technology B2B</t>
        </is>
      </c>
      <c r="J508" s="843" t="inlineStr">
        <is>
          <t>B2B &amp; Energy Solutions</t>
        </is>
      </c>
      <c r="K508" s="843" t="inlineStr">
        <is>
          <t>B2B</t>
        </is>
      </c>
      <c r="L508" s="843" t="inlineStr">
        <is>
          <t>B2B</t>
        </is>
      </c>
      <c r="M508" s="843" t="n"/>
      <c r="N508" s="845" t="inlineStr">
        <is>
          <t>Australia</t>
        </is>
      </c>
      <c r="O508" s="846" t="inlineStr">
        <is>
          <t>CDB</t>
        </is>
      </c>
      <c r="P508" s="847" t="n">
        <v>1</v>
      </c>
      <c r="Q508" s="846" t="n"/>
      <c r="R508" s="847" t="inlineStr">
        <is>
          <t>Permanent - Full Time</t>
        </is>
      </c>
      <c r="S508" s="847" t="n"/>
      <c r="T508" s="847" t="n"/>
      <c r="U508" s="848" t="n">
        <v>85000</v>
      </c>
      <c r="V508" s="849" t="n">
        <v>85000</v>
      </c>
      <c r="W508" s="850" t="n">
        <v>0.08</v>
      </c>
      <c r="X508" s="847" t="n">
        <v>0.055</v>
      </c>
      <c r="Y508" s="850" t="n">
        <v>0.12</v>
      </c>
      <c r="Z508" s="851" t="n"/>
      <c r="AA508" s="850" t="n">
        <v>0.04</v>
      </c>
      <c r="AB508" s="852" t="n">
        <v>110075</v>
      </c>
      <c r="AE508" s="534">
        <f>IF(TRIM($B508)="","",IF(AND(N($P508)&gt;0,N($P508)&lt;1),N($AB508)*N($P508),N($AB508)))</f>
        <v>110075</v>
      </c>
      <c r="AF508" s="534" t="str">
        <f>IF(TRIM($B508)="","",IF(OR(ISNUMBER(SEARCH("vacant",$B508)),ISNUMBER(SEARCH("ring fenced",$B508)),LOWER(TRIM($B508))="remove"),"Vacant","Filled"))</f>
        <v>Filled</v>
      </c>
      <c r="AG508" s="534" t="b">
        <f>IF(TRIM($B508)="","",--ISNUMBER(SEARCH("ring fenced",$B508)))</f>
        <v>0</v>
      </c>
      <c r="AH508" s="534" t="str">
        <f>IF(TRIM($B508)="","",IF(COUNTIFS(Lists!$AN$2:$AN$22,TRIM($B508)&amp;" | "&amp;TRIM($D508),Lists!$AO$2:$AO$22,"&lt;&gt;"),INDEX(Lists!$AO$2:$AO$22,MATCH(TRIM($B508)&amp;" | "&amp;TRIM($D508),Lists!$AN$2:$AN$22,0)),IF(COUNTIF(Lists!$AR$2:$AR$3,$AJ508),"TDD Cyber",IF(AND(LEFT($AJ508,4)="EGI ",ISNUMBER(MATCH(TRIM(MID($AJ508,5,99)),Lists!$AS$2:$AS$12,0))),TRIM(MID($AJ508,5,99)),IF(AND(LEFT($AJ508,4)="EGI ",ISNUMBER(MATCH(TRIM(MID($AJ508,5,99)),Lists!$T$2:$T$21,0))),INDEX(Lists!$U$2:$U$21,MATCH(TRIM(MID($AJ508,5,99)),Lists!$T$2:$T$21,0)),IF(OR(TRIM($J508)="",UPPER(TRIM($J508))="NA"),IFERROR(INDEX(Lists!$R$2:$R$9,MATCH(TRIM($G508),Lists!$Q$2:$Q$9,0)),"UNMAPPED"),IFERROR(INDEX(Lists!$U$2:$U$21,MATCH(TRIM($J508),Lists!$T$2:$T$21,0)),IFERROR(INDEX(Lists!$R$2:$R$9,MATCH(TRIM($G508),Lists!$Q$2:$Q$9,0)),"UNMAPPED"))))))))</f>
        <v>Energy Solutions &amp; B2B</v>
      </c>
      <c r="AI508" s="534" t="b">
        <f>IF(TRIM($B508)="","",--OR(TRIM($L508)="Leadership",TRIM($K508)="Leadership"))</f>
        <v>0</v>
      </c>
      <c r="AJ508" s="534" t="str">
        <f>IF(TRIM($B508)="","",IF(COUNTIFS(Lists!$AN$2:$AN$22,TRIM($B508)&amp;" | "&amp;TRIM($D508),Lists!$AP$2:$AP$22,"&lt;&gt;"),INDEX(Lists!$AP$2:$AP$22,MATCH(TRIM($B508)&amp;" | "&amp;TRIM($D508),Lists!$AN$2:$AN$22,0)),IF($AI508=1,"Leadership",IFERROR(INDEX(Lists!$X$2:$X$21,MATCH(TRIM($L508),Lists!$W$2:$W$21,0)),IF(OR(TRIM($L508)="",LOWER(TRIM($L508))="na"),IF(TRIM($H508)="","Unassigned",TRIM($H508)),TRIM($L508))))))</f>
        <v>B2B</v>
      </c>
      <c r="AK508" s="534" t="str">
        <f>IF(TRIM($B508)="","",IF(COUNTIFS(Lists!$AN$2:$AN$22,TRIM($B508)&amp;" | "&amp;TRIM($D508),Lists!$AQ$2:$AQ$22,"&lt;&gt;"),INDEX(Lists!$AQ$2:$AQ$22,MATCH(TRIM($B508)&amp;" | "&amp;TRIM($D508),Lists!$AN$2:$AN$22,0)),IF(COUNTIF(Lists!$AF$2:$AF$8,$AJ508),$AJ508,IF(ISNUMBER(SEARCH("head of ",$D508)),"Head of Technology",IF(ISNUMBER(SEARCH("TDD BP",$D508)),"Business Partner",IF(OR(ISNUMBER(SEARCH("domain architect",$D508)),ISNUMBER(SEARCH("enterprise architect",$D508))),"Domain Architect",IF(ISNUMBER(SEARCH("delivery man",$D508)),"Delivery Manager",IF(OR(ISNUMBER(SEARCH("technology manager",$D508)),ISNUMBER(SEARCH("technology manger",$D508)),ISNUMBER(SEARCH("tech manager",$D508))),"Technology Manager","Squad"))))))))</f>
        <v>Squad</v>
      </c>
      <c r="AL508" s="534" t="str">
        <f>IF(TRIM($B508)="","",IF(AND($AM508=1,LEFT($AJ508,4)&lt;&gt;"EGI ",$AJ508&lt;&gt;"EGI"),IFERROR(INDEX(Lists!$Z$2:$Z$20,MATCH($AH508,Lists!$Y$2:$Y$20,0)),"EGI "&amp;$AH508),IF(COUNTIF(Lists!$AU$2:$AU$10,$AJ508),$AJ508,IF(OR(LEFT($AH508,3)="COE",$AH508="EGI"),$AJ508,IF($AK508&lt;&gt;"Squad",$AK508,$AJ508)))))</f>
        <v>B2B</v>
      </c>
      <c r="AM508" s="534" t="b">
        <f>IF(TRIM($B508)="","",--(UPPER(TRIM($K508))="EGI"))</f>
        <v>0</v>
      </c>
      <c r="AQ508" s="841" t="inlineStr">
        <is>
          <t>R0507</t>
        </is>
      </c>
      <c r="AZ508" s="841" t="n"/>
    </row>
    <row r="509" ht="18" customHeight="1" s="535">
      <c r="A509" s="842" t="n">
        <v>115819</v>
      </c>
      <c r="B509" s="843" t="inlineStr">
        <is>
          <t>Gayan Liyana Arachchige</t>
        </is>
      </c>
      <c r="C509" s="842" t="n">
        <v>115819</v>
      </c>
      <c r="D509" s="843" t="inlineStr">
        <is>
          <t>Engineer - DevOps</t>
        </is>
      </c>
      <c r="E509" s="843" t="inlineStr">
        <is>
          <t>Emma Natoli</t>
        </is>
      </c>
      <c r="F509" s="843" t="inlineStr">
        <is>
          <t>Technology Manager, Engineering</t>
        </is>
      </c>
      <c r="G509" s="844" t="inlineStr">
        <is>
          <t>Ampol Retail &amp; Z</t>
        </is>
      </c>
      <c r="H509" s="843" t="inlineStr">
        <is>
          <t>Z &amp; Group Retail</t>
        </is>
      </c>
      <c r="I509" s="843" t="inlineStr">
        <is>
          <t>Z &amp; Group Retail, Engineering</t>
        </is>
      </c>
      <c r="J509" s="843" t="inlineStr">
        <is>
          <t>Z</t>
        </is>
      </c>
      <c r="K509" s="843" t="inlineStr">
        <is>
          <t>Z Supply</t>
        </is>
      </c>
      <c r="L509" s="843" t="inlineStr">
        <is>
          <t>Z Supply</t>
        </is>
      </c>
      <c r="M509" s="843" t="n"/>
      <c r="N509" s="845" t="inlineStr">
        <is>
          <t>NZ</t>
        </is>
      </c>
      <c r="O509" s="846" t="inlineStr">
        <is>
          <t>CDB</t>
        </is>
      </c>
      <c r="P509" s="847" t="n">
        <v>1</v>
      </c>
      <c r="Q509" s="846" t="n"/>
      <c r="R509" s="847" t="inlineStr">
        <is>
          <t>Permanent - Full Time</t>
        </is>
      </c>
      <c r="S509" s="847" t="n"/>
      <c r="T509" s="847" t="n"/>
      <c r="U509" s="848" t="n">
        <v>132710</v>
      </c>
      <c r="V509" s="849" t="n">
        <v>132710</v>
      </c>
      <c r="W509" s="850" t="n">
        <v>0.1</v>
      </c>
      <c r="X509" s="847" t="n">
        <v>0.055</v>
      </c>
      <c r="Y509" s="850" t="n">
        <v>0.12</v>
      </c>
      <c r="Z509" s="851" t="n"/>
      <c r="AA509" s="850" t="n">
        <v>0.04</v>
      </c>
      <c r="AB509" s="852" t="n">
        <v>174513.65</v>
      </c>
      <c r="AE509" s="534">
        <f>IF(TRIM($B509)="","",IF(AND(N($P509)&gt;0,N($P509)&lt;1),N($AB509)*N($P509),N($AB509)))</f>
        <v>174513.65</v>
      </c>
      <c r="AF509" s="534" t="str">
        <f>IF(TRIM($B509)="","",IF(OR(ISNUMBER(SEARCH("vacant",$B509)),ISNUMBER(SEARCH("ring fenced",$B509)),LOWER(TRIM($B509))="remove"),"Vacant","Filled"))</f>
        <v>Filled</v>
      </c>
      <c r="AG509" s="534" t="b">
        <f>IF(TRIM($B509)="","",--ISNUMBER(SEARCH("ring fenced",$B509)))</f>
        <v>0</v>
      </c>
      <c r="AH509" s="534" t="str">
        <f>IF(TRIM($B509)="","",IF(COUNTIFS(Lists!$AN$2:$AN$22,TRIM($B509)&amp;" | "&amp;TRIM($D509),Lists!$AO$2:$AO$22,"&lt;&gt;"),INDEX(Lists!$AO$2:$AO$22,MATCH(TRIM($B509)&amp;" | "&amp;TRIM($D509),Lists!$AN$2:$AN$22,0)),IF(COUNTIF(Lists!$AR$2:$AR$3,$AJ509),"TDD Cyber",IF(AND(LEFT($AJ509,4)="EGI ",ISNUMBER(MATCH(TRIM(MID($AJ509,5,99)),Lists!$AS$2:$AS$12,0))),TRIM(MID($AJ509,5,99)),IF(AND(LEFT($AJ509,4)="EGI ",ISNUMBER(MATCH(TRIM(MID($AJ509,5,99)),Lists!$T$2:$T$21,0))),INDEX(Lists!$U$2:$U$21,MATCH(TRIM(MID($AJ509,5,99)),Lists!$T$2:$T$21,0)),IF(OR(TRIM($J509)="",UPPER(TRIM($J509))="NA"),IFERROR(INDEX(Lists!$R$2:$R$9,MATCH(TRIM($G509),Lists!$Q$2:$Q$9,0)),"UNMAPPED"),IFERROR(INDEX(Lists!$U$2:$U$21,MATCH(TRIM($J509),Lists!$T$2:$T$21,0)),IFERROR(INDEX(Lists!$R$2:$R$9,MATCH(TRIM($G509),Lists!$Q$2:$Q$9,0)),"UNMAPPED"))))))))</f>
        <v>Z Retail</v>
      </c>
      <c r="AI509" s="534" t="b">
        <f>IF(TRIM($B509)="","",--OR(TRIM($L509)="Leadership",TRIM($K509)="Leadership"))</f>
        <v>0</v>
      </c>
      <c r="AJ509" s="534" t="str">
        <f>IF(TRIM($B509)="","",IF(COUNTIFS(Lists!$AN$2:$AN$22,TRIM($B509)&amp;" | "&amp;TRIM($D509),Lists!$AP$2:$AP$22,"&lt;&gt;"),INDEX(Lists!$AP$2:$AP$22,MATCH(TRIM($B509)&amp;" | "&amp;TRIM($D509),Lists!$AN$2:$AN$22,0)),IF($AI509=1,"Leadership",IFERROR(INDEX(Lists!$X$2:$X$21,MATCH(TRIM($L509),Lists!$W$2:$W$21,0)),IF(OR(TRIM($L509)="",LOWER(TRIM($L509))="na"),IF(TRIM($H509)="","Unassigned",TRIM($H509)),TRIM($L509))))))</f>
        <v>Z Supply</v>
      </c>
      <c r="AK509" s="534" t="str">
        <f>IF(TRIM($B509)="","",IF(COUNTIFS(Lists!$AN$2:$AN$22,TRIM($B509)&amp;" | "&amp;TRIM($D509),Lists!$AQ$2:$AQ$22,"&lt;&gt;"),INDEX(Lists!$AQ$2:$AQ$22,MATCH(TRIM($B509)&amp;" | "&amp;TRIM($D509),Lists!$AN$2:$AN$22,0)),IF(COUNTIF(Lists!$AF$2:$AF$8,$AJ509),$AJ509,IF(ISNUMBER(SEARCH("head of ",$D509)),"Head of Technology",IF(ISNUMBER(SEARCH("TDD BP",$D509)),"Business Partner",IF(OR(ISNUMBER(SEARCH("domain architect",$D509)),ISNUMBER(SEARCH("enterprise architect",$D509))),"Domain Architect",IF(ISNUMBER(SEARCH("delivery man",$D509)),"Delivery Manager",IF(OR(ISNUMBER(SEARCH("technology manager",$D509)),ISNUMBER(SEARCH("technology manger",$D509)),ISNUMBER(SEARCH("tech manager",$D509))),"Technology Manager","Squad"))))))))</f>
        <v>Squad</v>
      </c>
      <c r="AL509" s="534" t="str">
        <f>IF(TRIM($B509)="","",IF(AND($AM509=1,LEFT($AJ509,4)&lt;&gt;"EGI ",$AJ509&lt;&gt;"EGI"),IFERROR(INDEX(Lists!$Z$2:$Z$20,MATCH($AH509,Lists!$Y$2:$Y$20,0)),"EGI "&amp;$AH509),IF(COUNTIF(Lists!$AU$2:$AU$10,$AJ509),$AJ509,IF(OR(LEFT($AH509,3)="COE",$AH509="EGI"),$AJ509,IF($AK509&lt;&gt;"Squad",$AK509,$AJ509)))))</f>
        <v>Z Supply</v>
      </c>
      <c r="AM509" s="534" t="b">
        <f>IF(TRIM($B509)="","",--(UPPER(TRIM($K509))="EGI"))</f>
        <v>0</v>
      </c>
      <c r="AQ509" s="841" t="inlineStr">
        <is>
          <t>R0508</t>
        </is>
      </c>
      <c r="AZ509" s="841" t="n"/>
    </row>
    <row r="510" ht="18" customHeight="1" s="535">
      <c r="A510" s="842" t="n">
        <v>113558</v>
      </c>
      <c r="B510" s="843" t="inlineStr">
        <is>
          <t>Johanah Gloria</t>
        </is>
      </c>
      <c r="C510" s="842" t="n">
        <v>113558</v>
      </c>
      <c r="D510" s="843" t="inlineStr">
        <is>
          <t>Engineer - Software</t>
        </is>
      </c>
      <c r="E510" s="843" t="inlineStr">
        <is>
          <t>Emma Natoli</t>
        </is>
      </c>
      <c r="F510" s="843" t="inlineStr">
        <is>
          <t>Technology Manager, Engineering</t>
        </is>
      </c>
      <c r="G510" s="844" t="inlineStr">
        <is>
          <t>Ampol Retail &amp; Z</t>
        </is>
      </c>
      <c r="H510" s="843" t="inlineStr">
        <is>
          <t>Z &amp; Group Retail</t>
        </is>
      </c>
      <c r="I510" s="843" t="inlineStr">
        <is>
          <t>Z &amp; Group Retail, Engineering</t>
        </is>
      </c>
      <c r="J510" s="843" t="inlineStr">
        <is>
          <t>Z</t>
        </is>
      </c>
      <c r="K510" s="843" t="inlineStr">
        <is>
          <t>Z Supply</t>
        </is>
      </c>
      <c r="L510" s="843" t="inlineStr">
        <is>
          <t>Z Supply</t>
        </is>
      </c>
      <c r="M510" s="843" t="n"/>
      <c r="N510" s="845" t="inlineStr">
        <is>
          <t>NZ</t>
        </is>
      </c>
      <c r="O510" s="846" t="inlineStr">
        <is>
          <t>CDB</t>
        </is>
      </c>
      <c r="P510" s="847" t="n">
        <v>1</v>
      </c>
      <c r="Q510" s="846" t="n"/>
      <c r="R510" s="847" t="inlineStr">
        <is>
          <t>Permanent - Full Time</t>
        </is>
      </c>
      <c r="S510" s="847" t="n"/>
      <c r="T510" s="847" t="n"/>
      <c r="U510" s="848" t="n">
        <v>142360</v>
      </c>
      <c r="V510" s="849" t="n">
        <v>142360</v>
      </c>
      <c r="W510" s="850" t="n">
        <v>0.12</v>
      </c>
      <c r="X510" s="847" t="n">
        <v>0.055</v>
      </c>
      <c r="Y510" s="850" t="n">
        <v>0.12</v>
      </c>
      <c r="Z510" s="851" t="n"/>
      <c r="AA510" s="850" t="n">
        <v>0.04</v>
      </c>
      <c r="AB510" s="852" t="n">
        <v>190050.6</v>
      </c>
      <c r="AE510" s="534">
        <f>IF(TRIM($B510)="","",IF(AND(N($P510)&gt;0,N($P510)&lt;1),N($AB510)*N($P510),N($AB510)))</f>
        <v>190050.6</v>
      </c>
      <c r="AF510" s="534" t="str">
        <f>IF(TRIM($B510)="","",IF(OR(ISNUMBER(SEARCH("vacant",$B510)),ISNUMBER(SEARCH("ring fenced",$B510)),LOWER(TRIM($B510))="remove"),"Vacant","Filled"))</f>
        <v>Filled</v>
      </c>
      <c r="AG510" s="534" t="b">
        <f>IF(TRIM($B510)="","",--ISNUMBER(SEARCH("ring fenced",$B510)))</f>
        <v>0</v>
      </c>
      <c r="AH510" s="534" t="str">
        <f>IF(TRIM($B510)="","",IF(COUNTIFS(Lists!$AN$2:$AN$22,TRIM($B510)&amp;" | "&amp;TRIM($D510),Lists!$AO$2:$AO$22,"&lt;&gt;"),INDEX(Lists!$AO$2:$AO$22,MATCH(TRIM($B510)&amp;" | "&amp;TRIM($D510),Lists!$AN$2:$AN$22,0)),IF(COUNTIF(Lists!$AR$2:$AR$3,$AJ510),"TDD Cyber",IF(AND(LEFT($AJ510,4)="EGI ",ISNUMBER(MATCH(TRIM(MID($AJ510,5,99)),Lists!$AS$2:$AS$12,0))),TRIM(MID($AJ510,5,99)),IF(AND(LEFT($AJ510,4)="EGI ",ISNUMBER(MATCH(TRIM(MID($AJ510,5,99)),Lists!$T$2:$T$21,0))),INDEX(Lists!$U$2:$U$21,MATCH(TRIM(MID($AJ510,5,99)),Lists!$T$2:$T$21,0)),IF(OR(TRIM($J510)="",UPPER(TRIM($J510))="NA"),IFERROR(INDEX(Lists!$R$2:$R$9,MATCH(TRIM($G510),Lists!$Q$2:$Q$9,0)),"UNMAPPED"),IFERROR(INDEX(Lists!$U$2:$U$21,MATCH(TRIM($J510),Lists!$T$2:$T$21,0)),IFERROR(INDEX(Lists!$R$2:$R$9,MATCH(TRIM($G510),Lists!$Q$2:$Q$9,0)),"UNMAPPED"))))))))</f>
        <v>Z Retail</v>
      </c>
      <c r="AI510" s="534" t="b">
        <f>IF(TRIM($B510)="","",--OR(TRIM($L510)="Leadership",TRIM($K510)="Leadership"))</f>
        <v>0</v>
      </c>
      <c r="AJ510" s="534" t="str">
        <f>IF(TRIM($B510)="","",IF(COUNTIFS(Lists!$AN$2:$AN$22,TRIM($B510)&amp;" | "&amp;TRIM($D510),Lists!$AP$2:$AP$22,"&lt;&gt;"),INDEX(Lists!$AP$2:$AP$22,MATCH(TRIM($B510)&amp;" | "&amp;TRIM($D510),Lists!$AN$2:$AN$22,0)),IF($AI510=1,"Leadership",IFERROR(INDEX(Lists!$X$2:$X$21,MATCH(TRIM($L510),Lists!$W$2:$W$21,0)),IF(OR(TRIM($L510)="",LOWER(TRIM($L510))="na"),IF(TRIM($H510)="","Unassigned",TRIM($H510)),TRIM($L510))))))</f>
        <v>Z Supply</v>
      </c>
      <c r="AK510" s="534" t="str">
        <f>IF(TRIM($B510)="","",IF(COUNTIFS(Lists!$AN$2:$AN$22,TRIM($B510)&amp;" | "&amp;TRIM($D510),Lists!$AQ$2:$AQ$22,"&lt;&gt;"),INDEX(Lists!$AQ$2:$AQ$22,MATCH(TRIM($B510)&amp;" | "&amp;TRIM($D510),Lists!$AN$2:$AN$22,0)),IF(COUNTIF(Lists!$AF$2:$AF$8,$AJ510),$AJ510,IF(ISNUMBER(SEARCH("head of ",$D510)),"Head of Technology",IF(ISNUMBER(SEARCH("TDD BP",$D510)),"Business Partner",IF(OR(ISNUMBER(SEARCH("domain architect",$D510)),ISNUMBER(SEARCH("enterprise architect",$D510))),"Domain Architect",IF(ISNUMBER(SEARCH("delivery man",$D510)),"Delivery Manager",IF(OR(ISNUMBER(SEARCH("technology manager",$D510)),ISNUMBER(SEARCH("technology manger",$D510)),ISNUMBER(SEARCH("tech manager",$D510))),"Technology Manager","Squad"))))))))</f>
        <v>Squad</v>
      </c>
      <c r="AL510" s="534" t="str">
        <f>IF(TRIM($B510)="","",IF(AND($AM510=1,LEFT($AJ510,4)&lt;&gt;"EGI ",$AJ510&lt;&gt;"EGI"),IFERROR(INDEX(Lists!$Z$2:$Z$20,MATCH($AH510,Lists!$Y$2:$Y$20,0)),"EGI "&amp;$AH510),IF(COUNTIF(Lists!$AU$2:$AU$10,$AJ510),$AJ510,IF(OR(LEFT($AH510,3)="COE",$AH510="EGI"),$AJ510,IF($AK510&lt;&gt;"Squad",$AK510,$AJ510)))))</f>
        <v>Z Supply</v>
      </c>
      <c r="AM510" s="534" t="b">
        <f>IF(TRIM($B510)="","",--(UPPER(TRIM($K510))="EGI"))</f>
        <v>0</v>
      </c>
      <c r="AQ510" s="841" t="inlineStr">
        <is>
          <t>R0509</t>
        </is>
      </c>
      <c r="AZ510" s="841" t="n"/>
    </row>
    <row r="511" ht="18" customHeight="1" s="535">
      <c r="A511" s="842" t="n">
        <v>113561</v>
      </c>
      <c r="B511" s="843" t="inlineStr">
        <is>
          <t>Josh Campbell</t>
        </is>
      </c>
      <c r="C511" s="842" t="n">
        <v>113561</v>
      </c>
      <c r="D511" s="843" t="inlineStr">
        <is>
          <t>Engineer Software</t>
        </is>
      </c>
      <c r="E511" s="843" t="inlineStr">
        <is>
          <t>Hitesh Patel</t>
        </is>
      </c>
      <c r="F511" s="843" t="inlineStr">
        <is>
          <t>Technology Manager, Energy Solutions</t>
        </is>
      </c>
      <c r="G511" s="844" t="inlineStr">
        <is>
          <t>TDD CFE&amp;I</t>
        </is>
      </c>
      <c r="H511" s="843" t="inlineStr">
        <is>
          <t>B2B &amp; Energy Solutions</t>
        </is>
      </c>
      <c r="I511" s="843" t="inlineStr">
        <is>
          <t>Technology Energy Solutions</t>
        </is>
      </c>
      <c r="J511" s="843" t="inlineStr">
        <is>
          <t>B2B &amp; Energy Solutions</t>
        </is>
      </c>
      <c r="K511" s="843" t="inlineStr">
        <is>
          <t>Energy Solutions</t>
        </is>
      </c>
      <c r="L511" s="843" t="inlineStr">
        <is>
          <t>EVCI</t>
        </is>
      </c>
      <c r="M511" s="843" t="n"/>
      <c r="N511" s="845" t="inlineStr">
        <is>
          <t>NZ</t>
        </is>
      </c>
      <c r="O511" s="846" t="inlineStr">
        <is>
          <t>CDB</t>
        </is>
      </c>
      <c r="P511" s="847" t="n">
        <v>1</v>
      </c>
      <c r="Q511" s="846" t="n"/>
      <c r="R511" s="847" t="inlineStr">
        <is>
          <t>Permanent - Full Time</t>
        </is>
      </c>
      <c r="S511" s="847" t="n"/>
      <c r="T511" s="847" t="n"/>
      <c r="U511" s="848" t="n">
        <v>90970</v>
      </c>
      <c r="V511" s="849" t="n">
        <v>83692.39999999999</v>
      </c>
      <c r="W511" s="850" t="n">
        <v>0.1</v>
      </c>
      <c r="X511" s="847" t="n"/>
      <c r="Y511" s="850" t="n">
        <v>0.05</v>
      </c>
      <c r="Z511" s="851" t="n">
        <v>2910</v>
      </c>
      <c r="AA511" s="850" t="n">
        <v>0.03</v>
      </c>
      <c r="AB511" s="852" t="n">
        <v>101667.032</v>
      </c>
      <c r="AE511" s="534">
        <f>IF(TRIM($B511)="","",IF(AND(N($P511)&gt;0,N($P511)&lt;1),N($AB511)*N($P511),N($AB511)))</f>
        <v>101667.032</v>
      </c>
      <c r="AF511" s="534" t="str">
        <f>IF(TRIM($B511)="","",IF(OR(ISNUMBER(SEARCH("vacant",$B511)),ISNUMBER(SEARCH("ring fenced",$B511)),LOWER(TRIM($B511))="remove"),"Vacant","Filled"))</f>
        <v>Filled</v>
      </c>
      <c r="AG511" s="534" t="b">
        <f>IF(TRIM($B511)="","",--ISNUMBER(SEARCH("ring fenced",$B511)))</f>
        <v>0</v>
      </c>
      <c r="AH511" s="534" t="str">
        <f>IF(TRIM($B511)="","",IF(COUNTIFS(Lists!$AN$2:$AN$22,TRIM($B511)&amp;" | "&amp;TRIM($D511),Lists!$AO$2:$AO$22,"&lt;&gt;"),INDEX(Lists!$AO$2:$AO$22,MATCH(TRIM($B511)&amp;" | "&amp;TRIM($D511),Lists!$AN$2:$AN$22,0)),IF(COUNTIF(Lists!$AR$2:$AR$3,$AJ511),"TDD Cyber",IF(AND(LEFT($AJ511,4)="EGI ",ISNUMBER(MATCH(TRIM(MID($AJ511,5,99)),Lists!$AS$2:$AS$12,0))),TRIM(MID($AJ511,5,99)),IF(AND(LEFT($AJ511,4)="EGI ",ISNUMBER(MATCH(TRIM(MID($AJ511,5,99)),Lists!$T$2:$T$21,0))),INDEX(Lists!$U$2:$U$21,MATCH(TRIM(MID($AJ511,5,99)),Lists!$T$2:$T$21,0)),IF(OR(TRIM($J511)="",UPPER(TRIM($J511))="NA"),IFERROR(INDEX(Lists!$R$2:$R$9,MATCH(TRIM($G511),Lists!$Q$2:$Q$9,0)),"UNMAPPED"),IFERROR(INDEX(Lists!$U$2:$U$21,MATCH(TRIM($J511),Lists!$T$2:$T$21,0)),IFERROR(INDEX(Lists!$R$2:$R$9,MATCH(TRIM($G511),Lists!$Q$2:$Q$9,0)),"UNMAPPED"))))))))</f>
        <v>Energy Solutions &amp; B2B</v>
      </c>
      <c r="AI511" s="534" t="b">
        <f>IF(TRIM($B511)="","",--OR(TRIM($L511)="Leadership",TRIM($K511)="Leadership"))</f>
        <v>0</v>
      </c>
      <c r="AJ511" s="534" t="str">
        <f>IF(TRIM($B511)="","",IF(COUNTIFS(Lists!$AN$2:$AN$22,TRIM($B511)&amp;" | "&amp;TRIM($D511),Lists!$AP$2:$AP$22,"&lt;&gt;"),INDEX(Lists!$AP$2:$AP$22,MATCH(TRIM($B511)&amp;" | "&amp;TRIM($D511),Lists!$AN$2:$AN$22,0)),IF($AI511=1,"Leadership",IFERROR(INDEX(Lists!$X$2:$X$21,MATCH(TRIM($L511),Lists!$W$2:$W$21,0)),IF(OR(TRIM($L511)="",LOWER(TRIM($L511))="na"),IF(TRIM($H511)="","Unassigned",TRIM($H511)),TRIM($L511))))))</f>
        <v>EVCI</v>
      </c>
      <c r="AK511" s="534" t="str">
        <f>IF(TRIM($B511)="","",IF(COUNTIFS(Lists!$AN$2:$AN$22,TRIM($B511)&amp;" | "&amp;TRIM($D511),Lists!$AQ$2:$AQ$22,"&lt;&gt;"),INDEX(Lists!$AQ$2:$AQ$22,MATCH(TRIM($B511)&amp;" | "&amp;TRIM($D511),Lists!$AN$2:$AN$22,0)),IF(COUNTIF(Lists!$AF$2:$AF$8,$AJ511),$AJ511,IF(ISNUMBER(SEARCH("head of ",$D511)),"Head of Technology",IF(ISNUMBER(SEARCH("TDD BP",$D511)),"Business Partner",IF(OR(ISNUMBER(SEARCH("domain architect",$D511)),ISNUMBER(SEARCH("enterprise architect",$D511))),"Domain Architect",IF(ISNUMBER(SEARCH("delivery man",$D511)),"Delivery Manager",IF(OR(ISNUMBER(SEARCH("technology manager",$D511)),ISNUMBER(SEARCH("technology manger",$D511)),ISNUMBER(SEARCH("tech manager",$D511))),"Technology Manager","Squad"))))))))</f>
        <v>Squad</v>
      </c>
      <c r="AL511" s="534" t="str">
        <f>IF(TRIM($B511)="","",IF(AND($AM511=1,LEFT($AJ511,4)&lt;&gt;"EGI ",$AJ511&lt;&gt;"EGI"),IFERROR(INDEX(Lists!$Z$2:$Z$20,MATCH($AH511,Lists!$Y$2:$Y$20,0)),"EGI "&amp;$AH511),IF(COUNTIF(Lists!$AU$2:$AU$10,$AJ511),$AJ511,IF(OR(LEFT($AH511,3)="COE",$AH511="EGI"),$AJ511,IF($AK511&lt;&gt;"Squad",$AK511,$AJ511)))))</f>
        <v>EVCI</v>
      </c>
      <c r="AM511" s="534" t="b">
        <f>IF(TRIM($B511)="","",--(UPPER(TRIM($K511))="EGI"))</f>
        <v>0</v>
      </c>
      <c r="AQ511" s="841" t="inlineStr">
        <is>
          <t>R0510</t>
        </is>
      </c>
      <c r="AZ511" s="841" t="n"/>
    </row>
    <row r="512" ht="18" customHeight="1" s="535">
      <c r="A512" s="842" t="n">
        <v>113572</v>
      </c>
      <c r="B512" s="843" t="inlineStr">
        <is>
          <t>Leilanie Avilla</t>
        </is>
      </c>
      <c r="C512" s="842" t="n">
        <v>113572</v>
      </c>
      <c r="D512" s="843" t="inlineStr">
        <is>
          <t>JDE Systems Specialist</t>
        </is>
      </c>
      <c r="E512" s="843" t="inlineStr">
        <is>
          <t>Lydia Pritchard</t>
        </is>
      </c>
      <c r="F512" s="843" t="inlineStr">
        <is>
          <t>Lead JDE System Specialist</t>
        </is>
      </c>
      <c r="G512" s="844" t="inlineStr">
        <is>
          <t>TDD Group Functions</t>
        </is>
      </c>
      <c r="H512" s="843" t="inlineStr">
        <is>
          <t>P&amp;C, Finance &amp; Legal</t>
        </is>
      </c>
      <c r="I512" s="843" t="inlineStr">
        <is>
          <t>Tech, Finance Platforms</t>
        </is>
      </c>
      <c r="J512" s="843" t="inlineStr">
        <is>
          <t>Finance</t>
        </is>
      </c>
      <c r="K512" s="843" t="inlineStr">
        <is>
          <t>NZ Finance</t>
        </is>
      </c>
      <c r="L512" s="843" t="inlineStr">
        <is>
          <t>NZ Finance</t>
        </is>
      </c>
      <c r="M512" s="843" t="n"/>
      <c r="N512" s="845" t="inlineStr">
        <is>
          <t>NZ</t>
        </is>
      </c>
      <c r="O512" s="846" t="inlineStr">
        <is>
          <t>CDB</t>
        </is>
      </c>
      <c r="P512" s="847" t="n">
        <v>1</v>
      </c>
      <c r="Q512" s="846" t="n"/>
      <c r="R512" s="847" t="inlineStr">
        <is>
          <t>Permanent - Full Time</t>
        </is>
      </c>
      <c r="S512" s="847" t="n"/>
      <c r="T512" s="847" t="n"/>
      <c r="U512" s="848" t="n">
        <v>96270</v>
      </c>
      <c r="V512" s="849" t="n">
        <v>88568.39999999999</v>
      </c>
      <c r="W512" s="850" t="n">
        <v>0.1</v>
      </c>
      <c r="X512" s="847" t="n"/>
      <c r="Y512" s="850" t="n">
        <v>0.05</v>
      </c>
      <c r="Z512" s="851" t="n">
        <v>2910</v>
      </c>
      <c r="AA512" s="850" t="n">
        <v>0.03</v>
      </c>
      <c r="AB512" s="852" t="n">
        <v>107420.712</v>
      </c>
      <c r="AE512" s="534">
        <f>IF(TRIM($B512)="","",IF(AND(N($P512)&gt;0,N($P512)&lt;1),N($AB512)*N($P512),N($AB512)))</f>
        <v>107420.712</v>
      </c>
      <c r="AF512" s="534" t="str">
        <f>IF(TRIM($B512)="","",IF(OR(ISNUMBER(SEARCH("vacant",$B512)),ISNUMBER(SEARCH("ring fenced",$B512)),LOWER(TRIM($B512))="remove"),"Vacant","Filled"))</f>
        <v>Filled</v>
      </c>
      <c r="AG512" s="534" t="b">
        <f>IF(TRIM($B512)="","",--ISNUMBER(SEARCH("ring fenced",$B512)))</f>
        <v>0</v>
      </c>
      <c r="AH512" s="534" t="str">
        <f>IF(TRIM($B512)="","",IF(COUNTIFS(Lists!$AN$2:$AN$22,TRIM($B512)&amp;" | "&amp;TRIM($D512),Lists!$AO$2:$AO$22,"&lt;&gt;"),INDEX(Lists!$AO$2:$AO$22,MATCH(TRIM($B512)&amp;" | "&amp;TRIM($D512),Lists!$AN$2:$AN$22,0)),IF(COUNTIF(Lists!$AR$2:$AR$3,$AJ512),"TDD Cyber",IF(AND(LEFT($AJ512,4)="EGI ",ISNUMBER(MATCH(TRIM(MID($AJ512,5,99)),Lists!$AS$2:$AS$12,0))),TRIM(MID($AJ512,5,99)),IF(AND(LEFT($AJ512,4)="EGI ",ISNUMBER(MATCH(TRIM(MID($AJ512,5,99)),Lists!$T$2:$T$21,0))),INDEX(Lists!$U$2:$U$21,MATCH(TRIM(MID($AJ512,5,99)),Lists!$T$2:$T$21,0)),IF(OR(TRIM($J512)="",UPPER(TRIM($J512))="NA"),IFERROR(INDEX(Lists!$R$2:$R$9,MATCH(TRIM($G512),Lists!$Q$2:$Q$9,0)),"UNMAPPED"),IFERROR(INDEX(Lists!$U$2:$U$21,MATCH(TRIM($J512),Lists!$T$2:$T$21,0)),IFERROR(INDEX(Lists!$R$2:$R$9,MATCH(TRIM($G512),Lists!$Q$2:$Q$9,0)),"UNMAPPED"))))))))</f>
        <v>Finance</v>
      </c>
      <c r="AI512" s="534" t="b">
        <f>IF(TRIM($B512)="","",--OR(TRIM($L512)="Leadership",TRIM($K512)="Leadership"))</f>
        <v>0</v>
      </c>
      <c r="AJ512" s="534" t="str">
        <f>IF(TRIM($B512)="","",IF(COUNTIFS(Lists!$AN$2:$AN$22,TRIM($B512)&amp;" | "&amp;TRIM($D512),Lists!$AP$2:$AP$22,"&lt;&gt;"),INDEX(Lists!$AP$2:$AP$22,MATCH(TRIM($B512)&amp;" | "&amp;TRIM($D512),Lists!$AN$2:$AN$22,0)),IF($AI512=1,"Leadership",IFERROR(INDEX(Lists!$X$2:$X$21,MATCH(TRIM($L512),Lists!$W$2:$W$21,0)),IF(OR(TRIM($L512)="",LOWER(TRIM($L512))="na"),IF(TRIM($H512)="","Unassigned",TRIM($H512)),TRIM($L512))))))</f>
        <v>NZ Finance</v>
      </c>
      <c r="AK512" s="534" t="str">
        <f>IF(TRIM($B512)="","",IF(COUNTIFS(Lists!$AN$2:$AN$22,TRIM($B512)&amp;" | "&amp;TRIM($D512),Lists!$AQ$2:$AQ$22,"&lt;&gt;"),INDEX(Lists!$AQ$2:$AQ$22,MATCH(TRIM($B512)&amp;" | "&amp;TRIM($D512),Lists!$AN$2:$AN$22,0)),IF(COUNTIF(Lists!$AF$2:$AF$8,$AJ512),$AJ512,IF(ISNUMBER(SEARCH("head of ",$D512)),"Head of Technology",IF(ISNUMBER(SEARCH("TDD BP",$D512)),"Business Partner",IF(OR(ISNUMBER(SEARCH("domain architect",$D512)),ISNUMBER(SEARCH("enterprise architect",$D512))),"Domain Architect",IF(ISNUMBER(SEARCH("delivery man",$D512)),"Delivery Manager",IF(OR(ISNUMBER(SEARCH("technology manager",$D512)),ISNUMBER(SEARCH("technology manger",$D512)),ISNUMBER(SEARCH("tech manager",$D512))),"Technology Manager","Squad"))))))))</f>
        <v>Squad</v>
      </c>
      <c r="AL512" s="534" t="str">
        <f>IF(TRIM($B512)="","",IF(AND($AM512=1,LEFT($AJ512,4)&lt;&gt;"EGI ",$AJ512&lt;&gt;"EGI"),IFERROR(INDEX(Lists!$Z$2:$Z$20,MATCH($AH512,Lists!$Y$2:$Y$20,0)),"EGI "&amp;$AH512),IF(COUNTIF(Lists!$AU$2:$AU$10,$AJ512),$AJ512,IF(OR(LEFT($AH512,3)="COE",$AH512="EGI"),$AJ512,IF($AK512&lt;&gt;"Squad",$AK512,$AJ512)))))</f>
        <v>NZ Finance</v>
      </c>
      <c r="AM512" s="534" t="b">
        <f>IF(TRIM($B512)="","",--(UPPER(TRIM($K512))="EGI"))</f>
        <v>0</v>
      </c>
      <c r="AQ512" s="841" t="inlineStr">
        <is>
          <t>R0511</t>
        </is>
      </c>
      <c r="AZ512" s="841" t="n"/>
    </row>
    <row r="513" ht="18" customHeight="1" s="535">
      <c r="A513" s="842" t="n">
        <v>114354</v>
      </c>
      <c r="B513" s="843" t="inlineStr">
        <is>
          <t>Kaaviya Salai Manimudian</t>
        </is>
      </c>
      <c r="C513" s="842" t="n">
        <v>114354</v>
      </c>
      <c r="D513" s="843" t="inlineStr">
        <is>
          <t>Graduate</t>
        </is>
      </c>
      <c r="E513" s="843" t="inlineStr">
        <is>
          <t>Lynda Niewidok</t>
        </is>
      </c>
      <c r="F513" s="843" t="inlineStr">
        <is>
          <t xml:space="preserve">Manager Customer Support Operations </t>
        </is>
      </c>
      <c r="G513" s="844" t="inlineStr">
        <is>
          <t>Cyber, Risk &amp; Operations</t>
        </is>
      </c>
      <c r="H513" s="843" t="inlineStr">
        <is>
          <t>Service Op &amp; Assurance</t>
        </is>
      </c>
      <c r="I513" s="843" t="inlineStr">
        <is>
          <t>NA</t>
        </is>
      </c>
      <c r="J513" s="843" t="inlineStr">
        <is>
          <t>NA</t>
        </is>
      </c>
      <c r="K513" s="843" t="inlineStr">
        <is>
          <t>NA</t>
        </is>
      </c>
      <c r="L513" s="843" t="inlineStr">
        <is>
          <t>NA</t>
        </is>
      </c>
      <c r="M513" s="843" t="n"/>
      <c r="N513" s="845" t="inlineStr">
        <is>
          <t>Australia</t>
        </is>
      </c>
      <c r="O513" s="846" t="inlineStr">
        <is>
          <t>CDB</t>
        </is>
      </c>
      <c r="P513" s="847" t="n">
        <v>1</v>
      </c>
      <c r="Q513" s="846" t="n"/>
      <c r="R513" s="847" t="inlineStr">
        <is>
          <t>Permanent - Full Time</t>
        </is>
      </c>
      <c r="S513" s="847" t="n"/>
      <c r="T513" s="847" t="n"/>
      <c r="U513" s="848" t="n">
        <v>85000</v>
      </c>
      <c r="V513" s="849" t="n">
        <v>85000</v>
      </c>
      <c r="W513" s="850" t="n">
        <v>0.08</v>
      </c>
      <c r="X513" s="847" t="n">
        <v>0.055</v>
      </c>
      <c r="Y513" s="850" t="n">
        <v>0.12</v>
      </c>
      <c r="Z513" s="851" t="n"/>
      <c r="AA513" s="850" t="n">
        <v>0.04</v>
      </c>
      <c r="AB513" s="852" t="n">
        <v>110075</v>
      </c>
      <c r="AE513" s="534">
        <f>IF(TRIM($B513)="","",IF(AND(N($P513)&gt;0,N($P513)&lt;1),N($AB513)*N($P513),N($AB513)))</f>
        <v>110075</v>
      </c>
      <c r="AF513" s="534" t="str">
        <f>IF(TRIM($B513)="","",IF(OR(ISNUMBER(SEARCH("vacant",$B513)),ISNUMBER(SEARCH("ring fenced",$B513)),LOWER(TRIM($B513))="remove"),"Vacant","Filled"))</f>
        <v>Filled</v>
      </c>
      <c r="AG513" s="534" t="b">
        <f>IF(TRIM($B513)="","",--ISNUMBER(SEARCH("ring fenced",$B513)))</f>
        <v>0</v>
      </c>
      <c r="AH513" s="534" t="str">
        <f>IF(TRIM($B513)="","",IF(COUNTIFS(Lists!$AN$2:$AN$22,TRIM($B513)&amp;" | "&amp;TRIM($D513),Lists!$AO$2:$AO$22,"&lt;&gt;"),INDEX(Lists!$AO$2:$AO$22,MATCH(TRIM($B513)&amp;" | "&amp;TRIM($D513),Lists!$AN$2:$AN$22,0)),IF(COUNTIF(Lists!$AR$2:$AR$3,$AJ513),"TDD Cyber",IF(AND(LEFT($AJ513,4)="EGI ",ISNUMBER(MATCH(TRIM(MID($AJ513,5,99)),Lists!$AS$2:$AS$12,0))),TRIM(MID($AJ513,5,99)),IF(AND(LEFT($AJ513,4)="EGI ",ISNUMBER(MATCH(TRIM(MID($AJ513,5,99)),Lists!$T$2:$T$21,0))),INDEX(Lists!$U$2:$U$21,MATCH(TRIM(MID($AJ513,5,99)),Lists!$T$2:$T$21,0)),IF(OR(TRIM($J513)="",UPPER(TRIM($J513))="NA"),IFERROR(INDEX(Lists!$R$2:$R$9,MATCH(TRIM($G513),Lists!$Q$2:$Q$9,0)),"UNMAPPED"),IFERROR(INDEX(Lists!$U$2:$U$21,MATCH(TRIM($J513),Lists!$T$2:$T$21,0)),IFERROR(INDEX(Lists!$R$2:$R$9,MATCH(TRIM($G513),Lists!$Q$2:$Q$9,0)),"UNMAPPED"))))))))</f>
        <v>COE Cyber</v>
      </c>
      <c r="AI513" s="534" t="b">
        <f>IF(TRIM($B513)="","",--OR(TRIM($L513)="Leadership",TRIM($K513)="Leadership"))</f>
        <v>0</v>
      </c>
      <c r="AJ513" s="534" t="str">
        <f>IF(TRIM($B513)="","",IF(COUNTIFS(Lists!$AN$2:$AN$22,TRIM($B513)&amp;" | "&amp;TRIM($D513),Lists!$AP$2:$AP$22,"&lt;&gt;"),INDEX(Lists!$AP$2:$AP$22,MATCH(TRIM($B513)&amp;" | "&amp;TRIM($D513),Lists!$AN$2:$AN$22,0)),IF($AI513=1,"Leadership",IFERROR(INDEX(Lists!$X$2:$X$21,MATCH(TRIM($L513),Lists!$W$2:$W$21,0)),IF(OR(TRIM($L513)="",LOWER(TRIM($L513))="na"),IF(TRIM($H513)="","Unassigned",TRIM($H513)),TRIM($L513))))))</f>
        <v>Service Op &amp; Assurance</v>
      </c>
      <c r="AK513" s="534" t="str">
        <f>IF(TRIM($B513)="","",IF(COUNTIFS(Lists!$AN$2:$AN$22,TRIM($B513)&amp;" | "&amp;TRIM($D513),Lists!$AQ$2:$AQ$22,"&lt;&gt;"),INDEX(Lists!$AQ$2:$AQ$22,MATCH(TRIM($B513)&amp;" | "&amp;TRIM($D513),Lists!$AN$2:$AN$22,0)),IF(COUNTIF(Lists!$AF$2:$AF$8,$AJ513),$AJ513,IF(ISNUMBER(SEARCH("head of ",$D513)),"Head of Technology",IF(ISNUMBER(SEARCH("TDD BP",$D513)),"Business Partner",IF(OR(ISNUMBER(SEARCH("domain architect",$D513)),ISNUMBER(SEARCH("enterprise architect",$D513))),"Domain Architect",IF(ISNUMBER(SEARCH("delivery man",$D513)),"Delivery Manager",IF(OR(ISNUMBER(SEARCH("technology manager",$D513)),ISNUMBER(SEARCH("technology manger",$D513)),ISNUMBER(SEARCH("tech manager",$D513))),"Technology Manager","Squad"))))))))</f>
        <v>Squad</v>
      </c>
      <c r="AL513" s="534" t="str">
        <f>IF(TRIM($B513)="","",IF(AND($AM513=1,LEFT($AJ513,4)&lt;&gt;"EGI ",$AJ513&lt;&gt;"EGI"),IFERROR(INDEX(Lists!$Z$2:$Z$20,MATCH($AH513,Lists!$Y$2:$Y$20,0)),"EGI "&amp;$AH513),IF(COUNTIF(Lists!$AU$2:$AU$10,$AJ513),$AJ513,IF(OR(LEFT($AH513,3)="COE",$AH513="EGI"),$AJ513,IF($AK513&lt;&gt;"Squad",$AK513,$AJ513)))))</f>
        <v>Service Op &amp; Assurance</v>
      </c>
      <c r="AM513" s="534" t="b">
        <f>IF(TRIM($B513)="","",--(UPPER(TRIM($K513))="EGI"))</f>
        <v>0</v>
      </c>
      <c r="AQ513" s="841" t="inlineStr">
        <is>
          <t>R0512</t>
        </is>
      </c>
      <c r="AZ513" s="841" t="n"/>
    </row>
    <row r="514" ht="18" customHeight="1" s="535">
      <c r="A514" s="842" t="n">
        <v>113591</v>
      </c>
      <c r="B514" s="843" t="inlineStr">
        <is>
          <t>Michael Dasan</t>
        </is>
      </c>
      <c r="C514" s="842" t="n">
        <v>113591</v>
      </c>
      <c r="D514" s="843" t="inlineStr">
        <is>
          <t>Engineer - Data</t>
        </is>
      </c>
      <c r="E514" s="843" t="inlineStr">
        <is>
          <t>Manjot Kaur</t>
        </is>
      </c>
      <c r="F514" s="843" t="inlineStr">
        <is>
          <t>Technology Manager, Data</t>
        </is>
      </c>
      <c r="G514" s="844" t="inlineStr">
        <is>
          <t>Ampol Retail &amp; Z</t>
        </is>
      </c>
      <c r="H514" s="843" t="inlineStr">
        <is>
          <t>Z &amp; Group Retail</t>
        </is>
      </c>
      <c r="I514" s="843" t="inlineStr">
        <is>
          <t>Z &amp; Group Retail, Data</t>
        </is>
      </c>
      <c r="J514" s="843" t="inlineStr">
        <is>
          <t>Z</t>
        </is>
      </c>
      <c r="K514" s="843" t="inlineStr">
        <is>
          <t>Z Customer &amp; Z Supply</t>
        </is>
      </c>
      <c r="L514" s="843" t="inlineStr">
        <is>
          <t>Data - NZ</t>
        </is>
      </c>
      <c r="M514" s="843" t="n"/>
      <c r="N514" s="845" t="inlineStr">
        <is>
          <t>NZ</t>
        </is>
      </c>
      <c r="O514" s="846" t="inlineStr">
        <is>
          <t>CDB</t>
        </is>
      </c>
      <c r="P514" s="847" t="n">
        <v>1</v>
      </c>
      <c r="Q514" s="846" t="n"/>
      <c r="R514" s="847" t="inlineStr">
        <is>
          <t>Permanent - Full Time</t>
        </is>
      </c>
      <c r="S514" s="847" t="n"/>
      <c r="T514" s="847" t="n"/>
      <c r="U514" s="848" t="n">
        <v>159010</v>
      </c>
      <c r="V514" s="849" t="n">
        <v>159010</v>
      </c>
      <c r="W514" s="850" t="n">
        <v>0.12</v>
      </c>
      <c r="X514" s="847" t="n">
        <v>0.055</v>
      </c>
      <c r="Y514" s="850" t="n">
        <v>0.12</v>
      </c>
      <c r="Z514" s="851" t="n"/>
      <c r="AA514" s="850" t="n">
        <v>0.04</v>
      </c>
      <c r="AB514" s="852" t="n">
        <v>212278.35</v>
      </c>
      <c r="AE514" s="534">
        <f>IF(TRIM($B514)="","",IF(AND(N($P514)&gt;0,N($P514)&lt;1),N($AB514)*N($P514),N($AB514)))</f>
        <v>212278.35</v>
      </c>
      <c r="AF514" s="534" t="str">
        <f>IF(TRIM($B514)="","",IF(OR(ISNUMBER(SEARCH("vacant",$B514)),ISNUMBER(SEARCH("ring fenced",$B514)),LOWER(TRIM($B514))="remove"),"Vacant","Filled"))</f>
        <v>Filled</v>
      </c>
      <c r="AG514" s="534" t="b">
        <f>IF(TRIM($B514)="","",--ISNUMBER(SEARCH("ring fenced",$B514)))</f>
        <v>0</v>
      </c>
      <c r="AH514" s="534" t="str">
        <f>IF(TRIM($B514)="","",IF(COUNTIFS(Lists!$AN$2:$AN$22,TRIM($B514)&amp;" | "&amp;TRIM($D514),Lists!$AO$2:$AO$22,"&lt;&gt;"),INDEX(Lists!$AO$2:$AO$22,MATCH(TRIM($B514)&amp;" | "&amp;TRIM($D514),Lists!$AN$2:$AN$22,0)),IF(COUNTIF(Lists!$AR$2:$AR$3,$AJ514),"TDD Cyber",IF(AND(LEFT($AJ514,4)="EGI ",ISNUMBER(MATCH(TRIM(MID($AJ514,5,99)),Lists!$AS$2:$AS$12,0))),TRIM(MID($AJ514,5,99)),IF(AND(LEFT($AJ514,4)="EGI ",ISNUMBER(MATCH(TRIM(MID($AJ514,5,99)),Lists!$T$2:$T$21,0))),INDEX(Lists!$U$2:$U$21,MATCH(TRIM(MID($AJ514,5,99)),Lists!$T$2:$T$21,0)),IF(OR(TRIM($J514)="",UPPER(TRIM($J514))="NA"),IFERROR(INDEX(Lists!$R$2:$R$9,MATCH(TRIM($G514),Lists!$Q$2:$Q$9,0)),"UNMAPPED"),IFERROR(INDEX(Lists!$U$2:$U$21,MATCH(TRIM($J514),Lists!$T$2:$T$21,0)),IFERROR(INDEX(Lists!$R$2:$R$9,MATCH(TRIM($G514),Lists!$Q$2:$Q$9,0)),"UNMAPPED"))))))))</f>
        <v>Z Retail</v>
      </c>
      <c r="AI514" s="534" t="b">
        <f>IF(TRIM($B514)="","",--OR(TRIM($L514)="Leadership",TRIM($K514)="Leadership"))</f>
        <v>0</v>
      </c>
      <c r="AJ514" s="534" t="str">
        <f>IF(TRIM($B514)="","",IF(COUNTIFS(Lists!$AN$2:$AN$22,TRIM($B514)&amp;" | "&amp;TRIM($D514),Lists!$AP$2:$AP$22,"&lt;&gt;"),INDEX(Lists!$AP$2:$AP$22,MATCH(TRIM($B514)&amp;" | "&amp;TRIM($D514),Lists!$AN$2:$AN$22,0)),IF($AI514=1,"Leadership",IFERROR(INDEX(Lists!$X$2:$X$21,MATCH(TRIM($L514),Lists!$W$2:$W$21,0)),IF(OR(TRIM($L514)="",LOWER(TRIM($L514))="na"),IF(TRIM($H514)="","Unassigned",TRIM($H514)),TRIM($L514))))))</f>
        <v>Data NZ</v>
      </c>
      <c r="AK514" s="534" t="str">
        <f>IF(TRIM($B514)="","",IF(COUNTIFS(Lists!$AN$2:$AN$22,TRIM($B514)&amp;" | "&amp;TRIM($D514),Lists!$AQ$2:$AQ$22,"&lt;&gt;"),INDEX(Lists!$AQ$2:$AQ$22,MATCH(TRIM($B514)&amp;" | "&amp;TRIM($D514),Lists!$AN$2:$AN$22,0)),IF(COUNTIF(Lists!$AF$2:$AF$8,$AJ514),$AJ514,IF(ISNUMBER(SEARCH("head of ",$D514)),"Head of Technology",IF(ISNUMBER(SEARCH("TDD BP",$D514)),"Business Partner",IF(OR(ISNUMBER(SEARCH("domain architect",$D514)),ISNUMBER(SEARCH("enterprise architect",$D514))),"Domain Architect",IF(ISNUMBER(SEARCH("delivery man",$D514)),"Delivery Manager",IF(OR(ISNUMBER(SEARCH("technology manager",$D514)),ISNUMBER(SEARCH("technology manger",$D514)),ISNUMBER(SEARCH("tech manager",$D514))),"Technology Manager","Squad"))))))))</f>
        <v>Squad</v>
      </c>
      <c r="AL514" s="534" t="str">
        <f>IF(TRIM($B514)="","",IF(AND($AM514=1,LEFT($AJ514,4)&lt;&gt;"EGI ",$AJ514&lt;&gt;"EGI"),IFERROR(INDEX(Lists!$Z$2:$Z$20,MATCH($AH514,Lists!$Y$2:$Y$20,0)),"EGI "&amp;$AH514),IF(COUNTIF(Lists!$AU$2:$AU$10,$AJ514),$AJ514,IF(OR(LEFT($AH514,3)="COE",$AH514="EGI"),$AJ514,IF($AK514&lt;&gt;"Squad",$AK514,$AJ514)))))</f>
        <v>Data NZ</v>
      </c>
      <c r="AM514" s="534" t="b">
        <f>IF(TRIM($B514)="","",--(UPPER(TRIM($K514))="EGI"))</f>
        <v>0</v>
      </c>
      <c r="AQ514" s="841" t="inlineStr">
        <is>
          <t>R0513</t>
        </is>
      </c>
      <c r="AZ514" s="841" t="n"/>
    </row>
    <row r="515" ht="18" customHeight="1" s="535">
      <c r="A515" s="842" t="n">
        <v>117353</v>
      </c>
      <c r="B515" s="843" t="inlineStr">
        <is>
          <t>Ethan Lamhert (FT)</t>
        </is>
      </c>
      <c r="C515" s="842" t="n">
        <v>117353</v>
      </c>
      <c r="D515" s="843" t="inlineStr">
        <is>
          <t>Tech Support Technician</t>
        </is>
      </c>
      <c r="E515" s="843" t="inlineStr">
        <is>
          <t>Mark Pearson</t>
        </is>
      </c>
      <c r="F515" s="843" t="inlineStr">
        <is>
          <t xml:space="preserve">Lead Technology Support </t>
        </is>
      </c>
      <c r="G515" s="844" t="inlineStr">
        <is>
          <t>Cyber, Risk &amp; Operations</t>
        </is>
      </c>
      <c r="H515" s="843" t="inlineStr">
        <is>
          <t>Service Op &amp; Assurance</t>
        </is>
      </c>
      <c r="I515" s="843" t="inlineStr">
        <is>
          <t>NA</t>
        </is>
      </c>
      <c r="J515" s="843" t="inlineStr">
        <is>
          <t>NA</t>
        </is>
      </c>
      <c r="K515" s="843" t="inlineStr">
        <is>
          <t>NA</t>
        </is>
      </c>
      <c r="L515" s="843" t="inlineStr">
        <is>
          <t>NA</t>
        </is>
      </c>
      <c r="M515" s="843" t="n"/>
      <c r="N515" s="845" t="inlineStr">
        <is>
          <t>NZ</t>
        </is>
      </c>
      <c r="O515" s="846" t="inlineStr">
        <is>
          <t>CDB</t>
        </is>
      </c>
      <c r="P515" s="847" t="n">
        <v>1</v>
      </c>
      <c r="Q515" s="846" t="n"/>
      <c r="R515" s="847" t="inlineStr">
        <is>
          <t>Temporary - Full Time</t>
        </is>
      </c>
      <c r="S515" s="847" t="n"/>
      <c r="T515" s="847" t="n"/>
      <c r="U515" s="848" t="n">
        <v>80000</v>
      </c>
      <c r="V515" s="849" t="n">
        <v>73600</v>
      </c>
      <c r="W515" s="850" t="n">
        <v>0.1</v>
      </c>
      <c r="X515" s="847" t="n"/>
      <c r="Y515" s="850" t="n">
        <v>0.05</v>
      </c>
      <c r="Z515" s="851" t="n">
        <v>2910</v>
      </c>
      <c r="AA515" s="850" t="n">
        <v>0.03</v>
      </c>
      <c r="AB515" s="852" t="n">
        <v>89758</v>
      </c>
      <c r="AE515" s="534">
        <f>IF(TRIM($B515)="","",IF(AND(N($P515)&gt;0,N($P515)&lt;1),N($AB515)*N($P515),N($AB515)))</f>
        <v>89758</v>
      </c>
      <c r="AF515" s="534" t="str">
        <f>IF(TRIM($B515)="","",IF(OR(ISNUMBER(SEARCH("vacant",$B515)),ISNUMBER(SEARCH("ring fenced",$B515)),LOWER(TRIM($B515))="remove"),"Vacant","Filled"))</f>
        <v>Filled</v>
      </c>
      <c r="AG515" s="534" t="b">
        <f>IF(TRIM($B515)="","",--ISNUMBER(SEARCH("ring fenced",$B515)))</f>
        <v>0</v>
      </c>
      <c r="AH515" s="534" t="str">
        <f>IF(TRIM($B515)="","",IF(COUNTIFS(Lists!$AN$2:$AN$22,TRIM($B515)&amp;" | "&amp;TRIM($D515),Lists!$AO$2:$AO$22,"&lt;&gt;"),INDEX(Lists!$AO$2:$AO$22,MATCH(TRIM($B515)&amp;" | "&amp;TRIM($D515),Lists!$AN$2:$AN$22,0)),IF(COUNTIF(Lists!$AR$2:$AR$3,$AJ515),"TDD Cyber",IF(AND(LEFT($AJ515,4)="EGI ",ISNUMBER(MATCH(TRIM(MID($AJ515,5,99)),Lists!$AS$2:$AS$12,0))),TRIM(MID($AJ515,5,99)),IF(AND(LEFT($AJ515,4)="EGI ",ISNUMBER(MATCH(TRIM(MID($AJ515,5,99)),Lists!$T$2:$T$21,0))),INDEX(Lists!$U$2:$U$21,MATCH(TRIM(MID($AJ515,5,99)),Lists!$T$2:$T$21,0)),IF(OR(TRIM($J515)="",UPPER(TRIM($J515))="NA"),IFERROR(INDEX(Lists!$R$2:$R$9,MATCH(TRIM($G515),Lists!$Q$2:$Q$9,0)),"UNMAPPED"),IFERROR(INDEX(Lists!$U$2:$U$21,MATCH(TRIM($J515),Lists!$T$2:$T$21,0)),IFERROR(INDEX(Lists!$R$2:$R$9,MATCH(TRIM($G515),Lists!$Q$2:$Q$9,0)),"UNMAPPED"))))))))</f>
        <v>COE Cyber</v>
      </c>
      <c r="AI515" s="534" t="b">
        <f>IF(TRIM($B515)="","",--OR(TRIM($L515)="Leadership",TRIM($K515)="Leadership"))</f>
        <v>0</v>
      </c>
      <c r="AJ515" s="534" t="str">
        <f>IF(TRIM($B515)="","",IF(COUNTIFS(Lists!$AN$2:$AN$22,TRIM($B515)&amp;" | "&amp;TRIM($D515),Lists!$AP$2:$AP$22,"&lt;&gt;"),INDEX(Lists!$AP$2:$AP$22,MATCH(TRIM($B515)&amp;" | "&amp;TRIM($D515),Lists!$AN$2:$AN$22,0)),IF($AI515=1,"Leadership",IFERROR(INDEX(Lists!$X$2:$X$21,MATCH(TRIM($L515),Lists!$W$2:$W$21,0)),IF(OR(TRIM($L515)="",LOWER(TRIM($L515))="na"),IF(TRIM($H515)="","Unassigned",TRIM($H515)),TRIM($L515))))))</f>
        <v>Service Op &amp; Assurance</v>
      </c>
      <c r="AK515" s="534" t="str">
        <f>IF(TRIM($B515)="","",IF(COUNTIFS(Lists!$AN$2:$AN$22,TRIM($B515)&amp;" | "&amp;TRIM($D515),Lists!$AQ$2:$AQ$22,"&lt;&gt;"),INDEX(Lists!$AQ$2:$AQ$22,MATCH(TRIM($B515)&amp;" | "&amp;TRIM($D515),Lists!$AN$2:$AN$22,0)),IF(COUNTIF(Lists!$AF$2:$AF$8,$AJ515),$AJ515,IF(ISNUMBER(SEARCH("head of ",$D515)),"Head of Technology",IF(ISNUMBER(SEARCH("TDD BP",$D515)),"Business Partner",IF(OR(ISNUMBER(SEARCH("domain architect",$D515)),ISNUMBER(SEARCH("enterprise architect",$D515))),"Domain Architect",IF(ISNUMBER(SEARCH("delivery man",$D515)),"Delivery Manager",IF(OR(ISNUMBER(SEARCH("technology manager",$D515)),ISNUMBER(SEARCH("technology manger",$D515)),ISNUMBER(SEARCH("tech manager",$D515))),"Technology Manager","Squad"))))))))</f>
        <v>Squad</v>
      </c>
      <c r="AL515" s="534" t="str">
        <f>IF(TRIM($B515)="","",IF(AND($AM515=1,LEFT($AJ515,4)&lt;&gt;"EGI ",$AJ515&lt;&gt;"EGI"),IFERROR(INDEX(Lists!$Z$2:$Z$20,MATCH($AH515,Lists!$Y$2:$Y$20,0)),"EGI "&amp;$AH515),IF(COUNTIF(Lists!$AU$2:$AU$10,$AJ515),$AJ515,IF(OR(LEFT($AH515,3)="COE",$AH515="EGI"),$AJ515,IF($AK515&lt;&gt;"Squad",$AK515,$AJ515)))))</f>
        <v>Service Op &amp; Assurance</v>
      </c>
      <c r="AM515" s="534" t="b">
        <f>IF(TRIM($B515)="","",--(UPPER(TRIM($K515))="EGI"))</f>
        <v>0</v>
      </c>
      <c r="AQ515" s="841" t="inlineStr">
        <is>
          <t>R0514</t>
        </is>
      </c>
      <c r="AZ515" s="841" t="n"/>
    </row>
    <row r="516" ht="18" customHeight="1" s="535">
      <c r="A516" s="842" t="n">
        <v>113569</v>
      </c>
      <c r="B516" s="843" t="inlineStr">
        <is>
          <t>Spoilagi Bhutwala</t>
        </is>
      </c>
      <c r="C516" s="842" t="n">
        <v>113569</v>
      </c>
      <c r="D516" s="843" t="inlineStr">
        <is>
          <t>Tech Support Technician</t>
        </is>
      </c>
      <c r="E516" s="843" t="inlineStr">
        <is>
          <t>Mark Pearson</t>
        </is>
      </c>
      <c r="F516" s="843" t="inlineStr">
        <is>
          <t xml:space="preserve">Lead Technology Support </t>
        </is>
      </c>
      <c r="G516" s="844" t="inlineStr">
        <is>
          <t>Cyber, Risk &amp; Operations</t>
        </is>
      </c>
      <c r="H516" s="843" t="inlineStr">
        <is>
          <t>Service Op &amp; Assurance</t>
        </is>
      </c>
      <c r="I516" s="843" t="inlineStr">
        <is>
          <t>NA</t>
        </is>
      </c>
      <c r="J516" s="843" t="inlineStr">
        <is>
          <t>NA</t>
        </is>
      </c>
      <c r="K516" s="843" t="inlineStr">
        <is>
          <t>NA</t>
        </is>
      </c>
      <c r="L516" s="843" t="inlineStr">
        <is>
          <t>NA</t>
        </is>
      </c>
      <c r="M516" s="843" t="n"/>
      <c r="N516" s="845" t="inlineStr">
        <is>
          <t>NZ</t>
        </is>
      </c>
      <c r="O516" s="846" t="inlineStr">
        <is>
          <t>CDB</t>
        </is>
      </c>
      <c r="P516" s="847" t="n">
        <v>1</v>
      </c>
      <c r="Q516" s="846" t="n"/>
      <c r="R516" s="847" t="inlineStr">
        <is>
          <t>Permanent - Full Time</t>
        </is>
      </c>
      <c r="S516" s="847" t="n"/>
      <c r="T516" s="847" t="n"/>
      <c r="U516" s="848" t="n">
        <v>86890</v>
      </c>
      <c r="V516" s="849" t="n">
        <v>79938.8</v>
      </c>
      <c r="W516" s="850" t="n">
        <v>0.1</v>
      </c>
      <c r="X516" s="847" t="n"/>
      <c r="Y516" s="850" t="n">
        <v>0.05</v>
      </c>
      <c r="Z516" s="851" t="n">
        <v>2910</v>
      </c>
      <c r="AA516" s="850" t="n">
        <v>0.03</v>
      </c>
      <c r="AB516" s="852" t="n">
        <v>97237.784</v>
      </c>
      <c r="AE516" s="534">
        <f>IF(TRIM($B516)="","",IF(AND(N($P516)&gt;0,N($P516)&lt;1),N($AB516)*N($P516),N($AB516)))</f>
        <v>97237.784</v>
      </c>
      <c r="AF516" s="534" t="str">
        <f>IF(TRIM($B516)="","",IF(OR(ISNUMBER(SEARCH("vacant",$B516)),ISNUMBER(SEARCH("ring fenced",$B516)),LOWER(TRIM($B516))="remove"),"Vacant","Filled"))</f>
        <v>Filled</v>
      </c>
      <c r="AG516" s="534" t="b">
        <f>IF(TRIM($B516)="","",--ISNUMBER(SEARCH("ring fenced",$B516)))</f>
        <v>0</v>
      </c>
      <c r="AH516" s="534" t="str">
        <f>IF(TRIM($B516)="","",IF(COUNTIFS(Lists!$AN$2:$AN$22,TRIM($B516)&amp;" | "&amp;TRIM($D516),Lists!$AO$2:$AO$22,"&lt;&gt;"),INDEX(Lists!$AO$2:$AO$22,MATCH(TRIM($B516)&amp;" | "&amp;TRIM($D516),Lists!$AN$2:$AN$22,0)),IF(COUNTIF(Lists!$AR$2:$AR$3,$AJ516),"TDD Cyber",IF(AND(LEFT($AJ516,4)="EGI ",ISNUMBER(MATCH(TRIM(MID($AJ516,5,99)),Lists!$AS$2:$AS$12,0))),TRIM(MID($AJ516,5,99)),IF(AND(LEFT($AJ516,4)="EGI ",ISNUMBER(MATCH(TRIM(MID($AJ516,5,99)),Lists!$T$2:$T$21,0))),INDEX(Lists!$U$2:$U$21,MATCH(TRIM(MID($AJ516,5,99)),Lists!$T$2:$T$21,0)),IF(OR(TRIM($J516)="",UPPER(TRIM($J516))="NA"),IFERROR(INDEX(Lists!$R$2:$R$9,MATCH(TRIM($G516),Lists!$Q$2:$Q$9,0)),"UNMAPPED"),IFERROR(INDEX(Lists!$U$2:$U$21,MATCH(TRIM($J516),Lists!$T$2:$T$21,0)),IFERROR(INDEX(Lists!$R$2:$R$9,MATCH(TRIM($G516),Lists!$Q$2:$Q$9,0)),"UNMAPPED"))))))))</f>
        <v>COE Cyber</v>
      </c>
      <c r="AI516" s="534" t="b">
        <f>IF(TRIM($B516)="","",--OR(TRIM($L516)="Leadership",TRIM($K516)="Leadership"))</f>
        <v>0</v>
      </c>
      <c r="AJ516" s="534" t="str">
        <f>IF(TRIM($B516)="","",IF(COUNTIFS(Lists!$AN$2:$AN$22,TRIM($B516)&amp;" | "&amp;TRIM($D516),Lists!$AP$2:$AP$22,"&lt;&gt;"),INDEX(Lists!$AP$2:$AP$22,MATCH(TRIM($B516)&amp;" | "&amp;TRIM($D516),Lists!$AN$2:$AN$22,0)),IF($AI516=1,"Leadership",IFERROR(INDEX(Lists!$X$2:$X$21,MATCH(TRIM($L516),Lists!$W$2:$W$21,0)),IF(OR(TRIM($L516)="",LOWER(TRIM($L516))="na"),IF(TRIM($H516)="","Unassigned",TRIM($H516)),TRIM($L516))))))</f>
        <v>Service Op &amp; Assurance</v>
      </c>
      <c r="AK516" s="534" t="str">
        <f>IF(TRIM($B516)="","",IF(COUNTIFS(Lists!$AN$2:$AN$22,TRIM($B516)&amp;" | "&amp;TRIM($D516),Lists!$AQ$2:$AQ$22,"&lt;&gt;"),INDEX(Lists!$AQ$2:$AQ$22,MATCH(TRIM($B516)&amp;" | "&amp;TRIM($D516),Lists!$AN$2:$AN$22,0)),IF(COUNTIF(Lists!$AF$2:$AF$8,$AJ516),$AJ516,IF(ISNUMBER(SEARCH("head of ",$D516)),"Head of Technology",IF(ISNUMBER(SEARCH("TDD BP",$D516)),"Business Partner",IF(OR(ISNUMBER(SEARCH("domain architect",$D516)),ISNUMBER(SEARCH("enterprise architect",$D516))),"Domain Architect",IF(ISNUMBER(SEARCH("delivery man",$D516)),"Delivery Manager",IF(OR(ISNUMBER(SEARCH("technology manager",$D516)),ISNUMBER(SEARCH("technology manger",$D516)),ISNUMBER(SEARCH("tech manager",$D516))),"Technology Manager","Squad"))))))))</f>
        <v>Squad</v>
      </c>
      <c r="AL516" s="534" t="str">
        <f>IF(TRIM($B516)="","",IF(AND($AM516=1,LEFT($AJ516,4)&lt;&gt;"EGI ",$AJ516&lt;&gt;"EGI"),IFERROR(INDEX(Lists!$Z$2:$Z$20,MATCH($AH516,Lists!$Y$2:$Y$20,0)),"EGI "&amp;$AH516),IF(COUNTIF(Lists!$AU$2:$AU$10,$AJ516),$AJ516,IF(OR(LEFT($AH516,3)="COE",$AH516="EGI"),$AJ516,IF($AK516&lt;&gt;"Squad",$AK516,$AJ516)))))</f>
        <v>Service Op &amp; Assurance</v>
      </c>
      <c r="AM516" s="534" t="b">
        <f>IF(TRIM($B516)="","",--(UPPER(TRIM($K516))="EGI"))</f>
        <v>0</v>
      </c>
      <c r="AQ516" s="841" t="inlineStr">
        <is>
          <t>R0515</t>
        </is>
      </c>
      <c r="AZ516" s="841" t="n"/>
    </row>
    <row r="517" ht="18" customHeight="1" s="535">
      <c r="A517" s="842" t="inlineStr">
        <is>
          <t>V</t>
        </is>
      </c>
      <c r="B517" s="843" t="inlineStr">
        <is>
          <t>Vacant (SYD)</t>
        </is>
      </c>
      <c r="C517" s="842" t="inlineStr">
        <is>
          <t>V</t>
        </is>
      </c>
      <c r="D517" s="843" t="inlineStr">
        <is>
          <t>Tech Support Technician</t>
        </is>
      </c>
      <c r="E517" s="843" t="inlineStr">
        <is>
          <t>Mark Pearson</t>
        </is>
      </c>
      <c r="F517" s="843" t="n"/>
      <c r="G517" s="844" t="inlineStr">
        <is>
          <t>Cyber, Risk &amp; Operations</t>
        </is>
      </c>
      <c r="H517" s="843" t="inlineStr">
        <is>
          <t>Service Op &amp; Assurance</t>
        </is>
      </c>
      <c r="I517" s="843" t="inlineStr">
        <is>
          <t>NA</t>
        </is>
      </c>
      <c r="J517" s="843" t="inlineStr">
        <is>
          <t>NA</t>
        </is>
      </c>
      <c r="K517" s="843" t="inlineStr">
        <is>
          <t>NA</t>
        </is>
      </c>
      <c r="L517" s="843" t="inlineStr">
        <is>
          <t>NA</t>
        </is>
      </c>
      <c r="M517" s="843" t="n"/>
      <c r="N517" s="845" t="inlineStr">
        <is>
          <t>Australia</t>
        </is>
      </c>
      <c r="O517" s="846" t="inlineStr">
        <is>
          <t>CDB</t>
        </is>
      </c>
      <c r="P517" s="847" t="n">
        <v>1</v>
      </c>
      <c r="Q517" s="846" t="n"/>
      <c r="R517" s="847" t="inlineStr">
        <is>
          <t>v</t>
        </is>
      </c>
      <c r="S517" s="847" t="n"/>
      <c r="T517" s="847" t="n"/>
      <c r="U517" s="848" t="n">
        <v>94650</v>
      </c>
      <c r="V517" s="849" t="n">
        <v>94650</v>
      </c>
      <c r="W517" s="850" t="n">
        <v>0.08</v>
      </c>
      <c r="X517" s="847" t="n">
        <v>0.055</v>
      </c>
      <c r="Y517" s="850" t="n">
        <v>0.12</v>
      </c>
      <c r="Z517" s="851" t="n"/>
      <c r="AA517" s="850" t="n">
        <v>0.04</v>
      </c>
      <c r="AB517" s="852" t="n">
        <v>122571.75</v>
      </c>
      <c r="AE517" s="534">
        <f>IF(TRIM($B517)="","",IF(AND(N($P517)&gt;0,N($P517)&lt;1),N($AB517)*N($P517),N($AB517)))</f>
        <v>122571.75</v>
      </c>
      <c r="AF517" s="534" t="str">
        <f>IF(TRIM($B517)="","",IF(OR(ISNUMBER(SEARCH("vacant",$B517)),ISNUMBER(SEARCH("ring fenced",$B517)),LOWER(TRIM($B517))="remove"),"Vacant","Filled"))</f>
        <v>Vacant</v>
      </c>
      <c r="AG517" s="534" t="b">
        <f>IF(TRIM($B517)="","",--ISNUMBER(SEARCH("ring fenced",$B517)))</f>
        <v>0</v>
      </c>
      <c r="AH517" s="534" t="str">
        <f>IF(TRIM($B517)="","",IF(COUNTIFS(Lists!$AN$2:$AN$22,TRIM($B517)&amp;" | "&amp;TRIM($D517),Lists!$AO$2:$AO$22,"&lt;&gt;"),INDEX(Lists!$AO$2:$AO$22,MATCH(TRIM($B517)&amp;" | "&amp;TRIM($D517),Lists!$AN$2:$AN$22,0)),IF(COUNTIF(Lists!$AR$2:$AR$3,$AJ517),"TDD Cyber",IF(AND(LEFT($AJ517,4)="EGI ",ISNUMBER(MATCH(TRIM(MID($AJ517,5,99)),Lists!$AS$2:$AS$12,0))),TRIM(MID($AJ517,5,99)),IF(AND(LEFT($AJ517,4)="EGI ",ISNUMBER(MATCH(TRIM(MID($AJ517,5,99)),Lists!$T$2:$T$21,0))),INDEX(Lists!$U$2:$U$21,MATCH(TRIM(MID($AJ517,5,99)),Lists!$T$2:$T$21,0)),IF(OR(TRIM($J517)="",UPPER(TRIM($J517))="NA"),IFERROR(INDEX(Lists!$R$2:$R$9,MATCH(TRIM($G517),Lists!$Q$2:$Q$9,0)),"UNMAPPED"),IFERROR(INDEX(Lists!$U$2:$U$21,MATCH(TRIM($J517),Lists!$T$2:$T$21,0)),IFERROR(INDEX(Lists!$R$2:$R$9,MATCH(TRIM($G517),Lists!$Q$2:$Q$9,0)),"UNMAPPED"))))))))</f>
        <v>COE Cyber</v>
      </c>
      <c r="AI517" s="534" t="b">
        <f>IF(TRIM($B517)="","",--OR(TRIM($L517)="Leadership",TRIM($K517)="Leadership"))</f>
        <v>0</v>
      </c>
      <c r="AJ517" s="534" t="str">
        <f>IF(TRIM($B517)="","",IF(COUNTIFS(Lists!$AN$2:$AN$22,TRIM($B517)&amp;" | "&amp;TRIM($D517),Lists!$AP$2:$AP$22,"&lt;&gt;"),INDEX(Lists!$AP$2:$AP$22,MATCH(TRIM($B517)&amp;" | "&amp;TRIM($D517),Lists!$AN$2:$AN$22,0)),IF($AI517=1,"Leadership",IFERROR(INDEX(Lists!$X$2:$X$21,MATCH(TRIM($L517),Lists!$W$2:$W$21,0)),IF(OR(TRIM($L517)="",LOWER(TRIM($L517))="na"),IF(TRIM($H517)="","Unassigned",TRIM($H517)),TRIM($L517))))))</f>
        <v>Service Op &amp; Assurance</v>
      </c>
      <c r="AK517" s="534" t="str">
        <f>IF(TRIM($B517)="","",IF(COUNTIFS(Lists!$AN$2:$AN$22,TRIM($B517)&amp;" | "&amp;TRIM($D517),Lists!$AQ$2:$AQ$22,"&lt;&gt;"),INDEX(Lists!$AQ$2:$AQ$22,MATCH(TRIM($B517)&amp;" | "&amp;TRIM($D517),Lists!$AN$2:$AN$22,0)),IF(COUNTIF(Lists!$AF$2:$AF$8,$AJ517),$AJ517,IF(ISNUMBER(SEARCH("head of ",$D517)),"Head of Technology",IF(ISNUMBER(SEARCH("TDD BP",$D517)),"Business Partner",IF(OR(ISNUMBER(SEARCH("domain architect",$D517)),ISNUMBER(SEARCH("enterprise architect",$D517))),"Domain Architect",IF(ISNUMBER(SEARCH("delivery man",$D517)),"Delivery Manager",IF(OR(ISNUMBER(SEARCH("technology manager",$D517)),ISNUMBER(SEARCH("technology manger",$D517)),ISNUMBER(SEARCH("tech manager",$D517))),"Technology Manager","Squad"))))))))</f>
        <v>Squad</v>
      </c>
      <c r="AL517" s="534" t="str">
        <f>IF(TRIM($B517)="","",IF(AND($AM517=1,LEFT($AJ517,4)&lt;&gt;"EGI ",$AJ517&lt;&gt;"EGI"),IFERROR(INDEX(Lists!$Z$2:$Z$20,MATCH($AH517,Lists!$Y$2:$Y$20,0)),"EGI "&amp;$AH517),IF(COUNTIF(Lists!$AU$2:$AU$10,$AJ517),$AJ517,IF(OR(LEFT($AH517,3)="COE",$AH517="EGI"),$AJ517,IF($AK517&lt;&gt;"Squad",$AK517,$AJ517)))))</f>
        <v>Service Op &amp; Assurance</v>
      </c>
      <c r="AM517" s="534" t="b">
        <f>IF(TRIM($B517)="","",--(UPPER(TRIM($K517))="EGI"))</f>
        <v>0</v>
      </c>
      <c r="AQ517" s="841" t="inlineStr">
        <is>
          <t>R0516</t>
        </is>
      </c>
      <c r="AZ517" s="841" t="n"/>
    </row>
    <row r="518" ht="18" customHeight="1" s="535">
      <c r="A518" s="842" t="n">
        <v>113503</v>
      </c>
      <c r="B518" s="843" t="inlineStr">
        <is>
          <t>Allana Arbuckle</t>
        </is>
      </c>
      <c r="C518" s="842" t="n">
        <v>113503</v>
      </c>
      <c r="D518" s="843" t="inlineStr">
        <is>
          <t>Business Analyst</t>
        </is>
      </c>
      <c r="E518" s="843" t="inlineStr">
        <is>
          <t>Vacant</t>
        </is>
      </c>
      <c r="F518" s="843" t="inlineStr">
        <is>
          <t>Delivery Manager, Z and Retail Data</t>
        </is>
      </c>
      <c r="G518" s="844" t="inlineStr">
        <is>
          <t>Ampol Retail &amp; Z</t>
        </is>
      </c>
      <c r="H518" s="843" t="inlineStr">
        <is>
          <t>Z &amp; Group Retail</t>
        </is>
      </c>
      <c r="I518" s="843" t="inlineStr">
        <is>
          <t>Z &amp; Group Retail, Delivery</t>
        </is>
      </c>
      <c r="J518" s="843" t="inlineStr">
        <is>
          <t>Z</t>
        </is>
      </c>
      <c r="K518" s="843" t="inlineStr">
        <is>
          <t>Z Customer</t>
        </is>
      </c>
      <c r="L518" s="843" t="inlineStr">
        <is>
          <t xml:space="preserve">Z Retail Backend </t>
        </is>
      </c>
      <c r="M518" s="843" t="n"/>
      <c r="N518" s="845" t="inlineStr">
        <is>
          <t>NZ</t>
        </is>
      </c>
      <c r="O518" s="846" t="inlineStr">
        <is>
          <t>CDB</t>
        </is>
      </c>
      <c r="P518" s="847" t="n">
        <v>1</v>
      </c>
      <c r="Q518" s="846" t="n"/>
      <c r="R518" s="847" t="inlineStr">
        <is>
          <t>Permanent - Full Time</t>
        </is>
      </c>
      <c r="S518" s="847" t="n"/>
      <c r="T518" s="847" t="n"/>
      <c r="U518" s="848" t="n">
        <v>100900</v>
      </c>
      <c r="V518" s="849" t="n">
        <v>92828</v>
      </c>
      <c r="W518" s="850" t="n">
        <v>0.1</v>
      </c>
      <c r="X518" s="847" t="n"/>
      <c r="Y518" s="850" t="n">
        <v>0.05</v>
      </c>
      <c r="Z518" s="851" t="n">
        <v>2910</v>
      </c>
      <c r="AA518" s="850" t="n">
        <v>0.03</v>
      </c>
      <c r="AB518" s="852" t="n">
        <v>112447.04</v>
      </c>
      <c r="AE518" s="534">
        <f>IF(TRIM($B518)="","",IF(AND(N($P518)&gt;0,N($P518)&lt;1),N($AB518)*N($P518),N($AB518)))</f>
        <v>112447.04</v>
      </c>
      <c r="AF518" s="534" t="str">
        <f>IF(TRIM($B518)="","",IF(OR(ISNUMBER(SEARCH("vacant",$B518)),ISNUMBER(SEARCH("ring fenced",$B518)),LOWER(TRIM($B518))="remove"),"Vacant","Filled"))</f>
        <v>Filled</v>
      </c>
      <c r="AG518" s="534" t="b">
        <f>IF(TRIM($B518)="","",--ISNUMBER(SEARCH("ring fenced",$B518)))</f>
        <v>0</v>
      </c>
      <c r="AH518" s="534" t="str">
        <f>IF(TRIM($B518)="","",IF(COUNTIFS(Lists!$AN$2:$AN$22,TRIM($B518)&amp;" | "&amp;TRIM($D518),Lists!$AO$2:$AO$22,"&lt;&gt;"),INDEX(Lists!$AO$2:$AO$22,MATCH(TRIM($B518)&amp;" | "&amp;TRIM($D518),Lists!$AN$2:$AN$22,0)),IF(COUNTIF(Lists!$AR$2:$AR$3,$AJ518),"TDD Cyber",IF(AND(LEFT($AJ518,4)="EGI ",ISNUMBER(MATCH(TRIM(MID($AJ518,5,99)),Lists!$AS$2:$AS$12,0))),TRIM(MID($AJ518,5,99)),IF(AND(LEFT($AJ518,4)="EGI ",ISNUMBER(MATCH(TRIM(MID($AJ518,5,99)),Lists!$T$2:$T$21,0))),INDEX(Lists!$U$2:$U$21,MATCH(TRIM(MID($AJ518,5,99)),Lists!$T$2:$T$21,0)),IF(OR(TRIM($J518)="",UPPER(TRIM($J518))="NA"),IFERROR(INDEX(Lists!$R$2:$R$9,MATCH(TRIM($G518),Lists!$Q$2:$Q$9,0)),"UNMAPPED"),IFERROR(INDEX(Lists!$U$2:$U$21,MATCH(TRIM($J518),Lists!$T$2:$T$21,0)),IFERROR(INDEX(Lists!$R$2:$R$9,MATCH(TRIM($G518),Lists!$Q$2:$Q$9,0)),"UNMAPPED"))))))))</f>
        <v>Z Retail</v>
      </c>
      <c r="AI518" s="534" t="b">
        <f>IF(TRIM($B518)="","",--OR(TRIM($L518)="Leadership",TRIM($K518)="Leadership"))</f>
        <v>0</v>
      </c>
      <c r="AJ518" s="534" t="str">
        <f>IF(TRIM($B518)="","",IF(COUNTIFS(Lists!$AN$2:$AN$22,TRIM($B518)&amp;" | "&amp;TRIM($D518),Lists!$AP$2:$AP$22,"&lt;&gt;"),INDEX(Lists!$AP$2:$AP$22,MATCH(TRIM($B518)&amp;" | "&amp;TRIM($D518),Lists!$AN$2:$AN$22,0)),IF($AI518=1,"Leadership",IFERROR(INDEX(Lists!$X$2:$X$21,MATCH(TRIM($L518),Lists!$W$2:$W$21,0)),IF(OR(TRIM($L518)="",LOWER(TRIM($L518))="na"),IF(TRIM($H518)="","Unassigned",TRIM($H518)),TRIM($L518))))))</f>
        <v>Z Retail Backend</v>
      </c>
      <c r="AK518" s="534" t="str">
        <f>IF(TRIM($B518)="","",IF(COUNTIFS(Lists!$AN$2:$AN$22,TRIM($B518)&amp;" | "&amp;TRIM($D518),Lists!$AQ$2:$AQ$22,"&lt;&gt;"),INDEX(Lists!$AQ$2:$AQ$22,MATCH(TRIM($B518)&amp;" | "&amp;TRIM($D518),Lists!$AN$2:$AN$22,0)),IF(COUNTIF(Lists!$AF$2:$AF$8,$AJ518),$AJ518,IF(ISNUMBER(SEARCH("head of ",$D518)),"Head of Technology",IF(ISNUMBER(SEARCH("TDD BP",$D518)),"Business Partner",IF(OR(ISNUMBER(SEARCH("domain architect",$D518)),ISNUMBER(SEARCH("enterprise architect",$D518))),"Domain Architect",IF(ISNUMBER(SEARCH("delivery man",$D518)),"Delivery Manager",IF(OR(ISNUMBER(SEARCH("technology manager",$D518)),ISNUMBER(SEARCH("technology manger",$D518)),ISNUMBER(SEARCH("tech manager",$D518))),"Technology Manager","Squad"))))))))</f>
        <v>Squad</v>
      </c>
      <c r="AL518" s="534" t="str">
        <f>IF(TRIM($B518)="","",IF(AND($AM518=1,LEFT($AJ518,4)&lt;&gt;"EGI ",$AJ518&lt;&gt;"EGI"),IFERROR(INDEX(Lists!$Z$2:$Z$20,MATCH($AH518,Lists!$Y$2:$Y$20,0)),"EGI "&amp;$AH518),IF(COUNTIF(Lists!$AU$2:$AU$10,$AJ518),$AJ518,IF(OR(LEFT($AH518,3)="COE",$AH518="EGI"),$AJ518,IF($AK518&lt;&gt;"Squad",$AK518,$AJ518)))))</f>
        <v>Z Retail Backend</v>
      </c>
      <c r="AM518" s="534" t="b">
        <f>IF(TRIM($B518)="","",--(UPPER(TRIM($K518))="EGI"))</f>
        <v>0</v>
      </c>
      <c r="AQ518" s="841" t="inlineStr">
        <is>
          <t>R0517</t>
        </is>
      </c>
      <c r="AZ518" s="841" t="n"/>
    </row>
    <row r="519" ht="18" customHeight="1" s="535">
      <c r="A519" s="842" t="n">
        <v>113505</v>
      </c>
      <c r="B519" s="843" t="inlineStr">
        <is>
          <t>Amanda Turnbull</t>
        </is>
      </c>
      <c r="C519" s="842" t="n">
        <v>113505</v>
      </c>
      <c r="D519" s="843" t="inlineStr">
        <is>
          <t>Engineer Software</t>
        </is>
      </c>
      <c r="E519" s="843" t="inlineStr">
        <is>
          <t>Vacant</t>
        </is>
      </c>
      <c r="F519" s="843" t="inlineStr">
        <is>
          <t>Technology Manager, Engineering</t>
        </is>
      </c>
      <c r="G519" s="844" t="inlineStr">
        <is>
          <t>TDD CFE&amp;I</t>
        </is>
      </c>
      <c r="H519" s="843" t="inlineStr">
        <is>
          <t>Commercial Fuels</t>
        </is>
      </c>
      <c r="I519" s="843" t="inlineStr">
        <is>
          <t>Technology, CF Engineering</t>
        </is>
      </c>
      <c r="J519" s="843" t="inlineStr">
        <is>
          <t>Commercial Fuels</t>
        </is>
      </c>
      <c r="K519" s="843" t="inlineStr">
        <is>
          <t>CTRM</t>
        </is>
      </c>
      <c r="L519" s="843" t="inlineStr">
        <is>
          <t>CTRM</t>
        </is>
      </c>
      <c r="M519" s="843" t="n"/>
      <c r="N519" s="845" t="inlineStr">
        <is>
          <t>NZ</t>
        </is>
      </c>
      <c r="O519" s="846" t="inlineStr">
        <is>
          <t>CDB</t>
        </is>
      </c>
      <c r="P519" s="847" t="n">
        <v>1</v>
      </c>
      <c r="Q519" s="846" t="n"/>
      <c r="R519" s="847" t="inlineStr">
        <is>
          <t>Permanent - Full Time</t>
        </is>
      </c>
      <c r="S519" s="847" t="n"/>
      <c r="T519" s="847" t="n"/>
      <c r="U519" s="848" t="n">
        <v>90760</v>
      </c>
      <c r="V519" s="849" t="n">
        <v>83499.2</v>
      </c>
      <c r="W519" s="850" t="n">
        <v>0.1</v>
      </c>
      <c r="X519" s="847" t="n"/>
      <c r="Y519" s="850" t="n">
        <v>0.05</v>
      </c>
      <c r="Z519" s="851" t="n">
        <v>2910</v>
      </c>
      <c r="AA519" s="850" t="n">
        <v>0.03</v>
      </c>
      <c r="AB519" s="852" t="n">
        <v>101439.056</v>
      </c>
      <c r="AE519" s="534">
        <f>IF(TRIM($B519)="","",IF(AND(N($P519)&gt;0,N($P519)&lt;1),N($AB519)*N($P519),N($AB519)))</f>
        <v>101439.056</v>
      </c>
      <c r="AF519" s="534" t="str">
        <f>IF(TRIM($B519)="","",IF(OR(ISNUMBER(SEARCH("vacant",$B519)),ISNUMBER(SEARCH("ring fenced",$B519)),LOWER(TRIM($B519))="remove"),"Vacant","Filled"))</f>
        <v>Filled</v>
      </c>
      <c r="AG519" s="534" t="b">
        <f>IF(TRIM($B519)="","",--ISNUMBER(SEARCH("ring fenced",$B519)))</f>
        <v>0</v>
      </c>
      <c r="AH519" s="534" t="str">
        <f>IF(TRIM($B519)="","",IF(COUNTIFS(Lists!$AN$2:$AN$22,TRIM($B519)&amp;" | "&amp;TRIM($D519),Lists!$AO$2:$AO$22,"&lt;&gt;"),INDEX(Lists!$AO$2:$AO$22,MATCH(TRIM($B519)&amp;" | "&amp;TRIM($D519),Lists!$AN$2:$AN$22,0)),IF(COUNTIF(Lists!$AR$2:$AR$3,$AJ519),"TDD Cyber",IF(AND(LEFT($AJ519,4)="EGI ",ISNUMBER(MATCH(TRIM(MID($AJ519,5,99)),Lists!$AS$2:$AS$12,0))),TRIM(MID($AJ519,5,99)),IF(AND(LEFT($AJ519,4)="EGI ",ISNUMBER(MATCH(TRIM(MID($AJ519,5,99)),Lists!$T$2:$T$21,0))),INDEX(Lists!$U$2:$U$21,MATCH(TRIM(MID($AJ519,5,99)),Lists!$T$2:$T$21,0)),IF(OR(TRIM($J519)="",UPPER(TRIM($J519))="NA"),IFERROR(INDEX(Lists!$R$2:$R$9,MATCH(TRIM($G519),Lists!$Q$2:$Q$9,0)),"UNMAPPED"),IFERROR(INDEX(Lists!$U$2:$U$21,MATCH(TRIM($J519),Lists!$T$2:$T$21,0)),IFERROR(INDEX(Lists!$R$2:$R$9,MATCH(TRIM($G519),Lists!$Q$2:$Q$9,0)),"UNMAPPED"))))))))</f>
        <v>Commercial Fuels</v>
      </c>
      <c r="AI519" s="534" t="b">
        <f>IF(TRIM($B519)="","",--OR(TRIM($L519)="Leadership",TRIM($K519)="Leadership"))</f>
        <v>0</v>
      </c>
      <c r="AJ519" s="534" t="str">
        <f>IF(TRIM($B519)="","",IF(COUNTIFS(Lists!$AN$2:$AN$22,TRIM($B519)&amp;" | "&amp;TRIM($D519),Lists!$AP$2:$AP$22,"&lt;&gt;"),INDEX(Lists!$AP$2:$AP$22,MATCH(TRIM($B519)&amp;" | "&amp;TRIM($D519),Lists!$AN$2:$AN$22,0)),IF($AI519=1,"Leadership",IFERROR(INDEX(Lists!$X$2:$X$21,MATCH(TRIM($L519),Lists!$W$2:$W$21,0)),IF(OR(TRIM($L519)="",LOWER(TRIM($L519))="na"),IF(TRIM($H519)="","Unassigned",TRIM($H519)),TRIM($L519))))))</f>
        <v>CTRM</v>
      </c>
      <c r="AK519" s="534" t="str">
        <f>IF(TRIM($B519)="","",IF(COUNTIFS(Lists!$AN$2:$AN$22,TRIM($B519)&amp;" | "&amp;TRIM($D519),Lists!$AQ$2:$AQ$22,"&lt;&gt;"),INDEX(Lists!$AQ$2:$AQ$22,MATCH(TRIM($B519)&amp;" | "&amp;TRIM($D519),Lists!$AN$2:$AN$22,0)),IF(COUNTIF(Lists!$AF$2:$AF$8,$AJ519),$AJ519,IF(ISNUMBER(SEARCH("head of ",$D519)),"Head of Technology",IF(ISNUMBER(SEARCH("TDD BP",$D519)),"Business Partner",IF(OR(ISNUMBER(SEARCH("domain architect",$D519)),ISNUMBER(SEARCH("enterprise architect",$D519))),"Domain Architect",IF(ISNUMBER(SEARCH("delivery man",$D519)),"Delivery Manager",IF(OR(ISNUMBER(SEARCH("technology manager",$D519)),ISNUMBER(SEARCH("technology manger",$D519)),ISNUMBER(SEARCH("tech manager",$D519))),"Technology Manager","Squad"))))))))</f>
        <v>Squad</v>
      </c>
      <c r="AL519" s="534" t="str">
        <f>IF(TRIM($B519)="","",IF(AND($AM519=1,LEFT($AJ519,4)&lt;&gt;"EGI ",$AJ519&lt;&gt;"EGI"),IFERROR(INDEX(Lists!$Z$2:$Z$20,MATCH($AH519,Lists!$Y$2:$Y$20,0)),"EGI "&amp;$AH519),IF(COUNTIF(Lists!$AU$2:$AU$10,$AJ519),$AJ519,IF(OR(LEFT($AH519,3)="COE",$AH519="EGI"),$AJ519,IF($AK519&lt;&gt;"Squad",$AK519,$AJ519)))))</f>
        <v>CTRM</v>
      </c>
      <c r="AM519" s="534" t="b">
        <f>IF(TRIM($B519)="","",--(UPPER(TRIM($K519))="EGI"))</f>
        <v>0</v>
      </c>
      <c r="AQ519" s="841" t="inlineStr">
        <is>
          <t>R0518</t>
        </is>
      </c>
      <c r="AZ519" s="841" t="n"/>
    </row>
    <row r="520" ht="18" customHeight="1" s="535">
      <c r="A520" s="842" t="n">
        <v>116998</v>
      </c>
      <c r="B520" s="843" t="inlineStr">
        <is>
          <t>Eugene Yeo</t>
        </is>
      </c>
      <c r="C520" s="842" t="n">
        <v>116998</v>
      </c>
      <c r="D520" s="843" t="inlineStr">
        <is>
          <t>Engineer - DevOps</t>
        </is>
      </c>
      <c r="E520" s="843" t="inlineStr">
        <is>
          <t>Emma Natoli</t>
        </is>
      </c>
      <c r="F520" s="843" t="inlineStr">
        <is>
          <t>Technology Manager, Engineering</t>
        </is>
      </c>
      <c r="G520" s="844" t="inlineStr">
        <is>
          <t>Ampol Retail &amp; Z</t>
        </is>
      </c>
      <c r="H520" s="843" t="inlineStr">
        <is>
          <t>Z &amp; Group Retail</t>
        </is>
      </c>
      <c r="I520" s="843" t="inlineStr">
        <is>
          <t>Z &amp; Group Retail, Engineering</t>
        </is>
      </c>
      <c r="J520" s="843" t="inlineStr">
        <is>
          <t>Z</t>
        </is>
      </c>
      <c r="K520" s="843" t="inlineStr">
        <is>
          <t>Z Supply</t>
        </is>
      </c>
      <c r="L520" s="843" t="inlineStr">
        <is>
          <t>Z Supply</t>
        </is>
      </c>
      <c r="M520" s="843" t="n"/>
      <c r="N520" s="845" t="inlineStr">
        <is>
          <t>NZ</t>
        </is>
      </c>
      <c r="O520" s="846" t="inlineStr">
        <is>
          <t>CDA</t>
        </is>
      </c>
      <c r="P520" s="847" t="n">
        <v>1</v>
      </c>
      <c r="Q520" s="846" t="n"/>
      <c r="R520" s="847" t="inlineStr">
        <is>
          <t>Permanent - Full Time</t>
        </is>
      </c>
      <c r="S520" s="847" t="n"/>
      <c r="T520" s="847" t="n"/>
      <c r="U520" s="848" t="n">
        <v>105000</v>
      </c>
      <c r="V520" s="849" t="n">
        <v>96600</v>
      </c>
      <c r="W520" s="850" t="n">
        <v>0.1</v>
      </c>
      <c r="X520" s="847" t="n"/>
      <c r="Y520" s="850" t="n">
        <v>0.05</v>
      </c>
      <c r="Z520" s="851" t="n">
        <v>2910</v>
      </c>
      <c r="AA520" s="850" t="n">
        <v>0.03</v>
      </c>
      <c r="AB520" s="852" t="n">
        <v>116898</v>
      </c>
      <c r="AE520" s="534">
        <f>IF(TRIM($B520)="","",IF(AND(N($P520)&gt;0,N($P520)&lt;1),N($AB520)*N($P520),N($AB520)))</f>
        <v>116898</v>
      </c>
      <c r="AF520" s="534" t="str">
        <f>IF(TRIM($B520)="","",IF(OR(ISNUMBER(SEARCH("vacant",$B520)),ISNUMBER(SEARCH("ring fenced",$B520)),LOWER(TRIM($B520))="remove"),"Vacant","Filled"))</f>
        <v>Filled</v>
      </c>
      <c r="AG520" s="534" t="b">
        <f>IF(TRIM($B520)="","",--ISNUMBER(SEARCH("ring fenced",$B520)))</f>
        <v>0</v>
      </c>
      <c r="AH520" s="534" t="str">
        <f>IF(TRIM($B520)="","",IF(COUNTIFS(Lists!$AN$2:$AN$22,TRIM($B520)&amp;" | "&amp;TRIM($D520),Lists!$AO$2:$AO$22,"&lt;&gt;"),INDEX(Lists!$AO$2:$AO$22,MATCH(TRIM($B520)&amp;" | "&amp;TRIM($D520),Lists!$AN$2:$AN$22,0)),IF(COUNTIF(Lists!$AR$2:$AR$3,$AJ520),"TDD Cyber",IF(AND(LEFT($AJ520,4)="EGI ",ISNUMBER(MATCH(TRIM(MID($AJ520,5,99)),Lists!$AS$2:$AS$12,0))),TRIM(MID($AJ520,5,99)),IF(AND(LEFT($AJ520,4)="EGI ",ISNUMBER(MATCH(TRIM(MID($AJ520,5,99)),Lists!$T$2:$T$21,0))),INDEX(Lists!$U$2:$U$21,MATCH(TRIM(MID($AJ520,5,99)),Lists!$T$2:$T$21,0)),IF(OR(TRIM($J520)="",UPPER(TRIM($J520))="NA"),IFERROR(INDEX(Lists!$R$2:$R$9,MATCH(TRIM($G520),Lists!$Q$2:$Q$9,0)),"UNMAPPED"),IFERROR(INDEX(Lists!$U$2:$U$21,MATCH(TRIM($J520),Lists!$T$2:$T$21,0)),IFERROR(INDEX(Lists!$R$2:$R$9,MATCH(TRIM($G520),Lists!$Q$2:$Q$9,0)),"UNMAPPED"))))))))</f>
        <v>Z Retail</v>
      </c>
      <c r="AI520" s="534" t="b">
        <f>IF(TRIM($B520)="","",--OR(TRIM($L520)="Leadership",TRIM($K520)="Leadership"))</f>
        <v>0</v>
      </c>
      <c r="AJ520" s="534" t="str">
        <f>IF(TRIM($B520)="","",IF(COUNTIFS(Lists!$AN$2:$AN$22,TRIM($B520)&amp;" | "&amp;TRIM($D520),Lists!$AP$2:$AP$22,"&lt;&gt;"),INDEX(Lists!$AP$2:$AP$22,MATCH(TRIM($B520)&amp;" | "&amp;TRIM($D520),Lists!$AN$2:$AN$22,0)),IF($AI520=1,"Leadership",IFERROR(INDEX(Lists!$X$2:$X$21,MATCH(TRIM($L520),Lists!$W$2:$W$21,0)),IF(OR(TRIM($L520)="",LOWER(TRIM($L520))="na"),IF(TRIM($H520)="","Unassigned",TRIM($H520)),TRIM($L520))))))</f>
        <v>Z Supply</v>
      </c>
      <c r="AK520" s="534" t="str">
        <f>IF(TRIM($B520)="","",IF(COUNTIFS(Lists!$AN$2:$AN$22,TRIM($B520)&amp;" | "&amp;TRIM($D520),Lists!$AQ$2:$AQ$22,"&lt;&gt;"),INDEX(Lists!$AQ$2:$AQ$22,MATCH(TRIM($B520)&amp;" | "&amp;TRIM($D520),Lists!$AN$2:$AN$22,0)),IF(COUNTIF(Lists!$AF$2:$AF$8,$AJ520),$AJ520,IF(ISNUMBER(SEARCH("head of ",$D520)),"Head of Technology",IF(ISNUMBER(SEARCH("TDD BP",$D520)),"Business Partner",IF(OR(ISNUMBER(SEARCH("domain architect",$D520)),ISNUMBER(SEARCH("enterprise architect",$D520))),"Domain Architect",IF(ISNUMBER(SEARCH("delivery man",$D520)),"Delivery Manager",IF(OR(ISNUMBER(SEARCH("technology manager",$D520)),ISNUMBER(SEARCH("technology manger",$D520)),ISNUMBER(SEARCH("tech manager",$D520))),"Technology Manager","Squad"))))))))</f>
        <v>Squad</v>
      </c>
      <c r="AL520" s="534" t="str">
        <f>IF(TRIM($B520)="","",IF(AND($AM520=1,LEFT($AJ520,4)&lt;&gt;"EGI ",$AJ520&lt;&gt;"EGI"),IFERROR(INDEX(Lists!$Z$2:$Z$20,MATCH($AH520,Lists!$Y$2:$Y$20,0)),"EGI "&amp;$AH520),IF(COUNTIF(Lists!$AU$2:$AU$10,$AJ520),$AJ520,IF(OR(LEFT($AH520,3)="COE",$AH520="EGI"),$AJ520,IF($AK520&lt;&gt;"Squad",$AK520,$AJ520)))))</f>
        <v>Z Supply</v>
      </c>
      <c r="AM520" s="534" t="b">
        <f>IF(TRIM($B520)="","",--(UPPER(TRIM($K520))="EGI"))</f>
        <v>0</v>
      </c>
      <c r="AQ520" s="841" t="inlineStr">
        <is>
          <t>R0519</t>
        </is>
      </c>
      <c r="AZ520" s="841" t="n"/>
    </row>
    <row r="521" ht="18" customHeight="1" s="535">
      <c r="A521" s="842" t="n">
        <v>115816</v>
      </c>
      <c r="B521" s="843" t="inlineStr">
        <is>
          <t>Lauren Lancaster</t>
        </is>
      </c>
      <c r="C521" s="842" t="n">
        <v>115816</v>
      </c>
      <c r="D521" s="843" t="inlineStr">
        <is>
          <t>Associate Engineer - Software</t>
        </is>
      </c>
      <c r="E521" s="843" t="inlineStr">
        <is>
          <t>Emma Natoli</t>
        </is>
      </c>
      <c r="F521" s="843" t="inlineStr">
        <is>
          <t>Technology Manager, Engineering</t>
        </is>
      </c>
      <c r="G521" s="844" t="inlineStr">
        <is>
          <t>Ampol Retail &amp; Z</t>
        </is>
      </c>
      <c r="H521" s="843" t="inlineStr">
        <is>
          <t>Z &amp; Group Retail</t>
        </is>
      </c>
      <c r="I521" s="843" t="inlineStr">
        <is>
          <t>Z &amp; Group Retail, Engineering</t>
        </is>
      </c>
      <c r="J521" s="843" t="inlineStr">
        <is>
          <t>Z</t>
        </is>
      </c>
      <c r="K521" s="843" t="inlineStr">
        <is>
          <t>Z Customer</t>
        </is>
      </c>
      <c r="L521" s="843" t="inlineStr">
        <is>
          <t xml:space="preserve">Z Retail Backend </t>
        </is>
      </c>
      <c r="M521" s="843" t="n"/>
      <c r="N521" s="845" t="inlineStr">
        <is>
          <t>NZ</t>
        </is>
      </c>
      <c r="O521" s="846" t="inlineStr">
        <is>
          <t>CDA</t>
        </is>
      </c>
      <c r="P521" s="847" t="n">
        <v>1</v>
      </c>
      <c r="Q521" s="846" t="n"/>
      <c r="R521" s="847" t="inlineStr">
        <is>
          <t>Permanent - Full Time</t>
        </is>
      </c>
      <c r="S521" s="847" t="n"/>
      <c r="T521" s="847" t="n"/>
      <c r="U521" s="848" t="n">
        <v>310000</v>
      </c>
      <c r="V521" s="849" t="n">
        <v>310000</v>
      </c>
      <c r="W521" s="850" t="n">
        <v>0.2</v>
      </c>
      <c r="X521" s="847" t="n">
        <v>0.055</v>
      </c>
      <c r="Y521" s="850" t="n">
        <v>0.12</v>
      </c>
      <c r="Z521" s="851" t="n"/>
      <c r="AA521" s="850" t="n">
        <v>0.04</v>
      </c>
      <c r="AB521" s="852" t="n">
        <v>438650</v>
      </c>
      <c r="AE521" s="534">
        <f>IF(TRIM($B521)="","",IF(AND(N($P521)&gt;0,N($P521)&lt;1),N($AB521)*N($P521),N($AB521)))</f>
        <v>438650</v>
      </c>
      <c r="AF521" s="534" t="str">
        <f>IF(TRIM($B521)="","",IF(OR(ISNUMBER(SEARCH("vacant",$B521)),ISNUMBER(SEARCH("ring fenced",$B521)),LOWER(TRIM($B521))="remove"),"Vacant","Filled"))</f>
        <v>Filled</v>
      </c>
      <c r="AG521" s="534" t="b">
        <f>IF(TRIM($B521)="","",--ISNUMBER(SEARCH("ring fenced",$B521)))</f>
        <v>0</v>
      </c>
      <c r="AH521" s="534" t="str">
        <f>IF(TRIM($B521)="","",IF(COUNTIFS(Lists!$AN$2:$AN$22,TRIM($B521)&amp;" | "&amp;TRIM($D521),Lists!$AO$2:$AO$22,"&lt;&gt;"),INDEX(Lists!$AO$2:$AO$22,MATCH(TRIM($B521)&amp;" | "&amp;TRIM($D521),Lists!$AN$2:$AN$22,0)),IF(COUNTIF(Lists!$AR$2:$AR$3,$AJ521),"TDD Cyber",IF(AND(LEFT($AJ521,4)="EGI ",ISNUMBER(MATCH(TRIM(MID($AJ521,5,99)),Lists!$AS$2:$AS$12,0))),TRIM(MID($AJ521,5,99)),IF(AND(LEFT($AJ521,4)="EGI ",ISNUMBER(MATCH(TRIM(MID($AJ521,5,99)),Lists!$T$2:$T$21,0))),INDEX(Lists!$U$2:$U$21,MATCH(TRIM(MID($AJ521,5,99)),Lists!$T$2:$T$21,0)),IF(OR(TRIM($J521)="",UPPER(TRIM($J521))="NA"),IFERROR(INDEX(Lists!$R$2:$R$9,MATCH(TRIM($G521),Lists!$Q$2:$Q$9,0)),"UNMAPPED"),IFERROR(INDEX(Lists!$U$2:$U$21,MATCH(TRIM($J521),Lists!$T$2:$T$21,0)),IFERROR(INDEX(Lists!$R$2:$R$9,MATCH(TRIM($G521),Lists!$Q$2:$Q$9,0)),"UNMAPPED"))))))))</f>
        <v>Z Retail</v>
      </c>
      <c r="AI521" s="534" t="b">
        <f>IF(TRIM($B521)="","",--OR(TRIM($L521)="Leadership",TRIM($K521)="Leadership"))</f>
        <v>0</v>
      </c>
      <c r="AJ521" s="534" t="str">
        <f>IF(TRIM($B521)="","",IF(COUNTIFS(Lists!$AN$2:$AN$22,TRIM($B521)&amp;" | "&amp;TRIM($D521),Lists!$AP$2:$AP$22,"&lt;&gt;"),INDEX(Lists!$AP$2:$AP$22,MATCH(TRIM($B521)&amp;" | "&amp;TRIM($D521),Lists!$AN$2:$AN$22,0)),IF($AI521=1,"Leadership",IFERROR(INDEX(Lists!$X$2:$X$21,MATCH(TRIM($L521),Lists!$W$2:$W$21,0)),IF(OR(TRIM($L521)="",LOWER(TRIM($L521))="na"),IF(TRIM($H521)="","Unassigned",TRIM($H521)),TRIM($L521))))))</f>
        <v>Z Retail Backend</v>
      </c>
      <c r="AK521" s="534" t="str">
        <f>IF(TRIM($B521)="","",IF(COUNTIFS(Lists!$AN$2:$AN$22,TRIM($B521)&amp;" | "&amp;TRIM($D521),Lists!$AQ$2:$AQ$22,"&lt;&gt;"),INDEX(Lists!$AQ$2:$AQ$22,MATCH(TRIM($B521)&amp;" | "&amp;TRIM($D521),Lists!$AN$2:$AN$22,0)),IF(COUNTIF(Lists!$AF$2:$AF$8,$AJ521),$AJ521,IF(ISNUMBER(SEARCH("head of ",$D521)),"Head of Technology",IF(ISNUMBER(SEARCH("TDD BP",$D521)),"Business Partner",IF(OR(ISNUMBER(SEARCH("domain architect",$D521)),ISNUMBER(SEARCH("enterprise architect",$D521))),"Domain Architect",IF(ISNUMBER(SEARCH("delivery man",$D521)),"Delivery Manager",IF(OR(ISNUMBER(SEARCH("technology manager",$D521)),ISNUMBER(SEARCH("technology manger",$D521)),ISNUMBER(SEARCH("tech manager",$D521))),"Technology Manager","Squad"))))))))</f>
        <v>Squad</v>
      </c>
      <c r="AL521" s="534" t="str">
        <f>IF(TRIM($B521)="","",IF(AND($AM521=1,LEFT($AJ521,4)&lt;&gt;"EGI ",$AJ521&lt;&gt;"EGI"),IFERROR(INDEX(Lists!$Z$2:$Z$20,MATCH($AH521,Lists!$Y$2:$Y$20,0)),"EGI "&amp;$AH521),IF(COUNTIF(Lists!$AU$2:$AU$10,$AJ521),$AJ521,IF(OR(LEFT($AH521,3)="COE",$AH521="EGI"),$AJ521,IF($AK521&lt;&gt;"Squad",$AK521,$AJ521)))))</f>
        <v>Z Retail Backend</v>
      </c>
      <c r="AM521" s="534" t="b">
        <f>IF(TRIM($B521)="","",--(UPPER(TRIM($K521))="EGI"))</f>
        <v>0</v>
      </c>
      <c r="AQ521" s="841" t="inlineStr">
        <is>
          <t>R0520</t>
        </is>
      </c>
      <c r="AZ521" s="841" t="n"/>
    </row>
    <row r="522" ht="18" customHeight="1" s="535">
      <c r="A522" s="842" t="n">
        <v>113333</v>
      </c>
      <c r="B522" s="843" t="inlineStr">
        <is>
          <t>Tom Moore</t>
        </is>
      </c>
      <c r="C522" s="842" t="n">
        <v>113333</v>
      </c>
      <c r="D522" s="843" t="inlineStr">
        <is>
          <t>Technology Support Engineer - Infrastructure</t>
        </is>
      </c>
      <c r="E522" s="843" t="inlineStr">
        <is>
          <t>Glenn Earl</t>
        </is>
      </c>
      <c r="F522" s="843" t="inlineStr">
        <is>
          <t>Lead Support, Infrastructure</t>
        </is>
      </c>
      <c r="G522" s="844" t="inlineStr">
        <is>
          <t>TDD CFE&amp;I</t>
        </is>
      </c>
      <c r="H522" s="843" t="inlineStr">
        <is>
          <t>Fuel Infrastructure</t>
        </is>
      </c>
      <c r="I522" s="843" t="inlineStr">
        <is>
          <t>Refinery Applications</t>
        </is>
      </c>
      <c r="J522" s="843" t="inlineStr">
        <is>
          <t>Infrastructure</t>
        </is>
      </c>
      <c r="K522" s="843" t="inlineStr">
        <is>
          <t>Fuel Infrastructure</t>
        </is>
      </c>
      <c r="L522" s="843" t="inlineStr">
        <is>
          <t>Technology Suport</t>
        </is>
      </c>
      <c r="M522" s="843" t="n"/>
      <c r="N522" s="845" t="inlineStr">
        <is>
          <t>Australia</t>
        </is>
      </c>
      <c r="O522" s="846" t="inlineStr">
        <is>
          <t>CDA</t>
        </is>
      </c>
      <c r="P522" s="847" t="n">
        <v>1</v>
      </c>
      <c r="Q522" s="846" t="n"/>
      <c r="R522" s="847" t="inlineStr">
        <is>
          <t>Permanent - Full Time</t>
        </is>
      </c>
      <c r="S522" s="847" t="n"/>
      <c r="T522" s="847" t="n"/>
      <c r="U522" s="848" t="n">
        <v>82380</v>
      </c>
      <c r="V522" s="849" t="n">
        <v>82380</v>
      </c>
      <c r="W522" s="850" t="n">
        <v>0.08</v>
      </c>
      <c r="X522" s="847" t="n">
        <v>0.055</v>
      </c>
      <c r="Y522" s="850" t="n">
        <v>0.12</v>
      </c>
      <c r="Z522" s="851" t="n"/>
      <c r="AA522" s="850" t="n">
        <v>0.04</v>
      </c>
      <c r="AB522" s="852" t="n">
        <v>106682.1</v>
      </c>
      <c r="AE522" s="534">
        <f>IF(TRIM($B522)="","",IF(AND(N($P522)&gt;0,N($P522)&lt;1),N($AB522)*N($P522),N($AB522)))</f>
        <v>106682.1</v>
      </c>
      <c r="AF522" s="534" t="str">
        <f>IF(TRIM($B522)="","",IF(OR(ISNUMBER(SEARCH("vacant",$B522)),ISNUMBER(SEARCH("ring fenced",$B522)),LOWER(TRIM($B522))="remove"),"Vacant","Filled"))</f>
        <v>Filled</v>
      </c>
      <c r="AG522" s="534" t="b">
        <f>IF(TRIM($B522)="","",--ISNUMBER(SEARCH("ring fenced",$B522)))</f>
        <v>0</v>
      </c>
      <c r="AH522" s="534" t="str">
        <f>IF(TRIM($B522)="","",IF(COUNTIFS(Lists!$AN$2:$AN$22,TRIM($B522)&amp;" | "&amp;TRIM($D522),Lists!$AO$2:$AO$22,"&lt;&gt;"),INDEX(Lists!$AO$2:$AO$22,MATCH(TRIM($B522)&amp;" | "&amp;TRIM($D522),Lists!$AN$2:$AN$22,0)),IF(COUNTIF(Lists!$AR$2:$AR$3,$AJ522),"TDD Cyber",IF(AND(LEFT($AJ522,4)="EGI ",ISNUMBER(MATCH(TRIM(MID($AJ522,5,99)),Lists!$AS$2:$AS$12,0))),TRIM(MID($AJ522,5,99)),IF(AND(LEFT($AJ522,4)="EGI ",ISNUMBER(MATCH(TRIM(MID($AJ522,5,99)),Lists!$T$2:$T$21,0))),INDEX(Lists!$U$2:$U$21,MATCH(TRIM(MID($AJ522,5,99)),Lists!$T$2:$T$21,0)),IF(OR(TRIM($J522)="",UPPER(TRIM($J522))="NA"),IFERROR(INDEX(Lists!$R$2:$R$9,MATCH(TRIM($G522),Lists!$Q$2:$Q$9,0)),"UNMAPPED"),IFERROR(INDEX(Lists!$U$2:$U$21,MATCH(TRIM($J522),Lists!$T$2:$T$21,0)),IFERROR(INDEX(Lists!$R$2:$R$9,MATCH(TRIM($G522),Lists!$Q$2:$Q$9,0)),"UNMAPPED"))))))))</f>
        <v>Infrastructure</v>
      </c>
      <c r="AI522" s="534" t="b">
        <f>IF(TRIM($B522)="","",--OR(TRIM($L522)="Leadership",TRIM($K522)="Leadership"))</f>
        <v>0</v>
      </c>
      <c r="AJ522" s="534" t="str">
        <f>IF(TRIM($B522)="","",IF(COUNTIFS(Lists!$AN$2:$AN$22,TRIM($B522)&amp;" | "&amp;TRIM($D522),Lists!$AP$2:$AP$22,"&lt;&gt;"),INDEX(Lists!$AP$2:$AP$22,MATCH(TRIM($B522)&amp;" | "&amp;TRIM($D522),Lists!$AN$2:$AN$22,0)),IF($AI522=1,"Leadership",IFERROR(INDEX(Lists!$X$2:$X$21,MATCH(TRIM($L522),Lists!$W$2:$W$21,0)),IF(OR(TRIM($L522)="",LOWER(TRIM($L522))="na"),IF(TRIM($H522)="","Unassigned",TRIM($H522)),TRIM($L522))))))</f>
        <v>Technology Support</v>
      </c>
      <c r="AK522" s="534" t="str">
        <f>IF(TRIM($B522)="","",IF(COUNTIFS(Lists!$AN$2:$AN$22,TRIM($B522)&amp;" | "&amp;TRIM($D522),Lists!$AQ$2:$AQ$22,"&lt;&gt;"),INDEX(Lists!$AQ$2:$AQ$22,MATCH(TRIM($B522)&amp;" | "&amp;TRIM($D522),Lists!$AN$2:$AN$22,0)),IF(COUNTIF(Lists!$AF$2:$AF$8,$AJ522),$AJ522,IF(ISNUMBER(SEARCH("head of ",$D522)),"Head of Technology",IF(ISNUMBER(SEARCH("TDD BP",$D522)),"Business Partner",IF(OR(ISNUMBER(SEARCH("domain architect",$D522)),ISNUMBER(SEARCH("enterprise architect",$D522))),"Domain Architect",IF(ISNUMBER(SEARCH("delivery man",$D522)),"Delivery Manager",IF(OR(ISNUMBER(SEARCH("technology manager",$D522)),ISNUMBER(SEARCH("technology manger",$D522)),ISNUMBER(SEARCH("tech manager",$D522))),"Technology Manager","Squad"))))))))</f>
        <v>Squad</v>
      </c>
      <c r="AL522" s="534" t="str">
        <f>IF(TRIM($B522)="","",IF(AND($AM522=1,LEFT($AJ522,4)&lt;&gt;"EGI ",$AJ522&lt;&gt;"EGI"),IFERROR(INDEX(Lists!$Z$2:$Z$20,MATCH($AH522,Lists!$Y$2:$Y$20,0)),"EGI "&amp;$AH522),IF(COUNTIF(Lists!$AU$2:$AU$10,$AJ522),$AJ522,IF(OR(LEFT($AH522,3)="COE",$AH522="EGI"),$AJ522,IF($AK522&lt;&gt;"Squad",$AK522,$AJ522)))))</f>
        <v>Technology Support</v>
      </c>
      <c r="AM522" s="534" t="b">
        <f>IF(TRIM($B522)="","",--(UPPER(TRIM($K522))="EGI"))</f>
        <v>0</v>
      </c>
      <c r="AQ522" s="841" t="inlineStr">
        <is>
          <t>R0521</t>
        </is>
      </c>
      <c r="AZ522" s="841" t="n"/>
    </row>
    <row r="523" ht="18" customHeight="1" s="535">
      <c r="A523" s="842" t="n">
        <v>115516</v>
      </c>
      <c r="B523" s="843" t="inlineStr">
        <is>
          <t>Caitlin Naylor</t>
        </is>
      </c>
      <c r="C523" s="842" t="n">
        <v>115516</v>
      </c>
      <c r="D523" s="843" t="inlineStr">
        <is>
          <t>Associate Engineer- Software</t>
        </is>
      </c>
      <c r="E523" s="843" t="inlineStr">
        <is>
          <t>Hitesh Patel</t>
        </is>
      </c>
      <c r="F523" s="843" t="inlineStr">
        <is>
          <t>Technology Manager, Energy Solutions</t>
        </is>
      </c>
      <c r="G523" s="844" t="inlineStr">
        <is>
          <t>TDD CFE&amp;I</t>
        </is>
      </c>
      <c r="H523" s="843" t="inlineStr">
        <is>
          <t>B2B &amp; Energy Solutions</t>
        </is>
      </c>
      <c r="I523" s="843" t="inlineStr">
        <is>
          <t>Technology Energy Solutions</t>
        </is>
      </c>
      <c r="J523" s="843" t="inlineStr">
        <is>
          <t>B2B &amp; Energy Solutions</t>
        </is>
      </c>
      <c r="K523" s="843" t="inlineStr">
        <is>
          <t>Energy Solutions</t>
        </is>
      </c>
      <c r="L523" s="843" t="inlineStr">
        <is>
          <t>Energy</t>
        </is>
      </c>
      <c r="M523" s="843" t="n"/>
      <c r="N523" s="845" t="inlineStr">
        <is>
          <t>NZ</t>
        </is>
      </c>
      <c r="O523" s="846" t="inlineStr">
        <is>
          <t>CDA</t>
        </is>
      </c>
      <c r="P523" s="847" t="n">
        <v>1</v>
      </c>
      <c r="Q523" s="846" t="n"/>
      <c r="R523" s="847" t="inlineStr">
        <is>
          <t>Permanent - Full Time</t>
        </is>
      </c>
      <c r="S523" s="847" t="n"/>
      <c r="T523" s="847" t="n"/>
      <c r="U523" s="848" t="n">
        <v>77860</v>
      </c>
      <c r="V523" s="849" t="n">
        <v>71631.2</v>
      </c>
      <c r="W523" s="850" t="n">
        <v>0.1</v>
      </c>
      <c r="X523" s="847" t="n"/>
      <c r="Y523" s="850" t="n">
        <v>0.05</v>
      </c>
      <c r="Z523" s="851" t="n">
        <v>2910</v>
      </c>
      <c r="AA523" s="850" t="n">
        <v>0.03</v>
      </c>
      <c r="AB523" s="852" t="n">
        <v>87434.81600000001</v>
      </c>
      <c r="AE523" s="534">
        <f>IF(TRIM($B523)="","",IF(AND(N($P523)&gt;0,N($P523)&lt;1),N($AB523)*N($P523),N($AB523)))</f>
        <v>87434.816</v>
      </c>
      <c r="AF523" s="534" t="str">
        <f>IF(TRIM($B523)="","",IF(OR(ISNUMBER(SEARCH("vacant",$B523)),ISNUMBER(SEARCH("ring fenced",$B523)),LOWER(TRIM($B523))="remove"),"Vacant","Filled"))</f>
        <v>Filled</v>
      </c>
      <c r="AG523" s="534" t="b">
        <f>IF(TRIM($B523)="","",--ISNUMBER(SEARCH("ring fenced",$B523)))</f>
        <v>0</v>
      </c>
      <c r="AH523" s="534" t="str">
        <f>IF(TRIM($B523)="","",IF(COUNTIFS(Lists!$AN$2:$AN$22,TRIM($B523)&amp;" | "&amp;TRIM($D523),Lists!$AO$2:$AO$22,"&lt;&gt;"),INDEX(Lists!$AO$2:$AO$22,MATCH(TRIM($B523)&amp;" | "&amp;TRIM($D523),Lists!$AN$2:$AN$22,0)),IF(COUNTIF(Lists!$AR$2:$AR$3,$AJ523),"TDD Cyber",IF(AND(LEFT($AJ523,4)="EGI ",ISNUMBER(MATCH(TRIM(MID($AJ523,5,99)),Lists!$AS$2:$AS$12,0))),TRIM(MID($AJ523,5,99)),IF(AND(LEFT($AJ523,4)="EGI ",ISNUMBER(MATCH(TRIM(MID($AJ523,5,99)),Lists!$T$2:$T$21,0))),INDEX(Lists!$U$2:$U$21,MATCH(TRIM(MID($AJ523,5,99)),Lists!$T$2:$T$21,0)),IF(OR(TRIM($J523)="",UPPER(TRIM($J523))="NA"),IFERROR(INDEX(Lists!$R$2:$R$9,MATCH(TRIM($G523),Lists!$Q$2:$Q$9,0)),"UNMAPPED"),IFERROR(INDEX(Lists!$U$2:$U$21,MATCH(TRIM($J523),Lists!$T$2:$T$21,0)),IFERROR(INDEX(Lists!$R$2:$R$9,MATCH(TRIM($G523),Lists!$Q$2:$Q$9,0)),"UNMAPPED"))))))))</f>
        <v>Energy Solutions &amp; B2B</v>
      </c>
      <c r="AI523" s="534" t="b">
        <f>IF(TRIM($B523)="","",--OR(TRIM($L523)="Leadership",TRIM($K523)="Leadership"))</f>
        <v>0</v>
      </c>
      <c r="AJ523" s="534" t="str">
        <f>IF(TRIM($B523)="","",IF(COUNTIFS(Lists!$AN$2:$AN$22,TRIM($B523)&amp;" | "&amp;TRIM($D523),Lists!$AP$2:$AP$22,"&lt;&gt;"),INDEX(Lists!$AP$2:$AP$22,MATCH(TRIM($B523)&amp;" | "&amp;TRIM($D523),Lists!$AN$2:$AN$22,0)),IF($AI523=1,"Leadership",IFERROR(INDEX(Lists!$X$2:$X$21,MATCH(TRIM($L523),Lists!$W$2:$W$21,0)),IF(OR(TRIM($L523)="",LOWER(TRIM($L523))="na"),IF(TRIM($H523)="","Unassigned",TRIM($H523)),TRIM($L523))))))</f>
        <v>Energy</v>
      </c>
      <c r="AK523" s="534" t="str">
        <f>IF(TRIM($B523)="","",IF(COUNTIFS(Lists!$AN$2:$AN$22,TRIM($B523)&amp;" | "&amp;TRIM($D523),Lists!$AQ$2:$AQ$22,"&lt;&gt;"),INDEX(Lists!$AQ$2:$AQ$22,MATCH(TRIM($B523)&amp;" | "&amp;TRIM($D523),Lists!$AN$2:$AN$22,0)),IF(COUNTIF(Lists!$AF$2:$AF$8,$AJ523),$AJ523,IF(ISNUMBER(SEARCH("head of ",$D523)),"Head of Technology",IF(ISNUMBER(SEARCH("TDD BP",$D523)),"Business Partner",IF(OR(ISNUMBER(SEARCH("domain architect",$D523)),ISNUMBER(SEARCH("enterprise architect",$D523))),"Domain Architect",IF(ISNUMBER(SEARCH("delivery man",$D523)),"Delivery Manager",IF(OR(ISNUMBER(SEARCH("technology manager",$D523)),ISNUMBER(SEARCH("technology manger",$D523)),ISNUMBER(SEARCH("tech manager",$D523))),"Technology Manager","Squad"))))))))</f>
        <v>Squad</v>
      </c>
      <c r="AL523" s="534" t="str">
        <f>IF(TRIM($B523)="","",IF(AND($AM523=1,LEFT($AJ523,4)&lt;&gt;"EGI ",$AJ523&lt;&gt;"EGI"),IFERROR(INDEX(Lists!$Z$2:$Z$20,MATCH($AH523,Lists!$Y$2:$Y$20,0)),"EGI "&amp;$AH523),IF(COUNTIF(Lists!$AU$2:$AU$10,$AJ523),$AJ523,IF(OR(LEFT($AH523,3)="COE",$AH523="EGI"),$AJ523,IF($AK523&lt;&gt;"Squad",$AK523,$AJ523)))))</f>
        <v>Energy</v>
      </c>
      <c r="AM523" s="534" t="b">
        <f>IF(TRIM($B523)="","",--(UPPER(TRIM($K523))="EGI"))</f>
        <v>0</v>
      </c>
      <c r="AQ523" s="841" t="inlineStr">
        <is>
          <t>R0522</t>
        </is>
      </c>
      <c r="AZ523" s="841" t="n"/>
    </row>
    <row r="524" ht="18" customHeight="1" s="535">
      <c r="A524" s="842" t="n">
        <v>113924</v>
      </c>
      <c r="B524" s="843" t="inlineStr">
        <is>
          <t>Oliver Shanks</t>
        </is>
      </c>
      <c r="C524" s="842" t="n">
        <v>113924</v>
      </c>
      <c r="D524" s="843" t="inlineStr">
        <is>
          <t>Associate Engineer Software</t>
        </is>
      </c>
      <c r="E524" s="843" t="inlineStr">
        <is>
          <t>Vacant</t>
        </is>
      </c>
      <c r="F524" s="843" t="inlineStr">
        <is>
          <t>Technology Manager, Engineering</t>
        </is>
      </c>
      <c r="G524" s="844" t="inlineStr">
        <is>
          <t>TDD CFE&amp;I</t>
        </is>
      </c>
      <c r="H524" s="843" t="inlineStr">
        <is>
          <t>Commercial Fuels</t>
        </is>
      </c>
      <c r="I524" s="843" t="inlineStr">
        <is>
          <t>Technology, CF Engineering</t>
        </is>
      </c>
      <c r="J524" s="843" t="inlineStr">
        <is>
          <t>Commercial Fuels</t>
        </is>
      </c>
      <c r="K524" s="843" t="inlineStr">
        <is>
          <t>CTRM</t>
        </is>
      </c>
      <c r="L524" s="843" t="inlineStr">
        <is>
          <t>CTRM</t>
        </is>
      </c>
      <c r="M524" s="843" t="n"/>
      <c r="N524" s="845" t="inlineStr">
        <is>
          <t>NZ</t>
        </is>
      </c>
      <c r="O524" s="846" t="inlineStr">
        <is>
          <t>CDA</t>
        </is>
      </c>
      <c r="P524" s="847" t="n">
        <v>1</v>
      </c>
      <c r="Q524" s="847" t="n"/>
      <c r="R524" s="847" t="inlineStr">
        <is>
          <t>Permanent - Full Time</t>
        </is>
      </c>
      <c r="S524" s="847" t="n"/>
      <c r="T524" s="847" t="n"/>
      <c r="U524" s="848" t="n">
        <v>75170</v>
      </c>
      <c r="V524" s="849" t="n">
        <v>69156.39999999999</v>
      </c>
      <c r="W524" s="850" t="n">
        <v>0.1</v>
      </c>
      <c r="X524" s="847" t="n"/>
      <c r="Y524" s="850" t="n">
        <v>0.05</v>
      </c>
      <c r="Z524" s="851" t="n">
        <v>2910</v>
      </c>
      <c r="AA524" s="850" t="n">
        <v>0.03</v>
      </c>
      <c r="AB524" s="852" t="n">
        <v>84514.552</v>
      </c>
      <c r="AE524" s="534">
        <f>IF(TRIM($B524)="","",IF(AND(N($P524)&gt;0,N($P524)&lt;1),N($AB524)*N($P524),N($AB524)))</f>
        <v>84514.552</v>
      </c>
      <c r="AF524" s="534" t="str">
        <f>IF(TRIM($B524)="","",IF(OR(ISNUMBER(SEARCH("vacant",$B524)),ISNUMBER(SEARCH("ring fenced",$B524)),LOWER(TRIM($B524))="remove"),"Vacant","Filled"))</f>
        <v>Filled</v>
      </c>
      <c r="AG524" s="534" t="b">
        <f>IF(TRIM($B524)="","",--ISNUMBER(SEARCH("ring fenced",$B524)))</f>
        <v>0</v>
      </c>
      <c r="AH524" s="534" t="str">
        <f>IF(TRIM($B524)="","",IF(COUNTIFS(Lists!$AN$2:$AN$22,TRIM($B524)&amp;" | "&amp;TRIM($D524),Lists!$AO$2:$AO$22,"&lt;&gt;"),INDEX(Lists!$AO$2:$AO$22,MATCH(TRIM($B524)&amp;" | "&amp;TRIM($D524),Lists!$AN$2:$AN$22,0)),IF(COUNTIF(Lists!$AR$2:$AR$3,$AJ524),"TDD Cyber",IF(AND(LEFT($AJ524,4)="EGI ",ISNUMBER(MATCH(TRIM(MID($AJ524,5,99)),Lists!$AS$2:$AS$12,0))),TRIM(MID($AJ524,5,99)),IF(AND(LEFT($AJ524,4)="EGI ",ISNUMBER(MATCH(TRIM(MID($AJ524,5,99)),Lists!$T$2:$T$21,0))),INDEX(Lists!$U$2:$U$21,MATCH(TRIM(MID($AJ524,5,99)),Lists!$T$2:$T$21,0)),IF(OR(TRIM($J524)="",UPPER(TRIM($J524))="NA"),IFERROR(INDEX(Lists!$R$2:$R$9,MATCH(TRIM($G524),Lists!$Q$2:$Q$9,0)),"UNMAPPED"),IFERROR(INDEX(Lists!$U$2:$U$21,MATCH(TRIM($J524),Lists!$T$2:$T$21,0)),IFERROR(INDEX(Lists!$R$2:$R$9,MATCH(TRIM($G524),Lists!$Q$2:$Q$9,0)),"UNMAPPED"))))))))</f>
        <v>Commercial Fuels</v>
      </c>
      <c r="AI524" s="534" t="b">
        <f>IF(TRIM($B524)="","",--OR(TRIM($L524)="Leadership",TRIM($K524)="Leadership"))</f>
        <v>0</v>
      </c>
      <c r="AJ524" s="534" t="str">
        <f>IF(TRIM($B524)="","",IF(COUNTIFS(Lists!$AN$2:$AN$22,TRIM($B524)&amp;" | "&amp;TRIM($D524),Lists!$AP$2:$AP$22,"&lt;&gt;"),INDEX(Lists!$AP$2:$AP$22,MATCH(TRIM($B524)&amp;" | "&amp;TRIM($D524),Lists!$AN$2:$AN$22,0)),IF($AI524=1,"Leadership",IFERROR(INDEX(Lists!$X$2:$X$21,MATCH(TRIM($L524),Lists!$W$2:$W$21,0)),IF(OR(TRIM($L524)="",LOWER(TRIM($L524))="na"),IF(TRIM($H524)="","Unassigned",TRIM($H524)),TRIM($L524))))))</f>
        <v>CTRM</v>
      </c>
      <c r="AK524" s="534" t="str">
        <f>IF(TRIM($B524)="","",IF(COUNTIFS(Lists!$AN$2:$AN$22,TRIM($B524)&amp;" | "&amp;TRIM($D524),Lists!$AQ$2:$AQ$22,"&lt;&gt;"),INDEX(Lists!$AQ$2:$AQ$22,MATCH(TRIM($B524)&amp;" | "&amp;TRIM($D524),Lists!$AN$2:$AN$22,0)),IF(COUNTIF(Lists!$AF$2:$AF$8,$AJ524),$AJ524,IF(ISNUMBER(SEARCH("head of ",$D524)),"Head of Technology",IF(ISNUMBER(SEARCH("TDD BP",$D524)),"Business Partner",IF(OR(ISNUMBER(SEARCH("domain architect",$D524)),ISNUMBER(SEARCH("enterprise architect",$D524))),"Domain Architect",IF(ISNUMBER(SEARCH("delivery man",$D524)),"Delivery Manager",IF(OR(ISNUMBER(SEARCH("technology manager",$D524)),ISNUMBER(SEARCH("technology manger",$D524)),ISNUMBER(SEARCH("tech manager",$D524))),"Technology Manager","Squad"))))))))</f>
        <v>Squad</v>
      </c>
      <c r="AL524" s="534" t="str">
        <f>IF(TRIM($B524)="","",IF(AND($AM524=1,LEFT($AJ524,4)&lt;&gt;"EGI ",$AJ524&lt;&gt;"EGI"),IFERROR(INDEX(Lists!$Z$2:$Z$20,MATCH($AH524,Lists!$Y$2:$Y$20,0)),"EGI "&amp;$AH524),IF(COUNTIF(Lists!$AU$2:$AU$10,$AJ524),$AJ524,IF(OR(LEFT($AH524,3)="COE",$AH524="EGI"),$AJ524,IF($AK524&lt;&gt;"Squad",$AK524,$AJ524)))))</f>
        <v>CTRM</v>
      </c>
      <c r="AM524" s="534" t="b">
        <f>IF(TRIM($B524)="","",--(UPPER(TRIM($K524))="EGI"))</f>
        <v>0</v>
      </c>
      <c r="AQ524" s="841" t="inlineStr">
        <is>
          <t>R0523</t>
        </is>
      </c>
      <c r="AZ524" s="841" t="n"/>
    </row>
    <row r="525" ht="18" customHeight="1" s="535">
      <c r="A525" s="842" t="inlineStr">
        <is>
          <t>C</t>
        </is>
      </c>
      <c r="B525" s="843" t="inlineStr">
        <is>
          <t>Zijie Zhang</t>
        </is>
      </c>
      <c r="C525" s="842" t="inlineStr">
        <is>
          <t>C</t>
        </is>
      </c>
      <c r="D525" s="843" t="inlineStr">
        <is>
          <t>Senior Data Analyst</t>
        </is>
      </c>
      <c r="E525" s="843" t="inlineStr">
        <is>
          <t>Vacant</t>
        </is>
      </c>
      <c r="F525" s="843" t="inlineStr">
        <is>
          <t>Technology Manager, Data</t>
        </is>
      </c>
      <c r="G525" s="844" t="inlineStr">
        <is>
          <t>TDD CFE&amp;I</t>
        </is>
      </c>
      <c r="H525" s="843" t="inlineStr">
        <is>
          <t>Commercial Fuels</t>
        </is>
      </c>
      <c r="I525" s="843" t="inlineStr">
        <is>
          <t>Technology, T&amp;S Data</t>
        </is>
      </c>
      <c r="J525" s="843" t="inlineStr">
        <is>
          <t>Commercial Fuels</t>
        </is>
      </c>
      <c r="K525" s="843" t="inlineStr">
        <is>
          <t>Trading &amp; Shipping</t>
        </is>
      </c>
      <c r="L525" s="843" t="inlineStr">
        <is>
          <t>Trading &amp; Shipping Data</t>
        </is>
      </c>
      <c r="M525" s="843" t="n"/>
      <c r="N525" s="845" t="inlineStr">
        <is>
          <t>Singapore</t>
        </is>
      </c>
      <c r="O525" s="846" t="n">
        <v>0</v>
      </c>
      <c r="P525" s="847" t="n">
        <v>1</v>
      </c>
      <c r="Q525" s="847" t="n"/>
      <c r="R525" s="847" t="inlineStr">
        <is>
          <t>cant find this person</t>
        </is>
      </c>
      <c r="S525" s="847" t="e">
        <f>#N/A</f>
        <v>#N/A</v>
      </c>
      <c r="T525" s="847" t="n">
        <v>1200</v>
      </c>
      <c r="U525" s="848" t="n">
        <v>0</v>
      </c>
      <c r="V525" s="849" t="n"/>
      <c r="W525" s="850" t="n"/>
      <c r="X525" s="847" t="n"/>
      <c r="Y525" s="850" t="n"/>
      <c r="Z525" s="851" t="n"/>
      <c r="AA525" s="850" t="n"/>
      <c r="AB525" s="852" t="n">
        <v>266400</v>
      </c>
      <c r="AE525" s="534">
        <f>IF(TRIM($B525)="","",IF(AND(N($P525)&gt;0,N($P525)&lt;1),N($AB525)*N($P525),N($AB525)))</f>
        <v>266400</v>
      </c>
      <c r="AF525" s="534" t="str">
        <f>IF(TRIM($B525)="","",IF(OR(ISNUMBER(SEARCH("vacant",$B525)),ISNUMBER(SEARCH("ring fenced",$B525)),LOWER(TRIM($B525))="remove"),"Vacant","Filled"))</f>
        <v>Filled</v>
      </c>
      <c r="AG525" s="534" t="b">
        <f>IF(TRIM($B525)="","",--ISNUMBER(SEARCH("ring fenced",$B525)))</f>
        <v>0</v>
      </c>
      <c r="AH525" s="534" t="str">
        <f>IF(TRIM($B525)="","",IF(COUNTIFS(Lists!$AN$2:$AN$22,TRIM($B525)&amp;" | "&amp;TRIM($D525),Lists!$AO$2:$AO$22,"&lt;&gt;"),INDEX(Lists!$AO$2:$AO$22,MATCH(TRIM($B525)&amp;" | "&amp;TRIM($D525),Lists!$AN$2:$AN$22,0)),IF(COUNTIF(Lists!$AR$2:$AR$3,$AJ525),"TDD Cyber",IF(AND(LEFT($AJ525,4)="EGI ",ISNUMBER(MATCH(TRIM(MID($AJ525,5,99)),Lists!$AS$2:$AS$12,0))),TRIM(MID($AJ525,5,99)),IF(AND(LEFT($AJ525,4)="EGI ",ISNUMBER(MATCH(TRIM(MID($AJ525,5,99)),Lists!$T$2:$T$21,0))),INDEX(Lists!$U$2:$U$21,MATCH(TRIM(MID($AJ525,5,99)),Lists!$T$2:$T$21,0)),IF(OR(TRIM($J525)="",UPPER(TRIM($J525))="NA"),IFERROR(INDEX(Lists!$R$2:$R$9,MATCH(TRIM($G525),Lists!$Q$2:$Q$9,0)),"UNMAPPED"),IFERROR(INDEX(Lists!$U$2:$U$21,MATCH(TRIM($J525),Lists!$T$2:$T$21,0)),IFERROR(INDEX(Lists!$R$2:$R$9,MATCH(TRIM($G525),Lists!$Q$2:$Q$9,0)),"UNMAPPED"))))))))</f>
        <v>Commercial Fuels</v>
      </c>
      <c r="AI525" s="534" t="b">
        <f>IF(TRIM($B525)="","",--OR(TRIM($L525)="Leadership",TRIM($K525)="Leadership"))</f>
        <v>0</v>
      </c>
      <c r="AJ525" s="534" t="str">
        <f>IF(TRIM($B525)="","",IF(COUNTIFS(Lists!$AN$2:$AN$22,TRIM($B525)&amp;" | "&amp;TRIM($D525),Lists!$AP$2:$AP$22,"&lt;&gt;"),INDEX(Lists!$AP$2:$AP$22,MATCH(TRIM($B525)&amp;" | "&amp;TRIM($D525),Lists!$AN$2:$AN$22,0)),IF($AI525=1,"Leadership",IFERROR(INDEX(Lists!$X$2:$X$21,MATCH(TRIM($L525),Lists!$W$2:$W$21,0)),IF(OR(TRIM($L525)="",LOWER(TRIM($L525))="na"),IF(TRIM($H525)="","Unassigned",TRIM($H525)),TRIM($L525))))))</f>
        <v>Trading &amp; Shipping Data</v>
      </c>
      <c r="AK525" s="534" t="str">
        <f>IF(TRIM($B525)="","",IF(COUNTIFS(Lists!$AN$2:$AN$22,TRIM($B525)&amp;" | "&amp;TRIM($D525),Lists!$AQ$2:$AQ$22,"&lt;&gt;"),INDEX(Lists!$AQ$2:$AQ$22,MATCH(TRIM($B525)&amp;" | "&amp;TRIM($D525),Lists!$AN$2:$AN$22,0)),IF(COUNTIF(Lists!$AF$2:$AF$8,$AJ525),$AJ525,IF(ISNUMBER(SEARCH("head of ",$D525)),"Head of Technology",IF(ISNUMBER(SEARCH("TDD BP",$D525)),"Business Partner",IF(OR(ISNUMBER(SEARCH("domain architect",$D525)),ISNUMBER(SEARCH("enterprise architect",$D525))),"Domain Architect",IF(ISNUMBER(SEARCH("delivery man",$D525)),"Delivery Manager",IF(OR(ISNUMBER(SEARCH("technology manager",$D525)),ISNUMBER(SEARCH("technology manger",$D525)),ISNUMBER(SEARCH("tech manager",$D525))),"Technology Manager","Squad"))))))))</f>
        <v>Squad</v>
      </c>
      <c r="AL525" s="534" t="str">
        <f>IF(TRIM($B525)="","",IF(AND($AM525=1,LEFT($AJ525,4)&lt;&gt;"EGI ",$AJ525&lt;&gt;"EGI"),IFERROR(INDEX(Lists!$Z$2:$Z$20,MATCH($AH525,Lists!$Y$2:$Y$20,0)),"EGI "&amp;$AH525),IF(COUNTIF(Lists!$AU$2:$AU$10,$AJ525),$AJ525,IF(OR(LEFT($AH525,3)="COE",$AH525="EGI"),$AJ525,IF($AK525&lt;&gt;"Squad",$AK525,$AJ525)))))</f>
        <v>Trading &amp; Shipping Data</v>
      </c>
      <c r="AM525" s="534" t="b">
        <f>IF(TRIM($B525)="","",--(UPPER(TRIM($K525))="EGI"))</f>
        <v>0</v>
      </c>
      <c r="AQ525" s="841" t="inlineStr">
        <is>
          <t>R0524</t>
        </is>
      </c>
      <c r="AZ525" s="841" t="n"/>
    </row>
    <row r="526" ht="18" customHeight="1" s="535">
      <c r="A526" s="842" t="n">
        <v>116027</v>
      </c>
      <c r="B526" s="843" t="inlineStr">
        <is>
          <t>Nidhi Aggarwal</t>
        </is>
      </c>
      <c r="C526" s="842" t="n">
        <v>116027</v>
      </c>
      <c r="D526" s="843" t="inlineStr">
        <is>
          <t>Snr Engineer - Boomi</t>
        </is>
      </c>
      <c r="E526" s="843" t="inlineStr">
        <is>
          <t>Mike Seales</t>
        </is>
      </c>
      <c r="F526" s="843" t="inlineStr">
        <is>
          <t>Technology Manager Integration &amp; Process Managemetn</t>
        </is>
      </c>
      <c r="G526" s="844" t="inlineStr">
        <is>
          <t>TDD Group Functions</t>
        </is>
      </c>
      <c r="H526" s="843" t="inlineStr">
        <is>
          <t>TDD &amp; Engineering</t>
        </is>
      </c>
      <c r="I526" s="843" t="inlineStr">
        <is>
          <t>Integration &amp; Process Management</t>
        </is>
      </c>
      <c r="J526" s="843" t="inlineStr">
        <is>
          <t>TDD</t>
        </is>
      </c>
      <c r="K526" s="843" t="inlineStr">
        <is>
          <t>TDD</t>
        </is>
      </c>
      <c r="L526" s="843" t="inlineStr">
        <is>
          <t>Integration &amp; Process automation</t>
        </is>
      </c>
      <c r="M526" s="843" t="n"/>
      <c r="N526" s="845" t="inlineStr">
        <is>
          <t>NZ</t>
        </is>
      </c>
      <c r="O526" s="846" t="n"/>
      <c r="P526" s="847" t="n">
        <v>1</v>
      </c>
      <c r="R526" s="847" t="inlineStr">
        <is>
          <t>Permanent - Full Time</t>
        </is>
      </c>
      <c r="S526" s="847" t="n"/>
      <c r="T526" s="847" t="n"/>
      <c r="U526" s="848" t="n">
        <v>150000</v>
      </c>
      <c r="V526" s="849" t="n">
        <v>163043.47826087</v>
      </c>
      <c r="W526" s="850" t="n">
        <v>0.15</v>
      </c>
      <c r="X526" s="847" t="n"/>
      <c r="Y526" s="850" t="n">
        <v>0.05</v>
      </c>
      <c r="Z526" s="851" t="n">
        <v>2910</v>
      </c>
      <c r="AA526" s="850" t="n">
        <v>0.03</v>
      </c>
      <c r="AB526" s="852" t="n">
        <v>165990.163043478</v>
      </c>
      <c r="AE526" s="534">
        <f>IF(TRIM($B526)="","",IF(AND(N($P526)&gt;0,N($P526)&lt;1),N($AB526)*N($P526),N($AB526)))</f>
        <v>165990.163043478</v>
      </c>
      <c r="AF526" s="534" t="str">
        <f>IF(TRIM($B526)="","",IF(OR(ISNUMBER(SEARCH("vacant",$B526)),ISNUMBER(SEARCH("ring fenced",$B526)),LOWER(TRIM($B526))="remove"),"Vacant","Filled"))</f>
        <v>Filled</v>
      </c>
      <c r="AG526" s="534" t="b">
        <f>IF(TRIM($B526)="","",--ISNUMBER(SEARCH("ring fenced",$B526)))</f>
        <v>0</v>
      </c>
      <c r="AH526" s="534" t="str">
        <f>IF(TRIM($B526)="","",IF(COUNTIFS(Lists!$AN$2:$AN$22,TRIM($B526)&amp;" | "&amp;TRIM($D526),Lists!$AO$2:$AO$22,"&lt;&gt;"),INDEX(Lists!$AO$2:$AO$22,MATCH(TRIM($B526)&amp;" | "&amp;TRIM($D526),Lists!$AN$2:$AN$22,0)),IF(COUNTIF(Lists!$AR$2:$AR$3,$AJ526),"TDD Cyber",IF(AND(LEFT($AJ526,4)="EGI ",ISNUMBER(MATCH(TRIM(MID($AJ526,5,99)),Lists!$AS$2:$AS$12,0))),TRIM(MID($AJ526,5,99)),IF(AND(LEFT($AJ526,4)="EGI ",ISNUMBER(MATCH(TRIM(MID($AJ526,5,99)),Lists!$T$2:$T$21,0))),INDEX(Lists!$U$2:$U$21,MATCH(TRIM(MID($AJ526,5,99)),Lists!$T$2:$T$21,0)),IF(OR(TRIM($J526)="",UPPER(TRIM($J526))="NA"),IFERROR(INDEX(Lists!$R$2:$R$9,MATCH(TRIM($G526),Lists!$Q$2:$Q$9,0)),"UNMAPPED"),IFERROR(INDEX(Lists!$U$2:$U$21,MATCH(TRIM($J526),Lists!$T$2:$T$21,0)),IFERROR(INDEX(Lists!$R$2:$R$9,MATCH(TRIM($G526),Lists!$Q$2:$Q$9,0)),"UNMAPPED"))))))))</f>
        <v>TDD Group Functions</v>
      </c>
      <c r="AI526" s="534" t="b">
        <f>IF(TRIM($B526)="","",--OR(TRIM($L526)="Leadership",TRIM($K526)="Leadership"))</f>
        <v>0</v>
      </c>
      <c r="AJ526" s="534" t="str">
        <f>IF(TRIM($B526)="","",IF(COUNTIFS(Lists!$AN$2:$AN$22,TRIM($B526)&amp;" | "&amp;TRIM($D526),Lists!$AP$2:$AP$22,"&lt;&gt;"),INDEX(Lists!$AP$2:$AP$22,MATCH(TRIM($B526)&amp;" | "&amp;TRIM($D526),Lists!$AN$2:$AN$22,0)),IF($AI526=1,"Leadership",IFERROR(INDEX(Lists!$X$2:$X$21,MATCH(TRIM($L526),Lists!$W$2:$W$21,0)),IF(OR(TRIM($L526)="",LOWER(TRIM($L526))="na"),IF(TRIM($H526)="","Unassigned",TRIM($H526)),TRIM($L526))))))</f>
        <v>Integration &amp; Process Automation</v>
      </c>
      <c r="AK526" s="534" t="str">
        <f>IF(TRIM($B526)="","",IF(COUNTIFS(Lists!$AN$2:$AN$22,TRIM($B526)&amp;" | "&amp;TRIM($D526),Lists!$AQ$2:$AQ$22,"&lt;&gt;"),INDEX(Lists!$AQ$2:$AQ$22,MATCH(TRIM($B526)&amp;" | "&amp;TRIM($D526),Lists!$AN$2:$AN$22,0)),IF(COUNTIF(Lists!$AF$2:$AF$8,$AJ526),$AJ526,IF(ISNUMBER(SEARCH("head of ",$D526)),"Head of Technology",IF(ISNUMBER(SEARCH("TDD BP",$D526)),"Business Partner",IF(OR(ISNUMBER(SEARCH("domain architect",$D526)),ISNUMBER(SEARCH("enterprise architect",$D526))),"Domain Architect",IF(ISNUMBER(SEARCH("delivery man",$D526)),"Delivery Manager",IF(OR(ISNUMBER(SEARCH("technology manager",$D526)),ISNUMBER(SEARCH("technology manger",$D526)),ISNUMBER(SEARCH("tech manager",$D526))),"Technology Manager","Squad"))))))))</f>
        <v>Squad</v>
      </c>
      <c r="AL526" s="534" t="str">
        <f>IF(TRIM($B526)="","",IF(AND($AM526=1,LEFT($AJ526,4)&lt;&gt;"EGI ",$AJ526&lt;&gt;"EGI"),IFERROR(INDEX(Lists!$Z$2:$Z$20,MATCH($AH526,Lists!$Y$2:$Y$20,0)),"EGI "&amp;$AH526),IF(COUNTIF(Lists!$AU$2:$AU$10,$AJ526),$AJ526,IF(OR(LEFT($AH526,3)="COE",$AH526="EGI"),$AJ526,IF($AK526&lt;&gt;"Squad",$AK526,$AJ526)))))</f>
        <v>Integration &amp; Process Automation</v>
      </c>
      <c r="AM526" s="534" t="b">
        <f>IF(TRIM($B526)="","",--(UPPER(TRIM($K526))="EGI"))</f>
        <v>0</v>
      </c>
      <c r="AQ526" s="841" t="inlineStr">
        <is>
          <t>R0525</t>
        </is>
      </c>
      <c r="AZ526" s="841" t="n"/>
    </row>
    <row r="527" ht="18" customHeight="1" s="535">
      <c r="A527" s="842" t="inlineStr">
        <is>
          <t>V</t>
        </is>
      </c>
      <c r="B527" s="843" t="inlineStr">
        <is>
          <t>vacant</t>
        </is>
      </c>
      <c r="C527" s="842" t="inlineStr">
        <is>
          <t>V</t>
        </is>
      </c>
      <c r="D527" s="843" t="inlineStr">
        <is>
          <t>Solution Architect</t>
        </is>
      </c>
      <c r="E527" s="843" t="inlineStr">
        <is>
          <t>vacant</t>
        </is>
      </c>
      <c r="F527" s="843" t="inlineStr">
        <is>
          <t>Delivery Lead (JDE)</t>
        </is>
      </c>
      <c r="G527" s="844" t="inlineStr">
        <is>
          <t>TDD Group Functions</t>
        </is>
      </c>
      <c r="H527" s="843" t="inlineStr">
        <is>
          <t>P&amp;C, Finance &amp; Legal</t>
        </is>
      </c>
      <c r="I527" s="843" t="inlineStr">
        <is>
          <t>Delivery, P&amp;C, Finance &amp; Legal</t>
        </is>
      </c>
      <c r="J527" s="843" t="inlineStr">
        <is>
          <t>Finance</t>
        </is>
      </c>
      <c r="K527" s="843" t="inlineStr">
        <is>
          <t>NZ Finance</t>
        </is>
      </c>
      <c r="L527" s="843" t="inlineStr">
        <is>
          <t>NZ Finance</t>
        </is>
      </c>
      <c r="M527" s="843" t="n"/>
      <c r="N527" s="845" t="inlineStr">
        <is>
          <t>Australia</t>
        </is>
      </c>
      <c r="O527" s="846" t="n"/>
      <c r="P527" s="847" t="n">
        <v>0.5</v>
      </c>
      <c r="R527" s="847" t="n"/>
      <c r="S527" s="847" t="n"/>
      <c r="T527" s="847" t="n"/>
      <c r="U527" s="848" t="n">
        <v>173550</v>
      </c>
      <c r="V527" s="849" t="n">
        <v>173550</v>
      </c>
      <c r="W527" s="850" t="n">
        <v>0.12</v>
      </c>
      <c r="X527" s="847" t="n">
        <v>0.055</v>
      </c>
      <c r="Y527" s="850" t="n">
        <v>0.12</v>
      </c>
      <c r="Z527" s="851" t="n"/>
      <c r="AA527" s="850" t="n">
        <v>0.04</v>
      </c>
      <c r="AB527" s="852" t="n">
        <v>115844.625</v>
      </c>
      <c r="AE527" s="534">
        <f>IF(TRIM($B527)="","",IF(AND(N($P527)&gt;0,N($P527)&lt;1),N($AB527)*N($P527),N($AB527)))</f>
        <v>57922.3125</v>
      </c>
      <c r="AF527" s="534" t="str">
        <f>IF(TRIM($B527)="","",IF(OR(ISNUMBER(SEARCH("vacant",$B527)),ISNUMBER(SEARCH("ring fenced",$B527)),LOWER(TRIM($B527))="remove"),"Vacant","Filled"))</f>
        <v>Vacant</v>
      </c>
      <c r="AG527" s="534" t="b">
        <f>IF(TRIM($B527)="","",--ISNUMBER(SEARCH("ring fenced",$B527)))</f>
        <v>0</v>
      </c>
      <c r="AH527" s="534" t="str">
        <f>IF(TRIM($B527)="","",IF(COUNTIFS(Lists!$AN$2:$AN$22,TRIM($B527)&amp;" | "&amp;TRIM($D527),Lists!$AO$2:$AO$22,"&lt;&gt;"),INDEX(Lists!$AO$2:$AO$22,MATCH(TRIM($B527)&amp;" | "&amp;TRIM($D527),Lists!$AN$2:$AN$22,0)),IF(COUNTIF(Lists!$AR$2:$AR$3,$AJ527),"TDD Cyber",IF(AND(LEFT($AJ527,4)="EGI ",ISNUMBER(MATCH(TRIM(MID($AJ527,5,99)),Lists!$AS$2:$AS$12,0))),TRIM(MID($AJ527,5,99)),IF(AND(LEFT($AJ527,4)="EGI ",ISNUMBER(MATCH(TRIM(MID($AJ527,5,99)),Lists!$T$2:$T$21,0))),INDEX(Lists!$U$2:$U$21,MATCH(TRIM(MID($AJ527,5,99)),Lists!$T$2:$T$21,0)),IF(OR(TRIM($J527)="",UPPER(TRIM($J527))="NA"),IFERROR(INDEX(Lists!$R$2:$R$9,MATCH(TRIM($G527),Lists!$Q$2:$Q$9,0)),"UNMAPPED"),IFERROR(INDEX(Lists!$U$2:$U$21,MATCH(TRIM($J527),Lists!$T$2:$T$21,0)),IFERROR(INDEX(Lists!$R$2:$R$9,MATCH(TRIM($G527),Lists!$Q$2:$Q$9,0)),"UNMAPPED"))))))))</f>
        <v>Finance</v>
      </c>
      <c r="AI527" s="534" t="b">
        <f>IF(TRIM($B527)="","",--OR(TRIM($L527)="Leadership",TRIM($K527)="Leadership"))</f>
        <v>0</v>
      </c>
      <c r="AJ527" s="534" t="str">
        <f>IF(TRIM($B527)="","",IF(COUNTIFS(Lists!$AN$2:$AN$22,TRIM($B527)&amp;" | "&amp;TRIM($D527),Lists!$AP$2:$AP$22,"&lt;&gt;"),INDEX(Lists!$AP$2:$AP$22,MATCH(TRIM($B527)&amp;" | "&amp;TRIM($D527),Lists!$AN$2:$AN$22,0)),IF($AI527=1,"Leadership",IFERROR(INDEX(Lists!$X$2:$X$21,MATCH(TRIM($L527),Lists!$W$2:$W$21,0)),IF(OR(TRIM($L527)="",LOWER(TRIM($L527))="na"),IF(TRIM($H527)="","Unassigned",TRIM($H527)),TRIM($L527))))))</f>
        <v>NZ Finance</v>
      </c>
      <c r="AK527" s="534" t="str">
        <f>IF(TRIM($B527)="","",IF(COUNTIFS(Lists!$AN$2:$AN$22,TRIM($B527)&amp;" | "&amp;TRIM($D527),Lists!$AQ$2:$AQ$22,"&lt;&gt;"),INDEX(Lists!$AQ$2:$AQ$22,MATCH(TRIM($B527)&amp;" | "&amp;TRIM($D527),Lists!$AN$2:$AN$22,0)),IF(COUNTIF(Lists!$AF$2:$AF$8,$AJ527),$AJ527,IF(ISNUMBER(SEARCH("head of ",$D527)),"Head of Technology",IF(ISNUMBER(SEARCH("TDD BP",$D527)),"Business Partner",IF(OR(ISNUMBER(SEARCH("domain architect",$D527)),ISNUMBER(SEARCH("enterprise architect",$D527))),"Domain Architect",IF(ISNUMBER(SEARCH("delivery man",$D527)),"Delivery Manager",IF(OR(ISNUMBER(SEARCH("technology manager",$D527)),ISNUMBER(SEARCH("technology manger",$D527)),ISNUMBER(SEARCH("tech manager",$D527))),"Technology Manager","Squad"))))))))</f>
        <v>Squad</v>
      </c>
      <c r="AL527" s="534" t="str">
        <f>IF(TRIM($B527)="","",IF(AND($AM527=1,LEFT($AJ527,4)&lt;&gt;"EGI ",$AJ527&lt;&gt;"EGI"),IFERROR(INDEX(Lists!$Z$2:$Z$20,MATCH($AH527,Lists!$Y$2:$Y$20,0)),"EGI "&amp;$AH527),IF(COUNTIF(Lists!$AU$2:$AU$10,$AJ527),$AJ527,IF(OR(LEFT($AH527,3)="COE",$AH527="EGI"),$AJ527,IF($AK527&lt;&gt;"Squad",$AK527,$AJ527)))))</f>
        <v>NZ Finance</v>
      </c>
      <c r="AM527" s="534" t="b">
        <f>IF(TRIM($B527)="","",--(UPPER(TRIM($K527))="EGI"))</f>
        <v>0</v>
      </c>
      <c r="AN527" s="534" t="inlineStr">
        <is>
          <t>Vacant</t>
        </is>
      </c>
      <c r="AO527" s="534" t="inlineStr">
        <is>
          <t>NOTE: This is role is in the Z Loyalty &amp; Martech squad</t>
        </is>
      </c>
      <c r="AQ527" s="841" t="inlineStr">
        <is>
          <t>R0526</t>
        </is>
      </c>
      <c r="AZ527" s="841" t="n"/>
    </row>
    <row r="528" ht="18" customHeight="1" s="535">
      <c r="AZ528" s="841" t="n"/>
    </row>
    <row r="529" ht="18" customHeight="1" s="535">
      <c r="AZ529" s="841" t="n"/>
    </row>
    <row r="530" ht="18" customHeight="1" s="535">
      <c r="AZ530" s="841" t="n"/>
    </row>
    <row r="531" ht="18" customHeight="1" s="535">
      <c r="AZ531" s="841" t="n"/>
    </row>
    <row r="532" ht="18" customHeight="1" s="535"/>
    <row r="533" ht="18" customHeight="1" s="535"/>
    <row r="534" ht="18" customHeight="1" s="535"/>
  </sheetData>
  <autoFilter ref="A1:AQ527">
    <filterColumn colId="5" hiddenButton="0" showButton="1">
      <filters>
        <filter val="Strategy, Architecture &amp; Data"/>
      </filters>
    </filterColumn>
    <filterColumn colId="16" hiddenButton="0" showButton="1">
      <filters>
        <filter val="v"/>
      </filters>
    </filterColumn>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22" activeCellId="0" sqref="L22"/>
    </sheetView>
  </sheetViews>
  <sheetFormatPr baseColWidth="8" defaultColWidth="8.54296875" defaultRowHeight="14.25" zeroHeight="0" outlineLevelRow="0"/>
  <cols>
    <col width="2" customWidth="1" style="871" min="1" max="1"/>
    <col width="60" customWidth="1" style="871" min="2" max="2"/>
    <col width="8.539999999999999" customWidth="1" style="871" min="3" max="16384"/>
  </cols>
  <sheetData>
    <row r="2" ht="21" customHeight="1" s="535">
      <c r="B2" s="872"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AC71"/>
  <sheetViews>
    <sheetView showFormulas="0" showGridLines="0" showRowColHeaders="1" showZeros="1" rightToLeft="0" tabSelected="0" showOutlineSymbols="1" defaultGridColor="1" view="normal" topLeftCell="A8" colorId="64" zoomScale="60" zoomScaleNormal="60" zoomScalePageLayoutView="100" workbookViewId="0">
      <selection pane="topLeft" activeCell="P51" activeCellId="0" sqref="P51"/>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Ampol Retail</t>
        </is>
      </c>
      <c r="F2" s="855" t="n"/>
    </row>
    <row r="3" ht="14.25" customHeight="1" s="535">
      <c r="B3" s="546" t="n"/>
      <c r="C3" s="546" t="n"/>
      <c r="D3" s="546" t="n"/>
      <c r="E3" s="546" t="n"/>
      <c r="F3" s="855" t="n"/>
      <c r="G3" s="546" t="n"/>
      <c r="H3" s="546" t="n"/>
      <c r="I3" s="546" t="n"/>
      <c r="J3" s="546" t="n"/>
      <c r="K3" s="546" t="n"/>
    </row>
    <row r="4" ht="18.75" customHeight="1" s="535">
      <c r="B4" s="874" t="inlineStr">
        <is>
          <t>Portfolio Summary</t>
        </is>
      </c>
      <c r="C4" s="673" t="n"/>
      <c r="D4" s="673" t="n"/>
      <c r="E4" s="674" t="n"/>
      <c r="F4" s="538" t="n"/>
      <c r="G4" s="538" t="n"/>
      <c r="H4" s="874" t="inlineStr">
        <is>
          <t>Budget vs TDD Cost</t>
        </is>
      </c>
      <c r="I4" s="875" t="n"/>
      <c r="J4" s="546"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Config'!$E$11</f>
        <v>5.5</v>
      </c>
      <c r="J5" s="546" t="n"/>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Config'!$D$11)&gt;('0.2 Data Config'!$C$11),0,'0.2 Data Config'!$N$10)</f>
        <v>0.7975</v>
      </c>
      <c r="D6" s="701">
        <f>IF(('0.2 Data Config'!$D$11)&gt;('0.2 Data Config'!$C$11),'0.2 Data Config'!$N$10,0)</f>
        <v>0</v>
      </c>
      <c r="E6" s="701">
        <f>0</f>
        <v>0</v>
      </c>
      <c r="F6" s="701">
        <f>C6+D6+E6</f>
        <v>0.7975</v>
      </c>
      <c r="H6" s="686" t="inlineStr">
        <is>
          <t>AU Budget ($m)</t>
        </is>
      </c>
      <c r="I6" s="880">
        <f>'0.2 Data Config'!$C$11</f>
        <v>5.5</v>
      </c>
      <c r="J6" s="546" t="n"/>
      <c r="K6" s="539" t="inlineStr">
        <is>
          <t>Actual portfolio</t>
        </is>
      </c>
      <c r="L6" s="674" t="n"/>
      <c r="M6" s="881">
        <f>'2.1 Ampol Retail'!$F$27</f>
        <v>69</v>
      </c>
      <c r="N6" s="541">
        <f>'2.1 Ampol Retail'!$O$27</f>
        <v>13.5755242192</v>
      </c>
    </row>
    <row r="7" ht="14.25" customHeight="1" s="535">
      <c r="B7" s="716" t="inlineStr">
        <is>
          <t>Platform Overheads</t>
        </is>
      </c>
      <c r="C7" s="701">
        <f>IF(('0.2 Data Config'!$D$11)&gt;('0.2 Data Config'!$C$11),0,SUM(I29,I36,I49,I55,I61))</f>
        <v>0.66</v>
      </c>
      <c r="D7" s="701">
        <f>IF(('0.2 Data Config'!$D$11)&gt;('0.2 Data Config'!$C$11),SUM(I29,I36,I49,I55,I61),0)</f>
        <v>0</v>
      </c>
      <c r="E7" s="701">
        <f>0</f>
        <v>0</v>
      </c>
      <c r="F7" s="701">
        <f>C7+D7+E7</f>
        <v>0.66</v>
      </c>
      <c r="H7" s="882" t="inlineStr">
        <is>
          <t>NZ Budget ($m)</t>
        </is>
      </c>
      <c r="I7" s="883">
        <f>'0.2 Data Config'!$D$11</f>
        <v>0</v>
      </c>
      <c r="J7" s="546" t="n"/>
      <c r="K7" s="539" t="inlineStr">
        <is>
          <t>Archetype portfolio</t>
        </is>
      </c>
      <c r="L7" s="674" t="n"/>
      <c r="M7" s="881">
        <f>'2.1 Ampol Retail'!$E$27</f>
        <v>51.7</v>
      </c>
      <c r="N7" s="541">
        <f>'2.1 Ampol Retail'!$N$27</f>
        <v>13.9238245812</v>
      </c>
    </row>
    <row r="8" ht="14.25" customHeight="1" s="535">
      <c r="B8" s="716" t="inlineStr">
        <is>
          <t>Squad Support Costs</t>
        </is>
      </c>
      <c r="C8" s="701">
        <f>SUMIF(F25:F28,"AU",I25:I28)+SUMIF(F34:F34,"AU",I34:I34)+SUMIF(F48:F48,"AU",I48:I48)+SUMIF(F54:F54,"AU",I54:I54)+SUMIF(F60:F60,"AU",I60:I60)+SUMIF(F66:F66,"AU",I66:I66)</f>
        <v>4.447</v>
      </c>
      <c r="D8" s="701">
        <f>SUMIF(F25:F28,"NZ",I25:I28)+SUMIF(F34:F34,"NZ",I34:I34)+SUMIF(F48:F48,"NZ",I48:I48)+SUMIF(F54:F54,"NZ",I54:I54)+SUMIF(F60:F60,"NZ",I60:I60)+SUMIF(F66:F66,"NZ",I66:I66)</f>
        <v>0</v>
      </c>
      <c r="E8" s="701">
        <f>SUM(J25,J26,J27,J28,J34,J35,J48,J54,J60,J66)</f>
        <v>8.0193245812</v>
      </c>
      <c r="F8" s="701">
        <f>C8+D8+E8</f>
        <v>12.4663245812</v>
      </c>
      <c r="H8" s="884" t="inlineStr">
        <is>
          <t>AU over/(under) budget ($m)</t>
        </is>
      </c>
      <c r="I8" s="885">
        <f>C9-I6</f>
        <v>0.404500000000001</v>
      </c>
      <c r="J8" s="546" t="n"/>
      <c r="K8" s="886" t="inlineStr">
        <is>
          <t>Variance</t>
        </is>
      </c>
      <c r="L8" s="887" t="n"/>
      <c r="M8" s="888">
        <f>IF(AND(ISNUMBER($M$7),ISNUMBER($M$6)),ROUND($M$6-$M$7,6),"")</f>
        <v>17.3</v>
      </c>
      <c r="N8" s="889">
        <f>IF(AND(ISNUMBER($N$7),ISNUMBER($N$6)),ROUND($N$6-$N$7,6),"")</f>
        <v>-0.3483</v>
      </c>
    </row>
    <row r="9" ht="14.25" customHeight="1" s="535">
      <c r="B9" s="890" t="inlineStr">
        <is>
          <t>Total Cost</t>
        </is>
      </c>
      <c r="C9" s="891">
        <f>SUM(C6:C8)</f>
        <v>5.9045</v>
      </c>
      <c r="D9" s="891">
        <f>SUM(D6:D8)</f>
        <v>0</v>
      </c>
      <c r="E9" s="891">
        <f>SUM(E6:E8)</f>
        <v>8.0193245812</v>
      </c>
      <c r="F9" s="891">
        <f>SUM(F6:F8)</f>
        <v>13.9238245812</v>
      </c>
      <c r="G9" s="892">
        <f>$N$6</f>
        <v>13.5755242192</v>
      </c>
      <c r="H9" s="893" t="inlineStr">
        <is>
          <t>NZ over/(under) budget ($m)</t>
        </is>
      </c>
      <c r="I9" s="894">
        <f>D9-I7</f>
        <v>0</v>
      </c>
      <c r="J9" s="546" t="n"/>
    </row>
    <row r="10" ht="33.75" customHeight="1" s="535">
      <c r="E10" s="895" t="inlineStr">
        <is>
          <t>Variance to actuals</t>
        </is>
      </c>
      <c r="F10" s="896">
        <f>$G$9-$F$9</f>
        <v>-0.348300361999998</v>
      </c>
      <c r="H10" s="897" t="inlineStr">
        <is>
          <t>TDD over/(under) budget ($m)</t>
        </is>
      </c>
      <c r="I10" s="898">
        <f>I8+I9</f>
        <v>0.404500000000001</v>
      </c>
      <c r="J10" s="546" t="n"/>
    </row>
    <row r="11" ht="14.25" customHeight="1" s="535">
      <c r="B11" s="899" t="inlineStr">
        <is>
          <t>Total to fund</t>
        </is>
      </c>
      <c r="C11" s="900" t="n"/>
      <c r="H11" s="546" t="n"/>
      <c r="I11" s="546" t="n"/>
      <c r="J11" s="546" t="n"/>
    </row>
    <row r="12" ht="18.75" customHeight="1" s="535">
      <c r="B12" s="901" t="inlineStr">
        <is>
          <t>TDD Variance</t>
        </is>
      </c>
      <c r="C12" s="902">
        <f>I8+I9</f>
        <v>0.404500000000001</v>
      </c>
      <c r="D12" s="546" t="n"/>
      <c r="E12" s="546" t="n"/>
      <c r="F12" s="855" t="n"/>
      <c r="G12" s="546" t="n"/>
      <c r="H12" s="874" t="inlineStr">
        <is>
          <t>Other funding</t>
        </is>
      </c>
      <c r="I12" s="903" t="n"/>
      <c r="J12" s="903" t="n"/>
      <c r="K12" s="904" t="n"/>
    </row>
    <row r="13" ht="33.75" customHeight="1" s="535">
      <c r="B13" s="901" t="inlineStr">
        <is>
          <t>Other Variance</t>
        </is>
      </c>
      <c r="C13" s="902">
        <f>J21</f>
        <v>0.173</v>
      </c>
      <c r="F13" s="855" t="n"/>
      <c r="G13" s="546" t="n"/>
      <c r="H13" s="905" t="inlineStr">
        <is>
          <t>Budget line</t>
        </is>
      </c>
      <c r="I13" s="905" t="inlineStr">
        <is>
          <t>Budget ($m)</t>
        </is>
      </c>
      <c r="J13" s="678" t="inlineStr">
        <is>
          <t>Amount that can be allocated to people</t>
        </is>
      </c>
      <c r="K13" s="678" t="inlineStr">
        <is>
          <t>Remaining for non-people ($m)</t>
        </is>
      </c>
    </row>
    <row r="14" ht="14.25" customHeight="1" s="535">
      <c r="B14" s="906" t="inlineStr">
        <is>
          <t>Total</t>
        </is>
      </c>
      <c r="C14" s="907">
        <f>C12+C13</f>
        <v>0.577500000000001</v>
      </c>
      <c r="F14" s="855" t="n"/>
      <c r="G14" s="546" t="n"/>
      <c r="H14" s="716" t="inlineStr">
        <is>
          <t>Retail Lights On</t>
        </is>
      </c>
      <c r="I14" s="879">
        <f>'0.1 Budget Table (Fin)'!L9</f>
        <v>13.9</v>
      </c>
      <c r="J14" s="908">
        <f>N('0.1 Budget Table (Fin)'!G9)</f>
        <v>0</v>
      </c>
      <c r="K14" s="725">
        <f>IFERROR(I14-J14,0)</f>
        <v>13.9</v>
      </c>
    </row>
    <row r="15" ht="14.25" customHeight="1" s="535">
      <c r="B15" s="546" t="n"/>
      <c r="C15" s="546" t="n"/>
      <c r="D15" s="546" t="n"/>
      <c r="E15" s="546" t="n"/>
      <c r="F15" s="855" t="n"/>
      <c r="G15" s="546" t="n"/>
      <c r="H15" s="716" t="inlineStr">
        <is>
          <t>OpEx Initiatives</t>
        </is>
      </c>
      <c r="I15" s="879">
        <f>'0.1 Budget Table (Fin)'!N9</f>
        <v>1.3</v>
      </c>
      <c r="J15" s="909" t="n">
        <v>0</v>
      </c>
      <c r="K15" s="725">
        <f>IFERROR(I15-J15,0)</f>
        <v>1.3</v>
      </c>
    </row>
    <row r="16" ht="14.25" customHeight="1" s="535">
      <c r="D16" s="546" t="n"/>
      <c r="E16" s="546" t="n"/>
      <c r="F16" s="855" t="n"/>
      <c r="G16" s="546" t="n"/>
      <c r="H16" s="716" t="inlineStr">
        <is>
          <t>Retail CapEx</t>
        </is>
      </c>
      <c r="I16" s="879">
        <f>'0.1 Budget Table (Fin)'!P9</f>
        <v>11.8</v>
      </c>
      <c r="J16" s="909" t="n">
        <v>5.26</v>
      </c>
      <c r="K16" s="725">
        <f>IFERROR(I16-J16,0)</f>
        <v>6.54</v>
      </c>
    </row>
    <row r="17" ht="14.25" customHeight="1" s="535">
      <c r="D17" s="546" t="n"/>
      <c r="E17" s="546" t="n"/>
      <c r="F17" s="855" t="n"/>
      <c r="G17" s="546" t="n"/>
      <c r="H17" s="716" t="inlineStr">
        <is>
          <t>Significant Items</t>
        </is>
      </c>
      <c r="I17" s="879">
        <f>'0.1 Budget Table (Fin)'!O9</f>
        <v>6.8</v>
      </c>
      <c r="J17" s="879">
        <f>J48</f>
        <v>1.404089</v>
      </c>
      <c r="K17" s="725">
        <f>IFERROR(I17-J17,0)</f>
        <v>5.395911</v>
      </c>
    </row>
    <row r="18" ht="14.25" customHeight="1" s="535">
      <c r="D18" s="546" t="n"/>
      <c r="E18" s="910" t="n"/>
      <c r="F18" s="855" t="n"/>
      <c r="G18" s="546" t="n"/>
      <c r="H18" s="716" t="inlineStr">
        <is>
          <t>Significant Items EGI</t>
        </is>
      </c>
      <c r="I18" s="879" t="n"/>
      <c r="J18" s="879">
        <f>J66</f>
        <v>1.1822355812</v>
      </c>
      <c r="K18" s="725" t="n"/>
    </row>
    <row r="19" ht="14.25" customHeight="1" s="535">
      <c r="D19" s="546" t="n"/>
      <c r="E19" s="546" t="n"/>
      <c r="F19" s="855" t="n"/>
      <c r="G19" s="546" t="n"/>
      <c r="H19" s="716" t="inlineStr">
        <is>
          <t>Total applied</t>
        </is>
      </c>
      <c r="I19" s="879" t="n"/>
      <c r="J19" s="879">
        <f>SUM(J14:J18)</f>
        <v>7.8463245812</v>
      </c>
      <c r="K19" s="725" t="n"/>
    </row>
    <row r="20" ht="14.25" customHeight="1" s="535">
      <c r="B20" s="911" t="inlineStr">
        <is>
          <t xml:space="preserve">Total Retail budget </t>
        </is>
      </c>
      <c r="C20" s="912" t="n"/>
      <c r="D20" s="913" t="n"/>
      <c r="E20" s="914">
        <f>SUM(I14:I18)</f>
        <v>33.8</v>
      </c>
      <c r="F20" s="855" t="n"/>
      <c r="G20" s="546" t="n"/>
      <c r="H20" s="716" t="inlineStr">
        <is>
          <t>Other cost (this model)</t>
        </is>
      </c>
      <c r="I20" s="879" t="n"/>
      <c r="J20" s="879">
        <f>E9</f>
        <v>8.0193245812</v>
      </c>
      <c r="K20" s="725" t="n"/>
    </row>
    <row r="21" ht="14.25" customHeight="1" s="535">
      <c r="A21" s="546" t="n"/>
      <c r="B21" s="911" t="inlineStr">
        <is>
          <t xml:space="preserve">Reconciled to Finance </t>
        </is>
      </c>
      <c r="C21" s="912" t="n"/>
      <c r="D21" s="913" t="n"/>
      <c r="E21" s="914">
        <f>'0.1 Budget Table (Fin)'!Q9</f>
        <v>33.8</v>
      </c>
      <c r="F21" s="855" t="n"/>
      <c r="G21" s="546" t="n"/>
      <c r="H21" s="716" t="inlineStr">
        <is>
          <t>Left to fund</t>
        </is>
      </c>
      <c r="I21" s="879" t="n"/>
      <c r="J21" s="907">
        <f>E9-(J19-J14)</f>
        <v>0.173</v>
      </c>
      <c r="K21" s="725" t="n"/>
    </row>
    <row r="22" ht="14.25" customHeight="1" s="535">
      <c r="B22" s="546" t="n"/>
      <c r="C22" s="546" t="n"/>
      <c r="D22" s="546" t="n"/>
      <c r="E22" s="546" t="n"/>
      <c r="F22" s="855" t="n"/>
      <c r="G22" s="546" t="n"/>
      <c r="H22" s="546" t="n"/>
      <c r="I22" s="546" t="n"/>
      <c r="J22" s="546" t="n"/>
      <c r="K22" s="546" t="n"/>
    </row>
    <row r="23" ht="18.75" customHeight="1" s="535">
      <c r="B23" s="874" t="inlineStr">
        <is>
          <t>Platform: Store Operations</t>
        </is>
      </c>
      <c r="C23" s="673" t="n"/>
      <c r="D23" s="673" t="n"/>
      <c r="E23" s="673" t="n"/>
      <c r="F23" s="673" t="n"/>
      <c r="G23" s="673" t="n"/>
      <c r="H23" s="673" t="n"/>
      <c r="I23" s="673" t="n"/>
      <c r="J23" s="674" t="n"/>
      <c r="K23" s="538" t="n"/>
      <c r="L23" s="538" t="n"/>
    </row>
    <row r="24" ht="33.75" customHeight="1" s="535">
      <c r="B24" s="876" t="inlineStr">
        <is>
          <t>Squad</t>
        </is>
      </c>
      <c r="C24" s="905" t="inlineStr">
        <is>
          <t>Squad Type</t>
        </is>
      </c>
      <c r="D24" s="905" t="inlineStr">
        <is>
          <t>Size</t>
        </is>
      </c>
      <c r="E24" s="905" t="inlineStr">
        <is>
          <t>On/Off</t>
        </is>
      </c>
      <c r="F24" s="915" t="inlineStr">
        <is>
          <t>AU / NZ</t>
        </is>
      </c>
      <c r="G24" s="905" t="inlineStr">
        <is>
          <t>Support %</t>
        </is>
      </c>
      <c r="H24" s="916" t="inlineStr">
        <is>
          <t>Total Squad Cost ($m)</t>
        </is>
      </c>
      <c r="I24" s="678" t="inlineStr">
        <is>
          <t>TDD Cost ($m)</t>
        </is>
      </c>
      <c r="J24" s="905" t="inlineStr">
        <is>
          <t>Funded outside TDD ($m)</t>
        </is>
      </c>
      <c r="K24" s="877" t="inlineStr">
        <is>
          <t>Actual cost after levers ($m)</t>
        </is>
      </c>
      <c r="L24" s="877" t="inlineStr">
        <is>
          <t>Variance to archetype ($m)</t>
        </is>
      </c>
      <c r="AA24" s="916" t="inlineStr">
        <is>
          <t>Onshore rate ($m)</t>
        </is>
      </c>
      <c r="AB24" s="916" t="inlineStr">
        <is>
          <t>Offshore rate ($m)</t>
        </is>
      </c>
      <c r="AC24" s="916" t="inlineStr">
        <is>
          <t>Archetype roles</t>
        </is>
      </c>
    </row>
    <row r="25" ht="14.25" customHeight="1" s="535">
      <c r="B25" s="716" t="inlineStr">
        <is>
          <t>POS</t>
        </is>
      </c>
      <c r="C25" s="917" t="inlineStr">
        <is>
          <t>Configuration / Integration</t>
        </is>
      </c>
      <c r="D25" s="917" t="inlineStr">
        <is>
          <t>M</t>
        </is>
      </c>
      <c r="E25" s="917" t="inlineStr">
        <is>
          <t>Onshore</t>
        </is>
      </c>
      <c r="F25" s="918" t="inlineStr">
        <is>
          <t>AU</t>
        </is>
      </c>
      <c r="G25" s="919" t="n">
        <v>0.65</v>
      </c>
      <c r="H25" s="920">
        <f>IFERROR(IF($E25="Onshore",$AA25*1,IF($E25="Hybrid",$AA25*MIN('0.3 Squad Archetypes'!$K$8,$AC25)/$AC25+$AB25*($AC25-MIN('0.3 Squad Archetypes'!$K$8,$AC25))/$AC25,$AB25*1)),"check size")</f>
        <v>2.1</v>
      </c>
      <c r="I25" s="725">
        <f>IFERROR($H25*$G25,"")</f>
        <v>1.365</v>
      </c>
      <c r="J25" s="725">
        <f>IFERROR($H25*(1-$G25),"")</f>
        <v>0.735</v>
      </c>
      <c r="K25" s="541">
        <f>IFERROR(INDEX('2.1 Ampol Retail'!$S$8:$S$27,MATCH($B25,'2.1 Ampol Retail'!$B$8:$B$27,0)),"")</f>
        <v>0.989198535</v>
      </c>
      <c r="L25" s="541">
        <f>IF(AND(ISNUMBER($H25),ISNUMBER($K25)),ROUND($K25-$H25,6),"")</f>
        <v>-1.110801</v>
      </c>
      <c r="AA25" s="920">
        <f>IFERROR(INDEX('0.3 Squad Archetypes'!$G$5:$G$23,MATCH($C25&amp;"|"&amp;$D25,'0.3 Squad Archetypes'!$A$5:$A$23,0)),"")</f>
        <v>2.1</v>
      </c>
      <c r="AB25" s="920">
        <f>IFERROR(INDEX('0.3 Squad Archetypes'!$H$5:$H$23,MATCH($C25&amp;"|"&amp;$D25,'0.3 Squad Archetypes'!$A$5:$A$23,0)),"")</f>
        <v>0.84</v>
      </c>
      <c r="AC25" s="920">
        <f>IFERROR(INDEX('0.3 Squad Archetypes'!$F$5:$F$23,MATCH($C25&amp;"|"&amp;$D25,'0.3 Squad Archetypes'!$A$5:$A$23,0)),"")</f>
        <v>9</v>
      </c>
    </row>
    <row r="26" ht="14.25" customHeight="1" s="535">
      <c r="B26" s="716" t="inlineStr">
        <is>
          <t>Payments</t>
        </is>
      </c>
      <c r="C26" s="917" t="inlineStr">
        <is>
          <t>Configuration / Integration</t>
        </is>
      </c>
      <c r="D26" s="917" t="inlineStr">
        <is>
          <t>S</t>
        </is>
      </c>
      <c r="E26" s="917" t="inlineStr">
        <is>
          <t>Onshore</t>
        </is>
      </c>
      <c r="F26" s="918" t="inlineStr">
        <is>
          <t>AU</t>
        </is>
      </c>
      <c r="G26" s="919" t="n">
        <v>0.15</v>
      </c>
      <c r="H26" s="920">
        <f>IFERROR(IF($E26="Onshore",$AA26*1,IF($E26="Hybrid",$AA26*MIN('0.3 Squad Archetypes'!$K$8,$AC26)/$AC26+$AB26*($AC26-MIN('0.3 Squad Archetypes'!$K$8,$AC26))/$AC26,$AB26*1)),"check size")</f>
        <v>1.4</v>
      </c>
      <c r="I26" s="725">
        <f>IFERROR($H26*$G26,"")</f>
        <v>0.21</v>
      </c>
      <c r="J26" s="725">
        <f>IFERROR($H26*(1-$G26),"")</f>
        <v>1.19</v>
      </c>
      <c r="K26" s="541">
        <f>IFERROR(INDEX('2.1 Ampol Retail'!$S$8:$S$27,MATCH($B26,'2.1 Ampol Retail'!$B$8:$B$27,0)),"")</f>
        <v>0.789428585</v>
      </c>
      <c r="L26" s="541">
        <f>IF(AND(ISNUMBER($H26),ISNUMBER($K26)),ROUND($K26-$H26,6),"")</f>
        <v>-0.610571</v>
      </c>
      <c r="AA26" s="920">
        <f>IFERROR(INDEX('0.3 Squad Archetypes'!$G$5:$G$23,MATCH($C26&amp;"|"&amp;$D26,'0.3 Squad Archetypes'!$A$5:$A$23,0)),"")</f>
        <v>1.4</v>
      </c>
      <c r="AB26" s="920">
        <f>IFERROR(INDEX('0.3 Squad Archetypes'!$H$5:$H$23,MATCH($C26&amp;"|"&amp;$D26,'0.3 Squad Archetypes'!$A$5:$A$23,0)),"")</f>
        <v>0.56</v>
      </c>
      <c r="AC26" s="920">
        <f>IFERROR(INDEX('0.3 Squad Archetypes'!$F$5:$F$23,MATCH($C26&amp;"|"&amp;$D26,'0.3 Squad Archetypes'!$A$5:$A$23,0)),"")</f>
        <v>6</v>
      </c>
    </row>
    <row r="27" ht="14.25" customHeight="1" s="535">
      <c r="B27" s="716" t="inlineStr">
        <is>
          <t>Store Operations</t>
        </is>
      </c>
      <c r="C27" s="917" t="inlineStr">
        <is>
          <t>Operations</t>
        </is>
      </c>
      <c r="D27" s="917" t="inlineStr">
        <is>
          <t>M</t>
        </is>
      </c>
      <c r="E27" s="917" t="inlineStr">
        <is>
          <t>Onshore</t>
        </is>
      </c>
      <c r="F27" s="918" t="inlineStr">
        <is>
          <t>AU</t>
        </is>
      </c>
      <c r="G27" s="919" t="n">
        <v>1</v>
      </c>
      <c r="H27" s="920">
        <f>IFERROR(IF($E27="Onshore",$AA27*1,IF($E27="Hybrid",$AA27*MIN('0.3 Squad Archetypes'!$K$8,$AC27)/$AC27+$AB27*($AC27-MIN('0.3 Squad Archetypes'!$K$8,$AC27))/$AC27,$AB27*1)),"check size")</f>
        <v>1.4</v>
      </c>
      <c r="I27" s="725">
        <f>IFERROR($H27*$G27,"")</f>
        <v>1.4</v>
      </c>
      <c r="J27" s="725">
        <f>IFERROR($H27*(1-$G27),"")</f>
        <v>0</v>
      </c>
      <c r="K27" s="541">
        <f>IFERROR(INDEX('2.1 Ampol Retail'!$S$8:$S$27,MATCH($B27,'2.1 Ampol Retail'!$B$8:$B$27,0)),"")</f>
        <v>1.429759453</v>
      </c>
      <c r="L27" s="541">
        <f>IF(AND(ISNUMBER($H27),ISNUMBER($K27)),ROUND($K27-$H27,6),"")</f>
        <v>0.029759</v>
      </c>
      <c r="AA27" s="920">
        <f>IFERROR(INDEX('0.3 Squad Archetypes'!$G$5:$G$23,MATCH($C27&amp;"|"&amp;$D27,'0.3 Squad Archetypes'!$A$5:$A$23,0)),"")</f>
        <v>1.4</v>
      </c>
      <c r="AB27" s="920">
        <f>IFERROR(INDEX('0.3 Squad Archetypes'!$H$5:$H$23,MATCH($C27&amp;"|"&amp;$D27,'0.3 Squad Archetypes'!$A$5:$A$23,0)),"")</f>
        <v>0.56</v>
      </c>
      <c r="AC27" s="920">
        <f>IFERROR(INDEX('0.3 Squad Archetypes'!$F$5:$F$23,MATCH($C27&amp;"|"&amp;$D27,'0.3 Squad Archetypes'!$A$5:$A$23,0)),"")</f>
        <v>6</v>
      </c>
    </row>
    <row r="28" ht="14.25" customHeight="1" s="535">
      <c r="B28" s="716" t="inlineStr">
        <is>
          <t>Deployment</t>
        </is>
      </c>
      <c r="C28" s="917" t="inlineStr">
        <is>
          <t>Operations</t>
        </is>
      </c>
      <c r="D28" s="917" t="inlineStr">
        <is>
          <t>S</t>
        </is>
      </c>
      <c r="E28" s="917" t="inlineStr">
        <is>
          <t>Onshore</t>
        </is>
      </c>
      <c r="F28" s="918" t="inlineStr">
        <is>
          <t>AU</t>
        </is>
      </c>
      <c r="G28" s="919" t="n">
        <v>0.2</v>
      </c>
      <c r="H28" s="920">
        <f>IFERROR(IF($E28="Onshore",$AA28*1,IF($E28="Hybrid",$AA28*MIN('0.3 Squad Archetypes'!$K$8,$AC28)/$AC28+$AB28*($AC28-MIN('0.3 Squad Archetypes'!$K$8,$AC28))/$AC28,$AB28*1)),"check size")</f>
        <v>0.8</v>
      </c>
      <c r="I28" s="725">
        <f>IFERROR($H28*$G28,"")</f>
        <v>0.16</v>
      </c>
      <c r="J28" s="725">
        <f>IFERROR($H28*(1-$G28),"")</f>
        <v>0.64</v>
      </c>
      <c r="K28" s="541">
        <f>IFERROR(INDEX('2.1 Ampol Retail'!$S$8:$S$27,MATCH($B28,'2.1 Ampol Retail'!$B$8:$B$27,0)),"")</f>
        <v>0.893835732</v>
      </c>
      <c r="L28" s="541">
        <f>IF(AND(ISNUMBER($H28),ISNUMBER($K28)),ROUND($K28-$H28,6),"")</f>
        <v>0.093836</v>
      </c>
      <c r="AA28" s="920">
        <f>IFERROR(INDEX('0.3 Squad Archetypes'!$G$5:$G$23,MATCH($C28&amp;"|"&amp;$D28,'0.3 Squad Archetypes'!$A$5:$A$23,0)),"")</f>
        <v>0.8</v>
      </c>
      <c r="AB28" s="920">
        <f>IFERROR(INDEX('0.3 Squad Archetypes'!$H$5:$H$23,MATCH($C28&amp;"|"&amp;$D28,'0.3 Squad Archetypes'!$A$5:$A$23,0)),"")</f>
        <v>0.32</v>
      </c>
      <c r="AC28" s="920">
        <f>IFERROR(INDEX('0.3 Squad Archetypes'!$F$5:$F$23,MATCH($C28&amp;"|"&amp;$D28,'0.3 Squad Archetypes'!$A$5:$A$23,0)),"")</f>
        <v>4</v>
      </c>
    </row>
    <row r="29" ht="14.25" customHeight="1" s="535">
      <c r="B29" s="716" t="inlineStr">
        <is>
          <t>Platform Overhead</t>
        </is>
      </c>
      <c r="C29" s="921" t="n"/>
      <c r="D29" s="921" t="n"/>
      <c r="E29" s="921" t="n"/>
      <c r="F29" s="855" t="n"/>
      <c r="G29" s="921" t="n"/>
      <c r="H29" s="921" t="n"/>
      <c r="I29" s="879">
        <f>'0.2 Data Config'!$N$16</f>
        <v>0.165</v>
      </c>
      <c r="J29" s="921" t="n"/>
      <c r="K29" s="546" t="n"/>
    </row>
    <row r="30" ht="14.25" customHeight="1" s="535">
      <c r="B30" s="890" t="inlineStr">
        <is>
          <t>Store Operations Total</t>
        </is>
      </c>
      <c r="C30" s="922" t="n"/>
      <c r="D30" s="923" t="n"/>
      <c r="E30" s="923" t="n"/>
      <c r="F30" s="924" t="n"/>
      <c r="G30" s="923" t="n"/>
      <c r="H30" s="925">
        <f>SUM(H25:H28)</f>
        <v>5.7</v>
      </c>
      <c r="I30" s="925">
        <f>SUM(I25:I29)</f>
        <v>3.3</v>
      </c>
      <c r="J30" s="925">
        <f>SUM(J25:J28)</f>
        <v>2.565</v>
      </c>
      <c r="K30" s="926">
        <f>SUM($K25,$K26,$K27,$K28)</f>
        <v>4.102222305</v>
      </c>
      <c r="L30" s="926">
        <f>IF(COUNT($H25,$H26,$H27,$H28)=4,IF(AND(ISNUMBER($H30),ISNUMBER($K30)),ROUND($K30-$H30,6),""),"")</f>
        <v>-1.597778</v>
      </c>
    </row>
    <row r="31" ht="14.25" customHeight="1" s="535">
      <c r="B31" s="546" t="n"/>
      <c r="C31" s="546" t="n"/>
      <c r="D31" s="546" t="n"/>
      <c r="E31" s="546" t="n"/>
      <c r="F31" s="855" t="n"/>
      <c r="G31" s="546" t="n"/>
      <c r="H31" s="546" t="n"/>
      <c r="I31" s="546" t="n"/>
      <c r="J31" s="546" t="n"/>
      <c r="K31" s="546" t="n"/>
    </row>
    <row r="32" ht="18.75" customHeight="1" s="535">
      <c r="B32" s="874" t="inlineStr">
        <is>
          <t>Platform: Above Store</t>
        </is>
      </c>
      <c r="C32" s="673" t="n"/>
      <c r="D32" s="673" t="n"/>
      <c r="E32" s="673" t="n"/>
      <c r="F32" s="673" t="n"/>
      <c r="G32" s="673" t="n"/>
      <c r="H32" s="673" t="n"/>
      <c r="I32" s="673" t="n"/>
      <c r="J32" s="674" t="n"/>
      <c r="K32" s="538" t="n"/>
      <c r="L32" s="538" t="n"/>
    </row>
    <row r="33" ht="33.75" customHeight="1" s="535">
      <c r="B33" s="876" t="inlineStr">
        <is>
          <t>Squad</t>
        </is>
      </c>
      <c r="C33" s="905" t="inlineStr">
        <is>
          <t>Squad Type</t>
        </is>
      </c>
      <c r="D33" s="905" t="inlineStr">
        <is>
          <t>Size</t>
        </is>
      </c>
      <c r="E33" s="905" t="inlineStr">
        <is>
          <t>On/Off</t>
        </is>
      </c>
      <c r="F33" s="915" t="inlineStr">
        <is>
          <t>AU / NZ</t>
        </is>
      </c>
      <c r="G33" s="905" t="inlineStr">
        <is>
          <t>Support %</t>
        </is>
      </c>
      <c r="H33" s="916" t="inlineStr">
        <is>
          <t>Total Squad Cost ($m)</t>
        </is>
      </c>
      <c r="I33" s="678" t="inlineStr">
        <is>
          <t>TDD Cost ($m)</t>
        </is>
      </c>
      <c r="J33" s="905" t="inlineStr">
        <is>
          <t>Funded outside TDD ($m)</t>
        </is>
      </c>
      <c r="K33" s="877" t="inlineStr">
        <is>
          <t>Actual cost after levers ($m)</t>
        </is>
      </c>
      <c r="L33" s="877" t="inlineStr">
        <is>
          <t>Variance to archetype ($m)</t>
        </is>
      </c>
      <c r="AA33" s="916" t="inlineStr">
        <is>
          <t>Onshore rate ($m)</t>
        </is>
      </c>
      <c r="AB33" s="916" t="inlineStr">
        <is>
          <t>Offshore rate ($m)</t>
        </is>
      </c>
      <c r="AC33" s="916" t="inlineStr">
        <is>
          <t>Archetype roles</t>
        </is>
      </c>
    </row>
    <row r="34" ht="14.25" customHeight="1" s="535">
      <c r="B34" s="716" t="inlineStr">
        <is>
          <t>Above Store</t>
        </is>
      </c>
      <c r="C34" s="917" t="inlineStr">
        <is>
          <t>Configuration / Integration</t>
        </is>
      </c>
      <c r="D34" s="917" t="inlineStr">
        <is>
          <t>M</t>
        </is>
      </c>
      <c r="E34" s="917" t="inlineStr">
        <is>
          <t>Onshore</t>
        </is>
      </c>
      <c r="F34" s="918" t="inlineStr">
        <is>
          <t>AU</t>
        </is>
      </c>
      <c r="G34" s="919" t="n">
        <v>0.2</v>
      </c>
      <c r="H34" s="920">
        <f>IFERROR(IF($E34="Onshore",$AA34*1,IF($E34="Hybrid",$AA34*MIN('0.3 Squad Archetypes'!$K$8,$AC34)/$AC34+$AB34*($AC34-MIN('0.3 Squad Archetypes'!$K$8,$AC34))/$AC34,$AB34*1)),"check size")</f>
        <v>2.1</v>
      </c>
      <c r="I34" s="725">
        <f>IFERROR($H34*$G34,"")</f>
        <v>0.42</v>
      </c>
      <c r="J34" s="725">
        <f>IFERROR($H34*(1-$G34),"")</f>
        <v>1.68</v>
      </c>
      <c r="K34" s="541">
        <f>IFERROR(INDEX('2.1 Ampol Retail'!$S$8:$S$27,MATCH($B34,'2.1 Ampol Retail'!$B$8:$B$27,0)),"")</f>
        <v>1.690473806</v>
      </c>
      <c r="L34" s="541">
        <f>IF(AND(ISNUMBER($H34),ISNUMBER($K34)),ROUND($K34-$H34,6),"")</f>
        <v>-0.409526</v>
      </c>
      <c r="AA34" s="920">
        <f>IFERROR(INDEX('0.3 Squad Archetypes'!$G$5:$G$23,MATCH($C34&amp;"|"&amp;$D34,'0.3 Squad Archetypes'!$A$5:$A$23,0)),"")</f>
        <v>2.1</v>
      </c>
      <c r="AB34" s="920">
        <f>IFERROR(INDEX('0.3 Squad Archetypes'!$H$5:$H$23,MATCH($C34&amp;"|"&amp;$D34,'0.3 Squad Archetypes'!$A$5:$A$23,0)),"")</f>
        <v>0.84</v>
      </c>
      <c r="AC34" s="920">
        <f>IFERROR(INDEX('0.3 Squad Archetypes'!$F$5:$F$23,MATCH($C34&amp;"|"&amp;$D34,'0.3 Squad Archetypes'!$A$5:$A$23,0)),"")</f>
        <v>9</v>
      </c>
    </row>
    <row r="35" ht="14.25" customHeight="1" s="535">
      <c r="B35" s="716" t="n"/>
      <c r="C35" s="716" t="n"/>
      <c r="D35" s="716" t="n"/>
      <c r="E35" s="716" t="n"/>
      <c r="F35" s="855" t="n"/>
      <c r="G35" s="927" t="n"/>
      <c r="H35" s="879" t="n"/>
      <c r="I35" s="725" t="n"/>
      <c r="J35" s="725" t="n"/>
      <c r="K35" s="546" t="n"/>
    </row>
    <row r="36" ht="14.25" customHeight="1" s="535">
      <c r="B36" s="716" t="inlineStr">
        <is>
          <t>Platform Overhead</t>
        </is>
      </c>
      <c r="C36" s="921" t="n"/>
      <c r="D36" s="921" t="n"/>
      <c r="E36" s="921" t="n"/>
      <c r="F36" s="855" t="n"/>
      <c r="G36" s="921" t="n"/>
      <c r="H36" s="921" t="n"/>
      <c r="I36" s="879">
        <f>'0.2 Data Config'!$N$16</f>
        <v>0.165</v>
      </c>
      <c r="J36" s="921" t="n"/>
      <c r="K36" s="546" t="n"/>
    </row>
    <row r="37" ht="14.25" customHeight="1" s="535">
      <c r="B37" s="890" t="inlineStr">
        <is>
          <t>Above Store Total</t>
        </is>
      </c>
      <c r="C37" s="923" t="n"/>
      <c r="D37" s="923" t="n"/>
      <c r="E37" s="923" t="n"/>
      <c r="F37" s="924" t="n"/>
      <c r="G37" s="923" t="n"/>
      <c r="H37" s="925">
        <f>SUM(H34:H35)</f>
        <v>2.1</v>
      </c>
      <c r="I37" s="925">
        <f>SUM(I34:I36)</f>
        <v>0.585</v>
      </c>
      <c r="J37" s="925">
        <f>SUM(J34:J35)</f>
        <v>1.68</v>
      </c>
      <c r="K37" s="926">
        <f>SUM($K34)</f>
        <v>1.690473806</v>
      </c>
      <c r="L37" s="926">
        <f>IF(COUNT($H34)=1,IF(AND(ISNUMBER($H37),ISNUMBER($K37)),ROUND($K37-$H37,6),""),"")</f>
        <v>-0.409526</v>
      </c>
    </row>
    <row r="38" ht="14.25" customHeight="1" s="535">
      <c r="B38" s="546" t="n"/>
      <c r="C38" s="546" t="n"/>
      <c r="D38" s="546" t="n"/>
      <c r="E38" s="546" t="n"/>
      <c r="F38" s="855" t="n"/>
      <c r="G38" s="546" t="n"/>
      <c r="H38" s="546" t="n"/>
      <c r="I38" s="546" t="n"/>
      <c r="J38" s="546" t="n"/>
      <c r="K38" s="546" t="n"/>
    </row>
    <row r="39" ht="14.25" customHeight="1" s="535">
      <c r="B39" s="928" t="inlineStr">
        <is>
          <t>Platform: Pricing &amp; WFM - combined into Above Store, no squad of its own</t>
        </is>
      </c>
      <c r="C39" s="868" t="n"/>
      <c r="D39" s="868" t="n"/>
      <c r="E39" s="868" t="n"/>
      <c r="F39" s="868" t="n"/>
      <c r="G39" s="868" t="n"/>
      <c r="H39" s="868" t="n"/>
      <c r="I39" s="868" t="n"/>
      <c r="J39" s="868" t="n"/>
      <c r="K39" s="868" t="n"/>
      <c r="L39" s="868" t="n"/>
    </row>
    <row r="40" ht="14.25" customHeight="1" s="535">
      <c r="B40" s="929" t="n"/>
      <c r="C40" s="930" t="n"/>
      <c r="D40" s="930" t="n"/>
      <c r="E40" s="930" t="n"/>
      <c r="F40" s="930" t="n"/>
      <c r="G40" s="930" t="n"/>
      <c r="H40" s="930" t="n"/>
      <c r="I40" s="930" t="n"/>
      <c r="J40" s="930" t="n"/>
      <c r="K40" s="868" t="n"/>
      <c r="L40" s="868" t="n"/>
    </row>
    <row r="41" ht="14.25" customHeight="1" s="535">
      <c r="B41" s="868" t="n"/>
      <c r="C41" s="868" t="n"/>
      <c r="D41" s="868" t="n"/>
      <c r="E41" s="868" t="n"/>
      <c r="F41" s="868" t="n"/>
      <c r="G41" s="931" t="n"/>
      <c r="H41" s="932" t="n"/>
      <c r="I41" s="932" t="n"/>
      <c r="J41" s="932" t="n"/>
      <c r="K41" s="868" t="n"/>
      <c r="L41" s="868" t="n"/>
    </row>
    <row r="42" ht="14.25" customHeight="1" s="535">
      <c r="B42" s="868" t="n"/>
      <c r="C42" s="868" t="n"/>
      <c r="D42" s="868" t="n"/>
      <c r="E42" s="868" t="n"/>
      <c r="F42" s="868" t="n"/>
      <c r="G42" s="931" t="n"/>
      <c r="H42" s="932" t="n"/>
      <c r="I42" s="932" t="n"/>
      <c r="J42" s="932" t="n"/>
      <c r="K42" s="868" t="n"/>
      <c r="L42" s="868" t="n"/>
    </row>
    <row r="43" ht="14.25" customHeight="1" s="535">
      <c r="B43" s="868" t="n"/>
      <c r="C43" s="868" t="n"/>
      <c r="D43" s="868" t="n"/>
      <c r="E43" s="868" t="n"/>
      <c r="F43" s="868" t="n"/>
      <c r="G43" s="868" t="n"/>
      <c r="H43" s="868" t="n"/>
      <c r="I43" s="932" t="n"/>
      <c r="J43" s="868" t="n"/>
      <c r="K43" s="868" t="n"/>
      <c r="L43" s="868" t="n"/>
    </row>
    <row r="44" ht="14.25" customHeight="1" s="535">
      <c r="B44" s="868" t="n"/>
      <c r="C44" s="868" t="n"/>
      <c r="D44" s="868" t="n"/>
      <c r="E44" s="868" t="n"/>
      <c r="F44" s="868" t="n"/>
      <c r="G44" s="868" t="n"/>
      <c r="H44" s="932" t="n"/>
      <c r="I44" s="932" t="n"/>
      <c r="J44" s="932" t="n"/>
      <c r="K44" s="868" t="n"/>
      <c r="L44" s="868" t="n"/>
    </row>
    <row r="45" ht="14.25" customHeight="1" s="535">
      <c r="B45" s="868" t="n"/>
      <c r="C45" s="868" t="n"/>
      <c r="D45" s="868" t="n"/>
      <c r="E45" s="868" t="n"/>
      <c r="F45" s="868" t="n"/>
      <c r="G45" s="868" t="n"/>
      <c r="H45" s="868" t="n"/>
      <c r="I45" s="868" t="n"/>
      <c r="J45" s="868" t="n"/>
      <c r="K45" s="868" t="n"/>
      <c r="L45" s="868" t="n"/>
    </row>
    <row r="46" ht="18.75" customHeight="1" s="535">
      <c r="B46" s="874" t="inlineStr">
        <is>
          <t>Platform: AmPOS</t>
        </is>
      </c>
      <c r="C46" s="673" t="n"/>
      <c r="D46" s="673" t="n"/>
      <c r="E46" s="673" t="n"/>
      <c r="F46" s="673" t="n"/>
      <c r="G46" s="673" t="n"/>
      <c r="H46" s="673" t="n"/>
      <c r="I46" s="673" t="n"/>
      <c r="J46" s="674" t="n"/>
      <c r="K46" s="538" t="n"/>
      <c r="L46" s="538" t="n"/>
    </row>
    <row r="47" ht="33.75" customHeight="1" s="535">
      <c r="B47" s="876" t="inlineStr">
        <is>
          <t>Squad</t>
        </is>
      </c>
      <c r="C47" s="905" t="inlineStr">
        <is>
          <t>Squad Type</t>
        </is>
      </c>
      <c r="D47" s="905" t="inlineStr">
        <is>
          <t>Size</t>
        </is>
      </c>
      <c r="E47" s="905" t="inlineStr">
        <is>
          <t>On/Off</t>
        </is>
      </c>
      <c r="F47" s="915" t="inlineStr">
        <is>
          <t>AU / NZ</t>
        </is>
      </c>
      <c r="G47" s="905" t="inlineStr">
        <is>
          <t>Support %</t>
        </is>
      </c>
      <c r="H47" s="905" t="inlineStr">
        <is>
          <t>Total Squad Cost ($m)</t>
        </is>
      </c>
      <c r="I47" s="678" t="inlineStr">
        <is>
          <t>TDD Cost ($m)</t>
        </is>
      </c>
      <c r="J47" s="905" t="inlineStr">
        <is>
          <t>Funded outside TDD ($m)</t>
        </is>
      </c>
      <c r="K47" s="877" t="inlineStr">
        <is>
          <t>Actual cost after levers ($m)</t>
        </is>
      </c>
      <c r="L47" s="877" t="inlineStr">
        <is>
          <t>Variance to archetype ($m)</t>
        </is>
      </c>
    </row>
    <row r="48" ht="14.25" customHeight="1" s="535">
      <c r="B48" s="716" t="inlineStr">
        <is>
          <t>AmPOS</t>
        </is>
      </c>
      <c r="C48" s="917" t="inlineStr">
        <is>
          <t>Strategic Programs</t>
        </is>
      </c>
      <c r="D48" s="917" t="n"/>
      <c r="E48" s="917" t="inlineStr">
        <is>
          <t>Onshore</t>
        </is>
      </c>
      <c r="F48" s="918" t="inlineStr">
        <is>
          <t>AU</t>
        </is>
      </c>
      <c r="G48" s="919" t="n">
        <v>0</v>
      </c>
      <c r="H48" s="909" t="n">
        <v>1.404089</v>
      </c>
      <c r="I48" s="725">
        <f>IFERROR($H48*$G48,"")</f>
        <v>0</v>
      </c>
      <c r="J48" s="725">
        <f>IFERROR($H48*(1-$G48),"")</f>
        <v>1.404089</v>
      </c>
      <c r="K48" s="541">
        <f>IFERROR(INDEX('2.1 Ampol Retail'!$S$8:$S$27,MATCH($B48,'2.1 Ampol Retail'!$B$8:$B$27,0)),"")</f>
        <v>2.115029718</v>
      </c>
      <c r="L48" s="541">
        <f>IF(AND(ISNUMBER($H48),ISNUMBER($K48)),ROUND($K48-$H48,6),"")</f>
        <v>0.710941</v>
      </c>
      <c r="M48" s="534" t="inlineStr">
        <is>
          <t>7 FTE in AmPOS</t>
        </is>
      </c>
      <c r="N48" s="933" t="str">
        <f>"People in this program today cost "&amp;TEXT(SUMIFS('REVIEW - Complete Role Mapping'!$AE$2:$AE$700,'REVIEW - Complete Role Mapping'!$AL$2:$AL$700,$B48,'REVIEW - Complete Role Mapping'!$AH$2:$AH$700,'2.1 Ampol Retail'!$C$3)/1000000,"0.00")&amp;"m. Set the agreed cost in the cream cell."</f>
        <v>People in this program today cost 2.12m. Set the agreed cost in the cream cell.</v>
      </c>
    </row>
    <row r="49" ht="14.25" customHeight="1" s="535">
      <c r="B49" s="716" t="n"/>
      <c r="C49" s="921" t="n"/>
      <c r="D49" s="921" t="n"/>
      <c r="E49" s="921" t="n"/>
      <c r="F49" s="855" t="n"/>
      <c r="G49" s="921" t="n"/>
      <c r="H49" s="921" t="n"/>
      <c r="I49" s="879" t="n"/>
      <c r="J49" s="921" t="n"/>
      <c r="K49" s="546" t="n"/>
    </row>
    <row r="50" ht="14.25" customHeight="1" s="535">
      <c r="B50" s="890" t="inlineStr">
        <is>
          <t>AmPOS Total</t>
        </is>
      </c>
      <c r="C50" s="923" t="n"/>
      <c r="D50" s="923" t="n"/>
      <c r="E50" s="923" t="n"/>
      <c r="F50" s="924" t="n"/>
      <c r="G50" s="923" t="n"/>
      <c r="H50" s="925">
        <f>SUM(H48:H48)</f>
        <v>1.404089</v>
      </c>
      <c r="I50" s="925">
        <f>SUM(I48:I49)</f>
        <v>0</v>
      </c>
      <c r="J50" s="925">
        <f>SUM(J48:J48)</f>
        <v>1.404089</v>
      </c>
      <c r="K50" s="926">
        <f>SUM($K48)</f>
        <v>2.115029718</v>
      </c>
      <c r="L50" s="926">
        <f>IF(COUNT($H48)=1,IF(AND(ISNUMBER($H50),ISNUMBER($K50)),ROUND($K50-$H50,6),""),"")</f>
        <v>0.710941</v>
      </c>
    </row>
    <row r="51" ht="14.25" customHeight="1" s="535">
      <c r="B51" s="546" t="n"/>
      <c r="C51" s="546" t="n"/>
      <c r="D51" s="546" t="n"/>
      <c r="E51" s="546" t="n"/>
      <c r="F51" s="855" t="n"/>
      <c r="G51" s="546" t="n"/>
      <c r="H51" s="546" t="n"/>
      <c r="I51" s="546" t="n"/>
      <c r="J51" s="546" t="n"/>
      <c r="K51" s="546" t="n"/>
    </row>
    <row r="52" ht="18.75" customHeight="1" s="535">
      <c r="B52" s="874" t="inlineStr">
        <is>
          <t>Platform: Network &amp; QSR</t>
        </is>
      </c>
      <c r="C52" s="673" t="n"/>
      <c r="D52" s="673" t="n"/>
      <c r="E52" s="673" t="n"/>
      <c r="F52" s="673" t="n"/>
      <c r="G52" s="673" t="n"/>
      <c r="H52" s="673" t="n"/>
      <c r="I52" s="673" t="n"/>
      <c r="J52" s="674" t="n"/>
      <c r="K52" s="538" t="n"/>
      <c r="L52" s="538" t="n"/>
    </row>
    <row r="53" ht="33.75" customHeight="1" s="535">
      <c r="B53" s="876" t="inlineStr">
        <is>
          <t>Squad</t>
        </is>
      </c>
      <c r="C53" s="905" t="inlineStr">
        <is>
          <t>Squad Type</t>
        </is>
      </c>
      <c r="D53" s="905" t="inlineStr">
        <is>
          <t>Size</t>
        </is>
      </c>
      <c r="E53" s="905" t="inlineStr">
        <is>
          <t>On/Off</t>
        </is>
      </c>
      <c r="F53" s="915" t="inlineStr">
        <is>
          <t>AU / NZ</t>
        </is>
      </c>
      <c r="G53" s="905" t="inlineStr">
        <is>
          <t>Support %</t>
        </is>
      </c>
      <c r="H53" s="916" t="inlineStr">
        <is>
          <t>Total Squad Cost ($m)</t>
        </is>
      </c>
      <c r="I53" s="678" t="inlineStr">
        <is>
          <t>TDD Cost ($m)</t>
        </is>
      </c>
      <c r="J53" s="905" t="inlineStr">
        <is>
          <t>Funded outside TDD ($m)</t>
        </is>
      </c>
      <c r="K53" s="877" t="inlineStr">
        <is>
          <t>Actual cost after levers ($m)</t>
        </is>
      </c>
      <c r="L53" s="877" t="inlineStr">
        <is>
          <t>Variance to archetype ($m)</t>
        </is>
      </c>
      <c r="AA53" s="916" t="inlineStr">
        <is>
          <t>Onshore rate ($m)</t>
        </is>
      </c>
      <c r="AB53" s="916" t="inlineStr">
        <is>
          <t>Offshore rate ($m)</t>
        </is>
      </c>
      <c r="AC53" s="916" t="inlineStr">
        <is>
          <t>Archetype roles</t>
        </is>
      </c>
    </row>
    <row r="54" ht="14.25" customHeight="1" s="535">
      <c r="B54" s="716" t="inlineStr">
        <is>
          <t>Network &amp; QSR</t>
        </is>
      </c>
      <c r="C54" s="917" t="inlineStr">
        <is>
          <t>Configuration / Integration</t>
        </is>
      </c>
      <c r="D54" s="917" t="inlineStr">
        <is>
          <t>S</t>
        </is>
      </c>
      <c r="E54" s="917" t="inlineStr">
        <is>
          <t>Onshore</t>
        </is>
      </c>
      <c r="F54" s="918" t="inlineStr">
        <is>
          <t>AU</t>
        </is>
      </c>
      <c r="G54" s="919" t="n">
        <v>0.2</v>
      </c>
      <c r="H54" s="920">
        <f>IFERROR(IF($E54="Onshore",$AA54*1,IF($E54="Hybrid",$AA54*MIN('0.3 Squad Archetypes'!$K$8,$AC54)/$AC54+$AB54*($AC54-MIN('0.3 Squad Archetypes'!$K$8,$AC54))/$AC54,$AB54*1)),"check size")</f>
        <v>1.4</v>
      </c>
      <c r="I54" s="725">
        <f>IFERROR($H54*$G54,"")</f>
        <v>0.28</v>
      </c>
      <c r="J54" s="725">
        <f>IFERROR($H54*(1-$G54),"")</f>
        <v>1.12</v>
      </c>
      <c r="K54" s="541">
        <f>IFERROR(INDEX('2.1 Ampol Retail'!$S$8:$S$27,MATCH($B54,'2.1 Ampol Retail'!$B$8:$B$27,0)),"")</f>
        <v>1.1140311</v>
      </c>
      <c r="L54" s="541">
        <f>IF(AND(ISNUMBER($H54),ISNUMBER($K54)),ROUND($K54-$H54,6),"")</f>
        <v>-0.285969</v>
      </c>
      <c r="AA54" s="920">
        <f>IFERROR(INDEX('0.3 Squad Archetypes'!$G$5:$G$23,MATCH($C54&amp;"|"&amp;$D54,'0.3 Squad Archetypes'!$A$5:$A$23,0)),"")</f>
        <v>1.4</v>
      </c>
      <c r="AB54" s="920">
        <f>IFERROR(INDEX('0.3 Squad Archetypes'!$H$5:$H$23,MATCH($C54&amp;"|"&amp;$D54,'0.3 Squad Archetypes'!$A$5:$A$23,0)),"")</f>
        <v>0.56</v>
      </c>
      <c r="AC54" s="920">
        <f>IFERROR(INDEX('0.3 Squad Archetypes'!$F$5:$F$23,MATCH($C54&amp;"|"&amp;$D54,'0.3 Squad Archetypes'!$A$5:$A$23,0)),"")</f>
        <v>6</v>
      </c>
    </row>
    <row r="55" ht="14.25" customHeight="1" s="535">
      <c r="B55" s="716" t="inlineStr">
        <is>
          <t>Platform Overhead</t>
        </is>
      </c>
      <c r="C55" s="921" t="n"/>
      <c r="D55" s="921" t="n"/>
      <c r="E55" s="921" t="n"/>
      <c r="F55" s="855" t="n"/>
      <c r="G55" s="921" t="n"/>
      <c r="H55" s="921" t="n"/>
      <c r="I55" s="879">
        <f>'0.2 Data Config'!$N$16</f>
        <v>0.165</v>
      </c>
      <c r="J55" s="921" t="n"/>
      <c r="K55" s="546" t="n"/>
    </row>
    <row r="56" ht="14.25" customHeight="1" s="535">
      <c r="B56" s="890" t="inlineStr">
        <is>
          <t>Network &amp; QSR Total</t>
        </is>
      </c>
      <c r="C56" s="923" t="n"/>
      <c r="D56" s="923" t="n"/>
      <c r="E56" s="923" t="n"/>
      <c r="F56" s="924" t="n"/>
      <c r="G56" s="923" t="n"/>
      <c r="H56" s="925">
        <f>SUM(H54:H54)</f>
        <v>1.4</v>
      </c>
      <c r="I56" s="925">
        <f>SUM(I54:I55)</f>
        <v>0.445</v>
      </c>
      <c r="J56" s="925">
        <f>SUM(J54:J54)</f>
        <v>1.12</v>
      </c>
      <c r="K56" s="926">
        <f>SUM($K54)</f>
        <v>1.1140311</v>
      </c>
      <c r="L56" s="926">
        <f>IF(COUNT($H54)=1,IF(AND(ISNUMBER($H56),ISNUMBER($K56)),ROUND($K56-$H56,6),""),"")</f>
        <v>-0.285969</v>
      </c>
    </row>
    <row r="57" ht="14.25" customHeight="1" s="535">
      <c r="B57" s="546" t="n"/>
      <c r="C57" s="546" t="n"/>
      <c r="D57" s="546" t="n"/>
      <c r="E57" s="546" t="n"/>
      <c r="F57" s="855" t="n"/>
      <c r="G57" s="546" t="n"/>
      <c r="H57" s="546" t="n"/>
      <c r="I57" s="546" t="n"/>
      <c r="J57" s="546" t="n"/>
      <c r="K57" s="546" t="n"/>
    </row>
    <row r="58" ht="18.75" customHeight="1" s="535">
      <c r="B58" s="874" t="inlineStr">
        <is>
          <t>Platform: Data AU</t>
        </is>
      </c>
      <c r="C58" s="673" t="n"/>
      <c r="D58" s="673" t="n"/>
      <c r="E58" s="673" t="n"/>
      <c r="F58" s="673" t="n"/>
      <c r="G58" s="673" t="n"/>
      <c r="H58" s="673" t="n"/>
      <c r="I58" s="673" t="n"/>
      <c r="J58" s="674" t="n"/>
      <c r="K58" s="538" t="n"/>
      <c r="L58" s="538" t="n"/>
    </row>
    <row r="59" ht="33.75" customHeight="1" s="535">
      <c r="B59" s="876" t="inlineStr">
        <is>
          <t>Squad</t>
        </is>
      </c>
      <c r="C59" s="905" t="inlineStr">
        <is>
          <t>Squad Type</t>
        </is>
      </c>
      <c r="D59" s="905" t="inlineStr">
        <is>
          <t>Size</t>
        </is>
      </c>
      <c r="E59" s="905" t="inlineStr">
        <is>
          <t>On/Off</t>
        </is>
      </c>
      <c r="F59" s="915" t="inlineStr">
        <is>
          <t>AU / NZ</t>
        </is>
      </c>
      <c r="G59" s="905" t="inlineStr">
        <is>
          <t>Support %</t>
        </is>
      </c>
      <c r="H59" s="916" t="inlineStr">
        <is>
          <t>Total Squad Cost ($m)</t>
        </is>
      </c>
      <c r="I59" s="678" t="inlineStr">
        <is>
          <t>TDD Cost ($m)</t>
        </is>
      </c>
      <c r="J59" s="905" t="inlineStr">
        <is>
          <t>Funded outside TDD ($m)</t>
        </is>
      </c>
      <c r="K59" s="877" t="inlineStr">
        <is>
          <t>Actual cost after levers ($m)</t>
        </is>
      </c>
      <c r="L59" s="877" t="inlineStr">
        <is>
          <t>Variance to archetype ($m)</t>
        </is>
      </c>
      <c r="AA59" s="916" t="inlineStr">
        <is>
          <t>Onshore rate ($m)</t>
        </is>
      </c>
      <c r="AB59" s="916" t="inlineStr">
        <is>
          <t>Offshore rate ($m)</t>
        </is>
      </c>
      <c r="AC59" s="916" t="inlineStr">
        <is>
          <t>Archetype roles</t>
        </is>
      </c>
    </row>
    <row r="60" ht="14.25" customHeight="1" s="535">
      <c r="B60" s="716" t="inlineStr">
        <is>
          <t>Data AU</t>
        </is>
      </c>
      <c r="C60" s="917" t="inlineStr">
        <is>
          <t>Enterprise Data and Insights</t>
        </is>
      </c>
      <c r="D60" s="917" t="inlineStr">
        <is>
          <t>M</t>
        </is>
      </c>
      <c r="E60" s="917" t="inlineStr">
        <is>
          <t>Offshore</t>
        </is>
      </c>
      <c r="F60" s="918" t="inlineStr">
        <is>
          <t>AU</t>
        </is>
      </c>
      <c r="G60" s="919" t="n">
        <v>0.9</v>
      </c>
      <c r="H60" s="920">
        <f>IFERROR(IF($E60="Onshore",$AA60*1,IF($E60="Hybrid",$AA60*MIN('0.3 Squad Archetypes'!$K$8,$AC60)/$AC60+$AB60*($AC60-MIN('0.3 Squad Archetypes'!$K$8,$AC60))/$AC60,$AB60*1)),"check size")</f>
        <v>0.68</v>
      </c>
      <c r="I60" s="725">
        <f>IFERROR($H60*$G60,"")</f>
        <v>0.612</v>
      </c>
      <c r="J60" s="725">
        <f>IFERROR($H60*(1-$G60),"")</f>
        <v>0.068</v>
      </c>
      <c r="K60" s="541">
        <f>IFERROR(INDEX('2.1 Ampol Retail'!$S$8:$S$27,MATCH($B60,'2.1 Ampol Retail'!$B$8:$B$27,0)),"")</f>
        <v>0.4849295</v>
      </c>
      <c r="L60" s="541">
        <f>IF(AND(ISNUMBER($H60),ISNUMBER($K60)),ROUND($K60-$H60,6),"")</f>
        <v>-0.195071</v>
      </c>
      <c r="AA60" s="920">
        <f>IFERROR(INDEX('0.3 Squad Archetypes'!$G$5:$G$23,MATCH($C60&amp;"|"&amp;$D60,'0.3 Squad Archetypes'!$A$5:$A$23,0)),"")</f>
        <v>1.7</v>
      </c>
      <c r="AB60" s="920">
        <f>IFERROR(INDEX('0.3 Squad Archetypes'!$H$5:$H$23,MATCH($C60&amp;"|"&amp;$D60,'0.3 Squad Archetypes'!$A$5:$A$23,0)),"")</f>
        <v>0.68</v>
      </c>
      <c r="AC60" s="920">
        <f>IFERROR(INDEX('0.3 Squad Archetypes'!$F$5:$F$23,MATCH($C60&amp;"|"&amp;$D60,'0.3 Squad Archetypes'!$A$5:$A$23,0)),"")</f>
        <v>7.5</v>
      </c>
    </row>
    <row r="61" ht="14.25" customHeight="1" s="535">
      <c r="B61" s="716" t="inlineStr">
        <is>
          <t>Platform Overhead</t>
        </is>
      </c>
      <c r="C61" s="921" t="n"/>
      <c r="D61" s="921" t="n"/>
      <c r="E61" s="921" t="n"/>
      <c r="F61" s="855" t="n"/>
      <c r="G61" s="921" t="n"/>
      <c r="H61" s="921" t="n"/>
      <c r="I61" s="879">
        <f>'0.2 Data Config'!$N$16</f>
        <v>0.165</v>
      </c>
      <c r="J61" s="921" t="n"/>
    </row>
    <row r="62" ht="14.25" customHeight="1" s="535">
      <c r="B62" s="890" t="inlineStr">
        <is>
          <t>Data AU Total</t>
        </is>
      </c>
      <c r="C62" s="923" t="n"/>
      <c r="D62" s="923" t="n"/>
      <c r="E62" s="923" t="n"/>
      <c r="F62" s="924" t="n"/>
      <c r="G62" s="923" t="n"/>
      <c r="H62" s="925">
        <f>SUM(H60:H60)</f>
        <v>0.68</v>
      </c>
      <c r="I62" s="925">
        <f>SUM(I60:I61)</f>
        <v>0.777</v>
      </c>
      <c r="J62" s="925">
        <f>SUM(J60:J60)</f>
        <v>0.068</v>
      </c>
      <c r="K62" s="926">
        <f>SUM($K60)</f>
        <v>0.4849295</v>
      </c>
      <c r="L62" s="926">
        <f>IF(COUNT($H60)=1,IF(AND(ISNUMBER($H62),ISNUMBER($K62)),ROUND($K62-$H62,6),""),"")</f>
        <v>-0.195071</v>
      </c>
    </row>
    <row r="63" ht="14.25" customHeight="1" s="535">
      <c r="F63" s="855" t="n"/>
    </row>
    <row r="64" ht="18.75" customHeight="1" s="535">
      <c r="B64" s="874" t="inlineStr">
        <is>
          <t>Platform: EGI Retail</t>
        </is>
      </c>
      <c r="C64" s="673" t="n"/>
      <c r="D64" s="673" t="n"/>
      <c r="E64" s="673" t="n"/>
      <c r="F64" s="673" t="n"/>
      <c r="G64" s="673" t="n"/>
      <c r="H64" s="673" t="n"/>
      <c r="I64" s="673" t="n"/>
      <c r="J64" s="674" t="n"/>
      <c r="K64" s="538" t="n"/>
      <c r="L64" s="538" t="n"/>
    </row>
    <row r="65" ht="33.75" customHeight="1" s="535">
      <c r="B65" s="876" t="inlineStr">
        <is>
          <t>Squad</t>
        </is>
      </c>
      <c r="C65" s="905" t="inlineStr">
        <is>
          <t>Squad Type</t>
        </is>
      </c>
      <c r="D65" s="905" t="inlineStr">
        <is>
          <t>Size</t>
        </is>
      </c>
      <c r="E65" s="905" t="inlineStr">
        <is>
          <t>On/Off</t>
        </is>
      </c>
      <c r="F65" s="915" t="inlineStr">
        <is>
          <t>AU / NZ</t>
        </is>
      </c>
      <c r="G65" s="905" t="inlineStr">
        <is>
          <t>Support %</t>
        </is>
      </c>
      <c r="H65" s="905" t="inlineStr">
        <is>
          <t>Total Squad Cost ($m)</t>
        </is>
      </c>
      <c r="I65" s="678" t="inlineStr">
        <is>
          <t>TDD Cost ($m)</t>
        </is>
      </c>
      <c r="J65" s="905" t="inlineStr">
        <is>
          <t>Funded outside TDD ($m)</t>
        </is>
      </c>
      <c r="K65" s="877" t="inlineStr">
        <is>
          <t>Actual cost after levers ($m)</t>
        </is>
      </c>
      <c r="L65" s="877" t="inlineStr">
        <is>
          <t>Variance to archetype ($m)</t>
        </is>
      </c>
    </row>
    <row r="66" ht="14.25" customHeight="1" s="535">
      <c r="B66" s="716" t="inlineStr">
        <is>
          <t>EGI Retail</t>
        </is>
      </c>
      <c r="C66" s="917" t="inlineStr">
        <is>
          <t>Strategic Programs</t>
        </is>
      </c>
      <c r="D66" s="917" t="n"/>
      <c r="E66" s="917" t="inlineStr">
        <is>
          <t>Onshore</t>
        </is>
      </c>
      <c r="F66" s="918" t="inlineStr">
        <is>
          <t>AU</t>
        </is>
      </c>
      <c r="G66" s="919" t="n">
        <v>0</v>
      </c>
      <c r="H66" s="879">
        <f>'2.1 Ampol Retail'!$O$18</f>
        <v>1.1822355812</v>
      </c>
      <c r="I66" s="725">
        <f>IFERROR($H66*$G66,"")</f>
        <v>0</v>
      </c>
      <c r="J66" s="725">
        <f>IFERROR($H66*(1-$G66),"")</f>
        <v>1.1822355812</v>
      </c>
      <c r="K66" s="541">
        <f>IFERROR(INDEX('2.1 Ampol Retail'!$S$8:$S$27,MATCH($B66,'2.1 Ampol Retail'!$B$8:$B$27,0)),"")</f>
        <v>1.1822355812</v>
      </c>
      <c r="L66" s="541">
        <f>IF(AND(ISNUMBER($H66),ISNUMBER($K66)),ROUND($K66-$H66,6),"")</f>
        <v>0</v>
      </c>
      <c r="N66" s="933" t="str">
        <f>"People in this program today cost "&amp;TEXT(SUMIFS('REVIEW - Complete Role Mapping'!$AE$2:$AE$700,'REVIEW - Complete Role Mapping'!$AL$2:$AL$700,$B66,'REVIEW - Complete Role Mapping'!$AH$2:$AH$700,'2.1 Ampol Retail'!$C$3)/1000000,"0.00")&amp;"m. Set the agreed cost in the cream cell."</f>
        <v>People in this program today cost 1.18m. Set the agreed cost in the cream cell.</v>
      </c>
    </row>
    <row r="67" ht="14.25" customHeight="1" s="535">
      <c r="B67" s="934" t="n"/>
      <c r="C67" s="921" t="n"/>
      <c r="D67" s="921" t="n"/>
      <c r="E67" s="921" t="n"/>
      <c r="F67" s="855" t="n"/>
      <c r="G67" s="921" t="n"/>
      <c r="H67" s="921" t="n"/>
      <c r="I67" s="879" t="n"/>
      <c r="J67" s="921" t="n"/>
    </row>
    <row r="68" ht="14.25" customHeight="1" s="535">
      <c r="B68" s="890" t="inlineStr">
        <is>
          <t>EGI Retail Total</t>
        </is>
      </c>
      <c r="C68" s="923" t="n"/>
      <c r="D68" s="923" t="n"/>
      <c r="E68" s="923" t="n"/>
      <c r="F68" s="924" t="n"/>
      <c r="G68" s="923" t="n"/>
      <c r="H68" s="925">
        <f>SUM(H66:H66)</f>
        <v>1.1822355812</v>
      </c>
      <c r="I68" s="925">
        <f>SUM(I66:I66)</f>
        <v>0</v>
      </c>
      <c r="J68" s="925">
        <f>SUM(J66:J66)</f>
        <v>1.1822355812</v>
      </c>
      <c r="K68" s="926">
        <f>SUM($K66)</f>
        <v>1.1822355812</v>
      </c>
      <c r="L68" s="926">
        <f>IF(COUNT($H66)=1,IF(AND(ISNUMBER($H68),ISNUMBER($K68)),ROUND($K68-$H68,6),""),"")</f>
        <v>0</v>
      </c>
    </row>
    <row r="69" ht="14.25" customHeight="1" s="535">
      <c r="F69" s="855" t="n"/>
    </row>
    <row r="70" ht="14.25" customHeight="1" s="535">
      <c r="B70" s="933" t="n"/>
      <c r="C70" s="935" t="n"/>
      <c r="D70" s="855" t="n"/>
      <c r="F70" s="855" t="n"/>
    </row>
    <row r="71" ht="14.25" customHeight="1" s="535">
      <c r="B71" s="933" t="n"/>
      <c r="C71" s="935" t="n"/>
      <c r="D71" s="855" t="n"/>
      <c r="F71" s="855"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1"/>
  </sheetPr>
  <dimension ref="A1:AC59"/>
  <sheetViews>
    <sheetView showFormulas="0" showGridLines="0" showRowColHeaders="1" showZeros="1" rightToLeft="0" tabSelected="0" showOutlineSymbols="1" defaultGridColor="1" view="normal" topLeftCell="A24" colorId="64" zoomScale="80" zoomScaleNormal="80" zoomScalePageLayoutView="100" workbookViewId="0">
      <selection pane="topLeft" activeCell="G39" activeCellId="0" sqref="G39"/>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3" customWidth="1" style="534" min="13" max="14"/>
  </cols>
  <sheetData>
    <row r="1" ht="14.25" customHeight="1" s="535">
      <c r="F1" s="855" t="n"/>
    </row>
    <row r="2" ht="21" customHeight="1" s="535">
      <c r="B2" s="873" t="inlineStr">
        <is>
          <t>Customer</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875"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Config'!$E$13+'0.2 Data Config'!$E$14</f>
        <v>6.5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Config'!$D$13+'0.2 Data Config'!$D$14)&gt;('0.2 Data Config'!$C$13+'0.2 Data Config'!$C$14),'0.2 Data Config'!$N$10,0)*0.5</f>
        <v>0.39875</v>
      </c>
      <c r="D6" s="701">
        <f>IF(('0.2 Data Config'!$D$13+'0.2 Data Config'!$D$14)&gt;('0.2 Data Config'!$C$13+'0.2 Data Config'!$C$14),'0.2 Data Config'!$N$10,0)*0.5</f>
        <v>0.39875</v>
      </c>
      <c r="E6" s="701">
        <f>0</f>
        <v>0</v>
      </c>
      <c r="F6" s="701">
        <f>C6+D6+E6</f>
        <v>0.7975</v>
      </c>
      <c r="H6" s="936" t="inlineStr">
        <is>
          <t>AU Budget ($m)</t>
        </is>
      </c>
      <c r="I6" s="937">
        <f>'0.2 Data Config'!$C$13+'0.2 Data Config'!$C$14</f>
        <v>2.5</v>
      </c>
      <c r="K6" s="539" t="inlineStr">
        <is>
          <t>Actual portfolio</t>
        </is>
      </c>
      <c r="L6" s="674" t="n"/>
      <c r="M6" s="881">
        <f>'2.2 Customer'!$F$30</f>
        <v>83</v>
      </c>
      <c r="N6" s="541">
        <f>'2.2 Customer'!$O$30</f>
        <v>16.44131100212</v>
      </c>
    </row>
    <row r="7" ht="14.25" customHeight="1" s="535">
      <c r="B7" s="716" t="inlineStr">
        <is>
          <t>Platform Overheads</t>
        </is>
      </c>
      <c r="C7" s="701">
        <f>IF(('0.2 Data Config'!$D$13+'0.2 Data Config'!$D$14)&gt;('0.2 Data Config'!$C$13+'0.2 Data Config'!$C$14),0,SUM(I34,I42,I49))</f>
        <v>0</v>
      </c>
      <c r="D7" s="701">
        <f>IF(('0.2 Data Config'!$D$13+'0.2 Data Config'!$D$14)&gt;('0.2 Data Config'!$C$13+'0.2 Data Config'!$C$14),SUM(I34,I42,I49),0)</f>
        <v>0.495</v>
      </c>
      <c r="E7" s="701">
        <f>0</f>
        <v>0</v>
      </c>
      <c r="F7" s="701">
        <f>C7+D7+E7</f>
        <v>0.495</v>
      </c>
      <c r="H7" s="938" t="inlineStr">
        <is>
          <t>NZ Budget ($m)</t>
        </is>
      </c>
      <c r="I7" s="939">
        <f>'0.2 Data Config'!$D$13+'0.2 Data Config'!$D$14</f>
        <v>4</v>
      </c>
      <c r="K7" s="539" t="inlineStr">
        <is>
          <t>Archetype portfolio</t>
        </is>
      </c>
      <c r="L7" s="674" t="n"/>
      <c r="M7" s="881">
        <f>'2.2 Customer'!$E$30</f>
        <v>61.6</v>
      </c>
      <c r="N7" s="541">
        <f>'2.2 Customer'!$N$30</f>
        <v>15.4511109</v>
      </c>
    </row>
    <row r="8" ht="14.25" customHeight="1" s="535">
      <c r="B8" s="716" t="inlineStr">
        <is>
          <t>Squad Support Costs</t>
        </is>
      </c>
      <c r="C8" s="701">
        <f>SUMIF(F31:F33,"AU",I31:I33)+SUMIF(F39:F41,"AU",I39:I41)+SUMIF(F47:F48,"AU",I47:I48)+SUMIF(F54:F54,"AU",I54:I54)</f>
        <v>2.04</v>
      </c>
      <c r="D8" s="701">
        <f>SUMIF(F31:F33,"NZ",I31:I33)+SUMIF(F39:F41,"NZ",I39:I41)+SUMIF(F47:F48,"NZ",I47:I48)+SUMIF(F54:F54,"NZ",I54:I54)</f>
        <v>3.47</v>
      </c>
      <c r="E8" s="701">
        <f>SUM(J31,J32,J33,J39,J40,J41,J47,J48,J54)</f>
        <v>8.9686109</v>
      </c>
      <c r="F8" s="701">
        <f>C8+D8+E8</f>
        <v>14.4786109</v>
      </c>
      <c r="H8" s="680" t="inlineStr">
        <is>
          <t>AU over/(under) budget ($m)</t>
        </is>
      </c>
      <c r="I8" s="940">
        <f>C9-I6</f>
        <v>-0.0612499999999998</v>
      </c>
      <c r="K8" s="886" t="inlineStr">
        <is>
          <t>Variance</t>
        </is>
      </c>
      <c r="L8" s="887" t="n"/>
      <c r="M8" s="888">
        <f>IF(AND(ISNUMBER($M$7),ISNUMBER($M$6)),ROUND($M$6-$M$7,6),"")</f>
        <v>21.4</v>
      </c>
      <c r="N8" s="889">
        <f>IF(AND(ISNUMBER($N$7),ISNUMBER($N$6)),ROUND($N$6-$N$7,6),"")</f>
        <v>0.9902</v>
      </c>
    </row>
    <row r="9" ht="14.25" customHeight="1" s="535">
      <c r="B9" s="890" t="inlineStr">
        <is>
          <t>Total Cost</t>
        </is>
      </c>
      <c r="C9" s="891">
        <f>SUM(C6:C8)</f>
        <v>2.43875</v>
      </c>
      <c r="D9" s="891">
        <f>SUM(D6:D8)</f>
        <v>4.36375</v>
      </c>
      <c r="E9" s="891">
        <f>SUM(E6:E8)</f>
        <v>8.9686109</v>
      </c>
      <c r="F9" s="891">
        <f>SUM(F6:F8)</f>
        <v>15.7711109</v>
      </c>
      <c r="G9" s="892">
        <f>$N$6</f>
        <v>16.44131100212</v>
      </c>
      <c r="H9" s="680" t="inlineStr">
        <is>
          <t>NZ over/(under) budget ($m)</t>
        </is>
      </c>
      <c r="I9" s="940">
        <f>D9-I7</f>
        <v>0.36375</v>
      </c>
    </row>
    <row r="10" ht="33.75" customHeight="1" s="535">
      <c r="E10" s="895" t="inlineStr">
        <is>
          <t>Variance to actuals</t>
        </is>
      </c>
      <c r="F10" s="896">
        <f>$G$9-$F$9</f>
        <v>0.670200102119999</v>
      </c>
      <c r="H10" s="941" t="inlineStr">
        <is>
          <t>TDD over/(under) budget ($m)</t>
        </is>
      </c>
      <c r="I10" s="942">
        <f>I8+I9</f>
        <v>0.3025</v>
      </c>
    </row>
    <row r="11" ht="14.25" customHeight="1" s="535"/>
    <row r="12" ht="18.75" customHeight="1" s="535">
      <c r="F12" s="855" t="n"/>
      <c r="H12" s="943" t="inlineStr">
        <is>
          <t>Other funding</t>
        </is>
      </c>
      <c r="I12" s="944" t="n"/>
      <c r="J12" s="944" t="n"/>
      <c r="K12" s="944" t="n"/>
      <c r="L12" s="538" t="n"/>
    </row>
    <row r="13" ht="33.75" customHeight="1" s="535">
      <c r="B13" s="945" t="inlineStr">
        <is>
          <t xml:space="preserve">Total Customer budget </t>
        </is>
      </c>
      <c r="D13" s="946" t="n"/>
      <c r="E13" s="914">
        <f>SUM(I14:I23)</f>
        <v>11.2</v>
      </c>
      <c r="F13" s="855" t="n"/>
      <c r="H13" s="905" t="inlineStr">
        <is>
          <t>Budget line</t>
        </is>
      </c>
      <c r="I13" s="905" t="inlineStr">
        <is>
          <t>Budget ($m)</t>
        </is>
      </c>
      <c r="J13" s="678" t="inlineStr">
        <is>
          <t>Amount that can be allocated to people</t>
        </is>
      </c>
      <c r="K13" s="678" t="inlineStr">
        <is>
          <t>Remaining for non-people ($m)</t>
        </is>
      </c>
      <c r="L13" s="698" t="inlineStr">
        <is>
          <t>Notes</t>
        </is>
      </c>
    </row>
    <row r="14" ht="14.25" customHeight="1" s="535">
      <c r="B14" s="945" t="inlineStr">
        <is>
          <t xml:space="preserve">Reconciled to Finance </t>
        </is>
      </c>
      <c r="D14" s="946" t="n"/>
      <c r="E14" s="914">
        <f>'0.1 Budget Table (Fin)'!Q13</f>
        <v>11.2</v>
      </c>
      <c r="F14" s="855" t="n"/>
      <c r="H14" s="716" t="inlineStr">
        <is>
          <t>Customer Lights On</t>
        </is>
      </c>
      <c r="I14" s="879">
        <f>'0.1 Budget Table (Fin)'!L13</f>
        <v>1.7</v>
      </c>
      <c r="J14" s="908">
        <f>N('0.1 Budget Table (Fin)'!G13)</f>
        <v>0</v>
      </c>
      <c r="K14" s="725">
        <f>IFERROR(I14-J14,0)</f>
        <v>1.7</v>
      </c>
      <c r="L14" s="947" t="n"/>
    </row>
    <row r="15" ht="14.25" customHeight="1" s="535">
      <c r="F15" s="855" t="n"/>
      <c r="H15" s="716" t="inlineStr">
        <is>
          <t>OpEx Initiatives</t>
        </is>
      </c>
      <c r="I15" s="879">
        <f>N('0.1 Budget Table (Fin)'!N13)</f>
        <v>0</v>
      </c>
      <c r="J15" s="909" t="n">
        <v>0</v>
      </c>
      <c r="K15" s="725">
        <f>IFERROR(I15-J15,0)</f>
        <v>0</v>
      </c>
      <c r="L15" s="948" t="inlineStr">
        <is>
          <t xml:space="preserve">5m mobile, 4.5m for loyalty. Assumption is this year follows into next </t>
        </is>
      </c>
    </row>
    <row r="16" ht="14.25" customHeight="1" s="535">
      <c r="B16" s="899" t="inlineStr">
        <is>
          <t>Total to fund</t>
        </is>
      </c>
      <c r="C16" s="900" t="n"/>
      <c r="F16" s="855" t="n"/>
      <c r="H16" s="716" t="inlineStr">
        <is>
          <t>CapEx</t>
        </is>
      </c>
      <c r="I16" s="879">
        <f>'0.1 Budget Table (Fin)'!P13</f>
        <v>5</v>
      </c>
      <c r="J16" s="909" t="n">
        <v>5</v>
      </c>
      <c r="K16" s="725">
        <f>IFERROR(I16-J16,0)</f>
        <v>0</v>
      </c>
      <c r="L16" s="948" t="n"/>
    </row>
    <row r="17" ht="14.25" customHeight="1" s="535">
      <c r="B17" s="901" t="inlineStr">
        <is>
          <t xml:space="preserve">TDD Variance </t>
        </is>
      </c>
      <c r="C17" s="949">
        <f>I8+I9</f>
        <v>0.3025</v>
      </c>
      <c r="F17" s="855" t="n"/>
      <c r="H17" s="716" t="inlineStr">
        <is>
          <t>Significant Items EGI</t>
        </is>
      </c>
      <c r="I17" s="879" t="n"/>
      <c r="J17" s="879">
        <f>J54</f>
        <v>2.0986109</v>
      </c>
      <c r="K17" s="725" t="n"/>
      <c r="L17" s="948" t="n"/>
    </row>
    <row r="18" ht="14.25" customHeight="1" s="535">
      <c r="B18" s="901" t="inlineStr">
        <is>
          <t>Other Variance</t>
        </is>
      </c>
      <c r="C18" s="902">
        <f>J26</f>
        <v>-2.63</v>
      </c>
      <c r="F18" s="855" t="n"/>
      <c r="H18" s="716" t="inlineStr">
        <is>
          <t xml:space="preserve">Significant Items </t>
        </is>
      </c>
      <c r="I18" s="879">
        <f>'0.1 Budget Table (Fin)'!O13</f>
        <v>4.5</v>
      </c>
      <c r="J18" s="909" t="n">
        <v>4.5</v>
      </c>
      <c r="K18" s="725">
        <f>IFERROR(I18-J18,0)</f>
        <v>0</v>
      </c>
      <c r="L18" s="948" t="inlineStr">
        <is>
          <t xml:space="preserve">4.5m? Flagged </t>
        </is>
      </c>
    </row>
    <row r="19" ht="14.25" customHeight="1" s="535">
      <c r="B19" s="906" t="inlineStr">
        <is>
          <t>Total</t>
        </is>
      </c>
      <c r="C19" s="907">
        <f>C17+C18</f>
        <v>-2.3275</v>
      </c>
      <c r="F19" s="855" t="n"/>
      <c r="H19" s="716" t="inlineStr">
        <is>
          <t>Sig Items EG</t>
        </is>
      </c>
      <c r="I19" s="879" t="n"/>
      <c r="J19" s="909" t="n"/>
      <c r="K19" s="725" t="n"/>
      <c r="L19" s="948" t="n"/>
    </row>
    <row r="20" ht="14.25" customHeight="1" s="535">
      <c r="F20" s="855" t="n"/>
      <c r="H20" s="716" t="inlineStr">
        <is>
          <t>Z OpEx Initiatives</t>
        </is>
      </c>
      <c r="I20" s="879" t="n"/>
      <c r="J20" s="909" t="n"/>
      <c r="K20" s="725" t="n"/>
      <c r="L20" s="948" t="n"/>
    </row>
    <row r="21" ht="14.25" customHeight="1" s="535">
      <c r="F21" s="855" t="n"/>
      <c r="H21" s="716" t="inlineStr">
        <is>
          <t>Z CapEx</t>
        </is>
      </c>
      <c r="I21" s="879" t="n"/>
      <c r="J21" s="909" t="n"/>
      <c r="K21" s="725" t="n"/>
      <c r="L21" s="948" t="n"/>
    </row>
    <row r="22" ht="14.25" customHeight="1" s="535">
      <c r="F22" s="855" t="n"/>
      <c r="H22" s="716" t="inlineStr">
        <is>
          <t>Z Sig items</t>
        </is>
      </c>
      <c r="I22" s="879" t="n"/>
      <c r="J22" s="909" t="n"/>
      <c r="K22" s="725" t="n"/>
      <c r="L22" s="948" t="n"/>
    </row>
    <row r="23" ht="14.25" customHeight="1" s="535">
      <c r="F23" s="855" t="n"/>
      <c r="H23" s="716" t="inlineStr">
        <is>
          <t>Depreciation</t>
        </is>
      </c>
      <c r="I23" s="879">
        <f>N('0.1 Budget Table (Fin)'!M13)</f>
        <v>0</v>
      </c>
      <c r="J23" s="909" t="n">
        <v>0</v>
      </c>
      <c r="K23" s="725">
        <f>IFERROR(I23-J23,0)</f>
        <v>0</v>
      </c>
      <c r="L23" s="948" t="n"/>
    </row>
    <row r="24" ht="14.25" customHeight="1" s="535">
      <c r="F24" s="855" t="n"/>
      <c r="H24" s="950" t="inlineStr">
        <is>
          <t>Total applied</t>
        </is>
      </c>
      <c r="J24" s="951">
        <f>SUM(J14:J23)</f>
        <v>11.5986109</v>
      </c>
    </row>
    <row r="25" ht="14.25" customHeight="1" s="535">
      <c r="F25" s="855" t="n"/>
      <c r="H25" s="716" t="inlineStr">
        <is>
          <t>Other cost (this model)</t>
        </is>
      </c>
      <c r="J25" s="725">
        <f>E9</f>
        <v>8.9686109</v>
      </c>
    </row>
    <row r="26" ht="14.25" customHeight="1" s="535">
      <c r="F26" s="855" t="n"/>
      <c r="H26" s="890" t="inlineStr">
        <is>
          <t>Left to fund</t>
        </is>
      </c>
      <c r="I26" s="890" t="n"/>
      <c r="J26" s="925">
        <f>E9-(J24-J14)</f>
        <v>-2.63</v>
      </c>
    </row>
    <row r="27" ht="14.25" customHeight="1" s="535">
      <c r="F27" s="855" t="n"/>
    </row>
    <row r="28" ht="14.25" customHeight="1" s="535">
      <c r="F28" s="855" t="n"/>
    </row>
    <row r="29" ht="18.75" customHeight="1" s="535">
      <c r="B29" s="943" t="inlineStr">
        <is>
          <t>Platform: Ampol Digital</t>
        </is>
      </c>
      <c r="C29" s="944" t="n"/>
      <c r="D29" s="944" t="n"/>
      <c r="E29" s="944" t="n"/>
      <c r="F29" s="944" t="n"/>
      <c r="G29" s="944" t="n"/>
      <c r="H29" s="944" t="n"/>
      <c r="I29" s="944" t="n"/>
      <c r="J29" s="944" t="n"/>
      <c r="K29" s="538" t="n"/>
      <c r="L29" s="538" t="n"/>
    </row>
    <row r="30" ht="33.75" customHeight="1" s="535">
      <c r="B30" s="876" t="inlineStr">
        <is>
          <t>Squad</t>
        </is>
      </c>
      <c r="C30" s="905" t="inlineStr">
        <is>
          <t>Squad Type</t>
        </is>
      </c>
      <c r="D30" s="905" t="inlineStr">
        <is>
          <t>Size</t>
        </is>
      </c>
      <c r="E30" s="905" t="inlineStr">
        <is>
          <t>On/Off</t>
        </is>
      </c>
      <c r="F30" s="915" t="inlineStr">
        <is>
          <t>AU / NZ</t>
        </is>
      </c>
      <c r="G30" s="905" t="inlineStr">
        <is>
          <t>Support %</t>
        </is>
      </c>
      <c r="H30" s="916" t="inlineStr">
        <is>
          <t>Total Squad Cost ($m)</t>
        </is>
      </c>
      <c r="I30" s="678" t="inlineStr">
        <is>
          <t>TDD Cost ($m)</t>
        </is>
      </c>
      <c r="J30" s="905" t="inlineStr">
        <is>
          <t>Funded outside TDD ($m)</t>
        </is>
      </c>
      <c r="K30" s="877" t="inlineStr">
        <is>
          <t>Actual cost after levers ($m)</t>
        </is>
      </c>
      <c r="L30" s="877" t="inlineStr">
        <is>
          <t>Variance to archetype ($m)</t>
        </is>
      </c>
      <c r="M30" s="952" t="n"/>
      <c r="AA30" s="916" t="inlineStr">
        <is>
          <t>Onshore rate ($m)</t>
        </is>
      </c>
      <c r="AB30" s="916" t="inlineStr">
        <is>
          <t>Offshore rate ($m)</t>
        </is>
      </c>
      <c r="AC30" s="916" t="inlineStr">
        <is>
          <t>Archetype roles</t>
        </is>
      </c>
    </row>
    <row r="31" ht="14.25" customHeight="1" s="535">
      <c r="B31" s="716" t="inlineStr">
        <is>
          <t>Ampol App</t>
        </is>
      </c>
      <c r="C31" s="917" t="inlineStr">
        <is>
          <t>Product</t>
        </is>
      </c>
      <c r="D31" s="917" t="inlineStr">
        <is>
          <t>L</t>
        </is>
      </c>
      <c r="E31" s="917" t="inlineStr">
        <is>
          <t>Onshore</t>
        </is>
      </c>
      <c r="F31" s="918" t="inlineStr">
        <is>
          <t>AU</t>
        </is>
      </c>
      <c r="G31" s="919" t="n">
        <v>0.2</v>
      </c>
      <c r="H31" s="920">
        <f>IFERROR(IF($E31="Onshore",$AA31*1,IF($E31="Hybrid",$AA31*MIN('0.3 Squad Archetypes'!$K$8,$AC31)/$AC31+$AB31*($AC31-MIN('0.3 Squad Archetypes'!$K$8,$AC31))/$AC31,$AB31*1)),"check size")</f>
        <v>2.8</v>
      </c>
      <c r="I31" s="725">
        <f>IFERROR($H31*$G31,"")</f>
        <v>0.56</v>
      </c>
      <c r="J31" s="725">
        <f>IFERROR($H31*(1-$G31),"")</f>
        <v>2.24</v>
      </c>
      <c r="K31" s="541">
        <f>IFERROR(INDEX('2.2 Customer'!$S$8:$S$30,MATCH($B31,'2.2 Customer'!$B$8:$B$30,0)),"")</f>
        <v>3.1812982994</v>
      </c>
      <c r="L31" s="541">
        <f>IF(AND(ISNUMBER($H31),ISNUMBER($K31)),ROUND($K31-$H31,6),"")</f>
        <v>0.381298</v>
      </c>
      <c r="M31" s="953" t="n"/>
      <c r="AA31" s="920">
        <f>IFERROR(INDEX('0.3 Squad Archetypes'!$G$5:$G$23,MATCH($C31&amp;"|"&amp;$D31,'0.3 Squad Archetypes'!$A$5:$A$23,0)),"")</f>
        <v>2.8</v>
      </c>
      <c r="AB31" s="920">
        <f>IFERROR(INDEX('0.3 Squad Archetypes'!$H$5:$H$23,MATCH($C31&amp;"|"&amp;$D31,'0.3 Squad Archetypes'!$A$5:$A$23,0)),"")</f>
        <v>1.12</v>
      </c>
      <c r="AC31" s="920">
        <f>IFERROR(INDEX('0.3 Squad Archetypes'!$F$5:$F$23,MATCH($C31&amp;"|"&amp;$D31,'0.3 Squad Archetypes'!$A$5:$A$23,0)),"")</f>
        <v>12</v>
      </c>
    </row>
    <row r="32" ht="14.25" customHeight="1" s="535">
      <c r="B32" s="716" t="inlineStr">
        <is>
          <t>Ampol Web</t>
        </is>
      </c>
      <c r="C32" s="917" t="inlineStr">
        <is>
          <t>Product</t>
        </is>
      </c>
      <c r="D32" s="917" t="inlineStr">
        <is>
          <t>M</t>
        </is>
      </c>
      <c r="E32" s="917" t="inlineStr">
        <is>
          <t>Onshore</t>
        </is>
      </c>
      <c r="F32" s="918" t="inlineStr">
        <is>
          <t>AU</t>
        </is>
      </c>
      <c r="G32" s="919" t="n">
        <v>0.2</v>
      </c>
      <c r="H32" s="920">
        <f>IFERROR(IF($E32="Onshore",$AA32*1,IF($E32="Hybrid",$AA32*MIN('0.3 Squad Archetypes'!$K$8,$AC32)/$AC32+$AB32*($AC32-MIN('0.3 Squad Archetypes'!$K$8,$AC32))/$AC32,$AB32*1)),"check size")</f>
        <v>1.9</v>
      </c>
      <c r="I32" s="725">
        <f>IFERROR($H32*$G32,"")</f>
        <v>0.38</v>
      </c>
      <c r="J32" s="725">
        <f>IFERROR($H32*(1-$G32),"")</f>
        <v>1.52</v>
      </c>
      <c r="K32" s="541">
        <f>IFERROR(INDEX('2.2 Customer'!$S$8:$S$30,MATCH($B32,'2.2 Customer'!$B$8:$B$30,0)),"")</f>
        <v>2.1301056</v>
      </c>
      <c r="L32" s="541">
        <f>IF(AND(ISNUMBER($H32),ISNUMBER($K32)),ROUND($K32-$H32,6),"")</f>
        <v>0.230106</v>
      </c>
      <c r="M32" s="953" t="n"/>
      <c r="AA32" s="920">
        <f>IFERROR(INDEX('0.3 Squad Archetypes'!$G$5:$G$23,MATCH($C32&amp;"|"&amp;$D32,'0.3 Squad Archetypes'!$A$5:$A$23,0)),"")</f>
        <v>1.9</v>
      </c>
      <c r="AB32" s="920">
        <f>IFERROR(INDEX('0.3 Squad Archetypes'!$H$5:$H$23,MATCH($C32&amp;"|"&amp;$D32,'0.3 Squad Archetypes'!$A$5:$A$23,0)),"")</f>
        <v>0.76</v>
      </c>
      <c r="AC32" s="920">
        <f>IFERROR(INDEX('0.3 Squad Archetypes'!$F$5:$F$23,MATCH($C32&amp;"|"&amp;$D32,'0.3 Squad Archetypes'!$A$5:$A$23,0)),"")</f>
        <v>8.5</v>
      </c>
    </row>
    <row r="33" ht="14.25" customHeight="1" s="535">
      <c r="B33" s="716" t="inlineStr">
        <is>
          <t>Digital Operations</t>
        </is>
      </c>
      <c r="C33" s="917" t="inlineStr">
        <is>
          <t>Operations</t>
        </is>
      </c>
      <c r="D33" s="917" t="inlineStr">
        <is>
          <t>M</t>
        </is>
      </c>
      <c r="E33" s="917" t="inlineStr">
        <is>
          <t>Offshore</t>
        </is>
      </c>
      <c r="F33" s="918" t="inlineStr">
        <is>
          <t>AU</t>
        </is>
      </c>
      <c r="G33" s="919" t="n">
        <v>1</v>
      </c>
      <c r="H33" s="920">
        <f>IFERROR(IF($E33="Onshore",$AA33*1,IF($E33="Hybrid",$AA33*MIN('0.3 Squad Archetypes'!$K$8,$AC33)/$AC33+$AB33*($AC33-MIN('0.3 Squad Archetypes'!$K$8,$AC33))/$AC33,$AB33*1)),"check size")</f>
        <v>0.56</v>
      </c>
      <c r="I33" s="725">
        <f>IFERROR($H33*$G33,"")</f>
        <v>0.56</v>
      </c>
      <c r="J33" s="725">
        <f>IFERROR($H33*(1-$G33),"")</f>
        <v>0</v>
      </c>
      <c r="K33" s="541">
        <f>IFERROR(INDEX('2.2 Customer'!$S$8:$S$30,MATCH($B33,'2.2 Customer'!$B$8:$B$30,0)),"")</f>
        <v>0.71668945</v>
      </c>
      <c r="L33" s="541">
        <f>IF(AND(ISNUMBER($H33),ISNUMBER($K33)),ROUND($K33-$H33,6),"")</f>
        <v>0.156689</v>
      </c>
      <c r="M33" s="953" t="n"/>
      <c r="AA33" s="920">
        <f>IFERROR(INDEX('0.3 Squad Archetypes'!$G$5:$G$23,MATCH($C33&amp;"|"&amp;$D33,'0.3 Squad Archetypes'!$A$5:$A$23,0)),"")</f>
        <v>1.4</v>
      </c>
      <c r="AB33" s="920">
        <f>IFERROR(INDEX('0.3 Squad Archetypes'!$H$5:$H$23,MATCH($C33&amp;"|"&amp;$D33,'0.3 Squad Archetypes'!$A$5:$A$23,0)),"")</f>
        <v>0.56</v>
      </c>
      <c r="AC33" s="920">
        <f>IFERROR(INDEX('0.3 Squad Archetypes'!$F$5:$F$23,MATCH($C33&amp;"|"&amp;$D33,'0.3 Squad Archetypes'!$A$5:$A$23,0)),"")</f>
        <v>6</v>
      </c>
    </row>
    <row r="34" ht="14.25" customHeight="1" s="535">
      <c r="B34" s="716" t="inlineStr">
        <is>
          <t>Platform Overhead</t>
        </is>
      </c>
      <c r="F34" s="855" t="n"/>
      <c r="I34" s="879">
        <f>'0.2 Data Config'!$N$16</f>
        <v>0.165</v>
      </c>
    </row>
    <row r="35" ht="14.25" customHeight="1" s="535">
      <c r="B35" s="890" t="inlineStr">
        <is>
          <t>Ampol Digital Total</t>
        </is>
      </c>
      <c r="C35" s="923" t="n"/>
      <c r="D35" s="923" t="n"/>
      <c r="E35" s="923" t="n"/>
      <c r="F35" s="924" t="n"/>
      <c r="G35" s="923" t="n"/>
      <c r="H35" s="954">
        <f>SUM(H31:H33)</f>
        <v>5.26</v>
      </c>
      <c r="I35" s="925">
        <f>SUM(I31:I34)</f>
        <v>1.665</v>
      </c>
      <c r="J35" s="925">
        <f>SUM(J31:J33)</f>
        <v>3.76</v>
      </c>
      <c r="K35" s="926">
        <f>SUM($K31,$K32,$K33)</f>
        <v>6.0280933494</v>
      </c>
      <c r="L35" s="926">
        <f>IF(COUNT($H31,$H32,$H33)=3,IF(AND(ISNUMBER($H35),ISNUMBER($K35)),ROUND($K35-$H35,6),""),"")</f>
        <v>0.768093</v>
      </c>
    </row>
    <row r="36" ht="14.25" customHeight="1" s="535">
      <c r="F36" s="855" t="n"/>
    </row>
    <row r="37" ht="18.75" customHeight="1" s="535">
      <c r="B37" s="943" t="inlineStr">
        <is>
          <t>Platform: Customer Z</t>
        </is>
      </c>
      <c r="C37" s="944" t="n"/>
      <c r="D37" s="944" t="n"/>
      <c r="E37" s="944" t="n"/>
      <c r="F37" s="944" t="n"/>
      <c r="G37" s="944" t="n"/>
      <c r="H37" s="944" t="n"/>
      <c r="I37" s="944" t="n"/>
      <c r="J37" s="944" t="n"/>
      <c r="K37" s="538" t="n"/>
      <c r="L37" s="538" t="n"/>
    </row>
    <row r="38" ht="33.75" customHeight="1" s="535">
      <c r="B38" s="876" t="inlineStr">
        <is>
          <t>Squad</t>
        </is>
      </c>
      <c r="C38" s="905" t="inlineStr">
        <is>
          <t>Squad Type</t>
        </is>
      </c>
      <c r="D38" s="905" t="inlineStr">
        <is>
          <t>Size</t>
        </is>
      </c>
      <c r="E38" s="905" t="inlineStr">
        <is>
          <t>On/Off</t>
        </is>
      </c>
      <c r="F38" s="915" t="inlineStr">
        <is>
          <t>AU / NZ</t>
        </is>
      </c>
      <c r="G38" s="905" t="inlineStr">
        <is>
          <t>Support %</t>
        </is>
      </c>
      <c r="H38" s="916" t="inlineStr">
        <is>
          <t>Total Squad Cost ($m)</t>
        </is>
      </c>
      <c r="I38" s="678" t="inlineStr">
        <is>
          <t>TDD Cost ($m)</t>
        </is>
      </c>
      <c r="J38" s="905" t="inlineStr">
        <is>
          <t>Funded outside TDD ($m)</t>
        </is>
      </c>
      <c r="K38" s="877" t="inlineStr">
        <is>
          <t>Actual cost after levers ($m)</t>
        </is>
      </c>
      <c r="L38" s="877" t="inlineStr">
        <is>
          <t>Variance to archetype ($m)</t>
        </is>
      </c>
      <c r="M38" s="952" t="n"/>
      <c r="AA38" s="916" t="inlineStr">
        <is>
          <t>Onshore rate ($m)</t>
        </is>
      </c>
      <c r="AB38" s="916" t="inlineStr">
        <is>
          <t>Offshore rate ($m)</t>
        </is>
      </c>
      <c r="AC38" s="916" t="inlineStr">
        <is>
          <t>Archetype roles</t>
        </is>
      </c>
    </row>
    <row r="39" ht="14.25" customHeight="1" s="535">
      <c r="B39" s="716" t="inlineStr">
        <is>
          <t>Z App and Web</t>
        </is>
      </c>
      <c r="C39" s="917" t="inlineStr">
        <is>
          <t>Product</t>
        </is>
      </c>
      <c r="D39" s="917" t="inlineStr">
        <is>
          <t>S</t>
        </is>
      </c>
      <c r="E39" s="917" t="inlineStr">
        <is>
          <t>Onshore</t>
        </is>
      </c>
      <c r="F39" s="918" t="inlineStr">
        <is>
          <t>NZ</t>
        </is>
      </c>
      <c r="G39" s="919" t="n">
        <v>0.7</v>
      </c>
      <c r="H39" s="920">
        <f>IFERROR(IF($E39="Onshore",$AA39*1,IF($E39="Hybrid",$AA39*MIN('0.3 Squad Archetypes'!$K$8,$AC39)/$AC39+$AB39*($AC39-MIN('0.3 Squad Archetypes'!$K$8,$AC39))/$AC39,$AB39*1)),"check size")</f>
        <v>1.3</v>
      </c>
      <c r="I39" s="725">
        <f>IFERROR($H39*$G39,"")</f>
        <v>0.91</v>
      </c>
      <c r="J39" s="725">
        <f>IFERROR($H39*(1-$G39),"")</f>
        <v>0.39</v>
      </c>
      <c r="K39" s="541">
        <f>IFERROR(INDEX('2.2 Customer'!$S$8:$S$30,MATCH($B39,'2.2 Customer'!$B$8:$B$30,0)),"")</f>
        <v>0.82375716</v>
      </c>
      <c r="L39" s="541">
        <f>IF(AND(ISNUMBER($H39),ISNUMBER($K39)),ROUND($K39-$H39,6),"")</f>
        <v>-0.476243</v>
      </c>
      <c r="M39" s="953" t="n"/>
      <c r="AA39" s="920">
        <f>IFERROR(INDEX('0.3 Squad Archetypes'!$G$5:$G$23,MATCH($C39&amp;"|"&amp;$D39,'0.3 Squad Archetypes'!$A$5:$A$23,0)),"")</f>
        <v>1.3</v>
      </c>
      <c r="AB39" s="920">
        <f>IFERROR(INDEX('0.3 Squad Archetypes'!$H$5:$H$23,MATCH($C39&amp;"|"&amp;$D39,'0.3 Squad Archetypes'!$A$5:$A$23,0)),"")</f>
        <v>0.52</v>
      </c>
      <c r="AC39" s="920">
        <f>IFERROR(INDEX('0.3 Squad Archetypes'!$F$5:$F$23,MATCH($C39&amp;"|"&amp;$D39,'0.3 Squad Archetypes'!$A$5:$A$23,0)),"")</f>
        <v>5.5</v>
      </c>
    </row>
    <row r="40" ht="14.25" customHeight="1" s="535">
      <c r="B40" s="955" t="inlineStr">
        <is>
          <t>Z Loyalty &amp; Martech</t>
        </is>
      </c>
      <c r="C40" s="956" t="inlineStr">
        <is>
          <t>Product</t>
        </is>
      </c>
      <c r="D40" s="956" t="inlineStr">
        <is>
          <t>L</t>
        </is>
      </c>
      <c r="E40" s="956" t="inlineStr">
        <is>
          <t>Onshore</t>
        </is>
      </c>
      <c r="F40" s="918" t="inlineStr">
        <is>
          <t>NZ</t>
        </is>
      </c>
      <c r="G40" s="957" t="n">
        <v>0.8</v>
      </c>
      <c r="H40" s="920">
        <f>IFERROR(IF($E40="Onshore",$AA40*1,IF($E40="Hybrid",$AA40*MIN('0.3 Squad Archetypes'!$K$8,$AC40)/$AC40+$AB40*($AC40-MIN('0.3 Squad Archetypes'!$K$8,$AC40))/$AC40,$AB40*1)),"check size")</f>
        <v>2.8</v>
      </c>
      <c r="I40" s="725">
        <f>IFERROR($H40*$G40,"")</f>
        <v>2.24</v>
      </c>
      <c r="J40" s="725">
        <f>IFERROR($H40*(1-$G40),"")</f>
        <v>0.56</v>
      </c>
      <c r="K40" s="541">
        <f>IFERROR(INDEX('2.2 Customer'!$S$8:$S$30,MATCH($B40,'2.2 Customer'!$B$8:$B$30,0)),"")</f>
        <v>1.99178176832</v>
      </c>
      <c r="L40" s="541">
        <f>IF(AND(ISNUMBER($H40),ISNUMBER($K40)),ROUND($K40-$H40,6),"")</f>
        <v>-0.808218</v>
      </c>
      <c r="M40" s="953" t="n"/>
      <c r="AA40" s="920">
        <f>IFERROR(INDEX('0.3 Squad Archetypes'!$G$5:$G$23,MATCH($C40&amp;"|"&amp;$D40,'0.3 Squad Archetypes'!$A$5:$A$23,0)),"")</f>
        <v>2.8</v>
      </c>
      <c r="AB40" s="920">
        <f>IFERROR(INDEX('0.3 Squad Archetypes'!$H$5:$H$23,MATCH($C40&amp;"|"&amp;$D40,'0.3 Squad Archetypes'!$A$5:$A$23,0)),"")</f>
        <v>1.12</v>
      </c>
      <c r="AC40" s="920">
        <f>IFERROR(INDEX('0.3 Squad Archetypes'!$F$5:$F$23,MATCH($C40&amp;"|"&amp;$D40,'0.3 Squad Archetypes'!$A$5:$A$23,0)),"")</f>
        <v>12</v>
      </c>
    </row>
    <row r="41" ht="14.25" customHeight="1" s="535">
      <c r="B41" s="716" t="inlineStr">
        <is>
          <t>Digital Support NZ</t>
        </is>
      </c>
      <c r="C41" s="958" t="inlineStr">
        <is>
          <t>Operations</t>
        </is>
      </c>
      <c r="D41" s="958" t="inlineStr">
        <is>
          <t>S</t>
        </is>
      </c>
      <c r="E41" s="958" t="inlineStr">
        <is>
          <t>Offshore</t>
        </is>
      </c>
      <c r="F41" s="918" t="inlineStr">
        <is>
          <t>NZ</t>
        </is>
      </c>
      <c r="G41" s="959" t="n">
        <v>1</v>
      </c>
      <c r="H41" s="920">
        <f>IFERROR(IF($E41="Onshore",$AA41*1,IF($E41="Hybrid",$AA41*MIN('0.3 Squad Archetypes'!$K$8,$AC41)/$AC41+$AB41*($AC41-MIN('0.3 Squad Archetypes'!$K$8,$AC41))/$AC41,$AB41*1)),"check size")</f>
        <v>0.32</v>
      </c>
      <c r="I41" s="725">
        <f>IFERROR($H41*$G41,"")</f>
        <v>0.32</v>
      </c>
      <c r="J41" s="725">
        <f>IFERROR($H41*(1-$G41),"")</f>
        <v>0</v>
      </c>
      <c r="K41" s="541">
        <f>IFERROR(INDEX('2.2 Customer'!$S$8:$S$30,MATCH($B41,'2.2 Customer'!$B$8:$B$30,0)),"")</f>
        <v/>
      </c>
      <c r="L41" s="541">
        <f>IF(AND(ISNUMBER($H41),ISNUMBER($K41)),ROUND($K41-$H41,6),"")</f>
        <v/>
      </c>
      <c r="M41" s="534" t="inlineStr">
        <is>
          <t>CPI actuals; pull through (0.217)</t>
        </is>
      </c>
      <c r="N41" s="929" t="inlineStr">
        <is>
          <t>Net New</t>
        </is>
      </c>
      <c r="AA41" s="920">
        <f>IFERROR(INDEX('0.3 Squad Archetypes'!$G$5:$G$23,MATCH($C41&amp;"|"&amp;$D41,'0.3 Squad Archetypes'!$A$5:$A$23,0)),"")</f>
        <v>0.8</v>
      </c>
      <c r="AB41" s="920">
        <f>IFERROR(INDEX('0.3 Squad Archetypes'!$H$5:$H$23,MATCH($C41&amp;"|"&amp;$D41,'0.3 Squad Archetypes'!$A$5:$A$23,0)),"")</f>
        <v>0.32</v>
      </c>
      <c r="AC41" s="920">
        <f>IFERROR(INDEX('0.3 Squad Archetypes'!$F$5:$F$23,MATCH($C41&amp;"|"&amp;$D41,'0.3 Squad Archetypes'!$A$5:$A$23,0)),"")</f>
        <v>4</v>
      </c>
    </row>
    <row r="42" ht="14.25" customHeight="1" s="535">
      <c r="B42" s="716" t="inlineStr">
        <is>
          <t>Platform Overhead</t>
        </is>
      </c>
      <c r="F42" s="855" t="n"/>
      <c r="I42" s="879">
        <f>'0.2 Data Config'!$N$16</f>
        <v>0.165</v>
      </c>
    </row>
    <row r="43" ht="14.25" customHeight="1" s="535">
      <c r="B43" s="890" t="inlineStr">
        <is>
          <t>Customer Z Total</t>
        </is>
      </c>
      <c r="C43" s="923" t="n"/>
      <c r="D43" s="923" t="n"/>
      <c r="E43" s="923" t="n"/>
      <c r="F43" s="924" t="n"/>
      <c r="G43" s="923" t="n"/>
      <c r="H43" s="925">
        <f>SUM(H39:H41)</f>
        <v>4.42</v>
      </c>
      <c r="I43" s="925">
        <f>SUM(I39:I42)</f>
        <v>3.635</v>
      </c>
      <c r="J43" s="925">
        <f>SUM(J39:J41)</f>
        <v>0.95</v>
      </c>
      <c r="K43" s="926">
        <f>SUM($K39,$K40,$K41)</f>
        <v>2.81553892832</v>
      </c>
      <c r="L43" s="926">
        <f>IF(COUNT($H39,$H40,$H41)=3,IF(AND(ISNUMBER($H43),ISNUMBER($K43)),ROUND($K43-$H43,6),""),"")</f>
        <v>-1.604461</v>
      </c>
    </row>
    <row r="44" ht="14.25" customHeight="1" s="535">
      <c r="F44" s="855" t="n"/>
    </row>
    <row r="45" ht="18.75" customHeight="1" s="535">
      <c r="B45" s="960" t="inlineStr">
        <is>
          <t>Platform: Group Customer Platforms</t>
        </is>
      </c>
      <c r="K45" s="538" t="n"/>
      <c r="L45" s="538" t="n"/>
    </row>
    <row r="46" ht="33.75" customHeight="1" s="535">
      <c r="B46" s="961" t="inlineStr">
        <is>
          <t>Squad</t>
        </is>
      </c>
      <c r="C46" s="962" t="inlineStr">
        <is>
          <t>Squad Type</t>
        </is>
      </c>
      <c r="D46" s="962" t="inlineStr">
        <is>
          <t>Size</t>
        </is>
      </c>
      <c r="E46" s="962" t="inlineStr">
        <is>
          <t>On/Off</t>
        </is>
      </c>
      <c r="F46" s="915" t="inlineStr">
        <is>
          <t>AU / NZ</t>
        </is>
      </c>
      <c r="G46" s="962" t="inlineStr">
        <is>
          <t>Support %</t>
        </is>
      </c>
      <c r="H46" s="963" t="inlineStr">
        <is>
          <t>Total Squad Cost ($m)</t>
        </is>
      </c>
      <c r="I46" s="964" t="inlineStr">
        <is>
          <t>TDD Cost ($m)</t>
        </is>
      </c>
      <c r="J46" s="962" t="inlineStr">
        <is>
          <t>Funded outside TDD ($m)</t>
        </is>
      </c>
      <c r="K46" s="877" t="inlineStr">
        <is>
          <t>Actual cost after levers ($m)</t>
        </is>
      </c>
      <c r="L46" s="877" t="inlineStr">
        <is>
          <t>Variance to archetype ($m)</t>
        </is>
      </c>
      <c r="M46" s="952" t="n"/>
      <c r="AA46" s="963" t="inlineStr">
        <is>
          <t>Onshore rate ($m)</t>
        </is>
      </c>
      <c r="AB46" s="963" t="inlineStr">
        <is>
          <t>Offshore rate ($m)</t>
        </is>
      </c>
      <c r="AC46" s="963" t="inlineStr">
        <is>
          <t>Archetype roles</t>
        </is>
      </c>
    </row>
    <row r="47" ht="14.25" customHeight="1" s="535">
      <c r="B47" s="965" t="inlineStr">
        <is>
          <t>Ampol Loyalty &amp; Martech</t>
        </is>
      </c>
      <c r="C47" s="966" t="inlineStr">
        <is>
          <t>Product</t>
        </is>
      </c>
      <c r="D47" s="966" t="inlineStr">
        <is>
          <t>M</t>
        </is>
      </c>
      <c r="E47" s="966" t="inlineStr">
        <is>
          <t>Onshore</t>
        </is>
      </c>
      <c r="F47" s="918" t="inlineStr">
        <is>
          <t>AU</t>
        </is>
      </c>
      <c r="G47" s="967" t="n">
        <v>0.2</v>
      </c>
      <c r="H47" s="968">
        <f>IFERROR(IF($E47="Onshore",$AA47*1,IF($E47="Hybrid",$AA47*MIN('0.3 Squad Archetypes'!$K$8,$AC47)/$AC47+$AB47*($AC47-MIN('0.3 Squad Archetypes'!$K$8,$AC47))/$AC47,$AB47*1)),"check size")</f>
        <v>1.9</v>
      </c>
      <c r="I47" s="969">
        <f>IFERROR($H47*$G47,"")</f>
        <v>0.38</v>
      </c>
      <c r="J47" s="969">
        <f>IFERROR($H47*(1-$G47),"")</f>
        <v>1.52</v>
      </c>
      <c r="K47" s="541">
        <f>IFERROR(INDEX('2.2 Customer'!$S$8:$S$30,MATCH($B47,'2.2 Customer'!$B$8:$B$30,0)),"")</f>
        <v>1.5233390784</v>
      </c>
      <c r="L47" s="541">
        <f>IF(AND(ISNUMBER($H47),ISNUMBER($K47)),ROUND($K47-$H47,6),"")</f>
        <v>-0.376661</v>
      </c>
      <c r="M47" s="953" t="n"/>
      <c r="AA47" s="968">
        <f>IFERROR(INDEX('0.3 Squad Archetypes'!$G$5:$G$23,MATCH($C47&amp;"|"&amp;$D47,'0.3 Squad Archetypes'!$A$5:$A$23,0)),"")</f>
        <v>1.9</v>
      </c>
      <c r="AB47" s="968">
        <f>IFERROR(INDEX('0.3 Squad Archetypes'!$H$5:$H$23,MATCH($C47&amp;"|"&amp;$D47,'0.3 Squad Archetypes'!$A$5:$A$23,0)),"")</f>
        <v>0.76</v>
      </c>
      <c r="AC47" s="968">
        <f>IFERROR(INDEX('0.3 Squad Archetypes'!$F$5:$F$23,MATCH($C47&amp;"|"&amp;$D47,'0.3 Squad Archetypes'!$A$5:$A$23,0)),"")</f>
        <v>8.5</v>
      </c>
    </row>
    <row r="48" ht="14.25" customHeight="1" s="535">
      <c r="B48" s="965" t="inlineStr">
        <is>
          <t>Customer, AI</t>
        </is>
      </c>
      <c r="C48" s="958" t="inlineStr">
        <is>
          <t>Engineering</t>
        </is>
      </c>
      <c r="D48" s="958" t="inlineStr">
        <is>
          <t>S</t>
        </is>
      </c>
      <c r="E48" s="958" t="inlineStr">
        <is>
          <t>Onshore</t>
        </is>
      </c>
      <c r="F48" s="918" t="inlineStr">
        <is>
          <t>AU</t>
        </is>
      </c>
      <c r="G48" s="967" t="n">
        <v>0.2</v>
      </c>
      <c r="H48" s="968">
        <f>IFERROR(IF($E48="Onshore",$AA48*1,IF($E48="Hybrid",$AA48*MIN('0.3 Squad Archetypes'!$K$8,$AC48)/$AC48+$AB48*($AC48-MIN('0.3 Squad Archetypes'!$K$8,$AC48))/$AC48,$AB48*1)),"check size")</f>
        <v>0.8</v>
      </c>
      <c r="I48" s="969">
        <f>IFERROR($H48*$G48,"")</f>
        <v>0.16</v>
      </c>
      <c r="J48" s="969">
        <f>IFERROR($H48*(1-$G48),"")</f>
        <v>0.64</v>
      </c>
      <c r="K48" s="541">
        <f>IFERROR(INDEX('2.2 Customer'!$S$8:$S$30,MATCH($B48,'2.2 Customer'!$B$8:$B$30,0)),"")</f>
        <v>0.3895797</v>
      </c>
      <c r="L48" s="541">
        <f>IF(AND(ISNUMBER($H48),ISNUMBER($K48)),ROUND($K48-$H48,6),"")</f>
        <v>-0.41042</v>
      </c>
      <c r="M48" s="953" t="n"/>
      <c r="N48" s="929" t="inlineStr">
        <is>
          <t>Net New - 3FTE</t>
        </is>
      </c>
      <c r="AA48" s="968">
        <f>IFERROR(INDEX('0.3 Squad Archetypes'!$G$5:$G$23,MATCH($C48&amp;"|"&amp;$D48,'0.3 Squad Archetypes'!$A$5:$A$23,0)),"")</f>
        <v>0.8</v>
      </c>
      <c r="AB48" s="968">
        <f>IFERROR(INDEX('0.3 Squad Archetypes'!$H$5:$H$23,MATCH($C48&amp;"|"&amp;$D48,'0.3 Squad Archetypes'!$A$5:$A$23,0)),"")</f>
        <v>0.32</v>
      </c>
      <c r="AC48" s="968">
        <f>IFERROR(INDEX('0.3 Squad Archetypes'!$F$5:$F$23,MATCH($C48&amp;"|"&amp;$D48,'0.3 Squad Archetypes'!$A$5:$A$23,0)),"")</f>
        <v>4.5</v>
      </c>
    </row>
    <row r="49" ht="14.25" customHeight="1" s="535">
      <c r="B49" s="965" t="inlineStr">
        <is>
          <t>Platform Overhead</t>
        </is>
      </c>
      <c r="C49" s="921" t="n"/>
      <c r="D49" s="921" t="n"/>
      <c r="E49" s="921" t="n"/>
      <c r="F49" s="855" t="n"/>
      <c r="G49" s="921" t="n"/>
      <c r="H49" s="866" t="n"/>
      <c r="I49" s="970">
        <f>'0.2 Data Config'!$N$16</f>
        <v>0.165</v>
      </c>
      <c r="J49" s="866" t="n"/>
    </row>
    <row r="50" ht="14.25" customHeight="1" s="535">
      <c r="B50" s="971" t="inlineStr">
        <is>
          <t>Group Customer Platforms Total</t>
        </is>
      </c>
      <c r="C50" s="923" t="n"/>
      <c r="D50" s="923" t="n"/>
      <c r="E50" s="923" t="n"/>
      <c r="F50" s="924" t="n"/>
      <c r="G50" s="923" t="n"/>
      <c r="H50" s="972">
        <f>SUM(H47:H48)</f>
        <v>2.7</v>
      </c>
      <c r="I50" s="972">
        <f>SUM(I47:I49)</f>
        <v>0.705</v>
      </c>
      <c r="J50" s="972">
        <f>SUM(J47:J48)</f>
        <v>2.16</v>
      </c>
      <c r="K50" s="926">
        <f>SUM($K47,$K48)</f>
        <v>1.9129187784</v>
      </c>
      <c r="L50" s="926">
        <f>IF(COUNT($H47,$H48)=2,IF(AND(ISNUMBER($H50),ISNUMBER($K50)),ROUND($K50-$H50,6),""),"")</f>
        <v>-0.787081</v>
      </c>
    </row>
    <row r="51" ht="14.25" customHeight="1" s="535">
      <c r="F51" s="855" t="n"/>
    </row>
    <row r="52" ht="18.75" customHeight="1" s="535">
      <c r="B52" s="960" t="inlineStr">
        <is>
          <t>Platform: EGI Customer</t>
        </is>
      </c>
      <c r="K52" s="538" t="n"/>
      <c r="L52" s="538" t="n"/>
    </row>
    <row r="53" ht="33.75" customHeight="1" s="535">
      <c r="B53" s="961" t="inlineStr">
        <is>
          <t>Squad</t>
        </is>
      </c>
      <c r="C53" s="962" t="inlineStr">
        <is>
          <t>Squad Type</t>
        </is>
      </c>
      <c r="D53" s="962" t="inlineStr">
        <is>
          <t>Size</t>
        </is>
      </c>
      <c r="E53" s="962" t="inlineStr">
        <is>
          <t>On/Off</t>
        </is>
      </c>
      <c r="F53" s="915" t="inlineStr">
        <is>
          <t>AU / NZ</t>
        </is>
      </c>
      <c r="G53" s="962" t="inlineStr">
        <is>
          <t>Support %</t>
        </is>
      </c>
      <c r="H53" s="962" t="inlineStr">
        <is>
          <t>Total Squad Cost ($m)</t>
        </is>
      </c>
      <c r="I53" s="964" t="inlineStr">
        <is>
          <t>TDD Cost ($m)</t>
        </is>
      </c>
      <c r="J53" s="962" t="inlineStr">
        <is>
          <t>Funded outside TDD ($m)</t>
        </is>
      </c>
      <c r="K53" s="877" t="inlineStr">
        <is>
          <t>Actual cost after levers ($m)</t>
        </is>
      </c>
      <c r="L53" s="877" t="inlineStr">
        <is>
          <t>Variance to archetype ($m)</t>
        </is>
      </c>
      <c r="M53" s="952" t="n"/>
    </row>
    <row r="54" ht="14.25" customHeight="1" s="535">
      <c r="B54" s="965" t="inlineStr">
        <is>
          <t>EGI Customer</t>
        </is>
      </c>
      <c r="C54" s="966" t="inlineStr">
        <is>
          <t>Strategic Programs</t>
        </is>
      </c>
      <c r="D54" s="966" t="n"/>
      <c r="E54" s="966" t="inlineStr">
        <is>
          <t>Onshore</t>
        </is>
      </c>
      <c r="F54" s="918" t="inlineStr">
        <is>
          <t>AU</t>
        </is>
      </c>
      <c r="G54" s="967" t="n">
        <v>0</v>
      </c>
      <c r="H54" s="970">
        <f>'2.2 Customer'!$O$17</f>
        <v>2.0986109</v>
      </c>
      <c r="I54" s="969">
        <f>IFERROR($H54*$G54,"")</f>
        <v>0</v>
      </c>
      <c r="J54" s="969">
        <f>IFERROR($H54*(1-$G54),"")</f>
        <v>2.0986109</v>
      </c>
      <c r="K54" s="541">
        <f>IFERROR(INDEX('2.2 Customer'!$S$8:$S$30,MATCH($B54,'2.2 Customer'!$B$8:$B$30,0)),"")</f>
        <v>2.0986109</v>
      </c>
      <c r="L54" s="541">
        <f>IF(AND(ISNUMBER($H54),ISNUMBER($K54)),ROUND($K54-$H54,6),"")</f>
        <v>0</v>
      </c>
      <c r="M54" s="953" t="n"/>
      <c r="N54" s="933" t="n"/>
    </row>
    <row r="55" ht="14.25" customHeight="1" s="535">
      <c r="B55" s="973" t="n"/>
      <c r="C55" s="921" t="n"/>
      <c r="D55" s="921" t="n"/>
      <c r="E55" s="921" t="n"/>
      <c r="F55" s="855" t="n"/>
      <c r="G55" s="921" t="n"/>
      <c r="H55" s="866" t="n"/>
      <c r="I55" s="970" t="n"/>
      <c r="J55" s="866" t="n"/>
    </row>
    <row r="56" ht="14.25" customHeight="1" s="535">
      <c r="B56" s="971" t="inlineStr">
        <is>
          <t>EGI Customer Total</t>
        </is>
      </c>
      <c r="C56" s="923" t="n"/>
      <c r="D56" s="923" t="n"/>
      <c r="E56" s="923" t="n"/>
      <c r="F56" s="924" t="n"/>
      <c r="G56" s="923" t="n"/>
      <c r="H56" s="972">
        <f>SUM(H54:H54)</f>
        <v>2.0986109</v>
      </c>
      <c r="I56" s="972">
        <f>SUM(I54:I54)</f>
        <v>0</v>
      </c>
      <c r="J56" s="972">
        <f>SUM(J54:J54)</f>
        <v>2.0986109</v>
      </c>
      <c r="K56" s="926">
        <f>SUM($K54)</f>
        <v>2.0986109</v>
      </c>
      <c r="L56" s="926">
        <f>IF(COUNT($H54)=1,IF(AND(ISNUMBER($H56),ISNUMBER($K56)),ROUND($K56-$H56,6),""),"")</f>
        <v>0</v>
      </c>
    </row>
    <row r="57" ht="14.25" customHeight="1" s="535">
      <c r="F57" s="855" t="n"/>
    </row>
    <row r="58" ht="14.25" customHeight="1" s="535">
      <c r="B58" s="933" t="n"/>
      <c r="C58" s="935" t="n"/>
      <c r="D58" s="855" t="n"/>
      <c r="F58" s="855" t="n"/>
    </row>
    <row r="59" ht="14.25" customHeight="1" s="535">
      <c r="B59" s="933" t="n"/>
      <c r="C59" s="935" t="n"/>
      <c r="D59" s="855" t="n"/>
      <c r="F59" s="855" t="n"/>
    </row>
  </sheetData>
  <mergeCells count="12">
    <mergeCell ref="B29:J29"/>
    <mergeCell ref="K7:L7"/>
    <mergeCell ref="B14:D14"/>
    <mergeCell ref="B37:J37"/>
    <mergeCell ref="B4:E4"/>
    <mergeCell ref="K8:L8"/>
    <mergeCell ref="B45:J45"/>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1"/>
  </sheetPr>
  <dimension ref="A1:AC38"/>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B30" activeCellId="0" sqref="B30"/>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Enterprise Data</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Config'!$E$22</f>
        <v>3.5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Config'!$D$22)&gt;('0.2 Data Config'!$C$22),0,'0.2 Data Config'!$N$10)</f>
        <v>0.7975</v>
      </c>
      <c r="D6" s="701">
        <f>IF(('0.2 Data Config'!$D$22)&gt;('0.2 Data Config'!$C$22),'0.2 Data Config'!$N$10,0)</f>
        <v>0</v>
      </c>
      <c r="E6" s="701">
        <f>0</f>
        <v>0</v>
      </c>
      <c r="F6" s="701">
        <f>C6+D6+E6</f>
        <v>0.7975</v>
      </c>
      <c r="H6" s="936" t="inlineStr">
        <is>
          <t>AU Budget ($m)</t>
        </is>
      </c>
      <c r="I6" s="937">
        <f>'0.2 Data Config'!$C$22</f>
        <v>2.5</v>
      </c>
      <c r="K6" s="539" t="inlineStr">
        <is>
          <t>Actual portfolio</t>
        </is>
      </c>
      <c r="L6" s="674" t="n"/>
      <c r="M6" s="881">
        <f>'2.3 Enterprise Data'!$F$23</f>
        <v>31</v>
      </c>
      <c r="N6" s="541">
        <f>'2.3 Enterprise Data'!$O$23</f>
        <v>7.095608906</v>
      </c>
    </row>
    <row r="7" ht="14.25" customHeight="1" s="535">
      <c r="B7" s="716" t="inlineStr">
        <is>
          <t>Platform Overheads</t>
        </is>
      </c>
      <c r="C7" s="701">
        <f>IF(('0.2 Data Config'!$D$22)&gt;('0.2 Data Config'!$C$22),0,SUM(I31))</f>
        <v>0.165</v>
      </c>
      <c r="D7" s="701">
        <f>IF(('0.2 Data Config'!$D$22)&gt;('0.2 Data Config'!$C$22),SUM(I31),0)</f>
        <v>0</v>
      </c>
      <c r="E7" s="701">
        <f>0</f>
        <v>0</v>
      </c>
      <c r="F7" s="701">
        <f>C7+D7+E7</f>
        <v>0.165</v>
      </c>
      <c r="H7" s="938" t="inlineStr">
        <is>
          <t>NZ Budget ($m)</t>
        </is>
      </c>
      <c r="I7" s="939">
        <f>'0.2 Data Config'!$D$22</f>
        <v>1</v>
      </c>
      <c r="K7" s="539" t="inlineStr">
        <is>
          <t>Archetype portfolio</t>
        </is>
      </c>
      <c r="L7" s="674" t="n"/>
      <c r="M7" s="881">
        <f>'2.3 Enterprise Data'!$E$23</f>
        <v>21.4</v>
      </c>
      <c r="N7" s="541">
        <f>'2.3 Enterprise Data'!$N$23</f>
        <v>7.09845565</v>
      </c>
    </row>
    <row r="8" ht="14.25" customHeight="1" s="535">
      <c r="B8" s="716" t="inlineStr">
        <is>
          <t>Squad Support Costs</t>
        </is>
      </c>
      <c r="C8" s="701">
        <f>SUMIF(F27:F30,"AU",I27:I30)+SUMIF(F36:F36,"AU",I36:I36)</f>
        <v>3.342</v>
      </c>
      <c r="D8" s="701">
        <f>SUMIF(F27:F30,"NZ",I27:I30)+SUMIF(F36:F36,"NZ",I36:I36)</f>
        <v>0</v>
      </c>
      <c r="E8" s="701">
        <f>SUM(J27,J28,J29,J30,J36)</f>
        <v>3.47395565</v>
      </c>
      <c r="F8" s="701">
        <f>C8+D8+E8</f>
        <v>6.81595565</v>
      </c>
      <c r="H8" s="680" t="inlineStr">
        <is>
          <t>AU over/(under) budget ($m)</t>
        </is>
      </c>
      <c r="I8" s="974">
        <f>C9-I6</f>
        <v>1.8045</v>
      </c>
      <c r="K8" s="886" t="inlineStr">
        <is>
          <t>Variance</t>
        </is>
      </c>
      <c r="L8" s="887" t="n"/>
      <c r="M8" s="888">
        <f>IF(AND(ISNUMBER($M$7),ISNUMBER($M$6)),ROUND($M$6-$M$7,6),"")</f>
        <v>9.6</v>
      </c>
      <c r="N8" s="889">
        <f>IF(AND(ISNUMBER($N$7),ISNUMBER($N$6)),ROUND($N$6-$N$7,6),"")</f>
        <v>-0.002847</v>
      </c>
    </row>
    <row r="9" ht="14.25" customHeight="1" s="535">
      <c r="B9" s="890" t="inlineStr">
        <is>
          <t>Total Cost</t>
        </is>
      </c>
      <c r="C9" s="891">
        <f>SUM(C6:C8)</f>
        <v>4.3045</v>
      </c>
      <c r="D9" s="891">
        <f>SUM(D6:D8)</f>
        <v>0</v>
      </c>
      <c r="E9" s="891">
        <f>SUM(E6:E8)</f>
        <v>3.47395565</v>
      </c>
      <c r="F9" s="891">
        <f>SUM(F6:F8)</f>
        <v>7.77845565</v>
      </c>
      <c r="G9" s="892">
        <f>$N$6</f>
        <v>7.095608906</v>
      </c>
      <c r="H9" s="680" t="inlineStr">
        <is>
          <t>NZ over/(under) budget ($m)</t>
        </is>
      </c>
      <c r="I9" s="974">
        <f>D9-I7</f>
        <v>-1</v>
      </c>
    </row>
    <row r="10" ht="33.75" customHeight="1" s="535">
      <c r="B10" s="855" t="n"/>
      <c r="C10" s="855" t="n"/>
      <c r="D10" s="855" t="n"/>
      <c r="E10" s="895" t="inlineStr">
        <is>
          <t>Variance to actuals</t>
        </is>
      </c>
      <c r="F10" s="896">
        <f>$G$9-$F$9</f>
        <v>-0.682846744</v>
      </c>
      <c r="H10" s="975" t="inlineStr">
        <is>
          <t>TDD over/(under) budget ($m)</t>
        </is>
      </c>
      <c r="I10" s="976">
        <f>I8+I9</f>
        <v>0.8045</v>
      </c>
    </row>
    <row r="11" ht="14.25" customHeight="1" s="535">
      <c r="B11" s="855" t="n"/>
      <c r="C11" s="855" t="n"/>
      <c r="D11" s="855" t="n"/>
      <c r="E11" s="855" t="n"/>
      <c r="F11" s="855" t="n"/>
      <c r="H11" s="975" t="n"/>
      <c r="I11" s="976" t="n"/>
    </row>
    <row r="12" ht="18.75" customHeight="1" s="535">
      <c r="F12" s="855" t="n"/>
      <c r="H12" s="977" t="n"/>
      <c r="I12" s="912" t="n"/>
      <c r="J12" s="912" t="n"/>
      <c r="K12" s="913" t="n"/>
    </row>
    <row r="13" ht="14.25" customHeight="1" s="535">
      <c r="E13" s="855" t="n"/>
      <c r="F13" s="855" t="n"/>
      <c r="H13" s="977" t="inlineStr">
        <is>
          <t>Other funding</t>
        </is>
      </c>
      <c r="I13" s="979" t="n"/>
      <c r="J13" s="979" t="n"/>
      <c r="K13" s="980" t="n"/>
    </row>
    <row r="14" ht="14.25" customHeight="1" s="535">
      <c r="B14" s="855" t="n"/>
      <c r="C14" s="855" t="n"/>
      <c r="D14" s="855" t="n"/>
      <c r="F14" s="855" t="n"/>
      <c r="H14" s="905" t="inlineStr">
        <is>
          <t>Budget line</t>
        </is>
      </c>
      <c r="I14" s="905" t="inlineStr">
        <is>
          <t>Budget ($m)</t>
        </is>
      </c>
      <c r="J14" s="678" t="inlineStr">
        <is>
          <t>Amount that can be allocated to people</t>
        </is>
      </c>
      <c r="K14" s="678" t="inlineStr">
        <is>
          <t>Remaining for non-people ($m)</t>
        </is>
      </c>
    </row>
    <row r="15" ht="14.25" customHeight="1" s="535">
      <c r="B15" s="899" t="inlineStr">
        <is>
          <t>Total to fund</t>
        </is>
      </c>
      <c r="C15" s="900" t="n"/>
      <c r="D15" s="855" t="n"/>
      <c r="F15" s="855" t="n"/>
      <c r="H15" s="950" t="inlineStr">
        <is>
          <t>Funded from TDD Corporate pool (3.4 COE Breakdown)</t>
        </is>
      </c>
      <c r="I15" s="970" t="n"/>
      <c r="J15" s="909" t="n">
        <v>0</v>
      </c>
      <c r="K15" s="969" t="n"/>
    </row>
    <row r="16" ht="14.25" customHeight="1" s="535">
      <c r="B16" s="980" t="n"/>
      <c r="C16" s="981" t="n"/>
      <c r="D16" s="855" t="n"/>
      <c r="F16" s="855" t="n"/>
      <c r="H16" s="950" t="inlineStr">
        <is>
          <t>Significant Items - EGI</t>
        </is>
      </c>
      <c r="I16" s="970" t="n"/>
      <c r="J16" s="879">
        <f>J36</f>
        <v>1.83595565</v>
      </c>
      <c r="K16" s="969" t="n"/>
    </row>
    <row r="17" ht="14.25" customHeight="1" s="535">
      <c r="B17" s="901" t="inlineStr">
        <is>
          <t>TDD Variance</t>
        </is>
      </c>
      <c r="C17" s="902">
        <f>I8+I9</f>
        <v>0.8045</v>
      </c>
      <c r="D17" s="855" t="n"/>
      <c r="F17" s="855" t="n"/>
      <c r="H17" s="950" t="inlineStr">
        <is>
          <t>Total applied</t>
        </is>
      </c>
      <c r="I17" s="970" t="n"/>
      <c r="J17" s="879">
        <f>SUM(J15:J16)</f>
        <v>1.83595565</v>
      </c>
      <c r="K17" s="969" t="n"/>
    </row>
    <row r="18" ht="14.25" customHeight="1" s="535">
      <c r="B18" s="901" t="inlineStr">
        <is>
          <t>Other Variance</t>
        </is>
      </c>
      <c r="C18" s="949">
        <f>J19</f>
        <v>1.638</v>
      </c>
      <c r="D18" s="855" t="n"/>
      <c r="F18" s="855" t="n"/>
      <c r="H18" s="950" t="inlineStr">
        <is>
          <t>Other cost (this model)</t>
        </is>
      </c>
      <c r="I18" s="970" t="n"/>
      <c r="J18" s="879">
        <f>E9</f>
        <v>3.47395565</v>
      </c>
      <c r="K18" s="969" t="n"/>
    </row>
    <row r="19" ht="14.25" customHeight="1" s="535">
      <c r="B19" s="906" t="inlineStr">
        <is>
          <t>Total</t>
        </is>
      </c>
      <c r="C19" s="907">
        <f>C17+C18</f>
        <v>2.4425</v>
      </c>
      <c r="D19" s="855" t="n"/>
      <c r="F19" s="855" t="n"/>
      <c r="H19" s="950" t="inlineStr">
        <is>
          <t>Left to fund</t>
        </is>
      </c>
      <c r="I19" s="970" t="n"/>
      <c r="J19" s="879">
        <f>J18-J17</f>
        <v>1.638</v>
      </c>
      <c r="K19" s="969" t="n"/>
    </row>
    <row r="20" ht="14.25" customHeight="1" s="535">
      <c r="C20" s="855" t="n"/>
      <c r="D20" s="855" t="n"/>
      <c r="F20" s="855" t="n"/>
      <c r="H20" s="983" t="n"/>
      <c r="I20" s="866" t="n"/>
      <c r="J20" s="984" t="n"/>
      <c r="K20" s="866" t="n"/>
    </row>
    <row r="21" ht="14.25" customHeight="1" s="535">
      <c r="D21" s="855" t="n"/>
      <c r="F21" s="855" t="n"/>
      <c r="H21" s="965" t="n"/>
      <c r="I21" s="866" t="n"/>
      <c r="J21" s="969" t="n"/>
      <c r="K21" s="866" t="n"/>
    </row>
    <row r="22" ht="14.25" customHeight="1" s="535">
      <c r="F22" s="855" t="n"/>
      <c r="H22" s="985" t="n"/>
      <c r="I22" s="866" t="n"/>
      <c r="J22" s="986" t="n"/>
      <c r="K22" s="866" t="n"/>
    </row>
    <row r="23" ht="14.25" customHeight="1" s="535">
      <c r="F23" s="855" t="n"/>
    </row>
    <row r="24" ht="14.25" customHeight="1" s="535">
      <c r="F24" s="855" t="n"/>
    </row>
    <row r="25" ht="18.75" customHeight="1" s="535">
      <c r="B25" s="943" t="inlineStr">
        <is>
          <t>Platform: Group Data</t>
        </is>
      </c>
      <c r="C25" s="944" t="n"/>
      <c r="D25" s="944" t="n"/>
      <c r="E25" s="944" t="n"/>
      <c r="F25" s="944" t="n"/>
      <c r="G25" s="944" t="n"/>
      <c r="H25" s="944" t="n"/>
      <c r="I25" s="944" t="n"/>
      <c r="J25" s="944" t="n"/>
      <c r="K25" s="538" t="n"/>
      <c r="L25" s="538" t="n"/>
    </row>
    <row r="26" ht="33.75" customHeight="1" s="535">
      <c r="B26" s="876" t="inlineStr">
        <is>
          <t>Squad</t>
        </is>
      </c>
      <c r="C26" s="905" t="inlineStr">
        <is>
          <t>Squad Type</t>
        </is>
      </c>
      <c r="D26" s="905" t="inlineStr">
        <is>
          <t>Size</t>
        </is>
      </c>
      <c r="E26" s="905" t="inlineStr">
        <is>
          <t>On/Off</t>
        </is>
      </c>
      <c r="F26" s="915" t="inlineStr">
        <is>
          <t>AU / NZ</t>
        </is>
      </c>
      <c r="G26" s="905" t="inlineStr">
        <is>
          <t>Support %</t>
        </is>
      </c>
      <c r="H26" s="916" t="inlineStr">
        <is>
          <t>Total Squad Cost ($m)</t>
        </is>
      </c>
      <c r="I26" s="678" t="inlineStr">
        <is>
          <t>TDD Cost ($m)</t>
        </is>
      </c>
      <c r="J26" s="905" t="inlineStr">
        <is>
          <t>Funded outside TDD ($m)</t>
        </is>
      </c>
      <c r="K26" s="877" t="inlineStr">
        <is>
          <t>Actual cost after levers ($m)</t>
        </is>
      </c>
      <c r="L26" s="877" t="inlineStr">
        <is>
          <t>Variance to archetype ($m)</t>
        </is>
      </c>
      <c r="AA26" s="916" t="inlineStr">
        <is>
          <t>Onshore rate ($m)</t>
        </is>
      </c>
      <c r="AB26" s="916" t="inlineStr">
        <is>
          <t>Offshore rate ($m)</t>
        </is>
      </c>
      <c r="AC26" s="916" t="inlineStr">
        <is>
          <t>Archetype roles</t>
        </is>
      </c>
    </row>
    <row r="27" ht="14.25" customHeight="1" s="535">
      <c r="B27" s="716" t="inlineStr">
        <is>
          <t>Data Science</t>
        </is>
      </c>
      <c r="C27" s="917" t="inlineStr">
        <is>
          <t>Enterprise Data and Insights</t>
        </is>
      </c>
      <c r="D27" s="917" t="inlineStr">
        <is>
          <t>S</t>
        </is>
      </c>
      <c r="E27" s="917" t="inlineStr">
        <is>
          <t>Onshore</t>
        </is>
      </c>
      <c r="F27" s="918" t="inlineStr">
        <is>
          <t>AU</t>
        </is>
      </c>
      <c r="G27" s="919" t="n">
        <v>0.2</v>
      </c>
      <c r="H27" s="920">
        <f>IFERROR(IF($E27="Onshore",$AA27*1,IF($E27="Hybrid",$AA27*MIN('0.3 Squad Archetypes'!$K$8,$AC27)/$AC27+$AB27*($AC27-MIN('0.3 Squad Archetypes'!$K$8,$AC27))/$AC27,$AB27*1)),"check size")</f>
        <v>0.9</v>
      </c>
      <c r="I27" s="725">
        <f>IFERROR($H27*$G27,"")</f>
        <v>0.18</v>
      </c>
      <c r="J27" s="725">
        <f>IFERROR($H27*(1-$G27),"")</f>
        <v>0.72</v>
      </c>
      <c r="K27" s="541">
        <f>IFERROR(INDEX('2.3 Enterprise Data'!$S$8:$S$23,MATCH($B27,'2.3 Enterprise Data'!$B$8:$B$23,0)),"")</f>
        <v>0.80639733</v>
      </c>
      <c r="L27" s="541">
        <f>IF(AND(ISNUMBER($H27),ISNUMBER($K27)),ROUND($K27-$H27,6),"")</f>
        <v>-0.093603</v>
      </c>
      <c r="M27" s="987" t="inlineStr">
        <is>
          <t>Team recharged</t>
        </is>
      </c>
      <c r="AA27" s="920">
        <f>IFERROR(INDEX('0.3 Squad Archetypes'!$G$5:$G$23,MATCH($C27&amp;"|"&amp;$D27,'0.3 Squad Archetypes'!$A$5:$A$23,0)),"")</f>
        <v>0.9</v>
      </c>
      <c r="AB27" s="920">
        <f>IFERROR(INDEX('0.3 Squad Archetypes'!$H$5:$H$23,MATCH($C27&amp;"|"&amp;$D27,'0.3 Squad Archetypes'!$A$5:$A$23,0)),"")</f>
        <v>0.36</v>
      </c>
      <c r="AC27" s="920">
        <f>IFERROR(INDEX('0.3 Squad Archetypes'!$F$5:$F$23,MATCH($C27&amp;"|"&amp;$D27,'0.3 Squad Archetypes'!$A$5:$A$23,0)),"")</f>
        <v>4</v>
      </c>
    </row>
    <row r="28" ht="14.25" customHeight="1" s="535">
      <c r="B28" s="716" t="inlineStr">
        <is>
          <t>Reporting &amp; Analytics</t>
        </is>
      </c>
      <c r="C28" s="917" t="inlineStr">
        <is>
          <t>Enterprise Data and Insights</t>
        </is>
      </c>
      <c r="D28" s="917" t="inlineStr">
        <is>
          <t>M</t>
        </is>
      </c>
      <c r="E28" s="917" t="inlineStr">
        <is>
          <t>Onshore</t>
        </is>
      </c>
      <c r="F28" s="918" t="inlineStr">
        <is>
          <t>AU</t>
        </is>
      </c>
      <c r="G28" s="919" t="n">
        <v>0.9</v>
      </c>
      <c r="H28" s="920">
        <f>IFERROR(IF($E28="Onshore",$AA28*1,IF($E28="Hybrid",$AA28*MIN('0.3 Squad Archetypes'!$K$8,$AC28)/$AC28+$AB28*($AC28-MIN('0.3 Squad Archetypes'!$K$8,$AC28))/$AC28,$AB28*1)),"check size")</f>
        <v>1.7</v>
      </c>
      <c r="I28" s="725">
        <f>IFERROR($H28*$G28,"")</f>
        <v>1.53</v>
      </c>
      <c r="J28" s="725">
        <f>IFERROR($H28*(1-$G28),"")</f>
        <v>0.17</v>
      </c>
      <c r="K28" s="541">
        <f>IFERROR(INDEX('2.3 Enterprise Data'!$S$8:$S$23,MATCH($B28,'2.3 Enterprise Data'!$B$8:$B$23,0)),"")</f>
        <v>1.06441953</v>
      </c>
      <c r="L28" s="541">
        <f>IF(AND(ISNUMBER($H28),ISNUMBER($K28)),ROUND($K28-$H28,6),"")</f>
        <v>-0.63558</v>
      </c>
      <c r="AA28" s="920">
        <f>IFERROR(INDEX('0.3 Squad Archetypes'!$G$5:$G$23,MATCH($C28&amp;"|"&amp;$D28,'0.3 Squad Archetypes'!$A$5:$A$23,0)),"")</f>
        <v>1.7</v>
      </c>
      <c r="AB28" s="920">
        <f>IFERROR(INDEX('0.3 Squad Archetypes'!$H$5:$H$23,MATCH($C28&amp;"|"&amp;$D28,'0.3 Squad Archetypes'!$A$5:$A$23,0)),"")</f>
        <v>0.68</v>
      </c>
      <c r="AC28" s="920">
        <f>IFERROR(INDEX('0.3 Squad Archetypes'!$F$5:$F$23,MATCH($C28&amp;"|"&amp;$D28,'0.3 Squad Archetypes'!$A$5:$A$23,0)),"")</f>
        <v>7.5</v>
      </c>
    </row>
    <row r="29" ht="14.25" customHeight="1" s="535">
      <c r="B29" s="716" t="inlineStr">
        <is>
          <t>Data Platforms</t>
        </is>
      </c>
      <c r="C29" s="917" t="inlineStr">
        <is>
          <t>Enterprise Data and Insights</t>
        </is>
      </c>
      <c r="D29" s="917" t="inlineStr">
        <is>
          <t>M</t>
        </is>
      </c>
      <c r="E29" s="917" t="inlineStr">
        <is>
          <t>Onshore</t>
        </is>
      </c>
      <c r="F29" s="918" t="inlineStr">
        <is>
          <t>AU</t>
        </is>
      </c>
      <c r="G29" s="919" t="n">
        <v>0.9</v>
      </c>
      <c r="H29" s="920">
        <f>IFERROR(IF($E29="Onshore",$AA29*1,IF($E29="Hybrid",$AA29*MIN('0.3 Squad Archetypes'!$K$8,$AC29)/$AC29+$AB29*($AC29-MIN('0.3 Squad Archetypes'!$K$8,$AC29))/$AC29,$AB29*1)),"check size")</f>
        <v>1.7</v>
      </c>
      <c r="I29" s="725">
        <f>IFERROR($H29*$G29,"")</f>
        <v>1.53</v>
      </c>
      <c r="J29" s="725">
        <f>IFERROR($H29*(1-$G29),"")</f>
        <v>0.17</v>
      </c>
      <c r="K29" s="541">
        <f>IFERROR(INDEX('2.3 Enterprise Data'!$S$8:$S$23,MATCH($B29,'2.3 Enterprise Data'!$B$8:$B$23,0)),"")</f>
        <v>1.049980746</v>
      </c>
      <c r="L29" s="541">
        <f>IF(AND(ISNUMBER($H29),ISNUMBER($K29)),ROUND($K29-$H29,6),"")</f>
        <v>-0.650019</v>
      </c>
      <c r="AA29" s="920">
        <f>IFERROR(INDEX('0.3 Squad Archetypes'!$G$5:$G$23,MATCH($C29&amp;"|"&amp;$D29,'0.3 Squad Archetypes'!$A$5:$A$23,0)),"")</f>
        <v>1.7</v>
      </c>
      <c r="AB29" s="920">
        <f>IFERROR(INDEX('0.3 Squad Archetypes'!$H$5:$H$23,MATCH($C29&amp;"|"&amp;$D29,'0.3 Squad Archetypes'!$A$5:$A$23,0)),"")</f>
        <v>0.68</v>
      </c>
      <c r="AC29" s="920">
        <f>IFERROR(INDEX('0.3 Squad Archetypes'!$F$5:$F$23,MATCH($C29&amp;"|"&amp;$D29,'0.3 Squad Archetypes'!$A$5:$A$23,0)),"")</f>
        <v>7.5</v>
      </c>
    </row>
    <row r="30" ht="14.25" customHeight="1" s="535">
      <c r="B30" s="717" t="inlineStr">
        <is>
          <t>Enterprise Data Delivery</t>
        </is>
      </c>
      <c r="C30" s="988" t="inlineStr">
        <is>
          <t>Enterprise Data and Insights</t>
        </is>
      </c>
      <c r="D30" s="988" t="inlineStr">
        <is>
          <t>M</t>
        </is>
      </c>
      <c r="E30" s="988" t="inlineStr">
        <is>
          <t>Offshore</t>
        </is>
      </c>
      <c r="F30" s="989" t="inlineStr">
        <is>
          <t>AU</t>
        </is>
      </c>
      <c r="G30" s="990" t="n">
        <v>0.15</v>
      </c>
      <c r="H30" s="920">
        <f>IFERROR(IF($E30="Onshore",$AA30*1,IF($E30="Hybrid",$AA30*MIN('0.3 Squad Archetypes'!$K$8,$AC30)/$AC30+$AB30*($AC30-MIN('0.3 Squad Archetypes'!$K$8,$AC30))/$AC30,$AB30*1)),"check size")</f>
        <v>0.68</v>
      </c>
      <c r="I30" s="725">
        <f>IFERROR($H30*$G30,"")</f>
        <v>0.102</v>
      </c>
      <c r="J30" s="725">
        <f>IFERROR($H30*(1-$G30),"")</f>
        <v>0.578</v>
      </c>
      <c r="K30" s="541">
        <f>IFERROR(INDEX('2.3 Enterprise Data'!$S$8:$S$23,MATCH($B30,'2.3 Enterprise Data'!$B$8:$B$23,0)),"")</f>
        <v/>
      </c>
      <c r="L30" s="541">
        <f>IF(AND(ISNUMBER($H30),ISNUMBER($K30)),ROUND($K30-$H30,6),"")</f>
        <v/>
      </c>
      <c r="AA30" s="920">
        <f>IFERROR(INDEX('0.3 Squad Archetypes'!$G$5:$G$23,MATCH($C30&amp;"|"&amp;$D30,'0.3 Squad Archetypes'!$A$5:$A$23,0)),"")</f>
        <v>1.7</v>
      </c>
      <c r="AB30" s="920">
        <f>IFERROR(INDEX('0.3 Squad Archetypes'!$H$5:$H$23,MATCH($C30&amp;"|"&amp;$D30,'0.3 Squad Archetypes'!$A$5:$A$23,0)),"")</f>
        <v>0.68</v>
      </c>
      <c r="AC30" s="920">
        <f>IFERROR(INDEX('0.3 Squad Archetypes'!$F$5:$F$23,MATCH($C30&amp;"|"&amp;$D30,'0.3 Squad Archetypes'!$A$5:$A$23,0)),"")</f>
        <v>7.5</v>
      </c>
    </row>
    <row r="31" ht="14.25" customHeight="1" s="535">
      <c r="B31" s="716" t="inlineStr">
        <is>
          <t>Platform Overhead</t>
        </is>
      </c>
      <c r="F31" s="855" t="n"/>
      <c r="I31" s="879">
        <f>'0.2 Data Config'!$N$16</f>
        <v>0.165</v>
      </c>
    </row>
    <row r="32" ht="14.25" customHeight="1" s="535">
      <c r="B32" s="890" t="inlineStr">
        <is>
          <t>Group Data Total</t>
        </is>
      </c>
      <c r="C32" s="923" t="n"/>
      <c r="D32" s="923" t="n"/>
      <c r="E32" s="923" t="n"/>
      <c r="F32" s="924" t="n"/>
      <c r="G32" s="923" t="n"/>
      <c r="H32" s="925">
        <f>SUM(H27:H30)</f>
        <v>4.98</v>
      </c>
      <c r="I32" s="925">
        <f>SUM(I27:I31)</f>
        <v>3.507</v>
      </c>
      <c r="J32" s="925">
        <f>SUM(J27:J30)</f>
        <v>1.638</v>
      </c>
      <c r="K32" s="926">
        <f>SUM($K27,$K28,$K29,$K30)</f>
        <v>2.920797606</v>
      </c>
      <c r="L32" s="926">
        <f>IF(COUNT($H27,$H28,$H29,$H30)=4,IF(AND(ISNUMBER($H32),ISNUMBER($K32)),ROUND($K32-$H32,6),""),"")</f>
        <v>-2.059202</v>
      </c>
    </row>
    <row r="33" ht="14.25" customHeight="1" s="535">
      <c r="F33" s="855" t="n"/>
    </row>
    <row r="34" ht="18.75" customHeight="1" s="535">
      <c r="B34" s="874" t="inlineStr">
        <is>
          <t>Platform: EGI Ent Data</t>
        </is>
      </c>
      <c r="C34" s="538" t="n"/>
      <c r="D34" s="538" t="n"/>
      <c r="E34" s="538" t="n"/>
      <c r="F34" s="538" t="n"/>
      <c r="G34" s="538" t="n"/>
      <c r="H34" s="538" t="n"/>
      <c r="I34" s="538" t="n"/>
      <c r="J34" s="538" t="n"/>
      <c r="K34" s="538" t="n"/>
      <c r="L34" s="538" t="n"/>
    </row>
    <row r="35" ht="33.75" customHeight="1" s="535">
      <c r="B35" s="876" t="inlineStr">
        <is>
          <t>Squad</t>
        </is>
      </c>
      <c r="C35" s="905" t="inlineStr">
        <is>
          <t>Squad Type</t>
        </is>
      </c>
      <c r="D35" s="905" t="inlineStr">
        <is>
          <t>Size</t>
        </is>
      </c>
      <c r="E35" s="905" t="inlineStr">
        <is>
          <t>On/Off</t>
        </is>
      </c>
      <c r="F35" s="915" t="inlineStr">
        <is>
          <t>AU / NZ</t>
        </is>
      </c>
      <c r="G35" s="905" t="inlineStr">
        <is>
          <t>Support %</t>
        </is>
      </c>
      <c r="H35" s="905" t="inlineStr">
        <is>
          <t>Total Squad Cost ($m)</t>
        </is>
      </c>
      <c r="I35" s="678" t="inlineStr">
        <is>
          <t>TDD Cost ($m)</t>
        </is>
      </c>
      <c r="J35" s="905" t="inlineStr">
        <is>
          <t>Funded outside TDD ($m)</t>
        </is>
      </c>
      <c r="K35" s="877" t="inlineStr">
        <is>
          <t>Actual cost after levers ($m)</t>
        </is>
      </c>
      <c r="L35" s="877" t="inlineStr">
        <is>
          <t>Variance to archetype ($m)</t>
        </is>
      </c>
    </row>
    <row r="36" ht="14.25" customHeight="1" s="535">
      <c r="B36" s="716" t="inlineStr">
        <is>
          <t>EGI Ent Data</t>
        </is>
      </c>
      <c r="C36" s="917" t="inlineStr">
        <is>
          <t>Strategic Programs</t>
        </is>
      </c>
      <c r="D36" s="917" t="n"/>
      <c r="E36" s="917" t="inlineStr">
        <is>
          <t>Onshore</t>
        </is>
      </c>
      <c r="F36" s="918" t="n"/>
      <c r="G36" s="919" t="n">
        <v>0</v>
      </c>
      <c r="H36" s="879">
        <f>'2.3 Enterprise Data'!$O$13</f>
        <v>1.83595565</v>
      </c>
      <c r="I36" s="725">
        <f>IFERROR($H36*$G36,"")</f>
        <v>0</v>
      </c>
      <c r="J36" s="725">
        <f>IFERROR($H36*(1-$G36),"")</f>
        <v>1.83595565</v>
      </c>
      <c r="K36" s="541">
        <f>'2.3 Enterprise Data'!$S$13</f>
        <v>1.83595565</v>
      </c>
      <c r="L36" s="541">
        <f>IF(AND(ISNUMBER($H36),ISNUMBER($K36)),ROUND($K36-$H36,6),"")</f>
        <v>0</v>
      </c>
      <c r="M36" s="933" t="n"/>
    </row>
    <row r="37" ht="14.25" customHeight="1" s="535">
      <c r="B37" s="868" t="n"/>
      <c r="C37" s="868" t="n"/>
      <c r="D37" s="868" t="n"/>
      <c r="E37" s="868" t="n"/>
      <c r="F37" s="868" t="n"/>
      <c r="G37" s="868" t="n"/>
      <c r="H37" s="868" t="n"/>
      <c r="I37" s="932" t="n"/>
      <c r="J37" s="868" t="n"/>
      <c r="K37" s="868" t="n"/>
      <c r="L37" s="868" t="n"/>
    </row>
    <row r="38" ht="14.25" customHeight="1" s="535">
      <c r="B38" s="868" t="n"/>
      <c r="C38" s="868" t="n"/>
      <c r="D38" s="868" t="n"/>
      <c r="E38" s="868" t="n"/>
      <c r="F38" s="868" t="n"/>
      <c r="G38" s="868" t="n"/>
      <c r="H38" s="932" t="n"/>
      <c r="I38" s="932" t="n"/>
      <c r="J38" s="932" t="n"/>
      <c r="K38" s="868" t="n"/>
      <c r="L38" s="868"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outlinePr summaryBelow="1" summaryRight="1"/>
    <pageSetUpPr fitToPage="1"/>
  </sheetPr>
  <dimension ref="A1:AC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B30" activeCellId="0" sqref="B30"/>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20" customWidth="1" style="534" min="13" max="13"/>
    <col width="16" customWidth="1" style="534" min="14" max="14"/>
    <col width="50" customWidth="1" style="534" min="15" max="15"/>
    <col width="11" customWidth="1" style="534" min="16" max="16"/>
    <col width="9" customWidth="1" style="534" min="17" max="17"/>
    <col width="10" customWidth="1" style="534" min="18" max="18"/>
    <col width="20" customWidth="1" style="534" min="19" max="19"/>
    <col width="16" customWidth="1" style="534" min="20" max="20"/>
    <col width="50" customWidth="1" style="534" min="21" max="21"/>
    <col width="11" customWidth="1" style="534" min="22" max="22"/>
    <col width="9" customWidth="1" style="534" min="23" max="23"/>
    <col width="10" customWidth="1" style="534" min="24" max="24"/>
  </cols>
  <sheetData>
    <row r="1" ht="14.25" customHeight="1" s="535">
      <c r="F1" s="855" t="n"/>
    </row>
    <row r="2" ht="21" customHeight="1" s="535">
      <c r="B2" s="873" t="inlineStr">
        <is>
          <t>TDD Group Functions</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Config'!$E$21</f>
        <v>5.5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Config'!$D$21)&gt;('0.2 Data Config'!$C$21),0,'0.2 Data Config'!$N$10)</f>
        <v>0.7975</v>
      </c>
      <c r="D6" s="701">
        <f>IF(('0.2 Data Config'!$D$21)&gt;('0.2 Data Config'!$C$21),'0.2 Data Config'!$N$10,0)</f>
        <v>0</v>
      </c>
      <c r="E6" s="701">
        <f>0</f>
        <v>0</v>
      </c>
      <c r="F6" s="701">
        <f>C6+D6+E6</f>
        <v>0.7975</v>
      </c>
      <c r="G6" s="991" t="n"/>
      <c r="H6" s="936" t="inlineStr">
        <is>
          <t>AU Budget ($m)</t>
        </is>
      </c>
      <c r="I6" s="937">
        <f>'0.2 Data Config'!$C$21</f>
        <v>4.5</v>
      </c>
      <c r="K6" s="539" t="inlineStr">
        <is>
          <t>Actual portfolio</t>
        </is>
      </c>
      <c r="L6" s="674" t="n"/>
      <c r="M6" s="881">
        <f>'2.4 TDD Group Functions'!$F$24</f>
        <v>48</v>
      </c>
      <c r="N6" s="541">
        <f>'2.4 TDD Group Functions'!$O$24</f>
        <v>10.6091080354435</v>
      </c>
    </row>
    <row r="7" ht="14.25" customHeight="1" s="535">
      <c r="B7" s="716" t="inlineStr">
        <is>
          <t>Platform Overheads</t>
        </is>
      </c>
      <c r="C7" s="701">
        <f>IF(('0.2 Data Config'!$D$21)&gt;('0.2 Data Config'!$C$21),0,SUM(I25))</f>
        <v>0.165</v>
      </c>
      <c r="D7" s="701">
        <f>IF(('0.2 Data Config'!$D$21)&gt;('0.2 Data Config'!$C$21),SUM(I25),0)</f>
        <v>0</v>
      </c>
      <c r="E7" s="701">
        <f>0</f>
        <v>0</v>
      </c>
      <c r="F7" s="701">
        <f>C7+D7+E7</f>
        <v>0.165</v>
      </c>
      <c r="G7" s="991" t="n"/>
      <c r="H7" s="938" t="inlineStr">
        <is>
          <t>NZ Budget ($m)</t>
        </is>
      </c>
      <c r="I7" s="939">
        <f>'0.2 Data Config'!$D$21</f>
        <v>1</v>
      </c>
      <c r="K7" s="539" t="inlineStr">
        <is>
          <t>Archetype portfolio</t>
        </is>
      </c>
      <c r="L7" s="674" t="n"/>
      <c r="M7" s="881">
        <f>'2.4 TDD Group Functions'!$E$24</f>
        <v>31.9</v>
      </c>
      <c r="N7" s="541">
        <f>'2.4 TDD Group Functions'!$N$24</f>
        <v>8.88704851</v>
      </c>
    </row>
    <row r="8" ht="14.25" customHeight="1" s="535">
      <c r="B8" s="716" t="inlineStr">
        <is>
          <t>Squad Support Costs</t>
        </is>
      </c>
      <c r="C8" s="701">
        <f>SUMIF(F21:F24,"AU",I21:I24)+SUMIF(F30:F30,"AU",I30:I30)</f>
        <v>5.12</v>
      </c>
      <c r="D8" s="701">
        <f>SUMIF(F21:F24,"NZ",I21:I24)+SUMIF(F30:F30,"NZ",I30:I30)</f>
        <v>0</v>
      </c>
      <c r="E8" s="701">
        <f>SUM(J21,J22,J23,J24,J30)</f>
        <v>2.80454851</v>
      </c>
      <c r="F8" s="701">
        <f>C8+D8+E8</f>
        <v>7.92454851</v>
      </c>
      <c r="G8" s="991" t="n"/>
      <c r="H8" s="680" t="inlineStr">
        <is>
          <t>AU over/(under) budget ($m)</t>
        </is>
      </c>
      <c r="I8" s="974">
        <f>C9-I6</f>
        <v>1.5825</v>
      </c>
      <c r="K8" s="886" t="inlineStr">
        <is>
          <t>Variance</t>
        </is>
      </c>
      <c r="L8" s="887" t="n"/>
      <c r="M8" s="888">
        <f>IF(AND(ISNUMBER($M$7),ISNUMBER($M$6)),ROUND($M$6-$M$7,6),"")</f>
        <v>16.1</v>
      </c>
      <c r="N8" s="889">
        <f>IF(AND(ISNUMBER($N$7),ISNUMBER($N$6)),ROUND($N$6-$N$7,6),"")</f>
        <v>1.72206</v>
      </c>
    </row>
    <row r="9" ht="14.25" customHeight="1" s="535">
      <c r="B9" s="890" t="inlineStr">
        <is>
          <t>Total Cost</t>
        </is>
      </c>
      <c r="C9" s="891">
        <f>SUM(C6:C8)</f>
        <v>6.0825</v>
      </c>
      <c r="D9" s="891">
        <f>SUM(D6:D8)</f>
        <v>0</v>
      </c>
      <c r="E9" s="891">
        <f>SUM(E6:E8)</f>
        <v>2.80454851</v>
      </c>
      <c r="F9" s="891">
        <f>SUM(F6:F8)</f>
        <v>8.88704851</v>
      </c>
      <c r="G9" s="892">
        <f>$N$6</f>
        <v>10.6091080354435</v>
      </c>
      <c r="H9" s="680" t="inlineStr">
        <is>
          <t>NZ over/(under) budget ($m)</t>
        </is>
      </c>
      <c r="I9" s="974">
        <f>D9-I7</f>
        <v>-1</v>
      </c>
    </row>
    <row r="10" ht="33.75" customHeight="1" s="535">
      <c r="E10" s="895" t="inlineStr">
        <is>
          <t>Variance to actuals</t>
        </is>
      </c>
      <c r="F10" s="896">
        <f>$G$9-$F$9</f>
        <v>1.72205952544348</v>
      </c>
      <c r="H10" s="680" t="inlineStr">
        <is>
          <t>TDD over/(under) budget ($m)</t>
        </is>
      </c>
      <c r="I10" s="974">
        <f>I8+I9</f>
        <v>0.582500000000001</v>
      </c>
    </row>
    <row r="11" ht="18.75" customHeight="1" s="535">
      <c r="F11" s="855" t="n"/>
      <c r="H11" s="537" t="n"/>
      <c r="I11" s="992" t="n"/>
      <c r="J11" s="538" t="n"/>
    </row>
    <row r="12" ht="14.25" customHeight="1" s="535">
      <c r="B12" s="993" t="n"/>
      <c r="D12" s="946" t="n"/>
      <c r="F12" s="855" t="n"/>
      <c r="H12" s="537" t="inlineStr">
        <is>
          <t>Other funding</t>
        </is>
      </c>
      <c r="I12" s="978" t="n"/>
      <c r="J12" s="978" t="n"/>
    </row>
    <row r="13" ht="14.25" customHeight="1" s="535">
      <c r="B13" s="993" t="n"/>
      <c r="D13" s="946" t="n"/>
      <c r="F13" s="855" t="n"/>
      <c r="H13" s="905" t="inlineStr">
        <is>
          <t>Budget line</t>
        </is>
      </c>
      <c r="I13" s="905" t="inlineStr">
        <is>
          <t>Budget ($m)</t>
        </is>
      </c>
      <c r="J13" s="678" t="inlineStr">
        <is>
          <t>Amount that can be allocated to people</t>
        </is>
      </c>
      <c r="K13" s="678" t="inlineStr">
        <is>
          <t>Remaining for non-people ($m)</t>
        </is>
      </c>
    </row>
    <row r="14" ht="14.25" customHeight="1" s="535">
      <c r="B14" s="899" t="inlineStr">
        <is>
          <t>Total to fund</t>
        </is>
      </c>
      <c r="C14" s="900" t="n"/>
      <c r="F14" s="855" t="n"/>
      <c r="H14" s="950" t="inlineStr">
        <is>
          <t>Significant Items EGI</t>
        </is>
      </c>
      <c r="I14" s="879" t="n"/>
      <c r="J14" s="879">
        <f>'2.4 TDD Group Functions'!$P$14</f>
        <v>1.32454851</v>
      </c>
    </row>
    <row r="15" ht="14.25" customHeight="1" s="535">
      <c r="B15" s="901" t="inlineStr">
        <is>
          <t>TDD Variance</t>
        </is>
      </c>
      <c r="C15" s="902">
        <f>I8+I9</f>
        <v>0.582500000000001</v>
      </c>
      <c r="F15" s="855" t="n"/>
      <c r="H15" s="950" t="inlineStr">
        <is>
          <t>Total applied</t>
        </is>
      </c>
      <c r="I15" s="879" t="n"/>
      <c r="J15" s="879">
        <f>SUM(J14:J14)</f>
        <v>1.32454851</v>
      </c>
    </row>
    <row r="16" ht="14.25" customHeight="1" s="535">
      <c r="B16" s="901" t="inlineStr">
        <is>
          <t>Other Variance</t>
        </is>
      </c>
      <c r="C16" s="949">
        <f>J17</f>
        <v>1.48</v>
      </c>
      <c r="F16" s="855" t="n"/>
      <c r="H16" s="950" t="inlineStr">
        <is>
          <t>Other cost (this model)</t>
        </is>
      </c>
      <c r="I16" s="879" t="n"/>
      <c r="J16" s="879">
        <f>E9</f>
        <v>2.80454851</v>
      </c>
    </row>
    <row r="17" ht="14.25" customHeight="1" s="535">
      <c r="B17" s="906" t="inlineStr">
        <is>
          <t>Total</t>
        </is>
      </c>
      <c r="C17" s="907">
        <f>C15+C16</f>
        <v>2.0625</v>
      </c>
      <c r="F17" s="855" t="n"/>
      <c r="H17" s="950" t="inlineStr">
        <is>
          <t>Left to fund</t>
        </is>
      </c>
      <c r="I17" s="879" t="n"/>
      <c r="J17" s="879">
        <f>J16-J15</f>
        <v>1.48</v>
      </c>
    </row>
    <row r="18" ht="14.25" customHeight="1" s="535">
      <c r="F18" s="855" t="n"/>
    </row>
    <row r="19" ht="18.75" customHeight="1" s="535">
      <c r="B19" s="943" t="inlineStr">
        <is>
          <t>Platform: TDD Group Functions</t>
        </is>
      </c>
      <c r="C19" s="944" t="n"/>
      <c r="D19" s="944" t="n"/>
      <c r="E19" s="944" t="n"/>
      <c r="F19" s="944" t="n"/>
      <c r="G19" s="944" t="n"/>
      <c r="H19" s="944" t="n"/>
      <c r="I19" s="944" t="n"/>
      <c r="J19" s="944" t="n"/>
      <c r="K19" s="538" t="n"/>
      <c r="L19" s="538" t="n"/>
    </row>
    <row r="20" ht="33.75" customHeight="1" s="535">
      <c r="B20" s="876" t="inlineStr">
        <is>
          <t>Squad</t>
        </is>
      </c>
      <c r="C20" s="905" t="inlineStr">
        <is>
          <t>Squad Type</t>
        </is>
      </c>
      <c r="D20" s="905" t="inlineStr">
        <is>
          <t>Size</t>
        </is>
      </c>
      <c r="E20" s="905" t="inlineStr">
        <is>
          <t>On/Off</t>
        </is>
      </c>
      <c r="F20" s="915" t="inlineStr">
        <is>
          <t>AU / NZ</t>
        </is>
      </c>
      <c r="G20" s="905" t="inlineStr">
        <is>
          <t>Support %</t>
        </is>
      </c>
      <c r="H20" s="916" t="inlineStr">
        <is>
          <t>Total Squad Cost ($m)</t>
        </is>
      </c>
      <c r="I20" s="678" t="inlineStr">
        <is>
          <t>TDD Cost ($m)</t>
        </is>
      </c>
      <c r="J20" s="905" t="inlineStr">
        <is>
          <t>Funded outside TDD ($m)</t>
        </is>
      </c>
      <c r="K20" s="877" t="inlineStr">
        <is>
          <t>Actual cost after levers ($m)</t>
        </is>
      </c>
      <c r="L20" s="877" t="inlineStr">
        <is>
          <t>Variance to archetype ($m)</t>
        </is>
      </c>
      <c r="M20" s="868" t="n"/>
      <c r="N20" s="868" t="n"/>
      <c r="O20" s="868" t="n"/>
      <c r="P20" s="868" t="n"/>
      <c r="Q20" s="868" t="n"/>
      <c r="R20" s="868" t="n"/>
      <c r="S20" s="994" t="inlineStr">
        <is>
          <t>Nbr Archetype Roles</t>
        </is>
      </c>
      <c r="T20" s="995" t="inlineStr">
        <is>
          <t>Published Roles</t>
        </is>
      </c>
      <c r="U20" s="994" t="inlineStr">
        <is>
          <t>Review Outcome</t>
        </is>
      </c>
      <c r="V20" s="994" t="inlineStr">
        <is>
          <t>Vacant Now</t>
        </is>
      </c>
      <c r="W20" s="994" t="inlineStr">
        <is>
          <t>FY27</t>
        </is>
      </c>
      <c r="X20" s="994" t="inlineStr">
        <is>
          <t>opt</t>
        </is>
      </c>
      <c r="AA20" s="916" t="inlineStr">
        <is>
          <t>Onshore rate ($m)</t>
        </is>
      </c>
      <c r="AB20" s="916" t="inlineStr">
        <is>
          <t>Offshore rate ($m)</t>
        </is>
      </c>
      <c r="AC20" s="916" t="inlineStr">
        <is>
          <t>Archetype roles</t>
        </is>
      </c>
    </row>
    <row r="21" ht="14.25" customHeight="1" s="535">
      <c r="B21" s="716" t="inlineStr">
        <is>
          <t>Workplace &amp; Enterprise Tooling</t>
        </is>
      </c>
      <c r="C21" s="917" t="inlineStr">
        <is>
          <t>Configuration / Integration</t>
        </is>
      </c>
      <c r="D21" s="917" t="inlineStr">
        <is>
          <t>S</t>
        </is>
      </c>
      <c r="E21" s="917" t="inlineStr">
        <is>
          <t>Onshore</t>
        </is>
      </c>
      <c r="F21" s="918" t="inlineStr">
        <is>
          <t>AU</t>
        </is>
      </c>
      <c r="G21" s="919" t="n">
        <v>1</v>
      </c>
      <c r="H21" s="920">
        <f>IFERROR(IF($E21="Onshore",$AA21*1,IF($E21="Hybrid",$AA21*MIN('0.3 Squad Archetypes'!$K$8,$AC21)/$AC21+$AB21*($AC21-MIN('0.3 Squad Archetypes'!$K$8,$AC21))/$AC21,$AB21*1)),"check size")</f>
        <v>1.4</v>
      </c>
      <c r="I21" s="725">
        <f>IFERROR($H21*$G21,"")</f>
        <v>1.4</v>
      </c>
      <c r="J21" s="725">
        <f>IFERROR($H21*(1-$G21),"")</f>
        <v>0</v>
      </c>
      <c r="K21" s="541">
        <f>IFERROR(INDEX('2.4 TDD Group Functions'!$S$8:$S$24,MATCH($B21,'2.4 TDD Group Functions'!$B$8:$B$24,0)),"")</f>
        <v>0.914475972</v>
      </c>
      <c r="L21" s="541">
        <f>IF(AND(ISNUMBER($H21),ISNUMBER($K21)),ROUND($K21-$H21,6),"")</f>
        <v>-0.485524</v>
      </c>
      <c r="M21" s="868" t="n"/>
      <c r="N21" s="868" t="n"/>
      <c r="O21" s="868" t="n"/>
      <c r="P21" s="868" t="n"/>
      <c r="Q21" s="868" t="n"/>
      <c r="R21" s="868" t="n"/>
      <c r="S21" s="534" t="n">
        <v>6</v>
      </c>
      <c r="T21" s="534" t="n">
        <v>6</v>
      </c>
      <c r="U21" s="996" t="inlineStr">
        <is>
          <t>No Change</t>
        </is>
      </c>
      <c r="V21" s="534" t="n">
        <v>2</v>
      </c>
      <c r="W21" s="534" t="n">
        <v>6</v>
      </c>
      <c r="AA21" s="920">
        <f>IFERROR(INDEX('0.3 Squad Archetypes'!$G$5:$G$23,MATCH($C21&amp;"|"&amp;$D21,'0.3 Squad Archetypes'!$A$5:$A$23,0)),"")</f>
        <v>1.4</v>
      </c>
      <c r="AB21" s="920">
        <f>IFERROR(INDEX('0.3 Squad Archetypes'!$H$5:$H$23,MATCH($C21&amp;"|"&amp;$D21,'0.3 Squad Archetypes'!$A$5:$A$23,0)),"")</f>
        <v>0.56</v>
      </c>
      <c r="AC21" s="920">
        <f>IFERROR(INDEX('0.3 Squad Archetypes'!$F$5:$F$23,MATCH($C21&amp;"|"&amp;$D21,'0.3 Squad Archetypes'!$A$5:$A$23,0)),"")</f>
        <v>6</v>
      </c>
    </row>
    <row r="22" ht="14.25" customHeight="1" s="535">
      <c r="B22" s="716" t="inlineStr">
        <is>
          <t>Cloud, Network &amp; Infra Ops</t>
        </is>
      </c>
      <c r="C22" s="917" t="inlineStr">
        <is>
          <t>Operations</t>
        </is>
      </c>
      <c r="D22" s="917" t="inlineStr">
        <is>
          <t>L</t>
        </is>
      </c>
      <c r="E22" s="917" t="inlineStr">
        <is>
          <t>Onshore</t>
        </is>
      </c>
      <c r="F22" s="918" t="inlineStr">
        <is>
          <t>AU</t>
        </is>
      </c>
      <c r="G22" s="919" t="n">
        <v>0.7</v>
      </c>
      <c r="H22" s="920">
        <f>IFERROR(IF($E22="Onshore",$AA22*1,IF($E22="Hybrid",$AA22*MIN('0.3 Squad Archetypes'!$K$8,$AC22)/$AC22+$AB22*($AC22-MIN('0.3 Squad Archetypes'!$K$8,$AC22))/$AC22,$AB22*1)),"check size")</f>
        <v>2.3</v>
      </c>
      <c r="I22" s="725">
        <f>IFERROR($H22*$G22,"")</f>
        <v>1.61</v>
      </c>
      <c r="J22" s="725">
        <f>IFERROR($H22*(1-$G22),"")</f>
        <v>0.69</v>
      </c>
      <c r="K22" s="541">
        <f>IFERROR(INDEX('2.4 TDD Group Functions'!$S$8:$S$24,MATCH($B22,'2.4 TDD Group Functions'!$B$8:$B$24,0)),"")</f>
        <v>2.5981192164</v>
      </c>
      <c r="L22" s="541">
        <f>IF(AND(ISNUMBER($H22),ISNUMBER($K22)),ROUND($K22-$H22,6),"")</f>
        <v>0.298119</v>
      </c>
      <c r="M22" s="868" t="n"/>
      <c r="N22" s="868" t="n"/>
      <c r="O22" s="868" t="n"/>
      <c r="P22" s="868" t="n"/>
      <c r="Q22" s="868" t="n"/>
      <c r="R22" s="868" t="n"/>
      <c r="S22" s="534" t="n">
        <v>10</v>
      </c>
      <c r="T22" s="534" t="n">
        <v>13</v>
      </c>
      <c r="U22" s="996" t="inlineStr">
        <is>
          <t>Reduce CSA by 2</t>
        </is>
      </c>
      <c r="V22" s="534" t="n">
        <v>2</v>
      </c>
      <c r="W22" s="534" t="n">
        <v>11</v>
      </c>
      <c r="X22" s="534" t="n">
        <v>7</v>
      </c>
      <c r="AA22" s="920">
        <f>IFERROR(INDEX('0.3 Squad Archetypes'!$G$5:$G$23,MATCH($C22&amp;"|"&amp;$D22,'0.3 Squad Archetypes'!$A$5:$A$23,0)),"")</f>
        <v>2.3</v>
      </c>
      <c r="AB22" s="920">
        <f>IFERROR(INDEX('0.3 Squad Archetypes'!$H$5:$H$23,MATCH($C22&amp;"|"&amp;$D22,'0.3 Squad Archetypes'!$A$5:$A$23,0)),"")</f>
        <v>0.92</v>
      </c>
      <c r="AC22" s="920">
        <f>IFERROR(INDEX('0.3 Squad Archetypes'!$F$5:$F$23,MATCH($C22&amp;"|"&amp;$D22,'0.3 Squad Archetypes'!$A$5:$A$23,0)),"")</f>
        <v>10</v>
      </c>
    </row>
    <row r="23" ht="33.75" customHeight="1" s="535">
      <c r="B23" s="716" t="inlineStr">
        <is>
          <t>DevOps &amp; QE</t>
        </is>
      </c>
      <c r="C23" s="917" t="inlineStr">
        <is>
          <t>Engineering</t>
        </is>
      </c>
      <c r="D23" s="917" t="inlineStr">
        <is>
          <t>S</t>
        </is>
      </c>
      <c r="E23" s="917" t="inlineStr">
        <is>
          <t>Onshore</t>
        </is>
      </c>
      <c r="F23" s="918" t="inlineStr">
        <is>
          <t>AU</t>
        </is>
      </c>
      <c r="G23" s="919" t="n">
        <v>0.8</v>
      </c>
      <c r="H23" s="920">
        <f>IFERROR(IF($E23="Onshore",$AA23*1,IF($E23="Hybrid",$AA23*MIN('0.3 Squad Archetypes'!$K$8,$AC23)/$AC23+$AB23*($AC23-MIN('0.3 Squad Archetypes'!$K$8,$AC23))/$AC23,$AB23*1)),"check size")</f>
        <v>0.8</v>
      </c>
      <c r="I23" s="725">
        <f>IFERROR($H23*$G23,"")</f>
        <v>0.64</v>
      </c>
      <c r="J23" s="725">
        <f>IFERROR($H23*(1-$G23),"")</f>
        <v>0.16</v>
      </c>
      <c r="K23" s="541">
        <f>IFERROR(INDEX('2.4 TDD Group Functions'!$S$8:$S$24,MATCH($B23,'2.4 TDD Group Functions'!$B$8:$B$24,0)),"")</f>
        <v>0.6776857512</v>
      </c>
      <c r="L23" s="541">
        <f>IF(AND(ISNUMBER($H23),ISNUMBER($K23)),ROUND($K23-$H23,6),"")</f>
        <v>-0.122314</v>
      </c>
      <c r="M23" s="868" t="n"/>
      <c r="N23" s="868" t="n"/>
      <c r="O23" s="868" t="n"/>
      <c r="P23" s="868" t="n"/>
      <c r="Q23" s="868" t="n"/>
      <c r="R23" s="868" t="n"/>
      <c r="S23" s="534" t="n">
        <v>4.5</v>
      </c>
      <c r="T23" s="534" t="n">
        <v>8</v>
      </c>
      <c r="U23" s="996" t="inlineStr">
        <is>
          <t>Remove Lead Engineer Software and Test Automation</t>
        </is>
      </c>
      <c r="V23" s="534" t="n">
        <v>3</v>
      </c>
      <c r="W23" s="534" t="n">
        <v>6</v>
      </c>
      <c r="X23" s="996" t="inlineStr">
        <is>
          <t>exception</t>
        </is>
      </c>
      <c r="AA23" s="920">
        <f>IFERROR(INDEX('0.3 Squad Archetypes'!$G$5:$G$23,MATCH($C23&amp;"|"&amp;$D23,'0.3 Squad Archetypes'!$A$5:$A$23,0)),"")</f>
        <v>0.8</v>
      </c>
      <c r="AB23" s="920">
        <f>IFERROR(INDEX('0.3 Squad Archetypes'!$H$5:$H$23,MATCH($C23&amp;"|"&amp;$D23,'0.3 Squad Archetypes'!$A$5:$A$23,0)),"")</f>
        <v>0.32</v>
      </c>
      <c r="AC23" s="920">
        <f>IFERROR(INDEX('0.3 Squad Archetypes'!$F$5:$F$23,MATCH($C23&amp;"|"&amp;$D23,'0.3 Squad Archetypes'!$A$5:$A$23,0)),"")</f>
        <v>4.5</v>
      </c>
    </row>
    <row r="24" ht="14.25" customHeight="1" s="535">
      <c r="B24" s="716" t="inlineStr">
        <is>
          <t>Integration &amp; Process Automation</t>
        </is>
      </c>
      <c r="C24" s="917" t="inlineStr">
        <is>
          <t>Configuration / Integration</t>
        </is>
      </c>
      <c r="D24" s="917" t="inlineStr">
        <is>
          <t>M</t>
        </is>
      </c>
      <c r="E24" s="917" t="inlineStr">
        <is>
          <t>Onshore</t>
        </is>
      </c>
      <c r="F24" s="918" t="inlineStr">
        <is>
          <t>AU</t>
        </is>
      </c>
      <c r="G24" s="919" t="n">
        <v>0.7</v>
      </c>
      <c r="H24" s="920">
        <f>IFERROR(IF($E24="Onshore",$AA24*1,IF($E24="Hybrid",$AA24*MIN('0.3 Squad Archetypes'!$K$8,$AC24)/$AC24+$AB24*($AC24-MIN('0.3 Squad Archetypes'!$K$8,$AC24))/$AC24,$AB24*1)),"check size")</f>
        <v>2.1</v>
      </c>
      <c r="I24" s="725">
        <f>IFERROR($H24*$G24,"")</f>
        <v>1.47</v>
      </c>
      <c r="J24" s="725">
        <f>IFERROR($H24*(1-$G24),"")</f>
        <v>0.63</v>
      </c>
      <c r="K24" s="541">
        <f>IFERROR(INDEX('2.4 TDD Group Functions'!$S$8:$S$24,MATCH($B24,'2.4 TDD Group Functions'!$B$8:$B$24,0)),"")</f>
        <v>1.78533354104348</v>
      </c>
      <c r="L24" s="541">
        <f>IF(AND(ISNUMBER($H24),ISNUMBER($K24)),ROUND($K24-$H24,6),"")</f>
        <v>-0.314666</v>
      </c>
      <c r="M24" s="868" t="n"/>
      <c r="N24" s="868" t="n"/>
      <c r="O24" s="868" t="n"/>
      <c r="P24" s="868" t="n"/>
      <c r="Q24" s="868" t="n"/>
      <c r="R24" s="868" t="n"/>
      <c r="S24" s="534" t="n">
        <v>9</v>
      </c>
      <c r="T24" s="534" t="n">
        <v>10</v>
      </c>
      <c r="U24" s="996" t="inlineStr">
        <is>
          <t>Oversubscribed RPA costs</t>
        </is>
      </c>
      <c r="V24" s="534" t="n">
        <v>2</v>
      </c>
      <c r="W24" s="534" t="n">
        <v>10</v>
      </c>
      <c r="AA24" s="920">
        <f>IFERROR(INDEX('0.3 Squad Archetypes'!$G$5:$G$23,MATCH($C24&amp;"|"&amp;$D24,'0.3 Squad Archetypes'!$A$5:$A$23,0)),"")</f>
        <v>2.1</v>
      </c>
      <c r="AB24" s="920">
        <f>IFERROR(INDEX('0.3 Squad Archetypes'!$H$5:$H$23,MATCH($C24&amp;"|"&amp;$D24,'0.3 Squad Archetypes'!$A$5:$A$23,0)),"")</f>
        <v>0.84</v>
      </c>
      <c r="AC24" s="920">
        <f>IFERROR(INDEX('0.3 Squad Archetypes'!$F$5:$F$23,MATCH($C24&amp;"|"&amp;$D24,'0.3 Squad Archetypes'!$A$5:$A$23,0)),"")</f>
        <v>9</v>
      </c>
    </row>
    <row r="25" ht="14.25" customHeight="1" s="535">
      <c r="B25" s="716" t="inlineStr">
        <is>
          <t>Platform Overhead</t>
        </is>
      </c>
      <c r="F25" s="855" t="n"/>
      <c r="I25" s="879">
        <f>'0.2 Data Config'!$N$16</f>
        <v>0.165</v>
      </c>
    </row>
    <row r="26" ht="14.25" customHeight="1" s="535">
      <c r="B26" s="890" t="inlineStr">
        <is>
          <t>TDD Group Functions Total</t>
        </is>
      </c>
      <c r="C26" s="923" t="n"/>
      <c r="D26" s="923" t="n"/>
      <c r="E26" s="923" t="n"/>
      <c r="F26" s="924" t="n"/>
      <c r="G26" s="923" t="n"/>
      <c r="H26" s="925">
        <f>SUM(H21:H24)</f>
        <v>6.6</v>
      </c>
      <c r="I26" s="925">
        <f>SUM(I21:I25)</f>
        <v>5.285</v>
      </c>
      <c r="J26" s="925">
        <f>SUM(J21:J24)</f>
        <v>1.48</v>
      </c>
      <c r="K26" s="926">
        <f>SUM($K21,$K22,$K23,$K24)</f>
        <v>5.97561448064348</v>
      </c>
      <c r="L26" s="926">
        <f>IF(COUNT($H21,$H22,$H23,$H24)=4,IF(AND(ISNUMBER($H26),ISNUMBER($K26)),ROUND($K26-$H26,6),""),"")</f>
        <v>-0.624386</v>
      </c>
    </row>
    <row r="27" ht="14.25" customHeight="1" s="535">
      <c r="F27" s="855" t="n"/>
    </row>
    <row r="28" ht="18.75" customHeight="1" s="535">
      <c r="B28" s="874" t="inlineStr">
        <is>
          <t>Platform: EGI TDD</t>
        </is>
      </c>
      <c r="C28" s="538" t="n"/>
      <c r="D28" s="538" t="n"/>
      <c r="E28" s="538" t="n"/>
      <c r="F28" s="538" t="n"/>
      <c r="G28" s="538" t="n"/>
      <c r="H28" s="538" t="n"/>
      <c r="I28" s="538" t="n"/>
      <c r="J28" s="538" t="n"/>
      <c r="K28" s="538" t="n"/>
      <c r="L28" s="538" t="n"/>
    </row>
    <row r="29" ht="33.75" customHeight="1" s="535">
      <c r="B29" s="876" t="inlineStr">
        <is>
          <t>Squad</t>
        </is>
      </c>
      <c r="C29" s="905" t="inlineStr">
        <is>
          <t>Squad Type</t>
        </is>
      </c>
      <c r="D29" s="905" t="inlineStr">
        <is>
          <t>Size</t>
        </is>
      </c>
      <c r="E29" s="905" t="inlineStr">
        <is>
          <t>On/Off</t>
        </is>
      </c>
      <c r="F29" s="915" t="inlineStr">
        <is>
          <t>AU / NZ</t>
        </is>
      </c>
      <c r="G29" s="905" t="inlineStr">
        <is>
          <t>Support %</t>
        </is>
      </c>
      <c r="H29" s="905" t="inlineStr">
        <is>
          <t>Total Squad Cost ($m)</t>
        </is>
      </c>
      <c r="I29" s="678" t="inlineStr">
        <is>
          <t>TDD Cost ($m)</t>
        </is>
      </c>
      <c r="J29" s="905" t="inlineStr">
        <is>
          <t>Funded outside TDD ($m)</t>
        </is>
      </c>
      <c r="K29" s="877" t="inlineStr">
        <is>
          <t>Actual cost after levers ($m)</t>
        </is>
      </c>
      <c r="L29" s="877" t="inlineStr">
        <is>
          <t>Variance to archetype ($m)</t>
        </is>
      </c>
    </row>
    <row r="30" ht="14.25" customHeight="1" s="535">
      <c r="B30" s="716" t="inlineStr">
        <is>
          <t>EGI TDD</t>
        </is>
      </c>
      <c r="C30" s="917" t="inlineStr">
        <is>
          <t>Strategic Programs</t>
        </is>
      </c>
      <c r="D30" s="917" t="n"/>
      <c r="E30" s="917" t="inlineStr">
        <is>
          <t>Onshore</t>
        </is>
      </c>
      <c r="F30" s="918" t="n"/>
      <c r="G30" s="919" t="n">
        <v>0</v>
      </c>
      <c r="H30" s="879">
        <f>'2.4 TDD Group Functions'!$O$14</f>
        <v>1.32454851</v>
      </c>
      <c r="I30" s="725">
        <f>IFERROR($H30*$G30,"")</f>
        <v>0</v>
      </c>
      <c r="J30" s="725">
        <f>IFERROR($H30*(1-$G30),"")</f>
        <v>1.32454851</v>
      </c>
      <c r="K30" s="541">
        <f>IFERROR(INDEX('2.4 TDD Group Functions'!$S$8:$S$24,MATCH($B30,'2.4 TDD Group Functions'!$B$8:$B$24,0)),"")</f>
        <v>1.32454851</v>
      </c>
      <c r="L30" s="541">
        <f>IF(AND(ISNUMBER($H30),ISNUMBER($K30)),ROUND($K30-$H30,6),"")</f>
        <v>0</v>
      </c>
      <c r="M30" s="933" t="str">
        <f>"People in this program today cost "&amp;TEXT(SUMIFS('REVIEW - Complete Role Mapping'!$AE$2:$AE$700,'REVIEW - Complete Role Mapping'!$AL$2:$AL$700,$B30,'REVIEW - Complete Role Mapping'!$AH$2:$AH$700,'2.4 TDD Group Functions'!$C$3)/1000000,"0.00")&amp;"m. Set the agreed cost in the cream cell."</f>
        <v>People in this program today cost 1.32m. Set the agreed cost in the cream cell.</v>
      </c>
    </row>
    <row r="31" ht="14.25" customHeight="1" s="535">
      <c r="B31" s="890" t="inlineStr">
        <is>
          <t>EGI TDD Total</t>
        </is>
      </c>
      <c r="C31" s="922" t="n"/>
      <c r="D31" s="922" t="n"/>
      <c r="E31" s="922" t="n"/>
      <c r="F31" s="924" t="n"/>
      <c r="G31" s="922" t="n"/>
      <c r="H31" s="925">
        <f>SUM(H30:H30)</f>
        <v>1.32454851</v>
      </c>
      <c r="I31" s="925">
        <f>SUM(I30:I30)</f>
        <v>0</v>
      </c>
      <c r="J31" s="925">
        <f>SUM(J30:J30)</f>
        <v>1.32454851</v>
      </c>
      <c r="K31" s="926">
        <f>SUM($K30)</f>
        <v>1.32454851</v>
      </c>
      <c r="L31" s="926">
        <f>IF(COUNT($H30)=1,IF(AND(ISNUMBER($H31),ISNUMBER($K31)),ROUND($K31-$H31,6),""),"")</f>
        <v>0</v>
      </c>
    </row>
    <row r="32" ht="14.25" customHeight="1" s="535">
      <c r="F32" s="855" t="n"/>
    </row>
    <row r="33" ht="14.25" customHeight="1" s="535">
      <c r="B33" s="933" t="n"/>
      <c r="C33" s="935" t="n"/>
      <c r="D33" s="855" t="n"/>
      <c r="F33" s="855" t="n"/>
    </row>
    <row r="34" ht="14.25" customHeight="1" s="535">
      <c r="B34" s="933" t="n"/>
      <c r="C34" s="935" t="n"/>
      <c r="D34" s="855" t="n"/>
      <c r="F34" s="855" t="n"/>
    </row>
  </sheetData>
  <mergeCells count="9">
    <mergeCell ref="K7:L7"/>
    <mergeCell ref="B19:J19"/>
    <mergeCell ref="B4:E4"/>
    <mergeCell ref="K8:L8"/>
    <mergeCell ref="K6:L6"/>
    <mergeCell ref="K5:L5"/>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outlinePr summaryBelow="1" summaryRight="1"/>
    <pageSetUpPr fitToPage="1"/>
  </sheetPr>
  <dimension ref="A1:AC36"/>
  <sheetViews>
    <sheetView showFormulas="0" showGridLines="0" showRowColHeaders="1" showZeros="1" rightToLeft="0" tabSelected="0" showOutlineSymbols="1" defaultGridColor="1" view="normal" topLeftCell="A13"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20" customWidth="1" style="534" min="13" max="13"/>
    <col width="16" customWidth="1" style="534" min="14" max="14"/>
    <col width="15" customWidth="1" style="534" min="15" max="15"/>
    <col width="11" customWidth="1" style="534" min="16" max="16"/>
    <col width="9" customWidth="1" style="534" min="17" max="17"/>
    <col width="20" customWidth="1" style="534" min="19" max="19"/>
    <col width="16" customWidth="1" style="534" min="20" max="20"/>
    <col width="15" customWidth="1" style="534" min="21" max="21"/>
    <col width="11" customWidth="1" style="534" min="22" max="22"/>
    <col width="9" customWidth="1" style="534" min="23" max="23"/>
  </cols>
  <sheetData>
    <row r="1" ht="14.25" customHeight="1" s="535">
      <c r="F1" s="855" t="n"/>
    </row>
    <row r="2" ht="21" customHeight="1" s="535">
      <c r="B2" s="873" t="inlineStr">
        <is>
          <t>P&amp;C</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Config'!$E$18</f>
        <v>2</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Config'!$D$18)&gt;('0.2 Data Config'!$C$18),0,'0.2 Data Config'!$N$10)</f>
        <v>0.7975</v>
      </c>
      <c r="D6" s="701">
        <f>IF(('0.2 Data Config'!$D$18)&gt;('0.2 Data Config'!$C$18),'0.2 Data Config'!$N$10,0)</f>
        <v>0</v>
      </c>
      <c r="E6" s="701">
        <f>0</f>
        <v>0</v>
      </c>
      <c r="F6" s="701">
        <f>C6+D6+E6</f>
        <v>0.7975</v>
      </c>
      <c r="G6" s="991" t="n"/>
      <c r="H6" s="936" t="inlineStr">
        <is>
          <t>AU Budget ($m)</t>
        </is>
      </c>
      <c r="I6" s="997">
        <f>'0.2 Data Config'!$C$18</f>
        <v>1</v>
      </c>
      <c r="K6" s="539" t="inlineStr">
        <is>
          <t>Actual portfolio</t>
        </is>
      </c>
      <c r="L6" s="674" t="n"/>
      <c r="M6" s="881">
        <f>'2.5 P&amp;C'!$F$20</f>
        <v>17</v>
      </c>
      <c r="N6" s="541">
        <f>'2.5 P&amp;C'!$O$20</f>
        <v>3.92749623</v>
      </c>
    </row>
    <row r="7" ht="14.25" customHeight="1" s="535">
      <c r="B7" s="716" t="inlineStr">
        <is>
          <t>Platform Overheads</t>
        </is>
      </c>
      <c r="C7" s="701">
        <f>IF(('0.2 Data Config'!$D$18)&gt;('0.2 Data Config'!$C$18),0,SUM(I27))</f>
        <v>0.165</v>
      </c>
      <c r="D7" s="701">
        <f>IF(('0.2 Data Config'!$D$18)&gt;('0.2 Data Config'!$C$18),SUM(I27),0)</f>
        <v>0</v>
      </c>
      <c r="E7" s="701">
        <f>0</f>
        <v>0</v>
      </c>
      <c r="F7" s="701">
        <f>C7+D7+E7</f>
        <v>0.165</v>
      </c>
      <c r="G7" s="991" t="n"/>
      <c r="H7" s="680" t="inlineStr">
        <is>
          <t>NZ Budget ($m)</t>
        </is>
      </c>
      <c r="I7" s="974">
        <f>'0.2 Data Config'!$D$18</f>
        <v>1</v>
      </c>
      <c r="K7" s="539" t="inlineStr">
        <is>
          <t>Archetype portfolio</t>
        </is>
      </c>
      <c r="L7" s="674" t="n"/>
      <c r="M7" s="881">
        <f>'2.5 P&amp;C'!$E$20</f>
        <v>17.4</v>
      </c>
      <c r="N7" s="541">
        <f>'2.5 P&amp;C'!$N$20</f>
        <v>4.701465</v>
      </c>
    </row>
    <row r="8" ht="14.25" customHeight="1" s="535">
      <c r="B8" s="716" t="inlineStr">
        <is>
          <t>Squad Support Costs</t>
        </is>
      </c>
      <c r="C8" s="701">
        <f>SUMIF(F25:F26,"AU",I25:I26)+SUMIF(F32:F32,"AU",I32:I32)</f>
        <v>1.05</v>
      </c>
      <c r="D8" s="701">
        <f>SUMIF(F25:F26,"NZ",I25:I26)+SUMIF(F32:F32,"NZ",I32:I32)</f>
        <v>0</v>
      </c>
      <c r="E8" s="701">
        <f>SUM(J25,J26,J32)</f>
        <v>2.688965</v>
      </c>
      <c r="F8" s="701">
        <f>C8+D8+E8</f>
        <v>3.738965</v>
      </c>
      <c r="G8" s="991" t="n"/>
      <c r="H8" s="680" t="inlineStr">
        <is>
          <t>AU over/(under) budget ($m)</t>
        </is>
      </c>
      <c r="I8" s="974">
        <f>C9-I6</f>
        <v>1.0125</v>
      </c>
      <c r="K8" s="886" t="inlineStr">
        <is>
          <t>Variance</t>
        </is>
      </c>
      <c r="L8" s="887" t="n"/>
      <c r="M8" s="888">
        <f>IF(AND(ISNUMBER($M$7),ISNUMBER($M$6)),ROUND($M$6-$M$7,6),"")</f>
        <v>-0.4</v>
      </c>
      <c r="N8" s="889">
        <f>IF(AND(ISNUMBER($N$7),ISNUMBER($N$6)),ROUND($N$6-$N$7,6),"")</f>
        <v>-0.773969</v>
      </c>
    </row>
    <row r="9" ht="14.25" customHeight="1" s="535">
      <c r="B9" s="890" t="inlineStr">
        <is>
          <t>Total Cost</t>
        </is>
      </c>
      <c r="C9" s="891">
        <f>SUM(C6:C8)</f>
        <v>2.0125</v>
      </c>
      <c r="D9" s="891">
        <f>SUM(D6:D8)</f>
        <v>0</v>
      </c>
      <c r="E9" s="891">
        <f>SUM(E6:E8)</f>
        <v>2.688965</v>
      </c>
      <c r="F9" s="891">
        <f>SUM(F6:F8)</f>
        <v>4.701465</v>
      </c>
      <c r="G9" s="892">
        <f>$N$6</f>
        <v>3.92749623</v>
      </c>
      <c r="H9" s="680" t="inlineStr">
        <is>
          <t>NZ over/(under) budget ($m)</t>
        </is>
      </c>
      <c r="I9" s="974">
        <f>D9-I7</f>
        <v>-1</v>
      </c>
    </row>
    <row r="10" ht="33.75" customHeight="1" s="535">
      <c r="E10" s="895" t="inlineStr">
        <is>
          <t>Variance to actuals</t>
        </is>
      </c>
      <c r="F10" s="896">
        <f>$G$9-$F$9</f>
        <v>-0.773968770000001</v>
      </c>
      <c r="H10" s="680" t="inlineStr">
        <is>
          <t>TDD over/(under) budget ($m)</t>
        </is>
      </c>
      <c r="I10" s="974">
        <f>I8+I9</f>
        <v>0.0125000000000002</v>
      </c>
    </row>
    <row r="11" ht="18.75" customHeight="1" s="535">
      <c r="F11" s="855" t="n"/>
      <c r="H11" s="537" t="inlineStr">
        <is>
          <t>Other funding</t>
        </is>
      </c>
      <c r="I11" s="992" t="n"/>
      <c r="J11" s="538" t="n"/>
      <c r="K11" s="538" t="n"/>
      <c r="L11" s="538" t="n"/>
    </row>
    <row r="12" ht="33.75" customHeight="1" s="535">
      <c r="B12" s="945" t="inlineStr">
        <is>
          <t xml:space="preserve">Total P&amp;C budget </t>
        </is>
      </c>
      <c r="D12" s="946" t="n"/>
      <c r="E12" s="914">
        <f>SUM(I13:I18)</f>
        <v>5.8</v>
      </c>
      <c r="F12" s="855" t="n"/>
      <c r="H12" s="962" t="inlineStr">
        <is>
          <t>Budget line</t>
        </is>
      </c>
      <c r="I12" s="962" t="inlineStr">
        <is>
          <t>Budget ($m)</t>
        </is>
      </c>
      <c r="J12" s="964" t="inlineStr">
        <is>
          <t>Amount that can be allocated to people</t>
        </is>
      </c>
      <c r="K12" s="964" t="inlineStr">
        <is>
          <t>Remaining for non-people ($m)</t>
        </is>
      </c>
      <c r="L12" s="1000" t="inlineStr">
        <is>
          <t>Notes</t>
        </is>
      </c>
    </row>
    <row r="13" ht="33.75" customHeight="1" s="535">
      <c r="B13" s="945" t="inlineStr">
        <is>
          <t xml:space="preserve">Reconciled to Finance </t>
        </is>
      </c>
      <c r="D13" s="946" t="n"/>
      <c r="E13" s="914">
        <f>'0.1 Budget Table (Fin)'!Q12</f>
        <v>5.8</v>
      </c>
      <c r="F13" s="855" t="n"/>
      <c r="H13" s="965" t="inlineStr">
        <is>
          <t>P&amp;C Lights On</t>
        </is>
      </c>
      <c r="I13" s="970">
        <f>'0.1 Budget Table (Fin)'!L12</f>
        <v>2.1</v>
      </c>
      <c r="J13" s="1001">
        <f>N('0.1 Budget Table (Fin)'!G12)</f>
        <v>0</v>
      </c>
      <c r="K13" s="969">
        <f>IFERROR(I13-J13,0)</f>
        <v>2.1</v>
      </c>
      <c r="L13" s="1002" t="inlineStr">
        <is>
          <t xml:space="preserve">AU/ NZ blended rate required to draw down  </t>
        </is>
      </c>
    </row>
    <row r="14" ht="14.25" customHeight="1" s="535">
      <c r="F14" s="855" t="n"/>
      <c r="H14" s="965" t="inlineStr">
        <is>
          <t>OpEx Initiatives</t>
        </is>
      </c>
      <c r="I14" s="970">
        <f>'0.1 Budget Table (Fin)'!N12</f>
        <v>2</v>
      </c>
      <c r="J14" s="970">
        <f>0.5*I14</f>
        <v>1</v>
      </c>
      <c r="K14" s="969">
        <f>IFERROR(I14-J14,0)</f>
        <v>1</v>
      </c>
    </row>
    <row r="15" ht="14.25" customHeight="1" s="535">
      <c r="B15" s="899" t="inlineStr">
        <is>
          <t>Total to fund</t>
        </is>
      </c>
      <c r="C15" s="900" t="n"/>
      <c r="F15" s="855" t="n"/>
      <c r="H15" s="965" t="inlineStr">
        <is>
          <t>CapEx</t>
        </is>
      </c>
      <c r="I15" s="970">
        <f>'0.1 Budget Table (Fin)'!P12</f>
        <v>0.3</v>
      </c>
      <c r="J15" s="970">
        <f>0.5*I15</f>
        <v>0.15</v>
      </c>
      <c r="K15" s="969">
        <f>IFERROR(I15-J15,0)</f>
        <v>0.15</v>
      </c>
    </row>
    <row r="16" ht="14.25" customHeight="1" s="535">
      <c r="B16" s="901" t="inlineStr">
        <is>
          <t>TDD Variance</t>
        </is>
      </c>
      <c r="C16" s="949">
        <f>I8+I9</f>
        <v>0.0125000000000002</v>
      </c>
      <c r="F16" s="855" t="n"/>
      <c r="H16" s="965" t="inlineStr">
        <is>
          <t>Significant Items</t>
        </is>
      </c>
      <c r="I16" s="970">
        <f>'0.1 Budget Table (Fin)'!O12</f>
        <v>1.4</v>
      </c>
      <c r="J16" s="970">
        <f>0.5*I16</f>
        <v>0.7</v>
      </c>
      <c r="K16" s="969">
        <f>IFERROR(I16-J16,0)</f>
        <v>0.7</v>
      </c>
    </row>
    <row r="17" ht="14.25" customHeight="1" s="535">
      <c r="B17" s="901" t="inlineStr">
        <is>
          <t>Other Variance</t>
        </is>
      </c>
      <c r="C17" s="902">
        <f>J21</f>
        <v>0.6</v>
      </c>
      <c r="F17" s="855" t="n"/>
      <c r="H17" s="965" t="inlineStr">
        <is>
          <t>Significant Items EGI</t>
        </is>
      </c>
      <c r="I17" s="970" t="n"/>
      <c r="J17" s="970">
        <f>J32</f>
        <v>0.238965</v>
      </c>
      <c r="K17" s="969" t="n"/>
    </row>
    <row r="18" ht="14.25" customHeight="1" s="535">
      <c r="B18" s="906" t="inlineStr">
        <is>
          <t>Total</t>
        </is>
      </c>
      <c r="C18" s="907">
        <f>C16+C17</f>
        <v>0.6125</v>
      </c>
      <c r="F18" s="855" t="n"/>
      <c r="H18" s="965" t="inlineStr">
        <is>
          <t>Depreciation</t>
        </is>
      </c>
      <c r="I18" s="970">
        <f>N('0.1 Budget Table (Fin)'!M12)</f>
        <v>0</v>
      </c>
      <c r="J18" s="1003" t="n">
        <v>0</v>
      </c>
      <c r="K18" s="969">
        <f>IFERROR(I18-J18,0)</f>
        <v>0</v>
      </c>
    </row>
    <row r="19" ht="14.25" customHeight="1" s="535">
      <c r="F19" s="855" t="n"/>
      <c r="H19" s="983" t="inlineStr">
        <is>
          <t>Total applied</t>
        </is>
      </c>
      <c r="I19" s="866" t="n"/>
      <c r="J19" s="984">
        <f>SUM(J13:J18)</f>
        <v>2.088965</v>
      </c>
      <c r="K19" s="866" t="n"/>
      <c r="M19" s="868" t="inlineStr">
        <is>
          <t>Check $1.85m recharge in 26</t>
        </is>
      </c>
    </row>
    <row r="20" ht="14.25" customHeight="1" s="535">
      <c r="F20" s="855" t="n"/>
      <c r="H20" s="965" t="inlineStr">
        <is>
          <t>Other cost (this model)</t>
        </is>
      </c>
      <c r="I20" s="866" t="n"/>
      <c r="J20" s="969">
        <f>E9</f>
        <v>2.688965</v>
      </c>
      <c r="K20" s="866" t="n"/>
    </row>
    <row r="21" ht="14.25" customHeight="1" s="535">
      <c r="F21" s="855" t="n"/>
      <c r="H21" s="971" t="inlineStr">
        <is>
          <t>Left to fund</t>
        </is>
      </c>
      <c r="I21" s="866" t="n"/>
      <c r="J21" s="972">
        <f>E9-(J19-J13)</f>
        <v>0.6</v>
      </c>
      <c r="K21" s="866" t="n"/>
    </row>
    <row r="22" ht="14.25" customHeight="1" s="535">
      <c r="F22" s="855" t="n"/>
    </row>
    <row r="23" ht="18.75" customHeight="1" s="535">
      <c r="B23" s="977" t="inlineStr">
        <is>
          <t>Platform: P&amp;C</t>
        </is>
      </c>
      <c r="C23" s="912" t="n"/>
      <c r="D23" s="912" t="n"/>
      <c r="E23" s="912" t="n"/>
      <c r="F23" s="912" t="n"/>
      <c r="G23" s="912" t="n"/>
      <c r="H23" s="912" t="n"/>
      <c r="I23" s="912" t="n"/>
      <c r="J23" s="913" t="n"/>
      <c r="K23" s="538" t="n"/>
      <c r="L23" s="538" t="n"/>
    </row>
    <row r="24" ht="33.75" customHeight="1" s="535">
      <c r="B24" s="961" t="inlineStr">
        <is>
          <t>Squad</t>
        </is>
      </c>
      <c r="C24" s="962" t="inlineStr">
        <is>
          <t>Squad Type</t>
        </is>
      </c>
      <c r="D24" s="962" t="inlineStr">
        <is>
          <t>Size</t>
        </is>
      </c>
      <c r="E24" s="962" t="inlineStr">
        <is>
          <t>On/Off</t>
        </is>
      </c>
      <c r="F24" s="915" t="inlineStr">
        <is>
          <t>AU / NZ</t>
        </is>
      </c>
      <c r="G24" s="962" t="inlineStr">
        <is>
          <t>Support %</t>
        </is>
      </c>
      <c r="H24" s="963" t="inlineStr">
        <is>
          <t>Total Squad Cost ($m)</t>
        </is>
      </c>
      <c r="I24" s="964" t="inlineStr">
        <is>
          <t>TDD Cost ($m)</t>
        </is>
      </c>
      <c r="J24" s="962" t="inlineStr">
        <is>
          <t>Funded outside TDD ($m)</t>
        </is>
      </c>
      <c r="K24" s="877" t="inlineStr">
        <is>
          <t>Actual cost after levers ($m)</t>
        </is>
      </c>
      <c r="L24" s="877" t="inlineStr">
        <is>
          <t>Variance to archetype ($m)</t>
        </is>
      </c>
      <c r="M24" s="868" t="n"/>
      <c r="N24" s="868" t="n"/>
      <c r="O24" s="868" t="n"/>
      <c r="P24" s="868" t="n"/>
      <c r="Q24" s="868" t="n"/>
      <c r="S24" s="994" t="inlineStr">
        <is>
          <t>Nbr Archetype Roles</t>
        </is>
      </c>
      <c r="T24" s="995" t="inlineStr">
        <is>
          <t>Published Roles</t>
        </is>
      </c>
      <c r="U24" s="994" t="inlineStr">
        <is>
          <t>Review Outcome</t>
        </is>
      </c>
      <c r="V24" s="994" t="inlineStr">
        <is>
          <t>Vacant Now</t>
        </is>
      </c>
      <c r="W24" s="994" t="inlineStr">
        <is>
          <t>FY27</t>
        </is>
      </c>
      <c r="AA24" s="963" t="inlineStr">
        <is>
          <t>Onshore rate ($m)</t>
        </is>
      </c>
      <c r="AB24" s="963" t="inlineStr">
        <is>
          <t>Offshore rate ($m)</t>
        </is>
      </c>
      <c r="AC24" s="963" t="inlineStr">
        <is>
          <t>Archetype roles</t>
        </is>
      </c>
    </row>
    <row r="25" ht="14.25" customHeight="1" s="535">
      <c r="B25" s="965" t="inlineStr">
        <is>
          <t>P&amp;C</t>
        </is>
      </c>
      <c r="C25" s="966" t="inlineStr">
        <is>
          <t>Configuration / Integration</t>
        </is>
      </c>
      <c r="D25" s="966" t="inlineStr">
        <is>
          <t>M</t>
        </is>
      </c>
      <c r="E25" s="966" t="inlineStr">
        <is>
          <t>Onshore</t>
        </is>
      </c>
      <c r="F25" s="918" t="inlineStr">
        <is>
          <t>AU</t>
        </is>
      </c>
      <c r="G25" s="967" t="n">
        <v>0.3</v>
      </c>
      <c r="H25" s="968">
        <f>IFERROR(IF($E25="Onshore",$AA25*1,IF($E25="Hybrid",$AA25*MIN('0.3 Squad Archetypes'!$K$8,$AC25)/$AC25+$AB25*($AC25-MIN('0.3 Squad Archetypes'!$K$8,$AC25))/$AC25,$AB25*1)),"check size")</f>
        <v>2.1</v>
      </c>
      <c r="I25" s="969">
        <f>IFERROR($H25*$G25,"")</f>
        <v>0.63</v>
      </c>
      <c r="J25" s="969">
        <f>IFERROR($H25*(1-$G25),"")</f>
        <v>1.47</v>
      </c>
      <c r="K25" s="541">
        <f>IFERROR(INDEX('2.5 P&amp;C'!$S$8:$S$20,MATCH($B25,'2.5 P&amp;C'!$B$8:$B$20,0)),"")</f>
        <v>1.66322408</v>
      </c>
      <c r="L25" s="541">
        <f>IF(AND(ISNUMBER($H25),ISNUMBER($K25)),ROUND($K25-$H25,6),"")</f>
        <v>-0.436776</v>
      </c>
      <c r="M25" s="868" t="n"/>
      <c r="N25" s="868" t="n"/>
      <c r="O25" s="868" t="n"/>
      <c r="P25" s="868" t="n"/>
      <c r="Q25" s="868" t="n"/>
      <c r="S25" s="534" t="n">
        <v>9</v>
      </c>
      <c r="T25" s="534" t="n">
        <v>9</v>
      </c>
      <c r="V25" s="534" t="n">
        <v>4</v>
      </c>
      <c r="AA25" s="968">
        <f>IFERROR(INDEX('0.3 Squad Archetypes'!$G$5:$G$23,MATCH($C25&amp;"|"&amp;$D25,'0.3 Squad Archetypes'!$A$5:$A$23,0)),"")</f>
        <v>2.1</v>
      </c>
      <c r="AB25" s="968">
        <f>IFERROR(INDEX('0.3 Squad Archetypes'!$H$5:$H$23,MATCH($C25&amp;"|"&amp;$D25,'0.3 Squad Archetypes'!$A$5:$A$23,0)),"")</f>
        <v>0.84</v>
      </c>
      <c r="AC25" s="968">
        <f>IFERROR(INDEX('0.3 Squad Archetypes'!$F$5:$F$23,MATCH($C25&amp;"|"&amp;$D25,'0.3 Squad Archetypes'!$A$5:$A$23,0)),"")</f>
        <v>9</v>
      </c>
    </row>
    <row r="26" ht="14.25" customHeight="1" s="535">
      <c r="B26" s="965" t="inlineStr">
        <is>
          <t>P&amp;C RTA</t>
        </is>
      </c>
      <c r="C26" s="966" t="inlineStr">
        <is>
          <t>Configuration / Integration</t>
        </is>
      </c>
      <c r="D26" s="966" t="inlineStr">
        <is>
          <t>S</t>
        </is>
      </c>
      <c r="E26" s="966" t="inlineStr">
        <is>
          <t>Onshore</t>
        </is>
      </c>
      <c r="F26" s="918" t="inlineStr">
        <is>
          <t>AU</t>
        </is>
      </c>
      <c r="G26" s="967" t="n">
        <v>0.3</v>
      </c>
      <c r="H26" s="968">
        <f>IFERROR(IF($E26="Onshore",$AA26*1,IF($E26="Hybrid",$AA26*MIN('0.3 Squad Archetypes'!$K$8,$AC26)/$AC26+$AB26*($AC26-MIN('0.3 Squad Archetypes'!$K$8,$AC26))/$AC26,$AB26*1)),"check size")</f>
        <v>1.4</v>
      </c>
      <c r="I26" s="969">
        <f>IFERROR($H26*$G26,"")</f>
        <v>0.42</v>
      </c>
      <c r="J26" s="969">
        <f>IFERROR($H26*(1-$G26),"")</f>
        <v>0.98</v>
      </c>
      <c r="K26" s="541">
        <f>IFERROR(INDEX('2.5 P&amp;C'!$S$8:$S$20,MATCH($B26,'2.5 P&amp;C'!$B$8:$B$20,0)),"")</f>
        <v>0.8842943</v>
      </c>
      <c r="L26" s="541">
        <f>IF(AND(ISNUMBER($H26),ISNUMBER($K26)),ROUND($K26-$H26,6),"")</f>
        <v>-0.515706</v>
      </c>
      <c r="M26" s="868" t="n"/>
      <c r="N26" s="868" t="n"/>
      <c r="O26" s="868" t="n"/>
      <c r="P26" s="868" t="n"/>
      <c r="Q26" s="868" t="n"/>
      <c r="S26" s="534" t="n">
        <v>6</v>
      </c>
      <c r="T26" s="534" t="n">
        <v>5</v>
      </c>
      <c r="V26" s="534" t="n">
        <v>5</v>
      </c>
      <c r="W26" s="534" t="n">
        <v>5</v>
      </c>
      <c r="AA26" s="968">
        <f>IFERROR(INDEX('0.3 Squad Archetypes'!$G$5:$G$23,MATCH($C26&amp;"|"&amp;$D26,'0.3 Squad Archetypes'!$A$5:$A$23,0)),"")</f>
        <v>1.4</v>
      </c>
      <c r="AB26" s="968">
        <f>IFERROR(INDEX('0.3 Squad Archetypes'!$H$5:$H$23,MATCH($C26&amp;"|"&amp;$D26,'0.3 Squad Archetypes'!$A$5:$A$23,0)),"")</f>
        <v>0.56</v>
      </c>
      <c r="AC26" s="968">
        <f>IFERROR(INDEX('0.3 Squad Archetypes'!$F$5:$F$23,MATCH($C26&amp;"|"&amp;$D26,'0.3 Squad Archetypes'!$A$5:$A$23,0)),"")</f>
        <v>6</v>
      </c>
    </row>
    <row r="27" ht="14.25" customHeight="1" s="535">
      <c r="B27" s="965" t="inlineStr">
        <is>
          <t>Platform Overhead</t>
        </is>
      </c>
      <c r="F27" s="855" t="n"/>
      <c r="H27" s="866" t="n"/>
      <c r="I27" s="970">
        <f>'0.2 Data Config'!$N$16</f>
        <v>0.165</v>
      </c>
      <c r="J27" s="866" t="n"/>
    </row>
    <row r="28" ht="14.25" customHeight="1" s="535">
      <c r="B28" s="971" t="inlineStr">
        <is>
          <t>P&amp;C Total</t>
        </is>
      </c>
      <c r="C28" s="923" t="n"/>
      <c r="D28" s="923" t="n"/>
      <c r="E28" s="923" t="n"/>
      <c r="F28" s="924" t="n"/>
      <c r="G28" s="923" t="n"/>
      <c r="H28" s="972">
        <f>SUM(H25:H26)</f>
        <v>3.5</v>
      </c>
      <c r="I28" s="972">
        <f>SUM(I25:I27)</f>
        <v>1.215</v>
      </c>
      <c r="J28" s="972">
        <f>SUM(J25:J26)</f>
        <v>2.45</v>
      </c>
      <c r="K28" s="926">
        <f>SUM($K25,$K26)</f>
        <v>2.54751838</v>
      </c>
      <c r="L28" s="926">
        <f>IF(COUNT($H25,$H26)=2,IF(AND(ISNUMBER($H28),ISNUMBER($K28)),ROUND($K28-$H28,6),""),"")</f>
        <v>-0.952482</v>
      </c>
    </row>
    <row r="29" ht="14.25" customHeight="1" s="535">
      <c r="F29" s="855" t="n"/>
    </row>
    <row r="30" ht="18.75" customHeight="1" s="535">
      <c r="B30" s="874" t="inlineStr">
        <is>
          <t>Platform: EGI P&amp;C</t>
        </is>
      </c>
      <c r="C30" s="538" t="n"/>
      <c r="D30" s="538" t="n"/>
      <c r="E30" s="538" t="n"/>
      <c r="F30" s="538" t="n"/>
      <c r="G30" s="538" t="n"/>
      <c r="H30" s="538" t="n"/>
      <c r="I30" s="538" t="n"/>
      <c r="J30" s="538" t="n"/>
      <c r="K30" s="538" t="n"/>
      <c r="L30" s="538" t="n"/>
    </row>
    <row r="31" ht="33.75" customHeight="1" s="535">
      <c r="B31" s="876" t="inlineStr">
        <is>
          <t>Squad</t>
        </is>
      </c>
      <c r="C31" s="905" t="inlineStr">
        <is>
          <t>Squad Type</t>
        </is>
      </c>
      <c r="D31" s="905" t="inlineStr">
        <is>
          <t>Size</t>
        </is>
      </c>
      <c r="E31" s="905" t="inlineStr">
        <is>
          <t>On/Off</t>
        </is>
      </c>
      <c r="F31" s="915" t="inlineStr">
        <is>
          <t>AU / NZ</t>
        </is>
      </c>
      <c r="G31" s="905" t="inlineStr">
        <is>
          <t>Support %</t>
        </is>
      </c>
      <c r="H31" s="905" t="inlineStr">
        <is>
          <t>Total Squad Cost ($m)</t>
        </is>
      </c>
      <c r="I31" s="678" t="inlineStr">
        <is>
          <t>TDD Cost ($m)</t>
        </is>
      </c>
      <c r="J31" s="905" t="inlineStr">
        <is>
          <t>Funded outside TDD ($m)</t>
        </is>
      </c>
      <c r="K31" s="877" t="inlineStr">
        <is>
          <t>Actual cost after levers ($m)</t>
        </is>
      </c>
      <c r="L31" s="877" t="inlineStr">
        <is>
          <t>Variance to archetype ($m)</t>
        </is>
      </c>
    </row>
    <row r="32" ht="14.25" customHeight="1" s="535">
      <c r="B32" s="716" t="inlineStr">
        <is>
          <t>EGI P&amp;C</t>
        </is>
      </c>
      <c r="C32" s="917" t="inlineStr">
        <is>
          <t>Strategic Programs</t>
        </is>
      </c>
      <c r="D32" s="917" t="n"/>
      <c r="E32" s="917" t="inlineStr">
        <is>
          <t>Onshore</t>
        </is>
      </c>
      <c r="F32" s="918" t="inlineStr">
        <is>
          <t>AU</t>
        </is>
      </c>
      <c r="G32" s="919" t="n">
        <v>0</v>
      </c>
      <c r="H32" s="879">
        <f>'2.5 P&amp;C'!$O$12</f>
        <v>0.238965</v>
      </c>
      <c r="I32" s="725">
        <f>IFERROR($H32*$G32,"")</f>
        <v>0</v>
      </c>
      <c r="J32" s="725">
        <f>IFERROR($H32*(1-$G32),"")</f>
        <v>0.238965</v>
      </c>
      <c r="K32" s="541">
        <f>IFERROR(INDEX('2.5 P&amp;C'!$S$8:$S$20,MATCH($B32,'2.5 P&amp;C'!$B$8:$B$20,0)),"")</f>
        <v>0.238965</v>
      </c>
      <c r="L32" s="541">
        <f>IF(AND(ISNUMBER($H32),ISNUMBER($K32)),ROUND($K32-$H32,6),"")</f>
        <v>0</v>
      </c>
      <c r="N32" s="933" t="str">
        <f>"People in this program today cost "&amp;TEXT(SUMIFS('REVIEW - Complete Role Mapping'!$AE$2:$AE$700,'REVIEW - Complete Role Mapping'!$AL$2:$AL$700,$B32,'REVIEW - Complete Role Mapping'!$AH$2:$AH$700,'2.5 P&amp;C'!$C$3)/1000000,"0.00")&amp;"m. Set the agreed cost in the cream cell."</f>
        <v>People in this program today cost 0.24m. Set the agreed cost in the cream cell.</v>
      </c>
    </row>
    <row r="33" ht="14.25" customHeight="1" s="535">
      <c r="B33" s="890" t="inlineStr">
        <is>
          <t>EGI P&amp;C Total</t>
        </is>
      </c>
      <c r="C33" s="922" t="n"/>
      <c r="D33" s="922" t="n"/>
      <c r="E33" s="922" t="n"/>
      <c r="F33" s="924" t="n"/>
      <c r="G33" s="922" t="n"/>
      <c r="H33" s="925">
        <f>SUM(H32:H32)</f>
        <v>0.238965</v>
      </c>
      <c r="I33" s="925">
        <f>SUM(I32:I32)</f>
        <v>0</v>
      </c>
      <c r="J33" s="925">
        <f>SUM(J32:J32)</f>
        <v>0.238965</v>
      </c>
      <c r="K33" s="926">
        <f>SUM($K32)</f>
        <v>0.238965</v>
      </c>
      <c r="L33" s="926">
        <f>IF(COUNT($H32)=1,IF(AND(ISNUMBER($H33),ISNUMBER($K33)),ROUND($K33-$H33,6),""),"")</f>
        <v>0</v>
      </c>
    </row>
    <row r="34" ht="14.25" customHeight="1" s="535">
      <c r="F34" s="855" t="n"/>
    </row>
    <row r="35" ht="14.25" customHeight="1" s="535">
      <c r="B35" s="933" t="n"/>
      <c r="C35" s="935" t="n"/>
      <c r="D35" s="855" t="n"/>
      <c r="F35" s="855" t="n"/>
    </row>
    <row r="36" ht="14.25" customHeight="1" s="535">
      <c r="B36" s="933" t="n"/>
      <c r="C36" s="935" t="n"/>
      <c r="D36" s="855" t="n"/>
      <c r="F36" s="855" t="n"/>
    </row>
  </sheetData>
  <mergeCells count="9">
    <mergeCell ref="K7:L7"/>
    <mergeCell ref="B4:E4"/>
    <mergeCell ref="K8:L8"/>
    <mergeCell ref="K6:L6"/>
    <mergeCell ref="B23:J23"/>
    <mergeCell ref="K5:L5"/>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outlinePr summaryBelow="1" summaryRight="1"/>
    <pageSetUpPr fitToPage="1"/>
  </sheetPr>
  <dimension ref="A1:AC37"/>
  <sheetViews>
    <sheetView showFormulas="0" showGridLines="0" showRowColHeaders="1" showZeros="1" rightToLeft="0" tabSelected="0" showOutlineSymbols="1" defaultGridColor="1" view="normal" topLeftCell="A17"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5.73" customWidth="1" style="534" min="13" max="13"/>
    <col width="20" customWidth="1" style="534" min="19" max="19"/>
    <col width="16" customWidth="1" style="534" min="20" max="20"/>
    <col width="15" customWidth="1" style="534" min="21" max="21"/>
    <col width="11" customWidth="1" style="534" min="22" max="22"/>
    <col width="9" customWidth="1" style="534" min="23" max="23"/>
  </cols>
  <sheetData>
    <row r="1" ht="14.25" customHeight="1" s="535">
      <c r="F1" s="855" t="n"/>
    </row>
    <row r="2" ht="21" customHeight="1" s="535">
      <c r="B2" s="873" t="inlineStr">
        <is>
          <t>Finance</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Config'!$E$19</f>
        <v>2</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Config'!$D$19)&gt;('0.2 Data Config'!$C$19),0,'0.2 Data Config'!$N$10)</f>
        <v>0.7975</v>
      </c>
      <c r="D6" s="701">
        <f>IF(('0.2 Data Config'!$D$19)&gt;('0.2 Data Config'!$C$19),'0.2 Data Config'!$N$10,0)</f>
        <v>0</v>
      </c>
      <c r="E6" s="701">
        <f>0</f>
        <v>0</v>
      </c>
      <c r="F6" s="701">
        <f>C6+D6+E6</f>
        <v>0.7975</v>
      </c>
      <c r="G6" s="991" t="n"/>
      <c r="H6" s="936" t="inlineStr">
        <is>
          <t>AU Budget ($m)</t>
        </is>
      </c>
      <c r="I6" s="937">
        <f>'0.2 Data Config'!$C$19</f>
        <v>1</v>
      </c>
      <c r="K6" s="539" t="inlineStr">
        <is>
          <t>Actual portfolio</t>
        </is>
      </c>
      <c r="L6" s="674" t="n"/>
      <c r="M6" s="881">
        <f>'2.6 Finance'!$F$20</f>
        <v>17</v>
      </c>
      <c r="N6" s="541">
        <f>'2.6 Finance'!$O$20</f>
        <v>3.5428346605</v>
      </c>
    </row>
    <row r="7" ht="14.25" customHeight="1" s="535">
      <c r="B7" s="716" t="inlineStr">
        <is>
          <t>Platform Overheads</t>
        </is>
      </c>
      <c r="C7" s="701">
        <f>IF(('0.2 Data Config'!$D$19)&gt;('0.2 Data Config'!$C$19),0,SUM(I28))</f>
        <v>0.165</v>
      </c>
      <c r="D7" s="701">
        <f>IF(('0.2 Data Config'!$D$19)&gt;('0.2 Data Config'!$C$19),SUM(I28),0)</f>
        <v>0</v>
      </c>
      <c r="E7" s="701">
        <f>0</f>
        <v>0</v>
      </c>
      <c r="F7" s="701">
        <f>C7+D7+E7</f>
        <v>0.165</v>
      </c>
      <c r="G7" s="991" t="n"/>
      <c r="H7" s="938" t="inlineStr">
        <is>
          <t>NZ Budget ($m)</t>
        </is>
      </c>
      <c r="I7" s="939">
        <f>'0.2 Data Config'!$D$19</f>
        <v>1</v>
      </c>
      <c r="K7" s="539" t="inlineStr">
        <is>
          <t>Archetype portfolio</t>
        </is>
      </c>
      <c r="L7" s="674" t="n"/>
      <c r="M7" s="881">
        <f>'2.6 Finance'!$E$20</f>
        <v>17.4</v>
      </c>
      <c r="N7" s="541">
        <f>'2.6 Finance'!$N$20</f>
        <v>4.70422845</v>
      </c>
    </row>
    <row r="8" ht="14.25" customHeight="1" s="535">
      <c r="B8" s="716" t="inlineStr">
        <is>
          <t>Squad Support Costs</t>
        </is>
      </c>
      <c r="C8" s="701">
        <f>SUMIF(F26:F27,"AU",I26:I27)+SUMIF(F33:F33,"AU",I33:I33)</f>
        <v>0.42</v>
      </c>
      <c r="D8" s="701">
        <f>SUMIF(F26:F27,"NZ",I26:I27)+SUMIF(F33:F33,"NZ",I33:I33)</f>
        <v>1.4</v>
      </c>
      <c r="E8" s="701">
        <f>SUM(J26,J27,J33)</f>
        <v>1.92172845</v>
      </c>
      <c r="F8" s="701">
        <f>C8+D8+E8</f>
        <v>3.74172845</v>
      </c>
      <c r="G8" s="991" t="n"/>
      <c r="H8" s="680" t="inlineStr">
        <is>
          <t>AU over/(under) budget ($m)</t>
        </is>
      </c>
      <c r="I8" s="974">
        <f>C9-I6</f>
        <v>0.3825</v>
      </c>
      <c r="K8" s="886" t="inlineStr">
        <is>
          <t>Variance</t>
        </is>
      </c>
      <c r="L8" s="887" t="n"/>
      <c r="M8" s="888">
        <f>IF(AND(ISNUMBER($M$7),ISNUMBER($M$6)),ROUND($M$6-$M$7,6),"")</f>
        <v>-0.4</v>
      </c>
      <c r="N8" s="889">
        <f>IF(AND(ISNUMBER($N$7),ISNUMBER($N$6)),ROUND($N$6-$N$7,6),"")</f>
        <v>-1.161394</v>
      </c>
    </row>
    <row r="9" ht="14.25" customHeight="1" s="535">
      <c r="B9" s="890" t="inlineStr">
        <is>
          <t>Total Cost</t>
        </is>
      </c>
      <c r="C9" s="891">
        <f>SUM(C6:C8)</f>
        <v>1.3825</v>
      </c>
      <c r="D9" s="891">
        <f>SUM(D6:D8)</f>
        <v>1.4</v>
      </c>
      <c r="E9" s="891">
        <f>SUM(E6:E8)</f>
        <v>1.92172845</v>
      </c>
      <c r="F9" s="891">
        <f>SUM(F6:F8)</f>
        <v>4.70422845</v>
      </c>
      <c r="G9" s="892">
        <f>$N$6</f>
        <v>3.5428346605</v>
      </c>
      <c r="H9" s="680" t="inlineStr">
        <is>
          <t>NZ over/(under) budget ($m)</t>
        </is>
      </c>
      <c r="I9" s="974">
        <f>D9-I7</f>
        <v>0.4</v>
      </c>
    </row>
    <row r="10" ht="33.75" customHeight="1" s="535">
      <c r="B10" s="1004" t="n"/>
      <c r="C10" s="1005" t="n"/>
      <c r="D10" s="1005" t="n"/>
      <c r="E10" s="1006" t="inlineStr">
        <is>
          <t>Variance to actuals</t>
        </is>
      </c>
      <c r="F10" s="1007">
        <f>$G$9-$F$9</f>
        <v>-1.1613937895</v>
      </c>
      <c r="G10" s="1008" t="n"/>
      <c r="H10" s="975" t="inlineStr">
        <is>
          <t>TDD over/(under) budget ($m)</t>
        </is>
      </c>
      <c r="I10" s="976">
        <f>I8+I9</f>
        <v>0.7825</v>
      </c>
    </row>
    <row r="11" ht="14.25" customHeight="1" s="535">
      <c r="B11" s="985" t="n"/>
      <c r="C11" s="1008" t="n"/>
      <c r="D11" s="1008" t="n"/>
      <c r="E11" s="1008" t="n"/>
      <c r="F11" s="1008" t="n"/>
      <c r="G11" s="1008" t="n"/>
      <c r="H11" s="975" t="n"/>
      <c r="I11" s="976" t="n"/>
    </row>
    <row r="12" ht="18.75" customHeight="1" s="535">
      <c r="F12" s="855" t="n"/>
      <c r="H12" s="977" t="inlineStr">
        <is>
          <t>Other funding</t>
        </is>
      </c>
      <c r="I12" s="912" t="n"/>
      <c r="J12" s="912" t="n"/>
      <c r="K12" s="913" t="n"/>
    </row>
    <row r="13" ht="33.75" customHeight="1" s="535">
      <c r="B13" s="945" t="inlineStr">
        <is>
          <t xml:space="preserve">Total Corporate Finance budget </t>
        </is>
      </c>
      <c r="D13" s="946" t="n"/>
      <c r="E13" s="914">
        <f>SUM(I14:I19)</f>
        <v>3.5</v>
      </c>
      <c r="F13" s="855" t="n"/>
      <c r="H13" s="962" t="inlineStr">
        <is>
          <t>Budget line</t>
        </is>
      </c>
      <c r="I13" s="962" t="inlineStr">
        <is>
          <t>Budget ($m)</t>
        </is>
      </c>
      <c r="J13" s="964" t="inlineStr">
        <is>
          <t>Amount that can be allocated to people</t>
        </is>
      </c>
      <c r="K13" s="964" t="inlineStr">
        <is>
          <t>Remaining for non-people ($m)</t>
        </is>
      </c>
    </row>
    <row r="14" ht="14.25" customHeight="1" s="535">
      <c r="B14" s="945" t="inlineStr">
        <is>
          <t xml:space="preserve">Reconciled to Finance </t>
        </is>
      </c>
      <c r="D14" s="946" t="n"/>
      <c r="E14" s="914">
        <f>'0.1 Budget Table (Fin)'!Q11</f>
        <v>3.5</v>
      </c>
      <c r="F14" s="855" t="n"/>
      <c r="H14" s="965" t="inlineStr">
        <is>
          <t>Corporate Finance Lights On</t>
        </is>
      </c>
      <c r="I14" s="970">
        <f>'0.1 Budget Table (Fin)'!L11</f>
        <v>2.6</v>
      </c>
      <c r="J14" s="1001">
        <f>N('0.1 Budget Table (Fin)'!G11)</f>
        <v>0</v>
      </c>
      <c r="K14" s="969">
        <f>IFERROR(I14-J14,0)</f>
        <v>2.6</v>
      </c>
    </row>
    <row r="15" ht="14.25" customHeight="1" s="535">
      <c r="F15" s="855" t="n"/>
      <c r="H15" s="965" t="inlineStr">
        <is>
          <t>OpEx Initiatives</t>
        </is>
      </c>
      <c r="I15" s="970">
        <f>'0.1 Budget Table (Fin)'!N11</f>
        <v>0.9</v>
      </c>
      <c r="J15" s="970">
        <f>I15*0.5</f>
        <v>0.45</v>
      </c>
      <c r="K15" s="969">
        <f>IFERROR(I15-J15,0)</f>
        <v>0.45</v>
      </c>
      <c r="M15" s="868" t="inlineStr">
        <is>
          <t>Inline with FY26 recharge</t>
        </is>
      </c>
    </row>
    <row r="16" ht="14.25" customHeight="1" s="535">
      <c r="B16" s="899" t="inlineStr">
        <is>
          <t>Total to fund</t>
        </is>
      </c>
      <c r="C16" s="900" t="n"/>
      <c r="F16" s="855" t="n"/>
      <c r="H16" s="965" t="inlineStr">
        <is>
          <t>CapEx</t>
        </is>
      </c>
      <c r="I16" s="970">
        <f>N('0.1 Budget Table (Fin)'!P11)</f>
        <v>0</v>
      </c>
      <c r="J16" s="1003" t="n">
        <v>0</v>
      </c>
      <c r="K16" s="969">
        <f>IFERROR(I16-J16,0)</f>
        <v>0</v>
      </c>
    </row>
    <row r="17" ht="14.25" customHeight="1" s="535">
      <c r="B17" s="901" t="inlineStr">
        <is>
          <t>TDD Variance</t>
        </is>
      </c>
      <c r="C17" s="949">
        <f>I8+I9</f>
        <v>0.7825</v>
      </c>
      <c r="F17" s="855" t="n"/>
      <c r="H17" s="965" t="inlineStr">
        <is>
          <t>Significant Items</t>
        </is>
      </c>
      <c r="I17" s="970">
        <f>N('0.1 Budget Table (Fin)'!O11)</f>
        <v>0</v>
      </c>
      <c r="J17" s="1003" t="n">
        <v>0</v>
      </c>
      <c r="K17" s="969">
        <f>IFERROR(I17-J17,0)</f>
        <v>0</v>
      </c>
    </row>
    <row r="18" ht="14.25" customHeight="1" s="535">
      <c r="B18" s="901" t="inlineStr">
        <is>
          <t>Other Variance</t>
        </is>
      </c>
      <c r="C18" s="902">
        <f>J22</f>
        <v>1.23</v>
      </c>
      <c r="F18" s="855" t="n"/>
      <c r="H18" s="965" t="inlineStr">
        <is>
          <t>Significant Items EGI</t>
        </is>
      </c>
      <c r="I18" s="970" t="n"/>
      <c r="J18" s="970">
        <f>J33</f>
        <v>0.24172845</v>
      </c>
      <c r="K18" s="969" t="n"/>
    </row>
    <row r="19" ht="14.25" customHeight="1" s="535">
      <c r="B19" s="906" t="inlineStr">
        <is>
          <t>Total</t>
        </is>
      </c>
      <c r="C19" s="907">
        <f>C17+C18</f>
        <v>2.0125</v>
      </c>
      <c r="F19" s="855" t="n"/>
      <c r="H19" s="965" t="inlineStr">
        <is>
          <t>Depreciation</t>
        </is>
      </c>
      <c r="I19" s="970">
        <f>N('0.1 Budget Table (Fin)'!M11)</f>
        <v>0</v>
      </c>
      <c r="J19" s="1003" t="n">
        <v>0</v>
      </c>
      <c r="K19" s="969">
        <f>IFERROR(I19-J19,0)</f>
        <v>0</v>
      </c>
    </row>
    <row r="20" ht="14.25" customHeight="1" s="535">
      <c r="F20" s="855" t="n"/>
      <c r="H20" s="983" t="inlineStr">
        <is>
          <t>Total applied</t>
        </is>
      </c>
      <c r="I20" s="866" t="n"/>
      <c r="J20" s="984">
        <f>SUM(J14:J19)</f>
        <v>0.69172845</v>
      </c>
      <c r="K20" s="866" t="n"/>
    </row>
    <row r="21" ht="14.25" customHeight="1" s="535">
      <c r="F21" s="855" t="n"/>
      <c r="H21" s="965" t="inlineStr">
        <is>
          <t>Other cost (this model)</t>
        </is>
      </c>
      <c r="I21" s="866" t="n"/>
      <c r="J21" s="969">
        <f>E9</f>
        <v>1.92172845</v>
      </c>
      <c r="K21" s="866" t="n"/>
    </row>
    <row r="22" ht="14.25" customHeight="1" s="535">
      <c r="F22" s="855" t="n"/>
      <c r="H22" s="971" t="inlineStr">
        <is>
          <t>Left to fund</t>
        </is>
      </c>
      <c r="I22" s="866" t="n"/>
      <c r="J22" s="972">
        <f>E9-(J20-J14)</f>
        <v>1.23</v>
      </c>
      <c r="K22" s="866" t="n"/>
    </row>
    <row r="23" ht="14.25" customHeight="1" s="535">
      <c r="F23" s="855" t="n"/>
    </row>
    <row r="24" ht="18.75" customHeight="1" s="535">
      <c r="B24" s="960" t="inlineStr">
        <is>
          <t>Platform: Finance</t>
        </is>
      </c>
      <c r="K24" s="538" t="n"/>
      <c r="L24" s="538" t="n"/>
      <c r="S24" s="1009" t="inlineStr">
        <is>
          <t>Role review notes - a hand-typed snapshot, not live model figures</t>
        </is>
      </c>
    </row>
    <row r="25" ht="33.75" customHeight="1" s="535">
      <c r="B25" s="961" t="inlineStr">
        <is>
          <t>Squad</t>
        </is>
      </c>
      <c r="C25" s="962" t="inlineStr">
        <is>
          <t>Squad Type</t>
        </is>
      </c>
      <c r="D25" s="962" t="inlineStr">
        <is>
          <t>Size</t>
        </is>
      </c>
      <c r="E25" s="962" t="inlineStr">
        <is>
          <t>On/Off</t>
        </is>
      </c>
      <c r="F25" s="915" t="inlineStr">
        <is>
          <t>AU / NZ</t>
        </is>
      </c>
      <c r="G25" s="962" t="inlineStr">
        <is>
          <t>Support %</t>
        </is>
      </c>
      <c r="H25" s="1010" t="inlineStr">
        <is>
          <t>Total Squad Cost ($m)</t>
        </is>
      </c>
      <c r="I25" s="962" t="inlineStr">
        <is>
          <t>TDD Cost ($m)</t>
        </is>
      </c>
      <c r="J25" s="962" t="inlineStr">
        <is>
          <t>Funded outside TDD ($m)</t>
        </is>
      </c>
      <c r="K25" s="877" t="inlineStr">
        <is>
          <t>Actual cost after levers ($m)</t>
        </is>
      </c>
      <c r="L25" s="877" t="inlineStr">
        <is>
          <t>Variance to archetype ($m)</t>
        </is>
      </c>
      <c r="M25" s="868" t="n"/>
      <c r="N25" s="868" t="n"/>
      <c r="O25" s="868" t="n"/>
      <c r="S25" s="994" t="inlineStr">
        <is>
          <t>Nbr Archetype Roles</t>
        </is>
      </c>
      <c r="T25" s="995" t="inlineStr">
        <is>
          <t>Published Roles</t>
        </is>
      </c>
      <c r="U25" s="994" t="inlineStr">
        <is>
          <t>Review Outcome</t>
        </is>
      </c>
      <c r="V25" s="994" t="inlineStr">
        <is>
          <t>Vacant Now</t>
        </is>
      </c>
      <c r="W25" s="994" t="inlineStr">
        <is>
          <t>FY27</t>
        </is>
      </c>
      <c r="AA25" s="1010" t="inlineStr">
        <is>
          <t>Onshore rate ($m)</t>
        </is>
      </c>
      <c r="AB25" s="1010" t="inlineStr">
        <is>
          <t>Offshore rate ($m)</t>
        </is>
      </c>
      <c r="AC25" s="1010" t="inlineStr">
        <is>
          <t>Archetype roles</t>
        </is>
      </c>
    </row>
    <row r="26" ht="33.75" customHeight="1" s="535">
      <c r="B26" s="965" t="inlineStr">
        <is>
          <t>SAP ERP</t>
        </is>
      </c>
      <c r="C26" s="966" t="inlineStr">
        <is>
          <t>Configuration / Integration</t>
        </is>
      </c>
      <c r="D26" s="966" t="inlineStr">
        <is>
          <t>M</t>
        </is>
      </c>
      <c r="E26" s="966" t="inlineStr">
        <is>
          <t>Onshore</t>
        </is>
      </c>
      <c r="F26" s="918" t="inlineStr">
        <is>
          <t>AU</t>
        </is>
      </c>
      <c r="G26" s="967" t="n">
        <v>0.2</v>
      </c>
      <c r="H26" s="968">
        <f>IFERROR(IF($E26="Onshore",$AA26*1,IF($E26="Hybrid",$AA26*MIN('0.3 Squad Archetypes'!$K$8,$AC26)/$AC26+$AB26*($AC26-MIN('0.3 Squad Archetypes'!$K$8,$AC26))/$AC26,$AB26*1)),"check size")</f>
        <v>2.1</v>
      </c>
      <c r="I26" s="969">
        <f>IFERROR($H26*$G26,"")</f>
        <v>0.42</v>
      </c>
      <c r="J26" s="969">
        <f>IFERROR($H26*(1-$G26),"")</f>
        <v>1.68</v>
      </c>
      <c r="K26" s="541">
        <f>IFERROR(INDEX('2.6 Finance'!$S$8:$S$20,MATCH($B26,'2.6 Finance'!$B$8:$B$20,0)),"")</f>
        <v>2.01898557</v>
      </c>
      <c r="L26" s="541">
        <f>IF(AND(ISNUMBER($H26),ISNUMBER($K26)),ROUND($K26-$H26,6),"")</f>
        <v>-0.081014</v>
      </c>
      <c r="M26" s="868" t="n"/>
      <c r="N26" s="868" t="n"/>
      <c r="O26" s="868" t="n"/>
      <c r="S26" s="534" t="n">
        <v>6</v>
      </c>
      <c r="T26" s="534" t="n">
        <v>9</v>
      </c>
      <c r="U26" s="996" t="inlineStr">
        <is>
          <t>remove 2 roles</t>
        </is>
      </c>
      <c r="V26" s="534" t="n">
        <v>5</v>
      </c>
      <c r="W26" s="534" t="n">
        <v>7</v>
      </c>
      <c r="AA26" s="968">
        <f>IFERROR(INDEX('0.3 Squad Archetypes'!$G$5:$G$23,MATCH($C26&amp;"|"&amp;$D26,'0.3 Squad Archetypes'!$A$5:$A$23,0)),"")</f>
        <v>2.1</v>
      </c>
      <c r="AB26" s="968">
        <f>IFERROR(INDEX('0.3 Squad Archetypes'!$H$5:$H$23,MATCH($C26&amp;"|"&amp;$D26,'0.3 Squad Archetypes'!$A$5:$A$23,0)),"")</f>
        <v>0.84</v>
      </c>
      <c r="AC26" s="968">
        <f>IFERROR(INDEX('0.3 Squad Archetypes'!$F$5:$F$23,MATCH($C26&amp;"|"&amp;$D26,'0.3 Squad Archetypes'!$A$5:$A$23,0)),"")</f>
        <v>9</v>
      </c>
    </row>
    <row r="27" ht="14.25" customHeight="1" s="535">
      <c r="B27" s="965" t="inlineStr">
        <is>
          <t>NZ Finance</t>
        </is>
      </c>
      <c r="C27" s="966" t="inlineStr">
        <is>
          <t>Configuration / Integration</t>
        </is>
      </c>
      <c r="D27" s="966" t="inlineStr">
        <is>
          <t>S</t>
        </is>
      </c>
      <c r="E27" s="966" t="inlineStr">
        <is>
          <t>Onshore</t>
        </is>
      </c>
      <c r="F27" s="918" t="inlineStr">
        <is>
          <t>NZ</t>
        </is>
      </c>
      <c r="G27" s="967" t="n">
        <v>1</v>
      </c>
      <c r="H27" s="968">
        <f>IFERROR(IF($E27="Onshore",$AA27*1,IF($E27="Hybrid",$AA27*MIN('0.3 Squad Archetypes'!$K$8,$AC27)/$AC27+$AB27*($AC27-MIN('0.3 Squad Archetypes'!$K$8,$AC27))/$AC27,$AB27*1)),"check size")</f>
        <v>1.4</v>
      </c>
      <c r="I27" s="969">
        <f>IFERROR($H27*$G27,"")</f>
        <v>1.4</v>
      </c>
      <c r="J27" s="969">
        <f>IFERROR($H27*(1-$G27),"")</f>
        <v>0</v>
      </c>
      <c r="K27" s="541">
        <f>IFERROR(INDEX('2.6 Finance'!$S$8:$S$20,MATCH($B27,'2.6 Finance'!$B$8:$B$20,0)),"")</f>
        <v>0.9585601905</v>
      </c>
      <c r="L27" s="541">
        <f>IF(AND(ISNUMBER($H27),ISNUMBER($K27)),ROUND($K27-$H27,6),"")</f>
        <v>-0.44144</v>
      </c>
      <c r="M27" s="868" t="n"/>
      <c r="N27" s="868" t="n"/>
      <c r="O27" s="868" t="n"/>
      <c r="S27" s="534" t="n">
        <v>6</v>
      </c>
      <c r="T27" s="534" t="n">
        <v>5</v>
      </c>
      <c r="V27" s="534" t="n">
        <v>1</v>
      </c>
      <c r="W27" s="534" t="n">
        <v>5</v>
      </c>
      <c r="AA27" s="968">
        <f>IFERROR(INDEX('0.3 Squad Archetypes'!$G$5:$G$23,MATCH($C27&amp;"|"&amp;$D27,'0.3 Squad Archetypes'!$A$5:$A$23,0)),"")</f>
        <v>1.4</v>
      </c>
      <c r="AB27" s="968">
        <f>IFERROR(INDEX('0.3 Squad Archetypes'!$H$5:$H$23,MATCH($C27&amp;"|"&amp;$D27,'0.3 Squad Archetypes'!$A$5:$A$23,0)),"")</f>
        <v>0.56</v>
      </c>
      <c r="AC27" s="968">
        <f>IFERROR(INDEX('0.3 Squad Archetypes'!$F$5:$F$23,MATCH($C27&amp;"|"&amp;$D27,'0.3 Squad Archetypes'!$A$5:$A$23,0)),"")</f>
        <v>6</v>
      </c>
    </row>
    <row r="28" ht="14.25" customHeight="1" s="535">
      <c r="B28" s="965" t="inlineStr">
        <is>
          <t>Platform Overhead</t>
        </is>
      </c>
      <c r="C28" s="866" t="n"/>
      <c r="D28" s="866" t="n"/>
      <c r="E28" s="866" t="n"/>
      <c r="F28" s="855" t="n"/>
      <c r="G28" s="866" t="n"/>
      <c r="H28" s="866" t="n"/>
      <c r="I28" s="970">
        <f>'0.2 Data Config'!$N$16</f>
        <v>0.165</v>
      </c>
      <c r="J28" s="866" t="n"/>
    </row>
    <row r="29" ht="14.25" customHeight="1" s="535">
      <c r="B29" s="971" t="inlineStr">
        <is>
          <t>Finance Total</t>
        </is>
      </c>
      <c r="C29" s="923" t="n"/>
      <c r="D29" s="923" t="n"/>
      <c r="E29" s="923" t="n"/>
      <c r="F29" s="924" t="n"/>
      <c r="G29" s="923" t="n"/>
      <c r="H29" s="972">
        <f>SUM(H26:H27)</f>
        <v>3.5</v>
      </c>
      <c r="I29" s="972">
        <f>SUM(I26:I28)</f>
        <v>1.985</v>
      </c>
      <c r="J29" s="972">
        <f>SUM(J26:J27)</f>
        <v>1.68</v>
      </c>
      <c r="K29" s="926">
        <f>SUM($K26,$K27)</f>
        <v>2.9775457605</v>
      </c>
      <c r="L29" s="926">
        <f>IF(COUNT($H26,$H27)=2,IF(AND(ISNUMBER($H29),ISNUMBER($K29)),ROUND($K29-$H29,6),""),"")</f>
        <v>-0.522454</v>
      </c>
    </row>
    <row r="30" ht="14.25" customHeight="1" s="535">
      <c r="F30" s="855" t="n"/>
      <c r="K30" s="929" t="n"/>
    </row>
    <row r="31" ht="18.75" customHeight="1" s="535">
      <c r="B31" s="874" t="inlineStr">
        <is>
          <t>Platform: EGI Finance</t>
        </is>
      </c>
      <c r="C31" s="538" t="n"/>
      <c r="D31" s="538" t="n"/>
      <c r="E31" s="538" t="n"/>
      <c r="F31" s="538" t="n"/>
      <c r="G31" s="538" t="n"/>
      <c r="H31" s="538" t="n"/>
      <c r="I31" s="538" t="n"/>
      <c r="J31" s="538" t="n"/>
      <c r="K31" s="538" t="n"/>
      <c r="L31" s="538" t="n"/>
    </row>
    <row r="32" ht="33.75" customHeight="1" s="535">
      <c r="B32" s="876" t="inlineStr">
        <is>
          <t>Squad</t>
        </is>
      </c>
      <c r="C32" s="905" t="inlineStr">
        <is>
          <t>Squad Type</t>
        </is>
      </c>
      <c r="D32" s="905" t="inlineStr">
        <is>
          <t>Size</t>
        </is>
      </c>
      <c r="E32" s="905" t="inlineStr">
        <is>
          <t>On/Off</t>
        </is>
      </c>
      <c r="F32" s="915" t="inlineStr">
        <is>
          <t>AU / NZ</t>
        </is>
      </c>
      <c r="G32" s="905" t="inlineStr">
        <is>
          <t>Support %</t>
        </is>
      </c>
      <c r="H32" s="678" t="inlineStr">
        <is>
          <t>Total Squad Cost ($m)</t>
        </is>
      </c>
      <c r="I32" s="905" t="inlineStr">
        <is>
          <t>TDD Cost ($m)</t>
        </is>
      </c>
      <c r="J32" s="905" t="inlineStr">
        <is>
          <t>Funded outside TDD ($m)</t>
        </is>
      </c>
      <c r="K32" s="877" t="inlineStr">
        <is>
          <t>Actual cost after levers ($m)</t>
        </is>
      </c>
      <c r="L32" s="877" t="inlineStr">
        <is>
          <t>Variance to archetype ($m)</t>
        </is>
      </c>
    </row>
    <row r="33" ht="14.25" customHeight="1" s="535">
      <c r="B33" s="716" t="inlineStr">
        <is>
          <t>EGI Finance</t>
        </is>
      </c>
      <c r="C33" s="917" t="inlineStr">
        <is>
          <t>Strategic Programs</t>
        </is>
      </c>
      <c r="D33" s="917" t="n"/>
      <c r="E33" s="917" t="inlineStr">
        <is>
          <t>Onshore</t>
        </is>
      </c>
      <c r="F33" s="918" t="inlineStr">
        <is>
          <t>AU</t>
        </is>
      </c>
      <c r="G33" s="919" t="n">
        <v>0</v>
      </c>
      <c r="H33" s="879">
        <f>'2.6 Finance'!$O$12</f>
        <v>0.24172845</v>
      </c>
      <c r="I33" s="725">
        <f>IFERROR($H33*$G33,"")</f>
        <v>0</v>
      </c>
      <c r="J33" s="725">
        <f>IFERROR($H33*(1-$G33),"")</f>
        <v>0.24172845</v>
      </c>
      <c r="K33" s="541">
        <f>IFERROR(INDEX('2.6 Finance'!$S$8:$S$20,MATCH($B33,'2.6 Finance'!$B$8:$B$20,0)),"")</f>
        <v>0.24172845</v>
      </c>
      <c r="L33" s="541">
        <f>IF(AND(ISNUMBER($H33),ISNUMBER($K33)),ROUND($K33-$H33,6),"")</f>
        <v>0</v>
      </c>
      <c r="N33" s="933" t="str">
        <f>"People in this program today cost "&amp;TEXT(SUMIFS('REVIEW - Complete Role Mapping'!$AE$2:$AE$700,'REVIEW - Complete Role Mapping'!$AL$2:$AL$700,$B33,'REVIEW - Complete Role Mapping'!$AH$2:$AH$700,'2.6 Finance'!$C$3)/1000000,"0.00")&amp;"m. Set the agreed cost in the cream cell."</f>
        <v>People in this program today cost 0.24m. Set the agreed cost in the cream cell.</v>
      </c>
    </row>
    <row r="34" ht="14.25" customHeight="1" s="535">
      <c r="B34" s="890" t="inlineStr">
        <is>
          <t>EGI Finance Total</t>
        </is>
      </c>
      <c r="C34" s="922" t="n"/>
      <c r="D34" s="922" t="n"/>
      <c r="E34" s="922" t="n"/>
      <c r="F34" s="924" t="n"/>
      <c r="G34" s="922" t="n"/>
      <c r="H34" s="925">
        <f>SUM(H33:H33)</f>
        <v>0.24172845</v>
      </c>
      <c r="I34" s="925">
        <f>SUM(I33:I33)</f>
        <v>0</v>
      </c>
      <c r="J34" s="925">
        <f>SUM(J33:J33)</f>
        <v>0.24172845</v>
      </c>
      <c r="K34" s="926">
        <f>SUM($K33)</f>
        <v>0.24172845</v>
      </c>
      <c r="L34" s="926">
        <f>IF(COUNT($H33)=1,IF(AND(ISNUMBER($H34),ISNUMBER($K34)),ROUND($K34-$H34,6),""),"")</f>
        <v>0</v>
      </c>
    </row>
    <row r="35" ht="14.25" customHeight="1" s="535">
      <c r="F35" s="855" t="n"/>
    </row>
    <row r="36" ht="14.25" customHeight="1" s="535">
      <c r="B36" s="933" t="n"/>
      <c r="C36" s="935" t="n"/>
      <c r="D36" s="855" t="n"/>
      <c r="F36" s="855" t="n"/>
    </row>
    <row r="37" ht="14.25" customHeight="1" s="535">
      <c r="B37" s="933" t="n"/>
      <c r="C37" s="935" t="n"/>
      <c r="D37" s="855" t="n"/>
      <c r="F37" s="855" t="n"/>
    </row>
  </sheetData>
  <mergeCells count="10">
    <mergeCell ref="K7:L7"/>
    <mergeCell ref="B14:D14"/>
    <mergeCell ref="B4:E4"/>
    <mergeCell ref="K8:L8"/>
    <mergeCell ref="H12:K12"/>
    <mergeCell ref="K5:L5"/>
    <mergeCell ref="B13:D13"/>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outlinePr summaryBelow="1" summaryRight="1"/>
    <pageSetUpPr fitToPage="1"/>
  </sheetPr>
  <dimension ref="A1:AC44"/>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C10" activeCellId="0" sqref="C10"/>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Infrastructure</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Config'!$E$17</f>
        <v>2.5</v>
      </c>
      <c r="K5" s="877" t="inlineStr">
        <is>
          <t>What the cost covers</t>
        </is>
      </c>
      <c r="L5" s="674" t="n"/>
      <c r="M5" s="877" t="inlineStr">
        <is>
          <t>Roles</t>
        </is>
      </c>
      <c r="N5" s="877" t="inlineStr">
        <is>
          <t>Cost ($m)</t>
        </is>
      </c>
    </row>
    <row r="6" ht="14.25" customHeight="1" s="535">
      <c r="B6" s="1011" t="inlineStr">
        <is>
          <t>Portfolio Overhead (see 0.2 Data Config)</t>
        </is>
      </c>
      <c r="C6" s="701">
        <f>IF(('0.2 Data Config'!$D$17)&gt;('0.2 Data Config'!$C$17),0,'0.2 Data Config'!$N$10)</f>
        <v>0.7975</v>
      </c>
      <c r="D6" s="701">
        <f>IF(('0.2 Data Config'!$D$17)&gt;('0.2 Data Config'!$C$17),'0.2 Data Config'!$N$10,0)</f>
        <v>0</v>
      </c>
      <c r="E6" s="701">
        <f>0</f>
        <v>0</v>
      </c>
      <c r="F6" s="701">
        <f>C6+D6+E6</f>
        <v>0.7975</v>
      </c>
      <c r="G6" s="991" t="n"/>
      <c r="H6" s="936" t="inlineStr">
        <is>
          <t>AU Budget ($m)</t>
        </is>
      </c>
      <c r="I6" s="937">
        <f>'0.2 Data Config'!$C$17</f>
        <v>2.5</v>
      </c>
      <c r="K6" s="539" t="inlineStr">
        <is>
          <t>Actual portfolio</t>
        </is>
      </c>
      <c r="L6" s="674" t="n"/>
      <c r="M6" s="881">
        <f>'2.7 Infrastructure'!$F$22</f>
        <v>36</v>
      </c>
      <c r="N6" s="541">
        <f>'2.7 Infrastructure'!$O$22</f>
        <v>7.78125394</v>
      </c>
    </row>
    <row r="7" ht="14.25" customHeight="1" s="535">
      <c r="B7" s="1011" t="inlineStr">
        <is>
          <t>Platform Overheads</t>
        </is>
      </c>
      <c r="C7" s="701">
        <f>IF(('0.2 Data Config'!$D$17)&gt;('0.2 Data Config'!$C$17),0,SUM(I27,I34,I40))</f>
        <v>0.495</v>
      </c>
      <c r="D7" s="701">
        <f>IF(('0.2 Data Config'!$D$17)&gt;('0.2 Data Config'!$C$17),SUM(I27,I34,I40),0)</f>
        <v>0</v>
      </c>
      <c r="E7" s="701">
        <f>0</f>
        <v>0</v>
      </c>
      <c r="F7" s="701">
        <f>C7+D7+E7</f>
        <v>0.495</v>
      </c>
      <c r="G7" s="991" t="n"/>
      <c r="H7" s="936" t="inlineStr">
        <is>
          <t>NZ Budget ($m)</t>
        </is>
      </c>
      <c r="I7" s="937">
        <f>'0.2 Data Config'!$D$17</f>
        <v>0</v>
      </c>
      <c r="K7" s="539" t="inlineStr">
        <is>
          <t>Archetype portfolio</t>
        </is>
      </c>
      <c r="L7" s="674" t="n"/>
      <c r="M7" s="881">
        <f>'2.7 Infrastructure'!$E$22</f>
        <v>31.6</v>
      </c>
      <c r="N7" s="541">
        <f>'2.7 Infrastructure'!$N$22</f>
        <v>6.8525</v>
      </c>
    </row>
    <row r="8" ht="14.25" customHeight="1" s="535">
      <c r="B8" s="716" t="inlineStr">
        <is>
          <t>Squad Support Costs</t>
        </is>
      </c>
      <c r="C8" s="701">
        <f>SUMIF(F26:F26,"AU",I26:I26)+SUMIF(F32:F33,"AU",I32:I33)+SUMIF(F39:F39,"AU",I39:I39)</f>
        <v>1.592</v>
      </c>
      <c r="D8" s="701">
        <f>SUMIF(F26:F26,"NZ",I26:I26)+SUMIF(F32:F33,"NZ",I32:I33)+SUMIF(F39:F39,"NZ",I39:I39)</f>
        <v>0</v>
      </c>
      <c r="E8" s="701">
        <f>SUM(J26,J32,J33,J39)</f>
        <v>3.968</v>
      </c>
      <c r="F8" s="701">
        <f>C8+D8+E8</f>
        <v>5.56</v>
      </c>
      <c r="G8" s="991" t="n"/>
      <c r="H8" s="1012" t="inlineStr">
        <is>
          <t>AU over/(under) budget ($m)</t>
        </is>
      </c>
      <c r="I8" s="1013">
        <f>C9-I6</f>
        <v>0.3845</v>
      </c>
      <c r="K8" s="886" t="inlineStr">
        <is>
          <t>Variance</t>
        </is>
      </c>
      <c r="L8" s="887" t="n"/>
      <c r="M8" s="888">
        <f>IF(AND(ISNUMBER($M$7),ISNUMBER($M$6)),ROUND($M$6-$M$7,6),"")</f>
        <v>4.4</v>
      </c>
      <c r="N8" s="889">
        <f>IF(AND(ISNUMBER($N$7),ISNUMBER($N$6)),ROUND($N$6-$N$7,6),"")</f>
        <v>0.928754</v>
      </c>
    </row>
    <row r="9" ht="14.25" customHeight="1" s="535">
      <c r="B9" s="890" t="inlineStr">
        <is>
          <t>Total Cost</t>
        </is>
      </c>
      <c r="C9" s="891">
        <f>SUM(C6:C8)</f>
        <v>2.8845</v>
      </c>
      <c r="D9" s="891">
        <f>SUM(D6:D8)</f>
        <v>0</v>
      </c>
      <c r="E9" s="891">
        <f>SUM(E6:E8)</f>
        <v>3.968</v>
      </c>
      <c r="F9" s="891">
        <f>SUM(F6:F8)</f>
        <v>6.8525</v>
      </c>
      <c r="G9" s="892">
        <f>$N$6</f>
        <v>7.78125394</v>
      </c>
      <c r="H9" s="680" t="inlineStr">
        <is>
          <t>NZ over/(under) budget ($m)</t>
        </is>
      </c>
      <c r="I9" s="974">
        <f>D9-I7</f>
        <v>0</v>
      </c>
      <c r="K9" s="537" t="n"/>
      <c r="L9" s="538" t="n"/>
      <c r="M9" s="538" t="n"/>
      <c r="N9" s="538" t="n"/>
    </row>
    <row r="10" ht="33.75" customHeight="1" s="535">
      <c r="B10" s="985" t="n"/>
      <c r="C10" s="1008" t="n"/>
      <c r="D10" s="1008" t="n"/>
      <c r="E10" s="1015" t="inlineStr">
        <is>
          <t>Variance to actuals</t>
        </is>
      </c>
      <c r="F10" s="896">
        <f>$G$9-$F$9</f>
        <v>0.928753939999998</v>
      </c>
      <c r="G10" s="1008" t="n"/>
      <c r="H10" s="1014" t="inlineStr">
        <is>
          <t>TDD over/(under) budget ($m)</t>
        </is>
      </c>
      <c r="I10" s="999">
        <f>I8+I9</f>
        <v>0.3845</v>
      </c>
    </row>
    <row r="11" ht="14.25" customHeight="1" s="535">
      <c r="B11" s="874" t="n"/>
      <c r="F11" s="538" t="n"/>
      <c r="G11" s="538" t="n"/>
      <c r="H11" s="1014" t="n"/>
      <c r="I11" s="999" t="n"/>
    </row>
    <row r="12" ht="18.75" customHeight="1" s="535">
      <c r="F12" s="855" t="n"/>
      <c r="H12" s="977" t="inlineStr">
        <is>
          <t>Other funding</t>
        </is>
      </c>
      <c r="I12" s="912" t="n"/>
      <c r="J12" s="912" t="n"/>
      <c r="K12" s="913" t="n"/>
    </row>
    <row r="13" ht="33.75" customHeight="1" s="535">
      <c r="B13" s="945" t="inlineStr">
        <is>
          <t xml:space="preserve">Total Infrastructure budget </t>
        </is>
      </c>
      <c r="D13" s="946" t="n"/>
      <c r="E13" s="914">
        <f>SUM(I14:I18)</f>
        <v>9.3</v>
      </c>
      <c r="F13" s="855" t="n"/>
      <c r="H13" s="962" t="inlineStr">
        <is>
          <t>Budget line</t>
        </is>
      </c>
      <c r="I13" s="962" t="inlineStr">
        <is>
          <t>Budget ($m)</t>
        </is>
      </c>
      <c r="J13" s="1016" t="inlineStr">
        <is>
          <t>Amount that can be allocated to people</t>
        </is>
      </c>
      <c r="K13" s="964" t="inlineStr">
        <is>
          <t>Remaining for non-people ($m)</t>
        </is>
      </c>
    </row>
    <row r="14" ht="14.25" customHeight="1" s="535">
      <c r="B14" s="911" t="inlineStr">
        <is>
          <t xml:space="preserve">Reconciled to Finance </t>
        </is>
      </c>
      <c r="C14" s="912" t="n"/>
      <c r="D14" s="913" t="n"/>
      <c r="E14" s="914">
        <f>'0.1 Budget Table (Fin)'!Q10</f>
        <v>9.3</v>
      </c>
      <c r="F14" s="855" t="n"/>
      <c r="H14" s="965" t="inlineStr">
        <is>
          <t>Infrastructure Lights On</t>
        </is>
      </c>
      <c r="I14" s="970">
        <f>'0.1 Budget Table (Fin)'!L10</f>
        <v>3.9</v>
      </c>
      <c r="J14" s="1001">
        <f>N('0.1 Budget Table (Fin)'!G10)</f>
        <v>0</v>
      </c>
      <c r="K14" s="969">
        <f>IFERROR(I14-J14,0)</f>
        <v>3.9</v>
      </c>
    </row>
    <row r="15" ht="14.25" customHeight="1" s="535">
      <c r="F15" s="855" t="n"/>
      <c r="H15" s="965" t="inlineStr">
        <is>
          <t>OpEx Initiatives</t>
        </is>
      </c>
      <c r="I15" s="970">
        <f>'0.1 Budget Table (Fin)'!N10</f>
        <v>0.4</v>
      </c>
      <c r="J15" s="1003" t="n">
        <v>0</v>
      </c>
      <c r="K15" s="969">
        <f>IFERROR(I15-J15,0)</f>
        <v>0.4</v>
      </c>
    </row>
    <row r="16" ht="14.25" customHeight="1" s="535">
      <c r="B16" s="899" t="inlineStr">
        <is>
          <t>Total to fund</t>
        </is>
      </c>
      <c r="C16" s="900" t="n"/>
      <c r="F16" s="855" t="n"/>
      <c r="H16" s="965" t="inlineStr">
        <is>
          <t>CapEx</t>
        </is>
      </c>
      <c r="I16" s="970">
        <f>'0.1 Budget Table (Fin)'!P10</f>
        <v>5</v>
      </c>
      <c r="J16" s="970">
        <f>I16*0.5</f>
        <v>2.5</v>
      </c>
      <c r="K16" s="969">
        <f>IFERROR(I16-J16,0)</f>
        <v>2.5</v>
      </c>
    </row>
    <row r="17" ht="14.25" customHeight="1" s="535">
      <c r="B17" s="901" t="inlineStr">
        <is>
          <t>TDD Variance</t>
        </is>
      </c>
      <c r="C17" s="949">
        <f>I8+I9</f>
        <v>0.3845</v>
      </c>
      <c r="F17" s="855" t="n"/>
      <c r="H17" s="965" t="inlineStr">
        <is>
          <t>Significant Items</t>
        </is>
      </c>
      <c r="I17" s="970">
        <f>N('0.1 Budget Table (Fin)'!O10)</f>
        <v>0</v>
      </c>
      <c r="J17" s="1003" t="n">
        <v>0</v>
      </c>
      <c r="K17" s="969">
        <f>IFERROR(I17-J17,0)</f>
        <v>0</v>
      </c>
    </row>
    <row r="18" ht="14.25" customHeight="1" s="535">
      <c r="B18" s="901" t="inlineStr">
        <is>
          <t>Other Variance</t>
        </is>
      </c>
      <c r="C18" s="902">
        <f>J21</f>
        <v>1.468</v>
      </c>
      <c r="F18" s="855" t="n"/>
      <c r="H18" s="965" t="inlineStr">
        <is>
          <t>Depreciation</t>
        </is>
      </c>
      <c r="I18" s="970">
        <f>N('0.1 Budget Table (Fin)'!M10)</f>
        <v>0</v>
      </c>
      <c r="J18" s="1003" t="n">
        <v>0</v>
      </c>
      <c r="K18" s="969">
        <f>IFERROR(I18-J18,0)</f>
        <v>0</v>
      </c>
    </row>
    <row r="19" ht="14.25" customHeight="1" s="535">
      <c r="B19" s="906" t="inlineStr">
        <is>
          <t>Total</t>
        </is>
      </c>
      <c r="C19" s="907">
        <f>C17+C18</f>
        <v>1.8525</v>
      </c>
      <c r="F19" s="855" t="n"/>
      <c r="H19" s="983" t="inlineStr">
        <is>
          <t>Total applied</t>
        </is>
      </c>
      <c r="I19" s="866" t="n"/>
      <c r="J19" s="984">
        <f>SUM(J14:J18)</f>
        <v>2.5</v>
      </c>
      <c r="K19" s="866" t="n"/>
    </row>
    <row r="20" ht="14.25" customHeight="1" s="535">
      <c r="F20" s="855" t="n"/>
      <c r="H20" s="965" t="inlineStr">
        <is>
          <t>Other cost (this model)</t>
        </is>
      </c>
      <c r="I20" s="866" t="n"/>
      <c r="J20" s="969">
        <f>E9</f>
        <v>3.968</v>
      </c>
      <c r="K20" s="866" t="n"/>
    </row>
    <row r="21" ht="14.25" customHeight="1" s="535">
      <c r="F21" s="855" t="n"/>
      <c r="H21" s="971" t="inlineStr">
        <is>
          <t>Left to fund</t>
        </is>
      </c>
      <c r="I21" s="866" t="n"/>
      <c r="J21" s="972">
        <f>E9-(J19-J14)</f>
        <v>1.468</v>
      </c>
      <c r="K21" s="866" t="n"/>
    </row>
    <row r="22" ht="14.25" customHeight="1" s="535">
      <c r="F22" s="855" t="n"/>
    </row>
    <row r="23" ht="14.25" customHeight="1" s="535">
      <c r="F23" s="855" t="n"/>
    </row>
    <row r="24" ht="18.75" customHeight="1" s="535">
      <c r="B24" s="977" t="inlineStr">
        <is>
          <t>Platform: Distribution</t>
        </is>
      </c>
      <c r="C24" s="912" t="n"/>
      <c r="D24" s="912" t="n"/>
      <c r="E24" s="912" t="n"/>
      <c r="F24" s="912" t="n"/>
      <c r="G24" s="912" t="n"/>
      <c r="H24" s="912" t="n"/>
      <c r="I24" s="912" t="n"/>
      <c r="J24" s="913" t="n"/>
      <c r="K24" s="538" t="n"/>
      <c r="L24" s="538" t="n"/>
    </row>
    <row r="25" ht="33.75" customHeight="1" s="535">
      <c r="B25" s="961" t="inlineStr">
        <is>
          <t>Squad</t>
        </is>
      </c>
      <c r="C25" s="962" t="inlineStr">
        <is>
          <t>Squad Type</t>
        </is>
      </c>
      <c r="D25" s="962" t="inlineStr">
        <is>
          <t>Size</t>
        </is>
      </c>
      <c r="E25" s="962" t="inlineStr">
        <is>
          <t>On/Off</t>
        </is>
      </c>
      <c r="F25" s="915" t="inlineStr">
        <is>
          <t>AU / NZ</t>
        </is>
      </c>
      <c r="G25" s="962" t="inlineStr">
        <is>
          <t>Support %</t>
        </is>
      </c>
      <c r="H25" s="1010" t="inlineStr">
        <is>
          <t>Total Squad Cost ($m)</t>
        </is>
      </c>
      <c r="I25" s="962" t="inlineStr">
        <is>
          <t>TDD Cost ($m)</t>
        </is>
      </c>
      <c r="J25" s="962" t="inlineStr">
        <is>
          <t>Funded outside TDD ($m)</t>
        </is>
      </c>
      <c r="K25" s="877" t="inlineStr">
        <is>
          <t>Actual cost after levers ($m)</t>
        </is>
      </c>
      <c r="L25" s="877" t="inlineStr">
        <is>
          <t>Variance to archetype ($m)</t>
        </is>
      </c>
      <c r="AA25" s="1010" t="inlineStr">
        <is>
          <t>Onshore rate ($m)</t>
        </is>
      </c>
      <c r="AB25" s="1010" t="inlineStr">
        <is>
          <t>Offshore rate ($m)</t>
        </is>
      </c>
      <c r="AC25" s="1010" t="inlineStr">
        <is>
          <t>Archetype roles</t>
        </is>
      </c>
    </row>
    <row r="26" ht="14.25" customHeight="1" s="535">
      <c r="B26" s="965" t="inlineStr">
        <is>
          <t>Distribution, Sales &amp; Services</t>
        </is>
      </c>
      <c r="C26" s="966" t="inlineStr">
        <is>
          <t>Configuration / Integration</t>
        </is>
      </c>
      <c r="D26" s="966" t="inlineStr">
        <is>
          <t>M</t>
        </is>
      </c>
      <c r="E26" s="966" t="inlineStr">
        <is>
          <t>Onshore</t>
        </is>
      </c>
      <c r="F26" s="918" t="inlineStr">
        <is>
          <t>AU</t>
        </is>
      </c>
      <c r="G26" s="967" t="n">
        <v>0.2</v>
      </c>
      <c r="H26" s="968">
        <f>IFERROR(IF($E26="Onshore",$AA26*1,IF($E26="Hybrid",$AA26*MIN('0.3 Squad Archetypes'!$K$8,$AC26)/$AC26+$AB26*($AC26-MIN('0.3 Squad Archetypes'!$K$8,$AC26))/$AC26,$AB26*1)),"check size")</f>
        <v>2.1</v>
      </c>
      <c r="I26" s="969">
        <f>IFERROR($H26*$G26,"")</f>
        <v>0.42</v>
      </c>
      <c r="J26" s="969">
        <f>IFERROR($H26*(1-$G26),"")</f>
        <v>1.68</v>
      </c>
      <c r="K26" s="541">
        <f>IFERROR(INDEX('2.7 Infrastructure'!$S$8:$S$22,MATCH($B26,'2.7 Infrastructure'!$B$8:$B$22,0)),"")</f>
        <v>1.9567839</v>
      </c>
      <c r="L26" s="541">
        <f>IF(AND(ISNUMBER($H26),ISNUMBER($K26)),ROUND($K26-$H26,6),"")</f>
        <v>-0.143216</v>
      </c>
      <c r="M26" s="987" t="inlineStr">
        <is>
          <t>Hybrid</t>
        </is>
      </c>
      <c r="AA26" s="968">
        <f>IFERROR(INDEX('0.3 Squad Archetypes'!$G$5:$G$23,MATCH($C26&amp;"|"&amp;$D26,'0.3 Squad Archetypes'!$A$5:$A$23,0)),"")</f>
        <v>2.1</v>
      </c>
      <c r="AB26" s="968">
        <f>IFERROR(INDEX('0.3 Squad Archetypes'!$H$5:$H$23,MATCH($C26&amp;"|"&amp;$D26,'0.3 Squad Archetypes'!$A$5:$A$23,0)),"")</f>
        <v>0.84</v>
      </c>
      <c r="AC26" s="968">
        <f>IFERROR(INDEX('0.3 Squad Archetypes'!$F$5:$F$23,MATCH($C26&amp;"|"&amp;$D26,'0.3 Squad Archetypes'!$A$5:$A$23,0)),"")</f>
        <v>9</v>
      </c>
    </row>
    <row r="27" ht="14.25" customHeight="1" s="535">
      <c r="B27" s="965" t="inlineStr">
        <is>
          <t>Platform Overhead</t>
        </is>
      </c>
      <c r="C27" s="866" t="n"/>
      <c r="D27" s="866" t="n"/>
      <c r="E27" s="866" t="n"/>
      <c r="F27" s="855" t="n"/>
      <c r="G27" s="866" t="n"/>
      <c r="H27" s="866" t="n"/>
      <c r="I27" s="970">
        <f>'0.2 Data Config'!$N$16</f>
        <v>0.165</v>
      </c>
      <c r="J27" s="866" t="n"/>
    </row>
    <row r="28" ht="14.25" customHeight="1" s="535">
      <c r="B28" s="971" t="inlineStr">
        <is>
          <t>Distribution Total</t>
        </is>
      </c>
      <c r="C28" s="923" t="n"/>
      <c r="D28" s="923" t="n"/>
      <c r="E28" s="923" t="n"/>
      <c r="F28" s="924" t="n"/>
      <c r="G28" s="923" t="n"/>
      <c r="H28" s="972">
        <f>SUM(H26:H26)</f>
        <v>2.1</v>
      </c>
      <c r="I28" s="972">
        <f>SUM(I26:I27)</f>
        <v>0.585</v>
      </c>
      <c r="J28" s="972">
        <f>SUM(J26:J26)</f>
        <v>1.68</v>
      </c>
      <c r="K28" s="926">
        <f>SUM($K26)</f>
        <v>1.9567839</v>
      </c>
      <c r="L28" s="926">
        <f>IF(COUNT($H26)=1,IF(AND(ISNUMBER($H28),ISNUMBER($K28)),ROUND($K28-$H28,6),""),"")</f>
        <v>-0.143216</v>
      </c>
    </row>
    <row r="29" ht="14.25" customHeight="1" s="535">
      <c r="F29" s="855" t="n"/>
    </row>
    <row r="30" ht="18.75" customHeight="1" s="535">
      <c r="B30" s="977" t="inlineStr">
        <is>
          <t>Platform: Manufacturing</t>
        </is>
      </c>
      <c r="C30" s="912" t="n"/>
      <c r="D30" s="912" t="n"/>
      <c r="E30" s="912" t="n"/>
      <c r="F30" s="912" t="n"/>
      <c r="G30" s="912" t="n"/>
      <c r="H30" s="912" t="n"/>
      <c r="I30" s="912" t="n"/>
      <c r="J30" s="913" t="n"/>
      <c r="K30" s="538" t="n"/>
      <c r="L30" s="538" t="n"/>
    </row>
    <row r="31" ht="33.75" customHeight="1" s="535">
      <c r="B31" s="961" t="inlineStr">
        <is>
          <t>Squad</t>
        </is>
      </c>
      <c r="C31" s="962" t="inlineStr">
        <is>
          <t>Squad Type</t>
        </is>
      </c>
      <c r="D31" s="962" t="inlineStr">
        <is>
          <t>Size</t>
        </is>
      </c>
      <c r="E31" s="962" t="inlineStr">
        <is>
          <t>On/Off</t>
        </is>
      </c>
      <c r="F31" s="915" t="inlineStr">
        <is>
          <t>AU / NZ</t>
        </is>
      </c>
      <c r="G31" s="962" t="inlineStr">
        <is>
          <t>Support %</t>
        </is>
      </c>
      <c r="H31" s="1010" t="inlineStr">
        <is>
          <t>Total Squad Cost ($m)</t>
        </is>
      </c>
      <c r="I31" s="962" t="inlineStr">
        <is>
          <t>TDD Cost ($m)</t>
        </is>
      </c>
      <c r="J31" s="962" t="inlineStr">
        <is>
          <t>Funded outside TDD ($m)</t>
        </is>
      </c>
      <c r="K31" s="877" t="inlineStr">
        <is>
          <t>Actual cost after levers ($m)</t>
        </is>
      </c>
      <c r="L31" s="877" t="inlineStr">
        <is>
          <t>Variance to archetype ($m)</t>
        </is>
      </c>
      <c r="AA31" s="1010" t="inlineStr">
        <is>
          <t>Onshore rate ($m)</t>
        </is>
      </c>
      <c r="AB31" s="1010" t="inlineStr">
        <is>
          <t>Offshore rate ($m)</t>
        </is>
      </c>
      <c r="AC31" s="1010" t="inlineStr">
        <is>
          <t>Archetype roles</t>
        </is>
      </c>
    </row>
    <row r="32" ht="14.25" customHeight="1" s="535">
      <c r="B32" s="965" t="inlineStr">
        <is>
          <t>Manufacturing Group Projects</t>
        </is>
      </c>
      <c r="C32" s="966" t="inlineStr">
        <is>
          <t>Configuration / Integration</t>
        </is>
      </c>
      <c r="D32" s="966" t="inlineStr">
        <is>
          <t>M</t>
        </is>
      </c>
      <c r="E32" s="966" t="inlineStr">
        <is>
          <t>Onshore</t>
        </is>
      </c>
      <c r="F32" s="918" t="inlineStr">
        <is>
          <t>AU</t>
        </is>
      </c>
      <c r="G32" s="967" t="n">
        <v>0.2</v>
      </c>
      <c r="H32" s="968">
        <f>IFERROR(IF($E32="Onshore",$AA32*1,IF($E32="Hybrid",$AA32*MIN('0.3 Squad Archetypes'!$K$8,$AC32)/$AC32+$AB32*($AC32-MIN('0.3 Squad Archetypes'!$K$8,$AC32))/$AC32,$AB32*1)),"check size")</f>
        <v>2.1</v>
      </c>
      <c r="I32" s="969">
        <f>IFERROR($H32*$G32,"")</f>
        <v>0.42</v>
      </c>
      <c r="J32" s="969">
        <f>IFERROR($H32*(1-$G32),"")</f>
        <v>1.68</v>
      </c>
      <c r="K32" s="541">
        <f>IFERROR(INDEX('2.7 Infrastructure'!$S$8:$S$22,MATCH($B32,'2.7 Infrastructure'!$B$8:$B$22,0)),"")</f>
        <v>1.68308405</v>
      </c>
      <c r="L32" s="541">
        <f>IF(AND(ISNUMBER($H32),ISNUMBER($K32)),ROUND($K32-$H32,6),"")</f>
        <v>-0.416916</v>
      </c>
      <c r="AA32" s="968">
        <f>IFERROR(INDEX('0.3 Squad Archetypes'!$G$5:$G$23,MATCH($C32&amp;"|"&amp;$D32,'0.3 Squad Archetypes'!$A$5:$A$23,0)),"")</f>
        <v>2.1</v>
      </c>
      <c r="AB32" s="968">
        <f>IFERROR(INDEX('0.3 Squad Archetypes'!$H$5:$H$23,MATCH($C32&amp;"|"&amp;$D32,'0.3 Squad Archetypes'!$A$5:$A$23,0)),"")</f>
        <v>0.84</v>
      </c>
      <c r="AC32" s="968">
        <f>IFERROR(INDEX('0.3 Squad Archetypes'!$F$5:$F$23,MATCH($C32&amp;"|"&amp;$D32,'0.3 Squad Archetypes'!$A$5:$A$23,0)),"")</f>
        <v>9</v>
      </c>
    </row>
    <row r="33" ht="14.25" customHeight="1" s="535">
      <c r="B33" s="965" t="inlineStr">
        <is>
          <t>Technology Support</t>
        </is>
      </c>
      <c r="C33" s="966" t="inlineStr">
        <is>
          <t>Operations</t>
        </is>
      </c>
      <c r="D33" s="966" t="inlineStr">
        <is>
          <t>S</t>
        </is>
      </c>
      <c r="E33" s="966" t="inlineStr">
        <is>
          <t>Onshore</t>
        </is>
      </c>
      <c r="F33" s="918" t="inlineStr">
        <is>
          <t>AU</t>
        </is>
      </c>
      <c r="G33" s="967" t="n">
        <v>0.8</v>
      </c>
      <c r="H33" s="968">
        <f>IFERROR(IF($E33="Onshore",$AA33*1,IF($E33="Hybrid",$AA33*MIN('0.3 Squad Archetypes'!$K$8,$AC33)/$AC33+$AB33*($AC33-MIN('0.3 Squad Archetypes'!$K$8,$AC33))/$AC33,$AB33*1)),"check size")</f>
        <v>0.8</v>
      </c>
      <c r="I33" s="969">
        <f>IFERROR($H33*$G33,"")</f>
        <v>0.64</v>
      </c>
      <c r="J33" s="969">
        <f>IFERROR($H33*(1-$G33),"")</f>
        <v>0.16</v>
      </c>
      <c r="K33" s="541">
        <f>IFERROR(INDEX('2.7 Infrastructure'!$S$8:$S$22,MATCH($B33,'2.7 Infrastructure'!$B$8:$B$22,0)),"")</f>
        <v>0.74133529</v>
      </c>
      <c r="L33" s="541">
        <f>IF(AND(ISNUMBER($H33),ISNUMBER($K33)),ROUND($K33-$H33,6),"")</f>
        <v>-0.058665</v>
      </c>
      <c r="AA33" s="968">
        <f>IFERROR(INDEX('0.3 Squad Archetypes'!$G$5:$G$23,MATCH($C33&amp;"|"&amp;$D33,'0.3 Squad Archetypes'!$A$5:$A$23,0)),"")</f>
        <v>0.8</v>
      </c>
      <c r="AB33" s="968">
        <f>IFERROR(INDEX('0.3 Squad Archetypes'!$H$5:$H$23,MATCH($C33&amp;"|"&amp;$D33,'0.3 Squad Archetypes'!$A$5:$A$23,0)),"")</f>
        <v>0.32</v>
      </c>
      <c r="AC33" s="968">
        <f>IFERROR(INDEX('0.3 Squad Archetypes'!$F$5:$F$23,MATCH($C33&amp;"|"&amp;$D33,'0.3 Squad Archetypes'!$A$5:$A$23,0)),"")</f>
        <v>4</v>
      </c>
    </row>
    <row r="34" ht="14.25" customHeight="1" s="535">
      <c r="B34" s="965" t="inlineStr">
        <is>
          <t>Platform Overhead</t>
        </is>
      </c>
      <c r="C34" s="866" t="n"/>
      <c r="D34" s="866" t="n"/>
      <c r="E34" s="866" t="n"/>
      <c r="F34" s="855" t="n"/>
      <c r="G34" s="866" t="n"/>
      <c r="H34" s="866" t="n"/>
      <c r="I34" s="970">
        <f>'0.2 Data Config'!$N$16</f>
        <v>0.165</v>
      </c>
      <c r="J34" s="866" t="n"/>
    </row>
    <row r="35" ht="14.25" customHeight="1" s="535">
      <c r="B35" s="971" t="inlineStr">
        <is>
          <t>Manufacturing Total</t>
        </is>
      </c>
      <c r="C35" s="923" t="n"/>
      <c r="D35" s="923" t="n"/>
      <c r="E35" s="923" t="n"/>
      <c r="F35" s="924" t="n"/>
      <c r="G35" s="923" t="n"/>
      <c r="H35" s="972">
        <f>SUM(H32:H33)</f>
        <v>2.9</v>
      </c>
      <c r="I35" s="972">
        <f>SUM(I32:I34)</f>
        <v>1.225</v>
      </c>
      <c r="J35" s="972">
        <f>SUM(J32:J33)</f>
        <v>1.84</v>
      </c>
      <c r="K35" s="926">
        <f>SUM($K32,$K33)</f>
        <v>2.42441934</v>
      </c>
      <c r="L35" s="926">
        <f>IF(COUNT($H32,$H33)=2,IF(AND(ISNUMBER($H35),ISNUMBER($K35)),ROUND($K35-$H35,6),""),"")</f>
        <v>-0.475581</v>
      </c>
    </row>
    <row r="36" ht="14.25" customHeight="1" s="535">
      <c r="F36" s="855" t="n"/>
    </row>
    <row r="37" ht="18.75" customHeight="1" s="535">
      <c r="B37" s="977" t="inlineStr">
        <is>
          <t>Platform: Data &amp; Insights</t>
        </is>
      </c>
      <c r="C37" s="912" t="n"/>
      <c r="D37" s="912" t="n"/>
      <c r="E37" s="912" t="n"/>
      <c r="F37" s="912" t="n"/>
      <c r="G37" s="912" t="n"/>
      <c r="H37" s="912" t="n"/>
      <c r="I37" s="912" t="n"/>
      <c r="J37" s="913" t="n"/>
      <c r="K37" s="538" t="n"/>
      <c r="L37" s="538" t="n"/>
    </row>
    <row r="38" ht="33.75" customHeight="1" s="535">
      <c r="B38" s="961" t="inlineStr">
        <is>
          <t>Squad</t>
        </is>
      </c>
      <c r="C38" s="962" t="inlineStr">
        <is>
          <t>Squad Type</t>
        </is>
      </c>
      <c r="D38" s="962" t="inlineStr">
        <is>
          <t>Size</t>
        </is>
      </c>
      <c r="E38" s="962" t="inlineStr">
        <is>
          <t>On/Off</t>
        </is>
      </c>
      <c r="F38" s="915" t="inlineStr">
        <is>
          <t>AU / NZ</t>
        </is>
      </c>
      <c r="G38" s="962" t="inlineStr">
        <is>
          <t>Support %</t>
        </is>
      </c>
      <c r="H38" s="1010" t="inlineStr">
        <is>
          <t>Total Squad Cost ($m)</t>
        </is>
      </c>
      <c r="I38" s="962" t="inlineStr">
        <is>
          <t>TDD Cost ($m)</t>
        </is>
      </c>
      <c r="J38" s="962" t="inlineStr">
        <is>
          <t>Funded outside TDD ($m)</t>
        </is>
      </c>
      <c r="K38" s="877" t="inlineStr">
        <is>
          <t>Actual cost after levers ($m)</t>
        </is>
      </c>
      <c r="L38" s="877" t="inlineStr">
        <is>
          <t>Variance to archetype ($m)</t>
        </is>
      </c>
      <c r="AA38" s="1010" t="inlineStr">
        <is>
          <t>Onshore rate ($m)</t>
        </is>
      </c>
      <c r="AB38" s="1010" t="inlineStr">
        <is>
          <t>Offshore rate ($m)</t>
        </is>
      </c>
      <c r="AC38" s="1010" t="inlineStr">
        <is>
          <t>Archetype roles</t>
        </is>
      </c>
    </row>
    <row r="39" ht="14.25" customHeight="1" s="535">
      <c r="B39" s="965" t="inlineStr">
        <is>
          <t>Data &amp; Insights</t>
        </is>
      </c>
      <c r="C39" s="966" t="inlineStr">
        <is>
          <t>Configuration / Integration</t>
        </is>
      </c>
      <c r="D39" s="966" t="inlineStr">
        <is>
          <t>S</t>
        </is>
      </c>
      <c r="E39" s="966" t="inlineStr">
        <is>
          <t>Offshore</t>
        </is>
      </c>
      <c r="F39" s="918" t="inlineStr">
        <is>
          <t>AU</t>
        </is>
      </c>
      <c r="G39" s="967" t="n">
        <v>0.2</v>
      </c>
      <c r="H39" s="968">
        <f>IFERROR(IF($E39="Onshore",$AA39*1,IF($E39="Hybrid",$AA39*MIN('0.3 Squad Archetypes'!$K$8,$AC39)/$AC39+$AB39*($AC39-MIN('0.3 Squad Archetypes'!$K$8,$AC39))/$AC39,$AB39*1)),"check size")</f>
        <v>0.56</v>
      </c>
      <c r="I39" s="969">
        <f>IFERROR($H39*$G39,"")</f>
        <v>0.112</v>
      </c>
      <c r="J39" s="969">
        <f>IFERROR($H39*(1-$G39),"")</f>
        <v>0.448</v>
      </c>
      <c r="K39" s="541">
        <f>IFERROR(INDEX('2.7 Infrastructure'!$S$8:$S$22,MATCH($B39,'2.7 Infrastructure'!$B$8:$B$22,0)),"")</f>
        <v>0.89963235</v>
      </c>
      <c r="L39" s="541">
        <f>IF(AND(ISNUMBER($H39),ISNUMBER($K39)),ROUND($K39-$H39,6),"")</f>
        <v>0.339632</v>
      </c>
      <c r="M39" s="987" t="inlineStr">
        <is>
          <t>Data team to be worked out</t>
        </is>
      </c>
      <c r="AA39" s="968">
        <f>IFERROR(INDEX('0.3 Squad Archetypes'!$G$5:$G$23,MATCH($C39&amp;"|"&amp;$D39,'0.3 Squad Archetypes'!$A$5:$A$23,0)),"")</f>
        <v>1.4</v>
      </c>
      <c r="AB39" s="968">
        <f>IFERROR(INDEX('0.3 Squad Archetypes'!$H$5:$H$23,MATCH($C39&amp;"|"&amp;$D39,'0.3 Squad Archetypes'!$A$5:$A$23,0)),"")</f>
        <v>0.56</v>
      </c>
      <c r="AC39" s="968">
        <f>IFERROR(INDEX('0.3 Squad Archetypes'!$F$5:$F$23,MATCH($C39&amp;"|"&amp;$D39,'0.3 Squad Archetypes'!$A$5:$A$23,0)),"")</f>
        <v>6</v>
      </c>
    </row>
    <row r="40" ht="14.25" customHeight="1" s="535">
      <c r="B40" s="965" t="inlineStr">
        <is>
          <t>Platform Overhead</t>
        </is>
      </c>
      <c r="C40" s="866" t="n"/>
      <c r="D40" s="866" t="n"/>
      <c r="E40" s="866" t="n"/>
      <c r="F40" s="855" t="n"/>
      <c r="G40" s="866" t="n"/>
      <c r="H40" s="866" t="n"/>
      <c r="I40" s="970">
        <f>'0.2 Data Config'!$N$16</f>
        <v>0.165</v>
      </c>
      <c r="J40" s="866" t="n"/>
    </row>
    <row r="41" ht="14.25" customHeight="1" s="535">
      <c r="B41" s="971" t="inlineStr">
        <is>
          <t>Data &amp; Insights Total</t>
        </is>
      </c>
      <c r="C41" s="923" t="n"/>
      <c r="D41" s="923" t="n"/>
      <c r="E41" s="923" t="n"/>
      <c r="F41" s="924" t="n"/>
      <c r="G41" s="923" t="n"/>
      <c r="H41" s="972">
        <f>SUM(H39:H39)</f>
        <v>0.56</v>
      </c>
      <c r="I41" s="972">
        <f>SUM(I39:I40)</f>
        <v>0.277</v>
      </c>
      <c r="J41" s="972">
        <f>SUM(J39:J39)</f>
        <v>0.448</v>
      </c>
      <c r="K41" s="926">
        <f>SUM($K39)</f>
        <v>0.89963235</v>
      </c>
      <c r="L41" s="926">
        <f>IF(COUNT($H39)=1,IF(AND(ISNUMBER($H41),ISNUMBER($K41)),ROUND($K41-$H41,6),""),"")</f>
        <v>0.339632</v>
      </c>
    </row>
    <row r="42" ht="14.25" customHeight="1" s="535">
      <c r="F42" s="855" t="n"/>
    </row>
    <row r="43" ht="14.25" customHeight="1" s="535">
      <c r="B43" s="933" t="n"/>
      <c r="C43" s="935" t="n"/>
      <c r="D43" s="855" t="n"/>
      <c r="F43" s="855" t="n"/>
    </row>
    <row r="44" ht="14.25" customHeight="1" s="535">
      <c r="B44" s="933" t="n"/>
      <c r="C44" s="935" t="n"/>
      <c r="D44" s="855" t="n"/>
      <c r="F44" s="855"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outlinePr summaryBelow="1" summaryRight="1"/>
    <pageSetUpPr fitToPage="1"/>
  </sheetPr>
  <dimension ref="A1:AC40"/>
  <sheetViews>
    <sheetView showFormulas="0" showGridLines="0" showRowColHeaders="1" showZeros="1" rightToLeft="0" tabSelected="0" showOutlineSymbols="1" defaultGridColor="1" view="normal" topLeftCell="A27" colorId="64" zoomScale="110" zoomScaleNormal="110" zoomScalePageLayoutView="100" workbookViewId="0">
      <selection pane="topLeft" activeCell="E27" activeCellId="0" sqref="E27"/>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3" customWidth="1" style="534" min="13" max="14"/>
  </cols>
  <sheetData>
    <row r="1" ht="14.25" customHeight="1" s="535">
      <c r="F1" s="855" t="n"/>
    </row>
    <row r="2" ht="21" customHeight="1" s="535">
      <c r="B2" s="873" t="inlineStr">
        <is>
          <t>Energy Solutions &amp; B2B</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875"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Config'!$E$16</f>
        <v>2.5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Config'!$D$16)&gt;('0.2 Data Config'!$C$16),0,'0.2 Data Config'!$N$10)</f>
        <v>0.7975</v>
      </c>
      <c r="D6" s="701">
        <f>IF(('0.2 Data Config'!$D$16)&gt;('0.2 Data Config'!$C$16),'0.2 Data Config'!$N$10,0)</f>
        <v>0</v>
      </c>
      <c r="E6" s="701">
        <f>0</f>
        <v>0</v>
      </c>
      <c r="F6" s="701">
        <f>C6+D6+E6</f>
        <v>0.7975</v>
      </c>
      <c r="G6" s="991" t="n"/>
      <c r="H6" s="936" t="inlineStr">
        <is>
          <t>AU Budget ($m)</t>
        </is>
      </c>
      <c r="I6" s="937">
        <f>'0.2 Data Config'!$C$16</f>
        <v>2.5</v>
      </c>
      <c r="K6" s="539" t="inlineStr">
        <is>
          <t>Actual portfolio</t>
        </is>
      </c>
      <c r="L6" s="674" t="n"/>
      <c r="M6" s="881">
        <f>'2.8 Energy Solutions &amp; B2B'!$F$19</f>
        <v>33</v>
      </c>
      <c r="N6" s="541">
        <f>'2.8 Energy Solutions &amp; B2B'!$O$19</f>
        <v>6.341619662</v>
      </c>
    </row>
    <row r="7" ht="14.25" customHeight="1" s="535">
      <c r="B7" s="716" t="inlineStr">
        <is>
          <t>Platform Overheads</t>
        </is>
      </c>
      <c r="C7" s="701">
        <f>IF(('0.2 Data Config'!$D$16)&gt;('0.2 Data Config'!$C$16),0,SUM(I30,I36))</f>
        <v>0.33</v>
      </c>
      <c r="D7" s="701">
        <f>IF(('0.2 Data Config'!$D$16)&gt;('0.2 Data Config'!$C$16),SUM(I30,I36),0)</f>
        <v>0</v>
      </c>
      <c r="E7" s="701">
        <f>0</f>
        <v>0</v>
      </c>
      <c r="F7" s="701">
        <f>C7+D7+E7</f>
        <v>0.33</v>
      </c>
      <c r="G7" s="991" t="n"/>
      <c r="H7" s="938" t="inlineStr">
        <is>
          <t>NZ Budget ($m)</t>
        </is>
      </c>
      <c r="I7" s="939">
        <f>'0.2 Data Config'!$D$16</f>
        <v>0</v>
      </c>
      <c r="K7" s="539" t="inlineStr">
        <is>
          <t>Archetype portfolio</t>
        </is>
      </c>
      <c r="L7" s="674" t="n"/>
      <c r="M7" s="881">
        <f>'2.8 Energy Solutions &amp; B2B'!$E$19</f>
        <v>30.5</v>
      </c>
      <c r="N7" s="541">
        <f>'2.8 Energy Solutions &amp; B2B'!$N$19</f>
        <v>7.1275</v>
      </c>
    </row>
    <row r="8" ht="14.25" customHeight="1" s="535">
      <c r="B8" s="716" t="inlineStr">
        <is>
          <t>Squad Support Costs</t>
        </is>
      </c>
      <c r="C8" s="701">
        <f>SUMIF(F28:F29,"AU",I28:I29)+SUMIF(F35:F35,"AU",I35:I35)</f>
        <v>1.52</v>
      </c>
      <c r="D8" s="701">
        <f>SUMIF(F28:F29,"NZ",I28:I29)+SUMIF(F35:F35,"NZ",I35:I35)</f>
        <v>0</v>
      </c>
      <c r="E8" s="701">
        <f>SUM(J28,J29,J35)</f>
        <v>4.48</v>
      </c>
      <c r="F8" s="701">
        <f>C8+D8+E8</f>
        <v>6</v>
      </c>
      <c r="G8" s="991" t="n"/>
      <c r="H8" s="680" t="inlineStr">
        <is>
          <t>AU over/(under) budget ($m)</t>
        </is>
      </c>
      <c r="I8" s="974">
        <f>C9-I6</f>
        <v>0.1475</v>
      </c>
      <c r="K8" s="886" t="inlineStr">
        <is>
          <t>Variance</t>
        </is>
      </c>
      <c r="L8" s="887" t="n"/>
      <c r="M8" s="888">
        <f>IF(AND(ISNUMBER($M$7),ISNUMBER($M$6)),ROUND($M$6-$M$7,6),"")</f>
        <v>2.5</v>
      </c>
      <c r="N8" s="889">
        <f>IF(AND(ISNUMBER($N$7),ISNUMBER($N$6)),ROUND($N$6-$N$7,6),"")</f>
        <v>-0.78588</v>
      </c>
    </row>
    <row r="9" ht="15" customHeight="1" s="535">
      <c r="B9" s="890" t="inlineStr">
        <is>
          <t>Total Cost</t>
        </is>
      </c>
      <c r="C9" s="891">
        <f>SUM(C6:C8)</f>
        <v>2.6475</v>
      </c>
      <c r="D9" s="891">
        <f>SUM(D6:D8)</f>
        <v>0</v>
      </c>
      <c r="E9" s="891">
        <f>SUM(E6:E8)</f>
        <v>4.48</v>
      </c>
      <c r="F9" s="891">
        <f>SUM(F6:F8)</f>
        <v>7.1275</v>
      </c>
      <c r="G9" s="892">
        <f>$N$6</f>
        <v>6.341619662</v>
      </c>
      <c r="H9" s="680" t="inlineStr">
        <is>
          <t>NZ over/(under) budget ($m)</t>
        </is>
      </c>
      <c r="I9" s="974">
        <f>D9-I7</f>
        <v>0</v>
      </c>
    </row>
    <row r="10" ht="33.75" customHeight="1" s="535">
      <c r="E10" s="895" t="inlineStr">
        <is>
          <t>Variance to actuals</t>
        </is>
      </c>
      <c r="F10" s="896">
        <f>$G$9-$F$9</f>
        <v>-0.785880338</v>
      </c>
      <c r="H10" s="928" t="inlineStr">
        <is>
          <t>TDD over/(under) budget ($m)</t>
        </is>
      </c>
      <c r="I10" s="999">
        <f>I8+I9</f>
        <v>0.1475</v>
      </c>
    </row>
    <row r="11" ht="18.75" customHeight="1" s="535">
      <c r="F11" s="855" t="n"/>
      <c r="H11" s="1017" t="inlineStr">
        <is>
          <t>Other funding</t>
        </is>
      </c>
      <c r="I11" s="992" t="n"/>
      <c r="J11" s="538" t="n"/>
      <c r="K11" s="538" t="n"/>
      <c r="L11" s="538" t="n"/>
    </row>
    <row r="12" ht="33.75" customHeight="1" s="535">
      <c r="B12" s="945" t="inlineStr">
        <is>
          <t xml:space="preserve">Total Energy Solutions budget </t>
        </is>
      </c>
      <c r="D12" s="946" t="n"/>
      <c r="E12" s="1018" t="n">
        <v>7.2</v>
      </c>
      <c r="F12" s="855" t="n"/>
      <c r="H12" s="962" t="inlineStr">
        <is>
          <t>Budget line</t>
        </is>
      </c>
      <c r="I12" s="962" t="inlineStr">
        <is>
          <t>Budget ($m)</t>
        </is>
      </c>
      <c r="J12" s="964" t="inlineStr">
        <is>
          <t>Amount that can be allocated to people</t>
        </is>
      </c>
      <c r="K12" s="964" t="inlineStr">
        <is>
          <t>Remaining for non-people ($m)</t>
        </is>
      </c>
      <c r="L12" s="698" t="inlineStr">
        <is>
          <t>Notes</t>
        </is>
      </c>
    </row>
    <row r="13" ht="14.25" customHeight="1" s="535">
      <c r="B13" s="945" t="inlineStr">
        <is>
          <t xml:space="preserve">Reconciled to Finance </t>
        </is>
      </c>
      <c r="D13" s="946" t="n"/>
      <c r="E13" s="914">
        <f>'0.1 Budget Table (Fin)'!Q7</f>
        <v>7.2</v>
      </c>
      <c r="F13" s="855" t="n"/>
      <c r="H13" s="965" t="inlineStr">
        <is>
          <t>Energy Solutions Lights On</t>
        </is>
      </c>
      <c r="I13" s="970">
        <f>'0.1 Budget Table (Fin)'!L7</f>
        <v>3.9</v>
      </c>
      <c r="J13" s="1019" t="n"/>
      <c r="K13" s="969">
        <f>IFERROR(I13-J13,0)</f>
        <v>3.9</v>
      </c>
      <c r="L13" s="947" t="n"/>
    </row>
    <row r="14" ht="14.25" customHeight="1" s="535">
      <c r="F14" s="855" t="n"/>
      <c r="H14" s="965" t="inlineStr">
        <is>
          <t xml:space="preserve">ES OpEx Initiatives </t>
        </is>
      </c>
      <c r="I14" s="1003" t="n">
        <v>2.5</v>
      </c>
      <c r="J14" s="1003" t="n">
        <v>2.5</v>
      </c>
      <c r="K14" s="969">
        <f>IFERROR(I14-J14,0)</f>
        <v>0</v>
      </c>
      <c r="L14" s="948" t="n"/>
    </row>
    <row r="15" ht="14.25" customHeight="1" s="535">
      <c r="B15" s="899" t="inlineStr">
        <is>
          <t>Total to fund</t>
        </is>
      </c>
      <c r="C15" s="900" t="n"/>
      <c r="F15" s="855" t="n"/>
      <c r="H15" s="965" t="inlineStr">
        <is>
          <t>ES CapEx</t>
        </is>
      </c>
      <c r="I15" s="1003" t="n">
        <v>2.5</v>
      </c>
      <c r="J15" s="1003" t="n">
        <v>2.5</v>
      </c>
      <c r="K15" s="969">
        <f>IFERROR(I15-J15,0)</f>
        <v>0</v>
      </c>
      <c r="L15" s="948" t="n"/>
    </row>
    <row r="16" ht="14.25" customHeight="1" s="535">
      <c r="B16" s="901" t="inlineStr">
        <is>
          <t>TDD Variance</t>
        </is>
      </c>
      <c r="C16" s="949">
        <f>I8+I9</f>
        <v>0.1475</v>
      </c>
      <c r="F16" s="855" t="n"/>
      <c r="H16" s="1020" t="inlineStr">
        <is>
          <t>B2B Lights On</t>
        </is>
      </c>
      <c r="I16" s="1003" t="n"/>
      <c r="J16" s="1003" t="n"/>
      <c r="K16" s="969" t="n"/>
      <c r="L16" s="948" t="n"/>
    </row>
    <row r="17" ht="14.25" customHeight="1" s="535">
      <c r="B17" s="901" t="inlineStr">
        <is>
          <t>Other Variance</t>
        </is>
      </c>
      <c r="C17" s="902">
        <f>J23</f>
        <v>-2.02</v>
      </c>
      <c r="E17" s="534" t="inlineStr">
        <is>
          <t>What is the B2B initiatives #?</t>
        </is>
      </c>
      <c r="F17" s="855" t="n"/>
      <c r="H17" s="1020" t="inlineStr">
        <is>
          <t xml:space="preserve">B2B OpEx Initiatives </t>
        </is>
      </c>
      <c r="I17" s="1003" t="n"/>
      <c r="J17" s="1003" t="n"/>
      <c r="K17" s="969" t="n"/>
      <c r="L17" s="948" t="n"/>
    </row>
    <row r="18" ht="14.25" customHeight="1" s="535">
      <c r="B18" s="906" t="inlineStr">
        <is>
          <t>Total</t>
        </is>
      </c>
      <c r="C18" s="907">
        <f>C16+C17</f>
        <v>-1.8725</v>
      </c>
      <c r="E18" s="534" t="inlineStr">
        <is>
          <t>What is the B2B CapEx?</t>
        </is>
      </c>
      <c r="F18" s="855" t="n"/>
      <c r="H18" s="1020" t="inlineStr">
        <is>
          <t>B2B CapEx (not yet in the Finance table)</t>
        </is>
      </c>
      <c r="I18" s="1003" t="n"/>
      <c r="J18" s="1003" t="n">
        <v>1.5</v>
      </c>
      <c r="K18" s="969" t="n"/>
      <c r="L18" s="948" t="n"/>
    </row>
    <row r="19" ht="14.25" customHeight="1" s="535">
      <c r="F19" s="855" t="n"/>
      <c r="H19" s="965" t="inlineStr">
        <is>
          <t>Significant Items</t>
        </is>
      </c>
      <c r="I19" s="970">
        <f>N('0.1 Budget Table (Fin)'!O7)</f>
        <v>0</v>
      </c>
      <c r="J19" s="1003" t="n">
        <v>0</v>
      </c>
      <c r="K19" s="969">
        <f>IFERROR(I19-J19,0)</f>
        <v>0</v>
      </c>
      <c r="L19" s="948" t="n"/>
    </row>
    <row r="20" ht="14.25" customHeight="1" s="535">
      <c r="F20" s="855" t="n"/>
      <c r="H20" s="965" t="inlineStr">
        <is>
          <t>Depreciation</t>
        </is>
      </c>
      <c r="I20" s="970">
        <f>N('0.1 Budget Table (Fin)'!M7)</f>
        <v>0</v>
      </c>
      <c r="J20" s="1003" t="n">
        <v>0</v>
      </c>
      <c r="K20" s="969">
        <f>IFERROR(I20-J20,0)</f>
        <v>0</v>
      </c>
      <c r="L20" s="948" t="n"/>
    </row>
    <row r="21" ht="14.25" customHeight="1" s="535">
      <c r="F21" s="855" t="n"/>
      <c r="H21" s="983" t="inlineStr">
        <is>
          <t>Total applied</t>
        </is>
      </c>
      <c r="I21" s="866" t="n"/>
      <c r="J21" s="984">
        <f>SUM(J13:J20)</f>
        <v>6.5</v>
      </c>
      <c r="K21" s="866" t="n"/>
    </row>
    <row r="22" ht="14.25" customHeight="1" s="535">
      <c r="F22" s="855" t="n"/>
      <c r="H22" s="965" t="inlineStr">
        <is>
          <t>Other cost (this model)</t>
        </is>
      </c>
      <c r="I22" s="866" t="n"/>
      <c r="J22" s="969">
        <f>E9</f>
        <v>4.48</v>
      </c>
      <c r="K22" s="866" t="n"/>
    </row>
    <row r="23" ht="14.25" customHeight="1" s="535">
      <c r="F23" s="855" t="n"/>
      <c r="H23" s="971" t="inlineStr">
        <is>
          <t>Left to fund</t>
        </is>
      </c>
      <c r="I23" s="866" t="n"/>
      <c r="J23" s="972">
        <f>E9-(J21-J13-J16)</f>
        <v>-2.02</v>
      </c>
      <c r="K23" s="866" t="n"/>
    </row>
    <row r="24" ht="14.25" customHeight="1" s="535">
      <c r="F24" s="855" t="n"/>
    </row>
    <row r="25" ht="14.25" customHeight="1" s="535">
      <c r="F25" s="855" t="n"/>
    </row>
    <row r="26" ht="18.75" customHeight="1" s="535">
      <c r="B26" s="977" t="inlineStr">
        <is>
          <t>Platform: Energy Solutions</t>
        </is>
      </c>
      <c r="C26" s="912" t="n"/>
      <c r="D26" s="912" t="n"/>
      <c r="E26" s="912" t="n"/>
      <c r="F26" s="912" t="n"/>
      <c r="G26" s="912" t="n"/>
      <c r="H26" s="912" t="n"/>
      <c r="I26" s="912" t="n"/>
      <c r="J26" s="913" t="n"/>
      <c r="K26" s="538" t="n"/>
      <c r="L26" s="538" t="n"/>
    </row>
    <row r="27" ht="33.75" customHeight="1" s="535">
      <c r="B27" s="961" t="inlineStr">
        <is>
          <t>Squad</t>
        </is>
      </c>
      <c r="C27" s="962" t="inlineStr">
        <is>
          <t>Squad Type</t>
        </is>
      </c>
      <c r="D27" s="962" t="inlineStr">
        <is>
          <t>Size</t>
        </is>
      </c>
      <c r="E27" s="962" t="inlineStr">
        <is>
          <t>On/Off</t>
        </is>
      </c>
      <c r="F27" s="915" t="inlineStr">
        <is>
          <t>AU / NZ</t>
        </is>
      </c>
      <c r="G27" s="962" t="inlineStr">
        <is>
          <t>Support %</t>
        </is>
      </c>
      <c r="H27" s="963" t="inlineStr">
        <is>
          <t>Total Squad Cost ($m)</t>
        </is>
      </c>
      <c r="I27" s="964" t="inlineStr">
        <is>
          <t>TDD Cost ($m)</t>
        </is>
      </c>
      <c r="J27" s="962" t="inlineStr">
        <is>
          <t>Funded outside TDD ($m)</t>
        </is>
      </c>
      <c r="K27" s="877" t="inlineStr">
        <is>
          <t>Actual cost after levers ($m)</t>
        </is>
      </c>
      <c r="L27" s="877" t="inlineStr">
        <is>
          <t>Variance to archetype ($m)</t>
        </is>
      </c>
      <c r="AA27" s="963" t="inlineStr">
        <is>
          <t>Onshore rate ($m)</t>
        </is>
      </c>
      <c r="AB27" s="963" t="inlineStr">
        <is>
          <t>Offshore rate ($m)</t>
        </is>
      </c>
      <c r="AC27" s="963" t="inlineStr">
        <is>
          <t>Archetype roles</t>
        </is>
      </c>
    </row>
    <row r="28" ht="14.25" customHeight="1" s="535">
      <c r="B28" s="965" t="inlineStr">
        <is>
          <t>Energy</t>
        </is>
      </c>
      <c r="C28" s="966" t="inlineStr">
        <is>
          <t>Engineering</t>
        </is>
      </c>
      <c r="D28" s="966" t="inlineStr">
        <is>
          <t>M</t>
        </is>
      </c>
      <c r="E28" s="966" t="inlineStr">
        <is>
          <t>Onshore</t>
        </is>
      </c>
      <c r="F28" s="918" t="inlineStr">
        <is>
          <t>AU</t>
        </is>
      </c>
      <c r="G28" s="967" t="n">
        <v>0.2</v>
      </c>
      <c r="H28" s="968">
        <f>IFERROR(IF($E28="Onshore",$AA28*1,IF($E28="Hybrid",$AA28*MIN('0.3 Squad Archetypes'!$K$8,$AC28)/$AC28+$AB28*($AC28-MIN('0.3 Squad Archetypes'!$K$8,$AC28))/$AC28,$AB28*1)),"check size")</f>
        <v>2</v>
      </c>
      <c r="I28" s="969">
        <f>IFERROR($H28*$G28,"")</f>
        <v>0.4</v>
      </c>
      <c r="J28" s="969">
        <f>IFERROR($H28*(1-$G28),"")</f>
        <v>1.6</v>
      </c>
      <c r="K28" s="541">
        <f>IFERROR(INDEX('2.8 Energy Solutions &amp; B2B'!$S$8:$S$19,MATCH($B28,'2.8 Energy Solutions &amp; B2B'!$B$8:$B$19,0)),"")</f>
        <v>1.763592176</v>
      </c>
      <c r="L28" s="541">
        <f>IF(AND(ISNUMBER($H28),ISNUMBER($K28)),ROUND($K28-$H28,6),"")</f>
        <v>-0.236408</v>
      </c>
      <c r="AA28" s="968">
        <f>IFERROR(INDEX('0.3 Squad Archetypes'!$G$5:$G$23,MATCH($C28&amp;"|"&amp;$D28,'0.3 Squad Archetypes'!$A$5:$A$23,0)),"")</f>
        <v>2</v>
      </c>
      <c r="AB28" s="968">
        <f>IFERROR(INDEX('0.3 Squad Archetypes'!$H$5:$H$23,MATCH($C28&amp;"|"&amp;$D28,'0.3 Squad Archetypes'!$A$5:$A$23,0)),"")</f>
        <v>0.8</v>
      </c>
      <c r="AC28" s="968">
        <f>IFERROR(INDEX('0.3 Squad Archetypes'!$F$5:$F$23,MATCH($C28&amp;"|"&amp;$D28,'0.3 Squad Archetypes'!$A$5:$A$23,0)),"")</f>
        <v>9</v>
      </c>
    </row>
    <row r="29" ht="14.25" customHeight="1" s="535">
      <c r="B29" s="965" t="inlineStr">
        <is>
          <t>EVCI</t>
        </is>
      </c>
      <c r="C29" s="966" t="inlineStr">
        <is>
          <t>Engineering</t>
        </is>
      </c>
      <c r="D29" s="966" t="inlineStr">
        <is>
          <t>S</t>
        </is>
      </c>
      <c r="E29" s="966" t="inlineStr">
        <is>
          <t>Onshore</t>
        </is>
      </c>
      <c r="F29" s="918" t="inlineStr">
        <is>
          <t>AU</t>
        </is>
      </c>
      <c r="G29" s="967" t="n">
        <v>0.2</v>
      </c>
      <c r="H29" s="968">
        <f>IFERROR(IF($E29="Onshore",$AA29*1,IF($E29="Hybrid",$AA29*MIN('0.3 Squad Archetypes'!$K$8,$AC29)/$AC29+$AB29*($AC29-MIN('0.3 Squad Archetypes'!$K$8,$AC29))/$AC29,$AB29*1)),"check size")</f>
        <v>0.8</v>
      </c>
      <c r="I29" s="969">
        <f>IFERROR($H29*$G29,"")</f>
        <v>0.16</v>
      </c>
      <c r="J29" s="969">
        <f>IFERROR($H29*(1-$G29),"")</f>
        <v>0.64</v>
      </c>
      <c r="K29" s="541">
        <f>IFERROR(INDEX('2.8 Energy Solutions &amp; B2B'!$S$8:$S$19,MATCH($B29,'2.8 Energy Solutions &amp; B2B'!$B$8:$B$19,0)),"")</f>
        <v>0.930799292</v>
      </c>
      <c r="L29" s="541">
        <f>IF(AND(ISNUMBER($H29),ISNUMBER($K29)),ROUND($K29-$H29,6),"")</f>
        <v>0.130799</v>
      </c>
      <c r="AA29" s="968">
        <f>IFERROR(INDEX('0.3 Squad Archetypes'!$G$5:$G$23,MATCH($C29&amp;"|"&amp;$D29,'0.3 Squad Archetypes'!$A$5:$A$23,0)),"")</f>
        <v>0.8</v>
      </c>
      <c r="AB29" s="968">
        <f>IFERROR(INDEX('0.3 Squad Archetypes'!$H$5:$H$23,MATCH($C29&amp;"|"&amp;$D29,'0.3 Squad Archetypes'!$A$5:$A$23,0)),"")</f>
        <v>0.32</v>
      </c>
      <c r="AC29" s="968">
        <f>IFERROR(INDEX('0.3 Squad Archetypes'!$F$5:$F$23,MATCH($C29&amp;"|"&amp;$D29,'0.3 Squad Archetypes'!$A$5:$A$23,0)),"")</f>
        <v>4.5</v>
      </c>
    </row>
    <row r="30" ht="14.25" customHeight="1" s="535">
      <c r="B30" s="965" t="inlineStr">
        <is>
          <t>Platform Overhead</t>
        </is>
      </c>
      <c r="C30" s="866" t="n"/>
      <c r="D30" s="866" t="n"/>
      <c r="E30" s="866" t="n"/>
      <c r="F30" s="855" t="n"/>
      <c r="G30" s="866" t="n"/>
      <c r="H30" s="866" t="n"/>
      <c r="I30" s="970">
        <f>'0.2 Data Config'!$N$16</f>
        <v>0.165</v>
      </c>
      <c r="J30" s="866" t="n"/>
    </row>
    <row r="31" ht="14.25" customHeight="1" s="535">
      <c r="B31" s="971" t="inlineStr">
        <is>
          <t>Energy Solutions Total</t>
        </is>
      </c>
      <c r="C31" s="923" t="n"/>
      <c r="D31" s="923" t="n"/>
      <c r="E31" s="923" t="n"/>
      <c r="F31" s="924" t="n"/>
      <c r="G31" s="923" t="n"/>
      <c r="H31" s="972">
        <f>SUM(H28:H29)</f>
        <v>2.8</v>
      </c>
      <c r="I31" s="972">
        <f>SUM(I28:I30)</f>
        <v>0.725</v>
      </c>
      <c r="J31" s="972">
        <f>SUM(J28:J29)</f>
        <v>2.24</v>
      </c>
      <c r="K31" s="926">
        <f>SUM($K28,$K29)</f>
        <v>2.694391468</v>
      </c>
      <c r="L31" s="926">
        <f>IF(COUNT($H28,$H29)=2,IF(AND(ISNUMBER($H31),ISNUMBER($K31)),ROUND($K31-$H31,6),""),"")</f>
        <v>-0.105609</v>
      </c>
    </row>
    <row r="32" ht="14.25" customHeight="1" s="535">
      <c r="F32" s="855" t="n"/>
    </row>
    <row r="33" ht="18.75" customHeight="1" s="535">
      <c r="B33" s="977" t="inlineStr">
        <is>
          <t>Platform: B2B</t>
        </is>
      </c>
      <c r="C33" s="912" t="n"/>
      <c r="D33" s="912" t="n"/>
      <c r="E33" s="912" t="n"/>
      <c r="F33" s="912" t="n"/>
      <c r="G33" s="912" t="n"/>
      <c r="H33" s="912" t="n"/>
      <c r="I33" s="912" t="n"/>
      <c r="J33" s="913" t="n"/>
      <c r="K33" s="538" t="n"/>
      <c r="L33" s="538" t="n"/>
    </row>
    <row r="34" ht="33.75" customHeight="1" s="535">
      <c r="B34" s="961" t="inlineStr">
        <is>
          <t>Squad</t>
        </is>
      </c>
      <c r="C34" s="962" t="inlineStr">
        <is>
          <t>Squad Type</t>
        </is>
      </c>
      <c r="D34" s="962" t="inlineStr">
        <is>
          <t>Size</t>
        </is>
      </c>
      <c r="E34" s="962" t="inlineStr">
        <is>
          <t>On/Off</t>
        </is>
      </c>
      <c r="F34" s="915" t="inlineStr">
        <is>
          <t>AU / NZ</t>
        </is>
      </c>
      <c r="G34" s="962" t="inlineStr">
        <is>
          <t>Support %</t>
        </is>
      </c>
      <c r="H34" s="963" t="inlineStr">
        <is>
          <t>Total Squad Cost ($m)</t>
        </is>
      </c>
      <c r="I34" s="964" t="inlineStr">
        <is>
          <t>TDD Cost ($m)</t>
        </is>
      </c>
      <c r="J34" s="962" t="inlineStr">
        <is>
          <t>Funded outside TDD ($m)</t>
        </is>
      </c>
      <c r="K34" s="877" t="inlineStr">
        <is>
          <t>Actual cost after levers ($m)</t>
        </is>
      </c>
      <c r="L34" s="877" t="inlineStr">
        <is>
          <t>Variance to archetype ($m)</t>
        </is>
      </c>
      <c r="AA34" s="963" t="inlineStr">
        <is>
          <t>Onshore rate ($m)</t>
        </is>
      </c>
      <c r="AB34" s="963" t="inlineStr">
        <is>
          <t>Offshore rate ($m)</t>
        </is>
      </c>
      <c r="AC34" s="963" t="inlineStr">
        <is>
          <t>Archetype roles</t>
        </is>
      </c>
    </row>
    <row r="35" ht="14.25" customHeight="1" s="535">
      <c r="B35" s="965" t="inlineStr">
        <is>
          <t>B2B</t>
        </is>
      </c>
      <c r="C35" s="966" t="inlineStr">
        <is>
          <t>Configuration / Integration</t>
        </is>
      </c>
      <c r="D35" s="966" t="inlineStr">
        <is>
          <t>L</t>
        </is>
      </c>
      <c r="E35" s="966" t="inlineStr">
        <is>
          <t>Onshore</t>
        </is>
      </c>
      <c r="F35" s="918" t="inlineStr">
        <is>
          <t>AU</t>
        </is>
      </c>
      <c r="G35" s="967" t="n">
        <v>0.3</v>
      </c>
      <c r="H35" s="968">
        <f>IFERROR(IF($E35="Onshore",$AA35*1,IF($E35="Hybrid",$AA35*MIN('0.3 Squad Archetypes'!$K$8,$AC35)/$AC35+$AB35*($AC35-MIN('0.3 Squad Archetypes'!$K$8,$AC35))/$AC35,$AB35*1)),"check size")</f>
        <v>3.2</v>
      </c>
      <c r="I35" s="969">
        <f>IFERROR($H35*$G35,"")</f>
        <v>0.96</v>
      </c>
      <c r="J35" s="969">
        <f>IFERROR($H35*(1-$G35),"")</f>
        <v>2.24</v>
      </c>
      <c r="K35" s="541">
        <f>IFERROR(INDEX('2.8 Energy Solutions &amp; B2B'!$S$8:$S$19,MATCH($B35,'2.8 Energy Solutions &amp; B2B'!$B$8:$B$19,0)),"")</f>
        <v>2.59351107</v>
      </c>
      <c r="L35" s="541">
        <f>IF(AND(ISNUMBER($H35),ISNUMBER($K35)),ROUND($K35-$H35,6),"")</f>
        <v>-0.606489</v>
      </c>
      <c r="M35" s="987" t="inlineStr">
        <is>
          <t>Hybrid</t>
        </is>
      </c>
      <c r="AA35" s="968">
        <f>IFERROR(INDEX('0.3 Squad Archetypes'!$G$5:$G$23,MATCH($C35&amp;"|"&amp;$D35,'0.3 Squad Archetypes'!$A$5:$A$23,0)),"")</f>
        <v>3.2</v>
      </c>
      <c r="AB35" s="968">
        <f>IFERROR(INDEX('0.3 Squad Archetypes'!$H$5:$H$23,MATCH($C35&amp;"|"&amp;$D35,'0.3 Squad Archetypes'!$A$5:$A$23,0)),"")</f>
        <v>1.28</v>
      </c>
      <c r="AC35" s="968">
        <f>IFERROR(INDEX('0.3 Squad Archetypes'!$F$5:$F$23,MATCH($C35&amp;"|"&amp;$D35,'0.3 Squad Archetypes'!$A$5:$A$23,0)),"")</f>
        <v>14</v>
      </c>
    </row>
    <row r="36" ht="14.25" customHeight="1" s="535">
      <c r="B36" s="965" t="inlineStr">
        <is>
          <t>Platform Overhead</t>
        </is>
      </c>
      <c r="C36" s="866" t="n"/>
      <c r="D36" s="866" t="n"/>
      <c r="E36" s="866" t="n"/>
      <c r="F36" s="855" t="n"/>
      <c r="G36" s="866" t="n"/>
      <c r="H36" s="866" t="n"/>
      <c r="I36" s="970">
        <f>'0.2 Data Config'!$N$16</f>
        <v>0.165</v>
      </c>
      <c r="J36" s="866" t="n"/>
    </row>
    <row r="37" ht="14.25" customHeight="1" s="535">
      <c r="B37" s="971" t="inlineStr">
        <is>
          <t>B2B Total</t>
        </is>
      </c>
      <c r="C37" s="923" t="n"/>
      <c r="D37" s="923" t="n"/>
      <c r="E37" s="923" t="n"/>
      <c r="F37" s="924" t="n"/>
      <c r="G37" s="923" t="n"/>
      <c r="H37" s="972">
        <f>SUM(H35:H35)</f>
        <v>3.2</v>
      </c>
      <c r="I37" s="972">
        <f>SUM(I35:I36)</f>
        <v>1.125</v>
      </c>
      <c r="J37" s="972">
        <f>SUM(J35:J35)</f>
        <v>2.24</v>
      </c>
      <c r="K37" s="926">
        <f>SUM($K35)</f>
        <v>2.59351107</v>
      </c>
      <c r="L37" s="926">
        <f>IF(COUNT($H35)=1,IF(AND(ISNUMBER($H37),ISNUMBER($K37)),ROUND($K37-$H37,6),""),"")</f>
        <v>-0.606489</v>
      </c>
    </row>
    <row r="38" ht="14.25" customHeight="1" s="535">
      <c r="F38" s="855" t="n"/>
    </row>
    <row r="39" ht="14.25" customHeight="1" s="535">
      <c r="B39" s="933" t="n"/>
      <c r="C39" s="935" t="n"/>
      <c r="D39" s="855" t="n"/>
      <c r="F39" s="855" t="n"/>
    </row>
    <row r="40" ht="14.25" customHeight="1" s="535">
      <c r="B40" s="933" t="n"/>
      <c r="C40" s="935" t="n"/>
      <c r="D40" s="855" t="n"/>
      <c r="F40" s="855" t="n"/>
    </row>
  </sheetData>
  <mergeCells count="9">
    <mergeCell ref="B33:J33"/>
    <mergeCell ref="K7:L7"/>
    <mergeCell ref="B4:E4"/>
    <mergeCell ref="K8:L8"/>
    <mergeCell ref="K6:L6"/>
    <mergeCell ref="B26:J26"/>
    <mergeCell ref="K5:L5"/>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outlinePr summaryBelow="1" summaryRight="1"/>
    <pageSetUpPr fitToPage="1"/>
  </sheetPr>
  <dimension ref="A1:AC44"/>
  <sheetViews>
    <sheetView showFormulas="0" showGridLines="0" showRowColHeaders="1" showZeros="1" rightToLeft="0" tabSelected="0" showOutlineSymbols="1" defaultGridColor="1" view="normal" topLeftCell="A30"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Commercial Fuels</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Config'!$E$15</f>
        <v>2.5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Config'!$D$15)&gt;('0.2 Data Config'!$C$15),0,'0.2 Data Config'!$N$10)</f>
        <v>0.7975</v>
      </c>
      <c r="D6" s="701">
        <f>IF(('0.2 Data Config'!$D$15)&gt;('0.2 Data Config'!$C$15),'0.2 Data Config'!$N$10,0)</f>
        <v>0</v>
      </c>
      <c r="E6" s="701">
        <f>0</f>
        <v>0</v>
      </c>
      <c r="F6" s="701">
        <f>C6+D6+E6</f>
        <v>0.7975</v>
      </c>
      <c r="G6" s="991" t="n"/>
      <c r="H6" s="936" t="inlineStr">
        <is>
          <t>AU Budget ($m)</t>
        </is>
      </c>
      <c r="I6" s="937">
        <f>'0.2 Data Config'!$C$15</f>
        <v>2.5</v>
      </c>
      <c r="K6" s="539" t="inlineStr">
        <is>
          <t>Actual portfolio</t>
        </is>
      </c>
      <c r="L6" s="674" t="n"/>
      <c r="M6" s="881">
        <f>'2.9 Commercial Fuels'!$F$21</f>
        <v>42</v>
      </c>
      <c r="N6" s="541">
        <f>'2.9 Commercial Fuels'!$O$21</f>
        <v>10.1976697287</v>
      </c>
    </row>
    <row r="7" ht="14.25" customHeight="1" s="535">
      <c r="B7" s="716" t="inlineStr">
        <is>
          <t>Platform Overheads</t>
        </is>
      </c>
      <c r="C7" s="701">
        <f>IF(('0.2 Data Config'!$D$15)&gt;('0.2 Data Config'!$C$15),0,SUM(I28,I34,I40))</f>
        <v>0.495</v>
      </c>
      <c r="D7" s="701">
        <f>IF(('0.2 Data Config'!$D$15)&gt;('0.2 Data Config'!$C$15),SUM(I28,I34,I40),0)</f>
        <v>0</v>
      </c>
      <c r="E7" s="701">
        <f>0</f>
        <v>0</v>
      </c>
      <c r="F7" s="701">
        <f>C7+D7+E7</f>
        <v>0.495</v>
      </c>
      <c r="G7" s="991" t="n"/>
      <c r="H7" s="938" t="inlineStr">
        <is>
          <t>NZ Budget ($m)</t>
        </is>
      </c>
      <c r="I7" s="939">
        <f>'0.2 Data Config'!$D$15</f>
        <v>0</v>
      </c>
      <c r="K7" s="539" t="inlineStr">
        <is>
          <t>Archetype portfolio</t>
        </is>
      </c>
      <c r="L7" s="674" t="n"/>
      <c r="M7" s="881">
        <f>'2.9 Commercial Fuels'!$E$21</f>
        <v>29.1</v>
      </c>
      <c r="N7" s="541">
        <f>'2.9 Commercial Fuels'!$N$21</f>
        <v>9.9725</v>
      </c>
    </row>
    <row r="8" ht="14.25" customHeight="1" s="535">
      <c r="B8" s="716" t="inlineStr">
        <is>
          <t>Squad Support Costs</t>
        </is>
      </c>
      <c r="C8" s="701">
        <f>SUMIF(F26:F27,"AU",I26:I27)+SUMIF(F33:F33,"AU",I33:I33)+SUMIF(F39:F39,"AU",I39:I39)</f>
        <v>1.26</v>
      </c>
      <c r="D8" s="701">
        <f>SUMIF(F26:F27,"NZ",I26:I27)+SUMIF(F33:F33,"NZ",I33:I33)+SUMIF(F39:F39,"NZ",I39:I39)</f>
        <v>0</v>
      </c>
      <c r="E8" s="701">
        <f>SUM(J26,J27,J33,J39)</f>
        <v>7.42</v>
      </c>
      <c r="F8" s="701">
        <f>C8+D8+E8</f>
        <v>8.68</v>
      </c>
      <c r="G8" s="991" t="n"/>
      <c r="H8" s="680" t="inlineStr">
        <is>
          <t>AU over/(under) budget ($m)</t>
        </is>
      </c>
      <c r="I8" s="974">
        <f>C9-I6</f>
        <v>0.0525000000000002</v>
      </c>
      <c r="K8" s="886" t="inlineStr">
        <is>
          <t>Variance</t>
        </is>
      </c>
      <c r="L8" s="887" t="n"/>
      <c r="M8" s="888">
        <f>IF(AND(ISNUMBER($M$7),ISNUMBER($M$6)),ROUND($M$6-$M$7,6),"")</f>
        <v>12.9</v>
      </c>
      <c r="N8" s="889">
        <f>IF(AND(ISNUMBER($N$7),ISNUMBER($N$6)),ROUND($N$6-$N$7,6),"")</f>
        <v>0.22517</v>
      </c>
    </row>
    <row r="9" ht="14.25" customHeight="1" s="535">
      <c r="B9" s="890" t="inlineStr">
        <is>
          <t>Total Cost</t>
        </is>
      </c>
      <c r="C9" s="891">
        <f>SUM(C6:C8)</f>
        <v>2.5525</v>
      </c>
      <c r="D9" s="891">
        <f>SUM(D6:D8)</f>
        <v>0</v>
      </c>
      <c r="E9" s="891">
        <f>SUM(E6:E8)</f>
        <v>7.42</v>
      </c>
      <c r="F9" s="891">
        <f>SUM(F6:F8)</f>
        <v>9.9725</v>
      </c>
      <c r="G9" s="892">
        <f>$N$6</f>
        <v>10.1976697287</v>
      </c>
      <c r="H9" s="680" t="inlineStr">
        <is>
          <t>NZ over/(under) budget ($m)</t>
        </is>
      </c>
      <c r="I9" s="974">
        <f>D9-I7</f>
        <v>0</v>
      </c>
    </row>
    <row r="10" ht="33.75" customHeight="1" s="535">
      <c r="E10" s="895" t="inlineStr">
        <is>
          <t>Variance to actuals</t>
        </is>
      </c>
      <c r="F10" s="896">
        <f>$G$9-$F$9</f>
        <v>0.225169728699999</v>
      </c>
      <c r="H10" s="928" t="inlineStr">
        <is>
          <t>TDD over/(under) budget ($m)</t>
        </is>
      </c>
      <c r="I10" s="999">
        <f>I8+I9</f>
        <v>0.0525000000000002</v>
      </c>
    </row>
    <row r="11" ht="18.75" customHeight="1" s="535">
      <c r="F11" s="855" t="n"/>
      <c r="H11" s="537" t="inlineStr">
        <is>
          <t>Other funding</t>
        </is>
      </c>
      <c r="I11" s="992" t="n"/>
      <c r="J11" s="538" t="n"/>
      <c r="K11" s="538" t="n"/>
      <c r="L11" s="538" t="n"/>
    </row>
    <row r="12" ht="33.75" customHeight="1" s="535">
      <c r="B12" s="945" t="inlineStr">
        <is>
          <t xml:space="preserve">Total Commercial Fuels budget </t>
        </is>
      </c>
      <c r="D12" s="946" t="n"/>
      <c r="E12" s="914">
        <f>SUM(I13:I15)+SUM(I17:I18)</f>
        <v>40.5</v>
      </c>
      <c r="F12" s="855" t="n"/>
      <c r="H12" s="905" t="inlineStr">
        <is>
          <t>Budget line</t>
        </is>
      </c>
      <c r="I12" s="678" t="inlineStr">
        <is>
          <t>Budget ($m)</t>
        </is>
      </c>
      <c r="J12" s="678" t="inlineStr">
        <is>
          <t>Amount that can be allocated to people</t>
        </is>
      </c>
      <c r="K12" s="678" t="inlineStr">
        <is>
          <t>Remaining for non-people ($m)</t>
        </is>
      </c>
      <c r="L12" s="698" t="inlineStr">
        <is>
          <t>Notes</t>
        </is>
      </c>
    </row>
    <row r="13" ht="33.75" customHeight="1" s="535">
      <c r="B13" s="945" t="inlineStr">
        <is>
          <t xml:space="preserve">Reconciled to Finance </t>
        </is>
      </c>
      <c r="D13" s="946" t="n"/>
      <c r="E13" s="914">
        <f>'0.1 Budget Table (Fin)'!Q8</f>
        <v>40.5</v>
      </c>
      <c r="F13" s="855" t="n"/>
      <c r="H13" s="716" t="inlineStr">
        <is>
          <t>Commercial Fuels Lights On</t>
        </is>
      </c>
      <c r="I13" s="879">
        <f>'0.1 Budget Table (Fin)'!L8</f>
        <v>13.4</v>
      </c>
      <c r="J13" s="908">
        <f>N('0.1 Budget Table (Fin)'!G8)</f>
        <v>0</v>
      </c>
      <c r="K13" s="725">
        <f>IFERROR(I13-J13,0)</f>
        <v>13.4</v>
      </c>
      <c r="L13" s="947" t="n"/>
    </row>
    <row r="14" ht="14.25" customHeight="1" s="535">
      <c r="F14" s="855" t="n"/>
      <c r="H14" s="716" t="inlineStr">
        <is>
          <t>OpEx Initiatives</t>
        </is>
      </c>
      <c r="I14" s="879">
        <f>'0.1 Budget Table (Fin)'!N8</f>
        <v>6.1</v>
      </c>
      <c r="J14" s="909" t="n">
        <v>1.7</v>
      </c>
      <c r="K14" s="725">
        <f>IFERROR(I14-J14,0)</f>
        <v>4.4</v>
      </c>
      <c r="L14" s="948" t="n"/>
    </row>
    <row r="15" ht="14.25" customHeight="1" s="535">
      <c r="B15" s="899" t="inlineStr">
        <is>
          <t>Total to fund</t>
        </is>
      </c>
      <c r="C15" s="900" t="n"/>
      <c r="F15" s="855" t="n"/>
      <c r="H15" s="716" t="inlineStr">
        <is>
          <t>CapEx</t>
        </is>
      </c>
      <c r="I15" s="879">
        <f>'0.1 Budget Table (Fin)'!P8</f>
        <v>6.8</v>
      </c>
      <c r="J15" s="909" t="n">
        <v>1.68</v>
      </c>
      <c r="K15" s="725">
        <f>IFERROR(I15-J15,0)</f>
        <v>5.12</v>
      </c>
      <c r="L15" s="948" t="inlineStr">
        <is>
          <t>Covers the supply squad</t>
        </is>
      </c>
    </row>
    <row r="16" ht="14.25" customHeight="1" s="535">
      <c r="B16" s="901" t="inlineStr">
        <is>
          <t>TDD Variance</t>
        </is>
      </c>
      <c r="C16" s="949">
        <f>I8+I9</f>
        <v>0.0525000000000002</v>
      </c>
      <c r="F16" s="855" t="n"/>
      <c r="H16" s="716" t="inlineStr">
        <is>
          <t>TDD CapEx (central pool, reference only)</t>
        </is>
      </c>
      <c r="I16" s="879">
        <f>'0.1 Budget Table (Fin)'!P5</f>
        <v>4.9</v>
      </c>
      <c r="J16" s="909" t="n"/>
      <c r="K16" s="725">
        <f>IFERROR(I16-J16,0)</f>
        <v>4.9</v>
      </c>
      <c r="L16" s="948" t="n"/>
    </row>
    <row r="17" ht="14.25" customHeight="1" s="535">
      <c r="B17" s="901" t="inlineStr">
        <is>
          <t>Other Variance</t>
        </is>
      </c>
      <c r="C17" s="902">
        <f>J21</f>
        <v>0.24</v>
      </c>
      <c r="F17" s="855" t="n"/>
      <c r="H17" s="716" t="inlineStr">
        <is>
          <t>Significant Items</t>
        </is>
      </c>
      <c r="I17" s="879">
        <f>'0.1 Budget Table (Fin)'!O8</f>
        <v>14.2</v>
      </c>
      <c r="J17" s="879">
        <f>J39</f>
        <v>3.8</v>
      </c>
      <c r="K17" s="725">
        <f>IFERROR(I17-J17,0)</f>
        <v>10.4</v>
      </c>
      <c r="L17" s="948" t="n"/>
    </row>
    <row r="18" ht="14.25" customHeight="1" s="535">
      <c r="B18" s="906" t="inlineStr">
        <is>
          <t>Total</t>
        </is>
      </c>
      <c r="C18" s="907">
        <f>C16+C17</f>
        <v>0.2925</v>
      </c>
      <c r="F18" s="855" t="n"/>
      <c r="H18" s="716" t="inlineStr">
        <is>
          <t>Depreciation</t>
        </is>
      </c>
      <c r="I18" s="879">
        <f>N('0.1 Budget Table (Fin)'!M8)</f>
        <v>0</v>
      </c>
      <c r="J18" s="909" t="n">
        <v>0</v>
      </c>
      <c r="K18" s="725">
        <f>IFERROR(I18-J18,0)</f>
        <v>0</v>
      </c>
      <c r="L18" s="948" t="n"/>
    </row>
    <row r="19" ht="14.25" customHeight="1" s="535">
      <c r="F19" s="855" t="n"/>
      <c r="H19" s="950" t="inlineStr">
        <is>
          <t>Total applied</t>
        </is>
      </c>
      <c r="J19" s="951">
        <f>SUM(J13:J18)</f>
        <v>7.18</v>
      </c>
    </row>
    <row r="20" ht="14.25" customHeight="1" s="535">
      <c r="F20" s="855" t="n"/>
      <c r="H20" s="716" t="inlineStr">
        <is>
          <t>Other cost (this model)</t>
        </is>
      </c>
      <c r="J20" s="725">
        <f>E9</f>
        <v>7.42</v>
      </c>
    </row>
    <row r="21" ht="14.25" customHeight="1" s="535">
      <c r="F21" s="855" t="n"/>
      <c r="H21" s="890" t="inlineStr">
        <is>
          <t>Left to fund</t>
        </is>
      </c>
      <c r="J21" s="925">
        <f>E9-(J19-J13)</f>
        <v>0.24</v>
      </c>
    </row>
    <row r="22" ht="14.25" customHeight="1" s="535">
      <c r="F22" s="855" t="n"/>
    </row>
    <row r="23" ht="14.25" customHeight="1" s="535">
      <c r="F23" s="855" t="n"/>
    </row>
    <row r="24" ht="18.75" customHeight="1" s="535">
      <c r="B24" s="943" t="inlineStr">
        <is>
          <t>Platform: Trading &amp; Shipping</t>
        </is>
      </c>
      <c r="C24" s="944" t="n"/>
      <c r="D24" s="944" t="n"/>
      <c r="E24" s="944" t="n"/>
      <c r="F24" s="944" t="n"/>
      <c r="G24" s="944" t="n"/>
      <c r="H24" s="944" t="n"/>
      <c r="I24" s="944" t="n"/>
      <c r="J24" s="944" t="n"/>
      <c r="K24" s="538" t="n"/>
      <c r="L24" s="538" t="n"/>
    </row>
    <row r="25" ht="33.75" customHeight="1" s="535">
      <c r="B25" s="876" t="inlineStr">
        <is>
          <t>Squad</t>
        </is>
      </c>
      <c r="C25" s="905" t="inlineStr">
        <is>
          <t>Squad Type</t>
        </is>
      </c>
      <c r="D25" s="905" t="inlineStr">
        <is>
          <t>Size</t>
        </is>
      </c>
      <c r="E25" s="905" t="inlineStr">
        <is>
          <t>On/Off</t>
        </is>
      </c>
      <c r="F25" s="915" t="inlineStr">
        <is>
          <t>AU / NZ</t>
        </is>
      </c>
      <c r="G25" s="905" t="inlineStr">
        <is>
          <t>Support %</t>
        </is>
      </c>
      <c r="H25" s="916" t="inlineStr">
        <is>
          <t>Total Squad Cost ($m)</t>
        </is>
      </c>
      <c r="I25" s="678" t="inlineStr">
        <is>
          <t>TDD Cost ($m)</t>
        </is>
      </c>
      <c r="J25" s="905" t="inlineStr">
        <is>
          <t>Funded outside TDD ($m)</t>
        </is>
      </c>
      <c r="K25" s="877" t="inlineStr">
        <is>
          <t>Actual cost after levers ($m)</t>
        </is>
      </c>
      <c r="L25" s="877" t="inlineStr">
        <is>
          <t>Variance to archetype ($m)</t>
        </is>
      </c>
      <c r="AA25" s="916" t="inlineStr">
        <is>
          <t>Onshore rate ($m)</t>
        </is>
      </c>
      <c r="AB25" s="916" t="inlineStr">
        <is>
          <t>Offshore rate ($m)</t>
        </is>
      </c>
      <c r="AC25" s="916" t="inlineStr">
        <is>
          <t>Archetype roles</t>
        </is>
      </c>
    </row>
    <row r="26" ht="14.25" customHeight="1" s="535">
      <c r="B26" s="716" t="inlineStr">
        <is>
          <t>Trading &amp; Shipping</t>
        </is>
      </c>
      <c r="C26" s="917" t="inlineStr">
        <is>
          <t>Configuration / Integration</t>
        </is>
      </c>
      <c r="D26" s="917" t="inlineStr">
        <is>
          <t>M</t>
        </is>
      </c>
      <c r="E26" s="917" t="inlineStr">
        <is>
          <t>Onshore</t>
        </is>
      </c>
      <c r="F26" s="918" t="inlineStr">
        <is>
          <t>AU</t>
        </is>
      </c>
      <c r="G26" s="919" t="n">
        <v>0.4</v>
      </c>
      <c r="H26" s="920">
        <f>IFERROR(IF($E26="Onshore",$AA26*1,IF($E26="Hybrid",$AA26*MIN('0.3 Squad Archetypes'!$K$8,$AC26)/$AC26+$AB26*($AC26-MIN('0.3 Squad Archetypes'!$K$8,$AC26))/$AC26,$AB26*1)),"check size")</f>
        <v>2.1</v>
      </c>
      <c r="I26" s="725">
        <f>IFERROR($H26*$G26,"")</f>
        <v>0.84</v>
      </c>
      <c r="J26" s="725">
        <f>IFERROR($H26*(1-$G26),"")</f>
        <v>1.26</v>
      </c>
      <c r="K26" s="541">
        <f>IFERROR(INDEX('2.9 Commercial Fuels'!$S$8:$S$21,MATCH($B26,'2.9 Commercial Fuels'!$B$8:$B$21,0)),"")</f>
        <v>2.5565718117</v>
      </c>
      <c r="L26" s="541">
        <f>IF(AND(ISNUMBER($H26),ISNUMBER($K26)),ROUND($K26-$H26,6),"")</f>
        <v>0.456572</v>
      </c>
      <c r="M26" s="987" t="inlineStr">
        <is>
          <t xml:space="preserve">Hybrid Trading &amp; Shipping </t>
        </is>
      </c>
      <c r="AA26" s="920">
        <f>IFERROR(INDEX('0.3 Squad Archetypes'!$G$5:$G$23,MATCH($C26&amp;"|"&amp;$D26,'0.3 Squad Archetypes'!$A$5:$A$23,0)),"")</f>
        <v>2.1</v>
      </c>
      <c r="AB26" s="920">
        <f>IFERROR(INDEX('0.3 Squad Archetypes'!$H$5:$H$23,MATCH($C26&amp;"|"&amp;$D26,'0.3 Squad Archetypes'!$A$5:$A$23,0)),"")</f>
        <v>0.84</v>
      </c>
      <c r="AC26" s="920">
        <f>IFERROR(INDEX('0.3 Squad Archetypes'!$F$5:$F$23,MATCH($C26&amp;"|"&amp;$D26,'0.3 Squad Archetypes'!$A$5:$A$23,0)),"")</f>
        <v>9</v>
      </c>
    </row>
    <row r="27" ht="14.25" customHeight="1" s="535">
      <c r="B27" s="716" t="inlineStr">
        <is>
          <t>Trading &amp; Shipping Data</t>
        </is>
      </c>
      <c r="C27" s="917" t="inlineStr">
        <is>
          <t>Enterprise Data and Insights</t>
        </is>
      </c>
      <c r="D27" s="917" t="inlineStr">
        <is>
          <t>M</t>
        </is>
      </c>
      <c r="E27" s="917" t="inlineStr">
        <is>
          <t>Offshore</t>
        </is>
      </c>
      <c r="F27" s="918" t="inlineStr">
        <is>
          <t>AU</t>
        </is>
      </c>
      <c r="G27" s="919" t="n">
        <v>0</v>
      </c>
      <c r="H27" s="920">
        <f>IFERROR(IF($E27="Onshore",$AA27*1,IF($E27="Hybrid",$AA27*MIN('0.3 Squad Archetypes'!$K$8,$AC27)/$AC27+$AB27*($AC27-MIN('0.3 Squad Archetypes'!$K$8,$AC27))/$AC27,$AB27*1)),"check size")</f>
        <v>0.68</v>
      </c>
      <c r="I27" s="725">
        <f>IFERROR($H27*$G27,"")</f>
        <v>0</v>
      </c>
      <c r="J27" s="725">
        <f>IFERROR($H27*(1-$G27),"")</f>
        <v>0.68</v>
      </c>
      <c r="K27" s="541">
        <f>IFERROR(INDEX('2.9 Commercial Fuels'!$S$8:$S$21,MATCH($B27,'2.9 Commercial Fuels'!$B$8:$B$21,0)),"")</f>
        <v>2.106168849</v>
      </c>
      <c r="L27" s="541">
        <f>IF(AND(ISNUMBER($H27),ISNUMBER($K27)),ROUND($K27-$H27,6),"")</f>
        <v>1.426169</v>
      </c>
      <c r="M27" s="1021" t="inlineStr">
        <is>
          <t>Fully funded by CF</t>
        </is>
      </c>
      <c r="AA27" s="920">
        <f>IFERROR(INDEX('0.3 Squad Archetypes'!$G$5:$G$23,MATCH($C27&amp;"|"&amp;$D27,'0.3 Squad Archetypes'!$A$5:$A$23,0)),"")</f>
        <v>1.7</v>
      </c>
      <c r="AB27" s="920">
        <f>IFERROR(INDEX('0.3 Squad Archetypes'!$H$5:$H$23,MATCH($C27&amp;"|"&amp;$D27,'0.3 Squad Archetypes'!$A$5:$A$23,0)),"")</f>
        <v>0.68</v>
      </c>
      <c r="AC27" s="920">
        <f>IFERROR(INDEX('0.3 Squad Archetypes'!$F$5:$F$23,MATCH($C27&amp;"|"&amp;$D27,'0.3 Squad Archetypes'!$A$5:$A$23,0)),"")</f>
        <v>7.5</v>
      </c>
    </row>
    <row r="28" ht="14.25" customHeight="1" s="535">
      <c r="B28" s="716" t="inlineStr">
        <is>
          <t>Platform Overhead</t>
        </is>
      </c>
      <c r="F28" s="855" t="n"/>
      <c r="I28" s="879">
        <f>'0.2 Data Config'!$N$16</f>
        <v>0.165</v>
      </c>
    </row>
    <row r="29" ht="14.25" customHeight="1" s="535">
      <c r="B29" s="890" t="inlineStr">
        <is>
          <t>Trading &amp; Shipping Total</t>
        </is>
      </c>
      <c r="C29" s="923" t="n"/>
      <c r="D29" s="923" t="n"/>
      <c r="E29" s="923" t="n"/>
      <c r="F29" s="924" t="n"/>
      <c r="G29" s="923" t="n"/>
      <c r="H29" s="925">
        <f>SUM(H26:H27)</f>
        <v>2.78</v>
      </c>
      <c r="I29" s="925">
        <f>SUM(I26:I28)</f>
        <v>1.005</v>
      </c>
      <c r="J29" s="925">
        <f>SUM(J26:J27)</f>
        <v>1.94</v>
      </c>
      <c r="K29" s="926">
        <f>SUM($K26,$K27)</f>
        <v>4.6627406607</v>
      </c>
      <c r="L29" s="926">
        <f>IF(COUNT($H26,$H27)=2,IF(AND(ISNUMBER($H29),ISNUMBER($K29)),ROUND($K29-$H29,6),""),"")</f>
        <v>1.882741</v>
      </c>
      <c r="M29" s="546" t="n"/>
    </row>
    <row r="30" ht="14.25" customHeight="1" s="535">
      <c r="F30" s="855" t="n"/>
    </row>
    <row r="31" ht="18.75" customHeight="1" s="535">
      <c r="B31" s="943" t="inlineStr">
        <is>
          <t>Platform: Supply</t>
        </is>
      </c>
      <c r="C31" s="944" t="n"/>
      <c r="D31" s="944" t="n"/>
      <c r="E31" s="944" t="n"/>
      <c r="F31" s="944" t="n"/>
      <c r="G31" s="944" t="n"/>
      <c r="H31" s="944" t="n"/>
      <c r="I31" s="944" t="n"/>
      <c r="J31" s="944" t="n"/>
      <c r="K31" s="538" t="n"/>
      <c r="L31" s="538" t="n"/>
    </row>
    <row r="32" ht="33.75" customHeight="1" s="535">
      <c r="B32" s="876" t="inlineStr">
        <is>
          <t>Squad</t>
        </is>
      </c>
      <c r="C32" s="905" t="inlineStr">
        <is>
          <t>Squad Type</t>
        </is>
      </c>
      <c r="D32" s="905" t="inlineStr">
        <is>
          <t>Size</t>
        </is>
      </c>
      <c r="E32" s="905" t="inlineStr">
        <is>
          <t>On/Off</t>
        </is>
      </c>
      <c r="F32" s="915" t="inlineStr">
        <is>
          <t>AU / NZ</t>
        </is>
      </c>
      <c r="G32" s="905" t="inlineStr">
        <is>
          <t>Support %</t>
        </is>
      </c>
      <c r="H32" s="916" t="inlineStr">
        <is>
          <t>Total Squad Cost ($m)</t>
        </is>
      </c>
      <c r="I32" s="678" t="inlineStr">
        <is>
          <t>TDD Cost ($m)</t>
        </is>
      </c>
      <c r="J32" s="905" t="inlineStr">
        <is>
          <t>Funded outside TDD ($m)</t>
        </is>
      </c>
      <c r="K32" s="877" t="inlineStr">
        <is>
          <t>Actual cost after levers ($m)</t>
        </is>
      </c>
      <c r="L32" s="877" t="inlineStr">
        <is>
          <t>Variance to archetype ($m)</t>
        </is>
      </c>
      <c r="AA32" s="916" t="inlineStr">
        <is>
          <t>Onshore rate ($m)</t>
        </is>
      </c>
      <c r="AB32" s="916" t="inlineStr">
        <is>
          <t>Offshore rate ($m)</t>
        </is>
      </c>
      <c r="AC32" s="916" t="inlineStr">
        <is>
          <t>Archetype roles</t>
        </is>
      </c>
    </row>
    <row r="33" ht="14.25" customHeight="1" s="535">
      <c r="B33" s="716" t="inlineStr">
        <is>
          <t>Supply</t>
        </is>
      </c>
      <c r="C33" s="917" t="inlineStr">
        <is>
          <t>Configuration / Integration</t>
        </is>
      </c>
      <c r="D33" s="917" t="inlineStr">
        <is>
          <t>M</t>
        </is>
      </c>
      <c r="E33" s="917" t="inlineStr">
        <is>
          <t>Onshore</t>
        </is>
      </c>
      <c r="F33" s="918" t="inlineStr">
        <is>
          <t>AU</t>
        </is>
      </c>
      <c r="G33" s="919" t="n">
        <v>0.2</v>
      </c>
      <c r="H33" s="920">
        <f>IFERROR(IF($E33="Onshore",$AA33*1,IF($E33="Hybrid",$AA33*MIN('0.3 Squad Archetypes'!$K$8,$AC33)/$AC33+$AB33*($AC33-MIN('0.3 Squad Archetypes'!$K$8,$AC33))/$AC33,$AB33*1)),"check size")</f>
        <v>2.1</v>
      </c>
      <c r="I33" s="725">
        <f>IFERROR($H33*$G33,"")</f>
        <v>0.42</v>
      </c>
      <c r="J33" s="725">
        <f>IFERROR($H33*(1-$G33),"")</f>
        <v>1.68</v>
      </c>
      <c r="K33" s="541">
        <f>IFERROR(INDEX('2.9 Commercial Fuels'!$S$8:$S$21,MATCH($B33,'2.9 Commercial Fuels'!$B$8:$B$21,0)),"")</f>
        <v>1.05925575</v>
      </c>
      <c r="L33" s="541">
        <f>IF(AND(ISNUMBER($H33),ISNUMBER($K33)),ROUND($K33-$H33,6),"")</f>
        <v>-1.040744</v>
      </c>
      <c r="AA33" s="920">
        <f>IFERROR(INDEX('0.3 Squad Archetypes'!$G$5:$G$23,MATCH($C33&amp;"|"&amp;$D33,'0.3 Squad Archetypes'!$A$5:$A$23,0)),"")</f>
        <v>2.1</v>
      </c>
      <c r="AB33" s="920">
        <f>IFERROR(INDEX('0.3 Squad Archetypes'!$H$5:$H$23,MATCH($C33&amp;"|"&amp;$D33,'0.3 Squad Archetypes'!$A$5:$A$23,0)),"")</f>
        <v>0.84</v>
      </c>
      <c r="AC33" s="920">
        <f>IFERROR(INDEX('0.3 Squad Archetypes'!$F$5:$F$23,MATCH($C33&amp;"|"&amp;$D33,'0.3 Squad Archetypes'!$A$5:$A$23,0)),"")</f>
        <v>9</v>
      </c>
    </row>
    <row r="34" ht="14.25" customHeight="1" s="535">
      <c r="B34" s="716" t="inlineStr">
        <is>
          <t>Platform Overhead</t>
        </is>
      </c>
      <c r="F34" s="855" t="n"/>
      <c r="I34" s="879">
        <f>'0.2 Data Config'!$N$16</f>
        <v>0.165</v>
      </c>
    </row>
    <row r="35" ht="14.25" customHeight="1" s="535">
      <c r="B35" s="890" t="inlineStr">
        <is>
          <t>Supply Total</t>
        </is>
      </c>
      <c r="C35" s="923" t="n"/>
      <c r="D35" s="923" t="n"/>
      <c r="E35" s="923" t="n"/>
      <c r="F35" s="924" t="n"/>
      <c r="G35" s="923" t="n"/>
      <c r="H35" s="925">
        <f>SUM(H33:H33)</f>
        <v>2.1</v>
      </c>
      <c r="I35" s="925">
        <f>SUM(I33:I34)</f>
        <v>0.585</v>
      </c>
      <c r="J35" s="925">
        <f>SUM(J33:J33)</f>
        <v>1.68</v>
      </c>
      <c r="K35" s="926">
        <f>SUM($K33)</f>
        <v>1.05925575</v>
      </c>
      <c r="L35" s="926">
        <f>IF(COUNT($H33)=1,IF(AND(ISNUMBER($H35),ISNUMBER($K35)),ROUND($K35-$H35,6),""),"")</f>
        <v>-1.040744</v>
      </c>
    </row>
    <row r="36" ht="14.25" customHeight="1" s="535">
      <c r="F36" s="855" t="n"/>
    </row>
    <row r="37" ht="18.75" customHeight="1" s="535">
      <c r="B37" s="943" t="inlineStr">
        <is>
          <t>Platform: CTRM</t>
        </is>
      </c>
      <c r="C37" s="944" t="n"/>
      <c r="D37" s="944" t="n"/>
      <c r="E37" s="944" t="n"/>
      <c r="F37" s="944" t="n"/>
      <c r="G37" s="944" t="n"/>
      <c r="H37" s="944" t="n"/>
      <c r="I37" s="944" t="n"/>
      <c r="J37" s="944" t="n"/>
      <c r="K37" s="538" t="n"/>
      <c r="L37" s="538" t="n"/>
    </row>
    <row r="38" ht="33.75" customHeight="1" s="535">
      <c r="B38" s="876" t="inlineStr">
        <is>
          <t>Squad</t>
        </is>
      </c>
      <c r="C38" s="905" t="inlineStr">
        <is>
          <t>Squad Type</t>
        </is>
      </c>
      <c r="D38" s="905" t="inlineStr">
        <is>
          <t>Size</t>
        </is>
      </c>
      <c r="E38" s="905" t="inlineStr">
        <is>
          <t>On/Off</t>
        </is>
      </c>
      <c r="F38" s="915" t="inlineStr">
        <is>
          <t>AU / NZ</t>
        </is>
      </c>
      <c r="G38" s="905" t="inlineStr">
        <is>
          <t>Support %</t>
        </is>
      </c>
      <c r="H38" s="905" t="inlineStr">
        <is>
          <t>Total Squad Cost ($m)</t>
        </is>
      </c>
      <c r="I38" s="678" t="inlineStr">
        <is>
          <t>TDD Cost ($m)</t>
        </is>
      </c>
      <c r="J38" s="905" t="inlineStr">
        <is>
          <t>Funded outside TDD ($m)</t>
        </is>
      </c>
      <c r="K38" s="877" t="inlineStr">
        <is>
          <t>Actual cost after levers ($m)</t>
        </is>
      </c>
      <c r="L38" s="877" t="inlineStr">
        <is>
          <t>Variance to archetype ($m)</t>
        </is>
      </c>
    </row>
    <row r="39" ht="14.25" customHeight="1" s="535">
      <c r="B39" s="716" t="inlineStr">
        <is>
          <t>CTRM</t>
        </is>
      </c>
      <c r="C39" s="917" t="inlineStr">
        <is>
          <t>Strategic Programs</t>
        </is>
      </c>
      <c r="D39" s="917" t="n"/>
      <c r="E39" s="917" t="inlineStr">
        <is>
          <t>Onshore</t>
        </is>
      </c>
      <c r="F39" s="918" t="inlineStr">
        <is>
          <t>AU</t>
        </is>
      </c>
      <c r="G39" s="919" t="n">
        <v>0</v>
      </c>
      <c r="H39" s="909" t="n">
        <v>3.8</v>
      </c>
      <c r="I39" s="725">
        <f>IFERROR($H39*$G39,"")</f>
        <v>0</v>
      </c>
      <c r="J39" s="725">
        <f>IFERROR($H39*(1-$G39),"")</f>
        <v>3.8</v>
      </c>
      <c r="K39" s="541">
        <f>IFERROR(INDEX('2.9 Commercial Fuels'!$S$8:$S$21,MATCH($B39,'2.9 Commercial Fuels'!$B$8:$B$21,0)),"")</f>
        <v>3.221759232</v>
      </c>
      <c r="L39" s="541">
        <f>IF(AND(ISNUMBER($H39),ISNUMBER($K39)),ROUND($K39-$H39,6),"")</f>
        <v>-0.578241</v>
      </c>
      <c r="M39" s="1021" t="inlineStr">
        <is>
          <t>Fully funded by CTRM</t>
        </is>
      </c>
    </row>
    <row r="40" ht="14.25" customHeight="1" s="535">
      <c r="B40" s="716" t="inlineStr">
        <is>
          <t>Platform Overhead</t>
        </is>
      </c>
      <c r="F40" s="855" t="n"/>
      <c r="I40" s="879">
        <f>'0.2 Data Config'!$N$16</f>
        <v>0.165</v>
      </c>
      <c r="M40" s="987" t="inlineStr">
        <is>
          <t xml:space="preserve">Trading &amp; Shipping reduced from Large to Medium </t>
        </is>
      </c>
    </row>
    <row r="41" ht="14.25" customHeight="1" s="535">
      <c r="B41" s="890" t="inlineStr">
        <is>
          <t>CTRM Total</t>
        </is>
      </c>
      <c r="C41" s="923" t="n"/>
      <c r="D41" s="923" t="n"/>
      <c r="E41" s="923" t="n"/>
      <c r="F41" s="924" t="n"/>
      <c r="G41" s="923" t="n"/>
      <c r="H41" s="925">
        <f>SUM(H39:H39)</f>
        <v>3.8</v>
      </c>
      <c r="I41" s="925">
        <f>SUM(I39:I40)</f>
        <v>0.165</v>
      </c>
      <c r="J41" s="925">
        <f>SUM(J39:J39)</f>
        <v>3.8</v>
      </c>
      <c r="K41" s="926">
        <f>SUM($K39)</f>
        <v>3.221759232</v>
      </c>
      <c r="L41" s="926">
        <f>IF(COUNT($H39)=1,IF(AND(ISNUMBER($H41),ISNUMBER($K41)),ROUND($K41-$H41,6),""),"")</f>
        <v>-0.578241</v>
      </c>
      <c r="M41" s="987" t="inlineStr">
        <is>
          <t xml:space="preserve">Hybrid Trading &amp; Shipping </t>
        </is>
      </c>
    </row>
    <row r="42" ht="14.25" customHeight="1" s="535">
      <c r="F42" s="855" t="n"/>
    </row>
    <row r="43" ht="14.25" customHeight="1" s="535">
      <c r="B43" s="933" t="n"/>
      <c r="C43" s="935" t="n"/>
      <c r="D43" s="855" t="n"/>
      <c r="F43" s="855" t="n"/>
    </row>
    <row r="44" ht="14.25" customHeight="1" s="535">
      <c r="B44" s="933" t="n"/>
      <c r="C44" s="935" t="n"/>
      <c r="D44" s="855" t="n"/>
      <c r="F44" s="855" t="n"/>
    </row>
  </sheetData>
  <mergeCells count="11">
    <mergeCell ref="K7:L7"/>
    <mergeCell ref="B37:J37"/>
    <mergeCell ref="B4:E4"/>
    <mergeCell ref="K8:L8"/>
    <mergeCell ref="B31:J31"/>
    <mergeCell ref="K6:L6"/>
    <mergeCell ref="K5:L5"/>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outlinePr summaryBelow="1" summaryRight="1"/>
    <pageSetUpPr fitToPage="1"/>
  </sheetPr>
  <dimension ref="A1:AC41"/>
  <sheetViews>
    <sheetView showFormulas="0" showGridLines="0" showRowColHeaders="1" showZeros="1" rightToLeft="0" tabSelected="0" showOutlineSymbols="1" defaultGridColor="1" view="normal" topLeftCell="A19" colorId="64" zoomScale="100" zoomScaleNormal="100" zoomScalePageLayoutView="100" workbookViewId="0">
      <selection pane="topLeft" activeCell="G39" activeCellId="0" sqref="G39"/>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9.449999999999999" customWidth="1" style="534" min="13" max="13"/>
    <col width="9" customWidth="1" style="534" min="14" max="14"/>
    <col width="15.45" customWidth="1" style="534" min="15" max="15"/>
    <col width="8.82" customWidth="1" style="534" min="16" max="16"/>
    <col width="18.54" customWidth="1" style="534" min="17" max="17"/>
  </cols>
  <sheetData>
    <row r="1" ht="14.25" customHeight="1" s="535">
      <c r="F1" s="855" t="n"/>
    </row>
    <row r="2" ht="21" customHeight="1" s="535">
      <c r="B2" s="873" t="inlineStr">
        <is>
          <t>Z Retail</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875"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Config'!$E$12</f>
        <v>6.5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Config'!$D$12)&gt;('0.2 Data Config'!$C$12),0,'0.2 Data Config'!$N$10)</f>
        <v>0</v>
      </c>
      <c r="D6" s="701">
        <f>IF(('0.2 Data Config'!$D$12)&gt;('0.2 Data Config'!$C$12),'0.2 Data Config'!$N$10,0)</f>
        <v>0.7975</v>
      </c>
      <c r="E6" s="701">
        <f>0</f>
        <v>0</v>
      </c>
      <c r="F6" s="701">
        <f>C6+D6+E6</f>
        <v>0.7975</v>
      </c>
      <c r="H6" s="936" t="inlineStr">
        <is>
          <t>AU Budget ($m)</t>
        </is>
      </c>
      <c r="I6" s="937">
        <f>'0.2 Data Config'!$C$12</f>
        <v>0</v>
      </c>
      <c r="K6" s="539" t="inlineStr">
        <is>
          <t>Actual portfolio</t>
        </is>
      </c>
      <c r="L6" s="674" t="n"/>
      <c r="M6" s="881">
        <f>'2.10 Z Retail'!$F$20</f>
        <v>39</v>
      </c>
      <c r="N6" s="541">
        <f>'2.10 Z Retail'!$O$20</f>
        <v>7.315443458</v>
      </c>
    </row>
    <row r="7" ht="14.25" customHeight="1" s="535">
      <c r="B7" s="716" t="inlineStr">
        <is>
          <t>Platform Overheads</t>
        </is>
      </c>
      <c r="C7" s="701">
        <f>IF(('0.2 Data Config'!$D$12)&gt;('0.2 Data Config'!$C$12),0,SUM(I27,I34))</f>
        <v>0</v>
      </c>
      <c r="D7" s="701">
        <f>IF(('0.2 Data Config'!$D$12)&gt;('0.2 Data Config'!$C$12),SUM(I27,I34),0)</f>
        <v>0.33</v>
      </c>
      <c r="E7" s="701">
        <f>0</f>
        <v>0</v>
      </c>
      <c r="F7" s="701">
        <f>C7+D7+E7</f>
        <v>0.33</v>
      </c>
      <c r="H7" s="938" t="inlineStr">
        <is>
          <t>NZ Budget ($m)</t>
        </is>
      </c>
      <c r="I7" s="939">
        <f>'0.2 Data Config'!$D$12</f>
        <v>6.5</v>
      </c>
      <c r="J7" s="534" t="inlineStr">
        <is>
          <t>Z funded - out of Z OpEx</t>
        </is>
      </c>
      <c r="K7" s="539" t="inlineStr">
        <is>
          <t>Archetype portfolio</t>
        </is>
      </c>
      <c r="L7" s="674" t="n"/>
      <c r="M7" s="881">
        <f>'2.10 Z Retail'!$E$20</f>
        <v>37.5</v>
      </c>
      <c r="N7" s="541">
        <f>'2.10 Z Retail'!$N$20</f>
        <v>7.9075</v>
      </c>
    </row>
    <row r="8" ht="14.25" customHeight="1" s="535">
      <c r="B8" s="716" t="inlineStr">
        <is>
          <t>Squad Support Costs</t>
        </is>
      </c>
      <c r="C8" s="701">
        <f>SUMIF(F26:F26,"AU",I26:I26)+SUMIF(F32:F33,"AU",I32:I33)</f>
        <v>0</v>
      </c>
      <c r="D8" s="701">
        <f>SUMIF(F26:F26,"NZ",I26:I26)+SUMIF(F32:F33,"NZ",I32:I33)+SUMIF(F39,"NZ",I39:I39)</f>
        <v>5.492</v>
      </c>
      <c r="E8" s="701">
        <f>SUM(J26,J32,J33,J39)</f>
        <v>1.288</v>
      </c>
      <c r="F8" s="701">
        <f>C8+D8+E8</f>
        <v>6.78</v>
      </c>
      <c r="H8" s="680" t="inlineStr">
        <is>
          <t>AU over/(under) budget ($m)</t>
        </is>
      </c>
      <c r="I8" s="974">
        <f>C9-I6</f>
        <v>0</v>
      </c>
      <c r="K8" s="886" t="inlineStr">
        <is>
          <t>Variance</t>
        </is>
      </c>
      <c r="L8" s="887" t="n"/>
      <c r="M8" s="888">
        <f>IF(AND(ISNUMBER($M$7),ISNUMBER($M$6)),ROUND($M$6-$M$7,6),"")</f>
        <v>1.5</v>
      </c>
      <c r="N8" s="889">
        <f>IF(AND(ISNUMBER($N$7),ISNUMBER($N$6)),ROUND($N$6-$N$7,6),"")</f>
        <v>-0.592057</v>
      </c>
    </row>
    <row r="9" ht="14.25" customHeight="1" s="535">
      <c r="B9" s="890" t="inlineStr">
        <is>
          <t>Total Cost</t>
        </is>
      </c>
      <c r="C9" s="891">
        <f>SUM(C6:C8)</f>
        <v>0</v>
      </c>
      <c r="D9" s="891">
        <f>SUM(D6:D8)</f>
        <v>6.6195</v>
      </c>
      <c r="E9" s="891">
        <f>SUM(E6:E8)</f>
        <v>1.288</v>
      </c>
      <c r="F9" s="891">
        <f>SUM(F6:F8)</f>
        <v>7.9075</v>
      </c>
      <c r="G9" s="892">
        <f>$N$6</f>
        <v>7.315443458</v>
      </c>
      <c r="H9" s="680" t="inlineStr">
        <is>
          <t>NZ over/(under) budget ($m)</t>
        </is>
      </c>
      <c r="I9" s="974">
        <f>D9-I7</f>
        <v>0.119500000000001</v>
      </c>
    </row>
    <row r="10" ht="33.75" customHeight="1" s="535">
      <c r="E10" s="895" t="inlineStr">
        <is>
          <t>Variance to actuals</t>
        </is>
      </c>
      <c r="F10" s="896">
        <f>$G$9-$F$9</f>
        <v>-0.592056542000002</v>
      </c>
      <c r="H10" s="680" t="inlineStr">
        <is>
          <t>TDD over/(under) budget ($m)</t>
        </is>
      </c>
      <c r="I10" s="974">
        <f>I8+I9</f>
        <v>0.119500000000001</v>
      </c>
    </row>
    <row r="11" ht="14.25" customHeight="1" s="535">
      <c r="H11" s="975" t="n"/>
      <c r="I11" s="1008" t="n"/>
    </row>
    <row r="12" ht="18.75" customHeight="1" s="535">
      <c r="F12" s="855" t="n"/>
      <c r="H12" s="977" t="inlineStr">
        <is>
          <t>Other funding</t>
        </is>
      </c>
      <c r="I12" s="912" t="n"/>
      <c r="J12" s="912" t="n"/>
      <c r="K12" s="913" t="n"/>
    </row>
    <row r="13" ht="33.75" customHeight="1" s="535">
      <c r="B13" s="945" t="inlineStr">
        <is>
          <t xml:space="preserve">Total Z-Energy budget </t>
        </is>
      </c>
      <c r="D13" s="946" t="n"/>
      <c r="E13" s="914">
        <f>SUM(I14:I18)</f>
        <v>76.6</v>
      </c>
      <c r="F13" s="855" t="n"/>
      <c r="H13" s="962" t="inlineStr">
        <is>
          <t>Budget line</t>
        </is>
      </c>
      <c r="I13" s="962" t="inlineStr">
        <is>
          <t>Budget ($m)</t>
        </is>
      </c>
      <c r="J13" s="964" t="inlineStr">
        <is>
          <t>Amount that can be allocated to people</t>
        </is>
      </c>
      <c r="K13" s="964" t="inlineStr">
        <is>
          <t>Remaining for non-people ($m)</t>
        </is>
      </c>
    </row>
    <row r="14" ht="14.25" customHeight="1" s="535">
      <c r="B14" s="945" t="inlineStr">
        <is>
          <t xml:space="preserve">Reconciled to Finance </t>
        </is>
      </c>
      <c r="D14" s="946" t="n"/>
      <c r="E14" s="914">
        <f>'0.1 Budget Table (Fin)'!Q6</f>
        <v>76.6</v>
      </c>
      <c r="F14" s="855" t="n"/>
      <c r="H14" s="965" t="inlineStr">
        <is>
          <t>Z-Energy Lights On</t>
        </is>
      </c>
      <c r="I14" s="970">
        <f>'0.1 Budget Table (Fin)'!L6</f>
        <v>52.2</v>
      </c>
      <c r="J14" s="866" t="n"/>
      <c r="K14" s="969">
        <f>IFERROR(I14-J14,0)</f>
        <v>52.2</v>
      </c>
    </row>
    <row r="15" ht="14.25" customHeight="1" s="535">
      <c r="F15" s="855" t="n"/>
      <c r="H15" s="965" t="inlineStr">
        <is>
          <t>OpEx Initiatives</t>
        </is>
      </c>
      <c r="I15" s="970">
        <f>'0.1 Budget Table (Fin)'!N6</f>
        <v>1.4</v>
      </c>
      <c r="J15" s="1003" t="n">
        <v>0</v>
      </c>
      <c r="K15" s="969">
        <f>IFERROR(I15-J15,0)</f>
        <v>1.4</v>
      </c>
    </row>
    <row r="16" ht="14.25" customHeight="1" s="535">
      <c r="B16" s="899" t="inlineStr">
        <is>
          <t>Total to fund</t>
        </is>
      </c>
      <c r="C16" s="900" t="n"/>
      <c r="F16" s="855" t="n"/>
      <c r="H16" s="965" t="inlineStr">
        <is>
          <t>CapEx</t>
        </is>
      </c>
      <c r="I16" s="970">
        <f>'0.1 Budget Table (Fin)'!P6</f>
        <v>11.7</v>
      </c>
      <c r="J16" s="1003" t="n">
        <v>1.08</v>
      </c>
      <c r="K16" s="969">
        <f>IFERROR(I16-J16,0)</f>
        <v>10.62</v>
      </c>
    </row>
    <row r="17" ht="14.25" customHeight="1" s="535">
      <c r="B17" s="901" t="inlineStr">
        <is>
          <t>TDD Variance</t>
        </is>
      </c>
      <c r="C17" s="902">
        <f>I8+I9</f>
        <v>0.119500000000001</v>
      </c>
      <c r="F17" s="855" t="n"/>
      <c r="H17" s="965" t="inlineStr">
        <is>
          <t>Significant Items</t>
        </is>
      </c>
      <c r="I17" s="970">
        <f>N('0.1 Budget Table (Fin)'!$O$6)</f>
        <v>0</v>
      </c>
      <c r="J17" s="1003" t="n">
        <v>0</v>
      </c>
      <c r="K17" s="969">
        <f>IFERROR(I17-J17,0)</f>
        <v>0</v>
      </c>
    </row>
    <row r="18" ht="14.25" customHeight="1" s="535">
      <c r="B18" s="901" t="inlineStr">
        <is>
          <t>Other Variance</t>
        </is>
      </c>
      <c r="C18" s="902">
        <f>J21</f>
        <v>0.208</v>
      </c>
      <c r="F18" s="855" t="n"/>
      <c r="H18" s="965" t="inlineStr">
        <is>
          <t>Depreciation</t>
        </is>
      </c>
      <c r="I18" s="970">
        <f>'0.1 Budget Table (Fin)'!M6</f>
        <v>11.3</v>
      </c>
      <c r="J18" s="1003" t="n">
        <v>0</v>
      </c>
      <c r="K18" s="969">
        <f>IFERROR(I18-J18,0)</f>
        <v>11.3</v>
      </c>
    </row>
    <row r="19" ht="14.25" customHeight="1" s="535">
      <c r="B19" s="906" t="inlineStr">
        <is>
          <t>Total</t>
        </is>
      </c>
      <c r="C19" s="907">
        <f>C17+C18</f>
        <v>0.327500000000001</v>
      </c>
      <c r="F19" s="855" t="n"/>
      <c r="H19" s="983" t="inlineStr">
        <is>
          <t>Total applied</t>
        </is>
      </c>
      <c r="I19" s="866" t="n"/>
      <c r="J19" s="984">
        <f>SUM(J14:J18)</f>
        <v>1.08</v>
      </c>
      <c r="K19" s="866" t="n"/>
    </row>
    <row r="20" ht="14.25" customHeight="1" s="535">
      <c r="F20" s="855" t="n"/>
      <c r="H20" s="965" t="inlineStr">
        <is>
          <t>Other cost (this model)</t>
        </is>
      </c>
      <c r="I20" s="866" t="n"/>
      <c r="J20" s="969">
        <f>E9</f>
        <v>1.288</v>
      </c>
      <c r="K20" s="866" t="n"/>
    </row>
    <row r="21" ht="14.25" customHeight="1" s="535">
      <c r="F21" s="855" t="n"/>
      <c r="H21" s="971" t="inlineStr">
        <is>
          <t>Left to fund</t>
        </is>
      </c>
      <c r="I21" s="866" t="n"/>
      <c r="J21" s="972">
        <f>E9-(J19-J14)</f>
        <v>0.208</v>
      </c>
      <c r="K21" s="866" t="n"/>
    </row>
    <row r="22" ht="14.25" customHeight="1" s="535">
      <c r="F22" s="855" t="n"/>
    </row>
    <row r="23" ht="14.25" customHeight="1" s="535">
      <c r="F23" s="855" t="n"/>
    </row>
    <row r="24" ht="18.75" customHeight="1" s="535">
      <c r="B24" s="977" t="inlineStr">
        <is>
          <t>Platform: Z Supply</t>
        </is>
      </c>
      <c r="C24" s="912" t="n"/>
      <c r="D24" s="912" t="n"/>
      <c r="E24" s="912" t="n"/>
      <c r="F24" s="912" t="n"/>
      <c r="G24" s="912" t="n"/>
      <c r="H24" s="912" t="n"/>
      <c r="I24" s="912" t="n"/>
      <c r="J24" s="913" t="n"/>
      <c r="K24" s="538" t="n"/>
      <c r="L24" s="538" t="n"/>
    </row>
    <row r="25" ht="33.75" customHeight="1" s="535">
      <c r="B25" s="961" t="inlineStr">
        <is>
          <t>Squad</t>
        </is>
      </c>
      <c r="C25" s="962" t="inlineStr">
        <is>
          <t>Squad Type</t>
        </is>
      </c>
      <c r="D25" s="962" t="inlineStr">
        <is>
          <t>Size</t>
        </is>
      </c>
      <c r="E25" s="962" t="inlineStr">
        <is>
          <t>On/Off</t>
        </is>
      </c>
      <c r="F25" s="915" t="inlineStr">
        <is>
          <t>AU / NZ</t>
        </is>
      </c>
      <c r="G25" s="962" t="inlineStr">
        <is>
          <t>Support %</t>
        </is>
      </c>
      <c r="H25" s="963" t="inlineStr">
        <is>
          <t>Total Squad Cost ($m)</t>
        </is>
      </c>
      <c r="I25" s="964" t="inlineStr">
        <is>
          <t>TDD Cost ($m)</t>
        </is>
      </c>
      <c r="J25" s="962" t="inlineStr">
        <is>
          <t>Funded outside TDD ($m)</t>
        </is>
      </c>
      <c r="K25" s="877" t="inlineStr">
        <is>
          <t>Actual cost after levers ($m)</t>
        </is>
      </c>
      <c r="L25" s="877" t="inlineStr">
        <is>
          <t>Variance to archetype ($m)</t>
        </is>
      </c>
      <c r="AA25" s="963" t="inlineStr">
        <is>
          <t>Onshore rate ($m)</t>
        </is>
      </c>
      <c r="AB25" s="963" t="inlineStr">
        <is>
          <t>Offshore rate ($m)</t>
        </is>
      </c>
      <c r="AC25" s="963" t="inlineStr">
        <is>
          <t>Archetype roles</t>
        </is>
      </c>
    </row>
    <row r="26" ht="14.25" customHeight="1" s="535">
      <c r="B26" s="965" t="inlineStr">
        <is>
          <t>Z Supply</t>
        </is>
      </c>
      <c r="C26" s="966" t="inlineStr">
        <is>
          <t>Build and Run</t>
        </is>
      </c>
      <c r="D26" s="966" t="inlineStr">
        <is>
          <t>M</t>
        </is>
      </c>
      <c r="E26" s="966" t="inlineStr">
        <is>
          <t>Onshore</t>
        </is>
      </c>
      <c r="F26" s="918" t="inlineStr">
        <is>
          <t>NZ</t>
        </is>
      </c>
      <c r="G26" s="967" t="n">
        <v>0.8</v>
      </c>
      <c r="H26" s="968">
        <f>IFERROR(IF($E26="Onshore",$AA26*1,IF($E26="Hybrid",$AA26*MIN('0.3 Squad Archetypes'!$K$8,$AC26)/$AC26+$AB26*($AC26-MIN('0.3 Squad Archetypes'!$K$8,$AC26))/$AC26,$AB26*1)),"check size")</f>
        <v>2</v>
      </c>
      <c r="I26" s="969">
        <f>IFERROR($H26*$G26,"")</f>
        <v>1.6</v>
      </c>
      <c r="J26" s="969">
        <f>IFERROR($H26*(1-$G26),"")</f>
        <v>0.4</v>
      </c>
      <c r="K26" s="541">
        <f>IFERROR(INDEX('2.10 Z Retail'!$S$8:$S$20,MATCH($B26,'2.10 Z Retail'!$B$8:$B$20,0)),"")</f>
        <v>1.663774396</v>
      </c>
      <c r="L26" s="541">
        <f>IF(AND(ISNUMBER($H26),ISNUMBER($K26)),ROUND($K26-$H26,6),"")</f>
        <v>-0.336226</v>
      </c>
      <c r="AA26" s="968">
        <f>IFERROR(INDEX('0.3 Squad Archetypes'!$G$5:$G$23,MATCH($C26&amp;"|"&amp;$D26,'0.3 Squad Archetypes'!$A$5:$A$23,0)),"")</f>
        <v>2</v>
      </c>
      <c r="AB26" s="968">
        <f>IFERROR(INDEX('0.3 Squad Archetypes'!$H$5:$H$23,MATCH($C26&amp;"|"&amp;$D26,'0.3 Squad Archetypes'!$A$5:$A$23,0)),"")</f>
        <v>0.8</v>
      </c>
      <c r="AC26" s="968">
        <f>IFERROR(INDEX('0.3 Squad Archetypes'!$F$5:$F$23,MATCH($C26&amp;"|"&amp;$D26,'0.3 Squad Archetypes'!$A$5:$A$23,0)),"")</f>
        <v>9</v>
      </c>
    </row>
    <row r="27" ht="14.25" customHeight="1" s="535">
      <c r="B27" s="965" t="inlineStr">
        <is>
          <t>Platform Overhead</t>
        </is>
      </c>
      <c r="C27" s="866" t="n"/>
      <c r="D27" s="866" t="n"/>
      <c r="E27" s="866" t="n"/>
      <c r="F27" s="855" t="n"/>
      <c r="G27" s="866" t="n"/>
      <c r="H27" s="866" t="n"/>
      <c r="I27" s="970">
        <f>'0.2 Data Config'!$N$16</f>
        <v>0.165</v>
      </c>
      <c r="J27" s="866" t="n"/>
    </row>
    <row r="28" ht="14.25" customHeight="1" s="535">
      <c r="B28" s="971" t="inlineStr">
        <is>
          <t>Z Supply Total</t>
        </is>
      </c>
      <c r="C28" s="923" t="n"/>
      <c r="D28" s="923" t="n"/>
      <c r="E28" s="923" t="n"/>
      <c r="F28" s="924" t="n"/>
      <c r="G28" s="923" t="n"/>
      <c r="H28" s="1022">
        <f>SUM(H26:H26)</f>
        <v>2</v>
      </c>
      <c r="I28" s="972">
        <f>SUM(I26:I27)</f>
        <v>1.765</v>
      </c>
      <c r="J28" s="972">
        <f>SUM(J26:J26)</f>
        <v>0.4</v>
      </c>
      <c r="K28" s="926">
        <f>SUM($K26)</f>
        <v>1.663774396</v>
      </c>
      <c r="L28" s="926">
        <f>IF(COUNT($H26)=1,IF(AND(ISNUMBER($H28),ISNUMBER($K28)),ROUND($K28-$H28,6),""),"")</f>
        <v>-0.336226</v>
      </c>
    </row>
    <row r="29" ht="14.25" customHeight="1" s="535">
      <c r="F29" s="855" t="n"/>
    </row>
    <row r="30" ht="18.75" customHeight="1" s="535">
      <c r="B30" s="977" t="inlineStr">
        <is>
          <t>Platform: Z Customer</t>
        </is>
      </c>
      <c r="C30" s="912" t="n"/>
      <c r="D30" s="912" t="n"/>
      <c r="E30" s="912" t="n"/>
      <c r="F30" s="912" t="n"/>
      <c r="G30" s="912" t="n"/>
      <c r="H30" s="912" t="n"/>
      <c r="I30" s="912" t="n"/>
      <c r="J30" s="913" t="n"/>
      <c r="K30" s="538" t="n"/>
      <c r="L30" s="538" t="n"/>
    </row>
    <row r="31" ht="33.75" customHeight="1" s="535">
      <c r="B31" s="961" t="inlineStr">
        <is>
          <t>Squad</t>
        </is>
      </c>
      <c r="C31" s="962" t="inlineStr">
        <is>
          <t>Squad Type</t>
        </is>
      </c>
      <c r="D31" s="962" t="inlineStr">
        <is>
          <t>Size</t>
        </is>
      </c>
      <c r="E31" s="962" t="inlineStr">
        <is>
          <t>On/Off</t>
        </is>
      </c>
      <c r="F31" s="915" t="inlineStr">
        <is>
          <t>AU / NZ</t>
        </is>
      </c>
      <c r="G31" s="962" t="inlineStr">
        <is>
          <t>Support %</t>
        </is>
      </c>
      <c r="H31" s="963" t="inlineStr">
        <is>
          <t>Total Squad Cost ($m)</t>
        </is>
      </c>
      <c r="I31" s="964" t="inlineStr">
        <is>
          <t>TDD Cost ($m)</t>
        </is>
      </c>
      <c r="J31" s="962" t="inlineStr">
        <is>
          <t>Funded outside TDD ($m)</t>
        </is>
      </c>
      <c r="K31" s="877" t="inlineStr">
        <is>
          <t>Actual cost after levers ($m)</t>
        </is>
      </c>
      <c r="L31" s="877" t="inlineStr">
        <is>
          <t>Variance to archetype ($m)</t>
        </is>
      </c>
      <c r="AA31" s="963" t="inlineStr">
        <is>
          <t>Onshore rate ($m)</t>
        </is>
      </c>
      <c r="AB31" s="963" t="inlineStr">
        <is>
          <t>Offshore rate ($m)</t>
        </is>
      </c>
      <c r="AC31" s="963" t="inlineStr">
        <is>
          <t>Archetype roles</t>
        </is>
      </c>
    </row>
    <row r="32" ht="14.25" customHeight="1" s="535">
      <c r="B32" s="965" t="inlineStr">
        <is>
          <t>Site Systems</t>
        </is>
      </c>
      <c r="C32" s="966" t="inlineStr">
        <is>
          <t>Configuration / Integration</t>
        </is>
      </c>
      <c r="D32" s="966" t="inlineStr">
        <is>
          <t>M</t>
        </is>
      </c>
      <c r="E32" s="966" t="inlineStr">
        <is>
          <t>Onshore</t>
        </is>
      </c>
      <c r="F32" s="918" t="inlineStr">
        <is>
          <t>NZ</t>
        </is>
      </c>
      <c r="G32" s="967" t="n">
        <v>0.8</v>
      </c>
      <c r="H32" s="968">
        <f>IFERROR(IF($E32="Onshore",$AA32*1,IF($E32="Hybrid",$AA32*MIN('0.3 Squad Archetypes'!$K$8,$AC32)/$AC32+$AB32*($AC32-MIN('0.3 Squad Archetypes'!$K$8,$AC32))/$AC32,$AB32*1)),"check size")</f>
        <v>2.1</v>
      </c>
      <c r="I32" s="969">
        <f>IFERROR($H32*$G32,"")</f>
        <v>1.68</v>
      </c>
      <c r="J32" s="969">
        <f>IFERROR($H32*(1-$G32),"")</f>
        <v>0.42</v>
      </c>
      <c r="K32" s="541">
        <f>IFERROR(INDEX('2.10 Z Retail'!$S$8:$S$20,MATCH($B32,'2.10 Z Retail'!$B$8:$B$20,0)),"")</f>
        <v>1.374665758</v>
      </c>
      <c r="L32" s="541">
        <f>IF(AND(ISNUMBER($H32),ISNUMBER($K32)),ROUND($K32-$H32,6),"")</f>
        <v>-0.725334</v>
      </c>
      <c r="AA32" s="968">
        <f>IFERROR(INDEX('0.3 Squad Archetypes'!$G$5:$G$23,MATCH($C32&amp;"|"&amp;$D32,'0.3 Squad Archetypes'!$A$5:$A$23,0)),"")</f>
        <v>2.1</v>
      </c>
      <c r="AB32" s="968">
        <f>IFERROR(INDEX('0.3 Squad Archetypes'!$H$5:$H$23,MATCH($C32&amp;"|"&amp;$D32,'0.3 Squad Archetypes'!$A$5:$A$23,0)),"")</f>
        <v>0.84</v>
      </c>
      <c r="AC32" s="968">
        <f>IFERROR(INDEX('0.3 Squad Archetypes'!$F$5:$F$23,MATCH($C32&amp;"|"&amp;$D32,'0.3 Squad Archetypes'!$A$5:$A$23,0)),"")</f>
        <v>9</v>
      </c>
    </row>
    <row r="33" ht="14.25" customHeight="1" s="535">
      <c r="B33" s="965" t="inlineStr">
        <is>
          <t>Z Retail Backend</t>
        </is>
      </c>
      <c r="C33" s="966" t="inlineStr">
        <is>
          <t>Build and Run</t>
        </is>
      </c>
      <c r="D33" s="966" t="inlineStr">
        <is>
          <t>M</t>
        </is>
      </c>
      <c r="E33" s="966" t="inlineStr">
        <is>
          <t>Onshore</t>
        </is>
      </c>
      <c r="F33" s="918" t="inlineStr">
        <is>
          <t>NZ</t>
        </is>
      </c>
      <c r="G33" s="967" t="n">
        <v>0.8</v>
      </c>
      <c r="H33" s="968">
        <f>IFERROR(IF($E33="Onshore",$AA33*1,IF($E33="Hybrid",$AA33*MIN('0.3 Squad Archetypes'!$K$8,$AC33)/$AC33+$AB33*($AC33-MIN('0.3 Squad Archetypes'!$K$8,$AC33))/$AC33,$AB33*1)),"check size")</f>
        <v>2</v>
      </c>
      <c r="I33" s="969">
        <f>IFERROR($H33*$G33,"")</f>
        <v>1.6</v>
      </c>
      <c r="J33" s="969">
        <f>IFERROR($H33*(1-$G33),"")</f>
        <v>0.4</v>
      </c>
      <c r="K33" s="541">
        <f>IFERROR(INDEX('2.10 Z Retail'!$S$8:$S$20,MATCH($B33,'2.10 Z Retail'!$B$8:$B$20,0)),"")</f>
        <v>1.687177418</v>
      </c>
      <c r="L33" s="541">
        <f>IF(AND(ISNUMBER($H33),ISNUMBER($K33)),ROUND($K33-$H33,6),"")</f>
        <v>-0.312823</v>
      </c>
      <c r="AA33" s="968">
        <f>IFERROR(INDEX('0.3 Squad Archetypes'!$G$5:$G$23,MATCH($C33&amp;"|"&amp;$D33,'0.3 Squad Archetypes'!$A$5:$A$23,0)),"")</f>
        <v>2</v>
      </c>
      <c r="AB33" s="968">
        <f>IFERROR(INDEX('0.3 Squad Archetypes'!$H$5:$H$23,MATCH($C33&amp;"|"&amp;$D33,'0.3 Squad Archetypes'!$A$5:$A$23,0)),"")</f>
        <v>0.8</v>
      </c>
      <c r="AC33" s="968">
        <f>IFERROR(INDEX('0.3 Squad Archetypes'!$F$5:$F$23,MATCH($C33&amp;"|"&amp;$D33,'0.3 Squad Archetypes'!$A$5:$A$23,0)),"")</f>
        <v>9</v>
      </c>
    </row>
    <row r="34" ht="14.25" customHeight="1" s="535">
      <c r="B34" s="965" t="inlineStr">
        <is>
          <t>Platform Overhead</t>
        </is>
      </c>
      <c r="C34" s="866" t="n"/>
      <c r="D34" s="866" t="n"/>
      <c r="E34" s="866" t="n"/>
      <c r="F34" s="855" t="n"/>
      <c r="G34" s="866" t="n"/>
      <c r="H34" s="866" t="n"/>
      <c r="I34" s="970">
        <f>'0.2 Data Config'!$N$16</f>
        <v>0.165</v>
      </c>
      <c r="J34" s="866" t="n"/>
    </row>
    <row r="35" ht="14.25" customHeight="1" s="535">
      <c r="B35" s="971" t="inlineStr">
        <is>
          <t>Z Customer Total</t>
        </is>
      </c>
      <c r="C35" s="923" t="n"/>
      <c r="D35" s="923" t="n"/>
      <c r="E35" s="923" t="n"/>
      <c r="F35" s="924" t="n"/>
      <c r="G35" s="923" t="n"/>
      <c r="H35" s="972">
        <f>SUM(H32:H33)</f>
        <v>4.1</v>
      </c>
      <c r="I35" s="972">
        <f>SUM(I32:I34)</f>
        <v>3.445</v>
      </c>
      <c r="J35" s="972">
        <f>SUM(J32:J33)</f>
        <v>0.82</v>
      </c>
      <c r="K35" s="926">
        <f>SUM($K32,$K33)</f>
        <v>3.061843176</v>
      </c>
      <c r="L35" s="926">
        <f>IF(COUNT($H32,$H33)=2,IF(AND(ISNUMBER($H35),ISNUMBER($K35)),ROUND($K35-$H35,6),""),"")</f>
        <v>-1.038157</v>
      </c>
    </row>
    <row r="36" ht="14.25" customHeight="1" s="535">
      <c r="F36" s="855" t="n"/>
    </row>
    <row r="37" ht="18.75" customHeight="1" s="535">
      <c r="B37" s="874" t="inlineStr">
        <is>
          <t>Platform: Data NZ</t>
        </is>
      </c>
      <c r="C37" s="673" t="n"/>
      <c r="D37" s="673" t="n"/>
      <c r="E37" s="673" t="n"/>
      <c r="F37" s="673" t="n"/>
      <c r="G37" s="673" t="n"/>
      <c r="H37" s="673" t="n"/>
      <c r="I37" s="673" t="n"/>
      <c r="J37" s="674" t="n"/>
      <c r="K37" s="538" t="n"/>
      <c r="L37" s="538" t="n"/>
    </row>
    <row r="38" ht="33.75" customHeight="1" s="535">
      <c r="B38" s="876" t="inlineStr">
        <is>
          <t>Squad</t>
        </is>
      </c>
      <c r="C38" s="905" t="inlineStr">
        <is>
          <t>Squad Type</t>
        </is>
      </c>
      <c r="D38" s="905" t="inlineStr">
        <is>
          <t>Size</t>
        </is>
      </c>
      <c r="E38" s="905" t="inlineStr">
        <is>
          <t>On/Off</t>
        </is>
      </c>
      <c r="F38" s="915" t="inlineStr">
        <is>
          <t>AU / NZ</t>
        </is>
      </c>
      <c r="G38" s="905" t="inlineStr">
        <is>
          <t>Support %</t>
        </is>
      </c>
      <c r="H38" s="916" t="inlineStr">
        <is>
          <t>Total Squad Cost ($m)</t>
        </is>
      </c>
      <c r="I38" s="678" t="inlineStr">
        <is>
          <t>TDD Cost ($m)</t>
        </is>
      </c>
      <c r="J38" s="905" t="inlineStr">
        <is>
          <t>Funded outside TDD ($m)</t>
        </is>
      </c>
      <c r="K38" s="877" t="inlineStr">
        <is>
          <t>Actual cost after levers ($m)</t>
        </is>
      </c>
      <c r="L38" s="877" t="inlineStr">
        <is>
          <t>Variance to archetype ($m)</t>
        </is>
      </c>
      <c r="AA38" s="916" t="inlineStr">
        <is>
          <t>Onshore rate ($m)</t>
        </is>
      </c>
      <c r="AB38" s="916" t="inlineStr">
        <is>
          <t>Offshore rate ($m)</t>
        </is>
      </c>
      <c r="AC38" s="916" t="inlineStr">
        <is>
          <t>Archetype roles</t>
        </is>
      </c>
    </row>
    <row r="39" ht="14.25" customHeight="1" s="535">
      <c r="B39" s="716" t="inlineStr">
        <is>
          <t>Data NZ</t>
        </is>
      </c>
      <c r="C39" s="917" t="inlineStr">
        <is>
          <t>Enterprise Data and Insights</t>
        </is>
      </c>
      <c r="D39" s="917" t="inlineStr">
        <is>
          <t>M</t>
        </is>
      </c>
      <c r="E39" s="917" t="inlineStr">
        <is>
          <t>Offshore</t>
        </is>
      </c>
      <c r="F39" s="918" t="inlineStr">
        <is>
          <t>NZ</t>
        </is>
      </c>
      <c r="G39" s="919" t="n">
        <v>0.9</v>
      </c>
      <c r="H39" s="920">
        <f>IFERROR(IF($E39="Onshore",$AA39*1,IF($E39="Hybrid",$AA39*MIN('0.3 Squad Archetypes'!$K$8,$AC39)/$AC39+$AB39*($AC39-MIN('0.3 Squad Archetypes'!$K$8,$AC39))/$AC39,$AB39*1)),"check size")</f>
        <v>0.68</v>
      </c>
      <c r="I39" s="725">
        <f>IFERROR($H39*$G39,"")</f>
        <v>0.612</v>
      </c>
      <c r="J39" s="725">
        <f>IFERROR($H39*(1-$G39),"")</f>
        <v>0.068</v>
      </c>
      <c r="K39" s="541">
        <f>IFERROR(INDEX('2.10 Z Retail'!$S$8:$S$20,MATCH($B39,'2.10 Z Retail'!$B$8:$B$20,0)),"")</f>
        <v>0.745179862</v>
      </c>
      <c r="L39" s="541">
        <f>IF(AND(ISNUMBER($H39),ISNUMBER($K39)),ROUND($K39-$H39,6),"")</f>
        <v>0.06518</v>
      </c>
      <c r="M39" s="987" t="inlineStr">
        <is>
          <t xml:space="preserve">No Overhead required </t>
        </is>
      </c>
      <c r="AA39" s="920">
        <f>IFERROR(INDEX('0.3 Squad Archetypes'!$G$5:$G$23,MATCH($C39&amp;"|"&amp;$D39,'0.3 Squad Archetypes'!$A$5:$A$23,0)),"")</f>
        <v>1.7</v>
      </c>
      <c r="AB39" s="920">
        <f>IFERROR(INDEX('0.3 Squad Archetypes'!$H$5:$H$23,MATCH($C39&amp;"|"&amp;$D39,'0.3 Squad Archetypes'!$A$5:$A$23,0)),"")</f>
        <v>0.68</v>
      </c>
      <c r="AC39" s="920">
        <f>IFERROR(INDEX('0.3 Squad Archetypes'!$F$5:$F$23,MATCH($C39&amp;"|"&amp;$D39,'0.3 Squad Archetypes'!$A$5:$A$23,0)),"")</f>
        <v>7.5</v>
      </c>
    </row>
    <row r="40" ht="14.25" customHeight="1" s="535">
      <c r="B40" s="716" t="n"/>
      <c r="C40" s="921" t="n"/>
      <c r="D40" s="921" t="n"/>
      <c r="E40" s="921" t="n"/>
      <c r="F40" s="855" t="n"/>
      <c r="G40" s="921" t="n"/>
      <c r="H40" s="921" t="n"/>
      <c r="I40" s="879" t="n"/>
      <c r="J40" s="921" t="n"/>
    </row>
    <row r="41" ht="14.25" customHeight="1" s="535">
      <c r="B41" s="890" t="inlineStr">
        <is>
          <t>Data NZ Total</t>
        </is>
      </c>
      <c r="C41" s="923" t="n"/>
      <c r="D41" s="923" t="n"/>
      <c r="E41" s="923" t="n"/>
      <c r="F41" s="924" t="n"/>
      <c r="G41" s="923" t="n"/>
      <c r="H41" s="925">
        <f>SUM(H39:H39)</f>
        <v>0.68</v>
      </c>
      <c r="I41" s="925">
        <f>SUM(I39:I40)</f>
        <v>0.612</v>
      </c>
      <c r="J41" s="925">
        <f>SUM(J39:J39)</f>
        <v>0.068</v>
      </c>
      <c r="K41" s="926">
        <f>SUM($K39)</f>
        <v>0.745179862</v>
      </c>
      <c r="L41" s="926">
        <f>IF(COUNT($H39)=1,IF(AND(ISNUMBER($H41),ISNUMBER($K41)),ROUND($K41-$H41,6),""),"")</f>
        <v>0.06518</v>
      </c>
    </row>
  </sheetData>
  <mergeCells count="11">
    <mergeCell ref="K7:L7"/>
    <mergeCell ref="B24:J24"/>
    <mergeCell ref="B14:D14"/>
    <mergeCell ref="B37:J37"/>
    <mergeCell ref="B4:E4"/>
    <mergeCell ref="K8:L8"/>
    <mergeCell ref="H12:K12"/>
    <mergeCell ref="K5:L5"/>
    <mergeCell ref="B13:D13"/>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outlinePr summaryBelow="1" summaryRight="1"/>
    <pageSetUpPr fitToPage="1"/>
  </sheetPr>
  <dimension ref="A1:AC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J18" activeCellId="0" sqref="J18"/>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3" customWidth="1" style="534" min="13" max="14"/>
  </cols>
  <sheetData>
    <row r="1"/>
    <row r="2" ht="21" customHeight="1" s="535">
      <c r="B2" s="873" t="inlineStr">
        <is>
          <t>TDD Cyber</t>
        </is>
      </c>
    </row>
    <row r="3"/>
    <row r="4" ht="18.75" customHeight="1" s="535">
      <c r="B4" s="874" t="inlineStr">
        <is>
          <t>Portfolio Summary</t>
        </is>
      </c>
      <c r="C4" s="673" t="n"/>
      <c r="D4" s="673" t="n"/>
      <c r="E4" s="674" t="n"/>
      <c r="F4" s="874" t="n"/>
      <c r="G4" s="874"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Config'!$E$23</f>
        <v>1.5</v>
      </c>
      <c r="K5" s="877" t="inlineStr">
        <is>
          <t>What the cost covers</t>
        </is>
      </c>
      <c r="L5" s="674" t="n"/>
      <c r="M5" s="877" t="inlineStr">
        <is>
          <t>Roles</t>
        </is>
      </c>
      <c r="N5" s="877" t="inlineStr">
        <is>
          <t>Cost ($m)</t>
        </is>
      </c>
    </row>
    <row r="6" ht="14.25" customHeight="1" s="535">
      <c r="B6" s="716" t="inlineStr">
        <is>
          <t>Portfolio Overhead (see 0.2 Data Config)</t>
        </is>
      </c>
      <c r="C6" s="701">
        <f>0</f>
        <v>0</v>
      </c>
      <c r="D6" s="701">
        <f>0</f>
        <v>0</v>
      </c>
      <c r="E6" s="701">
        <f>0</f>
        <v>0</v>
      </c>
      <c r="F6" s="701">
        <f>C6+D6+E6</f>
        <v>0</v>
      </c>
      <c r="H6" s="936" t="inlineStr">
        <is>
          <t>AU Budget ($m)</t>
        </is>
      </c>
      <c r="I6" s="937">
        <f>'0.2 Data Config'!$C$23</f>
        <v>1</v>
      </c>
      <c r="K6" s="539" t="inlineStr">
        <is>
          <t>Actual portfolio</t>
        </is>
      </c>
      <c r="L6" s="674" t="n"/>
      <c r="M6" s="881">
        <f>'2.15 TDD Cyber'!$F$17</f>
        <v>9</v>
      </c>
      <c r="N6" s="541">
        <f>'2.15 TDD Cyber'!$O$17</f>
        <v>2.1381967</v>
      </c>
    </row>
    <row r="7" ht="14.25" customHeight="1" s="535">
      <c r="B7" s="716" t="inlineStr">
        <is>
          <t>Platform Overheads</t>
        </is>
      </c>
      <c r="C7" s="701">
        <f>IF('0.2 Data Config'!$D$23&gt;'0.2 Data Config'!$C$23,0,SUM(I28))</f>
        <v>0.165</v>
      </c>
      <c r="D7" s="701">
        <f>IF('0.2 Data Config'!$D$23&gt;'0.2 Data Config'!$C$23,SUM(I28),0)</f>
        <v>0</v>
      </c>
      <c r="E7" s="701">
        <f>0</f>
        <v>0</v>
      </c>
      <c r="F7" s="701">
        <f>C7+D7+E7</f>
        <v>0.165</v>
      </c>
      <c r="H7" s="938" t="inlineStr">
        <is>
          <t>NZ Budget ($m)</t>
        </is>
      </c>
      <c r="I7" s="939">
        <f>'0.2 Data Config'!$D$23</f>
        <v>0.5</v>
      </c>
      <c r="K7" s="539" t="inlineStr">
        <is>
          <t>Archetype portfolio</t>
        </is>
      </c>
      <c r="L7" s="674" t="n"/>
      <c r="M7" s="881">
        <f>'2.15 TDD Cyber'!$E$17</f>
        <v>4.6</v>
      </c>
      <c r="N7" s="541">
        <f>'2.15 TDD Cyber'!$N$17</f>
        <v>2.2648</v>
      </c>
    </row>
    <row r="8" ht="14.25" customHeight="1" s="535">
      <c r="B8" s="716" t="inlineStr">
        <is>
          <t>Squad Support Costs</t>
        </is>
      </c>
      <c r="C8" s="701">
        <f>SUMIF(F26:F27,"AU",I26:I27)</f>
        <v>0.64</v>
      </c>
      <c r="D8" s="701">
        <f>SUMIF(F26:F27,"NZ",I26:I27)</f>
        <v>0</v>
      </c>
      <c r="E8" s="701">
        <f>SUM(J26:J27)</f>
        <v>1.4598</v>
      </c>
      <c r="F8" s="701">
        <f>C8+D8+E8</f>
        <v>2.0998</v>
      </c>
      <c r="H8" s="680" t="inlineStr">
        <is>
          <t>AU over/(under) budget ($m)</t>
        </is>
      </c>
      <c r="I8" s="974">
        <f>C9-I6</f>
        <v>-0.195</v>
      </c>
      <c r="K8" s="886" t="inlineStr">
        <is>
          <t>Variance</t>
        </is>
      </c>
      <c r="L8" s="887" t="n"/>
      <c r="M8" s="888">
        <f>IF(AND(ISNUMBER($M$7),ISNUMBER($M$6)),ROUND($M$6-$M$7,6),"")</f>
        <v>4.4</v>
      </c>
      <c r="N8" s="889">
        <f>IF(AND(ISNUMBER($N$7),ISNUMBER($N$6)),ROUND($N$6-$N$7,6),"")</f>
        <v>-0.126603</v>
      </c>
    </row>
    <row r="9" ht="14.25" customHeight="1" s="535">
      <c r="B9" s="890" t="inlineStr">
        <is>
          <t>Total Cost</t>
        </is>
      </c>
      <c r="C9" s="891">
        <f>SUM(C6:C8)</f>
        <v>0.805</v>
      </c>
      <c r="D9" s="891">
        <f>SUM(D6:D8)</f>
        <v>0</v>
      </c>
      <c r="E9" s="891">
        <f>SUM(E6:E8)</f>
        <v>1.4598</v>
      </c>
      <c r="F9" s="891">
        <f>SUM(F6:F8)</f>
        <v>2.2648</v>
      </c>
      <c r="G9" s="892">
        <f>$N$6</f>
        <v>2.1381967</v>
      </c>
      <c r="H9" s="680" t="inlineStr">
        <is>
          <t>NZ over/(under) budget ($m)</t>
        </is>
      </c>
      <c r="I9" s="974">
        <f>D9-I7</f>
        <v>-0.5</v>
      </c>
    </row>
    <row r="10" ht="33.75" customHeight="1" s="535">
      <c r="E10" s="895" t="inlineStr">
        <is>
          <t>Variance to actuals</t>
        </is>
      </c>
      <c r="F10" s="896">
        <f>$G$9-$F$9</f>
        <v>-0.1266033</v>
      </c>
      <c r="H10" s="975" t="inlineStr">
        <is>
          <t>TDD over/(under) budget ($m)</t>
        </is>
      </c>
      <c r="I10" s="976">
        <f>I8+I9</f>
        <v>-0.695</v>
      </c>
    </row>
    <row r="11" ht="90" customHeight="1" s="535">
      <c r="B11" s="1023"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1024" t="inlineStr">
        <is>
          <t>This is the TDD Cyber allocation on 0.2 Data Config. The COE - Cyber, Risk &amp; Service Operations is funded separately, on its own line, and its roles and funding are on 2.11 Cyber Risk &amp; Service Ops.</t>
        </is>
      </c>
    </row>
    <row r="12"/>
    <row r="13" ht="18.75" customHeight="1" s="535">
      <c r="H13" s="672" t="inlineStr">
        <is>
          <t>Cyber uplift program funding</t>
        </is>
      </c>
      <c r="I13" s="673" t="n"/>
      <c r="J13" s="674" t="n"/>
    </row>
    <row r="14" ht="14.25" customHeight="1" s="535">
      <c r="H14" s="905" t="inlineStr">
        <is>
          <t>Programme funding ($m)</t>
        </is>
      </c>
      <c r="I14" s="961" t="n"/>
      <c r="J14" s="1025" t="n">
        <v>2.8</v>
      </c>
    </row>
    <row r="15" ht="14.25" customHeight="1" s="535">
      <c r="H15" s="950" t="inlineStr">
        <is>
          <t>Cyber Uplift squad - fully funded ($m)</t>
        </is>
      </c>
      <c r="I15" s="970" t="n"/>
      <c r="J15" s="1026">
        <f>$H$26</f>
        <v>1.2998</v>
      </c>
    </row>
    <row r="16" ht="33.75" customHeight="1" s="535">
      <c r="B16" s="899" t="inlineStr">
        <is>
          <t>Total to fund</t>
        </is>
      </c>
      <c r="C16" s="900" t="n"/>
      <c r="H16" s="1027" t="inlineStr">
        <is>
          <t>Part-charges from the COE roles - 2.11 Cyber Risk &amp; Service Ops toggles ($m)</t>
        </is>
      </c>
      <c r="I16" s="970" t="n"/>
      <c r="J16" s="1026">
        <f>SUM('2.11 Cyber Risk &amp; Service Ops'!$I$24,'2.11 Cyber Risk &amp; Service Ops'!$I$30,'2.11 Cyber Risk &amp; Service Ops'!$I$33,'2.11 Cyber Risk &amp; Service Ops'!$I$39,'2.11 Cyber Risk &amp; Service Ops'!$I$44)/1000000</f>
        <v>0.49481945</v>
      </c>
    </row>
    <row r="17" ht="14.25" customHeight="1" s="535">
      <c r="B17" s="980" t="n"/>
      <c r="C17" s="981" t="n"/>
      <c r="H17" s="950" t="inlineStr">
        <is>
          <t>Identity share charged to the programs ($m)</t>
        </is>
      </c>
      <c r="I17" s="970" t="n"/>
      <c r="J17" s="1026">
        <f>$J$27</f>
        <v>0.16</v>
      </c>
    </row>
    <row r="18" ht="14.25" customHeight="1" s="535">
      <c r="B18" s="901" t="inlineStr">
        <is>
          <t>TDD Variance</t>
        </is>
      </c>
      <c r="C18" s="902">
        <f>I8+I9</f>
        <v>-0.695</v>
      </c>
      <c r="H18" s="950" t="inlineStr">
        <is>
          <t>Used for cyber FTE ($m)</t>
        </is>
      </c>
      <c r="I18" s="970" t="n"/>
      <c r="J18" s="1026">
        <f>SUM(J15:J17)</f>
        <v>1.95461945</v>
      </c>
    </row>
    <row r="19" ht="14.25" customHeight="1" s="535">
      <c r="B19" s="901" t="inlineStr">
        <is>
          <t>Other Variance</t>
        </is>
      </c>
      <c r="C19" s="949">
        <f>0</f>
        <v>0</v>
      </c>
      <c r="H19" s="950" t="inlineStr">
        <is>
          <t>Remaining for non-people ($m)</t>
        </is>
      </c>
      <c r="I19" s="970" t="n"/>
      <c r="J19" s="1026">
        <f>J14-J18</f>
        <v>0.84538055</v>
      </c>
    </row>
    <row r="20" ht="14.25" customHeight="1" s="535">
      <c r="B20" s="906" t="inlineStr">
        <is>
          <t>Total</t>
        </is>
      </c>
      <c r="C20" s="907">
        <f>C18+C19</f>
        <v>-0.695</v>
      </c>
    </row>
    <row r="21"/>
    <row r="22"/>
    <row r="23"/>
    <row r="24" ht="18.75" customHeight="1" s="535">
      <c r="B24" s="874" t="inlineStr">
        <is>
          <t>Platform: TDD Cyber</t>
        </is>
      </c>
      <c r="C24" s="673" t="n"/>
      <c r="D24" s="673" t="n"/>
      <c r="E24" s="673" t="n"/>
      <c r="F24" s="673" t="n"/>
      <c r="G24" s="673" t="n"/>
      <c r="H24" s="673" t="n"/>
      <c r="I24" s="673" t="n"/>
      <c r="J24" s="674" t="n"/>
      <c r="K24" s="538" t="n"/>
      <c r="L24" s="538" t="n"/>
    </row>
    <row r="25" ht="33.75" customHeight="1" s="535">
      <c r="B25" s="876" t="inlineStr">
        <is>
          <t>Squad</t>
        </is>
      </c>
      <c r="C25" s="905" t="inlineStr">
        <is>
          <t>Squad Type</t>
        </is>
      </c>
      <c r="D25" s="905" t="inlineStr">
        <is>
          <t>Size</t>
        </is>
      </c>
      <c r="E25" s="905" t="inlineStr">
        <is>
          <t>On/Off</t>
        </is>
      </c>
      <c r="F25" s="915" t="inlineStr">
        <is>
          <t>AU / NZ</t>
        </is>
      </c>
      <c r="G25" s="905" t="inlineStr">
        <is>
          <t>Support %</t>
        </is>
      </c>
      <c r="H25" s="916" t="inlineStr">
        <is>
          <t>Total Squad Cost ($m)</t>
        </is>
      </c>
      <c r="I25" s="678" t="inlineStr">
        <is>
          <t>TDD Cost ($m)</t>
        </is>
      </c>
      <c r="J25" s="905" t="inlineStr">
        <is>
          <t>Funded outside TDD ($m)</t>
        </is>
      </c>
      <c r="K25" s="877" t="inlineStr">
        <is>
          <t>Actual cost after levers ($m)</t>
        </is>
      </c>
      <c r="L25" s="877" t="inlineStr">
        <is>
          <t>Variance to archetype ($m)</t>
        </is>
      </c>
      <c r="AA25" s="916" t="inlineStr">
        <is>
          <t>Onshore rate ($m)</t>
        </is>
      </c>
      <c r="AB25" s="916" t="inlineStr">
        <is>
          <t>Offshore rate ($m)</t>
        </is>
      </c>
      <c r="AC25" s="916" t="inlineStr">
        <is>
          <t>Archetype roles</t>
        </is>
      </c>
    </row>
    <row r="26" ht="14.25" customHeight="1" s="535">
      <c r="B26" s="716" t="inlineStr">
        <is>
          <t>Cyber Uplift</t>
        </is>
      </c>
      <c r="C26" s="917" t="inlineStr">
        <is>
          <t>Strategic Programs</t>
        </is>
      </c>
      <c r="D26" s="917" t="n"/>
      <c r="E26" s="917" t="inlineStr">
        <is>
          <t>Onshore</t>
        </is>
      </c>
      <c r="F26" s="918" t="inlineStr">
        <is>
          <t>AU</t>
        </is>
      </c>
      <c r="G26" s="919" t="n">
        <v>0</v>
      </c>
      <c r="H26" s="909" t="n">
        <v>1.2998</v>
      </c>
      <c r="I26" s="725">
        <f>IFERROR($H26*$G26,"")</f>
        <v>0</v>
      </c>
      <c r="J26" s="725">
        <f>IFERROR($H26*(1-$G26),"")</f>
        <v>1.2998</v>
      </c>
      <c r="K26" s="541">
        <f>IFERROR(INDEX('2.15 TDD Cyber'!$S$8:$S$17,MATCH($B26,'2.15 TDD Cyber'!$B$8:$B$17,0)),"")</f>
        <v>1.29999655</v>
      </c>
      <c r="L26" s="541">
        <f>IF(AND(ISNUMBER($H26),ISNUMBER($K26)),ROUND($K26-$H26,6),"")</f>
        <v>0.000197</v>
      </c>
      <c r="M26" s="1023" t="inlineStr">
        <is>
          <t>Cyber Uplift is a typed figure - no archetype prices a program. Identity prices itself off its Squad Type and Size</t>
        </is>
      </c>
    </row>
    <row r="27" ht="14.25" customHeight="1" s="535">
      <c r="B27" s="716" t="inlineStr">
        <is>
          <t>Identity</t>
        </is>
      </c>
      <c r="C27" s="917" t="inlineStr">
        <is>
          <t>Operations</t>
        </is>
      </c>
      <c r="D27" s="917" t="inlineStr">
        <is>
          <t>S</t>
        </is>
      </c>
      <c r="E27" s="917" t="inlineStr">
        <is>
          <t>Onshore</t>
        </is>
      </c>
      <c r="F27" s="918" t="inlineStr">
        <is>
          <t>AU</t>
        </is>
      </c>
      <c r="G27" s="919" t="n">
        <v>0.8</v>
      </c>
      <c r="H27" s="920">
        <f>IFERROR(IF($E27="Onshore",$AA27*1,IF($E27="Hybrid",$AA27*MIN('0.3 Squad Archetypes'!$K$8,$AC27)/$AC27+$AB27*($AC27-MIN('0.3 Squad Archetypes'!$K$8,$AC27))/$AC27,$AB27*1)),"check size")</f>
        <v>0.8</v>
      </c>
      <c r="I27" s="725">
        <f>IFERROR($H27*$G27,"")</f>
        <v>0.64</v>
      </c>
      <c r="J27" s="725">
        <f>IFERROR($H27*(1-$G27),"")</f>
        <v>0.16</v>
      </c>
      <c r="K27" s="541">
        <f>IFERROR(INDEX('2.15 TDD Cyber'!$S$8:$S$17,MATCH($B27,'2.15 TDD Cyber'!$B$8:$B$17,0)),"")</f>
        <v>0.83820015</v>
      </c>
      <c r="L27" s="541">
        <f>IF(AND(ISNUMBER($H27),ISNUMBER($K27)),ROUND($K27-$H27,6),"")</f>
        <v>0.0382</v>
      </c>
      <c r="AA27" s="920">
        <f>IFERROR(INDEX('0.3 Squad Archetypes'!$G$5:$G$23,MATCH($C27&amp;"|"&amp;$D27,'0.3 Squad Archetypes'!$A$5:$A$23,0)),"")</f>
        <v>0.8</v>
      </c>
      <c r="AB27" s="920">
        <f>IFERROR(INDEX('0.3 Squad Archetypes'!$H$5:$H$23,MATCH($C27&amp;"|"&amp;$D27,'0.3 Squad Archetypes'!$A$5:$A$23,0)),"")</f>
        <v>0.32</v>
      </c>
      <c r="AC27" s="920">
        <f>IFERROR(INDEX('0.3 Squad Archetypes'!$F$5:$F$23,MATCH($C27&amp;"|"&amp;$D27,'0.3 Squad Archetypes'!$A$5:$A$23,0)),"")</f>
        <v>4</v>
      </c>
    </row>
    <row r="28" ht="14.25" customHeight="1" s="535">
      <c r="B28" s="716" t="inlineStr">
        <is>
          <t>Platform Overhead</t>
        </is>
      </c>
      <c r="F28" s="855" t="n"/>
      <c r="I28" s="879">
        <f>'0.2 Data Config'!$N$16</f>
        <v>0.165</v>
      </c>
    </row>
    <row r="29" ht="14.25" customHeight="1" s="535">
      <c r="B29" s="890" t="inlineStr">
        <is>
          <t>TDD Cyber Total</t>
        </is>
      </c>
      <c r="C29" s="923" t="n"/>
      <c r="D29" s="923" t="n"/>
      <c r="E29" s="923" t="n"/>
      <c r="F29" s="923" t="n"/>
      <c r="G29" s="923" t="n"/>
      <c r="H29" s="925">
        <f>SUM(H26:H27)</f>
        <v>2.0998</v>
      </c>
      <c r="I29" s="925">
        <f>SUM(I26:I28)</f>
        <v>0.805</v>
      </c>
      <c r="J29" s="925">
        <f>SUM(J26:J27)</f>
        <v>1.4598</v>
      </c>
      <c r="K29" s="926">
        <f>SUM($K26,$K27)</f>
        <v>2.1381967</v>
      </c>
      <c r="L29" s="926">
        <f>IF(COUNT($H26,$H27)=2,IF(AND(ISNUMBER($H29),ISNUMBER($K29)),ROUND($K29-$H29,6),""),"")</f>
        <v>0.038397</v>
      </c>
    </row>
  </sheetData>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errorStyle="stop" operator="between">
      <formula1>SquadTypes</formula1>
      <formula2>0</formula2>
    </dataValidation>
    <dataValidation sqref="D27" showDropDown="0" showInputMessage="0" showErrorMessage="1" allowBlank="1" errorTitle="Invalid entry" error="Pick a value from the list" type="list" errorStyle="stop" operator="between">
      <formula1>SquadSizes</formula1>
      <formula2>0</formula2>
    </dataValidation>
    <dataValidation sqref="E26:E27" showDropDown="0" showInputMessage="0" showErrorMessage="1" allowBlank="1" errorTitle="Invalid entry" error="Pick a value from the list" type="list" errorStyle="stop" operator="between">
      <formula1>OnOff</formula1>
      <formula2>0</formula2>
    </dataValidation>
    <dataValidation sqref="G26:G27" showDropDown="0" showInputMessage="0" showErrorMessage="1" allowBlank="1" errorTitle="Invalid entry" error="Pick a value from the list" type="list" errorStyle="stop" operator="between">
      <formula1>SupportPct</formula1>
      <formula2>0</formula2>
    </dataValidation>
    <dataValidation sqref="F26:F27"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0.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14" activeCellId="0" sqref="C14"/>
    </sheetView>
  </sheetViews>
  <sheetFormatPr baseColWidth="8" defaultColWidth="8.54296875" defaultRowHeight="14.25" zeroHeight="0" outlineLevelRow="0"/>
  <cols>
    <col width="2" customWidth="1" style="534" min="1" max="1"/>
    <col width="60" customWidth="1" style="534" min="2" max="2"/>
  </cols>
  <sheetData>
    <row r="2" ht="21" customHeight="1" s="535">
      <c r="B2" s="1028" t="inlineStr">
        <is>
          <t>LEVER MODELLING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1"/>
  </sheetPr>
  <dimension ref="A1:T114"/>
  <sheetViews>
    <sheetView showFormulas="0" showGridLines="0" showRowColHeaders="1" showZeros="1" rightToLeft="0" tabSelected="0" showOutlineSymbols="1" defaultGridColor="1" view="normal" topLeftCell="A42" colorId="64" zoomScale="80" zoomScaleNormal="80" zoomScalePageLayoutView="100" workbookViewId="0">
      <selection pane="topLeft" activeCell="E59" activeCellId="0" sqref="E59"/>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Ampol Retail - working copy</t>
        </is>
      </c>
    </row>
    <row r="3" ht="14.25" customHeight="1" s="535">
      <c r="B3" s="709" t="inlineStr">
        <is>
          <t>Portfolio</t>
        </is>
      </c>
      <c r="C3" s="868" t="inlineStr">
        <is>
          <t>Ampol Retail</t>
        </is>
      </c>
    </row>
    <row r="4" ht="18.75" customHeight="1" s="535">
      <c r="B4" s="537" t="inlineStr">
        <is>
          <t>Ampol Retail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Above Store</t>
        </is>
      </c>
      <c r="C8" s="929" t="str">
        <f>IFERROR(IF(INDEX('1.1 Ampol Retail'!$C$23:$C$68,MATCH($B8,'1.1 Ampol Retail'!$B$23:$B$68,0))="","",INDEX('1.1 Ampol Retail'!$C$23:$C$68,MATCH($B8,'1.1 Ampol Retail'!$B$23:$B$68,0))),"Not on the 1.x tab")</f>
        <v>Configuration / Integration</v>
      </c>
      <c r="D8" s="929" t="str">
        <f>IFERROR(IF(INDEX('1.1 Ampol Retail'!$D$23:$D$68,MATCH($B8,'1.1 Ampol Retail'!$B$23:$B$68,0))="","",INDEX('1.1 Ampol Retail'!$D$23:$D$68,MATCH($B8,'1.1 Ampol Retail'!$B$23:$B$68,0))),"")</f>
        <v>M</v>
      </c>
      <c r="E8" s="1030">
        <f>IFERROR(INDEX('0.3 Squad Archetypes'!$F$5:$F$23,MATCH($C8&amp;"|"&amp;$D8,'0.3 Squad Archetypes'!$A$5:$A$23,0)),"")</f>
        <v>9</v>
      </c>
      <c r="F8" s="1031">
        <f>COUNTIF($B$33:$B$43,"?*")</f>
        <v>11</v>
      </c>
      <c r="G8" s="1030">
        <f>ROUND(SUMIFS('REVIEW - Complete Role Mapping'!$P$2:$P$700,'REVIEW - Complete Role Mapping'!$AH$2:$AH$700,$C$3,'REVIEW - Complete Role Mapping'!$AL$2:$AL$700,$B8),2)</f>
        <v>11</v>
      </c>
      <c r="H8" s="1031">
        <f>COUNTIFS($D$33:$D$43,"Filled")</f>
        <v>7</v>
      </c>
      <c r="I8" s="1031">
        <f>COUNTIFS($D$33:$D$43,"Vacant")</f>
        <v>4</v>
      </c>
      <c r="J8" s="1031">
        <f>COUNTIFS($D$33:$D$43,"Vacant",$E$33:$E$43,"Hire")</f>
        <v>1</v>
      </c>
      <c r="K8" s="1031">
        <f>COUNTIFS($E$33:$E$43,"Offshore")</f>
        <v>2</v>
      </c>
      <c r="L8" s="1031">
        <f>COUNTIFS($E$33:$E$43,"Hold")</f>
        <v>1</v>
      </c>
      <c r="M8" s="1031">
        <f>$F8-$L8</f>
        <v>10</v>
      </c>
      <c r="N8" s="1032">
        <f>IFERROR(IF(ISNUMBER(INDEX('1.1 Ampol Retail'!$H$23:$H$68,MATCH($B8,'1.1 Ampol Retail'!$B$23:$B$68,0))),INDEX('1.1 Ampol Retail'!$H$23:$H$68,MATCH($B8,'1.1 Ampol Retail'!$B$23:$B$68,0)),""),"")</f>
        <v>2.1</v>
      </c>
      <c r="O8" s="1032">
        <f>SUMIFS('REVIEW - Complete Role Mapping'!$AE$2:$AE$700,'REVIEW - Complete Role Mapping'!$AH$2:$AH$700,$C$3,'REVIEW - Complete Role Mapping'!$AL$2:$AL$700,$B8)/1000000</f>
        <v>2.097921857</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2.097921857</v>
      </c>
      <c r="R8" s="1032">
        <f>IFERROR(ROUND(IF(COUNTIF(Lists!$AU$2:$AU$10,$B8),$O8,$Q8)-$N8,6),"")</f>
        <v>-0.002078</v>
      </c>
      <c r="S8" s="1032">
        <f>SUM($G$33:$G$43)/1000000</f>
        <v>1.690473806</v>
      </c>
      <c r="T8" s="1032">
        <f>IFERROR(ROUND($S8-$N8,6),"")</f>
        <v>-0.409526</v>
      </c>
    </row>
    <row r="9" ht="14.25" customHeight="1" s="535">
      <c r="B9" s="929" t="inlineStr">
        <is>
          <t>Data AU</t>
        </is>
      </c>
      <c r="C9" s="929" t="str">
        <f>IFERROR(IF(INDEX('1.1 Ampol Retail'!$C$23:$C$68,MATCH($B9,'1.1 Ampol Retail'!$B$23:$B$68,0))="","",INDEX('1.1 Ampol Retail'!$C$23:$C$68,MATCH($B9,'1.1 Ampol Retail'!$B$23:$B$68,0))),"Not on the 1.x tab")</f>
        <v>Enterprise Data and Insights</v>
      </c>
      <c r="D9" s="929" t="str">
        <f>IFERROR(IF(INDEX('1.1 Ampol Retail'!$D$23:$D$68,MATCH($B9,'1.1 Ampol Retail'!$B$23:$B$68,0))="","",INDEX('1.1 Ampol Retail'!$D$23:$D$68,MATCH($B9,'1.1 Ampol Retail'!$B$23:$B$68,0))),"")</f>
        <v>M</v>
      </c>
      <c r="E9" s="1030">
        <f>IFERROR(INDEX('0.3 Squad Archetypes'!$F$5:$F$23,MATCH($C9&amp;"|"&amp;$D9,'0.3 Squad Archetypes'!$A$5:$A$23,0)),"")</f>
        <v>7.5</v>
      </c>
      <c r="F9" s="1031">
        <f>COUNTIF($B$56:$B$61,"?*")</f>
        <v>6</v>
      </c>
      <c r="G9" s="1030">
        <f>ROUND(SUMIFS('REVIEW - Complete Role Mapping'!$P$2:$P$700,'REVIEW - Complete Role Mapping'!$AH$2:$AH$700,$C$3,'REVIEW - Complete Role Mapping'!$AL$2:$AL$700,$B9),2)</f>
        <v>6</v>
      </c>
      <c r="H9" s="1031">
        <f>COUNTIFS($D$56:$D$61,"Filled")</f>
        <v>0</v>
      </c>
      <c r="I9" s="1031">
        <f>COUNTIFS($D$56:$D$61,"Vacant")</f>
        <v>6</v>
      </c>
      <c r="J9" s="1031">
        <f>COUNTIFS($D$56:$D$61,"Vacant",$E$56:$E$61,"Hire")</f>
        <v>0</v>
      </c>
      <c r="K9" s="1031">
        <f>COUNTIFS($E$56:$E$61,"Offshore")</f>
        <v>6</v>
      </c>
      <c r="L9" s="1031">
        <f>COUNTIFS($E$56:$E$61,"Hold")</f>
        <v>0</v>
      </c>
      <c r="M9" s="1031">
        <f>$F9-$L9</f>
        <v>6</v>
      </c>
      <c r="N9" s="1032">
        <f>IFERROR(IF(ISNUMBER(INDEX('1.1 Ampol Retail'!$H$23:$H$68,MATCH($B9,'1.1 Ampol Retail'!$B$23:$B$68,0))),INDEX('1.1 Ampol Retail'!$H$23:$H$68,MATCH($B9,'1.1 Ampol Retail'!$B$23:$B$68,0)),""),"")</f>
        <v>0.68</v>
      </c>
      <c r="O9" s="1032">
        <f>SUMIFS('REVIEW - Complete Role Mapping'!$AE$2:$AE$700,'REVIEW - Complete Role Mapping'!$AH$2:$AH$700,$C$3,'REVIEW - Complete Role Mapping'!$AL$2:$AL$700,$B9)/1000000</f>
        <v>1.21232375</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1.21232375</v>
      </c>
      <c r="R9" s="1032">
        <f>IFERROR(ROUND(IF(COUNTIF(Lists!$AU$2:$AU$10,$B9),$O9,$Q9)-$N9,6),"")</f>
        <v>0.532324</v>
      </c>
      <c r="S9" s="1032">
        <f>SUM($G$56:$G$61)/1000000</f>
        <v>0.4849295</v>
      </c>
      <c r="T9" s="1032">
        <f>IFERROR(ROUND($S9-$N9,6),"")</f>
        <v>-0.195071</v>
      </c>
    </row>
    <row r="10" ht="14.25" customHeight="1" s="535">
      <c r="B10" s="929" t="inlineStr">
        <is>
          <t>Deployment</t>
        </is>
      </c>
      <c r="C10" s="929" t="str">
        <f>IFERROR(IF(INDEX('1.1 Ampol Retail'!$C$23:$C$68,MATCH($B10,'1.1 Ampol Retail'!$B$23:$B$68,0))="","",INDEX('1.1 Ampol Retail'!$C$23:$C$68,MATCH($B10,'1.1 Ampol Retail'!$B$23:$B$68,0))),"Not on the 1.x tab")</f>
        <v>Operations</v>
      </c>
      <c r="D10" s="929" t="str">
        <f>IFERROR(IF(INDEX('1.1 Ampol Retail'!$D$23:$D$68,MATCH($B10,'1.1 Ampol Retail'!$B$23:$B$68,0))="","",INDEX('1.1 Ampol Retail'!$D$23:$D$68,MATCH($B10,'1.1 Ampol Retail'!$B$23:$B$68,0))),"")</f>
        <v>S</v>
      </c>
      <c r="E10" s="1030">
        <f>IFERROR(INDEX('0.3 Squad Archetypes'!$F$5:$F$23,MATCH($C10&amp;"|"&amp;$D10,'0.3 Squad Archetypes'!$A$5:$A$23,0)),"")</f>
        <v>4</v>
      </c>
      <c r="F10" s="1031">
        <f>COUNTIF($B$63:$B$67,"?*")</f>
        <v>5</v>
      </c>
      <c r="G10" s="1030">
        <f>ROUND(SUMIFS('REVIEW - Complete Role Mapping'!$P$2:$P$700,'REVIEW - Complete Role Mapping'!$AH$2:$AH$700,$C$3,'REVIEW - Complete Role Mapping'!$AL$2:$AL$700,$B10),2)</f>
        <v>5</v>
      </c>
      <c r="H10" s="1031">
        <f>COUNTIFS($D$63:$D$67,"Filled")</f>
        <v>5</v>
      </c>
      <c r="I10" s="1031">
        <f>COUNTIFS($D$63:$D$67,"Vacant")</f>
        <v>0</v>
      </c>
      <c r="J10" s="1031">
        <f>COUNTIFS($D$63:$D$67,"Vacant",$E$63:$E$67,"Hire")</f>
        <v>0</v>
      </c>
      <c r="K10" s="1031">
        <f>COUNTIFS($E$63:$E$67,"Offshore")</f>
        <v>0</v>
      </c>
      <c r="L10" s="1031">
        <f>COUNTIFS($E$63:$E$67,"Hold")</f>
        <v>0</v>
      </c>
      <c r="M10" s="1031">
        <f>$F10-$L10</f>
        <v>5</v>
      </c>
      <c r="N10" s="1032">
        <f>IFERROR(IF(ISNUMBER(INDEX('1.1 Ampol Retail'!$H$23:$H$68,MATCH($B10,'1.1 Ampol Retail'!$B$23:$B$68,0))),INDEX('1.1 Ampol Retail'!$H$23:$H$68,MATCH($B10,'1.1 Ampol Retail'!$B$23:$B$68,0)),""),"")</f>
        <v>0.8</v>
      </c>
      <c r="O10" s="1032">
        <f>SUMIFS('REVIEW - Complete Role Mapping'!$AE$2:$AE$700,'REVIEW - Complete Role Mapping'!$AH$2:$AH$700,$C$3,'REVIEW - Complete Role Mapping'!$AL$2:$AL$700,$B10)/1000000</f>
        <v>0.893835732</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0.893835732</v>
      </c>
      <c r="R10" s="1032">
        <f>IFERROR(ROUND(IF(COUNTIF(Lists!$AU$2:$AU$10,$B10),$O10,$Q10)-$N10,6),"")</f>
        <v>0.093836</v>
      </c>
      <c r="S10" s="1032">
        <f>SUM($G$63:$G$67)/1000000</f>
        <v>0.893835732</v>
      </c>
      <c r="T10" s="1032">
        <f>IFERROR(ROUND($S10-$N10,6),"")</f>
        <v>0.093836</v>
      </c>
    </row>
    <row r="11" ht="14.25" customHeight="1" s="535">
      <c r="B11" s="929" t="inlineStr">
        <is>
          <t>Network &amp; QSR</t>
        </is>
      </c>
      <c r="C11" s="929" t="str">
        <f>IFERROR(IF(INDEX('1.1 Ampol Retail'!$C$23:$C$68,MATCH($B11,'1.1 Ampol Retail'!$B$23:$B$68,0))="","",INDEX('1.1 Ampol Retail'!$C$23:$C$68,MATCH($B11,'1.1 Ampol Retail'!$B$23:$B$68,0))),"Not on the 1.x tab")</f>
        <v>Configuration / Integration</v>
      </c>
      <c r="D11" s="929" t="str">
        <f>IFERROR(IF(INDEX('1.1 Ampol Retail'!$D$23:$D$68,MATCH($B11,'1.1 Ampol Retail'!$B$23:$B$68,0))="","",INDEX('1.1 Ampol Retail'!$D$23:$D$68,MATCH($B11,'1.1 Ampol Retail'!$B$23:$B$68,0))),"")</f>
        <v>S</v>
      </c>
      <c r="E11" s="1030">
        <f>IFERROR(INDEX('0.3 Squad Archetypes'!$F$5:$F$23,MATCH($C11&amp;"|"&amp;$D11,'0.3 Squad Archetypes'!$A$5:$A$23,0)),"")</f>
        <v>6</v>
      </c>
      <c r="F11" s="1031">
        <f>COUNTIF($B$76:$B$81,"?*")</f>
        <v>6</v>
      </c>
      <c r="G11" s="1030">
        <f>ROUND(SUMIFS('REVIEW - Complete Role Mapping'!$P$2:$P$700,'REVIEW - Complete Role Mapping'!$AH$2:$AH$700,$C$3,'REVIEW - Complete Role Mapping'!$AL$2:$AL$700,$B11),2)</f>
        <v>6</v>
      </c>
      <c r="H11" s="1031">
        <f>COUNTIFS($D$76:$D$81,"Filled")</f>
        <v>4</v>
      </c>
      <c r="I11" s="1031">
        <f>COUNTIFS($D$76:$D$81,"Vacant")</f>
        <v>2</v>
      </c>
      <c r="J11" s="1031">
        <f>COUNTIFS($D$76:$D$81,"Vacant",$E$76:$E$81,"Hire")</f>
        <v>2</v>
      </c>
      <c r="K11" s="1031">
        <f>COUNTIFS($E$76:$E$81,"Offshore")</f>
        <v>0</v>
      </c>
      <c r="L11" s="1031">
        <f>COUNTIFS($E$76:$E$81,"Hold")</f>
        <v>0</v>
      </c>
      <c r="M11" s="1031">
        <f>$F11-$L11</f>
        <v>6</v>
      </c>
      <c r="N11" s="1032">
        <f>IFERROR(IF(ISNUMBER(INDEX('1.1 Ampol Retail'!$H$23:$H$68,MATCH($B11,'1.1 Ampol Retail'!$B$23:$B$68,0))),INDEX('1.1 Ampol Retail'!$H$23:$H$68,MATCH($B11,'1.1 Ampol Retail'!$B$23:$B$68,0)),""),"")</f>
        <v>1.4</v>
      </c>
      <c r="O11" s="1032">
        <f>SUMIFS('REVIEW - Complete Role Mapping'!$AE$2:$AE$700,'REVIEW - Complete Role Mapping'!$AH$2:$AH$700,$C$3,'REVIEW - Complete Role Mapping'!$AL$2:$AL$700,$B11)/1000000</f>
        <v>1.1140311</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1.1140311</v>
      </c>
      <c r="R11" s="1032">
        <f>IFERROR(ROUND(IF(COUNTIF(Lists!$AU$2:$AU$10,$B11),$O11,$Q11)-$N11,6),"")</f>
        <v>-0.285969</v>
      </c>
      <c r="S11" s="1032">
        <f>SUM($G$76:$G$81)/1000000</f>
        <v>1.1140311</v>
      </c>
      <c r="T11" s="1032">
        <f>IFERROR(ROUND($S11-$N11,6),"")</f>
        <v>-0.285969</v>
      </c>
    </row>
    <row r="12" ht="14.25" customHeight="1" s="535">
      <c r="B12" s="929" t="inlineStr">
        <is>
          <t>POS</t>
        </is>
      </c>
      <c r="C12" s="929" t="str">
        <f>IFERROR(IF(INDEX('1.1 Ampol Retail'!$C$23:$C$68,MATCH($B12,'1.1 Ampol Retail'!$B$23:$B$68,0))="","",INDEX('1.1 Ampol Retail'!$C$23:$C$68,MATCH($B12,'1.1 Ampol Retail'!$B$23:$B$68,0))),"Not on the 1.x tab")</f>
        <v>Configuration / Integration</v>
      </c>
      <c r="D12" s="929" t="str">
        <f>IFERROR(IF(INDEX('1.1 Ampol Retail'!$D$23:$D$68,MATCH($B12,'1.1 Ampol Retail'!$B$23:$B$68,0))="","",INDEX('1.1 Ampol Retail'!$D$23:$D$68,MATCH($B12,'1.1 Ampol Retail'!$B$23:$B$68,0))),"")</f>
        <v>M</v>
      </c>
      <c r="E12" s="1030">
        <f>IFERROR(INDEX('0.3 Squad Archetypes'!$F$5:$F$23,MATCH($C12&amp;"|"&amp;$D12,'0.3 Squad Archetypes'!$A$5:$A$23,0)),"")</f>
        <v>9</v>
      </c>
      <c r="F12" s="1031">
        <f>COUNTIF($B$83:$B$90,"?*")</f>
        <v>8</v>
      </c>
      <c r="G12" s="1030">
        <f>ROUND(SUMIFS('REVIEW - Complete Role Mapping'!$P$2:$P$700,'REVIEW - Complete Role Mapping'!$AH$2:$AH$700,$C$3,'REVIEW - Complete Role Mapping'!$AL$2:$AL$700,$B12),2)</f>
        <v>8</v>
      </c>
      <c r="H12" s="1031">
        <f>COUNTIFS($D$83:$D$90,"Filled")</f>
        <v>0</v>
      </c>
      <c r="I12" s="1031">
        <f>COUNTIFS($D$83:$D$90,"Vacant")</f>
        <v>8</v>
      </c>
      <c r="J12" s="1031">
        <f>COUNTIFS($D$83:$D$90,"Vacant",$E$83:$E$90,"Hire")</f>
        <v>3</v>
      </c>
      <c r="K12" s="1031">
        <f>COUNTIFS($E$83:$E$90,"Offshore")</f>
        <v>5</v>
      </c>
      <c r="L12" s="1031">
        <f>COUNTIFS($E$83:$E$90,"Hold")</f>
        <v>0</v>
      </c>
      <c r="M12" s="1031">
        <f>$F12-$L12</f>
        <v>8</v>
      </c>
      <c r="N12" s="1032">
        <f>IFERROR(IF(ISNUMBER(INDEX('1.1 Ampol Retail'!$H$23:$H$68,MATCH($B12,'1.1 Ampol Retail'!$B$23:$B$68,0))),INDEX('1.1 Ampol Retail'!$H$23:$H$68,MATCH($B12,'1.1 Ampol Retail'!$B$23:$B$68,0)),""),"")</f>
        <v>2.1</v>
      </c>
      <c r="O12" s="1032">
        <f>SUMIFS('REVIEW - Complete Role Mapping'!$AE$2:$AE$700,'REVIEW - Complete Role Mapping'!$AH$2:$AH$700,$C$3,'REVIEW - Complete Role Mapping'!$AL$2:$AL$700,$B12)/1000000</f>
        <v>1.576223685</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v>
      </c>
      <c r="Q12" s="1032">
        <f>$O12-$P12</f>
        <v>1.576223685</v>
      </c>
      <c r="R12" s="1032">
        <f>IFERROR(ROUND(IF(COUNTIF(Lists!$AU$2:$AU$10,$B12),$O12,$Q12)-$N12,6),"")</f>
        <v>-0.523776</v>
      </c>
      <c r="S12" s="1032">
        <f>SUM($G$83:$G$90)/1000000</f>
        <v>0.989198535</v>
      </c>
      <c r="T12" s="1032">
        <f>IFERROR(ROUND($S12-$N12,6),"")</f>
        <v>-1.110801</v>
      </c>
    </row>
    <row r="13" ht="14.25" customHeight="1" s="535">
      <c r="B13" s="929" t="inlineStr">
        <is>
          <t>Payments</t>
        </is>
      </c>
      <c r="C13" s="929" t="str">
        <f>IFERROR(IF(INDEX('1.1 Ampol Retail'!$C$23:$C$68,MATCH($B13,'1.1 Ampol Retail'!$B$23:$B$68,0))="","",INDEX('1.1 Ampol Retail'!$C$23:$C$68,MATCH($B13,'1.1 Ampol Retail'!$B$23:$B$68,0))),"Not on the 1.x tab")</f>
        <v>Configuration / Integration</v>
      </c>
      <c r="D13" s="929" t="str">
        <f>IFERROR(IF(INDEX('1.1 Ampol Retail'!$D$23:$D$68,MATCH($B13,'1.1 Ampol Retail'!$B$23:$B$68,0))="","",INDEX('1.1 Ampol Retail'!$D$23:$D$68,MATCH($B13,'1.1 Ampol Retail'!$B$23:$B$68,0))),"")</f>
        <v>S</v>
      </c>
      <c r="E13" s="1030">
        <f>IFERROR(INDEX('0.3 Squad Archetypes'!$F$5:$F$23,MATCH($C13&amp;"|"&amp;$D13,'0.3 Squad Archetypes'!$A$5:$A$23,0)),"")</f>
        <v>6</v>
      </c>
      <c r="F13" s="1031">
        <f>COUNTIF($B$92:$B$95,"?*")</f>
        <v>4</v>
      </c>
      <c r="G13" s="1030">
        <f>ROUND(SUMIFS('REVIEW - Complete Role Mapping'!$P$2:$P$700,'REVIEW - Complete Role Mapping'!$AH$2:$AH$700,$C$3,'REVIEW - Complete Role Mapping'!$AL$2:$AL$700,$B13),2)</f>
        <v>4</v>
      </c>
      <c r="H13" s="1031">
        <f>COUNTIFS($D$92:$D$95,"Filled")</f>
        <v>3</v>
      </c>
      <c r="I13" s="1031">
        <f>COUNTIFS($D$92:$D$95,"Vacant")</f>
        <v>1</v>
      </c>
      <c r="J13" s="1031">
        <f>COUNTIFS($D$92:$D$95,"Vacant",$E$92:$E$95,"Hire")</f>
        <v>1</v>
      </c>
      <c r="K13" s="1031">
        <f>COUNTIFS($E$92:$E$95,"Offshore")</f>
        <v>0</v>
      </c>
      <c r="L13" s="1031">
        <f>COUNTIFS($E$92:$E$95,"Hold")</f>
        <v>0</v>
      </c>
      <c r="M13" s="1031">
        <f>$F13-$L13</f>
        <v>4</v>
      </c>
      <c r="N13" s="1032">
        <f>IFERROR(IF(ISNUMBER(INDEX('1.1 Ampol Retail'!$H$23:$H$68,MATCH($B13,'1.1 Ampol Retail'!$B$23:$B$68,0))),INDEX('1.1 Ampol Retail'!$H$23:$H$68,MATCH($B13,'1.1 Ampol Retail'!$B$23:$B$68,0)),""),"")</f>
        <v>1.4</v>
      </c>
      <c r="O13" s="1032">
        <f>SUMIFS('REVIEW - Complete Role Mapping'!$AE$2:$AE$700,'REVIEW - Complete Role Mapping'!$AH$2:$AH$700,$C$3,'REVIEW - Complete Role Mapping'!$AL$2:$AL$700,$B13)/1000000</f>
        <v>0.789428585</v>
      </c>
      <c r="P13" s="1032">
        <f>IFERROR(IF(ISNUMBER(INDEX(Lists!$AW$2:$AW$10,MATCH($B13,Lists!$AU$2:$AU$10,0))),INDEX(Lists!$AW$2:$AW$10,MATCH($B13,Lists!$AU$2:$AU$10,0)),SUMIFS('REVIEW - Complete Role Mapping'!$AE$2:$AE$700,'REVIEW - Complete Role Mapping'!$AH$2:$AH$700,$C$3,'REVIEW - Complete Role Mapping'!$AL$2:$AL$700,$B13,'REVIEW - Complete Role Mapping'!$AM$2:$AM$700,1)/1000000),SUMIFS('REVIEW - Complete Role Mapping'!$AE$2:$AE$700,'REVIEW - Complete Role Mapping'!$AH$2:$AH$700,$C$3,'REVIEW - Complete Role Mapping'!$AL$2:$AL$700,$B13,'REVIEW - Complete Role Mapping'!$AM$2:$AM$700,1)/1000000)</f>
        <v>0</v>
      </c>
      <c r="Q13" s="1032">
        <f>$O13-$P13</f>
        <v>0.789428585</v>
      </c>
      <c r="R13" s="1032">
        <f>IFERROR(ROUND(IF(COUNTIF(Lists!$AU$2:$AU$10,$B13),$O13,$Q13)-$N13,6),"")</f>
        <v>-0.610571</v>
      </c>
      <c r="S13" s="1032">
        <f>SUM($G$92:$G$95)/1000000</f>
        <v>0.789428585</v>
      </c>
      <c r="T13" s="1032">
        <f>IFERROR(ROUND($S13-$N13,6),"")</f>
        <v>-0.610571</v>
      </c>
    </row>
    <row r="14" ht="14.25" customHeight="1" s="535">
      <c r="B14" s="929" t="inlineStr">
        <is>
          <t>Store Operations</t>
        </is>
      </c>
      <c r="C14" s="929" t="str">
        <f>IFERROR(IF(INDEX('1.1 Ampol Retail'!$C$23:$C$68,MATCH($B14,'1.1 Ampol Retail'!$B$23:$B$68,0))="","",INDEX('1.1 Ampol Retail'!$C$23:$C$68,MATCH($B14,'1.1 Ampol Retail'!$B$23:$B$68,0))),"Not on the 1.x tab")</f>
        <v>Operations</v>
      </c>
      <c r="D14" s="929" t="str">
        <f>IFERROR(IF(INDEX('1.1 Ampol Retail'!$D$23:$D$68,MATCH($B14,'1.1 Ampol Retail'!$B$23:$B$68,0))="","",INDEX('1.1 Ampol Retail'!$D$23:$D$68,MATCH($B14,'1.1 Ampol Retail'!$B$23:$B$68,0))),"")</f>
        <v>M</v>
      </c>
      <c r="E14" s="1030">
        <f>IFERROR(INDEX('0.3 Squad Archetypes'!$F$5:$F$23,MATCH($C14&amp;"|"&amp;$D14,'0.3 Squad Archetypes'!$A$5:$A$23,0)),"")</f>
        <v>6</v>
      </c>
      <c r="F14" s="1031">
        <f>COUNTIF($B$97:$B$104,"?*")</f>
        <v>8</v>
      </c>
      <c r="G14" s="1030">
        <f>ROUND(SUMIFS('REVIEW - Complete Role Mapping'!$P$2:$P$700,'REVIEW - Complete Role Mapping'!$AH$2:$AH$700,$C$3,'REVIEW - Complete Role Mapping'!$AL$2:$AL$700,$B14),2)</f>
        <v>8</v>
      </c>
      <c r="H14" s="1031">
        <f>COUNTIFS($D$97:$D$104,"Filled")</f>
        <v>7</v>
      </c>
      <c r="I14" s="1031">
        <f>COUNTIFS($D$97:$D$104,"Vacant")</f>
        <v>1</v>
      </c>
      <c r="J14" s="1031">
        <f>COUNTIFS($D$97:$D$104,"Vacant",$E$97:$E$104,"Hire")</f>
        <v>1</v>
      </c>
      <c r="K14" s="1031">
        <f>COUNTIFS($E$97:$E$104,"Offshore")</f>
        <v>0</v>
      </c>
      <c r="L14" s="1031">
        <f>COUNTIFS($E$97:$E$104,"Hold")</f>
        <v>0</v>
      </c>
      <c r="M14" s="1031">
        <f>$F14-$L14</f>
        <v>8</v>
      </c>
      <c r="N14" s="1032">
        <f>IFERROR(IF(ISNUMBER(INDEX('1.1 Ampol Retail'!$H$23:$H$68,MATCH($B14,'1.1 Ampol Retail'!$B$23:$B$68,0))),INDEX('1.1 Ampol Retail'!$H$23:$H$68,MATCH($B14,'1.1 Ampol Retail'!$B$23:$B$68,0)),""),"")</f>
        <v>1.4</v>
      </c>
      <c r="O14" s="1032">
        <f>SUMIFS('REVIEW - Complete Role Mapping'!$AE$2:$AE$700,'REVIEW - Complete Role Mapping'!$AH$2:$AH$700,$C$3,'REVIEW - Complete Role Mapping'!$AL$2:$AL$700,$B14)/1000000</f>
        <v>1.429759453</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1.429759453</v>
      </c>
      <c r="R14" s="1032">
        <f>IFERROR(ROUND(IF(COUNTIF(Lists!$AU$2:$AU$10,$B14),$O14,$Q14)-$N14,6),"")</f>
        <v>0.029759</v>
      </c>
      <c r="S14" s="1032">
        <f>SUM($G$97:$G$104)/1000000</f>
        <v>1.429759453</v>
      </c>
      <c r="T14" s="1032">
        <f>IFERROR(ROUND($S14-$N14,6),"")</f>
        <v>0.029759</v>
      </c>
    </row>
    <row r="15" ht="14.25" customHeight="1" s="535">
      <c r="B15" s="1033" t="inlineStr">
        <is>
          <t>Squads total</t>
        </is>
      </c>
      <c r="C15" s="1033" t="n"/>
      <c r="D15" s="1033" t="n"/>
      <c r="E15" s="1034">
        <f>SUM(E8:E14)</f>
        <v>47.5</v>
      </c>
      <c r="F15" s="1035">
        <f>SUM(F8:F14)</f>
        <v>48</v>
      </c>
      <c r="G15" s="1034">
        <f>SUM(G8:G14)</f>
        <v>48</v>
      </c>
      <c r="H15" s="1035">
        <f>SUM(H8:H14)</f>
        <v>26</v>
      </c>
      <c r="I15" s="1035">
        <f>SUM(I8:I14)</f>
        <v>22</v>
      </c>
      <c r="J15" s="1035">
        <f>SUM(J8:J14)</f>
        <v>8</v>
      </c>
      <c r="K15" s="1035">
        <f>SUM(K8:K14)</f>
        <v>13</v>
      </c>
      <c r="L15" s="1035">
        <f>SUM(L8:L14)</f>
        <v>1</v>
      </c>
      <c r="M15" s="1035">
        <f>SUM(M8:M14)</f>
        <v>47</v>
      </c>
      <c r="N15" s="1036">
        <f>IF(COUNT(N8:N14)=0,"",SUM(N8:N14))</f>
        <v>9.88</v>
      </c>
      <c r="O15" s="1036">
        <f>SUM(O8:O14)</f>
        <v>9.113524162</v>
      </c>
      <c r="P15" s="1036">
        <f>SUM(P8:P14)</f>
        <v>0</v>
      </c>
      <c r="Q15" s="1036">
        <f>SUM(Q8:Q14)</f>
        <v>9.113524162</v>
      </c>
      <c r="R15" s="1036">
        <f>IF(COUNT(N8:N14)=7,ROUND($O15-$N15,6),"")</f>
        <v>-0.766476</v>
      </c>
      <c r="S15" s="1036">
        <f>SUM(S8:S14)</f>
        <v>7.391656711</v>
      </c>
      <c r="T15" s="1036">
        <f>IF(COUNT(N8:N14)=7,ROUND($S15-$N15,6),"")</f>
        <v>-2.488343</v>
      </c>
    </row>
    <row r="16" ht="14.25" customHeight="1" s="535">
      <c r="B16" s="1029" t="inlineStr">
        <is>
          <t>Directly funded programs and platforms</t>
        </is>
      </c>
      <c r="C16" s="1029" t="n"/>
      <c r="D16" s="1029" t="n"/>
      <c r="E16" s="1029" t="n"/>
      <c r="F16" s="1029" t="n"/>
      <c r="G16" s="1029" t="n"/>
      <c r="H16" s="1029" t="n"/>
      <c r="I16" s="1029" t="n"/>
      <c r="J16" s="1029" t="n"/>
      <c r="K16" s="1029" t="n"/>
      <c r="L16" s="1029" t="n"/>
      <c r="M16" s="1029" t="n"/>
      <c r="N16" s="1029" t="n"/>
      <c r="O16" s="1029" t="n"/>
      <c r="P16" s="1029" t="n"/>
      <c r="Q16" s="1029" t="n"/>
      <c r="R16" s="1029" t="n"/>
      <c r="S16" s="1029" t="n"/>
      <c r="T16" s="1029" t="n"/>
    </row>
    <row r="17" ht="14.25" customHeight="1" s="535">
      <c r="B17" s="929" t="inlineStr">
        <is>
          <t>AmPOS</t>
        </is>
      </c>
      <c r="C17" s="929" t="str">
        <f>IFERROR(IF(INDEX('1.1 Ampol Retail'!$C$23:$C$68,MATCH($B17,'1.1 Ampol Retail'!$B$23:$B$68,0))="","",INDEX('1.1 Ampol Retail'!$C$23:$C$68,MATCH($B17,'1.1 Ampol Retail'!$B$23:$B$68,0))),"Not on the 1.x tab")</f>
        <v>Strategic Programs</v>
      </c>
      <c r="D17" s="929">
        <f>IFERROR(IF(INDEX('1.1 Ampol Retail'!$D$23:$D$68,MATCH($B17,'1.1 Ampol Retail'!$B$23:$B$68,0))="","",INDEX('1.1 Ampol Retail'!$D$23:$D$68,MATCH($B17,'1.1 Ampol Retail'!$B$23:$B$68,0))),"")</f>
        <v/>
      </c>
      <c r="E17" s="1030">
        <f>""</f>
        <v/>
      </c>
      <c r="F17" s="1031">
        <f>COUNTIF($B$45:$B$54,"?*")</f>
        <v>10</v>
      </c>
      <c r="G17" s="1030">
        <f>ROUND(SUMIFS('REVIEW - Complete Role Mapping'!$P$2:$P$700,'REVIEW - Complete Role Mapping'!$AH$2:$AH$700,$C$3,'REVIEW - Complete Role Mapping'!$AL$2:$AL$700,$B17),2)</f>
        <v>10</v>
      </c>
      <c r="H17" s="1031">
        <f>COUNTIFS($D$45:$D$54,"Filled")</f>
        <v>10</v>
      </c>
      <c r="I17" s="1031">
        <f>COUNTIFS($D$45:$D$54,"Vacant")</f>
        <v>0</v>
      </c>
      <c r="J17" s="1031">
        <f>COUNTIFS($D$45:$D$54,"Vacant",$E$45:$E$54,"Hire")</f>
        <v>0</v>
      </c>
      <c r="K17" s="1031">
        <f>COUNTIFS($E$45:$E$54,"Offshore")</f>
        <v>0</v>
      </c>
      <c r="L17" s="1031">
        <f>COUNTIFS($E$45:$E$54,"Hold")</f>
        <v>0</v>
      </c>
      <c r="M17" s="1031">
        <f>$F17-$L17</f>
        <v>10</v>
      </c>
      <c r="N17" s="1032">
        <f>IFERROR(IF(N(INDEX('1.1 Ampol Retail'!$H$23:$H$68,MATCH($B17,'1.1 Ampol Retail'!$B$23:$B$68,0)))&gt;0,INDEX('1.1 Ampol Retail'!$H$23:$H$68,MATCH($B17,'1.1 Ampol Retail'!$B$23:$B$68,0)),IF(N(INDEX('1.1 Ampol Retail'!$I$23:$I$68,MATCH($B17,'1.1 Ampol Retail'!$B$23:$B$68,0)))&gt;0,INDEX('1.1 Ampol Retail'!$I$23:$I$68,MATCH($B17,'1.1 Ampol Retail'!$B$23:$B$68,0)),"")),"")</f>
        <v>1.404089</v>
      </c>
      <c r="O17" s="1032">
        <f>SUMIFS('REVIEW - Complete Role Mapping'!$AE$2:$AE$700,'REVIEW - Complete Role Mapping'!$AH$2:$AH$700,$C$3,'REVIEW - Complete Role Mapping'!$AL$2:$AL$700,$B17)/1000000</f>
        <v>2.115029718</v>
      </c>
      <c r="P17" s="1032">
        <f>IFERROR(IF(ISNUMBER(INDEX(Lists!$AW$2:$AW$10,MATCH($B17,Lists!$AU$2:$AU$10,0))),INDEX(Lists!$AW$2:$AW$10,MATCH($B17,Lists!$AU$2:$AU$10,0)),SUMIFS('REVIEW - Complete Role Mapping'!$AE$2:$AE$700,'REVIEW - Complete Role Mapping'!$AH$2:$AH$700,$C$3,'REVIEW - Complete Role Mapping'!$AL$2:$AL$700,$B17,'REVIEW - Complete Role Mapping'!$AM$2:$AM$700,1)/1000000),SUMIFS('REVIEW - Complete Role Mapping'!$AE$2:$AE$700,'REVIEW - Complete Role Mapping'!$AH$2:$AH$700,$C$3,'REVIEW - Complete Role Mapping'!$AL$2:$AL$700,$B17,'REVIEW - Complete Role Mapping'!$AM$2:$AM$700,1)/1000000)</f>
        <v>1.404</v>
      </c>
      <c r="Q17" s="1032">
        <f>$O17-$P17</f>
        <v>0.711029718</v>
      </c>
      <c r="R17" s="1032">
        <f>IFERROR(ROUND(IF(COUNTIF(Lists!$AU$2:$AU$10,$B17),$O17,$Q17)-$N17,6),"")</f>
        <v>0.710941</v>
      </c>
      <c r="S17" s="1032">
        <f>SUM($G$45:$G$54)/1000000</f>
        <v>2.115029718</v>
      </c>
      <c r="T17" s="1032">
        <f>IFERROR(ROUND($S17-$N17,6),"")</f>
        <v>0.710941</v>
      </c>
    </row>
    <row r="18" ht="14.25" customHeight="1" s="535">
      <c r="B18" s="929" t="inlineStr">
        <is>
          <t>EGI Retail</t>
        </is>
      </c>
      <c r="C18" s="929" t="str">
        <f>IFERROR(IF(INDEX('1.1 Ampol Retail'!$C$23:$C$68,MATCH($B18,'1.1 Ampol Retail'!$B$23:$B$68,0))="","",INDEX('1.1 Ampol Retail'!$C$23:$C$68,MATCH($B18,'1.1 Ampol Retail'!$B$23:$B$68,0))),"Not on the 1.x tab")</f>
        <v>Strategic Programs</v>
      </c>
      <c r="D18" s="929">
        <f>IFERROR(IF(INDEX('1.1 Ampol Retail'!$D$23:$D$68,MATCH($B18,'1.1 Ampol Retail'!$B$23:$B$68,0))="","",INDEX('1.1 Ampol Retail'!$D$23:$D$68,MATCH($B18,'1.1 Ampol Retail'!$B$23:$B$68,0))),"")</f>
        <v/>
      </c>
      <c r="E18" s="1030">
        <f>""</f>
        <v/>
      </c>
      <c r="F18" s="1031">
        <f>COUNTIF($B$69:$B$74,"?*")</f>
        <v>6</v>
      </c>
      <c r="G18" s="1030">
        <f>ROUND(SUMIFS('REVIEW - Complete Role Mapping'!$P$2:$P$700,'REVIEW - Complete Role Mapping'!$AH$2:$AH$700,$C$3,'REVIEW - Complete Role Mapping'!$AL$2:$AL$700,$B18),2)</f>
        <v>5.8</v>
      </c>
      <c r="H18" s="1031">
        <f>COUNTIFS($D$69:$D$74,"Filled")</f>
        <v>6</v>
      </c>
      <c r="I18" s="1031">
        <f>COUNTIFS($D$69:$D$74,"Vacant")</f>
        <v>0</v>
      </c>
      <c r="J18" s="1031">
        <f>COUNTIFS($D$69:$D$74,"Vacant",$E$69:$E$74,"Hire")</f>
        <v>0</v>
      </c>
      <c r="K18" s="1031">
        <f>COUNTIFS($E$69:$E$74,"Offshore")</f>
        <v>0</v>
      </c>
      <c r="L18" s="1031">
        <f>COUNTIFS($E$69:$E$74,"Hold")</f>
        <v>0</v>
      </c>
      <c r="M18" s="1031">
        <f>$F18-$L18</f>
        <v>6</v>
      </c>
      <c r="N18" s="1032">
        <f>$O18</f>
        <v>1.1822355812</v>
      </c>
      <c r="O18" s="1032">
        <f>SUMIFS('REVIEW - Complete Role Mapping'!$AE$2:$AE$700,'REVIEW - Complete Role Mapping'!$AH$2:$AH$700,$C$3,'REVIEW - Complete Role Mapping'!$AL$2:$AL$700,$B18)/1000000</f>
        <v>1.1822355812</v>
      </c>
      <c r="P18" s="1032">
        <f>IFERROR(IF(ISNUMBER(INDEX(Lists!$AW$2:$AW$10,MATCH($B18,Lists!$AU$2:$AU$10,0))),INDEX(Lists!$AW$2:$AW$10,MATCH($B18,Lists!$AU$2:$AU$10,0)),SUMIFS('REVIEW - Complete Role Mapping'!$AE$2:$AE$700,'REVIEW - Complete Role Mapping'!$AH$2:$AH$700,$C$3,'REVIEW - Complete Role Mapping'!$AL$2:$AL$700,$B18,'REVIEW - Complete Role Mapping'!$AM$2:$AM$700,1)/1000000),SUMIFS('REVIEW - Complete Role Mapping'!$AE$2:$AE$700,'REVIEW - Complete Role Mapping'!$AH$2:$AH$700,$C$3,'REVIEW - Complete Role Mapping'!$AL$2:$AL$700,$B18,'REVIEW - Complete Role Mapping'!$AM$2:$AM$700,1)/1000000)</f>
        <v>1.1822355812</v>
      </c>
      <c r="Q18" s="1032">
        <f>$O18-$P18</f>
        <v>0</v>
      </c>
      <c r="R18" s="1032">
        <f>IFERROR(ROUND(IF(COUNTIF(Lists!$AU$2:$AU$10,$B18),$O18,$Q18)-$N18,6),"")</f>
        <v>0</v>
      </c>
      <c r="S18" s="1032">
        <f>SUM($G$69:$G$74)/1000000</f>
        <v>1.1822355812</v>
      </c>
      <c r="T18" s="1032">
        <f>IFERROR(ROUND($S18-$N18,6),"")</f>
        <v>0</v>
      </c>
    </row>
    <row r="19" ht="14.25" customHeight="1" s="535">
      <c r="B19" s="1033" t="inlineStr">
        <is>
          <t>Directly funded total</t>
        </is>
      </c>
      <c r="C19" s="1033" t="n"/>
      <c r="D19" s="1033" t="n"/>
      <c r="E19" s="1034">
        <f>SUM(E17:E18)</f>
        <v>0</v>
      </c>
      <c r="F19" s="1035">
        <f>SUM(F17:F18)</f>
        <v>16</v>
      </c>
      <c r="G19" s="1034">
        <f>SUM(G17:G18)</f>
        <v>15.8</v>
      </c>
      <c r="H19" s="1035">
        <f>SUM(H17:H18)</f>
        <v>16</v>
      </c>
      <c r="I19" s="1035">
        <f>SUM(I17:I18)</f>
        <v>0</v>
      </c>
      <c r="J19" s="1035">
        <f>SUM(J17:J18)</f>
        <v>0</v>
      </c>
      <c r="K19" s="1035">
        <f>SUM(K17:K18)</f>
        <v>0</v>
      </c>
      <c r="L19" s="1035">
        <f>SUM(L17:L18)</f>
        <v>0</v>
      </c>
      <c r="M19" s="1035">
        <f>SUM(M17:M18)</f>
        <v>16</v>
      </c>
      <c r="N19" s="1036">
        <f>IF(COUNT(N17:N18)=0,"",SUM(N17:N18))</f>
        <v>2.5863245812</v>
      </c>
      <c r="O19" s="1036">
        <f>SUM(O17:O18)</f>
        <v>3.2972652992</v>
      </c>
      <c r="P19" s="1036">
        <f>SUM(P17:P18)</f>
        <v>2.5862355812</v>
      </c>
      <c r="Q19" s="1036">
        <f>SUM(Q17:Q18)</f>
        <v>0.711029718</v>
      </c>
      <c r="R19" s="1036">
        <f>IF(COUNT(N17:N18)=2,ROUND($O19-$N19,6),"")</f>
        <v>0.710941</v>
      </c>
      <c r="S19" s="1036">
        <f>SUM(S17:S18)</f>
        <v>3.2972652992</v>
      </c>
      <c r="T19" s="1036">
        <f>IF(COUNT(N17:N18)=2,ROUND($S19-$N19,6),"")</f>
        <v>0.710941</v>
      </c>
    </row>
    <row r="20" ht="14.25" customHeight="1" s="535">
      <c r="B20" s="1029" t="inlineStr">
        <is>
          <t>Overhead roles</t>
        </is>
      </c>
      <c r="C20" s="1029" t="n"/>
      <c r="D20" s="1029" t="n"/>
      <c r="E20" s="1029" t="n"/>
      <c r="F20" s="1029" t="n"/>
      <c r="G20" s="1029" t="n"/>
      <c r="H20" s="1029" t="n"/>
      <c r="I20" s="1029" t="n"/>
      <c r="J20" s="1029" t="n"/>
      <c r="K20" s="1029" t="n"/>
      <c r="L20" s="1029" t="n"/>
      <c r="M20" s="1029" t="n"/>
      <c r="N20" s="1029" t="n"/>
      <c r="O20" s="1029" t="n"/>
      <c r="P20" s="1029" t="n"/>
      <c r="Q20" s="1029" t="n"/>
      <c r="R20" s="1029" t="n"/>
      <c r="S20" s="1029" t="n"/>
      <c r="T20" s="1029" t="n"/>
    </row>
    <row r="21" ht="14.25" customHeight="1" s="535">
      <c r="B21" s="929" t="inlineStr">
        <is>
          <t>Head of Technology</t>
        </is>
      </c>
      <c r="C21" s="929">
        <f>""</f>
        <v/>
      </c>
      <c r="D21" s="929">
        <f>""</f>
        <v/>
      </c>
      <c r="E21" s="1030">
        <f>'0.2 Data Config'!$M$6</f>
        <v>0.5</v>
      </c>
      <c r="F21" s="1031">
        <f>COUNTIF($B$106:$B$106,"?*")</f>
        <v>1</v>
      </c>
      <c r="G21" s="1030">
        <f>ROUND(SUMIFS('REVIEW - Complete Role Mapping'!$P$2:$P$700,'REVIEW - Complete Role Mapping'!$AH$2:$AH$700,$C$3,'REVIEW - Complete Role Mapping'!$AL$2:$AL$700,$B21),2)</f>
        <v>1</v>
      </c>
      <c r="H21" s="1031">
        <f>COUNTIFS($D$106:$D$106,"Filled")</f>
        <v>1</v>
      </c>
      <c r="I21" s="1031">
        <f>COUNTIFS($D$106:$D$106,"Vacant")</f>
        <v>0</v>
      </c>
      <c r="J21" s="1031">
        <f>COUNTIFS($D$106:$D$106,"Vacant",$E$106:$E$106,"Hire")</f>
        <v>0</v>
      </c>
      <c r="K21" s="1031">
        <f>COUNTIFS($E$106:$E$106,"Offshore")</f>
        <v>0</v>
      </c>
      <c r="L21" s="1031">
        <f>COUNTIFS($E$106:$E$106,"Hold")</f>
        <v>0</v>
      </c>
      <c r="M21" s="1031">
        <f>$F21-$L21</f>
        <v>1</v>
      </c>
      <c r="N21" s="1032">
        <f>'0.2 Data Config'!$N$6</f>
        <v>0.1375</v>
      </c>
      <c r="O21" s="1032">
        <f>SUMIFS('REVIEW - Complete Role Mapping'!$AE$2:$AE$700,'REVIEW - Complete Role Mapping'!$AH$2:$AH$700,$C$3,'REVIEW - Complete Role Mapping'!$AL$2:$AL$700,$B21)/1000000</f>
        <v>0.18603225</v>
      </c>
      <c r="P21" s="1032">
        <f>IFERROR(IF(ISNUMBER(INDEX(Lists!$AW$2:$AW$10,MATCH($B21,Lists!$AU$2:$AU$10,0))),INDEX(Lists!$AW$2:$AW$10,MATCH($B21,Lists!$AU$2:$AU$10,0)),SUMIFS('REVIEW - Complete Role Mapping'!$AE$2:$AE$700,'REVIEW - Complete Role Mapping'!$AH$2:$AH$700,$C$3,'REVIEW - Complete Role Mapping'!$AL$2:$AL$700,$B21,'REVIEW - Complete Role Mapping'!$AM$2:$AM$700,1)/1000000),SUMIFS('REVIEW - Complete Role Mapping'!$AE$2:$AE$700,'REVIEW - Complete Role Mapping'!$AH$2:$AH$700,$C$3,'REVIEW - Complete Role Mapping'!$AL$2:$AL$700,$B21,'REVIEW - Complete Role Mapping'!$AM$2:$AM$700,1)/1000000)</f>
        <v>0</v>
      </c>
      <c r="Q21" s="1032">
        <f>$O21-$P21</f>
        <v>0.18603225</v>
      </c>
      <c r="R21" s="1032">
        <f>ROUND(IF(COUNTIF(Lists!$AU$2:$AU$10,$B21),$O21,$Q21)-$N21,6)</f>
        <v>0.048532</v>
      </c>
      <c r="S21" s="1032">
        <f>SUM($G$106:$G$106)/1000000</f>
        <v>0.18603225</v>
      </c>
      <c r="T21" s="1032">
        <f>ROUND($S21-$N21,6)</f>
        <v>0.048532</v>
      </c>
    </row>
    <row r="22" ht="14.25" customHeight="1" s="535">
      <c r="B22" s="929" t="inlineStr">
        <is>
          <t>Delivery Manager</t>
        </is>
      </c>
      <c r="C22" s="929">
        <f>""</f>
        <v/>
      </c>
      <c r="D22" s="929">
        <f>""</f>
        <v/>
      </c>
      <c r="E22" s="1030">
        <f>'0.2 Data Config'!$M$14*(N('1.1 Ampol Retail'!$F$7)/'0.2 Data Config'!$N$16)</f>
        <v>1.2</v>
      </c>
      <c r="F22" s="1031">
        <f>COUNTIF($B$108:$B$108,"?*")</f>
        <v>1</v>
      </c>
      <c r="G22" s="1030">
        <f>ROUND(SUMIFS('REVIEW - Complete Role Mapping'!$P$2:$P$700,'REVIEW - Complete Role Mapping'!$AH$2:$AH$700,$C$3,'REVIEW - Complete Role Mapping'!$AL$2:$AL$700,$B22),2)</f>
        <v>0.7</v>
      </c>
      <c r="H22" s="1031">
        <f>COUNTIFS($D$108:$D$108,"Filled")</f>
        <v>1</v>
      </c>
      <c r="I22" s="1031">
        <f>COUNTIFS($D$108:$D$108,"Vacant")</f>
        <v>0</v>
      </c>
      <c r="J22" s="1031">
        <f>COUNTIFS($D$108:$D$108,"Vacant",$E$108:$E$108,"Hire")</f>
        <v>0</v>
      </c>
      <c r="K22" s="1031">
        <f>COUNTIFS($E$108:$E$108,"Offshore")</f>
        <v>0</v>
      </c>
      <c r="L22" s="1031">
        <f>COUNTIFS($E$108:$E$108,"Hold")</f>
        <v>0</v>
      </c>
      <c r="M22" s="1031">
        <f>$F22-$L22</f>
        <v>1</v>
      </c>
      <c r="N22" s="1032">
        <f>'0.2 Data Config'!$N$14*(N('1.1 Ampol Retail'!$F$7)/'0.2 Data Config'!$N$16)</f>
        <v>0.336</v>
      </c>
      <c r="O22" s="1032">
        <f>SUMIFS('REVIEW - Complete Role Mapping'!$AE$2:$AE$700,'REVIEW - Complete Role Mapping'!$AH$2:$AH$700,$C$3,'REVIEW - Complete Role Mapping'!$AL$2:$AL$700,$B22)/1000000</f>
        <v>0.212056145</v>
      </c>
      <c r="P22" s="1032">
        <f>IFERROR(IF(ISNUMBER(INDEX(Lists!$AW$2:$AW$10,MATCH($B22,Lists!$AU$2:$AU$10,0))),INDEX(Lists!$AW$2:$AW$10,MATCH($B22,Lists!$AU$2:$AU$10,0)),SUMIFS('REVIEW - Complete Role Mapping'!$AE$2:$AE$700,'REVIEW - Complete Role Mapping'!$AH$2:$AH$700,$C$3,'REVIEW - Complete Role Mapping'!$AL$2:$AL$700,$B22,'REVIEW - Complete Role Mapping'!$AM$2:$AM$700,1)/1000000),SUMIFS('REVIEW - Complete Role Mapping'!$AE$2:$AE$700,'REVIEW - Complete Role Mapping'!$AH$2:$AH$700,$C$3,'REVIEW - Complete Role Mapping'!$AL$2:$AL$700,$B22,'REVIEW - Complete Role Mapping'!$AM$2:$AM$700,1)/1000000)</f>
        <v>0</v>
      </c>
      <c r="Q22" s="1032">
        <f>$O22-$P22</f>
        <v>0.212056145</v>
      </c>
      <c r="R22" s="1032">
        <f>ROUND(IF(COUNTIF(Lists!$AU$2:$AU$10,$B22),$O22,$Q22)-$N22,6)</f>
        <v>-0.123944</v>
      </c>
      <c r="S22" s="1032">
        <f>SUM($G$108:$G$108)/1000000</f>
        <v>0.212056145</v>
      </c>
      <c r="T22" s="1032">
        <f>ROUND($S22-$N22,6)</f>
        <v>-0.123944</v>
      </c>
    </row>
    <row r="23" ht="14.25" customHeight="1" s="535">
      <c r="B23" s="929" t="inlineStr">
        <is>
          <t>Technology Manager</t>
        </is>
      </c>
      <c r="C23" s="929">
        <f>""</f>
        <v/>
      </c>
      <c r="D23" s="929">
        <f>""</f>
        <v/>
      </c>
      <c r="E23" s="1030">
        <f>'0.2 Data Config'!$M$15*(N('1.1 Ampol Retail'!$F$7)/'0.2 Data Config'!$N$16)</f>
        <v>1.2</v>
      </c>
      <c r="F23" s="1031">
        <f>COUNTIF($B$110:$B$112,"?*")</f>
        <v>3</v>
      </c>
      <c r="G23" s="1030">
        <f>ROUND(SUMIFS('REVIEW - Complete Role Mapping'!$P$2:$P$700,'REVIEW - Complete Role Mapping'!$AH$2:$AH$700,$C$3,'REVIEW - Complete Role Mapping'!$AL$2:$AL$700,$B23),2)</f>
        <v>3</v>
      </c>
      <c r="H23" s="1031">
        <f>COUNTIFS($D$110:$D$112,"Filled")</f>
        <v>3</v>
      </c>
      <c r="I23" s="1031">
        <f>COUNTIFS($D$110:$D$112,"Vacant")</f>
        <v>0</v>
      </c>
      <c r="J23" s="1031">
        <f>COUNTIFS($D$110:$D$112,"Vacant",$E$110:$E$112,"Hire")</f>
        <v>0</v>
      </c>
      <c r="K23" s="1031">
        <f>COUNTIFS($E$110:$E$112,"Offshore")</f>
        <v>0</v>
      </c>
      <c r="L23" s="1031">
        <f>COUNTIFS($E$110:$E$112,"Hold")</f>
        <v>0</v>
      </c>
      <c r="M23" s="1031">
        <f>$F23-$L23</f>
        <v>3</v>
      </c>
      <c r="N23" s="1032">
        <f>'0.2 Data Config'!$N$15*(N('1.1 Ampol Retail'!$F$7)/'0.2 Data Config'!$N$16)</f>
        <v>0.324</v>
      </c>
      <c r="O23" s="1032">
        <f>SUMIFS('REVIEW - Complete Role Mapping'!$AE$2:$AE$700,'REVIEW - Complete Role Mapping'!$AH$2:$AH$700,$C$3,'REVIEW - Complete Role Mapping'!$AL$2:$AL$700,$B23)/1000000</f>
        <v>0.766646363</v>
      </c>
      <c r="P23" s="1032">
        <f>IFERROR(IF(ISNUMBER(INDEX(Lists!$AW$2:$AW$10,MATCH($B23,Lists!$AU$2:$AU$10,0))),INDEX(Lists!$AW$2:$AW$10,MATCH($B23,Lists!$AU$2:$AU$10,0)),SUMIFS('REVIEW - Complete Role Mapping'!$AE$2:$AE$700,'REVIEW - Complete Role Mapping'!$AH$2:$AH$700,$C$3,'REVIEW - Complete Role Mapping'!$AL$2:$AL$700,$B23,'REVIEW - Complete Role Mapping'!$AM$2:$AM$700,1)/1000000),SUMIFS('REVIEW - Complete Role Mapping'!$AE$2:$AE$700,'REVIEW - Complete Role Mapping'!$AH$2:$AH$700,$C$3,'REVIEW - Complete Role Mapping'!$AL$2:$AL$700,$B23,'REVIEW - Complete Role Mapping'!$AM$2:$AM$700,1)/1000000)</f>
        <v>0</v>
      </c>
      <c r="Q23" s="1032">
        <f>$O23-$P23</f>
        <v>0.766646363</v>
      </c>
      <c r="R23" s="1032">
        <f>ROUND(IF(COUNTIF(Lists!$AU$2:$AU$10,$B23),$O23,$Q23)-$N23,6)</f>
        <v>0.442646</v>
      </c>
      <c r="S23" s="1032">
        <f>SUM($G$110:$G$112)/1000000</f>
        <v>0.766646363</v>
      </c>
      <c r="T23" s="1032">
        <f>ROUND($S23-$N23,6)</f>
        <v>0.442646</v>
      </c>
    </row>
    <row r="24" ht="14.25" customHeight="1" s="535">
      <c r="B24" s="1033" t="inlineStr">
        <is>
          <t>Overhead roles total</t>
        </is>
      </c>
      <c r="C24" s="1033" t="n"/>
      <c r="D24" s="1033" t="n"/>
      <c r="E24" s="1034">
        <f>SUM(E21:E23)</f>
        <v>2.9</v>
      </c>
      <c r="F24" s="1035">
        <f>SUM(F21:F23)</f>
        <v>5</v>
      </c>
      <c r="G24" s="1034">
        <f>SUM(G21:G23)</f>
        <v>4.7</v>
      </c>
      <c r="H24" s="1035">
        <f>SUM(H21:H23)</f>
        <v>5</v>
      </c>
      <c r="I24" s="1035">
        <f>SUM(I21:I23)</f>
        <v>0</v>
      </c>
      <c r="J24" s="1035">
        <f>SUM(J21:J23)</f>
        <v>0</v>
      </c>
      <c r="K24" s="1035">
        <f>SUM(K21:K23)</f>
        <v>0</v>
      </c>
      <c r="L24" s="1035">
        <f>SUM(L21:L23)</f>
        <v>0</v>
      </c>
      <c r="M24" s="1035">
        <f>SUM(M21:M23)</f>
        <v>5</v>
      </c>
      <c r="N24" s="1036">
        <f>IF(COUNT(N21:N23)=0,"",SUM(N21:N23))</f>
        <v>0.7975</v>
      </c>
      <c r="O24" s="1036">
        <f>SUM(O21:O23)</f>
        <v>1.164734758</v>
      </c>
      <c r="P24" s="1036">
        <f>SUM(P21:P23)</f>
        <v>0</v>
      </c>
      <c r="Q24" s="1036">
        <f>SUM(Q21:Q23)</f>
        <v>1.164734758</v>
      </c>
      <c r="R24" s="1036">
        <f>IF(COUNT(N21:N23)=3,ROUND($O24-$N24,6),"")</f>
        <v>0.367235</v>
      </c>
      <c r="S24" s="1036">
        <f>SUM(S21:S23)</f>
        <v>1.164734758</v>
      </c>
      <c r="T24" s="1036">
        <f>IF(COUNT(N21:N23)=3,ROUND($S24-$N24,6),"")</f>
        <v>0.367235</v>
      </c>
    </row>
    <row r="25" ht="14.25" customHeight="1" s="535">
      <c r="B25" s="1037" t="inlineStr">
        <is>
          <t>Portfolio overhead roles (Business Partner, Domain Architect, Leadership) (Required to show archetype FTE)</t>
        </is>
      </c>
      <c r="D25" s="1038">
        <f>""</f>
        <v/>
      </c>
      <c r="E25" s="1030">
        <f>ROUND(SUM('0.2 Data Config'!$M$6:$M$9)*(N('1.1 Ampol Retail'!$F$6)/'0.2 Data Config'!$N$10)-(N($E21)),6)</f>
        <v>1.3</v>
      </c>
      <c r="F25" s="1038">
        <f>""</f>
        <v/>
      </c>
      <c r="G25" s="1038">
        <f>""</f>
        <v/>
      </c>
      <c r="H25" s="1038">
        <f>""</f>
        <v/>
      </c>
      <c r="I25" s="1038">
        <f>""</f>
        <v/>
      </c>
      <c r="J25" s="1038">
        <f>""</f>
        <v/>
      </c>
      <c r="K25" s="1038">
        <f>""</f>
        <v/>
      </c>
      <c r="L25" s="1038">
        <f>""</f>
        <v/>
      </c>
      <c r="M25" s="1038">
        <f>""</f>
        <v/>
      </c>
      <c r="N25" s="1032">
        <f>ROUND(N('1.1 Ampol Retail'!$F$6)-(N($N21)),6)</f>
        <v>0.66</v>
      </c>
      <c r="O25" s="1038">
        <f>""</f>
        <v/>
      </c>
      <c r="P25" s="1038">
        <f>""</f>
        <v/>
      </c>
      <c r="Q25" s="1038">
        <f>""</f>
        <v/>
      </c>
      <c r="R25" s="1038">
        <f>""</f>
        <v/>
      </c>
      <c r="S25" s="1038">
        <f>""</f>
        <v/>
      </c>
      <c r="T25" s="1038">
        <f>""</f>
        <v/>
      </c>
    </row>
    <row r="26" ht="14.25" customHeight="1" s="535">
      <c r="B26" s="1037" t="inlineStr">
        <is>
          <t>Business Partners and Domain Architects sit in the COEs</t>
        </is>
      </c>
    </row>
    <row r="27" ht="14.25" customHeight="1" s="535">
      <c r="B27" s="886" t="inlineStr">
        <is>
          <t>Total portfolio</t>
        </is>
      </c>
      <c r="C27" s="886" t="n"/>
      <c r="D27" s="886" t="n"/>
      <c r="E27" s="888">
        <f>SUM(E8:E14,E17:E18,E21:E23,E25:E25)</f>
        <v>51.7</v>
      </c>
      <c r="F27" s="1039">
        <f>SUM(F8:F14,F17:F18,F21:F23,F25:F25)</f>
        <v>69</v>
      </c>
      <c r="G27" s="888">
        <f>SUM(G8:G14,G17:G18,G21:G23,G25:G25)</f>
        <v>68.5</v>
      </c>
      <c r="H27" s="1039">
        <f>SUM(H8:H14,H17:H18,H21:H23,H25:H25)</f>
        <v>47</v>
      </c>
      <c r="I27" s="1039">
        <f>SUM(I8:I14,I17:I18,I21:I23,I25:I25)</f>
        <v>22</v>
      </c>
      <c r="J27" s="1039">
        <f>SUM(J8:J14,J17:J18,J21:J23,J25:J25)</f>
        <v>8</v>
      </c>
      <c r="K27" s="1039">
        <f>SUM(K8:K14,K17:K18,K21:K23,K25:K25)</f>
        <v>13</v>
      </c>
      <c r="L27" s="1039">
        <f>SUM(L8:L14,L17:L18,L21:L23,L25:L25)</f>
        <v>1</v>
      </c>
      <c r="M27" s="1039">
        <f>SUM(M8:M14,M17:M18,M21:M23,M25:M25)</f>
        <v>68</v>
      </c>
      <c r="N27" s="889">
        <f>IF(COUNT(N8:N14,N17:N18,N21:N23,N25:N25)=0,"",SUM(N8:N14,N17:N18,N21:N23,N25:N25))</f>
        <v>13.9238245812</v>
      </c>
      <c r="O27" s="889">
        <f>SUM(O8:O14,O17:O18,O21:O23,O25:O25)</f>
        <v>13.5755242192</v>
      </c>
      <c r="P27" s="889">
        <f>SUM(P8:P14,P17:P18,P21:P23,P25:P25)</f>
        <v>2.5862355812</v>
      </c>
      <c r="Q27" s="889">
        <f>SUM(Q8:Q14,Q17:Q18,Q21:Q23,Q25:Q25)</f>
        <v>10.989288638</v>
      </c>
      <c r="R27" s="889">
        <f>IF(ISNUMBER($N27),ROUND($O27-$N27,6),"")</f>
        <v>-0.3483</v>
      </c>
      <c r="S27" s="889">
        <f>SUM(S8:S14,S17:S18,S21:S23,S25:S25)</f>
        <v>11.8536567682</v>
      </c>
      <c r="T27" s="889">
        <f>IF(ISNUMBER($N27),ROUND($S27-$N27,6),"")</f>
        <v>-2.070168</v>
      </c>
    </row>
    <row r="28"/>
    <row r="29" ht="14.25" customFormat="1" customHeight="1" s="1042"/>
    <row r="30" ht="14.25" customHeight="1" s="535">
      <c r="B30" s="537" t="inlineStr">
        <is>
          <t>Ampol Retail FTE</t>
        </is>
      </c>
      <c r="C30" s="538" t="n"/>
      <c r="D30" s="538" t="n"/>
      <c r="E30" s="538" t="n"/>
      <c r="F30" s="538" t="n"/>
      <c r="G30" s="538" t="n"/>
      <c r="H30" s="929" t="inlineStr">
        <is>
          <t>Vacancy lever: Hire prices the role in full, Hold prices it at 0, Offshore at the Offshore rate set on 0.3 Squad Archetypes.</t>
        </is>
      </c>
    </row>
    <row r="31" ht="18.75" customHeight="1" s="535">
      <c r="A31" s="1040" t="inlineStr">
        <is>
          <t>ID</t>
        </is>
      </c>
      <c r="B31" s="877" t="inlineStr">
        <is>
          <t>Name</t>
        </is>
      </c>
      <c r="C31" s="877" t="inlineStr">
        <is>
          <t>Role</t>
        </is>
      </c>
      <c r="D31" s="877" t="inlineStr">
        <is>
          <t>Status</t>
        </is>
      </c>
      <c r="E31" s="877" t="inlineStr">
        <is>
          <t>Vacancy lever</t>
        </is>
      </c>
      <c r="F31" s="877" t="inlineStr">
        <is>
          <t>Role cost ($)</t>
        </is>
      </c>
      <c r="G31" s="877" t="inlineStr">
        <is>
          <t>Cost after lever ($)</t>
        </is>
      </c>
    </row>
    <row r="32" ht="33.75" customHeight="1" s="535">
      <c r="B32" s="1029" t="inlineStr">
        <is>
          <t>Above Store</t>
        </is>
      </c>
      <c r="C32" s="1029" t="str">
        <f>COUNTIF($B$33:$B$43,"?*")&amp;IF(COUNTIF($B$33:$B$43,"?*")=1," role"," roles")</f>
        <v>11 roles</v>
      </c>
      <c r="D32" s="1029" t="n"/>
      <c r="E32" s="1029" t="n"/>
      <c r="F32" s="1044">
        <f>SUM(F33:F43)</f>
        <v>2097921.857</v>
      </c>
      <c r="G32" s="1044">
        <f>SUM(G33:G43)</f>
        <v>1690473.806</v>
      </c>
    </row>
    <row r="33" ht="14.25" customHeight="1" s="535">
      <c r="A33" s="1045" t="inlineStr">
        <is>
          <t>R0262</t>
        </is>
      </c>
      <c r="B33" s="929" t="str">
        <f>INDEX('REVIEW - Complete Role Mapping'!$B$2:$B$700,MATCH($A33,'REVIEW - Complete Role Mapping'!$AQ$2:$AQ$700,0))</f>
        <v>Zhan Zhang</v>
      </c>
      <c r="C33" s="929" t="str">
        <f>INDEX('REVIEW - Complete Role Mapping'!$D$2:$D$700,MATCH($A33,'REVIEW - Complete Role Mapping'!$AQ$2:$AQ$700,0))</f>
        <v>Solution Architect</v>
      </c>
      <c r="D33" s="929" t="str">
        <f>INDEX('REVIEW - Complete Role Mapping'!$AF$2:$AF$700,MATCH($A33,'REVIEW - Complete Role Mapping'!$AQ$2:$AQ$700,0))</f>
        <v>Filled</v>
      </c>
      <c r="E33" s="543" t="inlineStr">
        <is>
          <t>Filled</t>
        </is>
      </c>
      <c r="F33" s="1031">
        <f>INDEX('REVIEW - Complete Role Mapping'!$AE$2:$AE$700,MATCH($A33,'REVIEW - Complete Role Mapping'!$AQ$2:$AQ$700,0))</f>
        <v>243637.5</v>
      </c>
      <c r="G33" s="1031">
        <f>$F33*IF(ISNUMBER(SEARCH("WIPRO",INDEX('REVIEW - Complete Role Mapping'!$R$2:$R$700,MATCH($A33,'REVIEW - Complete Role Mapping'!$AQ$2:$AQ$700,0)))),1,IFERROR(INDEX(Lists!$AD$2:$AD$5,MATCH($E33,Lists!$AC$2:$AC$5,0)),NA()))</f>
        <v>243637.5</v>
      </c>
    </row>
    <row r="34" ht="14.25" customHeight="1" s="535">
      <c r="A34" s="1045" t="inlineStr">
        <is>
          <t>R0356</t>
        </is>
      </c>
      <c r="B34" s="929" t="str">
        <f>INDEX('REVIEW - Complete Role Mapping'!$B$2:$B$700,MATCH($A34,'REVIEW - Complete Role Mapping'!$AQ$2:$AQ$700,0))</f>
        <v>Joseph Maroun</v>
      </c>
      <c r="C34" s="929" t="str">
        <f>INDEX('REVIEW - Complete Role Mapping'!$D$2:$D$700,MATCH($A34,'REVIEW - Complete Role Mapping'!$AQ$2:$AQ$700,0))</f>
        <v>Systems Analyst</v>
      </c>
      <c r="D34" s="929" t="str">
        <f>INDEX('REVIEW - Complete Role Mapping'!$AF$2:$AF$700,MATCH($A34,'REVIEW - Complete Role Mapping'!$AQ$2:$AQ$700,0))</f>
        <v>Filled</v>
      </c>
      <c r="E34" s="543" t="inlineStr">
        <is>
          <t>Filled</t>
        </is>
      </c>
      <c r="F34" s="1031">
        <f>INDEX('REVIEW - Complete Role Mapping'!$AE$2:$AE$700,MATCH($A34,'REVIEW - Complete Role Mapping'!$AQ$2:$AQ$700,0))</f>
        <v>176565.05</v>
      </c>
      <c r="G34" s="1031">
        <f>$F34*IF(ISNUMBER(SEARCH("WIPRO",INDEX('REVIEW - Complete Role Mapping'!$R$2:$R$700,MATCH($A34,'REVIEW - Complete Role Mapping'!$AQ$2:$AQ$700,0)))),1,IFERROR(INDEX(Lists!$AD$2:$AD$5,MATCH($E34,Lists!$AC$2:$AC$5,0)),NA()))</f>
        <v>176565.05</v>
      </c>
    </row>
    <row r="35" ht="14.25" customHeight="1" s="535">
      <c r="A35" s="1045" t="inlineStr">
        <is>
          <t>R0357</t>
        </is>
      </c>
      <c r="B35" s="929" t="str">
        <f>INDEX('REVIEW - Complete Role Mapping'!$B$2:$B$700,MATCH($A35,'REVIEW - Complete Role Mapping'!$AQ$2:$AQ$700,0))</f>
        <v>Majdi Abedi</v>
      </c>
      <c r="C35" s="929" t="str">
        <f>INDEX('REVIEW - Complete Role Mapping'!$D$2:$D$700,MATCH($A35,'REVIEW - Complete Role Mapping'!$AQ$2:$AQ$700,0))</f>
        <v>Systems Analyst</v>
      </c>
      <c r="D35" s="929" t="str">
        <f>INDEX('REVIEW - Complete Role Mapping'!$AF$2:$AF$700,MATCH($A35,'REVIEW - Complete Role Mapping'!$AQ$2:$AQ$700,0))</f>
        <v>Filled</v>
      </c>
      <c r="E35" s="543" t="inlineStr">
        <is>
          <t>Filled</t>
        </is>
      </c>
      <c r="F35" s="1031">
        <f>INDEX('REVIEW - Complete Role Mapping'!$AE$2:$AE$700,MATCH($A35,'REVIEW - Complete Role Mapping'!$AQ$2:$AQ$700,0))</f>
        <v>134367.972</v>
      </c>
      <c r="G35" s="1031">
        <f>$F35*IF(ISNUMBER(SEARCH("WIPRO",INDEX('REVIEW - Complete Role Mapping'!$R$2:$R$700,MATCH($A35,'REVIEW - Complete Role Mapping'!$AQ$2:$AQ$700,0)))),1,IFERROR(INDEX(Lists!$AD$2:$AD$5,MATCH($E35,Lists!$AC$2:$AC$5,0)),NA()))</f>
        <v>134367.972</v>
      </c>
    </row>
    <row r="36" ht="14.25" customHeight="1" s="535">
      <c r="A36" s="1045" t="inlineStr">
        <is>
          <t>R0358</t>
        </is>
      </c>
      <c r="B36" s="929" t="str">
        <f>INDEX('REVIEW - Complete Role Mapping'!$B$2:$B$700,MATCH($A36,'REVIEW - Complete Role Mapping'!$AQ$2:$AQ$700,0))</f>
        <v>Pahul Oberoi</v>
      </c>
      <c r="C36" s="929" t="str">
        <f>INDEX('REVIEW - Complete Role Mapping'!$D$2:$D$700,MATCH($A36,'REVIEW - Complete Role Mapping'!$AQ$2:$AQ$700,0))</f>
        <v>Systems Analyst</v>
      </c>
      <c r="D36" s="929" t="str">
        <f>INDEX('REVIEW - Complete Role Mapping'!$AF$2:$AF$700,MATCH($A36,'REVIEW - Complete Role Mapping'!$AQ$2:$AQ$700,0))</f>
        <v>Filled</v>
      </c>
      <c r="E36" s="543" t="inlineStr">
        <is>
          <t>Filled</t>
        </is>
      </c>
      <c r="F36" s="1031">
        <f>INDEX('REVIEW - Complete Role Mapping'!$AE$2:$AE$700,MATCH($A36,'REVIEW - Complete Role Mapping'!$AQ$2:$AQ$700,0))</f>
        <v>162060.6</v>
      </c>
      <c r="G36" s="1031">
        <f>$F36*IF(ISNUMBER(SEARCH("WIPRO",INDEX('REVIEW - Complete Role Mapping'!$R$2:$R$700,MATCH($A36,'REVIEW - Complete Role Mapping'!$AQ$2:$AQ$700,0)))),1,IFERROR(INDEX(Lists!$AD$2:$AD$5,MATCH($E36,Lists!$AC$2:$AC$5,0)),NA()))</f>
        <v>162060.6</v>
      </c>
    </row>
    <row r="37" ht="14.25" customHeight="1" s="535">
      <c r="A37" s="1045" t="inlineStr">
        <is>
          <t>R0359</t>
        </is>
      </c>
      <c r="B37" s="929" t="str">
        <f>INDEX('REVIEW - Complete Role Mapping'!$B$2:$B$700,MATCH($A37,'REVIEW - Complete Role Mapping'!$AQ$2:$AQ$700,0))</f>
        <v>Sao Keawprasit</v>
      </c>
      <c r="C37" s="929" t="str">
        <f>INDEX('REVIEW - Complete Role Mapping'!$D$2:$D$700,MATCH($A37,'REVIEW - Complete Role Mapping'!$AQ$2:$AQ$700,0))</f>
        <v>Systems Analyst</v>
      </c>
      <c r="D37" s="929" t="str">
        <f>INDEX('REVIEW - Complete Role Mapping'!$AF$2:$AF$700,MATCH($A37,'REVIEW - Complete Role Mapping'!$AQ$2:$AQ$700,0))</f>
        <v>Filled</v>
      </c>
      <c r="E37" s="543" t="inlineStr">
        <is>
          <t>Filled</t>
        </is>
      </c>
      <c r="F37" s="1031">
        <f>INDEX('REVIEW - Complete Role Mapping'!$AE$2:$AE$700,MATCH($A37,'REVIEW - Complete Role Mapping'!$AQ$2:$AQ$700,0))</f>
        <v>203213.7</v>
      </c>
      <c r="G37" s="1031">
        <f>$F37*IF(ISNUMBER(SEARCH("WIPRO",INDEX('REVIEW - Complete Role Mapping'!$R$2:$R$700,MATCH($A37,'REVIEW - Complete Role Mapping'!$AQ$2:$AQ$700,0)))),1,IFERROR(INDEX(Lists!$AD$2:$AD$5,MATCH($E37,Lists!$AC$2:$AC$5,0)),NA()))</f>
        <v>203213.7</v>
      </c>
    </row>
    <row r="38" ht="14.25" customHeight="1" s="535">
      <c r="A38" s="1045" t="inlineStr">
        <is>
          <t>R0360</t>
        </is>
      </c>
      <c r="B38" s="929" t="str">
        <f>INDEX('REVIEW - Complete Role Mapping'!$B$2:$B$700,MATCH($A38,'REVIEW - Complete Role Mapping'!$AQ$2:$AQ$700,0))</f>
        <v>Vacant</v>
      </c>
      <c r="C38" s="929" t="str">
        <f>INDEX('REVIEW - Complete Role Mapping'!$D$2:$D$700,MATCH($A38,'REVIEW - Complete Role Mapping'!$AQ$2:$AQ$700,0))</f>
        <v>Engineer - Integration</v>
      </c>
      <c r="D38" s="929" t="str">
        <f>INDEX('REVIEW - Complete Role Mapping'!$AF$2:$AF$700,MATCH($A38,'REVIEW - Complete Role Mapping'!$AQ$2:$AQ$700,0))</f>
        <v>Vacant</v>
      </c>
      <c r="E38" s="543" t="inlineStr">
        <is>
          <t>Offshore</t>
        </is>
      </c>
      <c r="F38" s="1031">
        <f>INDEX('REVIEW - Complete Role Mapping'!$AE$2:$AE$700,MATCH($A38,'REVIEW - Complete Role Mapping'!$AQ$2:$AQ$700,0))</f>
        <v>170489.75</v>
      </c>
      <c r="G38" s="1031">
        <f>$F38*IF(ISNUMBER(SEARCH("WIPRO",INDEX('REVIEW - Complete Role Mapping'!$R$2:$R$700,MATCH($A38,'REVIEW - Complete Role Mapping'!$AQ$2:$AQ$700,0)))),1,IFERROR(INDEX(Lists!$AD$2:$AD$5,MATCH($E38,Lists!$AC$2:$AC$5,0)),NA()))</f>
        <v>68195.9</v>
      </c>
    </row>
    <row r="39" ht="14.25" customHeight="1" s="535">
      <c r="A39" s="1045" t="inlineStr">
        <is>
          <t>R0361</t>
        </is>
      </c>
      <c r="B39" s="929" t="str">
        <f>INDEX('REVIEW - Complete Role Mapping'!$B$2:$B$700,MATCH($A39,'REVIEW - Complete Role Mapping'!$AQ$2:$AQ$700,0))</f>
        <v>Vijay Patel</v>
      </c>
      <c r="C39" s="929" t="str">
        <f>INDEX('REVIEW - Complete Role Mapping'!$D$2:$D$700,MATCH($A39,'REVIEW - Complete Role Mapping'!$AQ$2:$AQ$700,0))</f>
        <v>Systems Analyst</v>
      </c>
      <c r="D39" s="929" t="str">
        <f>INDEX('REVIEW - Complete Role Mapping'!$AF$2:$AF$700,MATCH($A39,'REVIEW - Complete Role Mapping'!$AQ$2:$AQ$700,0))</f>
        <v>Filled</v>
      </c>
      <c r="E39" s="543" t="inlineStr">
        <is>
          <t>Filled</t>
        </is>
      </c>
      <c r="F39" s="1031">
        <f>INDEX('REVIEW - Complete Role Mapping'!$AE$2:$AE$700,MATCH($A39,'REVIEW - Complete Role Mapping'!$AQ$2:$AQ$700,0))</f>
        <v>193575</v>
      </c>
      <c r="G39" s="1031">
        <f>$F39*IF(ISNUMBER(SEARCH("WIPRO",INDEX('REVIEW - Complete Role Mapping'!$R$2:$R$700,MATCH($A39,'REVIEW - Complete Role Mapping'!$AQ$2:$AQ$700,0)))),1,IFERROR(INDEX(Lists!$AD$2:$AD$5,MATCH($E39,Lists!$AC$2:$AC$5,0)),NA()))</f>
        <v>193575</v>
      </c>
    </row>
    <row r="40" ht="14.25" customHeight="1" s="535">
      <c r="A40" s="1045" t="inlineStr">
        <is>
          <t>R0362</t>
        </is>
      </c>
      <c r="B40" s="929" t="str">
        <f>INDEX('REVIEW - Complete Role Mapping'!$B$2:$B$700,MATCH($A40,'REVIEW - Complete Role Mapping'!$AQ$2:$AQ$700,0))</f>
        <v>Zuan Zheng</v>
      </c>
      <c r="C40" s="929" t="str">
        <f>INDEX('REVIEW - Complete Role Mapping'!$D$2:$D$700,MATCH($A40,'REVIEW - Complete Role Mapping'!$AQ$2:$AQ$700,0))</f>
        <v>Systems Analyst</v>
      </c>
      <c r="D40" s="929" t="str">
        <f>INDEX('REVIEW - Complete Role Mapping'!$AF$2:$AF$700,MATCH($A40,'REVIEW - Complete Role Mapping'!$AQ$2:$AQ$700,0))</f>
        <v>Filled</v>
      </c>
      <c r="E40" s="543" t="inlineStr">
        <is>
          <t>Filled</t>
        </is>
      </c>
      <c r="F40" s="1031">
        <f>INDEX('REVIEW - Complete Role Mapping'!$AE$2:$AE$700,MATCH($A40,'REVIEW - Complete Role Mapping'!$AQ$2:$AQ$700,0))</f>
        <v>239072.45</v>
      </c>
      <c r="G40" s="1031">
        <f>$F40*IF(ISNUMBER(SEARCH("WIPRO",INDEX('REVIEW - Complete Role Mapping'!$R$2:$R$700,MATCH($A40,'REVIEW - Complete Role Mapping'!$AQ$2:$AQ$700,0)))),1,IFERROR(INDEX(Lists!$AD$2:$AD$5,MATCH($E40,Lists!$AC$2:$AC$5,0)),NA()))</f>
        <v>239072.45</v>
      </c>
    </row>
    <row r="41" ht="14.25" customHeight="1" s="535">
      <c r="A41" s="1045" t="inlineStr">
        <is>
          <t>R0395</t>
        </is>
      </c>
      <c r="B41" s="929" t="str">
        <f>INDEX('REVIEW - Complete Role Mapping'!$B$2:$B$700,MATCH($A41,'REVIEW - Complete Role Mapping'!$AQ$2:$AQ$700,0))</f>
        <v>Vacant</v>
      </c>
      <c r="C41" s="929" t="str">
        <f>INDEX('REVIEW - Complete Role Mapping'!$D$2:$D$700,MATCH($A41,'REVIEW - Complete Role Mapping'!$AQ$2:$AQ$700,0))</f>
        <v>Business Analyst</v>
      </c>
      <c r="D41" s="929" t="str">
        <f>INDEX('REVIEW - Complete Role Mapping'!$AF$2:$AF$700,MATCH($A41,'REVIEW - Complete Role Mapping'!$AQ$2:$AQ$700,0))</f>
        <v>Vacant</v>
      </c>
      <c r="E41" s="543" t="inlineStr">
        <is>
          <t>Hold</t>
        </is>
      </c>
      <c r="F41" s="1031">
        <f>INDEX('REVIEW - Complete Role Mapping'!$AE$2:$AE$700,MATCH($A41,'REVIEW - Complete Role Mapping'!$AQ$2:$AQ$700,0))</f>
        <v>202853.25</v>
      </c>
      <c r="G41" s="1031">
        <f>$F41*IF(ISNUMBER(SEARCH("WIPRO",INDEX('REVIEW - Complete Role Mapping'!$R$2:$R$700,MATCH($A41,'REVIEW - Complete Role Mapping'!$AQ$2:$AQ$700,0)))),1,IFERROR(INDEX(Lists!$AD$2:$AD$5,MATCH($E41,Lists!$AC$2:$AC$5,0)),NA()))</f>
        <v>0</v>
      </c>
    </row>
    <row r="42" ht="14.25" customHeight="1" s="535">
      <c r="A42" s="1045" t="inlineStr">
        <is>
          <t>R0467</t>
        </is>
      </c>
      <c r="B42" s="929" t="str">
        <f>INDEX('REVIEW - Complete Role Mapping'!$B$2:$B$700,MATCH($A42,'REVIEW - Complete Role Mapping'!$AQ$2:$AQ$700,0))</f>
        <v>Vacant</v>
      </c>
      <c r="C42" s="929" t="str">
        <f>INDEX('REVIEW - Complete Role Mapping'!$D$2:$D$700,MATCH($A42,'REVIEW - Complete Role Mapping'!$AQ$2:$AQ$700,0))</f>
        <v>Quality Assurance</v>
      </c>
      <c r="D42" s="929" t="str">
        <f>INDEX('REVIEW - Complete Role Mapping'!$AF$2:$AF$700,MATCH($A42,'REVIEW - Complete Role Mapping'!$AQ$2:$AQ$700,0))</f>
        <v>Vacant</v>
      </c>
      <c r="E42" s="543" t="inlineStr">
        <is>
          <t>Offshore</t>
        </is>
      </c>
      <c r="F42" s="1031">
        <f>INDEX('REVIEW - Complete Role Mapping'!$AE$2:$AE$700,MATCH($A42,'REVIEW - Complete Role Mapping'!$AQ$2:$AQ$700,0))</f>
        <v>170501.585</v>
      </c>
      <c r="G42" s="1031">
        <f>$F42*IF(ISNUMBER(SEARCH("WIPRO",INDEX('REVIEW - Complete Role Mapping'!$R$2:$R$700,MATCH($A42,'REVIEW - Complete Role Mapping'!$AQ$2:$AQ$700,0)))),1,IFERROR(INDEX(Lists!$AD$2:$AD$5,MATCH($E42,Lists!$AC$2:$AC$5,0)),NA()))</f>
        <v>68200.634</v>
      </c>
    </row>
    <row r="43" ht="14.25" customHeight="1" s="535">
      <c r="A43" s="1045" t="inlineStr">
        <is>
          <t>R0468</t>
        </is>
      </c>
      <c r="B43" s="929" t="str">
        <f>INDEX('REVIEW - Complete Role Mapping'!$B$2:$B$700,MATCH($A43,'REVIEW - Complete Role Mapping'!$AQ$2:$AQ$700,0))</f>
        <v>Vacant</v>
      </c>
      <c r="C43" s="929" t="str">
        <f>INDEX('REVIEW - Complete Role Mapping'!$D$2:$D$700,MATCH($A43,'REVIEW - Complete Role Mapping'!$AQ$2:$AQ$700,0))</f>
        <v>Systems Analyst</v>
      </c>
      <c r="D43" s="929" t="str">
        <f>INDEX('REVIEW - Complete Role Mapping'!$AF$2:$AF$700,MATCH($A43,'REVIEW - Complete Role Mapping'!$AQ$2:$AQ$700,0))</f>
        <v>Vacant</v>
      </c>
      <c r="E43" s="543" t="inlineStr">
        <is>
          <t>Hire</t>
        </is>
      </c>
      <c r="F43" s="1031">
        <f>INDEX('REVIEW - Complete Role Mapping'!$AE$2:$AE$700,MATCH($A43,'REVIEW - Complete Role Mapping'!$AQ$2:$AQ$700,0))</f>
        <v>201585</v>
      </c>
      <c r="G43" s="1031">
        <f>$F43*IF(ISNUMBER(SEARCH("WIPRO",INDEX('REVIEW - Complete Role Mapping'!$R$2:$R$700,MATCH($A43,'REVIEW - Complete Role Mapping'!$AQ$2:$AQ$700,0)))),1,IFERROR(INDEX(Lists!$AD$2:$AD$5,MATCH($E43,Lists!$AC$2:$AC$5,0)),NA()))</f>
        <v>201585</v>
      </c>
    </row>
    <row r="44" ht="14.25" customHeight="1" s="535">
      <c r="B44" s="1029" t="inlineStr">
        <is>
          <t>AmPOS</t>
        </is>
      </c>
      <c r="C44" s="1029" t="str">
        <f>COUNTIF($B$45:$B$54,"?*")&amp;IF(COUNTIF($B$45:$B$54,"?*")=1," role"," roles")</f>
        <v>10 roles</v>
      </c>
      <c r="D44" s="1029" t="n"/>
      <c r="E44" s="1029" t="n"/>
      <c r="F44" s="1044">
        <f>SUM(F45:F54)</f>
        <v>2115029.718</v>
      </c>
      <c r="G44" s="1044">
        <f>SUM(G45:G54)</f>
        <v>2115029.718</v>
      </c>
    </row>
    <row r="45" ht="14.25" customHeight="1" s="535">
      <c r="A45" s="1045" t="inlineStr">
        <is>
          <t>R0121</t>
        </is>
      </c>
      <c r="B45" s="929" t="str">
        <f>INDEX('REVIEW - Complete Role Mapping'!$B$2:$B$700,MATCH($A45,'REVIEW - Complete Role Mapping'!$AQ$2:$AQ$700,0))</f>
        <v>Kate Johnstone</v>
      </c>
      <c r="C45" s="929" t="str">
        <f>INDEX('REVIEW - Complete Role Mapping'!$D$2:$D$700,MATCH($A45,'REVIEW - Complete Role Mapping'!$AQ$2:$AQ$700,0))</f>
        <v>Program Manager POS</v>
      </c>
      <c r="D45" s="929" t="str">
        <f>INDEX('REVIEW - Complete Role Mapping'!$AF$2:$AF$700,MATCH($A45,'REVIEW - Complete Role Mapping'!$AQ$2:$AQ$700,0))</f>
        <v>Filled</v>
      </c>
      <c r="E45" s="543" t="inlineStr">
        <is>
          <t>Filled</t>
        </is>
      </c>
      <c r="F45" s="1031">
        <f>INDEX('REVIEW - Complete Role Mapping'!$AE$2:$AE$700,MATCH($A45,'REVIEW - Complete Role Mapping'!$AQ$2:$AQ$700,0))</f>
        <v>202026.336</v>
      </c>
      <c r="G45" s="1031">
        <f>$F45*IF(ISNUMBER(SEARCH("WIPRO",INDEX('REVIEW - Complete Role Mapping'!$R$2:$R$700,MATCH($A45,'REVIEW - Complete Role Mapping'!$AQ$2:$AQ$700,0)))),1,IFERROR(INDEX(Lists!$AD$2:$AD$5,MATCH($E45,Lists!$AC$2:$AC$5,0)),NA()))</f>
        <v>202026.336</v>
      </c>
    </row>
    <row r="46" ht="14.25" customHeight="1" s="535">
      <c r="A46" s="1045" t="inlineStr">
        <is>
          <t>R0194</t>
        </is>
      </c>
      <c r="B46" s="929" t="str">
        <f>INDEX('REVIEW - Complete Role Mapping'!$B$2:$B$700,MATCH($A46,'REVIEW - Complete Role Mapping'!$AQ$2:$AQ$700,0))</f>
        <v>Kevin Nelson</v>
      </c>
      <c r="C46" s="929" t="str">
        <f>INDEX('REVIEW - Complete Role Mapping'!$D$2:$D$700,MATCH($A46,'REVIEW - Complete Role Mapping'!$AQ$2:$AQ$700,0))</f>
        <v>Delivery Lead</v>
      </c>
      <c r="D46" s="929" t="str">
        <f>INDEX('REVIEW - Complete Role Mapping'!$AF$2:$AF$700,MATCH($A46,'REVIEW - Complete Role Mapping'!$AQ$2:$AQ$700,0))</f>
        <v>Filled</v>
      </c>
      <c r="E46" s="543" t="inlineStr">
        <is>
          <t>Filled</t>
        </is>
      </c>
      <c r="F46" s="1031">
        <f>INDEX('REVIEW - Complete Role Mapping'!$AE$2:$AE$700,MATCH($A46,'REVIEW - Complete Role Mapping'!$AQ$2:$AQ$700,0))</f>
        <v>253142.7</v>
      </c>
      <c r="G46" s="1031">
        <f>$F46*IF(ISNUMBER(SEARCH("WIPRO",INDEX('REVIEW - Complete Role Mapping'!$R$2:$R$700,MATCH($A46,'REVIEW - Complete Role Mapping'!$AQ$2:$AQ$700,0)))),1,IFERROR(INDEX(Lists!$AD$2:$AD$5,MATCH($E46,Lists!$AC$2:$AC$5,0)),NA()))</f>
        <v>253142.7</v>
      </c>
    </row>
    <row r="47" ht="14.25" customHeight="1" s="535">
      <c r="A47" s="1045" t="inlineStr">
        <is>
          <t>R0224</t>
        </is>
      </c>
      <c r="B47" s="929" t="str">
        <f>INDEX('REVIEW - Complete Role Mapping'!$B$2:$B$700,MATCH($A47,'REVIEW - Complete Role Mapping'!$AQ$2:$AQ$700,0))</f>
        <v>Victor Beuk</v>
      </c>
      <c r="C47" s="929" t="str">
        <f>INDEX('REVIEW - Complete Role Mapping'!$D$2:$D$700,MATCH($A47,'REVIEW - Complete Role Mapping'!$AQ$2:$AQ$700,0))</f>
        <v>Delivery Lead</v>
      </c>
      <c r="D47" s="929" t="str">
        <f>INDEX('REVIEW - Complete Role Mapping'!$AF$2:$AF$700,MATCH($A47,'REVIEW - Complete Role Mapping'!$AQ$2:$AQ$700,0))</f>
        <v>Filled</v>
      </c>
      <c r="E47" s="543" t="inlineStr">
        <is>
          <t>Filled</t>
        </is>
      </c>
      <c r="F47" s="1031">
        <f>INDEX('REVIEW - Complete Role Mapping'!$AE$2:$AE$700,MATCH($A47,'REVIEW - Complete Role Mapping'!$AQ$2:$AQ$700,0))</f>
        <v>247455.6</v>
      </c>
      <c r="G47" s="1031">
        <f>$F47*IF(ISNUMBER(SEARCH("WIPRO",INDEX('REVIEW - Complete Role Mapping'!$R$2:$R$700,MATCH($A47,'REVIEW - Complete Role Mapping'!$AQ$2:$AQ$700,0)))),1,IFERROR(INDEX(Lists!$AD$2:$AD$5,MATCH($E47,Lists!$AC$2:$AC$5,0)),NA()))</f>
        <v>247455.6</v>
      </c>
    </row>
    <row r="48" ht="14.25" customHeight="1" s="535">
      <c r="A48" s="1045" t="inlineStr">
        <is>
          <t>R0256</t>
        </is>
      </c>
      <c r="B48" s="929" t="str">
        <f>INDEX('REVIEW - Complete Role Mapping'!$B$2:$B$700,MATCH($A48,'REVIEW - Complete Role Mapping'!$AQ$2:$AQ$700,0))</f>
        <v>Balaji Murugan</v>
      </c>
      <c r="C48" s="929" t="str">
        <f>INDEX('REVIEW - Complete Role Mapping'!$D$2:$D$700,MATCH($A48,'REVIEW - Complete Role Mapping'!$AQ$2:$AQ$700,0))</f>
        <v>Delivery Lead</v>
      </c>
      <c r="D48" s="929" t="str">
        <f>INDEX('REVIEW - Complete Role Mapping'!$AF$2:$AF$700,MATCH($A48,'REVIEW - Complete Role Mapping'!$AQ$2:$AQ$700,0))</f>
        <v>Filled</v>
      </c>
      <c r="E48" s="543" t="inlineStr">
        <is>
          <t>Filled</t>
        </is>
      </c>
      <c r="F48" s="1031">
        <f>INDEX('REVIEW - Complete Role Mapping'!$AE$2:$AE$700,MATCH($A48,'REVIEW - Complete Role Mapping'!$AQ$2:$AQ$700,0))</f>
        <v>237654.03</v>
      </c>
      <c r="G48" s="1031">
        <f>$F48*IF(ISNUMBER(SEARCH("WIPRO",INDEX('REVIEW - Complete Role Mapping'!$R$2:$R$700,MATCH($A48,'REVIEW - Complete Role Mapping'!$AQ$2:$AQ$700,0)))),1,IFERROR(INDEX(Lists!$AD$2:$AD$5,MATCH($E48,Lists!$AC$2:$AC$5,0)),NA()))</f>
        <v>237654.03</v>
      </c>
    </row>
    <row r="49" ht="14.25" customHeight="1" s="535">
      <c r="A49" s="1045" t="inlineStr">
        <is>
          <t>R0257</t>
        </is>
      </c>
      <c r="B49" s="929" t="str">
        <f>INDEX('REVIEW - Complete Role Mapping'!$B$2:$B$700,MATCH($A49,'REVIEW - Complete Role Mapping'!$AQ$2:$AQ$700,0))</f>
        <v>Irfan Zavahir</v>
      </c>
      <c r="C49" s="929" t="str">
        <f>INDEX('REVIEW - Complete Role Mapping'!$D$2:$D$700,MATCH($A49,'REVIEW - Complete Role Mapping'!$AQ$2:$AQ$700,0))</f>
        <v>Delivery Lead</v>
      </c>
      <c r="D49" s="929" t="str">
        <f>INDEX('REVIEW - Complete Role Mapping'!$AF$2:$AF$700,MATCH($A49,'REVIEW - Complete Role Mapping'!$AQ$2:$AQ$700,0))</f>
        <v>Filled</v>
      </c>
      <c r="E49" s="543" t="inlineStr">
        <is>
          <t>Filled</t>
        </is>
      </c>
      <c r="F49" s="1031">
        <f>INDEX('REVIEW - Complete Role Mapping'!$AE$2:$AE$700,MATCH($A49,'REVIEW - Complete Role Mapping'!$AQ$2:$AQ$700,0))</f>
        <v>161334</v>
      </c>
      <c r="G49" s="1031">
        <f>$F49*IF(ISNUMBER(SEARCH("WIPRO",INDEX('REVIEW - Complete Role Mapping'!$R$2:$R$700,MATCH($A49,'REVIEW - Complete Role Mapping'!$AQ$2:$AQ$700,0)))),1,IFERROR(INDEX(Lists!$AD$2:$AD$5,MATCH($E49,Lists!$AC$2:$AC$5,0)),NA()))</f>
        <v>161334</v>
      </c>
    </row>
    <row r="50" ht="14.25" customHeight="1" s="535">
      <c r="A50" s="1045" t="inlineStr">
        <is>
          <t>R0377</t>
        </is>
      </c>
      <c r="B50" s="929" t="str">
        <f>INDEX('REVIEW - Complete Role Mapping'!$B$2:$B$700,MATCH($A50,'REVIEW - Complete Role Mapping'!$AQ$2:$AQ$700,0))</f>
        <v>Hardik Trivedi</v>
      </c>
      <c r="C50" s="929" t="str">
        <f>INDEX('REVIEW - Complete Role Mapping'!$D$2:$D$700,MATCH($A50,'REVIEW - Complete Role Mapping'!$AQ$2:$AQ$700,0))</f>
        <v>Snr Business Analyst</v>
      </c>
      <c r="D50" s="929" t="str">
        <f>INDEX('REVIEW - Complete Role Mapping'!$AF$2:$AF$700,MATCH($A50,'REVIEW - Complete Role Mapping'!$AQ$2:$AQ$700,0))</f>
        <v>Filled</v>
      </c>
      <c r="E50" s="543" t="inlineStr">
        <is>
          <t>Filled</t>
        </is>
      </c>
      <c r="F50" s="1031">
        <f>INDEX('REVIEW - Complete Role Mapping'!$AE$2:$AE$700,MATCH($A50,'REVIEW - Complete Role Mapping'!$AQ$2:$AQ$700,0))</f>
        <v>210342.6</v>
      </c>
      <c r="G50" s="1031">
        <f>$F50*IF(ISNUMBER(SEARCH("WIPRO",INDEX('REVIEW - Complete Role Mapping'!$R$2:$R$700,MATCH($A50,'REVIEW - Complete Role Mapping'!$AQ$2:$AQ$700,0)))),1,IFERROR(INDEX(Lists!$AD$2:$AD$5,MATCH($E50,Lists!$AC$2:$AC$5,0)),NA()))</f>
        <v>210342.6</v>
      </c>
    </row>
    <row r="51" ht="14.25" customHeight="1" s="535">
      <c r="A51" s="1045" t="inlineStr">
        <is>
          <t>R0390</t>
        </is>
      </c>
      <c r="B51" s="929" t="str">
        <f>INDEX('REVIEW - Complete Role Mapping'!$B$2:$B$700,MATCH($A51,'REVIEW - Complete Role Mapping'!$AQ$2:$AQ$700,0))</f>
        <v>Mick Standen</v>
      </c>
      <c r="C51" s="929" t="str">
        <f>INDEX('REVIEW - Complete Role Mapping'!$D$2:$D$700,MATCH($A51,'REVIEW - Complete Role Mapping'!$AQ$2:$AQ$700,0))</f>
        <v>Systems Analyst</v>
      </c>
      <c r="D51" s="929" t="str">
        <f>INDEX('REVIEW - Complete Role Mapping'!$AF$2:$AF$700,MATCH($A51,'REVIEW - Complete Role Mapping'!$AQ$2:$AQ$700,0))</f>
        <v>Filled</v>
      </c>
      <c r="E51" s="543" t="inlineStr">
        <is>
          <t>Filled</t>
        </is>
      </c>
      <c r="F51" s="1031">
        <f>INDEX('REVIEW - Complete Role Mapping'!$AE$2:$AE$700,MATCH($A51,'REVIEW - Complete Role Mapping'!$AQ$2:$AQ$700,0))</f>
        <v>262647.9</v>
      </c>
      <c r="G51" s="1031">
        <f>$F51*IF(ISNUMBER(SEARCH("WIPRO",INDEX('REVIEW - Complete Role Mapping'!$R$2:$R$700,MATCH($A51,'REVIEW - Complete Role Mapping'!$AQ$2:$AQ$700,0)))),1,IFERROR(INDEX(Lists!$AD$2:$AD$5,MATCH($E51,Lists!$AC$2:$AC$5,0)),NA()))</f>
        <v>262647.9</v>
      </c>
    </row>
    <row r="52" ht="14.25" customHeight="1" s="535">
      <c r="A52" s="1045" t="inlineStr">
        <is>
          <t>R0391</t>
        </is>
      </c>
      <c r="B52" s="929" t="str">
        <f>INDEX('REVIEW - Complete Role Mapping'!$B$2:$B$700,MATCH($A52,'REVIEW - Complete Role Mapping'!$AQ$2:$AQ$700,0))</f>
        <v>Peter Nicolopoulos</v>
      </c>
      <c r="C52" s="929" t="str">
        <f>INDEX('REVIEW - Complete Role Mapping'!$D$2:$D$700,MATCH($A52,'REVIEW - Complete Role Mapping'!$AQ$2:$AQ$700,0))</f>
        <v>Systems Analyst</v>
      </c>
      <c r="D52" s="929" t="str">
        <f>INDEX('REVIEW - Complete Role Mapping'!$AF$2:$AF$700,MATCH($A52,'REVIEW - Complete Role Mapping'!$AQ$2:$AQ$700,0))</f>
        <v>Filled</v>
      </c>
      <c r="E52" s="543" t="inlineStr">
        <is>
          <t>Filled</t>
        </is>
      </c>
      <c r="F52" s="1031">
        <f>INDEX('REVIEW - Complete Role Mapping'!$AE$2:$AE$700,MATCH($A52,'REVIEW - Complete Role Mapping'!$AQ$2:$AQ$700,0))</f>
        <v>147460.584</v>
      </c>
      <c r="G52" s="1031">
        <f>$F52*IF(ISNUMBER(SEARCH("WIPRO",INDEX('REVIEW - Complete Role Mapping'!$R$2:$R$700,MATCH($A52,'REVIEW - Complete Role Mapping'!$AQ$2:$AQ$700,0)))),1,IFERROR(INDEX(Lists!$AD$2:$AD$5,MATCH($E52,Lists!$AC$2:$AC$5,0)),NA()))</f>
        <v>147460.584</v>
      </c>
    </row>
    <row r="53" ht="14.25" customHeight="1" s="535">
      <c r="A53" s="1045" t="inlineStr">
        <is>
          <t>R0476</t>
        </is>
      </c>
      <c r="B53" s="929" t="str">
        <f>INDEX('REVIEW - Complete Role Mapping'!$B$2:$B$700,MATCH($A53,'REVIEW - Complete Role Mapping'!$AQ$2:$AQ$700,0))</f>
        <v>Karthick Sathiyamoorthy</v>
      </c>
      <c r="C53" s="929" t="str">
        <f>INDEX('REVIEW - Complete Role Mapping'!$D$2:$D$700,MATCH($A53,'REVIEW - Complete Role Mapping'!$AQ$2:$AQ$700,0))</f>
        <v>Quality Assurance</v>
      </c>
      <c r="D53" s="929" t="str">
        <f>INDEX('REVIEW - Complete Role Mapping'!$AF$2:$AF$700,MATCH($A53,'REVIEW - Complete Role Mapping'!$AQ$2:$AQ$700,0))</f>
        <v>Filled</v>
      </c>
      <c r="E53" s="543" t="inlineStr">
        <is>
          <t>Filled</t>
        </is>
      </c>
      <c r="F53" s="1031">
        <f>INDEX('REVIEW - Complete Role Mapping'!$AE$2:$AE$700,MATCH($A53,'REVIEW - Complete Role Mapping'!$AQ$2:$AQ$700,0))</f>
        <v>194028.9</v>
      </c>
      <c r="G53" s="1031">
        <f>$F53*IF(ISNUMBER(SEARCH("WIPRO",INDEX('REVIEW - Complete Role Mapping'!$R$2:$R$700,MATCH($A53,'REVIEW - Complete Role Mapping'!$AQ$2:$AQ$700,0)))),1,IFERROR(INDEX(Lists!$AD$2:$AD$5,MATCH($E53,Lists!$AC$2:$AC$5,0)),NA()))</f>
        <v>194028.9</v>
      </c>
    </row>
    <row r="54" ht="14.25" customHeight="1" s="535">
      <c r="A54" s="1045" t="inlineStr">
        <is>
          <t>R0500</t>
        </is>
      </c>
      <c r="B54" s="929" t="str">
        <f>INDEX('REVIEW - Complete Role Mapping'!$B$2:$B$700,MATCH($A54,'REVIEW - Complete Role Mapping'!$AQ$2:$AQ$700,0))</f>
        <v>Tabitha Raharadjo</v>
      </c>
      <c r="C54" s="929" t="str">
        <f>INDEX('REVIEW - Complete Role Mapping'!$D$2:$D$700,MATCH($A54,'REVIEW - Complete Role Mapping'!$AQ$2:$AQ$700,0))</f>
        <v>Project Coordinator</v>
      </c>
      <c r="D54" s="929" t="str">
        <f>INDEX('REVIEW - Complete Role Mapping'!$AF$2:$AF$700,MATCH($A54,'REVIEW - Complete Role Mapping'!$AQ$2:$AQ$700,0))</f>
        <v>Filled</v>
      </c>
      <c r="E54" s="543" t="inlineStr">
        <is>
          <t>Filled</t>
        </is>
      </c>
      <c r="F54" s="1031">
        <f>INDEX('REVIEW - Complete Role Mapping'!$AE$2:$AE$700,MATCH($A54,'REVIEW - Complete Role Mapping'!$AQ$2:$AQ$700,0))</f>
        <v>198937.068</v>
      </c>
      <c r="G54" s="1031">
        <f>$F54*IF(ISNUMBER(SEARCH("WIPRO",INDEX('REVIEW - Complete Role Mapping'!$R$2:$R$700,MATCH($A54,'REVIEW - Complete Role Mapping'!$AQ$2:$AQ$700,0)))),1,IFERROR(INDEX(Lists!$AD$2:$AD$5,MATCH($E54,Lists!$AC$2:$AC$5,0)),NA()))</f>
        <v>198937.068</v>
      </c>
    </row>
    <row r="55" ht="14.25" customHeight="1" s="535">
      <c r="B55" s="1029" t="inlineStr">
        <is>
          <t>Data AU</t>
        </is>
      </c>
      <c r="C55" s="1029" t="str">
        <f>COUNTIF($B$56:$B$61,"?*")&amp;IF(COUNTIF($B$56:$B$61,"?*")=1," role"," roles")</f>
        <v>6 roles</v>
      </c>
      <c r="D55" s="1029" t="n"/>
      <c r="E55" s="1029" t="n"/>
      <c r="F55" s="1044">
        <f>SUM(F56:F61)</f>
        <v>1212323.75</v>
      </c>
      <c r="G55" s="1044">
        <f>SUM(G56:G61)</f>
        <v>484929.5</v>
      </c>
    </row>
    <row r="56" ht="14.25" customHeight="1" s="535">
      <c r="A56" s="1045" t="inlineStr">
        <is>
          <t>R0235</t>
        </is>
      </c>
      <c r="B56" s="929" t="str">
        <f>INDEX('REVIEW - Complete Role Mapping'!$B$2:$B$700,MATCH($A56,'REVIEW - Complete Role Mapping'!$AQ$2:$AQ$700,0))</f>
        <v>Vacant</v>
      </c>
      <c r="C56" s="929" t="str">
        <f>INDEX('REVIEW - Complete Role Mapping'!$D$2:$D$700,MATCH($A56,'REVIEW - Complete Role Mapping'!$AQ$2:$AQ$700,0))</f>
        <v>Delivery Lead</v>
      </c>
      <c r="D56" s="929" t="str">
        <f>INDEX('REVIEW - Complete Role Mapping'!$AF$2:$AF$700,MATCH($A56,'REVIEW - Complete Role Mapping'!$AQ$2:$AQ$700,0))</f>
        <v>Vacant</v>
      </c>
      <c r="E56" s="543" t="inlineStr">
        <is>
          <t>Offshore</t>
        </is>
      </c>
      <c r="F56" s="1031">
        <f>INDEX('REVIEW - Complete Role Mapping'!$AE$2:$AE$700,MATCH($A56,'REVIEW - Complete Role Mapping'!$AQ$2:$AQ$700,0))</f>
        <v>202853.25</v>
      </c>
      <c r="G56" s="1031">
        <f>$F56*IF(ISNUMBER(SEARCH("WIPRO",INDEX('REVIEW - Complete Role Mapping'!$R$2:$R$700,MATCH($A56,'REVIEW - Complete Role Mapping'!$AQ$2:$AQ$700,0)))),1,IFERROR(INDEX(Lists!$AD$2:$AD$5,MATCH($E56,Lists!$AC$2:$AC$5,0)),NA()))</f>
        <v>81141.3</v>
      </c>
    </row>
    <row r="57" ht="14.25" customHeight="1" s="535">
      <c r="A57" s="1045" t="inlineStr">
        <is>
          <t>R0320</t>
        </is>
      </c>
      <c r="B57" s="929" t="str">
        <f>INDEX('REVIEW - Complete Role Mapping'!$B$2:$B$700,MATCH($A57,'REVIEW - Complete Role Mapping'!$AQ$2:$AQ$700,0))</f>
        <v>Vacant</v>
      </c>
      <c r="C57" s="929" t="str">
        <f>INDEX('REVIEW - Complete Role Mapping'!$D$2:$D$700,MATCH($A57,'REVIEW - Complete Role Mapping'!$AQ$2:$AQ$700,0))</f>
        <v>Data Analyst</v>
      </c>
      <c r="D57" s="929" t="str">
        <f>INDEX('REVIEW - Complete Role Mapping'!$AF$2:$AF$700,MATCH($A57,'REVIEW - Complete Role Mapping'!$AQ$2:$AQ$700,0))</f>
        <v>Vacant</v>
      </c>
      <c r="E57" s="543" t="inlineStr">
        <is>
          <t>Offshore</t>
        </is>
      </c>
      <c r="F57" s="1031">
        <f>INDEX('REVIEW - Complete Role Mapping'!$AE$2:$AE$700,MATCH($A57,'REVIEW - Complete Role Mapping'!$AQ$2:$AQ$700,0))</f>
        <v>201585</v>
      </c>
      <c r="G57" s="1031">
        <f>$F57*IF(ISNUMBER(SEARCH("WIPRO",INDEX('REVIEW - Complete Role Mapping'!$R$2:$R$700,MATCH($A57,'REVIEW - Complete Role Mapping'!$AQ$2:$AQ$700,0)))),1,IFERROR(INDEX(Lists!$AD$2:$AD$5,MATCH($E57,Lists!$AC$2:$AC$5,0)),NA()))</f>
        <v>80634</v>
      </c>
    </row>
    <row r="58" ht="14.25" customHeight="1" s="535">
      <c r="A58" s="1045" t="inlineStr">
        <is>
          <t>R0321</t>
        </is>
      </c>
      <c r="B58" s="929" t="str">
        <f>INDEX('REVIEW - Complete Role Mapping'!$B$2:$B$700,MATCH($A58,'REVIEW - Complete Role Mapping'!$AQ$2:$AQ$700,0))</f>
        <v>Vacant</v>
      </c>
      <c r="C58" s="929" t="str">
        <f>INDEX('REVIEW - Complete Role Mapping'!$D$2:$D$700,MATCH($A58,'REVIEW - Complete Role Mapping'!$AQ$2:$AQ$700,0))</f>
        <v>Data Analyst</v>
      </c>
      <c r="D58" s="929" t="str">
        <f>INDEX('REVIEW - Complete Role Mapping'!$AF$2:$AF$700,MATCH($A58,'REVIEW - Complete Role Mapping'!$AQ$2:$AQ$700,0))</f>
        <v>Vacant</v>
      </c>
      <c r="E58" s="543" t="inlineStr">
        <is>
          <t>Offshore</t>
        </is>
      </c>
      <c r="F58" s="1031">
        <f>INDEX('REVIEW - Complete Role Mapping'!$AE$2:$AE$700,MATCH($A58,'REVIEW - Complete Role Mapping'!$AQ$2:$AQ$700,0))</f>
        <v>231689.25</v>
      </c>
      <c r="G58" s="1031">
        <f>$F58*IF(ISNUMBER(SEARCH("WIPRO",INDEX('REVIEW - Complete Role Mapping'!$R$2:$R$700,MATCH($A58,'REVIEW - Complete Role Mapping'!$AQ$2:$AQ$700,0)))),1,IFERROR(INDEX(Lists!$AD$2:$AD$5,MATCH($E58,Lists!$AC$2:$AC$5,0)),NA()))</f>
        <v>92675.7</v>
      </c>
    </row>
    <row r="59" ht="14.25" customHeight="1" s="535">
      <c r="A59" s="1045" t="inlineStr">
        <is>
          <t>R0322</t>
        </is>
      </c>
      <c r="B59" s="929" t="str">
        <f>INDEX('REVIEW - Complete Role Mapping'!$B$2:$B$700,MATCH($A59,'REVIEW - Complete Role Mapping'!$AQ$2:$AQ$700,0))</f>
        <v>Vacant</v>
      </c>
      <c r="C59" s="929" t="str">
        <f>INDEX('REVIEW - Complete Role Mapping'!$D$2:$D$700,MATCH($A59,'REVIEW - Complete Role Mapping'!$AQ$2:$AQ$700,0))</f>
        <v>Engineer - Data</v>
      </c>
      <c r="D59" s="929" t="str">
        <f>INDEX('REVIEW - Complete Role Mapping'!$AF$2:$AF$700,MATCH($A59,'REVIEW - Complete Role Mapping'!$AQ$2:$AQ$700,0))</f>
        <v>Vacant</v>
      </c>
      <c r="E59" s="543" t="inlineStr">
        <is>
          <t>Offshore</t>
        </is>
      </c>
      <c r="F59" s="1031">
        <f>INDEX('REVIEW - Complete Role Mapping'!$AE$2:$AE$700,MATCH($A59,'REVIEW - Complete Role Mapping'!$AQ$2:$AQ$700,0))</f>
        <v>202853.25</v>
      </c>
      <c r="G59" s="1031">
        <f>$F59*IF(ISNUMBER(SEARCH("WIPRO",INDEX('REVIEW - Complete Role Mapping'!$R$2:$R$700,MATCH($A59,'REVIEW - Complete Role Mapping'!$AQ$2:$AQ$700,0)))),1,IFERROR(INDEX(Lists!$AD$2:$AD$5,MATCH($E59,Lists!$AC$2:$AC$5,0)),NA()))</f>
        <v>81141.3</v>
      </c>
    </row>
    <row r="60" ht="14.25" customHeight="1" s="535">
      <c r="A60" s="1045" t="inlineStr">
        <is>
          <t>R0323</t>
        </is>
      </c>
      <c r="B60" s="929" t="str">
        <f>INDEX('REVIEW - Complete Role Mapping'!$B$2:$B$700,MATCH($A60,'REVIEW - Complete Role Mapping'!$AQ$2:$AQ$700,0))</f>
        <v>Vacant</v>
      </c>
      <c r="C60" s="929" t="str">
        <f>INDEX('REVIEW - Complete Role Mapping'!$D$2:$D$700,MATCH($A60,'REVIEW - Complete Role Mapping'!$AQ$2:$AQ$700,0))</f>
        <v>Engineer - Data</v>
      </c>
      <c r="D60" s="929" t="str">
        <f>INDEX('REVIEW - Complete Role Mapping'!$AF$2:$AF$700,MATCH($A60,'REVIEW - Complete Role Mapping'!$AQ$2:$AQ$700,0))</f>
        <v>Vacant</v>
      </c>
      <c r="E60" s="543" t="inlineStr">
        <is>
          <t>Offshore</t>
        </is>
      </c>
      <c r="F60" s="1031">
        <f>INDEX('REVIEW - Complete Role Mapping'!$AE$2:$AE$700,MATCH($A60,'REVIEW - Complete Role Mapping'!$AQ$2:$AQ$700,0))</f>
        <v>202853.25</v>
      </c>
      <c r="G60" s="1031">
        <f>$F60*IF(ISNUMBER(SEARCH("WIPRO",INDEX('REVIEW - Complete Role Mapping'!$R$2:$R$700,MATCH($A60,'REVIEW - Complete Role Mapping'!$AQ$2:$AQ$700,0)))),1,IFERROR(INDEX(Lists!$AD$2:$AD$5,MATCH($E60,Lists!$AC$2:$AC$5,0)),NA()))</f>
        <v>81141.3</v>
      </c>
    </row>
    <row r="61" ht="14.25" customHeight="1" s="535">
      <c r="A61" s="1045" t="inlineStr">
        <is>
          <t>R0324</t>
        </is>
      </c>
      <c r="B61" s="929" t="str">
        <f>INDEX('REVIEW - Complete Role Mapping'!$B$2:$B$700,MATCH($A61,'REVIEW - Complete Role Mapping'!$AQ$2:$AQ$700,0))</f>
        <v>Vacant</v>
      </c>
      <c r="C61" s="929" t="str">
        <f>INDEX('REVIEW - Complete Role Mapping'!$D$2:$D$700,MATCH($A61,'REVIEW - Complete Role Mapping'!$AQ$2:$AQ$700,0))</f>
        <v>Engineer - Data</v>
      </c>
      <c r="D61" s="929" t="str">
        <f>INDEX('REVIEW - Complete Role Mapping'!$AF$2:$AF$700,MATCH($A61,'REVIEW - Complete Role Mapping'!$AQ$2:$AQ$700,0))</f>
        <v>Vacant</v>
      </c>
      <c r="E61" s="543" t="inlineStr">
        <is>
          <t>Offshore</t>
        </is>
      </c>
      <c r="F61" s="1031">
        <f>INDEX('REVIEW - Complete Role Mapping'!$AE$2:$AE$700,MATCH($A61,'REVIEW - Complete Role Mapping'!$AQ$2:$AQ$700,0))</f>
        <v>170489.75</v>
      </c>
      <c r="G61" s="1031">
        <f>$F61*IF(ISNUMBER(SEARCH("WIPRO",INDEX('REVIEW - Complete Role Mapping'!$R$2:$R$700,MATCH($A61,'REVIEW - Complete Role Mapping'!$AQ$2:$AQ$700,0)))),1,IFERROR(INDEX(Lists!$AD$2:$AD$5,MATCH($E61,Lists!$AC$2:$AC$5,0)),NA()))</f>
        <v>68195.9</v>
      </c>
    </row>
    <row r="62" ht="14.25" customHeight="1" s="535">
      <c r="B62" s="1029" t="inlineStr">
        <is>
          <t>Deployment</t>
        </is>
      </c>
      <c r="C62" s="1029" t="str">
        <f>COUNTIF($B$63:$B$67,"?*")&amp;IF(COUNTIF($B$63:$B$67,"?*")=1," role"," roles")</f>
        <v>5 roles</v>
      </c>
      <c r="D62" s="1029" t="n"/>
      <c r="E62" s="1029" t="n"/>
      <c r="F62" s="1044">
        <f>SUM(F63:F67)</f>
        <v>893835.732</v>
      </c>
      <c r="G62" s="1044">
        <f>SUM(G63:G67)</f>
        <v>893835.732</v>
      </c>
    </row>
    <row r="63" ht="14.25" customHeight="1" s="535">
      <c r="A63" s="1045" t="inlineStr">
        <is>
          <t>R0259</t>
        </is>
      </c>
      <c r="B63" s="929" t="str">
        <f>INDEX('REVIEW - Complete Role Mapping'!$B$2:$B$700,MATCH($A63,'REVIEW - Complete Role Mapping'!$AQ$2:$AQ$700,0))</f>
        <v>Matthew Patane</v>
      </c>
      <c r="C63" s="929" t="str">
        <f>INDEX('REVIEW - Complete Role Mapping'!$D$2:$D$700,MATCH($A63,'REVIEW - Complete Role Mapping'!$AQ$2:$AQ$700,0))</f>
        <v>Release &amp; Deployment Manager</v>
      </c>
      <c r="D63" s="929" t="str">
        <f>INDEX('REVIEW - Complete Role Mapping'!$AF$2:$AF$700,MATCH($A63,'REVIEW - Complete Role Mapping'!$AQ$2:$AQ$700,0))</f>
        <v>Filled</v>
      </c>
      <c r="E63" s="543" t="inlineStr">
        <is>
          <t>Filled</t>
        </is>
      </c>
      <c r="F63" s="1031">
        <f>INDEX('REVIEW - Complete Role Mapping'!$AE$2:$AE$700,MATCH($A63,'REVIEW - Complete Role Mapping'!$AQ$2:$AQ$700,0))</f>
        <v>136461.432</v>
      </c>
      <c r="G63" s="1031">
        <f>$F63*IF(ISNUMBER(SEARCH("WIPRO",INDEX('REVIEW - Complete Role Mapping'!$R$2:$R$700,MATCH($A63,'REVIEW - Complete Role Mapping'!$AQ$2:$AQ$700,0)))),1,IFERROR(INDEX(Lists!$AD$2:$AD$5,MATCH($E63,Lists!$AC$2:$AC$5,0)),NA()))</f>
        <v>136461.432</v>
      </c>
    </row>
    <row r="64" ht="14.25" customHeight="1" s="535">
      <c r="A64" s="1045" t="inlineStr">
        <is>
          <t>R0327</t>
        </is>
      </c>
      <c r="B64" s="929" t="str">
        <f>INDEX('REVIEW - Complete Role Mapping'!$B$2:$B$700,MATCH($A64,'REVIEW - Complete Role Mapping'!$AQ$2:$AQ$700,0))</f>
        <v>Aniket Banerji</v>
      </c>
      <c r="C64" s="929" t="str">
        <f>INDEX('REVIEW - Complete Role Mapping'!$D$2:$D$700,MATCH($A64,'REVIEW - Complete Role Mapping'!$AQ$2:$AQ$700,0))</f>
        <v>Deployment Lead</v>
      </c>
      <c r="D64" s="929" t="str">
        <f>INDEX('REVIEW - Complete Role Mapping'!$AF$2:$AF$700,MATCH($A64,'REVIEW - Complete Role Mapping'!$AQ$2:$AQ$700,0))</f>
        <v>Filled</v>
      </c>
      <c r="E64" s="543" t="inlineStr">
        <is>
          <t>Filled</t>
        </is>
      </c>
      <c r="F64" s="1031">
        <f>INDEX('REVIEW - Complete Role Mapping'!$AE$2:$AE$700,MATCH($A64,'REVIEW - Complete Role Mapping'!$AQ$2:$AQ$700,0))</f>
        <v>200250</v>
      </c>
      <c r="G64" s="1031">
        <f>$F64*IF(ISNUMBER(SEARCH("WIPRO",INDEX('REVIEW - Complete Role Mapping'!$R$2:$R$700,MATCH($A64,'REVIEW - Complete Role Mapping'!$AQ$2:$AQ$700,0)))),1,IFERROR(INDEX(Lists!$AD$2:$AD$5,MATCH($E64,Lists!$AC$2:$AC$5,0)),NA()))</f>
        <v>200250</v>
      </c>
    </row>
    <row r="65" ht="14.25" customHeight="1" s="535">
      <c r="A65" s="1045" t="inlineStr">
        <is>
          <t>R0328</t>
        </is>
      </c>
      <c r="B65" s="929" t="str">
        <f>INDEX('REVIEW - Complete Role Mapping'!$B$2:$B$700,MATCH($A65,'REVIEW - Complete Role Mapping'!$AQ$2:$AQ$700,0))</f>
        <v>Deepak Kubendran</v>
      </c>
      <c r="C65" s="929" t="str">
        <f>INDEX('REVIEW - Complete Role Mapping'!$D$2:$D$700,MATCH($A65,'REVIEW - Complete Role Mapping'!$AQ$2:$AQ$700,0))</f>
        <v>Project Manager – Deployments</v>
      </c>
      <c r="D65" s="929" t="str">
        <f>INDEX('REVIEW - Complete Role Mapping'!$AF$2:$AF$700,MATCH($A65,'REVIEW - Complete Role Mapping'!$AQ$2:$AQ$700,0))</f>
        <v>Filled</v>
      </c>
      <c r="E65" s="543" t="inlineStr">
        <is>
          <t>Filled</t>
        </is>
      </c>
      <c r="F65" s="1031">
        <f>INDEX('REVIEW - Complete Role Mapping'!$AE$2:$AE$700,MATCH($A65,'REVIEW - Complete Role Mapping'!$AQ$2:$AQ$700,0))</f>
        <v>205483.2</v>
      </c>
      <c r="G65" s="1031">
        <f>$F65*IF(ISNUMBER(SEARCH("WIPRO",INDEX('REVIEW - Complete Role Mapping'!$R$2:$R$700,MATCH($A65,'REVIEW - Complete Role Mapping'!$AQ$2:$AQ$700,0)))),1,IFERROR(INDEX(Lists!$AD$2:$AD$5,MATCH($E65,Lists!$AC$2:$AC$5,0)),NA()))</f>
        <v>205483.2</v>
      </c>
    </row>
    <row r="66" ht="14.25" customHeight="1" s="535">
      <c r="A66" s="1045" t="inlineStr">
        <is>
          <t>R0400</t>
        </is>
      </c>
      <c r="B66" s="929" t="str">
        <f>INDEX('REVIEW - Complete Role Mapping'!$B$2:$B$700,MATCH($A66,'REVIEW - Complete Role Mapping'!$AQ$2:$AQ$700,0))</f>
        <v>Anthony Dumbrell</v>
      </c>
      <c r="C66" s="929" t="str">
        <f>INDEX('REVIEW - Complete Role Mapping'!$D$2:$D$700,MATCH($A66,'REVIEW - Complete Role Mapping'!$AQ$2:$AQ$700,0))</f>
        <v>Technology &amp; Lab Specialist Stores</v>
      </c>
      <c r="D66" s="929" t="str">
        <f>INDEX('REVIEW - Complete Role Mapping'!$AF$2:$AF$700,MATCH($A66,'REVIEW - Complete Role Mapping'!$AQ$2:$AQ$700,0))</f>
        <v>Filled</v>
      </c>
      <c r="E66" s="543" t="inlineStr">
        <is>
          <t>Filled</t>
        </is>
      </c>
      <c r="F66" s="1031">
        <f>INDEX('REVIEW - Complete Role Mapping'!$AE$2:$AE$700,MATCH($A66,'REVIEW - Complete Role Mapping'!$AQ$2:$AQ$700,0))</f>
        <v>206070.6</v>
      </c>
      <c r="G66" s="1031">
        <f>$F66*IF(ISNUMBER(SEARCH("WIPRO",INDEX('REVIEW - Complete Role Mapping'!$R$2:$R$700,MATCH($A66,'REVIEW - Complete Role Mapping'!$AQ$2:$AQ$700,0)))),1,IFERROR(INDEX(Lists!$AD$2:$AD$5,MATCH($E66,Lists!$AC$2:$AC$5,0)),NA()))</f>
        <v>206070.6</v>
      </c>
    </row>
    <row r="67" ht="14.25" customHeight="1" s="535">
      <c r="A67" s="1045" t="inlineStr">
        <is>
          <t>R0497</t>
        </is>
      </c>
      <c r="B67" s="929" t="str">
        <f>INDEX('REVIEW - Complete Role Mapping'!$B$2:$B$700,MATCH($A67,'REVIEW - Complete Role Mapping'!$AQ$2:$AQ$700,0))</f>
        <v>Violeta Trajkovski</v>
      </c>
      <c r="C67" s="929" t="str">
        <f>INDEX('REVIEW - Complete Role Mapping'!$D$2:$D$700,MATCH($A67,'REVIEW - Complete Role Mapping'!$AQ$2:$AQ$700,0))</f>
        <v>Deployment Coordinator</v>
      </c>
      <c r="D67" s="929" t="str">
        <f>INDEX('REVIEW - Complete Role Mapping'!$AF$2:$AF$700,MATCH($A67,'REVIEW - Complete Role Mapping'!$AQ$2:$AQ$700,0))</f>
        <v>Filled</v>
      </c>
      <c r="E67" s="543" t="inlineStr">
        <is>
          <t>Filled</t>
        </is>
      </c>
      <c r="F67" s="1031">
        <f>INDEX('REVIEW - Complete Role Mapping'!$AE$2:$AE$700,MATCH($A67,'REVIEW - Complete Role Mapping'!$AQ$2:$AQ$700,0))</f>
        <v>145570.5</v>
      </c>
      <c r="G67" s="1031">
        <f>$F67*IF(ISNUMBER(SEARCH("WIPRO",INDEX('REVIEW - Complete Role Mapping'!$R$2:$R$700,MATCH($A67,'REVIEW - Complete Role Mapping'!$AQ$2:$AQ$700,0)))),1,IFERROR(INDEX(Lists!$AD$2:$AD$5,MATCH($E67,Lists!$AC$2:$AC$5,0)),NA()))</f>
        <v>145570.5</v>
      </c>
    </row>
    <row r="68" ht="14.25" customHeight="1" s="535">
      <c r="B68" s="1029" t="inlineStr">
        <is>
          <t>EGI Retail</t>
        </is>
      </c>
      <c r="C68" s="1029" t="str">
        <f>COUNTIF($B$69:$B$74,"?*")&amp;IF(COUNTIF($B$69:$B$74,"?*")=1," role"," roles")</f>
        <v>6 roles</v>
      </c>
      <c r="D68" s="1029" t="n"/>
      <c r="E68" s="1029" t="n"/>
      <c r="F68" s="1044">
        <f>SUM(F69:F74)</f>
        <v>1182235.5812</v>
      </c>
      <c r="G68" s="1044">
        <f>SUM(G69:G74)</f>
        <v>1182235.5812</v>
      </c>
    </row>
    <row r="69" ht="14.25" customHeight="1" s="535">
      <c r="A69" s="1045" t="inlineStr">
        <is>
          <t>R0040</t>
        </is>
      </c>
      <c r="B69" s="929" t="str">
        <f>INDEX('REVIEW - Complete Role Mapping'!$B$2:$B$700,MATCH($A69,'REVIEW - Complete Role Mapping'!$AQ$2:$AQ$700,0))</f>
        <v>Alex Prakhiy</v>
      </c>
      <c r="C69" s="929" t="str">
        <f>INDEX('REVIEW - Complete Role Mapping'!$D$2:$D$700,MATCH($A69,'REVIEW - Complete Role Mapping'!$AQ$2:$AQ$700,0))</f>
        <v>Business Analyst</v>
      </c>
      <c r="D69" s="929" t="str">
        <f>INDEX('REVIEW - Complete Role Mapping'!$AF$2:$AF$700,MATCH($A69,'REVIEW - Complete Role Mapping'!$AQ$2:$AQ$700,0))</f>
        <v>Filled</v>
      </c>
      <c r="E69" s="543" t="inlineStr">
        <is>
          <t>Filled</t>
        </is>
      </c>
      <c r="F69" s="1031">
        <f>INDEX('REVIEW - Complete Role Mapping'!$AE$2:$AE$700,MATCH($A69,'REVIEW - Complete Role Mapping'!$AQ$2:$AQ$700,0))</f>
        <v>222000</v>
      </c>
      <c r="G69" s="1031">
        <f>$F69*IF(ISNUMBER(SEARCH("WIPRO",INDEX('REVIEW - Complete Role Mapping'!$R$2:$R$700,MATCH($A69,'REVIEW - Complete Role Mapping'!$AQ$2:$AQ$700,0)))),1,IFERROR(INDEX(Lists!$AD$2:$AD$5,MATCH($E69,Lists!$AC$2:$AC$5,0)),NA()))</f>
        <v>222000</v>
      </c>
    </row>
    <row r="70" ht="14.25" customHeight="1" s="535">
      <c r="A70" s="1045" t="inlineStr">
        <is>
          <t>R0164</t>
        </is>
      </c>
      <c r="B70" s="929" t="str">
        <f>INDEX('REVIEW - Complete Role Mapping'!$B$2:$B$700,MATCH($A70,'REVIEW - Complete Role Mapping'!$AQ$2:$AQ$700,0))</f>
        <v>Sjoerd Van Sluijs</v>
      </c>
      <c r="C70" s="929" t="str">
        <f>INDEX('REVIEW - Complete Role Mapping'!$D$2:$D$700,MATCH($A70,'REVIEW - Complete Role Mapping'!$AQ$2:$AQ$700,0))</f>
        <v>Senior PM PEP1, PEP18</v>
      </c>
      <c r="D70" s="929" t="str">
        <f>INDEX('REVIEW - Complete Role Mapping'!$AF$2:$AF$700,MATCH($A70,'REVIEW - Complete Role Mapping'!$AQ$2:$AQ$700,0))</f>
        <v>Filled</v>
      </c>
      <c r="E70" s="543" t="inlineStr">
        <is>
          <t>Filled</t>
        </is>
      </c>
      <c r="F70" s="1031">
        <f>INDEX('REVIEW - Complete Role Mapping'!$AE$2:$AE$700,MATCH($A70,'REVIEW - Complete Role Mapping'!$AQ$2:$AQ$700,0))</f>
        <v>155538.2</v>
      </c>
      <c r="G70" s="1031">
        <f>$F70*IF(ISNUMBER(SEARCH("WIPRO",INDEX('REVIEW - Complete Role Mapping'!$R$2:$R$700,MATCH($A70,'REVIEW - Complete Role Mapping'!$AQ$2:$AQ$700,0)))),1,IFERROR(INDEX(Lists!$AD$2:$AD$5,MATCH($E70,Lists!$AC$2:$AC$5,0)),NA()))</f>
        <v>155538.2</v>
      </c>
    </row>
    <row r="71" ht="14.25" customHeight="1" s="535">
      <c r="A71" s="1045" t="inlineStr">
        <is>
          <t>R0231</t>
        </is>
      </c>
      <c r="B71" s="929" t="str">
        <f>INDEX('REVIEW - Complete Role Mapping'!$B$2:$B$700,MATCH($A71,'REVIEW - Complete Role Mapping'!$AQ$2:$AQ$700,0))</f>
        <v>Anne Pretorius</v>
      </c>
      <c r="C71" s="929" t="str">
        <f>INDEX('REVIEW - Complete Role Mapping'!$D$2:$D$700,MATCH($A71,'REVIEW - Complete Role Mapping'!$AQ$2:$AQ$700,0))</f>
        <v>Lead Business Analyst</v>
      </c>
      <c r="D71" s="929" t="str">
        <f>INDEX('REVIEW - Complete Role Mapping'!$AF$2:$AF$700,MATCH($A71,'REVIEW - Complete Role Mapping'!$AQ$2:$AQ$700,0))</f>
        <v>Filled</v>
      </c>
      <c r="E71" s="543" t="inlineStr">
        <is>
          <t>Filled</t>
        </is>
      </c>
      <c r="F71" s="1031">
        <f>INDEX('REVIEW - Complete Role Mapping'!$AE$2:$AE$700,MATCH($A71,'REVIEW - Complete Role Mapping'!$AQ$2:$AQ$700,0))</f>
        <v>156488.1312</v>
      </c>
      <c r="G71" s="1031">
        <f>$F71*IF(ISNUMBER(SEARCH("WIPRO",INDEX('REVIEW - Complete Role Mapping'!$R$2:$R$700,MATCH($A71,'REVIEW - Complete Role Mapping'!$AQ$2:$AQ$700,0)))),1,IFERROR(INDEX(Lists!$AD$2:$AD$5,MATCH($E71,Lists!$AC$2:$AC$5,0)),NA()))</f>
        <v>156488.1312</v>
      </c>
    </row>
    <row r="72" ht="14.25" customHeight="1" s="535">
      <c r="A72" s="1045" t="inlineStr">
        <is>
          <t>R0260</t>
        </is>
      </c>
      <c r="B72" s="929" t="str">
        <f>INDEX('REVIEW - Complete Role Mapping'!$B$2:$B$700,MATCH($A72,'REVIEW - Complete Role Mapping'!$AQ$2:$AQ$700,0))</f>
        <v>Navneet Singh</v>
      </c>
      <c r="C72" s="929" t="str">
        <f>INDEX('REVIEW - Complete Role Mapping'!$D$2:$D$700,MATCH($A72,'REVIEW - Complete Role Mapping'!$AQ$2:$AQ$700,0))</f>
        <v>Solution Architect</v>
      </c>
      <c r="D72" s="929" t="str">
        <f>INDEX('REVIEW - Complete Role Mapping'!$AF$2:$AF$700,MATCH($A72,'REVIEW - Complete Role Mapping'!$AQ$2:$AQ$700,0))</f>
        <v>Filled</v>
      </c>
      <c r="E72" s="543" t="inlineStr">
        <is>
          <t>Filled</t>
        </is>
      </c>
      <c r="F72" s="1031">
        <f>INDEX('REVIEW - Complete Role Mapping'!$AE$2:$AE$700,MATCH($A72,'REVIEW - Complete Role Mapping'!$AQ$2:$AQ$700,0))</f>
        <v>133500</v>
      </c>
      <c r="G72" s="1031">
        <f>$F72*IF(ISNUMBER(SEARCH("WIPRO",INDEX('REVIEW - Complete Role Mapping'!$R$2:$R$700,MATCH($A72,'REVIEW - Complete Role Mapping'!$AQ$2:$AQ$700,0)))),1,IFERROR(INDEX(Lists!$AD$2:$AD$5,MATCH($E72,Lists!$AC$2:$AC$5,0)),NA()))</f>
        <v>133500</v>
      </c>
    </row>
    <row r="73" ht="14.25" customHeight="1" s="535">
      <c r="A73" s="1045" t="inlineStr">
        <is>
          <t>R0261</t>
        </is>
      </c>
      <c r="B73" s="929" t="str">
        <f>INDEX('REVIEW - Complete Role Mapping'!$B$2:$B$700,MATCH($A73,'REVIEW - Complete Role Mapping'!$AQ$2:$AQ$700,0))</f>
        <v>Sendhil Vinayagam (75% EGI)</v>
      </c>
      <c r="C73" s="929" t="str">
        <f>INDEX('REVIEW - Complete Role Mapping'!$D$2:$D$700,MATCH($A73,'REVIEW - Complete Role Mapping'!$AQ$2:$AQ$700,0))</f>
        <v>Solution Architect</v>
      </c>
      <c r="D73" s="929" t="str">
        <f>INDEX('REVIEW - Complete Role Mapping'!$AF$2:$AF$700,MATCH($A73,'REVIEW - Complete Role Mapping'!$AQ$2:$AQ$700,0))</f>
        <v>Filled</v>
      </c>
      <c r="E73" s="543" t="inlineStr">
        <is>
          <t>Filled</t>
        </is>
      </c>
      <c r="F73" s="1031">
        <f>INDEX('REVIEW - Complete Role Mapping'!$AE$2:$AE$700,MATCH($A73,'REVIEW - Complete Role Mapping'!$AQ$2:$AQ$700,0))</f>
        <v>267547.35</v>
      </c>
      <c r="G73" s="1031">
        <f>$F73*IF(ISNUMBER(SEARCH("WIPRO",INDEX('REVIEW - Complete Role Mapping'!$R$2:$R$700,MATCH($A73,'REVIEW - Complete Role Mapping'!$AQ$2:$AQ$700,0)))),1,IFERROR(INDEX(Lists!$AD$2:$AD$5,MATCH($E73,Lists!$AC$2:$AC$5,0)),NA()))</f>
        <v>267547.35</v>
      </c>
    </row>
    <row r="74" ht="14.25" customHeight="1" s="535">
      <c r="A74" s="1045" t="inlineStr">
        <is>
          <t>R0402</t>
        </is>
      </c>
      <c r="B74" s="929" t="str">
        <f>INDEX('REVIEW - Complete Role Mapping'!$B$2:$B$700,MATCH($A74,'REVIEW - Complete Role Mapping'!$AQ$2:$AQ$700,0))</f>
        <v>Marty O'Shea</v>
      </c>
      <c r="C74" s="929" t="str">
        <f>INDEX('REVIEW - Complete Role Mapping'!$D$2:$D$700,MATCH($A74,'REVIEW - Complete Role Mapping'!$AQ$2:$AQ$700,0))</f>
        <v>Systems Analyst</v>
      </c>
      <c r="D74" s="929" t="str">
        <f>INDEX('REVIEW - Complete Role Mapping'!$AF$2:$AF$700,MATCH($A74,'REVIEW - Complete Role Mapping'!$AQ$2:$AQ$700,0))</f>
        <v>Filled</v>
      </c>
      <c r="E74" s="543" t="inlineStr">
        <is>
          <t>Filled</t>
        </is>
      </c>
      <c r="F74" s="1031">
        <f>INDEX('REVIEW - Complete Role Mapping'!$AE$2:$AE$700,MATCH($A74,'REVIEW - Complete Role Mapping'!$AQ$2:$AQ$700,0))</f>
        <v>247161.9</v>
      </c>
      <c r="G74" s="1031">
        <f>$F74*IF(ISNUMBER(SEARCH("WIPRO",INDEX('REVIEW - Complete Role Mapping'!$R$2:$R$700,MATCH($A74,'REVIEW - Complete Role Mapping'!$AQ$2:$AQ$700,0)))),1,IFERROR(INDEX(Lists!$AD$2:$AD$5,MATCH($E74,Lists!$AC$2:$AC$5,0)),NA()))</f>
        <v>247161.9</v>
      </c>
    </row>
    <row r="75" ht="14.25" customHeight="1" s="535">
      <c r="B75" s="1029" t="inlineStr">
        <is>
          <t>Network &amp; QSR</t>
        </is>
      </c>
      <c r="C75" s="1029" t="str">
        <f>COUNTIF($B$76:$B$81,"?*")&amp;IF(COUNTIF($B$76:$B$81,"?*")=1," role"," roles")</f>
        <v>6 roles</v>
      </c>
      <c r="D75" s="1029" t="n"/>
      <c r="E75" s="1029" t="n"/>
      <c r="F75" s="1044">
        <f>SUM(F76:F81)</f>
        <v>1114031.1</v>
      </c>
      <c r="G75" s="1044">
        <f>SUM(G76:G81)</f>
        <v>1114031.1</v>
      </c>
    </row>
    <row r="76" ht="14.25" customHeight="1" s="535">
      <c r="A76" s="1045" t="inlineStr">
        <is>
          <t>R0396</t>
        </is>
      </c>
      <c r="B76" s="929" t="str">
        <f>INDEX('REVIEW - Complete Role Mapping'!$B$2:$B$700,MATCH($A76,'REVIEW - Complete Role Mapping'!$AQ$2:$AQ$700,0))</f>
        <v>Vacant</v>
      </c>
      <c r="C76" s="929" t="str">
        <f>INDEX('REVIEW - Complete Role Mapping'!$D$2:$D$700,MATCH($A76,'REVIEW - Complete Role Mapping'!$AQ$2:$AQ$700,0))</f>
        <v>Business Analyst</v>
      </c>
      <c r="D76" s="929" t="str">
        <f>INDEX('REVIEW - Complete Role Mapping'!$AF$2:$AF$700,MATCH($A76,'REVIEW - Complete Role Mapping'!$AQ$2:$AQ$700,0))</f>
        <v>Vacant</v>
      </c>
      <c r="E76" s="543" t="inlineStr">
        <is>
          <t>Hire</t>
        </is>
      </c>
      <c r="F76" s="1031">
        <f>INDEX('REVIEW - Complete Role Mapping'!$AE$2:$AE$700,MATCH($A76,'REVIEW - Complete Role Mapping'!$AQ$2:$AQ$700,0))</f>
        <v>202853.25</v>
      </c>
      <c r="G76" s="1031">
        <f>$F76*IF(ISNUMBER(SEARCH("WIPRO",INDEX('REVIEW - Complete Role Mapping'!$R$2:$R$700,MATCH($A76,'REVIEW - Complete Role Mapping'!$AQ$2:$AQ$700,0)))),1,IFERROR(INDEX(Lists!$AD$2:$AD$5,MATCH($E76,Lists!$AC$2:$AC$5,0)),NA()))</f>
        <v>202853.25</v>
      </c>
    </row>
    <row r="77" ht="14.25" customHeight="1" s="535">
      <c r="A77" s="1045" t="inlineStr">
        <is>
          <t>R0398</t>
        </is>
      </c>
      <c r="B77" s="929" t="str">
        <f>INDEX('REVIEW - Complete Role Mapping'!$B$2:$B$700,MATCH($A77,'REVIEW - Complete Role Mapping'!$AQ$2:$AQ$700,0))</f>
        <v>Vanessa Trujillo Munoz</v>
      </c>
      <c r="C77" s="929" t="str">
        <f>INDEX('REVIEW - Complete Role Mapping'!$D$2:$D$700,MATCH($A77,'REVIEW - Complete Role Mapping'!$AQ$2:$AQ$700,0))</f>
        <v>Delivery Lead</v>
      </c>
      <c r="D77" s="929" t="str">
        <f>INDEX('REVIEW - Complete Role Mapping'!$AF$2:$AF$700,MATCH($A77,'REVIEW - Complete Role Mapping'!$AQ$2:$AQ$700,0))</f>
        <v>Filled</v>
      </c>
      <c r="E77" s="543" t="inlineStr">
        <is>
          <t>Filled</t>
        </is>
      </c>
      <c r="F77" s="1031">
        <f>INDEX('REVIEW - Complete Role Mapping'!$AE$2:$AE$700,MATCH($A77,'REVIEW - Complete Role Mapping'!$AQ$2:$AQ$700,0))</f>
        <v>182454.45</v>
      </c>
      <c r="G77" s="1031">
        <f>$F77*IF(ISNUMBER(SEARCH("WIPRO",INDEX('REVIEW - Complete Role Mapping'!$R$2:$R$700,MATCH($A77,'REVIEW - Complete Role Mapping'!$AQ$2:$AQ$700,0)))),1,IFERROR(INDEX(Lists!$AD$2:$AD$5,MATCH($E77,Lists!$AC$2:$AC$5,0)),NA()))</f>
        <v>182454.45</v>
      </c>
    </row>
    <row r="78" ht="14.25" customHeight="1" s="535">
      <c r="A78" s="1045" t="inlineStr">
        <is>
          <t>R0401</t>
        </is>
      </c>
      <c r="B78" s="929" t="str">
        <f>INDEX('REVIEW - Complete Role Mapping'!$B$2:$B$700,MATCH($A78,'REVIEW - Complete Role Mapping'!$AQ$2:$AQ$700,0))</f>
        <v>Javier Aguirre Castellanos</v>
      </c>
      <c r="C78" s="929" t="str">
        <f>INDEX('REVIEW - Complete Role Mapping'!$D$2:$D$700,MATCH($A78,'REVIEW - Complete Role Mapping'!$AQ$2:$AQ$700,0))</f>
        <v>Solution Architect</v>
      </c>
      <c r="D78" s="929" t="str">
        <f>INDEX('REVIEW - Complete Role Mapping'!$AF$2:$AF$700,MATCH($A78,'REVIEW - Complete Role Mapping'!$AQ$2:$AQ$700,0))</f>
        <v>Filled</v>
      </c>
      <c r="E78" s="543" t="inlineStr">
        <is>
          <t>Filled</t>
        </is>
      </c>
      <c r="F78" s="1031">
        <f>INDEX('REVIEW - Complete Role Mapping'!$AE$2:$AE$700,MATCH($A78,'REVIEW - Complete Role Mapping'!$AQ$2:$AQ$700,0))</f>
        <v>133044</v>
      </c>
      <c r="G78" s="1031">
        <f>$F78*IF(ISNUMBER(SEARCH("WIPRO",INDEX('REVIEW - Complete Role Mapping'!$R$2:$R$700,MATCH($A78,'REVIEW - Complete Role Mapping'!$AQ$2:$AQ$700,0)))),1,IFERROR(INDEX(Lists!$AD$2:$AD$5,MATCH($E78,Lists!$AC$2:$AC$5,0)),NA()))</f>
        <v>133044</v>
      </c>
    </row>
    <row r="79" ht="14.25" customHeight="1" s="535">
      <c r="A79" s="1045" t="inlineStr">
        <is>
          <t>R0487</t>
        </is>
      </c>
      <c r="B79" s="929" t="str">
        <f>INDEX('REVIEW - Complete Role Mapping'!$B$2:$B$700,MATCH($A79,'REVIEW - Complete Role Mapping'!$AQ$2:$AQ$700,0))</f>
        <v>Adrian Lueng</v>
      </c>
      <c r="C79" s="929" t="str">
        <f>INDEX('REVIEW - Complete Role Mapping'!$D$2:$D$700,MATCH($A79,'REVIEW - Complete Role Mapping'!$AQ$2:$AQ$700,0))</f>
        <v>Quality Assurance</v>
      </c>
      <c r="D79" s="929" t="str">
        <f>INDEX('REVIEW - Complete Role Mapping'!$AF$2:$AF$700,MATCH($A79,'REVIEW - Complete Role Mapping'!$AQ$2:$AQ$700,0))</f>
        <v>Filled</v>
      </c>
      <c r="E79" s="543" t="inlineStr">
        <is>
          <t>Filled</t>
        </is>
      </c>
      <c r="F79" s="1031">
        <f>INDEX('REVIEW - Complete Role Mapping'!$AE$2:$AE$700,MATCH($A79,'REVIEW - Complete Role Mapping'!$AQ$2:$AQ$700,0))</f>
        <v>157839.45</v>
      </c>
      <c r="G79" s="1031">
        <f>$F79*IF(ISNUMBER(SEARCH("WIPRO",INDEX('REVIEW - Complete Role Mapping'!$R$2:$R$700,MATCH($A79,'REVIEW - Complete Role Mapping'!$AQ$2:$AQ$700,0)))),1,IFERROR(INDEX(Lists!$AD$2:$AD$5,MATCH($E79,Lists!$AC$2:$AC$5,0)),NA()))</f>
        <v>157839.45</v>
      </c>
    </row>
    <row r="80" ht="14.25" customHeight="1" s="535">
      <c r="A80" s="1045" t="inlineStr">
        <is>
          <t>R0488</t>
        </is>
      </c>
      <c r="B80" s="929" t="str">
        <f>INDEX('REVIEW - Complete Role Mapping'!$B$2:$B$700,MATCH($A80,'REVIEW - Complete Role Mapping'!$AQ$2:$AQ$700,0))</f>
        <v>Santiago Hernandez Arevalo</v>
      </c>
      <c r="C80" s="929" t="str">
        <f>INDEX('REVIEW - Complete Role Mapping'!$D$2:$D$700,MATCH($A80,'REVIEW - Complete Role Mapping'!$AQ$2:$AQ$700,0))</f>
        <v>Systems Analyst</v>
      </c>
      <c r="D80" s="929" t="str">
        <f>INDEX('REVIEW - Complete Role Mapping'!$AF$2:$AF$700,MATCH($A80,'REVIEW - Complete Role Mapping'!$AQ$2:$AQ$700,0))</f>
        <v>Filled</v>
      </c>
      <c r="E80" s="543" t="inlineStr">
        <is>
          <t>Filled</t>
        </is>
      </c>
      <c r="F80" s="1031">
        <f>INDEX('REVIEW - Complete Role Mapping'!$AE$2:$AE$700,MATCH($A80,'REVIEW - Complete Role Mapping'!$AQ$2:$AQ$700,0))</f>
        <v>206150.7</v>
      </c>
      <c r="G80" s="1031">
        <f>$F80*IF(ISNUMBER(SEARCH("WIPRO",INDEX('REVIEW - Complete Role Mapping'!$R$2:$R$700,MATCH($A80,'REVIEW - Complete Role Mapping'!$AQ$2:$AQ$700,0)))),1,IFERROR(INDEX(Lists!$AD$2:$AD$5,MATCH($E80,Lists!$AC$2:$AC$5,0)),NA()))</f>
        <v>206150.7</v>
      </c>
    </row>
    <row r="81" ht="14.25" customHeight="1" s="535">
      <c r="A81" s="1045" t="inlineStr">
        <is>
          <t>R0489</t>
        </is>
      </c>
      <c r="B81" s="929" t="str">
        <f>INDEX('REVIEW - Complete Role Mapping'!$B$2:$B$700,MATCH($A81,'REVIEW - Complete Role Mapping'!$AQ$2:$AQ$700,0))</f>
        <v>Vacant</v>
      </c>
      <c r="C81" s="929" t="str">
        <f>INDEX('REVIEW - Complete Role Mapping'!$D$2:$D$700,MATCH($A81,'REVIEW - Complete Role Mapping'!$AQ$2:$AQ$700,0))</f>
        <v>Systems Analyst</v>
      </c>
      <c r="D81" s="929" t="str">
        <f>INDEX('REVIEW - Complete Role Mapping'!$AF$2:$AF$700,MATCH($A81,'REVIEW - Complete Role Mapping'!$AQ$2:$AQ$700,0))</f>
        <v>Vacant</v>
      </c>
      <c r="E81" s="543" t="inlineStr">
        <is>
          <t>Hire</t>
        </is>
      </c>
      <c r="F81" s="1031">
        <f>INDEX('REVIEW - Complete Role Mapping'!$AE$2:$AE$700,MATCH($A81,'REVIEW - Complete Role Mapping'!$AQ$2:$AQ$700,0))</f>
        <v>231689.25</v>
      </c>
      <c r="G81" s="1031">
        <f>$F81*IF(ISNUMBER(SEARCH("WIPRO",INDEX('REVIEW - Complete Role Mapping'!$R$2:$R$700,MATCH($A81,'REVIEW - Complete Role Mapping'!$AQ$2:$AQ$700,0)))),1,IFERROR(INDEX(Lists!$AD$2:$AD$5,MATCH($E81,Lists!$AC$2:$AC$5,0)),NA()))</f>
        <v>231689.25</v>
      </c>
    </row>
    <row r="82" ht="14.25" customHeight="1" s="535">
      <c r="B82" s="1029" t="inlineStr">
        <is>
          <t>POS</t>
        </is>
      </c>
      <c r="C82" s="1029" t="str">
        <f>COUNTIF($B$83:$B$90,"?*")&amp;IF(COUNTIF($B$83:$B$90,"?*")=1," role"," roles")</f>
        <v>8 roles</v>
      </c>
      <c r="D82" s="1029" t="n"/>
      <c r="E82" s="1029" t="n"/>
      <c r="F82" s="1044">
        <f>SUM(F83:F90)</f>
        <v>1576223.685</v>
      </c>
      <c r="G82" s="1044">
        <f>SUM(G83:G90)</f>
        <v>989198.535</v>
      </c>
    </row>
    <row r="83" ht="14.25" customHeight="1" s="535">
      <c r="A83" s="1045" t="inlineStr">
        <is>
          <t>R0255</t>
        </is>
      </c>
      <c r="B83" s="929" t="str">
        <f>INDEX('REVIEW - Complete Role Mapping'!$B$2:$B$700,MATCH($A83,'REVIEW - Complete Role Mapping'!$AQ$2:$AQ$700,0))</f>
        <v>Vacant</v>
      </c>
      <c r="C83" s="929" t="str">
        <f>INDEX('REVIEW - Complete Role Mapping'!$D$2:$D$700,MATCH($A83,'REVIEW - Complete Role Mapping'!$AQ$2:$AQ$700,0))</f>
        <v>Lead Quality Assurance</v>
      </c>
      <c r="D83" s="929" t="str">
        <f>INDEX('REVIEW - Complete Role Mapping'!$AF$2:$AF$700,MATCH($A83,'REVIEW - Complete Role Mapping'!$AQ$2:$AQ$700,0))</f>
        <v>Vacant</v>
      </c>
      <c r="E83" s="543" t="inlineStr">
        <is>
          <t>Hire</t>
        </is>
      </c>
      <c r="F83" s="1031">
        <f>INDEX('REVIEW - Complete Role Mapping'!$AE$2:$AE$700,MATCH($A83,'REVIEW - Complete Role Mapping'!$AQ$2:$AQ$700,0))</f>
        <v>224493.6</v>
      </c>
      <c r="G83" s="1031">
        <f>$F83*IF(ISNUMBER(SEARCH("WIPRO",INDEX('REVIEW - Complete Role Mapping'!$R$2:$R$700,MATCH($A83,'REVIEW - Complete Role Mapping'!$AQ$2:$AQ$700,0)))),1,IFERROR(INDEX(Lists!$AD$2:$AD$5,MATCH($E83,Lists!$AC$2:$AC$5,0)),NA()))</f>
        <v>224493.6</v>
      </c>
    </row>
    <row r="84" ht="14.25" customHeight="1" s="535">
      <c r="A84" s="1045" t="inlineStr">
        <is>
          <t>R0381</t>
        </is>
      </c>
      <c r="B84" s="929" t="str">
        <f>INDEX('REVIEW - Complete Role Mapping'!$B$2:$B$700,MATCH($A84,'REVIEW - Complete Role Mapping'!$AQ$2:$AQ$700,0))</f>
        <v>Vacant</v>
      </c>
      <c r="C84" s="929" t="str">
        <f>INDEX('REVIEW - Complete Role Mapping'!$D$2:$D$700,MATCH($A84,'REVIEW - Complete Role Mapping'!$AQ$2:$AQ$700,0))</f>
        <v>Release &amp; Environments Manager</v>
      </c>
      <c r="D84" s="929" t="str">
        <f>INDEX('REVIEW - Complete Role Mapping'!$AF$2:$AF$700,MATCH($A84,'REVIEW - Complete Role Mapping'!$AQ$2:$AQ$700,0))</f>
        <v>Vacant</v>
      </c>
      <c r="E84" s="543" t="inlineStr">
        <is>
          <t>Offshore</t>
        </is>
      </c>
      <c r="F84" s="1031">
        <f>INDEX('REVIEW - Complete Role Mapping'!$AE$2:$AE$700,MATCH($A84,'REVIEW - Complete Role Mapping'!$AQ$2:$AQ$700,0))</f>
        <v>202853.25</v>
      </c>
      <c r="G84" s="1031">
        <f>$F84*IF(ISNUMBER(SEARCH("WIPRO",INDEX('REVIEW - Complete Role Mapping'!$R$2:$R$700,MATCH($A84,'REVIEW - Complete Role Mapping'!$AQ$2:$AQ$700,0)))),1,IFERROR(INDEX(Lists!$AD$2:$AD$5,MATCH($E84,Lists!$AC$2:$AC$5,0)),NA()))</f>
        <v>81141.3</v>
      </c>
    </row>
    <row r="85" ht="14.25" customHeight="1" s="535">
      <c r="A85" s="1045" t="inlineStr">
        <is>
          <t>R0393</t>
        </is>
      </c>
      <c r="B85" s="929" t="str">
        <f>INDEX('REVIEW - Complete Role Mapping'!$B$2:$B$700,MATCH($A85,'REVIEW - Complete Role Mapping'!$AQ$2:$AQ$700,0))</f>
        <v>Vacant</v>
      </c>
      <c r="C85" s="929" t="str">
        <f>INDEX('REVIEW - Complete Role Mapping'!$D$2:$D$700,MATCH($A85,'REVIEW - Complete Role Mapping'!$AQ$2:$AQ$700,0))</f>
        <v>Engineer Integration</v>
      </c>
      <c r="D85" s="929" t="str">
        <f>INDEX('REVIEW - Complete Role Mapping'!$AF$2:$AF$700,MATCH($A85,'REVIEW - Complete Role Mapping'!$AQ$2:$AQ$700,0))</f>
        <v>Vacant</v>
      </c>
      <c r="E85" s="543" t="inlineStr">
        <is>
          <t>Offshore</t>
        </is>
      </c>
      <c r="F85" s="1031">
        <f>INDEX('REVIEW - Complete Role Mapping'!$AE$2:$AE$700,MATCH($A85,'REVIEW - Complete Role Mapping'!$AQ$2:$AQ$700,0))</f>
        <v>231689.25</v>
      </c>
      <c r="G85" s="1031">
        <f>$F85*IF(ISNUMBER(SEARCH("WIPRO",INDEX('REVIEW - Complete Role Mapping'!$R$2:$R$700,MATCH($A85,'REVIEW - Complete Role Mapping'!$AQ$2:$AQ$700,0)))),1,IFERROR(INDEX(Lists!$AD$2:$AD$5,MATCH($E85,Lists!$AC$2:$AC$5,0)),NA()))</f>
        <v>92675.7</v>
      </c>
    </row>
    <row r="86" ht="14.25" customHeight="1" s="535">
      <c r="A86" s="1045" t="inlineStr">
        <is>
          <t>R0397</t>
        </is>
      </c>
      <c r="B86" s="929" t="str">
        <f>INDEX('REVIEW - Complete Role Mapping'!$B$2:$B$700,MATCH($A86,'REVIEW - Complete Role Mapping'!$AQ$2:$AQ$700,0))</f>
        <v>Vacant</v>
      </c>
      <c r="C86" s="929" t="str">
        <f>INDEX('REVIEW - Complete Role Mapping'!$D$2:$D$700,MATCH($A86,'REVIEW - Complete Role Mapping'!$AQ$2:$AQ$700,0))</f>
        <v>Business Analyst</v>
      </c>
      <c r="D86" s="929" t="str">
        <f>INDEX('REVIEW - Complete Role Mapping'!$AF$2:$AF$700,MATCH($A86,'REVIEW - Complete Role Mapping'!$AQ$2:$AQ$700,0))</f>
        <v>Vacant</v>
      </c>
      <c r="E86" s="543" t="inlineStr">
        <is>
          <t>Hire</t>
        </is>
      </c>
      <c r="F86" s="1031">
        <f>INDEX('REVIEW - Complete Role Mapping'!$AE$2:$AE$700,MATCH($A86,'REVIEW - Complete Role Mapping'!$AQ$2:$AQ$700,0))</f>
        <v>170501.585</v>
      </c>
      <c r="G86" s="1031">
        <f>$F86*IF(ISNUMBER(SEARCH("WIPRO",INDEX('REVIEW - Complete Role Mapping'!$R$2:$R$700,MATCH($A86,'REVIEW - Complete Role Mapping'!$AQ$2:$AQ$700,0)))),1,IFERROR(INDEX(Lists!$AD$2:$AD$5,MATCH($E86,Lists!$AC$2:$AC$5,0)),NA()))</f>
        <v>170501.585</v>
      </c>
    </row>
    <row r="87" ht="14.25" customHeight="1" s="535">
      <c r="A87" s="1045" t="inlineStr">
        <is>
          <t>R0477</t>
        </is>
      </c>
      <c r="B87" s="929" t="str">
        <f>INDEX('REVIEW - Complete Role Mapping'!$B$2:$B$700,MATCH($A87,'REVIEW - Complete Role Mapping'!$AQ$2:$AQ$700,0))</f>
        <v>Vacant</v>
      </c>
      <c r="C87" s="929" t="str">
        <f>INDEX('REVIEW - Complete Role Mapping'!$D$2:$D$700,MATCH($A87,'REVIEW - Complete Role Mapping'!$AQ$2:$AQ$700,0))</f>
        <v>Quality Assurance</v>
      </c>
      <c r="D87" s="929" t="str">
        <f>INDEX('REVIEW - Complete Role Mapping'!$AF$2:$AF$700,MATCH($A87,'REVIEW - Complete Role Mapping'!$AQ$2:$AQ$700,0))</f>
        <v>Vacant</v>
      </c>
      <c r="E87" s="543" t="inlineStr">
        <is>
          <t>Offshore</t>
        </is>
      </c>
      <c r="F87" s="1031">
        <f>INDEX('REVIEW - Complete Role Mapping'!$AE$2:$AE$700,MATCH($A87,'REVIEW - Complete Role Mapping'!$AQ$2:$AQ$700,0))</f>
        <v>170489.75</v>
      </c>
      <c r="G87" s="1031">
        <f>$F87*IF(ISNUMBER(SEARCH("WIPRO",INDEX('REVIEW - Complete Role Mapping'!$R$2:$R$700,MATCH($A87,'REVIEW - Complete Role Mapping'!$AQ$2:$AQ$700,0)))),1,IFERROR(INDEX(Lists!$AD$2:$AD$5,MATCH($E87,Lists!$AC$2:$AC$5,0)),NA()))</f>
        <v>68195.9</v>
      </c>
    </row>
    <row r="88" ht="14.25" customHeight="1" s="535">
      <c r="A88" s="1045" t="inlineStr">
        <is>
          <t>R0478</t>
        </is>
      </c>
      <c r="B88" s="929" t="str">
        <f>INDEX('REVIEW - Complete Role Mapping'!$B$2:$B$700,MATCH($A88,'REVIEW - Complete Role Mapping'!$AQ$2:$AQ$700,0))</f>
        <v>Vacant</v>
      </c>
      <c r="C88" s="929" t="str">
        <f>INDEX('REVIEW - Complete Role Mapping'!$D$2:$D$700,MATCH($A88,'REVIEW - Complete Role Mapping'!$AQ$2:$AQ$700,0))</f>
        <v>Quality Assurance</v>
      </c>
      <c r="D88" s="929" t="str">
        <f>INDEX('REVIEW - Complete Role Mapping'!$AF$2:$AF$700,MATCH($A88,'REVIEW - Complete Role Mapping'!$AQ$2:$AQ$700,0))</f>
        <v>Vacant</v>
      </c>
      <c r="E88" s="543" t="inlineStr">
        <is>
          <t>Offshore</t>
        </is>
      </c>
      <c r="F88" s="1031">
        <f>INDEX('REVIEW - Complete Role Mapping'!$AE$2:$AE$700,MATCH($A88,'REVIEW - Complete Role Mapping'!$AQ$2:$AQ$700,0))</f>
        <v>170489.75</v>
      </c>
      <c r="G88" s="1031">
        <f>$F88*IF(ISNUMBER(SEARCH("WIPRO",INDEX('REVIEW - Complete Role Mapping'!$R$2:$R$700,MATCH($A88,'REVIEW - Complete Role Mapping'!$AQ$2:$AQ$700,0)))),1,IFERROR(INDEX(Lists!$AD$2:$AD$5,MATCH($E88,Lists!$AC$2:$AC$5,0)),NA()))</f>
        <v>68195.9</v>
      </c>
    </row>
    <row r="89" ht="14.25" customHeight="1" s="535">
      <c r="A89" s="1045" t="inlineStr">
        <is>
          <t>R0479</t>
        </is>
      </c>
      <c r="B89" s="929" t="str">
        <f>INDEX('REVIEW - Complete Role Mapping'!$B$2:$B$700,MATCH($A89,'REVIEW - Complete Role Mapping'!$AQ$2:$AQ$700,0))</f>
        <v>Vacant</v>
      </c>
      <c r="C89" s="929" t="str">
        <f>INDEX('REVIEW - Complete Role Mapping'!$D$2:$D$700,MATCH($A89,'REVIEW - Complete Role Mapping'!$AQ$2:$AQ$700,0))</f>
        <v>Quality Assurance</v>
      </c>
      <c r="D89" s="929" t="str">
        <f>INDEX('REVIEW - Complete Role Mapping'!$AF$2:$AF$700,MATCH($A89,'REVIEW - Complete Role Mapping'!$AQ$2:$AQ$700,0))</f>
        <v>Vacant</v>
      </c>
      <c r="E89" s="543" t="inlineStr">
        <is>
          <t>Offshore</t>
        </is>
      </c>
      <c r="F89" s="1031">
        <f>INDEX('REVIEW - Complete Role Mapping'!$AE$2:$AE$700,MATCH($A89,'REVIEW - Complete Role Mapping'!$AQ$2:$AQ$700,0))</f>
        <v>202853.25</v>
      </c>
      <c r="G89" s="1031">
        <f>$F89*IF(ISNUMBER(SEARCH("WIPRO",INDEX('REVIEW - Complete Role Mapping'!$R$2:$R$700,MATCH($A89,'REVIEW - Complete Role Mapping'!$AQ$2:$AQ$700,0)))),1,IFERROR(INDEX(Lists!$AD$2:$AD$5,MATCH($E89,Lists!$AC$2:$AC$5,0)),NA()))</f>
        <v>81141.3</v>
      </c>
    </row>
    <row r="90" ht="14.25" customHeight="1" s="535">
      <c r="A90" s="1045" t="inlineStr">
        <is>
          <t>R0486</t>
        </is>
      </c>
      <c r="B90" s="929" t="str">
        <f>INDEX('REVIEW - Complete Role Mapping'!$B$2:$B$700,MATCH($A90,'REVIEW - Complete Role Mapping'!$AQ$2:$AQ$700,0))</f>
        <v>Vacant</v>
      </c>
      <c r="C90" s="929" t="str">
        <f>INDEX('REVIEW - Complete Role Mapping'!$D$2:$D$700,MATCH($A90,'REVIEW - Complete Role Mapping'!$AQ$2:$AQ$700,0))</f>
        <v>Systems Analyst</v>
      </c>
      <c r="D90" s="929" t="str">
        <f>INDEX('REVIEW - Complete Role Mapping'!$AF$2:$AF$700,MATCH($A90,'REVIEW - Complete Role Mapping'!$AQ$2:$AQ$700,0))</f>
        <v>Vacant</v>
      </c>
      <c r="E90" s="543" t="inlineStr">
        <is>
          <t>Hire</t>
        </is>
      </c>
      <c r="F90" s="1031">
        <f>INDEX('REVIEW - Complete Role Mapping'!$AE$2:$AE$700,MATCH($A90,'REVIEW - Complete Role Mapping'!$AQ$2:$AQ$700,0))</f>
        <v>202853.25</v>
      </c>
      <c r="G90" s="1031">
        <f>$F90*IF(ISNUMBER(SEARCH("WIPRO",INDEX('REVIEW - Complete Role Mapping'!$R$2:$R$700,MATCH($A90,'REVIEW - Complete Role Mapping'!$AQ$2:$AQ$700,0)))),1,IFERROR(INDEX(Lists!$AD$2:$AD$5,MATCH($E90,Lists!$AC$2:$AC$5,0)),NA()))</f>
        <v>202853.25</v>
      </c>
    </row>
    <row r="91" ht="14.25" customHeight="1" s="535">
      <c r="B91" s="1029" t="inlineStr">
        <is>
          <t>Payments</t>
        </is>
      </c>
      <c r="C91" s="1029" t="str">
        <f>COUNTIF($B$92:$B$95,"?*")&amp;IF(COUNTIF($B$92:$B$95,"?*")=1," role"," roles")</f>
        <v>4 roles</v>
      </c>
      <c r="D91" s="1029" t="n"/>
      <c r="E91" s="1029" t="n"/>
      <c r="F91" s="1044">
        <f>SUM(F92:F95)</f>
        <v>789428.585</v>
      </c>
      <c r="G91" s="1044">
        <f>SUM(G92:G95)</f>
        <v>789428.585</v>
      </c>
    </row>
    <row r="92" ht="14.25" customHeight="1" s="535">
      <c r="A92" s="1045" t="inlineStr">
        <is>
          <t>R0392</t>
        </is>
      </c>
      <c r="B92" s="929" t="str">
        <f>INDEX('REVIEW - Complete Role Mapping'!$B$2:$B$700,MATCH($A92,'REVIEW - Complete Role Mapping'!$AQ$2:$AQ$700,0))</f>
        <v>Sayan Kar</v>
      </c>
      <c r="C92" s="929" t="str">
        <f>INDEX('REVIEW - Complete Role Mapping'!$D$2:$D$700,MATCH($A92,'REVIEW - Complete Role Mapping'!$AQ$2:$AQ$700,0))</f>
        <v>Systems Analyst</v>
      </c>
      <c r="D92" s="929" t="str">
        <f>INDEX('REVIEW - Complete Role Mapping'!$AF$2:$AF$700,MATCH($A92,'REVIEW - Complete Role Mapping'!$AQ$2:$AQ$700,0))</f>
        <v>Filled</v>
      </c>
      <c r="E92" s="543" t="inlineStr">
        <is>
          <t>Filled</t>
        </is>
      </c>
      <c r="F92" s="1031">
        <f>INDEX('REVIEW - Complete Role Mapping'!$AE$2:$AE$700,MATCH($A92,'REVIEW - Complete Role Mapping'!$AQ$2:$AQ$700,0))</f>
        <v>259243.65</v>
      </c>
      <c r="G92" s="1031">
        <f>$F92*IF(ISNUMBER(SEARCH("WIPRO",INDEX('REVIEW - Complete Role Mapping'!$R$2:$R$700,MATCH($A92,'REVIEW - Complete Role Mapping'!$AQ$2:$AQ$700,0)))),1,IFERROR(INDEX(Lists!$AD$2:$AD$5,MATCH($E92,Lists!$AC$2:$AC$5,0)),NA()))</f>
        <v>259243.65</v>
      </c>
    </row>
    <row r="93" ht="14.25" customHeight="1" s="535">
      <c r="A93" s="1045" t="inlineStr">
        <is>
          <t>R0399</t>
        </is>
      </c>
      <c r="B93" s="929" t="str">
        <f>INDEX('REVIEW - Complete Role Mapping'!$B$2:$B$700,MATCH($A93,'REVIEW - Complete Role Mapping'!$AQ$2:$AQ$700,0))</f>
        <v>Venkat Kedharanathan</v>
      </c>
      <c r="C93" s="929" t="str">
        <f>INDEX('REVIEW - Complete Role Mapping'!$D$2:$D$700,MATCH($A93,'REVIEW - Complete Role Mapping'!$AQ$2:$AQ$700,0))</f>
        <v>Senior Business Analyst</v>
      </c>
      <c r="D93" s="929" t="str">
        <f>INDEX('REVIEW - Complete Role Mapping'!$AF$2:$AF$700,MATCH($A93,'REVIEW - Complete Role Mapping'!$AQ$2:$AQ$700,0))</f>
        <v>Filled</v>
      </c>
      <c r="E93" s="543" t="inlineStr">
        <is>
          <t>Filled</t>
        </is>
      </c>
      <c r="F93" s="1031">
        <f>INDEX('REVIEW - Complete Role Mapping'!$AE$2:$AE$700,MATCH($A93,'REVIEW - Complete Role Mapping'!$AQ$2:$AQ$700,0))</f>
        <v>213600</v>
      </c>
      <c r="G93" s="1031">
        <f>$F93*IF(ISNUMBER(SEARCH("WIPRO",INDEX('REVIEW - Complete Role Mapping'!$R$2:$R$700,MATCH($A93,'REVIEW - Complete Role Mapping'!$AQ$2:$AQ$700,0)))),1,IFERROR(INDEX(Lists!$AD$2:$AD$5,MATCH($E93,Lists!$AC$2:$AC$5,0)),NA()))</f>
        <v>213600</v>
      </c>
    </row>
    <row r="94" ht="14.25" customHeight="1" s="535">
      <c r="A94" s="1045" t="inlineStr">
        <is>
          <t>R0485</t>
        </is>
      </c>
      <c r="B94" s="929" t="str">
        <f>INDEX('REVIEW - Complete Role Mapping'!$B$2:$B$700,MATCH($A94,'REVIEW - Complete Role Mapping'!$AQ$2:$AQ$700,0))</f>
        <v>Vacant</v>
      </c>
      <c r="C94" s="929" t="str">
        <f>INDEX('REVIEW - Complete Role Mapping'!$D$2:$D$700,MATCH($A94,'REVIEW - Complete Role Mapping'!$AQ$2:$AQ$700,0))</f>
        <v>Systems Analyst</v>
      </c>
      <c r="D94" s="929" t="str">
        <f>INDEX('REVIEW - Complete Role Mapping'!$AF$2:$AF$700,MATCH($A94,'REVIEW - Complete Role Mapping'!$AQ$2:$AQ$700,0))</f>
        <v>Vacant</v>
      </c>
      <c r="E94" s="543" t="inlineStr">
        <is>
          <t>Hire</t>
        </is>
      </c>
      <c r="F94" s="1031">
        <f>INDEX('REVIEW - Complete Role Mapping'!$AE$2:$AE$700,MATCH($A94,'REVIEW - Complete Role Mapping'!$AQ$2:$AQ$700,0))</f>
        <v>170501.585</v>
      </c>
      <c r="G94" s="1031">
        <f>$F94*IF(ISNUMBER(SEARCH("WIPRO",INDEX('REVIEW - Complete Role Mapping'!$R$2:$R$700,MATCH($A94,'REVIEW - Complete Role Mapping'!$AQ$2:$AQ$700,0)))),1,IFERROR(INDEX(Lists!$AD$2:$AD$5,MATCH($E94,Lists!$AC$2:$AC$5,0)),NA()))</f>
        <v>170501.585</v>
      </c>
    </row>
    <row r="95" ht="14.25" customHeight="1" s="535">
      <c r="A95" s="1045" t="inlineStr">
        <is>
          <t>R0499</t>
        </is>
      </c>
      <c r="B95" s="929" t="str">
        <f>INDEX('REVIEW - Complete Role Mapping'!$B$2:$B$700,MATCH($A95,'REVIEW - Complete Role Mapping'!$AQ$2:$AQ$700,0))</f>
        <v>Beenu Murali</v>
      </c>
      <c r="C95" s="929" t="str">
        <f>INDEX('REVIEW - Complete Role Mapping'!$D$2:$D$700,MATCH($A95,'REVIEW - Complete Role Mapping'!$AQ$2:$AQ$700,0))</f>
        <v>Quality Assurance</v>
      </c>
      <c r="D95" s="929" t="str">
        <f>INDEX('REVIEW - Complete Role Mapping'!$AF$2:$AF$700,MATCH($A95,'REVIEW - Complete Role Mapping'!$AQ$2:$AQ$700,0))</f>
        <v>Filled</v>
      </c>
      <c r="E95" s="543" t="inlineStr">
        <is>
          <t>Filled</t>
        </is>
      </c>
      <c r="F95" s="1031">
        <f>INDEX('REVIEW - Complete Role Mapping'!$AE$2:$AE$700,MATCH($A95,'REVIEW - Complete Role Mapping'!$AQ$2:$AQ$700,0))</f>
        <v>146083.35</v>
      </c>
      <c r="G95" s="1031">
        <f>$F95*IF(ISNUMBER(SEARCH("WIPRO",INDEX('REVIEW - Complete Role Mapping'!$R$2:$R$700,MATCH($A95,'REVIEW - Complete Role Mapping'!$AQ$2:$AQ$700,0)))),1,IFERROR(INDEX(Lists!$AD$2:$AD$5,MATCH($E95,Lists!$AC$2:$AC$5,0)),NA()))</f>
        <v>146083.35</v>
      </c>
    </row>
    <row r="96" ht="14.25" customHeight="1" s="535">
      <c r="B96" s="1029" t="inlineStr">
        <is>
          <t>Store Operations</t>
        </is>
      </c>
      <c r="C96" s="1029" t="str">
        <f>COUNTIF($B$97:$B$104,"?*")&amp;IF(COUNTIF($B$97:$B$104,"?*")=1," role"," roles")</f>
        <v>8 roles</v>
      </c>
      <c r="D96" s="1029" t="n"/>
      <c r="E96" s="1029" t="n"/>
      <c r="F96" s="1044">
        <f>SUM(F97:F104)</f>
        <v>1429759.453</v>
      </c>
      <c r="G96" s="1044">
        <f>SUM(G97:G104)</f>
        <v>1429759.453</v>
      </c>
    </row>
    <row r="97" ht="14.25" customHeight="1" s="535">
      <c r="A97" s="1045" t="inlineStr">
        <is>
          <t>R0258</t>
        </is>
      </c>
      <c r="B97" s="929" t="str">
        <f>INDEX('REVIEW - Complete Role Mapping'!$B$2:$B$700,MATCH($A97,'REVIEW - Complete Role Mapping'!$AQ$2:$AQ$700,0))</f>
        <v>Ephraim Adan</v>
      </c>
      <c r="C97" s="929" t="str">
        <f>INDEX('REVIEW - Complete Role Mapping'!$D$2:$D$700,MATCH($A97,'REVIEW - Complete Role Mapping'!$AQ$2:$AQ$700,0))</f>
        <v>Manager - AU Retail Operations</v>
      </c>
      <c r="D97" s="929" t="str">
        <f>INDEX('REVIEW - Complete Role Mapping'!$AF$2:$AF$700,MATCH($A97,'REVIEW - Complete Role Mapping'!$AQ$2:$AQ$700,0))</f>
        <v>Filled</v>
      </c>
      <c r="E97" s="543" t="inlineStr">
        <is>
          <t>Filled</t>
        </is>
      </c>
      <c r="F97" s="1031">
        <f>INDEX('REVIEW - Complete Role Mapping'!$AE$2:$AE$700,MATCH($A97,'REVIEW - Complete Role Mapping'!$AQ$2:$AQ$700,0))</f>
        <v>77707.84</v>
      </c>
      <c r="G97" s="1031">
        <f>$F97*IF(ISNUMBER(SEARCH("WIPRO",INDEX('REVIEW - Complete Role Mapping'!$R$2:$R$700,MATCH($A97,'REVIEW - Complete Role Mapping'!$AQ$2:$AQ$700,0)))),1,IFERROR(INDEX(Lists!$AD$2:$AD$5,MATCH($E97,Lists!$AC$2:$AC$5,0)),NA()))</f>
        <v>77707.84</v>
      </c>
    </row>
    <row r="98" ht="14.25" customHeight="1" s="535">
      <c r="A98" s="1045" t="inlineStr">
        <is>
          <t>R0389</t>
        </is>
      </c>
      <c r="B98" s="929" t="str">
        <f>INDEX('REVIEW - Complete Role Mapping'!$B$2:$B$700,MATCH($A98,'REVIEW - Complete Role Mapping'!$AQ$2:$AQ$700,0))</f>
        <v>Karthikeyan Kuppan</v>
      </c>
      <c r="C98" s="929" t="str">
        <f>INDEX('REVIEW - Complete Role Mapping'!$D$2:$D$700,MATCH($A98,'REVIEW - Complete Role Mapping'!$AQ$2:$AQ$700,0))</f>
        <v>Lead - AU Retail Operations</v>
      </c>
      <c r="D98" s="929" t="str">
        <f>INDEX('REVIEW - Complete Role Mapping'!$AF$2:$AF$700,MATCH($A98,'REVIEW - Complete Role Mapping'!$AQ$2:$AQ$700,0))</f>
        <v>Filled</v>
      </c>
      <c r="E98" s="543" t="inlineStr">
        <is>
          <t>Filled</t>
        </is>
      </c>
      <c r="F98" s="1031">
        <f>INDEX('REVIEW - Complete Role Mapping'!$AE$2:$AE$700,MATCH($A98,'REVIEW - Complete Role Mapping'!$AQ$2:$AQ$700,0))</f>
        <v>242933.676</v>
      </c>
      <c r="G98" s="1031">
        <f>$F98*IF(ISNUMBER(SEARCH("WIPRO",INDEX('REVIEW - Complete Role Mapping'!$R$2:$R$700,MATCH($A98,'REVIEW - Complete Role Mapping'!$AQ$2:$AQ$700,0)))),1,IFERROR(INDEX(Lists!$AD$2:$AD$5,MATCH($E98,Lists!$AC$2:$AC$5,0)),NA()))</f>
        <v>242933.676</v>
      </c>
    </row>
    <row r="99" ht="14.25" customHeight="1" s="535">
      <c r="A99" s="1045" t="inlineStr">
        <is>
          <t>R0394</t>
        </is>
      </c>
      <c r="B99" s="929" t="str">
        <f>INDEX('REVIEW - Complete Role Mapping'!$B$2:$B$700,MATCH($A99,'REVIEW - Complete Role Mapping'!$AQ$2:$AQ$700,0))</f>
        <v>Vacant</v>
      </c>
      <c r="C99" s="929" t="str">
        <f>INDEX('REVIEW - Complete Role Mapping'!$D$2:$D$700,MATCH($A99,'REVIEW - Complete Role Mapping'!$AQ$2:$AQ$700,0))</f>
        <v>Support Analyst -Retail</v>
      </c>
      <c r="D99" s="929" t="str">
        <f>INDEX('REVIEW - Complete Role Mapping'!$AF$2:$AF$700,MATCH($A99,'REVIEW - Complete Role Mapping'!$AQ$2:$AQ$700,0))</f>
        <v>Vacant</v>
      </c>
      <c r="E99" s="543" t="inlineStr">
        <is>
          <t>Hire</t>
        </is>
      </c>
      <c r="F99" s="1031">
        <f>INDEX('REVIEW - Complete Role Mapping'!$AE$2:$AE$700,MATCH($A99,'REVIEW - Complete Role Mapping'!$AQ$2:$AQ$700,0))</f>
        <v>170501.585</v>
      </c>
      <c r="G99" s="1031">
        <f>$F99*IF(ISNUMBER(SEARCH("WIPRO",INDEX('REVIEW - Complete Role Mapping'!$R$2:$R$700,MATCH($A99,'REVIEW - Complete Role Mapping'!$AQ$2:$AQ$700,0)))),1,IFERROR(INDEX(Lists!$AD$2:$AD$5,MATCH($E99,Lists!$AC$2:$AC$5,0)),NA()))</f>
        <v>170501.585</v>
      </c>
    </row>
    <row r="100" ht="14.25" customHeight="1" s="535">
      <c r="A100" s="1045" t="inlineStr">
        <is>
          <t>R0435</t>
        </is>
      </c>
      <c r="B100" s="929" t="str">
        <f>INDEX('REVIEW - Complete Role Mapping'!$B$2:$B$700,MATCH($A100,'REVIEW - Complete Role Mapping'!$AQ$2:$AQ$700,0))</f>
        <v>Geoff Goddard</v>
      </c>
      <c r="C100" s="929" t="str">
        <f>INDEX('REVIEW - Complete Role Mapping'!$D$2:$D$700,MATCH($A100,'REVIEW - Complete Role Mapping'!$AQ$2:$AQ$700,0))</f>
        <v>Field Systems Operations Lead - VIC</v>
      </c>
      <c r="D100" s="929" t="str">
        <f>INDEX('REVIEW - Complete Role Mapping'!$AF$2:$AF$700,MATCH($A100,'REVIEW - Complete Role Mapping'!$AQ$2:$AQ$700,0))</f>
        <v>Filled</v>
      </c>
      <c r="E100" s="543" t="inlineStr">
        <is>
          <t>Filled</t>
        </is>
      </c>
      <c r="F100" s="1031">
        <f>INDEX('REVIEW - Complete Role Mapping'!$AE$2:$AE$700,MATCH($A100,'REVIEW - Complete Role Mapping'!$AQ$2:$AQ$700,0))</f>
        <v>167360.05</v>
      </c>
      <c r="G100" s="1031">
        <f>$F100*IF(ISNUMBER(SEARCH("WIPRO",INDEX('REVIEW - Complete Role Mapping'!$R$2:$R$700,MATCH($A100,'REVIEW - Complete Role Mapping'!$AQ$2:$AQ$700,0)))),1,IFERROR(INDEX(Lists!$AD$2:$AD$5,MATCH($E100,Lists!$AC$2:$AC$5,0)),NA()))</f>
        <v>167360.05</v>
      </c>
    </row>
    <row r="101" ht="14.25" customHeight="1" s="535">
      <c r="A101" s="1045" t="inlineStr">
        <is>
          <t>R0436</t>
        </is>
      </c>
      <c r="B101" s="929" t="str">
        <f>INDEX('REVIEW - Complete Role Mapping'!$B$2:$B$700,MATCH($A101,'REVIEW - Complete Role Mapping'!$AQ$2:$AQ$700,0))</f>
        <v>Gerald Aguas</v>
      </c>
      <c r="C101" s="929" t="str">
        <f>INDEX('REVIEW - Complete Role Mapping'!$D$2:$D$700,MATCH($A101,'REVIEW - Complete Role Mapping'!$AQ$2:$AQ$700,0))</f>
        <v>Field Systems Operations Lead - NSW</v>
      </c>
      <c r="D101" s="929" t="str">
        <f>INDEX('REVIEW - Complete Role Mapping'!$AF$2:$AF$700,MATCH($A101,'REVIEW - Complete Role Mapping'!$AQ$2:$AQ$700,0))</f>
        <v>Filled</v>
      </c>
      <c r="E101" s="543" t="inlineStr">
        <is>
          <t>Filled</t>
        </is>
      </c>
      <c r="F101" s="1031">
        <f>INDEX('REVIEW - Complete Role Mapping'!$AE$2:$AE$700,MATCH($A101,'REVIEW - Complete Role Mapping'!$AQ$2:$AQ$700,0))</f>
        <v>190155.852</v>
      </c>
      <c r="G101" s="1031">
        <f>$F101*IF(ISNUMBER(SEARCH("WIPRO",INDEX('REVIEW - Complete Role Mapping'!$R$2:$R$700,MATCH($A101,'REVIEW - Complete Role Mapping'!$AQ$2:$AQ$700,0)))),1,IFERROR(INDEX(Lists!$AD$2:$AD$5,MATCH($E101,Lists!$AC$2:$AC$5,0)),NA()))</f>
        <v>190155.852</v>
      </c>
    </row>
    <row r="102" ht="14.25" customHeight="1" s="535">
      <c r="A102" s="1045" t="inlineStr">
        <is>
          <t>R0437</t>
        </is>
      </c>
      <c r="B102" s="929" t="str">
        <f>INDEX('REVIEW - Complete Role Mapping'!$B$2:$B$700,MATCH($A102,'REVIEW - Complete Role Mapping'!$AQ$2:$AQ$700,0))</f>
        <v>Tuan Edwards</v>
      </c>
      <c r="C102" s="929" t="str">
        <f>INDEX('REVIEW - Complete Role Mapping'!$D$2:$D$700,MATCH($A102,'REVIEW - Complete Role Mapping'!$AQ$2:$AQ$700,0))</f>
        <v>Field Systems Operations Lead - QLD</v>
      </c>
      <c r="D102" s="929" t="str">
        <f>INDEX('REVIEW - Complete Role Mapping'!$AF$2:$AF$700,MATCH($A102,'REVIEW - Complete Role Mapping'!$AQ$2:$AQ$700,0))</f>
        <v>Filled</v>
      </c>
      <c r="E102" s="543" t="inlineStr">
        <is>
          <t>Filled</t>
        </is>
      </c>
      <c r="F102" s="1031">
        <f>INDEX('REVIEW - Complete Role Mapping'!$AE$2:$AE$700,MATCH($A102,'REVIEW - Complete Role Mapping'!$AQ$2:$AQ$700,0))</f>
        <v>202853.25</v>
      </c>
      <c r="G102" s="1031">
        <f>$F102*IF(ISNUMBER(SEARCH("WIPRO",INDEX('REVIEW - Complete Role Mapping'!$R$2:$R$700,MATCH($A102,'REVIEW - Complete Role Mapping'!$AQ$2:$AQ$700,0)))),1,IFERROR(INDEX(Lists!$AD$2:$AD$5,MATCH($E102,Lists!$AC$2:$AC$5,0)),NA()))</f>
        <v>202853.25</v>
      </c>
    </row>
    <row r="103" ht="14.25" customHeight="1" s="535">
      <c r="A103" s="1045" t="inlineStr">
        <is>
          <t>R0438</t>
        </is>
      </c>
      <c r="B103" s="929" t="str">
        <f>INDEX('REVIEW - Complete Role Mapping'!$B$2:$B$700,MATCH($A103,'REVIEW - Complete Role Mapping'!$AQ$2:$AQ$700,0))</f>
        <v>Andrew Whitford</v>
      </c>
      <c r="C103" s="929" t="str">
        <f>INDEX('REVIEW - Complete Role Mapping'!$D$2:$D$700,MATCH($A103,'REVIEW - Complete Role Mapping'!$AQ$2:$AQ$700,0))</f>
        <v>Field Systems Operations Lead - WA</v>
      </c>
      <c r="D103" s="929" t="str">
        <f>INDEX('REVIEW - Complete Role Mapping'!$AF$2:$AF$700,MATCH($A103,'REVIEW - Complete Role Mapping'!$AQ$2:$AQ$700,0))</f>
        <v>Filled</v>
      </c>
      <c r="E103" s="543" t="inlineStr">
        <is>
          <t>Filled</t>
        </is>
      </c>
      <c r="F103" s="1031">
        <f>INDEX('REVIEW - Complete Role Mapping'!$AE$2:$AE$700,MATCH($A103,'REVIEW - Complete Role Mapping'!$AQ$2:$AQ$700,0))</f>
        <v>164033.1</v>
      </c>
      <c r="G103" s="1031">
        <f>$F103*IF(ISNUMBER(SEARCH("WIPRO",INDEX('REVIEW - Complete Role Mapping'!$R$2:$R$700,MATCH($A103,'REVIEW - Complete Role Mapping'!$AQ$2:$AQ$700,0)))),1,IFERROR(INDEX(Lists!$AD$2:$AD$5,MATCH($E103,Lists!$AC$2:$AC$5,0)),NA()))</f>
        <v>164033.1</v>
      </c>
    </row>
    <row r="104" ht="14.25" customHeight="1" s="535">
      <c r="A104" s="1045" t="inlineStr">
        <is>
          <t>R0439</t>
        </is>
      </c>
      <c r="B104" s="929" t="str">
        <f>INDEX('REVIEW - Complete Role Mapping'!$B$2:$B$700,MATCH($A104,'REVIEW - Complete Role Mapping'!$AQ$2:$AQ$700,0))</f>
        <v>Patrick Ericson Nario</v>
      </c>
      <c r="C104" s="929" t="str">
        <f>INDEX('REVIEW - Complete Role Mapping'!$D$2:$D$700,MATCH($A104,'REVIEW - Complete Role Mapping'!$AQ$2:$AQ$700,0))</f>
        <v>Support Analyst - Field Operations</v>
      </c>
      <c r="D104" s="929" t="str">
        <f>INDEX('REVIEW - Complete Role Mapping'!$AF$2:$AF$700,MATCH($A104,'REVIEW - Complete Role Mapping'!$AQ$2:$AQ$700,0))</f>
        <v>Filled</v>
      </c>
      <c r="E104" s="543" t="inlineStr">
        <is>
          <t>Filled</t>
        </is>
      </c>
      <c r="F104" s="1031">
        <f>INDEX('REVIEW - Complete Role Mapping'!$AE$2:$AE$700,MATCH($A104,'REVIEW - Complete Role Mapping'!$AQ$2:$AQ$700,0))</f>
        <v>214214.1</v>
      </c>
      <c r="G104" s="1031">
        <f>$F104*IF(ISNUMBER(SEARCH("WIPRO",INDEX('REVIEW - Complete Role Mapping'!$R$2:$R$700,MATCH($A104,'REVIEW - Complete Role Mapping'!$AQ$2:$AQ$700,0)))),1,IFERROR(INDEX(Lists!$AD$2:$AD$5,MATCH($E104,Lists!$AC$2:$AC$5,0)),NA()))</f>
        <v>214214.1</v>
      </c>
    </row>
    <row r="105" ht="14.25" customHeight="1" s="535">
      <c r="B105" s="1029" t="inlineStr">
        <is>
          <t>Head of Technology</t>
        </is>
      </c>
      <c r="C105" s="1029" t="str">
        <f>COUNTIF($B$106:$B$106,"?*")&amp;IF(COUNTIF($B$106:$B$106,"?*")=1," role"," roles")</f>
        <v>1 role</v>
      </c>
      <c r="D105" s="1029" t="n"/>
      <c r="E105" s="1029" t="n"/>
      <c r="F105" s="1044">
        <f>SUM(F106:F106)</f>
        <v>186032.25</v>
      </c>
      <c r="G105" s="1044">
        <f>SUM(G106:G106)</f>
        <v>186032.25</v>
      </c>
    </row>
    <row r="106" ht="14.25" customHeight="1" s="535">
      <c r="A106" s="1045" t="inlineStr">
        <is>
          <t>R0066</t>
        </is>
      </c>
      <c r="B106" s="929" t="str">
        <f>INDEX('REVIEW - Complete Role Mapping'!$B$2:$B$700,MATCH($A106,'REVIEW - Complete Role Mapping'!$AQ$2:$AQ$700,0))</f>
        <v>Madan Murthy</v>
      </c>
      <c r="C106" s="929" t="str">
        <f>INDEX('REVIEW - Complete Role Mapping'!$D$2:$D$700,MATCH($A106,'REVIEW - Complete Role Mapping'!$AQ$2:$AQ$700,0))</f>
        <v>Head of Technology, AU Retail</v>
      </c>
      <c r="D106" s="929" t="str">
        <f>INDEX('REVIEW - Complete Role Mapping'!$AF$2:$AF$700,MATCH($A106,'REVIEW - Complete Role Mapping'!$AQ$2:$AQ$700,0))</f>
        <v>Filled</v>
      </c>
      <c r="E106" s="543" t="inlineStr">
        <is>
          <t>Filled</t>
        </is>
      </c>
      <c r="F106" s="1031">
        <f>INDEX('REVIEW - Complete Role Mapping'!$AE$2:$AE$700,MATCH($A106,'REVIEW - Complete Role Mapping'!$AQ$2:$AQ$700,0))</f>
        <v>186032.25</v>
      </c>
      <c r="G106" s="1031">
        <f>$F106*IF(ISNUMBER(SEARCH("WIPRO",INDEX('REVIEW - Complete Role Mapping'!$R$2:$R$700,MATCH($A106,'REVIEW - Complete Role Mapping'!$AQ$2:$AQ$700,0)))),1,IFERROR(INDEX(Lists!$AD$2:$AD$5,MATCH($E106,Lists!$AC$2:$AC$5,0)),NA()))</f>
        <v>186032.25</v>
      </c>
    </row>
    <row r="107" ht="14.25" customHeight="1" s="535">
      <c r="B107" s="1029" t="inlineStr">
        <is>
          <t>Delivery Manager</t>
        </is>
      </c>
      <c r="C107" s="1029" t="str">
        <f>COUNTIF($B$108:$B$108,"?*")&amp;IF(COUNTIF($B$108:$B$108,"?*")=1," role"," roles")</f>
        <v>1 role</v>
      </c>
      <c r="D107" s="1029" t="n"/>
      <c r="E107" s="1029" t="n"/>
      <c r="F107" s="1044">
        <f>SUM(F108:F108)</f>
        <v>212056.145</v>
      </c>
      <c r="G107" s="1044">
        <f>SUM(G108:G108)</f>
        <v>212056.145</v>
      </c>
    </row>
    <row r="108" ht="14.25" customHeight="1" s="535">
      <c r="A108" s="1045" t="inlineStr">
        <is>
          <t>R0094</t>
        </is>
      </c>
      <c r="B108" s="929" t="str">
        <f>INDEX('REVIEW - Complete Role Mapping'!$B$2:$B$700,MATCH($A108,'REVIEW - Complete Role Mapping'!$AQ$2:$AQ$700,0))</f>
        <v>Vanessa Allen</v>
      </c>
      <c r="C108" s="929" t="str">
        <f>INDEX('REVIEW - Complete Role Mapping'!$D$2:$D$700,MATCH($A108,'REVIEW - Complete Role Mapping'!$AQ$2:$AQ$700,0))</f>
        <v>Delivery Manager</v>
      </c>
      <c r="D108" s="929" t="str">
        <f>INDEX('REVIEW - Complete Role Mapping'!$AF$2:$AF$700,MATCH($A108,'REVIEW - Complete Role Mapping'!$AQ$2:$AQ$700,0))</f>
        <v>Filled</v>
      </c>
      <c r="E108" s="543" t="inlineStr">
        <is>
          <t>Filled</t>
        </is>
      </c>
      <c r="F108" s="1031">
        <f>INDEX('REVIEW - Complete Role Mapping'!$AE$2:$AE$700,MATCH($A108,'REVIEW - Complete Role Mapping'!$AQ$2:$AQ$700,0))</f>
        <v>212056.145</v>
      </c>
      <c r="G108" s="1031">
        <f>$F108*IF(ISNUMBER(SEARCH("WIPRO",INDEX('REVIEW - Complete Role Mapping'!$R$2:$R$700,MATCH($A108,'REVIEW - Complete Role Mapping'!$AQ$2:$AQ$700,0)))),1,IFERROR(INDEX(Lists!$AD$2:$AD$5,MATCH($E108,Lists!$AC$2:$AC$5,0)),NA()))</f>
        <v>212056.145</v>
      </c>
    </row>
    <row r="109" ht="14.25" customHeight="1" s="535">
      <c r="B109" s="1029" t="inlineStr">
        <is>
          <t>Technology Manager</t>
        </is>
      </c>
      <c r="C109" s="1029" t="str">
        <f>COUNTIF($B$110:$B$112,"?*")&amp;IF(COUNTIF($B$110:$B$112,"?*")=1," role"," roles")</f>
        <v>3 roles</v>
      </c>
      <c r="D109" s="1029" t="n"/>
      <c r="E109" s="1029" t="n"/>
      <c r="F109" s="1044">
        <f>SUM(F110:F112)</f>
        <v>766646.363</v>
      </c>
      <c r="G109" s="1044">
        <f>SUM(G110:G112)</f>
        <v>766646.363</v>
      </c>
    </row>
    <row r="110" ht="14.25" customHeight="1" s="535">
      <c r="A110" s="1045" t="inlineStr">
        <is>
          <t>R0093</t>
        </is>
      </c>
      <c r="B110" s="929" t="str">
        <f>INDEX('REVIEW - Complete Role Mapping'!$B$2:$B$700,MATCH($A110,'REVIEW - Complete Role Mapping'!$AQ$2:$AQ$700,0))</f>
        <v>Tracy Lee Reaper</v>
      </c>
      <c r="C110" s="929" t="str">
        <f>INDEX('REVIEW - Complete Role Mapping'!$D$2:$D$700,MATCH($A110,'REVIEW - Complete Role Mapping'!$AQ$2:$AQ$700,0))</f>
        <v>Technology Manager, Merchandising &amp; WFM</v>
      </c>
      <c r="D110" s="929" t="str">
        <f>INDEX('REVIEW - Complete Role Mapping'!$AF$2:$AF$700,MATCH($A110,'REVIEW - Complete Role Mapping'!$AQ$2:$AQ$700,0))</f>
        <v>Filled</v>
      </c>
      <c r="E110" s="543" t="inlineStr">
        <is>
          <t>Filled</t>
        </is>
      </c>
      <c r="F110" s="1031">
        <f>INDEX('REVIEW - Complete Role Mapping'!$AE$2:$AE$700,MATCH($A110,'REVIEW - Complete Role Mapping'!$AQ$2:$AQ$700,0))</f>
        <v>224341.488</v>
      </c>
      <c r="G110" s="1031">
        <f>$F110*IF(ISNUMBER(SEARCH("WIPRO",INDEX('REVIEW - Complete Role Mapping'!$R$2:$R$700,MATCH($A110,'REVIEW - Complete Role Mapping'!$AQ$2:$AQ$700,0)))),1,IFERROR(INDEX(Lists!$AD$2:$AD$5,MATCH($E110,Lists!$AC$2:$AC$5,0)),NA()))</f>
        <v>224341.488</v>
      </c>
    </row>
    <row r="111" ht="14.25" customHeight="1" s="535">
      <c r="A111" s="1045" t="inlineStr">
        <is>
          <t>R0095</t>
        </is>
      </c>
      <c r="B111" s="929" t="str">
        <f>INDEX('REVIEW - Complete Role Mapping'!$B$2:$B$700,MATCH($A111,'REVIEW - Complete Role Mapping'!$AQ$2:$AQ$700,0))</f>
        <v>Vedran Jukic</v>
      </c>
      <c r="C111" s="929" t="str">
        <f>INDEX('REVIEW - Complete Role Mapping'!$D$2:$D$700,MATCH($A111,'REVIEW - Complete Role Mapping'!$AQ$2:$AQ$700,0))</f>
        <v>Technology Manager, Retail</v>
      </c>
      <c r="D111" s="929" t="str">
        <f>INDEX('REVIEW - Complete Role Mapping'!$AF$2:$AF$700,MATCH($A111,'REVIEW - Complete Role Mapping'!$AQ$2:$AQ$700,0))</f>
        <v>Filled</v>
      </c>
      <c r="E111" s="543" t="inlineStr">
        <is>
          <t>Filled</t>
        </is>
      </c>
      <c r="F111" s="1031">
        <f>INDEX('REVIEW - Complete Role Mapping'!$AE$2:$AE$700,MATCH($A111,'REVIEW - Complete Role Mapping'!$AQ$2:$AQ$700,0))</f>
        <v>284550</v>
      </c>
      <c r="G111" s="1031">
        <f>$F111*IF(ISNUMBER(SEARCH("WIPRO",INDEX('REVIEW - Complete Role Mapping'!$R$2:$R$700,MATCH($A111,'REVIEW - Complete Role Mapping'!$AQ$2:$AQ$700,0)))),1,IFERROR(INDEX(Lists!$AD$2:$AD$5,MATCH($E111,Lists!$AC$2:$AC$5,0)),NA()))</f>
        <v>284550</v>
      </c>
    </row>
    <row r="112" ht="14.25" customHeight="1" s="535">
      <c r="A112" s="1045" t="inlineStr">
        <is>
          <t>R0115</t>
        </is>
      </c>
      <c r="B112" s="929" t="str">
        <f>INDEX('REVIEW - Complete Role Mapping'!$B$2:$B$700,MATCH($A112,'REVIEW - Complete Role Mapping'!$AQ$2:$AQ$700,0))</f>
        <v>Vaishnavi Viswanathan</v>
      </c>
      <c r="C112" s="929" t="str">
        <f>INDEX('REVIEW - Complete Role Mapping'!$D$2:$D$700,MATCH($A112,'REVIEW - Complete Role Mapping'!$AQ$2:$AQ$700,0))</f>
        <v>Technology Manager, Store Platform</v>
      </c>
      <c r="D112" s="929" t="str">
        <f>INDEX('REVIEW - Complete Role Mapping'!$AF$2:$AF$700,MATCH($A112,'REVIEW - Complete Role Mapping'!$AQ$2:$AQ$700,0))</f>
        <v>Filled</v>
      </c>
      <c r="E112" s="543" t="inlineStr">
        <is>
          <t>Filled</t>
        </is>
      </c>
      <c r="F112" s="1031">
        <f>INDEX('REVIEW - Complete Role Mapping'!$AE$2:$AE$700,MATCH($A112,'REVIEW - Complete Role Mapping'!$AQ$2:$AQ$700,0))</f>
        <v>257754.875</v>
      </c>
      <c r="G112" s="1031">
        <f>$F112*IF(ISNUMBER(SEARCH("WIPRO",INDEX('REVIEW - Complete Role Mapping'!$R$2:$R$700,MATCH($A112,'REVIEW - Complete Role Mapping'!$AQ$2:$AQ$700,0)))),1,IFERROR(INDEX(Lists!$AD$2:$AD$5,MATCH($E112,Lists!$AC$2:$AC$5,0)),NA()))</f>
        <v>257754.875</v>
      </c>
    </row>
    <row r="113"/>
    <row r="114" ht="14.25" customHeight="1" s="535">
      <c r="B114" s="1040" t="inlineStr">
        <is>
          <t>Vacancy levers on this tab, for the executive summary</t>
        </is>
      </c>
      <c r="J114" s="1046">
        <f>COUNTIFS($D$32:$D$112,"Vacant",$E$32:$E$112,"Hire")</f>
        <v>8</v>
      </c>
      <c r="K114" s="1046">
        <f>COUNTIFS($D$32:$D$112,"Vacant",$E$32:$E$112,"Offshore")</f>
        <v>13</v>
      </c>
      <c r="L114" s="1046">
        <f>COUNTIFS($D$32:$D$112,"Vacant",$E$32:$E$112,"Hold")</f>
        <v>1</v>
      </c>
      <c r="M114" s="1046">
        <f>COUNTIFS($D$32:$D$112,"Vacant",$E$32:$E$112,"Filled")</f>
        <v>0</v>
      </c>
      <c r="N114" s="1046">
        <f>COUNTIFS($D$32:$D$112,"Filled",$E$32:$E$112,"Offshore")</f>
        <v>0</v>
      </c>
    </row>
  </sheetData>
  <dataValidations count="1">
    <dataValidation sqref="E33:E43 E45:E54 E56:E61 E63:E67 E69:E74 E76:E81 E83:E90 E92:E95 E97:E104 E106 E108 E110:E11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1"/>
  </sheetPr>
  <dimension ref="A1:T132"/>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Q29" activeCellId="0" sqref="Q29"/>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Customer - working copy</t>
        </is>
      </c>
    </row>
    <row r="3" ht="14.25" customHeight="1" s="535">
      <c r="B3" s="709" t="inlineStr">
        <is>
          <t>Portfolio</t>
        </is>
      </c>
      <c r="C3" s="868" t="inlineStr">
        <is>
          <t>Customer</t>
        </is>
      </c>
    </row>
    <row r="4" ht="18.75" customHeight="1" s="535">
      <c r="B4" s="537" t="inlineStr">
        <is>
          <t>Customer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Ampol App</t>
        </is>
      </c>
      <c r="C8" s="929" t="str">
        <f>IFERROR(IF(INDEX('1.2 Customer'!$C$29:$C$56,MATCH($B8,'1.2 Customer'!$B$29:$B$56,0))="","",INDEX('1.2 Customer'!$C$29:$C$56,MATCH($B8,'1.2 Customer'!$B$29:$B$56,0))),"Not on the 1.x tab")</f>
        <v>Product</v>
      </c>
      <c r="D8" s="929" t="str">
        <f>IFERROR(IF(INDEX('1.2 Customer'!$D$29:$D$56,MATCH($B8,'1.2 Customer'!$B$29:$B$56,0))="","",INDEX('1.2 Customer'!$D$29:$D$56,MATCH($B8,'1.2 Customer'!$B$29:$B$56,0))),"")</f>
        <v>L</v>
      </c>
      <c r="E8" s="1030">
        <f>IFERROR(INDEX('0.3 Squad Archetypes'!$F$5:$F$23,MATCH($C8&amp;"|"&amp;$D8,'0.3 Squad Archetypes'!$A$5:$A$23,0)),"")</f>
        <v>12</v>
      </c>
      <c r="F8" s="1031">
        <f>COUNTIF($B$36:$B$49,"?*")</f>
        <v>14</v>
      </c>
      <c r="G8" s="1030">
        <f>ROUND(SUMIFS('REVIEW - Complete Role Mapping'!$P$2:$P$700,'REVIEW - Complete Role Mapping'!$AH$2:$AH$700,$C$3,'REVIEW - Complete Role Mapping'!$AL$2:$AL$700,$B8),2)</f>
        <v>14</v>
      </c>
      <c r="H8" s="1031">
        <f>COUNTIFS($D$36:$D$49,"Filled")</f>
        <v>14</v>
      </c>
      <c r="I8" s="1031">
        <f>COUNTIFS($D$36:$D$49,"Vacant")</f>
        <v>0</v>
      </c>
      <c r="J8" s="1031">
        <f>COUNTIFS($D$36:$D$49,"Vacant",$E$36:$E$49,"Hire")</f>
        <v>0</v>
      </c>
      <c r="K8" s="1031">
        <f>COUNTIFS($E$36:$E$49,"Offshore")</f>
        <v>0</v>
      </c>
      <c r="L8" s="1031">
        <f>COUNTIFS($E$36:$E$49,"Hold")</f>
        <v>0</v>
      </c>
      <c r="M8" s="1031">
        <f>$F8-$L8</f>
        <v>14</v>
      </c>
      <c r="N8" s="1032">
        <f>IFERROR(IF(ISNUMBER(INDEX('1.2 Customer'!$H$29:$H$56,MATCH($B8,'1.2 Customer'!$B$29:$B$56,0))),INDEX('1.2 Customer'!$H$29:$H$56,MATCH($B8,'1.2 Customer'!$B$29:$B$56,0)),""),"")</f>
        <v>2.8</v>
      </c>
      <c r="O8" s="1032">
        <f>SUMIFS('REVIEW - Complete Role Mapping'!$AE$2:$AE$700,'REVIEW - Complete Role Mapping'!$AH$2:$AH$700,$C$3,'REVIEW - Complete Role Mapping'!$AL$2:$AL$700,$B8)/1000000</f>
        <v>3.1812982994</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3.1812982994</v>
      </c>
      <c r="R8" s="1032">
        <f>IFERROR(ROUND(IF(COUNTIF(Lists!$AU$2:$AU$10,$B8),$O8,$Q8)-$N8,6),"")</f>
        <v>0.381298</v>
      </c>
      <c r="S8" s="1032">
        <f>SUM($G$36:$G$49)/1000000</f>
        <v>3.1812982994</v>
      </c>
      <c r="T8" s="1032">
        <f>IFERROR(ROUND($S8-$N8,6),"")</f>
        <v>0.381298</v>
      </c>
    </row>
    <row r="9" ht="14.25" customHeight="1" s="535">
      <c r="B9" s="929" t="inlineStr">
        <is>
          <t>Ampol Loyalty &amp; Martech</t>
        </is>
      </c>
      <c r="C9" s="929" t="str">
        <f>IFERROR(IF(INDEX('1.2 Customer'!$C$29:$C$56,MATCH($B9,'1.2 Customer'!$B$29:$B$56,0))="","",INDEX('1.2 Customer'!$C$29:$C$56,MATCH($B9,'1.2 Customer'!$B$29:$B$56,0))),"Not on the 1.x tab")</f>
        <v>Product</v>
      </c>
      <c r="D9" s="929" t="str">
        <f>IFERROR(IF(INDEX('1.2 Customer'!$D$29:$D$56,MATCH($B9,'1.2 Customer'!$B$29:$B$56,0))="","",INDEX('1.2 Customer'!$D$29:$D$56,MATCH($B9,'1.2 Customer'!$B$29:$B$56,0))),"")</f>
        <v>M</v>
      </c>
      <c r="E9" s="1030">
        <f>IFERROR(INDEX('0.3 Squad Archetypes'!$F$5:$F$23,MATCH($C9&amp;"|"&amp;$D9,'0.3 Squad Archetypes'!$A$5:$A$23,0)),"")</f>
        <v>8.5</v>
      </c>
      <c r="F9" s="1031">
        <f>COUNTIF($B$51:$B$59,"?*")</f>
        <v>9</v>
      </c>
      <c r="G9" s="1030">
        <f>ROUND(SUMIFS('REVIEW - Complete Role Mapping'!$P$2:$P$700,'REVIEW - Complete Role Mapping'!$AH$2:$AH$700,$C$3,'REVIEW - Complete Role Mapping'!$AL$2:$AL$700,$B9),2)</f>
        <v>8.8</v>
      </c>
      <c r="H9" s="1031">
        <f>COUNTIFS($D$51:$D$59,"Filled")</f>
        <v>3</v>
      </c>
      <c r="I9" s="1031">
        <f>COUNTIFS($D$51:$D$59,"Vacant")</f>
        <v>6</v>
      </c>
      <c r="J9" s="1031">
        <f>COUNTIFS($D$51:$D$59,"Vacant",$E$51:$E$59,"Hire")</f>
        <v>4</v>
      </c>
      <c r="K9" s="1031">
        <f>COUNTIFS($E$51:$E$59,"Offshore")</f>
        <v>2</v>
      </c>
      <c r="L9" s="1031">
        <f>COUNTIFS($E$51:$E$59,"Hold")</f>
        <v>0</v>
      </c>
      <c r="M9" s="1031">
        <f>$F9-$L9</f>
        <v>9</v>
      </c>
      <c r="N9" s="1032">
        <f>IFERROR(IF(ISNUMBER(INDEX('1.2 Customer'!$H$29:$H$56,MATCH($B9,'1.2 Customer'!$B$29:$B$56,0))),INDEX('1.2 Customer'!$H$29:$H$56,MATCH($B9,'1.2 Customer'!$B$29:$B$56,0)),""),"")</f>
        <v>1.9</v>
      </c>
      <c r="O9" s="1032">
        <f>SUMIFS('REVIEW - Complete Role Mapping'!$AE$2:$AE$700,'REVIEW - Complete Role Mapping'!$AH$2:$AH$700,$C$3,'REVIEW - Complete Role Mapping'!$AL$2:$AL$700,$B9)/1000000</f>
        <v>1.5233390784</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1.5233390784</v>
      </c>
      <c r="R9" s="1032">
        <f>IFERROR(ROUND(IF(COUNTIF(Lists!$AU$2:$AU$10,$B9),$O9,$Q9)-$N9,6),"")</f>
        <v>-0.376661</v>
      </c>
      <c r="S9" s="1032">
        <f>SUM($G$51:$G$59)/1000000</f>
        <v>1.5233390784</v>
      </c>
      <c r="T9" s="1032">
        <f>IFERROR(ROUND($S9-$N9,6),"")</f>
        <v>-0.376661</v>
      </c>
    </row>
    <row r="10" ht="14.25" customHeight="1" s="535">
      <c r="B10" s="929" t="inlineStr">
        <is>
          <t>Ampol Web</t>
        </is>
      </c>
      <c r="C10" s="929" t="str">
        <f>IFERROR(IF(INDEX('1.2 Customer'!$C$29:$C$56,MATCH($B10,'1.2 Customer'!$B$29:$B$56,0))="","",INDEX('1.2 Customer'!$C$29:$C$56,MATCH($B10,'1.2 Customer'!$B$29:$B$56,0))),"Not on the 1.x tab")</f>
        <v>Product</v>
      </c>
      <c r="D10" s="929" t="str">
        <f>IFERROR(IF(INDEX('1.2 Customer'!$D$29:$D$56,MATCH($B10,'1.2 Customer'!$B$29:$B$56,0))="","",INDEX('1.2 Customer'!$D$29:$D$56,MATCH($B10,'1.2 Customer'!$B$29:$B$56,0))),"")</f>
        <v>M</v>
      </c>
      <c r="E10" s="1030">
        <f>IFERROR(INDEX('0.3 Squad Archetypes'!$F$5:$F$23,MATCH($C10&amp;"|"&amp;$D10,'0.3 Squad Archetypes'!$A$5:$A$23,0)),"")</f>
        <v>8.5</v>
      </c>
      <c r="F10" s="1031">
        <f>COUNTIF($B$61:$B$69,"?*")</f>
        <v>9</v>
      </c>
      <c r="G10" s="1030">
        <f>ROUND(SUMIFS('REVIEW - Complete Role Mapping'!$P$2:$P$700,'REVIEW - Complete Role Mapping'!$AH$2:$AH$700,$C$3,'REVIEW - Complete Role Mapping'!$AL$2:$AL$700,$B10),2)</f>
        <v>9</v>
      </c>
      <c r="H10" s="1031">
        <f>COUNTIFS($D$61:$D$69,"Filled")</f>
        <v>9</v>
      </c>
      <c r="I10" s="1031">
        <f>COUNTIFS($D$61:$D$69,"Vacant")</f>
        <v>0</v>
      </c>
      <c r="J10" s="1031">
        <f>COUNTIFS($D$61:$D$69,"Vacant",$E$61:$E$69,"Hire")</f>
        <v>0</v>
      </c>
      <c r="K10" s="1031">
        <f>COUNTIFS($E$61:$E$69,"Offshore")</f>
        <v>0</v>
      </c>
      <c r="L10" s="1031">
        <f>COUNTIFS($E$61:$E$69,"Hold")</f>
        <v>0</v>
      </c>
      <c r="M10" s="1031">
        <f>$F10-$L10</f>
        <v>9</v>
      </c>
      <c r="N10" s="1032">
        <f>IFERROR(IF(ISNUMBER(INDEX('1.2 Customer'!$H$29:$H$56,MATCH($B10,'1.2 Customer'!$B$29:$B$56,0))),INDEX('1.2 Customer'!$H$29:$H$56,MATCH($B10,'1.2 Customer'!$B$29:$B$56,0)),""),"")</f>
        <v>1.9</v>
      </c>
      <c r="O10" s="1032">
        <f>SUMIFS('REVIEW - Complete Role Mapping'!$AE$2:$AE$700,'REVIEW - Complete Role Mapping'!$AH$2:$AH$700,$C$3,'REVIEW - Complete Role Mapping'!$AL$2:$AL$700,$B10)/1000000</f>
        <v>2.1301056</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2.1301056</v>
      </c>
      <c r="R10" s="1032">
        <f>IFERROR(ROUND(IF(COUNTIF(Lists!$AU$2:$AU$10,$B10),$O10,$Q10)-$N10,6),"")</f>
        <v>0.230106</v>
      </c>
      <c r="S10" s="1032">
        <f>SUM($G$61:$G$69)/1000000</f>
        <v>2.1301056</v>
      </c>
      <c r="T10" s="1032">
        <f>IFERROR(ROUND($S10-$N10,6),"")</f>
        <v>0.230106</v>
      </c>
    </row>
    <row r="11" ht="14.25" customHeight="1" s="535">
      <c r="B11" s="929" t="inlineStr">
        <is>
          <t>Customer, AI</t>
        </is>
      </c>
      <c r="C11" s="929" t="str">
        <f>IFERROR(IF(INDEX('1.2 Customer'!$C$29:$C$56,MATCH($B11,'1.2 Customer'!$B$29:$B$56,0))="","",INDEX('1.2 Customer'!$C$29:$C$56,MATCH($B11,'1.2 Customer'!$B$29:$B$56,0))),"Not on the 1.x tab")</f>
        <v>Engineering</v>
      </c>
      <c r="D11" s="929" t="str">
        <f>IFERROR(IF(INDEX('1.2 Customer'!$D$29:$D$56,MATCH($B11,'1.2 Customer'!$B$29:$B$56,0))="","",INDEX('1.2 Customer'!$D$29:$D$56,MATCH($B11,'1.2 Customer'!$B$29:$B$56,0))),"")</f>
        <v>S</v>
      </c>
      <c r="E11" s="1030">
        <f>IFERROR(INDEX('0.3 Squad Archetypes'!$F$5:$F$23,MATCH($C11&amp;"|"&amp;$D11,'0.3 Squad Archetypes'!$A$5:$A$23,0)),"")</f>
        <v>4.5</v>
      </c>
      <c r="F11" s="1031">
        <f>COUNTIF($B$71:$B$72,"?*")</f>
        <v>2</v>
      </c>
      <c r="G11" s="1030">
        <f>ROUND(SUMIFS('REVIEW - Complete Role Mapping'!$P$2:$P$700,'REVIEW - Complete Role Mapping'!$AH$2:$AH$700,$C$3,'REVIEW - Complete Role Mapping'!$AL$2:$AL$700,$B11),2)</f>
        <v>2</v>
      </c>
      <c r="H11" s="1031">
        <f>COUNTIFS($D$71:$D$72,"Filled")</f>
        <v>0</v>
      </c>
      <c r="I11" s="1031">
        <f>COUNTIFS($D$71:$D$72,"Vacant")</f>
        <v>2</v>
      </c>
      <c r="J11" s="1031">
        <f>COUNTIFS($D$71:$D$72,"Vacant",$E$71:$E$72,"Hire")</f>
        <v>2</v>
      </c>
      <c r="K11" s="1031">
        <f>COUNTIFS($E$71:$E$72,"Offshore")</f>
        <v>0</v>
      </c>
      <c r="L11" s="1031">
        <f>COUNTIFS($E$71:$E$72,"Hold")</f>
        <v>0</v>
      </c>
      <c r="M11" s="1031">
        <f>$F11-$L11</f>
        <v>2</v>
      </c>
      <c r="N11" s="1032">
        <f>IFERROR(IF(ISNUMBER(INDEX('1.2 Customer'!$H$29:$H$56,MATCH($B11,'1.2 Customer'!$B$29:$B$56,0))),INDEX('1.2 Customer'!$H$29:$H$56,MATCH($B11,'1.2 Customer'!$B$29:$B$56,0)),""),"")</f>
        <v>0.8</v>
      </c>
      <c r="O11" s="1032">
        <f>SUMIFS('REVIEW - Complete Role Mapping'!$AE$2:$AE$700,'REVIEW - Complete Role Mapping'!$AH$2:$AH$700,$C$3,'REVIEW - Complete Role Mapping'!$AL$2:$AL$700,$B11)/1000000</f>
        <v>0.3895797</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0.3895797</v>
      </c>
      <c r="R11" s="1032">
        <f>IFERROR(ROUND(IF(COUNTIF(Lists!$AU$2:$AU$10,$B11),$O11,$Q11)-$N11,6),"")</f>
        <v>-0.41042</v>
      </c>
      <c r="S11" s="1032">
        <f>SUM($G$71:$G$72)/1000000</f>
        <v>0.3895797</v>
      </c>
      <c r="T11" s="1032">
        <f>IFERROR(ROUND($S11-$N11,6),"")</f>
        <v>-0.41042</v>
      </c>
    </row>
    <row r="12" ht="14.25" customHeight="1" s="535">
      <c r="B12" s="929" t="inlineStr">
        <is>
          <t>Digital Operations</t>
        </is>
      </c>
      <c r="C12" s="929" t="str">
        <f>IFERROR(IF(INDEX('1.2 Customer'!$C$29:$C$56,MATCH($B12,'1.2 Customer'!$B$29:$B$56,0))="","",INDEX('1.2 Customer'!$C$29:$C$56,MATCH($B12,'1.2 Customer'!$B$29:$B$56,0))),"Not on the 1.x tab")</f>
        <v>Operations</v>
      </c>
      <c r="D12" s="929" t="str">
        <f>IFERROR(IF(INDEX('1.2 Customer'!$D$29:$D$56,MATCH($B12,'1.2 Customer'!$B$29:$B$56,0))="","",INDEX('1.2 Customer'!$D$29:$D$56,MATCH($B12,'1.2 Customer'!$B$29:$B$56,0))),"")</f>
        <v>M</v>
      </c>
      <c r="E12" s="1030">
        <f>IFERROR(INDEX('0.3 Squad Archetypes'!$F$5:$F$23,MATCH($C12&amp;"|"&amp;$D12,'0.3 Squad Archetypes'!$A$5:$A$23,0)),"")</f>
        <v>6</v>
      </c>
      <c r="F12" s="1031">
        <f>COUNTIF($B$74:$B$79,"?*")</f>
        <v>6</v>
      </c>
      <c r="G12" s="1030">
        <f>ROUND(SUMIFS('REVIEW - Complete Role Mapping'!$P$2:$P$700,'REVIEW - Complete Role Mapping'!$AH$2:$AH$700,$C$3,'REVIEW - Complete Role Mapping'!$AL$2:$AL$700,$B12),2)</f>
        <v>6</v>
      </c>
      <c r="H12" s="1031">
        <f>COUNTIFS($D$74:$D$79,"Filled")</f>
        <v>3</v>
      </c>
      <c r="I12" s="1031">
        <f>COUNTIFS($D$74:$D$79,"Vacant")</f>
        <v>3</v>
      </c>
      <c r="J12" s="1031">
        <f>COUNTIFS($D$74:$D$79,"Vacant",$E$74:$E$79,"Hire")</f>
        <v>0</v>
      </c>
      <c r="K12" s="1031">
        <f>COUNTIFS($E$74:$E$79,"Offshore")</f>
        <v>4</v>
      </c>
      <c r="L12" s="1031">
        <f>COUNTIFS($E$74:$E$79,"Hold")</f>
        <v>0</v>
      </c>
      <c r="M12" s="1031">
        <f>$F12-$L12</f>
        <v>6</v>
      </c>
      <c r="N12" s="1032">
        <f>IFERROR(IF(ISNUMBER(INDEX('1.2 Customer'!$H$29:$H$56,MATCH($B12,'1.2 Customer'!$B$29:$B$56,0))),INDEX('1.2 Customer'!$H$29:$H$56,MATCH($B12,'1.2 Customer'!$B$29:$B$56,0)),""),"")</f>
        <v>0.56</v>
      </c>
      <c r="O12" s="1032">
        <f>SUMIFS('REVIEW - Complete Role Mapping'!$AE$2:$AE$700,'REVIEW - Complete Role Mapping'!$AH$2:$AH$700,$C$3,'REVIEW - Complete Role Mapping'!$AL$2:$AL$700,$B12)/1000000</f>
        <v>0.71668945</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v>
      </c>
      <c r="Q12" s="1032">
        <f>$O12-$P12</f>
        <v>0.71668945</v>
      </c>
      <c r="R12" s="1032">
        <f>IFERROR(ROUND(IF(COUNTIF(Lists!$AU$2:$AU$10,$B12),$O12,$Q12)-$N12,6),"")</f>
        <v>0.156689</v>
      </c>
      <c r="S12" s="1032">
        <f>SUM($G$74:$G$79)/1000000</f>
        <v>0.71668945</v>
      </c>
      <c r="T12" s="1032">
        <f>IFERROR(ROUND($S12-$N12,6),"")</f>
        <v>0.156689</v>
      </c>
    </row>
    <row r="13" ht="14.25" customHeight="1" s="535">
      <c r="B13" s="929" t="inlineStr">
        <is>
          <t>Z App and Web</t>
        </is>
      </c>
      <c r="C13" s="929" t="str">
        <f>IFERROR(IF(INDEX('1.2 Customer'!$C$29:$C$56,MATCH($B13,'1.2 Customer'!$B$29:$B$56,0))="","",INDEX('1.2 Customer'!$C$29:$C$56,MATCH($B13,'1.2 Customer'!$B$29:$B$56,0))),"Not on the 1.x tab")</f>
        <v>Product</v>
      </c>
      <c r="D13" s="929" t="str">
        <f>IFERROR(IF(INDEX('1.2 Customer'!$D$29:$D$56,MATCH($B13,'1.2 Customer'!$B$29:$B$56,0))="","",INDEX('1.2 Customer'!$D$29:$D$56,MATCH($B13,'1.2 Customer'!$B$29:$B$56,0))),"")</f>
        <v>S</v>
      </c>
      <c r="E13" s="1030">
        <f>IFERROR(INDEX('0.3 Squad Archetypes'!$F$5:$F$23,MATCH($C13&amp;"|"&amp;$D13,'0.3 Squad Archetypes'!$A$5:$A$23,0)),"")</f>
        <v>5.5</v>
      </c>
      <c r="F13" s="1031">
        <f>COUNTIF($B$100:$B$104,"?*")</f>
        <v>5</v>
      </c>
      <c r="G13" s="1030">
        <f>ROUND(SUMIFS('REVIEW - Complete Role Mapping'!$P$2:$P$700,'REVIEW - Complete Role Mapping'!$AH$2:$AH$700,$C$3,'REVIEW - Complete Role Mapping'!$AL$2:$AL$700,$B13),2)</f>
        <v>5</v>
      </c>
      <c r="H13" s="1031">
        <f>COUNTIFS($D$100:$D$104,"Filled")</f>
        <v>5</v>
      </c>
      <c r="I13" s="1031">
        <f>COUNTIFS($D$100:$D$104,"Vacant")</f>
        <v>0</v>
      </c>
      <c r="J13" s="1031">
        <f>COUNTIFS($D$100:$D$104,"Vacant",$E$100:$E$104,"Hire")</f>
        <v>0</v>
      </c>
      <c r="K13" s="1031">
        <f>COUNTIFS($E$100:$E$104,"Offshore")</f>
        <v>0</v>
      </c>
      <c r="L13" s="1031">
        <f>COUNTIFS($E$100:$E$104,"Hold")</f>
        <v>0</v>
      </c>
      <c r="M13" s="1031">
        <f>$F13-$L13</f>
        <v>5</v>
      </c>
      <c r="N13" s="1032">
        <f>IFERROR(IF(ISNUMBER(INDEX('1.2 Customer'!$H$29:$H$56,MATCH($B13,'1.2 Customer'!$B$29:$B$56,0))),INDEX('1.2 Customer'!$H$29:$H$56,MATCH($B13,'1.2 Customer'!$B$29:$B$56,0)),""),"")</f>
        <v>1.3</v>
      </c>
      <c r="O13" s="1032">
        <f>SUMIFS('REVIEW - Complete Role Mapping'!$AE$2:$AE$700,'REVIEW - Complete Role Mapping'!$AH$2:$AH$700,$C$3,'REVIEW - Complete Role Mapping'!$AL$2:$AL$700,$B13)/1000000</f>
        <v>0.82375716</v>
      </c>
      <c r="P13" s="1032">
        <f>IFERROR(IF(ISNUMBER(INDEX(Lists!$AW$2:$AW$10,MATCH($B13,Lists!$AU$2:$AU$10,0))),INDEX(Lists!$AW$2:$AW$10,MATCH($B13,Lists!$AU$2:$AU$10,0)),SUMIFS('REVIEW - Complete Role Mapping'!$AE$2:$AE$700,'REVIEW - Complete Role Mapping'!$AH$2:$AH$700,$C$3,'REVIEW - Complete Role Mapping'!$AL$2:$AL$700,$B13,'REVIEW - Complete Role Mapping'!$AM$2:$AM$700,1)/1000000),SUMIFS('REVIEW - Complete Role Mapping'!$AE$2:$AE$700,'REVIEW - Complete Role Mapping'!$AH$2:$AH$700,$C$3,'REVIEW - Complete Role Mapping'!$AL$2:$AL$700,$B13,'REVIEW - Complete Role Mapping'!$AM$2:$AM$700,1)/1000000)</f>
        <v>0</v>
      </c>
      <c r="Q13" s="1032">
        <f>$O13-$P13</f>
        <v>0.82375716</v>
      </c>
      <c r="R13" s="1032">
        <f>IFERROR(ROUND(IF(COUNTIF(Lists!$AU$2:$AU$10,$B13),$O13,$Q13)-$N13,6),"")</f>
        <v>-0.476243</v>
      </c>
      <c r="S13" s="1032">
        <f>SUM($G$100:$G$104)/1000000</f>
        <v>0.82375716</v>
      </c>
      <c r="T13" s="1032">
        <f>IFERROR(ROUND($S13-$N13,6),"")</f>
        <v>-0.476243</v>
      </c>
    </row>
    <row r="14" ht="14.25" customHeight="1" s="535">
      <c r="B14" s="929" t="inlineStr">
        <is>
          <t>Z Loyalty &amp; Martech</t>
        </is>
      </c>
      <c r="C14" s="929" t="str">
        <f>IFERROR(IF(INDEX('1.2 Customer'!$C$29:$C$56,MATCH($B14,'1.2 Customer'!$B$29:$B$56,0))="","",INDEX('1.2 Customer'!$C$29:$C$56,MATCH($B14,'1.2 Customer'!$B$29:$B$56,0))),"Not on the 1.x tab")</f>
        <v>Product</v>
      </c>
      <c r="D14" s="929" t="str">
        <f>IFERROR(IF(INDEX('1.2 Customer'!$D$29:$D$56,MATCH($B14,'1.2 Customer'!$B$29:$B$56,0))="","",INDEX('1.2 Customer'!$D$29:$D$56,MATCH($B14,'1.2 Customer'!$B$29:$B$56,0))),"")</f>
        <v>L</v>
      </c>
      <c r="E14" s="1030">
        <f>IFERROR(INDEX('0.3 Squad Archetypes'!$F$5:$F$23,MATCH($C14&amp;"|"&amp;$D14,'0.3 Squad Archetypes'!$A$5:$A$23,0)),"")</f>
        <v>12</v>
      </c>
      <c r="F14" s="1031">
        <f>COUNTIF($B$106:$B$119,"?*")</f>
        <v>14</v>
      </c>
      <c r="G14" s="1030">
        <f>ROUND(SUMIFS('REVIEW - Complete Role Mapping'!$P$2:$P$700,'REVIEW - Complete Role Mapping'!$AH$2:$AH$700,$C$3,'REVIEW - Complete Role Mapping'!$AL$2:$AL$700,$B14),2)</f>
        <v>13.6</v>
      </c>
      <c r="H14" s="1031">
        <f>COUNTIFS($D$106:$D$119,"Filled")</f>
        <v>14</v>
      </c>
      <c r="I14" s="1031">
        <f>COUNTIFS($D$106:$D$119,"Vacant")</f>
        <v>0</v>
      </c>
      <c r="J14" s="1031">
        <f>COUNTIFS($D$106:$D$119,"Vacant",$E$106:$E$119,"Hire")</f>
        <v>0</v>
      </c>
      <c r="K14" s="1031">
        <f>COUNTIFS($E$106:$E$119,"Offshore")</f>
        <v>0</v>
      </c>
      <c r="L14" s="1031">
        <f>COUNTIFS($E$106:$E$119,"Hold")</f>
        <v>0</v>
      </c>
      <c r="M14" s="1031">
        <f>$F14-$L14</f>
        <v>14</v>
      </c>
      <c r="N14" s="1032">
        <f>IFERROR(IF(ISNUMBER(INDEX('1.2 Customer'!$H$29:$H$56,MATCH($B14,'1.2 Customer'!$B$29:$B$56,0))),INDEX('1.2 Customer'!$H$29:$H$56,MATCH($B14,'1.2 Customer'!$B$29:$B$56,0)),""),"")</f>
        <v>2.8</v>
      </c>
      <c r="O14" s="1032">
        <f>SUMIFS('REVIEW - Complete Role Mapping'!$AE$2:$AE$700,'REVIEW - Complete Role Mapping'!$AH$2:$AH$700,$C$3,'REVIEW - Complete Role Mapping'!$AL$2:$AL$700,$B14)/1000000</f>
        <v>1.99178176832</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1.99178176832</v>
      </c>
      <c r="R14" s="1032">
        <f>IFERROR(ROUND(IF(COUNTIF(Lists!$AU$2:$AU$10,$B14),$O14,$Q14)-$N14,6),"")</f>
        <v>-0.808218</v>
      </c>
      <c r="S14" s="1032">
        <f>SUM($G$106:$G$119)/1000000</f>
        <v>1.99178176832</v>
      </c>
      <c r="T14" s="1032">
        <f>IFERROR(ROUND($S14-$N14,6),"")</f>
        <v>-0.808218</v>
      </c>
    </row>
    <row r="15" ht="14.25" customHeight="1" s="535">
      <c r="B15" s="1033" t="inlineStr">
        <is>
          <t>Squads total</t>
        </is>
      </c>
      <c r="C15" s="1033" t="n"/>
      <c r="D15" s="1033" t="n"/>
      <c r="E15" s="1034">
        <f>SUM(E8:E14)</f>
        <v>57</v>
      </c>
      <c r="F15" s="1035">
        <f>SUM(F8:F14)</f>
        <v>59</v>
      </c>
      <c r="G15" s="1034">
        <f>SUM(G8:G14)</f>
        <v>58.4</v>
      </c>
      <c r="H15" s="1035">
        <f>SUM(H8:H14)</f>
        <v>48</v>
      </c>
      <c r="I15" s="1035">
        <f>SUM(I8:I14)</f>
        <v>11</v>
      </c>
      <c r="J15" s="1035">
        <f>SUM(J8:J14)</f>
        <v>6</v>
      </c>
      <c r="K15" s="1035">
        <f>SUM(K8:K14)</f>
        <v>6</v>
      </c>
      <c r="L15" s="1035">
        <f>SUM(L8:L14)</f>
        <v>0</v>
      </c>
      <c r="M15" s="1035">
        <f>SUM(M8:M14)</f>
        <v>59</v>
      </c>
      <c r="N15" s="1036">
        <f>IF(COUNT(N8:N14)=0,"",SUM(N8:N14))</f>
        <v>12.06</v>
      </c>
      <c r="O15" s="1036">
        <f>SUM(O8:O14)</f>
        <v>10.75655105612</v>
      </c>
      <c r="P15" s="1036">
        <f>SUM(P8:P14)</f>
        <v>0</v>
      </c>
      <c r="Q15" s="1036">
        <f>SUM(Q8:Q14)</f>
        <v>10.75655105612</v>
      </c>
      <c r="R15" s="1036">
        <f>IF(COUNT(N8:N14)=7,ROUND($O15-$N15,6),"")</f>
        <v>-1.303449</v>
      </c>
      <c r="S15" s="1036">
        <f>SUM(S8:S14)</f>
        <v>10.75655105612</v>
      </c>
      <c r="T15" s="1036">
        <f>IF(COUNT(N8:N14)=7,ROUND($S15-$N15,6),"")</f>
        <v>-1.303449</v>
      </c>
    </row>
    <row r="16" ht="14.25" customHeight="1" s="535">
      <c r="B16" s="1029" t="inlineStr">
        <is>
          <t>Directly funded programs and platforms</t>
        </is>
      </c>
      <c r="C16" s="1029" t="n"/>
      <c r="D16" s="1029" t="n"/>
      <c r="E16" s="1029" t="n"/>
      <c r="F16" s="1029" t="n"/>
      <c r="G16" s="1029" t="n"/>
      <c r="H16" s="1029" t="n"/>
      <c r="I16" s="1029" t="n"/>
      <c r="J16" s="1029" t="n"/>
      <c r="K16" s="1029" t="n"/>
      <c r="L16" s="1029" t="n"/>
      <c r="M16" s="1029" t="n"/>
      <c r="N16" s="1029" t="n"/>
      <c r="O16" s="1029" t="n"/>
      <c r="P16" s="1029" t="n"/>
      <c r="Q16" s="1029" t="n"/>
      <c r="R16" s="1029" t="n"/>
      <c r="S16" s="1029" t="n"/>
      <c r="T16" s="1029" t="n"/>
    </row>
    <row r="17" ht="14.25" customHeight="1" s="535">
      <c r="B17" s="929" t="inlineStr">
        <is>
          <t>EGI Customer</t>
        </is>
      </c>
      <c r="C17" s="929" t="str">
        <f>IFERROR(IF(INDEX('1.2 Customer'!$C$29:$C$56,MATCH($B17,'1.2 Customer'!$B$29:$B$56,0))="","",INDEX('1.2 Customer'!$C$29:$C$56,MATCH($B17,'1.2 Customer'!$B$29:$B$56,0))),"Not on the 1.x tab")</f>
        <v>Strategic Programs</v>
      </c>
      <c r="D17" s="929">
        <f>IFERROR(IF(INDEX('1.2 Customer'!$D$29:$D$56,MATCH($B17,'1.2 Customer'!$B$29:$B$56,0))="","",INDEX('1.2 Customer'!$D$29:$D$56,MATCH($B17,'1.2 Customer'!$B$29:$B$56,0))),"")</f>
        <v/>
      </c>
      <c r="E17" s="1030">
        <f>""</f>
        <v/>
      </c>
      <c r="F17" s="1031">
        <f>COUNTIF($B$81:$B$90,"?*")</f>
        <v>10</v>
      </c>
      <c r="G17" s="1030">
        <f>ROUND(SUMIFS('REVIEW - Complete Role Mapping'!$P$2:$P$700,'REVIEW - Complete Role Mapping'!$AH$2:$AH$700,$C$3,'REVIEW - Complete Role Mapping'!$AL$2:$AL$700,$B17),2)</f>
        <v>10</v>
      </c>
      <c r="H17" s="1031">
        <f>COUNTIFS($D$81:$D$90,"Filled")</f>
        <v>10</v>
      </c>
      <c r="I17" s="1031">
        <f>COUNTIFS($D$81:$D$90,"Vacant")</f>
        <v>0</v>
      </c>
      <c r="J17" s="1031">
        <f>COUNTIFS($D$81:$D$90,"Vacant",$E$81:$E$90,"Hire")</f>
        <v>0</v>
      </c>
      <c r="K17" s="1031">
        <f>COUNTIFS($E$81:$E$90,"Offshore")</f>
        <v>0</v>
      </c>
      <c r="L17" s="1031">
        <f>COUNTIFS($E$81:$E$90,"Hold")</f>
        <v>0</v>
      </c>
      <c r="M17" s="1031">
        <f>$F17-$L17</f>
        <v>10</v>
      </c>
      <c r="N17" s="1032">
        <f>$O17</f>
        <v>2.0986109</v>
      </c>
      <c r="O17" s="1032">
        <f>SUMIFS('REVIEW - Complete Role Mapping'!$AE$2:$AE$700,'REVIEW - Complete Role Mapping'!$AH$2:$AH$700,$C$3,'REVIEW - Complete Role Mapping'!$AL$2:$AL$700,$B17)/1000000</f>
        <v>2.0986109</v>
      </c>
      <c r="P17" s="1032">
        <f>IFERROR(IF(ISNUMBER(INDEX(Lists!$AW$2:$AW$10,MATCH($B17,Lists!$AU$2:$AU$10,0))),INDEX(Lists!$AW$2:$AW$10,MATCH($B17,Lists!$AU$2:$AU$10,0)),SUMIFS('REVIEW - Complete Role Mapping'!$AE$2:$AE$700,'REVIEW - Complete Role Mapping'!$AH$2:$AH$700,$C$3,'REVIEW - Complete Role Mapping'!$AL$2:$AL$700,$B17,'REVIEW - Complete Role Mapping'!$AM$2:$AM$700,1)/1000000),SUMIFS('REVIEW - Complete Role Mapping'!$AE$2:$AE$700,'REVIEW - Complete Role Mapping'!$AH$2:$AH$700,$C$3,'REVIEW - Complete Role Mapping'!$AL$2:$AL$700,$B17,'REVIEW - Complete Role Mapping'!$AM$2:$AM$700,1)/1000000)</f>
        <v>2.0986109</v>
      </c>
      <c r="Q17" s="1032">
        <f>$O17-$P17</f>
        <v>0</v>
      </c>
      <c r="R17" s="1032">
        <f>IFERROR(ROUND(IF(COUNTIF(Lists!$AU$2:$AU$10,$B17),$O17,$Q17)-$N17,6),"")</f>
        <v>0</v>
      </c>
      <c r="S17" s="1032">
        <f>SUM($G$81:$G$90)/1000000</f>
        <v>2.0986109</v>
      </c>
      <c r="T17" s="1032">
        <f>IFERROR(ROUND($S17-$N17,6),"")</f>
        <v>0</v>
      </c>
    </row>
    <row r="18" ht="14.25" customHeight="1" s="535">
      <c r="B18" s="1029" t="inlineStr">
        <is>
          <t>No archetype in 1.x tabs</t>
        </is>
      </c>
      <c r="C18" s="1029" t="n"/>
      <c r="D18" s="1029" t="n"/>
      <c r="E18" s="1029" t="n"/>
      <c r="F18" s="1029" t="n"/>
      <c r="G18" s="1029" t="n"/>
      <c r="H18" s="1029" t="n"/>
      <c r="I18" s="1029" t="n"/>
      <c r="J18" s="1029" t="n"/>
      <c r="K18" s="1029" t="n"/>
      <c r="L18" s="1029" t="n"/>
      <c r="M18" s="1029" t="n"/>
      <c r="N18" s="1029" t="n"/>
      <c r="O18" s="1029" t="n"/>
      <c r="P18" s="1029" t="n"/>
      <c r="Q18" s="1029" t="n"/>
      <c r="R18" s="1029" t="n"/>
      <c r="S18" s="1029" t="n"/>
      <c r="T18" s="1029" t="n"/>
    </row>
    <row r="19" ht="14.25" customHeight="1" s="535">
      <c r="B19" s="929" t="inlineStr">
        <is>
          <t>Energy</t>
        </is>
      </c>
      <c r="C19" s="929" t="str">
        <f>IFERROR(IF(INDEX('1.2 Customer'!$C$29:$C$56,MATCH($B19,'1.2 Customer'!$B$29:$B$56,0))="","",INDEX('1.2 Customer'!$C$29:$C$56,MATCH($B19,'1.2 Customer'!$B$29:$B$56,0))),"Not on the 1.x tab")</f>
        <v>Not on the 1.x tab</v>
      </c>
      <c r="D19" s="929">
        <f>IFERROR(IF(INDEX('1.2 Customer'!$D$29:$D$56,MATCH($B19,'1.2 Customer'!$B$29:$B$56,0))="","",INDEX('1.2 Customer'!$D$29:$D$56,MATCH($B19,'1.2 Customer'!$B$29:$B$56,0))),"")</f>
        <v/>
      </c>
      <c r="E19" s="1030">
        <f>""</f>
        <v/>
      </c>
      <c r="F19" s="1031">
        <f>COUNTIF($B$92:$B$92,"?*")</f>
        <v>1</v>
      </c>
      <c r="G19" s="1030">
        <f>ROUND(SUMIFS('REVIEW - Complete Role Mapping'!$P$2:$P$700,'REVIEW - Complete Role Mapping'!$AH$2:$AH$700,$C$3,'REVIEW - Complete Role Mapping'!$AL$2:$AL$700,$B19),2)</f>
        <v>1</v>
      </c>
      <c r="H19" s="1031">
        <f>COUNTIFS($D$92:$D$92,"Filled")</f>
        <v>1</v>
      </c>
      <c r="I19" s="1031">
        <f>COUNTIFS($D$92:$D$92,"Vacant")</f>
        <v>0</v>
      </c>
      <c r="J19" s="1031">
        <f>COUNTIFS($D$92:$D$92,"Vacant",$E$92:$E$92,"Hire")</f>
        <v>0</v>
      </c>
      <c r="K19" s="1031">
        <f>COUNTIFS($E$92:$E$92,"Offshore")</f>
        <v>0</v>
      </c>
      <c r="L19" s="1031">
        <f>COUNTIFS($E$92:$E$92,"Hold")</f>
        <v>0</v>
      </c>
      <c r="M19" s="1031">
        <f>$F19-$L19</f>
        <v>1</v>
      </c>
      <c r="N19" s="1032">
        <f>IFERROR(IF(N(INDEX('1.2 Customer'!$H$29:$H$56,MATCH($B19,'1.2 Customer'!$B$29:$B$56,0)))&gt;0,INDEX('1.2 Customer'!$H$29:$H$56,MATCH($B19,'1.2 Customer'!$B$29:$B$56,0)),IF(N(INDEX('1.2 Customer'!$I$29:$I$56,MATCH($B19,'1.2 Customer'!$B$29:$B$56,0)))&gt;0,INDEX('1.2 Customer'!$I$29:$I$56,MATCH($B19,'1.2 Customer'!$B$29:$B$56,0)),"")),"")</f>
        <v/>
      </c>
      <c r="O19" s="1032">
        <f>SUMIFS('REVIEW - Complete Role Mapping'!$AE$2:$AE$700,'REVIEW - Complete Role Mapping'!$AH$2:$AH$700,$C$3,'REVIEW - Complete Role Mapping'!$AL$2:$AL$700,$B19)/1000000</f>
        <v>0.13676</v>
      </c>
      <c r="P19" s="1032">
        <f>IFERROR(IF(ISNUMBER(INDEX(Lists!$AW$2:$AW$10,MATCH($B19,Lists!$AU$2:$AU$10,0))),INDEX(Lists!$AW$2:$AW$10,MATCH($B19,Lists!$AU$2:$AU$10,0)),SUMIFS('REVIEW - Complete Role Mapping'!$AE$2:$AE$700,'REVIEW - Complete Role Mapping'!$AH$2:$AH$700,$C$3,'REVIEW - Complete Role Mapping'!$AL$2:$AL$700,$B19,'REVIEW - Complete Role Mapping'!$AM$2:$AM$700,1)/1000000),SUMIFS('REVIEW - Complete Role Mapping'!$AE$2:$AE$700,'REVIEW - Complete Role Mapping'!$AH$2:$AH$700,$C$3,'REVIEW - Complete Role Mapping'!$AL$2:$AL$700,$B19,'REVIEW - Complete Role Mapping'!$AM$2:$AM$700,1)/1000000)</f>
        <v>0</v>
      </c>
      <c r="Q19" s="1032">
        <f>$O19-$P19</f>
        <v>0.13676</v>
      </c>
      <c r="R19" s="1032">
        <f>IFERROR(ROUND(IF(COUNTIF(Lists!$AU$2:$AU$10,$B19),$O19,$Q19)-$N19,6),"")</f>
        <v/>
      </c>
      <c r="S19" s="1032">
        <f>SUM($G$92:$G$92)/1000000</f>
        <v>0.13676</v>
      </c>
      <c r="T19" s="1032">
        <f>IFERROR(ROUND($S19-$N19,6),"")</f>
        <v/>
      </c>
    </row>
    <row r="20" ht="14.25" customHeight="1" s="535">
      <c r="B20" s="929" t="inlineStr">
        <is>
          <t>Leadership</t>
        </is>
      </c>
      <c r="C20" s="929" t="str">
        <f>IFERROR(IF(INDEX('1.2 Customer'!$C$29:$C$56,MATCH($B20,'1.2 Customer'!$B$29:$B$56,0))="","",INDEX('1.2 Customer'!$C$29:$C$56,MATCH($B20,'1.2 Customer'!$B$29:$B$56,0))),"Not on the 1.x tab")</f>
        <v>Not on the 1.x tab</v>
      </c>
      <c r="D20" s="929">
        <f>IFERROR(IF(INDEX('1.2 Customer'!$D$29:$D$56,MATCH($B20,'1.2 Customer'!$B$29:$B$56,0))="","",INDEX('1.2 Customer'!$D$29:$D$56,MATCH($B20,'1.2 Customer'!$B$29:$B$56,0))),"")</f>
        <v/>
      </c>
      <c r="E20" s="1030">
        <f>""</f>
        <v/>
      </c>
      <c r="F20" s="1031">
        <f>COUNTIF($B$94:$B$98,"?*")</f>
        <v>5</v>
      </c>
      <c r="G20" s="1030">
        <f>ROUND(SUMIFS('REVIEW - Complete Role Mapping'!$P$2:$P$700,'REVIEW - Complete Role Mapping'!$AH$2:$AH$700,$C$3,'REVIEW - Complete Role Mapping'!$AL$2:$AL$700,$B20),2)</f>
        <v>5</v>
      </c>
      <c r="H20" s="1031">
        <f>COUNTIFS($D$94:$D$98,"Filled")</f>
        <v>4</v>
      </c>
      <c r="I20" s="1031">
        <f>COUNTIFS($D$94:$D$98,"Vacant")</f>
        <v>1</v>
      </c>
      <c r="J20" s="1031">
        <f>COUNTIFS($D$94:$D$98,"Vacant",$E$94:$E$98,"Hire")</f>
        <v>1</v>
      </c>
      <c r="K20" s="1031">
        <f>COUNTIFS($E$94:$E$98,"Offshore")</f>
        <v>0</v>
      </c>
      <c r="L20" s="1031">
        <f>COUNTIFS($E$94:$E$98,"Hold")</f>
        <v>0</v>
      </c>
      <c r="M20" s="1031">
        <f>$F20-$L20</f>
        <v>5</v>
      </c>
      <c r="N20" s="1032">
        <f>IFERROR(IF(N(INDEX('1.2 Customer'!$H$29:$H$56,MATCH($B20,'1.2 Customer'!$B$29:$B$56,0)))&gt;0,INDEX('1.2 Customer'!$H$29:$H$56,MATCH($B20,'1.2 Customer'!$B$29:$B$56,0)),IF(N(INDEX('1.2 Customer'!$I$29:$I$56,MATCH($B20,'1.2 Customer'!$B$29:$B$56,0)))&gt;0,INDEX('1.2 Customer'!$I$29:$I$56,MATCH($B20,'1.2 Customer'!$B$29:$B$56,0)),"")),"")</f>
        <v/>
      </c>
      <c r="O20" s="1032">
        <f>SUMIFS('REVIEW - Complete Role Mapping'!$AE$2:$AE$700,'REVIEW - Complete Role Mapping'!$AH$2:$AH$700,$C$3,'REVIEW - Complete Role Mapping'!$AL$2:$AL$700,$B20)/1000000</f>
        <v>1.3101297</v>
      </c>
      <c r="P20" s="1032">
        <f>IFERROR(IF(ISNUMBER(INDEX(Lists!$AW$2:$AW$10,MATCH($B20,Lists!$AU$2:$AU$10,0))),INDEX(Lists!$AW$2:$AW$10,MATCH($B20,Lists!$AU$2:$AU$10,0)),SUMIFS('REVIEW - Complete Role Mapping'!$AE$2:$AE$700,'REVIEW - Complete Role Mapping'!$AH$2:$AH$700,$C$3,'REVIEW - Complete Role Mapping'!$AL$2:$AL$700,$B20,'REVIEW - Complete Role Mapping'!$AM$2:$AM$700,1)/1000000),SUMIFS('REVIEW - Complete Role Mapping'!$AE$2:$AE$700,'REVIEW - Complete Role Mapping'!$AH$2:$AH$700,$C$3,'REVIEW - Complete Role Mapping'!$AL$2:$AL$700,$B20,'REVIEW - Complete Role Mapping'!$AM$2:$AM$700,1)/1000000)</f>
        <v>0</v>
      </c>
      <c r="Q20" s="1032">
        <f>$O20-$P20</f>
        <v>1.3101297</v>
      </c>
      <c r="R20" s="1032">
        <f>IFERROR(ROUND(IF(COUNTIF(Lists!$AU$2:$AU$10,$B20),$O20,$Q20)-$N20,6),"")</f>
        <v/>
      </c>
      <c r="S20" s="1032">
        <f>SUM($G$94:$G$98)/1000000</f>
        <v>1.3101297</v>
      </c>
      <c r="T20" s="1032">
        <f>IFERROR(ROUND($S20-$N20,6),"")</f>
        <v/>
      </c>
    </row>
    <row r="21" ht="14.25" customHeight="1" s="535">
      <c r="B21" s="1033" t="inlineStr">
        <is>
          <t>No archetype total</t>
        </is>
      </c>
      <c r="C21" s="1033" t="n"/>
      <c r="D21" s="1033" t="n"/>
      <c r="E21" s="1034">
        <f>SUM(E19:E20)</f>
        <v>0</v>
      </c>
      <c r="F21" s="1035">
        <f>SUM(F19:F20)</f>
        <v>6</v>
      </c>
      <c r="G21" s="1034">
        <f>SUM(G19:G20)</f>
        <v>6</v>
      </c>
      <c r="H21" s="1035">
        <f>SUM(H19:H20)</f>
        <v>5</v>
      </c>
      <c r="I21" s="1035">
        <f>SUM(I19:I20)</f>
        <v>1</v>
      </c>
      <c r="J21" s="1035">
        <f>SUM(J19:J20)</f>
        <v>1</v>
      </c>
      <c r="K21" s="1035">
        <f>SUM(K19:K20)</f>
        <v>0</v>
      </c>
      <c r="L21" s="1035">
        <f>SUM(L19:L20)</f>
        <v>0</v>
      </c>
      <c r="M21" s="1035">
        <f>SUM(M19:M20)</f>
        <v>6</v>
      </c>
      <c r="N21" s="1036">
        <f>IF(COUNT(N19:N20)=0,"",SUM(N19:N20))</f>
        <v/>
      </c>
      <c r="O21" s="1036">
        <f>SUM(O19:O20)</f>
        <v>1.4468897</v>
      </c>
      <c r="P21" s="1036">
        <f>SUM(P19:P20)</f>
        <v>0</v>
      </c>
      <c r="Q21" s="1036">
        <f>SUM(Q19:Q20)</f>
        <v>1.4468897</v>
      </c>
      <c r="R21" s="1036">
        <f>IF(COUNT(N19:N20)=2,ROUND($O21-$N21,6),"")</f>
        <v/>
      </c>
      <c r="S21" s="1036">
        <f>SUM(S19:S20)</f>
        <v>1.4468897</v>
      </c>
      <c r="T21" s="1036">
        <f>IF(COUNT(N19:N20)=2,ROUND($S21-$N21,6),"")</f>
        <v/>
      </c>
    </row>
    <row r="22" ht="14.25" customHeight="1" s="535">
      <c r="B22" s="1029" t="inlineStr">
        <is>
          <t>Overhead roles</t>
        </is>
      </c>
      <c r="C22" s="1029" t="n"/>
      <c r="D22" s="1029" t="n"/>
      <c r="E22" s="1029" t="n"/>
      <c r="F22" s="1029" t="n"/>
      <c r="G22" s="1029" t="n"/>
      <c r="H22" s="1029" t="n"/>
      <c r="I22" s="1029" t="n"/>
      <c r="J22" s="1029" t="n"/>
      <c r="K22" s="1029" t="n"/>
      <c r="L22" s="1029" t="n"/>
      <c r="M22" s="1029" t="n"/>
      <c r="N22" s="1029" t="n"/>
      <c r="O22" s="1029" t="n"/>
      <c r="P22" s="1029" t="n"/>
      <c r="Q22" s="1029" t="n"/>
      <c r="R22" s="1029" t="n"/>
      <c r="S22" s="1029" t="n"/>
      <c r="T22" s="1029" t="n"/>
    </row>
    <row r="23" ht="14.25" customHeight="1" s="535">
      <c r="B23" s="929" t="inlineStr">
        <is>
          <t>Head of Technology</t>
        </is>
      </c>
      <c r="C23" s="929">
        <f>""</f>
        <v/>
      </c>
      <c r="D23" s="929">
        <f>""</f>
        <v/>
      </c>
      <c r="E23" s="1030">
        <f>'0.2 Data Config'!$M$6</f>
        <v>0.5</v>
      </c>
      <c r="F23" s="1031">
        <f>COUNTIF($B$121:$B$122,"?*")</f>
        <v>2</v>
      </c>
      <c r="G23" s="1030">
        <f>ROUND(SUMIFS('REVIEW - Complete Role Mapping'!$P$2:$P$700,'REVIEW - Complete Role Mapping'!$AH$2:$AH$700,$C$3,'REVIEW - Complete Role Mapping'!$AL$2:$AL$700,$B23),2)</f>
        <v>2</v>
      </c>
      <c r="H23" s="1031">
        <f>COUNTIFS($D$121:$D$122,"Filled")</f>
        <v>2</v>
      </c>
      <c r="I23" s="1031">
        <f>COUNTIFS($D$121:$D$122,"Vacant")</f>
        <v>0</v>
      </c>
      <c r="J23" s="1031">
        <f>COUNTIFS($D$121:$D$122,"Vacant",$E$121:$E$122,"Hire")</f>
        <v>0</v>
      </c>
      <c r="K23" s="1031">
        <f>COUNTIFS($E$121:$E$122,"Offshore")</f>
        <v>0</v>
      </c>
      <c r="L23" s="1031">
        <f>COUNTIFS($E$121:$E$122,"Hold")</f>
        <v>0</v>
      </c>
      <c r="M23" s="1031">
        <f>$F23-$L23</f>
        <v>2</v>
      </c>
      <c r="N23" s="1032">
        <f>'0.2 Data Config'!$N$6</f>
        <v>0.1375</v>
      </c>
      <c r="O23" s="1032">
        <f>SUMIFS('REVIEW - Complete Role Mapping'!$AE$2:$AE$700,'REVIEW - Complete Role Mapping'!$AH$2:$AH$700,$C$3,'REVIEW - Complete Role Mapping'!$AL$2:$AL$700,$B23)/1000000</f>
        <v>0.575460448</v>
      </c>
      <c r="P23" s="1032">
        <f>IFERROR(IF(ISNUMBER(INDEX(Lists!$AW$2:$AW$10,MATCH($B23,Lists!$AU$2:$AU$10,0))),INDEX(Lists!$AW$2:$AW$10,MATCH($B23,Lists!$AU$2:$AU$10,0)),SUMIFS('REVIEW - Complete Role Mapping'!$AE$2:$AE$700,'REVIEW - Complete Role Mapping'!$AH$2:$AH$700,$C$3,'REVIEW - Complete Role Mapping'!$AL$2:$AL$700,$B23,'REVIEW - Complete Role Mapping'!$AM$2:$AM$700,1)/1000000),SUMIFS('REVIEW - Complete Role Mapping'!$AE$2:$AE$700,'REVIEW - Complete Role Mapping'!$AH$2:$AH$700,$C$3,'REVIEW - Complete Role Mapping'!$AL$2:$AL$700,$B23,'REVIEW - Complete Role Mapping'!$AM$2:$AM$700,1)/1000000)</f>
        <v>0</v>
      </c>
      <c r="Q23" s="1032">
        <f>$O23-$P23</f>
        <v>0.575460448</v>
      </c>
      <c r="R23" s="1032">
        <f>ROUND(IF(COUNTIF(Lists!$AU$2:$AU$10,$B23),$O23,$Q23)-$N23,6)</f>
        <v>0.43796</v>
      </c>
      <c r="S23" s="1032">
        <f>SUM($G$121:$G$122)/1000000</f>
        <v>0.575460448</v>
      </c>
      <c r="T23" s="1032">
        <f>ROUND($S23-$N23,6)</f>
        <v>0.43796</v>
      </c>
    </row>
    <row r="24" ht="14.25" customHeight="1" s="535">
      <c r="B24" s="929" t="inlineStr">
        <is>
          <t>Delivery Manager</t>
        </is>
      </c>
      <c r="C24" s="929">
        <f>""</f>
        <v/>
      </c>
      <c r="D24" s="929">
        <f>""</f>
        <v/>
      </c>
      <c r="E24" s="1030">
        <f>'0.2 Data Config'!$M$14*(N('1.2 Customer'!$F$7)/'0.2 Data Config'!$N$16)</f>
        <v>0.9</v>
      </c>
      <c r="F24" s="1031">
        <f>COUNTIF($B$124:$B$125,"?*")</f>
        <v>2</v>
      </c>
      <c r="G24" s="1030">
        <f>ROUND(SUMIFS('REVIEW - Complete Role Mapping'!$P$2:$P$700,'REVIEW - Complete Role Mapping'!$AH$2:$AH$700,$C$3,'REVIEW - Complete Role Mapping'!$AL$2:$AL$700,$B24),2)</f>
        <v>2</v>
      </c>
      <c r="H24" s="1031">
        <f>COUNTIFS($D$124:$D$125,"Filled")</f>
        <v>2</v>
      </c>
      <c r="I24" s="1031">
        <f>COUNTIFS($D$124:$D$125,"Vacant")</f>
        <v>0</v>
      </c>
      <c r="J24" s="1031">
        <f>COUNTIFS($D$124:$D$125,"Vacant",$E$124:$E$125,"Hire")</f>
        <v>0</v>
      </c>
      <c r="K24" s="1031">
        <f>COUNTIFS($E$124:$E$125,"Offshore")</f>
        <v>0</v>
      </c>
      <c r="L24" s="1031">
        <f>COUNTIFS($E$124:$E$125,"Hold")</f>
        <v>0</v>
      </c>
      <c r="M24" s="1031">
        <f>$F24-$L24</f>
        <v>2</v>
      </c>
      <c r="N24" s="1032">
        <f>'0.2 Data Config'!$N$14*(N('1.2 Customer'!$F$7)/'0.2 Data Config'!$N$16)</f>
        <v>0.252</v>
      </c>
      <c r="O24" s="1032">
        <f>SUMIFS('REVIEW - Complete Role Mapping'!$AE$2:$AE$700,'REVIEW - Complete Role Mapping'!$AH$2:$AH$700,$C$3,'REVIEW - Complete Role Mapping'!$AL$2:$AL$700,$B24)/1000000</f>
        <v>0.526923808</v>
      </c>
      <c r="P24" s="1032">
        <f>IFERROR(IF(ISNUMBER(INDEX(Lists!$AW$2:$AW$10,MATCH($B24,Lists!$AU$2:$AU$10,0))),INDEX(Lists!$AW$2:$AW$10,MATCH($B24,Lists!$AU$2:$AU$10,0)),SUMIFS('REVIEW - Complete Role Mapping'!$AE$2:$AE$700,'REVIEW - Complete Role Mapping'!$AH$2:$AH$700,$C$3,'REVIEW - Complete Role Mapping'!$AL$2:$AL$700,$B24,'REVIEW - Complete Role Mapping'!$AM$2:$AM$700,1)/1000000),SUMIFS('REVIEW - Complete Role Mapping'!$AE$2:$AE$700,'REVIEW - Complete Role Mapping'!$AH$2:$AH$700,$C$3,'REVIEW - Complete Role Mapping'!$AL$2:$AL$700,$B24,'REVIEW - Complete Role Mapping'!$AM$2:$AM$700,1)/1000000)</f>
        <v>0</v>
      </c>
      <c r="Q24" s="1032">
        <f>$O24-$P24</f>
        <v>0.526923808</v>
      </c>
      <c r="R24" s="1032">
        <f>ROUND(IF(COUNTIF(Lists!$AU$2:$AU$10,$B24),$O24,$Q24)-$N24,6)</f>
        <v>0.274924</v>
      </c>
      <c r="S24" s="1032">
        <f>SUM($G$124:$G$125)/1000000</f>
        <v>0.526923808</v>
      </c>
      <c r="T24" s="1032">
        <f>ROUND($S24-$N24,6)</f>
        <v>0.274924</v>
      </c>
    </row>
    <row r="25" ht="14.25" customHeight="1" s="535">
      <c r="B25" s="929" t="inlineStr">
        <is>
          <t>Technology Manager</t>
        </is>
      </c>
      <c r="C25" s="929">
        <f>""</f>
        <v/>
      </c>
      <c r="D25" s="929">
        <f>""</f>
        <v/>
      </c>
      <c r="E25" s="1030">
        <f>'0.2 Data Config'!$M$15*(N('1.2 Customer'!$F$7)/'0.2 Data Config'!$N$16)</f>
        <v>0.9</v>
      </c>
      <c r="F25" s="1031">
        <f>COUNTIF($B$127:$B$130,"?*")</f>
        <v>4</v>
      </c>
      <c r="G25" s="1030">
        <f>ROUND(SUMIFS('REVIEW - Complete Role Mapping'!$P$2:$P$700,'REVIEW - Complete Role Mapping'!$AH$2:$AH$700,$C$3,'REVIEW - Complete Role Mapping'!$AL$2:$AL$700,$B25),2)</f>
        <v>4</v>
      </c>
      <c r="H25" s="1031">
        <f>COUNTIFS($D$127:$D$130,"Filled")</f>
        <v>3</v>
      </c>
      <c r="I25" s="1031">
        <f>COUNTIFS($D$127:$D$130,"Vacant")</f>
        <v>1</v>
      </c>
      <c r="J25" s="1031">
        <f>COUNTIFS($D$127:$D$130,"Vacant",$E$127:$E$130,"Hire")</f>
        <v>1</v>
      </c>
      <c r="K25" s="1031">
        <f>COUNTIFS($E$127:$E$130,"Offshore")</f>
        <v>0</v>
      </c>
      <c r="L25" s="1031">
        <f>COUNTIFS($E$127:$E$130,"Hold")</f>
        <v>0</v>
      </c>
      <c r="M25" s="1031">
        <f>$F25-$L25</f>
        <v>4</v>
      </c>
      <c r="N25" s="1032">
        <f>'0.2 Data Config'!$N$15*(N('1.2 Customer'!$F$7)/'0.2 Data Config'!$N$16)</f>
        <v>0.243</v>
      </c>
      <c r="O25" s="1032">
        <f>SUMIFS('REVIEW - Complete Role Mapping'!$AE$2:$AE$700,'REVIEW - Complete Role Mapping'!$AH$2:$AH$700,$C$3,'REVIEW - Complete Role Mapping'!$AL$2:$AL$700,$B25)/1000000</f>
        <v>1.03687509</v>
      </c>
      <c r="P25" s="1032">
        <f>IFERROR(IF(ISNUMBER(INDEX(Lists!$AW$2:$AW$10,MATCH($B25,Lists!$AU$2:$AU$10,0))),INDEX(Lists!$AW$2:$AW$10,MATCH($B25,Lists!$AU$2:$AU$10,0)),SUMIFS('REVIEW - Complete Role Mapping'!$AE$2:$AE$700,'REVIEW - Complete Role Mapping'!$AH$2:$AH$700,$C$3,'REVIEW - Complete Role Mapping'!$AL$2:$AL$700,$B25,'REVIEW - Complete Role Mapping'!$AM$2:$AM$700,1)/1000000),SUMIFS('REVIEW - Complete Role Mapping'!$AE$2:$AE$700,'REVIEW - Complete Role Mapping'!$AH$2:$AH$700,$C$3,'REVIEW - Complete Role Mapping'!$AL$2:$AL$700,$B25,'REVIEW - Complete Role Mapping'!$AM$2:$AM$700,1)/1000000)</f>
        <v>0</v>
      </c>
      <c r="Q25" s="1032">
        <f>$O25-$P25</f>
        <v>1.03687509</v>
      </c>
      <c r="R25" s="1032">
        <f>ROUND(IF(COUNTIF(Lists!$AU$2:$AU$10,$B25),$O25,$Q25)-$N25,6)</f>
        <v>0.793875</v>
      </c>
      <c r="S25" s="1032">
        <f>SUM($G$127:$G$130)/1000000</f>
        <v>1.03687509</v>
      </c>
      <c r="T25" s="1032">
        <f>ROUND($S25-$N25,6)</f>
        <v>0.793875</v>
      </c>
    </row>
    <row r="26" ht="14.25" customHeight="1" s="535">
      <c r="B26" s="929" t="inlineStr">
        <is>
          <t>Program Management</t>
        </is>
      </c>
      <c r="C26" s="929">
        <f>""</f>
        <v/>
      </c>
      <c r="D26" s="929">
        <f>""</f>
        <v/>
      </c>
      <c r="E26" s="1030">
        <f>Lists!$AH$8</f>
        <v>1</v>
      </c>
      <c r="F26" s="1031" t="n">
        <v>0</v>
      </c>
      <c r="G26" s="1030">
        <f>ROUND(SUMIFS('REVIEW - Complete Role Mapping'!$P$2:$P$700,'REVIEW - Complete Role Mapping'!$AH$2:$AH$700,$C$3,'REVIEW - Complete Role Mapping'!$AL$2:$AL$700,$B26),2)</f>
        <v>0</v>
      </c>
      <c r="H26" s="1031" t="n">
        <v>0</v>
      </c>
      <c r="I26" s="1031" t="n">
        <v>0</v>
      </c>
      <c r="J26" s="1031" t="n">
        <v>0</v>
      </c>
      <c r="K26" s="1031" t="n">
        <v>0</v>
      </c>
      <c r="L26" s="1031" t="n">
        <v>0</v>
      </c>
      <c r="M26" s="1031">
        <f>$F26-$L26</f>
        <v>0</v>
      </c>
      <c r="N26" s="1032">
        <f>Lists!$AJ$8</f>
        <v>0</v>
      </c>
      <c r="O26" s="1032">
        <f>SUMIFS('REVIEW - Complete Role Mapping'!$AE$2:$AE$700,'REVIEW - Complete Role Mapping'!$AH$2:$AH$700,$C$3,'REVIEW - Complete Role Mapping'!$AL$2:$AL$700,$B26)/1000000</f>
        <v>0</v>
      </c>
      <c r="P26" s="1032">
        <f>IFERROR(IF(ISNUMBER(INDEX(Lists!$AW$2:$AW$10,MATCH($B26,Lists!$AU$2:$AU$10,0))),INDEX(Lists!$AW$2:$AW$10,MATCH($B26,Lists!$AU$2:$AU$10,0)),SUMIFS('REVIEW - Complete Role Mapping'!$AE$2:$AE$700,'REVIEW - Complete Role Mapping'!$AH$2:$AH$700,$C$3,'REVIEW - Complete Role Mapping'!$AL$2:$AL$700,$B26,'REVIEW - Complete Role Mapping'!$AM$2:$AM$700,1)/1000000),SUMIFS('REVIEW - Complete Role Mapping'!$AE$2:$AE$700,'REVIEW - Complete Role Mapping'!$AH$2:$AH$700,$C$3,'REVIEW - Complete Role Mapping'!$AL$2:$AL$700,$B26,'REVIEW - Complete Role Mapping'!$AM$2:$AM$700,1)/1000000)</f>
        <v>0</v>
      </c>
      <c r="Q26" s="1032">
        <f>$O26-$P26</f>
        <v>0</v>
      </c>
      <c r="R26" s="1032">
        <f>ROUND(IF(COUNTIF(Lists!$AU$2:$AU$10,$B26),$O26,$Q26)-$N26,6)</f>
        <v>0</v>
      </c>
      <c r="S26" s="1032" t="n">
        <v>0</v>
      </c>
      <c r="T26" s="1032">
        <f>ROUND($S26-$N26,6)</f>
        <v>0</v>
      </c>
    </row>
    <row r="27" ht="14.25" customHeight="1" s="535">
      <c r="B27" s="1033" t="inlineStr">
        <is>
          <t>Overhead roles total</t>
        </is>
      </c>
      <c r="C27" s="1033" t="n"/>
      <c r="D27" s="1033" t="n"/>
      <c r="E27" s="1034">
        <f>SUM(E23:E26)</f>
        <v>3.3</v>
      </c>
      <c r="F27" s="1035">
        <f>SUM(F23:F26)</f>
        <v>8</v>
      </c>
      <c r="G27" s="1034">
        <f>SUM(G23:G26)</f>
        <v>8</v>
      </c>
      <c r="H27" s="1035">
        <f>SUM(H23:H26)</f>
        <v>7</v>
      </c>
      <c r="I27" s="1035">
        <f>SUM(I23:I26)</f>
        <v>1</v>
      </c>
      <c r="J27" s="1035">
        <f>SUM(J23:J26)</f>
        <v>1</v>
      </c>
      <c r="K27" s="1035">
        <f>SUM(K23:K26)</f>
        <v>0</v>
      </c>
      <c r="L27" s="1035">
        <f>SUM(L23:L26)</f>
        <v>0</v>
      </c>
      <c r="M27" s="1035">
        <f>SUM(M23:M26)</f>
        <v>8</v>
      </c>
      <c r="N27" s="1036">
        <f>IF(COUNT(N23:N26)=0,"",SUM(N23:N26))</f>
        <v>0.6325</v>
      </c>
      <c r="O27" s="1036">
        <f>SUM(O23:O26)</f>
        <v>2.139259346</v>
      </c>
      <c r="P27" s="1036">
        <f>SUM(P23:P26)</f>
        <v>0</v>
      </c>
      <c r="Q27" s="1036">
        <f>SUM(Q23:Q26)</f>
        <v>2.139259346</v>
      </c>
      <c r="R27" s="1036">
        <f>IF(COUNT(N23:N26)=4,ROUND($O27-$N27,6),"")</f>
        <v>1.506759</v>
      </c>
      <c r="S27" s="1036">
        <f>SUM(S23:S26)</f>
        <v>2.139259346</v>
      </c>
      <c r="T27" s="1036">
        <f>IF(COUNT(N23:N26)=4,ROUND($S27-$N27,6),"")</f>
        <v>1.506759</v>
      </c>
    </row>
    <row r="28" ht="14.25" customHeight="1" s="535">
      <c r="B28" s="1037" t="inlineStr">
        <is>
          <t>Portfolio overhead roles (Business Partner, Domain Architect, Leadership) (Required to show archetype FTE)</t>
        </is>
      </c>
      <c r="D28" s="1038">
        <f>""</f>
        <v/>
      </c>
      <c r="E28" s="1030">
        <f>ROUND(SUM('0.2 Data Config'!$M$6:$M$9)*(N('1.2 Customer'!$F$6)/'0.2 Data Config'!$N$10)-(N($E23)),6)</f>
        <v>1.3</v>
      </c>
      <c r="F28" s="1038">
        <f>""</f>
        <v/>
      </c>
      <c r="G28" s="1038">
        <f>""</f>
        <v/>
      </c>
      <c r="H28" s="1038">
        <f>""</f>
        <v/>
      </c>
      <c r="I28" s="1038">
        <f>""</f>
        <v/>
      </c>
      <c r="J28" s="1038">
        <f>""</f>
        <v/>
      </c>
      <c r="K28" s="1038">
        <f>""</f>
        <v/>
      </c>
      <c r="L28" s="1038">
        <f>""</f>
        <v/>
      </c>
      <c r="M28" s="1038">
        <f>""</f>
        <v/>
      </c>
      <c r="N28" s="1032">
        <f>ROUND(N('1.2 Customer'!$F$6)-(N($N23)),6)</f>
        <v>0.66</v>
      </c>
      <c r="O28" s="1038">
        <f>""</f>
        <v/>
      </c>
      <c r="P28" s="1038">
        <f>""</f>
        <v/>
      </c>
      <c r="Q28" s="1038">
        <f>""</f>
        <v/>
      </c>
      <c r="R28" s="1038">
        <f>""</f>
        <v/>
      </c>
      <c r="S28" s="1038">
        <f>""</f>
        <v/>
      </c>
      <c r="T28" s="1038">
        <f>""</f>
        <v/>
      </c>
    </row>
    <row r="29" ht="14.25" customHeight="1" s="535">
      <c r="B29" s="1037" t="inlineStr">
        <is>
          <t>Business Partners and Domain Architects sit in the COEs</t>
        </is>
      </c>
    </row>
    <row r="30" ht="14.25" customHeight="1" s="535">
      <c r="B30" s="886" t="inlineStr">
        <is>
          <t>Total portfolio</t>
        </is>
      </c>
      <c r="C30" s="886" t="n"/>
      <c r="D30" s="886" t="n"/>
      <c r="E30" s="888">
        <f>SUM(E8:E14,E17:E17,E19:E20,E23:E26,E28:E28)</f>
        <v>61.6</v>
      </c>
      <c r="F30" s="1039">
        <f>SUM(F8:F14,F17:F17,F19:F20,F23:F26,F28:F28)</f>
        <v>83</v>
      </c>
      <c r="G30" s="888">
        <f>SUM(G8:G14,G17:G17,G19:G20,G23:G26,G28:G28)</f>
        <v>82.4</v>
      </c>
      <c r="H30" s="1039">
        <f>SUM(H8:H14,H17:H17,H19:H20,H23:H26,H28:H28)</f>
        <v>70</v>
      </c>
      <c r="I30" s="1039">
        <f>SUM(I8:I14,I17:I17,I19:I20,I23:I26,I28:I28)</f>
        <v>13</v>
      </c>
      <c r="J30" s="1039">
        <f>SUM(J8:J14,J17:J17,J19:J20,J23:J26,J28:J28)</f>
        <v>8</v>
      </c>
      <c r="K30" s="1039">
        <f>SUM(K8:K14,K17:K17,K19:K20,K23:K26,K28:K28)</f>
        <v>6</v>
      </c>
      <c r="L30" s="1039">
        <f>SUM(L8:L14,L17:L17,L19:L20,L23:L26,L28:L28)</f>
        <v>0</v>
      </c>
      <c r="M30" s="1039">
        <f>SUM(M8:M14,M17:M17,M19:M20,M23:M26,M28:M28)</f>
        <v>83</v>
      </c>
      <c r="N30" s="889">
        <f>IF(COUNT(N8:N14,N17:N17,N19:N20,N23:N26,N28:N28)=0,"",SUM(N8:N14,N17:N17,N19:N20,N23:N26,N28:N28))</f>
        <v>15.4511109</v>
      </c>
      <c r="O30" s="889">
        <f>SUM(O8:O14,O17:O17,O19:O20,O23:O26,O28:O28)</f>
        <v>16.44131100212</v>
      </c>
      <c r="P30" s="889">
        <f>SUM(P8:P14,P17:P17,P19:P20,P23:P26,P28:P28)</f>
        <v>2.0986109</v>
      </c>
      <c r="Q30" s="889">
        <f>SUM(Q8:Q14,Q17:Q17,Q19:Q20,Q23:Q26,Q28:Q28)</f>
        <v>14.34270010212</v>
      </c>
      <c r="R30" s="889">
        <f>IF(ISNUMBER($N30),ROUND($O30-$N30,6),"")</f>
        <v>0.9902</v>
      </c>
      <c r="S30" s="889">
        <f>SUM(S8:S14,S17:S17,S19:S20,S23:S26,S28:S28)</f>
        <v>16.44131100212</v>
      </c>
      <c r="T30" s="889">
        <f>IF(ISNUMBER($N30),ROUND($S30-$N30,6),"")</f>
        <v>0.9902</v>
      </c>
    </row>
    <row r="31" ht="14.25" customFormat="1" customHeight="1" s="1042"/>
    <row r="32" ht="18.75" customHeight="1" s="535"/>
    <row r="33" ht="33.75" customHeight="1" s="535">
      <c r="B33" s="537" t="inlineStr">
        <is>
          <t>Customer FTE</t>
        </is>
      </c>
      <c r="C33" s="538" t="n"/>
      <c r="D33" s="538" t="n"/>
      <c r="E33" s="538" t="n"/>
      <c r="F33" s="538" t="n"/>
      <c r="G33" s="538" t="n"/>
      <c r="H33" s="929" t="inlineStr">
        <is>
          <t>Vacancy lever: Hire prices the role in full, Hold prices it at 0, Offshore at the Offshore rate set on 0.3 Squad Archetypes.</t>
        </is>
      </c>
    </row>
    <row r="34" ht="28.35" customHeight="1" s="535">
      <c r="A34" s="1040" t="inlineStr">
        <is>
          <t>ID</t>
        </is>
      </c>
      <c r="B34" s="877" t="inlineStr">
        <is>
          <t>Name</t>
        </is>
      </c>
      <c r="C34" s="877" t="inlineStr">
        <is>
          <t>Role</t>
        </is>
      </c>
      <c r="D34" s="877" t="inlineStr">
        <is>
          <t>Status</t>
        </is>
      </c>
      <c r="E34" s="877" t="inlineStr">
        <is>
          <t>Vacancy lever</t>
        </is>
      </c>
      <c r="F34" s="877" t="inlineStr">
        <is>
          <t>Role cost ($)</t>
        </is>
      </c>
      <c r="G34" s="877" t="inlineStr">
        <is>
          <t>Cost after lever ($)</t>
        </is>
      </c>
    </row>
    <row r="35" ht="14.25" customHeight="1" s="535">
      <c r="B35" s="1029" t="inlineStr">
        <is>
          <t>Ampol App</t>
        </is>
      </c>
      <c r="C35" s="1029" t="str">
        <f>COUNTIF($B$36:$B$49,"?*")&amp;IF(COUNTIF($B$36:$B$49,"?*")=1," role"," roles")</f>
        <v>14 roles</v>
      </c>
      <c r="D35" s="1029" t="n"/>
      <c r="E35" s="1029" t="n"/>
      <c r="F35" s="1044">
        <f>SUM(F36:F49)</f>
        <v>3181298.2994</v>
      </c>
      <c r="G35" s="1044">
        <f>SUM(G36:G49)</f>
        <v>3181298.2994</v>
      </c>
    </row>
    <row r="36" ht="14.25" customHeight="1" s="535">
      <c r="A36" s="1045" t="inlineStr">
        <is>
          <t>R0003</t>
        </is>
      </c>
      <c r="B36" s="929" t="str">
        <f>INDEX('REVIEW - Complete Role Mapping'!$B$2:$B$700,MATCH($A36,'REVIEW - Complete Role Mapping'!$AQ$2:$AQ$700,0))</f>
        <v>Peter (Won) Lee</v>
      </c>
      <c r="C36" s="929" t="str">
        <f>INDEX('REVIEW - Complete Role Mapping'!$D$2:$D$700,MATCH($A36,'REVIEW - Complete Role Mapping'!$AQ$2:$AQ$700,0))</f>
        <v>Snr Business Analyst</v>
      </c>
      <c r="D36" s="929" t="str">
        <f>INDEX('REVIEW - Complete Role Mapping'!$AF$2:$AF$700,MATCH($A36,'REVIEW - Complete Role Mapping'!$AQ$2:$AQ$700,0))</f>
        <v>Filled</v>
      </c>
      <c r="E36" s="543" t="inlineStr">
        <is>
          <t>Filled</t>
        </is>
      </c>
      <c r="F36" s="1031">
        <f>INDEX('REVIEW - Complete Role Mapping'!$AE$2:$AE$700,MATCH($A36,'REVIEW - Complete Role Mapping'!$AQ$2:$AQ$700,0))</f>
        <v>259074</v>
      </c>
      <c r="G36" s="1031">
        <f>$F36*IF(ISNUMBER(SEARCH("WIPRO",INDEX('REVIEW - Complete Role Mapping'!$R$2:$R$700,MATCH($A36,'REVIEW - Complete Role Mapping'!$AQ$2:$AQ$700,0)))),1,IFERROR(INDEX(Lists!$AD$2:$AD$5,MATCH($E36,Lists!$AC$2:$AC$5,0)),NA()))</f>
        <v>259074</v>
      </c>
    </row>
    <row r="37" ht="14.25" customHeight="1" s="535">
      <c r="A37" s="1045" t="inlineStr">
        <is>
          <t>R0025</t>
        </is>
      </c>
      <c r="B37" s="929" t="str">
        <f>INDEX('REVIEW - Complete Role Mapping'!$B$2:$B$700,MATCH($A37,'REVIEW - Complete Role Mapping'!$AQ$2:$AQ$700,0))</f>
        <v>Annabel Phu</v>
      </c>
      <c r="C37" s="929" t="str">
        <f>INDEX('REVIEW - Complete Role Mapping'!$D$2:$D$700,MATCH($A37,'REVIEW - Complete Role Mapping'!$AQ$2:$AQ$700,0))</f>
        <v>Engineer - Mobile</v>
      </c>
      <c r="D37" s="929" t="str">
        <f>INDEX('REVIEW - Complete Role Mapping'!$AF$2:$AF$700,MATCH($A37,'REVIEW - Complete Role Mapping'!$AQ$2:$AQ$700,0))</f>
        <v>Filled</v>
      </c>
      <c r="E37" s="543" t="inlineStr">
        <is>
          <t>Filled</t>
        </is>
      </c>
      <c r="F37" s="1031">
        <f>INDEX('REVIEW - Complete Role Mapping'!$AE$2:$AE$700,MATCH($A37,'REVIEW - Complete Role Mapping'!$AQ$2:$AQ$700,0))</f>
        <v>190920</v>
      </c>
      <c r="G37" s="1031">
        <f>$F37*IF(ISNUMBER(SEARCH("WIPRO",INDEX('REVIEW - Complete Role Mapping'!$R$2:$R$700,MATCH($A37,'REVIEW - Complete Role Mapping'!$AQ$2:$AQ$700,0)))),1,IFERROR(INDEX(Lists!$AD$2:$AD$5,MATCH($E37,Lists!$AC$2:$AC$5,0)),NA()))</f>
        <v>190920</v>
      </c>
    </row>
    <row r="38" ht="14.25" customHeight="1" s="535">
      <c r="A38" s="1045" t="inlineStr">
        <is>
          <t>R0028</t>
        </is>
      </c>
      <c r="B38" s="929" t="str">
        <f>INDEX('REVIEW - Complete Role Mapping'!$B$2:$B$700,MATCH($A38,'REVIEW - Complete Role Mapping'!$AQ$2:$AQ$700,0))</f>
        <v>Phillip Kewley</v>
      </c>
      <c r="C38" s="929" t="str">
        <f>INDEX('REVIEW - Complete Role Mapping'!$D$2:$D$700,MATCH($A38,'REVIEW - Complete Role Mapping'!$AQ$2:$AQ$700,0))</f>
        <v>Quality Assurance</v>
      </c>
      <c r="D38" s="929" t="str">
        <f>INDEX('REVIEW - Complete Role Mapping'!$AF$2:$AF$700,MATCH($A38,'REVIEW - Complete Role Mapping'!$AQ$2:$AQ$700,0))</f>
        <v>Filled</v>
      </c>
      <c r="E38" s="543" t="inlineStr">
        <is>
          <t>Filled</t>
        </is>
      </c>
      <c r="F38" s="1031">
        <f>INDEX('REVIEW - Complete Role Mapping'!$AE$2:$AE$700,MATCH($A38,'REVIEW - Complete Role Mapping'!$AQ$2:$AQ$700,0))</f>
        <v>179198.4</v>
      </c>
      <c r="G38" s="1031">
        <f>$F38*IF(ISNUMBER(SEARCH("WIPRO",INDEX('REVIEW - Complete Role Mapping'!$R$2:$R$700,MATCH($A38,'REVIEW - Complete Role Mapping'!$AQ$2:$AQ$700,0)))),1,IFERROR(INDEX(Lists!$AD$2:$AD$5,MATCH($E38,Lists!$AC$2:$AC$5,0)),NA()))</f>
        <v>179198.4</v>
      </c>
    </row>
    <row r="39" ht="14.25" customHeight="1" s="535">
      <c r="A39" s="1045" t="inlineStr">
        <is>
          <t>R0029</t>
        </is>
      </c>
      <c r="B39" s="929" t="str">
        <f>INDEX('REVIEW - Complete Role Mapping'!$B$2:$B$700,MATCH($A39,'REVIEW - Complete Role Mapping'!$AQ$2:$AQ$700,0))</f>
        <v>Sheetal Karkera</v>
      </c>
      <c r="C39" s="929" t="str">
        <f>INDEX('REVIEW - Complete Role Mapping'!$D$2:$D$700,MATCH($A39,'REVIEW - Complete Role Mapping'!$AQ$2:$AQ$700,0))</f>
        <v>Lead Engineer - Mobile</v>
      </c>
      <c r="D39" s="929" t="str">
        <f>INDEX('REVIEW - Complete Role Mapping'!$AF$2:$AF$700,MATCH($A39,'REVIEW - Complete Role Mapping'!$AQ$2:$AQ$700,0))</f>
        <v>Filled</v>
      </c>
      <c r="E39" s="543" t="inlineStr">
        <is>
          <t>Filled</t>
        </is>
      </c>
      <c r="F39" s="1031">
        <f>INDEX('REVIEW - Complete Role Mapping'!$AE$2:$AE$700,MATCH($A39,'REVIEW - Complete Role Mapping'!$AQ$2:$AQ$700,0))</f>
        <v>278166</v>
      </c>
      <c r="G39" s="1031">
        <f>$F39*IF(ISNUMBER(SEARCH("WIPRO",INDEX('REVIEW - Complete Role Mapping'!$R$2:$R$700,MATCH($A39,'REVIEW - Complete Role Mapping'!$AQ$2:$AQ$700,0)))),1,IFERROR(INDEX(Lists!$AD$2:$AD$5,MATCH($E39,Lists!$AC$2:$AC$5,0)),NA()))</f>
        <v>278166</v>
      </c>
    </row>
    <row r="40" ht="14.25" customHeight="1" s="535">
      <c r="A40" s="1045" t="inlineStr">
        <is>
          <t>R0037</t>
        </is>
      </c>
      <c r="B40" s="929" t="str">
        <f>INDEX('REVIEW - Complete Role Mapping'!$B$2:$B$700,MATCH($A40,'REVIEW - Complete Role Mapping'!$AQ$2:$AQ$700,0))</f>
        <v>Anup Antony</v>
      </c>
      <c r="C40" s="929" t="str">
        <f>INDEX('REVIEW - Complete Role Mapping'!$D$2:$D$700,MATCH($A40,'REVIEW - Complete Role Mapping'!$AQ$2:$AQ$700,0))</f>
        <v>Engineer - BE</v>
      </c>
      <c r="D40" s="929" t="str">
        <f>INDEX('REVIEW - Complete Role Mapping'!$AF$2:$AF$700,MATCH($A40,'REVIEW - Complete Role Mapping'!$AQ$2:$AQ$700,0))</f>
        <v>Filled</v>
      </c>
      <c r="E40" s="543" t="inlineStr">
        <is>
          <t>Filled</t>
        </is>
      </c>
      <c r="F40" s="1031">
        <f>INDEX('REVIEW - Complete Role Mapping'!$AE$2:$AE$700,MATCH($A40,'REVIEW - Complete Role Mapping'!$AQ$2:$AQ$700,0))</f>
        <v>270524.2494</v>
      </c>
      <c r="G40" s="1031">
        <f>$F40*IF(ISNUMBER(SEARCH("WIPRO",INDEX('REVIEW - Complete Role Mapping'!$R$2:$R$700,MATCH($A40,'REVIEW - Complete Role Mapping'!$AQ$2:$AQ$700,0)))),1,IFERROR(INDEX(Lists!$AD$2:$AD$5,MATCH($E40,Lists!$AC$2:$AC$5,0)),NA()))</f>
        <v>270524.2494</v>
      </c>
    </row>
    <row r="41" ht="14.25" customHeight="1" s="535">
      <c r="A41" s="1045" t="inlineStr">
        <is>
          <t>R0127</t>
        </is>
      </c>
      <c r="B41" s="929" t="str">
        <f>INDEX('REVIEW - Complete Role Mapping'!$B$2:$B$700,MATCH($A41,'REVIEW - Complete Role Mapping'!$AQ$2:$AQ$700,0))</f>
        <v>Penny Pennisi</v>
      </c>
      <c r="C41" s="929" t="str">
        <f>INDEX('REVIEW - Complete Role Mapping'!$D$2:$D$700,MATCH($A41,'REVIEW - Complete Role Mapping'!$AQ$2:$AQ$700,0))</f>
        <v>Delivery Lead</v>
      </c>
      <c r="D41" s="929" t="str">
        <f>INDEX('REVIEW - Complete Role Mapping'!$AF$2:$AF$700,MATCH($A41,'REVIEW - Complete Role Mapping'!$AQ$2:$AQ$700,0))</f>
        <v>Filled</v>
      </c>
      <c r="E41" s="543" t="inlineStr">
        <is>
          <t>Filled</t>
        </is>
      </c>
      <c r="F41" s="1031">
        <f>INDEX('REVIEW - Complete Role Mapping'!$AE$2:$AE$700,MATCH($A41,'REVIEW - Complete Role Mapping'!$AQ$2:$AQ$700,0))</f>
        <v>254958.3</v>
      </c>
      <c r="G41" s="1031">
        <f>$F41*IF(ISNUMBER(SEARCH("WIPRO",INDEX('REVIEW - Complete Role Mapping'!$R$2:$R$700,MATCH($A41,'REVIEW - Complete Role Mapping'!$AQ$2:$AQ$700,0)))),1,IFERROR(INDEX(Lists!$AD$2:$AD$5,MATCH($E41,Lists!$AC$2:$AC$5,0)),NA()))</f>
        <v>254958.3</v>
      </c>
    </row>
    <row r="42" ht="14.25" customHeight="1" s="535">
      <c r="A42" s="1045" t="inlineStr">
        <is>
          <t>R0129</t>
        </is>
      </c>
      <c r="B42" s="929" t="str">
        <f>INDEX('REVIEW - Complete Role Mapping'!$B$2:$B$700,MATCH($A42,'REVIEW - Complete Role Mapping'!$AQ$2:$AQ$700,0))</f>
        <v>Alisha Allport</v>
      </c>
      <c r="C42" s="929" t="str">
        <f>INDEX('REVIEW - Complete Role Mapping'!$D$2:$D$700,MATCH($A42,'REVIEW - Complete Role Mapping'!$AQ$2:$AQ$700,0))</f>
        <v>Principal Experience Designer</v>
      </c>
      <c r="D42" s="929" t="str">
        <f>INDEX('REVIEW - Complete Role Mapping'!$AF$2:$AF$700,MATCH($A42,'REVIEW - Complete Role Mapping'!$AQ$2:$AQ$700,0))</f>
        <v>Filled</v>
      </c>
      <c r="E42" s="543" t="inlineStr">
        <is>
          <t>Filled</t>
        </is>
      </c>
      <c r="F42" s="1031">
        <f>INDEX('REVIEW - Complete Role Mapping'!$AE$2:$AE$700,MATCH($A42,'REVIEW - Complete Role Mapping'!$AQ$2:$AQ$700,0))</f>
        <v>235333.8</v>
      </c>
      <c r="G42" s="1031">
        <f>$F42*IF(ISNUMBER(SEARCH("WIPRO",INDEX('REVIEW - Complete Role Mapping'!$R$2:$R$700,MATCH($A42,'REVIEW - Complete Role Mapping'!$AQ$2:$AQ$700,0)))),1,IFERROR(INDEX(Lists!$AD$2:$AD$5,MATCH($E42,Lists!$AC$2:$AC$5,0)),NA()))</f>
        <v>235333.8</v>
      </c>
    </row>
    <row r="43" ht="14.25" customHeight="1" s="535">
      <c r="A43" s="1045" t="inlineStr">
        <is>
          <t>R0131</t>
        </is>
      </c>
      <c r="B43" s="929" t="str">
        <f>INDEX('REVIEW - Complete Role Mapping'!$B$2:$B$700,MATCH($A43,'REVIEW - Complete Role Mapping'!$AQ$2:$AQ$700,0))</f>
        <v>Maria Salman</v>
      </c>
      <c r="C43" s="929" t="str">
        <f>INDEX('REVIEW - Complete Role Mapping'!$D$2:$D$700,MATCH($A43,'REVIEW - Complete Role Mapping'!$AQ$2:$AQ$700,0))</f>
        <v>Experience Designer</v>
      </c>
      <c r="D43" s="929" t="str">
        <f>INDEX('REVIEW - Complete Role Mapping'!$AF$2:$AF$700,MATCH($A43,'REVIEW - Complete Role Mapping'!$AQ$2:$AQ$700,0))</f>
        <v>Filled</v>
      </c>
      <c r="E43" s="543" t="inlineStr">
        <is>
          <t>Filled</t>
        </is>
      </c>
      <c r="F43" s="1031">
        <f>INDEX('REVIEW - Complete Role Mapping'!$AE$2:$AE$700,MATCH($A43,'REVIEW - Complete Role Mapping'!$AQ$2:$AQ$700,0))</f>
        <v>240302</v>
      </c>
      <c r="G43" s="1031">
        <f>$F43*IF(ISNUMBER(SEARCH("WIPRO",INDEX('REVIEW - Complete Role Mapping'!$R$2:$R$700,MATCH($A43,'REVIEW - Complete Role Mapping'!$AQ$2:$AQ$700,0)))),1,IFERROR(INDEX(Lists!$AD$2:$AD$5,MATCH($E43,Lists!$AC$2:$AC$5,0)),NA()))</f>
        <v>240302</v>
      </c>
    </row>
    <row r="44" ht="14.25" customHeight="1" s="535">
      <c r="A44" s="1045" t="inlineStr">
        <is>
          <t>R0143</t>
        </is>
      </c>
      <c r="B44" s="929" t="str">
        <f>INDEX('REVIEW - Complete Role Mapping'!$B$2:$B$700,MATCH($A44,'REVIEW - Complete Role Mapping'!$AQ$2:$AQ$700,0))</f>
        <v>Khalid Mahmud</v>
      </c>
      <c r="C44" s="929" t="str">
        <f>INDEX('REVIEW - Complete Role Mapping'!$D$2:$D$700,MATCH($A44,'REVIEW - Complete Role Mapping'!$AQ$2:$AQ$700,0))</f>
        <v>Lead Engineer - BE</v>
      </c>
      <c r="D44" s="929" t="str">
        <f>INDEX('REVIEW - Complete Role Mapping'!$AF$2:$AF$700,MATCH($A44,'REVIEW - Complete Role Mapping'!$AQ$2:$AQ$700,0))</f>
        <v>Filled</v>
      </c>
      <c r="E44" s="543" t="inlineStr">
        <is>
          <t>Filled</t>
        </is>
      </c>
      <c r="F44" s="1031">
        <f>INDEX('REVIEW - Complete Role Mapping'!$AE$2:$AE$700,MATCH($A44,'REVIEW - Complete Role Mapping'!$AQ$2:$AQ$700,0))</f>
        <v>260204.85</v>
      </c>
      <c r="G44" s="1031">
        <f>$F44*IF(ISNUMBER(SEARCH("WIPRO",INDEX('REVIEW - Complete Role Mapping'!$R$2:$R$700,MATCH($A44,'REVIEW - Complete Role Mapping'!$AQ$2:$AQ$700,0)))),1,IFERROR(INDEX(Lists!$AD$2:$AD$5,MATCH($E44,Lists!$AC$2:$AC$5,0)),NA()))</f>
        <v>260204.85</v>
      </c>
    </row>
    <row r="45" ht="14.25" customHeight="1" s="535">
      <c r="A45" s="1045" t="inlineStr">
        <is>
          <t>R0266</t>
        </is>
      </c>
      <c r="B45" s="929" t="str">
        <f>INDEX('REVIEW - Complete Role Mapping'!$B$2:$B$700,MATCH($A45,'REVIEW - Complete Role Mapping'!$AQ$2:$AQ$700,0))</f>
        <v>Edwin Justin</v>
      </c>
      <c r="C45" s="929" t="str">
        <f>INDEX('REVIEW - Complete Role Mapping'!$D$2:$D$700,MATCH($A45,'REVIEW - Complete Role Mapping'!$AQ$2:$AQ$700,0))</f>
        <v>Senior Engineer - BE</v>
      </c>
      <c r="D45" s="929" t="str">
        <f>INDEX('REVIEW - Complete Role Mapping'!$AF$2:$AF$700,MATCH($A45,'REVIEW - Complete Role Mapping'!$AQ$2:$AQ$700,0))</f>
        <v>Filled</v>
      </c>
      <c r="E45" s="543" t="inlineStr">
        <is>
          <t>Filled</t>
        </is>
      </c>
      <c r="F45" s="1031">
        <f>INDEX('REVIEW - Complete Role Mapping'!$AE$2:$AE$700,MATCH($A45,'REVIEW - Complete Role Mapping'!$AQ$2:$AQ$700,0))</f>
        <v>216043.05</v>
      </c>
      <c r="G45" s="1031">
        <f>$F45*IF(ISNUMBER(SEARCH("WIPRO",INDEX('REVIEW - Complete Role Mapping'!$R$2:$R$700,MATCH($A45,'REVIEW - Complete Role Mapping'!$AQ$2:$AQ$700,0)))),1,IFERROR(INDEX(Lists!$AD$2:$AD$5,MATCH($E45,Lists!$AC$2:$AC$5,0)),NA()))</f>
        <v>216043.05</v>
      </c>
    </row>
    <row r="46" ht="14.25" customHeight="1" s="535">
      <c r="A46" s="1045" t="inlineStr">
        <is>
          <t>R0267</t>
        </is>
      </c>
      <c r="B46" s="929" t="str">
        <f>INDEX('REVIEW - Complete Role Mapping'!$B$2:$B$700,MATCH($A46,'REVIEW - Complete Role Mapping'!$AQ$2:$AQ$700,0))</f>
        <v>Binumon Mathai</v>
      </c>
      <c r="C46" s="929" t="str">
        <f>INDEX('REVIEW - Complete Role Mapping'!$D$2:$D$700,MATCH($A46,'REVIEW - Complete Role Mapping'!$AQ$2:$AQ$700,0))</f>
        <v>Senior Quality Assurance</v>
      </c>
      <c r="D46" s="929" t="str">
        <f>INDEX('REVIEW - Complete Role Mapping'!$AF$2:$AF$700,MATCH($A46,'REVIEW - Complete Role Mapping'!$AQ$2:$AQ$700,0))</f>
        <v>Filled</v>
      </c>
      <c r="E46" s="543" t="inlineStr">
        <is>
          <t>Filled</t>
        </is>
      </c>
      <c r="F46" s="1031">
        <f>INDEX('REVIEW - Complete Role Mapping'!$AE$2:$AE$700,MATCH($A46,'REVIEW - Complete Role Mapping'!$AQ$2:$AQ$700,0))</f>
        <v>218018.85</v>
      </c>
      <c r="G46" s="1031">
        <f>$F46*IF(ISNUMBER(SEARCH("WIPRO",INDEX('REVIEW - Complete Role Mapping'!$R$2:$R$700,MATCH($A46,'REVIEW - Complete Role Mapping'!$AQ$2:$AQ$700,0)))),1,IFERROR(INDEX(Lists!$AD$2:$AD$5,MATCH($E46,Lists!$AC$2:$AC$5,0)),NA()))</f>
        <v>218018.85</v>
      </c>
    </row>
    <row r="47" ht="14.25" customHeight="1" s="535">
      <c r="A47" s="1045" t="inlineStr">
        <is>
          <t>R0269</t>
        </is>
      </c>
      <c r="B47" s="929" t="str">
        <f>INDEX('REVIEW - Complete Role Mapping'!$B$2:$B$700,MATCH($A47,'REVIEW - Complete Role Mapping'!$AQ$2:$AQ$700,0))</f>
        <v>Raj Ganesan</v>
      </c>
      <c r="C47" s="929" t="str">
        <f>INDEX('REVIEW - Complete Role Mapping'!$D$2:$D$700,MATCH($A47,'REVIEW - Complete Role Mapping'!$AQ$2:$AQ$700,0))</f>
        <v>Engineer - Mobile (ios)</v>
      </c>
      <c r="D47" s="929" t="str">
        <f>INDEX('REVIEW - Complete Role Mapping'!$AF$2:$AF$700,MATCH($A47,'REVIEW - Complete Role Mapping'!$AQ$2:$AQ$700,0))</f>
        <v>Filled</v>
      </c>
      <c r="E47" s="543" t="inlineStr">
        <is>
          <t>Filled</t>
        </is>
      </c>
      <c r="F47" s="1031">
        <f>INDEX('REVIEW - Complete Role Mapping'!$AE$2:$AE$700,MATCH($A47,'REVIEW - Complete Role Mapping'!$AQ$2:$AQ$700,0))</f>
        <v>216046.05</v>
      </c>
      <c r="G47" s="1031">
        <f>$F47*IF(ISNUMBER(SEARCH("WIPRO",INDEX('REVIEW - Complete Role Mapping'!$R$2:$R$700,MATCH($A47,'REVIEW - Complete Role Mapping'!$AQ$2:$AQ$700,0)))),1,IFERROR(INDEX(Lists!$AD$2:$AD$5,MATCH($E47,Lists!$AC$2:$AC$5,0)),NA()))</f>
        <v>216046.05</v>
      </c>
    </row>
    <row r="48" ht="14.25" customHeight="1" s="535">
      <c r="A48" s="1045" t="inlineStr">
        <is>
          <t>R0272</t>
        </is>
      </c>
      <c r="B48" s="929" t="str">
        <f>INDEX('REVIEW - Complete Role Mapping'!$B$2:$B$700,MATCH($A48,'REVIEW - Complete Role Mapping'!$AQ$2:$AQ$700,0))</f>
        <v>Toby Clark</v>
      </c>
      <c r="C48" s="929" t="str">
        <f>INDEX('REVIEW - Complete Role Mapping'!$D$2:$D$700,MATCH($A48,'REVIEW - Complete Role Mapping'!$AQ$2:$AQ$700,0))</f>
        <v>Engineer - Mobile (iOS)</v>
      </c>
      <c r="D48" s="929" t="str">
        <f>INDEX('REVIEW - Complete Role Mapping'!$AF$2:$AF$700,MATCH($A48,'REVIEW - Complete Role Mapping'!$AQ$2:$AQ$700,0))</f>
        <v>Filled</v>
      </c>
      <c r="E48" s="543" t="inlineStr">
        <is>
          <t>Filled</t>
        </is>
      </c>
      <c r="F48" s="1031">
        <f>INDEX('REVIEW - Complete Role Mapping'!$AE$2:$AE$700,MATCH($A48,'REVIEW - Complete Role Mapping'!$AQ$2:$AQ$700,0))</f>
        <v>216044.05</v>
      </c>
      <c r="G48" s="1031">
        <f>$F48*IF(ISNUMBER(SEARCH("WIPRO",INDEX('REVIEW - Complete Role Mapping'!$R$2:$R$700,MATCH($A48,'REVIEW - Complete Role Mapping'!$AQ$2:$AQ$700,0)))),1,IFERROR(INDEX(Lists!$AD$2:$AD$5,MATCH($E48,Lists!$AC$2:$AC$5,0)),NA()))</f>
        <v>216044.05</v>
      </c>
    </row>
    <row r="49" ht="14.25" customHeight="1" s="535">
      <c r="A49" s="1045" t="inlineStr">
        <is>
          <t>R0490</t>
        </is>
      </c>
      <c r="B49" s="929" t="str">
        <f>INDEX('REVIEW - Complete Role Mapping'!$B$2:$B$700,MATCH($A49,'REVIEW - Complete Role Mapping'!$AQ$2:$AQ$700,0))</f>
        <v>Ethan Laffan</v>
      </c>
      <c r="C49" s="929" t="str">
        <f>INDEX('REVIEW - Complete Role Mapping'!$D$2:$D$700,MATCH($A49,'REVIEW - Complete Role Mapping'!$AQ$2:$AQ$700,0))</f>
        <v>Associate Experience Designer</v>
      </c>
      <c r="D49" s="929" t="str">
        <f>INDEX('REVIEW - Complete Role Mapping'!$AF$2:$AF$700,MATCH($A49,'REVIEW - Complete Role Mapping'!$AQ$2:$AQ$700,0))</f>
        <v>Filled</v>
      </c>
      <c r="E49" s="543" t="inlineStr">
        <is>
          <t>Filled</t>
        </is>
      </c>
      <c r="F49" s="1031">
        <f>INDEX('REVIEW - Complete Role Mapping'!$AE$2:$AE$700,MATCH($A49,'REVIEW - Complete Role Mapping'!$AQ$2:$AQ$700,0))</f>
        <v>146464.7</v>
      </c>
      <c r="G49" s="1031">
        <f>$F49*IF(ISNUMBER(SEARCH("WIPRO",INDEX('REVIEW - Complete Role Mapping'!$R$2:$R$700,MATCH($A49,'REVIEW - Complete Role Mapping'!$AQ$2:$AQ$700,0)))),1,IFERROR(INDEX(Lists!$AD$2:$AD$5,MATCH($E49,Lists!$AC$2:$AC$5,0)),NA()))</f>
        <v>146464.7</v>
      </c>
    </row>
    <row r="50" ht="14.25" customHeight="1" s="535">
      <c r="B50" s="1029" t="inlineStr">
        <is>
          <t>Ampol Loyalty &amp; Martech</t>
        </is>
      </c>
      <c r="C50" s="1029" t="str">
        <f>COUNTIF($B$51:$B$59,"?*")&amp;IF(COUNTIF($B$51:$B$59,"?*")=1," role"," roles")</f>
        <v>9 roles</v>
      </c>
      <c r="D50" s="1029" t="n"/>
      <c r="E50" s="1029" t="n"/>
      <c r="F50" s="1044">
        <f>SUM(F51:F59)</f>
        <v>1523339.0784</v>
      </c>
      <c r="G50" s="1044">
        <f>SUM(G51:G59)</f>
        <v>1523339.0784</v>
      </c>
    </row>
    <row r="51" ht="14.25" customHeight="1" s="535">
      <c r="A51" s="1045" t="inlineStr">
        <is>
          <t>R0016</t>
        </is>
      </c>
      <c r="B51" s="929" t="str">
        <f>INDEX('REVIEW - Complete Role Mapping'!$B$2:$B$700,MATCH($A51,'REVIEW - Complete Role Mapping'!$AQ$2:$AQ$700,0))</f>
        <v>Vacant</v>
      </c>
      <c r="C51" s="929" t="str">
        <f>INDEX('REVIEW - Complete Role Mapping'!$D$2:$D$700,MATCH($A51,'REVIEW - Complete Role Mapping'!$AQ$2:$AQ$700,0))</f>
        <v>QA / Tester / Mid</v>
      </c>
      <c r="D51" s="929" t="str">
        <f>INDEX('REVIEW - Complete Role Mapping'!$AF$2:$AF$700,MATCH($A51,'REVIEW - Complete Role Mapping'!$AQ$2:$AQ$700,0))</f>
        <v>Vacant</v>
      </c>
      <c r="E51" s="543" t="inlineStr">
        <is>
          <t>Offshore</t>
        </is>
      </c>
      <c r="F51" s="1031">
        <f>INDEX('REVIEW - Complete Role Mapping'!$AE$2:$AE$700,MATCH($A51,'REVIEW - Complete Role Mapping'!$AQ$2:$AQ$700,0))</f>
        <v>73260</v>
      </c>
      <c r="G51" s="1031">
        <f>$F51*IF(ISNUMBER(SEARCH("WIPRO",INDEX('REVIEW - Complete Role Mapping'!$R$2:$R$700,MATCH($A51,'REVIEW - Complete Role Mapping'!$AQ$2:$AQ$700,0)))),1,IFERROR(INDEX(Lists!$AD$2:$AD$5,MATCH($E51,Lists!$AC$2:$AC$5,0)),NA()))</f>
        <v>73260</v>
      </c>
    </row>
    <row r="52" ht="14.25" customHeight="1" s="535">
      <c r="A52" s="1045" t="inlineStr">
        <is>
          <t>R0017</t>
        </is>
      </c>
      <c r="B52" s="929" t="str">
        <f>INDEX('REVIEW - Complete Role Mapping'!$B$2:$B$700,MATCH($A52,'REVIEW - Complete Role Mapping'!$AQ$2:$AQ$700,0))</f>
        <v>Vacant</v>
      </c>
      <c r="C52" s="929" t="str">
        <f>INDEX('REVIEW - Complete Role Mapping'!$D$2:$D$700,MATCH($A52,'REVIEW - Complete Role Mapping'!$AQ$2:$AQ$700,0))</f>
        <v>Systems Analyst / Mid</v>
      </c>
      <c r="D52" s="929" t="str">
        <f>INDEX('REVIEW - Complete Role Mapping'!$AF$2:$AF$700,MATCH($A52,'REVIEW - Complete Role Mapping'!$AQ$2:$AQ$700,0))</f>
        <v>Vacant</v>
      </c>
      <c r="E52" s="543" t="inlineStr">
        <is>
          <t>Offshore</t>
        </is>
      </c>
      <c r="F52" s="1031">
        <f>INDEX('REVIEW - Complete Role Mapping'!$AE$2:$AE$700,MATCH($A52,'REVIEW - Complete Role Mapping'!$AQ$2:$AQ$700,0))</f>
        <v>73260</v>
      </c>
      <c r="G52" s="1031">
        <f>$F52*IF(ISNUMBER(SEARCH("WIPRO",INDEX('REVIEW - Complete Role Mapping'!$R$2:$R$700,MATCH($A52,'REVIEW - Complete Role Mapping'!$AQ$2:$AQ$700,0)))),1,IFERROR(INDEX(Lists!$AD$2:$AD$5,MATCH($E52,Lists!$AC$2:$AC$5,0)),NA()))</f>
        <v>73260</v>
      </c>
    </row>
    <row r="53" ht="14.25" customHeight="1" s="535">
      <c r="A53" s="1045" t="inlineStr">
        <is>
          <t>R0133</t>
        </is>
      </c>
      <c r="B53" s="929" t="str">
        <f>INDEX('REVIEW - Complete Role Mapping'!$B$2:$B$700,MATCH($A53,'REVIEW - Complete Role Mapping'!$AQ$2:$AQ$700,0))</f>
        <v>Angela Gilbert</v>
      </c>
      <c r="C53" s="929" t="str">
        <f>INDEX('REVIEW - Complete Role Mapping'!$D$2:$D$700,MATCH($A53,'REVIEW - Complete Role Mapping'!$AQ$2:$AQ$700,0))</f>
        <v>Martech Lead - Dynamics</v>
      </c>
      <c r="D53" s="929" t="str">
        <f>INDEX('REVIEW - Complete Role Mapping'!$AF$2:$AF$700,MATCH($A53,'REVIEW - Complete Role Mapping'!$AQ$2:$AQ$700,0))</f>
        <v>Filled</v>
      </c>
      <c r="E53" s="543" t="inlineStr">
        <is>
          <t>Filled</t>
        </is>
      </c>
      <c r="F53" s="1031">
        <f>INDEX('REVIEW - Complete Role Mapping'!$AE$2:$AE$700,MATCH($A53,'REVIEW - Complete Role Mapping'!$AQ$2:$AQ$700,0))</f>
        <v>155347.4784</v>
      </c>
      <c r="G53" s="1031">
        <f>$F53*IF(ISNUMBER(SEARCH("WIPRO",INDEX('REVIEW - Complete Role Mapping'!$R$2:$R$700,MATCH($A53,'REVIEW - Complete Role Mapping'!$AQ$2:$AQ$700,0)))),1,IFERROR(INDEX(Lists!$AD$2:$AD$5,MATCH($E53,Lists!$AC$2:$AC$5,0)),NA()))</f>
        <v>155347.4784</v>
      </c>
    </row>
    <row r="54" ht="14.25" customHeight="1" s="535">
      <c r="A54" s="1045" t="inlineStr">
        <is>
          <t>R0138</t>
        </is>
      </c>
      <c r="B54" s="929" t="str">
        <f>INDEX('REVIEW - Complete Role Mapping'!$B$2:$B$700,MATCH($A54,'REVIEW - Complete Role Mapping'!$AQ$2:$AQ$700,0))</f>
        <v>Vacant</v>
      </c>
      <c r="C54" s="929" t="str">
        <f>INDEX('REVIEW - Complete Role Mapping'!$D$2:$D$700,MATCH($A54,'REVIEW - Complete Role Mapping'!$AQ$2:$AQ$700,0))</f>
        <v>Solution Architect</v>
      </c>
      <c r="D54" s="929" t="str">
        <f>INDEX('REVIEW - Complete Role Mapping'!$AF$2:$AF$700,MATCH($A54,'REVIEW - Complete Role Mapping'!$AQ$2:$AQ$700,0))</f>
        <v>Vacant</v>
      </c>
      <c r="E54" s="543" t="inlineStr">
        <is>
          <t>Hire</t>
        </is>
      </c>
      <c r="F54" s="1031">
        <f>INDEX('REVIEW - Complete Role Mapping'!$AE$2:$AE$700,MATCH($A54,'REVIEW - Complete Role Mapping'!$AQ$2:$AQ$700,0))</f>
        <v>235333.8</v>
      </c>
      <c r="G54" s="1031">
        <f>$F54*IF(ISNUMBER(SEARCH("WIPRO",INDEX('REVIEW - Complete Role Mapping'!$R$2:$R$700,MATCH($A54,'REVIEW - Complete Role Mapping'!$AQ$2:$AQ$700,0)))),1,IFERROR(INDEX(Lists!$AD$2:$AD$5,MATCH($E54,Lists!$AC$2:$AC$5,0)),NA()))</f>
        <v>235333.8</v>
      </c>
    </row>
    <row r="55" ht="14.25" customHeight="1" s="535">
      <c r="A55" s="1045" t="inlineStr">
        <is>
          <t>R0276</t>
        </is>
      </c>
      <c r="B55" s="929" t="str">
        <f>INDEX('REVIEW - Complete Role Mapping'!$B$2:$B$700,MATCH($A55,'REVIEW - Complete Role Mapping'!$AQ$2:$AQ$700,0))</f>
        <v>Jawad Hassan</v>
      </c>
      <c r="C55" s="929" t="str">
        <f>INDEX('REVIEW - Complete Role Mapping'!$D$2:$D$700,MATCH($A55,'REVIEW - Complete Role Mapping'!$AQ$2:$AQ$700,0))</f>
        <v>Engineer Data (Snowflake)</v>
      </c>
      <c r="D55" s="929" t="str">
        <f>INDEX('REVIEW - Complete Role Mapping'!$AF$2:$AF$700,MATCH($A55,'REVIEW - Complete Role Mapping'!$AQ$2:$AQ$700,0))</f>
        <v>Filled</v>
      </c>
      <c r="E55" s="543" t="inlineStr">
        <is>
          <t>Filled</t>
        </is>
      </c>
      <c r="F55" s="1031">
        <f>INDEX('REVIEW - Complete Role Mapping'!$AE$2:$AE$700,MATCH($A55,'REVIEW - Complete Role Mapping'!$AQ$2:$AQ$700,0))</f>
        <v>206978.4</v>
      </c>
      <c r="G55" s="1031">
        <f>$F55*IF(ISNUMBER(SEARCH("WIPRO",INDEX('REVIEW - Complete Role Mapping'!$R$2:$R$700,MATCH($A55,'REVIEW - Complete Role Mapping'!$AQ$2:$AQ$700,0)))),1,IFERROR(INDEX(Lists!$AD$2:$AD$5,MATCH($E55,Lists!$AC$2:$AC$5,0)),NA()))</f>
        <v>206978.4</v>
      </c>
    </row>
    <row r="56" ht="14.25" customHeight="1" s="535">
      <c r="A56" s="1045" t="inlineStr">
        <is>
          <t>R0277</t>
        </is>
      </c>
      <c r="B56" s="929" t="str">
        <f>INDEX('REVIEW - Complete Role Mapping'!$B$2:$B$700,MATCH($A56,'REVIEW - Complete Role Mapping'!$AQ$2:$AQ$700,0))</f>
        <v>Jeremy Xu</v>
      </c>
      <c r="C56" s="929" t="str">
        <f>INDEX('REVIEW - Complete Role Mapping'!$D$2:$D$700,MATCH($A56,'REVIEW - Complete Role Mapping'!$AQ$2:$AQ$700,0))</f>
        <v>Data Analyst</v>
      </c>
      <c r="D56" s="929" t="str">
        <f>INDEX('REVIEW - Complete Role Mapping'!$AF$2:$AF$700,MATCH($A56,'REVIEW - Complete Role Mapping'!$AQ$2:$AQ$700,0))</f>
        <v>Filled</v>
      </c>
      <c r="E56" s="543" t="inlineStr">
        <is>
          <t>Filled</t>
        </is>
      </c>
      <c r="F56" s="1031">
        <f>INDEX('REVIEW - Complete Role Mapping'!$AE$2:$AE$700,MATCH($A56,'REVIEW - Complete Role Mapping'!$AQ$2:$AQ$700,0))</f>
        <v>194789.85</v>
      </c>
      <c r="G56" s="1031">
        <f>$F56*IF(ISNUMBER(SEARCH("WIPRO",INDEX('REVIEW - Complete Role Mapping'!$R$2:$R$700,MATCH($A56,'REVIEW - Complete Role Mapping'!$AQ$2:$AQ$700,0)))),1,IFERROR(INDEX(Lists!$AD$2:$AD$5,MATCH($E56,Lists!$AC$2:$AC$5,0)),NA()))</f>
        <v>194789.85</v>
      </c>
    </row>
    <row r="57" ht="14.25" customHeight="1" s="535">
      <c r="A57" s="1045" t="inlineStr">
        <is>
          <t>R0278</t>
        </is>
      </c>
      <c r="B57" s="929" t="str">
        <f>INDEX('REVIEW - Complete Role Mapping'!$B$2:$B$700,MATCH($A57,'REVIEW - Complete Role Mapping'!$AQ$2:$AQ$700,0))</f>
        <v>Vacant</v>
      </c>
      <c r="C57" s="929" t="str">
        <f>INDEX('REVIEW - Complete Role Mapping'!$D$2:$D$700,MATCH($A57,'REVIEW - Complete Role Mapping'!$AQ$2:$AQ$700,0))</f>
        <v>Data Analyst</v>
      </c>
      <c r="D57" s="929" t="str">
        <f>INDEX('REVIEW - Complete Role Mapping'!$AF$2:$AF$700,MATCH($A57,'REVIEW - Complete Role Mapping'!$AQ$2:$AQ$700,0))</f>
        <v>Vacant</v>
      </c>
      <c r="E57" s="543" t="inlineStr">
        <is>
          <t>Hire</t>
        </is>
      </c>
      <c r="F57" s="1031">
        <f>INDEX('REVIEW - Complete Role Mapping'!$AE$2:$AE$700,MATCH($A57,'REVIEW - Complete Role Mapping'!$AQ$2:$AQ$700,0))</f>
        <v>194789.85</v>
      </c>
      <c r="G57" s="1031">
        <f>$F57*IF(ISNUMBER(SEARCH("WIPRO",INDEX('REVIEW - Complete Role Mapping'!$R$2:$R$700,MATCH($A57,'REVIEW - Complete Role Mapping'!$AQ$2:$AQ$700,0)))),1,IFERROR(INDEX(Lists!$AD$2:$AD$5,MATCH($E57,Lists!$AC$2:$AC$5,0)),NA()))</f>
        <v>194789.85</v>
      </c>
    </row>
    <row r="58" ht="14.25" customHeight="1" s="535">
      <c r="A58" s="1045" t="inlineStr">
        <is>
          <t>R0279</t>
        </is>
      </c>
      <c r="B58" s="929" t="str">
        <f>INDEX('REVIEW - Complete Role Mapping'!$B$2:$B$700,MATCH($A58,'REVIEW - Complete Role Mapping'!$AQ$2:$AQ$700,0))</f>
        <v>Vacant</v>
      </c>
      <c r="C58" s="929" t="str">
        <f>INDEX('REVIEW - Complete Role Mapping'!$D$2:$D$700,MATCH($A58,'REVIEW - Complete Role Mapping'!$AQ$2:$AQ$700,0))</f>
        <v>Engineer, Software</v>
      </c>
      <c r="D58" s="929" t="str">
        <f>INDEX('REVIEW - Complete Role Mapping'!$AF$2:$AF$700,MATCH($A58,'REVIEW - Complete Role Mapping'!$AQ$2:$AQ$700,0))</f>
        <v>Vacant</v>
      </c>
      <c r="E58" s="543" t="inlineStr">
        <is>
          <t>Hire</t>
        </is>
      </c>
      <c r="F58" s="1031">
        <f>INDEX('REVIEW - Complete Role Mapping'!$AE$2:$AE$700,MATCH($A58,'REVIEW - Complete Role Mapping'!$AQ$2:$AQ$700,0))</f>
        <v>194789.85</v>
      </c>
      <c r="G58" s="1031">
        <f>$F58*IF(ISNUMBER(SEARCH("WIPRO",INDEX('REVIEW - Complete Role Mapping'!$R$2:$R$700,MATCH($A58,'REVIEW - Complete Role Mapping'!$AQ$2:$AQ$700,0)))),1,IFERROR(INDEX(Lists!$AD$2:$AD$5,MATCH($E58,Lists!$AC$2:$AC$5,0)),NA()))</f>
        <v>194789.85</v>
      </c>
    </row>
    <row r="59" ht="14.25" customHeight="1" s="535">
      <c r="A59" s="1045" t="inlineStr">
        <is>
          <t>R0280</t>
        </is>
      </c>
      <c r="B59" s="929" t="str">
        <f>INDEX('REVIEW - Complete Role Mapping'!$B$2:$B$700,MATCH($A59,'REVIEW - Complete Role Mapping'!$AQ$2:$AQ$700,0))</f>
        <v>Vacant</v>
      </c>
      <c r="C59" s="929" t="str">
        <f>INDEX('REVIEW - Complete Role Mapping'!$D$2:$D$700,MATCH($A59,'REVIEW - Complete Role Mapping'!$AQ$2:$AQ$700,0))</f>
        <v>Snr Engineer, Data</v>
      </c>
      <c r="D59" s="929" t="str">
        <f>INDEX('REVIEW - Complete Role Mapping'!$AF$2:$AF$700,MATCH($A59,'REVIEW - Complete Role Mapping'!$AQ$2:$AQ$700,0))</f>
        <v>Vacant</v>
      </c>
      <c r="E59" s="543" t="inlineStr">
        <is>
          <t>Hire</t>
        </is>
      </c>
      <c r="F59" s="1031">
        <f>INDEX('REVIEW - Complete Role Mapping'!$AE$2:$AE$700,MATCH($A59,'REVIEW - Complete Role Mapping'!$AQ$2:$AQ$700,0))</f>
        <v>194789.85</v>
      </c>
      <c r="G59" s="1031">
        <f>$F59*IF(ISNUMBER(SEARCH("WIPRO",INDEX('REVIEW - Complete Role Mapping'!$R$2:$R$700,MATCH($A59,'REVIEW - Complete Role Mapping'!$AQ$2:$AQ$700,0)))),1,IFERROR(INDEX(Lists!$AD$2:$AD$5,MATCH($E59,Lists!$AC$2:$AC$5,0)),NA()))</f>
        <v>194789.85</v>
      </c>
    </row>
    <row r="60" ht="14.25" customHeight="1" s="535">
      <c r="B60" s="1029" t="inlineStr">
        <is>
          <t>Ampol Web</t>
        </is>
      </c>
      <c r="C60" s="1029" t="str">
        <f>COUNTIF($B$61:$B$69,"?*")&amp;IF(COUNTIF($B$61:$B$69,"?*")=1," role"," roles")</f>
        <v>9 roles</v>
      </c>
      <c r="D60" s="1029" t="n"/>
      <c r="E60" s="1029" t="n"/>
      <c r="F60" s="1044">
        <f>SUM(F61:F69)</f>
        <v>2130105.6</v>
      </c>
      <c r="G60" s="1044">
        <f>SUM(G61:G69)</f>
        <v>2130105.6</v>
      </c>
    </row>
    <row r="61" ht="14.25" customHeight="1" s="535">
      <c r="A61" s="1045" t="inlineStr">
        <is>
          <t>R0002</t>
        </is>
      </c>
      <c r="B61" s="929" t="str">
        <f>INDEX('REVIEW - Complete Role Mapping'!$B$2:$B$700,MATCH($A61,'REVIEW - Complete Role Mapping'!$AQ$2:$AQ$700,0))</f>
        <v>Lily Fong</v>
      </c>
      <c r="C61" s="929" t="str">
        <f>INDEX('REVIEW - Complete Role Mapping'!$D$2:$D$700,MATCH($A61,'REVIEW - Complete Role Mapping'!$AQ$2:$AQ$700,0))</f>
        <v>Snr Business Analyst</v>
      </c>
      <c r="D61" s="929" t="str">
        <f>INDEX('REVIEW - Complete Role Mapping'!$AF$2:$AF$700,MATCH($A61,'REVIEW - Complete Role Mapping'!$AQ$2:$AQ$700,0))</f>
        <v>Filled</v>
      </c>
      <c r="E61" s="543" t="inlineStr">
        <is>
          <t>Filled</t>
        </is>
      </c>
      <c r="F61" s="1031">
        <f>INDEX('REVIEW - Complete Role Mapping'!$AE$2:$AE$700,MATCH($A61,'REVIEW - Complete Role Mapping'!$AQ$2:$AQ$700,0))</f>
        <v>272882.4</v>
      </c>
      <c r="G61" s="1031">
        <f>$F61*IF(ISNUMBER(SEARCH("WIPRO",INDEX('REVIEW - Complete Role Mapping'!$R$2:$R$700,MATCH($A61,'REVIEW - Complete Role Mapping'!$AQ$2:$AQ$700,0)))),1,IFERROR(INDEX(Lists!$AD$2:$AD$5,MATCH($E61,Lists!$AC$2:$AC$5,0)),NA()))</f>
        <v>272882.4</v>
      </c>
    </row>
    <row r="62" ht="14.25" customHeight="1" s="535">
      <c r="A62" s="1045" t="inlineStr">
        <is>
          <t>R0026</t>
        </is>
      </c>
      <c r="B62" s="929" t="str">
        <f>INDEX('REVIEW - Complete Role Mapping'!$B$2:$B$700,MATCH($A62,'REVIEW - Complete Role Mapping'!$AQ$2:$AQ$700,0))</f>
        <v>Jordan Askwith</v>
      </c>
      <c r="C62" s="929" t="str">
        <f>INDEX('REVIEW - Complete Role Mapping'!$D$2:$D$700,MATCH($A62,'REVIEW - Complete Role Mapping'!$AQ$2:$AQ$700,0))</f>
        <v>Solution Architect</v>
      </c>
      <c r="D62" s="929" t="str">
        <f>INDEX('REVIEW - Complete Role Mapping'!$AF$2:$AF$700,MATCH($A62,'REVIEW - Complete Role Mapping'!$AQ$2:$AQ$700,0))</f>
        <v>Filled</v>
      </c>
      <c r="E62" s="543" t="inlineStr">
        <is>
          <t>Filled</t>
        </is>
      </c>
      <c r="F62" s="1031">
        <f>INDEX('REVIEW - Complete Role Mapping'!$AE$2:$AE$700,MATCH($A62,'REVIEW - Complete Role Mapping'!$AQ$2:$AQ$700,0))</f>
        <v>321900</v>
      </c>
      <c r="G62" s="1031">
        <f>$F62*IF(ISNUMBER(SEARCH("WIPRO",INDEX('REVIEW - Complete Role Mapping'!$R$2:$R$700,MATCH($A62,'REVIEW - Complete Role Mapping'!$AQ$2:$AQ$700,0)))),1,IFERROR(INDEX(Lists!$AD$2:$AD$5,MATCH($E62,Lists!$AC$2:$AC$5,0)),NA()))</f>
        <v>321900</v>
      </c>
    </row>
    <row r="63" ht="14.25" customHeight="1" s="535">
      <c r="A63" s="1045" t="inlineStr">
        <is>
          <t>R0030</t>
        </is>
      </c>
      <c r="B63" s="929" t="str">
        <f>INDEX('REVIEW - Complete Role Mapping'!$B$2:$B$700,MATCH($A63,'REVIEW - Complete Role Mapping'!$AQ$2:$AQ$700,0))</f>
        <v>Shreema Das</v>
      </c>
      <c r="C63" s="929" t="str">
        <f>INDEX('REVIEW - Complete Role Mapping'!$D$2:$D$700,MATCH($A63,'REVIEW - Complete Role Mapping'!$AQ$2:$AQ$700,0))</f>
        <v>Solution Architect</v>
      </c>
      <c r="D63" s="929" t="str">
        <f>INDEX('REVIEW - Complete Role Mapping'!$AF$2:$AF$700,MATCH($A63,'REVIEW - Complete Role Mapping'!$AQ$2:$AQ$700,0))</f>
        <v>Filled</v>
      </c>
      <c r="E63" s="543" t="inlineStr">
        <is>
          <t>Filled</t>
        </is>
      </c>
      <c r="F63" s="1031">
        <f>INDEX('REVIEW - Complete Role Mapping'!$AE$2:$AE$700,MATCH($A63,'REVIEW - Complete Role Mapping'!$AQ$2:$AQ$700,0))</f>
        <v>243090.15</v>
      </c>
      <c r="G63" s="1031">
        <f>$F63*IF(ISNUMBER(SEARCH("WIPRO",INDEX('REVIEW - Complete Role Mapping'!$R$2:$R$700,MATCH($A63,'REVIEW - Complete Role Mapping'!$AQ$2:$AQ$700,0)))),1,IFERROR(INDEX(Lists!$AD$2:$AD$5,MATCH($E63,Lists!$AC$2:$AC$5,0)),NA()))</f>
        <v>243090.15</v>
      </c>
    </row>
    <row r="64" ht="14.25" customHeight="1" s="535">
      <c r="A64" s="1045" t="inlineStr">
        <is>
          <t>R0036</t>
        </is>
      </c>
      <c r="B64" s="929" t="str">
        <f>INDEX('REVIEW - Complete Role Mapping'!$B$2:$B$700,MATCH($A64,'REVIEW - Complete Role Mapping'!$AQ$2:$AQ$700,0))</f>
        <v>Aaron (Ming) Lu</v>
      </c>
      <c r="C64" s="929" t="str">
        <f>INDEX('REVIEW - Complete Role Mapping'!$D$2:$D$700,MATCH($A64,'REVIEW - Complete Role Mapping'!$AQ$2:$AQ$700,0))</f>
        <v>Engineer - BE</v>
      </c>
      <c r="D64" s="929" t="str">
        <f>INDEX('REVIEW - Complete Role Mapping'!$AF$2:$AF$700,MATCH($A64,'REVIEW - Complete Role Mapping'!$AQ$2:$AQ$700,0))</f>
        <v>Filled</v>
      </c>
      <c r="E64" s="543" t="inlineStr">
        <is>
          <t>Filled</t>
        </is>
      </c>
      <c r="F64" s="1031">
        <f>INDEX('REVIEW - Complete Role Mapping'!$AE$2:$AE$700,MATCH($A64,'REVIEW - Complete Role Mapping'!$AQ$2:$AQ$700,0))</f>
        <v>277500</v>
      </c>
      <c r="G64" s="1031">
        <f>$F64*IF(ISNUMBER(SEARCH("WIPRO",INDEX('REVIEW - Complete Role Mapping'!$R$2:$R$700,MATCH($A64,'REVIEW - Complete Role Mapping'!$AQ$2:$AQ$700,0)))),1,IFERROR(INDEX(Lists!$AD$2:$AD$5,MATCH($E64,Lists!$AC$2:$AC$5,0)),NA()))</f>
        <v>277500</v>
      </c>
    </row>
    <row r="65" ht="14.25" customHeight="1" s="535">
      <c r="A65" s="1045" t="inlineStr">
        <is>
          <t>R0128</t>
        </is>
      </c>
      <c r="B65" s="929" t="str">
        <f>INDEX('REVIEW - Complete Role Mapping'!$B$2:$B$700,MATCH($A65,'REVIEW - Complete Role Mapping'!$AQ$2:$AQ$700,0))</f>
        <v>Saugata Acharya</v>
      </c>
      <c r="C65" s="929" t="str">
        <f>INDEX('REVIEW - Complete Role Mapping'!$D$2:$D$700,MATCH($A65,'REVIEW - Complete Role Mapping'!$AQ$2:$AQ$700,0))</f>
        <v>Delivery Lead</v>
      </c>
      <c r="D65" s="929" t="str">
        <f>INDEX('REVIEW - Complete Role Mapping'!$AF$2:$AF$700,MATCH($A65,'REVIEW - Complete Role Mapping'!$AQ$2:$AQ$700,0))</f>
        <v>Filled</v>
      </c>
      <c r="E65" s="543" t="inlineStr">
        <is>
          <t>Filled</t>
        </is>
      </c>
      <c r="F65" s="1031">
        <f>INDEX('REVIEW - Complete Role Mapping'!$AE$2:$AE$700,MATCH($A65,'REVIEW - Complete Role Mapping'!$AQ$2:$AQ$700,0))</f>
        <v>243090.15</v>
      </c>
      <c r="G65" s="1031">
        <f>$F65*IF(ISNUMBER(SEARCH("WIPRO",INDEX('REVIEW - Complete Role Mapping'!$R$2:$R$700,MATCH($A65,'REVIEW - Complete Role Mapping'!$AQ$2:$AQ$700,0)))),1,IFERROR(INDEX(Lists!$AD$2:$AD$5,MATCH($E65,Lists!$AC$2:$AC$5,0)),NA()))</f>
        <v>243090.15</v>
      </c>
    </row>
    <row r="66" ht="14.25" customHeight="1" s="535">
      <c r="A66" s="1045" t="inlineStr">
        <is>
          <t>R0142</t>
        </is>
      </c>
      <c r="B66" s="929" t="str">
        <f>INDEX('REVIEW - Complete Role Mapping'!$B$2:$B$700,MATCH($A66,'REVIEW - Complete Role Mapping'!$AQ$2:$AQ$700,0))</f>
        <v>Jin Zhong</v>
      </c>
      <c r="C66" s="929" t="str">
        <f>INDEX('REVIEW - Complete Role Mapping'!$D$2:$D$700,MATCH($A66,'REVIEW - Complete Role Mapping'!$AQ$2:$AQ$700,0))</f>
        <v>Lead Engineer - BE</v>
      </c>
      <c r="D66" s="929" t="str">
        <f>INDEX('REVIEW - Complete Role Mapping'!$AF$2:$AF$700,MATCH($A66,'REVIEW - Complete Role Mapping'!$AQ$2:$AQ$700,0))</f>
        <v>Filled</v>
      </c>
      <c r="E66" s="543" t="inlineStr">
        <is>
          <t>Filled</t>
        </is>
      </c>
      <c r="F66" s="1031">
        <f>INDEX('REVIEW - Complete Role Mapping'!$AE$2:$AE$700,MATCH($A66,'REVIEW - Complete Role Mapping'!$AQ$2:$AQ$700,0))</f>
        <v>240300</v>
      </c>
      <c r="G66" s="1031">
        <f>$F66*IF(ISNUMBER(SEARCH("WIPRO",INDEX('REVIEW - Complete Role Mapping'!$R$2:$R$700,MATCH($A66,'REVIEW - Complete Role Mapping'!$AQ$2:$AQ$700,0)))),1,IFERROR(INDEX(Lists!$AD$2:$AD$5,MATCH($E66,Lists!$AC$2:$AC$5,0)),NA()))</f>
        <v>240300</v>
      </c>
    </row>
    <row r="67" ht="14.25" customHeight="1" s="535">
      <c r="A67" s="1045" t="inlineStr">
        <is>
          <t>R0268</t>
        </is>
      </c>
      <c r="B67" s="929" t="str">
        <f>INDEX('REVIEW - Complete Role Mapping'!$B$2:$B$700,MATCH($A67,'REVIEW - Complete Role Mapping'!$AQ$2:$AQ$700,0))</f>
        <v>Darwin Morales</v>
      </c>
      <c r="C67" s="929" t="str">
        <f>INDEX('REVIEW - Complete Role Mapping'!$D$2:$D$700,MATCH($A67,'REVIEW - Complete Role Mapping'!$AQ$2:$AQ$700,0))</f>
        <v>Snr Engineer - FE</v>
      </c>
      <c r="D67" s="929" t="str">
        <f>INDEX('REVIEW - Complete Role Mapping'!$AF$2:$AF$700,MATCH($A67,'REVIEW - Complete Role Mapping'!$AQ$2:$AQ$700,0))</f>
        <v>Filled</v>
      </c>
      <c r="E67" s="543" t="inlineStr">
        <is>
          <t>Filled</t>
        </is>
      </c>
      <c r="F67" s="1031">
        <f>INDEX('REVIEW - Complete Role Mapping'!$AE$2:$AE$700,MATCH($A67,'REVIEW - Complete Role Mapping'!$AQ$2:$AQ$700,0))</f>
        <v>207352.2</v>
      </c>
      <c r="G67" s="1031">
        <f>$F67*IF(ISNUMBER(SEARCH("WIPRO",INDEX('REVIEW - Complete Role Mapping'!$R$2:$R$700,MATCH($A67,'REVIEW - Complete Role Mapping'!$AQ$2:$AQ$700,0)))),1,IFERROR(INDEX(Lists!$AD$2:$AD$5,MATCH($E67,Lists!$AC$2:$AC$5,0)),NA()))</f>
        <v>207352.2</v>
      </c>
    </row>
    <row r="68" ht="14.25" customHeight="1" s="535">
      <c r="A68" s="1045" t="inlineStr">
        <is>
          <t>R0409</t>
        </is>
      </c>
      <c r="B68" s="929" t="str">
        <f>INDEX('REVIEW - Complete Role Mapping'!$B$2:$B$700,MATCH($A68,'REVIEW - Complete Role Mapping'!$AQ$2:$AQ$700,0))</f>
        <v>Zohan Sim</v>
      </c>
      <c r="C68" s="929" t="str">
        <f>INDEX('REVIEW - Complete Role Mapping'!$D$2:$D$700,MATCH($A68,'REVIEW - Complete Role Mapping'!$AQ$2:$AQ$700,0))</f>
        <v>Engineer - BE</v>
      </c>
      <c r="D68" s="929" t="str">
        <f>INDEX('REVIEW - Complete Role Mapping'!$AF$2:$AF$700,MATCH($A68,'REVIEW - Complete Role Mapping'!$AQ$2:$AQ$700,0))</f>
        <v>Filled</v>
      </c>
      <c r="E68" s="543" t="inlineStr">
        <is>
          <t>Filled</t>
        </is>
      </c>
      <c r="F68" s="1031">
        <f>INDEX('REVIEW - Complete Role Mapping'!$AE$2:$AE$700,MATCH($A68,'REVIEW - Complete Role Mapping'!$AQ$2:$AQ$700,0))</f>
        <v>177525</v>
      </c>
      <c r="G68" s="1031">
        <f>$F68*IF(ISNUMBER(SEARCH("WIPRO",INDEX('REVIEW - Complete Role Mapping'!$R$2:$R$700,MATCH($A68,'REVIEW - Complete Role Mapping'!$AQ$2:$AQ$700,0)))),1,IFERROR(INDEX(Lists!$AD$2:$AD$5,MATCH($E68,Lists!$AC$2:$AC$5,0)),NA()))</f>
        <v>177525</v>
      </c>
    </row>
    <row r="69" ht="14.25" customHeight="1" s="535">
      <c r="A69" s="1045" t="inlineStr">
        <is>
          <t>R0492</t>
        </is>
      </c>
      <c r="B69" s="929" t="str">
        <f>INDEX('REVIEW - Complete Role Mapping'!$B$2:$B$700,MATCH($A69,'REVIEW - Complete Role Mapping'!$AQ$2:$AQ$700,0))</f>
        <v>Ashwini Gaikwad</v>
      </c>
      <c r="C69" s="929" t="str">
        <f>INDEX('REVIEW - Complete Role Mapping'!$D$2:$D$700,MATCH($A69,'REVIEW - Complete Role Mapping'!$AQ$2:$AQ$700,0))</f>
        <v>Quality Assurance</v>
      </c>
      <c r="D69" s="929" t="str">
        <f>INDEX('REVIEW - Complete Role Mapping'!$AF$2:$AF$700,MATCH($A69,'REVIEW - Complete Role Mapping'!$AQ$2:$AQ$700,0))</f>
        <v>Filled</v>
      </c>
      <c r="E69" s="543" t="inlineStr">
        <is>
          <t>Filled</t>
        </is>
      </c>
      <c r="F69" s="1031">
        <f>INDEX('REVIEW - Complete Role Mapping'!$AE$2:$AE$700,MATCH($A69,'REVIEW - Complete Role Mapping'!$AQ$2:$AQ$700,0))</f>
        <v>146465.7</v>
      </c>
      <c r="G69" s="1031">
        <f>$F69*IF(ISNUMBER(SEARCH("WIPRO",INDEX('REVIEW - Complete Role Mapping'!$R$2:$R$700,MATCH($A69,'REVIEW - Complete Role Mapping'!$AQ$2:$AQ$700,0)))),1,IFERROR(INDEX(Lists!$AD$2:$AD$5,MATCH($E69,Lists!$AC$2:$AC$5,0)),NA()))</f>
        <v>146465.7</v>
      </c>
    </row>
    <row r="70" ht="14.25" customHeight="1" s="535">
      <c r="B70" s="1029" t="inlineStr">
        <is>
          <t>Customer, AI</t>
        </is>
      </c>
      <c r="C70" s="1029" t="str">
        <f>COUNTIF($B$71:$B$72,"?*")&amp;IF(COUNTIF($B$71:$B$72,"?*")=1," role"," roles")</f>
        <v>2 roles</v>
      </c>
      <c r="D70" s="1029" t="n"/>
      <c r="E70" s="1029" t="n"/>
      <c r="F70" s="1044">
        <f>SUM(F71:F72)</f>
        <v>389579.7</v>
      </c>
      <c r="G70" s="1044">
        <f>SUM(G71:G72)</f>
        <v>389579.7</v>
      </c>
    </row>
    <row r="71" ht="14.25" customHeight="1" s="535">
      <c r="A71" s="1045" t="inlineStr">
        <is>
          <t>R0273</t>
        </is>
      </c>
      <c r="B71" s="929" t="str">
        <f>INDEX('REVIEW - Complete Role Mapping'!$B$2:$B$700,MATCH($A71,'REVIEW - Complete Role Mapping'!$AQ$2:$AQ$700,0))</f>
        <v>Vacant</v>
      </c>
      <c r="C71" s="929" t="str">
        <f>INDEX('REVIEW - Complete Role Mapping'!$D$2:$D$700,MATCH($A71,'REVIEW - Complete Role Mapping'!$AQ$2:$AQ$700,0))</f>
        <v>AI Engineer - Front End</v>
      </c>
      <c r="D71" s="929" t="str">
        <f>INDEX('REVIEW - Complete Role Mapping'!$AF$2:$AF$700,MATCH($A71,'REVIEW - Complete Role Mapping'!$AQ$2:$AQ$700,0))</f>
        <v>Vacant</v>
      </c>
      <c r="E71" s="543" t="inlineStr">
        <is>
          <t>Hire</t>
        </is>
      </c>
      <c r="F71" s="1031">
        <f>INDEX('REVIEW - Complete Role Mapping'!$AE$2:$AE$700,MATCH($A71,'REVIEW - Complete Role Mapping'!$AQ$2:$AQ$700,0))</f>
        <v>194789.85</v>
      </c>
      <c r="G71" s="1031">
        <f>$F71*IF(ISNUMBER(SEARCH("WIPRO",INDEX('REVIEW - Complete Role Mapping'!$R$2:$R$700,MATCH($A71,'REVIEW - Complete Role Mapping'!$AQ$2:$AQ$700,0)))),1,IFERROR(INDEX(Lists!$AD$2:$AD$5,MATCH($E71,Lists!$AC$2:$AC$5,0)),NA()))</f>
        <v>194789.85</v>
      </c>
    </row>
    <row r="72" ht="14.25" customHeight="1" s="535">
      <c r="A72" s="1045" t="inlineStr">
        <is>
          <t>R0274</t>
        </is>
      </c>
      <c r="B72" s="929" t="str">
        <f>INDEX('REVIEW - Complete Role Mapping'!$B$2:$B$700,MATCH($A72,'REVIEW - Complete Role Mapping'!$AQ$2:$AQ$700,0))</f>
        <v>Vacant</v>
      </c>
      <c r="C72" s="929" t="str">
        <f>INDEX('REVIEW - Complete Role Mapping'!$D$2:$D$700,MATCH($A72,'REVIEW - Complete Role Mapping'!$AQ$2:$AQ$700,0))</f>
        <v>AI Engineer - Full Stack </v>
      </c>
      <c r="D72" s="929" t="str">
        <f>INDEX('REVIEW - Complete Role Mapping'!$AF$2:$AF$700,MATCH($A72,'REVIEW - Complete Role Mapping'!$AQ$2:$AQ$700,0))</f>
        <v>Vacant</v>
      </c>
      <c r="E72" s="543" t="inlineStr">
        <is>
          <t>Hire</t>
        </is>
      </c>
      <c r="F72" s="1031">
        <f>INDEX('REVIEW - Complete Role Mapping'!$AE$2:$AE$700,MATCH($A72,'REVIEW - Complete Role Mapping'!$AQ$2:$AQ$700,0))</f>
        <v>194789.85</v>
      </c>
      <c r="G72" s="1031">
        <f>$F72*IF(ISNUMBER(SEARCH("WIPRO",INDEX('REVIEW - Complete Role Mapping'!$R$2:$R$700,MATCH($A72,'REVIEW - Complete Role Mapping'!$AQ$2:$AQ$700,0)))),1,IFERROR(INDEX(Lists!$AD$2:$AD$5,MATCH($E72,Lists!$AC$2:$AC$5,0)),NA()))</f>
        <v>194789.85</v>
      </c>
    </row>
    <row r="73" ht="14.25" customHeight="1" s="535">
      <c r="B73" s="1029" t="inlineStr">
        <is>
          <t>Digital Operations</t>
        </is>
      </c>
      <c r="C73" s="1029" t="str">
        <f>COUNTIF($B$74:$B$79,"?*")&amp;IF(COUNTIF($B$74:$B$79,"?*")=1," role"," roles")</f>
        <v>6 roles</v>
      </c>
      <c r="D73" s="1029" t="n"/>
      <c r="E73" s="1029" t="n"/>
      <c r="F73" s="1044">
        <f>SUM(F74:F79)</f>
        <v>716689.45</v>
      </c>
      <c r="G73" s="1044">
        <f>SUM(G74:G79)</f>
        <v>716689.45</v>
      </c>
    </row>
    <row r="74" ht="14.25" customHeight="1" s="535">
      <c r="A74" s="1045" t="inlineStr">
        <is>
          <t>R0019</t>
        </is>
      </c>
      <c r="B74" s="929" t="str">
        <f>INDEX('REVIEW - Complete Role Mapping'!$B$2:$B$700,MATCH($A74,'REVIEW - Complete Role Mapping'!$AQ$2:$AQ$700,0))</f>
        <v>Emile Violi - QA Wipro</v>
      </c>
      <c r="C74" s="929" t="str">
        <f>INDEX('REVIEW - Complete Role Mapping'!$D$2:$D$700,MATCH($A74,'REVIEW - Complete Role Mapping'!$AQ$2:$AQ$700,0))</f>
        <v>.NET Back End Developer / Mid</v>
      </c>
      <c r="D74" s="929" t="str">
        <f>INDEX('REVIEW - Complete Role Mapping'!$AF$2:$AF$700,MATCH($A74,'REVIEW - Complete Role Mapping'!$AQ$2:$AQ$700,0))</f>
        <v>Filled</v>
      </c>
      <c r="E74" s="543" t="inlineStr">
        <is>
          <t>Offshore</t>
        </is>
      </c>
      <c r="F74" s="1031">
        <f>INDEX('REVIEW - Complete Role Mapping'!$AE$2:$AE$700,MATCH($A74,'REVIEW - Complete Role Mapping'!$AQ$2:$AQ$700,0))</f>
        <v>73260</v>
      </c>
      <c r="G74" s="1031">
        <f>$F74*IF(ISNUMBER(SEARCH("WIPRO",INDEX('REVIEW - Complete Role Mapping'!$R$2:$R$700,MATCH($A74,'REVIEW - Complete Role Mapping'!$AQ$2:$AQ$700,0)))),1,IFERROR(INDEX(Lists!$AD$2:$AD$5,MATCH($E74,Lists!$AC$2:$AC$5,0)),NA()))</f>
        <v>73260</v>
      </c>
    </row>
    <row r="75" ht="14.25" customHeight="1" s="535">
      <c r="A75" s="1045" t="inlineStr">
        <is>
          <t>R0020</t>
        </is>
      </c>
      <c r="B75" s="929" t="str">
        <f>INDEX('REVIEW - Complete Role Mapping'!$B$2:$B$700,MATCH($A75,'REVIEW - Complete Role Mapping'!$AQ$2:$AQ$700,0))</f>
        <v>Vacant</v>
      </c>
      <c r="C75" s="929" t="str">
        <f>INDEX('REVIEW - Complete Role Mapping'!$D$2:$D$700,MATCH($A75,'REVIEW - Complete Role Mapping'!$AQ$2:$AQ$700,0))</f>
        <v>.NET Back End Developer / Mid</v>
      </c>
      <c r="D75" s="929" t="str">
        <f>INDEX('REVIEW - Complete Role Mapping'!$AF$2:$AF$700,MATCH($A75,'REVIEW - Complete Role Mapping'!$AQ$2:$AQ$700,0))</f>
        <v>Vacant</v>
      </c>
      <c r="E75" s="543" t="inlineStr">
        <is>
          <t>Offshore</t>
        </is>
      </c>
      <c r="F75" s="1031">
        <f>INDEX('REVIEW - Complete Role Mapping'!$AE$2:$AE$700,MATCH($A75,'REVIEW - Complete Role Mapping'!$AQ$2:$AQ$700,0))</f>
        <v>73260</v>
      </c>
      <c r="G75" s="1031">
        <f>$F75*IF(ISNUMBER(SEARCH("WIPRO",INDEX('REVIEW - Complete Role Mapping'!$R$2:$R$700,MATCH($A75,'REVIEW - Complete Role Mapping'!$AQ$2:$AQ$700,0)))),1,IFERROR(INDEX(Lists!$AD$2:$AD$5,MATCH($E75,Lists!$AC$2:$AC$5,0)),NA()))</f>
        <v>73260</v>
      </c>
    </row>
    <row r="76" ht="14.25" customHeight="1" s="535">
      <c r="A76" s="1045" t="inlineStr">
        <is>
          <t>R0021</t>
        </is>
      </c>
      <c r="B76" s="929" t="str">
        <f>INDEX('REVIEW - Complete Role Mapping'!$B$2:$B$700,MATCH($A76,'REVIEW - Complete Role Mapping'!$AQ$2:$AQ$700,0))</f>
        <v>Vacant</v>
      </c>
      <c r="C76" s="929" t="str">
        <f>INDEX('REVIEW - Complete Role Mapping'!$D$2:$D$700,MATCH($A76,'REVIEW - Complete Role Mapping'!$AQ$2:$AQ$700,0))</f>
        <v>.NET Back End Developer / Mid</v>
      </c>
      <c r="D76" s="929" t="str">
        <f>INDEX('REVIEW - Complete Role Mapping'!$AF$2:$AF$700,MATCH($A76,'REVIEW - Complete Role Mapping'!$AQ$2:$AQ$700,0))</f>
        <v>Vacant</v>
      </c>
      <c r="E76" s="543" t="inlineStr">
        <is>
          <t>Offshore</t>
        </is>
      </c>
      <c r="F76" s="1031">
        <f>INDEX('REVIEW - Complete Role Mapping'!$AE$2:$AE$700,MATCH($A76,'REVIEW - Complete Role Mapping'!$AQ$2:$AQ$700,0))</f>
        <v>73260</v>
      </c>
      <c r="G76" s="1031">
        <f>$F76*IF(ISNUMBER(SEARCH("WIPRO",INDEX('REVIEW - Complete Role Mapping'!$R$2:$R$700,MATCH($A76,'REVIEW - Complete Role Mapping'!$AQ$2:$AQ$700,0)))),1,IFERROR(INDEX(Lists!$AD$2:$AD$5,MATCH($E76,Lists!$AC$2:$AC$5,0)),NA()))</f>
        <v>73260</v>
      </c>
    </row>
    <row r="77" ht="14.25" customHeight="1" s="535">
      <c r="A77" s="1045" t="inlineStr">
        <is>
          <t>R0022</t>
        </is>
      </c>
      <c r="B77" s="929" t="str">
        <f>INDEX('REVIEW - Complete Role Mapping'!$B$2:$B$700,MATCH($A77,'REVIEW - Complete Role Mapping'!$AQ$2:$AQ$700,0))</f>
        <v>Vacant</v>
      </c>
      <c r="C77" s="929" t="str">
        <f>INDEX('REVIEW - Complete Role Mapping'!$D$2:$D$700,MATCH($A77,'REVIEW - Complete Role Mapping'!$AQ$2:$AQ$700,0))</f>
        <v>QA / Tester / Mid</v>
      </c>
      <c r="D77" s="929" t="str">
        <f>INDEX('REVIEW - Complete Role Mapping'!$AF$2:$AF$700,MATCH($A77,'REVIEW - Complete Role Mapping'!$AQ$2:$AQ$700,0))</f>
        <v>Vacant</v>
      </c>
      <c r="E77" s="543" t="inlineStr">
        <is>
          <t>Offshore</t>
        </is>
      </c>
      <c r="F77" s="1031">
        <f>INDEX('REVIEW - Complete Role Mapping'!$AE$2:$AE$700,MATCH($A77,'REVIEW - Complete Role Mapping'!$AQ$2:$AQ$700,0))</f>
        <v>73260</v>
      </c>
      <c r="G77" s="1031">
        <f>$F77*IF(ISNUMBER(SEARCH("WIPRO",INDEX('REVIEW - Complete Role Mapping'!$R$2:$R$700,MATCH($A77,'REVIEW - Complete Role Mapping'!$AQ$2:$AQ$700,0)))),1,IFERROR(INDEX(Lists!$AD$2:$AD$5,MATCH($E77,Lists!$AC$2:$AC$5,0)),NA()))</f>
        <v>73260</v>
      </c>
    </row>
    <row r="78" ht="14.25" customHeight="1" s="535">
      <c r="A78" s="1045" t="inlineStr">
        <is>
          <t>R0139</t>
        </is>
      </c>
      <c r="B78" s="929" t="str">
        <f>INDEX('REVIEW - Complete Role Mapping'!$B$2:$B$700,MATCH($A78,'REVIEW - Complete Role Mapping'!$AQ$2:$AQ$700,0))</f>
        <v>Mark Wilson</v>
      </c>
      <c r="C78" s="929" t="str">
        <f>INDEX('REVIEW - Complete Role Mapping'!$D$2:$D$700,MATCH($A78,'REVIEW - Complete Role Mapping'!$AQ$2:$AQ$700,0))</f>
        <v>Digital Support Manager (AU)</v>
      </c>
      <c r="D78" s="929" t="str">
        <f>INDEX('REVIEW - Complete Role Mapping'!$AF$2:$AF$700,MATCH($A78,'REVIEW - Complete Role Mapping'!$AQ$2:$AQ$700,0))</f>
        <v>Filled</v>
      </c>
      <c r="E78" s="543" t="inlineStr">
        <is>
          <t>Filled</t>
        </is>
      </c>
      <c r="F78" s="1031">
        <f>INDEX('REVIEW - Complete Role Mapping'!$AE$2:$AE$700,MATCH($A78,'REVIEW - Complete Role Mapping'!$AQ$2:$AQ$700,0))</f>
        <v>257788.5</v>
      </c>
      <c r="G78" s="1031">
        <f>$F78*IF(ISNUMBER(SEARCH("WIPRO",INDEX('REVIEW - Complete Role Mapping'!$R$2:$R$700,MATCH($A78,'REVIEW - Complete Role Mapping'!$AQ$2:$AQ$700,0)))),1,IFERROR(INDEX(Lists!$AD$2:$AD$5,MATCH($E78,Lists!$AC$2:$AC$5,0)),NA()))</f>
        <v>257788.5</v>
      </c>
    </row>
    <row r="79" ht="14.25" customHeight="1" s="535">
      <c r="A79" s="1045" t="inlineStr">
        <is>
          <t>R0413</t>
        </is>
      </c>
      <c r="B79" s="929" t="str">
        <f>INDEX('REVIEW - Complete Role Mapping'!$B$2:$B$700,MATCH($A79,'REVIEW - Complete Role Mapping'!$AQ$2:$AQ$700,0))</f>
        <v>Daniel Arban</v>
      </c>
      <c r="C79" s="929" t="str">
        <f>INDEX('REVIEW - Complete Role Mapping'!$D$2:$D$700,MATCH($A79,'REVIEW - Complete Role Mapping'!$AQ$2:$AQ$700,0))</f>
        <v>Service Delivery Lead</v>
      </c>
      <c r="D79" s="929" t="str">
        <f>INDEX('REVIEW - Complete Role Mapping'!$AF$2:$AF$700,MATCH($A79,'REVIEW - Complete Role Mapping'!$AQ$2:$AQ$700,0))</f>
        <v>Filled</v>
      </c>
      <c r="E79" s="543" t="inlineStr">
        <is>
          <t>Filled</t>
        </is>
      </c>
      <c r="F79" s="1031">
        <f>INDEX('REVIEW - Complete Role Mapping'!$AE$2:$AE$700,MATCH($A79,'REVIEW - Complete Role Mapping'!$AQ$2:$AQ$700,0))</f>
        <v>165860.95</v>
      </c>
      <c r="G79" s="1031">
        <f>$F79*IF(ISNUMBER(SEARCH("WIPRO",INDEX('REVIEW - Complete Role Mapping'!$R$2:$R$700,MATCH($A79,'REVIEW - Complete Role Mapping'!$AQ$2:$AQ$700,0)))),1,IFERROR(INDEX(Lists!$AD$2:$AD$5,MATCH($E79,Lists!$AC$2:$AC$5,0)),NA()))</f>
        <v>165860.95</v>
      </c>
    </row>
    <row r="80" ht="14.25" customHeight="1" s="535">
      <c r="B80" s="1029" t="inlineStr">
        <is>
          <t>EGI Customer</t>
        </is>
      </c>
      <c r="C80" s="1029" t="str">
        <f>COUNTIF($B$81:$B$90,"?*")&amp;IF(COUNTIF($B$81:$B$90,"?*")=1," role"," roles")</f>
        <v>10 roles</v>
      </c>
      <c r="D80" s="1029" t="n"/>
      <c r="E80" s="1029" t="n"/>
      <c r="F80" s="1044">
        <f>SUM(F81:F90)</f>
        <v>2098610.9</v>
      </c>
      <c r="G80" s="1044">
        <f>SUM(G81:G90)</f>
        <v>2098610.9</v>
      </c>
    </row>
    <row r="81" ht="14.25" customHeight="1" s="535">
      <c r="A81" s="1045" t="inlineStr">
        <is>
          <t>R0001</t>
        </is>
      </c>
      <c r="B81" s="929" t="str">
        <f>INDEX('REVIEW - Complete Role Mapping'!$B$2:$B$700,MATCH($A81,'REVIEW - Complete Role Mapping'!$AQ$2:$AQ$700,0))</f>
        <v>Alan Peng</v>
      </c>
      <c r="C81" s="929" t="str">
        <f>INDEX('REVIEW - Complete Role Mapping'!$D$2:$D$700,MATCH($A81,'REVIEW - Complete Role Mapping'!$AQ$2:$AQ$700,0))</f>
        <v>Delivery Lead</v>
      </c>
      <c r="D81" s="929" t="str">
        <f>INDEX('REVIEW - Complete Role Mapping'!$AF$2:$AF$700,MATCH($A81,'REVIEW - Complete Role Mapping'!$AQ$2:$AQ$700,0))</f>
        <v>Filled</v>
      </c>
      <c r="E81" s="543" t="inlineStr">
        <is>
          <t>Filled</t>
        </is>
      </c>
      <c r="F81" s="1031">
        <f>INDEX('REVIEW - Complete Role Mapping'!$AE$2:$AE$700,MATCH($A81,'REVIEW - Complete Role Mapping'!$AQ$2:$AQ$700,0))</f>
        <v>264180</v>
      </c>
      <c r="G81" s="1031">
        <f>$F81*IF(ISNUMBER(SEARCH("WIPRO",INDEX('REVIEW - Complete Role Mapping'!$R$2:$R$700,MATCH($A81,'REVIEW - Complete Role Mapping'!$AQ$2:$AQ$700,0)))),1,IFERROR(INDEX(Lists!$AD$2:$AD$5,MATCH($E81,Lists!$AC$2:$AC$5,0)),NA()))</f>
        <v>264180</v>
      </c>
    </row>
    <row r="82" ht="14.25" customHeight="1" s="535">
      <c r="A82" s="1045" t="inlineStr">
        <is>
          <t>R0031</t>
        </is>
      </c>
      <c r="B82" s="929" t="str">
        <f>INDEX('REVIEW - Complete Role Mapping'!$B$2:$B$700,MATCH($A82,'REVIEW - Complete Role Mapping'!$AQ$2:$AQ$700,0))</f>
        <v>Waheed Malek</v>
      </c>
      <c r="C82" s="929" t="str">
        <f>INDEX('REVIEW - Complete Role Mapping'!$D$2:$D$700,MATCH($A82,'REVIEW - Complete Role Mapping'!$AQ$2:$AQ$700,0))</f>
        <v>Quality Assurance</v>
      </c>
      <c r="D82" s="929" t="str">
        <f>INDEX('REVIEW - Complete Role Mapping'!$AF$2:$AF$700,MATCH($A82,'REVIEW - Complete Role Mapping'!$AQ$2:$AQ$700,0))</f>
        <v>Filled</v>
      </c>
      <c r="E82" s="543" t="inlineStr">
        <is>
          <t>Filled</t>
        </is>
      </c>
      <c r="F82" s="1031">
        <f>INDEX('REVIEW - Complete Role Mapping'!$AE$2:$AE$700,MATCH($A82,'REVIEW - Complete Role Mapping'!$AQ$2:$AQ$700,0))</f>
        <v>269730</v>
      </c>
      <c r="G82" s="1031">
        <f>$F82*IF(ISNUMBER(SEARCH("WIPRO",INDEX('REVIEW - Complete Role Mapping'!$R$2:$R$700,MATCH($A82,'REVIEW - Complete Role Mapping'!$AQ$2:$AQ$700,0)))),1,IFERROR(INDEX(Lists!$AD$2:$AD$5,MATCH($E82,Lists!$AC$2:$AC$5,0)),NA()))</f>
        <v>269730</v>
      </c>
    </row>
    <row r="83" ht="14.25" customHeight="1" s="535">
      <c r="A83" s="1045" t="inlineStr">
        <is>
          <t>R0038</t>
        </is>
      </c>
      <c r="B83" s="929" t="str">
        <f>INDEX('REVIEW - Complete Role Mapping'!$B$2:$B$700,MATCH($A83,'REVIEW - Complete Role Mapping'!$AQ$2:$AQ$700,0))</f>
        <v>Rob Jadrjevic</v>
      </c>
      <c r="C83" s="929" t="str">
        <f>INDEX('REVIEW - Complete Role Mapping'!$D$2:$D$700,MATCH($A83,'REVIEW - Complete Role Mapping'!$AQ$2:$AQ$700,0))</f>
        <v>Engineer - BE</v>
      </c>
      <c r="D83" s="929" t="str">
        <f>INDEX('REVIEW - Complete Role Mapping'!$AF$2:$AF$700,MATCH($A83,'REVIEW - Complete Role Mapping'!$AQ$2:$AQ$700,0))</f>
        <v>Filled</v>
      </c>
      <c r="E83" s="543" t="inlineStr">
        <is>
          <t>Filled</t>
        </is>
      </c>
      <c r="F83" s="1031">
        <f>INDEX('REVIEW - Complete Role Mapping'!$AE$2:$AE$700,MATCH($A83,'REVIEW - Complete Role Mapping'!$AQ$2:$AQ$700,0))</f>
        <v>0</v>
      </c>
      <c r="G83" s="1031">
        <f>$F83*IF(ISNUMBER(SEARCH("WIPRO",INDEX('REVIEW - Complete Role Mapping'!$R$2:$R$700,MATCH($A83,'REVIEW - Complete Role Mapping'!$AQ$2:$AQ$700,0)))),1,IFERROR(INDEX(Lists!$AD$2:$AD$5,MATCH($E83,Lists!$AC$2:$AC$5,0)),NA()))</f>
        <v>0</v>
      </c>
    </row>
    <row r="84" ht="14.25" customHeight="1" s="535">
      <c r="A84" s="1045" t="inlineStr">
        <is>
          <t>R0039</t>
        </is>
      </c>
      <c r="B84" s="929" t="str">
        <f>INDEX('REVIEW - Complete Role Mapping'!$B$2:$B$700,MATCH($A84,'REVIEW - Complete Role Mapping'!$AQ$2:$AQ$700,0))</f>
        <v>Swapnil Pithwa</v>
      </c>
      <c r="C84" s="929" t="str">
        <f>INDEX('REVIEW - Complete Role Mapping'!$D$2:$D$700,MATCH($A84,'REVIEW - Complete Role Mapping'!$AQ$2:$AQ$700,0))</f>
        <v>Engineer - BE</v>
      </c>
      <c r="D84" s="929" t="str">
        <f>INDEX('REVIEW - Complete Role Mapping'!$AF$2:$AF$700,MATCH($A84,'REVIEW - Complete Role Mapping'!$AQ$2:$AQ$700,0))</f>
        <v>Filled</v>
      </c>
      <c r="E84" s="543" t="inlineStr">
        <is>
          <t>Filled</t>
        </is>
      </c>
      <c r="F84" s="1031">
        <f>INDEX('REVIEW - Complete Role Mapping'!$AE$2:$AE$700,MATCH($A84,'REVIEW - Complete Role Mapping'!$AQ$2:$AQ$700,0))</f>
        <v>264180</v>
      </c>
      <c r="G84" s="1031">
        <f>$F84*IF(ISNUMBER(SEARCH("WIPRO",INDEX('REVIEW - Complete Role Mapping'!$R$2:$R$700,MATCH($A84,'REVIEW - Complete Role Mapping'!$AQ$2:$AQ$700,0)))),1,IFERROR(INDEX(Lists!$AD$2:$AD$5,MATCH($E84,Lists!$AC$2:$AC$5,0)),NA()))</f>
        <v>264180</v>
      </c>
    </row>
    <row r="85" ht="14.25" customHeight="1" s="535">
      <c r="A85" s="1045" t="inlineStr">
        <is>
          <t>R0076</t>
        </is>
      </c>
      <c r="B85" s="929" t="str">
        <f>INDEX('REVIEW - Complete Role Mapping'!$B$2:$B$700,MATCH($A85,'REVIEW - Complete Role Mapping'!$AQ$2:$AQ$700,0))</f>
        <v>Safiq Iqbal</v>
      </c>
      <c r="C85" s="929" t="str">
        <f>INDEX('REVIEW - Complete Role Mapping'!$D$2:$D$700,MATCH($A85,'REVIEW - Complete Role Mapping'!$AQ$2:$AQ$700,0))</f>
        <v>Principal Engineer</v>
      </c>
      <c r="D85" s="929" t="str">
        <f>INDEX('REVIEW - Complete Role Mapping'!$AF$2:$AF$700,MATCH($A85,'REVIEW - Complete Role Mapping'!$AQ$2:$AQ$700,0))</f>
        <v>Filled</v>
      </c>
      <c r="E85" s="543" t="inlineStr">
        <is>
          <t>Filled</t>
        </is>
      </c>
      <c r="F85" s="1031">
        <f>INDEX('REVIEW - Complete Role Mapping'!$AE$2:$AE$700,MATCH($A85,'REVIEW - Complete Role Mapping'!$AQ$2:$AQ$700,0))</f>
        <v>304903.1</v>
      </c>
      <c r="G85" s="1031">
        <f>$F85*IF(ISNUMBER(SEARCH("WIPRO",INDEX('REVIEW - Complete Role Mapping'!$R$2:$R$700,MATCH($A85,'REVIEW - Complete Role Mapping'!$AQ$2:$AQ$700,0)))),1,IFERROR(INDEX(Lists!$AD$2:$AD$5,MATCH($E85,Lists!$AC$2:$AC$5,0)),NA()))</f>
        <v>304903.1</v>
      </c>
    </row>
    <row r="86" ht="14.25" customHeight="1" s="535">
      <c r="A86" s="1045" t="inlineStr">
        <is>
          <t>R0264</t>
        </is>
      </c>
      <c r="B86" s="929" t="str">
        <f>INDEX('REVIEW - Complete Role Mapping'!$B$2:$B$700,MATCH($A86,'REVIEW - Complete Role Mapping'!$AQ$2:$AQ$700,0))</f>
        <v>Sri Balan Raj</v>
      </c>
      <c r="C86" s="929" t="str">
        <f>INDEX('REVIEW - Complete Role Mapping'!$D$2:$D$700,MATCH($A86,'REVIEW - Complete Role Mapping'!$AQ$2:$AQ$700,0))</f>
        <v>Business Analyst</v>
      </c>
      <c r="D86" s="929" t="str">
        <f>INDEX('REVIEW - Complete Role Mapping'!$AF$2:$AF$700,MATCH($A86,'REVIEW - Complete Role Mapping'!$AQ$2:$AQ$700,0))</f>
        <v>Filled</v>
      </c>
      <c r="E86" s="543" t="inlineStr">
        <is>
          <t>Filled</t>
        </is>
      </c>
      <c r="F86" s="1031">
        <f>INDEX('REVIEW - Complete Role Mapping'!$AE$2:$AE$700,MATCH($A86,'REVIEW - Complete Role Mapping'!$AQ$2:$AQ$700,0))</f>
        <v>216047.05</v>
      </c>
      <c r="G86" s="1031">
        <f>$F86*IF(ISNUMBER(SEARCH("WIPRO",INDEX('REVIEW - Complete Role Mapping'!$R$2:$R$700,MATCH($A86,'REVIEW - Complete Role Mapping'!$AQ$2:$AQ$700,0)))),1,IFERROR(INDEX(Lists!$AD$2:$AD$5,MATCH($E86,Lists!$AC$2:$AC$5,0)),NA()))</f>
        <v>216047.05</v>
      </c>
    </row>
    <row r="87" ht="14.25" customHeight="1" s="535">
      <c r="A87" s="1045" t="inlineStr">
        <is>
          <t>R0265</t>
        </is>
      </c>
      <c r="B87" s="929" t="str">
        <f>INDEX('REVIEW - Complete Role Mapping'!$B$2:$B$700,MATCH($A87,'REVIEW - Complete Role Mapping'!$AQ$2:$AQ$700,0))</f>
        <v>Angie Ng</v>
      </c>
      <c r="C87" s="929" t="str">
        <f>INDEX('REVIEW - Complete Role Mapping'!$D$2:$D$700,MATCH($A87,'REVIEW - Complete Role Mapping'!$AQ$2:$AQ$700,0))</f>
        <v>Snr Engineer - BE</v>
      </c>
      <c r="D87" s="929" t="str">
        <f>INDEX('REVIEW - Complete Role Mapping'!$AF$2:$AF$700,MATCH($A87,'REVIEW - Complete Role Mapping'!$AQ$2:$AQ$700,0))</f>
        <v>Filled</v>
      </c>
      <c r="E87" s="543" t="inlineStr">
        <is>
          <t>Filled</t>
        </is>
      </c>
      <c r="F87" s="1031">
        <f>INDEX('REVIEW - Complete Role Mapping'!$AE$2:$AE$700,MATCH($A87,'REVIEW - Complete Role Mapping'!$AQ$2:$AQ$700,0))</f>
        <v>218926.65</v>
      </c>
      <c r="G87" s="1031">
        <f>$F87*IF(ISNUMBER(SEARCH("WIPRO",INDEX('REVIEW - Complete Role Mapping'!$R$2:$R$700,MATCH($A87,'REVIEW - Complete Role Mapping'!$AQ$2:$AQ$700,0)))),1,IFERROR(INDEX(Lists!$AD$2:$AD$5,MATCH($E87,Lists!$AC$2:$AC$5,0)),NA()))</f>
        <v>218926.65</v>
      </c>
    </row>
    <row r="88" ht="14.25" customHeight="1" s="535">
      <c r="A88" s="1045" t="inlineStr">
        <is>
          <t>R0270</t>
        </is>
      </c>
      <c r="B88" s="929" t="str">
        <f>INDEX('REVIEW - Complete Role Mapping'!$B$2:$B$700,MATCH($A88,'REVIEW - Complete Role Mapping'!$AQ$2:$AQ$700,0))</f>
        <v>Ramez Haider</v>
      </c>
      <c r="C88" s="929" t="str">
        <f>INDEX('REVIEW - Complete Role Mapping'!$D$2:$D$700,MATCH($A88,'REVIEW - Complete Role Mapping'!$AQ$2:$AQ$700,0))</f>
        <v>Solution Architect</v>
      </c>
      <c r="D88" s="929" t="str">
        <f>INDEX('REVIEW - Complete Role Mapping'!$AF$2:$AF$700,MATCH($A88,'REVIEW - Complete Role Mapping'!$AQ$2:$AQ$700,0))</f>
        <v>Filled</v>
      </c>
      <c r="E88" s="543" t="inlineStr">
        <is>
          <t>Filled</t>
        </is>
      </c>
      <c r="F88" s="1031">
        <f>INDEX('REVIEW - Complete Role Mapping'!$AE$2:$AE$700,MATCH($A88,'REVIEW - Complete Role Mapping'!$AQ$2:$AQ$700,0))</f>
        <v>223946.25</v>
      </c>
      <c r="G88" s="1031">
        <f>$F88*IF(ISNUMBER(SEARCH("WIPRO",INDEX('REVIEW - Complete Role Mapping'!$R$2:$R$700,MATCH($A88,'REVIEW - Complete Role Mapping'!$AQ$2:$AQ$700,0)))),1,IFERROR(INDEX(Lists!$AD$2:$AD$5,MATCH($E88,Lists!$AC$2:$AC$5,0)),NA()))</f>
        <v>223946.25</v>
      </c>
    </row>
    <row r="89" ht="14.25" customHeight="1" s="535">
      <c r="A89" s="1045" t="inlineStr">
        <is>
          <t>R0271</t>
        </is>
      </c>
      <c r="B89" s="929" t="str">
        <f>INDEX('REVIEW - Complete Role Mapping'!$B$2:$B$700,MATCH($A89,'REVIEW - Complete Role Mapping'!$AQ$2:$AQ$700,0))</f>
        <v>Rishabh Bhatia</v>
      </c>
      <c r="C89" s="929" t="str">
        <f>INDEX('REVIEW - Complete Role Mapping'!$D$2:$D$700,MATCH($A89,'REVIEW - Complete Role Mapping'!$AQ$2:$AQ$700,0))</f>
        <v>Engineer - Mobile (Android)</v>
      </c>
      <c r="D89" s="929" t="str">
        <f>INDEX('REVIEW - Complete Role Mapping'!$AF$2:$AF$700,MATCH($A89,'REVIEW - Complete Role Mapping'!$AQ$2:$AQ$700,0))</f>
        <v>Filled</v>
      </c>
      <c r="E89" s="543" t="inlineStr">
        <is>
          <t>Filled</t>
        </is>
      </c>
      <c r="F89" s="1031">
        <f>INDEX('REVIEW - Complete Role Mapping'!$AE$2:$AE$700,MATCH($A89,'REVIEW - Complete Role Mapping'!$AQ$2:$AQ$700,0))</f>
        <v>197993.85</v>
      </c>
      <c r="G89" s="1031">
        <f>$F89*IF(ISNUMBER(SEARCH("WIPRO",INDEX('REVIEW - Complete Role Mapping'!$R$2:$R$700,MATCH($A89,'REVIEW - Complete Role Mapping'!$AQ$2:$AQ$700,0)))),1,IFERROR(INDEX(Lists!$AD$2:$AD$5,MATCH($E89,Lists!$AC$2:$AC$5,0)),NA()))</f>
        <v>197993.85</v>
      </c>
    </row>
    <row r="90" ht="14.25" customHeight="1" s="535">
      <c r="A90" s="1045" t="inlineStr">
        <is>
          <t>R0415</t>
        </is>
      </c>
      <c r="B90" s="929" t="str">
        <f>INDEX('REVIEW - Complete Role Mapping'!$B$2:$B$700,MATCH($A90,'REVIEW - Complete Role Mapping'!$AQ$2:$AQ$700,0))</f>
        <v>Dasha Fothergill</v>
      </c>
      <c r="C90" s="929" t="str">
        <f>INDEX('REVIEW - Complete Role Mapping'!$D$2:$D$700,MATCH($A90,'REVIEW - Complete Role Mapping'!$AQ$2:$AQ$700,0))</f>
        <v>Data Analyst</v>
      </c>
      <c r="D90" s="929" t="str">
        <f>INDEX('REVIEW - Complete Role Mapping'!$AF$2:$AF$700,MATCH($A90,'REVIEW - Complete Role Mapping'!$AQ$2:$AQ$700,0))</f>
        <v>Filled</v>
      </c>
      <c r="E90" s="543" t="inlineStr">
        <is>
          <t>Filled</t>
        </is>
      </c>
      <c r="F90" s="1031">
        <f>INDEX('REVIEW - Complete Role Mapping'!$AE$2:$AE$700,MATCH($A90,'REVIEW - Complete Role Mapping'!$AQ$2:$AQ$700,0))</f>
        <v>138704</v>
      </c>
      <c r="G90" s="1031">
        <f>$F90*IF(ISNUMBER(SEARCH("WIPRO",INDEX('REVIEW - Complete Role Mapping'!$R$2:$R$700,MATCH($A90,'REVIEW - Complete Role Mapping'!$AQ$2:$AQ$700,0)))),1,IFERROR(INDEX(Lists!$AD$2:$AD$5,MATCH($E90,Lists!$AC$2:$AC$5,0)),NA()))</f>
        <v>138704</v>
      </c>
    </row>
    <row r="91" ht="14.25" customHeight="1" s="535">
      <c r="B91" s="1029" t="inlineStr">
        <is>
          <t>Energy</t>
        </is>
      </c>
      <c r="C91" s="1029" t="str">
        <f>COUNTIF($B$92:$B$92,"?*")&amp;IF(COUNTIF($B$92:$B$92,"?*")=1," role"," roles")</f>
        <v>1 role</v>
      </c>
      <c r="D91" s="1029" t="n"/>
      <c r="E91" s="1029" t="n"/>
      <c r="F91" s="1044">
        <f>SUM(F92:F92)</f>
        <v>136760</v>
      </c>
      <c r="G91" s="1044">
        <f>SUM(G92:G92)</f>
        <v>136760</v>
      </c>
    </row>
    <row r="92" ht="14.25" customHeight="1" s="535">
      <c r="A92" s="1045" t="inlineStr">
        <is>
          <t>R0408</t>
        </is>
      </c>
      <c r="B92" s="929" t="str">
        <f>INDEX('REVIEW - Complete Role Mapping'!$B$2:$B$700,MATCH($A92,'REVIEW - Complete Role Mapping'!$AQ$2:$AQ$700,0))</f>
        <v>Jasper Na</v>
      </c>
      <c r="C92" s="929" t="str">
        <f>INDEX('REVIEW - Complete Role Mapping'!$D$2:$D$700,MATCH($A92,'REVIEW - Complete Role Mapping'!$AQ$2:$AQ$700,0))</f>
        <v>Associate Engineer - BE</v>
      </c>
      <c r="D92" s="929" t="str">
        <f>INDEX('REVIEW - Complete Role Mapping'!$AF$2:$AF$700,MATCH($A92,'REVIEW - Complete Role Mapping'!$AQ$2:$AQ$700,0))</f>
        <v>Filled</v>
      </c>
      <c r="E92" s="543" t="inlineStr">
        <is>
          <t>Filled</t>
        </is>
      </c>
      <c r="F92" s="1031">
        <f>INDEX('REVIEW - Complete Role Mapping'!$AE$2:$AE$700,MATCH($A92,'REVIEW - Complete Role Mapping'!$AQ$2:$AQ$700,0))</f>
        <v>136760</v>
      </c>
      <c r="G92" s="1031">
        <f>$F92*IF(ISNUMBER(SEARCH("WIPRO",INDEX('REVIEW - Complete Role Mapping'!$R$2:$R$700,MATCH($A92,'REVIEW - Complete Role Mapping'!$AQ$2:$AQ$700,0)))),1,IFERROR(INDEX(Lists!$AD$2:$AD$5,MATCH($E92,Lists!$AC$2:$AC$5,0)),NA()))</f>
        <v>136760</v>
      </c>
    </row>
    <row r="93" ht="14.25" customHeight="1" s="535">
      <c r="B93" s="1029" t="inlineStr">
        <is>
          <t>Leadership</t>
        </is>
      </c>
      <c r="C93" s="1029" t="str">
        <f>COUNTIF($B$94:$B$98,"?*")&amp;IF(COUNTIF($B$94:$B$98,"?*")=1," role"," roles")</f>
        <v>5 roles</v>
      </c>
      <c r="D93" s="1029" t="n"/>
      <c r="E93" s="1029" t="n"/>
      <c r="F93" s="1044">
        <f>SUM(F94:F98)</f>
        <v>1310129.7</v>
      </c>
      <c r="G93" s="1044">
        <f>SUM(G94:G98)</f>
        <v>1310129.7</v>
      </c>
    </row>
    <row r="94" ht="14.25" customHeight="1" s="535">
      <c r="A94" s="1045" t="inlineStr">
        <is>
          <t>R0071</t>
        </is>
      </c>
      <c r="B94" s="929" t="str">
        <f>INDEX('REVIEW - Complete Role Mapping'!$B$2:$B$700,MATCH($A94,'REVIEW - Complete Role Mapping'!$AQ$2:$AQ$700,0))</f>
        <v>Ed Tacey</v>
      </c>
      <c r="C94" s="929" t="str">
        <f>INDEX('REVIEW - Complete Role Mapping'!$D$2:$D$700,MATCH($A94,'REVIEW - Complete Role Mapping'!$AQ$2:$AQ$700,0))</f>
        <v>Head of AI enablement</v>
      </c>
      <c r="D94" s="929" t="str">
        <f>INDEX('REVIEW - Complete Role Mapping'!$AF$2:$AF$700,MATCH($A94,'REVIEW - Complete Role Mapping'!$AQ$2:$AQ$700,0))</f>
        <v>Filled</v>
      </c>
      <c r="E94" s="543" t="inlineStr">
        <is>
          <t>Filled</t>
        </is>
      </c>
      <c r="F94" s="1031">
        <f>INDEX('REVIEW - Complete Role Mapping'!$AE$2:$AE$700,MATCH($A94,'REVIEW - Complete Role Mapping'!$AQ$2:$AQ$700,0))</f>
        <v>339707.55</v>
      </c>
      <c r="G94" s="1031">
        <f>$F94*IF(ISNUMBER(SEARCH("WIPRO",INDEX('REVIEW - Complete Role Mapping'!$R$2:$R$700,MATCH($A94,'REVIEW - Complete Role Mapping'!$AQ$2:$AQ$700,0)))),1,IFERROR(INDEX(Lists!$AD$2:$AD$5,MATCH($E94,Lists!$AC$2:$AC$5,0)),NA()))</f>
        <v>339707.55</v>
      </c>
    </row>
    <row r="95" ht="14.25" customHeight="1" s="535">
      <c r="A95" s="1045" t="inlineStr">
        <is>
          <t>R0072</t>
        </is>
      </c>
      <c r="B95" s="929" t="str">
        <f>INDEX('REVIEW - Complete Role Mapping'!$B$2:$B$700,MATCH($A95,'REVIEW - Complete Role Mapping'!$AQ$2:$AQ$700,0))</f>
        <v>Vacant</v>
      </c>
      <c r="C95" s="929" t="str">
        <f>INDEX('REVIEW - Complete Role Mapping'!$D$2:$D$700,MATCH($A95,'REVIEW - Complete Role Mapping'!$AQ$2:$AQ$700,0))</f>
        <v>Program Manager</v>
      </c>
      <c r="D95" s="929" t="str">
        <f>INDEX('REVIEW - Complete Role Mapping'!$AF$2:$AF$700,MATCH($A95,'REVIEW - Complete Role Mapping'!$AQ$2:$AQ$700,0))</f>
        <v>Vacant</v>
      </c>
      <c r="E95" s="543" t="inlineStr">
        <is>
          <t>Hire</t>
        </is>
      </c>
      <c r="F95" s="1031">
        <f>INDEX('REVIEW - Complete Role Mapping'!$AE$2:$AE$700,MATCH($A95,'REVIEW - Complete Role Mapping'!$AQ$2:$AQ$700,0))</f>
        <v>304902.1</v>
      </c>
      <c r="G95" s="1031">
        <f>$F95*IF(ISNUMBER(SEARCH("WIPRO",INDEX('REVIEW - Complete Role Mapping'!$R$2:$R$700,MATCH($A95,'REVIEW - Complete Role Mapping'!$AQ$2:$AQ$700,0)))),1,IFERROR(INDEX(Lists!$AD$2:$AD$5,MATCH($E95,Lists!$AC$2:$AC$5,0)),NA()))</f>
        <v>304902.1</v>
      </c>
    </row>
    <row r="96" ht="14.25" customHeight="1" s="535">
      <c r="A96" s="1045" t="inlineStr">
        <is>
          <t>R0074</t>
        </is>
      </c>
      <c r="B96" s="929" t="str">
        <f>INDEX('REVIEW - Complete Role Mapping'!$B$2:$B$700,MATCH($A96,'REVIEW - Complete Role Mapping'!$AQ$2:$AQ$700,0))</f>
        <v>Byron Thornhill</v>
      </c>
      <c r="C96" s="929" t="str">
        <f>INDEX('REVIEW - Complete Role Mapping'!$D$2:$D$700,MATCH($A96,'REVIEW - Complete Role Mapping'!$AQ$2:$AQ$700,0))</f>
        <v>Design Manager</v>
      </c>
      <c r="D96" s="929" t="str">
        <f>INDEX('REVIEW - Complete Role Mapping'!$AF$2:$AF$700,MATCH($A96,'REVIEW - Complete Role Mapping'!$AQ$2:$AQ$700,0))</f>
        <v>Filled</v>
      </c>
      <c r="E96" s="543" t="inlineStr">
        <is>
          <t>Filled</t>
        </is>
      </c>
      <c r="F96" s="1031">
        <f>INDEX('REVIEW - Complete Role Mapping'!$AE$2:$AE$700,MATCH($A96,'REVIEW - Complete Role Mapping'!$AQ$2:$AQ$700,0))</f>
        <v>209174</v>
      </c>
      <c r="G96" s="1031">
        <f>$F96*IF(ISNUMBER(SEARCH("WIPRO",INDEX('REVIEW - Complete Role Mapping'!$R$2:$R$700,MATCH($A96,'REVIEW - Complete Role Mapping'!$AQ$2:$AQ$700,0)))),1,IFERROR(INDEX(Lists!$AD$2:$AD$5,MATCH($E96,Lists!$AC$2:$AC$5,0)),NA()))</f>
        <v>209174</v>
      </c>
    </row>
    <row r="97" ht="14.25" customHeight="1" s="535">
      <c r="A97" s="1045" t="inlineStr">
        <is>
          <t>R0141</t>
        </is>
      </c>
      <c r="B97" s="929" t="str">
        <f>INDEX('REVIEW - Complete Role Mapping'!$B$2:$B$700,MATCH($A97,'REVIEW - Complete Role Mapping'!$AQ$2:$AQ$700,0))</f>
        <v>Abhilash Reddy</v>
      </c>
      <c r="C97" s="929" t="str">
        <f>INDEX('REVIEW - Complete Role Mapping'!$D$2:$D$700,MATCH($A97,'REVIEW - Complete Role Mapping'!$AQ$2:$AQ$700,0))</f>
        <v>Project Manager</v>
      </c>
      <c r="D97" s="929" t="str">
        <f>INDEX('REVIEW - Complete Role Mapping'!$AF$2:$AF$700,MATCH($A97,'REVIEW - Complete Role Mapping'!$AQ$2:$AQ$700,0))</f>
        <v>Filled</v>
      </c>
      <c r="E97" s="543" t="inlineStr">
        <is>
          <t>Filled</t>
        </is>
      </c>
      <c r="F97" s="1031">
        <f>INDEX('REVIEW - Complete Role Mapping'!$AE$2:$AE$700,MATCH($A97,'REVIEW - Complete Role Mapping'!$AQ$2:$AQ$700,0))</f>
        <v>240301</v>
      </c>
      <c r="G97" s="1031">
        <f>$F97*IF(ISNUMBER(SEARCH("WIPRO",INDEX('REVIEW - Complete Role Mapping'!$R$2:$R$700,MATCH($A97,'REVIEW - Complete Role Mapping'!$AQ$2:$AQ$700,0)))),1,IFERROR(INDEX(Lists!$AD$2:$AD$5,MATCH($E97,Lists!$AC$2:$AC$5,0)),NA()))</f>
        <v>240301</v>
      </c>
    </row>
    <row r="98" ht="14.25" customHeight="1" s="535">
      <c r="A98" s="1045" t="inlineStr">
        <is>
          <t>R0275</t>
        </is>
      </c>
      <c r="B98" s="929" t="str">
        <f>INDEX('REVIEW - Complete Role Mapping'!$B$2:$B$700,MATCH($A98,'REVIEW - Complete Role Mapping'!$AQ$2:$AQ$700,0))</f>
        <v>Christian Lazano</v>
      </c>
      <c r="C98" s="929" t="str">
        <f>INDEX('REVIEW - Complete Role Mapping'!$D$2:$D$700,MATCH($A98,'REVIEW - Complete Role Mapping'!$AQ$2:$AQ$700,0))</f>
        <v>Business Analyst</v>
      </c>
      <c r="D98" s="929" t="str">
        <f>INDEX('REVIEW - Complete Role Mapping'!$AF$2:$AF$700,MATCH($A98,'REVIEW - Complete Role Mapping'!$AQ$2:$AQ$700,0))</f>
        <v>Filled</v>
      </c>
      <c r="E98" s="543" t="inlineStr">
        <is>
          <t>Filled</t>
        </is>
      </c>
      <c r="F98" s="1031">
        <f>INDEX('REVIEW - Complete Role Mapping'!$AE$2:$AE$700,MATCH($A98,'REVIEW - Complete Role Mapping'!$AQ$2:$AQ$700,0))</f>
        <v>216045.05</v>
      </c>
      <c r="G98" s="1031">
        <f>$F98*IF(ISNUMBER(SEARCH("WIPRO",INDEX('REVIEW - Complete Role Mapping'!$R$2:$R$700,MATCH($A98,'REVIEW - Complete Role Mapping'!$AQ$2:$AQ$700,0)))),1,IFERROR(INDEX(Lists!$AD$2:$AD$5,MATCH($E98,Lists!$AC$2:$AC$5,0)),NA()))</f>
        <v>216045.05</v>
      </c>
    </row>
    <row r="99" ht="14.25" customHeight="1" s="535">
      <c r="B99" s="1029" t="inlineStr">
        <is>
          <t>Z App and Web</t>
        </is>
      </c>
      <c r="C99" s="1029" t="str">
        <f>COUNTIF($B$100:$B$104,"?*")&amp;IF(COUNTIF($B$100:$B$104,"?*")=1," role"," roles")</f>
        <v>5 roles</v>
      </c>
      <c r="D99" s="1029" t="n"/>
      <c r="E99" s="1029" t="n"/>
      <c r="F99" s="1044">
        <f>SUM(F100:F104)</f>
        <v>823757.16</v>
      </c>
      <c r="G99" s="1044">
        <f>SUM(G100:G104)</f>
        <v>823757.16</v>
      </c>
    </row>
    <row r="100" ht="14.25" customHeight="1" s="535">
      <c r="A100" s="1045" t="inlineStr">
        <is>
          <t>R0126</t>
        </is>
      </c>
      <c r="B100" s="929" t="str">
        <f>INDEX('REVIEW - Complete Role Mapping'!$B$2:$B$700,MATCH($A100,'REVIEW - Complete Role Mapping'!$AQ$2:$AQ$700,0))</f>
        <v>James Nicolle</v>
      </c>
      <c r="C100" s="929" t="str">
        <f>INDEX('REVIEW - Complete Role Mapping'!$D$2:$D$700,MATCH($A100,'REVIEW - Complete Role Mapping'!$AQ$2:$AQ$700,0))</f>
        <v>Delivery Lead</v>
      </c>
      <c r="D100" s="929" t="str">
        <f>INDEX('REVIEW - Complete Role Mapping'!$AF$2:$AF$700,MATCH($A100,'REVIEW - Complete Role Mapping'!$AQ$2:$AQ$700,0))</f>
        <v>Filled</v>
      </c>
      <c r="E100" s="543" t="inlineStr">
        <is>
          <t>Filled</t>
        </is>
      </c>
      <c r="F100" s="1031">
        <f>INDEX('REVIEW - Complete Role Mapping'!$AE$2:$AE$700,MATCH($A100,'REVIEW - Complete Role Mapping'!$AQ$2:$AQ$700,0))</f>
        <v>178285.368</v>
      </c>
      <c r="G100" s="1031">
        <f>$F100*IF(ISNUMBER(SEARCH("WIPRO",INDEX('REVIEW - Complete Role Mapping'!$R$2:$R$700,MATCH($A100,'REVIEW - Complete Role Mapping'!$AQ$2:$AQ$700,0)))),1,IFERROR(INDEX(Lists!$AD$2:$AD$5,MATCH($E100,Lists!$AC$2:$AC$5,0)),NA()))</f>
        <v>178285.368</v>
      </c>
    </row>
    <row r="101" ht="14.25" customHeight="1" s="535">
      <c r="A101" s="1045" t="inlineStr">
        <is>
          <t>R0130</t>
        </is>
      </c>
      <c r="B101" s="929" t="str">
        <f>INDEX('REVIEW - Complete Role Mapping'!$B$2:$B$700,MATCH($A101,'REVIEW - Complete Role Mapping'!$AQ$2:$AQ$700,0))</f>
        <v>Ants Jackson</v>
      </c>
      <c r="C101" s="929" t="str">
        <f>INDEX('REVIEW - Complete Role Mapping'!$D$2:$D$700,MATCH($A101,'REVIEW - Complete Role Mapping'!$AQ$2:$AQ$700,0))</f>
        <v>Experience Designer</v>
      </c>
      <c r="D101" s="929" t="str">
        <f>INDEX('REVIEW - Complete Role Mapping'!$AF$2:$AF$700,MATCH($A101,'REVIEW - Complete Role Mapping'!$AQ$2:$AQ$700,0))</f>
        <v>Filled</v>
      </c>
      <c r="E101" s="543" t="inlineStr">
        <is>
          <t>Filled</t>
        </is>
      </c>
      <c r="F101" s="1031">
        <f>INDEX('REVIEW - Complete Role Mapping'!$AE$2:$AE$700,MATCH($A101,'REVIEW - Complete Role Mapping'!$AQ$2:$AQ$700,0))</f>
        <v>181091.736</v>
      </c>
      <c r="G101" s="1031">
        <f>$F101*IF(ISNUMBER(SEARCH("WIPRO",INDEX('REVIEW - Complete Role Mapping'!$R$2:$R$700,MATCH($A101,'REVIEW - Complete Role Mapping'!$AQ$2:$AQ$700,0)))),1,IFERROR(INDEX(Lists!$AD$2:$AD$5,MATCH($E101,Lists!$AC$2:$AC$5,0)),NA()))</f>
        <v>181091.736</v>
      </c>
    </row>
    <row r="102" ht="14.25" customHeight="1" s="535">
      <c r="A102" s="1045" t="inlineStr">
        <is>
          <t>R0132</t>
        </is>
      </c>
      <c r="B102" s="929" t="str">
        <f>INDEX('REVIEW - Complete Role Mapping'!$B$2:$B$700,MATCH($A102,'REVIEW - Complete Role Mapping'!$AQ$2:$AQ$700,0))</f>
        <v>Tim Corin</v>
      </c>
      <c r="C102" s="929" t="str">
        <f>INDEX('REVIEW - Complete Role Mapping'!$D$2:$D$700,MATCH($A102,'REVIEW - Complete Role Mapping'!$AQ$2:$AQ$700,0))</f>
        <v>Experience Designer</v>
      </c>
      <c r="D102" s="929" t="str">
        <f>INDEX('REVIEW - Complete Role Mapping'!$AF$2:$AF$700,MATCH($A102,'REVIEW - Complete Role Mapping'!$AQ$2:$AQ$700,0))</f>
        <v>Filled</v>
      </c>
      <c r="E102" s="543" t="inlineStr">
        <is>
          <t>Filled</t>
        </is>
      </c>
      <c r="F102" s="1031">
        <f>INDEX('REVIEW - Complete Role Mapping'!$AE$2:$AE$700,MATCH($A102,'REVIEW - Complete Role Mapping'!$AQ$2:$AQ$700,0))</f>
        <v>163597.2</v>
      </c>
      <c r="G102" s="1031">
        <f>$F102*IF(ISNUMBER(SEARCH("WIPRO",INDEX('REVIEW - Complete Role Mapping'!$R$2:$R$700,MATCH($A102,'REVIEW - Complete Role Mapping'!$AQ$2:$AQ$700,0)))),1,IFERROR(INDEX(Lists!$AD$2:$AD$5,MATCH($E102,Lists!$AC$2:$AC$5,0)),NA()))</f>
        <v>163597.2</v>
      </c>
    </row>
    <row r="103" ht="14.25" customHeight="1" s="535">
      <c r="A103" s="1045" t="inlineStr">
        <is>
          <t>R0140</t>
        </is>
      </c>
      <c r="B103" s="929" t="str">
        <f>INDEX('REVIEW - Complete Role Mapping'!$B$2:$B$700,MATCH($A103,'REVIEW - Complete Role Mapping'!$AQ$2:$AQ$700,0))</f>
        <v>Shane Abrahams</v>
      </c>
      <c r="C103" s="929" t="str">
        <f>INDEX('REVIEW - Complete Role Mapping'!$D$2:$D$700,MATCH($A103,'REVIEW - Complete Role Mapping'!$AQ$2:$AQ$700,0))</f>
        <v>Digital Support Manager - NZ</v>
      </c>
      <c r="D103" s="929" t="str">
        <f>INDEX('REVIEW - Complete Role Mapping'!$AF$2:$AF$700,MATCH($A103,'REVIEW - Complete Role Mapping'!$AQ$2:$AQ$700,0))</f>
        <v>Filled</v>
      </c>
      <c r="E103" s="543" t="inlineStr">
        <is>
          <t>Filled</t>
        </is>
      </c>
      <c r="F103" s="1031">
        <f>INDEX('REVIEW - Complete Role Mapping'!$AE$2:$AE$700,MATCH($A103,'REVIEW - Complete Role Mapping'!$AQ$2:$AQ$700,0))</f>
        <v>186432.888</v>
      </c>
      <c r="G103" s="1031">
        <f>$F103*IF(ISNUMBER(SEARCH("WIPRO",INDEX('REVIEW - Complete Role Mapping'!$R$2:$R$700,MATCH($A103,'REVIEW - Complete Role Mapping'!$AQ$2:$AQ$700,0)))),1,IFERROR(INDEX(Lists!$AD$2:$AD$5,MATCH($E103,Lists!$AC$2:$AC$5,0)),NA()))</f>
        <v>186432.888</v>
      </c>
    </row>
    <row r="104" ht="14.25" customHeight="1" s="535">
      <c r="A104" s="1045" t="inlineStr">
        <is>
          <t>R0405</t>
        </is>
      </c>
      <c r="B104" s="929" t="str">
        <f>INDEX('REVIEW - Complete Role Mapping'!$B$2:$B$700,MATCH($A104,'REVIEW - Complete Role Mapping'!$AQ$2:$AQ$700,0))</f>
        <v>Sam Turnball</v>
      </c>
      <c r="C104" s="929" t="str">
        <f>INDEX('REVIEW - Complete Role Mapping'!$D$2:$D$700,MATCH($A104,'REVIEW - Complete Role Mapping'!$AQ$2:$AQ$700,0))</f>
        <v>Associate Experience Designer</v>
      </c>
      <c r="D104" s="929" t="str">
        <f>INDEX('REVIEW - Complete Role Mapping'!$AF$2:$AF$700,MATCH($A104,'REVIEW - Complete Role Mapping'!$AQ$2:$AQ$700,0))</f>
        <v>Filled</v>
      </c>
      <c r="E104" s="543" t="inlineStr">
        <is>
          <t>Filled</t>
        </is>
      </c>
      <c r="F104" s="1031">
        <f>INDEX('REVIEW - Complete Role Mapping'!$AE$2:$AE$700,MATCH($A104,'REVIEW - Complete Role Mapping'!$AQ$2:$AQ$700,0))</f>
        <v>114349.968</v>
      </c>
      <c r="G104" s="1031">
        <f>$F104*IF(ISNUMBER(SEARCH("WIPRO",INDEX('REVIEW - Complete Role Mapping'!$R$2:$R$700,MATCH($A104,'REVIEW - Complete Role Mapping'!$AQ$2:$AQ$700,0)))),1,IFERROR(INDEX(Lists!$AD$2:$AD$5,MATCH($E104,Lists!$AC$2:$AC$5,0)),NA()))</f>
        <v>114349.968</v>
      </c>
    </row>
    <row r="105" ht="14.25" customHeight="1" s="535">
      <c r="B105" s="1029" t="inlineStr">
        <is>
          <t>Z Loyalty &amp; Martech</t>
        </is>
      </c>
      <c r="C105" s="1029" t="str">
        <f>COUNTIF($B$106:$B$119,"?*")&amp;IF(COUNTIF($B$106:$B$119,"?*")=1," role"," roles")</f>
        <v>14 roles</v>
      </c>
      <c r="D105" s="1029" t="n"/>
      <c r="E105" s="1029" t="n"/>
      <c r="F105" s="1044">
        <f>SUM(F106:F119)</f>
        <v>1991781.76832</v>
      </c>
      <c r="G105" s="1044">
        <f>SUM(G106:G119)</f>
        <v>1991781.76832</v>
      </c>
    </row>
    <row r="106" ht="14.25" customHeight="1" s="535">
      <c r="A106" s="1045" t="inlineStr">
        <is>
          <t>R0134</t>
        </is>
      </c>
      <c r="B106" s="929" t="str">
        <f>INDEX('REVIEW - Complete Role Mapping'!$B$2:$B$700,MATCH($A106,'REVIEW - Complete Role Mapping'!$AQ$2:$AQ$700,0))</f>
        <v>Celia Voysey</v>
      </c>
      <c r="C106" s="929" t="str">
        <f>INDEX('REVIEW - Complete Role Mapping'!$D$2:$D$700,MATCH($A106,'REVIEW - Complete Role Mapping'!$AQ$2:$AQ$700,0))</f>
        <v>Delivery Lead</v>
      </c>
      <c r="D106" s="929" t="str">
        <f>INDEX('REVIEW - Complete Role Mapping'!$AF$2:$AF$700,MATCH($A106,'REVIEW - Complete Role Mapping'!$AQ$2:$AQ$700,0))</f>
        <v>Filled</v>
      </c>
      <c r="E106" s="543" t="inlineStr">
        <is>
          <t>Filled</t>
        </is>
      </c>
      <c r="F106" s="1031">
        <f>INDEX('REVIEW - Complete Role Mapping'!$AE$2:$AE$700,MATCH($A106,'REVIEW - Complete Role Mapping'!$AQ$2:$AQ$700,0))</f>
        <v>197171.772</v>
      </c>
      <c r="G106" s="1031">
        <f>$F106*IF(ISNUMBER(SEARCH("WIPRO",INDEX('REVIEW - Complete Role Mapping'!$R$2:$R$700,MATCH($A106,'REVIEW - Complete Role Mapping'!$AQ$2:$AQ$700,0)))),1,IFERROR(INDEX(Lists!$AD$2:$AD$5,MATCH($E106,Lists!$AC$2:$AC$5,0)),NA()))</f>
        <v>197171.772</v>
      </c>
    </row>
    <row r="107" ht="14.25" customHeight="1" s="535">
      <c r="A107" s="1045" t="inlineStr">
        <is>
          <t>R0135</t>
        </is>
      </c>
      <c r="B107" s="929" t="str">
        <f>INDEX('REVIEW - Complete Role Mapping'!$B$2:$B$700,MATCH($A107,'REVIEW - Complete Role Mapping'!$AQ$2:$AQ$700,0))</f>
        <v>Bharat Talreja</v>
      </c>
      <c r="C107" s="929" t="str">
        <f>INDEX('REVIEW - Complete Role Mapping'!$D$2:$D$700,MATCH($A107,'REVIEW - Complete Role Mapping'!$AQ$2:$AQ$700,0))</f>
        <v>Marketing Technology Lead</v>
      </c>
      <c r="D107" s="929" t="str">
        <f>INDEX('REVIEW - Complete Role Mapping'!$AF$2:$AF$700,MATCH($A107,'REVIEW - Complete Role Mapping'!$AQ$2:$AQ$700,0))</f>
        <v>Filled</v>
      </c>
      <c r="E107" s="543" t="inlineStr">
        <is>
          <t>Filled</t>
        </is>
      </c>
      <c r="F107" s="1031">
        <f>INDEX('REVIEW - Complete Role Mapping'!$AE$2:$AE$700,MATCH($A107,'REVIEW - Complete Role Mapping'!$AQ$2:$AQ$700,0))</f>
        <v>174743.46</v>
      </c>
      <c r="G107" s="1031">
        <f>$F107*IF(ISNUMBER(SEARCH("WIPRO",INDEX('REVIEW - Complete Role Mapping'!$R$2:$R$700,MATCH($A107,'REVIEW - Complete Role Mapping'!$AQ$2:$AQ$700,0)))),1,IFERROR(INDEX(Lists!$AD$2:$AD$5,MATCH($E107,Lists!$AC$2:$AC$5,0)),NA()))</f>
        <v>174743.46</v>
      </c>
    </row>
    <row r="108" ht="14.25" customHeight="1" s="535">
      <c r="A108" s="1045" t="inlineStr">
        <is>
          <t>R0136</t>
        </is>
      </c>
      <c r="B108" s="929" t="str">
        <f>INDEX('REVIEW - Complete Role Mapping'!$B$2:$B$700,MATCH($A108,'REVIEW - Complete Role Mapping'!$AQ$2:$AQ$700,0))</f>
        <v>Kellie Gathergood</v>
      </c>
      <c r="C108" s="929" t="str">
        <f>INDEX('REVIEW - Complete Role Mapping'!$D$2:$D$700,MATCH($A108,'REVIEW - Complete Role Mapping'!$AQ$2:$AQ$700,0))</f>
        <v>Lead Quality Assurance</v>
      </c>
      <c r="D108" s="929" t="str">
        <f>INDEX('REVIEW - Complete Role Mapping'!$AF$2:$AF$700,MATCH($A108,'REVIEW - Complete Role Mapping'!$AQ$2:$AQ$700,0))</f>
        <v>Filled</v>
      </c>
      <c r="E108" s="543" t="inlineStr">
        <is>
          <t>Filled</t>
        </is>
      </c>
      <c r="F108" s="1031">
        <f>INDEX('REVIEW - Complete Role Mapping'!$AE$2:$AE$700,MATCH($A108,'REVIEW - Complete Role Mapping'!$AQ$2:$AQ$700,0))</f>
        <v>124779.79392</v>
      </c>
      <c r="G108" s="1031">
        <f>$F108*IF(ISNUMBER(SEARCH("WIPRO",INDEX('REVIEW - Complete Role Mapping'!$R$2:$R$700,MATCH($A108,'REVIEW - Complete Role Mapping'!$AQ$2:$AQ$700,0)))),1,IFERROR(INDEX(Lists!$AD$2:$AD$5,MATCH($E108,Lists!$AC$2:$AC$5,0)),NA()))</f>
        <v>124779.79392</v>
      </c>
    </row>
    <row r="109" ht="14.25" customHeight="1" s="535">
      <c r="A109" s="1045" t="inlineStr">
        <is>
          <t>R0137</t>
        </is>
      </c>
      <c r="B109" s="929" t="str">
        <f>INDEX('REVIEW - Complete Role Mapping'!$B$2:$B$700,MATCH($A109,'REVIEW - Complete Role Mapping'!$AQ$2:$AQ$700,0))</f>
        <v>Nimi Rose</v>
      </c>
      <c r="C109" s="929" t="str">
        <f>INDEX('REVIEW - Complete Role Mapping'!$D$2:$D$700,MATCH($A109,'REVIEW - Complete Role Mapping'!$AQ$2:$AQ$700,0))</f>
        <v>Marketing Technology Lead</v>
      </c>
      <c r="D109" s="929" t="str">
        <f>INDEX('REVIEW - Complete Role Mapping'!$AF$2:$AF$700,MATCH($A109,'REVIEW - Complete Role Mapping'!$AQ$2:$AQ$700,0))</f>
        <v>Filled</v>
      </c>
      <c r="E109" s="543" t="inlineStr">
        <is>
          <t>Filled</t>
        </is>
      </c>
      <c r="F109" s="1031">
        <f>INDEX('REVIEW - Complete Role Mapping'!$AE$2:$AE$700,MATCH($A109,'REVIEW - Complete Role Mapping'!$AQ$2:$AQ$700,0))</f>
        <v>196277.808</v>
      </c>
      <c r="G109" s="1031">
        <f>$F109*IF(ISNUMBER(SEARCH("WIPRO",INDEX('REVIEW - Complete Role Mapping'!$R$2:$R$700,MATCH($A109,'REVIEW - Complete Role Mapping'!$AQ$2:$AQ$700,0)))),1,IFERROR(INDEX(Lists!$AD$2:$AD$5,MATCH($E109,Lists!$AC$2:$AC$5,0)),NA()))</f>
        <v>196277.808</v>
      </c>
    </row>
    <row r="110" ht="14.25" customHeight="1" s="535">
      <c r="A110" s="1045" t="inlineStr">
        <is>
          <t>R0406</t>
        </is>
      </c>
      <c r="B110" s="929" t="str">
        <f>INDEX('REVIEW - Complete Role Mapping'!$B$2:$B$700,MATCH($A110,'REVIEW - Complete Role Mapping'!$AQ$2:$AQ$700,0))</f>
        <v>Megan Rodgers</v>
      </c>
      <c r="C110" s="929" t="str">
        <f>INDEX('REVIEW - Complete Role Mapping'!$D$2:$D$700,MATCH($A110,'REVIEW - Complete Role Mapping'!$AQ$2:$AQ$700,0))</f>
        <v>Business Analyst</v>
      </c>
      <c r="D110" s="929" t="str">
        <f>INDEX('REVIEW - Complete Role Mapping'!$AF$2:$AF$700,MATCH($A110,'REVIEW - Complete Role Mapping'!$AQ$2:$AQ$700,0))</f>
        <v>Filled</v>
      </c>
      <c r="E110" s="543" t="inlineStr">
        <is>
          <t>Filled</t>
        </is>
      </c>
      <c r="F110" s="1031">
        <f>INDEX('REVIEW - Complete Role Mapping'!$AE$2:$AE$700,MATCH($A110,'REVIEW - Complete Role Mapping'!$AQ$2:$AQ$700,0))</f>
        <v>118683.6384</v>
      </c>
      <c r="G110" s="1031">
        <f>$F110*IF(ISNUMBER(SEARCH("WIPRO",INDEX('REVIEW - Complete Role Mapping'!$R$2:$R$700,MATCH($A110,'REVIEW - Complete Role Mapping'!$AQ$2:$AQ$700,0)))),1,IFERROR(INDEX(Lists!$AD$2:$AD$5,MATCH($E110,Lists!$AC$2:$AC$5,0)),NA()))</f>
        <v>118683.6384</v>
      </c>
    </row>
    <row r="111" ht="14.25" customHeight="1" s="535">
      <c r="A111" s="1045" t="inlineStr">
        <is>
          <t>R0407</t>
        </is>
      </c>
      <c r="B111" s="929" t="str">
        <f>INDEX('REVIEW - Complete Role Mapping'!$B$2:$B$700,MATCH($A111,'REVIEW - Complete Role Mapping'!$AQ$2:$AQ$700,0))</f>
        <v>Shinal Chamberlain</v>
      </c>
      <c r="C111" s="929" t="str">
        <f>INDEX('REVIEW - Complete Role Mapping'!$D$2:$D$700,MATCH($A111,'REVIEW - Complete Role Mapping'!$AQ$2:$AQ$700,0))</f>
        <v>Business Analyst</v>
      </c>
      <c r="D111" s="929" t="str">
        <f>INDEX('REVIEW - Complete Role Mapping'!$AF$2:$AF$700,MATCH($A111,'REVIEW - Complete Role Mapping'!$AQ$2:$AQ$700,0))</f>
        <v>Filled</v>
      </c>
      <c r="E111" s="543" t="inlineStr">
        <is>
          <t>Filled</t>
        </is>
      </c>
      <c r="F111" s="1031">
        <f>INDEX('REVIEW - Complete Role Mapping'!$AE$2:$AE$700,MATCH($A111,'REVIEW - Complete Role Mapping'!$AQ$2:$AQ$700,0))</f>
        <v>154465.188</v>
      </c>
      <c r="G111" s="1031">
        <f>$F111*IF(ISNUMBER(SEARCH("WIPRO",INDEX('REVIEW - Complete Role Mapping'!$R$2:$R$700,MATCH($A111,'REVIEW - Complete Role Mapping'!$AQ$2:$AQ$700,0)))),1,IFERROR(INDEX(Lists!$AD$2:$AD$5,MATCH($E111,Lists!$AC$2:$AC$5,0)),NA()))</f>
        <v>154465.188</v>
      </c>
    </row>
    <row r="112" ht="14.25" customHeight="1" s="535">
      <c r="A112" s="1045" t="inlineStr">
        <is>
          <t>R0410</t>
        </is>
      </c>
      <c r="B112" s="929" t="str">
        <f>INDEX('REVIEW - Complete Role Mapping'!$B$2:$B$700,MATCH($A112,'REVIEW - Complete Role Mapping'!$AQ$2:$AQ$700,0))</f>
        <v>Carianne Monast</v>
      </c>
      <c r="C112" s="929" t="str">
        <f>INDEX('REVIEW - Complete Role Mapping'!$D$2:$D$700,MATCH($A112,'REVIEW - Complete Role Mapping'!$AQ$2:$AQ$700,0))</f>
        <v>Martech Specialist</v>
      </c>
      <c r="D112" s="929" t="str">
        <f>INDEX('REVIEW - Complete Role Mapping'!$AF$2:$AF$700,MATCH($A112,'REVIEW - Complete Role Mapping'!$AQ$2:$AQ$700,0))</f>
        <v>Filled</v>
      </c>
      <c r="E112" s="543" t="inlineStr">
        <is>
          <t>Filled</t>
        </is>
      </c>
      <c r="F112" s="1031">
        <f>INDEX('REVIEW - Complete Role Mapping'!$AE$2:$AE$700,MATCH($A112,'REVIEW - Complete Role Mapping'!$AQ$2:$AQ$700,0))</f>
        <v>157984.464</v>
      </c>
      <c r="G112" s="1031">
        <f>$F112*IF(ISNUMBER(SEARCH("WIPRO",INDEX('REVIEW - Complete Role Mapping'!$R$2:$R$700,MATCH($A112,'REVIEW - Complete Role Mapping'!$AQ$2:$AQ$700,0)))),1,IFERROR(INDEX(Lists!$AD$2:$AD$5,MATCH($E112,Lists!$AC$2:$AC$5,0)),NA()))</f>
        <v>157984.464</v>
      </c>
    </row>
    <row r="113" ht="14.25" customHeight="1" s="535">
      <c r="A113" s="1045" t="inlineStr">
        <is>
          <t>R0411</t>
        </is>
      </c>
      <c r="B113" s="929" t="str">
        <f>INDEX('REVIEW - Complete Role Mapping'!$B$2:$B$700,MATCH($A113,'REVIEW - Complete Role Mapping'!$AQ$2:$AQ$700,0))</f>
        <v>Denise Esguerra</v>
      </c>
      <c r="C113" s="929" t="str">
        <f>INDEX('REVIEW - Complete Role Mapping'!$D$2:$D$700,MATCH($A113,'REVIEW - Complete Role Mapping'!$AQ$2:$AQ$700,0))</f>
        <v>Martech Specialist</v>
      </c>
      <c r="D113" s="929" t="str">
        <f>INDEX('REVIEW - Complete Role Mapping'!$AF$2:$AF$700,MATCH($A113,'REVIEW - Complete Role Mapping'!$AQ$2:$AQ$700,0))</f>
        <v>Filled</v>
      </c>
      <c r="E113" s="543" t="inlineStr">
        <is>
          <t>Filled</t>
        </is>
      </c>
      <c r="F113" s="1031">
        <f>INDEX('REVIEW - Complete Role Mapping'!$AE$2:$AE$700,MATCH($A113,'REVIEW - Complete Role Mapping'!$AQ$2:$AQ$700,0))</f>
        <v>138284.308</v>
      </c>
      <c r="G113" s="1031">
        <f>$F113*IF(ISNUMBER(SEARCH("WIPRO",INDEX('REVIEW - Complete Role Mapping'!$R$2:$R$700,MATCH($A113,'REVIEW - Complete Role Mapping'!$AQ$2:$AQ$700,0)))),1,IFERROR(INDEX(Lists!$AD$2:$AD$5,MATCH($E113,Lists!$AC$2:$AC$5,0)),NA()))</f>
        <v>138284.308</v>
      </c>
    </row>
    <row r="114" ht="14.25" customHeight="1" s="535">
      <c r="A114" s="1045" t="inlineStr">
        <is>
          <t>R0412</t>
        </is>
      </c>
      <c r="B114" s="929" t="str">
        <f>INDEX('REVIEW - Complete Role Mapping'!$B$2:$B$700,MATCH($A114,'REVIEW - Complete Role Mapping'!$AQ$2:$AQ$700,0))</f>
        <v>Yash Thakkar</v>
      </c>
      <c r="C114" s="929" t="str">
        <f>INDEX('REVIEW - Complete Role Mapping'!$D$2:$D$700,MATCH($A114,'REVIEW - Complete Role Mapping'!$AQ$2:$AQ$700,0))</f>
        <v>Martech Specialist</v>
      </c>
      <c r="D114" s="929" t="str">
        <f>INDEX('REVIEW - Complete Role Mapping'!$AF$2:$AF$700,MATCH($A114,'REVIEW - Complete Role Mapping'!$AQ$2:$AQ$700,0))</f>
        <v>Filled</v>
      </c>
      <c r="E114" s="543" t="inlineStr">
        <is>
          <t>Filled</t>
        </is>
      </c>
      <c r="F114" s="1031">
        <f>INDEX('REVIEW - Complete Role Mapping'!$AE$2:$AE$700,MATCH($A114,'REVIEW - Complete Role Mapping'!$AQ$2:$AQ$700,0))</f>
        <v>150021</v>
      </c>
      <c r="G114" s="1031">
        <f>$F114*IF(ISNUMBER(SEARCH("WIPRO",INDEX('REVIEW - Complete Role Mapping'!$R$2:$R$700,MATCH($A114,'REVIEW - Complete Role Mapping'!$AQ$2:$AQ$700,0)))),1,IFERROR(INDEX(Lists!$AD$2:$AD$5,MATCH($E114,Lists!$AC$2:$AC$5,0)),NA()))</f>
        <v>150021</v>
      </c>
    </row>
    <row r="115" ht="14.25" customHeight="1" s="535">
      <c r="A115" s="1045" t="inlineStr">
        <is>
          <t>R0414</t>
        </is>
      </c>
      <c r="B115" s="929" t="str">
        <f>INDEX('REVIEW - Complete Role Mapping'!$B$2:$B$700,MATCH($A115,'REVIEW - Complete Role Mapping'!$AQ$2:$AQ$700,0))</f>
        <v>Anthony Gen</v>
      </c>
      <c r="C115" s="929" t="str">
        <f>INDEX('REVIEW - Complete Role Mapping'!$D$2:$D$700,MATCH($A115,'REVIEW - Complete Role Mapping'!$AQ$2:$AQ$700,0))</f>
        <v>Data Analyst</v>
      </c>
      <c r="D115" s="929" t="str">
        <f>INDEX('REVIEW - Complete Role Mapping'!$AF$2:$AF$700,MATCH($A115,'REVIEW - Complete Role Mapping'!$AQ$2:$AQ$700,0))</f>
        <v>Filled</v>
      </c>
      <c r="E115" s="543" t="inlineStr">
        <is>
          <t>Filled</t>
        </is>
      </c>
      <c r="F115" s="1031">
        <f>INDEX('REVIEW - Complete Role Mapping'!$AE$2:$AE$700,MATCH($A115,'REVIEW - Complete Role Mapping'!$AQ$2:$AQ$700,0))</f>
        <v>155680</v>
      </c>
      <c r="G115" s="1031">
        <f>$F115*IF(ISNUMBER(SEARCH("WIPRO",INDEX('REVIEW - Complete Role Mapping'!$R$2:$R$700,MATCH($A115,'REVIEW - Complete Role Mapping'!$AQ$2:$AQ$700,0)))),1,IFERROR(INDEX(Lists!$AD$2:$AD$5,MATCH($E115,Lists!$AC$2:$AC$5,0)),NA()))</f>
        <v>155680</v>
      </c>
    </row>
    <row r="116" ht="14.25" customHeight="1" s="535">
      <c r="A116" s="1045" t="inlineStr">
        <is>
          <t>R0491</t>
        </is>
      </c>
      <c r="B116" s="929" t="str">
        <f>INDEX('REVIEW - Complete Role Mapping'!$B$2:$B$700,MATCH($A116,'REVIEW - Complete Role Mapping'!$AQ$2:$AQ$700,0))</f>
        <v>Kishore Ganesan</v>
      </c>
      <c r="C116" s="929" t="str">
        <f>INDEX('REVIEW - Complete Role Mapping'!$D$2:$D$700,MATCH($A116,'REVIEW - Complete Role Mapping'!$AQ$2:$AQ$700,0))</f>
        <v>Intermediate Quality Assurance</v>
      </c>
      <c r="D116" s="929" t="str">
        <f>INDEX('REVIEW - Complete Role Mapping'!$AF$2:$AF$700,MATCH($A116,'REVIEW - Complete Role Mapping'!$AQ$2:$AQ$700,0))</f>
        <v>Filled</v>
      </c>
      <c r="E116" s="543" t="inlineStr">
        <is>
          <t>Filled</t>
        </is>
      </c>
      <c r="F116" s="1031">
        <f>INDEX('REVIEW - Complete Role Mapping'!$AE$2:$AE$700,MATCH($A116,'REVIEW - Complete Role Mapping'!$AQ$2:$AQ$700,0))</f>
        <v>107279.584</v>
      </c>
      <c r="G116" s="1031">
        <f>$F116*IF(ISNUMBER(SEARCH("WIPRO",INDEX('REVIEW - Complete Role Mapping'!$R$2:$R$700,MATCH($A116,'REVIEW - Complete Role Mapping'!$AQ$2:$AQ$700,0)))),1,IFERROR(INDEX(Lists!$AD$2:$AD$5,MATCH($E116,Lists!$AC$2:$AC$5,0)),NA()))</f>
        <v>107279.584</v>
      </c>
    </row>
    <row r="117" ht="14.25" customHeight="1" s="535">
      <c r="A117" s="1045" t="inlineStr">
        <is>
          <t>R0501</t>
        </is>
      </c>
      <c r="B117" s="929" t="str">
        <f>INDEX('REVIEW - Complete Role Mapping'!$B$2:$B$700,MATCH($A117,'REVIEW - Complete Role Mapping'!$AQ$2:$AQ$700,0))</f>
        <v>Kaye Javier</v>
      </c>
      <c r="C117" s="929" t="str">
        <f>INDEX('REVIEW - Complete Role Mapping'!$D$2:$D$700,MATCH($A117,'REVIEW - Complete Role Mapping'!$AQ$2:$AQ$700,0))</f>
        <v>QA Analyst</v>
      </c>
      <c r="D117" s="929" t="str">
        <f>INDEX('REVIEW - Complete Role Mapping'!$AF$2:$AF$700,MATCH($A117,'REVIEW - Complete Role Mapping'!$AQ$2:$AQ$700,0))</f>
        <v>Filled</v>
      </c>
      <c r="E117" s="543" t="inlineStr">
        <is>
          <t>Filled</t>
        </is>
      </c>
      <c r="F117" s="1031">
        <f>INDEX('REVIEW - Complete Role Mapping'!$AE$2:$AE$700,MATCH($A117,'REVIEW - Complete Role Mapping'!$AQ$2:$AQ$700,0))</f>
        <v>105043.248</v>
      </c>
      <c r="G117" s="1031">
        <f>$F117*IF(ISNUMBER(SEARCH("WIPRO",INDEX('REVIEW - Complete Role Mapping'!$R$2:$R$700,MATCH($A117,'REVIEW - Complete Role Mapping'!$AQ$2:$AQ$700,0)))),1,IFERROR(INDEX(Lists!$AD$2:$AD$5,MATCH($E117,Lists!$AC$2:$AC$5,0)),NA()))</f>
        <v>105043.248</v>
      </c>
    </row>
    <row r="118" ht="14.25" customHeight="1" s="535">
      <c r="A118" s="1045" t="inlineStr">
        <is>
          <t>R0502</t>
        </is>
      </c>
      <c r="B118" s="929" t="str">
        <f>INDEX('REVIEW - Complete Role Mapping'!$B$2:$B$700,MATCH($A118,'REVIEW - Complete Role Mapping'!$AQ$2:$AQ$700,0))</f>
        <v>Jordan Kettles</v>
      </c>
      <c r="C118" s="929" t="str">
        <f>INDEX('REVIEW - Complete Role Mapping'!$D$2:$D$700,MATCH($A118,'REVIEW - Complete Role Mapping'!$AQ$2:$AQ$700,0))</f>
        <v>Engineer, Sotware</v>
      </c>
      <c r="D118" s="929" t="str">
        <f>INDEX('REVIEW - Complete Role Mapping'!$AF$2:$AF$700,MATCH($A118,'REVIEW - Complete Role Mapping'!$AQ$2:$AQ$700,0))</f>
        <v>Filled</v>
      </c>
      <c r="E118" s="543" t="inlineStr">
        <is>
          <t>Filled</t>
        </is>
      </c>
      <c r="F118" s="1031">
        <f>INDEX('REVIEW - Complete Role Mapping'!$AE$2:$AE$700,MATCH($A118,'REVIEW - Complete Role Mapping'!$AQ$2:$AQ$700,0))</f>
        <v>106519.664</v>
      </c>
      <c r="G118" s="1031">
        <f>$F118*IF(ISNUMBER(SEARCH("WIPRO",INDEX('REVIEW - Complete Role Mapping'!$R$2:$R$700,MATCH($A118,'REVIEW - Complete Role Mapping'!$AQ$2:$AQ$700,0)))),1,IFERROR(INDEX(Lists!$AD$2:$AD$5,MATCH($E118,Lists!$AC$2:$AC$5,0)),NA()))</f>
        <v>106519.664</v>
      </c>
    </row>
    <row r="119" ht="14.25" customHeight="1" s="535">
      <c r="A119" s="1045" t="inlineStr">
        <is>
          <t>R0503</t>
        </is>
      </c>
      <c r="B119" s="929" t="str">
        <f>INDEX('REVIEW - Complete Role Mapping'!$B$2:$B$700,MATCH($A119,'REVIEW - Complete Role Mapping'!$AQ$2:$AQ$700,0))</f>
        <v>Scott Cullen</v>
      </c>
      <c r="C119" s="929" t="str">
        <f>INDEX('REVIEW - Complete Role Mapping'!$D$2:$D$700,MATCH($A119,'REVIEW - Complete Role Mapping'!$AQ$2:$AQ$700,0))</f>
        <v>Engineer, Dev Ops</v>
      </c>
      <c r="D119" s="929" t="str">
        <f>INDEX('REVIEW - Complete Role Mapping'!$AF$2:$AF$700,MATCH($A119,'REVIEW - Complete Role Mapping'!$AQ$2:$AQ$700,0))</f>
        <v>Filled</v>
      </c>
      <c r="E119" s="543" t="inlineStr">
        <is>
          <t>Filled</t>
        </is>
      </c>
      <c r="F119" s="1031">
        <f>INDEX('REVIEW - Complete Role Mapping'!$AE$2:$AE$700,MATCH($A119,'REVIEW - Complete Role Mapping'!$AQ$2:$AQ$700,0))</f>
        <v>104847.84</v>
      </c>
      <c r="G119" s="1031">
        <f>$F119*IF(ISNUMBER(SEARCH("WIPRO",INDEX('REVIEW - Complete Role Mapping'!$R$2:$R$700,MATCH($A119,'REVIEW - Complete Role Mapping'!$AQ$2:$AQ$700,0)))),1,IFERROR(INDEX(Lists!$AD$2:$AD$5,MATCH($E119,Lists!$AC$2:$AC$5,0)),NA()))</f>
        <v>104847.84</v>
      </c>
    </row>
    <row r="120" ht="14.25" customHeight="1" s="535">
      <c r="B120" s="1029" t="inlineStr">
        <is>
          <t>Head of Technology</t>
        </is>
      </c>
      <c r="C120" s="1029" t="str">
        <f>COUNTIF($B$121:$B$122,"?*")&amp;IF(COUNTIF($B$121:$B$122,"?*")=1," role"," roles")</f>
        <v>2 roles</v>
      </c>
      <c r="D120" s="1029" t="n"/>
      <c r="E120" s="1029" t="n"/>
      <c r="F120" s="1044">
        <f>SUM(F121:F122)</f>
        <v>575460.448</v>
      </c>
      <c r="G120" s="1044">
        <f>SUM(G121:G122)</f>
        <v>575460.448</v>
      </c>
    </row>
    <row r="121" ht="14.25" customHeight="1" s="535">
      <c r="A121" s="1045" t="inlineStr">
        <is>
          <t>R0043</t>
        </is>
      </c>
      <c r="B121" s="929" t="str">
        <f>INDEX('REVIEW - Complete Role Mapping'!$B$2:$B$700,MATCH($A121,'REVIEW - Complete Role Mapping'!$AQ$2:$AQ$700,0))</f>
        <v>Andy Stewart</v>
      </c>
      <c r="C121" s="929" t="str">
        <f>INDEX('REVIEW - Complete Role Mapping'!$D$2:$D$700,MATCH($A121,'REVIEW - Complete Role Mapping'!$AQ$2:$AQ$700,0))</f>
        <v>Head of Technology, Loyalty &amp; Martech</v>
      </c>
      <c r="D121" s="929" t="str">
        <f>INDEX('REVIEW - Complete Role Mapping'!$AF$2:$AF$700,MATCH($A121,'REVIEW - Complete Role Mapping'!$AQ$2:$AQ$700,0))</f>
        <v>Filled</v>
      </c>
      <c r="E121" s="543" t="inlineStr">
        <is>
          <t>Filled</t>
        </is>
      </c>
      <c r="F121" s="1031">
        <f>INDEX('REVIEW - Complete Role Mapping'!$AE$2:$AE$700,MATCH($A121,'REVIEW - Complete Role Mapping'!$AQ$2:$AQ$700,0))</f>
        <v>301148.976</v>
      </c>
      <c r="G121" s="1031">
        <f>$F121*IF(ISNUMBER(SEARCH("WIPRO",INDEX('REVIEW - Complete Role Mapping'!$R$2:$R$700,MATCH($A121,'REVIEW - Complete Role Mapping'!$AQ$2:$AQ$700,0)))),1,IFERROR(INDEX(Lists!$AD$2:$AD$5,MATCH($E121,Lists!$AC$2:$AC$5,0)),NA()))</f>
        <v>301148.976</v>
      </c>
    </row>
    <row r="122" ht="14.25" customHeight="1" s="535">
      <c r="A122" s="1045" t="inlineStr">
        <is>
          <t>R0044</t>
        </is>
      </c>
      <c r="B122" s="929" t="str">
        <f>INDEX('REVIEW - Complete Role Mapping'!$B$2:$B$700,MATCH($A122,'REVIEW - Complete Role Mapping'!$AQ$2:$AQ$700,0))</f>
        <v>Shona Paul</v>
      </c>
      <c r="C122" s="929" t="str">
        <f>INDEX('REVIEW - Complete Role Mapping'!$D$2:$D$700,MATCH($A122,'REVIEW - Complete Role Mapping'!$AQ$2:$AQ$700,0))</f>
        <v>Head of Technology - Digital</v>
      </c>
      <c r="D122" s="929" t="str">
        <f>INDEX('REVIEW - Complete Role Mapping'!$AF$2:$AF$700,MATCH($A122,'REVIEW - Complete Role Mapping'!$AQ$2:$AQ$700,0))</f>
        <v>Filled</v>
      </c>
      <c r="E122" s="543" t="inlineStr">
        <is>
          <t>Filled</t>
        </is>
      </c>
      <c r="F122" s="1031">
        <f>INDEX('REVIEW - Complete Role Mapping'!$AE$2:$AE$700,MATCH($A122,'REVIEW - Complete Role Mapping'!$AQ$2:$AQ$700,0))</f>
        <v>274311.472</v>
      </c>
      <c r="G122" s="1031">
        <f>$F122*IF(ISNUMBER(SEARCH("WIPRO",INDEX('REVIEW - Complete Role Mapping'!$R$2:$R$700,MATCH($A122,'REVIEW - Complete Role Mapping'!$AQ$2:$AQ$700,0)))),1,IFERROR(INDEX(Lists!$AD$2:$AD$5,MATCH($E122,Lists!$AC$2:$AC$5,0)),NA()))</f>
        <v>274311.472</v>
      </c>
    </row>
    <row r="123" ht="14.25" customHeight="1" s="535">
      <c r="B123" s="1029" t="inlineStr">
        <is>
          <t>Delivery Manager</t>
        </is>
      </c>
      <c r="C123" s="1029" t="str">
        <f>COUNTIF($B$124:$B$125,"?*")&amp;IF(COUNTIF($B$124:$B$125,"?*")=1," role"," roles")</f>
        <v>2 roles</v>
      </c>
      <c r="D123" s="1029" t="n"/>
      <c r="E123" s="1029" t="n"/>
      <c r="F123" s="1044">
        <f>SUM(F124:F125)</f>
        <v>526923.808</v>
      </c>
      <c r="G123" s="1044">
        <f>SUM(G124:G125)</f>
        <v>526923.808</v>
      </c>
    </row>
    <row r="124" ht="14.25" customHeight="1" s="535">
      <c r="A124" s="1045" t="inlineStr">
        <is>
          <t>R0068</t>
        </is>
      </c>
      <c r="B124" s="929" t="str">
        <f>INDEX('REVIEW - Complete Role Mapping'!$B$2:$B$700,MATCH($A124,'REVIEW - Complete Role Mapping'!$AQ$2:$AQ$700,0))</f>
        <v>Jill Martin</v>
      </c>
      <c r="C124" s="929" t="str">
        <f>INDEX('REVIEW - Complete Role Mapping'!$D$2:$D$700,MATCH($A124,'REVIEW - Complete Role Mapping'!$AQ$2:$AQ$700,0))</f>
        <v>Delivery Manager</v>
      </c>
      <c r="D124" s="929" t="str">
        <f>INDEX('REVIEW - Complete Role Mapping'!$AF$2:$AF$700,MATCH($A124,'REVIEW - Complete Role Mapping'!$AQ$2:$AQ$700,0))</f>
        <v>Filled</v>
      </c>
      <c r="E124" s="543" t="inlineStr">
        <is>
          <t>Filled</t>
        </is>
      </c>
      <c r="F124" s="1031">
        <f>INDEX('REVIEW - Complete Role Mapping'!$AE$2:$AE$700,MATCH($A124,'REVIEW - Complete Role Mapping'!$AQ$2:$AQ$700,0))</f>
        <v>222021.708</v>
      </c>
      <c r="G124" s="1031">
        <f>$F124*IF(ISNUMBER(SEARCH("WIPRO",INDEX('REVIEW - Complete Role Mapping'!$R$2:$R$700,MATCH($A124,'REVIEW - Complete Role Mapping'!$AQ$2:$AQ$700,0)))),1,IFERROR(INDEX(Lists!$AD$2:$AD$5,MATCH($E124,Lists!$AC$2:$AC$5,0)),NA()))</f>
        <v>222021.708</v>
      </c>
    </row>
    <row r="125" ht="14.25" customHeight="1" s="535">
      <c r="A125" s="1045" t="inlineStr">
        <is>
          <t>R0073</t>
        </is>
      </c>
      <c r="B125" s="929" t="str">
        <f>INDEX('REVIEW - Complete Role Mapping'!$B$2:$B$700,MATCH($A125,'REVIEW - Complete Role Mapping'!$AQ$2:$AQ$700,0))</f>
        <v>Adriel Jeyanandhan</v>
      </c>
      <c r="C125" s="929" t="str">
        <f>INDEX('REVIEW - Complete Role Mapping'!$D$2:$D$700,MATCH($A125,'REVIEW - Complete Role Mapping'!$AQ$2:$AQ$700,0))</f>
        <v>Delivery Manager</v>
      </c>
      <c r="D125" s="929" t="str">
        <f>INDEX('REVIEW - Complete Role Mapping'!$AF$2:$AF$700,MATCH($A125,'REVIEW - Complete Role Mapping'!$AQ$2:$AQ$700,0))</f>
        <v>Filled</v>
      </c>
      <c r="E125" s="543" t="inlineStr">
        <is>
          <t>Filled</t>
        </is>
      </c>
      <c r="F125" s="1031">
        <f>INDEX('REVIEW - Complete Role Mapping'!$AE$2:$AE$700,MATCH($A125,'REVIEW - Complete Role Mapping'!$AQ$2:$AQ$700,0))</f>
        <v>304902.1</v>
      </c>
      <c r="G125" s="1031">
        <f>$F125*IF(ISNUMBER(SEARCH("WIPRO",INDEX('REVIEW - Complete Role Mapping'!$R$2:$R$700,MATCH($A125,'REVIEW - Complete Role Mapping'!$AQ$2:$AQ$700,0)))),1,IFERROR(INDEX(Lists!$AD$2:$AD$5,MATCH($E125,Lists!$AC$2:$AC$5,0)),NA()))</f>
        <v>304902.1</v>
      </c>
    </row>
    <row r="126" ht="14.25" customHeight="1" s="535">
      <c r="B126" s="1029" t="inlineStr">
        <is>
          <t>Technology Manager</t>
        </is>
      </c>
      <c r="C126" s="1029" t="str">
        <f>COUNTIF($B$127:$B$130,"?*")&amp;IF(COUNTIF($B$127:$B$130,"?*")=1," role"," roles")</f>
        <v>4 roles</v>
      </c>
      <c r="D126" s="1029" t="n"/>
      <c r="E126" s="1029" t="n"/>
      <c r="F126" s="1044">
        <f>SUM(F127:F130)</f>
        <v>1036875.09</v>
      </c>
      <c r="G126" s="1044">
        <f>SUM(G127:G130)</f>
        <v>1036875.09</v>
      </c>
    </row>
    <row r="127" ht="14.25" customHeight="1" s="535">
      <c r="A127" s="1045" t="inlineStr">
        <is>
          <t>R0069</t>
        </is>
      </c>
      <c r="B127" s="929" t="str">
        <f>INDEX('REVIEW - Complete Role Mapping'!$B$2:$B$700,MATCH($A127,'REVIEW - Complete Role Mapping'!$AQ$2:$AQ$700,0))</f>
        <v>Zoe Udy</v>
      </c>
      <c r="C127" s="929" t="str">
        <f>INDEX('REVIEW - Complete Role Mapping'!$D$2:$D$700,MATCH($A127,'REVIEW - Complete Role Mapping'!$AQ$2:$AQ$700,0))</f>
        <v>Technology Manager – Data &amp; Engineering</v>
      </c>
      <c r="D127" s="929" t="str">
        <f>INDEX('REVIEW - Complete Role Mapping'!$AF$2:$AF$700,MATCH($A127,'REVIEW - Complete Role Mapping'!$AQ$2:$AQ$700,0))</f>
        <v>Filled</v>
      </c>
      <c r="E127" s="543" t="inlineStr">
        <is>
          <t>Filled</t>
        </is>
      </c>
      <c r="F127" s="1031">
        <f>INDEX('REVIEW - Complete Role Mapping'!$AE$2:$AE$700,MATCH($A127,'REVIEW - Complete Role Mapping'!$AQ$2:$AQ$700,0))</f>
        <v>207706.968</v>
      </c>
      <c r="G127" s="1031">
        <f>$F127*IF(ISNUMBER(SEARCH("WIPRO",INDEX('REVIEW - Complete Role Mapping'!$R$2:$R$700,MATCH($A127,'REVIEW - Complete Role Mapping'!$AQ$2:$AQ$700,0)))),1,IFERROR(INDEX(Lists!$AD$2:$AD$5,MATCH($E127,Lists!$AC$2:$AC$5,0)),NA()))</f>
        <v>207706.968</v>
      </c>
    </row>
    <row r="128" ht="14.25" customHeight="1" s="535">
      <c r="A128" s="1045" t="inlineStr">
        <is>
          <t>R0070</t>
        </is>
      </c>
      <c r="B128" s="929" t="str">
        <f>INDEX('REVIEW - Complete Role Mapping'!$B$2:$B$700,MATCH($A128,'REVIEW - Complete Role Mapping'!$AQ$2:$AQ$700,0))</f>
        <v>Kris Hamilton</v>
      </c>
      <c r="C128" s="929" t="str">
        <f>INDEX('REVIEW - Complete Role Mapping'!$D$2:$D$700,MATCH($A128,'REVIEW - Complete Role Mapping'!$AQ$2:$AQ$700,0))</f>
        <v>Technology Manager - Loyalty &amp; Martech</v>
      </c>
      <c r="D128" s="929" t="str">
        <f>INDEX('REVIEW - Complete Role Mapping'!$AF$2:$AF$700,MATCH($A128,'REVIEW - Complete Role Mapping'!$AQ$2:$AQ$700,0))</f>
        <v>Filled</v>
      </c>
      <c r="E128" s="543" t="inlineStr">
        <is>
          <t>Filled</t>
        </is>
      </c>
      <c r="F128" s="1031">
        <f>INDEX('REVIEW - Complete Role Mapping'!$AE$2:$AE$700,MATCH($A128,'REVIEW - Complete Role Mapping'!$AQ$2:$AQ$700,0))</f>
        <v>223198.572</v>
      </c>
      <c r="G128" s="1031">
        <f>$F128*IF(ISNUMBER(SEARCH("WIPRO",INDEX('REVIEW - Complete Role Mapping'!$R$2:$R$700,MATCH($A128,'REVIEW - Complete Role Mapping'!$AQ$2:$AQ$700,0)))),1,IFERROR(INDEX(Lists!$AD$2:$AD$5,MATCH($E128,Lists!$AC$2:$AC$5,0)),NA()))</f>
        <v>223198.572</v>
      </c>
    </row>
    <row r="129" ht="14.25" customHeight="1" s="535">
      <c r="A129" s="1045" t="inlineStr">
        <is>
          <t>R0075</t>
        </is>
      </c>
      <c r="B129" s="929" t="str">
        <f>INDEX('REVIEW - Complete Role Mapping'!$B$2:$B$700,MATCH($A129,'REVIEW - Complete Role Mapping'!$AQ$2:$AQ$700,0))</f>
        <v>Mitesh Shah</v>
      </c>
      <c r="C129" s="929" t="str">
        <f>INDEX('REVIEW - Complete Role Mapping'!$D$2:$D$700,MATCH($A129,'REVIEW - Complete Role Mapping'!$AQ$2:$AQ$700,0))</f>
        <v>Technology Manager - Digital</v>
      </c>
      <c r="D129" s="929" t="str">
        <f>INDEX('REVIEW - Complete Role Mapping'!$AF$2:$AF$700,MATCH($A129,'REVIEW - Complete Role Mapping'!$AQ$2:$AQ$700,0))</f>
        <v>Filled</v>
      </c>
      <c r="E129" s="543" t="inlineStr">
        <is>
          <t>Filled</t>
        </is>
      </c>
      <c r="F129" s="1031">
        <f>INDEX('REVIEW - Complete Role Mapping'!$AE$2:$AE$700,MATCH($A129,'REVIEW - Complete Role Mapping'!$AQ$2:$AQ$700,0))</f>
        <v>301067.45</v>
      </c>
      <c r="G129" s="1031">
        <f>$F129*IF(ISNUMBER(SEARCH("WIPRO",INDEX('REVIEW - Complete Role Mapping'!$R$2:$R$700,MATCH($A129,'REVIEW - Complete Role Mapping'!$AQ$2:$AQ$700,0)))),1,IFERROR(INDEX(Lists!$AD$2:$AD$5,MATCH($E129,Lists!$AC$2:$AC$5,0)),NA()))</f>
        <v>301067.45</v>
      </c>
    </row>
    <row r="130" ht="14.25" customHeight="1" s="535">
      <c r="A130" s="1045" t="inlineStr">
        <is>
          <t>R0077</t>
        </is>
      </c>
      <c r="B130" s="929" t="str">
        <f>INDEX('REVIEW - Complete Role Mapping'!$B$2:$B$700,MATCH($A130,'REVIEW - Complete Role Mapping'!$AQ$2:$AQ$700,0))</f>
        <v>Vacant</v>
      </c>
      <c r="C130" s="929" t="str">
        <f>INDEX('REVIEW - Complete Role Mapping'!$D$2:$D$700,MATCH($A130,'REVIEW - Complete Role Mapping'!$AQ$2:$AQ$700,0))</f>
        <v>Technology Manager, Engineering</v>
      </c>
      <c r="D130" s="929" t="str">
        <f>INDEX('REVIEW - Complete Role Mapping'!$AF$2:$AF$700,MATCH($A130,'REVIEW - Complete Role Mapping'!$AQ$2:$AQ$700,0))</f>
        <v>Vacant</v>
      </c>
      <c r="E130" s="543" t="inlineStr">
        <is>
          <t>Hire</t>
        </is>
      </c>
      <c r="F130" s="1031">
        <f>INDEX('REVIEW - Complete Role Mapping'!$AE$2:$AE$700,MATCH($A130,'REVIEW - Complete Role Mapping'!$AQ$2:$AQ$700,0))</f>
        <v>304902.1</v>
      </c>
      <c r="G130" s="1031">
        <f>$F130*IF(ISNUMBER(SEARCH("WIPRO",INDEX('REVIEW - Complete Role Mapping'!$R$2:$R$700,MATCH($A130,'REVIEW - Complete Role Mapping'!$AQ$2:$AQ$700,0)))),1,IFERROR(INDEX(Lists!$AD$2:$AD$5,MATCH($E130,Lists!$AC$2:$AC$5,0)),NA()))</f>
        <v>304902.1</v>
      </c>
    </row>
    <row r="131"/>
    <row r="132" ht="14.25" customHeight="1" s="535">
      <c r="B132" s="1040" t="inlineStr">
        <is>
          <t>Vacancy levers on this tab, for the executive summary</t>
        </is>
      </c>
      <c r="J132" s="1046">
        <f>COUNTIFS($D$35:$D$130,"Vacant",$E$35:$E$130,"Hire")</f>
        <v>8</v>
      </c>
      <c r="K132" s="1046">
        <f>COUNTIFS($D$35:$D$130,"Vacant",$E$35:$E$130,"Offshore")</f>
        <v>5</v>
      </c>
      <c r="L132" s="1046">
        <f>COUNTIFS($D$35:$D$130,"Vacant",$E$35:$E$130,"Hold")</f>
        <v>0</v>
      </c>
      <c r="M132" s="1046">
        <f>COUNTIFS($D$35:$D$130,"Vacant",$E$35:$E$130,"Filled")</f>
        <v>0</v>
      </c>
      <c r="N132" s="1046">
        <f>COUNTIFS($D$35:$D$130,"Filled",$E$35:$E$130,"Offshore")</f>
        <v>1</v>
      </c>
    </row>
  </sheetData>
  <dataValidations count="1">
    <dataValidation sqref="E36:E49 E51:E59 E61:E69 E71:E72 E74:E79 E81:E90 E92 E94:E98 E100:E104 E106:E119 E121:E122 E124:E125 E127:E130"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1"/>
  </sheetPr>
  <dimension ref="A1:T67"/>
  <sheetViews>
    <sheetView showFormulas="0" showGridLines="0" showRowColHeaders="1" showZeros="1" rightToLeft="0" tabSelected="0" showOutlineSymbols="1" defaultGridColor="1" view="normal" topLeftCell="A38" colorId="64" zoomScale="100" zoomScaleNormal="100" zoomScalePageLayoutView="100" workbookViewId="0">
      <selection pane="topLeft" activeCell="L23" activeCellId="0" sqref="L23"/>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Enterprise Data - working copy</t>
        </is>
      </c>
    </row>
    <row r="3" ht="14.25" customHeight="1" s="535">
      <c r="B3" s="709" t="inlineStr">
        <is>
          <t>Portfolio</t>
        </is>
      </c>
      <c r="C3" s="868" t="inlineStr">
        <is>
          <t>Enterprise Data</t>
        </is>
      </c>
    </row>
    <row r="4" ht="18.75" customHeight="1" s="535">
      <c r="B4" s="537" t="inlineStr">
        <is>
          <t>Enterprise Data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Data Platforms</t>
        </is>
      </c>
      <c r="C8" s="929" t="str">
        <f>IFERROR(IF(INDEX('1.3 Enterprise Data'!$C$25:$C$38,MATCH($B8,'1.3 Enterprise Data'!$B$25:$B$38,0))="","",INDEX('1.3 Enterprise Data'!$C$25:$C$38,MATCH($B8,'1.3 Enterprise Data'!$B$25:$B$38,0))),"Not on the 1.x tab")</f>
        <v>Enterprise Data and Insights</v>
      </c>
      <c r="D8" s="929" t="str">
        <f>IFERROR(IF(INDEX('1.3 Enterprise Data'!$D$25:$D$38,MATCH($B8,'1.3 Enterprise Data'!$B$25:$B$38,0))="","",INDEX('1.3 Enterprise Data'!$D$25:$D$38,MATCH($B8,'1.3 Enterprise Data'!$B$25:$B$38,0))),"")</f>
        <v>M</v>
      </c>
      <c r="E8" s="1030">
        <f>IFERROR(INDEX('0.3 Squad Archetypes'!$F$5:$F$23,MATCH($C8&amp;"|"&amp;$D8,'0.3 Squad Archetypes'!$A$5:$A$23,0)),"")</f>
        <v>7.5</v>
      </c>
      <c r="F8" s="1031">
        <f>COUNTIF($B$29:$B$36,"?*")</f>
        <v>8</v>
      </c>
      <c r="G8" s="1030">
        <f>ROUND(SUMIFS('REVIEW - Complete Role Mapping'!$P$2:$P$700,'REVIEW - Complete Role Mapping'!$AH$2:$AH$700,$C$3,'REVIEW - Complete Role Mapping'!$AL$2:$AL$700,$B8),2)</f>
        <v>8</v>
      </c>
      <c r="H8" s="1031">
        <f>COUNTIFS($D$29:$D$36,"Filled")</f>
        <v>4</v>
      </c>
      <c r="I8" s="1031">
        <f>COUNTIFS($D$29:$D$36,"Vacant")</f>
        <v>4</v>
      </c>
      <c r="J8" s="1031">
        <f>COUNTIFS($D$29:$D$36,"Vacant",$E$29:$E$36,"Hire")</f>
        <v>1</v>
      </c>
      <c r="K8" s="1031">
        <f>COUNTIFS($E$29:$E$36,"Offshore")</f>
        <v>0</v>
      </c>
      <c r="L8" s="1031">
        <f>COUNTIFS($E$29:$E$36,"Hold")</f>
        <v>3</v>
      </c>
      <c r="M8" s="1031">
        <f>$F8-$L8</f>
        <v>5</v>
      </c>
      <c r="N8" s="1032">
        <f>IFERROR(IF(ISNUMBER(INDEX('1.3 Enterprise Data'!$H$25:$H$38,MATCH($B8,'1.3 Enterprise Data'!$B$25:$B$38,0))),INDEX('1.3 Enterprise Data'!$H$25:$H$38,MATCH($B8,'1.3 Enterprise Data'!$B$25:$B$38,0)),""),"")</f>
        <v>1.7</v>
      </c>
      <c r="O8" s="1032">
        <f>SUMIFS('REVIEW - Complete Role Mapping'!$AE$2:$AE$700,'REVIEW - Complete Role Mapping'!$AH$2:$AH$700,$C$3,'REVIEW - Complete Role Mapping'!$AL$2:$AL$700,$B8)/1000000</f>
        <v>1.626176996</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1.626176996</v>
      </c>
      <c r="R8" s="1032">
        <f>IFERROR(ROUND(IF(COUNTIF(Lists!$AU$2:$AU$10,$B8),$O8,$Q8)-$N8,6),"")</f>
        <v>-0.073823</v>
      </c>
      <c r="S8" s="1032">
        <f>SUM($G$29:$G$36)/1000000</f>
        <v>1.049980746</v>
      </c>
      <c r="T8" s="1032">
        <f>IFERROR(ROUND($S8-$N8,6),"")</f>
        <v>-0.650019</v>
      </c>
    </row>
    <row r="9" ht="14.25" customHeight="1" s="535">
      <c r="B9" s="929" t="inlineStr">
        <is>
          <t>Data Science</t>
        </is>
      </c>
      <c r="C9" s="929" t="str">
        <f>IFERROR(IF(INDEX('1.3 Enterprise Data'!$C$25:$C$38,MATCH($B9,'1.3 Enterprise Data'!$B$25:$B$38,0))="","",INDEX('1.3 Enterprise Data'!$C$25:$C$38,MATCH($B9,'1.3 Enterprise Data'!$B$25:$B$38,0))),"Not on the 1.x tab")</f>
        <v>Enterprise Data and Insights</v>
      </c>
      <c r="D9" s="929" t="str">
        <f>IFERROR(IF(INDEX('1.3 Enterprise Data'!$D$25:$D$38,MATCH($B9,'1.3 Enterprise Data'!$B$25:$B$38,0))="","",INDEX('1.3 Enterprise Data'!$D$25:$D$38,MATCH($B9,'1.3 Enterprise Data'!$B$25:$B$38,0))),"")</f>
        <v>S</v>
      </c>
      <c r="E9" s="1030">
        <f>IFERROR(INDEX('0.3 Squad Archetypes'!$F$5:$F$23,MATCH($C9&amp;"|"&amp;$D9,'0.3 Squad Archetypes'!$A$5:$A$23,0)),"")</f>
        <v>4</v>
      </c>
      <c r="F9" s="1031">
        <f>COUNTIF($B$38:$B$41,"?*")</f>
        <v>4</v>
      </c>
      <c r="G9" s="1030">
        <f>ROUND(SUMIFS('REVIEW - Complete Role Mapping'!$P$2:$P$700,'REVIEW - Complete Role Mapping'!$AH$2:$AH$700,$C$3,'REVIEW - Complete Role Mapping'!$AL$2:$AL$700,$B9),2)</f>
        <v>4</v>
      </c>
      <c r="H9" s="1031">
        <f>COUNTIFS($D$38:$D$41,"Filled")</f>
        <v>4</v>
      </c>
      <c r="I9" s="1031">
        <f>COUNTIFS($D$38:$D$41,"Vacant")</f>
        <v>0</v>
      </c>
      <c r="J9" s="1031">
        <f>COUNTIFS($D$38:$D$41,"Vacant",$E$38:$E$41,"Hire")</f>
        <v>0</v>
      </c>
      <c r="K9" s="1031">
        <f>COUNTIFS($E$38:$E$41,"Offshore")</f>
        <v>0</v>
      </c>
      <c r="L9" s="1031">
        <f>COUNTIFS($E$38:$E$41,"Hold")</f>
        <v>0</v>
      </c>
      <c r="M9" s="1031">
        <f>$F9-$L9</f>
        <v>4</v>
      </c>
      <c r="N9" s="1032">
        <f>IFERROR(IF(ISNUMBER(INDEX('1.3 Enterprise Data'!$H$25:$H$38,MATCH($B9,'1.3 Enterprise Data'!$B$25:$B$38,0))),INDEX('1.3 Enterprise Data'!$H$25:$H$38,MATCH($B9,'1.3 Enterprise Data'!$B$25:$B$38,0)),""),"")</f>
        <v>0.9</v>
      </c>
      <c r="O9" s="1032">
        <f>SUMIFS('REVIEW - Complete Role Mapping'!$AE$2:$AE$700,'REVIEW - Complete Role Mapping'!$AH$2:$AH$700,$C$3,'REVIEW - Complete Role Mapping'!$AL$2:$AL$700,$B9)/1000000</f>
        <v>0.80639733</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0.80639733</v>
      </c>
      <c r="R9" s="1032">
        <f>IFERROR(ROUND(IF(COUNTIF(Lists!$AU$2:$AU$10,$B9),$O9,$Q9)-$N9,6),"")</f>
        <v>-0.093603</v>
      </c>
      <c r="S9" s="1032">
        <f>SUM($G$38:$G$41)/1000000</f>
        <v>0.80639733</v>
      </c>
      <c r="T9" s="1032">
        <f>IFERROR(ROUND($S9-$N9,6),"")</f>
        <v>-0.093603</v>
      </c>
    </row>
    <row r="10" ht="14.25" customHeight="1" s="535">
      <c r="B10" s="929" t="inlineStr">
        <is>
          <t>Reporting &amp; Analytics</t>
        </is>
      </c>
      <c r="C10" s="929" t="str">
        <f>IFERROR(IF(INDEX('1.3 Enterprise Data'!$C$25:$C$38,MATCH($B10,'1.3 Enterprise Data'!$B$25:$B$38,0))="","",INDEX('1.3 Enterprise Data'!$C$25:$C$38,MATCH($B10,'1.3 Enterprise Data'!$B$25:$B$38,0))),"Not on the 1.x tab")</f>
        <v>Enterprise Data and Insights</v>
      </c>
      <c r="D10" s="929" t="str">
        <f>IFERROR(IF(INDEX('1.3 Enterprise Data'!$D$25:$D$38,MATCH($B10,'1.3 Enterprise Data'!$B$25:$B$38,0))="","",INDEX('1.3 Enterprise Data'!$D$25:$D$38,MATCH($B10,'1.3 Enterprise Data'!$B$25:$B$38,0))),"")</f>
        <v>M</v>
      </c>
      <c r="E10" s="1030">
        <f>IFERROR(INDEX('0.3 Squad Archetypes'!$F$5:$F$23,MATCH($C10&amp;"|"&amp;$D10,'0.3 Squad Archetypes'!$A$5:$A$23,0)),"")</f>
        <v>7.5</v>
      </c>
      <c r="F10" s="1031">
        <f>COUNTIF($B$55:$B$60,"?*")</f>
        <v>6</v>
      </c>
      <c r="G10" s="1030">
        <f>ROUND(SUMIFS('REVIEW - Complete Role Mapping'!$P$2:$P$700,'REVIEW - Complete Role Mapping'!$AH$2:$AH$700,$C$3,'REVIEW - Complete Role Mapping'!$AL$2:$AL$700,$B10),2)</f>
        <v>5.6</v>
      </c>
      <c r="H10" s="1031">
        <f>COUNTIFS($D$55:$D$60,"Filled")</f>
        <v>5</v>
      </c>
      <c r="I10" s="1031">
        <f>COUNTIFS($D$55:$D$60,"Vacant")</f>
        <v>1</v>
      </c>
      <c r="J10" s="1031">
        <f>COUNTIFS($D$55:$D$60,"Vacant",$E$55:$E$60,"Hire")</f>
        <v>0</v>
      </c>
      <c r="K10" s="1031">
        <f>COUNTIFS($E$55:$E$60,"Offshore")</f>
        <v>0</v>
      </c>
      <c r="L10" s="1031">
        <f>COUNTIFS($E$55:$E$60,"Hold")</f>
        <v>1</v>
      </c>
      <c r="M10" s="1031">
        <f>$F10-$L10</f>
        <v>5</v>
      </c>
      <c r="N10" s="1032">
        <f>IFERROR(IF(ISNUMBER(INDEX('1.3 Enterprise Data'!$H$25:$H$38,MATCH($B10,'1.3 Enterprise Data'!$B$25:$B$38,0))),INDEX('1.3 Enterprise Data'!$H$25:$H$38,MATCH($B10,'1.3 Enterprise Data'!$B$25:$B$38,0)),""),"")</f>
        <v>1.7</v>
      </c>
      <c r="O10" s="1032">
        <f>SUMIFS('REVIEW - Complete Role Mapping'!$AE$2:$AE$700,'REVIEW - Complete Role Mapping'!$AH$2:$AH$700,$C$3,'REVIEW - Complete Role Mapping'!$AL$2:$AL$700,$B10)/1000000</f>
        <v>1.26727278</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1.26727278</v>
      </c>
      <c r="R10" s="1032">
        <f>IFERROR(ROUND(IF(COUNTIF(Lists!$AU$2:$AU$10,$B10),$O10,$Q10)-$N10,6),"")</f>
        <v>-0.432727</v>
      </c>
      <c r="S10" s="1032">
        <f>SUM($G$55:$G$60)/1000000</f>
        <v>1.06441953</v>
      </c>
      <c r="T10" s="1032">
        <f>IFERROR(ROUND($S10-$N10,6),"")</f>
        <v>-0.63558</v>
      </c>
    </row>
    <row r="11" ht="14.25" customHeight="1" s="535">
      <c r="B11" s="1033" t="inlineStr">
        <is>
          <t>Squads total</t>
        </is>
      </c>
      <c r="C11" s="1033" t="n"/>
      <c r="D11" s="1033" t="n"/>
      <c r="E11" s="1034">
        <f>SUM(E8:E10)</f>
        <v>19</v>
      </c>
      <c r="F11" s="1035">
        <f>SUM(F8:F10)</f>
        <v>18</v>
      </c>
      <c r="G11" s="1034">
        <f>SUM(G8:G10)</f>
        <v>17.6</v>
      </c>
      <c r="H11" s="1035">
        <f>SUM(H8:H10)</f>
        <v>13</v>
      </c>
      <c r="I11" s="1035">
        <f>SUM(I8:I10)</f>
        <v>5</v>
      </c>
      <c r="J11" s="1035">
        <f>SUM(J8:J10)</f>
        <v>1</v>
      </c>
      <c r="K11" s="1035">
        <f>SUM(K8:K10)</f>
        <v>0</v>
      </c>
      <c r="L11" s="1035">
        <f>SUM(L8:L10)</f>
        <v>4</v>
      </c>
      <c r="M11" s="1035">
        <f>SUM(M8:M10)</f>
        <v>14</v>
      </c>
      <c r="N11" s="1036">
        <f>IF(COUNT(N8:N10)=0,"",SUM(N8:N10))</f>
        <v>4.3</v>
      </c>
      <c r="O11" s="1036">
        <f>SUM(O8:O10)</f>
        <v>3.699847106</v>
      </c>
      <c r="P11" s="1036">
        <f>SUM(P8:P10)</f>
        <v>0</v>
      </c>
      <c r="Q11" s="1036">
        <f>SUM(Q8:Q10)</f>
        <v>3.699847106</v>
      </c>
      <c r="R11" s="1036">
        <f>IF(COUNT(N8:N10)=3,ROUND($O11-$N11,6),"")</f>
        <v>-0.600153</v>
      </c>
      <c r="S11" s="1036">
        <f>SUM(S8:S10)</f>
        <v>2.920797606</v>
      </c>
      <c r="T11" s="1036">
        <f>IF(COUNT(N8:N10)=3,ROUND($S11-$N11,6),"")</f>
        <v>-1.379202</v>
      </c>
    </row>
    <row r="12" ht="14.25" customHeight="1" s="535">
      <c r="B12" s="1029" t="inlineStr">
        <is>
          <t>Directly funded programs and platforms</t>
        </is>
      </c>
      <c r="C12" s="1029" t="n"/>
      <c r="D12" s="1029" t="n"/>
      <c r="E12" s="1029" t="n"/>
      <c r="F12" s="1029" t="n"/>
      <c r="G12" s="1029" t="n"/>
      <c r="H12" s="1029" t="n"/>
      <c r="I12" s="1029" t="n"/>
      <c r="J12" s="1029" t="n"/>
      <c r="K12" s="1029" t="n"/>
      <c r="L12" s="1029" t="n"/>
      <c r="M12" s="1029" t="n"/>
      <c r="N12" s="1029" t="n"/>
      <c r="O12" s="1029" t="n"/>
      <c r="P12" s="1029" t="n"/>
      <c r="Q12" s="1029" t="n"/>
      <c r="R12" s="1029" t="n"/>
      <c r="S12" s="1029" t="n"/>
      <c r="T12" s="1029" t="n"/>
    </row>
    <row r="13" ht="14.25" customHeight="1" s="535">
      <c r="B13" s="929" t="inlineStr">
        <is>
          <t>EGI Ent Data</t>
        </is>
      </c>
      <c r="C13" s="929" t="str">
        <f>IFERROR(IF(INDEX('1.3 Enterprise Data'!$C$25:$C$38,MATCH($B13,'1.3 Enterprise Data'!$B$25:$B$38,0))="","",INDEX('1.3 Enterprise Data'!$C$25:$C$38,MATCH($B13,'1.3 Enterprise Data'!$B$25:$B$38,0))),"Not on the 1.x tab")</f>
        <v>Strategic Programs</v>
      </c>
      <c r="D13" s="929">
        <f>IFERROR(IF(INDEX('1.3 Enterprise Data'!$D$25:$D$38,MATCH($B13,'1.3 Enterprise Data'!$B$25:$B$38,0))="","",INDEX('1.3 Enterprise Data'!$D$25:$D$38,MATCH($B13,'1.3 Enterprise Data'!$B$25:$B$38,0))),"")</f>
        <v/>
      </c>
      <c r="E13" s="1030">
        <f>""</f>
        <v/>
      </c>
      <c r="F13" s="1031">
        <f>COUNTIF($B$43:$B$50,"?*")</f>
        <v>8</v>
      </c>
      <c r="G13" s="1030">
        <f>ROUND(SUMIFS('REVIEW - Complete Role Mapping'!$P$2:$P$700,'REVIEW - Complete Role Mapping'!$AH$2:$AH$700,$C$3,'REVIEW - Complete Role Mapping'!$AL$2:$AL$700,$B13),2)</f>
        <v>8</v>
      </c>
      <c r="H13" s="1031">
        <f>COUNTIFS($D$43:$D$50,"Filled")</f>
        <v>6</v>
      </c>
      <c r="I13" s="1031">
        <f>COUNTIFS($D$43:$D$50,"Vacant")</f>
        <v>2</v>
      </c>
      <c r="J13" s="1031">
        <f>COUNTIFS($D$43:$D$50,"Vacant",$E$43:$E$50,"Hire")</f>
        <v>2</v>
      </c>
      <c r="K13" s="1031">
        <f>COUNTIFS($E$43:$E$50,"Offshore")</f>
        <v>0</v>
      </c>
      <c r="L13" s="1031">
        <f>COUNTIFS($E$43:$E$50,"Hold")</f>
        <v>0</v>
      </c>
      <c r="M13" s="1031">
        <f>$F13-$L13</f>
        <v>8</v>
      </c>
      <c r="N13" s="1032">
        <f>$O13</f>
        <v>1.83595565</v>
      </c>
      <c r="O13" s="1032">
        <f>SUMIFS('REVIEW - Complete Role Mapping'!$AE$2:$AE$700,'REVIEW - Complete Role Mapping'!$AH$2:$AH$700,$C$3,'REVIEW - Complete Role Mapping'!$AL$2:$AL$700,$B13)/1000000</f>
        <v>1.83595565</v>
      </c>
      <c r="P13" s="1032">
        <f>IFERROR(IF(ISNUMBER(INDEX(Lists!$AW$2:$AW$10,MATCH($B13,Lists!$AU$2:$AU$10,0))),INDEX(Lists!$AW$2:$AW$10,MATCH($B13,Lists!$AU$2:$AU$10,0)),SUMIFS('REVIEW - Complete Role Mapping'!$AE$2:$AE$700,'REVIEW - Complete Role Mapping'!$AH$2:$AH$700,$C$3,'REVIEW - Complete Role Mapping'!$AL$2:$AL$700,$B13,'REVIEW - Complete Role Mapping'!$AM$2:$AM$700,1)/1000000),SUMIFS('REVIEW - Complete Role Mapping'!$AE$2:$AE$700,'REVIEW - Complete Role Mapping'!$AH$2:$AH$700,$C$3,'REVIEW - Complete Role Mapping'!$AL$2:$AL$700,$B13,'REVIEW - Complete Role Mapping'!$AM$2:$AM$700,1)/1000000)</f>
        <v>1.83595565</v>
      </c>
      <c r="Q13" s="1032">
        <f>$O13-$P13</f>
        <v>0</v>
      </c>
      <c r="R13" s="1032">
        <f>IFERROR(ROUND(IF(COUNTIF(Lists!$AU$2:$AU$10,$B13),$O13,$Q13)-$N13,6),"")</f>
        <v>-1.835956</v>
      </c>
      <c r="S13" s="1032">
        <f>SUM($G$43:$G$50)/1000000</f>
        <v>1.83595565</v>
      </c>
      <c r="T13" s="1032">
        <f>IFERROR(ROUND($S13-$N13,6),"")</f>
        <v>0</v>
      </c>
    </row>
    <row r="14" ht="14.25" customHeight="1" s="535">
      <c r="B14" s="1029" t="inlineStr">
        <is>
          <t>No archetype in 1.x tabs</t>
        </is>
      </c>
      <c r="C14" s="1029" t="n"/>
      <c r="D14" s="1029" t="n"/>
      <c r="E14" s="1029" t="n"/>
      <c r="F14" s="1029" t="n"/>
      <c r="G14" s="1029" t="n"/>
      <c r="H14" s="1029" t="n"/>
      <c r="I14" s="1029" t="n"/>
      <c r="J14" s="1029" t="n"/>
      <c r="K14" s="1029" t="n"/>
      <c r="L14" s="1029" t="n"/>
      <c r="M14" s="1029" t="n"/>
      <c r="N14" s="1029" t="n"/>
      <c r="O14" s="1029" t="n"/>
      <c r="P14" s="1029" t="n"/>
      <c r="Q14" s="1029" t="n"/>
      <c r="R14" s="1029" t="n"/>
      <c r="S14" s="1029" t="n"/>
      <c r="T14" s="1029" t="n"/>
    </row>
    <row r="15" ht="14.25" customHeight="1" s="535">
      <c r="B15" s="929" t="inlineStr">
        <is>
          <t>Leadership</t>
        </is>
      </c>
      <c r="C15" s="929" t="str">
        <f>IFERROR(IF(INDEX('1.3 Enterprise Data'!$C$25:$C$38,MATCH($B15,'1.3 Enterprise Data'!$B$25:$B$38,0))="","",INDEX('1.3 Enterprise Data'!$C$25:$C$38,MATCH($B15,'1.3 Enterprise Data'!$B$25:$B$38,0))),"Not on the 1.x tab")</f>
        <v>Not on the 1.x tab</v>
      </c>
      <c r="D15" s="929">
        <f>IFERROR(IF(INDEX('1.3 Enterprise Data'!$D$25:$D$38,MATCH($B15,'1.3 Enterprise Data'!$B$25:$B$38,0))="","",INDEX('1.3 Enterprise Data'!$D$25:$D$38,MATCH($B15,'1.3 Enterprise Data'!$B$25:$B$38,0))),"")</f>
        <v/>
      </c>
      <c r="E15" s="1030">
        <f>""</f>
        <v/>
      </c>
      <c r="F15" s="1031">
        <f>COUNTIF($B$52:$B$53,"?*")</f>
        <v>2</v>
      </c>
      <c r="G15" s="1030">
        <f>ROUND(SUMIFS('REVIEW - Complete Role Mapping'!$P$2:$P$700,'REVIEW - Complete Role Mapping'!$AH$2:$AH$700,$C$3,'REVIEW - Complete Role Mapping'!$AL$2:$AL$700,$B15),2)</f>
        <v>2</v>
      </c>
      <c r="H15" s="1031">
        <f>COUNTIFS($D$52:$D$53,"Filled")</f>
        <v>1</v>
      </c>
      <c r="I15" s="1031">
        <f>COUNTIFS($D$52:$D$53,"Vacant")</f>
        <v>1</v>
      </c>
      <c r="J15" s="1031">
        <f>COUNTIFS($D$52:$D$53,"Vacant",$E$52:$E$53,"Hire")</f>
        <v>1</v>
      </c>
      <c r="K15" s="1031">
        <f>COUNTIFS($E$52:$E$53,"Offshore")</f>
        <v>0</v>
      </c>
      <c r="L15" s="1031">
        <f>COUNTIFS($E$52:$E$53,"Hold")</f>
        <v>0</v>
      </c>
      <c r="M15" s="1031">
        <f>$F15-$L15</f>
        <v>2</v>
      </c>
      <c r="N15" s="1032">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1032">
        <f>SUMIFS('REVIEW - Complete Role Mapping'!$AE$2:$AE$700,'REVIEW - Complete Role Mapping'!$AH$2:$AH$700,$C$3,'REVIEW - Complete Role Mapping'!$AL$2:$AL$700,$B15)/1000000</f>
        <v>0.4987717</v>
      </c>
      <c r="P15" s="1032">
        <f>IFERROR(IF(ISNUMBER(INDEX(Lists!$AW$2:$AW$10,MATCH($B15,Lists!$AU$2:$AU$10,0))),INDEX(Lists!$AW$2:$AW$10,MATCH($B15,Lists!$AU$2:$AU$10,0)),SUMIFS('REVIEW - Complete Role Mapping'!$AE$2:$AE$700,'REVIEW - Complete Role Mapping'!$AH$2:$AH$700,$C$3,'REVIEW - Complete Role Mapping'!$AL$2:$AL$700,$B15,'REVIEW - Complete Role Mapping'!$AM$2:$AM$700,1)/1000000),SUMIFS('REVIEW - Complete Role Mapping'!$AE$2:$AE$700,'REVIEW - Complete Role Mapping'!$AH$2:$AH$700,$C$3,'REVIEW - Complete Role Mapping'!$AL$2:$AL$700,$B15,'REVIEW - Complete Role Mapping'!$AM$2:$AM$700,1)/1000000)</f>
        <v>0</v>
      </c>
      <c r="Q15" s="1032">
        <f>$O15-$P15</f>
        <v>0.4987717</v>
      </c>
      <c r="R15" s="1032">
        <f>IFERROR(ROUND(IF(COUNTIF(Lists!$AU$2:$AU$10,$B15),$O15,$Q15)-$N15,6),"")</f>
        <v/>
      </c>
      <c r="S15" s="1032">
        <f>SUM($G$52:$G$53)/1000000</f>
        <v>0.4987717</v>
      </c>
      <c r="T15" s="1032">
        <f>IFERROR(ROUND($S15-$N15,6),"")</f>
        <v/>
      </c>
    </row>
    <row r="16" ht="14.25" customHeight="1" s="535">
      <c r="B16" s="1029" t="inlineStr">
        <is>
          <t>Overhead roles</t>
        </is>
      </c>
      <c r="C16" s="1029" t="n"/>
      <c r="D16" s="1029" t="n"/>
      <c r="E16" s="1029" t="n"/>
      <c r="F16" s="1029" t="n"/>
      <c r="G16" s="1029" t="n"/>
      <c r="H16" s="1029" t="n"/>
      <c r="I16" s="1029" t="n"/>
      <c r="J16" s="1029" t="n"/>
      <c r="K16" s="1029" t="n"/>
      <c r="L16" s="1029" t="n"/>
      <c r="M16" s="1029" t="n"/>
      <c r="N16" s="1029" t="n"/>
      <c r="O16" s="1029" t="n"/>
      <c r="P16" s="1029" t="n"/>
      <c r="Q16" s="1029" t="n"/>
      <c r="R16" s="1029" t="n"/>
      <c r="S16" s="1029" t="n"/>
      <c r="T16" s="1029" t="n"/>
    </row>
    <row r="17" ht="14.25" customHeight="1" s="535">
      <c r="B17" s="929" t="inlineStr">
        <is>
          <t>Head of Technology</t>
        </is>
      </c>
      <c r="C17" s="929">
        <f>""</f>
        <v/>
      </c>
      <c r="D17" s="929">
        <f>""</f>
        <v/>
      </c>
      <c r="E17" s="1030">
        <f>'0.2 Data Config'!$M$6</f>
        <v>0.5</v>
      </c>
      <c r="F17" s="1031">
        <f>COUNTIF($B$62:$B$62,"?*")</f>
        <v>1</v>
      </c>
      <c r="G17" s="1030">
        <f>ROUND(SUMIFS('REVIEW - Complete Role Mapping'!$P$2:$P$700,'REVIEW - Complete Role Mapping'!$AH$2:$AH$700,$C$3,'REVIEW - Complete Role Mapping'!$AL$2:$AL$700,$B17),2)</f>
        <v>1</v>
      </c>
      <c r="H17" s="1031">
        <f>COUNTIFS($D$62:$D$62,"Filled")</f>
        <v>1</v>
      </c>
      <c r="I17" s="1031">
        <f>COUNTIFS($D$62:$D$62,"Vacant")</f>
        <v>0</v>
      </c>
      <c r="J17" s="1031">
        <f>COUNTIFS($D$62:$D$62,"Vacant",$E$62:$E$62,"Hire")</f>
        <v>0</v>
      </c>
      <c r="K17" s="1031">
        <f>COUNTIFS($E$62:$E$62,"Offshore")</f>
        <v>0</v>
      </c>
      <c r="L17" s="1031">
        <f>COUNTIFS($E$62:$E$62,"Hold")</f>
        <v>0</v>
      </c>
      <c r="M17" s="1031">
        <f>$F17-$L17</f>
        <v>1</v>
      </c>
      <c r="N17" s="1032">
        <f>'0.2 Data Config'!$N$6</f>
        <v>0.1375</v>
      </c>
      <c r="O17" s="1032">
        <f>SUMIFS('REVIEW - Complete Role Mapping'!$AE$2:$AE$700,'REVIEW - Complete Role Mapping'!$AH$2:$AH$700,$C$3,'REVIEW - Complete Role Mapping'!$AL$2:$AL$700,$B17)/1000000</f>
        <v>0.4097557</v>
      </c>
      <c r="P17" s="1032">
        <f>IFERROR(IF(ISNUMBER(INDEX(Lists!$AW$2:$AW$10,MATCH($B17,Lists!$AU$2:$AU$10,0))),INDEX(Lists!$AW$2:$AW$10,MATCH($B17,Lists!$AU$2:$AU$10,0)),SUMIFS('REVIEW - Complete Role Mapping'!$AE$2:$AE$700,'REVIEW - Complete Role Mapping'!$AH$2:$AH$700,$C$3,'REVIEW - Complete Role Mapping'!$AL$2:$AL$700,$B17,'REVIEW - Complete Role Mapping'!$AM$2:$AM$700,1)/1000000),SUMIFS('REVIEW - Complete Role Mapping'!$AE$2:$AE$700,'REVIEW - Complete Role Mapping'!$AH$2:$AH$700,$C$3,'REVIEW - Complete Role Mapping'!$AL$2:$AL$700,$B17,'REVIEW - Complete Role Mapping'!$AM$2:$AM$700,1)/1000000)</f>
        <v>0</v>
      </c>
      <c r="Q17" s="1032">
        <f>$O17-$P17</f>
        <v>0.4097557</v>
      </c>
      <c r="R17" s="1032">
        <f>ROUND(IF(COUNTIF(Lists!$AU$2:$AU$10,$B17),$O17,$Q17)-$N17,6)</f>
        <v>0.272256</v>
      </c>
      <c r="S17" s="1032">
        <f>SUM($G$62:$G$62)/1000000</f>
        <v>0.4097557</v>
      </c>
      <c r="T17" s="1032">
        <f>ROUND($S17-$N17,6)</f>
        <v>0.272256</v>
      </c>
    </row>
    <row r="18" ht="14.25" customHeight="1" s="535">
      <c r="B18" s="929" t="inlineStr">
        <is>
          <t>Delivery Manager</t>
        </is>
      </c>
      <c r="C18" s="929">
        <f>""</f>
        <v/>
      </c>
      <c r="D18" s="929">
        <f>""</f>
        <v/>
      </c>
      <c r="E18" s="1030">
        <f>'0.2 Data Config'!$M$14*(N('1.3 Enterprise Data'!$F$7)/'0.2 Data Config'!$N$16)</f>
        <v>0.3</v>
      </c>
      <c r="F18" s="1031" t="n">
        <v>0</v>
      </c>
      <c r="G18" s="1030">
        <f>ROUND(SUMIFS('REVIEW - Complete Role Mapping'!$P$2:$P$700,'REVIEW - Complete Role Mapping'!$AH$2:$AH$700,$C$3,'REVIEW - Complete Role Mapping'!$AL$2:$AL$700,$B18),2)</f>
        <v>0</v>
      </c>
      <c r="H18" s="1031" t="n">
        <v>0</v>
      </c>
      <c r="I18" s="1031" t="n">
        <v>0</v>
      </c>
      <c r="J18" s="1031" t="n">
        <v>0</v>
      </c>
      <c r="K18" s="1031" t="n">
        <v>0</v>
      </c>
      <c r="L18" s="1031" t="n">
        <v>0</v>
      </c>
      <c r="M18" s="1031">
        <f>$F18-$L18</f>
        <v>0</v>
      </c>
      <c r="N18" s="1032">
        <f>'0.2 Data Config'!$N$14*(N('1.3 Enterprise Data'!$F$7)/'0.2 Data Config'!$N$16)</f>
        <v>0.084</v>
      </c>
      <c r="O18" s="1032">
        <f>SUMIFS('REVIEW - Complete Role Mapping'!$AE$2:$AE$700,'REVIEW - Complete Role Mapping'!$AH$2:$AH$700,$C$3,'REVIEW - Complete Role Mapping'!$AL$2:$AL$700,$B18)/1000000</f>
        <v>0</v>
      </c>
      <c r="P18" s="1032">
        <f>IFERROR(IF(ISNUMBER(INDEX(Lists!$AW$2:$AW$10,MATCH($B18,Lists!$AU$2:$AU$10,0))),INDEX(Lists!$AW$2:$AW$10,MATCH($B18,Lists!$AU$2:$AU$10,0)),SUMIFS('REVIEW - Complete Role Mapping'!$AE$2:$AE$700,'REVIEW - Complete Role Mapping'!$AH$2:$AH$700,$C$3,'REVIEW - Complete Role Mapping'!$AL$2:$AL$700,$B18,'REVIEW - Complete Role Mapping'!$AM$2:$AM$700,1)/1000000),SUMIFS('REVIEW - Complete Role Mapping'!$AE$2:$AE$700,'REVIEW - Complete Role Mapping'!$AH$2:$AH$700,$C$3,'REVIEW - Complete Role Mapping'!$AL$2:$AL$700,$B18,'REVIEW - Complete Role Mapping'!$AM$2:$AM$700,1)/1000000)</f>
        <v>0</v>
      </c>
      <c r="Q18" s="1032">
        <f>$O18-$P18</f>
        <v>0</v>
      </c>
      <c r="R18" s="1032">
        <f>ROUND(IF(COUNTIF(Lists!$AU$2:$AU$10,$B18),$O18,$Q18)-$N18,6)</f>
        <v>-0.084</v>
      </c>
      <c r="S18" s="1032" t="n">
        <v>0</v>
      </c>
      <c r="T18" s="1032">
        <f>ROUND($S18-$N18,6)</f>
        <v>-0.084</v>
      </c>
    </row>
    <row r="19" ht="14.25" customHeight="1" s="535">
      <c r="B19" s="929" t="inlineStr">
        <is>
          <t>Technology Manager</t>
        </is>
      </c>
      <c r="C19" s="929">
        <f>""</f>
        <v/>
      </c>
      <c r="D19" s="929">
        <f>""</f>
        <v/>
      </c>
      <c r="E19" s="1030">
        <f>'0.2 Data Config'!$M$15*(N('1.3 Enterprise Data'!$F$7)/'0.2 Data Config'!$N$16)</f>
        <v>0.3</v>
      </c>
      <c r="F19" s="1031">
        <f>COUNTIF($B$64:$B$65,"?*")</f>
        <v>2</v>
      </c>
      <c r="G19" s="1030">
        <f>ROUND(SUMIFS('REVIEW - Complete Role Mapping'!$P$2:$P$700,'REVIEW - Complete Role Mapping'!$AH$2:$AH$700,$C$3,'REVIEW - Complete Role Mapping'!$AL$2:$AL$700,$B19),2)</f>
        <v>2</v>
      </c>
      <c r="H19" s="1031">
        <f>COUNTIFS($D$64:$D$65,"Filled")</f>
        <v>2</v>
      </c>
      <c r="I19" s="1031">
        <f>COUNTIFS($D$64:$D$65,"Vacant")</f>
        <v>0</v>
      </c>
      <c r="J19" s="1031">
        <f>COUNTIFS($D$64:$D$65,"Vacant",$E$64:$E$65,"Hire")</f>
        <v>0</v>
      </c>
      <c r="K19" s="1031">
        <f>COUNTIFS($E$64:$E$65,"Offshore")</f>
        <v>0</v>
      </c>
      <c r="L19" s="1031">
        <f>COUNTIFS($E$64:$E$65,"Hold")</f>
        <v>0</v>
      </c>
      <c r="M19" s="1031">
        <f>$F19-$L19</f>
        <v>2</v>
      </c>
      <c r="N19" s="1032">
        <f>'0.2 Data Config'!$N$15*(N('1.3 Enterprise Data'!$F$7)/'0.2 Data Config'!$N$16)</f>
        <v>0.081</v>
      </c>
      <c r="O19" s="1032">
        <f>SUMIFS('REVIEW - Complete Role Mapping'!$AE$2:$AE$700,'REVIEW - Complete Role Mapping'!$AH$2:$AH$700,$C$3,'REVIEW - Complete Role Mapping'!$AL$2:$AL$700,$B19)/1000000</f>
        <v>0.65127875</v>
      </c>
      <c r="P19" s="1032">
        <f>IFERROR(IF(ISNUMBER(INDEX(Lists!$AW$2:$AW$10,MATCH($B19,Lists!$AU$2:$AU$10,0))),INDEX(Lists!$AW$2:$AW$10,MATCH($B19,Lists!$AU$2:$AU$10,0)),SUMIFS('REVIEW - Complete Role Mapping'!$AE$2:$AE$700,'REVIEW - Complete Role Mapping'!$AH$2:$AH$700,$C$3,'REVIEW - Complete Role Mapping'!$AL$2:$AL$700,$B19,'REVIEW - Complete Role Mapping'!$AM$2:$AM$700,1)/1000000),SUMIFS('REVIEW - Complete Role Mapping'!$AE$2:$AE$700,'REVIEW - Complete Role Mapping'!$AH$2:$AH$700,$C$3,'REVIEW - Complete Role Mapping'!$AL$2:$AL$700,$B19,'REVIEW - Complete Role Mapping'!$AM$2:$AM$700,1)/1000000)</f>
        <v>0</v>
      </c>
      <c r="Q19" s="1032">
        <f>$O19-$P19</f>
        <v>0.65127875</v>
      </c>
      <c r="R19" s="1032">
        <f>ROUND(IF(COUNTIF(Lists!$AU$2:$AU$10,$B19),$O19,$Q19)-$N19,6)</f>
        <v>0.570279</v>
      </c>
      <c r="S19" s="1032">
        <f>SUM($G$64:$G$65)/1000000</f>
        <v>0.65127875</v>
      </c>
      <c r="T19" s="1032">
        <f>ROUND($S19-$N19,6)</f>
        <v>0.570279</v>
      </c>
    </row>
    <row r="20" ht="14.25" customHeight="1" s="535">
      <c r="B20" s="1033" t="inlineStr">
        <is>
          <t>Overhead roles total</t>
        </is>
      </c>
      <c r="C20" s="1033" t="n"/>
      <c r="D20" s="1033" t="n"/>
      <c r="E20" s="1034">
        <f>SUM(E17:E19)</f>
        <v>1.1</v>
      </c>
      <c r="F20" s="1035">
        <f>SUM(F17:F19)</f>
        <v>3</v>
      </c>
      <c r="G20" s="1034">
        <f>SUM(G17:G19)</f>
        <v>3</v>
      </c>
      <c r="H20" s="1035">
        <f>SUM(H17:H19)</f>
        <v>3</v>
      </c>
      <c r="I20" s="1035">
        <f>SUM(I17:I19)</f>
        <v>0</v>
      </c>
      <c r="J20" s="1035">
        <f>SUM(J17:J19)</f>
        <v>0</v>
      </c>
      <c r="K20" s="1035">
        <f>SUM(K17:K19)</f>
        <v>0</v>
      </c>
      <c r="L20" s="1035">
        <f>SUM(L17:L19)</f>
        <v>0</v>
      </c>
      <c r="M20" s="1035">
        <f>SUM(M17:M19)</f>
        <v>3</v>
      </c>
      <c r="N20" s="1036">
        <f>IF(COUNT(N17:N19)=0,"",SUM(N17:N19))</f>
        <v>0.3025</v>
      </c>
      <c r="O20" s="1036">
        <f>SUM(O17:O19)</f>
        <v>1.06103445</v>
      </c>
      <c r="P20" s="1036">
        <f>SUM(P17:P19)</f>
        <v>0</v>
      </c>
      <c r="Q20" s="1036">
        <f>SUM(Q17:Q19)</f>
        <v>1.06103445</v>
      </c>
      <c r="R20" s="1036">
        <f>IF(COUNT(N17:N19)=3,ROUND($O20-$N20,6),"")</f>
        <v>0.758534</v>
      </c>
      <c r="S20" s="1036">
        <f>SUM(S17:S19)</f>
        <v>1.06103445</v>
      </c>
      <c r="T20" s="1036">
        <f>IF(COUNT(N17:N19)=3,ROUND($S20-$N20,6),"")</f>
        <v>0.758534</v>
      </c>
    </row>
    <row r="21" ht="14.25" customHeight="1" s="535">
      <c r="B21" s="1037" t="inlineStr">
        <is>
          <t>Portfolio overhead roles (Business Partner, Domain Architect, Leadership) (Required to show archetype FTE)</t>
        </is>
      </c>
      <c r="D21" s="1038">
        <f>""</f>
        <v/>
      </c>
      <c r="E21" s="1030">
        <f>ROUND(SUM('0.2 Data Config'!$M$6:$M$9)*(N('1.3 Enterprise Data'!$F$6)/'0.2 Data Config'!$N$10)-(N($E17)),6)</f>
        <v>1.3</v>
      </c>
      <c r="F21" s="1038">
        <f>""</f>
        <v/>
      </c>
      <c r="G21" s="1038">
        <f>""</f>
        <v/>
      </c>
      <c r="H21" s="1038">
        <f>""</f>
        <v/>
      </c>
      <c r="I21" s="1038">
        <f>""</f>
        <v/>
      </c>
      <c r="J21" s="1038">
        <f>""</f>
        <v/>
      </c>
      <c r="K21" s="1038">
        <f>""</f>
        <v/>
      </c>
      <c r="L21" s="1038">
        <f>""</f>
        <v/>
      </c>
      <c r="M21" s="1038">
        <f>""</f>
        <v/>
      </c>
      <c r="N21" s="1032">
        <f>ROUND(N('1.3 Enterprise Data'!$F$6)-(N($N17)),6)</f>
        <v>0.66</v>
      </c>
      <c r="O21" s="1038">
        <f>""</f>
        <v/>
      </c>
      <c r="P21" s="1038">
        <f>""</f>
        <v/>
      </c>
      <c r="Q21" s="1038">
        <f>""</f>
        <v/>
      </c>
      <c r="R21" s="1038">
        <f>""</f>
        <v/>
      </c>
      <c r="S21" s="1038">
        <f>""</f>
        <v/>
      </c>
      <c r="T21" s="1038">
        <f>""</f>
        <v/>
      </c>
    </row>
    <row r="22" ht="14.25" customHeight="1" s="535">
      <c r="B22" s="1037" t="inlineStr">
        <is>
          <t>Business Partners and Domain Architects sit in the COEs</t>
        </is>
      </c>
    </row>
    <row r="23" ht="14.25" customFormat="1" customHeight="1" s="1042">
      <c r="B23" s="886" t="inlineStr">
        <is>
          <t>Total portfolio</t>
        </is>
      </c>
      <c r="C23" s="886" t="n"/>
      <c r="D23" s="886" t="n"/>
      <c r="E23" s="888">
        <f>SUM(E8:E10,E13:E13,E15:E15,E17:E19,E21:E21)</f>
        <v>21.4</v>
      </c>
      <c r="F23" s="1039">
        <f>SUM(F8:F10,F13:F13,F15:F15,F17:F19,F21:F21)</f>
        <v>31</v>
      </c>
      <c r="G23" s="888">
        <f>SUM(G8:G10,G13:G13,G15:G15,G17:G19,G21:G21)</f>
        <v>30.6</v>
      </c>
      <c r="H23" s="1039">
        <f>SUM(H8:H10,H13:H13,H15:H15,H17:H19,H21:H21)</f>
        <v>23</v>
      </c>
      <c r="I23" s="1039">
        <f>SUM(I8:I10,I13:I13,I15:I15,I17:I19,I21:I21)</f>
        <v>8</v>
      </c>
      <c r="J23" s="1039">
        <f>SUM(J8:J10,J13:J13,J15:J15,J17:J19,J21:J21)</f>
        <v>4</v>
      </c>
      <c r="K23" s="1039">
        <f>SUM(K8:K10,K13:K13,K15:K15,K17:K19,K21:K21)</f>
        <v>0</v>
      </c>
      <c r="L23" s="1039">
        <f>SUM(L8:L10,L13:L13,L15:L15,L17:L19,L21:L21)</f>
        <v>4</v>
      </c>
      <c r="M23" s="1039">
        <f>SUM(M8:M10,M13:M13,M15:M15,M17:M19,M21:M21)</f>
        <v>27</v>
      </c>
      <c r="N23" s="889">
        <f>IF(COUNT(N8:N10,N13:N13,N15:N15,N17:N19,N21:N21)=0,"",SUM(N8:N10,N13:N13,N15:N15,N17:N19,N21:N21))</f>
        <v>7.09845565</v>
      </c>
      <c r="O23" s="889">
        <f>SUM(O8:O10,O13:O13,O15:O15,O17:O19,O21:O21)</f>
        <v>7.095608906</v>
      </c>
      <c r="P23" s="889">
        <f>SUM(P8:P10,P13:P13,P15:P15,P17:P19,P21:P21)</f>
        <v>1.83595565</v>
      </c>
      <c r="Q23" s="889">
        <f>SUM(Q8:Q10,Q13:Q13,Q15:Q15,Q17:Q19,Q21:Q21)</f>
        <v>5.259653256</v>
      </c>
      <c r="R23" s="889">
        <f>IF(ISNUMBER($N23),ROUND($O23-$N23,6),"")</f>
        <v>-0.002847</v>
      </c>
      <c r="S23" s="889">
        <f>SUM(S8:S10,S13:S13,S15:S15,S17:S19,S21:S21)</f>
        <v>6.316559406</v>
      </c>
      <c r="T23" s="889">
        <f>IF(ISNUMBER($N23),ROUND($S23-$N23,6),"")</f>
        <v>-0.781896</v>
      </c>
    </row>
    <row r="24" ht="14.25" customFormat="1" customHeight="1" s="1042"/>
    <row r="25" ht="33.75" customHeight="1" s="535"/>
    <row r="26">
      <c r="B26" s="537" t="inlineStr">
        <is>
          <t>Enterprise Data FTE</t>
        </is>
      </c>
      <c r="C26" s="538" t="n"/>
      <c r="D26" s="538" t="n"/>
      <c r="E26" s="538" t="n"/>
      <c r="F26" s="538" t="n"/>
      <c r="G26" s="538" t="n"/>
      <c r="H26" s="929" t="inlineStr">
        <is>
          <t>Vacancy lever: Hire prices the role in full, Hold prices it at 0, Offshore at the Offshore rate set on 0.3 Squad Archetypes.</t>
        </is>
      </c>
    </row>
    <row r="27" ht="14.25" customHeight="1" s="535">
      <c r="A27" s="1040" t="inlineStr">
        <is>
          <t>ID</t>
        </is>
      </c>
      <c r="B27" s="877" t="inlineStr">
        <is>
          <t>Name</t>
        </is>
      </c>
      <c r="C27" s="877" t="inlineStr">
        <is>
          <t>Role</t>
        </is>
      </c>
      <c r="D27" s="877" t="inlineStr">
        <is>
          <t>Status</t>
        </is>
      </c>
      <c r="E27" s="877" t="inlineStr">
        <is>
          <t>Vacancy lever</t>
        </is>
      </c>
      <c r="F27" s="877" t="inlineStr">
        <is>
          <t>Role cost ($)</t>
        </is>
      </c>
      <c r="G27" s="877" t="inlineStr">
        <is>
          <t>Cost after lever ($)</t>
        </is>
      </c>
    </row>
    <row r="28" ht="28.35" customHeight="1" s="535">
      <c r="B28" s="1029" t="inlineStr">
        <is>
          <t>Data Platforms</t>
        </is>
      </c>
      <c r="C28" s="1029" t="str">
        <f>COUNTIF($B$29:$B$36,"?*")&amp;IF(COUNTIF($B$29:$B$36,"?*")=1," role"," roles")</f>
        <v>8 roles</v>
      </c>
      <c r="D28" s="1029" t="n"/>
      <c r="E28" s="1029" t="n"/>
      <c r="F28" s="1044">
        <f>SUM(F29:F36)</f>
        <v>1626176.996</v>
      </c>
      <c r="G28" s="1044">
        <f>SUM(G29:G36)</f>
        <v>1049980.746</v>
      </c>
    </row>
    <row r="29" ht="14.25" customHeight="1" s="535">
      <c r="A29" s="1045" t="inlineStr">
        <is>
          <t>R0089</t>
        </is>
      </c>
      <c r="B29" s="929" t="str">
        <f>INDEX('REVIEW - Complete Role Mapping'!$B$2:$B$700,MATCH($A29,'REVIEW - Complete Role Mapping'!$AQ$2:$AQ$700,0))</f>
        <v>Tim Snedden</v>
      </c>
      <c r="C29" s="929" t="str">
        <f>INDEX('REVIEW - Complete Role Mapping'!$D$2:$D$700,MATCH($A29,'REVIEW - Complete Role Mapping'!$AQ$2:$AQ$700,0))</f>
        <v>Delivery Lead</v>
      </c>
      <c r="D29" s="929" t="str">
        <f>INDEX('REVIEW - Complete Role Mapping'!$AF$2:$AF$700,MATCH($A29,'REVIEW - Complete Role Mapping'!$AQ$2:$AQ$700,0))</f>
        <v>Filled</v>
      </c>
      <c r="E29" s="543" t="inlineStr">
        <is>
          <t>Filled</t>
        </is>
      </c>
      <c r="F29" s="1031">
        <f>INDEX('REVIEW - Complete Role Mapping'!$AE$2:$AE$700,MATCH($A29,'REVIEW - Complete Role Mapping'!$AQ$2:$AQ$700,0))</f>
        <v>185776.56</v>
      </c>
      <c r="G29" s="1031">
        <f>$F29*IF(ISNUMBER(SEARCH("WIPRO",INDEX('REVIEW - Complete Role Mapping'!$R$2:$R$700,MATCH($A29,'REVIEW - Complete Role Mapping'!$AQ$2:$AQ$700,0)))),1,IFERROR(INDEX(Lists!$AD$2:$AD$5,MATCH($E29,Lists!$AC$2:$AC$5,0)),NA()))</f>
        <v>185776.56</v>
      </c>
    </row>
    <row r="30" ht="14.25" customHeight="1" s="535">
      <c r="A30" s="1045" t="inlineStr">
        <is>
          <t>R0171</t>
        </is>
      </c>
      <c r="B30" s="929" t="str">
        <f>INDEX('REVIEW - Complete Role Mapping'!$B$2:$B$700,MATCH($A30,'REVIEW - Complete Role Mapping'!$AQ$2:$AQ$700,0))</f>
        <v>Roozbeh Shahbazirad</v>
      </c>
      <c r="C30" s="929" t="str">
        <f>INDEX('REVIEW - Complete Role Mapping'!$D$2:$D$700,MATCH($A30,'REVIEW - Complete Role Mapping'!$AQ$2:$AQ$700,0))</f>
        <v>Lead Engineer</v>
      </c>
      <c r="D30" s="929" t="str">
        <f>INDEX('REVIEW - Complete Role Mapping'!$AF$2:$AF$700,MATCH($A30,'REVIEW - Complete Role Mapping'!$AQ$2:$AQ$700,0))</f>
        <v>Filled</v>
      </c>
      <c r="E30" s="543" t="inlineStr">
        <is>
          <t>Filled</t>
        </is>
      </c>
      <c r="F30" s="1031">
        <f>INDEX('REVIEW - Complete Role Mapping'!$AE$2:$AE$700,MATCH($A30,'REVIEW - Complete Role Mapping'!$AQ$2:$AQ$700,0))</f>
        <v>204006.636</v>
      </c>
      <c r="G30" s="1031">
        <f>$F30*IF(ISNUMBER(SEARCH("WIPRO",INDEX('REVIEW - Complete Role Mapping'!$R$2:$R$700,MATCH($A30,'REVIEW - Complete Role Mapping'!$AQ$2:$AQ$700,0)))),1,IFERROR(INDEX(Lists!$AD$2:$AD$5,MATCH($E30,Lists!$AC$2:$AC$5,0)),NA()))</f>
        <v>204006.636</v>
      </c>
    </row>
    <row r="31" ht="14.25" customHeight="1" s="535">
      <c r="A31" s="1045" t="inlineStr">
        <is>
          <t>R0281</t>
        </is>
      </c>
      <c r="B31" s="929" t="str">
        <f>INDEX('REVIEW - Complete Role Mapping'!$B$2:$B$700,MATCH($A31,'REVIEW - Complete Role Mapping'!$AQ$2:$AQ$700,0))</f>
        <v>Dinesh Chandrasekaran</v>
      </c>
      <c r="C31" s="929" t="str">
        <f>INDEX('REVIEW - Complete Role Mapping'!$D$2:$D$700,MATCH($A31,'REVIEW - Complete Role Mapping'!$AQ$2:$AQ$700,0))</f>
        <v>Lead Engineer (Snowflake)</v>
      </c>
      <c r="D31" s="929" t="str">
        <f>INDEX('REVIEW - Complete Role Mapping'!$AF$2:$AF$700,MATCH($A31,'REVIEW - Complete Role Mapping'!$AQ$2:$AQ$700,0))</f>
        <v>Filled</v>
      </c>
      <c r="E31" s="543" t="inlineStr">
        <is>
          <t>Filled</t>
        </is>
      </c>
      <c r="F31" s="1031">
        <f>INDEX('REVIEW - Complete Role Mapping'!$AE$2:$AE$700,MATCH($A31,'REVIEW - Complete Role Mapping'!$AQ$2:$AQ$700,0))</f>
        <v>243984.6</v>
      </c>
      <c r="G31" s="1031">
        <f>$F31*IF(ISNUMBER(SEARCH("WIPRO",INDEX('REVIEW - Complete Role Mapping'!$R$2:$R$700,MATCH($A31,'REVIEW - Complete Role Mapping'!$AQ$2:$AQ$700,0)))),1,IFERROR(INDEX(Lists!$AD$2:$AD$5,MATCH($E31,Lists!$AC$2:$AC$5,0)),NA()))</f>
        <v>243984.6</v>
      </c>
    </row>
    <row r="32" ht="14.25" customHeight="1" s="535">
      <c r="A32" s="1045" t="inlineStr">
        <is>
          <t>R0293</t>
        </is>
      </c>
      <c r="B32" s="929" t="str">
        <f>INDEX('REVIEW - Complete Role Mapping'!$B$2:$B$700,MATCH($A32,'REVIEW - Complete Role Mapping'!$AQ$2:$AQ$700,0))</f>
        <v>Ronak Patel</v>
      </c>
      <c r="C32" s="929" t="str">
        <f>INDEX('REVIEW - Complete Role Mapping'!$D$2:$D$700,MATCH($A32,'REVIEW - Complete Role Mapping'!$AQ$2:$AQ$700,0))</f>
        <v>Engineer Data  </v>
      </c>
      <c r="D32" s="929" t="str">
        <f>INDEX('REVIEW - Complete Role Mapping'!$AF$2:$AF$700,MATCH($A32,'REVIEW - Complete Role Mapping'!$AQ$2:$AQ$700,0))</f>
        <v>Filled</v>
      </c>
      <c r="E32" s="543" t="inlineStr">
        <is>
          <t>Filled</t>
        </is>
      </c>
      <c r="F32" s="1031">
        <f>INDEX('REVIEW - Complete Role Mapping'!$AE$2:$AE$700,MATCH($A32,'REVIEW - Complete Role Mapping'!$AQ$2:$AQ$700,0))</f>
        <v>213359.7</v>
      </c>
      <c r="G32" s="1031">
        <f>$F32*IF(ISNUMBER(SEARCH("WIPRO",INDEX('REVIEW - Complete Role Mapping'!$R$2:$R$700,MATCH($A32,'REVIEW - Complete Role Mapping'!$AQ$2:$AQ$700,0)))),1,IFERROR(INDEX(Lists!$AD$2:$AD$5,MATCH($E32,Lists!$AC$2:$AC$5,0)),NA()))</f>
        <v>213359.7</v>
      </c>
    </row>
    <row r="33" ht="14.25" customHeight="1" s="535">
      <c r="A33" s="1045" t="inlineStr">
        <is>
          <t>R0305</t>
        </is>
      </c>
      <c r="B33" s="929" t="str">
        <f>INDEX('REVIEW - Complete Role Mapping'!$B$2:$B$700,MATCH($A33,'REVIEW - Complete Role Mapping'!$AQ$2:$AQ$700,0))</f>
        <v>Vacant</v>
      </c>
      <c r="C33" s="929" t="str">
        <f>INDEX('REVIEW - Complete Role Mapping'!$D$2:$D$700,MATCH($A33,'REVIEW - Complete Role Mapping'!$AQ$2:$AQ$700,0))</f>
        <v>Engineer - DevOps</v>
      </c>
      <c r="D33" s="929" t="str">
        <f>INDEX('REVIEW - Complete Role Mapping'!$AF$2:$AF$700,MATCH($A33,'REVIEW - Complete Role Mapping'!$AQ$2:$AQ$700,0))</f>
        <v>Vacant</v>
      </c>
      <c r="E33" s="543" t="inlineStr">
        <is>
          <t>Hold</t>
        </is>
      </c>
      <c r="F33" s="1031">
        <f>INDEX('REVIEW - Complete Role Mapping'!$AE$2:$AE$700,MATCH($A33,'REVIEW - Complete Role Mapping'!$AQ$2:$AQ$700,0))</f>
        <v>202853.25</v>
      </c>
      <c r="G33" s="1031">
        <f>$F33*IF(ISNUMBER(SEARCH("WIPRO",INDEX('REVIEW - Complete Role Mapping'!$R$2:$R$700,MATCH($A33,'REVIEW - Complete Role Mapping'!$AQ$2:$AQ$700,0)))),1,IFERROR(INDEX(Lists!$AD$2:$AD$5,MATCH($E33,Lists!$AC$2:$AC$5,0)),NA()))</f>
        <v>0</v>
      </c>
    </row>
    <row r="34" ht="14.25" customHeight="1" s="535">
      <c r="A34" s="1045" t="inlineStr">
        <is>
          <t>R0310</t>
        </is>
      </c>
      <c r="B34" s="929" t="str">
        <f>INDEX('REVIEW - Complete Role Mapping'!$B$2:$B$700,MATCH($A34,'REVIEW - Complete Role Mapping'!$AQ$2:$AQ$700,0))</f>
        <v>Vacant</v>
      </c>
      <c r="C34" s="929" t="str">
        <f>INDEX('REVIEW - Complete Role Mapping'!$D$2:$D$700,MATCH($A34,'REVIEW - Complete Role Mapping'!$AQ$2:$AQ$700,0))</f>
        <v>Business Analyst</v>
      </c>
      <c r="D34" s="929" t="str">
        <f>INDEX('REVIEW - Complete Role Mapping'!$AF$2:$AF$700,MATCH($A34,'REVIEW - Complete Role Mapping'!$AQ$2:$AQ$700,0))</f>
        <v>Vacant</v>
      </c>
      <c r="E34" s="543" t="inlineStr">
        <is>
          <t>Hire</t>
        </is>
      </c>
      <c r="F34" s="1031">
        <f>INDEX('REVIEW - Complete Role Mapping'!$AE$2:$AE$700,MATCH($A34,'REVIEW - Complete Role Mapping'!$AQ$2:$AQ$700,0))</f>
        <v>202853.25</v>
      </c>
      <c r="G34" s="1031">
        <f>$F34*IF(ISNUMBER(SEARCH("WIPRO",INDEX('REVIEW - Complete Role Mapping'!$R$2:$R$700,MATCH($A34,'REVIEW - Complete Role Mapping'!$AQ$2:$AQ$700,0)))),1,IFERROR(INDEX(Lists!$AD$2:$AD$5,MATCH($E34,Lists!$AC$2:$AC$5,0)),NA()))</f>
        <v>202853.25</v>
      </c>
    </row>
    <row r="35" ht="14.25" customHeight="1" s="535">
      <c r="A35" s="1045" t="inlineStr">
        <is>
          <t>R0340</t>
        </is>
      </c>
      <c r="B35" s="929" t="str">
        <f>INDEX('REVIEW - Complete Role Mapping'!$B$2:$B$700,MATCH($A35,'REVIEW - Complete Role Mapping'!$AQ$2:$AQ$700,0))</f>
        <v>vacant</v>
      </c>
      <c r="C35" s="929" t="str">
        <f>INDEX('REVIEW - Complete Role Mapping'!$D$2:$D$700,MATCH($A35,'REVIEW - Complete Role Mapping'!$AQ$2:$AQ$700,0))</f>
        <v>Engineer - Data</v>
      </c>
      <c r="D35" s="929" t="str">
        <f>INDEX('REVIEW - Complete Role Mapping'!$AF$2:$AF$700,MATCH($A35,'REVIEW - Complete Role Mapping'!$AQ$2:$AQ$700,0))</f>
        <v>Vacant</v>
      </c>
      <c r="E35" s="543" t="inlineStr">
        <is>
          <t>Hold</t>
        </is>
      </c>
      <c r="F35" s="1031">
        <f>INDEX('REVIEW - Complete Role Mapping'!$AE$2:$AE$700,MATCH($A35,'REVIEW - Complete Role Mapping'!$AQ$2:$AQ$700,0))</f>
        <v>202853.25</v>
      </c>
      <c r="G35" s="1031">
        <f>$F35*IF(ISNUMBER(SEARCH("WIPRO",INDEX('REVIEW - Complete Role Mapping'!$R$2:$R$700,MATCH($A35,'REVIEW - Complete Role Mapping'!$AQ$2:$AQ$700,0)))),1,IFERROR(INDEX(Lists!$AD$2:$AD$5,MATCH($E35,Lists!$AC$2:$AC$5,0)),NA()))</f>
        <v>0</v>
      </c>
    </row>
    <row r="36" ht="14.25" customHeight="1" s="535">
      <c r="A36" s="1045" t="inlineStr">
        <is>
          <t>R0427</t>
        </is>
      </c>
      <c r="B36" s="929" t="str">
        <f>INDEX('REVIEW - Complete Role Mapping'!$B$2:$B$700,MATCH($A36,'REVIEW - Complete Role Mapping'!$AQ$2:$AQ$700,0))</f>
        <v>Vacant</v>
      </c>
      <c r="C36" s="929" t="str">
        <f>INDEX('REVIEW - Complete Role Mapping'!$D$2:$D$700,MATCH($A36,'REVIEW - Complete Role Mapping'!$AQ$2:$AQ$700,0))</f>
        <v>Quality Assurance</v>
      </c>
      <c r="D36" s="929" t="str">
        <f>INDEX('REVIEW - Complete Role Mapping'!$AF$2:$AF$700,MATCH($A36,'REVIEW - Complete Role Mapping'!$AQ$2:$AQ$700,0))</f>
        <v>Vacant</v>
      </c>
      <c r="E36" s="543" t="inlineStr">
        <is>
          <t>Hold</t>
        </is>
      </c>
      <c r="F36" s="1031">
        <f>INDEX('REVIEW - Complete Role Mapping'!$AE$2:$AE$700,MATCH($A36,'REVIEW - Complete Role Mapping'!$AQ$2:$AQ$700,0))</f>
        <v>170489.75</v>
      </c>
      <c r="G36" s="1031">
        <f>$F36*IF(ISNUMBER(SEARCH("WIPRO",INDEX('REVIEW - Complete Role Mapping'!$R$2:$R$700,MATCH($A36,'REVIEW - Complete Role Mapping'!$AQ$2:$AQ$700,0)))),1,IFERROR(INDEX(Lists!$AD$2:$AD$5,MATCH($E36,Lists!$AC$2:$AC$5,0)),NA()))</f>
        <v>0</v>
      </c>
    </row>
    <row r="37" ht="14.25" customHeight="1" s="535">
      <c r="B37" s="1029" t="inlineStr">
        <is>
          <t>Data Science</t>
        </is>
      </c>
      <c r="C37" s="1029" t="str">
        <f>COUNTIF($B$38:$B$41,"?*")&amp;IF(COUNTIF($B$38:$B$41,"?*")=1," role"," roles")</f>
        <v>4 roles</v>
      </c>
      <c r="D37" s="1029" t="n"/>
      <c r="E37" s="1029" t="n"/>
      <c r="F37" s="1044">
        <f>SUM(F38:F41)</f>
        <v>806397.33</v>
      </c>
      <c r="G37" s="1044">
        <f>SUM(G38:G41)</f>
        <v>806397.33</v>
      </c>
    </row>
    <row r="38" ht="14.25" customHeight="1" s="535">
      <c r="A38" s="1045" t="inlineStr">
        <is>
          <t>R0177</t>
        </is>
      </c>
      <c r="B38" s="929" t="str">
        <f>INDEX('REVIEW - Complete Role Mapping'!$B$2:$B$700,MATCH($A38,'REVIEW - Complete Role Mapping'!$AQ$2:$AQ$700,0))</f>
        <v>Carol Kuang</v>
      </c>
      <c r="C38" s="929" t="str">
        <f>INDEX('REVIEW - Complete Role Mapping'!$D$2:$D$700,MATCH($A38,'REVIEW - Complete Role Mapping'!$AQ$2:$AQ$700,0))</f>
        <v>Senior Data Scientist</v>
      </c>
      <c r="D38" s="929" t="str">
        <f>INDEX('REVIEW - Complete Role Mapping'!$AF$2:$AF$700,MATCH($A38,'REVIEW - Complete Role Mapping'!$AQ$2:$AQ$700,0))</f>
        <v>Filled</v>
      </c>
      <c r="E38" s="543" t="inlineStr">
        <is>
          <t>Filled</t>
        </is>
      </c>
      <c r="F38" s="1031">
        <f>INDEX('REVIEW - Complete Role Mapping'!$AE$2:$AE$700,MATCH($A38,'REVIEW - Complete Role Mapping'!$AQ$2:$AQ$700,0))</f>
        <v>184871.28</v>
      </c>
      <c r="G38" s="1031">
        <f>$F38*IF(ISNUMBER(SEARCH("WIPRO",INDEX('REVIEW - Complete Role Mapping'!$R$2:$R$700,MATCH($A38,'REVIEW - Complete Role Mapping'!$AQ$2:$AQ$700,0)))),1,IFERROR(INDEX(Lists!$AD$2:$AD$5,MATCH($E38,Lists!$AC$2:$AC$5,0)),NA()))</f>
        <v>184871.28</v>
      </c>
    </row>
    <row r="39" ht="14.25" customHeight="1" s="535">
      <c r="A39" s="1045" t="inlineStr">
        <is>
          <t>R0178</t>
        </is>
      </c>
      <c r="B39" s="929" t="str">
        <f>INDEX('REVIEW - Complete Role Mapping'!$B$2:$B$700,MATCH($A39,'REVIEW - Complete Role Mapping'!$AQ$2:$AQ$700,0))</f>
        <v>Yu Chen</v>
      </c>
      <c r="C39" s="929" t="str">
        <f>INDEX('REVIEW - Complete Role Mapping'!$D$2:$D$700,MATCH($A39,'REVIEW - Complete Role Mapping'!$AQ$2:$AQ$700,0))</f>
        <v>Senior Data Scientist</v>
      </c>
      <c r="D39" s="929" t="str">
        <f>INDEX('REVIEW - Complete Role Mapping'!$AF$2:$AF$700,MATCH($A39,'REVIEW - Complete Role Mapping'!$AQ$2:$AQ$700,0))</f>
        <v>Filled</v>
      </c>
      <c r="E39" s="543" t="inlineStr">
        <is>
          <t>Filled</t>
        </is>
      </c>
      <c r="F39" s="1031">
        <f>INDEX('REVIEW - Complete Role Mapping'!$AE$2:$AE$700,MATCH($A39,'REVIEW - Complete Role Mapping'!$AQ$2:$AQ$700,0))</f>
        <v>231582.45</v>
      </c>
      <c r="G39" s="1031">
        <f>$F39*IF(ISNUMBER(SEARCH("WIPRO",INDEX('REVIEW - Complete Role Mapping'!$R$2:$R$700,MATCH($A39,'REVIEW - Complete Role Mapping'!$AQ$2:$AQ$700,0)))),1,IFERROR(INDEX(Lists!$AD$2:$AD$5,MATCH($E39,Lists!$AC$2:$AC$5,0)),NA()))</f>
        <v>231582.45</v>
      </c>
    </row>
    <row r="40" ht="14.25" customHeight="1" s="535">
      <c r="A40" s="1045" t="inlineStr">
        <is>
          <t>R0315</t>
        </is>
      </c>
      <c r="B40" s="929" t="str">
        <f>INDEX('REVIEW - Complete Role Mapping'!$B$2:$B$700,MATCH($A40,'REVIEW - Complete Role Mapping'!$AQ$2:$AQ$700,0))</f>
        <v>Prashant Tataskar</v>
      </c>
      <c r="C40" s="929" t="str">
        <f>INDEX('REVIEW - Complete Role Mapping'!$D$2:$D$700,MATCH($A40,'REVIEW - Complete Role Mapping'!$AQ$2:$AQ$700,0))</f>
        <v>Data Scientist</v>
      </c>
      <c r="D40" s="929" t="str">
        <f>INDEX('REVIEW - Complete Role Mapping'!$AF$2:$AF$700,MATCH($A40,'REVIEW - Complete Role Mapping'!$AQ$2:$AQ$700,0))</f>
        <v>Filled</v>
      </c>
      <c r="E40" s="543" t="inlineStr">
        <is>
          <t>Filled</t>
        </is>
      </c>
      <c r="F40" s="1031">
        <f>INDEX('REVIEW - Complete Role Mapping'!$AE$2:$AE$700,MATCH($A40,'REVIEW - Complete Role Mapping'!$AQ$2:$AQ$700,0))</f>
        <v>208473.6</v>
      </c>
      <c r="G40" s="1031">
        <f>$F40*IF(ISNUMBER(SEARCH("WIPRO",INDEX('REVIEW - Complete Role Mapping'!$R$2:$R$700,MATCH($A40,'REVIEW - Complete Role Mapping'!$AQ$2:$AQ$700,0)))),1,IFERROR(INDEX(Lists!$AD$2:$AD$5,MATCH($E40,Lists!$AC$2:$AC$5,0)),NA()))</f>
        <v>208473.6</v>
      </c>
    </row>
    <row r="41" ht="14.25" customHeight="1" s="535">
      <c r="A41" s="1045" t="inlineStr">
        <is>
          <t>R0450</t>
        </is>
      </c>
      <c r="B41" s="929" t="str">
        <f>INDEX('REVIEW - Complete Role Mapping'!$B$2:$B$700,MATCH($A41,'REVIEW - Complete Role Mapping'!$AQ$2:$AQ$700,0))</f>
        <v>Om Singh</v>
      </c>
      <c r="C41" s="929" t="str">
        <f>INDEX('REVIEW - Complete Role Mapping'!$D$2:$D$700,MATCH($A41,'REVIEW - Complete Role Mapping'!$AQ$2:$AQ$700,0))</f>
        <v>Data Scientist</v>
      </c>
      <c r="D41" s="929" t="str">
        <f>INDEX('REVIEW - Complete Role Mapping'!$AF$2:$AF$700,MATCH($A41,'REVIEW - Complete Role Mapping'!$AQ$2:$AQ$700,0))</f>
        <v>Filled</v>
      </c>
      <c r="E41" s="543" t="inlineStr">
        <is>
          <t>Filled</t>
        </is>
      </c>
      <c r="F41" s="1031">
        <f>INDEX('REVIEW - Complete Role Mapping'!$AE$2:$AE$700,MATCH($A41,'REVIEW - Complete Role Mapping'!$AQ$2:$AQ$700,0))</f>
        <v>181470</v>
      </c>
      <c r="G41" s="1031">
        <f>$F41*IF(ISNUMBER(SEARCH("WIPRO",INDEX('REVIEW - Complete Role Mapping'!$R$2:$R$700,MATCH($A41,'REVIEW - Complete Role Mapping'!$AQ$2:$AQ$700,0)))),1,IFERROR(INDEX(Lists!$AD$2:$AD$5,MATCH($E41,Lists!$AC$2:$AC$5,0)),NA()))</f>
        <v>181470</v>
      </c>
    </row>
    <row r="42" ht="14.25" customHeight="1" s="535">
      <c r="B42" s="1029" t="inlineStr">
        <is>
          <t>EGI Ent Data</t>
        </is>
      </c>
      <c r="C42" s="1029" t="str">
        <f>COUNTIF($B$43:$B$50,"?*")&amp;IF(COUNTIF($B$43:$B$50,"?*")=1," role"," roles")</f>
        <v>8 roles</v>
      </c>
      <c r="D42" s="1029" t="n"/>
      <c r="E42" s="1029" t="n"/>
      <c r="F42" s="1044">
        <f>SUM(F43:F50)</f>
        <v>1835955.65</v>
      </c>
      <c r="G42" s="1044">
        <f>SUM(G43:G50)</f>
        <v>1835955.65</v>
      </c>
    </row>
    <row r="43" ht="14.25" customHeight="1" s="535">
      <c r="A43" s="1045" t="inlineStr">
        <is>
          <t>R0172</t>
        </is>
      </c>
      <c r="B43" s="929" t="str">
        <f>INDEX('REVIEW - Complete Role Mapping'!$B$2:$B$700,MATCH($A43,'REVIEW - Complete Role Mapping'!$AQ$2:$AQ$700,0))</f>
        <v>Sai Konka</v>
      </c>
      <c r="C43" s="929" t="str">
        <f>INDEX('REVIEW - Complete Role Mapping'!$D$2:$D$700,MATCH($A43,'REVIEW - Complete Role Mapping'!$AQ$2:$AQ$700,0))</f>
        <v>Application &amp; Analytics Manager</v>
      </c>
      <c r="D43" s="929" t="str">
        <f>INDEX('REVIEW - Complete Role Mapping'!$AF$2:$AF$700,MATCH($A43,'REVIEW - Complete Role Mapping'!$AQ$2:$AQ$700,0))</f>
        <v>Filled</v>
      </c>
      <c r="E43" s="543" t="inlineStr">
        <is>
          <t>Filled</t>
        </is>
      </c>
      <c r="F43" s="1031">
        <f>INDEX('REVIEW - Complete Role Mapping'!$AE$2:$AE$700,MATCH($A43,'REVIEW - Complete Role Mapping'!$AQ$2:$AQ$700,0))</f>
        <v>263635.8</v>
      </c>
      <c r="G43" s="1031">
        <f>$F43*IF(ISNUMBER(SEARCH("WIPRO",INDEX('REVIEW - Complete Role Mapping'!$R$2:$R$700,MATCH($A43,'REVIEW - Complete Role Mapping'!$AQ$2:$AQ$700,0)))),1,IFERROR(INDEX(Lists!$AD$2:$AD$5,MATCH($E43,Lists!$AC$2:$AC$5,0)),NA()))</f>
        <v>263635.8</v>
      </c>
    </row>
    <row r="44" ht="14.25" customHeight="1" s="535">
      <c r="A44" s="1045" t="inlineStr">
        <is>
          <t>R0173</t>
        </is>
      </c>
      <c r="B44" s="929" t="str">
        <f>INDEX('REVIEW - Complete Role Mapping'!$B$2:$B$700,MATCH($A44,'REVIEW - Complete Role Mapping'!$AQ$2:$AQ$700,0))</f>
        <v>Sumathi Manikkampichai</v>
      </c>
      <c r="C44" s="929" t="str">
        <f>INDEX('REVIEW - Complete Role Mapping'!$D$2:$D$700,MATCH($A44,'REVIEW - Complete Role Mapping'!$AQ$2:$AQ$700,0))</f>
        <v>Data Architect</v>
      </c>
      <c r="D44" s="929" t="str">
        <f>INDEX('REVIEW - Complete Role Mapping'!$AF$2:$AF$700,MATCH($A44,'REVIEW - Complete Role Mapping'!$AQ$2:$AQ$700,0))</f>
        <v>Filled</v>
      </c>
      <c r="E44" s="543" t="inlineStr">
        <is>
          <t>Filled</t>
        </is>
      </c>
      <c r="F44" s="1031">
        <f>INDEX('REVIEW - Complete Role Mapping'!$AE$2:$AE$700,MATCH($A44,'REVIEW - Complete Role Mapping'!$AQ$2:$AQ$700,0))</f>
        <v>250993.35</v>
      </c>
      <c r="G44" s="1031">
        <f>$F44*IF(ISNUMBER(SEARCH("WIPRO",INDEX('REVIEW - Complete Role Mapping'!$R$2:$R$700,MATCH($A44,'REVIEW - Complete Role Mapping'!$AQ$2:$AQ$700,0)))),1,IFERROR(INDEX(Lists!$AD$2:$AD$5,MATCH($E44,Lists!$AC$2:$AC$5,0)),NA()))</f>
        <v>250993.35</v>
      </c>
    </row>
    <row r="45" ht="14.25" customHeight="1" s="535">
      <c r="A45" s="1045" t="inlineStr">
        <is>
          <t>R0309</t>
        </is>
      </c>
      <c r="B45" s="929" t="str">
        <f>INDEX('REVIEW - Complete Role Mapping'!$B$2:$B$700,MATCH($A45,'REVIEW - Complete Role Mapping'!$AQ$2:$AQ$700,0))</f>
        <v>Vacant</v>
      </c>
      <c r="C45" s="929" t="str">
        <f>INDEX('REVIEW - Complete Role Mapping'!$D$2:$D$700,MATCH($A45,'REVIEW - Complete Role Mapping'!$AQ$2:$AQ$700,0))</f>
        <v>Business Analyst</v>
      </c>
      <c r="D45" s="929" t="str">
        <f>INDEX('REVIEW - Complete Role Mapping'!$AF$2:$AF$700,MATCH($A45,'REVIEW - Complete Role Mapping'!$AQ$2:$AQ$700,0))</f>
        <v>Vacant</v>
      </c>
      <c r="E45" s="543" t="inlineStr">
        <is>
          <t>Hire</t>
        </is>
      </c>
      <c r="F45" s="1031">
        <f>INDEX('REVIEW - Complete Role Mapping'!$AE$2:$AE$700,MATCH($A45,'REVIEW - Complete Role Mapping'!$AQ$2:$AQ$700,0))</f>
        <v>202853.25</v>
      </c>
      <c r="G45" s="1031">
        <f>$F45*IF(ISNUMBER(SEARCH("WIPRO",INDEX('REVIEW - Complete Role Mapping'!$R$2:$R$700,MATCH($A45,'REVIEW - Complete Role Mapping'!$AQ$2:$AQ$700,0)))),1,IFERROR(INDEX(Lists!$AD$2:$AD$5,MATCH($E45,Lists!$AC$2:$AC$5,0)),NA()))</f>
        <v>202853.25</v>
      </c>
    </row>
    <row r="46" ht="14.25" customHeight="1" s="535">
      <c r="A46" s="1045" t="inlineStr">
        <is>
          <t>R0342</t>
        </is>
      </c>
      <c r="B46" s="929" t="str">
        <f>INDEX('REVIEW - Complete Role Mapping'!$B$2:$B$700,MATCH($A46,'REVIEW - Complete Role Mapping'!$AQ$2:$AQ$700,0))</f>
        <v>Abdul Ghaffar</v>
      </c>
      <c r="C46" s="929" t="str">
        <f>INDEX('REVIEW - Complete Role Mapping'!$D$2:$D$700,MATCH($A46,'REVIEW - Complete Role Mapping'!$AQ$2:$AQ$700,0))</f>
        <v>Applications Specialist - Demand Planning</v>
      </c>
      <c r="D46" s="929" t="str">
        <f>INDEX('REVIEW - Complete Role Mapping'!$AF$2:$AF$700,MATCH($A46,'REVIEW - Complete Role Mapping'!$AQ$2:$AQ$700,0))</f>
        <v>Filled</v>
      </c>
      <c r="E46" s="543" t="inlineStr">
        <is>
          <t>Filled</t>
        </is>
      </c>
      <c r="F46" s="1031">
        <f>INDEX('REVIEW - Complete Role Mapping'!$AE$2:$AE$700,MATCH($A46,'REVIEW - Complete Role Mapping'!$AQ$2:$AQ$700,0))</f>
        <v>240300</v>
      </c>
      <c r="G46" s="1031">
        <f>$F46*IF(ISNUMBER(SEARCH("WIPRO",INDEX('REVIEW - Complete Role Mapping'!$R$2:$R$700,MATCH($A46,'REVIEW - Complete Role Mapping'!$AQ$2:$AQ$700,0)))),1,IFERROR(INDEX(Lists!$AD$2:$AD$5,MATCH($E46,Lists!$AC$2:$AC$5,0)),NA()))</f>
        <v>240300</v>
      </c>
    </row>
    <row r="47" ht="14.25" customHeight="1" s="535">
      <c r="A47" s="1045" t="inlineStr">
        <is>
          <t>R0343</t>
        </is>
      </c>
      <c r="B47" s="929" t="str">
        <f>INDEX('REVIEW - Complete Role Mapping'!$B$2:$B$700,MATCH($A47,'REVIEW - Complete Role Mapping'!$AQ$2:$AQ$700,0))</f>
        <v>Rakshit Kaul</v>
      </c>
      <c r="C47" s="929" t="str">
        <f>INDEX('REVIEW - Complete Role Mapping'!$D$2:$D$700,MATCH($A47,'REVIEW - Complete Role Mapping'!$AQ$2:$AQ$700,0))</f>
        <v>Applications Specialist</v>
      </c>
      <c r="D47" s="929" t="str">
        <f>INDEX('REVIEW - Complete Role Mapping'!$AF$2:$AF$700,MATCH($A47,'REVIEW - Complete Role Mapping'!$AQ$2:$AQ$700,0))</f>
        <v>Filled</v>
      </c>
      <c r="E47" s="543" t="inlineStr">
        <is>
          <t>Filled</t>
        </is>
      </c>
      <c r="F47" s="1031">
        <f>INDEX('REVIEW - Complete Role Mapping'!$AE$2:$AE$700,MATCH($A47,'REVIEW - Complete Role Mapping'!$AQ$2:$AQ$700,0))</f>
        <v>237763.5</v>
      </c>
      <c r="G47" s="1031">
        <f>$F47*IF(ISNUMBER(SEARCH("WIPRO",INDEX('REVIEW - Complete Role Mapping'!$R$2:$R$700,MATCH($A47,'REVIEW - Complete Role Mapping'!$AQ$2:$AQ$700,0)))),1,IFERROR(INDEX(Lists!$AD$2:$AD$5,MATCH($E47,Lists!$AC$2:$AC$5,0)),NA()))</f>
        <v>237763.5</v>
      </c>
    </row>
    <row r="48" ht="14.25" customHeight="1" s="535">
      <c r="A48" s="1045" t="inlineStr">
        <is>
          <t>R0344</t>
        </is>
      </c>
      <c r="B48" s="929" t="str">
        <f>INDEX('REVIEW - Complete Role Mapping'!$B$2:$B$700,MATCH($A48,'REVIEW - Complete Role Mapping'!$AQ$2:$AQ$700,0))</f>
        <v>Steve Murray</v>
      </c>
      <c r="C48" s="929" t="str">
        <f>INDEX('REVIEW - Complete Role Mapping'!$D$2:$D$700,MATCH($A48,'REVIEW - Complete Role Mapping'!$AQ$2:$AQ$700,0))</f>
        <v>Applications Specialist</v>
      </c>
      <c r="D48" s="929" t="str">
        <f>INDEX('REVIEW - Complete Role Mapping'!$AF$2:$AF$700,MATCH($A48,'REVIEW - Complete Role Mapping'!$AQ$2:$AQ$700,0))</f>
        <v>Filled</v>
      </c>
      <c r="E48" s="543" t="inlineStr">
        <is>
          <t>Filled</t>
        </is>
      </c>
      <c r="F48" s="1031">
        <f>INDEX('REVIEW - Complete Role Mapping'!$AE$2:$AE$700,MATCH($A48,'REVIEW - Complete Role Mapping'!$AQ$2:$AQ$700,0))</f>
        <v>242970</v>
      </c>
      <c r="G48" s="1031">
        <f>$F48*IF(ISNUMBER(SEARCH("WIPRO",INDEX('REVIEW - Complete Role Mapping'!$R$2:$R$700,MATCH($A48,'REVIEW - Complete Role Mapping'!$AQ$2:$AQ$700,0)))),1,IFERROR(INDEX(Lists!$AD$2:$AD$5,MATCH($E48,Lists!$AC$2:$AC$5,0)),NA()))</f>
        <v>242970</v>
      </c>
    </row>
    <row r="49" ht="14.25" customHeight="1" s="535">
      <c r="A49" s="1045" t="inlineStr">
        <is>
          <t>R0345</t>
        </is>
      </c>
      <c r="B49" s="929" t="str">
        <f>INDEX('REVIEW - Complete Role Mapping'!$B$2:$B$700,MATCH($A49,'REVIEW - Complete Role Mapping'!$AQ$2:$AQ$700,0))</f>
        <v>Sudeer Pulpati</v>
      </c>
      <c r="C49" s="929" t="str">
        <f>INDEX('REVIEW - Complete Role Mapping'!$D$2:$D$700,MATCH($A49,'REVIEW - Complete Role Mapping'!$AQ$2:$AQ$700,0))</f>
        <v>Applications Specialist - Strategic Programs</v>
      </c>
      <c r="D49" s="929" t="str">
        <f>INDEX('REVIEW - Complete Role Mapping'!$AF$2:$AF$700,MATCH($A49,'REVIEW - Complete Role Mapping'!$AQ$2:$AQ$700,0))</f>
        <v>Filled</v>
      </c>
      <c r="E49" s="543" t="inlineStr">
        <is>
          <t>Filled</t>
        </is>
      </c>
      <c r="F49" s="1031">
        <f>INDEX('REVIEW - Complete Role Mapping'!$AE$2:$AE$700,MATCH($A49,'REVIEW - Complete Role Mapping'!$AQ$2:$AQ$700,0))</f>
        <v>226950</v>
      </c>
      <c r="G49" s="1031">
        <f>$F49*IF(ISNUMBER(SEARCH("WIPRO",INDEX('REVIEW - Complete Role Mapping'!$R$2:$R$700,MATCH($A49,'REVIEW - Complete Role Mapping'!$AQ$2:$AQ$700,0)))),1,IFERROR(INDEX(Lists!$AD$2:$AD$5,MATCH($E49,Lists!$AC$2:$AC$5,0)),NA()))</f>
        <v>226950</v>
      </c>
    </row>
    <row r="50" ht="14.25" customHeight="1" s="535">
      <c r="A50" s="1045" t="inlineStr">
        <is>
          <t>R0462</t>
        </is>
      </c>
      <c r="B50" s="929" t="str">
        <f>INDEX('REVIEW - Complete Role Mapping'!$B$2:$B$700,MATCH($A50,'REVIEW - Complete Role Mapping'!$AQ$2:$AQ$700,0))</f>
        <v>vacant</v>
      </c>
      <c r="C50" s="929" t="str">
        <f>INDEX('REVIEW - Complete Role Mapping'!$D$2:$D$700,MATCH($A50,'REVIEW - Complete Role Mapping'!$AQ$2:$AQ$700,0))</f>
        <v>Quality Assurance</v>
      </c>
      <c r="D50" s="929" t="str">
        <f>INDEX('REVIEW - Complete Role Mapping'!$AF$2:$AF$700,MATCH($A50,'REVIEW - Complete Role Mapping'!$AQ$2:$AQ$700,0))</f>
        <v>Vacant</v>
      </c>
      <c r="E50" s="543" t="inlineStr">
        <is>
          <t>Hire</t>
        </is>
      </c>
      <c r="F50" s="1031">
        <f>INDEX('REVIEW - Complete Role Mapping'!$AE$2:$AE$700,MATCH($A50,'REVIEW - Complete Role Mapping'!$AQ$2:$AQ$700,0))</f>
        <v>170489.75</v>
      </c>
      <c r="G50" s="1031">
        <f>$F50*IF(ISNUMBER(SEARCH("WIPRO",INDEX('REVIEW - Complete Role Mapping'!$R$2:$R$700,MATCH($A50,'REVIEW - Complete Role Mapping'!$AQ$2:$AQ$700,0)))),1,IFERROR(INDEX(Lists!$AD$2:$AD$5,MATCH($E50,Lists!$AC$2:$AC$5,0)),NA()))</f>
        <v>170489.75</v>
      </c>
    </row>
    <row r="51" ht="14.25" customHeight="1" s="535">
      <c r="B51" s="1029" t="inlineStr">
        <is>
          <t>Leadership</t>
        </is>
      </c>
      <c r="C51" s="1029" t="str">
        <f>COUNTIF($B$52:$B$53,"?*")&amp;IF(COUNTIF($B$52:$B$53,"?*")=1," role"," roles")</f>
        <v>2 roles</v>
      </c>
      <c r="D51" s="1029" t="n"/>
      <c r="E51" s="1029" t="n"/>
      <c r="F51" s="1044">
        <f>SUM(F52:F53)</f>
        <v>498771.7</v>
      </c>
      <c r="G51" s="1044">
        <f>SUM(G52:G53)</f>
        <v>498771.7</v>
      </c>
    </row>
    <row r="52" ht="14.25" customHeight="1" s="535">
      <c r="A52" s="1045" t="inlineStr">
        <is>
          <t>R0087</t>
        </is>
      </c>
      <c r="B52" s="929" t="str">
        <f>INDEX('REVIEW - Complete Role Mapping'!$B$2:$B$700,MATCH($A52,'REVIEW - Complete Role Mapping'!$AQ$2:$AQ$700,0))</f>
        <v>Deepali Mahajan</v>
      </c>
      <c r="C52" s="929" t="str">
        <f>INDEX('REVIEW - Complete Role Mapping'!$D$2:$D$700,MATCH($A52,'REVIEW - Complete Role Mapping'!$AQ$2:$AQ$700,0))</f>
        <v>Data Operations Manager</v>
      </c>
      <c r="D52" s="929" t="str">
        <f>INDEX('REVIEW - Complete Role Mapping'!$AF$2:$AF$700,MATCH($A52,'REVIEW - Complete Role Mapping'!$AQ$2:$AQ$700,0))</f>
        <v>Filled</v>
      </c>
      <c r="E52" s="543" t="inlineStr">
        <is>
          <t>Filled</t>
        </is>
      </c>
      <c r="F52" s="1031">
        <f>INDEX('REVIEW - Complete Role Mapping'!$AE$2:$AE$700,MATCH($A52,'REVIEW - Complete Role Mapping'!$AQ$2:$AQ$700,0))</f>
        <v>295918.45</v>
      </c>
      <c r="G52" s="1031">
        <f>$F52*IF(ISNUMBER(SEARCH("WIPRO",INDEX('REVIEW - Complete Role Mapping'!$R$2:$R$700,MATCH($A52,'REVIEW - Complete Role Mapping'!$AQ$2:$AQ$700,0)))),1,IFERROR(INDEX(Lists!$AD$2:$AD$5,MATCH($E52,Lists!$AC$2:$AC$5,0)),NA()))</f>
        <v>295918.45</v>
      </c>
    </row>
    <row r="53" ht="14.25" customHeight="1" s="535">
      <c r="A53" s="1045" t="inlineStr">
        <is>
          <t>R0292</t>
        </is>
      </c>
      <c r="B53" s="929" t="str">
        <f>INDEX('REVIEW - Complete Role Mapping'!$B$2:$B$700,MATCH($A53,'REVIEW - Complete Role Mapping'!$AQ$2:$AQ$700,0))</f>
        <v>Vacant</v>
      </c>
      <c r="C53" s="929" t="str">
        <f>INDEX('REVIEW - Complete Role Mapping'!$D$2:$D$700,MATCH($A53,'REVIEW - Complete Role Mapping'!$AQ$2:$AQ$700,0))</f>
        <v>Service Transition Lead</v>
      </c>
      <c r="D53" s="929" t="str">
        <f>INDEX('REVIEW - Complete Role Mapping'!$AF$2:$AF$700,MATCH($A53,'REVIEW - Complete Role Mapping'!$AQ$2:$AQ$700,0))</f>
        <v>Vacant</v>
      </c>
      <c r="E53" s="543" t="inlineStr">
        <is>
          <t>Hire</t>
        </is>
      </c>
      <c r="F53" s="1031">
        <f>INDEX('REVIEW - Complete Role Mapping'!$AE$2:$AE$700,MATCH($A53,'REVIEW - Complete Role Mapping'!$AQ$2:$AQ$700,0))</f>
        <v>202853.25</v>
      </c>
      <c r="G53" s="1031">
        <f>$F53*IF(ISNUMBER(SEARCH("WIPRO",INDEX('REVIEW - Complete Role Mapping'!$R$2:$R$700,MATCH($A53,'REVIEW - Complete Role Mapping'!$AQ$2:$AQ$700,0)))),1,IFERROR(INDEX(Lists!$AD$2:$AD$5,MATCH($E53,Lists!$AC$2:$AC$5,0)),NA()))</f>
        <v>202853.25</v>
      </c>
    </row>
    <row r="54" ht="14.25" customHeight="1" s="535">
      <c r="B54" s="1029" t="inlineStr">
        <is>
          <t>Reporting &amp; Analytics</t>
        </is>
      </c>
      <c r="C54" s="1029" t="str">
        <f>COUNTIF($B$55:$B$60,"?*")&amp;IF(COUNTIF($B$55:$B$60,"?*")=1," role"," roles")</f>
        <v>6 roles</v>
      </c>
      <c r="D54" s="1029" t="n"/>
      <c r="E54" s="1029" t="n"/>
      <c r="F54" s="1044">
        <f>SUM(F55:F60)</f>
        <v>1267272.78</v>
      </c>
      <c r="G54" s="1044">
        <f>SUM(G55:G60)</f>
        <v>1064419.53</v>
      </c>
    </row>
    <row r="55" ht="14.25" customHeight="1" s="535">
      <c r="A55" s="1045" t="inlineStr">
        <is>
          <t>R0170</t>
        </is>
      </c>
      <c r="B55" s="929" t="str">
        <f>INDEX('REVIEW - Complete Role Mapping'!$B$2:$B$700,MATCH($A55,'REVIEW - Complete Role Mapping'!$AQ$2:$AQ$700,0))</f>
        <v>Prashanth Krishnankutty</v>
      </c>
      <c r="C55" s="929" t="str">
        <f>INDEX('REVIEW - Complete Role Mapping'!$D$2:$D$700,MATCH($A55,'REVIEW - Complete Role Mapping'!$AQ$2:$AQ$700,0))</f>
        <v>Lead Reporting &amp; Insights</v>
      </c>
      <c r="D55" s="929" t="str">
        <f>INDEX('REVIEW - Complete Role Mapping'!$AF$2:$AF$700,MATCH($A55,'REVIEW - Complete Role Mapping'!$AQ$2:$AQ$700,0))</f>
        <v>Filled</v>
      </c>
      <c r="E55" s="543" t="inlineStr">
        <is>
          <t>Filled</t>
        </is>
      </c>
      <c r="F55" s="1031">
        <f>INDEX('REVIEW - Complete Role Mapping'!$AE$2:$AE$700,MATCH($A55,'REVIEW - Complete Role Mapping'!$AQ$2:$AQ$700,0))</f>
        <v>255372.15</v>
      </c>
      <c r="G55" s="1031">
        <f>$F55*IF(ISNUMBER(SEARCH("WIPRO",INDEX('REVIEW - Complete Role Mapping'!$R$2:$R$700,MATCH($A55,'REVIEW - Complete Role Mapping'!$AQ$2:$AQ$700,0)))),1,IFERROR(INDEX(Lists!$AD$2:$AD$5,MATCH($E55,Lists!$AC$2:$AC$5,0)),NA()))</f>
        <v>255372.15</v>
      </c>
    </row>
    <row r="56" ht="14.25" customHeight="1" s="535">
      <c r="A56" s="1045" t="inlineStr">
        <is>
          <t>R0175</t>
        </is>
      </c>
      <c r="B56" s="929" t="str">
        <f>INDEX('REVIEW - Complete Role Mapping'!$B$2:$B$700,MATCH($A56,'REVIEW - Complete Role Mapping'!$AQ$2:$AQ$700,0))</f>
        <v>Kina Birkby</v>
      </c>
      <c r="C56" s="929" t="str">
        <f>INDEX('REVIEW - Complete Role Mapping'!$D$2:$D$700,MATCH($A56,'REVIEW - Complete Role Mapping'!$AQ$2:$AQ$700,0))</f>
        <v>Delivery Lead</v>
      </c>
      <c r="D56" s="929" t="str">
        <f>INDEX('REVIEW - Complete Role Mapping'!$AF$2:$AF$700,MATCH($A56,'REVIEW - Complete Role Mapping'!$AQ$2:$AQ$700,0))</f>
        <v>Filled</v>
      </c>
      <c r="E56" s="543" t="inlineStr">
        <is>
          <t>Filled</t>
        </is>
      </c>
      <c r="F56" s="1031">
        <f>INDEX('REVIEW - Complete Role Mapping'!$AE$2:$AE$700,MATCH($A56,'REVIEW - Complete Role Mapping'!$AQ$2:$AQ$700,0))</f>
        <v>157941.18</v>
      </c>
      <c r="G56" s="1031">
        <f>$F56*IF(ISNUMBER(SEARCH("WIPRO",INDEX('REVIEW - Complete Role Mapping'!$R$2:$R$700,MATCH($A56,'REVIEW - Complete Role Mapping'!$AQ$2:$AQ$700,0)))),1,IFERROR(INDEX(Lists!$AD$2:$AD$5,MATCH($E56,Lists!$AC$2:$AC$5,0)),NA()))</f>
        <v>157941.18</v>
      </c>
    </row>
    <row r="57" ht="14.25" customHeight="1" s="535">
      <c r="A57" s="1045" t="inlineStr">
        <is>
          <t>R0176</t>
        </is>
      </c>
      <c r="B57" s="929" t="str">
        <f>INDEX('REVIEW - Complete Role Mapping'!$B$2:$B$700,MATCH($A57,'REVIEW - Complete Role Mapping'!$AQ$2:$AQ$700,0))</f>
        <v>Rihan Schalkwyk</v>
      </c>
      <c r="C57" s="929" t="str">
        <f>INDEX('REVIEW - Complete Role Mapping'!$D$2:$D$700,MATCH($A57,'REVIEW - Complete Role Mapping'!$AQ$2:$AQ$700,0))</f>
        <v>Senior Business Analyst</v>
      </c>
      <c r="D57" s="929" t="str">
        <f>INDEX('REVIEW - Complete Role Mapping'!$AF$2:$AF$700,MATCH($A57,'REVIEW - Complete Role Mapping'!$AQ$2:$AQ$700,0))</f>
        <v>Filled</v>
      </c>
      <c r="E57" s="543" t="inlineStr">
        <is>
          <t>Filled</t>
        </is>
      </c>
      <c r="F57" s="1031">
        <f>INDEX('REVIEW - Complete Role Mapping'!$AE$2:$AE$700,MATCH($A57,'REVIEW - Complete Role Mapping'!$AQ$2:$AQ$700,0))</f>
        <v>249124.35</v>
      </c>
      <c r="G57" s="1031">
        <f>$F57*IF(ISNUMBER(SEARCH("WIPRO",INDEX('REVIEW - Complete Role Mapping'!$R$2:$R$700,MATCH($A57,'REVIEW - Complete Role Mapping'!$AQ$2:$AQ$700,0)))),1,IFERROR(INDEX(Lists!$AD$2:$AD$5,MATCH($E57,Lists!$AC$2:$AC$5,0)),NA()))</f>
        <v>249124.35</v>
      </c>
    </row>
    <row r="58" ht="14.25" customHeight="1" s="535">
      <c r="A58" s="1045" t="inlineStr">
        <is>
          <t>R0334</t>
        </is>
      </c>
      <c r="B58" s="929" t="str">
        <f>INDEX('REVIEW - Complete Role Mapping'!$B$2:$B$700,MATCH($A58,'REVIEW - Complete Role Mapping'!$AQ$2:$AQ$700,0))</f>
        <v>Bobby Mason</v>
      </c>
      <c r="C58" s="929" t="str">
        <f>INDEX('REVIEW - Complete Role Mapping'!$D$2:$D$700,MATCH($A58,'REVIEW - Complete Role Mapping'!$AQ$2:$AQ$700,0))</f>
        <v>Reporting Analyst</v>
      </c>
      <c r="D58" s="929" t="str">
        <f>INDEX('REVIEW - Complete Role Mapping'!$AF$2:$AF$700,MATCH($A58,'REVIEW - Complete Role Mapping'!$AQ$2:$AQ$700,0))</f>
        <v>Filled</v>
      </c>
      <c r="E58" s="543" t="inlineStr">
        <is>
          <t>Filled</t>
        </is>
      </c>
      <c r="F58" s="1031">
        <f>INDEX('REVIEW - Complete Role Mapping'!$AE$2:$AE$700,MATCH($A58,'REVIEW - Complete Role Mapping'!$AQ$2:$AQ$700,0))</f>
        <v>222357.6</v>
      </c>
      <c r="G58" s="1031">
        <f>$F58*IF(ISNUMBER(SEARCH("WIPRO",INDEX('REVIEW - Complete Role Mapping'!$R$2:$R$700,MATCH($A58,'REVIEW - Complete Role Mapping'!$AQ$2:$AQ$700,0)))),1,IFERROR(INDEX(Lists!$AD$2:$AD$5,MATCH($E58,Lists!$AC$2:$AC$5,0)),NA()))</f>
        <v>222357.6</v>
      </c>
    </row>
    <row r="59" ht="14.25" customHeight="1" s="535">
      <c r="A59" s="1045" t="inlineStr">
        <is>
          <t>R0335</t>
        </is>
      </c>
      <c r="B59" s="929" t="str">
        <f>INDEX('REVIEW - Complete Role Mapping'!$B$2:$B$700,MATCH($A59,'REVIEW - Complete Role Mapping'!$AQ$2:$AQ$700,0))</f>
        <v>Vacant (contract)</v>
      </c>
      <c r="C59" s="929" t="str">
        <f>INDEX('REVIEW - Complete Role Mapping'!$D$2:$D$700,MATCH($A59,'REVIEW - Complete Role Mapping'!$AQ$2:$AQ$700,0))</f>
        <v>Reporting analysts - Strategic Programs</v>
      </c>
      <c r="D59" s="929" t="str">
        <f>INDEX('REVIEW - Complete Role Mapping'!$AF$2:$AF$700,MATCH($A59,'REVIEW - Complete Role Mapping'!$AQ$2:$AQ$700,0))</f>
        <v>Vacant</v>
      </c>
      <c r="E59" s="543" t="inlineStr">
        <is>
          <t>Hold</t>
        </is>
      </c>
      <c r="F59" s="1031">
        <f>INDEX('REVIEW - Complete Role Mapping'!$AE$2:$AE$700,MATCH($A59,'REVIEW - Complete Role Mapping'!$AQ$2:$AQ$700,0))</f>
        <v>202853.25</v>
      </c>
      <c r="G59" s="1031">
        <f>$F59*IF(ISNUMBER(SEARCH("WIPRO",INDEX('REVIEW - Complete Role Mapping'!$R$2:$R$700,MATCH($A59,'REVIEW - Complete Role Mapping'!$AQ$2:$AQ$700,0)))),1,IFERROR(INDEX(Lists!$AD$2:$AD$5,MATCH($E59,Lists!$AC$2:$AC$5,0)),NA()))</f>
        <v>0</v>
      </c>
    </row>
    <row r="60" ht="14.25" customHeight="1" s="535">
      <c r="A60" s="1045" t="inlineStr">
        <is>
          <t>R0336</t>
        </is>
      </c>
      <c r="B60" s="929" t="str">
        <f>INDEX('REVIEW - Complete Role Mapping'!$B$2:$B$700,MATCH($A60,'REVIEW - Complete Role Mapping'!$AQ$2:$AQ$700,0))</f>
        <v>Vincent Lu</v>
      </c>
      <c r="C60" s="929" t="str">
        <f>INDEX('REVIEW - Complete Role Mapping'!$D$2:$D$700,MATCH($A60,'REVIEW - Complete Role Mapping'!$AQ$2:$AQ$700,0))</f>
        <v>Reporting Analyst</v>
      </c>
      <c r="D60" s="929" t="str">
        <f>INDEX('REVIEW - Complete Role Mapping'!$AF$2:$AF$700,MATCH($A60,'REVIEW - Complete Role Mapping'!$AQ$2:$AQ$700,0))</f>
        <v>Filled</v>
      </c>
      <c r="E60" s="543" t="inlineStr">
        <is>
          <t>Filled</t>
        </is>
      </c>
      <c r="F60" s="1031">
        <f>INDEX('REVIEW - Complete Role Mapping'!$AE$2:$AE$700,MATCH($A60,'REVIEW - Complete Role Mapping'!$AQ$2:$AQ$700,0))</f>
        <v>179624.25</v>
      </c>
      <c r="G60" s="1031">
        <f>$F60*IF(ISNUMBER(SEARCH("WIPRO",INDEX('REVIEW - Complete Role Mapping'!$R$2:$R$700,MATCH($A60,'REVIEW - Complete Role Mapping'!$AQ$2:$AQ$700,0)))),1,IFERROR(INDEX(Lists!$AD$2:$AD$5,MATCH($E60,Lists!$AC$2:$AC$5,0)),NA()))</f>
        <v>179624.25</v>
      </c>
    </row>
    <row r="61" ht="14.25" customHeight="1" s="535">
      <c r="B61" s="1029" t="inlineStr">
        <is>
          <t>Head of Technology</t>
        </is>
      </c>
      <c r="C61" s="1029" t="str">
        <f>COUNTIF($B$62:$B$62,"?*")&amp;IF(COUNTIF($B$62:$B$62,"?*")=1," role"," roles")</f>
        <v>1 role</v>
      </c>
      <c r="D61" s="1029" t="n"/>
      <c r="E61" s="1029" t="n"/>
      <c r="F61" s="1044">
        <f>SUM(F62:F62)</f>
        <v>409755.7</v>
      </c>
      <c r="G61" s="1044">
        <f>SUM(G62:G62)</f>
        <v>409755.7</v>
      </c>
    </row>
    <row r="62" ht="14.25" customHeight="1" s="535">
      <c r="A62" s="1045" t="inlineStr">
        <is>
          <t>R0052</t>
        </is>
      </c>
      <c r="B62" s="929" t="str">
        <f>INDEX('REVIEW - Complete Role Mapping'!$B$2:$B$700,MATCH($A62,'REVIEW - Complete Role Mapping'!$AQ$2:$AQ$700,0))</f>
        <v>James Holgate</v>
      </c>
      <c r="C62" s="929" t="str">
        <f>INDEX('REVIEW - Complete Role Mapping'!$D$2:$D$700,MATCH($A62,'REVIEW - Complete Role Mapping'!$AQ$2:$AQ$700,0))</f>
        <v>Head of Technology,  Group Data</v>
      </c>
      <c r="D62" s="929" t="str">
        <f>INDEX('REVIEW - Complete Role Mapping'!$AF$2:$AF$700,MATCH($A62,'REVIEW - Complete Role Mapping'!$AQ$2:$AQ$700,0))</f>
        <v>Filled</v>
      </c>
      <c r="E62" s="543" t="inlineStr">
        <is>
          <t>Filled</t>
        </is>
      </c>
      <c r="F62" s="1031">
        <f>INDEX('REVIEW - Complete Role Mapping'!$AE$2:$AE$700,MATCH($A62,'REVIEW - Complete Role Mapping'!$AQ$2:$AQ$700,0))</f>
        <v>409755.7</v>
      </c>
      <c r="G62" s="1031">
        <f>$F62*IF(ISNUMBER(SEARCH("WIPRO",INDEX('REVIEW - Complete Role Mapping'!$R$2:$R$700,MATCH($A62,'REVIEW - Complete Role Mapping'!$AQ$2:$AQ$700,0)))),1,IFERROR(INDEX(Lists!$AD$2:$AD$5,MATCH($E62,Lists!$AC$2:$AC$5,0)),NA()))</f>
        <v>409755.7</v>
      </c>
    </row>
    <row r="63" ht="14.25" customHeight="1" s="535">
      <c r="B63" s="1029" t="inlineStr">
        <is>
          <t>Technology Manager</t>
        </is>
      </c>
      <c r="C63" s="1029" t="str">
        <f>COUNTIF($B$64:$B$65,"?*")&amp;IF(COUNTIF($B$64:$B$65,"?*")=1," role"," roles")</f>
        <v>2 roles</v>
      </c>
      <c r="D63" s="1029" t="n"/>
      <c r="E63" s="1029" t="n"/>
      <c r="F63" s="1044">
        <f>SUM(F64:F65)</f>
        <v>651278.75</v>
      </c>
      <c r="G63" s="1044">
        <f>SUM(G64:G65)</f>
        <v>651278.75</v>
      </c>
    </row>
    <row r="64" ht="14.25" customHeight="1" s="535">
      <c r="A64" s="1045" t="inlineStr">
        <is>
          <t>R0050</t>
        </is>
      </c>
      <c r="B64" s="929" t="str">
        <f>INDEX('REVIEW - Complete Role Mapping'!$B$2:$B$700,MATCH($A64,'REVIEW - Complete Role Mapping'!$AQ$2:$AQ$700,0))</f>
        <v>Jason Gleason</v>
      </c>
      <c r="C64" s="929" t="str">
        <f>INDEX('REVIEW - Complete Role Mapping'!$D$2:$D$700,MATCH($A64,'REVIEW - Complete Role Mapping'!$AQ$2:$AQ$700,0))</f>
        <v>Technology Manager, Data Engineering &amp; Platforms</v>
      </c>
      <c r="D64" s="929" t="str">
        <f>INDEX('REVIEW - Complete Role Mapping'!$AF$2:$AF$700,MATCH($A64,'REVIEW - Complete Role Mapping'!$AQ$2:$AQ$700,0))</f>
        <v>Filled</v>
      </c>
      <c r="E64" s="543" t="inlineStr">
        <is>
          <t>Filled</t>
        </is>
      </c>
      <c r="F64" s="1031">
        <f>INDEX('REVIEW - Complete Role Mapping'!$AE$2:$AE$700,MATCH($A64,'REVIEW - Complete Role Mapping'!$AQ$2:$AQ$700,0))</f>
        <v>320862</v>
      </c>
      <c r="G64" s="1031">
        <f>$F64*IF(ISNUMBER(SEARCH("WIPRO",INDEX('REVIEW - Complete Role Mapping'!$R$2:$R$700,MATCH($A64,'REVIEW - Complete Role Mapping'!$AQ$2:$AQ$700,0)))),1,IFERROR(INDEX(Lists!$AD$2:$AD$5,MATCH($E64,Lists!$AC$2:$AC$5,0)),NA()))</f>
        <v>320862</v>
      </c>
    </row>
    <row r="65" ht="14.25" customHeight="1" s="535">
      <c r="A65" s="1045" t="inlineStr">
        <is>
          <t>R0088</t>
        </is>
      </c>
      <c r="B65" s="929" t="str">
        <f>INDEX('REVIEW - Complete Role Mapping'!$B$2:$B$700,MATCH($A65,'REVIEW - Complete Role Mapping'!$AQ$2:$AQ$700,0))</f>
        <v>Jonathan Robinson</v>
      </c>
      <c r="C65" s="929" t="str">
        <f>INDEX('REVIEW - Complete Role Mapping'!$D$2:$D$700,MATCH($A65,'REVIEW - Complete Role Mapping'!$AQ$2:$AQ$700,0))</f>
        <v>Technology Manager  Data Science</v>
      </c>
      <c r="D65" s="929" t="str">
        <f>INDEX('REVIEW - Complete Role Mapping'!$AF$2:$AF$700,MATCH($A65,'REVIEW - Complete Role Mapping'!$AQ$2:$AQ$700,0))</f>
        <v>Filled</v>
      </c>
      <c r="E65" s="543" t="inlineStr">
        <is>
          <t>Filled</t>
        </is>
      </c>
      <c r="F65" s="1031">
        <f>INDEX('REVIEW - Complete Role Mapping'!$AE$2:$AE$700,MATCH($A65,'REVIEW - Complete Role Mapping'!$AQ$2:$AQ$700,0))</f>
        <v>330416.75</v>
      </c>
      <c r="G65" s="1031">
        <f>$F65*IF(ISNUMBER(SEARCH("WIPRO",INDEX('REVIEW - Complete Role Mapping'!$R$2:$R$700,MATCH($A65,'REVIEW - Complete Role Mapping'!$AQ$2:$AQ$700,0)))),1,IFERROR(INDEX(Lists!$AD$2:$AD$5,MATCH($E65,Lists!$AC$2:$AC$5,0)),NA()))</f>
        <v>330416.75</v>
      </c>
    </row>
    <row r="66" ht="14.25" customHeight="1" s="535"/>
    <row r="67" ht="14.25" customHeight="1" s="535">
      <c r="B67" s="1040" t="inlineStr">
        <is>
          <t>Vacancy levers on this tab, for the executive summary</t>
        </is>
      </c>
      <c r="J67" s="1046">
        <f>COUNTIFS($D$28:$D$65,"Vacant",$E$28:$E$65,"Hire")</f>
        <v>4</v>
      </c>
      <c r="K67" s="1046">
        <f>COUNTIFS($D$28:$D$65,"Vacant",$E$28:$E$65,"Offshore")</f>
        <v>0</v>
      </c>
      <c r="L67" s="1046">
        <f>COUNTIFS($D$28:$D$65,"Vacant",$E$28:$E$65,"Hold")</f>
        <v>4</v>
      </c>
      <c r="M67" s="1046">
        <f>COUNTIFS($D$28:$D$65,"Vacant",$E$28:$E$65,"Filled")</f>
        <v>0</v>
      </c>
      <c r="N67" s="1046">
        <f>COUNTIFS($D$28:$D$65,"Filled",$E$28:$E$65,"Offshore")</f>
        <v>0</v>
      </c>
    </row>
    <row r="68" ht="14.25" customHeight="1" s="535"/>
  </sheetData>
  <dataValidations count="1">
    <dataValidation sqref="E29:E36 E38:E41 E43:E50 E52:E53 E55:E60 E62 E64:E65"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1"/>
  </sheetPr>
  <dimension ref="A1:T87"/>
  <sheetViews>
    <sheetView showFormulas="0" showGridLines="0" showRowColHeaders="1" showZeros="1" rightToLeft="0" tabSelected="0" showOutlineSymbols="1" defaultGridColor="1" view="normal" topLeftCell="A29" colorId="64" zoomScale="100" zoomScaleNormal="100" zoomScalePageLayoutView="100" workbookViewId="0">
      <selection pane="topLeft" activeCell="E64" activeCellId="0" sqref="E64"/>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TDD Group Functions - working copy</t>
        </is>
      </c>
    </row>
    <row r="3" ht="14.25" customHeight="1" s="535">
      <c r="B3" s="709" t="inlineStr">
        <is>
          <t>Portfolio</t>
        </is>
      </c>
      <c r="C3" s="868" t="inlineStr">
        <is>
          <t>TDD Group Functions</t>
        </is>
      </c>
    </row>
    <row r="4" ht="18.75" customHeight="1" s="535">
      <c r="B4" s="537" t="inlineStr">
        <is>
          <t>TDD Group Functions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Cloud, Network &amp; Infra Ops</t>
        </is>
      </c>
      <c r="C8" s="929" t="str">
        <f>IFERROR(IF(INDEX('1.4 TDD Group Functions'!$C$19:$C$31,MATCH($B8,'1.4 TDD Group Functions'!$B$19:$B$31,0))="","",INDEX('1.4 TDD Group Functions'!$C$19:$C$31,MATCH($B8,'1.4 TDD Group Functions'!$B$19:$B$31,0))),"Not on the 1.x tab")</f>
        <v>Operations</v>
      </c>
      <c r="D8" s="929" t="str">
        <f>IFERROR(IF(INDEX('1.4 TDD Group Functions'!$D$19:$D$31,MATCH($B8,'1.4 TDD Group Functions'!$B$19:$B$31,0))="","",INDEX('1.4 TDD Group Functions'!$D$19:$D$31,MATCH($B8,'1.4 TDD Group Functions'!$B$19:$B$31,0))),"")</f>
        <v>L</v>
      </c>
      <c r="E8" s="1030">
        <f>IFERROR(INDEX('0.3 Squad Archetypes'!$F$5:$F$23,MATCH($C8&amp;"|"&amp;$D8,'0.3 Squad Archetypes'!$A$5:$A$23,0)),"")</f>
        <v>10</v>
      </c>
      <c r="F8" s="1031">
        <f>COUNTIF($B$30:$B$42,"?*")</f>
        <v>13</v>
      </c>
      <c r="G8" s="1030">
        <f>ROUND(SUMIFS('REVIEW - Complete Role Mapping'!$P$2:$P$700,'REVIEW - Complete Role Mapping'!$AH$2:$AH$700,$C$3,'REVIEW - Complete Role Mapping'!$AL$2:$AL$700,$B8),2)</f>
        <v>13</v>
      </c>
      <c r="H8" s="1031">
        <f>COUNTIFS($D$30:$D$42,"Filled")</f>
        <v>11</v>
      </c>
      <c r="I8" s="1031">
        <f>COUNTIFS($D$30:$D$42,"Vacant")</f>
        <v>2</v>
      </c>
      <c r="J8" s="1031">
        <f>COUNTIFS($D$30:$D$42,"Vacant",$E$30:$E$42,"Hire")</f>
        <v>2</v>
      </c>
      <c r="K8" s="1031">
        <f>COUNTIFS($E$30:$E$42,"Offshore")</f>
        <v>2</v>
      </c>
      <c r="L8" s="1031">
        <f>COUNTIFS($E$30:$E$42,"Hold")</f>
        <v>0</v>
      </c>
      <c r="M8" s="1031">
        <f>$F8-$L8</f>
        <v>13</v>
      </c>
      <c r="N8" s="1032">
        <f>IFERROR(IF(ISNUMBER(INDEX('1.4 TDD Group Functions'!$H$19:$H$31,MATCH($B8,'1.4 TDD Group Functions'!$B$19:$B$31,0))),INDEX('1.4 TDD Group Functions'!$H$19:$H$31,MATCH($B8,'1.4 TDD Group Functions'!$B$19:$B$31,0)),""),"")</f>
        <v>2.3</v>
      </c>
      <c r="O8" s="1032">
        <f>SUMIFS('REVIEW - Complete Role Mapping'!$AE$2:$AE$700,'REVIEW - Complete Role Mapping'!$AH$2:$AH$700,$C$3,'REVIEW - Complete Role Mapping'!$AL$2:$AL$700,$B8)/1000000</f>
        <v>2.8697303064</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2.8697303064</v>
      </c>
      <c r="R8" s="1032">
        <f>IFERROR(ROUND(IF(COUNTIF(Lists!$AU$2:$AU$10,$B8),$O8,$Q8)-$N8,6),"")</f>
        <v>0.56973</v>
      </c>
      <c r="S8" s="1032">
        <f>SUM($G$30:$G$42)/1000000</f>
        <v>2.5981192164</v>
      </c>
      <c r="T8" s="1032">
        <f>IFERROR(ROUND($S8-$N8,6),"")</f>
        <v>0.298119</v>
      </c>
    </row>
    <row r="9" ht="14.25" customHeight="1" s="535">
      <c r="B9" s="929" t="inlineStr">
        <is>
          <t>DevOps &amp; QE</t>
        </is>
      </c>
      <c r="C9" s="929" t="str">
        <f>IFERROR(IF(INDEX('1.4 TDD Group Functions'!$C$19:$C$31,MATCH($B9,'1.4 TDD Group Functions'!$B$19:$B$31,0))="","",INDEX('1.4 TDD Group Functions'!$C$19:$C$31,MATCH($B9,'1.4 TDD Group Functions'!$B$19:$B$31,0))),"Not on the 1.x tab")</f>
        <v>Engineering</v>
      </c>
      <c r="D9" s="929" t="str">
        <f>IFERROR(IF(INDEX('1.4 TDD Group Functions'!$D$19:$D$31,MATCH($B9,'1.4 TDD Group Functions'!$B$19:$B$31,0))="","",INDEX('1.4 TDD Group Functions'!$D$19:$D$31,MATCH($B9,'1.4 TDD Group Functions'!$B$19:$B$31,0))),"")</f>
        <v>S</v>
      </c>
      <c r="E9" s="1030">
        <f>IFERROR(INDEX('0.3 Squad Archetypes'!$F$5:$F$23,MATCH($C9&amp;"|"&amp;$D9,'0.3 Squad Archetypes'!$A$5:$A$23,0)),"")</f>
        <v>4.5</v>
      </c>
      <c r="F9" s="1031">
        <f>COUNTIF($B$44:$B$50,"?*")</f>
        <v>7</v>
      </c>
      <c r="G9" s="1030">
        <f>ROUND(SUMIFS('REVIEW - Complete Role Mapping'!$P$2:$P$700,'REVIEW - Complete Role Mapping'!$AH$2:$AH$700,$C$3,'REVIEW - Complete Role Mapping'!$AL$2:$AL$700,$B9),2)</f>
        <v>7</v>
      </c>
      <c r="H9" s="1031">
        <f>COUNTIFS($D$44:$D$50,"Filled")</f>
        <v>4</v>
      </c>
      <c r="I9" s="1031">
        <f>COUNTIFS($D$44:$D$50,"Vacant")</f>
        <v>3</v>
      </c>
      <c r="J9" s="1031">
        <f>COUNTIFS($D$44:$D$50,"Vacant",$E$44:$E$50,"Hire")</f>
        <v>0</v>
      </c>
      <c r="K9" s="1031">
        <f>COUNTIFS($E$44:$E$50,"Offshore")</f>
        <v>4</v>
      </c>
      <c r="L9" s="1031">
        <f>COUNTIFS($E$44:$E$50,"Hold")</f>
        <v>1</v>
      </c>
      <c r="M9" s="1031">
        <f>$F9-$L9</f>
        <v>6</v>
      </c>
      <c r="N9" s="1032">
        <f>IFERROR(IF(ISNUMBER(INDEX('1.4 TDD Group Functions'!$H$19:$H$31,MATCH($B9,'1.4 TDD Group Functions'!$B$19:$B$31,0))),INDEX('1.4 TDD Group Functions'!$H$19:$H$31,MATCH($B9,'1.4 TDD Group Functions'!$B$19:$B$31,0)),""),"")</f>
        <v>0.8</v>
      </c>
      <c r="O9" s="1032">
        <f>SUMIFS('REVIEW - Complete Role Mapping'!$AE$2:$AE$700,'REVIEW - Complete Role Mapping'!$AH$2:$AH$700,$C$3,'REVIEW - Complete Role Mapping'!$AL$2:$AL$700,$B9)/1000000</f>
        <v>1.349902548</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1.349902548</v>
      </c>
      <c r="R9" s="1032">
        <f>IFERROR(ROUND(IF(COUNTIF(Lists!$AU$2:$AU$10,$B9),$O9,$Q9)-$N9,6),"")</f>
        <v>0.549903</v>
      </c>
      <c r="S9" s="1032">
        <f>SUM($G$44:$G$50)/1000000</f>
        <v>0.6776857512</v>
      </c>
      <c r="T9" s="1032">
        <f>IFERROR(ROUND($S9-$N9,6),"")</f>
        <v>-0.122314</v>
      </c>
    </row>
    <row r="10" ht="14.25" customHeight="1" s="535">
      <c r="B10" s="929" t="inlineStr">
        <is>
          <t>Integration &amp; Process Automation</t>
        </is>
      </c>
      <c r="C10" s="929" t="str">
        <f>IFERROR(IF(INDEX('1.4 TDD Group Functions'!$C$19:$C$31,MATCH($B10,'1.4 TDD Group Functions'!$B$19:$B$31,0))="","",INDEX('1.4 TDD Group Functions'!$C$19:$C$31,MATCH($B10,'1.4 TDD Group Functions'!$B$19:$B$31,0))),"Not on the 1.x tab")</f>
        <v>Configuration / Integration</v>
      </c>
      <c r="D10" s="929" t="str">
        <f>IFERROR(IF(INDEX('1.4 TDD Group Functions'!$D$19:$D$31,MATCH($B10,'1.4 TDD Group Functions'!$B$19:$B$31,0))="","",INDEX('1.4 TDD Group Functions'!$D$19:$D$31,MATCH($B10,'1.4 TDD Group Functions'!$B$19:$B$31,0))),"")</f>
        <v>M</v>
      </c>
      <c r="E10" s="1030">
        <f>IFERROR(INDEX('0.3 Squad Archetypes'!$F$5:$F$23,MATCH($C10&amp;"|"&amp;$D10,'0.3 Squad Archetypes'!$A$5:$A$23,0)),"")</f>
        <v>9</v>
      </c>
      <c r="F10" s="1031">
        <f>COUNTIF($B$58:$B$67,"?*")</f>
        <v>10</v>
      </c>
      <c r="G10" s="1030">
        <f>ROUND(SUMIFS('REVIEW - Complete Role Mapping'!$P$2:$P$700,'REVIEW - Complete Role Mapping'!$AH$2:$AH$700,$C$3,'REVIEW - Complete Role Mapping'!$AL$2:$AL$700,$B10),2)</f>
        <v>10</v>
      </c>
      <c r="H10" s="1031">
        <f>COUNTIFS($D$58:$D$67,"Filled")</f>
        <v>8</v>
      </c>
      <c r="I10" s="1031">
        <f>COUNTIFS($D$58:$D$67,"Vacant")</f>
        <v>2</v>
      </c>
      <c r="J10" s="1031">
        <f>COUNTIFS($D$58:$D$67,"Vacant",$E$58:$E$67,"Hire")</f>
        <v>2</v>
      </c>
      <c r="K10" s="1031">
        <f>COUNTIFS($E$58:$E$67,"Offshore")</f>
        <v>2</v>
      </c>
      <c r="L10" s="1031">
        <f>COUNTIFS($E$58:$E$67,"Hold")</f>
        <v>0</v>
      </c>
      <c r="M10" s="1031">
        <f>$F10-$L10</f>
        <v>10</v>
      </c>
      <c r="N10" s="1032">
        <f>IFERROR(IF(ISNUMBER(INDEX('1.4 TDD Group Functions'!$H$19:$H$31,MATCH($B10,'1.4 TDD Group Functions'!$B$19:$B$31,0))),INDEX('1.4 TDD Group Functions'!$H$19:$H$31,MATCH($B10,'1.4 TDD Group Functions'!$B$19:$B$31,0)),""),"")</f>
        <v>2.1</v>
      </c>
      <c r="O10" s="1032">
        <f>SUMIFS('REVIEW - Complete Role Mapping'!$AE$2:$AE$700,'REVIEW - Complete Role Mapping'!$AH$2:$AH$700,$C$3,'REVIEW - Complete Role Mapping'!$AL$2:$AL$700,$B10)/1000000</f>
        <v>1.98123790904348</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1.98123790904348</v>
      </c>
      <c r="R10" s="1032">
        <f>IFERROR(ROUND(IF(COUNTIF(Lists!$AU$2:$AU$10,$B10),$O10,$Q10)-$N10,6),"")</f>
        <v>-0.118762</v>
      </c>
      <c r="S10" s="1032">
        <f>SUM($G$58:$G$67)/1000000</f>
        <v>1.78533354104348</v>
      </c>
      <c r="T10" s="1032">
        <f>IFERROR(ROUND($S10-$N10,6),"")</f>
        <v>-0.314666</v>
      </c>
    </row>
    <row r="11" ht="14.25" customHeight="1" s="535">
      <c r="B11" s="929" t="inlineStr">
        <is>
          <t>Workplace &amp; Enterprise Tooling</t>
        </is>
      </c>
      <c r="C11" s="929" t="str">
        <f>IFERROR(IF(INDEX('1.4 TDD Group Functions'!$C$19:$C$31,MATCH($B11,'1.4 TDD Group Functions'!$B$19:$B$31,0))="","",INDEX('1.4 TDD Group Functions'!$C$19:$C$31,MATCH($B11,'1.4 TDD Group Functions'!$B$19:$B$31,0))),"Not on the 1.x tab")</f>
        <v>Configuration / Integration</v>
      </c>
      <c r="D11" s="929" t="str">
        <f>IFERROR(IF(INDEX('1.4 TDD Group Functions'!$D$19:$D$31,MATCH($B11,'1.4 TDD Group Functions'!$B$19:$B$31,0))="","",INDEX('1.4 TDD Group Functions'!$D$19:$D$31,MATCH($B11,'1.4 TDD Group Functions'!$B$19:$B$31,0))),"")</f>
        <v>S</v>
      </c>
      <c r="E11" s="1030">
        <f>IFERROR(INDEX('0.3 Squad Archetypes'!$F$5:$F$23,MATCH($C11&amp;"|"&amp;$D11,'0.3 Squad Archetypes'!$A$5:$A$23,0)),"")</f>
        <v>6</v>
      </c>
      <c r="F11" s="1031">
        <f>COUNTIF($B$71:$B$76,"?*")</f>
        <v>6</v>
      </c>
      <c r="G11" s="1030">
        <f>ROUND(SUMIFS('REVIEW - Complete Role Mapping'!$P$2:$P$700,'REVIEW - Complete Role Mapping'!$AH$2:$AH$700,$C$3,'REVIEW - Complete Role Mapping'!$AL$2:$AL$700,$B11),2)</f>
        <v>6</v>
      </c>
      <c r="H11" s="1031">
        <f>COUNTIFS($D$71:$D$76,"Filled")</f>
        <v>4</v>
      </c>
      <c r="I11" s="1031">
        <f>COUNTIFS($D$71:$D$76,"Vacant")</f>
        <v>2</v>
      </c>
      <c r="J11" s="1031">
        <f>COUNTIFS($D$71:$D$76,"Vacant",$E$71:$E$76,"Hire")</f>
        <v>1</v>
      </c>
      <c r="K11" s="1031">
        <f>COUNTIFS($E$71:$E$76,"Offshore")</f>
        <v>0</v>
      </c>
      <c r="L11" s="1031">
        <f>COUNTIFS($E$71:$E$76,"Hold")</f>
        <v>1</v>
      </c>
      <c r="M11" s="1031">
        <f>$F11-$L11</f>
        <v>5</v>
      </c>
      <c r="N11" s="1032">
        <f>IFERROR(IF(ISNUMBER(INDEX('1.4 TDD Group Functions'!$H$19:$H$31,MATCH($B11,'1.4 TDD Group Functions'!$B$19:$B$31,0))),INDEX('1.4 TDD Group Functions'!$H$19:$H$31,MATCH($B11,'1.4 TDD Group Functions'!$B$19:$B$31,0)),""),"")</f>
        <v>1.4</v>
      </c>
      <c r="O11" s="1032">
        <f>SUMIFS('REVIEW - Complete Role Mapping'!$AE$2:$AE$700,'REVIEW - Complete Role Mapping'!$AH$2:$AH$700,$C$3,'REVIEW - Complete Role Mapping'!$AL$2:$AL$700,$B11)/1000000</f>
        <v>1.117329222</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1.117329222</v>
      </c>
      <c r="R11" s="1032">
        <f>IFERROR(ROUND(IF(COUNTIF(Lists!$AU$2:$AU$10,$B11),$O11,$Q11)-$N11,6),"")</f>
        <v>-0.282671</v>
      </c>
      <c r="S11" s="1032">
        <f>SUM($G$71:$G$76)/1000000</f>
        <v>0.914475972</v>
      </c>
      <c r="T11" s="1032">
        <f>IFERROR(ROUND($S11-$N11,6),"")</f>
        <v>-0.485524</v>
      </c>
    </row>
    <row r="12" ht="14.25" customHeight="1" s="535">
      <c r="B12" s="1033" t="inlineStr">
        <is>
          <t>Squads total</t>
        </is>
      </c>
      <c r="C12" s="1033" t="n"/>
      <c r="D12" s="1033" t="n"/>
      <c r="E12" s="1034">
        <f>SUM(E8:E11)</f>
        <v>29.5</v>
      </c>
      <c r="F12" s="1035">
        <f>SUM(F8:F11)</f>
        <v>36</v>
      </c>
      <c r="G12" s="1034">
        <f>SUM(G8:G11)</f>
        <v>36</v>
      </c>
      <c r="H12" s="1035">
        <f>SUM(H8:H11)</f>
        <v>27</v>
      </c>
      <c r="I12" s="1035">
        <f>SUM(I8:I11)</f>
        <v>9</v>
      </c>
      <c r="J12" s="1035">
        <f>SUM(J8:J11)</f>
        <v>5</v>
      </c>
      <c r="K12" s="1035">
        <f>SUM(K8:K11)</f>
        <v>8</v>
      </c>
      <c r="L12" s="1035">
        <f>SUM(L8:L11)</f>
        <v>2</v>
      </c>
      <c r="M12" s="1035">
        <f>SUM(M8:M11)</f>
        <v>34</v>
      </c>
      <c r="N12" s="1036">
        <f>IF(COUNT(N8:N11)=0,"",SUM(N8:N11))</f>
        <v>6.6</v>
      </c>
      <c r="O12" s="1036">
        <f>SUM(O8:O11)</f>
        <v>7.31819998544348</v>
      </c>
      <c r="P12" s="1036">
        <f>SUM(P8:P11)</f>
        <v>0</v>
      </c>
      <c r="Q12" s="1036">
        <f>SUM(Q8:Q11)</f>
        <v>7.31819998544348</v>
      </c>
      <c r="R12" s="1036">
        <f>IF(COUNT(N8:N11)=4,ROUND($O12-$N12,6),"")</f>
        <v>0.7182</v>
      </c>
      <c r="S12" s="1036">
        <f>SUM(S8:S11)</f>
        <v>5.97561448064348</v>
      </c>
      <c r="T12" s="1036">
        <f>IF(COUNT(N8:N11)=4,ROUND($S12-$N12,6),"")</f>
        <v>-0.624386</v>
      </c>
    </row>
    <row r="13" ht="14.25" customHeight="1" s="535">
      <c r="B13" s="1029" t="inlineStr">
        <is>
          <t>Directly funded programs and platforms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EGI TDD</t>
        </is>
      </c>
      <c r="C14" s="929" t="str">
        <f>IFERROR(IF(INDEX('1.4 TDD Group Functions'!$C$19:$C$31,MATCH($B14,'1.4 TDD Group Functions'!$B$19:$B$31,0))="","",INDEX('1.4 TDD Group Functions'!$C$19:$C$31,MATCH($B14,'1.4 TDD Group Functions'!$B$19:$B$31,0))),"Not on the 1.x tab")</f>
        <v>Strategic Programs</v>
      </c>
      <c r="D14" s="929">
        <f>IFERROR(IF(INDEX('1.4 TDD Group Functions'!$D$19:$D$31,MATCH($B14,'1.4 TDD Group Functions'!$B$19:$B$31,0))="","",INDEX('1.4 TDD Group Functions'!$D$19:$D$31,MATCH($B14,'1.4 TDD Group Functions'!$B$19:$B$31,0))),"")</f>
        <v/>
      </c>
      <c r="E14" s="1030">
        <f>""</f>
        <v/>
      </c>
      <c r="F14" s="1031">
        <f>COUNTIF($B$52:$B$56,"?*")</f>
        <v>5</v>
      </c>
      <c r="G14" s="1030">
        <f>ROUND(SUMIFS('REVIEW - Complete Role Mapping'!$P$2:$P$700,'REVIEW - Complete Role Mapping'!$AH$2:$AH$700,$C$3,'REVIEW - Complete Role Mapping'!$AL$2:$AL$700,$B14),2)</f>
        <v>5</v>
      </c>
      <c r="H14" s="1031">
        <f>COUNTIFS($D$52:$D$56,"Filled")</f>
        <v>5</v>
      </c>
      <c r="I14" s="1031">
        <f>COUNTIFS($D$52:$D$56,"Vacant")</f>
        <v>0</v>
      </c>
      <c r="J14" s="1031">
        <f>COUNTIFS($D$52:$D$56,"Vacant",$E$52:$E$56,"Hire")</f>
        <v>0</v>
      </c>
      <c r="K14" s="1031">
        <f>COUNTIFS($E$52:$E$56,"Offshore")</f>
        <v>0</v>
      </c>
      <c r="L14" s="1031">
        <f>COUNTIFS($E$52:$E$56,"Hold")</f>
        <v>0</v>
      </c>
      <c r="M14" s="1031">
        <f>$F14-$L14</f>
        <v>5</v>
      </c>
      <c r="N14" s="1032">
        <f>$O14</f>
        <v>1.32454851</v>
      </c>
      <c r="O14" s="1032">
        <f>SUMIFS('REVIEW - Complete Role Mapping'!$AE$2:$AE$700,'REVIEW - Complete Role Mapping'!$AH$2:$AH$700,$C$3,'REVIEW - Complete Role Mapping'!$AL$2:$AL$700,$B14)/1000000</f>
        <v>1.32454851</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1.32454851</v>
      </c>
      <c r="Q14" s="1032">
        <f>$O14-$P14</f>
        <v>0</v>
      </c>
      <c r="R14" s="1032">
        <f>IFERROR(ROUND(IF(COUNTIF(Lists!$AU$2:$AU$10,$B14),$O14,$Q14)-$N14,6),"")</f>
        <v>0</v>
      </c>
      <c r="S14" s="1032">
        <f>SUM($G$52:$G$56)/1000000</f>
        <v>1.32454851</v>
      </c>
      <c r="T14" s="1032">
        <f>IFERROR(ROUND($S14-$N14,6),"")</f>
        <v>0</v>
      </c>
    </row>
    <row r="15" ht="14.25" customHeight="1" s="535">
      <c r="B15" s="1029" t="inlineStr">
        <is>
          <t>No archetype in 1.x tabs</t>
        </is>
      </c>
    </row>
    <row r="16" ht="14.25" customHeight="1" s="535">
      <c r="B16" s="929" t="inlineStr">
        <is>
          <t>SAP ERP</t>
        </is>
      </c>
      <c r="C16" s="929" t="str">
        <f>IFERROR(IF(INDEX('1.4 TDD Group Functions'!$C$19:$C$31,MATCH($B16,'1.4 TDD Group Functions'!$B$19:$B$31,0))="","",INDEX('1.4 TDD Group Functions'!$C$19:$C$31,MATCH($B16,'1.4 TDD Group Functions'!$B$19:$B$31,0))),"Not on the 1.x tab")</f>
        <v>Not on the 1.x tab</v>
      </c>
      <c r="D16" s="929">
        <f>IFERROR(IF(INDEX('1.4 TDD Group Functions'!$D$19:$D$31,MATCH($B16,'1.4 TDD Group Functions'!$B$19:$B$31,0))="","",INDEX('1.4 TDD Group Functions'!$D$19:$D$31,MATCH($B16,'1.4 TDD Group Functions'!$B$19:$B$31,0))),"")</f>
        <v/>
      </c>
      <c r="E16" s="1030">
        <f>IFERROR(INDEX('0.3 Squad Archetypes'!$F$5:$F$23,MATCH($C16&amp;"|"&amp;$D16,'0.3 Squad Archetypes'!$A$5:$A$23,0)),"")</f>
        <v/>
      </c>
      <c r="F16" s="1031">
        <f>COUNTIF($B$69:$B$69,"?*")</f>
        <v>1</v>
      </c>
      <c r="G16" s="1030">
        <f>ROUND(SUMIFS('REVIEW - Complete Role Mapping'!$P$2:$P$700,'REVIEW - Complete Role Mapping'!$AH$2:$AH$700,$C$3,'REVIEW - Complete Role Mapping'!$AL$2:$AL$700,$B16),2)</f>
        <v>1</v>
      </c>
      <c r="H16" s="1031">
        <f>COUNTIFS($D$69:$D$69,"Filled")</f>
        <v>1</v>
      </c>
      <c r="I16" s="1031">
        <f>COUNTIFS($D$69:$D$69,"Vacant")</f>
        <v>0</v>
      </c>
      <c r="J16" s="1031">
        <f>COUNTIFS($D$69:$D$69,"Vacant",$E$69:$E$69,"Hire")</f>
        <v>0</v>
      </c>
      <c r="K16" s="1031">
        <f>COUNTIFS($E$69:$E$69,"Offshore")</f>
        <v>0</v>
      </c>
      <c r="L16" s="1031">
        <f>COUNTIFS($E$69:$E$69,"Hold")</f>
        <v>1</v>
      </c>
      <c r="M16" s="1031">
        <f>$F16-$L16</f>
        <v>0</v>
      </c>
      <c r="N16" s="1032">
        <f>IFERROR(IF(ISNUMBER(INDEX('1.4 TDD Group Functions'!$H$19:$H$31,MATCH($B16,'1.4 TDD Group Functions'!$B$19:$B$31,0))),INDEX('1.4 TDD Group Functions'!$H$19:$H$31,MATCH($B16,'1.4 TDD Group Functions'!$B$19:$B$31,0)),""),"")</f>
        <v/>
      </c>
      <c r="O16" s="1032">
        <f>SUMIFS('REVIEW - Complete Role Mapping'!$AE$2:$AE$700,'REVIEW - Complete Role Mapping'!$AH$2:$AH$700,$C$3,'REVIEW - Complete Role Mapping'!$AL$2:$AL$700,$B16)/1000000</f>
        <v>0.3552</v>
      </c>
      <c r="P16" s="1032">
        <f>IFERROR(IF(ISNUMBER(INDEX(Lists!$AW$2:$AW$10,MATCH($B16,Lists!$AU$2:$AU$10,0))),INDEX(Lists!$AW$2:$AW$10,MATCH($B16,Lists!$AU$2:$AU$10,0)),SUMIFS('REVIEW - Complete Role Mapping'!$AE$2:$AE$700,'REVIEW - Complete Role Mapping'!$AH$2:$AH$700,$C$3,'REVIEW - Complete Role Mapping'!$AL$2:$AL$700,$B16,'REVIEW - Complete Role Mapping'!$AM$2:$AM$700,1)/1000000),SUMIFS('REVIEW - Complete Role Mapping'!$AE$2:$AE$700,'REVIEW - Complete Role Mapping'!$AH$2:$AH$700,$C$3,'REVIEW - Complete Role Mapping'!$AL$2:$AL$700,$B16,'REVIEW - Complete Role Mapping'!$AM$2:$AM$700,1)/1000000)</f>
        <v>0</v>
      </c>
      <c r="Q16" s="1032">
        <f>$O16-$P16</f>
        <v>0.3552</v>
      </c>
      <c r="R16" s="1032">
        <f>IFERROR(ROUND(IF(COUNTIF(Lists!$AU$2:$AU$10,$B16),$O16,$Q16)-$N16,6),"")</f>
        <v/>
      </c>
      <c r="S16" s="1032">
        <f>SUM($G$69:$G$69)/1000000</f>
        <v>0</v>
      </c>
      <c r="T16" s="1032">
        <f>IFERROR(ROUND($S16-$N16,6),"")</f>
        <v/>
      </c>
    </row>
    <row r="17" ht="14.25" customHeight="1" s="535">
      <c r="B17" s="1029" t="inlineStr">
        <is>
          <t>Overhead roles</t>
        </is>
      </c>
      <c r="C17" s="1029" t="n"/>
      <c r="D17" s="1029" t="n"/>
      <c r="E17" s="1029" t="n"/>
      <c r="F17" s="1029" t="n"/>
      <c r="G17" s="1029" t="n"/>
      <c r="H17" s="1029" t="n"/>
      <c r="I17" s="1029" t="n"/>
      <c r="J17" s="1029" t="n"/>
      <c r="K17" s="1029" t="n"/>
      <c r="L17" s="1029" t="n"/>
      <c r="M17" s="1029" t="n"/>
      <c r="N17" s="1029" t="n"/>
      <c r="O17" s="1029" t="n"/>
      <c r="P17" s="1029" t="n"/>
      <c r="Q17" s="1029" t="n"/>
      <c r="R17" s="1029" t="n"/>
      <c r="S17" s="1029" t="n"/>
      <c r="T17" s="1029" t="n"/>
    </row>
    <row r="18" ht="14.25" customHeight="1" s="535">
      <c r="B18" s="929" t="inlineStr">
        <is>
          <t>Head of Technology</t>
        </is>
      </c>
      <c r="C18" s="929">
        <f>""</f>
        <v/>
      </c>
      <c r="D18" s="929">
        <f>""</f>
        <v/>
      </c>
      <c r="E18" s="1030">
        <f>'0.2 Data Config'!$M$6</f>
        <v>0.5</v>
      </c>
      <c r="F18" s="1031">
        <f>COUNTIF($B$78:$B$78,"?*")</f>
        <v>1</v>
      </c>
      <c r="G18" s="1030">
        <f>ROUND(SUMIFS('REVIEW - Complete Role Mapping'!$P$2:$P$700,'REVIEW - Complete Role Mapping'!$AH$2:$AH$700,$C$3,'REVIEW - Complete Role Mapping'!$AL$2:$AL$700,$B18),2)</f>
        <v>1</v>
      </c>
      <c r="H18" s="1031">
        <f>COUNTIFS($D$78:$D$78,"Filled")</f>
        <v>0</v>
      </c>
      <c r="I18" s="1031">
        <f>COUNTIFS($D$78:$D$78,"Vacant")</f>
        <v>1</v>
      </c>
      <c r="J18" s="1031">
        <f>COUNTIFS($D$78:$D$78,"Vacant",$E$78:$E$78,"Hire")</f>
        <v>1</v>
      </c>
      <c r="K18" s="1031">
        <f>COUNTIFS($E$78:$E$78,"Offshore")</f>
        <v>0</v>
      </c>
      <c r="L18" s="1031">
        <f>COUNTIFS($E$78:$E$78,"Hold")</f>
        <v>0</v>
      </c>
      <c r="M18" s="1031">
        <f>$F18-$L18</f>
        <v>1</v>
      </c>
      <c r="N18" s="1032">
        <f>'0.2 Data Config'!$N$6</f>
        <v>0.1375</v>
      </c>
      <c r="O18" s="1032">
        <f>SUMIFS('REVIEW - Complete Role Mapping'!$AE$2:$AE$700,'REVIEW - Complete Role Mapping'!$AH$2:$AH$700,$C$3,'REVIEW - Complete Role Mapping'!$AL$2:$AL$700,$B18)/1000000</f>
        <v>0.33302025</v>
      </c>
      <c r="P18" s="1032">
        <f>IFERROR(IF(ISNUMBER(INDEX(Lists!$AW$2:$AW$10,MATCH($B18,Lists!$AU$2:$AU$10,0))),INDEX(Lists!$AW$2:$AW$10,MATCH($B18,Lists!$AU$2:$AU$10,0)),SUMIFS('REVIEW - Complete Role Mapping'!$AE$2:$AE$700,'REVIEW - Complete Role Mapping'!$AH$2:$AH$700,$C$3,'REVIEW - Complete Role Mapping'!$AL$2:$AL$700,$B18,'REVIEW - Complete Role Mapping'!$AM$2:$AM$700,1)/1000000),SUMIFS('REVIEW - Complete Role Mapping'!$AE$2:$AE$700,'REVIEW - Complete Role Mapping'!$AH$2:$AH$700,$C$3,'REVIEW - Complete Role Mapping'!$AL$2:$AL$700,$B18,'REVIEW - Complete Role Mapping'!$AM$2:$AM$700,1)/1000000)</f>
        <v>0</v>
      </c>
      <c r="Q18" s="1032">
        <f>$O18-$P18</f>
        <v>0.33302025</v>
      </c>
      <c r="R18" s="1032">
        <f>ROUND(IF(COUNTIF(Lists!$AU$2:$AU$10,$B18),$O18,$Q18)-$N18,6)</f>
        <v>0.19552</v>
      </c>
      <c r="S18" s="1032">
        <f>SUM($G$78:$G$78)/1000000</f>
        <v>0.33302025</v>
      </c>
      <c r="T18" s="1032">
        <f>ROUND($S18-$N18,6)</f>
        <v>0.19552</v>
      </c>
    </row>
    <row r="19" ht="14.25" customHeight="1" s="535">
      <c r="B19" s="929" t="inlineStr">
        <is>
          <t>Delivery Manager</t>
        </is>
      </c>
      <c r="C19" s="929">
        <f>""</f>
        <v/>
      </c>
      <c r="D19" s="929">
        <f>""</f>
        <v/>
      </c>
      <c r="E19" s="1030">
        <f>'0.2 Data Config'!$M$14*(N('1.4 TDD Group Functions'!$F$7)/'0.2 Data Config'!$N$16)</f>
        <v>0.3</v>
      </c>
      <c r="F19" s="1031">
        <f>COUNTIF($B$80:$B$80,"?*")</f>
        <v>1</v>
      </c>
      <c r="G19" s="1030">
        <f>ROUND(SUMIFS('REVIEW - Complete Role Mapping'!$P$2:$P$700,'REVIEW - Complete Role Mapping'!$AH$2:$AH$700,$C$3,'REVIEW - Complete Role Mapping'!$AL$2:$AL$700,$B19),2)</f>
        <v>1</v>
      </c>
      <c r="H19" s="1031">
        <f>COUNTIFS($D$80:$D$80,"Filled")</f>
        <v>0</v>
      </c>
      <c r="I19" s="1031">
        <f>COUNTIFS($D$80:$D$80,"Vacant")</f>
        <v>1</v>
      </c>
      <c r="J19" s="1031">
        <f>COUNTIFS($D$80:$D$80,"Vacant",$E$80:$E$80,"Hire")</f>
        <v>1</v>
      </c>
      <c r="K19" s="1031">
        <f>COUNTIFS($E$80:$E$80,"Offshore")</f>
        <v>0</v>
      </c>
      <c r="L19" s="1031">
        <f>COUNTIFS($E$80:$E$80,"Hold")</f>
        <v>0</v>
      </c>
      <c r="M19" s="1031">
        <f>$F19-$L19</f>
        <v>1</v>
      </c>
      <c r="N19" s="1032">
        <f>'0.2 Data Config'!$N$14*(N('1.4 TDD Group Functions'!$F$7)/'0.2 Data Config'!$N$16)</f>
        <v>0.084</v>
      </c>
      <c r="O19" s="1032">
        <f>SUMIFS('REVIEW - Complete Role Mapping'!$AE$2:$AE$700,'REVIEW - Complete Role Mapping'!$AH$2:$AH$700,$C$3,'REVIEW - Complete Role Mapping'!$AL$2:$AL$700,$B19)/1000000</f>
        <v>0.27581025</v>
      </c>
      <c r="P19" s="1032">
        <f>IFERROR(IF(ISNUMBER(INDEX(Lists!$AW$2:$AW$10,MATCH($B19,Lists!$AU$2:$AU$10,0))),INDEX(Lists!$AW$2:$AW$10,MATCH($B19,Lists!$AU$2:$AU$10,0)),SUMIFS('REVIEW - Complete Role Mapping'!$AE$2:$AE$700,'REVIEW - Complete Role Mapping'!$AH$2:$AH$700,$C$3,'REVIEW - Complete Role Mapping'!$AL$2:$AL$700,$B19,'REVIEW - Complete Role Mapping'!$AM$2:$AM$700,1)/1000000),SUMIFS('REVIEW - Complete Role Mapping'!$AE$2:$AE$700,'REVIEW - Complete Role Mapping'!$AH$2:$AH$700,$C$3,'REVIEW - Complete Role Mapping'!$AL$2:$AL$700,$B19,'REVIEW - Complete Role Mapping'!$AM$2:$AM$700,1)/1000000)</f>
        <v>0</v>
      </c>
      <c r="Q19" s="1032">
        <f>$O19-$P19</f>
        <v>0.27581025</v>
      </c>
      <c r="R19" s="1032">
        <f>ROUND(IF(COUNTIF(Lists!$AU$2:$AU$10,$B19),$O19,$Q19)-$N19,6)</f>
        <v>0.19181</v>
      </c>
      <c r="S19" s="1032">
        <f>SUM($G$80:$G$80)/1000000</f>
        <v>0.27581025</v>
      </c>
      <c r="T19" s="1032">
        <f>ROUND($S19-$N19,6)</f>
        <v>0.19181</v>
      </c>
    </row>
    <row r="20" ht="14.25" customHeight="1" s="535">
      <c r="B20" s="929" t="inlineStr">
        <is>
          <t>Technology Manager</t>
        </is>
      </c>
      <c r="C20" s="929">
        <f>""</f>
        <v/>
      </c>
      <c r="D20" s="929">
        <f>""</f>
        <v/>
      </c>
      <c r="E20" s="1030">
        <f>'0.2 Data Config'!$M$15*(N('1.4 TDD Group Functions'!$F$7)/'0.2 Data Config'!$N$16)</f>
        <v>0.3</v>
      </c>
      <c r="F20" s="1031">
        <f>COUNTIF($B$82:$B$85,"?*")</f>
        <v>4</v>
      </c>
      <c r="G20" s="1030">
        <f>ROUND(SUMIFS('REVIEW - Complete Role Mapping'!$P$2:$P$700,'REVIEW - Complete Role Mapping'!$AH$2:$AH$700,$C$3,'REVIEW - Complete Role Mapping'!$AL$2:$AL$700,$B20),2)</f>
        <v>4</v>
      </c>
      <c r="H20" s="1031">
        <f>COUNTIFS($D$82:$D$85,"Filled")</f>
        <v>3</v>
      </c>
      <c r="I20" s="1031">
        <f>COUNTIFS($D$82:$D$85,"Vacant")</f>
        <v>1</v>
      </c>
      <c r="J20" s="1031">
        <f>COUNTIFS($D$82:$D$85,"Vacant",$E$82:$E$85,"Hire")</f>
        <v>1</v>
      </c>
      <c r="K20" s="1031">
        <f>COUNTIFS($E$82:$E$85,"Offshore")</f>
        <v>0</v>
      </c>
      <c r="L20" s="1031">
        <f>COUNTIFS($E$82:$E$85,"Hold")</f>
        <v>0</v>
      </c>
      <c r="M20" s="1031">
        <f>$F20-$L20</f>
        <v>4</v>
      </c>
      <c r="N20" s="1032">
        <f>'0.2 Data Config'!$N$15*(N('1.4 TDD Group Functions'!$F$7)/'0.2 Data Config'!$N$16)</f>
        <v>0.081</v>
      </c>
      <c r="O20" s="1032">
        <f>SUMIFS('REVIEW - Complete Role Mapping'!$AE$2:$AE$700,'REVIEW - Complete Role Mapping'!$AH$2:$AH$700,$C$3,'REVIEW - Complete Role Mapping'!$AL$2:$AL$700,$B20)/1000000</f>
        <v>1.00232904</v>
      </c>
      <c r="P20" s="1032">
        <f>IFERROR(IF(ISNUMBER(INDEX(Lists!$AW$2:$AW$10,MATCH($B20,Lists!$AU$2:$AU$10,0))),INDEX(Lists!$AW$2:$AW$10,MATCH($B20,Lists!$AU$2:$AU$10,0)),SUMIFS('REVIEW - Complete Role Mapping'!$AE$2:$AE$700,'REVIEW - Complete Role Mapping'!$AH$2:$AH$700,$C$3,'REVIEW - Complete Role Mapping'!$AL$2:$AL$700,$B20,'REVIEW - Complete Role Mapping'!$AM$2:$AM$700,1)/1000000),SUMIFS('REVIEW - Complete Role Mapping'!$AE$2:$AE$700,'REVIEW - Complete Role Mapping'!$AH$2:$AH$700,$C$3,'REVIEW - Complete Role Mapping'!$AL$2:$AL$700,$B20,'REVIEW - Complete Role Mapping'!$AM$2:$AM$700,1)/1000000)</f>
        <v>0</v>
      </c>
      <c r="Q20" s="1032">
        <f>$O20-$P20</f>
        <v>1.00232904</v>
      </c>
      <c r="R20" s="1032">
        <f>ROUND(IF(COUNTIF(Lists!$AU$2:$AU$10,$B20),$O20,$Q20)-$N20,6)</f>
        <v>0.921329</v>
      </c>
      <c r="S20" s="1032">
        <f>SUM($G$82:$G$85)/1000000</f>
        <v>1.00232904</v>
      </c>
      <c r="T20" s="1032">
        <f>ROUND($S20-$N20,6)</f>
        <v>0.921329</v>
      </c>
    </row>
    <row r="21" ht="14.25" customHeight="1" s="535">
      <c r="B21" s="1033" t="inlineStr">
        <is>
          <t>Overhead roles total</t>
        </is>
      </c>
      <c r="C21" s="1033" t="n"/>
      <c r="D21" s="1033" t="n"/>
      <c r="E21" s="1034">
        <f>SUM(E18:E20)</f>
        <v>1.1</v>
      </c>
      <c r="F21" s="1035">
        <f>SUM(F18:F20)</f>
        <v>6</v>
      </c>
      <c r="G21" s="1034">
        <f>SUM(G18:G20)</f>
        <v>6</v>
      </c>
      <c r="H21" s="1035">
        <f>SUM(H18:H20)</f>
        <v>3</v>
      </c>
      <c r="I21" s="1035">
        <f>SUM(I18:I20)</f>
        <v>3</v>
      </c>
      <c r="J21" s="1035">
        <f>SUM(J18:J20)</f>
        <v>3</v>
      </c>
      <c r="K21" s="1035">
        <f>SUM(K18:K20)</f>
        <v>0</v>
      </c>
      <c r="L21" s="1035">
        <f>SUM(L18:L20)</f>
        <v>0</v>
      </c>
      <c r="M21" s="1035">
        <f>SUM(M18:M20)</f>
        <v>6</v>
      </c>
      <c r="N21" s="1036">
        <f>IF(COUNT(N18:N20)=0,"",SUM(N18:N20))</f>
        <v>0.3025</v>
      </c>
      <c r="O21" s="1036">
        <f>SUM(O18:O20)</f>
        <v>1.61115954</v>
      </c>
      <c r="P21" s="1036">
        <f>SUM(P18:P20)</f>
        <v>0</v>
      </c>
      <c r="Q21" s="1036">
        <f>SUM(Q18:Q20)</f>
        <v>1.61115954</v>
      </c>
      <c r="R21" s="1036">
        <f>IF(COUNT(N18:N20)=3,ROUND($O21-$N21,6),"")</f>
        <v>1.30866</v>
      </c>
      <c r="S21" s="1036">
        <f>SUM(S18:S20)</f>
        <v>1.61115954</v>
      </c>
      <c r="T21" s="1036">
        <f>IF(COUNT(N18:N20)=3,ROUND($S21-$N21,6),"")</f>
        <v>1.30866</v>
      </c>
    </row>
    <row r="22" ht="14.25" customHeight="1" s="535">
      <c r="B22" s="1037" t="inlineStr">
        <is>
          <t>Portfolio overhead roles (Business Partner, Domain Architect, Leadership) (Required to show archetype FTE)</t>
        </is>
      </c>
      <c r="D22" s="1038">
        <f>""</f>
        <v/>
      </c>
      <c r="E22" s="1030">
        <f>ROUND(SUM('0.2 Data Config'!$M$6:$M$9)*(N('1.4 TDD Group Functions'!$F$6)/'0.2 Data Config'!$N$10)-(N($E18)),6)</f>
        <v>1.3</v>
      </c>
      <c r="F22" s="1038">
        <f>""</f>
        <v/>
      </c>
      <c r="G22" s="1038">
        <f>""</f>
        <v/>
      </c>
      <c r="H22" s="1038">
        <f>""</f>
        <v/>
      </c>
      <c r="I22" s="1038">
        <f>""</f>
        <v/>
      </c>
      <c r="J22" s="1038">
        <f>""</f>
        <v/>
      </c>
      <c r="K22" s="1038">
        <f>""</f>
        <v/>
      </c>
      <c r="L22" s="1038">
        <f>""</f>
        <v/>
      </c>
      <c r="M22" s="1038">
        <f>""</f>
        <v/>
      </c>
      <c r="N22" s="1032">
        <f>ROUND(N('1.4 TDD Group Functions'!$F$6)-(N($N18)),6)</f>
        <v>0.66</v>
      </c>
      <c r="O22" s="1038">
        <f>""</f>
        <v/>
      </c>
      <c r="P22" s="1038">
        <f>""</f>
        <v/>
      </c>
      <c r="Q22" s="1038">
        <f>""</f>
        <v/>
      </c>
      <c r="R22" s="1038">
        <f>""</f>
        <v/>
      </c>
      <c r="S22" s="1038">
        <f>""</f>
        <v/>
      </c>
      <c r="T22" s="1038">
        <f>""</f>
        <v/>
      </c>
    </row>
    <row r="23" ht="14.25" customHeight="1" s="535">
      <c r="B23" s="1037" t="inlineStr">
        <is>
          <t>Business Partners and Domain Architects sit in the COEs</t>
        </is>
      </c>
    </row>
    <row r="24" ht="14.25" customFormat="1" customHeight="1" s="1042">
      <c r="B24" s="886" t="inlineStr">
        <is>
          <t>Total portfolio</t>
        </is>
      </c>
      <c r="C24" s="886" t="n"/>
      <c r="D24" s="886" t="n"/>
      <c r="E24" s="888">
        <f>SUM(E8:E11,E14:E14,E16:E16,E18:E20,E22:E22)</f>
        <v>31.9</v>
      </c>
      <c r="F24" s="1039">
        <f>SUM(F8:F11,F14:F14,F16:F16,F18:F20,F22:F22)</f>
        <v>48</v>
      </c>
      <c r="G24" s="888">
        <f>SUM(G8:G11,G14:G14,G16:G16,G18:G20,G22:G22)</f>
        <v>48</v>
      </c>
      <c r="H24" s="1039">
        <f>SUM(H8:H11,H14:H14,H16:H16,H18:H20,H22:H22)</f>
        <v>36</v>
      </c>
      <c r="I24" s="1039">
        <f>SUM(I8:I11,I14:I14,I16:I16,I18:I20,I22:I22)</f>
        <v>12</v>
      </c>
      <c r="J24" s="1039">
        <f>SUM(J8:J11,J14:J14,J16:J16,J18:J20,J22:J22)</f>
        <v>8</v>
      </c>
      <c r="K24" s="1039">
        <f>SUM(K8:K11,K14:K14,K16:K16,K18:K20,K22:K22)</f>
        <v>8</v>
      </c>
      <c r="L24" s="1039">
        <f>SUM(L8:L11,L14:L14,L16:L16,L18:L20,L22:L22)</f>
        <v>3</v>
      </c>
      <c r="M24" s="1039">
        <f>SUM(M8:M11,M14:M14,M16:M16,M18:M20,M22:M22)</f>
        <v>45</v>
      </c>
      <c r="N24" s="889">
        <f>IF(COUNT(N8:N11,N14:N14,N16:N16,N18:N20,N22:N22)=0,"",SUM(N8:N11,N14:N14,N16:N16,N18:N20,N22:N22))</f>
        <v>8.88704851</v>
      </c>
      <c r="O24" s="889">
        <f>SUM(O8:O11,O14:O14,O16:O16,O18:O20,O22:O22)</f>
        <v>10.6091080354435</v>
      </c>
      <c r="P24" s="889">
        <f>SUM(P8:P11,P14:P14,P16:P16,P18:P20,P22:P22)</f>
        <v>1.32454851</v>
      </c>
      <c r="Q24" s="889">
        <f>SUM(Q8:Q11,Q14:Q14,Q16:Q16,Q18:Q20,Q22:Q22)</f>
        <v>9.28455952544348</v>
      </c>
      <c r="R24" s="889">
        <f>IF(ISNUMBER($N24),ROUND($O24-$N24,6),"")</f>
        <v>1.72206</v>
      </c>
      <c r="S24" s="889">
        <f>SUM(S8:S11,S14:S14,S16:S16,S18:S20,S22:S22)</f>
        <v>8.91132253064348</v>
      </c>
      <c r="T24" s="889">
        <f>IF(ISNUMBER($N24),ROUND($S24-$N24,6),"")</f>
        <v>0.024274</v>
      </c>
    </row>
    <row r="25" ht="14.25" customFormat="1" customHeight="1" s="1042"/>
    <row r="26" ht="33.75" customHeight="1" s="535"/>
    <row r="27" ht="14.25" customHeight="1" s="535">
      <c r="B27" s="537" t="inlineStr">
        <is>
          <t>TDD Group Functions FTE</t>
        </is>
      </c>
      <c r="C27" s="538" t="n"/>
      <c r="D27" s="538" t="n"/>
      <c r="E27" s="538" t="n"/>
      <c r="F27" s="538" t="n"/>
      <c r="G27" s="538" t="n"/>
      <c r="H27" s="929" t="inlineStr">
        <is>
          <t>Vacancy lever: Hire prices the role in full, Hold prices it at 0, Offshore at the Offshore rate set on 0.3 Squad Archetypes.</t>
        </is>
      </c>
    </row>
    <row r="28" ht="28.35" customHeight="1" s="535">
      <c r="A28" s="1040" t="inlineStr">
        <is>
          <t>ID</t>
        </is>
      </c>
      <c r="B28" s="877" t="inlineStr">
        <is>
          <t>Name</t>
        </is>
      </c>
      <c r="C28" s="877" t="inlineStr">
        <is>
          <t>Role</t>
        </is>
      </c>
      <c r="D28" s="877" t="inlineStr">
        <is>
          <t>Status</t>
        </is>
      </c>
      <c r="E28" s="877" t="inlineStr">
        <is>
          <t>Vacancy lever</t>
        </is>
      </c>
      <c r="F28" s="877" t="inlineStr">
        <is>
          <t>Role cost ($)</t>
        </is>
      </c>
      <c r="G28" s="877" t="inlineStr">
        <is>
          <t>Cost after lever ($)</t>
        </is>
      </c>
    </row>
    <row r="29" ht="14.25" customHeight="1" s="535">
      <c r="B29" s="1029" t="inlineStr">
        <is>
          <t>Cloud, Network &amp; Infra Ops</t>
        </is>
      </c>
      <c r="C29" s="1029" t="str">
        <f>COUNTIF($B$30:$B$42,"?*")&amp;IF(COUNTIF($B$30:$B$42,"?*")=1," role"," roles")</f>
        <v>13 roles</v>
      </c>
      <c r="D29" s="1029" t="n"/>
      <c r="E29" s="1029" t="n"/>
      <c r="F29" s="1044">
        <f>SUM(F30:F42)</f>
        <v>2869730.3064</v>
      </c>
      <c r="G29" s="1044">
        <f>SUM(G30:G42)</f>
        <v>2598119.2164</v>
      </c>
    </row>
    <row r="30" ht="14.25" customHeight="1" s="535">
      <c r="A30" s="1045" t="inlineStr">
        <is>
          <t>R0211</t>
        </is>
      </c>
      <c r="B30" s="929" t="str">
        <f>INDEX('REVIEW - Complete Role Mapping'!$B$2:$B$700,MATCH($A30,'REVIEW - Complete Role Mapping'!$AQ$2:$AQ$700,0))</f>
        <v>Axel Soh</v>
      </c>
      <c r="C30" s="929" t="str">
        <f>INDEX('REVIEW - Complete Role Mapping'!$D$2:$D$700,MATCH($A30,'REVIEW - Complete Role Mapping'!$AQ$2:$AQ$700,0))</f>
        <v>Cloud Solutions Architect</v>
      </c>
      <c r="D30" s="929" t="str">
        <f>INDEX('REVIEW - Complete Role Mapping'!$AF$2:$AF$700,MATCH($A30,'REVIEW - Complete Role Mapping'!$AQ$2:$AQ$700,0))</f>
        <v>Filled</v>
      </c>
      <c r="E30" s="543" t="inlineStr">
        <is>
          <t>Filled</t>
        </is>
      </c>
      <c r="F30" s="1031">
        <f>INDEX('REVIEW - Complete Role Mapping'!$AE$2:$AE$700,MATCH($A30,'REVIEW - Complete Role Mapping'!$AQ$2:$AQ$700,0))</f>
        <v>194999.1</v>
      </c>
      <c r="G30" s="1031">
        <f>$F30*IF(ISNUMBER(SEARCH("WIPRO",INDEX('REVIEW - Complete Role Mapping'!$R$2:$R$700,MATCH($A30,'REVIEW - Complete Role Mapping'!$AQ$2:$AQ$700,0)))),1,IFERROR(INDEX(Lists!$AD$2:$AD$5,MATCH($E30,Lists!$AC$2:$AC$5,0)),NA()))</f>
        <v>194999.1</v>
      </c>
    </row>
    <row r="31" ht="14.25" customHeight="1" s="535">
      <c r="A31" s="1045" t="inlineStr">
        <is>
          <t>R0212</t>
        </is>
      </c>
      <c r="B31" s="929" t="str">
        <f>INDEX('REVIEW - Complete Role Mapping'!$B$2:$B$700,MATCH($A31,'REVIEW - Complete Role Mapping'!$AQ$2:$AQ$700,0))</f>
        <v>Johnny Li</v>
      </c>
      <c r="C31" s="929" t="str">
        <f>INDEX('REVIEW - Complete Role Mapping'!$D$2:$D$700,MATCH($A31,'REVIEW - Complete Role Mapping'!$AQ$2:$AQ$700,0))</f>
        <v>Cloud Solutions Architect</v>
      </c>
      <c r="D31" s="929" t="str">
        <f>INDEX('REVIEW - Complete Role Mapping'!$AF$2:$AF$700,MATCH($A31,'REVIEW - Complete Role Mapping'!$AQ$2:$AQ$700,0))</f>
        <v>Filled</v>
      </c>
      <c r="E31" s="543" t="inlineStr">
        <is>
          <t>Filled</t>
        </is>
      </c>
      <c r="F31" s="1031">
        <f>INDEX('REVIEW - Complete Role Mapping'!$AE$2:$AE$700,MATCH($A31,'REVIEW - Complete Role Mapping'!$AQ$2:$AQ$700,0))</f>
        <v>255332.1</v>
      </c>
      <c r="G31" s="1031">
        <f>$F31*IF(ISNUMBER(SEARCH("WIPRO",INDEX('REVIEW - Complete Role Mapping'!$R$2:$R$700,MATCH($A31,'REVIEW - Complete Role Mapping'!$AQ$2:$AQ$700,0)))),1,IFERROR(INDEX(Lists!$AD$2:$AD$5,MATCH($E31,Lists!$AC$2:$AC$5,0)),NA()))</f>
        <v>255332.1</v>
      </c>
    </row>
    <row r="32" ht="14.25" customHeight="1" s="535">
      <c r="A32" s="1045" t="inlineStr">
        <is>
          <t>R0213</t>
        </is>
      </c>
      <c r="B32" s="929" t="str">
        <f>INDEX('REVIEW - Complete Role Mapping'!$B$2:$B$700,MATCH($A32,'REVIEW - Complete Role Mapping'!$AQ$2:$AQ$700,0))</f>
        <v>Pierre Spee</v>
      </c>
      <c r="C32" s="929" t="str">
        <f>INDEX('REVIEW - Complete Role Mapping'!$D$2:$D$700,MATCH($A32,'REVIEW - Complete Role Mapping'!$AQ$2:$AQ$700,0))</f>
        <v>Cloud Solutions Architect</v>
      </c>
      <c r="D32" s="929" t="str">
        <f>INDEX('REVIEW - Complete Role Mapping'!$AF$2:$AF$700,MATCH($A32,'REVIEW - Complete Role Mapping'!$AQ$2:$AQ$700,0))</f>
        <v>Filled</v>
      </c>
      <c r="E32" s="543" t="inlineStr">
        <is>
          <t>Filled</t>
        </is>
      </c>
      <c r="F32" s="1031">
        <f>INDEX('REVIEW - Complete Role Mapping'!$AE$2:$AE$700,MATCH($A32,'REVIEW - Complete Role Mapping'!$AQ$2:$AQ$700,0))</f>
        <v>254531.1</v>
      </c>
      <c r="G32" s="1031">
        <f>$F32*IF(ISNUMBER(SEARCH("WIPRO",INDEX('REVIEW - Complete Role Mapping'!$R$2:$R$700,MATCH($A32,'REVIEW - Complete Role Mapping'!$AQ$2:$AQ$700,0)))),1,IFERROR(INDEX(Lists!$AD$2:$AD$5,MATCH($E32,Lists!$AC$2:$AC$5,0)),NA()))</f>
        <v>254531.1</v>
      </c>
    </row>
    <row r="33" ht="14.25" customHeight="1" s="535">
      <c r="A33" s="1045" t="inlineStr">
        <is>
          <t>R0216</t>
        </is>
      </c>
      <c r="B33" s="929" t="str">
        <f>INDEX('REVIEW - Complete Role Mapping'!$B$2:$B$700,MATCH($A33,'REVIEW - Complete Role Mapping'!$AQ$2:$AQ$700,0))</f>
        <v>C K Lau</v>
      </c>
      <c r="C33" s="929" t="str">
        <f>INDEX('REVIEW - Complete Role Mapping'!$D$2:$D$700,MATCH($A33,'REVIEW - Complete Role Mapping'!$AQ$2:$AQ$700,0))</f>
        <v>Delivery Lead (Cloud &amp; Network)</v>
      </c>
      <c r="D33" s="929" t="str">
        <f>INDEX('REVIEW - Complete Role Mapping'!$AF$2:$AF$700,MATCH($A33,'REVIEW - Complete Role Mapping'!$AQ$2:$AQ$700,0))</f>
        <v>Filled</v>
      </c>
      <c r="E33" s="543" t="inlineStr">
        <is>
          <t>Filled</t>
        </is>
      </c>
      <c r="F33" s="1031">
        <f>INDEX('REVIEW - Complete Role Mapping'!$AE$2:$AE$700,MATCH($A33,'REVIEW - Complete Role Mapping'!$AQ$2:$AQ$700,0))</f>
        <v>249164.4</v>
      </c>
      <c r="G33" s="1031">
        <f>$F33*IF(ISNUMBER(SEARCH("WIPRO",INDEX('REVIEW - Complete Role Mapping'!$R$2:$R$700,MATCH($A33,'REVIEW - Complete Role Mapping'!$AQ$2:$AQ$700,0)))),1,IFERROR(INDEX(Lists!$AD$2:$AD$5,MATCH($E33,Lists!$AC$2:$AC$5,0)),NA()))</f>
        <v>249164.4</v>
      </c>
    </row>
    <row r="34" ht="14.25" customHeight="1" s="535">
      <c r="A34" s="1045" t="inlineStr">
        <is>
          <t>R0242</t>
        </is>
      </c>
      <c r="B34" s="929" t="str">
        <f>INDEX('REVIEW - Complete Role Mapping'!$B$2:$B$700,MATCH($A34,'REVIEW - Complete Role Mapping'!$AQ$2:$AQ$700,0))</f>
        <v>John McCormack</v>
      </c>
      <c r="C34" s="929" t="str">
        <f>INDEX('REVIEW - Complete Role Mapping'!$D$2:$D$700,MATCH($A34,'REVIEW - Complete Role Mapping'!$AQ$2:$AQ$700,0))</f>
        <v>Manager - Infrastructure Operations</v>
      </c>
      <c r="D34" s="929" t="str">
        <f>INDEX('REVIEW - Complete Role Mapping'!$AF$2:$AF$700,MATCH($A34,'REVIEW - Complete Role Mapping'!$AQ$2:$AQ$700,0))</f>
        <v>Filled</v>
      </c>
      <c r="E34" s="543" t="inlineStr">
        <is>
          <t>Offshore</t>
        </is>
      </c>
      <c r="F34" s="1031">
        <f>INDEX('REVIEW - Complete Role Mapping'!$AE$2:$AE$700,MATCH($A34,'REVIEW - Complete Role Mapping'!$AQ$2:$AQ$700,0))</f>
        <v>246494.4</v>
      </c>
      <c r="G34" s="1031">
        <f>$F34*IF(ISNUMBER(SEARCH("WIPRO",INDEX('REVIEW - Complete Role Mapping'!$R$2:$R$700,MATCH($A34,'REVIEW - Complete Role Mapping'!$AQ$2:$AQ$700,0)))),1,IFERROR(INDEX(Lists!$AD$2:$AD$5,MATCH($E34,Lists!$AC$2:$AC$5,0)),NA()))</f>
        <v>98597.76</v>
      </c>
    </row>
    <row r="35" ht="14.25" customHeight="1" s="535">
      <c r="A35" s="1045" t="inlineStr">
        <is>
          <t>R0243</t>
        </is>
      </c>
      <c r="B35" s="929" t="str">
        <f>INDEX('REVIEW - Complete Role Mapping'!$B$2:$B$700,MATCH($A35,'REVIEW - Complete Role Mapping'!$AQ$2:$AQ$700,0))</f>
        <v>Satish Chowdhary</v>
      </c>
      <c r="C35" s="929" t="str">
        <f>INDEX('REVIEW - Complete Role Mapping'!$D$2:$D$700,MATCH($A35,'REVIEW - Complete Role Mapping'!$AQ$2:$AQ$700,0))</f>
        <v>Nework Architect</v>
      </c>
      <c r="D35" s="929" t="str">
        <f>INDEX('REVIEW - Complete Role Mapping'!$AF$2:$AF$700,MATCH($A35,'REVIEW - Complete Role Mapping'!$AQ$2:$AQ$700,0))</f>
        <v>Filled</v>
      </c>
      <c r="E35" s="543" t="inlineStr">
        <is>
          <t>Filled</t>
        </is>
      </c>
      <c r="F35" s="1031">
        <f>INDEX('REVIEW - Complete Role Mapping'!$AE$2:$AE$700,MATCH($A35,'REVIEW - Complete Role Mapping'!$AQ$2:$AQ$700,0))</f>
        <v>259123.5</v>
      </c>
      <c r="G35" s="1031">
        <f>$F35*IF(ISNUMBER(SEARCH("WIPRO",INDEX('REVIEW - Complete Role Mapping'!$R$2:$R$700,MATCH($A35,'REVIEW - Complete Role Mapping'!$AQ$2:$AQ$700,0)))),1,IFERROR(INDEX(Lists!$AD$2:$AD$5,MATCH($E35,Lists!$AC$2:$AC$5,0)),NA()))</f>
        <v>259123.5</v>
      </c>
    </row>
    <row r="36" ht="14.25" customHeight="1" s="535">
      <c r="A36" s="1045" t="inlineStr">
        <is>
          <t>R0244</t>
        </is>
      </c>
      <c r="B36" s="929" t="str">
        <f>INDEX('REVIEW - Complete Role Mapping'!$B$2:$B$700,MATCH($A36,'REVIEW - Complete Role Mapping'!$AQ$2:$AQ$700,0))</f>
        <v>Steven Yong</v>
      </c>
      <c r="C36" s="929" t="str">
        <f>INDEX('REVIEW - Complete Role Mapping'!$D$2:$D$700,MATCH($A36,'REVIEW - Complete Role Mapping'!$AQ$2:$AQ$700,0))</f>
        <v>Nework Architect</v>
      </c>
      <c r="D36" s="929" t="str">
        <f>INDEX('REVIEW - Complete Role Mapping'!$AF$2:$AF$700,MATCH($A36,'REVIEW - Complete Role Mapping'!$AQ$2:$AQ$700,0))</f>
        <v>Filled</v>
      </c>
      <c r="E36" s="543" t="inlineStr">
        <is>
          <t>Filled</t>
        </is>
      </c>
      <c r="F36" s="1031">
        <f>INDEX('REVIEW - Complete Role Mapping'!$AE$2:$AE$700,MATCH($A36,'REVIEW - Complete Role Mapping'!$AQ$2:$AQ$700,0))</f>
        <v>243423.9</v>
      </c>
      <c r="G36" s="1031">
        <f>$F36*IF(ISNUMBER(SEARCH("WIPRO",INDEX('REVIEW - Complete Role Mapping'!$R$2:$R$700,MATCH($A36,'REVIEW - Complete Role Mapping'!$AQ$2:$AQ$700,0)))),1,IFERROR(INDEX(Lists!$AD$2:$AD$5,MATCH($E36,Lists!$AC$2:$AC$5,0)),NA()))</f>
        <v>243423.9</v>
      </c>
    </row>
    <row r="37" ht="14.25" customHeight="1" s="535">
      <c r="A37" s="1045" t="inlineStr">
        <is>
          <t>R0311</t>
        </is>
      </c>
      <c r="B37" s="929" t="str">
        <f>INDEX('REVIEW - Complete Role Mapping'!$B$2:$B$700,MATCH($A37,'REVIEW - Complete Role Mapping'!$AQ$2:$AQ$700,0))</f>
        <v>Jason Satoso</v>
      </c>
      <c r="C37" s="929" t="str">
        <f>INDEX('REVIEW - Complete Role Mapping'!$D$2:$D$700,MATCH($A37,'REVIEW - Complete Role Mapping'!$AQ$2:$AQ$700,0))</f>
        <v>Cloud Operations Engineer</v>
      </c>
      <c r="D37" s="929" t="str">
        <f>INDEX('REVIEW - Complete Role Mapping'!$AF$2:$AF$700,MATCH($A37,'REVIEW - Complete Role Mapping'!$AQ$2:$AQ$700,0))</f>
        <v>Filled</v>
      </c>
      <c r="E37" s="543" t="inlineStr">
        <is>
          <t>Offshore</t>
        </is>
      </c>
      <c r="F37" s="1031">
        <f>INDEX('REVIEW - Complete Role Mapping'!$AE$2:$AE$700,MATCH($A37,'REVIEW - Complete Role Mapping'!$AQ$2:$AQ$700,0))</f>
        <v>206190.75</v>
      </c>
      <c r="G37" s="1031">
        <f>$F37*IF(ISNUMBER(SEARCH("WIPRO",INDEX('REVIEW - Complete Role Mapping'!$R$2:$R$700,MATCH($A37,'REVIEW - Complete Role Mapping'!$AQ$2:$AQ$700,0)))),1,IFERROR(INDEX(Lists!$AD$2:$AD$5,MATCH($E37,Lists!$AC$2:$AC$5,0)),NA()))</f>
        <v>82476.3</v>
      </c>
    </row>
    <row r="38" ht="14.25" customHeight="1" s="535">
      <c r="A38" s="1045" t="inlineStr">
        <is>
          <t>R0312</t>
        </is>
      </c>
      <c r="B38" s="929" t="str">
        <f>INDEX('REVIEW - Complete Role Mapping'!$B$2:$B$700,MATCH($A38,'REVIEW - Complete Role Mapping'!$AQ$2:$AQ$700,0))</f>
        <v>Muhammad Abubaker</v>
      </c>
      <c r="C38" s="929" t="str">
        <f>INDEX('REVIEW - Complete Role Mapping'!$D$2:$D$700,MATCH($A38,'REVIEW - Complete Role Mapping'!$AQ$2:$AQ$700,0))</f>
        <v>Network Operations Engineer</v>
      </c>
      <c r="D38" s="929" t="str">
        <f>INDEX('REVIEW - Complete Role Mapping'!$AF$2:$AF$700,MATCH($A38,'REVIEW - Complete Role Mapping'!$AQ$2:$AQ$700,0))</f>
        <v>Filled</v>
      </c>
      <c r="E38" s="543" t="inlineStr">
        <is>
          <t>Filled</t>
        </is>
      </c>
      <c r="F38" s="1031">
        <f>INDEX('REVIEW - Complete Role Mapping'!$AE$2:$AE$700,MATCH($A38,'REVIEW - Complete Role Mapping'!$AQ$2:$AQ$700,0))</f>
        <v>217658.4</v>
      </c>
      <c r="G38" s="1031">
        <f>$F38*IF(ISNUMBER(SEARCH("WIPRO",INDEX('REVIEW - Complete Role Mapping'!$R$2:$R$700,MATCH($A38,'REVIEW - Complete Role Mapping'!$AQ$2:$AQ$700,0)))),1,IFERROR(INDEX(Lists!$AD$2:$AD$5,MATCH($E38,Lists!$AC$2:$AC$5,0)),NA()))</f>
        <v>217658.4</v>
      </c>
    </row>
    <row r="39" ht="14.25" customHeight="1" s="535">
      <c r="A39" s="1045" t="inlineStr">
        <is>
          <t>R0313</t>
        </is>
      </c>
      <c r="B39" s="929" t="str">
        <f>INDEX('REVIEW - Complete Role Mapping'!$B$2:$B$700,MATCH($A39,'REVIEW - Complete Role Mapping'!$AQ$2:$AQ$700,0))</f>
        <v>Vacant</v>
      </c>
      <c r="C39" s="929" t="str">
        <f>INDEX('REVIEW - Complete Role Mapping'!$D$2:$D$700,MATCH($A39,'REVIEW - Complete Role Mapping'!$AQ$2:$AQ$700,0))</f>
        <v>Infrastructure Operations Lead</v>
      </c>
      <c r="D39" s="929" t="str">
        <f>INDEX('REVIEW - Complete Role Mapping'!$AF$2:$AF$700,MATCH($A39,'REVIEW - Complete Role Mapping'!$AQ$2:$AQ$700,0))</f>
        <v>Vacant</v>
      </c>
      <c r="E39" s="543" t="inlineStr">
        <is>
          <t>Hire</t>
        </is>
      </c>
      <c r="F39" s="1031">
        <f>INDEX('REVIEW - Complete Role Mapping'!$AE$2:$AE$700,MATCH($A39,'REVIEW - Complete Role Mapping'!$AQ$2:$AQ$700,0))</f>
        <v>202853.25</v>
      </c>
      <c r="G39" s="1031">
        <f>$F39*IF(ISNUMBER(SEARCH("WIPRO",INDEX('REVIEW - Complete Role Mapping'!$R$2:$R$700,MATCH($A39,'REVIEW - Complete Role Mapping'!$AQ$2:$AQ$700,0)))),1,IFERROR(INDEX(Lists!$AD$2:$AD$5,MATCH($E39,Lists!$AC$2:$AC$5,0)),NA()))</f>
        <v>202853.25</v>
      </c>
    </row>
    <row r="40" ht="14.25" customHeight="1" s="535">
      <c r="A40" s="1045" t="inlineStr">
        <is>
          <t>R0314</t>
        </is>
      </c>
      <c r="B40" s="929" t="str">
        <f>INDEX('REVIEW - Complete Role Mapping'!$B$2:$B$700,MATCH($A40,'REVIEW - Complete Role Mapping'!$AQ$2:$AQ$700,0))</f>
        <v>vacant</v>
      </c>
      <c r="C40" s="929" t="str">
        <f>INDEX('REVIEW - Complete Role Mapping'!$D$2:$D$700,MATCH($A40,'REVIEW - Complete Role Mapping'!$AQ$2:$AQ$700,0))</f>
        <v>Snr BA</v>
      </c>
      <c r="D40" s="929" t="str">
        <f>INDEX('REVIEW - Complete Role Mapping'!$AF$2:$AF$700,MATCH($A40,'REVIEW - Complete Role Mapping'!$AQ$2:$AQ$700,0))</f>
        <v>Vacant</v>
      </c>
      <c r="E40" s="543" t="inlineStr">
        <is>
          <t>Hire</t>
        </is>
      </c>
      <c r="F40" s="1031">
        <f>INDEX('REVIEW - Complete Role Mapping'!$AE$2:$AE$700,MATCH($A40,'REVIEW - Complete Role Mapping'!$AQ$2:$AQ$700,0))</f>
        <v>202853.25</v>
      </c>
      <c r="G40" s="1031">
        <f>$F40*IF(ISNUMBER(SEARCH("WIPRO",INDEX('REVIEW - Complete Role Mapping'!$R$2:$R$700,MATCH($A40,'REVIEW - Complete Role Mapping'!$AQ$2:$AQ$700,0)))),1,IFERROR(INDEX(Lists!$AD$2:$AD$5,MATCH($E40,Lists!$AC$2:$AC$5,0)),NA()))</f>
        <v>202853.25</v>
      </c>
    </row>
    <row r="41" ht="14.25" customHeight="1" s="535">
      <c r="A41" s="1045" t="inlineStr">
        <is>
          <t>R0363</t>
        </is>
      </c>
      <c r="B41" s="929" t="str">
        <f>INDEX('REVIEW - Complete Role Mapping'!$B$2:$B$700,MATCH($A41,'REVIEW - Complete Role Mapping'!$AQ$2:$AQ$700,0))</f>
        <v>John Badia</v>
      </c>
      <c r="C41" s="929" t="str">
        <f>INDEX('REVIEW - Complete Role Mapping'!$D$2:$D$700,MATCH($A41,'REVIEW - Complete Role Mapping'!$AQ$2:$AQ$700,0))</f>
        <v>Cloud Solutions Architect</v>
      </c>
      <c r="D41" s="929" t="str">
        <f>INDEX('REVIEW - Complete Role Mapping'!$AF$2:$AF$700,MATCH($A41,'REVIEW - Complete Role Mapping'!$AQ$2:$AQ$700,0))</f>
        <v>Filled</v>
      </c>
      <c r="E41" s="543" t="inlineStr">
        <is>
          <t>Filled</t>
        </is>
      </c>
      <c r="F41" s="1031">
        <f>INDEX('REVIEW - Complete Role Mapping'!$AE$2:$AE$700,MATCH($A41,'REVIEW - Complete Role Mapping'!$AQ$2:$AQ$700,0))</f>
        <v>203293.8</v>
      </c>
      <c r="G41" s="1031">
        <f>$F41*IF(ISNUMBER(SEARCH("WIPRO",INDEX('REVIEW - Complete Role Mapping'!$R$2:$R$700,MATCH($A41,'REVIEW - Complete Role Mapping'!$AQ$2:$AQ$700,0)))),1,IFERROR(INDEX(Lists!$AD$2:$AD$5,MATCH($E41,Lists!$AC$2:$AC$5,0)),NA()))</f>
        <v>203293.8</v>
      </c>
    </row>
    <row r="42" ht="14.25" customHeight="1" s="535">
      <c r="A42" s="1045" t="inlineStr">
        <is>
          <t>R0449</t>
        </is>
      </c>
      <c r="B42" s="929" t="str">
        <f>INDEX('REVIEW - Complete Role Mapping'!$B$2:$B$700,MATCH($A42,'REVIEW - Complete Role Mapping'!$AQ$2:$AQ$700,0))</f>
        <v>Fan Zhang</v>
      </c>
      <c r="C42" s="929" t="str">
        <f>INDEX('REVIEW - Complete Role Mapping'!$D$2:$D$700,MATCH($A42,'REVIEW - Complete Role Mapping'!$AQ$2:$AQ$700,0))</f>
        <v>Infrastructure Engineer</v>
      </c>
      <c r="D42" s="929" t="str">
        <f>INDEX('REVIEW - Complete Role Mapping'!$AF$2:$AF$700,MATCH($A42,'REVIEW - Complete Role Mapping'!$AQ$2:$AQ$700,0))</f>
        <v>Filled</v>
      </c>
      <c r="E42" s="543" t="inlineStr">
        <is>
          <t>Filled</t>
        </is>
      </c>
      <c r="F42" s="1031">
        <f>INDEX('REVIEW - Complete Role Mapping'!$AE$2:$AE$700,MATCH($A42,'REVIEW - Complete Role Mapping'!$AQ$2:$AQ$700,0))</f>
        <v>133812.3564</v>
      </c>
      <c r="G42" s="1031">
        <f>$F42*IF(ISNUMBER(SEARCH("WIPRO",INDEX('REVIEW - Complete Role Mapping'!$R$2:$R$700,MATCH($A42,'REVIEW - Complete Role Mapping'!$AQ$2:$AQ$700,0)))),1,IFERROR(INDEX(Lists!$AD$2:$AD$5,MATCH($E42,Lists!$AC$2:$AC$5,0)),NA()))</f>
        <v>133812.3564</v>
      </c>
    </row>
    <row r="43" ht="14.25" customHeight="1" s="535">
      <c r="B43" s="1029" t="inlineStr">
        <is>
          <t>DevOps &amp; QE</t>
        </is>
      </c>
      <c r="C43" s="1029" t="str">
        <f>COUNTIF($B$44:$B$50,"?*")&amp;IF(COUNTIF($B$44:$B$50,"?*")=1," role"," roles")</f>
        <v>7 roles</v>
      </c>
      <c r="D43" s="1029" t="n"/>
      <c r="E43" s="1029" t="n"/>
      <c r="F43" s="1044">
        <f>SUM(F44:F50)</f>
        <v>1349902.548</v>
      </c>
      <c r="G43" s="1044">
        <f>SUM(G44:G50)</f>
        <v>677685.7512</v>
      </c>
    </row>
    <row r="44" ht="14.25" customHeight="1" s="535">
      <c r="A44" s="1045" t="inlineStr">
        <is>
          <t>R0200</t>
        </is>
      </c>
      <c r="B44" s="929" t="str">
        <f>INDEX('REVIEW - Complete Role Mapping'!$B$2:$B$700,MATCH($A44,'REVIEW - Complete Role Mapping'!$AQ$2:$AQ$700,0))</f>
        <v>Luke Hamer</v>
      </c>
      <c r="C44" s="929" t="str">
        <f>INDEX('REVIEW - Complete Role Mapping'!$D$2:$D$700,MATCH($A44,'REVIEW - Complete Role Mapping'!$AQ$2:$AQ$700,0))</f>
        <v>Lead Engineer - Devops</v>
      </c>
      <c r="D44" s="929" t="str">
        <f>INDEX('REVIEW - Complete Role Mapping'!$AF$2:$AF$700,MATCH($A44,'REVIEW - Complete Role Mapping'!$AQ$2:$AQ$700,0))</f>
        <v>Filled</v>
      </c>
      <c r="E44" s="543" t="inlineStr">
        <is>
          <t>Filled</t>
        </is>
      </c>
      <c r="F44" s="1031">
        <f>INDEX('REVIEW - Complete Role Mapping'!$AE$2:$AE$700,MATCH($A44,'REVIEW - Complete Role Mapping'!$AQ$2:$AQ$700,0))</f>
        <v>183060.72</v>
      </c>
      <c r="G44" s="1031">
        <f>$F44*IF(ISNUMBER(SEARCH("WIPRO",INDEX('REVIEW - Complete Role Mapping'!$R$2:$R$700,MATCH($A44,'REVIEW - Complete Role Mapping'!$AQ$2:$AQ$700,0)))),1,IFERROR(INDEX(Lists!$AD$2:$AD$5,MATCH($E44,Lists!$AC$2:$AC$5,0)),NA()))</f>
        <v>183060.72</v>
      </c>
    </row>
    <row r="45" ht="14.25" customHeight="1" s="535">
      <c r="A45" s="1045" t="inlineStr">
        <is>
          <t>R0202</t>
        </is>
      </c>
      <c r="B45" s="929" t="str">
        <f>INDEX('REVIEW - Complete Role Mapping'!$B$2:$B$700,MATCH($A45,'REVIEW - Complete Role Mapping'!$AQ$2:$AQ$700,0))</f>
        <v>Sunny Arya</v>
      </c>
      <c r="C45" s="929" t="str">
        <f>INDEX('REVIEW - Complete Role Mapping'!$D$2:$D$700,MATCH($A45,'REVIEW - Complete Role Mapping'!$AQ$2:$AQ$700,0))</f>
        <v>Lead Engineer, Devops</v>
      </c>
      <c r="D45" s="929" t="str">
        <f>INDEX('REVIEW - Complete Role Mapping'!$AF$2:$AF$700,MATCH($A45,'REVIEW - Complete Role Mapping'!$AQ$2:$AQ$700,0))</f>
        <v>Filled</v>
      </c>
      <c r="E45" s="543" t="inlineStr">
        <is>
          <t>Filled</t>
        </is>
      </c>
      <c r="F45" s="1031">
        <f>INDEX('REVIEW - Complete Role Mapping'!$AE$2:$AE$700,MATCH($A45,'REVIEW - Complete Role Mapping'!$AQ$2:$AQ$700,0))</f>
        <v>200940</v>
      </c>
      <c r="G45" s="1031">
        <f>$F45*IF(ISNUMBER(SEARCH("WIPRO",INDEX('REVIEW - Complete Role Mapping'!$R$2:$R$700,MATCH($A45,'REVIEW - Complete Role Mapping'!$AQ$2:$AQ$700,0)))),1,IFERROR(INDEX(Lists!$AD$2:$AD$5,MATCH($E45,Lists!$AC$2:$AC$5,0)),NA()))</f>
        <v>200940</v>
      </c>
    </row>
    <row r="46" ht="14.25" customHeight="1" s="535">
      <c r="A46" s="1045" t="inlineStr">
        <is>
          <t>R0203</t>
        </is>
      </c>
      <c r="B46" s="929" t="str">
        <f>INDEX('REVIEW - Complete Role Mapping'!$B$2:$B$700,MATCH($A46,'REVIEW - Complete Role Mapping'!$AQ$2:$AQ$700,0))</f>
        <v>Vacant</v>
      </c>
      <c r="C46" s="929" t="str">
        <f>INDEX('REVIEW - Complete Role Mapping'!$D$2:$D$700,MATCH($A46,'REVIEW - Complete Role Mapping'!$AQ$2:$AQ$700,0))</f>
        <v>Lead Engineer (Automation Test)</v>
      </c>
      <c r="D46" s="929" t="str">
        <f>INDEX('REVIEW - Complete Role Mapping'!$AF$2:$AF$700,MATCH($A46,'REVIEW - Complete Role Mapping'!$AQ$2:$AQ$700,0))</f>
        <v>Vacant</v>
      </c>
      <c r="E46" s="543" t="inlineStr">
        <is>
          <t>Hold</t>
        </is>
      </c>
      <c r="F46" s="1031">
        <f>INDEX('REVIEW - Complete Role Mapping'!$AE$2:$AE$700,MATCH($A46,'REVIEW - Complete Role Mapping'!$AQ$2:$AQ$700,0))</f>
        <v>231689.25</v>
      </c>
      <c r="G46" s="1031">
        <f>$F46*IF(ISNUMBER(SEARCH("WIPRO",INDEX('REVIEW - Complete Role Mapping'!$R$2:$R$700,MATCH($A46,'REVIEW - Complete Role Mapping'!$AQ$2:$AQ$700,0)))),1,IFERROR(INDEX(Lists!$AD$2:$AD$5,MATCH($E46,Lists!$AC$2:$AC$5,0)),NA()))</f>
        <v>0</v>
      </c>
    </row>
    <row r="47" ht="14.25" customHeight="1" s="535">
      <c r="A47" s="1045" t="inlineStr">
        <is>
          <t>R0350</t>
        </is>
      </c>
      <c r="B47" s="929" t="str">
        <f>INDEX('REVIEW - Complete Role Mapping'!$B$2:$B$700,MATCH($A47,'REVIEW - Complete Role Mapping'!$AQ$2:$AQ$700,0))</f>
        <v>vacant</v>
      </c>
      <c r="C47" s="929" t="str">
        <f>INDEX('REVIEW - Complete Role Mapping'!$D$2:$D$700,MATCH($A47,'REVIEW - Complete Role Mapping'!$AQ$2:$AQ$700,0))</f>
        <v>Environments and Test Data Manager</v>
      </c>
      <c r="D47" s="929" t="str">
        <f>INDEX('REVIEW - Complete Role Mapping'!$AF$2:$AF$700,MATCH($A47,'REVIEW - Complete Role Mapping'!$AQ$2:$AQ$700,0))</f>
        <v>Vacant</v>
      </c>
      <c r="E47" s="543" t="inlineStr">
        <is>
          <t>Offshore</t>
        </is>
      </c>
      <c r="F47" s="1031">
        <f>INDEX('REVIEW - Complete Role Mapping'!$AE$2:$AE$700,MATCH($A47,'REVIEW - Complete Role Mapping'!$AQ$2:$AQ$700,0))</f>
        <v>202853.25</v>
      </c>
      <c r="G47" s="1031">
        <f>$F47*IF(ISNUMBER(SEARCH("WIPRO",INDEX('REVIEW - Complete Role Mapping'!$R$2:$R$700,MATCH($A47,'REVIEW - Complete Role Mapping'!$AQ$2:$AQ$700,0)))),1,IFERROR(INDEX(Lists!$AD$2:$AD$5,MATCH($E47,Lists!$AC$2:$AC$5,0)),NA()))</f>
        <v>81141.3</v>
      </c>
    </row>
    <row r="48" ht="14.25" customHeight="1" s="535">
      <c r="A48" s="1045" t="inlineStr">
        <is>
          <t>R0352</t>
        </is>
      </c>
      <c r="B48" s="929" t="str">
        <f>INDEX('REVIEW - Complete Role Mapping'!$B$2:$B$700,MATCH($A48,'REVIEW - Complete Role Mapping'!$AQ$2:$AQ$700,0))</f>
        <v>Lucas Wang</v>
      </c>
      <c r="C48" s="929" t="str">
        <f>INDEX('REVIEW - Complete Role Mapping'!$D$2:$D$700,MATCH($A48,'REVIEW - Complete Role Mapping'!$AQ$2:$AQ$700,0))</f>
        <v>Senior Engineer (Automation Test)</v>
      </c>
      <c r="D48" s="929" t="str">
        <f>INDEX('REVIEW - Complete Role Mapping'!$AF$2:$AF$700,MATCH($A48,'REVIEW - Complete Role Mapping'!$AQ$2:$AQ$700,0))</f>
        <v>Filled</v>
      </c>
      <c r="E48" s="543" t="inlineStr">
        <is>
          <t>Offshore</t>
        </is>
      </c>
      <c r="F48" s="1031">
        <f>INDEX('REVIEW - Complete Role Mapping'!$AE$2:$AE$700,MATCH($A48,'REVIEW - Complete Role Mapping'!$AQ$2:$AQ$700,0))</f>
        <v>194522.85</v>
      </c>
      <c r="G48" s="1031">
        <f>$F48*IF(ISNUMBER(SEARCH("WIPRO",INDEX('REVIEW - Complete Role Mapping'!$R$2:$R$700,MATCH($A48,'REVIEW - Complete Role Mapping'!$AQ$2:$AQ$700,0)))),1,IFERROR(INDEX(Lists!$AD$2:$AD$5,MATCH($E48,Lists!$AC$2:$AC$5,0)),NA()))</f>
        <v>77809.14</v>
      </c>
    </row>
    <row r="49" ht="14.25" customHeight="1" s="535">
      <c r="A49" s="1045" t="inlineStr">
        <is>
          <t>R0353</t>
        </is>
      </c>
      <c r="B49" s="929" t="str">
        <f>INDEX('REVIEW - Complete Role Mapping'!$B$2:$B$700,MATCH($A49,'REVIEW - Complete Role Mapping'!$AQ$2:$AQ$700,0))</f>
        <v>Vacant</v>
      </c>
      <c r="C49" s="929" t="str">
        <f>INDEX('REVIEW - Complete Role Mapping'!$D$2:$D$700,MATCH($A49,'REVIEW - Complete Role Mapping'!$AQ$2:$AQ$700,0))</f>
        <v>Senior Engineer (Automation Test)</v>
      </c>
      <c r="D49" s="929" t="str">
        <f>INDEX('REVIEW - Complete Role Mapping'!$AF$2:$AF$700,MATCH($A49,'REVIEW - Complete Role Mapping'!$AQ$2:$AQ$700,0))</f>
        <v>Vacant</v>
      </c>
      <c r="E49" s="543" t="inlineStr">
        <is>
          <t>Offshore</t>
        </is>
      </c>
      <c r="F49" s="1031">
        <f>INDEX('REVIEW - Complete Role Mapping'!$AE$2:$AE$700,MATCH($A49,'REVIEW - Complete Role Mapping'!$AQ$2:$AQ$700,0))</f>
        <v>202853.25</v>
      </c>
      <c r="G49" s="1031">
        <f>$F49*IF(ISNUMBER(SEARCH("WIPRO",INDEX('REVIEW - Complete Role Mapping'!$R$2:$R$700,MATCH($A49,'REVIEW - Complete Role Mapping'!$AQ$2:$AQ$700,0)))),1,IFERROR(INDEX(Lists!$AD$2:$AD$5,MATCH($E49,Lists!$AC$2:$AC$5,0)),NA()))</f>
        <v>81141.3</v>
      </c>
    </row>
    <row r="50" ht="14.25" customHeight="1" s="535">
      <c r="A50" s="1045" t="inlineStr">
        <is>
          <t>R0465</t>
        </is>
      </c>
      <c r="B50" s="929" t="str">
        <f>INDEX('REVIEW - Complete Role Mapping'!$B$2:$B$700,MATCH($A50,'REVIEW - Complete Role Mapping'!$AQ$2:$AQ$700,0))</f>
        <v>Mike Lealamanu</v>
      </c>
      <c r="C50" s="929" t="str">
        <f>INDEX('REVIEW - Complete Role Mapping'!$D$2:$D$700,MATCH($A50,'REVIEW - Complete Role Mapping'!$AQ$2:$AQ$700,0))</f>
        <v>Quality Assurance</v>
      </c>
      <c r="D50" s="929" t="str">
        <f>INDEX('REVIEW - Complete Role Mapping'!$AF$2:$AF$700,MATCH($A50,'REVIEW - Complete Role Mapping'!$AQ$2:$AQ$700,0))</f>
        <v>Filled</v>
      </c>
      <c r="E50" s="543" t="inlineStr">
        <is>
          <t>Offshore</t>
        </is>
      </c>
      <c r="F50" s="1031">
        <f>INDEX('REVIEW - Complete Role Mapping'!$AE$2:$AE$700,MATCH($A50,'REVIEW - Complete Role Mapping'!$AQ$2:$AQ$700,0))</f>
        <v>133983.228</v>
      </c>
      <c r="G50" s="1031">
        <f>$F50*IF(ISNUMBER(SEARCH("WIPRO",INDEX('REVIEW - Complete Role Mapping'!$R$2:$R$700,MATCH($A50,'REVIEW - Complete Role Mapping'!$AQ$2:$AQ$700,0)))),1,IFERROR(INDEX(Lists!$AD$2:$AD$5,MATCH($E50,Lists!$AC$2:$AC$5,0)),NA()))</f>
        <v>53593.2912</v>
      </c>
    </row>
    <row r="51" ht="14.25" customHeight="1" s="535">
      <c r="B51" s="1029" t="inlineStr">
        <is>
          <t>EGI TDD</t>
        </is>
      </c>
      <c r="C51" s="1029" t="str">
        <f>COUNTIF($B$52:$B$56,"?*")&amp;IF(COUNTIF($B$52:$B$56,"?*")=1," role"," roles")</f>
        <v>5 roles</v>
      </c>
      <c r="D51" s="1029" t="n"/>
      <c r="E51" s="1029" t="n"/>
      <c r="F51" s="1044">
        <f>SUM(F52:F56)</f>
        <v>1324548.51</v>
      </c>
      <c r="G51" s="1044">
        <f>SUM(G52:G56)</f>
        <v>1324548.51</v>
      </c>
    </row>
    <row r="52" ht="14.25" customHeight="1" s="535">
      <c r="A52" s="1045" t="inlineStr">
        <is>
          <t>R0018</t>
        </is>
      </c>
      <c r="B52" s="929" t="str">
        <f>INDEX('REVIEW - Complete Role Mapping'!$B$2:$B$700,MATCH($A52,'REVIEW - Complete Role Mapping'!$AQ$2:$AQ$700,0))</f>
        <v>Viren Khatri</v>
      </c>
      <c r="C52" s="929" t="str">
        <f>INDEX('REVIEW - Complete Role Mapping'!$D$2:$D$700,MATCH($A52,'REVIEW - Complete Role Mapping'!$AQ$2:$AQ$700,0))</f>
        <v>Data Migration Lead</v>
      </c>
      <c r="D52" s="929" t="str">
        <f>INDEX('REVIEW - Complete Role Mapping'!$AF$2:$AF$700,MATCH($A52,'REVIEW - Complete Role Mapping'!$AQ$2:$AQ$700,0))</f>
        <v>Filled</v>
      </c>
      <c r="E52" s="543" t="inlineStr">
        <is>
          <t>Filled</t>
        </is>
      </c>
      <c r="F52" s="1031">
        <f>INDEX('REVIEW - Complete Role Mapping'!$AE$2:$AE$700,MATCH($A52,'REVIEW - Complete Role Mapping'!$AQ$2:$AQ$700,0))</f>
        <v>299700</v>
      </c>
      <c r="G52" s="1031">
        <f>$F52*IF(ISNUMBER(SEARCH("WIPRO",INDEX('REVIEW - Complete Role Mapping'!$R$2:$R$700,MATCH($A52,'REVIEW - Complete Role Mapping'!$AQ$2:$AQ$700,0)))),1,IFERROR(INDEX(Lists!$AD$2:$AD$5,MATCH($E52,Lists!$AC$2:$AC$5,0)),NA()))</f>
        <v>299700</v>
      </c>
    </row>
    <row r="53" ht="14.25" customHeight="1" s="535">
      <c r="A53" s="1045" t="inlineStr">
        <is>
          <t>R0023</t>
        </is>
      </c>
      <c r="B53" s="929" t="str">
        <f>INDEX('REVIEW - Complete Role Mapping'!$B$2:$B$700,MATCH($A53,'REVIEW - Complete Role Mapping'!$AQ$2:$AQ$700,0))</f>
        <v>Arun Tahlan</v>
      </c>
      <c r="C53" s="929" t="str">
        <f>INDEX('REVIEW - Complete Role Mapping'!$D$2:$D$700,MATCH($A53,'REVIEW - Complete Role Mapping'!$AQ$2:$AQ$700,0))</f>
        <v>Integration Architect (C) - Boomi</v>
      </c>
      <c r="D53" s="929" t="str">
        <f>INDEX('REVIEW - Complete Role Mapping'!$AF$2:$AF$700,MATCH($A53,'REVIEW - Complete Role Mapping'!$AQ$2:$AQ$700,0))</f>
        <v>Filled</v>
      </c>
      <c r="E53" s="543" t="inlineStr">
        <is>
          <t>Filled</t>
        </is>
      </c>
      <c r="F53" s="1031">
        <f>INDEX('REVIEW - Complete Role Mapping'!$AE$2:$AE$700,MATCH($A53,'REVIEW - Complete Role Mapping'!$AQ$2:$AQ$700,0))</f>
        <v>348096</v>
      </c>
      <c r="G53" s="1031">
        <f>$F53*IF(ISNUMBER(SEARCH("WIPRO",INDEX('REVIEW - Complete Role Mapping'!$R$2:$R$700,MATCH($A53,'REVIEW - Complete Role Mapping'!$AQ$2:$AQ$700,0)))),1,IFERROR(INDEX(Lists!$AD$2:$AD$5,MATCH($E53,Lists!$AC$2:$AC$5,0)),NA()))</f>
        <v>348096</v>
      </c>
    </row>
    <row r="54" ht="14.25" customHeight="1" s="535">
      <c r="A54" s="1045" t="inlineStr">
        <is>
          <t>R0024</t>
        </is>
      </c>
      <c r="B54" s="929" t="str">
        <f>INDEX('REVIEW - Complete Role Mapping'!$B$2:$B$700,MATCH($A54,'REVIEW - Complete Role Mapping'!$AQ$2:$AQ$700,0))</f>
        <v>Kris Thornley</v>
      </c>
      <c r="C54" s="929" t="str">
        <f>INDEX('REVIEW - Complete Role Mapping'!$D$2:$D$700,MATCH($A54,'REVIEW - Complete Role Mapping'!$AQ$2:$AQ$700,0))</f>
        <v>Integration Architect (C)</v>
      </c>
      <c r="D54" s="929" t="str">
        <f>INDEX('REVIEW - Complete Role Mapping'!$AF$2:$AF$700,MATCH($A54,'REVIEW - Complete Role Mapping'!$AQ$2:$AQ$700,0))</f>
        <v>Filled</v>
      </c>
      <c r="E54" s="543" t="inlineStr">
        <is>
          <t>Filled</t>
        </is>
      </c>
      <c r="F54" s="1031">
        <f>INDEX('REVIEW - Complete Role Mapping'!$AE$2:$AE$700,MATCH($A54,'REVIEW - Complete Role Mapping'!$AQ$2:$AQ$700,0))</f>
        <v>266400</v>
      </c>
      <c r="G54" s="1031">
        <f>$F54*IF(ISNUMBER(SEARCH("WIPRO",INDEX('REVIEW - Complete Role Mapping'!$R$2:$R$700,MATCH($A54,'REVIEW - Complete Role Mapping'!$AQ$2:$AQ$700,0)))),1,IFERROR(INDEX(Lists!$AD$2:$AD$5,MATCH($E54,Lists!$AC$2:$AC$5,0)),NA()))</f>
        <v>266400</v>
      </c>
    </row>
    <row r="55" ht="14.25" customHeight="1" s="535">
      <c r="A55" s="1045" t="inlineStr">
        <is>
          <t>R0201</t>
        </is>
      </c>
      <c r="B55" s="929" t="str">
        <f>INDEX('REVIEW - Complete Role Mapping'!$B$2:$B$700,MATCH($A55,'REVIEW - Complete Role Mapping'!$AQ$2:$AQ$700,0))</f>
        <v>Shobhit Mittal</v>
      </c>
      <c r="C55" s="929" t="str">
        <f>INDEX('REVIEW - Complete Role Mapping'!$D$2:$D$700,MATCH($A55,'REVIEW - Complete Role Mapping'!$AQ$2:$AQ$700,0))</f>
        <v>Lead Engineer - Automation Test</v>
      </c>
      <c r="D55" s="929" t="str">
        <f>INDEX('REVIEW - Complete Role Mapping'!$AF$2:$AF$700,MATCH($A55,'REVIEW - Complete Role Mapping'!$AQ$2:$AQ$700,0))</f>
        <v>Filled</v>
      </c>
      <c r="E55" s="543" t="inlineStr">
        <is>
          <t>Filled</t>
        </is>
      </c>
      <c r="F55" s="1031">
        <f>INDEX('REVIEW - Complete Role Mapping'!$AE$2:$AE$700,MATCH($A55,'REVIEW - Complete Role Mapping'!$AQ$2:$AQ$700,0))</f>
        <v>199355.76</v>
      </c>
      <c r="G55" s="1031">
        <f>$F55*IF(ISNUMBER(SEARCH("WIPRO",INDEX('REVIEW - Complete Role Mapping'!$R$2:$R$700,MATCH($A55,'REVIEW - Complete Role Mapping'!$AQ$2:$AQ$700,0)))),1,IFERROR(INDEX(Lists!$AD$2:$AD$5,MATCH($E55,Lists!$AC$2:$AC$5,0)),NA()))</f>
        <v>199355.76</v>
      </c>
    </row>
    <row r="56" ht="14.25" customHeight="1" s="535">
      <c r="A56" s="1045" t="inlineStr">
        <is>
          <t>R0376</t>
        </is>
      </c>
      <c r="B56" s="929" t="str">
        <f>INDEX('REVIEW - Complete Role Mapping'!$B$2:$B$700,MATCH($A56,'REVIEW - Complete Role Mapping'!$AQ$2:$AQ$700,0))</f>
        <v>Anjali Patra</v>
      </c>
      <c r="C56" s="929" t="str">
        <f>INDEX('REVIEW - Complete Role Mapping'!$D$2:$D$700,MATCH($A56,'REVIEW - Complete Role Mapping'!$AQ$2:$AQ$700,0))</f>
        <v>Delivery Lead - EGI</v>
      </c>
      <c r="D56" s="929" t="str">
        <f>INDEX('REVIEW - Complete Role Mapping'!$AF$2:$AF$700,MATCH($A56,'REVIEW - Complete Role Mapping'!$AQ$2:$AQ$700,0))</f>
        <v>Filled</v>
      </c>
      <c r="E56" s="543" t="inlineStr">
        <is>
          <t>Filled</t>
        </is>
      </c>
      <c r="F56" s="1031">
        <f>INDEX('REVIEW - Complete Role Mapping'!$AE$2:$AE$700,MATCH($A56,'REVIEW - Complete Role Mapping'!$AQ$2:$AQ$700,0))</f>
        <v>210996.75</v>
      </c>
      <c r="G56" s="1031">
        <f>$F56*IF(ISNUMBER(SEARCH("WIPRO",INDEX('REVIEW - Complete Role Mapping'!$R$2:$R$700,MATCH($A56,'REVIEW - Complete Role Mapping'!$AQ$2:$AQ$700,0)))),1,IFERROR(INDEX(Lists!$AD$2:$AD$5,MATCH($E56,Lists!$AC$2:$AC$5,0)),NA()))</f>
        <v>210996.75</v>
      </c>
    </row>
    <row r="57" ht="14.25" customHeight="1" s="535">
      <c r="B57" s="1029" t="inlineStr">
        <is>
          <t>Integration &amp; Process Automation</t>
        </is>
      </c>
      <c r="C57" s="1029" t="str">
        <f>COUNTIF($B$58:$B$67,"?*")&amp;IF(COUNTIF($B$58:$B$67,"?*")=1," role"," roles")</f>
        <v>10 roles</v>
      </c>
      <c r="D57" s="1029" t="n"/>
      <c r="E57" s="1029" t="n"/>
      <c r="F57" s="1044">
        <f>SUM(F58:F67)</f>
        <v>1981237.90904348</v>
      </c>
      <c r="G57" s="1044">
        <f>SUM(G58:G67)</f>
        <v>1785333.54104348</v>
      </c>
    </row>
    <row r="58" ht="14.25" customHeight="1" s="535">
      <c r="A58" s="1045" t="inlineStr">
        <is>
          <t>R0188</t>
        </is>
      </c>
      <c r="B58" s="929" t="str">
        <f>INDEX('REVIEW - Complete Role Mapping'!$B$2:$B$700,MATCH($A58,'REVIEW - Complete Role Mapping'!$AQ$2:$AQ$700,0))</f>
        <v>Bala Thiruvadi</v>
      </c>
      <c r="C58" s="929" t="str">
        <f>INDEX('REVIEW - Complete Role Mapping'!$D$2:$D$700,MATCH($A58,'REVIEW - Complete Role Mapping'!$AQ$2:$AQ$700,0))</f>
        <v>Integration Architect - Boomi</v>
      </c>
      <c r="D58" s="929" t="str">
        <f>INDEX('REVIEW - Complete Role Mapping'!$AF$2:$AF$700,MATCH($A58,'REVIEW - Complete Role Mapping'!$AQ$2:$AQ$700,0))</f>
        <v>Filled</v>
      </c>
      <c r="E58" s="543" t="inlineStr">
        <is>
          <t>Filled</t>
        </is>
      </c>
      <c r="F58" s="1031">
        <f>INDEX('REVIEW - Complete Role Mapping'!$AE$2:$AE$700,MATCH($A58,'REVIEW - Complete Role Mapping'!$AQ$2:$AQ$700,0))</f>
        <v>271902.12</v>
      </c>
      <c r="G58" s="1031">
        <f>$F58*IF(ISNUMBER(SEARCH("WIPRO",INDEX('REVIEW - Complete Role Mapping'!$R$2:$R$700,MATCH($A58,'REVIEW - Complete Role Mapping'!$AQ$2:$AQ$700,0)))),1,IFERROR(INDEX(Lists!$AD$2:$AD$5,MATCH($E58,Lists!$AC$2:$AC$5,0)),NA()))</f>
        <v>271902.12</v>
      </c>
    </row>
    <row r="59" ht="14.25" customHeight="1" s="535">
      <c r="A59" s="1045" t="inlineStr">
        <is>
          <t>R0189</t>
        </is>
      </c>
      <c r="B59" s="929" t="str">
        <f>INDEX('REVIEW - Complete Role Mapping'!$B$2:$B$700,MATCH($A59,'REVIEW - Complete Role Mapping'!$AQ$2:$AQ$700,0))</f>
        <v>Joel Krijnen</v>
      </c>
      <c r="C59" s="929" t="str">
        <f>INDEX('REVIEW - Complete Role Mapping'!$D$2:$D$700,MATCH($A59,'REVIEW - Complete Role Mapping'!$AQ$2:$AQ$700,0))</f>
        <v>Lead Engineer Software</v>
      </c>
      <c r="D59" s="929" t="str">
        <f>INDEX('REVIEW - Complete Role Mapping'!$AF$2:$AF$700,MATCH($A59,'REVIEW - Complete Role Mapping'!$AQ$2:$AQ$700,0))</f>
        <v>Filled</v>
      </c>
      <c r="E59" s="543" t="inlineStr">
        <is>
          <t>Filled</t>
        </is>
      </c>
      <c r="F59" s="1031">
        <f>INDEX('REVIEW - Complete Role Mapping'!$AE$2:$AE$700,MATCH($A59,'REVIEW - Complete Role Mapping'!$AQ$2:$AQ$700,0))</f>
        <v>178115.628</v>
      </c>
      <c r="G59" s="1031">
        <f>$F59*IF(ISNUMBER(SEARCH("WIPRO",INDEX('REVIEW - Complete Role Mapping'!$R$2:$R$700,MATCH($A59,'REVIEW - Complete Role Mapping'!$AQ$2:$AQ$700,0)))),1,IFERROR(INDEX(Lists!$AD$2:$AD$5,MATCH($E59,Lists!$AC$2:$AC$5,0)),NA()))</f>
        <v>178115.628</v>
      </c>
    </row>
    <row r="60" ht="14.25" customHeight="1" s="535">
      <c r="A60" s="1045" t="inlineStr">
        <is>
          <t>R0190</t>
        </is>
      </c>
      <c r="B60" s="929" t="str">
        <f>INDEX('REVIEW - Complete Role Mapping'!$B$2:$B$700,MATCH($A60,'REVIEW - Complete Role Mapping'!$AQ$2:$AQ$700,0))</f>
        <v>Michael Weng</v>
      </c>
      <c r="C60" s="929" t="str">
        <f>INDEX('REVIEW - Complete Role Mapping'!$D$2:$D$700,MATCH($A60,'REVIEW - Complete Role Mapping'!$AQ$2:$AQ$700,0))</f>
        <v>Solution Architect</v>
      </c>
      <c r="D60" s="929" t="str">
        <f>INDEX('REVIEW - Complete Role Mapping'!$AF$2:$AF$700,MATCH($A60,'REVIEW - Complete Role Mapping'!$AQ$2:$AQ$700,0))</f>
        <v>Filled</v>
      </c>
      <c r="E60" s="543" t="inlineStr">
        <is>
          <t>Filled</t>
        </is>
      </c>
      <c r="F60" s="1031">
        <f>INDEX('REVIEW - Complete Role Mapping'!$AE$2:$AE$700,MATCH($A60,'REVIEW - Complete Role Mapping'!$AQ$2:$AQ$700,0))</f>
        <v>216227.916</v>
      </c>
      <c r="G60" s="1031">
        <f>$F60*IF(ISNUMBER(SEARCH("WIPRO",INDEX('REVIEW - Complete Role Mapping'!$R$2:$R$700,MATCH($A60,'REVIEW - Complete Role Mapping'!$AQ$2:$AQ$700,0)))),1,IFERROR(INDEX(Lists!$AD$2:$AD$5,MATCH($E60,Lists!$AC$2:$AC$5,0)),NA()))</f>
        <v>216227.916</v>
      </c>
    </row>
    <row r="61" ht="14.25" customHeight="1" s="535">
      <c r="A61" s="1045" t="inlineStr">
        <is>
          <t>R0191</t>
        </is>
      </c>
      <c r="B61" s="929" t="str">
        <f>INDEX('REVIEW - Complete Role Mapping'!$B$2:$B$700,MATCH($A61,'REVIEW - Complete Role Mapping'!$AQ$2:$AQ$700,0))</f>
        <v>Vacant</v>
      </c>
      <c r="C61" s="929" t="str">
        <f>INDEX('REVIEW - Complete Role Mapping'!$D$2:$D$700,MATCH($A61,'REVIEW - Complete Role Mapping'!$AQ$2:$AQ$700,0))</f>
        <v>RPA Lead</v>
      </c>
      <c r="D61" s="929" t="str">
        <f>INDEX('REVIEW - Complete Role Mapping'!$AF$2:$AF$700,MATCH($A61,'REVIEW - Complete Role Mapping'!$AQ$2:$AQ$700,0))</f>
        <v>Vacant</v>
      </c>
      <c r="E61" s="543" t="inlineStr">
        <is>
          <t>Hire</t>
        </is>
      </c>
      <c r="F61" s="1031">
        <f>INDEX('REVIEW - Complete Role Mapping'!$AE$2:$AE$700,MATCH($A61,'REVIEW - Complete Role Mapping'!$AQ$2:$AQ$700,0))</f>
        <v>231689.25</v>
      </c>
      <c r="G61" s="1031">
        <f>$F61*IF(ISNUMBER(SEARCH("WIPRO",INDEX('REVIEW - Complete Role Mapping'!$R$2:$R$700,MATCH($A61,'REVIEW - Complete Role Mapping'!$AQ$2:$AQ$700,0)))),1,IFERROR(INDEX(Lists!$AD$2:$AD$5,MATCH($E61,Lists!$AC$2:$AC$5,0)),NA()))</f>
        <v>231689.25</v>
      </c>
    </row>
    <row r="62" ht="14.25" customHeight="1" s="535">
      <c r="A62" s="1045" t="inlineStr">
        <is>
          <t>R0218</t>
        </is>
      </c>
      <c r="B62" s="929" t="str">
        <f>INDEX('REVIEW - Complete Role Mapping'!$B$2:$B$700,MATCH($A62,'REVIEW - Complete Role Mapping'!$AQ$2:$AQ$700,0))</f>
        <v>Lisa Rademakers</v>
      </c>
      <c r="C62" s="929" t="str">
        <f>INDEX('REVIEW - Complete Role Mapping'!$D$2:$D$700,MATCH($A62,'REVIEW - Complete Role Mapping'!$AQ$2:$AQ$700,0))</f>
        <v>Delivery Lead (Integrations)</v>
      </c>
      <c r="D62" s="929" t="str">
        <f>INDEX('REVIEW - Complete Role Mapping'!$AF$2:$AF$700,MATCH($A62,'REVIEW - Complete Role Mapping'!$AQ$2:$AQ$700,0))</f>
        <v>Filled</v>
      </c>
      <c r="E62" s="543" t="inlineStr">
        <is>
          <t>Filled</t>
        </is>
      </c>
      <c r="F62" s="1031">
        <f>INDEX('REVIEW - Complete Role Mapping'!$AE$2:$AE$700,MATCH($A62,'REVIEW - Complete Role Mapping'!$AQ$2:$AQ$700,0))</f>
        <v>202320.552</v>
      </c>
      <c r="G62" s="1031">
        <f>$F62*IF(ISNUMBER(SEARCH("WIPRO",INDEX('REVIEW - Complete Role Mapping'!$R$2:$R$700,MATCH($A62,'REVIEW - Complete Role Mapping'!$AQ$2:$AQ$700,0)))),1,IFERROR(INDEX(Lists!$AD$2:$AD$5,MATCH($E62,Lists!$AC$2:$AC$5,0)),NA()))</f>
        <v>202320.552</v>
      </c>
    </row>
    <row r="63" ht="14.25" customHeight="1" s="535">
      <c r="A63" s="1045" t="inlineStr">
        <is>
          <t>R0331</t>
        </is>
      </c>
      <c r="B63" s="929" t="str">
        <f>INDEX('REVIEW - Complete Role Mapping'!$B$2:$B$700,MATCH($A63,'REVIEW - Complete Role Mapping'!$AQ$2:$AQ$700,0))</f>
        <v>Thandava Krishna Kakarala</v>
      </c>
      <c r="C63" s="929" t="str">
        <f>INDEX('REVIEW - Complete Role Mapping'!$D$2:$D$700,MATCH($A63,'REVIEW - Complete Role Mapping'!$AQ$2:$AQ$700,0))</f>
        <v>Snr Engineer - Boomi</v>
      </c>
      <c r="D63" s="929" t="str">
        <f>INDEX('REVIEW - Complete Role Mapping'!$AF$2:$AF$700,MATCH($A63,'REVIEW - Complete Role Mapping'!$AQ$2:$AQ$700,0))</f>
        <v>Filled</v>
      </c>
      <c r="E63" s="543" t="inlineStr">
        <is>
          <t>Filled</t>
        </is>
      </c>
      <c r="F63" s="1031">
        <f>INDEX('REVIEW - Complete Role Mapping'!$AE$2:$AE$700,MATCH($A63,'REVIEW - Complete Role Mapping'!$AQ$2:$AQ$700,0))</f>
        <v>186900</v>
      </c>
      <c r="G63" s="1031">
        <f>$F63*IF(ISNUMBER(SEARCH("WIPRO",INDEX('REVIEW - Complete Role Mapping'!$R$2:$R$700,MATCH($A63,'REVIEW - Complete Role Mapping'!$AQ$2:$AQ$700,0)))),1,IFERROR(INDEX(Lists!$AD$2:$AD$5,MATCH($E63,Lists!$AC$2:$AC$5,0)),NA()))</f>
        <v>186900</v>
      </c>
    </row>
    <row r="64" ht="14.25" customHeight="1" s="535">
      <c r="A64" s="1045" t="inlineStr">
        <is>
          <t>R0373</t>
        </is>
      </c>
      <c r="B64" s="929" t="str">
        <f>INDEX('REVIEW - Complete Role Mapping'!$B$2:$B$700,MATCH($A64,'REVIEW - Complete Role Mapping'!$AQ$2:$AQ$700,0))</f>
        <v>Vacant</v>
      </c>
      <c r="C64" s="929" t="str">
        <f>INDEX('REVIEW - Complete Role Mapping'!$D$2:$D$700,MATCH($A64,'REVIEW - Complete Role Mapping'!$AQ$2:$AQ$700,0))</f>
        <v>Business Analyst (Integrations)</v>
      </c>
      <c r="D64" s="929" t="str">
        <f>INDEX('REVIEW - Complete Role Mapping'!$AF$2:$AF$700,MATCH($A64,'REVIEW - Complete Role Mapping'!$AQ$2:$AQ$700,0))</f>
        <v>Vacant</v>
      </c>
      <c r="E64" s="543" t="inlineStr">
        <is>
          <t>Hire</t>
        </is>
      </c>
      <c r="F64" s="1031">
        <f>INDEX('REVIEW - Complete Role Mapping'!$AE$2:$AE$700,MATCH($A64,'REVIEW - Complete Role Mapping'!$AQ$2:$AQ$700,0))</f>
        <v>201585</v>
      </c>
      <c r="G64" s="1031">
        <f>$F64*IF(ISNUMBER(SEARCH("WIPRO",INDEX('REVIEW - Complete Role Mapping'!$R$2:$R$700,MATCH($A64,'REVIEW - Complete Role Mapping'!$AQ$2:$AQ$700,0)))),1,IFERROR(INDEX(Lists!$AD$2:$AD$5,MATCH($E64,Lists!$AC$2:$AC$5,0)),NA()))</f>
        <v>201585</v>
      </c>
    </row>
    <row r="65" ht="14.25" customHeight="1" s="535">
      <c r="A65" s="1045" t="inlineStr">
        <is>
          <t>R0382</t>
        </is>
      </c>
      <c r="B65" s="929" t="str">
        <f>INDEX('REVIEW - Complete Role Mapping'!$B$2:$B$700,MATCH($A65,'REVIEW - Complete Role Mapping'!$AQ$2:$AQ$700,0))</f>
        <v>Archana Chetiwal</v>
      </c>
      <c r="C65" s="929" t="str">
        <f>INDEX('REVIEW - Complete Role Mapping'!$D$2:$D$700,MATCH($A65,'REVIEW - Complete Role Mapping'!$AQ$2:$AQ$700,0))</f>
        <v>Snr Engineer</v>
      </c>
      <c r="D65" s="929" t="str">
        <f>INDEX('REVIEW - Complete Role Mapping'!$AF$2:$AF$700,MATCH($A65,'REVIEW - Complete Role Mapping'!$AQ$2:$AQ$700,0))</f>
        <v>Filled</v>
      </c>
      <c r="E65" s="543" t="inlineStr">
        <is>
          <t>Offshore</t>
        </is>
      </c>
      <c r="F65" s="1031">
        <f>INDEX('REVIEW - Complete Role Mapping'!$AE$2:$AE$700,MATCH($A65,'REVIEW - Complete Role Mapping'!$AQ$2:$AQ$700,0))</f>
        <v>186900</v>
      </c>
      <c r="G65" s="1031">
        <f>$F65*IF(ISNUMBER(SEARCH("WIPRO",INDEX('REVIEW - Complete Role Mapping'!$R$2:$R$700,MATCH($A65,'REVIEW - Complete Role Mapping'!$AQ$2:$AQ$700,0)))),1,IFERROR(INDEX(Lists!$AD$2:$AD$5,MATCH($E65,Lists!$AC$2:$AC$5,0)),NA()))</f>
        <v>74760</v>
      </c>
    </row>
    <row r="66" ht="14.25" customHeight="1" s="535">
      <c r="A66" s="1045" t="inlineStr">
        <is>
          <t>R0482</t>
        </is>
      </c>
      <c r="B66" s="929" t="str">
        <f>INDEX('REVIEW - Complete Role Mapping'!$B$2:$B$700,MATCH($A66,'REVIEW - Complete Role Mapping'!$AQ$2:$AQ$700,0))</f>
        <v>Noel Morris</v>
      </c>
      <c r="C66" s="929" t="str">
        <f>INDEX('REVIEW - Complete Role Mapping'!$D$2:$D$700,MATCH($A66,'REVIEW - Complete Role Mapping'!$AQ$2:$AQ$700,0))</f>
        <v>Snr Engineer</v>
      </c>
      <c r="D66" s="929" t="str">
        <f>INDEX('REVIEW - Complete Role Mapping'!$AF$2:$AF$700,MATCH($A66,'REVIEW - Complete Role Mapping'!$AQ$2:$AQ$700,0))</f>
        <v>Filled</v>
      </c>
      <c r="E66" s="543" t="inlineStr">
        <is>
          <t>Offshore</t>
        </is>
      </c>
      <c r="F66" s="1031">
        <f>INDEX('REVIEW - Complete Role Mapping'!$AE$2:$AE$700,MATCH($A66,'REVIEW - Complete Role Mapping'!$AQ$2:$AQ$700,0))</f>
        <v>139607.28</v>
      </c>
      <c r="G66" s="1031">
        <f>$F66*IF(ISNUMBER(SEARCH("WIPRO",INDEX('REVIEW - Complete Role Mapping'!$R$2:$R$700,MATCH($A66,'REVIEW - Complete Role Mapping'!$AQ$2:$AQ$700,0)))),1,IFERROR(INDEX(Lists!$AD$2:$AD$5,MATCH($E66,Lists!$AC$2:$AC$5,0)),NA()))</f>
        <v>55842.912</v>
      </c>
    </row>
    <row r="67" ht="14.25" customHeight="1" s="535">
      <c r="A67" s="1045" t="inlineStr">
        <is>
          <t>R0525</t>
        </is>
      </c>
      <c r="B67" s="929" t="str">
        <f>INDEX('REVIEW - Complete Role Mapping'!$B$2:$B$700,MATCH($A67,'REVIEW - Complete Role Mapping'!$AQ$2:$AQ$700,0))</f>
        <v>Nidhi Aggarwal</v>
      </c>
      <c r="C67" s="929" t="str">
        <f>INDEX('REVIEW - Complete Role Mapping'!$D$2:$D$700,MATCH($A67,'REVIEW - Complete Role Mapping'!$AQ$2:$AQ$700,0))</f>
        <v>Snr Engineer - Boomi</v>
      </c>
      <c r="D67" s="929" t="str">
        <f>INDEX('REVIEW - Complete Role Mapping'!$AF$2:$AF$700,MATCH($A67,'REVIEW - Complete Role Mapping'!$AQ$2:$AQ$700,0))</f>
        <v>Filled</v>
      </c>
      <c r="E67" s="543" t="inlineStr">
        <is>
          <t>Filled</t>
        </is>
      </c>
      <c r="F67" s="1031">
        <f>INDEX('REVIEW - Complete Role Mapping'!$AE$2:$AE$700,MATCH($A67,'REVIEW - Complete Role Mapping'!$AQ$2:$AQ$700,0))</f>
        <v>165990.163043478</v>
      </c>
      <c r="G67" s="1031">
        <f>$F67*IF(ISNUMBER(SEARCH("WIPRO",INDEX('REVIEW - Complete Role Mapping'!$R$2:$R$700,MATCH($A67,'REVIEW - Complete Role Mapping'!$AQ$2:$AQ$700,0)))),1,IFERROR(INDEX(Lists!$AD$2:$AD$5,MATCH($E67,Lists!$AC$2:$AC$5,0)),NA()))</f>
        <v>165990.163043478</v>
      </c>
    </row>
    <row r="68" ht="14.25" customHeight="1" s="535">
      <c r="B68" s="1029" t="inlineStr">
        <is>
          <t>SAP ERP</t>
        </is>
      </c>
      <c r="C68" s="1029" t="str">
        <f>COUNTIF($B$69:$B$69,"?*")&amp;IF(COUNTIF($B$69:$B$69,"?*")=1," role"," roles")</f>
        <v>1 role</v>
      </c>
      <c r="D68" s="1029" t="n"/>
      <c r="E68" s="1029" t="n"/>
      <c r="F68" s="1044">
        <f>SUM(F69:F69)</f>
        <v>355200</v>
      </c>
      <c r="G68" s="1044">
        <f>SUM(G69:G69)</f>
        <v>0</v>
      </c>
    </row>
    <row r="69" ht="14.25" customHeight="1" s="535">
      <c r="A69" s="1045" t="inlineStr">
        <is>
          <t>R0033</t>
        </is>
      </c>
      <c r="B69" s="929" t="str">
        <f>INDEX('REVIEW - Complete Role Mapping'!$B$2:$B$700,MATCH($A69,'REVIEW - Complete Role Mapping'!$AQ$2:$AQ$700,0))</f>
        <v>Jens Tom</v>
      </c>
      <c r="C69" s="929" t="str">
        <f>INDEX('REVIEW - Complete Role Mapping'!$D$2:$D$700,MATCH($A69,'REVIEW - Complete Role Mapping'!$AQ$2:$AQ$700,0))</f>
        <v>SAP Solution Architect</v>
      </c>
      <c r="D69" s="929" t="str">
        <f>INDEX('REVIEW - Complete Role Mapping'!$AF$2:$AF$700,MATCH($A69,'REVIEW - Complete Role Mapping'!$AQ$2:$AQ$700,0))</f>
        <v>Filled</v>
      </c>
      <c r="E69" s="543" t="inlineStr">
        <is>
          <t>Hold</t>
        </is>
      </c>
      <c r="F69" s="1031">
        <f>INDEX('REVIEW - Complete Role Mapping'!$AE$2:$AE$700,MATCH($A69,'REVIEW - Complete Role Mapping'!$AQ$2:$AQ$700,0))</f>
        <v>355200</v>
      </c>
      <c r="G69" s="1031">
        <f>$F69*IF(ISNUMBER(SEARCH("WIPRO",INDEX('REVIEW - Complete Role Mapping'!$R$2:$R$700,MATCH($A69,'REVIEW - Complete Role Mapping'!$AQ$2:$AQ$700,0)))),1,IFERROR(INDEX(Lists!$AD$2:$AD$5,MATCH($E69,Lists!$AC$2:$AC$5,0)),NA()))</f>
        <v>0</v>
      </c>
    </row>
    <row r="70" ht="14.25" customHeight="1" s="535">
      <c r="B70" s="1029" t="inlineStr">
        <is>
          <t>Workplace &amp; Enterprise Tooling</t>
        </is>
      </c>
      <c r="C70" s="1029" t="str">
        <f>COUNTIF($B$71:$B$76,"?*")&amp;IF(COUNTIF($B$71:$B$76,"?*")=1," role"," roles")</f>
        <v>6 roles</v>
      </c>
      <c r="D70" s="1029" t="n"/>
      <c r="E70" s="1029" t="n"/>
      <c r="F70" s="1044">
        <f>SUM(F71:F76)</f>
        <v>1117329.222</v>
      </c>
      <c r="G70" s="1044">
        <f>SUM(G71:G76)</f>
        <v>914475.972</v>
      </c>
    </row>
    <row r="71" ht="14.25" customHeight="1" s="535">
      <c r="A71" s="1045" t="inlineStr">
        <is>
          <t>R0192</t>
        </is>
      </c>
      <c r="B71" s="929" t="str">
        <f>INDEX('REVIEW - Complete Role Mapping'!$B$2:$B$700,MATCH($A71,'REVIEW - Complete Role Mapping'!$AQ$2:$AQ$700,0))</f>
        <v>Ken Thomson</v>
      </c>
      <c r="C71" s="929" t="str">
        <f>INDEX('REVIEW - Complete Role Mapping'!$D$2:$D$700,MATCH($A71,'REVIEW - Complete Role Mapping'!$AQ$2:$AQ$700,0))</f>
        <v>Servicenow Platform Specialist</v>
      </c>
      <c r="D71" s="929" t="str">
        <f>INDEX('REVIEW - Complete Role Mapping'!$AF$2:$AF$700,MATCH($A71,'REVIEW - Complete Role Mapping'!$AQ$2:$AQ$700,0))</f>
        <v>Filled</v>
      </c>
      <c r="E71" s="543" t="inlineStr">
        <is>
          <t>Filled</t>
        </is>
      </c>
      <c r="F71" s="1031">
        <f>INDEX('REVIEW - Complete Role Mapping'!$AE$2:$AE$700,MATCH($A71,'REVIEW - Complete Role Mapping'!$AQ$2:$AQ$700,0))</f>
        <v>220875.75</v>
      </c>
      <c r="G71" s="1031">
        <f>$F71*IF(ISNUMBER(SEARCH("WIPRO",INDEX('REVIEW - Complete Role Mapping'!$R$2:$R$700,MATCH($A71,'REVIEW - Complete Role Mapping'!$AQ$2:$AQ$700,0)))),1,IFERROR(INDEX(Lists!$AD$2:$AD$5,MATCH($E71,Lists!$AC$2:$AC$5,0)),NA()))</f>
        <v>220875.75</v>
      </c>
    </row>
    <row r="72" ht="14.25" customHeight="1" s="535">
      <c r="A72" s="1045" t="inlineStr">
        <is>
          <t>R0332</t>
        </is>
      </c>
      <c r="B72" s="929" t="str">
        <f>INDEX('REVIEW - Complete Role Mapping'!$B$2:$B$700,MATCH($A72,'REVIEW - Complete Role Mapping'!$AQ$2:$AQ$700,0))</f>
        <v>Nicholas McKay</v>
      </c>
      <c r="C72" s="929" t="str">
        <f>INDEX('REVIEW - Complete Role Mapping'!$D$2:$D$700,MATCH($A72,'REVIEW - Complete Role Mapping'!$AQ$2:$AQ$700,0))</f>
        <v>Workplace Tooling Specialist</v>
      </c>
      <c r="D72" s="929" t="str">
        <f>INDEX('REVIEW - Complete Role Mapping'!$AF$2:$AF$700,MATCH($A72,'REVIEW - Complete Role Mapping'!$AQ$2:$AQ$700,0))</f>
        <v>Filled</v>
      </c>
      <c r="E72" s="543" t="inlineStr">
        <is>
          <t>Filled</t>
        </is>
      </c>
      <c r="F72" s="1031">
        <f>INDEX('REVIEW - Complete Role Mapping'!$AE$2:$AE$700,MATCH($A72,'REVIEW - Complete Role Mapping'!$AQ$2:$AQ$700,0))</f>
        <v>212438.55</v>
      </c>
      <c r="G72" s="1031">
        <f>$F72*IF(ISNUMBER(SEARCH("WIPRO",INDEX('REVIEW - Complete Role Mapping'!$R$2:$R$700,MATCH($A72,'REVIEW - Complete Role Mapping'!$AQ$2:$AQ$700,0)))),1,IFERROR(INDEX(Lists!$AD$2:$AD$5,MATCH($E72,Lists!$AC$2:$AC$5,0)),NA()))</f>
        <v>212438.55</v>
      </c>
    </row>
    <row r="73" ht="14.25" customHeight="1" s="535">
      <c r="A73" s="1045" t="inlineStr">
        <is>
          <t>R0333</t>
        </is>
      </c>
      <c r="B73" s="929" t="str">
        <f>INDEX('REVIEW - Complete Role Mapping'!$B$2:$B$700,MATCH($A73,'REVIEW - Complete Role Mapping'!$AQ$2:$AQ$700,0))</f>
        <v>Vacant</v>
      </c>
      <c r="C73" s="929" t="str">
        <f>INDEX('REVIEW - Complete Role Mapping'!$D$2:$D$700,MATCH($A73,'REVIEW - Complete Role Mapping'!$AQ$2:$AQ$700,0))</f>
        <v>Enterprise Systems Specialist</v>
      </c>
      <c r="D73" s="929" t="str">
        <f>INDEX('REVIEW - Complete Role Mapping'!$AF$2:$AF$700,MATCH($A73,'REVIEW - Complete Role Mapping'!$AQ$2:$AQ$700,0))</f>
        <v>Vacant</v>
      </c>
      <c r="E73" s="543" t="inlineStr">
        <is>
          <t>Hold</t>
        </is>
      </c>
      <c r="F73" s="1031">
        <f>INDEX('REVIEW - Complete Role Mapping'!$AE$2:$AE$700,MATCH($A73,'REVIEW - Complete Role Mapping'!$AQ$2:$AQ$700,0))</f>
        <v>202853.25</v>
      </c>
      <c r="G73" s="1031">
        <f>$F73*IF(ISNUMBER(SEARCH("WIPRO",INDEX('REVIEW - Complete Role Mapping'!$R$2:$R$700,MATCH($A73,'REVIEW - Complete Role Mapping'!$AQ$2:$AQ$700,0)))),1,IFERROR(INDEX(Lists!$AD$2:$AD$5,MATCH($E73,Lists!$AC$2:$AC$5,0)),NA()))</f>
        <v>0</v>
      </c>
    </row>
    <row r="74" ht="14.25" customHeight="1" s="535">
      <c r="A74" s="1045" t="inlineStr">
        <is>
          <t>R0378</t>
        </is>
      </c>
      <c r="B74" s="929" t="str">
        <f>INDEX('REVIEW - Complete Role Mapping'!$B$2:$B$700,MATCH($A74,'REVIEW - Complete Role Mapping'!$AQ$2:$AQ$700,0))</f>
        <v>Vacant</v>
      </c>
      <c r="C74" s="929" t="str">
        <f>INDEX('REVIEW - Complete Role Mapping'!$D$2:$D$700,MATCH($A74,'REVIEW - Complete Role Mapping'!$AQ$2:$AQ$700,0))</f>
        <v>Business Analyst (Workplace &amp; Enterprise Tooling)</v>
      </c>
      <c r="D74" s="929" t="str">
        <f>INDEX('REVIEW - Complete Role Mapping'!$AF$2:$AF$700,MATCH($A74,'REVIEW - Complete Role Mapping'!$AQ$2:$AQ$700,0))</f>
        <v>Vacant</v>
      </c>
      <c r="E74" s="543" t="inlineStr">
        <is>
          <t>Hire</t>
        </is>
      </c>
      <c r="F74" s="1031">
        <f>INDEX('REVIEW - Complete Role Mapping'!$AE$2:$AE$700,MATCH($A74,'REVIEW - Complete Role Mapping'!$AQ$2:$AQ$700,0))</f>
        <v>201585</v>
      </c>
      <c r="G74" s="1031">
        <f>$F74*IF(ISNUMBER(SEARCH("WIPRO",INDEX('REVIEW - Complete Role Mapping'!$R$2:$R$700,MATCH($A74,'REVIEW - Complete Role Mapping'!$AQ$2:$AQ$700,0)))),1,IFERROR(INDEX(Lists!$AD$2:$AD$5,MATCH($E74,Lists!$AC$2:$AC$5,0)),NA()))</f>
        <v>201585</v>
      </c>
    </row>
    <row r="75" ht="14.25" customHeight="1" s="535">
      <c r="A75" s="1045" t="inlineStr">
        <is>
          <t>R0460</t>
        </is>
      </c>
      <c r="B75" s="929" t="str">
        <f>INDEX('REVIEW - Complete Role Mapping'!$B$2:$B$700,MATCH($A75,'REVIEW - Complete Role Mapping'!$AQ$2:$AQ$700,0))</f>
        <v>Billie Connolly</v>
      </c>
      <c r="C75" s="929" t="str">
        <f>INDEX('REVIEW - Complete Role Mapping'!$D$2:$D$700,MATCH($A75,'REVIEW - Complete Role Mapping'!$AQ$2:$AQ$700,0))</f>
        <v>Engineer - Modern Workplaces</v>
      </c>
      <c r="D75" s="929" t="str">
        <f>INDEX('REVIEW - Complete Role Mapping'!$AF$2:$AF$700,MATCH($A75,'REVIEW - Complete Role Mapping'!$AQ$2:$AQ$700,0))</f>
        <v>Filled</v>
      </c>
      <c r="E75" s="543" t="inlineStr">
        <is>
          <t>Filled</t>
        </is>
      </c>
      <c r="F75" s="1031">
        <f>INDEX('REVIEW - Complete Role Mapping'!$AE$2:$AE$700,MATCH($A75,'REVIEW - Complete Role Mapping'!$AQ$2:$AQ$700,0))</f>
        <v>135906.948</v>
      </c>
      <c r="G75" s="1031">
        <f>$F75*IF(ISNUMBER(SEARCH("WIPRO",INDEX('REVIEW - Complete Role Mapping'!$R$2:$R$700,MATCH($A75,'REVIEW - Complete Role Mapping'!$AQ$2:$AQ$700,0)))),1,IFERROR(INDEX(Lists!$AD$2:$AD$5,MATCH($E75,Lists!$AC$2:$AC$5,0)),NA()))</f>
        <v>135906.948</v>
      </c>
    </row>
    <row r="76" ht="14.25" customHeight="1" s="535">
      <c r="A76" s="1045" t="inlineStr">
        <is>
          <t>R0461</t>
        </is>
      </c>
      <c r="B76" s="929" t="str">
        <f>INDEX('REVIEW - Complete Role Mapping'!$B$2:$B$700,MATCH($A76,'REVIEW - Complete Role Mapping'!$AQ$2:$AQ$700,0))</f>
        <v>Rob Struthers</v>
      </c>
      <c r="C76" s="929" t="str">
        <f>INDEX('REVIEW - Complete Role Mapping'!$D$2:$D$700,MATCH($A76,'REVIEW - Complete Role Mapping'!$AQ$2:$AQ$700,0))</f>
        <v>Engineer - Modern Workplaces</v>
      </c>
      <c r="D76" s="929" t="str">
        <f>INDEX('REVIEW - Complete Role Mapping'!$AF$2:$AF$700,MATCH($A76,'REVIEW - Complete Role Mapping'!$AQ$2:$AQ$700,0))</f>
        <v>Filled</v>
      </c>
      <c r="E76" s="543" t="inlineStr">
        <is>
          <t>Filled</t>
        </is>
      </c>
      <c r="F76" s="1031">
        <f>INDEX('REVIEW - Complete Role Mapping'!$AE$2:$AE$700,MATCH($A76,'REVIEW - Complete Role Mapping'!$AQ$2:$AQ$700,0))</f>
        <v>143669.724</v>
      </c>
      <c r="G76" s="1031">
        <f>$F76*IF(ISNUMBER(SEARCH("WIPRO",INDEX('REVIEW - Complete Role Mapping'!$R$2:$R$700,MATCH($A76,'REVIEW - Complete Role Mapping'!$AQ$2:$AQ$700,0)))),1,IFERROR(INDEX(Lists!$AD$2:$AD$5,MATCH($E76,Lists!$AC$2:$AC$5,0)),NA()))</f>
        <v>143669.724</v>
      </c>
    </row>
    <row r="77" ht="14.25" customHeight="1" s="535">
      <c r="B77" s="1029" t="inlineStr">
        <is>
          <t>Head of Technology</t>
        </is>
      </c>
      <c r="C77" s="1029" t="str">
        <f>COUNTIF($B$78:$B$78,"?*")&amp;IF(COUNTIF($B$78:$B$78,"?*")=1," role"," roles")</f>
        <v>1 role</v>
      </c>
      <c r="D77" s="1029" t="n"/>
      <c r="E77" s="1029" t="n"/>
      <c r="F77" s="1044">
        <f>SUM(F78:F78)</f>
        <v>333020.25</v>
      </c>
      <c r="G77" s="1044">
        <f>SUM(G78:G78)</f>
        <v>333020.25</v>
      </c>
    </row>
    <row r="78" ht="14.25" customHeight="1" s="535">
      <c r="A78" s="1045" t="inlineStr">
        <is>
          <t>R0045</t>
        </is>
      </c>
      <c r="B78" s="929" t="str">
        <f>INDEX('REVIEW - Complete Role Mapping'!$B$2:$B$700,MATCH($A78,'REVIEW - Complete Role Mapping'!$AQ$2:$AQ$700,0))</f>
        <v>Vacant</v>
      </c>
      <c r="C78" s="929" t="str">
        <f>INDEX('REVIEW - Complete Role Mapping'!$D$2:$D$700,MATCH($A78,'REVIEW - Complete Role Mapping'!$AQ$2:$AQ$700,0))</f>
        <v>Head of Technology - TDD &amp; Engineering Capability Lead</v>
      </c>
      <c r="D78" s="929" t="str">
        <f>INDEX('REVIEW - Complete Role Mapping'!$AF$2:$AF$700,MATCH($A78,'REVIEW - Complete Role Mapping'!$AQ$2:$AQ$700,0))</f>
        <v>Vacant</v>
      </c>
      <c r="E78" s="543" t="inlineStr">
        <is>
          <t>Hire</t>
        </is>
      </c>
      <c r="F78" s="1031">
        <f>INDEX('REVIEW - Complete Role Mapping'!$AE$2:$AE$700,MATCH($A78,'REVIEW - Complete Role Mapping'!$AQ$2:$AQ$700,0))</f>
        <v>333020.25</v>
      </c>
      <c r="G78" s="1031">
        <f>$F78*IF(ISNUMBER(SEARCH("WIPRO",INDEX('REVIEW - Complete Role Mapping'!$R$2:$R$700,MATCH($A78,'REVIEW - Complete Role Mapping'!$AQ$2:$AQ$700,0)))),1,IFERROR(INDEX(Lists!$AD$2:$AD$5,MATCH($E78,Lists!$AC$2:$AC$5,0)),NA()))</f>
        <v>333020.25</v>
      </c>
    </row>
    <row r="79" ht="14.25" customHeight="1" s="535">
      <c r="B79" s="1029" t="inlineStr">
        <is>
          <t>Delivery Manager</t>
        </is>
      </c>
      <c r="C79" s="1029" t="str">
        <f>COUNTIF($B$80:$B$80,"?*")&amp;IF(COUNTIF($B$80:$B$80,"?*")=1," role"," roles")</f>
        <v>1 role</v>
      </c>
      <c r="D79" s="1029" t="n"/>
      <c r="E79" s="1029" t="n"/>
      <c r="F79" s="1044">
        <f>SUM(F80:F80)</f>
        <v>275810.25</v>
      </c>
      <c r="G79" s="1044">
        <f>SUM(G80:G80)</f>
        <v>275810.25</v>
      </c>
    </row>
    <row r="80" ht="14.25" customHeight="1" s="535">
      <c r="A80" s="1045" t="inlineStr">
        <is>
          <t>R0113</t>
        </is>
      </c>
      <c r="B80" s="929" t="str">
        <f>INDEX('REVIEW - Complete Role Mapping'!$B$2:$B$700,MATCH($A80,'REVIEW - Complete Role Mapping'!$AQ$2:$AQ$700,0))</f>
        <v>Vacant</v>
      </c>
      <c r="C80" s="929" t="str">
        <f>INDEX('REVIEW - Complete Role Mapping'!$D$2:$D$700,MATCH($A80,'REVIEW - Complete Role Mapping'!$AQ$2:$AQ$700,0))</f>
        <v>Delivery Manager</v>
      </c>
      <c r="D80" s="929" t="str">
        <f>INDEX('REVIEW - Complete Role Mapping'!$AF$2:$AF$700,MATCH($A80,'REVIEW - Complete Role Mapping'!$AQ$2:$AQ$700,0))</f>
        <v>Vacant</v>
      </c>
      <c r="E80" s="543" t="inlineStr">
        <is>
          <t>Hire</t>
        </is>
      </c>
      <c r="F80" s="1031">
        <f>INDEX('REVIEW - Complete Role Mapping'!$AE$2:$AE$700,MATCH($A80,'REVIEW - Complete Role Mapping'!$AQ$2:$AQ$700,0))</f>
        <v>275810.25</v>
      </c>
      <c r="G80" s="1031">
        <f>$F80*IF(ISNUMBER(SEARCH("WIPRO",INDEX('REVIEW - Complete Role Mapping'!$R$2:$R$700,MATCH($A80,'REVIEW - Complete Role Mapping'!$AQ$2:$AQ$700,0)))),1,IFERROR(INDEX(Lists!$AD$2:$AD$5,MATCH($E80,Lists!$AC$2:$AC$5,0)),NA()))</f>
        <v>275810.25</v>
      </c>
    </row>
    <row r="81" ht="14.25" customHeight="1" s="535">
      <c r="B81" s="1029" t="inlineStr">
        <is>
          <t>Technology Manager</t>
        </is>
      </c>
      <c r="C81" s="1029" t="str">
        <f>COUNTIF($B$82:$B$85,"?*")&amp;IF(COUNTIF($B$82:$B$85,"?*")=1," role"," roles")</f>
        <v>4 roles</v>
      </c>
      <c r="D81" s="1029" t="n"/>
      <c r="E81" s="1029" t="n"/>
      <c r="F81" s="1044">
        <f>SUM(F82:F85)</f>
        <v>1002329.04</v>
      </c>
      <c r="G81" s="1044">
        <f>SUM(G82:G85)</f>
        <v>1002329.04</v>
      </c>
    </row>
    <row r="82" ht="14.25" customHeight="1" s="535">
      <c r="A82" s="1045" t="inlineStr">
        <is>
          <t>R0105</t>
        </is>
      </c>
      <c r="B82" s="929" t="str">
        <f>INDEX('REVIEW - Complete Role Mapping'!$B$2:$B$700,MATCH($A82,'REVIEW - Complete Role Mapping'!$AQ$2:$AQ$700,0))</f>
        <v>Murray Mitchell</v>
      </c>
      <c r="C82" s="929" t="str">
        <f>INDEX('REVIEW - Complete Role Mapping'!$D$2:$D$700,MATCH($A82,'REVIEW - Complete Role Mapping'!$AQ$2:$AQ$700,0))</f>
        <v>Technology Manager, Enterprise Tooling</v>
      </c>
      <c r="D82" s="929" t="str">
        <f>INDEX('REVIEW - Complete Role Mapping'!$AF$2:$AF$700,MATCH($A82,'REVIEW - Complete Role Mapping'!$AQ$2:$AQ$700,0))</f>
        <v>Filled</v>
      </c>
      <c r="E82" s="543" t="inlineStr">
        <is>
          <t>Filled</t>
        </is>
      </c>
      <c r="F82" s="1031">
        <f>INDEX('REVIEW - Complete Role Mapping'!$AE$2:$AE$700,MATCH($A82,'REVIEW - Complete Role Mapping'!$AQ$2:$AQ$700,0))</f>
        <v>275810.25</v>
      </c>
      <c r="G82" s="1031">
        <f>$F82*IF(ISNUMBER(SEARCH("WIPRO",INDEX('REVIEW - Complete Role Mapping'!$R$2:$R$700,MATCH($A82,'REVIEW - Complete Role Mapping'!$AQ$2:$AQ$700,0)))),1,IFERROR(INDEX(Lists!$AD$2:$AD$5,MATCH($E82,Lists!$AC$2:$AC$5,0)),NA()))</f>
        <v>275810.25</v>
      </c>
    </row>
    <row r="83" ht="14.25" customHeight="1" s="535">
      <c r="A83" s="1045" t="inlineStr">
        <is>
          <t>R0106</t>
        </is>
      </c>
      <c r="B83" s="929" t="str">
        <f>INDEX('REVIEW - Complete Role Mapping'!$B$2:$B$700,MATCH($A83,'REVIEW - Complete Role Mapping'!$AQ$2:$AQ$700,0))</f>
        <v>Scott McKenzie</v>
      </c>
      <c r="C83" s="929" t="str">
        <f>INDEX('REVIEW - Complete Role Mapping'!$D$2:$D$700,MATCH($A83,'REVIEW - Complete Role Mapping'!$AQ$2:$AQ$700,0))</f>
        <v>Technology Manager – DevOps and Quality Engineering</v>
      </c>
      <c r="D83" s="929" t="str">
        <f>INDEX('REVIEW - Complete Role Mapping'!$AF$2:$AF$700,MATCH($A83,'REVIEW - Complete Role Mapping'!$AQ$2:$AQ$700,0))</f>
        <v>Filled</v>
      </c>
      <c r="E83" s="543" t="inlineStr">
        <is>
          <t>Filled</t>
        </is>
      </c>
      <c r="F83" s="1031">
        <f>INDEX('REVIEW - Complete Role Mapping'!$AE$2:$AE$700,MATCH($A83,'REVIEW - Complete Role Mapping'!$AQ$2:$AQ$700,0))</f>
        <v>221478.54</v>
      </c>
      <c r="G83" s="1031">
        <f>$F83*IF(ISNUMBER(SEARCH("WIPRO",INDEX('REVIEW - Complete Role Mapping'!$R$2:$R$700,MATCH($A83,'REVIEW - Complete Role Mapping'!$AQ$2:$AQ$700,0)))),1,IFERROR(INDEX(Lists!$AD$2:$AD$5,MATCH($E83,Lists!$AC$2:$AC$5,0)),NA()))</f>
        <v>221478.54</v>
      </c>
    </row>
    <row r="84" ht="14.25" customHeight="1" s="535">
      <c r="A84" s="1045" t="inlineStr">
        <is>
          <t>R0112</t>
        </is>
      </c>
      <c r="B84" s="929" t="str">
        <f>INDEX('REVIEW - Complete Role Mapping'!$B$2:$B$700,MATCH($A84,'REVIEW - Complete Role Mapping'!$AQ$2:$AQ$700,0))</f>
        <v>Mike Seales</v>
      </c>
      <c r="C84" s="929" t="str">
        <f>INDEX('REVIEW - Complete Role Mapping'!$D$2:$D$700,MATCH($A84,'REVIEW - Complete Role Mapping'!$AQ$2:$AQ$700,0))</f>
        <v>Technology Manager, Integration &amp; Process Automation</v>
      </c>
      <c r="D84" s="929" t="str">
        <f>INDEX('REVIEW - Complete Role Mapping'!$AF$2:$AF$700,MATCH($A84,'REVIEW - Complete Role Mapping'!$AQ$2:$AQ$700,0))</f>
        <v>Filled</v>
      </c>
      <c r="E84" s="543" t="inlineStr">
        <is>
          <t>Filled</t>
        </is>
      </c>
      <c r="F84" s="1031">
        <f>INDEX('REVIEW - Complete Role Mapping'!$AE$2:$AE$700,MATCH($A84,'REVIEW - Complete Role Mapping'!$AQ$2:$AQ$700,0))</f>
        <v>229230</v>
      </c>
      <c r="G84" s="1031">
        <f>$F84*IF(ISNUMBER(SEARCH("WIPRO",INDEX('REVIEW - Complete Role Mapping'!$R$2:$R$700,MATCH($A84,'REVIEW - Complete Role Mapping'!$AQ$2:$AQ$700,0)))),1,IFERROR(INDEX(Lists!$AD$2:$AD$5,MATCH($E84,Lists!$AC$2:$AC$5,0)),NA()))</f>
        <v>229230</v>
      </c>
    </row>
    <row r="85" ht="14.25" customHeight="1" s="535">
      <c r="A85" s="1045" t="inlineStr">
        <is>
          <t>R0114</t>
        </is>
      </c>
      <c r="B85" s="929" t="str">
        <f>INDEX('REVIEW - Complete Role Mapping'!$B$2:$B$700,MATCH($A85,'REVIEW - Complete Role Mapping'!$AQ$2:$AQ$700,0))</f>
        <v>Vacant</v>
      </c>
      <c r="C85" s="929" t="str">
        <f>INDEX('REVIEW - Complete Role Mapping'!$D$2:$D$700,MATCH($A85,'REVIEW - Complete Role Mapping'!$AQ$2:$AQ$700,0))</f>
        <v>Technology Manager – Cloud, Network and Infrastructure Operations</v>
      </c>
      <c r="D85" s="929" t="str">
        <f>INDEX('REVIEW - Complete Role Mapping'!$AF$2:$AF$700,MATCH($A85,'REVIEW - Complete Role Mapping'!$AQ$2:$AQ$700,0))</f>
        <v>Vacant</v>
      </c>
      <c r="E85" s="543" t="inlineStr">
        <is>
          <t>Hire</t>
        </is>
      </c>
      <c r="F85" s="1031">
        <f>INDEX('REVIEW - Complete Role Mapping'!$AE$2:$AE$700,MATCH($A85,'REVIEW - Complete Role Mapping'!$AQ$2:$AQ$700,0))</f>
        <v>275810.25</v>
      </c>
      <c r="G85" s="1031">
        <f>$F85*IF(ISNUMBER(SEARCH("WIPRO",INDEX('REVIEW - Complete Role Mapping'!$R$2:$R$700,MATCH($A85,'REVIEW - Complete Role Mapping'!$AQ$2:$AQ$700,0)))),1,IFERROR(INDEX(Lists!$AD$2:$AD$5,MATCH($E85,Lists!$AC$2:$AC$5,0)),NA()))</f>
        <v>275810.25</v>
      </c>
    </row>
    <row r="86"/>
    <row r="87" ht="14.25" customHeight="1" s="535">
      <c r="B87" s="1040" t="inlineStr">
        <is>
          <t>Vacancy levers on this tab, for the executive summary</t>
        </is>
      </c>
      <c r="J87" s="1046">
        <f>COUNTIFS($D$29:$D$85,"Vacant",$E$29:$E$85,"Hire")</f>
        <v>8</v>
      </c>
      <c r="K87" s="1046">
        <f>COUNTIFS($D$29:$D$85,"Vacant",$E$29:$E$85,"Offshore")</f>
        <v>2</v>
      </c>
      <c r="L87" s="1046">
        <f>COUNTIFS($D$29:$D$85,"Vacant",$E$29:$E$85,"Hold")</f>
        <v>2</v>
      </c>
      <c r="M87" s="1046">
        <f>COUNTIFS($D$29:$D$85,"Vacant",$E$29:$E$85,"Filled")</f>
        <v>0</v>
      </c>
      <c r="N87" s="1046">
        <f>COUNTIFS($D$29:$D$85,"Filled",$E$29:$E$85,"Offshore")</f>
        <v>6</v>
      </c>
    </row>
  </sheetData>
  <dataValidations count="1">
    <dataValidation sqref="E30:E42 E44:E50 E52:E56 E58:E67 E69 E71:E76 E78 E80 E82:E85"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1"/>
  </sheetPr>
  <dimension ref="A1:T49"/>
  <sheetViews>
    <sheetView showFormulas="0" showGridLines="0" showRowColHeaders="1" showZeros="1" rightToLeft="0" tabSelected="0" showOutlineSymbols="1" defaultGridColor="1" view="normal" topLeftCell="A16" colorId="64" zoomScale="100" zoomScaleNormal="100" zoomScalePageLayoutView="100" workbookViewId="0">
      <selection pane="topLeft" activeCell="B23" activeCellId="0" sqref="B23"/>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P&amp;C - working copy</t>
        </is>
      </c>
    </row>
    <row r="3" ht="14.25" customHeight="1" s="535">
      <c r="B3" s="709" t="inlineStr">
        <is>
          <t>Portfolio</t>
        </is>
      </c>
      <c r="C3" s="868" t="inlineStr">
        <is>
          <t>P&amp;C</t>
        </is>
      </c>
    </row>
    <row r="4" ht="18.75" customHeight="1" s="535">
      <c r="B4" s="537" t="inlineStr">
        <is>
          <t>P&amp;C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877"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P&amp;C</t>
        </is>
      </c>
      <c r="C8" s="929" t="str">
        <f>IFERROR(IF(INDEX('1.5 P&amp;C'!$C$23:$C$33,MATCH($B8,'1.5 P&amp;C'!$B$23:$B$33,0))="","",INDEX('1.5 P&amp;C'!$C$23:$C$33,MATCH($B8,'1.5 P&amp;C'!$B$23:$B$33,0))),"Not on the 1.x tab")</f>
        <v>Configuration / Integration</v>
      </c>
      <c r="D8" s="929" t="str">
        <f>IFERROR(IF(INDEX('1.5 P&amp;C'!$D$23:$D$33,MATCH($B8,'1.5 P&amp;C'!$B$23:$B$33,0))="","",INDEX('1.5 P&amp;C'!$D$23:$D$33,MATCH($B8,'1.5 P&amp;C'!$B$23:$B$33,0))),"")</f>
        <v>M</v>
      </c>
      <c r="E8" s="1030">
        <f>IFERROR(INDEX('0.3 Squad Archetypes'!$F$5:$F$23,MATCH($C8&amp;"|"&amp;$D8,'0.3 Squad Archetypes'!$A$5:$A$23,0)),"")</f>
        <v>9</v>
      </c>
      <c r="F8" s="1031">
        <f>COUNTIF($B$28:$B$35,"?*")</f>
        <v>8</v>
      </c>
      <c r="G8" s="1030">
        <f>ROUND(SUMIFS('REVIEW - Complete Role Mapping'!$P$2:$P$700,'REVIEW - Complete Role Mapping'!$AH$2:$AH$700,$C$3,'REVIEW - Complete Role Mapping'!$AL$2:$AL$700,$B8),2)</f>
        <v>8</v>
      </c>
      <c r="H8" s="1031">
        <f>COUNTIFS($D$28:$D$35,"Filled")</f>
        <v>5</v>
      </c>
      <c r="I8" s="1031">
        <f>COUNTIFS($D$28:$D$35,"Vacant")</f>
        <v>3</v>
      </c>
      <c r="J8" s="1031">
        <f>COUNTIFS($D$28:$D$35,"Vacant",$E$28:$E$35,"Hire")</f>
        <v>2</v>
      </c>
      <c r="K8" s="1031">
        <f>COUNTIFS($E$28:$E$35,"Offshore")</f>
        <v>1</v>
      </c>
      <c r="L8" s="1031">
        <f>COUNTIFS($E$28:$E$35,"Hold")</f>
        <v>0</v>
      </c>
      <c r="M8" s="1031">
        <f>$F8-$L8</f>
        <v>8</v>
      </c>
      <c r="N8" s="1032">
        <f>IFERROR(IF(ISNUMBER(INDEX('1.5 P&amp;C'!$H$23:$H$33,MATCH($B8,'1.5 P&amp;C'!$B$23:$B$33,0))),INDEX('1.5 P&amp;C'!$H$23:$H$33,MATCH($B8,'1.5 P&amp;C'!$B$23:$B$33,0)),""),"")</f>
        <v>2.1</v>
      </c>
      <c r="O8" s="1032">
        <f>SUMIFS('REVIEW - Complete Role Mapping'!$AE$2:$AE$700,'REVIEW - Complete Role Mapping'!$AH$2:$AH$700,$C$3,'REVIEW - Complete Role Mapping'!$AL$2:$AL$700,$B8)/1000000</f>
        <v>1.76551793</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1.76551793</v>
      </c>
      <c r="R8" s="1032">
        <f>IFERROR(ROUND(IF(COUNTIF(Lists!$AU$2:$AU$10,$B8),$O8,$Q8)-$N8,6),"")</f>
        <v>-0.334482</v>
      </c>
      <c r="S8" s="1032">
        <f>SUM($G$28:$G$35)/1000000</f>
        <v>1.66322408</v>
      </c>
      <c r="T8" s="1032">
        <f>IFERROR(ROUND($S8-$N8,6),"")</f>
        <v>-0.436776</v>
      </c>
    </row>
    <row r="9" ht="14.25" customHeight="1" s="535">
      <c r="B9" s="929" t="inlineStr">
        <is>
          <t>P&amp;C RTA</t>
        </is>
      </c>
      <c r="C9" s="929" t="str">
        <f>IFERROR(IF(INDEX('1.5 P&amp;C'!$C$23:$C$33,MATCH($B9,'1.5 P&amp;C'!$B$23:$B$33,0))="","",INDEX('1.5 P&amp;C'!$C$23:$C$33,MATCH($B9,'1.5 P&amp;C'!$B$23:$B$33,0))),"Not on the 1.x tab")</f>
        <v>Configuration / Integration</v>
      </c>
      <c r="D9" s="929" t="str">
        <f>IFERROR(IF(INDEX('1.5 P&amp;C'!$D$23:$D$33,MATCH($B9,'1.5 P&amp;C'!$B$23:$B$33,0))="","",INDEX('1.5 P&amp;C'!$D$23:$D$33,MATCH($B9,'1.5 P&amp;C'!$B$23:$B$33,0))),"")</f>
        <v>S</v>
      </c>
      <c r="E9" s="1030">
        <f>IFERROR(INDEX('0.3 Squad Archetypes'!$F$5:$F$23,MATCH($C9&amp;"|"&amp;$D9,'0.3 Squad Archetypes'!$A$5:$A$23,0)),"")</f>
        <v>6</v>
      </c>
      <c r="F9" s="1031">
        <f>COUNTIF($B$37:$B$41,"?*")</f>
        <v>5</v>
      </c>
      <c r="G9" s="1030">
        <f>ROUND(SUMIFS('REVIEW - Complete Role Mapping'!$P$2:$P$700,'REVIEW - Complete Role Mapping'!$AH$2:$AH$700,$C$3,'REVIEW - Complete Role Mapping'!$AL$2:$AL$700,$B9),2)</f>
        <v>5</v>
      </c>
      <c r="H9" s="1031">
        <f>COUNTIFS($D$37:$D$41,"Filled")</f>
        <v>0</v>
      </c>
      <c r="I9" s="1031">
        <f>COUNTIFS($D$37:$D$41,"Vacant")</f>
        <v>5</v>
      </c>
      <c r="J9" s="1031">
        <f>COUNTIFS($D$37:$D$41,"Vacant",$E$37:$E$41,"Hire")</f>
        <v>4</v>
      </c>
      <c r="K9" s="1031">
        <f>COUNTIFS($E$37:$E$41,"Offshore")</f>
        <v>1</v>
      </c>
      <c r="L9" s="1031">
        <f>COUNTIFS($E$37:$E$41,"Hold")</f>
        <v>0</v>
      </c>
      <c r="M9" s="1031">
        <f>$F9-$L9</f>
        <v>5</v>
      </c>
      <c r="N9" s="1032">
        <f>IFERROR(IF(ISNUMBER(INDEX('1.5 P&amp;C'!$H$23:$H$33,MATCH($B9,'1.5 P&amp;C'!$B$23:$B$33,0))),INDEX('1.5 P&amp;C'!$H$23:$H$33,MATCH($B9,'1.5 P&amp;C'!$B$23:$B$33,0)),""),"")</f>
        <v>1.4</v>
      </c>
      <c r="O9" s="1032">
        <f>SUMIFS('REVIEW - Complete Role Mapping'!$AE$2:$AE$700,'REVIEW - Complete Role Mapping'!$AH$2:$AH$700,$C$3,'REVIEW - Complete Role Mapping'!$AL$2:$AL$700,$B9)/1000000</f>
        <v>0.98658815</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0.98658815</v>
      </c>
      <c r="R9" s="1032">
        <f>IFERROR(ROUND(IF(COUNTIF(Lists!$AU$2:$AU$10,$B9),$O9,$Q9)-$N9,6),"")</f>
        <v>-0.413412</v>
      </c>
      <c r="S9" s="1032">
        <f>SUM($G$37:$G$41)/1000000</f>
        <v>0.8842943</v>
      </c>
      <c r="T9" s="1032">
        <f>IFERROR(ROUND($S9-$N9,6),"")</f>
        <v>-0.515706</v>
      </c>
    </row>
    <row r="10" ht="14.25" customHeight="1" s="535">
      <c r="B10" s="1033" t="inlineStr">
        <is>
          <t>Squads total</t>
        </is>
      </c>
      <c r="C10" s="1033" t="n"/>
      <c r="D10" s="1033" t="n"/>
      <c r="E10" s="1034">
        <f>SUM(E8:E9)</f>
        <v>15</v>
      </c>
      <c r="F10" s="1035">
        <f>SUM(F8:F9)</f>
        <v>13</v>
      </c>
      <c r="G10" s="1034">
        <f>SUM(G8:G9)</f>
        <v>13</v>
      </c>
      <c r="H10" s="1035">
        <f>SUM(H8:H9)</f>
        <v>5</v>
      </c>
      <c r="I10" s="1035">
        <f>SUM(I8:I9)</f>
        <v>8</v>
      </c>
      <c r="J10" s="1035">
        <f>SUM(J8:J9)</f>
        <v>6</v>
      </c>
      <c r="K10" s="1035">
        <f>SUM(K8:K9)</f>
        <v>2</v>
      </c>
      <c r="L10" s="1035">
        <f>SUM(L8:L9)</f>
        <v>0</v>
      </c>
      <c r="M10" s="1035">
        <f>SUM(M8:M9)</f>
        <v>13</v>
      </c>
      <c r="N10" s="1036">
        <f>IF(COUNT(N8:N9)=0,"",SUM(N8:N9))</f>
        <v>3.5</v>
      </c>
      <c r="O10" s="1036">
        <f>SUM(O8:O9)</f>
        <v>2.75210608</v>
      </c>
      <c r="P10" s="1036">
        <f>SUM(P8:P9)</f>
        <v>0</v>
      </c>
      <c r="Q10" s="1036">
        <f>SUM(Q8:Q9)</f>
        <v>2.75210608</v>
      </c>
      <c r="R10" s="1036">
        <f>IF(COUNT(N8:N9)=2,ROUND($O10-$N10,6),"")</f>
        <v>-0.747894</v>
      </c>
      <c r="S10" s="1036">
        <f>SUM(S8:S9)</f>
        <v>2.54751838</v>
      </c>
      <c r="T10" s="1036">
        <f>IF(COUNT(N8:N9)=2,ROUND($S10-$N10,6),"")</f>
        <v>-0.952482</v>
      </c>
    </row>
    <row r="11" ht="14.25" customHeight="1" s="535">
      <c r="B11" s="1029" t="inlineStr">
        <is>
          <t>Directly funded programs and platforms</t>
        </is>
      </c>
      <c r="C11" s="1029" t="n"/>
      <c r="D11" s="1029" t="n"/>
      <c r="E11" s="1029" t="n"/>
      <c r="F11" s="1029" t="n"/>
      <c r="G11" s="1029" t="n"/>
      <c r="H11" s="1029" t="n"/>
      <c r="I11" s="1029" t="n"/>
      <c r="J11" s="1029" t="n"/>
      <c r="K11" s="1029" t="n"/>
      <c r="L11" s="1029" t="n"/>
      <c r="M11" s="1029" t="n"/>
      <c r="N11" s="1029" t="n"/>
      <c r="O11" s="1029" t="n"/>
      <c r="P11" s="1029" t="n"/>
      <c r="Q11" s="1029" t="n"/>
      <c r="R11" s="1029" t="n"/>
      <c r="S11" s="1029" t="n"/>
      <c r="T11" s="1029" t="n"/>
    </row>
    <row r="12" ht="14.25" customHeight="1" s="535">
      <c r="B12" s="929" t="inlineStr">
        <is>
          <t>EGI P&amp;C</t>
        </is>
      </c>
      <c r="C12" s="929" t="str">
        <f>IFERROR(IF(INDEX('1.5 P&amp;C'!$C$23:$C$33,MATCH($B12,'1.5 P&amp;C'!$B$23:$B$33,0))="","",INDEX('1.5 P&amp;C'!$C$23:$C$33,MATCH($B12,'1.5 P&amp;C'!$B$23:$B$33,0))),"Not on the 1.x tab")</f>
        <v>Strategic Programs</v>
      </c>
      <c r="D12" s="929">
        <f>IFERROR(IF(INDEX('1.5 P&amp;C'!$D$23:$D$33,MATCH($B12,'1.5 P&amp;C'!$B$23:$B$33,0))="","",INDEX('1.5 P&amp;C'!$D$23:$D$33,MATCH($B12,'1.5 P&amp;C'!$B$23:$B$33,0))),"")</f>
        <v/>
      </c>
      <c r="E12" s="1030">
        <f>""</f>
        <v/>
      </c>
      <c r="F12" s="1031">
        <f>COUNTIF($B$26:$B$26,"?*")</f>
        <v>1</v>
      </c>
      <c r="G12" s="1030">
        <f>ROUND(SUMIFS('REVIEW - Complete Role Mapping'!$P$2:$P$700,'REVIEW - Complete Role Mapping'!$AH$2:$AH$700,$C$3,'REVIEW - Complete Role Mapping'!$AL$2:$AL$700,$B12),2)</f>
        <v>1</v>
      </c>
      <c r="H12" s="1031">
        <f>COUNTIFS($D$26:$D$26,"Filled")</f>
        <v>1</v>
      </c>
      <c r="I12" s="1031">
        <f>COUNTIFS($D$26:$D$26,"Vacant")</f>
        <v>0</v>
      </c>
      <c r="J12" s="1031">
        <f>COUNTIFS($D$26:$D$26,"Vacant",$E$26:$E$26,"Hire")</f>
        <v>0</v>
      </c>
      <c r="K12" s="1031">
        <f>COUNTIFS($E$26:$E$26,"Offshore")</f>
        <v>0</v>
      </c>
      <c r="L12" s="1031">
        <f>COUNTIFS($E$26:$E$26,"Hold")</f>
        <v>0</v>
      </c>
      <c r="M12" s="1031">
        <f>$F12-$L12</f>
        <v>1</v>
      </c>
      <c r="N12" s="1032">
        <f>$O12</f>
        <v>0.238965</v>
      </c>
      <c r="O12" s="1032">
        <f>SUMIFS('REVIEW - Complete Role Mapping'!$AE$2:$AE$700,'REVIEW - Complete Role Mapping'!$AH$2:$AH$700,$C$3,'REVIEW - Complete Role Mapping'!$AL$2:$AL$700,$B12)/1000000</f>
        <v>0.238965</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0.238965</v>
      </c>
      <c r="Q12" s="1032">
        <f>$O12-$P12</f>
        <v>0</v>
      </c>
      <c r="R12" s="1032">
        <f>IFERROR(ROUND(IF(COUNTIF(Lists!$AU$2:$AU$10,$B12),$O12,$Q12)-$N12,6),"")</f>
        <v>0</v>
      </c>
      <c r="S12" s="1032">
        <f>SUM($G$26:$G$26)/1000000</f>
        <v>0.238965</v>
      </c>
      <c r="T12" s="1032">
        <f>IFERROR(ROUND($S12-$N12,6),"")</f>
        <v>0</v>
      </c>
    </row>
    <row r="13" ht="14.25" customHeight="1" s="535">
      <c r="B13" s="1029" t="inlineStr">
        <is>
          <t>Overhead roles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Head of Technology</t>
        </is>
      </c>
      <c r="C14" s="929">
        <f>""</f>
        <v/>
      </c>
      <c r="D14" s="929">
        <f>""</f>
        <v/>
      </c>
      <c r="E14" s="1030">
        <f>'0.2 Data Config'!$M$6</f>
        <v>0.5</v>
      </c>
      <c r="F14" s="1031">
        <f>COUNTIF($B$43:$B$43,"?*")</f>
        <v>1</v>
      </c>
      <c r="G14" s="1030">
        <f>ROUND(SUMIFS('REVIEW - Complete Role Mapping'!$P$2:$P$700,'REVIEW - Complete Role Mapping'!$AH$2:$AH$700,$C$3,'REVIEW - Complete Role Mapping'!$AL$2:$AL$700,$B14),2)</f>
        <v>1</v>
      </c>
      <c r="H14" s="1031">
        <f>COUNTIFS($D$43:$D$43,"Filled")</f>
        <v>1</v>
      </c>
      <c r="I14" s="1031">
        <f>COUNTIFS($D$43:$D$43,"Vacant")</f>
        <v>0</v>
      </c>
      <c r="J14" s="1031">
        <f>COUNTIFS($D$43:$D$43,"Vacant",$E$43:$E$43,"Hire")</f>
        <v>0</v>
      </c>
      <c r="K14" s="1031">
        <f>COUNTIFS($E$43:$E$43,"Offshore")</f>
        <v>0</v>
      </c>
      <c r="L14" s="1031">
        <f>COUNTIFS($E$43:$E$43,"Hold")</f>
        <v>0</v>
      </c>
      <c r="M14" s="1031">
        <f>$F14-$L14</f>
        <v>1</v>
      </c>
      <c r="N14" s="1032">
        <f>'0.2 Data Config'!$N$6</f>
        <v>0.1375</v>
      </c>
      <c r="O14" s="1032">
        <f>SUMIFS('REVIEW - Complete Role Mapping'!$AE$2:$AE$700,'REVIEW - Complete Role Mapping'!$AH$2:$AH$700,$C$3,'REVIEW - Complete Role Mapping'!$AL$2:$AL$700,$B14)/1000000</f>
        <v>0.3642493</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0.3642493</v>
      </c>
      <c r="R14" s="1032">
        <f>ROUND(IF(COUNTIF(Lists!$AU$2:$AU$10,$B14),$O14,$Q14)-$N14,6)</f>
        <v>0.226749</v>
      </c>
      <c r="S14" s="1032">
        <f>SUM($G$43:$G$43)/1000000</f>
        <v>0.3642493</v>
      </c>
      <c r="T14" s="1032">
        <f>ROUND($S14-$N14,6)</f>
        <v>0.226749</v>
      </c>
    </row>
    <row r="15" ht="14.25" customHeight="1" s="535">
      <c r="B15" s="929" t="inlineStr">
        <is>
          <t>Delivery Manager</t>
        </is>
      </c>
      <c r="C15" s="929">
        <f>""</f>
        <v/>
      </c>
      <c r="D15" s="929">
        <f>""</f>
        <v/>
      </c>
      <c r="E15" s="1030">
        <f>'0.2 Data Config'!$M$14*(N('1.5 P&amp;C'!$F$7)/'0.2 Data Config'!$N$16)</f>
        <v>0.3</v>
      </c>
      <c r="F15" s="1031">
        <f>COUNTIF($B$45:$B$45,"?*")</f>
        <v>1</v>
      </c>
      <c r="G15" s="1030">
        <f>ROUND(SUMIFS('REVIEW - Complete Role Mapping'!$P$2:$P$700,'REVIEW - Complete Role Mapping'!$AH$2:$AH$700,$C$3,'REVIEW - Complete Role Mapping'!$AL$2:$AL$700,$B15),2)</f>
        <v>1</v>
      </c>
      <c r="H15" s="1031">
        <f>COUNTIFS($D$45:$D$45,"Filled")</f>
        <v>0</v>
      </c>
      <c r="I15" s="1031">
        <f>COUNTIFS($D$45:$D$45,"Vacant")</f>
        <v>1</v>
      </c>
      <c r="J15" s="1031">
        <f>COUNTIFS($D$45:$D$45,"Vacant",$E$45:$E$45,"Hire")</f>
        <v>1</v>
      </c>
      <c r="K15" s="1031">
        <f>COUNTIFS($E$45:$E$45,"Offshore")</f>
        <v>0</v>
      </c>
      <c r="L15" s="1031">
        <f>COUNTIFS($E$45:$E$45,"Hold")</f>
        <v>0</v>
      </c>
      <c r="M15" s="1031">
        <f>$F15-$L15</f>
        <v>1</v>
      </c>
      <c r="N15" s="1032">
        <f>'0.2 Data Config'!$N$14*(N('1.5 P&amp;C'!$F$7)/'0.2 Data Config'!$N$16)</f>
        <v>0.084</v>
      </c>
      <c r="O15" s="1032">
        <f>SUMIFS('REVIEW - Complete Role Mapping'!$AE$2:$AE$700,'REVIEW - Complete Role Mapping'!$AH$2:$AH$700,$C$3,'REVIEW - Complete Role Mapping'!$AL$2:$AL$700,$B15)/1000000</f>
        <v>0.27581025</v>
      </c>
      <c r="P15" s="1032">
        <f>IFERROR(IF(ISNUMBER(INDEX(Lists!$AW$2:$AW$10,MATCH($B15,Lists!$AU$2:$AU$10,0))),INDEX(Lists!$AW$2:$AW$10,MATCH($B15,Lists!$AU$2:$AU$10,0)),SUMIFS('REVIEW - Complete Role Mapping'!$AE$2:$AE$700,'REVIEW - Complete Role Mapping'!$AH$2:$AH$700,$C$3,'REVIEW - Complete Role Mapping'!$AL$2:$AL$700,$B15,'REVIEW - Complete Role Mapping'!$AM$2:$AM$700,1)/1000000),SUMIFS('REVIEW - Complete Role Mapping'!$AE$2:$AE$700,'REVIEW - Complete Role Mapping'!$AH$2:$AH$700,$C$3,'REVIEW - Complete Role Mapping'!$AL$2:$AL$700,$B15,'REVIEW - Complete Role Mapping'!$AM$2:$AM$700,1)/1000000)</f>
        <v>0</v>
      </c>
      <c r="Q15" s="1032">
        <f>$O15-$P15</f>
        <v>0.27581025</v>
      </c>
      <c r="R15" s="1032">
        <f>ROUND(IF(COUNTIF(Lists!$AU$2:$AU$10,$B15),$O15,$Q15)-$N15,6)</f>
        <v>0.19181</v>
      </c>
      <c r="S15" s="1032">
        <f>SUM($G$45:$G$45)/1000000</f>
        <v>0.27581025</v>
      </c>
      <c r="T15" s="1032">
        <f>ROUND($S15-$N15,6)</f>
        <v>0.19181</v>
      </c>
    </row>
    <row r="16" ht="14.25" customHeight="1" s="535">
      <c r="B16" s="929" t="inlineStr">
        <is>
          <t>Technology Manager</t>
        </is>
      </c>
      <c r="C16" s="929">
        <f>""</f>
        <v/>
      </c>
      <c r="D16" s="929">
        <f>""</f>
        <v/>
      </c>
      <c r="E16" s="1030">
        <f>'0.2 Data Config'!$M$15*(N('1.5 P&amp;C'!$F$7)/'0.2 Data Config'!$N$16)</f>
        <v>0.3</v>
      </c>
      <c r="F16" s="1031">
        <f>COUNTIF($B$47:$B$47,"?*")</f>
        <v>1</v>
      </c>
      <c r="G16" s="1030">
        <f>ROUND(SUMIFS('REVIEW - Complete Role Mapping'!$P$2:$P$700,'REVIEW - Complete Role Mapping'!$AH$2:$AH$700,$C$3,'REVIEW - Complete Role Mapping'!$AL$2:$AL$700,$B16),2)</f>
        <v>1</v>
      </c>
      <c r="H16" s="1031">
        <f>COUNTIFS($D$47:$D$47,"Filled")</f>
        <v>1</v>
      </c>
      <c r="I16" s="1031">
        <f>COUNTIFS($D$47:$D$47,"Vacant")</f>
        <v>0</v>
      </c>
      <c r="J16" s="1031">
        <f>COUNTIFS($D$47:$D$47,"Vacant",$E$47:$E$47,"Hire")</f>
        <v>0</v>
      </c>
      <c r="K16" s="1031">
        <f>COUNTIFS($E$47:$E$47,"Offshore")</f>
        <v>0</v>
      </c>
      <c r="L16" s="1031">
        <f>COUNTIFS($E$47:$E$47,"Hold")</f>
        <v>0</v>
      </c>
      <c r="M16" s="1031">
        <f>$F16-$L16</f>
        <v>1</v>
      </c>
      <c r="N16" s="1032">
        <f>'0.2 Data Config'!$N$15*(N('1.5 P&amp;C'!$F$7)/'0.2 Data Config'!$N$16)</f>
        <v>0.081</v>
      </c>
      <c r="O16" s="1032">
        <f>SUMIFS('REVIEW - Complete Role Mapping'!$AE$2:$AE$700,'REVIEW - Complete Role Mapping'!$AH$2:$AH$700,$C$3,'REVIEW - Complete Role Mapping'!$AL$2:$AL$700,$B16)/1000000</f>
        <v>0.2963656</v>
      </c>
      <c r="P16" s="1032">
        <f>IFERROR(IF(ISNUMBER(INDEX(Lists!$AW$2:$AW$10,MATCH($B16,Lists!$AU$2:$AU$10,0))),INDEX(Lists!$AW$2:$AW$10,MATCH($B16,Lists!$AU$2:$AU$10,0)),SUMIFS('REVIEW - Complete Role Mapping'!$AE$2:$AE$700,'REVIEW - Complete Role Mapping'!$AH$2:$AH$700,$C$3,'REVIEW - Complete Role Mapping'!$AL$2:$AL$700,$B16,'REVIEW - Complete Role Mapping'!$AM$2:$AM$700,1)/1000000),SUMIFS('REVIEW - Complete Role Mapping'!$AE$2:$AE$700,'REVIEW - Complete Role Mapping'!$AH$2:$AH$700,$C$3,'REVIEW - Complete Role Mapping'!$AL$2:$AL$700,$B16,'REVIEW - Complete Role Mapping'!$AM$2:$AM$700,1)/1000000)</f>
        <v>0</v>
      </c>
      <c r="Q16" s="1032">
        <f>$O16-$P16</f>
        <v>0.2963656</v>
      </c>
      <c r="R16" s="1032">
        <f>ROUND(IF(COUNTIF(Lists!$AU$2:$AU$10,$B16),$O16,$Q16)-$N16,6)</f>
        <v>0.215366</v>
      </c>
      <c r="S16" s="1032">
        <f>SUM($G$47:$G$47)/1000000</f>
        <v>0.2963656</v>
      </c>
      <c r="T16" s="1032">
        <f>ROUND($S16-$N16,6)</f>
        <v>0.215366</v>
      </c>
    </row>
    <row r="17" ht="14.25" customHeight="1" s="535">
      <c r="B17" s="1033" t="inlineStr">
        <is>
          <t>Overhead roles total</t>
        </is>
      </c>
      <c r="C17" s="1033" t="n"/>
      <c r="D17" s="1033" t="n"/>
      <c r="E17" s="1034">
        <f>SUM(E14:E16)</f>
        <v>1.1</v>
      </c>
      <c r="F17" s="1035">
        <f>SUM(F14:F16)</f>
        <v>3</v>
      </c>
      <c r="G17" s="1034">
        <f>SUM(G14:G16)</f>
        <v>3</v>
      </c>
      <c r="H17" s="1035">
        <f>SUM(H14:H16)</f>
        <v>2</v>
      </c>
      <c r="I17" s="1035">
        <f>SUM(I14:I16)</f>
        <v>1</v>
      </c>
      <c r="J17" s="1035">
        <f>SUM(J14:J16)</f>
        <v>1</v>
      </c>
      <c r="K17" s="1035">
        <f>SUM(K14:K16)</f>
        <v>0</v>
      </c>
      <c r="L17" s="1035">
        <f>SUM(L14:L16)</f>
        <v>0</v>
      </c>
      <c r="M17" s="1035">
        <f>SUM(M14:M16)</f>
        <v>3</v>
      </c>
      <c r="N17" s="1036">
        <f>IF(COUNT(N14:N16)=0,"",SUM(N14:N16))</f>
        <v>0.3025</v>
      </c>
      <c r="O17" s="1036">
        <f>SUM(O14:O16)</f>
        <v>0.93642515</v>
      </c>
      <c r="P17" s="1036">
        <f>SUM(P14:P16)</f>
        <v>0</v>
      </c>
      <c r="Q17" s="1036">
        <f>SUM(Q14:Q16)</f>
        <v>0.93642515</v>
      </c>
      <c r="R17" s="1036">
        <f>IF(COUNT(N14:N16)=3,ROUND($O17-$N17,6),"")</f>
        <v>0.633925</v>
      </c>
      <c r="S17" s="1036">
        <f>SUM(S14:S16)</f>
        <v>0.93642515</v>
      </c>
      <c r="T17" s="1036">
        <f>IF(COUNT(N14:N16)=3,ROUND($S17-$N17,6),"")</f>
        <v>0.633925</v>
      </c>
    </row>
    <row r="18" ht="14.25" customHeight="1" s="535">
      <c r="B18" s="1037" t="inlineStr">
        <is>
          <t>Portfolio overhead roles (Business Partner, Domain Architect, Leadership) (Required to show archetype FTE)</t>
        </is>
      </c>
      <c r="D18" s="1038">
        <f>""</f>
        <v/>
      </c>
      <c r="E18" s="1030">
        <f>ROUND(SUM('0.2 Data Config'!$M$6:$M$9)*(N('1.5 P&amp;C'!$F$6)/'0.2 Data Config'!$N$10)-(N($E14)),6)</f>
        <v>1.3</v>
      </c>
      <c r="F18" s="1038">
        <f>""</f>
        <v/>
      </c>
      <c r="G18" s="1038">
        <f>""</f>
        <v/>
      </c>
      <c r="H18" s="1038">
        <f>""</f>
        <v/>
      </c>
      <c r="I18" s="1038">
        <f>""</f>
        <v/>
      </c>
      <c r="J18" s="1038">
        <f>""</f>
        <v/>
      </c>
      <c r="K18" s="1038">
        <f>""</f>
        <v/>
      </c>
      <c r="L18" s="1038">
        <f>""</f>
        <v/>
      </c>
      <c r="M18" s="1038">
        <f>""</f>
        <v/>
      </c>
      <c r="N18" s="1032">
        <f>ROUND(N('1.5 P&amp;C'!$F$6)-(N($N14)),6)</f>
        <v>0.66</v>
      </c>
      <c r="O18" s="1038">
        <f>""</f>
        <v/>
      </c>
      <c r="P18" s="1038">
        <f>""</f>
        <v/>
      </c>
      <c r="Q18" s="1038">
        <f>""</f>
        <v/>
      </c>
      <c r="R18" s="1038">
        <f>""</f>
        <v/>
      </c>
      <c r="S18" s="1038">
        <f>""</f>
        <v/>
      </c>
      <c r="T18" s="1038">
        <f>""</f>
        <v/>
      </c>
    </row>
    <row r="19" ht="14.25" customHeight="1" s="535">
      <c r="B19" s="1037" t="inlineStr">
        <is>
          <t>Business Partners and Domain Architects sit in the COEs</t>
        </is>
      </c>
    </row>
    <row r="20" ht="14.25" customHeight="1" s="535">
      <c r="B20" s="886" t="inlineStr">
        <is>
          <t>Total portfolio</t>
        </is>
      </c>
      <c r="C20" s="886" t="n"/>
      <c r="D20" s="886" t="n"/>
      <c r="E20" s="888">
        <f>SUM(E8:E9,E12:E12,E14:E16,E18:E18)</f>
        <v>17.4</v>
      </c>
      <c r="F20" s="1039">
        <f>SUM(F8:F9,F12:F12,F14:F16,F18:F18)</f>
        <v>17</v>
      </c>
      <c r="G20" s="888">
        <f>SUM(G8:G9,G12:G12,G14:G16,G18:G18)</f>
        <v>17</v>
      </c>
      <c r="H20" s="1039">
        <f>SUM(H8:H9,H12:H12,H14:H16,H18:H18)</f>
        <v>8</v>
      </c>
      <c r="I20" s="1039">
        <f>SUM(I8:I9,I12:I12,I14:I16,I18:I18)</f>
        <v>9</v>
      </c>
      <c r="J20" s="1039">
        <f>SUM(J8:J9,J12:J12,J14:J16,J18:J18)</f>
        <v>7</v>
      </c>
      <c r="K20" s="1039">
        <f>SUM(K8:K9,K12:K12,K14:K16,K18:K18)</f>
        <v>2</v>
      </c>
      <c r="L20" s="1039">
        <f>SUM(L8:L9,L12:L12,L14:L16,L18:L18)</f>
        <v>0</v>
      </c>
      <c r="M20" s="1039">
        <f>SUM(M8:M9,M12:M12,M14:M16,M18:M18)</f>
        <v>17</v>
      </c>
      <c r="N20" s="889">
        <f>IF(COUNT(N8:N9,N12:N12,N14:N16,N18:N18)=0,"",SUM(N8:N9,N12:N12,N14:N16,N18:N18))</f>
        <v>4.701465</v>
      </c>
      <c r="O20" s="889">
        <f>SUM(O8:O9,O12:O12,O14:O16,O18:O18)</f>
        <v>3.92749623</v>
      </c>
      <c r="P20" s="889">
        <f>SUM(P8:P9,P12:P12,P14:P16,P18:P18)</f>
        <v>0.238965</v>
      </c>
      <c r="Q20" s="889">
        <f>SUM(Q8:Q9,Q12:Q12,Q14:Q16,Q18:Q18)</f>
        <v>3.68853123</v>
      </c>
      <c r="R20" s="889">
        <f>IF(ISNUMBER($N20),ROUND($O20-$N20,6),"")</f>
        <v>-0.773969</v>
      </c>
      <c r="S20" s="889">
        <f>SUM(S8:S9,S12:S12,S14:S16,S18:S18)</f>
        <v>3.72290853</v>
      </c>
      <c r="T20" s="889">
        <f>IF(ISNUMBER($N20),ROUND($S20-$N20,6),"")</f>
        <v>-0.978556</v>
      </c>
    </row>
    <row r="21"/>
    <row r="22"/>
    <row r="23" ht="18.75" customHeight="1" s="535">
      <c r="B23" s="537" t="inlineStr">
        <is>
          <t>P&amp;C FTE</t>
        </is>
      </c>
      <c r="C23" s="538" t="n"/>
      <c r="D23" s="538" t="n"/>
      <c r="E23" s="538" t="n"/>
      <c r="F23" s="538" t="n"/>
      <c r="G23" s="538" t="n"/>
      <c r="H23" s="929" t="inlineStr">
        <is>
          <t>Vacancy lever: Hire prices the role in full, Hold prices it at 0, Offshore at the Offshore rate set on 0.3 Squad Archetypes.</t>
        </is>
      </c>
    </row>
    <row r="24" ht="33.75" customHeight="1" s="535">
      <c r="A24" s="1040" t="inlineStr">
        <is>
          <t>ID</t>
        </is>
      </c>
      <c r="B24" s="877" t="inlineStr">
        <is>
          <t>Name</t>
        </is>
      </c>
      <c r="C24" s="877" t="inlineStr">
        <is>
          <t>Role</t>
        </is>
      </c>
      <c r="D24" s="877" t="inlineStr">
        <is>
          <t>Status</t>
        </is>
      </c>
      <c r="E24" s="877" t="inlineStr">
        <is>
          <t>Vacancy lever</t>
        </is>
      </c>
      <c r="F24" s="877" t="inlineStr">
        <is>
          <t>Role cost ($)</t>
        </is>
      </c>
      <c r="G24" s="877" t="inlineStr">
        <is>
          <t>Cost after lever ($)</t>
        </is>
      </c>
    </row>
    <row r="25" ht="14.25" customHeight="1" s="535">
      <c r="B25" s="1029" t="inlineStr">
        <is>
          <t>EGI P&amp;C</t>
        </is>
      </c>
      <c r="C25" s="1029" t="str">
        <f>COUNTIF($B$26:$B$26,"?*")&amp;IF(COUNTIF($B$26:$B$26,"?*")=1," role"," roles")</f>
        <v>1 role</v>
      </c>
      <c r="D25" s="1029" t="n"/>
      <c r="E25" s="1029" t="n"/>
      <c r="F25" s="1044">
        <f>SUM(F26:F26)</f>
        <v>238965</v>
      </c>
      <c r="G25" s="1044">
        <f>SUM(G26:G26)</f>
        <v>238965</v>
      </c>
    </row>
    <row r="26" ht="14.25" customHeight="1" s="535">
      <c r="A26" s="1045" t="inlineStr">
        <is>
          <t>R0230</t>
        </is>
      </c>
      <c r="B26" s="929" t="str">
        <f>INDEX('REVIEW - Complete Role Mapping'!$B$2:$B$700,MATCH($A26,'REVIEW - Complete Role Mapping'!$AQ$2:$AQ$700,0))</f>
        <v>Vikram Chhahira</v>
      </c>
      <c r="C26" s="929" t="str">
        <f>INDEX('REVIEW - Complete Role Mapping'!$D$2:$D$700,MATCH($A26,'REVIEW - Complete Role Mapping'!$AQ$2:$AQ$700,0))</f>
        <v>Delivery Lead, EGI</v>
      </c>
      <c r="D26" s="929" t="str">
        <f>INDEX('REVIEW - Complete Role Mapping'!$AF$2:$AF$700,MATCH($A26,'REVIEW - Complete Role Mapping'!$AQ$2:$AQ$700,0))</f>
        <v>Filled</v>
      </c>
      <c r="E26" s="543" t="inlineStr">
        <is>
          <t>Filled</t>
        </is>
      </c>
      <c r="F26" s="1031">
        <f>INDEX('REVIEW - Complete Role Mapping'!$AE$2:$AE$700,MATCH($A26,'REVIEW - Complete Role Mapping'!$AQ$2:$AQ$700,0))</f>
        <v>238965</v>
      </c>
      <c r="G26" s="1031">
        <f>$F26*IF(ISNUMBER(SEARCH("WIPRO",INDEX('REVIEW - Complete Role Mapping'!$R$2:$R$700,MATCH($A26,'REVIEW - Complete Role Mapping'!$AQ$2:$AQ$700,0)))),1,IFERROR(INDEX(Lists!$AD$2:$AD$5,MATCH($E26,Lists!$AC$2:$AC$5,0)),NA()))</f>
        <v>238965</v>
      </c>
    </row>
    <row r="27" ht="14.25" customHeight="1" s="535">
      <c r="B27" s="1029" t="inlineStr">
        <is>
          <t>P&amp;C</t>
        </is>
      </c>
      <c r="C27" s="1029" t="str">
        <f>COUNTIF($B$28:$B$35,"?*")&amp;IF(COUNTIF($B$28:$B$35,"?*")=1," role"," roles")</f>
        <v>8 roles</v>
      </c>
      <c r="D27" s="1029" t="n"/>
      <c r="E27" s="1029" t="n"/>
      <c r="F27" s="1044">
        <f>SUM(F28:F35)</f>
        <v>1765517.93</v>
      </c>
      <c r="G27" s="1044">
        <f>SUM(G28:G35)</f>
        <v>1663224.08</v>
      </c>
    </row>
    <row r="28" ht="14.25" customHeight="1" s="535">
      <c r="A28" s="1045" t="inlineStr">
        <is>
          <t>R0153</t>
        </is>
      </c>
      <c r="B28" s="929" t="str">
        <f>INDEX('REVIEW - Complete Role Mapping'!$B$2:$B$700,MATCH($A28,'REVIEW - Complete Role Mapping'!$AQ$2:$AQ$700,0))</f>
        <v>Grace Hadiwijaya</v>
      </c>
      <c r="C28" s="929" t="str">
        <f>INDEX('REVIEW - Complete Role Mapping'!$D$2:$D$700,MATCH($A28,'REVIEW - Complete Role Mapping'!$AQ$2:$AQ$700,0))</f>
        <v>Lead P&amp;C Platforms</v>
      </c>
      <c r="D28" s="929" t="str">
        <f>INDEX('REVIEW - Complete Role Mapping'!$AF$2:$AF$700,MATCH($A28,'REVIEW - Complete Role Mapping'!$AQ$2:$AQ$700,0))</f>
        <v>Filled</v>
      </c>
      <c r="E28" s="543" t="inlineStr">
        <is>
          <t>Filled</t>
        </is>
      </c>
      <c r="F28" s="1031">
        <f>INDEX('REVIEW - Complete Role Mapping'!$AE$2:$AE$700,MATCH($A28,'REVIEW - Complete Role Mapping'!$AQ$2:$AQ$700,0))</f>
        <v>237963.75</v>
      </c>
      <c r="G28" s="1031">
        <f>$F28*IF(ISNUMBER(SEARCH("WIPRO",INDEX('REVIEW - Complete Role Mapping'!$R$2:$R$700,MATCH($A28,'REVIEW - Complete Role Mapping'!$AQ$2:$AQ$700,0)))),1,IFERROR(INDEX(Lists!$AD$2:$AD$5,MATCH($E28,Lists!$AC$2:$AC$5,0)),NA()))</f>
        <v>237963.75</v>
      </c>
    </row>
    <row r="29" ht="14.25" customHeight="1" s="535">
      <c r="A29" s="1045" t="inlineStr">
        <is>
          <t>R0154</t>
        </is>
      </c>
      <c r="B29" s="929" t="str">
        <f>INDEX('REVIEW - Complete Role Mapping'!$B$2:$B$700,MATCH($A29,'REVIEW - Complete Role Mapping'!$AQ$2:$AQ$700,0))</f>
        <v>Maadhu Suresh</v>
      </c>
      <c r="C29" s="929" t="str">
        <f>INDEX('REVIEW - Complete Role Mapping'!$D$2:$D$700,MATCH($A29,'REVIEW - Complete Role Mapping'!$AQ$2:$AQ$700,0))</f>
        <v>Solution Architect</v>
      </c>
      <c r="D29" s="929" t="str">
        <f>INDEX('REVIEW - Complete Role Mapping'!$AF$2:$AF$700,MATCH($A29,'REVIEW - Complete Role Mapping'!$AQ$2:$AQ$700,0))</f>
        <v>Filled</v>
      </c>
      <c r="E29" s="543" t="inlineStr">
        <is>
          <t>Filled</t>
        </is>
      </c>
      <c r="F29" s="1031">
        <f>INDEX('REVIEW - Complete Role Mapping'!$AE$2:$AE$700,MATCH($A29,'REVIEW - Complete Role Mapping'!$AQ$2:$AQ$700,0))</f>
        <v>272340</v>
      </c>
      <c r="G29" s="1031">
        <f>$F29*IF(ISNUMBER(SEARCH("WIPRO",INDEX('REVIEW - Complete Role Mapping'!$R$2:$R$700,MATCH($A29,'REVIEW - Complete Role Mapping'!$AQ$2:$AQ$700,0)))),1,IFERROR(INDEX(Lists!$AD$2:$AD$5,MATCH($E29,Lists!$AC$2:$AC$5,0)),NA()))</f>
        <v>272340</v>
      </c>
    </row>
    <row r="30" ht="14.25" customHeight="1" s="535">
      <c r="A30" s="1045" t="inlineStr">
        <is>
          <t>R0155</t>
        </is>
      </c>
      <c r="B30" s="929" t="str">
        <f>INDEX('REVIEW - Complete Role Mapping'!$B$2:$B$700,MATCH($A30,'REVIEW - Complete Role Mapping'!$AQ$2:$AQ$700,0))</f>
        <v>Prerna Sharma</v>
      </c>
      <c r="C30" s="929" t="str">
        <f>INDEX('REVIEW - Complete Role Mapping'!$D$2:$D$700,MATCH($A30,'REVIEW - Complete Role Mapping'!$AQ$2:$AQ$700,0))</f>
        <v>SAP HR Specialist</v>
      </c>
      <c r="D30" s="929" t="str">
        <f>INDEX('REVIEW - Complete Role Mapping'!$AF$2:$AF$700,MATCH($A30,'REVIEW - Complete Role Mapping'!$AQ$2:$AQ$700,0))</f>
        <v>Filled</v>
      </c>
      <c r="E30" s="543" t="inlineStr">
        <is>
          <t>Filled</t>
        </is>
      </c>
      <c r="F30" s="1031">
        <f>INDEX('REVIEW - Complete Role Mapping'!$AE$2:$AE$700,MATCH($A30,'REVIEW - Complete Role Mapping'!$AQ$2:$AQ$700,0))</f>
        <v>234172.35</v>
      </c>
      <c r="G30" s="1031">
        <f>$F30*IF(ISNUMBER(SEARCH("WIPRO",INDEX('REVIEW - Complete Role Mapping'!$R$2:$R$700,MATCH($A30,'REVIEW - Complete Role Mapping'!$AQ$2:$AQ$700,0)))),1,IFERROR(INDEX(Lists!$AD$2:$AD$5,MATCH($E30,Lists!$AC$2:$AC$5,0)),NA()))</f>
        <v>234172.35</v>
      </c>
    </row>
    <row r="31" ht="14.25" customHeight="1" s="535">
      <c r="A31" s="1045" t="inlineStr">
        <is>
          <t>R0225</t>
        </is>
      </c>
      <c r="B31" s="929" t="str">
        <f>INDEX('REVIEW - Complete Role Mapping'!$B$2:$B$700,MATCH($A31,'REVIEW - Complete Role Mapping'!$AQ$2:$AQ$700,0))</f>
        <v>Michael Pollock</v>
      </c>
      <c r="C31" s="929" t="str">
        <f>INDEX('REVIEW - Complete Role Mapping'!$D$2:$D$700,MATCH($A31,'REVIEW - Complete Role Mapping'!$AQ$2:$AQ$700,0))</f>
        <v>Lead Business Analyst</v>
      </c>
      <c r="D31" s="929" t="str">
        <f>INDEX('REVIEW - Complete Role Mapping'!$AF$2:$AF$700,MATCH($A31,'REVIEW - Complete Role Mapping'!$AQ$2:$AQ$700,0))</f>
        <v>Filled</v>
      </c>
      <c r="E31" s="543" t="inlineStr">
        <is>
          <t>Filled</t>
        </is>
      </c>
      <c r="F31" s="1031">
        <f>INDEX('REVIEW - Complete Role Mapping'!$AE$2:$AE$700,MATCH($A31,'REVIEW - Complete Role Mapping'!$AQ$2:$AQ$700,0))</f>
        <v>193358.28</v>
      </c>
      <c r="G31" s="1031">
        <f>$F31*IF(ISNUMBER(SEARCH("WIPRO",INDEX('REVIEW - Complete Role Mapping'!$R$2:$R$700,MATCH($A31,'REVIEW - Complete Role Mapping'!$AQ$2:$AQ$700,0)))),1,IFERROR(INDEX(Lists!$AD$2:$AD$5,MATCH($E31,Lists!$AC$2:$AC$5,0)),NA()))</f>
        <v>193358.28</v>
      </c>
    </row>
    <row r="32" ht="14.25" customHeight="1" s="535">
      <c r="A32" s="1045" t="inlineStr">
        <is>
          <t>R0226</t>
        </is>
      </c>
      <c r="B32" s="929" t="str">
        <f>INDEX('REVIEW - Complete Role Mapping'!$B$2:$B$700,MATCH($A32,'REVIEW - Complete Role Mapping'!$AQ$2:$AQ$700,0))</f>
        <v>Thai Pung</v>
      </c>
      <c r="C32" s="929" t="str">
        <f>INDEX('REVIEW - Complete Role Mapping'!$D$2:$D$700,MATCH($A32,'REVIEW - Complete Role Mapping'!$AQ$2:$AQ$700,0))</f>
        <v>Delivery Lead - (P&amp;C)</v>
      </c>
      <c r="D32" s="929" t="str">
        <f>INDEX('REVIEW - Complete Role Mapping'!$AF$2:$AF$700,MATCH($A32,'REVIEW - Complete Role Mapping'!$AQ$2:$AQ$700,0))</f>
        <v>Filled</v>
      </c>
      <c r="E32" s="543" t="inlineStr">
        <is>
          <t>Filled</t>
        </is>
      </c>
      <c r="F32" s="1031">
        <f>INDEX('REVIEW - Complete Role Mapping'!$AE$2:$AE$700,MATCH($A32,'REVIEW - Complete Role Mapping'!$AQ$2:$AQ$700,0))</f>
        <v>251487.3</v>
      </c>
      <c r="G32" s="1031">
        <f>$F32*IF(ISNUMBER(SEARCH("WIPRO",INDEX('REVIEW - Complete Role Mapping'!$R$2:$R$700,MATCH($A32,'REVIEW - Complete Role Mapping'!$AQ$2:$AQ$700,0)))),1,IFERROR(INDEX(Lists!$AD$2:$AD$5,MATCH($E32,Lists!$AC$2:$AC$5,0)),NA()))</f>
        <v>251487.3</v>
      </c>
    </row>
    <row r="33" ht="14.25" customHeight="1" s="535">
      <c r="A33" s="1045" t="inlineStr">
        <is>
          <t>R0289</t>
        </is>
      </c>
      <c r="B33" s="929" t="str">
        <f>INDEX('REVIEW - Complete Role Mapping'!$B$2:$B$700,MATCH($A33,'REVIEW - Complete Role Mapping'!$AQ$2:$AQ$700,0))</f>
        <v>Vacant</v>
      </c>
      <c r="C33" s="929" t="str">
        <f>INDEX('REVIEW - Complete Role Mapping'!$D$2:$D$700,MATCH($A33,'REVIEW - Complete Role Mapping'!$AQ$2:$AQ$700,0))</f>
        <v>Engineer</v>
      </c>
      <c r="D33" s="929" t="str">
        <f>INDEX('REVIEW - Complete Role Mapping'!$AF$2:$AF$700,MATCH($A33,'REVIEW - Complete Role Mapping'!$AQ$2:$AQ$700,0))</f>
        <v>Vacant</v>
      </c>
      <c r="E33" s="543" t="inlineStr">
        <is>
          <t>Hire</t>
        </is>
      </c>
      <c r="F33" s="1031">
        <f>INDEX('REVIEW - Complete Role Mapping'!$AE$2:$AE$700,MATCH($A33,'REVIEW - Complete Role Mapping'!$AQ$2:$AQ$700,0))</f>
        <v>202853.25</v>
      </c>
      <c r="G33" s="1031">
        <f>$F33*IF(ISNUMBER(SEARCH("WIPRO",INDEX('REVIEW - Complete Role Mapping'!$R$2:$R$700,MATCH($A33,'REVIEW - Complete Role Mapping'!$AQ$2:$AQ$700,0)))),1,IFERROR(INDEX(Lists!$AD$2:$AD$5,MATCH($E33,Lists!$AC$2:$AC$5,0)),NA()))</f>
        <v>202853.25</v>
      </c>
    </row>
    <row r="34" ht="14.25" customHeight="1" s="535">
      <c r="A34" s="1045" t="inlineStr">
        <is>
          <t>R0290</t>
        </is>
      </c>
      <c r="B34" s="929" t="str">
        <f>INDEX('REVIEW - Complete Role Mapping'!$B$2:$B$700,MATCH($A34,'REVIEW - Complete Role Mapping'!$AQ$2:$AQ$700,0))</f>
        <v>Vacant</v>
      </c>
      <c r="C34" s="929" t="str">
        <f>INDEX('REVIEW - Complete Role Mapping'!$D$2:$D$700,MATCH($A34,'REVIEW - Complete Role Mapping'!$AQ$2:$AQ$700,0))</f>
        <v>Engineer</v>
      </c>
      <c r="D34" s="929" t="str">
        <f>INDEX('REVIEW - Complete Role Mapping'!$AF$2:$AF$700,MATCH($A34,'REVIEW - Complete Role Mapping'!$AQ$2:$AQ$700,0))</f>
        <v>Vacant</v>
      </c>
      <c r="E34" s="543" t="inlineStr">
        <is>
          <t>Hire</t>
        </is>
      </c>
      <c r="F34" s="1031">
        <f>INDEX('REVIEW - Complete Role Mapping'!$AE$2:$AE$700,MATCH($A34,'REVIEW - Complete Role Mapping'!$AQ$2:$AQ$700,0))</f>
        <v>202853.25</v>
      </c>
      <c r="G34" s="1031">
        <f>$F34*IF(ISNUMBER(SEARCH("WIPRO",INDEX('REVIEW - Complete Role Mapping'!$R$2:$R$700,MATCH($A34,'REVIEW - Complete Role Mapping'!$AQ$2:$AQ$700,0)))),1,IFERROR(INDEX(Lists!$AD$2:$AD$5,MATCH($E34,Lists!$AC$2:$AC$5,0)),NA()))</f>
        <v>202853.25</v>
      </c>
    </row>
    <row r="35" ht="14.25" customHeight="1" s="535">
      <c r="A35" s="1045" t="inlineStr">
        <is>
          <t>R0424</t>
        </is>
      </c>
      <c r="B35" s="929" t="str">
        <f>INDEX('REVIEW - Complete Role Mapping'!$B$2:$B$700,MATCH($A35,'REVIEW - Complete Role Mapping'!$AQ$2:$AQ$700,0))</f>
        <v>Vacant</v>
      </c>
      <c r="C35" s="929" t="str">
        <f>INDEX('REVIEW - Complete Role Mapping'!$D$2:$D$700,MATCH($A35,'REVIEW - Complete Role Mapping'!$AQ$2:$AQ$700,0))</f>
        <v>Quality Assurance</v>
      </c>
      <c r="D35" s="929" t="str">
        <f>INDEX('REVIEW - Complete Role Mapping'!$AF$2:$AF$700,MATCH($A35,'REVIEW - Complete Role Mapping'!$AQ$2:$AQ$700,0))</f>
        <v>Vacant</v>
      </c>
      <c r="E35" s="543" t="inlineStr">
        <is>
          <t>Offshore</t>
        </is>
      </c>
      <c r="F35" s="1031">
        <f>INDEX('REVIEW - Complete Role Mapping'!$AE$2:$AE$700,MATCH($A35,'REVIEW - Complete Role Mapping'!$AQ$2:$AQ$700,0))</f>
        <v>170489.75</v>
      </c>
      <c r="G35" s="1031">
        <f>$F35*IF(ISNUMBER(SEARCH("WIPRO",INDEX('REVIEW - Complete Role Mapping'!$R$2:$R$700,MATCH($A35,'REVIEW - Complete Role Mapping'!$AQ$2:$AQ$700,0)))),1,IFERROR(INDEX(Lists!$AD$2:$AD$5,MATCH($E35,Lists!$AC$2:$AC$5,0)),NA()))</f>
        <v>68195.9</v>
      </c>
    </row>
    <row r="36" ht="14.25" customHeight="1" s="535">
      <c r="B36" s="1029" t="inlineStr">
        <is>
          <t>P&amp;C RTA</t>
        </is>
      </c>
      <c r="C36" s="1029" t="str">
        <f>COUNTIF($B$37:$B$41,"?*")&amp;IF(COUNTIF($B$37:$B$41,"?*")=1," role"," roles")</f>
        <v>5 roles</v>
      </c>
      <c r="D36" s="1029" t="n"/>
      <c r="E36" s="1029" t="n"/>
      <c r="F36" s="1044">
        <f>SUM(F37:F41)</f>
        <v>986588.15</v>
      </c>
      <c r="G36" s="1044">
        <f>SUM(G37:G41)</f>
        <v>884294.3</v>
      </c>
    </row>
    <row r="37" ht="14.25" customHeight="1" s="535">
      <c r="A37" s="1045" t="inlineStr">
        <is>
          <t>R0228</t>
        </is>
      </c>
      <c r="B37" s="929" t="str">
        <f>INDEX('REVIEW - Complete Role Mapping'!$B$2:$B$700,MATCH($A37,'REVIEW - Complete Role Mapping'!$AQ$2:$AQ$700,0))</f>
        <v>Vacant</v>
      </c>
      <c r="C37" s="929" t="str">
        <f>INDEX('REVIEW - Complete Role Mapping'!$D$2:$D$700,MATCH($A37,'REVIEW - Complete Role Mapping'!$AQ$2:$AQ$700,0))</f>
        <v>Delivery Lead (RTA)</v>
      </c>
      <c r="D37" s="929" t="str">
        <f>INDEX('REVIEW - Complete Role Mapping'!$AF$2:$AF$700,MATCH($A37,'REVIEW - Complete Role Mapping'!$AQ$2:$AQ$700,0))</f>
        <v>Vacant</v>
      </c>
      <c r="E37" s="543" t="inlineStr">
        <is>
          <t>Hire</t>
        </is>
      </c>
      <c r="F37" s="1031">
        <f>INDEX('REVIEW - Complete Role Mapping'!$AE$2:$AE$700,MATCH($A37,'REVIEW - Complete Role Mapping'!$AQ$2:$AQ$700,0))</f>
        <v>231689.25</v>
      </c>
      <c r="G37" s="1031">
        <f>$F37*IF(ISNUMBER(SEARCH("WIPRO",INDEX('REVIEW - Complete Role Mapping'!$R$2:$R$700,MATCH($A37,'REVIEW - Complete Role Mapping'!$AQ$2:$AQ$700,0)))),1,IFERROR(INDEX(Lists!$AD$2:$AD$5,MATCH($E37,Lists!$AC$2:$AC$5,0)),NA()))</f>
        <v>231689.25</v>
      </c>
    </row>
    <row r="38" ht="14.25" customHeight="1" s="535">
      <c r="A38" s="1045" t="inlineStr">
        <is>
          <t>R0291</t>
        </is>
      </c>
      <c r="B38" s="929" t="str">
        <f>INDEX('REVIEW - Complete Role Mapping'!$B$2:$B$700,MATCH($A38,'REVIEW - Complete Role Mapping'!$AQ$2:$AQ$700,0))</f>
        <v>Vacant</v>
      </c>
      <c r="C38" s="929" t="str">
        <f>INDEX('REVIEW - Complete Role Mapping'!$D$2:$D$700,MATCH($A38,'REVIEW - Complete Role Mapping'!$AQ$2:$AQ$700,0))</f>
        <v>Engineer</v>
      </c>
      <c r="D38" s="929" t="str">
        <f>INDEX('REVIEW - Complete Role Mapping'!$AF$2:$AF$700,MATCH($A38,'REVIEW - Complete Role Mapping'!$AQ$2:$AQ$700,0))</f>
        <v>Vacant</v>
      </c>
      <c r="E38" s="543" t="inlineStr">
        <is>
          <t>Hire</t>
        </is>
      </c>
      <c r="F38" s="1031">
        <f>INDEX('REVIEW - Complete Role Mapping'!$AE$2:$AE$700,MATCH($A38,'REVIEW - Complete Role Mapping'!$AQ$2:$AQ$700,0))</f>
        <v>202853.25</v>
      </c>
      <c r="G38" s="1031">
        <f>$F38*IF(ISNUMBER(SEARCH("WIPRO",INDEX('REVIEW - Complete Role Mapping'!$R$2:$R$700,MATCH($A38,'REVIEW - Complete Role Mapping'!$AQ$2:$AQ$700,0)))),1,IFERROR(INDEX(Lists!$AD$2:$AD$5,MATCH($E38,Lists!$AC$2:$AC$5,0)),NA()))</f>
        <v>202853.25</v>
      </c>
    </row>
    <row r="39" ht="14.25" customHeight="1" s="535">
      <c r="A39" s="1045" t="inlineStr">
        <is>
          <t>R0379</t>
        </is>
      </c>
      <c r="B39" s="929" t="str">
        <f>INDEX('REVIEW - Complete Role Mapping'!$B$2:$B$700,MATCH($A39,'REVIEW - Complete Role Mapping'!$AQ$2:$AQ$700,0))</f>
        <v>Vacant</v>
      </c>
      <c r="C39" s="929" t="str">
        <f>INDEX('REVIEW - Complete Role Mapping'!$D$2:$D$700,MATCH($A39,'REVIEW - Complete Role Mapping'!$AQ$2:$AQ$700,0))</f>
        <v>Business Analyst (P&amp;C RTA)</v>
      </c>
      <c r="D39" s="929" t="str">
        <f>INDEX('REVIEW - Complete Role Mapping'!$AF$2:$AF$700,MATCH($A39,'REVIEW - Complete Role Mapping'!$AQ$2:$AQ$700,0))</f>
        <v>Vacant</v>
      </c>
      <c r="E39" s="543" t="inlineStr">
        <is>
          <t>Hire</t>
        </is>
      </c>
      <c r="F39" s="1031">
        <f>INDEX('REVIEW - Complete Role Mapping'!$AE$2:$AE$700,MATCH($A39,'REVIEW - Complete Role Mapping'!$AQ$2:$AQ$700,0))</f>
        <v>201585</v>
      </c>
      <c r="G39" s="1031">
        <f>$F39*IF(ISNUMBER(SEARCH("WIPRO",INDEX('REVIEW - Complete Role Mapping'!$R$2:$R$700,MATCH($A39,'REVIEW - Complete Role Mapping'!$AQ$2:$AQ$700,0)))),1,IFERROR(INDEX(Lists!$AD$2:$AD$5,MATCH($E39,Lists!$AC$2:$AC$5,0)),NA()))</f>
        <v>201585</v>
      </c>
    </row>
    <row r="40" ht="14.25" customHeight="1" s="535">
      <c r="A40" s="1045" t="inlineStr">
        <is>
          <t>R0425</t>
        </is>
      </c>
      <c r="B40" s="929" t="str">
        <f>INDEX('REVIEW - Complete Role Mapping'!$B$2:$B$700,MATCH($A40,'REVIEW - Complete Role Mapping'!$AQ$2:$AQ$700,0))</f>
        <v>Vacant</v>
      </c>
      <c r="C40" s="929" t="str">
        <f>INDEX('REVIEW - Complete Role Mapping'!$D$2:$D$700,MATCH($A40,'REVIEW - Complete Role Mapping'!$AQ$2:$AQ$700,0))</f>
        <v>Quality Assurance</v>
      </c>
      <c r="D40" s="929" t="str">
        <f>INDEX('REVIEW - Complete Role Mapping'!$AF$2:$AF$700,MATCH($A40,'REVIEW - Complete Role Mapping'!$AQ$2:$AQ$700,0))</f>
        <v>Vacant</v>
      </c>
      <c r="E40" s="543" t="inlineStr">
        <is>
          <t>Offshore</t>
        </is>
      </c>
      <c r="F40" s="1031">
        <f>INDEX('REVIEW - Complete Role Mapping'!$AE$2:$AE$700,MATCH($A40,'REVIEW - Complete Role Mapping'!$AQ$2:$AQ$700,0))</f>
        <v>170489.75</v>
      </c>
      <c r="G40" s="1031">
        <f>$F40*IF(ISNUMBER(SEARCH("WIPRO",INDEX('REVIEW - Complete Role Mapping'!$R$2:$R$700,MATCH($A40,'REVIEW - Complete Role Mapping'!$AQ$2:$AQ$700,0)))),1,IFERROR(INDEX(Lists!$AD$2:$AD$5,MATCH($E40,Lists!$AC$2:$AC$5,0)),NA()))</f>
        <v>68195.9</v>
      </c>
    </row>
    <row r="41" ht="14.25" customHeight="1" s="535">
      <c r="A41" s="1045" t="inlineStr">
        <is>
          <t>R0426</t>
        </is>
      </c>
      <c r="B41" s="929" t="str">
        <f>INDEX('REVIEW - Complete Role Mapping'!$B$2:$B$700,MATCH($A41,'REVIEW - Complete Role Mapping'!$AQ$2:$AQ$700,0))</f>
        <v>Vacant</v>
      </c>
      <c r="C41" s="929" t="str">
        <f>INDEX('REVIEW - Complete Role Mapping'!$D$2:$D$700,MATCH($A41,'REVIEW - Complete Role Mapping'!$AQ$2:$AQ$700,0))</f>
        <v>Systems Specialist</v>
      </c>
      <c r="D41" s="929" t="str">
        <f>INDEX('REVIEW - Complete Role Mapping'!$AF$2:$AF$700,MATCH($A41,'REVIEW - Complete Role Mapping'!$AQ$2:$AQ$700,0))</f>
        <v>Vacant</v>
      </c>
      <c r="E41" s="543" t="inlineStr">
        <is>
          <t>Hire</t>
        </is>
      </c>
      <c r="F41" s="1031">
        <f>INDEX('REVIEW - Complete Role Mapping'!$AE$2:$AE$700,MATCH($A41,'REVIEW - Complete Role Mapping'!$AQ$2:$AQ$700,0))</f>
        <v>179970.9</v>
      </c>
      <c r="G41" s="1031">
        <f>$F41*IF(ISNUMBER(SEARCH("WIPRO",INDEX('REVIEW - Complete Role Mapping'!$R$2:$R$700,MATCH($A41,'REVIEW - Complete Role Mapping'!$AQ$2:$AQ$700,0)))),1,IFERROR(INDEX(Lists!$AD$2:$AD$5,MATCH($E41,Lists!$AC$2:$AC$5,0)),NA()))</f>
        <v>179970.9</v>
      </c>
    </row>
    <row r="42" ht="14.25" customHeight="1" s="535">
      <c r="B42" s="1029" t="inlineStr">
        <is>
          <t>Head of Technology</t>
        </is>
      </c>
      <c r="C42" s="1029" t="str">
        <f>COUNTIF($B$43:$B$43,"?*")&amp;IF(COUNTIF($B$43:$B$43,"?*")=1," role"," roles")</f>
        <v>1 role</v>
      </c>
      <c r="D42" s="1029" t="n"/>
      <c r="E42" s="1029" t="n"/>
      <c r="F42" s="1044">
        <f>SUM(F43:F43)</f>
        <v>364249.3</v>
      </c>
      <c r="G42" s="1044">
        <f>SUM(G43:G43)</f>
        <v>364249.3</v>
      </c>
    </row>
    <row r="43" ht="14.25" customHeight="1" s="535">
      <c r="A43" s="1045" t="inlineStr">
        <is>
          <t>R0046</t>
        </is>
      </c>
      <c r="B43" s="929" t="str">
        <f>INDEX('REVIEW - Complete Role Mapping'!$B$2:$B$700,MATCH($A43,'REVIEW - Complete Role Mapping'!$AQ$2:$AQ$700,0))</f>
        <v>Vaso Vukovic</v>
      </c>
      <c r="C43" s="929" t="str">
        <f>INDEX('REVIEW - Complete Role Mapping'!$D$2:$D$700,MATCH($A43,'REVIEW - Complete Role Mapping'!$AQ$2:$AQ$700,0))</f>
        <v>Head of Technology - P&amp;C, Finance &amp; Legal</v>
      </c>
      <c r="D43" s="929" t="str">
        <f>INDEX('REVIEW - Complete Role Mapping'!$AF$2:$AF$700,MATCH($A43,'REVIEW - Complete Role Mapping'!$AQ$2:$AQ$700,0))</f>
        <v>Filled</v>
      </c>
      <c r="E43" s="543" t="inlineStr">
        <is>
          <t>Filled</t>
        </is>
      </c>
      <c r="F43" s="1031">
        <f>INDEX('REVIEW - Complete Role Mapping'!$AE$2:$AE$700,MATCH($A43,'REVIEW - Complete Role Mapping'!$AQ$2:$AQ$700,0))</f>
        <v>364249.3</v>
      </c>
      <c r="G43" s="1031">
        <f>$F43*IF(ISNUMBER(SEARCH("WIPRO",INDEX('REVIEW - Complete Role Mapping'!$R$2:$R$700,MATCH($A43,'REVIEW - Complete Role Mapping'!$AQ$2:$AQ$700,0)))),1,IFERROR(INDEX(Lists!$AD$2:$AD$5,MATCH($E43,Lists!$AC$2:$AC$5,0)),NA()))</f>
        <v>364249.3</v>
      </c>
    </row>
    <row r="44" ht="14.25" customHeight="1" s="535">
      <c r="B44" s="1029" t="inlineStr">
        <is>
          <t>Delivery Manager</t>
        </is>
      </c>
      <c r="C44" s="1029" t="str">
        <f>COUNTIF($B$45:$B$45,"?*")&amp;IF(COUNTIF($B$45:$B$45,"?*")=1," role"," roles")</f>
        <v>1 role</v>
      </c>
      <c r="D44" s="1029" t="n"/>
      <c r="E44" s="1029" t="n"/>
      <c r="F44" s="1044">
        <f>SUM(F45:F45)</f>
        <v>275810.25</v>
      </c>
      <c r="G44" s="1044">
        <f>SUM(G45:G45)</f>
        <v>275810.25</v>
      </c>
    </row>
    <row r="45" ht="14.25" customHeight="1" s="535">
      <c r="A45" s="1045" t="inlineStr">
        <is>
          <t>R0124</t>
        </is>
      </c>
      <c r="B45" s="929" t="str">
        <f>INDEX('REVIEW - Complete Role Mapping'!$B$2:$B$700,MATCH($A45,'REVIEW - Complete Role Mapping'!$AQ$2:$AQ$700,0))</f>
        <v>Vacant</v>
      </c>
      <c r="C45" s="929" t="str">
        <f>INDEX('REVIEW - Complete Role Mapping'!$D$2:$D$700,MATCH($A45,'REVIEW - Complete Role Mapping'!$AQ$2:$AQ$700,0))</f>
        <v>Delivery Manager</v>
      </c>
      <c r="D45" s="929" t="str">
        <f>INDEX('REVIEW - Complete Role Mapping'!$AF$2:$AF$700,MATCH($A45,'REVIEW - Complete Role Mapping'!$AQ$2:$AQ$700,0))</f>
        <v>Vacant</v>
      </c>
      <c r="E45" s="543" t="inlineStr">
        <is>
          <t>Hire</t>
        </is>
      </c>
      <c r="F45" s="1031">
        <f>INDEX('REVIEW - Complete Role Mapping'!$AE$2:$AE$700,MATCH($A45,'REVIEW - Complete Role Mapping'!$AQ$2:$AQ$700,0))</f>
        <v>275810.25</v>
      </c>
      <c r="G45" s="1031">
        <f>$F45*IF(ISNUMBER(SEARCH("WIPRO",INDEX('REVIEW - Complete Role Mapping'!$R$2:$R$700,MATCH($A45,'REVIEW - Complete Role Mapping'!$AQ$2:$AQ$700,0)))),1,IFERROR(INDEX(Lists!$AD$2:$AD$5,MATCH($E45,Lists!$AC$2:$AC$5,0)),NA()))</f>
        <v>275810.25</v>
      </c>
    </row>
    <row r="46" ht="14.25" customHeight="1" s="535">
      <c r="B46" s="1029" t="inlineStr">
        <is>
          <t>Technology Manager</t>
        </is>
      </c>
      <c r="C46" s="1029" t="str">
        <f>COUNTIF($B$47:$B$47,"?*")&amp;IF(COUNTIF($B$47:$B$47,"?*")=1," role"," roles")</f>
        <v>1 role</v>
      </c>
      <c r="D46" s="1029" t="n"/>
      <c r="E46" s="1029" t="n"/>
      <c r="F46" s="1044">
        <f>SUM(F47:F47)</f>
        <v>296365.6</v>
      </c>
      <c r="G46" s="1044">
        <f>SUM(G47:G47)</f>
        <v>296365.6</v>
      </c>
    </row>
    <row r="47" ht="14.25" customHeight="1" s="535">
      <c r="A47" s="1045" t="inlineStr">
        <is>
          <t>R0122</t>
        </is>
      </c>
      <c r="B47" s="929" t="str">
        <f>INDEX('REVIEW - Complete Role Mapping'!$B$2:$B$700,MATCH($A47,'REVIEW - Complete Role Mapping'!$AQ$2:$AQ$700,0))</f>
        <v>Dave O'Keefe</v>
      </c>
      <c r="C47" s="929" t="str">
        <f>INDEX('REVIEW - Complete Role Mapping'!$D$2:$D$700,MATCH($A47,'REVIEW - Complete Role Mapping'!$AQ$2:$AQ$700,0))</f>
        <v>Technology Manager – P&amp;C Platforms</v>
      </c>
      <c r="D47" s="929" t="str">
        <f>INDEX('REVIEW - Complete Role Mapping'!$AF$2:$AF$700,MATCH($A47,'REVIEW - Complete Role Mapping'!$AQ$2:$AQ$700,0))</f>
        <v>Filled</v>
      </c>
      <c r="E47" s="543" t="inlineStr">
        <is>
          <t>Filled</t>
        </is>
      </c>
      <c r="F47" s="1031">
        <f>INDEX('REVIEW - Complete Role Mapping'!$AE$2:$AE$700,MATCH($A47,'REVIEW - Complete Role Mapping'!$AQ$2:$AQ$700,0))</f>
        <v>296365.6</v>
      </c>
      <c r="G47" s="1031">
        <f>$F47*IF(ISNUMBER(SEARCH("WIPRO",INDEX('REVIEW - Complete Role Mapping'!$R$2:$R$700,MATCH($A47,'REVIEW - Complete Role Mapping'!$AQ$2:$AQ$700,0)))),1,IFERROR(INDEX(Lists!$AD$2:$AD$5,MATCH($E47,Lists!$AC$2:$AC$5,0)),NA()))</f>
        <v>296365.6</v>
      </c>
    </row>
    <row r="48"/>
    <row r="49" ht="14.25" customHeight="1" s="535">
      <c r="B49" s="1040" t="inlineStr">
        <is>
          <t>Vacancy levers on this tab, for the executive summary</t>
        </is>
      </c>
      <c r="J49" s="1046">
        <f>COUNTIFS($D$25:$D$47,"Vacant",$E$25:$E$47,"Hire")</f>
        <v>7</v>
      </c>
      <c r="K49" s="1046">
        <f>COUNTIFS($D$25:$D$47,"Vacant",$E$25:$E$47,"Offshore")</f>
        <v>2</v>
      </c>
      <c r="L49" s="1046">
        <f>COUNTIFS($D$25:$D$47,"Vacant",$E$25:$E$47,"Hold")</f>
        <v>0</v>
      </c>
      <c r="M49" s="1046">
        <f>COUNTIFS($D$25:$D$47,"Vacant",$E$25:$E$47,"Filled")</f>
        <v>0</v>
      </c>
      <c r="N49" s="1046">
        <f>COUNTIFS($D$25:$D$47,"Filled",$E$25:$E$47,"Offshore")</f>
        <v>0</v>
      </c>
    </row>
  </sheetData>
  <dataValidations count="1">
    <dataValidation sqref="E26 E28:E35 E37:E41 E43 E45 E47"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1"/>
  </sheetPr>
  <dimension ref="A1:T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Q8" activeCellId="0" sqref="Q8"/>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Finance - working copy</t>
        </is>
      </c>
    </row>
    <row r="3" ht="14.25" customHeight="1" s="535">
      <c r="B3" s="709" t="inlineStr">
        <is>
          <t>Portfolio</t>
        </is>
      </c>
      <c r="C3" s="868" t="inlineStr">
        <is>
          <t>Finance</t>
        </is>
      </c>
    </row>
    <row r="4" ht="18.75" customHeight="1" s="535">
      <c r="B4" s="537" t="inlineStr">
        <is>
          <t>Finance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NZ Finance</t>
        </is>
      </c>
      <c r="C8" s="929" t="str">
        <f>IFERROR(IF(INDEX('1.6 Finance'!$C$24:$C$34,MATCH($B8,'1.6 Finance'!$B$24:$B$34,0))="","",INDEX('1.6 Finance'!$C$24:$C$34,MATCH($B8,'1.6 Finance'!$B$24:$B$34,0))),"Not on the 1.x tab")</f>
        <v>Configuration / Integration</v>
      </c>
      <c r="D8" s="929" t="str">
        <f>IFERROR(IF(INDEX('1.6 Finance'!$D$24:$D$34,MATCH($B8,'1.6 Finance'!$B$24:$B$34,0))="","",INDEX('1.6 Finance'!$D$24:$D$34,MATCH($B8,'1.6 Finance'!$B$24:$B$34,0))),"")</f>
        <v>S</v>
      </c>
      <c r="E8" s="1030">
        <f>IFERROR(INDEX('0.3 Squad Archetypes'!$F$5:$F$23,MATCH($C8&amp;"|"&amp;$D8,'0.3 Squad Archetypes'!$A$5:$A$23,0)),"")</f>
        <v>6</v>
      </c>
      <c r="F8" s="1031">
        <f>COUNTIF($B$28:$B$33,"?*")</f>
        <v>6</v>
      </c>
      <c r="G8" s="1030">
        <f>ROUND(SUMIFS('REVIEW - Complete Role Mapping'!$P$2:$P$700,'REVIEW - Complete Role Mapping'!$AH$2:$AH$700,$C$3,'REVIEW - Complete Role Mapping'!$AL$2:$AL$700,$B8),2)</f>
        <v>5.5</v>
      </c>
      <c r="H8" s="1031">
        <f>COUNTIFS($D$28:$D$33,"Filled")</f>
        <v>4</v>
      </c>
      <c r="I8" s="1031">
        <f>COUNTIFS($D$28:$D$33,"Vacant")</f>
        <v>2</v>
      </c>
      <c r="J8" s="1031">
        <f>COUNTIFS($D$28:$D$33,"Vacant",$E$28:$E$33,"Hire")</f>
        <v>2</v>
      </c>
      <c r="K8" s="1031">
        <f>COUNTIFS($E$28:$E$33,"Offshore")</f>
        <v>0</v>
      </c>
      <c r="L8" s="1031">
        <f>COUNTIFS($E$28:$E$33,"Hold")</f>
        <v>0</v>
      </c>
      <c r="M8" s="1031">
        <f>$F8-$L8</f>
        <v>6</v>
      </c>
      <c r="N8" s="1032">
        <f>IFERROR(IF(ISNUMBER(INDEX('1.6 Finance'!$H$24:$H$34,MATCH($B8,'1.6 Finance'!$B$24:$B$34,0))),INDEX('1.6 Finance'!$H$24:$H$34,MATCH($B8,'1.6 Finance'!$B$24:$B$34,0)),""),"")</f>
        <v>1.4</v>
      </c>
      <c r="O8" s="1032">
        <f>SUMIFS('REVIEW - Complete Role Mapping'!$AE$2:$AE$700,'REVIEW - Complete Role Mapping'!$AH$2:$AH$700,$C$3,'REVIEW - Complete Role Mapping'!$AL$2:$AL$700,$B8)/1000000</f>
        <v>0.9585601905</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0.9585601905</v>
      </c>
      <c r="R8" s="1032">
        <f>IFERROR(ROUND(IF(COUNTIF(Lists!$AU$2:$AU$10,$B8),$O8,$Q8)-$N8,6),"")</f>
        <v>-0.44144</v>
      </c>
      <c r="S8" s="1032">
        <f>SUM($G$28:$G$33)/1000000</f>
        <v>0.9585601905</v>
      </c>
      <c r="T8" s="1032">
        <f>IFERROR(ROUND($S8-$N8,6),"")</f>
        <v>-0.44144</v>
      </c>
    </row>
    <row r="9" ht="14.25" customHeight="1" s="535">
      <c r="B9" s="929" t="inlineStr">
        <is>
          <t>SAP ERP</t>
        </is>
      </c>
      <c r="C9" s="929" t="str">
        <f>IFERROR(IF(INDEX('1.6 Finance'!$C$24:$C$34,MATCH($B9,'1.6 Finance'!$B$24:$B$34,0))="","",INDEX('1.6 Finance'!$C$24:$C$34,MATCH($B9,'1.6 Finance'!$B$24:$B$34,0))),"Not on the 1.x tab")</f>
        <v>Configuration / Integration</v>
      </c>
      <c r="D9" s="929" t="str">
        <f>IFERROR(IF(INDEX('1.6 Finance'!$D$24:$D$34,MATCH($B9,'1.6 Finance'!$B$24:$B$34,0))="","",INDEX('1.6 Finance'!$D$24:$D$34,MATCH($B9,'1.6 Finance'!$B$24:$B$34,0))),"")</f>
        <v>M</v>
      </c>
      <c r="E9" s="1030">
        <f>IFERROR(INDEX('0.3 Squad Archetypes'!$F$5:$F$23,MATCH($C9&amp;"|"&amp;$D9,'0.3 Squad Archetypes'!$A$5:$A$23,0)),"")</f>
        <v>9</v>
      </c>
      <c r="F9" s="1031">
        <f>COUNTIF($B$35:$B$43,"?*")</f>
        <v>9</v>
      </c>
      <c r="G9" s="1030">
        <f>ROUND(SUMIFS('REVIEW - Complete Role Mapping'!$P$2:$P$700,'REVIEW - Complete Role Mapping'!$AH$2:$AH$700,$C$3,'REVIEW - Complete Role Mapping'!$AL$2:$AL$700,$B9),2)</f>
        <v>9</v>
      </c>
      <c r="H9" s="1031">
        <f>COUNTIFS($D$35:$D$43,"Filled")</f>
        <v>2</v>
      </c>
      <c r="I9" s="1031">
        <f>COUNTIFS($D$35:$D$43,"Vacant")</f>
        <v>7</v>
      </c>
      <c r="J9" s="1031">
        <f>COUNTIFS($D$35:$D$43,"Vacant",$E$35:$E$43,"Hire")</f>
        <v>7</v>
      </c>
      <c r="K9" s="1031">
        <f>COUNTIFS($E$35:$E$43,"Offshore")</f>
        <v>0</v>
      </c>
      <c r="L9" s="1031">
        <f>COUNTIFS($E$35:$E$43,"Hold")</f>
        <v>0</v>
      </c>
      <c r="M9" s="1031">
        <f>$F9-$L9</f>
        <v>9</v>
      </c>
      <c r="N9" s="1032">
        <f>IFERROR(IF(ISNUMBER(INDEX('1.6 Finance'!$H$24:$H$34,MATCH($B9,'1.6 Finance'!$B$24:$B$34,0))),INDEX('1.6 Finance'!$H$24:$H$34,MATCH($B9,'1.6 Finance'!$B$24:$B$34,0)),""),"")</f>
        <v>2.1</v>
      </c>
      <c r="O9" s="1032">
        <f>SUMIFS('REVIEW - Complete Role Mapping'!$AE$2:$AE$700,'REVIEW - Complete Role Mapping'!$AH$2:$AH$700,$C$3,'REVIEW - Complete Role Mapping'!$AL$2:$AL$700,$B9)/1000000</f>
        <v>2.01898557</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2.01898557</v>
      </c>
      <c r="R9" s="1032">
        <f>IFERROR(ROUND(IF(COUNTIF(Lists!$AU$2:$AU$10,$B9),$O9,$Q9)-$N9,6),"")</f>
        <v>-0.081014</v>
      </c>
      <c r="S9" s="1032">
        <f>SUM($G$35:$G$43)/1000000</f>
        <v>2.01898557</v>
      </c>
      <c r="T9" s="1032">
        <f>IFERROR(ROUND($S9-$N9,6),"")</f>
        <v>-0.081014</v>
      </c>
    </row>
    <row r="10" ht="14.25" customHeight="1" s="535">
      <c r="B10" s="1033" t="inlineStr">
        <is>
          <t>Squads total</t>
        </is>
      </c>
      <c r="C10" s="1033" t="n"/>
      <c r="D10" s="1033" t="n"/>
      <c r="E10" s="1034">
        <f>SUM(E8:E9)</f>
        <v>15</v>
      </c>
      <c r="F10" s="1035">
        <f>SUM(F8:F9)</f>
        <v>15</v>
      </c>
      <c r="G10" s="1034">
        <f>SUM(G8:G9)</f>
        <v>14.5</v>
      </c>
      <c r="H10" s="1035">
        <f>SUM(H8:H9)</f>
        <v>6</v>
      </c>
      <c r="I10" s="1035">
        <f>SUM(I8:I9)</f>
        <v>9</v>
      </c>
      <c r="J10" s="1035">
        <f>SUM(J8:J9)</f>
        <v>9</v>
      </c>
      <c r="K10" s="1035">
        <f>SUM(K8:K9)</f>
        <v>0</v>
      </c>
      <c r="L10" s="1035">
        <f>SUM(L8:L9)</f>
        <v>0</v>
      </c>
      <c r="M10" s="1035">
        <f>SUM(M8:M9)</f>
        <v>15</v>
      </c>
      <c r="N10" s="1036">
        <f>IF(COUNT(N8:N9)=0,"",SUM(N8:N9))</f>
        <v>3.5</v>
      </c>
      <c r="O10" s="1036">
        <f>SUM(O8:O9)</f>
        <v>2.9775457605</v>
      </c>
      <c r="P10" s="1036">
        <f>SUM(P8:P9)</f>
        <v>0</v>
      </c>
      <c r="Q10" s="1036">
        <f>SUM(Q8:Q9)</f>
        <v>2.9775457605</v>
      </c>
      <c r="R10" s="1036">
        <f>IF(COUNT(N8:N9)=2,ROUND($O10-$N10,6),"")</f>
        <v>-0.522454</v>
      </c>
      <c r="S10" s="1036">
        <f>SUM(S8:S9)</f>
        <v>2.9775457605</v>
      </c>
      <c r="T10" s="1036">
        <f>IF(COUNT(N8:N9)=2,ROUND($S10-$N10,6),"")</f>
        <v>-0.522454</v>
      </c>
    </row>
    <row r="11" ht="14.25" customHeight="1" s="535">
      <c r="B11" s="1029" t="inlineStr">
        <is>
          <t>Directly funded programs and platforms</t>
        </is>
      </c>
      <c r="C11" s="1029" t="n"/>
      <c r="D11" s="1029" t="n"/>
      <c r="E11" s="1029" t="n"/>
      <c r="F11" s="1029" t="n"/>
      <c r="G11" s="1029" t="n"/>
      <c r="H11" s="1029" t="n"/>
      <c r="I11" s="1029" t="n"/>
      <c r="J11" s="1029" t="n"/>
      <c r="K11" s="1029" t="n"/>
      <c r="L11" s="1029" t="n"/>
      <c r="M11" s="1029" t="n"/>
      <c r="N11" s="1029" t="n"/>
      <c r="O11" s="1029" t="n"/>
      <c r="P11" s="1029" t="n"/>
      <c r="Q11" s="1029" t="n"/>
      <c r="R11" s="1029" t="n"/>
      <c r="S11" s="1029" t="n"/>
      <c r="T11" s="1029" t="n"/>
    </row>
    <row r="12" ht="14.25" customHeight="1" s="535">
      <c r="B12" s="929" t="inlineStr">
        <is>
          <t>EGI Finance</t>
        </is>
      </c>
      <c r="C12" s="929" t="str">
        <f>IFERROR(IF(INDEX('1.6 Finance'!$C$24:$C$34,MATCH($B12,'1.6 Finance'!$B$24:$B$34,0))="","",INDEX('1.6 Finance'!$C$24:$C$34,MATCH($B12,'1.6 Finance'!$B$24:$B$34,0))),"Not on the 1.x tab")</f>
        <v>Strategic Programs</v>
      </c>
      <c r="D12" s="929">
        <f>IFERROR(IF(INDEX('1.6 Finance'!$D$24:$D$34,MATCH($B12,'1.6 Finance'!$B$24:$B$34,0))="","",INDEX('1.6 Finance'!$D$24:$D$34,MATCH($B12,'1.6 Finance'!$B$24:$B$34,0))),"")</f>
        <v/>
      </c>
      <c r="E12" s="1030">
        <f>""</f>
        <v/>
      </c>
      <c r="F12" s="1031">
        <f>COUNTIF($B$26:$B$26,"?*")</f>
        <v>1</v>
      </c>
      <c r="G12" s="1030">
        <f>ROUND(SUMIFS('REVIEW - Complete Role Mapping'!$P$2:$P$700,'REVIEW - Complete Role Mapping'!$AH$2:$AH$700,$C$3,'REVIEW - Complete Role Mapping'!$AL$2:$AL$700,$B12),2)</f>
        <v>1</v>
      </c>
      <c r="H12" s="1031">
        <f>COUNTIFS($D$26:$D$26,"Filled")</f>
        <v>1</v>
      </c>
      <c r="I12" s="1031">
        <f>COUNTIFS($D$26:$D$26,"Vacant")</f>
        <v>0</v>
      </c>
      <c r="J12" s="1031">
        <f>COUNTIFS($D$26:$D$26,"Vacant",$E$26:$E$26,"Hire")</f>
        <v>0</v>
      </c>
      <c r="K12" s="1031">
        <f>COUNTIFS($E$26:$E$26,"Offshore")</f>
        <v>0</v>
      </c>
      <c r="L12" s="1031">
        <f>COUNTIFS($E$26:$E$26,"Hold")</f>
        <v>0</v>
      </c>
      <c r="M12" s="1031">
        <f>$F12-$L12</f>
        <v>1</v>
      </c>
      <c r="N12" s="1032">
        <f>$O12</f>
        <v>0.24172845</v>
      </c>
      <c r="O12" s="1032">
        <f>SUMIFS('REVIEW - Complete Role Mapping'!$AE$2:$AE$700,'REVIEW - Complete Role Mapping'!$AH$2:$AH$700,$C$3,'REVIEW - Complete Role Mapping'!$AL$2:$AL$700,$B12)/1000000</f>
        <v>0.24172845</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0.24172845</v>
      </c>
      <c r="Q12" s="1032">
        <f>$O12-$P12</f>
        <v>0</v>
      </c>
      <c r="R12" s="1032">
        <f>IFERROR(ROUND(IF(COUNTIF(Lists!$AU$2:$AU$10,$B12),$O12,$Q12)-$N12,6),"")</f>
        <v>0</v>
      </c>
      <c r="S12" s="1032">
        <f>SUM($G$26:$G$26)/1000000</f>
        <v>0.24172845</v>
      </c>
      <c r="T12" s="1032">
        <f>IFERROR(ROUND($S12-$N12,6),"")</f>
        <v>0</v>
      </c>
    </row>
    <row r="13" ht="14.25" customHeight="1" s="535">
      <c r="B13" s="1029" t="inlineStr">
        <is>
          <t>Overhead roles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Head of Technology</t>
        </is>
      </c>
      <c r="C14" s="929">
        <f>""</f>
        <v/>
      </c>
      <c r="D14" s="929">
        <f>""</f>
        <v/>
      </c>
      <c r="E14" s="1030">
        <f>'0.2 Data Config'!$M$6</f>
        <v>0.5</v>
      </c>
      <c r="F14" s="1031" t="n">
        <v>0</v>
      </c>
      <c r="G14" s="1030">
        <f>ROUND(SUMIFS('REVIEW - Complete Role Mapping'!$P$2:$P$700,'REVIEW - Complete Role Mapping'!$AH$2:$AH$700,$C$3,'REVIEW - Complete Role Mapping'!$AL$2:$AL$700,$B14),2)</f>
        <v>0</v>
      </c>
      <c r="H14" s="1031" t="n">
        <v>0</v>
      </c>
      <c r="I14" s="1031" t="n">
        <v>0</v>
      </c>
      <c r="J14" s="1031" t="n">
        <v>0</v>
      </c>
      <c r="K14" s="1031" t="n">
        <v>0</v>
      </c>
      <c r="L14" s="1031" t="n">
        <v>0</v>
      </c>
      <c r="M14" s="1031">
        <f>$F14-$L14</f>
        <v>0</v>
      </c>
      <c r="N14" s="1032">
        <f>'0.2 Data Config'!$N$6</f>
        <v>0.1375</v>
      </c>
      <c r="O14" s="1032">
        <f>SUMIFS('REVIEW - Complete Role Mapping'!$AE$2:$AE$700,'REVIEW - Complete Role Mapping'!$AH$2:$AH$700,$C$3,'REVIEW - Complete Role Mapping'!$AL$2:$AL$700,$B14)/1000000</f>
        <v>0</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0</v>
      </c>
      <c r="R14" s="1032">
        <f>ROUND(IF(COUNTIF(Lists!$AU$2:$AU$10,$B14),$O14,$Q14)-$N14,6)</f>
        <v>-0.1375</v>
      </c>
      <c r="S14" s="1032" t="n">
        <v>0</v>
      </c>
      <c r="T14" s="1032">
        <f>ROUND($S14-$N14,6)</f>
        <v>-0.1375</v>
      </c>
    </row>
    <row r="15" ht="14.25" customHeight="1" s="535">
      <c r="B15" s="929" t="inlineStr">
        <is>
          <t>Delivery Manager</t>
        </is>
      </c>
      <c r="C15" s="929">
        <f>""</f>
        <v/>
      </c>
      <c r="D15" s="929">
        <f>""</f>
        <v/>
      </c>
      <c r="E15" s="1030">
        <f>'0.2 Data Config'!$M$14*(N('1.6 Finance'!$F$7)/'0.2 Data Config'!$N$16)</f>
        <v>0.3</v>
      </c>
      <c r="F15" s="1031" t="n">
        <v>0</v>
      </c>
      <c r="G15" s="1030">
        <f>ROUND(SUMIFS('REVIEW - Complete Role Mapping'!$P$2:$P$700,'REVIEW - Complete Role Mapping'!$AH$2:$AH$700,$C$3,'REVIEW - Complete Role Mapping'!$AL$2:$AL$700,$B15),2)</f>
        <v>0</v>
      </c>
      <c r="H15" s="1031" t="n">
        <v>0</v>
      </c>
      <c r="I15" s="1031" t="n">
        <v>0</v>
      </c>
      <c r="J15" s="1031" t="n">
        <v>0</v>
      </c>
      <c r="K15" s="1031" t="n">
        <v>0</v>
      </c>
      <c r="L15" s="1031" t="n">
        <v>0</v>
      </c>
      <c r="M15" s="1031">
        <f>$F15-$L15</f>
        <v>0</v>
      </c>
      <c r="N15" s="1032">
        <f>'0.2 Data Config'!$N$14*(N('1.6 Finance'!$F$7)/'0.2 Data Config'!$N$16)</f>
        <v>0.084</v>
      </c>
      <c r="O15" s="1032">
        <f>SUMIFS('REVIEW - Complete Role Mapping'!$AE$2:$AE$700,'REVIEW - Complete Role Mapping'!$AH$2:$AH$700,$C$3,'REVIEW - Complete Role Mapping'!$AL$2:$AL$700,$B15)/1000000</f>
        <v>0</v>
      </c>
      <c r="P15" s="1032">
        <f>IFERROR(IF(ISNUMBER(INDEX(Lists!$AW$2:$AW$10,MATCH($B15,Lists!$AU$2:$AU$10,0))),INDEX(Lists!$AW$2:$AW$10,MATCH($B15,Lists!$AU$2:$AU$10,0)),SUMIFS('REVIEW - Complete Role Mapping'!$AE$2:$AE$700,'REVIEW - Complete Role Mapping'!$AH$2:$AH$700,$C$3,'REVIEW - Complete Role Mapping'!$AL$2:$AL$700,$B15,'REVIEW - Complete Role Mapping'!$AM$2:$AM$700,1)/1000000),SUMIFS('REVIEW - Complete Role Mapping'!$AE$2:$AE$700,'REVIEW - Complete Role Mapping'!$AH$2:$AH$700,$C$3,'REVIEW - Complete Role Mapping'!$AL$2:$AL$700,$B15,'REVIEW - Complete Role Mapping'!$AM$2:$AM$700,1)/1000000)</f>
        <v>0</v>
      </c>
      <c r="Q15" s="1032">
        <f>$O15-$P15</f>
        <v>0</v>
      </c>
      <c r="R15" s="1032">
        <f>ROUND(IF(COUNTIF(Lists!$AU$2:$AU$10,$B15),$O15,$Q15)-$N15,6)</f>
        <v>-0.084</v>
      </c>
      <c r="S15" s="1032" t="n">
        <v>0</v>
      </c>
      <c r="T15" s="1032">
        <f>ROUND($S15-$N15,6)</f>
        <v>-0.084</v>
      </c>
    </row>
    <row r="16" ht="14.25" customHeight="1" s="535">
      <c r="B16" s="929" t="inlineStr">
        <is>
          <t>Technology Manager</t>
        </is>
      </c>
      <c r="C16" s="929">
        <f>""</f>
        <v/>
      </c>
      <c r="D16" s="929">
        <f>""</f>
        <v/>
      </c>
      <c r="E16" s="1030">
        <f>'0.2 Data Config'!$M$15*(N('1.6 Finance'!$F$7)/'0.2 Data Config'!$N$16)</f>
        <v>0.3</v>
      </c>
      <c r="F16" s="1031">
        <f>COUNTIF($B$45:$B$45,"?*")</f>
        <v>1</v>
      </c>
      <c r="G16" s="1030">
        <f>ROUND(SUMIFS('REVIEW - Complete Role Mapping'!$P$2:$P$700,'REVIEW - Complete Role Mapping'!$AH$2:$AH$700,$C$3,'REVIEW - Complete Role Mapping'!$AL$2:$AL$700,$B16),2)</f>
        <v>1</v>
      </c>
      <c r="H16" s="1031">
        <f>COUNTIFS($D$45:$D$45,"Filled")</f>
        <v>1</v>
      </c>
      <c r="I16" s="1031">
        <f>COUNTIFS($D$45:$D$45,"Vacant")</f>
        <v>0</v>
      </c>
      <c r="J16" s="1031">
        <f>COUNTIFS($D$45:$D$45,"Vacant",$E$45:$E$45,"Hire")</f>
        <v>0</v>
      </c>
      <c r="K16" s="1031">
        <f>COUNTIFS($E$45:$E$45,"Offshore")</f>
        <v>0</v>
      </c>
      <c r="L16" s="1031">
        <f>COUNTIFS($E$45:$E$45,"Hold")</f>
        <v>0</v>
      </c>
      <c r="M16" s="1031">
        <f>$F16-$L16</f>
        <v>1</v>
      </c>
      <c r="N16" s="1032">
        <f>'0.2 Data Config'!$N$15*(N('1.6 Finance'!$F$7)/'0.2 Data Config'!$N$16)</f>
        <v>0.081</v>
      </c>
      <c r="O16" s="1032">
        <f>SUMIFS('REVIEW - Complete Role Mapping'!$AE$2:$AE$700,'REVIEW - Complete Role Mapping'!$AH$2:$AH$700,$C$3,'REVIEW - Complete Role Mapping'!$AL$2:$AL$700,$B16)/1000000</f>
        <v>0.32356045</v>
      </c>
      <c r="P16" s="1032">
        <f>IFERROR(IF(ISNUMBER(INDEX(Lists!$AW$2:$AW$10,MATCH($B16,Lists!$AU$2:$AU$10,0))),INDEX(Lists!$AW$2:$AW$10,MATCH($B16,Lists!$AU$2:$AU$10,0)),SUMIFS('REVIEW - Complete Role Mapping'!$AE$2:$AE$700,'REVIEW - Complete Role Mapping'!$AH$2:$AH$700,$C$3,'REVIEW - Complete Role Mapping'!$AL$2:$AL$700,$B16,'REVIEW - Complete Role Mapping'!$AM$2:$AM$700,1)/1000000),SUMIFS('REVIEW - Complete Role Mapping'!$AE$2:$AE$700,'REVIEW - Complete Role Mapping'!$AH$2:$AH$700,$C$3,'REVIEW - Complete Role Mapping'!$AL$2:$AL$700,$B16,'REVIEW - Complete Role Mapping'!$AM$2:$AM$700,1)/1000000)</f>
        <v>0</v>
      </c>
      <c r="Q16" s="1032">
        <f>$O16-$P16</f>
        <v>0.32356045</v>
      </c>
      <c r="R16" s="1032">
        <f>ROUND(IF(COUNTIF(Lists!$AU$2:$AU$10,$B16),$O16,$Q16)-$N16,6)</f>
        <v>0.24256</v>
      </c>
      <c r="S16" s="1032">
        <f>SUM($G$45:$G$45)/1000000</f>
        <v>0.32356045</v>
      </c>
      <c r="T16" s="1032">
        <f>ROUND($S16-$N16,6)</f>
        <v>0.24256</v>
      </c>
    </row>
    <row r="17" ht="14.25" customHeight="1" s="535">
      <c r="B17" s="1033" t="inlineStr">
        <is>
          <t>Overhead roles total</t>
        </is>
      </c>
      <c r="C17" s="1033" t="n"/>
      <c r="D17" s="1033" t="n"/>
      <c r="E17" s="1034">
        <f>SUM(E14:E16)</f>
        <v>1.1</v>
      </c>
      <c r="F17" s="1035">
        <f>SUM(F14:F16)</f>
        <v>1</v>
      </c>
      <c r="G17" s="1034">
        <f>SUM(G14:G16)</f>
        <v>1</v>
      </c>
      <c r="H17" s="1035">
        <f>SUM(H14:H16)</f>
        <v>1</v>
      </c>
      <c r="I17" s="1035">
        <f>SUM(I14:I16)</f>
        <v>0</v>
      </c>
      <c r="J17" s="1035">
        <f>SUM(J14:J16)</f>
        <v>0</v>
      </c>
      <c r="K17" s="1035">
        <f>SUM(K14:K16)</f>
        <v>0</v>
      </c>
      <c r="L17" s="1035">
        <f>SUM(L14:L16)</f>
        <v>0</v>
      </c>
      <c r="M17" s="1035">
        <f>SUM(M14:M16)</f>
        <v>1</v>
      </c>
      <c r="N17" s="1036">
        <f>IF(COUNT(N14:N16)=0,"",SUM(N14:N16))</f>
        <v>0.3025</v>
      </c>
      <c r="O17" s="1036">
        <f>SUM(O14:O16)</f>
        <v>0.32356045</v>
      </c>
      <c r="P17" s="1036">
        <f>SUM(P14:P16)</f>
        <v>0</v>
      </c>
      <c r="Q17" s="1036">
        <f>SUM(Q14:Q16)</f>
        <v>0.32356045</v>
      </c>
      <c r="R17" s="1036">
        <f>IF(COUNT(N14:N16)=3,ROUND($O17-$N17,6),"")</f>
        <v>0.02106</v>
      </c>
      <c r="S17" s="1036">
        <f>SUM(S14:S16)</f>
        <v>0.32356045</v>
      </c>
      <c r="T17" s="1036">
        <f>IF(COUNT(N14:N16)=3,ROUND($S17-$N17,6),"")</f>
        <v>0.02106</v>
      </c>
    </row>
    <row r="18" ht="14.25" customHeight="1" s="535">
      <c r="B18" s="1037" t="inlineStr">
        <is>
          <t>Portfolio overhead roles (Business Partner, Domain Architect, Leadership) (Required to show archetype FTE)</t>
        </is>
      </c>
      <c r="D18" s="1038">
        <f>""</f>
        <v/>
      </c>
      <c r="E18" s="1030">
        <f>ROUND(SUM('0.2 Data Config'!$M$6:$M$9)*(N('1.6 Finance'!$F$6)/'0.2 Data Config'!$N$10)-(N($E14)),6)</f>
        <v>1.3</v>
      </c>
      <c r="F18" s="1038">
        <f>""</f>
        <v/>
      </c>
      <c r="G18" s="1038">
        <f>""</f>
        <v/>
      </c>
      <c r="H18" s="1038">
        <f>""</f>
        <v/>
      </c>
      <c r="I18" s="1038">
        <f>""</f>
        <v/>
      </c>
      <c r="J18" s="1038">
        <f>""</f>
        <v/>
      </c>
      <c r="K18" s="1038">
        <f>""</f>
        <v/>
      </c>
      <c r="L18" s="1038">
        <f>""</f>
        <v/>
      </c>
      <c r="M18" s="1038">
        <f>""</f>
        <v/>
      </c>
      <c r="N18" s="1032">
        <f>ROUND(N('1.6 Finance'!$F$6)-(N($N14)),6)</f>
        <v>0.66</v>
      </c>
      <c r="O18" s="1038">
        <f>""</f>
        <v/>
      </c>
      <c r="P18" s="1038">
        <f>""</f>
        <v/>
      </c>
      <c r="Q18" s="1038">
        <f>""</f>
        <v/>
      </c>
      <c r="R18" s="1038">
        <f>""</f>
        <v/>
      </c>
      <c r="S18" s="1038">
        <f>""</f>
        <v/>
      </c>
      <c r="T18" s="1038">
        <f>""</f>
        <v/>
      </c>
    </row>
    <row r="19" ht="14.25" customHeight="1" s="535">
      <c r="B19" s="1037" t="inlineStr">
        <is>
          <t>Business Partners and Domain Architects sit in the COEs</t>
        </is>
      </c>
    </row>
    <row r="20" ht="14.25" customHeight="1" s="535">
      <c r="B20" s="886" t="inlineStr">
        <is>
          <t>Total portfolio</t>
        </is>
      </c>
      <c r="C20" s="886" t="n"/>
      <c r="D20" s="886" t="n"/>
      <c r="E20" s="888">
        <f>SUM(E8:E9,E12:E12,E14:E16,E18:E18)</f>
        <v>17.4</v>
      </c>
      <c r="F20" s="1039">
        <f>SUM(F8:F9,F12:F12,F14:F16,F18:F18)</f>
        <v>17</v>
      </c>
      <c r="G20" s="888">
        <f>SUM(G8:G9,G12:G12,G14:G16,G18:G18)</f>
        <v>16.5</v>
      </c>
      <c r="H20" s="1039">
        <f>SUM(H8:H9,H12:H12,H14:H16,H18:H18)</f>
        <v>8</v>
      </c>
      <c r="I20" s="1039">
        <f>SUM(I8:I9,I12:I12,I14:I16,I18:I18)</f>
        <v>9</v>
      </c>
      <c r="J20" s="1039">
        <f>SUM(J8:J9,J12:J12,J14:J16,J18:J18)</f>
        <v>9</v>
      </c>
      <c r="K20" s="1039">
        <f>SUM(K8:K9,K12:K12,K14:K16,K18:K18)</f>
        <v>0</v>
      </c>
      <c r="L20" s="1039">
        <f>SUM(L8:L9,L12:L12,L14:L16,L18:L18)</f>
        <v>0</v>
      </c>
      <c r="M20" s="1039">
        <f>SUM(M8:M9,M12:M12,M14:M16,M18:M18)</f>
        <v>17</v>
      </c>
      <c r="N20" s="889">
        <f>IF(COUNT(N8:N9,N12:N12,N14:N16,N18:N18)=0,"",SUM(N8:N9,N12:N12,N14:N16,N18:N18))</f>
        <v>4.70422845</v>
      </c>
      <c r="O20" s="889">
        <f>SUM(O8:O9,O12:O12,O14:O16,O18:O18)</f>
        <v>3.5428346605</v>
      </c>
      <c r="P20" s="889">
        <f>SUM(P8:P9,P12:P12,P14:P16,P18:P18)</f>
        <v>0.24172845</v>
      </c>
      <c r="Q20" s="889">
        <f>SUM(Q8:Q9,Q12:Q12,Q14:Q16,Q18:Q18)</f>
        <v>3.3011062105</v>
      </c>
      <c r="R20" s="889">
        <f>IF(ISNUMBER($N20),ROUND($O20-$N20,6),"")</f>
        <v>-1.161394</v>
      </c>
      <c r="S20" s="889">
        <f>SUM(S8:S9,S12:S12,S14:S16,S18:S18)</f>
        <v>3.5428346605</v>
      </c>
      <c r="T20" s="889">
        <f>IF(ISNUMBER($N20),ROUND($S20-$N20,6),"")</f>
        <v>-1.161394</v>
      </c>
    </row>
    <row r="21"/>
    <row r="22"/>
    <row r="23" ht="18.75" customHeight="1" s="535">
      <c r="B23" s="537" t="inlineStr">
        <is>
          <t>Finance FTE</t>
        </is>
      </c>
      <c r="C23" s="538" t="n"/>
      <c r="D23" s="538" t="n"/>
      <c r="E23" s="538" t="n"/>
      <c r="F23" s="538" t="n"/>
      <c r="G23" s="538" t="n"/>
      <c r="H23" s="929" t="inlineStr">
        <is>
          <t>Vacancy lever: Hire prices the role in full, Hold prices it at 0, Offshore at the Offshore rate set on 0.3 Squad Archetypes.</t>
        </is>
      </c>
    </row>
    <row r="24" ht="33.75" customHeight="1" s="535">
      <c r="A24" s="1040" t="inlineStr">
        <is>
          <t>ID</t>
        </is>
      </c>
      <c r="B24" s="877" t="inlineStr">
        <is>
          <t>Name</t>
        </is>
      </c>
      <c r="C24" s="877" t="inlineStr">
        <is>
          <t>Role</t>
        </is>
      </c>
      <c r="D24" s="877" t="inlineStr">
        <is>
          <t>Status</t>
        </is>
      </c>
      <c r="E24" s="877" t="inlineStr">
        <is>
          <t>Vacancy lever</t>
        </is>
      </c>
      <c r="F24" s="877" t="inlineStr">
        <is>
          <t>Role cost ($)</t>
        </is>
      </c>
      <c r="G24" s="877" t="inlineStr">
        <is>
          <t>Cost after lever ($)</t>
        </is>
      </c>
    </row>
    <row r="25" ht="14.25" customHeight="1" s="535">
      <c r="B25" s="1029" t="inlineStr">
        <is>
          <t>EGI Finance</t>
        </is>
      </c>
      <c r="C25" s="1029" t="str">
        <f>COUNTIF($B$26:$B$26,"?*")&amp;IF(COUNTIF($B$26:$B$26,"?*")=1," role"," roles")</f>
        <v>1 role</v>
      </c>
      <c r="D25" s="1029" t="n"/>
      <c r="E25" s="1029" t="n"/>
      <c r="F25" s="1044">
        <f>SUM(F26:F26)</f>
        <v>241728.45</v>
      </c>
      <c r="G25" s="1044">
        <f>SUM(G26:G26)</f>
        <v>241728.45</v>
      </c>
    </row>
    <row r="26" ht="14.25" customHeight="1" s="535">
      <c r="A26" s="1045" t="inlineStr">
        <is>
          <t>R0204</t>
        </is>
      </c>
      <c r="B26" s="929" t="str">
        <f>INDEX('REVIEW - Complete Role Mapping'!$B$2:$B$700,MATCH($A26,'REVIEW - Complete Role Mapping'!$AQ$2:$AQ$700,0))</f>
        <v>Ee Lynn Yap</v>
      </c>
      <c r="C26" s="929" t="str">
        <f>INDEX('REVIEW - Complete Role Mapping'!$D$2:$D$700,MATCH($A26,'REVIEW - Complete Role Mapping'!$AQ$2:$AQ$700,0))</f>
        <v>SAP ERP Application Lead</v>
      </c>
      <c r="D26" s="929" t="str">
        <f>INDEX('REVIEW - Complete Role Mapping'!$AF$2:$AF$700,MATCH($A26,'REVIEW - Complete Role Mapping'!$AQ$2:$AQ$700,0))</f>
        <v>Filled</v>
      </c>
      <c r="E26" s="543" t="inlineStr">
        <is>
          <t>Filled</t>
        </is>
      </c>
      <c r="F26" s="1031">
        <f>INDEX('REVIEW - Complete Role Mapping'!$AE$2:$AE$700,MATCH($A26,'REVIEW - Complete Role Mapping'!$AQ$2:$AQ$700,0))</f>
        <v>241728.45</v>
      </c>
      <c r="G26" s="1031">
        <f>$F26*IF(ISNUMBER(SEARCH("WIPRO",INDEX('REVIEW - Complete Role Mapping'!$R$2:$R$700,MATCH($A26,'REVIEW - Complete Role Mapping'!$AQ$2:$AQ$700,0)))),1,IFERROR(INDEX(Lists!$AD$2:$AD$5,MATCH($E26,Lists!$AC$2:$AC$5,0)),NA()))</f>
        <v>241728.45</v>
      </c>
    </row>
    <row r="27" ht="14.25" customHeight="1" s="535">
      <c r="B27" s="1029" t="inlineStr">
        <is>
          <t>NZ Finance</t>
        </is>
      </c>
      <c r="C27" s="1029" t="str">
        <f>COUNTIF($B$28:$B$33,"?*")&amp;IF(COUNTIF($B$28:$B$33,"?*")=1," role"," roles")</f>
        <v>6 roles</v>
      </c>
      <c r="D27" s="1029" t="n"/>
      <c r="E27" s="1029" t="n"/>
      <c r="F27" s="1044">
        <f>SUM(F28:F33)</f>
        <v>958560.1905</v>
      </c>
      <c r="G27" s="1044">
        <f>SUM(G28:G33)</f>
        <v>958560.1905</v>
      </c>
    </row>
    <row r="28" ht="14.25" customHeight="1" s="535">
      <c r="A28" s="1045" t="inlineStr">
        <is>
          <t>R0184</t>
        </is>
      </c>
      <c r="B28" s="929" t="str">
        <f>INDEX('REVIEW - Complete Role Mapping'!$B$2:$B$700,MATCH($A28,'REVIEW - Complete Role Mapping'!$AQ$2:$AQ$700,0))</f>
        <v>Kamal Patel</v>
      </c>
      <c r="C28" s="929" t="str">
        <f>INDEX('REVIEW - Complete Role Mapping'!$D$2:$D$700,MATCH($A28,'REVIEW - Complete Role Mapping'!$AQ$2:$AQ$700,0))</f>
        <v>JDE Senior Systems Specialist</v>
      </c>
      <c r="D28" s="929" t="str">
        <f>INDEX('REVIEW - Complete Role Mapping'!$AF$2:$AF$700,MATCH($A28,'REVIEW - Complete Role Mapping'!$AQ$2:$AQ$700,0))</f>
        <v>Filled</v>
      </c>
      <c r="E28" s="543" t="inlineStr">
        <is>
          <t>Filled</t>
        </is>
      </c>
      <c r="F28" s="1031">
        <f>INDEX('REVIEW - Complete Role Mapping'!$AE$2:$AE$700,MATCH($A28,'REVIEW - Complete Role Mapping'!$AQ$2:$AQ$700,0))</f>
        <v>184497.852</v>
      </c>
      <c r="G28" s="1031">
        <f>$F28*IF(ISNUMBER(SEARCH("WIPRO",INDEX('REVIEW - Complete Role Mapping'!$R$2:$R$700,MATCH($A28,'REVIEW - Complete Role Mapping'!$AQ$2:$AQ$700,0)))),1,IFERROR(INDEX(Lists!$AD$2:$AD$5,MATCH($E28,Lists!$AC$2:$AC$5,0)),NA()))</f>
        <v>184497.852</v>
      </c>
    </row>
    <row r="29" ht="14.25" customHeight="1" s="535">
      <c r="A29" s="1045" t="inlineStr">
        <is>
          <t>R0185</t>
        </is>
      </c>
      <c r="B29" s="929" t="str">
        <f>INDEX('REVIEW - Complete Role Mapping'!$B$2:$B$700,MATCH($A29,'REVIEW - Complete Role Mapping'!$AQ$2:$AQ$700,0))</f>
        <v>Martyn Rudduck</v>
      </c>
      <c r="C29" s="929" t="str">
        <f>INDEX('REVIEW - Complete Role Mapping'!$D$2:$D$700,MATCH($A29,'REVIEW - Complete Role Mapping'!$AQ$2:$AQ$700,0))</f>
        <v>JDE Senior Systems Specialist</v>
      </c>
      <c r="D29" s="929" t="str">
        <f>INDEX('REVIEW - Complete Role Mapping'!$AF$2:$AF$700,MATCH($A29,'REVIEW - Complete Role Mapping'!$AQ$2:$AQ$700,0))</f>
        <v>Filled</v>
      </c>
      <c r="E29" s="543" t="inlineStr">
        <is>
          <t>Filled</t>
        </is>
      </c>
      <c r="F29" s="1031">
        <f>INDEX('REVIEW - Complete Role Mapping'!$AE$2:$AE$700,MATCH($A29,'REVIEW - Complete Role Mapping'!$AQ$2:$AQ$700,0))</f>
        <v>178930.38</v>
      </c>
      <c r="G29" s="1031">
        <f>$F29*IF(ISNUMBER(SEARCH("WIPRO",INDEX('REVIEW - Complete Role Mapping'!$R$2:$R$700,MATCH($A29,'REVIEW - Complete Role Mapping'!$AQ$2:$AQ$700,0)))),1,IFERROR(INDEX(Lists!$AD$2:$AD$5,MATCH($E29,Lists!$AC$2:$AC$5,0)),NA()))</f>
        <v>178930.38</v>
      </c>
    </row>
    <row r="30" ht="14.25" customHeight="1" s="535">
      <c r="A30" s="1045" t="inlineStr">
        <is>
          <t>R0206</t>
        </is>
      </c>
      <c r="B30" s="929" t="str">
        <f>INDEX('REVIEW - Complete Role Mapping'!$B$2:$B$700,MATCH($A30,'REVIEW - Complete Role Mapping'!$AQ$2:$AQ$700,0))</f>
        <v>Lydia Pritchard</v>
      </c>
      <c r="C30" s="929" t="str">
        <f>INDEX('REVIEW - Complete Role Mapping'!$D$2:$D$700,MATCH($A30,'REVIEW - Complete Role Mapping'!$AQ$2:$AQ$700,0))</f>
        <v>Lead JDE Systems Specialist</v>
      </c>
      <c r="D30" s="929" t="str">
        <f>INDEX('REVIEW - Complete Role Mapping'!$AF$2:$AF$700,MATCH($A30,'REVIEW - Complete Role Mapping'!$AQ$2:$AQ$700,0))</f>
        <v>Filled</v>
      </c>
      <c r="E30" s="543" t="inlineStr">
        <is>
          <t>Filled</t>
        </is>
      </c>
      <c r="F30" s="1031">
        <f>INDEX('REVIEW - Complete Role Mapping'!$AE$2:$AE$700,MATCH($A30,'REVIEW - Complete Role Mapping'!$AQ$2:$AQ$700,0))</f>
        <v>198099.684</v>
      </c>
      <c r="G30" s="1031">
        <f>$F30*IF(ISNUMBER(SEARCH("WIPRO",INDEX('REVIEW - Complete Role Mapping'!$R$2:$R$700,MATCH($A30,'REVIEW - Complete Role Mapping'!$AQ$2:$AQ$700,0)))),1,IFERROR(INDEX(Lists!$AD$2:$AD$5,MATCH($E30,Lists!$AC$2:$AC$5,0)),NA()))</f>
        <v>198099.684</v>
      </c>
    </row>
    <row r="31" ht="14.25" customHeight="1" s="535">
      <c r="A31" s="1045" t="inlineStr">
        <is>
          <t>R0227</t>
        </is>
      </c>
      <c r="B31" s="929" t="str">
        <f>INDEX('REVIEW - Complete Role Mapping'!$B$2:$B$700,MATCH($A31,'REVIEW - Complete Role Mapping'!$AQ$2:$AQ$700,0))</f>
        <v>Vacant</v>
      </c>
      <c r="C31" s="929" t="str">
        <f>INDEX('REVIEW - Complete Role Mapping'!$D$2:$D$700,MATCH($A31,'REVIEW - Complete Role Mapping'!$AQ$2:$AQ$700,0))</f>
        <v>Delivery Lead (JDE)</v>
      </c>
      <c r="D31" s="929" t="str">
        <f>INDEX('REVIEW - Complete Role Mapping'!$AF$2:$AF$700,MATCH($A31,'REVIEW - Complete Role Mapping'!$AQ$2:$AQ$700,0))</f>
        <v>Vacant</v>
      </c>
      <c r="E31" s="543" t="inlineStr">
        <is>
          <t>Hire</t>
        </is>
      </c>
      <c r="F31" s="1031">
        <f>INDEX('REVIEW - Complete Role Mapping'!$AE$2:$AE$700,MATCH($A31,'REVIEW - Complete Role Mapping'!$AQ$2:$AQ$700,0))</f>
        <v>231689.25</v>
      </c>
      <c r="G31" s="1031">
        <f>$F31*IF(ISNUMBER(SEARCH("WIPRO",INDEX('REVIEW - Complete Role Mapping'!$R$2:$R$700,MATCH($A31,'REVIEW - Complete Role Mapping'!$AQ$2:$AQ$700,0)))),1,IFERROR(INDEX(Lists!$AD$2:$AD$5,MATCH($E31,Lists!$AC$2:$AC$5,0)),NA()))</f>
        <v>231689.25</v>
      </c>
    </row>
    <row r="32" ht="14.25" customHeight="1" s="535">
      <c r="A32" s="1045" t="inlineStr">
        <is>
          <t>R0511</t>
        </is>
      </c>
      <c r="B32" s="929" t="str">
        <f>INDEX('REVIEW - Complete Role Mapping'!$B$2:$B$700,MATCH($A32,'REVIEW - Complete Role Mapping'!$AQ$2:$AQ$700,0))</f>
        <v>Leilanie Avilla</v>
      </c>
      <c r="C32" s="929" t="str">
        <f>INDEX('REVIEW - Complete Role Mapping'!$D$2:$D$700,MATCH($A32,'REVIEW - Complete Role Mapping'!$AQ$2:$AQ$700,0))</f>
        <v>JDE Systems Specialist</v>
      </c>
      <c r="D32" s="929" t="str">
        <f>INDEX('REVIEW - Complete Role Mapping'!$AF$2:$AF$700,MATCH($A32,'REVIEW - Complete Role Mapping'!$AQ$2:$AQ$700,0))</f>
        <v>Filled</v>
      </c>
      <c r="E32" s="543" t="inlineStr">
        <is>
          <t>Filled</t>
        </is>
      </c>
      <c r="F32" s="1031">
        <f>INDEX('REVIEW - Complete Role Mapping'!$AE$2:$AE$700,MATCH($A32,'REVIEW - Complete Role Mapping'!$AQ$2:$AQ$700,0))</f>
        <v>107420.712</v>
      </c>
      <c r="G32" s="1031">
        <f>$F32*IF(ISNUMBER(SEARCH("WIPRO",INDEX('REVIEW - Complete Role Mapping'!$R$2:$R$700,MATCH($A32,'REVIEW - Complete Role Mapping'!$AQ$2:$AQ$700,0)))),1,IFERROR(INDEX(Lists!$AD$2:$AD$5,MATCH($E32,Lists!$AC$2:$AC$5,0)),NA()))</f>
        <v>107420.712</v>
      </c>
    </row>
    <row r="33" ht="14.25" customHeight="1" s="535">
      <c r="A33" s="1045" t="inlineStr">
        <is>
          <t>R0526</t>
        </is>
      </c>
      <c r="B33" s="929" t="str">
        <f>INDEX('REVIEW - Complete Role Mapping'!$B$2:$B$700,MATCH($A33,'REVIEW - Complete Role Mapping'!$AQ$2:$AQ$700,0))</f>
        <v>vacant</v>
      </c>
      <c r="C33" s="929" t="str">
        <f>INDEX('REVIEW - Complete Role Mapping'!$D$2:$D$700,MATCH($A33,'REVIEW - Complete Role Mapping'!$AQ$2:$AQ$700,0))</f>
        <v>Solution Architect</v>
      </c>
      <c r="D33" s="929" t="str">
        <f>INDEX('REVIEW - Complete Role Mapping'!$AF$2:$AF$700,MATCH($A33,'REVIEW - Complete Role Mapping'!$AQ$2:$AQ$700,0))</f>
        <v>Vacant</v>
      </c>
      <c r="E33" s="543" t="inlineStr">
        <is>
          <t>Hire</t>
        </is>
      </c>
      <c r="F33" s="1031">
        <f>INDEX('REVIEW - Complete Role Mapping'!$AE$2:$AE$700,MATCH($A33,'REVIEW - Complete Role Mapping'!$AQ$2:$AQ$700,0))</f>
        <v>57922.3125</v>
      </c>
      <c r="G33" s="1031">
        <f>$F33*IF(ISNUMBER(SEARCH("WIPRO",INDEX('REVIEW - Complete Role Mapping'!$R$2:$R$700,MATCH($A33,'REVIEW - Complete Role Mapping'!$AQ$2:$AQ$700,0)))),1,IFERROR(INDEX(Lists!$AD$2:$AD$5,MATCH($E33,Lists!$AC$2:$AC$5,0)),NA()))</f>
        <v>57922.3125</v>
      </c>
    </row>
    <row r="34" ht="14.25" customHeight="1" s="535">
      <c r="B34" s="1029" t="inlineStr">
        <is>
          <t>SAP ERP</t>
        </is>
      </c>
      <c r="C34" s="1029" t="str">
        <f>COUNTIF($B$35:$B$43,"?*")&amp;IF(COUNTIF($B$35:$B$43,"?*")=1," role"," roles")</f>
        <v>9 roles</v>
      </c>
      <c r="D34" s="1029" t="n"/>
      <c r="E34" s="1029" t="n"/>
      <c r="F34" s="1044">
        <f>SUM(F35:F43)</f>
        <v>2018985.57</v>
      </c>
      <c r="G34" s="1044">
        <f>SUM(G35:G43)</f>
        <v>2018985.57</v>
      </c>
    </row>
    <row r="35" ht="14.25" customHeight="1" s="535">
      <c r="A35" s="1045" t="inlineStr">
        <is>
          <t>R0157</t>
        </is>
      </c>
      <c r="B35" s="929" t="str">
        <f>INDEX('REVIEW - Complete Role Mapping'!$B$2:$B$700,MATCH($A35,'REVIEW - Complete Role Mapping'!$AQ$2:$AQ$700,0))</f>
        <v>Vacant</v>
      </c>
      <c r="C35" s="929" t="str">
        <f>INDEX('REVIEW - Complete Role Mapping'!$D$2:$D$700,MATCH($A35,'REVIEW - Complete Role Mapping'!$AQ$2:$AQ$700,0))</f>
        <v>SAP Functional Specialist</v>
      </c>
      <c r="D35" s="929" t="str">
        <f>INDEX('REVIEW - Complete Role Mapping'!$AF$2:$AF$700,MATCH($A35,'REVIEW - Complete Role Mapping'!$AQ$2:$AQ$700,0))</f>
        <v>Vacant</v>
      </c>
      <c r="E35" s="543" t="inlineStr">
        <is>
          <t>Hire</t>
        </is>
      </c>
      <c r="F35" s="1031">
        <f>INDEX('REVIEW - Complete Role Mapping'!$AE$2:$AE$700,MATCH($A35,'REVIEW - Complete Role Mapping'!$AQ$2:$AQ$700,0))</f>
        <v>231689.25</v>
      </c>
      <c r="G35" s="1031">
        <f>$F35*IF(ISNUMBER(SEARCH("WIPRO",INDEX('REVIEW - Complete Role Mapping'!$R$2:$R$700,MATCH($A35,'REVIEW - Complete Role Mapping'!$AQ$2:$AQ$700,0)))),1,IFERROR(INDEX(Lists!$AD$2:$AD$5,MATCH($E35,Lists!$AC$2:$AC$5,0)),NA()))</f>
        <v>231689.25</v>
      </c>
    </row>
    <row r="36" ht="14.25" customHeight="1" s="535">
      <c r="A36" s="1045" t="inlineStr">
        <is>
          <t>R0179</t>
        </is>
      </c>
      <c r="B36" s="929" t="str">
        <f>INDEX('REVIEW - Complete Role Mapping'!$B$2:$B$700,MATCH($A36,'REVIEW - Complete Role Mapping'!$AQ$2:$AQ$700,0))</f>
        <v>Vacant</v>
      </c>
      <c r="C36" s="929" t="str">
        <f>INDEX('REVIEW - Complete Role Mapping'!$D$2:$D$700,MATCH($A36,'REVIEW - Complete Role Mapping'!$AQ$2:$AQ$700,0))</f>
        <v>SAP Functional Specialist</v>
      </c>
      <c r="D36" s="929" t="str">
        <f>INDEX('REVIEW - Complete Role Mapping'!$AF$2:$AF$700,MATCH($A36,'REVIEW - Complete Role Mapping'!$AQ$2:$AQ$700,0))</f>
        <v>Vacant</v>
      </c>
      <c r="E36" s="543" t="inlineStr">
        <is>
          <t>Hire</t>
        </is>
      </c>
      <c r="F36" s="1031">
        <f>INDEX('REVIEW - Complete Role Mapping'!$AE$2:$AE$700,MATCH($A36,'REVIEW - Complete Role Mapping'!$AQ$2:$AQ$700,0))</f>
        <v>231689.25</v>
      </c>
      <c r="G36" s="1031">
        <f>$F36*IF(ISNUMBER(SEARCH("WIPRO",INDEX('REVIEW - Complete Role Mapping'!$R$2:$R$700,MATCH($A36,'REVIEW - Complete Role Mapping'!$AQ$2:$AQ$700,0)))),1,IFERROR(INDEX(Lists!$AD$2:$AD$5,MATCH($E36,Lists!$AC$2:$AC$5,0)),NA()))</f>
        <v>231689.25</v>
      </c>
    </row>
    <row r="37" ht="14.25" customHeight="1" s="535">
      <c r="A37" s="1045" t="inlineStr">
        <is>
          <t>R0186</t>
        </is>
      </c>
      <c r="B37" s="929" t="str">
        <f>INDEX('REVIEW - Complete Role Mapping'!$B$2:$B$700,MATCH($A37,'REVIEW - Complete Role Mapping'!$AQ$2:$AQ$700,0))</f>
        <v>Vacant</v>
      </c>
      <c r="C37" s="929" t="str">
        <f>INDEX('REVIEW - Complete Role Mapping'!$D$2:$D$700,MATCH($A37,'REVIEW - Complete Role Mapping'!$AQ$2:$AQ$700,0))</f>
        <v>SAP Functional Specialist</v>
      </c>
      <c r="D37" s="929" t="str">
        <f>INDEX('REVIEW - Complete Role Mapping'!$AF$2:$AF$700,MATCH($A37,'REVIEW - Complete Role Mapping'!$AQ$2:$AQ$700,0))</f>
        <v>Vacant</v>
      </c>
      <c r="E37" s="543" t="inlineStr">
        <is>
          <t>Hire</t>
        </is>
      </c>
      <c r="F37" s="1031">
        <f>INDEX('REVIEW - Complete Role Mapping'!$AE$2:$AE$700,MATCH($A37,'REVIEW - Complete Role Mapping'!$AQ$2:$AQ$700,0))</f>
        <v>231689.25</v>
      </c>
      <c r="G37" s="1031">
        <f>$F37*IF(ISNUMBER(SEARCH("WIPRO",INDEX('REVIEW - Complete Role Mapping'!$R$2:$R$700,MATCH($A37,'REVIEW - Complete Role Mapping'!$AQ$2:$AQ$700,0)))),1,IFERROR(INDEX(Lists!$AD$2:$AD$5,MATCH($E37,Lists!$AC$2:$AC$5,0)),NA()))</f>
        <v>231689.25</v>
      </c>
    </row>
    <row r="38" ht="14.25" customHeight="1" s="535">
      <c r="A38" s="1045" t="inlineStr">
        <is>
          <t>R0205</t>
        </is>
      </c>
      <c r="B38" s="929" t="str">
        <f>INDEX('REVIEW - Complete Role Mapping'!$B$2:$B$700,MATCH($A38,'REVIEW - Complete Role Mapping'!$AQ$2:$AQ$700,0))</f>
        <v>Julma Bhagwani</v>
      </c>
      <c r="C38" s="929" t="str">
        <f>INDEX('REVIEW - Complete Role Mapping'!$D$2:$D$700,MATCH($A38,'REVIEW - Complete Role Mapping'!$AQ$2:$AQ$700,0))</f>
        <v>SAP ERP Application Lead</v>
      </c>
      <c r="D38" s="929" t="str">
        <f>INDEX('REVIEW - Complete Role Mapping'!$AF$2:$AF$700,MATCH($A38,'REVIEW - Complete Role Mapping'!$AQ$2:$AQ$700,0))</f>
        <v>Filled</v>
      </c>
      <c r="E38" s="543" t="inlineStr">
        <is>
          <t>Filled</t>
        </is>
      </c>
      <c r="F38" s="1031">
        <f>INDEX('REVIEW - Complete Role Mapping'!$AE$2:$AE$700,MATCH($A38,'REVIEW - Complete Role Mapping'!$AQ$2:$AQ$700,0))</f>
        <v>239899.5</v>
      </c>
      <c r="G38" s="1031">
        <f>$F38*IF(ISNUMBER(SEARCH("WIPRO",INDEX('REVIEW - Complete Role Mapping'!$R$2:$R$700,MATCH($A38,'REVIEW - Complete Role Mapping'!$AQ$2:$AQ$700,0)))),1,IFERROR(INDEX(Lists!$AD$2:$AD$5,MATCH($E38,Lists!$AC$2:$AC$5,0)),NA()))</f>
        <v>239899.5</v>
      </c>
    </row>
    <row r="39" ht="14.25" customHeight="1" s="535">
      <c r="A39" s="1045" t="inlineStr">
        <is>
          <t>R0207</t>
        </is>
      </c>
      <c r="B39" s="929" t="str">
        <f>INDEX('REVIEW - Complete Role Mapping'!$B$2:$B$700,MATCH($A39,'REVIEW - Complete Role Mapping'!$AQ$2:$AQ$700,0))</f>
        <v>Maudud Chaudhury</v>
      </c>
      <c r="C39" s="929" t="str">
        <f>INDEX('REVIEW - Complete Role Mapping'!$D$2:$D$700,MATCH($A39,'REVIEW - Complete Role Mapping'!$AQ$2:$AQ$700,0))</f>
        <v>SAP ERP Application Lead</v>
      </c>
      <c r="D39" s="929" t="str">
        <f>INDEX('REVIEW - Complete Role Mapping'!$AF$2:$AF$700,MATCH($A39,'REVIEW - Complete Role Mapping'!$AQ$2:$AQ$700,0))</f>
        <v>Filled</v>
      </c>
      <c r="E39" s="543" t="inlineStr">
        <is>
          <t>Filled</t>
        </is>
      </c>
      <c r="F39" s="1031">
        <f>INDEX('REVIEW - Complete Role Mapping'!$AE$2:$AE$700,MATCH($A39,'REVIEW - Complete Role Mapping'!$AQ$2:$AQ$700,0))</f>
        <v>214093.95</v>
      </c>
      <c r="G39" s="1031">
        <f>$F39*IF(ISNUMBER(SEARCH("WIPRO",INDEX('REVIEW - Complete Role Mapping'!$R$2:$R$700,MATCH($A39,'REVIEW - Complete Role Mapping'!$AQ$2:$AQ$700,0)))),1,IFERROR(INDEX(Lists!$AD$2:$AD$5,MATCH($E39,Lists!$AC$2:$AC$5,0)),NA()))</f>
        <v>214093.95</v>
      </c>
    </row>
    <row r="40" ht="14.25" customHeight="1" s="535">
      <c r="A40" s="1045" t="inlineStr">
        <is>
          <t>R0208</t>
        </is>
      </c>
      <c r="B40" s="929" t="str">
        <f>INDEX('REVIEW - Complete Role Mapping'!$B$2:$B$700,MATCH($A40,'REVIEW - Complete Role Mapping'!$AQ$2:$AQ$700,0))</f>
        <v>Vacant</v>
      </c>
      <c r="C40" s="929" t="str">
        <f>INDEX('REVIEW - Complete Role Mapping'!$D$2:$D$700,MATCH($A40,'REVIEW - Complete Role Mapping'!$AQ$2:$AQ$700,0))</f>
        <v>SAP Functional Specialist</v>
      </c>
      <c r="D40" s="929" t="str">
        <f>INDEX('REVIEW - Complete Role Mapping'!$AF$2:$AF$700,MATCH($A40,'REVIEW - Complete Role Mapping'!$AQ$2:$AQ$700,0))</f>
        <v>Vacant</v>
      </c>
      <c r="E40" s="543" t="inlineStr">
        <is>
          <t>Hire</t>
        </is>
      </c>
      <c r="F40" s="1031">
        <f>INDEX('REVIEW - Complete Role Mapping'!$AE$2:$AE$700,MATCH($A40,'REVIEW - Complete Role Mapping'!$AQ$2:$AQ$700,0))</f>
        <v>231689.25</v>
      </c>
      <c r="G40" s="1031">
        <f>$F40*IF(ISNUMBER(SEARCH("WIPRO",INDEX('REVIEW - Complete Role Mapping'!$R$2:$R$700,MATCH($A40,'REVIEW - Complete Role Mapping'!$AQ$2:$AQ$700,0)))),1,IFERROR(INDEX(Lists!$AD$2:$AD$5,MATCH($E40,Lists!$AC$2:$AC$5,0)),NA()))</f>
        <v>231689.25</v>
      </c>
    </row>
    <row r="41" ht="14.25" customHeight="1" s="535">
      <c r="A41" s="1045" t="inlineStr">
        <is>
          <t>R0209</t>
        </is>
      </c>
      <c r="B41" s="929" t="str">
        <f>INDEX('REVIEW - Complete Role Mapping'!$B$2:$B$700,MATCH($A41,'REVIEW - Complete Role Mapping'!$AQ$2:$AQ$700,0))</f>
        <v>Vacant</v>
      </c>
      <c r="C41" s="929" t="str">
        <f>INDEX('REVIEW - Complete Role Mapping'!$D$2:$D$700,MATCH($A41,'REVIEW - Complete Role Mapping'!$AQ$2:$AQ$700,0))</f>
        <v>Solution Architect - Finance</v>
      </c>
      <c r="D41" s="929" t="str">
        <f>INDEX('REVIEW - Complete Role Mapping'!$AF$2:$AF$700,MATCH($A41,'REVIEW - Complete Role Mapping'!$AQ$2:$AQ$700,0))</f>
        <v>Vacant</v>
      </c>
      <c r="E41" s="543" t="inlineStr">
        <is>
          <t>Hire</t>
        </is>
      </c>
      <c r="F41" s="1031">
        <f>INDEX('REVIEW - Complete Role Mapping'!$AE$2:$AE$700,MATCH($A41,'REVIEW - Complete Role Mapping'!$AQ$2:$AQ$700,0))</f>
        <v>231689.25</v>
      </c>
      <c r="G41" s="1031">
        <f>$F41*IF(ISNUMBER(SEARCH("WIPRO",INDEX('REVIEW - Complete Role Mapping'!$R$2:$R$700,MATCH($A41,'REVIEW - Complete Role Mapping'!$AQ$2:$AQ$700,0)))),1,IFERROR(INDEX(Lists!$AD$2:$AD$5,MATCH($E41,Lists!$AC$2:$AC$5,0)),NA()))</f>
        <v>231689.25</v>
      </c>
    </row>
    <row r="42" ht="14.25" customHeight="1" s="535">
      <c r="A42" s="1045" t="inlineStr">
        <is>
          <t>R0229</t>
        </is>
      </c>
      <c r="B42" s="929" t="str">
        <f>INDEX('REVIEW - Complete Role Mapping'!$B$2:$B$700,MATCH($A42,'REVIEW - Complete Role Mapping'!$AQ$2:$AQ$700,0))</f>
        <v>Vacant</v>
      </c>
      <c r="C42" s="929" t="str">
        <f>INDEX('REVIEW - Complete Role Mapping'!$D$2:$D$700,MATCH($A42,'REVIEW - Complete Role Mapping'!$AQ$2:$AQ$700,0))</f>
        <v>Delivery Lead (SAP)</v>
      </c>
      <c r="D42" s="929" t="str">
        <f>INDEX('REVIEW - Complete Role Mapping'!$AF$2:$AF$700,MATCH($A42,'REVIEW - Complete Role Mapping'!$AQ$2:$AQ$700,0))</f>
        <v>Vacant</v>
      </c>
      <c r="E42" s="543" t="inlineStr">
        <is>
          <t>Hire</t>
        </is>
      </c>
      <c r="F42" s="1031">
        <f>INDEX('REVIEW - Complete Role Mapping'!$AE$2:$AE$700,MATCH($A42,'REVIEW - Complete Role Mapping'!$AQ$2:$AQ$700,0))</f>
        <v>231689.25</v>
      </c>
      <c r="G42" s="1031">
        <f>$F42*IF(ISNUMBER(SEARCH("WIPRO",INDEX('REVIEW - Complete Role Mapping'!$R$2:$R$700,MATCH($A42,'REVIEW - Complete Role Mapping'!$AQ$2:$AQ$700,0)))),1,IFERROR(INDEX(Lists!$AD$2:$AD$5,MATCH($E42,Lists!$AC$2:$AC$5,0)),NA()))</f>
        <v>231689.25</v>
      </c>
    </row>
    <row r="43" ht="14.25" customHeight="1" s="535">
      <c r="A43" s="1045" t="inlineStr">
        <is>
          <t>R0351</t>
        </is>
      </c>
      <c r="B43" s="929" t="str">
        <f>INDEX('REVIEW - Complete Role Mapping'!$B$2:$B$700,MATCH($A43,'REVIEW - Complete Role Mapping'!$AQ$2:$AQ$700,0))</f>
        <v>Vacant </v>
      </c>
      <c r="C43" s="929" t="str">
        <f>INDEX('REVIEW - Complete Role Mapping'!$D$2:$D$700,MATCH($A43,'REVIEW - Complete Role Mapping'!$AQ$2:$AQ$700,0))</f>
        <v>Integration Specialist (ASAPIO CTRM)</v>
      </c>
      <c r="D43" s="929" t="str">
        <f>INDEX('REVIEW - Complete Role Mapping'!$AF$2:$AF$700,MATCH($A43,'REVIEW - Complete Role Mapping'!$AQ$2:$AQ$700,0))</f>
        <v>Vacant</v>
      </c>
      <c r="E43" s="543" t="inlineStr">
        <is>
          <t>Hire</t>
        </is>
      </c>
      <c r="F43" s="1031">
        <f>INDEX('REVIEW - Complete Role Mapping'!$AE$2:$AE$700,MATCH($A43,'REVIEW - Complete Role Mapping'!$AQ$2:$AQ$700,0))</f>
        <v>174856.62</v>
      </c>
      <c r="G43" s="1031">
        <f>$F43*IF(ISNUMBER(SEARCH("WIPRO",INDEX('REVIEW - Complete Role Mapping'!$R$2:$R$700,MATCH($A43,'REVIEW - Complete Role Mapping'!$AQ$2:$AQ$700,0)))),1,IFERROR(INDEX(Lists!$AD$2:$AD$5,MATCH($E43,Lists!$AC$2:$AC$5,0)),NA()))</f>
        <v>174856.62</v>
      </c>
    </row>
    <row r="44" ht="14.25" customHeight="1" s="535">
      <c r="B44" s="1029" t="inlineStr">
        <is>
          <t>Technology Manager</t>
        </is>
      </c>
      <c r="C44" s="1029" t="str">
        <f>COUNTIF($B$45:$B$45,"?*")&amp;IF(COUNTIF($B$45:$B$45,"?*")=1," role"," roles")</f>
        <v>1 role</v>
      </c>
      <c r="D44" s="1029" t="n"/>
      <c r="E44" s="1029" t="n"/>
      <c r="F44" s="1044">
        <f>SUM(F45:F45)</f>
        <v>323560.45</v>
      </c>
      <c r="G44" s="1044">
        <f>SUM(G45:G45)</f>
        <v>323560.45</v>
      </c>
    </row>
    <row r="45" ht="14.25" customHeight="1" s="535">
      <c r="A45" s="1045" t="inlineStr">
        <is>
          <t>R0123</t>
        </is>
      </c>
      <c r="B45" s="929" t="str">
        <f>INDEX('REVIEW - Complete Role Mapping'!$B$2:$B$700,MATCH($A45,'REVIEW - Complete Role Mapping'!$AQ$2:$AQ$700,0))</f>
        <v>Shane Ker</v>
      </c>
      <c r="C45" s="929" t="str">
        <f>INDEX('REVIEW - Complete Role Mapping'!$D$2:$D$700,MATCH($A45,'REVIEW - Complete Role Mapping'!$AQ$2:$AQ$700,0))</f>
        <v>Technology Manger - Finance Platfoms</v>
      </c>
      <c r="D45" s="929" t="str">
        <f>INDEX('REVIEW - Complete Role Mapping'!$AF$2:$AF$700,MATCH($A45,'REVIEW - Complete Role Mapping'!$AQ$2:$AQ$700,0))</f>
        <v>Filled</v>
      </c>
      <c r="E45" s="543" t="inlineStr">
        <is>
          <t>Filled</t>
        </is>
      </c>
      <c r="F45" s="1031">
        <f>INDEX('REVIEW - Complete Role Mapping'!$AE$2:$AE$700,MATCH($A45,'REVIEW - Complete Role Mapping'!$AQ$2:$AQ$700,0))</f>
        <v>323560.45</v>
      </c>
      <c r="G45" s="1031">
        <f>$F45*IF(ISNUMBER(SEARCH("WIPRO",INDEX('REVIEW - Complete Role Mapping'!$R$2:$R$700,MATCH($A45,'REVIEW - Complete Role Mapping'!$AQ$2:$AQ$700,0)))),1,IFERROR(INDEX(Lists!$AD$2:$AD$5,MATCH($E45,Lists!$AC$2:$AC$5,0)),NA()))</f>
        <v>323560.45</v>
      </c>
    </row>
    <row r="46"/>
    <row r="47" ht="14.25" customHeight="1" s="535">
      <c r="B47" s="1040" t="inlineStr">
        <is>
          <t>Vacancy levers on this tab, for the executive summary</t>
        </is>
      </c>
      <c r="J47" s="1046">
        <f>COUNTIFS($D$25:$D$45,"Vacant",$E$25:$E$45,"Hire")</f>
        <v>9</v>
      </c>
      <c r="K47" s="1046">
        <f>COUNTIFS($D$25:$D$45,"Vacant",$E$25:$E$45,"Offshore")</f>
        <v>0</v>
      </c>
      <c r="L47" s="1046">
        <f>COUNTIFS($D$25:$D$45,"Vacant",$E$25:$E$45,"Hold")</f>
        <v>0</v>
      </c>
      <c r="M47" s="1046">
        <f>COUNTIFS($D$25:$D$45,"Vacant",$E$25:$E$45,"Filled")</f>
        <v>0</v>
      </c>
      <c r="N47" s="1046">
        <f>COUNTIFS($D$25:$D$45,"Filled",$E$25:$E$45,"Offshore")</f>
        <v>0</v>
      </c>
    </row>
  </sheetData>
  <dataValidations count="1">
    <dataValidation sqref="E26 E28:E33 E35:E43 E45"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1"/>
  </sheetPr>
  <dimension ref="A1:T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24" activeCellId="0" sqref="G24"/>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Infrastructure - working copy</t>
        </is>
      </c>
    </row>
    <row r="3" ht="14.25" customHeight="1" s="535">
      <c r="B3" s="709" t="inlineStr">
        <is>
          <t>Portfolio</t>
        </is>
      </c>
      <c r="C3" s="868" t="inlineStr">
        <is>
          <t>Infrastructure</t>
        </is>
      </c>
    </row>
    <row r="4" ht="18.75" customHeight="1" s="535">
      <c r="B4" s="537" t="inlineStr">
        <is>
          <t>Infrastructure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Data &amp; Insights</t>
        </is>
      </c>
      <c r="C8" s="929" t="str">
        <f>IFERROR(IF(INDEX('1.7 Infrastructure'!$C$24:$C$41,MATCH($B8,'1.7 Infrastructure'!$B$24:$B$41,0))="","",INDEX('1.7 Infrastructure'!$C$24:$C$41,MATCH($B8,'1.7 Infrastructure'!$B$24:$B$41,0))),"Not on the 1.x tab")</f>
        <v>Configuration / Integration</v>
      </c>
      <c r="D8" s="929" t="str">
        <f>IFERROR(IF(INDEX('1.7 Infrastructure'!$D$24:$D$41,MATCH($B8,'1.7 Infrastructure'!$B$24:$B$41,0))="","",INDEX('1.7 Infrastructure'!$D$24:$D$41,MATCH($B8,'1.7 Infrastructure'!$B$24:$B$41,0))),"")</f>
        <v>S</v>
      </c>
      <c r="E8" s="1030">
        <f>IFERROR(INDEX('0.3 Squad Archetypes'!$F$5:$F$23,MATCH($C8&amp;"|"&amp;$D8,'0.3 Squad Archetypes'!$A$5:$A$23,0)),"")</f>
        <v>6</v>
      </c>
      <c r="F8" s="1031">
        <f>COUNTIF($B$28:$B$34,"?*")</f>
        <v>7</v>
      </c>
      <c r="G8" s="1030">
        <f>ROUND(SUMIFS('REVIEW - Complete Role Mapping'!$P$2:$P$700,'REVIEW - Complete Role Mapping'!$AH$2:$AH$700,$C$3,'REVIEW - Complete Role Mapping'!$AL$2:$AL$700,$B8),2)</f>
        <v>7</v>
      </c>
      <c r="H8" s="1031">
        <f>COUNTIFS($D$28:$D$34,"Filled")</f>
        <v>5</v>
      </c>
      <c r="I8" s="1031">
        <f>COUNTIFS($D$28:$D$34,"Vacant")</f>
        <v>2</v>
      </c>
      <c r="J8" s="1031">
        <f>COUNTIFS($D$28:$D$34,"Vacant",$E$28:$E$34,"Hire")</f>
        <v>0</v>
      </c>
      <c r="K8" s="1031">
        <f>COUNTIFS($E$28:$E$34,"Offshore")</f>
        <v>5</v>
      </c>
      <c r="L8" s="1031">
        <f>COUNTIFS($E$28:$E$34,"Hold")</f>
        <v>0</v>
      </c>
      <c r="M8" s="1031">
        <f>$F8-$L8</f>
        <v>7</v>
      </c>
      <c r="N8" s="1032">
        <f>IFERROR(IF(ISNUMBER(INDEX('1.7 Infrastructure'!$H$24:$H$41,MATCH($B8,'1.7 Infrastructure'!$B$24:$B$41,0))),INDEX('1.7 Infrastructure'!$H$24:$H$41,MATCH($B8,'1.7 Infrastructure'!$B$24:$B$41,0)),""),"")</f>
        <v>0.56</v>
      </c>
      <c r="O8" s="1032">
        <f>SUMIFS('REVIEW - Complete Role Mapping'!$AE$2:$AE$700,'REVIEW - Complete Role Mapping'!$AH$2:$AH$700,$C$3,'REVIEW - Complete Role Mapping'!$AL$2:$AL$700,$B8)/1000000</f>
        <v>1.53594675</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1.53594675</v>
      </c>
      <c r="R8" s="1032">
        <f>IFERROR(ROUND(IF(COUNTIF(Lists!$AU$2:$AU$10,$B8),$O8,$Q8)-$N8,6),"")</f>
        <v>0.975947</v>
      </c>
      <c r="S8" s="1032">
        <f>SUM($G$28:$G$34)/1000000</f>
        <v>0.89963235</v>
      </c>
      <c r="T8" s="1032">
        <f>IFERROR(ROUND($S8-$N8,6),"")</f>
        <v>0.339632</v>
      </c>
    </row>
    <row r="9" ht="14.25" customHeight="1" s="535">
      <c r="B9" s="929" t="inlineStr">
        <is>
          <t>Distribution, Sales &amp; Services</t>
        </is>
      </c>
      <c r="C9" s="929" t="str">
        <f>IFERROR(IF(INDEX('1.7 Infrastructure'!$C$24:$C$41,MATCH($B9,'1.7 Infrastructure'!$B$24:$B$41,0))="","",INDEX('1.7 Infrastructure'!$C$24:$C$41,MATCH($B9,'1.7 Infrastructure'!$B$24:$B$41,0))),"Not on the 1.x tab")</f>
        <v>Configuration / Integration</v>
      </c>
      <c r="D9" s="929" t="str">
        <f>IFERROR(IF(INDEX('1.7 Infrastructure'!$D$24:$D$41,MATCH($B9,'1.7 Infrastructure'!$B$24:$B$41,0))="","",INDEX('1.7 Infrastructure'!$D$24:$D$41,MATCH($B9,'1.7 Infrastructure'!$B$24:$B$41,0))),"")</f>
        <v>M</v>
      </c>
      <c r="E9" s="1030">
        <f>IFERROR(INDEX('0.3 Squad Archetypes'!$F$5:$F$23,MATCH($C9&amp;"|"&amp;$D9,'0.3 Squad Archetypes'!$A$5:$A$23,0)),"")</f>
        <v>9</v>
      </c>
      <c r="F9" s="1031">
        <f>COUNTIF($B$36:$B$45,"?*")</f>
        <v>10</v>
      </c>
      <c r="G9" s="1030">
        <f>ROUND(SUMIFS('REVIEW - Complete Role Mapping'!$P$2:$P$700,'REVIEW - Complete Role Mapping'!$AH$2:$AH$700,$C$3,'REVIEW - Complete Role Mapping'!$AL$2:$AL$700,$B9),2)</f>
        <v>10</v>
      </c>
      <c r="H9" s="1031">
        <f>COUNTIFS($D$36:$D$45,"Filled")</f>
        <v>8</v>
      </c>
      <c r="I9" s="1031">
        <f>COUNTIFS($D$36:$D$45,"Vacant")</f>
        <v>2</v>
      </c>
      <c r="J9" s="1031">
        <f>COUNTIFS($D$36:$D$45,"Vacant",$E$36:$E$45,"Hire")</f>
        <v>1</v>
      </c>
      <c r="K9" s="1031">
        <f>COUNTIFS($E$36:$E$45,"Offshore")</f>
        <v>0</v>
      </c>
      <c r="L9" s="1031">
        <f>COUNTIFS($E$36:$E$45,"Hold")</f>
        <v>1</v>
      </c>
      <c r="M9" s="1031">
        <f>$F9-$L9</f>
        <v>9</v>
      </c>
      <c r="N9" s="1032">
        <f>IFERROR(IF(ISNUMBER(INDEX('1.7 Infrastructure'!$H$24:$H$41,MATCH($B9,'1.7 Infrastructure'!$B$24:$B$41,0))),INDEX('1.7 Infrastructure'!$H$24:$H$41,MATCH($B9,'1.7 Infrastructure'!$B$24:$B$41,0)),""),"")</f>
        <v>2.1</v>
      </c>
      <c r="O9" s="1032">
        <f>SUMIFS('REVIEW - Complete Role Mapping'!$AE$2:$AE$700,'REVIEW - Complete Role Mapping'!$AH$2:$AH$700,$C$3,'REVIEW - Complete Role Mapping'!$AL$2:$AL$700,$B9)/1000000</f>
        <v>2.12727365</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2.12727365</v>
      </c>
      <c r="R9" s="1032">
        <f>IFERROR(ROUND(IF(COUNTIF(Lists!$AU$2:$AU$10,$B9),$O9,$Q9)-$N9,6),"")</f>
        <v>0.027274</v>
      </c>
      <c r="S9" s="1032">
        <f>SUM($G$36:$G$45)/1000000</f>
        <v>1.9567839</v>
      </c>
      <c r="T9" s="1032">
        <f>IFERROR(ROUND($S9-$N9,6),"")</f>
        <v>-0.143216</v>
      </c>
    </row>
    <row r="10" ht="14.25" customHeight="1" s="535">
      <c r="B10" s="929" t="inlineStr">
        <is>
          <t>Manufacturing Group Projects</t>
        </is>
      </c>
      <c r="C10" s="929" t="str">
        <f>IFERROR(IF(INDEX('1.7 Infrastructure'!$C$24:$C$41,MATCH($B10,'1.7 Infrastructure'!$B$24:$B$41,0))="","",INDEX('1.7 Infrastructure'!$C$24:$C$41,MATCH($B10,'1.7 Infrastructure'!$B$24:$B$41,0))),"Not on the 1.x tab")</f>
        <v>Configuration / Integration</v>
      </c>
      <c r="D10" s="929" t="str">
        <f>IFERROR(IF(INDEX('1.7 Infrastructure'!$D$24:$D$41,MATCH($B10,'1.7 Infrastructure'!$B$24:$B$41,0))="","",INDEX('1.7 Infrastructure'!$D$24:$D$41,MATCH($B10,'1.7 Infrastructure'!$B$24:$B$41,0))),"")</f>
        <v>M</v>
      </c>
      <c r="E10" s="1030">
        <f>IFERROR(INDEX('0.3 Squad Archetypes'!$F$5:$F$23,MATCH($C10&amp;"|"&amp;$D10,'0.3 Squad Archetypes'!$A$5:$A$23,0)),"")</f>
        <v>9</v>
      </c>
      <c r="F10" s="1031">
        <f>COUNTIF($B$49:$B$57,"?*")</f>
        <v>9</v>
      </c>
      <c r="G10" s="1030">
        <f>ROUND(SUMIFS('REVIEW - Complete Role Mapping'!$P$2:$P$700,'REVIEW - Complete Role Mapping'!$AH$2:$AH$700,$C$3,'REVIEW - Complete Role Mapping'!$AL$2:$AL$700,$B10),2)</f>
        <v>9</v>
      </c>
      <c r="H10" s="1031">
        <f>COUNTIFS($D$49:$D$57,"Filled")</f>
        <v>7</v>
      </c>
      <c r="I10" s="1031">
        <f>COUNTIFS($D$49:$D$57,"Vacant")</f>
        <v>2</v>
      </c>
      <c r="J10" s="1031">
        <f>COUNTIFS($D$49:$D$57,"Vacant",$E$49:$E$57,"Hire")</f>
        <v>0</v>
      </c>
      <c r="K10" s="1031">
        <f>COUNTIFS($E$49:$E$57,"Offshore")</f>
        <v>0</v>
      </c>
      <c r="L10" s="1031">
        <f>COUNTIFS($E$49:$E$57,"Hold")</f>
        <v>1</v>
      </c>
      <c r="M10" s="1031">
        <f>$F10-$L10</f>
        <v>8</v>
      </c>
      <c r="N10" s="1032">
        <f>IFERROR(IF(ISNUMBER(INDEX('1.7 Infrastructure'!$H$24:$H$41,MATCH($B10,'1.7 Infrastructure'!$B$24:$B$41,0))),INDEX('1.7 Infrastructure'!$H$24:$H$41,MATCH($B10,'1.7 Infrastructure'!$B$24:$B$41,0)),""),"")</f>
        <v>2.1</v>
      </c>
      <c r="O10" s="1032">
        <f>SUMIFS('REVIEW - Complete Role Mapping'!$AE$2:$AE$700,'REVIEW - Complete Role Mapping'!$AH$2:$AH$700,$C$3,'REVIEW - Complete Role Mapping'!$AL$2:$AL$700,$B10)/1000000</f>
        <v>1.9147733</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1.9147733</v>
      </c>
      <c r="R10" s="1032">
        <f>IFERROR(ROUND(IF(COUNTIF(Lists!$AU$2:$AU$10,$B10),$O10,$Q10)-$N10,6),"")</f>
        <v>-0.185227</v>
      </c>
      <c r="S10" s="1032">
        <f>SUM($G$49:$G$57)/1000000</f>
        <v>1.68308405</v>
      </c>
      <c r="T10" s="1032">
        <f>IFERROR(ROUND($S10-$N10,6),"")</f>
        <v>-0.416916</v>
      </c>
    </row>
    <row r="11" ht="14.25" customHeight="1" s="535">
      <c r="B11" s="929" t="inlineStr">
        <is>
          <t>Technology Support</t>
        </is>
      </c>
      <c r="C11" s="929" t="str">
        <f>IFERROR(IF(INDEX('1.7 Infrastructure'!$C$24:$C$41,MATCH($B11,'1.7 Infrastructure'!$B$24:$B$41,0))="","",INDEX('1.7 Infrastructure'!$C$24:$C$41,MATCH($B11,'1.7 Infrastructure'!$B$24:$B$41,0))),"Not on the 1.x tab")</f>
        <v>Operations</v>
      </c>
      <c r="D11" s="929" t="str">
        <f>IFERROR(IF(INDEX('1.7 Infrastructure'!$D$24:$D$41,MATCH($B11,'1.7 Infrastructure'!$B$24:$B$41,0))="","",INDEX('1.7 Infrastructure'!$D$24:$D$41,MATCH($B11,'1.7 Infrastructure'!$B$24:$B$41,0))),"")</f>
        <v>S</v>
      </c>
      <c r="E11" s="1030">
        <f>IFERROR(INDEX('0.3 Squad Archetypes'!$F$5:$F$23,MATCH($C11&amp;"|"&amp;$D11,'0.3 Squad Archetypes'!$A$5:$A$23,0)),"")</f>
        <v>4</v>
      </c>
      <c r="F11" s="1031">
        <f>COUNTIF($B$59:$B$63,"?*")</f>
        <v>5</v>
      </c>
      <c r="G11" s="1030">
        <f>ROUND(SUMIFS('REVIEW - Complete Role Mapping'!$P$2:$P$700,'REVIEW - Complete Role Mapping'!$AH$2:$AH$700,$C$3,'REVIEW - Complete Role Mapping'!$AL$2:$AL$700,$B11),2)</f>
        <v>5</v>
      </c>
      <c r="H11" s="1031">
        <f>COUNTIFS($D$59:$D$63,"Filled")</f>
        <v>5</v>
      </c>
      <c r="I11" s="1031">
        <f>COUNTIFS($D$59:$D$63,"Vacant")</f>
        <v>0</v>
      </c>
      <c r="J11" s="1031">
        <f>COUNTIFS($D$59:$D$63,"Vacant",$E$59:$E$63,"Hire")</f>
        <v>0</v>
      </c>
      <c r="K11" s="1031">
        <f>COUNTIFS($E$59:$E$63,"Offshore")</f>
        <v>0</v>
      </c>
      <c r="L11" s="1031">
        <f>COUNTIFS($E$59:$E$63,"Hold")</f>
        <v>0</v>
      </c>
      <c r="M11" s="1031">
        <f>$F11-$L11</f>
        <v>5</v>
      </c>
      <c r="N11" s="1032">
        <f>IFERROR(IF(ISNUMBER(INDEX('1.7 Infrastructure'!$H$24:$H$41,MATCH($B11,'1.7 Infrastructure'!$B$24:$B$41,0))),INDEX('1.7 Infrastructure'!$H$24:$H$41,MATCH($B11,'1.7 Infrastructure'!$B$24:$B$41,0)),""),"")</f>
        <v>0.8</v>
      </c>
      <c r="O11" s="1032">
        <f>SUMIFS('REVIEW - Complete Role Mapping'!$AE$2:$AE$700,'REVIEW - Complete Role Mapping'!$AH$2:$AH$700,$C$3,'REVIEW - Complete Role Mapping'!$AL$2:$AL$700,$B11)/1000000</f>
        <v>0.74133529</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0.74133529</v>
      </c>
      <c r="R11" s="1032">
        <f>IFERROR(ROUND(IF(COUNTIF(Lists!$AU$2:$AU$10,$B11),$O11,$Q11)-$N11,6),"")</f>
        <v>-0.058665</v>
      </c>
      <c r="S11" s="1032">
        <f>SUM($G$59:$G$63)/1000000</f>
        <v>0.74133529</v>
      </c>
      <c r="T11" s="1032">
        <f>IFERROR(ROUND($S11-$N11,6),"")</f>
        <v>-0.058665</v>
      </c>
    </row>
    <row r="12" ht="14.25" customHeight="1" s="535">
      <c r="B12" s="1033" t="inlineStr">
        <is>
          <t>Squads total</t>
        </is>
      </c>
      <c r="C12" s="1033" t="n"/>
      <c r="D12" s="1033" t="n"/>
      <c r="E12" s="1034">
        <f>SUM(E8:E11)</f>
        <v>28</v>
      </c>
      <c r="F12" s="1035">
        <f>SUM(F8:F11)</f>
        <v>31</v>
      </c>
      <c r="G12" s="1034">
        <f>SUM(G8:G11)</f>
        <v>31</v>
      </c>
      <c r="H12" s="1035">
        <f>SUM(H8:H11)</f>
        <v>25</v>
      </c>
      <c r="I12" s="1035">
        <f>SUM(I8:I11)</f>
        <v>6</v>
      </c>
      <c r="J12" s="1035">
        <f>SUM(J8:J11)</f>
        <v>1</v>
      </c>
      <c r="K12" s="1035">
        <f>SUM(K8:K11)</f>
        <v>5</v>
      </c>
      <c r="L12" s="1035">
        <f>SUM(L8:L11)</f>
        <v>2</v>
      </c>
      <c r="M12" s="1035">
        <f>SUM(M8:M11)</f>
        <v>29</v>
      </c>
      <c r="N12" s="1036">
        <f>IF(COUNT(N8:N11)=0,"",SUM(N8:N11))</f>
        <v>5.56</v>
      </c>
      <c r="O12" s="1036">
        <f>SUM(O8:O11)</f>
        <v>6.31932899</v>
      </c>
      <c r="P12" s="1036">
        <f>SUM(P8:P11)</f>
        <v>0</v>
      </c>
      <c r="Q12" s="1036">
        <f>SUM(Q8:Q11)</f>
        <v>6.31932899</v>
      </c>
      <c r="R12" s="1036">
        <f>IF(COUNT(N8:N11)=4,ROUND($O12-$N12,6),"")</f>
        <v>0.759329</v>
      </c>
      <c r="S12" s="1036">
        <f>SUM(S8:S11)</f>
        <v>5.28083559</v>
      </c>
      <c r="T12" s="1036">
        <f>IF(COUNT(N8:N11)=4,ROUND($S12-$N12,6),"")</f>
        <v>-0.279164</v>
      </c>
    </row>
    <row r="13" ht="14.25" customHeight="1" s="535">
      <c r="B13" s="1029" t="inlineStr">
        <is>
          <t>No archetype in 1.x tabs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Leadership</t>
        </is>
      </c>
      <c r="C14" s="929" t="str">
        <f>IFERROR(IF(INDEX('1.7 Infrastructure'!$C$24:$C$41,MATCH($B14,'1.7 Infrastructure'!$B$24:$B$41,0))="","",INDEX('1.7 Infrastructure'!$C$24:$C$41,MATCH($B14,'1.7 Infrastructure'!$B$24:$B$41,0))),"Not on the 1.x tab")</f>
        <v>Not on the 1.x tab</v>
      </c>
      <c r="D14" s="929">
        <f>IFERROR(IF(INDEX('1.7 Infrastructure'!$D$24:$D$41,MATCH($B14,'1.7 Infrastructure'!$B$24:$B$41,0))="","",INDEX('1.7 Infrastructure'!$D$24:$D$41,MATCH($B14,'1.7 Infrastructure'!$B$24:$B$41,0))),"")</f>
        <v/>
      </c>
      <c r="E14" s="1030">
        <f>""</f>
        <v/>
      </c>
      <c r="F14" s="1031">
        <f>COUNTIF($B$47:$B$47,"?*")</f>
        <v>1</v>
      </c>
      <c r="G14" s="1030">
        <f>ROUND(SUMIFS('REVIEW - Complete Role Mapping'!$P$2:$P$700,'REVIEW - Complete Role Mapping'!$AH$2:$AH$700,$C$3,'REVIEW - Complete Role Mapping'!$AL$2:$AL$700,$B14),2)</f>
        <v>1</v>
      </c>
      <c r="H14" s="1031">
        <f>COUNTIFS($D$47:$D$47,"Filled")</f>
        <v>1</v>
      </c>
      <c r="I14" s="1031">
        <f>COUNTIFS($D$47:$D$47,"Vacant")</f>
        <v>0</v>
      </c>
      <c r="J14" s="1031">
        <f>COUNTIFS($D$47:$D$47,"Vacant",$E$47:$E$47,"Hire")</f>
        <v>0</v>
      </c>
      <c r="K14" s="1031">
        <f>COUNTIFS($E$47:$E$47,"Offshore")</f>
        <v>0</v>
      </c>
      <c r="L14" s="1031">
        <f>COUNTIFS($E$47:$E$47,"Hold")</f>
        <v>0</v>
      </c>
      <c r="M14" s="1031">
        <f>$F14-$L14</f>
        <v>1</v>
      </c>
      <c r="N14" s="1032">
        <f>IFERROR(IF(N(INDEX('1.7 Infrastructure'!$H$24:$H$41,MATCH($B14,'1.7 Infrastructure'!$B$24:$B$41,0)))&gt;0,INDEX('1.7 Infrastructure'!$H$24:$H$41,MATCH($B14,'1.7 Infrastructure'!$B$24:$B$41,0)),IF(N(INDEX('1.7 Infrastructure'!$I$24:$I$41,MATCH($B14,'1.7 Infrastructure'!$B$24:$B$41,0)))&gt;0,INDEX('1.7 Infrastructure'!$I$24:$I$41,MATCH($B14,'1.7 Infrastructure'!$B$24:$B$41,0)),"")),"")</f>
        <v/>
      </c>
      <c r="O14" s="1032">
        <f>SUMIFS('REVIEW - Complete Role Mapping'!$AE$2:$AE$700,'REVIEW - Complete Role Mapping'!$AH$2:$AH$700,$C$3,'REVIEW - Complete Role Mapping'!$AL$2:$AL$700,$B14)/1000000</f>
        <v>0.2566671</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0.2566671</v>
      </c>
      <c r="R14" s="1032">
        <f>IFERROR(ROUND(IF(COUNTIF(Lists!$AU$2:$AU$10,$B14),$O14,$Q14)-$N14,6),"")</f>
        <v/>
      </c>
      <c r="S14" s="1032">
        <f>SUM($G$47:$G$47)/1000000</f>
        <v>0.2566671</v>
      </c>
      <c r="T14" s="1032">
        <f>IFERROR(ROUND($S14-$N14,6),"")</f>
        <v/>
      </c>
    </row>
    <row r="15" ht="14.25" customHeight="1" s="535">
      <c r="B15" s="1029" t="inlineStr">
        <is>
          <t>Overhead roles</t>
        </is>
      </c>
      <c r="C15" s="1029" t="n"/>
      <c r="D15" s="1029" t="n"/>
      <c r="E15" s="1029" t="n"/>
      <c r="F15" s="1029" t="n"/>
      <c r="G15" s="1029" t="n"/>
      <c r="H15" s="1029" t="n"/>
      <c r="I15" s="1029" t="n"/>
      <c r="J15" s="1029" t="n"/>
      <c r="K15" s="1029" t="n"/>
      <c r="L15" s="1029" t="n"/>
      <c r="M15" s="1029" t="n"/>
      <c r="N15" s="1029" t="n"/>
      <c r="O15" s="1029" t="n"/>
      <c r="P15" s="1029" t="n"/>
      <c r="Q15" s="1029" t="n"/>
      <c r="R15" s="1029" t="n"/>
      <c r="S15" s="1029" t="n"/>
      <c r="T15" s="1029" t="n"/>
    </row>
    <row r="16" ht="14.25" customHeight="1" s="535">
      <c r="B16" s="929" t="inlineStr">
        <is>
          <t>Head of Technology</t>
        </is>
      </c>
      <c r="C16" s="929">
        <f>""</f>
        <v/>
      </c>
      <c r="D16" s="929">
        <f>""</f>
        <v/>
      </c>
      <c r="E16" s="1030">
        <f>'0.2 Data Config'!$M$6</f>
        <v>0.5</v>
      </c>
      <c r="F16" s="1031">
        <f>COUNTIF($B$65:$B$65,"?*")</f>
        <v>1</v>
      </c>
      <c r="G16" s="1030">
        <f>ROUND(SUMIFS('REVIEW - Complete Role Mapping'!$P$2:$P$700,'REVIEW - Complete Role Mapping'!$AH$2:$AH$700,$C$3,'REVIEW - Complete Role Mapping'!$AL$2:$AL$700,$B16),2)</f>
        <v>1</v>
      </c>
      <c r="H16" s="1031">
        <f>COUNTIFS($D$65:$D$65,"Filled")</f>
        <v>1</v>
      </c>
      <c r="I16" s="1031">
        <f>COUNTIFS($D$65:$D$65,"Vacant")</f>
        <v>0</v>
      </c>
      <c r="J16" s="1031">
        <f>COUNTIFS($D$65:$D$65,"Vacant",$E$65:$E$65,"Hire")</f>
        <v>0</v>
      </c>
      <c r="K16" s="1031">
        <f>COUNTIFS($E$65:$E$65,"Offshore")</f>
        <v>0</v>
      </c>
      <c r="L16" s="1031">
        <f>COUNTIFS($E$65:$E$65,"Hold")</f>
        <v>0</v>
      </c>
      <c r="M16" s="1031">
        <f>$F16-$L16</f>
        <v>1</v>
      </c>
      <c r="N16" s="1032">
        <f>'0.2 Data Config'!$N$6</f>
        <v>0.1375</v>
      </c>
      <c r="O16" s="1032">
        <f>SUMIFS('REVIEW - Complete Role Mapping'!$AE$2:$AE$700,'REVIEW - Complete Role Mapping'!$AH$2:$AH$700,$C$3,'REVIEW - Complete Role Mapping'!$AL$2:$AL$700,$B16)/1000000</f>
        <v>0.3636267</v>
      </c>
      <c r="P16" s="1032">
        <f>IFERROR(IF(ISNUMBER(INDEX(Lists!$AW$2:$AW$10,MATCH($B16,Lists!$AU$2:$AU$10,0))),INDEX(Lists!$AW$2:$AW$10,MATCH($B16,Lists!$AU$2:$AU$10,0)),SUMIFS('REVIEW - Complete Role Mapping'!$AE$2:$AE$700,'REVIEW - Complete Role Mapping'!$AH$2:$AH$700,$C$3,'REVIEW - Complete Role Mapping'!$AL$2:$AL$700,$B16,'REVIEW - Complete Role Mapping'!$AM$2:$AM$700,1)/1000000),SUMIFS('REVIEW - Complete Role Mapping'!$AE$2:$AE$700,'REVIEW - Complete Role Mapping'!$AH$2:$AH$700,$C$3,'REVIEW - Complete Role Mapping'!$AL$2:$AL$700,$B16,'REVIEW - Complete Role Mapping'!$AM$2:$AM$700,1)/1000000)</f>
        <v>0</v>
      </c>
      <c r="Q16" s="1032">
        <f>$O16-$P16</f>
        <v>0.3636267</v>
      </c>
      <c r="R16" s="1032">
        <f>ROUND(IF(COUNTIF(Lists!$AU$2:$AU$10,$B16),$O16,$Q16)-$N16,6)</f>
        <v>0.226127</v>
      </c>
      <c r="S16" s="1032">
        <f>SUM($G$65:$G$65)/1000000</f>
        <v>0.3636267</v>
      </c>
      <c r="T16" s="1032">
        <f>ROUND($S16-$N16,6)</f>
        <v>0.226127</v>
      </c>
    </row>
    <row r="17" ht="14.25" customHeight="1" s="535">
      <c r="B17" s="929" t="inlineStr">
        <is>
          <t>Delivery Manager</t>
        </is>
      </c>
      <c r="C17" s="929">
        <f>""</f>
        <v/>
      </c>
      <c r="D17" s="929">
        <f>""</f>
        <v/>
      </c>
      <c r="E17" s="1030">
        <f>'0.2 Data Config'!$M$14*(N('1.7 Infrastructure'!$F$7)/'0.2 Data Config'!$N$16)</f>
        <v>0.9</v>
      </c>
      <c r="F17" s="1031">
        <f>COUNTIF($B$67:$B$67,"?*")</f>
        <v>1</v>
      </c>
      <c r="G17" s="1030">
        <f>ROUND(SUMIFS('REVIEW - Complete Role Mapping'!$P$2:$P$700,'REVIEW - Complete Role Mapping'!$AH$2:$AH$700,$C$3,'REVIEW - Complete Role Mapping'!$AL$2:$AL$700,$B17),2)</f>
        <v>1</v>
      </c>
      <c r="H17" s="1031">
        <f>COUNTIFS($D$67:$D$67,"Filled")</f>
        <v>1</v>
      </c>
      <c r="I17" s="1031">
        <f>COUNTIFS($D$67:$D$67,"Vacant")</f>
        <v>0</v>
      </c>
      <c r="J17" s="1031">
        <f>COUNTIFS($D$67:$D$67,"Vacant",$E$67:$E$67,"Hire")</f>
        <v>0</v>
      </c>
      <c r="K17" s="1031">
        <f>COUNTIFS($E$67:$E$67,"Offshore")</f>
        <v>0</v>
      </c>
      <c r="L17" s="1031">
        <f>COUNTIFS($E$67:$E$67,"Hold")</f>
        <v>0</v>
      </c>
      <c r="M17" s="1031">
        <f>$F17-$L17</f>
        <v>1</v>
      </c>
      <c r="N17" s="1032">
        <f>'0.2 Data Config'!$N$14*(N('1.7 Infrastructure'!$F$7)/'0.2 Data Config'!$N$16)</f>
        <v>0.252</v>
      </c>
      <c r="O17" s="1032">
        <f>SUMIFS('REVIEW - Complete Role Mapping'!$AE$2:$AE$700,'REVIEW - Complete Role Mapping'!$AH$2:$AH$700,$C$3,'REVIEW - Complete Role Mapping'!$AL$2:$AL$700,$B17)/1000000</f>
        <v>0.3167448</v>
      </c>
      <c r="P17" s="1032">
        <f>IFERROR(IF(ISNUMBER(INDEX(Lists!$AW$2:$AW$10,MATCH($B17,Lists!$AU$2:$AU$10,0))),INDEX(Lists!$AW$2:$AW$10,MATCH($B17,Lists!$AU$2:$AU$10,0)),SUMIFS('REVIEW - Complete Role Mapping'!$AE$2:$AE$700,'REVIEW - Complete Role Mapping'!$AH$2:$AH$700,$C$3,'REVIEW - Complete Role Mapping'!$AL$2:$AL$700,$B17,'REVIEW - Complete Role Mapping'!$AM$2:$AM$700,1)/1000000),SUMIFS('REVIEW - Complete Role Mapping'!$AE$2:$AE$700,'REVIEW - Complete Role Mapping'!$AH$2:$AH$700,$C$3,'REVIEW - Complete Role Mapping'!$AL$2:$AL$700,$B17,'REVIEW - Complete Role Mapping'!$AM$2:$AM$700,1)/1000000)</f>
        <v>0</v>
      </c>
      <c r="Q17" s="1032">
        <f>$O17-$P17</f>
        <v>0.3167448</v>
      </c>
      <c r="R17" s="1032">
        <f>ROUND(IF(COUNTIF(Lists!$AU$2:$AU$10,$B17),$O17,$Q17)-$N17,6)</f>
        <v>0.064745</v>
      </c>
      <c r="S17" s="1032">
        <f>SUM($G$67:$G$67)/1000000</f>
        <v>0.3167448</v>
      </c>
      <c r="T17" s="1032">
        <f>ROUND($S17-$N17,6)</f>
        <v>0.064745</v>
      </c>
    </row>
    <row r="18" ht="14.25" customHeight="1" s="535">
      <c r="B18" s="929" t="inlineStr">
        <is>
          <t>Technology Manager</t>
        </is>
      </c>
      <c r="C18" s="929">
        <f>""</f>
        <v/>
      </c>
      <c r="D18" s="929">
        <f>""</f>
        <v/>
      </c>
      <c r="E18" s="1030">
        <f>'0.2 Data Config'!$M$15*(N('1.7 Infrastructure'!$F$7)/'0.2 Data Config'!$N$16)</f>
        <v>0.9</v>
      </c>
      <c r="F18" s="1031">
        <f>COUNTIF($B$69:$B$70,"?*")</f>
        <v>2</v>
      </c>
      <c r="G18" s="1030">
        <f>ROUND(SUMIFS('REVIEW - Complete Role Mapping'!$P$2:$P$700,'REVIEW - Complete Role Mapping'!$AH$2:$AH$700,$C$3,'REVIEW - Complete Role Mapping'!$AL$2:$AL$700,$B18),2)</f>
        <v>2</v>
      </c>
      <c r="H18" s="1031">
        <f>COUNTIFS($D$69:$D$70,"Filled")</f>
        <v>1</v>
      </c>
      <c r="I18" s="1031">
        <f>COUNTIFS($D$69:$D$70,"Vacant")</f>
        <v>1</v>
      </c>
      <c r="J18" s="1031">
        <f>COUNTIFS($D$69:$D$70,"Vacant",$E$69:$E$70,"Hire")</f>
        <v>1</v>
      </c>
      <c r="K18" s="1031">
        <f>COUNTIFS($E$69:$E$70,"Offshore")</f>
        <v>0</v>
      </c>
      <c r="L18" s="1031">
        <f>COUNTIFS($E$69:$E$70,"Hold")</f>
        <v>0</v>
      </c>
      <c r="M18" s="1031">
        <f>$F18-$L18</f>
        <v>2</v>
      </c>
      <c r="N18" s="1032">
        <f>'0.2 Data Config'!$N$15*(N('1.7 Infrastructure'!$F$7)/'0.2 Data Config'!$N$16)</f>
        <v>0.243</v>
      </c>
      <c r="O18" s="1032">
        <f>SUMIFS('REVIEW - Complete Role Mapping'!$AE$2:$AE$700,'REVIEW - Complete Role Mapping'!$AH$2:$AH$700,$C$3,'REVIEW - Complete Role Mapping'!$AL$2:$AL$700,$B18)/1000000</f>
        <v>0.52488635</v>
      </c>
      <c r="P18" s="1032">
        <f>IFERROR(IF(ISNUMBER(INDEX(Lists!$AW$2:$AW$10,MATCH($B18,Lists!$AU$2:$AU$10,0))),INDEX(Lists!$AW$2:$AW$10,MATCH($B18,Lists!$AU$2:$AU$10,0)),SUMIFS('REVIEW - Complete Role Mapping'!$AE$2:$AE$700,'REVIEW - Complete Role Mapping'!$AH$2:$AH$700,$C$3,'REVIEW - Complete Role Mapping'!$AL$2:$AL$700,$B18,'REVIEW - Complete Role Mapping'!$AM$2:$AM$700,1)/1000000),SUMIFS('REVIEW - Complete Role Mapping'!$AE$2:$AE$700,'REVIEW - Complete Role Mapping'!$AH$2:$AH$700,$C$3,'REVIEW - Complete Role Mapping'!$AL$2:$AL$700,$B18,'REVIEW - Complete Role Mapping'!$AM$2:$AM$700,1)/1000000)</f>
        <v>0</v>
      </c>
      <c r="Q18" s="1032">
        <f>$O18-$P18</f>
        <v>0.52488635</v>
      </c>
      <c r="R18" s="1032">
        <f>ROUND(IF(COUNTIF(Lists!$AU$2:$AU$10,$B18),$O18,$Q18)-$N18,6)</f>
        <v>0.281886</v>
      </c>
      <c r="S18" s="1032">
        <f>SUM($G$69:$G$70)/1000000</f>
        <v>0.52488635</v>
      </c>
      <c r="T18" s="1032">
        <f>ROUND($S18-$N18,6)</f>
        <v>0.281886</v>
      </c>
    </row>
    <row r="19" ht="14.25" customHeight="1" s="535">
      <c r="B19" s="1033" t="inlineStr">
        <is>
          <t>Overhead roles total</t>
        </is>
      </c>
      <c r="C19" s="1033" t="n"/>
      <c r="D19" s="1033" t="n"/>
      <c r="E19" s="1034">
        <f>SUM(E16:E18)</f>
        <v>2.3</v>
      </c>
      <c r="F19" s="1035">
        <f>SUM(F16:F18)</f>
        <v>4</v>
      </c>
      <c r="G19" s="1034">
        <f>SUM(G16:G18)</f>
        <v>4</v>
      </c>
      <c r="H19" s="1035">
        <f>SUM(H16:H18)</f>
        <v>3</v>
      </c>
      <c r="I19" s="1035">
        <f>SUM(I16:I18)</f>
        <v>1</v>
      </c>
      <c r="J19" s="1035">
        <f>SUM(J16:J18)</f>
        <v>1</v>
      </c>
      <c r="K19" s="1035">
        <f>SUM(K16:K18)</f>
        <v>0</v>
      </c>
      <c r="L19" s="1035">
        <f>SUM(L16:L18)</f>
        <v>0</v>
      </c>
      <c r="M19" s="1035">
        <f>SUM(M16:M18)</f>
        <v>4</v>
      </c>
      <c r="N19" s="1036">
        <f>IF(COUNT(N16:N18)=0,"",SUM(N16:N18))</f>
        <v>0.6325</v>
      </c>
      <c r="O19" s="1036">
        <f>SUM(O16:O18)</f>
        <v>1.20525785</v>
      </c>
      <c r="P19" s="1036">
        <f>SUM(P16:P18)</f>
        <v>0</v>
      </c>
      <c r="Q19" s="1036">
        <f>SUM(Q16:Q18)</f>
        <v>1.20525785</v>
      </c>
      <c r="R19" s="1036">
        <f>IF(COUNT(N16:N18)=3,ROUND($O19-$N19,6),"")</f>
        <v>0.572758</v>
      </c>
      <c r="S19" s="1036">
        <f>SUM(S16:S18)</f>
        <v>1.20525785</v>
      </c>
      <c r="T19" s="1036">
        <f>IF(COUNT(N16:N18)=3,ROUND($S19-$N19,6),"")</f>
        <v>0.572758</v>
      </c>
    </row>
    <row r="20" ht="14.25" customHeight="1" s="535">
      <c r="B20" s="1037" t="inlineStr">
        <is>
          <t>Portfolio overhead roles (Business Partner, Domain Architect, Leadership) (Required to show archetype FTE)</t>
        </is>
      </c>
      <c r="D20" s="1038">
        <f>""</f>
        <v/>
      </c>
      <c r="E20" s="1030">
        <f>ROUND(SUM('0.2 Data Config'!$M$6:$M$9)*(N('1.7 Infrastructure'!$F$6)/'0.2 Data Config'!$N$10)-(N($E16)),6)</f>
        <v>1.3</v>
      </c>
      <c r="F20" s="1038">
        <f>""</f>
        <v/>
      </c>
      <c r="G20" s="1038">
        <f>""</f>
        <v/>
      </c>
      <c r="H20" s="1038">
        <f>""</f>
        <v/>
      </c>
      <c r="I20" s="1038">
        <f>""</f>
        <v/>
      </c>
      <c r="J20" s="1038">
        <f>""</f>
        <v/>
      </c>
      <c r="K20" s="1038">
        <f>""</f>
        <v/>
      </c>
      <c r="L20" s="1038">
        <f>""</f>
        <v/>
      </c>
      <c r="M20" s="1038">
        <f>""</f>
        <v/>
      </c>
      <c r="N20" s="1032">
        <f>ROUND(N('1.7 Infrastructure'!$F$6)-(N($N16)),6)</f>
        <v>0.66</v>
      </c>
      <c r="O20" s="1038">
        <f>""</f>
        <v/>
      </c>
      <c r="P20" s="1038">
        <f>""</f>
        <v/>
      </c>
      <c r="Q20" s="1038">
        <f>""</f>
        <v/>
      </c>
      <c r="R20" s="1038">
        <f>""</f>
        <v/>
      </c>
      <c r="S20" s="1038">
        <f>""</f>
        <v/>
      </c>
      <c r="T20" s="1038">
        <f>""</f>
        <v/>
      </c>
    </row>
    <row r="21" ht="14.25" customHeight="1" s="535">
      <c r="B21" s="1037" t="inlineStr">
        <is>
          <t>Business Partners and Domain Architects sit in the COEs</t>
        </is>
      </c>
    </row>
    <row r="22" ht="14.25" customHeight="1" s="535">
      <c r="B22" s="886" t="inlineStr">
        <is>
          <t>Total portfolio</t>
        </is>
      </c>
      <c r="C22" s="886" t="n"/>
      <c r="D22" s="886" t="n"/>
      <c r="E22" s="888">
        <f>SUM(E8:E11,E14:E14,E16:E18,E20:E20)</f>
        <v>31.6</v>
      </c>
      <c r="F22" s="1039">
        <f>SUM(F8:F11,F14:F14,F16:F18,F20:F20)</f>
        <v>36</v>
      </c>
      <c r="G22" s="888">
        <f>SUM(G8:G11,G14:G14,G16:G18,G20:G20)</f>
        <v>36</v>
      </c>
      <c r="H22" s="1039">
        <f>SUM(H8:H11,H14:H14,H16:H18,H20:H20)</f>
        <v>29</v>
      </c>
      <c r="I22" s="1039">
        <f>SUM(I8:I11,I14:I14,I16:I18,I20:I20)</f>
        <v>7</v>
      </c>
      <c r="J22" s="1039">
        <f>SUM(J8:J11,J14:J14,J16:J18,J20:J20)</f>
        <v>2</v>
      </c>
      <c r="K22" s="1039">
        <f>SUM(K8:K11,K14:K14,K16:K18,K20:K20)</f>
        <v>5</v>
      </c>
      <c r="L22" s="1039">
        <f>SUM(L8:L11,L14:L14,L16:L18,L20:L20)</f>
        <v>2</v>
      </c>
      <c r="M22" s="1039">
        <f>SUM(M8:M11,M14:M14,M16:M18,M20:M20)</f>
        <v>34</v>
      </c>
      <c r="N22" s="889">
        <f>IF(COUNT(N8:N11,N14:N14,N16:N18,N20:N20)=0,"",SUM(N8:N11,N14:N14,N16:N18,N20:N20))</f>
        <v>6.8525</v>
      </c>
      <c r="O22" s="889">
        <f>SUM(O8:O11,O14:O14,O16:O18,O20:O20)</f>
        <v>7.78125394</v>
      </c>
      <c r="P22" s="889">
        <f>SUM(P8:P11,P14:P14,P16:P18,P20:P20)</f>
        <v>0</v>
      </c>
      <c r="Q22" s="889">
        <f>SUM(Q8:Q11,Q14:Q14,Q16:Q18,Q20:Q20)</f>
        <v>7.78125394</v>
      </c>
      <c r="R22" s="889">
        <f>IF(ISNUMBER($N22),ROUND($O22-$N22,6),"")</f>
        <v>0.928754</v>
      </c>
      <c r="S22" s="889">
        <f>SUM(S8:S11,S14:S14,S16:S18,S20:S20)</f>
        <v>6.74276054</v>
      </c>
      <c r="T22" s="889">
        <f>IF(ISNUMBER($N22),ROUND($S22-$N22,6),"")</f>
        <v>-0.109739</v>
      </c>
    </row>
    <row r="23"/>
    <row r="24"/>
    <row r="25" ht="18.75" customHeight="1" s="535">
      <c r="B25" s="537" t="inlineStr">
        <is>
          <t>Infrastructure FTE</t>
        </is>
      </c>
      <c r="C25" s="538" t="n"/>
      <c r="D25" s="538" t="n"/>
      <c r="E25" s="538" t="n"/>
      <c r="F25" s="538" t="n"/>
      <c r="G25" s="538" t="n"/>
      <c r="H25" s="929" t="inlineStr">
        <is>
          <t>Vacancy lever: Hire prices the role in full, Hold prices it at 0, Offshore at the Offshore rate set on 0.3 Squad Archetypes.</t>
        </is>
      </c>
    </row>
    <row r="26" ht="33.75" customHeight="1" s="535">
      <c r="A26" s="1040" t="inlineStr">
        <is>
          <t>ID</t>
        </is>
      </c>
      <c r="B26" s="877" t="inlineStr">
        <is>
          <t>Name</t>
        </is>
      </c>
      <c r="C26" s="877" t="inlineStr">
        <is>
          <t>Role</t>
        </is>
      </c>
      <c r="D26" s="877" t="inlineStr">
        <is>
          <t>Status</t>
        </is>
      </c>
      <c r="E26" s="877" t="inlineStr">
        <is>
          <t>Vacancy lever</t>
        </is>
      </c>
      <c r="F26" s="877" t="inlineStr">
        <is>
          <t>Role cost ($)</t>
        </is>
      </c>
      <c r="G26" s="877" t="inlineStr">
        <is>
          <t>Cost after lever ($)</t>
        </is>
      </c>
    </row>
    <row r="27" ht="14.25" customHeight="1" s="535">
      <c r="B27" s="1029" t="inlineStr">
        <is>
          <t>Data &amp; Insights</t>
        </is>
      </c>
      <c r="C27" s="1029" t="str">
        <f>COUNTIF($B$28:$B$34,"?*")&amp;IF(COUNTIF($B$28:$B$34,"?*")=1," role"," roles")</f>
        <v>7 roles</v>
      </c>
      <c r="D27" s="1029" t="n"/>
      <c r="E27" s="1029" t="n"/>
      <c r="F27" s="1044">
        <f>SUM(F28:F34)</f>
        <v>1535946.75</v>
      </c>
      <c r="G27" s="1044">
        <f>SUM(G28:G34)</f>
        <v>899632.35</v>
      </c>
    </row>
    <row r="28" ht="14.25" customHeight="1" s="535">
      <c r="A28" s="1045" t="inlineStr">
        <is>
          <t>R0015</t>
        </is>
      </c>
      <c r="B28" s="929" t="str">
        <f>INDEX('REVIEW - Complete Role Mapping'!$B$2:$B$700,MATCH($A28,'REVIEW - Complete Role Mapping'!$AQ$2:$AQ$700,0))</f>
        <v>Simrat Singh</v>
      </c>
      <c r="C28" s="929" t="str">
        <f>INDEX('REVIEW - Complete Role Mapping'!$D$2:$D$700,MATCH($A28,'REVIEW - Complete Role Mapping'!$AQ$2:$AQ$700,0))</f>
        <v>Reporting Analyst</v>
      </c>
      <c r="D28" s="929" t="str">
        <f>INDEX('REVIEW - Complete Role Mapping'!$AF$2:$AF$700,MATCH($A28,'REVIEW - Complete Role Mapping'!$AQ$2:$AQ$700,0))</f>
        <v>Filled</v>
      </c>
      <c r="E28" s="543" t="inlineStr">
        <is>
          <t>Filled</t>
        </is>
      </c>
      <c r="F28" s="1031">
        <f>INDEX('REVIEW - Complete Role Mapping'!$AE$2:$AE$700,MATCH($A28,'REVIEW - Complete Role Mapping'!$AQ$2:$AQ$700,0))</f>
        <v>197580</v>
      </c>
      <c r="G28" s="1031">
        <f>$F28*IF(ISNUMBER(SEARCH("WIPRO",INDEX('REVIEW - Complete Role Mapping'!$R$2:$R$700,MATCH($A28,'REVIEW - Complete Role Mapping'!$AQ$2:$AQ$700,0)))),1,IFERROR(INDEX(Lists!$AD$2:$AD$5,MATCH($E28,Lists!$AC$2:$AC$5,0)),NA()))</f>
        <v>197580</v>
      </c>
    </row>
    <row r="29" ht="14.25" customHeight="1" s="535">
      <c r="A29" s="1045" t="inlineStr">
        <is>
          <t>R0120</t>
        </is>
      </c>
      <c r="B29" s="929" t="str">
        <f>INDEX('REVIEW - Complete Role Mapping'!$B$2:$B$700,MATCH($A29,'REVIEW - Complete Role Mapping'!$AQ$2:$AQ$700,0))</f>
        <v>Stevani Kho</v>
      </c>
      <c r="C29" s="929" t="str">
        <f>INDEX('REVIEW - Complete Role Mapping'!$D$2:$D$700,MATCH($A29,'REVIEW - Complete Role Mapping'!$AQ$2:$AQ$700,0))</f>
        <v>Delivery Lead</v>
      </c>
      <c r="D29" s="929" t="str">
        <f>INDEX('REVIEW - Complete Role Mapping'!$AF$2:$AF$700,MATCH($A29,'REVIEW - Complete Role Mapping'!$AQ$2:$AQ$700,0))</f>
        <v>Filled</v>
      </c>
      <c r="E29" s="543" t="inlineStr">
        <is>
          <t>Filled</t>
        </is>
      </c>
      <c r="F29" s="1031">
        <f>INDEX('REVIEW - Complete Role Mapping'!$AE$2:$AE$700,MATCH($A29,'REVIEW - Complete Role Mapping'!$AQ$2:$AQ$700,0))</f>
        <v>277842.75</v>
      </c>
      <c r="G29" s="1031">
        <f>$F29*IF(ISNUMBER(SEARCH("WIPRO",INDEX('REVIEW - Complete Role Mapping'!$R$2:$R$700,MATCH($A29,'REVIEW - Complete Role Mapping'!$AQ$2:$AQ$700,0)))),1,IFERROR(INDEX(Lists!$AD$2:$AD$5,MATCH($E29,Lists!$AC$2:$AC$5,0)),NA()))</f>
        <v>277842.75</v>
      </c>
    </row>
    <row r="30" ht="14.25" customHeight="1" s="535">
      <c r="A30" s="1045" t="inlineStr">
        <is>
          <t>R0253</t>
        </is>
      </c>
      <c r="B30" s="929" t="str">
        <f>INDEX('REVIEW - Complete Role Mapping'!$B$2:$B$700,MATCH($A30,'REVIEW - Complete Role Mapping'!$AQ$2:$AQ$700,0))</f>
        <v>Vacant</v>
      </c>
      <c r="C30" s="929" t="str">
        <f>INDEX('REVIEW - Complete Role Mapping'!$D$2:$D$700,MATCH($A30,'REVIEW - Complete Role Mapping'!$AQ$2:$AQ$700,0))</f>
        <v>Lead Data Analyst</v>
      </c>
      <c r="D30" s="929" t="str">
        <f>INDEX('REVIEW - Complete Role Mapping'!$AF$2:$AF$700,MATCH($A30,'REVIEW - Complete Role Mapping'!$AQ$2:$AQ$700,0))</f>
        <v>Vacant</v>
      </c>
      <c r="E30" s="543" t="inlineStr">
        <is>
          <t>Offshore</t>
        </is>
      </c>
      <c r="F30" s="1031">
        <f>INDEX('REVIEW - Complete Role Mapping'!$AE$2:$AE$700,MATCH($A30,'REVIEW - Complete Role Mapping'!$AQ$2:$AQ$700,0))</f>
        <v>231689.25</v>
      </c>
      <c r="G30" s="1031">
        <f>$F30*IF(ISNUMBER(SEARCH("WIPRO",INDEX('REVIEW - Complete Role Mapping'!$R$2:$R$700,MATCH($A30,'REVIEW - Complete Role Mapping'!$AQ$2:$AQ$700,0)))),1,IFERROR(INDEX(Lists!$AD$2:$AD$5,MATCH($E30,Lists!$AC$2:$AC$5,0)),NA()))</f>
        <v>92675.7</v>
      </c>
    </row>
    <row r="31" ht="14.25" customHeight="1" s="535">
      <c r="A31" s="1045" t="inlineStr">
        <is>
          <t>R0364</t>
        </is>
      </c>
      <c r="B31" s="929" t="str">
        <f>INDEX('REVIEW - Complete Role Mapping'!$B$2:$B$700,MATCH($A31,'REVIEW - Complete Role Mapping'!$AQ$2:$AQ$700,0))</f>
        <v>Clare Cairns</v>
      </c>
      <c r="C31" s="929" t="str">
        <f>INDEX('REVIEW - Complete Role Mapping'!$D$2:$D$700,MATCH($A31,'REVIEW - Complete Role Mapping'!$AQ$2:$AQ$700,0))</f>
        <v>Data Analyst</v>
      </c>
      <c r="D31" s="929" t="str">
        <f>INDEX('REVIEW - Complete Role Mapping'!$AF$2:$AF$700,MATCH($A31,'REVIEW - Complete Role Mapping'!$AQ$2:$AQ$700,0))</f>
        <v>Filled</v>
      </c>
      <c r="E31" s="543" t="inlineStr">
        <is>
          <t>Offshore</t>
        </is>
      </c>
      <c r="F31" s="1031">
        <f>INDEX('REVIEW - Complete Role Mapping'!$AE$2:$AE$700,MATCH($A31,'REVIEW - Complete Role Mapping'!$AQ$2:$AQ$700,0))</f>
        <v>189476.55</v>
      </c>
      <c r="G31" s="1031">
        <f>$F31*IF(ISNUMBER(SEARCH("WIPRO",INDEX('REVIEW - Complete Role Mapping'!$R$2:$R$700,MATCH($A31,'REVIEW - Complete Role Mapping'!$AQ$2:$AQ$700,0)))),1,IFERROR(INDEX(Lists!$AD$2:$AD$5,MATCH($E31,Lists!$AC$2:$AC$5,0)),NA()))</f>
        <v>75790.62</v>
      </c>
    </row>
    <row r="32" ht="14.25" customHeight="1" s="535">
      <c r="A32" s="1045" t="inlineStr">
        <is>
          <t>R0365</t>
        </is>
      </c>
      <c r="B32" s="929" t="str">
        <f>INDEX('REVIEW - Complete Role Mapping'!$B$2:$B$700,MATCH($A32,'REVIEW - Complete Role Mapping'!$AQ$2:$AQ$700,0))</f>
        <v>Mary Joy</v>
      </c>
      <c r="C32" s="929" t="str">
        <f>INDEX('REVIEW - Complete Role Mapping'!$D$2:$D$700,MATCH($A32,'REVIEW - Complete Role Mapping'!$AQ$2:$AQ$700,0))</f>
        <v>Senior Engineer Data</v>
      </c>
      <c r="D32" s="929" t="str">
        <f>INDEX('REVIEW - Complete Role Mapping'!$AF$2:$AF$700,MATCH($A32,'REVIEW - Complete Role Mapping'!$AQ$2:$AQ$700,0))</f>
        <v>Filled</v>
      </c>
      <c r="E32" s="543" t="inlineStr">
        <is>
          <t>Offshore</t>
        </is>
      </c>
      <c r="F32" s="1031">
        <f>INDEX('REVIEW - Complete Role Mapping'!$AE$2:$AE$700,MATCH($A32,'REVIEW - Complete Role Mapping'!$AQ$2:$AQ$700,0))</f>
        <v>230327.55</v>
      </c>
      <c r="G32" s="1031">
        <f>$F32*IF(ISNUMBER(SEARCH("WIPRO",INDEX('REVIEW - Complete Role Mapping'!$R$2:$R$700,MATCH($A32,'REVIEW - Complete Role Mapping'!$AQ$2:$AQ$700,0)))),1,IFERROR(INDEX(Lists!$AD$2:$AD$5,MATCH($E32,Lists!$AC$2:$AC$5,0)),NA()))</f>
        <v>92131.02</v>
      </c>
    </row>
    <row r="33" ht="14.25" customHeight="1" s="535">
      <c r="A33" s="1045" t="inlineStr">
        <is>
          <t>R0366</t>
        </is>
      </c>
      <c r="B33" s="929" t="str">
        <f>INDEX('REVIEW - Complete Role Mapping'!$B$2:$B$700,MATCH($A33,'REVIEW - Complete Role Mapping'!$AQ$2:$AQ$700,0))</f>
        <v>Megha Agarwal</v>
      </c>
      <c r="C33" s="929" t="str">
        <f>INDEX('REVIEW - Complete Role Mapping'!$D$2:$D$700,MATCH($A33,'REVIEW - Complete Role Mapping'!$AQ$2:$AQ$700,0))</f>
        <v>Engineer Data</v>
      </c>
      <c r="D33" s="929" t="str">
        <f>INDEX('REVIEW - Complete Role Mapping'!$AF$2:$AF$700,MATCH($A33,'REVIEW - Complete Role Mapping'!$AQ$2:$AQ$700,0))</f>
        <v>Filled</v>
      </c>
      <c r="E33" s="543" t="inlineStr">
        <is>
          <t>Offshore</t>
        </is>
      </c>
      <c r="F33" s="1031">
        <f>INDEX('REVIEW - Complete Role Mapping'!$AE$2:$AE$700,MATCH($A33,'REVIEW - Complete Role Mapping'!$AQ$2:$AQ$700,0))</f>
        <v>206177.4</v>
      </c>
      <c r="G33" s="1031">
        <f>$F33*IF(ISNUMBER(SEARCH("WIPRO",INDEX('REVIEW - Complete Role Mapping'!$R$2:$R$700,MATCH($A33,'REVIEW - Complete Role Mapping'!$AQ$2:$AQ$700,0)))),1,IFERROR(INDEX(Lists!$AD$2:$AD$5,MATCH($E33,Lists!$AC$2:$AC$5,0)),NA()))</f>
        <v>82470.96</v>
      </c>
    </row>
    <row r="34" ht="14.25" customHeight="1" s="535">
      <c r="A34" s="1045" t="inlineStr">
        <is>
          <t>R0388</t>
        </is>
      </c>
      <c r="B34" s="929" t="str">
        <f>INDEX('REVIEW - Complete Role Mapping'!$B$2:$B$700,MATCH($A34,'REVIEW - Complete Role Mapping'!$AQ$2:$AQ$700,0))</f>
        <v>Vacant</v>
      </c>
      <c r="C34" s="929" t="str">
        <f>INDEX('REVIEW - Complete Role Mapping'!$D$2:$D$700,MATCH($A34,'REVIEW - Complete Role Mapping'!$AQ$2:$AQ$700,0))</f>
        <v>Reporting Analyst</v>
      </c>
      <c r="D34" s="929" t="str">
        <f>INDEX('REVIEW - Complete Role Mapping'!$AF$2:$AF$700,MATCH($A34,'REVIEW - Complete Role Mapping'!$AQ$2:$AQ$700,0))</f>
        <v>Vacant</v>
      </c>
      <c r="E34" s="543" t="inlineStr">
        <is>
          <t>Offshore</t>
        </is>
      </c>
      <c r="F34" s="1031">
        <f>INDEX('REVIEW - Complete Role Mapping'!$AE$2:$AE$700,MATCH($A34,'REVIEW - Complete Role Mapping'!$AQ$2:$AQ$700,0))</f>
        <v>202853.25</v>
      </c>
      <c r="G34" s="1031">
        <f>$F34*IF(ISNUMBER(SEARCH("WIPRO",INDEX('REVIEW - Complete Role Mapping'!$R$2:$R$700,MATCH($A34,'REVIEW - Complete Role Mapping'!$AQ$2:$AQ$700,0)))),1,IFERROR(INDEX(Lists!$AD$2:$AD$5,MATCH($E34,Lists!$AC$2:$AC$5,0)),NA()))</f>
        <v>81141.3</v>
      </c>
    </row>
    <row r="35" ht="14.25" customHeight="1" s="535">
      <c r="B35" s="1029" t="inlineStr">
        <is>
          <t>Distribution, Sales &amp; Services</t>
        </is>
      </c>
      <c r="C35" s="1029" t="str">
        <f>COUNTIF($B$36:$B$45,"?*")&amp;IF(COUNTIF($B$36:$B$45,"?*")=1," role"," roles")</f>
        <v>10 roles</v>
      </c>
      <c r="D35" s="1029" t="n"/>
      <c r="E35" s="1029" t="n"/>
      <c r="F35" s="1044">
        <f>SUM(F36:F45)</f>
        <v>2127273.65</v>
      </c>
      <c r="G35" s="1044">
        <f>SUM(G36:G45)</f>
        <v>1956783.9</v>
      </c>
    </row>
    <row r="36" ht="14.25" customHeight="1" s="535">
      <c r="A36" s="1045" t="inlineStr">
        <is>
          <t>R0180</t>
        </is>
      </c>
      <c r="B36" s="929" t="str">
        <f>INDEX('REVIEW - Complete Role Mapping'!$B$2:$B$700,MATCH($A36,'REVIEW - Complete Role Mapping'!$AQ$2:$AQ$700,0))</f>
        <v>Angus Gibson</v>
      </c>
      <c r="C36" s="929" t="str">
        <f>INDEX('REVIEW - Complete Role Mapping'!$D$2:$D$700,MATCH($A36,'REVIEW - Complete Role Mapping'!$AQ$2:$AQ$700,0))</f>
        <v>Senior Systems Analyst</v>
      </c>
      <c r="D36" s="929" t="str">
        <f>INDEX('REVIEW - Complete Role Mapping'!$AF$2:$AF$700,MATCH($A36,'REVIEW - Complete Role Mapping'!$AQ$2:$AQ$700,0))</f>
        <v>Filled</v>
      </c>
      <c r="E36" s="543" t="inlineStr">
        <is>
          <t>Filled</t>
        </is>
      </c>
      <c r="F36" s="1031">
        <f>INDEX('REVIEW - Complete Role Mapping'!$AE$2:$AE$700,MATCH($A36,'REVIEW - Complete Role Mapping'!$AQ$2:$AQ$700,0))</f>
        <v>235494</v>
      </c>
      <c r="G36" s="1031">
        <f>$F36*IF(ISNUMBER(SEARCH("WIPRO",INDEX('REVIEW - Complete Role Mapping'!$R$2:$R$700,MATCH($A36,'REVIEW - Complete Role Mapping'!$AQ$2:$AQ$700,0)))),1,IFERROR(INDEX(Lists!$AD$2:$AD$5,MATCH($E36,Lists!$AC$2:$AC$5,0)),NA()))</f>
        <v>235494</v>
      </c>
    </row>
    <row r="37" ht="14.25" customHeight="1" s="535">
      <c r="A37" s="1045" t="inlineStr">
        <is>
          <t>R0193</t>
        </is>
      </c>
      <c r="B37" s="929" t="str">
        <f>INDEX('REVIEW - Complete Role Mapping'!$B$2:$B$700,MATCH($A37,'REVIEW - Complete Role Mapping'!$AQ$2:$AQ$700,0))</f>
        <v>Jodi Higgins</v>
      </c>
      <c r="C37" s="929" t="str">
        <f>INDEX('REVIEW - Complete Role Mapping'!$D$2:$D$700,MATCH($A37,'REVIEW - Complete Role Mapping'!$AQ$2:$AQ$700,0))</f>
        <v>Delivery Lead</v>
      </c>
      <c r="D37" s="929" t="str">
        <f>INDEX('REVIEW - Complete Role Mapping'!$AF$2:$AF$700,MATCH($A37,'REVIEW - Complete Role Mapping'!$AQ$2:$AQ$700,0))</f>
        <v>Filled</v>
      </c>
      <c r="E37" s="543" t="inlineStr">
        <is>
          <t>Filled</t>
        </is>
      </c>
      <c r="F37" s="1031">
        <f>INDEX('REVIEW - Complete Role Mapping'!$AE$2:$AE$700,MATCH($A37,'REVIEW - Complete Role Mapping'!$AQ$2:$AQ$700,0))</f>
        <v>257481.45</v>
      </c>
      <c r="G37" s="1031">
        <f>$F37*IF(ISNUMBER(SEARCH("WIPRO",INDEX('REVIEW - Complete Role Mapping'!$R$2:$R$700,MATCH($A37,'REVIEW - Complete Role Mapping'!$AQ$2:$AQ$700,0)))),1,IFERROR(INDEX(Lists!$AD$2:$AD$5,MATCH($E37,Lists!$AC$2:$AC$5,0)),NA()))</f>
        <v>257481.45</v>
      </c>
    </row>
    <row r="38" ht="14.25" customHeight="1" s="535">
      <c r="A38" s="1045" t="inlineStr">
        <is>
          <t>R0316</t>
        </is>
      </c>
      <c r="B38" s="929" t="str">
        <f>INDEX('REVIEW - Complete Role Mapping'!$B$2:$B$700,MATCH($A38,'REVIEW - Complete Role Mapping'!$AQ$2:$AQ$700,0))</f>
        <v>Anvitha Kurra</v>
      </c>
      <c r="C38" s="929" t="str">
        <f>INDEX('REVIEW - Complete Role Mapping'!$D$2:$D$700,MATCH($A38,'REVIEW - Complete Role Mapping'!$AQ$2:$AQ$700,0))</f>
        <v>Senior Systems Analyst</v>
      </c>
      <c r="D38" s="929" t="str">
        <f>INDEX('REVIEW - Complete Role Mapping'!$AF$2:$AF$700,MATCH($A38,'REVIEW - Complete Role Mapping'!$AQ$2:$AQ$700,0))</f>
        <v>Filled</v>
      </c>
      <c r="E38" s="543" t="inlineStr">
        <is>
          <t>Filled</t>
        </is>
      </c>
      <c r="F38" s="1031">
        <f>INDEX('REVIEW - Complete Role Mapping'!$AE$2:$AE$700,MATCH($A38,'REVIEW - Complete Role Mapping'!$AQ$2:$AQ$700,0))</f>
        <v>215388.9</v>
      </c>
      <c r="G38" s="1031">
        <f>$F38*IF(ISNUMBER(SEARCH("WIPRO",INDEX('REVIEW - Complete Role Mapping'!$R$2:$R$700,MATCH($A38,'REVIEW - Complete Role Mapping'!$AQ$2:$AQ$700,0)))),1,IFERROR(INDEX(Lists!$AD$2:$AD$5,MATCH($E38,Lists!$AC$2:$AC$5,0)),NA()))</f>
        <v>215388.9</v>
      </c>
    </row>
    <row r="39" ht="14.25" customHeight="1" s="535">
      <c r="A39" s="1045" t="inlineStr">
        <is>
          <t>R0317</t>
        </is>
      </c>
      <c r="B39" s="929" t="str">
        <f>INDEX('REVIEW - Complete Role Mapping'!$B$2:$B$700,MATCH($A39,'REVIEW - Complete Role Mapping'!$AQ$2:$AQ$700,0))</f>
        <v>Rohan Patel</v>
      </c>
      <c r="C39" s="929" t="str">
        <f>INDEX('REVIEW - Complete Role Mapping'!$D$2:$D$700,MATCH($A39,'REVIEW - Complete Role Mapping'!$AQ$2:$AQ$700,0))</f>
        <v>Senior Systems Analyst</v>
      </c>
      <c r="D39" s="929" t="str">
        <f>INDEX('REVIEW - Complete Role Mapping'!$AF$2:$AF$700,MATCH($A39,'REVIEW - Complete Role Mapping'!$AQ$2:$AQ$700,0))</f>
        <v>Filled</v>
      </c>
      <c r="E39" s="543" t="inlineStr">
        <is>
          <t>Filled</t>
        </is>
      </c>
      <c r="F39" s="1031">
        <f>INDEX('REVIEW - Complete Role Mapping'!$AE$2:$AE$700,MATCH($A39,'REVIEW - Complete Role Mapping'!$AQ$2:$AQ$700,0))</f>
        <v>209394.75</v>
      </c>
      <c r="G39" s="1031">
        <f>$F39*IF(ISNUMBER(SEARCH("WIPRO",INDEX('REVIEW - Complete Role Mapping'!$R$2:$R$700,MATCH($A39,'REVIEW - Complete Role Mapping'!$AQ$2:$AQ$700,0)))),1,IFERROR(INDEX(Lists!$AD$2:$AD$5,MATCH($E39,Lists!$AC$2:$AC$5,0)),NA()))</f>
        <v>209394.75</v>
      </c>
    </row>
    <row r="40" ht="14.25" customHeight="1" s="535">
      <c r="A40" s="1045" t="inlineStr">
        <is>
          <t>R0318</t>
        </is>
      </c>
      <c r="B40" s="929" t="str">
        <f>INDEX('REVIEW - Complete Role Mapping'!$B$2:$B$700,MATCH($A40,'REVIEW - Complete Role Mapping'!$AQ$2:$AQ$700,0))</f>
        <v>Siva Chimmani</v>
      </c>
      <c r="C40" s="929" t="str">
        <f>INDEX('REVIEW - Complete Role Mapping'!$D$2:$D$700,MATCH($A40,'REVIEW - Complete Role Mapping'!$AQ$2:$AQ$700,0))</f>
        <v>Senior Engineer</v>
      </c>
      <c r="D40" s="929" t="str">
        <f>INDEX('REVIEW - Complete Role Mapping'!$AF$2:$AF$700,MATCH($A40,'REVIEW - Complete Role Mapping'!$AQ$2:$AQ$700,0))</f>
        <v>Filled</v>
      </c>
      <c r="E40" s="543" t="inlineStr">
        <is>
          <t>Filled</t>
        </is>
      </c>
      <c r="F40" s="1031">
        <f>INDEX('REVIEW - Complete Role Mapping'!$AE$2:$AE$700,MATCH($A40,'REVIEW - Complete Role Mapping'!$AQ$2:$AQ$700,0))</f>
        <v>213600</v>
      </c>
      <c r="G40" s="1031">
        <f>$F40*IF(ISNUMBER(SEARCH("WIPRO",INDEX('REVIEW - Complete Role Mapping'!$R$2:$R$700,MATCH($A40,'REVIEW - Complete Role Mapping'!$AQ$2:$AQ$700,0)))),1,IFERROR(INDEX(Lists!$AD$2:$AD$5,MATCH($E40,Lists!$AC$2:$AC$5,0)),NA()))</f>
        <v>213600</v>
      </c>
    </row>
    <row r="41" ht="14.25" customHeight="1" s="535">
      <c r="A41" s="1045" t="inlineStr">
        <is>
          <t>R0319</t>
        </is>
      </c>
      <c r="B41" s="929" t="str">
        <f>INDEX('REVIEW - Complete Role Mapping'!$B$2:$B$700,MATCH($A41,'REVIEW - Complete Role Mapping'!$AQ$2:$AQ$700,0))</f>
        <v>Sriramani Deyyala</v>
      </c>
      <c r="C41" s="929" t="str">
        <f>INDEX('REVIEW - Complete Role Mapping'!$D$2:$D$700,MATCH($A41,'REVIEW - Complete Role Mapping'!$AQ$2:$AQ$700,0))</f>
        <v>Systems Analyst</v>
      </c>
      <c r="D41" s="929" t="str">
        <f>INDEX('REVIEW - Complete Role Mapping'!$AF$2:$AF$700,MATCH($A41,'REVIEW - Complete Role Mapping'!$AQ$2:$AQ$700,0))</f>
        <v>Filled</v>
      </c>
      <c r="E41" s="543" t="inlineStr">
        <is>
          <t>Filled</t>
        </is>
      </c>
      <c r="F41" s="1031">
        <f>INDEX('REVIEW - Complete Role Mapping'!$AE$2:$AE$700,MATCH($A41,'REVIEW - Complete Role Mapping'!$AQ$2:$AQ$700,0))</f>
        <v>222090.6</v>
      </c>
      <c r="G41" s="1031">
        <f>$F41*IF(ISNUMBER(SEARCH("WIPRO",INDEX('REVIEW - Complete Role Mapping'!$R$2:$R$700,MATCH($A41,'REVIEW - Complete Role Mapping'!$AQ$2:$AQ$700,0)))),1,IFERROR(INDEX(Lists!$AD$2:$AD$5,MATCH($E41,Lists!$AC$2:$AC$5,0)),NA()))</f>
        <v>222090.6</v>
      </c>
    </row>
    <row r="42" ht="14.25" customHeight="1" s="535">
      <c r="A42" s="1045" t="inlineStr">
        <is>
          <t>R0338</t>
        </is>
      </c>
      <c r="B42" s="929" t="str">
        <f>INDEX('REVIEW - Complete Role Mapping'!$B$2:$B$700,MATCH($A42,'REVIEW - Complete Role Mapping'!$AQ$2:$AQ$700,0))</f>
        <v>Rebecca Estepa</v>
      </c>
      <c r="C42" s="929" t="str">
        <f>INDEX('REVIEW - Complete Role Mapping'!$D$2:$D$700,MATCH($A42,'REVIEW - Complete Role Mapping'!$AQ$2:$AQ$700,0))</f>
        <v>Snr Business Analyst</v>
      </c>
      <c r="D42" s="929" t="str">
        <f>INDEX('REVIEW - Complete Role Mapping'!$AF$2:$AF$700,MATCH($A42,'REVIEW - Complete Role Mapping'!$AQ$2:$AQ$700,0))</f>
        <v>Filled</v>
      </c>
      <c r="E42" s="543" t="inlineStr">
        <is>
          <t>Filled</t>
        </is>
      </c>
      <c r="F42" s="1031">
        <f>INDEX('REVIEW - Complete Role Mapping'!$AE$2:$AE$700,MATCH($A42,'REVIEW - Complete Role Mapping'!$AQ$2:$AQ$700,0))</f>
        <v>233331.3</v>
      </c>
      <c r="G42" s="1031">
        <f>$F42*IF(ISNUMBER(SEARCH("WIPRO",INDEX('REVIEW - Complete Role Mapping'!$R$2:$R$700,MATCH($A42,'REVIEW - Complete Role Mapping'!$AQ$2:$AQ$700,0)))),1,IFERROR(INDEX(Lists!$AD$2:$AD$5,MATCH($E42,Lists!$AC$2:$AC$5,0)),NA()))</f>
        <v>233331.3</v>
      </c>
    </row>
    <row r="43" ht="14.25" customHeight="1" s="535">
      <c r="A43" s="1045" t="inlineStr">
        <is>
          <t>R0339</t>
        </is>
      </c>
      <c r="B43" s="929" t="str">
        <f>INDEX('REVIEW - Complete Role Mapping'!$B$2:$B$700,MATCH($A43,'REVIEW - Complete Role Mapping'!$AQ$2:$AQ$700,0))</f>
        <v>Vacant</v>
      </c>
      <c r="C43" s="929" t="str">
        <f>INDEX('REVIEW - Complete Role Mapping'!$D$2:$D$700,MATCH($A43,'REVIEW - Complete Role Mapping'!$AQ$2:$AQ$700,0))</f>
        <v>Business Analyst</v>
      </c>
      <c r="D43" s="929" t="str">
        <f>INDEX('REVIEW - Complete Role Mapping'!$AF$2:$AF$700,MATCH($A43,'REVIEW - Complete Role Mapping'!$AQ$2:$AQ$700,0))</f>
        <v>Vacant</v>
      </c>
      <c r="E43" s="543" t="inlineStr">
        <is>
          <t>Hire</t>
        </is>
      </c>
      <c r="F43" s="1031">
        <f>INDEX('REVIEW - Complete Role Mapping'!$AE$2:$AE$700,MATCH($A43,'REVIEW - Complete Role Mapping'!$AQ$2:$AQ$700,0))</f>
        <v>202853.25</v>
      </c>
      <c r="G43" s="1031">
        <f>$F43*IF(ISNUMBER(SEARCH("WIPRO",INDEX('REVIEW - Complete Role Mapping'!$R$2:$R$700,MATCH($A43,'REVIEW - Complete Role Mapping'!$AQ$2:$AQ$700,0)))),1,IFERROR(INDEX(Lists!$AD$2:$AD$5,MATCH($E43,Lists!$AC$2:$AC$5,0)),NA()))</f>
        <v>202853.25</v>
      </c>
    </row>
    <row r="44" ht="14.25" customHeight="1" s="535">
      <c r="A44" s="1045" t="inlineStr">
        <is>
          <t>R0451</t>
        </is>
      </c>
      <c r="B44" s="929" t="str">
        <f>INDEX('REVIEW - Complete Role Mapping'!$B$2:$B$700,MATCH($A44,'REVIEW - Complete Role Mapping'!$AQ$2:$AQ$700,0))</f>
        <v>Breanna Hua</v>
      </c>
      <c r="C44" s="929" t="str">
        <f>INDEX('REVIEW - Complete Role Mapping'!$D$2:$D$700,MATCH($A44,'REVIEW - Complete Role Mapping'!$AQ$2:$AQ$700,0))</f>
        <v>Systems Analyst</v>
      </c>
      <c r="D44" s="929" t="str">
        <f>INDEX('REVIEW - Complete Role Mapping'!$AF$2:$AF$700,MATCH($A44,'REVIEW - Complete Role Mapping'!$AQ$2:$AQ$700,0))</f>
        <v>Filled</v>
      </c>
      <c r="E44" s="543" t="inlineStr">
        <is>
          <t>Filled</t>
        </is>
      </c>
      <c r="F44" s="1031">
        <f>INDEX('REVIEW - Complete Role Mapping'!$AE$2:$AE$700,MATCH($A44,'REVIEW - Complete Role Mapping'!$AQ$2:$AQ$700,0))</f>
        <v>167149.65</v>
      </c>
      <c r="G44" s="1031">
        <f>$F44*IF(ISNUMBER(SEARCH("WIPRO",INDEX('REVIEW - Complete Role Mapping'!$R$2:$R$700,MATCH($A44,'REVIEW - Complete Role Mapping'!$AQ$2:$AQ$700,0)))),1,IFERROR(INDEX(Lists!$AD$2:$AD$5,MATCH($E44,Lists!$AC$2:$AC$5,0)),NA()))</f>
        <v>167149.65</v>
      </c>
    </row>
    <row r="45" ht="14.25" customHeight="1" s="535">
      <c r="A45" s="1045" t="inlineStr">
        <is>
          <t>R0452</t>
        </is>
      </c>
      <c r="B45" s="929" t="str">
        <f>INDEX('REVIEW - Complete Role Mapping'!$B$2:$B$700,MATCH($A45,'REVIEW - Complete Role Mapping'!$AQ$2:$AQ$700,0))</f>
        <v>Vacant</v>
      </c>
      <c r="C45" s="929" t="str">
        <f>INDEX('REVIEW - Complete Role Mapping'!$D$2:$D$700,MATCH($A45,'REVIEW - Complete Role Mapping'!$AQ$2:$AQ$700,0))</f>
        <v>Quality Assurance</v>
      </c>
      <c r="D45" s="929" t="str">
        <f>INDEX('REVIEW - Complete Role Mapping'!$AF$2:$AF$700,MATCH($A45,'REVIEW - Complete Role Mapping'!$AQ$2:$AQ$700,0))</f>
        <v>Vacant</v>
      </c>
      <c r="E45" s="543" t="inlineStr">
        <is>
          <t>Hold</t>
        </is>
      </c>
      <c r="F45" s="1031">
        <f>INDEX('REVIEW - Complete Role Mapping'!$AE$2:$AE$700,MATCH($A45,'REVIEW - Complete Role Mapping'!$AQ$2:$AQ$700,0))</f>
        <v>170489.75</v>
      </c>
      <c r="G45" s="1031">
        <f>$F45*IF(ISNUMBER(SEARCH("WIPRO",INDEX('REVIEW - Complete Role Mapping'!$R$2:$R$700,MATCH($A45,'REVIEW - Complete Role Mapping'!$AQ$2:$AQ$700,0)))),1,IFERROR(INDEX(Lists!$AD$2:$AD$5,MATCH($E45,Lists!$AC$2:$AC$5,0)),NA()))</f>
        <v>0</v>
      </c>
    </row>
    <row r="46" ht="14.25" customHeight="1" s="535">
      <c r="B46" s="1029" t="inlineStr">
        <is>
          <t>Leadership</t>
        </is>
      </c>
      <c r="C46" s="1029" t="str">
        <f>COUNTIF($B$47:$B$47,"?*")&amp;IF(COUNTIF($B$47:$B$47,"?*")=1," role"," roles")</f>
        <v>1 role</v>
      </c>
      <c r="D46" s="1029" t="n"/>
      <c r="E46" s="1029" t="n"/>
      <c r="F46" s="1044">
        <f>SUM(F47:F47)</f>
        <v>256667.1</v>
      </c>
      <c r="G46" s="1044">
        <f>SUM(G47:G47)</f>
        <v>256667.1</v>
      </c>
    </row>
    <row r="47" ht="14.25" customHeight="1" s="535">
      <c r="A47" s="1045" t="inlineStr">
        <is>
          <t>R0147</t>
        </is>
      </c>
      <c r="B47" s="929" t="str">
        <f>INDEX('REVIEW - Complete Role Mapping'!$B$2:$B$700,MATCH($A47,'REVIEW - Complete Role Mapping'!$AQ$2:$AQ$700,0))</f>
        <v>George Moun</v>
      </c>
      <c r="C47" s="929" t="str">
        <f>INDEX('REVIEW - Complete Role Mapping'!$D$2:$D$700,MATCH($A47,'REVIEW - Complete Role Mapping'!$AQ$2:$AQ$700,0))</f>
        <v>Solution Architect</v>
      </c>
      <c r="D47" s="929" t="str">
        <f>INDEX('REVIEW - Complete Role Mapping'!$AF$2:$AF$700,MATCH($A47,'REVIEW - Complete Role Mapping'!$AQ$2:$AQ$700,0))</f>
        <v>Filled</v>
      </c>
      <c r="E47" s="543" t="inlineStr">
        <is>
          <t>Filled</t>
        </is>
      </c>
      <c r="F47" s="1031">
        <f>INDEX('REVIEW - Complete Role Mapping'!$AE$2:$AE$700,MATCH($A47,'REVIEW - Complete Role Mapping'!$AQ$2:$AQ$700,0))</f>
        <v>256667.1</v>
      </c>
      <c r="G47" s="1031">
        <f>$F47*IF(ISNUMBER(SEARCH("WIPRO",INDEX('REVIEW - Complete Role Mapping'!$R$2:$R$700,MATCH($A47,'REVIEW - Complete Role Mapping'!$AQ$2:$AQ$700,0)))),1,IFERROR(INDEX(Lists!$AD$2:$AD$5,MATCH($E47,Lists!$AC$2:$AC$5,0)),NA()))</f>
        <v>256667.1</v>
      </c>
    </row>
    <row r="48" ht="14.25" customHeight="1" s="535">
      <c r="B48" s="1029" t="inlineStr">
        <is>
          <t>Manufacturing Group Projects</t>
        </is>
      </c>
      <c r="C48" s="1029" t="str">
        <f>COUNTIF($B$49:$B$57,"?*")&amp;IF(COUNTIF($B$49:$B$57,"?*")=1," role"," roles")</f>
        <v>9 roles</v>
      </c>
      <c r="D48" s="1029" t="n"/>
      <c r="E48" s="1029" t="n"/>
      <c r="F48" s="1044">
        <f>SUM(F49:F57)</f>
        <v>1914773.3</v>
      </c>
      <c r="G48" s="1044">
        <f>SUM(G49:G57)</f>
        <v>1683084.05</v>
      </c>
    </row>
    <row r="49" ht="14.25" customHeight="1" s="535">
      <c r="A49" s="1045" t="inlineStr">
        <is>
          <t>R0078</t>
        </is>
      </c>
      <c r="B49" s="929" t="str">
        <f>INDEX('REVIEW - Complete Role Mapping'!$B$2:$B$700,MATCH($A49,'REVIEW - Complete Role Mapping'!$AQ$2:$AQ$700,0))</f>
        <v>Chris Camacho</v>
      </c>
      <c r="C49" s="929" t="str">
        <f>INDEX('REVIEW - Complete Role Mapping'!$D$2:$D$700,MATCH($A49,'REVIEW - Complete Role Mapping'!$AQ$2:$AQ$700,0))</f>
        <v>Senior Systems Analyst</v>
      </c>
      <c r="D49" s="929" t="str">
        <f>INDEX('REVIEW - Complete Role Mapping'!$AF$2:$AF$700,MATCH($A49,'REVIEW - Complete Role Mapping'!$AQ$2:$AQ$700,0))</f>
        <v>Filled</v>
      </c>
      <c r="E49" s="543" t="inlineStr">
        <is>
          <t>Filled</t>
        </is>
      </c>
      <c r="F49" s="1031">
        <f>INDEX('REVIEW - Complete Role Mapping'!$AE$2:$AE$700,MATCH($A49,'REVIEW - Complete Role Mapping'!$AQ$2:$AQ$700,0))</f>
        <v>225051.95</v>
      </c>
      <c r="G49" s="1031">
        <f>$F49*IF(ISNUMBER(SEARCH("WIPRO",INDEX('REVIEW - Complete Role Mapping'!$R$2:$R$700,MATCH($A49,'REVIEW - Complete Role Mapping'!$AQ$2:$AQ$700,0)))),1,IFERROR(INDEX(Lists!$AD$2:$AD$5,MATCH($E49,Lists!$AC$2:$AC$5,0)),NA()))</f>
        <v>225051.95</v>
      </c>
    </row>
    <row r="50" ht="14.25" customHeight="1" s="535">
      <c r="A50" s="1045" t="inlineStr">
        <is>
          <t>R0080</t>
        </is>
      </c>
      <c r="B50" s="929" t="str">
        <f>INDEX('REVIEW - Complete Role Mapping'!$B$2:$B$700,MATCH($A50,'REVIEW - Complete Role Mapping'!$AQ$2:$AQ$700,0))</f>
        <v>Jaya Ganasan</v>
      </c>
      <c r="C50" s="929" t="str">
        <f>INDEX('REVIEW - Complete Role Mapping'!$D$2:$D$700,MATCH($A50,'REVIEW - Complete Role Mapping'!$AQ$2:$AQ$700,0))</f>
        <v>B2B &amp; Energy+B452:I452</v>
      </c>
      <c r="D50" s="929" t="str">
        <f>INDEX('REVIEW - Complete Role Mapping'!$AF$2:$AF$700,MATCH($A50,'REVIEW - Complete Role Mapping'!$AQ$2:$AQ$700,0))</f>
        <v>Filled</v>
      </c>
      <c r="E50" s="543" t="inlineStr">
        <is>
          <t>Filled</t>
        </is>
      </c>
      <c r="F50" s="1031">
        <f>INDEX('REVIEW - Complete Role Mapping'!$AE$2:$AE$700,MATCH($A50,'REVIEW - Complete Role Mapping'!$AQ$2:$AQ$700,0))</f>
        <v>257693.9</v>
      </c>
      <c r="G50" s="1031">
        <f>$F50*IF(ISNUMBER(SEARCH("WIPRO",INDEX('REVIEW - Complete Role Mapping'!$R$2:$R$700,MATCH($A50,'REVIEW - Complete Role Mapping'!$AQ$2:$AQ$700,0)))),1,IFERROR(INDEX(Lists!$AD$2:$AD$5,MATCH($E50,Lists!$AC$2:$AC$5,0)),NA()))</f>
        <v>257693.9</v>
      </c>
    </row>
    <row r="51" ht="14.25" customHeight="1" s="535">
      <c r="A51" s="1045" t="inlineStr">
        <is>
          <t>R0174</t>
        </is>
      </c>
      <c r="B51" s="929" t="str">
        <f>INDEX('REVIEW - Complete Role Mapping'!$B$2:$B$700,MATCH($A51,'REVIEW - Complete Role Mapping'!$AQ$2:$AQ$700,0))</f>
        <v>Vacant</v>
      </c>
      <c r="C51" s="929" t="str">
        <f>INDEX('REVIEW - Complete Role Mapping'!$D$2:$D$700,MATCH($A51,'REVIEW - Complete Role Mapping'!$AQ$2:$AQ$700,0))</f>
        <v>Solution Architect</v>
      </c>
      <c r="D51" s="929" t="str">
        <f>INDEX('REVIEW - Complete Role Mapping'!$AF$2:$AF$700,MATCH($A51,'REVIEW - Complete Role Mapping'!$AQ$2:$AQ$700,0))</f>
        <v>Vacant</v>
      </c>
      <c r="E51" s="543" t="inlineStr">
        <is>
          <t>Hold</t>
        </is>
      </c>
      <c r="F51" s="1031">
        <f>INDEX('REVIEW - Complete Role Mapping'!$AE$2:$AE$700,MATCH($A51,'REVIEW - Complete Role Mapping'!$AQ$2:$AQ$700,0))</f>
        <v>231689.25</v>
      </c>
      <c r="G51" s="1031">
        <f>$F51*IF(ISNUMBER(SEARCH("WIPRO",INDEX('REVIEW - Complete Role Mapping'!$R$2:$R$700,MATCH($A51,'REVIEW - Complete Role Mapping'!$AQ$2:$AQ$700,0)))),1,IFERROR(INDEX(Lists!$AD$2:$AD$5,MATCH($E51,Lists!$AC$2:$AC$5,0)),NA()))</f>
        <v>0</v>
      </c>
    </row>
    <row r="52" ht="14.25" customHeight="1" s="535">
      <c r="A52" s="1045" t="inlineStr">
        <is>
          <t>R0195</t>
        </is>
      </c>
      <c r="B52" s="929" t="str">
        <f>INDEX('REVIEW - Complete Role Mapping'!$B$2:$B$700,MATCH($A52,'REVIEW - Complete Role Mapping'!$AQ$2:$AQ$700,0))</f>
        <v>Louis Ballington</v>
      </c>
      <c r="C52" s="929" t="str">
        <f>INDEX('REVIEW - Complete Role Mapping'!$D$2:$D$700,MATCH($A52,'REVIEW - Complete Role Mapping'!$AQ$2:$AQ$700,0))</f>
        <v>Delivery Lead</v>
      </c>
      <c r="D52" s="929" t="str">
        <f>INDEX('REVIEW - Complete Role Mapping'!$AF$2:$AF$700,MATCH($A52,'REVIEW - Complete Role Mapping'!$AQ$2:$AQ$700,0))</f>
        <v>Filled</v>
      </c>
      <c r="E52" s="543" t="inlineStr">
        <is>
          <t>Filled</t>
        </is>
      </c>
      <c r="F52" s="1031">
        <f>INDEX('REVIEW - Complete Role Mapping'!$AE$2:$AE$700,MATCH($A52,'REVIEW - Complete Role Mapping'!$AQ$2:$AQ$700,0))</f>
        <v>256466.85</v>
      </c>
      <c r="G52" s="1031">
        <f>$F52*IF(ISNUMBER(SEARCH("WIPRO",INDEX('REVIEW - Complete Role Mapping'!$R$2:$R$700,MATCH($A52,'REVIEW - Complete Role Mapping'!$AQ$2:$AQ$700,0)))),1,IFERROR(INDEX(Lists!$AD$2:$AD$5,MATCH($E52,Lists!$AC$2:$AC$5,0)),NA()))</f>
        <v>256466.85</v>
      </c>
    </row>
    <row r="53" ht="14.25" customHeight="1" s="535">
      <c r="A53" s="1045" t="inlineStr">
        <is>
          <t>R0306</t>
        </is>
      </c>
      <c r="B53" s="929" t="str">
        <f>INDEX('REVIEW - Complete Role Mapping'!$B$2:$B$700,MATCH($A53,'REVIEW - Complete Role Mapping'!$AQ$2:$AQ$700,0))</f>
        <v>Fabian Moreno Cortes</v>
      </c>
      <c r="C53" s="929" t="str">
        <f>INDEX('REVIEW - Complete Role Mapping'!$D$2:$D$700,MATCH($A53,'REVIEW - Complete Role Mapping'!$AQ$2:$AQ$700,0))</f>
        <v>Engineer - Software</v>
      </c>
      <c r="D53" s="929" t="str">
        <f>INDEX('REVIEW - Complete Role Mapping'!$AF$2:$AF$700,MATCH($A53,'REVIEW - Complete Role Mapping'!$AQ$2:$AQ$700,0))</f>
        <v>Filled</v>
      </c>
      <c r="E53" s="543" t="inlineStr">
        <is>
          <t>Filled</t>
        </is>
      </c>
      <c r="F53" s="1031">
        <f>INDEX('REVIEW - Complete Role Mapping'!$AE$2:$AE$700,MATCH($A53,'REVIEW - Complete Role Mapping'!$AQ$2:$AQ$700,0))</f>
        <v>193575</v>
      </c>
      <c r="G53" s="1031">
        <f>$F53*IF(ISNUMBER(SEARCH("WIPRO",INDEX('REVIEW - Complete Role Mapping'!$R$2:$R$700,MATCH($A53,'REVIEW - Complete Role Mapping'!$AQ$2:$AQ$700,0)))),1,IFERROR(INDEX(Lists!$AD$2:$AD$5,MATCH($E53,Lists!$AC$2:$AC$5,0)),NA()))</f>
        <v>193575</v>
      </c>
    </row>
    <row r="54" ht="14.25" customHeight="1" s="535">
      <c r="A54" s="1045" t="inlineStr">
        <is>
          <t>R0307</t>
        </is>
      </c>
      <c r="B54" s="929" t="str">
        <f>INDEX('REVIEW - Complete Role Mapping'!$B$2:$B$700,MATCH($A54,'REVIEW - Complete Role Mapping'!$AQ$2:$AQ$700,0))</f>
        <v>Victor Olasanoye</v>
      </c>
      <c r="C54" s="929" t="str">
        <f>INDEX('REVIEW - Complete Role Mapping'!$D$2:$D$700,MATCH($A54,'REVIEW - Complete Role Mapping'!$AQ$2:$AQ$700,0))</f>
        <v>Senior Systems Analyst</v>
      </c>
      <c r="D54" s="929" t="str">
        <f>INDEX('REVIEW - Complete Role Mapping'!$AF$2:$AF$700,MATCH($A54,'REVIEW - Complete Role Mapping'!$AQ$2:$AQ$700,0))</f>
        <v>Filled</v>
      </c>
      <c r="E54" s="543" t="inlineStr">
        <is>
          <t>Filled</t>
        </is>
      </c>
      <c r="F54" s="1031">
        <f>INDEX('REVIEW - Complete Role Mapping'!$AE$2:$AE$700,MATCH($A54,'REVIEW - Complete Role Mapping'!$AQ$2:$AQ$700,0))</f>
        <v>213359.7</v>
      </c>
      <c r="G54" s="1031">
        <f>$F54*IF(ISNUMBER(SEARCH("WIPRO",INDEX('REVIEW - Complete Role Mapping'!$R$2:$R$700,MATCH($A54,'REVIEW - Complete Role Mapping'!$AQ$2:$AQ$700,0)))),1,IFERROR(INDEX(Lists!$AD$2:$AD$5,MATCH($E54,Lists!$AC$2:$AC$5,0)),NA()))</f>
        <v>213359.7</v>
      </c>
    </row>
    <row r="55" ht="14.25" customHeight="1" s="535">
      <c r="A55" s="1045" t="inlineStr">
        <is>
          <t>R0337</t>
        </is>
      </c>
      <c r="B55" s="929" t="str">
        <f>INDEX('REVIEW - Complete Role Mapping'!$B$2:$B$700,MATCH($A55,'REVIEW - Complete Role Mapping'!$AQ$2:$AQ$700,0))</f>
        <v>Akhil Sriram</v>
      </c>
      <c r="C55" s="929" t="str">
        <f>INDEX('REVIEW - Complete Role Mapping'!$D$2:$D$700,MATCH($A55,'REVIEW - Complete Role Mapping'!$AQ$2:$AQ$700,0))</f>
        <v>Snr Business Analyst</v>
      </c>
      <c r="D55" s="929" t="str">
        <f>INDEX('REVIEW - Complete Role Mapping'!$AF$2:$AF$700,MATCH($A55,'REVIEW - Complete Role Mapping'!$AQ$2:$AQ$700,0))</f>
        <v>Filled</v>
      </c>
      <c r="E55" s="543" t="inlineStr">
        <is>
          <t>Filled</t>
        </is>
      </c>
      <c r="F55" s="1031">
        <f>INDEX('REVIEW - Complete Role Mapping'!$AE$2:$AE$700,MATCH($A55,'REVIEW - Complete Role Mapping'!$AQ$2:$AQ$700,0))</f>
        <v>221796.9</v>
      </c>
      <c r="G55" s="1031">
        <f>$F55*IF(ISNUMBER(SEARCH("WIPRO",INDEX('REVIEW - Complete Role Mapping'!$R$2:$R$700,MATCH($A55,'REVIEW - Complete Role Mapping'!$AQ$2:$AQ$700,0)))),1,IFERROR(INDEX(Lists!$AD$2:$AD$5,MATCH($E55,Lists!$AC$2:$AC$5,0)),NA()))</f>
        <v>221796.9</v>
      </c>
    </row>
    <row r="56" ht="14.25" customHeight="1" s="535">
      <c r="A56" s="1045" t="inlineStr">
        <is>
          <t>R0445</t>
        </is>
      </c>
      <c r="B56" s="929" t="str">
        <f>INDEX('REVIEW - Complete Role Mapping'!$B$2:$B$700,MATCH($A56,'REVIEW - Complete Role Mapping'!$AQ$2:$AQ$700,0))</f>
        <v>Tyler Meggs</v>
      </c>
      <c r="C56" s="929" t="str">
        <f>INDEX('REVIEW - Complete Role Mapping'!$D$2:$D$700,MATCH($A56,'REVIEW - Complete Role Mapping'!$AQ$2:$AQ$700,0))</f>
        <v>System Analyst</v>
      </c>
      <c r="D56" s="929" t="str">
        <f>INDEX('REVIEW - Complete Role Mapping'!$AF$2:$AF$700,MATCH($A56,'REVIEW - Complete Role Mapping'!$AQ$2:$AQ$700,0))</f>
        <v>Filled</v>
      </c>
      <c r="E56" s="543" t="inlineStr">
        <is>
          <t>Filled</t>
        </is>
      </c>
      <c r="F56" s="1031">
        <f>INDEX('REVIEW - Complete Role Mapping'!$AE$2:$AE$700,MATCH($A56,'REVIEW - Complete Role Mapping'!$AQ$2:$AQ$700,0))</f>
        <v>144650</v>
      </c>
      <c r="G56" s="1031">
        <f>$F56*IF(ISNUMBER(SEARCH("WIPRO",INDEX('REVIEW - Complete Role Mapping'!$R$2:$R$700,MATCH($A56,'REVIEW - Complete Role Mapping'!$AQ$2:$AQ$700,0)))),1,IFERROR(INDEX(Lists!$AD$2:$AD$5,MATCH($E56,Lists!$AC$2:$AC$5,0)),NA()))</f>
        <v>144650</v>
      </c>
    </row>
    <row r="57" ht="14.25" customHeight="1" s="535">
      <c r="A57" s="1045" t="inlineStr">
        <is>
          <t>R0446</t>
        </is>
      </c>
      <c r="B57" s="929" t="str">
        <f>INDEX('REVIEW - Complete Role Mapping'!$B$2:$B$700,MATCH($A57,'REVIEW - Complete Role Mapping'!$AQ$2:$AQ$700,0))</f>
        <v>Vacant</v>
      </c>
      <c r="C57" s="929" t="str">
        <f>INDEX('REVIEW - Complete Role Mapping'!$D$2:$D$700,MATCH($A57,'REVIEW - Complete Role Mapping'!$AQ$2:$AQ$700,0))</f>
        <v>Quality Assurance</v>
      </c>
      <c r="D57" s="929" t="str">
        <f>INDEX('REVIEW - Complete Role Mapping'!$AF$2:$AF$700,MATCH($A57,'REVIEW - Complete Role Mapping'!$AQ$2:$AQ$700,0))</f>
        <v>Vacant</v>
      </c>
      <c r="E57" s="543" t="inlineStr">
        <is>
          <t>Filled</t>
        </is>
      </c>
      <c r="F57" s="1031">
        <f>INDEX('REVIEW - Complete Role Mapping'!$AE$2:$AE$700,MATCH($A57,'REVIEW - Complete Role Mapping'!$AQ$2:$AQ$700,0))</f>
        <v>170489.75</v>
      </c>
      <c r="G57" s="1031">
        <f>$F57*IF(ISNUMBER(SEARCH("WIPRO",INDEX('REVIEW - Complete Role Mapping'!$R$2:$R$700,MATCH($A57,'REVIEW - Complete Role Mapping'!$AQ$2:$AQ$700,0)))),1,IFERROR(INDEX(Lists!$AD$2:$AD$5,MATCH($E57,Lists!$AC$2:$AC$5,0)),NA()))</f>
        <v>170489.75</v>
      </c>
    </row>
    <row r="58" ht="14.25" customHeight="1" s="535">
      <c r="B58" s="1029" t="inlineStr">
        <is>
          <t>Technology Support</t>
        </is>
      </c>
      <c r="C58" s="1029" t="str">
        <f>COUNTIF($B$59:$B$63,"?*")&amp;IF(COUNTIF($B$59:$B$63,"?*")=1," role"," roles")</f>
        <v>5 roles</v>
      </c>
      <c r="D58" s="1029" t="n"/>
      <c r="E58" s="1029" t="n"/>
      <c r="F58" s="1044">
        <f>SUM(F59:F63)</f>
        <v>741335.29</v>
      </c>
      <c r="G58" s="1044">
        <f>SUM(G59:G63)</f>
        <v>741335.29</v>
      </c>
    </row>
    <row r="59" ht="14.25" customHeight="1" s="535">
      <c r="A59" s="1045" t="inlineStr">
        <is>
          <t>R0440</t>
        </is>
      </c>
      <c r="B59" s="929" t="str">
        <f>INDEX('REVIEW - Complete Role Mapping'!$B$2:$B$700,MATCH($A59,'REVIEW - Complete Role Mapping'!$AQ$2:$AQ$700,0))</f>
        <v>Alison Rosier</v>
      </c>
      <c r="C59" s="929" t="str">
        <f>INDEX('REVIEW - Complete Role Mapping'!$D$2:$D$700,MATCH($A59,'REVIEW - Complete Role Mapping'!$AQ$2:$AQ$700,0))</f>
        <v>Technology Support Engineer - Infrastructure</v>
      </c>
      <c r="D59" s="929" t="str">
        <f>INDEX('REVIEW - Complete Role Mapping'!$AF$2:$AF$700,MATCH($A59,'REVIEW - Complete Role Mapping'!$AQ$2:$AQ$700,0))</f>
        <v>Filled</v>
      </c>
      <c r="E59" s="543" t="inlineStr">
        <is>
          <t>Filled</t>
        </is>
      </c>
      <c r="F59" s="1031">
        <f>INDEX('REVIEW - Complete Role Mapping'!$AE$2:$AE$700,MATCH($A59,'REVIEW - Complete Role Mapping'!$AQ$2:$AQ$700,0))</f>
        <v>162936.39</v>
      </c>
      <c r="G59" s="1031">
        <f>$F59*IF(ISNUMBER(SEARCH("WIPRO",INDEX('REVIEW - Complete Role Mapping'!$R$2:$R$700,MATCH($A59,'REVIEW - Complete Role Mapping'!$AQ$2:$AQ$700,0)))),1,IFERROR(INDEX(Lists!$AD$2:$AD$5,MATCH($E59,Lists!$AC$2:$AC$5,0)),NA()))</f>
        <v>162936.39</v>
      </c>
    </row>
    <row r="60" ht="14.25" customHeight="1" s="535">
      <c r="A60" s="1045" t="inlineStr">
        <is>
          <t>R0441</t>
        </is>
      </c>
      <c r="B60" s="929" t="str">
        <f>INDEX('REVIEW - Complete Role Mapping'!$B$2:$B$700,MATCH($A60,'REVIEW - Complete Role Mapping'!$AQ$2:$AQ$700,0))</f>
        <v>Radek Rybar</v>
      </c>
      <c r="C60" s="929" t="str">
        <f>INDEX('REVIEW - Complete Role Mapping'!$D$2:$D$700,MATCH($A60,'REVIEW - Complete Role Mapping'!$AQ$2:$AQ$700,0))</f>
        <v>Technology Support Engineer - Infrastructure</v>
      </c>
      <c r="D60" s="929" t="str">
        <f>INDEX('REVIEW - Complete Role Mapping'!$AF$2:$AF$700,MATCH($A60,'REVIEW - Complete Role Mapping'!$AQ$2:$AQ$700,0))</f>
        <v>Filled</v>
      </c>
      <c r="E60" s="543" t="inlineStr">
        <is>
          <t>Filled</t>
        </is>
      </c>
      <c r="F60" s="1031">
        <f>INDEX('REVIEW - Complete Role Mapping'!$AE$2:$AE$700,MATCH($A60,'REVIEW - Complete Role Mapping'!$AQ$2:$AQ$700,0))</f>
        <v>153697.2</v>
      </c>
      <c r="G60" s="1031">
        <f>$F60*IF(ISNUMBER(SEARCH("WIPRO",INDEX('REVIEW - Complete Role Mapping'!$R$2:$R$700,MATCH($A60,'REVIEW - Complete Role Mapping'!$AQ$2:$AQ$700,0)))),1,IFERROR(INDEX(Lists!$AD$2:$AD$5,MATCH($E60,Lists!$AC$2:$AC$5,0)),NA()))</f>
        <v>153697.2</v>
      </c>
    </row>
    <row r="61" ht="14.25" customHeight="1" s="535">
      <c r="A61" s="1045" t="inlineStr">
        <is>
          <t>R0442</t>
        </is>
      </c>
      <c r="B61" s="929" t="str">
        <f>INDEX('REVIEW - Complete Role Mapping'!$B$2:$B$700,MATCH($A61,'REVIEW - Complete Role Mapping'!$AQ$2:$AQ$700,0))</f>
        <v>Scott Hasson</v>
      </c>
      <c r="C61" s="929" t="str">
        <f>INDEX('REVIEW - Complete Role Mapping'!$D$2:$D$700,MATCH($A61,'REVIEW - Complete Role Mapping'!$AQ$2:$AQ$700,0))</f>
        <v>Technology Support Engineer - Infrastructure</v>
      </c>
      <c r="D61" s="929" t="str">
        <f>INDEX('REVIEW - Complete Role Mapping'!$AF$2:$AF$700,MATCH($A61,'REVIEW - Complete Role Mapping'!$AQ$2:$AQ$700,0))</f>
        <v>Filled</v>
      </c>
      <c r="E61" s="543" t="inlineStr">
        <is>
          <t>Filled</t>
        </is>
      </c>
      <c r="F61" s="1031">
        <f>INDEX('REVIEW - Complete Role Mapping'!$AE$2:$AE$700,MATCH($A61,'REVIEW - Complete Role Mapping'!$AQ$2:$AQ$700,0))</f>
        <v>146727.7</v>
      </c>
      <c r="G61" s="1031">
        <f>$F61*IF(ISNUMBER(SEARCH("WIPRO",INDEX('REVIEW - Complete Role Mapping'!$R$2:$R$700,MATCH($A61,'REVIEW - Complete Role Mapping'!$AQ$2:$AQ$700,0)))),1,IFERROR(INDEX(Lists!$AD$2:$AD$5,MATCH($E61,Lists!$AC$2:$AC$5,0)),NA()))</f>
        <v>146727.7</v>
      </c>
    </row>
    <row r="62" ht="14.25" customHeight="1" s="535">
      <c r="A62" s="1045" t="inlineStr">
        <is>
          <t>R0444</t>
        </is>
      </c>
      <c r="B62" s="929" t="str">
        <f>INDEX('REVIEW - Complete Role Mapping'!$B$2:$B$700,MATCH($A62,'REVIEW - Complete Role Mapping'!$AQ$2:$AQ$700,0))</f>
        <v>Glenn Earl</v>
      </c>
      <c r="C62" s="929" t="str">
        <f>INDEX('REVIEW - Complete Role Mapping'!$D$2:$D$700,MATCH($A62,'REVIEW - Complete Role Mapping'!$AQ$2:$AQ$700,0))</f>
        <v>Lead Technology Support - Infrastructure</v>
      </c>
      <c r="D62" s="929" t="str">
        <f>INDEX('REVIEW - Complete Role Mapping'!$AF$2:$AF$700,MATCH($A62,'REVIEW - Complete Role Mapping'!$AQ$2:$AQ$700,0))</f>
        <v>Filled</v>
      </c>
      <c r="E62" s="543" t="inlineStr">
        <is>
          <t>Filled</t>
        </is>
      </c>
      <c r="F62" s="1031">
        <f>INDEX('REVIEW - Complete Role Mapping'!$AE$2:$AE$700,MATCH($A62,'REVIEW - Complete Role Mapping'!$AQ$2:$AQ$700,0))</f>
        <v>171291.9</v>
      </c>
      <c r="G62" s="1031">
        <f>$F62*IF(ISNUMBER(SEARCH("WIPRO",INDEX('REVIEW - Complete Role Mapping'!$R$2:$R$700,MATCH($A62,'REVIEW - Complete Role Mapping'!$AQ$2:$AQ$700,0)))),1,IFERROR(INDEX(Lists!$AD$2:$AD$5,MATCH($E62,Lists!$AC$2:$AC$5,0)),NA()))</f>
        <v>171291.9</v>
      </c>
    </row>
    <row r="63" ht="14.25" customHeight="1" s="535">
      <c r="A63" s="1045" t="inlineStr">
        <is>
          <t>R0521</t>
        </is>
      </c>
      <c r="B63" s="929" t="str">
        <f>INDEX('REVIEW - Complete Role Mapping'!$B$2:$B$700,MATCH($A63,'REVIEW - Complete Role Mapping'!$AQ$2:$AQ$700,0))</f>
        <v>Tom Moore</v>
      </c>
      <c r="C63" s="929" t="str">
        <f>INDEX('REVIEW - Complete Role Mapping'!$D$2:$D$700,MATCH($A63,'REVIEW - Complete Role Mapping'!$AQ$2:$AQ$700,0))</f>
        <v>Technology Support Engineer - Infrastructure</v>
      </c>
      <c r="D63" s="929" t="str">
        <f>INDEX('REVIEW - Complete Role Mapping'!$AF$2:$AF$700,MATCH($A63,'REVIEW - Complete Role Mapping'!$AQ$2:$AQ$700,0))</f>
        <v>Filled</v>
      </c>
      <c r="E63" s="543" t="inlineStr">
        <is>
          <t>Filled</t>
        </is>
      </c>
      <c r="F63" s="1031">
        <f>INDEX('REVIEW - Complete Role Mapping'!$AE$2:$AE$700,MATCH($A63,'REVIEW - Complete Role Mapping'!$AQ$2:$AQ$700,0))</f>
        <v>106682.1</v>
      </c>
      <c r="G63" s="1031">
        <f>$F63*IF(ISNUMBER(SEARCH("WIPRO",INDEX('REVIEW - Complete Role Mapping'!$R$2:$R$700,MATCH($A63,'REVIEW - Complete Role Mapping'!$AQ$2:$AQ$700,0)))),1,IFERROR(INDEX(Lists!$AD$2:$AD$5,MATCH($E63,Lists!$AC$2:$AC$5,0)),NA()))</f>
        <v>106682.1</v>
      </c>
    </row>
    <row r="64" ht="14.25" customHeight="1" s="535">
      <c r="B64" s="1029" t="inlineStr">
        <is>
          <t>Head of Technology</t>
        </is>
      </c>
      <c r="C64" s="1029" t="str">
        <f>COUNTIF($B$65:$B$65,"?*")&amp;IF(COUNTIF($B$65:$B$65,"?*")=1," role"," roles")</f>
        <v>1 role</v>
      </c>
      <c r="D64" s="1029" t="n"/>
      <c r="E64" s="1029" t="n"/>
      <c r="F64" s="1044">
        <f>SUM(F65:F65)</f>
        <v>363626.7</v>
      </c>
      <c r="G64" s="1044">
        <f>SUM(G65:G65)</f>
        <v>363626.7</v>
      </c>
    </row>
    <row r="65" ht="14.25" customHeight="1" s="535">
      <c r="A65" s="1045" t="inlineStr">
        <is>
          <t>R0062</t>
        </is>
      </c>
      <c r="B65" s="929" t="str">
        <f>INDEX('REVIEW - Complete Role Mapping'!$B$2:$B$700,MATCH($A65,'REVIEW - Complete Role Mapping'!$AQ$2:$AQ$700,0))</f>
        <v>Amish Pandit</v>
      </c>
      <c r="C65" s="929" t="str">
        <f>INDEX('REVIEW - Complete Role Mapping'!$D$2:$D$700,MATCH($A65,'REVIEW - Complete Role Mapping'!$AQ$2:$AQ$700,0))</f>
        <v>Head of Technology, Fuel Infrastructure</v>
      </c>
      <c r="D65" s="929" t="str">
        <f>INDEX('REVIEW - Complete Role Mapping'!$AF$2:$AF$700,MATCH($A65,'REVIEW - Complete Role Mapping'!$AQ$2:$AQ$700,0))</f>
        <v>Filled</v>
      </c>
      <c r="E65" s="543" t="inlineStr">
        <is>
          <t>Filled</t>
        </is>
      </c>
      <c r="F65" s="1031">
        <f>INDEX('REVIEW - Complete Role Mapping'!$AE$2:$AE$700,MATCH($A65,'REVIEW - Complete Role Mapping'!$AQ$2:$AQ$700,0))</f>
        <v>363626.7</v>
      </c>
      <c r="G65" s="1031">
        <f>$F65*IF(ISNUMBER(SEARCH("WIPRO",INDEX('REVIEW - Complete Role Mapping'!$R$2:$R$700,MATCH($A65,'REVIEW - Complete Role Mapping'!$AQ$2:$AQ$700,0)))),1,IFERROR(INDEX(Lists!$AD$2:$AD$5,MATCH($E65,Lists!$AC$2:$AC$5,0)),NA()))</f>
        <v>363626.7</v>
      </c>
    </row>
    <row r="66" ht="14.25" customHeight="1" s="535">
      <c r="B66" s="1029" t="inlineStr">
        <is>
          <t>Delivery Manager</t>
        </is>
      </c>
      <c r="C66" s="1029" t="str">
        <f>COUNTIF($B$67:$B$67,"?*")&amp;IF(COUNTIF($B$67:$B$67,"?*")=1," role"," roles")</f>
        <v>1 role</v>
      </c>
      <c r="D66" s="1029" t="n"/>
      <c r="E66" s="1029" t="n"/>
      <c r="F66" s="1044">
        <f>SUM(F67:F67)</f>
        <v>316744.8</v>
      </c>
      <c r="G66" s="1044">
        <f>SUM(G67:G67)</f>
        <v>316744.8</v>
      </c>
    </row>
    <row r="67" ht="14.25" customHeight="1" s="535">
      <c r="A67" s="1045" t="inlineStr">
        <is>
          <t>R0079</t>
        </is>
      </c>
      <c r="B67" s="929" t="str">
        <f>INDEX('REVIEW - Complete Role Mapping'!$B$2:$B$700,MATCH($A67,'REVIEW - Complete Role Mapping'!$AQ$2:$AQ$700,0))</f>
        <v>Prem Shetty</v>
      </c>
      <c r="C67" s="929" t="str">
        <f>INDEX('REVIEW - Complete Role Mapping'!$D$2:$D$700,MATCH($A67,'REVIEW - Complete Role Mapping'!$AQ$2:$AQ$700,0))</f>
        <v>Delivery manager</v>
      </c>
      <c r="D67" s="929" t="str">
        <f>INDEX('REVIEW - Complete Role Mapping'!$AF$2:$AF$700,MATCH($A67,'REVIEW - Complete Role Mapping'!$AQ$2:$AQ$700,0))</f>
        <v>Filled</v>
      </c>
      <c r="E67" s="543" t="inlineStr">
        <is>
          <t>Filled</t>
        </is>
      </c>
      <c r="F67" s="1031">
        <f>INDEX('REVIEW - Complete Role Mapping'!$AE$2:$AE$700,MATCH($A67,'REVIEW - Complete Role Mapping'!$AQ$2:$AQ$700,0))</f>
        <v>316744.8</v>
      </c>
      <c r="G67" s="1031">
        <f>$F67*IF(ISNUMBER(SEARCH("WIPRO",INDEX('REVIEW - Complete Role Mapping'!$R$2:$R$700,MATCH($A67,'REVIEW - Complete Role Mapping'!$AQ$2:$AQ$700,0)))),1,IFERROR(INDEX(Lists!$AD$2:$AD$5,MATCH($E67,Lists!$AC$2:$AC$5,0)),NA()))</f>
        <v>316744.8</v>
      </c>
    </row>
    <row r="68" ht="14.25" customHeight="1" s="535">
      <c r="B68" s="1029" t="inlineStr">
        <is>
          <t>Technology Manager</t>
        </is>
      </c>
      <c r="C68" s="1029" t="str">
        <f>COUNTIF($B$69:$B$70,"?*")&amp;IF(COUNTIF($B$69:$B$70,"?*")=1," role"," roles")</f>
        <v>2 roles</v>
      </c>
      <c r="D68" s="1029" t="n"/>
      <c r="E68" s="1029" t="n"/>
      <c r="F68" s="1044">
        <f>SUM(F69:F70)</f>
        <v>524886.35</v>
      </c>
      <c r="G68" s="1044">
        <f>SUM(G69:G70)</f>
        <v>524886.35</v>
      </c>
    </row>
    <row r="69" ht="14.25" customHeight="1" s="535">
      <c r="A69" s="1045" t="inlineStr">
        <is>
          <t>R0081</t>
        </is>
      </c>
      <c r="B69" s="929" t="str">
        <f>INDEX('REVIEW - Complete Role Mapping'!$B$2:$B$700,MATCH($A69,'REVIEW - Complete Role Mapping'!$AQ$2:$AQ$700,0))</f>
        <v>Karla Orozco Loza</v>
      </c>
      <c r="C69" s="929" t="str">
        <f>INDEX('REVIEW - Complete Role Mapping'!$D$2:$D$700,MATCH($A69,'REVIEW - Complete Role Mapping'!$AQ$2:$AQ$700,0))</f>
        <v>Technology Manager, Future Infrastructure </v>
      </c>
      <c r="D69" s="929" t="str">
        <f>INDEX('REVIEW - Complete Role Mapping'!$AF$2:$AF$700,MATCH($A69,'REVIEW - Complete Role Mapping'!$AQ$2:$AQ$700,0))</f>
        <v>Filled</v>
      </c>
      <c r="E69" s="543" t="inlineStr">
        <is>
          <t>Filled</t>
        </is>
      </c>
      <c r="F69" s="1031">
        <f>INDEX('REVIEW - Complete Role Mapping'!$AE$2:$AE$700,MATCH($A69,'REVIEW - Complete Role Mapping'!$AQ$2:$AQ$700,0))</f>
        <v>249076.1</v>
      </c>
      <c r="G69" s="1031">
        <f>$F69*IF(ISNUMBER(SEARCH("WIPRO",INDEX('REVIEW - Complete Role Mapping'!$R$2:$R$700,MATCH($A69,'REVIEW - Complete Role Mapping'!$AQ$2:$AQ$700,0)))),1,IFERROR(INDEX(Lists!$AD$2:$AD$5,MATCH($E69,Lists!$AC$2:$AC$5,0)),NA()))</f>
        <v>249076.1</v>
      </c>
    </row>
    <row r="70" ht="14.25" customHeight="1" s="535">
      <c r="A70" s="1045" t="inlineStr">
        <is>
          <t>R0082</t>
        </is>
      </c>
      <c r="B70" s="929" t="str">
        <f>INDEX('REVIEW - Complete Role Mapping'!$B$2:$B$700,MATCH($A70,'REVIEW - Complete Role Mapping'!$AQ$2:$AQ$700,0))</f>
        <v>Vacant</v>
      </c>
      <c r="C70" s="929" t="str">
        <f>INDEX('REVIEW - Complete Role Mapping'!$D$2:$D$700,MATCH($A70,'REVIEW - Complete Role Mapping'!$AQ$2:$AQ$700,0))</f>
        <v>Technology Manager Data</v>
      </c>
      <c r="D70" s="929" t="str">
        <f>INDEX('REVIEW - Complete Role Mapping'!$AF$2:$AF$700,MATCH($A70,'REVIEW - Complete Role Mapping'!$AQ$2:$AQ$700,0))</f>
        <v>Vacant</v>
      </c>
      <c r="E70" s="543" t="inlineStr">
        <is>
          <t>Hire</t>
        </is>
      </c>
      <c r="F70" s="1031">
        <f>INDEX('REVIEW - Complete Role Mapping'!$AE$2:$AE$700,MATCH($A70,'REVIEW - Complete Role Mapping'!$AQ$2:$AQ$700,0))</f>
        <v>275810.25</v>
      </c>
      <c r="G70" s="1031">
        <f>$F70*IF(ISNUMBER(SEARCH("WIPRO",INDEX('REVIEW - Complete Role Mapping'!$R$2:$R$700,MATCH($A70,'REVIEW - Complete Role Mapping'!$AQ$2:$AQ$700,0)))),1,IFERROR(INDEX(Lists!$AD$2:$AD$5,MATCH($E70,Lists!$AC$2:$AC$5,0)),NA()))</f>
        <v>275810.25</v>
      </c>
    </row>
    <row r="71"/>
    <row r="72" ht="14.25" customHeight="1" s="535">
      <c r="B72" s="1040" t="inlineStr">
        <is>
          <t>Vacancy levers on this tab, for the executive summary</t>
        </is>
      </c>
      <c r="J72" s="1046">
        <f>COUNTIFS($D$27:$D$70,"Vacant",$E$27:$E$70,"Hire")</f>
        <v>2</v>
      </c>
      <c r="K72" s="1046">
        <f>COUNTIFS($D$27:$D$70,"Vacant",$E$27:$E$70,"Offshore")</f>
        <v>2</v>
      </c>
      <c r="L72" s="1046">
        <f>COUNTIFS($D$27:$D$70,"Vacant",$E$27:$E$70,"Hold")</f>
        <v>2</v>
      </c>
      <c r="M72" s="1046">
        <f>COUNTIFS($D$27:$D$70,"Vacant",$E$27:$E$70,"Filled")</f>
        <v>1</v>
      </c>
      <c r="N72" s="1046">
        <f>COUNTIFS($D$27:$D$70,"Filled",$E$27:$E$70,"Offshore")</f>
        <v>3</v>
      </c>
    </row>
  </sheetData>
  <dataValidations count="1">
    <dataValidation sqref="E28:E34 E36:E45 E47 E49:E57 E59:E63 E65 E67 E69:E70"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1"/>
  </sheetPr>
  <dimension ref="A1:T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6" activeCellId="0" sqref="B56"/>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Energy Solutions &amp; B2B - working copy</t>
        </is>
      </c>
    </row>
    <row r="3" ht="14.25" customHeight="1" s="535">
      <c r="B3" s="709" t="inlineStr">
        <is>
          <t>Portfolio</t>
        </is>
      </c>
      <c r="C3" s="868" t="inlineStr">
        <is>
          <t>Energy Solutions &amp; B2B</t>
        </is>
      </c>
    </row>
    <row r="4" ht="18.75" customHeight="1" s="535">
      <c r="B4" s="537" t="inlineStr">
        <is>
          <t>Energy Solutions &amp; B2B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B2B</t>
        </is>
      </c>
      <c r="C8" s="929" t="str">
        <f>IFERROR(IF(INDEX('1.8 Energy Solutions &amp; B2B'!$C$26:$C$37,MATCH($B8,'1.8 Energy Solutions &amp; B2B'!$B$26:$B$37,0))="","",INDEX('1.8 Energy Solutions &amp; B2B'!$C$26:$C$37,MATCH($B8,'1.8 Energy Solutions &amp; B2B'!$B$26:$B$37,0))),"Not on the 1.x tab")</f>
        <v>Configuration / Integration</v>
      </c>
      <c r="D8" s="929" t="str">
        <f>IFERROR(IF(INDEX('1.8 Energy Solutions &amp; B2B'!$D$26:$D$37,MATCH($B8,'1.8 Energy Solutions &amp; B2B'!$B$26:$B$37,0))="","",INDEX('1.8 Energy Solutions &amp; B2B'!$D$26:$D$37,MATCH($B8,'1.8 Energy Solutions &amp; B2B'!$B$26:$B$37,0))),"")</f>
        <v>L</v>
      </c>
      <c r="E8" s="1030">
        <f>IFERROR(INDEX('0.3 Squad Archetypes'!$F$5:$F$23,MATCH($C8&amp;"|"&amp;$D8,'0.3 Squad Archetypes'!$A$5:$A$23,0)),"")</f>
        <v>14</v>
      </c>
      <c r="F8" s="1031">
        <f>COUNTIF($B$25:$B$38,"?*")</f>
        <v>14</v>
      </c>
      <c r="G8" s="1030">
        <f>ROUND(SUMIFS('REVIEW - Complete Role Mapping'!$P$2:$P$700,'REVIEW - Complete Role Mapping'!$AH$2:$AH$700,$C$3,'REVIEW - Complete Role Mapping'!$AL$2:$AL$700,$B8),2)</f>
        <v>14</v>
      </c>
      <c r="H8" s="1031">
        <f>COUNTIFS($D$25:$D$38,"Filled")</f>
        <v>11</v>
      </c>
      <c r="I8" s="1031">
        <f>COUNTIFS($D$25:$D$38,"Vacant")</f>
        <v>3</v>
      </c>
      <c r="J8" s="1031">
        <f>COUNTIFS($D$25:$D$38,"Vacant",$E$25:$E$38,"Hire")</f>
        <v>3</v>
      </c>
      <c r="K8" s="1031">
        <f>COUNTIFS($E$25:$E$38,"Offshore")</f>
        <v>0</v>
      </c>
      <c r="L8" s="1031">
        <f>COUNTIFS($E$25:$E$38,"Hold")</f>
        <v>0</v>
      </c>
      <c r="M8" s="1031">
        <f>$F8-$L8</f>
        <v>14</v>
      </c>
      <c r="N8" s="1032">
        <f>IFERROR(IF(ISNUMBER(INDEX('1.8 Energy Solutions &amp; B2B'!$H$26:$H$37,MATCH($B8,'1.8 Energy Solutions &amp; B2B'!$B$26:$B$37,0))),INDEX('1.8 Energy Solutions &amp; B2B'!$H$26:$H$37,MATCH($B8,'1.8 Energy Solutions &amp; B2B'!$B$26:$B$37,0)),""),"")</f>
        <v>3.2</v>
      </c>
      <c r="O8" s="1032">
        <f>SUMIFS('REVIEW - Complete Role Mapping'!$AE$2:$AE$700,'REVIEW - Complete Role Mapping'!$AH$2:$AH$700,$C$3,'REVIEW - Complete Role Mapping'!$AL$2:$AL$700,$B8)/1000000</f>
        <v>2.59351107</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2.59351107</v>
      </c>
      <c r="R8" s="1032">
        <f>IFERROR(ROUND(IF(COUNTIF(Lists!$AU$2:$AU$10,$B8),$O8,$Q8)-$N8,6),"")</f>
        <v>-0.606489</v>
      </c>
      <c r="S8" s="1032">
        <f>SUM($G$25:$G$38)/1000000</f>
        <v>2.59351107</v>
      </c>
      <c r="T8" s="1032">
        <f>IFERROR(ROUND($S8-$N8,6),"")</f>
        <v>-0.606489</v>
      </c>
    </row>
    <row r="9" ht="14.25" customHeight="1" s="535">
      <c r="B9" s="929" t="inlineStr">
        <is>
          <t>EVCI</t>
        </is>
      </c>
      <c r="C9" s="929" t="str">
        <f>IFERROR(IF(INDEX('1.8 Energy Solutions &amp; B2B'!$C$26:$C$37,MATCH($B9,'1.8 Energy Solutions &amp; B2B'!$B$26:$B$37,0))="","",INDEX('1.8 Energy Solutions &amp; B2B'!$C$26:$C$37,MATCH($B9,'1.8 Energy Solutions &amp; B2B'!$B$26:$B$37,0))),"Not on the 1.x tab")</f>
        <v>Engineering</v>
      </c>
      <c r="D9" s="929" t="str">
        <f>IFERROR(IF(INDEX('1.8 Energy Solutions &amp; B2B'!$D$26:$D$37,MATCH($B9,'1.8 Energy Solutions &amp; B2B'!$B$26:$B$37,0))="","",INDEX('1.8 Energy Solutions &amp; B2B'!$D$26:$D$37,MATCH($B9,'1.8 Energy Solutions &amp; B2B'!$B$26:$B$37,0))),"")</f>
        <v>S</v>
      </c>
      <c r="E9" s="1030">
        <f>IFERROR(INDEX('0.3 Squad Archetypes'!$F$5:$F$23,MATCH($C9&amp;"|"&amp;$D9,'0.3 Squad Archetypes'!$A$5:$A$23,0)),"")</f>
        <v>4.5</v>
      </c>
      <c r="F9" s="1031">
        <f>COUNTIF($B$40:$B$45,"?*")</f>
        <v>6</v>
      </c>
      <c r="G9" s="1030">
        <f>ROUND(SUMIFS('REVIEW - Complete Role Mapping'!$P$2:$P$700,'REVIEW - Complete Role Mapping'!$AH$2:$AH$700,$C$3,'REVIEW - Complete Role Mapping'!$AL$2:$AL$700,$B9),2)</f>
        <v>6</v>
      </c>
      <c r="H9" s="1031">
        <f>COUNTIFS($D$40:$D$45,"Filled")</f>
        <v>6</v>
      </c>
      <c r="I9" s="1031">
        <f>COUNTIFS($D$40:$D$45,"Vacant")</f>
        <v>0</v>
      </c>
      <c r="J9" s="1031">
        <f>COUNTIFS($D$40:$D$45,"Vacant",$E$40:$E$45,"Hire")</f>
        <v>0</v>
      </c>
      <c r="K9" s="1031">
        <f>COUNTIFS($E$40:$E$45,"Offshore")</f>
        <v>0</v>
      </c>
      <c r="L9" s="1031">
        <f>COUNTIFS($E$40:$E$45,"Hold")</f>
        <v>0</v>
      </c>
      <c r="M9" s="1031">
        <f>$F9-$L9</f>
        <v>6</v>
      </c>
      <c r="N9" s="1032">
        <f>IFERROR(IF(ISNUMBER(INDEX('1.8 Energy Solutions &amp; B2B'!$H$26:$H$37,MATCH($B9,'1.8 Energy Solutions &amp; B2B'!$B$26:$B$37,0))),INDEX('1.8 Energy Solutions &amp; B2B'!$H$26:$H$37,MATCH($B9,'1.8 Energy Solutions &amp; B2B'!$B$26:$B$37,0)),""),"")</f>
        <v>0.8</v>
      </c>
      <c r="O9" s="1032">
        <f>SUMIFS('REVIEW - Complete Role Mapping'!$AE$2:$AE$700,'REVIEW - Complete Role Mapping'!$AH$2:$AH$700,$C$3,'REVIEW - Complete Role Mapping'!$AL$2:$AL$700,$B9)/1000000</f>
        <v>0.930799292</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0.930799292</v>
      </c>
      <c r="R9" s="1032">
        <f>IFERROR(ROUND(IF(COUNTIF(Lists!$AU$2:$AU$10,$B9),$O9,$Q9)-$N9,6),"")</f>
        <v>0.130799</v>
      </c>
      <c r="S9" s="1032">
        <f>SUM($G$40:$G$45)/1000000</f>
        <v>0.930799292</v>
      </c>
      <c r="T9" s="1032">
        <f>IFERROR(ROUND($S9-$N9,6),"")</f>
        <v>0.130799</v>
      </c>
    </row>
    <row r="10" ht="14.25" customHeight="1" s="535">
      <c r="B10" s="929" t="inlineStr">
        <is>
          <t>Energy</t>
        </is>
      </c>
      <c r="C10" s="929" t="str">
        <f>IFERROR(IF(INDEX('1.8 Energy Solutions &amp; B2B'!$C$26:$C$37,MATCH($B10,'1.8 Energy Solutions &amp; B2B'!$B$26:$B$37,0))="","",INDEX('1.8 Energy Solutions &amp; B2B'!$C$26:$C$37,MATCH($B10,'1.8 Energy Solutions &amp; B2B'!$B$26:$B$37,0))),"Not on the 1.x tab")</f>
        <v>Engineering</v>
      </c>
      <c r="D10" s="929" t="str">
        <f>IFERROR(IF(INDEX('1.8 Energy Solutions &amp; B2B'!$D$26:$D$37,MATCH($B10,'1.8 Energy Solutions &amp; B2B'!$B$26:$B$37,0))="","",INDEX('1.8 Energy Solutions &amp; B2B'!$D$26:$D$37,MATCH($B10,'1.8 Energy Solutions &amp; B2B'!$B$26:$B$37,0))),"")</f>
        <v>M</v>
      </c>
      <c r="E10" s="1030">
        <f>IFERROR(INDEX('0.3 Squad Archetypes'!$F$5:$F$23,MATCH($C10&amp;"|"&amp;$D10,'0.3 Squad Archetypes'!$A$5:$A$23,0)),"")</f>
        <v>9</v>
      </c>
      <c r="F10" s="1031">
        <f>COUNTIF($B$47:$B$55,"?*")</f>
        <v>9</v>
      </c>
      <c r="G10" s="1030">
        <f>ROUND(SUMIFS('REVIEW - Complete Role Mapping'!$P$2:$P$700,'REVIEW - Complete Role Mapping'!$AH$2:$AH$700,$C$3,'REVIEW - Complete Role Mapping'!$AL$2:$AL$700,$B10),2)</f>
        <v>9</v>
      </c>
      <c r="H10" s="1031">
        <f>COUNTIFS($D$47:$D$55,"Filled")</f>
        <v>6</v>
      </c>
      <c r="I10" s="1031">
        <f>COUNTIFS($D$47:$D$55,"Vacant")</f>
        <v>3</v>
      </c>
      <c r="J10" s="1031">
        <f>COUNTIFS($D$47:$D$55,"Vacant",$E$47:$E$55,"Hire")</f>
        <v>3</v>
      </c>
      <c r="K10" s="1031">
        <f>COUNTIFS($E$47:$E$55,"Offshore")</f>
        <v>0</v>
      </c>
      <c r="L10" s="1031">
        <f>COUNTIFS($E$47:$E$55,"Hold")</f>
        <v>0</v>
      </c>
      <c r="M10" s="1031">
        <f>$F10-$L10</f>
        <v>9</v>
      </c>
      <c r="N10" s="1032">
        <f>IFERROR(IF(ISNUMBER(INDEX('1.8 Energy Solutions &amp; B2B'!$H$26:$H$37,MATCH($B10,'1.8 Energy Solutions &amp; B2B'!$B$26:$B$37,0))),INDEX('1.8 Energy Solutions &amp; B2B'!$H$26:$H$37,MATCH($B10,'1.8 Energy Solutions &amp; B2B'!$B$26:$B$37,0)),""),"")</f>
        <v>2</v>
      </c>
      <c r="O10" s="1032">
        <f>SUMIFS('REVIEW - Complete Role Mapping'!$AE$2:$AE$700,'REVIEW - Complete Role Mapping'!$AH$2:$AH$700,$C$3,'REVIEW - Complete Role Mapping'!$AL$2:$AL$700,$B10)/1000000</f>
        <v>1.763592176</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1.763592176</v>
      </c>
      <c r="R10" s="1032">
        <f>IFERROR(ROUND(IF(COUNTIF(Lists!$AU$2:$AU$10,$B10),$O10,$Q10)-$N10,6),"")</f>
        <v>-0.236408</v>
      </c>
      <c r="S10" s="1032">
        <f>SUM($G$47:$G$55)/1000000</f>
        <v>1.763592176</v>
      </c>
      <c r="T10" s="1032">
        <f>IFERROR(ROUND($S10-$N10,6),"")</f>
        <v>-0.236408</v>
      </c>
    </row>
    <row r="11" ht="14.25" customHeight="1" s="535">
      <c r="B11" s="1033" t="inlineStr">
        <is>
          <t>Squads total</t>
        </is>
      </c>
      <c r="C11" s="1033" t="n"/>
      <c r="D11" s="1033" t="n"/>
      <c r="E11" s="1034">
        <f>SUM(E8:E10)</f>
        <v>27.5</v>
      </c>
      <c r="F11" s="1035">
        <f>SUM(F8:F10)</f>
        <v>29</v>
      </c>
      <c r="G11" s="1034">
        <f>SUM(G8:G10)</f>
        <v>29</v>
      </c>
      <c r="H11" s="1035">
        <f>SUM(H8:H10)</f>
        <v>23</v>
      </c>
      <c r="I11" s="1035">
        <f>SUM(I8:I10)</f>
        <v>6</v>
      </c>
      <c r="J11" s="1035">
        <f>SUM(J8:J10)</f>
        <v>6</v>
      </c>
      <c r="K11" s="1035">
        <f>SUM(K8:K10)</f>
        <v>0</v>
      </c>
      <c r="L11" s="1035">
        <f>SUM(L8:L10)</f>
        <v>0</v>
      </c>
      <c r="M11" s="1035">
        <f>SUM(M8:M10)</f>
        <v>29</v>
      </c>
      <c r="N11" s="1036">
        <f>IF(COUNT(N8:N10)=0,"",SUM(N8:N10))</f>
        <v>6</v>
      </c>
      <c r="O11" s="1036">
        <f>SUM(O8:O10)</f>
        <v>5.287902538</v>
      </c>
      <c r="P11" s="1036">
        <f>SUM(P8:P10)</f>
        <v>0</v>
      </c>
      <c r="Q11" s="1036">
        <f>SUM(Q8:Q10)</f>
        <v>5.287902538</v>
      </c>
      <c r="R11" s="1036">
        <f>IF(COUNT(N8:N10)=3,ROUND($O11-$N11,6),"")</f>
        <v>-0.712097</v>
      </c>
      <c r="S11" s="1036">
        <f>SUM(S8:S10)</f>
        <v>5.287902538</v>
      </c>
      <c r="T11" s="1036">
        <f>IF(COUNT(N8:N10)=3,ROUND($S11-$N11,6),"")</f>
        <v>-0.712097</v>
      </c>
    </row>
    <row r="12" ht="14.25" customHeight="1" s="535">
      <c r="B12" s="1029" t="inlineStr">
        <is>
          <t>Overhead roles</t>
        </is>
      </c>
      <c r="C12" s="1029" t="n"/>
      <c r="D12" s="1029" t="n"/>
      <c r="E12" s="1029" t="n"/>
      <c r="F12" s="1029" t="n"/>
      <c r="G12" s="1029" t="n"/>
      <c r="H12" s="1029" t="n"/>
      <c r="I12" s="1029" t="n"/>
      <c r="J12" s="1029" t="n"/>
      <c r="K12" s="1029" t="n"/>
      <c r="L12" s="1029" t="n"/>
      <c r="M12" s="1029" t="n"/>
      <c r="N12" s="1029" t="n"/>
      <c r="O12" s="1029" t="n"/>
      <c r="P12" s="1029" t="n"/>
      <c r="Q12" s="1029" t="n"/>
      <c r="R12" s="1029" t="n"/>
      <c r="S12" s="1029" t="n"/>
      <c r="T12" s="1029" t="n"/>
    </row>
    <row r="13" ht="14.25" customHeight="1" s="535">
      <c r="B13" s="929" t="inlineStr">
        <is>
          <t>Head of Technology</t>
        </is>
      </c>
      <c r="C13" s="929">
        <f>""</f>
        <v/>
      </c>
      <c r="D13" s="929">
        <f>""</f>
        <v/>
      </c>
      <c r="E13" s="1030">
        <f>'0.2 Data Config'!$M$6</f>
        <v>0.5</v>
      </c>
      <c r="F13" s="1031">
        <f>COUNTIF($B$57:$B$57,"?*")</f>
        <v>1</v>
      </c>
      <c r="G13" s="1030">
        <f>ROUND(SUMIFS('REVIEW - Complete Role Mapping'!$P$2:$P$700,'REVIEW - Complete Role Mapping'!$AH$2:$AH$700,$C$3,'REVIEW - Complete Role Mapping'!$AL$2:$AL$700,$B13),2)</f>
        <v>1</v>
      </c>
      <c r="H13" s="1031">
        <f>COUNTIFS($D$57:$D$57,"Filled")</f>
        <v>1</v>
      </c>
      <c r="I13" s="1031">
        <f>COUNTIFS($D$57:$D$57,"Vacant")</f>
        <v>0</v>
      </c>
      <c r="J13" s="1031">
        <f>COUNTIFS($D$57:$D$57,"Vacant",$E$57:$E$57,"Hire")</f>
        <v>0</v>
      </c>
      <c r="K13" s="1031">
        <f>COUNTIFS($E$57:$E$57,"Offshore")</f>
        <v>0</v>
      </c>
      <c r="L13" s="1031">
        <f>COUNTIFS($E$57:$E$57,"Hold")</f>
        <v>0</v>
      </c>
      <c r="M13" s="1031">
        <f>$F13-$L13</f>
        <v>1</v>
      </c>
      <c r="N13" s="1032">
        <f>'0.2 Data Config'!$N$6</f>
        <v>0.1375</v>
      </c>
      <c r="O13" s="1032">
        <f>SUMIFS('REVIEW - Complete Role Mapping'!$AE$2:$AE$700,'REVIEW - Complete Role Mapping'!$AH$2:$AH$700,$C$3,'REVIEW - Complete Role Mapping'!$AL$2:$AL$700,$B13)/1000000</f>
        <v>0.273758</v>
      </c>
      <c r="P13" s="1032">
        <f>IFERROR(IF(ISNUMBER(INDEX(Lists!$AW$2:$AW$10,MATCH($B13,Lists!$AU$2:$AU$10,0))),INDEX(Lists!$AW$2:$AW$10,MATCH($B13,Lists!$AU$2:$AU$10,0)),SUMIFS('REVIEW - Complete Role Mapping'!$AE$2:$AE$700,'REVIEW - Complete Role Mapping'!$AH$2:$AH$700,$C$3,'REVIEW - Complete Role Mapping'!$AL$2:$AL$700,$B13,'REVIEW - Complete Role Mapping'!$AM$2:$AM$700,1)/1000000),SUMIFS('REVIEW - Complete Role Mapping'!$AE$2:$AE$700,'REVIEW - Complete Role Mapping'!$AH$2:$AH$700,$C$3,'REVIEW - Complete Role Mapping'!$AL$2:$AL$700,$B13,'REVIEW - Complete Role Mapping'!$AM$2:$AM$700,1)/1000000)</f>
        <v>0</v>
      </c>
      <c r="Q13" s="1032">
        <f>$O13-$P13</f>
        <v>0.273758</v>
      </c>
      <c r="R13" s="1032">
        <f>ROUND(IF(COUNTIF(Lists!$AU$2:$AU$10,$B13),$O13,$Q13)-$N13,6)</f>
        <v>0.136258</v>
      </c>
      <c r="S13" s="1032">
        <f>SUM($G$57:$G$57)/1000000</f>
        <v>0.273758</v>
      </c>
      <c r="T13" s="1032">
        <f>ROUND($S13-$N13,6)</f>
        <v>0.136258</v>
      </c>
    </row>
    <row r="14" ht="14.25" customHeight="1" s="535">
      <c r="B14" s="929" t="inlineStr">
        <is>
          <t>Delivery Manager</t>
        </is>
      </c>
      <c r="C14" s="929">
        <f>""</f>
        <v/>
      </c>
      <c r="D14" s="929">
        <f>""</f>
        <v/>
      </c>
      <c r="E14" s="1030">
        <f>'0.2 Data Config'!$M$14*(N('1.8 Energy Solutions &amp; B2B'!$F$7)/'0.2 Data Config'!$N$16)</f>
        <v>0.6</v>
      </c>
      <c r="F14" s="1031">
        <f>COUNTIF($B$59:$B$59,"?*")</f>
        <v>1</v>
      </c>
      <c r="G14" s="1030">
        <f>ROUND(SUMIFS('REVIEW - Complete Role Mapping'!$P$2:$P$700,'REVIEW - Complete Role Mapping'!$AH$2:$AH$700,$C$3,'REVIEW - Complete Role Mapping'!$AL$2:$AL$700,$B14),2)</f>
        <v>1</v>
      </c>
      <c r="H14" s="1031">
        <f>COUNTIFS($D$59:$D$59,"Filled")</f>
        <v>0</v>
      </c>
      <c r="I14" s="1031">
        <f>COUNTIFS($D$59:$D$59,"Vacant")</f>
        <v>1</v>
      </c>
      <c r="J14" s="1031">
        <f>COUNTIFS($D$59:$D$59,"Vacant",$E$59:$E$59,"Hire")</f>
        <v>1</v>
      </c>
      <c r="K14" s="1031">
        <f>COUNTIFS($E$59:$E$59,"Offshore")</f>
        <v>0</v>
      </c>
      <c r="L14" s="1031">
        <f>COUNTIFS($E$59:$E$59,"Hold")</f>
        <v>0</v>
      </c>
      <c r="M14" s="1031">
        <f>$F14-$L14</f>
        <v>1</v>
      </c>
      <c r="N14" s="1032">
        <f>'0.2 Data Config'!$N$14*(N('1.8 Energy Solutions &amp; B2B'!$F$7)/'0.2 Data Config'!$N$16)</f>
        <v>0.168</v>
      </c>
      <c r="O14" s="1032">
        <f>SUMIFS('REVIEW - Complete Role Mapping'!$AE$2:$AE$700,'REVIEW - Complete Role Mapping'!$AH$2:$AH$700,$C$3,'REVIEW - Complete Role Mapping'!$AL$2:$AL$700,$B14)/1000000</f>
        <v>0.27581025</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0.27581025</v>
      </c>
      <c r="R14" s="1032">
        <f>ROUND(IF(COUNTIF(Lists!$AU$2:$AU$10,$B14),$O14,$Q14)-$N14,6)</f>
        <v>0.10781</v>
      </c>
      <c r="S14" s="1032">
        <f>SUM($G$59:$G$59)/1000000</f>
        <v>0.27581025</v>
      </c>
      <c r="T14" s="1032">
        <f>ROUND($S14-$N14,6)</f>
        <v>0.10781</v>
      </c>
    </row>
    <row r="15" ht="14.25" customHeight="1" s="535">
      <c r="B15" s="929" t="inlineStr">
        <is>
          <t>Technology Manager</t>
        </is>
      </c>
      <c r="C15" s="929">
        <f>""</f>
        <v/>
      </c>
      <c r="D15" s="929">
        <f>""</f>
        <v/>
      </c>
      <c r="E15" s="1030">
        <f>'0.2 Data Config'!$M$15*(N('1.8 Energy Solutions &amp; B2B'!$F$7)/'0.2 Data Config'!$N$16)</f>
        <v>0.6</v>
      </c>
      <c r="F15" s="1031">
        <f>COUNTIF($B$61:$B$62,"?*")</f>
        <v>2</v>
      </c>
      <c r="G15" s="1030">
        <f>ROUND(SUMIFS('REVIEW - Complete Role Mapping'!$P$2:$P$700,'REVIEW - Complete Role Mapping'!$AH$2:$AH$700,$C$3,'REVIEW - Complete Role Mapping'!$AL$2:$AL$700,$B15),2)</f>
        <v>2</v>
      </c>
      <c r="H15" s="1031">
        <f>COUNTIFS($D$61:$D$62,"Filled")</f>
        <v>2</v>
      </c>
      <c r="I15" s="1031">
        <f>COUNTIFS($D$61:$D$62,"Vacant")</f>
        <v>0</v>
      </c>
      <c r="J15" s="1031">
        <f>COUNTIFS($D$61:$D$62,"Vacant",$E$61:$E$62,"Hire")</f>
        <v>0</v>
      </c>
      <c r="K15" s="1031">
        <f>COUNTIFS($E$61:$E$62,"Offshore")</f>
        <v>0</v>
      </c>
      <c r="L15" s="1031">
        <f>COUNTIFS($E$61:$E$62,"Hold")</f>
        <v>0</v>
      </c>
      <c r="M15" s="1031">
        <f>$F15-$L15</f>
        <v>2</v>
      </c>
      <c r="N15" s="1032">
        <f>'0.2 Data Config'!$N$15*(N('1.8 Energy Solutions &amp; B2B'!$F$7)/'0.2 Data Config'!$N$16)</f>
        <v>0.162</v>
      </c>
      <c r="O15" s="1032">
        <f>SUMIFS('REVIEW - Complete Role Mapping'!$AE$2:$AE$700,'REVIEW - Complete Role Mapping'!$AH$2:$AH$700,$C$3,'REVIEW - Complete Role Mapping'!$AL$2:$AL$700,$B15)/1000000</f>
        <v>0.504148874</v>
      </c>
      <c r="P15" s="1032">
        <f>IFERROR(IF(ISNUMBER(INDEX(Lists!$AW$2:$AW$10,MATCH($B15,Lists!$AU$2:$AU$10,0))),INDEX(Lists!$AW$2:$AW$10,MATCH($B15,Lists!$AU$2:$AU$10,0)),SUMIFS('REVIEW - Complete Role Mapping'!$AE$2:$AE$700,'REVIEW - Complete Role Mapping'!$AH$2:$AH$700,$C$3,'REVIEW - Complete Role Mapping'!$AL$2:$AL$700,$B15,'REVIEW - Complete Role Mapping'!$AM$2:$AM$700,1)/1000000),SUMIFS('REVIEW - Complete Role Mapping'!$AE$2:$AE$700,'REVIEW - Complete Role Mapping'!$AH$2:$AH$700,$C$3,'REVIEW - Complete Role Mapping'!$AL$2:$AL$700,$B15,'REVIEW - Complete Role Mapping'!$AM$2:$AM$700,1)/1000000)</f>
        <v>0</v>
      </c>
      <c r="Q15" s="1032">
        <f>$O15-$P15</f>
        <v>0.504148874</v>
      </c>
      <c r="R15" s="1032">
        <f>ROUND(IF(COUNTIF(Lists!$AU$2:$AU$10,$B15),$O15,$Q15)-$N15,6)</f>
        <v>0.342149</v>
      </c>
      <c r="S15" s="1032">
        <f>SUM($G$61:$G$62)/1000000</f>
        <v>0.504148874</v>
      </c>
      <c r="T15" s="1032">
        <f>ROUND($S15-$N15,6)</f>
        <v>0.342149</v>
      </c>
    </row>
    <row r="16" ht="14.25" customHeight="1" s="535">
      <c r="B16" s="1033" t="inlineStr">
        <is>
          <t>Overhead roles total</t>
        </is>
      </c>
      <c r="C16" s="1033" t="n"/>
      <c r="D16" s="1033" t="n"/>
      <c r="E16" s="1034">
        <f>SUM(E13:E15)</f>
        <v>1.7</v>
      </c>
      <c r="F16" s="1035">
        <f>SUM(F13:F15)</f>
        <v>4</v>
      </c>
      <c r="G16" s="1034">
        <f>SUM(G13:G15)</f>
        <v>4</v>
      </c>
      <c r="H16" s="1035">
        <f>SUM(H13:H15)</f>
        <v>3</v>
      </c>
      <c r="I16" s="1035">
        <f>SUM(I13:I15)</f>
        <v>1</v>
      </c>
      <c r="J16" s="1035">
        <f>SUM(J13:J15)</f>
        <v>1</v>
      </c>
      <c r="K16" s="1035">
        <f>SUM(K13:K15)</f>
        <v>0</v>
      </c>
      <c r="L16" s="1035">
        <f>SUM(L13:L15)</f>
        <v>0</v>
      </c>
      <c r="M16" s="1035">
        <f>SUM(M13:M15)</f>
        <v>4</v>
      </c>
      <c r="N16" s="1036">
        <f>IF(COUNT(N13:N15)=0,"",SUM(N13:N15))</f>
        <v>0.4675</v>
      </c>
      <c r="O16" s="1036">
        <f>SUM(O13:O15)</f>
        <v>1.053717124</v>
      </c>
      <c r="P16" s="1036">
        <f>SUM(P13:P15)</f>
        <v>0</v>
      </c>
      <c r="Q16" s="1036">
        <f>SUM(Q13:Q15)</f>
        <v>1.053717124</v>
      </c>
      <c r="R16" s="1036">
        <f>IF(COUNT(N13:N15)=3,ROUND($O16-$N16,6),"")</f>
        <v>0.586217</v>
      </c>
      <c r="S16" s="1036">
        <f>SUM(S13:S15)</f>
        <v>1.053717124</v>
      </c>
      <c r="T16" s="1036">
        <f>IF(COUNT(N13:N15)=3,ROUND($S16-$N16,6),"")</f>
        <v>0.586217</v>
      </c>
    </row>
    <row r="17" ht="14.25" customHeight="1" s="535">
      <c r="B17" s="1037" t="inlineStr">
        <is>
          <t>Portfolio overhead roles (Business Partner, Domain Architect, Leadership) (Required to show archetype FTE)</t>
        </is>
      </c>
      <c r="D17" s="1038">
        <f>""</f>
        <v/>
      </c>
      <c r="E17" s="1030">
        <f>ROUND(SUM('0.2 Data Config'!$M$6:$M$9)*(N('1.8 Energy Solutions &amp; B2B'!$F$6)/'0.2 Data Config'!$N$10)-(N($E13)),6)</f>
        <v>1.3</v>
      </c>
      <c r="F17" s="1038">
        <f>""</f>
        <v/>
      </c>
      <c r="G17" s="1038">
        <f>""</f>
        <v/>
      </c>
      <c r="H17" s="1038">
        <f>""</f>
        <v/>
      </c>
      <c r="I17" s="1038">
        <f>""</f>
        <v/>
      </c>
      <c r="J17" s="1038">
        <f>""</f>
        <v/>
      </c>
      <c r="K17" s="1038">
        <f>""</f>
        <v/>
      </c>
      <c r="L17" s="1038">
        <f>""</f>
        <v/>
      </c>
      <c r="M17" s="1038">
        <f>""</f>
        <v/>
      </c>
      <c r="N17" s="1032">
        <f>ROUND(N('1.8 Energy Solutions &amp; B2B'!$F$6)-(N($N13)),6)</f>
        <v>0.66</v>
      </c>
      <c r="O17" s="1038">
        <f>""</f>
        <v/>
      </c>
      <c r="P17" s="1038">
        <f>""</f>
        <v/>
      </c>
      <c r="Q17" s="1038">
        <f>""</f>
        <v/>
      </c>
      <c r="R17" s="1038">
        <f>""</f>
        <v/>
      </c>
      <c r="S17" s="1038">
        <f>""</f>
        <v/>
      </c>
      <c r="T17" s="1038">
        <f>""</f>
        <v/>
      </c>
    </row>
    <row r="18" ht="14.25" customHeight="1" s="535">
      <c r="B18" s="1037" t="inlineStr">
        <is>
          <t>Business Partners and Domain Architects sit in the COEs</t>
        </is>
      </c>
    </row>
    <row r="19" ht="14.25" customHeight="1" s="535">
      <c r="B19" s="886" t="inlineStr">
        <is>
          <t>Total portfolio</t>
        </is>
      </c>
      <c r="C19" s="886" t="n"/>
      <c r="D19" s="886" t="n"/>
      <c r="E19" s="888">
        <f>SUM(E8:E10,E13:E15,E17:E17)</f>
        <v>30.5</v>
      </c>
      <c r="F19" s="1039">
        <f>SUM(F8:F10,F13:F15,F17:F17)</f>
        <v>33</v>
      </c>
      <c r="G19" s="888">
        <f>SUM(G8:G10,G13:G15,G17:G17)</f>
        <v>33</v>
      </c>
      <c r="H19" s="1039">
        <f>SUM(H8:H10,H13:H15,H17:H17)</f>
        <v>26</v>
      </c>
      <c r="I19" s="1039">
        <f>SUM(I8:I10,I13:I15,I17:I17)</f>
        <v>7</v>
      </c>
      <c r="J19" s="1039">
        <f>SUM(J8:J10,J13:J15,J17:J17)</f>
        <v>7</v>
      </c>
      <c r="K19" s="1039">
        <f>SUM(K8:K10,K13:K15,K17:K17)</f>
        <v>0</v>
      </c>
      <c r="L19" s="1039">
        <f>SUM(L8:L10,L13:L15,L17:L17)</f>
        <v>0</v>
      </c>
      <c r="M19" s="1039">
        <f>SUM(M8:M10,M13:M15,M17:M17)</f>
        <v>33</v>
      </c>
      <c r="N19" s="889">
        <f>IF(COUNT(N8:N10,N13:N15,N17:N17)=0,"",SUM(N8:N10,N13:N15,N17:N17))</f>
        <v>7.1275</v>
      </c>
      <c r="O19" s="889">
        <f>SUM(O8:O10,O13:O15,O17:O17)</f>
        <v>6.341619662</v>
      </c>
      <c r="P19" s="889">
        <f>SUM(P8:P10,P13:P15,P17:P17)</f>
        <v>0</v>
      </c>
      <c r="Q19" s="889">
        <f>SUM(Q8:Q10,Q13:Q15,Q17:Q17)</f>
        <v>6.341619662</v>
      </c>
      <c r="R19" s="889">
        <f>IF(ISNUMBER($N19),ROUND($O19-$N19,6),"")</f>
        <v>-0.78588</v>
      </c>
      <c r="S19" s="889">
        <f>SUM(S8:S10,S13:S15,S17:S17)</f>
        <v>6.341619662</v>
      </c>
      <c r="T19" s="889">
        <f>IF(ISNUMBER($N19),ROUND($S19-$N19,6),"")</f>
        <v>-0.78588</v>
      </c>
    </row>
    <row r="20"/>
    <row r="21"/>
    <row r="22" ht="18.75" customHeight="1" s="535">
      <c r="B22" s="537" t="inlineStr">
        <is>
          <t>Energy Solutions &amp; B2B FTE</t>
        </is>
      </c>
      <c r="C22" s="538" t="n"/>
      <c r="D22" s="538" t="n"/>
      <c r="E22" s="538" t="n"/>
      <c r="F22" s="538" t="n"/>
      <c r="G22" s="538" t="n"/>
      <c r="H22" s="929" t="inlineStr">
        <is>
          <t>Vacancy lever: Hire prices the role in full, Hold prices it at 0, Offshore at the Offshore rate set on 0.3 Squad Archetypes.</t>
        </is>
      </c>
    </row>
    <row r="23" ht="33.75" customHeight="1" s="535">
      <c r="A23" s="1040" t="inlineStr">
        <is>
          <t>ID</t>
        </is>
      </c>
      <c r="B23" s="877" t="inlineStr">
        <is>
          <t>Name</t>
        </is>
      </c>
      <c r="C23" s="877" t="inlineStr">
        <is>
          <t>Role</t>
        </is>
      </c>
      <c r="D23" s="877" t="inlineStr">
        <is>
          <t>Status</t>
        </is>
      </c>
      <c r="E23" s="877" t="inlineStr">
        <is>
          <t>Vacancy lever</t>
        </is>
      </c>
      <c r="F23" s="877" t="inlineStr">
        <is>
          <t>Role cost ($)</t>
        </is>
      </c>
      <c r="G23" s="877" t="inlineStr">
        <is>
          <t>Cost after lever ($)</t>
        </is>
      </c>
    </row>
    <row r="24" ht="14.25" customHeight="1" s="535">
      <c r="B24" s="1029" t="inlineStr">
        <is>
          <t>B2B</t>
        </is>
      </c>
      <c r="C24" s="1029" t="str">
        <f>COUNTIF($B$25:$B$38,"?*")&amp;IF(COUNTIF($B$25:$B$38,"?*")=1," role"," roles")</f>
        <v>14 roles</v>
      </c>
      <c r="D24" s="1029" t="n"/>
      <c r="E24" s="1029" t="n"/>
      <c r="F24" s="1044">
        <f>SUM(F25:F38)</f>
        <v>2593511.07</v>
      </c>
      <c r="G24" s="1044">
        <f>SUM(G25:G38)</f>
        <v>2593511.07</v>
      </c>
    </row>
    <row r="25" ht="14.25" customHeight="1" s="535">
      <c r="A25" s="1045" t="inlineStr">
        <is>
          <t>R0158</t>
        </is>
      </c>
      <c r="B25" s="929" t="str">
        <f>INDEX('REVIEW - Complete Role Mapping'!$B$2:$B$700,MATCH($A25,'REVIEW - Complete Role Mapping'!$AQ$2:$AQ$700,0))</f>
        <v>Frank Liang</v>
      </c>
      <c r="C25" s="929" t="str">
        <f>INDEX('REVIEW - Complete Role Mapping'!$D$2:$D$700,MATCH($A25,'REVIEW - Complete Role Mapping'!$AQ$2:$AQ$700,0))</f>
        <v>Senior Systems Analyst</v>
      </c>
      <c r="D25" s="929" t="str">
        <f>INDEX('REVIEW - Complete Role Mapping'!$AF$2:$AF$700,MATCH($A25,'REVIEW - Complete Role Mapping'!$AQ$2:$AQ$700,0))</f>
        <v>Filled</v>
      </c>
      <c r="E25" s="543" t="inlineStr">
        <is>
          <t>Filled</t>
        </is>
      </c>
      <c r="F25" s="1031">
        <f>INDEX('REVIEW - Complete Role Mapping'!$AE$2:$AE$700,MATCH($A25,'REVIEW - Complete Role Mapping'!$AQ$2:$AQ$700,0))</f>
        <v>223625.85</v>
      </c>
      <c r="G25" s="1031">
        <f>$F25*IF(ISNUMBER(SEARCH("WIPRO",INDEX('REVIEW - Complete Role Mapping'!$R$2:$R$700,MATCH($A25,'REVIEW - Complete Role Mapping'!$AQ$2:$AQ$700,0)))),1,IFERROR(INDEX(Lists!$AD$2:$AD$5,MATCH($E25,Lists!$AC$2:$AC$5,0)),NA()))</f>
        <v>223625.85</v>
      </c>
    </row>
    <row r="26" ht="14.25" customHeight="1" s="535">
      <c r="A26" s="1045" t="inlineStr">
        <is>
          <t>R0159</t>
        </is>
      </c>
      <c r="B26" s="929" t="str">
        <f>INDEX('REVIEW - Complete Role Mapping'!$B$2:$B$700,MATCH($A26,'REVIEW - Complete Role Mapping'!$AQ$2:$AQ$700,0))</f>
        <v>Ming Shao</v>
      </c>
      <c r="C26" s="929" t="str">
        <f>INDEX('REVIEW - Complete Role Mapping'!$D$2:$D$700,MATCH($A26,'REVIEW - Complete Role Mapping'!$AQ$2:$AQ$700,0))</f>
        <v>Senior Systems Analyst Card</v>
      </c>
      <c r="D26" s="929" t="str">
        <f>INDEX('REVIEW - Complete Role Mapping'!$AF$2:$AF$700,MATCH($A26,'REVIEW - Complete Role Mapping'!$AQ$2:$AQ$700,0))</f>
        <v>Filled</v>
      </c>
      <c r="E26" s="543" t="inlineStr">
        <is>
          <t>Filled</t>
        </is>
      </c>
      <c r="F26" s="1031">
        <f>INDEX('REVIEW - Complete Role Mapping'!$AE$2:$AE$700,MATCH($A26,'REVIEW - Complete Role Mapping'!$AQ$2:$AQ$700,0))</f>
        <v>221610</v>
      </c>
      <c r="G26" s="1031">
        <f>$F26*IF(ISNUMBER(SEARCH("WIPRO",INDEX('REVIEW - Complete Role Mapping'!$R$2:$R$700,MATCH($A26,'REVIEW - Complete Role Mapping'!$AQ$2:$AQ$700,0)))),1,IFERROR(INDEX(Lists!$AD$2:$AD$5,MATCH($E26,Lists!$AC$2:$AC$5,0)),NA()))</f>
        <v>221610</v>
      </c>
    </row>
    <row r="27" ht="14.25" customHeight="1" s="535">
      <c r="A27" s="1045" t="inlineStr">
        <is>
          <t>R0160</t>
        </is>
      </c>
      <c r="B27" s="929" t="str">
        <f>INDEX('REVIEW - Complete Role Mapping'!$B$2:$B$700,MATCH($A27,'REVIEW - Complete Role Mapping'!$AQ$2:$AQ$700,0))</f>
        <v>Vacant</v>
      </c>
      <c r="C27" s="929" t="str">
        <f>INDEX('REVIEW - Complete Role Mapping'!$D$2:$D$700,MATCH($A27,'REVIEW - Complete Role Mapping'!$AQ$2:$AQ$700,0))</f>
        <v>Solution Architect</v>
      </c>
      <c r="D27" s="929" t="str">
        <f>INDEX('REVIEW - Complete Role Mapping'!$AF$2:$AF$700,MATCH($A27,'REVIEW - Complete Role Mapping'!$AQ$2:$AQ$700,0))</f>
        <v>Vacant</v>
      </c>
      <c r="E27" s="543" t="inlineStr">
        <is>
          <t>Hire</t>
        </is>
      </c>
      <c r="F27" s="1031">
        <f>INDEX('REVIEW - Complete Role Mapping'!$AE$2:$AE$700,MATCH($A27,'REVIEW - Complete Role Mapping'!$AQ$2:$AQ$700,0))</f>
        <v>231689.25</v>
      </c>
      <c r="G27" s="1031">
        <f>$F27*IF(ISNUMBER(SEARCH("WIPRO",INDEX('REVIEW - Complete Role Mapping'!$R$2:$R$700,MATCH($A27,'REVIEW - Complete Role Mapping'!$AQ$2:$AQ$700,0)))),1,IFERROR(INDEX(Lists!$AD$2:$AD$5,MATCH($E27,Lists!$AC$2:$AC$5,0)),NA()))</f>
        <v>231689.25</v>
      </c>
    </row>
    <row r="28" ht="14.25" customHeight="1" s="535">
      <c r="A28" s="1045" t="inlineStr">
        <is>
          <t>R0217</t>
        </is>
      </c>
      <c r="B28" s="929" t="str">
        <f>INDEX('REVIEW - Complete Role Mapping'!$B$2:$B$700,MATCH($A28,'REVIEW - Complete Role Mapping'!$AQ$2:$AQ$700,0))</f>
        <v>Debbie Gor</v>
      </c>
      <c r="C28" s="929" t="str">
        <f>INDEX('REVIEW - Complete Role Mapping'!$D$2:$D$700,MATCH($A28,'REVIEW - Complete Role Mapping'!$AQ$2:$AQ$700,0))</f>
        <v>Delivery Lead</v>
      </c>
      <c r="D28" s="929" t="str">
        <f>INDEX('REVIEW - Complete Role Mapping'!$AF$2:$AF$700,MATCH($A28,'REVIEW - Complete Role Mapping'!$AQ$2:$AQ$700,0))</f>
        <v>Filled</v>
      </c>
      <c r="E28" s="543" t="inlineStr">
        <is>
          <t>Filled</t>
        </is>
      </c>
      <c r="F28" s="1031">
        <f>INDEX('REVIEW - Complete Role Mapping'!$AE$2:$AE$700,MATCH($A28,'REVIEW - Complete Role Mapping'!$AQ$2:$AQ$700,0))</f>
        <v>266612.85</v>
      </c>
      <c r="G28" s="1031">
        <f>$F28*IF(ISNUMBER(SEARCH("WIPRO",INDEX('REVIEW - Complete Role Mapping'!$R$2:$R$700,MATCH($A28,'REVIEW - Complete Role Mapping'!$AQ$2:$AQ$700,0)))),1,IFERROR(INDEX(Lists!$AD$2:$AD$5,MATCH($E28,Lists!$AC$2:$AC$5,0)),NA()))</f>
        <v>266612.85</v>
      </c>
    </row>
    <row r="29" ht="14.25" customHeight="1" s="535">
      <c r="A29" s="1045" t="inlineStr">
        <is>
          <t>R0296</t>
        </is>
      </c>
      <c r="B29" s="929" t="str">
        <f>INDEX('REVIEW - Complete Role Mapping'!$B$2:$B$700,MATCH($A29,'REVIEW - Complete Role Mapping'!$AQ$2:$AQ$700,0))</f>
        <v>Mikey Tran</v>
      </c>
      <c r="C29" s="929" t="str">
        <f>INDEX('REVIEW - Complete Role Mapping'!$D$2:$D$700,MATCH($A29,'REVIEW - Complete Role Mapping'!$AQ$2:$AQ$700,0))</f>
        <v>Senior Systems Analyst - Card</v>
      </c>
      <c r="D29" s="929" t="str">
        <f>INDEX('REVIEW - Complete Role Mapping'!$AF$2:$AF$700,MATCH($A29,'REVIEW - Complete Role Mapping'!$AQ$2:$AQ$700,0))</f>
        <v>Filled</v>
      </c>
      <c r="E29" s="543" t="inlineStr">
        <is>
          <t>Filled</t>
        </is>
      </c>
      <c r="F29" s="1031">
        <f>INDEX('REVIEW - Complete Role Mapping'!$AE$2:$AE$700,MATCH($A29,'REVIEW - Complete Role Mapping'!$AQ$2:$AQ$700,0))</f>
        <v>186900</v>
      </c>
      <c r="G29" s="1031">
        <f>$F29*IF(ISNUMBER(SEARCH("WIPRO",INDEX('REVIEW - Complete Role Mapping'!$R$2:$R$700,MATCH($A29,'REVIEW - Complete Role Mapping'!$AQ$2:$AQ$700,0)))),1,IFERROR(INDEX(Lists!$AD$2:$AD$5,MATCH($E29,Lists!$AC$2:$AC$5,0)),NA()))</f>
        <v>186900</v>
      </c>
    </row>
    <row r="30" ht="14.25" customHeight="1" s="535">
      <c r="A30" s="1045" t="inlineStr">
        <is>
          <t>R0297</t>
        </is>
      </c>
      <c r="B30" s="929" t="str">
        <f>INDEX('REVIEW - Complete Role Mapping'!$B$2:$B$700,MATCH($A30,'REVIEW - Complete Role Mapping'!$AQ$2:$AQ$700,0))</f>
        <v>Vacant</v>
      </c>
      <c r="C30" s="929" t="str">
        <f>INDEX('REVIEW - Complete Role Mapping'!$D$2:$D$700,MATCH($A30,'REVIEW - Complete Role Mapping'!$AQ$2:$AQ$700,0))</f>
        <v>Engineer Software</v>
      </c>
      <c r="D30" s="929" t="str">
        <f>INDEX('REVIEW - Complete Role Mapping'!$AF$2:$AF$700,MATCH($A30,'REVIEW - Complete Role Mapping'!$AQ$2:$AQ$700,0))</f>
        <v>Vacant</v>
      </c>
      <c r="E30" s="543" t="inlineStr">
        <is>
          <t>Hire</t>
        </is>
      </c>
      <c r="F30" s="1031">
        <f>INDEX('REVIEW - Complete Role Mapping'!$AE$2:$AE$700,MATCH($A30,'REVIEW - Complete Role Mapping'!$AQ$2:$AQ$700,0))</f>
        <v>202853.25</v>
      </c>
      <c r="G30" s="1031">
        <f>$F30*IF(ISNUMBER(SEARCH("WIPRO",INDEX('REVIEW - Complete Role Mapping'!$R$2:$R$700,MATCH($A30,'REVIEW - Complete Role Mapping'!$AQ$2:$AQ$700,0)))),1,IFERROR(INDEX(Lists!$AD$2:$AD$5,MATCH($E30,Lists!$AC$2:$AC$5,0)),NA()))</f>
        <v>202853.25</v>
      </c>
    </row>
    <row r="31" ht="14.25" customHeight="1" s="535">
      <c r="A31" s="1045" t="inlineStr">
        <is>
          <t>R0371</t>
        </is>
      </c>
      <c r="B31" s="929" t="str">
        <f>INDEX('REVIEW - Complete Role Mapping'!$B$2:$B$700,MATCH($A31,'REVIEW - Complete Role Mapping'!$AQ$2:$AQ$700,0))</f>
        <v>Mick DaSilva</v>
      </c>
      <c r="C31" s="929" t="str">
        <f>INDEX('REVIEW - Complete Role Mapping'!$D$2:$D$700,MATCH($A31,'REVIEW - Complete Role Mapping'!$AQ$2:$AQ$700,0))</f>
        <v>Senior Business Analyst</v>
      </c>
      <c r="D31" s="929" t="str">
        <f>INDEX('REVIEW - Complete Role Mapping'!$AF$2:$AF$700,MATCH($A31,'REVIEW - Complete Role Mapping'!$AQ$2:$AQ$700,0))</f>
        <v>Filled</v>
      </c>
      <c r="E31" s="543" t="inlineStr">
        <is>
          <t>Filled</t>
        </is>
      </c>
      <c r="F31" s="1031">
        <f>INDEX('REVIEW - Complete Role Mapping'!$AE$2:$AE$700,MATCH($A31,'REVIEW - Complete Role Mapping'!$AQ$2:$AQ$700,0))</f>
        <v>219447.3</v>
      </c>
      <c r="G31" s="1031">
        <f>$F31*IF(ISNUMBER(SEARCH("WIPRO",INDEX('REVIEW - Complete Role Mapping'!$R$2:$R$700,MATCH($A31,'REVIEW - Complete Role Mapping'!$AQ$2:$AQ$700,0)))),1,IFERROR(INDEX(Lists!$AD$2:$AD$5,MATCH($E31,Lists!$AC$2:$AC$5,0)),NA()))</f>
        <v>219447.3</v>
      </c>
    </row>
    <row r="32" ht="14.25" customHeight="1" s="535">
      <c r="A32" s="1045" t="inlineStr">
        <is>
          <t>R0374</t>
        </is>
      </c>
      <c r="B32" s="929" t="str">
        <f>INDEX('REVIEW - Complete Role Mapping'!$B$2:$B$700,MATCH($A32,'REVIEW - Complete Role Mapping'!$AQ$2:$AQ$700,0))</f>
        <v>Vacant </v>
      </c>
      <c r="C32" s="929" t="str">
        <f>INDEX('REVIEW - Complete Role Mapping'!$D$2:$D$700,MATCH($A32,'REVIEW - Complete Role Mapping'!$AQ$2:$AQ$700,0))</f>
        <v>Business Analyst</v>
      </c>
      <c r="D32" s="929" t="str">
        <f>INDEX('REVIEW - Complete Role Mapping'!$AF$2:$AF$700,MATCH($A32,'REVIEW - Complete Role Mapping'!$AQ$2:$AQ$700,0))</f>
        <v>Vacant</v>
      </c>
      <c r="E32" s="543" t="inlineStr">
        <is>
          <t>Hire</t>
        </is>
      </c>
      <c r="F32" s="1031">
        <f>INDEX('REVIEW - Complete Role Mapping'!$AE$2:$AE$700,MATCH($A32,'REVIEW - Complete Role Mapping'!$AQ$2:$AQ$700,0))</f>
        <v>202853.25</v>
      </c>
      <c r="G32" s="1031">
        <f>$F32*IF(ISNUMBER(SEARCH("WIPRO",INDEX('REVIEW - Complete Role Mapping'!$R$2:$R$700,MATCH($A32,'REVIEW - Complete Role Mapping'!$AQ$2:$AQ$700,0)))),1,IFERROR(INDEX(Lists!$AD$2:$AD$5,MATCH($E32,Lists!$AC$2:$AC$5,0)),NA()))</f>
        <v>202853.25</v>
      </c>
    </row>
    <row r="33" ht="14.25" customHeight="1" s="535">
      <c r="A33" s="1045" t="inlineStr">
        <is>
          <t>R0429</t>
        </is>
      </c>
      <c r="B33" s="929" t="str">
        <f>INDEX('REVIEW - Complete Role Mapping'!$B$2:$B$700,MATCH($A33,'REVIEW - Complete Role Mapping'!$AQ$2:$AQ$700,0))</f>
        <v>Lindsay Baipas</v>
      </c>
      <c r="C33" s="929" t="str">
        <f>INDEX('REVIEW - Complete Role Mapping'!$D$2:$D$700,MATCH($A33,'REVIEW - Complete Role Mapping'!$AQ$2:$AQ$700,0))</f>
        <v>System Analyst Card</v>
      </c>
      <c r="D33" s="929" t="str">
        <f>INDEX('REVIEW - Complete Role Mapping'!$AF$2:$AF$700,MATCH($A33,'REVIEW - Complete Role Mapping'!$AQ$2:$AQ$700,0))</f>
        <v>Filled</v>
      </c>
      <c r="E33" s="543" t="inlineStr">
        <is>
          <t>Filled</t>
        </is>
      </c>
      <c r="F33" s="1031">
        <f>INDEX('REVIEW - Complete Role Mapping'!$AE$2:$AE$700,MATCH($A33,'REVIEW - Complete Role Mapping'!$AQ$2:$AQ$700,0))</f>
        <v>190306.8</v>
      </c>
      <c r="G33" s="1031">
        <f>$F33*IF(ISNUMBER(SEARCH("WIPRO",INDEX('REVIEW - Complete Role Mapping'!$R$2:$R$700,MATCH($A33,'REVIEW - Complete Role Mapping'!$AQ$2:$AQ$700,0)))),1,IFERROR(INDEX(Lists!$AD$2:$AD$5,MATCH($E33,Lists!$AC$2:$AC$5,0)),NA()))</f>
        <v>190306.8</v>
      </c>
    </row>
    <row r="34" ht="14.25" customHeight="1" s="535">
      <c r="A34" s="1045" t="inlineStr">
        <is>
          <t>R0430</t>
        </is>
      </c>
      <c r="B34" s="929" t="str">
        <f>INDEX('REVIEW - Complete Role Mapping'!$B$2:$B$700,MATCH($A34,'REVIEW - Complete Role Mapping'!$AQ$2:$AQ$700,0))</f>
        <v>Rod Santillan</v>
      </c>
      <c r="C34" s="929" t="str">
        <f>INDEX('REVIEW - Complete Role Mapping'!$D$2:$D$700,MATCH($A34,'REVIEW - Complete Role Mapping'!$AQ$2:$AQ$700,0))</f>
        <v>Snr Engineer Software</v>
      </c>
      <c r="D34" s="929" t="str">
        <f>INDEX('REVIEW - Complete Role Mapping'!$AF$2:$AF$700,MATCH($A34,'REVIEW - Complete Role Mapping'!$AQ$2:$AQ$700,0))</f>
        <v>Filled</v>
      </c>
      <c r="E34" s="543" t="inlineStr">
        <is>
          <t>Filled</t>
        </is>
      </c>
      <c r="F34" s="1031">
        <f>INDEX('REVIEW - Complete Role Mapping'!$AE$2:$AE$700,MATCH($A34,'REVIEW - Complete Role Mapping'!$AQ$2:$AQ$700,0))</f>
        <v>163823.52</v>
      </c>
      <c r="G34" s="1031">
        <f>$F34*IF(ISNUMBER(SEARCH("WIPRO",INDEX('REVIEW - Complete Role Mapping'!$R$2:$R$700,MATCH($A34,'REVIEW - Complete Role Mapping'!$AQ$2:$AQ$700,0)))),1,IFERROR(INDEX(Lists!$AD$2:$AD$5,MATCH($E34,Lists!$AC$2:$AC$5,0)),NA()))</f>
        <v>163823.52</v>
      </c>
    </row>
    <row r="35" ht="14.25" customHeight="1" s="535">
      <c r="A35" s="1045" t="inlineStr">
        <is>
          <t>R0494</t>
        </is>
      </c>
      <c r="B35" s="929" t="str">
        <f>INDEX('REVIEW - Complete Role Mapping'!$B$2:$B$700,MATCH($A35,'REVIEW - Complete Role Mapping'!$AQ$2:$AQ$700,0))</f>
        <v>Belinda Ford</v>
      </c>
      <c r="C35" s="929" t="str">
        <f>INDEX('REVIEW - Complete Role Mapping'!$D$2:$D$700,MATCH($A35,'REVIEW - Complete Role Mapping'!$AQ$2:$AQ$700,0))</f>
        <v>Quality Assurance</v>
      </c>
      <c r="D35" s="929" t="str">
        <f>INDEX('REVIEW - Complete Role Mapping'!$AF$2:$AF$700,MATCH($A35,'REVIEW - Complete Role Mapping'!$AQ$2:$AQ$700,0))</f>
        <v>Filled</v>
      </c>
      <c r="E35" s="543" t="inlineStr">
        <is>
          <t>Filled</t>
        </is>
      </c>
      <c r="F35" s="1031">
        <f>INDEX('REVIEW - Complete Role Mapping'!$AE$2:$AE$700,MATCH($A35,'REVIEW - Complete Role Mapping'!$AQ$2:$AQ$700,0))</f>
        <v>149160.45</v>
      </c>
      <c r="G35" s="1031">
        <f>$F35*IF(ISNUMBER(SEARCH("WIPRO",INDEX('REVIEW - Complete Role Mapping'!$R$2:$R$700,MATCH($A35,'REVIEW - Complete Role Mapping'!$AQ$2:$AQ$700,0)))),1,IFERROR(INDEX(Lists!$AD$2:$AD$5,MATCH($E35,Lists!$AC$2:$AC$5,0)),NA()))</f>
        <v>149160.45</v>
      </c>
    </row>
    <row r="36" ht="14.25" customHeight="1" s="535">
      <c r="A36" s="1045" t="inlineStr">
        <is>
          <t>R0495</t>
        </is>
      </c>
      <c r="B36" s="929" t="str">
        <f>INDEX('REVIEW - Complete Role Mapping'!$B$2:$B$700,MATCH($A36,'REVIEW - Complete Role Mapping'!$AQ$2:$AQ$700,0))</f>
        <v>Jessica Calla</v>
      </c>
      <c r="C36" s="929" t="str">
        <f>INDEX('REVIEW - Complete Role Mapping'!$D$2:$D$700,MATCH($A36,'REVIEW - Complete Role Mapping'!$AQ$2:$AQ$700,0))</f>
        <v>System Analyst Card</v>
      </c>
      <c r="D36" s="929" t="str">
        <f>INDEX('REVIEW - Complete Role Mapping'!$AF$2:$AF$700,MATCH($A36,'REVIEW - Complete Role Mapping'!$AQ$2:$AQ$700,0))</f>
        <v>Filled</v>
      </c>
      <c r="E36" s="543" t="inlineStr">
        <is>
          <t>Filled</t>
        </is>
      </c>
      <c r="F36" s="1031">
        <f>INDEX('REVIEW - Complete Role Mapping'!$AE$2:$AE$700,MATCH($A36,'REVIEW - Complete Role Mapping'!$AQ$2:$AQ$700,0))</f>
        <v>137509.55</v>
      </c>
      <c r="G36" s="1031">
        <f>$F36*IF(ISNUMBER(SEARCH("WIPRO",INDEX('REVIEW - Complete Role Mapping'!$R$2:$R$700,MATCH($A36,'REVIEW - Complete Role Mapping'!$AQ$2:$AQ$700,0)))),1,IFERROR(INDEX(Lists!$AD$2:$AD$5,MATCH($E36,Lists!$AC$2:$AC$5,0)),NA()))</f>
        <v>137509.55</v>
      </c>
    </row>
    <row r="37" ht="14.25" customHeight="1" s="535">
      <c r="A37" s="1045" t="inlineStr">
        <is>
          <t>R0506</t>
        </is>
      </c>
      <c r="B37" s="929" t="str">
        <f>INDEX('REVIEW - Complete Role Mapping'!$B$2:$B$700,MATCH($A37,'REVIEW - Complete Role Mapping'!$AQ$2:$AQ$700,0))</f>
        <v>Alex Abelita</v>
      </c>
      <c r="C37" s="929" t="str">
        <f>INDEX('REVIEW - Complete Role Mapping'!$D$2:$D$700,MATCH($A37,'REVIEW - Complete Role Mapping'!$AQ$2:$AQ$700,0))</f>
        <v>Associate Engineer - Automation Testing</v>
      </c>
      <c r="D37" s="929" t="str">
        <f>INDEX('REVIEW - Complete Role Mapping'!$AF$2:$AF$700,MATCH($A37,'REVIEW - Complete Role Mapping'!$AQ$2:$AQ$700,0))</f>
        <v>Filled</v>
      </c>
      <c r="E37" s="543" t="inlineStr">
        <is>
          <t>Filled</t>
        </is>
      </c>
      <c r="F37" s="1031">
        <f>INDEX('REVIEW - Complete Role Mapping'!$AE$2:$AE$700,MATCH($A37,'REVIEW - Complete Role Mapping'!$AQ$2:$AQ$700,0))</f>
        <v>87044</v>
      </c>
      <c r="G37" s="1031">
        <f>$F37*IF(ISNUMBER(SEARCH("WIPRO",INDEX('REVIEW - Complete Role Mapping'!$R$2:$R$700,MATCH($A37,'REVIEW - Complete Role Mapping'!$AQ$2:$AQ$700,0)))),1,IFERROR(INDEX(Lists!$AD$2:$AD$5,MATCH($E37,Lists!$AC$2:$AC$5,0)),NA()))</f>
        <v>87044</v>
      </c>
    </row>
    <row r="38" ht="14.25" customHeight="1" s="535">
      <c r="A38" s="1045" t="inlineStr">
        <is>
          <t>R0507</t>
        </is>
      </c>
      <c r="B38" s="929" t="str">
        <f>INDEX('REVIEW - Complete Role Mapping'!$B$2:$B$700,MATCH($A38,'REVIEW - Complete Role Mapping'!$AQ$2:$AQ$700,0))</f>
        <v>Allyn Puente</v>
      </c>
      <c r="C38" s="929" t="str">
        <f>INDEX('REVIEW - Complete Role Mapping'!$D$2:$D$700,MATCH($A38,'REVIEW - Complete Role Mapping'!$AQ$2:$AQ$700,0))</f>
        <v>Graduate</v>
      </c>
      <c r="D38" s="929" t="str">
        <f>INDEX('REVIEW - Complete Role Mapping'!$AF$2:$AF$700,MATCH($A38,'REVIEW - Complete Role Mapping'!$AQ$2:$AQ$700,0))</f>
        <v>Filled</v>
      </c>
      <c r="E38" s="543" t="inlineStr">
        <is>
          <t>Filled</t>
        </is>
      </c>
      <c r="F38" s="1031">
        <f>INDEX('REVIEW - Complete Role Mapping'!$AE$2:$AE$700,MATCH($A38,'REVIEW - Complete Role Mapping'!$AQ$2:$AQ$700,0))</f>
        <v>110075</v>
      </c>
      <c r="G38" s="1031">
        <f>$F38*IF(ISNUMBER(SEARCH("WIPRO",INDEX('REVIEW - Complete Role Mapping'!$R$2:$R$700,MATCH($A38,'REVIEW - Complete Role Mapping'!$AQ$2:$AQ$700,0)))),1,IFERROR(INDEX(Lists!$AD$2:$AD$5,MATCH($E38,Lists!$AC$2:$AC$5,0)),NA()))</f>
        <v>110075</v>
      </c>
    </row>
    <row r="39" ht="14.25" customHeight="1" s="535">
      <c r="B39" s="1029" t="inlineStr">
        <is>
          <t>EVCI</t>
        </is>
      </c>
      <c r="C39" s="1029" t="str">
        <f>COUNTIF($B$40:$B$45,"?*")&amp;IF(COUNTIF($B$40:$B$45,"?*")=1," role"," roles")</f>
        <v>6 roles</v>
      </c>
      <c r="D39" s="1029" t="n"/>
      <c r="E39" s="1029" t="n"/>
      <c r="F39" s="1044">
        <f>SUM(F40:F45)</f>
        <v>930799.292</v>
      </c>
      <c r="G39" s="1044">
        <f>SUM(G40:G45)</f>
        <v>930799.292</v>
      </c>
    </row>
    <row r="40" ht="14.25" customHeight="1" s="535">
      <c r="A40" s="1045" t="inlineStr">
        <is>
          <t>R0166</t>
        </is>
      </c>
      <c r="B40" s="929" t="str">
        <f>INDEX('REVIEW - Complete Role Mapping'!$B$2:$B$700,MATCH($A40,'REVIEW - Complete Role Mapping'!$AQ$2:$AQ$700,0))</f>
        <v>Gokila Mylsamy</v>
      </c>
      <c r="C40" s="929" t="str">
        <f>INDEX('REVIEW - Complete Role Mapping'!$D$2:$D$700,MATCH($A40,'REVIEW - Complete Role Mapping'!$AQ$2:$AQ$700,0))</f>
        <v>Lead Engineer Software</v>
      </c>
      <c r="D40" s="929" t="str">
        <f>INDEX('REVIEW - Complete Role Mapping'!$AF$2:$AF$700,MATCH($A40,'REVIEW - Complete Role Mapping'!$AQ$2:$AQ$700,0))</f>
        <v>Filled</v>
      </c>
      <c r="E40" s="543" t="inlineStr">
        <is>
          <t>Filled</t>
        </is>
      </c>
      <c r="F40" s="1031">
        <f>INDEX('REVIEW - Complete Role Mapping'!$AE$2:$AE$700,MATCH($A40,'REVIEW - Complete Role Mapping'!$AQ$2:$AQ$700,0))</f>
        <v>184214.952</v>
      </c>
      <c r="G40" s="1031">
        <f>$F40*IF(ISNUMBER(SEARCH("WIPRO",INDEX('REVIEW - Complete Role Mapping'!$R$2:$R$700,MATCH($A40,'REVIEW - Complete Role Mapping'!$AQ$2:$AQ$700,0)))),1,IFERROR(INDEX(Lists!$AD$2:$AD$5,MATCH($E40,Lists!$AC$2:$AC$5,0)),NA()))</f>
        <v>184214.952</v>
      </c>
    </row>
    <row r="41" ht="14.25" customHeight="1" s="535">
      <c r="A41" s="1045" t="inlineStr">
        <is>
          <t>R0215</t>
        </is>
      </c>
      <c r="B41" s="929" t="str">
        <f>INDEX('REVIEW - Complete Role Mapping'!$B$2:$B$700,MATCH($A41,'REVIEW - Complete Role Mapping'!$AQ$2:$AQ$700,0))</f>
        <v>Angela Ross</v>
      </c>
      <c r="C41" s="929" t="str">
        <f>INDEX('REVIEW - Complete Role Mapping'!$D$2:$D$700,MATCH($A41,'REVIEW - Complete Role Mapping'!$AQ$2:$AQ$700,0))</f>
        <v>Delivery Lead</v>
      </c>
      <c r="D41" s="929" t="str">
        <f>INDEX('REVIEW - Complete Role Mapping'!$AF$2:$AF$700,MATCH($A41,'REVIEW - Complete Role Mapping'!$AQ$2:$AQ$700,0))</f>
        <v>Filled</v>
      </c>
      <c r="E41" s="543" t="inlineStr">
        <is>
          <t>Filled</t>
        </is>
      </c>
      <c r="F41" s="1031">
        <f>INDEX('REVIEW - Complete Role Mapping'!$AE$2:$AE$700,MATCH($A41,'REVIEW - Complete Role Mapping'!$AQ$2:$AQ$700,0))</f>
        <v>188300.028</v>
      </c>
      <c r="G41" s="1031">
        <f>$F41*IF(ISNUMBER(SEARCH("WIPRO",INDEX('REVIEW - Complete Role Mapping'!$R$2:$R$700,MATCH($A41,'REVIEW - Complete Role Mapping'!$AQ$2:$AQ$700,0)))),1,IFERROR(INDEX(Lists!$AD$2:$AD$5,MATCH($E41,Lists!$AC$2:$AC$5,0)),NA()))</f>
        <v>188300.028</v>
      </c>
    </row>
    <row r="42" ht="14.25" customHeight="1" s="535">
      <c r="A42" s="1045" t="inlineStr">
        <is>
          <t>R0300</t>
        </is>
      </c>
      <c r="B42" s="929" t="str">
        <f>INDEX('REVIEW - Complete Role Mapping'!$B$2:$B$700,MATCH($A42,'REVIEW - Complete Role Mapping'!$AQ$2:$AQ$700,0))</f>
        <v>Caitlin Dyas</v>
      </c>
      <c r="C42" s="929" t="str">
        <f>INDEX('REVIEW - Complete Role Mapping'!$D$2:$D$700,MATCH($A42,'REVIEW - Complete Role Mapping'!$AQ$2:$AQ$700,0))</f>
        <v>Snr Engineer Software</v>
      </c>
      <c r="D42" s="929" t="str">
        <f>INDEX('REVIEW - Complete Role Mapping'!$AF$2:$AF$700,MATCH($A42,'REVIEW - Complete Role Mapping'!$AQ$2:$AQ$700,0))</f>
        <v>Filled</v>
      </c>
      <c r="E42" s="543" t="inlineStr">
        <is>
          <t>Filled</t>
        </is>
      </c>
      <c r="F42" s="1031">
        <f>INDEX('REVIEW - Complete Role Mapping'!$AE$2:$AE$700,MATCH($A42,'REVIEW - Complete Role Mapping'!$AQ$2:$AQ$700,0))</f>
        <v>144360</v>
      </c>
      <c r="G42" s="1031">
        <f>$F42*IF(ISNUMBER(SEARCH("WIPRO",INDEX('REVIEW - Complete Role Mapping'!$R$2:$R$700,MATCH($A42,'REVIEW - Complete Role Mapping'!$AQ$2:$AQ$700,0)))),1,IFERROR(INDEX(Lists!$AD$2:$AD$5,MATCH($E42,Lists!$AC$2:$AC$5,0)),NA()))</f>
        <v>144360</v>
      </c>
    </row>
    <row r="43" ht="14.25" customHeight="1" s="535">
      <c r="A43" s="1045" t="inlineStr">
        <is>
          <t>R0443</t>
        </is>
      </c>
      <c r="B43" s="929" t="str">
        <f>INDEX('REVIEW - Complete Role Mapping'!$B$2:$B$700,MATCH($A43,'REVIEW - Complete Role Mapping'!$AQ$2:$AQ$700,0))</f>
        <v>Anie Camerino</v>
      </c>
      <c r="C43" s="929" t="str">
        <f>INDEX('REVIEW - Complete Role Mapping'!$D$2:$D$700,MATCH($A43,'REVIEW - Complete Role Mapping'!$AQ$2:$AQ$700,0))</f>
        <v>Snr Quality Assurance</v>
      </c>
      <c r="D43" s="929" t="str">
        <f>INDEX('REVIEW - Complete Role Mapping'!$AF$2:$AF$700,MATCH($A43,'REVIEW - Complete Role Mapping'!$AQ$2:$AQ$700,0))</f>
        <v>Filled</v>
      </c>
      <c r="E43" s="543" t="inlineStr">
        <is>
          <t>Filled</t>
        </is>
      </c>
      <c r="F43" s="1031">
        <f>INDEX('REVIEW - Complete Role Mapping'!$AE$2:$AE$700,MATCH($A43,'REVIEW - Complete Role Mapping'!$AQ$2:$AQ$700,0))</f>
        <v>153503.328</v>
      </c>
      <c r="G43" s="1031">
        <f>$F43*IF(ISNUMBER(SEARCH("WIPRO",INDEX('REVIEW - Complete Role Mapping'!$R$2:$R$700,MATCH($A43,'REVIEW - Complete Role Mapping'!$AQ$2:$AQ$700,0)))),1,IFERROR(INDEX(Lists!$AD$2:$AD$5,MATCH($E43,Lists!$AC$2:$AC$5,0)),NA()))</f>
        <v>153503.328</v>
      </c>
    </row>
    <row r="44" ht="14.25" customHeight="1" s="535">
      <c r="A44" s="1045" t="inlineStr">
        <is>
          <t>R0471</t>
        </is>
      </c>
      <c r="B44" s="929" t="str">
        <f>INDEX('REVIEW - Complete Role Mapping'!$B$2:$B$700,MATCH($A44,'REVIEW - Complete Role Mapping'!$AQ$2:$AQ$700,0))</f>
        <v>Lana Wagner</v>
      </c>
      <c r="C44" s="929" t="str">
        <f>INDEX('REVIEW - Complete Role Mapping'!$D$2:$D$700,MATCH($A44,'REVIEW - Complete Role Mapping'!$AQ$2:$AQ$700,0))</f>
        <v>Senior Business Analyst</v>
      </c>
      <c r="D44" s="929" t="str">
        <f>INDEX('REVIEW - Complete Role Mapping'!$AF$2:$AF$700,MATCH($A44,'REVIEW - Complete Role Mapping'!$AQ$2:$AQ$700,0))</f>
        <v>Filled</v>
      </c>
      <c r="E44" s="543" t="inlineStr">
        <is>
          <t>Filled</t>
        </is>
      </c>
      <c r="F44" s="1031">
        <f>INDEX('REVIEW - Complete Role Mapping'!$AE$2:$AE$700,MATCH($A44,'REVIEW - Complete Role Mapping'!$AQ$2:$AQ$700,0))</f>
        <v>158753.952</v>
      </c>
      <c r="G44" s="1031">
        <f>$F44*IF(ISNUMBER(SEARCH("WIPRO",INDEX('REVIEW - Complete Role Mapping'!$R$2:$R$700,MATCH($A44,'REVIEW - Complete Role Mapping'!$AQ$2:$AQ$700,0)))),1,IFERROR(INDEX(Lists!$AD$2:$AD$5,MATCH($E44,Lists!$AC$2:$AC$5,0)),NA()))</f>
        <v>158753.952</v>
      </c>
    </row>
    <row r="45" ht="14.25" customHeight="1" s="535">
      <c r="A45" s="1045" t="inlineStr">
        <is>
          <t>R0510</t>
        </is>
      </c>
      <c r="B45" s="929" t="str">
        <f>INDEX('REVIEW - Complete Role Mapping'!$B$2:$B$700,MATCH($A45,'REVIEW - Complete Role Mapping'!$AQ$2:$AQ$700,0))</f>
        <v>Josh Campbell</v>
      </c>
      <c r="C45" s="929" t="str">
        <f>INDEX('REVIEW - Complete Role Mapping'!$D$2:$D$700,MATCH($A45,'REVIEW - Complete Role Mapping'!$AQ$2:$AQ$700,0))</f>
        <v>Engineer Software</v>
      </c>
      <c r="D45" s="929" t="str">
        <f>INDEX('REVIEW - Complete Role Mapping'!$AF$2:$AF$700,MATCH($A45,'REVIEW - Complete Role Mapping'!$AQ$2:$AQ$700,0))</f>
        <v>Filled</v>
      </c>
      <c r="E45" s="543" t="inlineStr">
        <is>
          <t>Filled</t>
        </is>
      </c>
      <c r="F45" s="1031">
        <f>INDEX('REVIEW - Complete Role Mapping'!$AE$2:$AE$700,MATCH($A45,'REVIEW - Complete Role Mapping'!$AQ$2:$AQ$700,0))</f>
        <v>101667.032</v>
      </c>
      <c r="G45" s="1031">
        <f>$F45*IF(ISNUMBER(SEARCH("WIPRO",INDEX('REVIEW - Complete Role Mapping'!$R$2:$R$700,MATCH($A45,'REVIEW - Complete Role Mapping'!$AQ$2:$AQ$700,0)))),1,IFERROR(INDEX(Lists!$AD$2:$AD$5,MATCH($E45,Lists!$AC$2:$AC$5,0)),NA()))</f>
        <v>101667.032</v>
      </c>
    </row>
    <row r="46" ht="14.25" customHeight="1" s="535">
      <c r="B46" s="1029" t="inlineStr">
        <is>
          <t>Energy</t>
        </is>
      </c>
      <c r="C46" s="1029" t="str">
        <f>COUNTIF($B$47:$B$55,"?*")&amp;IF(COUNTIF($B$47:$B$55,"?*")=1," role"," roles")</f>
        <v>9 roles</v>
      </c>
      <c r="D46" s="1029" t="n"/>
      <c r="E46" s="1029" t="n"/>
      <c r="F46" s="1044">
        <f>SUM(F47:F55)</f>
        <v>1763592.176</v>
      </c>
      <c r="G46" s="1044">
        <f>SUM(G47:G55)</f>
        <v>1763592.176</v>
      </c>
    </row>
    <row r="47" ht="14.25" customHeight="1" s="535">
      <c r="A47" s="1045" t="inlineStr">
        <is>
          <t>R0165</t>
        </is>
      </c>
      <c r="B47" s="929" t="str">
        <f>INDEX('REVIEW - Complete Role Mapping'!$B$2:$B$700,MATCH($A47,'REVIEW - Complete Role Mapping'!$AQ$2:$AQ$700,0))</f>
        <v>Nico Lender</v>
      </c>
      <c r="C47" s="929" t="str">
        <f>INDEX('REVIEW - Complete Role Mapping'!$D$2:$D$700,MATCH($A47,'REVIEW - Complete Role Mapping'!$AQ$2:$AQ$700,0))</f>
        <v>Solution Architect</v>
      </c>
      <c r="D47" s="929" t="str">
        <f>INDEX('REVIEW - Complete Role Mapping'!$AF$2:$AF$700,MATCH($A47,'REVIEW - Complete Role Mapping'!$AQ$2:$AQ$700,0))</f>
        <v>Filled</v>
      </c>
      <c r="E47" s="543" t="inlineStr">
        <is>
          <t>Filled</t>
        </is>
      </c>
      <c r="F47" s="1031">
        <f>INDEX('REVIEW - Complete Role Mapping'!$AE$2:$AE$700,MATCH($A47,'REVIEW - Complete Role Mapping'!$AQ$2:$AQ$700,0))</f>
        <v>191717.46</v>
      </c>
      <c r="G47" s="1031">
        <f>$F47*IF(ISNUMBER(SEARCH("WIPRO",INDEX('REVIEW - Complete Role Mapping'!$R$2:$R$700,MATCH($A47,'REVIEW - Complete Role Mapping'!$AQ$2:$AQ$700,0)))),1,IFERROR(INDEX(Lists!$AD$2:$AD$5,MATCH($E47,Lists!$AC$2:$AC$5,0)),NA()))</f>
        <v>191717.46</v>
      </c>
    </row>
    <row r="48" ht="14.25" customHeight="1" s="535">
      <c r="A48" s="1045" t="inlineStr">
        <is>
          <t>R0167</t>
        </is>
      </c>
      <c r="B48" s="929" t="str">
        <f>INDEX('REVIEW - Complete Role Mapping'!$B$2:$B$700,MATCH($A48,'REVIEW - Complete Role Mapping'!$AQ$2:$AQ$700,0))</f>
        <v>Marcela Gonzalez</v>
      </c>
      <c r="C48" s="929" t="str">
        <f>INDEX('REVIEW - Complete Role Mapping'!$D$2:$D$700,MATCH($A48,'REVIEW - Complete Role Mapping'!$AQ$2:$AQ$700,0))</f>
        <v>Energy Platforms Lead</v>
      </c>
      <c r="D48" s="929" t="str">
        <f>INDEX('REVIEW - Complete Role Mapping'!$AF$2:$AF$700,MATCH($A48,'REVIEW - Complete Role Mapping'!$AQ$2:$AQ$700,0))</f>
        <v>Filled</v>
      </c>
      <c r="E48" s="543" t="inlineStr">
        <is>
          <t>Filled</t>
        </is>
      </c>
      <c r="F48" s="1031">
        <f>INDEX('REVIEW - Complete Role Mapping'!$AE$2:$AE$700,MATCH($A48,'REVIEW - Complete Role Mapping'!$AQ$2:$AQ$700,0))</f>
        <v>250619.55</v>
      </c>
      <c r="G48" s="1031">
        <f>$F48*IF(ISNUMBER(SEARCH("WIPRO",INDEX('REVIEW - Complete Role Mapping'!$R$2:$R$700,MATCH($A48,'REVIEW - Complete Role Mapping'!$AQ$2:$AQ$700,0)))),1,IFERROR(INDEX(Lists!$AD$2:$AD$5,MATCH($E48,Lists!$AC$2:$AC$5,0)),NA()))</f>
        <v>250619.55</v>
      </c>
    </row>
    <row r="49" ht="14.25" customHeight="1" s="535">
      <c r="A49" s="1045" t="inlineStr">
        <is>
          <t>R0301</t>
        </is>
      </c>
      <c r="B49" s="929" t="str">
        <f>INDEX('REVIEW - Complete Role Mapping'!$B$2:$B$700,MATCH($A49,'REVIEW - Complete Role Mapping'!$AQ$2:$AQ$700,0))</f>
        <v>Gunjan Vasudeva</v>
      </c>
      <c r="C49" s="929" t="str">
        <f>INDEX('REVIEW - Complete Role Mapping'!$D$2:$D$700,MATCH($A49,'REVIEW - Complete Role Mapping'!$AQ$2:$AQ$700,0))</f>
        <v>Lead Quality Assurance</v>
      </c>
      <c r="D49" s="929" t="str">
        <f>INDEX('REVIEW - Complete Role Mapping'!$AF$2:$AF$700,MATCH($A49,'REVIEW - Complete Role Mapping'!$AQ$2:$AQ$700,0))</f>
        <v>Filled</v>
      </c>
      <c r="E49" s="543" t="inlineStr">
        <is>
          <t>Filled</t>
        </is>
      </c>
      <c r="F49" s="1031">
        <f>INDEX('REVIEW - Complete Role Mapping'!$AE$2:$AE$700,MATCH($A49,'REVIEW - Complete Role Mapping'!$AQ$2:$AQ$700,0))</f>
        <v>208473.6</v>
      </c>
      <c r="G49" s="1031">
        <f>$F49*IF(ISNUMBER(SEARCH("WIPRO",INDEX('REVIEW - Complete Role Mapping'!$R$2:$R$700,MATCH($A49,'REVIEW - Complete Role Mapping'!$AQ$2:$AQ$700,0)))),1,IFERROR(INDEX(Lists!$AD$2:$AD$5,MATCH($E49,Lists!$AC$2:$AC$5,0)),NA()))</f>
        <v>208473.6</v>
      </c>
    </row>
    <row r="50" ht="14.25" customHeight="1" s="535">
      <c r="A50" s="1045" t="inlineStr">
        <is>
          <t>R0302</t>
        </is>
      </c>
      <c r="B50" s="929" t="str">
        <f>INDEX('REVIEW - Complete Role Mapping'!$B$2:$B$700,MATCH($A50,'REVIEW - Complete Role Mapping'!$AQ$2:$AQ$700,0))</f>
        <v>James Hung</v>
      </c>
      <c r="C50" s="929" t="str">
        <f>INDEX('REVIEW - Complete Role Mapping'!$D$2:$D$700,MATCH($A50,'REVIEW - Complete Role Mapping'!$AQ$2:$AQ$700,0))</f>
        <v>System Specialist</v>
      </c>
      <c r="D50" s="929" t="str">
        <f>INDEX('REVIEW - Complete Role Mapping'!$AF$2:$AF$700,MATCH($A50,'REVIEW - Complete Role Mapping'!$AQ$2:$AQ$700,0))</f>
        <v>Filled</v>
      </c>
      <c r="E50" s="543" t="inlineStr">
        <is>
          <t>Filled</t>
        </is>
      </c>
      <c r="F50" s="1031">
        <f>INDEX('REVIEW - Complete Role Mapping'!$AE$2:$AE$700,MATCH($A50,'REVIEW - Complete Role Mapping'!$AQ$2:$AQ$700,0))</f>
        <v>213533.25</v>
      </c>
      <c r="G50" s="1031">
        <f>$F50*IF(ISNUMBER(SEARCH("WIPRO",INDEX('REVIEW - Complete Role Mapping'!$R$2:$R$700,MATCH($A50,'REVIEW - Complete Role Mapping'!$AQ$2:$AQ$700,0)))),1,IFERROR(INDEX(Lists!$AD$2:$AD$5,MATCH($E50,Lists!$AC$2:$AC$5,0)),NA()))</f>
        <v>213533.25</v>
      </c>
    </row>
    <row r="51" ht="14.25" customHeight="1" s="535">
      <c r="A51" s="1045" t="inlineStr">
        <is>
          <t>R0303</t>
        </is>
      </c>
      <c r="B51" s="929" t="str">
        <f>INDEX('REVIEW - Complete Role Mapping'!$B$2:$B$700,MATCH($A51,'REVIEW - Complete Role Mapping'!$AQ$2:$AQ$700,0))</f>
        <v>Vacant</v>
      </c>
      <c r="C51" s="929" t="str">
        <f>INDEX('REVIEW - Complete Role Mapping'!$D$2:$D$700,MATCH($A51,'REVIEW - Complete Role Mapping'!$AQ$2:$AQ$700,0))</f>
        <v>Engineer Automation - Testing</v>
      </c>
      <c r="D51" s="929" t="str">
        <f>INDEX('REVIEW - Complete Role Mapping'!$AF$2:$AF$700,MATCH($A51,'REVIEW - Complete Role Mapping'!$AQ$2:$AQ$700,0))</f>
        <v>Vacant</v>
      </c>
      <c r="E51" s="543" t="inlineStr">
        <is>
          <t>Hire</t>
        </is>
      </c>
      <c r="F51" s="1031">
        <f>INDEX('REVIEW - Complete Role Mapping'!$AE$2:$AE$700,MATCH($A51,'REVIEW - Complete Role Mapping'!$AQ$2:$AQ$700,0))</f>
        <v>202853.25</v>
      </c>
      <c r="G51" s="1031">
        <f>$F51*IF(ISNUMBER(SEARCH("WIPRO",INDEX('REVIEW - Complete Role Mapping'!$R$2:$R$700,MATCH($A51,'REVIEW - Complete Role Mapping'!$AQ$2:$AQ$700,0)))),1,IFERROR(INDEX(Lists!$AD$2:$AD$5,MATCH($E51,Lists!$AC$2:$AC$5,0)),NA()))</f>
        <v>202853.25</v>
      </c>
    </row>
    <row r="52" ht="14.25" customHeight="1" s="535">
      <c r="A52" s="1045" t="inlineStr">
        <is>
          <t>R0304</t>
        </is>
      </c>
      <c r="B52" s="929" t="str">
        <f>INDEX('REVIEW - Complete Role Mapping'!$B$2:$B$700,MATCH($A52,'REVIEW - Complete Role Mapping'!$AQ$2:$AQ$700,0))</f>
        <v>Vacant</v>
      </c>
      <c r="C52" s="929" t="str">
        <f>INDEX('REVIEW - Complete Role Mapping'!$D$2:$D$700,MATCH($A52,'REVIEW - Complete Role Mapping'!$AQ$2:$AQ$700,0))</f>
        <v>Snr Engineer Software</v>
      </c>
      <c r="D52" s="929" t="str">
        <f>INDEX('REVIEW - Complete Role Mapping'!$AF$2:$AF$700,MATCH($A52,'REVIEW - Complete Role Mapping'!$AQ$2:$AQ$700,0))</f>
        <v>Vacant</v>
      </c>
      <c r="E52" s="543" t="inlineStr">
        <is>
          <t>Hire</t>
        </is>
      </c>
      <c r="F52" s="1031">
        <f>INDEX('REVIEW - Complete Role Mapping'!$AE$2:$AE$700,MATCH($A52,'REVIEW - Complete Role Mapping'!$AQ$2:$AQ$700,0))</f>
        <v>202853.25</v>
      </c>
      <c r="G52" s="1031">
        <f>$F52*IF(ISNUMBER(SEARCH("WIPRO",INDEX('REVIEW - Complete Role Mapping'!$R$2:$R$700,MATCH($A52,'REVIEW - Complete Role Mapping'!$AQ$2:$AQ$700,0)))),1,IFERROR(INDEX(Lists!$AD$2:$AD$5,MATCH($E52,Lists!$AC$2:$AC$5,0)),NA()))</f>
        <v>202853.25</v>
      </c>
    </row>
    <row r="53" ht="14.25" customHeight="1" s="535">
      <c r="A53" s="1045" t="inlineStr">
        <is>
          <t>R0375</t>
        </is>
      </c>
      <c r="B53" s="929" t="str">
        <f>INDEX('REVIEW - Complete Role Mapping'!$B$2:$B$700,MATCH($A53,'REVIEW - Complete Role Mapping'!$AQ$2:$AQ$700,0))</f>
        <v>Vacant </v>
      </c>
      <c r="C53" s="929" t="str">
        <f>INDEX('REVIEW - Complete Role Mapping'!$D$2:$D$700,MATCH($A53,'REVIEW - Complete Role Mapping'!$AQ$2:$AQ$700,0))</f>
        <v>Business Analyst</v>
      </c>
      <c r="D53" s="929" t="str">
        <f>INDEX('REVIEW - Complete Role Mapping'!$AF$2:$AF$700,MATCH($A53,'REVIEW - Complete Role Mapping'!$AQ$2:$AQ$700,0))</f>
        <v>Vacant</v>
      </c>
      <c r="E53" s="543" t="inlineStr">
        <is>
          <t>Hire</t>
        </is>
      </c>
      <c r="F53" s="1031">
        <f>INDEX('REVIEW - Complete Role Mapping'!$AE$2:$AE$700,MATCH($A53,'REVIEW - Complete Role Mapping'!$AQ$2:$AQ$700,0))</f>
        <v>202853.25</v>
      </c>
      <c r="G53" s="1031">
        <f>$F53*IF(ISNUMBER(SEARCH("WIPRO",INDEX('REVIEW - Complete Role Mapping'!$R$2:$R$700,MATCH($A53,'REVIEW - Complete Role Mapping'!$AQ$2:$AQ$700,0)))),1,IFERROR(INDEX(Lists!$AD$2:$AD$5,MATCH($E53,Lists!$AC$2:$AC$5,0)),NA()))</f>
        <v>202853.25</v>
      </c>
    </row>
    <row r="54" ht="14.25" customHeight="1" s="535">
      <c r="A54" s="1045" t="inlineStr">
        <is>
          <t>R0385</t>
        </is>
      </c>
      <c r="B54" s="929" t="str">
        <f>INDEX('REVIEW - Complete Role Mapping'!$B$2:$B$700,MATCH($A54,'REVIEW - Complete Role Mapping'!$AQ$2:$AQ$700,0))</f>
        <v>Elma Kurian</v>
      </c>
      <c r="C54" s="929" t="str">
        <f>INDEX('REVIEW - Complete Role Mapping'!$D$2:$D$700,MATCH($A54,'REVIEW - Complete Role Mapping'!$AQ$2:$AQ$700,0))</f>
        <v>System Specialist</v>
      </c>
      <c r="D54" s="929" t="str">
        <f>INDEX('REVIEW - Complete Role Mapping'!$AF$2:$AF$700,MATCH($A54,'REVIEW - Complete Role Mapping'!$AQ$2:$AQ$700,0))</f>
        <v>Filled</v>
      </c>
      <c r="E54" s="543" t="inlineStr">
        <is>
          <t>Filled</t>
        </is>
      </c>
      <c r="F54" s="1031">
        <f>INDEX('REVIEW - Complete Role Mapping'!$AE$2:$AE$700,MATCH($A54,'REVIEW - Complete Role Mapping'!$AQ$2:$AQ$700,0))</f>
        <v>203253.75</v>
      </c>
      <c r="G54" s="1031">
        <f>$F54*IF(ISNUMBER(SEARCH("WIPRO",INDEX('REVIEW - Complete Role Mapping'!$R$2:$R$700,MATCH($A54,'REVIEW - Complete Role Mapping'!$AQ$2:$AQ$700,0)))),1,IFERROR(INDEX(Lists!$AD$2:$AD$5,MATCH($E54,Lists!$AC$2:$AC$5,0)),NA()))</f>
        <v>203253.75</v>
      </c>
    </row>
    <row r="55" ht="14.25" customHeight="1" s="535">
      <c r="A55" s="1045" t="inlineStr">
        <is>
          <t>R0522</t>
        </is>
      </c>
      <c r="B55" s="929" t="str">
        <f>INDEX('REVIEW - Complete Role Mapping'!$B$2:$B$700,MATCH($A55,'REVIEW - Complete Role Mapping'!$AQ$2:$AQ$700,0))</f>
        <v>Caitlin Naylor</v>
      </c>
      <c r="C55" s="929" t="str">
        <f>INDEX('REVIEW - Complete Role Mapping'!$D$2:$D$700,MATCH($A55,'REVIEW - Complete Role Mapping'!$AQ$2:$AQ$700,0))</f>
        <v>Associate Engineer- Software</v>
      </c>
      <c r="D55" s="929" t="str">
        <f>INDEX('REVIEW - Complete Role Mapping'!$AF$2:$AF$700,MATCH($A55,'REVIEW - Complete Role Mapping'!$AQ$2:$AQ$700,0))</f>
        <v>Filled</v>
      </c>
      <c r="E55" s="543" t="inlineStr">
        <is>
          <t>Filled</t>
        </is>
      </c>
      <c r="F55" s="1031">
        <f>INDEX('REVIEW - Complete Role Mapping'!$AE$2:$AE$700,MATCH($A55,'REVIEW - Complete Role Mapping'!$AQ$2:$AQ$700,0))</f>
        <v>87434.816</v>
      </c>
      <c r="G55" s="1031">
        <f>$F55*IF(ISNUMBER(SEARCH("WIPRO",INDEX('REVIEW - Complete Role Mapping'!$R$2:$R$700,MATCH($A55,'REVIEW - Complete Role Mapping'!$AQ$2:$AQ$700,0)))),1,IFERROR(INDEX(Lists!$AD$2:$AD$5,MATCH($E55,Lists!$AC$2:$AC$5,0)),NA()))</f>
        <v>87434.816</v>
      </c>
    </row>
    <row r="56" ht="14.25" customHeight="1" s="535">
      <c r="B56" s="1029" t="inlineStr">
        <is>
          <t>Head of Technology</t>
        </is>
      </c>
      <c r="C56" s="1029" t="str">
        <f>COUNTIF($B$57:$B$57,"?*")&amp;IF(COUNTIF($B$57:$B$57,"?*")=1," role"," roles")</f>
        <v>1 role</v>
      </c>
      <c r="D56" s="1029" t="n"/>
      <c r="E56" s="1029" t="n"/>
      <c r="F56" s="1044">
        <f>SUM(F57:F57)</f>
        <v>273758</v>
      </c>
      <c r="G56" s="1044">
        <f>SUM(G57:G57)</f>
        <v>273758</v>
      </c>
    </row>
    <row r="57" ht="14.25" customHeight="1" s="535">
      <c r="A57" s="1045" t="inlineStr">
        <is>
          <t>R0064</t>
        </is>
      </c>
      <c r="B57" s="929" t="str">
        <f>INDEX('REVIEW - Complete Role Mapping'!$B$2:$B$700,MATCH($A57,'REVIEW - Complete Role Mapping'!$AQ$2:$AQ$700,0))</f>
        <v>Liesl Tye</v>
      </c>
      <c r="C57" s="929" t="str">
        <f>INDEX('REVIEW - Complete Role Mapping'!$D$2:$D$700,MATCH($A57,'REVIEW - Complete Role Mapping'!$AQ$2:$AQ$700,0))</f>
        <v>Head of Technology, B2B &amp; Energy Solutions</v>
      </c>
      <c r="D57" s="929" t="str">
        <f>INDEX('REVIEW - Complete Role Mapping'!$AF$2:$AF$700,MATCH($A57,'REVIEW - Complete Role Mapping'!$AQ$2:$AQ$700,0))</f>
        <v>Filled</v>
      </c>
      <c r="E57" s="543" t="inlineStr">
        <is>
          <t>Filled</t>
        </is>
      </c>
      <c r="F57" s="1031">
        <f>INDEX('REVIEW - Complete Role Mapping'!$AE$2:$AE$700,MATCH($A57,'REVIEW - Complete Role Mapping'!$AQ$2:$AQ$700,0))</f>
        <v>273758</v>
      </c>
      <c r="G57" s="1031">
        <f>$F57*IF(ISNUMBER(SEARCH("WIPRO",INDEX('REVIEW - Complete Role Mapping'!$R$2:$R$700,MATCH($A57,'REVIEW - Complete Role Mapping'!$AQ$2:$AQ$700,0)))),1,IFERROR(INDEX(Lists!$AD$2:$AD$5,MATCH($E57,Lists!$AC$2:$AC$5,0)),NA()))</f>
        <v>273758</v>
      </c>
    </row>
    <row r="58" ht="14.25" customHeight="1" s="535">
      <c r="B58" s="1029" t="inlineStr">
        <is>
          <t>Delivery Manager</t>
        </is>
      </c>
      <c r="C58" s="1029" t="str">
        <f>COUNTIF($B$59:$B$59,"?*")&amp;IF(COUNTIF($B$59:$B$59,"?*")=1," role"," roles")</f>
        <v>1 role</v>
      </c>
      <c r="D58" s="1029" t="n"/>
      <c r="E58" s="1029" t="n"/>
      <c r="F58" s="1044">
        <f>SUM(F59:F59)</f>
        <v>275810.25</v>
      </c>
      <c r="G58" s="1044">
        <f>SUM(G59:G59)</f>
        <v>275810.25</v>
      </c>
    </row>
    <row r="59" ht="14.25" customHeight="1" s="535">
      <c r="A59" s="1045" t="inlineStr">
        <is>
          <t>R0092</t>
        </is>
      </c>
      <c r="B59" s="929" t="str">
        <f>INDEX('REVIEW - Complete Role Mapping'!$B$2:$B$700,MATCH($A59,'REVIEW - Complete Role Mapping'!$AQ$2:$AQ$700,0))</f>
        <v>Vacant</v>
      </c>
      <c r="C59" s="929" t="str">
        <f>INDEX('REVIEW - Complete Role Mapping'!$D$2:$D$700,MATCH($A59,'REVIEW - Complete Role Mapping'!$AQ$2:$AQ$700,0))</f>
        <v>Delivery manager</v>
      </c>
      <c r="D59" s="929" t="str">
        <f>INDEX('REVIEW - Complete Role Mapping'!$AF$2:$AF$700,MATCH($A59,'REVIEW - Complete Role Mapping'!$AQ$2:$AQ$700,0))</f>
        <v>Vacant</v>
      </c>
      <c r="E59" s="543" t="inlineStr">
        <is>
          <t>Hire</t>
        </is>
      </c>
      <c r="F59" s="1031">
        <f>INDEX('REVIEW - Complete Role Mapping'!$AE$2:$AE$700,MATCH($A59,'REVIEW - Complete Role Mapping'!$AQ$2:$AQ$700,0))</f>
        <v>275810.25</v>
      </c>
      <c r="G59" s="1031">
        <f>$F59*IF(ISNUMBER(SEARCH("WIPRO",INDEX('REVIEW - Complete Role Mapping'!$R$2:$R$700,MATCH($A59,'REVIEW - Complete Role Mapping'!$AQ$2:$AQ$700,0)))),1,IFERROR(INDEX(Lists!$AD$2:$AD$5,MATCH($E59,Lists!$AC$2:$AC$5,0)),NA()))</f>
        <v>275810.25</v>
      </c>
    </row>
    <row r="60" ht="14.25" customHeight="1" s="535">
      <c r="B60" s="1029" t="inlineStr">
        <is>
          <t>Technology Manager</t>
        </is>
      </c>
      <c r="C60" s="1029" t="str">
        <f>COUNTIF($B$61:$B$62,"?*")&amp;IF(COUNTIF($B$61:$B$62,"?*")=1," role"," roles")</f>
        <v>2 roles</v>
      </c>
      <c r="D60" s="1029" t="n"/>
      <c r="E60" s="1029" t="n"/>
      <c r="F60" s="1044">
        <f>SUM(F61:F62)</f>
        <v>504148.874</v>
      </c>
      <c r="G60" s="1044">
        <f>SUM(G61:G62)</f>
        <v>504148.874</v>
      </c>
    </row>
    <row r="61" ht="14.25" customHeight="1" s="535">
      <c r="A61" s="1045" t="inlineStr">
        <is>
          <t>R0090</t>
        </is>
      </c>
      <c r="B61" s="929" t="str">
        <f>INDEX('REVIEW - Complete Role Mapping'!$B$2:$B$700,MATCH($A61,'REVIEW - Complete Role Mapping'!$AQ$2:$AQ$700,0))</f>
        <v>Hitesh Patel</v>
      </c>
      <c r="C61" s="929" t="str">
        <f>INDEX('REVIEW - Complete Role Mapping'!$D$2:$D$700,MATCH($A61,'REVIEW - Complete Role Mapping'!$AQ$2:$AQ$700,0))</f>
        <v>Technology Manager, Energy Solutions</v>
      </c>
      <c r="D61" s="929" t="str">
        <f>INDEX('REVIEW - Complete Role Mapping'!$AF$2:$AF$700,MATCH($A61,'REVIEW - Complete Role Mapping'!$AQ$2:$AQ$700,0))</f>
        <v>Filled</v>
      </c>
      <c r="E61" s="543" t="inlineStr">
        <is>
          <t>Filled</t>
        </is>
      </c>
      <c r="F61" s="1031">
        <f>INDEX('REVIEW - Complete Role Mapping'!$AE$2:$AE$700,MATCH($A61,'REVIEW - Complete Role Mapping'!$AQ$2:$AQ$700,0))</f>
        <v>209585.424</v>
      </c>
      <c r="G61" s="1031">
        <f>$F61*IF(ISNUMBER(SEARCH("WIPRO",INDEX('REVIEW - Complete Role Mapping'!$R$2:$R$700,MATCH($A61,'REVIEW - Complete Role Mapping'!$AQ$2:$AQ$700,0)))),1,IFERROR(INDEX(Lists!$AD$2:$AD$5,MATCH($E61,Lists!$AC$2:$AC$5,0)),NA()))</f>
        <v>209585.424</v>
      </c>
    </row>
    <row r="62" ht="14.25" customHeight="1" s="535">
      <c r="A62" s="1045" t="inlineStr">
        <is>
          <t>R0091</t>
        </is>
      </c>
      <c r="B62" s="929" t="str">
        <f>INDEX('REVIEW - Complete Role Mapping'!$B$2:$B$700,MATCH($A62,'REVIEW - Complete Role Mapping'!$AQ$2:$AQ$700,0))</f>
        <v>Elle Spencer</v>
      </c>
      <c r="C62" s="929" t="str">
        <f>INDEX('REVIEW - Complete Role Mapping'!$D$2:$D$700,MATCH($A62,'REVIEW - Complete Role Mapping'!$AQ$2:$AQ$700,0))</f>
        <v>Technology Manager - B2B</v>
      </c>
      <c r="D62" s="929" t="str">
        <f>INDEX('REVIEW - Complete Role Mapping'!$AF$2:$AF$700,MATCH($A62,'REVIEW - Complete Role Mapping'!$AQ$2:$AQ$700,0))</f>
        <v>Filled</v>
      </c>
      <c r="E62" s="543" t="inlineStr">
        <is>
          <t>Filled</t>
        </is>
      </c>
      <c r="F62" s="1031">
        <f>INDEX('REVIEW - Complete Role Mapping'!$AE$2:$AE$700,MATCH($A62,'REVIEW - Complete Role Mapping'!$AQ$2:$AQ$700,0))</f>
        <v>294563.45</v>
      </c>
      <c r="G62" s="1031">
        <f>$F62*IF(ISNUMBER(SEARCH("WIPRO",INDEX('REVIEW - Complete Role Mapping'!$R$2:$R$700,MATCH($A62,'REVIEW - Complete Role Mapping'!$AQ$2:$AQ$700,0)))),1,IFERROR(INDEX(Lists!$AD$2:$AD$5,MATCH($E62,Lists!$AC$2:$AC$5,0)),NA()))</f>
        <v>294563.45</v>
      </c>
    </row>
    <row r="63"/>
    <row r="64" ht="14.25" customHeight="1" s="535">
      <c r="B64" s="1040" t="inlineStr">
        <is>
          <t>Vacancy levers on this tab, for the executive summary</t>
        </is>
      </c>
      <c r="J64" s="1046">
        <f>COUNTIFS($D$24:$D$62,"Vacant",$E$24:$E$62,"Hire")</f>
        <v>7</v>
      </c>
      <c r="K64" s="1046">
        <f>COUNTIFS($D$24:$D$62,"Vacant",$E$24:$E$62,"Offshore")</f>
        <v>0</v>
      </c>
      <c r="L64" s="1046">
        <f>COUNTIFS($D$24:$D$62,"Vacant",$E$24:$E$62,"Hold")</f>
        <v>0</v>
      </c>
      <c r="M64" s="1046">
        <f>COUNTIFS($D$24:$D$62,"Vacant",$E$24:$E$62,"Filled")</f>
        <v>0</v>
      </c>
      <c r="N64" s="1046">
        <f>COUNTIFS($D$24:$D$62,"Filled",$E$24:$E$62,"Offshore")</f>
        <v>0</v>
      </c>
    </row>
  </sheetData>
  <dataValidations count="1">
    <dataValidation sqref="E25:E38 E40:E45 E47:E55 E57 E59 E61:E6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1"/>
  </sheetPr>
  <dimension ref="A1:T76"/>
  <sheetViews>
    <sheetView showFormulas="0" showGridLines="0" showRowColHeaders="1" showZeros="1" rightToLeft="0" tabSelected="0" showOutlineSymbols="1" defaultGridColor="1" view="normal" topLeftCell="A25" colorId="64" zoomScale="100" zoomScaleNormal="100" zoomScalePageLayoutView="100" workbookViewId="0">
      <selection pane="topLeft" activeCell="N8" activeCellId="0" sqref="N8"/>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Commercial Fuels - working copy</t>
        </is>
      </c>
    </row>
    <row r="3" ht="14.25" customHeight="1" s="535">
      <c r="B3" s="709" t="inlineStr">
        <is>
          <t>Portfolio</t>
        </is>
      </c>
      <c r="C3" s="868" t="inlineStr">
        <is>
          <t>Commercial Fuels</t>
        </is>
      </c>
    </row>
    <row r="4" ht="18.75" customHeight="1" s="535">
      <c r="B4" s="537" t="inlineStr">
        <is>
          <t>Commercial Fuels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Supply</t>
        </is>
      </c>
      <c r="C8" s="929" t="str">
        <f>IFERROR(IF(INDEX('1.9 Commercial Fuels'!$C$24:$C$41,MATCH($B8,'1.9 Commercial Fuels'!$B$24:$B$41,0))="","",INDEX('1.9 Commercial Fuels'!$C$24:$C$41,MATCH($B8,'1.9 Commercial Fuels'!$B$24:$B$41,0))),"Not on the 1.x tab")</f>
        <v>Configuration / Integration</v>
      </c>
      <c r="D8" s="929" t="str">
        <f>IFERROR(IF(INDEX('1.9 Commercial Fuels'!$D$24:$D$41,MATCH($B8,'1.9 Commercial Fuels'!$B$24:$B$41,0))="","",INDEX('1.9 Commercial Fuels'!$D$24:$D$41,MATCH($B8,'1.9 Commercial Fuels'!$B$24:$B$41,0))),"")</f>
        <v>M</v>
      </c>
      <c r="E8" s="1030">
        <f>IFERROR(INDEX('0.3 Squad Archetypes'!$F$5:$F$23,MATCH($C8&amp;"|"&amp;$D8,'0.3 Squad Archetypes'!$A$5:$A$23,0)),"")</f>
        <v>9</v>
      </c>
      <c r="F8" s="1031">
        <f>COUNTIF($B$42:$B$46,"?*")</f>
        <v>5</v>
      </c>
      <c r="G8" s="1030">
        <f>ROUND(SUMIFS('REVIEW - Complete Role Mapping'!$P$2:$P$700,'REVIEW - Complete Role Mapping'!$AH$2:$AH$700,$C$3,'REVIEW - Complete Role Mapping'!$AL$2:$AL$700,$B8),2)</f>
        <v>5</v>
      </c>
      <c r="H8" s="1031">
        <f>COUNTIFS($D$42:$D$46,"Filled")</f>
        <v>1</v>
      </c>
      <c r="I8" s="1031">
        <f>COUNTIFS($D$42:$D$46,"Vacant")</f>
        <v>4</v>
      </c>
      <c r="J8" s="1031">
        <f>COUNTIFS($D$42:$D$46,"Vacant",$E$42:$E$46,"Hire")</f>
        <v>4</v>
      </c>
      <c r="K8" s="1031">
        <f>COUNTIFS($E$42:$E$46,"Offshore")</f>
        <v>0</v>
      </c>
      <c r="L8" s="1031">
        <f>COUNTIFS($E$42:$E$46,"Hold")</f>
        <v>0</v>
      </c>
      <c r="M8" s="1031">
        <f>$F8-$L8</f>
        <v>5</v>
      </c>
      <c r="N8" s="1032">
        <f>IFERROR(IF(ISNUMBER(INDEX('1.9 Commercial Fuels'!$H$24:$H$41,MATCH($B8,'1.9 Commercial Fuels'!$B$24:$B$41,0))),INDEX('1.9 Commercial Fuels'!$H$24:$H$41,MATCH($B8,'1.9 Commercial Fuels'!$B$24:$B$41,0)),""),"")</f>
        <v>2.1</v>
      </c>
      <c r="O8" s="1032">
        <f>SUMIFS('REVIEW - Complete Role Mapping'!$AE$2:$AE$700,'REVIEW - Complete Role Mapping'!$AH$2:$AH$700,$C$3,'REVIEW - Complete Role Mapping'!$AL$2:$AL$700,$B8)/1000000</f>
        <v>1.05925575</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1.05925575</v>
      </c>
      <c r="R8" s="1032">
        <f>IFERROR(ROUND(IF(COUNTIF(Lists!$AU$2:$AU$10,$B8),$O8,$Q8)-$N8,6),"")</f>
        <v>-1.040744</v>
      </c>
      <c r="S8" s="1032">
        <f>SUM($G$42:$G$46)/1000000</f>
        <v>1.05925575</v>
      </c>
      <c r="T8" s="1032">
        <f>IFERROR(ROUND($S8-$N8,6),"")</f>
        <v>-1.040744</v>
      </c>
    </row>
    <row r="9" ht="14.25" customHeight="1" s="535">
      <c r="B9" s="929" t="inlineStr">
        <is>
          <t>Trading &amp; Shipping</t>
        </is>
      </c>
      <c r="C9" s="929" t="str">
        <f>IFERROR(IF(INDEX('1.9 Commercial Fuels'!$C$24:$C$41,MATCH($B9,'1.9 Commercial Fuels'!$B$24:$B$41,0))="","",INDEX('1.9 Commercial Fuels'!$C$24:$C$41,MATCH($B9,'1.9 Commercial Fuels'!$B$24:$B$41,0))),"Not on the 1.x tab")</f>
        <v>Configuration / Integration</v>
      </c>
      <c r="D9" s="929" t="str">
        <f>IFERROR(IF(INDEX('1.9 Commercial Fuels'!$D$24:$D$41,MATCH($B9,'1.9 Commercial Fuels'!$B$24:$B$41,0))="","",INDEX('1.9 Commercial Fuels'!$D$24:$D$41,MATCH($B9,'1.9 Commercial Fuels'!$B$24:$B$41,0))),"")</f>
        <v>M</v>
      </c>
      <c r="E9" s="1030">
        <f>IFERROR(INDEX('0.3 Squad Archetypes'!$F$5:$F$23,MATCH($C9&amp;"|"&amp;$D9,'0.3 Squad Archetypes'!$A$5:$A$23,0)),"")</f>
        <v>9</v>
      </c>
      <c r="F9" s="1031">
        <f>COUNTIF($B$48:$B$59,"?*")</f>
        <v>12</v>
      </c>
      <c r="G9" s="1030">
        <f>ROUND(SUMIFS('REVIEW - Complete Role Mapping'!$P$2:$P$700,'REVIEW - Complete Role Mapping'!$AH$2:$AH$700,$C$3,'REVIEW - Complete Role Mapping'!$AL$2:$AL$700,$B9),2)</f>
        <v>12</v>
      </c>
      <c r="H9" s="1031">
        <f>COUNTIFS($D$48:$D$59,"Filled")</f>
        <v>9</v>
      </c>
      <c r="I9" s="1031">
        <f>COUNTIFS($D$48:$D$59,"Vacant")</f>
        <v>3</v>
      </c>
      <c r="J9" s="1031">
        <f>COUNTIFS($D$48:$D$59,"Vacant",$E$48:$E$59,"Hire")</f>
        <v>2</v>
      </c>
      <c r="K9" s="1031">
        <f>COUNTIFS($E$48:$E$59,"Offshore")</f>
        <v>0</v>
      </c>
      <c r="L9" s="1031">
        <f>COUNTIFS($E$48:$E$59,"Hold")</f>
        <v>1</v>
      </c>
      <c r="M9" s="1031">
        <f>$F9-$L9</f>
        <v>11</v>
      </c>
      <c r="N9" s="1032">
        <f>IFERROR(IF(ISNUMBER(INDEX('1.9 Commercial Fuels'!$H$24:$H$41,MATCH($B9,'1.9 Commercial Fuels'!$B$24:$B$41,0))),INDEX('1.9 Commercial Fuels'!$H$24:$H$41,MATCH($B9,'1.9 Commercial Fuels'!$B$24:$B$41,0)),""),"")</f>
        <v>2.1</v>
      </c>
      <c r="O9" s="1032">
        <f>SUMIFS('REVIEW - Complete Role Mapping'!$AE$2:$AE$700,'REVIEW - Complete Role Mapping'!$AH$2:$AH$700,$C$3,'REVIEW - Complete Role Mapping'!$AL$2:$AL$700,$B9)/1000000</f>
        <v>2.6791435617</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2.6791435617</v>
      </c>
      <c r="R9" s="1032">
        <f>IFERROR(ROUND(IF(COUNTIF(Lists!$AU$2:$AU$10,$B9),$O9,$Q9)-$N9,6),"")</f>
        <v>0.579144</v>
      </c>
      <c r="S9" s="1032">
        <f>SUM($G$48:$G$59)/1000000</f>
        <v>2.5565718117</v>
      </c>
      <c r="T9" s="1032">
        <f>IFERROR(ROUND($S9-$N9,6),"")</f>
        <v>0.456572</v>
      </c>
    </row>
    <row r="10" ht="14.25" customHeight="1" s="535">
      <c r="B10" s="929" t="inlineStr">
        <is>
          <t>Trading &amp; Shipping Data</t>
        </is>
      </c>
      <c r="C10" s="929" t="str">
        <f>IFERROR(IF(INDEX('1.9 Commercial Fuels'!$C$24:$C$41,MATCH($B10,'1.9 Commercial Fuels'!$B$24:$B$41,0))="","",INDEX('1.9 Commercial Fuels'!$C$24:$C$41,MATCH($B10,'1.9 Commercial Fuels'!$B$24:$B$41,0))),"Not on the 1.x tab")</f>
        <v>Enterprise Data and Insights</v>
      </c>
      <c r="D10" s="929" t="str">
        <f>IFERROR(IF(INDEX('1.9 Commercial Fuels'!$D$24:$D$41,MATCH($B10,'1.9 Commercial Fuels'!$B$24:$B$41,0))="","",INDEX('1.9 Commercial Fuels'!$D$24:$D$41,MATCH($B10,'1.9 Commercial Fuels'!$B$24:$B$41,0))),"")</f>
        <v>M</v>
      </c>
      <c r="E10" s="1030">
        <f>IFERROR(INDEX('0.3 Squad Archetypes'!$F$5:$F$23,MATCH($C10&amp;"|"&amp;$D10,'0.3 Squad Archetypes'!$A$5:$A$23,0)),"")</f>
        <v>7.5</v>
      </c>
      <c r="F10" s="1031">
        <f>COUNTIF($B$61:$B$67,"?*")</f>
        <v>7</v>
      </c>
      <c r="G10" s="1030">
        <f>ROUND(SUMIFS('REVIEW - Complete Role Mapping'!$P$2:$P$700,'REVIEW - Complete Role Mapping'!$AH$2:$AH$700,$C$3,'REVIEW - Complete Role Mapping'!$AL$2:$AL$700,$B10),2)</f>
        <v>7</v>
      </c>
      <c r="H10" s="1031">
        <f>COUNTIFS($D$61:$D$67,"Filled")</f>
        <v>7</v>
      </c>
      <c r="I10" s="1031">
        <f>COUNTIFS($D$61:$D$67,"Vacant")</f>
        <v>0</v>
      </c>
      <c r="J10" s="1031">
        <f>COUNTIFS($D$61:$D$67,"Vacant",$E$61:$E$67,"Hire")</f>
        <v>0</v>
      </c>
      <c r="K10" s="1031">
        <f>COUNTIFS($E$61:$E$67,"Offshore")</f>
        <v>0</v>
      </c>
      <c r="L10" s="1031">
        <f>COUNTIFS($E$61:$E$67,"Hold")</f>
        <v>0</v>
      </c>
      <c r="M10" s="1031">
        <f>$F10-$L10</f>
        <v>7</v>
      </c>
      <c r="N10" s="1032">
        <f>IFERROR(IF(ISNUMBER(INDEX('1.9 Commercial Fuels'!$H$24:$H$41,MATCH($B10,'1.9 Commercial Fuels'!$B$24:$B$41,0))),INDEX('1.9 Commercial Fuels'!$H$24:$H$41,MATCH($B10,'1.9 Commercial Fuels'!$B$24:$B$41,0)),""),"")</f>
        <v>0.68</v>
      </c>
      <c r="O10" s="1032">
        <f>SUMIFS('REVIEW - Complete Role Mapping'!$AE$2:$AE$700,'REVIEW - Complete Role Mapping'!$AH$2:$AH$700,$C$3,'REVIEW - Complete Role Mapping'!$AL$2:$AL$700,$B10)/1000000</f>
        <v>2.106168849</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2.106168849</v>
      </c>
      <c r="R10" s="1032">
        <f>IFERROR(ROUND(IF(COUNTIF(Lists!$AU$2:$AU$10,$B10),$O10,$Q10)-$N10,6),"")</f>
        <v>1.426169</v>
      </c>
      <c r="S10" s="1032">
        <f>SUM($G$61:$G$67)/1000000</f>
        <v>2.106168849</v>
      </c>
      <c r="T10" s="1032">
        <f>IFERROR(ROUND($S10-$N10,6),"")</f>
        <v>1.426169</v>
      </c>
    </row>
    <row r="11" ht="14.25" customHeight="1" s="535">
      <c r="B11" s="1033" t="inlineStr">
        <is>
          <t>Squads total</t>
        </is>
      </c>
      <c r="C11" s="1033" t="n"/>
      <c r="D11" s="1033" t="n"/>
      <c r="E11" s="1034">
        <f>SUM(E8:E10)</f>
        <v>25.5</v>
      </c>
      <c r="F11" s="1035">
        <f>SUM(F8:F10)</f>
        <v>24</v>
      </c>
      <c r="G11" s="1034">
        <f>SUM(G8:G10)</f>
        <v>24</v>
      </c>
      <c r="H11" s="1035">
        <f>SUM(H8:H10)</f>
        <v>17</v>
      </c>
      <c r="I11" s="1035">
        <f>SUM(I8:I10)</f>
        <v>7</v>
      </c>
      <c r="J11" s="1035">
        <f>SUM(J8:J10)</f>
        <v>6</v>
      </c>
      <c r="K11" s="1035">
        <f>SUM(K8:K10)</f>
        <v>0</v>
      </c>
      <c r="L11" s="1035">
        <f>SUM(L8:L10)</f>
        <v>1</v>
      </c>
      <c r="M11" s="1035">
        <f>SUM(M8:M10)</f>
        <v>23</v>
      </c>
      <c r="N11" s="1036">
        <f>IF(COUNT(N8:N10)=0,"",SUM(N8:N10))</f>
        <v>4.88</v>
      </c>
      <c r="O11" s="1036">
        <f>SUM(O8:O10)</f>
        <v>5.8445681607</v>
      </c>
      <c r="P11" s="1036">
        <f>SUM(P8:P10)</f>
        <v>0</v>
      </c>
      <c r="Q11" s="1036">
        <f>SUM(Q8:Q10)</f>
        <v>5.8445681607</v>
      </c>
      <c r="R11" s="1036">
        <f>IF(COUNT(N8:N10)=3,ROUND($O11-$N11,6),"")</f>
        <v>0.964568</v>
      </c>
      <c r="S11" s="1036">
        <f>SUM(S8:S10)</f>
        <v>5.7219964107</v>
      </c>
      <c r="T11" s="1036">
        <f>IF(COUNT(N8:N10)=3,ROUND($S11-$N11,6),"")</f>
        <v>0.841996</v>
      </c>
    </row>
    <row r="12" ht="14.25" customHeight="1" s="535">
      <c r="B12" s="1029" t="inlineStr">
        <is>
          <t>Directly funded programs and platforms</t>
        </is>
      </c>
      <c r="C12" s="1029" t="n"/>
      <c r="D12" s="1029" t="n"/>
      <c r="E12" s="1029" t="n"/>
      <c r="F12" s="1029" t="n"/>
      <c r="G12" s="1029" t="n"/>
      <c r="H12" s="1029" t="n"/>
      <c r="I12" s="1029" t="n"/>
      <c r="J12" s="1029" t="n"/>
      <c r="K12" s="1029" t="n"/>
      <c r="L12" s="1029" t="n"/>
      <c r="M12" s="1029" t="n"/>
      <c r="N12" s="1029" t="n"/>
      <c r="O12" s="1029" t="n"/>
      <c r="P12" s="1029" t="n"/>
      <c r="Q12" s="1029" t="n"/>
      <c r="R12" s="1029" t="n"/>
      <c r="S12" s="1029" t="n"/>
      <c r="T12" s="1029" t="n"/>
    </row>
    <row r="13" ht="14.25" customHeight="1" s="535">
      <c r="B13" s="929" t="inlineStr">
        <is>
          <t>CTRM</t>
        </is>
      </c>
      <c r="C13" s="929" t="str">
        <f>IFERROR(IF(INDEX('1.9 Commercial Fuels'!$C$24:$C$41,MATCH($B13,'1.9 Commercial Fuels'!$B$24:$B$41,0))="","",INDEX('1.9 Commercial Fuels'!$C$24:$C$41,MATCH($B13,'1.9 Commercial Fuels'!$B$24:$B$41,0))),"Not on the 1.x tab")</f>
        <v>Strategic Programs</v>
      </c>
      <c r="D13" s="929">
        <f>IFERROR(IF(INDEX('1.9 Commercial Fuels'!$D$24:$D$41,MATCH($B13,'1.9 Commercial Fuels'!$B$24:$B$41,0))="","",INDEX('1.9 Commercial Fuels'!$D$24:$D$41,MATCH($B13,'1.9 Commercial Fuels'!$B$24:$B$41,0))),"")</f>
        <v/>
      </c>
      <c r="E13" s="1030">
        <f>""</f>
        <v/>
      </c>
      <c r="F13" s="1031">
        <f>COUNTIF($B$27:$B$40,"?*")</f>
        <v>14</v>
      </c>
      <c r="G13" s="1030">
        <f>ROUND(SUMIFS('REVIEW - Complete Role Mapping'!$P$2:$P$700,'REVIEW - Complete Role Mapping'!$AH$2:$AH$700,$C$3,'REVIEW - Complete Role Mapping'!$AL$2:$AL$700,$B13),2)</f>
        <v>14</v>
      </c>
      <c r="H13" s="1031">
        <f>COUNTIFS($D$27:$D$40,"Filled")</f>
        <v>14</v>
      </c>
      <c r="I13" s="1031">
        <f>COUNTIFS($D$27:$D$40,"Vacant")</f>
        <v>0</v>
      </c>
      <c r="J13" s="1031">
        <f>COUNTIFS($D$27:$D$40,"Vacant",$E$27:$E$40,"Hire")</f>
        <v>0</v>
      </c>
      <c r="K13" s="1031">
        <f>COUNTIFS($E$27:$E$40,"Offshore")</f>
        <v>0</v>
      </c>
      <c r="L13" s="1031">
        <f>COUNTIFS($E$27:$E$40,"Hold")</f>
        <v>0</v>
      </c>
      <c r="M13" s="1031">
        <f>$F13-$L13</f>
        <v>14</v>
      </c>
      <c r="N13" s="1032">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032">
        <f>SUMIFS('REVIEW - Complete Role Mapping'!$AE$2:$AE$700,'REVIEW - Complete Role Mapping'!$AH$2:$AH$700,$C$3,'REVIEW - Complete Role Mapping'!$AL$2:$AL$700,$B13)/1000000</f>
        <v>3.221759232</v>
      </c>
      <c r="P13" s="1032">
        <f>IFERROR(IF(ISNUMBER(INDEX(Lists!$AW$2:$AW$10,MATCH($B13,Lists!$AU$2:$AU$10,0))),INDEX(Lists!$AW$2:$AW$10,MATCH($B13,Lists!$AU$2:$AU$10,0)),SUMIFS('REVIEW - Complete Role Mapping'!$AE$2:$AE$700,'REVIEW - Complete Role Mapping'!$AH$2:$AH$700,$C$3,'REVIEW - Complete Role Mapping'!$AL$2:$AL$700,$B13,'REVIEW - Complete Role Mapping'!$AM$2:$AM$700,1)/1000000),SUMIFS('REVIEW - Complete Role Mapping'!$AE$2:$AE$700,'REVIEW - Complete Role Mapping'!$AH$2:$AH$700,$C$3,'REVIEW - Complete Role Mapping'!$AL$2:$AL$700,$B13,'REVIEW - Complete Role Mapping'!$AM$2:$AM$700,1)/1000000)</f>
        <v>3.8</v>
      </c>
      <c r="Q13" s="1032">
        <f>$O13-$P13</f>
        <v>-0.578240768</v>
      </c>
      <c r="R13" s="1032">
        <f>IFERROR(ROUND(IF(COUNTIF(Lists!$AU$2:$AU$10,$B13),$O13,$Q13)-$N13,6),"")</f>
        <v>-0.578241</v>
      </c>
      <c r="S13" s="1032">
        <f>SUM($G$27:$G$40)/1000000</f>
        <v>3.221759232</v>
      </c>
      <c r="T13" s="1032">
        <f>IFERROR(ROUND($S13-$N13,6),"")</f>
        <v>-0.578241</v>
      </c>
    </row>
    <row r="14" ht="14.25" customHeight="1" s="535">
      <c r="B14" s="1029" t="inlineStr">
        <is>
          <t>Overhead roles</t>
        </is>
      </c>
      <c r="C14" s="1029" t="n"/>
      <c r="D14" s="1029" t="n"/>
      <c r="E14" s="1029" t="n"/>
      <c r="F14" s="1029" t="n"/>
      <c r="G14" s="1029" t="n"/>
      <c r="H14" s="1029" t="n"/>
      <c r="I14" s="1029" t="n"/>
      <c r="J14" s="1029" t="n"/>
      <c r="K14" s="1029" t="n"/>
      <c r="L14" s="1029" t="n"/>
      <c r="M14" s="1029" t="n"/>
      <c r="N14" s="1029" t="n"/>
      <c r="O14" s="1029" t="n"/>
      <c r="P14" s="1029" t="n"/>
      <c r="Q14" s="1029" t="n"/>
      <c r="R14" s="1029" t="n"/>
      <c r="S14" s="1029" t="n"/>
      <c r="T14" s="1029" t="n"/>
    </row>
    <row r="15" ht="14.25" customHeight="1" s="535">
      <c r="B15" s="929" t="inlineStr">
        <is>
          <t>Head of Technology</t>
        </is>
      </c>
      <c r="C15" s="929">
        <f>""</f>
        <v/>
      </c>
      <c r="D15" s="929">
        <f>""</f>
        <v/>
      </c>
      <c r="E15" s="1030">
        <f>'0.2 Data Config'!$M$6</f>
        <v>0.5</v>
      </c>
      <c r="F15" s="1031">
        <f>COUNTIF($B$69:$B$69,"?*")</f>
        <v>1</v>
      </c>
      <c r="G15" s="1030">
        <f>ROUND(SUMIFS('REVIEW - Complete Role Mapping'!$P$2:$P$700,'REVIEW - Complete Role Mapping'!$AH$2:$AH$700,$C$3,'REVIEW - Complete Role Mapping'!$AL$2:$AL$700,$B15),2)</f>
        <v>1</v>
      </c>
      <c r="H15" s="1031">
        <f>COUNTIFS($D$69:$D$69,"Filled")</f>
        <v>1</v>
      </c>
      <c r="I15" s="1031">
        <f>COUNTIFS($D$69:$D$69,"Vacant")</f>
        <v>0</v>
      </c>
      <c r="J15" s="1031">
        <f>COUNTIFS($D$69:$D$69,"Vacant",$E$69:$E$69,"Hire")</f>
        <v>0</v>
      </c>
      <c r="K15" s="1031">
        <f>COUNTIFS($E$69:$E$69,"Offshore")</f>
        <v>0</v>
      </c>
      <c r="L15" s="1031">
        <f>COUNTIFS($E$69:$E$69,"Hold")</f>
        <v>0</v>
      </c>
      <c r="M15" s="1031">
        <f>$F15-$L15</f>
        <v>1</v>
      </c>
      <c r="N15" s="1032">
        <f>'0.2 Data Config'!$N$6</f>
        <v>0.1375</v>
      </c>
      <c r="O15" s="1032">
        <f>SUMIFS('REVIEW - Complete Role Mapping'!$AE$2:$AE$700,'REVIEW - Complete Role Mapping'!$AH$2:$AH$700,$C$3,'REVIEW - Complete Role Mapping'!$AL$2:$AL$700,$B15)/1000000</f>
        <v>0.292434736</v>
      </c>
      <c r="P15" s="1032">
        <f>IFERROR(IF(ISNUMBER(INDEX(Lists!$AW$2:$AW$10,MATCH($B15,Lists!$AU$2:$AU$10,0))),INDEX(Lists!$AW$2:$AW$10,MATCH($B15,Lists!$AU$2:$AU$10,0)),SUMIFS('REVIEW - Complete Role Mapping'!$AE$2:$AE$700,'REVIEW - Complete Role Mapping'!$AH$2:$AH$700,$C$3,'REVIEW - Complete Role Mapping'!$AL$2:$AL$700,$B15,'REVIEW - Complete Role Mapping'!$AM$2:$AM$700,1)/1000000),SUMIFS('REVIEW - Complete Role Mapping'!$AE$2:$AE$700,'REVIEW - Complete Role Mapping'!$AH$2:$AH$700,$C$3,'REVIEW - Complete Role Mapping'!$AL$2:$AL$700,$B15,'REVIEW - Complete Role Mapping'!$AM$2:$AM$700,1)/1000000)</f>
        <v>0</v>
      </c>
      <c r="Q15" s="1032">
        <f>$O15-$P15</f>
        <v>0.292434736</v>
      </c>
      <c r="R15" s="1032">
        <f>ROUND(IF(COUNTIF(Lists!$AU$2:$AU$10,$B15),$O15,$Q15)-$N15,6)</f>
        <v>0.154935</v>
      </c>
      <c r="S15" s="1032">
        <f>SUM($G$69:$G$69)/1000000</f>
        <v>0.292434736</v>
      </c>
      <c r="T15" s="1032">
        <f>ROUND($S15-$N15,6)</f>
        <v>0.154935</v>
      </c>
    </row>
    <row r="16" ht="14.25" customHeight="1" s="535">
      <c r="B16" s="929" t="inlineStr">
        <is>
          <t>Delivery Manager</t>
        </is>
      </c>
      <c r="C16" s="929">
        <f>""</f>
        <v/>
      </c>
      <c r="D16" s="929">
        <f>""</f>
        <v/>
      </c>
      <c r="E16" s="1030">
        <f>'0.2 Data Config'!$M$14*(N('1.9 Commercial Fuels'!$F$7)/'0.2 Data Config'!$N$16)</f>
        <v>0.9</v>
      </c>
      <c r="F16" s="1031">
        <f>COUNTIF($B$71:$B$71,"?*")</f>
        <v>1</v>
      </c>
      <c r="G16" s="1030">
        <f>ROUND(SUMIFS('REVIEW - Complete Role Mapping'!$P$2:$P$700,'REVIEW - Complete Role Mapping'!$AH$2:$AH$700,$C$3,'REVIEW - Complete Role Mapping'!$AL$2:$AL$700,$B16),2)</f>
        <v>1</v>
      </c>
      <c r="H16" s="1031">
        <f>COUNTIFS($D$71:$D$71,"Filled")</f>
        <v>0</v>
      </c>
      <c r="I16" s="1031">
        <f>COUNTIFS($D$71:$D$71,"Vacant")</f>
        <v>1</v>
      </c>
      <c r="J16" s="1031">
        <f>COUNTIFS($D$71:$D$71,"Vacant",$E$71:$E$71,"Hire")</f>
        <v>1</v>
      </c>
      <c r="K16" s="1031">
        <f>COUNTIFS($E$71:$E$71,"Offshore")</f>
        <v>0</v>
      </c>
      <c r="L16" s="1031">
        <f>COUNTIFS($E$71:$E$71,"Hold")</f>
        <v>0</v>
      </c>
      <c r="M16" s="1031">
        <f>$F16-$L16</f>
        <v>1</v>
      </c>
      <c r="N16" s="1032">
        <f>'0.2 Data Config'!$N$14*(N('1.9 Commercial Fuels'!$F$7)/'0.2 Data Config'!$N$16)</f>
        <v>0.252</v>
      </c>
      <c r="O16" s="1032">
        <f>SUMIFS('REVIEW - Complete Role Mapping'!$AE$2:$AE$700,'REVIEW - Complete Role Mapping'!$AH$2:$AH$700,$C$3,'REVIEW - Complete Role Mapping'!$AL$2:$AL$700,$B16)/1000000</f>
        <v>0.27581025</v>
      </c>
      <c r="P16" s="1032">
        <f>IFERROR(IF(ISNUMBER(INDEX(Lists!$AW$2:$AW$10,MATCH($B16,Lists!$AU$2:$AU$10,0))),INDEX(Lists!$AW$2:$AW$10,MATCH($B16,Lists!$AU$2:$AU$10,0)),SUMIFS('REVIEW - Complete Role Mapping'!$AE$2:$AE$700,'REVIEW - Complete Role Mapping'!$AH$2:$AH$700,$C$3,'REVIEW - Complete Role Mapping'!$AL$2:$AL$700,$B16,'REVIEW - Complete Role Mapping'!$AM$2:$AM$700,1)/1000000),SUMIFS('REVIEW - Complete Role Mapping'!$AE$2:$AE$700,'REVIEW - Complete Role Mapping'!$AH$2:$AH$700,$C$3,'REVIEW - Complete Role Mapping'!$AL$2:$AL$700,$B16,'REVIEW - Complete Role Mapping'!$AM$2:$AM$700,1)/1000000)</f>
        <v>0</v>
      </c>
      <c r="Q16" s="1032">
        <f>$O16-$P16</f>
        <v>0.27581025</v>
      </c>
      <c r="R16" s="1032">
        <f>ROUND(IF(COUNTIF(Lists!$AU$2:$AU$10,$B16),$O16,$Q16)-$N16,6)</f>
        <v>0.02381</v>
      </c>
      <c r="S16" s="1032">
        <f>SUM($G$71:$G$71)/1000000</f>
        <v>0.27581025</v>
      </c>
      <c r="T16" s="1032">
        <f>ROUND($S16-$N16,6)</f>
        <v>0.02381</v>
      </c>
    </row>
    <row r="17" ht="14.25" customHeight="1" s="535">
      <c r="B17" s="929" t="inlineStr">
        <is>
          <t>Technology Manager</t>
        </is>
      </c>
      <c r="C17" s="929">
        <f>""</f>
        <v/>
      </c>
      <c r="D17" s="929">
        <f>""</f>
        <v/>
      </c>
      <c r="E17" s="1030">
        <f>'0.2 Data Config'!$M$15*(N('1.9 Commercial Fuels'!$F$7)/'0.2 Data Config'!$N$16)</f>
        <v>0.9</v>
      </c>
      <c r="F17" s="1031">
        <f>COUNTIF($B$73:$B$74,"?*")</f>
        <v>2</v>
      </c>
      <c r="G17" s="1030">
        <f>ROUND(SUMIFS('REVIEW - Complete Role Mapping'!$P$2:$P$700,'REVIEW - Complete Role Mapping'!$AH$2:$AH$700,$C$3,'REVIEW - Complete Role Mapping'!$AL$2:$AL$700,$B17),2)</f>
        <v>2</v>
      </c>
      <c r="H17" s="1031">
        <f>COUNTIFS($D$73:$D$74,"Filled")</f>
        <v>1</v>
      </c>
      <c r="I17" s="1031">
        <f>COUNTIFS($D$73:$D$74,"Vacant")</f>
        <v>1</v>
      </c>
      <c r="J17" s="1031">
        <f>COUNTIFS($D$73:$D$74,"Vacant",$E$73:$E$74,"Hire")</f>
        <v>1</v>
      </c>
      <c r="K17" s="1031">
        <f>COUNTIFS($E$73:$E$74,"Offshore")</f>
        <v>0</v>
      </c>
      <c r="L17" s="1031">
        <f>COUNTIFS($E$73:$E$74,"Hold")</f>
        <v>0</v>
      </c>
      <c r="M17" s="1031">
        <f>$F17-$L17</f>
        <v>2</v>
      </c>
      <c r="N17" s="1032">
        <f>'0.2 Data Config'!$N$15*(N('1.9 Commercial Fuels'!$F$7)/'0.2 Data Config'!$N$16)</f>
        <v>0.243</v>
      </c>
      <c r="O17" s="1032">
        <f>SUMIFS('REVIEW - Complete Role Mapping'!$AE$2:$AE$700,'REVIEW - Complete Role Mapping'!$AH$2:$AH$700,$C$3,'REVIEW - Complete Role Mapping'!$AL$2:$AL$700,$B17)/1000000</f>
        <v>0.56309735</v>
      </c>
      <c r="P17" s="1032">
        <f>IFERROR(IF(ISNUMBER(INDEX(Lists!$AW$2:$AW$10,MATCH($B17,Lists!$AU$2:$AU$10,0))),INDEX(Lists!$AW$2:$AW$10,MATCH($B17,Lists!$AU$2:$AU$10,0)),SUMIFS('REVIEW - Complete Role Mapping'!$AE$2:$AE$700,'REVIEW - Complete Role Mapping'!$AH$2:$AH$700,$C$3,'REVIEW - Complete Role Mapping'!$AL$2:$AL$700,$B17,'REVIEW - Complete Role Mapping'!$AM$2:$AM$700,1)/1000000),SUMIFS('REVIEW - Complete Role Mapping'!$AE$2:$AE$700,'REVIEW - Complete Role Mapping'!$AH$2:$AH$700,$C$3,'REVIEW - Complete Role Mapping'!$AL$2:$AL$700,$B17,'REVIEW - Complete Role Mapping'!$AM$2:$AM$700,1)/1000000)</f>
        <v>0</v>
      </c>
      <c r="Q17" s="1032">
        <f>$O17-$P17</f>
        <v>0.56309735</v>
      </c>
      <c r="R17" s="1032">
        <f>ROUND(IF(COUNTIF(Lists!$AU$2:$AU$10,$B17),$O17,$Q17)-$N17,6)</f>
        <v>0.320097</v>
      </c>
      <c r="S17" s="1032">
        <f>SUM($G$73:$G$74)/1000000</f>
        <v>0.56309735</v>
      </c>
      <c r="T17" s="1032">
        <f>ROUND($S17-$N17,6)</f>
        <v>0.320097</v>
      </c>
    </row>
    <row r="18" ht="14.25" customHeight="1" s="535">
      <c r="B18" s="1033" t="inlineStr">
        <is>
          <t>Overhead roles total</t>
        </is>
      </c>
      <c r="C18" s="1033" t="n"/>
      <c r="D18" s="1033" t="n"/>
      <c r="E18" s="1034">
        <f>SUM(E15:E17)</f>
        <v>2.3</v>
      </c>
      <c r="F18" s="1035">
        <f>SUM(F15:F17)</f>
        <v>4</v>
      </c>
      <c r="G18" s="1034">
        <f>SUM(G15:G17)</f>
        <v>4</v>
      </c>
      <c r="H18" s="1035">
        <f>SUM(H15:H17)</f>
        <v>2</v>
      </c>
      <c r="I18" s="1035">
        <f>SUM(I15:I17)</f>
        <v>2</v>
      </c>
      <c r="J18" s="1035">
        <f>SUM(J15:J17)</f>
        <v>2</v>
      </c>
      <c r="K18" s="1035">
        <f>SUM(K15:K17)</f>
        <v>0</v>
      </c>
      <c r="L18" s="1035">
        <f>SUM(L15:L17)</f>
        <v>0</v>
      </c>
      <c r="M18" s="1035">
        <f>SUM(M15:M17)</f>
        <v>4</v>
      </c>
      <c r="N18" s="1036">
        <f>IF(COUNT(N15:N17)=0,"",SUM(N15:N17))</f>
        <v>0.6325</v>
      </c>
      <c r="O18" s="1036">
        <f>SUM(O15:O17)</f>
        <v>1.131342336</v>
      </c>
      <c r="P18" s="1036">
        <f>SUM(P15:P17)</f>
        <v>0</v>
      </c>
      <c r="Q18" s="1036">
        <f>SUM(Q15:Q17)</f>
        <v>1.131342336</v>
      </c>
      <c r="R18" s="1036">
        <f>IF(COUNT(N15:N17)=3,ROUND($O18-$N18,6),"")</f>
        <v>0.498842</v>
      </c>
      <c r="S18" s="1036">
        <f>SUM(S15:S17)</f>
        <v>1.131342336</v>
      </c>
      <c r="T18" s="1036">
        <f>IF(COUNT(N15:N17)=3,ROUND($S18-$N18,6),"")</f>
        <v>0.498842</v>
      </c>
    </row>
    <row r="19" ht="14.25" customHeight="1" s="535">
      <c r="B19" s="1037" t="inlineStr">
        <is>
          <t>Portfolio overhead roles (Business Partner, Domain Architect, Leadership) (Required to show archetype FTE)</t>
        </is>
      </c>
      <c r="D19" s="1038">
        <f>""</f>
        <v/>
      </c>
      <c r="E19" s="1030">
        <f>ROUND(SUM('0.2 Data Config'!$M$6:$M$9)*(N('1.9 Commercial Fuels'!$F$6)/'0.2 Data Config'!$N$10)-(N($E15)),6)</f>
        <v>1.3</v>
      </c>
      <c r="F19" s="1038">
        <f>""</f>
        <v/>
      </c>
      <c r="G19" s="1038">
        <f>""</f>
        <v/>
      </c>
      <c r="H19" s="1038">
        <f>""</f>
        <v/>
      </c>
      <c r="I19" s="1038">
        <f>""</f>
        <v/>
      </c>
      <c r="J19" s="1038">
        <f>""</f>
        <v/>
      </c>
      <c r="K19" s="1038">
        <f>""</f>
        <v/>
      </c>
      <c r="L19" s="1038">
        <f>""</f>
        <v/>
      </c>
      <c r="M19" s="1038">
        <f>""</f>
        <v/>
      </c>
      <c r="N19" s="1032">
        <f>ROUND(N('1.9 Commercial Fuels'!$F$6)-(N($N15)),6)</f>
        <v>0.66</v>
      </c>
      <c r="O19" s="1038">
        <f>""</f>
        <v/>
      </c>
      <c r="P19" s="1038">
        <f>""</f>
        <v/>
      </c>
      <c r="Q19" s="1038">
        <f>""</f>
        <v/>
      </c>
      <c r="R19" s="1038">
        <f>""</f>
        <v/>
      </c>
      <c r="S19" s="1038">
        <f>""</f>
        <v/>
      </c>
      <c r="T19" s="1038">
        <f>""</f>
        <v/>
      </c>
    </row>
    <row r="20" ht="14.25" customHeight="1" s="535">
      <c r="B20" s="1037" t="inlineStr">
        <is>
          <t>Business Partners and Domain Architects sit in the COEs</t>
        </is>
      </c>
    </row>
    <row r="21" ht="14.25" customHeight="1" s="535">
      <c r="B21" s="886" t="inlineStr">
        <is>
          <t>Total portfolio</t>
        </is>
      </c>
      <c r="C21" s="886" t="n"/>
      <c r="D21" s="886" t="n"/>
      <c r="E21" s="888">
        <f>SUM(E8:E10,E13:E13,E15:E17,E19:E19)</f>
        <v>29.1</v>
      </c>
      <c r="F21" s="1039">
        <f>SUM(F8:F10,F13:F13,F15:F17,F19:F19)</f>
        <v>42</v>
      </c>
      <c r="G21" s="888">
        <f>SUM(G8:G10,G13:G13,G15:G17,G19:G19)</f>
        <v>42</v>
      </c>
      <c r="H21" s="1039">
        <f>SUM(H8:H10,H13:H13,H15:H17,H19:H19)</f>
        <v>33</v>
      </c>
      <c r="I21" s="1039">
        <f>SUM(I8:I10,I13:I13,I15:I17,I19:I19)</f>
        <v>9</v>
      </c>
      <c r="J21" s="1039">
        <f>SUM(J8:J10,J13:J13,J15:J17,J19:J19)</f>
        <v>8</v>
      </c>
      <c r="K21" s="1039">
        <f>SUM(K8:K10,K13:K13,K15:K17,K19:K19)</f>
        <v>0</v>
      </c>
      <c r="L21" s="1039">
        <f>SUM(L8:L10,L13:L13,L15:L17,L19:L19)</f>
        <v>1</v>
      </c>
      <c r="M21" s="1039">
        <f>SUM(M8:M10,M13:M13,M15:M17,M19:M19)</f>
        <v>41</v>
      </c>
      <c r="N21" s="889">
        <f>IF(COUNT(N8:N10,N13:N13,N15:N17,N19:N19)=0,"",SUM(N8:N10,N13:N13,N15:N17,N19:N19))</f>
        <v>9.9725</v>
      </c>
      <c r="O21" s="889">
        <f>SUM(O8:O10,O13:O13,O15:O17,O19:O19)</f>
        <v>10.1976697287</v>
      </c>
      <c r="P21" s="889">
        <f>SUM(P8:P10,P13:P13,P15:P17,P19:P19)</f>
        <v>3.8</v>
      </c>
      <c r="Q21" s="889">
        <f>SUM(Q8:Q10,Q13:Q13,Q15:Q17,Q19:Q19)</f>
        <v>6.3976697287</v>
      </c>
      <c r="R21" s="889">
        <f>IF(ISNUMBER($N21),ROUND($O21-$N21,6),"")</f>
        <v>0.22517</v>
      </c>
      <c r="S21" s="889">
        <f>SUM(S8:S10,S13:S13,S15:S17,S19:S19)</f>
        <v>10.0750979787</v>
      </c>
      <c r="T21" s="889">
        <f>IF(ISNUMBER($N21),ROUND($S21-$N21,6),"")</f>
        <v>0.102598</v>
      </c>
    </row>
    <row r="22"/>
    <row r="23"/>
    <row r="24" ht="18.75" customHeight="1" s="535">
      <c r="B24" s="537" t="inlineStr">
        <is>
          <t>Commercial Fuels FTE</t>
        </is>
      </c>
      <c r="C24" s="538" t="n"/>
      <c r="D24" s="538" t="n"/>
      <c r="E24" s="538" t="n"/>
      <c r="F24" s="538" t="n"/>
      <c r="G24" s="538" t="n"/>
      <c r="H24" s="929" t="inlineStr">
        <is>
          <t>Vacancy lever: Hire prices the role in full, Hold prices it at 0, Offshore at the Offshore rate set on 0.3 Squad Archetypes.</t>
        </is>
      </c>
    </row>
    <row r="25" ht="33.75" customHeight="1" s="535">
      <c r="A25" s="1040" t="inlineStr">
        <is>
          <t>ID</t>
        </is>
      </c>
      <c r="B25" s="877" t="inlineStr">
        <is>
          <t>Name</t>
        </is>
      </c>
      <c r="C25" s="877" t="inlineStr">
        <is>
          <t>Role</t>
        </is>
      </c>
      <c r="D25" s="877" t="inlineStr">
        <is>
          <t>Status</t>
        </is>
      </c>
      <c r="E25" s="877" t="inlineStr">
        <is>
          <t>Vacancy lever</t>
        </is>
      </c>
      <c r="F25" s="877" t="inlineStr">
        <is>
          <t>Role cost ($)</t>
        </is>
      </c>
      <c r="G25" s="877" t="inlineStr">
        <is>
          <t>Cost after lever ($)</t>
        </is>
      </c>
    </row>
    <row r="26" ht="14.25" customHeight="1" s="535">
      <c r="B26" s="1029" t="inlineStr">
        <is>
          <t>CTRM</t>
        </is>
      </c>
      <c r="C26" s="1029" t="str">
        <f>COUNTIF($B$27:$B$40,"?*")&amp;IF(COUNTIF($B$27:$B$40,"?*")=1," role"," roles")</f>
        <v>14 roles</v>
      </c>
      <c r="D26" s="1029" t="n"/>
      <c r="E26" s="1029" t="n"/>
      <c r="F26" s="1044">
        <f>SUM(F27:F40)</f>
        <v>3221759.232</v>
      </c>
      <c r="G26" s="1044">
        <f>SUM(G27:G40)</f>
        <v>3221759.232</v>
      </c>
    </row>
    <row r="27" ht="14.25" customHeight="1" s="535">
      <c r="A27" s="1045" t="inlineStr">
        <is>
          <t>R0101</t>
        </is>
      </c>
      <c r="B27" s="929" t="str">
        <f>INDEX('REVIEW - Complete Role Mapping'!$B$2:$B$700,MATCH($A27,'REVIEW - Complete Role Mapping'!$AQ$2:$AQ$700,0))</f>
        <v>Carl Russo</v>
      </c>
      <c r="C27" s="929" t="str">
        <f>INDEX('REVIEW - Complete Role Mapping'!$D$2:$D$700,MATCH($A27,'REVIEW - Complete Role Mapping'!$AQ$2:$AQ$700,0))</f>
        <v>Program Manager - CTRM</v>
      </c>
      <c r="D27" s="929" t="str">
        <f>INDEX('REVIEW - Complete Role Mapping'!$AF$2:$AF$700,MATCH($A27,'REVIEW - Complete Role Mapping'!$AQ$2:$AQ$700,0))</f>
        <v>Filled</v>
      </c>
      <c r="E27" s="543" t="inlineStr">
        <is>
          <t>Filled</t>
        </is>
      </c>
      <c r="F27" s="1031">
        <f>INDEX('REVIEW - Complete Role Mapping'!$AE$2:$AE$700,MATCH($A27,'REVIEW - Complete Role Mapping'!$AQ$2:$AQ$700,0))</f>
        <v>323695.95</v>
      </c>
      <c r="G27" s="1031">
        <f>$F27*IF(ISNUMBER(SEARCH("WIPRO",INDEX('REVIEW - Complete Role Mapping'!$R$2:$R$700,MATCH($A27,'REVIEW - Complete Role Mapping'!$AQ$2:$AQ$700,0)))),1,IFERROR(INDEX(Lists!$AD$2:$AD$5,MATCH($E27,Lists!$AC$2:$AC$5,0)),NA()))</f>
        <v>323695.95</v>
      </c>
    </row>
    <row r="28" ht="14.25" customHeight="1" s="535">
      <c r="A28" s="1045" t="inlineStr">
        <is>
          <t>R0145</t>
        </is>
      </c>
      <c r="B28" s="929" t="str">
        <f>INDEX('REVIEW - Complete Role Mapping'!$B$2:$B$700,MATCH($A28,'REVIEW - Complete Role Mapping'!$AQ$2:$AQ$700,0))</f>
        <v>Trung Truong</v>
      </c>
      <c r="C28" s="929" t="str">
        <f>INDEX('REVIEW - Complete Role Mapping'!$D$2:$D$700,MATCH($A28,'REVIEW - Complete Role Mapping'!$AQ$2:$AQ$700,0))</f>
        <v>Engineer Applications</v>
      </c>
      <c r="D28" s="929" t="str">
        <f>INDEX('REVIEW - Complete Role Mapping'!$AF$2:$AF$700,MATCH($A28,'REVIEW - Complete Role Mapping'!$AQ$2:$AQ$700,0))</f>
        <v>Filled</v>
      </c>
      <c r="E28" s="543" t="inlineStr">
        <is>
          <t>Filled</t>
        </is>
      </c>
      <c r="F28" s="1031">
        <f>INDEX('REVIEW - Complete Role Mapping'!$AE$2:$AE$700,MATCH($A28,'REVIEW - Complete Role Mapping'!$AQ$2:$AQ$700,0))</f>
        <v>304660.5</v>
      </c>
      <c r="G28" s="1031">
        <f>$F28*IF(ISNUMBER(SEARCH("WIPRO",INDEX('REVIEW - Complete Role Mapping'!$R$2:$R$700,MATCH($A28,'REVIEW - Complete Role Mapping'!$AQ$2:$AQ$700,0)))),1,IFERROR(INDEX(Lists!$AD$2:$AD$5,MATCH($E28,Lists!$AC$2:$AC$5,0)),NA()))</f>
        <v>304660.5</v>
      </c>
    </row>
    <row r="29" ht="14.25" customHeight="1" s="535">
      <c r="A29" s="1045" t="inlineStr">
        <is>
          <t>R0146</t>
        </is>
      </c>
      <c r="B29" s="929" t="str">
        <f>INDEX('REVIEW - Complete Role Mapping'!$B$2:$B$700,MATCH($A29,'REVIEW - Complete Role Mapping'!$AQ$2:$AQ$700,0))</f>
        <v>Zhan Liu</v>
      </c>
      <c r="C29" s="929" t="str">
        <f>INDEX('REVIEW - Complete Role Mapping'!$D$2:$D$700,MATCH($A29,'REVIEW - Complete Role Mapping'!$AQ$2:$AQ$700,0))</f>
        <v>Engineer Applications</v>
      </c>
      <c r="D29" s="929" t="str">
        <f>INDEX('REVIEW - Complete Role Mapping'!$AF$2:$AF$700,MATCH($A29,'REVIEW - Complete Role Mapping'!$AQ$2:$AQ$700,0))</f>
        <v>Filled</v>
      </c>
      <c r="E29" s="543" t="inlineStr">
        <is>
          <t>Filled</t>
        </is>
      </c>
      <c r="F29" s="1031">
        <f>INDEX('REVIEW - Complete Role Mapping'!$AE$2:$AE$700,MATCH($A29,'REVIEW - Complete Role Mapping'!$AQ$2:$AQ$700,0))</f>
        <v>221249.55</v>
      </c>
      <c r="G29" s="1031">
        <f>$F29*IF(ISNUMBER(SEARCH("WIPRO",INDEX('REVIEW - Complete Role Mapping'!$R$2:$R$700,MATCH($A29,'REVIEW - Complete Role Mapping'!$AQ$2:$AQ$700,0)))),1,IFERROR(INDEX(Lists!$AD$2:$AD$5,MATCH($E29,Lists!$AC$2:$AC$5,0)),NA()))</f>
        <v>221249.55</v>
      </c>
    </row>
    <row r="30" ht="14.25" customHeight="1" s="535">
      <c r="A30" s="1045" t="inlineStr">
        <is>
          <t>R0219</t>
        </is>
      </c>
      <c r="B30" s="929" t="str">
        <f>INDEX('REVIEW - Complete Role Mapping'!$B$2:$B$700,MATCH($A30,'REVIEW - Complete Role Mapping'!$AQ$2:$AQ$700,0))</f>
        <v>Oz Shaaban</v>
      </c>
      <c r="C30" s="929" t="str">
        <f>INDEX('REVIEW - Complete Role Mapping'!$D$2:$D$700,MATCH($A30,'REVIEW - Complete Role Mapping'!$AQ$2:$AQ$700,0))</f>
        <v>Delivery Lead</v>
      </c>
      <c r="D30" s="929" t="str">
        <f>INDEX('REVIEW - Complete Role Mapping'!$AF$2:$AF$700,MATCH($A30,'REVIEW - Complete Role Mapping'!$AQ$2:$AQ$700,0))</f>
        <v>Filled</v>
      </c>
      <c r="E30" s="543" t="inlineStr">
        <is>
          <t>Filled</t>
        </is>
      </c>
      <c r="F30" s="1031">
        <f>INDEX('REVIEW - Complete Role Mapping'!$AE$2:$AE$700,MATCH($A30,'REVIEW - Complete Role Mapping'!$AQ$2:$AQ$700,0))</f>
        <v>253997.1</v>
      </c>
      <c r="G30" s="1031">
        <f>$F30*IF(ISNUMBER(SEARCH("WIPRO",INDEX('REVIEW - Complete Role Mapping'!$R$2:$R$700,MATCH($A30,'REVIEW - Complete Role Mapping'!$AQ$2:$AQ$700,0)))),1,IFERROR(INDEX(Lists!$AD$2:$AD$5,MATCH($E30,Lists!$AC$2:$AC$5,0)),NA()))</f>
        <v>253997.1</v>
      </c>
    </row>
    <row r="31" ht="14.25" customHeight="1" s="535">
      <c r="A31" s="1045" t="inlineStr">
        <is>
          <t>R0220</t>
        </is>
      </c>
      <c r="B31" s="929" t="str">
        <f>INDEX('REVIEW - Complete Role Mapping'!$B$2:$B$700,MATCH($A31,'REVIEW - Complete Role Mapping'!$AQ$2:$AQ$700,0))</f>
        <v>Rick Abainza</v>
      </c>
      <c r="C31" s="929" t="str">
        <f>INDEX('REVIEW - Complete Role Mapping'!$D$2:$D$700,MATCH($A31,'REVIEW - Complete Role Mapping'!$AQ$2:$AQ$700,0))</f>
        <v>Lead Business Analyst</v>
      </c>
      <c r="D31" s="929" t="str">
        <f>INDEX('REVIEW - Complete Role Mapping'!$AF$2:$AF$700,MATCH($A31,'REVIEW - Complete Role Mapping'!$AQ$2:$AQ$700,0))</f>
        <v>Filled</v>
      </c>
      <c r="E31" s="543" t="inlineStr">
        <is>
          <t>Filled</t>
        </is>
      </c>
      <c r="F31" s="1031">
        <f>INDEX('REVIEW - Complete Role Mapping'!$AE$2:$AE$700,MATCH($A31,'REVIEW - Complete Role Mapping'!$AQ$2:$AQ$700,0))</f>
        <v>366703.25</v>
      </c>
      <c r="G31" s="1031">
        <f>$F31*IF(ISNUMBER(SEARCH("WIPRO",INDEX('REVIEW - Complete Role Mapping'!$R$2:$R$700,MATCH($A31,'REVIEW - Complete Role Mapping'!$AQ$2:$AQ$700,0)))),1,IFERROR(INDEX(Lists!$AD$2:$AD$5,MATCH($E31,Lists!$AC$2:$AC$5,0)),NA()))</f>
        <v>366703.25</v>
      </c>
    </row>
    <row r="32" ht="14.25" customHeight="1" s="535">
      <c r="A32" s="1045" t="inlineStr">
        <is>
          <t>R0249</t>
        </is>
      </c>
      <c r="B32" s="929" t="str">
        <f>INDEX('REVIEW - Complete Role Mapping'!$B$2:$B$700,MATCH($A32,'REVIEW - Complete Role Mapping'!$AQ$2:$AQ$700,0))</f>
        <v>Byron Leung</v>
      </c>
      <c r="C32" s="929" t="str">
        <f>INDEX('REVIEW - Complete Role Mapping'!$D$2:$D$700,MATCH($A32,'REVIEW - Complete Role Mapping'!$AQ$2:$AQ$700,0))</f>
        <v>Solution Architect</v>
      </c>
      <c r="D32" s="929" t="str">
        <f>INDEX('REVIEW - Complete Role Mapping'!$AF$2:$AF$700,MATCH($A32,'REVIEW - Complete Role Mapping'!$AQ$2:$AQ$700,0))</f>
        <v>Filled</v>
      </c>
      <c r="E32" s="543" t="inlineStr">
        <is>
          <t>Filled</t>
        </is>
      </c>
      <c r="F32" s="1031">
        <f>INDEX('REVIEW - Complete Role Mapping'!$AE$2:$AE$700,MATCH($A32,'REVIEW - Complete Role Mapping'!$AQ$2:$AQ$700,0))</f>
        <v>276972.45</v>
      </c>
      <c r="G32" s="1031">
        <f>$F32*IF(ISNUMBER(SEARCH("WIPRO",INDEX('REVIEW - Complete Role Mapping'!$R$2:$R$700,MATCH($A32,'REVIEW - Complete Role Mapping'!$AQ$2:$AQ$700,0)))),1,IFERROR(INDEX(Lists!$AD$2:$AD$5,MATCH($E32,Lists!$AC$2:$AC$5,0)),NA()))</f>
        <v>276972.45</v>
      </c>
    </row>
    <row r="33" ht="14.25" customHeight="1" s="535">
      <c r="A33" s="1045" t="inlineStr">
        <is>
          <t>R0250</t>
        </is>
      </c>
      <c r="B33" s="929" t="str">
        <f>INDEX('REVIEW - Complete Role Mapping'!$B$2:$B$700,MATCH($A33,'REVIEW - Complete Role Mapping'!$AQ$2:$AQ$700,0))</f>
        <v>Chantal Lynch</v>
      </c>
      <c r="C33" s="929" t="str">
        <f>INDEX('REVIEW - Complete Role Mapping'!$D$2:$D$700,MATCH($A33,'REVIEW - Complete Role Mapping'!$AQ$2:$AQ$700,0))</f>
        <v>Lead Quality Assurance</v>
      </c>
      <c r="D33" s="929" t="str">
        <f>INDEX('REVIEW - Complete Role Mapping'!$AF$2:$AF$700,MATCH($A33,'REVIEW - Complete Role Mapping'!$AQ$2:$AQ$700,0))</f>
        <v>Filled</v>
      </c>
      <c r="E33" s="543" t="inlineStr">
        <is>
          <t>Filled</t>
        </is>
      </c>
      <c r="F33" s="1031">
        <f>INDEX('REVIEW - Complete Role Mapping'!$AE$2:$AE$700,MATCH($A33,'REVIEW - Complete Role Mapping'!$AQ$2:$AQ$700,0))</f>
        <v>180639.096</v>
      </c>
      <c r="G33" s="1031">
        <f>$F33*IF(ISNUMBER(SEARCH("WIPRO",INDEX('REVIEW - Complete Role Mapping'!$R$2:$R$700,MATCH($A33,'REVIEW - Complete Role Mapping'!$AQ$2:$AQ$700,0)))),1,IFERROR(INDEX(Lists!$AD$2:$AD$5,MATCH($E33,Lists!$AC$2:$AC$5,0)),NA()))</f>
        <v>180639.096</v>
      </c>
    </row>
    <row r="34" ht="14.25" customHeight="1" s="535">
      <c r="A34" s="1045" t="inlineStr">
        <is>
          <t>R0251</t>
        </is>
      </c>
      <c r="B34" s="929" t="str">
        <f>INDEX('REVIEW - Complete Role Mapping'!$B$2:$B$700,MATCH($A34,'REVIEW - Complete Role Mapping'!$AQ$2:$AQ$700,0))</f>
        <v>Fransiscus Setiawan</v>
      </c>
      <c r="C34" s="929" t="str">
        <f>INDEX('REVIEW - Complete Role Mapping'!$D$2:$D$700,MATCH($A34,'REVIEW - Complete Role Mapping'!$AQ$2:$AQ$700,0))</f>
        <v>Integration Architect   </v>
      </c>
      <c r="D34" s="929" t="str">
        <f>INDEX('REVIEW - Complete Role Mapping'!$AF$2:$AF$700,MATCH($A34,'REVIEW - Complete Role Mapping'!$AQ$2:$AQ$700,0))</f>
        <v>Filled</v>
      </c>
      <c r="E34" s="543" t="inlineStr">
        <is>
          <t>Filled</t>
        </is>
      </c>
      <c r="F34" s="1031">
        <f>INDEX('REVIEW - Complete Role Mapping'!$AE$2:$AE$700,MATCH($A34,'REVIEW - Complete Role Mapping'!$AQ$2:$AQ$700,0))</f>
        <v>280350</v>
      </c>
      <c r="G34" s="1031">
        <f>$F34*IF(ISNUMBER(SEARCH("WIPRO",INDEX('REVIEW - Complete Role Mapping'!$R$2:$R$700,MATCH($A34,'REVIEW - Complete Role Mapping'!$AQ$2:$AQ$700,0)))),1,IFERROR(INDEX(Lists!$AD$2:$AD$5,MATCH($E34,Lists!$AC$2:$AC$5,0)),NA()))</f>
        <v>280350</v>
      </c>
    </row>
    <row r="35" ht="14.25" customHeight="1" s="535">
      <c r="A35" s="1045" t="inlineStr">
        <is>
          <t>R0252</t>
        </is>
      </c>
      <c r="B35" s="929" t="str">
        <f>INDEX('REVIEW - Complete Role Mapping'!$B$2:$B$700,MATCH($A35,'REVIEW - Complete Role Mapping'!$AQ$2:$AQ$700,0))</f>
        <v>Hayden Corney</v>
      </c>
      <c r="C35" s="929" t="str">
        <f>INDEX('REVIEW - Complete Role Mapping'!$D$2:$D$700,MATCH($A35,'REVIEW - Complete Role Mapping'!$AQ$2:$AQ$700,0))</f>
        <v>Lead Engineer Software</v>
      </c>
      <c r="D35" s="929" t="str">
        <f>INDEX('REVIEW - Complete Role Mapping'!$AF$2:$AF$700,MATCH($A35,'REVIEW - Complete Role Mapping'!$AQ$2:$AQ$700,0))</f>
        <v>Filled</v>
      </c>
      <c r="E35" s="543" t="inlineStr">
        <is>
          <t>Filled</t>
        </is>
      </c>
      <c r="F35" s="1031">
        <f>INDEX('REVIEW - Complete Role Mapping'!$AE$2:$AE$700,MATCH($A35,'REVIEW - Complete Role Mapping'!$AQ$2:$AQ$700,0))</f>
        <v>197318.88</v>
      </c>
      <c r="G35" s="1031">
        <f>$F35*IF(ISNUMBER(SEARCH("WIPRO",INDEX('REVIEW - Complete Role Mapping'!$R$2:$R$700,MATCH($A35,'REVIEW - Complete Role Mapping'!$AQ$2:$AQ$700,0)))),1,IFERROR(INDEX(Lists!$AD$2:$AD$5,MATCH($E35,Lists!$AC$2:$AC$5,0)),NA()))</f>
        <v>197318.88</v>
      </c>
    </row>
    <row r="36" ht="14.25" customHeight="1" s="535">
      <c r="A36" s="1045" t="inlineStr">
        <is>
          <t>R0372</t>
        </is>
      </c>
      <c r="B36" s="929" t="str">
        <f>INDEX('REVIEW - Complete Role Mapping'!$B$2:$B$700,MATCH($A36,'REVIEW - Complete Role Mapping'!$AQ$2:$AQ$700,0))</f>
        <v>Sijin Zhu</v>
      </c>
      <c r="C36" s="929" t="str">
        <f>INDEX('REVIEW - Complete Role Mapping'!$D$2:$D$700,MATCH($A36,'REVIEW - Complete Role Mapping'!$AQ$2:$AQ$700,0))</f>
        <v>Business Analyst</v>
      </c>
      <c r="D36" s="929" t="str">
        <f>INDEX('REVIEW - Complete Role Mapping'!$AF$2:$AF$700,MATCH($A36,'REVIEW - Complete Role Mapping'!$AQ$2:$AQ$700,0))</f>
        <v>Filled</v>
      </c>
      <c r="E36" s="543" t="inlineStr">
        <is>
          <t>Filled</t>
        </is>
      </c>
      <c r="F36" s="1031">
        <f>INDEX('REVIEW - Complete Role Mapping'!$AE$2:$AE$700,MATCH($A36,'REVIEW - Complete Role Mapping'!$AQ$2:$AQ$700,0))</f>
        <v>279205.246</v>
      </c>
      <c r="G36" s="1031">
        <f>$F36*IF(ISNUMBER(SEARCH("WIPRO",INDEX('REVIEW - Complete Role Mapping'!$R$2:$R$700,MATCH($A36,'REVIEW - Complete Role Mapping'!$AQ$2:$AQ$700,0)))),1,IFERROR(INDEX(Lists!$AD$2:$AD$5,MATCH($E36,Lists!$AC$2:$AC$5,0)),NA()))</f>
        <v>279205.246</v>
      </c>
    </row>
    <row r="37" ht="14.25" customHeight="1" s="535">
      <c r="A37" s="1045" t="inlineStr">
        <is>
          <t>R0386</t>
        </is>
      </c>
      <c r="B37" s="929" t="str">
        <f>INDEX('REVIEW - Complete Role Mapping'!$B$2:$B$700,MATCH($A37,'REVIEW - Complete Role Mapping'!$AQ$2:$AQ$700,0))</f>
        <v>Deepa Kaur</v>
      </c>
      <c r="C37" s="929" t="str">
        <f>INDEX('REVIEW - Complete Role Mapping'!$D$2:$D$700,MATCH($A37,'REVIEW - Complete Role Mapping'!$AQ$2:$AQ$700,0))</f>
        <v>Senior Engineer Automation Testing</v>
      </c>
      <c r="D37" s="929" t="str">
        <f>INDEX('REVIEW - Complete Role Mapping'!$AF$2:$AF$700,MATCH($A37,'REVIEW - Complete Role Mapping'!$AQ$2:$AQ$700,0))</f>
        <v>Filled</v>
      </c>
      <c r="E37" s="543" t="inlineStr">
        <is>
          <t>Filled</t>
        </is>
      </c>
      <c r="F37" s="1031">
        <f>INDEX('REVIEW - Complete Role Mapping'!$AE$2:$AE$700,MATCH($A37,'REVIEW - Complete Role Mapping'!$AQ$2:$AQ$700,0))</f>
        <v>194522.85</v>
      </c>
      <c r="G37" s="1031">
        <f>$F37*IF(ISNUMBER(SEARCH("WIPRO",INDEX('REVIEW - Complete Role Mapping'!$R$2:$R$700,MATCH($A37,'REVIEW - Complete Role Mapping'!$AQ$2:$AQ$700,0)))),1,IFERROR(INDEX(Lists!$AD$2:$AD$5,MATCH($E37,Lists!$AC$2:$AC$5,0)),NA()))</f>
        <v>194522.85</v>
      </c>
    </row>
    <row r="38" ht="14.25" customHeight="1" s="535">
      <c r="A38" s="1045" t="inlineStr">
        <is>
          <t>R0483</t>
        </is>
      </c>
      <c r="B38" s="929" t="str">
        <f>INDEX('REVIEW - Complete Role Mapping'!$B$2:$B$700,MATCH($A38,'REVIEW - Complete Role Mapping'!$AQ$2:$AQ$700,0))</f>
        <v>Laura Roberts</v>
      </c>
      <c r="C38" s="929" t="str">
        <f>INDEX('REVIEW - Complete Role Mapping'!$D$2:$D$700,MATCH($A38,'REVIEW - Complete Role Mapping'!$AQ$2:$AQ$700,0))</f>
        <v>Senior Engineer Software</v>
      </c>
      <c r="D38" s="929" t="str">
        <f>INDEX('REVIEW - Complete Role Mapping'!$AF$2:$AF$700,MATCH($A38,'REVIEW - Complete Role Mapping'!$AQ$2:$AQ$700,0))</f>
        <v>Filled</v>
      </c>
      <c r="E38" s="543" t="inlineStr">
        <is>
          <t>Filled</t>
        </is>
      </c>
      <c r="F38" s="1031">
        <f>INDEX('REVIEW - Complete Role Mapping'!$AE$2:$AE$700,MATCH($A38,'REVIEW - Complete Role Mapping'!$AQ$2:$AQ$700,0))</f>
        <v>156490.752</v>
      </c>
      <c r="G38" s="1031">
        <f>$F38*IF(ISNUMBER(SEARCH("WIPRO",INDEX('REVIEW - Complete Role Mapping'!$R$2:$R$700,MATCH($A38,'REVIEW - Complete Role Mapping'!$AQ$2:$AQ$700,0)))),1,IFERROR(INDEX(Lists!$AD$2:$AD$5,MATCH($E38,Lists!$AC$2:$AC$5,0)),NA()))</f>
        <v>156490.752</v>
      </c>
    </row>
    <row r="39" ht="14.25" customHeight="1" s="535">
      <c r="A39" s="1045" t="inlineStr">
        <is>
          <t>R0518</t>
        </is>
      </c>
      <c r="B39" s="929" t="str">
        <f>INDEX('REVIEW - Complete Role Mapping'!$B$2:$B$700,MATCH($A39,'REVIEW - Complete Role Mapping'!$AQ$2:$AQ$700,0))</f>
        <v>Amanda Turnbull</v>
      </c>
      <c r="C39" s="929" t="str">
        <f>INDEX('REVIEW - Complete Role Mapping'!$D$2:$D$700,MATCH($A39,'REVIEW - Complete Role Mapping'!$AQ$2:$AQ$700,0))</f>
        <v>Engineer Software</v>
      </c>
      <c r="D39" s="929" t="str">
        <f>INDEX('REVIEW - Complete Role Mapping'!$AF$2:$AF$700,MATCH($A39,'REVIEW - Complete Role Mapping'!$AQ$2:$AQ$700,0))</f>
        <v>Filled</v>
      </c>
      <c r="E39" s="543" t="inlineStr">
        <is>
          <t>Filled</t>
        </is>
      </c>
      <c r="F39" s="1031">
        <f>INDEX('REVIEW - Complete Role Mapping'!$AE$2:$AE$700,MATCH($A39,'REVIEW - Complete Role Mapping'!$AQ$2:$AQ$700,0))</f>
        <v>101439.056</v>
      </c>
      <c r="G39" s="1031">
        <f>$F39*IF(ISNUMBER(SEARCH("WIPRO",INDEX('REVIEW - Complete Role Mapping'!$R$2:$R$700,MATCH($A39,'REVIEW - Complete Role Mapping'!$AQ$2:$AQ$700,0)))),1,IFERROR(INDEX(Lists!$AD$2:$AD$5,MATCH($E39,Lists!$AC$2:$AC$5,0)),NA()))</f>
        <v>101439.056</v>
      </c>
    </row>
    <row r="40" ht="14.25" customHeight="1" s="535">
      <c r="A40" s="1045" t="inlineStr">
        <is>
          <t>R0523</t>
        </is>
      </c>
      <c r="B40" s="929" t="str">
        <f>INDEX('REVIEW - Complete Role Mapping'!$B$2:$B$700,MATCH($A40,'REVIEW - Complete Role Mapping'!$AQ$2:$AQ$700,0))</f>
        <v>Oliver Shanks</v>
      </c>
      <c r="C40" s="929" t="str">
        <f>INDEX('REVIEW - Complete Role Mapping'!$D$2:$D$700,MATCH($A40,'REVIEW - Complete Role Mapping'!$AQ$2:$AQ$700,0))</f>
        <v>Associate Engineer Software</v>
      </c>
      <c r="D40" s="929" t="str">
        <f>INDEX('REVIEW - Complete Role Mapping'!$AF$2:$AF$700,MATCH($A40,'REVIEW - Complete Role Mapping'!$AQ$2:$AQ$700,0))</f>
        <v>Filled</v>
      </c>
      <c r="E40" s="543" t="inlineStr">
        <is>
          <t>Filled</t>
        </is>
      </c>
      <c r="F40" s="1031">
        <f>INDEX('REVIEW - Complete Role Mapping'!$AE$2:$AE$700,MATCH($A40,'REVIEW - Complete Role Mapping'!$AQ$2:$AQ$700,0))</f>
        <v>84514.552</v>
      </c>
      <c r="G40" s="1031">
        <f>$F40*IF(ISNUMBER(SEARCH("WIPRO",INDEX('REVIEW - Complete Role Mapping'!$R$2:$R$700,MATCH($A40,'REVIEW - Complete Role Mapping'!$AQ$2:$AQ$700,0)))),1,IFERROR(INDEX(Lists!$AD$2:$AD$5,MATCH($E40,Lists!$AC$2:$AC$5,0)),NA()))</f>
        <v>84514.552</v>
      </c>
    </row>
    <row r="41" ht="14.25" customHeight="1" s="535">
      <c r="B41" s="1029" t="inlineStr">
        <is>
          <t>Supply</t>
        </is>
      </c>
      <c r="C41" s="1029" t="str">
        <f>COUNTIF($B$42:$B$46,"?*")&amp;IF(COUNTIF($B$42:$B$46,"?*")=1," role"," roles")</f>
        <v>5 roles</v>
      </c>
      <c r="D41" s="1029" t="n"/>
      <c r="E41" s="1029" t="n"/>
      <c r="F41" s="1044">
        <f>SUM(F42:F46)</f>
        <v>1059255.75</v>
      </c>
      <c r="G41" s="1044">
        <f>SUM(G42:G46)</f>
        <v>1059255.75</v>
      </c>
    </row>
    <row r="42" ht="14.25" customHeight="1" s="535">
      <c r="A42" s="1045" t="inlineStr">
        <is>
          <t>R0222</t>
        </is>
      </c>
      <c r="B42" s="929" t="str">
        <f>INDEX('REVIEW - Complete Role Mapping'!$B$2:$B$700,MATCH($A42,'REVIEW - Complete Role Mapping'!$AQ$2:$AQ$700,0))</f>
        <v>Vacant</v>
      </c>
      <c r="C42" s="929" t="str">
        <f>INDEX('REVIEW - Complete Role Mapping'!$D$2:$D$700,MATCH($A42,'REVIEW - Complete Role Mapping'!$AQ$2:$AQ$700,0))</f>
        <v>Delivery Lead</v>
      </c>
      <c r="D42" s="929" t="str">
        <f>INDEX('REVIEW - Complete Role Mapping'!$AF$2:$AF$700,MATCH($A42,'REVIEW - Complete Role Mapping'!$AQ$2:$AQ$700,0))</f>
        <v>Vacant</v>
      </c>
      <c r="E42" s="543" t="inlineStr">
        <is>
          <t>Hire</t>
        </is>
      </c>
      <c r="F42" s="1031">
        <f>INDEX('REVIEW - Complete Role Mapping'!$AE$2:$AE$700,MATCH($A42,'REVIEW - Complete Role Mapping'!$AQ$2:$AQ$700,0))</f>
        <v>231689.25</v>
      </c>
      <c r="G42" s="1031">
        <f>$F42*IF(ISNUMBER(SEARCH("WIPRO",INDEX('REVIEW - Complete Role Mapping'!$R$2:$R$700,MATCH($A42,'REVIEW - Complete Role Mapping'!$AQ$2:$AQ$700,0)))),1,IFERROR(INDEX(Lists!$AD$2:$AD$5,MATCH($E42,Lists!$AC$2:$AC$5,0)),NA()))</f>
        <v>231689.25</v>
      </c>
    </row>
    <row r="43" ht="14.25" customHeight="1" s="535">
      <c r="A43" s="1045" t="inlineStr">
        <is>
          <t>R0284</t>
        </is>
      </c>
      <c r="B43" s="929" t="str">
        <f>INDEX('REVIEW - Complete Role Mapping'!$B$2:$B$700,MATCH($A43,'REVIEW - Complete Role Mapping'!$AQ$2:$AQ$700,0))</f>
        <v>Vacant</v>
      </c>
      <c r="C43" s="929" t="str">
        <f>INDEX('REVIEW - Complete Role Mapping'!$D$2:$D$700,MATCH($A43,'REVIEW - Complete Role Mapping'!$AQ$2:$AQ$700,0))</f>
        <v>System Specialist</v>
      </c>
      <c r="D43" s="929" t="str">
        <f>INDEX('REVIEW - Complete Role Mapping'!$AF$2:$AF$700,MATCH($A43,'REVIEW - Complete Role Mapping'!$AQ$2:$AQ$700,0))</f>
        <v>Vacant</v>
      </c>
      <c r="E43" s="543" t="inlineStr">
        <is>
          <t>Hire</t>
        </is>
      </c>
      <c r="F43" s="1031">
        <f>INDEX('REVIEW - Complete Role Mapping'!$AE$2:$AE$700,MATCH($A43,'REVIEW - Complete Role Mapping'!$AQ$2:$AQ$700,0))</f>
        <v>202853.25</v>
      </c>
      <c r="G43" s="1031">
        <f>$F43*IF(ISNUMBER(SEARCH("WIPRO",INDEX('REVIEW - Complete Role Mapping'!$R$2:$R$700,MATCH($A43,'REVIEW - Complete Role Mapping'!$AQ$2:$AQ$700,0)))),1,IFERROR(INDEX(Lists!$AD$2:$AD$5,MATCH($E43,Lists!$AC$2:$AC$5,0)),NA()))</f>
        <v>202853.25</v>
      </c>
    </row>
    <row r="44" ht="14.25" customHeight="1" s="535">
      <c r="A44" s="1045" t="inlineStr">
        <is>
          <t>R0285</t>
        </is>
      </c>
      <c r="B44" s="929" t="str">
        <f>INDEX('REVIEW - Complete Role Mapping'!$B$2:$B$700,MATCH($A44,'REVIEW - Complete Role Mapping'!$AQ$2:$AQ$700,0))</f>
        <v>Vacant (anaplan)</v>
      </c>
      <c r="C44" s="929" t="str">
        <f>INDEX('REVIEW - Complete Role Mapping'!$D$2:$D$700,MATCH($A44,'REVIEW - Complete Role Mapping'!$AQ$2:$AQ$700,0))</f>
        <v>System Specialist</v>
      </c>
      <c r="D44" s="929" t="str">
        <f>INDEX('REVIEW - Complete Role Mapping'!$AF$2:$AF$700,MATCH($A44,'REVIEW - Complete Role Mapping'!$AQ$2:$AQ$700,0))</f>
        <v>Vacant</v>
      </c>
      <c r="E44" s="543" t="inlineStr">
        <is>
          <t>Hire</t>
        </is>
      </c>
      <c r="F44" s="1031">
        <f>INDEX('REVIEW - Complete Role Mapping'!$AE$2:$AE$700,MATCH($A44,'REVIEW - Complete Role Mapping'!$AQ$2:$AQ$700,0))</f>
        <v>202853.25</v>
      </c>
      <c r="G44" s="1031">
        <f>$F44*IF(ISNUMBER(SEARCH("WIPRO",INDEX('REVIEW - Complete Role Mapping'!$R$2:$R$700,MATCH($A44,'REVIEW - Complete Role Mapping'!$AQ$2:$AQ$700,0)))),1,IFERROR(INDEX(Lists!$AD$2:$AD$5,MATCH($E44,Lists!$AC$2:$AC$5,0)),NA()))</f>
        <v>202853.25</v>
      </c>
    </row>
    <row r="45" ht="14.25" customHeight="1" s="535">
      <c r="A45" s="1045" t="inlineStr">
        <is>
          <t>R0369</t>
        </is>
      </c>
      <c r="B45" s="929" t="str">
        <f>INDEX('REVIEW - Complete Role Mapping'!$B$2:$B$700,MATCH($A45,'REVIEW - Complete Role Mapping'!$AQ$2:$AQ$700,0))</f>
        <v>Ann Aquino</v>
      </c>
      <c r="C45" s="929" t="str">
        <f>INDEX('REVIEW - Complete Role Mapping'!$D$2:$D$700,MATCH($A45,'REVIEW - Complete Role Mapping'!$AQ$2:$AQ$700,0))</f>
        <v>Senior Business Analyst</v>
      </c>
      <c r="D45" s="929" t="str">
        <f>INDEX('REVIEW - Complete Role Mapping'!$AF$2:$AF$700,MATCH($A45,'REVIEW - Complete Role Mapping'!$AQ$2:$AQ$700,0))</f>
        <v>Filled</v>
      </c>
      <c r="E45" s="543" t="inlineStr">
        <is>
          <t>Filled</t>
        </is>
      </c>
      <c r="F45" s="1031">
        <f>INDEX('REVIEW - Complete Role Mapping'!$AE$2:$AE$700,MATCH($A45,'REVIEW - Complete Role Mapping'!$AQ$2:$AQ$700,0))</f>
        <v>219006.75</v>
      </c>
      <c r="G45" s="1031">
        <f>$F45*IF(ISNUMBER(SEARCH("WIPRO",INDEX('REVIEW - Complete Role Mapping'!$R$2:$R$700,MATCH($A45,'REVIEW - Complete Role Mapping'!$AQ$2:$AQ$700,0)))),1,IFERROR(INDEX(Lists!$AD$2:$AD$5,MATCH($E45,Lists!$AC$2:$AC$5,0)),NA()))</f>
        <v>219006.75</v>
      </c>
    </row>
    <row r="46" ht="14.25" customHeight="1" s="535">
      <c r="A46" s="1045" t="inlineStr">
        <is>
          <t>R0387</t>
        </is>
      </c>
      <c r="B46" s="929" t="str">
        <f>INDEX('REVIEW - Complete Role Mapping'!$B$2:$B$700,MATCH($A46,'REVIEW - Complete Role Mapping'!$AQ$2:$AQ$700,0))</f>
        <v>Vacant </v>
      </c>
      <c r="C46" s="929" t="str">
        <f>INDEX('REVIEW - Complete Role Mapping'!$D$2:$D$700,MATCH($A46,'REVIEW - Complete Role Mapping'!$AQ$2:$AQ$700,0))</f>
        <v>Engineer Software</v>
      </c>
      <c r="D46" s="929" t="str">
        <f>INDEX('REVIEW - Complete Role Mapping'!$AF$2:$AF$700,MATCH($A46,'REVIEW - Complete Role Mapping'!$AQ$2:$AQ$700,0))</f>
        <v>Vacant</v>
      </c>
      <c r="E46" s="543" t="inlineStr">
        <is>
          <t>Hire</t>
        </is>
      </c>
      <c r="F46" s="1031">
        <f>INDEX('REVIEW - Complete Role Mapping'!$AE$2:$AE$700,MATCH($A46,'REVIEW - Complete Role Mapping'!$AQ$2:$AQ$700,0))</f>
        <v>202853.25</v>
      </c>
      <c r="G46" s="1031">
        <f>$F46*IF(ISNUMBER(SEARCH("WIPRO",INDEX('REVIEW - Complete Role Mapping'!$R$2:$R$700,MATCH($A46,'REVIEW - Complete Role Mapping'!$AQ$2:$AQ$700,0)))),1,IFERROR(INDEX(Lists!$AD$2:$AD$5,MATCH($E46,Lists!$AC$2:$AC$5,0)),NA()))</f>
        <v>202853.25</v>
      </c>
    </row>
    <row r="47" ht="14.25" customHeight="1" s="535">
      <c r="B47" s="1029" t="inlineStr">
        <is>
          <t>Trading &amp; Shipping</t>
        </is>
      </c>
      <c r="C47" s="1029" t="str">
        <f>COUNTIF($B$48:$B$59,"?*")&amp;IF(COUNTIF($B$48:$B$59,"?*")=1," role"," roles")</f>
        <v>12 roles</v>
      </c>
      <c r="D47" s="1029" t="n"/>
      <c r="E47" s="1029" t="n"/>
      <c r="F47" s="1044">
        <f>SUM(F48:F59)</f>
        <v>2679143.5617</v>
      </c>
      <c r="G47" s="1044">
        <f>SUM(G48:G59)</f>
        <v>2556571.8117</v>
      </c>
    </row>
    <row r="48" ht="14.25" customHeight="1" s="535">
      <c r="A48" s="1045" t="inlineStr">
        <is>
          <t>R0144</t>
        </is>
      </c>
      <c r="B48" s="929" t="str">
        <f>INDEX('REVIEW - Complete Role Mapping'!$B$2:$B$700,MATCH($A48,'REVIEW - Complete Role Mapping'!$AQ$2:$AQ$700,0))</f>
        <v>Chin Fang Kwek</v>
      </c>
      <c r="C48" s="929" t="str">
        <f>INDEX('REVIEW - Complete Role Mapping'!$D$2:$D$700,MATCH($A48,'REVIEW - Complete Role Mapping'!$AQ$2:$AQ$700,0))</f>
        <v>System Analyst</v>
      </c>
      <c r="D48" s="929" t="str">
        <f>INDEX('REVIEW - Complete Role Mapping'!$AF$2:$AF$700,MATCH($A48,'REVIEW - Complete Role Mapping'!$AQ$2:$AQ$700,0))</f>
        <v>Filled</v>
      </c>
      <c r="E48" s="543" t="inlineStr">
        <is>
          <t>Filled</t>
        </is>
      </c>
      <c r="F48" s="1031">
        <f>INDEX('REVIEW - Complete Role Mapping'!$AE$2:$AE$700,MATCH($A48,'REVIEW - Complete Role Mapping'!$AQ$2:$AQ$700,0))</f>
        <v>346651.0332</v>
      </c>
      <c r="G48" s="1031">
        <f>$F48*IF(ISNUMBER(SEARCH("WIPRO",INDEX('REVIEW - Complete Role Mapping'!$R$2:$R$700,MATCH($A48,'REVIEW - Complete Role Mapping'!$AQ$2:$AQ$700,0)))),1,IFERROR(INDEX(Lists!$AD$2:$AD$5,MATCH($E48,Lists!$AC$2:$AC$5,0)),NA()))</f>
        <v>346651.0332</v>
      </c>
    </row>
    <row r="49" ht="14.25" customHeight="1" s="535">
      <c r="A49" s="1045" t="inlineStr">
        <is>
          <t>R0221</t>
        </is>
      </c>
      <c r="B49" s="929" t="str">
        <f>INDEX('REVIEW - Complete Role Mapping'!$B$2:$B$700,MATCH($A49,'REVIEW - Complete Role Mapping'!$AQ$2:$AQ$700,0))</f>
        <v>Suja Sugathan</v>
      </c>
      <c r="C49" s="929" t="str">
        <f>INDEX('REVIEW - Complete Role Mapping'!$D$2:$D$700,MATCH($A49,'REVIEW - Complete Role Mapping'!$AQ$2:$AQ$700,0))</f>
        <v>Senior Business Analyst</v>
      </c>
      <c r="D49" s="929" t="str">
        <f>INDEX('REVIEW - Complete Role Mapping'!$AF$2:$AF$700,MATCH($A49,'REVIEW - Complete Role Mapping'!$AQ$2:$AQ$700,0))</f>
        <v>Filled</v>
      </c>
      <c r="E49" s="543" t="inlineStr">
        <is>
          <t>Filled</t>
        </is>
      </c>
      <c r="F49" s="1031">
        <f>INDEX('REVIEW - Complete Role Mapping'!$AE$2:$AE$700,MATCH($A49,'REVIEW - Complete Role Mapping'!$AQ$2:$AQ$700,0))</f>
        <v>352114.3405</v>
      </c>
      <c r="G49" s="1031">
        <f>$F49*IF(ISNUMBER(SEARCH("WIPRO",INDEX('REVIEW - Complete Role Mapping'!$R$2:$R$700,MATCH($A49,'REVIEW - Complete Role Mapping'!$AQ$2:$AQ$700,0)))),1,IFERROR(INDEX(Lists!$AD$2:$AD$5,MATCH($E49,Lists!$AC$2:$AC$5,0)),NA()))</f>
        <v>352114.3405</v>
      </c>
    </row>
    <row r="50" ht="14.25" customHeight="1" s="535">
      <c r="A50" s="1045" t="inlineStr">
        <is>
          <t>R0223</t>
        </is>
      </c>
      <c r="B50" s="929" t="str">
        <f>INDEX('REVIEW - Complete Role Mapping'!$B$2:$B$700,MATCH($A50,'REVIEW - Complete Role Mapping'!$AQ$2:$AQ$700,0))</f>
        <v>Vacant</v>
      </c>
      <c r="C50" s="929" t="str">
        <f>INDEX('REVIEW - Complete Role Mapping'!$D$2:$D$700,MATCH($A50,'REVIEW - Complete Role Mapping'!$AQ$2:$AQ$700,0))</f>
        <v>Delivery Lead</v>
      </c>
      <c r="D50" s="929" t="str">
        <f>INDEX('REVIEW - Complete Role Mapping'!$AF$2:$AF$700,MATCH($A50,'REVIEW - Complete Role Mapping'!$AQ$2:$AQ$700,0))</f>
        <v>Vacant</v>
      </c>
      <c r="E50" s="543" t="inlineStr">
        <is>
          <t>Hire</t>
        </is>
      </c>
      <c r="F50" s="1031">
        <f>INDEX('REVIEW - Complete Role Mapping'!$AE$2:$AE$700,MATCH($A50,'REVIEW - Complete Role Mapping'!$AQ$2:$AQ$700,0))</f>
        <v>231689.25</v>
      </c>
      <c r="G50" s="1031">
        <f>$F50*IF(ISNUMBER(SEARCH("WIPRO",INDEX('REVIEW - Complete Role Mapping'!$R$2:$R$700,MATCH($A50,'REVIEW - Complete Role Mapping'!$AQ$2:$AQ$700,0)))),1,IFERROR(INDEX(Lists!$AD$2:$AD$5,MATCH($E50,Lists!$AC$2:$AC$5,0)),NA()))</f>
        <v>231689.25</v>
      </c>
    </row>
    <row r="51" ht="14.25" customHeight="1" s="535">
      <c r="A51" s="1045" t="inlineStr">
        <is>
          <t>R0282</t>
        </is>
      </c>
      <c r="B51" s="929" t="str">
        <f>INDEX('REVIEW - Complete Role Mapping'!$B$2:$B$700,MATCH($A51,'REVIEW - Complete Role Mapping'!$AQ$2:$AQ$700,0))</f>
        <v>Hari Maneti</v>
      </c>
      <c r="C51" s="929" t="str">
        <f>INDEX('REVIEW - Complete Role Mapping'!$D$2:$D$700,MATCH($A51,'REVIEW - Complete Role Mapping'!$AQ$2:$AQ$700,0))</f>
        <v>Systems Analyst</v>
      </c>
      <c r="D51" s="929" t="str">
        <f>INDEX('REVIEW - Complete Role Mapping'!$AF$2:$AF$700,MATCH($A51,'REVIEW - Complete Role Mapping'!$AQ$2:$AQ$700,0))</f>
        <v>Filled</v>
      </c>
      <c r="E51" s="543" t="inlineStr">
        <is>
          <t>Filled</t>
        </is>
      </c>
      <c r="F51" s="1031">
        <f>INDEX('REVIEW - Complete Role Mapping'!$AE$2:$AE$700,MATCH($A51,'REVIEW - Complete Role Mapping'!$AQ$2:$AQ$700,0))</f>
        <v>293634.617</v>
      </c>
      <c r="G51" s="1031">
        <f>$F51*IF(ISNUMBER(SEARCH("WIPRO",INDEX('REVIEW - Complete Role Mapping'!$R$2:$R$700,MATCH($A51,'REVIEW - Complete Role Mapping'!$AQ$2:$AQ$700,0)))),1,IFERROR(INDEX(Lists!$AD$2:$AD$5,MATCH($E51,Lists!$AC$2:$AC$5,0)),NA()))</f>
        <v>293634.617</v>
      </c>
    </row>
    <row r="52" ht="14.25" customHeight="1" s="535">
      <c r="A52" s="1045" t="inlineStr">
        <is>
          <t>R0283</t>
        </is>
      </c>
      <c r="B52" s="929" t="str">
        <f>INDEX('REVIEW - Complete Role Mapping'!$B$2:$B$700,MATCH($A52,'REVIEW - Complete Role Mapping'!$AQ$2:$AQ$700,0))</f>
        <v>Leo Machin</v>
      </c>
      <c r="C52" s="929" t="str">
        <f>INDEX('REVIEW - Complete Role Mapping'!$D$2:$D$700,MATCH($A52,'REVIEW - Complete Role Mapping'!$AQ$2:$AQ$700,0))</f>
        <v>Lead Engineer Applications</v>
      </c>
      <c r="D52" s="929" t="str">
        <f>INDEX('REVIEW - Complete Role Mapping'!$AF$2:$AF$700,MATCH($A52,'REVIEW - Complete Role Mapping'!$AQ$2:$AQ$700,0))</f>
        <v>Filled</v>
      </c>
      <c r="E52" s="543" t="inlineStr">
        <is>
          <t>Filled</t>
        </is>
      </c>
      <c r="F52" s="1031">
        <f>INDEX('REVIEW - Complete Role Mapping'!$AE$2:$AE$700,MATCH($A52,'REVIEW - Complete Role Mapping'!$AQ$2:$AQ$700,0))</f>
        <v>212558.7</v>
      </c>
      <c r="G52" s="1031">
        <f>$F52*IF(ISNUMBER(SEARCH("WIPRO",INDEX('REVIEW - Complete Role Mapping'!$R$2:$R$700,MATCH($A52,'REVIEW - Complete Role Mapping'!$AQ$2:$AQ$700,0)))),1,IFERROR(INDEX(Lists!$AD$2:$AD$5,MATCH($E52,Lists!$AC$2:$AC$5,0)),NA()))</f>
        <v>212558.7</v>
      </c>
    </row>
    <row r="53" ht="14.25" customHeight="1" s="535">
      <c r="A53" s="1045" t="inlineStr">
        <is>
          <t>R0370</t>
        </is>
      </c>
      <c r="B53" s="929" t="str">
        <f>INDEX('REVIEW - Complete Role Mapping'!$B$2:$B$700,MATCH($A53,'REVIEW - Complete Role Mapping'!$AQ$2:$AQ$700,0))</f>
        <v>Isha Riyat</v>
      </c>
      <c r="C53" s="929" t="str">
        <f>INDEX('REVIEW - Complete Role Mapping'!$D$2:$D$700,MATCH($A53,'REVIEW - Complete Role Mapping'!$AQ$2:$AQ$700,0))</f>
        <v>Senior Business Analyst</v>
      </c>
      <c r="D53" s="929" t="str">
        <f>INDEX('REVIEW - Complete Role Mapping'!$AF$2:$AF$700,MATCH($A53,'REVIEW - Complete Role Mapping'!$AQ$2:$AQ$700,0))</f>
        <v>Filled</v>
      </c>
      <c r="E53" s="543" t="inlineStr">
        <is>
          <t>Filled</t>
        </is>
      </c>
      <c r="F53" s="1031">
        <f>INDEX('REVIEW - Complete Role Mapping'!$AE$2:$AE$700,MATCH($A53,'REVIEW - Complete Role Mapping'!$AQ$2:$AQ$700,0))</f>
        <v>226429.35</v>
      </c>
      <c r="G53" s="1031">
        <f>$F53*IF(ISNUMBER(SEARCH("WIPRO",INDEX('REVIEW - Complete Role Mapping'!$R$2:$R$700,MATCH($A53,'REVIEW - Complete Role Mapping'!$AQ$2:$AQ$700,0)))),1,IFERROR(INDEX(Lists!$AD$2:$AD$5,MATCH($E53,Lists!$AC$2:$AC$5,0)),NA()))</f>
        <v>226429.35</v>
      </c>
    </row>
    <row r="54" ht="14.25" customHeight="1" s="535">
      <c r="A54" s="1045" t="inlineStr">
        <is>
          <t>R0416</t>
        </is>
      </c>
      <c r="B54" s="929" t="str">
        <f>INDEX('REVIEW - Complete Role Mapping'!$B$2:$B$700,MATCH($A54,'REVIEW - Complete Role Mapping'!$AQ$2:$AQ$700,0))</f>
        <v>Jem Cruz</v>
      </c>
      <c r="C54" s="929" t="str">
        <f>INDEX('REVIEW - Complete Role Mapping'!$D$2:$D$700,MATCH($A54,'REVIEW - Complete Role Mapping'!$AQ$2:$AQ$700,0))</f>
        <v>System Specialist</v>
      </c>
      <c r="D54" s="929" t="str">
        <f>INDEX('REVIEW - Complete Role Mapping'!$AF$2:$AF$700,MATCH($A54,'REVIEW - Complete Role Mapping'!$AQ$2:$AQ$700,0))</f>
        <v>Filled</v>
      </c>
      <c r="E54" s="543" t="inlineStr">
        <is>
          <t>Filled</t>
        </is>
      </c>
      <c r="F54" s="1031">
        <f>INDEX('REVIEW - Complete Role Mapping'!$AE$2:$AE$700,MATCH($A54,'REVIEW - Complete Role Mapping'!$AQ$2:$AQ$700,0))</f>
        <v>180010.35</v>
      </c>
      <c r="G54" s="1031">
        <f>$F54*IF(ISNUMBER(SEARCH("WIPRO",INDEX('REVIEW - Complete Role Mapping'!$R$2:$R$700,MATCH($A54,'REVIEW - Complete Role Mapping'!$AQ$2:$AQ$700,0)))),1,IFERROR(INDEX(Lists!$AD$2:$AD$5,MATCH($E54,Lists!$AC$2:$AC$5,0)),NA()))</f>
        <v>180010.35</v>
      </c>
    </row>
    <row r="55" ht="14.25" customHeight="1" s="535">
      <c r="A55" s="1045" t="inlineStr">
        <is>
          <t>R0417</t>
        </is>
      </c>
      <c r="B55" s="929" t="str">
        <f>INDEX('REVIEW - Complete Role Mapping'!$B$2:$B$700,MATCH($A55,'REVIEW - Complete Role Mapping'!$AQ$2:$AQ$700,0))</f>
        <v>JR Panganiban</v>
      </c>
      <c r="C55" s="929" t="str">
        <f>INDEX('REVIEW - Complete Role Mapping'!$D$2:$D$700,MATCH($A55,'REVIEW - Complete Role Mapping'!$AQ$2:$AQ$700,0))</f>
        <v>Technology Support Engineer</v>
      </c>
      <c r="D55" s="929" t="str">
        <f>INDEX('REVIEW - Complete Role Mapping'!$AF$2:$AF$700,MATCH($A55,'REVIEW - Complete Role Mapping'!$AQ$2:$AQ$700,0))</f>
        <v>Filled</v>
      </c>
      <c r="E55" s="543" t="inlineStr">
        <is>
          <t>Filled</t>
        </is>
      </c>
      <c r="F55" s="1031">
        <f>INDEX('REVIEW - Complete Role Mapping'!$AE$2:$AE$700,MATCH($A55,'REVIEW - Complete Role Mapping'!$AQ$2:$AQ$700,0))</f>
        <v>146390.4</v>
      </c>
      <c r="G55" s="1031">
        <f>$F55*IF(ISNUMBER(SEARCH("WIPRO",INDEX('REVIEW - Complete Role Mapping'!$R$2:$R$700,MATCH($A55,'REVIEW - Complete Role Mapping'!$AQ$2:$AQ$700,0)))),1,IFERROR(INDEX(Lists!$AD$2:$AD$5,MATCH($E55,Lists!$AC$2:$AC$5,0)),NA()))</f>
        <v>146390.4</v>
      </c>
    </row>
    <row r="56" ht="14.25" customHeight="1" s="535">
      <c r="A56" s="1045" t="inlineStr">
        <is>
          <t>R0418</t>
        </is>
      </c>
      <c r="B56" s="929" t="str">
        <f>INDEX('REVIEW - Complete Role Mapping'!$B$2:$B$700,MATCH($A56,'REVIEW - Complete Role Mapping'!$AQ$2:$AQ$700,0))</f>
        <v>Kevin Li</v>
      </c>
      <c r="C56" s="929" t="str">
        <f>INDEX('REVIEW - Complete Role Mapping'!$D$2:$D$700,MATCH($A56,'REVIEW - Complete Role Mapping'!$AQ$2:$AQ$700,0))</f>
        <v>System Specialist</v>
      </c>
      <c r="D56" s="929" t="str">
        <f>INDEX('REVIEW - Complete Role Mapping'!$AF$2:$AF$700,MATCH($A56,'REVIEW - Complete Role Mapping'!$AQ$2:$AQ$700,0))</f>
        <v>Filled</v>
      </c>
      <c r="E56" s="543" t="inlineStr">
        <is>
          <t>Filled</t>
        </is>
      </c>
      <c r="F56" s="1031">
        <f>INDEX('REVIEW - Complete Role Mapping'!$AE$2:$AE$700,MATCH($A56,'REVIEW - Complete Role Mapping'!$AQ$2:$AQ$700,0))</f>
        <v>179970.9</v>
      </c>
      <c r="G56" s="1031">
        <f>$F56*IF(ISNUMBER(SEARCH("WIPRO",INDEX('REVIEW - Complete Role Mapping'!$R$2:$R$700,MATCH($A56,'REVIEW - Complete Role Mapping'!$AQ$2:$AQ$700,0)))),1,IFERROR(INDEX(Lists!$AD$2:$AD$5,MATCH($E56,Lists!$AC$2:$AC$5,0)),NA()))</f>
        <v>179970.9</v>
      </c>
    </row>
    <row r="57" ht="14.25" customHeight="1" s="535">
      <c r="A57" s="1045" t="inlineStr">
        <is>
          <t>R0419</t>
        </is>
      </c>
      <c r="B57" s="929" t="str">
        <f>INDEX('REVIEW - Complete Role Mapping'!$B$2:$B$700,MATCH($A57,'REVIEW - Complete Role Mapping'!$AQ$2:$AQ$700,0))</f>
        <v>Poch Fernandez</v>
      </c>
      <c r="C57" s="929" t="str">
        <f>INDEX('REVIEW - Complete Role Mapping'!$D$2:$D$700,MATCH($A57,'REVIEW - Complete Role Mapping'!$AQ$2:$AQ$700,0))</f>
        <v>Lead Technology Support  </v>
      </c>
      <c r="D57" s="929" t="str">
        <f>INDEX('REVIEW - Complete Role Mapping'!$AF$2:$AF$700,MATCH($A57,'REVIEW - Complete Role Mapping'!$AQ$2:$AQ$700,0))</f>
        <v>Filled</v>
      </c>
      <c r="E57" s="543" t="inlineStr">
        <is>
          <t>Filled</t>
        </is>
      </c>
      <c r="F57" s="1031">
        <f>INDEX('REVIEW - Complete Role Mapping'!$AE$2:$AE$700,MATCH($A57,'REVIEW - Complete Role Mapping'!$AQ$2:$AQ$700,0))</f>
        <v>216633.121</v>
      </c>
      <c r="G57" s="1031">
        <f>$F57*IF(ISNUMBER(SEARCH("WIPRO",INDEX('REVIEW - Complete Role Mapping'!$R$2:$R$700,MATCH($A57,'REVIEW - Complete Role Mapping'!$AQ$2:$AQ$700,0)))),1,IFERROR(INDEX(Lists!$AD$2:$AD$5,MATCH($E57,Lists!$AC$2:$AC$5,0)),NA()))</f>
        <v>216633.121</v>
      </c>
    </row>
    <row r="58" ht="14.25" customHeight="1" s="535">
      <c r="A58" s="1045" t="inlineStr">
        <is>
          <t>R0484</t>
        </is>
      </c>
      <c r="B58" s="929" t="str">
        <f>INDEX('REVIEW - Complete Role Mapping'!$B$2:$B$700,MATCH($A58,'REVIEW - Complete Role Mapping'!$AQ$2:$AQ$700,0))</f>
        <v>Vacant</v>
      </c>
      <c r="C58" s="929" t="str">
        <f>INDEX('REVIEW - Complete Role Mapping'!$D$2:$D$700,MATCH($A58,'REVIEW - Complete Role Mapping'!$AQ$2:$AQ$700,0))</f>
        <v>Quality Assurance</v>
      </c>
      <c r="D58" s="929" t="str">
        <f>INDEX('REVIEW - Complete Role Mapping'!$AF$2:$AF$700,MATCH($A58,'REVIEW - Complete Role Mapping'!$AQ$2:$AQ$700,0))</f>
        <v>Vacant</v>
      </c>
      <c r="E58" s="543" t="inlineStr">
        <is>
          <t>Hire</t>
        </is>
      </c>
      <c r="F58" s="1031">
        <f>INDEX('REVIEW - Complete Role Mapping'!$AE$2:$AE$700,MATCH($A58,'REVIEW - Complete Role Mapping'!$AQ$2:$AQ$700,0))</f>
        <v>170489.75</v>
      </c>
      <c r="G58" s="1031">
        <f>$F58*IF(ISNUMBER(SEARCH("WIPRO",INDEX('REVIEW - Complete Role Mapping'!$R$2:$R$700,MATCH($A58,'REVIEW - Complete Role Mapping'!$AQ$2:$AQ$700,0)))),1,IFERROR(INDEX(Lists!$AD$2:$AD$5,MATCH($E58,Lists!$AC$2:$AC$5,0)),NA()))</f>
        <v>170489.75</v>
      </c>
    </row>
    <row r="59" ht="14.25" customHeight="1" s="535">
      <c r="A59" s="1045" t="inlineStr">
        <is>
          <t>R0504</t>
        </is>
      </c>
      <c r="B59" s="929" t="str">
        <f>INDEX('REVIEW - Complete Role Mapping'!$B$2:$B$700,MATCH($A59,'REVIEW - Complete Role Mapping'!$AQ$2:$AQ$700,0))</f>
        <v>Vacant</v>
      </c>
      <c r="C59" s="929" t="str">
        <f>INDEX('REVIEW - Complete Role Mapping'!$D$2:$D$700,MATCH($A59,'REVIEW - Complete Role Mapping'!$AQ$2:$AQ$700,0))</f>
        <v>Tech Support Technician</v>
      </c>
      <c r="D59" s="929" t="str">
        <f>INDEX('REVIEW - Complete Role Mapping'!$AF$2:$AF$700,MATCH($A59,'REVIEW - Complete Role Mapping'!$AQ$2:$AQ$700,0))</f>
        <v>Vacant</v>
      </c>
      <c r="E59" s="543" t="inlineStr">
        <is>
          <t>Hold</t>
        </is>
      </c>
      <c r="F59" s="1031">
        <f>INDEX('REVIEW - Complete Role Mapping'!$AE$2:$AE$700,MATCH($A59,'REVIEW - Complete Role Mapping'!$AQ$2:$AQ$700,0))</f>
        <v>122571.75</v>
      </c>
      <c r="G59" s="1031">
        <f>$F59*IF(ISNUMBER(SEARCH("WIPRO",INDEX('REVIEW - Complete Role Mapping'!$R$2:$R$700,MATCH($A59,'REVIEW - Complete Role Mapping'!$AQ$2:$AQ$700,0)))),1,IFERROR(INDEX(Lists!$AD$2:$AD$5,MATCH($E59,Lists!$AC$2:$AC$5,0)),NA()))</f>
        <v>0</v>
      </c>
    </row>
    <row r="60" ht="14.25" customHeight="1" s="535">
      <c r="B60" s="1029" t="inlineStr">
        <is>
          <t>Trading &amp; Shipping Data</t>
        </is>
      </c>
      <c r="C60" s="1029" t="str">
        <f>COUNTIF($B$61:$B$67,"?*")&amp;IF(COUNTIF($B$61:$B$67,"?*")=1," role"," roles")</f>
        <v>7 roles</v>
      </c>
      <c r="D60" s="1029" t="n"/>
      <c r="E60" s="1029" t="n"/>
      <c r="F60" s="1044">
        <f>SUM(F61:F67)</f>
        <v>2106168.849</v>
      </c>
      <c r="G60" s="1044">
        <f>SUM(G61:G67)</f>
        <v>2106168.849</v>
      </c>
    </row>
    <row r="61" ht="14.25" customHeight="1" s="535">
      <c r="A61" s="1045" t="inlineStr">
        <is>
          <t>R0245</t>
        </is>
      </c>
      <c r="B61" s="929" t="str">
        <f>INDEX('REVIEW - Complete Role Mapping'!$B$2:$B$700,MATCH($A61,'REVIEW - Complete Role Mapping'!$AQ$2:$AQ$700,0))</f>
        <v>Anusha Viswanatha</v>
      </c>
      <c r="C61" s="929" t="str">
        <f>INDEX('REVIEW - Complete Role Mapping'!$D$2:$D$700,MATCH($A61,'REVIEW - Complete Role Mapping'!$AQ$2:$AQ$700,0))</f>
        <v>Delivery Lead</v>
      </c>
      <c r="D61" s="929" t="str">
        <f>INDEX('REVIEW - Complete Role Mapping'!$AF$2:$AF$700,MATCH($A61,'REVIEW - Complete Role Mapping'!$AQ$2:$AQ$700,0))</f>
        <v>Filled</v>
      </c>
      <c r="E61" s="543" t="inlineStr">
        <is>
          <t>Filled</t>
        </is>
      </c>
      <c r="F61" s="1031">
        <f>INDEX('REVIEW - Complete Role Mapping'!$AE$2:$AE$700,MATCH($A61,'REVIEW - Complete Role Mapping'!$AQ$2:$AQ$700,0))</f>
        <v>286934</v>
      </c>
      <c r="G61" s="1031">
        <f>$F61*IF(ISNUMBER(SEARCH("WIPRO",INDEX('REVIEW - Complete Role Mapping'!$R$2:$R$700,MATCH($A61,'REVIEW - Complete Role Mapping'!$AQ$2:$AQ$700,0)))),1,IFERROR(INDEX(Lists!$AD$2:$AD$5,MATCH($E61,Lists!$AC$2:$AC$5,0)),NA()))</f>
        <v>286934</v>
      </c>
    </row>
    <row r="62" ht="14.25" customHeight="1" s="535">
      <c r="A62" s="1045" t="inlineStr">
        <is>
          <t>R0246</t>
        </is>
      </c>
      <c r="B62" s="929" t="str">
        <f>INDEX('REVIEW - Complete Role Mapping'!$B$2:$B$700,MATCH($A62,'REVIEW - Complete Role Mapping'!$AQ$2:$AQ$700,0))</f>
        <v>Jonathan Wong</v>
      </c>
      <c r="C62" s="929" t="str">
        <f>INDEX('REVIEW - Complete Role Mapping'!$D$2:$D$700,MATCH($A62,'REVIEW - Complete Role Mapping'!$AQ$2:$AQ$700,0))</f>
        <v>Senior Business Analyst</v>
      </c>
      <c r="D62" s="929" t="str">
        <f>INDEX('REVIEW - Complete Role Mapping'!$AF$2:$AF$700,MATCH($A62,'REVIEW - Complete Role Mapping'!$AQ$2:$AQ$700,0))</f>
        <v>Filled</v>
      </c>
      <c r="E62" s="543" t="inlineStr">
        <is>
          <t>Filled</t>
        </is>
      </c>
      <c r="F62" s="1031">
        <f>INDEX('REVIEW - Complete Role Mapping'!$AE$2:$AE$700,MATCH($A62,'REVIEW - Complete Role Mapping'!$AQ$2:$AQ$700,0))</f>
        <v>322387</v>
      </c>
      <c r="G62" s="1031">
        <f>$F62*IF(ISNUMBER(SEARCH("WIPRO",INDEX('REVIEW - Complete Role Mapping'!$R$2:$R$700,MATCH($A62,'REVIEW - Complete Role Mapping'!$AQ$2:$AQ$700,0)))),1,IFERROR(INDEX(Lists!$AD$2:$AD$5,MATCH($E62,Lists!$AC$2:$AC$5,0)),NA()))</f>
        <v>322387</v>
      </c>
    </row>
    <row r="63" ht="14.25" customHeight="1" s="535">
      <c r="A63" s="1045" t="inlineStr">
        <is>
          <t>R0247</t>
        </is>
      </c>
      <c r="B63" s="929" t="str">
        <f>INDEX('REVIEW - Complete Role Mapping'!$B$2:$B$700,MATCH($A63,'REVIEW - Complete Role Mapping'!$AQ$2:$AQ$700,0))</f>
        <v>Kumar Siva</v>
      </c>
      <c r="C63" s="929" t="str">
        <f>INDEX('REVIEW - Complete Role Mapping'!$D$2:$D$700,MATCH($A63,'REVIEW - Complete Role Mapping'!$AQ$2:$AQ$700,0))</f>
        <v>Lead engineer Data</v>
      </c>
      <c r="D63" s="929" t="str">
        <f>INDEX('REVIEW - Complete Role Mapping'!$AF$2:$AF$700,MATCH($A63,'REVIEW - Complete Role Mapping'!$AQ$2:$AQ$700,0))</f>
        <v>Filled</v>
      </c>
      <c r="E63" s="543" t="inlineStr">
        <is>
          <t>Filled</t>
        </is>
      </c>
      <c r="F63" s="1031">
        <f>INDEX('REVIEW - Complete Role Mapping'!$AE$2:$AE$700,MATCH($A63,'REVIEW - Complete Role Mapping'!$AQ$2:$AQ$700,0))</f>
        <v>375566.5</v>
      </c>
      <c r="G63" s="1031">
        <f>$F63*IF(ISNUMBER(SEARCH("WIPRO",INDEX('REVIEW - Complete Role Mapping'!$R$2:$R$700,MATCH($A63,'REVIEW - Complete Role Mapping'!$AQ$2:$AQ$700,0)))),1,IFERROR(INDEX(Lists!$AD$2:$AD$5,MATCH($E63,Lists!$AC$2:$AC$5,0)),NA()))</f>
        <v>375566.5</v>
      </c>
    </row>
    <row r="64" ht="14.25" customHeight="1" s="535">
      <c r="A64" s="1045" t="inlineStr">
        <is>
          <t>R0248</t>
        </is>
      </c>
      <c r="B64" s="929" t="str">
        <f>INDEX('REVIEW - Complete Role Mapping'!$B$2:$B$700,MATCH($A64,'REVIEW - Complete Role Mapping'!$AQ$2:$AQ$700,0))</f>
        <v>Soumya Choudhury</v>
      </c>
      <c r="C64" s="929" t="str">
        <f>INDEX('REVIEW - Complete Role Mapping'!$D$2:$D$700,MATCH($A64,'REVIEW - Complete Role Mapping'!$AQ$2:$AQ$700,0))</f>
        <v>Data Application Specialist </v>
      </c>
      <c r="D64" s="929" t="str">
        <f>INDEX('REVIEW - Complete Role Mapping'!$AF$2:$AF$700,MATCH($A64,'REVIEW - Complete Role Mapping'!$AQ$2:$AQ$700,0))</f>
        <v>Filled</v>
      </c>
      <c r="E64" s="543" t="inlineStr">
        <is>
          <t>Filled</t>
        </is>
      </c>
      <c r="F64" s="1031">
        <f>INDEX('REVIEW - Complete Role Mapping'!$AE$2:$AE$700,MATCH($A64,'REVIEW - Complete Role Mapping'!$AQ$2:$AQ$700,0))</f>
        <v>325684.129</v>
      </c>
      <c r="G64" s="1031">
        <f>$F64*IF(ISNUMBER(SEARCH("WIPRO",INDEX('REVIEW - Complete Role Mapping'!$R$2:$R$700,MATCH($A64,'REVIEW - Complete Role Mapping'!$AQ$2:$AQ$700,0)))),1,IFERROR(INDEX(Lists!$AD$2:$AD$5,MATCH($E64,Lists!$AC$2:$AC$5,0)),NA()))</f>
        <v>325684.129</v>
      </c>
    </row>
    <row r="65" ht="14.25" customHeight="1" s="535">
      <c r="A65" s="1045" t="inlineStr">
        <is>
          <t>R0383</t>
        </is>
      </c>
      <c r="B65" s="929" t="str">
        <f>INDEX('REVIEW - Complete Role Mapping'!$B$2:$B$700,MATCH($A65,'REVIEW - Complete Role Mapping'!$AQ$2:$AQ$700,0))</f>
        <v>Arun Prakash Jayaprakasam</v>
      </c>
      <c r="C65" s="929" t="str">
        <f>INDEX('REVIEW - Complete Role Mapping'!$D$2:$D$700,MATCH($A65,'REVIEW - Complete Role Mapping'!$AQ$2:$AQ$700,0))</f>
        <v>Data Engineer Analyst</v>
      </c>
      <c r="D65" s="929" t="str">
        <f>INDEX('REVIEW - Complete Role Mapping'!$AF$2:$AF$700,MATCH($A65,'REVIEW - Complete Role Mapping'!$AQ$2:$AQ$700,0))</f>
        <v>Filled</v>
      </c>
      <c r="E65" s="543" t="inlineStr">
        <is>
          <t>Filled</t>
        </is>
      </c>
      <c r="F65" s="1031">
        <f>INDEX('REVIEW - Complete Role Mapping'!$AE$2:$AE$700,MATCH($A65,'REVIEW - Complete Role Mapping'!$AQ$2:$AQ$700,0))</f>
        <v>268285.722</v>
      </c>
      <c r="G65" s="1031">
        <f>$F65*IF(ISNUMBER(SEARCH("WIPRO",INDEX('REVIEW - Complete Role Mapping'!$R$2:$R$700,MATCH($A65,'REVIEW - Complete Role Mapping'!$AQ$2:$AQ$700,0)))),1,IFERROR(INDEX(Lists!$AD$2:$AD$5,MATCH($E65,Lists!$AC$2:$AC$5,0)),NA()))</f>
        <v>268285.722</v>
      </c>
    </row>
    <row r="66" ht="14.25" customHeight="1" s="535">
      <c r="A66" s="1045" t="inlineStr">
        <is>
          <t>R0384</t>
        </is>
      </c>
      <c r="B66" s="929" t="str">
        <f>INDEX('REVIEW - Complete Role Mapping'!$B$2:$B$700,MATCH($A66,'REVIEW - Complete Role Mapping'!$AQ$2:$AQ$700,0))</f>
        <v>Ayushi Agarwal</v>
      </c>
      <c r="C66" s="929" t="str">
        <f>INDEX('REVIEW - Complete Role Mapping'!$D$2:$D$700,MATCH($A66,'REVIEW - Complete Role Mapping'!$AQ$2:$AQ$700,0))</f>
        <v>Engineer Data</v>
      </c>
      <c r="D66" s="929" t="str">
        <f>INDEX('REVIEW - Complete Role Mapping'!$AF$2:$AF$700,MATCH($A66,'REVIEW - Complete Role Mapping'!$AQ$2:$AQ$700,0))</f>
        <v>Filled</v>
      </c>
      <c r="E66" s="543" t="inlineStr">
        <is>
          <t>Filled</t>
        </is>
      </c>
      <c r="F66" s="1031">
        <f>INDEX('REVIEW - Complete Role Mapping'!$AE$2:$AE$700,MATCH($A66,'REVIEW - Complete Role Mapping'!$AQ$2:$AQ$700,0))</f>
        <v>260911.498</v>
      </c>
      <c r="G66" s="1031">
        <f>$F66*IF(ISNUMBER(SEARCH("WIPRO",INDEX('REVIEW - Complete Role Mapping'!$R$2:$R$700,MATCH($A66,'REVIEW - Complete Role Mapping'!$AQ$2:$AQ$700,0)))),1,IFERROR(INDEX(Lists!$AD$2:$AD$5,MATCH($E66,Lists!$AC$2:$AC$5,0)),NA()))</f>
        <v>260911.498</v>
      </c>
    </row>
    <row r="67" ht="14.25" customHeight="1" s="535">
      <c r="A67" s="1045" t="inlineStr">
        <is>
          <t>R0524</t>
        </is>
      </c>
      <c r="B67" s="929" t="str">
        <f>INDEX('REVIEW - Complete Role Mapping'!$B$2:$B$700,MATCH($A67,'REVIEW - Complete Role Mapping'!$AQ$2:$AQ$700,0))</f>
        <v>Zijie Zhang</v>
      </c>
      <c r="C67" s="929" t="str">
        <f>INDEX('REVIEW - Complete Role Mapping'!$D$2:$D$700,MATCH($A67,'REVIEW - Complete Role Mapping'!$AQ$2:$AQ$700,0))</f>
        <v>Senior Data Analyst</v>
      </c>
      <c r="D67" s="929" t="str">
        <f>INDEX('REVIEW - Complete Role Mapping'!$AF$2:$AF$700,MATCH($A67,'REVIEW - Complete Role Mapping'!$AQ$2:$AQ$700,0))</f>
        <v>Filled</v>
      </c>
      <c r="E67" s="543" t="inlineStr">
        <is>
          <t>Filled</t>
        </is>
      </c>
      <c r="F67" s="1031">
        <f>INDEX('REVIEW - Complete Role Mapping'!$AE$2:$AE$700,MATCH($A67,'REVIEW - Complete Role Mapping'!$AQ$2:$AQ$700,0))</f>
        <v>266400</v>
      </c>
      <c r="G67" s="1031">
        <f>$F67*IF(ISNUMBER(SEARCH("WIPRO",INDEX('REVIEW - Complete Role Mapping'!$R$2:$R$700,MATCH($A67,'REVIEW - Complete Role Mapping'!$AQ$2:$AQ$700,0)))),1,IFERROR(INDEX(Lists!$AD$2:$AD$5,MATCH($E67,Lists!$AC$2:$AC$5,0)),NA()))</f>
        <v>266400</v>
      </c>
    </row>
    <row r="68" ht="14.25" customHeight="1" s="535">
      <c r="B68" s="1029" t="inlineStr">
        <is>
          <t>Head of Technology</t>
        </is>
      </c>
      <c r="C68" s="1029" t="str">
        <f>COUNTIF($B$69:$B$69,"?*")&amp;IF(COUNTIF($B$69:$B$69,"?*")=1," role"," roles")</f>
        <v>1 role</v>
      </c>
      <c r="D68" s="1029" t="n"/>
      <c r="E68" s="1029" t="n"/>
      <c r="F68" s="1044">
        <f>SUM(F69:F69)</f>
        <v>292434.736</v>
      </c>
      <c r="G68" s="1044">
        <f>SUM(G69:G69)</f>
        <v>292434.736</v>
      </c>
    </row>
    <row r="69" ht="14.25" customHeight="1" s="535">
      <c r="A69" s="1045" t="inlineStr">
        <is>
          <t>R0063</t>
        </is>
      </c>
      <c r="B69" s="929" t="str">
        <f>INDEX('REVIEW - Complete Role Mapping'!$B$2:$B$700,MATCH($A69,'REVIEW - Complete Role Mapping'!$AQ$2:$AQ$700,0))</f>
        <v>Nakul Bharade</v>
      </c>
      <c r="C69" s="929" t="str">
        <f>INDEX('REVIEW - Complete Role Mapping'!$D$2:$D$700,MATCH($A69,'REVIEW - Complete Role Mapping'!$AQ$2:$AQ$700,0))</f>
        <v>Head of Technology, Commercial Fuels</v>
      </c>
      <c r="D69" s="929" t="str">
        <f>INDEX('REVIEW - Complete Role Mapping'!$AF$2:$AF$700,MATCH($A69,'REVIEW - Complete Role Mapping'!$AQ$2:$AQ$700,0))</f>
        <v>Filled</v>
      </c>
      <c r="E69" s="543" t="inlineStr">
        <is>
          <t>Filled</t>
        </is>
      </c>
      <c r="F69" s="1031">
        <f>INDEX('REVIEW - Complete Role Mapping'!$AE$2:$AE$700,MATCH($A69,'REVIEW - Complete Role Mapping'!$AQ$2:$AQ$700,0))</f>
        <v>292434.736</v>
      </c>
      <c r="G69" s="1031">
        <f>$F69*IF(ISNUMBER(SEARCH("WIPRO",INDEX('REVIEW - Complete Role Mapping'!$R$2:$R$700,MATCH($A69,'REVIEW - Complete Role Mapping'!$AQ$2:$AQ$700,0)))),1,IFERROR(INDEX(Lists!$AD$2:$AD$5,MATCH($E69,Lists!$AC$2:$AC$5,0)),NA()))</f>
        <v>292434.736</v>
      </c>
    </row>
    <row r="70" ht="14.25" customHeight="1" s="535">
      <c r="B70" s="1029" t="inlineStr">
        <is>
          <t>Delivery Manager</t>
        </is>
      </c>
      <c r="C70" s="1029" t="str">
        <f>COUNTIF($B$71:$B$71,"?*")&amp;IF(COUNTIF($B$71:$B$71,"?*")=1," role"," roles")</f>
        <v>1 role</v>
      </c>
      <c r="D70" s="1029" t="n"/>
      <c r="E70" s="1029" t="n"/>
      <c r="F70" s="1044">
        <f>SUM(F71:F71)</f>
        <v>275810.25</v>
      </c>
      <c r="G70" s="1044">
        <f>SUM(G71:G71)</f>
        <v>275810.25</v>
      </c>
    </row>
    <row r="71" ht="14.25" customHeight="1" s="535">
      <c r="A71" s="1045" t="inlineStr">
        <is>
          <t>R0098</t>
        </is>
      </c>
      <c r="B71" s="929" t="str">
        <f>INDEX('REVIEW - Complete Role Mapping'!$B$2:$B$700,MATCH($A71,'REVIEW - Complete Role Mapping'!$AQ$2:$AQ$700,0))</f>
        <v>Vacant</v>
      </c>
      <c r="C71" s="929" t="str">
        <f>INDEX('REVIEW - Complete Role Mapping'!$D$2:$D$700,MATCH($A71,'REVIEW - Complete Role Mapping'!$AQ$2:$AQ$700,0))</f>
        <v>Delivery Manager</v>
      </c>
      <c r="D71" s="929" t="str">
        <f>INDEX('REVIEW - Complete Role Mapping'!$AF$2:$AF$700,MATCH($A71,'REVIEW - Complete Role Mapping'!$AQ$2:$AQ$700,0))</f>
        <v>Vacant</v>
      </c>
      <c r="E71" s="543" t="inlineStr">
        <is>
          <t>Hire</t>
        </is>
      </c>
      <c r="F71" s="1031">
        <f>INDEX('REVIEW - Complete Role Mapping'!$AE$2:$AE$700,MATCH($A71,'REVIEW - Complete Role Mapping'!$AQ$2:$AQ$700,0))</f>
        <v>275810.25</v>
      </c>
      <c r="G71" s="1031">
        <f>$F71*IF(ISNUMBER(SEARCH("WIPRO",INDEX('REVIEW - Complete Role Mapping'!$R$2:$R$700,MATCH($A71,'REVIEW - Complete Role Mapping'!$AQ$2:$AQ$700,0)))),1,IFERROR(INDEX(Lists!$AD$2:$AD$5,MATCH($E71,Lists!$AC$2:$AC$5,0)),NA()))</f>
        <v>275810.25</v>
      </c>
    </row>
    <row r="72" ht="14.25" customHeight="1" s="535">
      <c r="B72" s="1029" t="inlineStr">
        <is>
          <t>Technology Manager</t>
        </is>
      </c>
      <c r="C72" s="1029" t="str">
        <f>COUNTIF($B$73:$B$74,"?*")&amp;IF(COUNTIF($B$73:$B$74,"?*")=1," role"," roles")</f>
        <v>2 roles</v>
      </c>
      <c r="D72" s="1029" t="n"/>
      <c r="E72" s="1029" t="n"/>
      <c r="F72" s="1044">
        <f>SUM(F73:F74)</f>
        <v>563097.35</v>
      </c>
      <c r="G72" s="1044">
        <f>SUM(G73:G74)</f>
        <v>563097.35</v>
      </c>
    </row>
    <row r="73" ht="14.25" customHeight="1" s="535">
      <c r="A73" s="1045" t="inlineStr">
        <is>
          <t>R0097</t>
        </is>
      </c>
      <c r="B73" s="929" t="str">
        <f>INDEX('REVIEW - Complete Role Mapping'!$B$2:$B$700,MATCH($A73,'REVIEW - Complete Role Mapping'!$AQ$2:$AQ$700,0))</f>
        <v>Allan Francia</v>
      </c>
      <c r="C73" s="929" t="str">
        <f>INDEX('REVIEW - Complete Role Mapping'!$D$2:$D$700,MATCH($A73,'REVIEW - Complete Role Mapping'!$AQ$2:$AQ$700,0))</f>
        <v>Technology Manager - T&amp;S</v>
      </c>
      <c r="D73" s="929" t="str">
        <f>INDEX('REVIEW - Complete Role Mapping'!$AF$2:$AF$700,MATCH($A73,'REVIEW - Complete Role Mapping'!$AQ$2:$AQ$700,0))</f>
        <v>Filled</v>
      </c>
      <c r="E73" s="543" t="inlineStr">
        <is>
          <t>Filled</t>
        </is>
      </c>
      <c r="F73" s="1031">
        <f>INDEX('REVIEW - Complete Role Mapping'!$AE$2:$AE$700,MATCH($A73,'REVIEW - Complete Role Mapping'!$AQ$2:$AQ$700,0))</f>
        <v>287287.1</v>
      </c>
      <c r="G73" s="1031">
        <f>$F73*IF(ISNUMBER(SEARCH("WIPRO",INDEX('REVIEW - Complete Role Mapping'!$R$2:$R$700,MATCH($A73,'REVIEW - Complete Role Mapping'!$AQ$2:$AQ$700,0)))),1,IFERROR(INDEX(Lists!$AD$2:$AD$5,MATCH($E73,Lists!$AC$2:$AC$5,0)),NA()))</f>
        <v>287287.1</v>
      </c>
    </row>
    <row r="74" ht="14.25" customHeight="1" s="535">
      <c r="A74" s="1045" t="inlineStr">
        <is>
          <t>R0099</t>
        </is>
      </c>
      <c r="B74" s="929" t="str">
        <f>INDEX('REVIEW - Complete Role Mapping'!$B$2:$B$700,MATCH($A74,'REVIEW - Complete Role Mapping'!$AQ$2:$AQ$700,0))</f>
        <v>Vacant</v>
      </c>
      <c r="C74" s="929" t="str">
        <f>INDEX('REVIEW - Complete Role Mapping'!$D$2:$D$700,MATCH($A74,'REVIEW - Complete Role Mapping'!$AQ$2:$AQ$700,0))</f>
        <v>Technology Manager, Data</v>
      </c>
      <c r="D74" s="929" t="str">
        <f>INDEX('REVIEW - Complete Role Mapping'!$AF$2:$AF$700,MATCH($A74,'REVIEW - Complete Role Mapping'!$AQ$2:$AQ$700,0))</f>
        <v>Vacant</v>
      </c>
      <c r="E74" s="543" t="inlineStr">
        <is>
          <t>Hire</t>
        </is>
      </c>
      <c r="F74" s="1031">
        <f>INDEX('REVIEW - Complete Role Mapping'!$AE$2:$AE$700,MATCH($A74,'REVIEW - Complete Role Mapping'!$AQ$2:$AQ$700,0))</f>
        <v>275810.25</v>
      </c>
      <c r="G74" s="1031">
        <f>$F74*IF(ISNUMBER(SEARCH("WIPRO",INDEX('REVIEW - Complete Role Mapping'!$R$2:$R$700,MATCH($A74,'REVIEW - Complete Role Mapping'!$AQ$2:$AQ$700,0)))),1,IFERROR(INDEX(Lists!$AD$2:$AD$5,MATCH($E74,Lists!$AC$2:$AC$5,0)),NA()))</f>
        <v>275810.25</v>
      </c>
    </row>
    <row r="75"/>
    <row r="76" ht="14.25" customHeight="1" s="535">
      <c r="B76" s="1040" t="inlineStr">
        <is>
          <t>Vacancy levers on this tab, for the executive summary</t>
        </is>
      </c>
      <c r="J76" s="1046">
        <f>COUNTIFS($D$26:$D$74,"Vacant",$E$26:$E$74,"Hire")</f>
        <v>8</v>
      </c>
      <c r="K76" s="1046">
        <f>COUNTIFS($D$26:$D$74,"Vacant",$E$26:$E$74,"Offshore")</f>
        <v>0</v>
      </c>
      <c r="L76" s="1046">
        <f>COUNTIFS($D$26:$D$74,"Vacant",$E$26:$E$74,"Hold")</f>
        <v>1</v>
      </c>
      <c r="M76" s="1046">
        <f>COUNTIFS($D$26:$D$74,"Vacant",$E$26:$E$74,"Filled")</f>
        <v>0</v>
      </c>
      <c r="N76" s="1046">
        <f>COUNTIFS($D$26:$D$74,"Filled",$E$26:$E$74,"Offshore")</f>
        <v>0</v>
      </c>
    </row>
  </sheetData>
  <dataValidations count="1">
    <dataValidation sqref="E27:E40 E42:E46 E48:E59 E61:E67 E69 E71 E73:E74"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1"/>
  </sheetPr>
  <dimension ref="A1:T72"/>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18" activeCellId="0" sqref="B18"/>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Z Retail - working copy</t>
        </is>
      </c>
    </row>
    <row r="3" ht="14.25" customHeight="1" s="535">
      <c r="B3" s="709" t="inlineStr">
        <is>
          <t>Portfolio</t>
        </is>
      </c>
      <c r="C3" s="868" t="inlineStr">
        <is>
          <t>Z Retail</t>
        </is>
      </c>
    </row>
    <row r="4" ht="18.75" customHeight="1" s="535">
      <c r="B4" s="537" t="inlineStr">
        <is>
          <t>Z Retail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Data NZ</t>
        </is>
      </c>
      <c r="C8" s="929" t="str">
        <f>IFERROR(IF(INDEX('1.10 Z Retail'!$C$24:$C$41,MATCH($B8,'1.10 Z Retail'!$B$24:$B$41,0))="","",INDEX('1.10 Z Retail'!$C$24:$C$41,MATCH($B8,'1.10 Z Retail'!$B$24:$B$41,0))),"Not on the 1.x tab")</f>
        <v>Enterprise Data and Insights</v>
      </c>
      <c r="D8" s="929" t="str">
        <f>IFERROR(IF(INDEX('1.10 Z Retail'!$D$24:$D$41,MATCH($B8,'1.10 Z Retail'!$B$24:$B$41,0))="","",INDEX('1.10 Z Retail'!$D$24:$D$41,MATCH($B8,'1.10 Z Retail'!$B$24:$B$41,0))),"")</f>
        <v>M</v>
      </c>
      <c r="E8" s="1030">
        <f>IFERROR(INDEX('0.3 Squad Archetypes'!$F$5:$F$23,MATCH($C8&amp;"|"&amp;$D8,'0.3 Squad Archetypes'!$A$5:$A$23,0)),"")</f>
        <v>7.5</v>
      </c>
      <c r="F8" s="1031">
        <f>COUNTIF($B$26:$B$32,"?*")</f>
        <v>7</v>
      </c>
      <c r="G8" s="1030">
        <f>ROUND(SUMIFS('REVIEW - Complete Role Mapping'!$P$2:$P$700,'REVIEW - Complete Role Mapping'!$AH$2:$AH$700,$C$3,'REVIEW - Complete Role Mapping'!$AL$2:$AL$700,$B8),2)</f>
        <v>7</v>
      </c>
      <c r="H8" s="1031">
        <f>COUNTIFS($D$26:$D$32,"Filled")</f>
        <v>5</v>
      </c>
      <c r="I8" s="1031">
        <f>COUNTIFS($D$26:$D$32,"Vacant")</f>
        <v>2</v>
      </c>
      <c r="J8" s="1031">
        <f>COUNTIFS($D$26:$D$32,"Vacant",$E$26:$E$32,"Hire")</f>
        <v>0</v>
      </c>
      <c r="K8" s="1031">
        <f>COUNTIFS($E$26:$E$32,"Offshore")</f>
        <v>0</v>
      </c>
      <c r="L8" s="1031">
        <f>COUNTIFS($E$26:$E$32,"Hold")</f>
        <v>2</v>
      </c>
      <c r="M8" s="1031">
        <f>$F8-$L8</f>
        <v>5</v>
      </c>
      <c r="N8" s="1032">
        <f>IFERROR(IF(ISNUMBER(INDEX('1.10 Z Retail'!$H$24:$H$41,MATCH($B8,'1.10 Z Retail'!$B$24:$B$41,0))),INDEX('1.10 Z Retail'!$H$24:$H$41,MATCH($B8,'1.10 Z Retail'!$B$24:$B$41,0)),""),"")</f>
        <v>0.68</v>
      </c>
      <c r="O8" s="1032">
        <f>SUMIFS('REVIEW - Complete Role Mapping'!$AE$2:$AE$700,'REVIEW - Complete Role Mapping'!$AH$2:$AH$700,$C$3,'REVIEW - Complete Role Mapping'!$AL$2:$AL$700,$B8)/1000000</f>
        <v>1.223843362</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1.223843362</v>
      </c>
      <c r="R8" s="1032">
        <f>IFERROR(ROUND(IF(COUNTIF(Lists!$AU$2:$AU$10,$B8),$O8,$Q8)-$N8,6),"")</f>
        <v>0.543843</v>
      </c>
      <c r="S8" s="1032">
        <f>SUM($G$26:$G$32)/1000000</f>
        <v>0.745179862</v>
      </c>
      <c r="T8" s="1032">
        <f>IFERROR(ROUND($S8-$N8,6),"")</f>
        <v>0.06518</v>
      </c>
    </row>
    <row r="9" ht="14.25" customHeight="1" s="535">
      <c r="B9" s="929" t="inlineStr">
        <is>
          <t>Site Systems</t>
        </is>
      </c>
      <c r="C9" s="929" t="str">
        <f>IFERROR(IF(INDEX('1.10 Z Retail'!$C$24:$C$41,MATCH($B9,'1.10 Z Retail'!$B$24:$B$41,0))="","",INDEX('1.10 Z Retail'!$C$24:$C$41,MATCH($B9,'1.10 Z Retail'!$B$24:$B$41,0))),"Not on the 1.x tab")</f>
        <v>Configuration / Integration</v>
      </c>
      <c r="D9" s="929" t="str">
        <f>IFERROR(IF(INDEX('1.10 Z Retail'!$D$24:$D$41,MATCH($B9,'1.10 Z Retail'!$B$24:$B$41,0))="","",INDEX('1.10 Z Retail'!$D$24:$D$41,MATCH($B9,'1.10 Z Retail'!$B$24:$B$41,0))),"")</f>
        <v>M</v>
      </c>
      <c r="E9" s="1030">
        <f>IFERROR(INDEX('0.3 Squad Archetypes'!$F$5:$F$23,MATCH($C9&amp;"|"&amp;$D9,'0.3 Squad Archetypes'!$A$5:$A$23,0)),"")</f>
        <v>9</v>
      </c>
      <c r="F9" s="1031">
        <f>COUNTIF($B$34:$B$42,"?*")</f>
        <v>9</v>
      </c>
      <c r="G9" s="1030">
        <f>ROUND(SUMIFS('REVIEW - Complete Role Mapping'!$P$2:$P$700,'REVIEW - Complete Role Mapping'!$AH$2:$AH$700,$C$3,'REVIEW - Complete Role Mapping'!$AL$2:$AL$700,$B9),2)</f>
        <v>9</v>
      </c>
      <c r="H9" s="1031">
        <f>COUNTIFS($D$34:$D$42,"Filled")</f>
        <v>9</v>
      </c>
      <c r="I9" s="1031">
        <f>COUNTIFS($D$34:$D$42,"Vacant")</f>
        <v>0</v>
      </c>
      <c r="J9" s="1031">
        <f>COUNTIFS($D$34:$D$42,"Vacant",$E$34:$E$42,"Hire")</f>
        <v>0</v>
      </c>
      <c r="K9" s="1031">
        <f>COUNTIFS($E$34:$E$42,"Offshore")</f>
        <v>0</v>
      </c>
      <c r="L9" s="1031">
        <f>COUNTIFS($E$34:$E$42,"Hold")</f>
        <v>0</v>
      </c>
      <c r="M9" s="1031">
        <f>$F9-$L9</f>
        <v>9</v>
      </c>
      <c r="N9" s="1032">
        <f>IFERROR(IF(ISNUMBER(INDEX('1.10 Z Retail'!$H$24:$H$41,MATCH($B9,'1.10 Z Retail'!$B$24:$B$41,0))),INDEX('1.10 Z Retail'!$H$24:$H$41,MATCH($B9,'1.10 Z Retail'!$B$24:$B$41,0)),""),"")</f>
        <v>2.1</v>
      </c>
      <c r="O9" s="1032">
        <f>SUMIFS('REVIEW - Complete Role Mapping'!$AE$2:$AE$700,'REVIEW - Complete Role Mapping'!$AH$2:$AH$700,$C$3,'REVIEW - Complete Role Mapping'!$AL$2:$AL$700,$B9)/1000000</f>
        <v>1.374665758</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1.374665758</v>
      </c>
      <c r="R9" s="1032">
        <f>IFERROR(ROUND(IF(COUNTIF(Lists!$AU$2:$AU$10,$B9),$O9,$Q9)-$N9,6),"")</f>
        <v>-0.725334</v>
      </c>
      <c r="S9" s="1032">
        <f>SUM($G$34:$G$42)/1000000</f>
        <v>1.374665758</v>
      </c>
      <c r="T9" s="1032">
        <f>IFERROR(ROUND($S9-$N9,6),"")</f>
        <v>-0.725334</v>
      </c>
    </row>
    <row r="10" ht="14.25" customHeight="1" s="535">
      <c r="B10" s="929" t="inlineStr">
        <is>
          <t>Z Retail Backend</t>
        </is>
      </c>
      <c r="C10" s="929" t="str">
        <f>IFERROR(IF(INDEX('1.10 Z Retail'!$C$24:$C$41,MATCH($B10,'1.10 Z Retail'!$B$24:$B$41,0))="","",INDEX('1.10 Z Retail'!$C$24:$C$41,MATCH($B10,'1.10 Z Retail'!$B$24:$B$41,0))),"Not on the 1.x tab")</f>
        <v>Build and Run</v>
      </c>
      <c r="D10" s="929" t="str">
        <f>IFERROR(IF(INDEX('1.10 Z Retail'!$D$24:$D$41,MATCH($B10,'1.10 Z Retail'!$B$24:$B$41,0))="","",INDEX('1.10 Z Retail'!$D$24:$D$41,MATCH($B10,'1.10 Z Retail'!$B$24:$B$41,0))),"")</f>
        <v>M</v>
      </c>
      <c r="E10" s="1030">
        <f>IFERROR(INDEX('0.3 Squad Archetypes'!$F$5:$F$23,MATCH($C10&amp;"|"&amp;$D10,'0.3 Squad Archetypes'!$A$5:$A$23,0)),"")</f>
        <v>9</v>
      </c>
      <c r="F10" s="1031">
        <f>COUNTIF($B$44:$B$52,"?*")</f>
        <v>9</v>
      </c>
      <c r="G10" s="1030">
        <f>ROUND(SUMIFS('REVIEW - Complete Role Mapping'!$P$2:$P$700,'REVIEW - Complete Role Mapping'!$AH$2:$AH$700,$C$3,'REVIEW - Complete Role Mapping'!$AL$2:$AL$700,$B10),2)</f>
        <v>9</v>
      </c>
      <c r="H10" s="1031">
        <f>COUNTIFS($D$44:$D$52,"Filled")</f>
        <v>7</v>
      </c>
      <c r="I10" s="1031">
        <f>COUNTIFS($D$44:$D$52,"Vacant")</f>
        <v>2</v>
      </c>
      <c r="J10" s="1031">
        <f>COUNTIFS($D$44:$D$52,"Vacant",$E$44:$E$52,"Hire")</f>
        <v>1</v>
      </c>
      <c r="K10" s="1031">
        <f>COUNTIFS($E$44:$E$52,"Offshore")</f>
        <v>0</v>
      </c>
      <c r="L10" s="1031">
        <f>COUNTIFS($E$44:$E$52,"Hold")</f>
        <v>1</v>
      </c>
      <c r="M10" s="1031">
        <f>$F10-$L10</f>
        <v>8</v>
      </c>
      <c r="N10" s="1032">
        <f>IFERROR(IF(ISNUMBER(INDEX('1.10 Z Retail'!$H$24:$H$41,MATCH($B10,'1.10 Z Retail'!$B$24:$B$41,0))),INDEX('1.10 Z Retail'!$H$24:$H$41,MATCH($B10,'1.10 Z Retail'!$B$24:$B$41,0)),""),"")</f>
        <v>2</v>
      </c>
      <c r="O10" s="1032">
        <f>SUMIFS('REVIEW - Complete Role Mapping'!$AE$2:$AE$700,'REVIEW - Complete Role Mapping'!$AH$2:$AH$700,$C$3,'REVIEW - Complete Role Mapping'!$AL$2:$AL$700,$B10)/1000000</f>
        <v>1.857667168</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1.857667168</v>
      </c>
      <c r="R10" s="1032">
        <f>IFERROR(ROUND(IF(COUNTIF(Lists!$AU$2:$AU$10,$B10),$O10,$Q10)-$N10,6),"")</f>
        <v>-0.142333</v>
      </c>
      <c r="S10" s="1032">
        <f>SUM($G$44:$G$52)/1000000</f>
        <v>1.687177418</v>
      </c>
      <c r="T10" s="1032">
        <f>IFERROR(ROUND($S10-$N10,6),"")</f>
        <v>-0.312823</v>
      </c>
    </row>
    <row r="11" ht="14.25" customHeight="1" s="535">
      <c r="B11" s="929" t="inlineStr">
        <is>
          <t>Z Supply</t>
        </is>
      </c>
      <c r="C11" s="929" t="str">
        <f>IFERROR(IF(INDEX('1.10 Z Retail'!$C$24:$C$41,MATCH($B11,'1.10 Z Retail'!$B$24:$B$41,0))="","",INDEX('1.10 Z Retail'!$C$24:$C$41,MATCH($B11,'1.10 Z Retail'!$B$24:$B$41,0))),"Not on the 1.x tab")</f>
        <v>Build and Run</v>
      </c>
      <c r="D11" s="929" t="str">
        <f>IFERROR(IF(INDEX('1.10 Z Retail'!$D$24:$D$41,MATCH($B11,'1.10 Z Retail'!$B$24:$B$41,0))="","",INDEX('1.10 Z Retail'!$D$24:$D$41,MATCH($B11,'1.10 Z Retail'!$B$24:$B$41,0))),"")</f>
        <v>M</v>
      </c>
      <c r="E11" s="1030">
        <f>IFERROR(INDEX('0.3 Squad Archetypes'!$F$5:$F$23,MATCH($C11&amp;"|"&amp;$D11,'0.3 Squad Archetypes'!$A$5:$A$23,0)),"")</f>
        <v>9</v>
      </c>
      <c r="F11" s="1031">
        <f>COUNTIF($B$54:$B$62,"?*")</f>
        <v>9</v>
      </c>
      <c r="G11" s="1030">
        <f>ROUND(SUMIFS('REVIEW - Complete Role Mapping'!$P$2:$P$700,'REVIEW - Complete Role Mapping'!$AH$2:$AH$700,$C$3,'REVIEW - Complete Role Mapping'!$AL$2:$AL$700,$B11),2)</f>
        <v>9</v>
      </c>
      <c r="H11" s="1031">
        <f>COUNTIFS($D$54:$D$62,"Filled")</f>
        <v>8</v>
      </c>
      <c r="I11" s="1031">
        <f>COUNTIFS($D$54:$D$62,"Vacant")</f>
        <v>1</v>
      </c>
      <c r="J11" s="1031">
        <f>COUNTIFS($D$54:$D$62,"Vacant",$E$54:$E$62,"Hire")</f>
        <v>1</v>
      </c>
      <c r="K11" s="1031">
        <f>COUNTIFS($E$54:$E$62,"Offshore")</f>
        <v>0</v>
      </c>
      <c r="L11" s="1031">
        <f>COUNTIFS($E$54:$E$62,"Hold")</f>
        <v>0</v>
      </c>
      <c r="M11" s="1031">
        <f>$F11-$L11</f>
        <v>9</v>
      </c>
      <c r="N11" s="1032">
        <f>IFERROR(IF(ISNUMBER(INDEX('1.10 Z Retail'!$H$24:$H$41,MATCH($B11,'1.10 Z Retail'!$B$24:$B$41,0))),INDEX('1.10 Z Retail'!$H$24:$H$41,MATCH($B11,'1.10 Z Retail'!$B$24:$B$41,0)),""),"")</f>
        <v>2</v>
      </c>
      <c r="O11" s="1032">
        <f>SUMIFS('REVIEW - Complete Role Mapping'!$AE$2:$AE$700,'REVIEW - Complete Role Mapping'!$AH$2:$AH$700,$C$3,'REVIEW - Complete Role Mapping'!$AL$2:$AL$700,$B11)/1000000</f>
        <v>1.663774396</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1.663774396</v>
      </c>
      <c r="R11" s="1032">
        <f>IFERROR(ROUND(IF(COUNTIF(Lists!$AU$2:$AU$10,$B11),$O11,$Q11)-$N11,6),"")</f>
        <v>-0.336226</v>
      </c>
      <c r="S11" s="1032">
        <f>SUM($G$54:$G$62)/1000000</f>
        <v>1.663774396</v>
      </c>
      <c r="T11" s="1032">
        <f>IFERROR(ROUND($S11-$N11,6),"")</f>
        <v>-0.336226</v>
      </c>
    </row>
    <row r="12" ht="14.25" customHeight="1" s="535">
      <c r="B12" s="1033" t="inlineStr">
        <is>
          <t>Squads total</t>
        </is>
      </c>
      <c r="C12" s="1033" t="n"/>
      <c r="D12" s="1033" t="n"/>
      <c r="E12" s="1034">
        <f>SUM(E8:E11)</f>
        <v>34.5</v>
      </c>
      <c r="F12" s="1035">
        <f>SUM(F8:F11)</f>
        <v>34</v>
      </c>
      <c r="G12" s="1034">
        <f>SUM(G8:G11)</f>
        <v>34</v>
      </c>
      <c r="H12" s="1035">
        <f>SUM(H8:H11)</f>
        <v>29</v>
      </c>
      <c r="I12" s="1035">
        <f>SUM(I8:I11)</f>
        <v>5</v>
      </c>
      <c r="J12" s="1035">
        <f>SUM(J8:J11)</f>
        <v>2</v>
      </c>
      <c r="K12" s="1035">
        <f>SUM(K8:K11)</f>
        <v>0</v>
      </c>
      <c r="L12" s="1035">
        <f>SUM(L8:L11)</f>
        <v>3</v>
      </c>
      <c r="M12" s="1035">
        <f>SUM(M8:M11)</f>
        <v>31</v>
      </c>
      <c r="N12" s="1036">
        <f>IF(COUNT(N8:N11)=0,"",SUM(N8:N11))</f>
        <v>6.78</v>
      </c>
      <c r="O12" s="1036">
        <f>SUM(O8:O11)</f>
        <v>6.119950684</v>
      </c>
      <c r="P12" s="1036">
        <f>SUM(P8:P11)</f>
        <v>0</v>
      </c>
      <c r="Q12" s="1036">
        <f>SUM(Q8:Q11)</f>
        <v>6.119950684</v>
      </c>
      <c r="R12" s="1036">
        <f>IF(COUNT(N8:N11)=4,ROUND($O12-$N12,6),"")</f>
        <v>-0.660049</v>
      </c>
      <c r="S12" s="1036">
        <f>SUM(S8:S11)</f>
        <v>5.470797434</v>
      </c>
      <c r="T12" s="1036">
        <f>IF(COUNT(N8:N11)=4,ROUND($S12-$N12,6),"")</f>
        <v>-1.309203</v>
      </c>
    </row>
    <row r="13" ht="14.25" customHeight="1" s="535">
      <c r="B13" s="1029" t="inlineStr">
        <is>
          <t>Overhead roles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Head of Technology</t>
        </is>
      </c>
      <c r="C14" s="929">
        <f>""</f>
        <v/>
      </c>
      <c r="D14" s="929">
        <f>""</f>
        <v/>
      </c>
      <c r="E14" s="1030">
        <f>'0.2 Data Config'!$M$6</f>
        <v>0.5</v>
      </c>
      <c r="F14" s="1031">
        <f>COUNTIF($B$64:$B$64,"?*")</f>
        <v>1</v>
      </c>
      <c r="G14" s="1030">
        <f>ROUND(SUMIFS('REVIEW - Complete Role Mapping'!$P$2:$P$700,'REVIEW - Complete Role Mapping'!$AH$2:$AH$700,$C$3,'REVIEW - Complete Role Mapping'!$AL$2:$AL$700,$B14),2)</f>
        <v>1</v>
      </c>
      <c r="H14" s="1031">
        <f>COUNTIFS($D$64:$D$64,"Filled")</f>
        <v>0</v>
      </c>
      <c r="I14" s="1031">
        <f>COUNTIFS($D$64:$D$64,"Vacant")</f>
        <v>1</v>
      </c>
      <c r="J14" s="1031">
        <f>COUNTIFS($D$64:$D$64,"Vacant",$E$64:$E$64,"Hire")</f>
        <v>0</v>
      </c>
      <c r="K14" s="1031">
        <f>COUNTIFS($E$64:$E$64,"Offshore")</f>
        <v>0</v>
      </c>
      <c r="L14" s="1031">
        <f>COUNTIFS($E$64:$E$64,"Hold")</f>
        <v>0</v>
      </c>
      <c r="M14" s="1031">
        <f>$F14-$L14</f>
        <v>1</v>
      </c>
      <c r="N14" s="1032">
        <f>'0.2 Data Config'!$N$6</f>
        <v>0.1375</v>
      </c>
      <c r="O14" s="1032">
        <f>SUMIFS('REVIEW - Complete Role Mapping'!$AE$2:$AE$700,'REVIEW - Complete Role Mapping'!$AH$2:$AH$700,$C$3,'REVIEW - Complete Role Mapping'!$AL$2:$AL$700,$B14)/1000000</f>
        <v>0.291422</v>
      </c>
      <c r="P14" s="1032">
        <f>IFERROR(IF(ISNUMBER(INDEX(Lists!$AW$2:$AW$10,MATCH($B14,Lists!$AU$2:$AU$10,0))),INDEX(Lists!$AW$2:$AW$10,MATCH($B14,Lists!$AU$2:$AU$10,0)),SUMIFS('REVIEW - Complete Role Mapping'!$AE$2:$AE$700,'REVIEW - Complete Role Mapping'!$AH$2:$AH$700,$C$3,'REVIEW - Complete Role Mapping'!$AL$2:$AL$700,$B14,'REVIEW - Complete Role Mapping'!$AM$2:$AM$700,1)/1000000),SUMIFS('REVIEW - Complete Role Mapping'!$AE$2:$AE$700,'REVIEW - Complete Role Mapping'!$AH$2:$AH$700,$C$3,'REVIEW - Complete Role Mapping'!$AL$2:$AL$700,$B14,'REVIEW - Complete Role Mapping'!$AM$2:$AM$700,1)/1000000)</f>
        <v>0</v>
      </c>
      <c r="Q14" s="1032">
        <f>$O14-$P14</f>
        <v>0.291422</v>
      </c>
      <c r="R14" s="1032">
        <f>ROUND(IF(COUNTIF(Lists!$AU$2:$AU$10,$B14),$O14,$Q14)-$N14,6)</f>
        <v>0.153922</v>
      </c>
      <c r="S14" s="1032">
        <f>SUM($G$64:$G$64)/1000000</f>
        <v>0.291422</v>
      </c>
      <c r="T14" s="1032">
        <f>ROUND($S14-$N14,6)</f>
        <v>0.153922</v>
      </c>
    </row>
    <row r="15" ht="14.25" customHeight="1" s="535">
      <c r="B15" s="929" t="inlineStr">
        <is>
          <t>Delivery Manager</t>
        </is>
      </c>
      <c r="C15" s="929">
        <f>""</f>
        <v/>
      </c>
      <c r="D15" s="929">
        <f>""</f>
        <v/>
      </c>
      <c r="E15" s="1030">
        <f>'0.2 Data Config'!$M$14*(N('1.10 Z Retail'!$F$7)/'0.2 Data Config'!$N$16)</f>
        <v>0.6</v>
      </c>
      <c r="F15" s="1031">
        <f>COUNTIF($B$66:$B$66,"?*")</f>
        <v>1</v>
      </c>
      <c r="G15" s="1030">
        <f>ROUND(SUMIFS('REVIEW - Complete Role Mapping'!$P$2:$P$700,'REVIEW - Complete Role Mapping'!$AH$2:$AH$700,$C$3,'REVIEW - Complete Role Mapping'!$AL$2:$AL$700,$B15),2)</f>
        <v>1</v>
      </c>
      <c r="H15" s="1031">
        <f>COUNTIFS($D$66:$D$66,"Filled")</f>
        <v>0</v>
      </c>
      <c r="I15" s="1031">
        <f>COUNTIFS($D$66:$D$66,"Vacant")</f>
        <v>1</v>
      </c>
      <c r="J15" s="1031">
        <f>COUNTIFS($D$66:$D$66,"Vacant",$E$66:$E$66,"Hire")</f>
        <v>1</v>
      </c>
      <c r="K15" s="1031">
        <f>COUNTIFS($E$66:$E$66,"Offshore")</f>
        <v>0</v>
      </c>
      <c r="L15" s="1031">
        <f>COUNTIFS($E$66:$E$66,"Hold")</f>
        <v>0</v>
      </c>
      <c r="M15" s="1031">
        <f>$F15-$L15</f>
        <v>1</v>
      </c>
      <c r="N15" s="1032">
        <f>'0.2 Data Config'!$N$14*(N('1.10 Z Retail'!$F$7)/'0.2 Data Config'!$N$16)</f>
        <v>0.168</v>
      </c>
      <c r="O15" s="1032">
        <f>SUMIFS('REVIEW - Complete Role Mapping'!$AE$2:$AE$700,'REVIEW - Complete Role Mapping'!$AH$2:$AH$700,$C$3,'REVIEW - Complete Role Mapping'!$AL$2:$AL$700,$B15)/1000000</f>
        <v>0.20285325</v>
      </c>
      <c r="P15" s="1032">
        <f>IFERROR(IF(ISNUMBER(INDEX(Lists!$AW$2:$AW$10,MATCH($B15,Lists!$AU$2:$AU$10,0))),INDEX(Lists!$AW$2:$AW$10,MATCH($B15,Lists!$AU$2:$AU$10,0)),SUMIFS('REVIEW - Complete Role Mapping'!$AE$2:$AE$700,'REVIEW - Complete Role Mapping'!$AH$2:$AH$700,$C$3,'REVIEW - Complete Role Mapping'!$AL$2:$AL$700,$B15,'REVIEW - Complete Role Mapping'!$AM$2:$AM$700,1)/1000000),SUMIFS('REVIEW - Complete Role Mapping'!$AE$2:$AE$700,'REVIEW - Complete Role Mapping'!$AH$2:$AH$700,$C$3,'REVIEW - Complete Role Mapping'!$AL$2:$AL$700,$B15,'REVIEW - Complete Role Mapping'!$AM$2:$AM$700,1)/1000000)</f>
        <v>0</v>
      </c>
      <c r="Q15" s="1032">
        <f>$O15-$P15</f>
        <v>0.20285325</v>
      </c>
      <c r="R15" s="1032">
        <f>ROUND(IF(COUNTIF(Lists!$AU$2:$AU$10,$B15),$O15,$Q15)-$N15,6)</f>
        <v>0.034853</v>
      </c>
      <c r="S15" s="1032">
        <f>SUM($G$66:$G$66)/1000000</f>
        <v>0.20285325</v>
      </c>
      <c r="T15" s="1032">
        <f>ROUND($S15-$N15,6)</f>
        <v>0.034853</v>
      </c>
    </row>
    <row r="16" ht="14.25" customHeight="1" s="535">
      <c r="B16" s="929" t="inlineStr">
        <is>
          <t>Technology Manager</t>
        </is>
      </c>
      <c r="C16" s="929">
        <f>""</f>
        <v/>
      </c>
      <c r="D16" s="929">
        <f>""</f>
        <v/>
      </c>
      <c r="E16" s="1030">
        <f>'0.2 Data Config'!$M$15*(N('1.10 Z Retail'!$F$7)/'0.2 Data Config'!$N$16)</f>
        <v>0.6</v>
      </c>
      <c r="F16" s="1031">
        <f>COUNTIF($B$68:$B$70,"?*")</f>
        <v>3</v>
      </c>
      <c r="G16" s="1030">
        <f>ROUND(SUMIFS('REVIEW - Complete Role Mapping'!$P$2:$P$700,'REVIEW - Complete Role Mapping'!$AH$2:$AH$700,$C$3,'REVIEW - Complete Role Mapping'!$AL$2:$AL$700,$B16),2)</f>
        <v>3</v>
      </c>
      <c r="H16" s="1031">
        <f>COUNTIFS($D$68:$D$70,"Filled")</f>
        <v>3</v>
      </c>
      <c r="I16" s="1031">
        <f>COUNTIFS($D$68:$D$70,"Vacant")</f>
        <v>0</v>
      </c>
      <c r="J16" s="1031">
        <f>COUNTIFS($D$68:$D$70,"Vacant",$E$68:$E$70,"Hire")</f>
        <v>0</v>
      </c>
      <c r="K16" s="1031">
        <f>COUNTIFS($E$68:$E$70,"Offshore")</f>
        <v>0</v>
      </c>
      <c r="L16" s="1031">
        <f>COUNTIFS($E$68:$E$70,"Hold")</f>
        <v>0</v>
      </c>
      <c r="M16" s="1031">
        <f>$F16-$L16</f>
        <v>3</v>
      </c>
      <c r="N16" s="1032">
        <f>'0.2 Data Config'!$N$15*(N('1.10 Z Retail'!$F$7)/'0.2 Data Config'!$N$16)</f>
        <v>0.162</v>
      </c>
      <c r="O16" s="1032">
        <f>SUMIFS('REVIEW - Complete Role Mapping'!$AE$2:$AE$700,'REVIEW - Complete Role Mapping'!$AH$2:$AH$700,$C$3,'REVIEW - Complete Role Mapping'!$AL$2:$AL$700,$B16)/1000000</f>
        <v>0.701217524</v>
      </c>
      <c r="P16" s="1032">
        <f>IFERROR(IF(ISNUMBER(INDEX(Lists!$AW$2:$AW$10,MATCH($B16,Lists!$AU$2:$AU$10,0))),INDEX(Lists!$AW$2:$AW$10,MATCH($B16,Lists!$AU$2:$AU$10,0)),SUMIFS('REVIEW - Complete Role Mapping'!$AE$2:$AE$700,'REVIEW - Complete Role Mapping'!$AH$2:$AH$700,$C$3,'REVIEW - Complete Role Mapping'!$AL$2:$AL$700,$B16,'REVIEW - Complete Role Mapping'!$AM$2:$AM$700,1)/1000000),SUMIFS('REVIEW - Complete Role Mapping'!$AE$2:$AE$700,'REVIEW - Complete Role Mapping'!$AH$2:$AH$700,$C$3,'REVIEW - Complete Role Mapping'!$AL$2:$AL$700,$B16,'REVIEW - Complete Role Mapping'!$AM$2:$AM$700,1)/1000000)</f>
        <v>0</v>
      </c>
      <c r="Q16" s="1032">
        <f>$O16-$P16</f>
        <v>0.701217524</v>
      </c>
      <c r="R16" s="1032">
        <f>ROUND(IF(COUNTIF(Lists!$AU$2:$AU$10,$B16),$O16,$Q16)-$N16,6)</f>
        <v>0.539218</v>
      </c>
      <c r="S16" s="1032">
        <f>SUM($G$68:$G$70)/1000000</f>
        <v>0.701217524</v>
      </c>
      <c r="T16" s="1032">
        <f>ROUND($S16-$N16,6)</f>
        <v>0.539218</v>
      </c>
    </row>
    <row r="17" ht="14.25" customHeight="1" s="535">
      <c r="B17" s="1033" t="inlineStr">
        <is>
          <t>Overhead roles total</t>
        </is>
      </c>
      <c r="C17" s="1033" t="n"/>
      <c r="D17" s="1033" t="n"/>
      <c r="E17" s="1034">
        <f>SUM(E14:E16)</f>
        <v>1.7</v>
      </c>
      <c r="F17" s="1035">
        <f>SUM(F14:F16)</f>
        <v>5</v>
      </c>
      <c r="G17" s="1034">
        <f>SUM(G14:G16)</f>
        <v>5</v>
      </c>
      <c r="H17" s="1035">
        <f>SUM(H14:H16)</f>
        <v>3</v>
      </c>
      <c r="I17" s="1035">
        <f>SUM(I14:I16)</f>
        <v>2</v>
      </c>
      <c r="J17" s="1035">
        <f>SUM(J14:J16)</f>
        <v>1</v>
      </c>
      <c r="K17" s="1035">
        <f>SUM(K14:K16)</f>
        <v>0</v>
      </c>
      <c r="L17" s="1035">
        <f>SUM(L14:L16)</f>
        <v>0</v>
      </c>
      <c r="M17" s="1035">
        <f>SUM(M14:M16)</f>
        <v>5</v>
      </c>
      <c r="N17" s="1036">
        <f>IF(COUNT(N14:N16)=0,"",SUM(N14:N16))</f>
        <v>0.4675</v>
      </c>
      <c r="O17" s="1036">
        <f>SUM(O14:O16)</f>
        <v>1.195492774</v>
      </c>
      <c r="P17" s="1036">
        <f>SUM(P14:P16)</f>
        <v>0</v>
      </c>
      <c r="Q17" s="1036">
        <f>SUM(Q14:Q16)</f>
        <v>1.195492774</v>
      </c>
      <c r="R17" s="1036">
        <f>IF(COUNT(N14:N16)=3,ROUND($O17-$N17,6),"")</f>
        <v>0.727993</v>
      </c>
      <c r="S17" s="1036">
        <f>SUM(S14:S16)</f>
        <v>1.195492774</v>
      </c>
      <c r="T17" s="1036">
        <f>IF(COUNT(N14:N16)=3,ROUND($S17-$N17,6),"")</f>
        <v>0.727993</v>
      </c>
    </row>
    <row r="18" ht="14.25" customHeight="1" s="535">
      <c r="B18" s="1037" t="inlineStr">
        <is>
          <t>Portfolio overhead roles (Business Partner, Domain Architect, Leadership) (Required to show archetype FTE)</t>
        </is>
      </c>
      <c r="D18" s="1038">
        <f>""</f>
        <v/>
      </c>
      <c r="E18" s="1030">
        <f>ROUND(SUM('0.2 Data Config'!$M$6:$M$9)*(N('1.10 Z Retail'!$F$6)/'0.2 Data Config'!$N$10)-(N($E14)),6)</f>
        <v>1.3</v>
      </c>
      <c r="F18" s="1038">
        <f>""</f>
        <v/>
      </c>
      <c r="G18" s="1038">
        <f>""</f>
        <v/>
      </c>
      <c r="H18" s="1038">
        <f>""</f>
        <v/>
      </c>
      <c r="I18" s="1038">
        <f>""</f>
        <v/>
      </c>
      <c r="J18" s="1038">
        <f>""</f>
        <v/>
      </c>
      <c r="K18" s="1038">
        <f>""</f>
        <v/>
      </c>
      <c r="L18" s="1038">
        <f>""</f>
        <v/>
      </c>
      <c r="M18" s="1038">
        <f>""</f>
        <v/>
      </c>
      <c r="N18" s="1032">
        <f>ROUND(N('1.10 Z Retail'!$F$6)-(N($N14)),6)</f>
        <v>0.66</v>
      </c>
      <c r="O18" s="1038">
        <f>""</f>
        <v/>
      </c>
      <c r="P18" s="1038">
        <f>""</f>
        <v/>
      </c>
      <c r="Q18" s="1038">
        <f>""</f>
        <v/>
      </c>
      <c r="R18" s="1038">
        <f>""</f>
        <v/>
      </c>
      <c r="S18" s="1038">
        <f>""</f>
        <v/>
      </c>
      <c r="T18" s="1038">
        <f>""</f>
        <v/>
      </c>
    </row>
    <row r="19" ht="14.25" customHeight="1" s="535">
      <c r="B19" s="1037" t="inlineStr">
        <is>
          <t>Business Partners and Domain Architects sit in the COEs</t>
        </is>
      </c>
    </row>
    <row r="20" ht="14.25" customHeight="1" s="535">
      <c r="B20" s="886" t="inlineStr">
        <is>
          <t>Total portfolio</t>
        </is>
      </c>
      <c r="C20" s="886" t="n"/>
      <c r="D20" s="886" t="n"/>
      <c r="E20" s="888">
        <f>SUM(E8:E11,E14:E16,E18:E18)</f>
        <v>37.5</v>
      </c>
      <c r="F20" s="1039">
        <f>SUM(F8:F11,F14:F16,F18:F18)</f>
        <v>39</v>
      </c>
      <c r="G20" s="888">
        <f>SUM(G8:G11,G14:G16,G18:G18)</f>
        <v>39</v>
      </c>
      <c r="H20" s="1039">
        <f>SUM(H8:H11,H14:H16,H18:H18)</f>
        <v>32</v>
      </c>
      <c r="I20" s="1039">
        <f>SUM(I8:I11,I14:I16,I18:I18)</f>
        <v>7</v>
      </c>
      <c r="J20" s="1039">
        <f>SUM(J8:J11,J14:J16,J18:J18)</f>
        <v>3</v>
      </c>
      <c r="K20" s="1039">
        <f>SUM(K8:K11,K14:K16,K18:K18)</f>
        <v>0</v>
      </c>
      <c r="L20" s="1039">
        <f>SUM(L8:L11,L14:L16,L18:L18)</f>
        <v>3</v>
      </c>
      <c r="M20" s="1039">
        <f>SUM(M8:M11,M14:M16,M18:M18)</f>
        <v>36</v>
      </c>
      <c r="N20" s="889">
        <f>IF(COUNT(N8:N11,N14:N16,N18:N18)=0,"",SUM(N8:N11,N14:N16,N18:N18))</f>
        <v>7.9075</v>
      </c>
      <c r="O20" s="889">
        <f>SUM(O8:O11,O14:O16,O18:O18)</f>
        <v>7.315443458</v>
      </c>
      <c r="P20" s="889">
        <f>SUM(P8:P11,P14:P16,P18:P18)</f>
        <v>0</v>
      </c>
      <c r="Q20" s="889">
        <f>SUM(Q8:Q11,Q14:Q16,Q18:Q18)</f>
        <v>7.315443458</v>
      </c>
      <c r="R20" s="889">
        <f>IF(ISNUMBER($N20),ROUND($O20-$N20,6),"")</f>
        <v>-0.592057</v>
      </c>
      <c r="S20" s="889">
        <f>SUM(S8:S11,S14:S16,S18:S18)</f>
        <v>6.666290208</v>
      </c>
      <c r="T20" s="889">
        <f>IF(ISNUMBER($N20),ROUND($S20-$N20,6),"")</f>
        <v>-1.24121</v>
      </c>
    </row>
    <row r="21"/>
    <row r="22"/>
    <row r="23" ht="18.75" customHeight="1" s="535">
      <c r="B23" s="537" t="inlineStr">
        <is>
          <t>Z Retail FTE</t>
        </is>
      </c>
      <c r="C23" s="538" t="n"/>
      <c r="D23" s="538" t="n"/>
      <c r="E23" s="538" t="n"/>
      <c r="F23" s="538" t="n"/>
      <c r="G23" s="538" t="n"/>
      <c r="H23" s="929" t="inlineStr">
        <is>
          <t>Vacancy lever: Hire prices the role in full, Hold prices it at 0, Offshore at the Offshore rate set on 0.3 Squad Archetypes.</t>
        </is>
      </c>
    </row>
    <row r="24" ht="33.75" customHeight="1" s="535">
      <c r="A24" s="1040" t="inlineStr">
        <is>
          <t>ID</t>
        </is>
      </c>
      <c r="B24" s="877" t="inlineStr">
        <is>
          <t>Name</t>
        </is>
      </c>
      <c r="C24" s="877" t="inlineStr">
        <is>
          <t>Role</t>
        </is>
      </c>
      <c r="D24" s="877" t="inlineStr">
        <is>
          <t>Status</t>
        </is>
      </c>
      <c r="E24" s="877" t="inlineStr">
        <is>
          <t>Vacancy lever</t>
        </is>
      </c>
      <c r="F24" s="877" t="inlineStr">
        <is>
          <t>Role cost ($)</t>
        </is>
      </c>
      <c r="G24" s="877" t="inlineStr">
        <is>
          <t>Cost after lever ($)</t>
        </is>
      </c>
    </row>
    <row r="25" ht="14.25" customHeight="1" s="535">
      <c r="B25" s="1029" t="inlineStr">
        <is>
          <t>Data NZ</t>
        </is>
      </c>
      <c r="C25" s="1029" t="str">
        <f>COUNTIF($B$26:$B$32,"?*")&amp;IF(COUNTIF($B$26:$B$32,"?*")=1," role"," roles")</f>
        <v>7 roles</v>
      </c>
      <c r="D25" s="1029" t="n"/>
      <c r="E25" s="1029" t="n"/>
      <c r="F25" s="1044">
        <f>SUM(F26:F32)</f>
        <v>1223843.362</v>
      </c>
      <c r="G25" s="1044">
        <f>SUM(G26:G32)</f>
        <v>745179.862</v>
      </c>
    </row>
    <row r="26" ht="14.25" customHeight="1" s="535">
      <c r="A26" s="1045" t="inlineStr">
        <is>
          <t>R0236</t>
        </is>
      </c>
      <c r="B26" s="929" t="str">
        <f>INDEX('REVIEW - Complete Role Mapping'!$B$2:$B$700,MATCH($A26,'REVIEW - Complete Role Mapping'!$AQ$2:$AQ$700,0))</f>
        <v>Vacant</v>
      </c>
      <c r="C26" s="929" t="str">
        <f>INDEX('REVIEW - Complete Role Mapping'!$D$2:$D$700,MATCH($A26,'REVIEW - Complete Role Mapping'!$AQ$2:$AQ$700,0))</f>
        <v>Delivery Lead</v>
      </c>
      <c r="D26" s="929" t="str">
        <f>INDEX('REVIEW - Complete Role Mapping'!$AF$2:$AF$700,MATCH($A26,'REVIEW - Complete Role Mapping'!$AQ$2:$AQ$700,0))</f>
        <v>Vacant</v>
      </c>
      <c r="E26" s="543" t="inlineStr">
        <is>
          <t>Hold</t>
        </is>
      </c>
      <c r="F26" s="1031">
        <f>INDEX('REVIEW - Complete Role Mapping'!$AE$2:$AE$700,MATCH($A26,'REVIEW - Complete Role Mapping'!$AQ$2:$AQ$700,0))</f>
        <v>275810.25</v>
      </c>
      <c r="G26" s="1031">
        <f>$F26*IF(ISNUMBER(SEARCH("WIPRO",INDEX('REVIEW - Complete Role Mapping'!$R$2:$R$700,MATCH($A26,'REVIEW - Complete Role Mapping'!$AQ$2:$AQ$700,0)))),1,IFERROR(INDEX(Lists!$AD$2:$AD$5,MATCH($E26,Lists!$AC$2:$AC$5,0)),NA()))</f>
        <v>0</v>
      </c>
    </row>
    <row r="27" ht="14.25" customHeight="1" s="535">
      <c r="A27" s="1045" t="inlineStr">
        <is>
          <t>R0325</t>
        </is>
      </c>
      <c r="B27" s="929" t="str">
        <f>INDEX('REVIEW - Complete Role Mapping'!$B$2:$B$700,MATCH($A27,'REVIEW - Complete Role Mapping'!$AQ$2:$AQ$700,0))</f>
        <v>Vacant</v>
      </c>
      <c r="C27" s="929" t="str">
        <f>INDEX('REVIEW - Complete Role Mapping'!$D$2:$D$700,MATCH($A27,'REVIEW - Complete Role Mapping'!$AQ$2:$AQ$700,0))</f>
        <v>Engineer - Data</v>
      </c>
      <c r="D27" s="929" t="str">
        <f>INDEX('REVIEW - Complete Role Mapping'!$AF$2:$AF$700,MATCH($A27,'REVIEW - Complete Role Mapping'!$AQ$2:$AQ$700,0))</f>
        <v>Vacant</v>
      </c>
      <c r="E27" s="543" t="inlineStr">
        <is>
          <t>Hold</t>
        </is>
      </c>
      <c r="F27" s="1031">
        <f>INDEX('REVIEW - Complete Role Mapping'!$AE$2:$AE$700,MATCH($A27,'REVIEW - Complete Role Mapping'!$AQ$2:$AQ$700,0))</f>
        <v>202853.25</v>
      </c>
      <c r="G27" s="1031">
        <f>$F27*IF(ISNUMBER(SEARCH("WIPRO",INDEX('REVIEW - Complete Role Mapping'!$R$2:$R$700,MATCH($A27,'REVIEW - Complete Role Mapping'!$AQ$2:$AQ$700,0)))),1,IFERROR(INDEX(Lists!$AD$2:$AD$5,MATCH($E27,Lists!$AC$2:$AC$5,0)),NA()))</f>
        <v>0</v>
      </c>
    </row>
    <row r="28" ht="14.25" customHeight="1" s="535">
      <c r="A28" s="1045" t="inlineStr">
        <is>
          <t>R0454</t>
        </is>
      </c>
      <c r="B28" s="929" t="str">
        <f>INDEX('REVIEW - Complete Role Mapping'!$B$2:$B$700,MATCH($A28,'REVIEW - Complete Role Mapping'!$AQ$2:$AQ$700,0))</f>
        <v>Ash Muthumala</v>
      </c>
      <c r="C28" s="929" t="str">
        <f>INDEX('REVIEW - Complete Role Mapping'!$D$2:$D$700,MATCH($A28,'REVIEW - Complete Role Mapping'!$AQ$2:$AQ$700,0))</f>
        <v>Senior QA Analyst</v>
      </c>
      <c r="D28" s="929" t="str">
        <f>INDEX('REVIEW - Complete Role Mapping'!$AF$2:$AF$700,MATCH($A28,'REVIEW - Complete Role Mapping'!$AQ$2:$AQ$700,0))</f>
        <v>Filled</v>
      </c>
      <c r="E28" s="543" t="inlineStr">
        <is>
          <t>Filled</t>
        </is>
      </c>
      <c r="F28" s="1031">
        <f>INDEX('REVIEW - Complete Role Mapping'!$AE$2:$AE$700,MATCH($A28,'REVIEW - Complete Role Mapping'!$AQ$2:$AQ$700,0))</f>
        <v>140772.828</v>
      </c>
      <c r="G28" s="1031">
        <f>$F28*IF(ISNUMBER(SEARCH("WIPRO",INDEX('REVIEW - Complete Role Mapping'!$R$2:$R$700,MATCH($A28,'REVIEW - Complete Role Mapping'!$AQ$2:$AQ$700,0)))),1,IFERROR(INDEX(Lists!$AD$2:$AD$5,MATCH($E28,Lists!$AC$2:$AC$5,0)),NA()))</f>
        <v>140772.828</v>
      </c>
    </row>
    <row r="29" ht="14.25" customHeight="1" s="535">
      <c r="A29" s="1045" t="inlineStr">
        <is>
          <t>R0455</t>
        </is>
      </c>
      <c r="B29" s="929" t="str">
        <f>INDEX('REVIEW - Complete Role Mapping'!$B$2:$B$700,MATCH($A29,'REVIEW - Complete Role Mapping'!$AQ$2:$AQ$700,0))</f>
        <v>Brian Lai</v>
      </c>
      <c r="C29" s="929" t="str">
        <f>INDEX('REVIEW - Complete Role Mapping'!$D$2:$D$700,MATCH($A29,'REVIEW - Complete Role Mapping'!$AQ$2:$AQ$700,0))</f>
        <v>Engineer - Data</v>
      </c>
      <c r="D29" s="929" t="str">
        <f>INDEX('REVIEW - Complete Role Mapping'!$AF$2:$AF$700,MATCH($A29,'REVIEW - Complete Role Mapping'!$AQ$2:$AQ$700,0))</f>
        <v>Filled</v>
      </c>
      <c r="E29" s="543" t="inlineStr">
        <is>
          <t>Filled</t>
        </is>
      </c>
      <c r="F29" s="1031">
        <f>INDEX('REVIEW - Complete Role Mapping'!$AE$2:$AE$700,MATCH($A29,'REVIEW - Complete Role Mapping'!$AQ$2:$AQ$700,0))</f>
        <v>155676</v>
      </c>
      <c r="G29" s="1031">
        <f>$F29*IF(ISNUMBER(SEARCH("WIPRO",INDEX('REVIEW - Complete Role Mapping'!$R$2:$R$700,MATCH($A29,'REVIEW - Complete Role Mapping'!$AQ$2:$AQ$700,0)))),1,IFERROR(INDEX(Lists!$AD$2:$AD$5,MATCH($E29,Lists!$AC$2:$AC$5,0)),NA()))</f>
        <v>155676</v>
      </c>
    </row>
    <row r="30" ht="14.25" customHeight="1" s="535">
      <c r="A30" s="1045" t="inlineStr">
        <is>
          <t>R0456</t>
        </is>
      </c>
      <c r="B30" s="929" t="str">
        <f>INDEX('REVIEW - Complete Role Mapping'!$B$2:$B$700,MATCH($A30,'REVIEW - Complete Role Mapping'!$AQ$2:$AQ$700,0))</f>
        <v>Jodie Marquez</v>
      </c>
      <c r="C30" s="929" t="str">
        <f>INDEX('REVIEW - Complete Role Mapping'!$D$2:$D$700,MATCH($A30,'REVIEW - Complete Role Mapping'!$AQ$2:$AQ$700,0))</f>
        <v>Data Analyst</v>
      </c>
      <c r="D30" s="929" t="str">
        <f>INDEX('REVIEW - Complete Role Mapping'!$AF$2:$AF$700,MATCH($A30,'REVIEW - Complete Role Mapping'!$AQ$2:$AQ$700,0))</f>
        <v>Filled</v>
      </c>
      <c r="E30" s="543" t="inlineStr">
        <is>
          <t>Filled</t>
        </is>
      </c>
      <c r="F30" s="1031">
        <f>INDEX('REVIEW - Complete Role Mapping'!$AE$2:$AE$700,MATCH($A30,'REVIEW - Complete Role Mapping'!$AQ$2:$AQ$700,0))</f>
        <v>144642.9</v>
      </c>
      <c r="G30" s="1031">
        <f>$F30*IF(ISNUMBER(SEARCH("WIPRO",INDEX('REVIEW - Complete Role Mapping'!$R$2:$R$700,MATCH($A30,'REVIEW - Complete Role Mapping'!$AQ$2:$AQ$700,0)))),1,IFERROR(INDEX(Lists!$AD$2:$AD$5,MATCH($E30,Lists!$AC$2:$AC$5,0)),NA()))</f>
        <v>144642.9</v>
      </c>
    </row>
    <row r="31" ht="14.25" customHeight="1" s="535">
      <c r="A31" s="1045" t="inlineStr">
        <is>
          <t>R0457</t>
        </is>
      </c>
      <c r="B31" s="929" t="str">
        <f>INDEX('REVIEW - Complete Role Mapping'!$B$2:$B$700,MATCH($A31,'REVIEW - Complete Role Mapping'!$AQ$2:$AQ$700,0))</f>
        <v>McKenzie Tournquist</v>
      </c>
      <c r="C31" s="929" t="str">
        <f>INDEX('REVIEW - Complete Role Mapping'!$D$2:$D$700,MATCH($A31,'REVIEW - Complete Role Mapping'!$AQ$2:$AQ$700,0))</f>
        <v>Data Analyst</v>
      </c>
      <c r="D31" s="929" t="str">
        <f>INDEX('REVIEW - Complete Role Mapping'!$AF$2:$AF$700,MATCH($A31,'REVIEW - Complete Role Mapping'!$AQ$2:$AQ$700,0))</f>
        <v>Filled</v>
      </c>
      <c r="E31" s="543" t="inlineStr">
        <is>
          <t>Filled</t>
        </is>
      </c>
      <c r="F31" s="1031">
        <f>INDEX('REVIEW - Complete Role Mapping'!$AE$2:$AE$700,MATCH($A31,'REVIEW - Complete Role Mapping'!$AQ$2:$AQ$700,0))</f>
        <v>91809.784</v>
      </c>
      <c r="G31" s="1031">
        <f>$F31*IF(ISNUMBER(SEARCH("WIPRO",INDEX('REVIEW - Complete Role Mapping'!$R$2:$R$700,MATCH($A31,'REVIEW - Complete Role Mapping'!$AQ$2:$AQ$700,0)))),1,IFERROR(INDEX(Lists!$AD$2:$AD$5,MATCH($E31,Lists!$AC$2:$AC$5,0)),NA()))</f>
        <v>91809.784</v>
      </c>
    </row>
    <row r="32" ht="14.25" customHeight="1" s="535">
      <c r="A32" s="1045" t="inlineStr">
        <is>
          <t>R0513</t>
        </is>
      </c>
      <c r="B32" s="929" t="str">
        <f>INDEX('REVIEW - Complete Role Mapping'!$B$2:$B$700,MATCH($A32,'REVIEW - Complete Role Mapping'!$AQ$2:$AQ$700,0))</f>
        <v>Michael Dasan</v>
      </c>
      <c r="C32" s="929" t="str">
        <f>INDEX('REVIEW - Complete Role Mapping'!$D$2:$D$700,MATCH($A32,'REVIEW - Complete Role Mapping'!$AQ$2:$AQ$700,0))</f>
        <v>Engineer - Data</v>
      </c>
      <c r="D32" s="929" t="str">
        <f>INDEX('REVIEW - Complete Role Mapping'!$AF$2:$AF$700,MATCH($A32,'REVIEW - Complete Role Mapping'!$AQ$2:$AQ$700,0))</f>
        <v>Filled</v>
      </c>
      <c r="E32" s="543" t="inlineStr">
        <is>
          <t>Filled</t>
        </is>
      </c>
      <c r="F32" s="1031">
        <f>INDEX('REVIEW - Complete Role Mapping'!$AE$2:$AE$700,MATCH($A32,'REVIEW - Complete Role Mapping'!$AQ$2:$AQ$700,0))</f>
        <v>212278.35</v>
      </c>
      <c r="G32" s="1031">
        <f>$F32*IF(ISNUMBER(SEARCH("WIPRO",INDEX('REVIEW - Complete Role Mapping'!$R$2:$R$700,MATCH($A32,'REVIEW - Complete Role Mapping'!$AQ$2:$AQ$700,0)))),1,IFERROR(INDEX(Lists!$AD$2:$AD$5,MATCH($E32,Lists!$AC$2:$AC$5,0)),NA()))</f>
        <v>212278.35</v>
      </c>
    </row>
    <row r="33" ht="14.25" customHeight="1" s="535">
      <c r="B33" s="1029" t="inlineStr">
        <is>
          <t>Site Systems</t>
        </is>
      </c>
      <c r="C33" s="1029" t="str">
        <f>COUNTIF($B$34:$B$42,"?*")&amp;IF(COUNTIF($B$34:$B$42,"?*")=1," role"," roles")</f>
        <v>9 roles</v>
      </c>
      <c r="D33" s="1029" t="n"/>
      <c r="E33" s="1029" t="n"/>
      <c r="F33" s="1044">
        <f>SUM(F34:F42)</f>
        <v>1374665.758</v>
      </c>
      <c r="G33" s="1044">
        <f>SUM(G34:G42)</f>
        <v>1374665.758</v>
      </c>
    </row>
    <row r="34" ht="14.25" customHeight="1" s="535">
      <c r="A34" s="1045" t="inlineStr">
        <is>
          <t>R0149</t>
        </is>
      </c>
      <c r="B34" s="929" t="str">
        <f>INDEX('REVIEW - Complete Role Mapping'!$B$2:$B$700,MATCH($A34,'REVIEW - Complete Role Mapping'!$AQ$2:$AQ$700,0))</f>
        <v>Chris Wilson</v>
      </c>
      <c r="C34" s="929" t="str">
        <f>INDEX('REVIEW - Complete Role Mapping'!$D$2:$D$700,MATCH($A34,'REVIEW - Complete Role Mapping'!$AQ$2:$AQ$700,0))</f>
        <v>Solution Architect</v>
      </c>
      <c r="D34" s="929" t="str">
        <f>INDEX('REVIEW - Complete Role Mapping'!$AF$2:$AF$700,MATCH($A34,'REVIEW - Complete Role Mapping'!$AQ$2:$AQ$700,0))</f>
        <v>Filled</v>
      </c>
      <c r="E34" s="543" t="inlineStr">
        <is>
          <t>Filled</t>
        </is>
      </c>
      <c r="F34" s="1031">
        <f>INDEX('REVIEW - Complete Role Mapping'!$AE$2:$AE$700,MATCH($A34,'REVIEW - Complete Role Mapping'!$AQ$2:$AQ$700,0))</f>
        <v>186217.884</v>
      </c>
      <c r="G34" s="1031">
        <f>$F34*IF(ISNUMBER(SEARCH("WIPRO",INDEX('REVIEW - Complete Role Mapping'!$R$2:$R$700,MATCH($A34,'REVIEW - Complete Role Mapping'!$AQ$2:$AQ$700,0)))),1,IFERROR(INDEX(Lists!$AD$2:$AD$5,MATCH($E34,Lists!$AC$2:$AC$5,0)),NA()))</f>
        <v>186217.884</v>
      </c>
    </row>
    <row r="35" ht="14.25" customHeight="1" s="535">
      <c r="A35" s="1045" t="inlineStr">
        <is>
          <t>R0151</t>
        </is>
      </c>
      <c r="B35" s="929" t="str">
        <f>INDEX('REVIEW - Complete Role Mapping'!$B$2:$B$700,MATCH($A35,'REVIEW - Complete Role Mapping'!$AQ$2:$AQ$700,0))</f>
        <v>Kelly Russell</v>
      </c>
      <c r="C35" s="929" t="str">
        <f>INDEX('REVIEW - Complete Role Mapping'!$D$2:$D$700,MATCH($A35,'REVIEW - Complete Role Mapping'!$AQ$2:$AQ$700,0))</f>
        <v>Lead Quality Assurance</v>
      </c>
      <c r="D35" s="929" t="str">
        <f>INDEX('REVIEW - Complete Role Mapping'!$AF$2:$AF$700,MATCH($A35,'REVIEW - Complete Role Mapping'!$AQ$2:$AQ$700,0))</f>
        <v>Filled</v>
      </c>
      <c r="E35" s="543" t="inlineStr">
        <is>
          <t>Filled</t>
        </is>
      </c>
      <c r="F35" s="1031">
        <f>INDEX('REVIEW - Complete Role Mapping'!$AE$2:$AE$700,MATCH($A35,'REVIEW - Complete Role Mapping'!$AQ$2:$AQ$700,0))</f>
        <v>81073.2</v>
      </c>
      <c r="G35" s="1031">
        <f>$F35*IF(ISNUMBER(SEARCH("WIPRO",INDEX('REVIEW - Complete Role Mapping'!$R$2:$R$700,MATCH($A35,'REVIEW - Complete Role Mapping'!$AQ$2:$AQ$700,0)))),1,IFERROR(INDEX(Lists!$AD$2:$AD$5,MATCH($E35,Lists!$AC$2:$AC$5,0)),NA()))</f>
        <v>81073.2</v>
      </c>
    </row>
    <row r="36" ht="14.25" customHeight="1" s="535">
      <c r="A36" s="1045" t="inlineStr">
        <is>
          <t>R0152</t>
        </is>
      </c>
      <c r="B36" s="929" t="str">
        <f>INDEX('REVIEW - Complete Role Mapping'!$B$2:$B$700,MATCH($A36,'REVIEW - Complete Role Mapping'!$AQ$2:$AQ$700,0))</f>
        <v>Vanessa King</v>
      </c>
      <c r="C36" s="929" t="str">
        <f>INDEX('REVIEW - Complete Role Mapping'!$D$2:$D$700,MATCH($A36,'REVIEW - Complete Role Mapping'!$AQ$2:$AQ$700,0))</f>
        <v>Lead Quality Assurance</v>
      </c>
      <c r="D36" s="929" t="str">
        <f>INDEX('REVIEW - Complete Role Mapping'!$AF$2:$AF$700,MATCH($A36,'REVIEW - Complete Role Mapping'!$AQ$2:$AQ$700,0))</f>
        <v>Filled</v>
      </c>
      <c r="E36" s="543" t="inlineStr">
        <is>
          <t>Filled</t>
        </is>
      </c>
      <c r="F36" s="1031">
        <f>INDEX('REVIEW - Complete Role Mapping'!$AE$2:$AE$700,MATCH($A36,'REVIEW - Complete Role Mapping'!$AQ$2:$AQ$700,0))</f>
        <v>199898.928</v>
      </c>
      <c r="G36" s="1031">
        <f>$F36*IF(ISNUMBER(SEARCH("WIPRO",INDEX('REVIEW - Complete Role Mapping'!$R$2:$R$700,MATCH($A36,'REVIEW - Complete Role Mapping'!$AQ$2:$AQ$700,0)))),1,IFERROR(INDEX(Lists!$AD$2:$AD$5,MATCH($E36,Lists!$AC$2:$AC$5,0)),NA()))</f>
        <v>199898.928</v>
      </c>
    </row>
    <row r="37" ht="14.25" customHeight="1" s="535">
      <c r="A37" s="1045" t="inlineStr">
        <is>
          <t>R0234</t>
        </is>
      </c>
      <c r="B37" s="929" t="str">
        <f>INDEX('REVIEW - Complete Role Mapping'!$B$2:$B$700,MATCH($A37,'REVIEW - Complete Role Mapping'!$AQ$2:$AQ$700,0))</f>
        <v>Tim Gurnsey</v>
      </c>
      <c r="C37" s="929" t="str">
        <f>INDEX('REVIEW - Complete Role Mapping'!$D$2:$D$700,MATCH($A37,'REVIEW - Complete Role Mapping'!$AQ$2:$AQ$700,0))</f>
        <v>Delivery Lead</v>
      </c>
      <c r="D37" s="929" t="str">
        <f>INDEX('REVIEW - Complete Role Mapping'!$AF$2:$AF$700,MATCH($A37,'REVIEW - Complete Role Mapping'!$AQ$2:$AQ$700,0))</f>
        <v>Filled</v>
      </c>
      <c r="E37" s="543" t="inlineStr">
        <is>
          <t>Filled</t>
        </is>
      </c>
      <c r="F37" s="1031">
        <f>INDEX('REVIEW - Complete Role Mapping'!$AE$2:$AE$700,MATCH($A37,'REVIEW - Complete Role Mapping'!$AQ$2:$AQ$700,0))</f>
        <v>256913.42</v>
      </c>
      <c r="G37" s="1031">
        <f>$F37*IF(ISNUMBER(SEARCH("WIPRO",INDEX('REVIEW - Complete Role Mapping'!$R$2:$R$700,MATCH($A37,'REVIEW - Complete Role Mapping'!$AQ$2:$AQ$700,0)))),1,IFERROR(INDEX(Lists!$AD$2:$AD$5,MATCH($E37,Lists!$AC$2:$AC$5,0)),NA()))</f>
        <v>256913.42</v>
      </c>
    </row>
    <row r="38" ht="14.25" customHeight="1" s="535">
      <c r="A38" s="1045" t="inlineStr">
        <is>
          <t>R0420</t>
        </is>
      </c>
      <c r="B38" s="929" t="str">
        <f>INDEX('REVIEW - Complete Role Mapping'!$B$2:$B$700,MATCH($A38,'REVIEW - Complete Role Mapping'!$AQ$2:$AQ$700,0))</f>
        <v>Chris Mitchell</v>
      </c>
      <c r="C38" s="929" t="str">
        <f>INDEX('REVIEW - Complete Role Mapping'!$D$2:$D$700,MATCH($A38,'REVIEW - Complete Role Mapping'!$AQ$2:$AQ$700,0))</f>
        <v>Deployment Lead</v>
      </c>
      <c r="D38" s="929" t="str">
        <f>INDEX('REVIEW - Complete Role Mapping'!$AF$2:$AF$700,MATCH($A38,'REVIEW - Complete Role Mapping'!$AQ$2:$AQ$700,0))</f>
        <v>Filled</v>
      </c>
      <c r="E38" s="543" t="inlineStr">
        <is>
          <t>Filled</t>
        </is>
      </c>
      <c r="F38" s="1031">
        <f>INDEX('REVIEW - Complete Role Mapping'!$AE$2:$AE$700,MATCH($A38,'REVIEW - Complete Role Mapping'!$AQ$2:$AQ$700,0))</f>
        <v>136438.8</v>
      </c>
      <c r="G38" s="1031">
        <f>$F38*IF(ISNUMBER(SEARCH("WIPRO",INDEX('REVIEW - Complete Role Mapping'!$R$2:$R$700,MATCH($A38,'REVIEW - Complete Role Mapping'!$AQ$2:$AQ$700,0)))),1,IFERROR(INDEX(Lists!$AD$2:$AD$5,MATCH($E38,Lists!$AC$2:$AC$5,0)),NA()))</f>
        <v>136438.8</v>
      </c>
    </row>
    <row r="39" ht="14.25" customHeight="1" s="535">
      <c r="A39" s="1045" t="inlineStr">
        <is>
          <t>R0421</t>
        </is>
      </c>
      <c r="B39" s="929" t="str">
        <f>INDEX('REVIEW - Complete Role Mapping'!$B$2:$B$700,MATCH($A39,'REVIEW - Complete Role Mapping'!$AQ$2:$AQ$700,0))</f>
        <v>Sakshi Sachdeva</v>
      </c>
      <c r="C39" s="929" t="str">
        <f>INDEX('REVIEW - Complete Role Mapping'!$D$2:$D$700,MATCH($A39,'REVIEW - Complete Role Mapping'!$AQ$2:$AQ$700,0))</f>
        <v>Senior Quality Assurance </v>
      </c>
      <c r="D39" s="929" t="str">
        <f>INDEX('REVIEW - Complete Role Mapping'!$AF$2:$AF$700,MATCH($A39,'REVIEW - Complete Role Mapping'!$AQ$2:$AQ$700,0))</f>
        <v>Filled</v>
      </c>
      <c r="E39" s="543" t="inlineStr">
        <is>
          <t>Filled</t>
        </is>
      </c>
      <c r="F39" s="1031">
        <f>INDEX('REVIEW - Complete Role Mapping'!$AE$2:$AE$700,MATCH($A39,'REVIEW - Complete Role Mapping'!$AQ$2:$AQ$700,0))</f>
        <v>175039.65</v>
      </c>
      <c r="G39" s="1031">
        <f>$F39*IF(ISNUMBER(SEARCH("WIPRO",INDEX('REVIEW - Complete Role Mapping'!$R$2:$R$700,MATCH($A39,'REVIEW - Complete Role Mapping'!$AQ$2:$AQ$700,0)))),1,IFERROR(INDEX(Lists!$AD$2:$AD$5,MATCH($E39,Lists!$AC$2:$AC$5,0)),NA()))</f>
        <v>175039.65</v>
      </c>
    </row>
    <row r="40" ht="14.25" customHeight="1" s="535">
      <c r="A40" s="1045" t="inlineStr">
        <is>
          <t>R0422</t>
        </is>
      </c>
      <c r="B40" s="929" t="str">
        <f>INDEX('REVIEW - Complete Role Mapping'!$B$2:$B$700,MATCH($A40,'REVIEW - Complete Role Mapping'!$AQ$2:$AQ$700,0))</f>
        <v>Warren Grieve</v>
      </c>
      <c r="C40" s="929" t="str">
        <f>INDEX('REVIEW - Complete Role Mapping'!$D$2:$D$700,MATCH($A40,'REVIEW - Complete Role Mapping'!$AQ$2:$AQ$700,0))</f>
        <v>Senior Site Systems Analyst</v>
      </c>
      <c r="D40" s="929" t="str">
        <f>INDEX('REVIEW - Complete Role Mapping'!$AF$2:$AF$700,MATCH($A40,'REVIEW - Complete Role Mapping'!$AQ$2:$AQ$700,0))</f>
        <v>Filled</v>
      </c>
      <c r="E40" s="543" t="inlineStr">
        <is>
          <t>Filled</t>
        </is>
      </c>
      <c r="F40" s="1031">
        <f>INDEX('REVIEW - Complete Role Mapping'!$AE$2:$AE$700,MATCH($A40,'REVIEW - Complete Role Mapping'!$AQ$2:$AQ$700,0))</f>
        <v>134979.036</v>
      </c>
      <c r="G40" s="1031">
        <f>$F40*IF(ISNUMBER(SEARCH("WIPRO",INDEX('REVIEW - Complete Role Mapping'!$R$2:$R$700,MATCH($A40,'REVIEW - Complete Role Mapping'!$AQ$2:$AQ$700,0)))),1,IFERROR(INDEX(Lists!$AD$2:$AD$5,MATCH($E40,Lists!$AC$2:$AC$5,0)),NA()))</f>
        <v>134979.036</v>
      </c>
    </row>
    <row r="41" ht="14.25" customHeight="1" s="535">
      <c r="A41" s="1045" t="inlineStr">
        <is>
          <t>R0493</t>
        </is>
      </c>
      <c r="B41" s="929" t="str">
        <f>INDEX('REVIEW - Complete Role Mapping'!$B$2:$B$700,MATCH($A41,'REVIEW - Complete Role Mapping'!$AQ$2:$AQ$700,0))</f>
        <v>Bradley Cunningham</v>
      </c>
      <c r="C41" s="929" t="str">
        <f>INDEX('REVIEW - Complete Role Mapping'!$D$2:$D$700,MATCH($A41,'REVIEW - Complete Role Mapping'!$AQ$2:$AQ$700,0))</f>
        <v>Site Systems Analyst</v>
      </c>
      <c r="D41" s="929" t="str">
        <f>INDEX('REVIEW - Complete Role Mapping'!$AF$2:$AF$700,MATCH($A41,'REVIEW - Complete Role Mapping'!$AQ$2:$AQ$700,0))</f>
        <v>Filled</v>
      </c>
      <c r="E41" s="543" t="inlineStr">
        <is>
          <t>Filled</t>
        </is>
      </c>
      <c r="F41" s="1031">
        <f>INDEX('REVIEW - Complete Role Mapping'!$AE$2:$AE$700,MATCH($A41,'REVIEW - Complete Role Mapping'!$AQ$2:$AQ$700,0))</f>
        <v>107247.016</v>
      </c>
      <c r="G41" s="1031">
        <f>$F41*IF(ISNUMBER(SEARCH("WIPRO",INDEX('REVIEW - Complete Role Mapping'!$R$2:$R$700,MATCH($A41,'REVIEW - Complete Role Mapping'!$AQ$2:$AQ$700,0)))),1,IFERROR(INDEX(Lists!$AD$2:$AD$5,MATCH($E41,Lists!$AC$2:$AC$5,0)),NA()))</f>
        <v>107247.016</v>
      </c>
    </row>
    <row r="42" ht="14.25" customHeight="1" s="535">
      <c r="A42" s="1045" t="inlineStr">
        <is>
          <t>R0505</t>
        </is>
      </c>
      <c r="B42" s="929" t="str">
        <f>INDEX('REVIEW - Complete Role Mapping'!$B$2:$B$700,MATCH($A42,'REVIEW - Complete Role Mapping'!$AQ$2:$AQ$700,0))</f>
        <v>Alex Sutherland</v>
      </c>
      <c r="C42" s="929" t="str">
        <f>INDEX('REVIEW - Complete Role Mapping'!$D$2:$D$700,MATCH($A42,'REVIEW - Complete Role Mapping'!$AQ$2:$AQ$700,0))</f>
        <v>Site Systems Analyst</v>
      </c>
      <c r="D42" s="929" t="str">
        <f>INDEX('REVIEW - Complete Role Mapping'!$AF$2:$AF$700,MATCH($A42,'REVIEW - Complete Role Mapping'!$AQ$2:$AQ$700,0))</f>
        <v>Filled</v>
      </c>
      <c r="E42" s="543" t="inlineStr">
        <is>
          <t>Filled</t>
        </is>
      </c>
      <c r="F42" s="1031">
        <f>INDEX('REVIEW - Complete Role Mapping'!$AE$2:$AE$700,MATCH($A42,'REVIEW - Complete Role Mapping'!$AQ$2:$AQ$700,0))</f>
        <v>96857.824</v>
      </c>
      <c r="G42" s="1031">
        <f>$F42*IF(ISNUMBER(SEARCH("WIPRO",INDEX('REVIEW - Complete Role Mapping'!$R$2:$R$700,MATCH($A42,'REVIEW - Complete Role Mapping'!$AQ$2:$AQ$700,0)))),1,IFERROR(INDEX(Lists!$AD$2:$AD$5,MATCH($E42,Lists!$AC$2:$AC$5,0)),NA()))</f>
        <v>96857.824</v>
      </c>
    </row>
    <row r="43" ht="14.25" customHeight="1" s="535">
      <c r="B43" s="1029" t="inlineStr">
        <is>
          <t>Z Retail Backend</t>
        </is>
      </c>
      <c r="C43" s="1029" t="str">
        <f>COUNTIF($B$44:$B$52,"?*")&amp;IF(COUNTIF($B$44:$B$52,"?*")=1," role"," roles")</f>
        <v>9 roles</v>
      </c>
      <c r="D43" s="1029" t="n"/>
      <c r="E43" s="1029" t="n"/>
      <c r="F43" s="1044">
        <f>SUM(F44:F52)</f>
        <v>1857667.168</v>
      </c>
      <c r="G43" s="1044">
        <f>SUM(G44:G52)</f>
        <v>1687177.418</v>
      </c>
    </row>
    <row r="44" ht="14.25" customHeight="1" s="535">
      <c r="A44" s="1045" t="inlineStr">
        <is>
          <t>R0150</t>
        </is>
      </c>
      <c r="B44" s="929" t="str">
        <f>INDEX('REVIEW - Complete Role Mapping'!$B$2:$B$700,MATCH($A44,'REVIEW - Complete Role Mapping'!$AQ$2:$AQ$700,0))</f>
        <v>Christian Guo</v>
      </c>
      <c r="C44" s="929" t="str">
        <f>INDEX('REVIEW - Complete Role Mapping'!$D$2:$D$700,MATCH($A44,'REVIEW - Complete Role Mapping'!$AQ$2:$AQ$700,0))</f>
        <v>Solution Architect</v>
      </c>
      <c r="D44" s="929" t="str">
        <f>INDEX('REVIEW - Complete Role Mapping'!$AF$2:$AF$700,MATCH($A44,'REVIEW - Complete Role Mapping'!$AQ$2:$AQ$700,0))</f>
        <v>Filled</v>
      </c>
      <c r="E44" s="543" t="inlineStr">
        <is>
          <t>Filled</t>
        </is>
      </c>
      <c r="F44" s="1031">
        <f>INDEX('REVIEW - Complete Role Mapping'!$AE$2:$AE$700,MATCH($A44,'REVIEW - Complete Role Mapping'!$AQ$2:$AQ$700,0))</f>
        <v>206598</v>
      </c>
      <c r="G44" s="1031">
        <f>$F44*IF(ISNUMBER(SEARCH("WIPRO",INDEX('REVIEW - Complete Role Mapping'!$R$2:$R$700,MATCH($A44,'REVIEW - Complete Role Mapping'!$AQ$2:$AQ$700,0)))),1,IFERROR(INDEX(Lists!$AD$2:$AD$5,MATCH($E44,Lists!$AC$2:$AC$5,0)),NA()))</f>
        <v>206598</v>
      </c>
    </row>
    <row r="45" ht="14.25" customHeight="1" s="535">
      <c r="A45" s="1045" t="inlineStr">
        <is>
          <t>R0162</t>
        </is>
      </c>
      <c r="B45" s="929" t="str">
        <f>INDEX('REVIEW - Complete Role Mapping'!$B$2:$B$700,MATCH($A45,'REVIEW - Complete Role Mapping'!$AQ$2:$AQ$700,0))</f>
        <v>Trevor Weaver</v>
      </c>
      <c r="C45" s="929" t="str">
        <f>INDEX('REVIEW - Complete Role Mapping'!$D$2:$D$700,MATCH($A45,'REVIEW - Complete Role Mapping'!$AQ$2:$AQ$700,0))</f>
        <v>Lead  Engineer - Software</v>
      </c>
      <c r="D45" s="929" t="str">
        <f>INDEX('REVIEW - Complete Role Mapping'!$AF$2:$AF$700,MATCH($A45,'REVIEW - Complete Role Mapping'!$AQ$2:$AQ$700,0))</f>
        <v>Filled</v>
      </c>
      <c r="E45" s="543" t="inlineStr">
        <is>
          <t>Filled</t>
        </is>
      </c>
      <c r="F45" s="1031">
        <f>INDEX('REVIEW - Complete Role Mapping'!$AE$2:$AE$700,MATCH($A45,'REVIEW - Complete Role Mapping'!$AQ$2:$AQ$700,0))</f>
        <v>175289.5</v>
      </c>
      <c r="G45" s="1031">
        <f>$F45*IF(ISNUMBER(SEARCH("WIPRO",INDEX('REVIEW - Complete Role Mapping'!$R$2:$R$700,MATCH($A45,'REVIEW - Complete Role Mapping'!$AQ$2:$AQ$700,0)))),1,IFERROR(INDEX(Lists!$AD$2:$AD$5,MATCH($E45,Lists!$AC$2:$AC$5,0)),NA()))</f>
        <v>175289.5</v>
      </c>
    </row>
    <row r="46" ht="14.25" customHeight="1" s="535">
      <c r="A46" s="1045" t="inlineStr">
        <is>
          <t>R0163</t>
        </is>
      </c>
      <c r="B46" s="929" t="str">
        <f>INDEX('REVIEW - Complete Role Mapping'!$B$2:$B$700,MATCH($A46,'REVIEW - Complete Role Mapping'!$AQ$2:$AQ$700,0))</f>
        <v>Vacant</v>
      </c>
      <c r="C46" s="929" t="str">
        <f>INDEX('REVIEW - Complete Role Mapping'!$D$2:$D$700,MATCH($A46,'REVIEW - Complete Role Mapping'!$AQ$2:$AQ$700,0))</f>
        <v>Lead Quality Assurance</v>
      </c>
      <c r="D46" s="929" t="str">
        <f>INDEX('REVIEW - Complete Role Mapping'!$AF$2:$AF$700,MATCH($A46,'REVIEW - Complete Role Mapping'!$AQ$2:$AQ$700,0))</f>
        <v>Vacant</v>
      </c>
      <c r="E46" s="543" t="inlineStr">
        <is>
          <t>Hold</t>
        </is>
      </c>
      <c r="F46" s="1031">
        <f>INDEX('REVIEW - Complete Role Mapping'!$AE$2:$AE$700,MATCH($A46,'REVIEW - Complete Role Mapping'!$AQ$2:$AQ$700,0))</f>
        <v>170489.75</v>
      </c>
      <c r="G46" s="1031">
        <f>$F46*IF(ISNUMBER(SEARCH("WIPRO",INDEX('REVIEW - Complete Role Mapping'!$R$2:$R$700,MATCH($A46,'REVIEW - Complete Role Mapping'!$AQ$2:$AQ$700,0)))),1,IFERROR(INDEX(Lists!$AD$2:$AD$5,MATCH($E46,Lists!$AC$2:$AC$5,0)),NA()))</f>
        <v>0</v>
      </c>
    </row>
    <row r="47" ht="14.25" customHeight="1" s="535">
      <c r="A47" s="1045" t="inlineStr">
        <is>
          <t>R0233</t>
        </is>
      </c>
      <c r="B47" s="929" t="str">
        <f>INDEX('REVIEW - Complete Role Mapping'!$B$2:$B$700,MATCH($A47,'REVIEW - Complete Role Mapping'!$AQ$2:$AQ$700,0))</f>
        <v>Mark Dickson</v>
      </c>
      <c r="C47" s="929" t="str">
        <f>INDEX('REVIEW - Complete Role Mapping'!$D$2:$D$700,MATCH($A47,'REVIEW - Complete Role Mapping'!$AQ$2:$AQ$700,0))</f>
        <v>Delivery Lead</v>
      </c>
      <c r="D47" s="929" t="str">
        <f>INDEX('REVIEW - Complete Role Mapping'!$AF$2:$AF$700,MATCH($A47,'REVIEW - Complete Role Mapping'!$AQ$2:$AQ$700,0))</f>
        <v>Filled</v>
      </c>
      <c r="E47" s="543" t="inlineStr">
        <is>
          <t>Filled</t>
        </is>
      </c>
      <c r="F47" s="1031">
        <f>INDEX('REVIEW - Complete Role Mapping'!$AE$2:$AE$700,MATCH($A47,'REVIEW - Complete Role Mapping'!$AQ$2:$AQ$700,0))</f>
        <v>180225</v>
      </c>
      <c r="G47" s="1031">
        <f>$F47*IF(ISNUMBER(SEARCH("WIPRO",INDEX('REVIEW - Complete Role Mapping'!$R$2:$R$700,MATCH($A47,'REVIEW - Complete Role Mapping'!$AQ$2:$AQ$700,0)))),1,IFERROR(INDEX(Lists!$AD$2:$AD$5,MATCH($E47,Lists!$AC$2:$AC$5,0)),NA()))</f>
        <v>180225</v>
      </c>
    </row>
    <row r="48" ht="14.25" customHeight="1" s="535">
      <c r="A48" s="1045" t="inlineStr">
        <is>
          <t>R0299</t>
        </is>
      </c>
      <c r="B48" s="929" t="str">
        <f>INDEX('REVIEW - Complete Role Mapping'!$B$2:$B$700,MATCH($A48,'REVIEW - Complete Role Mapping'!$AQ$2:$AQ$700,0))</f>
        <v>Vacant</v>
      </c>
      <c r="C48" s="929" t="str">
        <f>INDEX('REVIEW - Complete Role Mapping'!$D$2:$D$700,MATCH($A48,'REVIEW - Complete Role Mapping'!$AQ$2:$AQ$700,0))</f>
        <v>Engineer - Software</v>
      </c>
      <c r="D48" s="929" t="str">
        <f>INDEX('REVIEW - Complete Role Mapping'!$AF$2:$AF$700,MATCH($A48,'REVIEW - Complete Role Mapping'!$AQ$2:$AQ$700,0))</f>
        <v>Vacant</v>
      </c>
      <c r="E48" s="543" t="inlineStr">
        <is>
          <t>Hire</t>
        </is>
      </c>
      <c r="F48" s="1031">
        <f>INDEX('REVIEW - Complete Role Mapping'!$AE$2:$AE$700,MATCH($A48,'REVIEW - Complete Role Mapping'!$AQ$2:$AQ$700,0))</f>
        <v>231689.25</v>
      </c>
      <c r="G48" s="1031">
        <f>$F48*IF(ISNUMBER(SEARCH("WIPRO",INDEX('REVIEW - Complete Role Mapping'!$R$2:$R$700,MATCH($A48,'REVIEW - Complete Role Mapping'!$AQ$2:$AQ$700,0)))),1,IFERROR(INDEX(Lists!$AD$2:$AD$5,MATCH($E48,Lists!$AC$2:$AC$5,0)),NA()))</f>
        <v>231689.25</v>
      </c>
    </row>
    <row r="49" ht="14.25" customHeight="1" s="535">
      <c r="A49" s="1045" t="inlineStr">
        <is>
          <t>R0431</t>
        </is>
      </c>
      <c r="B49" s="929" t="str">
        <f>INDEX('REVIEW - Complete Role Mapping'!$B$2:$B$700,MATCH($A49,'REVIEW - Complete Role Mapping'!$AQ$2:$AQ$700,0))</f>
        <v>Adrian Alcance</v>
      </c>
      <c r="C49" s="929" t="str">
        <f>INDEX('REVIEW - Complete Role Mapping'!$D$2:$D$700,MATCH($A49,'REVIEW - Complete Role Mapping'!$AQ$2:$AQ$700,0))</f>
        <v>Senior Engineer - DevOps</v>
      </c>
      <c r="D49" s="929" t="str">
        <f>INDEX('REVIEW - Complete Role Mapping'!$AF$2:$AF$700,MATCH($A49,'REVIEW - Complete Role Mapping'!$AQ$2:$AQ$700,0))</f>
        <v>Filled</v>
      </c>
      <c r="E49" s="543" t="inlineStr">
        <is>
          <t>Filled</t>
        </is>
      </c>
      <c r="F49" s="1031">
        <f>INDEX('REVIEW - Complete Role Mapping'!$AE$2:$AE$700,MATCH($A49,'REVIEW - Complete Role Mapping'!$AQ$2:$AQ$700,0))</f>
        <v>142900.236</v>
      </c>
      <c r="G49" s="1031">
        <f>$F49*IF(ISNUMBER(SEARCH("WIPRO",INDEX('REVIEW - Complete Role Mapping'!$R$2:$R$700,MATCH($A49,'REVIEW - Complete Role Mapping'!$AQ$2:$AQ$700,0)))),1,IFERROR(INDEX(Lists!$AD$2:$AD$5,MATCH($E49,Lists!$AC$2:$AC$5,0)),NA()))</f>
        <v>142900.236</v>
      </c>
    </row>
    <row r="50" ht="14.25" customHeight="1" s="535">
      <c r="A50" s="1045" t="inlineStr">
        <is>
          <t>R0433</t>
        </is>
      </c>
      <c r="B50" s="929" t="str">
        <f>INDEX('REVIEW - Complete Role Mapping'!$B$2:$B$700,MATCH($A50,'REVIEW - Complete Role Mapping'!$AQ$2:$AQ$700,0))</f>
        <v>Malachi Ah Hoi</v>
      </c>
      <c r="C50" s="929" t="str">
        <f>INDEX('REVIEW - Complete Role Mapping'!$D$2:$D$700,MATCH($A50,'REVIEW - Complete Role Mapping'!$AQ$2:$AQ$700,0))</f>
        <v>Senior Quality Assurance</v>
      </c>
      <c r="D50" s="929" t="str">
        <f>INDEX('REVIEW - Complete Role Mapping'!$AF$2:$AF$700,MATCH($A50,'REVIEW - Complete Role Mapping'!$AQ$2:$AQ$700,0))</f>
        <v>Filled</v>
      </c>
      <c r="E50" s="543" t="inlineStr">
        <is>
          <t>Filled</t>
        </is>
      </c>
      <c r="F50" s="1031">
        <f>INDEX('REVIEW - Complete Role Mapping'!$AE$2:$AE$700,MATCH($A50,'REVIEW - Complete Role Mapping'!$AQ$2:$AQ$700,0))</f>
        <v>199378.392</v>
      </c>
      <c r="G50" s="1031">
        <f>$F50*IF(ISNUMBER(SEARCH("WIPRO",INDEX('REVIEW - Complete Role Mapping'!$R$2:$R$700,MATCH($A50,'REVIEW - Complete Role Mapping'!$AQ$2:$AQ$700,0)))),1,IFERROR(INDEX(Lists!$AD$2:$AD$5,MATCH($E50,Lists!$AC$2:$AC$5,0)),NA()))</f>
        <v>199378.392</v>
      </c>
    </row>
    <row r="51" ht="14.25" customHeight="1" s="535">
      <c r="A51" s="1045" t="inlineStr">
        <is>
          <t>R0517</t>
        </is>
      </c>
      <c r="B51" s="929" t="str">
        <f>INDEX('REVIEW - Complete Role Mapping'!$B$2:$B$700,MATCH($A51,'REVIEW - Complete Role Mapping'!$AQ$2:$AQ$700,0))</f>
        <v>Allana Arbuckle</v>
      </c>
      <c r="C51" s="929" t="str">
        <f>INDEX('REVIEW - Complete Role Mapping'!$D$2:$D$700,MATCH($A51,'REVIEW - Complete Role Mapping'!$AQ$2:$AQ$700,0))</f>
        <v>Business Analyst</v>
      </c>
      <c r="D51" s="929" t="str">
        <f>INDEX('REVIEW - Complete Role Mapping'!$AF$2:$AF$700,MATCH($A51,'REVIEW - Complete Role Mapping'!$AQ$2:$AQ$700,0))</f>
        <v>Filled</v>
      </c>
      <c r="E51" s="543" t="inlineStr">
        <is>
          <t>Filled</t>
        </is>
      </c>
      <c r="F51" s="1031">
        <f>INDEX('REVIEW - Complete Role Mapping'!$AE$2:$AE$700,MATCH($A51,'REVIEW - Complete Role Mapping'!$AQ$2:$AQ$700,0))</f>
        <v>112447.04</v>
      </c>
      <c r="G51" s="1031">
        <f>$F51*IF(ISNUMBER(SEARCH("WIPRO",INDEX('REVIEW - Complete Role Mapping'!$R$2:$R$700,MATCH($A51,'REVIEW - Complete Role Mapping'!$AQ$2:$AQ$700,0)))),1,IFERROR(INDEX(Lists!$AD$2:$AD$5,MATCH($E51,Lists!$AC$2:$AC$5,0)),NA()))</f>
        <v>112447.04</v>
      </c>
    </row>
    <row r="52" ht="14.25" customHeight="1" s="535">
      <c r="A52" s="1045" t="inlineStr">
        <is>
          <t>R0520</t>
        </is>
      </c>
      <c r="B52" s="929" t="str">
        <f>INDEX('REVIEW - Complete Role Mapping'!$B$2:$B$700,MATCH($A52,'REVIEW - Complete Role Mapping'!$AQ$2:$AQ$700,0))</f>
        <v>Lauren Lancaster</v>
      </c>
      <c r="C52" s="929" t="str">
        <f>INDEX('REVIEW - Complete Role Mapping'!$D$2:$D$700,MATCH($A52,'REVIEW - Complete Role Mapping'!$AQ$2:$AQ$700,0))</f>
        <v>Associate Engineer - Software</v>
      </c>
      <c r="D52" s="929" t="str">
        <f>INDEX('REVIEW - Complete Role Mapping'!$AF$2:$AF$700,MATCH($A52,'REVIEW - Complete Role Mapping'!$AQ$2:$AQ$700,0))</f>
        <v>Filled</v>
      </c>
      <c r="E52" s="543" t="inlineStr">
        <is>
          <t>Filled</t>
        </is>
      </c>
      <c r="F52" s="1031">
        <f>INDEX('REVIEW - Complete Role Mapping'!$AE$2:$AE$700,MATCH($A52,'REVIEW - Complete Role Mapping'!$AQ$2:$AQ$700,0))</f>
        <v>438650</v>
      </c>
      <c r="G52" s="1031">
        <f>$F52*IF(ISNUMBER(SEARCH("WIPRO",INDEX('REVIEW - Complete Role Mapping'!$R$2:$R$700,MATCH($A52,'REVIEW - Complete Role Mapping'!$AQ$2:$AQ$700,0)))),1,IFERROR(INDEX(Lists!$AD$2:$AD$5,MATCH($E52,Lists!$AC$2:$AC$5,0)),NA()))</f>
        <v>438650</v>
      </c>
    </row>
    <row r="53" ht="14.25" customHeight="1" s="535">
      <c r="B53" s="1029" t="inlineStr">
        <is>
          <t>Z Supply</t>
        </is>
      </c>
      <c r="C53" s="1029" t="str">
        <f>COUNTIF($B$54:$B$62,"?*")&amp;IF(COUNTIF($B$54:$B$62,"?*")=1," role"," roles")</f>
        <v>9 roles</v>
      </c>
      <c r="D53" s="1029" t="n"/>
      <c r="E53" s="1029" t="n"/>
      <c r="F53" s="1044">
        <f>SUM(F54:F62)</f>
        <v>1663774.396</v>
      </c>
      <c r="G53" s="1044">
        <f>SUM(G54:G62)</f>
        <v>1663774.396</v>
      </c>
    </row>
    <row r="54" ht="14.25" customHeight="1" s="535">
      <c r="A54" s="1045" t="inlineStr">
        <is>
          <t>R0161</t>
        </is>
      </c>
      <c r="B54" s="929" t="str">
        <f>INDEX('REVIEW - Complete Role Mapping'!$B$2:$B$700,MATCH($A54,'REVIEW - Complete Role Mapping'!$AQ$2:$AQ$700,0))</f>
        <v>Benjamin Sheffield</v>
      </c>
      <c r="C54" s="929" t="str">
        <f>INDEX('REVIEW - Complete Role Mapping'!$D$2:$D$700,MATCH($A54,'REVIEW - Complete Role Mapping'!$AQ$2:$AQ$700,0))</f>
        <v>Lead Engineer - Software</v>
      </c>
      <c r="D54" s="929" t="str">
        <f>INDEX('REVIEW - Complete Role Mapping'!$AF$2:$AF$700,MATCH($A54,'REVIEW - Complete Role Mapping'!$AQ$2:$AQ$700,0))</f>
        <v>Filled</v>
      </c>
      <c r="E54" s="543" t="inlineStr">
        <is>
          <t>Filled</t>
        </is>
      </c>
      <c r="F54" s="1031">
        <f>INDEX('REVIEW - Complete Role Mapping'!$AE$2:$AE$700,MATCH($A54,'REVIEW - Complete Role Mapping'!$AQ$2:$AQ$700,0))</f>
        <v>184248.9</v>
      </c>
      <c r="G54" s="1031">
        <f>$F54*IF(ISNUMBER(SEARCH("WIPRO",INDEX('REVIEW - Complete Role Mapping'!$R$2:$R$700,MATCH($A54,'REVIEW - Complete Role Mapping'!$AQ$2:$AQ$700,0)))),1,IFERROR(INDEX(Lists!$AD$2:$AD$5,MATCH($E54,Lists!$AC$2:$AC$5,0)),NA()))</f>
        <v>184248.9</v>
      </c>
    </row>
    <row r="55" ht="14.25" customHeight="1" s="535">
      <c r="A55" s="1045" t="inlineStr">
        <is>
          <t>R0232</t>
        </is>
      </c>
      <c r="B55" s="929" t="str">
        <f>INDEX('REVIEW - Complete Role Mapping'!$B$2:$B$700,MATCH($A55,'REVIEW - Complete Role Mapping'!$AQ$2:$AQ$700,0))</f>
        <v>Helen Jones</v>
      </c>
      <c r="C55" s="929" t="str">
        <f>INDEX('REVIEW - Complete Role Mapping'!$D$2:$D$700,MATCH($A55,'REVIEW - Complete Role Mapping'!$AQ$2:$AQ$700,0))</f>
        <v>Delivery Lead</v>
      </c>
      <c r="D55" s="929" t="str">
        <f>INDEX('REVIEW - Complete Role Mapping'!$AF$2:$AF$700,MATCH($A55,'REVIEW - Complete Role Mapping'!$AQ$2:$AQ$700,0))</f>
        <v>Filled</v>
      </c>
      <c r="E55" s="543" t="inlineStr">
        <is>
          <t>Filled</t>
        </is>
      </c>
      <c r="F55" s="1031">
        <f>INDEX('REVIEW - Complete Role Mapping'!$AE$2:$AE$700,MATCH($A55,'REVIEW - Complete Role Mapping'!$AQ$2:$AQ$700,0))</f>
        <v>239418.9</v>
      </c>
      <c r="G55" s="1031">
        <f>$F55*IF(ISNUMBER(SEARCH("WIPRO",INDEX('REVIEW - Complete Role Mapping'!$R$2:$R$700,MATCH($A55,'REVIEW - Complete Role Mapping'!$AQ$2:$AQ$700,0)))),1,IFERROR(INDEX(Lists!$AD$2:$AD$5,MATCH($E55,Lists!$AC$2:$AC$5,0)),NA()))</f>
        <v>239418.9</v>
      </c>
    </row>
    <row r="56" ht="14.25" customHeight="1" s="535">
      <c r="A56" s="1045" t="inlineStr">
        <is>
          <t>R0298</t>
        </is>
      </c>
      <c r="B56" s="929" t="str">
        <f>INDEX('REVIEW - Complete Role Mapping'!$B$2:$B$700,MATCH($A56,'REVIEW - Complete Role Mapping'!$AQ$2:$AQ$700,0))</f>
        <v>Isuru Herath</v>
      </c>
      <c r="C56" s="929" t="str">
        <f>INDEX('REVIEW - Complete Role Mapping'!$D$2:$D$700,MATCH($A56,'REVIEW - Complete Role Mapping'!$AQ$2:$AQ$700,0))</f>
        <v>Senior Engineer - Software</v>
      </c>
      <c r="D56" s="929" t="str">
        <f>INDEX('REVIEW - Complete Role Mapping'!$AF$2:$AF$700,MATCH($A56,'REVIEW - Complete Role Mapping'!$AQ$2:$AQ$700,0))</f>
        <v>Filled</v>
      </c>
      <c r="E56" s="543" t="inlineStr">
        <is>
          <t>Filled</t>
        </is>
      </c>
      <c r="F56" s="1031">
        <f>INDEX('REVIEW - Complete Role Mapping'!$AE$2:$AE$700,MATCH($A56,'REVIEW - Complete Role Mapping'!$AQ$2:$AQ$700,0))</f>
        <v>224493.6</v>
      </c>
      <c r="G56" s="1031">
        <f>$F56*IF(ISNUMBER(SEARCH("WIPRO",INDEX('REVIEW - Complete Role Mapping'!$R$2:$R$700,MATCH($A56,'REVIEW - Complete Role Mapping'!$AQ$2:$AQ$700,0)))),1,IFERROR(INDEX(Lists!$AD$2:$AD$5,MATCH($E56,Lists!$AC$2:$AC$5,0)),NA()))</f>
        <v>224493.6</v>
      </c>
    </row>
    <row r="57" ht="14.25" customHeight="1" s="535">
      <c r="A57" s="1045" t="inlineStr">
        <is>
          <t>R0432</t>
        </is>
      </c>
      <c r="B57" s="929" t="str">
        <f>INDEX('REVIEW - Complete Role Mapping'!$B$2:$B$700,MATCH($A57,'REVIEW - Complete Role Mapping'!$AQ$2:$AQ$700,0))</f>
        <v>Joe Kuttikkatt</v>
      </c>
      <c r="C57" s="929" t="str">
        <f>INDEX('REVIEW - Complete Role Mapping'!$D$2:$D$700,MATCH($A57,'REVIEW - Complete Role Mapping'!$AQ$2:$AQ$700,0))</f>
        <v>Senior Quality Assurance</v>
      </c>
      <c r="D57" s="929" t="str">
        <f>INDEX('REVIEW - Complete Role Mapping'!$AF$2:$AF$700,MATCH($A57,'REVIEW - Complete Role Mapping'!$AQ$2:$AQ$700,0))</f>
        <v>Filled</v>
      </c>
      <c r="E57" s="543" t="inlineStr">
        <is>
          <t>Filled</t>
        </is>
      </c>
      <c r="F57" s="1031">
        <f>INDEX('REVIEW - Complete Role Mapping'!$AE$2:$AE$700,MATCH($A57,'REVIEW - Complete Role Mapping'!$AQ$2:$AQ$700,0))</f>
        <v>104565.584</v>
      </c>
      <c r="G57" s="1031">
        <f>$F57*IF(ISNUMBER(SEARCH("WIPRO",INDEX('REVIEW - Complete Role Mapping'!$R$2:$R$700,MATCH($A57,'REVIEW - Complete Role Mapping'!$AQ$2:$AQ$700,0)))),1,IFERROR(INDEX(Lists!$AD$2:$AD$5,MATCH($E57,Lists!$AC$2:$AC$5,0)),NA()))</f>
        <v>104565.584</v>
      </c>
    </row>
    <row r="58" ht="14.25" customHeight="1" s="535">
      <c r="A58" s="1045" t="inlineStr">
        <is>
          <t>R0434</t>
        </is>
      </c>
      <c r="B58" s="929" t="str">
        <f>INDEX('REVIEW - Complete Role Mapping'!$B$2:$B$700,MATCH($A58,'REVIEW - Complete Role Mapping'!$AQ$2:$AQ$700,0))</f>
        <v>Vacant</v>
      </c>
      <c r="C58" s="929" t="str">
        <f>INDEX('REVIEW - Complete Role Mapping'!$D$2:$D$700,MATCH($A58,'REVIEW - Complete Role Mapping'!$AQ$2:$AQ$700,0))</f>
        <v>Quality Assurance</v>
      </c>
      <c r="D58" s="929" t="str">
        <f>INDEX('REVIEW - Complete Role Mapping'!$AF$2:$AF$700,MATCH($A58,'REVIEW - Complete Role Mapping'!$AQ$2:$AQ$700,0))</f>
        <v>Vacant</v>
      </c>
      <c r="E58" s="543" t="inlineStr">
        <is>
          <t>Hire</t>
        </is>
      </c>
      <c r="F58" s="1031">
        <f>INDEX('REVIEW - Complete Role Mapping'!$AE$2:$AE$700,MATCH($A58,'REVIEW - Complete Role Mapping'!$AQ$2:$AQ$700,0))</f>
        <v>275810.25</v>
      </c>
      <c r="G58" s="1031">
        <f>$F58*IF(ISNUMBER(SEARCH("WIPRO",INDEX('REVIEW - Complete Role Mapping'!$R$2:$R$700,MATCH($A58,'REVIEW - Complete Role Mapping'!$AQ$2:$AQ$700,0)))),1,IFERROR(INDEX(Lists!$AD$2:$AD$5,MATCH($E58,Lists!$AC$2:$AC$5,0)),NA()))</f>
        <v>275810.25</v>
      </c>
    </row>
    <row r="59" ht="14.25" customHeight="1" s="535">
      <c r="A59" s="1045" t="inlineStr">
        <is>
          <t>R0472</t>
        </is>
      </c>
      <c r="B59" s="929" t="str">
        <f>INDEX('REVIEW - Complete Role Mapping'!$B$2:$B$700,MATCH($A59,'REVIEW - Complete Role Mapping'!$AQ$2:$AQ$700,0))</f>
        <v>Anna Koot</v>
      </c>
      <c r="C59" s="929" t="str">
        <f>INDEX('REVIEW - Complete Role Mapping'!$D$2:$D$700,MATCH($A59,'REVIEW - Complete Role Mapping'!$AQ$2:$AQ$700,0))</f>
        <v>Senior Business Analyst</v>
      </c>
      <c r="D59" s="929" t="str">
        <f>INDEX('REVIEW - Complete Role Mapping'!$AF$2:$AF$700,MATCH($A59,'REVIEW - Complete Role Mapping'!$AQ$2:$AQ$700,0))</f>
        <v>Filled</v>
      </c>
      <c r="E59" s="543" t="inlineStr">
        <is>
          <t>Filled</t>
        </is>
      </c>
      <c r="F59" s="1031">
        <f>INDEX('REVIEW - Complete Role Mapping'!$AE$2:$AE$700,MATCH($A59,'REVIEW - Complete Role Mapping'!$AQ$2:$AQ$700,0))</f>
        <v>153774.912</v>
      </c>
      <c r="G59" s="1031">
        <f>$F59*IF(ISNUMBER(SEARCH("WIPRO",INDEX('REVIEW - Complete Role Mapping'!$R$2:$R$700,MATCH($A59,'REVIEW - Complete Role Mapping'!$AQ$2:$AQ$700,0)))),1,IFERROR(INDEX(Lists!$AD$2:$AD$5,MATCH($E59,Lists!$AC$2:$AC$5,0)),NA()))</f>
        <v>153774.912</v>
      </c>
    </row>
    <row r="60" ht="14.25" customHeight="1" s="535">
      <c r="A60" s="1045" t="inlineStr">
        <is>
          <t>R0508</t>
        </is>
      </c>
      <c r="B60" s="929" t="str">
        <f>INDEX('REVIEW - Complete Role Mapping'!$B$2:$B$700,MATCH($A60,'REVIEW - Complete Role Mapping'!$AQ$2:$AQ$700,0))</f>
        <v>Gayan Liyana Arachchige</v>
      </c>
      <c r="C60" s="929" t="str">
        <f>INDEX('REVIEW - Complete Role Mapping'!$D$2:$D$700,MATCH($A60,'REVIEW - Complete Role Mapping'!$AQ$2:$AQ$700,0))</f>
        <v>Engineer - DevOps</v>
      </c>
      <c r="D60" s="929" t="str">
        <f>INDEX('REVIEW - Complete Role Mapping'!$AF$2:$AF$700,MATCH($A60,'REVIEW - Complete Role Mapping'!$AQ$2:$AQ$700,0))</f>
        <v>Filled</v>
      </c>
      <c r="E60" s="543" t="inlineStr">
        <is>
          <t>Filled</t>
        </is>
      </c>
      <c r="F60" s="1031">
        <f>INDEX('REVIEW - Complete Role Mapping'!$AE$2:$AE$700,MATCH($A60,'REVIEW - Complete Role Mapping'!$AQ$2:$AQ$700,0))</f>
        <v>174513.65</v>
      </c>
      <c r="G60" s="1031">
        <f>$F60*IF(ISNUMBER(SEARCH("WIPRO",INDEX('REVIEW - Complete Role Mapping'!$R$2:$R$700,MATCH($A60,'REVIEW - Complete Role Mapping'!$AQ$2:$AQ$700,0)))),1,IFERROR(INDEX(Lists!$AD$2:$AD$5,MATCH($E60,Lists!$AC$2:$AC$5,0)),NA()))</f>
        <v>174513.65</v>
      </c>
    </row>
    <row r="61" ht="14.25" customHeight="1" s="535">
      <c r="A61" s="1045" t="inlineStr">
        <is>
          <t>R0509</t>
        </is>
      </c>
      <c r="B61" s="929" t="str">
        <f>INDEX('REVIEW - Complete Role Mapping'!$B$2:$B$700,MATCH($A61,'REVIEW - Complete Role Mapping'!$AQ$2:$AQ$700,0))</f>
        <v>Johanah Gloria</v>
      </c>
      <c r="C61" s="929" t="str">
        <f>INDEX('REVIEW - Complete Role Mapping'!$D$2:$D$700,MATCH($A61,'REVIEW - Complete Role Mapping'!$AQ$2:$AQ$700,0))</f>
        <v>Engineer - Software</v>
      </c>
      <c r="D61" s="929" t="str">
        <f>INDEX('REVIEW - Complete Role Mapping'!$AF$2:$AF$700,MATCH($A61,'REVIEW - Complete Role Mapping'!$AQ$2:$AQ$700,0))</f>
        <v>Filled</v>
      </c>
      <c r="E61" s="543" t="inlineStr">
        <is>
          <t>Filled</t>
        </is>
      </c>
      <c r="F61" s="1031">
        <f>INDEX('REVIEW - Complete Role Mapping'!$AE$2:$AE$700,MATCH($A61,'REVIEW - Complete Role Mapping'!$AQ$2:$AQ$700,0))</f>
        <v>190050.6</v>
      </c>
      <c r="G61" s="1031">
        <f>$F61*IF(ISNUMBER(SEARCH("WIPRO",INDEX('REVIEW - Complete Role Mapping'!$R$2:$R$700,MATCH($A61,'REVIEW - Complete Role Mapping'!$AQ$2:$AQ$700,0)))),1,IFERROR(INDEX(Lists!$AD$2:$AD$5,MATCH($E61,Lists!$AC$2:$AC$5,0)),NA()))</f>
        <v>190050.6</v>
      </c>
    </row>
    <row r="62" ht="14.25" customHeight="1" s="535">
      <c r="A62" s="1045" t="inlineStr">
        <is>
          <t>R0519</t>
        </is>
      </c>
      <c r="B62" s="929" t="str">
        <f>INDEX('REVIEW - Complete Role Mapping'!$B$2:$B$700,MATCH($A62,'REVIEW - Complete Role Mapping'!$AQ$2:$AQ$700,0))</f>
        <v>Eugene Yeo</v>
      </c>
      <c r="C62" s="929" t="str">
        <f>INDEX('REVIEW - Complete Role Mapping'!$D$2:$D$700,MATCH($A62,'REVIEW - Complete Role Mapping'!$AQ$2:$AQ$700,0))</f>
        <v>Engineer - DevOps</v>
      </c>
      <c r="D62" s="929" t="str">
        <f>INDEX('REVIEW - Complete Role Mapping'!$AF$2:$AF$700,MATCH($A62,'REVIEW - Complete Role Mapping'!$AQ$2:$AQ$700,0))</f>
        <v>Filled</v>
      </c>
      <c r="E62" s="543" t="inlineStr">
        <is>
          <t>Filled</t>
        </is>
      </c>
      <c r="F62" s="1031">
        <f>INDEX('REVIEW - Complete Role Mapping'!$AE$2:$AE$700,MATCH($A62,'REVIEW - Complete Role Mapping'!$AQ$2:$AQ$700,0))</f>
        <v>116898</v>
      </c>
      <c r="G62" s="1031">
        <f>$F62*IF(ISNUMBER(SEARCH("WIPRO",INDEX('REVIEW - Complete Role Mapping'!$R$2:$R$700,MATCH($A62,'REVIEW - Complete Role Mapping'!$AQ$2:$AQ$700,0)))),1,IFERROR(INDEX(Lists!$AD$2:$AD$5,MATCH($E62,Lists!$AC$2:$AC$5,0)),NA()))</f>
        <v>116898</v>
      </c>
    </row>
    <row r="63" ht="14.25" customHeight="1" s="535">
      <c r="B63" s="1029" t="inlineStr">
        <is>
          <t>Head of Technology</t>
        </is>
      </c>
      <c r="C63" s="1029" t="str">
        <f>COUNTIF($B$64:$B$64,"?*")&amp;IF(COUNTIF($B$64:$B$64,"?*")=1," role"," roles")</f>
        <v>1 role</v>
      </c>
      <c r="D63" s="1029" t="n"/>
      <c r="E63" s="1029" t="n"/>
      <c r="F63" s="1044">
        <f>SUM(F64:F64)</f>
        <v>291422</v>
      </c>
      <c r="G63" s="1044">
        <f>SUM(G64:G64)</f>
        <v>291422</v>
      </c>
    </row>
    <row r="64" ht="14.25" customHeight="1" s="535">
      <c r="A64" s="1045" t="inlineStr">
        <is>
          <t>R0067</t>
        </is>
      </c>
      <c r="B64" s="929" t="str">
        <f>INDEX('REVIEW - Complete Role Mapping'!$B$2:$B$700,MATCH($A64,'REVIEW - Complete Role Mapping'!$AQ$2:$AQ$700,0))</f>
        <v>Vacant</v>
      </c>
      <c r="C64" s="929" t="str">
        <f>INDEX('REVIEW - Complete Role Mapping'!$D$2:$D$700,MATCH($A64,'REVIEW - Complete Role Mapping'!$AQ$2:$AQ$700,0))</f>
        <v>Head of Technology, Z and Group Retail Platforms</v>
      </c>
      <c r="D64" s="929" t="str">
        <f>INDEX('REVIEW - Complete Role Mapping'!$AF$2:$AF$700,MATCH($A64,'REVIEW - Complete Role Mapping'!$AQ$2:$AQ$700,0))</f>
        <v>Vacant</v>
      </c>
      <c r="E64" s="543" t="inlineStr">
        <is>
          <t>Filled</t>
        </is>
      </c>
      <c r="F64" s="1031">
        <f>INDEX('REVIEW - Complete Role Mapping'!$AE$2:$AE$700,MATCH($A64,'REVIEW - Complete Role Mapping'!$AQ$2:$AQ$700,0))</f>
        <v>291422</v>
      </c>
      <c r="G64" s="1031">
        <f>$F64*IF(ISNUMBER(SEARCH("WIPRO",INDEX('REVIEW - Complete Role Mapping'!$R$2:$R$700,MATCH($A64,'REVIEW - Complete Role Mapping'!$AQ$2:$AQ$700,0)))),1,IFERROR(INDEX(Lists!$AD$2:$AD$5,MATCH($E64,Lists!$AC$2:$AC$5,0)),NA()))</f>
        <v>291422</v>
      </c>
    </row>
    <row r="65" ht="14.25" customHeight="1" s="535">
      <c r="B65" s="1029" t="inlineStr">
        <is>
          <t>Delivery Manager</t>
        </is>
      </c>
      <c r="C65" s="1029" t="str">
        <f>COUNTIF($B$66:$B$66,"?*")&amp;IF(COUNTIF($B$66:$B$66,"?*")=1," role"," roles")</f>
        <v>1 role</v>
      </c>
      <c r="D65" s="1029" t="n"/>
      <c r="E65" s="1029" t="n"/>
      <c r="F65" s="1044">
        <f>SUM(F66:F66)</f>
        <v>202853.25</v>
      </c>
      <c r="G65" s="1044">
        <f>SUM(G66:G66)</f>
        <v>202853.25</v>
      </c>
    </row>
    <row r="66" ht="14.25" customHeight="1" s="535">
      <c r="A66" s="1045" t="inlineStr">
        <is>
          <t>R0117</t>
        </is>
      </c>
      <c r="B66" s="929" t="str">
        <f>INDEX('REVIEW - Complete Role Mapping'!$B$2:$B$700,MATCH($A66,'REVIEW - Complete Role Mapping'!$AQ$2:$AQ$700,0))</f>
        <v>Vacant</v>
      </c>
      <c r="C66" s="929" t="str">
        <f>INDEX('REVIEW - Complete Role Mapping'!$D$2:$D$700,MATCH($A66,'REVIEW - Complete Role Mapping'!$AQ$2:$AQ$700,0))</f>
        <v>Delivery Manager</v>
      </c>
      <c r="D66" s="929" t="str">
        <f>INDEX('REVIEW - Complete Role Mapping'!$AF$2:$AF$700,MATCH($A66,'REVIEW - Complete Role Mapping'!$AQ$2:$AQ$700,0))</f>
        <v>Vacant</v>
      </c>
      <c r="E66" s="543" t="inlineStr">
        <is>
          <t>Hire</t>
        </is>
      </c>
      <c r="F66" s="1031">
        <f>INDEX('REVIEW - Complete Role Mapping'!$AE$2:$AE$700,MATCH($A66,'REVIEW - Complete Role Mapping'!$AQ$2:$AQ$700,0))</f>
        <v>202853.25</v>
      </c>
      <c r="G66" s="1031">
        <f>$F66*IF(ISNUMBER(SEARCH("WIPRO",INDEX('REVIEW - Complete Role Mapping'!$R$2:$R$700,MATCH($A66,'REVIEW - Complete Role Mapping'!$AQ$2:$AQ$700,0)))),1,IFERROR(INDEX(Lists!$AD$2:$AD$5,MATCH($E66,Lists!$AC$2:$AC$5,0)),NA()))</f>
        <v>202853.25</v>
      </c>
    </row>
    <row r="67" ht="14.25" customHeight="1" s="535">
      <c r="B67" s="1029" t="inlineStr">
        <is>
          <t>Technology Manager</t>
        </is>
      </c>
      <c r="C67" s="1029" t="str">
        <f>COUNTIF($B$68:$B$70,"?*")&amp;IF(COUNTIF($B$68:$B$70,"?*")=1," role"," roles")</f>
        <v>3 roles</v>
      </c>
      <c r="D67" s="1029" t="n"/>
      <c r="E67" s="1029" t="n"/>
      <c r="F67" s="1044">
        <f>SUM(F68:F70)</f>
        <v>701217.524</v>
      </c>
      <c r="G67" s="1044">
        <f>SUM(G68:G70)</f>
        <v>701217.524</v>
      </c>
    </row>
    <row r="68" ht="14.25" customHeight="1" s="535">
      <c r="A68" s="1045" t="inlineStr">
        <is>
          <t>R0107</t>
        </is>
      </c>
      <c r="B68" s="929" t="str">
        <f>INDEX('REVIEW - Complete Role Mapping'!$B$2:$B$700,MATCH($A68,'REVIEW - Complete Role Mapping'!$AQ$2:$AQ$700,0))</f>
        <v>Emma Natoli</v>
      </c>
      <c r="C68" s="929" t="str">
        <f>INDEX('REVIEW - Complete Role Mapping'!$D$2:$D$700,MATCH($A68,'REVIEW - Complete Role Mapping'!$AQ$2:$AQ$700,0))</f>
        <v>Technology Manager, Engineering</v>
      </c>
      <c r="D68" s="929" t="str">
        <f>INDEX('REVIEW - Complete Role Mapping'!$AF$2:$AF$700,MATCH($A68,'REVIEW - Complete Role Mapping'!$AQ$2:$AQ$700,0))</f>
        <v>Filled</v>
      </c>
      <c r="E68" s="543" t="inlineStr">
        <is>
          <t>Filled</t>
        </is>
      </c>
      <c r="F68" s="1031">
        <f>INDEX('REVIEW - Complete Role Mapping'!$AE$2:$AE$700,MATCH($A68,'REVIEW - Complete Role Mapping'!$AQ$2:$AQ$700,0))</f>
        <v>236483.556</v>
      </c>
      <c r="G68" s="1031">
        <f>$F68*IF(ISNUMBER(SEARCH("WIPRO",INDEX('REVIEW - Complete Role Mapping'!$R$2:$R$700,MATCH($A68,'REVIEW - Complete Role Mapping'!$AQ$2:$AQ$700,0)))),1,IFERROR(INDEX(Lists!$AD$2:$AD$5,MATCH($E68,Lists!$AC$2:$AC$5,0)),NA()))</f>
        <v>236483.556</v>
      </c>
    </row>
    <row r="69" ht="14.25" customHeight="1" s="535">
      <c r="A69" s="1045" t="inlineStr">
        <is>
          <t>R0108</t>
        </is>
      </c>
      <c r="B69" s="929" t="str">
        <f>INDEX('REVIEW - Complete Role Mapping'!$B$2:$B$700,MATCH($A69,'REVIEW - Complete Role Mapping'!$AQ$2:$AQ$700,0))</f>
        <v>Manjot Kaur Malli</v>
      </c>
      <c r="C69" s="929" t="str">
        <f>INDEX('REVIEW - Complete Role Mapping'!$D$2:$D$700,MATCH($A69,'REVIEW - Complete Role Mapping'!$AQ$2:$AQ$700,0))</f>
        <v>Technology Manager, Data</v>
      </c>
      <c r="D69" s="929" t="str">
        <f>INDEX('REVIEW - Complete Role Mapping'!$AF$2:$AF$700,MATCH($A69,'REVIEW - Complete Role Mapping'!$AQ$2:$AQ$700,0))</f>
        <v>Filled</v>
      </c>
      <c r="E69" s="543" t="inlineStr">
        <is>
          <t>Filled</t>
        </is>
      </c>
      <c r="F69" s="1031">
        <f>INDEX('REVIEW - Complete Role Mapping'!$AE$2:$AE$700,MATCH($A69,'REVIEW - Complete Role Mapping'!$AQ$2:$AQ$700,0))</f>
        <v>254198</v>
      </c>
      <c r="G69" s="1031">
        <f>$F69*IF(ISNUMBER(SEARCH("WIPRO",INDEX('REVIEW - Complete Role Mapping'!$R$2:$R$700,MATCH($A69,'REVIEW - Complete Role Mapping'!$AQ$2:$AQ$700,0)))),1,IFERROR(INDEX(Lists!$AD$2:$AD$5,MATCH($E69,Lists!$AC$2:$AC$5,0)),NA()))</f>
        <v>254198</v>
      </c>
    </row>
    <row r="70" ht="14.25" customHeight="1" s="535">
      <c r="A70" s="1045" t="inlineStr">
        <is>
          <t>R0116</t>
        </is>
      </c>
      <c r="B70" s="929" t="str">
        <f>INDEX('REVIEW - Complete Role Mapping'!$B$2:$B$700,MATCH($A70,'REVIEW - Complete Role Mapping'!$AQ$2:$AQ$700,0))</f>
        <v>Callan McLaughlin</v>
      </c>
      <c r="C70" s="929" t="str">
        <f>INDEX('REVIEW - Complete Role Mapping'!$D$2:$D$700,MATCH($A70,'REVIEW - Complete Role Mapping'!$AQ$2:$AQ$700,0))</f>
        <v>Technology Manager, Site Systems</v>
      </c>
      <c r="D70" s="929" t="str">
        <f>INDEX('REVIEW - Complete Role Mapping'!$AF$2:$AF$700,MATCH($A70,'REVIEW - Complete Role Mapping'!$AQ$2:$AQ$700,0))</f>
        <v>Filled</v>
      </c>
      <c r="E70" s="543" t="inlineStr">
        <is>
          <t>Filled</t>
        </is>
      </c>
      <c r="F70" s="1031">
        <f>INDEX('REVIEW - Complete Role Mapping'!$AE$2:$AE$700,MATCH($A70,'REVIEW - Complete Role Mapping'!$AQ$2:$AQ$700,0))</f>
        <v>210535.968</v>
      </c>
      <c r="G70" s="1031">
        <f>$F70*IF(ISNUMBER(SEARCH("WIPRO",INDEX('REVIEW - Complete Role Mapping'!$R$2:$R$700,MATCH($A70,'REVIEW - Complete Role Mapping'!$AQ$2:$AQ$700,0)))),1,IFERROR(INDEX(Lists!$AD$2:$AD$5,MATCH($E70,Lists!$AC$2:$AC$5,0)),NA()))</f>
        <v>210535.968</v>
      </c>
    </row>
    <row r="71"/>
    <row r="72" ht="14.25" customHeight="1" s="535">
      <c r="B72" s="1040" t="inlineStr">
        <is>
          <t>Vacancy levers on this tab, for the executive summary</t>
        </is>
      </c>
      <c r="J72" s="1046">
        <f>COUNTIFS($D$25:$D$70,"Vacant",$E$25:$E$70,"Hire")</f>
        <v>3</v>
      </c>
      <c r="K72" s="1046">
        <f>COUNTIFS($D$25:$D$70,"Vacant",$E$25:$E$70,"Offshore")</f>
        <v>0</v>
      </c>
      <c r="L72" s="1046">
        <f>COUNTIFS($D$25:$D$70,"Vacant",$E$25:$E$70,"Hold")</f>
        <v>3</v>
      </c>
      <c r="M72" s="1046">
        <f>COUNTIFS($D$25:$D$70,"Vacant",$E$25:$E$70,"Filled")</f>
        <v>1</v>
      </c>
      <c r="N72" s="1046">
        <f>COUNTIFS($D$25:$D$70,"Filled",$E$25:$E$70,"Offshore")</f>
        <v>0</v>
      </c>
    </row>
  </sheetData>
  <dataValidations count="1">
    <dataValidation sqref="E26:E32 E34:E42 E44:E52 E54:E62 E64 E66 E68:E70"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1"/>
  </sheetPr>
  <dimension ref="A1:T67"/>
  <sheetViews>
    <sheetView showFormulas="0" showGridLines="0" showRowColHeaders="1" showZeros="1" rightToLeft="0" tabSelected="0" showOutlineSymbols="1" defaultGridColor="1" view="normal" topLeftCell="A14" colorId="64" zoomScale="100" zoomScaleNormal="100" zoomScalePageLayoutView="100" workbookViewId="0">
      <selection pane="topLeft" activeCell="B21" activeCellId="0" sqref="B21"/>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Cyber, Risk &amp; Service Operations - working copy</t>
        </is>
      </c>
    </row>
    <row r="3" ht="14.25" customHeight="1" s="535">
      <c r="B3" s="709" t="inlineStr">
        <is>
          <t>Portfolio</t>
        </is>
      </c>
      <c r="C3" s="868" t="inlineStr">
        <is>
          <t>COE Cyber</t>
        </is>
      </c>
    </row>
    <row r="4" ht="18.75" customHeight="1" s="535">
      <c r="B4" s="537" t="inlineStr">
        <is>
          <t>Cyber, Risk &amp; Service Operations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Cyber GRC</t>
        </is>
      </c>
      <c r="C8" s="1047">
        <f>""</f>
        <v/>
      </c>
      <c r="D8" s="929">
        <f>""</f>
        <v/>
      </c>
      <c r="E8" s="1048">
        <f>""</f>
        <v/>
      </c>
      <c r="F8" s="1031">
        <f>COUNTIF($B$25:$B$29,"?*")</f>
        <v>5</v>
      </c>
      <c r="G8" s="1030">
        <f>ROUND(SUMIFS('REVIEW - Complete Role Mapping'!$P$2:$P$700,'REVIEW - Complete Role Mapping'!$AH$2:$AH$700,$C$3,'REVIEW - Complete Role Mapping'!$AL$2:$AL$700,$B8),2)</f>
        <v>5</v>
      </c>
      <c r="H8" s="1031">
        <f>COUNTIFS($D$25:$D$29,"Filled")</f>
        <v>5</v>
      </c>
      <c r="I8" s="1031">
        <f>COUNTIFS($D$25:$D$29,"Vacant")</f>
        <v>0</v>
      </c>
      <c r="J8" s="1031">
        <f>COUNTIFS($D$25:$D$29,"Vacant",$E$25:$E$29,"Hire")</f>
        <v>0</v>
      </c>
      <c r="K8" s="1031">
        <f>COUNTIFS($E$25:$E$29,"Offshore")</f>
        <v>4</v>
      </c>
      <c r="L8" s="1031">
        <f>COUNTIFS($E$25:$E$29,"Hold")</f>
        <v>0</v>
      </c>
      <c r="M8" s="1031">
        <f>$F8-$L8</f>
        <v>5</v>
      </c>
      <c r="N8" s="1048">
        <f>""</f>
        <v/>
      </c>
      <c r="O8" s="1032">
        <f>SUMIFS('REVIEW - Complete Role Mapping'!$AE$2:$AE$700,'REVIEW - Complete Role Mapping'!$AH$2:$AH$700,$C$3,'REVIEW - Complete Role Mapping'!$AL$2:$AL$700,$B8)/1000000</f>
        <v>1.071477788</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1.071477788</v>
      </c>
      <c r="R8" s="1048">
        <f>""</f>
        <v/>
      </c>
      <c r="S8" s="1032">
        <f>SUM($G$25:$G$29)/1000000</f>
        <v>0.6008170352</v>
      </c>
      <c r="T8" s="1048">
        <f>""</f>
        <v/>
      </c>
    </row>
    <row r="9" ht="14.25" customHeight="1" s="535">
      <c r="B9" s="929" t="inlineStr">
        <is>
          <t>Cyber Risk</t>
        </is>
      </c>
      <c r="C9" s="929">
        <f>""</f>
        <v/>
      </c>
      <c r="D9" s="929">
        <f>""</f>
        <v/>
      </c>
      <c r="E9" s="1048">
        <f>""</f>
        <v/>
      </c>
      <c r="F9" s="1031">
        <f>COUNTIF($B$31:$B$32,"?*")</f>
        <v>2</v>
      </c>
      <c r="G9" s="1030">
        <f>ROUND(SUMIFS('REVIEW - Complete Role Mapping'!$P$2:$P$700,'REVIEW - Complete Role Mapping'!$AH$2:$AH$700,$C$3,'REVIEW - Complete Role Mapping'!$AL$2:$AL$700,$B9),2)</f>
        <v>2</v>
      </c>
      <c r="H9" s="1031">
        <f>COUNTIFS($D$31:$D$32,"Filled")</f>
        <v>2</v>
      </c>
      <c r="I9" s="1031">
        <f>COUNTIFS($D$31:$D$32,"Vacant")</f>
        <v>0</v>
      </c>
      <c r="J9" s="1031">
        <f>COUNTIFS($D$31:$D$32,"Vacant",$E$31:$E$32,"Hire")</f>
        <v>0</v>
      </c>
      <c r="K9" s="1031">
        <f>COUNTIFS($E$31:$E$32,"Offshore")</f>
        <v>1</v>
      </c>
      <c r="L9" s="1031">
        <f>COUNTIFS($E$31:$E$32,"Hold")</f>
        <v>0</v>
      </c>
      <c r="M9" s="1031">
        <f>$F9-$L9</f>
        <v>2</v>
      </c>
      <c r="N9" s="1048">
        <f>""</f>
        <v/>
      </c>
      <c r="O9" s="1032">
        <f>SUMIFS('REVIEW - Complete Role Mapping'!$AE$2:$AE$700,'REVIEW - Complete Role Mapping'!$AH$2:$AH$700,$C$3,'REVIEW - Complete Role Mapping'!$AL$2:$AL$700,$B9)/1000000</f>
        <v>0.475558232</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0.475558232</v>
      </c>
      <c r="R9" s="1048">
        <f>""</f>
        <v/>
      </c>
      <c r="S9" s="1032">
        <f>SUM($G$31:$G$32)/1000000</f>
        <v>0.3624492128</v>
      </c>
      <c r="T9" s="1048">
        <f>""</f>
        <v/>
      </c>
    </row>
    <row r="10" ht="14.25" customHeight="1" s="535">
      <c r="B10" s="929" t="inlineStr">
        <is>
          <t>Cyber Sec Ops</t>
        </is>
      </c>
      <c r="C10" s="929">
        <f>""</f>
        <v/>
      </c>
      <c r="D10" s="929">
        <f>""</f>
        <v/>
      </c>
      <c r="E10" s="1048">
        <f>""</f>
        <v/>
      </c>
      <c r="F10" s="1031">
        <f>COUNTIF($B$34:$B$38,"?*")</f>
        <v>5</v>
      </c>
      <c r="G10" s="1030">
        <f>ROUND(SUMIFS('REVIEW - Complete Role Mapping'!$P$2:$P$700,'REVIEW - Complete Role Mapping'!$AH$2:$AH$700,$C$3,'REVIEW - Complete Role Mapping'!$AL$2:$AL$700,$B10),2)</f>
        <v>4.8</v>
      </c>
      <c r="H10" s="1031">
        <f>COUNTIFS($D$34:$D$38,"Filled")</f>
        <v>5</v>
      </c>
      <c r="I10" s="1031">
        <f>COUNTIFS($D$34:$D$38,"Vacant")</f>
        <v>0</v>
      </c>
      <c r="J10" s="1031">
        <f>COUNTIFS($D$34:$D$38,"Vacant",$E$34:$E$38,"Hire")</f>
        <v>0</v>
      </c>
      <c r="K10" s="1031">
        <f>COUNTIFS($E$34:$E$38,"Offshore")</f>
        <v>1</v>
      </c>
      <c r="L10" s="1031">
        <f>COUNTIFS($E$34:$E$38,"Hold")</f>
        <v>0</v>
      </c>
      <c r="M10" s="1031">
        <f>$F10-$L10</f>
        <v>5</v>
      </c>
      <c r="N10" s="1048">
        <f>""</f>
        <v/>
      </c>
      <c r="O10" s="1032">
        <f>SUMIFS('REVIEW - Complete Role Mapping'!$AE$2:$AE$700,'REVIEW - Complete Role Mapping'!$AH$2:$AH$700,$C$3,'REVIEW - Complete Role Mapping'!$AL$2:$AL$700,$B10)/1000000</f>
        <v>1.0820293312</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1.0820293312</v>
      </c>
      <c r="R10" s="1048">
        <f>""</f>
        <v/>
      </c>
      <c r="S10" s="1032">
        <f>SUM($G$34:$G$38)/1000000</f>
        <v>0.9508015012</v>
      </c>
      <c r="T10" s="1048">
        <f>""</f>
        <v/>
      </c>
    </row>
    <row r="11" ht="14.25" customHeight="1" s="535">
      <c r="B11" s="929" t="inlineStr">
        <is>
          <t>Cyber Strat &amp; Tech</t>
        </is>
      </c>
      <c r="C11" s="929">
        <f>""</f>
        <v/>
      </c>
      <c r="D11" s="929">
        <f>""</f>
        <v/>
      </c>
      <c r="E11" s="1048">
        <f>""</f>
        <v/>
      </c>
      <c r="F11" s="1031">
        <f>COUNTIF($B$40:$B$43,"?*")</f>
        <v>4</v>
      </c>
      <c r="G11" s="1030">
        <f>ROUND(SUMIFS('REVIEW - Complete Role Mapping'!$P$2:$P$700,'REVIEW - Complete Role Mapping'!$AH$2:$AH$700,$C$3,'REVIEW - Complete Role Mapping'!$AL$2:$AL$700,$B11),2)</f>
        <v>4</v>
      </c>
      <c r="H11" s="1031">
        <f>COUNTIFS($D$40:$D$43,"Filled")</f>
        <v>4</v>
      </c>
      <c r="I11" s="1031">
        <f>COUNTIFS($D$40:$D$43,"Vacant")</f>
        <v>0</v>
      </c>
      <c r="J11" s="1031">
        <f>COUNTIFS($D$40:$D$43,"Vacant",$E$40:$E$43,"Hire")</f>
        <v>0</v>
      </c>
      <c r="K11" s="1031">
        <f>COUNTIFS($E$40:$E$43,"Offshore")</f>
        <v>0</v>
      </c>
      <c r="L11" s="1031">
        <f>COUNTIFS($E$40:$E$43,"Hold")</f>
        <v>0</v>
      </c>
      <c r="M11" s="1031">
        <f>$F11-$L11</f>
        <v>4</v>
      </c>
      <c r="N11" s="1048">
        <f>""</f>
        <v/>
      </c>
      <c r="O11" s="1032">
        <f>SUMIFS('REVIEW - Complete Role Mapping'!$AE$2:$AE$700,'REVIEW - Complete Role Mapping'!$AH$2:$AH$700,$C$3,'REVIEW - Complete Role Mapping'!$AL$2:$AL$700,$B11)/1000000</f>
        <v>1.17756685</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1.17756685</v>
      </c>
      <c r="R11" s="1048">
        <f>""</f>
        <v/>
      </c>
      <c r="S11" s="1032">
        <f>SUM($G$40:$G$43)/1000000</f>
        <v>0.6827474</v>
      </c>
      <c r="T11" s="1048">
        <f>""</f>
        <v/>
      </c>
    </row>
    <row r="12" ht="14.25" customHeight="1" s="535">
      <c r="B12" s="929" t="inlineStr">
        <is>
          <t>Service Op &amp; Assurance</t>
        </is>
      </c>
      <c r="C12" s="929">
        <f>""</f>
        <v/>
      </c>
      <c r="D12" s="929">
        <f>""</f>
        <v/>
      </c>
      <c r="E12" s="1048">
        <f>""</f>
        <v/>
      </c>
      <c r="F12" s="1031">
        <f>COUNTIF($B$45:$B$65,"?*")</f>
        <v>21</v>
      </c>
      <c r="G12" s="1030">
        <f>ROUND(SUMIFS('REVIEW - Complete Role Mapping'!$P$2:$P$700,'REVIEW - Complete Role Mapping'!$AH$2:$AH$700,$C$3,'REVIEW - Complete Role Mapping'!$AL$2:$AL$700,$B12),2)</f>
        <v>21</v>
      </c>
      <c r="H12" s="1031">
        <f>COUNTIFS($D$45:$D$65,"Filled")</f>
        <v>17</v>
      </c>
      <c r="I12" s="1031">
        <f>COUNTIFS($D$45:$D$65,"Vacant")</f>
        <v>4</v>
      </c>
      <c r="J12" s="1031">
        <f>COUNTIFS($D$45:$D$65,"Vacant",$E$45:$E$65,"Hire")</f>
        <v>1</v>
      </c>
      <c r="K12" s="1031">
        <f>COUNTIFS($E$45:$E$65,"Offshore")</f>
        <v>6</v>
      </c>
      <c r="L12" s="1031">
        <f>COUNTIFS($E$45:$E$65,"Hold")</f>
        <v>0</v>
      </c>
      <c r="M12" s="1031">
        <f>$F12-$L12</f>
        <v>21</v>
      </c>
      <c r="N12" s="1048">
        <f>""</f>
        <v/>
      </c>
      <c r="O12" s="1032">
        <f>SUMIFS('REVIEW - Complete Role Mapping'!$AE$2:$AE$700,'REVIEW - Complete Role Mapping'!$AH$2:$AH$700,$C$3,'REVIEW - Complete Role Mapping'!$AL$2:$AL$700,$B12)/1000000</f>
        <v>3.92346938</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v>
      </c>
      <c r="Q12" s="1032">
        <f>$O12-$P12</f>
        <v>3.92346938</v>
      </c>
      <c r="R12" s="1048">
        <f>""</f>
        <v/>
      </c>
      <c r="S12" s="1032">
        <f>SUM($G$45:$G$65)/1000000</f>
        <v>3.33110198</v>
      </c>
      <c r="T12" s="1048">
        <f>""</f>
        <v/>
      </c>
    </row>
    <row r="13" ht="14.25" customHeight="1" s="535">
      <c r="B13" s="886" t="inlineStr">
        <is>
          <t>Total portfolio</t>
        </is>
      </c>
      <c r="C13" s="886" t="n"/>
      <c r="D13" s="886" t="n"/>
      <c r="E13" s="888">
        <f>SUM(E8:E12)</f>
        <v>0</v>
      </c>
      <c r="F13" s="1039">
        <f>SUM(F8:F12)</f>
        <v>37</v>
      </c>
      <c r="G13" s="888">
        <f>SUM(G8:G12)</f>
        <v>36.8</v>
      </c>
      <c r="H13" s="1039">
        <f>SUM(H8:H12)</f>
        <v>33</v>
      </c>
      <c r="I13" s="1039">
        <f>SUM(I8:I12)</f>
        <v>4</v>
      </c>
      <c r="J13" s="1039">
        <f>SUM(J8:J12)</f>
        <v>1</v>
      </c>
      <c r="K13" s="1039">
        <f>SUM(K8:K12)</f>
        <v>12</v>
      </c>
      <c r="L13" s="1039">
        <f>SUM(L8:L12)</f>
        <v>0</v>
      </c>
      <c r="M13" s="1039">
        <f>SUM(M8:M12)</f>
        <v>37</v>
      </c>
      <c r="N13" s="889">
        <f>IF(COUNT(N8:N12)=0,"",SUM(N8:N12))</f>
        <v/>
      </c>
      <c r="O13" s="889">
        <f>SUM(O8:O12)</f>
        <v>7.7301015812</v>
      </c>
      <c r="P13" s="889">
        <f>SUM(P8:P12)</f>
        <v>0</v>
      </c>
      <c r="Q13" s="889">
        <f>SUM(Q8:Q12)</f>
        <v>7.7301015812</v>
      </c>
      <c r="R13" s="889">
        <f>IF(ISNUMBER($N13),ROUND($O13-$N13,6),"")</f>
        <v/>
      </c>
      <c r="S13" s="889">
        <f>SUM(S8:S12)</f>
        <v>5.9279171292</v>
      </c>
      <c r="T13" s="889">
        <f>IF(ISNUMBER($N13),ROUND($S13-$N13,6),"")</f>
        <v/>
      </c>
    </row>
    <row r="14"/>
    <row r="15"/>
    <row r="16" ht="18.75" customHeight="1" s="535">
      <c r="B16" s="1029" t="inlineStr">
        <is>
          <t>Funding</t>
        </is>
      </c>
      <c r="C16" s="1047" t="n"/>
    </row>
    <row r="17" ht="33.75" customHeight="1" s="535">
      <c r="B17" s="929" t="inlineStr">
        <is>
          <t>COE - Cyber, Risk &amp; Service Ops allocation ($m) - 0.2 Data Config</t>
        </is>
      </c>
      <c r="C17" s="1049">
        <f>'0.2 Data Config'!$E$7</f>
        <v>2</v>
      </c>
    </row>
    <row r="18" ht="14.25" customHeight="1" s="535">
      <c r="B18" s="929" t="inlineStr">
        <is>
          <t>Total budget to draw down ($m)</t>
        </is>
      </c>
      <c r="C18" s="1049">
        <f>$C$17</f>
        <v>2</v>
      </c>
    </row>
    <row r="19" ht="14.25" customHeight="1" s="535">
      <c r="B19" s="929" t="inlineStr">
        <is>
          <t>Planned spend ($m)</t>
        </is>
      </c>
      <c r="C19" s="1049">
        <f>$S$13</f>
        <v>5.9279171292</v>
      </c>
    </row>
    <row r="20" ht="14.25" customHeight="1" s="535">
      <c r="B20" s="929" t="inlineStr">
        <is>
          <t>Over/(under) budget ($m)</t>
        </is>
      </c>
      <c r="C20" s="1049">
        <f>$C$19-$C$18</f>
        <v>3.9279171292</v>
      </c>
    </row>
    <row r="21"/>
    <row r="22" ht="14.25" customHeight="1" s="535">
      <c r="B22" s="537" t="inlineStr">
        <is>
          <t>Cyber, Risk &amp; Service Operations FTE</t>
        </is>
      </c>
      <c r="C22" s="538" t="n"/>
      <c r="D22" s="538" t="n"/>
      <c r="E22" s="538" t="n"/>
      <c r="F22" s="538" t="n"/>
      <c r="G22" s="538" t="n"/>
      <c r="H22" s="929" t="inlineStr">
        <is>
          <t>Vacancy lever: Hire prices the role in full, Hold prices it at 0, Offshore at the Offshore rate set on 0.3 Squad Archetypes.</t>
        </is>
      </c>
    </row>
    <row r="23" ht="82.05" customHeight="1" s="535">
      <c r="A23" s="1040" t="inlineStr">
        <is>
          <t>ID</t>
        </is>
      </c>
      <c r="B23" s="877" t="inlineStr">
        <is>
          <t>Name</t>
        </is>
      </c>
      <c r="C23" s="877" t="inlineStr">
        <is>
          <t>Role</t>
        </is>
      </c>
      <c r="D23" s="877" t="inlineStr">
        <is>
          <t>Status</t>
        </is>
      </c>
      <c r="E23" s="877" t="inlineStr">
        <is>
          <t>Vacancy lever</t>
        </is>
      </c>
      <c r="F23" s="877" t="inlineStr">
        <is>
          <t>Role cost ($)</t>
        </is>
      </c>
      <c r="G23" s="877" t="inlineStr">
        <is>
          <t>Cost after lever ($)</t>
        </is>
      </c>
      <c r="H23" s="877" t="inlineStr">
        <is>
          <t>Uplift %</t>
        </is>
      </c>
      <c r="I23" s="877" t="inlineStr">
        <is>
          <t>Charged to the cyber uplift program ($)</t>
        </is>
      </c>
    </row>
    <row r="24" ht="14.25" customHeight="1" s="535">
      <c r="B24" s="1029" t="inlineStr">
        <is>
          <t>Cyber GRC</t>
        </is>
      </c>
      <c r="C24" s="1029" t="str">
        <f>COUNTIF($B$25:$B$29,"?*")&amp;IF(COUNTIF($B$25:$B$29,"?*")=1," role"," roles")</f>
        <v>5 roles</v>
      </c>
      <c r="D24" s="1029" t="n"/>
      <c r="E24" s="1029" t="n"/>
      <c r="F24" s="1044">
        <f>SUM(F25:F29)</f>
        <v>1071477.788</v>
      </c>
      <c r="G24" s="1044">
        <f>SUM(G25:G29)</f>
        <v>600817.0352</v>
      </c>
      <c r="I24" s="1044">
        <f>SUM(I25:I29)</f>
        <v>0</v>
      </c>
    </row>
    <row r="25" ht="14.25" customHeight="1" s="535">
      <c r="A25" s="1045" t="inlineStr">
        <is>
          <t>R0084</t>
        </is>
      </c>
      <c r="B25" s="929" t="str">
        <f>INDEX('REVIEW - Complete Role Mapping'!$B$2:$B$700,MATCH($A25,'REVIEW - Complete Role Mapping'!$AQ$2:$AQ$700,0))</f>
        <v>Diya Thomas</v>
      </c>
      <c r="C25" s="929" t="str">
        <f>INDEX('REVIEW - Complete Role Mapping'!$D$2:$D$700,MATCH($A25,'REVIEW - Complete Role Mapping'!$AQ$2:$AQ$700,0))</f>
        <v>Manager Cyber Security GRC</v>
      </c>
      <c r="D25" s="929" t="str">
        <f>INDEX('REVIEW - Complete Role Mapping'!$AF$2:$AF$700,MATCH($A25,'REVIEW - Complete Role Mapping'!$AQ$2:$AQ$700,0))</f>
        <v>Filled</v>
      </c>
      <c r="E25" s="543" t="inlineStr">
        <is>
          <t>Filled</t>
        </is>
      </c>
      <c r="F25" s="1031">
        <f>INDEX('REVIEW - Complete Role Mapping'!$AE$2:$AE$700,MATCH($A25,'REVIEW - Complete Role Mapping'!$AQ$2:$AQ$700,0))</f>
        <v>287043.2</v>
      </c>
      <c r="G25" s="1031">
        <f>$F25*IF(ISNUMBER(SEARCH("WIPRO",INDEX('REVIEW - Complete Role Mapping'!$R$2:$R$700,MATCH($A25,'REVIEW - Complete Role Mapping'!$AQ$2:$AQ$700,0)))),1,IFERROR(INDEX(Lists!$AD$2:$AD$5,MATCH($E25,Lists!$AC$2:$AC$5,0)),NA()))*(1-N($H25))</f>
        <v>287043.2</v>
      </c>
      <c r="H25" s="1050" t="n">
        <v>0</v>
      </c>
      <c r="I25" s="1031">
        <f>$F25*IF(ISNUMBER(SEARCH("WIPRO",INDEX('REVIEW - Complete Role Mapping'!$R$2:$R$700,MATCH($A25,'REVIEW - Complete Role Mapping'!$AQ$2:$AQ$700,0)))),1,IFERROR(INDEX(Lists!$AD$2:$AD$5,MATCH($E25,Lists!$AC$2:$AC$5,0)),NA()))*N($H25)</f>
        <v>0</v>
      </c>
    </row>
    <row r="26" ht="14.25" customHeight="1" s="535">
      <c r="A26" s="1045" t="inlineStr">
        <is>
          <t>R0156</t>
        </is>
      </c>
      <c r="B26" s="929" t="str">
        <f>INDEX('REVIEW - Complete Role Mapping'!$B$2:$B$700,MATCH($A26,'REVIEW - Complete Role Mapping'!$AQ$2:$AQ$700,0))</f>
        <v>Prashanth Chandran</v>
      </c>
      <c r="C26" s="929" t="str">
        <f>INDEX('REVIEW - Complete Role Mapping'!$D$2:$D$700,MATCH($A26,'REVIEW - Complete Role Mapping'!$AQ$2:$AQ$700,0))</f>
        <v>Senior Cyber GRC Specialist</v>
      </c>
      <c r="D26" s="929" t="str">
        <f>INDEX('REVIEW - Complete Role Mapping'!$AF$2:$AF$700,MATCH($A26,'REVIEW - Complete Role Mapping'!$AQ$2:$AQ$700,0))</f>
        <v>Filled</v>
      </c>
      <c r="E26" s="543" t="inlineStr">
        <is>
          <t>Offshore</t>
        </is>
      </c>
      <c r="F26" s="1031">
        <f>INDEX('REVIEW - Complete Role Mapping'!$AE$2:$AE$700,MATCH($A26,'REVIEW - Complete Role Mapping'!$AQ$2:$AQ$700,0))</f>
        <v>220275</v>
      </c>
      <c r="G26" s="1031">
        <f>$F26*IF(ISNUMBER(SEARCH("WIPRO",INDEX('REVIEW - Complete Role Mapping'!$R$2:$R$700,MATCH($A26,'REVIEW - Complete Role Mapping'!$AQ$2:$AQ$700,0)))),1,IFERROR(INDEX(Lists!$AD$2:$AD$5,MATCH($E26,Lists!$AC$2:$AC$5,0)),NA()))*(1-N($H26))</f>
        <v>88110</v>
      </c>
      <c r="H26" s="1050" t="n">
        <v>0</v>
      </c>
      <c r="I26" s="1031">
        <f>$F26*IF(ISNUMBER(SEARCH("WIPRO",INDEX('REVIEW - Complete Role Mapping'!$R$2:$R$700,MATCH($A26,'REVIEW - Complete Role Mapping'!$AQ$2:$AQ$700,0)))),1,IFERROR(INDEX(Lists!$AD$2:$AD$5,MATCH($E26,Lists!$AC$2:$AC$5,0)),NA()))*N($H26)</f>
        <v>0</v>
      </c>
    </row>
    <row r="27" ht="14.25" customHeight="1" s="535">
      <c r="A27" s="1045" t="inlineStr">
        <is>
          <t>R0294</t>
        </is>
      </c>
      <c r="B27" s="929" t="str">
        <f>INDEX('REVIEW - Complete Role Mapping'!$B$2:$B$700,MATCH($A27,'REVIEW - Complete Role Mapping'!$AQ$2:$AQ$700,0))</f>
        <v>Pooja Kuperkar</v>
      </c>
      <c r="C27" s="929" t="str">
        <f>INDEX('REVIEW - Complete Role Mapping'!$D$2:$D$700,MATCH($A27,'REVIEW - Complete Role Mapping'!$AQ$2:$AQ$700,0))</f>
        <v>Cyber GRC Analyst</v>
      </c>
      <c r="D27" s="929" t="str">
        <f>INDEX('REVIEW - Complete Role Mapping'!$AF$2:$AF$700,MATCH($A27,'REVIEW - Complete Role Mapping'!$AQ$2:$AQ$700,0))</f>
        <v>Filled</v>
      </c>
      <c r="E27" s="543" t="inlineStr">
        <is>
          <t>Offshore</t>
        </is>
      </c>
      <c r="F27" s="1031">
        <f>INDEX('REVIEW - Complete Role Mapping'!$AE$2:$AE$700,MATCH($A27,'REVIEW - Complete Role Mapping'!$AQ$2:$AQ$700,0))</f>
        <v>203440.65</v>
      </c>
      <c r="G27" s="1031">
        <f>$F27*IF(ISNUMBER(SEARCH("WIPRO",INDEX('REVIEW - Complete Role Mapping'!$R$2:$R$700,MATCH($A27,'REVIEW - Complete Role Mapping'!$AQ$2:$AQ$700,0)))),1,IFERROR(INDEX(Lists!$AD$2:$AD$5,MATCH($E27,Lists!$AC$2:$AC$5,0)),NA()))*(1-N($H27))</f>
        <v>81376.26</v>
      </c>
      <c r="H27" s="1050" t="n">
        <v>0</v>
      </c>
      <c r="I27" s="1031">
        <f>$F27*IF(ISNUMBER(SEARCH("WIPRO",INDEX('REVIEW - Complete Role Mapping'!$R$2:$R$700,MATCH($A27,'REVIEW - Complete Role Mapping'!$AQ$2:$AQ$700,0)))),1,IFERROR(INDEX(Lists!$AD$2:$AD$5,MATCH($E27,Lists!$AC$2:$AC$5,0)),NA()))*N($H27)</f>
        <v>0</v>
      </c>
    </row>
    <row r="28" ht="14.25" customHeight="1" s="535">
      <c r="A28" s="1045" t="inlineStr">
        <is>
          <t>R0295</t>
        </is>
      </c>
      <c r="B28" s="929" t="str">
        <f>INDEX('REVIEW - Complete Role Mapping'!$B$2:$B$700,MATCH($A28,'REVIEW - Complete Role Mapping'!$AQ$2:$AQ$700,0))</f>
        <v>Shruti Manchanda</v>
      </c>
      <c r="C28" s="929" t="str">
        <f>INDEX('REVIEW - Complete Role Mapping'!$D$2:$D$700,MATCH($A28,'REVIEW - Complete Role Mapping'!$AQ$2:$AQ$700,0))</f>
        <v>Cyber GRC Analyst</v>
      </c>
      <c r="D28" s="929" t="str">
        <f>INDEX('REVIEW - Complete Role Mapping'!$AF$2:$AF$700,MATCH($A28,'REVIEW - Complete Role Mapping'!$AQ$2:$AQ$700,0))</f>
        <v>Filled</v>
      </c>
      <c r="E28" s="543" t="inlineStr">
        <is>
          <t>Offshore</t>
        </is>
      </c>
      <c r="F28" s="1031">
        <f>INDEX('REVIEW - Complete Role Mapping'!$AE$2:$AE$700,MATCH($A28,'REVIEW - Complete Role Mapping'!$AQ$2:$AQ$700,0))</f>
        <v>228885.75</v>
      </c>
      <c r="G28" s="1031">
        <f>$F28*IF(ISNUMBER(SEARCH("WIPRO",INDEX('REVIEW - Complete Role Mapping'!$R$2:$R$700,MATCH($A28,'REVIEW - Complete Role Mapping'!$AQ$2:$AQ$700,0)))),1,IFERROR(INDEX(Lists!$AD$2:$AD$5,MATCH($E28,Lists!$AC$2:$AC$5,0)),NA()))*(1-N($H28))</f>
        <v>91554.3</v>
      </c>
      <c r="H28" s="1050" t="n">
        <v>0</v>
      </c>
      <c r="I28" s="1031">
        <f>$F28*IF(ISNUMBER(SEARCH("WIPRO",INDEX('REVIEW - Complete Role Mapping'!$R$2:$R$700,MATCH($A28,'REVIEW - Complete Role Mapping'!$AQ$2:$AQ$700,0)))),1,IFERROR(INDEX(Lists!$AD$2:$AD$5,MATCH($E28,Lists!$AC$2:$AC$5,0)),NA()))*N($H28)</f>
        <v>0</v>
      </c>
    </row>
    <row r="29" ht="14.25" customHeight="1" s="535">
      <c r="A29" s="1045" t="inlineStr">
        <is>
          <t>R0428</t>
        </is>
      </c>
      <c r="B29" s="929" t="str">
        <f>INDEX('REVIEW - Complete Role Mapping'!$B$2:$B$700,MATCH($A29,'REVIEW - Complete Role Mapping'!$AQ$2:$AQ$700,0))</f>
        <v>Vanessa Castro</v>
      </c>
      <c r="C29" s="929" t="str">
        <f>INDEX('REVIEW - Complete Role Mapping'!$D$2:$D$700,MATCH($A29,'REVIEW - Complete Role Mapping'!$AQ$2:$AQ$700,0))</f>
        <v>Cyber GRC Analyst</v>
      </c>
      <c r="D29" s="929" t="str">
        <f>INDEX('REVIEW - Complete Role Mapping'!$AF$2:$AF$700,MATCH($A29,'REVIEW - Complete Role Mapping'!$AQ$2:$AQ$700,0))</f>
        <v>Filled</v>
      </c>
      <c r="E29" s="543" t="inlineStr">
        <is>
          <t>Offshore</t>
        </is>
      </c>
      <c r="F29" s="1031">
        <f>INDEX('REVIEW - Complete Role Mapping'!$AE$2:$AE$700,MATCH($A29,'REVIEW - Complete Role Mapping'!$AQ$2:$AQ$700,0))</f>
        <v>131833.188</v>
      </c>
      <c r="G29" s="1031">
        <f>$F29*IF(ISNUMBER(SEARCH("WIPRO",INDEX('REVIEW - Complete Role Mapping'!$R$2:$R$700,MATCH($A29,'REVIEW - Complete Role Mapping'!$AQ$2:$AQ$700,0)))),1,IFERROR(INDEX(Lists!$AD$2:$AD$5,MATCH($E29,Lists!$AC$2:$AC$5,0)),NA()))*(1-N($H29))</f>
        <v>52733.2752</v>
      </c>
      <c r="H29" s="1050" t="n">
        <v>0</v>
      </c>
      <c r="I29" s="1031">
        <f>$F29*IF(ISNUMBER(SEARCH("WIPRO",INDEX('REVIEW - Complete Role Mapping'!$R$2:$R$700,MATCH($A29,'REVIEW - Complete Role Mapping'!$AQ$2:$AQ$700,0)))),1,IFERROR(INDEX(Lists!$AD$2:$AD$5,MATCH($E29,Lists!$AC$2:$AC$5,0)),NA()))*N($H29)</f>
        <v>0</v>
      </c>
    </row>
    <row r="30" ht="14.25" customHeight="1" s="535">
      <c r="B30" s="1029" t="inlineStr">
        <is>
          <t>Cyber Risk</t>
        </is>
      </c>
      <c r="C30" s="1029" t="str">
        <f>COUNTIF($B$31:$B$32,"?*")&amp;IF(COUNTIF($B$31:$B$32,"?*")=1," role"," roles")</f>
        <v>2 roles</v>
      </c>
      <c r="D30" s="1029" t="n"/>
      <c r="E30" s="1029" t="n"/>
      <c r="F30" s="1044">
        <f>SUM(F31:F32)</f>
        <v>475558.232</v>
      </c>
      <c r="G30" s="1044">
        <f>SUM(G31:G32)</f>
        <v>362449.2128</v>
      </c>
      <c r="I30" s="1044">
        <f>SUM(I31:I32)</f>
        <v>0</v>
      </c>
    </row>
    <row r="31" ht="14.25" customHeight="1" s="535">
      <c r="A31" s="1045" t="inlineStr">
        <is>
          <t>R0083</t>
        </is>
      </c>
      <c r="B31" s="929" t="str">
        <f>INDEX('REVIEW - Complete Role Mapping'!$B$2:$B$700,MATCH($A31,'REVIEW - Complete Role Mapping'!$AQ$2:$AQ$700,0))</f>
        <v>Brian Gates</v>
      </c>
      <c r="C31" s="929" t="str">
        <f>INDEX('REVIEW - Complete Role Mapping'!$D$2:$D$700,MATCH($A31,'REVIEW - Complete Role Mapping'!$AQ$2:$AQ$700,0))</f>
        <v>Manager Risk &amp; Resilience</v>
      </c>
      <c r="D31" s="929" t="str">
        <f>INDEX('REVIEW - Complete Role Mapping'!$AF$2:$AF$700,MATCH($A31,'REVIEW - Complete Role Mapping'!$AQ$2:$AQ$700,0))</f>
        <v>Filled</v>
      </c>
      <c r="E31" s="543" t="inlineStr">
        <is>
          <t>Filled</t>
        </is>
      </c>
      <c r="F31" s="1031">
        <f>INDEX('REVIEW - Complete Role Mapping'!$AE$2:$AE$700,MATCH($A31,'REVIEW - Complete Role Mapping'!$AQ$2:$AQ$700,0))</f>
        <v>287043.2</v>
      </c>
      <c r="G31" s="1031">
        <f>$F31*IF(ISNUMBER(SEARCH("WIPRO",INDEX('REVIEW - Complete Role Mapping'!$R$2:$R$700,MATCH($A31,'REVIEW - Complete Role Mapping'!$AQ$2:$AQ$700,0)))),1,IFERROR(INDEX(Lists!$AD$2:$AD$5,MATCH($E31,Lists!$AC$2:$AC$5,0)),NA()))*(1-N($H31))</f>
        <v>287043.2</v>
      </c>
      <c r="H31" s="1050" t="n">
        <v>0</v>
      </c>
      <c r="I31" s="1031">
        <f>$F31*IF(ISNUMBER(SEARCH("WIPRO",INDEX('REVIEW - Complete Role Mapping'!$R$2:$R$700,MATCH($A31,'REVIEW - Complete Role Mapping'!$AQ$2:$AQ$700,0)))),1,IFERROR(INDEX(Lists!$AD$2:$AD$5,MATCH($E31,Lists!$AC$2:$AC$5,0)),NA()))*N($H31)</f>
        <v>0</v>
      </c>
    </row>
    <row r="32" ht="14.25" customHeight="1" s="535">
      <c r="A32" s="1045" t="inlineStr">
        <is>
          <t>R0148</t>
        </is>
      </c>
      <c r="B32" s="929" t="str">
        <f>INDEX('REVIEW - Complete Role Mapping'!$B$2:$B$700,MATCH($A32,'REVIEW - Complete Role Mapping'!$AQ$2:$AQ$700,0))</f>
        <v>Shomiya Shayal</v>
      </c>
      <c r="C32" s="929" t="str">
        <f>INDEX('REVIEW - Complete Role Mapping'!$D$2:$D$700,MATCH($A32,'REVIEW - Complete Role Mapping'!$AQ$2:$AQ$700,0))</f>
        <v>Risk &amp; Resilience Lead</v>
      </c>
      <c r="D32" s="929" t="str">
        <f>INDEX('REVIEW - Complete Role Mapping'!$AF$2:$AF$700,MATCH($A32,'REVIEW - Complete Role Mapping'!$AQ$2:$AQ$700,0))</f>
        <v>Filled</v>
      </c>
      <c r="E32" s="543" t="inlineStr">
        <is>
          <t>Offshore</t>
        </is>
      </c>
      <c r="F32" s="1031">
        <f>INDEX('REVIEW - Complete Role Mapping'!$AE$2:$AE$700,MATCH($A32,'REVIEW - Complete Role Mapping'!$AQ$2:$AQ$700,0))</f>
        <v>188515.032</v>
      </c>
      <c r="G32" s="1031">
        <f>$F32*IF(ISNUMBER(SEARCH("WIPRO",INDEX('REVIEW - Complete Role Mapping'!$R$2:$R$700,MATCH($A32,'REVIEW - Complete Role Mapping'!$AQ$2:$AQ$700,0)))),1,IFERROR(INDEX(Lists!$AD$2:$AD$5,MATCH($E32,Lists!$AC$2:$AC$5,0)),NA()))*(1-N($H32))</f>
        <v>75406.0128</v>
      </c>
      <c r="H32" s="1050" t="n">
        <v>0</v>
      </c>
      <c r="I32" s="1031">
        <f>$F32*IF(ISNUMBER(SEARCH("WIPRO",INDEX('REVIEW - Complete Role Mapping'!$R$2:$R$700,MATCH($A32,'REVIEW - Complete Role Mapping'!$AQ$2:$AQ$700,0)))),1,IFERROR(INDEX(Lists!$AD$2:$AD$5,MATCH($E32,Lists!$AC$2:$AC$5,0)),NA()))*N($H32)</f>
        <v>0</v>
      </c>
    </row>
    <row r="33" ht="14.25" customHeight="1" s="535">
      <c r="B33" s="1029" t="inlineStr">
        <is>
          <t>Cyber Sec Ops</t>
        </is>
      </c>
      <c r="C33" s="1029" t="str">
        <f>COUNTIF($B$34:$B$38,"?*")&amp;IF(COUNTIF($B$34:$B$38,"?*")=1," role"," roles")</f>
        <v>5 roles</v>
      </c>
      <c r="D33" s="1029" t="n"/>
      <c r="E33" s="1029" t="n"/>
      <c r="F33" s="1044">
        <f>SUM(F34:F38)</f>
        <v>1082029.3312</v>
      </c>
      <c r="G33" s="1044">
        <f>SUM(G34:G38)</f>
        <v>950801.5012</v>
      </c>
      <c r="I33" s="1044">
        <f>SUM(I34:I38)</f>
        <v>0</v>
      </c>
    </row>
    <row r="34" ht="14.25" customHeight="1" s="535">
      <c r="A34" s="1045" t="inlineStr">
        <is>
          <t>R0085</t>
        </is>
      </c>
      <c r="B34" s="929" t="str">
        <f>INDEX('REVIEW - Complete Role Mapping'!$B$2:$B$700,MATCH($A34,'REVIEW - Complete Role Mapping'!$AQ$2:$AQ$700,0))</f>
        <v>Steven Atcheson</v>
      </c>
      <c r="C34" s="929" t="str">
        <f>INDEX('REVIEW - Complete Role Mapping'!$D$2:$D$700,MATCH($A34,'REVIEW - Complete Role Mapping'!$AQ$2:$AQ$700,0))</f>
        <v>Manager Cyber Security Operations</v>
      </c>
      <c r="D34" s="929" t="str">
        <f>INDEX('REVIEW - Complete Role Mapping'!$AF$2:$AF$700,MATCH($A34,'REVIEW - Complete Role Mapping'!$AQ$2:$AQ$700,0))</f>
        <v>Filled</v>
      </c>
      <c r="E34" s="543" t="inlineStr">
        <is>
          <t>Filled</t>
        </is>
      </c>
      <c r="F34" s="1031">
        <f>INDEX('REVIEW - Complete Role Mapping'!$AE$2:$AE$700,MATCH($A34,'REVIEW - Complete Role Mapping'!$AQ$2:$AQ$700,0))</f>
        <v>316568.65</v>
      </c>
      <c r="G34" s="1031">
        <f>$F34*IF(ISNUMBER(SEARCH("WIPRO",INDEX('REVIEW - Complete Role Mapping'!$R$2:$R$700,MATCH($A34,'REVIEW - Complete Role Mapping'!$AQ$2:$AQ$700,0)))),1,IFERROR(INDEX(Lists!$AD$2:$AD$5,MATCH($E34,Lists!$AC$2:$AC$5,0)),NA()))*(1-N($H34))</f>
        <v>316568.65</v>
      </c>
      <c r="H34" s="1050" t="n">
        <v>0</v>
      </c>
      <c r="I34" s="1031">
        <f>$F34*IF(ISNUMBER(SEARCH("WIPRO",INDEX('REVIEW - Complete Role Mapping'!$R$2:$R$700,MATCH($A34,'REVIEW - Complete Role Mapping'!$AQ$2:$AQ$700,0)))),1,IFERROR(INDEX(Lists!$AD$2:$AD$5,MATCH($E34,Lists!$AC$2:$AC$5,0)),NA()))*N($H34)</f>
        <v>0</v>
      </c>
    </row>
    <row r="35" ht="14.25" customHeight="1" s="535">
      <c r="A35" s="1045" t="inlineStr">
        <is>
          <t>R0210</t>
        </is>
      </c>
      <c r="B35" s="929" t="str">
        <f>INDEX('REVIEW - Complete Role Mapping'!$B$2:$B$700,MATCH($A35,'REVIEW - Complete Role Mapping'!$AQ$2:$AQ$700,0))</f>
        <v>Sameer Pattanaik</v>
      </c>
      <c r="C35" s="929" t="str">
        <f>INDEX('REVIEW - Complete Role Mapping'!$D$2:$D$700,MATCH($A35,'REVIEW - Complete Role Mapping'!$AQ$2:$AQ$700,0))</f>
        <v>Cyber Security Operations Lead</v>
      </c>
      <c r="D35" s="929" t="str">
        <f>INDEX('REVIEW - Complete Role Mapping'!$AF$2:$AF$700,MATCH($A35,'REVIEW - Complete Role Mapping'!$AQ$2:$AQ$700,0))</f>
        <v>Filled</v>
      </c>
      <c r="E35" s="543" t="inlineStr">
        <is>
          <t>Filled</t>
        </is>
      </c>
      <c r="F35" s="1031">
        <f>INDEX('REVIEW - Complete Role Mapping'!$AE$2:$AE$700,MATCH($A35,'REVIEW - Complete Role Mapping'!$AQ$2:$AQ$700,0))</f>
        <v>212878.38</v>
      </c>
      <c r="G35" s="1031">
        <f>$F35*IF(ISNUMBER(SEARCH("WIPRO",INDEX('REVIEW - Complete Role Mapping'!$R$2:$R$700,MATCH($A35,'REVIEW - Complete Role Mapping'!$AQ$2:$AQ$700,0)))),1,IFERROR(INDEX(Lists!$AD$2:$AD$5,MATCH($E35,Lists!$AC$2:$AC$5,0)),NA()))*(1-N($H35))</f>
        <v>212878.38</v>
      </c>
      <c r="H35" s="1050" t="n">
        <v>0</v>
      </c>
      <c r="I35" s="1031">
        <f>$F35*IF(ISNUMBER(SEARCH("WIPRO",INDEX('REVIEW - Complete Role Mapping'!$R$2:$R$700,MATCH($A35,'REVIEW - Complete Role Mapping'!$AQ$2:$AQ$700,0)))),1,IFERROR(INDEX(Lists!$AD$2:$AD$5,MATCH($E35,Lists!$AC$2:$AC$5,0)),NA()))*N($H35)</f>
        <v>0</v>
      </c>
    </row>
    <row r="36" ht="14.25" customHeight="1" s="535">
      <c r="A36" s="1045" t="inlineStr">
        <is>
          <t>R0354</t>
        </is>
      </c>
      <c r="B36" s="929" t="str">
        <f>INDEX('REVIEW - Complete Role Mapping'!$B$2:$B$700,MATCH($A36,'REVIEW - Complete Role Mapping'!$AQ$2:$AQ$700,0))</f>
        <v>Nischal Bhusal</v>
      </c>
      <c r="C36" s="929" t="str">
        <f>INDEX('REVIEW - Complete Role Mapping'!$D$2:$D$700,MATCH($A36,'REVIEW - Complete Role Mapping'!$AQ$2:$AQ$700,0))</f>
        <v>Cyber Security Analyst</v>
      </c>
      <c r="D36" s="929" t="str">
        <f>INDEX('REVIEW - Complete Role Mapping'!$AF$2:$AF$700,MATCH($A36,'REVIEW - Complete Role Mapping'!$AQ$2:$AQ$700,0))</f>
        <v>Filled</v>
      </c>
      <c r="E36" s="543" t="inlineStr">
        <is>
          <t>Filled</t>
        </is>
      </c>
      <c r="F36" s="1031">
        <f>INDEX('REVIEW - Complete Role Mapping'!$AE$2:$AE$700,MATCH($A36,'REVIEW - Complete Role Mapping'!$AQ$2:$AQ$700,0))</f>
        <v>215629.2</v>
      </c>
      <c r="G36" s="1031">
        <f>$F36*IF(ISNUMBER(SEARCH("WIPRO",INDEX('REVIEW - Complete Role Mapping'!$R$2:$R$700,MATCH($A36,'REVIEW - Complete Role Mapping'!$AQ$2:$AQ$700,0)))),1,IFERROR(INDEX(Lists!$AD$2:$AD$5,MATCH($E36,Lists!$AC$2:$AC$5,0)),NA()))*(1-N($H36))</f>
        <v>215629.2</v>
      </c>
      <c r="H36" s="1050" t="n">
        <v>0</v>
      </c>
      <c r="I36" s="1031">
        <f>$F36*IF(ISNUMBER(SEARCH("WIPRO",INDEX('REVIEW - Complete Role Mapping'!$R$2:$R$700,MATCH($A36,'REVIEW - Complete Role Mapping'!$AQ$2:$AQ$700,0)))),1,IFERROR(INDEX(Lists!$AD$2:$AD$5,MATCH($E36,Lists!$AC$2:$AC$5,0)),NA()))*N($H36)</f>
        <v>0</v>
      </c>
    </row>
    <row r="37" ht="14.25" customHeight="1" s="535">
      <c r="A37" s="1045" t="inlineStr">
        <is>
          <t>R0355</t>
        </is>
      </c>
      <c r="B37" s="929" t="str">
        <f>INDEX('REVIEW - Complete Role Mapping'!$B$2:$B$700,MATCH($A37,'REVIEW - Complete Role Mapping'!$AQ$2:$AQ$700,0))</f>
        <v>Stafford Dowling</v>
      </c>
      <c r="C37" s="929" t="str">
        <f>INDEX('REVIEW - Complete Role Mapping'!$D$2:$D$700,MATCH($A37,'REVIEW - Complete Role Mapping'!$AQ$2:$AQ$700,0))</f>
        <v>Cyber Security Analyst</v>
      </c>
      <c r="D37" s="929" t="str">
        <f>INDEX('REVIEW - Complete Role Mapping'!$AF$2:$AF$700,MATCH($A37,'REVIEW - Complete Role Mapping'!$AQ$2:$AQ$700,0))</f>
        <v>Filled</v>
      </c>
      <c r="E37" s="543" t="inlineStr">
        <is>
          <t>Offshore</t>
        </is>
      </c>
      <c r="F37" s="1031">
        <f>INDEX('REVIEW - Complete Role Mapping'!$AE$2:$AE$700,MATCH($A37,'REVIEW - Complete Role Mapping'!$AQ$2:$AQ$700,0))</f>
        <v>218713.05</v>
      </c>
      <c r="G37" s="1031">
        <f>$F37*IF(ISNUMBER(SEARCH("WIPRO",INDEX('REVIEW - Complete Role Mapping'!$R$2:$R$700,MATCH($A37,'REVIEW - Complete Role Mapping'!$AQ$2:$AQ$700,0)))),1,IFERROR(INDEX(Lists!$AD$2:$AD$5,MATCH($E37,Lists!$AC$2:$AC$5,0)),NA()))*(1-N($H37))</f>
        <v>87485.22</v>
      </c>
      <c r="H37" s="1050" t="n">
        <v>0</v>
      </c>
      <c r="I37" s="1031">
        <f>$F37*IF(ISNUMBER(SEARCH("WIPRO",INDEX('REVIEW - Complete Role Mapping'!$R$2:$R$700,MATCH($A37,'REVIEW - Complete Role Mapping'!$AQ$2:$AQ$700,0)))),1,IFERROR(INDEX(Lists!$AD$2:$AD$5,MATCH($E37,Lists!$AC$2:$AC$5,0)),NA()))*N($H37)</f>
        <v>0</v>
      </c>
    </row>
    <row r="38" ht="14.25" customHeight="1" s="535">
      <c r="A38" s="1045" t="inlineStr">
        <is>
          <t>R0466</t>
        </is>
      </c>
      <c r="B38" s="929" t="str">
        <f>INDEX('REVIEW - Complete Role Mapping'!$B$2:$B$700,MATCH($A38,'REVIEW - Complete Role Mapping'!$AQ$2:$AQ$700,0))</f>
        <v>Lisa Ng</v>
      </c>
      <c r="C38" s="929" t="str">
        <f>INDEX('REVIEW - Complete Role Mapping'!$D$2:$D$700,MATCH($A38,'REVIEW - Complete Role Mapping'!$AQ$2:$AQ$700,0))</f>
        <v>Cyber Security Analyst</v>
      </c>
      <c r="D38" s="929" t="str">
        <f>INDEX('REVIEW - Complete Role Mapping'!$AF$2:$AF$700,MATCH($A38,'REVIEW - Complete Role Mapping'!$AQ$2:$AQ$700,0))</f>
        <v>Filled</v>
      </c>
      <c r="E38" s="543" t="inlineStr">
        <is>
          <t>Filled</t>
        </is>
      </c>
      <c r="F38" s="1031">
        <f>INDEX('REVIEW - Complete Role Mapping'!$AE$2:$AE$700,MATCH($A38,'REVIEW - Complete Role Mapping'!$AQ$2:$AQ$700,0))</f>
        <v>118240.0512</v>
      </c>
      <c r="G38" s="1031">
        <f>$F38*IF(ISNUMBER(SEARCH("WIPRO",INDEX('REVIEW - Complete Role Mapping'!$R$2:$R$700,MATCH($A38,'REVIEW - Complete Role Mapping'!$AQ$2:$AQ$700,0)))),1,IFERROR(INDEX(Lists!$AD$2:$AD$5,MATCH($E38,Lists!$AC$2:$AC$5,0)),NA()))*(1-N($H38))</f>
        <v>118240.0512</v>
      </c>
      <c r="H38" s="1050" t="n">
        <v>0</v>
      </c>
      <c r="I38" s="1031">
        <f>$F38*IF(ISNUMBER(SEARCH("WIPRO",INDEX('REVIEW - Complete Role Mapping'!$R$2:$R$700,MATCH($A38,'REVIEW - Complete Role Mapping'!$AQ$2:$AQ$700,0)))),1,IFERROR(INDEX(Lists!$AD$2:$AD$5,MATCH($E38,Lists!$AC$2:$AC$5,0)),NA()))*N($H38)</f>
        <v>0</v>
      </c>
    </row>
    <row r="39" ht="14.25" customHeight="1" s="535">
      <c r="B39" s="1029" t="inlineStr">
        <is>
          <t>Cyber Strat &amp; Tech</t>
        </is>
      </c>
      <c r="C39" s="1029" t="str">
        <f>COUNTIF($B$40:$B$43,"?*")&amp;IF(COUNTIF($B$40:$B$43,"?*")=1," role"," roles")</f>
        <v>4 roles</v>
      </c>
      <c r="D39" s="1029" t="n"/>
      <c r="E39" s="1029" t="n"/>
      <c r="F39" s="1044">
        <f>SUM(F40:F43)</f>
        <v>1177566.85</v>
      </c>
      <c r="G39" s="1044">
        <f>SUM(G40:G43)</f>
        <v>682747.4</v>
      </c>
      <c r="I39" s="1044">
        <f>SUM(I40:I43)</f>
        <v>494819.45</v>
      </c>
    </row>
    <row r="40" ht="14.25" customHeight="1" s="535">
      <c r="A40" s="1045" t="inlineStr">
        <is>
          <t>R0047</t>
        </is>
      </c>
      <c r="B40" s="929" t="str">
        <f>INDEX('REVIEW - Complete Role Mapping'!$B$2:$B$700,MATCH($A40,'REVIEW - Complete Role Mapping'!$AQ$2:$AQ$700,0))</f>
        <v>James Byrne</v>
      </c>
      <c r="C40" s="929" t="str">
        <f>INDEX('REVIEW - Complete Role Mapping'!$D$2:$D$700,MATCH($A40,'REVIEW - Complete Role Mapping'!$AQ$2:$AQ$700,0))</f>
        <v>Head of Cyber Strategy &amp; Technology</v>
      </c>
      <c r="D40" s="929" t="str">
        <f>INDEX('REVIEW - Complete Role Mapping'!$AF$2:$AF$700,MATCH($A40,'REVIEW - Complete Role Mapping'!$AQ$2:$AQ$700,0))</f>
        <v>Filled</v>
      </c>
      <c r="E40" s="543" t="inlineStr">
        <is>
          <t>Filled</t>
        </is>
      </c>
      <c r="F40" s="1031">
        <f>INDEX('REVIEW - Complete Role Mapping'!$AE$2:$AE$700,MATCH($A40,'REVIEW - Complete Role Mapping'!$AQ$2:$AQ$700,0))</f>
        <v>382587.7</v>
      </c>
      <c r="G40" s="1031">
        <f>$F40*IF(ISNUMBER(SEARCH("WIPRO",INDEX('REVIEW - Complete Role Mapping'!$R$2:$R$700,MATCH($A40,'REVIEW - Complete Role Mapping'!$AQ$2:$AQ$700,0)))),1,IFERROR(INDEX(Lists!$AD$2:$AD$5,MATCH($E40,Lists!$AC$2:$AC$5,0)),NA()))*(1-N($H40))</f>
        <v>191293.85</v>
      </c>
      <c r="H40" s="1050" t="n">
        <v>0.5</v>
      </c>
      <c r="I40" s="1031">
        <f>$F40*IF(ISNUMBER(SEARCH("WIPRO",INDEX('REVIEW - Complete Role Mapping'!$R$2:$R$700,MATCH($A40,'REVIEW - Complete Role Mapping'!$AQ$2:$AQ$700,0)))),1,IFERROR(INDEX(Lists!$AD$2:$AD$5,MATCH($E40,Lists!$AC$2:$AC$5,0)),NA()))*N($H40)</f>
        <v>191293.85</v>
      </c>
    </row>
    <row r="41" ht="14.25" customHeight="1" s="535">
      <c r="A41" s="1045" t="inlineStr">
        <is>
          <t>R0181</t>
        </is>
      </c>
      <c r="B41" s="929" t="str">
        <f>INDEX('REVIEW - Complete Role Mapping'!$B$2:$B$700,MATCH($A41,'REVIEW - Complete Role Mapping'!$AQ$2:$AQ$700,0))</f>
        <v>Darshan Suvama</v>
      </c>
      <c r="C41" s="929" t="str">
        <f>INDEX('REVIEW - Complete Role Mapping'!$D$2:$D$700,MATCH($A41,'REVIEW - Complete Role Mapping'!$AQ$2:$AQ$700,0))</f>
        <v>Cyber Offensive Security Lead</v>
      </c>
      <c r="D41" s="929" t="str">
        <f>INDEX('REVIEW - Complete Role Mapping'!$AF$2:$AF$700,MATCH($A41,'REVIEW - Complete Role Mapping'!$AQ$2:$AQ$700,0))</f>
        <v>Filled</v>
      </c>
      <c r="E41" s="543" t="inlineStr">
        <is>
          <t>Filled</t>
        </is>
      </c>
      <c r="F41" s="1031">
        <f>INDEX('REVIEW - Complete Role Mapping'!$AE$2:$AE$700,MATCH($A41,'REVIEW - Complete Role Mapping'!$AQ$2:$AQ$700,0))</f>
        <v>285342.9</v>
      </c>
      <c r="G41" s="1031">
        <f>$F41*IF(ISNUMBER(SEARCH("WIPRO",INDEX('REVIEW - Complete Role Mapping'!$R$2:$R$700,MATCH($A41,'REVIEW - Complete Role Mapping'!$AQ$2:$AQ$700,0)))),1,IFERROR(INDEX(Lists!$AD$2:$AD$5,MATCH($E41,Lists!$AC$2:$AC$5,0)),NA()))*(1-N($H41))</f>
        <v>214007.175</v>
      </c>
      <c r="H41" s="1050" t="n">
        <v>0.25</v>
      </c>
      <c r="I41" s="1031">
        <f>$F41*IF(ISNUMBER(SEARCH("WIPRO",INDEX('REVIEW - Complete Role Mapping'!$R$2:$R$700,MATCH($A41,'REVIEW - Complete Role Mapping'!$AQ$2:$AQ$700,0)))),1,IFERROR(INDEX(Lists!$AD$2:$AD$5,MATCH($E41,Lists!$AC$2:$AC$5,0)),NA()))*N($H41)</f>
        <v>71335.725</v>
      </c>
    </row>
    <row r="42" ht="14.25" customHeight="1" s="535">
      <c r="A42" s="1045" t="inlineStr">
        <is>
          <t>R0182</t>
        </is>
      </c>
      <c r="B42" s="929" t="str">
        <f>INDEX('REVIEW - Complete Role Mapping'!$B$2:$B$700,MATCH($A42,'REVIEW - Complete Role Mapping'!$AQ$2:$AQ$700,0))</f>
        <v>Chris Lyons</v>
      </c>
      <c r="C42" s="929" t="str">
        <f>INDEX('REVIEW - Complete Role Mapping'!$D$2:$D$700,MATCH($A42,'REVIEW - Complete Role Mapping'!$AQ$2:$AQ$700,0))</f>
        <v>Cyber Security Architect</v>
      </c>
      <c r="D42" s="929" t="str">
        <f>INDEX('REVIEW - Complete Role Mapping'!$AF$2:$AF$700,MATCH($A42,'REVIEW - Complete Role Mapping'!$AQ$2:$AQ$700,0))</f>
        <v>Filled</v>
      </c>
      <c r="E42" s="543" t="inlineStr">
        <is>
          <t>Filled</t>
        </is>
      </c>
      <c r="F42" s="1031">
        <f>INDEX('REVIEW - Complete Role Mapping'!$AE$2:$AE$700,MATCH($A42,'REVIEW - Complete Role Mapping'!$AQ$2:$AQ$700,0))</f>
        <v>283353.75</v>
      </c>
      <c r="G42" s="1031">
        <f>$F42*IF(ISNUMBER(SEARCH("WIPRO",INDEX('REVIEW - Complete Role Mapping'!$R$2:$R$700,MATCH($A42,'REVIEW - Complete Role Mapping'!$AQ$2:$AQ$700,0)))),1,IFERROR(INDEX(Lists!$AD$2:$AD$5,MATCH($E42,Lists!$AC$2:$AC$5,0)),NA()))*(1-N($H42))</f>
        <v>141676.875</v>
      </c>
      <c r="H42" s="1050" t="n">
        <v>0.5</v>
      </c>
      <c r="I42" s="1031">
        <f>$F42*IF(ISNUMBER(SEARCH("WIPRO",INDEX('REVIEW - Complete Role Mapping'!$R$2:$R$700,MATCH($A42,'REVIEW - Complete Role Mapping'!$AQ$2:$AQ$700,0)))),1,IFERROR(INDEX(Lists!$AD$2:$AD$5,MATCH($E42,Lists!$AC$2:$AC$5,0)),NA()))*N($H42)</f>
        <v>141676.875</v>
      </c>
    </row>
    <row r="43" ht="14.25" customHeight="1" s="535">
      <c r="A43" s="1045" t="inlineStr">
        <is>
          <t>R0183</t>
        </is>
      </c>
      <c r="B43" s="929" t="str">
        <f>INDEX('REVIEW - Complete Role Mapping'!$B$2:$B$700,MATCH($A43,'REVIEW - Complete Role Mapping'!$AQ$2:$AQ$700,0))</f>
        <v>Rahul Sahni</v>
      </c>
      <c r="C43" s="929" t="str">
        <f>INDEX('REVIEW - Complete Role Mapping'!$D$2:$D$700,MATCH($A43,'REVIEW - Complete Role Mapping'!$AQ$2:$AQ$700,0))</f>
        <v>Cyber Security Architect</v>
      </c>
      <c r="D43" s="929" t="str">
        <f>INDEX('REVIEW - Complete Role Mapping'!$AF$2:$AF$700,MATCH($A43,'REVIEW - Complete Role Mapping'!$AQ$2:$AQ$700,0))</f>
        <v>Filled</v>
      </c>
      <c r="E43" s="543" t="inlineStr">
        <is>
          <t>Filled</t>
        </is>
      </c>
      <c r="F43" s="1031">
        <f>INDEX('REVIEW - Complete Role Mapping'!$AE$2:$AE$700,MATCH($A43,'REVIEW - Complete Role Mapping'!$AQ$2:$AQ$700,0))</f>
        <v>226282.5</v>
      </c>
      <c r="G43" s="1031">
        <f>$F43*IF(ISNUMBER(SEARCH("WIPRO",INDEX('REVIEW - Complete Role Mapping'!$R$2:$R$700,MATCH($A43,'REVIEW - Complete Role Mapping'!$AQ$2:$AQ$700,0)))),1,IFERROR(INDEX(Lists!$AD$2:$AD$5,MATCH($E43,Lists!$AC$2:$AC$5,0)),NA()))*(1-N($H43))</f>
        <v>135769.5</v>
      </c>
      <c r="H43" s="1050" t="n">
        <v>0.4</v>
      </c>
      <c r="I43" s="1031">
        <f>$F43*IF(ISNUMBER(SEARCH("WIPRO",INDEX('REVIEW - Complete Role Mapping'!$R$2:$R$700,MATCH($A43,'REVIEW - Complete Role Mapping'!$AQ$2:$AQ$700,0)))),1,IFERROR(INDEX(Lists!$AD$2:$AD$5,MATCH($E43,Lists!$AC$2:$AC$5,0)),NA()))*N($H43)</f>
        <v>90513</v>
      </c>
    </row>
    <row r="44" ht="14.25" customHeight="1" s="535">
      <c r="B44" s="1029" t="inlineStr">
        <is>
          <t>Service Op &amp; Assurance</t>
        </is>
      </c>
      <c r="C44" s="1029" t="str">
        <f>COUNTIF($B$45:$B$65,"?*")&amp;IF(COUNTIF($B$45:$B$65,"?*")=1," role"," roles")</f>
        <v>21 roles</v>
      </c>
      <c r="D44" s="1029" t="n"/>
      <c r="E44" s="1029" t="n"/>
      <c r="F44" s="1044">
        <f>SUM(F45:F65)</f>
        <v>3923469.38</v>
      </c>
      <c r="G44" s="1044">
        <f>SUM(G45:G65)</f>
        <v>3331101.98</v>
      </c>
      <c r="I44" s="1044">
        <f>SUM(I45:I65)</f>
        <v>0</v>
      </c>
    </row>
    <row r="45" ht="14.25" customHeight="1" s="535">
      <c r="A45" s="1045" t="inlineStr">
        <is>
          <t>R0048</t>
        </is>
      </c>
      <c r="B45" s="929" t="str">
        <f>INDEX('REVIEW - Complete Role Mapping'!$B$2:$B$700,MATCH($A45,'REVIEW - Complete Role Mapping'!$AQ$2:$AQ$700,0))</f>
        <v>Rajini Onteddu Reddy</v>
      </c>
      <c r="C45" s="929" t="str">
        <f>INDEX('REVIEW - Complete Role Mapping'!$D$2:$D$700,MATCH($A45,'REVIEW - Complete Role Mapping'!$AQ$2:$AQ$700,0))</f>
        <v>Head of Service Operations &amp; Assurance</v>
      </c>
      <c r="D45" s="929" t="str">
        <f>INDEX('REVIEW - Complete Role Mapping'!$AF$2:$AF$700,MATCH($A45,'REVIEW - Complete Role Mapping'!$AQ$2:$AQ$700,0))</f>
        <v>Filled</v>
      </c>
      <c r="E45" s="543" t="inlineStr">
        <is>
          <t>Filled</t>
        </is>
      </c>
      <c r="F45" s="1031">
        <f>INDEX('REVIEW - Complete Role Mapping'!$AE$2:$AE$700,MATCH($A45,'REVIEW - Complete Role Mapping'!$AQ$2:$AQ$700,0))</f>
        <v>400671.4</v>
      </c>
      <c r="G45" s="1031">
        <f>$F45*IF(ISNUMBER(SEARCH("WIPRO",INDEX('REVIEW - Complete Role Mapping'!$R$2:$R$700,MATCH($A45,'REVIEW - Complete Role Mapping'!$AQ$2:$AQ$700,0)))),1,IFERROR(INDEX(Lists!$AD$2:$AD$5,MATCH($E45,Lists!$AC$2:$AC$5,0)),NA()))*(1-N($H45))</f>
        <v>400671.4</v>
      </c>
      <c r="H45" s="1050" t="n">
        <v>0</v>
      </c>
      <c r="I45" s="1031">
        <f>$F45*IF(ISNUMBER(SEARCH("WIPRO",INDEX('REVIEW - Complete Role Mapping'!$R$2:$R$700,MATCH($A45,'REVIEW - Complete Role Mapping'!$AQ$2:$AQ$700,0)))),1,IFERROR(INDEX(Lists!$AD$2:$AD$5,MATCH($E45,Lists!$AC$2:$AC$5,0)),NA()))*N($H45)</f>
        <v>0</v>
      </c>
    </row>
    <row r="46" ht="14.25" customHeight="1" s="535">
      <c r="A46" s="1045" t="inlineStr">
        <is>
          <t>R0100</t>
        </is>
      </c>
      <c r="B46" s="929" t="str">
        <f>INDEX('REVIEW - Complete Role Mapping'!$B$2:$B$700,MATCH($A46,'REVIEW - Complete Role Mapping'!$AQ$2:$AQ$700,0))</f>
        <v>Mick Collins</v>
      </c>
      <c r="C46" s="929" t="str">
        <f>INDEX('REVIEW - Complete Role Mapping'!$D$2:$D$700,MATCH($A46,'REVIEW - Complete Role Mapping'!$AQ$2:$AQ$700,0))</f>
        <v>Manager, Service Performance &amp; Assurance</v>
      </c>
      <c r="D46" s="929" t="str">
        <f>INDEX('REVIEW - Complete Role Mapping'!$AF$2:$AF$700,MATCH($A46,'REVIEW - Complete Role Mapping'!$AQ$2:$AQ$700,0))</f>
        <v>Filled</v>
      </c>
      <c r="E46" s="543" t="inlineStr">
        <is>
          <t>Filled</t>
        </is>
      </c>
      <c r="F46" s="1031">
        <f>INDEX('REVIEW - Complete Role Mapping'!$AE$2:$AE$700,MATCH($A46,'REVIEW - Complete Role Mapping'!$AQ$2:$AQ$700,0))</f>
        <v>272070.45</v>
      </c>
      <c r="G46" s="1031">
        <f>$F46*IF(ISNUMBER(SEARCH("WIPRO",INDEX('REVIEW - Complete Role Mapping'!$R$2:$R$700,MATCH($A46,'REVIEW - Complete Role Mapping'!$AQ$2:$AQ$700,0)))),1,IFERROR(INDEX(Lists!$AD$2:$AD$5,MATCH($E46,Lists!$AC$2:$AC$5,0)),NA()))*(1-N($H46))</f>
        <v>272070.45</v>
      </c>
      <c r="H46" s="1050" t="n">
        <v>0</v>
      </c>
      <c r="I46" s="1031">
        <f>$F46*IF(ISNUMBER(SEARCH("WIPRO",INDEX('REVIEW - Complete Role Mapping'!$R$2:$R$700,MATCH($A46,'REVIEW - Complete Role Mapping'!$AQ$2:$AQ$700,0)))),1,IFERROR(INDEX(Lists!$AD$2:$AD$5,MATCH($E46,Lists!$AC$2:$AC$5,0)),NA()))*N($H46)</f>
        <v>0</v>
      </c>
    </row>
    <row r="47" ht="14.25" customHeight="1" s="535">
      <c r="A47" s="1045" t="inlineStr">
        <is>
          <t>R0187</t>
        </is>
      </c>
      <c r="B47" s="929" t="str">
        <f>INDEX('REVIEW - Complete Role Mapping'!$B$2:$B$700,MATCH($A47,'REVIEW - Complete Role Mapping'!$AQ$2:$AQ$700,0))</f>
        <v>Ashley Mueller</v>
      </c>
      <c r="C47" s="929" t="str">
        <f>INDEX('REVIEW - Complete Role Mapping'!$D$2:$D$700,MATCH($A47,'REVIEW - Complete Role Mapping'!$AQ$2:$AQ$700,0))</f>
        <v>Lead – Service Assurance</v>
      </c>
      <c r="D47" s="929" t="str">
        <f>INDEX('REVIEW - Complete Role Mapping'!$AF$2:$AF$700,MATCH($A47,'REVIEW - Complete Role Mapping'!$AQ$2:$AQ$700,0))</f>
        <v>Filled</v>
      </c>
      <c r="E47" s="543" t="inlineStr">
        <is>
          <t>Filled</t>
        </is>
      </c>
      <c r="F47" s="1031">
        <f>INDEX('REVIEW - Complete Role Mapping'!$AE$2:$AE$700,MATCH($A47,'REVIEW - Complete Role Mapping'!$AQ$2:$AQ$700,0))</f>
        <v>189974.796</v>
      </c>
      <c r="G47" s="1031">
        <f>$F47*IF(ISNUMBER(SEARCH("WIPRO",INDEX('REVIEW - Complete Role Mapping'!$R$2:$R$700,MATCH($A47,'REVIEW - Complete Role Mapping'!$AQ$2:$AQ$700,0)))),1,IFERROR(INDEX(Lists!$AD$2:$AD$5,MATCH($E47,Lists!$AC$2:$AC$5,0)),NA()))*(1-N($H47))</f>
        <v>189974.796</v>
      </c>
      <c r="H47" s="1050" t="n">
        <v>0</v>
      </c>
      <c r="I47" s="1031">
        <f>$F47*IF(ISNUMBER(SEARCH("WIPRO",INDEX('REVIEW - Complete Role Mapping'!$R$2:$R$700,MATCH($A47,'REVIEW - Complete Role Mapping'!$AQ$2:$AQ$700,0)))),1,IFERROR(INDEX(Lists!$AD$2:$AD$5,MATCH($E47,Lists!$AC$2:$AC$5,0)),NA()))*N($H47)</f>
        <v>0</v>
      </c>
    </row>
    <row r="48" ht="14.25" customHeight="1" s="535">
      <c r="A48" s="1045" t="inlineStr">
        <is>
          <t>R0196</t>
        </is>
      </c>
      <c r="B48" s="929" t="str">
        <f>INDEX('REVIEW - Complete Role Mapping'!$B$2:$B$700,MATCH($A48,'REVIEW - Complete Role Mapping'!$AQ$2:$AQ$700,0))</f>
        <v>Darren Koller</v>
      </c>
      <c r="C48" s="929" t="str">
        <f>INDEX('REVIEW - Complete Role Mapping'!$D$2:$D$700,MATCH($A48,'REVIEW - Complete Role Mapping'!$AQ$2:$AQ$700,0))</f>
        <v>Manager, Service Management &amp; Major Incident Mgmt Lead</v>
      </c>
      <c r="D48" s="929" t="str">
        <f>INDEX('REVIEW - Complete Role Mapping'!$AF$2:$AF$700,MATCH($A48,'REVIEW - Complete Role Mapping'!$AQ$2:$AQ$700,0))</f>
        <v>Filled</v>
      </c>
      <c r="E48" s="543" t="inlineStr">
        <is>
          <t>Filled</t>
        </is>
      </c>
      <c r="F48" s="1031">
        <f>INDEX('REVIEW - Complete Role Mapping'!$AE$2:$AE$700,MATCH($A48,'REVIEW - Complete Role Mapping'!$AQ$2:$AQ$700,0))</f>
        <v>274943.25</v>
      </c>
      <c r="G48" s="1031">
        <f>$F48*IF(ISNUMBER(SEARCH("WIPRO",INDEX('REVIEW - Complete Role Mapping'!$R$2:$R$700,MATCH($A48,'REVIEW - Complete Role Mapping'!$AQ$2:$AQ$700,0)))),1,IFERROR(INDEX(Lists!$AD$2:$AD$5,MATCH($E48,Lists!$AC$2:$AC$5,0)),NA()))*(1-N($H48))</f>
        <v>274943.25</v>
      </c>
      <c r="H48" s="1050" t="n">
        <v>0</v>
      </c>
      <c r="I48" s="1031">
        <f>$F48*IF(ISNUMBER(SEARCH("WIPRO",INDEX('REVIEW - Complete Role Mapping'!$R$2:$R$700,MATCH($A48,'REVIEW - Complete Role Mapping'!$AQ$2:$AQ$700,0)))),1,IFERROR(INDEX(Lists!$AD$2:$AD$5,MATCH($E48,Lists!$AC$2:$AC$5,0)),NA()))*N($H48)</f>
        <v>0</v>
      </c>
    </row>
    <row r="49" ht="14.25" customHeight="1" s="535">
      <c r="A49" s="1045" t="inlineStr">
        <is>
          <t>R0197</t>
        </is>
      </c>
      <c r="B49" s="929" t="str">
        <f>INDEX('REVIEW - Complete Role Mapping'!$B$2:$B$700,MATCH($A49,'REVIEW - Complete Role Mapping'!$AQ$2:$AQ$700,0))</f>
        <v>Chris Rojas</v>
      </c>
      <c r="C49" s="929" t="str">
        <f>INDEX('REVIEW - Complete Role Mapping'!$D$2:$D$700,MATCH($A49,'REVIEW - Complete Role Mapping'!$AQ$2:$AQ$700,0))</f>
        <v>Manager, Customer Support Operations</v>
      </c>
      <c r="D49" s="929" t="str">
        <f>INDEX('REVIEW - Complete Role Mapping'!$AF$2:$AF$700,MATCH($A49,'REVIEW - Complete Role Mapping'!$AQ$2:$AQ$700,0))</f>
        <v>Filled</v>
      </c>
      <c r="E49" s="543" t="inlineStr">
        <is>
          <t>Filled</t>
        </is>
      </c>
      <c r="F49" s="1031">
        <f>INDEX('REVIEW - Complete Role Mapping'!$AE$2:$AE$700,MATCH($A49,'REVIEW - Complete Role Mapping'!$AQ$2:$AQ$700,0))</f>
        <v>243303.75</v>
      </c>
      <c r="G49" s="1031">
        <f>$F49*IF(ISNUMBER(SEARCH("WIPRO",INDEX('REVIEW - Complete Role Mapping'!$R$2:$R$700,MATCH($A49,'REVIEW - Complete Role Mapping'!$AQ$2:$AQ$700,0)))),1,IFERROR(INDEX(Lists!$AD$2:$AD$5,MATCH($E49,Lists!$AC$2:$AC$5,0)),NA()))*(1-N($H49))</f>
        <v>243303.75</v>
      </c>
      <c r="H49" s="1050" t="n">
        <v>0</v>
      </c>
      <c r="I49" s="1031">
        <f>$F49*IF(ISNUMBER(SEARCH("WIPRO",INDEX('REVIEW - Complete Role Mapping'!$R$2:$R$700,MATCH($A49,'REVIEW - Complete Role Mapping'!$AQ$2:$AQ$700,0)))),1,IFERROR(INDEX(Lists!$AD$2:$AD$5,MATCH($E49,Lists!$AC$2:$AC$5,0)),NA()))*N($H49)</f>
        <v>0</v>
      </c>
    </row>
    <row r="50" ht="14.25" customHeight="1" s="535">
      <c r="A50" s="1045" t="inlineStr">
        <is>
          <t>R0286</t>
        </is>
      </c>
      <c r="B50" s="929" t="str">
        <f>INDEX('REVIEW - Complete Role Mapping'!$B$2:$B$700,MATCH($A50,'REVIEW - Complete Role Mapping'!$AQ$2:$AQ$700,0))</f>
        <v>Lynda Niewidok</v>
      </c>
      <c r="C50" s="929" t="str">
        <f>INDEX('REVIEW - Complete Role Mapping'!$D$2:$D$700,MATCH($A50,'REVIEW - Complete Role Mapping'!$AQ$2:$AQ$700,0))</f>
        <v>Lead – Service Desk</v>
      </c>
      <c r="D50" s="929" t="str">
        <f>INDEX('REVIEW - Complete Role Mapping'!$AF$2:$AF$700,MATCH($A50,'REVIEW - Complete Role Mapping'!$AQ$2:$AQ$700,0))</f>
        <v>Filled</v>
      </c>
      <c r="E50" s="543" t="inlineStr">
        <is>
          <t>Filled</t>
        </is>
      </c>
      <c r="F50" s="1031">
        <f>INDEX('REVIEW - Complete Role Mapping'!$AE$2:$AE$700,MATCH($A50,'REVIEW - Complete Role Mapping'!$AQ$2:$AQ$700,0))</f>
        <v>203988</v>
      </c>
      <c r="G50" s="1031">
        <f>$F50*IF(ISNUMBER(SEARCH("WIPRO",INDEX('REVIEW - Complete Role Mapping'!$R$2:$R$700,MATCH($A50,'REVIEW - Complete Role Mapping'!$AQ$2:$AQ$700,0)))),1,IFERROR(INDEX(Lists!$AD$2:$AD$5,MATCH($E50,Lists!$AC$2:$AC$5,0)),NA()))*(1-N($H50))</f>
        <v>203988</v>
      </c>
      <c r="H50" s="1050" t="n">
        <v>0</v>
      </c>
      <c r="I50" s="1031">
        <f>$F50*IF(ISNUMBER(SEARCH("WIPRO",INDEX('REVIEW - Complete Role Mapping'!$R$2:$R$700,MATCH($A50,'REVIEW - Complete Role Mapping'!$AQ$2:$AQ$700,0)))),1,IFERROR(INDEX(Lists!$AD$2:$AD$5,MATCH($E50,Lists!$AC$2:$AC$5,0)),NA()))*N($H50)</f>
        <v>0</v>
      </c>
    </row>
    <row r="51" ht="14.25" customHeight="1" s="535">
      <c r="A51" s="1045" t="inlineStr">
        <is>
          <t>R0287</t>
        </is>
      </c>
      <c r="B51" s="929" t="str">
        <f>INDEX('REVIEW - Complete Role Mapping'!$B$2:$B$700,MATCH($A51,'REVIEW - Complete Role Mapping'!$AQ$2:$AQ$700,0))</f>
        <v>Mark Pearson</v>
      </c>
      <c r="C51" s="929" t="str">
        <f>INDEX('REVIEW - Complete Role Mapping'!$D$2:$D$700,MATCH($A51,'REVIEW - Complete Role Mapping'!$AQ$2:$AQ$700,0))</f>
        <v>Lead – Technology Support</v>
      </c>
      <c r="D51" s="929" t="str">
        <f>INDEX('REVIEW - Complete Role Mapping'!$AF$2:$AF$700,MATCH($A51,'REVIEW - Complete Role Mapping'!$AQ$2:$AQ$700,0))</f>
        <v>Filled</v>
      </c>
      <c r="E51" s="543" t="inlineStr">
        <is>
          <t>Filled</t>
        </is>
      </c>
      <c r="F51" s="1031">
        <f>INDEX('REVIEW - Complete Role Mapping'!$AE$2:$AE$700,MATCH($A51,'REVIEW - Complete Role Mapping'!$AQ$2:$AQ$700,0))</f>
        <v>203841.15</v>
      </c>
      <c r="G51" s="1031">
        <f>$F51*IF(ISNUMBER(SEARCH("WIPRO",INDEX('REVIEW - Complete Role Mapping'!$R$2:$R$700,MATCH($A51,'REVIEW - Complete Role Mapping'!$AQ$2:$AQ$700,0)))),1,IFERROR(INDEX(Lists!$AD$2:$AD$5,MATCH($E51,Lists!$AC$2:$AC$5,0)),NA()))*(1-N($H51))</f>
        <v>203841.15</v>
      </c>
      <c r="H51" s="1050" t="n">
        <v>0</v>
      </c>
      <c r="I51" s="1031">
        <f>$F51*IF(ISNUMBER(SEARCH("WIPRO",INDEX('REVIEW - Complete Role Mapping'!$R$2:$R$700,MATCH($A51,'REVIEW - Complete Role Mapping'!$AQ$2:$AQ$700,0)))),1,IFERROR(INDEX(Lists!$AD$2:$AD$5,MATCH($E51,Lists!$AC$2:$AC$5,0)),NA()))*N($H51)</f>
        <v>0</v>
      </c>
    </row>
    <row r="52" ht="14.25" customHeight="1" s="535">
      <c r="A52" s="1045" t="inlineStr">
        <is>
          <t>R0288</t>
        </is>
      </c>
      <c r="B52" s="929" t="str">
        <f>INDEX('REVIEW - Complete Role Mapping'!$B$2:$B$700,MATCH($A52,'REVIEW - Complete Role Mapping'!$AQ$2:$AQ$700,0))</f>
        <v>Remya Pookat</v>
      </c>
      <c r="C52" s="929" t="str">
        <f>INDEX('REVIEW - Complete Role Mapping'!$D$2:$D$700,MATCH($A52,'REVIEW - Complete Role Mapping'!$AQ$2:$AQ$700,0))</f>
        <v>Lead – Change &amp; Release Management</v>
      </c>
      <c r="D52" s="929" t="str">
        <f>INDEX('REVIEW - Complete Role Mapping'!$AF$2:$AF$700,MATCH($A52,'REVIEW - Complete Role Mapping'!$AQ$2:$AQ$700,0))</f>
        <v>Filled</v>
      </c>
      <c r="E52" s="543" t="inlineStr">
        <is>
          <t>Filled</t>
        </is>
      </c>
      <c r="F52" s="1031">
        <f>INDEX('REVIEW - Complete Role Mapping'!$AE$2:$AE$700,MATCH($A52,'REVIEW - Complete Role Mapping'!$AQ$2:$AQ$700,0))</f>
        <v>220875.75</v>
      </c>
      <c r="G52" s="1031">
        <f>$F52*IF(ISNUMBER(SEARCH("WIPRO",INDEX('REVIEW - Complete Role Mapping'!$R$2:$R$700,MATCH($A52,'REVIEW - Complete Role Mapping'!$AQ$2:$AQ$700,0)))),1,IFERROR(INDEX(Lists!$AD$2:$AD$5,MATCH($E52,Lists!$AC$2:$AC$5,0)),NA()))*(1-N($H52))</f>
        <v>220875.75</v>
      </c>
      <c r="H52" s="1050" t="n">
        <v>0</v>
      </c>
      <c r="I52" s="1031">
        <f>$F52*IF(ISNUMBER(SEARCH("WIPRO",INDEX('REVIEW - Complete Role Mapping'!$R$2:$R$700,MATCH($A52,'REVIEW - Complete Role Mapping'!$AQ$2:$AQ$700,0)))),1,IFERROR(INDEX(Lists!$AD$2:$AD$5,MATCH($E52,Lists!$AC$2:$AC$5,0)),NA()))*N($H52)</f>
        <v>0</v>
      </c>
    </row>
    <row r="53" ht="14.25" customHeight="1" s="535">
      <c r="A53" s="1045" t="inlineStr">
        <is>
          <t>R0329</t>
        </is>
      </c>
      <c r="B53" s="929" t="str">
        <f>INDEX('REVIEW - Complete Role Mapping'!$B$2:$B$700,MATCH($A53,'REVIEW - Complete Role Mapping'!$AQ$2:$AQ$700,0))</f>
        <v>Vacant</v>
      </c>
      <c r="C53" s="929" t="str">
        <f>INDEX('REVIEW - Complete Role Mapping'!$D$2:$D$700,MATCH($A53,'REVIEW - Complete Role Mapping'!$AQ$2:$AQ$700,0))</f>
        <v>Lead – Asset &amp; Configuration</v>
      </c>
      <c r="D53" s="929" t="str">
        <f>INDEX('REVIEW - Complete Role Mapping'!$AF$2:$AF$700,MATCH($A53,'REVIEW - Complete Role Mapping'!$AQ$2:$AQ$700,0))</f>
        <v>Vacant</v>
      </c>
      <c r="E53" s="543" t="inlineStr">
        <is>
          <t>Offshore</t>
        </is>
      </c>
      <c r="F53" s="1031">
        <f>INDEX('REVIEW - Complete Role Mapping'!$AE$2:$AE$700,MATCH($A53,'REVIEW - Complete Role Mapping'!$AQ$2:$AQ$700,0))</f>
        <v>202853.25</v>
      </c>
      <c r="G53" s="1031">
        <f>$F53*IF(ISNUMBER(SEARCH("WIPRO",INDEX('REVIEW - Complete Role Mapping'!$R$2:$R$700,MATCH($A53,'REVIEW - Complete Role Mapping'!$AQ$2:$AQ$700,0)))),1,IFERROR(INDEX(Lists!$AD$2:$AD$5,MATCH($E53,Lists!$AC$2:$AC$5,0)),NA()))*(1-N($H53))</f>
        <v>81141.3</v>
      </c>
      <c r="H53" s="1050" t="n">
        <v>0</v>
      </c>
      <c r="I53" s="1031">
        <f>$F53*IF(ISNUMBER(SEARCH("WIPRO",INDEX('REVIEW - Complete Role Mapping'!$R$2:$R$700,MATCH($A53,'REVIEW - Complete Role Mapping'!$AQ$2:$AQ$700,0)))),1,IFERROR(INDEX(Lists!$AD$2:$AD$5,MATCH($E53,Lists!$AC$2:$AC$5,0)),NA()))*N($H53)</f>
        <v>0</v>
      </c>
    </row>
    <row r="54" ht="14.25" customHeight="1" s="535">
      <c r="A54" s="1045" t="inlineStr">
        <is>
          <t>R0330</t>
        </is>
      </c>
      <c r="B54" s="929" t="str">
        <f>INDEX('REVIEW - Complete Role Mapping'!$B$2:$B$700,MATCH($A54,'REVIEW - Complete Role Mapping'!$AQ$2:$AQ$700,0))</f>
        <v>Vacant</v>
      </c>
      <c r="C54" s="929" t="str">
        <f>INDEX('REVIEW - Complete Role Mapping'!$D$2:$D$700,MATCH($A54,'REVIEW - Complete Role Mapping'!$AQ$2:$AQ$700,0))</f>
        <v>Lead – Service Performance &amp; Insights</v>
      </c>
      <c r="D54" s="929" t="str">
        <f>INDEX('REVIEW - Complete Role Mapping'!$AF$2:$AF$700,MATCH($A54,'REVIEW - Complete Role Mapping'!$AQ$2:$AQ$700,0))</f>
        <v>Vacant</v>
      </c>
      <c r="E54" s="543" t="inlineStr">
        <is>
          <t>Offshore</t>
        </is>
      </c>
      <c r="F54" s="1031">
        <f>INDEX('REVIEW - Complete Role Mapping'!$AE$2:$AE$700,MATCH($A54,'REVIEW - Complete Role Mapping'!$AQ$2:$AQ$700,0))</f>
        <v>202853.25</v>
      </c>
      <c r="G54" s="1031">
        <f>$F54*IF(ISNUMBER(SEARCH("WIPRO",INDEX('REVIEW - Complete Role Mapping'!$R$2:$R$700,MATCH($A54,'REVIEW - Complete Role Mapping'!$AQ$2:$AQ$700,0)))),1,IFERROR(INDEX(Lists!$AD$2:$AD$5,MATCH($E54,Lists!$AC$2:$AC$5,0)),NA()))*(1-N($H54))</f>
        <v>81141.3</v>
      </c>
      <c r="H54" s="1050" t="n">
        <v>0</v>
      </c>
      <c r="I54" s="1031">
        <f>$F54*IF(ISNUMBER(SEARCH("WIPRO",INDEX('REVIEW - Complete Role Mapping'!$R$2:$R$700,MATCH($A54,'REVIEW - Complete Role Mapping'!$AQ$2:$AQ$700,0)))),1,IFERROR(INDEX(Lists!$AD$2:$AD$5,MATCH($E54,Lists!$AC$2:$AC$5,0)),NA()))*N($H54)</f>
        <v>0</v>
      </c>
    </row>
    <row r="55" ht="14.25" customHeight="1" s="535">
      <c r="A55" s="1045" t="inlineStr">
        <is>
          <t>R0423</t>
        </is>
      </c>
      <c r="B55" s="929" t="str">
        <f>INDEX('REVIEW - Complete Role Mapping'!$B$2:$B$700,MATCH($A55,'REVIEW - Complete Role Mapping'!$AQ$2:$AQ$700,0))</f>
        <v>Vacant</v>
      </c>
      <c r="C55" s="929" t="str">
        <f>INDEX('REVIEW - Complete Role Mapping'!$D$2:$D$700,MATCH($A55,'REVIEW - Complete Role Mapping'!$AQ$2:$AQ$700,0))</f>
        <v>Lead – Problem Management</v>
      </c>
      <c r="D55" s="929" t="str">
        <f>INDEX('REVIEW - Complete Role Mapping'!$AF$2:$AF$700,MATCH($A55,'REVIEW - Complete Role Mapping'!$AQ$2:$AQ$700,0))</f>
        <v>Vacant</v>
      </c>
      <c r="E55" s="543" t="inlineStr">
        <is>
          <t>Hire</t>
        </is>
      </c>
      <c r="F55" s="1031">
        <f>INDEX('REVIEW - Complete Role Mapping'!$AE$2:$AE$700,MATCH($A55,'REVIEW - Complete Role Mapping'!$AQ$2:$AQ$700,0))</f>
        <v>170489.75</v>
      </c>
      <c r="G55" s="1031">
        <f>$F55*IF(ISNUMBER(SEARCH("WIPRO",INDEX('REVIEW - Complete Role Mapping'!$R$2:$R$700,MATCH($A55,'REVIEW - Complete Role Mapping'!$AQ$2:$AQ$700,0)))),1,IFERROR(INDEX(Lists!$AD$2:$AD$5,MATCH($E55,Lists!$AC$2:$AC$5,0)),NA()))*(1-N($H55))</f>
        <v>170489.75</v>
      </c>
      <c r="H55" s="1050" t="n">
        <v>0</v>
      </c>
      <c r="I55" s="1031">
        <f>$F55*IF(ISNUMBER(SEARCH("WIPRO",INDEX('REVIEW - Complete Role Mapping'!$R$2:$R$700,MATCH($A55,'REVIEW - Complete Role Mapping'!$AQ$2:$AQ$700,0)))),1,IFERROR(INDEX(Lists!$AD$2:$AD$5,MATCH($E55,Lists!$AC$2:$AC$5,0)),NA()))*N($H55)</f>
        <v>0</v>
      </c>
    </row>
    <row r="56" ht="14.25" customHeight="1" s="535">
      <c r="A56" s="1045" t="inlineStr">
        <is>
          <t>R0453</t>
        </is>
      </c>
      <c r="B56" s="929" t="str">
        <f>INDEX('REVIEW - Complete Role Mapping'!$B$2:$B$700,MATCH($A56,'REVIEW - Complete Role Mapping'!$AQ$2:$AQ$700,0))</f>
        <v>Ritika Salaria</v>
      </c>
      <c r="C56" s="929" t="str">
        <f>INDEX('REVIEW - Complete Role Mapping'!$D$2:$D$700,MATCH($A56,'REVIEW - Complete Role Mapping'!$AQ$2:$AQ$700,0))</f>
        <v>Configuration Analyst</v>
      </c>
      <c r="D56" s="929" t="str">
        <f>INDEX('REVIEW - Complete Role Mapping'!$AF$2:$AF$700,MATCH($A56,'REVIEW - Complete Role Mapping'!$AQ$2:$AQ$700,0))</f>
        <v>Filled</v>
      </c>
      <c r="E56" s="543" t="inlineStr">
        <is>
          <t>Offshore</t>
        </is>
      </c>
      <c r="F56" s="1031">
        <f>INDEX('REVIEW - Complete Role Mapping'!$AE$2:$AE$700,MATCH($A56,'REVIEW - Complete Role Mapping'!$AQ$2:$AQ$700,0))</f>
        <v>173106.6</v>
      </c>
      <c r="G56" s="1031">
        <f>$F56*IF(ISNUMBER(SEARCH("WIPRO",INDEX('REVIEW - Complete Role Mapping'!$R$2:$R$700,MATCH($A56,'REVIEW - Complete Role Mapping'!$AQ$2:$AQ$700,0)))),1,IFERROR(INDEX(Lists!$AD$2:$AD$5,MATCH($E56,Lists!$AC$2:$AC$5,0)),NA()))*(1-N($H56))</f>
        <v>69242.64</v>
      </c>
      <c r="H56" s="1050" t="n">
        <v>0</v>
      </c>
      <c r="I56" s="1031">
        <f>$F56*IF(ISNUMBER(SEARCH("WIPRO",INDEX('REVIEW - Complete Role Mapping'!$R$2:$R$700,MATCH($A56,'REVIEW - Complete Role Mapping'!$AQ$2:$AQ$700,0)))),1,IFERROR(INDEX(Lists!$AD$2:$AD$5,MATCH($E56,Lists!$AC$2:$AC$5,0)),NA()))*N($H56)</f>
        <v>0</v>
      </c>
    </row>
    <row r="57" ht="14.25" customHeight="1" s="535">
      <c r="A57" s="1045" t="inlineStr">
        <is>
          <t>R0458</t>
        </is>
      </c>
      <c r="B57" s="929" t="str">
        <f>INDEX('REVIEW - Complete Role Mapping'!$B$2:$B$700,MATCH($A57,'REVIEW - Complete Role Mapping'!$AQ$2:$AQ$700,0))</f>
        <v>Belinda Hoskens</v>
      </c>
      <c r="C57" s="929" t="str">
        <f>INDEX('REVIEW - Complete Role Mapping'!$D$2:$D$700,MATCH($A57,'REVIEW - Complete Role Mapping'!$AQ$2:$AQ$700,0))</f>
        <v>Technology Support Engineer</v>
      </c>
      <c r="D57" s="929" t="str">
        <f>INDEX('REVIEW - Complete Role Mapping'!$AF$2:$AF$700,MATCH($A57,'REVIEW - Complete Role Mapping'!$AQ$2:$AQ$700,0))</f>
        <v>Filled</v>
      </c>
      <c r="E57" s="543" t="inlineStr">
        <is>
          <t>Filled</t>
        </is>
      </c>
      <c r="F57" s="1031">
        <f>INDEX('REVIEW - Complete Role Mapping'!$AE$2:$AE$700,MATCH($A57,'REVIEW - Complete Role Mapping'!$AQ$2:$AQ$700,0))</f>
        <v>162139.5</v>
      </c>
      <c r="G57" s="1031">
        <f>$F57*IF(ISNUMBER(SEARCH("WIPRO",INDEX('REVIEW - Complete Role Mapping'!$R$2:$R$700,MATCH($A57,'REVIEW - Complete Role Mapping'!$AQ$2:$AQ$700,0)))),1,IFERROR(INDEX(Lists!$AD$2:$AD$5,MATCH($E57,Lists!$AC$2:$AC$5,0)),NA()))*(1-N($H57))</f>
        <v>162139.5</v>
      </c>
      <c r="H57" s="1050" t="n">
        <v>0</v>
      </c>
      <c r="I57" s="1031">
        <f>$F57*IF(ISNUMBER(SEARCH("WIPRO",INDEX('REVIEW - Complete Role Mapping'!$R$2:$R$700,MATCH($A57,'REVIEW - Complete Role Mapping'!$AQ$2:$AQ$700,0)))),1,IFERROR(INDEX(Lists!$AD$2:$AD$5,MATCH($E57,Lists!$AC$2:$AC$5,0)),NA()))*N($H57)</f>
        <v>0</v>
      </c>
    </row>
    <row r="58" ht="14.25" customHeight="1" s="535">
      <c r="A58" s="1045" t="inlineStr">
        <is>
          <t>R0459</t>
        </is>
      </c>
      <c r="B58" s="929" t="str">
        <f>INDEX('REVIEW - Complete Role Mapping'!$B$2:$B$700,MATCH($A58,'REVIEW - Complete Role Mapping'!$AQ$2:$AQ$700,0))</f>
        <v>Jas Mann</v>
      </c>
      <c r="C58" s="929" t="str">
        <f>INDEX('REVIEW - Complete Role Mapping'!$D$2:$D$700,MATCH($A58,'REVIEW - Complete Role Mapping'!$AQ$2:$AQ$700,0))</f>
        <v>Technology Support Engineer</v>
      </c>
      <c r="D58" s="929" t="str">
        <f>INDEX('REVIEW - Complete Role Mapping'!$AF$2:$AF$700,MATCH($A58,'REVIEW - Complete Role Mapping'!$AQ$2:$AQ$700,0))</f>
        <v>Filled</v>
      </c>
      <c r="E58" s="543" t="inlineStr">
        <is>
          <t>Offshore</t>
        </is>
      </c>
      <c r="F58" s="1031">
        <f>INDEX('REVIEW - Complete Role Mapping'!$AE$2:$AE$700,MATCH($A58,'REVIEW - Complete Role Mapping'!$AQ$2:$AQ$700,0))</f>
        <v>146885.5</v>
      </c>
      <c r="G58" s="1031">
        <f>$F58*IF(ISNUMBER(SEARCH("WIPRO",INDEX('REVIEW - Complete Role Mapping'!$R$2:$R$700,MATCH($A58,'REVIEW - Complete Role Mapping'!$AQ$2:$AQ$700,0)))),1,IFERROR(INDEX(Lists!$AD$2:$AD$5,MATCH($E58,Lists!$AC$2:$AC$5,0)),NA()))*(1-N($H58))</f>
        <v>58754.2</v>
      </c>
      <c r="H58" s="1050" t="n">
        <v>0</v>
      </c>
      <c r="I58" s="1031">
        <f>$F58*IF(ISNUMBER(SEARCH("WIPRO",INDEX('REVIEW - Complete Role Mapping'!$R$2:$R$700,MATCH($A58,'REVIEW - Complete Role Mapping'!$AQ$2:$AQ$700,0)))),1,IFERROR(INDEX(Lists!$AD$2:$AD$5,MATCH($E58,Lists!$AC$2:$AC$5,0)),NA()))*N($H58)</f>
        <v>0</v>
      </c>
    </row>
    <row r="59" ht="14.25" customHeight="1" s="535">
      <c r="A59" s="1045" t="inlineStr">
        <is>
          <t>R0470</t>
        </is>
      </c>
      <c r="B59" s="929" t="str">
        <f>INDEX('REVIEW - Complete Role Mapping'!$B$2:$B$700,MATCH($A59,'REVIEW - Complete Role Mapping'!$AQ$2:$AQ$700,0))</f>
        <v>Mary-Grace Rivera</v>
      </c>
      <c r="C59" s="929" t="str">
        <f>INDEX('REVIEW - Complete Role Mapping'!$D$2:$D$700,MATCH($A59,'REVIEW - Complete Role Mapping'!$AQ$2:$AQ$700,0))</f>
        <v>Lead, Service Management</v>
      </c>
      <c r="D59" s="929" t="str">
        <f>INDEX('REVIEW - Complete Role Mapping'!$AF$2:$AF$700,MATCH($A59,'REVIEW - Complete Role Mapping'!$AQ$2:$AQ$700,0))</f>
        <v>Filled</v>
      </c>
      <c r="E59" s="543" t="inlineStr">
        <is>
          <t>Filled</t>
        </is>
      </c>
      <c r="F59" s="1031">
        <f>INDEX('REVIEW - Complete Role Mapping'!$AE$2:$AE$700,MATCH($A59,'REVIEW - Complete Role Mapping'!$AQ$2:$AQ$700,0))</f>
        <v>180970.3</v>
      </c>
      <c r="G59" s="1031">
        <f>$F59*IF(ISNUMBER(SEARCH("WIPRO",INDEX('REVIEW - Complete Role Mapping'!$R$2:$R$700,MATCH($A59,'REVIEW - Complete Role Mapping'!$AQ$2:$AQ$700,0)))),1,IFERROR(INDEX(Lists!$AD$2:$AD$5,MATCH($E59,Lists!$AC$2:$AC$5,0)),NA()))*(1-N($H59))</f>
        <v>180970.3</v>
      </c>
      <c r="H59" s="1050" t="n">
        <v>0</v>
      </c>
      <c r="I59" s="1031">
        <f>$F59*IF(ISNUMBER(SEARCH("WIPRO",INDEX('REVIEW - Complete Role Mapping'!$R$2:$R$700,MATCH($A59,'REVIEW - Complete Role Mapping'!$AQ$2:$AQ$700,0)))),1,IFERROR(INDEX(Lists!$AD$2:$AD$5,MATCH($E59,Lists!$AC$2:$AC$5,0)),NA()))*N($H59)</f>
        <v>0</v>
      </c>
    </row>
    <row r="60" ht="14.25" customHeight="1" s="535">
      <c r="A60" s="1045" t="inlineStr">
        <is>
          <t>R0475</t>
        </is>
      </c>
      <c r="B60" s="929" t="str">
        <f>INDEX('REVIEW - Complete Role Mapping'!$B$2:$B$700,MATCH($A60,'REVIEW - Complete Role Mapping'!$AQ$2:$AQ$700,0))</f>
        <v>Jack Jenkins</v>
      </c>
      <c r="C60" s="929" t="str">
        <f>INDEX('REVIEW - Complete Role Mapping'!$D$2:$D$700,MATCH($A60,'REVIEW - Complete Role Mapping'!$AQ$2:$AQ$700,0))</f>
        <v>Asset Analyst</v>
      </c>
      <c r="D60" s="929" t="str">
        <f>INDEX('REVIEW - Complete Role Mapping'!$AF$2:$AF$700,MATCH($A60,'REVIEW - Complete Role Mapping'!$AQ$2:$AQ$700,0))</f>
        <v>Filled</v>
      </c>
      <c r="E60" s="543" t="inlineStr">
        <is>
          <t>Offshore</t>
        </is>
      </c>
      <c r="F60" s="1031">
        <f>INDEX('REVIEW - Complete Role Mapping'!$AE$2:$AE$700,MATCH($A60,'REVIEW - Complete Role Mapping'!$AQ$2:$AQ$700,0))</f>
        <v>139008.65</v>
      </c>
      <c r="G60" s="1031">
        <f>$F60*IF(ISNUMBER(SEARCH("WIPRO",INDEX('REVIEW - Complete Role Mapping'!$R$2:$R$700,MATCH($A60,'REVIEW - Complete Role Mapping'!$AQ$2:$AQ$700,0)))),1,IFERROR(INDEX(Lists!$AD$2:$AD$5,MATCH($E60,Lists!$AC$2:$AC$5,0)),NA()))*(1-N($H60))</f>
        <v>55603.46</v>
      </c>
      <c r="H60" s="1050" t="n">
        <v>0</v>
      </c>
      <c r="I60" s="1031">
        <f>$F60*IF(ISNUMBER(SEARCH("WIPRO",INDEX('REVIEW - Complete Role Mapping'!$R$2:$R$700,MATCH($A60,'REVIEW - Complete Role Mapping'!$AQ$2:$AQ$700,0)))),1,IFERROR(INDEX(Lists!$AD$2:$AD$5,MATCH($E60,Lists!$AC$2:$AC$5,0)),NA()))*N($H60)</f>
        <v>0</v>
      </c>
    </row>
    <row r="61" ht="14.25" customHeight="1" s="535">
      <c r="A61" s="1045" t="inlineStr">
        <is>
          <t>R0496</t>
        </is>
      </c>
      <c r="B61" s="929" t="str">
        <f>INDEX('REVIEW - Complete Role Mapping'!$B$2:$B$700,MATCH($A61,'REVIEW - Complete Role Mapping'!$AQ$2:$AQ$700,0))</f>
        <v>Daniel Jolley</v>
      </c>
      <c r="C61" s="929" t="str">
        <f>INDEX('REVIEW - Complete Role Mapping'!$D$2:$D$700,MATCH($A61,'REVIEW - Complete Role Mapping'!$AQ$2:$AQ$700,0))</f>
        <v>Tech Support Technician</v>
      </c>
      <c r="D61" s="929" t="str">
        <f>INDEX('REVIEW - Complete Role Mapping'!$AF$2:$AF$700,MATCH($A61,'REVIEW - Complete Role Mapping'!$AQ$2:$AQ$700,0))</f>
        <v>Filled</v>
      </c>
      <c r="E61" s="543" t="inlineStr">
        <is>
          <t>Filled</t>
        </is>
      </c>
      <c r="F61" s="1031">
        <f>INDEX('REVIEW - Complete Role Mapping'!$AE$2:$AE$700,MATCH($A61,'REVIEW - Complete Role Mapping'!$AQ$2:$AQ$700,0))</f>
        <v>115851.5</v>
      </c>
      <c r="G61" s="1031">
        <f>$F61*IF(ISNUMBER(SEARCH("WIPRO",INDEX('REVIEW - Complete Role Mapping'!$R$2:$R$700,MATCH($A61,'REVIEW - Complete Role Mapping'!$AQ$2:$AQ$700,0)))),1,IFERROR(INDEX(Lists!$AD$2:$AD$5,MATCH($E61,Lists!$AC$2:$AC$5,0)),NA()))*(1-N($H61))</f>
        <v>115851.5</v>
      </c>
      <c r="H61" s="1050" t="n">
        <v>0</v>
      </c>
      <c r="I61" s="1031">
        <f>$F61*IF(ISNUMBER(SEARCH("WIPRO",INDEX('REVIEW - Complete Role Mapping'!$R$2:$R$700,MATCH($A61,'REVIEW - Complete Role Mapping'!$AQ$2:$AQ$700,0)))),1,IFERROR(INDEX(Lists!$AD$2:$AD$5,MATCH($E61,Lists!$AC$2:$AC$5,0)),NA()))*N($H61)</f>
        <v>0</v>
      </c>
    </row>
    <row r="62" ht="14.25" customHeight="1" s="535">
      <c r="A62" s="1045" t="inlineStr">
        <is>
          <t>R0512</t>
        </is>
      </c>
      <c r="B62" s="929" t="str">
        <f>INDEX('REVIEW - Complete Role Mapping'!$B$2:$B$700,MATCH($A62,'REVIEW - Complete Role Mapping'!$AQ$2:$AQ$700,0))</f>
        <v>Kaaviya Salai Manimudian</v>
      </c>
      <c r="C62" s="929" t="str">
        <f>INDEX('REVIEW - Complete Role Mapping'!$D$2:$D$700,MATCH($A62,'REVIEW - Complete Role Mapping'!$AQ$2:$AQ$700,0))</f>
        <v>Graduate</v>
      </c>
      <c r="D62" s="929" t="str">
        <f>INDEX('REVIEW - Complete Role Mapping'!$AF$2:$AF$700,MATCH($A62,'REVIEW - Complete Role Mapping'!$AQ$2:$AQ$700,0))</f>
        <v>Filled</v>
      </c>
      <c r="E62" s="543" t="inlineStr">
        <is>
          <t>Filled</t>
        </is>
      </c>
      <c r="F62" s="1031">
        <f>INDEX('REVIEW - Complete Role Mapping'!$AE$2:$AE$700,MATCH($A62,'REVIEW - Complete Role Mapping'!$AQ$2:$AQ$700,0))</f>
        <v>110075</v>
      </c>
      <c r="G62" s="1031">
        <f>$F62*IF(ISNUMBER(SEARCH("WIPRO",INDEX('REVIEW - Complete Role Mapping'!$R$2:$R$700,MATCH($A62,'REVIEW - Complete Role Mapping'!$AQ$2:$AQ$700,0)))),1,IFERROR(INDEX(Lists!$AD$2:$AD$5,MATCH($E62,Lists!$AC$2:$AC$5,0)),NA()))*(1-N($H62))</f>
        <v>110075</v>
      </c>
      <c r="H62" s="1050" t="n">
        <v>0</v>
      </c>
      <c r="I62" s="1031">
        <f>$F62*IF(ISNUMBER(SEARCH("WIPRO",INDEX('REVIEW - Complete Role Mapping'!$R$2:$R$700,MATCH($A62,'REVIEW - Complete Role Mapping'!$AQ$2:$AQ$700,0)))),1,IFERROR(INDEX(Lists!$AD$2:$AD$5,MATCH($E62,Lists!$AC$2:$AC$5,0)),NA()))*N($H62)</f>
        <v>0</v>
      </c>
    </row>
    <row r="63" ht="14.25" customHeight="1" s="535">
      <c r="A63" s="1045" t="inlineStr">
        <is>
          <t>R0514</t>
        </is>
      </c>
      <c r="B63" s="929" t="str">
        <f>INDEX('REVIEW - Complete Role Mapping'!$B$2:$B$700,MATCH($A63,'REVIEW - Complete Role Mapping'!$AQ$2:$AQ$700,0))</f>
        <v>Ethan Lamhert (FT)</v>
      </c>
      <c r="C63" s="929" t="str">
        <f>INDEX('REVIEW - Complete Role Mapping'!$D$2:$D$700,MATCH($A63,'REVIEW - Complete Role Mapping'!$AQ$2:$AQ$700,0))</f>
        <v>Tech Support Technician</v>
      </c>
      <c r="D63" s="929" t="str">
        <f>INDEX('REVIEW - Complete Role Mapping'!$AF$2:$AF$700,MATCH($A63,'REVIEW - Complete Role Mapping'!$AQ$2:$AQ$700,0))</f>
        <v>Filled</v>
      </c>
      <c r="E63" s="543" t="inlineStr">
        <is>
          <t>Filled</t>
        </is>
      </c>
      <c r="F63" s="1031">
        <f>INDEX('REVIEW - Complete Role Mapping'!$AE$2:$AE$700,MATCH($A63,'REVIEW - Complete Role Mapping'!$AQ$2:$AQ$700,0))</f>
        <v>89758</v>
      </c>
      <c r="G63" s="1031">
        <f>$F63*IF(ISNUMBER(SEARCH("WIPRO",INDEX('REVIEW - Complete Role Mapping'!$R$2:$R$700,MATCH($A63,'REVIEW - Complete Role Mapping'!$AQ$2:$AQ$700,0)))),1,IFERROR(INDEX(Lists!$AD$2:$AD$5,MATCH($E63,Lists!$AC$2:$AC$5,0)),NA()))*(1-N($H63))</f>
        <v>89758</v>
      </c>
      <c r="H63" s="1050" t="n">
        <v>0</v>
      </c>
      <c r="I63" s="1031">
        <f>$F63*IF(ISNUMBER(SEARCH("WIPRO",INDEX('REVIEW - Complete Role Mapping'!$R$2:$R$700,MATCH($A63,'REVIEW - Complete Role Mapping'!$AQ$2:$AQ$700,0)))),1,IFERROR(INDEX(Lists!$AD$2:$AD$5,MATCH($E63,Lists!$AC$2:$AC$5,0)),NA()))*N($H63)</f>
        <v>0</v>
      </c>
    </row>
    <row r="64" ht="14.25" customHeight="1" s="535">
      <c r="A64" s="1045" t="inlineStr">
        <is>
          <t>R0515</t>
        </is>
      </c>
      <c r="B64" s="929" t="str">
        <f>INDEX('REVIEW - Complete Role Mapping'!$B$2:$B$700,MATCH($A64,'REVIEW - Complete Role Mapping'!$AQ$2:$AQ$700,0))</f>
        <v>Spoilagi Bhutwala</v>
      </c>
      <c r="C64" s="929" t="str">
        <f>INDEX('REVIEW - Complete Role Mapping'!$D$2:$D$700,MATCH($A64,'REVIEW - Complete Role Mapping'!$AQ$2:$AQ$700,0))</f>
        <v>Tech Support Technician</v>
      </c>
      <c r="D64" s="929" t="str">
        <f>INDEX('REVIEW - Complete Role Mapping'!$AF$2:$AF$700,MATCH($A64,'REVIEW - Complete Role Mapping'!$AQ$2:$AQ$700,0))</f>
        <v>Filled</v>
      </c>
      <c r="E64" s="543" t="inlineStr">
        <is>
          <t>Filled</t>
        </is>
      </c>
      <c r="F64" s="1031">
        <f>INDEX('REVIEW - Complete Role Mapping'!$AE$2:$AE$700,MATCH($A64,'REVIEW - Complete Role Mapping'!$AQ$2:$AQ$700,0))</f>
        <v>97237.784</v>
      </c>
      <c r="G64" s="1031">
        <f>$F64*IF(ISNUMBER(SEARCH("WIPRO",INDEX('REVIEW - Complete Role Mapping'!$R$2:$R$700,MATCH($A64,'REVIEW - Complete Role Mapping'!$AQ$2:$AQ$700,0)))),1,IFERROR(INDEX(Lists!$AD$2:$AD$5,MATCH($E64,Lists!$AC$2:$AC$5,0)),NA()))*(1-N($H64))</f>
        <v>97237.784</v>
      </c>
      <c r="H64" s="1050" t="n">
        <v>0</v>
      </c>
      <c r="I64" s="1031">
        <f>$F64*IF(ISNUMBER(SEARCH("WIPRO",INDEX('REVIEW - Complete Role Mapping'!$R$2:$R$700,MATCH($A64,'REVIEW - Complete Role Mapping'!$AQ$2:$AQ$700,0)))),1,IFERROR(INDEX(Lists!$AD$2:$AD$5,MATCH($E64,Lists!$AC$2:$AC$5,0)),NA()))*N($H64)</f>
        <v>0</v>
      </c>
    </row>
    <row r="65" ht="14.25" customHeight="1" s="535">
      <c r="A65" s="1045" t="inlineStr">
        <is>
          <t>R0516</t>
        </is>
      </c>
      <c r="B65" s="929" t="str">
        <f>INDEX('REVIEW - Complete Role Mapping'!$B$2:$B$700,MATCH($A65,'REVIEW - Complete Role Mapping'!$AQ$2:$AQ$700,0))</f>
        <v>Vacant (SYD)</v>
      </c>
      <c r="C65" s="929" t="str">
        <f>INDEX('REVIEW - Complete Role Mapping'!$D$2:$D$700,MATCH($A65,'REVIEW - Complete Role Mapping'!$AQ$2:$AQ$700,0))</f>
        <v>Tech Support Technician</v>
      </c>
      <c r="D65" s="929" t="str">
        <f>INDEX('REVIEW - Complete Role Mapping'!$AF$2:$AF$700,MATCH($A65,'REVIEW - Complete Role Mapping'!$AQ$2:$AQ$700,0))</f>
        <v>Vacant</v>
      </c>
      <c r="E65" s="543" t="inlineStr">
        <is>
          <t>Offshore</t>
        </is>
      </c>
      <c r="F65" s="1031">
        <f>INDEX('REVIEW - Complete Role Mapping'!$AE$2:$AE$700,MATCH($A65,'REVIEW - Complete Role Mapping'!$AQ$2:$AQ$700,0))</f>
        <v>122571.75</v>
      </c>
      <c r="G65" s="1031">
        <f>$F65*IF(ISNUMBER(SEARCH("WIPRO",INDEX('REVIEW - Complete Role Mapping'!$R$2:$R$700,MATCH($A65,'REVIEW - Complete Role Mapping'!$AQ$2:$AQ$700,0)))),1,IFERROR(INDEX(Lists!$AD$2:$AD$5,MATCH($E65,Lists!$AC$2:$AC$5,0)),NA()))*(1-N($H65))</f>
        <v>49028.7</v>
      </c>
      <c r="H65" s="1050" t="n">
        <v>0</v>
      </c>
      <c r="I65" s="1031">
        <f>$F65*IF(ISNUMBER(SEARCH("WIPRO",INDEX('REVIEW - Complete Role Mapping'!$R$2:$R$700,MATCH($A65,'REVIEW - Complete Role Mapping'!$AQ$2:$AQ$700,0)))),1,IFERROR(INDEX(Lists!$AD$2:$AD$5,MATCH($E65,Lists!$AC$2:$AC$5,0)),NA()))*N($H65)</f>
        <v>0</v>
      </c>
    </row>
    <row r="66"/>
    <row r="67" ht="14.25" customHeight="1" s="535">
      <c r="B67" s="1040" t="inlineStr">
        <is>
          <t>Vacancy levers on this tab, for the executive summary</t>
        </is>
      </c>
      <c r="J67" s="1046">
        <f>COUNTIFS($D$24:$D$65,"Vacant",$E$24:$E$65,"Hire")</f>
        <v>1</v>
      </c>
      <c r="K67" s="1046">
        <f>COUNTIFS($D$24:$D$65,"Vacant",$E$24:$E$65,"Offshore")</f>
        <v>3</v>
      </c>
      <c r="L67" s="1046">
        <f>COUNTIFS($D$24:$D$65,"Vacant",$E$24:$E$65,"Hold")</f>
        <v>0</v>
      </c>
      <c r="M67" s="1046">
        <f>COUNTIFS($D$24:$D$65,"Vacant",$E$24:$E$65,"Filled")</f>
        <v>0</v>
      </c>
      <c r="N67" s="1046">
        <f>COUNTIFS($D$24:$D$65,"Filled",$E$24:$E$65,"Offshore")</f>
        <v>9</v>
      </c>
    </row>
  </sheetData>
  <dataValidations count="2">
    <dataValidation sqref="E25:E29 E31:E32 E34:E38 E40:E43 E45:E65" showDropDown="0" showInputMessage="0" showErrorMessage="1" allowBlank="0" errorTitle="Invalid entry" error="Pick a value from the list" type="list" errorStyle="stop" operator="between">
      <formula1>"Filled,Hire,Hold,Offshore"</formula1>
      <formula2>0</formula2>
    </dataValidation>
    <dataValidation sqref="H25:H29 H31:H32 H34:H38 H40:H43 H45:H65" showDropDown="0" showInputMessage="0" showErrorMessage="1" allowBlank="0" errorTitle="Invalid entry" error="Pick a value from the list" type="list" errorStyle="stop" operator="between">
      <formula1>"0%,5%,10%,15%,20%,25%,30%,35%,40%,45%,50%,55%,60%,65%,70%,75%,80%,85%,90%,95%,100%"</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1"/>
  </sheetPr>
  <dimension ref="A1:T59"/>
  <sheetViews>
    <sheetView showFormulas="0" showGridLines="0" showRowColHeaders="1" showZeros="1" rightToLeft="0" tabSelected="0" showOutlineSymbols="1" defaultGridColor="1" view="normal" topLeftCell="A6" colorId="64" zoomScale="100" zoomScaleNormal="100" zoomScalePageLayoutView="100" workbookViewId="0">
      <selection pane="topLeft" activeCell="C46" activeCellId="0" sqref="C46"/>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COE BP&amp;T - working copy</t>
        </is>
      </c>
    </row>
    <row r="3" ht="14.25" customHeight="1" s="535">
      <c r="B3" s="709" t="inlineStr">
        <is>
          <t>Portfolio</t>
        </is>
      </c>
      <c r="C3" s="868" t="inlineStr">
        <is>
          <t>COE BP&amp;T</t>
        </is>
      </c>
    </row>
    <row r="4" ht="18.75" customHeight="1" s="535">
      <c r="B4" s="537" t="inlineStr">
        <is>
          <t>COE BP&amp;T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Commercial</t>
        </is>
      </c>
      <c r="C8" s="1047">
        <f>""</f>
        <v/>
      </c>
      <c r="D8" s="929">
        <f>""</f>
        <v/>
      </c>
      <c r="E8" s="1048">
        <f>""</f>
        <v/>
      </c>
      <c r="F8" s="1031">
        <f>COUNTIF($B$32:$B$35,"?*")</f>
        <v>4</v>
      </c>
      <c r="G8" s="1030">
        <f>ROUND(SUMIFS('REVIEW - Complete Role Mapping'!$P$2:$P$700,'REVIEW - Complete Role Mapping'!$AH$2:$AH$700,$C$3,'REVIEW - Complete Role Mapping'!$AL$2:$AL$700,$B8),2)</f>
        <v>4</v>
      </c>
      <c r="H8" s="1031">
        <f>COUNTIFS($D$32:$D$35,"Filled")</f>
        <v>3</v>
      </c>
      <c r="I8" s="1031">
        <f>COUNTIFS($D$32:$D$35,"Vacant")</f>
        <v>1</v>
      </c>
      <c r="J8" s="1031">
        <f>COUNTIFS($D$32:$D$35,"Vacant",$E$32:$E$35,"Hire")</f>
        <v>1</v>
      </c>
      <c r="K8" s="1031">
        <f>COUNTIFS($E$32:$E$35,"Offshore")</f>
        <v>0</v>
      </c>
      <c r="L8" s="1031">
        <f>COUNTIFS($E$32:$E$35,"Hold")</f>
        <v>0</v>
      </c>
      <c r="M8" s="1031">
        <f>$F8-$L8</f>
        <v>4</v>
      </c>
      <c r="N8" s="1048">
        <f>""</f>
        <v/>
      </c>
      <c r="O8" s="1032">
        <f>SUMIFS('REVIEW - Complete Role Mapping'!$AE$2:$AE$700,'REVIEW - Complete Role Mapping'!$AH$2:$AH$700,$C$3,'REVIEW - Complete Role Mapping'!$AL$2:$AL$700,$B8)/1000000</f>
        <v>0.979014192</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0.979014192</v>
      </c>
      <c r="R8" s="1048">
        <f>""</f>
        <v/>
      </c>
      <c r="S8" s="1032">
        <f>SUM($G$32:$G$35)/1000000</f>
        <v>0.979014192</v>
      </c>
      <c r="T8" s="1048">
        <f>""</f>
        <v/>
      </c>
    </row>
    <row r="9" ht="14.25" customHeight="1" s="535">
      <c r="B9" s="929" t="inlineStr">
        <is>
          <t>TDD Business Partner</t>
        </is>
      </c>
      <c r="C9" s="929">
        <f>""</f>
        <v/>
      </c>
      <c r="D9" s="929">
        <f>""</f>
        <v/>
      </c>
      <c r="E9" s="1048">
        <f>""</f>
        <v/>
      </c>
      <c r="F9" s="1031">
        <f>COUNTIF($B$37:$B$42,"?*")</f>
        <v>6</v>
      </c>
      <c r="G9" s="1030">
        <f>ROUND(SUMIFS('REVIEW - Complete Role Mapping'!$P$2:$P$700,'REVIEW - Complete Role Mapping'!$AH$2:$AH$700,$C$3,'REVIEW - Complete Role Mapping'!$AL$2:$AL$700,$B9),2)</f>
        <v>6</v>
      </c>
      <c r="H9" s="1031">
        <f>COUNTIFS($D$37:$D$42,"Filled")</f>
        <v>6</v>
      </c>
      <c r="I9" s="1031">
        <f>COUNTIFS($D$37:$D$42,"Vacant")</f>
        <v>0</v>
      </c>
      <c r="J9" s="1031">
        <f>COUNTIFS($D$37:$D$42,"Vacant",$E$37:$E$42,"Hire")</f>
        <v>0</v>
      </c>
      <c r="K9" s="1031">
        <f>COUNTIFS($E$37:$E$42,"Offshore")</f>
        <v>0</v>
      </c>
      <c r="L9" s="1031">
        <f>COUNTIFS($E$37:$E$42,"Hold")</f>
        <v>0</v>
      </c>
      <c r="M9" s="1031">
        <f>$F9-$L9</f>
        <v>6</v>
      </c>
      <c r="N9" s="1048">
        <f>""</f>
        <v/>
      </c>
      <c r="O9" s="1032">
        <f>SUMIFS('REVIEW - Complete Role Mapping'!$AE$2:$AE$700,'REVIEW - Complete Role Mapping'!$AH$2:$AH$700,$C$3,'REVIEW - Complete Role Mapping'!$AL$2:$AL$700,$B9)/1000000</f>
        <v>2.3135484</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2.3135484</v>
      </c>
      <c r="R9" s="1048">
        <f>""</f>
        <v/>
      </c>
      <c r="S9" s="1032">
        <f>SUM($G$37:$G$42)/1000000</f>
        <v>2.3135484</v>
      </c>
      <c r="T9" s="1048">
        <f>""</f>
        <v/>
      </c>
    </row>
    <row r="10" ht="14.25" customHeight="1" s="535">
      <c r="B10" s="929" t="inlineStr">
        <is>
          <t>Transformation</t>
        </is>
      </c>
      <c r="C10" s="929">
        <f>""</f>
        <v/>
      </c>
      <c r="D10" s="929">
        <f>""</f>
        <v/>
      </c>
      <c r="E10" s="1048">
        <f>""</f>
        <v/>
      </c>
      <c r="F10" s="1031">
        <f>COUNTIF($B$44:$B$57,"?*")</f>
        <v>14</v>
      </c>
      <c r="G10" s="1030">
        <f>ROUND(SUMIFS('REVIEW - Complete Role Mapping'!$P$2:$P$700,'REVIEW - Complete Role Mapping'!$AH$2:$AH$700,$C$3,'REVIEW - Complete Role Mapping'!$AL$2:$AL$700,$B10),2)</f>
        <v>14</v>
      </c>
      <c r="H10" s="1031">
        <f>COUNTIFS($D$44:$D$57,"Filled")</f>
        <v>7</v>
      </c>
      <c r="I10" s="1031">
        <f>COUNTIFS($D$44:$D$57,"Vacant")</f>
        <v>7</v>
      </c>
      <c r="J10" s="1031">
        <f>COUNTIFS($D$44:$D$57,"Vacant",$E$44:$E$57,"Hire")</f>
        <v>5</v>
      </c>
      <c r="K10" s="1031">
        <f>COUNTIFS($E$44:$E$57,"Offshore")</f>
        <v>2</v>
      </c>
      <c r="L10" s="1031">
        <f>COUNTIFS($E$44:$E$57,"Hold")</f>
        <v>0</v>
      </c>
      <c r="M10" s="1031">
        <f>$F10-$L10</f>
        <v>14</v>
      </c>
      <c r="N10" s="1048">
        <f>""</f>
        <v/>
      </c>
      <c r="O10" s="1032">
        <f>SUMIFS('REVIEW - Complete Role Mapping'!$AE$2:$AE$700,'REVIEW - Complete Role Mapping'!$AH$2:$AH$700,$C$3,'REVIEW - Complete Role Mapping'!$AL$2:$AL$700,$B10)/1000000</f>
        <v>3.10799923</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3.10799923</v>
      </c>
      <c r="R10" s="1048">
        <f>""</f>
        <v/>
      </c>
      <c r="S10" s="1032">
        <f>SUM($G$44:$G$57)/1000000</f>
        <v>2.88399343</v>
      </c>
      <c r="T10" s="1048">
        <f>""</f>
        <v/>
      </c>
    </row>
    <row r="11" ht="14.25" customHeight="1" s="535">
      <c r="B11" s="886" t="inlineStr">
        <is>
          <t>Total portfolio</t>
        </is>
      </c>
      <c r="C11" s="886" t="n"/>
      <c r="D11" s="886" t="n"/>
      <c r="E11" s="888">
        <f>SUM(E8:E10)</f>
        <v>0</v>
      </c>
      <c r="F11" s="1039">
        <f>SUM(F8:F10)</f>
        <v>24</v>
      </c>
      <c r="G11" s="888">
        <f>SUM(G8:G10)</f>
        <v>24</v>
      </c>
      <c r="H11" s="1039">
        <f>SUM(H8:H10)</f>
        <v>16</v>
      </c>
      <c r="I11" s="1039">
        <f>SUM(I8:I10)</f>
        <v>8</v>
      </c>
      <c r="J11" s="1039">
        <f>SUM(J8:J10)</f>
        <v>6</v>
      </c>
      <c r="K11" s="1039">
        <f>SUM(K8:K10)</f>
        <v>2</v>
      </c>
      <c r="L11" s="1039">
        <f>SUM(L8:L10)</f>
        <v>0</v>
      </c>
      <c r="M11" s="1039">
        <f>SUM(M8:M10)</f>
        <v>24</v>
      </c>
      <c r="N11" s="889">
        <f>IF(COUNT(N8:N10)=0,"",SUM(N8:N10))</f>
        <v/>
      </c>
      <c r="O11" s="889">
        <f>SUM(O8:O10)</f>
        <v>6.400561822</v>
      </c>
      <c r="P11" s="889">
        <f>SUM(P8:P10)</f>
        <v>0</v>
      </c>
      <c r="Q11" s="889">
        <f>SUM(Q8:Q10)</f>
        <v>6.400561822</v>
      </c>
      <c r="R11" s="889">
        <f>IF(ISNUMBER($N11),ROUND($O11-$N11,6),"")</f>
        <v/>
      </c>
      <c r="S11" s="889">
        <f>SUM(S8:S10)</f>
        <v>6.176556022</v>
      </c>
      <c r="T11" s="889">
        <f>IF(ISNUMBER($N11),ROUND($S11-$N11,6),"")</f>
        <v/>
      </c>
    </row>
    <row r="12"/>
    <row r="13"/>
    <row r="14" ht="18.75" customHeight="1" s="535">
      <c r="B14" s="1029" t="inlineStr">
        <is>
          <t>Funding</t>
        </is>
      </c>
      <c r="C14" s="1047" t="n"/>
    </row>
    <row r="15" ht="33.75" customHeight="1" s="535">
      <c r="B15" s="929" t="inlineStr">
        <is>
          <t>Portfolios funded (3.1 Archetype to Actuals)</t>
        </is>
      </c>
      <c r="C15" s="1049">
        <f>COUNTA(Lists!$AS$2:$AS$12)</f>
        <v>10</v>
      </c>
    </row>
    <row r="16" ht="14.25" customHeight="1" s="535">
      <c r="B16" s="929" t="inlineStr">
        <is>
          <t>Business Partner allocation per portfolio (FTE - 0.2 Data Config)</t>
        </is>
      </c>
      <c r="C16" s="1049">
        <f>'0.2 Data Config'!$M$7</f>
        <v>0.5</v>
      </c>
    </row>
    <row r="17" ht="14.25" customHeight="1" s="535">
      <c r="B17" s="929" t="inlineStr">
        <is>
          <t>Business Partner FTEs funded by portfolio overheads</t>
        </is>
      </c>
      <c r="C17" s="1049">
        <f>$C$15*$C$16</f>
        <v>5</v>
      </c>
    </row>
    <row r="18" ht="14.25" customHeight="1" s="535">
      <c r="B18" s="929" t="inlineStr">
        <is>
          <t>Business Partner funding from portfolio overheads ($m)</t>
        </is>
      </c>
      <c r="C18" s="1049">
        <f>COUNTA(Lists!$AS$2:$AS$12)*'0.2 Data Config'!$N$7</f>
        <v>2.2</v>
      </c>
    </row>
    <row r="19" ht="14.25" customHeight="1" s="535">
      <c r="B19" s="929" t="inlineStr">
        <is>
          <t>COE - Business Partnering allocation ($m) - 0.2 Data Config</t>
        </is>
      </c>
      <c r="C19" s="1049">
        <f>'0.2 Data Config'!$E$9</f>
        <v>2</v>
      </c>
    </row>
    <row r="20" ht="14.25" customHeight="1" s="535">
      <c r="B20" s="929" t="inlineStr">
        <is>
          <t>COE - Transformation allocation ($m) - 0.2 Data Config</t>
        </is>
      </c>
      <c r="C20" s="1049">
        <f>'0.2 Data Config'!$E$8</f>
        <v>2</v>
      </c>
    </row>
    <row r="21" ht="14.25" customHeight="1" s="535">
      <c r="B21" s="929" t="inlineStr">
        <is>
          <t>Total budget to draw down ($m)</t>
        </is>
      </c>
      <c r="C21" s="1049">
        <f>$C$19+$C$20</f>
        <v>4</v>
      </c>
    </row>
    <row r="22" ht="14.25" customHeight="1" s="535">
      <c r="B22" s="929" t="inlineStr">
        <is>
          <t>Business Partnering planned spend ($m)</t>
        </is>
      </c>
      <c r="C22" s="1049">
        <f>$S$8+$S$9+$C$26</f>
        <v>0.979014192</v>
      </c>
    </row>
    <row r="23" ht="14.25" customHeight="1" s="535">
      <c r="B23" s="929" t="inlineStr">
        <is>
          <t>Transformation planned spend ($m)</t>
        </is>
      </c>
      <c r="C23" s="1049">
        <f>$S$10</f>
        <v>2.88399343</v>
      </c>
    </row>
    <row r="24" ht="14.25" customHeight="1" s="535">
      <c r="B24" s="929" t="inlineStr">
        <is>
          <t>Total planned spend ($m)</t>
        </is>
      </c>
      <c r="C24" s="1049">
        <f>$C$22+$C$23</f>
        <v>3.863007622</v>
      </c>
    </row>
    <row r="25" ht="14.25" customHeight="1" s="535">
      <c r="B25" s="929" t="inlineStr">
        <is>
          <t>Over/(under) budget ($m)</t>
        </is>
      </c>
      <c r="C25" s="1049">
        <f>$C$24-$C$21</f>
        <v>-0.136992378</v>
      </c>
    </row>
    <row r="26" ht="14.25" customHeight="1" s="535">
      <c r="B26" s="929" t="inlineStr">
        <is>
          <t>Business Partner funding met by portfolio overheads, netted out of planned spend ($m)</t>
        </is>
      </c>
      <c r="C26" s="1049">
        <f>-$S$9</f>
        <v>-2.3135484</v>
      </c>
    </row>
    <row r="27" ht="14.25" customHeight="1" s="535">
      <c r="B27" s="929" t="inlineStr">
        <is>
          <t>Planned spend is net of the Business Partner cost met inside portfolio overheads, at the actual cost after levers; the COE draws down its own allocation only.</t>
        </is>
      </c>
      <c r="C27" s="1047" t="n"/>
    </row>
    <row r="28"/>
    <row r="29" ht="14.25" customHeight="1" s="535">
      <c r="B29" s="537" t="inlineStr">
        <is>
          <t>COE BP&amp;T FTE</t>
        </is>
      </c>
      <c r="C29" s="538" t="n"/>
      <c r="D29" s="538" t="n"/>
      <c r="E29" s="538" t="n"/>
      <c r="F29" s="538" t="n"/>
      <c r="G29" s="538" t="n"/>
      <c r="H29" s="929" t="inlineStr">
        <is>
          <t>Vacancy lever: Hire prices the role in full, Hold prices it at 0, Offshore at the Offshore rate set on 0.3 Squad Archetypes.</t>
        </is>
      </c>
    </row>
    <row r="30" ht="28.35" customHeight="1" s="535">
      <c r="A30" s="1040" t="inlineStr">
        <is>
          <t>ID</t>
        </is>
      </c>
      <c r="B30" s="877" t="inlineStr">
        <is>
          <t>Name</t>
        </is>
      </c>
      <c r="C30" s="877" t="inlineStr">
        <is>
          <t>Role</t>
        </is>
      </c>
      <c r="D30" s="877" t="inlineStr">
        <is>
          <t>Status</t>
        </is>
      </c>
      <c r="E30" s="877" t="inlineStr">
        <is>
          <t>Vacancy lever</t>
        </is>
      </c>
      <c r="F30" s="877" t="inlineStr">
        <is>
          <t>Role cost ($)</t>
        </is>
      </c>
      <c r="G30" s="877" t="inlineStr">
        <is>
          <t>Cost after lever ($)</t>
        </is>
      </c>
    </row>
    <row r="31" ht="14.25" customHeight="1" s="535">
      <c r="B31" s="1029" t="inlineStr">
        <is>
          <t>Commercial</t>
        </is>
      </c>
      <c r="C31" s="1029" t="str">
        <f>COUNTIF($B$32:$B$35,"?*")&amp;IF(COUNTIF($B$32:$B$35,"?*")=1," role"," roles")</f>
        <v>4 roles</v>
      </c>
      <c r="D31" s="1029" t="n"/>
      <c r="E31" s="1029" t="n"/>
      <c r="F31" s="1044">
        <f>SUM(F32:F35)</f>
        <v>979014.192</v>
      </c>
      <c r="G31" s="1044">
        <f>SUM(G32:G35)</f>
        <v>979014.192</v>
      </c>
    </row>
    <row r="32" ht="14.25" customHeight="1" s="535">
      <c r="A32" s="1045" t="inlineStr">
        <is>
          <t>R0042</t>
        </is>
      </c>
      <c r="B32" s="929" t="str">
        <f>INDEX('REVIEW - Complete Role Mapping'!$B$2:$B$700,MATCH($A32,'REVIEW - Complete Role Mapping'!$AQ$2:$AQ$700,0))</f>
        <v>Vacant</v>
      </c>
      <c r="C32" s="929" t="str">
        <f>INDEX('REVIEW - Complete Role Mapping'!$D$2:$D$700,MATCH($A32,'REVIEW - Complete Role Mapping'!$AQ$2:$AQ$700,0))</f>
        <v>Commercial Director</v>
      </c>
      <c r="D32" s="929" t="str">
        <f>INDEX('REVIEW - Complete Role Mapping'!$AF$2:$AF$700,MATCH($A32,'REVIEW - Complete Role Mapping'!$AQ$2:$AQ$700,0))</f>
        <v>Vacant</v>
      </c>
      <c r="E32" s="543" t="inlineStr">
        <is>
          <t>Hire</t>
        </is>
      </c>
      <c r="F32" s="1031">
        <f>INDEX('REVIEW - Complete Role Mapping'!$AE$2:$AE$700,MATCH($A32,'REVIEW - Complete Role Mapping'!$AQ$2:$AQ$700,0))</f>
        <v>439500</v>
      </c>
      <c r="G32" s="1031">
        <f>$F32*IF(ISNUMBER(SEARCH("WIPRO",INDEX('REVIEW - Complete Role Mapping'!$R$2:$R$700,MATCH($A32,'REVIEW - Complete Role Mapping'!$AQ$2:$AQ$700,0)))),1,IFERROR(INDEX(Lists!$AD$2:$AD$5,MATCH($E32,Lists!$AC$2:$AC$5,0)),NA()))</f>
        <v>439500</v>
      </c>
    </row>
    <row r="33" ht="14.25" customHeight="1" s="535">
      <c r="A33" s="1045" t="inlineStr">
        <is>
          <t>R0367</t>
        </is>
      </c>
      <c r="B33" s="929" t="str">
        <f>INDEX('REVIEW - Complete Role Mapping'!$B$2:$B$700,MATCH($A33,'REVIEW - Complete Role Mapping'!$AQ$2:$AQ$700,0))</f>
        <v>Briony Scott</v>
      </c>
      <c r="C33" s="929" t="str">
        <f>INDEX('REVIEW - Complete Role Mapping'!$D$2:$D$700,MATCH($A33,'REVIEW - Complete Role Mapping'!$AQ$2:$AQ$700,0))</f>
        <v>Service &amp; Contract Specialist AU</v>
      </c>
      <c r="D33" s="929" t="str">
        <f>INDEX('REVIEW - Complete Role Mapping'!$AF$2:$AF$700,MATCH($A33,'REVIEW - Complete Role Mapping'!$AQ$2:$AQ$700,0))</f>
        <v>Filled</v>
      </c>
      <c r="E33" s="543" t="inlineStr">
        <is>
          <t>Filled</t>
        </is>
      </c>
      <c r="F33" s="1031">
        <f>INDEX('REVIEW - Complete Role Mapping'!$AE$2:$AE$700,MATCH($A33,'REVIEW - Complete Role Mapping'!$AQ$2:$AQ$700,0))</f>
        <v>205056</v>
      </c>
      <c r="G33" s="1031">
        <f>$F33*IF(ISNUMBER(SEARCH("WIPRO",INDEX('REVIEW - Complete Role Mapping'!$R$2:$R$700,MATCH($A33,'REVIEW - Complete Role Mapping'!$AQ$2:$AQ$700,0)))),1,IFERROR(INDEX(Lists!$AD$2:$AD$5,MATCH($E33,Lists!$AC$2:$AC$5,0)),NA()))</f>
        <v>205056</v>
      </c>
    </row>
    <row r="34" ht="14.25" customHeight="1" s="535">
      <c r="A34" s="1045" t="inlineStr">
        <is>
          <t>R0368</t>
        </is>
      </c>
      <c r="B34" s="929" t="str">
        <f>INDEX('REVIEW - Complete Role Mapping'!$B$2:$B$700,MATCH($A34,'REVIEW - Complete Role Mapping'!$AQ$2:$AQ$700,0))</f>
        <v>Jane Esclandra</v>
      </c>
      <c r="C34" s="929" t="str">
        <f>INDEX('REVIEW - Complete Role Mapping'!$D$2:$D$700,MATCH($A34,'REVIEW - Complete Role Mapping'!$AQ$2:$AQ$700,0))</f>
        <v>Software Asset Specialist</v>
      </c>
      <c r="D34" s="929" t="str">
        <f>INDEX('REVIEW - Complete Role Mapping'!$AF$2:$AF$700,MATCH($A34,'REVIEW - Complete Role Mapping'!$AQ$2:$AQ$700,0))</f>
        <v>Filled</v>
      </c>
      <c r="E34" s="543" t="inlineStr">
        <is>
          <t>Filled</t>
        </is>
      </c>
      <c r="F34" s="1031">
        <f>INDEX('REVIEW - Complete Role Mapping'!$AE$2:$AE$700,MATCH($A34,'REVIEW - Complete Role Mapping'!$AQ$2:$AQ$700,0))</f>
        <v>183455.7</v>
      </c>
      <c r="G34" s="1031">
        <f>$F34*IF(ISNUMBER(SEARCH("WIPRO",INDEX('REVIEW - Complete Role Mapping'!$R$2:$R$700,MATCH($A34,'REVIEW - Complete Role Mapping'!$AQ$2:$AQ$700,0)))),1,IFERROR(INDEX(Lists!$AD$2:$AD$5,MATCH($E34,Lists!$AC$2:$AC$5,0)),NA()))</f>
        <v>183455.7</v>
      </c>
    </row>
    <row r="35" ht="14.25" customHeight="1" s="535">
      <c r="A35" s="1045" t="inlineStr">
        <is>
          <t>R0469</t>
        </is>
      </c>
      <c r="B35" s="929" t="str">
        <f>INDEX('REVIEW - Complete Role Mapping'!$B$2:$B$700,MATCH($A35,'REVIEW - Complete Role Mapping'!$AQ$2:$AQ$700,0))</f>
        <v>Helen Ngu</v>
      </c>
      <c r="C35" s="929" t="str">
        <f>INDEX('REVIEW - Complete Role Mapping'!$D$2:$D$700,MATCH($A35,'REVIEW - Complete Role Mapping'!$AQ$2:$AQ$700,0))</f>
        <v>Service &amp; Contract Specialist NZ</v>
      </c>
      <c r="D35" s="929" t="str">
        <f>INDEX('REVIEW - Complete Role Mapping'!$AF$2:$AF$700,MATCH($A35,'REVIEW - Complete Role Mapping'!$AQ$2:$AQ$700,0))</f>
        <v>Filled</v>
      </c>
      <c r="E35" s="543" t="inlineStr">
        <is>
          <t>Filled</t>
        </is>
      </c>
      <c r="F35" s="1031">
        <f>INDEX('REVIEW - Complete Role Mapping'!$AE$2:$AE$700,MATCH($A35,'REVIEW - Complete Role Mapping'!$AQ$2:$AQ$700,0))</f>
        <v>151002.492</v>
      </c>
      <c r="G35" s="1031">
        <f>$F35*IF(ISNUMBER(SEARCH("WIPRO",INDEX('REVIEW - Complete Role Mapping'!$R$2:$R$700,MATCH($A35,'REVIEW - Complete Role Mapping'!$AQ$2:$AQ$700,0)))),1,IFERROR(INDEX(Lists!$AD$2:$AD$5,MATCH($E35,Lists!$AC$2:$AC$5,0)),NA()))</f>
        <v>151002.492</v>
      </c>
    </row>
    <row r="36" ht="14.25" customHeight="1" s="535">
      <c r="B36" s="1029" t="inlineStr">
        <is>
          <t>TDD Business Partner</t>
        </is>
      </c>
      <c r="C36" s="1029" t="str">
        <f>COUNTIF($B$37:$B$42,"?*")&amp;IF(COUNTIF($B$37:$B$42,"?*")=1," role"," roles")</f>
        <v>6 roles</v>
      </c>
      <c r="D36" s="1029" t="n"/>
      <c r="E36" s="1029" t="n"/>
      <c r="F36" s="1044">
        <f>SUM(F37:F42)</f>
        <v>2313548.4</v>
      </c>
      <c r="G36" s="1044">
        <f>SUM(G37:G42)</f>
        <v>2313548.4</v>
      </c>
    </row>
    <row r="37" ht="14.25" customHeight="1" s="535">
      <c r="A37" s="1045" t="inlineStr">
        <is>
          <t>R0056</t>
        </is>
      </c>
      <c r="B37" s="929" t="str">
        <f>INDEX('REVIEW - Complete Role Mapping'!$B$2:$B$700,MATCH($A37,'REVIEW - Complete Role Mapping'!$AQ$2:$AQ$700,0))</f>
        <v>Conli Mills</v>
      </c>
      <c r="C37" s="929" t="str">
        <f>INDEX('REVIEW - Complete Role Mapping'!$D$2:$D$700,MATCH($A37,'REVIEW - Complete Role Mapping'!$AQ$2:$AQ$700,0))</f>
        <v>TDD BP - Infrastructure</v>
      </c>
      <c r="D37" s="929" t="str">
        <f>INDEX('REVIEW - Complete Role Mapping'!$AF$2:$AF$700,MATCH($A37,'REVIEW - Complete Role Mapping'!$AQ$2:$AQ$700,0))</f>
        <v>Filled</v>
      </c>
      <c r="E37" s="543" t="inlineStr">
        <is>
          <t>Filled</t>
        </is>
      </c>
      <c r="F37" s="1031">
        <f>INDEX('REVIEW - Complete Role Mapping'!$AE$2:$AE$700,MATCH($A37,'REVIEW - Complete Role Mapping'!$AQ$2:$AQ$700,0))</f>
        <v>297150</v>
      </c>
      <c r="G37" s="1031">
        <f>$F37*IF(ISNUMBER(SEARCH("WIPRO",INDEX('REVIEW - Complete Role Mapping'!$R$2:$R$700,MATCH($A37,'REVIEW - Complete Role Mapping'!$AQ$2:$AQ$700,0)))),1,IFERROR(INDEX(Lists!$AD$2:$AD$5,MATCH($E37,Lists!$AC$2:$AC$5,0)),NA()))</f>
        <v>297150</v>
      </c>
    </row>
    <row r="38" ht="14.25" customHeight="1" s="535">
      <c r="A38" s="1045" t="inlineStr">
        <is>
          <t>R0057</t>
        </is>
      </c>
      <c r="B38" s="929" t="str">
        <f>INDEX('REVIEW - Complete Role Mapping'!$B$2:$B$700,MATCH($A38,'REVIEW - Complete Role Mapping'!$AQ$2:$AQ$700,0))</f>
        <v>Neil Reilly</v>
      </c>
      <c r="C38" s="929" t="str">
        <f>INDEX('REVIEW - Complete Role Mapping'!$D$2:$D$700,MATCH($A38,'REVIEW - Complete Role Mapping'!$AQ$2:$AQ$700,0))</f>
        <v>TDD BP - T&amp;S</v>
      </c>
      <c r="D38" s="929" t="str">
        <f>INDEX('REVIEW - Complete Role Mapping'!$AF$2:$AF$700,MATCH($A38,'REVIEW - Complete Role Mapping'!$AQ$2:$AQ$700,0))</f>
        <v>Filled</v>
      </c>
      <c r="E38" s="543" t="inlineStr">
        <is>
          <t>Filled</t>
        </is>
      </c>
      <c r="F38" s="1031">
        <f>INDEX('REVIEW - Complete Role Mapping'!$AE$2:$AE$700,MATCH($A38,'REVIEW - Complete Role Mapping'!$AQ$2:$AQ$700,0))</f>
        <v>666087.5</v>
      </c>
      <c r="G38" s="1031">
        <f>$F38*IF(ISNUMBER(SEARCH("WIPRO",INDEX('REVIEW - Complete Role Mapping'!$R$2:$R$700,MATCH($A38,'REVIEW - Complete Role Mapping'!$AQ$2:$AQ$700,0)))),1,IFERROR(INDEX(Lists!$AD$2:$AD$5,MATCH($E38,Lists!$AC$2:$AC$5,0)),NA()))</f>
        <v>666087.5</v>
      </c>
    </row>
    <row r="39" ht="14.25" customHeight="1" s="535">
      <c r="A39" s="1045" t="inlineStr">
        <is>
          <t>R0058</t>
        </is>
      </c>
      <c r="B39" s="929" t="str">
        <f>INDEX('REVIEW - Complete Role Mapping'!$B$2:$B$700,MATCH($A39,'REVIEW - Complete Role Mapping'!$AQ$2:$AQ$700,0))</f>
        <v>Shelley Crawford</v>
      </c>
      <c r="C39" s="929" t="str">
        <f>INDEX('REVIEW - Complete Role Mapping'!$D$2:$D$700,MATCH($A39,'REVIEW - Complete Role Mapping'!$AQ$2:$AQ$700,0))</f>
        <v>TDD BP - Z</v>
      </c>
      <c r="D39" s="929" t="str">
        <f>INDEX('REVIEW - Complete Role Mapping'!$AF$2:$AF$700,MATCH($A39,'REVIEW - Complete Role Mapping'!$AQ$2:$AQ$700,0))</f>
        <v>Filled</v>
      </c>
      <c r="E39" s="543" t="inlineStr">
        <is>
          <t>Filled</t>
        </is>
      </c>
      <c r="F39" s="1031">
        <f>INDEX('REVIEW - Complete Role Mapping'!$AE$2:$AE$700,MATCH($A39,'REVIEW - Complete Role Mapping'!$AQ$2:$AQ$700,0))</f>
        <v>291422</v>
      </c>
      <c r="G39" s="1031">
        <f>$F39*IF(ISNUMBER(SEARCH("WIPRO",INDEX('REVIEW - Complete Role Mapping'!$R$2:$R$700,MATCH($A39,'REVIEW - Complete Role Mapping'!$AQ$2:$AQ$700,0)))),1,IFERROR(INDEX(Lists!$AD$2:$AD$5,MATCH($E39,Lists!$AC$2:$AC$5,0)),NA()))</f>
        <v>291422</v>
      </c>
    </row>
    <row r="40" ht="14.25" customHeight="1" s="535">
      <c r="A40" s="1045" t="inlineStr">
        <is>
          <t>R0059</t>
        </is>
      </c>
      <c r="B40" s="929" t="str">
        <f>INDEX('REVIEW - Complete Role Mapping'!$B$2:$B$700,MATCH($A40,'REVIEW - Complete Role Mapping'!$AQ$2:$AQ$700,0))</f>
        <v>Thomas Reid</v>
      </c>
      <c r="C40" s="929" t="str">
        <f>INDEX('REVIEW - Complete Role Mapping'!$D$2:$D$700,MATCH($A40,'REVIEW - Complete Role Mapping'!$AQ$2:$AQ$700,0))</f>
        <v>TDD BP - Retail &amp; Customer - Store Digital</v>
      </c>
      <c r="D40" s="929" t="str">
        <f>INDEX('REVIEW - Complete Role Mapping'!$AF$2:$AF$700,MATCH($A40,'REVIEW - Complete Role Mapping'!$AQ$2:$AQ$700,0))</f>
        <v>Filled</v>
      </c>
      <c r="E40" s="543" t="inlineStr">
        <is>
          <t>Filled</t>
        </is>
      </c>
      <c r="F40" s="1031">
        <f>INDEX('REVIEW - Complete Role Mapping'!$AE$2:$AE$700,MATCH($A40,'REVIEW - Complete Role Mapping'!$AQ$2:$AQ$700,0))</f>
        <v>417425</v>
      </c>
      <c r="G40" s="1031">
        <f>$F40*IF(ISNUMBER(SEARCH("WIPRO",INDEX('REVIEW - Complete Role Mapping'!$R$2:$R$700,MATCH($A40,'REVIEW - Complete Role Mapping'!$AQ$2:$AQ$700,0)))),1,IFERROR(INDEX(Lists!$AD$2:$AD$5,MATCH($E40,Lists!$AC$2:$AC$5,0)),NA()))</f>
        <v>417425</v>
      </c>
    </row>
    <row r="41" ht="14.25" customHeight="1" s="535">
      <c r="A41" s="1045" t="inlineStr">
        <is>
          <t>R0060</t>
        </is>
      </c>
      <c r="B41" s="929" t="str">
        <f>INDEX('REVIEW - Complete Role Mapping'!$B$2:$B$700,MATCH($A41,'REVIEW - Complete Role Mapping'!$AQ$2:$AQ$700,0))</f>
        <v>Vaughn Scott</v>
      </c>
      <c r="C41" s="929" t="str">
        <f>INDEX('REVIEW - Complete Role Mapping'!$D$2:$D$700,MATCH($A41,'REVIEW - Complete Role Mapping'!$AQ$2:$AQ$700,0))</f>
        <v>TDD BP - ES</v>
      </c>
      <c r="D41" s="929" t="str">
        <f>INDEX('REVIEW - Complete Role Mapping'!$AF$2:$AF$700,MATCH($A41,'REVIEW - Complete Role Mapping'!$AQ$2:$AQ$700,0))</f>
        <v>Filled</v>
      </c>
      <c r="E41" s="543" t="inlineStr">
        <is>
          <t>Filled</t>
        </is>
      </c>
      <c r="F41" s="1031">
        <f>INDEX('REVIEW - Complete Role Mapping'!$AE$2:$AE$700,MATCH($A41,'REVIEW - Complete Role Mapping'!$AQ$2:$AQ$700,0))</f>
        <v>343363.9</v>
      </c>
      <c r="G41" s="1031">
        <f>$F41*IF(ISNUMBER(SEARCH("WIPRO",INDEX('REVIEW - Complete Role Mapping'!$R$2:$R$700,MATCH($A41,'REVIEW - Complete Role Mapping'!$AQ$2:$AQ$700,0)))),1,IFERROR(INDEX(Lists!$AD$2:$AD$5,MATCH($E41,Lists!$AC$2:$AC$5,0)),NA()))</f>
        <v>343363.9</v>
      </c>
    </row>
    <row r="42" ht="14.25" customHeight="1" s="535">
      <c r="A42" s="1045" t="inlineStr">
        <is>
          <t>R0096</t>
        </is>
      </c>
      <c r="B42" s="929" t="str">
        <f>INDEX('REVIEW - Complete Role Mapping'!$B$2:$B$700,MATCH($A42,'REVIEW - Complete Role Mapping'!$AQ$2:$AQ$700,0))</f>
        <v>Malcolm Deare</v>
      </c>
      <c r="C42" s="929" t="str">
        <f>INDEX('REVIEW - Complete Role Mapping'!$D$2:$D$700,MATCH($A42,'REVIEW - Complete Role Mapping'!$AQ$2:$AQ$700,0))</f>
        <v>TDD BP, Group Functions</v>
      </c>
      <c r="D42" s="929" t="str">
        <f>INDEX('REVIEW - Complete Role Mapping'!$AF$2:$AF$700,MATCH($A42,'REVIEW - Complete Role Mapping'!$AQ$2:$AQ$700,0))</f>
        <v>Filled</v>
      </c>
      <c r="E42" s="543" t="inlineStr">
        <is>
          <t>Filled</t>
        </is>
      </c>
      <c r="F42" s="1031">
        <f>INDEX('REVIEW - Complete Role Mapping'!$AE$2:$AE$700,MATCH($A42,'REVIEW - Complete Role Mapping'!$AQ$2:$AQ$700,0))</f>
        <v>298100</v>
      </c>
      <c r="G42" s="1031">
        <f>$F42*IF(ISNUMBER(SEARCH("WIPRO",INDEX('REVIEW - Complete Role Mapping'!$R$2:$R$700,MATCH($A42,'REVIEW - Complete Role Mapping'!$AQ$2:$AQ$700,0)))),1,IFERROR(INDEX(Lists!$AD$2:$AD$5,MATCH($E42,Lists!$AC$2:$AC$5,0)),NA()))</f>
        <v>298100</v>
      </c>
    </row>
    <row r="43" ht="14.25" customHeight="1" s="535">
      <c r="B43" s="1029" t="inlineStr">
        <is>
          <t>Transformation</t>
        </is>
      </c>
      <c r="C43" s="1029" t="str">
        <f>COUNTIF($B$44:$B$57,"?*")&amp;IF(COUNTIF($B$44:$B$57,"?*")=1," role"," roles")</f>
        <v>14 roles</v>
      </c>
      <c r="D43" s="1029" t="n"/>
      <c r="E43" s="1029" t="n"/>
      <c r="F43" s="1044">
        <f>SUM(F44:F57)</f>
        <v>3107999.23</v>
      </c>
      <c r="G43" s="1044">
        <f>SUM(G44:G57)</f>
        <v>2883993.43</v>
      </c>
    </row>
    <row r="44" ht="14.25" customHeight="1" s="535">
      <c r="A44" s="1045" t="inlineStr">
        <is>
          <t>R0061</t>
        </is>
      </c>
      <c r="B44" s="929" t="str">
        <f>INDEX('REVIEW - Complete Role Mapping'!$B$2:$B$700,MATCH($A44,'REVIEW - Complete Role Mapping'!$AQ$2:$AQ$700,0))</f>
        <v>Sarsha Tanner</v>
      </c>
      <c r="C44" s="929" t="str">
        <f>INDEX('REVIEW - Complete Role Mapping'!$D$2:$D$700,MATCH($A44,'REVIEW - Complete Role Mapping'!$AQ$2:$AQ$700,0))</f>
        <v>Head of Transformation</v>
      </c>
      <c r="D44" s="929" t="str">
        <f>INDEX('REVIEW - Complete Role Mapping'!$AF$2:$AF$700,MATCH($A44,'REVIEW - Complete Role Mapping'!$AQ$2:$AQ$700,0))</f>
        <v>Filled</v>
      </c>
      <c r="E44" s="543" t="inlineStr">
        <is>
          <t>Filled</t>
        </is>
      </c>
      <c r="F44" s="1031">
        <f>INDEX('REVIEW - Complete Role Mapping'!$AE$2:$AE$700,MATCH($A44,'REVIEW - Complete Role Mapping'!$AQ$2:$AQ$700,0))</f>
        <v>367900</v>
      </c>
      <c r="G44" s="1031">
        <f>$F44*IF(ISNUMBER(SEARCH("WIPRO",INDEX('REVIEW - Complete Role Mapping'!$R$2:$R$700,MATCH($A44,'REVIEW - Complete Role Mapping'!$AQ$2:$AQ$700,0)))),1,IFERROR(INDEX(Lists!$AD$2:$AD$5,MATCH($E44,Lists!$AC$2:$AC$5,0)),NA()))</f>
        <v>367900</v>
      </c>
    </row>
    <row r="45" ht="14.25" customHeight="1" s="535">
      <c r="A45" s="1045" t="inlineStr">
        <is>
          <t>R0109</t>
        </is>
      </c>
      <c r="B45" s="929" t="str">
        <f>INDEX('REVIEW - Complete Role Mapping'!$B$2:$B$700,MATCH($A45,'REVIEW - Complete Role Mapping'!$AQ$2:$AQ$700,0))</f>
        <v>Vacant</v>
      </c>
      <c r="C45" s="929" t="str">
        <f>INDEX('REVIEW - Complete Role Mapping'!$D$2:$D$700,MATCH($A45,'REVIEW - Complete Role Mapping'!$AQ$2:$AQ$700,0))</f>
        <v>Delivery Excellence Manager</v>
      </c>
      <c r="D45" s="929" t="str">
        <f>INDEX('REVIEW - Complete Role Mapping'!$AF$2:$AF$700,MATCH($A45,'REVIEW - Complete Role Mapping'!$AQ$2:$AQ$700,0))</f>
        <v>Vacant</v>
      </c>
      <c r="E45" s="543" t="inlineStr">
        <is>
          <t>Hire</t>
        </is>
      </c>
      <c r="F45" s="1031">
        <f>INDEX('REVIEW - Complete Role Mapping'!$AE$2:$AE$700,MATCH($A45,'REVIEW - Complete Role Mapping'!$AQ$2:$AQ$700,0))</f>
        <v>275810.25</v>
      </c>
      <c r="G45" s="1031">
        <f>$F45*IF(ISNUMBER(SEARCH("WIPRO",INDEX('REVIEW - Complete Role Mapping'!$R$2:$R$700,MATCH($A45,'REVIEW - Complete Role Mapping'!$AQ$2:$AQ$700,0)))),1,IFERROR(INDEX(Lists!$AD$2:$AD$5,MATCH($E45,Lists!$AC$2:$AC$5,0)),NA()))</f>
        <v>275810.25</v>
      </c>
    </row>
    <row r="46" ht="14.25" customHeight="1" s="535">
      <c r="A46" s="1045" t="inlineStr">
        <is>
          <t>R0118</t>
        </is>
      </c>
      <c r="B46" s="929" t="str">
        <f>INDEX('REVIEW - Complete Role Mapping'!$B$2:$B$700,MATCH($A46,'REVIEW - Complete Role Mapping'!$AQ$2:$AQ$700,0))</f>
        <v>Vacant</v>
      </c>
      <c r="C46" s="929" t="str">
        <f>INDEX('REVIEW - Complete Role Mapping'!$D$2:$D$700,MATCH($A46,'REVIEW - Complete Role Mapping'!$AQ$2:$AQ$700,0))</f>
        <v>Delivery Assurance Manager</v>
      </c>
      <c r="D46" s="929" t="str">
        <f>INDEX('REVIEW - Complete Role Mapping'!$AF$2:$AF$700,MATCH($A46,'REVIEW - Complete Role Mapping'!$AQ$2:$AQ$700,0))</f>
        <v>Vacant</v>
      </c>
      <c r="E46" s="543" t="inlineStr">
        <is>
          <t>Hire</t>
        </is>
      </c>
      <c r="F46" s="1031">
        <f>INDEX('REVIEW - Complete Role Mapping'!$AE$2:$AE$700,MATCH($A46,'REVIEW - Complete Role Mapping'!$AQ$2:$AQ$700,0))</f>
        <v>275810.25</v>
      </c>
      <c r="G46" s="1031">
        <f>$F46*IF(ISNUMBER(SEARCH("WIPRO",INDEX('REVIEW - Complete Role Mapping'!$R$2:$R$700,MATCH($A46,'REVIEW - Complete Role Mapping'!$AQ$2:$AQ$700,0)))),1,IFERROR(INDEX(Lists!$AD$2:$AD$5,MATCH($E46,Lists!$AC$2:$AC$5,0)),NA()))</f>
        <v>275810.25</v>
      </c>
    </row>
    <row r="47" ht="14.25" customHeight="1" s="535">
      <c r="A47" s="1045" t="inlineStr">
        <is>
          <t>R0119</t>
        </is>
      </c>
      <c r="B47" s="929" t="str">
        <f>INDEX('REVIEW - Complete Role Mapping'!$B$2:$B$700,MATCH($A47,'REVIEW - Complete Role Mapping'!$AQ$2:$AQ$700,0))</f>
        <v>Ruth Chou</v>
      </c>
      <c r="C47" s="929" t="str">
        <f>INDEX('REVIEW - Complete Role Mapping'!$D$2:$D$700,MATCH($A47,'REVIEW - Complete Role Mapping'!$AQ$2:$AQ$700,0))</f>
        <v>Portfolio Reporting Manager</v>
      </c>
      <c r="D47" s="929" t="str">
        <f>INDEX('REVIEW - Complete Role Mapping'!$AF$2:$AF$700,MATCH($A47,'REVIEW - Complete Role Mapping'!$AQ$2:$AQ$700,0))</f>
        <v>Filled</v>
      </c>
      <c r="E47" s="543" t="inlineStr">
        <is>
          <t>Filled</t>
        </is>
      </c>
      <c r="F47" s="1031">
        <f>INDEX('REVIEW - Complete Role Mapping'!$AE$2:$AE$700,MATCH($A47,'REVIEW - Complete Role Mapping'!$AQ$2:$AQ$700,0))</f>
        <v>293316.85</v>
      </c>
      <c r="G47" s="1031">
        <f>$F47*IF(ISNUMBER(SEARCH("WIPRO",INDEX('REVIEW - Complete Role Mapping'!$R$2:$R$700,MATCH($A47,'REVIEW - Complete Role Mapping'!$AQ$2:$AQ$700,0)))),1,IFERROR(INDEX(Lists!$AD$2:$AD$5,MATCH($E47,Lists!$AC$2:$AC$5,0)),NA()))</f>
        <v>293316.85</v>
      </c>
    </row>
    <row r="48" ht="14.25" customHeight="1" s="535">
      <c r="A48" s="1045" t="inlineStr">
        <is>
          <t>R0214</t>
        </is>
      </c>
      <c r="B48" s="929" t="str">
        <f>INDEX('REVIEW - Complete Role Mapping'!$B$2:$B$700,MATCH($A48,'REVIEW - Complete Role Mapping'!$AQ$2:$AQ$700,0))</f>
        <v>Vacant</v>
      </c>
      <c r="C48" s="929" t="str">
        <f>INDEX('REVIEW - Complete Role Mapping'!$D$2:$D$700,MATCH($A48,'REVIEW - Complete Role Mapping'!$AQ$2:$AQ$700,0))</f>
        <v>Business Analysis Practice Lead</v>
      </c>
      <c r="D48" s="929" t="str">
        <f>INDEX('REVIEW - Complete Role Mapping'!$AF$2:$AF$700,MATCH($A48,'REVIEW - Complete Role Mapping'!$AQ$2:$AQ$700,0))</f>
        <v>Vacant</v>
      </c>
      <c r="E48" s="543" t="inlineStr">
        <is>
          <t>Hire</t>
        </is>
      </c>
      <c r="F48" s="1031">
        <f>INDEX('REVIEW - Complete Role Mapping'!$AE$2:$AE$700,MATCH($A48,'REVIEW - Complete Role Mapping'!$AQ$2:$AQ$700,0))</f>
        <v>231689.25</v>
      </c>
      <c r="G48" s="1031">
        <f>$F48*IF(ISNUMBER(SEARCH("WIPRO",INDEX('REVIEW - Complete Role Mapping'!$R$2:$R$700,MATCH($A48,'REVIEW - Complete Role Mapping'!$AQ$2:$AQ$700,0)))),1,IFERROR(INDEX(Lists!$AD$2:$AD$5,MATCH($E48,Lists!$AC$2:$AC$5,0)),NA()))</f>
        <v>231689.25</v>
      </c>
    </row>
    <row r="49" ht="14.25" customHeight="1" s="535">
      <c r="A49" s="1045" t="inlineStr">
        <is>
          <t>R0241</t>
        </is>
      </c>
      <c r="B49" s="929" t="str">
        <f>INDEX('REVIEW - Complete Role Mapping'!$B$2:$B$700,MATCH($A49,'REVIEW - Complete Role Mapping'!$AQ$2:$AQ$700,0))</f>
        <v>Sam Chan</v>
      </c>
      <c r="C49" s="929" t="str">
        <f>INDEX('REVIEW - Complete Role Mapping'!$D$2:$D$700,MATCH($A49,'REVIEW - Complete Role Mapping'!$AQ$2:$AQ$700,0))</f>
        <v>FinOps Manager</v>
      </c>
      <c r="D49" s="929" t="str">
        <f>INDEX('REVIEW - Complete Role Mapping'!$AF$2:$AF$700,MATCH($A49,'REVIEW - Complete Role Mapping'!$AQ$2:$AQ$700,0))</f>
        <v>Filled</v>
      </c>
      <c r="E49" s="543" t="inlineStr">
        <is>
          <t>Filled</t>
        </is>
      </c>
      <c r="F49" s="1031">
        <f>INDEX('REVIEW - Complete Role Mapping'!$AE$2:$AE$700,MATCH($A49,'REVIEW - Complete Role Mapping'!$AQ$2:$AQ$700,0))</f>
        <v>225788.55</v>
      </c>
      <c r="G49" s="1031">
        <f>$F49*IF(ISNUMBER(SEARCH("WIPRO",INDEX('REVIEW - Complete Role Mapping'!$R$2:$R$700,MATCH($A49,'REVIEW - Complete Role Mapping'!$AQ$2:$AQ$700,0)))),1,IFERROR(INDEX(Lists!$AD$2:$AD$5,MATCH($E49,Lists!$AC$2:$AC$5,0)),NA()))</f>
        <v>225788.55</v>
      </c>
    </row>
    <row r="50" ht="14.25" customHeight="1" s="535">
      <c r="A50" s="1045" t="inlineStr">
        <is>
          <t>R0254</t>
        </is>
      </c>
      <c r="B50" s="929" t="str">
        <f>INDEX('REVIEW - Complete Role Mapping'!$B$2:$B$700,MATCH($A50,'REVIEW - Complete Role Mapping'!$AQ$2:$AQ$700,0))</f>
        <v>Vacant</v>
      </c>
      <c r="C50" s="929" t="str">
        <f>INDEX('REVIEW - Complete Role Mapping'!$D$2:$D$700,MATCH($A50,'REVIEW - Complete Role Mapping'!$AQ$2:$AQ$700,0))</f>
        <v>Delivery Capacity &amp; Assurance Lead</v>
      </c>
      <c r="D50" s="929" t="str">
        <f>INDEX('REVIEW - Complete Role Mapping'!$AF$2:$AF$700,MATCH($A50,'REVIEW - Complete Role Mapping'!$AQ$2:$AQ$700,0))</f>
        <v>Vacant</v>
      </c>
      <c r="E50" s="543" t="inlineStr">
        <is>
          <t>Hire</t>
        </is>
      </c>
      <c r="F50" s="1031">
        <f>INDEX('REVIEW - Complete Role Mapping'!$AE$2:$AE$700,MATCH($A50,'REVIEW - Complete Role Mapping'!$AQ$2:$AQ$700,0))</f>
        <v>231689.25</v>
      </c>
      <c r="G50" s="1031">
        <f>$F50*IF(ISNUMBER(SEARCH("WIPRO",INDEX('REVIEW - Complete Role Mapping'!$R$2:$R$700,MATCH($A50,'REVIEW - Complete Role Mapping'!$AQ$2:$AQ$700,0)))),1,IFERROR(INDEX(Lists!$AD$2:$AD$5,MATCH($E50,Lists!$AC$2:$AC$5,0)),NA()))</f>
        <v>231689.25</v>
      </c>
    </row>
    <row r="51" ht="14.25" customHeight="1" s="535">
      <c r="A51" s="1045" t="inlineStr">
        <is>
          <t>R0341</t>
        </is>
      </c>
      <c r="B51" s="929" t="str">
        <f>INDEX('REVIEW - Complete Role Mapping'!$B$2:$B$700,MATCH($A51,'REVIEW - Complete Role Mapping'!$AQ$2:$AQ$700,0))</f>
        <v>Vacant</v>
      </c>
      <c r="C51" s="929" t="str">
        <f>INDEX('REVIEW - Complete Role Mapping'!$D$2:$D$700,MATCH($A51,'REVIEW - Complete Role Mapping'!$AQ$2:$AQ$700,0))</f>
        <v>Delivery Systems Analyst</v>
      </c>
      <c r="D51" s="929" t="str">
        <f>INDEX('REVIEW - Complete Role Mapping'!$AF$2:$AF$700,MATCH($A51,'REVIEW - Complete Role Mapping'!$AQ$2:$AQ$700,0))</f>
        <v>Vacant</v>
      </c>
      <c r="E51" s="543" t="inlineStr">
        <is>
          <t>Offshore</t>
        </is>
      </c>
      <c r="F51" s="1031">
        <f>INDEX('REVIEW - Complete Role Mapping'!$AE$2:$AE$700,MATCH($A51,'REVIEW - Complete Role Mapping'!$AQ$2:$AQ$700,0))</f>
        <v>202853.25</v>
      </c>
      <c r="G51" s="1031">
        <f>$F51*IF(ISNUMBER(SEARCH("WIPRO",INDEX('REVIEW - Complete Role Mapping'!$R$2:$R$700,MATCH($A51,'REVIEW - Complete Role Mapping'!$AQ$2:$AQ$700,0)))),1,IFERROR(INDEX(Lists!$AD$2:$AD$5,MATCH($E51,Lists!$AC$2:$AC$5,0)),NA()))</f>
        <v>81141.3</v>
      </c>
    </row>
    <row r="52" ht="14.25" customHeight="1" s="535">
      <c r="A52" s="1045" t="inlineStr">
        <is>
          <t>R0346</t>
        </is>
      </c>
      <c r="B52" s="929" t="str">
        <f>INDEX('REVIEW - Complete Role Mapping'!$B$2:$B$700,MATCH($A52,'REVIEW - Complete Role Mapping'!$AQ$2:$AQ$700,0))</f>
        <v>Jenny Chan</v>
      </c>
      <c r="C52" s="929" t="str">
        <f>INDEX('REVIEW - Complete Role Mapping'!$D$2:$D$700,MATCH($A52,'REVIEW - Complete Role Mapping'!$AQ$2:$AQ$700,0))</f>
        <v>Project Finance Lead</v>
      </c>
      <c r="D52" s="929" t="str">
        <f>INDEX('REVIEW - Complete Role Mapping'!$AF$2:$AF$700,MATCH($A52,'REVIEW - Complete Role Mapping'!$AQ$2:$AQ$700,0))</f>
        <v>Filled</v>
      </c>
      <c r="E52" s="543" t="inlineStr">
        <is>
          <t>Filled</t>
        </is>
      </c>
      <c r="F52" s="1031">
        <f>INDEX('REVIEW - Complete Role Mapping'!$AE$2:$AE$700,MATCH($A52,'REVIEW - Complete Role Mapping'!$AQ$2:$AQ$700,0))</f>
        <v>206124</v>
      </c>
      <c r="G52" s="1031">
        <f>$F52*IF(ISNUMBER(SEARCH("WIPRO",INDEX('REVIEW - Complete Role Mapping'!$R$2:$R$700,MATCH($A52,'REVIEW - Complete Role Mapping'!$AQ$2:$AQ$700,0)))),1,IFERROR(INDEX(Lists!$AD$2:$AD$5,MATCH($E52,Lists!$AC$2:$AC$5,0)),NA()))</f>
        <v>206124</v>
      </c>
    </row>
    <row r="53" ht="14.25" customHeight="1" s="535">
      <c r="A53" s="1045" t="inlineStr">
        <is>
          <t>R0463</t>
        </is>
      </c>
      <c r="B53" s="929" t="str">
        <f>INDEX('REVIEW - Complete Role Mapping'!$B$2:$B$700,MATCH($A53,'REVIEW - Complete Role Mapping'!$AQ$2:$AQ$700,0))</f>
        <v>Vacant </v>
      </c>
      <c r="C53" s="929" t="str">
        <f>INDEX('REVIEW - Complete Role Mapping'!$D$2:$D$700,MATCH($A53,'REVIEW - Complete Role Mapping'!$AQ$2:$AQ$700,0))</f>
        <v>Portfolio Analyst</v>
      </c>
      <c r="D53" s="929" t="str">
        <f>INDEX('REVIEW - Complete Role Mapping'!$AF$2:$AF$700,MATCH($A53,'REVIEW - Complete Role Mapping'!$AQ$2:$AQ$700,0))</f>
        <v>Vacant</v>
      </c>
      <c r="E53" s="543" t="inlineStr">
        <is>
          <t>Offshore</t>
        </is>
      </c>
      <c r="F53" s="1031">
        <f>INDEX('REVIEW - Complete Role Mapping'!$AE$2:$AE$700,MATCH($A53,'REVIEW - Complete Role Mapping'!$AQ$2:$AQ$700,0))</f>
        <v>170489.75</v>
      </c>
      <c r="G53" s="1031">
        <f>$F53*IF(ISNUMBER(SEARCH("WIPRO",INDEX('REVIEW - Complete Role Mapping'!$R$2:$R$700,MATCH($A53,'REVIEW - Complete Role Mapping'!$AQ$2:$AQ$700,0)))),1,IFERROR(INDEX(Lists!$AD$2:$AD$5,MATCH($E53,Lists!$AC$2:$AC$5,0)),NA()))</f>
        <v>68195.9</v>
      </c>
    </row>
    <row r="54" ht="14.25" customHeight="1" s="535">
      <c r="A54" s="1045" t="inlineStr">
        <is>
          <t>R0464</t>
        </is>
      </c>
      <c r="B54" s="929" t="str">
        <f>INDEX('REVIEW - Complete Role Mapping'!$B$2:$B$700,MATCH($A54,'REVIEW - Complete Role Mapping'!$AQ$2:$AQ$700,0))</f>
        <v>Maria Somera</v>
      </c>
      <c r="C54" s="929" t="str">
        <f>INDEX('REVIEW - Complete Role Mapping'!$D$2:$D$700,MATCH($A54,'REVIEW - Complete Role Mapping'!$AQ$2:$AQ$700,0))</f>
        <v>Technology Finance Analyst</v>
      </c>
      <c r="D54" s="929" t="str">
        <f>INDEX('REVIEW - Complete Role Mapping'!$AF$2:$AF$700,MATCH($A54,'REVIEW - Complete Role Mapping'!$AQ$2:$AQ$700,0))</f>
        <v>Filled</v>
      </c>
      <c r="E54" s="543" t="inlineStr">
        <is>
          <t>Filled</t>
        </is>
      </c>
      <c r="F54" s="1031">
        <f>INDEX('REVIEW - Complete Role Mapping'!$AE$2:$AE$700,MATCH($A54,'REVIEW - Complete Role Mapping'!$AQ$2:$AQ$700,0))</f>
        <v>179313.4</v>
      </c>
      <c r="G54" s="1031">
        <f>$F54*IF(ISNUMBER(SEARCH("WIPRO",INDEX('REVIEW - Complete Role Mapping'!$R$2:$R$700,MATCH($A54,'REVIEW - Complete Role Mapping'!$AQ$2:$AQ$700,0)))),1,IFERROR(INDEX(Lists!$AD$2:$AD$5,MATCH($E54,Lists!$AC$2:$AC$5,0)),NA()))</f>
        <v>179313.4</v>
      </c>
    </row>
    <row r="55" ht="14.25" customHeight="1" s="535">
      <c r="A55" s="1045" t="inlineStr">
        <is>
          <t>R0480</t>
        </is>
      </c>
      <c r="B55" s="929" t="str">
        <f>INDEX('REVIEW - Complete Role Mapping'!$B$2:$B$700,MATCH($A55,'REVIEW - Complete Role Mapping'!$AQ$2:$AQ$700,0))</f>
        <v>Matt Saunders</v>
      </c>
      <c r="C55" s="929" t="str">
        <f>INDEX('REVIEW - Complete Role Mapping'!$D$2:$D$700,MATCH($A55,'REVIEW - Complete Role Mapping'!$AQ$2:$AQ$700,0))</f>
        <v>Scrum Master</v>
      </c>
      <c r="D55" s="929" t="str">
        <f>INDEX('REVIEW - Complete Role Mapping'!$AF$2:$AF$700,MATCH($A55,'REVIEW - Complete Role Mapping'!$AQ$2:$AQ$700,0))</f>
        <v>Filled</v>
      </c>
      <c r="E55" s="543" t="inlineStr">
        <is>
          <t>Filled</t>
        </is>
      </c>
      <c r="F55" s="1031">
        <f>INDEX('REVIEW - Complete Role Mapping'!$AE$2:$AE$700,MATCH($A55,'REVIEW - Complete Role Mapping'!$AQ$2:$AQ$700,0))</f>
        <v>147754.8</v>
      </c>
      <c r="G55" s="1031">
        <f>$F55*IF(ISNUMBER(SEARCH("WIPRO",INDEX('REVIEW - Complete Role Mapping'!$R$2:$R$700,MATCH($A55,'REVIEW - Complete Role Mapping'!$AQ$2:$AQ$700,0)))),1,IFERROR(INDEX(Lists!$AD$2:$AD$5,MATCH($E55,Lists!$AC$2:$AC$5,0)),NA()))</f>
        <v>147754.8</v>
      </c>
    </row>
    <row r="56" ht="14.25" customHeight="1" s="535">
      <c r="A56" s="1045" t="inlineStr">
        <is>
          <t>R0481</t>
        </is>
      </c>
      <c r="B56" s="929" t="str">
        <f>INDEX('REVIEW - Complete Role Mapping'!$B$2:$B$700,MATCH($A56,'REVIEW - Complete Role Mapping'!$AQ$2:$AQ$700,0))</f>
        <v>Vacant</v>
      </c>
      <c r="C56" s="929" t="str">
        <f>INDEX('REVIEW - Complete Role Mapping'!$D$2:$D$700,MATCH($A56,'REVIEW - Complete Role Mapping'!$AQ$2:$AQ$700,0))</f>
        <v>Scrum Master</v>
      </c>
      <c r="D56" s="929" t="str">
        <f>INDEX('REVIEW - Complete Role Mapping'!$AF$2:$AF$700,MATCH($A56,'REVIEW - Complete Role Mapping'!$AQ$2:$AQ$700,0))</f>
        <v>Vacant</v>
      </c>
      <c r="E56" s="543" t="inlineStr">
        <is>
          <t>Hire</t>
        </is>
      </c>
      <c r="F56" s="1031">
        <f>INDEX('REVIEW - Complete Role Mapping'!$AE$2:$AE$700,MATCH($A56,'REVIEW - Complete Role Mapping'!$AQ$2:$AQ$700,0))</f>
        <v>151771.98</v>
      </c>
      <c r="G56" s="1031">
        <f>$F56*IF(ISNUMBER(SEARCH("WIPRO",INDEX('REVIEW - Complete Role Mapping'!$R$2:$R$700,MATCH($A56,'REVIEW - Complete Role Mapping'!$AQ$2:$AQ$700,0)))),1,IFERROR(INDEX(Lists!$AD$2:$AD$5,MATCH($E56,Lists!$AC$2:$AC$5,0)),NA()))</f>
        <v>151771.98</v>
      </c>
    </row>
    <row r="57" ht="14.25" customHeight="1" s="535">
      <c r="A57" s="1045" t="inlineStr">
        <is>
          <t>R0498</t>
        </is>
      </c>
      <c r="B57" s="929" t="str">
        <f>INDEX('REVIEW - Complete Role Mapping'!$B$2:$B$700,MATCH($A57,'REVIEW - Complete Role Mapping'!$AQ$2:$AQ$700,0))</f>
        <v>Jeannie Chu</v>
      </c>
      <c r="C57" s="929" t="str">
        <f>INDEX('REVIEW - Complete Role Mapping'!$D$2:$D$700,MATCH($A57,'REVIEW - Complete Role Mapping'!$AQ$2:$AQ$700,0))</f>
        <v>Snr Finance Support Administrator</v>
      </c>
      <c r="D57" s="929" t="str">
        <f>INDEX('REVIEW - Complete Role Mapping'!$AF$2:$AF$700,MATCH($A57,'REVIEW - Complete Role Mapping'!$AQ$2:$AQ$700,0))</f>
        <v>Filled</v>
      </c>
      <c r="E57" s="543" t="inlineStr">
        <is>
          <t>Filled</t>
        </is>
      </c>
      <c r="F57" s="1031">
        <f>INDEX('REVIEW - Complete Role Mapping'!$AE$2:$AE$700,MATCH($A57,'REVIEW - Complete Role Mapping'!$AQ$2:$AQ$700,0))</f>
        <v>147687.65</v>
      </c>
      <c r="G57" s="1031">
        <f>$F57*IF(ISNUMBER(SEARCH("WIPRO",INDEX('REVIEW - Complete Role Mapping'!$R$2:$R$700,MATCH($A57,'REVIEW - Complete Role Mapping'!$AQ$2:$AQ$700,0)))),1,IFERROR(INDEX(Lists!$AD$2:$AD$5,MATCH($E57,Lists!$AC$2:$AC$5,0)),NA()))</f>
        <v>147687.65</v>
      </c>
    </row>
    <row r="58"/>
    <row r="59" ht="14.25" customHeight="1" s="535">
      <c r="B59" s="1040" t="inlineStr">
        <is>
          <t>Vacancy levers on this tab, for the executive summary</t>
        </is>
      </c>
      <c r="J59" s="1046">
        <f>COUNTIFS($D$31:$D$57,"Vacant",$E$31:$E$57,"Hire")</f>
        <v>6</v>
      </c>
      <c r="K59" s="1046">
        <f>COUNTIFS($D$31:$D$57,"Vacant",$E$31:$E$57,"Offshore")</f>
        <v>2</v>
      </c>
      <c r="L59" s="1046">
        <f>COUNTIFS($D$31:$D$57,"Vacant",$E$31:$E$57,"Hold")</f>
        <v>0</v>
      </c>
      <c r="M59" s="1046">
        <f>COUNTIFS($D$31:$D$57,"Vacant",$E$31:$E$57,"Filled")</f>
        <v>0</v>
      </c>
      <c r="N59" s="1046">
        <f>COUNTIFS($D$31:$D$57,"Filled",$E$31:$E$57,"Offshore")</f>
        <v>0</v>
      </c>
    </row>
  </sheetData>
  <dataValidations count="1">
    <dataValidation sqref="E32:E35 E37:E42 E44:E57"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1"/>
  </sheetPr>
  <dimension ref="A1:T62"/>
  <sheetViews>
    <sheetView showFormulas="0" showGridLines="0" showRowColHeaders="1" showZeros="1" rightToLeft="0" tabSelected="0" showOutlineSymbols="1" defaultGridColor="1" view="normal" topLeftCell="A10" colorId="64" zoomScale="100" zoomScaleNormal="100" zoomScalePageLayoutView="100" workbookViewId="0">
      <selection pane="topLeft" activeCell="H29" activeCellId="0" sqref="H29"/>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COE SA&amp;D - working copy</t>
        </is>
      </c>
    </row>
    <row r="3" ht="14.25" customHeight="1" s="535">
      <c r="B3" s="709" t="inlineStr">
        <is>
          <t>Portfolio</t>
        </is>
      </c>
      <c r="C3" s="868" t="inlineStr">
        <is>
          <t>COE SA&amp;D</t>
        </is>
      </c>
    </row>
    <row r="4" ht="18.75" customHeight="1" s="535">
      <c r="B4" s="537" t="inlineStr">
        <is>
          <t>COE SA&amp;D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Architecture</t>
        </is>
      </c>
      <c r="C8" s="1047">
        <f>""</f>
        <v/>
      </c>
      <c r="D8" s="929">
        <f>""</f>
        <v/>
      </c>
      <c r="E8" s="1048">
        <f>""</f>
        <v/>
      </c>
      <c r="F8" s="1031">
        <f>COUNTIF($B$34:$B$40,"?*")</f>
        <v>7</v>
      </c>
      <c r="G8" s="1030">
        <f>ROUND(SUMIFS('REVIEW - Complete Role Mapping'!$P$2:$P$700,'REVIEW - Complete Role Mapping'!$AH$2:$AH$700,$C$3,'REVIEW - Complete Role Mapping'!$AL$2:$AL$700,$B8),2)</f>
        <v>7</v>
      </c>
      <c r="H8" s="1031">
        <f>COUNTIFS($D$34:$D$40,"Filled")</f>
        <v>3</v>
      </c>
      <c r="I8" s="1031">
        <f>COUNTIFS($D$34:$D$40,"Vacant")</f>
        <v>4</v>
      </c>
      <c r="J8" s="1031">
        <f>COUNTIFS($D$34:$D$40,"Vacant",$E$34:$E$40,"Hire")</f>
        <v>3</v>
      </c>
      <c r="K8" s="1031">
        <f>COUNTIFS($E$34:$E$40,"Offshore")</f>
        <v>0</v>
      </c>
      <c r="L8" s="1031">
        <f>COUNTIFS($E$34:$E$40,"Hold")</f>
        <v>1</v>
      </c>
      <c r="M8" s="1031">
        <f>$F8-$L8</f>
        <v>6</v>
      </c>
      <c r="N8" s="1048">
        <f>""</f>
        <v/>
      </c>
      <c r="O8" s="1032">
        <f>SUMIFS('REVIEW - Complete Role Mapping'!$AE$2:$AE$700,'REVIEW - Complete Role Mapping'!$AH$2:$AH$700,$C$3,'REVIEW - Complete Role Mapping'!$AL$2:$AL$700,$B8)/1000000</f>
        <v>1.664746536</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1.664746536</v>
      </c>
      <c r="R8" s="1048">
        <f>""</f>
        <v/>
      </c>
      <c r="S8" s="1032">
        <f>SUM($G$34:$G$40)/1000000</f>
        <v>1.388936286</v>
      </c>
      <c r="T8" s="1048">
        <f>""</f>
        <v/>
      </c>
    </row>
    <row r="9" ht="14.25" customHeight="1" s="535">
      <c r="B9" s="929" t="inlineStr">
        <is>
          <t>Data Platforms</t>
        </is>
      </c>
      <c r="C9" s="929">
        <f>""</f>
        <v/>
      </c>
      <c r="D9" s="929">
        <f>""</f>
        <v/>
      </c>
      <c r="E9" s="1048">
        <f>""</f>
        <v/>
      </c>
      <c r="F9" s="1031">
        <f>COUNTIF($B$42:$B$42,"?*")</f>
        <v>1</v>
      </c>
      <c r="G9" s="1030">
        <f>ROUND(SUMIFS('REVIEW - Complete Role Mapping'!$P$2:$P$700,'REVIEW - Complete Role Mapping'!$AH$2:$AH$700,$C$3,'REVIEW - Complete Role Mapping'!$AL$2:$AL$700,$B9),2)</f>
        <v>1</v>
      </c>
      <c r="H9" s="1031">
        <f>COUNTIFS($D$42:$D$42,"Filled")</f>
        <v>1</v>
      </c>
      <c r="I9" s="1031">
        <f>COUNTIFS($D$42:$D$42,"Vacant")</f>
        <v>0</v>
      </c>
      <c r="J9" s="1031">
        <f>COUNTIFS($D$42:$D$42,"Vacant",$E$42:$E$42,"Hire")</f>
        <v>0</v>
      </c>
      <c r="K9" s="1031">
        <f>COUNTIFS($E$42:$E$42,"Offshore")</f>
        <v>0</v>
      </c>
      <c r="L9" s="1031">
        <f>COUNTIFS($E$42:$E$42,"Hold")</f>
        <v>0</v>
      </c>
      <c r="M9" s="1031">
        <f>$F9-$L9</f>
        <v>1</v>
      </c>
      <c r="N9" s="1048">
        <f>""</f>
        <v/>
      </c>
      <c r="O9" s="1032">
        <f>SUMIFS('REVIEW - Complete Role Mapping'!$AE$2:$AE$700,'REVIEW - Complete Role Mapping'!$AH$2:$AH$700,$C$3,'REVIEW - Complete Role Mapping'!$AL$2:$AL$700,$B9)/1000000</f>
        <v>0.2655849</v>
      </c>
      <c r="P9" s="1032">
        <f>IFERROR(IF(ISNUMBER(INDEX(Lists!$AW$2:$AW$10,MATCH($B9,Lists!$AU$2:$AU$10,0))),INDEX(Lists!$AW$2:$AW$10,MATCH($B9,Lists!$AU$2:$AU$10,0)),SUMIFS('REVIEW - Complete Role Mapping'!$AE$2:$AE$700,'REVIEW - Complete Role Mapping'!$AH$2:$AH$700,$C$3,'REVIEW - Complete Role Mapping'!$AL$2:$AL$700,$B9,'REVIEW - Complete Role Mapping'!$AM$2:$AM$700,1)/1000000),SUMIFS('REVIEW - Complete Role Mapping'!$AE$2:$AE$700,'REVIEW - Complete Role Mapping'!$AH$2:$AH$700,$C$3,'REVIEW - Complete Role Mapping'!$AL$2:$AL$700,$B9,'REVIEW - Complete Role Mapping'!$AM$2:$AM$700,1)/1000000)</f>
        <v>0</v>
      </c>
      <c r="Q9" s="1032">
        <f>$O9-$P9</f>
        <v>0.2655849</v>
      </c>
      <c r="R9" s="1048">
        <f>""</f>
        <v/>
      </c>
      <c r="S9" s="1032">
        <f>SUM($G$42:$G$42)/1000000</f>
        <v>0.2655849</v>
      </c>
      <c r="T9" s="1048">
        <f>""</f>
        <v/>
      </c>
    </row>
    <row r="10" ht="14.25" customHeight="1" s="535">
      <c r="B10" s="929" t="inlineStr">
        <is>
          <t>Group Data</t>
        </is>
      </c>
      <c r="C10" s="929">
        <f>""</f>
        <v/>
      </c>
      <c r="D10" s="929">
        <f>""</f>
        <v/>
      </c>
      <c r="E10" s="1048">
        <f>""</f>
        <v/>
      </c>
      <c r="F10" s="1031">
        <f>COUNTIF($B$44:$B$49,"?*")</f>
        <v>6</v>
      </c>
      <c r="G10" s="1030">
        <f>ROUND(SUMIFS('REVIEW - Complete Role Mapping'!$P$2:$P$700,'REVIEW - Complete Role Mapping'!$AH$2:$AH$700,$C$3,'REVIEW - Complete Role Mapping'!$AL$2:$AL$700,$B10),2)</f>
        <v>6</v>
      </c>
      <c r="H10" s="1031">
        <f>COUNTIFS($D$44:$D$49,"Filled")</f>
        <v>5</v>
      </c>
      <c r="I10" s="1031">
        <f>COUNTIFS($D$44:$D$49,"Vacant")</f>
        <v>1</v>
      </c>
      <c r="J10" s="1031">
        <f>COUNTIFS($D$44:$D$49,"Vacant",$E$44:$E$49,"Hire")</f>
        <v>0</v>
      </c>
      <c r="K10" s="1031">
        <f>COUNTIFS($E$44:$E$49,"Offshore")</f>
        <v>0</v>
      </c>
      <c r="L10" s="1031">
        <f>COUNTIFS($E$44:$E$49,"Hold")</f>
        <v>1</v>
      </c>
      <c r="M10" s="1031">
        <f>$F10-$L10</f>
        <v>5</v>
      </c>
      <c r="N10" s="1048">
        <f>""</f>
        <v/>
      </c>
      <c r="O10" s="1032">
        <f>SUMIFS('REVIEW - Complete Role Mapping'!$AE$2:$AE$700,'REVIEW - Complete Role Mapping'!$AH$2:$AH$700,$C$3,'REVIEW - Complete Role Mapping'!$AL$2:$AL$700,$B10)/1000000</f>
        <v>1.557396016</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0</v>
      </c>
      <c r="Q10" s="1032">
        <f>$O10-$P10</f>
        <v>1.557396016</v>
      </c>
      <c r="R10" s="1048">
        <f>""</f>
        <v/>
      </c>
      <c r="S10" s="1032">
        <f>SUM($G$44:$G$49)/1000000</f>
        <v>1.167789916</v>
      </c>
      <c r="T10" s="1048">
        <f>""</f>
        <v/>
      </c>
    </row>
    <row r="11" ht="14.25" customHeight="1" s="535">
      <c r="B11" s="929" t="inlineStr">
        <is>
          <t>Leadership</t>
        </is>
      </c>
      <c r="C11" s="929">
        <f>""</f>
        <v/>
      </c>
      <c r="D11" s="929">
        <f>""</f>
        <v/>
      </c>
      <c r="E11" s="1048">
        <f>""</f>
        <v/>
      </c>
      <c r="F11" s="1031">
        <f>COUNTIF($B$51:$B$54,"?*")</f>
        <v>4</v>
      </c>
      <c r="G11" s="1030">
        <f>ROUND(SUMIFS('REVIEW - Complete Role Mapping'!$P$2:$P$700,'REVIEW - Complete Role Mapping'!$AH$2:$AH$700,$C$3,'REVIEW - Complete Role Mapping'!$AL$2:$AL$700,$B11),2)</f>
        <v>4</v>
      </c>
      <c r="H11" s="1031">
        <f>COUNTIFS($D$51:$D$54,"Filled")</f>
        <v>1</v>
      </c>
      <c r="I11" s="1031">
        <f>COUNTIFS($D$51:$D$54,"Vacant")</f>
        <v>3</v>
      </c>
      <c r="J11" s="1031">
        <f>COUNTIFS($D$51:$D$54,"Vacant",$E$51:$E$54,"Hire")</f>
        <v>2</v>
      </c>
      <c r="K11" s="1031">
        <f>COUNTIFS($E$51:$E$54,"Offshore")</f>
        <v>0</v>
      </c>
      <c r="L11" s="1031">
        <f>COUNTIFS($E$51:$E$54,"Hold")</f>
        <v>0</v>
      </c>
      <c r="M11" s="1031">
        <f>$F11-$L11</f>
        <v>4</v>
      </c>
      <c r="N11" s="1048">
        <f>""</f>
        <v/>
      </c>
      <c r="O11" s="1032">
        <f>SUMIFS('REVIEW - Complete Role Mapping'!$AE$2:$AE$700,'REVIEW - Complete Role Mapping'!$AH$2:$AH$700,$C$3,'REVIEW - Complete Role Mapping'!$AL$2:$AL$700,$B11)/1000000</f>
        <v>1.2239818</v>
      </c>
      <c r="P11" s="1032">
        <f>IFERROR(IF(ISNUMBER(INDEX(Lists!$AW$2:$AW$10,MATCH($B11,Lists!$AU$2:$AU$10,0))),INDEX(Lists!$AW$2:$AW$10,MATCH($B11,Lists!$AU$2:$AU$10,0)),SUMIFS('REVIEW - Complete Role Mapping'!$AE$2:$AE$700,'REVIEW - Complete Role Mapping'!$AH$2:$AH$700,$C$3,'REVIEW - Complete Role Mapping'!$AL$2:$AL$700,$B11,'REVIEW - Complete Role Mapping'!$AM$2:$AM$700,1)/1000000),SUMIFS('REVIEW - Complete Role Mapping'!$AE$2:$AE$700,'REVIEW - Complete Role Mapping'!$AH$2:$AH$700,$C$3,'REVIEW - Complete Role Mapping'!$AL$2:$AL$700,$B11,'REVIEW - Complete Role Mapping'!$AM$2:$AM$700,1)/1000000)</f>
        <v>0</v>
      </c>
      <c r="Q11" s="1032">
        <f>$O11-$P11</f>
        <v>1.2239818</v>
      </c>
      <c r="R11" s="1048">
        <f>""</f>
        <v/>
      </c>
      <c r="S11" s="1032">
        <f>SUM($G$51:$G$54)/1000000</f>
        <v>1.2239818</v>
      </c>
      <c r="T11" s="1048">
        <f>""</f>
        <v/>
      </c>
    </row>
    <row r="12" ht="14.25" customHeight="1" s="535">
      <c r="B12" s="929" t="inlineStr">
        <is>
          <t>Technology Strategy &amp; AI Capability</t>
        </is>
      </c>
      <c r="C12" s="929">
        <f>""</f>
        <v/>
      </c>
      <c r="D12" s="929">
        <f>""</f>
        <v/>
      </c>
      <c r="E12" s="1048">
        <f>""</f>
        <v/>
      </c>
      <c r="F12" s="1031">
        <f>COUNTIF($B$56:$B$60,"?*")</f>
        <v>5</v>
      </c>
      <c r="G12" s="1030">
        <f>ROUND(SUMIFS('REVIEW - Complete Role Mapping'!$P$2:$P$700,'REVIEW - Complete Role Mapping'!$AH$2:$AH$700,$C$3,'REVIEW - Complete Role Mapping'!$AL$2:$AL$700,$B12),2)</f>
        <v>5</v>
      </c>
      <c r="H12" s="1031">
        <f>COUNTIFS($D$56:$D$60,"Filled")</f>
        <v>1</v>
      </c>
      <c r="I12" s="1031">
        <f>COUNTIFS($D$56:$D$60,"Vacant")</f>
        <v>4</v>
      </c>
      <c r="J12" s="1031">
        <f>COUNTIFS($D$56:$D$60,"Vacant",$E$56:$E$60,"Hire")</f>
        <v>2</v>
      </c>
      <c r="K12" s="1031">
        <f>COUNTIFS($E$56:$E$60,"Offshore")</f>
        <v>0</v>
      </c>
      <c r="L12" s="1031">
        <f>COUNTIFS($E$56:$E$60,"Hold")</f>
        <v>2</v>
      </c>
      <c r="M12" s="1031">
        <f>$F12-$L12</f>
        <v>3</v>
      </c>
      <c r="N12" s="1048">
        <f>""</f>
        <v/>
      </c>
      <c r="O12" s="1032">
        <f>SUMIFS('REVIEW - Complete Role Mapping'!$AE$2:$AE$700,'REVIEW - Complete Role Mapping'!$AH$2:$AH$700,$C$3,'REVIEW - Complete Role Mapping'!$AL$2:$AL$700,$B12)/1000000</f>
        <v>1.06988875</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v>
      </c>
      <c r="Q12" s="1032">
        <f>$O12-$P12</f>
        <v>1.06988875</v>
      </c>
      <c r="R12" s="1048">
        <f>""</f>
        <v/>
      </c>
      <c r="S12" s="1032">
        <f>SUM($G$56:$G$60)/1000000</f>
        <v>0.72890925</v>
      </c>
      <c r="T12" s="1048">
        <f>""</f>
        <v/>
      </c>
    </row>
    <row r="13" ht="14.25" customHeight="1" s="535">
      <c r="B13" s="886" t="inlineStr">
        <is>
          <t>Total portfolio</t>
        </is>
      </c>
      <c r="C13" s="886" t="n"/>
      <c r="D13" s="886" t="n"/>
      <c r="E13" s="888">
        <f>SUM(E8:E12)</f>
        <v>0</v>
      </c>
      <c r="F13" s="1039">
        <f>SUM(F8:F12)</f>
        <v>23</v>
      </c>
      <c r="G13" s="888">
        <f>SUM(G8:G12)</f>
        <v>23</v>
      </c>
      <c r="H13" s="1039">
        <f>SUM(H8:H12)</f>
        <v>11</v>
      </c>
      <c r="I13" s="1039">
        <f>SUM(I8:I12)</f>
        <v>12</v>
      </c>
      <c r="J13" s="1039">
        <f>SUM(J8:J12)</f>
        <v>7</v>
      </c>
      <c r="K13" s="1039">
        <f>SUM(K8:K12)</f>
        <v>0</v>
      </c>
      <c r="L13" s="1039">
        <f>SUM(L8:L12)</f>
        <v>4</v>
      </c>
      <c r="M13" s="1039">
        <f>SUM(M8:M12)</f>
        <v>19</v>
      </c>
      <c r="N13" s="889">
        <f>IF(COUNT(N8:N12)=0,"",SUM(N8:N12))</f>
        <v/>
      </c>
      <c r="O13" s="889">
        <f>SUM(O8:O12)</f>
        <v>5.781598002</v>
      </c>
      <c r="P13" s="889">
        <f>SUM(P8:P12)</f>
        <v>0</v>
      </c>
      <c r="Q13" s="889">
        <f>SUM(Q8:Q12)</f>
        <v>5.781598002</v>
      </c>
      <c r="R13" s="889">
        <f>IF(ISNUMBER($N13),ROUND($O13-$N13,6),"")</f>
        <v/>
      </c>
      <c r="S13" s="889">
        <f>SUM(S8:S12)</f>
        <v>4.775202152</v>
      </c>
      <c r="T13" s="889">
        <f>IF(ISNUMBER($N13),ROUND($S13-$N13,6),"")</f>
        <v/>
      </c>
    </row>
    <row r="14" ht="14.25" customHeight="1" s="535">
      <c r="R14" s="855" t="n"/>
    </row>
    <row r="15"/>
    <row r="16" ht="18.75" customHeight="1" s="535">
      <c r="B16" s="1029" t="inlineStr">
        <is>
          <t>Funding</t>
        </is>
      </c>
      <c r="C16" s="1047" t="n"/>
    </row>
    <row r="17" ht="33.75" customHeight="1" s="535">
      <c r="B17" s="929" t="inlineStr">
        <is>
          <t>Portfolios funded (3.1 Archetype to Actuals)</t>
        </is>
      </c>
      <c r="C17" s="1049">
        <f>COUNTA(Lists!$AS$2:$AS$12)</f>
        <v>10</v>
      </c>
    </row>
    <row r="18" ht="14.25" customHeight="1" s="535">
      <c r="B18" s="929" t="inlineStr">
        <is>
          <t>Domain Architect allocation per portfolio (FTE - 0.2 Data Config)</t>
        </is>
      </c>
      <c r="C18" s="1049">
        <f>'0.2 Data Config'!$M$8</f>
        <v>0.5</v>
      </c>
    </row>
    <row r="19" ht="14.25" customHeight="1" s="535">
      <c r="B19" s="929" t="inlineStr">
        <is>
          <t>Number of Domain Architects funded by Portfolios</t>
        </is>
      </c>
      <c r="C19" s="1049">
        <f>$C$17*$C$18</f>
        <v>5</v>
      </c>
    </row>
    <row r="20" ht="14.25" customHeight="1" s="535">
      <c r="B20" s="929" t="inlineStr">
        <is>
          <t>Domain Architect funding from portfolio overheads ($m)</t>
        </is>
      </c>
      <c r="C20" s="1049">
        <f>COUNTA(Lists!$AS$2:$AS$12)*'0.2 Data Config'!$N$8</f>
        <v>1.4</v>
      </c>
    </row>
    <row r="21" ht="14.25" customHeight="1" s="535">
      <c r="B21" s="929" t="inlineStr">
        <is>
          <t>COE - Strategy Architecture allocation ($m) - 0.2 Data Config</t>
        </is>
      </c>
      <c r="C21" s="1049">
        <f>'0.2 Data Config'!$E$6</f>
        <v>2</v>
      </c>
    </row>
    <row r="22" ht="14.25" customHeight="1" s="535">
      <c r="B22" s="929" t="inlineStr">
        <is>
          <t>COE - Data allocation ($m) - 0.2 Data Config</t>
        </is>
      </c>
      <c r="C22" s="1049">
        <f>'0.2 Data Config'!$E$10</f>
        <v>2</v>
      </c>
    </row>
    <row r="23" ht="14.25" customHeight="1" s="535">
      <c r="B23" s="929" t="inlineStr">
        <is>
          <t>Total budget to draw down ($m)</t>
        </is>
      </c>
      <c r="C23" s="1049">
        <f>$C$21+$C$22</f>
        <v>4</v>
      </c>
    </row>
    <row r="24" ht="14.25" customHeight="1" s="535">
      <c r="B24" s="929" t="inlineStr">
        <is>
          <t>Strategy &amp; Architecture planned spend ($m)</t>
        </is>
      </c>
      <c r="C24" s="1049">
        <f>$S$8+$S$11+$S$12+$C$28</f>
        <v>1.95289105</v>
      </c>
    </row>
    <row r="25" ht="14.25" customHeight="1" s="535">
      <c r="B25" s="929" t="inlineStr">
        <is>
          <t>Data planned spend ($m)</t>
        </is>
      </c>
      <c r="C25" s="1049">
        <f>$S$9+$S$10</f>
        <v>1.433374816</v>
      </c>
    </row>
    <row r="26" ht="14.25" customHeight="1" s="535">
      <c r="B26" s="929" t="inlineStr">
        <is>
          <t>Total planned spend ($m)</t>
        </is>
      </c>
      <c r="C26" s="1049">
        <f>$C$24+$C$25</f>
        <v>3.386265866</v>
      </c>
    </row>
    <row r="27" ht="14.25" customHeight="1" s="535">
      <c r="B27" s="929" t="inlineStr">
        <is>
          <t>Over/(under) budget ($m)</t>
        </is>
      </c>
      <c r="C27" s="1049">
        <f>$C$26-$C$23</f>
        <v>-0.613734134</v>
      </c>
    </row>
    <row r="28" ht="14.25" customHeight="1" s="535">
      <c r="B28" s="929" t="inlineStr">
        <is>
          <t>Domain Architect funding met by portfolio overheads, netted out of planned spend ($m)</t>
        </is>
      </c>
      <c r="C28" s="1049">
        <f>-$S$8</f>
        <v>-1.388936286</v>
      </c>
    </row>
    <row r="29" ht="14.25" customHeight="1" s="535">
      <c r="B29" s="929" t="inlineStr">
        <is>
          <t>Planned spend is net of the Domain Architect cost met inside portfolio overheads, at the actual cost after levers; COEs draw down on their own allocation only.</t>
        </is>
      </c>
      <c r="C29" s="1047" t="n"/>
    </row>
    <row r="30"/>
    <row r="31" ht="14.25" customHeight="1" s="535">
      <c r="B31" s="537" t="inlineStr">
        <is>
          <t>COE SA&amp;D FTE</t>
        </is>
      </c>
      <c r="C31" s="538" t="n"/>
      <c r="D31" s="538" t="n"/>
      <c r="E31" s="538" t="n"/>
      <c r="F31" s="538" t="n"/>
      <c r="G31" s="538" t="n"/>
      <c r="H31" s="929" t="inlineStr">
        <is>
          <t>Vacancy lever: Hire prices the role in full, Hold prices it at 0, Offshore at the Offshore rate set on 0.3 Squad Archetypes.</t>
        </is>
      </c>
    </row>
    <row r="32" ht="28.35" customHeight="1" s="535">
      <c r="A32" s="1040" t="inlineStr">
        <is>
          <t>ID</t>
        </is>
      </c>
      <c r="B32" s="877" t="inlineStr">
        <is>
          <t>Name</t>
        </is>
      </c>
      <c r="C32" s="877" t="inlineStr">
        <is>
          <t>Role</t>
        </is>
      </c>
      <c r="D32" s="877" t="inlineStr">
        <is>
          <t>Status</t>
        </is>
      </c>
      <c r="E32" s="877" t="inlineStr">
        <is>
          <t>Vacancy lever</t>
        </is>
      </c>
      <c r="F32" s="877" t="inlineStr">
        <is>
          <t>Role cost ($)</t>
        </is>
      </c>
      <c r="G32" s="877" t="inlineStr">
        <is>
          <t>Cost after lever ($)</t>
        </is>
      </c>
    </row>
    <row r="33" ht="14.25" customHeight="1" s="535">
      <c r="B33" s="1029" t="inlineStr">
        <is>
          <t>Architecture</t>
        </is>
      </c>
      <c r="C33" s="1029" t="str">
        <f>COUNTIF($B$34:$B$40,"?*")&amp;IF(COUNTIF($B$34:$B$40,"?*")=1," role"," roles")</f>
        <v>7 roles</v>
      </c>
      <c r="D33" s="1029" t="n"/>
      <c r="E33" s="1029" t="n"/>
      <c r="F33" s="1044">
        <f>SUM(F34:F40)</f>
        <v>1664746.536</v>
      </c>
      <c r="G33" s="1044">
        <f>SUM(G34:G40)</f>
        <v>1388936.286</v>
      </c>
    </row>
    <row r="34" ht="14.25" customHeight="1" s="535">
      <c r="A34" s="1045" t="inlineStr">
        <is>
          <t>R0102</t>
        </is>
      </c>
      <c r="B34" s="929" t="str">
        <f>INDEX('REVIEW - Complete Role Mapping'!$B$2:$B$700,MATCH($A34,'REVIEW - Complete Role Mapping'!$AQ$2:$AQ$700,0))</f>
        <v>Craig Ambrose</v>
      </c>
      <c r="C34" s="929" t="str">
        <f>INDEX('REVIEW - Complete Role Mapping'!$D$2:$D$700,MATCH($A34,'REVIEW - Complete Role Mapping'!$AQ$2:$AQ$700,0))</f>
        <v>Domain Architect - Group Functions</v>
      </c>
      <c r="D34" s="929" t="str">
        <f>INDEX('REVIEW - Complete Role Mapping'!$AF$2:$AF$700,MATCH($A34,'REVIEW - Complete Role Mapping'!$AQ$2:$AQ$700,0))</f>
        <v>Filled</v>
      </c>
      <c r="E34" s="543" t="inlineStr">
        <is>
          <t>Filled</t>
        </is>
      </c>
      <c r="F34" s="1031">
        <f>INDEX('REVIEW - Complete Role Mapping'!$AE$2:$AE$700,MATCH($A34,'REVIEW - Complete Role Mapping'!$AQ$2:$AQ$700,0))</f>
        <v>242741.304</v>
      </c>
      <c r="G34" s="1031">
        <f>$F34*IF(ISNUMBER(SEARCH("WIPRO",INDEX('REVIEW - Complete Role Mapping'!$R$2:$R$700,MATCH($A34,'REVIEW - Complete Role Mapping'!$AQ$2:$AQ$700,0)))),1,IFERROR(INDEX(Lists!$AD$2:$AD$5,MATCH($E34,Lists!$AC$2:$AC$5,0)),NA()))</f>
        <v>242741.304</v>
      </c>
    </row>
    <row r="35" ht="14.25" customHeight="1" s="535">
      <c r="A35" s="1045" t="inlineStr">
        <is>
          <t>R0103</t>
        </is>
      </c>
      <c r="B35" s="929" t="str">
        <f>INDEX('REVIEW - Complete Role Mapping'!$B$2:$B$700,MATCH($A35,'REVIEW - Complete Role Mapping'!$AQ$2:$AQ$700,0))</f>
        <v>John Forde</v>
      </c>
      <c r="C35" s="929" t="str">
        <f>INDEX('REVIEW - Complete Role Mapping'!$D$2:$D$700,MATCH($A35,'REVIEW - Complete Role Mapping'!$AQ$2:$AQ$700,0))</f>
        <v>Enterprise Architect</v>
      </c>
      <c r="D35" s="929" t="str">
        <f>INDEX('REVIEW - Complete Role Mapping'!$AF$2:$AF$700,MATCH($A35,'REVIEW - Complete Role Mapping'!$AQ$2:$AQ$700,0))</f>
        <v>Filled</v>
      </c>
      <c r="E35" s="543" t="inlineStr">
        <is>
          <t>Filled</t>
        </is>
      </c>
      <c r="F35" s="1031">
        <f>INDEX('REVIEW - Complete Role Mapping'!$AE$2:$AE$700,MATCH($A35,'REVIEW - Complete Role Mapping'!$AQ$2:$AQ$700,0))</f>
        <v>214270.248</v>
      </c>
      <c r="G35" s="1031">
        <f>$F35*IF(ISNUMBER(SEARCH("WIPRO",INDEX('REVIEW - Complete Role Mapping'!$R$2:$R$700,MATCH($A35,'REVIEW - Complete Role Mapping'!$AQ$2:$AQ$700,0)))),1,IFERROR(INDEX(Lists!$AD$2:$AD$5,MATCH($E35,Lists!$AC$2:$AC$5,0)),NA()))</f>
        <v>214270.248</v>
      </c>
    </row>
    <row r="36" ht="14.25" customHeight="1" s="535">
      <c r="A36" s="1045" t="inlineStr">
        <is>
          <t>R0104</t>
        </is>
      </c>
      <c r="B36" s="929" t="str">
        <f>INDEX('REVIEW - Complete Role Mapping'!$B$2:$B$700,MATCH($A36,'REVIEW - Complete Role Mapping'!$AQ$2:$AQ$700,0))</f>
        <v>Mike Gilbert</v>
      </c>
      <c r="C36" s="929" t="str">
        <f>INDEX('REVIEW - Complete Role Mapping'!$D$2:$D$700,MATCH($A36,'REVIEW - Complete Role Mapping'!$AQ$2:$AQ$700,0))</f>
        <v>Domain Architect - CFE &amp; Infrastructure </v>
      </c>
      <c r="D36" s="929" t="str">
        <f>INDEX('REVIEW - Complete Role Mapping'!$AF$2:$AF$700,MATCH($A36,'REVIEW - Complete Role Mapping'!$AQ$2:$AQ$700,0))</f>
        <v>Filled</v>
      </c>
      <c r="E36" s="543" t="inlineStr">
        <is>
          <t>Filled</t>
        </is>
      </c>
      <c r="F36" s="1031">
        <f>INDEX('REVIEW - Complete Role Mapping'!$AE$2:$AE$700,MATCH($A36,'REVIEW - Complete Role Mapping'!$AQ$2:$AQ$700,0))</f>
        <v>236856.984</v>
      </c>
      <c r="G36" s="1031">
        <f>$F36*IF(ISNUMBER(SEARCH("WIPRO",INDEX('REVIEW - Complete Role Mapping'!$R$2:$R$700,MATCH($A36,'REVIEW - Complete Role Mapping'!$AQ$2:$AQ$700,0)))),1,IFERROR(INDEX(Lists!$AD$2:$AD$5,MATCH($E36,Lists!$AC$2:$AC$5,0)),NA()))</f>
        <v>236856.984</v>
      </c>
    </row>
    <row r="37" ht="14.25" customHeight="1" s="535">
      <c r="A37" s="1045" t="inlineStr">
        <is>
          <t>R0110</t>
        </is>
      </c>
      <c r="B37" s="929" t="str">
        <f>INDEX('REVIEW - Complete Role Mapping'!$B$2:$B$700,MATCH($A37,'REVIEW - Complete Role Mapping'!$AQ$2:$AQ$700,0))</f>
        <v>ring fenced</v>
      </c>
      <c r="C37" s="929" t="str">
        <f>INDEX('REVIEW - Complete Role Mapping'!$D$2:$D$700,MATCH($A37,'REVIEW - Complete Role Mapping'!$AQ$2:$AQ$700,0))</f>
        <v>Enterprise Architect</v>
      </c>
      <c r="D37" s="929" t="str">
        <f>INDEX('REVIEW - Complete Role Mapping'!$AF$2:$AF$700,MATCH($A37,'REVIEW - Complete Role Mapping'!$AQ$2:$AQ$700,0))</f>
        <v>Vacant</v>
      </c>
      <c r="E37" s="543" t="inlineStr">
        <is>
          <t>Hold</t>
        </is>
      </c>
      <c r="F37" s="1031">
        <f>INDEX('REVIEW - Complete Role Mapping'!$AE$2:$AE$700,MATCH($A37,'REVIEW - Complete Role Mapping'!$AQ$2:$AQ$700,0))</f>
        <v>275810.25</v>
      </c>
      <c r="G37" s="1031">
        <f>$F37*IF(ISNUMBER(SEARCH("WIPRO",INDEX('REVIEW - Complete Role Mapping'!$R$2:$R$700,MATCH($A37,'REVIEW - Complete Role Mapping'!$AQ$2:$AQ$700,0)))),1,IFERROR(INDEX(Lists!$AD$2:$AD$5,MATCH($E37,Lists!$AC$2:$AC$5,0)),NA()))</f>
        <v>0</v>
      </c>
    </row>
    <row r="38" ht="14.25" customHeight="1" s="535">
      <c r="A38" s="1045" t="inlineStr">
        <is>
          <t>R0237</t>
        </is>
      </c>
      <c r="B38" s="929" t="str">
        <f>INDEX('REVIEW - Complete Role Mapping'!$B$2:$B$700,MATCH($A38,'REVIEW - Complete Role Mapping'!$AQ$2:$AQ$700,0))</f>
        <v>ring fenced</v>
      </c>
      <c r="C38" s="929" t="str">
        <f>INDEX('REVIEW - Complete Role Mapping'!$D$2:$D$700,MATCH($A38,'REVIEW - Complete Role Mapping'!$AQ$2:$AQ$700,0))</f>
        <v>Domain Architect - Customer &amp; Digital Tech</v>
      </c>
      <c r="D38" s="929" t="str">
        <f>INDEX('REVIEW - Complete Role Mapping'!$AF$2:$AF$700,MATCH($A38,'REVIEW - Complete Role Mapping'!$AQ$2:$AQ$700,0))</f>
        <v>Vacant</v>
      </c>
      <c r="E38" s="543" t="inlineStr">
        <is>
          <t>Hire</t>
        </is>
      </c>
      <c r="F38" s="1031">
        <f>INDEX('REVIEW - Complete Role Mapping'!$AE$2:$AE$700,MATCH($A38,'REVIEW - Complete Role Mapping'!$AQ$2:$AQ$700,0))</f>
        <v>231689.25</v>
      </c>
      <c r="G38" s="1031">
        <f>$F38*IF(ISNUMBER(SEARCH("WIPRO",INDEX('REVIEW - Complete Role Mapping'!$R$2:$R$700,MATCH($A38,'REVIEW - Complete Role Mapping'!$AQ$2:$AQ$700,0)))),1,IFERROR(INDEX(Lists!$AD$2:$AD$5,MATCH($E38,Lists!$AC$2:$AC$5,0)),NA()))</f>
        <v>231689.25</v>
      </c>
    </row>
    <row r="39" ht="14.25" customHeight="1" s="535">
      <c r="A39" s="1045" t="inlineStr">
        <is>
          <t>R0238</t>
        </is>
      </c>
      <c r="B39" s="929" t="str">
        <f>INDEX('REVIEW - Complete Role Mapping'!$B$2:$B$700,MATCH($A39,'REVIEW - Complete Role Mapping'!$AQ$2:$AQ$700,0))</f>
        <v>ring fenced</v>
      </c>
      <c r="C39" s="929" t="str">
        <f>INDEX('REVIEW - Complete Role Mapping'!$D$2:$D$700,MATCH($A39,'REVIEW - Complete Role Mapping'!$AQ$2:$AQ$700,0))</f>
        <v>Domain Architect - Retail &amp; Z</v>
      </c>
      <c r="D39" s="929" t="str">
        <f>INDEX('REVIEW - Complete Role Mapping'!$AF$2:$AF$700,MATCH($A39,'REVIEW - Complete Role Mapping'!$AQ$2:$AQ$700,0))</f>
        <v>Vacant</v>
      </c>
      <c r="E39" s="543" t="inlineStr">
        <is>
          <t>Hire</t>
        </is>
      </c>
      <c r="F39" s="1031">
        <f>INDEX('REVIEW - Complete Role Mapping'!$AE$2:$AE$700,MATCH($A39,'REVIEW - Complete Role Mapping'!$AQ$2:$AQ$700,0))</f>
        <v>231689.25</v>
      </c>
      <c r="G39" s="1031">
        <f>$F39*IF(ISNUMBER(SEARCH("WIPRO",INDEX('REVIEW - Complete Role Mapping'!$R$2:$R$700,MATCH($A39,'REVIEW - Complete Role Mapping'!$AQ$2:$AQ$700,0)))),1,IFERROR(INDEX(Lists!$AD$2:$AD$5,MATCH($E39,Lists!$AC$2:$AC$5,0)),NA()))</f>
        <v>231689.25</v>
      </c>
    </row>
    <row r="40" ht="14.25" customHeight="1" s="535">
      <c r="A40" s="1045" t="inlineStr">
        <is>
          <t>R0239</t>
        </is>
      </c>
      <c r="B40" s="929" t="str">
        <f>INDEX('REVIEW - Complete Role Mapping'!$B$2:$B$700,MATCH($A40,'REVIEW - Complete Role Mapping'!$AQ$2:$AQ$700,0))</f>
        <v>ring fenced</v>
      </c>
      <c r="C40" s="929" t="str">
        <f>INDEX('REVIEW - Complete Role Mapping'!$D$2:$D$700,MATCH($A40,'REVIEW - Complete Role Mapping'!$AQ$2:$AQ$700,0))</f>
        <v>Domain Architect - TDD</v>
      </c>
      <c r="D40" s="929" t="str">
        <f>INDEX('REVIEW - Complete Role Mapping'!$AF$2:$AF$700,MATCH($A40,'REVIEW - Complete Role Mapping'!$AQ$2:$AQ$700,0))</f>
        <v>Vacant</v>
      </c>
      <c r="E40" s="543" t="inlineStr">
        <is>
          <t>Hire</t>
        </is>
      </c>
      <c r="F40" s="1031">
        <f>INDEX('REVIEW - Complete Role Mapping'!$AE$2:$AE$700,MATCH($A40,'REVIEW - Complete Role Mapping'!$AQ$2:$AQ$700,0))</f>
        <v>231689.25</v>
      </c>
      <c r="G40" s="1031">
        <f>$F40*IF(ISNUMBER(SEARCH("WIPRO",INDEX('REVIEW - Complete Role Mapping'!$R$2:$R$700,MATCH($A40,'REVIEW - Complete Role Mapping'!$AQ$2:$AQ$700,0)))),1,IFERROR(INDEX(Lists!$AD$2:$AD$5,MATCH($E40,Lists!$AC$2:$AC$5,0)),NA()))</f>
        <v>231689.25</v>
      </c>
    </row>
    <row r="41" ht="14.25" customHeight="1" s="535">
      <c r="B41" s="1029" t="inlineStr">
        <is>
          <t>Data Platforms</t>
        </is>
      </c>
      <c r="C41" s="1029" t="str">
        <f>COUNTIF($B$42:$B$42,"?*")&amp;IF(COUNTIF($B$42:$B$42,"?*")=1," role"," roles")</f>
        <v>1 role</v>
      </c>
      <c r="D41" s="1029" t="n"/>
      <c r="E41" s="1029" t="n"/>
      <c r="F41" s="1044">
        <f>SUM(F42:F42)</f>
        <v>265584.9</v>
      </c>
      <c r="G41" s="1044">
        <f>SUM(G42:G42)</f>
        <v>265584.9</v>
      </c>
    </row>
    <row r="42" ht="14.25" customHeight="1" s="535">
      <c r="A42" s="1045" t="inlineStr">
        <is>
          <t>R0198</t>
        </is>
      </c>
      <c r="B42" s="929" t="str">
        <f>INDEX('REVIEW - Complete Role Mapping'!$B$2:$B$700,MATCH($A42,'REVIEW - Complete Role Mapping'!$AQ$2:$AQ$700,0))</f>
        <v>Milan Patel</v>
      </c>
      <c r="C42" s="929" t="str">
        <f>INDEX('REVIEW - Complete Role Mapping'!$D$2:$D$700,MATCH($A42,'REVIEW - Complete Role Mapping'!$AQ$2:$AQ$700,0))</f>
        <v>Platform Architect</v>
      </c>
      <c r="D42" s="929" t="str">
        <f>INDEX('REVIEW - Complete Role Mapping'!$AF$2:$AF$700,MATCH($A42,'REVIEW - Complete Role Mapping'!$AQ$2:$AQ$700,0))</f>
        <v>Filled</v>
      </c>
      <c r="E42" s="543" t="inlineStr">
        <is>
          <t>Filled</t>
        </is>
      </c>
      <c r="F42" s="1031">
        <f>INDEX('REVIEW - Complete Role Mapping'!$AE$2:$AE$700,MATCH($A42,'REVIEW - Complete Role Mapping'!$AQ$2:$AQ$700,0))</f>
        <v>265584.9</v>
      </c>
      <c r="G42" s="1031">
        <f>$F42*IF(ISNUMBER(SEARCH("WIPRO",INDEX('REVIEW - Complete Role Mapping'!$R$2:$R$700,MATCH($A42,'REVIEW - Complete Role Mapping'!$AQ$2:$AQ$700,0)))),1,IFERROR(INDEX(Lists!$AD$2:$AD$5,MATCH($E42,Lists!$AC$2:$AC$5,0)),NA()))</f>
        <v>265584.9</v>
      </c>
    </row>
    <row r="43" ht="14.25" customHeight="1" s="535">
      <c r="B43" s="1029" t="inlineStr">
        <is>
          <t>Group Data</t>
        </is>
      </c>
      <c r="C43" s="1029" t="str">
        <f>COUNTIF($B$44:$B$49,"?*")&amp;IF(COUNTIF($B$44:$B$49,"?*")=1," role"," roles")</f>
        <v>6 roles</v>
      </c>
      <c r="D43" s="1029" t="n"/>
      <c r="E43" s="1029" t="n"/>
      <c r="F43" s="1044">
        <f>SUM(F44:F49)</f>
        <v>1557396.016</v>
      </c>
      <c r="G43" s="1044">
        <f>SUM(G44:G49)</f>
        <v>1167789.916</v>
      </c>
    </row>
    <row r="44" ht="14.25" customHeight="1" s="535">
      <c r="A44" s="1045" t="inlineStr">
        <is>
          <t>R0051</t>
        </is>
      </c>
      <c r="B44" s="929" t="str">
        <f>INDEX('REVIEW - Complete Role Mapping'!$B$2:$B$700,MATCH($A44,'REVIEW - Complete Role Mapping'!$AQ$2:$AQ$700,0))</f>
        <v>Sanjay Tikoo</v>
      </c>
      <c r="C44" s="929" t="str">
        <f>INDEX('REVIEW - Complete Role Mapping'!$D$2:$D$700,MATCH($A44,'REVIEW - Complete Role Mapping'!$AQ$2:$AQ$700,0))</f>
        <v>Principal, Data Architecture &amp; Governance</v>
      </c>
      <c r="D44" s="929" t="str">
        <f>INDEX('REVIEW - Complete Role Mapping'!$AF$2:$AF$700,MATCH($A44,'REVIEW - Complete Role Mapping'!$AQ$2:$AQ$700,0))</f>
        <v>Filled</v>
      </c>
      <c r="E44" s="543" t="inlineStr">
        <is>
          <t>Filled</t>
        </is>
      </c>
      <c r="F44" s="1031">
        <f>INDEX('REVIEW - Complete Role Mapping'!$AE$2:$AE$700,MATCH($A44,'REVIEW - Complete Role Mapping'!$AQ$2:$AQ$700,0))</f>
        <v>389125</v>
      </c>
      <c r="G44" s="1031">
        <f>$F44*IF(ISNUMBER(SEARCH("WIPRO",INDEX('REVIEW - Complete Role Mapping'!$R$2:$R$700,MATCH($A44,'REVIEW - Complete Role Mapping'!$AQ$2:$AQ$700,0)))),1,IFERROR(INDEX(Lists!$AD$2:$AD$5,MATCH($E44,Lists!$AC$2:$AC$5,0)),NA()))</f>
        <v>389125</v>
      </c>
    </row>
    <row r="45" ht="14.25" customHeight="1" s="535">
      <c r="A45" s="1045" t="inlineStr">
        <is>
          <t>R0065</t>
        </is>
      </c>
      <c r="B45" s="929" t="str">
        <f>INDEX('REVIEW - Complete Role Mapping'!$B$2:$B$700,MATCH($A45,'REVIEW - Complete Role Mapping'!$AQ$2:$AQ$700,0))</f>
        <v>Vacant</v>
      </c>
      <c r="C45" s="929" t="str">
        <f>INDEX('REVIEW - Complete Role Mapping'!$D$2:$D$700,MATCH($A45,'REVIEW - Complete Role Mapping'!$AQ$2:$AQ$700,0))</f>
        <v>Data Governance Lead</v>
      </c>
      <c r="D45" s="929" t="str">
        <f>INDEX('REVIEW - Complete Role Mapping'!$AF$2:$AF$700,MATCH($A45,'REVIEW - Complete Role Mapping'!$AQ$2:$AQ$700,0))</f>
        <v>Vacant</v>
      </c>
      <c r="E45" s="543" t="inlineStr">
        <is>
          <t>Hold</t>
        </is>
      </c>
      <c r="F45" s="1031">
        <f>INDEX('REVIEW - Complete Role Mapping'!$AE$2:$AE$700,MATCH($A45,'REVIEW - Complete Role Mapping'!$AQ$2:$AQ$700,0))</f>
        <v>389606.1</v>
      </c>
      <c r="G45" s="1031">
        <f>$F45*IF(ISNUMBER(SEARCH("WIPRO",INDEX('REVIEW - Complete Role Mapping'!$R$2:$R$700,MATCH($A45,'REVIEW - Complete Role Mapping'!$AQ$2:$AQ$700,0)))),1,IFERROR(INDEX(Lists!$AD$2:$AD$5,MATCH($E45,Lists!$AC$2:$AC$5,0)),NA()))</f>
        <v>0</v>
      </c>
    </row>
    <row r="46" ht="14.25" customHeight="1" s="535">
      <c r="A46" s="1045" t="inlineStr">
        <is>
          <t>R0199</t>
        </is>
      </c>
      <c r="B46" s="929" t="str">
        <f>INDEX('REVIEW - Complete Role Mapping'!$B$2:$B$700,MATCH($A46,'REVIEW - Complete Role Mapping'!$AQ$2:$AQ$700,0))</f>
        <v>Mitchell Clarke</v>
      </c>
      <c r="C46" s="929" t="str">
        <f>INDEX('REVIEW - Complete Role Mapping'!$D$2:$D$700,MATCH($A46,'REVIEW - Complete Role Mapping'!$AQ$2:$AQ$700,0))</f>
        <v>Snr Data Governance Specialist</v>
      </c>
      <c r="D46" s="929" t="str">
        <f>INDEX('REVIEW - Complete Role Mapping'!$AF$2:$AF$700,MATCH($A46,'REVIEW - Complete Role Mapping'!$AQ$2:$AQ$700,0))</f>
        <v>Filled</v>
      </c>
      <c r="E46" s="543" t="inlineStr">
        <is>
          <t>Filled</t>
        </is>
      </c>
      <c r="F46" s="1031">
        <f>INDEX('REVIEW - Complete Role Mapping'!$AE$2:$AE$700,MATCH($A46,'REVIEW - Complete Role Mapping'!$AQ$2:$AQ$700,0))</f>
        <v>225988.8</v>
      </c>
      <c r="G46" s="1031">
        <f>$F46*IF(ISNUMBER(SEARCH("WIPRO",INDEX('REVIEW - Complete Role Mapping'!$R$2:$R$700,MATCH($A46,'REVIEW - Complete Role Mapping'!$AQ$2:$AQ$700,0)))),1,IFERROR(INDEX(Lists!$AD$2:$AD$5,MATCH($E46,Lists!$AC$2:$AC$5,0)),NA()))</f>
        <v>225988.8</v>
      </c>
    </row>
    <row r="47" ht="14.25" customHeight="1" s="535">
      <c r="A47" s="1045" t="inlineStr">
        <is>
          <t>R0347</t>
        </is>
      </c>
      <c r="B47" s="929" t="str">
        <f>INDEX('REVIEW - Complete Role Mapping'!$B$2:$B$700,MATCH($A47,'REVIEW - Complete Role Mapping'!$AQ$2:$AQ$700,0))</f>
        <v>Lynn Yiew</v>
      </c>
      <c r="C47" s="929" t="str">
        <f>INDEX('REVIEW - Complete Role Mapping'!$D$2:$D$700,MATCH($A47,'REVIEW - Complete Role Mapping'!$AQ$2:$AQ$700,0))</f>
        <v>Data Governance Specialist</v>
      </c>
      <c r="D47" s="929" t="str">
        <f>INDEX('REVIEW - Complete Role Mapping'!$AF$2:$AF$700,MATCH($A47,'REVIEW - Complete Role Mapping'!$AQ$2:$AQ$700,0))</f>
        <v>Filled</v>
      </c>
      <c r="E47" s="543" t="inlineStr">
        <is>
          <t>Filled</t>
        </is>
      </c>
      <c r="F47" s="1031">
        <f>INDEX('REVIEW - Complete Role Mapping'!$AE$2:$AE$700,MATCH($A47,'REVIEW - Complete Role Mapping'!$AQ$2:$AQ$700,0))</f>
        <v>149746.416</v>
      </c>
      <c r="G47" s="1031">
        <f>$F47*IF(ISNUMBER(SEARCH("WIPRO",INDEX('REVIEW - Complete Role Mapping'!$R$2:$R$700,MATCH($A47,'REVIEW - Complete Role Mapping'!$AQ$2:$AQ$700,0)))),1,IFERROR(INDEX(Lists!$AD$2:$AD$5,MATCH($E47,Lists!$AC$2:$AC$5,0)),NA()))</f>
        <v>149746.416</v>
      </c>
    </row>
    <row r="48" ht="14.25" customHeight="1" s="535">
      <c r="A48" s="1045" t="inlineStr">
        <is>
          <t>R0348</t>
        </is>
      </c>
      <c r="B48" s="929" t="str">
        <f>INDEX('REVIEW - Complete Role Mapping'!$B$2:$B$700,MATCH($A48,'REVIEW - Complete Role Mapping'!$AQ$2:$AQ$700,0))</f>
        <v>Renosh Matthew Thomas</v>
      </c>
      <c r="C48" s="929" t="str">
        <f>INDEX('REVIEW - Complete Role Mapping'!$D$2:$D$700,MATCH($A48,'REVIEW - Complete Role Mapping'!$AQ$2:$AQ$700,0))</f>
        <v>Data Enablement Lead</v>
      </c>
      <c r="D48" s="929" t="str">
        <f>INDEX('REVIEW - Complete Role Mapping'!$AF$2:$AF$700,MATCH($A48,'REVIEW - Complete Role Mapping'!$AQ$2:$AQ$700,0))</f>
        <v>Filled</v>
      </c>
      <c r="E48" s="543" t="inlineStr">
        <is>
          <t>Filled</t>
        </is>
      </c>
      <c r="F48" s="1031">
        <f>INDEX('REVIEW - Complete Role Mapping'!$AE$2:$AE$700,MATCH($A48,'REVIEW - Complete Role Mapping'!$AQ$2:$AQ$700,0))</f>
        <v>227056.8</v>
      </c>
      <c r="G48" s="1031">
        <f>$F48*IF(ISNUMBER(SEARCH("WIPRO",INDEX('REVIEW - Complete Role Mapping'!$R$2:$R$700,MATCH($A48,'REVIEW - Complete Role Mapping'!$AQ$2:$AQ$700,0)))),1,IFERROR(INDEX(Lists!$AD$2:$AD$5,MATCH($E48,Lists!$AC$2:$AC$5,0)),NA()))</f>
        <v>227056.8</v>
      </c>
    </row>
    <row r="49" ht="14.25" customHeight="1" s="535">
      <c r="A49" s="1045" t="inlineStr">
        <is>
          <t>R0349</t>
        </is>
      </c>
      <c r="B49" s="929" t="str">
        <f>INDEX('REVIEW - Complete Role Mapping'!$B$2:$B$700,MATCH($A49,'REVIEW - Complete Role Mapping'!$AQ$2:$AQ$700,0))</f>
        <v>Raymond Bai</v>
      </c>
      <c r="C49" s="929" t="str">
        <f>INDEX('REVIEW - Complete Role Mapping'!$D$2:$D$700,MATCH($A49,'REVIEW - Complete Role Mapping'!$AQ$2:$AQ$700,0))</f>
        <v>Data Adoption Specialist</v>
      </c>
      <c r="D49" s="929" t="str">
        <f>INDEX('REVIEW - Complete Role Mapping'!$AF$2:$AF$700,MATCH($A49,'REVIEW - Complete Role Mapping'!$AQ$2:$AQ$700,0))</f>
        <v>Filled</v>
      </c>
      <c r="E49" s="543" t="inlineStr">
        <is>
          <t>Filled</t>
        </is>
      </c>
      <c r="F49" s="1031">
        <f>INDEX('REVIEW - Complete Role Mapping'!$AE$2:$AE$700,MATCH($A49,'REVIEW - Complete Role Mapping'!$AQ$2:$AQ$700,0))</f>
        <v>175872.9</v>
      </c>
      <c r="G49" s="1031">
        <f>$F49*IF(ISNUMBER(SEARCH("WIPRO",INDEX('REVIEW - Complete Role Mapping'!$R$2:$R$700,MATCH($A49,'REVIEW - Complete Role Mapping'!$AQ$2:$AQ$700,0)))),1,IFERROR(INDEX(Lists!$AD$2:$AD$5,MATCH($E49,Lists!$AC$2:$AC$5,0)),NA()))</f>
        <v>175872.9</v>
      </c>
    </row>
    <row r="50" ht="14.25" customHeight="1" s="535">
      <c r="B50" s="1029" t="inlineStr">
        <is>
          <t>Leadership</t>
        </is>
      </c>
      <c r="C50" s="1029" t="str">
        <f>COUNTIF($B$51:$B$54,"?*")&amp;IF(COUNTIF($B$51:$B$54,"?*")=1," role"," roles")</f>
        <v>4 roles</v>
      </c>
      <c r="D50" s="1029" t="n"/>
      <c r="E50" s="1029" t="n"/>
      <c r="F50" s="1044">
        <f>SUM(F51:F54)</f>
        <v>1223981.8</v>
      </c>
      <c r="G50" s="1044">
        <f>SUM(G51:G54)</f>
        <v>1223981.8</v>
      </c>
    </row>
    <row r="51" ht="14.25" customHeight="1" s="535">
      <c r="A51" s="1045" t="inlineStr">
        <is>
          <t>R0053</t>
        </is>
      </c>
      <c r="B51" s="929" t="str">
        <f>INDEX('REVIEW - Complete Role Mapping'!$B$2:$B$700,MATCH($A51,'REVIEW - Complete Role Mapping'!$AQ$2:$AQ$700,0))</f>
        <v>Joel Vijayakumar</v>
      </c>
      <c r="C51" s="929" t="str">
        <f>INDEX('REVIEW - Complete Role Mapping'!$D$2:$D$700,MATCH($A51,'REVIEW - Complete Role Mapping'!$AQ$2:$AQ$700,0))</f>
        <v>Delivery Manager, Strategy, Architecture &amp; Data</v>
      </c>
      <c r="D51" s="929" t="str">
        <f>INDEX('REVIEW - Complete Role Mapping'!$AF$2:$AF$700,MATCH($A51,'REVIEW - Complete Role Mapping'!$AQ$2:$AQ$700,0))</f>
        <v>Filled</v>
      </c>
      <c r="E51" s="543" t="inlineStr">
        <is>
          <t>Filled</t>
        </is>
      </c>
      <c r="F51" s="1031">
        <f>INDEX('REVIEW - Complete Role Mapping'!$AE$2:$AE$700,MATCH($A51,'REVIEW - Complete Role Mapping'!$AQ$2:$AQ$700,0))</f>
        <v>369088.6</v>
      </c>
      <c r="G51" s="1031">
        <f>$F51*IF(ISNUMBER(SEARCH("WIPRO",INDEX('REVIEW - Complete Role Mapping'!$R$2:$R$700,MATCH($A51,'REVIEW - Complete Role Mapping'!$AQ$2:$AQ$700,0)))),1,IFERROR(INDEX(Lists!$AD$2:$AD$5,MATCH($E51,Lists!$AC$2:$AC$5,0)),NA()))</f>
        <v>369088.6</v>
      </c>
    </row>
    <row r="52" ht="14.25" customHeight="1" s="535">
      <c r="A52" s="1045" t="inlineStr">
        <is>
          <t>R0054</t>
        </is>
      </c>
      <c r="B52" s="929" t="str">
        <f>INDEX('REVIEW - Complete Role Mapping'!$B$2:$B$700,MATCH($A52,'REVIEW - Complete Role Mapping'!$AQ$2:$AQ$700,0))</f>
        <v>Vacant</v>
      </c>
      <c r="C52" s="929" t="str">
        <f>INDEX('REVIEW - Complete Role Mapping'!$D$2:$D$700,MATCH($A52,'REVIEW - Complete Role Mapping'!$AQ$2:$AQ$700,0))</f>
        <v>Head of Architecture</v>
      </c>
      <c r="D52" s="929" t="str">
        <f>INDEX('REVIEW - Complete Role Mapping'!$AF$2:$AF$700,MATCH($A52,'REVIEW - Complete Role Mapping'!$AQ$2:$AQ$700,0))</f>
        <v>Vacant</v>
      </c>
      <c r="E52" s="543" t="inlineStr">
        <is>
          <t>Hire</t>
        </is>
      </c>
      <c r="F52" s="1031">
        <f>INDEX('REVIEW - Complete Role Mapping'!$AE$2:$AE$700,MATCH($A52,'REVIEW - Complete Role Mapping'!$AQ$2:$AQ$700,0))</f>
        <v>334972.95</v>
      </c>
      <c r="G52" s="1031">
        <f>$F52*IF(ISNUMBER(SEARCH("WIPRO",INDEX('REVIEW - Complete Role Mapping'!$R$2:$R$700,MATCH($A52,'REVIEW - Complete Role Mapping'!$AQ$2:$AQ$700,0)))),1,IFERROR(INDEX(Lists!$AD$2:$AD$5,MATCH($E52,Lists!$AC$2:$AC$5,0)),NA()))</f>
        <v>334972.95</v>
      </c>
    </row>
    <row r="53" ht="14.25" customHeight="1" s="535">
      <c r="A53" s="1045" t="inlineStr">
        <is>
          <t>R0055</t>
        </is>
      </c>
      <c r="B53" s="929" t="str">
        <f>INDEX('REVIEW - Complete Role Mapping'!$B$2:$B$700,MATCH($A53,'REVIEW - Complete Role Mapping'!$AQ$2:$AQ$700,0))</f>
        <v>Vacant</v>
      </c>
      <c r="C53" s="929" t="str">
        <f>INDEX('REVIEW - Complete Role Mapping'!$D$2:$D$700,MATCH($A53,'REVIEW - Complete Role Mapping'!$AQ$2:$AQ$700,0))</f>
        <v>Head of Technology Strategy &amp; AI Capability</v>
      </c>
      <c r="D53" s="929" t="str">
        <f>INDEX('REVIEW - Complete Role Mapping'!$AF$2:$AF$700,MATCH($A53,'REVIEW - Complete Role Mapping'!$AQ$2:$AQ$700,0))</f>
        <v>Vacant</v>
      </c>
      <c r="E53" s="543" t="inlineStr">
        <is>
          <t>Hire</t>
        </is>
      </c>
      <c r="F53" s="1031">
        <f>INDEX('REVIEW - Complete Role Mapping'!$AE$2:$AE$700,MATCH($A53,'REVIEW - Complete Role Mapping'!$AQ$2:$AQ$700,0))</f>
        <v>333020.25</v>
      </c>
      <c r="G53" s="1031">
        <f>$F53*IF(ISNUMBER(SEARCH("WIPRO",INDEX('REVIEW - Complete Role Mapping'!$R$2:$R$700,MATCH($A53,'REVIEW - Complete Role Mapping'!$AQ$2:$AQ$700,0)))),1,IFERROR(INDEX(Lists!$AD$2:$AD$5,MATCH($E53,Lists!$AC$2:$AC$5,0)),NA()))</f>
        <v>333020.25</v>
      </c>
    </row>
    <row r="54" ht="14.25" customHeight="1" s="535">
      <c r="A54" s="1045" t="inlineStr">
        <is>
          <t>R0326</t>
        </is>
      </c>
      <c r="B54" s="929" t="str">
        <f>INDEX('REVIEW - Complete Role Mapping'!$B$2:$B$700,MATCH($A54,'REVIEW - Complete Role Mapping'!$AQ$2:$AQ$700,0))</f>
        <v>Vacant</v>
      </c>
      <c r="C54" s="929" t="str">
        <f>INDEX('REVIEW - Complete Role Mapping'!$D$2:$D$700,MATCH($A54,'REVIEW - Complete Role Mapping'!$AQ$2:$AQ$700,0))</f>
        <v>Senior Communications Advisor</v>
      </c>
      <c r="D54" s="929" t="str">
        <f>INDEX('REVIEW - Complete Role Mapping'!$AF$2:$AF$700,MATCH($A54,'REVIEW - Complete Role Mapping'!$AQ$2:$AQ$700,0))</f>
        <v>Vacant</v>
      </c>
      <c r="E54" s="543" t="inlineStr">
        <is>
          <t>Filled</t>
        </is>
      </c>
      <c r="F54" s="1031">
        <f>INDEX('REVIEW - Complete Role Mapping'!$AE$2:$AE$700,MATCH($A54,'REVIEW - Complete Role Mapping'!$AQ$2:$AQ$700,0))</f>
        <v>186900</v>
      </c>
      <c r="G54" s="1031">
        <f>$F54*IF(ISNUMBER(SEARCH("WIPRO",INDEX('REVIEW - Complete Role Mapping'!$R$2:$R$700,MATCH($A54,'REVIEW - Complete Role Mapping'!$AQ$2:$AQ$700,0)))),1,IFERROR(INDEX(Lists!$AD$2:$AD$5,MATCH($E54,Lists!$AC$2:$AC$5,0)),NA()))</f>
        <v>186900</v>
      </c>
    </row>
    <row r="55" ht="14.25" customHeight="1" s="535">
      <c r="B55" s="1029" t="inlineStr">
        <is>
          <t>Technology Strategy &amp; AI Capability</t>
        </is>
      </c>
      <c r="C55" s="1029" t="str">
        <f>COUNTIF($B$56:$B$60,"?*")&amp;IF(COUNTIF($B$56:$B$60,"?*")=1," role"," roles")</f>
        <v>5 roles</v>
      </c>
      <c r="D55" s="1029" t="n"/>
      <c r="E55" s="1029" t="n"/>
      <c r="F55" s="1044">
        <f>SUM(F56:F60)</f>
        <v>1069888.75</v>
      </c>
      <c r="G55" s="1044">
        <f>SUM(G56:G60)</f>
        <v>728909.25</v>
      </c>
    </row>
    <row r="56" ht="14.25" customHeight="1" s="535">
      <c r="A56" s="1045" t="inlineStr">
        <is>
          <t>R0111</t>
        </is>
      </c>
      <c r="B56" s="929" t="str">
        <f>INDEX('REVIEW - Complete Role Mapping'!$B$2:$B$700,MATCH($A56,'REVIEW - Complete Role Mapping'!$AQ$2:$AQ$700,0))</f>
        <v>Vacant</v>
      </c>
      <c r="C56" s="929" t="str">
        <f>INDEX('REVIEW - Complete Role Mapping'!$D$2:$D$700,MATCH($A56,'REVIEW - Complete Role Mapping'!$AQ$2:$AQ$700,0))</f>
        <v>AI Capability Lead</v>
      </c>
      <c r="D56" s="929" t="str">
        <f>INDEX('REVIEW - Complete Role Mapping'!$AF$2:$AF$700,MATCH($A56,'REVIEW - Complete Role Mapping'!$AQ$2:$AQ$700,0))</f>
        <v>Vacant</v>
      </c>
      <c r="E56" s="543" t="inlineStr">
        <is>
          <t>Hire</t>
        </is>
      </c>
      <c r="F56" s="1031">
        <f>INDEX('REVIEW - Complete Role Mapping'!$AE$2:$AE$700,MATCH($A56,'REVIEW - Complete Role Mapping'!$AQ$2:$AQ$700,0))</f>
        <v>275810.25</v>
      </c>
      <c r="G56" s="1031">
        <f>$F56*IF(ISNUMBER(SEARCH("WIPRO",INDEX('REVIEW - Complete Role Mapping'!$R$2:$R$700,MATCH($A56,'REVIEW - Complete Role Mapping'!$AQ$2:$AQ$700,0)))),1,IFERROR(INDEX(Lists!$AD$2:$AD$5,MATCH($E56,Lists!$AC$2:$AC$5,0)),NA()))</f>
        <v>275810.25</v>
      </c>
    </row>
    <row r="57" ht="14.25" customHeight="1" s="535">
      <c r="A57" s="1045" t="inlineStr">
        <is>
          <t>R0240</t>
        </is>
      </c>
      <c r="B57" s="929" t="str">
        <f>INDEX('REVIEW - Complete Role Mapping'!$B$2:$B$700,MATCH($A57,'REVIEW - Complete Role Mapping'!$AQ$2:$AQ$700,0))</f>
        <v>Roger Blazey</v>
      </c>
      <c r="C57" s="929" t="str">
        <f>INDEX('REVIEW - Complete Role Mapping'!$D$2:$D$700,MATCH($A57,'REVIEW - Complete Role Mapping'!$AQ$2:$AQ$700,0))</f>
        <v>Architect (AI Innovation)</v>
      </c>
      <c r="D57" s="929" t="str">
        <f>INDEX('REVIEW - Complete Role Mapping'!$AF$2:$AF$700,MATCH($A57,'REVIEW - Complete Role Mapping'!$AQ$2:$AQ$700,0))</f>
        <v>Filled</v>
      </c>
      <c r="E57" s="543" t="inlineStr">
        <is>
          <t>Filled</t>
        </is>
      </c>
      <c r="F57" s="1031">
        <f>INDEX('REVIEW - Complete Role Mapping'!$AE$2:$AE$700,MATCH($A57,'REVIEW - Complete Role Mapping'!$AQ$2:$AQ$700,0))</f>
        <v>250245.75</v>
      </c>
      <c r="G57" s="1031">
        <f>$F57*IF(ISNUMBER(SEARCH("WIPRO",INDEX('REVIEW - Complete Role Mapping'!$R$2:$R$700,MATCH($A57,'REVIEW - Complete Role Mapping'!$AQ$2:$AQ$700,0)))),1,IFERROR(INDEX(Lists!$AD$2:$AD$5,MATCH($E57,Lists!$AC$2:$AC$5,0)),NA()))</f>
        <v>250245.75</v>
      </c>
    </row>
    <row r="58" ht="14.25" customHeight="1" s="535">
      <c r="A58" s="1045" t="inlineStr">
        <is>
          <t>R0380</t>
        </is>
      </c>
      <c r="B58" s="929" t="str">
        <f>INDEX('REVIEW - Complete Role Mapping'!$B$2:$B$700,MATCH($A58,'REVIEW - Complete Role Mapping'!$AQ$2:$AQ$700,0))</f>
        <v>Vacant</v>
      </c>
      <c r="C58" s="929" t="str">
        <f>INDEX('REVIEW - Complete Role Mapping'!$D$2:$D$700,MATCH($A58,'REVIEW - Complete Role Mapping'!$AQ$2:$AQ$700,0))</f>
        <v>Enterprise Process Lead</v>
      </c>
      <c r="D58" s="929" t="str">
        <f>INDEX('REVIEW - Complete Role Mapping'!$AF$2:$AF$700,MATCH($A58,'REVIEW - Complete Role Mapping'!$AQ$2:$AQ$700,0))</f>
        <v>Vacant</v>
      </c>
      <c r="E58" s="543" t="inlineStr">
        <is>
          <t>Hire</t>
        </is>
      </c>
      <c r="F58" s="1031">
        <f>INDEX('REVIEW - Complete Role Mapping'!$AE$2:$AE$700,MATCH($A58,'REVIEW - Complete Role Mapping'!$AQ$2:$AQ$700,0))</f>
        <v>202853.25</v>
      </c>
      <c r="G58" s="1031">
        <f>$F58*IF(ISNUMBER(SEARCH("WIPRO",INDEX('REVIEW - Complete Role Mapping'!$R$2:$R$700,MATCH($A58,'REVIEW - Complete Role Mapping'!$AQ$2:$AQ$700,0)))),1,IFERROR(INDEX(Lists!$AD$2:$AD$5,MATCH($E58,Lists!$AC$2:$AC$5,0)),NA()))</f>
        <v>202853.25</v>
      </c>
    </row>
    <row r="59" ht="14.25" customHeight="1" s="535">
      <c r="A59" s="1045" t="inlineStr">
        <is>
          <t>R0473</t>
        </is>
      </c>
      <c r="B59" s="929" t="str">
        <f>INDEX('REVIEW - Complete Role Mapping'!$B$2:$B$700,MATCH($A59,'REVIEW - Complete Role Mapping'!$AQ$2:$AQ$700,0))</f>
        <v>Vacant</v>
      </c>
      <c r="C59" s="929" t="str">
        <f>INDEX('REVIEW - Complete Role Mapping'!$D$2:$D$700,MATCH($A59,'REVIEW - Complete Role Mapping'!$AQ$2:$AQ$700,0))</f>
        <v>EnterpriseProcess Analyst</v>
      </c>
      <c r="D59" s="929" t="str">
        <f>INDEX('REVIEW - Complete Role Mapping'!$AF$2:$AF$700,MATCH($A59,'REVIEW - Complete Role Mapping'!$AQ$2:$AQ$700,0))</f>
        <v>Vacant</v>
      </c>
      <c r="E59" s="543" t="inlineStr">
        <is>
          <t>Hold</t>
        </is>
      </c>
      <c r="F59" s="1031">
        <f>INDEX('REVIEW - Complete Role Mapping'!$AE$2:$AE$700,MATCH($A59,'REVIEW - Complete Role Mapping'!$AQ$2:$AQ$700,0))</f>
        <v>170489.75</v>
      </c>
      <c r="G59" s="1031">
        <f>$F59*IF(ISNUMBER(SEARCH("WIPRO",INDEX('REVIEW - Complete Role Mapping'!$R$2:$R$700,MATCH($A59,'REVIEW - Complete Role Mapping'!$AQ$2:$AQ$700,0)))),1,IFERROR(INDEX(Lists!$AD$2:$AD$5,MATCH($E59,Lists!$AC$2:$AC$5,0)),NA()))</f>
        <v>0</v>
      </c>
    </row>
    <row r="60" ht="14.25" customHeight="1" s="535">
      <c r="A60" s="1045" t="inlineStr">
        <is>
          <t>R0474</t>
        </is>
      </c>
      <c r="B60" s="929" t="str">
        <f>INDEX('REVIEW - Complete Role Mapping'!$B$2:$B$700,MATCH($A60,'REVIEW - Complete Role Mapping'!$AQ$2:$AQ$700,0))</f>
        <v>Vacant</v>
      </c>
      <c r="C60" s="929" t="str">
        <f>INDEX('REVIEW - Complete Role Mapping'!$D$2:$D$700,MATCH($A60,'REVIEW - Complete Role Mapping'!$AQ$2:$AQ$700,0))</f>
        <v>Strategy Analyst</v>
      </c>
      <c r="D60" s="929" t="str">
        <f>INDEX('REVIEW - Complete Role Mapping'!$AF$2:$AF$700,MATCH($A60,'REVIEW - Complete Role Mapping'!$AQ$2:$AQ$700,0))</f>
        <v>Vacant</v>
      </c>
      <c r="E60" s="543" t="inlineStr">
        <is>
          <t>Hold</t>
        </is>
      </c>
      <c r="F60" s="1031">
        <f>INDEX('REVIEW - Complete Role Mapping'!$AE$2:$AE$700,MATCH($A60,'REVIEW - Complete Role Mapping'!$AQ$2:$AQ$700,0))</f>
        <v>170489.75</v>
      </c>
      <c r="G60" s="1031">
        <f>$F60*IF(ISNUMBER(SEARCH("WIPRO",INDEX('REVIEW - Complete Role Mapping'!$R$2:$R$700,MATCH($A60,'REVIEW - Complete Role Mapping'!$AQ$2:$AQ$700,0)))),1,IFERROR(INDEX(Lists!$AD$2:$AD$5,MATCH($E60,Lists!$AC$2:$AC$5,0)),NA()))</f>
        <v>0</v>
      </c>
    </row>
    <row r="61"/>
    <row r="62" ht="14.25" customHeight="1" s="535">
      <c r="B62" s="1040" t="inlineStr">
        <is>
          <t>Vacancy levers on this tab, for the executive summary</t>
        </is>
      </c>
      <c r="J62" s="1046">
        <f>COUNTIFS($D$33:$D$60,"Vacant",$E$33:$E$60,"Hire")</f>
        <v>7</v>
      </c>
      <c r="K62" s="1046">
        <f>COUNTIFS($D$33:$D$60,"Vacant",$E$33:$E$60,"Offshore")</f>
        <v>0</v>
      </c>
      <c r="L62" s="1046">
        <f>COUNTIFS($D$33:$D$60,"Vacant",$E$33:$E$60,"Hold")</f>
        <v>4</v>
      </c>
      <c r="M62" s="1046">
        <f>COUNTIFS($D$33:$D$60,"Vacant",$E$33:$E$60,"Filled")</f>
        <v>1</v>
      </c>
      <c r="N62" s="1046">
        <f>COUNTIFS($D$33:$D$60,"Filled",$E$33:$E$60,"Offshore")</f>
        <v>0</v>
      </c>
    </row>
  </sheetData>
  <dataValidations count="1">
    <dataValidation sqref="E34:E40 E42 E44:E49 E51:E54 E56:E60"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1"/>
  </sheetPr>
  <dimension ref="A1:T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1" activeCellId="0" sqref="A11"/>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EGI - working copy</t>
        </is>
      </c>
    </row>
    <row r="3" ht="14.25" customHeight="1" s="535">
      <c r="B3" s="709" t="inlineStr">
        <is>
          <t>Portfolio</t>
        </is>
      </c>
      <c r="C3" s="868" t="inlineStr">
        <is>
          <t>EGI</t>
        </is>
      </c>
    </row>
    <row r="4" ht="18.75" customHeight="1" s="535">
      <c r="B4" s="537" t="inlineStr">
        <is>
          <t>EGI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EGI</t>
        </is>
      </c>
      <c r="C8" s="929">
        <f>""</f>
        <v/>
      </c>
      <c r="D8" s="929">
        <f>""</f>
        <v/>
      </c>
      <c r="E8" s="1048">
        <f>""</f>
        <v/>
      </c>
      <c r="F8" s="1031">
        <f>COUNTIF($B$15:$B$32,"?*")</f>
        <v>18</v>
      </c>
      <c r="G8" s="1030">
        <f>ROUND(SUMIFS('REVIEW - Complete Role Mapping'!$P$2:$P$700,'REVIEW - Complete Role Mapping'!$AH$2:$AH$700,$C$3,'REVIEW - Complete Role Mapping'!$AL$2:$AL$700,$B8),2)</f>
        <v>18</v>
      </c>
      <c r="H8" s="1031">
        <f>COUNTIFS($D$15:$D$32,"Filled")</f>
        <v>18</v>
      </c>
      <c r="I8" s="1031">
        <f>COUNTIFS($D$15:$D$32,"Vacant")</f>
        <v>0</v>
      </c>
      <c r="J8" s="1031">
        <f>COUNTIFS($D$15:$D$32,"Vacant",$E$15:$E$32,"Hire")</f>
        <v>0</v>
      </c>
      <c r="K8" s="1031">
        <f>COUNTIFS($E$15:$E$32,"Offshore")</f>
        <v>0</v>
      </c>
      <c r="L8" s="1031">
        <f>COUNTIFS($E$15:$E$32,"Hold")</f>
        <v>0</v>
      </c>
      <c r="M8" s="1031">
        <f>$F8-$L8</f>
        <v>18</v>
      </c>
      <c r="N8" s="1048">
        <f>""</f>
        <v/>
      </c>
      <c r="O8" s="1032">
        <f>SUMIFS('REVIEW - Complete Role Mapping'!$AE$2:$AE$700,'REVIEW - Complete Role Mapping'!$AH$2:$AH$700,$C$3,'REVIEW - Complete Role Mapping'!$AL$2:$AL$700,$B8)/1000000</f>
        <v>5.15081935</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5.15081935</v>
      </c>
      <c r="Q8" s="1032">
        <f>$O8-$P8</f>
        <v>0</v>
      </c>
      <c r="R8" s="1048">
        <f>""</f>
        <v/>
      </c>
      <c r="S8" s="1032">
        <f>SUM($G$15:$G$32)/1000000</f>
        <v>5.15081935</v>
      </c>
      <c r="T8" s="1048">
        <f>""</f>
        <v/>
      </c>
    </row>
    <row r="9" ht="14.25" customHeight="1" s="535">
      <c r="B9" s="886" t="inlineStr">
        <is>
          <t>Total portfolio</t>
        </is>
      </c>
      <c r="C9" s="886" t="n"/>
      <c r="D9" s="886" t="n"/>
      <c r="E9" s="888">
        <f>SUM(E8:E8)</f>
        <v>0</v>
      </c>
      <c r="F9" s="1039">
        <f>SUM(F8:F8)</f>
        <v>18</v>
      </c>
      <c r="G9" s="888">
        <f>SUM(G8:G8)</f>
        <v>18</v>
      </c>
      <c r="H9" s="1039">
        <f>SUM(H8:H8)</f>
        <v>18</v>
      </c>
      <c r="I9" s="1039">
        <f>SUM(I8:I8)</f>
        <v>0</v>
      </c>
      <c r="J9" s="1039">
        <f>SUM(J8:J8)</f>
        <v>0</v>
      </c>
      <c r="K9" s="1039">
        <f>SUM(K8:K8)</f>
        <v>0</v>
      </c>
      <c r="L9" s="1039">
        <f>SUM(L8:L8)</f>
        <v>0</v>
      </c>
      <c r="M9" s="1039">
        <f>SUM(M8:M8)</f>
        <v>18</v>
      </c>
      <c r="N9" s="889">
        <f>IF(COUNT(N8:N8)=0,"",SUM(N8:N8))</f>
        <v/>
      </c>
      <c r="O9" s="889">
        <f>SUM(O8:O8)</f>
        <v>5.15081935</v>
      </c>
      <c r="P9" s="889">
        <f>SUM(P8:P8)</f>
        <v>5.15081935</v>
      </c>
      <c r="Q9" s="889">
        <f>SUM(Q8:Q8)</f>
        <v>0</v>
      </c>
      <c r="R9" s="889">
        <f>IF(ISNUMBER($N9),ROUND($O9-$N9,6),"")</f>
        <v/>
      </c>
      <c r="S9" s="889">
        <f>SUM(S8:S8)</f>
        <v>5.15081935</v>
      </c>
      <c r="T9" s="889">
        <f>IF(ISNUMBER($N9),ROUND($S9-$N9,6),"")</f>
        <v/>
      </c>
    </row>
    <row r="10"/>
    <row r="11"/>
    <row r="12" ht="18.75" customHeight="1" s="535">
      <c r="B12" s="537" t="inlineStr">
        <is>
          <t>EGI FTE</t>
        </is>
      </c>
      <c r="C12" s="538" t="n"/>
      <c r="D12" s="538" t="n"/>
      <c r="E12" s="538" t="n"/>
      <c r="F12" s="538" t="n"/>
      <c r="G12" s="538" t="n"/>
      <c r="H12" s="929" t="inlineStr">
        <is>
          <t>Vacancy lever: Hire prices the role in full, Hold prices it at 0, Offshore at the Offshore rate set on 0.3 Squad Archetypes.</t>
        </is>
      </c>
    </row>
    <row r="13" ht="33.75" customHeight="1" s="535">
      <c r="A13" s="1040" t="inlineStr">
        <is>
          <t>ID</t>
        </is>
      </c>
      <c r="B13" s="877" t="inlineStr">
        <is>
          <t>Name</t>
        </is>
      </c>
      <c r="C13" s="877" t="inlineStr">
        <is>
          <t>Role</t>
        </is>
      </c>
      <c r="D13" s="877" t="inlineStr">
        <is>
          <t>Status</t>
        </is>
      </c>
      <c r="E13" s="877" t="inlineStr">
        <is>
          <t>Vacancy lever</t>
        </is>
      </c>
      <c r="F13" s="877" t="inlineStr">
        <is>
          <t>Role cost ($)</t>
        </is>
      </c>
      <c r="G13" s="877" t="inlineStr">
        <is>
          <t>Cost after lever ($)</t>
        </is>
      </c>
    </row>
    <row r="14" ht="14.25" customHeight="1" s="535">
      <c r="B14" s="1029" t="inlineStr">
        <is>
          <t>EGI</t>
        </is>
      </c>
      <c r="C14" s="1029" t="str">
        <f>COUNTIF($B$15:$B$32,"?*")&amp;IF(COUNTIF($B$15:$B$32,"?*")=1," role"," roles")</f>
        <v>18 roles</v>
      </c>
      <c r="D14" s="1029" t="n"/>
      <c r="E14" s="1029" t="n"/>
      <c r="F14" s="1044">
        <f>SUM(F15:F32)</f>
        <v>5150819.35</v>
      </c>
      <c r="G14" s="1044">
        <f>SUM(G15:G32)</f>
        <v>5150819.35</v>
      </c>
    </row>
    <row r="15" ht="14.25" customHeight="1" s="535">
      <c r="A15" s="1045" t="inlineStr">
        <is>
          <t>R0004</t>
        </is>
      </c>
      <c r="B15" s="929" t="str">
        <f>INDEX('REVIEW - Complete Role Mapping'!$B$2:$B$700,MATCH($A15,'REVIEW - Complete Role Mapping'!$AQ$2:$AQ$700,0))</f>
        <v>Harish Dasari</v>
      </c>
      <c r="C15" s="929" t="str">
        <f>INDEX('REVIEW - Complete Role Mapping'!$D$2:$D$700,MATCH($A15,'REVIEW - Complete Role Mapping'!$AQ$2:$AQ$700,0))</f>
        <v>Business Analyst (SAP Payroll)</v>
      </c>
      <c r="D15" s="929" t="str">
        <f>INDEX('REVIEW - Complete Role Mapping'!$AF$2:$AF$700,MATCH($A15,'REVIEW - Complete Role Mapping'!$AQ$2:$AQ$700,0))</f>
        <v>Filled</v>
      </c>
      <c r="E15" s="543" t="inlineStr">
        <is>
          <t>Filled</t>
        </is>
      </c>
      <c r="F15" s="1031">
        <f>INDEX('REVIEW - Complete Role Mapping'!$AE$2:$AE$700,MATCH($A15,'REVIEW - Complete Role Mapping'!$AQ$2:$AQ$700,0))</f>
        <v>244200</v>
      </c>
      <c r="G15" s="1031">
        <f>$F15*IF(ISNUMBER(SEARCH("WIPRO",INDEX('REVIEW - Complete Role Mapping'!$R$2:$R$700,MATCH($A15,'REVIEW - Complete Role Mapping'!$AQ$2:$AQ$700,0)))),1,IFERROR(INDEX(Lists!$AD$2:$AD$5,MATCH($E15,Lists!$AC$2:$AC$5,0)),NA()))</f>
        <v>244200</v>
      </c>
    </row>
    <row r="16" ht="14.25" customHeight="1" s="535">
      <c r="A16" s="1045" t="inlineStr">
        <is>
          <t>R0005</t>
        </is>
      </c>
      <c r="B16" s="929" t="str">
        <f>INDEX('REVIEW - Complete Role Mapping'!$B$2:$B$700,MATCH($A16,'REVIEW - Complete Role Mapping'!$AQ$2:$AQ$700,0))</f>
        <v>Niall Greene</v>
      </c>
      <c r="C16" s="929" t="str">
        <f>INDEX('REVIEW - Complete Role Mapping'!$D$2:$D$700,MATCH($A16,'REVIEW - Complete Role Mapping'!$AQ$2:$AQ$700,0))</f>
        <v>Project Manager (PEP13-EGI-UKG)</v>
      </c>
      <c r="D16" s="929" t="str">
        <f>INDEX('REVIEW - Complete Role Mapping'!$AF$2:$AF$700,MATCH($A16,'REVIEW - Complete Role Mapping'!$AQ$2:$AQ$700,0))</f>
        <v>Filled</v>
      </c>
      <c r="E16" s="543" t="inlineStr">
        <is>
          <t>Filled</t>
        </is>
      </c>
      <c r="F16" s="1031">
        <f>INDEX('REVIEW - Complete Role Mapping'!$AE$2:$AE$700,MATCH($A16,'REVIEW - Complete Role Mapping'!$AQ$2:$AQ$700,0))</f>
        <v>244200</v>
      </c>
      <c r="G16" s="1031">
        <f>$F16*IF(ISNUMBER(SEARCH("WIPRO",INDEX('REVIEW - Complete Role Mapping'!$R$2:$R$700,MATCH($A16,'REVIEW - Complete Role Mapping'!$AQ$2:$AQ$700,0)))),1,IFERROR(INDEX(Lists!$AD$2:$AD$5,MATCH($E16,Lists!$AC$2:$AC$5,0)),NA()))</f>
        <v>244200</v>
      </c>
    </row>
    <row r="17" ht="14.25" customHeight="1" s="535">
      <c r="A17" s="1045" t="inlineStr">
        <is>
          <t>R0006</t>
        </is>
      </c>
      <c r="B17" s="929" t="str">
        <f>INDEX('REVIEW - Complete Role Mapping'!$B$2:$B$700,MATCH($A17,'REVIEW - Complete Role Mapping'!$AQ$2:$AQ$700,0))</f>
        <v>Paul Hassey</v>
      </c>
      <c r="C17" s="929" t="str">
        <f>INDEX('REVIEW - Complete Role Mapping'!$D$2:$D$700,MATCH($A17,'REVIEW - Complete Role Mapping'!$AQ$2:$AQ$700,0))</f>
        <v>Program Architect</v>
      </c>
      <c r="D17" s="929" t="str">
        <f>INDEX('REVIEW - Complete Role Mapping'!$AF$2:$AF$700,MATCH($A17,'REVIEW - Complete Role Mapping'!$AQ$2:$AQ$700,0))</f>
        <v>Filled</v>
      </c>
      <c r="E17" s="543" t="inlineStr">
        <is>
          <t>Filled</t>
        </is>
      </c>
      <c r="F17" s="1031">
        <f>INDEX('REVIEW - Complete Role Mapping'!$AE$2:$AE$700,MATCH($A17,'REVIEW - Complete Role Mapping'!$AQ$2:$AQ$700,0))</f>
        <v>310800</v>
      </c>
      <c r="G17" s="1031">
        <f>$F17*IF(ISNUMBER(SEARCH("WIPRO",INDEX('REVIEW - Complete Role Mapping'!$R$2:$R$700,MATCH($A17,'REVIEW - Complete Role Mapping'!$AQ$2:$AQ$700,0)))),1,IFERROR(INDEX(Lists!$AD$2:$AD$5,MATCH($E17,Lists!$AC$2:$AC$5,0)),NA()))</f>
        <v>310800</v>
      </c>
    </row>
    <row r="18" ht="14.25" customHeight="1" s="535">
      <c r="A18" s="1045" t="inlineStr">
        <is>
          <t>R0007</t>
        </is>
      </c>
      <c r="B18" s="929" t="str">
        <f>INDEX('REVIEW - Complete Role Mapping'!$B$2:$B$700,MATCH($A18,'REVIEW - Complete Role Mapping'!$AQ$2:$AQ$700,0))</f>
        <v>Ahmed Yehya</v>
      </c>
      <c r="C18" s="929" t="str">
        <f>INDEX('REVIEW - Complete Role Mapping'!$D$2:$D$700,MATCH($A18,'REVIEW - Complete Role Mapping'!$AQ$2:$AQ$700,0))</f>
        <v>TDD Strategic Delivery</v>
      </c>
      <c r="D18" s="929" t="str">
        <f>INDEX('REVIEW - Complete Role Mapping'!$AF$2:$AF$700,MATCH($A18,'REVIEW - Complete Role Mapping'!$AQ$2:$AQ$700,0))</f>
        <v>Filled</v>
      </c>
      <c r="E18" s="543" t="inlineStr">
        <is>
          <t>Filled</t>
        </is>
      </c>
      <c r="F18" s="1031">
        <f>INDEX('REVIEW - Complete Role Mapping'!$AE$2:$AE$700,MATCH($A18,'REVIEW - Complete Role Mapping'!$AQ$2:$AQ$700,0))</f>
        <v>277500</v>
      </c>
      <c r="G18" s="1031">
        <f>$F18*IF(ISNUMBER(SEARCH("WIPRO",INDEX('REVIEW - Complete Role Mapping'!$R$2:$R$700,MATCH($A18,'REVIEW - Complete Role Mapping'!$AQ$2:$AQ$700,0)))),1,IFERROR(INDEX(Lists!$AD$2:$AD$5,MATCH($E18,Lists!$AC$2:$AC$5,0)),NA()))</f>
        <v>277500</v>
      </c>
    </row>
    <row r="19" ht="14.25" customHeight="1" s="535">
      <c r="A19" s="1045" t="inlineStr">
        <is>
          <t>R0008</t>
        </is>
      </c>
      <c r="B19" s="929" t="str">
        <f>INDEX('REVIEW - Complete Role Mapping'!$B$2:$B$700,MATCH($A19,'REVIEW - Complete Role Mapping'!$AQ$2:$AQ$700,0))</f>
        <v>Anthony Huynh</v>
      </c>
      <c r="C19" s="929" t="str">
        <f>INDEX('REVIEW - Complete Role Mapping'!$D$2:$D$700,MATCH($A19,'REVIEW - Complete Role Mapping'!$AQ$2:$AQ$700,0))</f>
        <v>Strategic Delivery Consultant</v>
      </c>
      <c r="D19" s="929" t="str">
        <f>INDEX('REVIEW - Complete Role Mapping'!$AF$2:$AF$700,MATCH($A19,'REVIEW - Complete Role Mapping'!$AQ$2:$AQ$700,0))</f>
        <v>Filled</v>
      </c>
      <c r="E19" s="543" t="inlineStr">
        <is>
          <t>Filled</t>
        </is>
      </c>
      <c r="F19" s="1031">
        <f>INDEX('REVIEW - Complete Role Mapping'!$AE$2:$AE$700,MATCH($A19,'REVIEW - Complete Role Mapping'!$AQ$2:$AQ$700,0))</f>
        <v>301254</v>
      </c>
      <c r="G19" s="1031">
        <f>$F19*IF(ISNUMBER(SEARCH("WIPRO",INDEX('REVIEW - Complete Role Mapping'!$R$2:$R$700,MATCH($A19,'REVIEW - Complete Role Mapping'!$AQ$2:$AQ$700,0)))),1,IFERROR(INDEX(Lists!$AD$2:$AD$5,MATCH($E19,Lists!$AC$2:$AC$5,0)),NA()))</f>
        <v>301254</v>
      </c>
    </row>
    <row r="20" ht="14.25" customHeight="1" s="535">
      <c r="A20" s="1045" t="inlineStr">
        <is>
          <t>R0009</t>
        </is>
      </c>
      <c r="B20" s="929" t="str">
        <f>INDEX('REVIEW - Complete Role Mapping'!$B$2:$B$700,MATCH($A20,'REVIEW - Complete Role Mapping'!$AQ$2:$AQ$700,0))</f>
        <v>Areum Kim Lee</v>
      </c>
      <c r="C20" s="929" t="str">
        <f>INDEX('REVIEW - Complete Role Mapping'!$D$2:$D$700,MATCH($A20,'REVIEW - Complete Role Mapping'!$AQ$2:$AQ$700,0))</f>
        <v>Program Manager (PEP13-EGI-UKG)</v>
      </c>
      <c r="D20" s="929" t="str">
        <f>INDEX('REVIEW - Complete Role Mapping'!$AF$2:$AF$700,MATCH($A20,'REVIEW - Complete Role Mapping'!$AQ$2:$AQ$700,0))</f>
        <v>Filled</v>
      </c>
      <c r="E20" s="543" t="inlineStr">
        <is>
          <t>Filled</t>
        </is>
      </c>
      <c r="F20" s="1031">
        <f>INDEX('REVIEW - Complete Role Mapping'!$AE$2:$AE$700,MATCH($A20,'REVIEW - Complete Role Mapping'!$AQ$2:$AQ$700,0))</f>
        <v>343158.72</v>
      </c>
      <c r="G20" s="1031">
        <f>$F20*IF(ISNUMBER(SEARCH("WIPRO",INDEX('REVIEW - Complete Role Mapping'!$R$2:$R$700,MATCH($A20,'REVIEW - Complete Role Mapping'!$AQ$2:$AQ$700,0)))),1,IFERROR(INDEX(Lists!$AD$2:$AD$5,MATCH($E20,Lists!$AC$2:$AC$5,0)),NA()))</f>
        <v>343158.72</v>
      </c>
    </row>
    <row r="21" ht="14.25" customHeight="1" s="535">
      <c r="A21" s="1045" t="inlineStr">
        <is>
          <t>R0010</t>
        </is>
      </c>
      <c r="B21" s="929" t="str">
        <f>INDEX('REVIEW - Complete Role Mapping'!$B$2:$B$700,MATCH($A21,'REVIEW - Complete Role Mapping'!$AQ$2:$AQ$700,0))</f>
        <v>James Munt</v>
      </c>
      <c r="C21" s="929" t="str">
        <f>INDEX('REVIEW - Complete Role Mapping'!$D$2:$D$700,MATCH($A21,'REVIEW - Complete Role Mapping'!$AQ$2:$AQ$700,0))</f>
        <v>Program Manager Tech &amp; P&amp;C</v>
      </c>
      <c r="D21" s="929" t="str">
        <f>INDEX('REVIEW - Complete Role Mapping'!$AF$2:$AF$700,MATCH($A21,'REVIEW - Complete Role Mapping'!$AQ$2:$AQ$700,0))</f>
        <v>Filled</v>
      </c>
      <c r="E21" s="543" t="inlineStr">
        <is>
          <t>Filled</t>
        </is>
      </c>
      <c r="F21" s="1031">
        <f>INDEX('REVIEW - Complete Role Mapping'!$AE$2:$AE$700,MATCH($A21,'REVIEW - Complete Role Mapping'!$AQ$2:$AQ$700,0))</f>
        <v>266400</v>
      </c>
      <c r="G21" s="1031">
        <f>$F21*IF(ISNUMBER(SEARCH("WIPRO",INDEX('REVIEW - Complete Role Mapping'!$R$2:$R$700,MATCH($A21,'REVIEW - Complete Role Mapping'!$AQ$2:$AQ$700,0)))),1,IFERROR(INDEX(Lists!$AD$2:$AD$5,MATCH($E21,Lists!$AC$2:$AC$5,0)),NA()))</f>
        <v>266400</v>
      </c>
    </row>
    <row r="22" ht="14.25" customHeight="1" s="535">
      <c r="A22" s="1045" t="inlineStr">
        <is>
          <t>R0011</t>
        </is>
      </c>
      <c r="B22" s="929" t="str">
        <f>INDEX('REVIEW - Complete Role Mapping'!$B$2:$B$700,MATCH($A22,'REVIEW - Complete Role Mapping'!$AQ$2:$AQ$700,0))</f>
        <v>Jason McNamara</v>
      </c>
      <c r="C22" s="929" t="str">
        <f>INDEX('REVIEW - Complete Role Mapping'!$D$2:$D$700,MATCH($A22,'REVIEW - Complete Role Mapping'!$AQ$2:$AQ$700,0))</f>
        <v>Project Manager Retail</v>
      </c>
      <c r="D22" s="929" t="str">
        <f>INDEX('REVIEW - Complete Role Mapping'!$AF$2:$AF$700,MATCH($A22,'REVIEW - Complete Role Mapping'!$AQ$2:$AQ$700,0))</f>
        <v>Filled</v>
      </c>
      <c r="E22" s="543" t="inlineStr">
        <is>
          <t>Filled</t>
        </is>
      </c>
      <c r="F22" s="1031">
        <f>INDEX('REVIEW - Complete Role Mapping'!$AE$2:$AE$700,MATCH($A22,'REVIEW - Complete Role Mapping'!$AQ$2:$AQ$700,0))</f>
        <v>488400</v>
      </c>
      <c r="G22" s="1031">
        <f>$F22*IF(ISNUMBER(SEARCH("WIPRO",INDEX('REVIEW - Complete Role Mapping'!$R$2:$R$700,MATCH($A22,'REVIEW - Complete Role Mapping'!$AQ$2:$AQ$700,0)))),1,IFERROR(INDEX(Lists!$AD$2:$AD$5,MATCH($E22,Lists!$AC$2:$AC$5,0)),NA()))</f>
        <v>488400</v>
      </c>
    </row>
    <row r="23" ht="14.25" customHeight="1" s="535">
      <c r="A23" s="1045" t="inlineStr">
        <is>
          <t>R0012</t>
        </is>
      </c>
      <c r="B23" s="929" t="str">
        <f>INDEX('REVIEW - Complete Role Mapping'!$B$2:$B$700,MATCH($A23,'REVIEW - Complete Role Mapping'!$AQ$2:$AQ$700,0))</f>
        <v>Karl Reyneke</v>
      </c>
      <c r="C23" s="929" t="str">
        <f>INDEX('REVIEW - Complete Role Mapping'!$D$2:$D$700,MATCH($A23,'REVIEW - Complete Role Mapping'!$AQ$2:$AQ$700,0))</f>
        <v>Strategic Delivery Consultant</v>
      </c>
      <c r="D23" s="929" t="str">
        <f>INDEX('REVIEW - Complete Role Mapping'!$AF$2:$AF$700,MATCH($A23,'REVIEW - Complete Role Mapping'!$AQ$2:$AQ$700,0))</f>
        <v>Filled</v>
      </c>
      <c r="E23" s="543" t="inlineStr">
        <is>
          <t>Filled</t>
        </is>
      </c>
      <c r="F23" s="1031">
        <f>INDEX('REVIEW - Complete Role Mapping'!$AE$2:$AE$700,MATCH($A23,'REVIEW - Complete Role Mapping'!$AQ$2:$AQ$700,0))</f>
        <v>299700</v>
      </c>
      <c r="G23" s="1031">
        <f>$F23*IF(ISNUMBER(SEARCH("WIPRO",INDEX('REVIEW - Complete Role Mapping'!$R$2:$R$700,MATCH($A23,'REVIEW - Complete Role Mapping'!$AQ$2:$AQ$700,0)))),1,IFERROR(INDEX(Lists!$AD$2:$AD$5,MATCH($E23,Lists!$AC$2:$AC$5,0)),NA()))</f>
        <v>299700</v>
      </c>
    </row>
    <row r="24" ht="14.25" customHeight="1" s="535">
      <c r="A24" s="1045" t="inlineStr">
        <is>
          <t>R0013</t>
        </is>
      </c>
      <c r="B24" s="929" t="str">
        <f>INDEX('REVIEW - Complete Role Mapping'!$B$2:$B$700,MATCH($A24,'REVIEW - Complete Role Mapping'!$AQ$2:$AQ$700,0))</f>
        <v>michelle Siegman</v>
      </c>
      <c r="C24" s="929" t="str">
        <f>INDEX('REVIEW - Complete Role Mapping'!$D$2:$D$700,MATCH($A24,'REVIEW - Complete Role Mapping'!$AQ$2:$AQ$700,0))</f>
        <v>Strategic Delivery Consultant</v>
      </c>
      <c r="D24" s="929" t="str">
        <f>INDEX('REVIEW - Complete Role Mapping'!$AF$2:$AF$700,MATCH($A24,'REVIEW - Complete Role Mapping'!$AQ$2:$AQ$700,0))</f>
        <v>Filled</v>
      </c>
      <c r="E24" s="543" t="inlineStr">
        <is>
          <t>Filled</t>
        </is>
      </c>
      <c r="F24" s="1031">
        <f>INDEX('REVIEW - Complete Role Mapping'!$AE$2:$AE$700,MATCH($A24,'REVIEW - Complete Role Mapping'!$AQ$2:$AQ$700,0))</f>
        <v>230436</v>
      </c>
      <c r="G24" s="1031">
        <f>$F24*IF(ISNUMBER(SEARCH("WIPRO",INDEX('REVIEW - Complete Role Mapping'!$R$2:$R$700,MATCH($A24,'REVIEW - Complete Role Mapping'!$AQ$2:$AQ$700,0)))),1,IFERROR(INDEX(Lists!$AD$2:$AD$5,MATCH($E24,Lists!$AC$2:$AC$5,0)),NA()))</f>
        <v>230436</v>
      </c>
    </row>
    <row r="25" ht="14.25" customHeight="1" s="535">
      <c r="A25" s="1045" t="inlineStr">
        <is>
          <t>R0014</t>
        </is>
      </c>
      <c r="B25" s="929" t="str">
        <f>INDEX('REVIEW - Complete Role Mapping'!$B$2:$B$700,MATCH($A25,'REVIEW - Complete Role Mapping'!$AQ$2:$AQ$700,0))</f>
        <v>vijay Solanki</v>
      </c>
      <c r="C25" s="929" t="str">
        <f>INDEX('REVIEW - Complete Role Mapping'!$D$2:$D$700,MATCH($A25,'REVIEW - Complete Role Mapping'!$AQ$2:$AQ$700,0))</f>
        <v>Project Manager Deployment</v>
      </c>
      <c r="D25" s="929" t="str">
        <f>INDEX('REVIEW - Complete Role Mapping'!$AF$2:$AF$700,MATCH($A25,'REVIEW - Complete Role Mapping'!$AQ$2:$AQ$700,0))</f>
        <v>Filled</v>
      </c>
      <c r="E25" s="543" t="inlineStr">
        <is>
          <t>Filled</t>
        </is>
      </c>
      <c r="F25" s="1031">
        <f>INDEX('REVIEW - Complete Role Mapping'!$AE$2:$AE$700,MATCH($A25,'REVIEW - Complete Role Mapping'!$AQ$2:$AQ$700,0))</f>
        <v>266400</v>
      </c>
      <c r="G25" s="1031">
        <f>$F25*IF(ISNUMBER(SEARCH("WIPRO",INDEX('REVIEW - Complete Role Mapping'!$R$2:$R$700,MATCH($A25,'REVIEW - Complete Role Mapping'!$AQ$2:$AQ$700,0)))),1,IFERROR(INDEX(Lists!$AD$2:$AD$5,MATCH($E25,Lists!$AC$2:$AC$5,0)),NA()))</f>
        <v>266400</v>
      </c>
    </row>
    <row r="26" ht="14.25" customHeight="1" s="535">
      <c r="A26" s="1045" t="inlineStr">
        <is>
          <t>R0027</t>
        </is>
      </c>
      <c r="B26" s="929" t="str">
        <f>INDEX('REVIEW - Complete Role Mapping'!$B$2:$B$700,MATCH($A26,'REVIEW - Complete Role Mapping'!$AQ$2:$AQ$700,0))</f>
        <v>Kanika Narula</v>
      </c>
      <c r="C26" s="929" t="str">
        <f>INDEX('REVIEW - Complete Role Mapping'!$D$2:$D$700,MATCH($A26,'REVIEW - Complete Role Mapping'!$AQ$2:$AQ$700,0))</f>
        <v>Business Analyst Digital</v>
      </c>
      <c r="D26" s="929" t="str">
        <f>INDEX('REVIEW - Complete Role Mapping'!$AF$2:$AF$700,MATCH($A26,'REVIEW - Complete Role Mapping'!$AQ$2:$AQ$700,0))</f>
        <v>Filled</v>
      </c>
      <c r="E26" s="543" t="inlineStr">
        <is>
          <t>Filled</t>
        </is>
      </c>
      <c r="F26" s="1031">
        <f>INDEX('REVIEW - Complete Role Mapping'!$AE$2:$AE$700,MATCH($A26,'REVIEW - Complete Role Mapping'!$AQ$2:$AQ$700,0))</f>
        <v>239502.48</v>
      </c>
      <c r="G26" s="1031">
        <f>$F26*IF(ISNUMBER(SEARCH("WIPRO",INDEX('REVIEW - Complete Role Mapping'!$R$2:$R$700,MATCH($A26,'REVIEW - Complete Role Mapping'!$AQ$2:$AQ$700,0)))),1,IFERROR(INDEX(Lists!$AD$2:$AD$5,MATCH($E26,Lists!$AC$2:$AC$5,0)),NA()))</f>
        <v>239502.48</v>
      </c>
    </row>
    <row r="27" ht="14.25" customHeight="1" s="535">
      <c r="A27" s="1045" t="inlineStr">
        <is>
          <t>R0032</t>
        </is>
      </c>
      <c r="B27" s="929" t="str">
        <f>INDEX('REVIEW - Complete Role Mapping'!$B$2:$B$700,MATCH($A27,'REVIEW - Complete Role Mapping'!$AQ$2:$AQ$700,0))</f>
        <v>Winnie Fernandes</v>
      </c>
      <c r="C27" s="929" t="str">
        <f>INDEX('REVIEW - Complete Role Mapping'!$D$2:$D$700,MATCH($A27,'REVIEW - Complete Role Mapping'!$AQ$2:$AQ$700,0))</f>
        <v>Delivery Lead - Integration</v>
      </c>
      <c r="D27" s="929" t="str">
        <f>INDEX('REVIEW - Complete Role Mapping'!$AF$2:$AF$700,MATCH($A27,'REVIEW - Complete Role Mapping'!$AQ$2:$AQ$700,0))</f>
        <v>Filled</v>
      </c>
      <c r="E27" s="543" t="inlineStr">
        <is>
          <t>Filled</t>
        </is>
      </c>
      <c r="F27" s="1031">
        <f>INDEX('REVIEW - Complete Role Mapping'!$AE$2:$AE$700,MATCH($A27,'REVIEW - Complete Role Mapping'!$AQ$2:$AQ$700,0))</f>
        <v>273504</v>
      </c>
      <c r="G27" s="1031">
        <f>$F27*IF(ISNUMBER(SEARCH("WIPRO",INDEX('REVIEW - Complete Role Mapping'!$R$2:$R$700,MATCH($A27,'REVIEW - Complete Role Mapping'!$AQ$2:$AQ$700,0)))),1,IFERROR(INDEX(Lists!$AD$2:$AD$5,MATCH($E27,Lists!$AC$2:$AC$5,0)),NA()))</f>
        <v>273504</v>
      </c>
    </row>
    <row r="28" ht="14.25" customHeight="1" s="535">
      <c r="A28" s="1045" t="inlineStr">
        <is>
          <t>R0034</t>
        </is>
      </c>
      <c r="B28" s="929" t="str">
        <f>INDEX('REVIEW - Complete Role Mapping'!$B$2:$B$700,MATCH($A28,'REVIEW - Complete Role Mapping'!$AQ$2:$AQ$700,0))</f>
        <v>Ernesto Pereira</v>
      </c>
      <c r="C28" s="929" t="str">
        <f>INDEX('REVIEW - Complete Role Mapping'!$D$2:$D$700,MATCH($A28,'REVIEW - Complete Role Mapping'!$AQ$2:$AQ$700,0))</f>
        <v>Project Manger</v>
      </c>
      <c r="D28" s="929" t="str">
        <f>INDEX('REVIEW - Complete Role Mapping'!$AF$2:$AF$700,MATCH($A28,'REVIEW - Complete Role Mapping'!$AQ$2:$AQ$700,0))</f>
        <v>Filled</v>
      </c>
      <c r="E28" s="543" t="inlineStr">
        <is>
          <t>Filled</t>
        </is>
      </c>
      <c r="F28" s="1031">
        <f>INDEX('REVIEW - Complete Role Mapping'!$AE$2:$AE$700,MATCH($A28,'REVIEW - Complete Role Mapping'!$AQ$2:$AQ$700,0))</f>
        <v>222000</v>
      </c>
      <c r="G28" s="1031">
        <f>$F28*IF(ISNUMBER(SEARCH("WIPRO",INDEX('REVIEW - Complete Role Mapping'!$R$2:$R$700,MATCH($A28,'REVIEW - Complete Role Mapping'!$AQ$2:$AQ$700,0)))),1,IFERROR(INDEX(Lists!$AD$2:$AD$5,MATCH($E28,Lists!$AC$2:$AC$5,0)),NA()))</f>
        <v>222000</v>
      </c>
    </row>
    <row r="29" ht="14.25" customHeight="1" s="535">
      <c r="A29" s="1045" t="inlineStr">
        <is>
          <t>R0035</t>
        </is>
      </c>
      <c r="B29" s="929" t="str">
        <f>INDEX('REVIEW - Complete Role Mapping'!$B$2:$B$700,MATCH($A29,'REVIEW - Complete Role Mapping'!$AQ$2:$AQ$700,0))</f>
        <v>Jason Sipkovic</v>
      </c>
      <c r="C29" s="929" t="str">
        <f>INDEX('REVIEW - Complete Role Mapping'!$D$2:$D$700,MATCH($A29,'REVIEW - Complete Role Mapping'!$AQ$2:$AQ$700,0))</f>
        <v>strategic program architect</v>
      </c>
      <c r="D29" s="929" t="str">
        <f>INDEX('REVIEW - Complete Role Mapping'!$AF$2:$AF$700,MATCH($A29,'REVIEW - Complete Role Mapping'!$AQ$2:$AQ$700,0))</f>
        <v>Filled</v>
      </c>
      <c r="E29" s="543" t="inlineStr">
        <is>
          <t>Filled</t>
        </is>
      </c>
      <c r="F29" s="1031">
        <f>INDEX('REVIEW - Complete Role Mapping'!$AE$2:$AE$700,MATCH($A29,'REVIEW - Complete Role Mapping'!$AQ$2:$AQ$700,0))</f>
        <v>333000</v>
      </c>
      <c r="G29" s="1031">
        <f>$F29*IF(ISNUMBER(SEARCH("WIPRO",INDEX('REVIEW - Complete Role Mapping'!$R$2:$R$700,MATCH($A29,'REVIEW - Complete Role Mapping'!$AQ$2:$AQ$700,0)))),1,IFERROR(INDEX(Lists!$AD$2:$AD$5,MATCH($E29,Lists!$AC$2:$AC$5,0)),NA()))</f>
        <v>333000</v>
      </c>
    </row>
    <row r="30" ht="14.25" customHeight="1" s="535">
      <c r="A30" s="1045" t="inlineStr">
        <is>
          <t>R0041</t>
        </is>
      </c>
      <c r="B30" s="929" t="str">
        <f>INDEX('REVIEW - Complete Role Mapping'!$B$2:$B$700,MATCH($A30,'REVIEW - Complete Role Mapping'!$AQ$2:$AQ$700,0))</f>
        <v>Ashish Gupte</v>
      </c>
      <c r="C30" s="929" t="str">
        <f>INDEX('REVIEW - Complete Role Mapping'!$D$2:$D$700,MATCH($A30,'REVIEW - Complete Role Mapping'!$AQ$2:$AQ$700,0))</f>
        <v>DeveloperSAP ECC</v>
      </c>
      <c r="D30" s="929" t="str">
        <f>INDEX('REVIEW - Complete Role Mapping'!$AF$2:$AF$700,MATCH($A30,'REVIEW - Complete Role Mapping'!$AQ$2:$AQ$700,0))</f>
        <v>Filled</v>
      </c>
      <c r="E30" s="543" t="inlineStr">
        <is>
          <t>Filled</t>
        </is>
      </c>
      <c r="F30" s="1031">
        <f>INDEX('REVIEW - Complete Role Mapping'!$AE$2:$AE$700,MATCH($A30,'REVIEW - Complete Role Mapping'!$AQ$2:$AQ$700,0))</f>
        <v>277500</v>
      </c>
      <c r="G30" s="1031">
        <f>$F30*IF(ISNUMBER(SEARCH("WIPRO",INDEX('REVIEW - Complete Role Mapping'!$R$2:$R$700,MATCH($A30,'REVIEW - Complete Role Mapping'!$AQ$2:$AQ$700,0)))),1,IFERROR(INDEX(Lists!$AD$2:$AD$5,MATCH($E30,Lists!$AC$2:$AC$5,0)),NA()))</f>
        <v>277500</v>
      </c>
    </row>
    <row r="31" ht="14.25" customHeight="1" s="535">
      <c r="A31" s="1045" t="inlineStr">
        <is>
          <t>R0049</t>
        </is>
      </c>
      <c r="B31" s="929" t="str">
        <f>INDEX('REVIEW - Complete Role Mapping'!$B$2:$B$700,MATCH($A31,'REVIEW - Complete Role Mapping'!$AQ$2:$AQ$700,0))</f>
        <v>Moitri Pal</v>
      </c>
      <c r="C31" s="929" t="str">
        <f>INDEX('REVIEW - Complete Role Mapping'!$D$2:$D$700,MATCH($A31,'REVIEW - Complete Role Mapping'!$AQ$2:$AQ$700,0))</f>
        <v>Portfolio Mnager</v>
      </c>
      <c r="D31" s="929" t="str">
        <f>INDEX('REVIEW - Complete Role Mapping'!$AF$2:$AF$700,MATCH($A31,'REVIEW - Complete Role Mapping'!$AQ$2:$AQ$700,0))</f>
        <v>Filled</v>
      </c>
      <c r="E31" s="543" t="inlineStr">
        <is>
          <t>Filled</t>
        </is>
      </c>
      <c r="F31" s="1031">
        <f>INDEX('REVIEW - Complete Role Mapping'!$AE$2:$AE$700,MATCH($A31,'REVIEW - Complete Role Mapping'!$AQ$2:$AQ$700,0))</f>
        <v>325464.15</v>
      </c>
      <c r="G31" s="1031">
        <f>$F31*IF(ISNUMBER(SEARCH("WIPRO",INDEX('REVIEW - Complete Role Mapping'!$R$2:$R$700,MATCH($A31,'REVIEW - Complete Role Mapping'!$AQ$2:$AQ$700,0)))),1,IFERROR(INDEX(Lists!$AD$2:$AD$5,MATCH($E31,Lists!$AC$2:$AC$5,0)),NA()))</f>
        <v>325464.15</v>
      </c>
    </row>
    <row r="32" ht="14.25" customHeight="1" s="535">
      <c r="A32" s="1045" t="inlineStr">
        <is>
          <t>R0125</t>
        </is>
      </c>
      <c r="B32" s="929" t="str">
        <f>INDEX('REVIEW - Complete Role Mapping'!$B$2:$B$700,MATCH($A32,'REVIEW - Complete Role Mapping'!$AQ$2:$AQ$700,0))</f>
        <v>Tena Foote</v>
      </c>
      <c r="C32" s="929" t="str">
        <f>INDEX('REVIEW - Complete Role Mapping'!$D$2:$D$700,MATCH($A32,'REVIEW - Complete Role Mapping'!$AQ$2:$AQ$700,0))</f>
        <v>Program Manager </v>
      </c>
      <c r="D32" s="929" t="str">
        <f>INDEX('REVIEW - Complete Role Mapping'!$AF$2:$AF$700,MATCH($A32,'REVIEW - Complete Role Mapping'!$AQ$2:$AQ$700,0))</f>
        <v>Filled</v>
      </c>
      <c r="E32" s="543" t="inlineStr">
        <is>
          <t>Filled</t>
        </is>
      </c>
      <c r="F32" s="1031">
        <f>INDEX('REVIEW - Complete Role Mapping'!$AE$2:$AE$700,MATCH($A32,'REVIEW - Complete Role Mapping'!$AQ$2:$AQ$700,0))</f>
        <v>207400</v>
      </c>
      <c r="G32" s="1031">
        <f>$F32*IF(ISNUMBER(SEARCH("WIPRO",INDEX('REVIEW - Complete Role Mapping'!$R$2:$R$700,MATCH($A32,'REVIEW - Complete Role Mapping'!$AQ$2:$AQ$700,0)))),1,IFERROR(INDEX(Lists!$AD$2:$AD$5,MATCH($E32,Lists!$AC$2:$AC$5,0)),NA()))</f>
        <v>207400</v>
      </c>
    </row>
    <row r="33"/>
    <row r="34" ht="14.25" customHeight="1" s="535">
      <c r="B34" s="1040" t="inlineStr">
        <is>
          <t>Vacancy levers on this tab, for the executive summary</t>
        </is>
      </c>
      <c r="J34" s="1046">
        <f>COUNTIFS($D$14:$D$32,"Vacant",$E$14:$E$32,"Hire")</f>
        <v>0</v>
      </c>
      <c r="K34" s="1046">
        <f>COUNTIFS($D$14:$D$32,"Vacant",$E$14:$E$32,"Offshore")</f>
        <v>0</v>
      </c>
      <c r="L34" s="1046">
        <f>COUNTIFS($D$14:$D$32,"Vacant",$E$14:$E$32,"Hold")</f>
        <v>0</v>
      </c>
      <c r="M34" s="1046">
        <f>COUNTIFS($D$14:$D$32,"Vacant",$E$14:$E$32,"Filled")</f>
        <v>0</v>
      </c>
      <c r="N34" s="1046">
        <f>COUNTIFS($D$14:$D$32,"Filled",$E$14:$E$32,"Offshore")</f>
        <v>0</v>
      </c>
    </row>
  </sheetData>
  <dataValidations count="1">
    <dataValidation sqref="E15:E3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1"/>
  </sheetPr>
  <dimension ref="A1:T34"/>
  <sheetViews>
    <sheetView showFormulas="0" showGridLines="0" showRowColHeaders="1" showZeros="1" rightToLeft="0" tabSelected="0" showOutlineSymbols="1" defaultGridColor="1" view="normal" topLeftCell="A10" colorId="64" zoomScale="100" zoomScaleNormal="100" zoomScalePageLayoutView="100" workbookViewId="0">
      <selection pane="topLeft" activeCell="B24" activeCellId="0" sqref="B24"/>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TDD Cyber - working copy</t>
        </is>
      </c>
    </row>
    <row r="3" ht="14.25" customHeight="1" s="535">
      <c r="B3" s="709" t="inlineStr">
        <is>
          <t>Portfolio</t>
        </is>
      </c>
      <c r="C3" s="868" t="inlineStr">
        <is>
          <t>TDD Cyber</t>
        </is>
      </c>
    </row>
    <row r="4" ht="18.75" customHeight="1" s="535">
      <c r="B4" s="537" t="inlineStr">
        <is>
          <t>TDD Cyber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Identity</t>
        </is>
      </c>
      <c r="C8" s="929" t="str">
        <f>IFERROR(IF(INDEX('1.14 TDD Cyber'!$C$24:$C$29,MATCH($B8,'1.14 TDD Cyber'!$B$24:$B$29,0))="","",INDEX('1.14 TDD Cyber'!$C$24:$C$29,MATCH($B8,'1.14 TDD Cyber'!$B$24:$B$29,0))),"Not on the 1.x tab")</f>
        <v>Operations</v>
      </c>
      <c r="D8" s="929" t="str">
        <f>IFERROR(IF(INDEX('1.14 TDD Cyber'!$D$24:$D$29,MATCH($B8,'1.14 TDD Cyber'!$B$24:$B$29,0))="","",INDEX('1.14 TDD Cyber'!$D$24:$D$29,MATCH($B8,'1.14 TDD Cyber'!$B$24:$B$29,0))),"")</f>
        <v>S</v>
      </c>
      <c r="E8" s="1030">
        <f>IFERROR(INDEX('0.3 Squad Archetypes'!$F$5:$F$23,MATCH($C8&amp;"|"&amp;$D8,'0.3 Squad Archetypes'!$A$5:$A$23,0)),"")</f>
        <v>4</v>
      </c>
      <c r="F8" s="1031">
        <f>COUNTIF($B$29:$B$32,"?*")</f>
        <v>4</v>
      </c>
      <c r="G8" s="1030">
        <f>ROUND(SUMIFS('REVIEW - Complete Role Mapping'!$P$2:$P$700,'REVIEW - Complete Role Mapping'!$AH$2:$AH$700,$C$3,'REVIEW - Complete Role Mapping'!$AL$2:$AL$700,$B8),2)</f>
        <v>4</v>
      </c>
      <c r="H8" s="1031">
        <f>COUNTIFS($D$29:$D$32,"Filled")</f>
        <v>4</v>
      </c>
      <c r="I8" s="1031">
        <f>COUNTIFS($D$29:$D$32,"Vacant")</f>
        <v>0</v>
      </c>
      <c r="J8" s="1031">
        <f>COUNTIFS($D$29:$D$32,"Vacant",$E$29:$E$32,"Hire")</f>
        <v>0</v>
      </c>
      <c r="K8" s="1031">
        <f>COUNTIFS($E$29:$E$32,"Offshore")</f>
        <v>0</v>
      </c>
      <c r="L8" s="1031">
        <f>COUNTIFS($E$29:$E$32,"Hold")</f>
        <v>0</v>
      </c>
      <c r="M8" s="1031">
        <f>$F8-$L8</f>
        <v>4</v>
      </c>
      <c r="N8" s="1032">
        <f>IFERROR(IF(ISNUMBER(INDEX('1.14 TDD Cyber'!$H$24:$H$29,MATCH($B8,'1.14 TDD Cyber'!$B$24:$B$29,0))),INDEX('1.14 TDD Cyber'!$H$24:$H$29,MATCH($B8,'1.14 TDD Cyber'!$B$24:$B$29,0)),""),"")</f>
        <v>0.8</v>
      </c>
      <c r="O8" s="1032">
        <f>SUMIFS('REVIEW - Complete Role Mapping'!$AE$2:$AE$700,'REVIEW - Complete Role Mapping'!$AH$2:$AH$700,$C$3,'REVIEW - Complete Role Mapping'!$AL$2:$AL$700,$B8)/1000000</f>
        <v>0.83820015</v>
      </c>
      <c r="P8" s="1032">
        <f>IFERROR(IF(ISNUMBER(INDEX(Lists!$AW$2:$AW$10,MATCH($B8,Lists!$AU$2:$AU$10,0))),INDEX(Lists!$AW$2:$AW$10,MATCH($B8,Lists!$AU$2:$AU$10,0)),SUMIFS('REVIEW - Complete Role Mapping'!$AE$2:$AE$700,'REVIEW - Complete Role Mapping'!$AH$2:$AH$700,$C$3,'REVIEW - Complete Role Mapping'!$AL$2:$AL$700,$B8,'REVIEW - Complete Role Mapping'!$AM$2:$AM$700,1)/1000000),SUMIFS('REVIEW - Complete Role Mapping'!$AE$2:$AE$700,'REVIEW - Complete Role Mapping'!$AH$2:$AH$700,$C$3,'REVIEW - Complete Role Mapping'!$AL$2:$AL$700,$B8,'REVIEW - Complete Role Mapping'!$AM$2:$AM$700,1)/1000000)</f>
        <v>0</v>
      </c>
      <c r="Q8" s="1032">
        <f>$O8-$P8</f>
        <v>0.83820015</v>
      </c>
      <c r="R8" s="1032">
        <f>IFERROR(ROUND(IF(COUNTIF(Lists!$AU$2:$AU$10,$B8),$O8,$Q8)-$N8,6),"")</f>
        <v>0.0382</v>
      </c>
      <c r="S8" s="1032">
        <f>SUM($G$29:$G$32)/1000000</f>
        <v>0.83820015</v>
      </c>
      <c r="T8" s="1032">
        <f>IFERROR(ROUND($S8-$N8,6),"")</f>
        <v>0.0382</v>
      </c>
    </row>
    <row r="9" ht="14.25" customHeight="1" s="535">
      <c r="B9" s="1029" t="inlineStr">
        <is>
          <t>Directly funded programs and platforms</t>
        </is>
      </c>
      <c r="C9" s="1029" t="n"/>
      <c r="D9" s="1029" t="n"/>
      <c r="E9" s="1029" t="n"/>
      <c r="F9" s="1029" t="n"/>
      <c r="G9" s="1029" t="n"/>
      <c r="H9" s="1029" t="n"/>
      <c r="I9" s="1029" t="n"/>
      <c r="J9" s="1029" t="n"/>
      <c r="K9" s="1029" t="n"/>
      <c r="L9" s="1029" t="n"/>
      <c r="M9" s="1029" t="n"/>
      <c r="N9" s="1029" t="n"/>
      <c r="O9" s="1029" t="n"/>
      <c r="P9" s="1029" t="n"/>
      <c r="Q9" s="1029" t="n"/>
      <c r="R9" s="1029" t="n"/>
      <c r="S9" s="1029" t="n"/>
      <c r="T9" s="1029" t="n"/>
    </row>
    <row r="10" ht="14.25" customHeight="1" s="535">
      <c r="B10" s="929" t="inlineStr">
        <is>
          <t>Cyber Uplift</t>
        </is>
      </c>
      <c r="C10" s="929" t="str">
        <f>IFERROR(IF(INDEX('1.14 TDD Cyber'!$C$24:$C$29,MATCH($B10,'1.14 TDD Cyber'!$B$24:$B$29,0))="","",INDEX('1.14 TDD Cyber'!$C$24:$C$29,MATCH($B10,'1.14 TDD Cyber'!$B$24:$B$29,0))),"Not on the 1.x tab")</f>
        <v>Strategic Programs</v>
      </c>
      <c r="D10" s="929">
        <f>IFERROR(IF(INDEX('1.14 TDD Cyber'!$D$24:$D$29,MATCH($B10,'1.14 TDD Cyber'!$B$24:$B$29,0))="","",INDEX('1.14 TDD Cyber'!$D$24:$D$29,MATCH($B10,'1.14 TDD Cyber'!$B$24:$B$29,0))),"")</f>
        <v/>
      </c>
      <c r="E10" s="1030">
        <f>""</f>
        <v/>
      </c>
      <c r="F10" s="1031">
        <f>COUNTIF($B$23:$B$27,"?*")</f>
        <v>5</v>
      </c>
      <c r="G10" s="1030">
        <f>ROUND(SUMIFS('REVIEW - Complete Role Mapping'!$P$2:$P$700,'REVIEW - Complete Role Mapping'!$AH$2:$AH$700,$C$3,'REVIEW - Complete Role Mapping'!$AL$2:$AL$700,$B10),2)</f>
        <v>5</v>
      </c>
      <c r="H10" s="1031">
        <f>COUNTIFS($D$23:$D$27,"Filled")</f>
        <v>5</v>
      </c>
      <c r="I10" s="1031">
        <f>COUNTIFS($D$23:$D$27,"Vacant")</f>
        <v>0</v>
      </c>
      <c r="J10" s="1031">
        <f>COUNTIFS($D$23:$D$27,"Vacant",$E$23:$E$27,"Hire")</f>
        <v>0</v>
      </c>
      <c r="K10" s="1031">
        <f>COUNTIFS($E$23:$E$27,"Offshore")</f>
        <v>0</v>
      </c>
      <c r="L10" s="1031">
        <f>COUNTIFS($E$23:$E$27,"Hold")</f>
        <v>0</v>
      </c>
      <c r="M10" s="1031">
        <f>$F10-$L10</f>
        <v>5</v>
      </c>
      <c r="N10" s="1032">
        <f>IFERROR(IF(N(INDEX('1.14 TDD Cyber'!$H$24:$H$29,MATCH($B10,'1.14 TDD Cyber'!$B$24:$B$29,0)))&gt;0,INDEX('1.14 TDD Cyber'!$H$24:$H$29,MATCH($B10,'1.14 TDD Cyber'!$B$24:$B$29,0)),IF(N(INDEX('1.14 TDD Cyber'!$I$24:$I$29,MATCH($B10,'1.14 TDD Cyber'!$B$24:$B$29,0)))&gt;0,INDEX('1.14 TDD Cyber'!$I$24:$I$29,MATCH($B10,'1.14 TDD Cyber'!$B$24:$B$29,0)),"")),"")</f>
        <v>1.2998</v>
      </c>
      <c r="O10" s="1032">
        <f>SUMIFS('REVIEW - Complete Role Mapping'!$AE$2:$AE$700,'REVIEW - Complete Role Mapping'!$AH$2:$AH$700,$C$3,'REVIEW - Complete Role Mapping'!$AL$2:$AL$700,$B10)/1000000</f>
        <v>1.29999655</v>
      </c>
      <c r="P10" s="1032">
        <f>IFERROR(IF(ISNUMBER(INDEX(Lists!$AW$2:$AW$10,MATCH($B10,Lists!$AU$2:$AU$10,0))),INDEX(Lists!$AW$2:$AW$10,MATCH($B10,Lists!$AU$2:$AU$10,0)),SUMIFS('REVIEW - Complete Role Mapping'!$AE$2:$AE$700,'REVIEW - Complete Role Mapping'!$AH$2:$AH$700,$C$3,'REVIEW - Complete Role Mapping'!$AL$2:$AL$700,$B10,'REVIEW - Complete Role Mapping'!$AM$2:$AM$700,1)/1000000),SUMIFS('REVIEW - Complete Role Mapping'!$AE$2:$AE$700,'REVIEW - Complete Role Mapping'!$AH$2:$AH$700,$C$3,'REVIEW - Complete Role Mapping'!$AL$2:$AL$700,$B10,'REVIEW - Complete Role Mapping'!$AM$2:$AM$700,1)/1000000)</f>
        <v>1.2998</v>
      </c>
      <c r="Q10" s="1032">
        <f>$O10-$P10</f>
        <v>0.000196550000000073</v>
      </c>
      <c r="R10" s="1032">
        <f>IFERROR(ROUND(IF(COUNTIF(Lists!$AU$2:$AU$10,$B10),$O10,$Q10)-$N10,6),"")</f>
        <v>0.000197</v>
      </c>
      <c r="S10" s="1032">
        <f>SUM($G$23:$G$27)/1000000</f>
        <v>1.29999655</v>
      </c>
      <c r="T10" s="1032">
        <f>IFERROR(ROUND($S10-$N10,6),"")</f>
        <v>0.000197</v>
      </c>
    </row>
    <row r="11" ht="14.25" customHeight="1" s="535">
      <c r="B11" s="1029" t="inlineStr">
        <is>
          <t>Overhead roles</t>
        </is>
      </c>
      <c r="C11" s="1029" t="n"/>
      <c r="D11" s="1029" t="n"/>
      <c r="E11" s="1029" t="n"/>
      <c r="F11" s="1029" t="n"/>
      <c r="G11" s="1029" t="n"/>
      <c r="H11" s="1029" t="n"/>
      <c r="I11" s="1029" t="n"/>
      <c r="J11" s="1029" t="n"/>
      <c r="K11" s="1029" t="n"/>
      <c r="L11" s="1029" t="n"/>
      <c r="M11" s="1029" t="n"/>
      <c r="N11" s="1029" t="n"/>
      <c r="O11" s="1029" t="n"/>
      <c r="P11" s="1029" t="n"/>
      <c r="Q11" s="1029" t="n"/>
      <c r="R11" s="1029" t="n"/>
      <c r="S11" s="1029" t="n"/>
      <c r="T11" s="1029" t="n"/>
    </row>
    <row r="12" ht="14.25" customHeight="1" s="535">
      <c r="B12" s="929" t="inlineStr">
        <is>
          <t>Delivery Manager</t>
        </is>
      </c>
      <c r="C12" s="929">
        <f>""</f>
        <v/>
      </c>
      <c r="D12" s="929">
        <f>""</f>
        <v/>
      </c>
      <c r="E12" s="1030">
        <f>'0.2 Data Config'!$M$14*(N('1.14 TDD Cyber'!$F$7)/'0.2 Data Config'!$N$16)</f>
        <v>0.3</v>
      </c>
      <c r="F12" s="1031" t="n">
        <v>0</v>
      </c>
      <c r="G12" s="1030">
        <f>ROUND(SUMIFS('REVIEW - Complete Role Mapping'!$P$2:$P$700,'REVIEW - Complete Role Mapping'!$AH$2:$AH$700,$C$3,'REVIEW - Complete Role Mapping'!$AL$2:$AL$700,$B12),2)</f>
        <v>0</v>
      </c>
      <c r="H12" s="1031" t="n">
        <v>0</v>
      </c>
      <c r="I12" s="1031" t="n">
        <v>0</v>
      </c>
      <c r="J12" s="1031" t="n">
        <v>0</v>
      </c>
      <c r="K12" s="1031" t="n">
        <v>0</v>
      </c>
      <c r="L12" s="1031" t="n">
        <v>0</v>
      </c>
      <c r="M12" s="1031">
        <f>$F12-$L12</f>
        <v>0</v>
      </c>
      <c r="N12" s="1032">
        <f>'0.2 Data Config'!$N$14*(N('1.14 TDD Cyber'!$F$7)/'0.2 Data Config'!$N$16)</f>
        <v>0.084</v>
      </c>
      <c r="O12" s="1032">
        <f>SUMIFS('REVIEW - Complete Role Mapping'!$AE$2:$AE$700,'REVIEW - Complete Role Mapping'!$AH$2:$AH$700,$C$3,'REVIEW - Complete Role Mapping'!$AL$2:$AL$700,$B12)/1000000</f>
        <v>0</v>
      </c>
      <c r="P12" s="1032">
        <f>IFERROR(IF(ISNUMBER(INDEX(Lists!$AW$2:$AW$10,MATCH($B12,Lists!$AU$2:$AU$10,0))),INDEX(Lists!$AW$2:$AW$10,MATCH($B12,Lists!$AU$2:$AU$10,0)),SUMIFS('REVIEW - Complete Role Mapping'!$AE$2:$AE$700,'REVIEW - Complete Role Mapping'!$AH$2:$AH$700,$C$3,'REVIEW - Complete Role Mapping'!$AL$2:$AL$700,$B12,'REVIEW - Complete Role Mapping'!$AM$2:$AM$700,1)/1000000),SUMIFS('REVIEW - Complete Role Mapping'!$AE$2:$AE$700,'REVIEW - Complete Role Mapping'!$AH$2:$AH$700,$C$3,'REVIEW - Complete Role Mapping'!$AL$2:$AL$700,$B12,'REVIEW - Complete Role Mapping'!$AM$2:$AM$700,1)/1000000)</f>
        <v>0</v>
      </c>
      <c r="Q12" s="1032">
        <f>$O12-$P12</f>
        <v>0</v>
      </c>
      <c r="R12" s="1032">
        <f>ROUND(IF(COUNTIF(Lists!$AU$2:$AU$10,$B12),$O12,$Q12)-$N12,6)</f>
        <v>-0.084</v>
      </c>
      <c r="S12" s="1032" t="n">
        <v>0</v>
      </c>
      <c r="T12" s="1032">
        <f>ROUND($S12-$N12,6)</f>
        <v>-0.084</v>
      </c>
    </row>
    <row r="13" ht="14.25" customHeight="1" s="535">
      <c r="B13" s="929" t="inlineStr">
        <is>
          <t>Technology Manager</t>
        </is>
      </c>
      <c r="C13" s="929">
        <f>""</f>
        <v/>
      </c>
      <c r="D13" s="929">
        <f>""</f>
        <v/>
      </c>
      <c r="E13" s="1030">
        <f>'0.2 Data Config'!$M$15*(N('1.14 TDD Cyber'!$F$7)/'0.2 Data Config'!$N$16)</f>
        <v>0.3</v>
      </c>
      <c r="F13" s="1031" t="n">
        <v>0</v>
      </c>
      <c r="G13" s="1030">
        <f>ROUND(SUMIFS('REVIEW - Complete Role Mapping'!$P$2:$P$700,'REVIEW - Complete Role Mapping'!$AH$2:$AH$700,$C$3,'REVIEW - Complete Role Mapping'!$AL$2:$AL$700,$B13),2)</f>
        <v>0</v>
      </c>
      <c r="H13" s="1031" t="n">
        <v>0</v>
      </c>
      <c r="I13" s="1031" t="n">
        <v>0</v>
      </c>
      <c r="J13" s="1031" t="n">
        <v>0</v>
      </c>
      <c r="K13" s="1031" t="n">
        <v>0</v>
      </c>
      <c r="L13" s="1031" t="n">
        <v>0</v>
      </c>
      <c r="M13" s="1031">
        <f>$F13-$L13</f>
        <v>0</v>
      </c>
      <c r="N13" s="1032">
        <f>'0.2 Data Config'!$N$15*(N('1.14 TDD Cyber'!$F$7)/'0.2 Data Config'!$N$16)</f>
        <v>0.081</v>
      </c>
      <c r="O13" s="1032">
        <f>SUMIFS('REVIEW - Complete Role Mapping'!$AE$2:$AE$700,'REVIEW - Complete Role Mapping'!$AH$2:$AH$700,$C$3,'REVIEW - Complete Role Mapping'!$AL$2:$AL$700,$B13)/1000000</f>
        <v>0</v>
      </c>
      <c r="P13" s="1032">
        <f>IFERROR(IF(ISNUMBER(INDEX(Lists!$AW$2:$AW$10,MATCH($B13,Lists!$AU$2:$AU$10,0))),INDEX(Lists!$AW$2:$AW$10,MATCH($B13,Lists!$AU$2:$AU$10,0)),SUMIFS('REVIEW - Complete Role Mapping'!$AE$2:$AE$700,'REVIEW - Complete Role Mapping'!$AH$2:$AH$700,$C$3,'REVIEW - Complete Role Mapping'!$AL$2:$AL$700,$B13,'REVIEW - Complete Role Mapping'!$AM$2:$AM$700,1)/1000000),SUMIFS('REVIEW - Complete Role Mapping'!$AE$2:$AE$700,'REVIEW - Complete Role Mapping'!$AH$2:$AH$700,$C$3,'REVIEW - Complete Role Mapping'!$AL$2:$AL$700,$B13,'REVIEW - Complete Role Mapping'!$AM$2:$AM$700,1)/1000000)</f>
        <v>0</v>
      </c>
      <c r="Q13" s="1032">
        <f>$O13-$P13</f>
        <v>0</v>
      </c>
      <c r="R13" s="1032">
        <f>ROUND(IF(COUNTIF(Lists!$AU$2:$AU$10,$B13),$O13,$Q13)-$N13,6)</f>
        <v>-0.081</v>
      </c>
      <c r="S13" s="1032" t="n">
        <v>0</v>
      </c>
      <c r="T13" s="1032">
        <f>ROUND($S13-$N13,6)</f>
        <v>-0.081</v>
      </c>
    </row>
    <row r="14" ht="14.25" customHeight="1" s="535">
      <c r="B14" s="1033" t="inlineStr">
        <is>
          <t>Overhead roles total</t>
        </is>
      </c>
      <c r="C14" s="1033" t="n"/>
      <c r="D14" s="1033" t="n"/>
      <c r="E14" s="1034">
        <f>SUM(E12:E13)</f>
        <v>0.6</v>
      </c>
      <c r="F14" s="1035">
        <f>SUM(F12:F13)</f>
        <v>0</v>
      </c>
      <c r="G14" s="1034">
        <f>SUM(G12:G13)</f>
        <v>0</v>
      </c>
      <c r="H14" s="1035">
        <f>SUM(H12:H13)</f>
        <v>0</v>
      </c>
      <c r="I14" s="1035">
        <f>SUM(I12:I13)</f>
        <v>0</v>
      </c>
      <c r="J14" s="1035">
        <f>SUM(J12:J13)</f>
        <v>0</v>
      </c>
      <c r="K14" s="1035">
        <f>SUM(K12:K13)</f>
        <v>0</v>
      </c>
      <c r="L14" s="1035">
        <f>SUM(L12:L13)</f>
        <v>0</v>
      </c>
      <c r="M14" s="1035">
        <f>SUM(M12:M13)</f>
        <v>0</v>
      </c>
      <c r="N14" s="1036">
        <f>IF(COUNT(N12:N13)=0,"",SUM(N12:N13))</f>
        <v>0.165</v>
      </c>
      <c r="O14" s="1036">
        <f>SUM(O12:O13)</f>
        <v>0</v>
      </c>
      <c r="P14" s="1036">
        <f>SUM(P12:P13)</f>
        <v>0</v>
      </c>
      <c r="Q14" s="1036">
        <f>SUM(Q12:Q13)</f>
        <v>0</v>
      </c>
      <c r="R14" s="1036">
        <f>IF(COUNT(N12:N13)=2,ROUND($O14-$N14,6),"")</f>
        <v>-0.165</v>
      </c>
      <c r="S14" s="1036">
        <f>SUM(S12:S13)</f>
        <v>0</v>
      </c>
      <c r="T14" s="1036">
        <f>IF(COUNT(N12:N13)=2,ROUND($S14-$N14,6),"")</f>
        <v>-0.165</v>
      </c>
    </row>
    <row r="15" ht="14.25" customHeight="1" s="535">
      <c r="B15" s="1037" t="inlineStr">
        <is>
          <t>Portfolio overhead roles (Business Partner, Domain Architect, Leadership) (Required to show archetype FTE)</t>
        </is>
      </c>
      <c r="D15" s="1038">
        <f>""</f>
        <v/>
      </c>
      <c r="E15" s="1030">
        <f>ROUND(SUM('0.2 Data Config'!$M$6:$M$9)*(N('1.14 TDD Cyber'!$F$6)/'0.2 Data Config'!$N$10)-(0),6)</f>
        <v>0</v>
      </c>
      <c r="F15" s="1038">
        <f>""</f>
        <v/>
      </c>
      <c r="G15" s="1038">
        <f>""</f>
        <v/>
      </c>
      <c r="H15" s="1038">
        <f>""</f>
        <v/>
      </c>
      <c r="I15" s="1038">
        <f>""</f>
        <v/>
      </c>
      <c r="J15" s="1038">
        <f>""</f>
        <v/>
      </c>
      <c r="K15" s="1038">
        <f>""</f>
        <v/>
      </c>
      <c r="L15" s="1038">
        <f>""</f>
        <v/>
      </c>
      <c r="M15" s="1038">
        <f>""</f>
        <v/>
      </c>
      <c r="N15" s="1032">
        <f>ROUND(N('1.14 TDD Cyber'!$F$6)-(0),6)</f>
        <v>0</v>
      </c>
      <c r="O15" s="1038">
        <f>""</f>
        <v/>
      </c>
      <c r="P15" s="1038">
        <f>""</f>
        <v/>
      </c>
      <c r="Q15" s="1038">
        <f>""</f>
        <v/>
      </c>
      <c r="R15" s="1038">
        <f>""</f>
        <v/>
      </c>
      <c r="S15" s="1038">
        <f>""</f>
        <v/>
      </c>
      <c r="T15" s="1038">
        <f>""</f>
        <v/>
      </c>
    </row>
    <row r="16" ht="14.25" customHeight="1" s="535">
      <c r="B16" s="1037" t="inlineStr">
        <is>
          <t>Business Partners and Domain Architects sit in the COEs</t>
        </is>
      </c>
    </row>
    <row r="17" ht="14.25" customHeight="1" s="535">
      <c r="B17" s="886" t="inlineStr">
        <is>
          <t>Total portfolio</t>
        </is>
      </c>
      <c r="C17" s="886" t="n"/>
      <c r="D17" s="886" t="n"/>
      <c r="E17" s="888">
        <f>SUM(E8:E8,E10:E10,E12:E13,E15:E15)</f>
        <v>4.6</v>
      </c>
      <c r="F17" s="1039">
        <f>SUM(F8:F8,F10:F10,F12:F13,F15:F15)</f>
        <v>9</v>
      </c>
      <c r="G17" s="888">
        <f>SUM(G8:G8,G10:G10,G12:G13,G15:G15)</f>
        <v>9</v>
      </c>
      <c r="H17" s="1039">
        <f>SUM(H8:H8,H10:H10,H12:H13,H15:H15)</f>
        <v>9</v>
      </c>
      <c r="I17" s="1039">
        <f>SUM(I8:I8,I10:I10,I12:I13,I15:I15)</f>
        <v>0</v>
      </c>
      <c r="J17" s="1039">
        <f>SUM(J8:J8,J10:J10,J12:J13,J15:J15)</f>
        <v>0</v>
      </c>
      <c r="K17" s="1039">
        <f>SUM(K8:K8,K10:K10,K12:K13,K15:K15)</f>
        <v>0</v>
      </c>
      <c r="L17" s="1039">
        <f>SUM(L8:L8,L10:L10,L12:L13,L15:L15)</f>
        <v>0</v>
      </c>
      <c r="M17" s="1039">
        <f>SUM(M8:M8,M10:M10,M12:M13,M15:M15)</f>
        <v>9</v>
      </c>
      <c r="N17" s="889">
        <f>IF(COUNT(N8:N8,N10:N10,N12:N13,N15:N15)=0,"",SUM(N8:N8,N10:N10,N12:N13,N15:N15))</f>
        <v>2.2648</v>
      </c>
      <c r="O17" s="889">
        <f>SUM(O8:O8,O10:O10,O12:O13,O15:O15)</f>
        <v>2.1381967</v>
      </c>
      <c r="P17" s="889">
        <f>SUM(P8:P8,P10:P10,P12:P13,P15:P15)</f>
        <v>1.2998</v>
      </c>
      <c r="Q17" s="889">
        <f>SUM(Q8:Q8,Q10:Q10,Q12:Q13,Q15:Q15)</f>
        <v>0.8383967</v>
      </c>
      <c r="R17" s="889">
        <f>IF(ISNUMBER($N17),ROUND($O17-$N17,6),"")</f>
        <v>-0.126603</v>
      </c>
      <c r="S17" s="889">
        <f>SUM(S8:S8,S10:S10,S12:S13,S15:S15)</f>
        <v>2.1381967</v>
      </c>
      <c r="T17" s="889">
        <f>IF(ISNUMBER($N17),ROUND($S17-$N17,6),"")</f>
        <v>-0.126603</v>
      </c>
    </row>
    <row r="18"/>
    <row r="19"/>
    <row r="20" ht="18.75" customHeight="1" s="535">
      <c r="B20" s="537" t="inlineStr">
        <is>
          <t>TDD Cyber FTE</t>
        </is>
      </c>
      <c r="C20" s="538" t="n"/>
      <c r="D20" s="538" t="n"/>
      <c r="E20" s="538" t="n"/>
      <c r="F20" s="538" t="n"/>
      <c r="G20" s="538" t="n"/>
      <c r="H20" s="929" t="inlineStr">
        <is>
          <t>Vacancy lever: Hire prices the role in full, Hold prices it at 0, Offshore at the Offshore rate set on 0.3 Squad Archetypes.</t>
        </is>
      </c>
    </row>
    <row r="21" ht="33.75" customHeight="1" s="535">
      <c r="A21" s="1040" t="inlineStr">
        <is>
          <t>ID</t>
        </is>
      </c>
      <c r="B21" s="877" t="inlineStr">
        <is>
          <t>Name</t>
        </is>
      </c>
      <c r="C21" s="877" t="inlineStr">
        <is>
          <t>Role</t>
        </is>
      </c>
      <c r="D21" s="877" t="inlineStr">
        <is>
          <t>Status</t>
        </is>
      </c>
      <c r="E21" s="877" t="inlineStr">
        <is>
          <t>Vacancy lever</t>
        </is>
      </c>
      <c r="F21" s="877" t="inlineStr">
        <is>
          <t>Role cost ($)</t>
        </is>
      </c>
      <c r="G21" s="877" t="inlineStr">
        <is>
          <t>Cost after lever ($)</t>
        </is>
      </c>
    </row>
    <row r="22" ht="14.25" customHeight="1" s="535">
      <c r="B22" s="1029" t="inlineStr">
        <is>
          <t>Cyber Uplift</t>
        </is>
      </c>
      <c r="C22" s="1029" t="str">
        <f>COUNTIF($B$23:$B$27,"?*")&amp;IF(COUNTIF($B$23:$B$27,"?*")=1," role"," roles")</f>
        <v>5 roles</v>
      </c>
      <c r="D22" s="1029" t="n"/>
      <c r="E22" s="1029" t="n"/>
      <c r="F22" s="1044">
        <f>SUM(F23:F27)</f>
        <v>1299996.55</v>
      </c>
      <c r="G22" s="1044">
        <f>SUM(G23:G27)</f>
        <v>1299996.55</v>
      </c>
    </row>
    <row r="23" ht="14.25" customHeight="1" s="535">
      <c r="A23" s="1045" t="inlineStr">
        <is>
          <t>R0086</t>
        </is>
      </c>
      <c r="B23" s="929" t="str">
        <f>INDEX('REVIEW - Complete Role Mapping'!$B$2:$B$700,MATCH($A23,'REVIEW - Complete Role Mapping'!$AQ$2:$AQ$700,0))</f>
        <v>Vivienne Vasak</v>
      </c>
      <c r="C23" s="929" t="str">
        <f>INDEX('REVIEW - Complete Role Mapping'!$D$2:$D$700,MATCH($A23,'REVIEW - Complete Role Mapping'!$AQ$2:$AQ$700,0))</f>
        <v>Portfolio Manager Cyber Security</v>
      </c>
      <c r="D23" s="929" t="str">
        <f>INDEX('REVIEW - Complete Role Mapping'!$AF$2:$AF$700,MATCH($A23,'REVIEW - Complete Role Mapping'!$AQ$2:$AQ$700,0))</f>
        <v>Filled</v>
      </c>
      <c r="E23" s="543" t="inlineStr">
        <is>
          <t>Filled</t>
        </is>
      </c>
      <c r="F23" s="1031">
        <f>INDEX('REVIEW - Complete Role Mapping'!$AE$2:$AE$700,MATCH($A23,'REVIEW - Complete Role Mapping'!$AQ$2:$AQ$700,0))</f>
        <v>315674.35</v>
      </c>
      <c r="G23" s="1031">
        <f>$F23*IF(ISNUMBER(SEARCH("WIPRO",INDEX('REVIEW - Complete Role Mapping'!$R$2:$R$700,MATCH($A23,'REVIEW - Complete Role Mapping'!$AQ$2:$AQ$700,0)))),1,IFERROR(INDEX(Lists!$AD$2:$AD$5,MATCH($E23,Lists!$AC$2:$AC$5,0)),NA()))</f>
        <v>315674.35</v>
      </c>
    </row>
    <row r="24" ht="14.25" customHeight="1" s="535">
      <c r="A24" s="1045" t="inlineStr">
        <is>
          <t>R0169</t>
        </is>
      </c>
      <c r="B24" s="929" t="str">
        <f>INDEX('REVIEW - Complete Role Mapping'!$B$2:$B$700,MATCH($A24,'REVIEW - Complete Role Mapping'!$AQ$2:$AQ$700,0))</f>
        <v>Kevin Sheerin</v>
      </c>
      <c r="C24" s="929" t="str">
        <f>INDEX('REVIEW - Complete Role Mapping'!$D$2:$D$700,MATCH($A24,'REVIEW - Complete Role Mapping'!$AQ$2:$AQ$700,0))</f>
        <v>Cyber Architecture Lead</v>
      </c>
      <c r="D24" s="929" t="str">
        <f>INDEX('REVIEW - Complete Role Mapping'!$AF$2:$AF$700,MATCH($A24,'REVIEW - Complete Role Mapping'!$AQ$2:$AQ$700,0))</f>
        <v>Filled</v>
      </c>
      <c r="E24" s="543" t="inlineStr">
        <is>
          <t>Filled</t>
        </is>
      </c>
      <c r="F24" s="1031">
        <f>INDEX('REVIEW - Complete Role Mapping'!$AE$2:$AE$700,MATCH($A24,'REVIEW - Complete Role Mapping'!$AQ$2:$AQ$700,0))</f>
        <v>284982.45</v>
      </c>
      <c r="G24" s="1031">
        <f>$F24*IF(ISNUMBER(SEARCH("WIPRO",INDEX('REVIEW - Complete Role Mapping'!$R$2:$R$700,MATCH($A24,'REVIEW - Complete Role Mapping'!$AQ$2:$AQ$700,0)))),1,IFERROR(INDEX(Lists!$AD$2:$AD$5,MATCH($E24,Lists!$AC$2:$AC$5,0)),NA()))</f>
        <v>284982.45</v>
      </c>
    </row>
    <row r="25" ht="14.25" customHeight="1" s="535">
      <c r="A25" s="1045" t="inlineStr">
        <is>
          <t>R0263</t>
        </is>
      </c>
      <c r="B25" s="929" t="str">
        <f>INDEX('REVIEW - Complete Role Mapping'!$B$2:$B$700,MATCH($A25,'REVIEW - Complete Role Mapping'!$AQ$2:$AQ$700,0))</f>
        <v>Dan Balsamo</v>
      </c>
      <c r="C25" s="929" t="str">
        <f>INDEX('REVIEW - Complete Role Mapping'!$D$2:$D$700,MATCH($A25,'REVIEW - Complete Role Mapping'!$AQ$2:$AQ$700,0))</f>
        <v>Senior Cyber Project Manager</v>
      </c>
      <c r="D25" s="929" t="str">
        <f>INDEX('REVIEW - Complete Role Mapping'!$AF$2:$AF$700,MATCH($A25,'REVIEW - Complete Role Mapping'!$AQ$2:$AQ$700,0))</f>
        <v>Filled</v>
      </c>
      <c r="E25" s="543" t="inlineStr">
        <is>
          <t>Filled</t>
        </is>
      </c>
      <c r="F25" s="1031">
        <f>INDEX('REVIEW - Complete Role Mapping'!$AE$2:$AE$700,MATCH($A25,'REVIEW - Complete Role Mapping'!$AQ$2:$AQ$700,0))</f>
        <v>258576.15</v>
      </c>
      <c r="G25" s="1031">
        <f>$F25*IF(ISNUMBER(SEARCH("WIPRO",INDEX('REVIEW - Complete Role Mapping'!$R$2:$R$700,MATCH($A25,'REVIEW - Complete Role Mapping'!$AQ$2:$AQ$700,0)))),1,IFERROR(INDEX(Lists!$AD$2:$AD$5,MATCH($E25,Lists!$AC$2:$AC$5,0)),NA()))</f>
        <v>258576.15</v>
      </c>
    </row>
    <row r="26" ht="14.25" customHeight="1" s="535">
      <c r="A26" s="1045" t="inlineStr">
        <is>
          <t>R0403</t>
        </is>
      </c>
      <c r="B26" s="929" t="str">
        <f>INDEX('REVIEW - Complete Role Mapping'!$B$2:$B$700,MATCH($A26,'REVIEW - Complete Role Mapping'!$AQ$2:$AQ$700,0))</f>
        <v>Catherine Gire</v>
      </c>
      <c r="C26" s="929" t="str">
        <f>INDEX('REVIEW - Complete Role Mapping'!$D$2:$D$700,MATCH($A26,'REVIEW - Complete Role Mapping'!$AQ$2:$AQ$700,0))</f>
        <v>Cyber Technical Business Analyst</v>
      </c>
      <c r="D26" s="929" t="str">
        <f>INDEX('REVIEW - Complete Role Mapping'!$AF$2:$AF$700,MATCH($A26,'REVIEW - Complete Role Mapping'!$AQ$2:$AQ$700,0))</f>
        <v>Filled</v>
      </c>
      <c r="E26" s="543" t="inlineStr">
        <is>
          <t>Filled</t>
        </is>
      </c>
      <c r="F26" s="1031">
        <f>INDEX('REVIEW - Complete Role Mapping'!$AE$2:$AE$700,MATCH($A26,'REVIEW - Complete Role Mapping'!$AQ$2:$AQ$700,0))</f>
        <v>227163.6</v>
      </c>
      <c r="G26" s="1031">
        <f>$F26*IF(ISNUMBER(SEARCH("WIPRO",INDEX('REVIEW - Complete Role Mapping'!$R$2:$R$700,MATCH($A26,'REVIEW - Complete Role Mapping'!$AQ$2:$AQ$700,0)))),1,IFERROR(INDEX(Lists!$AD$2:$AD$5,MATCH($E26,Lists!$AC$2:$AC$5,0)),NA()))</f>
        <v>227163.6</v>
      </c>
    </row>
    <row r="27" ht="14.25" customHeight="1" s="535">
      <c r="A27" s="1045" t="inlineStr">
        <is>
          <t>R0404</t>
        </is>
      </c>
      <c r="B27" s="929" t="str">
        <f>INDEX('REVIEW - Complete Role Mapping'!$B$2:$B$700,MATCH($A27,'REVIEW - Complete Role Mapping'!$AQ$2:$AQ$700,0))</f>
        <v>Tony Keeler</v>
      </c>
      <c r="C27" s="929" t="str">
        <f>INDEX('REVIEW - Complete Role Mapping'!$D$2:$D$700,MATCH($A27,'REVIEW - Complete Role Mapping'!$AQ$2:$AQ$700,0))</f>
        <v>Cyber Business Analyst</v>
      </c>
      <c r="D27" s="929" t="str">
        <f>INDEX('REVIEW - Complete Role Mapping'!$AF$2:$AF$700,MATCH($A27,'REVIEW - Complete Role Mapping'!$AQ$2:$AQ$700,0))</f>
        <v>Filled</v>
      </c>
      <c r="E27" s="543" t="inlineStr">
        <is>
          <t>Filled</t>
        </is>
      </c>
      <c r="F27" s="1031">
        <f>INDEX('REVIEW - Complete Role Mapping'!$AE$2:$AE$700,MATCH($A27,'REVIEW - Complete Role Mapping'!$AQ$2:$AQ$700,0))</f>
        <v>213600</v>
      </c>
      <c r="G27" s="1031">
        <f>$F27*IF(ISNUMBER(SEARCH("WIPRO",INDEX('REVIEW - Complete Role Mapping'!$R$2:$R$700,MATCH($A27,'REVIEW - Complete Role Mapping'!$AQ$2:$AQ$700,0)))),1,IFERROR(INDEX(Lists!$AD$2:$AD$5,MATCH($E27,Lists!$AC$2:$AC$5,0)),NA()))</f>
        <v>213600</v>
      </c>
    </row>
    <row r="28" ht="14.25" customHeight="1" s="535">
      <c r="B28" s="1029" t="inlineStr">
        <is>
          <t>Identity</t>
        </is>
      </c>
      <c r="C28" s="1029" t="str">
        <f>COUNTIF($B$29:$B$32,"?*")&amp;IF(COUNTIF($B$29:$B$32,"?*")=1," role"," roles")</f>
        <v>4 roles</v>
      </c>
      <c r="D28" s="1029" t="n"/>
      <c r="E28" s="1029" t="n"/>
      <c r="F28" s="1044">
        <f>SUM(F29:F32)</f>
        <v>838200.15</v>
      </c>
      <c r="G28" s="1044">
        <f>SUM(G29:G32)</f>
        <v>838200.15</v>
      </c>
    </row>
    <row r="29" ht="14.25" customHeight="1" s="535">
      <c r="A29" s="1045" t="inlineStr">
        <is>
          <t>R0168</t>
        </is>
      </c>
      <c r="B29" s="929" t="str">
        <f>INDEX('REVIEW - Complete Role Mapping'!$B$2:$B$700,MATCH($A29,'REVIEW - Complete Role Mapping'!$AQ$2:$AQ$700,0))</f>
        <v>Joe Nahma</v>
      </c>
      <c r="C29" s="929" t="str">
        <f>INDEX('REVIEW - Complete Role Mapping'!$D$2:$D$700,MATCH($A29,'REVIEW - Complete Role Mapping'!$AQ$2:$AQ$700,0))</f>
        <v>Manager Identity &amp; Access Management</v>
      </c>
      <c r="D29" s="929" t="str">
        <f>INDEX('REVIEW - Complete Role Mapping'!$AF$2:$AF$700,MATCH($A29,'REVIEW - Complete Role Mapping'!$AQ$2:$AQ$700,0))</f>
        <v>Filled</v>
      </c>
      <c r="E29" s="543" t="inlineStr">
        <is>
          <t>Filled</t>
        </is>
      </c>
      <c r="F29" s="1031">
        <f>INDEX('REVIEW - Complete Role Mapping'!$AE$2:$AE$700,MATCH($A29,'REVIEW - Complete Role Mapping'!$AQ$2:$AQ$700,0))</f>
        <v>258709.65</v>
      </c>
      <c r="G29" s="1031">
        <f>$F29*IF(ISNUMBER(SEARCH("WIPRO",INDEX('REVIEW - Complete Role Mapping'!$R$2:$R$700,MATCH($A29,'REVIEW - Complete Role Mapping'!$AQ$2:$AQ$700,0)))),1,IFERROR(INDEX(Lists!$AD$2:$AD$5,MATCH($E29,Lists!$AC$2:$AC$5,0)),NA()))</f>
        <v>258709.65</v>
      </c>
    </row>
    <row r="30" ht="14.25" customHeight="1" s="535">
      <c r="A30" s="1045" t="inlineStr">
        <is>
          <t>R0308</t>
        </is>
      </c>
      <c r="B30" s="929" t="str">
        <f>INDEX('REVIEW - Complete Role Mapping'!$B$2:$B$700,MATCH($A30,'REVIEW - Complete Role Mapping'!$AQ$2:$AQ$700,0))</f>
        <v>Iwan Wibisono</v>
      </c>
      <c r="C30" s="929" t="str">
        <f>INDEX('REVIEW - Complete Role Mapping'!$D$2:$D$700,MATCH($A30,'REVIEW - Complete Role Mapping'!$AQ$2:$AQ$700,0))</f>
        <v>Engineer - IDAM</v>
      </c>
      <c r="D30" s="929" t="str">
        <f>INDEX('REVIEW - Complete Role Mapping'!$AF$2:$AF$700,MATCH($A30,'REVIEW - Complete Role Mapping'!$AQ$2:$AQ$700,0))</f>
        <v>Filled</v>
      </c>
      <c r="E30" s="543" t="inlineStr">
        <is>
          <t>Filled</t>
        </is>
      </c>
      <c r="F30" s="1031">
        <f>INDEX('REVIEW - Complete Role Mapping'!$AE$2:$AE$700,MATCH($A30,'REVIEW - Complete Role Mapping'!$AQ$2:$AQ$700,0))</f>
        <v>215682.6</v>
      </c>
      <c r="G30" s="1031">
        <f>$F30*IF(ISNUMBER(SEARCH("WIPRO",INDEX('REVIEW - Complete Role Mapping'!$R$2:$R$700,MATCH($A30,'REVIEW - Complete Role Mapping'!$AQ$2:$AQ$700,0)))),1,IFERROR(INDEX(Lists!$AD$2:$AD$5,MATCH($E30,Lists!$AC$2:$AC$5,0)),NA()))</f>
        <v>215682.6</v>
      </c>
    </row>
    <row r="31" ht="14.25" customHeight="1" s="535">
      <c r="A31" s="1045" t="inlineStr">
        <is>
          <t>R0447</t>
        </is>
      </c>
      <c r="B31" s="929" t="str">
        <f>INDEX('REVIEW - Complete Role Mapping'!$B$2:$B$700,MATCH($A31,'REVIEW - Complete Role Mapping'!$AQ$2:$AQ$700,0))</f>
        <v>Raymond Cheung</v>
      </c>
      <c r="C31" s="929" t="str">
        <f>INDEX('REVIEW - Complete Role Mapping'!$D$2:$D$700,MATCH($A31,'REVIEW - Complete Role Mapping'!$AQ$2:$AQ$700,0))</f>
        <v>Engineer - IDAM</v>
      </c>
      <c r="D31" s="929" t="str">
        <f>INDEX('REVIEW - Complete Role Mapping'!$AF$2:$AF$700,MATCH($A31,'REVIEW - Complete Role Mapping'!$AQ$2:$AQ$700,0))</f>
        <v>Filled</v>
      </c>
      <c r="E31" s="543" t="inlineStr">
        <is>
          <t>Filled</t>
        </is>
      </c>
      <c r="F31" s="1031">
        <f>INDEX('REVIEW - Complete Role Mapping'!$AE$2:$AE$700,MATCH($A31,'REVIEW - Complete Role Mapping'!$AQ$2:$AQ$700,0))</f>
        <v>190675</v>
      </c>
      <c r="G31" s="1031">
        <f>$F31*IF(ISNUMBER(SEARCH("WIPRO",INDEX('REVIEW - Complete Role Mapping'!$R$2:$R$700,MATCH($A31,'REVIEW - Complete Role Mapping'!$AQ$2:$AQ$700,0)))),1,IFERROR(INDEX(Lists!$AD$2:$AD$5,MATCH($E31,Lists!$AC$2:$AC$5,0)),NA()))</f>
        <v>190675</v>
      </c>
    </row>
    <row r="32" ht="14.25" customHeight="1" s="535">
      <c r="A32" s="1045" t="inlineStr">
        <is>
          <t>R0448</t>
        </is>
      </c>
      <c r="B32" s="929" t="str">
        <f>INDEX('REVIEW - Complete Role Mapping'!$B$2:$B$700,MATCH($A32,'REVIEW - Complete Role Mapping'!$AQ$2:$AQ$700,0))</f>
        <v>Cameron Watman</v>
      </c>
      <c r="C32" s="929" t="str">
        <f>INDEX('REVIEW - Complete Role Mapping'!$D$2:$D$700,MATCH($A32,'REVIEW - Complete Role Mapping'!$AQ$2:$AQ$700,0))</f>
        <v>Engineer - IDAM</v>
      </c>
      <c r="D32" s="929" t="str">
        <f>INDEX('REVIEW - Complete Role Mapping'!$AF$2:$AF$700,MATCH($A32,'REVIEW - Complete Role Mapping'!$AQ$2:$AQ$700,0))</f>
        <v>Filled</v>
      </c>
      <c r="E32" s="543" t="inlineStr">
        <is>
          <t>Filled</t>
        </is>
      </c>
      <c r="F32" s="1031">
        <f>INDEX('REVIEW - Complete Role Mapping'!$AE$2:$AE$700,MATCH($A32,'REVIEW - Complete Role Mapping'!$AQ$2:$AQ$700,0))</f>
        <v>173132.9</v>
      </c>
      <c r="G32" s="1031">
        <f>$F32*IF(ISNUMBER(SEARCH("WIPRO",INDEX('REVIEW - Complete Role Mapping'!$R$2:$R$700,MATCH($A32,'REVIEW - Complete Role Mapping'!$AQ$2:$AQ$700,0)))),1,IFERROR(INDEX(Lists!$AD$2:$AD$5,MATCH($E32,Lists!$AC$2:$AC$5,0)),NA()))</f>
        <v>173132.9</v>
      </c>
    </row>
    <row r="33"/>
    <row r="34" ht="14.25" customHeight="1" s="535">
      <c r="B34" s="1040" t="inlineStr">
        <is>
          <t>Vacancy levers on this tab, for the executive summary</t>
        </is>
      </c>
      <c r="J34" s="1046">
        <f>COUNTIFS($D$22:$D$32,"Vacant",$E$22:$E$32,"Hire")</f>
        <v>0</v>
      </c>
      <c r="K34" s="1046">
        <f>COUNTIFS($D$22:$D$32,"Vacant",$E$22:$E$32,"Offshore")</f>
        <v>0</v>
      </c>
      <c r="L34" s="1046">
        <f>COUNTIFS($D$22:$D$32,"Vacant",$E$22:$E$32,"Hold")</f>
        <v>0</v>
      </c>
      <c r="M34" s="1046">
        <f>COUNTIFS($D$22:$D$32,"Vacant",$E$22:$E$32,"Filled")</f>
        <v>0</v>
      </c>
      <c r="N34" s="1046">
        <f>COUNTIFS($D$22:$D$32,"Filled",$E$22:$E$32,"Offshore")</f>
        <v>0</v>
      </c>
    </row>
  </sheetData>
  <dataValidations count="1">
    <dataValidation sqref="E23:E27 E29:E3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N23" activeCellId="0" sqref="N23"/>
    </sheetView>
  </sheetViews>
  <sheetFormatPr baseColWidth="8" defaultColWidth="8.54296875" defaultRowHeight="14.25" zeroHeight="0" outlineLevelRow="0"/>
  <cols>
    <col width="2" customWidth="1" style="534" min="1" max="1"/>
    <col width="60" customWidth="1" style="534" min="2" max="2"/>
  </cols>
  <sheetData>
    <row r="2" ht="21" customHeight="1" s="535">
      <c r="B2" s="1051"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1"/>
  </sheetPr>
  <dimension ref="A1:M27"/>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O14" activeCellId="0" sqref="O14"/>
    </sheetView>
  </sheetViews>
  <sheetFormatPr baseColWidth="8" defaultColWidth="8.54296875" defaultRowHeight="14.25" zeroHeight="0" outlineLevelRow="0"/>
  <cols>
    <col width="2" customWidth="1" style="534" min="1" max="1"/>
    <col width="34" customWidth="1" style="534" min="2" max="2"/>
    <col width="24" customWidth="1" style="534" min="3" max="3"/>
    <col width="15" customWidth="1" style="534" min="4" max="4"/>
    <col width="14" customWidth="1" style="534" min="5" max="5"/>
    <col width="17" customWidth="1" style="534" min="6" max="8"/>
    <col width="9" customWidth="1" style="534" min="10" max="10"/>
    <col width="8" customWidth="1" style="534" min="11" max="11"/>
    <col width="14" customWidth="1" style="534" min="13" max="13"/>
  </cols>
  <sheetData>
    <row r="1"/>
    <row r="2" ht="21" customHeight="1" s="535">
      <c r="B2" s="536" t="inlineStr">
        <is>
          <t>Archetype cost to actual cost</t>
        </is>
      </c>
    </row>
    <row r="3"/>
    <row r="4" ht="48" customHeight="1" s="535">
      <c r="B4" s="877" t="inlineStr">
        <is>
          <t>Line</t>
        </is>
      </c>
      <c r="C4" s="877" t="inlineStr">
        <is>
          <t>Portfolio</t>
        </is>
      </c>
      <c r="D4" s="877" t="inlineStr">
        <is>
          <t>Archetype cost ($m)</t>
        </is>
      </c>
      <c r="E4" s="877" t="inlineStr">
        <is>
          <t>Actual cost ($m)</t>
        </is>
      </c>
      <c r="F4" s="877" t="inlineStr">
        <is>
          <t>Funded outside TDD, before the cyber uplift recharge ($m)</t>
        </is>
      </c>
      <c r="G4" s="877" t="inlineStr">
        <is>
          <t>TDD-funded cost ($m)</t>
        </is>
      </c>
      <c r="H4" s="877" t="inlineStr">
        <is>
          <t>Variance to archetype, the portfolio allowance included ($m)</t>
        </is>
      </c>
      <c r="I4" s="675" t="inlineStr">
        <is>
          <t>Cost after levers, the Business Partner and Domain Architect pots netted out of the COE lines ($m)</t>
        </is>
      </c>
      <c r="J4" s="877" t="inlineStr">
        <is>
          <t>Total roles</t>
        </is>
      </c>
      <c r="K4" s="877" t="inlineStr">
        <is>
          <t>Filled</t>
        </is>
      </c>
      <c r="L4" s="877" t="inlineStr">
        <is>
          <t>Vacant</t>
        </is>
      </c>
      <c r="M4" s="675" t="inlineStr">
        <is>
          <t>Total roles after levers</t>
        </is>
      </c>
    </row>
    <row r="5" ht="18.75" customHeight="1" s="535">
      <c r="B5" s="537" t="inlineStr">
        <is>
          <t>TDD</t>
        </is>
      </c>
      <c r="C5" s="538" t="n"/>
      <c r="D5" s="538" t="n"/>
      <c r="E5" s="538" t="n"/>
      <c r="F5" s="538" t="n"/>
      <c r="G5" s="538" t="n"/>
      <c r="H5" s="538" t="n"/>
      <c r="I5" s="538" t="n"/>
      <c r="J5" s="538" t="n"/>
      <c r="K5" s="538" t="n"/>
      <c r="L5" s="538" t="n"/>
      <c r="M5" s="538" t="n"/>
    </row>
    <row r="6" ht="14.25" customHeight="1" s="535">
      <c r="B6" s="929" t="inlineStr">
        <is>
          <t>Ampol Retail</t>
        </is>
      </c>
      <c r="C6" s="929" t="inlineStr">
        <is>
          <t>Ampol Retail</t>
        </is>
      </c>
      <c r="D6" s="1032">
        <f>'2.1 Ampol Retail'!$N$27</f>
        <v>13.9238245812</v>
      </c>
      <c r="E6" s="1032">
        <f>'2.1 Ampol Retail'!$O$27</f>
        <v>13.5755242192</v>
      </c>
      <c r="F6" s="1032">
        <f>'2.1 Ampol Retail'!$P$27</f>
        <v>2.5862355812</v>
      </c>
      <c r="G6" s="1032">
        <f>'2.1 Ampol Retail'!$Q$27</f>
        <v>10.989288638</v>
      </c>
      <c r="H6" s="1032">
        <f>IFERROR(ROUND($E6-$D6,6),"")</f>
        <v>-0.3483</v>
      </c>
      <c r="I6" s="1032">
        <f>'2.1 Ampol Retail'!$S$27</f>
        <v>11.8536567682</v>
      </c>
      <c r="J6" s="1031">
        <f>'2.1 Ampol Retail'!$F$27</f>
        <v>69</v>
      </c>
      <c r="K6" s="1031">
        <f>'2.1 Ampol Retail'!$H$27</f>
        <v>47</v>
      </c>
      <c r="L6" s="1031">
        <f>'2.1 Ampol Retail'!$I$27</f>
        <v>22</v>
      </c>
      <c r="M6" s="1031">
        <f>'2.1 Ampol Retail'!$M$27</f>
        <v>68</v>
      </c>
    </row>
    <row r="7" ht="14.25" customHeight="1" s="535">
      <c r="B7" s="929" t="inlineStr">
        <is>
          <t>Z Retail</t>
        </is>
      </c>
      <c r="C7" s="929" t="inlineStr">
        <is>
          <t>Z Retail</t>
        </is>
      </c>
      <c r="D7" s="1032">
        <f>'2.10 Z Retail'!$N$20</f>
        <v>7.9075</v>
      </c>
      <c r="E7" s="1032">
        <f>'2.10 Z Retail'!$O$20</f>
        <v>7.315443458</v>
      </c>
      <c r="F7" s="1032">
        <f>'2.10 Z Retail'!$P$20</f>
        <v>0</v>
      </c>
      <c r="G7" s="1032">
        <f>'2.10 Z Retail'!$Q$20</f>
        <v>7.315443458</v>
      </c>
      <c r="H7" s="1032">
        <f>IFERROR(ROUND($E7-$D7,6),"")</f>
        <v>-0.592057</v>
      </c>
      <c r="I7" s="1032">
        <f>'2.10 Z Retail'!$S$20</f>
        <v>6.666290208</v>
      </c>
      <c r="J7" s="1031">
        <f>'2.10 Z Retail'!$F$20</f>
        <v>39</v>
      </c>
      <c r="K7" s="1031">
        <f>'2.10 Z Retail'!$H$20</f>
        <v>32</v>
      </c>
      <c r="L7" s="1031">
        <f>'2.10 Z Retail'!$I$20</f>
        <v>7</v>
      </c>
      <c r="M7" s="1031">
        <f>'2.10 Z Retail'!$M$20</f>
        <v>36</v>
      </c>
    </row>
    <row r="8" ht="14.25" customHeight="1" s="535">
      <c r="B8" s="929" t="inlineStr">
        <is>
          <t>Customer</t>
        </is>
      </c>
      <c r="C8" s="929" t="inlineStr">
        <is>
          <t>Customer</t>
        </is>
      </c>
      <c r="D8" s="1032">
        <f>'2.2 Customer'!$N$30</f>
        <v>15.4511109</v>
      </c>
      <c r="E8" s="1032">
        <f>'2.2 Customer'!$O$30</f>
        <v>16.44131100212</v>
      </c>
      <c r="F8" s="1032">
        <f>'2.2 Customer'!$P$30</f>
        <v>2.0986109</v>
      </c>
      <c r="G8" s="1032">
        <f>'2.2 Customer'!$Q$30</f>
        <v>14.34270010212</v>
      </c>
      <c r="H8" s="1032">
        <f>IFERROR(ROUND($E8-$D8,6),"")</f>
        <v>0.9902</v>
      </c>
      <c r="I8" s="1032">
        <f>'2.2 Customer'!$S$30</f>
        <v>16.44131100212</v>
      </c>
      <c r="J8" s="1031">
        <f>'2.2 Customer'!$F$30</f>
        <v>83</v>
      </c>
      <c r="K8" s="1031">
        <f>'2.2 Customer'!$H$30</f>
        <v>70</v>
      </c>
      <c r="L8" s="1031">
        <f>'2.2 Customer'!$I$30</f>
        <v>13</v>
      </c>
      <c r="M8" s="1031">
        <f>'2.2 Customer'!$M$30</f>
        <v>83</v>
      </c>
    </row>
    <row r="9" ht="14.25" customHeight="1" s="535">
      <c r="B9" s="929" t="inlineStr">
        <is>
          <t>Enterprise Data</t>
        </is>
      </c>
      <c r="C9" s="929" t="inlineStr">
        <is>
          <t>Enterprise Data</t>
        </is>
      </c>
      <c r="D9" s="1032">
        <f>'2.3 Enterprise Data'!$N$23</f>
        <v>7.09845565</v>
      </c>
      <c r="E9" s="1032">
        <f>'2.3 Enterprise Data'!$O$23</f>
        <v>7.095608906</v>
      </c>
      <c r="F9" s="1032">
        <f>'2.3 Enterprise Data'!$P$23</f>
        <v>1.83595565</v>
      </c>
      <c r="G9" s="1032">
        <f>'2.3 Enterprise Data'!$Q$23</f>
        <v>5.259653256</v>
      </c>
      <c r="H9" s="1032">
        <f>IFERROR(ROUND($E9-$D9,6),"")</f>
        <v>-0.002847</v>
      </c>
      <c r="I9" s="1032">
        <f>'2.3 Enterprise Data'!$S$23</f>
        <v>6.316559406</v>
      </c>
      <c r="J9" s="1031">
        <f>'2.3 Enterprise Data'!$F$23</f>
        <v>31</v>
      </c>
      <c r="K9" s="1031">
        <f>'2.3 Enterprise Data'!$H$23</f>
        <v>23</v>
      </c>
      <c r="L9" s="1031">
        <f>'2.3 Enterprise Data'!$I$23</f>
        <v>8</v>
      </c>
      <c r="M9" s="1031">
        <f>'2.3 Enterprise Data'!$M$23</f>
        <v>27</v>
      </c>
    </row>
    <row r="10" ht="14.25" customHeight="1" s="535">
      <c r="B10" s="929" t="inlineStr">
        <is>
          <t>TDD Group Functions</t>
        </is>
      </c>
      <c r="C10" s="929" t="inlineStr">
        <is>
          <t>TDD Group Functions</t>
        </is>
      </c>
      <c r="D10" s="1032">
        <f>'2.4 TDD Group Functions'!$N$24</f>
        <v>8.88704851</v>
      </c>
      <c r="E10" s="1032">
        <f>'2.4 TDD Group Functions'!$O$24</f>
        <v>10.6091080354435</v>
      </c>
      <c r="F10" s="1032">
        <f>'2.4 TDD Group Functions'!$P$24</f>
        <v>1.32454851</v>
      </c>
      <c r="G10" s="1032">
        <f>'2.4 TDD Group Functions'!$Q$24</f>
        <v>9.28455952544348</v>
      </c>
      <c r="H10" s="1032">
        <f>IFERROR(ROUND($E10-$D10,6),"")</f>
        <v>1.72206</v>
      </c>
      <c r="I10" s="1032">
        <f>'2.4 TDD Group Functions'!$S$24</f>
        <v>8.91132253064348</v>
      </c>
      <c r="J10" s="1031">
        <f>'2.4 TDD Group Functions'!$F$24</f>
        <v>48</v>
      </c>
      <c r="K10" s="1031">
        <f>'2.4 TDD Group Functions'!$H$24</f>
        <v>36</v>
      </c>
      <c r="L10" s="1031">
        <f>'2.4 TDD Group Functions'!$I$24</f>
        <v>12</v>
      </c>
      <c r="M10" s="1031">
        <f>'2.4 TDD Group Functions'!$M$24</f>
        <v>45</v>
      </c>
    </row>
    <row r="11" ht="14.25" customHeight="1" s="535">
      <c r="B11" s="929" t="inlineStr">
        <is>
          <t>P&amp;C</t>
        </is>
      </c>
      <c r="C11" s="929" t="inlineStr">
        <is>
          <t>P&amp;C</t>
        </is>
      </c>
      <c r="D11" s="1032">
        <f>'2.5 P&amp;C'!$N$20</f>
        <v>4.701465</v>
      </c>
      <c r="E11" s="1032">
        <f>'2.5 P&amp;C'!$O$20</f>
        <v>3.92749623</v>
      </c>
      <c r="F11" s="1032">
        <f>'2.5 P&amp;C'!$P$20</f>
        <v>0.238965</v>
      </c>
      <c r="G11" s="1032">
        <f>'2.5 P&amp;C'!$Q$20</f>
        <v>3.68853123</v>
      </c>
      <c r="H11" s="1032">
        <f>IFERROR(ROUND($E11-$D11,6),"")</f>
        <v>-0.773969</v>
      </c>
      <c r="I11" s="1032">
        <f>'2.5 P&amp;C'!$S$20</f>
        <v>3.72290853</v>
      </c>
      <c r="J11" s="1031">
        <f>'2.5 P&amp;C'!$F$20</f>
        <v>17</v>
      </c>
      <c r="K11" s="1031">
        <f>'2.5 P&amp;C'!$H$20</f>
        <v>8</v>
      </c>
      <c r="L11" s="1031">
        <f>'2.5 P&amp;C'!$I$20</f>
        <v>9</v>
      </c>
      <c r="M11" s="1031">
        <f>'2.5 P&amp;C'!$M$20</f>
        <v>17</v>
      </c>
    </row>
    <row r="12" ht="14.25" customHeight="1" s="535">
      <c r="B12" s="929" t="inlineStr">
        <is>
          <t>Finance</t>
        </is>
      </c>
      <c r="C12" s="929" t="inlineStr">
        <is>
          <t>Finance</t>
        </is>
      </c>
      <c r="D12" s="1032">
        <f>'2.6 Finance'!$N$20</f>
        <v>4.70422845</v>
      </c>
      <c r="E12" s="1032">
        <f>'2.6 Finance'!$O$20</f>
        <v>3.5428346605</v>
      </c>
      <c r="F12" s="1032">
        <f>'2.6 Finance'!$P$20</f>
        <v>0.24172845</v>
      </c>
      <c r="G12" s="1032">
        <f>'2.6 Finance'!$Q$20</f>
        <v>3.3011062105</v>
      </c>
      <c r="H12" s="1032">
        <f>IFERROR(ROUND($E12-$D12,6),"")</f>
        <v>-1.161394</v>
      </c>
      <c r="I12" s="1032">
        <f>'2.6 Finance'!$S$20</f>
        <v>3.5428346605</v>
      </c>
      <c r="J12" s="1031">
        <f>'2.6 Finance'!$F$20</f>
        <v>17</v>
      </c>
      <c r="K12" s="1031">
        <f>'2.6 Finance'!$H$20</f>
        <v>8</v>
      </c>
      <c r="L12" s="1031">
        <f>'2.6 Finance'!$I$20</f>
        <v>9</v>
      </c>
      <c r="M12" s="1031">
        <f>'2.6 Finance'!$M$20</f>
        <v>17</v>
      </c>
    </row>
    <row r="13" ht="14.25" customHeight="1" s="535">
      <c r="B13" s="929" t="inlineStr">
        <is>
          <t>Infrastructure</t>
        </is>
      </c>
      <c r="C13" s="929" t="inlineStr">
        <is>
          <t>Infrastructure</t>
        </is>
      </c>
      <c r="D13" s="1032">
        <f>'2.7 Infrastructure'!$N$22</f>
        <v>6.8525</v>
      </c>
      <c r="E13" s="1032">
        <f>'2.7 Infrastructure'!$O$22</f>
        <v>7.78125394</v>
      </c>
      <c r="F13" s="1032">
        <f>'2.7 Infrastructure'!$P$22</f>
        <v>0</v>
      </c>
      <c r="G13" s="1032">
        <f>'2.7 Infrastructure'!$Q$22</f>
        <v>7.78125394</v>
      </c>
      <c r="H13" s="1032">
        <f>IFERROR(ROUND($E13-$D13,6),"")</f>
        <v>0.928754</v>
      </c>
      <c r="I13" s="1032">
        <f>'2.7 Infrastructure'!$S$22</f>
        <v>6.74276054</v>
      </c>
      <c r="J13" s="1031">
        <f>'2.7 Infrastructure'!$F$22</f>
        <v>36</v>
      </c>
      <c r="K13" s="1031">
        <f>'2.7 Infrastructure'!$H$22</f>
        <v>29</v>
      </c>
      <c r="L13" s="1031">
        <f>'2.7 Infrastructure'!$I$22</f>
        <v>7</v>
      </c>
      <c r="M13" s="1031">
        <f>'2.7 Infrastructure'!$M$22</f>
        <v>34</v>
      </c>
    </row>
    <row r="14" ht="14.25" customHeight="1" s="535">
      <c r="B14" s="929" t="inlineStr">
        <is>
          <t>Energy Solutions &amp; B2B</t>
        </is>
      </c>
      <c r="C14" s="929" t="inlineStr">
        <is>
          <t>Energy Solutions &amp; B2B</t>
        </is>
      </c>
      <c r="D14" s="1032">
        <f>'2.8 Energy Solutions &amp; B2B'!$N$19</f>
        <v>7.1275</v>
      </c>
      <c r="E14" s="1032">
        <f>'2.8 Energy Solutions &amp; B2B'!$O$19</f>
        <v>6.341619662</v>
      </c>
      <c r="F14" s="1032">
        <f>'2.8 Energy Solutions &amp; B2B'!$P$19</f>
        <v>0</v>
      </c>
      <c r="G14" s="1032">
        <f>'2.8 Energy Solutions &amp; B2B'!$Q$19</f>
        <v>6.341619662</v>
      </c>
      <c r="H14" s="1032">
        <f>IFERROR(ROUND($E14-$D14,6),"")</f>
        <v>-0.78588</v>
      </c>
      <c r="I14" s="1032">
        <f>'2.8 Energy Solutions &amp; B2B'!$S$19</f>
        <v>6.341619662</v>
      </c>
      <c r="J14" s="1031">
        <f>'2.8 Energy Solutions &amp; B2B'!$F$19</f>
        <v>33</v>
      </c>
      <c r="K14" s="1031">
        <f>'2.8 Energy Solutions &amp; B2B'!$H$19</f>
        <v>26</v>
      </c>
      <c r="L14" s="1031">
        <f>'2.8 Energy Solutions &amp; B2B'!$I$19</f>
        <v>7</v>
      </c>
      <c r="M14" s="1031">
        <f>'2.8 Energy Solutions &amp; B2B'!$M$19</f>
        <v>33</v>
      </c>
    </row>
    <row r="15" ht="14.25" customHeight="1" s="535">
      <c r="B15" s="929" t="inlineStr">
        <is>
          <t>Commercial Fuels</t>
        </is>
      </c>
      <c r="C15" s="929" t="inlineStr">
        <is>
          <t>Commercial Fuels</t>
        </is>
      </c>
      <c r="D15" s="1032">
        <f>'2.9 Commercial Fuels'!$N$21</f>
        <v>9.9725</v>
      </c>
      <c r="E15" s="1032">
        <f>'2.9 Commercial Fuels'!$O$21</f>
        <v>10.1976697287</v>
      </c>
      <c r="F15" s="1032">
        <f>'2.9 Commercial Fuels'!$P$21</f>
        <v>3.8</v>
      </c>
      <c r="G15" s="1032">
        <f>'2.9 Commercial Fuels'!$Q$21</f>
        <v>6.3976697287</v>
      </c>
      <c r="H15" s="1032">
        <f>IFERROR(ROUND($E15-$D15,6),"")</f>
        <v>0.22517</v>
      </c>
      <c r="I15" s="1032">
        <f>'2.9 Commercial Fuels'!$S$21</f>
        <v>10.0750979787</v>
      </c>
      <c r="J15" s="1031">
        <f>'2.9 Commercial Fuels'!$F$21</f>
        <v>42</v>
      </c>
      <c r="K15" s="1031">
        <f>'2.9 Commercial Fuels'!$H$21</f>
        <v>33</v>
      </c>
      <c r="L15" s="1031">
        <f>'2.9 Commercial Fuels'!$I$21</f>
        <v>9</v>
      </c>
      <c r="M15" s="1031">
        <f>'2.9 Commercial Fuels'!$M$21</f>
        <v>41</v>
      </c>
    </row>
    <row r="16" ht="14.25" customHeight="1" s="535">
      <c r="B16" s="929" t="inlineStr">
        <is>
          <t>TDD Cyber</t>
        </is>
      </c>
      <c r="C16" s="929" t="inlineStr">
        <is>
          <t>TDD Cyber</t>
        </is>
      </c>
      <c r="D16" s="1032">
        <f>'2.15 TDD Cyber'!$N$17</f>
        <v>2.2648</v>
      </c>
      <c r="E16" s="1032">
        <f>'2.15 TDD Cyber'!$O$17</f>
        <v>2.1381967</v>
      </c>
      <c r="F16" s="1032">
        <f>'2.15 TDD Cyber'!$P$17</f>
        <v>1.2998</v>
      </c>
      <c r="G16" s="1032">
        <f>'2.15 TDD Cyber'!$Q$17</f>
        <v>0.8383967</v>
      </c>
      <c r="H16" s="1032">
        <f>IFERROR(ROUND($E16-$D16,6),"")</f>
        <v>-0.126603</v>
      </c>
      <c r="I16" s="1032">
        <f>'2.15 TDD Cyber'!$S$17</f>
        <v>2.1381967</v>
      </c>
      <c r="J16" s="1031">
        <f>'2.15 TDD Cyber'!$F$17</f>
        <v>9</v>
      </c>
      <c r="K16" s="1031">
        <f>'2.15 TDD Cyber'!$H$17</f>
        <v>9</v>
      </c>
      <c r="L16" s="1031">
        <f>'2.15 TDD Cyber'!$I$17</f>
        <v>0</v>
      </c>
      <c r="M16" s="1031">
        <f>'2.15 TDD Cyber'!$M$17</f>
        <v>9</v>
      </c>
    </row>
    <row r="17" ht="14.25" customHeight="1" s="535">
      <c r="B17" s="929" t="inlineStr">
        <is>
          <t>Cyber, Risk &amp; Service Operations</t>
        </is>
      </c>
      <c r="C17" s="929" t="inlineStr">
        <is>
          <t>Cyber, Risk &amp; Service Operations</t>
        </is>
      </c>
      <c r="D17" s="1032">
        <f>$E17</f>
        <v>7.7301015812</v>
      </c>
      <c r="E17" s="1032">
        <f>'2.11 Cyber Risk &amp; Service Ops'!$O$13</f>
        <v>7.7301015812</v>
      </c>
      <c r="F17" s="1032">
        <f>'2.11 Cyber Risk &amp; Service Ops'!$P$13</f>
        <v>0</v>
      </c>
      <c r="G17" s="1032">
        <f>'2.11 Cyber Risk &amp; Service Ops'!$Q$13</f>
        <v>7.7301015812</v>
      </c>
      <c r="H17" s="1032">
        <f>IFERROR(ROUND($E17-$D17,6),"")</f>
        <v>0</v>
      </c>
      <c r="I17" s="1032">
        <f>'2.11 Cyber Risk &amp; Service Ops'!$S$13</f>
        <v>5.9279171292</v>
      </c>
      <c r="J17" s="1031">
        <f>'2.11 Cyber Risk &amp; Service Ops'!$F$13</f>
        <v>37</v>
      </c>
      <c r="K17" s="1031">
        <f>'2.11 Cyber Risk &amp; Service Ops'!$H$13</f>
        <v>33</v>
      </c>
      <c r="L17" s="1031">
        <f>'2.11 Cyber Risk &amp; Service Ops'!$I$13</f>
        <v>4</v>
      </c>
      <c r="M17" s="1031">
        <f>'2.11 Cyber Risk &amp; Service Ops'!$M$13</f>
        <v>37</v>
      </c>
    </row>
    <row r="18" ht="14.25" customHeight="1" s="535">
      <c r="B18" s="929" t="inlineStr">
        <is>
          <t>COE BP&amp;T</t>
        </is>
      </c>
      <c r="C18" s="929" t="inlineStr">
        <is>
          <t>COE BP&amp;T</t>
        </is>
      </c>
      <c r="D18" s="1032">
        <f>$E18</f>
        <v>6.400561822</v>
      </c>
      <c r="E18" s="1032">
        <f>'2.12 COE BP&amp;T'!$O$11</f>
        <v>6.400561822</v>
      </c>
      <c r="F18" s="1032">
        <f>'2.12 COE BP&amp;T'!$P$11</f>
        <v>0</v>
      </c>
      <c r="G18" s="1032">
        <f>'2.12 COE BP&amp;T'!$Q$11</f>
        <v>6.400561822</v>
      </c>
      <c r="H18" s="1032">
        <f>IFERROR(ROUND($E18-$D18,6),"")</f>
        <v>0</v>
      </c>
      <c r="I18" s="1032">
        <f>'2.12 COE BP&amp;T'!$S$11+'2.12 COE BP&amp;T'!$C$26</f>
        <v>3.863007622</v>
      </c>
      <c r="J18" s="1031">
        <f>'2.12 COE BP&amp;T'!$F$11</f>
        <v>24</v>
      </c>
      <c r="K18" s="1031">
        <f>'2.12 COE BP&amp;T'!$H$11</f>
        <v>16</v>
      </c>
      <c r="L18" s="1031">
        <f>'2.12 COE BP&amp;T'!$I$11</f>
        <v>8</v>
      </c>
      <c r="M18" s="1031">
        <f>'2.12 COE BP&amp;T'!$M$11</f>
        <v>24</v>
      </c>
    </row>
    <row r="19" ht="14.25" customHeight="1" s="535">
      <c r="B19" s="929" t="inlineStr">
        <is>
          <t>COE SA&amp;D</t>
        </is>
      </c>
      <c r="C19" s="929" t="inlineStr">
        <is>
          <t>COE SA&amp;D</t>
        </is>
      </c>
      <c r="D19" s="1032">
        <f>$E19</f>
        <v>5.781598002</v>
      </c>
      <c r="E19" s="1032">
        <f>'2.13 COE SA&amp;D'!$O$13</f>
        <v>5.781598002</v>
      </c>
      <c r="F19" s="1032">
        <f>'2.13 COE SA&amp;D'!$P$13</f>
        <v>0</v>
      </c>
      <c r="G19" s="1032">
        <f>'2.13 COE SA&amp;D'!$Q$13</f>
        <v>5.781598002</v>
      </c>
      <c r="H19" s="1032">
        <f>IFERROR(ROUND($E19-$D19,6),"")</f>
        <v>0</v>
      </c>
      <c r="I19" s="1032">
        <f>'2.13 COE SA&amp;D'!$S$13+'2.13 COE SA&amp;D'!$C$28</f>
        <v>3.386265866</v>
      </c>
      <c r="J19" s="1031">
        <f>'2.13 COE SA&amp;D'!$F$13</f>
        <v>23</v>
      </c>
      <c r="K19" s="1031">
        <f>'2.13 COE SA&amp;D'!$H$13</f>
        <v>11</v>
      </c>
      <c r="L19" s="1031">
        <f>'2.13 COE SA&amp;D'!$I$13</f>
        <v>12</v>
      </c>
      <c r="M19" s="1031">
        <f>'2.13 COE SA&amp;D'!$M$13</f>
        <v>19</v>
      </c>
    </row>
    <row r="20" ht="14.25" customHeight="1" s="535">
      <c r="B20" s="929" t="inlineStr">
        <is>
          <t>EGI</t>
        </is>
      </c>
      <c r="C20" s="929" t="inlineStr">
        <is>
          <t>EGI</t>
        </is>
      </c>
      <c r="D20" s="1032">
        <f>$E20</f>
        <v>5.15081935</v>
      </c>
      <c r="E20" s="1032">
        <f>'2.14 EGI'!$O$9</f>
        <v>5.15081935</v>
      </c>
      <c r="F20" s="1032">
        <f>'2.14 EGI'!$P$9</f>
        <v>5.15081935</v>
      </c>
      <c r="G20" s="1032">
        <f>'2.14 EGI'!$Q$9</f>
        <v>0</v>
      </c>
      <c r="H20" s="1032">
        <f>IFERROR(ROUND($E20-$D20,6),"")</f>
        <v>0</v>
      </c>
      <c r="I20" s="1032">
        <f>'2.14 EGI'!$S$9</f>
        <v>5.15081935</v>
      </c>
      <c r="J20" s="1031">
        <f>'2.14 EGI'!$F$9</f>
        <v>18</v>
      </c>
      <c r="K20" s="1031">
        <f>'2.14 EGI'!$H$9</f>
        <v>18</v>
      </c>
      <c r="L20" s="1031">
        <f>'2.14 EGI'!$I$9</f>
        <v>0</v>
      </c>
      <c r="M20" s="1031">
        <f>'2.14 EGI'!$M$9</f>
        <v>18</v>
      </c>
    </row>
    <row r="21" ht="14.25" customHeight="1" s="535">
      <c r="B21" s="1052" t="str">
        <f>"TDD total ( "&amp;TEXT(COUNTA('REVIEW - Complete Role Mapping'!$B$2:$B$700),"0")&amp;" roles in consolidated role mapping)"</f>
        <v>TDD total ( 526 roles in consolidated role mapping)</v>
      </c>
      <c r="C21" s="886" t="n"/>
      <c r="D21" s="889">
        <f>IF(COUNT($D6,$D7,$D8,$D9,$D10,$D11,$D12,$D13,$D14,$D15,$D16,$D17,$D18,$D19,$D20)=15,SUM($D6,$D7,$D8,$D9,$D10,$D11,$D12,$D13,$D14,$D15,$D16,$D17,$D18,$D19,$D20),"")</f>
        <v>113.9540138464</v>
      </c>
      <c r="E21" s="889">
        <f>N(E6)+N(E7)+N(E8)+N(E9)+N(E10)+N(E11)+N(E12)+N(E13)+N(E14)+N(E15)+N(E16)+N(E17)+N(E18)+N(E19)+N(E20)</f>
        <v>114.029147297163</v>
      </c>
      <c r="F21" s="889">
        <f>N(F6)+N(F7)+N(F8)+N(F9)+N(F10)+N(F11)+N(F12)+N(F13)+N(F14)+N(F15)+N(F16)+N(F17)+N(F18)+N(F19)+N(F20)</f>
        <v>18.5766634412</v>
      </c>
      <c r="G21" s="889">
        <f>N(G6)+N(G7)+N(G8)+N(G9)+N(G10)+N(G11)+N(G12)+N(G13)+N(G14)+N(G15)+N(G16)+N(G17)+N(G18)+N(G19)+N(G20)</f>
        <v>95.4524838559635</v>
      </c>
      <c r="H21" s="889">
        <f>IF(ISNUMBER($D21),ROUND($E21-$D21,6),"")</f>
        <v>0.075133</v>
      </c>
      <c r="I21" s="889">
        <f>N(I6)+N(I7)+N(I8)+N(I9)+N(I10)+N(I11)+N(I12)+N(I13)+N(I14)+N(I15)+N(I16)+N(I17)+N(I18)+N(I19)+N(I20)</f>
        <v>101.080567953363</v>
      </c>
      <c r="J21" s="1039">
        <f>N(J6)+N(J7)+N(J8)+N(J9)+N(J10)+N(J11)+N(J12)+N(J13)+N(J14)+N(J15)+N(J16)+N(J17)+N(J18)+N(J19)+N(J20)</f>
        <v>526</v>
      </c>
      <c r="K21" s="1039">
        <f>N(K6)+N(K7)+N(K8)+N(K9)+N(K10)+N(K11)+N(K12)+N(K13)+N(K14)+N(K15)+N(K16)+N(K17)+N(K18)+N(K19)+N(K20)</f>
        <v>399</v>
      </c>
      <c r="L21" s="1039">
        <f>N(L6)+N(L7)+N(L8)+N(L9)+N(L10)+N(L11)+N(L12)+N(L13)+N(L14)+N(L15)+N(L16)+N(L17)+N(L18)+N(L19)+N(L20)</f>
        <v>127</v>
      </c>
      <c r="M21" s="1039">
        <f>N(M6)+N(M7)+N(M8)+N(M9)+N(M10)+N(M11)+N(M12)+N(M13)+N(M14)+N(M15)+N(M16)+N(M17)+N(M18)+N(M19)+N(M20)</f>
        <v>508</v>
      </c>
    </row>
    <row r="22" ht="14.25" customHeight="1" s="535">
      <c r="B22" s="1052" t="inlineStr">
        <is>
          <t>TDD-funded total</t>
        </is>
      </c>
      <c r="C22" s="886" t="n"/>
      <c r="D22" s="889" t="n"/>
      <c r="E22" s="889" t="n"/>
      <c r="F22" s="889" t="n"/>
      <c r="G22" s="889">
        <f>SUM($G$6:$G$20)</f>
        <v>95.4524838559635</v>
      </c>
      <c r="H22" s="889" t="n"/>
      <c r="I22" s="889" t="n"/>
      <c r="J22" s="1039" t="n"/>
      <c r="K22" s="1039" t="n"/>
      <c r="L22" s="1039" t="n"/>
      <c r="M22" s="1039" t="n"/>
    </row>
    <row r="23" ht="14.25" customHeight="1" s="535">
      <c r="B23" s="1053" t="inlineStr">
        <is>
          <t>GM roles (excluded from the role mapping)</t>
        </is>
      </c>
      <c r="C23" s="539" t="n"/>
      <c r="D23" s="541">
        <f>N(Lists!$AJ$7)</f>
        <v>3</v>
      </c>
      <c r="E23" s="541">
        <f>N(Lists!$AG$13)</f>
        <v>5.1</v>
      </c>
      <c r="F23" s="541">
        <f>0</f>
        <v>0</v>
      </c>
      <c r="G23" s="541">
        <f>$E$23</f>
        <v>5.1</v>
      </c>
      <c r="H23" s="541">
        <f>ROUND($E23-$D23,6)</f>
        <v>2.1</v>
      </c>
      <c r="I23" s="541">
        <f>N(Lists!$AG$13)</f>
        <v>5.1</v>
      </c>
      <c r="J23" s="540">
        <f>N(Lists!$AG$12)</f>
        <v>8</v>
      </c>
      <c r="K23" s="540">
        <f>N(Lists!$AG$12)</f>
        <v>8</v>
      </c>
      <c r="L23" s="540">
        <f>""</f>
        <v/>
      </c>
      <c r="M23" s="540">
        <f>N(Lists!$AG$12)</f>
        <v>8</v>
      </c>
    </row>
    <row r="24" ht="14.25" customHeight="1" s="535">
      <c r="B24" s="886" t="inlineStr">
        <is>
          <t>Total TDD cost including the GM layer</t>
        </is>
      </c>
      <c r="C24" s="886" t="n"/>
      <c r="D24" s="889">
        <f>N(D21)+N(D23)</f>
        <v>116.9540138464</v>
      </c>
      <c r="E24" s="889">
        <f>N(E21)+N(E23)</f>
        <v>119.129147297163</v>
      </c>
      <c r="F24" s="889">
        <f>N(F21)+N(F23)</f>
        <v>18.5766634412</v>
      </c>
      <c r="G24" s="889">
        <f>N(G21)+N(G23)</f>
        <v>100.552483855963</v>
      </c>
      <c r="H24" s="889">
        <f>ROUND($E24-$D24,6)</f>
        <v>2.175133</v>
      </c>
      <c r="I24" s="889">
        <f>N(I21)+N(I23)</f>
        <v>106.180567953363</v>
      </c>
      <c r="J24" s="1039">
        <f>N(J21)+N(J23)</f>
        <v>534</v>
      </c>
      <c r="K24" s="1039">
        <f>N(K21)+N(K23)</f>
        <v>407</v>
      </c>
      <c r="L24" s="1039">
        <f>N(L21)+N(L23)</f>
        <v>127</v>
      </c>
      <c r="M24" s="1039">
        <f>N(M21)+N(M23)</f>
        <v>516</v>
      </c>
    </row>
    <row r="25" ht="14.25" customFormat="1" customHeight="1" s="1042"/>
    <row r="26"/>
    <row r="27">
      <c r="B27" s="534" t="str">
        <f>"Cost after levers reads three ways. Here it is "&amp;TEXT($I$21,"#,##0.00;(#,##0.00)")&amp;"m, with the Business Partner and Domain Architect pots netted out of the COE lines. On 3.3 Squad Actuals to Archetype it is "&amp;TEXT('3.3 Squad Actuals to Archetype'!$O$122,"#,##0.00;(#,##0.00)")&amp;"m, the pots left in and the cyber uplift recharge out. On 3.5 TDD Lights On it is "&amp;TEXT('3.5 TDD Lights On'!$C$23,"#,##0.00;(#,##0.00)")&amp;"m, everything in. Funded outside TDD reads "&amp;TEXT($F$21,"#,##0.00;(#,##0.00)")&amp;"m here against "&amp;TEXT('3.5 TDD Lights On'!$D$23,"#,##0.00;(#,##0.00)")&amp;"m there, the difference being the same cyber uplift recharge."</f>
        <v>Cost after levers reads three ways. Here it is 101.08m, with the Business Partner and Domain Architect pots netted out of the COE lines. On 3.3 Squad Actuals to Archetype it is 104.78m, the pots left in and the cyber uplift recharge out. On 3.5 TDD Lights On it is 105.28m, everything in. Funded outside TDD reads 18.58m here against 19.07m there, the difference being the same cyber uplift recharge.</v>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1"/>
  </sheetPr>
  <dimension ref="A1:M29"/>
  <sheetViews>
    <sheetView showFormulas="0" showGridLines="0" showRowColHeaders="1" showZeros="1" rightToLeft="0" tabSelected="0" showOutlineSymbols="1" defaultGridColor="1" view="normal" topLeftCell="A20" colorId="64" zoomScale="120" zoomScaleNormal="120" zoomScalePageLayoutView="100" workbookViewId="0">
      <selection pane="topLeft" activeCell="M8" activeCellId="0" sqref="M8"/>
    </sheetView>
  </sheetViews>
  <sheetFormatPr baseColWidth="8" defaultColWidth="8.54296875" defaultRowHeight="14.25" zeroHeight="0" outlineLevelRow="0"/>
  <cols>
    <col width="2" customWidth="1" style="534" min="1" max="1"/>
    <col width="34" customWidth="1" style="534" min="2" max="2"/>
    <col width="42" customWidth="1" style="534" min="3" max="3"/>
    <col width="14" customWidth="1" style="534" min="4" max="4"/>
    <col width="12" customWidth="1" style="534" min="5" max="5"/>
    <col width="16" customWidth="1" style="534" min="6" max="7"/>
    <col width="15" customWidth="1" style="534" min="8" max="9"/>
    <col width="16" customWidth="1" style="534" min="10" max="10"/>
    <col width="19" customWidth="1" style="534" min="11" max="11"/>
    <col width="30" customWidth="1" style="534" min="12" max="12"/>
    <col width="26" customWidth="1" style="534" min="13" max="13"/>
  </cols>
  <sheetData>
    <row r="1"/>
    <row r="2" ht="21" customHeight="1" s="535">
      <c r="B2" s="536" t="inlineStr">
        <is>
          <t>Archetype Overhead &amp; Actual Leadership comparison</t>
        </is>
      </c>
    </row>
    <row r="3"/>
    <row r="4" ht="103.5" customHeight="1" s="535">
      <c r="B4" s="877" t="inlineStr">
        <is>
          <t>Overhead roles</t>
        </is>
      </c>
      <c r="C4" s="877" t="inlineStr">
        <is>
          <t>Applied to</t>
        </is>
      </c>
      <c r="D4" s="877" t="inlineStr">
        <is>
          <t>Archetype allocation (per portfolio or platform) ($m)</t>
        </is>
      </c>
      <c r="E4" s="877" t="inlineStr">
        <is>
          <t># of times applied in archetypes</t>
        </is>
      </c>
      <c r="F4" s="877" t="inlineStr">
        <is>
          <t>Roles priced for in archetype</t>
        </is>
      </c>
      <c r="G4" s="877" t="inlineStr">
        <is>
          <t>Actual number of leadership roles</t>
        </is>
      </c>
      <c r="H4" s="877" t="inlineStr">
        <is>
          <t># of roles not applied in archetype</t>
        </is>
      </c>
      <c r="I4" s="877" t="inlineStr">
        <is>
          <t>Total Archetype cost ($m)</t>
        </is>
      </c>
      <c r="J4" s="877" t="inlineStr">
        <is>
          <t>Actual cost of leadership roles</t>
        </is>
      </c>
      <c r="K4" s="877" t="inlineStr">
        <is>
          <t>Variance between archetype and actuals</t>
        </is>
      </c>
      <c r="L4" s="675" t="inlineStr">
        <is>
          <t>Where each role sits</t>
        </is>
      </c>
      <c r="M4" s="877" t="inlineStr">
        <is>
          <t>Allocation applied</t>
        </is>
      </c>
    </row>
    <row r="5" ht="30" customHeight="1" s="535">
      <c r="B5" s="929" t="str">
        <f>Lists!$AF$2</f>
        <v>Head of Technology</v>
      </c>
      <c r="C5" s="929" t="str">
        <f>Lists!$AI$2</f>
        <v>portfolios</v>
      </c>
      <c r="D5" s="1054">
        <f>Lists!$AG$2</f>
        <v>0.1375</v>
      </c>
      <c r="E5" s="1055" t="n">
        <v>10</v>
      </c>
      <c r="F5" s="1030">
        <f>$E5*N('0.2 Data Config'!$M$6)</f>
        <v>5</v>
      </c>
      <c r="G5" s="1031">
        <f>IF($B5="Leadership - 8 GMs",N(Lists!$AG$12),COUNTIFS('REVIEW - Complete Role Mapping'!$AK$2:$AK$700,$B5,'REVIEW - Complete Role Mapping'!$B$2:$B$700,"&lt;&gt;"))</f>
        <v>15</v>
      </c>
      <c r="H5" s="1056">
        <f>ROUND($G5-$F5,6)</f>
        <v>10</v>
      </c>
      <c r="I5" s="1032">
        <f>ROUND($E5*$D5,6)</f>
        <v>1.375</v>
      </c>
      <c r="J5" s="1032">
        <f>IF($B5="Leadership - 8 GMs",N(Lists!$AG$13),SUMIFS('REVIEW - Complete Role Mapping'!$AE$2:$AE$700,'REVIEW - Complete Role Mapping'!$AK$2:$AK$700,$B5,'REVIEW - Complete Role Mapping'!$B$2:$B$700,"&lt;&gt;")/1000000)</f>
        <v>4.908911684</v>
      </c>
      <c r="K5" s="896">
        <f>ROUND($J5-$I5,6)</f>
        <v>3.533912</v>
      </c>
      <c r="L5" s="1057" t="inlineStr">
        <is>
          <t>10 in the portfolios, 5 in the COEs</t>
        </is>
      </c>
      <c r="M5" s="929" t="str">
        <f>TEXT(N('0.2 Data Config'!$M$6),"0%")&amp;" across "&amp;TEXT($E5,"0")&amp;" "&amp;LOWER($C5)</f>
        <v>50% across 10 portfolios</v>
      </c>
    </row>
    <row r="6" ht="30" customHeight="1" s="535">
      <c r="B6" s="929" t="str">
        <f>Lists!$AF$3</f>
        <v>Business Partner</v>
      </c>
      <c r="C6" s="929" t="str">
        <f>Lists!$AI$3</f>
        <v>portfolios</v>
      </c>
      <c r="D6" s="1054">
        <f>Lists!$AG$3</f>
        <v>0.22</v>
      </c>
      <c r="E6" s="1055" t="n">
        <v>10</v>
      </c>
      <c r="F6" s="1030">
        <f>$E6*N('0.2 Data Config'!$M$7)</f>
        <v>5</v>
      </c>
      <c r="G6" s="1031">
        <f>IF($B6="Leadership - 8 GMs",N(Lists!$AG$12),COUNTIFS('REVIEW - Complete Role Mapping'!$AK$2:$AK$700,$B6,'REVIEW - Complete Role Mapping'!$B$2:$B$700,"&lt;&gt;"))</f>
        <v>6</v>
      </c>
      <c r="H6" s="1056">
        <f>ROUND($G6-$F6,6)</f>
        <v>1</v>
      </c>
      <c r="I6" s="1032">
        <f>ROUND($E6*$D6,6)</f>
        <v>2.2</v>
      </c>
      <c r="J6" s="1032">
        <f>IF($B6="Leadership - 8 GMs",N(Lists!$AG$13),SUMIFS('REVIEW - Complete Role Mapping'!$AE$2:$AE$700,'REVIEW - Complete Role Mapping'!$AK$2:$AK$700,$B6,'REVIEW - Complete Role Mapping'!$B$2:$B$700,"&lt;&gt;")/1000000)</f>
        <v>2.3135484</v>
      </c>
      <c r="K6" s="896">
        <f>ROUND($J6-$I6,6)</f>
        <v>0.113548</v>
      </c>
      <c r="L6" s="1057" t="inlineStr">
        <is>
          <t>All 6 in the COEs</t>
        </is>
      </c>
      <c r="M6" s="929" t="str">
        <f>TEXT(N('0.2 Data Config'!$M$7),"0%")&amp;" across "&amp;TEXT($E6,"0")&amp;" "&amp;LOWER($C6)</f>
        <v>50% across 10 portfolios</v>
      </c>
    </row>
    <row r="7" ht="30" customHeight="1" s="535">
      <c r="B7" s="929" t="str">
        <f>Lists!$AF$4</f>
        <v>Domain Architect</v>
      </c>
      <c r="C7" s="929" t="str">
        <f>Lists!$AI$4</f>
        <v>portfolios</v>
      </c>
      <c r="D7" s="1054">
        <f>Lists!$AG$4</f>
        <v>0.14</v>
      </c>
      <c r="E7" s="1055" t="n">
        <v>10</v>
      </c>
      <c r="F7" s="1030">
        <f>$E7*N('0.2 Data Config'!$M$8)</f>
        <v>5</v>
      </c>
      <c r="G7" s="1031">
        <f>IF($B7="Leadership - 8 GMs",N(Lists!$AG$12),COUNTIFS('REVIEW - Complete Role Mapping'!$AK$2:$AK$700,$B7,'REVIEW - Complete Role Mapping'!$B$2:$B$700,"&lt;&gt;"))</f>
        <v>7</v>
      </c>
      <c r="H7" s="1056">
        <f>ROUND($G7-$F7,6)</f>
        <v>2</v>
      </c>
      <c r="I7" s="1032">
        <f>ROUND($E7*$D7,6)</f>
        <v>1.4</v>
      </c>
      <c r="J7" s="1032">
        <f>IF($B7="Leadership - 8 GMs",N(Lists!$AG$13),SUMIFS('REVIEW - Complete Role Mapping'!$AE$2:$AE$700,'REVIEW - Complete Role Mapping'!$AK$2:$AK$700,$B7,'REVIEW - Complete Role Mapping'!$B$2:$B$700,"&lt;&gt;")/1000000)</f>
        <v>1.664746536</v>
      </c>
      <c r="K7" s="896">
        <f>ROUND($J7-$I7,6)</f>
        <v>0.264747</v>
      </c>
      <c r="L7" s="1057" t="inlineStr">
        <is>
          <t>All 7 in the COEs</t>
        </is>
      </c>
      <c r="M7" s="929" t="str">
        <f>TEXT(N('0.2 Data Config'!$M$8),"0%")&amp;" across "&amp;TEXT($E7,"0")&amp;" "&amp;LOWER($C7)</f>
        <v>50% across 10 portfolios</v>
      </c>
    </row>
    <row r="8" ht="30" customHeight="1" s="535">
      <c r="B8" s="929" t="str">
        <f>Lists!$AF$5</f>
        <v>Delivery Manager</v>
      </c>
      <c r="C8" s="929" t="str">
        <f>Lists!$AI$5</f>
        <v>platforms</v>
      </c>
      <c r="D8" s="1054">
        <f>Lists!$AG$5</f>
        <v>0.084</v>
      </c>
      <c r="E8" s="1055" t="n">
        <v>22</v>
      </c>
      <c r="F8" s="1030">
        <f>$E8*N('0.2 Data Config'!$M$14)</f>
        <v>6.6</v>
      </c>
      <c r="G8" s="1031">
        <f>IF($B8="Leadership - 8 GMs",N(Lists!$AG$12),COUNTIFS('REVIEW - Complete Role Mapping'!$AK$2:$AK$700,$B8,'REVIEW - Complete Role Mapping'!$B$2:$B$700,"&lt;&gt;"))</f>
        <v>12</v>
      </c>
      <c r="H8" s="1056">
        <f>ROUND($G8-$F8,6)</f>
        <v>5.4</v>
      </c>
      <c r="I8" s="1032">
        <f>ROUND($E8*$D8,6)</f>
        <v>1.848</v>
      </c>
      <c r="J8" s="1032">
        <f>IF($B8="Leadership - 8 GMs",N(Lists!$AG$13),SUMIFS('REVIEW - Complete Role Mapping'!$AE$2:$AE$700,'REVIEW - Complete Role Mapping'!$AK$2:$AK$700,$B8,'REVIEW - Complete Role Mapping'!$B$2:$B$700,"&lt;&gt;")/1000000)</f>
        <v>3.282528103</v>
      </c>
      <c r="K8" s="896">
        <f>ROUND($J8-$I8,6)</f>
        <v>1.434528</v>
      </c>
      <c r="L8" s="1057" t="inlineStr">
        <is>
          <t>9 in the portfolios, 1 in the COE</t>
        </is>
      </c>
      <c r="M8" s="929" t="str">
        <f>TEXT(N('0.2 Data Config'!$M$14),"0%")&amp;" across "&amp;TEXT($E8,"0")&amp;" "&amp;LOWER($C8)</f>
        <v>30% across 22 platforms</v>
      </c>
    </row>
    <row r="9" ht="30" customHeight="1" s="535">
      <c r="B9" s="929" t="str">
        <f>Lists!$AF$6</f>
        <v>Technology Manager</v>
      </c>
      <c r="C9" s="929" t="str">
        <f>Lists!$AI$6</f>
        <v>platforms</v>
      </c>
      <c r="D9" s="1054">
        <f>Lists!$AG$6</f>
        <v>0.081</v>
      </c>
      <c r="E9" s="1055" t="n">
        <v>22</v>
      </c>
      <c r="F9" s="1030">
        <f>$E9*N('0.2 Data Config'!$M$15)</f>
        <v>6.6</v>
      </c>
      <c r="G9" s="1031">
        <f>IF($B9="Leadership - 8 GMs",N(Lists!$AG$12),COUNTIFS('REVIEW - Complete Role Mapping'!$AK$2:$AK$700,$B9,'REVIEW - Complete Role Mapping'!$B$2:$B$700,"&lt;&gt;"))</f>
        <v>24</v>
      </c>
      <c r="H9" s="1056">
        <f>ROUND($G9-$F9,6)</f>
        <v>17.4</v>
      </c>
      <c r="I9" s="1032">
        <f>ROUND($E9*$D9,6)</f>
        <v>1.782</v>
      </c>
      <c r="J9" s="1032">
        <f>IF($B9="Leadership - 8 GMs",N(Lists!$AG$13),SUMIFS('REVIEW - Complete Role Mapping'!$AE$2:$AE$700,'REVIEW - Complete Role Mapping'!$AK$2:$AK$700,$B9,'REVIEW - Complete Role Mapping'!$B$2:$B$700,"&lt;&gt;")/1000000)</f>
        <v>6.370405391</v>
      </c>
      <c r="K9" s="896">
        <f>ROUND($J9-$I9,6)</f>
        <v>4.588405</v>
      </c>
      <c r="L9" s="1058" t="str">
        <f>"All "&amp;TEXT($G9,"0")&amp;" in the portfolios"</f>
        <v>All 24 in the portfolios</v>
      </c>
      <c r="M9" s="929" t="str">
        <f>TEXT(N('0.2 Data Config'!$M$15),"0%")&amp;" across "&amp;TEXT($E9,"0")&amp;" "&amp;LOWER($C9)</f>
        <v>30% across 22 platforms</v>
      </c>
    </row>
    <row r="10" ht="30" customHeight="1" s="535">
      <c r="B10" s="929" t="str">
        <f>Lists!$AF$7</f>
        <v>Leadership - 8 GMs</v>
      </c>
      <c r="C10" s="929" t="str">
        <f>Lists!$AI$7</f>
        <v>portfolios</v>
      </c>
      <c r="D10" s="1054">
        <f>Lists!$AG$7</f>
        <v>0.3</v>
      </c>
      <c r="E10" s="1055" t="n">
        <v>10</v>
      </c>
      <c r="F10" s="1030">
        <f>$E10*N('0.2 Data Config'!$M$9)</f>
        <v>3</v>
      </c>
      <c r="G10" s="1031">
        <f>IF($B10="Leadership - 8 GMs",N(Lists!$AG$12),COUNTIFS('REVIEW - Complete Role Mapping'!$AK$2:$AK$700,$B10,'REVIEW - Complete Role Mapping'!$B$2:$B$700,"&lt;&gt;"))</f>
        <v>8</v>
      </c>
      <c r="H10" s="1056">
        <f>ROUND($G10-$F10,6)</f>
        <v>5</v>
      </c>
      <c r="I10" s="1032">
        <f>ROUND($E10*$D10,6)</f>
        <v>3</v>
      </c>
      <c r="J10" s="1032">
        <f>IF($B10="Leadership - 8 GMs",N(Lists!$AG$13),SUMIFS('REVIEW - Complete Role Mapping'!$AE$2:$AE$700,'REVIEW - Complete Role Mapping'!$AK$2:$AK$700,$B10,'REVIEW - Complete Role Mapping'!$B$2:$B$700,"&lt;&gt;")/1000000)</f>
        <v>5.1</v>
      </c>
      <c r="K10" s="896">
        <f>ROUND($J10-$I10,6)</f>
        <v>2.1</v>
      </c>
      <c r="L10" s="1057" t="inlineStr">
        <is>
          <t>Above the role mapping</t>
        </is>
      </c>
      <c r="M10" s="929" t="str">
        <f>TEXT(N('0.2 Data Config'!$M$9),"0%")&amp;" across "&amp;TEXT($E10,"0")&amp;" "&amp;LOWER($C10)</f>
        <v>30% across 10 portfolios</v>
      </c>
    </row>
    <row r="11" ht="14.25" customHeight="1" s="535">
      <c r="B11" s="929" t="str">
        <f>Lists!$AF$8</f>
        <v>Program Management</v>
      </c>
      <c r="C11" s="929" t="str">
        <f>Lists!$AI$8</f>
        <v>portfolio</v>
      </c>
      <c r="D11" s="1054">
        <f>Lists!$AG$8</f>
        <v>0</v>
      </c>
      <c r="E11" s="1055" t="n">
        <v>0</v>
      </c>
      <c r="F11" s="1030">
        <f>$E11</f>
        <v>0</v>
      </c>
      <c r="G11" s="1031">
        <f>COUNTIFS('REVIEW - Complete Role Mapping'!$AK$2:$AK$700,$B11,'REVIEW - Complete Role Mapping'!$B$2:$B$700,"&lt;&gt;")</f>
        <v>0</v>
      </c>
      <c r="H11" s="1056">
        <f>ROUND($G11-$F11,6)</f>
        <v>0</v>
      </c>
      <c r="I11" s="1032">
        <f>ROUND($E11*$D11,6)</f>
        <v>0</v>
      </c>
      <c r="J11" s="1032">
        <f>SUMIFS('REVIEW - Complete Role Mapping'!$AE$2:$AE$700,'REVIEW - Complete Role Mapping'!$AK$2:$AK$700,$B11,'REVIEW - Complete Role Mapping'!$B$2:$B$700,"&lt;&gt;")/1000000</f>
        <v>0</v>
      </c>
      <c r="K11" s="896">
        <f>ROUND($J11-$I11,6)</f>
        <v>0</v>
      </c>
      <c r="L11" s="1057" t="n"/>
      <c r="M11" s="929" t="str">
        <f>TEXT(1,"0%")&amp;" across "&amp;TEXT($E11,"0")&amp;" "&amp;LOWER($C11)</f>
        <v>100% across 0 portfolio</v>
      </c>
    </row>
    <row r="12" ht="14.25" customHeight="1" s="535">
      <c r="B12" s="886" t="inlineStr">
        <is>
          <t>Overheads incl. GMs</t>
        </is>
      </c>
      <c r="C12" s="886" t="n"/>
      <c r="D12" s="1059">
        <f>""</f>
        <v/>
      </c>
      <c r="E12" s="1059">
        <f>""</f>
        <v/>
      </c>
      <c r="F12" s="888">
        <f>SUM(F5:F11)</f>
        <v>31.2</v>
      </c>
      <c r="G12" s="1039">
        <f>SUM(G5:G11)</f>
        <v>72</v>
      </c>
      <c r="H12" s="888">
        <f>SUM(H5:H11)</f>
        <v>40.8</v>
      </c>
      <c r="I12" s="889">
        <f>SUM(I5:I11)</f>
        <v>11.605</v>
      </c>
      <c r="J12" s="889">
        <f>SUM(J5:J11)</f>
        <v>23.640140114</v>
      </c>
      <c r="K12" s="889">
        <f>SUM(K5:K11)</f>
        <v>12.03514</v>
      </c>
      <c r="L12" s="1059">
        <f>""</f>
        <v/>
      </c>
      <c r="M12" s="886">
        <f>""</f>
        <v/>
      </c>
    </row>
    <row r="13" ht="14.25" customHeight="1" s="535">
      <c r="B13" s="1033" t="inlineStr">
        <is>
          <t>Of which sits in the portfolios</t>
        </is>
      </c>
      <c r="C13" s="1033" t="n"/>
      <c r="D13" s="1060">
        <f>""</f>
        <v/>
      </c>
      <c r="E13" s="1060">
        <f>""</f>
        <v/>
      </c>
      <c r="F13" s="1034">
        <f>SUMIF(Lists!$AM$2:$AM$8,"Yes",$F5:$F11)</f>
        <v>18.2</v>
      </c>
      <c r="G13" s="1035">
        <f>SUMPRODUCT(COUNTIFS('REVIEW - Complete Role Mapping'!$AK$2:$AK$700,$B5:$B11,'REVIEW - Complete Role Mapping'!$B$2:$B$700,"&lt;&gt;",'REVIEW - Complete Role Mapping'!$AL$2:$AL$700,$B5:$B11))</f>
        <v>43</v>
      </c>
      <c r="H13" s="1034">
        <f>ROUND($G13-$F13,6)</f>
        <v>24.8</v>
      </c>
      <c r="I13" s="1036">
        <f>ROUND(SUMIF(Lists!$AM$2:$AM$8,"Yes",$I5:$I11),6)</f>
        <v>5.005</v>
      </c>
      <c r="J13" s="1036">
        <f>(SUMPRODUCT(SUMIFS('REVIEW - Complete Role Mapping'!$AE$2:$AE$700,'REVIEW - Complete Role Mapping'!$AK$2:$AK$700,$B5:$B11,'REVIEW - Complete Role Mapping'!$B$2:$B$700,"&lt;&gt;",'REVIEW - Complete Role Mapping'!$AL$2:$AL$700,$B5:$B11)))/1000000</f>
        <v>11.821983778</v>
      </c>
      <c r="K13" s="1036">
        <f>ROUND($J13-$I13,6)</f>
        <v>6.816984</v>
      </c>
      <c r="L13" s="1060">
        <f>""</f>
        <v/>
      </c>
      <c r="M13" s="1033">
        <f>""</f>
        <v/>
      </c>
    </row>
    <row r="14" ht="14.25" customHeight="1" s="535">
      <c r="B14" s="1033" t="inlineStr">
        <is>
          <t>Of which sits in the COEs and EGI, or above the role mapping</t>
        </is>
      </c>
      <c r="C14" s="1033" t="n"/>
      <c r="D14" s="1060">
        <f>""</f>
        <v/>
      </c>
      <c r="E14" s="1060">
        <f>""</f>
        <v/>
      </c>
      <c r="F14" s="1034">
        <f>ROUND($F12-$F13,6)</f>
        <v>13</v>
      </c>
      <c r="G14" s="1035">
        <f>$G12-$G13</f>
        <v>29</v>
      </c>
      <c r="H14" s="1034">
        <f>ROUND($G14-$F14,6)</f>
        <v>16</v>
      </c>
      <c r="I14" s="1036">
        <f>ROUND($I12-$I13,6)</f>
        <v>6.6</v>
      </c>
      <c r="J14" s="1036">
        <f>ROUND($J12-$J13,6)</f>
        <v>11.818156</v>
      </c>
      <c r="K14" s="1036">
        <f>ROUND($J14-$I14,6)</f>
        <v>5.218156</v>
      </c>
      <c r="L14" s="1060">
        <f>""</f>
        <v/>
      </c>
      <c r="M14" s="1033">
        <f>""</f>
        <v/>
      </c>
    </row>
    <row r="15" ht="14.25" customHeight="1" s="535">
      <c r="B15" s="929" t="n"/>
    </row>
    <row r="16"/>
    <row r="17" ht="14.25" customHeight="1" s="535">
      <c r="B17" s="1063" t="inlineStr">
        <is>
          <t>TDD Roles</t>
        </is>
      </c>
      <c r="C17" s="1064" t="n"/>
      <c r="D17" s="1064" t="n"/>
      <c r="E17" s="1064" t="n"/>
      <c r="F17" s="1064" t="n"/>
      <c r="G17" s="1035">
        <f>COUNTA('REVIEW - Complete Role Mapping'!$B$2:$B$700)</f>
        <v>526</v>
      </c>
      <c r="H17" s="1064" t="n"/>
      <c r="I17" s="1064" t="n"/>
      <c r="J17" s="1064" t="n"/>
      <c r="K17" s="1064" t="n"/>
      <c r="L17" s="1064" t="n"/>
      <c r="M17" s="1064" t="n"/>
    </row>
    <row r="18" ht="18.75" customHeight="1" s="535"/>
    <row r="19" ht="33.75" customHeight="1" s="535">
      <c r="B19" s="1065" t="inlineStr">
        <is>
          <t>Allocations</t>
        </is>
      </c>
      <c r="C19" s="538" t="n"/>
      <c r="D19" s="538" t="n"/>
      <c r="E19" s="538" t="n"/>
      <c r="F19" s="538" t="n"/>
    </row>
    <row r="20" ht="28.35" customHeight="1" s="535">
      <c r="B20" s="877" t="inlineStr">
        <is>
          <t>Input</t>
        </is>
      </c>
      <c r="C20" s="877" t="inlineStr">
        <is>
          <t>Where it is set on 0.2 Data Config</t>
        </is>
      </c>
      <c r="D20" s="877" t="inlineStr">
        <is>
          <t>Full role cost ($m)</t>
        </is>
      </c>
      <c r="E20" s="877" t="inlineStr">
        <is>
          <t>Allocation %</t>
        </is>
      </c>
      <c r="F20" s="877" t="inlineStr">
        <is>
          <t>Allocated rate ($m)</t>
        </is>
      </c>
    </row>
    <row r="21" ht="14.25" customHeight="1" s="535">
      <c r="B21" s="929" t="inlineStr">
        <is>
          <t>Head of Technology</t>
        </is>
      </c>
      <c r="C21" s="929" t="inlineStr">
        <is>
          <t>Portfolio Overhead, Head of Tech</t>
        </is>
      </c>
      <c r="D21" s="1054">
        <f>'0.2 Data Config'!$L$6</f>
        <v>0.275</v>
      </c>
      <c r="E21" s="1066">
        <f>'0.2 Data Config'!$M$6</f>
        <v>0.5</v>
      </c>
      <c r="F21" s="1054">
        <f>Lists!$AG$2</f>
        <v>0.1375</v>
      </c>
    </row>
    <row r="22" ht="14.25" customHeight="1" s="535">
      <c r="B22" s="929" t="inlineStr">
        <is>
          <t>Business Partner</t>
        </is>
      </c>
      <c r="C22" s="929" t="inlineStr">
        <is>
          <t>Portfolio Overhead, Business Partner</t>
        </is>
      </c>
      <c r="D22" s="1054">
        <f>'0.2 Data Config'!$L$7</f>
        <v>0.44</v>
      </c>
      <c r="E22" s="1066">
        <f>'0.2 Data Config'!$M$7</f>
        <v>0.5</v>
      </c>
      <c r="F22" s="1054">
        <f>Lists!$AG$3</f>
        <v>0.22</v>
      </c>
    </row>
    <row r="23" ht="14.25" customHeight="1" s="535">
      <c r="B23" s="929" t="inlineStr">
        <is>
          <t>Domain Architect</t>
        </is>
      </c>
      <c r="C23" s="929" t="inlineStr">
        <is>
          <t>Portfolio Overhead, Domain Architect</t>
        </is>
      </c>
      <c r="D23" s="1054">
        <f>'0.2 Data Config'!$L$8</f>
        <v>0.28</v>
      </c>
      <c r="E23" s="1066">
        <f>'0.2 Data Config'!$M$8</f>
        <v>0.5</v>
      </c>
      <c r="F23" s="1054">
        <f>Lists!$AG$4</f>
        <v>0.14</v>
      </c>
    </row>
    <row r="24" ht="14.25" customHeight="1" s="535">
      <c r="B24" s="929" t="inlineStr">
        <is>
          <t>Delivery Manager</t>
        </is>
      </c>
      <c r="C24" s="929" t="inlineStr">
        <is>
          <t>Platform Overhead, Delivery Manager</t>
        </is>
      </c>
      <c r="D24" s="1054">
        <f>'0.2 Data Config'!$L$14</f>
        <v>0.28</v>
      </c>
      <c r="E24" s="1066">
        <f>'0.2 Data Config'!$M$14</f>
        <v>0.3</v>
      </c>
      <c r="F24" s="1054">
        <f>Lists!$AG$5</f>
        <v>0.084</v>
      </c>
    </row>
    <row r="25" ht="14.25" customHeight="1" s="535">
      <c r="B25" s="929" t="inlineStr">
        <is>
          <t>Technology Manager</t>
        </is>
      </c>
      <c r="C25" s="929" t="inlineStr">
        <is>
          <t>Platform Overhead, Tech Manager</t>
        </is>
      </c>
      <c r="D25" s="1054">
        <f>'0.2 Data Config'!$L$15</f>
        <v>0.27</v>
      </c>
      <c r="E25" s="1066">
        <f>'0.2 Data Config'!$M$15</f>
        <v>0.3</v>
      </c>
      <c r="F25" s="1054">
        <f>Lists!$AG$6</f>
        <v>0.081</v>
      </c>
    </row>
    <row r="26" ht="14.25" customHeight="1" s="535">
      <c r="B26" s="929" t="inlineStr">
        <is>
          <t>Leadership - 8 GMs</t>
        </is>
      </c>
      <c r="C26" s="929" t="inlineStr">
        <is>
          <t>Portfolio Overhead, Leadership Overhead</t>
        </is>
      </c>
      <c r="D26" s="1054">
        <f>'0.2 Data Config'!$L$9</f>
        <v>1</v>
      </c>
      <c r="E26" s="1066">
        <f>'0.2 Data Config'!$M$9</f>
        <v>0.3</v>
      </c>
      <c r="F26" s="1054">
        <f>Lists!$AG$7</f>
        <v>0.3</v>
      </c>
    </row>
    <row r="27"/>
    <row r="28"/>
    <row r="29" ht="14.25" customHeight="1" s="535">
      <c r="B29" s="929" t="inlineStr">
        <is>
          <t>Allocated rate = the full role cost times the allocation %. Role costs are set on 0.2 Data Config; the roles themselves are in the role mapping.</t>
        </is>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1"/>
  </sheetPr>
  <dimension ref="A1:O126"/>
  <sheetViews>
    <sheetView showFormulas="0" showGridLines="0" showRowColHeaders="1" showZeros="1" rightToLeft="0" tabSelected="0" showOutlineSymbols="1" defaultGridColor="1" view="normal" topLeftCell="A25" colorId="64" zoomScale="70" zoomScaleNormal="70" zoomScalePageLayoutView="100" workbookViewId="0">
      <selection pane="topLeft" activeCell="D40" activeCellId="0" sqref="D40"/>
    </sheetView>
  </sheetViews>
  <sheetFormatPr baseColWidth="8" defaultColWidth="8.54296875" defaultRowHeight="14.25" zeroHeight="0" outlineLevelRow="0"/>
  <cols>
    <col width="2" customWidth="1" style="534" min="1" max="1"/>
    <col width="34" customWidth="1" style="534" min="2" max="2"/>
    <col width="22" customWidth="1" style="534" min="3" max="3"/>
    <col width="30" customWidth="1" style="534" min="4" max="4"/>
    <col width="24" customWidth="1" style="534" min="5" max="5"/>
    <col width="7" customWidth="1" style="534" min="6" max="6"/>
    <col width="11" customWidth="1" style="534" min="7" max="7"/>
    <col width="7" customWidth="1" style="534" min="8" max="9"/>
    <col width="8" customWidth="1" style="534" min="10" max="10"/>
    <col width="13" customWidth="1" style="534" min="11" max="13"/>
    <col width="15" customWidth="1" style="534" min="14" max="14"/>
    <col width="19" customWidth="1" style="534" min="15" max="15"/>
  </cols>
  <sheetData>
    <row r="1"/>
    <row r="2" ht="21" customHeight="1" s="535">
      <c r="B2" s="873" t="inlineStr">
        <is>
          <t>Squad breakdown of archetypes</t>
        </is>
      </c>
    </row>
    <row r="3"/>
    <row r="4" ht="18.75" customHeight="1" s="535">
      <c r="B4" s="537" t="inlineStr">
        <is>
          <t>Every squad on every lever modelling tab</t>
        </is>
      </c>
      <c r="C4" s="538" t="n"/>
      <c r="D4" s="538" t="n"/>
      <c r="E4" s="538" t="n"/>
      <c r="F4" s="538" t="n"/>
      <c r="G4" s="538" t="n"/>
      <c r="H4" s="538" t="n"/>
      <c r="I4" s="538" t="n"/>
      <c r="J4" s="538" t="n"/>
      <c r="K4" s="538" t="n"/>
      <c r="L4" s="538" t="n"/>
      <c r="M4" s="538" t="n"/>
      <c r="N4" s="538" t="n"/>
      <c r="O4" s="538" t="n"/>
    </row>
    <row r="5" ht="48" customHeight="1" s="535">
      <c r="B5" s="877" t="inlineStr">
        <is>
          <t>Portfolio</t>
        </is>
      </c>
      <c r="C5" s="877" t="inlineStr">
        <is>
          <t>How it is funded</t>
        </is>
      </c>
      <c r="D5" s="877" t="inlineStr">
        <is>
          <t>Squad</t>
        </is>
      </c>
      <c r="E5" s="877" t="inlineStr">
        <is>
          <t>Archetype Type</t>
        </is>
      </c>
      <c r="F5" s="877" t="inlineStr">
        <is>
          <t>Squad Size</t>
        </is>
      </c>
      <c r="G5" s="877" t="inlineStr">
        <is>
          <t>Archetype roles</t>
        </is>
      </c>
      <c r="H5" s="877" t="inlineStr">
        <is>
          <t>Total roles</t>
        </is>
      </c>
      <c r="I5" s="877" t="inlineStr">
        <is>
          <t>Filled</t>
        </is>
      </c>
      <c r="J5" s="877" t="inlineStr">
        <is>
          <t>Vacant</t>
        </is>
      </c>
      <c r="K5" s="877" t="inlineStr">
        <is>
          <t>Total roles after levers</t>
        </is>
      </c>
      <c r="L5" s="877" t="inlineStr">
        <is>
          <t>Archetype cost, the portfolio allowance excluded ($m)</t>
        </is>
      </c>
      <c r="M5" s="877" t="inlineStr">
        <is>
          <t>Actual cost ($m)</t>
        </is>
      </c>
      <c r="N5" s="877" t="inlineStr">
        <is>
          <t>Variance to archetype, the portfolio allowance excluded ($m)</t>
        </is>
      </c>
      <c r="O5" s="877" t="inlineStr">
        <is>
          <t>Cost after levers, before the cyber uplift recharge ($m)</t>
        </is>
      </c>
    </row>
    <row r="6" ht="14.25" customHeight="1" s="535">
      <c r="B6" s="929" t="inlineStr">
        <is>
          <t>Ampol Retail</t>
        </is>
      </c>
      <c r="C6" s="929" t="inlineStr">
        <is>
          <t>Archetype</t>
        </is>
      </c>
      <c r="D6" s="929" t="str">
        <f>'2.1 Ampol Retail'!$B$8</f>
        <v>Above Store</v>
      </c>
      <c r="E6" s="929" t="str">
        <f>'2.1 Ampol Retail'!$C$8</f>
        <v>Configuration / Integration</v>
      </c>
      <c r="F6" s="929" t="str">
        <f>'2.1 Ampol Retail'!$D$8</f>
        <v>M</v>
      </c>
      <c r="G6" s="1030">
        <f>'2.1 Ampol Retail'!$E$8</f>
        <v>9</v>
      </c>
      <c r="H6" s="1031">
        <f>'2.1 Ampol Retail'!$F$8</f>
        <v>11</v>
      </c>
      <c r="I6" s="1031">
        <f>'2.1 Ampol Retail'!$H$8</f>
        <v>7</v>
      </c>
      <c r="J6" s="1031">
        <f>'2.1 Ampol Retail'!$I$8</f>
        <v>4</v>
      </c>
      <c r="K6" s="1031">
        <f>'2.1 Ampol Retail'!$M$8</f>
        <v>10</v>
      </c>
      <c r="L6" s="1032">
        <f>'2.1 Ampol Retail'!$N$8</f>
        <v>2.1</v>
      </c>
      <c r="M6" s="1032">
        <f>'2.1 Ampol Retail'!$O$8</f>
        <v>2.097921857</v>
      </c>
      <c r="N6" s="1032">
        <f>'2.1 Ampol Retail'!$R$8</f>
        <v>-0.002078</v>
      </c>
      <c r="O6" s="1032">
        <f>'2.1 Ampol Retail'!$S$8</f>
        <v>1.690473806</v>
      </c>
    </row>
    <row r="7" ht="14.25" customHeight="1" s="535">
      <c r="B7" s="929" t="inlineStr">
        <is>
          <t>Ampol Retail</t>
        </is>
      </c>
      <c r="C7" s="929" t="inlineStr">
        <is>
          <t>Archetype</t>
        </is>
      </c>
      <c r="D7" s="929" t="str">
        <f>'2.1 Ampol Retail'!$B$9</f>
        <v>Data AU</v>
      </c>
      <c r="E7" s="929" t="str">
        <f>'2.1 Ampol Retail'!$C$9</f>
        <v>Enterprise Data and Insights</v>
      </c>
      <c r="F7" s="929" t="str">
        <f>'2.1 Ampol Retail'!$D$9</f>
        <v>M</v>
      </c>
      <c r="G7" s="1030">
        <f>'2.1 Ampol Retail'!$E$9</f>
        <v>7.5</v>
      </c>
      <c r="H7" s="1031">
        <f>'2.1 Ampol Retail'!$F$9</f>
        <v>6</v>
      </c>
      <c r="I7" s="1031">
        <f>'2.1 Ampol Retail'!$H$9</f>
        <v>0</v>
      </c>
      <c r="J7" s="1031">
        <f>'2.1 Ampol Retail'!$I$9</f>
        <v>6</v>
      </c>
      <c r="K7" s="1031">
        <f>'2.1 Ampol Retail'!$M$9</f>
        <v>6</v>
      </c>
      <c r="L7" s="1032">
        <f>'2.1 Ampol Retail'!$N$9</f>
        <v>0.68</v>
      </c>
      <c r="M7" s="1032">
        <f>'2.1 Ampol Retail'!$O$9</f>
        <v>1.21232375</v>
      </c>
      <c r="N7" s="1032">
        <f>'2.1 Ampol Retail'!$R$9</f>
        <v>0.532324</v>
      </c>
      <c r="O7" s="1032">
        <f>'2.1 Ampol Retail'!$S$9</f>
        <v>0.4849295</v>
      </c>
    </row>
    <row r="8" ht="14.25" customHeight="1" s="535">
      <c r="B8" s="929" t="inlineStr">
        <is>
          <t>Ampol Retail</t>
        </is>
      </c>
      <c r="C8" s="929" t="inlineStr">
        <is>
          <t>Archetype</t>
        </is>
      </c>
      <c r="D8" s="929" t="str">
        <f>'2.1 Ampol Retail'!$B$10</f>
        <v>Deployment</v>
      </c>
      <c r="E8" s="929" t="str">
        <f>'2.1 Ampol Retail'!$C$10</f>
        <v>Operations</v>
      </c>
      <c r="F8" s="929" t="str">
        <f>'2.1 Ampol Retail'!$D$10</f>
        <v>S</v>
      </c>
      <c r="G8" s="1030">
        <f>'2.1 Ampol Retail'!$E$10</f>
        <v>4</v>
      </c>
      <c r="H8" s="1031">
        <f>'2.1 Ampol Retail'!$F$10</f>
        <v>5</v>
      </c>
      <c r="I8" s="1031">
        <f>'2.1 Ampol Retail'!$H$10</f>
        <v>5</v>
      </c>
      <c r="J8" s="1031">
        <f>'2.1 Ampol Retail'!$I$10</f>
        <v>0</v>
      </c>
      <c r="K8" s="1031">
        <f>'2.1 Ampol Retail'!$M$10</f>
        <v>5</v>
      </c>
      <c r="L8" s="1032">
        <f>'2.1 Ampol Retail'!$N$10</f>
        <v>0.8</v>
      </c>
      <c r="M8" s="1032">
        <f>'2.1 Ampol Retail'!$O$10</f>
        <v>0.893835732</v>
      </c>
      <c r="N8" s="1032">
        <f>'2.1 Ampol Retail'!$R$10</f>
        <v>0.093836</v>
      </c>
      <c r="O8" s="1032">
        <f>'2.1 Ampol Retail'!$S$10</f>
        <v>0.893835732</v>
      </c>
    </row>
    <row r="9" ht="14.25" customHeight="1" s="535">
      <c r="B9" s="929" t="inlineStr">
        <is>
          <t>Ampol Retail</t>
        </is>
      </c>
      <c r="C9" s="929" t="inlineStr">
        <is>
          <t>Archetype</t>
        </is>
      </c>
      <c r="D9" s="929" t="str">
        <f>'2.1 Ampol Retail'!$B$11</f>
        <v>Network &amp; QSR</v>
      </c>
      <c r="E9" s="929" t="str">
        <f>'2.1 Ampol Retail'!$C$11</f>
        <v>Configuration / Integration</v>
      </c>
      <c r="F9" s="929" t="str">
        <f>'2.1 Ampol Retail'!$D$11</f>
        <v>S</v>
      </c>
      <c r="G9" s="1030">
        <f>'2.1 Ampol Retail'!$E$11</f>
        <v>6</v>
      </c>
      <c r="H9" s="1031">
        <f>'2.1 Ampol Retail'!$F$11</f>
        <v>6</v>
      </c>
      <c r="I9" s="1031">
        <f>'2.1 Ampol Retail'!$H$11</f>
        <v>4</v>
      </c>
      <c r="J9" s="1031">
        <f>'2.1 Ampol Retail'!$I$11</f>
        <v>2</v>
      </c>
      <c r="K9" s="1031">
        <f>'2.1 Ampol Retail'!$M$11</f>
        <v>6</v>
      </c>
      <c r="L9" s="1032">
        <f>'2.1 Ampol Retail'!$N$11</f>
        <v>1.4</v>
      </c>
      <c r="M9" s="1032">
        <f>'2.1 Ampol Retail'!$O$11</f>
        <v>1.1140311</v>
      </c>
      <c r="N9" s="1032">
        <f>'2.1 Ampol Retail'!$R$11</f>
        <v>-0.285969</v>
      </c>
      <c r="O9" s="1032">
        <f>'2.1 Ampol Retail'!$S$11</f>
        <v>1.1140311</v>
      </c>
    </row>
    <row r="10" ht="14.25" customHeight="1" s="535">
      <c r="B10" s="929" t="inlineStr">
        <is>
          <t>Ampol Retail</t>
        </is>
      </c>
      <c r="C10" s="929" t="inlineStr">
        <is>
          <t>Archetype</t>
        </is>
      </c>
      <c r="D10" s="929" t="str">
        <f>'2.1 Ampol Retail'!$B$12</f>
        <v>POS</v>
      </c>
      <c r="E10" s="929" t="str">
        <f>'2.1 Ampol Retail'!$C$12</f>
        <v>Configuration / Integration</v>
      </c>
      <c r="F10" s="929" t="str">
        <f>'2.1 Ampol Retail'!$D$12</f>
        <v>M</v>
      </c>
      <c r="G10" s="1030">
        <f>'2.1 Ampol Retail'!$E$12</f>
        <v>9</v>
      </c>
      <c r="H10" s="1031">
        <f>'2.1 Ampol Retail'!$F$12</f>
        <v>8</v>
      </c>
      <c r="I10" s="1031">
        <f>'2.1 Ampol Retail'!$H$12</f>
        <v>0</v>
      </c>
      <c r="J10" s="1031">
        <f>'2.1 Ampol Retail'!$I$12</f>
        <v>8</v>
      </c>
      <c r="K10" s="1031">
        <f>'2.1 Ampol Retail'!$M$12</f>
        <v>8</v>
      </c>
      <c r="L10" s="1032">
        <f>'2.1 Ampol Retail'!$N$12</f>
        <v>2.1</v>
      </c>
      <c r="M10" s="1032">
        <f>'2.1 Ampol Retail'!$O$12</f>
        <v>1.576223685</v>
      </c>
      <c r="N10" s="1032">
        <f>'2.1 Ampol Retail'!$R$12</f>
        <v>-0.523776</v>
      </c>
      <c r="O10" s="1032">
        <f>'2.1 Ampol Retail'!$S$12</f>
        <v>0.989198535</v>
      </c>
    </row>
    <row r="11" ht="14.25" customHeight="1" s="535">
      <c r="B11" s="929" t="inlineStr">
        <is>
          <t>Ampol Retail</t>
        </is>
      </c>
      <c r="C11" s="929" t="inlineStr">
        <is>
          <t>Archetype</t>
        </is>
      </c>
      <c r="D11" s="929" t="str">
        <f>'2.1 Ampol Retail'!$B$13</f>
        <v>Payments</v>
      </c>
      <c r="E11" s="929" t="str">
        <f>'2.1 Ampol Retail'!$C$13</f>
        <v>Configuration / Integration</v>
      </c>
      <c r="F11" s="929" t="str">
        <f>'2.1 Ampol Retail'!$D$13</f>
        <v>S</v>
      </c>
      <c r="G11" s="1030">
        <f>'2.1 Ampol Retail'!$E$13</f>
        <v>6</v>
      </c>
      <c r="H11" s="1031">
        <f>'2.1 Ampol Retail'!$F$13</f>
        <v>4</v>
      </c>
      <c r="I11" s="1031">
        <f>'2.1 Ampol Retail'!$H$13</f>
        <v>3</v>
      </c>
      <c r="J11" s="1031">
        <f>'2.1 Ampol Retail'!$I$13</f>
        <v>1</v>
      </c>
      <c r="K11" s="1031">
        <f>'2.1 Ampol Retail'!$M$13</f>
        <v>4</v>
      </c>
      <c r="L11" s="1032">
        <f>'2.1 Ampol Retail'!$N$13</f>
        <v>1.4</v>
      </c>
      <c r="M11" s="1032">
        <f>'2.1 Ampol Retail'!$O$13</f>
        <v>0.789428585</v>
      </c>
      <c r="N11" s="1032">
        <f>'2.1 Ampol Retail'!$R$13</f>
        <v>-0.610571</v>
      </c>
      <c r="O11" s="1032">
        <f>'2.1 Ampol Retail'!$S$13</f>
        <v>0.789428585</v>
      </c>
    </row>
    <row r="12" ht="14.25" customHeight="1" s="535">
      <c r="B12" s="929" t="inlineStr">
        <is>
          <t>Ampol Retail</t>
        </is>
      </c>
      <c r="C12" s="929" t="inlineStr">
        <is>
          <t>Archetype</t>
        </is>
      </c>
      <c r="D12" s="929" t="str">
        <f>'2.1 Ampol Retail'!$B$14</f>
        <v>Store Operations</v>
      </c>
      <c r="E12" s="929" t="str">
        <f>'2.1 Ampol Retail'!$C$14</f>
        <v>Operations</v>
      </c>
      <c r="F12" s="929" t="str">
        <f>'2.1 Ampol Retail'!$D$14</f>
        <v>M</v>
      </c>
      <c r="G12" s="1030">
        <f>'2.1 Ampol Retail'!$E$14</f>
        <v>6</v>
      </c>
      <c r="H12" s="1031">
        <f>'2.1 Ampol Retail'!$F$14</f>
        <v>8</v>
      </c>
      <c r="I12" s="1031">
        <f>'2.1 Ampol Retail'!$H$14</f>
        <v>7</v>
      </c>
      <c r="J12" s="1031">
        <f>'2.1 Ampol Retail'!$I$14</f>
        <v>1</v>
      </c>
      <c r="K12" s="1031">
        <f>'2.1 Ampol Retail'!$M$14</f>
        <v>8</v>
      </c>
      <c r="L12" s="1032">
        <f>'2.1 Ampol Retail'!$N$14</f>
        <v>1.4</v>
      </c>
      <c r="M12" s="1032">
        <f>'2.1 Ampol Retail'!$O$14</f>
        <v>1.429759453</v>
      </c>
      <c r="N12" s="1032">
        <f>'2.1 Ampol Retail'!$R$14</f>
        <v>0.029759</v>
      </c>
      <c r="O12" s="1032">
        <f>'2.1 Ampol Retail'!$S$14</f>
        <v>1.429759453</v>
      </c>
    </row>
    <row r="13" ht="14.25" customHeight="1" s="535">
      <c r="B13" s="929" t="inlineStr">
        <is>
          <t>Ampol Retail</t>
        </is>
      </c>
      <c r="C13" s="929" t="inlineStr">
        <is>
          <t>Directly funded</t>
        </is>
      </c>
      <c r="D13" s="929" t="str">
        <f>'2.1 Ampol Retail'!$B$17</f>
        <v>AmPOS</v>
      </c>
      <c r="E13" s="929" t="str">
        <f>'2.1 Ampol Retail'!$C$17</f>
        <v>Strategic Programs</v>
      </c>
      <c r="F13" s="929">
        <f>'2.1 Ampol Retail'!$D$17</f>
        <v/>
      </c>
      <c r="G13" s="1030">
        <f>'2.1 Ampol Retail'!$E$17</f>
        <v/>
      </c>
      <c r="H13" s="1031">
        <f>'2.1 Ampol Retail'!$F$17</f>
        <v>10</v>
      </c>
      <c r="I13" s="1031">
        <f>'2.1 Ampol Retail'!$H$17</f>
        <v>10</v>
      </c>
      <c r="J13" s="1031">
        <f>'2.1 Ampol Retail'!$I$17</f>
        <v>0</v>
      </c>
      <c r="K13" s="1031">
        <f>'2.1 Ampol Retail'!$M$17</f>
        <v>10</v>
      </c>
      <c r="L13" s="1032">
        <f>'2.1 Ampol Retail'!$N$17</f>
        <v>1.404089</v>
      </c>
      <c r="M13" s="1032">
        <f>'2.1 Ampol Retail'!$O$17</f>
        <v>2.115029718</v>
      </c>
      <c r="N13" s="1032">
        <f>'2.1 Ampol Retail'!$R$17</f>
        <v>0.710941</v>
      </c>
      <c r="O13" s="1032">
        <f>'2.1 Ampol Retail'!$S$17</f>
        <v>2.115029718</v>
      </c>
    </row>
    <row r="14" ht="14.25" customHeight="1" s="535">
      <c r="B14" s="929" t="inlineStr">
        <is>
          <t>Ampol Retail</t>
        </is>
      </c>
      <c r="C14" s="929" t="inlineStr">
        <is>
          <t>Directly funded</t>
        </is>
      </c>
      <c r="D14" s="929" t="str">
        <f>'2.1 Ampol Retail'!$B$18</f>
        <v>EGI Retail</v>
      </c>
      <c r="E14" s="929" t="str">
        <f>'2.1 Ampol Retail'!$C$18</f>
        <v>Strategic Programs</v>
      </c>
      <c r="F14" s="929">
        <f>'2.1 Ampol Retail'!$D$18</f>
        <v/>
      </c>
      <c r="G14" s="1030">
        <f>'2.1 Ampol Retail'!$E$18</f>
        <v/>
      </c>
      <c r="H14" s="1031">
        <f>'2.1 Ampol Retail'!$F$18</f>
        <v>6</v>
      </c>
      <c r="I14" s="1031">
        <f>'2.1 Ampol Retail'!$H$18</f>
        <v>6</v>
      </c>
      <c r="J14" s="1031">
        <f>'2.1 Ampol Retail'!$I$18</f>
        <v>0</v>
      </c>
      <c r="K14" s="1031">
        <f>'2.1 Ampol Retail'!$M$18</f>
        <v>6</v>
      </c>
      <c r="L14" s="1032">
        <f>'2.1 Ampol Retail'!$N$18</f>
        <v>1.1822355812</v>
      </c>
      <c r="M14" s="1032">
        <f>'2.1 Ampol Retail'!$O$18</f>
        <v>1.1822355812</v>
      </c>
      <c r="N14" s="1032">
        <f>'2.1 Ampol Retail'!$R$18</f>
        <v>0</v>
      </c>
      <c r="O14" s="1032">
        <f>'2.1 Ampol Retail'!$S$18</f>
        <v>1.1822355812</v>
      </c>
    </row>
    <row r="15" ht="14.25" customHeight="1" s="535">
      <c r="B15" s="929" t="inlineStr">
        <is>
          <t>Ampol Retail</t>
        </is>
      </c>
      <c r="C15" s="929" t="inlineStr">
        <is>
          <t>Overhead</t>
        </is>
      </c>
      <c r="D15" s="929" t="str">
        <f>'2.1 Ampol Retail'!$B$21</f>
        <v>Head of Technology</v>
      </c>
      <c r="E15" s="929">
        <f>'2.1 Ampol Retail'!$C$21</f>
        <v/>
      </c>
      <c r="F15" s="929">
        <f>'2.1 Ampol Retail'!$D$21</f>
        <v/>
      </c>
      <c r="G15" s="1030">
        <f>'2.1 Ampol Retail'!$E$21</f>
        <v>0.5</v>
      </c>
      <c r="H15" s="1031">
        <f>'2.1 Ampol Retail'!$F$21</f>
        <v>1</v>
      </c>
      <c r="I15" s="1031">
        <f>'2.1 Ampol Retail'!$H$21</f>
        <v>1</v>
      </c>
      <c r="J15" s="1031">
        <f>'2.1 Ampol Retail'!$I$21</f>
        <v>0</v>
      </c>
      <c r="K15" s="1031">
        <f>'2.1 Ampol Retail'!$M$21</f>
        <v>1</v>
      </c>
      <c r="L15" s="1032">
        <f>'2.1 Ampol Retail'!$N$21</f>
        <v>0.1375</v>
      </c>
      <c r="M15" s="1032">
        <f>'2.1 Ampol Retail'!$O$21</f>
        <v>0.18603225</v>
      </c>
      <c r="N15" s="1032">
        <f>'2.1 Ampol Retail'!$R$21</f>
        <v>0.048532</v>
      </c>
      <c r="O15" s="1032">
        <f>'2.1 Ampol Retail'!$S$21</f>
        <v>0.18603225</v>
      </c>
    </row>
    <row r="16" ht="14.25" customHeight="1" s="535">
      <c r="B16" s="929" t="inlineStr">
        <is>
          <t>Ampol Retail</t>
        </is>
      </c>
      <c r="C16" s="929" t="inlineStr">
        <is>
          <t>Overhead</t>
        </is>
      </c>
      <c r="D16" s="929" t="str">
        <f>'2.1 Ampol Retail'!$B$22</f>
        <v>Delivery Manager</v>
      </c>
      <c r="E16" s="929">
        <f>'2.1 Ampol Retail'!$C$22</f>
        <v/>
      </c>
      <c r="F16" s="929">
        <f>'2.1 Ampol Retail'!$D$22</f>
        <v/>
      </c>
      <c r="G16" s="1030">
        <f>'2.1 Ampol Retail'!$E$22</f>
        <v>1.2</v>
      </c>
      <c r="H16" s="1031">
        <f>'2.1 Ampol Retail'!$F$22</f>
        <v>1</v>
      </c>
      <c r="I16" s="1031">
        <f>'2.1 Ampol Retail'!$H$22</f>
        <v>1</v>
      </c>
      <c r="J16" s="1031">
        <f>'2.1 Ampol Retail'!$I$22</f>
        <v>0</v>
      </c>
      <c r="K16" s="1031">
        <f>'2.1 Ampol Retail'!$M$22</f>
        <v>1</v>
      </c>
      <c r="L16" s="1032">
        <f>'2.1 Ampol Retail'!$N$22</f>
        <v>0.336</v>
      </c>
      <c r="M16" s="1032">
        <f>'2.1 Ampol Retail'!$O$22</f>
        <v>0.212056145</v>
      </c>
      <c r="N16" s="1032">
        <f>'2.1 Ampol Retail'!$R$22</f>
        <v>-0.123944</v>
      </c>
      <c r="O16" s="1032">
        <f>'2.1 Ampol Retail'!$S$22</f>
        <v>0.212056145</v>
      </c>
    </row>
    <row r="17" ht="14.25" customHeight="1" s="535">
      <c r="B17" s="929" t="inlineStr">
        <is>
          <t>Ampol Retail</t>
        </is>
      </c>
      <c r="C17" s="929" t="inlineStr">
        <is>
          <t>Overhead</t>
        </is>
      </c>
      <c r="D17" s="929" t="str">
        <f>'2.1 Ampol Retail'!$B$23</f>
        <v>Technology Manager</v>
      </c>
      <c r="E17" s="929">
        <f>'2.1 Ampol Retail'!$C$23</f>
        <v/>
      </c>
      <c r="F17" s="929">
        <f>'2.1 Ampol Retail'!$D$23</f>
        <v/>
      </c>
      <c r="G17" s="1030">
        <f>'2.1 Ampol Retail'!$E$23</f>
        <v>1.2</v>
      </c>
      <c r="H17" s="1031">
        <f>'2.1 Ampol Retail'!$F$23</f>
        <v>3</v>
      </c>
      <c r="I17" s="1031">
        <f>'2.1 Ampol Retail'!$H$23</f>
        <v>3</v>
      </c>
      <c r="J17" s="1031">
        <f>'2.1 Ampol Retail'!$I$23</f>
        <v>0</v>
      </c>
      <c r="K17" s="1031">
        <f>'2.1 Ampol Retail'!$M$23</f>
        <v>3</v>
      </c>
      <c r="L17" s="1032">
        <f>'2.1 Ampol Retail'!$N$23</f>
        <v>0.324</v>
      </c>
      <c r="M17" s="1032">
        <f>'2.1 Ampol Retail'!$O$23</f>
        <v>0.766646363</v>
      </c>
      <c r="N17" s="1032">
        <f>'2.1 Ampol Retail'!$R$23</f>
        <v>0.442646</v>
      </c>
      <c r="O17" s="1032">
        <f>'2.1 Ampol Retail'!$S$23</f>
        <v>0.766646363</v>
      </c>
    </row>
    <row r="18" ht="14.25" customHeight="1" s="535">
      <c r="B18" s="1033" t="inlineStr">
        <is>
          <t>Ampol Retail total</t>
        </is>
      </c>
      <c r="C18" s="1033" t="n"/>
      <c r="D18" s="1033" t="n"/>
      <c r="E18" s="1033" t="n"/>
      <c r="F18" s="1036">
        <f>""</f>
        <v/>
      </c>
      <c r="G18" s="1034">
        <f>IF(COUNT(G6:G17)=0,"",SUM(G6:G17))</f>
        <v>50.4</v>
      </c>
      <c r="H18" s="1035">
        <f>SUM(H6:H17)</f>
        <v>69</v>
      </c>
      <c r="I18" s="1035">
        <f>SUM(I6:I17)</f>
        <v>47</v>
      </c>
      <c r="J18" s="1035">
        <f>SUM(J6:J17)</f>
        <v>22</v>
      </c>
      <c r="K18" s="1035">
        <f>SUM(K6:K17)</f>
        <v>68</v>
      </c>
      <c r="L18" s="1036">
        <f>IF(COUNT(L6:L17)=0,"",SUM(L6:L17))</f>
        <v>13.2638245812</v>
      </c>
      <c r="M18" s="1036">
        <f>SUM(M6:M17)</f>
        <v>13.5755242192</v>
      </c>
      <c r="N18" s="1036">
        <f>IF(ISNUMBER($L18),ROUND($M18-$L18,6),"")</f>
        <v>0.3117</v>
      </c>
      <c r="O18" s="1036">
        <f>SUM(O6:O17)</f>
        <v>11.8536567682</v>
      </c>
    </row>
    <row r="19" ht="14.25" customHeight="1" s="535">
      <c r="B19" s="929" t="inlineStr">
        <is>
          <t>Customer</t>
        </is>
      </c>
      <c r="C19" s="929" t="inlineStr">
        <is>
          <t>Archetype</t>
        </is>
      </c>
      <c r="D19" s="929" t="str">
        <f>'2.2 Customer'!$B$8</f>
        <v>Ampol App</v>
      </c>
      <c r="E19" s="929" t="str">
        <f>'2.2 Customer'!$C$8</f>
        <v>Product</v>
      </c>
      <c r="F19" s="929" t="str">
        <f>'2.2 Customer'!$D$8</f>
        <v>L</v>
      </c>
      <c r="G19" s="1030">
        <f>'2.2 Customer'!$E$8</f>
        <v>12</v>
      </c>
      <c r="H19" s="1031">
        <f>'2.2 Customer'!$F$8</f>
        <v>14</v>
      </c>
      <c r="I19" s="1031">
        <f>'2.2 Customer'!$H$8</f>
        <v>14</v>
      </c>
      <c r="J19" s="1031">
        <f>'2.2 Customer'!$I$8</f>
        <v>0</v>
      </c>
      <c r="K19" s="1031">
        <f>'2.2 Customer'!$M$8</f>
        <v>14</v>
      </c>
      <c r="L19" s="1032">
        <f>'2.2 Customer'!$N$8</f>
        <v>2.8</v>
      </c>
      <c r="M19" s="1032">
        <f>'2.2 Customer'!$O$8</f>
        <v>3.1812982994</v>
      </c>
      <c r="N19" s="1032">
        <f>'2.2 Customer'!$R$8</f>
        <v>0.381298</v>
      </c>
      <c r="O19" s="1032">
        <f>'2.2 Customer'!$S$8</f>
        <v>3.1812982994</v>
      </c>
    </row>
    <row r="20" ht="14.25" customHeight="1" s="535">
      <c r="B20" s="929" t="inlineStr">
        <is>
          <t>Customer</t>
        </is>
      </c>
      <c r="C20" s="929" t="inlineStr">
        <is>
          <t>Archetype</t>
        </is>
      </c>
      <c r="D20" s="929" t="str">
        <f>'2.2 Customer'!$B$9</f>
        <v>Ampol Loyalty &amp; Martech</v>
      </c>
      <c r="E20" s="929" t="str">
        <f>'2.2 Customer'!$C$9</f>
        <v>Product</v>
      </c>
      <c r="F20" s="929" t="str">
        <f>'2.2 Customer'!$D$9</f>
        <v>M</v>
      </c>
      <c r="G20" s="1030">
        <f>'2.2 Customer'!$E$9</f>
        <v>8.5</v>
      </c>
      <c r="H20" s="1031">
        <f>'2.2 Customer'!$F$9</f>
        <v>9</v>
      </c>
      <c r="I20" s="1031">
        <f>'2.2 Customer'!$H$9</f>
        <v>3</v>
      </c>
      <c r="J20" s="1031">
        <f>'2.2 Customer'!$I$9</f>
        <v>6</v>
      </c>
      <c r="K20" s="1031">
        <f>'2.2 Customer'!$M$9</f>
        <v>9</v>
      </c>
      <c r="L20" s="1032">
        <f>'2.2 Customer'!$N$9</f>
        <v>1.9</v>
      </c>
      <c r="M20" s="1032">
        <f>'2.2 Customer'!$O$9</f>
        <v>1.5233390784</v>
      </c>
      <c r="N20" s="1032">
        <f>'2.2 Customer'!$R$9</f>
        <v>-0.376661</v>
      </c>
      <c r="O20" s="1032">
        <f>'2.2 Customer'!$S$9</f>
        <v>1.5233390784</v>
      </c>
    </row>
    <row r="21" ht="14.25" customHeight="1" s="535">
      <c r="B21" s="929" t="inlineStr">
        <is>
          <t>Customer</t>
        </is>
      </c>
      <c r="C21" s="929" t="inlineStr">
        <is>
          <t>Archetype</t>
        </is>
      </c>
      <c r="D21" s="929" t="str">
        <f>'2.2 Customer'!$B$10</f>
        <v>Ampol Web</v>
      </c>
      <c r="E21" s="929" t="str">
        <f>'2.2 Customer'!$C$10</f>
        <v>Product</v>
      </c>
      <c r="F21" s="929" t="str">
        <f>'2.2 Customer'!$D$10</f>
        <v>M</v>
      </c>
      <c r="G21" s="1030">
        <f>'2.2 Customer'!$E$10</f>
        <v>8.5</v>
      </c>
      <c r="H21" s="1031">
        <f>'2.2 Customer'!$F$10</f>
        <v>9</v>
      </c>
      <c r="I21" s="1031">
        <f>'2.2 Customer'!$H$10</f>
        <v>9</v>
      </c>
      <c r="J21" s="1031">
        <f>'2.2 Customer'!$I$10</f>
        <v>0</v>
      </c>
      <c r="K21" s="1031">
        <f>'2.2 Customer'!$M$10</f>
        <v>9</v>
      </c>
      <c r="L21" s="1032">
        <f>'2.2 Customer'!$N$10</f>
        <v>1.9</v>
      </c>
      <c r="M21" s="1032">
        <f>'2.2 Customer'!$O$10</f>
        <v>2.1301056</v>
      </c>
      <c r="N21" s="1032">
        <f>'2.2 Customer'!$R$10</f>
        <v>0.230106</v>
      </c>
      <c r="O21" s="1032">
        <f>'2.2 Customer'!$S$10</f>
        <v>2.1301056</v>
      </c>
    </row>
    <row r="22" ht="14.25" customHeight="1" s="535">
      <c r="B22" s="929" t="inlineStr">
        <is>
          <t>Customer</t>
        </is>
      </c>
      <c r="C22" s="929" t="inlineStr">
        <is>
          <t>Archetype</t>
        </is>
      </c>
      <c r="D22" s="929" t="str">
        <f>'2.2 Customer'!$B$11</f>
        <v>Customer, AI</v>
      </c>
      <c r="E22" s="929" t="str">
        <f>'2.2 Customer'!$C$11</f>
        <v>Engineering</v>
      </c>
      <c r="F22" s="929" t="str">
        <f>'2.2 Customer'!$D$11</f>
        <v>S</v>
      </c>
      <c r="G22" s="1030">
        <f>'2.2 Customer'!$E$11</f>
        <v>4.5</v>
      </c>
      <c r="H22" s="1031">
        <f>'2.2 Customer'!$F$11</f>
        <v>2</v>
      </c>
      <c r="I22" s="1031">
        <f>'2.2 Customer'!$H$11</f>
        <v>0</v>
      </c>
      <c r="J22" s="1031">
        <f>'2.2 Customer'!$I$11</f>
        <v>2</v>
      </c>
      <c r="K22" s="1031">
        <f>'2.2 Customer'!$M$11</f>
        <v>2</v>
      </c>
      <c r="L22" s="1032">
        <f>'2.2 Customer'!$N$11</f>
        <v>0.8</v>
      </c>
      <c r="M22" s="1032">
        <f>'2.2 Customer'!$O$11</f>
        <v>0.3895797</v>
      </c>
      <c r="N22" s="1032">
        <f>'2.2 Customer'!$R$11</f>
        <v>-0.41042</v>
      </c>
      <c r="O22" s="1032">
        <f>'2.2 Customer'!$S$11</f>
        <v>0.3895797</v>
      </c>
    </row>
    <row r="23" ht="14.25" customHeight="1" s="535">
      <c r="B23" s="929" t="inlineStr">
        <is>
          <t>Customer</t>
        </is>
      </c>
      <c r="C23" s="929" t="inlineStr">
        <is>
          <t>Archetype</t>
        </is>
      </c>
      <c r="D23" s="929" t="str">
        <f>'2.2 Customer'!$B$12</f>
        <v>Digital Operations</v>
      </c>
      <c r="E23" s="929" t="str">
        <f>'2.2 Customer'!$C$12</f>
        <v>Operations</v>
      </c>
      <c r="F23" s="929" t="str">
        <f>'2.2 Customer'!$D$12</f>
        <v>M</v>
      </c>
      <c r="G23" s="1030">
        <f>'2.2 Customer'!$E$12</f>
        <v>6</v>
      </c>
      <c r="H23" s="1031">
        <f>'2.2 Customer'!$F$12</f>
        <v>6</v>
      </c>
      <c r="I23" s="1031">
        <f>'2.2 Customer'!$H$12</f>
        <v>3</v>
      </c>
      <c r="J23" s="1031">
        <f>'2.2 Customer'!$I$12</f>
        <v>3</v>
      </c>
      <c r="K23" s="1031">
        <f>'2.2 Customer'!$M$12</f>
        <v>6</v>
      </c>
      <c r="L23" s="1032">
        <f>'2.2 Customer'!$N$12</f>
        <v>0.56</v>
      </c>
      <c r="M23" s="1032">
        <f>'2.2 Customer'!$O$12</f>
        <v>0.71668945</v>
      </c>
      <c r="N23" s="1032">
        <f>'2.2 Customer'!$R$12</f>
        <v>0.156689</v>
      </c>
      <c r="O23" s="1032">
        <f>'2.2 Customer'!$S$12</f>
        <v>0.71668945</v>
      </c>
    </row>
    <row r="24" ht="14.25" customHeight="1" s="535">
      <c r="B24" s="929" t="inlineStr">
        <is>
          <t>Customer</t>
        </is>
      </c>
      <c r="C24" s="929" t="inlineStr">
        <is>
          <t>Archetype</t>
        </is>
      </c>
      <c r="D24" s="929" t="str">
        <f>'2.2 Customer'!$B$13</f>
        <v>Z App and Web</v>
      </c>
      <c r="E24" s="929" t="str">
        <f>'2.2 Customer'!$C$13</f>
        <v>Product</v>
      </c>
      <c r="F24" s="929" t="str">
        <f>'2.2 Customer'!$D$13</f>
        <v>S</v>
      </c>
      <c r="G24" s="1030">
        <f>'2.2 Customer'!$E$13</f>
        <v>5.5</v>
      </c>
      <c r="H24" s="1031">
        <f>'2.2 Customer'!$F$13</f>
        <v>5</v>
      </c>
      <c r="I24" s="1031">
        <f>'2.2 Customer'!$H$13</f>
        <v>5</v>
      </c>
      <c r="J24" s="1031">
        <f>'2.2 Customer'!$I$13</f>
        <v>0</v>
      </c>
      <c r="K24" s="1031">
        <f>'2.2 Customer'!$M$13</f>
        <v>5</v>
      </c>
      <c r="L24" s="1032">
        <f>'2.2 Customer'!$N$13</f>
        <v>1.3</v>
      </c>
      <c r="M24" s="1032">
        <f>'2.2 Customer'!$O$13</f>
        <v>0.82375716</v>
      </c>
      <c r="N24" s="1032">
        <f>'2.2 Customer'!$R$13</f>
        <v>-0.476243</v>
      </c>
      <c r="O24" s="1032">
        <f>'2.2 Customer'!$S$13</f>
        <v>0.82375716</v>
      </c>
    </row>
    <row r="25" ht="14.25" customHeight="1" s="535">
      <c r="B25" s="929" t="inlineStr">
        <is>
          <t>Customer</t>
        </is>
      </c>
      <c r="C25" s="929" t="inlineStr">
        <is>
          <t>Archetype</t>
        </is>
      </c>
      <c r="D25" s="929" t="str">
        <f>'2.2 Customer'!$B$14</f>
        <v>Z Loyalty &amp; Martech</v>
      </c>
      <c r="E25" s="929" t="str">
        <f>'2.2 Customer'!$C$14</f>
        <v>Product</v>
      </c>
      <c r="F25" s="929" t="str">
        <f>'2.2 Customer'!$D$14</f>
        <v>L</v>
      </c>
      <c r="G25" s="1030">
        <f>'2.2 Customer'!$E$14</f>
        <v>12</v>
      </c>
      <c r="H25" s="1031">
        <f>'2.2 Customer'!$F$14</f>
        <v>14</v>
      </c>
      <c r="I25" s="1031">
        <f>'2.2 Customer'!$H$14</f>
        <v>14</v>
      </c>
      <c r="J25" s="1031">
        <f>'2.2 Customer'!$I$14</f>
        <v>0</v>
      </c>
      <c r="K25" s="1031">
        <f>'2.2 Customer'!$M$14</f>
        <v>14</v>
      </c>
      <c r="L25" s="1032">
        <f>'2.2 Customer'!$N$14</f>
        <v>2.8</v>
      </c>
      <c r="M25" s="1032">
        <f>'2.2 Customer'!$O$14</f>
        <v>1.99178176832</v>
      </c>
      <c r="N25" s="1032">
        <f>'2.2 Customer'!$R$14</f>
        <v>-0.808218</v>
      </c>
      <c r="O25" s="1032">
        <f>'2.2 Customer'!$S$14</f>
        <v>1.99178176832</v>
      </c>
    </row>
    <row r="26" ht="14.25" customHeight="1" s="535">
      <c r="B26" s="929" t="inlineStr">
        <is>
          <t>Customer</t>
        </is>
      </c>
      <c r="C26" s="929" t="inlineStr">
        <is>
          <t>Directly funded</t>
        </is>
      </c>
      <c r="D26" s="929" t="str">
        <f>'2.2 Customer'!$B$17</f>
        <v>EGI Customer</v>
      </c>
      <c r="E26" s="929" t="str">
        <f>'2.2 Customer'!$C$17</f>
        <v>Strategic Programs</v>
      </c>
      <c r="F26" s="929">
        <f>'2.2 Customer'!$D$17</f>
        <v/>
      </c>
      <c r="G26" s="1030">
        <f>'2.2 Customer'!$E$17</f>
        <v/>
      </c>
      <c r="H26" s="1031">
        <f>'2.2 Customer'!$F$17</f>
        <v>10</v>
      </c>
      <c r="I26" s="1031">
        <f>'2.2 Customer'!$H$17</f>
        <v>10</v>
      </c>
      <c r="J26" s="1031">
        <f>'2.2 Customer'!$I$17</f>
        <v>0</v>
      </c>
      <c r="K26" s="1031">
        <f>'2.2 Customer'!$M$17</f>
        <v>10</v>
      </c>
      <c r="L26" s="1032">
        <f>'2.2 Customer'!$N$17</f>
        <v>2.0986109</v>
      </c>
      <c r="M26" s="1032">
        <f>'2.2 Customer'!$O$17</f>
        <v>2.0986109</v>
      </c>
      <c r="N26" s="1032">
        <f>'2.2 Customer'!$R$17</f>
        <v>0</v>
      </c>
      <c r="O26" s="1032">
        <f>'2.2 Customer'!$S$17</f>
        <v>2.0986109</v>
      </c>
    </row>
    <row r="27" ht="14.25" customHeight="1" s="535">
      <c r="B27" s="929" t="inlineStr">
        <is>
          <t>Customer</t>
        </is>
      </c>
      <c r="C27" s="929" t="inlineStr">
        <is>
          <t>No figure to compare</t>
        </is>
      </c>
      <c r="D27" s="929" t="str">
        <f>'2.2 Customer'!$B$19</f>
        <v>Energy</v>
      </c>
      <c r="E27" s="929" t="str">
        <f>'2.2 Customer'!$C$19</f>
        <v>Not on the 1.x tab</v>
      </c>
      <c r="F27" s="929">
        <f>'2.2 Customer'!$D$19</f>
        <v/>
      </c>
      <c r="G27" s="1030">
        <f>'2.2 Customer'!$E$19</f>
        <v/>
      </c>
      <c r="H27" s="1031">
        <f>'2.2 Customer'!$F$19</f>
        <v>1</v>
      </c>
      <c r="I27" s="1031">
        <f>'2.2 Customer'!$H$19</f>
        <v>1</v>
      </c>
      <c r="J27" s="1031">
        <f>'2.2 Customer'!$I$19</f>
        <v>0</v>
      </c>
      <c r="K27" s="1031">
        <f>'2.2 Customer'!$M$19</f>
        <v>1</v>
      </c>
      <c r="L27" s="1032">
        <f>'2.2 Customer'!$N$19</f>
        <v/>
      </c>
      <c r="M27" s="1032">
        <f>'2.2 Customer'!$O$19</f>
        <v>0.13676</v>
      </c>
      <c r="N27" s="1032">
        <f>'2.2 Customer'!$R$19</f>
        <v/>
      </c>
      <c r="O27" s="1032">
        <f>'2.2 Customer'!$S$19</f>
        <v>0.13676</v>
      </c>
    </row>
    <row r="28" ht="14.25" customHeight="1" s="535">
      <c r="B28" s="929" t="inlineStr">
        <is>
          <t>Customer</t>
        </is>
      </c>
      <c r="C28" s="929" t="inlineStr">
        <is>
          <t>No figure to compare</t>
        </is>
      </c>
      <c r="D28" s="929" t="str">
        <f>'2.2 Customer'!$B$20</f>
        <v>Leadership</v>
      </c>
      <c r="E28" s="929" t="str">
        <f>'2.2 Customer'!$C$20</f>
        <v>Not on the 1.x tab</v>
      </c>
      <c r="F28" s="929">
        <f>'2.2 Customer'!$D$20</f>
        <v/>
      </c>
      <c r="G28" s="1030">
        <f>'2.2 Customer'!$E$20</f>
        <v/>
      </c>
      <c r="H28" s="1031">
        <f>'2.2 Customer'!$F$20</f>
        <v>5</v>
      </c>
      <c r="I28" s="1031">
        <f>'2.2 Customer'!$H$20</f>
        <v>4</v>
      </c>
      <c r="J28" s="1031">
        <f>'2.2 Customer'!$I$20</f>
        <v>1</v>
      </c>
      <c r="K28" s="1031">
        <f>'2.2 Customer'!$M$20</f>
        <v>5</v>
      </c>
      <c r="L28" s="1032">
        <f>'2.2 Customer'!$N$20</f>
        <v/>
      </c>
      <c r="M28" s="1032">
        <f>'2.2 Customer'!$O$20</f>
        <v>1.3101297</v>
      </c>
      <c r="N28" s="1032">
        <f>'2.2 Customer'!$R$20</f>
        <v/>
      </c>
      <c r="O28" s="1032">
        <f>'2.2 Customer'!$S$20</f>
        <v>1.3101297</v>
      </c>
    </row>
    <row r="29" ht="14.25" customHeight="1" s="535">
      <c r="B29" s="929" t="inlineStr">
        <is>
          <t>Customer</t>
        </is>
      </c>
      <c r="C29" s="929" t="inlineStr">
        <is>
          <t>Overhead</t>
        </is>
      </c>
      <c r="D29" s="929" t="str">
        <f>'2.2 Customer'!$B$23</f>
        <v>Head of Technology</v>
      </c>
      <c r="E29" s="929">
        <f>'2.2 Customer'!$C$23</f>
        <v/>
      </c>
      <c r="F29" s="929">
        <f>'2.2 Customer'!$D$23</f>
        <v/>
      </c>
      <c r="G29" s="1030">
        <f>'2.2 Customer'!$E$23</f>
        <v>0.5</v>
      </c>
      <c r="H29" s="1031">
        <f>'2.2 Customer'!$F$23</f>
        <v>2</v>
      </c>
      <c r="I29" s="1031">
        <f>'2.2 Customer'!$H$23</f>
        <v>2</v>
      </c>
      <c r="J29" s="1031">
        <f>'2.2 Customer'!$I$23</f>
        <v>0</v>
      </c>
      <c r="K29" s="1031">
        <f>'2.2 Customer'!$M$23</f>
        <v>2</v>
      </c>
      <c r="L29" s="1032">
        <f>'2.2 Customer'!$N$23</f>
        <v>0.1375</v>
      </c>
      <c r="M29" s="1032">
        <f>'2.2 Customer'!$O$23</f>
        <v>0.575460448</v>
      </c>
      <c r="N29" s="1032">
        <f>'2.2 Customer'!$R$23</f>
        <v>0.43796</v>
      </c>
      <c r="O29" s="1032">
        <f>'2.2 Customer'!$S$23</f>
        <v>0.575460448</v>
      </c>
    </row>
    <row r="30" ht="14.25" customHeight="1" s="535">
      <c r="B30" s="929" t="inlineStr">
        <is>
          <t>Customer</t>
        </is>
      </c>
      <c r="C30" s="929" t="inlineStr">
        <is>
          <t>Overhead</t>
        </is>
      </c>
      <c r="D30" s="929" t="str">
        <f>'2.2 Customer'!$B$24</f>
        <v>Delivery Manager</v>
      </c>
      <c r="E30" s="929">
        <f>'2.2 Customer'!$C$24</f>
        <v/>
      </c>
      <c r="F30" s="929">
        <f>'2.2 Customer'!$D$24</f>
        <v/>
      </c>
      <c r="G30" s="1030">
        <f>'2.2 Customer'!$E$24</f>
        <v>0.9</v>
      </c>
      <c r="H30" s="1031">
        <f>'2.2 Customer'!$F$24</f>
        <v>2</v>
      </c>
      <c r="I30" s="1031">
        <f>'2.2 Customer'!$H$24</f>
        <v>2</v>
      </c>
      <c r="J30" s="1031">
        <f>'2.2 Customer'!$I$24</f>
        <v>0</v>
      </c>
      <c r="K30" s="1031">
        <f>'2.2 Customer'!$M$24</f>
        <v>2</v>
      </c>
      <c r="L30" s="1032">
        <f>'2.2 Customer'!$N$24</f>
        <v>0.252</v>
      </c>
      <c r="M30" s="1032">
        <f>'2.2 Customer'!$O$24</f>
        <v>0.526923808</v>
      </c>
      <c r="N30" s="1032">
        <f>'2.2 Customer'!$R$24</f>
        <v>0.274924</v>
      </c>
      <c r="O30" s="1032">
        <f>'2.2 Customer'!$S$24</f>
        <v>0.526923808</v>
      </c>
    </row>
    <row r="31" ht="14.25" customHeight="1" s="535">
      <c r="B31" s="929" t="inlineStr">
        <is>
          <t>Customer</t>
        </is>
      </c>
      <c r="C31" s="929" t="inlineStr">
        <is>
          <t>Overhead</t>
        </is>
      </c>
      <c r="D31" s="929" t="str">
        <f>'2.2 Customer'!$B$25</f>
        <v>Technology Manager</v>
      </c>
      <c r="E31" s="929">
        <f>'2.2 Customer'!$C$25</f>
        <v/>
      </c>
      <c r="F31" s="929">
        <f>'2.2 Customer'!$D$25</f>
        <v/>
      </c>
      <c r="G31" s="1030">
        <f>'2.2 Customer'!$E$25</f>
        <v>0.9</v>
      </c>
      <c r="H31" s="1031">
        <f>'2.2 Customer'!$F$25</f>
        <v>4</v>
      </c>
      <c r="I31" s="1031">
        <f>'2.2 Customer'!$H$25</f>
        <v>3</v>
      </c>
      <c r="J31" s="1031">
        <f>'2.2 Customer'!$I$25</f>
        <v>1</v>
      </c>
      <c r="K31" s="1031">
        <f>'2.2 Customer'!$M$25</f>
        <v>4</v>
      </c>
      <c r="L31" s="1032">
        <f>'2.2 Customer'!$N$25</f>
        <v>0.243</v>
      </c>
      <c r="M31" s="1032">
        <f>'2.2 Customer'!$O$25</f>
        <v>1.03687509</v>
      </c>
      <c r="N31" s="1032">
        <f>'2.2 Customer'!$R$25</f>
        <v>0.793875</v>
      </c>
      <c r="O31" s="1032">
        <f>'2.2 Customer'!$S$25</f>
        <v>1.03687509</v>
      </c>
    </row>
    <row r="32" ht="14.25" customHeight="1" s="535">
      <c r="B32" s="929" t="inlineStr">
        <is>
          <t>Customer</t>
        </is>
      </c>
      <c r="C32" s="929" t="inlineStr">
        <is>
          <t>Overhead</t>
        </is>
      </c>
      <c r="D32" s="929" t="str">
        <f>'2.2 Customer'!$B$26</f>
        <v>Program Management</v>
      </c>
      <c r="E32" s="929">
        <f>'2.2 Customer'!$C$26</f>
        <v/>
      </c>
      <c r="F32" s="929">
        <f>'2.2 Customer'!$D$26</f>
        <v/>
      </c>
      <c r="G32" s="1030">
        <f>'2.2 Customer'!$E$26</f>
        <v>1</v>
      </c>
      <c r="H32" s="1031">
        <f>'2.2 Customer'!$F$26</f>
        <v>0</v>
      </c>
      <c r="I32" s="1031">
        <f>'2.2 Customer'!$H$26</f>
        <v>0</v>
      </c>
      <c r="J32" s="1031">
        <f>'2.2 Customer'!$I$26</f>
        <v>0</v>
      </c>
      <c r="K32" s="1031">
        <f>'2.2 Customer'!$M$26</f>
        <v>0</v>
      </c>
      <c r="L32" s="1032">
        <f>'2.2 Customer'!$N$26</f>
        <v>0</v>
      </c>
      <c r="M32" s="1032">
        <f>'2.2 Customer'!$O$26</f>
        <v>0</v>
      </c>
      <c r="N32" s="1032">
        <f>'2.2 Customer'!$R$26</f>
        <v>0</v>
      </c>
      <c r="O32" s="1032">
        <f>'2.2 Customer'!$S$26</f>
        <v>0</v>
      </c>
    </row>
    <row r="33" ht="14.25" customHeight="1" s="535">
      <c r="B33" s="1033" t="inlineStr">
        <is>
          <t>Customer total</t>
        </is>
      </c>
      <c r="C33" s="1033" t="n"/>
      <c r="D33" s="1033" t="n"/>
      <c r="E33" s="1033" t="n"/>
      <c r="F33" s="1036">
        <f>""</f>
        <v/>
      </c>
      <c r="G33" s="1034">
        <f>IF(COUNT(G19:G32)=0,"",SUM(G19:G32))</f>
        <v>60.3</v>
      </c>
      <c r="H33" s="1035">
        <f>SUM(H19:H32)</f>
        <v>83</v>
      </c>
      <c r="I33" s="1035">
        <f>SUM(I19:I32)</f>
        <v>70</v>
      </c>
      <c r="J33" s="1035">
        <f>SUM(J19:J32)</f>
        <v>13</v>
      </c>
      <c r="K33" s="1035">
        <f>SUM(K19:K32)</f>
        <v>83</v>
      </c>
      <c r="L33" s="1036">
        <f>IF(COUNT(L19:L32)=0,"",SUM(L19:L32))</f>
        <v>14.7911109</v>
      </c>
      <c r="M33" s="1036">
        <f>SUM(M19:M32)</f>
        <v>16.44131100212</v>
      </c>
      <c r="N33" s="1036">
        <f>IF(ISNUMBER($L33),ROUND($M33-$L33,6),"")</f>
        <v>1.6502</v>
      </c>
      <c r="O33" s="1036">
        <f>SUM(O19:O32)</f>
        <v>16.44131100212</v>
      </c>
    </row>
    <row r="34" ht="14.25" customHeight="1" s="535">
      <c r="B34" s="929" t="inlineStr">
        <is>
          <t>Enterprise Data</t>
        </is>
      </c>
      <c r="C34" s="929" t="inlineStr">
        <is>
          <t>Archetype</t>
        </is>
      </c>
      <c r="D34" s="929" t="str">
        <f>'2.3 Enterprise Data'!$B$8</f>
        <v>Data Platforms</v>
      </c>
      <c r="E34" s="929" t="str">
        <f>'2.3 Enterprise Data'!$C$8</f>
        <v>Enterprise Data and Insights</v>
      </c>
      <c r="F34" s="929" t="str">
        <f>'2.3 Enterprise Data'!$D$8</f>
        <v>M</v>
      </c>
      <c r="G34" s="1030">
        <f>'2.3 Enterprise Data'!$E$8</f>
        <v>7.5</v>
      </c>
      <c r="H34" s="1031">
        <f>'2.3 Enterprise Data'!$F$8</f>
        <v>8</v>
      </c>
      <c r="I34" s="1031">
        <f>'2.3 Enterprise Data'!$H$8</f>
        <v>4</v>
      </c>
      <c r="J34" s="1031">
        <f>'2.3 Enterprise Data'!$I$8</f>
        <v>4</v>
      </c>
      <c r="K34" s="1031">
        <f>'2.3 Enterprise Data'!$M$8</f>
        <v>5</v>
      </c>
      <c r="L34" s="1032">
        <f>'2.3 Enterprise Data'!$N$8</f>
        <v>1.7</v>
      </c>
      <c r="M34" s="1032">
        <f>'2.3 Enterprise Data'!$O$8</f>
        <v>1.626176996</v>
      </c>
      <c r="N34" s="1032">
        <f>'2.3 Enterprise Data'!$R$8</f>
        <v>-0.073823</v>
      </c>
      <c r="O34" s="1032">
        <f>'2.3 Enterprise Data'!$S$8</f>
        <v>1.049980746</v>
      </c>
    </row>
    <row r="35" ht="14.25" customHeight="1" s="535">
      <c r="B35" s="929" t="inlineStr">
        <is>
          <t>Enterprise Data</t>
        </is>
      </c>
      <c r="C35" s="929" t="inlineStr">
        <is>
          <t>Archetype</t>
        </is>
      </c>
      <c r="D35" s="929" t="str">
        <f>'2.3 Enterprise Data'!$B$9</f>
        <v>Data Science</v>
      </c>
      <c r="E35" s="929" t="str">
        <f>'2.3 Enterprise Data'!$C$9</f>
        <v>Enterprise Data and Insights</v>
      </c>
      <c r="F35" s="929" t="str">
        <f>'2.3 Enterprise Data'!$D$9</f>
        <v>S</v>
      </c>
      <c r="G35" s="1030">
        <f>'2.3 Enterprise Data'!$E$9</f>
        <v>4</v>
      </c>
      <c r="H35" s="1031">
        <f>'2.3 Enterprise Data'!$F$9</f>
        <v>4</v>
      </c>
      <c r="I35" s="1031">
        <f>'2.3 Enterprise Data'!$H$9</f>
        <v>4</v>
      </c>
      <c r="J35" s="1031">
        <f>'2.3 Enterprise Data'!$I$9</f>
        <v>0</v>
      </c>
      <c r="K35" s="1031">
        <f>'2.3 Enterprise Data'!$M$9</f>
        <v>4</v>
      </c>
      <c r="L35" s="1032">
        <f>'2.3 Enterprise Data'!$N$9</f>
        <v>0.9</v>
      </c>
      <c r="M35" s="1032">
        <f>'2.3 Enterprise Data'!$O$9</f>
        <v>0.80639733</v>
      </c>
      <c r="N35" s="1032">
        <f>'2.3 Enterprise Data'!$R$9</f>
        <v>-0.093603</v>
      </c>
      <c r="O35" s="1032">
        <f>'2.3 Enterprise Data'!$S$9</f>
        <v>0.80639733</v>
      </c>
    </row>
    <row r="36" ht="14.25" customHeight="1" s="535">
      <c r="B36" s="929" t="inlineStr">
        <is>
          <t>Enterprise Data</t>
        </is>
      </c>
      <c r="C36" s="929" t="inlineStr">
        <is>
          <t>Archetype</t>
        </is>
      </c>
      <c r="D36" s="929" t="str">
        <f>'2.3 Enterprise Data'!$B$10</f>
        <v>Reporting &amp; Analytics</v>
      </c>
      <c r="E36" s="929" t="str">
        <f>'2.3 Enterprise Data'!$C$10</f>
        <v>Enterprise Data and Insights</v>
      </c>
      <c r="F36" s="929" t="str">
        <f>'2.3 Enterprise Data'!$D$10</f>
        <v>M</v>
      </c>
      <c r="G36" s="1030">
        <f>'2.3 Enterprise Data'!$E$10</f>
        <v>7.5</v>
      </c>
      <c r="H36" s="1031">
        <f>'2.3 Enterprise Data'!$F$10</f>
        <v>6</v>
      </c>
      <c r="I36" s="1031">
        <f>'2.3 Enterprise Data'!$H$10</f>
        <v>5</v>
      </c>
      <c r="J36" s="1031">
        <f>'2.3 Enterprise Data'!$I$10</f>
        <v>1</v>
      </c>
      <c r="K36" s="1031">
        <f>'2.3 Enterprise Data'!$M$10</f>
        <v>5</v>
      </c>
      <c r="L36" s="1032">
        <f>'2.3 Enterprise Data'!$N$10</f>
        <v>1.7</v>
      </c>
      <c r="M36" s="1032">
        <f>'2.3 Enterprise Data'!$O$10</f>
        <v>1.26727278</v>
      </c>
      <c r="N36" s="1032">
        <f>'2.3 Enterprise Data'!$R$10</f>
        <v>-0.432727</v>
      </c>
      <c r="O36" s="1032">
        <f>'2.3 Enterprise Data'!$S$10</f>
        <v>1.06441953</v>
      </c>
    </row>
    <row r="37" ht="14.25" customHeight="1" s="535">
      <c r="B37" s="929" t="inlineStr">
        <is>
          <t>Enterprise Data</t>
        </is>
      </c>
      <c r="C37" s="929" t="inlineStr">
        <is>
          <t>Directly funded</t>
        </is>
      </c>
      <c r="D37" s="929" t="str">
        <f>'2.3 Enterprise Data'!$B$13</f>
        <v>EGI Ent Data</v>
      </c>
      <c r="E37" s="929" t="str">
        <f>'2.3 Enterprise Data'!$C$13</f>
        <v>Strategic Programs</v>
      </c>
      <c r="F37" s="929">
        <f>'2.3 Enterprise Data'!$D$13</f>
        <v/>
      </c>
      <c r="G37" s="1030">
        <f>'2.3 Enterprise Data'!$E$13</f>
        <v/>
      </c>
      <c r="H37" s="1031">
        <f>'2.3 Enterprise Data'!$F$13</f>
        <v>8</v>
      </c>
      <c r="I37" s="1031">
        <f>'2.3 Enterprise Data'!$H$13</f>
        <v>6</v>
      </c>
      <c r="J37" s="1031">
        <f>'2.3 Enterprise Data'!$I$13</f>
        <v>2</v>
      </c>
      <c r="K37" s="1031">
        <f>'2.3 Enterprise Data'!$M$13</f>
        <v>8</v>
      </c>
      <c r="L37" s="1032">
        <f>'2.3 Enterprise Data'!$N$13</f>
        <v>1.83595565</v>
      </c>
      <c r="M37" s="1032">
        <f>'2.3 Enterprise Data'!$O$13</f>
        <v>1.83595565</v>
      </c>
      <c r="N37" s="1032">
        <f>'2.3 Enterprise Data'!$R$13</f>
        <v>-1.835956</v>
      </c>
      <c r="O37" s="1032">
        <f>'2.3 Enterprise Data'!$S$13</f>
        <v>1.83595565</v>
      </c>
    </row>
    <row r="38" ht="14.25" customHeight="1" s="535">
      <c r="B38" s="929" t="inlineStr">
        <is>
          <t>Enterprise Data</t>
        </is>
      </c>
      <c r="C38" s="929" t="inlineStr">
        <is>
          <t>No figure to compare</t>
        </is>
      </c>
      <c r="D38" s="929" t="str">
        <f>'2.3 Enterprise Data'!$B$15</f>
        <v>Leadership</v>
      </c>
      <c r="E38" s="929" t="str">
        <f>'2.3 Enterprise Data'!$C$15</f>
        <v>Not on the 1.x tab</v>
      </c>
      <c r="F38" s="929">
        <f>'2.3 Enterprise Data'!$D$15</f>
        <v/>
      </c>
      <c r="G38" s="1030">
        <f>'2.3 Enterprise Data'!$E$15</f>
        <v/>
      </c>
      <c r="H38" s="1031">
        <f>'2.3 Enterprise Data'!$F$15</f>
        <v>2</v>
      </c>
      <c r="I38" s="1031">
        <f>'2.3 Enterprise Data'!$H$15</f>
        <v>1</v>
      </c>
      <c r="J38" s="1031">
        <f>'2.3 Enterprise Data'!$I$15</f>
        <v>1</v>
      </c>
      <c r="K38" s="1031">
        <f>'2.3 Enterprise Data'!$M$15</f>
        <v>2</v>
      </c>
      <c r="L38" s="1032">
        <f>'2.3 Enterprise Data'!$N$15</f>
        <v/>
      </c>
      <c r="M38" s="1032">
        <f>'2.3 Enterprise Data'!$O$15</f>
        <v>0.4987717</v>
      </c>
      <c r="N38" s="1032">
        <f>'2.3 Enterprise Data'!$R$15</f>
        <v/>
      </c>
      <c r="O38" s="1032">
        <f>'2.3 Enterprise Data'!$S$15</f>
        <v>0.4987717</v>
      </c>
    </row>
    <row r="39" ht="14.25" customHeight="1" s="535">
      <c r="B39" s="929" t="inlineStr">
        <is>
          <t>Enterprise Data</t>
        </is>
      </c>
      <c r="C39" s="929" t="inlineStr">
        <is>
          <t>Overhead</t>
        </is>
      </c>
      <c r="D39" s="929" t="str">
        <f>'2.3 Enterprise Data'!$B$17</f>
        <v>Head of Technology</v>
      </c>
      <c r="E39" s="929">
        <f>'2.3 Enterprise Data'!$C$17</f>
        <v/>
      </c>
      <c r="F39" s="929">
        <f>'2.3 Enterprise Data'!$D$17</f>
        <v/>
      </c>
      <c r="G39" s="1030">
        <f>'2.3 Enterprise Data'!$E$17</f>
        <v>0.5</v>
      </c>
      <c r="H39" s="1031">
        <f>'2.3 Enterprise Data'!$F$17</f>
        <v>1</v>
      </c>
      <c r="I39" s="1031">
        <f>'2.3 Enterprise Data'!$H$17</f>
        <v>1</v>
      </c>
      <c r="J39" s="1031">
        <f>'2.3 Enterprise Data'!$I$17</f>
        <v>0</v>
      </c>
      <c r="K39" s="1031">
        <f>'2.3 Enterprise Data'!$M$17</f>
        <v>1</v>
      </c>
      <c r="L39" s="1032">
        <f>'2.3 Enterprise Data'!$N$17</f>
        <v>0.1375</v>
      </c>
      <c r="M39" s="1032">
        <f>'2.3 Enterprise Data'!$O$17</f>
        <v>0.4097557</v>
      </c>
      <c r="N39" s="1032">
        <f>'2.3 Enterprise Data'!$R$17</f>
        <v>0.272256</v>
      </c>
      <c r="O39" s="1032">
        <f>'2.3 Enterprise Data'!$S$17</f>
        <v>0.4097557</v>
      </c>
    </row>
    <row r="40" ht="14.25" customHeight="1" s="535">
      <c r="B40" s="929" t="inlineStr">
        <is>
          <t>Enterprise Data</t>
        </is>
      </c>
      <c r="C40" s="929" t="inlineStr">
        <is>
          <t>Overhead</t>
        </is>
      </c>
      <c r="D40" s="929" t="str">
        <f>'2.3 Enterprise Data'!$B$18</f>
        <v>Delivery Manager</v>
      </c>
      <c r="E40" s="929">
        <f>'2.3 Enterprise Data'!$C$18</f>
        <v/>
      </c>
      <c r="F40" s="929">
        <f>'2.3 Enterprise Data'!$D$18</f>
        <v/>
      </c>
      <c r="G40" s="1030">
        <f>'2.3 Enterprise Data'!$E$18</f>
        <v>0.3</v>
      </c>
      <c r="H40" s="1031">
        <f>'2.3 Enterprise Data'!$F$18</f>
        <v>0</v>
      </c>
      <c r="I40" s="1031">
        <f>'2.3 Enterprise Data'!$H$18</f>
        <v>0</v>
      </c>
      <c r="J40" s="1031">
        <f>'2.3 Enterprise Data'!$I$18</f>
        <v>0</v>
      </c>
      <c r="K40" s="1031">
        <f>'2.3 Enterprise Data'!$M$18</f>
        <v>0</v>
      </c>
      <c r="L40" s="1032">
        <f>'2.3 Enterprise Data'!$N$18</f>
        <v>0.084</v>
      </c>
      <c r="M40" s="1032">
        <f>'2.3 Enterprise Data'!$O$18</f>
        <v>0</v>
      </c>
      <c r="N40" s="1032">
        <f>'2.3 Enterprise Data'!$R$18</f>
        <v>-0.084</v>
      </c>
      <c r="O40" s="1032">
        <f>'2.3 Enterprise Data'!$S$18</f>
        <v>0</v>
      </c>
    </row>
    <row r="41" ht="14.25" customHeight="1" s="535">
      <c r="B41" s="929" t="inlineStr">
        <is>
          <t>Enterprise Data</t>
        </is>
      </c>
      <c r="C41" s="929" t="inlineStr">
        <is>
          <t>Overhead</t>
        </is>
      </c>
      <c r="D41" s="929" t="str">
        <f>'2.3 Enterprise Data'!$B$19</f>
        <v>Technology Manager</v>
      </c>
      <c r="E41" s="929">
        <f>'2.3 Enterprise Data'!$C$19</f>
        <v/>
      </c>
      <c r="F41" s="929">
        <f>'2.3 Enterprise Data'!$D$19</f>
        <v/>
      </c>
      <c r="G41" s="1030">
        <f>'2.3 Enterprise Data'!$E$19</f>
        <v>0.3</v>
      </c>
      <c r="H41" s="1031">
        <f>'2.3 Enterprise Data'!$F$19</f>
        <v>2</v>
      </c>
      <c r="I41" s="1031">
        <f>'2.3 Enterprise Data'!$H$19</f>
        <v>2</v>
      </c>
      <c r="J41" s="1031">
        <f>'2.3 Enterprise Data'!$I$19</f>
        <v>0</v>
      </c>
      <c r="K41" s="1031">
        <f>'2.3 Enterprise Data'!$M$19</f>
        <v>2</v>
      </c>
      <c r="L41" s="1032">
        <f>'2.3 Enterprise Data'!$N$19</f>
        <v>0.081</v>
      </c>
      <c r="M41" s="1032">
        <f>'2.3 Enterprise Data'!$O$19</f>
        <v>0.65127875</v>
      </c>
      <c r="N41" s="1032">
        <f>'2.3 Enterprise Data'!$R$19</f>
        <v>0.570279</v>
      </c>
      <c r="O41" s="1032">
        <f>'2.3 Enterprise Data'!$S$19</f>
        <v>0.65127875</v>
      </c>
    </row>
    <row r="42" ht="14.25" customHeight="1" s="535">
      <c r="B42" s="1033" t="inlineStr">
        <is>
          <t>Enterprise Data total</t>
        </is>
      </c>
      <c r="C42" s="1033" t="n"/>
      <c r="D42" s="1033" t="n"/>
      <c r="E42" s="1033" t="n"/>
      <c r="F42" s="1036">
        <f>""</f>
        <v/>
      </c>
      <c r="G42" s="1034">
        <f>IF(COUNT(G34:G41)=0,"",SUM(G34:G41))</f>
        <v>20.1</v>
      </c>
      <c r="H42" s="1035">
        <f>SUM(H34:H41)</f>
        <v>31</v>
      </c>
      <c r="I42" s="1035">
        <f>SUM(I34:I41)</f>
        <v>23</v>
      </c>
      <c r="J42" s="1035">
        <f>SUM(J34:J41)</f>
        <v>8</v>
      </c>
      <c r="K42" s="1035">
        <f>SUM(K34:K41)</f>
        <v>27</v>
      </c>
      <c r="L42" s="1036">
        <f>IF(COUNT(L34:L41)=0,"",SUM(L34:L41))</f>
        <v>6.43845565</v>
      </c>
      <c r="M42" s="1036">
        <f>SUM(M34:M41)</f>
        <v>7.095608906</v>
      </c>
      <c r="N42" s="1036">
        <f>IF(ISNUMBER($L42),ROUND($M42-$L42,6),"")</f>
        <v>0.657153</v>
      </c>
      <c r="O42" s="1036">
        <f>SUM(O34:O41)</f>
        <v>6.316559406</v>
      </c>
    </row>
    <row r="43" ht="14.25" customHeight="1" s="535">
      <c r="B43" s="929" t="inlineStr">
        <is>
          <t>TDD Group Functions</t>
        </is>
      </c>
      <c r="C43" s="929" t="inlineStr">
        <is>
          <t>Archetype</t>
        </is>
      </c>
      <c r="D43" s="929" t="str">
        <f>'2.4 TDD Group Functions'!$B$8</f>
        <v>Cloud, Network &amp; Infra Ops</v>
      </c>
      <c r="E43" s="929" t="str">
        <f>'2.4 TDD Group Functions'!$C$8</f>
        <v>Operations</v>
      </c>
      <c r="F43" s="929" t="str">
        <f>'2.4 TDD Group Functions'!$D$8</f>
        <v>L</v>
      </c>
      <c r="G43" s="1030">
        <f>'2.4 TDD Group Functions'!$E$8</f>
        <v>10</v>
      </c>
      <c r="H43" s="1031">
        <f>'2.4 TDD Group Functions'!$F$8</f>
        <v>13</v>
      </c>
      <c r="I43" s="1031">
        <f>'2.4 TDD Group Functions'!$H$8</f>
        <v>11</v>
      </c>
      <c r="J43" s="1031">
        <f>'2.4 TDD Group Functions'!$I$8</f>
        <v>2</v>
      </c>
      <c r="K43" s="1031">
        <f>'2.4 TDD Group Functions'!$M$8</f>
        <v>13</v>
      </c>
      <c r="L43" s="1032">
        <f>'2.4 TDD Group Functions'!$N$8</f>
        <v>2.3</v>
      </c>
      <c r="M43" s="1032">
        <f>'2.4 TDD Group Functions'!$O$8</f>
        <v>2.8697303064</v>
      </c>
      <c r="N43" s="1032">
        <f>'2.4 TDD Group Functions'!$R$8</f>
        <v>0.56973</v>
      </c>
      <c r="O43" s="1032">
        <f>'2.4 TDD Group Functions'!$S$8</f>
        <v>2.5981192164</v>
      </c>
    </row>
    <row r="44" ht="14.25" customHeight="1" s="535">
      <c r="B44" s="929" t="inlineStr">
        <is>
          <t>TDD Group Functions</t>
        </is>
      </c>
      <c r="C44" s="929" t="inlineStr">
        <is>
          <t>Archetype</t>
        </is>
      </c>
      <c r="D44" s="929" t="str">
        <f>'2.4 TDD Group Functions'!$B$9</f>
        <v>DevOps &amp; QE</v>
      </c>
      <c r="E44" s="929" t="str">
        <f>'2.4 TDD Group Functions'!$C$9</f>
        <v>Engineering</v>
      </c>
      <c r="F44" s="929" t="str">
        <f>'2.4 TDD Group Functions'!$D$9</f>
        <v>S</v>
      </c>
      <c r="G44" s="1030">
        <f>'2.4 TDD Group Functions'!$E$9</f>
        <v>4.5</v>
      </c>
      <c r="H44" s="1031">
        <f>'2.4 TDD Group Functions'!$F$9</f>
        <v>7</v>
      </c>
      <c r="I44" s="1031">
        <f>'2.4 TDD Group Functions'!$H$9</f>
        <v>4</v>
      </c>
      <c r="J44" s="1031">
        <f>'2.4 TDD Group Functions'!$I$9</f>
        <v>3</v>
      </c>
      <c r="K44" s="1031">
        <f>'2.4 TDD Group Functions'!$M$9</f>
        <v>6</v>
      </c>
      <c r="L44" s="1032">
        <f>'2.4 TDD Group Functions'!$N$9</f>
        <v>0.8</v>
      </c>
      <c r="M44" s="1032">
        <f>'2.4 TDD Group Functions'!$O$9</f>
        <v>1.349902548</v>
      </c>
      <c r="N44" s="1032">
        <f>'2.4 TDD Group Functions'!$R$9</f>
        <v>0.549903</v>
      </c>
      <c r="O44" s="1032">
        <f>'2.4 TDD Group Functions'!$S$9</f>
        <v>0.6776857512</v>
      </c>
    </row>
    <row r="45" ht="14.25" customHeight="1" s="535">
      <c r="B45" s="929" t="inlineStr">
        <is>
          <t>TDD Group Functions</t>
        </is>
      </c>
      <c r="C45" s="929" t="inlineStr">
        <is>
          <t>Archetype</t>
        </is>
      </c>
      <c r="D45" s="929" t="str">
        <f>'2.4 TDD Group Functions'!$B$10</f>
        <v>Integration &amp; Process Automation</v>
      </c>
      <c r="E45" s="929" t="str">
        <f>'2.4 TDD Group Functions'!$C$10</f>
        <v>Configuration / Integration</v>
      </c>
      <c r="F45" s="929" t="str">
        <f>'2.4 TDD Group Functions'!$D$10</f>
        <v>M</v>
      </c>
      <c r="G45" s="1030">
        <f>'2.4 TDD Group Functions'!$E$10</f>
        <v>9</v>
      </c>
      <c r="H45" s="1031">
        <f>'2.4 TDD Group Functions'!$F$10</f>
        <v>10</v>
      </c>
      <c r="I45" s="1031">
        <f>'2.4 TDD Group Functions'!$H$10</f>
        <v>8</v>
      </c>
      <c r="J45" s="1031">
        <f>'2.4 TDD Group Functions'!$I$10</f>
        <v>2</v>
      </c>
      <c r="K45" s="1031">
        <f>'2.4 TDD Group Functions'!$M$10</f>
        <v>10</v>
      </c>
      <c r="L45" s="1032">
        <f>'2.4 TDD Group Functions'!$N$10</f>
        <v>2.1</v>
      </c>
      <c r="M45" s="1032">
        <f>'2.4 TDD Group Functions'!$O$10</f>
        <v>1.98123790904348</v>
      </c>
      <c r="N45" s="1032">
        <f>'2.4 TDD Group Functions'!$R$10</f>
        <v>-0.118762</v>
      </c>
      <c r="O45" s="1032">
        <f>'2.4 TDD Group Functions'!$S$10</f>
        <v>1.78533354104348</v>
      </c>
    </row>
    <row r="46" ht="14.25" customHeight="1" s="535">
      <c r="B46" s="929" t="inlineStr">
        <is>
          <t>TDD Group Functions</t>
        </is>
      </c>
      <c r="C46" s="929" t="inlineStr">
        <is>
          <t>Archetype</t>
        </is>
      </c>
      <c r="D46" s="929" t="str">
        <f>'2.4 TDD Group Functions'!$B$11</f>
        <v>Workplace &amp; Enterprise Tooling</v>
      </c>
      <c r="E46" s="929" t="str">
        <f>'2.4 TDD Group Functions'!$C$11</f>
        <v>Configuration / Integration</v>
      </c>
      <c r="F46" s="929" t="str">
        <f>'2.4 TDD Group Functions'!$D$11</f>
        <v>S</v>
      </c>
      <c r="G46" s="1030">
        <f>'2.4 TDD Group Functions'!$E$11</f>
        <v>6</v>
      </c>
      <c r="H46" s="1031">
        <f>'2.4 TDD Group Functions'!$F$11</f>
        <v>6</v>
      </c>
      <c r="I46" s="1031">
        <f>'2.4 TDD Group Functions'!$H$11</f>
        <v>4</v>
      </c>
      <c r="J46" s="1031">
        <f>'2.4 TDD Group Functions'!$I$11</f>
        <v>2</v>
      </c>
      <c r="K46" s="1031">
        <f>'2.4 TDD Group Functions'!$M$11</f>
        <v>5</v>
      </c>
      <c r="L46" s="1032">
        <f>'2.4 TDD Group Functions'!$N$11</f>
        <v>1.4</v>
      </c>
      <c r="M46" s="1032">
        <f>'2.4 TDD Group Functions'!$O$11</f>
        <v>1.117329222</v>
      </c>
      <c r="N46" s="1032">
        <f>'2.4 TDD Group Functions'!$R$11</f>
        <v>-0.282671</v>
      </c>
      <c r="O46" s="1032">
        <f>'2.4 TDD Group Functions'!$S$11</f>
        <v>0.914475972</v>
      </c>
    </row>
    <row r="47" ht="14.25" customHeight="1" s="535">
      <c r="B47" s="929" t="inlineStr">
        <is>
          <t>TDD Group Functions</t>
        </is>
      </c>
      <c r="C47" s="929" t="inlineStr">
        <is>
          <t>Directly funded</t>
        </is>
      </c>
      <c r="D47" s="929" t="str">
        <f>'2.4 TDD Group Functions'!$B$14</f>
        <v>EGI TDD</v>
      </c>
      <c r="E47" s="929" t="str">
        <f>'2.4 TDD Group Functions'!$C$14</f>
        <v>Strategic Programs</v>
      </c>
      <c r="F47" s="929">
        <f>'2.4 TDD Group Functions'!$D$14</f>
        <v/>
      </c>
      <c r="G47" s="1030">
        <f>'2.4 TDD Group Functions'!$E$14</f>
        <v/>
      </c>
      <c r="H47" s="1031">
        <f>'2.4 TDD Group Functions'!$F$14</f>
        <v>5</v>
      </c>
      <c r="I47" s="1031">
        <f>'2.4 TDD Group Functions'!$H$14</f>
        <v>5</v>
      </c>
      <c r="J47" s="1031">
        <f>'2.4 TDD Group Functions'!$I$14</f>
        <v>0</v>
      </c>
      <c r="K47" s="1031">
        <f>'2.4 TDD Group Functions'!$M$14</f>
        <v>5</v>
      </c>
      <c r="L47" s="1032">
        <f>'2.4 TDD Group Functions'!$N$14</f>
        <v>1.32454851</v>
      </c>
      <c r="M47" s="1032">
        <f>'2.4 TDD Group Functions'!$O$14</f>
        <v>1.32454851</v>
      </c>
      <c r="N47" s="1032">
        <f>'2.4 TDD Group Functions'!$R$14</f>
        <v>0</v>
      </c>
      <c r="O47" s="1032">
        <f>'2.4 TDD Group Functions'!$S$14</f>
        <v>1.32454851</v>
      </c>
    </row>
    <row r="48" ht="14.25" customHeight="1" s="535">
      <c r="B48" s="929" t="inlineStr">
        <is>
          <t>TDD Group Functions</t>
        </is>
      </c>
      <c r="C48" s="929" t="inlineStr">
        <is>
          <t>No figure to compare</t>
        </is>
      </c>
      <c r="D48" s="929" t="str">
        <f>'2.4 TDD Group Functions'!$B$16</f>
        <v>SAP ERP</v>
      </c>
      <c r="E48" s="929" t="str">
        <f>'2.4 TDD Group Functions'!$C$16</f>
        <v>Not on the 1.x tab</v>
      </c>
      <c r="F48" s="929">
        <f>'2.4 TDD Group Functions'!$D$16</f>
        <v/>
      </c>
      <c r="G48" s="1030">
        <f>'2.4 TDD Group Functions'!$E$16</f>
        <v/>
      </c>
      <c r="H48" s="1031">
        <f>'2.4 TDD Group Functions'!$F$16</f>
        <v>1</v>
      </c>
      <c r="I48" s="1031">
        <f>'2.4 TDD Group Functions'!$H$16</f>
        <v>1</v>
      </c>
      <c r="J48" s="1031">
        <f>'2.4 TDD Group Functions'!$I$16</f>
        <v>0</v>
      </c>
      <c r="K48" s="1031">
        <f>'2.4 TDD Group Functions'!$M$16</f>
        <v>0</v>
      </c>
      <c r="L48" s="1032">
        <f>'2.4 TDD Group Functions'!$N$16</f>
        <v/>
      </c>
      <c r="M48" s="1032">
        <f>'2.4 TDD Group Functions'!$O$16</f>
        <v>0.3552</v>
      </c>
      <c r="N48" s="1032">
        <f>'2.4 TDD Group Functions'!$R$16</f>
        <v/>
      </c>
      <c r="O48" s="1032">
        <f>'2.4 TDD Group Functions'!$S$16</f>
        <v>0</v>
      </c>
    </row>
    <row r="49" ht="14.25" customHeight="1" s="535">
      <c r="B49" s="929" t="inlineStr">
        <is>
          <t>TDD Group Functions</t>
        </is>
      </c>
      <c r="C49" s="929" t="inlineStr">
        <is>
          <t>Overhead</t>
        </is>
      </c>
      <c r="D49" s="929" t="str">
        <f>'2.4 TDD Group Functions'!$B$18</f>
        <v>Head of Technology</v>
      </c>
      <c r="E49" s="929">
        <f>'2.4 TDD Group Functions'!$C$18</f>
        <v/>
      </c>
      <c r="F49" s="929">
        <f>'2.4 TDD Group Functions'!$D$18</f>
        <v/>
      </c>
      <c r="G49" s="1030">
        <f>'2.4 TDD Group Functions'!$E$18</f>
        <v>0.5</v>
      </c>
      <c r="H49" s="1031">
        <f>'2.4 TDD Group Functions'!$F$18</f>
        <v>1</v>
      </c>
      <c r="I49" s="1031">
        <f>'2.4 TDD Group Functions'!$H$18</f>
        <v>0</v>
      </c>
      <c r="J49" s="1031">
        <f>'2.4 TDD Group Functions'!$I$18</f>
        <v>1</v>
      </c>
      <c r="K49" s="1031">
        <f>'2.4 TDD Group Functions'!$M$18</f>
        <v>1</v>
      </c>
      <c r="L49" s="1032">
        <f>'2.4 TDD Group Functions'!$N$18</f>
        <v>0.1375</v>
      </c>
      <c r="M49" s="1032">
        <f>'2.4 TDD Group Functions'!$O$18</f>
        <v>0.33302025</v>
      </c>
      <c r="N49" s="1032">
        <f>'2.4 TDD Group Functions'!$R$18</f>
        <v>0.19552</v>
      </c>
      <c r="O49" s="1032">
        <f>'2.4 TDD Group Functions'!$S$18</f>
        <v>0.33302025</v>
      </c>
    </row>
    <row r="50" ht="14.25" customHeight="1" s="535">
      <c r="B50" s="929" t="inlineStr">
        <is>
          <t>TDD Group Functions</t>
        </is>
      </c>
      <c r="C50" s="929" t="inlineStr">
        <is>
          <t>Overhead</t>
        </is>
      </c>
      <c r="D50" s="929" t="str">
        <f>'2.4 TDD Group Functions'!$B$19</f>
        <v>Delivery Manager</v>
      </c>
      <c r="E50" s="929">
        <f>'2.4 TDD Group Functions'!$C$19</f>
        <v/>
      </c>
      <c r="F50" s="929">
        <f>'2.4 TDD Group Functions'!$D$19</f>
        <v/>
      </c>
      <c r="G50" s="1030">
        <f>'2.4 TDD Group Functions'!$E$19</f>
        <v>0.3</v>
      </c>
      <c r="H50" s="1031">
        <f>'2.4 TDD Group Functions'!$F$19</f>
        <v>1</v>
      </c>
      <c r="I50" s="1031">
        <f>'2.4 TDD Group Functions'!$H$19</f>
        <v>0</v>
      </c>
      <c r="J50" s="1031">
        <f>'2.4 TDD Group Functions'!$I$19</f>
        <v>1</v>
      </c>
      <c r="K50" s="1031">
        <f>'2.4 TDD Group Functions'!$M$19</f>
        <v>1</v>
      </c>
      <c r="L50" s="1032">
        <f>'2.4 TDD Group Functions'!$N$19</f>
        <v>0.084</v>
      </c>
      <c r="M50" s="1032">
        <f>'2.4 TDD Group Functions'!$O$19</f>
        <v>0.27581025</v>
      </c>
      <c r="N50" s="1032">
        <f>'2.4 TDD Group Functions'!$R$19</f>
        <v>0.19181</v>
      </c>
      <c r="O50" s="1032">
        <f>'2.4 TDD Group Functions'!$S$19</f>
        <v>0.27581025</v>
      </c>
    </row>
    <row r="51" ht="14.25" customHeight="1" s="535">
      <c r="B51" s="929" t="inlineStr">
        <is>
          <t>TDD Group Functions</t>
        </is>
      </c>
      <c r="C51" s="929" t="inlineStr">
        <is>
          <t>Overhead</t>
        </is>
      </c>
      <c r="D51" s="929" t="str">
        <f>'2.4 TDD Group Functions'!$B$20</f>
        <v>Technology Manager</v>
      </c>
      <c r="E51" s="929">
        <f>'2.4 TDD Group Functions'!$C$20</f>
        <v/>
      </c>
      <c r="F51" s="929">
        <f>'2.4 TDD Group Functions'!$D$20</f>
        <v/>
      </c>
      <c r="G51" s="1030">
        <f>'2.4 TDD Group Functions'!$E$20</f>
        <v>0.3</v>
      </c>
      <c r="H51" s="1031">
        <f>'2.4 TDD Group Functions'!$F$20</f>
        <v>4</v>
      </c>
      <c r="I51" s="1031">
        <f>'2.4 TDD Group Functions'!$H$20</f>
        <v>3</v>
      </c>
      <c r="J51" s="1031">
        <f>'2.4 TDD Group Functions'!$I$20</f>
        <v>1</v>
      </c>
      <c r="K51" s="1031">
        <f>'2.4 TDD Group Functions'!$M$20</f>
        <v>4</v>
      </c>
      <c r="L51" s="1032">
        <f>'2.4 TDD Group Functions'!$N$20</f>
        <v>0.081</v>
      </c>
      <c r="M51" s="1032">
        <f>'2.4 TDD Group Functions'!$O$20</f>
        <v>1.00232904</v>
      </c>
      <c r="N51" s="1032">
        <f>'2.4 TDD Group Functions'!$R$20</f>
        <v>0.921329</v>
      </c>
      <c r="O51" s="1032">
        <f>'2.4 TDD Group Functions'!$S$20</f>
        <v>1.00232904</v>
      </c>
    </row>
    <row r="52" ht="14.25" customHeight="1" s="535">
      <c r="B52" s="1033" t="inlineStr">
        <is>
          <t>TDD Group Functions total</t>
        </is>
      </c>
      <c r="C52" s="1033" t="n"/>
      <c r="D52" s="1033" t="n"/>
      <c r="E52" s="1033" t="n"/>
      <c r="F52" s="1036">
        <f>""</f>
        <v/>
      </c>
      <c r="G52" s="1034">
        <f>IF(COUNT(G43:G51)=0,"",SUM(G43:G51))</f>
        <v>30.6</v>
      </c>
      <c r="H52" s="1035">
        <f>SUM(H43:H51)</f>
        <v>48</v>
      </c>
      <c r="I52" s="1035">
        <f>SUM(I43:I51)</f>
        <v>36</v>
      </c>
      <c r="J52" s="1035">
        <f>SUM(J43:J51)</f>
        <v>12</v>
      </c>
      <c r="K52" s="1035">
        <f>SUM(K43:K51)</f>
        <v>45</v>
      </c>
      <c r="L52" s="1036">
        <f>IF(COUNT(L43:L51)=0,"",SUM(L43:L51))</f>
        <v>8.22704851</v>
      </c>
      <c r="M52" s="1036">
        <f>SUM(M43:M51)</f>
        <v>10.6091080354435</v>
      </c>
      <c r="N52" s="1036">
        <f>IF(ISNUMBER($L52),ROUND($M52-$L52,6),"")</f>
        <v>2.38206</v>
      </c>
      <c r="O52" s="1036">
        <f>SUM(O43:O51)</f>
        <v>8.91132253064348</v>
      </c>
    </row>
    <row r="53" ht="14.25" customHeight="1" s="535">
      <c r="B53" s="929" t="inlineStr">
        <is>
          <t>P&amp;C</t>
        </is>
      </c>
      <c r="C53" s="929" t="inlineStr">
        <is>
          <t>Archetype</t>
        </is>
      </c>
      <c r="D53" s="929" t="str">
        <f>'2.5 P&amp;C'!$B$8</f>
        <v>P&amp;C</v>
      </c>
      <c r="E53" s="929" t="str">
        <f>'2.5 P&amp;C'!$C$8</f>
        <v>Configuration / Integration</v>
      </c>
      <c r="F53" s="929" t="str">
        <f>'2.5 P&amp;C'!$D$8</f>
        <v>M</v>
      </c>
      <c r="G53" s="1030">
        <f>'2.5 P&amp;C'!$E$8</f>
        <v>9</v>
      </c>
      <c r="H53" s="1031">
        <f>'2.5 P&amp;C'!$F$8</f>
        <v>8</v>
      </c>
      <c r="I53" s="1031">
        <f>'2.5 P&amp;C'!$H$8</f>
        <v>5</v>
      </c>
      <c r="J53" s="1031">
        <f>'2.5 P&amp;C'!$I$8</f>
        <v>3</v>
      </c>
      <c r="K53" s="1031">
        <f>'2.5 P&amp;C'!$M$8</f>
        <v>8</v>
      </c>
      <c r="L53" s="1032">
        <f>'2.5 P&amp;C'!$N$8</f>
        <v>2.1</v>
      </c>
      <c r="M53" s="1032">
        <f>'2.5 P&amp;C'!$O$8</f>
        <v>1.76551793</v>
      </c>
      <c r="N53" s="1032">
        <f>'2.5 P&amp;C'!$R$8</f>
        <v>-0.334482</v>
      </c>
      <c r="O53" s="1032">
        <f>'2.5 P&amp;C'!$S$8</f>
        <v>1.66322408</v>
      </c>
    </row>
    <row r="54" ht="14.25" customHeight="1" s="535">
      <c r="B54" s="929" t="inlineStr">
        <is>
          <t>P&amp;C</t>
        </is>
      </c>
      <c r="C54" s="929" t="inlineStr">
        <is>
          <t>Archetype</t>
        </is>
      </c>
      <c r="D54" s="929" t="str">
        <f>'2.5 P&amp;C'!$B$9</f>
        <v>P&amp;C RTA</v>
      </c>
      <c r="E54" s="929" t="str">
        <f>'2.5 P&amp;C'!$C$9</f>
        <v>Configuration / Integration</v>
      </c>
      <c r="F54" s="929" t="str">
        <f>'2.5 P&amp;C'!$D$9</f>
        <v>S</v>
      </c>
      <c r="G54" s="1030">
        <f>'2.5 P&amp;C'!$E$9</f>
        <v>6</v>
      </c>
      <c r="H54" s="1031">
        <f>'2.5 P&amp;C'!$F$9</f>
        <v>5</v>
      </c>
      <c r="I54" s="1031">
        <f>'2.5 P&amp;C'!$H$9</f>
        <v>0</v>
      </c>
      <c r="J54" s="1031">
        <f>'2.5 P&amp;C'!$I$9</f>
        <v>5</v>
      </c>
      <c r="K54" s="1031">
        <f>'2.5 P&amp;C'!$M$9</f>
        <v>5</v>
      </c>
      <c r="L54" s="1032">
        <f>'2.5 P&amp;C'!$N$9</f>
        <v>1.4</v>
      </c>
      <c r="M54" s="1032">
        <f>'2.5 P&amp;C'!$O$9</f>
        <v>0.98658815</v>
      </c>
      <c r="N54" s="1032">
        <f>'2.5 P&amp;C'!$R$9</f>
        <v>-0.413412</v>
      </c>
      <c r="O54" s="1032">
        <f>'2.5 P&amp;C'!$S$9</f>
        <v>0.8842943</v>
      </c>
    </row>
    <row r="55" ht="14.25" customHeight="1" s="535">
      <c r="B55" s="929" t="inlineStr">
        <is>
          <t>P&amp;C</t>
        </is>
      </c>
      <c r="C55" s="929" t="inlineStr">
        <is>
          <t>Directly funded</t>
        </is>
      </c>
      <c r="D55" s="929" t="str">
        <f>'2.5 P&amp;C'!$B$12</f>
        <v>EGI P&amp;C</v>
      </c>
      <c r="E55" s="929" t="str">
        <f>'2.5 P&amp;C'!$C$12</f>
        <v>Strategic Programs</v>
      </c>
      <c r="F55" s="929">
        <f>'2.5 P&amp;C'!$D$12</f>
        <v/>
      </c>
      <c r="G55" s="1030">
        <f>'2.5 P&amp;C'!$E$12</f>
        <v/>
      </c>
      <c r="H55" s="1031">
        <f>'2.5 P&amp;C'!$F$12</f>
        <v>1</v>
      </c>
      <c r="I55" s="1031">
        <f>'2.5 P&amp;C'!$H$12</f>
        <v>1</v>
      </c>
      <c r="J55" s="1031">
        <f>'2.5 P&amp;C'!$I$12</f>
        <v>0</v>
      </c>
      <c r="K55" s="1031">
        <f>'2.5 P&amp;C'!$M$12</f>
        <v>1</v>
      </c>
      <c r="L55" s="1032">
        <f>'2.5 P&amp;C'!$N$12</f>
        <v>0.238965</v>
      </c>
      <c r="M55" s="1032">
        <f>'2.5 P&amp;C'!$O$12</f>
        <v>0.238965</v>
      </c>
      <c r="N55" s="1032">
        <f>'2.5 P&amp;C'!$R$12</f>
        <v>0</v>
      </c>
      <c r="O55" s="1032">
        <f>'2.5 P&amp;C'!$S$12</f>
        <v>0.238965</v>
      </c>
    </row>
    <row r="56" ht="14.25" customHeight="1" s="535">
      <c r="B56" s="929" t="inlineStr">
        <is>
          <t>P&amp;C</t>
        </is>
      </c>
      <c r="C56" s="929" t="inlineStr">
        <is>
          <t>Overhead</t>
        </is>
      </c>
      <c r="D56" s="929" t="str">
        <f>'2.5 P&amp;C'!$B$14</f>
        <v>Head of Technology</v>
      </c>
      <c r="E56" s="929">
        <f>'2.5 P&amp;C'!$C$14</f>
        <v/>
      </c>
      <c r="F56" s="929">
        <f>'2.5 P&amp;C'!$D$14</f>
        <v/>
      </c>
      <c r="G56" s="1030">
        <f>'2.5 P&amp;C'!$E$14</f>
        <v>0.5</v>
      </c>
      <c r="H56" s="1031">
        <f>'2.5 P&amp;C'!$F$14</f>
        <v>1</v>
      </c>
      <c r="I56" s="1031">
        <f>'2.5 P&amp;C'!$H$14</f>
        <v>1</v>
      </c>
      <c r="J56" s="1031">
        <f>'2.5 P&amp;C'!$I$14</f>
        <v>0</v>
      </c>
      <c r="K56" s="1031">
        <f>'2.5 P&amp;C'!$M$14</f>
        <v>1</v>
      </c>
      <c r="L56" s="1032">
        <f>'2.5 P&amp;C'!$N$14</f>
        <v>0.1375</v>
      </c>
      <c r="M56" s="1032">
        <f>'2.5 P&amp;C'!$O$14</f>
        <v>0.3642493</v>
      </c>
      <c r="N56" s="1032">
        <f>'2.5 P&amp;C'!$R$14</f>
        <v>0.226749</v>
      </c>
      <c r="O56" s="1032">
        <f>'2.5 P&amp;C'!$S$14</f>
        <v>0.3642493</v>
      </c>
    </row>
    <row r="57" ht="14.25" customHeight="1" s="535">
      <c r="B57" s="929" t="inlineStr">
        <is>
          <t>P&amp;C</t>
        </is>
      </c>
      <c r="C57" s="929" t="inlineStr">
        <is>
          <t>Overhead</t>
        </is>
      </c>
      <c r="D57" s="929" t="str">
        <f>'2.5 P&amp;C'!$B$15</f>
        <v>Delivery Manager</v>
      </c>
      <c r="E57" s="929">
        <f>'2.5 P&amp;C'!$C$15</f>
        <v/>
      </c>
      <c r="F57" s="929">
        <f>'2.5 P&amp;C'!$D$15</f>
        <v/>
      </c>
      <c r="G57" s="1030">
        <f>'2.5 P&amp;C'!$E$15</f>
        <v>0.3</v>
      </c>
      <c r="H57" s="1031">
        <f>'2.5 P&amp;C'!$F$15</f>
        <v>1</v>
      </c>
      <c r="I57" s="1031">
        <f>'2.5 P&amp;C'!$H$15</f>
        <v>0</v>
      </c>
      <c r="J57" s="1031">
        <f>'2.5 P&amp;C'!$I$15</f>
        <v>1</v>
      </c>
      <c r="K57" s="1031">
        <f>'2.5 P&amp;C'!$M$15</f>
        <v>1</v>
      </c>
      <c r="L57" s="1032">
        <f>'2.5 P&amp;C'!$N$15</f>
        <v>0.084</v>
      </c>
      <c r="M57" s="1032">
        <f>'2.5 P&amp;C'!$O$15</f>
        <v>0.27581025</v>
      </c>
      <c r="N57" s="1032">
        <f>'2.5 P&amp;C'!$R$15</f>
        <v>0.19181</v>
      </c>
      <c r="O57" s="1032">
        <f>'2.5 P&amp;C'!$S$15</f>
        <v>0.27581025</v>
      </c>
    </row>
    <row r="58" ht="14.25" customHeight="1" s="535">
      <c r="B58" s="929" t="inlineStr">
        <is>
          <t>P&amp;C</t>
        </is>
      </c>
      <c r="C58" s="929" t="inlineStr">
        <is>
          <t>Overhead</t>
        </is>
      </c>
      <c r="D58" s="929" t="str">
        <f>'2.5 P&amp;C'!$B$16</f>
        <v>Technology Manager</v>
      </c>
      <c r="E58" s="929">
        <f>'2.5 P&amp;C'!$C$16</f>
        <v/>
      </c>
      <c r="F58" s="929">
        <f>'2.5 P&amp;C'!$D$16</f>
        <v/>
      </c>
      <c r="G58" s="1030">
        <f>'2.5 P&amp;C'!$E$16</f>
        <v>0.3</v>
      </c>
      <c r="H58" s="1031">
        <f>'2.5 P&amp;C'!$F$16</f>
        <v>1</v>
      </c>
      <c r="I58" s="1031">
        <f>'2.5 P&amp;C'!$H$16</f>
        <v>1</v>
      </c>
      <c r="J58" s="1031">
        <f>'2.5 P&amp;C'!$I$16</f>
        <v>0</v>
      </c>
      <c r="K58" s="1031">
        <f>'2.5 P&amp;C'!$M$16</f>
        <v>1</v>
      </c>
      <c r="L58" s="1032">
        <f>'2.5 P&amp;C'!$N$16</f>
        <v>0.081</v>
      </c>
      <c r="M58" s="1032">
        <f>'2.5 P&amp;C'!$O$16</f>
        <v>0.2963656</v>
      </c>
      <c r="N58" s="1032">
        <f>'2.5 P&amp;C'!$R$16</f>
        <v>0.215366</v>
      </c>
      <c r="O58" s="1032">
        <f>'2.5 P&amp;C'!$S$16</f>
        <v>0.2963656</v>
      </c>
    </row>
    <row r="59" ht="14.25" customHeight="1" s="535">
      <c r="B59" s="1033" t="inlineStr">
        <is>
          <t>P&amp;C total</t>
        </is>
      </c>
      <c r="C59" s="1033" t="n"/>
      <c r="D59" s="1033" t="n"/>
      <c r="E59" s="1033" t="n"/>
      <c r="F59" s="1036">
        <f>""</f>
        <v/>
      </c>
      <c r="G59" s="1034">
        <f>IF(COUNT(G53:G58)=0,"",SUM(G53:G58))</f>
        <v>16.1</v>
      </c>
      <c r="H59" s="1035">
        <f>SUM(H53:H58)</f>
        <v>17</v>
      </c>
      <c r="I59" s="1035">
        <f>SUM(I53:I58)</f>
        <v>8</v>
      </c>
      <c r="J59" s="1035">
        <f>SUM(J53:J58)</f>
        <v>9</v>
      </c>
      <c r="K59" s="1035">
        <f>SUM(K53:K58)</f>
        <v>17</v>
      </c>
      <c r="L59" s="1036">
        <f>IF(COUNT(L53:L58)=0,"",SUM(L53:L58))</f>
        <v>4.041465</v>
      </c>
      <c r="M59" s="1036">
        <f>SUM(M53:M58)</f>
        <v>3.92749623</v>
      </c>
      <c r="N59" s="1036">
        <f>IF(ISNUMBER($L59),ROUND($M59-$L59,6),"")</f>
        <v>-0.113969</v>
      </c>
      <c r="O59" s="1036">
        <f>SUM(O53:O58)</f>
        <v>3.72290853</v>
      </c>
    </row>
    <row r="60" ht="14.25" customHeight="1" s="535">
      <c r="B60" s="929" t="inlineStr">
        <is>
          <t>Finance</t>
        </is>
      </c>
      <c r="C60" s="929" t="inlineStr">
        <is>
          <t>Archetype</t>
        </is>
      </c>
      <c r="D60" s="929" t="str">
        <f>'2.6 Finance'!$B$8</f>
        <v>NZ Finance</v>
      </c>
      <c r="E60" s="929" t="str">
        <f>'2.6 Finance'!$C$8</f>
        <v>Configuration / Integration</v>
      </c>
      <c r="F60" s="929" t="str">
        <f>'2.6 Finance'!$D$8</f>
        <v>S</v>
      </c>
      <c r="G60" s="1030">
        <f>'2.6 Finance'!$E$8</f>
        <v>6</v>
      </c>
      <c r="H60" s="1031">
        <f>'2.6 Finance'!$F$8</f>
        <v>6</v>
      </c>
      <c r="I60" s="1031">
        <f>'2.6 Finance'!$H$8</f>
        <v>4</v>
      </c>
      <c r="J60" s="1031">
        <f>'2.6 Finance'!$I$8</f>
        <v>2</v>
      </c>
      <c r="K60" s="1031">
        <f>'2.6 Finance'!$M$8</f>
        <v>6</v>
      </c>
      <c r="L60" s="1032">
        <f>'2.6 Finance'!$N$8</f>
        <v>1.4</v>
      </c>
      <c r="M60" s="1032">
        <f>'2.6 Finance'!$O$8</f>
        <v>0.9585601905</v>
      </c>
      <c r="N60" s="1032">
        <f>'2.6 Finance'!$R$8</f>
        <v>-0.44144</v>
      </c>
      <c r="O60" s="1032">
        <f>'2.6 Finance'!$S$8</f>
        <v>0.9585601905</v>
      </c>
    </row>
    <row r="61" ht="14.25" customHeight="1" s="535">
      <c r="B61" s="929" t="inlineStr">
        <is>
          <t>Finance</t>
        </is>
      </c>
      <c r="C61" s="929" t="inlineStr">
        <is>
          <t>Archetype</t>
        </is>
      </c>
      <c r="D61" s="929" t="str">
        <f>'2.6 Finance'!$B$9</f>
        <v>SAP ERP</v>
      </c>
      <c r="E61" s="929" t="str">
        <f>'2.6 Finance'!$C$9</f>
        <v>Configuration / Integration</v>
      </c>
      <c r="F61" s="929" t="str">
        <f>'2.6 Finance'!$D$9</f>
        <v>M</v>
      </c>
      <c r="G61" s="1030">
        <f>'2.6 Finance'!$E$9</f>
        <v>9</v>
      </c>
      <c r="H61" s="1031">
        <f>'2.6 Finance'!$F$9</f>
        <v>9</v>
      </c>
      <c r="I61" s="1031">
        <f>'2.6 Finance'!$H$9</f>
        <v>2</v>
      </c>
      <c r="J61" s="1031">
        <f>'2.6 Finance'!$I$9</f>
        <v>7</v>
      </c>
      <c r="K61" s="1031">
        <f>'2.6 Finance'!$M$9</f>
        <v>9</v>
      </c>
      <c r="L61" s="1032">
        <f>'2.6 Finance'!$N$9</f>
        <v>2.1</v>
      </c>
      <c r="M61" s="1032">
        <f>'2.6 Finance'!$O$9</f>
        <v>2.01898557</v>
      </c>
      <c r="N61" s="1032">
        <f>'2.6 Finance'!$R$9</f>
        <v>-0.081014</v>
      </c>
      <c r="O61" s="1032">
        <f>'2.6 Finance'!$S$9</f>
        <v>2.01898557</v>
      </c>
    </row>
    <row r="62" ht="14.25" customHeight="1" s="535">
      <c r="B62" s="929" t="inlineStr">
        <is>
          <t>Finance</t>
        </is>
      </c>
      <c r="C62" s="929" t="inlineStr">
        <is>
          <t>Directly funded</t>
        </is>
      </c>
      <c r="D62" s="929" t="str">
        <f>'2.6 Finance'!$B$12</f>
        <v>EGI Finance</v>
      </c>
      <c r="E62" s="929" t="str">
        <f>'2.6 Finance'!$C$12</f>
        <v>Strategic Programs</v>
      </c>
      <c r="F62" s="929">
        <f>'2.6 Finance'!$D$12</f>
        <v/>
      </c>
      <c r="G62" s="1030">
        <f>'2.6 Finance'!$E$12</f>
        <v/>
      </c>
      <c r="H62" s="1031">
        <f>'2.6 Finance'!$F$12</f>
        <v>1</v>
      </c>
      <c r="I62" s="1031">
        <f>'2.6 Finance'!$H$12</f>
        <v>1</v>
      </c>
      <c r="J62" s="1031">
        <f>'2.6 Finance'!$I$12</f>
        <v>0</v>
      </c>
      <c r="K62" s="1031">
        <f>'2.6 Finance'!$M$12</f>
        <v>1</v>
      </c>
      <c r="L62" s="1032">
        <f>'2.6 Finance'!$N$12</f>
        <v>0.24172845</v>
      </c>
      <c r="M62" s="1032">
        <f>'2.6 Finance'!$O$12</f>
        <v>0.24172845</v>
      </c>
      <c r="N62" s="1032">
        <f>'2.6 Finance'!$R$12</f>
        <v>0</v>
      </c>
      <c r="O62" s="1032">
        <f>'2.6 Finance'!$S$12</f>
        <v>0.24172845</v>
      </c>
    </row>
    <row r="63" ht="14.25" customHeight="1" s="535">
      <c r="B63" s="929" t="inlineStr">
        <is>
          <t>Finance</t>
        </is>
      </c>
      <c r="C63" s="929" t="inlineStr">
        <is>
          <t>Overhead</t>
        </is>
      </c>
      <c r="D63" s="929" t="str">
        <f>'2.6 Finance'!$B$14</f>
        <v>Head of Technology</v>
      </c>
      <c r="E63" s="929">
        <f>'2.6 Finance'!$C$14</f>
        <v/>
      </c>
      <c r="F63" s="929">
        <f>'2.6 Finance'!$D$14</f>
        <v/>
      </c>
      <c r="G63" s="1030">
        <f>'2.6 Finance'!$E$14</f>
        <v>0.5</v>
      </c>
      <c r="H63" s="1031">
        <f>'2.6 Finance'!$F$14</f>
        <v>0</v>
      </c>
      <c r="I63" s="1031">
        <f>'2.6 Finance'!$H$14</f>
        <v>0</v>
      </c>
      <c r="J63" s="1031">
        <f>'2.6 Finance'!$I$14</f>
        <v>0</v>
      </c>
      <c r="K63" s="1031">
        <f>'2.6 Finance'!$M$14</f>
        <v>0</v>
      </c>
      <c r="L63" s="1032">
        <f>'2.6 Finance'!$N$14</f>
        <v>0.1375</v>
      </c>
      <c r="M63" s="1032">
        <f>'2.6 Finance'!$O$14</f>
        <v>0</v>
      </c>
      <c r="N63" s="1032">
        <f>'2.6 Finance'!$R$14</f>
        <v>-0.1375</v>
      </c>
      <c r="O63" s="1032">
        <f>'2.6 Finance'!$S$14</f>
        <v>0</v>
      </c>
    </row>
    <row r="64" ht="14.25" customHeight="1" s="535">
      <c r="B64" s="929" t="inlineStr">
        <is>
          <t>Finance</t>
        </is>
      </c>
      <c r="C64" s="929" t="inlineStr">
        <is>
          <t>Overhead</t>
        </is>
      </c>
      <c r="D64" s="929" t="str">
        <f>'2.6 Finance'!$B$15</f>
        <v>Delivery Manager</v>
      </c>
      <c r="E64" s="929">
        <f>'2.6 Finance'!$C$15</f>
        <v/>
      </c>
      <c r="F64" s="929">
        <f>'2.6 Finance'!$D$15</f>
        <v/>
      </c>
      <c r="G64" s="1030">
        <f>'2.6 Finance'!$E$15</f>
        <v>0.3</v>
      </c>
      <c r="H64" s="1031">
        <f>'2.6 Finance'!$F$15</f>
        <v>0</v>
      </c>
      <c r="I64" s="1031">
        <f>'2.6 Finance'!$H$15</f>
        <v>0</v>
      </c>
      <c r="J64" s="1031">
        <f>'2.6 Finance'!$I$15</f>
        <v>0</v>
      </c>
      <c r="K64" s="1031">
        <f>'2.6 Finance'!$M$15</f>
        <v>0</v>
      </c>
      <c r="L64" s="1032">
        <f>'2.6 Finance'!$N$15</f>
        <v>0.084</v>
      </c>
      <c r="M64" s="1032">
        <f>'2.6 Finance'!$O$15</f>
        <v>0</v>
      </c>
      <c r="N64" s="1032">
        <f>'2.6 Finance'!$R$15</f>
        <v>-0.084</v>
      </c>
      <c r="O64" s="1032">
        <f>'2.6 Finance'!$S$15</f>
        <v>0</v>
      </c>
    </row>
    <row r="65" ht="14.25" customHeight="1" s="535">
      <c r="B65" s="929" t="inlineStr">
        <is>
          <t>Finance</t>
        </is>
      </c>
      <c r="C65" s="929" t="inlineStr">
        <is>
          <t>Overhead</t>
        </is>
      </c>
      <c r="D65" s="929" t="str">
        <f>'2.6 Finance'!$B$16</f>
        <v>Technology Manager</v>
      </c>
      <c r="E65" s="929">
        <f>'2.6 Finance'!$C$16</f>
        <v/>
      </c>
      <c r="F65" s="929">
        <f>'2.6 Finance'!$D$16</f>
        <v/>
      </c>
      <c r="G65" s="1030">
        <f>'2.6 Finance'!$E$16</f>
        <v>0.3</v>
      </c>
      <c r="H65" s="1031">
        <f>'2.6 Finance'!$F$16</f>
        <v>1</v>
      </c>
      <c r="I65" s="1031">
        <f>'2.6 Finance'!$H$16</f>
        <v>1</v>
      </c>
      <c r="J65" s="1031">
        <f>'2.6 Finance'!$I$16</f>
        <v>0</v>
      </c>
      <c r="K65" s="1031">
        <f>'2.6 Finance'!$M$16</f>
        <v>1</v>
      </c>
      <c r="L65" s="1032">
        <f>'2.6 Finance'!$N$16</f>
        <v>0.081</v>
      </c>
      <c r="M65" s="1032">
        <f>'2.6 Finance'!$O$16</f>
        <v>0.32356045</v>
      </c>
      <c r="N65" s="1032">
        <f>'2.6 Finance'!$R$16</f>
        <v>0.24256</v>
      </c>
      <c r="O65" s="1032">
        <f>'2.6 Finance'!$S$16</f>
        <v>0.32356045</v>
      </c>
    </row>
    <row r="66" ht="14.25" customHeight="1" s="535">
      <c r="B66" s="1033" t="inlineStr">
        <is>
          <t>Finance total</t>
        </is>
      </c>
      <c r="C66" s="1033" t="n"/>
      <c r="D66" s="1033" t="n"/>
      <c r="E66" s="1033" t="n"/>
      <c r="F66" s="1036">
        <f>""</f>
        <v/>
      </c>
      <c r="G66" s="1034">
        <f>IF(COUNT(G60:G65)=0,"",SUM(G60:G65))</f>
        <v>16.1</v>
      </c>
      <c r="H66" s="1035">
        <f>SUM(H60:H65)</f>
        <v>17</v>
      </c>
      <c r="I66" s="1035">
        <f>SUM(I60:I65)</f>
        <v>8</v>
      </c>
      <c r="J66" s="1035">
        <f>SUM(J60:J65)</f>
        <v>9</v>
      </c>
      <c r="K66" s="1035">
        <f>SUM(K60:K65)</f>
        <v>17</v>
      </c>
      <c r="L66" s="1036">
        <f>IF(COUNT(L60:L65)=0,"",SUM(L60:L65))</f>
        <v>4.04422845</v>
      </c>
      <c r="M66" s="1036">
        <f>SUM(M60:M65)</f>
        <v>3.5428346605</v>
      </c>
      <c r="N66" s="1036">
        <f>IF(ISNUMBER($L66),ROUND($M66-$L66,6),"")</f>
        <v>-0.501394</v>
      </c>
      <c r="O66" s="1036">
        <f>SUM(O60:O65)</f>
        <v>3.5428346605</v>
      </c>
    </row>
    <row r="67" ht="14.25" customHeight="1" s="535">
      <c r="B67" s="929" t="inlineStr">
        <is>
          <t>Infrastructure</t>
        </is>
      </c>
      <c r="C67" s="929" t="inlineStr">
        <is>
          <t>Archetype</t>
        </is>
      </c>
      <c r="D67" s="929" t="str">
        <f>'2.7 Infrastructure'!$B$8</f>
        <v>Data &amp; Insights</v>
      </c>
      <c r="E67" s="929" t="str">
        <f>'2.7 Infrastructure'!$C$8</f>
        <v>Configuration / Integration</v>
      </c>
      <c r="F67" s="929" t="str">
        <f>'2.7 Infrastructure'!$D$8</f>
        <v>S</v>
      </c>
      <c r="G67" s="1030">
        <f>'2.7 Infrastructure'!$E$8</f>
        <v>6</v>
      </c>
      <c r="H67" s="1031">
        <f>'2.7 Infrastructure'!$F$8</f>
        <v>7</v>
      </c>
      <c r="I67" s="1031">
        <f>'2.7 Infrastructure'!$H$8</f>
        <v>5</v>
      </c>
      <c r="J67" s="1031">
        <f>'2.7 Infrastructure'!$I$8</f>
        <v>2</v>
      </c>
      <c r="K67" s="1031">
        <f>'2.7 Infrastructure'!$M$8</f>
        <v>7</v>
      </c>
      <c r="L67" s="1032">
        <f>'2.7 Infrastructure'!$N$8</f>
        <v>0.56</v>
      </c>
      <c r="M67" s="1032">
        <f>'2.7 Infrastructure'!$O$8</f>
        <v>1.53594675</v>
      </c>
      <c r="N67" s="1032">
        <f>'2.7 Infrastructure'!$R$8</f>
        <v>0.975947</v>
      </c>
      <c r="O67" s="1032">
        <f>'2.7 Infrastructure'!$S$8</f>
        <v>0.89963235</v>
      </c>
    </row>
    <row r="68" ht="14.25" customHeight="1" s="535">
      <c r="B68" s="929" t="inlineStr">
        <is>
          <t>Infrastructure</t>
        </is>
      </c>
      <c r="C68" s="929" t="inlineStr">
        <is>
          <t>Archetype</t>
        </is>
      </c>
      <c r="D68" s="929" t="str">
        <f>'2.7 Infrastructure'!$B$9</f>
        <v>Distribution, Sales &amp; Services</v>
      </c>
      <c r="E68" s="929" t="str">
        <f>'2.7 Infrastructure'!$C$9</f>
        <v>Configuration / Integration</v>
      </c>
      <c r="F68" s="929" t="str">
        <f>'2.7 Infrastructure'!$D$9</f>
        <v>M</v>
      </c>
      <c r="G68" s="1030">
        <f>'2.7 Infrastructure'!$E$9</f>
        <v>9</v>
      </c>
      <c r="H68" s="1031">
        <f>'2.7 Infrastructure'!$F$9</f>
        <v>10</v>
      </c>
      <c r="I68" s="1031">
        <f>'2.7 Infrastructure'!$H$9</f>
        <v>8</v>
      </c>
      <c r="J68" s="1031">
        <f>'2.7 Infrastructure'!$I$9</f>
        <v>2</v>
      </c>
      <c r="K68" s="1031">
        <f>'2.7 Infrastructure'!$M$9</f>
        <v>9</v>
      </c>
      <c r="L68" s="1032">
        <f>'2.7 Infrastructure'!$N$9</f>
        <v>2.1</v>
      </c>
      <c r="M68" s="1032">
        <f>'2.7 Infrastructure'!$O$9</f>
        <v>2.12727365</v>
      </c>
      <c r="N68" s="1032">
        <f>'2.7 Infrastructure'!$R$9</f>
        <v>0.027274</v>
      </c>
      <c r="O68" s="1032">
        <f>'2.7 Infrastructure'!$S$9</f>
        <v>1.9567839</v>
      </c>
    </row>
    <row r="69" ht="14.25" customHeight="1" s="535">
      <c r="B69" s="929" t="inlineStr">
        <is>
          <t>Infrastructure</t>
        </is>
      </c>
      <c r="C69" s="929" t="inlineStr">
        <is>
          <t>Archetype</t>
        </is>
      </c>
      <c r="D69" s="929" t="str">
        <f>'2.7 Infrastructure'!$B$10</f>
        <v>Manufacturing Group Projects</v>
      </c>
      <c r="E69" s="929" t="str">
        <f>'2.7 Infrastructure'!$C$10</f>
        <v>Configuration / Integration</v>
      </c>
      <c r="F69" s="929" t="str">
        <f>'2.7 Infrastructure'!$D$10</f>
        <v>M</v>
      </c>
      <c r="G69" s="1030">
        <f>'2.7 Infrastructure'!$E$10</f>
        <v>9</v>
      </c>
      <c r="H69" s="1031">
        <f>'2.7 Infrastructure'!$F$10</f>
        <v>9</v>
      </c>
      <c r="I69" s="1031">
        <f>'2.7 Infrastructure'!$H$10</f>
        <v>7</v>
      </c>
      <c r="J69" s="1031">
        <f>'2.7 Infrastructure'!$I$10</f>
        <v>2</v>
      </c>
      <c r="K69" s="1031">
        <f>'2.7 Infrastructure'!$M$10</f>
        <v>8</v>
      </c>
      <c r="L69" s="1032">
        <f>'2.7 Infrastructure'!$N$10</f>
        <v>2.1</v>
      </c>
      <c r="M69" s="1032">
        <f>'2.7 Infrastructure'!$O$10</f>
        <v>1.9147733</v>
      </c>
      <c r="N69" s="1032">
        <f>'2.7 Infrastructure'!$R$10</f>
        <v>-0.185227</v>
      </c>
      <c r="O69" s="1032">
        <f>'2.7 Infrastructure'!$S$10</f>
        <v>1.68308405</v>
      </c>
    </row>
    <row r="70" ht="14.25" customHeight="1" s="535">
      <c r="B70" s="929" t="inlineStr">
        <is>
          <t>Infrastructure</t>
        </is>
      </c>
      <c r="C70" s="929" t="inlineStr">
        <is>
          <t>Archetype</t>
        </is>
      </c>
      <c r="D70" s="929" t="str">
        <f>'2.7 Infrastructure'!$B$11</f>
        <v>Technology Support</v>
      </c>
      <c r="E70" s="929" t="str">
        <f>'2.7 Infrastructure'!$C$11</f>
        <v>Operations</v>
      </c>
      <c r="F70" s="929" t="str">
        <f>'2.7 Infrastructure'!$D$11</f>
        <v>S</v>
      </c>
      <c r="G70" s="1030">
        <f>'2.7 Infrastructure'!$E$11</f>
        <v>4</v>
      </c>
      <c r="H70" s="1031">
        <f>'2.7 Infrastructure'!$F$11</f>
        <v>5</v>
      </c>
      <c r="I70" s="1031">
        <f>'2.7 Infrastructure'!$H$11</f>
        <v>5</v>
      </c>
      <c r="J70" s="1031">
        <f>'2.7 Infrastructure'!$I$11</f>
        <v>0</v>
      </c>
      <c r="K70" s="1031">
        <f>'2.7 Infrastructure'!$M$11</f>
        <v>5</v>
      </c>
      <c r="L70" s="1032">
        <f>'2.7 Infrastructure'!$N$11</f>
        <v>0.8</v>
      </c>
      <c r="M70" s="1032">
        <f>'2.7 Infrastructure'!$O$11</f>
        <v>0.74133529</v>
      </c>
      <c r="N70" s="1032">
        <f>'2.7 Infrastructure'!$R$11</f>
        <v>-0.058665</v>
      </c>
      <c r="O70" s="1032">
        <f>'2.7 Infrastructure'!$S$11</f>
        <v>0.74133529</v>
      </c>
    </row>
    <row r="71" ht="14.25" customHeight="1" s="535">
      <c r="B71" s="929" t="inlineStr">
        <is>
          <t>Infrastructure</t>
        </is>
      </c>
      <c r="C71" s="929" t="inlineStr">
        <is>
          <t>No figure to compare</t>
        </is>
      </c>
      <c r="D71" s="929" t="str">
        <f>'2.7 Infrastructure'!$B$14</f>
        <v>Leadership</v>
      </c>
      <c r="E71" s="929" t="str">
        <f>'2.7 Infrastructure'!$C$14</f>
        <v>Not on the 1.x tab</v>
      </c>
      <c r="F71" s="929">
        <f>'2.7 Infrastructure'!$D$14</f>
        <v/>
      </c>
      <c r="G71" s="1030">
        <f>'2.7 Infrastructure'!$E$14</f>
        <v/>
      </c>
      <c r="H71" s="1031">
        <f>'2.7 Infrastructure'!$F$14</f>
        <v>1</v>
      </c>
      <c r="I71" s="1031">
        <f>'2.7 Infrastructure'!$H$14</f>
        <v>1</v>
      </c>
      <c r="J71" s="1031">
        <f>'2.7 Infrastructure'!$I$14</f>
        <v>0</v>
      </c>
      <c r="K71" s="1031">
        <f>'2.7 Infrastructure'!$M$14</f>
        <v>1</v>
      </c>
      <c r="L71" s="1032">
        <f>'2.7 Infrastructure'!$N$14</f>
        <v/>
      </c>
      <c r="M71" s="1032">
        <f>'2.7 Infrastructure'!$O$14</f>
        <v>0.2566671</v>
      </c>
      <c r="N71" s="1032">
        <f>'2.7 Infrastructure'!$R$14</f>
        <v/>
      </c>
      <c r="O71" s="1032">
        <f>'2.7 Infrastructure'!$S$14</f>
        <v>0.2566671</v>
      </c>
    </row>
    <row r="72" ht="14.25" customHeight="1" s="535">
      <c r="B72" s="929" t="inlineStr">
        <is>
          <t>Infrastructure</t>
        </is>
      </c>
      <c r="C72" s="929" t="inlineStr">
        <is>
          <t>Overhead</t>
        </is>
      </c>
      <c r="D72" s="929" t="str">
        <f>'2.7 Infrastructure'!$B$16</f>
        <v>Head of Technology</v>
      </c>
      <c r="E72" s="929">
        <f>'2.7 Infrastructure'!$C$16</f>
        <v/>
      </c>
      <c r="F72" s="929">
        <f>'2.7 Infrastructure'!$D$16</f>
        <v/>
      </c>
      <c r="G72" s="1030">
        <f>'2.7 Infrastructure'!$E$16</f>
        <v>0.5</v>
      </c>
      <c r="H72" s="1031">
        <f>'2.7 Infrastructure'!$F$16</f>
        <v>1</v>
      </c>
      <c r="I72" s="1031">
        <f>'2.7 Infrastructure'!$H$16</f>
        <v>1</v>
      </c>
      <c r="J72" s="1031">
        <f>'2.7 Infrastructure'!$I$16</f>
        <v>0</v>
      </c>
      <c r="K72" s="1031">
        <f>'2.7 Infrastructure'!$M$16</f>
        <v>1</v>
      </c>
      <c r="L72" s="1032">
        <f>'2.7 Infrastructure'!$N$16</f>
        <v>0.1375</v>
      </c>
      <c r="M72" s="1032">
        <f>'2.7 Infrastructure'!$O$16</f>
        <v>0.3636267</v>
      </c>
      <c r="N72" s="1032">
        <f>'2.7 Infrastructure'!$R$16</f>
        <v>0.226127</v>
      </c>
      <c r="O72" s="1032">
        <f>'2.7 Infrastructure'!$S$16</f>
        <v>0.3636267</v>
      </c>
    </row>
    <row r="73" ht="14.25" customHeight="1" s="535">
      <c r="B73" s="929" t="inlineStr">
        <is>
          <t>Infrastructure</t>
        </is>
      </c>
      <c r="C73" s="929" t="inlineStr">
        <is>
          <t>Overhead</t>
        </is>
      </c>
      <c r="D73" s="929" t="str">
        <f>'2.7 Infrastructure'!$B$17</f>
        <v>Delivery Manager</v>
      </c>
      <c r="E73" s="929">
        <f>'2.7 Infrastructure'!$C$17</f>
        <v/>
      </c>
      <c r="F73" s="929">
        <f>'2.7 Infrastructure'!$D$17</f>
        <v/>
      </c>
      <c r="G73" s="1030">
        <f>'2.7 Infrastructure'!$E$17</f>
        <v>0.9</v>
      </c>
      <c r="H73" s="1031">
        <f>'2.7 Infrastructure'!$F$17</f>
        <v>1</v>
      </c>
      <c r="I73" s="1031">
        <f>'2.7 Infrastructure'!$H$17</f>
        <v>1</v>
      </c>
      <c r="J73" s="1031">
        <f>'2.7 Infrastructure'!$I$17</f>
        <v>0</v>
      </c>
      <c r="K73" s="1031">
        <f>'2.7 Infrastructure'!$M$17</f>
        <v>1</v>
      </c>
      <c r="L73" s="1032">
        <f>'2.7 Infrastructure'!$N$17</f>
        <v>0.252</v>
      </c>
      <c r="M73" s="1032">
        <f>'2.7 Infrastructure'!$O$17</f>
        <v>0.3167448</v>
      </c>
      <c r="N73" s="1032">
        <f>'2.7 Infrastructure'!$R$17</f>
        <v>0.064745</v>
      </c>
      <c r="O73" s="1032">
        <f>'2.7 Infrastructure'!$S$17</f>
        <v>0.3167448</v>
      </c>
    </row>
    <row r="74" ht="14.25" customHeight="1" s="535">
      <c r="B74" s="929" t="inlineStr">
        <is>
          <t>Infrastructure</t>
        </is>
      </c>
      <c r="C74" s="929" t="inlineStr">
        <is>
          <t>Overhead</t>
        </is>
      </c>
      <c r="D74" s="929" t="str">
        <f>'2.7 Infrastructure'!$B$18</f>
        <v>Technology Manager</v>
      </c>
      <c r="E74" s="929">
        <f>'2.7 Infrastructure'!$C$18</f>
        <v/>
      </c>
      <c r="F74" s="929">
        <f>'2.7 Infrastructure'!$D$18</f>
        <v/>
      </c>
      <c r="G74" s="1030">
        <f>'2.7 Infrastructure'!$E$18</f>
        <v>0.9</v>
      </c>
      <c r="H74" s="1031">
        <f>'2.7 Infrastructure'!$F$18</f>
        <v>2</v>
      </c>
      <c r="I74" s="1031">
        <f>'2.7 Infrastructure'!$H$18</f>
        <v>1</v>
      </c>
      <c r="J74" s="1031">
        <f>'2.7 Infrastructure'!$I$18</f>
        <v>1</v>
      </c>
      <c r="K74" s="1031">
        <f>'2.7 Infrastructure'!$M$18</f>
        <v>2</v>
      </c>
      <c r="L74" s="1032">
        <f>'2.7 Infrastructure'!$N$18</f>
        <v>0.243</v>
      </c>
      <c r="M74" s="1032">
        <f>'2.7 Infrastructure'!$O$18</f>
        <v>0.52488635</v>
      </c>
      <c r="N74" s="1032">
        <f>'2.7 Infrastructure'!$R$18</f>
        <v>0.281886</v>
      </c>
      <c r="O74" s="1032">
        <f>'2.7 Infrastructure'!$S$18</f>
        <v>0.52488635</v>
      </c>
    </row>
    <row r="75" ht="14.25" customHeight="1" s="535">
      <c r="B75" s="1033" t="inlineStr">
        <is>
          <t>Infrastructure total</t>
        </is>
      </c>
      <c r="C75" s="1033" t="n"/>
      <c r="D75" s="1033" t="n"/>
      <c r="E75" s="1033" t="n"/>
      <c r="F75" s="1036">
        <f>""</f>
        <v/>
      </c>
      <c r="G75" s="1034">
        <f>IF(COUNT(G67:G74)=0,"",SUM(G67:G74))</f>
        <v>30.3</v>
      </c>
      <c r="H75" s="1035">
        <f>SUM(H67:H74)</f>
        <v>36</v>
      </c>
      <c r="I75" s="1035">
        <f>SUM(I67:I74)</f>
        <v>29</v>
      </c>
      <c r="J75" s="1035">
        <f>SUM(J67:J74)</f>
        <v>7</v>
      </c>
      <c r="K75" s="1035">
        <f>SUM(K67:K74)</f>
        <v>34</v>
      </c>
      <c r="L75" s="1036">
        <f>IF(COUNT(L67:L74)=0,"",SUM(L67:L74))</f>
        <v>6.1925</v>
      </c>
      <c r="M75" s="1036">
        <f>SUM(M67:M74)</f>
        <v>7.78125394</v>
      </c>
      <c r="N75" s="1036">
        <f>IF(ISNUMBER($L75),ROUND($M75-$L75,6),"")</f>
        <v>1.588754</v>
      </c>
      <c r="O75" s="1036">
        <f>SUM(O67:O74)</f>
        <v>6.74276054</v>
      </c>
    </row>
    <row r="76" ht="14.25" customHeight="1" s="535">
      <c r="B76" s="929" t="inlineStr">
        <is>
          <t>Energy Solutions &amp; B2B</t>
        </is>
      </c>
      <c r="C76" s="929" t="inlineStr">
        <is>
          <t>Archetype</t>
        </is>
      </c>
      <c r="D76" s="929" t="str">
        <f>'2.8 Energy Solutions &amp; B2B'!$B$8</f>
        <v>B2B</v>
      </c>
      <c r="E76" s="929" t="str">
        <f>'2.8 Energy Solutions &amp; B2B'!$C$8</f>
        <v>Configuration / Integration</v>
      </c>
      <c r="F76" s="929" t="str">
        <f>'2.8 Energy Solutions &amp; B2B'!$D$8</f>
        <v>L</v>
      </c>
      <c r="G76" s="1030">
        <f>'2.8 Energy Solutions &amp; B2B'!$E$8</f>
        <v>14</v>
      </c>
      <c r="H76" s="1031">
        <f>'2.8 Energy Solutions &amp; B2B'!$F$8</f>
        <v>14</v>
      </c>
      <c r="I76" s="1031">
        <f>'2.8 Energy Solutions &amp; B2B'!$H$8</f>
        <v>11</v>
      </c>
      <c r="J76" s="1031">
        <f>'2.8 Energy Solutions &amp; B2B'!$I$8</f>
        <v>3</v>
      </c>
      <c r="K76" s="1031">
        <f>'2.8 Energy Solutions &amp; B2B'!$M$8</f>
        <v>14</v>
      </c>
      <c r="L76" s="1032">
        <f>'2.8 Energy Solutions &amp; B2B'!$N$8</f>
        <v>3.2</v>
      </c>
      <c r="M76" s="1032">
        <f>'2.8 Energy Solutions &amp; B2B'!$O$8</f>
        <v>2.59351107</v>
      </c>
      <c r="N76" s="1032">
        <f>'2.8 Energy Solutions &amp; B2B'!$R$8</f>
        <v>-0.606489</v>
      </c>
      <c r="O76" s="1032">
        <f>'2.8 Energy Solutions &amp; B2B'!$S$8</f>
        <v>2.59351107</v>
      </c>
    </row>
    <row r="77" ht="14.25" customHeight="1" s="535">
      <c r="B77" s="929" t="inlineStr">
        <is>
          <t>Energy Solutions &amp; B2B</t>
        </is>
      </c>
      <c r="C77" s="929" t="inlineStr">
        <is>
          <t>Archetype</t>
        </is>
      </c>
      <c r="D77" s="929" t="str">
        <f>'2.8 Energy Solutions &amp; B2B'!$B$9</f>
        <v>EVCI</v>
      </c>
      <c r="E77" s="929" t="str">
        <f>'2.8 Energy Solutions &amp; B2B'!$C$9</f>
        <v>Engineering</v>
      </c>
      <c r="F77" s="929" t="str">
        <f>'2.8 Energy Solutions &amp; B2B'!$D$9</f>
        <v>S</v>
      </c>
      <c r="G77" s="1030">
        <f>'2.8 Energy Solutions &amp; B2B'!$E$9</f>
        <v>4.5</v>
      </c>
      <c r="H77" s="1031">
        <f>'2.8 Energy Solutions &amp; B2B'!$F$9</f>
        <v>6</v>
      </c>
      <c r="I77" s="1031">
        <f>'2.8 Energy Solutions &amp; B2B'!$H$9</f>
        <v>6</v>
      </c>
      <c r="J77" s="1031">
        <f>'2.8 Energy Solutions &amp; B2B'!$I$9</f>
        <v>0</v>
      </c>
      <c r="K77" s="1031">
        <f>'2.8 Energy Solutions &amp; B2B'!$M$9</f>
        <v>6</v>
      </c>
      <c r="L77" s="1032">
        <f>'2.8 Energy Solutions &amp; B2B'!$N$9</f>
        <v>0.8</v>
      </c>
      <c r="M77" s="1032">
        <f>'2.8 Energy Solutions &amp; B2B'!$O$9</f>
        <v>0.930799292</v>
      </c>
      <c r="N77" s="1032">
        <f>'2.8 Energy Solutions &amp; B2B'!$R$9</f>
        <v>0.130799</v>
      </c>
      <c r="O77" s="1032">
        <f>'2.8 Energy Solutions &amp; B2B'!$S$9</f>
        <v>0.930799292</v>
      </c>
    </row>
    <row r="78" ht="14.25" customHeight="1" s="535">
      <c r="B78" s="929" t="inlineStr">
        <is>
          <t>Energy Solutions &amp; B2B</t>
        </is>
      </c>
      <c r="C78" s="929" t="inlineStr">
        <is>
          <t>Archetype</t>
        </is>
      </c>
      <c r="D78" s="929" t="str">
        <f>'2.8 Energy Solutions &amp; B2B'!$B$10</f>
        <v>Energy</v>
      </c>
      <c r="E78" s="929" t="str">
        <f>'2.8 Energy Solutions &amp; B2B'!$C$10</f>
        <v>Engineering</v>
      </c>
      <c r="F78" s="929" t="str">
        <f>'2.8 Energy Solutions &amp; B2B'!$D$10</f>
        <v>M</v>
      </c>
      <c r="G78" s="1030">
        <f>'2.8 Energy Solutions &amp; B2B'!$E$10</f>
        <v>9</v>
      </c>
      <c r="H78" s="1031">
        <f>'2.8 Energy Solutions &amp; B2B'!$F$10</f>
        <v>9</v>
      </c>
      <c r="I78" s="1031">
        <f>'2.8 Energy Solutions &amp; B2B'!$H$10</f>
        <v>6</v>
      </c>
      <c r="J78" s="1031">
        <f>'2.8 Energy Solutions &amp; B2B'!$I$10</f>
        <v>3</v>
      </c>
      <c r="K78" s="1031">
        <f>'2.8 Energy Solutions &amp; B2B'!$M$10</f>
        <v>9</v>
      </c>
      <c r="L78" s="1032">
        <f>'2.8 Energy Solutions &amp; B2B'!$N$10</f>
        <v>2</v>
      </c>
      <c r="M78" s="1032">
        <f>'2.8 Energy Solutions &amp; B2B'!$O$10</f>
        <v>1.763592176</v>
      </c>
      <c r="N78" s="1032">
        <f>'2.8 Energy Solutions &amp; B2B'!$R$10</f>
        <v>-0.236408</v>
      </c>
      <c r="O78" s="1032">
        <f>'2.8 Energy Solutions &amp; B2B'!$S$10</f>
        <v>1.763592176</v>
      </c>
    </row>
    <row r="79" ht="14.25" customHeight="1" s="535">
      <c r="B79" s="929" t="inlineStr">
        <is>
          <t>Energy Solutions &amp; B2B</t>
        </is>
      </c>
      <c r="C79" s="929" t="inlineStr">
        <is>
          <t>Overhead</t>
        </is>
      </c>
      <c r="D79" s="929" t="str">
        <f>'2.8 Energy Solutions &amp; B2B'!$B$13</f>
        <v>Head of Technology</v>
      </c>
      <c r="E79" s="929">
        <f>'2.8 Energy Solutions &amp; B2B'!$C$13</f>
        <v/>
      </c>
      <c r="F79" s="929">
        <f>'2.8 Energy Solutions &amp; B2B'!$D$13</f>
        <v/>
      </c>
      <c r="G79" s="1030">
        <f>'2.8 Energy Solutions &amp; B2B'!$E$13</f>
        <v>0.5</v>
      </c>
      <c r="H79" s="1031">
        <f>'2.8 Energy Solutions &amp; B2B'!$F$13</f>
        <v>1</v>
      </c>
      <c r="I79" s="1031">
        <f>'2.8 Energy Solutions &amp; B2B'!$H$13</f>
        <v>1</v>
      </c>
      <c r="J79" s="1031">
        <f>'2.8 Energy Solutions &amp; B2B'!$I$13</f>
        <v>0</v>
      </c>
      <c r="K79" s="1031">
        <f>'2.8 Energy Solutions &amp; B2B'!$M$13</f>
        <v>1</v>
      </c>
      <c r="L79" s="1032">
        <f>'2.8 Energy Solutions &amp; B2B'!$N$13</f>
        <v>0.1375</v>
      </c>
      <c r="M79" s="1032">
        <f>'2.8 Energy Solutions &amp; B2B'!$O$13</f>
        <v>0.273758</v>
      </c>
      <c r="N79" s="1032">
        <f>'2.8 Energy Solutions &amp; B2B'!$R$13</f>
        <v>0.136258</v>
      </c>
      <c r="O79" s="1032">
        <f>'2.8 Energy Solutions &amp; B2B'!$S$13</f>
        <v>0.273758</v>
      </c>
    </row>
    <row r="80" ht="14.25" customHeight="1" s="535">
      <c r="B80" s="929" t="inlineStr">
        <is>
          <t>Energy Solutions &amp; B2B</t>
        </is>
      </c>
      <c r="C80" s="929" t="inlineStr">
        <is>
          <t>Overhead</t>
        </is>
      </c>
      <c r="D80" s="929" t="str">
        <f>'2.8 Energy Solutions &amp; B2B'!$B$14</f>
        <v>Delivery Manager</v>
      </c>
      <c r="E80" s="929">
        <f>'2.8 Energy Solutions &amp; B2B'!$C$14</f>
        <v/>
      </c>
      <c r="F80" s="929">
        <f>'2.8 Energy Solutions &amp; B2B'!$D$14</f>
        <v/>
      </c>
      <c r="G80" s="1030">
        <f>'2.8 Energy Solutions &amp; B2B'!$E$14</f>
        <v>0.6</v>
      </c>
      <c r="H80" s="1031">
        <f>'2.8 Energy Solutions &amp; B2B'!$F$14</f>
        <v>1</v>
      </c>
      <c r="I80" s="1031">
        <f>'2.8 Energy Solutions &amp; B2B'!$H$14</f>
        <v>0</v>
      </c>
      <c r="J80" s="1031">
        <f>'2.8 Energy Solutions &amp; B2B'!$I$14</f>
        <v>1</v>
      </c>
      <c r="K80" s="1031">
        <f>'2.8 Energy Solutions &amp; B2B'!$M$14</f>
        <v>1</v>
      </c>
      <c r="L80" s="1032">
        <f>'2.8 Energy Solutions &amp; B2B'!$N$14</f>
        <v>0.168</v>
      </c>
      <c r="M80" s="1032">
        <f>'2.8 Energy Solutions &amp; B2B'!$O$14</f>
        <v>0.27581025</v>
      </c>
      <c r="N80" s="1032">
        <f>'2.8 Energy Solutions &amp; B2B'!$R$14</f>
        <v>0.10781</v>
      </c>
      <c r="O80" s="1032">
        <f>'2.8 Energy Solutions &amp; B2B'!$S$14</f>
        <v>0.27581025</v>
      </c>
    </row>
    <row r="81" ht="14.25" customHeight="1" s="535">
      <c r="B81" s="929" t="inlineStr">
        <is>
          <t>Energy Solutions &amp; B2B</t>
        </is>
      </c>
      <c r="C81" s="929" t="inlineStr">
        <is>
          <t>Overhead</t>
        </is>
      </c>
      <c r="D81" s="929" t="str">
        <f>'2.8 Energy Solutions &amp; B2B'!$B$15</f>
        <v>Technology Manager</v>
      </c>
      <c r="E81" s="929">
        <f>'2.8 Energy Solutions &amp; B2B'!$C$15</f>
        <v/>
      </c>
      <c r="F81" s="929">
        <f>'2.8 Energy Solutions &amp; B2B'!$D$15</f>
        <v/>
      </c>
      <c r="G81" s="1030">
        <f>'2.8 Energy Solutions &amp; B2B'!$E$15</f>
        <v>0.6</v>
      </c>
      <c r="H81" s="1031">
        <f>'2.8 Energy Solutions &amp; B2B'!$F$15</f>
        <v>2</v>
      </c>
      <c r="I81" s="1031">
        <f>'2.8 Energy Solutions &amp; B2B'!$H$15</f>
        <v>2</v>
      </c>
      <c r="J81" s="1031">
        <f>'2.8 Energy Solutions &amp; B2B'!$I$15</f>
        <v>0</v>
      </c>
      <c r="K81" s="1031">
        <f>'2.8 Energy Solutions &amp; B2B'!$M$15</f>
        <v>2</v>
      </c>
      <c r="L81" s="1032">
        <f>'2.8 Energy Solutions &amp; B2B'!$N$15</f>
        <v>0.162</v>
      </c>
      <c r="M81" s="1032">
        <f>'2.8 Energy Solutions &amp; B2B'!$O$15</f>
        <v>0.504148874</v>
      </c>
      <c r="N81" s="1032">
        <f>'2.8 Energy Solutions &amp; B2B'!$R$15</f>
        <v>0.342149</v>
      </c>
      <c r="O81" s="1032">
        <f>'2.8 Energy Solutions &amp; B2B'!$S$15</f>
        <v>0.504148874</v>
      </c>
    </row>
    <row r="82" ht="14.25" customHeight="1" s="535">
      <c r="B82" s="1033" t="inlineStr">
        <is>
          <t>Energy Solutions &amp; B2B total</t>
        </is>
      </c>
      <c r="C82" s="1033" t="n"/>
      <c r="D82" s="1033" t="n"/>
      <c r="E82" s="1033" t="n"/>
      <c r="F82" s="1036">
        <f>""</f>
        <v/>
      </c>
      <c r="G82" s="1034">
        <f>IF(COUNT(G76:G81)=0,"",SUM(G76:G81))</f>
        <v>29.2</v>
      </c>
      <c r="H82" s="1035">
        <f>SUM(H76:H81)</f>
        <v>33</v>
      </c>
      <c r="I82" s="1035">
        <f>SUM(I76:I81)</f>
        <v>26</v>
      </c>
      <c r="J82" s="1035">
        <f>SUM(J76:J81)</f>
        <v>7</v>
      </c>
      <c r="K82" s="1035">
        <f>SUM(K76:K81)</f>
        <v>33</v>
      </c>
      <c r="L82" s="1036">
        <f>IF(COUNT(L76:L81)=0,"",SUM(L76:L81))</f>
        <v>6.4675</v>
      </c>
      <c r="M82" s="1036">
        <f>SUM(M76:M81)</f>
        <v>6.341619662</v>
      </c>
      <c r="N82" s="1036">
        <f>IF(ISNUMBER($L82),ROUND($M82-$L82,6),"")</f>
        <v>-0.12588</v>
      </c>
      <c r="O82" s="1036">
        <f>SUM(O76:O81)</f>
        <v>6.341619662</v>
      </c>
    </row>
    <row r="83" ht="14.25" customHeight="1" s="535">
      <c r="B83" s="929" t="inlineStr">
        <is>
          <t>Commercial Fuels</t>
        </is>
      </c>
      <c r="C83" s="929" t="inlineStr">
        <is>
          <t>Archetype</t>
        </is>
      </c>
      <c r="D83" s="929" t="str">
        <f>'2.9 Commercial Fuels'!$B$8</f>
        <v>Supply</v>
      </c>
      <c r="E83" s="929" t="str">
        <f>'2.9 Commercial Fuels'!$C$8</f>
        <v>Configuration / Integration</v>
      </c>
      <c r="F83" s="929" t="str">
        <f>'2.9 Commercial Fuels'!$D$8</f>
        <v>M</v>
      </c>
      <c r="G83" s="1030">
        <f>'2.9 Commercial Fuels'!$E$8</f>
        <v>9</v>
      </c>
      <c r="H83" s="1031">
        <f>'2.9 Commercial Fuels'!$F$8</f>
        <v>5</v>
      </c>
      <c r="I83" s="1031">
        <f>'2.9 Commercial Fuels'!$H$8</f>
        <v>1</v>
      </c>
      <c r="J83" s="1031">
        <f>'2.9 Commercial Fuels'!$I$8</f>
        <v>4</v>
      </c>
      <c r="K83" s="1031">
        <f>'2.9 Commercial Fuels'!$M$8</f>
        <v>5</v>
      </c>
      <c r="L83" s="1032">
        <f>'2.9 Commercial Fuels'!$N$8</f>
        <v>2.1</v>
      </c>
      <c r="M83" s="1032">
        <f>'2.9 Commercial Fuels'!$O$8</f>
        <v>1.05925575</v>
      </c>
      <c r="N83" s="1032">
        <f>'2.9 Commercial Fuels'!$R$8</f>
        <v>-1.040744</v>
      </c>
      <c r="O83" s="1032">
        <f>'2.9 Commercial Fuels'!$S$8</f>
        <v>1.05925575</v>
      </c>
    </row>
    <row r="84" ht="14.25" customHeight="1" s="535">
      <c r="B84" s="929" t="inlineStr">
        <is>
          <t>Commercial Fuels</t>
        </is>
      </c>
      <c r="C84" s="929" t="inlineStr">
        <is>
          <t>Archetype</t>
        </is>
      </c>
      <c r="D84" s="929" t="str">
        <f>'2.9 Commercial Fuels'!$B$9</f>
        <v>Trading &amp; Shipping</v>
      </c>
      <c r="E84" s="929" t="str">
        <f>'2.9 Commercial Fuels'!$C$9</f>
        <v>Configuration / Integration</v>
      </c>
      <c r="F84" s="929" t="str">
        <f>'2.9 Commercial Fuels'!$D$9</f>
        <v>M</v>
      </c>
      <c r="G84" s="1030">
        <f>'2.9 Commercial Fuels'!$E$9</f>
        <v>9</v>
      </c>
      <c r="H84" s="1031">
        <f>'2.9 Commercial Fuels'!$F$9</f>
        <v>12</v>
      </c>
      <c r="I84" s="1031">
        <f>'2.9 Commercial Fuels'!$H$9</f>
        <v>9</v>
      </c>
      <c r="J84" s="1031">
        <f>'2.9 Commercial Fuels'!$I$9</f>
        <v>3</v>
      </c>
      <c r="K84" s="1031">
        <f>'2.9 Commercial Fuels'!$M$9</f>
        <v>11</v>
      </c>
      <c r="L84" s="1032">
        <f>'2.9 Commercial Fuels'!$N$9</f>
        <v>2.1</v>
      </c>
      <c r="M84" s="1032">
        <f>'2.9 Commercial Fuels'!$O$9</f>
        <v>2.6791435617</v>
      </c>
      <c r="N84" s="1032">
        <f>'2.9 Commercial Fuels'!$R$9</f>
        <v>0.579144</v>
      </c>
      <c r="O84" s="1032">
        <f>'2.9 Commercial Fuels'!$S$9</f>
        <v>2.5565718117</v>
      </c>
    </row>
    <row r="85" ht="14.25" customHeight="1" s="535">
      <c r="B85" s="929" t="inlineStr">
        <is>
          <t>Commercial Fuels</t>
        </is>
      </c>
      <c r="C85" s="929" t="inlineStr">
        <is>
          <t>Archetype</t>
        </is>
      </c>
      <c r="D85" s="929" t="str">
        <f>'2.9 Commercial Fuels'!$B$10</f>
        <v>Trading &amp; Shipping Data</v>
      </c>
      <c r="E85" s="929" t="str">
        <f>'2.9 Commercial Fuels'!$C$10</f>
        <v>Enterprise Data and Insights</v>
      </c>
      <c r="F85" s="929" t="str">
        <f>'2.9 Commercial Fuels'!$D$10</f>
        <v>M</v>
      </c>
      <c r="G85" s="1030">
        <f>'2.9 Commercial Fuels'!$E$10</f>
        <v>7.5</v>
      </c>
      <c r="H85" s="1031">
        <f>'2.9 Commercial Fuels'!$F$10</f>
        <v>7</v>
      </c>
      <c r="I85" s="1031">
        <f>'2.9 Commercial Fuels'!$H$10</f>
        <v>7</v>
      </c>
      <c r="J85" s="1031">
        <f>'2.9 Commercial Fuels'!$I$10</f>
        <v>0</v>
      </c>
      <c r="K85" s="1031">
        <f>'2.9 Commercial Fuels'!$M$10</f>
        <v>7</v>
      </c>
      <c r="L85" s="1032">
        <f>'2.9 Commercial Fuels'!$N$10</f>
        <v>0.68</v>
      </c>
      <c r="M85" s="1032">
        <f>'2.9 Commercial Fuels'!$O$10</f>
        <v>2.106168849</v>
      </c>
      <c r="N85" s="1032">
        <f>'2.9 Commercial Fuels'!$R$10</f>
        <v>1.426169</v>
      </c>
      <c r="O85" s="1032">
        <f>'2.9 Commercial Fuels'!$S$10</f>
        <v>2.106168849</v>
      </c>
    </row>
    <row r="86" ht="14.25" customHeight="1" s="535">
      <c r="B86" s="929" t="inlineStr">
        <is>
          <t>Commercial Fuels</t>
        </is>
      </c>
      <c r="C86" s="929" t="inlineStr">
        <is>
          <t>Directly funded</t>
        </is>
      </c>
      <c r="D86" s="929" t="str">
        <f>'2.9 Commercial Fuels'!$B$13</f>
        <v>CTRM</v>
      </c>
      <c r="E86" s="929" t="str">
        <f>'2.9 Commercial Fuels'!$C$13</f>
        <v>Strategic Programs</v>
      </c>
      <c r="F86" s="929">
        <f>'2.9 Commercial Fuels'!$D$13</f>
        <v/>
      </c>
      <c r="G86" s="1030">
        <f>'2.9 Commercial Fuels'!$E$13</f>
        <v/>
      </c>
      <c r="H86" s="1031">
        <f>'2.9 Commercial Fuels'!$F$13</f>
        <v>14</v>
      </c>
      <c r="I86" s="1031">
        <f>'2.9 Commercial Fuels'!$H$13</f>
        <v>14</v>
      </c>
      <c r="J86" s="1031">
        <f>'2.9 Commercial Fuels'!$I$13</f>
        <v>0</v>
      </c>
      <c r="K86" s="1031">
        <f>'2.9 Commercial Fuels'!$M$13</f>
        <v>14</v>
      </c>
      <c r="L86" s="1032">
        <f>'2.9 Commercial Fuels'!$N$13</f>
        <v>3.8</v>
      </c>
      <c r="M86" s="1032">
        <f>'2.9 Commercial Fuels'!$O$13</f>
        <v>3.221759232</v>
      </c>
      <c r="N86" s="1032">
        <f>'2.9 Commercial Fuels'!$R$13</f>
        <v>-0.578241</v>
      </c>
      <c r="O86" s="1032">
        <f>'2.9 Commercial Fuels'!$S$13</f>
        <v>3.221759232</v>
      </c>
    </row>
    <row r="87" ht="14.25" customHeight="1" s="535">
      <c r="B87" s="929" t="inlineStr">
        <is>
          <t>Commercial Fuels</t>
        </is>
      </c>
      <c r="C87" s="929" t="inlineStr">
        <is>
          <t>Overhead</t>
        </is>
      </c>
      <c r="D87" s="929" t="str">
        <f>'2.9 Commercial Fuels'!$B$15</f>
        <v>Head of Technology</v>
      </c>
      <c r="E87" s="929">
        <f>'2.9 Commercial Fuels'!$C$15</f>
        <v/>
      </c>
      <c r="F87" s="929">
        <f>'2.9 Commercial Fuels'!$D$15</f>
        <v/>
      </c>
      <c r="G87" s="1030">
        <f>'2.9 Commercial Fuels'!$E$15</f>
        <v>0.5</v>
      </c>
      <c r="H87" s="1031">
        <f>'2.9 Commercial Fuels'!$F$15</f>
        <v>1</v>
      </c>
      <c r="I87" s="1031">
        <f>'2.9 Commercial Fuels'!$H$15</f>
        <v>1</v>
      </c>
      <c r="J87" s="1031">
        <f>'2.9 Commercial Fuels'!$I$15</f>
        <v>0</v>
      </c>
      <c r="K87" s="1031">
        <f>'2.9 Commercial Fuels'!$M$15</f>
        <v>1</v>
      </c>
      <c r="L87" s="1032">
        <f>'2.9 Commercial Fuels'!$N$15</f>
        <v>0.1375</v>
      </c>
      <c r="M87" s="1032">
        <f>'2.9 Commercial Fuels'!$O$15</f>
        <v>0.292434736</v>
      </c>
      <c r="N87" s="1032">
        <f>'2.9 Commercial Fuels'!$R$15</f>
        <v>0.154935</v>
      </c>
      <c r="O87" s="1032">
        <f>'2.9 Commercial Fuels'!$S$15</f>
        <v>0.292434736</v>
      </c>
    </row>
    <row r="88" ht="14.25" customHeight="1" s="535">
      <c r="B88" s="929" t="inlineStr">
        <is>
          <t>Commercial Fuels</t>
        </is>
      </c>
      <c r="C88" s="929" t="inlineStr">
        <is>
          <t>Overhead</t>
        </is>
      </c>
      <c r="D88" s="929" t="str">
        <f>'2.9 Commercial Fuels'!$B$16</f>
        <v>Delivery Manager</v>
      </c>
      <c r="E88" s="929">
        <f>'2.9 Commercial Fuels'!$C$16</f>
        <v/>
      </c>
      <c r="F88" s="929">
        <f>'2.9 Commercial Fuels'!$D$16</f>
        <v/>
      </c>
      <c r="G88" s="1030">
        <f>'2.9 Commercial Fuels'!$E$16</f>
        <v>0.9</v>
      </c>
      <c r="H88" s="1031">
        <f>'2.9 Commercial Fuels'!$F$16</f>
        <v>1</v>
      </c>
      <c r="I88" s="1031">
        <f>'2.9 Commercial Fuels'!$H$16</f>
        <v>0</v>
      </c>
      <c r="J88" s="1031">
        <f>'2.9 Commercial Fuels'!$I$16</f>
        <v>1</v>
      </c>
      <c r="K88" s="1031">
        <f>'2.9 Commercial Fuels'!$M$16</f>
        <v>1</v>
      </c>
      <c r="L88" s="1032">
        <f>'2.9 Commercial Fuels'!$N$16</f>
        <v>0.252</v>
      </c>
      <c r="M88" s="1032">
        <f>'2.9 Commercial Fuels'!$O$16</f>
        <v>0.27581025</v>
      </c>
      <c r="N88" s="1032">
        <f>'2.9 Commercial Fuels'!$R$16</f>
        <v>0.02381</v>
      </c>
      <c r="O88" s="1032">
        <f>'2.9 Commercial Fuels'!$S$16</f>
        <v>0.27581025</v>
      </c>
    </row>
    <row r="89" ht="14.25" customHeight="1" s="535">
      <c r="B89" s="929" t="inlineStr">
        <is>
          <t>Commercial Fuels</t>
        </is>
      </c>
      <c r="C89" s="929" t="inlineStr">
        <is>
          <t>Overhead</t>
        </is>
      </c>
      <c r="D89" s="929" t="str">
        <f>'2.9 Commercial Fuels'!$B$17</f>
        <v>Technology Manager</v>
      </c>
      <c r="E89" s="929">
        <f>'2.9 Commercial Fuels'!$C$17</f>
        <v/>
      </c>
      <c r="F89" s="929">
        <f>'2.9 Commercial Fuels'!$D$17</f>
        <v/>
      </c>
      <c r="G89" s="1030">
        <f>'2.9 Commercial Fuels'!$E$17</f>
        <v>0.9</v>
      </c>
      <c r="H89" s="1031">
        <f>'2.9 Commercial Fuels'!$F$17</f>
        <v>2</v>
      </c>
      <c r="I89" s="1031">
        <f>'2.9 Commercial Fuels'!$H$17</f>
        <v>1</v>
      </c>
      <c r="J89" s="1031">
        <f>'2.9 Commercial Fuels'!$I$17</f>
        <v>1</v>
      </c>
      <c r="K89" s="1031">
        <f>'2.9 Commercial Fuels'!$M$17</f>
        <v>2</v>
      </c>
      <c r="L89" s="1032">
        <f>'2.9 Commercial Fuels'!$N$17</f>
        <v>0.243</v>
      </c>
      <c r="M89" s="1032">
        <f>'2.9 Commercial Fuels'!$O$17</f>
        <v>0.56309735</v>
      </c>
      <c r="N89" s="1032">
        <f>'2.9 Commercial Fuels'!$R$17</f>
        <v>0.320097</v>
      </c>
      <c r="O89" s="1032">
        <f>'2.9 Commercial Fuels'!$S$17</f>
        <v>0.56309735</v>
      </c>
    </row>
    <row r="90" ht="14.25" customHeight="1" s="535">
      <c r="B90" s="1033" t="inlineStr">
        <is>
          <t>Commercial Fuels total</t>
        </is>
      </c>
      <c r="C90" s="1033" t="n"/>
      <c r="D90" s="1033" t="n"/>
      <c r="E90" s="1033" t="n"/>
      <c r="F90" s="1036">
        <f>""</f>
        <v/>
      </c>
      <c r="G90" s="1034">
        <f>IF(COUNT(G83:G89)=0,"",SUM(G83:G89))</f>
        <v>27.8</v>
      </c>
      <c r="H90" s="1035">
        <f>SUM(H83:H89)</f>
        <v>42</v>
      </c>
      <c r="I90" s="1035">
        <f>SUM(I83:I89)</f>
        <v>33</v>
      </c>
      <c r="J90" s="1035">
        <f>SUM(J83:J89)</f>
        <v>9</v>
      </c>
      <c r="K90" s="1035">
        <f>SUM(K83:K89)</f>
        <v>41</v>
      </c>
      <c r="L90" s="1036">
        <f>IF(COUNT(L83:L89)=0,"",SUM(L83:L89))</f>
        <v>9.3125</v>
      </c>
      <c r="M90" s="1036">
        <f>SUM(M83:M89)</f>
        <v>10.1976697287</v>
      </c>
      <c r="N90" s="1036">
        <f>IF(ISNUMBER($L90),ROUND($M90-$L90,6),"")</f>
        <v>0.88517</v>
      </c>
      <c r="O90" s="1036">
        <f>SUM(O83:O89)</f>
        <v>10.0750979787</v>
      </c>
    </row>
    <row r="91" ht="14.25" customHeight="1" s="535">
      <c r="B91" s="929" t="inlineStr">
        <is>
          <t>Z Retail</t>
        </is>
      </c>
      <c r="C91" s="929" t="inlineStr">
        <is>
          <t>Archetype</t>
        </is>
      </c>
      <c r="D91" s="929" t="str">
        <f>'2.10 Z Retail'!$B$8</f>
        <v>Data NZ</v>
      </c>
      <c r="E91" s="929" t="str">
        <f>'2.10 Z Retail'!$C$8</f>
        <v>Enterprise Data and Insights</v>
      </c>
      <c r="F91" s="929" t="str">
        <f>'2.10 Z Retail'!$D$8</f>
        <v>M</v>
      </c>
      <c r="G91" s="1030">
        <f>'2.10 Z Retail'!$E$8</f>
        <v>7.5</v>
      </c>
      <c r="H91" s="1031">
        <f>'2.10 Z Retail'!$F$8</f>
        <v>7</v>
      </c>
      <c r="I91" s="1031">
        <f>'2.10 Z Retail'!$H$8</f>
        <v>5</v>
      </c>
      <c r="J91" s="1031">
        <f>'2.10 Z Retail'!$I$8</f>
        <v>2</v>
      </c>
      <c r="K91" s="1031">
        <f>'2.10 Z Retail'!$M$8</f>
        <v>5</v>
      </c>
      <c r="L91" s="1032">
        <f>'2.10 Z Retail'!$N$8</f>
        <v>0.68</v>
      </c>
      <c r="M91" s="1032">
        <f>'2.10 Z Retail'!$O$8</f>
        <v>1.223843362</v>
      </c>
      <c r="N91" s="1032">
        <f>'2.10 Z Retail'!$R$8</f>
        <v>0.543843</v>
      </c>
      <c r="O91" s="1032">
        <f>'2.10 Z Retail'!$S$8</f>
        <v>0.745179862</v>
      </c>
    </row>
    <row r="92" ht="14.25" customHeight="1" s="535">
      <c r="B92" s="929" t="inlineStr">
        <is>
          <t>Z Retail</t>
        </is>
      </c>
      <c r="C92" s="929" t="inlineStr">
        <is>
          <t>Archetype</t>
        </is>
      </c>
      <c r="D92" s="929" t="str">
        <f>'2.10 Z Retail'!$B$9</f>
        <v>Site Systems</v>
      </c>
      <c r="E92" s="929" t="str">
        <f>'2.10 Z Retail'!$C$9</f>
        <v>Configuration / Integration</v>
      </c>
      <c r="F92" s="929" t="str">
        <f>'2.10 Z Retail'!$D$9</f>
        <v>M</v>
      </c>
      <c r="G92" s="1030">
        <f>'2.10 Z Retail'!$E$9</f>
        <v>9</v>
      </c>
      <c r="H92" s="1031">
        <f>'2.10 Z Retail'!$F$9</f>
        <v>9</v>
      </c>
      <c r="I92" s="1031">
        <f>'2.10 Z Retail'!$H$9</f>
        <v>9</v>
      </c>
      <c r="J92" s="1031">
        <f>'2.10 Z Retail'!$I$9</f>
        <v>0</v>
      </c>
      <c r="K92" s="1031">
        <f>'2.10 Z Retail'!$M$9</f>
        <v>9</v>
      </c>
      <c r="L92" s="1032">
        <f>'2.10 Z Retail'!$N$9</f>
        <v>2.1</v>
      </c>
      <c r="M92" s="1032">
        <f>'2.10 Z Retail'!$O$9</f>
        <v>1.374665758</v>
      </c>
      <c r="N92" s="1032">
        <f>'2.10 Z Retail'!$R$9</f>
        <v>-0.725334</v>
      </c>
      <c r="O92" s="1032">
        <f>'2.10 Z Retail'!$S$9</f>
        <v>1.374665758</v>
      </c>
    </row>
    <row r="93" ht="14.25" customHeight="1" s="535">
      <c r="B93" s="929" t="inlineStr">
        <is>
          <t>Z Retail</t>
        </is>
      </c>
      <c r="C93" s="929" t="inlineStr">
        <is>
          <t>Archetype</t>
        </is>
      </c>
      <c r="D93" s="929" t="str">
        <f>'2.10 Z Retail'!$B$10</f>
        <v>Z Retail Backend</v>
      </c>
      <c r="E93" s="929" t="str">
        <f>'2.10 Z Retail'!$C$10</f>
        <v>Build and Run</v>
      </c>
      <c r="F93" s="929" t="str">
        <f>'2.10 Z Retail'!$D$10</f>
        <v>M</v>
      </c>
      <c r="G93" s="1030">
        <f>'2.10 Z Retail'!$E$10</f>
        <v>9</v>
      </c>
      <c r="H93" s="1031">
        <f>'2.10 Z Retail'!$F$10</f>
        <v>9</v>
      </c>
      <c r="I93" s="1031">
        <f>'2.10 Z Retail'!$H$10</f>
        <v>7</v>
      </c>
      <c r="J93" s="1031">
        <f>'2.10 Z Retail'!$I$10</f>
        <v>2</v>
      </c>
      <c r="K93" s="1031">
        <f>'2.10 Z Retail'!$M$10</f>
        <v>8</v>
      </c>
      <c r="L93" s="1032">
        <f>'2.10 Z Retail'!$N$10</f>
        <v>2</v>
      </c>
      <c r="M93" s="1032">
        <f>'2.10 Z Retail'!$O$10</f>
        <v>1.857667168</v>
      </c>
      <c r="N93" s="1032">
        <f>'2.10 Z Retail'!$R$10</f>
        <v>-0.142333</v>
      </c>
      <c r="O93" s="1032">
        <f>'2.10 Z Retail'!$S$10</f>
        <v>1.687177418</v>
      </c>
    </row>
    <row r="94" ht="14.25" customHeight="1" s="535">
      <c r="B94" s="929" t="inlineStr">
        <is>
          <t>Z Retail</t>
        </is>
      </c>
      <c r="C94" s="929" t="inlineStr">
        <is>
          <t>Archetype</t>
        </is>
      </c>
      <c r="D94" s="929" t="str">
        <f>'2.10 Z Retail'!$B$11</f>
        <v>Z Supply</v>
      </c>
      <c r="E94" s="929" t="str">
        <f>'2.10 Z Retail'!$C$11</f>
        <v>Build and Run</v>
      </c>
      <c r="F94" s="929" t="str">
        <f>'2.10 Z Retail'!$D$11</f>
        <v>M</v>
      </c>
      <c r="G94" s="1030">
        <f>'2.10 Z Retail'!$E$11</f>
        <v>9</v>
      </c>
      <c r="H94" s="1031">
        <f>'2.10 Z Retail'!$F$11</f>
        <v>9</v>
      </c>
      <c r="I94" s="1031">
        <f>'2.10 Z Retail'!$H$11</f>
        <v>8</v>
      </c>
      <c r="J94" s="1031">
        <f>'2.10 Z Retail'!$I$11</f>
        <v>1</v>
      </c>
      <c r="K94" s="1031">
        <f>'2.10 Z Retail'!$M$11</f>
        <v>9</v>
      </c>
      <c r="L94" s="1032">
        <f>'2.10 Z Retail'!$N$11</f>
        <v>2</v>
      </c>
      <c r="M94" s="1032">
        <f>'2.10 Z Retail'!$O$11</f>
        <v>1.663774396</v>
      </c>
      <c r="N94" s="1032">
        <f>'2.10 Z Retail'!$R$11</f>
        <v>-0.336226</v>
      </c>
      <c r="O94" s="1032">
        <f>'2.10 Z Retail'!$S$11</f>
        <v>1.663774396</v>
      </c>
    </row>
    <row r="95" ht="14.25" customHeight="1" s="535">
      <c r="B95" s="929" t="inlineStr">
        <is>
          <t>Z Retail</t>
        </is>
      </c>
      <c r="C95" s="929" t="inlineStr">
        <is>
          <t>Overhead</t>
        </is>
      </c>
      <c r="D95" s="929" t="str">
        <f>'2.10 Z Retail'!$B$14</f>
        <v>Head of Technology</v>
      </c>
      <c r="E95" s="929">
        <f>'2.10 Z Retail'!$C$14</f>
        <v/>
      </c>
      <c r="F95" s="929">
        <f>'2.10 Z Retail'!$D$14</f>
        <v/>
      </c>
      <c r="G95" s="1030">
        <f>'2.10 Z Retail'!$E$14</f>
        <v>0.5</v>
      </c>
      <c r="H95" s="1031">
        <f>'2.10 Z Retail'!$F$14</f>
        <v>1</v>
      </c>
      <c r="I95" s="1031">
        <f>'2.10 Z Retail'!$H$14</f>
        <v>0</v>
      </c>
      <c r="J95" s="1031">
        <f>'2.10 Z Retail'!$I$14</f>
        <v>1</v>
      </c>
      <c r="K95" s="1031">
        <f>'2.10 Z Retail'!$M$14</f>
        <v>1</v>
      </c>
      <c r="L95" s="1032">
        <f>'2.10 Z Retail'!$N$14</f>
        <v>0.1375</v>
      </c>
      <c r="M95" s="1032">
        <f>'2.10 Z Retail'!$O$14</f>
        <v>0.291422</v>
      </c>
      <c r="N95" s="1032">
        <f>'2.10 Z Retail'!$R$14</f>
        <v>0.153922</v>
      </c>
      <c r="O95" s="1032">
        <f>'2.10 Z Retail'!$S$14</f>
        <v>0.291422</v>
      </c>
    </row>
    <row r="96" ht="14.25" customHeight="1" s="535">
      <c r="B96" s="929" t="inlineStr">
        <is>
          <t>Z Retail</t>
        </is>
      </c>
      <c r="C96" s="929" t="inlineStr">
        <is>
          <t>Overhead</t>
        </is>
      </c>
      <c r="D96" s="929" t="str">
        <f>'2.10 Z Retail'!$B$15</f>
        <v>Delivery Manager</v>
      </c>
      <c r="E96" s="929">
        <f>'2.10 Z Retail'!$C$15</f>
        <v/>
      </c>
      <c r="F96" s="929">
        <f>'2.10 Z Retail'!$D$15</f>
        <v/>
      </c>
      <c r="G96" s="1030">
        <f>'2.10 Z Retail'!$E$15</f>
        <v>0.6</v>
      </c>
      <c r="H96" s="1031">
        <f>'2.10 Z Retail'!$F$15</f>
        <v>1</v>
      </c>
      <c r="I96" s="1031">
        <f>'2.10 Z Retail'!$H$15</f>
        <v>0</v>
      </c>
      <c r="J96" s="1031">
        <f>'2.10 Z Retail'!$I$15</f>
        <v>1</v>
      </c>
      <c r="K96" s="1031">
        <f>'2.10 Z Retail'!$M$15</f>
        <v>1</v>
      </c>
      <c r="L96" s="1032">
        <f>'2.10 Z Retail'!$N$15</f>
        <v>0.168</v>
      </c>
      <c r="M96" s="1032">
        <f>'2.10 Z Retail'!$O$15</f>
        <v>0.20285325</v>
      </c>
      <c r="N96" s="1032">
        <f>'2.10 Z Retail'!$R$15</f>
        <v>0.034853</v>
      </c>
      <c r="O96" s="1032">
        <f>'2.10 Z Retail'!$S$15</f>
        <v>0.20285325</v>
      </c>
    </row>
    <row r="97" ht="14.25" customHeight="1" s="535">
      <c r="B97" s="929" t="inlineStr">
        <is>
          <t>Z Retail</t>
        </is>
      </c>
      <c r="C97" s="929" t="inlineStr">
        <is>
          <t>Overhead</t>
        </is>
      </c>
      <c r="D97" s="929" t="str">
        <f>'2.10 Z Retail'!$B$16</f>
        <v>Technology Manager</v>
      </c>
      <c r="E97" s="929">
        <f>'2.10 Z Retail'!$C$16</f>
        <v/>
      </c>
      <c r="F97" s="929">
        <f>'2.10 Z Retail'!$D$16</f>
        <v/>
      </c>
      <c r="G97" s="1030">
        <f>'2.10 Z Retail'!$E$16</f>
        <v>0.6</v>
      </c>
      <c r="H97" s="1031">
        <f>'2.10 Z Retail'!$F$16</f>
        <v>3</v>
      </c>
      <c r="I97" s="1031">
        <f>'2.10 Z Retail'!$H$16</f>
        <v>3</v>
      </c>
      <c r="J97" s="1031">
        <f>'2.10 Z Retail'!$I$16</f>
        <v>0</v>
      </c>
      <c r="K97" s="1031">
        <f>'2.10 Z Retail'!$M$16</f>
        <v>3</v>
      </c>
      <c r="L97" s="1032">
        <f>'2.10 Z Retail'!$N$16</f>
        <v>0.162</v>
      </c>
      <c r="M97" s="1032">
        <f>'2.10 Z Retail'!$O$16</f>
        <v>0.701217524</v>
      </c>
      <c r="N97" s="1032">
        <f>'2.10 Z Retail'!$R$16</f>
        <v>0.539218</v>
      </c>
      <c r="O97" s="1032">
        <f>'2.10 Z Retail'!$S$16</f>
        <v>0.701217524</v>
      </c>
    </row>
    <row r="98" ht="14.25" customHeight="1" s="535">
      <c r="B98" s="1033" t="inlineStr">
        <is>
          <t>Z Retail total</t>
        </is>
      </c>
      <c r="C98" s="1033" t="n"/>
      <c r="D98" s="1033" t="n"/>
      <c r="E98" s="1033" t="n"/>
      <c r="F98" s="1036">
        <f>""</f>
        <v/>
      </c>
      <c r="G98" s="1034">
        <f>IF(COUNT(G91:G97)=0,"",SUM(G91:G97))</f>
        <v>36.2</v>
      </c>
      <c r="H98" s="1035">
        <f>SUM(H91:H97)</f>
        <v>39</v>
      </c>
      <c r="I98" s="1035">
        <f>SUM(I91:I97)</f>
        <v>32</v>
      </c>
      <c r="J98" s="1035">
        <f>SUM(J91:J97)</f>
        <v>7</v>
      </c>
      <c r="K98" s="1035">
        <f>SUM(K91:K97)</f>
        <v>36</v>
      </c>
      <c r="L98" s="1036">
        <f>IF(COUNT(L91:L97)=0,"",SUM(L91:L97))</f>
        <v>7.2475</v>
      </c>
      <c r="M98" s="1036">
        <f>SUM(M91:M97)</f>
        <v>7.315443458</v>
      </c>
      <c r="N98" s="1036">
        <f>IF(ISNUMBER($L98),ROUND($M98-$L98,6),"")</f>
        <v>0.067943</v>
      </c>
      <c r="O98" s="1036">
        <f>SUM(O91:O97)</f>
        <v>6.666290208</v>
      </c>
    </row>
    <row r="99" ht="14.25" customHeight="1" s="535">
      <c r="B99" s="929" t="inlineStr">
        <is>
          <t>TDD Cyber</t>
        </is>
      </c>
      <c r="C99" s="929" t="inlineStr">
        <is>
          <t>Archetype</t>
        </is>
      </c>
      <c r="D99" s="929" t="str">
        <f>'2.15 TDD Cyber'!$B$8</f>
        <v>Identity</v>
      </c>
      <c r="E99" s="929" t="str">
        <f>'2.15 TDD Cyber'!$C$8</f>
        <v>Operations</v>
      </c>
      <c r="F99" s="929" t="str">
        <f>'2.15 TDD Cyber'!$D$8</f>
        <v>S</v>
      </c>
      <c r="G99" s="1030">
        <f>'2.15 TDD Cyber'!$E$8</f>
        <v>4</v>
      </c>
      <c r="H99" s="1031">
        <f>'2.15 TDD Cyber'!$F$8</f>
        <v>4</v>
      </c>
      <c r="I99" s="1031">
        <f>'2.15 TDD Cyber'!$H$8</f>
        <v>4</v>
      </c>
      <c r="J99" s="1031">
        <f>'2.15 TDD Cyber'!$I$8</f>
        <v>0</v>
      </c>
      <c r="K99" s="1031">
        <f>'2.15 TDD Cyber'!$M$8</f>
        <v>4</v>
      </c>
      <c r="L99" s="1032">
        <f>'2.15 TDD Cyber'!$N$8</f>
        <v>0.8</v>
      </c>
      <c r="M99" s="1032">
        <f>'2.15 TDD Cyber'!$O$8</f>
        <v>0.83820015</v>
      </c>
      <c r="N99" s="1032">
        <f>'2.15 TDD Cyber'!$R$8</f>
        <v>0.0382</v>
      </c>
      <c r="O99" s="1032">
        <f>'2.15 TDD Cyber'!$S$8</f>
        <v>0.83820015</v>
      </c>
    </row>
    <row r="100" ht="14.25" customHeight="1" s="535">
      <c r="B100" s="929" t="inlineStr">
        <is>
          <t>TDD Cyber</t>
        </is>
      </c>
      <c r="C100" s="929" t="inlineStr">
        <is>
          <t>Directly funded</t>
        </is>
      </c>
      <c r="D100" s="929" t="str">
        <f>'2.15 TDD Cyber'!$B$10</f>
        <v>Cyber Uplift</v>
      </c>
      <c r="E100" s="929" t="str">
        <f>'2.15 TDD Cyber'!$C$10</f>
        <v>Strategic Programs</v>
      </c>
      <c r="F100" s="929">
        <f>'2.15 TDD Cyber'!$D$10</f>
        <v/>
      </c>
      <c r="G100" s="1030">
        <f>'2.15 TDD Cyber'!$E$10</f>
        <v/>
      </c>
      <c r="H100" s="1031">
        <f>'2.15 TDD Cyber'!$F$10</f>
        <v>5</v>
      </c>
      <c r="I100" s="1031">
        <f>'2.15 TDD Cyber'!$H$10</f>
        <v>5</v>
      </c>
      <c r="J100" s="1031">
        <f>'2.15 TDD Cyber'!$I$10</f>
        <v>0</v>
      </c>
      <c r="K100" s="1031">
        <f>'2.15 TDD Cyber'!$M$10</f>
        <v>5</v>
      </c>
      <c r="L100" s="1032">
        <f>'2.15 TDD Cyber'!$N$10</f>
        <v>1.2998</v>
      </c>
      <c r="M100" s="1032">
        <f>'2.15 TDD Cyber'!$O$10</f>
        <v>1.29999655</v>
      </c>
      <c r="N100" s="1032">
        <f>'2.15 TDD Cyber'!$R$10</f>
        <v>0.000197</v>
      </c>
      <c r="O100" s="1032">
        <f>'2.15 TDD Cyber'!$S$10</f>
        <v>1.29999655</v>
      </c>
    </row>
    <row r="101" ht="14.25" customHeight="1" s="535">
      <c r="B101" s="929" t="inlineStr">
        <is>
          <t>TDD Cyber</t>
        </is>
      </c>
      <c r="C101" s="929" t="inlineStr">
        <is>
          <t>Overhead</t>
        </is>
      </c>
      <c r="D101" s="929" t="str">
        <f>'2.15 TDD Cyber'!$B$12</f>
        <v>Delivery Manager</v>
      </c>
      <c r="E101" s="929">
        <f>'2.15 TDD Cyber'!$C$12</f>
        <v/>
      </c>
      <c r="F101" s="929">
        <f>'2.15 TDD Cyber'!$D$12</f>
        <v/>
      </c>
      <c r="G101" s="1030">
        <f>'2.15 TDD Cyber'!$E$12</f>
        <v>0.3</v>
      </c>
      <c r="H101" s="1031">
        <f>'2.15 TDD Cyber'!$F$12</f>
        <v>0</v>
      </c>
      <c r="I101" s="1031">
        <f>'2.15 TDD Cyber'!$H$12</f>
        <v>0</v>
      </c>
      <c r="J101" s="1031">
        <f>'2.15 TDD Cyber'!$I$12</f>
        <v>0</v>
      </c>
      <c r="K101" s="1031">
        <f>'2.15 TDD Cyber'!$M$12</f>
        <v>0</v>
      </c>
      <c r="L101" s="1032">
        <f>'2.15 TDD Cyber'!$N$12</f>
        <v>0.084</v>
      </c>
      <c r="M101" s="1032">
        <f>'2.15 TDD Cyber'!$O$12</f>
        <v>0</v>
      </c>
      <c r="N101" s="1032">
        <f>'2.15 TDD Cyber'!$R$12</f>
        <v>-0.084</v>
      </c>
      <c r="O101" s="1032">
        <f>'2.15 TDD Cyber'!$S$12</f>
        <v>0</v>
      </c>
    </row>
    <row r="102" ht="14.25" customHeight="1" s="535">
      <c r="B102" s="929" t="inlineStr">
        <is>
          <t>TDD Cyber</t>
        </is>
      </c>
      <c r="C102" s="929" t="inlineStr">
        <is>
          <t>Overhead</t>
        </is>
      </c>
      <c r="D102" s="929" t="str">
        <f>'2.15 TDD Cyber'!$B$13</f>
        <v>Technology Manager</v>
      </c>
      <c r="E102" s="929">
        <f>'2.15 TDD Cyber'!$C$13</f>
        <v/>
      </c>
      <c r="F102" s="929">
        <f>'2.15 TDD Cyber'!$D$13</f>
        <v/>
      </c>
      <c r="G102" s="1030">
        <f>'2.15 TDD Cyber'!$E$13</f>
        <v>0.3</v>
      </c>
      <c r="H102" s="1031">
        <f>'2.15 TDD Cyber'!$F$13</f>
        <v>0</v>
      </c>
      <c r="I102" s="1031">
        <f>'2.15 TDD Cyber'!$H$13</f>
        <v>0</v>
      </c>
      <c r="J102" s="1031">
        <f>'2.15 TDD Cyber'!$I$13</f>
        <v>0</v>
      </c>
      <c r="K102" s="1031">
        <f>'2.15 TDD Cyber'!$M$13</f>
        <v>0</v>
      </c>
      <c r="L102" s="1032">
        <f>'2.15 TDD Cyber'!$N$13</f>
        <v>0.081</v>
      </c>
      <c r="M102" s="1032">
        <f>'2.15 TDD Cyber'!$O$13</f>
        <v>0</v>
      </c>
      <c r="N102" s="1032">
        <f>'2.15 TDD Cyber'!$R$13</f>
        <v>-0.081</v>
      </c>
      <c r="O102" s="1032">
        <f>'2.15 TDD Cyber'!$S$13</f>
        <v>0</v>
      </c>
    </row>
    <row r="103" ht="14.25" customHeight="1" s="535">
      <c r="B103" s="1033" t="inlineStr">
        <is>
          <t>TDD Cyber total</t>
        </is>
      </c>
      <c r="C103" s="1033" t="n"/>
      <c r="D103" s="1033" t="n"/>
      <c r="E103" s="1033" t="n"/>
      <c r="F103" s="1036">
        <f>""</f>
        <v/>
      </c>
      <c r="G103" s="1034">
        <f>IF(COUNT(G99:G102)=0,"",SUM(G99:G102))</f>
        <v>4.6</v>
      </c>
      <c r="H103" s="1035">
        <f>SUM(H99:H102)</f>
        <v>9</v>
      </c>
      <c r="I103" s="1035">
        <f>SUM(I99:I102)</f>
        <v>9</v>
      </c>
      <c r="J103" s="1035">
        <f>SUM(J99:J102)</f>
        <v>0</v>
      </c>
      <c r="K103" s="1035">
        <f>SUM(K99:K102)</f>
        <v>9</v>
      </c>
      <c r="L103" s="1036">
        <f>IF(COUNT(L99:L102)=0,"",SUM(L99:L102))</f>
        <v>2.2648</v>
      </c>
      <c r="M103" s="1036">
        <f>SUM(M99:M102)</f>
        <v>2.1381967</v>
      </c>
      <c r="N103" s="1036">
        <f>IF(ISNUMBER($L103),ROUND($M103-$L103,6),"")</f>
        <v>-0.126603</v>
      </c>
      <c r="O103" s="1036">
        <f>SUM(O99:O102)</f>
        <v>2.1381967</v>
      </c>
    </row>
    <row r="104" ht="14.25" customHeight="1" s="535">
      <c r="B104" s="929" t="inlineStr">
        <is>
          <t>COE Cyber</t>
        </is>
      </c>
      <c r="C104" s="929" t="inlineStr">
        <is>
          <t>Directly funded</t>
        </is>
      </c>
      <c r="D104" s="929" t="str">
        <f>'2.11 Cyber Risk &amp; Service Ops'!$B$8</f>
        <v>Cyber GRC</v>
      </c>
      <c r="E104" s="929">
        <f>'2.11 Cyber Risk &amp; Service Ops'!$C$8</f>
        <v/>
      </c>
      <c r="F104" s="929">
        <f>'2.11 Cyber Risk &amp; Service Ops'!$D$8</f>
        <v/>
      </c>
      <c r="G104" s="1030">
        <f>'2.11 Cyber Risk &amp; Service Ops'!$E$8</f>
        <v/>
      </c>
      <c r="H104" s="1031">
        <f>'2.11 Cyber Risk &amp; Service Ops'!$F$8</f>
        <v>5</v>
      </c>
      <c r="I104" s="1031">
        <f>'2.11 Cyber Risk &amp; Service Ops'!$H$8</f>
        <v>5</v>
      </c>
      <c r="J104" s="1031">
        <f>'2.11 Cyber Risk &amp; Service Ops'!$I$8</f>
        <v>0</v>
      </c>
      <c r="K104" s="1031">
        <f>'2.11 Cyber Risk &amp; Service Ops'!$M$8</f>
        <v>5</v>
      </c>
      <c r="L104" s="1032">
        <f>'2.11 Cyber Risk &amp; Service Ops'!$N$8</f>
        <v/>
      </c>
      <c r="M104" s="1032">
        <f>'2.11 Cyber Risk &amp; Service Ops'!$O$8</f>
        <v>1.071477788</v>
      </c>
      <c r="N104" s="1032">
        <f>'2.11 Cyber Risk &amp; Service Ops'!$R$8</f>
        <v/>
      </c>
      <c r="O104" s="1032">
        <f>'2.11 Cyber Risk &amp; Service Ops'!$S$8</f>
        <v>0.6008170352</v>
      </c>
    </row>
    <row r="105" ht="14.25" customHeight="1" s="535">
      <c r="B105" s="929" t="inlineStr">
        <is>
          <t>COE Cyber</t>
        </is>
      </c>
      <c r="C105" s="929" t="inlineStr">
        <is>
          <t>Directly funded</t>
        </is>
      </c>
      <c r="D105" s="929" t="str">
        <f>'2.11 Cyber Risk &amp; Service Ops'!$B$9</f>
        <v>Cyber Risk</v>
      </c>
      <c r="E105" s="929">
        <f>'2.11 Cyber Risk &amp; Service Ops'!$C$9</f>
        <v/>
      </c>
      <c r="F105" s="929">
        <f>'2.11 Cyber Risk &amp; Service Ops'!$D$9</f>
        <v/>
      </c>
      <c r="G105" s="1030">
        <f>'2.11 Cyber Risk &amp; Service Ops'!$E$9</f>
        <v/>
      </c>
      <c r="H105" s="1031">
        <f>'2.11 Cyber Risk &amp; Service Ops'!$F$9</f>
        <v>2</v>
      </c>
      <c r="I105" s="1031">
        <f>'2.11 Cyber Risk &amp; Service Ops'!$H$9</f>
        <v>2</v>
      </c>
      <c r="J105" s="1031">
        <f>'2.11 Cyber Risk &amp; Service Ops'!$I$9</f>
        <v>0</v>
      </c>
      <c r="K105" s="1031">
        <f>'2.11 Cyber Risk &amp; Service Ops'!$M$9</f>
        <v>2</v>
      </c>
      <c r="L105" s="1032">
        <f>'2.11 Cyber Risk &amp; Service Ops'!$N$9</f>
        <v/>
      </c>
      <c r="M105" s="1032">
        <f>'2.11 Cyber Risk &amp; Service Ops'!$O$9</f>
        <v>0.475558232</v>
      </c>
      <c r="N105" s="1032">
        <f>'2.11 Cyber Risk &amp; Service Ops'!$R$9</f>
        <v/>
      </c>
      <c r="O105" s="1032">
        <f>'2.11 Cyber Risk &amp; Service Ops'!$S$9</f>
        <v>0.3624492128</v>
      </c>
    </row>
    <row r="106" ht="14.25" customHeight="1" s="535">
      <c r="B106" s="929" t="inlineStr">
        <is>
          <t>COE Cyber</t>
        </is>
      </c>
      <c r="C106" s="929" t="inlineStr">
        <is>
          <t>Directly funded</t>
        </is>
      </c>
      <c r="D106" s="929" t="str">
        <f>'2.11 Cyber Risk &amp; Service Ops'!$B$10</f>
        <v>Cyber Sec Ops</v>
      </c>
      <c r="E106" s="929">
        <f>'2.11 Cyber Risk &amp; Service Ops'!$C$10</f>
        <v/>
      </c>
      <c r="F106" s="929">
        <f>'2.11 Cyber Risk &amp; Service Ops'!$D$10</f>
        <v/>
      </c>
      <c r="G106" s="1030">
        <f>'2.11 Cyber Risk &amp; Service Ops'!$E$10</f>
        <v/>
      </c>
      <c r="H106" s="1031">
        <f>'2.11 Cyber Risk &amp; Service Ops'!$F$10</f>
        <v>5</v>
      </c>
      <c r="I106" s="1031">
        <f>'2.11 Cyber Risk &amp; Service Ops'!$H$10</f>
        <v>5</v>
      </c>
      <c r="J106" s="1031">
        <f>'2.11 Cyber Risk &amp; Service Ops'!$I$10</f>
        <v>0</v>
      </c>
      <c r="K106" s="1031">
        <f>'2.11 Cyber Risk &amp; Service Ops'!$M$10</f>
        <v>5</v>
      </c>
      <c r="L106" s="1032">
        <f>'2.11 Cyber Risk &amp; Service Ops'!$N$10</f>
        <v/>
      </c>
      <c r="M106" s="1032">
        <f>'2.11 Cyber Risk &amp; Service Ops'!$O$10</f>
        <v>1.0820293312</v>
      </c>
      <c r="N106" s="1032">
        <f>'2.11 Cyber Risk &amp; Service Ops'!$R$10</f>
        <v/>
      </c>
      <c r="O106" s="1032">
        <f>'2.11 Cyber Risk &amp; Service Ops'!$S$10</f>
        <v>0.9508015012</v>
      </c>
    </row>
    <row r="107" ht="14.25" customHeight="1" s="535">
      <c r="B107" s="929" t="inlineStr">
        <is>
          <t>COE Cyber</t>
        </is>
      </c>
      <c r="C107" s="929" t="inlineStr">
        <is>
          <t>Directly funded</t>
        </is>
      </c>
      <c r="D107" s="929" t="str">
        <f>'2.11 Cyber Risk &amp; Service Ops'!$B$11</f>
        <v>Cyber Strat &amp; Tech</v>
      </c>
      <c r="E107" s="929">
        <f>'2.11 Cyber Risk &amp; Service Ops'!$C$11</f>
        <v/>
      </c>
      <c r="F107" s="929">
        <f>'2.11 Cyber Risk &amp; Service Ops'!$D$11</f>
        <v/>
      </c>
      <c r="G107" s="1030">
        <f>'2.11 Cyber Risk &amp; Service Ops'!$E$11</f>
        <v/>
      </c>
      <c r="H107" s="1031">
        <f>'2.11 Cyber Risk &amp; Service Ops'!$F$11</f>
        <v>4</v>
      </c>
      <c r="I107" s="1031">
        <f>'2.11 Cyber Risk &amp; Service Ops'!$H$11</f>
        <v>4</v>
      </c>
      <c r="J107" s="1031">
        <f>'2.11 Cyber Risk &amp; Service Ops'!$I$11</f>
        <v>0</v>
      </c>
      <c r="K107" s="1031">
        <f>'2.11 Cyber Risk &amp; Service Ops'!$M$11</f>
        <v>4</v>
      </c>
      <c r="L107" s="1032">
        <f>'2.11 Cyber Risk &amp; Service Ops'!$N$11</f>
        <v/>
      </c>
      <c r="M107" s="1032">
        <f>'2.11 Cyber Risk &amp; Service Ops'!$O$11</f>
        <v>1.17756685</v>
      </c>
      <c r="N107" s="1032">
        <f>'2.11 Cyber Risk &amp; Service Ops'!$R$11</f>
        <v/>
      </c>
      <c r="O107" s="1032">
        <f>'2.11 Cyber Risk &amp; Service Ops'!$S$11</f>
        <v>0.6827474</v>
      </c>
    </row>
    <row r="108" ht="14.25" customHeight="1" s="535">
      <c r="B108" s="929" t="inlineStr">
        <is>
          <t>COE Cyber</t>
        </is>
      </c>
      <c r="C108" s="929" t="inlineStr">
        <is>
          <t>Directly funded</t>
        </is>
      </c>
      <c r="D108" s="929" t="str">
        <f>'2.11 Cyber Risk &amp; Service Ops'!$B$12</f>
        <v>Service Op &amp; Assurance</v>
      </c>
      <c r="E108" s="929">
        <f>'2.11 Cyber Risk &amp; Service Ops'!$C$12</f>
        <v/>
      </c>
      <c r="F108" s="929">
        <f>'2.11 Cyber Risk &amp; Service Ops'!$D$12</f>
        <v/>
      </c>
      <c r="G108" s="1030">
        <f>'2.11 Cyber Risk &amp; Service Ops'!$E$12</f>
        <v/>
      </c>
      <c r="H108" s="1031">
        <f>'2.11 Cyber Risk &amp; Service Ops'!$F$12</f>
        <v>21</v>
      </c>
      <c r="I108" s="1031">
        <f>'2.11 Cyber Risk &amp; Service Ops'!$H$12</f>
        <v>17</v>
      </c>
      <c r="J108" s="1031">
        <f>'2.11 Cyber Risk &amp; Service Ops'!$I$12</f>
        <v>4</v>
      </c>
      <c r="K108" s="1031">
        <f>'2.11 Cyber Risk &amp; Service Ops'!$M$12</f>
        <v>21</v>
      </c>
      <c r="L108" s="1032">
        <f>'2.11 Cyber Risk &amp; Service Ops'!$N$12</f>
        <v/>
      </c>
      <c r="M108" s="1032">
        <f>'2.11 Cyber Risk &amp; Service Ops'!$O$12</f>
        <v>3.92346938</v>
      </c>
      <c r="N108" s="1032">
        <f>'2.11 Cyber Risk &amp; Service Ops'!$R$12</f>
        <v/>
      </c>
      <c r="O108" s="1032">
        <f>'2.11 Cyber Risk &amp; Service Ops'!$S$12</f>
        <v>3.33110198</v>
      </c>
    </row>
    <row r="109" ht="14.25" customHeight="1" s="535">
      <c r="B109" s="1033" t="inlineStr">
        <is>
          <t>COE Cyber total</t>
        </is>
      </c>
      <c r="C109" s="1033" t="n"/>
      <c r="D109" s="1033" t="n"/>
      <c r="E109" s="1033" t="n"/>
      <c r="F109" s="1036">
        <f>""</f>
        <v/>
      </c>
      <c r="G109" s="1034">
        <f>IF(COUNT(G104:G108)=0,"",SUM(G104:G108))</f>
        <v/>
      </c>
      <c r="H109" s="1035">
        <f>SUM(H104:H108)</f>
        <v>37</v>
      </c>
      <c r="I109" s="1035">
        <f>SUM(I104:I108)</f>
        <v>33</v>
      </c>
      <c r="J109" s="1035">
        <f>SUM(J104:J108)</f>
        <v>4</v>
      </c>
      <c r="K109" s="1035">
        <f>SUM(K104:K108)</f>
        <v>37</v>
      </c>
      <c r="L109" s="1036">
        <f>IF(COUNT(L104:L108)=0,"",SUM(L104:L108))</f>
        <v/>
      </c>
      <c r="M109" s="1036">
        <f>SUM(M104:M108)</f>
        <v>7.7301015812</v>
      </c>
      <c r="N109" s="1036">
        <f>IF(ISNUMBER($L109),ROUND($M109-$L109,6),"")</f>
        <v/>
      </c>
      <c r="O109" s="1036">
        <f>SUM(O104:O108)</f>
        <v>5.9279171292</v>
      </c>
    </row>
    <row r="110" ht="14.25" customHeight="1" s="535">
      <c r="B110" s="929" t="inlineStr">
        <is>
          <t>COE BP&amp;T</t>
        </is>
      </c>
      <c r="C110" s="929" t="inlineStr">
        <is>
          <t>Directly funded</t>
        </is>
      </c>
      <c r="D110" s="929" t="str">
        <f>'2.12 COE BP&amp;T'!$B$8</f>
        <v>Commercial</v>
      </c>
      <c r="E110" s="929">
        <f>'2.12 COE BP&amp;T'!$C$8</f>
        <v/>
      </c>
      <c r="F110" s="929">
        <f>'2.12 COE BP&amp;T'!$D$8</f>
        <v/>
      </c>
      <c r="G110" s="1030">
        <f>'2.12 COE BP&amp;T'!$E$8</f>
        <v/>
      </c>
      <c r="H110" s="1031">
        <f>'2.12 COE BP&amp;T'!$F$8</f>
        <v>4</v>
      </c>
      <c r="I110" s="1031">
        <f>'2.12 COE BP&amp;T'!$H$8</f>
        <v>3</v>
      </c>
      <c r="J110" s="1031">
        <f>'2.12 COE BP&amp;T'!$I$8</f>
        <v>1</v>
      </c>
      <c r="K110" s="1031">
        <f>'2.12 COE BP&amp;T'!$M$8</f>
        <v>4</v>
      </c>
      <c r="L110" s="1032">
        <f>'2.12 COE BP&amp;T'!$N$8</f>
        <v/>
      </c>
      <c r="M110" s="1032">
        <f>'2.12 COE BP&amp;T'!$O$8</f>
        <v>0.979014192</v>
      </c>
      <c r="N110" s="1032">
        <f>'2.12 COE BP&amp;T'!$R$8</f>
        <v/>
      </c>
      <c r="O110" s="1032">
        <f>'2.12 COE BP&amp;T'!$S$8</f>
        <v>0.979014192</v>
      </c>
    </row>
    <row r="111" ht="14.25" customHeight="1" s="535">
      <c r="B111" s="929" t="inlineStr">
        <is>
          <t>COE BP&amp;T</t>
        </is>
      </c>
      <c r="C111" s="929" t="inlineStr">
        <is>
          <t>Directly funded</t>
        </is>
      </c>
      <c r="D111" s="929" t="str">
        <f>'2.12 COE BP&amp;T'!$B$9</f>
        <v>TDD Business Partner</v>
      </c>
      <c r="E111" s="929">
        <f>'2.12 COE BP&amp;T'!$C$9</f>
        <v/>
      </c>
      <c r="F111" s="929">
        <f>'2.12 COE BP&amp;T'!$D$9</f>
        <v/>
      </c>
      <c r="G111" s="1030">
        <f>'2.12 COE BP&amp;T'!$E$9</f>
        <v/>
      </c>
      <c r="H111" s="1031">
        <f>'2.12 COE BP&amp;T'!$F$9</f>
        <v>6</v>
      </c>
      <c r="I111" s="1031">
        <f>'2.12 COE BP&amp;T'!$H$9</f>
        <v>6</v>
      </c>
      <c r="J111" s="1031">
        <f>'2.12 COE BP&amp;T'!$I$9</f>
        <v>0</v>
      </c>
      <c r="K111" s="1031">
        <f>'2.12 COE BP&amp;T'!$M$9</f>
        <v>6</v>
      </c>
      <c r="L111" s="1032">
        <f>'2.12 COE BP&amp;T'!$N$9</f>
        <v/>
      </c>
      <c r="M111" s="1032">
        <f>'2.12 COE BP&amp;T'!$O$9</f>
        <v>2.3135484</v>
      </c>
      <c r="N111" s="1032">
        <f>'2.12 COE BP&amp;T'!$R$9</f>
        <v/>
      </c>
      <c r="O111" s="1032">
        <f>'2.12 COE BP&amp;T'!$S$9</f>
        <v>2.3135484</v>
      </c>
    </row>
    <row r="112" ht="14.25" customHeight="1" s="535">
      <c r="B112" s="929" t="inlineStr">
        <is>
          <t>COE BP&amp;T</t>
        </is>
      </c>
      <c r="C112" s="929" t="inlineStr">
        <is>
          <t>Directly funded</t>
        </is>
      </c>
      <c r="D112" s="929" t="str">
        <f>'2.12 COE BP&amp;T'!$B$10</f>
        <v>Transformation</v>
      </c>
      <c r="E112" s="929">
        <f>'2.12 COE BP&amp;T'!$C$10</f>
        <v/>
      </c>
      <c r="F112" s="929">
        <f>'2.12 COE BP&amp;T'!$D$10</f>
        <v/>
      </c>
      <c r="G112" s="1030">
        <f>'2.12 COE BP&amp;T'!$E$10</f>
        <v/>
      </c>
      <c r="H112" s="1031">
        <f>'2.12 COE BP&amp;T'!$F$10</f>
        <v>14</v>
      </c>
      <c r="I112" s="1031">
        <f>'2.12 COE BP&amp;T'!$H$10</f>
        <v>7</v>
      </c>
      <c r="J112" s="1031">
        <f>'2.12 COE BP&amp;T'!$I$10</f>
        <v>7</v>
      </c>
      <c r="K112" s="1031">
        <f>'2.12 COE BP&amp;T'!$M$10</f>
        <v>14</v>
      </c>
      <c r="L112" s="1032">
        <f>'2.12 COE BP&amp;T'!$N$10</f>
        <v/>
      </c>
      <c r="M112" s="1032">
        <f>'2.12 COE BP&amp;T'!$O$10</f>
        <v>3.10799923</v>
      </c>
      <c r="N112" s="1032">
        <f>'2.12 COE BP&amp;T'!$R$10</f>
        <v/>
      </c>
      <c r="O112" s="1032">
        <f>'2.12 COE BP&amp;T'!$S$10</f>
        <v>2.88399343</v>
      </c>
    </row>
    <row r="113" ht="14.25" customHeight="1" s="535">
      <c r="B113" s="1033" t="inlineStr">
        <is>
          <t>COE BP&amp;T total</t>
        </is>
      </c>
      <c r="C113" s="1033" t="n"/>
      <c r="D113" s="1033" t="n"/>
      <c r="E113" s="1033" t="n"/>
      <c r="F113" s="1036">
        <f>""</f>
        <v/>
      </c>
      <c r="G113" s="1034">
        <f>IF(COUNT(G110:G112)=0,"",SUM(G110:G112))</f>
        <v/>
      </c>
      <c r="H113" s="1035">
        <f>SUM(H110:H112)</f>
        <v>24</v>
      </c>
      <c r="I113" s="1035">
        <f>SUM(I110:I112)</f>
        <v>16</v>
      </c>
      <c r="J113" s="1035">
        <f>SUM(J110:J112)</f>
        <v>8</v>
      </c>
      <c r="K113" s="1035">
        <f>SUM(K110:K112)</f>
        <v>24</v>
      </c>
      <c r="L113" s="1036">
        <f>IF(COUNT(L110:L112)=0,"",SUM(L110:L112))</f>
        <v/>
      </c>
      <c r="M113" s="1036">
        <f>SUM(M110:M112)</f>
        <v>6.400561822</v>
      </c>
      <c r="N113" s="1036">
        <f>IF(ISNUMBER($L113),ROUND($M113-$L113,6),"")</f>
        <v/>
      </c>
      <c r="O113" s="1036">
        <f>SUM(O110:O112)</f>
        <v>6.176556022</v>
      </c>
    </row>
    <row r="114" ht="14.25" customHeight="1" s="535">
      <c r="B114" s="929" t="inlineStr">
        <is>
          <t>COE SA&amp;D</t>
        </is>
      </c>
      <c r="C114" s="929" t="inlineStr">
        <is>
          <t>Directly funded</t>
        </is>
      </c>
      <c r="D114" s="929" t="str">
        <f>'2.13 COE SA&amp;D'!$B$8</f>
        <v>Architecture</v>
      </c>
      <c r="E114" s="929">
        <f>'2.13 COE SA&amp;D'!$C$8</f>
        <v/>
      </c>
      <c r="F114" s="929">
        <f>'2.13 COE SA&amp;D'!$D$8</f>
        <v/>
      </c>
      <c r="G114" s="1030">
        <f>'2.13 COE SA&amp;D'!$E$8</f>
        <v/>
      </c>
      <c r="H114" s="1031">
        <f>'2.13 COE SA&amp;D'!$F$8</f>
        <v>7</v>
      </c>
      <c r="I114" s="1031">
        <f>'2.13 COE SA&amp;D'!$H$8</f>
        <v>3</v>
      </c>
      <c r="J114" s="1031">
        <f>'2.13 COE SA&amp;D'!$I$8</f>
        <v>4</v>
      </c>
      <c r="K114" s="1031">
        <f>'2.13 COE SA&amp;D'!$M$8</f>
        <v>6</v>
      </c>
      <c r="L114" s="1032">
        <f>'2.13 COE SA&amp;D'!$N$8</f>
        <v/>
      </c>
      <c r="M114" s="1032">
        <f>'2.13 COE SA&amp;D'!$O$8</f>
        <v>1.664746536</v>
      </c>
      <c r="N114" s="1032">
        <f>'2.13 COE SA&amp;D'!$R$8</f>
        <v/>
      </c>
      <c r="O114" s="1032">
        <f>'2.13 COE SA&amp;D'!$S$8</f>
        <v>1.388936286</v>
      </c>
    </row>
    <row r="115" ht="14.25" customHeight="1" s="535">
      <c r="B115" s="929" t="inlineStr">
        <is>
          <t>COE SA&amp;D</t>
        </is>
      </c>
      <c r="C115" s="929" t="inlineStr">
        <is>
          <t>Directly funded</t>
        </is>
      </c>
      <c r="D115" s="929" t="str">
        <f>'2.13 COE SA&amp;D'!$B$9</f>
        <v>Data Platforms</v>
      </c>
      <c r="E115" s="929">
        <f>'2.13 COE SA&amp;D'!$C$9</f>
        <v/>
      </c>
      <c r="F115" s="929">
        <f>'2.13 COE SA&amp;D'!$D$9</f>
        <v/>
      </c>
      <c r="G115" s="1030">
        <f>'2.13 COE SA&amp;D'!$E$9</f>
        <v/>
      </c>
      <c r="H115" s="1031">
        <f>'2.13 COE SA&amp;D'!$F$9</f>
        <v>1</v>
      </c>
      <c r="I115" s="1031">
        <f>'2.13 COE SA&amp;D'!$H$9</f>
        <v>1</v>
      </c>
      <c r="J115" s="1031">
        <f>'2.13 COE SA&amp;D'!$I$9</f>
        <v>0</v>
      </c>
      <c r="K115" s="1031">
        <f>'2.13 COE SA&amp;D'!$M$9</f>
        <v>1</v>
      </c>
      <c r="L115" s="1032">
        <f>'2.13 COE SA&amp;D'!$N$9</f>
        <v/>
      </c>
      <c r="M115" s="1032">
        <f>'2.13 COE SA&amp;D'!$O$9</f>
        <v>0.2655849</v>
      </c>
      <c r="N115" s="1032">
        <f>'2.13 COE SA&amp;D'!$R$9</f>
        <v/>
      </c>
      <c r="O115" s="1032">
        <f>'2.13 COE SA&amp;D'!$S$9</f>
        <v>0.2655849</v>
      </c>
    </row>
    <row r="116" ht="14.25" customHeight="1" s="535">
      <c r="B116" s="929" t="inlineStr">
        <is>
          <t>COE SA&amp;D</t>
        </is>
      </c>
      <c r="C116" s="929" t="inlineStr">
        <is>
          <t>Directly funded</t>
        </is>
      </c>
      <c r="D116" s="929" t="str">
        <f>'2.13 COE SA&amp;D'!$B$10</f>
        <v>Group Data</v>
      </c>
      <c r="E116" s="929">
        <f>'2.13 COE SA&amp;D'!$C$10</f>
        <v/>
      </c>
      <c r="F116" s="929">
        <f>'2.13 COE SA&amp;D'!$D$10</f>
        <v/>
      </c>
      <c r="G116" s="1030">
        <f>'2.13 COE SA&amp;D'!$E$10</f>
        <v/>
      </c>
      <c r="H116" s="1031">
        <f>'2.13 COE SA&amp;D'!$F$10</f>
        <v>6</v>
      </c>
      <c r="I116" s="1031">
        <f>'2.13 COE SA&amp;D'!$H$10</f>
        <v>5</v>
      </c>
      <c r="J116" s="1031">
        <f>'2.13 COE SA&amp;D'!$I$10</f>
        <v>1</v>
      </c>
      <c r="K116" s="1031">
        <f>'2.13 COE SA&amp;D'!$M$10</f>
        <v>5</v>
      </c>
      <c r="L116" s="1032">
        <f>'2.13 COE SA&amp;D'!$N$10</f>
        <v/>
      </c>
      <c r="M116" s="1032">
        <f>'2.13 COE SA&amp;D'!$O$10</f>
        <v>1.557396016</v>
      </c>
      <c r="N116" s="1032">
        <f>'2.13 COE SA&amp;D'!$R$10</f>
        <v/>
      </c>
      <c r="O116" s="1032">
        <f>'2.13 COE SA&amp;D'!$S$10</f>
        <v>1.167789916</v>
      </c>
    </row>
    <row r="117" ht="14.25" customHeight="1" s="535">
      <c r="B117" s="929" t="inlineStr">
        <is>
          <t>COE SA&amp;D</t>
        </is>
      </c>
      <c r="C117" s="929" t="inlineStr">
        <is>
          <t>Directly funded</t>
        </is>
      </c>
      <c r="D117" s="929" t="str">
        <f>'2.13 COE SA&amp;D'!$B$11</f>
        <v>Leadership</v>
      </c>
      <c r="E117" s="929">
        <f>'2.13 COE SA&amp;D'!$C$11</f>
        <v/>
      </c>
      <c r="F117" s="929">
        <f>'2.13 COE SA&amp;D'!$D$11</f>
        <v/>
      </c>
      <c r="G117" s="1030">
        <f>'2.13 COE SA&amp;D'!$E$11</f>
        <v/>
      </c>
      <c r="H117" s="1031">
        <f>'2.13 COE SA&amp;D'!$F$11</f>
        <v>4</v>
      </c>
      <c r="I117" s="1031">
        <f>'2.13 COE SA&amp;D'!$H$11</f>
        <v>1</v>
      </c>
      <c r="J117" s="1031">
        <f>'2.13 COE SA&amp;D'!$I$11</f>
        <v>3</v>
      </c>
      <c r="K117" s="1031">
        <f>'2.13 COE SA&amp;D'!$M$11</f>
        <v>4</v>
      </c>
      <c r="L117" s="1032">
        <f>'2.13 COE SA&amp;D'!$N$11</f>
        <v/>
      </c>
      <c r="M117" s="1032">
        <f>'2.13 COE SA&amp;D'!$O$11</f>
        <v>1.2239818</v>
      </c>
      <c r="N117" s="1032">
        <f>'2.13 COE SA&amp;D'!$R$11</f>
        <v/>
      </c>
      <c r="O117" s="1032">
        <f>'2.13 COE SA&amp;D'!$S$11</f>
        <v>1.2239818</v>
      </c>
    </row>
    <row r="118" ht="14.25" customHeight="1" s="535">
      <c r="B118" s="929" t="inlineStr">
        <is>
          <t>COE SA&amp;D</t>
        </is>
      </c>
      <c r="C118" s="929" t="inlineStr">
        <is>
          <t>Directly funded</t>
        </is>
      </c>
      <c r="D118" s="929" t="str">
        <f>'2.13 COE SA&amp;D'!$B$12</f>
        <v>Technology Strategy &amp; AI Capability</v>
      </c>
      <c r="E118" s="929">
        <f>'2.13 COE SA&amp;D'!$C$12</f>
        <v/>
      </c>
      <c r="F118" s="929">
        <f>'2.13 COE SA&amp;D'!$D$12</f>
        <v/>
      </c>
      <c r="G118" s="1030">
        <f>'2.13 COE SA&amp;D'!$E$12</f>
        <v/>
      </c>
      <c r="H118" s="1031">
        <f>'2.13 COE SA&amp;D'!$F$12</f>
        <v>5</v>
      </c>
      <c r="I118" s="1031">
        <f>'2.13 COE SA&amp;D'!$H$12</f>
        <v>1</v>
      </c>
      <c r="J118" s="1031">
        <f>'2.13 COE SA&amp;D'!$I$12</f>
        <v>4</v>
      </c>
      <c r="K118" s="1031">
        <f>'2.13 COE SA&amp;D'!$M$12</f>
        <v>3</v>
      </c>
      <c r="L118" s="1032">
        <f>'2.13 COE SA&amp;D'!$N$12</f>
        <v/>
      </c>
      <c r="M118" s="1032">
        <f>'2.13 COE SA&amp;D'!$O$12</f>
        <v>1.06988875</v>
      </c>
      <c r="N118" s="1032">
        <f>'2.13 COE SA&amp;D'!$R$12</f>
        <v/>
      </c>
      <c r="O118" s="1032">
        <f>'2.13 COE SA&amp;D'!$S$12</f>
        <v>0.72890925</v>
      </c>
    </row>
    <row r="119" ht="14.25" customHeight="1" s="535">
      <c r="B119" s="1033" t="inlineStr">
        <is>
          <t>COE SA&amp;D total</t>
        </is>
      </c>
      <c r="C119" s="1033" t="n"/>
      <c r="D119" s="1033" t="n"/>
      <c r="E119" s="1033" t="n"/>
      <c r="F119" s="1036">
        <f>""</f>
        <v/>
      </c>
      <c r="G119" s="1034">
        <f>IF(COUNT(G114:G118)=0,"",SUM(G114:G118))</f>
        <v/>
      </c>
      <c r="H119" s="1035">
        <f>SUM(H114:H118)</f>
        <v>23</v>
      </c>
      <c r="I119" s="1035">
        <f>SUM(I114:I118)</f>
        <v>11</v>
      </c>
      <c r="J119" s="1035">
        <f>SUM(J114:J118)</f>
        <v>12</v>
      </c>
      <c r="K119" s="1035">
        <f>SUM(K114:K118)</f>
        <v>19</v>
      </c>
      <c r="L119" s="1036">
        <f>IF(COUNT(L114:L118)=0,"",SUM(L114:L118))</f>
        <v/>
      </c>
      <c r="M119" s="1036">
        <f>SUM(M114:M118)</f>
        <v>5.781598002</v>
      </c>
      <c r="N119" s="1036">
        <f>IF(ISNUMBER($L119),ROUND($M119-$L119,6),"")</f>
        <v/>
      </c>
      <c r="O119" s="1036">
        <f>SUM(O114:O118)</f>
        <v>4.775202152</v>
      </c>
    </row>
    <row r="120" ht="14.25" customHeight="1" s="535">
      <c r="B120" s="929" t="inlineStr">
        <is>
          <t>EGI</t>
        </is>
      </c>
      <c r="C120" s="929" t="inlineStr">
        <is>
          <t>Directly funded</t>
        </is>
      </c>
      <c r="D120" s="929" t="str">
        <f>'2.14 EGI'!$B$8</f>
        <v>EGI</v>
      </c>
      <c r="E120" s="929">
        <f>'2.14 EGI'!$C$8</f>
        <v/>
      </c>
      <c r="F120" s="929">
        <f>'2.14 EGI'!$D$8</f>
        <v/>
      </c>
      <c r="G120" s="1030">
        <f>'2.14 EGI'!$E$8</f>
        <v/>
      </c>
      <c r="H120" s="1031">
        <f>'2.14 EGI'!$F$8</f>
        <v>18</v>
      </c>
      <c r="I120" s="1031">
        <f>'2.14 EGI'!$H$8</f>
        <v>18</v>
      </c>
      <c r="J120" s="1031">
        <f>'2.14 EGI'!$I$8</f>
        <v>0</v>
      </c>
      <c r="K120" s="1031">
        <f>'2.14 EGI'!$M$8</f>
        <v>18</v>
      </c>
      <c r="L120" s="1032">
        <f>'2.14 EGI'!$N$8</f>
        <v/>
      </c>
      <c r="M120" s="1032">
        <f>'2.14 EGI'!$O$8</f>
        <v>5.15081935</v>
      </c>
      <c r="N120" s="1032">
        <f>'2.14 EGI'!$R$8</f>
        <v/>
      </c>
      <c r="O120" s="1032">
        <f>'2.14 EGI'!$S$8</f>
        <v>5.15081935</v>
      </c>
    </row>
    <row r="121" ht="14.25" customHeight="1" s="535">
      <c r="B121" s="1033" t="inlineStr">
        <is>
          <t>EGI total</t>
        </is>
      </c>
      <c r="C121" s="1033" t="n"/>
      <c r="D121" s="1033" t="n"/>
      <c r="E121" s="1033" t="n"/>
      <c r="F121" s="1036">
        <f>""</f>
        <v/>
      </c>
      <c r="G121" s="1034">
        <f>IF(COUNT(G120:G120)=0,"",SUM(G120:G120))</f>
        <v/>
      </c>
      <c r="H121" s="1035">
        <f>SUM(H120:H120)</f>
        <v>18</v>
      </c>
      <c r="I121" s="1035">
        <f>SUM(I120:I120)</f>
        <v>18</v>
      </c>
      <c r="J121" s="1035">
        <f>SUM(J120:J120)</f>
        <v>0</v>
      </c>
      <c r="K121" s="1035">
        <f>SUM(K120:K120)</f>
        <v>18</v>
      </c>
      <c r="L121" s="1036">
        <f>IF(COUNT(L120:L120)=0,"",SUM(L120:L120))</f>
        <v/>
      </c>
      <c r="M121" s="1036">
        <f>SUM(M120:M120)</f>
        <v>5.15081935</v>
      </c>
      <c r="N121" s="1036">
        <f>IF(ISNUMBER($L121),ROUND($M121-$L121,6),"")</f>
        <v/>
      </c>
      <c r="O121" s="1036">
        <f>SUM(O120:O120)</f>
        <v>5.15081935</v>
      </c>
    </row>
    <row r="122" ht="14.25" customHeight="1" s="535">
      <c r="B122" s="886" t="inlineStr">
        <is>
          <t>Group total</t>
        </is>
      </c>
      <c r="C122" s="886" t="n"/>
      <c r="D122" s="886" t="n"/>
      <c r="E122" s="886" t="n"/>
      <c r="F122" s="889">
        <f>""</f>
        <v/>
      </c>
      <c r="G122" s="888">
        <f>IF(COUNT(G18,G33,G42,G52,G59,G66,G75,G82,G90,G98,G103,G109,G113,G119,G121)=0,"",SUM(G18,G33,G42,G52,G59,G66,G75,G82,G90,G98,G103,G109,G113,G119,G121))</f>
        <v>321.7</v>
      </c>
      <c r="H122" s="1039">
        <f>H18+H33+H42+H52+H59+H66+H75+H82+H90+H98+H103+H109+H113+H119+H121</f>
        <v>526</v>
      </c>
      <c r="I122" s="1039">
        <f>I18+I33+I42+I52+I59+I66+I75+I82+I90+I98+I103+I109+I113+I119+I121</f>
        <v>399</v>
      </c>
      <c r="J122" s="1039">
        <f>J18+J33+J42+J52+J59+J66+J75+J82+J90+J98+J103+J109+J113+J119+J121</f>
        <v>127</v>
      </c>
      <c r="K122" s="1039">
        <f>K18+K33+K42+K52+K59+K66+K75+K82+K90+K98+K103+K109+K113+K119+K121</f>
        <v>508</v>
      </c>
      <c r="L122" s="889">
        <f>IF(COUNT(L18,L33,L42,L52,L59,L66,L75,L82,L90,L98,L103,L109,L113,L119,L121)=0,"",SUM(L18,L33,L42,L52,L59,L66,L75,L82,L90,L98,L103,L109,L113,L119,L121))</f>
        <v>82.2909330912</v>
      </c>
      <c r="M122" s="889">
        <f>M18+M33+M42+M52+M59+M66+M75+M82+M90+M98+M103+M109+M113+M119+M121</f>
        <v>114.029147297163</v>
      </c>
      <c r="N122" s="889">
        <f>""</f>
        <v/>
      </c>
      <c r="O122" s="889">
        <f>O18+O33+O42+O52+O59+O66+O75+O82+O90+O98+O103+O109+O113+O119+O121</f>
        <v>104.783052639363</v>
      </c>
    </row>
    <row r="123" ht="14.25" customHeight="1" s="535"/>
    <row r="124" ht="14.25" customHeight="1" s="535"/>
    <row r="125">
      <c r="B125" s="534" t="str">
        <f>"Cost after levers reads three ways. Here it is "&amp;TEXT($O$122,"#,##0.00;(#,##0.00)")&amp;"m, the Business Partner and Domain Architect pots left in and the cyber uplift recharge out. On 3.1 Archetype to Actuals it is "&amp;TEXT('3.1 Archetype to Actuals'!$I$21,"#,##0.00;(#,##0.00)")&amp;"m, the pots netted out of the COE lines. On 3.5 TDD Lights On it is "&amp;TEXT('3.5 TDD Lights On'!$C$23,"#,##0.00;(#,##0.00)")&amp;"m, everything in."</f>
        <v>Cost after levers reads three ways. Here it is 104.78m, the Business Partner and Domain Architect pots left in and the cyber uplift recharge out. On 3.1 Archetype to Actuals it is 101.08m, the pots netted out of the COE lines. On 3.5 TDD Lights On it is 105.28m, everything in.</v>
      </c>
    </row>
    <row r="126">
      <c r="B126" s="534" t="str">
        <f>"Variance to archetype here leaves out the portfolio overhead allowance, the Business Partner, Domain Architect and leadership share the archetype gives every portfolio, which 3.1 Archetype to Actuals and the 2.x totals carry. Ampol Retail reads "&amp;TEXT($N$18,"#,##0.00;(#,##0.00)")&amp;"m here and "&amp;TEXT('3.1 Archetype to Actuals'!$H$6,"#,##0.00;(#,##0.00)")&amp;"m on 3.1. Every squad, overhead role and funded program on the 2.x tabs is priced here; the allowance line is not a squad, so it is not."</f>
        <v>Variance to archetype here leaves out the portfolio overhead allowance, the Business Partner, Domain Architect and leadership share the archetype gives every portfolio, which 3.1 Archetype to Actuals and the 2.x totals carry. Ampol Retail reads 0.31m here and (0.35)m on 3.1. Every squad, overhead role and funded program on the 2.x tabs is priced here; the allowance line is not a squad, so it is not.</v>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1"/>
  </sheetPr>
  <dimension ref="A1:K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20" activeCellId="0" sqref="D20"/>
    </sheetView>
  </sheetViews>
  <sheetFormatPr baseColWidth="8" defaultColWidth="8.54296875" defaultRowHeight="14.25" zeroHeight="0" outlineLevelRow="0"/>
  <cols>
    <col width="2" customWidth="1" style="534" min="1" max="1"/>
    <col width="34" customWidth="1" style="534" min="2" max="2"/>
    <col width="37" customWidth="1" style="534" min="3" max="3"/>
    <col width="8" customWidth="1" style="534" min="4" max="6"/>
    <col width="13" customWidth="1" style="534" min="7" max="9"/>
    <col width="17" customWidth="1" style="534" min="10" max="10"/>
    <col width="15" customWidth="1" style="534" min="11" max="11"/>
  </cols>
  <sheetData>
    <row r="1"/>
    <row r="2" ht="21" customHeight="1" s="535">
      <c r="B2" s="536" t="inlineStr">
        <is>
          <t>COE breakdown - where the cost sits</t>
        </is>
      </c>
    </row>
    <row r="3"/>
    <row r="4" ht="18.75" customHeight="1" s="535">
      <c r="B4" s="1065" t="inlineStr">
        <is>
          <t>COE &amp; EGI</t>
        </is>
      </c>
      <c r="C4" s="538" t="n"/>
      <c r="D4" s="538" t="n"/>
      <c r="E4" s="538" t="n"/>
      <c r="F4" s="538" t="n"/>
      <c r="G4" s="538" t="n"/>
      <c r="H4" s="538" t="n"/>
      <c r="I4" s="538" t="n"/>
      <c r="J4" s="538" t="n"/>
      <c r="K4" s="538" t="n"/>
    </row>
    <row r="5" ht="48" customHeight="1" s="535">
      <c r="B5" s="877" t="inlineStr">
        <is>
          <t>COE</t>
        </is>
      </c>
      <c r="C5" s="877" t="inlineStr">
        <is>
          <t>Squad</t>
        </is>
      </c>
      <c r="D5" s="877" t="inlineStr">
        <is>
          <t>Roles</t>
        </is>
      </c>
      <c r="E5" s="877" t="inlineStr">
        <is>
          <t>Filled</t>
        </is>
      </c>
      <c r="F5" s="877" t="inlineStr">
        <is>
          <t>Vacant</t>
        </is>
      </c>
      <c r="G5" s="877" t="inlineStr">
        <is>
          <t>Cost before levers ($m)</t>
        </is>
      </c>
      <c r="H5" s="877" t="inlineStr">
        <is>
          <t>Cost before levers, AU ($m)</t>
        </is>
      </c>
      <c r="I5" s="877" t="inlineStr">
        <is>
          <t>Cost before levers, NZ ($m)</t>
        </is>
      </c>
      <c r="J5" s="877" t="inlineStr">
        <is>
          <t>Roles carrying an overhead title</t>
        </is>
      </c>
      <c r="K5" s="675" t="inlineStr">
        <is>
          <t>Cost of overhead roles before levers ($m)</t>
        </is>
      </c>
    </row>
    <row r="6" ht="14.25" customHeight="1" s="535">
      <c r="B6" s="929" t="inlineStr">
        <is>
          <t>COE Cyber</t>
        </is>
      </c>
      <c r="C6" s="929" t="inlineStr">
        <is>
          <t>Cyber GRC</t>
        </is>
      </c>
      <c r="D6" s="1031">
        <f>COUNTIFS('REVIEW - Complete Role Mapping'!$AH$2:$AH$700,$B6,'REVIEW - Complete Role Mapping'!$AL$2:$AL$700,$C6)</f>
        <v>5</v>
      </c>
      <c r="E6" s="1031">
        <f>COUNTIFS('REVIEW - Complete Role Mapping'!$AH$2:$AH$700,$B6,'REVIEW - Complete Role Mapping'!$AL$2:$AL$700,$C6,'REVIEW - Complete Role Mapping'!$AF$2:$AF$700,"Filled")</f>
        <v>5</v>
      </c>
      <c r="F6" s="1031">
        <f>COUNTIFS('REVIEW - Complete Role Mapping'!$AH$2:$AH$700,$B6,'REVIEW - Complete Role Mapping'!$AL$2:$AL$700,$C6,'REVIEW - Complete Role Mapping'!$AF$2:$AF$700,"Vacant")</f>
        <v>0</v>
      </c>
      <c r="G6" s="1032">
        <f>SUMIFS('REVIEW - Complete Role Mapping'!$AE$2:$AE$700,'REVIEW - Complete Role Mapping'!$AH$2:$AH$700,$B6,'REVIEW - Complete Role Mapping'!$AL$2:$AL$700,$C6)/1000000</f>
        <v>1.071477788</v>
      </c>
      <c r="H6" s="1032">
        <f>SUMIFS('REVIEW - Complete Role Mapping'!$AE$2:$AE$700,'REVIEW - Complete Role Mapping'!$AH$2:$AH$700,$B6,'REVIEW - Complete Role Mapping'!$AL$2:$AL$700,$C6,'REVIEW - Complete Role Mapping'!$N$2:$N$700,"&lt;&gt;NZ")/1000000</f>
        <v>0.9396446</v>
      </c>
      <c r="I6" s="1032">
        <f>SUMIFS('REVIEW - Complete Role Mapping'!$AE$2:$AE$700,'REVIEW - Complete Role Mapping'!$AH$2:$AH$700,$B6,'REVIEW - Complete Role Mapping'!$AL$2:$AL$700,$C6,'REVIEW - Complete Role Mapping'!$N$2:$N$700,"NZ")/1000000</f>
        <v>0.131833188</v>
      </c>
      <c r="J6" s="1031">
        <f>COUNTIFS('REVIEW - Complete Role Mapping'!$AH$2:$AH$700,$B6,'REVIEW - Complete Role Mapping'!$AL$2:$AL$700,$C6,'REVIEW - Complete Role Mapping'!$AK$2:$AK$700,"&lt;&gt;Squad")</f>
        <v>0</v>
      </c>
      <c r="K6" s="1032">
        <f>SUMIFS('REVIEW - Complete Role Mapping'!$AE$2:$AE$700,'REVIEW - Complete Role Mapping'!$AH$2:$AH$700,$B6,'REVIEW - Complete Role Mapping'!$AL$2:$AL$700,$C6,'REVIEW - Complete Role Mapping'!$AK$2:$AK$700,"&lt;&gt;Squad")/1000000</f>
        <v>0</v>
      </c>
    </row>
    <row r="7" ht="14.25" customHeight="1" s="535">
      <c r="B7" s="929" t="inlineStr">
        <is>
          <t>COE Cyber</t>
        </is>
      </c>
      <c r="C7" s="929" t="inlineStr">
        <is>
          <t>Cyber Risk</t>
        </is>
      </c>
      <c r="D7" s="1031">
        <f>COUNTIFS('REVIEW - Complete Role Mapping'!$AH$2:$AH$700,$B7,'REVIEW - Complete Role Mapping'!$AL$2:$AL$700,$C7)</f>
        <v>2</v>
      </c>
      <c r="E7" s="1031">
        <f>COUNTIFS('REVIEW - Complete Role Mapping'!$AH$2:$AH$700,$B7,'REVIEW - Complete Role Mapping'!$AL$2:$AL$700,$C7,'REVIEW - Complete Role Mapping'!$AF$2:$AF$700,"Filled")</f>
        <v>2</v>
      </c>
      <c r="F7" s="1031">
        <f>COUNTIFS('REVIEW - Complete Role Mapping'!$AH$2:$AH$700,$B7,'REVIEW - Complete Role Mapping'!$AL$2:$AL$700,$C7,'REVIEW - Complete Role Mapping'!$AF$2:$AF$700,"Vacant")</f>
        <v>0</v>
      </c>
      <c r="G7" s="1032">
        <f>SUMIFS('REVIEW - Complete Role Mapping'!$AE$2:$AE$700,'REVIEW - Complete Role Mapping'!$AH$2:$AH$700,$B7,'REVIEW - Complete Role Mapping'!$AL$2:$AL$700,$C7)/1000000</f>
        <v>0.475558232</v>
      </c>
      <c r="H7" s="1032">
        <f>SUMIFS('REVIEW - Complete Role Mapping'!$AE$2:$AE$700,'REVIEW - Complete Role Mapping'!$AH$2:$AH$700,$B7,'REVIEW - Complete Role Mapping'!$AL$2:$AL$700,$C7,'REVIEW - Complete Role Mapping'!$N$2:$N$700,"&lt;&gt;NZ")/1000000</f>
        <v>0.2870432</v>
      </c>
      <c r="I7" s="1032">
        <f>SUMIFS('REVIEW - Complete Role Mapping'!$AE$2:$AE$700,'REVIEW - Complete Role Mapping'!$AH$2:$AH$700,$B7,'REVIEW - Complete Role Mapping'!$AL$2:$AL$700,$C7,'REVIEW - Complete Role Mapping'!$N$2:$N$700,"NZ")/1000000</f>
        <v>0.188515032</v>
      </c>
      <c r="J7" s="1031">
        <f>COUNTIFS('REVIEW - Complete Role Mapping'!$AH$2:$AH$700,$B7,'REVIEW - Complete Role Mapping'!$AL$2:$AL$700,$C7,'REVIEW - Complete Role Mapping'!$AK$2:$AK$700,"&lt;&gt;Squad")</f>
        <v>0</v>
      </c>
      <c r="K7" s="1032">
        <f>SUMIFS('REVIEW - Complete Role Mapping'!$AE$2:$AE$700,'REVIEW - Complete Role Mapping'!$AH$2:$AH$700,$B7,'REVIEW - Complete Role Mapping'!$AL$2:$AL$700,$C7,'REVIEW - Complete Role Mapping'!$AK$2:$AK$700,"&lt;&gt;Squad")/1000000</f>
        <v>0</v>
      </c>
    </row>
    <row r="8" ht="14.25" customHeight="1" s="535">
      <c r="B8" s="929" t="inlineStr">
        <is>
          <t>COE Cyber</t>
        </is>
      </c>
      <c r="C8" s="929" t="inlineStr">
        <is>
          <t>Cyber Sec Ops</t>
        </is>
      </c>
      <c r="D8" s="1031">
        <f>COUNTIFS('REVIEW - Complete Role Mapping'!$AH$2:$AH$700,$B8,'REVIEW - Complete Role Mapping'!$AL$2:$AL$700,$C8)</f>
        <v>5</v>
      </c>
      <c r="E8" s="1031">
        <f>COUNTIFS('REVIEW - Complete Role Mapping'!$AH$2:$AH$700,$B8,'REVIEW - Complete Role Mapping'!$AL$2:$AL$700,$C8,'REVIEW - Complete Role Mapping'!$AF$2:$AF$700,"Filled")</f>
        <v>5</v>
      </c>
      <c r="F8" s="1031">
        <f>COUNTIFS('REVIEW - Complete Role Mapping'!$AH$2:$AH$700,$B8,'REVIEW - Complete Role Mapping'!$AL$2:$AL$700,$C8,'REVIEW - Complete Role Mapping'!$AF$2:$AF$700,"Vacant")</f>
        <v>0</v>
      </c>
      <c r="G8" s="1032">
        <f>SUMIFS('REVIEW - Complete Role Mapping'!$AE$2:$AE$700,'REVIEW - Complete Role Mapping'!$AH$2:$AH$700,$B8,'REVIEW - Complete Role Mapping'!$AL$2:$AL$700,$C8)/1000000</f>
        <v>1.0820293312</v>
      </c>
      <c r="H8" s="1032">
        <f>SUMIFS('REVIEW - Complete Role Mapping'!$AE$2:$AE$700,'REVIEW - Complete Role Mapping'!$AH$2:$AH$700,$B8,'REVIEW - Complete Role Mapping'!$AL$2:$AL$700,$C8,'REVIEW - Complete Role Mapping'!$N$2:$N$700,"&lt;&gt;NZ")/1000000</f>
        <v>0.7509109</v>
      </c>
      <c r="I8" s="1032">
        <f>SUMIFS('REVIEW - Complete Role Mapping'!$AE$2:$AE$700,'REVIEW - Complete Role Mapping'!$AH$2:$AH$700,$B8,'REVIEW - Complete Role Mapping'!$AL$2:$AL$700,$C8,'REVIEW - Complete Role Mapping'!$N$2:$N$700,"NZ")/1000000</f>
        <v>0.3311184312</v>
      </c>
      <c r="J8" s="1031">
        <f>COUNTIFS('REVIEW - Complete Role Mapping'!$AH$2:$AH$700,$B8,'REVIEW - Complete Role Mapping'!$AL$2:$AL$700,$C8,'REVIEW - Complete Role Mapping'!$AK$2:$AK$700,"&lt;&gt;Squad")</f>
        <v>0</v>
      </c>
      <c r="K8" s="1032">
        <f>SUMIFS('REVIEW - Complete Role Mapping'!$AE$2:$AE$700,'REVIEW - Complete Role Mapping'!$AH$2:$AH$700,$B8,'REVIEW - Complete Role Mapping'!$AL$2:$AL$700,$C8,'REVIEW - Complete Role Mapping'!$AK$2:$AK$700,"&lt;&gt;Squad")/1000000</f>
        <v>0</v>
      </c>
    </row>
    <row r="9" ht="14.25" customHeight="1" s="535">
      <c r="B9" s="929" t="inlineStr">
        <is>
          <t>COE Cyber</t>
        </is>
      </c>
      <c r="C9" s="929" t="inlineStr">
        <is>
          <t>Cyber Strat &amp; Tech</t>
        </is>
      </c>
      <c r="D9" s="1031">
        <f>COUNTIFS('REVIEW - Complete Role Mapping'!$AH$2:$AH$700,$B9,'REVIEW - Complete Role Mapping'!$AL$2:$AL$700,$C9)</f>
        <v>4</v>
      </c>
      <c r="E9" s="1031">
        <f>COUNTIFS('REVIEW - Complete Role Mapping'!$AH$2:$AH$700,$B9,'REVIEW - Complete Role Mapping'!$AL$2:$AL$700,$C9,'REVIEW - Complete Role Mapping'!$AF$2:$AF$700,"Filled")</f>
        <v>4</v>
      </c>
      <c r="F9" s="1031">
        <f>COUNTIFS('REVIEW - Complete Role Mapping'!$AH$2:$AH$700,$B9,'REVIEW - Complete Role Mapping'!$AL$2:$AL$700,$C9,'REVIEW - Complete Role Mapping'!$AF$2:$AF$700,"Vacant")</f>
        <v>0</v>
      </c>
      <c r="G9" s="1032">
        <f>SUMIFS('REVIEW - Complete Role Mapping'!$AE$2:$AE$700,'REVIEW - Complete Role Mapping'!$AH$2:$AH$700,$B9,'REVIEW - Complete Role Mapping'!$AL$2:$AL$700,$C9)/1000000</f>
        <v>1.17756685</v>
      </c>
      <c r="H9" s="1032">
        <f>SUMIFS('REVIEW - Complete Role Mapping'!$AE$2:$AE$700,'REVIEW - Complete Role Mapping'!$AH$2:$AH$700,$B9,'REVIEW - Complete Role Mapping'!$AL$2:$AL$700,$C9,'REVIEW - Complete Role Mapping'!$N$2:$N$700,"&lt;&gt;NZ")/1000000</f>
        <v>1.17756685</v>
      </c>
      <c r="I9" s="1032">
        <f>SUMIFS('REVIEW - Complete Role Mapping'!$AE$2:$AE$700,'REVIEW - Complete Role Mapping'!$AH$2:$AH$700,$B9,'REVIEW - Complete Role Mapping'!$AL$2:$AL$700,$C9,'REVIEW - Complete Role Mapping'!$N$2:$N$700,"NZ")/1000000</f>
        <v>0</v>
      </c>
      <c r="J9" s="1031">
        <f>COUNTIFS('REVIEW - Complete Role Mapping'!$AH$2:$AH$700,$B9,'REVIEW - Complete Role Mapping'!$AL$2:$AL$700,$C9,'REVIEW - Complete Role Mapping'!$AK$2:$AK$700,"&lt;&gt;Squad")</f>
        <v>1</v>
      </c>
      <c r="K9" s="1032">
        <f>SUMIFS('REVIEW - Complete Role Mapping'!$AE$2:$AE$700,'REVIEW - Complete Role Mapping'!$AH$2:$AH$700,$B9,'REVIEW - Complete Role Mapping'!$AL$2:$AL$700,$C9,'REVIEW - Complete Role Mapping'!$AK$2:$AK$700,"&lt;&gt;Squad")/1000000</f>
        <v>0.3825877</v>
      </c>
    </row>
    <row r="10" ht="14.25" customHeight="1" s="535">
      <c r="B10" s="929" t="inlineStr">
        <is>
          <t>COE Cyber</t>
        </is>
      </c>
      <c r="C10" s="929" t="inlineStr">
        <is>
          <t>Service Op &amp; Assurance</t>
        </is>
      </c>
      <c r="D10" s="1031">
        <f>COUNTIFS('REVIEW - Complete Role Mapping'!$AH$2:$AH$700,$B10,'REVIEW - Complete Role Mapping'!$AL$2:$AL$700,$C10)</f>
        <v>21</v>
      </c>
      <c r="E10" s="1031">
        <f>COUNTIFS('REVIEW - Complete Role Mapping'!$AH$2:$AH$700,$B10,'REVIEW - Complete Role Mapping'!$AL$2:$AL$700,$C10,'REVIEW - Complete Role Mapping'!$AF$2:$AF$700,"Filled")</f>
        <v>17</v>
      </c>
      <c r="F10" s="1031">
        <f>COUNTIFS('REVIEW - Complete Role Mapping'!$AH$2:$AH$700,$B10,'REVIEW - Complete Role Mapping'!$AL$2:$AL$700,$C10,'REVIEW - Complete Role Mapping'!$AF$2:$AF$700,"Vacant")</f>
        <v>4</v>
      </c>
      <c r="G10" s="1032">
        <f>SUMIFS('REVIEW - Complete Role Mapping'!$AE$2:$AE$700,'REVIEW - Complete Role Mapping'!$AH$2:$AH$700,$B10,'REVIEW - Complete Role Mapping'!$AL$2:$AL$700,$C10)/1000000</f>
        <v>3.92346938</v>
      </c>
      <c r="H10" s="1032">
        <f>SUMIFS('REVIEW - Complete Role Mapping'!$AE$2:$AE$700,'REVIEW - Complete Role Mapping'!$AH$2:$AH$700,$B10,'REVIEW - Complete Role Mapping'!$AL$2:$AL$700,$C10,'REVIEW - Complete Role Mapping'!$N$2:$N$700,"&lt;&gt;NZ")/1000000</f>
        <v>3.5464988</v>
      </c>
      <c r="I10" s="1032">
        <f>SUMIFS('REVIEW - Complete Role Mapping'!$AE$2:$AE$700,'REVIEW - Complete Role Mapping'!$AH$2:$AH$700,$B10,'REVIEW - Complete Role Mapping'!$AL$2:$AL$700,$C10,'REVIEW - Complete Role Mapping'!$N$2:$N$700,"NZ")/1000000</f>
        <v>0.37697058</v>
      </c>
      <c r="J10" s="1031">
        <f>COUNTIFS('REVIEW - Complete Role Mapping'!$AH$2:$AH$700,$B10,'REVIEW - Complete Role Mapping'!$AL$2:$AL$700,$C10,'REVIEW - Complete Role Mapping'!$AK$2:$AK$700,"&lt;&gt;Squad")</f>
        <v>1</v>
      </c>
      <c r="K10" s="1032">
        <f>SUMIFS('REVIEW - Complete Role Mapping'!$AE$2:$AE$700,'REVIEW - Complete Role Mapping'!$AH$2:$AH$700,$B10,'REVIEW - Complete Role Mapping'!$AL$2:$AL$700,$C10,'REVIEW - Complete Role Mapping'!$AK$2:$AK$700,"&lt;&gt;Squad")/1000000</f>
        <v>0.4006714</v>
      </c>
    </row>
    <row r="11" ht="14.25" customHeight="1" s="535">
      <c r="B11" s="1033" t="inlineStr">
        <is>
          <t>Cyber, Risk &amp; Service Operations total</t>
        </is>
      </c>
      <c r="C11" s="1033" t="n"/>
      <c r="D11" s="1035">
        <f>SUM(D6:D10)</f>
        <v>37</v>
      </c>
      <c r="E11" s="1035">
        <f>SUM(E6:E10)</f>
        <v>33</v>
      </c>
      <c r="F11" s="1035">
        <f>SUM(F6:F10)</f>
        <v>4</v>
      </c>
      <c r="G11" s="1036">
        <f>SUM(G6:G10)</f>
        <v>7.7301015812</v>
      </c>
      <c r="H11" s="1036">
        <f>SUM(H6:H10)</f>
        <v>6.70166435</v>
      </c>
      <c r="I11" s="1036">
        <f>SUM(I6:I10)</f>
        <v>1.0284372312</v>
      </c>
      <c r="J11" s="1035">
        <f>SUM(J6:J10)</f>
        <v>2</v>
      </c>
      <c r="K11" s="1036">
        <f>SUM(K6:K10)</f>
        <v>0.7832591</v>
      </c>
    </row>
    <row r="12" ht="14.25" customHeight="1" s="535">
      <c r="B12" s="929" t="inlineStr">
        <is>
          <t>COE BP&amp;T</t>
        </is>
      </c>
      <c r="C12" s="929" t="inlineStr">
        <is>
          <t>Commercial</t>
        </is>
      </c>
      <c r="D12" s="1031">
        <f>COUNTIFS('REVIEW - Complete Role Mapping'!$AH$2:$AH$700,$B12,'REVIEW - Complete Role Mapping'!$AL$2:$AL$700,$C12)</f>
        <v>4</v>
      </c>
      <c r="E12" s="1031">
        <f>COUNTIFS('REVIEW - Complete Role Mapping'!$AH$2:$AH$700,$B12,'REVIEW - Complete Role Mapping'!$AL$2:$AL$700,$C12,'REVIEW - Complete Role Mapping'!$AF$2:$AF$700,"Filled")</f>
        <v>3</v>
      </c>
      <c r="F12" s="1031">
        <f>COUNTIFS('REVIEW - Complete Role Mapping'!$AH$2:$AH$700,$B12,'REVIEW - Complete Role Mapping'!$AL$2:$AL$700,$C12,'REVIEW - Complete Role Mapping'!$AF$2:$AF$700,"Vacant")</f>
        <v>1</v>
      </c>
      <c r="G12" s="1032">
        <f>SUMIFS('REVIEW - Complete Role Mapping'!$AE$2:$AE$700,'REVIEW - Complete Role Mapping'!$AH$2:$AH$700,$B12,'REVIEW - Complete Role Mapping'!$AL$2:$AL$700,$C12)/1000000</f>
        <v>0.979014192</v>
      </c>
      <c r="H12" s="1032">
        <f>SUMIFS('REVIEW - Complete Role Mapping'!$AE$2:$AE$700,'REVIEW - Complete Role Mapping'!$AH$2:$AH$700,$B12,'REVIEW - Complete Role Mapping'!$AL$2:$AL$700,$C12,'REVIEW - Complete Role Mapping'!$N$2:$N$700,"&lt;&gt;NZ")/1000000</f>
        <v>0.8280117</v>
      </c>
      <c r="I12" s="1032">
        <f>SUMIFS('REVIEW - Complete Role Mapping'!$AE$2:$AE$700,'REVIEW - Complete Role Mapping'!$AH$2:$AH$700,$B12,'REVIEW - Complete Role Mapping'!$AL$2:$AL$700,$C12,'REVIEW - Complete Role Mapping'!$N$2:$N$700,"NZ")/1000000</f>
        <v>0.151002492</v>
      </c>
      <c r="J12" s="1031">
        <f>COUNTIFS('REVIEW - Complete Role Mapping'!$AH$2:$AH$700,$B12,'REVIEW - Complete Role Mapping'!$AL$2:$AL$700,$C12,'REVIEW - Complete Role Mapping'!$AK$2:$AK$700,"&lt;&gt;Squad")</f>
        <v>0</v>
      </c>
      <c r="K12" s="1032">
        <f>SUMIFS('REVIEW - Complete Role Mapping'!$AE$2:$AE$700,'REVIEW - Complete Role Mapping'!$AH$2:$AH$700,$B12,'REVIEW - Complete Role Mapping'!$AL$2:$AL$700,$C12,'REVIEW - Complete Role Mapping'!$AK$2:$AK$700,"&lt;&gt;Squad")/1000000</f>
        <v>0</v>
      </c>
    </row>
    <row r="13" ht="14.25" customHeight="1" s="535">
      <c r="B13" s="929" t="inlineStr">
        <is>
          <t>COE BP&amp;T</t>
        </is>
      </c>
      <c r="C13" s="929" t="inlineStr">
        <is>
          <t>TDD Business Partner</t>
        </is>
      </c>
      <c r="D13" s="1031">
        <f>COUNTIFS('REVIEW - Complete Role Mapping'!$AH$2:$AH$700,$B13,'REVIEW - Complete Role Mapping'!$AL$2:$AL$700,$C13)</f>
        <v>6</v>
      </c>
      <c r="E13" s="1031">
        <f>COUNTIFS('REVIEW - Complete Role Mapping'!$AH$2:$AH$700,$B13,'REVIEW - Complete Role Mapping'!$AL$2:$AL$700,$C13,'REVIEW - Complete Role Mapping'!$AF$2:$AF$700,"Filled")</f>
        <v>6</v>
      </c>
      <c r="F13" s="1031">
        <f>COUNTIFS('REVIEW - Complete Role Mapping'!$AH$2:$AH$700,$B13,'REVIEW - Complete Role Mapping'!$AL$2:$AL$700,$C13,'REVIEW - Complete Role Mapping'!$AF$2:$AF$700,"Vacant")</f>
        <v>0</v>
      </c>
      <c r="G13" s="1032">
        <f>SUMIFS('REVIEW - Complete Role Mapping'!$AE$2:$AE$700,'REVIEW - Complete Role Mapping'!$AH$2:$AH$700,$B13,'REVIEW - Complete Role Mapping'!$AL$2:$AL$700,$C13)/1000000</f>
        <v>2.3135484</v>
      </c>
      <c r="H13" s="1032">
        <f>SUMIFS('REVIEW - Complete Role Mapping'!$AE$2:$AE$700,'REVIEW - Complete Role Mapping'!$AH$2:$AH$700,$B13,'REVIEW - Complete Role Mapping'!$AL$2:$AL$700,$C13,'REVIEW - Complete Role Mapping'!$N$2:$N$700,"&lt;&gt;NZ")/1000000</f>
        <v>2.0221264</v>
      </c>
      <c r="I13" s="1032">
        <f>SUMIFS('REVIEW - Complete Role Mapping'!$AE$2:$AE$700,'REVIEW - Complete Role Mapping'!$AH$2:$AH$700,$B13,'REVIEW - Complete Role Mapping'!$AL$2:$AL$700,$C13,'REVIEW - Complete Role Mapping'!$N$2:$N$700,"NZ")/1000000</f>
        <v>0.291422</v>
      </c>
      <c r="J13" s="1031">
        <f>COUNTIFS('REVIEW - Complete Role Mapping'!$AH$2:$AH$700,$B13,'REVIEW - Complete Role Mapping'!$AL$2:$AL$700,$C13,'REVIEW - Complete Role Mapping'!$AK$2:$AK$700,"&lt;&gt;Squad")</f>
        <v>6</v>
      </c>
      <c r="K13" s="1032">
        <f>SUMIFS('REVIEW - Complete Role Mapping'!$AE$2:$AE$700,'REVIEW - Complete Role Mapping'!$AH$2:$AH$700,$B13,'REVIEW - Complete Role Mapping'!$AL$2:$AL$700,$C13,'REVIEW - Complete Role Mapping'!$AK$2:$AK$700,"&lt;&gt;Squad")/1000000</f>
        <v>2.3135484</v>
      </c>
    </row>
    <row r="14" ht="14.25" customHeight="1" s="535">
      <c r="B14" s="929" t="inlineStr">
        <is>
          <t>COE BP&amp;T</t>
        </is>
      </c>
      <c r="C14" s="929" t="inlineStr">
        <is>
          <t>Transformation</t>
        </is>
      </c>
      <c r="D14" s="1031">
        <f>COUNTIFS('REVIEW - Complete Role Mapping'!$AH$2:$AH$700,$B14,'REVIEW - Complete Role Mapping'!$AL$2:$AL$700,$C14)</f>
        <v>14</v>
      </c>
      <c r="E14" s="1031">
        <f>COUNTIFS('REVIEW - Complete Role Mapping'!$AH$2:$AH$700,$B14,'REVIEW - Complete Role Mapping'!$AL$2:$AL$700,$C14,'REVIEW - Complete Role Mapping'!$AF$2:$AF$700,"Filled")</f>
        <v>7</v>
      </c>
      <c r="F14" s="1031">
        <f>COUNTIFS('REVIEW - Complete Role Mapping'!$AH$2:$AH$700,$B14,'REVIEW - Complete Role Mapping'!$AL$2:$AL$700,$C14,'REVIEW - Complete Role Mapping'!$AF$2:$AF$700,"Vacant")</f>
        <v>7</v>
      </c>
      <c r="G14" s="1032">
        <f>SUMIFS('REVIEW - Complete Role Mapping'!$AE$2:$AE$700,'REVIEW - Complete Role Mapping'!$AH$2:$AH$700,$B14,'REVIEW - Complete Role Mapping'!$AL$2:$AL$700,$C14)/1000000</f>
        <v>3.10799923</v>
      </c>
      <c r="H14" s="1032">
        <f>SUMIFS('REVIEW - Complete Role Mapping'!$AE$2:$AE$700,'REVIEW - Complete Role Mapping'!$AH$2:$AH$700,$B14,'REVIEW - Complete Role Mapping'!$AL$2:$AL$700,$C14,'REVIEW - Complete Role Mapping'!$N$2:$N$700,"&lt;&gt;NZ")/1000000</f>
        <v>2.80847245</v>
      </c>
      <c r="I14" s="1032">
        <f>SUMIFS('REVIEW - Complete Role Mapping'!$AE$2:$AE$700,'REVIEW - Complete Role Mapping'!$AH$2:$AH$700,$B14,'REVIEW - Complete Role Mapping'!$AL$2:$AL$700,$C14,'REVIEW - Complete Role Mapping'!$N$2:$N$700,"NZ")/1000000</f>
        <v>0.29952678</v>
      </c>
      <c r="J14" s="1031">
        <f>COUNTIFS('REVIEW - Complete Role Mapping'!$AH$2:$AH$700,$B14,'REVIEW - Complete Role Mapping'!$AL$2:$AL$700,$C14,'REVIEW - Complete Role Mapping'!$AK$2:$AK$700,"&lt;&gt;Squad")</f>
        <v>3</v>
      </c>
      <c r="K14" s="1032">
        <f>SUMIFS('REVIEW - Complete Role Mapping'!$AE$2:$AE$700,'REVIEW - Complete Role Mapping'!$AH$2:$AH$700,$B14,'REVIEW - Complete Role Mapping'!$AL$2:$AL$700,$C14,'REVIEW - Complete Role Mapping'!$AK$2:$AK$700,"&lt;&gt;Squad")/1000000</f>
        <v>0.9195205</v>
      </c>
    </row>
    <row r="15" ht="14.25" customHeight="1" s="535">
      <c r="B15" s="1033" t="inlineStr">
        <is>
          <t>COE BP&amp;T total</t>
        </is>
      </c>
      <c r="C15" s="1033" t="n"/>
      <c r="D15" s="1035">
        <f>SUM(D12:D14)</f>
        <v>24</v>
      </c>
      <c r="E15" s="1035">
        <f>SUM(E12:E14)</f>
        <v>16</v>
      </c>
      <c r="F15" s="1035">
        <f>SUM(F12:F14)</f>
        <v>8</v>
      </c>
      <c r="G15" s="1036">
        <f>SUM(G12:G14)</f>
        <v>6.400561822</v>
      </c>
      <c r="H15" s="1036">
        <f>SUM(H12:H14)</f>
        <v>5.65861055</v>
      </c>
      <c r="I15" s="1036">
        <f>SUM(I12:I14)</f>
        <v>0.741951272</v>
      </c>
      <c r="J15" s="1035">
        <f>SUM(J12:J14)</f>
        <v>9</v>
      </c>
      <c r="K15" s="1036">
        <f>SUM(K12:K14)</f>
        <v>3.2330689</v>
      </c>
    </row>
    <row r="16" ht="14.25" customHeight="1" s="535">
      <c r="B16" s="929" t="inlineStr">
        <is>
          <t>COE SA&amp;D</t>
        </is>
      </c>
      <c r="C16" s="929" t="inlineStr">
        <is>
          <t>Architecture</t>
        </is>
      </c>
      <c r="D16" s="1031">
        <f>COUNTIFS('REVIEW - Complete Role Mapping'!$AH$2:$AH$700,$B16,'REVIEW - Complete Role Mapping'!$AL$2:$AL$700,$C16)</f>
        <v>7</v>
      </c>
      <c r="E16" s="1031">
        <f>COUNTIFS('REVIEW - Complete Role Mapping'!$AH$2:$AH$700,$B16,'REVIEW - Complete Role Mapping'!$AL$2:$AL$700,$C16,'REVIEW - Complete Role Mapping'!$AF$2:$AF$700,"Filled")</f>
        <v>3</v>
      </c>
      <c r="F16" s="1031">
        <f>COUNTIFS('REVIEW - Complete Role Mapping'!$AH$2:$AH$700,$B16,'REVIEW - Complete Role Mapping'!$AL$2:$AL$700,$C16,'REVIEW - Complete Role Mapping'!$AF$2:$AF$700,"Vacant")</f>
        <v>4</v>
      </c>
      <c r="G16" s="1032">
        <f>SUMIFS('REVIEW - Complete Role Mapping'!$AE$2:$AE$700,'REVIEW - Complete Role Mapping'!$AH$2:$AH$700,$B16,'REVIEW - Complete Role Mapping'!$AL$2:$AL$700,$C16)/1000000</f>
        <v>1.664746536</v>
      </c>
      <c r="H16" s="1032">
        <f>SUMIFS('REVIEW - Complete Role Mapping'!$AE$2:$AE$700,'REVIEW - Complete Role Mapping'!$AH$2:$AH$700,$B16,'REVIEW - Complete Role Mapping'!$AL$2:$AL$700,$C16,'REVIEW - Complete Role Mapping'!$N$2:$N$700,"&lt;&gt;NZ")/1000000</f>
        <v>0.970878</v>
      </c>
      <c r="I16" s="1032">
        <f>SUMIFS('REVIEW - Complete Role Mapping'!$AE$2:$AE$700,'REVIEW - Complete Role Mapping'!$AH$2:$AH$700,$B16,'REVIEW - Complete Role Mapping'!$AL$2:$AL$700,$C16,'REVIEW - Complete Role Mapping'!$N$2:$N$700,"NZ")/1000000</f>
        <v>0.693868536</v>
      </c>
      <c r="J16" s="1031">
        <f>COUNTIFS('REVIEW - Complete Role Mapping'!$AH$2:$AH$700,$B16,'REVIEW - Complete Role Mapping'!$AL$2:$AL$700,$C16,'REVIEW - Complete Role Mapping'!$AK$2:$AK$700,"&lt;&gt;Squad")</f>
        <v>7</v>
      </c>
      <c r="K16" s="1032">
        <f>SUMIFS('REVIEW - Complete Role Mapping'!$AE$2:$AE$700,'REVIEW - Complete Role Mapping'!$AH$2:$AH$700,$B16,'REVIEW - Complete Role Mapping'!$AL$2:$AL$700,$C16,'REVIEW - Complete Role Mapping'!$AK$2:$AK$700,"&lt;&gt;Squad")/1000000</f>
        <v>1.664746536</v>
      </c>
    </row>
    <row r="17" ht="14.25" customHeight="1" s="535">
      <c r="B17" s="929" t="inlineStr">
        <is>
          <t>COE SA&amp;D</t>
        </is>
      </c>
      <c r="C17" s="929" t="inlineStr">
        <is>
          <t>Data Platforms</t>
        </is>
      </c>
      <c r="D17" s="1031">
        <f>COUNTIFS('REVIEW - Complete Role Mapping'!$AH$2:$AH$700,$B17,'REVIEW - Complete Role Mapping'!$AL$2:$AL$700,$C17)</f>
        <v>1</v>
      </c>
      <c r="E17" s="1031">
        <f>COUNTIFS('REVIEW - Complete Role Mapping'!$AH$2:$AH$700,$B17,'REVIEW - Complete Role Mapping'!$AL$2:$AL$700,$C17,'REVIEW - Complete Role Mapping'!$AF$2:$AF$700,"Filled")</f>
        <v>1</v>
      </c>
      <c r="F17" s="1031">
        <f>COUNTIFS('REVIEW - Complete Role Mapping'!$AH$2:$AH$700,$B17,'REVIEW - Complete Role Mapping'!$AL$2:$AL$700,$C17,'REVIEW - Complete Role Mapping'!$AF$2:$AF$700,"Vacant")</f>
        <v>0</v>
      </c>
      <c r="G17" s="1032">
        <f>SUMIFS('REVIEW - Complete Role Mapping'!$AE$2:$AE$700,'REVIEW - Complete Role Mapping'!$AH$2:$AH$700,$B17,'REVIEW - Complete Role Mapping'!$AL$2:$AL$700,$C17)/1000000</f>
        <v>0.2655849</v>
      </c>
      <c r="H17" s="1032">
        <f>SUMIFS('REVIEW - Complete Role Mapping'!$AE$2:$AE$700,'REVIEW - Complete Role Mapping'!$AH$2:$AH$700,$B17,'REVIEW - Complete Role Mapping'!$AL$2:$AL$700,$C17,'REVIEW - Complete Role Mapping'!$N$2:$N$700,"&lt;&gt;NZ")/1000000</f>
        <v>0.2655849</v>
      </c>
      <c r="I17" s="1032">
        <f>SUMIFS('REVIEW - Complete Role Mapping'!$AE$2:$AE$700,'REVIEW - Complete Role Mapping'!$AH$2:$AH$700,$B17,'REVIEW - Complete Role Mapping'!$AL$2:$AL$700,$C17,'REVIEW - Complete Role Mapping'!$N$2:$N$700,"NZ")/1000000</f>
        <v>0</v>
      </c>
      <c r="J17" s="1031">
        <f>COUNTIFS('REVIEW - Complete Role Mapping'!$AH$2:$AH$700,$B17,'REVIEW - Complete Role Mapping'!$AL$2:$AL$700,$C17,'REVIEW - Complete Role Mapping'!$AK$2:$AK$700,"&lt;&gt;Squad")</f>
        <v>0</v>
      </c>
      <c r="K17" s="1032">
        <f>SUMIFS('REVIEW - Complete Role Mapping'!$AE$2:$AE$700,'REVIEW - Complete Role Mapping'!$AH$2:$AH$700,$B17,'REVIEW - Complete Role Mapping'!$AL$2:$AL$700,$C17,'REVIEW - Complete Role Mapping'!$AK$2:$AK$700,"&lt;&gt;Squad")/1000000</f>
        <v>0</v>
      </c>
    </row>
    <row r="18" ht="14.25" customHeight="1" s="535">
      <c r="B18" s="929" t="inlineStr">
        <is>
          <t>COE SA&amp;D</t>
        </is>
      </c>
      <c r="C18" s="929" t="inlineStr">
        <is>
          <t>Group Data</t>
        </is>
      </c>
      <c r="D18" s="1031">
        <f>COUNTIFS('REVIEW - Complete Role Mapping'!$AH$2:$AH$700,$B18,'REVIEW - Complete Role Mapping'!$AL$2:$AL$700,$C18)</f>
        <v>6</v>
      </c>
      <c r="E18" s="1031">
        <f>COUNTIFS('REVIEW - Complete Role Mapping'!$AH$2:$AH$700,$B18,'REVIEW - Complete Role Mapping'!$AL$2:$AL$700,$C18,'REVIEW - Complete Role Mapping'!$AF$2:$AF$700,"Filled")</f>
        <v>5</v>
      </c>
      <c r="F18" s="1031">
        <f>COUNTIFS('REVIEW - Complete Role Mapping'!$AH$2:$AH$700,$B18,'REVIEW - Complete Role Mapping'!$AL$2:$AL$700,$C18,'REVIEW - Complete Role Mapping'!$AF$2:$AF$700,"Vacant")</f>
        <v>1</v>
      </c>
      <c r="G18" s="1032">
        <f>SUMIFS('REVIEW - Complete Role Mapping'!$AE$2:$AE$700,'REVIEW - Complete Role Mapping'!$AH$2:$AH$700,$B18,'REVIEW - Complete Role Mapping'!$AL$2:$AL$700,$C18)/1000000</f>
        <v>1.557396016</v>
      </c>
      <c r="H18" s="1032">
        <f>SUMIFS('REVIEW - Complete Role Mapping'!$AE$2:$AE$700,'REVIEW - Complete Role Mapping'!$AH$2:$AH$700,$B18,'REVIEW - Complete Role Mapping'!$AL$2:$AL$700,$C18,'REVIEW - Complete Role Mapping'!$N$2:$N$700,"&lt;&gt;NZ")/1000000</f>
        <v>1.4076496</v>
      </c>
      <c r="I18" s="1032">
        <f>SUMIFS('REVIEW - Complete Role Mapping'!$AE$2:$AE$700,'REVIEW - Complete Role Mapping'!$AH$2:$AH$700,$B18,'REVIEW - Complete Role Mapping'!$AL$2:$AL$700,$C18,'REVIEW - Complete Role Mapping'!$N$2:$N$700,"NZ")/1000000</f>
        <v>0.149746416</v>
      </c>
      <c r="J18" s="1031">
        <f>COUNTIFS('REVIEW - Complete Role Mapping'!$AH$2:$AH$700,$B18,'REVIEW - Complete Role Mapping'!$AL$2:$AL$700,$C18,'REVIEW - Complete Role Mapping'!$AK$2:$AK$700,"&lt;&gt;Squad")</f>
        <v>0</v>
      </c>
      <c r="K18" s="1032">
        <f>SUMIFS('REVIEW - Complete Role Mapping'!$AE$2:$AE$700,'REVIEW - Complete Role Mapping'!$AH$2:$AH$700,$B18,'REVIEW - Complete Role Mapping'!$AL$2:$AL$700,$C18,'REVIEW - Complete Role Mapping'!$AK$2:$AK$700,"&lt;&gt;Squad")/1000000</f>
        <v>0</v>
      </c>
    </row>
    <row r="19" ht="14.25" customHeight="1" s="535">
      <c r="B19" s="929" t="inlineStr">
        <is>
          <t>COE SA&amp;D</t>
        </is>
      </c>
      <c r="C19" s="929" t="inlineStr">
        <is>
          <t>Leadership</t>
        </is>
      </c>
      <c r="D19" s="1031">
        <f>COUNTIFS('REVIEW - Complete Role Mapping'!$AH$2:$AH$700,$B19,'REVIEW - Complete Role Mapping'!$AL$2:$AL$700,$C19)</f>
        <v>4</v>
      </c>
      <c r="E19" s="1031">
        <f>COUNTIFS('REVIEW - Complete Role Mapping'!$AH$2:$AH$700,$B19,'REVIEW - Complete Role Mapping'!$AL$2:$AL$700,$C19,'REVIEW - Complete Role Mapping'!$AF$2:$AF$700,"Filled")</f>
        <v>1</v>
      </c>
      <c r="F19" s="1031">
        <f>COUNTIFS('REVIEW - Complete Role Mapping'!$AH$2:$AH$700,$B19,'REVIEW - Complete Role Mapping'!$AL$2:$AL$700,$C19,'REVIEW - Complete Role Mapping'!$AF$2:$AF$700,"Vacant")</f>
        <v>3</v>
      </c>
      <c r="G19" s="1032">
        <f>SUMIFS('REVIEW - Complete Role Mapping'!$AE$2:$AE$700,'REVIEW - Complete Role Mapping'!$AH$2:$AH$700,$B19,'REVIEW - Complete Role Mapping'!$AL$2:$AL$700,$C19)/1000000</f>
        <v>1.2239818</v>
      </c>
      <c r="H19" s="1032">
        <f>SUMIFS('REVIEW - Complete Role Mapping'!$AE$2:$AE$700,'REVIEW - Complete Role Mapping'!$AH$2:$AH$700,$B19,'REVIEW - Complete Role Mapping'!$AL$2:$AL$700,$C19,'REVIEW - Complete Role Mapping'!$N$2:$N$700,"&lt;&gt;NZ")/1000000</f>
        <v>1.2239818</v>
      </c>
      <c r="I19" s="1032">
        <f>SUMIFS('REVIEW - Complete Role Mapping'!$AE$2:$AE$700,'REVIEW - Complete Role Mapping'!$AH$2:$AH$700,$B19,'REVIEW - Complete Role Mapping'!$AL$2:$AL$700,$C19,'REVIEW - Complete Role Mapping'!$N$2:$N$700,"NZ")/1000000</f>
        <v>0</v>
      </c>
      <c r="J19" s="1031">
        <f>COUNTIFS('REVIEW - Complete Role Mapping'!$AH$2:$AH$700,$B19,'REVIEW - Complete Role Mapping'!$AL$2:$AL$700,$C19,'REVIEW - Complete Role Mapping'!$AK$2:$AK$700,"&lt;&gt;Squad")</f>
        <v>3</v>
      </c>
      <c r="K19" s="1032">
        <f>SUMIFS('REVIEW - Complete Role Mapping'!$AE$2:$AE$700,'REVIEW - Complete Role Mapping'!$AH$2:$AH$700,$B19,'REVIEW - Complete Role Mapping'!$AL$2:$AL$700,$C19,'REVIEW - Complete Role Mapping'!$AK$2:$AK$700,"&lt;&gt;Squad")/1000000</f>
        <v>1.0370818</v>
      </c>
    </row>
    <row r="20" ht="14.25" customHeight="1" s="535">
      <c r="B20" s="929" t="inlineStr">
        <is>
          <t>COE SA&amp;D</t>
        </is>
      </c>
      <c r="C20" s="929" t="inlineStr">
        <is>
          <t>Technology Strategy &amp; AI Capability</t>
        </is>
      </c>
      <c r="D20" s="1031">
        <f>COUNTIFS('REVIEW - Complete Role Mapping'!$AH$2:$AH$700,$B20,'REVIEW - Complete Role Mapping'!$AL$2:$AL$700,$C20)</f>
        <v>5</v>
      </c>
      <c r="E20" s="1031">
        <f>COUNTIFS('REVIEW - Complete Role Mapping'!$AH$2:$AH$700,$B20,'REVIEW - Complete Role Mapping'!$AL$2:$AL$700,$C20,'REVIEW - Complete Role Mapping'!$AF$2:$AF$700,"Filled")</f>
        <v>1</v>
      </c>
      <c r="F20" s="1031">
        <f>COUNTIFS('REVIEW - Complete Role Mapping'!$AH$2:$AH$700,$B20,'REVIEW - Complete Role Mapping'!$AL$2:$AL$700,$C20,'REVIEW - Complete Role Mapping'!$AF$2:$AF$700,"Vacant")</f>
        <v>4</v>
      </c>
      <c r="G20" s="1032">
        <f>SUMIFS('REVIEW - Complete Role Mapping'!$AE$2:$AE$700,'REVIEW - Complete Role Mapping'!$AH$2:$AH$700,$B20,'REVIEW - Complete Role Mapping'!$AL$2:$AL$700,$C20)/1000000</f>
        <v>1.06988875</v>
      </c>
      <c r="H20" s="1032">
        <f>SUMIFS('REVIEW - Complete Role Mapping'!$AE$2:$AE$700,'REVIEW - Complete Role Mapping'!$AH$2:$AH$700,$B20,'REVIEW - Complete Role Mapping'!$AL$2:$AL$700,$C20,'REVIEW - Complete Role Mapping'!$N$2:$N$700,"&lt;&gt;NZ")/1000000</f>
        <v>1.06988875</v>
      </c>
      <c r="I20" s="1032">
        <f>SUMIFS('REVIEW - Complete Role Mapping'!$AE$2:$AE$700,'REVIEW - Complete Role Mapping'!$AH$2:$AH$700,$B20,'REVIEW - Complete Role Mapping'!$AL$2:$AL$700,$C20,'REVIEW - Complete Role Mapping'!$N$2:$N$700,"NZ")/1000000</f>
        <v>0</v>
      </c>
      <c r="J20" s="1031">
        <f>COUNTIFS('REVIEW - Complete Role Mapping'!$AH$2:$AH$700,$B20,'REVIEW - Complete Role Mapping'!$AL$2:$AL$700,$C20,'REVIEW - Complete Role Mapping'!$AK$2:$AK$700,"&lt;&gt;Squad")</f>
        <v>0</v>
      </c>
      <c r="K20" s="1032">
        <f>SUMIFS('REVIEW - Complete Role Mapping'!$AE$2:$AE$700,'REVIEW - Complete Role Mapping'!$AH$2:$AH$700,$B20,'REVIEW - Complete Role Mapping'!$AL$2:$AL$700,$C20,'REVIEW - Complete Role Mapping'!$AK$2:$AK$700,"&lt;&gt;Squad")/1000000</f>
        <v>0</v>
      </c>
    </row>
    <row r="21" ht="14.25" customHeight="1" s="535">
      <c r="B21" s="1033" t="inlineStr">
        <is>
          <t>COE SA&amp;D total</t>
        </is>
      </c>
      <c r="C21" s="1033" t="n"/>
      <c r="D21" s="1035">
        <f>SUM(D16:D20)</f>
        <v>23</v>
      </c>
      <c r="E21" s="1035">
        <f>SUM(E16:E20)</f>
        <v>11</v>
      </c>
      <c r="F21" s="1035">
        <f>SUM(F16:F20)</f>
        <v>12</v>
      </c>
      <c r="G21" s="1036">
        <f>SUM(G16:G20)</f>
        <v>5.781598002</v>
      </c>
      <c r="H21" s="1036">
        <f>SUM(H16:H20)</f>
        <v>4.93798305</v>
      </c>
      <c r="I21" s="1036">
        <f>SUM(I16:I20)</f>
        <v>0.843614952</v>
      </c>
      <c r="J21" s="1035">
        <f>SUM(J16:J20)</f>
        <v>10</v>
      </c>
      <c r="K21" s="1036">
        <f>SUM(K16:K20)</f>
        <v>2.701828336</v>
      </c>
    </row>
    <row r="22" ht="14.25" customHeight="1" s="535">
      <c r="B22" s="929" t="inlineStr">
        <is>
          <t>EGI</t>
        </is>
      </c>
      <c r="C22" s="929" t="inlineStr">
        <is>
          <t>EGI</t>
        </is>
      </c>
      <c r="D22" s="1031">
        <f>COUNTIFS('REVIEW - Complete Role Mapping'!$AH$2:$AH$700,$B22,'REVIEW - Complete Role Mapping'!$AL$2:$AL$700,$C22)</f>
        <v>18</v>
      </c>
      <c r="E22" s="1031">
        <f>COUNTIFS('REVIEW - Complete Role Mapping'!$AH$2:$AH$700,$B22,'REVIEW - Complete Role Mapping'!$AL$2:$AL$700,$C22,'REVIEW - Complete Role Mapping'!$AF$2:$AF$700,"Filled")</f>
        <v>18</v>
      </c>
      <c r="F22" s="1031">
        <f>COUNTIFS('REVIEW - Complete Role Mapping'!$AH$2:$AH$700,$B22,'REVIEW - Complete Role Mapping'!$AL$2:$AL$700,$C22,'REVIEW - Complete Role Mapping'!$AF$2:$AF$700,"Vacant")</f>
        <v>0</v>
      </c>
      <c r="G22" s="1032">
        <f>SUMIFS('REVIEW - Complete Role Mapping'!$AE$2:$AE$700,'REVIEW - Complete Role Mapping'!$AH$2:$AH$700,$B22,'REVIEW - Complete Role Mapping'!$AL$2:$AL$700,$C22)/1000000</f>
        <v>5.15081935</v>
      </c>
      <c r="H22" s="1032">
        <f>SUMIFS('REVIEW - Complete Role Mapping'!$AE$2:$AE$700,'REVIEW - Complete Role Mapping'!$AH$2:$AH$700,$B22,'REVIEW - Complete Role Mapping'!$AL$2:$AL$700,$C22,'REVIEW - Complete Role Mapping'!$N$2:$N$700,"&lt;&gt;NZ")/1000000</f>
        <v>5.15081935</v>
      </c>
      <c r="I22" s="1032">
        <f>SUMIFS('REVIEW - Complete Role Mapping'!$AE$2:$AE$700,'REVIEW - Complete Role Mapping'!$AH$2:$AH$700,$B22,'REVIEW - Complete Role Mapping'!$AL$2:$AL$700,$C22,'REVIEW - Complete Role Mapping'!$N$2:$N$700,"NZ")/1000000</f>
        <v>0</v>
      </c>
      <c r="J22" s="1031">
        <f>COUNTIFS('REVIEW - Complete Role Mapping'!$AH$2:$AH$700,$B22,'REVIEW - Complete Role Mapping'!$AL$2:$AL$700,$C22,'REVIEW - Complete Role Mapping'!$AK$2:$AK$700,"&lt;&gt;Squad")</f>
        <v>0</v>
      </c>
      <c r="K22" s="1032">
        <f>SUMIFS('REVIEW - Complete Role Mapping'!$AE$2:$AE$700,'REVIEW - Complete Role Mapping'!$AH$2:$AH$700,$B22,'REVIEW - Complete Role Mapping'!$AL$2:$AL$700,$C22,'REVIEW - Complete Role Mapping'!$AK$2:$AK$700,"&lt;&gt;Squad")/1000000</f>
        <v>0</v>
      </c>
    </row>
    <row r="23" ht="14.25" customHeight="1" s="535">
      <c r="B23" s="1033" t="inlineStr">
        <is>
          <t>EGI total</t>
        </is>
      </c>
      <c r="C23" s="1033" t="n"/>
      <c r="D23" s="1035">
        <f>SUM(D22:D22)</f>
        <v>18</v>
      </c>
      <c r="E23" s="1035">
        <f>SUM(E22:E22)</f>
        <v>18</v>
      </c>
      <c r="F23" s="1035">
        <f>SUM(F22:F22)</f>
        <v>0</v>
      </c>
      <c r="G23" s="1036">
        <f>SUM(G22:G22)</f>
        <v>5.15081935</v>
      </c>
      <c r="H23" s="1036">
        <f>SUM(H22:H22)</f>
        <v>5.15081935</v>
      </c>
      <c r="I23" s="1036">
        <f>SUM(I22:I22)</f>
        <v>0</v>
      </c>
      <c r="J23" s="1035">
        <f>SUM(J22:J22)</f>
        <v>0</v>
      </c>
      <c r="K23" s="1036">
        <f>SUM(K22:K22)</f>
        <v>0</v>
      </c>
    </row>
    <row r="24" ht="14.25" customHeight="1" s="535">
      <c r="B24" s="886" t="inlineStr">
        <is>
          <t>COEs and EGI total</t>
        </is>
      </c>
      <c r="C24" s="886" t="n"/>
      <c r="D24" s="1039">
        <f>D11+D15+D21+D23</f>
        <v>102</v>
      </c>
      <c r="E24" s="1039">
        <f>E11+E15+E21+E23</f>
        <v>78</v>
      </c>
      <c r="F24" s="1039">
        <f>F11+F15+F21+F23</f>
        <v>24</v>
      </c>
      <c r="G24" s="889">
        <f>G11+G15+G21+G23</f>
        <v>25.0630807552</v>
      </c>
      <c r="H24" s="889">
        <f>H11+H15+H21+H23</f>
        <v>22.4490773</v>
      </c>
      <c r="I24" s="889">
        <f>I11+I15+I21+I23</f>
        <v>2.6140034552</v>
      </c>
      <c r="J24" s="1039">
        <f>J11+J15+J21+J23</f>
        <v>21</v>
      </c>
      <c r="K24" s="889">
        <f>K11+K15+K21+K23</f>
        <v>6.718156336</v>
      </c>
    </row>
    <row r="25"/>
    <row r="26"/>
    <row r="27">
      <c r="B27" s="534" t="str">
        <f>"Every cost on this tab is before the vacancy levers: it prices the people in the role mapping at their full effective cost. 3.5 TDD Lights On prices the same COEs after the levers, which is why Cyber, Risk and Service Operations reads "&amp;TEXT($G$11,"#,##0.00;(#,##0.00)")&amp;"m here and "&amp;TEXT('3.5 TDD Lights On'!$C$6,"#,##0.00;(#,##0.00)")&amp;"m there."</f>
        <v>Every cost on this tab is before the vacancy levers: it prices the people in the role mapping at their full effective cost. 3.5 TDD Lights On prices the same COEs after the levers, which is why Cyber, Risk and Service Operations reads 7.73m here and 6.42m there.</v>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1.xml><?xml version="1.0" encoding="utf-8"?>
<worksheet xmlns="http://schemas.openxmlformats.org/spreadsheetml/2006/main">
  <sheetPr>
    <tabColor rgb="FF002F6C"/>
    <outlinePr summaryBelow="1" summaryRight="1"/>
    <pageSetUpPr/>
  </sheetPr>
  <dimension ref="A1:S9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 customWidth="1" style="535" min="1" max="1"/>
    <col width="34" customWidth="1" style="535" min="2" max="2"/>
    <col width="13" customWidth="1" style="535" min="3" max="3"/>
    <col width="12.5" customWidth="1" style="535" min="4" max="4"/>
    <col width="15" customWidth="1" style="535" min="5" max="5"/>
    <col width="11.5" customWidth="1" style="535" min="6" max="6"/>
    <col width="13.5" customWidth="1" style="535" min="7" max="7"/>
    <col width="11.5" customWidth="1" style="535" min="8" max="8"/>
    <col width="12.5" customWidth="1" style="535" min="9" max="9"/>
    <col width="12.5" customWidth="1" style="535" min="10" max="10"/>
    <col width="14" customWidth="1" style="535" min="11" max="11"/>
    <col width="14.5" customWidth="1" style="535" min="12" max="12"/>
    <col width="13" customWidth="1" style="535" min="13" max="13"/>
    <col width="2.5" customWidth="1" style="535" min="14" max="14"/>
    <col width="14" customWidth="1" style="535" min="15" max="15"/>
    <col width="2.5" customWidth="1" style="535" min="16" max="16"/>
    <col width="16" customWidth="1" style="535" min="17" max="17"/>
    <col width="14" customWidth="1" style="535" min="18" max="18"/>
    <col width="13" customWidth="1" style="535" min="19" max="19"/>
  </cols>
  <sheetData>
    <row r="1"/>
    <row r="2">
      <c r="B2" s="1067" t="inlineStr">
        <is>
          <t>TDD Lights On</t>
        </is>
      </c>
    </row>
    <row r="3"/>
    <row r="4" ht="60" customHeight="1" s="535">
      <c r="B4" s="1068" t="inlineStr">
        <is>
          <t>Portfolios &amp; COEs &amp; EGI</t>
        </is>
      </c>
      <c r="C4" s="1068" t="inlineStr">
        <is>
          <t>Total People cost</t>
        </is>
      </c>
      <c r="D4" s="1068" t="inlineStr">
        <is>
          <t>Sig items funded</t>
        </is>
      </c>
      <c r="E4" s="1068" t="inlineStr">
        <is>
          <t>Support Cost (this is the % in the 1.x tabs)</t>
        </is>
      </c>
      <c r="F4" s="1068" t="inlineStr">
        <is>
          <t>BP allocation</t>
        </is>
      </c>
      <c r="G4" s="1068" t="inlineStr">
        <is>
          <t>Domain architect allocation</t>
        </is>
      </c>
      <c r="H4" s="1068" t="inlineStr">
        <is>
          <t>GM allocation</t>
        </is>
      </c>
      <c r="I4" s="1068" t="inlineStr">
        <is>
          <t>Other overheads</t>
        </is>
      </c>
      <c r="J4" s="1068" t="inlineStr">
        <is>
          <t>Other overheads toggle</t>
        </is>
      </c>
      <c r="K4" s="1068" t="inlineStr">
        <is>
          <t>Amount of overheads charged to TDD</t>
        </is>
      </c>
      <c r="L4" s="1068" t="inlineStr">
        <is>
          <t>Total portfolio cost charged to TDD</t>
        </is>
      </c>
      <c r="M4" s="1068" t="inlineStr">
        <is>
          <t>TDD Lights On budget</t>
        </is>
      </c>
      <c r="N4" s="1068" t="n"/>
      <c r="O4" s="1068" t="inlineStr">
        <is>
          <t>Over/ Under lights on budget</t>
        </is>
      </c>
      <c r="P4" s="1068" t="n"/>
      <c r="Q4" s="1068" t="inlineStr">
        <is>
          <t>Total Cost left to be recharged to business</t>
        </is>
      </c>
      <c r="R4" s="1068" t="inlineStr">
        <is>
          <t>Amount noted in 1.x tabs</t>
        </is>
      </c>
      <c r="S4" s="1068" t="inlineStr">
        <is>
          <t>Still left to fund</t>
        </is>
      </c>
    </row>
    <row r="5">
      <c r="B5" s="534" t="inlineStr">
        <is>
          <t>COE Strategy Architecture</t>
        </is>
      </c>
      <c r="C5" s="1094">
        <f>'2.13 COE SA&amp;D'!$S$8+'2.13 COE SA&amp;D'!$S$11+'2.13 COE SA&amp;D'!$S$12</f>
        <v>3.341827336</v>
      </c>
      <c r="D5" s="1094">
        <f>0</f>
        <v>0</v>
      </c>
      <c r="E5" s="1094">
        <f>'2.13 COE SA&amp;D'!$C$24-$I5</f>
        <v>0.91580925</v>
      </c>
      <c r="F5" s="1094">
        <f>0</f>
        <v>0</v>
      </c>
      <c r="G5" s="1094">
        <f>0</f>
        <v>0</v>
      </c>
      <c r="H5" s="1094">
        <f>Lists!$AG$13/Lists!$AG$21</f>
        <v>0.31875</v>
      </c>
      <c r="I5" s="1094">
        <f>('2.13 COE SA&amp;D'!$G$51+'2.13 COE SA&amp;D'!$G$52+'2.13 COE SA&amp;D'!$G$53)/1000000</f>
        <v>1.0370818</v>
      </c>
      <c r="J5" s="1070" t="n">
        <v>1</v>
      </c>
      <c r="K5" s="1094">
        <f>$F5+$G5+$H5+$I5*$J5</f>
        <v>1.3558318</v>
      </c>
      <c r="L5" s="1094">
        <f>$K5+$E5</f>
        <v>2.27164105</v>
      </c>
      <c r="M5" s="1094">
        <f>'0.2 Data Config'!$E$6</f>
        <v>2</v>
      </c>
      <c r="O5" s="1094">
        <f>$L5-$M5</f>
        <v>0.27164105</v>
      </c>
      <c r="Q5" s="1094">
        <f>$C5-$D5-$L5</f>
        <v>1.070186286</v>
      </c>
      <c r="R5" s="1094">
        <f>Lists!$AG$19</f>
        <v>1.388936286</v>
      </c>
      <c r="S5" s="1094">
        <f>$Q5-$R5</f>
        <v>-0.31875</v>
      </c>
    </row>
    <row r="6">
      <c r="B6" s="1071" t="inlineStr">
        <is>
          <t>COE Cyber Risk &amp; Service Ops</t>
        </is>
      </c>
      <c r="C6" s="1095">
        <f>INDEX('2.11 Cyber Risk &amp; Service Ops'!$S$7:$S$13,MATCH("Total portfolio",'2.11 Cyber Risk &amp; Service Ops'!$B$7:$B$13,0))+('2.11 Cyber Risk &amp; Service Ops'!$I$24+'2.11 Cyber Risk &amp; Service Ops'!$I$30+'2.11 Cyber Risk &amp; Service Ops'!$I$33+'2.11 Cyber Risk &amp; Service Ops'!$I$39+'2.11 Cyber Risk &amp; Service Ops'!$I$44)/1000000</f>
        <v>6.4227365792</v>
      </c>
      <c r="D6" s="1095">
        <f>('2.11 Cyber Risk &amp; Service Ops'!$I$24+'2.11 Cyber Risk &amp; Service Ops'!$I$30+'2.11 Cyber Risk &amp; Service Ops'!$I$33+'2.11 Cyber Risk &amp; Service Ops'!$I$39+'2.11 Cyber Risk &amp; Service Ops'!$I$44)/1000000</f>
        <v>0.49481945</v>
      </c>
      <c r="E6" s="1095">
        <f>INDEX('2.11 Cyber Risk &amp; Service Ops'!$S$7:$S$13,MATCH("Total portfolio",'2.11 Cyber Risk &amp; Service Ops'!$B$7:$B$13,0))-('2.11 Cyber Risk &amp; Service Ops'!$G$40+'2.11 Cyber Risk &amp; Service Ops'!$G$45)/1000000</f>
        <v>5.3359518792</v>
      </c>
      <c r="F6" s="1095">
        <f>0</f>
        <v>0</v>
      </c>
      <c r="G6" s="1095">
        <f>0</f>
        <v>0</v>
      </c>
      <c r="H6" s="1095">
        <f>Lists!$AG$13/Lists!$AG$21</f>
        <v>0.31875</v>
      </c>
      <c r="I6" s="1095">
        <f>('2.11 Cyber Risk &amp; Service Ops'!$G$40+'2.11 Cyber Risk &amp; Service Ops'!$G$45)/1000000</f>
        <v>0.59196525</v>
      </c>
      <c r="J6" s="1070" t="n">
        <v>1</v>
      </c>
      <c r="K6" s="1095">
        <f>$F6+$G6+$H6+$I6*$J6</f>
        <v>0.91071525</v>
      </c>
      <c r="L6" s="1095">
        <f>$K6+$E6</f>
        <v>6.2466671292</v>
      </c>
      <c r="M6" s="1095">
        <f>'0.2 Data Config'!$E$7</f>
        <v>2</v>
      </c>
      <c r="N6" s="1071" t="n"/>
      <c r="O6" s="1095">
        <f>$L6-$M6</f>
        <v>4.2466671292</v>
      </c>
      <c r="P6" s="1071" t="n"/>
      <c r="Q6" s="1095">
        <f>$C6-$D6-$L6</f>
        <v>-0.31875</v>
      </c>
      <c r="R6" s="1095">
        <f>0</f>
        <v>0</v>
      </c>
      <c r="S6" s="1095">
        <f>$Q6-$R6</f>
        <v>-0.31875</v>
      </c>
    </row>
    <row r="7">
      <c r="B7" s="534" t="inlineStr">
        <is>
          <t>COE Transformation</t>
        </is>
      </c>
      <c r="C7" s="1094">
        <f>'2.12 COE BP&amp;T'!$S$10</f>
        <v>2.88399343</v>
      </c>
      <c r="D7" s="1094">
        <f>0</f>
        <v>0</v>
      </c>
      <c r="E7" s="1094">
        <f>'2.12 COE BP&amp;T'!$C$23-$I7</f>
        <v>1.96447293</v>
      </c>
      <c r="F7" s="1094">
        <f>0</f>
        <v>0</v>
      </c>
      <c r="G7" s="1094">
        <f>0</f>
        <v>0</v>
      </c>
      <c r="H7" s="1094">
        <f>Lists!$AG$13/Lists!$AG$21</f>
        <v>0.31875</v>
      </c>
      <c r="I7" s="1094">
        <f>('2.12 COE BP&amp;T'!$G$44+'2.12 COE BP&amp;T'!$G$45+'2.12 COE BP&amp;T'!$G$46)/1000000</f>
        <v>0.9195205</v>
      </c>
      <c r="J7" s="1070" t="n">
        <v>1</v>
      </c>
      <c r="K7" s="1094">
        <f>$F7+$G7+$H7+$I7*$J7</f>
        <v>1.2382705</v>
      </c>
      <c r="L7" s="1094">
        <f>$K7+$E7</f>
        <v>3.20274343</v>
      </c>
      <c r="M7" s="1094">
        <f>'0.2 Data Config'!$E$8</f>
        <v>2</v>
      </c>
      <c r="O7" s="1094">
        <f>$L7-$M7</f>
        <v>1.20274343</v>
      </c>
      <c r="Q7" s="1094">
        <f>$C7-$D7-$L7</f>
        <v>-0.31875</v>
      </c>
      <c r="R7" s="1094">
        <f>0</f>
        <v>0</v>
      </c>
      <c r="S7" s="1094">
        <f>$Q7-$R7</f>
        <v>-0.31875</v>
      </c>
    </row>
    <row r="8">
      <c r="B8" s="1071" t="inlineStr">
        <is>
          <t>COE Business Partnering</t>
        </is>
      </c>
      <c r="C8" s="1095">
        <f>'2.12 COE BP&amp;T'!$S$8+'2.12 COE BP&amp;T'!$S$9</f>
        <v>3.292562592</v>
      </c>
      <c r="D8" s="1095">
        <f>0</f>
        <v>0</v>
      </c>
      <c r="E8" s="1095">
        <f>'2.12 COE BP&amp;T'!$C$22-$I8</f>
        <v>0.979014192</v>
      </c>
      <c r="F8" s="1095">
        <f>0</f>
        <v>0</v>
      </c>
      <c r="G8" s="1095">
        <f>0</f>
        <v>0</v>
      </c>
      <c r="H8" s="1095">
        <f>Lists!$AG$13/Lists!$AG$21</f>
        <v>0.31875</v>
      </c>
      <c r="I8" s="1095">
        <f>0</f>
        <v>0</v>
      </c>
      <c r="J8" s="1071" t="n"/>
      <c r="K8" s="1095">
        <f>$F8+$G8+$H8+$I8</f>
        <v>0.31875</v>
      </c>
      <c r="L8" s="1095">
        <f>$K8+$E8</f>
        <v>1.297764192</v>
      </c>
      <c r="M8" s="1095">
        <f>'0.2 Data Config'!$E$9</f>
        <v>2</v>
      </c>
      <c r="N8" s="1071" t="n"/>
      <c r="O8" s="1095">
        <f>$L8-$M8</f>
        <v>-0.702235808</v>
      </c>
      <c r="P8" s="1071" t="n"/>
      <c r="Q8" s="1095">
        <f>$C8-$D8-$L8</f>
        <v>1.9947984</v>
      </c>
      <c r="R8" s="1095">
        <f>Lists!$AG$18</f>
        <v>2.3135484</v>
      </c>
      <c r="S8" s="1095">
        <f>$Q8-$R8</f>
        <v>-0.31875</v>
      </c>
    </row>
    <row r="9">
      <c r="B9" s="534" t="inlineStr">
        <is>
          <t>COE Data</t>
        </is>
      </c>
      <c r="C9" s="1094">
        <f>'2.13 COE SA&amp;D'!$S$9+'2.13 COE SA&amp;D'!$S$10</f>
        <v>1.433374816</v>
      </c>
      <c r="D9" s="1094">
        <f>0</f>
        <v>0</v>
      </c>
      <c r="E9" s="1094">
        <f>'2.13 COE SA&amp;D'!$C$25-$I9</f>
        <v>1.433374816</v>
      </c>
      <c r="F9" s="1094">
        <f>0</f>
        <v>0</v>
      </c>
      <c r="G9" s="1094">
        <f>0</f>
        <v>0</v>
      </c>
      <c r="H9" s="1094">
        <f>Lists!$AG$13/Lists!$AG$21</f>
        <v>0.31875</v>
      </c>
      <c r="I9" s="1094">
        <f>0</f>
        <v>0</v>
      </c>
      <c r="K9" s="1094">
        <f>$F9+$G9+$H9+$I9</f>
        <v>0.31875</v>
      </c>
      <c r="L9" s="1094">
        <f>$K9+$E9</f>
        <v>1.752124816</v>
      </c>
      <c r="M9" s="1094">
        <f>'0.2 Data Config'!$E$10</f>
        <v>2</v>
      </c>
      <c r="O9" s="1094">
        <f>$L9-$M9</f>
        <v>-0.247875184</v>
      </c>
      <c r="Q9" s="1094">
        <f>$C9-$D9-$L9</f>
        <v>-0.31875</v>
      </c>
      <c r="R9" s="1094">
        <f>0</f>
        <v>0</v>
      </c>
      <c r="S9" s="1094">
        <f>$Q9-$R9</f>
        <v>-0.31875</v>
      </c>
    </row>
    <row r="10">
      <c r="B10" s="1071" t="inlineStr">
        <is>
          <t>Ampol Retail</t>
        </is>
      </c>
      <c r="C10" s="1095">
        <f>INDEX('2.1 Ampol Retail'!$S$7:$S$27,MATCH("Total portfolio",'2.1 Ampol Retail'!$B$7:$B$27,0))</f>
        <v>11.8536567682</v>
      </c>
      <c r="D10" s="1095">
        <f>INDEX('2.1 Ampol Retail'!$P$7:$P$27,MATCH("Total portfolio",'2.1 Ampol Retail'!$B$7:$B$27,0))</f>
        <v>2.5862355812</v>
      </c>
      <c r="E10" s="1095">
        <f>'2.1 Ampol Retail'!$S$8*'1.1 Ampol Retail'!$G$34+'2.1 Ampol Retail'!$S$9*'1.1 Ampol Retail'!$G$60+'2.1 Ampol Retail'!$S$10*'1.1 Ampol Retail'!$G$28+'2.1 Ampol Retail'!$S$11*'1.1 Ampol Retail'!$G$54+'2.1 Ampol Retail'!$S$12*'1.1 Ampol Retail'!$G$25+'2.1 Ampol Retail'!$S$13*'1.1 Ampol Retail'!$G$26+'2.1 Ampol Retail'!$S$14*'1.1 Ampol Retail'!$G$27</f>
        <v>3.3672574661</v>
      </c>
      <c r="F10" s="1095">
        <f>Lists!$AG$18/Lists!$AG$20</f>
        <v>0.210322581818182</v>
      </c>
      <c r="G10" s="1095">
        <f>Lists!$AG$19/Lists!$AG$20</f>
        <v>0.126266935090909</v>
      </c>
      <c r="H10" s="1095">
        <f>Lists!$AG$13/Lists!$AG$21</f>
        <v>0.31875</v>
      </c>
      <c r="I10" s="1095">
        <f>INDEX('2.1 Ampol Retail'!$S$7:$S$27,MATCH("Overhead roles total",'2.1 Ampol Retail'!$B$7:$B$27,0))</f>
        <v>1.164734758</v>
      </c>
      <c r="J10" s="1070" t="n">
        <v>1</v>
      </c>
      <c r="K10" s="1095">
        <f>$F10+$G10+$H10+$I10*$J10</f>
        <v>1.82007427490909</v>
      </c>
      <c r="L10" s="1095">
        <f>$K10+$E10</f>
        <v>5.18733174100909</v>
      </c>
      <c r="M10" s="1095">
        <f>'0.2 Data Config'!$E$11</f>
        <v>5.5</v>
      </c>
      <c r="N10" s="1071" t="n"/>
      <c r="O10" s="1095">
        <f>$L10-$M10</f>
        <v>-0.312668258990909</v>
      </c>
      <c r="P10" s="1071" t="n"/>
      <c r="Q10" s="1095">
        <f>$C10-$D10-$L10</f>
        <v>4.08008944599091</v>
      </c>
      <c r="R10" s="1095">
        <f>'1.1 Ampol Retail'!$J$15+'1.1 Ampol Retail'!$J$16</f>
        <v>5.26</v>
      </c>
      <c r="S10" s="1095">
        <f>$Q10-$R10</f>
        <v>-1.17991055400909</v>
      </c>
    </row>
    <row r="11">
      <c r="B11" s="534" t="inlineStr">
        <is>
          <t>Z Retail</t>
        </is>
      </c>
      <c r="C11" s="1094">
        <f>INDEX('2.10 Z Retail'!$S$7:$S$20,MATCH("Total portfolio",'2.10 Z Retail'!$B$7:$B$20,0))</f>
        <v>6.666290208</v>
      </c>
      <c r="D11" s="1094">
        <f>INDEX('2.10 Z Retail'!$P$7:$P$20,MATCH("Total portfolio",'2.10 Z Retail'!$B$7:$B$20,0))</f>
        <v>0</v>
      </c>
      <c r="E11" s="1094">
        <f>'2.10 Z Retail'!$S$8*'1.10 Z Retail'!$G$39+'2.10 Z Retail'!$S$9*'1.10 Z Retail'!$G$32+'2.10 Z Retail'!$S$10*'1.10 Z Retail'!$G$33+'2.10 Z Retail'!$S$11*'1.10 Z Retail'!$G$26</f>
        <v>4.4511559334</v>
      </c>
      <c r="F11" s="1094">
        <f>Lists!$AG$18/Lists!$AG$20</f>
        <v>0.210322581818182</v>
      </c>
      <c r="G11" s="1094">
        <f>Lists!$AG$19/Lists!$AG$20</f>
        <v>0.126266935090909</v>
      </c>
      <c r="H11" s="1094">
        <f>Lists!$AG$13/Lists!$AG$21</f>
        <v>0.31875</v>
      </c>
      <c r="I11" s="1094">
        <f>INDEX('2.10 Z Retail'!$S$7:$S$20,MATCH("Overhead roles total",'2.10 Z Retail'!$B$7:$B$20,0))</f>
        <v>1.195492774</v>
      </c>
      <c r="J11" s="1070" t="n">
        <v>1</v>
      </c>
      <c r="K11" s="1094">
        <f>$F11+$G11+$H11+$I11*$J11</f>
        <v>1.85083229090909</v>
      </c>
      <c r="L11" s="1094">
        <f>$K11+$E11</f>
        <v>6.30198822430909</v>
      </c>
      <c r="M11" s="1094">
        <f>'0.2 Data Config'!$E$12</f>
        <v>6.5</v>
      </c>
      <c r="O11" s="1094">
        <f>$L11-$M11</f>
        <v>-0.198011775690908</v>
      </c>
      <c r="Q11" s="1094">
        <f>$C11-$D11-$L11</f>
        <v>0.364301983690909</v>
      </c>
      <c r="R11" s="1094">
        <f>'1.10 Z Retail'!$J$15+'1.10 Z Retail'!$J$16+'1.10 Z Retail'!$J$17+'1.10 Z Retail'!$J$18</f>
        <v>1.08</v>
      </c>
      <c r="S11" s="1094">
        <f>$Q11-$R11</f>
        <v>-0.715698016309092</v>
      </c>
    </row>
    <row r="12">
      <c r="B12" s="1071" t="inlineStr">
        <is>
          <t>Ampol Customer</t>
        </is>
      </c>
      <c r="C12" s="1095">
        <f>'2.2 Customer'!$S$8+'2.2 Customer'!$S$9+'2.2 Customer'!$S$10+'2.2 Customer'!$S$11+'2.2 Customer'!$S$12+'2.2 Customer'!$S$17+('2.2 Customer'!$S$19+'2.2 Customer'!$S$20+'2.2 Customer'!$S$23+'2.2 Customer'!$S$24+'2.2 Customer'!$S$25+'2.2 Customer'!$S$26)*$E$12/($E$12+$E$13)</f>
        <v>11.8291783698242</v>
      </c>
      <c r="D12" s="1095">
        <f>'2.2 Customer'!$P$17</f>
        <v>2.0986109</v>
      </c>
      <c r="E12" s="1095">
        <f>'2.2 Customer'!$S$8*'1.2 Customer'!$G$31+'2.2 Customer'!$S$9*'1.2 Customer'!$G$47+'2.2 Customer'!$S$10*'1.2 Customer'!$G$32+'2.2 Customer'!$S$11*'1.2 Customer'!$G$48+'2.2 Customer'!$S$12*'1.2 Customer'!$G$33</f>
        <v>2.16155398556</v>
      </c>
      <c r="F12" s="1095">
        <f>Lists!$AG$18/Lists!$AG$20*$E$12/($E$12+$E$13)</f>
        <v>0.104954895910105</v>
      </c>
      <c r="G12" s="1095">
        <f>Lists!$AG$19/Lists!$AG$20*$E$12/($E$12+$E$13)</f>
        <v>0.0630095585304796</v>
      </c>
      <c r="H12" s="1095">
        <f>Lists!$AG$13/Lists!$AG$21*$E$12/($E$12+$E$13)</f>
        <v>0.159062202366203</v>
      </c>
      <c r="I12" s="1095">
        <f>(INDEX('2.2 Customer'!$S$7:$S$30,MATCH("Overhead roles total",'2.2 Customer'!$B$7:$B$30,0)))*$E$12/($E$12+$E$13)</f>
        <v>1.06753036237566</v>
      </c>
      <c r="J12" s="1070" t="n">
        <v>1</v>
      </c>
      <c r="K12" s="1095">
        <f>$F12+$G12+$H12+$I12*$J12</f>
        <v>1.39455701918245</v>
      </c>
      <c r="L12" s="1095">
        <f>$K12+$E12</f>
        <v>3.55611100474245</v>
      </c>
      <c r="M12" s="1095">
        <f>'0.2 Data Config'!$E$13</f>
        <v>2.5</v>
      </c>
      <c r="N12" s="1071" t="n"/>
      <c r="O12" s="1095">
        <f>$L12-$M12</f>
        <v>1.05611100474245</v>
      </c>
      <c r="P12" s="1071" t="n"/>
      <c r="Q12" s="1095">
        <f>$C12-$D12-$L12</f>
        <v>6.17445646508176</v>
      </c>
      <c r="R12" s="1095">
        <f>('1.2 Customer'!$J$15+'1.2 Customer'!$J$16+'1.2 Customer'!$J$18+'1.2 Customer'!$J$23)*$E$12/($E$12+$E$13)</f>
        <v>4.74067740385546</v>
      </c>
      <c r="S12" s="1095">
        <f>$Q12-$R12</f>
        <v>1.4337790612263</v>
      </c>
    </row>
    <row r="13">
      <c r="B13" s="534" t="inlineStr">
        <is>
          <t>Z Customer</t>
        </is>
      </c>
      <c r="C13" s="1094">
        <f>'2.2 Customer'!$S$13+'2.2 Customer'!$S$14+('2.2 Customer'!$S$19+'2.2 Customer'!$S$20+'2.2 Customer'!$S$23+'2.2 Customer'!$S$24+'2.2 Customer'!$S$25+'2.2 Customer'!$S$26)*$E$13/($E$12+$E$13)</f>
        <v>4.61213263229579</v>
      </c>
      <c r="D13" s="1094">
        <f>0</f>
        <v>0</v>
      </c>
      <c r="E13" s="1094">
        <f>'2.2 Customer'!$S$13*'1.2 Customer'!$G$39+'2.2 Customer'!$S$14*'1.2 Customer'!$G$40</f>
        <v>2.170055426656</v>
      </c>
      <c r="F13" s="1094">
        <f>Lists!$AG$18/Lists!$AG$20*$E$13/($E$12+$E$13)</f>
        <v>0.105367685908077</v>
      </c>
      <c r="G13" s="1094">
        <f>Lists!$AG$19/Lists!$AG$20*$E$13/($E$12+$E$13)</f>
        <v>0.0632573765604295</v>
      </c>
      <c r="H13" s="1094">
        <f>Lists!$AG$13/Lists!$AG$21*$E$13/($E$12+$E$13)</f>
        <v>0.159687797633797</v>
      </c>
      <c r="I13" s="1094">
        <f>(INDEX('2.2 Customer'!$S$7:$S$30,MATCH("Overhead roles total",'2.2 Customer'!$B$7:$B$30,0)))*$E$13/($E$12+$E$13)</f>
        <v>1.07172898362434</v>
      </c>
      <c r="J13" s="1070" t="n">
        <v>1</v>
      </c>
      <c r="K13" s="1094">
        <f>$F13+$G13+$H13+$I13*$J13</f>
        <v>1.40004184372664</v>
      </c>
      <c r="L13" s="1094">
        <f>$K13+$E13</f>
        <v>3.57009727038264</v>
      </c>
      <c r="M13" s="1094">
        <f>'0.2 Data Config'!$E$14</f>
        <v>4</v>
      </c>
      <c r="O13" s="1094">
        <f>$L13-$M13</f>
        <v>-0.429902729617359</v>
      </c>
      <c r="Q13" s="1094">
        <f>$C13-$D13-$L13</f>
        <v>1.04203536191315</v>
      </c>
      <c r="R13" s="1094">
        <f>('1.2 Customer'!$J$15+'1.2 Customer'!$J$16+'1.2 Customer'!$J$18+'1.2 Customer'!$J$23)*$E$13/($E$12+$E$13)</f>
        <v>4.75932259614454</v>
      </c>
      <c r="S13" s="1094">
        <f>$Q13-$R13</f>
        <v>-3.7172872342314</v>
      </c>
    </row>
    <row r="14">
      <c r="B14" s="1071" t="inlineStr">
        <is>
          <t>Commercial Fuels</t>
        </is>
      </c>
      <c r="C14" s="1095">
        <f>INDEX('2.9 Commercial Fuels'!$S$7:$S$21,MATCH("Total portfolio",'2.9 Commercial Fuels'!$B$7:$B$21,0))</f>
        <v>10.0750979787</v>
      </c>
      <c r="D14" s="1095">
        <f>INDEX('2.9 Commercial Fuels'!$P$7:$P$21,MATCH("Total portfolio",'2.9 Commercial Fuels'!$B$7:$B$21,0))</f>
        <v>3.8</v>
      </c>
      <c r="E14" s="1095">
        <f>'2.9 Commercial Fuels'!$S$8*'1.9 Commercial Fuels'!$G$33+'2.9 Commercial Fuels'!$S$9*'1.9 Commercial Fuels'!$G$26+'2.9 Commercial Fuels'!$S$10*'1.9 Commercial Fuels'!$G$27</f>
        <v>1.23447987468</v>
      </c>
      <c r="F14" s="1095">
        <f>Lists!$AG$18/Lists!$AG$20</f>
        <v>0.210322581818182</v>
      </c>
      <c r="G14" s="1095">
        <f>Lists!$AG$19/Lists!$AG$20</f>
        <v>0.126266935090909</v>
      </c>
      <c r="H14" s="1095">
        <f>Lists!$AG$13/Lists!$AG$21</f>
        <v>0.31875</v>
      </c>
      <c r="I14" s="1095">
        <f>INDEX('2.9 Commercial Fuels'!$S$7:$S$21,MATCH("Overhead roles total",'2.9 Commercial Fuels'!$B$7:$B$21,0))</f>
        <v>1.131342336</v>
      </c>
      <c r="J14" s="1070" t="n">
        <v>1</v>
      </c>
      <c r="K14" s="1095">
        <f>$F14+$G14+$H14+$I14*$J14</f>
        <v>1.78668185290909</v>
      </c>
      <c r="L14" s="1095">
        <f>$K14+$E14</f>
        <v>3.02116172758909</v>
      </c>
      <c r="M14" s="1095">
        <f>'0.2 Data Config'!$E$15</f>
        <v>2.5</v>
      </c>
      <c r="N14" s="1071" t="n"/>
      <c r="O14" s="1095">
        <f>$L14-$M14</f>
        <v>0.521161727589091</v>
      </c>
      <c r="P14" s="1071" t="n"/>
      <c r="Q14" s="1095">
        <f>$C14-$D14-$L14</f>
        <v>3.25393625111091</v>
      </c>
      <c r="R14" s="1095">
        <f>'1.9 Commercial Fuels'!$J$14+'1.9 Commercial Fuels'!$J$15+'1.9 Commercial Fuels'!$J$18</f>
        <v>3.38</v>
      </c>
      <c r="S14" s="1095">
        <f>$Q14-$R14</f>
        <v>-0.12606374888909</v>
      </c>
    </row>
    <row r="15">
      <c r="B15" s="534" t="inlineStr">
        <is>
          <t>Energy Solutions &amp; B2B</t>
        </is>
      </c>
      <c r="C15" s="1094">
        <f>INDEX('2.8 Energy Solutions &amp; B2B'!$S$7:$S$19,MATCH("Total portfolio",'2.8 Energy Solutions &amp; B2B'!$B$7:$B$19,0))</f>
        <v>6.341619662</v>
      </c>
      <c r="D15" s="1094">
        <f>INDEX('2.8 Energy Solutions &amp; B2B'!$P$7:$P$19,MATCH("Total portfolio",'2.8 Energy Solutions &amp; B2B'!$B$7:$B$19,0))</f>
        <v>0</v>
      </c>
      <c r="E15" s="1094">
        <f>'2.8 Energy Solutions &amp; B2B'!$S$8*'1.8 Energy Solutions &amp; B2B'!$G$35+'2.8 Energy Solutions &amp; B2B'!$S$9*'1.8 Energy Solutions &amp; B2B'!$G$29+'2.8 Energy Solutions &amp; B2B'!$S$10*'1.8 Energy Solutions &amp; B2B'!$G$28</f>
        <v>1.3169316146</v>
      </c>
      <c r="F15" s="1094">
        <f>Lists!$AG$18/Lists!$AG$20</f>
        <v>0.210322581818182</v>
      </c>
      <c r="G15" s="1094">
        <f>Lists!$AG$19/Lists!$AG$20</f>
        <v>0.126266935090909</v>
      </c>
      <c r="H15" s="1094">
        <f>Lists!$AG$13/Lists!$AG$21</f>
        <v>0.31875</v>
      </c>
      <c r="I15" s="1094">
        <f>INDEX('2.8 Energy Solutions &amp; B2B'!$S$7:$S$19,MATCH("Overhead roles total",'2.8 Energy Solutions &amp; B2B'!$B$7:$B$19,0))</f>
        <v>1.053717124</v>
      </c>
      <c r="J15" s="1070" t="n">
        <v>1</v>
      </c>
      <c r="K15" s="1094">
        <f>$F15+$G15+$H15+$I15*$J15</f>
        <v>1.70905664090909</v>
      </c>
      <c r="L15" s="1094">
        <f>$K15+$E15</f>
        <v>3.02598825550909</v>
      </c>
      <c r="M15" s="1094">
        <f>'0.2 Data Config'!$E$16</f>
        <v>2.5</v>
      </c>
      <c r="O15" s="1094">
        <f>$L15-$M15</f>
        <v>0.525988255509091</v>
      </c>
      <c r="Q15" s="1094">
        <f>$C15-$D15-$L15</f>
        <v>3.31563140649091</v>
      </c>
      <c r="R15" s="1094">
        <f>'1.8 Energy Solutions &amp; B2B'!$J$14+'1.8 Energy Solutions &amp; B2B'!$J$15+'1.8 Energy Solutions &amp; B2B'!$J$18+'1.8 Energy Solutions &amp; B2B'!$J$19+'1.8 Energy Solutions &amp; B2B'!$J$20</f>
        <v>6.5</v>
      </c>
      <c r="S15" s="1094">
        <f>$Q15-$R15</f>
        <v>-3.18436859350909</v>
      </c>
    </row>
    <row r="16">
      <c r="B16" s="1071" t="inlineStr">
        <is>
          <t>Infrastructure</t>
        </is>
      </c>
      <c r="C16" s="1095">
        <f>INDEX('2.7 Infrastructure'!$S$7:$S$22,MATCH("Total portfolio",'2.7 Infrastructure'!$B$7:$B$22,0))</f>
        <v>6.74276054</v>
      </c>
      <c r="D16" s="1095">
        <f>INDEX('2.7 Infrastructure'!$P$7:$P$22,MATCH("Total portfolio",'2.7 Infrastructure'!$B$7:$B$22,0))</f>
        <v>0</v>
      </c>
      <c r="E16" s="1095">
        <f>'2.7 Infrastructure'!$S$8*'1.7 Infrastructure'!$G$39+'2.7 Infrastructure'!$S$9*'1.7 Infrastructure'!$G$26+'2.7 Infrastructure'!$S$10*'1.7 Infrastructure'!$G$32+'2.7 Infrastructure'!$S$11*'1.7 Infrastructure'!$G$33</f>
        <v>1.500968292</v>
      </c>
      <c r="F16" s="1095">
        <f>Lists!$AG$18/Lists!$AG$20</f>
        <v>0.210322581818182</v>
      </c>
      <c r="G16" s="1095">
        <f>Lists!$AG$19/Lists!$AG$20</f>
        <v>0.126266935090909</v>
      </c>
      <c r="H16" s="1095">
        <f>Lists!$AG$13/Lists!$AG$21</f>
        <v>0.31875</v>
      </c>
      <c r="I16" s="1095">
        <f>INDEX('2.7 Infrastructure'!$S$7:$S$22,MATCH("Overhead roles total",'2.7 Infrastructure'!$B$7:$B$22,0))</f>
        <v>1.20525785</v>
      </c>
      <c r="J16" s="1070" t="n">
        <v>1</v>
      </c>
      <c r="K16" s="1095">
        <f>$F16+$G16+$H16+$I16*$J16</f>
        <v>1.86059736690909</v>
      </c>
      <c r="L16" s="1095">
        <f>$K16+$E16</f>
        <v>3.36156565890909</v>
      </c>
      <c r="M16" s="1095">
        <f>'0.2 Data Config'!$E$17</f>
        <v>2.5</v>
      </c>
      <c r="N16" s="1071" t="n"/>
      <c r="O16" s="1095">
        <f>$L16-$M16</f>
        <v>0.861565658909091</v>
      </c>
      <c r="P16" s="1071" t="n"/>
      <c r="Q16" s="1095">
        <f>$C16-$D16-$L16</f>
        <v>3.38119488109091</v>
      </c>
      <c r="R16" s="1095">
        <f>'1.7 Infrastructure'!$J$15+'1.7 Infrastructure'!$J$16+'1.7 Infrastructure'!$J$17+'1.7 Infrastructure'!$J$18</f>
        <v>2.5</v>
      </c>
      <c r="S16" s="1095">
        <f>$Q16-$R16</f>
        <v>0.881194881090909</v>
      </c>
    </row>
    <row r="17">
      <c r="B17" s="534" t="inlineStr">
        <is>
          <t>P&amp;C</t>
        </is>
      </c>
      <c r="C17" s="1094">
        <f>INDEX('2.5 P&amp;C'!$S$7:$S$20,MATCH("Total portfolio",'2.5 P&amp;C'!$B$7:$B$20,0))</f>
        <v>3.72290853</v>
      </c>
      <c r="D17" s="1094">
        <f>INDEX('2.5 P&amp;C'!$P$7:$P$20,MATCH("Total portfolio",'2.5 P&amp;C'!$B$7:$B$20,0))</f>
        <v>0.238965</v>
      </c>
      <c r="E17" s="1094">
        <f>'2.5 P&amp;C'!$S$8*'1.5 P&amp;C'!$G$25+'2.5 P&amp;C'!$S$9*'1.5 P&amp;C'!$G$26</f>
        <v>0.764255514</v>
      </c>
      <c r="F17" s="1094">
        <f>Lists!$AG$18/Lists!$AG$20</f>
        <v>0.210322581818182</v>
      </c>
      <c r="G17" s="1094">
        <f>Lists!$AG$19/Lists!$AG$20</f>
        <v>0.126266935090909</v>
      </c>
      <c r="H17" s="1094">
        <f>Lists!$AG$13/Lists!$AG$21</f>
        <v>0.31875</v>
      </c>
      <c r="I17" s="1094">
        <f>INDEX('2.5 P&amp;C'!$S$7:$S$20,MATCH("Overhead roles total",'2.5 P&amp;C'!$B$7:$B$20,0))</f>
        <v>0.93642515</v>
      </c>
      <c r="J17" s="1070" t="n">
        <v>1</v>
      </c>
      <c r="K17" s="1094">
        <f>$F17+$G17+$H17+$I17*$J17</f>
        <v>1.59176466690909</v>
      </c>
      <c r="L17" s="1094">
        <f>$K17+$E17</f>
        <v>2.35602018090909</v>
      </c>
      <c r="M17" s="1094">
        <f>'0.2 Data Config'!$E$18</f>
        <v>2</v>
      </c>
      <c r="O17" s="1094">
        <f>$L17-$M17</f>
        <v>0.35602018090909</v>
      </c>
      <c r="Q17" s="1094">
        <f>$C17-$D17-$L17</f>
        <v>1.12792334909091</v>
      </c>
      <c r="R17" s="1094">
        <f>'1.5 P&amp;C'!$J$14+'1.5 P&amp;C'!$J$15+'1.5 P&amp;C'!$J$16+'1.5 P&amp;C'!$J$18</f>
        <v>1.85</v>
      </c>
      <c r="S17" s="1094">
        <f>$Q17-$R17</f>
        <v>-0.72207665090909</v>
      </c>
    </row>
    <row r="18">
      <c r="B18" s="1071" t="inlineStr">
        <is>
          <t>Finance</t>
        </is>
      </c>
      <c r="C18" s="1095">
        <f>INDEX('2.6 Finance'!$S$7:$S$20,MATCH("Total portfolio",'2.6 Finance'!$B$7:$B$20,0))</f>
        <v>3.5428346605</v>
      </c>
      <c r="D18" s="1095">
        <f>INDEX('2.6 Finance'!$P$7:$P$20,MATCH("Total portfolio",'2.6 Finance'!$B$7:$B$20,0))</f>
        <v>0.24172845</v>
      </c>
      <c r="E18" s="1095">
        <f>'2.6 Finance'!$S$8*'1.6 Finance'!$G$27+'2.6 Finance'!$S$9*'1.6 Finance'!$G$26</f>
        <v>1.3623573045</v>
      </c>
      <c r="F18" s="1095">
        <f>Lists!$AG$18/Lists!$AG$20</f>
        <v>0.210322581818182</v>
      </c>
      <c r="G18" s="1095">
        <f>Lists!$AG$19/Lists!$AG$20</f>
        <v>0.126266935090909</v>
      </c>
      <c r="H18" s="1095">
        <f>Lists!$AG$13/Lists!$AG$21</f>
        <v>0.31875</v>
      </c>
      <c r="I18" s="1095">
        <f>INDEX('2.6 Finance'!$S$7:$S$20,MATCH("Overhead roles total",'2.6 Finance'!$B$7:$B$20,0))</f>
        <v>0.32356045</v>
      </c>
      <c r="J18" s="1070" t="n">
        <v>1</v>
      </c>
      <c r="K18" s="1095">
        <f>$F18+$G18+$H18+$I18*$J18</f>
        <v>0.978899966909091</v>
      </c>
      <c r="L18" s="1095">
        <f>$K18+$E18</f>
        <v>2.34125727140909</v>
      </c>
      <c r="M18" s="1095">
        <f>'0.2 Data Config'!$E$19</f>
        <v>2</v>
      </c>
      <c r="N18" s="1071" t="n"/>
      <c r="O18" s="1095">
        <f>$L18-$M18</f>
        <v>0.341257271409091</v>
      </c>
      <c r="P18" s="1071" t="n"/>
      <c r="Q18" s="1095">
        <f>$C18-$D18-$L18</f>
        <v>0.959848939090909</v>
      </c>
      <c r="R18" s="1095">
        <f>'1.6 Finance'!$J$15+'1.6 Finance'!$J$16+'1.6 Finance'!$J$17+'1.6 Finance'!$J$19</f>
        <v>0.45</v>
      </c>
      <c r="S18" s="1095">
        <f>$Q18-$R18</f>
        <v>0.509848939090909</v>
      </c>
    </row>
    <row r="19">
      <c r="B19" s="534" t="inlineStr">
        <is>
          <t>TDD Group Functions</t>
        </is>
      </c>
      <c r="C19" s="1094">
        <f>INDEX('2.4 TDD Group Functions'!$S$7:$S$24,MATCH("Total portfolio",'2.4 TDD Group Functions'!$B$7:$B$24,0))</f>
        <v>8.91132253064348</v>
      </c>
      <c r="D19" s="1094">
        <f>INDEX('2.4 TDD Group Functions'!$P$7:$P$24,MATCH("Total portfolio",'2.4 TDD Group Functions'!$B$7:$B$24,0))</f>
        <v>1.32454851</v>
      </c>
      <c r="E19" s="1094">
        <f>'2.4 TDD Group Functions'!$S$8*'1.4 TDD Group Functions'!$G$22+'2.4 TDD Group Functions'!$S$9*'1.4 TDD Group Functions'!$G$23+'2.4 TDD Group Functions'!$S$10*'1.4 TDD Group Functions'!$G$24+'2.4 TDD Group Functions'!$S$11*'1.4 TDD Group Functions'!$G$21</f>
        <v>4.52504150317043</v>
      </c>
      <c r="F19" s="1094">
        <f>Lists!$AG$18/Lists!$AG$20</f>
        <v>0.210322581818182</v>
      </c>
      <c r="G19" s="1094">
        <f>Lists!$AG$19/Lists!$AG$20</f>
        <v>0.126266935090909</v>
      </c>
      <c r="H19" s="1094">
        <f>Lists!$AG$13/Lists!$AG$21</f>
        <v>0.31875</v>
      </c>
      <c r="I19" s="1094">
        <f>INDEX('2.4 TDD Group Functions'!$S$7:$S$24,MATCH("Overhead roles total",'2.4 TDD Group Functions'!$B$7:$B$24,0))</f>
        <v>1.61115954</v>
      </c>
      <c r="J19" s="1070" t="n">
        <v>1</v>
      </c>
      <c r="K19" s="1094">
        <f>$F19+$G19+$H19+$I19*$J19</f>
        <v>2.26649905690909</v>
      </c>
      <c r="L19" s="1094">
        <f>$K19+$E19</f>
        <v>6.79154056007953</v>
      </c>
      <c r="M19" s="1094">
        <f>'0.2 Data Config'!$E$21</f>
        <v>5.5</v>
      </c>
      <c r="O19" s="1094">
        <f>$L19-$M19</f>
        <v>1.29154056007953</v>
      </c>
      <c r="Q19" s="1094">
        <f>$C19-$D19-$L19</f>
        <v>0.795233460563953</v>
      </c>
      <c r="R19" s="1094">
        <f>0</f>
        <v>0</v>
      </c>
      <c r="S19" s="1094">
        <f>$Q19-$R19</f>
        <v>0.795233460563953</v>
      </c>
    </row>
    <row r="20">
      <c r="B20" s="1071" t="inlineStr">
        <is>
          <t>Enterprise Data</t>
        </is>
      </c>
      <c r="C20" s="1095">
        <f>INDEX('2.3 Enterprise Data'!$S$7:$S$23,MATCH("Total portfolio",'2.3 Enterprise Data'!$B$7:$B$23,0))</f>
        <v>6.316559406</v>
      </c>
      <c r="D20" s="1095">
        <f>INDEX('2.3 Enterprise Data'!$P$7:$P$23,MATCH("Total portfolio",'2.3 Enterprise Data'!$B$7:$B$23,0))</f>
        <v>1.83595565</v>
      </c>
      <c r="E20" s="1095">
        <f>'2.3 Enterprise Data'!$S$8*'1.3 Enterprise Data'!$G$29+'2.3 Enterprise Data'!$S$9*'1.3 Enterprise Data'!$G$27+'2.3 Enterprise Data'!$S$10*'1.3 Enterprise Data'!$G$28</f>
        <v>2.0642397144</v>
      </c>
      <c r="F20" s="1095">
        <f>Lists!$AG$18/Lists!$AG$20</f>
        <v>0.210322581818182</v>
      </c>
      <c r="G20" s="1095">
        <f>Lists!$AG$19/Lists!$AG$20</f>
        <v>0.126266935090909</v>
      </c>
      <c r="H20" s="1095">
        <f>Lists!$AG$13/Lists!$AG$21</f>
        <v>0.31875</v>
      </c>
      <c r="I20" s="1095">
        <f>INDEX('2.3 Enterprise Data'!$S$7:$S$23,MATCH("Overhead roles total",'2.3 Enterprise Data'!$B$7:$B$23,0))</f>
        <v>1.06103445</v>
      </c>
      <c r="J20" s="1070" t="n">
        <v>1</v>
      </c>
      <c r="K20" s="1095">
        <f>$F20+$G20+$H20+$I20*$J20</f>
        <v>1.71637396690909</v>
      </c>
      <c r="L20" s="1095">
        <f>$K20+$E20</f>
        <v>3.78061368130909</v>
      </c>
      <c r="M20" s="1095">
        <f>'0.2 Data Config'!$E$22</f>
        <v>3.5</v>
      </c>
      <c r="N20" s="1071" t="n"/>
      <c r="O20" s="1095">
        <f>$L20-$M20</f>
        <v>0.280613681309091</v>
      </c>
      <c r="P20" s="1071" t="n"/>
      <c r="Q20" s="1095">
        <f>$C20-$D20-$L20</f>
        <v>0.699990074690909</v>
      </c>
      <c r="R20" s="1095">
        <f>'1.3 Enterprise Data'!$J$15</f>
        <v>0</v>
      </c>
      <c r="S20" s="1095">
        <f>$Q20-$R20</f>
        <v>0.699990074690909</v>
      </c>
    </row>
    <row r="21">
      <c r="B21" s="534" t="inlineStr">
        <is>
          <t>TDD Cyber</t>
        </is>
      </c>
      <c r="C21" s="1094">
        <f>INDEX('2.15 TDD Cyber'!$S$7:$S$17,MATCH("Total portfolio",'2.15 TDD Cyber'!$B$7:$B$17,0))</f>
        <v>2.1381967</v>
      </c>
      <c r="D21" s="1094">
        <f>INDEX('2.15 TDD Cyber'!$P$7:$P$17,MATCH("Total portfolio",'2.15 TDD Cyber'!$B$7:$B$17,0))</f>
        <v>1.2998</v>
      </c>
      <c r="E21" s="1094">
        <f>'2.15 TDD Cyber'!$S$8*'1.14 TDD Cyber'!$G$27</f>
        <v>0.67056012</v>
      </c>
      <c r="F21" s="1094">
        <f>Lists!$AG$18/Lists!$AG$20</f>
        <v>0.210322581818182</v>
      </c>
      <c r="G21" s="1094">
        <f>Lists!$AG$19/Lists!$AG$20</f>
        <v>0.126266935090909</v>
      </c>
      <c r="H21" s="1094">
        <f>Lists!$AG$13/Lists!$AG$21</f>
        <v>0.31875</v>
      </c>
      <c r="I21" s="1094">
        <f>INDEX('2.15 TDD Cyber'!$S$7:$S$17,MATCH("Overhead roles total",'2.15 TDD Cyber'!$B$7:$B$17,0))</f>
        <v>0</v>
      </c>
      <c r="K21" s="1094">
        <f>$F21+$G21+$H21+$I21</f>
        <v>0.655339516909091</v>
      </c>
      <c r="L21" s="1094">
        <f>$K21+$E21</f>
        <v>1.32589963690909</v>
      </c>
      <c r="M21" s="1094">
        <f>'0.2 Data Config'!$E$23</f>
        <v>1.5</v>
      </c>
      <c r="O21" s="1094">
        <f>$L21-$M21</f>
        <v>-0.174100363090909</v>
      </c>
      <c r="Q21" s="1094">
        <f>$C21-$D21-$L21</f>
        <v>-0.487502936909091</v>
      </c>
      <c r="R21" s="1094">
        <f>'1.14 TDD Cyber'!$J$17</f>
        <v>0.16</v>
      </c>
      <c r="S21" s="1094">
        <f>$Q21-$R21</f>
        <v>-0.647502936909091</v>
      </c>
    </row>
    <row r="22">
      <c r="B22" s="1071" t="inlineStr">
        <is>
          <t>EGI</t>
        </is>
      </c>
      <c r="C22" s="1095">
        <f>INDEX('2.14 EGI'!$S$7:$S$9,MATCH("Total portfolio",'2.14 EGI'!$B$7:$B$9,0))</f>
        <v>5.15081935</v>
      </c>
      <c r="D22" s="1095">
        <f>INDEX('2.14 EGI'!$P$7:$P$9,MATCH("Total portfolio",'2.14 EGI'!$B$7:$B$9,0))</f>
        <v>5.15081935</v>
      </c>
      <c r="E22" s="1095">
        <f>0</f>
        <v>0</v>
      </c>
      <c r="F22" s="1095">
        <f>0</f>
        <v>0</v>
      </c>
      <c r="G22" s="1095">
        <f>0</f>
        <v>0</v>
      </c>
      <c r="H22" s="1095">
        <f>0</f>
        <v>0</v>
      </c>
      <c r="I22" s="1095">
        <f>0</f>
        <v>0</v>
      </c>
      <c r="J22" s="1071" t="n"/>
      <c r="K22" s="1095">
        <f>$F22+$G22+$H22+$I22</f>
        <v>0</v>
      </c>
      <c r="L22" s="1095">
        <f>$K22+$E22</f>
        <v>0</v>
      </c>
      <c r="M22" s="1095">
        <f>'0.2 Data Config'!$E$25</f>
        <v>0</v>
      </c>
      <c r="N22" s="1071" t="n"/>
      <c r="O22" s="1095">
        <f>$L22-$M22</f>
        <v>0</v>
      </c>
      <c r="P22" s="1071" t="n"/>
      <c r="Q22" s="1095">
        <f>$C22-$D22-$L22</f>
        <v>0</v>
      </c>
      <c r="R22" s="1095">
        <f>0</f>
        <v>0</v>
      </c>
      <c r="S22" s="1095">
        <f>$Q22-$R22</f>
        <v>0</v>
      </c>
    </row>
    <row r="23">
      <c r="B23" s="1073" t="inlineStr">
        <is>
          <t>Total, over or under the allocations for these rows</t>
        </is>
      </c>
      <c r="C23" s="1096">
        <f>SUM(C5:C22)</f>
        <v>105.277872089363</v>
      </c>
      <c r="D23" s="1096">
        <f>SUM(D5:D22)</f>
        <v>19.0714828912</v>
      </c>
      <c r="E23" s="1096">
        <f>SUM(E5:E22)</f>
        <v>36.2174798162664</v>
      </c>
      <c r="F23" s="1096">
        <f>SUM(F5:F22)</f>
        <v>2.3135484</v>
      </c>
      <c r="G23" s="1096">
        <f>SUM(G5:G22)</f>
        <v>1.388936286</v>
      </c>
      <c r="H23" s="1096">
        <f>SUM(H5:H22)</f>
        <v>5.1</v>
      </c>
      <c r="I23" s="1096">
        <f>SUM(I5:I22)</f>
        <v>14.370551328</v>
      </c>
      <c r="J23" s="1073" t="n"/>
      <c r="K23" s="1096">
        <f>SUM(K5:K22)</f>
        <v>23.173036014</v>
      </c>
      <c r="L23" s="1096">
        <f>SUM(L5:L22)</f>
        <v>59.3905158302664</v>
      </c>
      <c r="M23" s="1096">
        <f>SUM(M5:M22)</f>
        <v>50.5</v>
      </c>
      <c r="N23" s="1073" t="n"/>
      <c r="O23" s="1096">
        <f>SUM(O5:O22)</f>
        <v>8.89051583026643</v>
      </c>
      <c r="P23" s="1073" t="n"/>
      <c r="Q23" s="1096">
        <f>SUM(Q5:Q22)</f>
        <v>26.815873367897</v>
      </c>
      <c r="R23" s="1096">
        <f>SUM(R5:R22)</f>
        <v>34.382484686</v>
      </c>
      <c r="S23" s="1096">
        <f>SUM(S5:S22)</f>
        <v>-7.56661131810296</v>
      </c>
    </row>
    <row r="24">
      <c r="B24" s="1075" t="inlineStr">
        <is>
          <t>Budget, over or under the full TDD budget</t>
        </is>
      </c>
      <c r="M24" s="1097">
        <f>'0.2 Data Config'!$E$27</f>
        <v>53.8</v>
      </c>
      <c r="O24" s="1097">
        <f>$L$23-$M$24</f>
        <v>5.59051583026643</v>
      </c>
    </row>
    <row r="25"/>
    <row r="26">
      <c r="B26" s="1075" t="inlineStr">
        <is>
          <t>Where the total people cost goes</t>
        </is>
      </c>
      <c r="G26" s="1075" t="n"/>
    </row>
    <row r="27">
      <c r="B27" s="534" t="inlineStr">
        <is>
          <t>Total people cost (column C)</t>
        </is>
      </c>
      <c r="G27" s="1094">
        <f>$C$23</f>
        <v>105.277872089363</v>
      </c>
    </row>
    <row r="28">
      <c r="B28" s="534" t="inlineStr">
        <is>
          <t>less funded outside TDD, the EGI and programme funded people (column D)</t>
        </is>
      </c>
      <c r="G28" s="1094">
        <f>-$D$23</f>
        <v>-19.0714828912</v>
      </c>
    </row>
    <row r="29">
      <c r="B29" s="1075" t="inlineStr">
        <is>
          <t>equals what TDD has to fund</t>
        </is>
      </c>
      <c r="G29" s="1097">
        <f>$C$23-$D$23</f>
        <v>86.2063891981635</v>
      </c>
    </row>
    <row r="30">
      <c r="B30" s="534" t="inlineStr">
        <is>
          <t>less charged to the lights on budget (column L)</t>
        </is>
      </c>
      <c r="G30" s="1094">
        <f>-$L$23</f>
        <v>-59.3905158302664</v>
      </c>
    </row>
    <row r="31">
      <c r="B31" s="1075" t="inlineStr">
        <is>
          <t>equals left to recharge to the business (column Q)</t>
        </is>
      </c>
      <c r="G31" s="1097">
        <f>$Q$23</f>
        <v>26.815873367897</v>
      </c>
    </row>
    <row r="32">
      <c r="B32" s="534" t="inlineStr">
        <is>
          <t>less already noted, the 1.x tabs and the two pots charged out (column R)</t>
        </is>
      </c>
      <c r="G32" s="1094">
        <f>-$R$23</f>
        <v>-34.382484686</v>
      </c>
    </row>
    <row r="33">
      <c r="B33" s="1075" t="inlineStr">
        <is>
          <t>equals still left to fund (column S)</t>
        </is>
      </c>
      <c r="G33" s="1097">
        <f>$S$23</f>
        <v>-7.56661131810296</v>
      </c>
    </row>
    <row r="34"/>
    <row r="35">
      <c r="B35" s="1075" t="inlineStr">
        <is>
          <t>What makes up the charge to TDD</t>
        </is>
      </c>
      <c r="G35" s="1075" t="n"/>
    </row>
    <row r="36">
      <c r="B36" s="534" t="inlineStr">
        <is>
          <t>Support cost, the percentage in the 1.x tabs (column E)</t>
        </is>
      </c>
      <c r="G36" s="1094">
        <f>$E$23</f>
        <v>36.2174798162664</v>
      </c>
    </row>
    <row r="37">
      <c r="B37" s="534" t="inlineStr">
        <is>
          <t>Business Partner share (column F)</t>
        </is>
      </c>
      <c r="G37" s="1094">
        <f>$F$23</f>
        <v>2.3135484</v>
      </c>
    </row>
    <row r="38">
      <c r="B38" s="534" t="inlineStr">
        <is>
          <t>Domain Architect share (column G)</t>
        </is>
      </c>
      <c r="G38" s="1094">
        <f>$G$23</f>
        <v>1.388936286</v>
      </c>
    </row>
    <row r="39">
      <c r="B39" s="534" t="inlineStr">
        <is>
          <t>GM share (column H)</t>
        </is>
      </c>
      <c r="G39" s="1094">
        <f>$H$23</f>
        <v>5.1</v>
      </c>
    </row>
    <row r="40">
      <c r="B40" s="534" t="inlineStr">
        <is>
          <t>Other overheads after the toggles (column I times column J)</t>
        </is>
      </c>
      <c r="G40" s="1094">
        <f>$K$23-$F$23-$G$23-$H$23</f>
        <v>14.370551328</v>
      </c>
    </row>
    <row r="41">
      <c r="B41" s="1075" t="inlineStr">
        <is>
          <t>equals charged to TDD lights on (column L)</t>
        </is>
      </c>
      <c r="G41" s="1097">
        <f>$L$23</f>
        <v>59.3905158302664</v>
      </c>
    </row>
    <row r="42">
      <c r="B42" s="534" t="inlineStr">
        <is>
          <t>TDD lights on budget</t>
        </is>
      </c>
      <c r="G42" s="1094">
        <f>$M$24</f>
        <v>53.8</v>
      </c>
    </row>
    <row r="43">
      <c r="B43" s="1075" t="inlineStr">
        <is>
          <t>equals over the budget</t>
        </is>
      </c>
      <c r="G43" s="1097">
        <f>$L$23-$M$24</f>
        <v>5.59051583026643</v>
      </c>
    </row>
    <row r="44"/>
    <row r="45"/>
    <row r="46"/>
    <row r="47"/>
    <row r="48">
      <c r="B48" s="1075" t="inlineStr">
        <is>
          <t>Why the lights on number is far from the archetype</t>
        </is>
      </c>
    </row>
    <row r="49">
      <c r="B49" s="534" t="inlineStr">
        <is>
          <t>Overhead the archetype allows for, GMs included ($m)</t>
        </is>
      </c>
      <c r="G49" s="1094">
        <f>Lists!$AJ$9</f>
        <v>11.605</v>
      </c>
    </row>
    <row r="50">
      <c r="B50" s="534" t="inlineStr">
        <is>
          <t>What the overhead people cost after levers, GMs included ($m)</t>
        </is>
      </c>
      <c r="G50" s="1094">
        <f>$I$23+Lists!$AG$18+Lists!$AG$19+Lists!$AG$13</f>
        <v>23.173036014</v>
      </c>
    </row>
    <row r="51">
      <c r="B51" s="1075" t="inlineStr">
        <is>
          <t>The gap ($m)</t>
        </is>
      </c>
      <c r="G51" s="1094">
        <f>$G$50-$G$49</f>
        <v>11.568036014</v>
      </c>
    </row>
    <row r="52">
      <c r="B52" s="1075" t="inlineStr">
        <is>
          <t>Where the gap sits, every line after levers against its archetype allowance ($m):</t>
        </is>
      </c>
      <c r="G52" s="1077" t="inlineStr">
        <is>
          <t>After levers ($m)</t>
        </is>
      </c>
      <c r="H52" s="1077" t="inlineStr">
        <is>
          <t>Archetype allowance ($m)</t>
        </is>
      </c>
      <c r="I52" s="1077" t="inlineStr">
        <is>
          <t>Gap ($m)</t>
        </is>
      </c>
    </row>
    <row r="53">
      <c r="B53" s="534" t="inlineStr">
        <is>
          <t>Head of Technology</t>
        </is>
      </c>
      <c r="G53" s="1094">
        <f>('2.1 Ampol Retail'!$G$106+'2.10 Z Retail'!$G$64+'2.11 Cyber Risk &amp; Service Ops'!$G$40+'2.11 Cyber Risk &amp; Service Ops'!$G$45+'2.12 COE BP&amp;T'!$G$44+'2.13 COE SA&amp;D'!$G$52+'2.13 COE SA&amp;D'!$G$53+'2.2 Customer'!$G$121+'2.2 Customer'!$G$122+'2.3 Enterprise Data'!$G$62+'2.4 TDD Group Functions'!$G$78+'2.5 P&amp;C'!$G$43+'2.7 Infrastructure'!$G$65+'2.8 Energy Solutions &amp; B2B'!$G$57+'2.9 Commercial Fuels'!$G$69)/1000000</f>
        <v>4.717617834</v>
      </c>
      <c r="H53" s="1094">
        <f>Lists!$AJ$2</f>
        <v>1.375</v>
      </c>
      <c r="I53" s="1094">
        <f>$G53-$H53</f>
        <v>3.342617834</v>
      </c>
    </row>
    <row r="54">
      <c r="B54" s="534" t="inlineStr">
        <is>
          <t>Business Partner</t>
        </is>
      </c>
      <c r="G54" s="1094">
        <f>('2.12 COE BP&amp;T'!$G$37+'2.12 COE BP&amp;T'!$G$38+'2.12 COE BP&amp;T'!$G$39+'2.12 COE BP&amp;T'!$G$40+'2.12 COE BP&amp;T'!$G$41+'2.12 COE BP&amp;T'!$G$42)/1000000</f>
        <v>2.3135484</v>
      </c>
      <c r="H54" s="1094">
        <f>Lists!$AJ$3</f>
        <v>2.2</v>
      </c>
      <c r="I54" s="1094">
        <f>$G54-$H54</f>
        <v>0.1135484</v>
      </c>
    </row>
    <row r="55">
      <c r="B55" s="534" t="inlineStr">
        <is>
          <t>Domain Architect</t>
        </is>
      </c>
      <c r="G55" s="1094">
        <f>('2.13 COE SA&amp;D'!$G$34+'2.13 COE SA&amp;D'!$G$35+'2.13 COE SA&amp;D'!$G$36+'2.13 COE SA&amp;D'!$G$37+'2.13 COE SA&amp;D'!$G$38+'2.13 COE SA&amp;D'!$G$39+'2.13 COE SA&amp;D'!$G$40)/1000000</f>
        <v>1.388936286</v>
      </c>
      <c r="H55" s="1094">
        <f>Lists!$AJ$4</f>
        <v>1.4</v>
      </c>
      <c r="I55" s="1094">
        <f>$G55-$H55</f>
        <v>-0.0110637140000001</v>
      </c>
    </row>
    <row r="56">
      <c r="B56" s="534" t="inlineStr">
        <is>
          <t>Delivery Manager</t>
        </is>
      </c>
      <c r="G56" s="1094">
        <f>('2.1 Ampol Retail'!$G$108+'2.10 Z Retail'!$G$66+'2.12 COE BP&amp;T'!$G$45+'2.12 COE BP&amp;T'!$G$46+'2.13 COE SA&amp;D'!$G$51+'2.2 Customer'!$G$124+'2.2 Customer'!$G$125+'2.4 TDD Group Functions'!$G$80+'2.5 P&amp;C'!$G$45+'2.7 Infrastructure'!$G$67+'2.8 Energy Solutions &amp; B2B'!$G$59+'2.9 Commercial Fuels'!$G$71)/1000000</f>
        <v>3.282528103</v>
      </c>
      <c r="H56" s="1094">
        <f>Lists!$AJ$5</f>
        <v>1.848</v>
      </c>
      <c r="I56" s="1094">
        <f>$G56-$H56</f>
        <v>1.434528103</v>
      </c>
    </row>
    <row r="57">
      <c r="B57" s="534" t="inlineStr">
        <is>
          <t>Technology Manager</t>
        </is>
      </c>
      <c r="G57" s="1094">
        <f>('2.1 Ampol Retail'!$G$110+'2.1 Ampol Retail'!$G$111+'2.1 Ampol Retail'!$G$112+'2.10 Z Retail'!$G$68+'2.10 Z Retail'!$G$69+'2.10 Z Retail'!$G$70+'2.2 Customer'!$G$127+'2.2 Customer'!$G$128+'2.2 Customer'!$G$129+'2.2 Customer'!$G$130+'2.3 Enterprise Data'!$G$64+'2.3 Enterprise Data'!$G$65+'2.4 TDD Group Functions'!$G$82+'2.4 TDD Group Functions'!$G$83+'2.4 TDD Group Functions'!$G$84+'2.4 TDD Group Functions'!$G$85+'2.5 P&amp;C'!$G$47+'2.6 Finance'!$G$45+'2.7 Infrastructure'!$G$69+'2.7 Infrastructure'!$G$70+'2.8 Energy Solutions &amp; B2B'!$G$61+'2.8 Energy Solutions &amp; B2B'!$G$62+'2.9 Commercial Fuels'!$G$73+'2.9 Commercial Fuels'!$G$74)/1000000</f>
        <v>6.370405391</v>
      </c>
      <c r="H57" s="1094">
        <f>Lists!$AJ$6</f>
        <v>1.782</v>
      </c>
      <c r="I57" s="1094">
        <f>$G57-$H57</f>
        <v>4.588405391</v>
      </c>
    </row>
    <row r="58">
      <c r="B58" s="534" t="inlineStr">
        <is>
          <t>Leadership, 8 GMs</t>
        </is>
      </c>
      <c r="G58" s="1094">
        <f>Lists!$AG$13</f>
        <v>5.1</v>
      </c>
      <c r="H58" s="1094">
        <f>Lists!$AJ$7</f>
        <v>3</v>
      </c>
      <c r="I58" s="1094">
        <f>$G58-$H58</f>
        <v>2.1</v>
      </c>
    </row>
    <row r="59">
      <c r="B59" s="534" t="inlineStr">
        <is>
          <t>Program Management</t>
        </is>
      </c>
      <c r="G59" s="1094">
        <f>0</f>
        <v>0</v>
      </c>
      <c r="H59" s="1094">
        <f>Lists!$AJ$8</f>
        <v>0</v>
      </c>
      <c r="I59" s="1094">
        <f>$G59-$H59</f>
        <v>0</v>
      </c>
    </row>
    <row r="60">
      <c r="B60" s="1075" t="inlineStr">
        <is>
          <t>Total, which is the gap above</t>
        </is>
      </c>
      <c r="G60" s="1097">
        <f>SUM(G53:G59)</f>
        <v>23.173036014</v>
      </c>
      <c r="H60" s="1097">
        <f>SUM(H53:H59)</f>
        <v>11.605</v>
      </c>
      <c r="I60" s="1097">
        <f>SUM(I53:I59)</f>
        <v>11.568036014</v>
      </c>
    </row>
    <row r="61">
      <c r="B61" s="534" t="inlineStr">
        <is>
          <t>Squads after levers run under archetype, which is why the total cost never showed it. The overhead people are the lights on story.</t>
        </is>
      </c>
    </row>
    <row r="62"/>
    <row r="63"/>
    <row r="64">
      <c r="B64" s="1075" t="inlineStr">
        <is>
          <t>Vacant overheads, the biggest dial</t>
        </is>
      </c>
      <c r="G64" s="1075" t="inlineStr">
        <is>
          <t>Vacant roles</t>
        </is>
      </c>
      <c r="H64" s="1075" t="inlineStr">
        <is>
          <t>On Hire at full price ($m)</t>
        </is>
      </c>
    </row>
    <row r="65">
      <c r="B65" s="534" t="inlineStr">
        <is>
          <t>Head of Technology</t>
        </is>
      </c>
      <c r="G65" s="1078">
        <f>COUNTIF('2.13 COE SA&amp;D'!$E$52,"Hire")+COUNTIF('2.13 COE SA&amp;D'!$E$53,"Hire")+COUNTIF('2.4 TDD Group Functions'!$E$78,"Hire")</f>
        <v>3</v>
      </c>
      <c r="H65" s="1094">
        <f>('2.13 COE SA&amp;D'!$G$52+'2.13 COE SA&amp;D'!$G$53+'2.4 TDD Group Functions'!$G$78)/1000000</f>
        <v>1.00101345</v>
      </c>
    </row>
    <row r="66">
      <c r="B66" s="534" t="inlineStr">
        <is>
          <t>Business Partner</t>
        </is>
      </c>
      <c r="G66" s="1078">
        <f>0</f>
        <v>0</v>
      </c>
      <c r="H66" s="1094">
        <f>0</f>
        <v>0</v>
      </c>
    </row>
    <row r="67">
      <c r="B67" s="534" t="inlineStr">
        <is>
          <t>Domain Architect</t>
        </is>
      </c>
      <c r="G67" s="1078">
        <f>COUNTIF('2.13 COE SA&amp;D'!$E$38,"Hire")+COUNTIF('2.13 COE SA&amp;D'!$E$39,"Hire")+COUNTIF('2.13 COE SA&amp;D'!$E$40,"Hire")</f>
        <v>3</v>
      </c>
      <c r="H67" s="1094">
        <f>('2.13 COE SA&amp;D'!$G$38+'2.13 COE SA&amp;D'!$G$39+'2.13 COE SA&amp;D'!$G$40)/1000000</f>
        <v>0.69506775</v>
      </c>
    </row>
    <row r="68">
      <c r="B68" s="534" t="inlineStr">
        <is>
          <t>Delivery Manager</t>
        </is>
      </c>
      <c r="G68" s="1078">
        <f>COUNTIF('2.10 Z Retail'!$E$66,"Hire")+COUNTIF('2.12 COE BP&amp;T'!$E$45,"Hire")+COUNTIF('2.12 COE BP&amp;T'!$E$46,"Hire")+COUNTIF('2.4 TDD Group Functions'!$E$80,"Hire")+COUNTIF('2.5 P&amp;C'!$E$45,"Hire")+COUNTIF('2.8 Energy Solutions &amp; B2B'!$E$59,"Hire")+COUNTIF('2.9 Commercial Fuels'!$E$71,"Hire")</f>
        <v>7</v>
      </c>
      <c r="H68" s="1094">
        <f>('2.10 Z Retail'!$G$66+'2.12 COE BP&amp;T'!$G$45+'2.12 COE BP&amp;T'!$G$46+'2.4 TDD Group Functions'!$G$80+'2.5 P&amp;C'!$G$45+'2.8 Energy Solutions &amp; B2B'!$G$59+'2.9 Commercial Fuels'!$G$71)/1000000</f>
        <v>1.85771475</v>
      </c>
    </row>
    <row r="69">
      <c r="B69" s="534" t="inlineStr">
        <is>
          <t>Technology Manager</t>
        </is>
      </c>
      <c r="G69" s="1078">
        <f>COUNTIF('2.2 Customer'!$E$130,"Hire")+COUNTIF('2.4 TDD Group Functions'!$E$85,"Hire")+COUNTIF('2.7 Infrastructure'!$E$70,"Hire")+COUNTIF('2.9 Commercial Fuels'!$E$74,"Hire")</f>
        <v>4</v>
      </c>
      <c r="H69" s="1094">
        <f>('2.2 Customer'!$G$130+'2.4 TDD Group Functions'!$G$85+'2.7 Infrastructure'!$G$70+'2.9 Commercial Fuels'!$G$74)/1000000</f>
        <v>1.13233285</v>
      </c>
    </row>
    <row r="70">
      <c r="B70" s="1075" t="inlineStr">
        <is>
          <t>All vacant overheads on Hire</t>
        </is>
      </c>
      <c r="G70" s="1079">
        <f>SUM(G65:G69)</f>
        <v>17</v>
      </c>
      <c r="H70" s="1097">
        <f>SUM(H65:H69)</f>
        <v>4.6861288</v>
      </c>
    </row>
    <row r="71">
      <c r="B71" s="534" t="inlineStr">
        <is>
          <t>Vacant roles carrying the Filled lever, priced in full but not on Hire</t>
        </is>
      </c>
      <c r="G71" s="1078">
        <f>COUNTIF('2.10 Z Retail'!$E$64,"Filled")</f>
        <v>1</v>
      </c>
      <c r="H71" s="1094">
        <f>('2.10 Z Retail'!$G$64)/1000000</f>
        <v>0.291422</v>
      </c>
    </row>
    <row r="72">
      <c r="B72" s="1075" t="inlineStr">
        <is>
          <t>Every vacant overhead still carrying a price</t>
        </is>
      </c>
      <c r="G72" s="1079">
        <f>SUM(G70:G71)</f>
        <v>18</v>
      </c>
      <c r="H72" s="1097">
        <f>SUM(H70:H71)</f>
        <v>4.9775508</v>
      </c>
    </row>
    <row r="73">
      <c r="B73" s="534" t="str">
        <f>"The biggest vacant overhead dial is "&amp;INDEX($B$65:$B$69,MATCH(MAX($H$65:$H$69),$H$65:$H$69,0))&amp;", "&amp;TEXT(MAX($H$65:$H$69),"#,##0.00")&amp;"m of vacancies still priced on Hire."</f>
        <v>The biggest vacant overhead dial is Delivery Manager, 1.86m of vacancies still priced on Hire.</v>
      </c>
    </row>
    <row r="74">
      <c r="B74" s="534" t="str">
        <f>"Already levered and carrying no price: "&amp;TEXT(COUNTIF('2.10 Z Retail'!$E$64,"Hold")+COUNTIF('2.10 Z Retail'!$E$66,"Hold")+COUNTIF('2.12 COE BP&amp;T'!$E$45,"Hold")+COUNTIF('2.12 COE BP&amp;T'!$E$46,"Hold")+COUNTIF('2.13 COE SA&amp;D'!$E$37,"Hold")+COUNTIF('2.13 COE SA&amp;D'!$E$38,"Hold")+COUNTIF('2.13 COE SA&amp;D'!$E$39,"Hold")+COUNTIF('2.13 COE SA&amp;D'!$E$40,"Hold")+COUNTIF('2.13 COE SA&amp;D'!$E$52,"Hold")+COUNTIF('2.13 COE SA&amp;D'!$E$53,"Hold")+COUNTIF('2.2 Customer'!$E$130,"Hold")+COUNTIF('2.4 TDD Group Functions'!$E$78,"Hold")+COUNTIF('2.4 TDD Group Functions'!$E$80,"Hold")+COUNTIF('2.4 TDD Group Functions'!$E$85,"Hold")+COUNTIF('2.5 P&amp;C'!$E$45,"Hold")+COUNTIF('2.7 Infrastructure'!$E$70,"Hold")+COUNTIF('2.8 Energy Solutions &amp; B2B'!$E$59,"Hold")+COUNTIF('2.9 Commercial Fuels'!$E$71,"Hold")+COUNTIF('2.9 Commercial Fuels'!$E$74,"Hold"),"0")&amp;" on Hold at zero and "&amp;TEXT(COUNTIF('2.10 Z Retail'!$E$64,"Offshore")+COUNTIF('2.10 Z Retail'!$E$66,"Offshore")+COUNTIF('2.12 COE BP&amp;T'!$E$45,"Offshore")+COUNTIF('2.12 COE BP&amp;T'!$E$46,"Offshore")+COUNTIF('2.13 COE SA&amp;D'!$E$37,"Offshore")+COUNTIF('2.13 COE SA&amp;D'!$E$38,"Offshore")+COUNTIF('2.13 COE SA&amp;D'!$E$39,"Offshore")+COUNTIF('2.13 COE SA&amp;D'!$E$40,"Offshore")+COUNTIF('2.13 COE SA&amp;D'!$E$52,"Offshore")+COUNTIF('2.13 COE SA&amp;D'!$E$53,"Offshore")+COUNTIF('2.2 Customer'!$E$130,"Offshore")+COUNTIF('2.4 TDD Group Functions'!$E$78,"Offshore")+COUNTIF('2.4 TDD Group Functions'!$E$80,"Offshore")+COUNTIF('2.4 TDD Group Functions'!$E$85,"Offshore")+COUNTIF('2.5 P&amp;C'!$E$45,"Offshore")+COUNTIF('2.7 Infrastructure'!$E$70,"Offshore")+COUNTIF('2.8 Energy Solutions &amp; B2B'!$E$59,"Offshore")+COUNTIF('2.9 Commercial Fuels'!$E$71,"Offshore")+COUNTIF('2.9 Commercial Fuels'!$E$74,"Offshore"),"0")&amp;" offshored. Every vacant overhead role, priced or not, numbers "&amp;TEXT(19,"0")&amp;"."</f>
        <v>Already levered and carrying no price: 1 on Hold at zero and 0 offshored. Every vacant overhead role, priced or not, numbers 19.</v>
      </c>
    </row>
    <row r="75">
      <c r="B75" s="534" t="inlineStr">
        <is>
          <t>Hold every vacant overhead role still priced and the lights on total drops by this amount ($m)</t>
        </is>
      </c>
      <c r="G75" s="1094">
        <f>$H$72</f>
        <v>4.9775508</v>
      </c>
    </row>
    <row r="76"/>
    <row r="77">
      <c r="B77" s="1075" t="inlineStr">
        <is>
          <t>The dials</t>
        </is>
      </c>
    </row>
    <row r="78">
      <c r="B78" s="534" t="inlineStr">
        <is>
          <t>Hold the vacant overhead roles ($m)</t>
        </is>
      </c>
      <c r="G78" s="1094">
        <f>$G$75</f>
        <v>4.9775508</v>
      </c>
    </row>
    <row r="79">
      <c r="B79" s="534" t="inlineStr">
        <is>
          <t>Fund the GMs above the lights on budget ($m)</t>
        </is>
      </c>
      <c r="G79" s="1094">
        <f>Lists!$AG$13</f>
        <v>5.1</v>
      </c>
    </row>
    <row r="80">
      <c r="B80" s="534" t="inlineStr">
        <is>
          <t>Bring COE Cyber Risk &amp; Service Ops back inside its allocation ($m over today)</t>
        </is>
      </c>
      <c r="G80" s="1094">
        <f>$O$6</f>
        <v>4.2466671292</v>
      </c>
    </row>
    <row r="81">
      <c r="B81" s="534" t="inlineStr">
        <is>
          <t>The unallocated slice of the full TDD budget ($m)</t>
        </is>
      </c>
      <c r="G81" s="1094">
        <f>'0.2 Data Config'!$E$28</f>
        <v>3.3</v>
      </c>
    </row>
    <row r="82">
      <c r="B82" s="534" t="inlineStr">
        <is>
          <t>These four are alternatives, not a stack. They do not add to the gap: the GM layer is already inside the charge, COE Cyber Risk &amp; Service Ops is already inside the over or under above, and the unallocated slice is the bridge between the two over or under rows, not a saving.</t>
        </is>
      </c>
    </row>
    <row r="83"/>
    <row r="84">
      <c r="B84" s="1075" t="inlineStr">
        <is>
          <t>Total archetype cost against total actual cost after levers ($m)</t>
        </is>
      </c>
      <c r="G84" s="1094">
        <f>'3.1 Archetype to Actuals'!$D$21</f>
        <v>113.9540138464</v>
      </c>
      <c r="H84" s="1094">
        <f>$C$23</f>
        <v>105.277872089363</v>
      </c>
    </row>
    <row r="85">
      <c r="B85" s="534" t="inlineStr">
        <is>
          <t>Add the GM layer and the whole of TDD after levers reads ($m)</t>
        </is>
      </c>
      <c r="G85" s="1094">
        <f>$C$23+Lists!$AG$13</f>
        <v>110.377872089363</v>
      </c>
    </row>
    <row r="86"/>
    <row r="87">
      <c r="B87" s="1075" t="inlineStr">
        <is>
          <t>How to read the table</t>
        </is>
      </c>
    </row>
    <row r="88">
      <c r="B88" s="534" t="inlineStr">
        <is>
          <t>Total People cost is the people in the role mapping. The 8 GMs are not in the role mapping, so their 5.10 is not in column C, but it is in the charge in column H. The two columns are on different populations, and the number in column C is right as it stands.</t>
        </is>
      </c>
    </row>
    <row r="89">
      <c r="B89" s="534" t="inlineStr">
        <is>
          <t>Total People cost is everything the row's people cost after levers, funded squads included, so every cost is represented.</t>
        </is>
      </c>
    </row>
    <row r="90">
      <c r="B90" s="534" t="inlineStr">
        <is>
          <t>Sig items funded is the slice paid for outside the TDD budget: the EGI squads at their funded amount, AmPOS, CTRM and the Cyber Uplift squad, plus the COE Cyber roles charged to the cyber uplift programme.</t>
        </is>
      </c>
    </row>
    <row r="91">
      <c r="B91" s="534" t="inlineStr">
        <is>
          <t>EGI is funded in full from outside TDD, so its whole cost sits in Sig items funded. It carries no support cost, no share of the pots and no overheads, and nothing on that line reaches the lights on budget.</t>
        </is>
      </c>
    </row>
    <row r="92">
      <c r="B92" s="534" t="inlineStr">
        <is>
          <t>The Business Partner and Domain Architect pots divide by eleven, the ten portfolios plus TDD Cyber. The GM layer divides across those eleven and the five COE lines as well, sixteen in all.</t>
        </is>
      </c>
    </row>
    <row r="93">
      <c r="B93" s="534" t="inlineStr">
        <is>
          <t>Ampol Customer and Z Customer split 2.2 Customer on the AU and NZ marks on 1.2 Customer. What sits on neither side, the overhead roles and the squads with no archetype, splits in proportion to the two support costs, and so does their share of the pots.</t>
        </is>
      </c>
    </row>
    <row r="94">
      <c r="B94" s="534" t="inlineStr">
        <is>
          <t>The COE pairs are split by people, not by proportion. Each line takes the squads its planned spend line on the 2.x tab names, and the overhead people in those squads. The line whose squads hold the Business Partner or Domain Architect pot shows that pot as left to recharge, and notes it again in the next column, because columns F and G already charge it to the eleven sharing rows.</t>
        </is>
      </c>
    </row>
    <row r="95">
      <c r="B95" s="534" t="inlineStr">
        <is>
          <t>Every COE line shows a small amount still left to fund, its share of the GM layer. A COE carries a GM share it does not employ and has no business to recharge, so the number is right and it stays.</t>
        </is>
      </c>
    </row>
    <row r="96">
      <c r="B96" s="534" t="str">
        <f>"Amount noted in 1.x tabs holds two things. First, the funding the 1.x tabs already apply to people, "&amp;TEXT($R$23-Lists!$AG$18-Lists!$AG$19,"#,##0.00")&amp;"m of it, leaving out the lines that Sig items funded and the TDD Lights On budget already carry. Second, on the two COE lines, the Business Partner and Domain Architect pots, "&amp;TEXT(Lists!$AG$18+Lists!$AG$19,"#,##0.00")&amp;"m, which appear on no 1.x tab because the allocation columns charge them to the eleven sharing rows."</f>
        <v>Amount noted in 1.x tabs holds two things. First, the funding the 1.x tabs already apply to people, 30.68m of it, leaving out the lines that Sig items funded and the TDD Lights On budget already carry. Second, on the two COE lines, the Business Partner and Domain Architect pots, 3.70m, which appear on no 1.x tab because the allocation columns charge them to the eleven sharing rows.</v>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O5:O24">
    <cfRule type="expression" priority="1" dxfId="11">
      <formula>$O5&gt;0</formula>
    </cfRule>
  </conditionalFormatting>
  <dataValidations count="1">
    <dataValidation sqref="J5 J6 J7 J10 J11 J12 J13 J14 J15 J16 J17 J18 J19 J20"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2.xml><?xml version="1.0" encoding="utf-8"?>
<worksheet xmlns="http://schemas.openxmlformats.org/spreadsheetml/2006/main">
  <sheetPr>
    <tabColor rgb="FF002F6C"/>
    <outlinePr summaryBelow="1" summaryRight="1"/>
    <pageSetUpPr/>
  </sheetPr>
  <dimension ref="A1:Z8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 customWidth="1" style="535" min="1" max="1"/>
    <col width="34" customWidth="1" style="535" min="2" max="2"/>
    <col width="13" customWidth="1" style="535" min="3" max="3"/>
    <col width="12.5" customWidth="1" style="535" min="4" max="4"/>
    <col width="15" customWidth="1" style="535" min="5" max="5"/>
    <col width="11.5" customWidth="1" style="535" min="6" max="6"/>
    <col width="13.5" customWidth="1" style="535" min="7" max="7"/>
    <col width="11.5" customWidth="1" style="535" min="8" max="8"/>
    <col width="12.5" customWidth="1" style="535" min="9" max="9"/>
    <col width="12.5" customWidth="1" style="535" min="10" max="10"/>
    <col width="14" customWidth="1" style="535" min="11" max="11"/>
    <col width="14.5" customWidth="1" style="535" min="12" max="12"/>
    <col width="12" customWidth="1" style="535" min="13" max="13"/>
    <col width="12" customWidth="1" style="535" min="14" max="14"/>
    <col width="12" customWidth="1" style="535" min="15" max="15"/>
    <col width="11" customWidth="1" style="535" min="16" max="16"/>
    <col width="11" customWidth="1" style="535" min="17" max="17"/>
    <col width="12" customWidth="1" style="535" min="18" max="18"/>
    <col width="12" customWidth="1" style="535" min="19" max="19"/>
    <col width="13" customWidth="1" style="535" min="20" max="20"/>
    <col width="2.5" customWidth="1" style="535" min="21" max="21"/>
    <col width="14" customWidth="1" style="535" min="22" max="22"/>
    <col width="2.5" customWidth="1" style="535" min="23" max="23"/>
    <col width="16" customWidth="1" style="535" min="24" max="24"/>
    <col width="15" customWidth="1" style="535" min="25" max="25"/>
    <col width="13" customWidth="1" style="535" min="26" max="26"/>
  </cols>
  <sheetData>
    <row r="1"/>
    <row r="2">
      <c r="B2" s="1067" t="inlineStr">
        <is>
          <t>TDD Lights On, AU and NZ</t>
        </is>
      </c>
    </row>
    <row r="3"/>
    <row r="4" ht="60" customHeight="1" s="535">
      <c r="B4" s="1068" t="inlineStr">
        <is>
          <t>Portfolios &amp; COEs &amp; EGI</t>
        </is>
      </c>
      <c r="C4" s="1068" t="inlineStr">
        <is>
          <t>Total People cost</t>
        </is>
      </c>
      <c r="D4" s="1068" t="inlineStr">
        <is>
          <t>Sig items funded</t>
        </is>
      </c>
      <c r="E4" s="1068" t="inlineStr">
        <is>
          <t>Support Cost (this is the % in the 1.x tabs)</t>
        </is>
      </c>
      <c r="F4" s="1068" t="inlineStr">
        <is>
          <t>BP allocation</t>
        </is>
      </c>
      <c r="G4" s="1068" t="inlineStr">
        <is>
          <t>Domain architect allocation</t>
        </is>
      </c>
      <c r="H4" s="1068" t="inlineStr">
        <is>
          <t>GM allocation</t>
        </is>
      </c>
      <c r="I4" s="1068" t="inlineStr">
        <is>
          <t>Other overheads</t>
        </is>
      </c>
      <c r="J4" s="1068" t="inlineStr">
        <is>
          <t>Other overheads toggle</t>
        </is>
      </c>
      <c r="K4" s="1068" t="inlineStr">
        <is>
          <t>Amount of overheads charged to TDD</t>
        </is>
      </c>
      <c r="L4" s="1068" t="inlineStr">
        <is>
          <t>Total portfolio cost charged to TDD</t>
        </is>
      </c>
      <c r="M4" s="1068" t="inlineStr">
        <is>
          <t>AU spend</t>
        </is>
      </c>
      <c r="N4" s="1068" t="inlineStr">
        <is>
          <t>NZ spend</t>
        </is>
      </c>
      <c r="O4" s="1068" t="inlineStr">
        <is>
          <t>Total</t>
        </is>
      </c>
      <c r="P4" s="1068" t="inlineStr">
        <is>
          <t>AU budget</t>
        </is>
      </c>
      <c r="Q4" s="1068" t="inlineStr">
        <is>
          <t>NZ budget</t>
        </is>
      </c>
      <c r="R4" s="1068" t="inlineStr">
        <is>
          <t>AU over/ (under)</t>
        </is>
      </c>
      <c r="S4" s="1068" t="inlineStr">
        <is>
          <t>NZ over/ (under)</t>
        </is>
      </c>
      <c r="T4" s="1068" t="inlineStr">
        <is>
          <t>TDD Lights On budget</t>
        </is>
      </c>
      <c r="U4" s="1068" t="n"/>
      <c r="V4" s="1068" t="inlineStr">
        <is>
          <t>Over/ Under lights on budget</t>
        </is>
      </c>
      <c r="W4" s="1068" t="n"/>
      <c r="X4" s="1068" t="inlineStr">
        <is>
          <t>Total Cost left to be recharged to business</t>
        </is>
      </c>
      <c r="Y4" s="1068" t="inlineStr">
        <is>
          <t>Amount noted in 1.x tabs</t>
        </is>
      </c>
      <c r="Z4" s="1068" t="inlineStr">
        <is>
          <t>Still left to fund</t>
        </is>
      </c>
    </row>
    <row r="5">
      <c r="B5" s="534" t="inlineStr">
        <is>
          <t>COE Strategy Architecture</t>
        </is>
      </c>
      <c r="C5" s="1094">
        <f>'2.13 COE SA&amp;D'!$S$8+'2.13 COE SA&amp;D'!$S$11+'2.13 COE SA&amp;D'!$S$12</f>
        <v>3.341827336</v>
      </c>
      <c r="D5" s="1094">
        <f>0</f>
        <v>0</v>
      </c>
      <c r="E5" s="1094">
        <f>'2.13 COE SA&amp;D'!$C$24-$I5</f>
        <v>0.91580925</v>
      </c>
      <c r="F5" s="1094">
        <f>0</f>
        <v>0</v>
      </c>
      <c r="G5" s="1094">
        <f>0</f>
        <v>0</v>
      </c>
      <c r="H5" s="1094">
        <f>Lists!$AG$13/Lists!$AG$21</f>
        <v>0.31875</v>
      </c>
      <c r="I5" s="1094">
        <f>('2.13 COE SA&amp;D'!$G$51+'2.13 COE SA&amp;D'!$G$52+'2.13 COE SA&amp;D'!$G$53)/1000000</f>
        <v>1.0370818</v>
      </c>
      <c r="J5" s="1070" t="n">
        <v>1</v>
      </c>
      <c r="K5" s="1094">
        <f>$F5+$G5+$H5+$I5*$J5</f>
        <v>1.3558318</v>
      </c>
      <c r="L5" s="1094">
        <f>$K5+$E5</f>
        <v>2.27164105</v>
      </c>
      <c r="M5" s="1094">
        <f>(('2.13 COE SA&amp;D'!$G$37+'2.13 COE SA&amp;D'!$G$38+'2.13 COE SA&amp;D'!$G$39+'2.13 COE SA&amp;D'!$G$40+'2.13 COE SA&amp;D'!$G$51+'2.13 COE SA&amp;D'!$G$52+'2.13 COE SA&amp;D'!$G$53+'2.13 COE SA&amp;D'!$G$54+'2.13 COE SA&amp;D'!$G$56+'2.13 COE SA&amp;D'!$G$57+'2.13 COE SA&amp;D'!$G$58+'2.13 COE SA&amp;D'!$G$59+'2.13 COE SA&amp;D'!$G$60)/1000000-(('2.13 COE SA&amp;D'!$G$51+'2.13 COE SA&amp;D'!$G$52+'2.13 COE SA&amp;D'!$G$53)/1000000)-(('2.13 COE SA&amp;D'!$G$37+'2.13 COE SA&amp;D'!$G$38+'2.13 COE SA&amp;D'!$G$39+'2.13 COE SA&amp;D'!$G$40)/1000000))+Lists!$AG$13/Lists!$AG$21*$C$69/($C$69+$D$69)+(('2.13 COE SA&amp;D'!$G$51+'2.13 COE SA&amp;D'!$G$52+'2.13 COE SA&amp;D'!$G$53)/1000000)*$J5</f>
        <v>2.20896815692864</v>
      </c>
      <c r="N5" s="1094">
        <f>(('2.13 COE SA&amp;D'!$G$34+'2.13 COE SA&amp;D'!$G$35+'2.13 COE SA&amp;D'!$G$36)/1000000-(0)-(('2.13 COE SA&amp;D'!$G$34+'2.13 COE SA&amp;D'!$G$35+'2.13 COE SA&amp;D'!$G$36)/1000000))+Lists!$AG$13/Lists!$AG$21*$D$69/($C$69+$D$69)</f>
        <v>0.0626728930713611</v>
      </c>
      <c r="O5" s="1094">
        <f>$M5+$N5</f>
        <v>2.27164105</v>
      </c>
      <c r="P5" s="1094">
        <f>'0.2 Data Config'!$C$6</f>
        <v>1.5</v>
      </c>
      <c r="Q5" s="1094">
        <f>'0.2 Data Config'!$D$6</f>
        <v>0.5</v>
      </c>
      <c r="R5" s="1094">
        <f>$M5-$P5</f>
        <v>0.708968156928639</v>
      </c>
      <c r="S5" s="1094">
        <f>$N5-$Q5</f>
        <v>-0.437327106928639</v>
      </c>
      <c r="T5" s="1094">
        <f>'0.2 Data Config'!$E$6</f>
        <v>2</v>
      </c>
      <c r="V5" s="1094">
        <f>$L5-$T5</f>
        <v>0.27164105</v>
      </c>
      <c r="X5" s="1094">
        <f>$C5-$D5-$L5</f>
        <v>1.070186286</v>
      </c>
      <c r="Y5" s="1094">
        <f>Lists!$AG$19</f>
        <v>1.388936286</v>
      </c>
      <c r="Z5" s="1094">
        <f>$X5-$Y5</f>
        <v>-0.31875</v>
      </c>
    </row>
    <row r="6">
      <c r="B6" s="1071" t="inlineStr">
        <is>
          <t>COE Cyber Risk &amp; Service Ops</t>
        </is>
      </c>
      <c r="C6" s="1095">
        <f>INDEX('2.11 Cyber Risk &amp; Service Ops'!$S$7:$S$13,MATCH("Total portfolio",'2.11 Cyber Risk &amp; Service Ops'!$B$7:$B$13,0))+('2.11 Cyber Risk &amp; Service Ops'!$I$24+'2.11 Cyber Risk &amp; Service Ops'!$I$30+'2.11 Cyber Risk &amp; Service Ops'!$I$33+'2.11 Cyber Risk &amp; Service Ops'!$I$39+'2.11 Cyber Risk &amp; Service Ops'!$I$44)/1000000</f>
        <v>6.4227365792</v>
      </c>
      <c r="D6" s="1095">
        <f>('2.11 Cyber Risk &amp; Service Ops'!$I$24+'2.11 Cyber Risk &amp; Service Ops'!$I$30+'2.11 Cyber Risk &amp; Service Ops'!$I$33+'2.11 Cyber Risk &amp; Service Ops'!$I$39+'2.11 Cyber Risk &amp; Service Ops'!$I$44)/1000000</f>
        <v>0.49481945</v>
      </c>
      <c r="E6" s="1095">
        <f>INDEX('2.11 Cyber Risk &amp; Service Ops'!$S$7:$S$13,MATCH("Total portfolio",'2.11 Cyber Risk &amp; Service Ops'!$B$7:$B$13,0))-('2.11 Cyber Risk &amp; Service Ops'!$G$40+'2.11 Cyber Risk &amp; Service Ops'!$G$45)/1000000</f>
        <v>5.3359518792</v>
      </c>
      <c r="F6" s="1095">
        <f>0</f>
        <v>0</v>
      </c>
      <c r="G6" s="1095">
        <f>0</f>
        <v>0</v>
      </c>
      <c r="H6" s="1095">
        <f>Lists!$AG$13/Lists!$AG$21</f>
        <v>0.31875</v>
      </c>
      <c r="I6" s="1095">
        <f>('2.11 Cyber Risk &amp; Service Ops'!$G$40+'2.11 Cyber Risk &amp; Service Ops'!$G$45)/1000000</f>
        <v>0.59196525</v>
      </c>
      <c r="J6" s="1070" t="n">
        <v>1</v>
      </c>
      <c r="K6" s="1095">
        <f>$F6+$G6+$H6+$I6*$J6</f>
        <v>0.91071525</v>
      </c>
      <c r="L6" s="1095">
        <f>$K6+$E6</f>
        <v>6.2466671292</v>
      </c>
      <c r="M6" s="1095">
        <f>(('2.11 Cyber Risk &amp; Service Ops'!$G$25+'2.11 Cyber Risk &amp; Service Ops'!$G$26+'2.11 Cyber Risk &amp; Service Ops'!$G$27+'2.11 Cyber Risk &amp; Service Ops'!$G$28+'2.11 Cyber Risk &amp; Service Ops'!$G$31+'2.11 Cyber Risk &amp; Service Ops'!$G$34+'2.11 Cyber Risk &amp; Service Ops'!$G$36+'2.11 Cyber Risk &amp; Service Ops'!$G$37+'2.11 Cyber Risk &amp; Service Ops'!$G$40+'2.11 Cyber Risk &amp; Service Ops'!$G$41+'2.11 Cyber Risk &amp; Service Ops'!$G$42+'2.11 Cyber Risk &amp; Service Ops'!$G$43+'2.11 Cyber Risk &amp; Service Ops'!$G$45+'2.11 Cyber Risk &amp; Service Ops'!$G$46+'2.11 Cyber Risk &amp; Service Ops'!$G$48+'2.11 Cyber Risk &amp; Service Ops'!$G$49+'2.11 Cyber Risk &amp; Service Ops'!$G$50+'2.11 Cyber Risk &amp; Service Ops'!$G$51+'2.11 Cyber Risk &amp; Service Ops'!$G$52+'2.11 Cyber Risk &amp; Service Ops'!$G$53+'2.11 Cyber Risk &amp; Service Ops'!$G$54+'2.11 Cyber Risk &amp; Service Ops'!$G$55+'2.11 Cyber Risk &amp; Service Ops'!$G$56+'2.11 Cyber Risk &amp; Service Ops'!$G$57+'2.11 Cyber Risk &amp; Service Ops'!$G$58+'2.11 Cyber Risk &amp; Service Ops'!$G$59+'2.11 Cyber Risk &amp; Service Ops'!$G$60+'2.11 Cyber Risk &amp; Service Ops'!$G$61+'2.11 Cyber Risk &amp; Service Ops'!$G$62+'2.11 Cyber Risk &amp; Service Ops'!$G$65)/1000000-('2.11 Cyber Risk &amp; Service Ops'!$G$40+'2.11 Cyber Risk &amp; Service Ops'!$G$45)/1000000)+Lists!$AG$13/Lists!$AG$21*$C$69/($C$69+$D$69)+(('2.11 Cyber Risk &amp; Service Ops'!$G$40+'2.11 Cyber Risk &amp; Service Ops'!$G$45)/1000000)*$J6</f>
        <v>5.34776593692864</v>
      </c>
      <c r="N6" s="1095">
        <f>(('2.11 Cyber Risk &amp; Service Ops'!$G$29+'2.11 Cyber Risk &amp; Service Ops'!$G$32+'2.11 Cyber Risk &amp; Service Ops'!$G$35+'2.11 Cyber Risk &amp; Service Ops'!$G$38+'2.11 Cyber Risk &amp; Service Ops'!$G$47+'2.11 Cyber Risk &amp; Service Ops'!$G$63+'2.11 Cyber Risk &amp; Service Ops'!$G$64)/1000000-0)+Lists!$AG$13/Lists!$AG$21*$D$69/($C$69+$D$69)</f>
        <v>0.898901192271361</v>
      </c>
      <c r="O6" s="1095">
        <f>$M6+$N6</f>
        <v>6.2466671292</v>
      </c>
      <c r="P6" s="1095">
        <f>'0.2 Data Config'!$C$7</f>
        <v>1.5</v>
      </c>
      <c r="Q6" s="1095">
        <f>'0.2 Data Config'!$D$7</f>
        <v>0.5</v>
      </c>
      <c r="R6" s="1095">
        <f>$M6-$P6</f>
        <v>3.84776593692864</v>
      </c>
      <c r="S6" s="1095">
        <f>$N6-$Q6</f>
        <v>0.398901192271361</v>
      </c>
      <c r="T6" s="1095">
        <f>'0.2 Data Config'!$E$7</f>
        <v>2</v>
      </c>
      <c r="U6" s="1071" t="n"/>
      <c r="V6" s="1095">
        <f>$L6-$T6</f>
        <v>4.2466671292</v>
      </c>
      <c r="W6" s="1071" t="n"/>
      <c r="X6" s="1095">
        <f>$C6-$D6-$L6</f>
        <v>-0.31875</v>
      </c>
      <c r="Y6" s="1095">
        <f>0</f>
        <v>0</v>
      </c>
      <c r="Z6" s="1095">
        <f>$X6-$Y6</f>
        <v>-0.31875</v>
      </c>
    </row>
    <row r="7">
      <c r="B7" s="534" t="inlineStr">
        <is>
          <t>COE Transformation</t>
        </is>
      </c>
      <c r="C7" s="1094">
        <f>'2.12 COE BP&amp;T'!$S$10</f>
        <v>2.88399343</v>
      </c>
      <c r="D7" s="1094">
        <f>0</f>
        <v>0</v>
      </c>
      <c r="E7" s="1094">
        <f>'2.12 COE BP&amp;T'!$C$23-$I7</f>
        <v>1.96447293</v>
      </c>
      <c r="F7" s="1094">
        <f>0</f>
        <v>0</v>
      </c>
      <c r="G7" s="1094">
        <f>0</f>
        <v>0</v>
      </c>
      <c r="H7" s="1094">
        <f>Lists!$AG$13/Lists!$AG$21</f>
        <v>0.31875</v>
      </c>
      <c r="I7" s="1094">
        <f>('2.12 COE BP&amp;T'!$G$44+'2.12 COE BP&amp;T'!$G$45+'2.12 COE BP&amp;T'!$G$46)/1000000</f>
        <v>0.9195205</v>
      </c>
      <c r="J7" s="1070" t="n">
        <v>1</v>
      </c>
      <c r="K7" s="1094">
        <f>$F7+$G7+$H7+$I7*$J7</f>
        <v>1.2382705</v>
      </c>
      <c r="L7" s="1094">
        <f>$K7+$E7</f>
        <v>3.20274343</v>
      </c>
      <c r="M7" s="1094">
        <f>(('2.12 COE BP&amp;T'!$G$44+'2.12 COE BP&amp;T'!$G$45+'2.12 COE BP&amp;T'!$G$46+'2.12 COE BP&amp;T'!$G$47+'2.12 COE BP&amp;T'!$G$48+'2.12 COE BP&amp;T'!$G$49+'2.12 COE BP&amp;T'!$G$50+'2.12 COE BP&amp;T'!$G$51+'2.12 COE BP&amp;T'!$G$52+'2.12 COE BP&amp;T'!$G$53+'2.12 COE BP&amp;T'!$G$54+'2.12 COE BP&amp;T'!$G$57)/1000000-(('2.12 COE BP&amp;T'!$G$44+'2.12 COE BP&amp;T'!$G$45+'2.12 COE BP&amp;T'!$G$46)/1000000)-(0))+Lists!$AG$13/Lists!$AG$21*$C$69/($C$69+$D$69)+(('2.12 COE BP&amp;T'!$G$44+'2.12 COE BP&amp;T'!$G$45+'2.12 COE BP&amp;T'!$G$46)/1000000)*$J7</f>
        <v>2.84054375692864</v>
      </c>
      <c r="N7" s="1094">
        <f>(('2.12 COE BP&amp;T'!$G$55+'2.12 COE BP&amp;T'!$G$56)/1000000-(0)-(0))+Lists!$AG$13/Lists!$AG$21*$D$69/($C$69+$D$69)</f>
        <v>0.362199673071361</v>
      </c>
      <c r="O7" s="1094">
        <f>$M7+$N7</f>
        <v>3.20274343</v>
      </c>
      <c r="P7" s="1094">
        <f>'0.2 Data Config'!$C$8</f>
        <v>1.5</v>
      </c>
      <c r="Q7" s="1094">
        <f>'0.2 Data Config'!$D$8</f>
        <v>0.5</v>
      </c>
      <c r="R7" s="1094">
        <f>$M7-$P7</f>
        <v>1.34054375692864</v>
      </c>
      <c r="S7" s="1094">
        <f>$N7-$Q7</f>
        <v>-0.137800326928639</v>
      </c>
      <c r="T7" s="1094">
        <f>'0.2 Data Config'!$E$8</f>
        <v>2</v>
      </c>
      <c r="V7" s="1094">
        <f>$L7-$T7</f>
        <v>1.20274343</v>
      </c>
      <c r="X7" s="1094">
        <f>$C7-$D7-$L7</f>
        <v>-0.31875</v>
      </c>
      <c r="Y7" s="1094">
        <f>0</f>
        <v>0</v>
      </c>
      <c r="Z7" s="1094">
        <f>$X7-$Y7</f>
        <v>-0.31875</v>
      </c>
    </row>
    <row r="8">
      <c r="B8" s="1071" t="inlineStr">
        <is>
          <t>COE Business Partnering</t>
        </is>
      </c>
      <c r="C8" s="1095">
        <f>'2.12 COE BP&amp;T'!$S$8+'2.12 COE BP&amp;T'!$S$9</f>
        <v>3.292562592</v>
      </c>
      <c r="D8" s="1095">
        <f>0</f>
        <v>0</v>
      </c>
      <c r="E8" s="1095">
        <f>'2.12 COE BP&amp;T'!$C$22-$I8</f>
        <v>0.979014192</v>
      </c>
      <c r="F8" s="1095">
        <f>0</f>
        <v>0</v>
      </c>
      <c r="G8" s="1095">
        <f>0</f>
        <v>0</v>
      </c>
      <c r="H8" s="1095">
        <f>Lists!$AG$13/Lists!$AG$21</f>
        <v>0.31875</v>
      </c>
      <c r="I8" s="1095">
        <f>0</f>
        <v>0</v>
      </c>
      <c r="J8" s="1071" t="n"/>
      <c r="K8" s="1095">
        <f>$F8+$G8+$H8+$I8</f>
        <v>0.31875</v>
      </c>
      <c r="L8" s="1095">
        <f>$K8+$E8</f>
        <v>1.297764192</v>
      </c>
      <c r="M8" s="1095">
        <f>(('2.12 COE BP&amp;T'!$G$32+'2.12 COE BP&amp;T'!$G$33+'2.12 COE BP&amp;T'!$G$34+'2.12 COE BP&amp;T'!$G$37+'2.12 COE BP&amp;T'!$G$38+'2.12 COE BP&amp;T'!$G$40+'2.12 COE BP&amp;T'!$G$41+'2.12 COE BP&amp;T'!$G$42)/1000000-(0)-(('2.12 COE BP&amp;T'!$G$37+'2.12 COE BP&amp;T'!$G$38+'2.12 COE BP&amp;T'!$G$40+'2.12 COE BP&amp;T'!$G$41+'2.12 COE BP&amp;T'!$G$42)/1000000))+Lists!$AG$13/Lists!$AG$21*$C$69/($C$69+$D$69)</f>
        <v>1.08408880692864</v>
      </c>
      <c r="N8" s="1095">
        <f>(('2.12 COE BP&amp;T'!$G$35+'2.12 COE BP&amp;T'!$G$39)/1000000-(0)-(('2.12 COE BP&amp;T'!$G$39)/1000000))+Lists!$AG$13/Lists!$AG$21*$D$69/($C$69+$D$69)</f>
        <v>0.213675385071361</v>
      </c>
      <c r="O8" s="1095">
        <f>$M8+$N8</f>
        <v>1.297764192</v>
      </c>
      <c r="P8" s="1095">
        <f>'0.2 Data Config'!$C$9</f>
        <v>1.5</v>
      </c>
      <c r="Q8" s="1095">
        <f>'0.2 Data Config'!$D$9</f>
        <v>0.5</v>
      </c>
      <c r="R8" s="1095">
        <f>$M8-$P8</f>
        <v>-0.415911193071361</v>
      </c>
      <c r="S8" s="1095">
        <f>$N8-$Q8</f>
        <v>-0.286324614928639</v>
      </c>
      <c r="T8" s="1095">
        <f>'0.2 Data Config'!$E$9</f>
        <v>2</v>
      </c>
      <c r="U8" s="1071" t="n"/>
      <c r="V8" s="1095">
        <f>$L8-$T8</f>
        <v>-0.702235808</v>
      </c>
      <c r="W8" s="1071" t="n"/>
      <c r="X8" s="1095">
        <f>$C8-$D8-$L8</f>
        <v>1.9947984</v>
      </c>
      <c r="Y8" s="1095">
        <f>Lists!$AG$18</f>
        <v>2.3135484</v>
      </c>
      <c r="Z8" s="1095">
        <f>$X8-$Y8</f>
        <v>-0.31875</v>
      </c>
    </row>
    <row r="9">
      <c r="B9" s="534" t="inlineStr">
        <is>
          <t>COE Data</t>
        </is>
      </c>
      <c r="C9" s="1094">
        <f>'2.13 COE SA&amp;D'!$S$9+'2.13 COE SA&amp;D'!$S$10</f>
        <v>1.433374816</v>
      </c>
      <c r="D9" s="1094">
        <f>0</f>
        <v>0</v>
      </c>
      <c r="E9" s="1094">
        <f>'2.13 COE SA&amp;D'!$C$25-$I9</f>
        <v>1.433374816</v>
      </c>
      <c r="F9" s="1094">
        <f>0</f>
        <v>0</v>
      </c>
      <c r="G9" s="1094">
        <f>0</f>
        <v>0</v>
      </c>
      <c r="H9" s="1094">
        <f>Lists!$AG$13/Lists!$AG$21</f>
        <v>0.31875</v>
      </c>
      <c r="I9" s="1094">
        <f>0</f>
        <v>0</v>
      </c>
      <c r="K9" s="1094">
        <f>$F9+$G9+$H9+$I9</f>
        <v>0.31875</v>
      </c>
      <c r="L9" s="1094">
        <f>$K9+$E9</f>
        <v>1.752124816</v>
      </c>
      <c r="M9" s="1094">
        <f>(('2.13 COE SA&amp;D'!$G$42+'2.13 COE SA&amp;D'!$G$44+'2.13 COE SA&amp;D'!$G$45+'2.13 COE SA&amp;D'!$G$46+'2.13 COE SA&amp;D'!$G$48+'2.13 COE SA&amp;D'!$G$49)/1000000-(0)-(0))+Lists!$AG$13/Lists!$AG$21*$C$69/($C$69+$D$69)</f>
        <v>1.53970550692864</v>
      </c>
      <c r="N9" s="1094">
        <f>(('2.13 COE SA&amp;D'!$G$47)/1000000-(0)-(0))+Lists!$AG$13/Lists!$AG$21*$D$69/($C$69+$D$69)</f>
        <v>0.212419309071361</v>
      </c>
      <c r="O9" s="1094">
        <f>$M9+$N9</f>
        <v>1.752124816</v>
      </c>
      <c r="P9" s="1094">
        <f>'0.2 Data Config'!$C$10</f>
        <v>1.5</v>
      </c>
      <c r="Q9" s="1094">
        <f>'0.2 Data Config'!$D$10</f>
        <v>0.5</v>
      </c>
      <c r="R9" s="1094">
        <f>$M9-$P9</f>
        <v>0.0397055069286389</v>
      </c>
      <c r="S9" s="1094">
        <f>$N9-$Q9</f>
        <v>-0.287580690928639</v>
      </c>
      <c r="T9" s="1094">
        <f>'0.2 Data Config'!$E$10</f>
        <v>2</v>
      </c>
      <c r="V9" s="1094">
        <f>$L9-$T9</f>
        <v>-0.247875184</v>
      </c>
      <c r="X9" s="1094">
        <f>$C9-$D9-$L9</f>
        <v>-0.31875</v>
      </c>
      <c r="Y9" s="1094">
        <f>0</f>
        <v>0</v>
      </c>
      <c r="Z9" s="1094">
        <f>$X9-$Y9</f>
        <v>-0.31875</v>
      </c>
    </row>
    <row r="10">
      <c r="B10" s="1071" t="inlineStr">
        <is>
          <t>Ampol Retail</t>
        </is>
      </c>
      <c r="C10" s="1095">
        <f>INDEX('2.1 Ampol Retail'!$S$7:$S$27,MATCH("Total portfolio",'2.1 Ampol Retail'!$B$7:$B$27,0))</f>
        <v>11.8536567682</v>
      </c>
      <c r="D10" s="1095">
        <f>INDEX('2.1 Ampol Retail'!$P$7:$P$27,MATCH("Total portfolio",'2.1 Ampol Retail'!$B$7:$B$27,0))</f>
        <v>2.5862355812</v>
      </c>
      <c r="E10" s="1095">
        <f>'2.1 Ampol Retail'!$S$8*'1.1 Ampol Retail'!$G$34+'2.1 Ampol Retail'!$S$9*'1.1 Ampol Retail'!$G$60+'2.1 Ampol Retail'!$S$10*'1.1 Ampol Retail'!$G$28+'2.1 Ampol Retail'!$S$11*'1.1 Ampol Retail'!$G$54+'2.1 Ampol Retail'!$S$12*'1.1 Ampol Retail'!$G$25+'2.1 Ampol Retail'!$S$13*'1.1 Ampol Retail'!$G$26+'2.1 Ampol Retail'!$S$14*'1.1 Ampol Retail'!$G$27</f>
        <v>3.3672574661</v>
      </c>
      <c r="F10" s="1095">
        <f>Lists!$AG$18/Lists!$AG$20</f>
        <v>0.210322581818182</v>
      </c>
      <c r="G10" s="1095">
        <f>Lists!$AG$19/Lists!$AG$20</f>
        <v>0.126266935090909</v>
      </c>
      <c r="H10" s="1095">
        <f>Lists!$AG$13/Lists!$AG$21</f>
        <v>0.31875</v>
      </c>
      <c r="I10" s="1095">
        <f>INDEX('2.1 Ampol Retail'!$S$7:$S$27,MATCH("Overhead roles total",'2.1 Ampol Retail'!$B$7:$B$27,0))</f>
        <v>1.164734758</v>
      </c>
      <c r="J10" s="1070" t="n">
        <v>1</v>
      </c>
      <c r="K10" s="1095">
        <f>$F10+$G10+$H10+$I10*$J10</f>
        <v>1.82007427490909</v>
      </c>
      <c r="L10" s="1095">
        <f>$K10+$E10</f>
        <v>5.18733174100909</v>
      </c>
      <c r="M10" s="1095">
        <f>(('2.1 Ampol Retail'!$G$33+'2.1 Ampol Retail'!$G$34+'2.1 Ampol Retail'!$G$35+'2.1 Ampol Retail'!$G$36+'2.1 Ampol Retail'!$G$37+'2.1 Ampol Retail'!$G$38+'2.1 Ampol Retail'!$G$39+'2.1 Ampol Retail'!$G$40+'2.1 Ampol Retail'!$G$41+'2.1 Ampol Retail'!$G$42+'2.1 Ampol Retail'!$G$43)/1000000*'1.1 Ampol Retail'!$G$34+('2.1 Ampol Retail'!$G$56+'2.1 Ampol Retail'!$G$57+'2.1 Ampol Retail'!$G$58+'2.1 Ampol Retail'!$G$59+'2.1 Ampol Retail'!$G$60+'2.1 Ampol Retail'!$G$61)/1000000*'1.1 Ampol Retail'!$G$60+('2.1 Ampol Retail'!$G$63+'2.1 Ampol Retail'!$G$64+'2.1 Ampol Retail'!$G$65+'2.1 Ampol Retail'!$G$66+'2.1 Ampol Retail'!$G$67)/1000000*'1.1 Ampol Retail'!$G$28+('2.1 Ampol Retail'!$G$76+'2.1 Ampol Retail'!$G$77+'2.1 Ampol Retail'!$G$78+'2.1 Ampol Retail'!$G$79+'2.1 Ampol Retail'!$G$80+'2.1 Ampol Retail'!$G$81)/1000000*'1.1 Ampol Retail'!$G$54+('2.1 Ampol Retail'!$G$83+'2.1 Ampol Retail'!$G$84+'2.1 Ampol Retail'!$G$85+'2.1 Ampol Retail'!$G$86+'2.1 Ampol Retail'!$G$87+'2.1 Ampol Retail'!$G$88+'2.1 Ampol Retail'!$G$89+'2.1 Ampol Retail'!$G$90)/1000000*'1.1 Ampol Retail'!$G$25+('2.1 Ampol Retail'!$G$92+'2.1 Ampol Retail'!$G$93+'2.1 Ampol Retail'!$G$94+'2.1 Ampol Retail'!$G$95)/1000000*'1.1 Ampol Retail'!$G$26+('2.1 Ampol Retail'!$G$97+'2.1 Ampol Retail'!$G$98+'2.1 Ampol Retail'!$G$99+'2.1 Ampol Retail'!$G$100+'2.1 Ampol Retail'!$G$101+'2.1 Ampol Retail'!$G$102+'2.1 Ampol Retail'!$G$103+'2.1 Ampol Retail'!$G$104)/1000000*'1.1 Ampol Retail'!$G$27)+(('2.12 COE BP&amp;T'!$G$37+'2.12 COE BP&amp;T'!$G$38+'2.12 COE BP&amp;T'!$G$40+'2.12 COE BP&amp;T'!$G$41+'2.12 COE BP&amp;T'!$G$42)/1000000)/Lists!$AG$20+(('2.13 COE SA&amp;D'!$G$37+'2.13 COE SA&amp;D'!$G$38+'2.13 COE SA&amp;D'!$G$39+'2.13 COE SA&amp;D'!$G$40)/1000000)/Lists!$AG$20+Lists!$AG$13/Lists!$AG$21*$C$69/($C$69+$D$69)+(('2.1 Ampol Retail'!$G$106+'2.1 Ampol Retail'!$G$108+'2.1 Ampol Retail'!$G$110+'2.1 Ampol Retail'!$G$111+'2.1 Ampol Retail'!$G$112)/1000000)*$J10</f>
        <v>5.03508698102864</v>
      </c>
      <c r="N10" s="1095">
        <f>(('2.12 COE BP&amp;T'!$G$39)/1000000)/Lists!$AG$20+(('2.13 COE SA&amp;D'!$G$34+'2.13 COE SA&amp;D'!$G$35+'2.13 COE SA&amp;D'!$G$36)/1000000)/Lists!$AG$20+Lists!$AG$13/Lists!$AG$21*$D$69/($C$69+$D$69)</f>
        <v>0.152244759980452</v>
      </c>
      <c r="O10" s="1095">
        <f>$M10+$N10</f>
        <v>5.18733174100909</v>
      </c>
      <c r="P10" s="1095">
        <f>'0.2 Data Config'!$C$11</f>
        <v>5.5</v>
      </c>
      <c r="Q10" s="1095">
        <f>'0.2 Data Config'!$D$11</f>
        <v>0</v>
      </c>
      <c r="R10" s="1095">
        <f>$M10-$P10</f>
        <v>-0.464913018971361</v>
      </c>
      <c r="S10" s="1095">
        <f>$N10-$Q10</f>
        <v>0.152244759980452</v>
      </c>
      <c r="T10" s="1095">
        <f>'0.2 Data Config'!$E$11</f>
        <v>5.5</v>
      </c>
      <c r="U10" s="1071" t="n"/>
      <c r="V10" s="1095">
        <f>$L10-$T10</f>
        <v>-0.312668258990909</v>
      </c>
      <c r="W10" s="1071" t="n"/>
      <c r="X10" s="1095">
        <f>$C10-$D10-$L10</f>
        <v>4.08008944599091</v>
      </c>
      <c r="Y10" s="1095">
        <f>'1.1 Ampol Retail'!$J$15+'1.1 Ampol Retail'!$J$16</f>
        <v>5.26</v>
      </c>
      <c r="Z10" s="1095">
        <f>$X10-$Y10</f>
        <v>-1.17991055400909</v>
      </c>
    </row>
    <row r="11">
      <c r="B11" s="534" t="inlineStr">
        <is>
          <t>Z Retail</t>
        </is>
      </c>
      <c r="C11" s="1094">
        <f>INDEX('2.10 Z Retail'!$S$7:$S$20,MATCH("Total portfolio",'2.10 Z Retail'!$B$7:$B$20,0))</f>
        <v>6.666290208</v>
      </c>
      <c r="D11" s="1094">
        <f>INDEX('2.10 Z Retail'!$P$7:$P$20,MATCH("Total portfolio",'2.10 Z Retail'!$B$7:$B$20,0))</f>
        <v>0</v>
      </c>
      <c r="E11" s="1094">
        <f>'2.10 Z Retail'!$S$8*'1.10 Z Retail'!$G$39+'2.10 Z Retail'!$S$9*'1.10 Z Retail'!$G$32+'2.10 Z Retail'!$S$10*'1.10 Z Retail'!$G$33+'2.10 Z Retail'!$S$11*'1.10 Z Retail'!$G$26</f>
        <v>4.4511559334</v>
      </c>
      <c r="F11" s="1094">
        <f>Lists!$AG$18/Lists!$AG$20</f>
        <v>0.210322581818182</v>
      </c>
      <c r="G11" s="1094">
        <f>Lists!$AG$19/Lists!$AG$20</f>
        <v>0.126266935090909</v>
      </c>
      <c r="H11" s="1094">
        <f>Lists!$AG$13/Lists!$AG$21</f>
        <v>0.31875</v>
      </c>
      <c r="I11" s="1094">
        <f>INDEX('2.10 Z Retail'!$S$7:$S$20,MATCH("Overhead roles total",'2.10 Z Retail'!$B$7:$B$20,0))</f>
        <v>1.195492774</v>
      </c>
      <c r="J11" s="1070" t="n">
        <v>1</v>
      </c>
      <c r="K11" s="1094">
        <f>$F11+$G11+$H11+$I11*$J11</f>
        <v>1.85083229090909</v>
      </c>
      <c r="L11" s="1094">
        <f>$K11+$E11</f>
        <v>6.30198822430909</v>
      </c>
      <c r="M11" s="1094">
        <f>(('2.10 Z Retail'!$G$26+'2.10 Z Retail'!$G$27)/1000000*'1.10 Z Retail'!$G$39+('2.10 Z Retail'!$G$46+'2.10 Z Retail'!$G$48)/1000000*'1.10 Z Retail'!$G$33+('2.10 Z Retail'!$G$58)/1000000*'1.10 Z Retail'!$G$26)+(('2.12 COE BP&amp;T'!$G$37+'2.12 COE BP&amp;T'!$G$38+'2.12 COE BP&amp;T'!$G$40+'2.12 COE BP&amp;T'!$G$41+'2.12 COE BP&amp;T'!$G$42)/1000000)/Lists!$AG$20+(('2.13 COE SA&amp;D'!$G$37+'2.13 COE SA&amp;D'!$G$38+'2.13 COE SA&amp;D'!$G$39+'2.13 COE SA&amp;D'!$G$40)/1000000)/Lists!$AG$20+Lists!$AG$13/Lists!$AG$21*$C$69/($C$69+$D$69)+(('2.10 Z Retail'!$G$66+'2.10 Z Retail'!$G$69)/1000000)*$J11</f>
        <v>1.36614560692864</v>
      </c>
      <c r="N11" s="1094">
        <f>(('2.10 Z Retail'!$G$28+'2.10 Z Retail'!$G$29+'2.10 Z Retail'!$G$30+'2.10 Z Retail'!$G$31+'2.10 Z Retail'!$G$32)/1000000*'1.10 Z Retail'!$G$39+('2.10 Z Retail'!$G$34+'2.10 Z Retail'!$G$35+'2.10 Z Retail'!$G$36+'2.10 Z Retail'!$G$37+'2.10 Z Retail'!$G$38+'2.10 Z Retail'!$G$39+'2.10 Z Retail'!$G$40+'2.10 Z Retail'!$G$41+'2.10 Z Retail'!$G$42)/1000000*'1.10 Z Retail'!$G$32+('2.10 Z Retail'!$G$44+'2.10 Z Retail'!$G$45+'2.10 Z Retail'!$G$47+'2.10 Z Retail'!$G$49+'2.10 Z Retail'!$G$50+'2.10 Z Retail'!$G$51+'2.10 Z Retail'!$G$52)/1000000*'1.10 Z Retail'!$G$33+('2.10 Z Retail'!$G$54+'2.10 Z Retail'!$G$55+'2.10 Z Retail'!$G$56+'2.10 Z Retail'!$G$57+'2.10 Z Retail'!$G$59+'2.10 Z Retail'!$G$60+'2.10 Z Retail'!$G$61+'2.10 Z Retail'!$G$62)/1000000*'1.10 Z Retail'!$G$26)+(('2.12 COE BP&amp;T'!$G$39)/1000000)/Lists!$AG$20+(('2.13 COE SA&amp;D'!$G$34+'2.13 COE SA&amp;D'!$G$35+'2.13 COE SA&amp;D'!$G$36)/1000000)/Lists!$AG$20+Lists!$AG$13/Lists!$AG$21*$D$69/($C$69+$D$69)+(('2.10 Z Retail'!$G$64+'2.10 Z Retail'!$G$68+'2.10 Z Retail'!$G$70)/1000000)*$J11</f>
        <v>4.93584261738045</v>
      </c>
      <c r="O11" s="1094">
        <f>$M11+$N11</f>
        <v>6.30198822430909</v>
      </c>
      <c r="P11" s="1094">
        <f>'0.2 Data Config'!$C$12</f>
        <v>0</v>
      </c>
      <c r="Q11" s="1094">
        <f>'0.2 Data Config'!$D$12</f>
        <v>6.5</v>
      </c>
      <c r="R11" s="1094">
        <f>$M11-$P11</f>
        <v>1.36614560692864</v>
      </c>
      <c r="S11" s="1094">
        <f>$N11-$Q11</f>
        <v>-1.56415738261955</v>
      </c>
      <c r="T11" s="1094">
        <f>'0.2 Data Config'!$E$12</f>
        <v>6.5</v>
      </c>
      <c r="V11" s="1094">
        <f>$L11-$T11</f>
        <v>-0.198011775690908</v>
      </c>
      <c r="X11" s="1094">
        <f>$C11-$D11-$L11</f>
        <v>0.364301983690909</v>
      </c>
      <c r="Y11" s="1094">
        <f>'1.10 Z Retail'!$J$15+'1.10 Z Retail'!$J$16+'1.10 Z Retail'!$J$17+'1.10 Z Retail'!$J$18</f>
        <v>1.08</v>
      </c>
      <c r="Z11" s="1094">
        <f>$X11-$Y11</f>
        <v>-0.715698016309092</v>
      </c>
    </row>
    <row r="12">
      <c r="B12" s="1071" t="inlineStr">
        <is>
          <t>Ampol Customer</t>
        </is>
      </c>
      <c r="C12" s="1095">
        <f>'2.2 Customer'!$S$8+'2.2 Customer'!$S$9+'2.2 Customer'!$S$10+'2.2 Customer'!$S$11+'2.2 Customer'!$S$12+'2.2 Customer'!$S$17+('2.2 Customer'!$S$19+'2.2 Customer'!$S$20+'2.2 Customer'!$S$23+'2.2 Customer'!$S$24+'2.2 Customer'!$S$25+'2.2 Customer'!$S$26)*$E$12/($E$12+$E$13)</f>
        <v>11.8291783698242</v>
      </c>
      <c r="D12" s="1095">
        <f>'2.2 Customer'!$P$17</f>
        <v>2.0986109</v>
      </c>
      <c r="E12" s="1095">
        <f>'2.2 Customer'!$S$8*'1.2 Customer'!$G$31+'2.2 Customer'!$S$9*'1.2 Customer'!$G$47+'2.2 Customer'!$S$10*'1.2 Customer'!$G$32+'2.2 Customer'!$S$11*'1.2 Customer'!$G$48+'2.2 Customer'!$S$12*'1.2 Customer'!$G$33</f>
        <v>2.16155398556</v>
      </c>
      <c r="F12" s="1095">
        <f>Lists!$AG$18/Lists!$AG$20*$E$12/($E$12+$E$13)</f>
        <v>0.104954895910105</v>
      </c>
      <c r="G12" s="1095">
        <f>Lists!$AG$19/Lists!$AG$20*$E$12/($E$12+$E$13)</f>
        <v>0.0630095585304796</v>
      </c>
      <c r="H12" s="1095">
        <f>Lists!$AG$13/Lists!$AG$21*$E$12/($E$12+$E$13)</f>
        <v>0.159062202366203</v>
      </c>
      <c r="I12" s="1095">
        <f>(INDEX('2.2 Customer'!$S$7:$S$30,MATCH("Overhead roles total",'2.2 Customer'!$B$7:$B$30,0)))*$E$12/($E$12+$E$13)</f>
        <v>1.06753036237566</v>
      </c>
      <c r="J12" s="1070" t="n">
        <v>1</v>
      </c>
      <c r="K12" s="1095">
        <f>$F12+$G12+$H12+$I12*$J12</f>
        <v>1.39455701918245</v>
      </c>
      <c r="L12" s="1095">
        <f>$K12+$E12</f>
        <v>3.55611100474245</v>
      </c>
      <c r="M12" s="1095">
        <f>(('2.2 Customer'!$G$36+'2.2 Customer'!$G$37+'2.2 Customer'!$G$38+'2.2 Customer'!$G$39+'2.2 Customer'!$G$40+'2.2 Customer'!$G$41+'2.2 Customer'!$G$42+'2.2 Customer'!$G$43+'2.2 Customer'!$G$44+'2.2 Customer'!$G$45+'2.2 Customer'!$G$46+'2.2 Customer'!$G$47+'2.2 Customer'!$G$48+'2.2 Customer'!$G$49)/1000000*'1.2 Customer'!$G$31+('2.2 Customer'!$G$51+'2.2 Customer'!$G$52+'2.2 Customer'!$G$54+'2.2 Customer'!$G$55+'2.2 Customer'!$G$56+'2.2 Customer'!$G$57+'2.2 Customer'!$G$58+'2.2 Customer'!$G$59)/1000000*'1.2 Customer'!$G$47+('2.2 Customer'!$G$61+'2.2 Customer'!$G$62+'2.2 Customer'!$G$63+'2.2 Customer'!$G$64+'2.2 Customer'!$G$65+'2.2 Customer'!$G$66+'2.2 Customer'!$G$67+'2.2 Customer'!$G$68+'2.2 Customer'!$G$69)/1000000*'1.2 Customer'!$G$32+('2.2 Customer'!$G$71+'2.2 Customer'!$G$72)/1000000*'1.2 Customer'!$G$48+('2.2 Customer'!$G$74+'2.2 Customer'!$G$75+'2.2 Customer'!$G$76+'2.2 Customer'!$G$77+'2.2 Customer'!$G$78+'2.2 Customer'!$G$79)/1000000*'1.2 Customer'!$G$33)+(('2.12 COE BP&amp;T'!$G$37+'2.12 COE BP&amp;T'!$G$38+'2.12 COE BP&amp;T'!$G$40+'2.12 COE BP&amp;T'!$G$41+'2.12 COE BP&amp;T'!$G$42)/1000000)/Lists!$AG$20*$E$12/($E$12+$E$13)+(('2.13 COE SA&amp;D'!$G$37+'2.13 COE SA&amp;D'!$G$38+'2.13 COE SA&amp;D'!$G$39+'2.13 COE SA&amp;D'!$G$40)/1000000)/Lists!$AG$20*$E$12/($E$12+$E$13)+Lists!$AG$13/Lists!$AG$21*$C$69/($C$69+$D$69)*$E$12/($E$12+$E$13)+((('2.2 Customer'!$G$125+'2.2 Customer'!$G$129+'2.2 Customer'!$G$130)/1000000)*$E$12/($E$12+$E$13))*$J12</f>
        <v>2.8360801314734</v>
      </c>
      <c r="N12" s="1095">
        <f>(('2.2 Customer'!$G$53)/1000000*'1.2 Customer'!$G$47)+(('2.12 COE BP&amp;T'!$G$39)/1000000)/Lists!$AG$20*$E$12/($E$12+$E$13)+(('2.13 COE SA&amp;D'!$G$34+'2.13 COE SA&amp;D'!$G$35+'2.13 COE SA&amp;D'!$G$36)/1000000)/Lists!$AG$20*$E$12/($E$12+$E$13)+Lists!$AG$13/Lists!$AG$21*$D$69/($C$69+$D$69)*$E$12/($E$12+$E$13)+((('2.2 Customer'!$G$121+'2.2 Customer'!$G$122+'2.2 Customer'!$G$124+'2.2 Customer'!$G$127+'2.2 Customer'!$G$128)/1000000)*$E$12/($E$12+$E$13))*$J12</f>
        <v>0.720030873269052</v>
      </c>
      <c r="O12" s="1095">
        <f>$M12+$N12</f>
        <v>3.55611100474245</v>
      </c>
      <c r="P12" s="1095">
        <f>'0.2 Data Config'!$C$13</f>
        <v>2.5</v>
      </c>
      <c r="Q12" s="1095">
        <f>'0.2 Data Config'!$D$13</f>
        <v>0</v>
      </c>
      <c r="R12" s="1095">
        <f>$M12-$P12</f>
        <v>0.336080131473399</v>
      </c>
      <c r="S12" s="1095">
        <f>$N12-$Q12</f>
        <v>0.720030873269052</v>
      </c>
      <c r="T12" s="1095">
        <f>'0.2 Data Config'!$E$13</f>
        <v>2.5</v>
      </c>
      <c r="U12" s="1071" t="n"/>
      <c r="V12" s="1095">
        <f>$L12-$T12</f>
        <v>1.05611100474245</v>
      </c>
      <c r="W12" s="1071" t="n"/>
      <c r="X12" s="1095">
        <f>$C12-$D12-$L12</f>
        <v>6.17445646508176</v>
      </c>
      <c r="Y12" s="1095">
        <f>('1.2 Customer'!$J$15+'1.2 Customer'!$J$16+'1.2 Customer'!$J$18+'1.2 Customer'!$J$23)*$E$12/($E$12+$E$13)</f>
        <v>4.74067740385546</v>
      </c>
      <c r="Z12" s="1095">
        <f>$X12-$Y12</f>
        <v>1.4337790612263</v>
      </c>
    </row>
    <row r="13">
      <c r="B13" s="534" t="inlineStr">
        <is>
          <t>Z Customer</t>
        </is>
      </c>
      <c r="C13" s="1094">
        <f>'2.2 Customer'!$S$13+'2.2 Customer'!$S$14+('2.2 Customer'!$S$19+'2.2 Customer'!$S$20+'2.2 Customer'!$S$23+'2.2 Customer'!$S$24+'2.2 Customer'!$S$25+'2.2 Customer'!$S$26)*$E$13/($E$12+$E$13)</f>
        <v>4.61213263229579</v>
      </c>
      <c r="D13" s="1094">
        <f>0</f>
        <v>0</v>
      </c>
      <c r="E13" s="1094">
        <f>'2.2 Customer'!$S$13*'1.2 Customer'!$G$39+'2.2 Customer'!$S$14*'1.2 Customer'!$G$40</f>
        <v>2.170055426656</v>
      </c>
      <c r="F13" s="1094">
        <f>Lists!$AG$18/Lists!$AG$20*$E$13/($E$12+$E$13)</f>
        <v>0.105367685908077</v>
      </c>
      <c r="G13" s="1094">
        <f>Lists!$AG$19/Lists!$AG$20*$E$13/($E$12+$E$13)</f>
        <v>0.0632573765604295</v>
      </c>
      <c r="H13" s="1094">
        <f>Lists!$AG$13/Lists!$AG$21*$E$13/($E$12+$E$13)</f>
        <v>0.159687797633797</v>
      </c>
      <c r="I13" s="1094">
        <f>(INDEX('2.2 Customer'!$S$7:$S$30,MATCH("Overhead roles total",'2.2 Customer'!$B$7:$B$30,0)))*$E$13/($E$12+$E$13)</f>
        <v>1.07172898362434</v>
      </c>
      <c r="J13" s="1070" t="n">
        <v>1</v>
      </c>
      <c r="K13" s="1094">
        <f>$F13+$G13+$H13+$I13*$J13</f>
        <v>1.40004184372664</v>
      </c>
      <c r="L13" s="1094">
        <f>$K13+$E13</f>
        <v>3.57009727038264</v>
      </c>
      <c r="M13" s="1094">
        <f>(('2.12 COE BP&amp;T'!$G$37+'2.12 COE BP&amp;T'!$G$38+'2.12 COE BP&amp;T'!$G$40+'2.12 COE BP&amp;T'!$G$41+'2.12 COE BP&amp;T'!$G$42)/1000000)/Lists!$AG$20*$E$13/($E$12+$E$13)+(('2.13 COE SA&amp;D'!$G$37+'2.13 COE SA&amp;D'!$G$38+'2.13 COE SA&amp;D'!$G$39+'2.13 COE SA&amp;D'!$G$40)/1000000)/Lists!$AG$20*$E$13/($E$12+$E$13)+Lists!$AG$13/Lists!$AG$21*$C$69/($C$69+$D$69)*$E$13/($E$12+$E$13)+((('2.2 Customer'!$G$125+'2.2 Customer'!$G$129+'2.2 Customer'!$G$130)/1000000)*$E$13/($E$12+$E$13))*$J13</f>
        <v>0.70837076533524</v>
      </c>
      <c r="N13" s="1094">
        <f>(('2.2 Customer'!$G$100+'2.2 Customer'!$G$101+'2.2 Customer'!$G$102+'2.2 Customer'!$G$103+'2.2 Customer'!$G$104)/1000000*'1.2 Customer'!$G$39+('2.2 Customer'!$G$106+'2.2 Customer'!$G$107+'2.2 Customer'!$G$108+'2.2 Customer'!$G$109+'2.2 Customer'!$G$110+'2.2 Customer'!$G$111+'2.2 Customer'!$G$112+'2.2 Customer'!$G$113+'2.2 Customer'!$G$114+'2.2 Customer'!$G$115+'2.2 Customer'!$G$116+'2.2 Customer'!$G$117+'2.2 Customer'!$G$118+'2.2 Customer'!$G$119)/1000000*'1.2 Customer'!$G$40)+(('2.12 COE BP&amp;T'!$G$39)/1000000)/Lists!$AG$20*$E$13/($E$12+$E$13)+(('2.13 COE SA&amp;D'!$G$34+'2.13 COE SA&amp;D'!$G$35+'2.13 COE SA&amp;D'!$G$36)/1000000)/Lists!$AG$20*$E$13/($E$12+$E$13)+Lists!$AG$13/Lists!$AG$21*$D$69/($C$69+$D$69)*$E$13/($E$12+$E$13)+((('2.2 Customer'!$G$121+'2.2 Customer'!$G$122+'2.2 Customer'!$G$124+'2.2 Customer'!$G$127+'2.2 Customer'!$G$128)/1000000)*$E$13/($E$12+$E$13))*$J13</f>
        <v>2.8617265050474</v>
      </c>
      <c r="O13" s="1094">
        <f>$M13+$N13</f>
        <v>3.57009727038264</v>
      </c>
      <c r="P13" s="1094">
        <f>'0.2 Data Config'!$C$14</f>
        <v>0</v>
      </c>
      <c r="Q13" s="1094">
        <f>'0.2 Data Config'!$D$14</f>
        <v>4</v>
      </c>
      <c r="R13" s="1094">
        <f>$M13-$P13</f>
        <v>0.70837076533524</v>
      </c>
      <c r="S13" s="1094">
        <f>$N13-$Q13</f>
        <v>-1.1382734949526</v>
      </c>
      <c r="T13" s="1094">
        <f>'0.2 Data Config'!$E$14</f>
        <v>4</v>
      </c>
      <c r="V13" s="1094">
        <f>$L13-$T13</f>
        <v>-0.429902729617359</v>
      </c>
      <c r="X13" s="1094">
        <f>$C13-$D13-$L13</f>
        <v>1.04203536191315</v>
      </c>
      <c r="Y13" s="1094">
        <f>('1.2 Customer'!$J$15+'1.2 Customer'!$J$16+'1.2 Customer'!$J$18+'1.2 Customer'!$J$23)*$E$13/($E$12+$E$13)</f>
        <v>4.75932259614454</v>
      </c>
      <c r="Z13" s="1094">
        <f>$X13-$Y13</f>
        <v>-3.7172872342314</v>
      </c>
    </row>
    <row r="14">
      <c r="B14" s="1071" t="inlineStr">
        <is>
          <t>Commercial Fuels</t>
        </is>
      </c>
      <c r="C14" s="1095">
        <f>INDEX('2.9 Commercial Fuels'!$S$7:$S$21,MATCH("Total portfolio",'2.9 Commercial Fuels'!$B$7:$B$21,0))</f>
        <v>10.0750979787</v>
      </c>
      <c r="D14" s="1095">
        <f>INDEX('2.9 Commercial Fuels'!$P$7:$P$21,MATCH("Total portfolio",'2.9 Commercial Fuels'!$B$7:$B$21,0))</f>
        <v>3.8</v>
      </c>
      <c r="E14" s="1095">
        <f>'2.9 Commercial Fuels'!$S$8*'1.9 Commercial Fuels'!$G$33+'2.9 Commercial Fuels'!$S$9*'1.9 Commercial Fuels'!$G$26+'2.9 Commercial Fuels'!$S$10*'1.9 Commercial Fuels'!$G$27</f>
        <v>1.23447987468</v>
      </c>
      <c r="F14" s="1095">
        <f>Lists!$AG$18/Lists!$AG$20</f>
        <v>0.210322581818182</v>
      </c>
      <c r="G14" s="1095">
        <f>Lists!$AG$19/Lists!$AG$20</f>
        <v>0.126266935090909</v>
      </c>
      <c r="H14" s="1095">
        <f>Lists!$AG$13/Lists!$AG$21</f>
        <v>0.31875</v>
      </c>
      <c r="I14" s="1095">
        <f>INDEX('2.9 Commercial Fuels'!$S$7:$S$21,MATCH("Overhead roles total",'2.9 Commercial Fuels'!$B$7:$B$21,0))</f>
        <v>1.131342336</v>
      </c>
      <c r="J14" s="1070" t="n">
        <v>1</v>
      </c>
      <c r="K14" s="1095">
        <f>$F14+$G14+$H14+$I14*$J14</f>
        <v>1.78668185290909</v>
      </c>
      <c r="L14" s="1095">
        <f>$K14+$E14</f>
        <v>3.02116172758909</v>
      </c>
      <c r="M14" s="1095">
        <f>(('2.9 Commercial Fuels'!$G$42+'2.9 Commercial Fuels'!$G$43+'2.9 Commercial Fuels'!$G$44+'2.9 Commercial Fuels'!$G$45+'2.9 Commercial Fuels'!$G$46)/1000000*'1.9 Commercial Fuels'!$G$33+('2.9 Commercial Fuels'!$G$48+'2.9 Commercial Fuels'!$G$49+'2.9 Commercial Fuels'!$G$50+'2.9 Commercial Fuels'!$G$51+'2.9 Commercial Fuels'!$G$52+'2.9 Commercial Fuels'!$G$53+'2.9 Commercial Fuels'!$G$54+'2.9 Commercial Fuels'!$G$55+'2.9 Commercial Fuels'!$G$56+'2.9 Commercial Fuels'!$G$57+'2.9 Commercial Fuels'!$G$58+'2.9 Commercial Fuels'!$G$59)/1000000*'1.9 Commercial Fuels'!$G$26+('2.9 Commercial Fuels'!$G$61+'2.9 Commercial Fuels'!$G$62+'2.9 Commercial Fuels'!$G$63+'2.9 Commercial Fuels'!$G$64+'2.9 Commercial Fuels'!$G$65+'2.9 Commercial Fuels'!$G$66+'2.9 Commercial Fuels'!$G$67)/1000000*'1.9 Commercial Fuels'!$G$27)+(('2.12 COE BP&amp;T'!$G$37+'2.12 COE BP&amp;T'!$G$38+'2.12 COE BP&amp;T'!$G$40+'2.12 COE BP&amp;T'!$G$41+'2.12 COE BP&amp;T'!$G$42)/1000000)/Lists!$AG$20+(('2.13 COE SA&amp;D'!$G$37+'2.13 COE SA&amp;D'!$G$38+'2.13 COE SA&amp;D'!$G$39+'2.13 COE SA&amp;D'!$G$40)/1000000)/Lists!$AG$20+Lists!$AG$13/Lists!$AG$21*$C$69/($C$69+$D$69)+(('2.9 Commercial Fuels'!$G$71+'2.9 Commercial Fuels'!$G$73+'2.9 Commercial Fuels'!$G$74)/1000000)*$J14</f>
        <v>2.57648223160864</v>
      </c>
      <c r="N14" s="1095">
        <f>(('2.12 COE BP&amp;T'!$G$39)/1000000)/Lists!$AG$20+(('2.13 COE SA&amp;D'!$G$34+'2.13 COE SA&amp;D'!$G$35+'2.13 COE SA&amp;D'!$G$36)/1000000)/Lists!$AG$20+Lists!$AG$13/Lists!$AG$21*$D$69/($C$69+$D$69)+(('2.9 Commercial Fuels'!$G$69)/1000000)*$J14</f>
        <v>0.444679495980452</v>
      </c>
      <c r="O14" s="1095">
        <f>$M14+$N14</f>
        <v>3.02116172758909</v>
      </c>
      <c r="P14" s="1095">
        <f>'0.2 Data Config'!$C$15</f>
        <v>2.5</v>
      </c>
      <c r="Q14" s="1095">
        <f>'0.2 Data Config'!$D$15</f>
        <v>0</v>
      </c>
      <c r="R14" s="1095">
        <f>$M14-$P14</f>
        <v>0.0764822316086393</v>
      </c>
      <c r="S14" s="1095">
        <f>$N14-$Q14</f>
        <v>0.444679495980452</v>
      </c>
      <c r="T14" s="1095">
        <f>'0.2 Data Config'!$E$15</f>
        <v>2.5</v>
      </c>
      <c r="U14" s="1071" t="n"/>
      <c r="V14" s="1095">
        <f>$L14-$T14</f>
        <v>0.521161727589091</v>
      </c>
      <c r="W14" s="1071" t="n"/>
      <c r="X14" s="1095">
        <f>$C14-$D14-$L14</f>
        <v>3.25393625111091</v>
      </c>
      <c r="Y14" s="1095">
        <f>'1.9 Commercial Fuels'!$J$14+'1.9 Commercial Fuels'!$J$15+'1.9 Commercial Fuels'!$J$18</f>
        <v>3.38</v>
      </c>
      <c r="Z14" s="1095">
        <f>$X14-$Y14</f>
        <v>-0.12606374888909</v>
      </c>
    </row>
    <row r="15">
      <c r="B15" s="534" t="inlineStr">
        <is>
          <t>Energy Solutions &amp; B2B</t>
        </is>
      </c>
      <c r="C15" s="1094">
        <f>INDEX('2.8 Energy Solutions &amp; B2B'!$S$7:$S$19,MATCH("Total portfolio",'2.8 Energy Solutions &amp; B2B'!$B$7:$B$19,0))</f>
        <v>6.341619662</v>
      </c>
      <c r="D15" s="1094">
        <f>INDEX('2.8 Energy Solutions &amp; B2B'!$P$7:$P$19,MATCH("Total portfolio",'2.8 Energy Solutions &amp; B2B'!$B$7:$B$19,0))</f>
        <v>0</v>
      </c>
      <c r="E15" s="1094">
        <f>'2.8 Energy Solutions &amp; B2B'!$S$8*'1.8 Energy Solutions &amp; B2B'!$G$35+'2.8 Energy Solutions &amp; B2B'!$S$9*'1.8 Energy Solutions &amp; B2B'!$G$29+'2.8 Energy Solutions &amp; B2B'!$S$10*'1.8 Energy Solutions &amp; B2B'!$G$28</f>
        <v>1.3169316146</v>
      </c>
      <c r="F15" s="1094">
        <f>Lists!$AG$18/Lists!$AG$20</f>
        <v>0.210322581818182</v>
      </c>
      <c r="G15" s="1094">
        <f>Lists!$AG$19/Lists!$AG$20</f>
        <v>0.126266935090909</v>
      </c>
      <c r="H15" s="1094">
        <f>Lists!$AG$13/Lists!$AG$21</f>
        <v>0.31875</v>
      </c>
      <c r="I15" s="1094">
        <f>INDEX('2.8 Energy Solutions &amp; B2B'!$S$7:$S$19,MATCH("Overhead roles total",'2.8 Energy Solutions &amp; B2B'!$B$7:$B$19,0))</f>
        <v>1.053717124</v>
      </c>
      <c r="J15" s="1070" t="n">
        <v>1</v>
      </c>
      <c r="K15" s="1094">
        <f>$F15+$G15+$H15+$I15*$J15</f>
        <v>1.70905664090909</v>
      </c>
      <c r="L15" s="1094">
        <f>$K15+$E15</f>
        <v>3.02598825550909</v>
      </c>
      <c r="M15" s="1094">
        <f>(('2.8 Energy Solutions &amp; B2B'!$G$25+'2.8 Energy Solutions &amp; B2B'!$G$26+'2.8 Energy Solutions &amp; B2B'!$G$27+'2.8 Energy Solutions &amp; B2B'!$G$28+'2.8 Energy Solutions &amp; B2B'!$G$29+'2.8 Energy Solutions &amp; B2B'!$G$30+'2.8 Energy Solutions &amp; B2B'!$G$31+'2.8 Energy Solutions &amp; B2B'!$G$32+'2.8 Energy Solutions &amp; B2B'!$G$33+'2.8 Energy Solutions &amp; B2B'!$G$35+'2.8 Energy Solutions &amp; B2B'!$G$36+'2.8 Energy Solutions &amp; B2B'!$G$38)/1000000*'1.8 Energy Solutions &amp; B2B'!$G$35+('2.8 Energy Solutions &amp; B2B'!$G$48+'2.8 Energy Solutions &amp; B2B'!$G$49+'2.8 Energy Solutions &amp; B2B'!$G$50+'2.8 Energy Solutions &amp; B2B'!$G$51+'2.8 Energy Solutions &amp; B2B'!$G$52+'2.8 Energy Solutions &amp; B2B'!$G$53+'2.8 Energy Solutions &amp; B2B'!$G$54)/1000000*'1.8 Energy Solutions &amp; B2B'!$G$28)+(('2.12 COE BP&amp;T'!$G$37+'2.12 COE BP&amp;T'!$G$38+'2.12 COE BP&amp;T'!$G$40+'2.12 COE BP&amp;T'!$G$41+'2.12 COE BP&amp;T'!$G$42)/1000000)/Lists!$AG$20+(('2.13 COE SA&amp;D'!$G$37+'2.13 COE SA&amp;D'!$G$38+'2.13 COE SA&amp;D'!$G$39+'2.13 COE SA&amp;D'!$G$40)/1000000)/Lists!$AG$20+Lists!$AG$13/Lists!$AG$21*$C$69/($C$69+$D$69)+(('2.8 Energy Solutions &amp; B2B'!$G$59+'2.8 Energy Solutions &amp; B2B'!$G$62)/1000000)*$J15</f>
        <v>2.07314950192864</v>
      </c>
      <c r="N15" s="1094">
        <f>(('2.8 Energy Solutions &amp; B2B'!$G$34+'2.8 Energy Solutions &amp; B2B'!$G$37)/1000000*'1.8 Energy Solutions &amp; B2B'!$G$35+('2.8 Energy Solutions &amp; B2B'!$G$40+'2.8 Energy Solutions &amp; B2B'!$G$41+'2.8 Energy Solutions &amp; B2B'!$G$42+'2.8 Energy Solutions &amp; B2B'!$G$43+'2.8 Energy Solutions &amp; B2B'!$G$44+'2.8 Energy Solutions &amp; B2B'!$G$45)/1000000*'1.8 Energy Solutions &amp; B2B'!$G$29+('2.8 Energy Solutions &amp; B2B'!$G$47+'2.8 Energy Solutions &amp; B2B'!$G$55)/1000000*'1.8 Energy Solutions &amp; B2B'!$G$28)+(('2.12 COE BP&amp;T'!$G$39)/1000000)/Lists!$AG$20+(('2.13 COE SA&amp;D'!$G$34+'2.13 COE SA&amp;D'!$G$35+'2.13 COE SA&amp;D'!$G$36)/1000000)/Lists!$AG$20+Lists!$AG$13/Lists!$AG$21*$D$69/($C$69+$D$69)+(('2.8 Energy Solutions &amp; B2B'!$G$57+'2.8 Energy Solutions &amp; B2B'!$G$61)/1000000)*$J15</f>
        <v>0.952838753580452</v>
      </c>
      <c r="O15" s="1094">
        <f>$M15+$N15</f>
        <v>3.02598825550909</v>
      </c>
      <c r="P15" s="1094">
        <f>'0.2 Data Config'!$C$16</f>
        <v>2.5</v>
      </c>
      <c r="Q15" s="1094">
        <f>'0.2 Data Config'!$D$16</f>
        <v>0</v>
      </c>
      <c r="R15" s="1094">
        <f>$M15-$P15</f>
        <v>-0.426850498071361</v>
      </c>
      <c r="S15" s="1094">
        <f>$N15-$Q15</f>
        <v>0.952838753580452</v>
      </c>
      <c r="T15" s="1094">
        <f>'0.2 Data Config'!$E$16</f>
        <v>2.5</v>
      </c>
      <c r="V15" s="1094">
        <f>$L15-$T15</f>
        <v>0.525988255509091</v>
      </c>
      <c r="X15" s="1094">
        <f>$C15-$D15-$L15</f>
        <v>3.31563140649091</v>
      </c>
      <c r="Y15" s="1094">
        <f>'1.8 Energy Solutions &amp; B2B'!$J$14+'1.8 Energy Solutions &amp; B2B'!$J$15+'1.8 Energy Solutions &amp; B2B'!$J$18+'1.8 Energy Solutions &amp; B2B'!$J$19+'1.8 Energy Solutions &amp; B2B'!$J$20</f>
        <v>6.5</v>
      </c>
      <c r="Z15" s="1094">
        <f>$X15-$Y15</f>
        <v>-3.18436859350909</v>
      </c>
    </row>
    <row r="16">
      <c r="B16" s="1071" t="inlineStr">
        <is>
          <t>Infrastructure</t>
        </is>
      </c>
      <c r="C16" s="1095">
        <f>INDEX('2.7 Infrastructure'!$S$7:$S$22,MATCH("Total portfolio",'2.7 Infrastructure'!$B$7:$B$22,0))</f>
        <v>6.74276054</v>
      </c>
      <c r="D16" s="1095">
        <f>INDEX('2.7 Infrastructure'!$P$7:$P$22,MATCH("Total portfolio",'2.7 Infrastructure'!$B$7:$B$22,0))</f>
        <v>0</v>
      </c>
      <c r="E16" s="1095">
        <f>'2.7 Infrastructure'!$S$8*'1.7 Infrastructure'!$G$39+'2.7 Infrastructure'!$S$9*'1.7 Infrastructure'!$G$26+'2.7 Infrastructure'!$S$10*'1.7 Infrastructure'!$G$32+'2.7 Infrastructure'!$S$11*'1.7 Infrastructure'!$G$33</f>
        <v>1.500968292</v>
      </c>
      <c r="F16" s="1095">
        <f>Lists!$AG$18/Lists!$AG$20</f>
        <v>0.210322581818182</v>
      </c>
      <c r="G16" s="1095">
        <f>Lists!$AG$19/Lists!$AG$20</f>
        <v>0.126266935090909</v>
      </c>
      <c r="H16" s="1095">
        <f>Lists!$AG$13/Lists!$AG$21</f>
        <v>0.31875</v>
      </c>
      <c r="I16" s="1095">
        <f>INDEX('2.7 Infrastructure'!$S$7:$S$22,MATCH("Overhead roles total",'2.7 Infrastructure'!$B$7:$B$22,0))</f>
        <v>1.20525785</v>
      </c>
      <c r="J16" s="1070" t="n">
        <v>1</v>
      </c>
      <c r="K16" s="1095">
        <f>$F16+$G16+$H16+$I16*$J16</f>
        <v>1.86059736690909</v>
      </c>
      <c r="L16" s="1095">
        <f>$K16+$E16</f>
        <v>3.36156565890909</v>
      </c>
      <c r="M16" s="1095">
        <f>(('2.7 Infrastructure'!$G$28+'2.7 Infrastructure'!$G$29+'2.7 Infrastructure'!$G$30+'2.7 Infrastructure'!$G$31+'2.7 Infrastructure'!$G$32+'2.7 Infrastructure'!$G$33+'2.7 Infrastructure'!$G$34)/1000000*'1.7 Infrastructure'!$G$39+('2.7 Infrastructure'!$G$36+'2.7 Infrastructure'!$G$37+'2.7 Infrastructure'!$G$38+'2.7 Infrastructure'!$G$39+'2.7 Infrastructure'!$G$40+'2.7 Infrastructure'!$G$41+'2.7 Infrastructure'!$G$42+'2.7 Infrastructure'!$G$43+'2.7 Infrastructure'!$G$44+'2.7 Infrastructure'!$G$45)/1000000*'1.7 Infrastructure'!$G$26+('2.7 Infrastructure'!$G$49+'2.7 Infrastructure'!$G$50+'2.7 Infrastructure'!$G$51+'2.7 Infrastructure'!$G$52+'2.7 Infrastructure'!$G$53+'2.7 Infrastructure'!$G$54+'2.7 Infrastructure'!$G$55+'2.7 Infrastructure'!$G$56+'2.7 Infrastructure'!$G$57)/1000000*'1.7 Infrastructure'!$G$32+('2.7 Infrastructure'!$G$59+'2.7 Infrastructure'!$G$60+'2.7 Infrastructure'!$G$61+'2.7 Infrastructure'!$G$62+'2.7 Infrastructure'!$G$63)/1000000*'1.7 Infrastructure'!$G$33)+(('2.12 COE BP&amp;T'!$G$37+'2.12 COE BP&amp;T'!$G$38+'2.12 COE BP&amp;T'!$G$40+'2.12 COE BP&amp;T'!$G$41+'2.12 COE BP&amp;T'!$G$42)/1000000)/Lists!$AG$20+(('2.13 COE SA&amp;D'!$G$37+'2.13 COE SA&amp;D'!$G$38+'2.13 COE SA&amp;D'!$G$39+'2.13 COE SA&amp;D'!$G$40)/1000000)/Lists!$AG$20+Lists!$AG$13/Lists!$AG$21*$C$69/($C$69+$D$69)+(('2.7 Infrastructure'!$G$65+'2.7 Infrastructure'!$G$67+'2.7 Infrastructure'!$G$69+'2.7 Infrastructure'!$G$70)/1000000)*$J16</f>
        <v>3.20932089892864</v>
      </c>
      <c r="N16" s="1095">
        <f>(('2.12 COE BP&amp;T'!$G$39)/1000000)/Lists!$AG$20+(('2.13 COE SA&amp;D'!$G$34+'2.13 COE SA&amp;D'!$G$35+'2.13 COE SA&amp;D'!$G$36)/1000000)/Lists!$AG$20+Lists!$AG$13/Lists!$AG$21*$D$69/($C$69+$D$69)</f>
        <v>0.152244759980452</v>
      </c>
      <c r="O16" s="1095">
        <f>$M16+$N16</f>
        <v>3.36156565890909</v>
      </c>
      <c r="P16" s="1095">
        <f>'0.2 Data Config'!$C$17</f>
        <v>2.5</v>
      </c>
      <c r="Q16" s="1095">
        <f>'0.2 Data Config'!$D$17</f>
        <v>0</v>
      </c>
      <c r="R16" s="1095">
        <f>$M16-$P16</f>
        <v>0.709320898928639</v>
      </c>
      <c r="S16" s="1095">
        <f>$N16-$Q16</f>
        <v>0.152244759980452</v>
      </c>
      <c r="T16" s="1095">
        <f>'0.2 Data Config'!$E$17</f>
        <v>2.5</v>
      </c>
      <c r="U16" s="1071" t="n"/>
      <c r="V16" s="1095">
        <f>$L16-$T16</f>
        <v>0.861565658909091</v>
      </c>
      <c r="W16" s="1071" t="n"/>
      <c r="X16" s="1095">
        <f>$C16-$D16-$L16</f>
        <v>3.38119488109091</v>
      </c>
      <c r="Y16" s="1095">
        <f>'1.7 Infrastructure'!$J$15+'1.7 Infrastructure'!$J$16+'1.7 Infrastructure'!$J$17+'1.7 Infrastructure'!$J$18</f>
        <v>2.5</v>
      </c>
      <c r="Z16" s="1095">
        <f>$X16-$Y16</f>
        <v>0.881194881090909</v>
      </c>
    </row>
    <row r="17">
      <c r="B17" s="534" t="inlineStr">
        <is>
          <t>P&amp;C</t>
        </is>
      </c>
      <c r="C17" s="1094">
        <f>INDEX('2.5 P&amp;C'!$S$7:$S$20,MATCH("Total portfolio",'2.5 P&amp;C'!$B$7:$B$20,0))</f>
        <v>3.72290853</v>
      </c>
      <c r="D17" s="1094">
        <f>INDEX('2.5 P&amp;C'!$P$7:$P$20,MATCH("Total portfolio",'2.5 P&amp;C'!$B$7:$B$20,0))</f>
        <v>0.238965</v>
      </c>
      <c r="E17" s="1094">
        <f>'2.5 P&amp;C'!$S$8*'1.5 P&amp;C'!$G$25+'2.5 P&amp;C'!$S$9*'1.5 P&amp;C'!$G$26</f>
        <v>0.764255514</v>
      </c>
      <c r="F17" s="1094">
        <f>Lists!$AG$18/Lists!$AG$20</f>
        <v>0.210322581818182</v>
      </c>
      <c r="G17" s="1094">
        <f>Lists!$AG$19/Lists!$AG$20</f>
        <v>0.126266935090909</v>
      </c>
      <c r="H17" s="1094">
        <f>Lists!$AG$13/Lists!$AG$21</f>
        <v>0.31875</v>
      </c>
      <c r="I17" s="1094">
        <f>INDEX('2.5 P&amp;C'!$S$7:$S$20,MATCH("Overhead roles total",'2.5 P&amp;C'!$B$7:$B$20,0))</f>
        <v>0.93642515</v>
      </c>
      <c r="J17" s="1070" t="n">
        <v>1</v>
      </c>
      <c r="K17" s="1094">
        <f>$F17+$G17+$H17+$I17*$J17</f>
        <v>1.59176466690909</v>
      </c>
      <c r="L17" s="1094">
        <f>$K17+$E17</f>
        <v>2.35602018090909</v>
      </c>
      <c r="M17" s="1094">
        <f>(('2.5 P&amp;C'!$G$28+'2.5 P&amp;C'!$G$29+'2.5 P&amp;C'!$G$30+'2.5 P&amp;C'!$G$32+'2.5 P&amp;C'!$G$33+'2.5 P&amp;C'!$G$34+'2.5 P&amp;C'!$G$35)/1000000*'1.5 P&amp;C'!$G$25+('2.5 P&amp;C'!$G$37+'2.5 P&amp;C'!$G$38+'2.5 P&amp;C'!$G$39+'2.5 P&amp;C'!$G$40+'2.5 P&amp;C'!$G$41)/1000000*'1.5 P&amp;C'!$G$26)+(('2.12 COE BP&amp;T'!$G$37+'2.12 COE BP&amp;T'!$G$38+'2.12 COE BP&amp;T'!$G$40+'2.12 COE BP&amp;T'!$G$41+'2.12 COE BP&amp;T'!$G$42)/1000000)/Lists!$AG$20+(('2.13 COE SA&amp;D'!$G$37+'2.13 COE SA&amp;D'!$G$38+'2.13 COE SA&amp;D'!$G$39+'2.13 COE SA&amp;D'!$G$40)/1000000)/Lists!$AG$20+Lists!$AG$13/Lists!$AG$21*$C$69/($C$69+$D$69)+(('2.5 P&amp;C'!$G$43+'2.5 P&amp;C'!$G$45+'2.5 P&amp;C'!$G$47)/1000000)*$J17</f>
        <v>2.14576793692864</v>
      </c>
      <c r="N17" s="1094">
        <f>(('2.5 P&amp;C'!$G$31)/1000000*'1.5 P&amp;C'!$G$25)+(('2.12 COE BP&amp;T'!$G$39)/1000000)/Lists!$AG$20+(('2.13 COE SA&amp;D'!$G$34+'2.13 COE SA&amp;D'!$G$35+'2.13 COE SA&amp;D'!$G$36)/1000000)/Lists!$AG$20+Lists!$AG$13/Lists!$AG$21*$D$69/($C$69+$D$69)</f>
        <v>0.210252243980452</v>
      </c>
      <c r="O17" s="1094">
        <f>$M17+$N17</f>
        <v>2.35602018090909</v>
      </c>
      <c r="P17" s="1094">
        <f>'0.2 Data Config'!$C$18</f>
        <v>1</v>
      </c>
      <c r="Q17" s="1094">
        <f>'0.2 Data Config'!$D$18</f>
        <v>1</v>
      </c>
      <c r="R17" s="1094">
        <f>$M17-$P17</f>
        <v>1.14576793692864</v>
      </c>
      <c r="S17" s="1094">
        <f>$N17-$Q17</f>
        <v>-0.789747756019548</v>
      </c>
      <c r="T17" s="1094">
        <f>'0.2 Data Config'!$E$18</f>
        <v>2</v>
      </c>
      <c r="V17" s="1094">
        <f>$L17-$T17</f>
        <v>0.35602018090909</v>
      </c>
      <c r="X17" s="1094">
        <f>$C17-$D17-$L17</f>
        <v>1.12792334909091</v>
      </c>
      <c r="Y17" s="1094">
        <f>'1.5 P&amp;C'!$J$14+'1.5 P&amp;C'!$J$15+'1.5 P&amp;C'!$J$16+'1.5 P&amp;C'!$J$18</f>
        <v>1.85</v>
      </c>
      <c r="Z17" s="1094">
        <f>$X17-$Y17</f>
        <v>-0.72207665090909</v>
      </c>
    </row>
    <row r="18">
      <c r="B18" s="1071" t="inlineStr">
        <is>
          <t>Finance</t>
        </is>
      </c>
      <c r="C18" s="1095">
        <f>INDEX('2.6 Finance'!$S$7:$S$20,MATCH("Total portfolio",'2.6 Finance'!$B$7:$B$20,0))</f>
        <v>3.5428346605</v>
      </c>
      <c r="D18" s="1095">
        <f>INDEX('2.6 Finance'!$P$7:$P$20,MATCH("Total portfolio",'2.6 Finance'!$B$7:$B$20,0))</f>
        <v>0.24172845</v>
      </c>
      <c r="E18" s="1095">
        <f>'2.6 Finance'!$S$8*'1.6 Finance'!$G$27+'2.6 Finance'!$S$9*'1.6 Finance'!$G$26</f>
        <v>1.3623573045</v>
      </c>
      <c r="F18" s="1095">
        <f>Lists!$AG$18/Lists!$AG$20</f>
        <v>0.210322581818182</v>
      </c>
      <c r="G18" s="1095">
        <f>Lists!$AG$19/Lists!$AG$20</f>
        <v>0.126266935090909</v>
      </c>
      <c r="H18" s="1095">
        <f>Lists!$AG$13/Lists!$AG$21</f>
        <v>0.31875</v>
      </c>
      <c r="I18" s="1095">
        <f>INDEX('2.6 Finance'!$S$7:$S$20,MATCH("Overhead roles total",'2.6 Finance'!$B$7:$B$20,0))</f>
        <v>0.32356045</v>
      </c>
      <c r="J18" s="1070" t="n">
        <v>1</v>
      </c>
      <c r="K18" s="1095">
        <f>$F18+$G18+$H18+$I18*$J18</f>
        <v>0.978899966909091</v>
      </c>
      <c r="L18" s="1095">
        <f>$K18+$E18</f>
        <v>2.34125727140909</v>
      </c>
      <c r="M18" s="1095">
        <f>(('2.6 Finance'!$G$31+'2.6 Finance'!$G$33)/1000000*'1.6 Finance'!$G$27+('2.6 Finance'!$G$35+'2.6 Finance'!$G$36+'2.6 Finance'!$G$37+'2.6 Finance'!$G$38+'2.6 Finance'!$G$39+'2.6 Finance'!$G$40+'2.6 Finance'!$G$41+'2.6 Finance'!$G$42)/1000000*'1.6 Finance'!$G$26)+(('2.12 COE BP&amp;T'!$G$37+'2.12 COE BP&amp;T'!$G$38+'2.12 COE BP&amp;T'!$G$40+'2.12 COE BP&amp;T'!$G$41+'2.12 COE BP&amp;T'!$G$42)/1000000)/Lists!$AG$20+(('2.13 COE SA&amp;D'!$G$37+'2.13 COE SA&amp;D'!$G$38+'2.13 COE SA&amp;D'!$G$39+'2.13 COE SA&amp;D'!$G$40)/1000000)/Lists!$AG$20+Lists!$AG$13/Lists!$AG$21*$C$69/($C$69+$D$69)+(('2.6 Finance'!$G$45)/1000000)*$J18</f>
        <v>1.48509255942864</v>
      </c>
      <c r="N18" s="1095">
        <f>(('2.6 Finance'!$G$28+'2.6 Finance'!$G$29+'2.6 Finance'!$G$30+'2.6 Finance'!$G$32)/1000000*'1.6 Finance'!$G$27+('2.6 Finance'!$G$43)/1000000*'1.6 Finance'!$G$26)+(('2.12 COE BP&amp;T'!$G$39)/1000000)/Lists!$AG$20+(('2.13 COE SA&amp;D'!$G$34+'2.13 COE SA&amp;D'!$G$35+'2.13 COE SA&amp;D'!$G$36)/1000000)/Lists!$AG$20+Lists!$AG$13/Lists!$AG$21*$D$69/($C$69+$D$69)</f>
        <v>0.856164711980452</v>
      </c>
      <c r="O18" s="1095">
        <f>$M18+$N18</f>
        <v>2.34125727140909</v>
      </c>
      <c r="P18" s="1095">
        <f>'0.2 Data Config'!$C$19</f>
        <v>1</v>
      </c>
      <c r="Q18" s="1095">
        <f>'0.2 Data Config'!$D$19</f>
        <v>1</v>
      </c>
      <c r="R18" s="1095">
        <f>$M18-$P18</f>
        <v>0.485092559428639</v>
      </c>
      <c r="S18" s="1095">
        <f>$N18-$Q18</f>
        <v>-0.143835288019548</v>
      </c>
      <c r="T18" s="1095">
        <f>'0.2 Data Config'!$E$19</f>
        <v>2</v>
      </c>
      <c r="U18" s="1071" t="n"/>
      <c r="V18" s="1095">
        <f>$L18-$T18</f>
        <v>0.341257271409091</v>
      </c>
      <c r="W18" s="1071" t="n"/>
      <c r="X18" s="1095">
        <f>$C18-$D18-$L18</f>
        <v>0.959848939090909</v>
      </c>
      <c r="Y18" s="1095">
        <f>'1.6 Finance'!$J$15+'1.6 Finance'!$J$16+'1.6 Finance'!$J$17+'1.6 Finance'!$J$19</f>
        <v>0.45</v>
      </c>
      <c r="Z18" s="1095">
        <f>$X18-$Y18</f>
        <v>0.509848939090909</v>
      </c>
    </row>
    <row r="19">
      <c r="B19" s="534" t="inlineStr">
        <is>
          <t>TDD Group Functions</t>
        </is>
      </c>
      <c r="C19" s="1094">
        <f>INDEX('2.4 TDD Group Functions'!$S$7:$S$24,MATCH("Total portfolio",'2.4 TDD Group Functions'!$B$7:$B$24,0))</f>
        <v>8.91132253064348</v>
      </c>
      <c r="D19" s="1094">
        <f>INDEX('2.4 TDD Group Functions'!$P$7:$P$24,MATCH("Total portfolio",'2.4 TDD Group Functions'!$B$7:$B$24,0))</f>
        <v>1.32454851</v>
      </c>
      <c r="E19" s="1094">
        <f>'2.4 TDD Group Functions'!$S$8*'1.4 TDD Group Functions'!$G$22+'2.4 TDD Group Functions'!$S$9*'1.4 TDD Group Functions'!$G$23+'2.4 TDD Group Functions'!$S$10*'1.4 TDD Group Functions'!$G$24+'2.4 TDD Group Functions'!$S$11*'1.4 TDD Group Functions'!$G$21</f>
        <v>4.52504150317043</v>
      </c>
      <c r="F19" s="1094">
        <f>Lists!$AG$18/Lists!$AG$20</f>
        <v>0.210322581818182</v>
      </c>
      <c r="G19" s="1094">
        <f>Lists!$AG$19/Lists!$AG$20</f>
        <v>0.126266935090909</v>
      </c>
      <c r="H19" s="1094">
        <f>Lists!$AG$13/Lists!$AG$21</f>
        <v>0.31875</v>
      </c>
      <c r="I19" s="1094">
        <f>INDEX('2.4 TDD Group Functions'!$S$7:$S$24,MATCH("Overhead roles total",'2.4 TDD Group Functions'!$B$7:$B$24,0))</f>
        <v>1.61115954</v>
      </c>
      <c r="J19" s="1070" t="n">
        <v>1</v>
      </c>
      <c r="K19" s="1094">
        <f>$F19+$G19+$H19+$I19*$J19</f>
        <v>2.26649905690909</v>
      </c>
      <c r="L19" s="1094">
        <f>$K19+$E19</f>
        <v>6.79154056007953</v>
      </c>
      <c r="M19" s="1094">
        <f>(('2.4 TDD Group Functions'!$G$31+'2.4 TDD Group Functions'!$G$32+'2.4 TDD Group Functions'!$G$33+'2.4 TDD Group Functions'!$G$34+'2.4 TDD Group Functions'!$G$35+'2.4 TDD Group Functions'!$G$36+'2.4 TDD Group Functions'!$G$37+'2.4 TDD Group Functions'!$G$38+'2.4 TDD Group Functions'!$G$39+'2.4 TDD Group Functions'!$G$40+'2.4 TDD Group Functions'!$G$41)/1000000*'1.4 TDD Group Functions'!$G$22+('2.4 TDD Group Functions'!$G$46+'2.4 TDD Group Functions'!$G$47+'2.4 TDD Group Functions'!$G$48+'2.4 TDD Group Functions'!$G$49)/1000000*'1.4 TDD Group Functions'!$G$23+('2.4 TDD Group Functions'!$G$58+'2.4 TDD Group Functions'!$G$61+'2.4 TDD Group Functions'!$G$63+'2.4 TDD Group Functions'!$G$64+'2.4 TDD Group Functions'!$G$65)/1000000*'1.4 TDD Group Functions'!$G$24+('2.4 TDD Group Functions'!$G$71+'2.4 TDD Group Functions'!$G$72+'2.4 TDD Group Functions'!$G$73+'2.4 TDD Group Functions'!$G$74)/1000000*'1.4 TDD Group Functions'!$G$21)+(('2.12 COE BP&amp;T'!$G$37+'2.12 COE BP&amp;T'!$G$38+'2.12 COE BP&amp;T'!$G$40+'2.12 COE BP&amp;T'!$G$41+'2.12 COE BP&amp;T'!$G$42)/1000000)/Lists!$AG$20+(('2.13 COE SA&amp;D'!$G$37+'2.13 COE SA&amp;D'!$G$38+'2.13 COE SA&amp;D'!$G$39+'2.13 COE SA&amp;D'!$G$40)/1000000)/Lists!$AG$20+Lists!$AG$13/Lists!$AG$21*$C$69/($C$69+$D$69)+(('2.4 TDD Group Functions'!$G$78+'2.4 TDD Group Functions'!$G$80+'2.4 TDD Group Functions'!$G$82+'2.4 TDD Group Functions'!$G$85)/1000000)*$J19</f>
        <v>4.75581933992864</v>
      </c>
      <c r="N19" s="1094">
        <f>(('2.4 TDD Group Functions'!$G$30+'2.4 TDD Group Functions'!$G$42)/1000000*'1.4 TDD Group Functions'!$G$22+('2.4 TDD Group Functions'!$G$44+'2.4 TDD Group Functions'!$G$45+'2.4 TDD Group Functions'!$G$50)/1000000*'1.4 TDD Group Functions'!$G$23+('2.4 TDD Group Functions'!$G$59+'2.4 TDD Group Functions'!$G$60+'2.4 TDD Group Functions'!$G$62+'2.4 TDD Group Functions'!$G$66+'2.4 TDD Group Functions'!$G$67)/1000000*'1.4 TDD Group Functions'!$G$24+('2.4 TDD Group Functions'!$G$75+'2.4 TDD Group Functions'!$G$76)/1000000*'1.4 TDD Group Functions'!$G$21)+(('2.12 COE BP&amp;T'!$G$39)/1000000)/Lists!$AG$20+(('2.13 COE SA&amp;D'!$G$34+'2.13 COE SA&amp;D'!$G$35+'2.13 COE SA&amp;D'!$G$36)/1000000)/Lists!$AG$20+Lists!$AG$13/Lists!$AG$21*$D$69/($C$69+$D$69)+(('2.4 TDD Group Functions'!$G$83+'2.4 TDD Group Functions'!$G$84)/1000000)*$J19</f>
        <v>2.03572122015089</v>
      </c>
      <c r="O19" s="1094">
        <f>$M19+$N19</f>
        <v>6.79154056007953</v>
      </c>
      <c r="P19" s="1094">
        <f>'0.2 Data Config'!$C$21</f>
        <v>4.5</v>
      </c>
      <c r="Q19" s="1094">
        <f>'0.2 Data Config'!$D$21</f>
        <v>1</v>
      </c>
      <c r="R19" s="1094">
        <f>$M19-$P19</f>
        <v>0.255819339928639</v>
      </c>
      <c r="S19" s="1094">
        <f>$N19-$Q19</f>
        <v>1.03572122015089</v>
      </c>
      <c r="T19" s="1094">
        <f>'0.2 Data Config'!$E$21</f>
        <v>5.5</v>
      </c>
      <c r="V19" s="1094">
        <f>$L19-$T19</f>
        <v>1.29154056007953</v>
      </c>
      <c r="X19" s="1094">
        <f>$C19-$D19-$L19</f>
        <v>0.795233460563953</v>
      </c>
      <c r="Y19" s="1094">
        <f>0</f>
        <v>0</v>
      </c>
      <c r="Z19" s="1094">
        <f>$X19-$Y19</f>
        <v>0.795233460563953</v>
      </c>
    </row>
    <row r="20">
      <c r="B20" s="1071" t="inlineStr">
        <is>
          <t>Enterprise Data</t>
        </is>
      </c>
      <c r="C20" s="1095">
        <f>INDEX('2.3 Enterprise Data'!$S$7:$S$23,MATCH("Total portfolio",'2.3 Enterprise Data'!$B$7:$B$23,0))</f>
        <v>6.316559406</v>
      </c>
      <c r="D20" s="1095">
        <f>INDEX('2.3 Enterprise Data'!$P$7:$P$23,MATCH("Total portfolio",'2.3 Enterprise Data'!$B$7:$B$23,0))</f>
        <v>1.83595565</v>
      </c>
      <c r="E20" s="1095">
        <f>'2.3 Enterprise Data'!$S$8*'1.3 Enterprise Data'!$G$29+'2.3 Enterprise Data'!$S$9*'1.3 Enterprise Data'!$G$27+'2.3 Enterprise Data'!$S$10*'1.3 Enterprise Data'!$G$28</f>
        <v>2.0642397144</v>
      </c>
      <c r="F20" s="1095">
        <f>Lists!$AG$18/Lists!$AG$20</f>
        <v>0.210322581818182</v>
      </c>
      <c r="G20" s="1095">
        <f>Lists!$AG$19/Lists!$AG$20</f>
        <v>0.126266935090909</v>
      </c>
      <c r="H20" s="1095">
        <f>Lists!$AG$13/Lists!$AG$21</f>
        <v>0.31875</v>
      </c>
      <c r="I20" s="1095">
        <f>INDEX('2.3 Enterprise Data'!$S$7:$S$23,MATCH("Overhead roles total",'2.3 Enterprise Data'!$B$7:$B$23,0))</f>
        <v>1.06103445</v>
      </c>
      <c r="J20" s="1070" t="n">
        <v>1</v>
      </c>
      <c r="K20" s="1095">
        <f>$F20+$G20+$H20+$I20*$J20</f>
        <v>1.71637396690909</v>
      </c>
      <c r="L20" s="1095">
        <f>$K20+$E20</f>
        <v>3.78061368130909</v>
      </c>
      <c r="M20" s="1095">
        <f>(('2.3 Enterprise Data'!$G$31+'2.3 Enterprise Data'!$G$32+'2.3 Enterprise Data'!$G$33+'2.3 Enterprise Data'!$G$34+'2.3 Enterprise Data'!$G$35+'2.3 Enterprise Data'!$G$36)/1000000*'1.3 Enterprise Data'!$G$29+('2.3 Enterprise Data'!$G$39+'2.3 Enterprise Data'!$G$40+'2.3 Enterprise Data'!$G$41)/1000000*'1.3 Enterprise Data'!$G$27+('2.3 Enterprise Data'!$G$55+'2.3 Enterprise Data'!$G$56+'2.3 Enterprise Data'!$G$57+'2.3 Enterprise Data'!$G$58+'2.3 Enterprise Data'!$G$59+'2.3 Enterprise Data'!$G$60)/1000000*'1.3 Enterprise Data'!$G$28)+(('2.12 COE BP&amp;T'!$G$37+'2.12 COE BP&amp;T'!$G$38+'2.12 COE BP&amp;T'!$G$40+'2.12 COE BP&amp;T'!$G$41+'2.12 COE BP&amp;T'!$G$42)/1000000)/Lists!$AG$20+(('2.13 COE SA&amp;D'!$G$37+'2.13 COE SA&amp;D'!$G$38+'2.13 COE SA&amp;D'!$G$39+'2.13 COE SA&amp;D'!$G$40)/1000000)/Lists!$AG$20+Lists!$AG$13/Lists!$AG$21*$C$69/($C$69+$D$69)+(('2.3 Enterprise Data'!$G$62+'2.3 Enterprise Data'!$G$65)/1000000)*$J20</f>
        <v>2.91972778892864</v>
      </c>
      <c r="N20" s="1095">
        <f>(('2.3 Enterprise Data'!$G$29+'2.3 Enterprise Data'!$G$30)/1000000*'1.3 Enterprise Data'!$G$29+('2.3 Enterprise Data'!$G$38)/1000000*'1.3 Enterprise Data'!$G$27)+(('2.12 COE BP&amp;T'!$G$39)/1000000)/Lists!$AG$20+(('2.13 COE SA&amp;D'!$G$34+'2.13 COE SA&amp;D'!$G$35+'2.13 COE SA&amp;D'!$G$36)/1000000)/Lists!$AG$20+Lists!$AG$13/Lists!$AG$21*$D$69/($C$69+$D$69)+(('2.3 Enterprise Data'!$G$64)/1000000)*$J20</f>
        <v>0.860885892380452</v>
      </c>
      <c r="O20" s="1095">
        <f>$M20+$N20</f>
        <v>3.78061368130909</v>
      </c>
      <c r="P20" s="1095">
        <f>'0.2 Data Config'!$C$22</f>
        <v>2.5</v>
      </c>
      <c r="Q20" s="1095">
        <f>'0.2 Data Config'!$D$22</f>
        <v>1</v>
      </c>
      <c r="R20" s="1095">
        <f>$M20-$P20</f>
        <v>0.419727788928639</v>
      </c>
      <c r="S20" s="1095">
        <f>$N20-$Q20</f>
        <v>-0.139114107619548</v>
      </c>
      <c r="T20" s="1095">
        <f>'0.2 Data Config'!$E$22</f>
        <v>3.5</v>
      </c>
      <c r="U20" s="1071" t="n"/>
      <c r="V20" s="1095">
        <f>$L20-$T20</f>
        <v>0.280613681309091</v>
      </c>
      <c r="W20" s="1071" t="n"/>
      <c r="X20" s="1095">
        <f>$C20-$D20-$L20</f>
        <v>0.699990074690909</v>
      </c>
      <c r="Y20" s="1095">
        <f>'1.3 Enterprise Data'!$J$15</f>
        <v>0</v>
      </c>
      <c r="Z20" s="1095">
        <f>$X20-$Y20</f>
        <v>0.699990074690909</v>
      </c>
    </row>
    <row r="21">
      <c r="B21" s="534" t="inlineStr">
        <is>
          <t>TDD Cyber</t>
        </is>
      </c>
      <c r="C21" s="1094">
        <f>INDEX('2.15 TDD Cyber'!$S$7:$S$17,MATCH("Total portfolio",'2.15 TDD Cyber'!$B$7:$B$17,0))</f>
        <v>2.1381967</v>
      </c>
      <c r="D21" s="1094">
        <f>INDEX('2.15 TDD Cyber'!$P$7:$P$17,MATCH("Total portfolio",'2.15 TDD Cyber'!$B$7:$B$17,0))</f>
        <v>1.2998</v>
      </c>
      <c r="E21" s="1094">
        <f>'2.15 TDD Cyber'!$S$8*'1.14 TDD Cyber'!$G$27</f>
        <v>0.67056012</v>
      </c>
      <c r="F21" s="1094">
        <f>Lists!$AG$18/Lists!$AG$20</f>
        <v>0.210322581818182</v>
      </c>
      <c r="G21" s="1094">
        <f>Lists!$AG$19/Lists!$AG$20</f>
        <v>0.126266935090909</v>
      </c>
      <c r="H21" s="1094">
        <f>Lists!$AG$13/Lists!$AG$21</f>
        <v>0.31875</v>
      </c>
      <c r="I21" s="1094">
        <f>INDEX('2.15 TDD Cyber'!$S$7:$S$17,MATCH("Overhead roles total",'2.15 TDD Cyber'!$B$7:$B$17,0))</f>
        <v>0</v>
      </c>
      <c r="K21" s="1094">
        <f>$F21+$G21+$H21+$I21</f>
        <v>0.655339516909091</v>
      </c>
      <c r="L21" s="1094">
        <f>$K21+$E21</f>
        <v>1.32589963690909</v>
      </c>
      <c r="M21" s="1094">
        <f>(('2.15 TDD Cyber'!$G$29+'2.15 TDD Cyber'!$G$30+'2.15 TDD Cyber'!$G$31+'2.15 TDD Cyber'!$G$32)/1000000*'1.14 TDD Cyber'!$G$27)+(('2.12 COE BP&amp;T'!$G$37+'2.12 COE BP&amp;T'!$G$38+'2.12 COE BP&amp;T'!$G$40+'2.12 COE BP&amp;T'!$G$41+'2.12 COE BP&amp;T'!$G$42)/1000000)/Lists!$AG$20+(('2.13 COE SA&amp;D'!$G$37+'2.13 COE SA&amp;D'!$G$38+'2.13 COE SA&amp;D'!$G$39+'2.13 COE SA&amp;D'!$G$40)/1000000)/Lists!$AG$20+Lists!$AG$13/Lists!$AG$21*$C$69/($C$69+$D$69)</f>
        <v>1.17365487692864</v>
      </c>
      <c r="N21" s="1094">
        <f>(('2.12 COE BP&amp;T'!$G$39)/1000000)/Lists!$AG$20+(('2.13 COE SA&amp;D'!$G$34+'2.13 COE SA&amp;D'!$G$35+'2.13 COE SA&amp;D'!$G$36)/1000000)/Lists!$AG$20+Lists!$AG$13/Lists!$AG$21*$D$69/($C$69+$D$69)</f>
        <v>0.152244759980452</v>
      </c>
      <c r="O21" s="1094">
        <f>$M21+$N21</f>
        <v>1.32589963690909</v>
      </c>
      <c r="P21" s="1094">
        <f>'0.2 Data Config'!$C$23</f>
        <v>1</v>
      </c>
      <c r="Q21" s="1094">
        <f>'0.2 Data Config'!$D$23</f>
        <v>0.5</v>
      </c>
      <c r="R21" s="1094">
        <f>$M21-$P21</f>
        <v>0.173654876928639</v>
      </c>
      <c r="S21" s="1094">
        <f>$N21-$Q21</f>
        <v>-0.347755240019548</v>
      </c>
      <c r="T21" s="1094">
        <f>'0.2 Data Config'!$E$23</f>
        <v>1.5</v>
      </c>
      <c r="V21" s="1094">
        <f>$L21-$T21</f>
        <v>-0.174100363090909</v>
      </c>
      <c r="X21" s="1094">
        <f>$C21-$D21-$L21</f>
        <v>-0.487502936909091</v>
      </c>
      <c r="Y21" s="1094">
        <f>'1.14 TDD Cyber'!$J$17</f>
        <v>0.16</v>
      </c>
      <c r="Z21" s="1094">
        <f>$X21-$Y21</f>
        <v>-0.647502936909091</v>
      </c>
    </row>
    <row r="22">
      <c r="B22" s="1071" t="inlineStr">
        <is>
          <t>EGI</t>
        </is>
      </c>
      <c r="C22" s="1095">
        <f>INDEX('2.14 EGI'!$S$7:$S$9,MATCH("Total portfolio",'2.14 EGI'!$B$7:$B$9,0))</f>
        <v>5.15081935</v>
      </c>
      <c r="D22" s="1095">
        <f>INDEX('2.14 EGI'!$P$7:$P$9,MATCH("Total portfolio",'2.14 EGI'!$B$7:$B$9,0))</f>
        <v>5.15081935</v>
      </c>
      <c r="E22" s="1095">
        <f>0</f>
        <v>0</v>
      </c>
      <c r="F22" s="1095">
        <f>0</f>
        <v>0</v>
      </c>
      <c r="G22" s="1095">
        <f>0</f>
        <v>0</v>
      </c>
      <c r="H22" s="1095">
        <f>0</f>
        <v>0</v>
      </c>
      <c r="I22" s="1095">
        <f>0</f>
        <v>0</v>
      </c>
      <c r="J22" s="1071" t="n"/>
      <c r="K22" s="1095">
        <f>$F22+$G22+$H22+$I22</f>
        <v>0</v>
      </c>
      <c r="L22" s="1095">
        <f>$K22+$E22</f>
        <v>0</v>
      </c>
      <c r="M22" s="1095">
        <f>0</f>
        <v>0</v>
      </c>
      <c r="N22" s="1095">
        <f>0</f>
        <v>0</v>
      </c>
      <c r="O22" s="1095">
        <f>$M22+$N22</f>
        <v>0</v>
      </c>
      <c r="P22" s="1095">
        <f>'0.2 Data Config'!$C$25</f>
        <v>0</v>
      </c>
      <c r="Q22" s="1095">
        <f>'0.2 Data Config'!$D$25</f>
        <v>0</v>
      </c>
      <c r="R22" s="1095">
        <f>$M22-$P22</f>
        <v>0</v>
      </c>
      <c r="S22" s="1095">
        <f>$N22-$Q22</f>
        <v>0</v>
      </c>
      <c r="T22" s="1095">
        <f>'0.2 Data Config'!$E$25</f>
        <v>0</v>
      </c>
      <c r="U22" s="1071" t="n"/>
      <c r="V22" s="1095">
        <f>$L22-$T22</f>
        <v>0</v>
      </c>
      <c r="W22" s="1071" t="n"/>
      <c r="X22" s="1095">
        <f>$C22-$D22-$L22</f>
        <v>0</v>
      </c>
      <c r="Y22" s="1095">
        <f>0</f>
        <v>0</v>
      </c>
      <c r="Z22" s="1095">
        <f>$X22-$Y22</f>
        <v>0</v>
      </c>
    </row>
    <row r="23">
      <c r="B23" s="1073" t="inlineStr">
        <is>
          <t>Total, over or under the allocations for these rows</t>
        </is>
      </c>
      <c r="C23" s="1096">
        <f>SUM(C5:C22)</f>
        <v>105.277872089363</v>
      </c>
      <c r="D23" s="1096">
        <f>SUM(D5:D22)</f>
        <v>19.0714828912</v>
      </c>
      <c r="E23" s="1096">
        <f>SUM(E5:E22)</f>
        <v>36.2174798162664</v>
      </c>
      <c r="F23" s="1096">
        <f>SUM(F5:F22)</f>
        <v>2.3135484</v>
      </c>
      <c r="G23" s="1096">
        <f>SUM(G5:G22)</f>
        <v>1.388936286</v>
      </c>
      <c r="H23" s="1096">
        <f>SUM(H5:H22)</f>
        <v>5.1</v>
      </c>
      <c r="I23" s="1096">
        <f>SUM(I5:I22)</f>
        <v>14.370551328</v>
      </c>
      <c r="J23" s="1073" t="n"/>
      <c r="K23" s="1096">
        <f>SUM(K5:K22)</f>
        <v>23.173036014</v>
      </c>
      <c r="L23" s="1096">
        <f>SUM(L5:L22)</f>
        <v>59.3905158302664</v>
      </c>
      <c r="M23" s="1096">
        <f>SUM(M5:M22)</f>
        <v>43.3057707840182</v>
      </c>
      <c r="N23" s="1096">
        <f>SUM(N5:N22)</f>
        <v>16.0847450462482</v>
      </c>
      <c r="O23" s="1096">
        <f>SUM(O5:O22)</f>
        <v>59.3905158302664</v>
      </c>
      <c r="P23" s="1096">
        <f>SUM(P5:P22)</f>
        <v>33</v>
      </c>
      <c r="Q23" s="1096">
        <f>SUM(Q5:Q22)</f>
        <v>17.5</v>
      </c>
      <c r="R23" s="1096">
        <f>SUM(R5:R22)</f>
        <v>10.3057707840182</v>
      </c>
      <c r="S23" s="1096">
        <f>SUM(S5:S22)</f>
        <v>-1.41525495375179</v>
      </c>
      <c r="T23" s="1096">
        <f>SUM(T5:T22)</f>
        <v>50.5</v>
      </c>
      <c r="U23" s="1073" t="n"/>
      <c r="V23" s="1096">
        <f>SUM(V5:V22)</f>
        <v>8.89051583026643</v>
      </c>
      <c r="W23" s="1073" t="n"/>
      <c r="X23" s="1096">
        <f>SUM(X5:X22)</f>
        <v>26.815873367897</v>
      </c>
      <c r="Y23" s="1096">
        <f>SUM(Y5:Y22)</f>
        <v>34.382484686</v>
      </c>
      <c r="Z23" s="1096">
        <f>SUM(Z5:Z22)</f>
        <v>-7.56661131810296</v>
      </c>
    </row>
    <row r="24">
      <c r="B24" s="1075" t="inlineStr">
        <is>
          <t>Budget, over or under the full TDD budget</t>
        </is>
      </c>
      <c r="P24" s="1097">
        <f>'0.2 Data Config'!$C$27</f>
        <v>36.2</v>
      </c>
      <c r="Q24" s="1097">
        <f>'0.2 Data Config'!$D$27</f>
        <v>17.6</v>
      </c>
      <c r="R24" s="1097">
        <f>$M$23-$P$24</f>
        <v>7.10577078401822</v>
      </c>
      <c r="S24" s="1097">
        <f>$N$23-$Q$24</f>
        <v>-1.51525495375179</v>
      </c>
      <c r="T24" s="1097">
        <f>'0.2 Data Config'!$E$27</f>
        <v>53.8</v>
      </c>
      <c r="V24" s="1097">
        <f>$L$23-$T$24</f>
        <v>5.59051583026643</v>
      </c>
    </row>
    <row r="25"/>
    <row r="26">
      <c r="B26" s="1075" t="inlineStr">
        <is>
          <t>Where the total people cost goes</t>
        </is>
      </c>
      <c r="G26" s="1075" t="n"/>
    </row>
    <row r="27">
      <c r="B27" s="534" t="inlineStr">
        <is>
          <t>Total people cost (column C)</t>
        </is>
      </c>
      <c r="G27" s="1094">
        <f>$C$23</f>
        <v>105.277872089363</v>
      </c>
    </row>
    <row r="28">
      <c r="B28" s="534" t="inlineStr">
        <is>
          <t>less funded outside TDD, the EGI and programme funded people (column D)</t>
        </is>
      </c>
      <c r="G28" s="1094">
        <f>-$D$23</f>
        <v>-19.0714828912</v>
      </c>
    </row>
    <row r="29">
      <c r="B29" s="1075" t="inlineStr">
        <is>
          <t>equals what TDD has to fund</t>
        </is>
      </c>
      <c r="G29" s="1097">
        <f>$C$23-$D$23</f>
        <v>86.2063891981635</v>
      </c>
    </row>
    <row r="30">
      <c r="B30" s="534" t="inlineStr">
        <is>
          <t>less charged to the lights on budget (column L)</t>
        </is>
      </c>
      <c r="G30" s="1094">
        <f>-$L$23</f>
        <v>-59.3905158302664</v>
      </c>
    </row>
    <row r="31">
      <c r="B31" s="1075" t="inlineStr">
        <is>
          <t>equals left to recharge to the business (column X)</t>
        </is>
      </c>
      <c r="G31" s="1097">
        <f>$X$23</f>
        <v>26.815873367897</v>
      </c>
    </row>
    <row r="32">
      <c r="B32" s="534" t="inlineStr">
        <is>
          <t>less already noted, the 1.x tabs and the two pots charged out (column Y)</t>
        </is>
      </c>
      <c r="G32" s="1094">
        <f>-$Y$23</f>
        <v>-34.382484686</v>
      </c>
    </row>
    <row r="33">
      <c r="B33" s="1075" t="inlineStr">
        <is>
          <t>equals still left to fund (column Z)</t>
        </is>
      </c>
      <c r="G33" s="1097">
        <f>$Z$23</f>
        <v>-7.56661131810296</v>
      </c>
    </row>
    <row r="34"/>
    <row r="35">
      <c r="B35" s="1075" t="inlineStr">
        <is>
          <t>What makes up the charge to TDD</t>
        </is>
      </c>
      <c r="G35" s="1075" t="n"/>
    </row>
    <row r="36">
      <c r="B36" s="534" t="inlineStr">
        <is>
          <t>Support cost, the percentage in the 1.x tabs (column E)</t>
        </is>
      </c>
      <c r="G36" s="1094">
        <f>$E$23</f>
        <v>36.2174798162664</v>
      </c>
    </row>
    <row r="37">
      <c r="B37" s="534" t="inlineStr">
        <is>
          <t>Business Partner share (column F)</t>
        </is>
      </c>
      <c r="G37" s="1094">
        <f>$F$23</f>
        <v>2.3135484</v>
      </c>
    </row>
    <row r="38">
      <c r="B38" s="534" t="inlineStr">
        <is>
          <t>Domain Architect share (column G)</t>
        </is>
      </c>
      <c r="G38" s="1094">
        <f>$G$23</f>
        <v>1.388936286</v>
      </c>
    </row>
    <row r="39">
      <c r="B39" s="534" t="inlineStr">
        <is>
          <t>GM share (column H)</t>
        </is>
      </c>
      <c r="G39" s="1094">
        <f>$H$23</f>
        <v>5.1</v>
      </c>
    </row>
    <row r="40">
      <c r="B40" s="534" t="inlineStr">
        <is>
          <t>Other overheads after the toggles (column I times column J)</t>
        </is>
      </c>
      <c r="G40" s="1094">
        <f>$K$23-$F$23-$G$23-$H$23</f>
        <v>14.370551328</v>
      </c>
    </row>
    <row r="41">
      <c r="B41" s="1075" t="inlineStr">
        <is>
          <t>equals charged to TDD lights on (column L)</t>
        </is>
      </c>
      <c r="G41" s="1097">
        <f>$L$23</f>
        <v>59.3905158302664</v>
      </c>
    </row>
    <row r="42">
      <c r="B42" s="534" t="inlineStr">
        <is>
          <t>TDD lights on budget</t>
        </is>
      </c>
      <c r="G42" s="1094">
        <f>$T$24</f>
        <v>53.8</v>
      </c>
    </row>
    <row r="43">
      <c r="B43" s="1075" t="inlineStr">
        <is>
          <t>equals over the budget</t>
        </is>
      </c>
      <c r="G43" s="1097">
        <f>$L$23-$T$24</f>
        <v>5.59051583026643</v>
      </c>
    </row>
    <row r="44">
      <c r="B44" s="534" t="inlineStr">
        <is>
          <t>of which AU (column M)</t>
        </is>
      </c>
      <c r="G44" s="1094">
        <f>$M$23</f>
        <v>43.3057707840182</v>
      </c>
    </row>
    <row r="45">
      <c r="B45" s="534" t="inlineStr">
        <is>
          <t>less the AU budget (column P)</t>
        </is>
      </c>
      <c r="G45" s="1094">
        <f>-$P$23</f>
        <v>-33</v>
      </c>
    </row>
    <row r="46">
      <c r="B46" s="1075" t="inlineStr">
        <is>
          <t>equals AU over or (under) (column R)</t>
        </is>
      </c>
      <c r="G46" s="1097">
        <f>$R$23</f>
        <v>10.3057707840182</v>
      </c>
    </row>
    <row r="47">
      <c r="B47" s="534" t="inlineStr">
        <is>
          <t>of which NZ (column N)</t>
        </is>
      </c>
      <c r="G47" s="1094">
        <f>$N$23</f>
        <v>16.0847450462482</v>
      </c>
    </row>
    <row r="48">
      <c r="B48" s="534" t="inlineStr">
        <is>
          <t>less the NZ budget (column Q)</t>
        </is>
      </c>
      <c r="G48" s="1094">
        <f>-$Q$23</f>
        <v>-17.5</v>
      </c>
    </row>
    <row r="49">
      <c r="B49" s="1075" t="inlineStr">
        <is>
          <t>equals NZ over or (under) (column S)</t>
        </is>
      </c>
      <c r="G49" s="1097">
        <f>$S$23</f>
        <v>-1.41525495375179</v>
      </c>
    </row>
    <row r="50"/>
    <row r="51"/>
    <row r="52">
      <c r="B52" s="1075" t="inlineStr">
        <is>
          <t>How the AU and NZ split is derived</t>
        </is>
      </c>
    </row>
    <row r="53" ht="30" customHeight="1" s="535">
      <c r="B53" s="1080" t="inlineStr">
        <is>
          <t>Lever tab</t>
        </is>
      </c>
      <c r="C53" s="1080" t="inlineStr">
        <is>
          <t>AU after levers ($m)</t>
        </is>
      </c>
      <c r="D53" s="1080" t="inlineStr">
        <is>
          <t>NZ after levers ($m)</t>
        </is>
      </c>
      <c r="E53" s="1080" t="inlineStr">
        <is>
          <t>Total ($m)</t>
        </is>
      </c>
    </row>
    <row r="54">
      <c r="B54" s="534" t="inlineStr">
        <is>
          <t>2.1 Ampol Retail</t>
        </is>
      </c>
      <c r="C54" s="1094">
        <f>('2.1 Ampol Retail'!$G$33+'2.1 Ampol Retail'!$G$34+'2.1 Ampol Retail'!$G$35+'2.1 Ampol Retail'!$G$36+'2.1 Ampol Retail'!$G$37+'2.1 Ampol Retail'!$G$38+'2.1 Ampol Retail'!$G$39+'2.1 Ampol Retail'!$G$40+'2.1 Ampol Retail'!$G$41+'2.1 Ampol Retail'!$G$42+'2.1 Ampol Retail'!$G$43+'2.1 Ampol Retail'!$G$46+'2.1 Ampol Retail'!$G$47+'2.1 Ampol Retail'!$G$48+'2.1 Ampol Retail'!$G$49+'2.1 Ampol Retail'!$G$50+'2.1 Ampol Retail'!$G$51+'2.1 Ampol Retail'!$G$52+'2.1 Ampol Retail'!$G$53+'2.1 Ampol Retail'!$G$54+'2.1 Ampol Retail'!$G$56+'2.1 Ampol Retail'!$G$57+'2.1 Ampol Retail'!$G$58+'2.1 Ampol Retail'!$G$59+'2.1 Ampol Retail'!$G$60+'2.1 Ampol Retail'!$G$61+'2.1 Ampol Retail'!$G$63+'2.1 Ampol Retail'!$G$64+'2.1 Ampol Retail'!$G$65+'2.1 Ampol Retail'!$G$66+'2.1 Ampol Retail'!$G$67+'2.1 Ampol Retail'!$G$69+'2.1 Ampol Retail'!$G$70+'2.1 Ampol Retail'!$G$72+'2.1 Ampol Retail'!$G$73+'2.1 Ampol Retail'!$G$74+'2.1 Ampol Retail'!$G$76+'2.1 Ampol Retail'!$G$77+'2.1 Ampol Retail'!$G$78+'2.1 Ampol Retail'!$G$79+'2.1 Ampol Retail'!$G$80+'2.1 Ampol Retail'!$G$81+'2.1 Ampol Retail'!$G$83+'2.1 Ampol Retail'!$G$84+'2.1 Ampol Retail'!$G$85+'2.1 Ampol Retail'!$G$86+'2.1 Ampol Retail'!$G$87+'2.1 Ampol Retail'!$G$88+'2.1 Ampol Retail'!$G$89+'2.1 Ampol Retail'!$G$90+'2.1 Ampol Retail'!$G$92+'2.1 Ampol Retail'!$G$93+'2.1 Ampol Retail'!$G$94+'2.1 Ampol Retail'!$G$95+'2.1 Ampol Retail'!$G$97+'2.1 Ampol Retail'!$G$98+'2.1 Ampol Retail'!$G$99+'2.1 Ampol Retail'!$G$100+'2.1 Ampol Retail'!$G$101+'2.1 Ampol Retail'!$G$102+'2.1 Ampol Retail'!$G$103+'2.1 Ampol Retail'!$G$104+'2.1 Ampol Retail'!$G$106+'2.1 Ampol Retail'!$G$108+'2.1 Ampol Retail'!$G$110+'2.1 Ampol Retail'!$G$111+'2.1 Ampol Retail'!$G$112)/1000000</f>
        <v>11.495142301</v>
      </c>
      <c r="D54" s="1094">
        <f>('2.1 Ampol Retail'!$G$45+'2.1 Ampol Retail'!$G$71)/1000000</f>
        <v>0.3585144672</v>
      </c>
      <c r="E54" s="1094">
        <f>$C54+$D54</f>
        <v>11.8536567682</v>
      </c>
    </row>
    <row r="55">
      <c r="B55" s="534" t="inlineStr">
        <is>
          <t>2.10 Z Retail</t>
        </is>
      </c>
      <c r="C55" s="1094">
        <f>('2.10 Z Retail'!$G$26+'2.10 Z Retail'!$G$27+'2.10 Z Retail'!$G$46+'2.10 Z Retail'!$G$48+'2.10 Z Retail'!$G$58+'2.10 Z Retail'!$G$66+'2.10 Z Retail'!$G$69)/1000000</f>
        <v>0.96455075</v>
      </c>
      <c r="D55" s="1094">
        <f>('2.10 Z Retail'!$G$28+'2.10 Z Retail'!$G$29+'2.10 Z Retail'!$G$30+'2.10 Z Retail'!$G$31+'2.10 Z Retail'!$G$32+'2.10 Z Retail'!$G$34+'2.10 Z Retail'!$G$35+'2.10 Z Retail'!$G$36+'2.10 Z Retail'!$G$37+'2.10 Z Retail'!$G$38+'2.10 Z Retail'!$G$39+'2.10 Z Retail'!$G$40+'2.10 Z Retail'!$G$41+'2.10 Z Retail'!$G$42+'2.10 Z Retail'!$G$44+'2.10 Z Retail'!$G$45+'2.10 Z Retail'!$G$47+'2.10 Z Retail'!$G$49+'2.10 Z Retail'!$G$50+'2.10 Z Retail'!$G$51+'2.10 Z Retail'!$G$52+'2.10 Z Retail'!$G$54+'2.10 Z Retail'!$G$55+'2.10 Z Retail'!$G$56+'2.10 Z Retail'!$G$57+'2.10 Z Retail'!$G$59+'2.10 Z Retail'!$G$60+'2.10 Z Retail'!$G$61+'2.10 Z Retail'!$G$62+'2.10 Z Retail'!$G$64+'2.10 Z Retail'!$G$68+'2.10 Z Retail'!$G$70)/1000000</f>
        <v>5.701739458</v>
      </c>
      <c r="E55" s="1094">
        <f>$C55+$D55</f>
        <v>6.666290208</v>
      </c>
    </row>
    <row r="56">
      <c r="B56" s="534" t="inlineStr">
        <is>
          <t>2.11 Cyber Risk &amp; Service Ops</t>
        </is>
      </c>
      <c r="C56" s="1094">
        <f>('2.11 Cyber Risk &amp; Service Ops'!$G$25+'2.11 Cyber Risk &amp; Service Ops'!$I$25+'2.11 Cyber Risk &amp; Service Ops'!$G$26+'2.11 Cyber Risk &amp; Service Ops'!$I$26+'2.11 Cyber Risk &amp; Service Ops'!$G$27+'2.11 Cyber Risk &amp; Service Ops'!$I$27+'2.11 Cyber Risk &amp; Service Ops'!$G$28+'2.11 Cyber Risk &amp; Service Ops'!$I$28+'2.11 Cyber Risk &amp; Service Ops'!$G$31+'2.11 Cyber Risk &amp; Service Ops'!$I$31+'2.11 Cyber Risk &amp; Service Ops'!$G$34+'2.11 Cyber Risk &amp; Service Ops'!$I$34+'2.11 Cyber Risk &amp; Service Ops'!$G$36+'2.11 Cyber Risk &amp; Service Ops'!$I$36+'2.11 Cyber Risk &amp; Service Ops'!$G$37+'2.11 Cyber Risk &amp; Service Ops'!$I$37+'2.11 Cyber Risk &amp; Service Ops'!$G$40+'2.11 Cyber Risk &amp; Service Ops'!$I$40+'2.11 Cyber Risk &amp; Service Ops'!$G$41+'2.11 Cyber Risk &amp; Service Ops'!$I$41+'2.11 Cyber Risk &amp; Service Ops'!$G$42+'2.11 Cyber Risk &amp; Service Ops'!$I$42+'2.11 Cyber Risk &amp; Service Ops'!$G$43+'2.11 Cyber Risk &amp; Service Ops'!$I$43+'2.11 Cyber Risk &amp; Service Ops'!$G$45+'2.11 Cyber Risk &amp; Service Ops'!$I$45+'2.11 Cyber Risk &amp; Service Ops'!$G$46+'2.11 Cyber Risk &amp; Service Ops'!$I$46+'2.11 Cyber Risk &amp; Service Ops'!$G$48+'2.11 Cyber Risk &amp; Service Ops'!$I$48+'2.11 Cyber Risk &amp; Service Ops'!$G$49+'2.11 Cyber Risk &amp; Service Ops'!$I$49+'2.11 Cyber Risk &amp; Service Ops'!$G$50+'2.11 Cyber Risk &amp; Service Ops'!$I$50+'2.11 Cyber Risk &amp; Service Ops'!$G$51+'2.11 Cyber Risk &amp; Service Ops'!$I$51+'2.11 Cyber Risk &amp; Service Ops'!$G$52+'2.11 Cyber Risk &amp; Service Ops'!$I$52+'2.11 Cyber Risk &amp; Service Ops'!$G$53+'2.11 Cyber Risk &amp; Service Ops'!$I$53+'2.11 Cyber Risk &amp; Service Ops'!$G$54+'2.11 Cyber Risk &amp; Service Ops'!$I$54+'2.11 Cyber Risk &amp; Service Ops'!$G$55+'2.11 Cyber Risk &amp; Service Ops'!$I$55+'2.11 Cyber Risk &amp; Service Ops'!$G$56+'2.11 Cyber Risk &amp; Service Ops'!$I$56+'2.11 Cyber Risk &amp; Service Ops'!$G$57+'2.11 Cyber Risk &amp; Service Ops'!$I$57+'2.11 Cyber Risk &amp; Service Ops'!$G$58+'2.11 Cyber Risk &amp; Service Ops'!$I$58+'2.11 Cyber Risk &amp; Service Ops'!$G$59+'2.11 Cyber Risk &amp; Service Ops'!$I$59+'2.11 Cyber Risk &amp; Service Ops'!$G$60+'2.11 Cyber Risk &amp; Service Ops'!$I$60+'2.11 Cyber Risk &amp; Service Ops'!$G$61+'2.11 Cyber Risk &amp; Service Ops'!$I$61+'2.11 Cyber Risk &amp; Service Ops'!$G$62+'2.11 Cyber Risk &amp; Service Ops'!$I$62+'2.11 Cyber Risk &amp; Service Ops'!$G$65+'2.11 Cyber Risk &amp; Service Ops'!$I$65)/1000000</f>
        <v>5.58650828</v>
      </c>
      <c r="D56" s="1094">
        <f>('2.11 Cyber Risk &amp; Service Ops'!$G$29+'2.11 Cyber Risk &amp; Service Ops'!$I$29+'2.11 Cyber Risk &amp; Service Ops'!$G$32+'2.11 Cyber Risk &amp; Service Ops'!$I$32+'2.11 Cyber Risk &amp; Service Ops'!$G$35+'2.11 Cyber Risk &amp; Service Ops'!$I$35+'2.11 Cyber Risk &amp; Service Ops'!$G$38+'2.11 Cyber Risk &amp; Service Ops'!$I$38+'2.11 Cyber Risk &amp; Service Ops'!$G$47+'2.11 Cyber Risk &amp; Service Ops'!$I$47+'2.11 Cyber Risk &amp; Service Ops'!$G$63+'2.11 Cyber Risk &amp; Service Ops'!$I$63+'2.11 Cyber Risk &amp; Service Ops'!$G$64+'2.11 Cyber Risk &amp; Service Ops'!$I$64)/1000000</f>
        <v>0.8362282992</v>
      </c>
      <c r="E56" s="1094">
        <f>$C56+$D56</f>
        <v>6.4227365792</v>
      </c>
    </row>
    <row r="57">
      <c r="B57" s="534" t="inlineStr">
        <is>
          <t>2.12 COE BP&amp;T</t>
        </is>
      </c>
      <c r="C57" s="1094">
        <f>('2.12 COE BP&amp;T'!$G$32+'2.12 COE BP&amp;T'!$G$33+'2.12 COE BP&amp;T'!$G$34+'2.12 COE BP&amp;T'!$G$37+'2.12 COE BP&amp;T'!$G$38+'2.12 COE BP&amp;T'!$G$40+'2.12 COE BP&amp;T'!$G$41+'2.12 COE BP&amp;T'!$G$42+'2.12 COE BP&amp;T'!$G$44+'2.12 COE BP&amp;T'!$G$45+'2.12 COE BP&amp;T'!$G$46+'2.12 COE BP&amp;T'!$G$47+'2.12 COE BP&amp;T'!$G$48+'2.12 COE BP&amp;T'!$G$49+'2.12 COE BP&amp;T'!$G$50+'2.12 COE BP&amp;T'!$G$51+'2.12 COE BP&amp;T'!$G$52+'2.12 COE BP&amp;T'!$G$53+'2.12 COE BP&amp;T'!$G$54+'2.12 COE BP&amp;T'!$G$57)/1000000</f>
        <v>5.43460475</v>
      </c>
      <c r="D57" s="1094">
        <f>('2.12 COE BP&amp;T'!$G$35+'2.12 COE BP&amp;T'!$G$39+'2.12 COE BP&amp;T'!$G$55+'2.12 COE BP&amp;T'!$G$56)/1000000</f>
        <v>0.741951272</v>
      </c>
      <c r="E57" s="1094">
        <f>$C57+$D57</f>
        <v>6.176556022</v>
      </c>
    </row>
    <row r="58">
      <c r="B58" s="534" t="inlineStr">
        <is>
          <t>2.13 COE SA&amp;D</t>
        </is>
      </c>
      <c r="C58" s="1094">
        <f>('2.13 COE SA&amp;D'!$G$37+'2.13 COE SA&amp;D'!$G$38+'2.13 COE SA&amp;D'!$G$39+'2.13 COE SA&amp;D'!$G$40+'2.13 COE SA&amp;D'!$G$42+'2.13 COE SA&amp;D'!$G$44+'2.13 COE SA&amp;D'!$G$45+'2.13 COE SA&amp;D'!$G$46+'2.13 COE SA&amp;D'!$G$48+'2.13 COE SA&amp;D'!$G$49+'2.13 COE SA&amp;D'!$G$51+'2.13 COE SA&amp;D'!$G$52+'2.13 COE SA&amp;D'!$G$53+'2.13 COE SA&amp;D'!$G$54+'2.13 COE SA&amp;D'!$G$56+'2.13 COE SA&amp;D'!$G$57+'2.13 COE SA&amp;D'!$G$58+'2.13 COE SA&amp;D'!$G$59+'2.13 COE SA&amp;D'!$G$60)/1000000</f>
        <v>3.9315872</v>
      </c>
      <c r="D58" s="1094">
        <f>('2.13 COE SA&amp;D'!$G$34+'2.13 COE SA&amp;D'!$G$35+'2.13 COE SA&amp;D'!$G$36+'2.13 COE SA&amp;D'!$G$47)/1000000</f>
        <v>0.843614952</v>
      </c>
      <c r="E58" s="1094">
        <f>$C58+$D58</f>
        <v>4.775202152</v>
      </c>
    </row>
    <row r="59">
      <c r="B59" s="534" t="inlineStr">
        <is>
          <t>2.14 EGI</t>
        </is>
      </c>
      <c r="C59" s="1094">
        <f>('2.14 EGI'!$G$15+'2.14 EGI'!$G$16+'2.14 EGI'!$G$17+'2.14 EGI'!$G$18+'2.14 EGI'!$G$19+'2.14 EGI'!$G$20+'2.14 EGI'!$G$21+'2.14 EGI'!$G$22+'2.14 EGI'!$G$23+'2.14 EGI'!$G$24+'2.14 EGI'!$G$25+'2.14 EGI'!$G$26+'2.14 EGI'!$G$27+'2.14 EGI'!$G$28+'2.14 EGI'!$G$29+'2.14 EGI'!$G$30+'2.14 EGI'!$G$31+'2.14 EGI'!$G$32)/1000000</f>
        <v>5.15081935</v>
      </c>
      <c r="D59" s="1094">
        <f>(0)/1000000</f>
        <v>0</v>
      </c>
      <c r="E59" s="1094">
        <f>$C59+$D59</f>
        <v>5.15081935</v>
      </c>
    </row>
    <row r="60">
      <c r="B60" s="534" t="inlineStr">
        <is>
          <t>2.15 TDD Cyber</t>
        </is>
      </c>
      <c r="C60" s="1094">
        <f>('2.15 TDD Cyber'!$G$23+'2.15 TDD Cyber'!$G$24+'2.15 TDD Cyber'!$G$25+'2.15 TDD Cyber'!$G$26+'2.15 TDD Cyber'!$G$27+'2.15 TDD Cyber'!$G$29+'2.15 TDD Cyber'!$G$30+'2.15 TDD Cyber'!$G$31+'2.15 TDD Cyber'!$G$32)/1000000</f>
        <v>2.1381967</v>
      </c>
      <c r="D60" s="1094">
        <f>(0)/1000000</f>
        <v>0</v>
      </c>
      <c r="E60" s="1094">
        <f>$C60+$D60</f>
        <v>2.1381967</v>
      </c>
    </row>
    <row r="61">
      <c r="B61" s="534" t="inlineStr">
        <is>
          <t>2.2 Customer</t>
        </is>
      </c>
      <c r="C61" s="1094">
        <f>('2.2 Customer'!$G$36+'2.2 Customer'!$G$37+'2.2 Customer'!$G$38+'2.2 Customer'!$G$39+'2.2 Customer'!$G$40+'2.2 Customer'!$G$41+'2.2 Customer'!$G$42+'2.2 Customer'!$G$43+'2.2 Customer'!$G$44+'2.2 Customer'!$G$45+'2.2 Customer'!$G$46+'2.2 Customer'!$G$47+'2.2 Customer'!$G$48+'2.2 Customer'!$G$49+'2.2 Customer'!$G$51+'2.2 Customer'!$G$52+'2.2 Customer'!$G$54+'2.2 Customer'!$G$55+'2.2 Customer'!$G$56+'2.2 Customer'!$G$57+'2.2 Customer'!$G$58+'2.2 Customer'!$G$59+'2.2 Customer'!$G$61+'2.2 Customer'!$G$62+'2.2 Customer'!$G$63+'2.2 Customer'!$G$64+'2.2 Customer'!$G$65+'2.2 Customer'!$G$66+'2.2 Customer'!$G$67+'2.2 Customer'!$G$68+'2.2 Customer'!$G$69+'2.2 Customer'!$G$71+'2.2 Customer'!$G$72+'2.2 Customer'!$G$74+'2.2 Customer'!$G$75+'2.2 Customer'!$G$76+'2.2 Customer'!$G$77+'2.2 Customer'!$G$78+'2.2 Customer'!$G$79+'2.2 Customer'!$G$81+'2.2 Customer'!$G$82+'2.2 Customer'!$G$83+'2.2 Customer'!$G$84+'2.2 Customer'!$G$85+'2.2 Customer'!$G$86+'2.2 Customer'!$G$87+'2.2 Customer'!$G$88+'2.2 Customer'!$G$89+'2.2 Customer'!$G$92+'2.2 Customer'!$G$94+'2.2 Customer'!$G$95+'2.2 Customer'!$G$97+'2.2 Customer'!$G$98+'2.2 Customer'!$G$125+'2.2 Customer'!$G$129+'2.2 Customer'!$G$130)/1000000</f>
        <v>11.8941588994</v>
      </c>
      <c r="D61" s="1094">
        <f>('2.2 Customer'!$G$53+'2.2 Customer'!$G$90+'2.2 Customer'!$G$96+'2.2 Customer'!$G$100+'2.2 Customer'!$G$101+'2.2 Customer'!$G$102+'2.2 Customer'!$G$103+'2.2 Customer'!$G$104+'2.2 Customer'!$G$106+'2.2 Customer'!$G$107+'2.2 Customer'!$G$108+'2.2 Customer'!$G$109+'2.2 Customer'!$G$110+'2.2 Customer'!$G$111+'2.2 Customer'!$G$112+'2.2 Customer'!$G$113+'2.2 Customer'!$G$114+'2.2 Customer'!$G$115+'2.2 Customer'!$G$116+'2.2 Customer'!$G$117+'2.2 Customer'!$G$118+'2.2 Customer'!$G$119+'2.2 Customer'!$G$121+'2.2 Customer'!$G$122+'2.2 Customer'!$G$124+'2.2 Customer'!$G$127+'2.2 Customer'!$G$128)/1000000</f>
        <v>4.54715210272</v>
      </c>
      <c r="E61" s="1094">
        <f>$C61+$D61</f>
        <v>16.44131100212</v>
      </c>
    </row>
    <row r="62">
      <c r="B62" s="534" t="inlineStr">
        <is>
          <t>2.3 Enterprise Data</t>
        </is>
      </c>
      <c r="C62" s="1094">
        <f>('2.3 Enterprise Data'!$G$31+'2.3 Enterprise Data'!$G$32+'2.3 Enterprise Data'!$G$33+'2.3 Enterprise Data'!$G$34+'2.3 Enterprise Data'!$G$35+'2.3 Enterprise Data'!$G$36+'2.3 Enterprise Data'!$G$39+'2.3 Enterprise Data'!$G$40+'2.3 Enterprise Data'!$G$41+'2.3 Enterprise Data'!$G$43+'2.3 Enterprise Data'!$G$44+'2.3 Enterprise Data'!$G$45+'2.3 Enterprise Data'!$G$46+'2.3 Enterprise Data'!$G$47+'2.3 Enterprise Data'!$G$48+'2.3 Enterprise Data'!$G$49+'2.3 Enterprise Data'!$G$50+'2.3 Enterprise Data'!$G$52+'2.3 Enterprise Data'!$G$53+'2.3 Enterprise Data'!$G$55+'2.3 Enterprise Data'!$G$56+'2.3 Enterprise Data'!$G$57+'2.3 Enterprise Data'!$G$58+'2.3 Enterprise Data'!$G$59+'2.3 Enterprise Data'!$G$60+'2.3 Enterprise Data'!$G$62+'2.3 Enterprise Data'!$G$65)/1000000</f>
        <v>5.42104293</v>
      </c>
      <c r="D62" s="1094">
        <f>('2.3 Enterprise Data'!$G$29+'2.3 Enterprise Data'!$G$30+'2.3 Enterprise Data'!$G$38+'2.3 Enterprise Data'!$G$64)/1000000</f>
        <v>0.895516476</v>
      </c>
      <c r="E62" s="1094">
        <f>$C62+$D62</f>
        <v>6.316559406</v>
      </c>
    </row>
    <row r="63">
      <c r="B63" s="534" t="inlineStr">
        <is>
          <t>2.4 TDD Group Functions</t>
        </is>
      </c>
      <c r="C63" s="1094">
        <f>('2.4 TDD Group Functions'!$G$31+'2.4 TDD Group Functions'!$G$32+'2.4 TDD Group Functions'!$G$33+'2.4 TDD Group Functions'!$G$34+'2.4 TDD Group Functions'!$G$35+'2.4 TDD Group Functions'!$G$36+'2.4 TDD Group Functions'!$G$37+'2.4 TDD Group Functions'!$G$38+'2.4 TDD Group Functions'!$G$39+'2.4 TDD Group Functions'!$G$40+'2.4 TDD Group Functions'!$G$41+'2.4 TDD Group Functions'!$G$46+'2.4 TDD Group Functions'!$G$47+'2.4 TDD Group Functions'!$G$48+'2.4 TDD Group Functions'!$G$49+'2.4 TDD Group Functions'!$G$52+'2.4 TDD Group Functions'!$G$53+'2.4 TDD Group Functions'!$G$56+'2.4 TDD Group Functions'!$G$58+'2.4 TDD Group Functions'!$G$61+'2.4 TDD Group Functions'!$G$63+'2.4 TDD Group Functions'!$G$64+'2.4 TDD Group Functions'!$G$65+'2.4 TDD Group Functions'!$G$69+'2.4 TDD Group Functions'!$G$71+'2.4 TDD Group Functions'!$G$72+'2.4 TDD Group Functions'!$G$73+'2.4 TDD Group Functions'!$G$74+'2.4 TDD Group Functions'!$G$78+'2.4 TDD Group Functions'!$G$80+'2.4 TDD Group Functions'!$G$82+'2.4 TDD Group Functions'!$G$85)/1000000</f>
        <v>6.13037892</v>
      </c>
      <c r="D63" s="1094">
        <f>('2.4 TDD Group Functions'!$G$30+'2.4 TDD Group Functions'!$G$42+'2.4 TDD Group Functions'!$G$44+'2.4 TDD Group Functions'!$G$45+'2.4 TDD Group Functions'!$G$50+'2.4 TDD Group Functions'!$G$54+'2.4 TDD Group Functions'!$G$55+'2.4 TDD Group Functions'!$G$59+'2.4 TDD Group Functions'!$G$60+'2.4 TDD Group Functions'!$G$62+'2.4 TDD Group Functions'!$G$66+'2.4 TDD Group Functions'!$G$67+'2.4 TDD Group Functions'!$G$75+'2.4 TDD Group Functions'!$G$76+'2.4 TDD Group Functions'!$G$83+'2.4 TDD Group Functions'!$G$84)/1000000</f>
        <v>2.78094361064348</v>
      </c>
      <c r="E63" s="1094">
        <f>$C63+$D63</f>
        <v>8.91132253064348</v>
      </c>
    </row>
    <row r="64">
      <c r="B64" s="534" t="inlineStr">
        <is>
          <t>2.5 P&amp;C</t>
        </is>
      </c>
      <c r="C64" s="1094">
        <f>('2.5 P&amp;C'!$G$26+'2.5 P&amp;C'!$G$28+'2.5 P&amp;C'!$G$29+'2.5 P&amp;C'!$G$30+'2.5 P&amp;C'!$G$32+'2.5 P&amp;C'!$G$33+'2.5 P&amp;C'!$G$34+'2.5 P&amp;C'!$G$35+'2.5 P&amp;C'!$G$37+'2.5 P&amp;C'!$G$38+'2.5 P&amp;C'!$G$39+'2.5 P&amp;C'!$G$40+'2.5 P&amp;C'!$G$41+'2.5 P&amp;C'!$G$43+'2.5 P&amp;C'!$G$45+'2.5 P&amp;C'!$G$47)/1000000</f>
        <v>3.52955025</v>
      </c>
      <c r="D64" s="1094">
        <f>('2.5 P&amp;C'!$G$31)/1000000</f>
        <v>0.19335828</v>
      </c>
      <c r="E64" s="1094">
        <f>$C64+$D64</f>
        <v>3.72290853</v>
      </c>
    </row>
    <row r="65">
      <c r="B65" s="534" t="inlineStr">
        <is>
          <t>2.6 Finance</t>
        </is>
      </c>
      <c r="C65" s="1094">
        <f>('2.6 Finance'!$G$26+'2.6 Finance'!$G$31+'2.6 Finance'!$G$33+'2.6 Finance'!$G$35+'2.6 Finance'!$G$36+'2.6 Finance'!$G$37+'2.6 Finance'!$G$38+'2.6 Finance'!$G$39+'2.6 Finance'!$G$40+'2.6 Finance'!$G$41+'2.6 Finance'!$G$42+'2.6 Finance'!$G$45)/1000000</f>
        <v>2.6990294125</v>
      </c>
      <c r="D65" s="1094">
        <f>('2.6 Finance'!$G$28+'2.6 Finance'!$G$29+'2.6 Finance'!$G$30+'2.6 Finance'!$G$32+'2.6 Finance'!$G$43)/1000000</f>
        <v>0.843805248</v>
      </c>
      <c r="E65" s="1094">
        <f>$C65+$D65</f>
        <v>3.5428346605</v>
      </c>
    </row>
    <row r="66">
      <c r="B66" s="534" t="inlineStr">
        <is>
          <t>2.7 Infrastructure</t>
        </is>
      </c>
      <c r="C66" s="1094">
        <f>('2.7 Infrastructure'!$G$28+'2.7 Infrastructure'!$G$29+'2.7 Infrastructure'!$G$30+'2.7 Infrastructure'!$G$31+'2.7 Infrastructure'!$G$32+'2.7 Infrastructure'!$G$33+'2.7 Infrastructure'!$G$34+'2.7 Infrastructure'!$G$36+'2.7 Infrastructure'!$G$37+'2.7 Infrastructure'!$G$38+'2.7 Infrastructure'!$G$39+'2.7 Infrastructure'!$G$40+'2.7 Infrastructure'!$G$41+'2.7 Infrastructure'!$G$42+'2.7 Infrastructure'!$G$43+'2.7 Infrastructure'!$G$44+'2.7 Infrastructure'!$G$45+'2.7 Infrastructure'!$G$47+'2.7 Infrastructure'!$G$49+'2.7 Infrastructure'!$G$50+'2.7 Infrastructure'!$G$51+'2.7 Infrastructure'!$G$52+'2.7 Infrastructure'!$G$53+'2.7 Infrastructure'!$G$54+'2.7 Infrastructure'!$G$55+'2.7 Infrastructure'!$G$56+'2.7 Infrastructure'!$G$57+'2.7 Infrastructure'!$G$59+'2.7 Infrastructure'!$G$60+'2.7 Infrastructure'!$G$61+'2.7 Infrastructure'!$G$62+'2.7 Infrastructure'!$G$63+'2.7 Infrastructure'!$G$65+'2.7 Infrastructure'!$G$67+'2.7 Infrastructure'!$G$69+'2.7 Infrastructure'!$G$70)/1000000</f>
        <v>6.74276054</v>
      </c>
      <c r="D66" s="1094">
        <f>(0)/1000000</f>
        <v>0</v>
      </c>
      <c r="E66" s="1094">
        <f>$C66+$D66</f>
        <v>6.74276054</v>
      </c>
    </row>
    <row r="67">
      <c r="B67" s="534" t="inlineStr">
        <is>
          <t>2.8 Energy Solutions &amp; B2B</t>
        </is>
      </c>
      <c r="C67" s="1094">
        <f>('2.8 Energy Solutions &amp; B2B'!$G$25+'2.8 Energy Solutions &amp; B2B'!$G$26+'2.8 Energy Solutions &amp; B2B'!$G$27+'2.8 Energy Solutions &amp; B2B'!$G$28+'2.8 Energy Solutions &amp; B2B'!$G$29+'2.8 Energy Solutions &amp; B2B'!$G$30+'2.8 Energy Solutions &amp; B2B'!$G$31+'2.8 Energy Solutions &amp; B2B'!$G$32+'2.8 Energy Solutions &amp; B2B'!$G$33+'2.8 Energy Solutions &amp; B2B'!$G$35+'2.8 Energy Solutions &amp; B2B'!$G$36+'2.8 Energy Solutions &amp; B2B'!$G$38+'2.8 Energy Solutions &amp; B2B'!$G$48+'2.8 Energy Solutions &amp; B2B'!$G$49+'2.8 Energy Solutions &amp; B2B'!$G$50+'2.8 Energy Solutions &amp; B2B'!$G$51+'2.8 Energy Solutions &amp; B2B'!$G$52+'2.8 Energy Solutions &amp; B2B'!$G$53+'2.8 Energy Solutions &amp; B2B'!$G$54+'2.8 Energy Solutions &amp; B2B'!$G$59+'2.8 Energy Solutions &amp; B2B'!$G$62)/1000000</f>
        <v>4.39745715</v>
      </c>
      <c r="D67" s="1094">
        <f>('2.8 Energy Solutions &amp; B2B'!$G$34+'2.8 Energy Solutions &amp; B2B'!$G$37+'2.8 Energy Solutions &amp; B2B'!$G$40+'2.8 Energy Solutions &amp; B2B'!$G$41+'2.8 Energy Solutions &amp; B2B'!$G$42+'2.8 Energy Solutions &amp; B2B'!$G$43+'2.8 Energy Solutions &amp; B2B'!$G$44+'2.8 Energy Solutions &amp; B2B'!$G$45+'2.8 Energy Solutions &amp; B2B'!$G$47+'2.8 Energy Solutions &amp; B2B'!$G$55+'2.8 Energy Solutions &amp; B2B'!$G$57+'2.8 Energy Solutions &amp; B2B'!$G$61)/1000000</f>
        <v>1.944162512</v>
      </c>
      <c r="E67" s="1094">
        <f>$C67+$D67</f>
        <v>6.341619662</v>
      </c>
    </row>
    <row r="68">
      <c r="B68" s="534" t="inlineStr">
        <is>
          <t>2.9 Commercial Fuels</t>
        </is>
      </c>
      <c r="C68" s="1094">
        <f>('2.9 Commercial Fuels'!$G$27+'2.9 Commercial Fuels'!$G$28+'2.9 Commercial Fuels'!$G$29+'2.9 Commercial Fuels'!$G$30+'2.9 Commercial Fuels'!$G$31+'2.9 Commercial Fuels'!$G$32+'2.9 Commercial Fuels'!$G$34+'2.9 Commercial Fuels'!$G$36+'2.9 Commercial Fuels'!$G$37+'2.9 Commercial Fuels'!$G$42+'2.9 Commercial Fuels'!$G$43+'2.9 Commercial Fuels'!$G$44+'2.9 Commercial Fuels'!$G$45+'2.9 Commercial Fuels'!$G$46+'2.9 Commercial Fuels'!$G$48+'2.9 Commercial Fuels'!$G$49+'2.9 Commercial Fuels'!$G$50+'2.9 Commercial Fuels'!$G$51+'2.9 Commercial Fuels'!$G$52+'2.9 Commercial Fuels'!$G$53+'2.9 Commercial Fuels'!$G$54+'2.9 Commercial Fuels'!$G$55+'2.9 Commercial Fuels'!$G$56+'2.9 Commercial Fuels'!$G$57+'2.9 Commercial Fuels'!$G$58+'2.9 Commercial Fuels'!$G$59+'2.9 Commercial Fuels'!$G$61+'2.9 Commercial Fuels'!$G$62+'2.9 Commercial Fuels'!$G$63+'2.9 Commercial Fuels'!$G$64+'2.9 Commercial Fuels'!$G$65+'2.9 Commercial Fuels'!$G$66+'2.9 Commercial Fuels'!$G$67+'2.9 Commercial Fuels'!$G$71+'2.9 Commercial Fuels'!$G$73+'2.9 Commercial Fuels'!$G$74)/1000000</f>
        <v>9.0622609067</v>
      </c>
      <c r="D68" s="1094">
        <f>('2.9 Commercial Fuels'!$G$33+'2.9 Commercial Fuels'!$G$35+'2.9 Commercial Fuels'!$G$38+'2.9 Commercial Fuels'!$G$39+'2.9 Commercial Fuels'!$G$40+'2.9 Commercial Fuels'!$G$69)/1000000</f>
        <v>1.012837072</v>
      </c>
      <c r="E68" s="1094">
        <f>$C68+$D68</f>
        <v>10.0750979787</v>
      </c>
    </row>
    <row r="69">
      <c r="B69" s="1075" t="inlineStr">
        <is>
          <t>Total</t>
        </is>
      </c>
      <c r="C69" s="1097">
        <f>SUM(C54:C68)</f>
        <v>84.5780483396</v>
      </c>
      <c r="D69" s="1097">
        <f>SUM(D54:D68)</f>
        <v>20.6998237497635</v>
      </c>
      <c r="E69" s="1097">
        <f>SUM(E54:E68)</f>
        <v>105.277872089363</v>
      </c>
    </row>
    <row r="70"/>
    <row r="71">
      <c r="B71" s="534" t="inlineStr">
        <is>
          <t>AU and NZ come off each person's country in the role mapping, at their cost after levers. NZ is the people whose country reads NZ, everyone else is AU.</t>
        </is>
      </c>
    </row>
    <row r="72">
      <c r="B72" s="534" t="inlineStr">
        <is>
          <t>Support cost splits inside each squad. The Business Partner and Domain Architect pots split across the people in those pots, and other overheads split across the row's own overhead people.</t>
        </is>
      </c>
    </row>
    <row r="73">
      <c r="B73" s="534" t="inlineStr">
        <is>
          <t>The GM layer has no roles in the role mapping, so it splits on the AU and NZ shares of the whole of TDD in the table above.</t>
        </is>
      </c>
    </row>
    <row r="74">
      <c r="B74" s="534" t="inlineStr">
        <is>
          <t>Budgets are the AU and NZ columns on 0.2 Data Config. Variance is the total charge less the two budgets, so it reads the same as over or under the lights on budget.</t>
        </is>
      </c>
    </row>
    <row r="75">
      <c r="B75" s="1075" t="inlineStr">
        <is>
          <t>How to read the table</t>
        </is>
      </c>
    </row>
    <row r="76">
      <c r="B76" s="534" t="inlineStr">
        <is>
          <t>Total People cost is the people in the role mapping. The 8 GMs are not in the role mapping, so their 5.10 is not in column C, but it is in the charge in column H. The two columns are on different populations, and the number in column C is right as it stands.</t>
        </is>
      </c>
    </row>
    <row r="77">
      <c r="B77" s="534" t="inlineStr">
        <is>
          <t>Total People cost is everything the row's people cost after levers, funded squads included, so every cost is represented.</t>
        </is>
      </c>
    </row>
    <row r="78">
      <c r="B78" s="534" t="inlineStr">
        <is>
          <t>Sig items funded is the slice paid for outside the TDD budget: the EGI squads at their funded amount, AmPOS, CTRM and the Cyber Uplift squad, plus the COE Cyber roles charged to the cyber uplift programme.</t>
        </is>
      </c>
    </row>
    <row r="79">
      <c r="B79" s="534" t="inlineStr">
        <is>
          <t>EGI is funded in full from outside TDD, so its whole cost sits in Sig items funded. It carries no support cost, no share of the pots and no overheads, and nothing on that line reaches the lights on budget.</t>
        </is>
      </c>
    </row>
    <row r="80">
      <c r="B80" s="534" t="inlineStr">
        <is>
          <t>The Business Partner and Domain Architect pots divide by eleven, the ten portfolios plus TDD Cyber. The GM layer divides across those eleven and the five COE lines as well, sixteen in all.</t>
        </is>
      </c>
    </row>
    <row r="81">
      <c r="B81" s="534" t="inlineStr">
        <is>
          <t>Ampol Customer and Z Customer split 2.2 Customer on the AU and NZ marks on 1.2 Customer. What sits on neither side, the overhead roles and the squads with no archetype, splits in proportion to the two support costs, and so does their share of the pots.</t>
        </is>
      </c>
    </row>
    <row r="82">
      <c r="B82" s="534" t="inlineStr">
        <is>
          <t>The COE pairs are split by people, not by proportion. Each line takes the squads its planned spend line on the 2.x tab names, and the overhead people in those squads. The line whose squads hold the Business Partner or Domain Architect pot shows that pot as left to recharge, and notes it again in the next column, because columns F and G already charge it to the eleven sharing rows.</t>
        </is>
      </c>
    </row>
    <row r="83">
      <c r="B83" s="534" t="inlineStr">
        <is>
          <t>Every COE line shows a small amount still left to fund, its share of the GM layer. A COE carries a GM share it does not employ and has no business to recharge, so the number is right and it stays.</t>
        </is>
      </c>
    </row>
    <row r="84">
      <c r="B84" s="534" t="str">
        <f>"Amount noted in 1.x tabs holds two things. First, the funding the 1.x tabs already apply to people, "&amp;TEXT($Y$23-Lists!$AG$18-Lists!$AG$19,"#,##0.00")&amp;"m of it, leaving out the lines that Sig items funded and the TDD Lights On budget already carry. Second, on the two COE lines, the Business Partner and Domain Architect pots, "&amp;TEXT(Lists!$AG$18+Lists!$AG$19,"#,##0.00")&amp;"m, which appear on no 1.x tab because the allocation columns charge them to the eleven sharing rows."</f>
        <v>Amount noted in 1.x tabs holds two things. First, the funding the 1.x tabs already apply to people, 30.68m of it, leaving out the lines that Sig items funded and the TDD Lights On budget already carry. Second, on the two COE lines, the Business Partner and Domain Architect pots, 3.70m, which appear on no 1.x tab because the allocation columns charge them to the eleven sharing rows.</v>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V5:V24">
    <cfRule type="expression" priority="1" dxfId="11">
      <formula>$V5&gt;0</formula>
    </cfRule>
  </conditionalFormatting>
  <dataValidations count="1">
    <dataValidation sqref="J5 J6 J7 J10 J11 J12 J13 J14 J15 J16 J17 J18 J19 J20"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3.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J9" activeCellId="0" sqref="J9"/>
    </sheetView>
  </sheetViews>
  <sheetFormatPr baseColWidth="8" defaultColWidth="8.54296875" defaultRowHeight="14.25" zeroHeight="0" outlineLevelRow="0"/>
  <cols>
    <col width="2" customWidth="1" style="534" min="1" max="1"/>
    <col width="60" customWidth="1" style="534" min="2" max="2"/>
  </cols>
  <sheetData>
    <row r="2" ht="21" customHeight="1" s="535">
      <c r="B2" s="1081" t="inlineStr">
        <is>
          <t>DATA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W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534" min="1" max="1"/>
    <col width="5.45" customWidth="1" style="534" min="2" max="2"/>
    <col width="8.82" customWidth="1" style="534" min="3" max="3"/>
    <col width="10" customWidth="1" style="534" min="4" max="4"/>
    <col width="18.73" customWidth="1" style="534" min="5" max="5"/>
    <col width="22" customWidth="1" style="534" min="6" max="6"/>
    <col width="12.54" customWidth="1" style="534" min="7" max="7"/>
    <col width="21.73" customWidth="1" style="534" min="10" max="10"/>
    <col width="15.18" customWidth="1" style="534" min="11" max="11"/>
    <col width="32" customWidth="1" style="534" min="20" max="20"/>
    <col width="28" customWidth="1" style="534" min="39" max="39"/>
    <col width="34" customWidth="1" style="534" min="40" max="40"/>
    <col width="24" customWidth="1" style="534" min="41" max="41"/>
    <col width="13" customWidth="1" style="534" min="42" max="42"/>
    <col width="26" customWidth="1" style="534" min="45" max="45"/>
  </cols>
  <sheetData>
    <row r="1" ht="33.75" customHeight="1" s="535">
      <c r="A1" s="534" t="inlineStr">
        <is>
          <t>Squad Types</t>
        </is>
      </c>
      <c r="B1" s="534" t="inlineStr">
        <is>
          <t>Sizes</t>
        </is>
      </c>
      <c r="C1" s="534" t="inlineStr">
        <is>
          <t>On/Off</t>
        </is>
      </c>
      <c r="D1" s="534" t="inlineStr">
        <is>
          <t>Support %</t>
        </is>
      </c>
      <c r="J1" s="534" t="inlineStr">
        <is>
          <t>Portfolio</t>
        </is>
      </c>
      <c r="K1" s="534" t="inlineStr">
        <is>
          <t>Archetype roles</t>
        </is>
      </c>
      <c r="Q1" s="534" t="inlineStr">
        <is>
          <t>Division (GM)</t>
        </is>
      </c>
      <c r="R1" s="534" t="inlineStr">
        <is>
          <t>Tab when the Portfolio is NA or blank</t>
        </is>
      </c>
      <c r="T1" s="534" t="inlineStr">
        <is>
          <t>Portfolio (his words)</t>
        </is>
      </c>
      <c r="U1" s="534" t="inlineStr">
        <is>
          <t>Tab</t>
        </is>
      </c>
      <c r="W1" s="1086" t="inlineStr">
        <is>
          <t>Squad as typed (col K)</t>
        </is>
      </c>
      <c r="X1" s="1086" t="inlineStr">
        <is>
          <t>Canonical squad</t>
        </is>
      </c>
      <c r="Y1" s="534" t="inlineStr">
        <is>
          <t>Portfolio</t>
        </is>
      </c>
      <c r="Z1" s="534" t="inlineStr">
        <is>
          <t>EGI row on the grid</t>
        </is>
      </c>
      <c r="AC1" s="1086" t="inlineStr">
        <is>
          <t>Lever</t>
        </is>
      </c>
      <c r="AD1" s="1086" t="inlineStr">
        <is>
          <t>Cost factor</t>
        </is>
      </c>
      <c r="AE1" s="1086" t="inlineStr">
        <is>
          <t>Funded into (3.4 COE line)</t>
        </is>
      </c>
      <c r="AF1" s="1086" t="inlineStr">
        <is>
          <t>Overhead line</t>
        </is>
      </c>
      <c r="AG1" s="1086" t="inlineStr">
        <is>
          <t>Rate ($m)</t>
        </is>
      </c>
      <c r="AH1" s="1086" t="inlineStr">
        <is>
          <t>Units</t>
        </is>
      </c>
      <c r="AI1" s="1086" t="inlineStr">
        <is>
          <t>Basis</t>
        </is>
      </c>
      <c r="AJ1" s="1086" t="inlineStr">
        <is>
          <t>Allowance ($m)</t>
        </is>
      </c>
      <c r="AM1" s="698" t="inlineStr">
        <is>
          <t>Allowance drawn in the portfolios</t>
        </is>
      </c>
      <c r="AN1" s="698" t="inlineStr">
        <is>
          <t>Person (Name | Position Title)</t>
        </is>
      </c>
      <c r="AO1" s="698" t="inlineStr">
        <is>
          <t>Portfolio override</t>
        </is>
      </c>
      <c r="AP1" s="698" t="inlineStr">
        <is>
          <t>Squad override</t>
        </is>
      </c>
      <c r="AQ1" s="534" t="inlineStr">
        <is>
          <t>Overhead line override</t>
        </is>
      </c>
      <c r="AR1" s="534" t="inlineStr">
        <is>
          <t>Squads that home to TDD Cyber</t>
        </is>
      </c>
      <c r="AS1" s="698" t="inlineStr">
        <is>
          <t>Portfolios (10)</t>
        </is>
      </c>
      <c r="AU1" s="698" t="inlineStr">
        <is>
          <t>Squad</t>
        </is>
      </c>
      <c r="AV1" s="698" t="inlineStr">
        <is>
          <t>Funded by</t>
        </is>
      </c>
      <c r="AW1" s="698" t="inlineStr">
        <is>
          <t>Basis</t>
        </is>
      </c>
    </row>
    <row r="2" ht="14.25" customHeight="1" s="535">
      <c r="A2" s="534" t="inlineStr">
        <is>
          <t>Engineering</t>
        </is>
      </c>
      <c r="B2" s="534" t="inlineStr">
        <is>
          <t>XS</t>
        </is>
      </c>
      <c r="C2" s="534" t="inlineStr">
        <is>
          <t>Onshore</t>
        </is>
      </c>
      <c r="D2" s="1087" t="n">
        <v>0</v>
      </c>
      <c r="J2" s="534" t="inlineStr">
        <is>
          <t>Ampol Retail</t>
        </is>
      </c>
      <c r="K2" s="534">
        <f>SUMIFS('3.3 Squad Actuals to Archetype'!$G$6:$G$121,'3.3 Squad Actuals to Archetype'!$B$6:$B$121,$J2,'3.3 Squad Actuals to Archetype'!$C$6:$C$121,"Archetype")</f>
        <v>47.5</v>
      </c>
      <c r="Q2" s="534" t="inlineStr">
        <is>
          <t>Strategy, Architecture &amp; Data</t>
        </is>
      </c>
      <c r="R2" s="534" t="inlineStr">
        <is>
          <t>COE SA&amp;D</t>
        </is>
      </c>
      <c r="T2" s="534" t="inlineStr">
        <is>
          <t>Retail</t>
        </is>
      </c>
      <c r="U2" s="534" t="inlineStr">
        <is>
          <t>Ampol Retail</t>
        </is>
      </c>
      <c r="W2" s="1086" t="inlineStr">
        <is>
          <t>AmPos</t>
        </is>
      </c>
      <c r="X2" s="1086" t="inlineStr">
        <is>
          <t>AmPOS</t>
        </is>
      </c>
      <c r="Y2" s="534" t="inlineStr">
        <is>
          <t>Ampol Retail</t>
        </is>
      </c>
      <c r="Z2" s="534" t="inlineStr">
        <is>
          <t>EGI Retail</t>
        </is>
      </c>
      <c r="AC2" s="1086" t="inlineStr">
        <is>
          <t>Filled</t>
        </is>
      </c>
      <c r="AD2" s="1086" t="n">
        <v>1</v>
      </c>
      <c r="AF2" s="1086" t="inlineStr">
        <is>
          <t>Head of Technology</t>
        </is>
      </c>
      <c r="AG2" s="982">
        <f>'0.2 Data Config'!$N$6</f>
        <v>0.1375</v>
      </c>
      <c r="AH2" s="1086">
        <f>COUNTA(Lists!$AS$2:$AS$12)</f>
        <v>10</v>
      </c>
      <c r="AI2" s="1086" t="inlineStr">
        <is>
          <t>portfolios</t>
        </is>
      </c>
      <c r="AJ2" s="1086">
        <f>$AG2*$AH2</f>
        <v>1.375</v>
      </c>
      <c r="AM2" s="539" t="inlineStr">
        <is>
          <t>Yes</t>
        </is>
      </c>
      <c r="AN2" s="1088" t="inlineStr">
        <is>
          <t>Jens Tom | SAP Solution Architect</t>
        </is>
      </c>
      <c r="AO2" s="1088" t="n"/>
      <c r="AP2" s="1089" t="inlineStr">
        <is>
          <t>SAP ERP</t>
        </is>
      </c>
      <c r="AQ2" s="539" t="n"/>
      <c r="AR2" s="534" t="inlineStr">
        <is>
          <t>Cyber Uplift</t>
        </is>
      </c>
      <c r="AS2" s="539" t="inlineStr">
        <is>
          <t>Ampol Retail</t>
        </is>
      </c>
      <c r="AU2" s="1089" t="inlineStr">
        <is>
          <t>EGI Retail</t>
        </is>
      </c>
      <c r="AV2" s="1089" t="inlineStr">
        <is>
          <t>EGI</t>
        </is>
      </c>
      <c r="AW2" s="1089" t="inlineStr">
        <is>
          <t>actual</t>
        </is>
      </c>
    </row>
    <row r="3" ht="14.25" customHeight="1" s="535">
      <c r="A3" s="534" t="inlineStr">
        <is>
          <t>Configuration / Integration</t>
        </is>
      </c>
      <c r="B3" s="534" t="inlineStr">
        <is>
          <t>S</t>
        </is>
      </c>
      <c r="C3" s="534" t="inlineStr">
        <is>
          <t>Offshore</t>
        </is>
      </c>
      <c r="D3" s="1087" t="n">
        <v>0.15</v>
      </c>
      <c r="J3" s="534" t="inlineStr">
        <is>
          <t>Customer</t>
        </is>
      </c>
      <c r="K3" s="534">
        <f>SUMIFS('3.3 Squad Actuals to Archetype'!$G$6:$G$121,'3.3 Squad Actuals to Archetype'!$B$6:$B$121,$J3,'3.3 Squad Actuals to Archetype'!$C$6:$C$121,"Archetype")</f>
        <v>57</v>
      </c>
      <c r="Q3" s="534" t="inlineStr">
        <is>
          <t>Cyber, Risk &amp; Operations</t>
        </is>
      </c>
      <c r="R3" s="534" t="inlineStr">
        <is>
          <t>COE Cyber</t>
        </is>
      </c>
      <c r="T3" s="534" t="inlineStr">
        <is>
          <t>RETAIL</t>
        </is>
      </c>
      <c r="U3" s="534" t="inlineStr">
        <is>
          <t>Ampol Retail</t>
        </is>
      </c>
      <c r="W3" s="1086" t="inlineStr">
        <is>
          <t>Manuacturing Group Projects</t>
        </is>
      </c>
      <c r="X3" s="1086" t="inlineStr">
        <is>
          <t>Manufacturing Group Projects</t>
        </is>
      </c>
      <c r="Y3" s="534" t="inlineStr">
        <is>
          <t>Customer</t>
        </is>
      </c>
      <c r="Z3" s="534" t="inlineStr">
        <is>
          <t>EGI Customer</t>
        </is>
      </c>
      <c r="AC3" s="1086" t="inlineStr">
        <is>
          <t>Hire</t>
        </is>
      </c>
      <c r="AD3" s="1086" t="n">
        <v>1</v>
      </c>
      <c r="AE3" s="1086" t="inlineStr">
        <is>
          <t>Business Partnering</t>
        </is>
      </c>
      <c r="AF3" s="1086" t="inlineStr">
        <is>
          <t>Business Partner</t>
        </is>
      </c>
      <c r="AG3" s="982">
        <f>'0.2 Data Config'!$N$7</f>
        <v>0.22</v>
      </c>
      <c r="AH3" s="1086">
        <f>$AH$2</f>
        <v>10</v>
      </c>
      <c r="AI3" s="1086" t="inlineStr">
        <is>
          <t>portfolios</t>
        </is>
      </c>
      <c r="AJ3" s="1086">
        <f>$AG3*$AH3</f>
        <v>2.2</v>
      </c>
      <c r="AM3" s="539" t="inlineStr">
        <is>
          <t>No</t>
        </is>
      </c>
      <c r="AN3" s="1088" t="inlineStr">
        <is>
          <t>Rihan Schalkwyk | Senior Business Analyst</t>
        </is>
      </c>
      <c r="AO3" s="1088" t="inlineStr">
        <is>
          <t>Enterprise Data</t>
        </is>
      </c>
      <c r="AP3" s="1088" t="inlineStr">
        <is>
          <t>Reporting &amp; Analytics</t>
        </is>
      </c>
      <c r="AQ3" s="539" t="n"/>
      <c r="AR3" s="534" t="inlineStr">
        <is>
          <t>Identity</t>
        </is>
      </c>
      <c r="AS3" s="539" t="inlineStr">
        <is>
          <t>Customer</t>
        </is>
      </c>
      <c r="AU3" s="1089" t="inlineStr">
        <is>
          <t>EGI TDD</t>
        </is>
      </c>
      <c r="AV3" s="1089" t="inlineStr">
        <is>
          <t>EGI</t>
        </is>
      </c>
      <c r="AW3" s="1089" t="inlineStr">
        <is>
          <t>actual</t>
        </is>
      </c>
    </row>
    <row r="4" ht="14.25" customHeight="1" s="535">
      <c r="A4" s="534" t="inlineStr">
        <is>
          <t>Product</t>
        </is>
      </c>
      <c r="B4" s="534" t="inlineStr">
        <is>
          <t>M</t>
        </is>
      </c>
      <c r="C4" s="534" t="inlineStr">
        <is>
          <t>Hybrid</t>
        </is>
      </c>
      <c r="D4" s="1087" t="n">
        <v>0.2</v>
      </c>
      <c r="J4" s="534" t="inlineStr">
        <is>
          <t>Enterprise Data</t>
        </is>
      </c>
      <c r="K4" s="534">
        <f>SUMIFS('3.3 Squad Actuals to Archetype'!$G$6:$G$121,'3.3 Squad Actuals to Archetype'!$B$6:$B$121,$J4,'3.3 Squad Actuals to Archetype'!$C$6:$C$121,"Archetype")</f>
        <v>19</v>
      </c>
      <c r="Q4" s="534" t="inlineStr">
        <is>
          <t>Partnering &amp; Transformation</t>
        </is>
      </c>
      <c r="R4" s="534" t="inlineStr">
        <is>
          <t>COE BP&amp;T</t>
        </is>
      </c>
      <c r="T4" s="534" t="inlineStr">
        <is>
          <t>Z</t>
        </is>
      </c>
      <c r="U4" s="534" t="inlineStr">
        <is>
          <t>Z Retail</t>
        </is>
      </c>
      <c r="W4" s="1086" t="inlineStr">
        <is>
          <t>Integration &amp; Process automation</t>
        </is>
      </c>
      <c r="X4" s="1086" t="inlineStr">
        <is>
          <t>Integration &amp; Process Automation</t>
        </is>
      </c>
      <c r="Y4" s="534" t="inlineStr">
        <is>
          <t>Enterprise Data</t>
        </is>
      </c>
      <c r="Z4" s="534" t="inlineStr">
        <is>
          <t>EGI Ent Data</t>
        </is>
      </c>
      <c r="AC4" s="1086" t="inlineStr">
        <is>
          <t>Hold</t>
        </is>
      </c>
      <c r="AD4" s="1086" t="n">
        <v>0</v>
      </c>
      <c r="AE4" s="1086" t="inlineStr">
        <is>
          <t>Strategy &amp; Architecture</t>
        </is>
      </c>
      <c r="AF4" s="1086" t="inlineStr">
        <is>
          <t>Domain Architect</t>
        </is>
      </c>
      <c r="AG4" s="982">
        <f>'0.2 Data Config'!$N$8</f>
        <v>0.14</v>
      </c>
      <c r="AH4" s="1086">
        <f>$AH$2</f>
        <v>10</v>
      </c>
      <c r="AI4" s="1086" t="inlineStr">
        <is>
          <t>portfolios</t>
        </is>
      </c>
      <c r="AJ4" s="1086">
        <f>$AG4*$AH4</f>
        <v>1.4</v>
      </c>
      <c r="AM4" s="539" t="inlineStr">
        <is>
          <t>No</t>
        </is>
      </c>
      <c r="AN4" s="1088" t="inlineStr">
        <is>
          <t>Catherine Gire | Cyber Technical Business Analyst</t>
        </is>
      </c>
      <c r="AO4" s="1088" t="inlineStr">
        <is>
          <t>TDD Cyber</t>
        </is>
      </c>
      <c r="AP4" s="1088" t="inlineStr">
        <is>
          <t>Cyber Uplift</t>
        </is>
      </c>
      <c r="AQ4" s="539" t="n"/>
      <c r="AS4" s="539" t="inlineStr">
        <is>
          <t>Enterprise Data</t>
        </is>
      </c>
      <c r="AU4" s="1089" t="inlineStr">
        <is>
          <t>EGI Customer</t>
        </is>
      </c>
      <c r="AV4" s="1089" t="inlineStr">
        <is>
          <t>EGI</t>
        </is>
      </c>
      <c r="AW4" s="1089" t="inlineStr">
        <is>
          <t>actual</t>
        </is>
      </c>
    </row>
    <row r="5" ht="14.25" customHeight="1" s="535">
      <c r="A5" s="534" t="inlineStr">
        <is>
          <t>Operations</t>
        </is>
      </c>
      <c r="B5" s="534" t="inlineStr">
        <is>
          <t>L</t>
        </is>
      </c>
      <c r="D5" s="1087" t="n">
        <v>0.3</v>
      </c>
      <c r="J5" s="534" t="inlineStr">
        <is>
          <t>TDD Group Functions</t>
        </is>
      </c>
      <c r="K5" s="534">
        <f>SUMIFS('3.3 Squad Actuals to Archetype'!$G$6:$G$121,'3.3 Squad Actuals to Archetype'!$B$6:$B$121,$J5,'3.3 Squad Actuals to Archetype'!$C$6:$C$121,"Archetype")</f>
        <v>29.5</v>
      </c>
      <c r="Q5" s="534" t="inlineStr">
        <is>
          <t>TDD Group Functions</t>
        </is>
      </c>
      <c r="R5" s="534" t="inlineStr">
        <is>
          <t>TDD Group Functions</t>
        </is>
      </c>
      <c r="T5" s="534" t="inlineStr">
        <is>
          <t>Ampol Customer</t>
        </is>
      </c>
      <c r="U5" s="534" t="inlineStr">
        <is>
          <t>Customer</t>
        </is>
      </c>
      <c r="W5" s="1086" t="inlineStr">
        <is>
          <t>Technology Suport</t>
        </is>
      </c>
      <c r="X5" s="1086" t="inlineStr">
        <is>
          <t>Technology Support</t>
        </is>
      </c>
      <c r="Y5" s="534" t="inlineStr">
        <is>
          <t>Finance</t>
        </is>
      </c>
      <c r="Z5" s="534" t="inlineStr">
        <is>
          <t>EGI Finance</t>
        </is>
      </c>
      <c r="AC5" s="1086" t="inlineStr">
        <is>
          <t>Offshore</t>
        </is>
      </c>
      <c r="AD5" s="1090">
        <f>'0.3 Squad Archetypes'!$K$5</f>
        <v>0.4</v>
      </c>
      <c r="AF5" s="1086" t="inlineStr">
        <is>
          <t>Delivery Manager</t>
        </is>
      </c>
      <c r="AG5" s="982">
        <f>'0.2 Data Config'!$N$14</f>
        <v>0.084</v>
      </c>
      <c r="AH5" s="1091">
        <f>ROUND((N('1.1 Ampol Retail'!$F$7)+N('1.10 Z Retail'!$F$7)+N('1.14 TDD Cyber'!$F$7)+N('1.2 Customer'!$F$7)+N('1.3 Enterprise Data'!$F$7)+N('1.4 TDD Group Functions'!$F$7)+N('1.5 P&amp;C'!$F$7)+N('1.6 Finance'!$F$7)+N('1.7 Infrastructure'!$F$7)+N('1.8 Energy Solutions &amp; B2B'!$F$7)+N('1.9 Commercial Fuels'!$F$7))/'0.2 Data Config'!$N$16,6)</f>
        <v>22</v>
      </c>
      <c r="AI5" s="1086" t="inlineStr">
        <is>
          <t>platforms</t>
        </is>
      </c>
      <c r="AJ5" s="1086">
        <f>$AG5*$AH5</f>
        <v>1.848</v>
      </c>
      <c r="AM5" s="539" t="inlineStr">
        <is>
          <t>Yes</t>
        </is>
      </c>
      <c r="AN5" s="1088" t="inlineStr">
        <is>
          <t>Dan Balsamo | Senior Cyber Project Manager</t>
        </is>
      </c>
      <c r="AO5" s="1088" t="inlineStr">
        <is>
          <t>TDD Cyber</t>
        </is>
      </c>
      <c r="AP5" s="1088" t="inlineStr">
        <is>
          <t>Cyber Uplift</t>
        </is>
      </c>
      <c r="AQ5" s="539" t="n"/>
      <c r="AS5" s="539" t="inlineStr">
        <is>
          <t>TDD Group Functions</t>
        </is>
      </c>
      <c r="AU5" s="1089" t="inlineStr">
        <is>
          <t>EGI</t>
        </is>
      </c>
      <c r="AV5" s="1089" t="inlineStr">
        <is>
          <t>EGI</t>
        </is>
      </c>
      <c r="AW5" s="1089" t="inlineStr">
        <is>
          <t>actual</t>
        </is>
      </c>
    </row>
    <row r="6" ht="14.25" customHeight="1" s="535">
      <c r="A6" s="534" t="inlineStr">
        <is>
          <t>Enterprise Data and Insights</t>
        </is>
      </c>
      <c r="D6" s="1087" t="n">
        <v>0.4</v>
      </c>
      <c r="J6" s="534" t="inlineStr">
        <is>
          <t>P&amp;C</t>
        </is>
      </c>
      <c r="K6" s="534">
        <f>SUMIFS('3.3 Squad Actuals to Archetype'!$G$6:$G$121,'3.3 Squad Actuals to Archetype'!$B$6:$B$121,$J6,'3.3 Squad Actuals to Archetype'!$C$6:$C$121,"Archetype")</f>
        <v>15</v>
      </c>
      <c r="Q6" s="534" t="inlineStr">
        <is>
          <t>Customer</t>
        </is>
      </c>
      <c r="R6" s="534" t="inlineStr">
        <is>
          <t>Customer</t>
        </is>
      </c>
      <c r="T6" s="534" t="inlineStr">
        <is>
          <t>Z ENERGY (DIGITAL)</t>
        </is>
      </c>
      <c r="U6" s="534" t="inlineStr">
        <is>
          <t>Customer</t>
        </is>
      </c>
      <c r="Y6" s="534" t="inlineStr">
        <is>
          <t>P&amp;C</t>
        </is>
      </c>
      <c r="Z6" s="534" t="inlineStr">
        <is>
          <t>EGI P&amp;C</t>
        </is>
      </c>
      <c r="AF6" s="1086" t="inlineStr">
        <is>
          <t>Technology Manager</t>
        </is>
      </c>
      <c r="AG6" s="982">
        <f>'0.2 Data Config'!$N$15</f>
        <v>0.081</v>
      </c>
      <c r="AH6" s="1091">
        <f>ROUND((N('1.1 Ampol Retail'!$F$7)+N('1.10 Z Retail'!$F$7)+N('1.14 TDD Cyber'!$F$7)+N('1.2 Customer'!$F$7)+N('1.3 Enterprise Data'!$F$7)+N('1.4 TDD Group Functions'!$F$7)+N('1.5 P&amp;C'!$F$7)+N('1.6 Finance'!$F$7)+N('1.7 Infrastructure'!$F$7)+N('1.8 Energy Solutions &amp; B2B'!$F$7)+N('1.9 Commercial Fuels'!$F$7))/'0.2 Data Config'!$N$16,6)</f>
        <v>22</v>
      </c>
      <c r="AI6" s="1086" t="inlineStr">
        <is>
          <t>platforms</t>
        </is>
      </c>
      <c r="AJ6" s="1086">
        <f>$AG6*$AH6</f>
        <v>1.782</v>
      </c>
      <c r="AM6" s="539" t="inlineStr">
        <is>
          <t>Yes</t>
        </is>
      </c>
      <c r="AN6" s="1088" t="inlineStr">
        <is>
          <t>Kevin Sheerin | Cyber Architecture Lead</t>
        </is>
      </c>
      <c r="AO6" s="1088" t="inlineStr">
        <is>
          <t>TDD Cyber</t>
        </is>
      </c>
      <c r="AP6" s="1088" t="inlineStr">
        <is>
          <t>Cyber Uplift</t>
        </is>
      </c>
      <c r="AQ6" s="539" t="n"/>
      <c r="AS6" s="539" t="inlineStr">
        <is>
          <t>P&amp;C</t>
        </is>
      </c>
      <c r="AU6" s="1089" t="inlineStr">
        <is>
          <t>EGI P&amp;C</t>
        </is>
      </c>
      <c r="AV6" s="1089" t="inlineStr">
        <is>
          <t>EGI</t>
        </is>
      </c>
      <c r="AW6" s="1089" t="inlineStr">
        <is>
          <t>actual</t>
        </is>
      </c>
    </row>
    <row r="7" ht="14.25" customHeight="1" s="535">
      <c r="A7" s="534" t="inlineStr">
        <is>
          <t>Build and Run</t>
        </is>
      </c>
      <c r="D7" s="1087" t="n">
        <v>0.5</v>
      </c>
      <c r="J7" s="534" t="inlineStr">
        <is>
          <t>Finance</t>
        </is>
      </c>
      <c r="K7" s="534">
        <f>SUMIFS('3.3 Squad Actuals to Archetype'!$G$6:$G$121,'3.3 Squad Actuals to Archetype'!$B$6:$B$121,$J7,'3.3 Squad Actuals to Archetype'!$C$6:$C$121,"Archetype")</f>
        <v>15</v>
      </c>
      <c r="Q7" s="534" t="inlineStr">
        <is>
          <t>Ampol Retail &amp; Z</t>
        </is>
      </c>
      <c r="R7" s="534" t="inlineStr">
        <is>
          <t>Ampol Retail</t>
        </is>
      </c>
      <c r="T7" s="534" t="inlineStr">
        <is>
          <t>Commercial Fuels</t>
        </is>
      </c>
      <c r="U7" s="534" t="inlineStr">
        <is>
          <t>Commercial Fuels</t>
        </is>
      </c>
      <c r="W7" s="1086" t="inlineStr">
        <is>
          <t>Data - AU</t>
        </is>
      </c>
      <c r="X7" s="1086" t="inlineStr">
        <is>
          <t>Data AU</t>
        </is>
      </c>
      <c r="Y7" s="534" t="inlineStr">
        <is>
          <t>TDD Group Functions</t>
        </is>
      </c>
      <c r="Z7" s="534" t="inlineStr">
        <is>
          <t>EGI TDD</t>
        </is>
      </c>
      <c r="AF7" s="1086" t="inlineStr">
        <is>
          <t>Leadership - 8 GMs</t>
        </is>
      </c>
      <c r="AG7" s="982">
        <f>'0.2 Data Config'!$N$9</f>
        <v>0.3</v>
      </c>
      <c r="AH7" s="1086">
        <f>$AH$2</f>
        <v>10</v>
      </c>
      <c r="AI7" s="1086" t="inlineStr">
        <is>
          <t>portfolios</t>
        </is>
      </c>
      <c r="AJ7" s="1086">
        <f>$AG7*$AH7</f>
        <v>3</v>
      </c>
      <c r="AM7" s="539" t="inlineStr">
        <is>
          <t>No</t>
        </is>
      </c>
      <c r="AN7" s="1088" t="inlineStr">
        <is>
          <t>Tony Keeler | Cyber Business Analyst</t>
        </is>
      </c>
      <c r="AO7" s="1088" t="inlineStr">
        <is>
          <t>TDD Cyber</t>
        </is>
      </c>
      <c r="AP7" s="1088" t="inlineStr">
        <is>
          <t>Cyber Uplift</t>
        </is>
      </c>
      <c r="AQ7" s="539" t="n"/>
      <c r="AS7" s="539" t="inlineStr">
        <is>
          <t>Finance</t>
        </is>
      </c>
      <c r="AU7" s="1089" t="inlineStr">
        <is>
          <t>EGI Finance</t>
        </is>
      </c>
      <c r="AV7" s="1089" t="inlineStr">
        <is>
          <t>EGI</t>
        </is>
      </c>
      <c r="AW7" s="1089" t="inlineStr">
        <is>
          <t>actual</t>
        </is>
      </c>
    </row>
    <row r="8" ht="14.25" customHeight="1" s="535">
      <c r="Q8" s="534" t="inlineStr">
        <is>
          <t>TDD CFE&amp;I</t>
        </is>
      </c>
      <c r="R8" s="534" t="inlineStr">
        <is>
          <t>Infrastructure</t>
        </is>
      </c>
      <c r="AF8" s="1086" t="inlineStr">
        <is>
          <t>Program Management</t>
        </is>
      </c>
      <c r="AG8" s="982">
        <f>SUMIFS('REVIEW - Complete Role Mapping'!$AE$2:$AE$700,'REVIEW - Complete Role Mapping'!$AL$2:$AL$700,$AF8)/1000000</f>
        <v>0</v>
      </c>
      <c r="AH8" s="1086" t="n">
        <v>1</v>
      </c>
      <c r="AI8" s="1086" t="inlineStr">
        <is>
          <t>portfolio</t>
        </is>
      </c>
      <c r="AJ8" s="1086">
        <f>$AG8*$AH8</f>
        <v>0</v>
      </c>
      <c r="AM8" s="539" t="inlineStr">
        <is>
          <t>Yes</t>
        </is>
      </c>
      <c r="AU8" s="1089" t="inlineStr">
        <is>
          <t>CTRM</t>
        </is>
      </c>
      <c r="AV8" s="1089" t="inlineStr">
        <is>
          <t>CTRM programme</t>
        </is>
      </c>
      <c r="AW8" s="1089" t="n">
        <v>3.8</v>
      </c>
    </row>
    <row r="9" ht="14.25" customHeight="1" s="535">
      <c r="A9" s="534" t="inlineStr">
        <is>
          <t>Strategic Programs</t>
        </is>
      </c>
      <c r="D9" s="1087" t="n">
        <v>0.65</v>
      </c>
      <c r="J9" s="534" t="inlineStr">
        <is>
          <t>Infrastructure</t>
        </is>
      </c>
      <c r="K9" s="534">
        <f>SUMIFS('3.3 Squad Actuals to Archetype'!$G$6:$G$121,'3.3 Squad Actuals to Archetype'!$B$6:$B$121,$J9,'3.3 Squad Actuals to Archetype'!$C$6:$C$121,"Archetype")</f>
        <v>28</v>
      </c>
      <c r="Q9" s="534" t="inlineStr">
        <is>
          <t>EGI</t>
        </is>
      </c>
      <c r="R9" s="534" t="inlineStr">
        <is>
          <t>EGI</t>
        </is>
      </c>
      <c r="T9" s="534" t="inlineStr">
        <is>
          <t>B2B &amp; Energy Solutions</t>
        </is>
      </c>
      <c r="U9" s="534" t="inlineStr">
        <is>
          <t>Energy Solutions &amp; B2B</t>
        </is>
      </c>
      <c r="W9" s="1086" t="inlineStr">
        <is>
          <t>Data - NZ</t>
        </is>
      </c>
      <c r="X9" s="1086" t="inlineStr">
        <is>
          <t>Data NZ</t>
        </is>
      </c>
      <c r="AF9" s="1086" t="inlineStr">
        <is>
          <t>Total</t>
        </is>
      </c>
      <c r="AJ9" s="1086">
        <f>SUM(AJ2:AJ8)</f>
        <v>11.605</v>
      </c>
      <c r="AN9" s="1088" t="inlineStr">
        <is>
          <t>Vivienne Vasak | Portfolio Manager Cyber Security</t>
        </is>
      </c>
      <c r="AO9" s="1088" t="inlineStr">
        <is>
          <t>TDD Cyber</t>
        </is>
      </c>
      <c r="AP9" s="1088" t="inlineStr">
        <is>
          <t>Cyber Uplift</t>
        </is>
      </c>
      <c r="AQ9" s="539" t="n"/>
      <c r="AS9" s="539" t="inlineStr">
        <is>
          <t>Infrastructure</t>
        </is>
      </c>
      <c r="AU9" s="1089" t="inlineStr">
        <is>
          <t>AmPOS</t>
        </is>
      </c>
      <c r="AV9" s="1089" t="inlineStr">
        <is>
          <t>AmPOS programme</t>
        </is>
      </c>
      <c r="AW9" s="1089" t="n">
        <v>1.404</v>
      </c>
    </row>
    <row r="10" ht="14.25" customHeight="1" s="535">
      <c r="D10" s="1087" t="n">
        <v>0.7</v>
      </c>
      <c r="J10" s="534" t="inlineStr">
        <is>
          <t>Energy Solutions &amp; B2B</t>
        </is>
      </c>
      <c r="K10" s="534">
        <f>SUMIFS('3.3 Squad Actuals to Archetype'!$G$6:$G$121,'3.3 Squad Actuals to Archetype'!$B$6:$B$121,$J10,'3.3 Squad Actuals to Archetype'!$C$6:$C$121,"Archetype")</f>
        <v>27.5</v>
      </c>
      <c r="T10" s="534" t="inlineStr">
        <is>
          <t>Infrastructure</t>
        </is>
      </c>
      <c r="U10" s="534" t="inlineStr">
        <is>
          <t>Infrastructure</t>
        </is>
      </c>
      <c r="W10" s="1086" t="inlineStr">
        <is>
          <t>Data Platform</t>
        </is>
      </c>
      <c r="X10" s="1086" t="inlineStr">
        <is>
          <t>Data Platforms</t>
        </is>
      </c>
      <c r="AF10" s="709" t="inlineStr">
        <is>
          <t>Allowance drawn in the portfolios</t>
        </is>
      </c>
      <c r="AJ10" s="896">
        <f>SUMIF($AM$2:$AM$8,"Yes",$AJ$2:$AJ$8)</f>
        <v>5.005</v>
      </c>
      <c r="AN10" s="1088" t="inlineStr">
        <is>
          <t>Cameron Watman | Engineer - IDAM</t>
        </is>
      </c>
      <c r="AO10" s="1088" t="inlineStr">
        <is>
          <t>TDD Cyber</t>
        </is>
      </c>
      <c r="AP10" s="1088" t="inlineStr">
        <is>
          <t>Identity</t>
        </is>
      </c>
      <c r="AQ10" s="539" t="n"/>
      <c r="AS10" s="539" t="inlineStr">
        <is>
          <t>Energy Solutions &amp; B2B</t>
        </is>
      </c>
      <c r="AU10" s="1089" t="inlineStr">
        <is>
          <t>Cyber Uplift</t>
        </is>
      </c>
      <c r="AV10" s="1089" t="inlineStr">
        <is>
          <t>cyber uplift programme</t>
        </is>
      </c>
      <c r="AW10" s="1089" t="n">
        <v>1.2998</v>
      </c>
    </row>
    <row r="11" ht="14.25" customHeight="1" s="535">
      <c r="D11" s="1087" t="n">
        <v>0.8</v>
      </c>
      <c r="J11" s="534" t="inlineStr">
        <is>
          <t>Commercial Fuels</t>
        </is>
      </c>
      <c r="K11" s="534">
        <f>SUMIFS('3.3 Squad Actuals to Archetype'!$G$6:$G$121,'3.3 Squad Actuals to Archetype'!$B$6:$B$121,$J11,'3.3 Squad Actuals to Archetype'!$C$6:$C$121,"Archetype")</f>
        <v>25.5</v>
      </c>
      <c r="T11" s="534" t="inlineStr">
        <is>
          <t>Enterprise Data</t>
        </is>
      </c>
      <c r="U11" s="534" t="inlineStr">
        <is>
          <t>Enterprise Data</t>
        </is>
      </c>
      <c r="W11" s="1086" t="inlineStr">
        <is>
          <t>Z Energy Martech</t>
        </is>
      </c>
      <c r="X11" s="1086" t="inlineStr">
        <is>
          <t>Z Loyalty &amp; Martech</t>
        </is>
      </c>
      <c r="AF11" s="1086" t="inlineStr">
        <is>
          <t>GM layer - input</t>
        </is>
      </c>
      <c r="AN11" s="1088" t="inlineStr">
        <is>
          <t>Iwan Wibisono | Engineer - IDAM</t>
        </is>
      </c>
      <c r="AO11" s="1088" t="inlineStr">
        <is>
          <t>TDD Cyber</t>
        </is>
      </c>
      <c r="AP11" s="1088" t="inlineStr">
        <is>
          <t>Identity</t>
        </is>
      </c>
      <c r="AQ11" s="539" t="n"/>
      <c r="AS11" s="539" t="inlineStr">
        <is>
          <t>Commercial Fuels</t>
        </is>
      </c>
      <c r="AU11" s="534" t="inlineStr">
        <is>
          <t>EGI Ent Data</t>
        </is>
      </c>
    </row>
    <row r="12" ht="14.25" customHeight="1" s="535">
      <c r="D12" s="1087" t="n">
        <v>0.9</v>
      </c>
      <c r="J12" s="534" t="inlineStr">
        <is>
          <t>Z Retail</t>
        </is>
      </c>
      <c r="K12" s="534">
        <f>SUMIFS('3.3 Squad Actuals to Archetype'!$G$6:$G$121,'3.3 Squad Actuals to Archetype'!$B$6:$B$121,$J12,'3.3 Squad Actuals to Archetype'!$C$6:$C$121,"Archetype")</f>
        <v>34.5</v>
      </c>
      <c r="T12" s="534" t="inlineStr">
        <is>
          <t>Finance</t>
        </is>
      </c>
      <c r="U12" s="534" t="inlineStr">
        <is>
          <t>Finance</t>
        </is>
      </c>
      <c r="W12" s="1086" t="inlineStr">
        <is>
          <t>AU CRM &amp; Martech</t>
        </is>
      </c>
      <c r="X12" s="1086" t="inlineStr">
        <is>
          <t>Ampol Loyalty &amp; Martech</t>
        </is>
      </c>
      <c r="AF12" s="1086" t="inlineStr">
        <is>
          <t>Number of GMs</t>
        </is>
      </c>
      <c r="AG12" s="1086" t="n">
        <v>8</v>
      </c>
      <c r="AN12" s="1088" t="inlineStr">
        <is>
          <t>Joe Nahma | Manager Identity &amp; Access Management</t>
        </is>
      </c>
      <c r="AO12" s="1088" t="inlineStr">
        <is>
          <t>TDD Cyber</t>
        </is>
      </c>
      <c r="AP12" s="1088" t="inlineStr">
        <is>
          <t>Identity</t>
        </is>
      </c>
      <c r="AQ12" s="539" t="n"/>
      <c r="AS12" s="539" t="inlineStr">
        <is>
          <t>Z Retail</t>
        </is>
      </c>
    </row>
    <row r="13" ht="14.25" customHeight="1" s="535">
      <c r="D13" s="1087" t="n">
        <v>1</v>
      </c>
      <c r="J13" s="534" t="inlineStr">
        <is>
          <t>TDD Cyber</t>
        </is>
      </c>
      <c r="K13" s="534">
        <f>SUMIFS('3.3 Squad Actuals to Archetype'!$G$6:$G$121,'3.3 Squad Actuals to Archetype'!$B$6:$B$121,$J13,'3.3 Squad Actuals to Archetype'!$C$6:$C$121,"Archetype")</f>
        <v>4</v>
      </c>
      <c r="T13" s="534" t="inlineStr">
        <is>
          <t>P&amp;C</t>
        </is>
      </c>
      <c r="U13" s="534" t="inlineStr">
        <is>
          <t>P&amp;C</t>
        </is>
      </c>
      <c r="W13" s="1086" t="inlineStr">
        <is>
          <t>Heads of Customer Portfolio</t>
        </is>
      </c>
      <c r="X13" s="1086" t="inlineStr">
        <is>
          <t>Head of Technology</t>
        </is>
      </c>
      <c r="AF13" s="1086" t="inlineStr">
        <is>
          <t>GM cost ($m)</t>
        </is>
      </c>
      <c r="AG13" s="1086" t="n">
        <v>5.1</v>
      </c>
      <c r="AN13" s="1088" t="inlineStr">
        <is>
          <t>Raymond Cheung | Engineer - IDAM</t>
        </is>
      </c>
      <c r="AO13" s="1088" t="inlineStr">
        <is>
          <t>TDD Cyber</t>
        </is>
      </c>
      <c r="AP13" s="1088" t="inlineStr">
        <is>
          <t>Identity</t>
        </is>
      </c>
      <c r="AQ13" s="539" t="n"/>
    </row>
    <row r="14" ht="14.25" customHeight="1" s="535">
      <c r="T14" s="534" t="inlineStr">
        <is>
          <t>P&amp;C, Finance &amp; Legal</t>
        </is>
      </c>
      <c r="U14" s="534" t="inlineStr">
        <is>
          <t>P&amp;C</t>
        </is>
      </c>
      <c r="W14" s="1086" t="inlineStr">
        <is>
          <t>Program Management</t>
        </is>
      </c>
      <c r="X14" s="1086" t="inlineStr">
        <is>
          <t>Program Management</t>
        </is>
      </c>
      <c r="AF14" s="1086" t="inlineStr">
        <is>
          <t>The 8 GMs are the only overhead line with no role in REVIEW, so their cost is entered here and sits above the role mapping.</t>
        </is>
      </c>
      <c r="AN14" s="1092" t="inlineStr">
        <is>
          <t>Ed Tacey | Head of AI enablement</t>
        </is>
      </c>
      <c r="AO14" s="1092" t="n"/>
      <c r="AP14" s="1092" t="n"/>
      <c r="AQ14" s="534" t="inlineStr">
        <is>
          <t>Squad</t>
        </is>
      </c>
    </row>
    <row r="15" ht="14.25" customHeight="1" s="535">
      <c r="T15" s="534" t="inlineStr">
        <is>
          <t>TDD</t>
        </is>
      </c>
      <c r="U15" s="534" t="inlineStr">
        <is>
          <t>TDD Group Functions</t>
        </is>
      </c>
      <c r="W15" s="1086" t="inlineStr">
        <is>
          <t>Technology Manager</t>
        </is>
      </c>
      <c r="X15" s="1086" t="inlineStr">
        <is>
          <t>Technology Manager</t>
        </is>
      </c>
      <c r="AF15" s="1086" t="inlineStr">
        <is>
          <t>Cost base - input</t>
        </is>
      </c>
      <c r="AN15" s="1092" t="inlineStr">
        <is>
          <t>Vacant | Delivery Excellence Manager</t>
        </is>
      </c>
      <c r="AO15" s="1092" t="n"/>
      <c r="AP15" s="1092" t="n"/>
      <c r="AQ15" s="534" t="inlineStr">
        <is>
          <t>Delivery Manager</t>
        </is>
      </c>
    </row>
    <row r="16" ht="14.25" customHeight="1" s="535">
      <c r="T16" s="534" t="inlineStr">
        <is>
          <t>EGI</t>
        </is>
      </c>
      <c r="U16" s="534" t="inlineStr">
        <is>
          <t>EGI</t>
        </is>
      </c>
      <c r="W16" s="1086" t="inlineStr">
        <is>
          <t>Delivery Manager</t>
        </is>
      </c>
      <c r="X16" s="1086" t="inlineStr">
        <is>
          <t>Delivery Manager</t>
        </is>
      </c>
      <c r="AF16" s="1086" t="inlineStr">
        <is>
          <t>Days worked per year (day-rate roles)</t>
        </is>
      </c>
      <c r="AG16" s="1086" t="n">
        <v>222</v>
      </c>
      <c r="AN16" s="1092" t="inlineStr">
        <is>
          <t>Vacant | Delivery Assurance Manager</t>
        </is>
      </c>
      <c r="AO16" s="1092" t="n"/>
      <c r="AP16" s="1092" t="n"/>
      <c r="AQ16" s="534" t="inlineStr">
        <is>
          <t>Delivery Manager</t>
        </is>
      </c>
    </row>
    <row r="17" ht="14.25" customHeight="1" s="535">
      <c r="T17" s="534" t="inlineStr">
        <is>
          <t>EGI Integration</t>
        </is>
      </c>
      <c r="U17" s="534" t="inlineStr">
        <is>
          <t>EGI</t>
        </is>
      </c>
      <c r="AF17" s="1086" t="inlineStr">
        <is>
          <t>Full Cost AUD = base x (1 + STI + payroll + pension + CPI) + medical, or day rate x days x (1 + CPI). Column AU holds any agreed override.</t>
        </is>
      </c>
      <c r="AN17" s="1092" t="n"/>
      <c r="AO17" s="1092" t="n"/>
      <c r="AP17" s="1092" t="n"/>
    </row>
    <row r="18" ht="14.25" customHeight="1" s="535">
      <c r="AF18" s="534" t="inlineStr">
        <is>
          <t>Business Partner pot after levers ($m)</t>
        </is>
      </c>
      <c r="AG18" s="1098">
        <f>INDEX('2.12 COE BP&amp;T'!$S$7:$S$11,MATCH("TDD Business Partner",'2.12 COE BP&amp;T'!$B$7:$B$11,0))</f>
        <v>2.3135484</v>
      </c>
      <c r="AN18" s="1092" t="n"/>
      <c r="AO18" s="1092" t="n"/>
      <c r="AP18" s="1092" t="n"/>
    </row>
    <row r="19" ht="14.25" customHeight="1" s="535">
      <c r="AF19" s="534" t="inlineStr">
        <is>
          <t>Domain Architect pot after levers ($m)</t>
        </is>
      </c>
      <c r="AG19" s="1098">
        <f>INDEX('2.13 COE SA&amp;D'!$S$7:$S$13,MATCH("Architecture",'2.13 COE SA&amp;D'!$B$7:$B$13,0))</f>
        <v>1.388936286</v>
      </c>
      <c r="AN19" s="1092" t="n"/>
      <c r="AO19" s="1092" t="n"/>
      <c r="AP19" s="1092" t="n"/>
    </row>
    <row r="20" ht="14.25" customHeight="1" s="535">
      <c r="AF20" s="534" t="inlineStr">
        <is>
          <t>Overhead share base (the ten portfolios plus TDD Cyber)</t>
        </is>
      </c>
      <c r="AG20" s="1078">
        <f>COUNTA(Lists!$AS$2:$AS$12)+1</f>
        <v>11</v>
      </c>
      <c r="AN20" s="1092" t="n"/>
      <c r="AO20" s="1092" t="n"/>
      <c r="AP20" s="1092" t="n"/>
    </row>
    <row r="21" ht="14.25" customHeight="1" s="535">
      <c r="AF21" s="534" t="inlineStr">
        <is>
          <t>GM share base (the overhead share base plus the COE lines)</t>
        </is>
      </c>
      <c r="AG21" s="1078">
        <f>Lists!$AG$20+COUNTIF('3.5 TDD Lights On'!$B$5:$B$22,"COE*")</f>
        <v>16</v>
      </c>
      <c r="AN21" s="1092" t="n"/>
      <c r="AO21" s="1092" t="n"/>
      <c r="AP21" s="1092" t="n"/>
    </row>
    <row r="22" ht="14.25" customHeight="1" s="535">
      <c r="AN22" s="1092" t="n"/>
      <c r="AO22" s="1092" t="n"/>
      <c r="AP22" s="1092" t="n"/>
    </row>
    <row r="23" ht="14.25" customHeight="1" s="535"/>
    <row r="24" ht="14.25" customHeight="1" s="535">
      <c r="AN24" s="868" t="inlineStr">
        <is>
          <t>Agreed moves, keyed on the person - Name | Position Title, exactly as they read in REVIEW columns B and C - so the moves follow the person if rows are inserted or deleted. REVIEW's own columns are untouched; these override the grouping only.</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2026-07-20T10:52:13Z</dcterms:created>
  <dcterms:modified xmlns:dcterms="http://purl.org/dc/terms/" xmlns:xsi="http://www.w3.org/2001/XMLSchema-instance" xsi:type="dcterms:W3CDTF">2026-08-06T01:11:40Z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SIP_Label_920ee3f4-99ce-4688-af10-9024ec8476ba_ActionId" fmtid="{D5CDD505-2E9C-101B-9397-08002B2CF9AE}" pid="3">
    <vt:lpwstr xmlns:vt="http://schemas.openxmlformats.org/officeDocument/2006/docPropsVTypes">18f224d5-e490-42cd-8c0c-2c23e996767a</vt:lpwstr>
  </property>
  <property name="MSIP_Label_920ee3f4-99ce-4688-af10-9024ec8476ba_ContentBits" fmtid="{D5CDD505-2E9C-101B-9397-08002B2CF9AE}" pid="4">
    <vt:lpwstr xmlns:vt="http://schemas.openxmlformats.org/officeDocument/2006/docPropsVTypes">0</vt:lpwstr>
  </property>
  <property name="MSIP_Label_920ee3f4-99ce-4688-af10-9024ec8476ba_Enabled" fmtid="{D5CDD505-2E9C-101B-9397-08002B2CF9AE}" pid="5">
    <vt:lpwstr xmlns:vt="http://schemas.openxmlformats.org/officeDocument/2006/docPropsVTypes">true</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etDate" fmtid="{D5CDD505-2E9C-101B-9397-08002B2CF9AE}" pid="8">
    <vt:lpwstr xmlns:vt="http://schemas.openxmlformats.org/officeDocument/2006/docPropsVTypes">2026-07-31T03:37:43Z</vt:lpwstr>
  </property>
  <property name="MSIP_Label_920ee3f4-99ce-4688-af10-9024ec8476ba_SiteId" fmtid="{D5CDD505-2E9C-101B-9397-08002B2CF9AE}" pid="9">
    <vt:lpwstr xmlns:vt="http://schemas.openxmlformats.org/officeDocument/2006/docPropsVTypes">26da0e1a-1ace-4d46-8ea5-5da117f08417</vt:lpwstr>
  </property>
  <property name="MSIP_Label_920ee3f4-99ce-4688-af10-9024ec8476ba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