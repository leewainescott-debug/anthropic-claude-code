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TDD Cyber" sheetId="19" state="visible" r:id="rId19"/>
    <sheet name="- ROLL-UP -" sheetId="20" state="visible" r:id="rId20"/>
    <sheet name="2.1 BP&amp;T" sheetId="21" state="visible" r:id="rId21"/>
    <sheet name="2.2 SA&amp;D" sheetId="22" state="visible" r:id="rId22"/>
    <sheet name="2.3 Cyber Roles" sheetId="23" state="visible" r:id="rId23"/>
    <sheet name="2.4 COE Summary" sheetId="24" state="visible" r:id="rId24"/>
    <sheet name="2.5 Group Summary" sheetId="25" state="visible" r:id="rId25"/>
    <sheet name="2.6 Total Cost" sheetId="26" state="visible" r:id="rId26"/>
    <sheet name="2.7 Squad Detail" sheetId="27" state="visible" r:id="rId27"/>
    <sheet name="- DECISIONS -" sheetId="28" state="visible" r:id="rId28"/>
    <sheet name="4.1 Ampol Retail" sheetId="29" state="visible" r:id="rId29"/>
    <sheet name="4.2 Customer" sheetId="30" state="visible" r:id="rId30"/>
    <sheet name="4.3 Enterprise Data" sheetId="31" state="visible" r:id="rId31"/>
    <sheet name="4.4 TDD Group Functions" sheetId="32" state="visible" r:id="rId32"/>
    <sheet name="4.5 P&amp;C" sheetId="33" state="visible" r:id="rId33"/>
    <sheet name="4.6 Finance" sheetId="34" state="visible" r:id="rId34"/>
    <sheet name="4.7 Infrastructure" sheetId="35" state="visible" r:id="rId35"/>
    <sheet name="4.8 Energy Solutions &amp; B2B" sheetId="36" state="visible" r:id="rId36"/>
    <sheet name="4.9 Commercial Fuels" sheetId="37" state="visible" r:id="rId37"/>
    <sheet name="4.10 Z Retail" sheetId="38" state="visible" r:id="rId38"/>
    <sheet name="4.11 TDD Cyber" sheetId="39" state="visible" r:id="rId39"/>
    <sheet name="4.12 BP&amp;T" sheetId="40" state="visible" r:id="rId40"/>
    <sheet name="4.13 SA&amp;D" sheetId="41" state="visible" r:id="rId41"/>
    <sheet name="4.14 EGI &amp; Central" sheetId="42" state="visible" r:id="rId42"/>
    <sheet name="- EVIDENCE -" sheetId="43" state="visible" r:id="rId43"/>
    <sheet name="5.0 Data QA" sheetId="44" state="visible" r:id="rId44"/>
    <sheet name="Squads" sheetId="45" state="visible" r:id="rId45"/>
    <sheet name="Added data" sheetId="46" state="visible" r:id="rId46"/>
    <sheet name="Sheet2" sheetId="47" state="visible" r:id="rId47"/>
    <sheet name="FY26 Budget (ref)" sheetId="48" state="hidden" r:id="rId48"/>
    <sheet name="Sheet1" sheetId="49" state="hidden" r:id="rId49"/>
    <sheet name="squad mapping" sheetId="50" state="hidden" r:id="rId50"/>
    <sheet name="Lists" sheetId="51" state="hidden"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iterateDelta="0.0001"/>
  <pivotCaches>
    <pivotCache cacheId="36" r:id="rId52"/>
    <pivotCache cacheId="35" r:id="rId53"/>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6">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808080"/>
      <sz val="16"/>
    </font>
    <font>
      <name val="Calibri"/>
      <b val="1"/>
      <color rgb="FF1F4E79"/>
      <sz val="16"/>
    </font>
    <font>
      <name val="Calibri"/>
      <b val="1"/>
      <color rgb="FFBF8F00"/>
      <sz val="16"/>
    </font>
    <font>
      <name val="Calibri"/>
      <b val="1"/>
      <color rgb="FF375623"/>
      <sz val="16"/>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55">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177" fontId="78" fillId="38" borderId="114" applyAlignment="1" pivotButton="0" quotePrefix="0" xfId="0">
      <alignment horizontal="center" vertical="center" wrapText="1"/>
    </xf>
    <xf numFmtId="164" fontId="78" fillId="38" borderId="114" applyAlignment="1" pivotButton="0" quotePrefix="0" xfId="0">
      <alignment horizontal="center" vertical="center" wrapText="1"/>
    </xf>
    <xf numFmtId="0" fontId="77" fillId="0" borderId="114" applyAlignment="1" pivotButton="0" quotePrefix="0" xfId="0">
      <alignment vertical="center" wrapText="1"/>
    </xf>
    <xf numFmtId="0" fontId="77" fillId="32" borderId="114" applyAlignment="1" pivotButton="0" quotePrefix="0" xfId="0">
      <alignment horizontal="center" vertical="center"/>
    </xf>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82"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0" fontId="83" fillId="0" borderId="0" applyAlignment="1" pivotButton="0" quotePrefix="0" xfId="0">
      <alignment vertical="center"/>
    </xf>
    <xf numFmtId="0" fontId="81" fillId="0" borderId="0" applyAlignment="1" pivotButton="0" quotePrefix="0" xfId="0">
      <alignment vertical="center"/>
    </xf>
    <xf numFmtId="0" fontId="84" fillId="0" borderId="0" applyAlignment="1" pivotButton="0" quotePrefix="0" xfId="0">
      <alignment vertical="center"/>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9" fillId="43" borderId="114" applyAlignment="1" pivotButton="0" quotePrefix="0" xfId="0">
      <alignment horizontal="center" vertical="center"/>
    </xf>
    <xf numFmtId="0" fontId="80" fillId="0" borderId="0" applyAlignment="1" pivotButton="0" quotePrefix="0" xfId="0">
      <alignment vertical="center"/>
    </xf>
    <xf numFmtId="0" fontId="85"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443" t="inlineStr">
        <is>
          <t>Why this workbook exists</t>
        </is>
      </c>
      <c r="C4" s="444" t="n"/>
      <c r="D4" s="444" t="n"/>
      <c r="E4" s="444" t="n"/>
      <c r="F4" s="444" t="n"/>
      <c r="G4" s="444" t="n"/>
    </row>
    <row r="5">
      <c r="B5" s="429" t="inlineStr">
        <is>
          <t>Purpose: each GM designed a new operating model against set squad archetypes (type x size = people and cost). This workbook prices the archetypes and checks the actual design against them.</t>
        </is>
      </c>
      <c r="C5" s="434" t="n"/>
      <c r="D5" s="434" t="n"/>
      <c r="E5" s="434" t="n"/>
      <c r="F5" s="434" t="n"/>
      <c r="G5" s="434" t="n"/>
    </row>
    <row r="6">
      <c r="B6" s="429" t="inlineStr">
        <is>
          <t>The test: can each portfolio fund its archetype cost (TDD + business)? If yes, live within it. If not, start with the vacancies (4.x GM tabs), then archetype size (1.x dropdowns).</t>
        </is>
      </c>
      <c r="C6" s="434" t="n"/>
      <c r="D6" s="434" t="n"/>
      <c r="E6" s="434" t="n"/>
      <c r="F6" s="434" t="n"/>
      <c r="G6" s="434" t="n"/>
    </row>
    <row r="7">
      <c r="B7" s="429" t="inlineStr">
        <is>
          <t>Each portfolio tab (1.x) shows the squads, sizes, support %, budget draw-downs and what is left to fund.</t>
        </is>
      </c>
      <c r="C7" s="434" t="n"/>
      <c r="D7" s="434" t="n"/>
      <c r="E7" s="434" t="n"/>
      <c r="F7" s="434" t="n"/>
      <c r="G7" s="434" t="n"/>
    </row>
    <row r="8">
      <c r="B8" s="429" t="inlineStr">
        <is>
          <t>Next step: agree funding for what is left to fund, and decide which vacancies to hire or hold.</t>
        </is>
      </c>
      <c r="C8" s="434" t="n"/>
      <c r="D8" s="434" t="n"/>
      <c r="E8" s="434" t="n"/>
      <c r="F8" s="434" t="n"/>
      <c r="G8" s="434" t="n"/>
    </row>
    <row r="9"/>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'2.5 Group Summary'!$C$30</f>
        <v>43.5</v>
      </c>
    </row>
    <row r="21">
      <c r="B21" s="429" t="inlineStr">
        <is>
          <t>Not yet allocated ($m)</t>
        </is>
      </c>
      <c r="C21" s="445">
        <f>'0.2 Data Config'!$E$27-'2.5 Group Summary'!$C$30</f>
        <v>10.300000000000004</v>
      </c>
    </row>
    <row r="22">
      <c r="B22" s="464" t="inlineStr">
        <is>
          <t>What the archetype model costs</t>
        </is>
      </c>
      <c r="C22" s="465" t="n"/>
    </row>
    <row r="23">
      <c r="B23" s="429" t="inlineStr">
        <is>
          <t>TDD Cost - funded by TDD ($m)</t>
        </is>
      </c>
      <c r="C23" s="445">
        <f>'2.5 Group Summary'!$D$24</f>
        <v>62.417348477999994</v>
      </c>
    </row>
    <row r="24">
      <c r="B24" s="429" t="inlineStr">
        <is>
          <t>Funded outside TDD ($m)</t>
        </is>
      </c>
      <c r="C24" s="445">
        <f>'2.5 Group Summary'!$G$24</f>
        <v>30.671999999999997</v>
      </c>
    </row>
    <row r="25">
      <c r="B25" s="429" t="inlineStr">
        <is>
          <t>Less: BP &amp; Domain Architect already funded in portfolio overheads ($m)</t>
        </is>
      </c>
      <c r="C25" s="445">
        <f>'2.6 Total Cost'!$C$23</f>
        <v>-3.4320000000000004</v>
      </c>
    </row>
    <row r="26">
      <c r="B26" s="429" t="inlineStr">
        <is>
          <t>Total archetype model cost ($m)</t>
        </is>
      </c>
      <c r="C26" s="445">
        <f>'2.6 Total Cost'!$C$24</f>
        <v>89.65734847799999</v>
      </c>
    </row>
    <row r="27">
      <c r="B27" s="429" t="inlineStr">
        <is>
          <t>of which TDD pays - after the double-count ($m)</t>
        </is>
      </c>
      <c r="C27" s="445">
        <f>'2.5 Group Summary'!$D$24+'2.6 Total Cost'!$C$23</f>
        <v>58.98534847799999</v>
      </c>
    </row>
    <row r="28">
      <c r="B28" s="429" t="inlineStr">
        <is>
          <t>Left to fund - portfolios + COEs ($m)</t>
        </is>
      </c>
      <c r="C28" s="445">
        <f>'2.5 Group Summary'!$I$24</f>
        <v>21.113296842000004</v>
      </c>
    </row>
    <row r="29">
      <c r="B29" s="464" t="inlineStr">
        <is>
          <t>What the org actually costs today</t>
        </is>
      </c>
      <c r="C29" s="465" t="n"/>
    </row>
    <row r="30">
      <c r="B30" s="429" t="inlineStr">
        <is>
          <t>All roles today - filled + vacant ($m)</t>
        </is>
      </c>
      <c r="C30" s="445">
        <f>'2.6 Total Cost'!$I$24</f>
        <v>118.1987064031</v>
      </c>
    </row>
    <row r="31">
      <c r="B31" s="429" t="inlineStr">
        <is>
          <t>of which filled ($m)</t>
        </is>
      </c>
      <c r="C31" s="445">
        <f>'2.6 Total Cost'!$E$24</f>
        <v>84.8326459781</v>
      </c>
    </row>
    <row r="32">
      <c r="B32" s="429" t="inlineStr">
        <is>
          <t>of which vacant ($m)</t>
        </is>
      </c>
      <c r="C32" s="445">
        <f>'2.6 Total Cost'!$G$24</f>
        <v>33.366060425</v>
      </c>
    </row>
    <row r="33">
      <c r="B33" s="429" t="inlineStr">
        <is>
          <t>Difference vs archetype model ($m)</t>
        </is>
      </c>
      <c r="C33" s="445">
        <f>'2.6 Total Cost'!$K$24</f>
        <v>28.541358</v>
      </c>
    </row>
    <row r="34"/>
    <row r="35">
      <c r="B35" s="443" t="inlineStr">
        <is>
          <t>The people - archetypes vs the org</t>
        </is>
      </c>
      <c r="C35" s="444" t="n"/>
      <c r="D35" s="444" t="n"/>
      <c r="E35" s="444" t="n"/>
      <c r="F35" s="444" t="n"/>
      <c r="G35" s="444" t="n"/>
    </row>
    <row r="36">
      <c r="B36" s="429" t="inlineStr">
        <is>
          <t>Roles the archetypes allow - squads at their set sizes</t>
        </is>
      </c>
      <c r="C36" s="459">
        <f>'2.7 Squad Detail'!$G$4</f>
        <v>328.5</v>
      </c>
    </row>
    <row r="37">
      <c r="B37" s="429" t="inlineStr">
        <is>
          <t>Roles actually raised in those squads - filled + vacant</t>
        </is>
      </c>
      <c r="C37" s="459">
        <f>'2.7 Squad Detail'!$G$95+'2.7 Squad Detail'!$K$95</f>
        <v>328.0</v>
      </c>
    </row>
    <row r="38">
      <c r="B38" s="429" t="inlineStr">
        <is>
          <t>Roles raised beyond the archetypes</t>
        </is>
      </c>
      <c r="C38" s="459">
        <f>'2.7 Squad Detail'!$H$4</f>
        <v>-0.5</v>
      </c>
    </row>
    <row r="39">
      <c r="B39" s="429" t="inlineStr">
        <is>
          <t>Roles in squads priced outside archetypes (AmPOS, EGI, cyber)</t>
        </is>
      </c>
      <c r="C39" s="459">
        <f>'2.7 Squad Detail'!$J$95-'2.7 Squad Detail'!$G$95-'2.7 Squad Detail'!$K$95</f>
        <v>94.0</v>
      </c>
    </row>
    <row r="40">
      <c r="B40" s="429" t="inlineStr">
        <is>
          <t>All org roles (squads + leadership + COEs + unmapped)</t>
        </is>
      </c>
      <c r="C40" s="459">
        <f>'2.7 Squad Detail'!$C$4</f>
        <v>536.0</v>
      </c>
    </row>
    <row r="41">
      <c r="B41" s="429" t="inlineStr">
        <is>
          <t>Filled - people in roles today</t>
        </is>
      </c>
      <c r="C41" s="459">
        <f>'2.7 Squad Detail'!$D$4</f>
        <v>370.0</v>
      </c>
    </row>
    <row r="42">
      <c r="B42" s="429" t="inlineStr">
        <is>
          <t>Vacant - raised, not yet hired</t>
        </is>
      </c>
      <c r="C42" s="459">
        <f>'2.7 Squad Detail'!$E$4</f>
        <v>166.0</v>
      </c>
    </row>
    <row r="43">
      <c r="B43" s="429" t="inlineStr">
        <is>
          <t>of which squad roles - the GM hire or hold lever</t>
        </is>
      </c>
      <c r="C43" s="459">
        <f>COUNTIFS(Squads!$Q:$Q,"Squad",Squads!$R:$R,"Vacant")+COUNTIFS(Squads!$Q:$Q,"Strategic Program",Squads!$R:$R,"Vacant")</f>
        <v>124.0</v>
      </c>
    </row>
    <row r="44">
      <c r="B44" s="429" t="inlineStr">
        <is>
          <t>of which leadership, COE and unmapped roles</t>
        </is>
      </c>
      <c r="C44" s="459">
        <f>'2.7 Squad Detail'!$E$4-COUNTIFS(Squads!$Q:$Q,"Squad",Squads!$R:$R,"Vacant")-COUNTIFS(Squads!$Q:$Q,"Strategic Program",Squads!$R:$R,"Vacant")</f>
        <v>42.0</v>
      </c>
    </row>
    <row r="45">
      <c r="B45" s="429" t="inlineStr">
        <is>
          <t>Vacancy rate</t>
        </is>
      </c>
      <c r="C45" s="460">
        <f>'2.7 Squad Detail'!$F$4</f>
        <v>0.30970149253731344</v>
      </c>
    </row>
    <row r="46">
      <c r="B46" s="429" t="inlineStr">
        <is>
          <t>Vacant = open roles in the raw data. Sheet2 status updates (Paused, ring-fenced) show on 2.1 to 2.3 and 5.0.</t>
        </is>
      </c>
    </row>
    <row r="47"/>
    <row r="48">
      <c r="B48" s="443" t="inlineStr">
        <is>
          <t>What it means</t>
        </is>
      </c>
      <c r="C48" s="444" t="n"/>
      <c r="D48" s="444" t="n"/>
      <c r="E48" s="444" t="n"/>
      <c r="F48" s="444" t="n"/>
      <c r="G48" s="444" t="n"/>
    </row>
    <row r="49">
      <c r="B49" s="429" t="inlineStr">
        <is>
          <t>Today's filled roles cost ($m)</t>
        </is>
      </c>
      <c r="C49" s="445">
        <f>'2.6 Total Cost'!$E$24</f>
        <v>84.8326459781</v>
      </c>
    </row>
    <row r="50">
      <c r="B50" s="429" t="inlineStr">
        <is>
          <t>Filled roles over/(under) the archetype cost ($m)</t>
        </is>
      </c>
      <c r="C50" s="445">
        <f>ROUND('2.6 Total Cost'!$E$24-'2.6 Total Cost'!$C$24,6)</f>
        <v>-4.824702</v>
      </c>
    </row>
    <row r="51">
      <c r="B51" s="429" t="inlineStr">
        <is>
          <t>Hiring every vacancy would add ($m)</t>
        </is>
      </c>
      <c r="C51" s="445">
        <f>'2.6 Total Cost'!$G$24</f>
        <v>33.366060425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'2.6 Total Cost'!$K$24</f>
        <v>28.541358</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'2.6 Total Cost'!$I$22</f>
        <v>9.162708308000001</v>
      </c>
    </row>
    <row r="58">
      <c r="B58" s="429" t="inlineStr">
        <is>
          <t>TDD Cyber - needs more than its budget, see 1.11 ($m)</t>
        </is>
      </c>
      <c r="C58" s="445">
        <f>'2.3 Cyber Roles'!$C$15</f>
        <v>8.330489044</v>
      </c>
    </row>
    <row r="59">
      <c r="B59" s="429" t="inlineStr">
        <is>
          <t>COEs - left to fund after budgets, see 2.4 ($m)</t>
        </is>
      </c>
      <c r="C59" s="445">
        <f>'2.4 COE Summary'!$F$13</f>
        <v>2.121296842</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INDEX('2.5 Group Summary'!$C$6:$C$16,MATCH($C$63,'2.5 Group Summary'!$B$6:$B$16,0))</f>
        <v>2.5</v>
      </c>
    </row>
    <row r="65">
      <c r="B65" s="429" t="inlineStr">
        <is>
          <t>TDD Cost ($m)</t>
        </is>
      </c>
      <c r="C65" s="445">
        <f>INDEX('2.5 Group Summary'!$D$6:$D$16,MATCH($C$63,'2.5 Group Summary'!$B$6:$B$16,0))</f>
        <v>5.6265</v>
      </c>
    </row>
    <row r="66">
      <c r="B66" s="429" t="inlineStr">
        <is>
          <t>TDD Variance - to fund ($m)</t>
        </is>
      </c>
      <c r="C66" s="445">
        <f>MAX(0,-INDEX('2.5 Group Summary'!$E$6:$E$16,MATCH($C$63,'2.5 Group Summary'!$B$6:$B$16,0)))</f>
        <v>3.1265</v>
      </c>
    </row>
    <row r="67">
      <c r="B67" s="429" t="inlineStr">
        <is>
          <t>Funded outside TDD ($m)</t>
        </is>
      </c>
      <c r="C67" s="445">
        <f>INDEX('2.5 Group Summary'!$G$6:$G$16,MATCH($C$63,'2.5 Group Summary'!$B$6:$B$16,0))</f>
        <v>4.728</v>
      </c>
    </row>
    <row r="68">
      <c r="B68" s="429" t="inlineStr">
        <is>
          <t>Allocated outside TDD ($m)</t>
        </is>
      </c>
      <c r="C68" s="445">
        <f>INDEX('2.5 Group Summary'!$H$6:$H$16,MATCH($C$63,'2.5 Group Summary'!$B$6:$B$16,0))</f>
        <v>0.0</v>
      </c>
    </row>
    <row r="69">
      <c r="B69" s="429" t="inlineStr">
        <is>
          <t>Left to fund ($m)</t>
        </is>
      </c>
      <c r="C69" s="445">
        <f>INDEX('2.5 Group Summary'!$I$6:$I$16,MATCH($C$63,'2.5 Group Summary'!$B$6:$B$16,0))</f>
        <v>4.728</v>
      </c>
    </row>
    <row r="70">
      <c r="B70" s="429" t="inlineStr">
        <is>
          <t>Total cost ($m)</t>
        </is>
      </c>
      <c r="C70" s="445" t="str">
        <f>INDEX('2.5 Group Summary'!$K$6:$J$16,MATCH($C$63,'2.5 Group Summary'!$B$6:$B$16,0))</f>
        <v>#REF!</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2.7 Squad Detail.</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2"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3"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4" t="inlineStr">
        <is>
          <t>STREAM 1, THE DESIGN: 0.1 Budget Table (the money Finance gave) feeds 0.2 Data Config (how it is allocated per portfolio, AU and NZ, plus overhead rates and the four $2m COE allocations). 0.3 Squad Archetypes prices the contract (type x size). Each GM's design sits on 1.1 to 1.11, priced from 0.3 and funded per 0.2.</t>
        </is>
      </c>
      <c r="C5" s="665" t="n"/>
      <c r="D5" s="665" t="n"/>
      <c r="E5" s="665" t="n"/>
      <c r="F5" s="665" t="n"/>
    </row>
    <row r="6" ht="30" customHeight="1" s="506">
      <c r="A6" s="665" t="n"/>
      <c r="B6" s="744" t="inlineStr">
        <is>
          <t>STREAM 2, THE ORG: the Squads tab holds every role actually raised (536, filled and vacant) and its model mapping. Sheet2 holds the updated rosters for BP&amp;T, SA&amp;D, Cyber and EGI. Added data holds what each person actually costs.</t>
        </is>
      </c>
      <c r="C6" s="665" t="n"/>
      <c r="D6" s="665" t="n"/>
      <c r="E6" s="665" t="n"/>
      <c r="F6" s="665" t="n"/>
    </row>
    <row r="7" ht="45" customHeight="1" s="506">
      <c r="A7" s="665" t="n"/>
      <c r="B7" s="744" t="inlineStr">
        <is>
          <t>THE ROLL-UP: the COE rosters (2.1 BP&amp;T, 2.2 SA&amp;D, 2.3 Cyber Roles) and their funding roll into 2.4 COE Summary. 2.5 Group Summary answers: can the budgets fund the design (with AU and NZ variance). 2.6 Total Cost is the test: the design vs what the org actually costs. 2.7 Squad Detail is the same test squad by squad.</t>
        </is>
      </c>
      <c r="C7" s="665" t="n"/>
      <c r="D7" s="665" t="n"/>
      <c r="E7" s="665" t="n"/>
      <c r="F7" s="665" t="n"/>
    </row>
    <row r="8" ht="30" customHeight="1" s="506">
      <c r="A8" s="665" t="n"/>
      <c r="B8" s="744" t="inlineStr">
        <is>
          <t>THE DECISIONS: tabs 4.1 to 4.14 - every role in the organisation appears on exactly one of them. GMs mark Hire or Hold on every vacancy. The Exec Summary tells the result. 5.0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4" t="inlineStr">
        <is>
          <t>0.2 Data Config: budgets, rates, allocations. | 0.3 Squad Archetypes: prices and the offshore rate. | 1.x: squad type, size, On/Off, support %, Fund (AU or NZ). | 4.x: the Hire or Hold Call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4" t="inlineStr">
        <is>
          <t>A squad's type, size, On/Off, support % or Fund toggle on 1.x updates 2.5, 2.6, 2.7 and the Exec Summary.</t>
        </is>
      </c>
      <c r="C12" s="665" t="n"/>
      <c r="D12" s="665" t="n"/>
      <c r="E12" s="665" t="n"/>
      <c r="F12" s="665" t="n"/>
    </row>
    <row r="13" ht="15" customHeight="1" s="506">
      <c r="A13" s="665" t="n"/>
      <c r="B13" s="744" t="inlineStr">
        <is>
          <t>A status or mapping in the Squads tab updates every role count: 2.6, 2.7 and the 4.x tabs.</t>
        </is>
      </c>
      <c r="C13" s="665" t="n"/>
      <c r="D13" s="665" t="n"/>
      <c r="E13" s="665" t="n"/>
      <c r="F13" s="665" t="n"/>
    </row>
    <row r="14" ht="30" customHeight="1" s="506">
      <c r="A14" s="665" t="n"/>
      <c r="B14" s="744" t="inlineStr">
        <is>
          <t>A person or cost in Sheet2 updates 2.1, 2.2, 2.3, the EGI roster, 2.4, the COE lines of 2.5 and 2.6, and tabs 4.12 to 4.14.</t>
        </is>
      </c>
      <c r="C14" s="665" t="n"/>
      <c r="D14" s="665" t="n"/>
      <c r="E14" s="665" t="n"/>
      <c r="F14" s="665" t="n"/>
    </row>
    <row r="15" ht="30" customHeight="1" s="506">
      <c r="A15" s="665" t="n"/>
      <c r="B15" s="744" t="inlineStr">
        <is>
          <t>A budget on 0.2 updates the budget and variance columns of 2.5, the draw-downs on 2.1 / 2.2 / 2.4, and left to fund everywhere.</t>
        </is>
      </c>
      <c r="C15" s="665" t="n"/>
      <c r="D15" s="665" t="n"/>
      <c r="E15" s="665" t="n"/>
      <c r="F15" s="665" t="n"/>
    </row>
    <row r="16" ht="30" customHeight="1" s="506">
      <c r="A16" s="665" t="n"/>
      <c r="B16" s="744" t="inlineStr">
        <is>
          <t>A Hire or Hold call on 4.x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4" t="inlineStr">
        <is>
          <t>SAFE: any number (cost, base, rate), any status, any person's details. All model cells are live references.</t>
        </is>
      </c>
      <c r="C18" s="665" t="n"/>
      <c r="D18" s="665" t="n"/>
      <c r="E18" s="665" t="n"/>
      <c r="F18" s="665" t="n"/>
    </row>
    <row r="19" ht="30" customHeight="1" s="506">
      <c r="A19" s="665" t="n"/>
      <c r="B19" s="744"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4" t="inlineStr">
        <is>
          <t>NOT SAFE ALONE: renaming a squad or portfolio (counts match the name as text), deleting rows (references break loudly and 5.0 stops footing - change the status instead), or adding rows at the bottom (rosters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4" t="inlineStr">
        <is>
          <t>Every row labelled Check must read 0. All reconciliations, the Sheet2 update log, the mapping change log and the raw data audit live on 5.0 Data QA. Every role has exactly one 4.x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'2.4 COE Summary'!$D$8</f>
        <v>4.320560996</v>
      </c>
      <c r="G6" s="7">
        <f>SUM(E6-F6)</f>
        <v>-2.320560996</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'2.4 COE Summary'!$D$9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'2.4 COE Summary'!$D$10</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'2.4 COE Summary'!$D$11</f>
        <v>3.2925625919999995</v>
      </c>
      <c r="G9" s="7">
        <f>SUM(E9-F9)</f>
        <v>-1.2925625919999995</v>
      </c>
      <c r="I9" s="8" t="inlineStr">
        <is>
          <t>Leadership Overhead</t>
        </is>
      </c>
      <c r="J9" s="9" t="n">
        <v>1</v>
      </c>
      <c r="K9" s="10" t="n">
        <v>0.3</v>
      </c>
      <c r="L9" s="9">
        <f>J9*K9</f>
        <v>0.3</v>
      </c>
    </row>
    <row r="10">
      <c r="B10" s="6" t="inlineStr">
        <is>
          <t>COE - Data</t>
        </is>
      </c>
      <c r="C10" s="7" t="n">
        <v>1.5</v>
      </c>
      <c r="D10" s="7" t="n">
        <v>0.5</v>
      </c>
      <c r="E10" s="7">
        <f>C10+D10</f>
        <v>2.0</v>
      </c>
      <c r="F10" s="7">
        <f>'2.4 COE Summary'!$D$12</f>
        <v>2.232736616</v>
      </c>
      <c r="G10" s="7">
        <f>SUM(E10-F10)</f>
        <v>-0.23273661599999995</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03" t="n">
        <v>2.5</v>
      </c>
      <c r="D23" s="303" t="n">
        <v>1</v>
      </c>
      <c r="E23" s="12">
        <f>C23+D23</f>
        <v>3.5</v>
      </c>
      <c r="F23" s="7">
        <f>'1.11 TDD Cyber'!$C$9</f>
        <v>11.830489044</v>
      </c>
      <c r="G23" s="7">
        <f>SUM(E23-F23)</f>
        <v>-8.330489044</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62.417348478</v>
      </c>
      <c r="G26" s="7">
        <f>SUM(G6:G25)</f>
        <v>-18.917348478</v>
      </c>
    </row>
    <row r="27">
      <c r="B27" t="inlineStr">
        <is>
          <t>Budget</t>
        </is>
      </c>
      <c r="C27" s="467">
        <f>'0.1 Budget Table (Fin)'!G5 +1</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5"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L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480" t="inlineStr">
        <is>
          <t>TDD ($m)</t>
        </is>
      </c>
      <c r="D5" s="480" t="inlineStr">
        <is>
          <t>Other ($m)</t>
        </is>
      </c>
      <c r="E5" s="480" t="inlineStr">
        <is>
          <t>Total Retail Cost ($m)</t>
        </is>
      </c>
      <c r="F5" s="102" t="n"/>
      <c r="G5" s="201" t="inlineStr">
        <is>
          <t>TDD Lights On Budget (people - 0.2 Data Config)</t>
        </is>
      </c>
      <c r="H5" s="202">
        <f>'0.2 Data Config'!$E$11</f>
        <v>2.5</v>
      </c>
      <c r="I5" s="102" t="n"/>
      <c r="J5" s="102" t="n"/>
    </row>
    <row r="6">
      <c r="B6" s="8" t="inlineStr">
        <is>
          <t>Portfolio Overhead (see 0.2 Data Config)</t>
        </is>
      </c>
      <c r="C6" s="202">
        <f>'0.2 Data Config'!$L$10</f>
        <v>0.7495</v>
      </c>
      <c r="D6" s="201" t="n"/>
      <c r="E6" s="9">
        <f>C6</f>
        <v>0.7495</v>
      </c>
      <c r="F6" s="102" t="n"/>
      <c r="G6" s="201" t="inlineStr">
        <is>
          <t>Overheads &amp; Support (this model)</t>
        </is>
      </c>
      <c r="H6" s="9">
        <f>C9</f>
        <v>5.6265</v>
      </c>
      <c r="I6" s="102" t="n"/>
      <c r="J6" s="102" t="n"/>
    </row>
    <row r="7">
      <c r="B7" s="8" t="inlineStr">
        <is>
          <t>Platform Overheads</t>
        </is>
      </c>
      <c r="C7" s="9">
        <f>SUM(H27,H34,H47,H53,H59)</f>
        <v>0.8250000000000001</v>
      </c>
      <c r="D7" s="201" t="n"/>
      <c r="E7" s="9">
        <f>C7</f>
        <v>0.8250000000000001</v>
      </c>
      <c r="F7" s="102" t="n"/>
      <c r="G7" s="203" t="inlineStr">
        <is>
          <t>Variance (budget less cost)</t>
        </is>
      </c>
      <c r="H7" s="204">
        <f>H5-H6</f>
        <v>-3.1265</v>
      </c>
      <c r="I7" s="102" t="n"/>
      <c r="J7" s="102" t="n"/>
    </row>
    <row r="8">
      <c r="B8" s="8" t="inlineStr">
        <is>
          <t>Squad Support Costs</t>
        </is>
      </c>
      <c r="C8" s="9">
        <f>SUM(H23,H24,H25,H26,H32,H33,H46,H52,H58,H64)</f>
        <v>4.052</v>
      </c>
      <c r="D8" s="9">
        <f>SUM(I23,I24,I25,I26,I32,I33,I46,I52,I58,I64)</f>
        <v>4.728</v>
      </c>
      <c r="E8" s="9">
        <f>C8+D8</f>
        <v>8.78</v>
      </c>
      <c r="F8" s="102" t="n"/>
      <c r="G8" s="102" t="n"/>
      <c r="H8" s="102" t="n"/>
      <c r="I8" s="102" t="n"/>
      <c r="J8" s="102" t="n"/>
    </row>
    <row r="9">
      <c r="B9" s="203" t="inlineStr">
        <is>
          <t>Total Cost</t>
        </is>
      </c>
      <c r="C9" s="204">
        <f>SUM(C6:C8)</f>
        <v>5.6265</v>
      </c>
      <c r="D9" s="204">
        <f>SUM(D6:D8)</f>
        <v>4.728</v>
      </c>
      <c r="E9" s="204">
        <f>C9+D9</f>
        <v>10.3545</v>
      </c>
      <c r="F9" s="102" t="n"/>
      <c r="G9" s="102" t="n"/>
      <c r="H9" s="102" t="n"/>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'0.1 Budget Table (Fin)'!Q9</f>
        <v>33.8</v>
      </c>
      <c r="F12" s="102" t="n"/>
      <c r="G12" s="8" t="inlineStr">
        <is>
          <t>Retail Lights On</t>
        </is>
      </c>
      <c r="H12" s="202">
        <f>'0.1 Budget Table (Fin)'!L9</f>
        <v>13.899999999999999</v>
      </c>
      <c r="I12" s="481">
        <f>'0.1 Budget Table (Fin)'!G9</f>
        <v>0.0</v>
      </c>
      <c r="J12" s="9">
        <f>IFERROR(H12-I12,0)</f>
        <v>13.899999999999999</v>
      </c>
    </row>
    <row r="13">
      <c r="B13" s="102" t="n"/>
      <c r="C13" s="102" t="n"/>
      <c r="D13" s="102" t="n"/>
      <c r="E13" s="102" t="n"/>
      <c r="F13" s="102" t="n"/>
      <c r="G13" s="8" t="inlineStr">
        <is>
          <t>OpEx Initiatives</t>
        </is>
      </c>
      <c r="H13" s="202">
        <f>'0.1 Budget Table (Fin)'!N9</f>
        <v>1.3</v>
      </c>
      <c r="I13" s="208" t="n">
        <v>0</v>
      </c>
      <c r="J13" s="9">
        <f>IFERROR(H13-I13,0)</f>
        <v>1.3</v>
      </c>
    </row>
    <row r="14">
      <c r="B14" s="427" t="inlineStr">
        <is>
          <t>Total to fund</t>
        </is>
      </c>
      <c r="C14" s="428" t="n"/>
      <c r="D14" s="102" t="n"/>
      <c r="E14" s="102" t="n"/>
      <c r="F14" s="102" t="n"/>
      <c r="G14" s="8" t="inlineStr">
        <is>
          <t>Retail CapEx</t>
        </is>
      </c>
      <c r="H14" s="202">
        <f>'0.1 Budget Table (Fin)'!P9</f>
        <v>11.8</v>
      </c>
      <c r="I14" s="208" t="n"/>
      <c r="J14" s="9">
        <f>IFERROR(H14-I14,0)</f>
        <v>11.8</v>
      </c>
    </row>
    <row r="15">
      <c r="B15" s="429" t="inlineStr">
        <is>
          <t>TDD Variance</t>
        </is>
      </c>
      <c r="C15" s="430">
        <f>MAX(0,-H7)</f>
        <v>3.1265</v>
      </c>
      <c r="D15" s="102" t="n"/>
      <c r="E15" s="102" t="n"/>
      <c r="F15" s="102" t="n"/>
      <c r="G15" s="8" t="inlineStr">
        <is>
          <t>Significant Items</t>
        </is>
      </c>
      <c r="H15" s="202">
        <f>'0.1 Budget Table (Fin)'!O9</f>
        <v>6.8</v>
      </c>
      <c r="I15" s="208">
        <f>I46</f>
        <v>0.0</v>
      </c>
      <c r="J15" s="9">
        <f>IFERROR(H15-I15,0)</f>
        <v>6.8</v>
      </c>
    </row>
    <row r="16">
      <c r="B16" s="429" t="inlineStr">
        <is>
          <t>Other Variance</t>
        </is>
      </c>
      <c r="C16" s="430">
        <f>MAX(0,I19)</f>
        <v>4.728</v>
      </c>
      <c r="D16" s="102" t="n"/>
      <c r="E16" s="102" t="n"/>
      <c r="F16" s="102" t="n"/>
      <c r="G16" s="8" t="inlineStr">
        <is>
          <t>Significant Items EGI</t>
        </is>
      </c>
      <c r="H16" s="202" t="n"/>
      <c r="I16" s="208">
        <f>I64</f>
        <v>0.0</v>
      </c>
      <c r="J16" s="9" t="n"/>
    </row>
    <row r="17">
      <c r="B17" s="431" t="inlineStr">
        <is>
          <t>Total</t>
        </is>
      </c>
      <c r="C17" s="432">
        <f>C15+C16</f>
        <v>7.8545</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4.728</v>
      </c>
      <c r="J18" s="9" t="n"/>
    </row>
    <row r="19">
      <c r="B19" s="209" t="n"/>
      <c r="C19" s="210" t="n"/>
      <c r="D19" s="102" t="n"/>
      <c r="E19" s="102" t="n"/>
      <c r="F19" s="102" t="n"/>
      <c r="G19" s="8" t="inlineStr">
        <is>
          <t>Left to fund</t>
        </is>
      </c>
      <c r="H19" s="202" t="n"/>
      <c r="I19" s="208">
        <f>I18-I17</f>
        <v>4.728</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c r="K22" s="696" t="inlineStr">
        <is>
          <t>Fund</t>
        </is>
      </c>
    </row>
    <row r="23">
      <c r="B23" s="8" t="inlineStr">
        <is>
          <t>POS</t>
        </is>
      </c>
      <c r="C23" s="213" t="inlineStr">
        <is>
          <t>Configuration / Integration</t>
        </is>
      </c>
      <c r="D23" s="213" t="inlineStr">
        <is>
          <t>M</t>
        </is>
      </c>
      <c r="E23" s="213" t="inlineStr">
        <is>
          <t>Onshore</t>
        </is>
      </c>
      <c r="F23" s="214" t="n">
        <v>0.7</v>
      </c>
      <c r="G23" s="202">
        <f>IFERROR(IF($E23="Onshore",INDEX('0.3 Squad Archetypes'!$G$5:$G$23,MATCH($C23&amp;"|"&amp;$D23,'0.3 Squad Archetypes'!$A$5:$A$23,0)),INDEX('0.3 Squad Archetypes'!$H$5:$H$23,MATCH($C23&amp;"|"&amp;$D23,'0.3 Squad Archetypes'!$A$5:$A$23,0))),"check size")</f>
        <v>1.4</v>
      </c>
      <c r="H23" s="9">
        <f>IFERROR($G23*$F23,"")</f>
        <v>0.9799999999999999</v>
      </c>
      <c r="I23" s="9">
        <f>IFERROR($G23*(1-$F23),"")</f>
        <v>0.42000000000000004</v>
      </c>
      <c r="J23" s="102" t="n"/>
      <c r="K23" s="693" t="inlineStr">
        <is>
          <t>AU</t>
        </is>
      </c>
    </row>
    <row r="24">
      <c r="B24" s="8" t="inlineStr">
        <is>
          <t>Payments</t>
        </is>
      </c>
      <c r="C24" s="213" t="inlineStr">
        <is>
          <t>Configuration / Integration</t>
        </is>
      </c>
      <c r="D24" s="213" t="inlineStr">
        <is>
          <t>S</t>
        </is>
      </c>
      <c r="E24" s="213" t="inlineStr">
        <is>
          <t>Onshore</t>
        </is>
      </c>
      <c r="F24" s="214" t="n">
        <v>0.2</v>
      </c>
      <c r="G24" s="202">
        <f>IFERROR(IF($E24="Onshore",INDEX('0.3 Squad Archetypes'!$G$5:$G$23,MATCH($C24&amp;"|"&amp;$D24,'0.3 Squad Archetypes'!$A$5:$A$23,0)),INDEX('0.3 Squad Archetypes'!$H$5:$H$23,MATCH($C24&amp;"|"&amp;$D24,'0.3 Squad Archetypes'!$A$5:$A$23,0))),"check size")</f>
        <v>0.4</v>
      </c>
      <c r="H24" s="9">
        <f>IFERROR($G24*$F24,"")</f>
        <v>0.08000000000000002</v>
      </c>
      <c r="I24" s="9">
        <f>IFERROR($G24*(1-$F24),"")</f>
        <v>0.32000000000000006</v>
      </c>
      <c r="J24" s="102" t="n"/>
      <c r="K24" s="693" t="inlineStr">
        <is>
          <t>AU</t>
        </is>
      </c>
    </row>
    <row r="25">
      <c r="B25" s="8" t="inlineStr">
        <is>
          <t>Store Operations</t>
        </is>
      </c>
      <c r="C25" s="213" t="inlineStr">
        <is>
          <t>Operations</t>
        </is>
      </c>
      <c r="D25" s="213" t="inlineStr">
        <is>
          <t>M</t>
        </is>
      </c>
      <c r="E25" s="213" t="inlineStr">
        <is>
          <t>Onshore</t>
        </is>
      </c>
      <c r="F25" s="214" t="n">
        <v>1</v>
      </c>
      <c r="G25" s="202">
        <f>IFERROR(IF($E25="Onshore",INDEX('0.3 Squad Archetypes'!$G$5:$G$23,MATCH($C25&amp;"|"&amp;$D25,'0.3 Squad Archetypes'!$A$5:$A$23,0)),INDEX('0.3 Squad Archetypes'!$H$5:$H$23,MATCH($C25&amp;"|"&amp;$D25,'0.3 Squad Archetypes'!$A$5:$A$23,0))),"check size")</f>
        <v>1.4</v>
      </c>
      <c r="H25" s="9">
        <f>IFERROR($G25*$F25,"")</f>
        <v>1.4</v>
      </c>
      <c r="I25" s="9">
        <f>IFERROR($G25*(1-$F25),"")</f>
        <v>0.0</v>
      </c>
      <c r="J25" s="102" t="n"/>
      <c r="K25" s="693" t="inlineStr">
        <is>
          <t>AU</t>
        </is>
      </c>
    </row>
    <row r="26">
      <c r="B26" s="8" t="inlineStr">
        <is>
          <t>Deployment</t>
        </is>
      </c>
      <c r="C26" s="213" t="inlineStr">
        <is>
          <t>Configuration / Integration</t>
        </is>
      </c>
      <c r="D26" s="213" t="inlineStr">
        <is>
          <t>M</t>
        </is>
      </c>
      <c r="E26" s="213" t="inlineStr">
        <is>
          <t>Onshore</t>
        </is>
      </c>
      <c r="F26" s="214" t="n">
        <v>0.2</v>
      </c>
      <c r="G26" s="202">
        <f>IFERROR(IF($E26="Onshore",INDEX('0.3 Squad Archetypes'!$G$5:$G$23,MATCH($C26&amp;"|"&amp;$D26,'0.3 Squad Archetypes'!$A$5:$A$23,0)),INDEX('0.3 Squad Archetypes'!$H$5:$H$23,MATCH($C26&amp;"|"&amp;$D26,'0.3 Squad Archetypes'!$A$5:$A$23,0))),"check size")</f>
        <v>1.4</v>
      </c>
      <c r="H26" s="9">
        <f>IFERROR($G26*$F26,"")</f>
        <v>0.27999999999999997</v>
      </c>
      <c r="I26" s="9">
        <f>IFERROR($G26*(1-$F26),"")</f>
        <v>1.1199999999999999</v>
      </c>
      <c r="J26" s="102" t="n"/>
      <c r="K26" s="693" t="inlineStr">
        <is>
          <t>AU</t>
        </is>
      </c>
    </row>
    <row r="27">
      <c r="B27" s="470" t="inlineStr">
        <is>
          <t>Platform Overhead</t>
        </is>
      </c>
      <c r="C27" s="212" t="n"/>
      <c r="D27" s="201" t="n"/>
      <c r="E27" s="201" t="n"/>
      <c r="F27" s="201" t="n"/>
      <c r="G27" s="201" t="n"/>
      <c r="H27" s="202">
        <f>'0.2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c r="K31" s="696" t="inlineStr">
        <is>
          <t>Fund</t>
        </is>
      </c>
    </row>
    <row r="32">
      <c r="B32" s="8" t="inlineStr">
        <is>
          <t>Above Store</t>
        </is>
      </c>
      <c r="C32" s="213" t="inlineStr">
        <is>
          <t>Configuration / Integration</t>
        </is>
      </c>
      <c r="D32" s="213" t="inlineStr">
        <is>
          <t>L</t>
        </is>
      </c>
      <c r="E32" s="213" t="inlineStr">
        <is>
          <t>Onshore</t>
        </is>
      </c>
      <c r="F32" s="214" t="n">
        <v>0.2</v>
      </c>
      <c r="G32" s="202">
        <f>IFERROR(IF($E32="Onshore",INDEX('0.3 Squad Archetypes'!$G$5:$G$23,MATCH($C32&amp;"|"&amp;$D32,'0.3 Squad Archetypes'!$A$5:$A$23,0)),INDEX('0.3 Squad Archetypes'!$H$5:$H$23,MATCH($C32&amp;"|"&amp;$D32,'0.3 Squad Archetypes'!$A$5:$A$23,0))),"check size")</f>
        <v>2.1</v>
      </c>
      <c r="H32" s="9">
        <f>IFERROR($G32*$F32,"")</f>
        <v>0.42000000000000004</v>
      </c>
      <c r="I32" s="9">
        <f>IFERROR($G32*(1-$F32),"")</f>
        <v>1.6800000000000002</v>
      </c>
      <c r="J32" s="102" t="n"/>
      <c r="K32" s="693" t="inlineStr">
        <is>
          <t>AU</t>
        </is>
      </c>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'0.2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c r="K45" s="696" t="inlineStr">
        <is>
          <t>Fund</t>
        </is>
      </c>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K46" s="693" t="inlineStr">
        <is>
          <t>AU</t>
        </is>
      </c>
      <c r="L46" t="inlineStr">
        <is>
          <t>7 FTE in AmPOS</t>
        </is>
      </c>
    </row>
    <row r="47">
      <c r="B47" s="470" t="inlineStr">
        <is>
          <t>Platform Overhead</t>
        </is>
      </c>
      <c r="C47" s="201" t="n"/>
      <c r="D47" s="201" t="n"/>
      <c r="E47" s="201" t="n"/>
      <c r="F47" s="201" t="n"/>
      <c r="G47" s="201" t="n"/>
      <c r="H47" s="202">
        <f>'0.2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c r="K51" s="696" t="inlineStr">
        <is>
          <t>Fund</t>
        </is>
      </c>
    </row>
    <row r="52">
      <c r="B52" s="8" t="inlineStr">
        <is>
          <t>Network / QSR</t>
        </is>
      </c>
      <c r="C52" s="213" t="inlineStr">
        <is>
          <t>Configuration / Integration</t>
        </is>
      </c>
      <c r="D52" s="213" t="inlineStr">
        <is>
          <t>M</t>
        </is>
      </c>
      <c r="E52" s="213" t="inlineStr">
        <is>
          <t>Onshore</t>
        </is>
      </c>
      <c r="F52" s="214" t="n">
        <v>0.2</v>
      </c>
      <c r="G52" s="202">
        <f>IFERROR(IF($E52="Onshore",INDEX('0.3 Squad Archetypes'!$G$5:$G$23,MATCH($C52&amp;"|"&amp;$D52,'0.3 Squad Archetypes'!$A$5:$A$23,0)),INDEX('0.3 Squad Archetypes'!$H$5:$H$23,MATCH($C52&amp;"|"&amp;$D52,'0.3 Squad Archetypes'!$A$5:$A$23,0))),"check size")</f>
        <v>1.4</v>
      </c>
      <c r="H52" s="9">
        <f>IFERROR($G52*$F52,"")</f>
        <v>0.27999999999999997</v>
      </c>
      <c r="I52" s="9">
        <f>IFERROR($G52*(1-$F52),"")</f>
        <v>1.1199999999999999</v>
      </c>
      <c r="J52" s="102" t="n"/>
      <c r="K52" s="693" t="inlineStr">
        <is>
          <t>AU</t>
        </is>
      </c>
    </row>
    <row r="53">
      <c r="B53" s="470" t="inlineStr">
        <is>
          <t>Platform Overhead</t>
        </is>
      </c>
      <c r="C53" s="201" t="n"/>
      <c r="D53" s="201" t="n"/>
      <c r="E53" s="201" t="n"/>
      <c r="F53" s="201" t="n"/>
      <c r="G53" s="201" t="n"/>
      <c r="H53" s="202">
        <f>'0.2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c r="K57" s="696" t="inlineStr">
        <is>
          <t>Fund</t>
        </is>
      </c>
    </row>
    <row r="58">
      <c r="B58" s="8" t="inlineStr">
        <is>
          <t>Data AU</t>
        </is>
      </c>
      <c r="C58" s="213" t="inlineStr">
        <is>
          <t>Enterprise Data and Insights</t>
        </is>
      </c>
      <c r="D58" s="213" t="inlineStr">
        <is>
          <t>M</t>
        </is>
      </c>
      <c r="E58" s="213" t="inlineStr">
        <is>
          <t>Offshore</t>
        </is>
      </c>
      <c r="F58" s="214" t="n">
        <v>0.9</v>
      </c>
      <c r="G58" s="202">
        <f>IFERROR(IF($E58="Onshore",INDEX('0.3 Squad Archetypes'!$G$5:$G$23,MATCH($C58&amp;"|"&amp;$D58,'0.3 Squad Archetypes'!$A$5:$A$23,0)),INDEX('0.3 Squad Archetypes'!$H$5:$H$23,MATCH($C58&amp;"|"&amp;$D58,'0.3 Squad Archetypes'!$A$5:$A$23,0))),"check size")</f>
        <v>0.68</v>
      </c>
      <c r="H58" s="9">
        <f>IFERROR($G58*$F58,"")</f>
        <v>0.6120000000000001</v>
      </c>
      <c r="I58" s="9">
        <f>IFERROR($G58*(1-$F58),"")</f>
        <v>0.06799999999999999</v>
      </c>
      <c r="J58" t="inlineStr">
        <is>
          <t>Subject to support Ampos</t>
        </is>
      </c>
      <c r="K58" s="693" t="inlineStr">
        <is>
          <t>AU</t>
        </is>
      </c>
    </row>
    <row r="59">
      <c r="B59" s="470" t="inlineStr">
        <is>
          <t>Platform Overhead</t>
        </is>
      </c>
      <c r="C59" s="201" t="n"/>
      <c r="D59" s="201" t="n"/>
      <c r="E59" s="201" t="n"/>
      <c r="F59" s="201" t="n"/>
      <c r="G59" s="201" t="n"/>
      <c r="H59" s="202">
        <f>'0.2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c r="K63" s="696" t="inlineStr">
        <is>
          <t>Fund</t>
        </is>
      </c>
    </row>
    <row r="64">
      <c r="B64" s="8" t="inlineStr">
        <is>
          <t>EGI Retail</t>
        </is>
      </c>
      <c r="C64" s="213" t="inlineStr">
        <is>
          <t>Strategic Programs</t>
        </is>
      </c>
      <c r="D64" s="213" t="n"/>
      <c r="E64" s="213" t="inlineStr">
        <is>
          <t>Onshore</t>
        </is>
      </c>
      <c r="F64" s="214" t="n">
        <v>0</v>
      </c>
      <c r="G64" s="250" t="n">
        <v>0</v>
      </c>
      <c r="H64" s="9">
        <f>IFERROR($G64*$F64,"")</f>
        <v>0.0</v>
      </c>
      <c r="I64" s="9">
        <f>IFERROR($G64*(1-$F64),"")</f>
        <v>0.0</v>
      </c>
      <c r="K64" s="693" t="inlineStr">
        <is>
          <t>AU</t>
        </is>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row r="67"/>
    <row r="68">
      <c r="B68" s="686" t="inlineStr">
        <is>
          <t>TDD squad cost - AU funded (Fund toggles) ($m)</t>
        </is>
      </c>
      <c r="C68" s="669">
        <f>SUMIF(K23:K26,"AU",H23:H26)+SUMIF(K32:K32,"AU",H32:H32)+SUMIF(K46:K46,"AU",H46:H46)+SUMIF(K52:K52,"AU",H52:H52)+SUMIF(K58:K58,"AU",H58:H58)+SUMIF(K64:K64,"AU",H64:H64)</f>
        <v>4.052</v>
      </c>
    </row>
    <row r="69">
      <c r="B69" s="686" t="inlineStr">
        <is>
          <t>TDD squad cost - NZ funded (Fund toggles) ($m)</t>
        </is>
      </c>
      <c r="C69" s="669">
        <f>SUMIF(K23:K26,"NZ",H23:H26)+SUMIF(K32:K32,"NZ",H32:H32)+SUMIF(K46:K46,"NZ",H46:H46)+SUMIF(K52:K52,"NZ",H52:H52)+SUMIF(K58:K58,"NZ",H58:H58)+SUMIF(K64:K64,"NZ",H64:H64)</f>
        <v>0.0</v>
      </c>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 sqref="K23 K24 K25 K26 K32 K46 K52 K58 K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M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Customer Cost ($m)</t>
        </is>
      </c>
      <c r="G5" s="201" t="inlineStr">
        <is>
          <t>TDD Lights On Budget (people - 0.2 Data Config)</t>
        </is>
      </c>
      <c r="H5" s="202">
        <f>'0.2 Data Config'!$E$13+'0.2 Data Config'!$E$14</f>
        <v>6.5</v>
      </c>
    </row>
    <row r="6">
      <c r="B6" s="8" t="inlineStr">
        <is>
          <t>Portfolio Overhead (see 0.2 Data Config)</t>
        </is>
      </c>
      <c r="C6" s="202">
        <f>'0.2 Data Config'!$L$10</f>
        <v>0.7495</v>
      </c>
      <c r="E6" s="9">
        <f>C6</f>
        <v>0.7495</v>
      </c>
      <c r="G6" s="201" t="inlineStr">
        <is>
          <t>Overheads &amp; Support (this model)</t>
        </is>
      </c>
      <c r="H6" s="9">
        <f>C9</f>
        <v>9.0245</v>
      </c>
    </row>
    <row r="7">
      <c r="B7" s="8" t="inlineStr">
        <is>
          <t>Platform Overheads</t>
        </is>
      </c>
      <c r="C7" s="9">
        <f>SUM(H32,H40,H47)</f>
        <v>0.495</v>
      </c>
      <c r="E7" s="9">
        <f>C7</f>
        <v>0.495</v>
      </c>
      <c r="G7" s="203" t="inlineStr">
        <is>
          <t>Variance (budget less cost)</t>
        </is>
      </c>
      <c r="H7" s="204">
        <f>H5-H6</f>
        <v>-2.5244999999999997</v>
      </c>
    </row>
    <row r="8">
      <c r="B8" s="8" t="inlineStr">
        <is>
          <t>Squad Support Costs</t>
        </is>
      </c>
      <c r="C8" s="9">
        <f>SUM(H29,H30,H31,H37,H38,H39,H45,H46,H52)</f>
        <v>7.779999999999999</v>
      </c>
      <c r="D8" s="9">
        <f>SUM(I29,I30,I31,I37,I38,I39,I45,I46,I52)</f>
        <v>5.92</v>
      </c>
      <c r="E8" s="9">
        <f>C8+D8</f>
        <v>13.7</v>
      </c>
    </row>
    <row r="9">
      <c r="B9" s="203" t="inlineStr">
        <is>
          <t>Total Cost</t>
        </is>
      </c>
      <c r="C9" s="204">
        <f>SUM(C6:C8)</f>
        <v>9.0245</v>
      </c>
      <c r="D9" s="204">
        <f>SUM(D6:D8)</f>
        <v>5.92</v>
      </c>
      <c r="E9" s="204">
        <f>C9+D9</f>
        <v>14.9445</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'0.1 Budget Table (Fin)'!Q13</f>
        <v>11.7</v>
      </c>
      <c r="G12" s="8" t="inlineStr">
        <is>
          <t>Customer Lights On</t>
        </is>
      </c>
      <c r="H12" s="202">
        <f>'0.1 Budget Table (Fin)'!L13</f>
        <v>1.7000000000000002</v>
      </c>
      <c r="I12" s="467">
        <f>'0.1 Budget Table (Fin)'!G13</f>
        <v>0.0</v>
      </c>
      <c r="J12" s="9">
        <f>IFERROR(H12-I12,0)</f>
        <v>1.7000000000000002</v>
      </c>
    </row>
    <row r="13">
      <c r="G13" s="8" t="inlineStr">
        <is>
          <t>OpEx Initiatives</t>
        </is>
      </c>
      <c r="H13" s="202">
        <f>'0.1 Budget Table (Fin)'!N13</f>
        <v>0.0</v>
      </c>
      <c r="I13" s="208" t="n">
        <v>0</v>
      </c>
      <c r="J13" s="9">
        <f>IFERROR(H13-I13,0)</f>
        <v>0.0</v>
      </c>
    </row>
    <row r="14">
      <c r="B14" s="427" t="inlineStr">
        <is>
          <t>Total to fund</t>
        </is>
      </c>
      <c r="C14" s="428" t="n"/>
      <c r="G14" s="8" t="inlineStr">
        <is>
          <t>CapEx</t>
        </is>
      </c>
      <c r="H14" s="202">
        <f>'0.1 Budget Table (Fin)'!P13</f>
        <v>5.0</v>
      </c>
      <c r="I14" s="208" t="n">
        <v>2</v>
      </c>
      <c r="J14" s="9">
        <f>IFERROR(H14-I14,0)</f>
        <v>3.0</v>
      </c>
    </row>
    <row r="15">
      <c r="B15" s="429" t="inlineStr">
        <is>
          <t>TDD Variance</t>
        </is>
      </c>
      <c r="C15" s="430">
        <f>MAX(0,-H7)</f>
        <v>2.5244999999999997</v>
      </c>
      <c r="G15" s="8" t="inlineStr">
        <is>
          <t>Significant Items EGI</t>
        </is>
      </c>
      <c r="H15" s="202" t="n"/>
      <c r="I15" s="208">
        <f>I52</f>
        <v>0.0</v>
      </c>
      <c r="J15" s="9" t="n"/>
    </row>
    <row r="16">
      <c r="B16" s="429" t="inlineStr">
        <is>
          <t>Other Variance</t>
        </is>
      </c>
      <c r="C16" s="430">
        <f>MAX(0,I24)</f>
        <v>1.92</v>
      </c>
      <c r="G16" s="8" t="inlineStr">
        <is>
          <t xml:space="preserve">Significant Items </t>
        </is>
      </c>
      <c r="H16" s="202">
        <f>'0.1 Budget Table (Fin)'!O13</f>
        <v>5.0</v>
      </c>
      <c r="I16" s="208" t="n">
        <v>2</v>
      </c>
      <c r="J16" s="9">
        <f>IFERROR(H16-I16,0)</f>
        <v>3.0</v>
      </c>
    </row>
    <row r="17">
      <c r="B17" s="431" t="inlineStr">
        <is>
          <t>Total</t>
        </is>
      </c>
      <c r="C17" s="432">
        <f>C15+C16</f>
        <v>4.4445</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'0.1 Budget Table (Fin)'!M13</f>
        <v>0.0</v>
      </c>
      <c r="I21" s="208" t="n">
        <v>0</v>
      </c>
      <c r="J21" s="9">
        <f>IFERROR(H21-I21,0)</f>
        <v>0.0</v>
      </c>
    </row>
    <row r="22">
      <c r="G22" s="211" t="inlineStr">
        <is>
          <t>Total applied</t>
        </is>
      </c>
      <c r="I22" s="22">
        <f>SUM(I12:I21)</f>
        <v>4.0</v>
      </c>
    </row>
    <row r="23">
      <c r="G23" s="8" t="inlineStr">
        <is>
          <t>Other cost (this model)</t>
        </is>
      </c>
      <c r="I23" s="9">
        <f>D9</f>
        <v>5.92</v>
      </c>
    </row>
    <row r="24">
      <c r="G24" s="203" t="inlineStr">
        <is>
          <t>Left to fund</t>
        </is>
      </c>
      <c r="H24" s="203" t="n"/>
      <c r="I24" s="204">
        <f>I23-I22</f>
        <v>1.92</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c r="L28" s="696" t="inlineStr">
        <is>
          <t>Fund</t>
        </is>
      </c>
    </row>
    <row r="29">
      <c r="B29" s="8" t="inlineStr">
        <is>
          <t>Ampol App</t>
        </is>
      </c>
      <c r="C29" s="213" t="inlineStr">
        <is>
          <t>Product</t>
        </is>
      </c>
      <c r="D29" s="213" t="inlineStr">
        <is>
          <t>L</t>
        </is>
      </c>
      <c r="E29" s="213" t="inlineStr">
        <is>
          <t>Onshore</t>
        </is>
      </c>
      <c r="F29" s="214" t="n">
        <v>0.2</v>
      </c>
      <c r="G29" s="202">
        <f>IFERROR(IF($E29="Onshore",INDEX('0.3 Squad Archetypes'!$G$5:$G$23,MATCH($C29&amp;"|"&amp;$D29,'0.3 Squad Archetypes'!$A$5:$A$23,0)),INDEX('0.3 Squad Archetypes'!$H$5:$H$23,MATCH($C29&amp;"|"&amp;$D29,'0.3 Squad Archetypes'!$A$5:$A$23,0))),"check size")</f>
        <v>2.8</v>
      </c>
      <c r="H29" s="9">
        <f>IFERROR($G29*$F29,"")</f>
        <v>0.5599999999999999</v>
      </c>
      <c r="I29" s="9">
        <f>IFERROR($G29*(1-$F29),"")</f>
        <v>2.2399999999999998</v>
      </c>
      <c r="J29" t="n">
        <v>15</v>
      </c>
      <c r="L29" s="693" t="inlineStr">
        <is>
          <t>AU</t>
        </is>
      </c>
    </row>
    <row r="30">
      <c r="B30" s="8" t="inlineStr">
        <is>
          <t>Ampol Web</t>
        </is>
      </c>
      <c r="C30" s="213" t="inlineStr">
        <is>
          <t>Product</t>
        </is>
      </c>
      <c r="D30" s="213" t="inlineStr">
        <is>
          <t>M</t>
        </is>
      </c>
      <c r="E30" s="213" t="inlineStr">
        <is>
          <t>Onshore</t>
        </is>
      </c>
      <c r="F30" s="214" t="n">
        <v>0.2</v>
      </c>
      <c r="G30" s="202">
        <f>IFERROR(IF($E30="Onshore",INDEX('0.3 Squad Archetypes'!$G$5:$G$23,MATCH($C30&amp;"|"&amp;$D30,'0.3 Squad Archetypes'!$A$5:$A$23,0)),INDEX('0.3 Squad Archetypes'!$H$5:$H$23,MATCH($C30&amp;"|"&amp;$D30,'0.3 Squad Archetypes'!$A$5:$A$23,0))),"check size")</f>
        <v>1.9</v>
      </c>
      <c r="H30" s="9">
        <f>IFERROR($G30*$F30,"")</f>
        <v>0.38</v>
      </c>
      <c r="I30" s="9">
        <f>IFERROR($G30*(1-$F30),"")</f>
        <v>1.52</v>
      </c>
      <c r="J30" t="n">
        <v>9</v>
      </c>
      <c r="L30" s="693" t="inlineStr">
        <is>
          <t>AU</t>
        </is>
      </c>
    </row>
    <row r="31">
      <c r="B31" s="8" t="inlineStr">
        <is>
          <t>Digital Operations</t>
        </is>
      </c>
      <c r="C31" s="213" t="inlineStr">
        <is>
          <t>Operations</t>
        </is>
      </c>
      <c r="D31" s="213" t="inlineStr">
        <is>
          <t>M</t>
        </is>
      </c>
      <c r="E31" s="213" t="inlineStr">
        <is>
          <t>Onshore</t>
        </is>
      </c>
      <c r="F31" s="214" t="n">
        <v>1</v>
      </c>
      <c r="G31" s="202">
        <f>IFERROR(IF($E31="Onshore",INDEX('0.3 Squad Archetypes'!$G$5:$G$23,MATCH($C31&amp;"|"&amp;$D31,'0.3 Squad Archetypes'!$A$5:$A$23,0)),INDEX('0.3 Squad Archetypes'!$H$5:$H$23,MATCH($C31&amp;"|"&amp;$D31,'0.3 Squad Archetypes'!$A$5:$A$23,0))),"check size")</f>
        <v>1.4</v>
      </c>
      <c r="H31" s="9">
        <f>IFERROR($G31*$F31,"")</f>
        <v>1.4</v>
      </c>
      <c r="I31" s="9">
        <f>IFERROR($G31*(1-$F31),"")</f>
        <v>0.0</v>
      </c>
      <c r="J31" t="n">
        <v>6</v>
      </c>
      <c r="L31" s="693" t="inlineStr">
        <is>
          <t>AU</t>
        </is>
      </c>
    </row>
    <row r="32">
      <c r="B32" s="470" t="inlineStr">
        <is>
          <t>Platform Overhead</t>
        </is>
      </c>
      <c r="H32" s="202">
        <f>'0.2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c r="L36" s="696" t="inlineStr">
        <is>
          <t>Fund</t>
        </is>
      </c>
    </row>
    <row r="37">
      <c r="B37" s="8" t="inlineStr">
        <is>
          <t>Z Energy Apps</t>
        </is>
      </c>
      <c r="C37" s="213" t="inlineStr">
        <is>
          <t>Product</t>
        </is>
      </c>
      <c r="D37" s="213" t="inlineStr">
        <is>
          <t>S</t>
        </is>
      </c>
      <c r="E37" s="213" t="inlineStr">
        <is>
          <t>Onshore</t>
        </is>
      </c>
      <c r="F37" s="214" t="n">
        <v>1</v>
      </c>
      <c r="G37" s="202">
        <f>IFERROR(IF($E37="Onshore",INDEX('0.3 Squad Archetypes'!$G$5:$G$23,MATCH($C37&amp;"|"&amp;$D37,'0.3 Squad Archetypes'!$A$5:$A$23,0)),INDEX('0.3 Squad Archetypes'!$H$5:$H$23,MATCH($C37&amp;"|"&amp;$D37,'0.3 Squad Archetypes'!$A$5:$A$23,0))),"check size")</f>
        <v>1.3</v>
      </c>
      <c r="H37" s="9">
        <f>IFERROR($G37*$F37,"")</f>
        <v>1.3</v>
      </c>
      <c r="I37" s="9">
        <f>IFERROR($G37*(1-$F37),"")</f>
        <v>0.0</v>
      </c>
      <c r="J37" t="inlineStr">
        <is>
          <t xml:space="preserve">Z funded incl. in the lights on budget. Needs to be under group customer platforms </t>
        </is>
      </c>
      <c r="K37" t="n">
        <v>5</v>
      </c>
      <c r="L37" s="693" t="inlineStr">
        <is>
          <t>NZ</t>
        </is>
      </c>
    </row>
    <row r="38">
      <c r="B38" s="244" t="inlineStr">
        <is>
          <t>Z Energy Martech</t>
        </is>
      </c>
      <c r="C38" s="245" t="inlineStr">
        <is>
          <t>Product</t>
        </is>
      </c>
      <c r="D38" s="245" t="inlineStr">
        <is>
          <t>L</t>
        </is>
      </c>
      <c r="E38" s="245" t="inlineStr">
        <is>
          <t>Onshore</t>
        </is>
      </c>
      <c r="F38" s="246" t="n">
        <v>1</v>
      </c>
      <c r="G38" s="202">
        <f>IFERROR(IF($E38="Onshore",INDEX('0.3 Squad Archetypes'!$G$5:$G$23,MATCH($C38&amp;"|"&amp;$D38,'0.3 Squad Archetypes'!$A$5:$A$23,0)),INDEX('0.3 Squad Archetypes'!$H$5:$H$23,MATCH($C38&amp;"|"&amp;$D38,'0.3 Squad Archetypes'!$A$5:$A$23,0))),"check size")</f>
        <v>2.8</v>
      </c>
      <c r="H38" s="9">
        <f>IFERROR($G38*$F38,"")</f>
        <v>2.8</v>
      </c>
      <c r="I38" s="9">
        <f>IFERROR($G38*(1-$F38),"")</f>
        <v>0.0</v>
      </c>
      <c r="J38" t="inlineStr">
        <is>
          <t xml:space="preserve">Z funded incl. in the lights on budget. Needs to be under group customer platforms </t>
        </is>
      </c>
      <c r="K38" t="n">
        <v>16</v>
      </c>
      <c r="L38" s="693" t="inlineStr">
        <is>
          <t>NZ</t>
        </is>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IFERROR(IF($E39="Onshore",INDEX('0.3 Squad Archetypes'!$G$5:$G$23,MATCH($C39&amp;"|"&amp;$D39,'0.3 Squad Archetypes'!$A$5:$A$23,0)),INDEX('0.3 Squad Archetypes'!$H$5:$H$23,MATCH($C39&amp;"|"&amp;$D39,'0.3 Squad Archetypes'!$A$5:$A$23,0))),"check size")</f>
        <v>0.8</v>
      </c>
      <c r="H39" s="9">
        <f>IFERROR($G39*$F39,"")</f>
        <v>0.8</v>
      </c>
      <c r="I39" s="9">
        <f>IFERROR($G39*(1-$F39),"")</f>
        <v>0.0</v>
      </c>
      <c r="J39" t="inlineStr">
        <is>
          <t xml:space="preserve">Z funded incl. in the lights on budget. Needs to be under group customer platforms </t>
        </is>
      </c>
      <c r="L39" s="693" t="inlineStr">
        <is>
          <t>NZ</t>
        </is>
      </c>
    </row>
    <row r="40">
      <c r="B40" s="470" t="inlineStr">
        <is>
          <t>Platform Overhead</t>
        </is>
      </c>
      <c r="H40" s="202">
        <f>'0.2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c r="L44" s="696" t="inlineStr">
        <is>
          <t>Fund</t>
        </is>
      </c>
    </row>
    <row r="45">
      <c r="B45" s="218" t="inlineStr">
        <is>
          <t>AU CRM &amp; Martech</t>
        </is>
      </c>
      <c r="C45" s="219" t="inlineStr">
        <is>
          <t>Product</t>
        </is>
      </c>
      <c r="D45" s="219" t="inlineStr">
        <is>
          <t>M</t>
        </is>
      </c>
      <c r="E45" s="219" t="inlineStr">
        <is>
          <t>Onshore</t>
        </is>
      </c>
      <c r="F45" s="220" t="n">
        <v>0.2</v>
      </c>
      <c r="G45" s="221">
        <f>IFERROR(IF($E45="Onshore",INDEX('0.3 Squad Archetypes'!$G$5:$G$23,MATCH($C45&amp;"|"&amp;$D45,'0.3 Squad Archetypes'!$A$5:$A$23,0)),INDEX('0.3 Squad Archetypes'!$H$5:$H$23,MATCH($C45&amp;"|"&amp;$D45,'0.3 Squad Archetypes'!$A$5:$A$23,0))),"check size")</f>
        <v>1.9</v>
      </c>
      <c r="H45" s="222">
        <f>IFERROR($G45*$F45,"")</f>
        <v>0.38</v>
      </c>
      <c r="I45" s="222">
        <f>IFERROR($G45*(1-$F45),"")</f>
        <v>1.52</v>
      </c>
      <c r="J45" t="n">
        <v>7</v>
      </c>
      <c r="L45" s="693" t="inlineStr">
        <is>
          <t>AU</t>
        </is>
      </c>
    </row>
    <row r="46">
      <c r="A46" t="inlineStr">
        <is>
          <t>Net New - 3FTE</t>
        </is>
      </c>
      <c r="B46" s="218" t="inlineStr">
        <is>
          <t xml:space="preserve">AI Enablement </t>
        </is>
      </c>
      <c r="C46" s="242" t="inlineStr">
        <is>
          <t>Engineering</t>
        </is>
      </c>
      <c r="D46" s="242" t="inlineStr">
        <is>
          <t>S</t>
        </is>
      </c>
      <c r="E46" s="242" t="inlineStr">
        <is>
          <t>Onshore</t>
        </is>
      </c>
      <c r="F46" s="220" t="n">
        <v>0.2</v>
      </c>
      <c r="G46" s="221">
        <f>IFERROR(IF($E46="Onshore",INDEX('0.3 Squad Archetypes'!$G$5:$G$23,MATCH($C46&amp;"|"&amp;$D46,'0.3 Squad Archetypes'!$A$5:$A$23,0)),INDEX('0.3 Squad Archetypes'!$H$5:$H$23,MATCH($C46&amp;"|"&amp;$D46,'0.3 Squad Archetypes'!$A$5:$A$23,0))),"check size")</f>
        <v>0.8</v>
      </c>
      <c r="H46" s="222">
        <f>IFERROR($G46*$F46,"")</f>
        <v>0.16000000000000003</v>
      </c>
      <c r="I46" s="222">
        <f>IFERROR($G46*(1-$F46),"")</f>
        <v>0.6400000000000001</v>
      </c>
      <c r="L46" s="693" t="inlineStr">
        <is>
          <t>AU</t>
        </is>
      </c>
    </row>
    <row r="47">
      <c r="B47" s="486" t="inlineStr">
        <is>
          <t>Platform Overhead</t>
        </is>
      </c>
      <c r="C47" s="201" t="n"/>
      <c r="D47" s="201" t="n"/>
      <c r="E47" s="201" t="n"/>
      <c r="F47" s="201" t="n"/>
      <c r="G47" s="224" t="n"/>
      <c r="H47" s="221">
        <f>'0.2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c r="L51" s="696" t="inlineStr">
        <is>
          <t>Fund</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c r="L52" s="693" t="inlineStr">
        <is>
          <t>AU</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row r="55"/>
    <row r="56">
      <c r="B56" s="686" t="inlineStr">
        <is>
          <t>TDD squad cost - AU funded (Fund toggles) ($m)</t>
        </is>
      </c>
      <c r="C56" s="669">
        <f>SUMIF(L29:L31,"AU",H29:H31)+SUMIF(L37:L39,"AU",H37:H39)+SUMIF(L45:L46,"AU",H45:H46)+SUMIF(L52:L52,"AU",H52:H52)</f>
        <v>2.88</v>
      </c>
    </row>
    <row r="57">
      <c r="B57" s="686" t="inlineStr">
        <is>
          <t>TDD squad cost - NZ funded (Fund toggles) ($m)</t>
        </is>
      </c>
      <c r="C57" s="669">
        <f>SUMIF(L29:L31,"NZ",H29:H31)+SUMIF(L37:L39,"NZ",H37:H39)+SUMIF(L45:L46,"NZ",H45:H46)+SUMIF(L52:L52,"NZ",H52:H52)</f>
        <v>4.8999999999999995</v>
      </c>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 sqref="L29 L30 L31 L37 L38 L39 L45 L46 L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K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Enterprise Data Cost ($m)</t>
        </is>
      </c>
      <c r="G5" s="201" t="inlineStr">
        <is>
          <t>TDD Lights On Budget (people - 0.2 Data Config)</t>
        </is>
      </c>
      <c r="H5" s="202">
        <f>'0.2 Data Config'!$E$22</f>
        <v>3.5</v>
      </c>
    </row>
    <row r="6">
      <c r="B6" s="8" t="inlineStr">
        <is>
          <t>Portfolio Overhead (see 0.2 Data Config)</t>
        </is>
      </c>
      <c r="C6" s="202">
        <f>'0.2 Data Config'!$L$10</f>
        <v>0.7495</v>
      </c>
      <c r="E6" s="9">
        <f>C6</f>
        <v>0.7495</v>
      </c>
      <c r="G6" s="201" t="inlineStr">
        <is>
          <t>Overheads &amp; Support (this model)</t>
        </is>
      </c>
      <c r="H6" s="9">
        <f>C9</f>
        <v>4.1105</v>
      </c>
    </row>
    <row r="7">
      <c r="B7" s="8" t="inlineStr">
        <is>
          <t>Platform Overheads</t>
        </is>
      </c>
      <c r="C7" s="9">
        <f>SUM(H29)</f>
        <v>0.165</v>
      </c>
      <c r="E7" s="9">
        <f>C7</f>
        <v>0.165</v>
      </c>
      <c r="G7" s="203" t="inlineStr">
        <is>
          <t>Variance (budget less cost)</t>
        </is>
      </c>
      <c r="H7" s="204">
        <f>H5-H6</f>
        <v>-0.6105</v>
      </c>
    </row>
    <row r="8">
      <c r="B8" s="8" t="inlineStr">
        <is>
          <t>Squad Support Costs</t>
        </is>
      </c>
      <c r="C8" s="9">
        <f>SUM(H24,H25,H26,H27,H28)</f>
        <v>3.196</v>
      </c>
      <c r="D8" s="9">
        <f>SUM(I24,I25,I26,I27,I28)</f>
        <v>1.9040000000000001</v>
      </c>
      <c r="E8" s="9">
        <f>C8+D8</f>
        <v>5.1000000000000005</v>
      </c>
    </row>
    <row r="9">
      <c r="B9" s="203" t="inlineStr">
        <is>
          <t>Total Cost</t>
        </is>
      </c>
      <c r="C9" s="204">
        <f>SUM(C6:C8)</f>
        <v>4.1105</v>
      </c>
      <c r="D9" s="204">
        <f>SUM(D6:D8)</f>
        <v>1.9040000000000001</v>
      </c>
      <c r="E9" s="204">
        <f>C9+D9</f>
        <v>6.0145</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1.9040000000000001</v>
      </c>
      <c r="J12" s="222" t="n"/>
    </row>
    <row r="13">
      <c r="B13" s="427" t="inlineStr">
        <is>
          <t>Total to fund</t>
        </is>
      </c>
      <c r="C13" s="428" t="n"/>
      <c r="G13" s="211" t="inlineStr">
        <is>
          <t>Funded from TDD Corporate pool (2.4 COE Summary)</t>
        </is>
      </c>
      <c r="H13" s="221" t="n"/>
      <c r="I13" s="216" t="n">
        <v>0</v>
      </c>
      <c r="J13" s="222" t="n"/>
    </row>
    <row r="14">
      <c r="B14" s="429" t="inlineStr">
        <is>
          <t>TDD Variance</t>
        </is>
      </c>
      <c r="C14" s="430">
        <f>MAX(0,-H7)</f>
        <v>0.6105</v>
      </c>
      <c r="D14" s="232" t="n"/>
      <c r="G14" s="203" t="inlineStr">
        <is>
          <t>Left to fund</t>
        </is>
      </c>
      <c r="H14" s="221" t="n"/>
      <c r="I14" s="204">
        <f>I12-I13</f>
        <v>1.9040000000000001</v>
      </c>
      <c r="J14" s="222" t="n"/>
    </row>
    <row r="15">
      <c r="B15" s="429" t="inlineStr">
        <is>
          <t>Other Variance</t>
        </is>
      </c>
      <c r="C15" s="430">
        <f>MAX(0,I14)</f>
        <v>1.9040000000000001</v>
      </c>
      <c r="D15" s="224" t="n"/>
      <c r="G15" s="218" t="n"/>
      <c r="H15" s="221" t="n"/>
      <c r="I15" s="229" t="n"/>
      <c r="J15" s="222" t="n"/>
    </row>
    <row r="16">
      <c r="B16" s="431" t="inlineStr">
        <is>
          <t>Total</t>
        </is>
      </c>
      <c r="C16" s="432">
        <f>C14+C15</f>
        <v>2.5145</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6" t="inlineStr">
        <is>
          <t>Fund</t>
        </is>
      </c>
    </row>
    <row r="24">
      <c r="B24" s="8" t="inlineStr">
        <is>
          <t>Data Science</t>
        </is>
      </c>
      <c r="C24" s="213" t="inlineStr">
        <is>
          <t>Enterprise Data and Insights</t>
        </is>
      </c>
      <c r="D24" s="213" t="inlineStr">
        <is>
          <t>M</t>
        </is>
      </c>
      <c r="E24" s="213" t="inlineStr">
        <is>
          <t>Onshore</t>
        </is>
      </c>
      <c r="F24" s="214" t="n">
        <v>0.2</v>
      </c>
      <c r="G24" s="202">
        <f>IFERROR(IF($E24="Onshore",INDEX('0.3 Squad Archetypes'!$G$5:$G$23,MATCH($C24&amp;"|"&amp;$D24,'0.3 Squad Archetypes'!$A$5:$A$23,0)),INDEX('0.3 Squad Archetypes'!$H$5:$H$23,MATCH($C24&amp;"|"&amp;$D24,'0.3 Squad Archetypes'!$A$5:$A$23,0))),"check size")</f>
        <v>1.7</v>
      </c>
      <c r="H24" s="9">
        <f>IFERROR($G24*$F24,"")</f>
        <v>0.34</v>
      </c>
      <c r="I24" s="9">
        <f>IFERROR($G24*(1-$F24),"")</f>
        <v>1.36</v>
      </c>
      <c r="K24" s="693" t="inlineStr">
        <is>
          <t>AU</t>
        </is>
      </c>
    </row>
    <row r="25">
      <c r="B25" s="8" t="inlineStr">
        <is>
          <t>Operations</t>
        </is>
      </c>
      <c r="C25" s="213" t="inlineStr">
        <is>
          <t>Operations</t>
        </is>
      </c>
      <c r="D25" s="213" t="inlineStr">
        <is>
          <t>L</t>
        </is>
      </c>
      <c r="E25" s="213" t="inlineStr">
        <is>
          <t>Offshore</t>
        </is>
      </c>
      <c r="F25" s="214" t="n">
        <v>1</v>
      </c>
      <c r="G25" s="202">
        <f>IFERROR(IF($E25="Onshore",INDEX('0.3 Squad Archetypes'!$G$5:$G$23,MATCH($C25&amp;"|"&amp;$D25,'0.3 Squad Archetypes'!$A$5:$A$23,0)),INDEX('0.3 Squad Archetypes'!$H$5:$H$23,MATCH($C25&amp;"|"&amp;$D25,'0.3 Squad Archetypes'!$A$5:$A$23,0))),"check size")</f>
        <v>0.9199999999999999</v>
      </c>
      <c r="H25" s="9">
        <f>IFERROR($G25*$F25,"")</f>
        <v>0.9199999999999999</v>
      </c>
      <c r="I25" s="9">
        <f>IFERROR($G25*(1-$F25),"")</f>
        <v>0.0</v>
      </c>
      <c r="J25" t="inlineStr">
        <is>
          <t>2 Large to 1 big ops squad offshore and 2 small data squads onshore</t>
        </is>
      </c>
      <c r="K25" s="693" t="inlineStr">
        <is>
          <t>AU</t>
        </is>
      </c>
    </row>
    <row r="26">
      <c r="B26" s="8" t="inlineStr">
        <is>
          <t>Reporting &amp; Analytics</t>
        </is>
      </c>
      <c r="C26" s="213" t="inlineStr">
        <is>
          <t>Enterprise Data and Insights</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0.9</v>
      </c>
      <c r="H26" s="9">
        <f>IFERROR($G26*$F26,"")</f>
        <v>0.9</v>
      </c>
      <c r="I26" s="9">
        <f>IFERROR($G26*(1-$F26),"")</f>
        <v>0.0</v>
      </c>
      <c r="K26" s="693" t="inlineStr">
        <is>
          <t>AU</t>
        </is>
      </c>
    </row>
    <row r="27">
      <c r="B27" s="8" t="inlineStr">
        <is>
          <t>Data Platforms</t>
        </is>
      </c>
      <c r="C27" s="213" t="inlineStr">
        <is>
          <t>Enterprise Data and Insights</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0.9</v>
      </c>
      <c r="H27" s="9">
        <f>IFERROR($G27*$F27,"")</f>
        <v>0.9</v>
      </c>
      <c r="I27" s="9">
        <f>IFERROR($G27*(1-$F27),"")</f>
        <v>0.0</v>
      </c>
      <c r="K27" s="693" t="inlineStr">
        <is>
          <t>AU</t>
        </is>
      </c>
    </row>
    <row r="28">
      <c r="B28" s="8" t="inlineStr">
        <is>
          <t>Enterprise Data Delivery</t>
        </is>
      </c>
      <c r="C28" s="213" t="inlineStr">
        <is>
          <t>Enterprise Data and Insights</t>
        </is>
      </c>
      <c r="D28" s="213" t="inlineStr">
        <is>
          <t>M</t>
        </is>
      </c>
      <c r="E28" s="213" t="inlineStr">
        <is>
          <t>Offshore</t>
        </is>
      </c>
      <c r="F28" s="214" t="n">
        <v>0.2</v>
      </c>
      <c r="G28" s="202">
        <f>IFERROR(IF($E28="Onshore",INDEX('0.3 Squad Archetypes'!$G$5:$G$23,MATCH($C28&amp;"|"&amp;$D28,'0.3 Squad Archetypes'!$A$5:$A$23,0)),INDEX('0.3 Squad Archetypes'!$H$5:$H$23,MATCH($C28&amp;"|"&amp;$D28,'0.3 Squad Archetypes'!$A$5:$A$23,0))),"check size")</f>
        <v>0.68</v>
      </c>
      <c r="H28" s="9">
        <f>IFERROR($G28*$F28,"")</f>
        <v>0.136</v>
      </c>
      <c r="I28" s="9">
        <f>IFERROR($G28*(1-$F28),"")</f>
        <v>0.544</v>
      </c>
      <c r="K28" s="693" t="inlineStr">
        <is>
          <t>AU</t>
        </is>
      </c>
    </row>
    <row r="29">
      <c r="B29" s="470" t="inlineStr">
        <is>
          <t>Platform Overhead</t>
        </is>
      </c>
      <c r="H29" s="202">
        <f>'0.2 Data Config'!$L$16</f>
        <v>0.165</v>
      </c>
    </row>
    <row r="30">
      <c r="B30" s="203" t="inlineStr">
        <is>
          <t>Group Data Total</t>
        </is>
      </c>
      <c r="C30" s="212" t="n"/>
      <c r="D30" s="212" t="n"/>
      <c r="E30" s="212" t="n"/>
      <c r="F30" s="212" t="n"/>
      <c r="G30" s="204">
        <f>SUM(G24:G28)</f>
        <v>5.1</v>
      </c>
      <c r="H30" s="204">
        <f>SUM(H24:H29)</f>
        <v>3.361</v>
      </c>
      <c r="I30" s="204">
        <f>SUM(I24:I28)</f>
        <v>1.9040000000000001</v>
      </c>
    </row>
    <row r="31"/>
    <row r="32">
      <c r="B32" s="686" t="inlineStr">
        <is>
          <t>TDD squad cost - AU funded (Fund toggles) ($m)</t>
        </is>
      </c>
      <c r="C32" s="669">
        <f>SUMIF(K24:K28,"AU",H24:H28)</f>
        <v>3.196</v>
      </c>
    </row>
    <row r="33">
      <c r="B33" s="686" t="inlineStr">
        <is>
          <t>TDD squad cost - NZ funded (Fund toggles) ($m)</t>
        </is>
      </c>
      <c r="C33" s="669">
        <f>SUMIF(K24:K28,"NZ",H24:H28)</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 sqref="K24 K25 K26 K27 K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K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TDD Group Functions Cost ($m)</t>
        </is>
      </c>
      <c r="G5" s="201" t="inlineStr">
        <is>
          <t>TDD Lights On Budget (people - 0.2 Data Config)</t>
        </is>
      </c>
      <c r="H5" s="202">
        <f>'0.2 Data Config'!$E$21</f>
        <v>5.5</v>
      </c>
    </row>
    <row r="6">
      <c r="B6" s="8" t="inlineStr">
        <is>
          <t>Portfolio Overhead (see 0.2 Data Config)</t>
        </is>
      </c>
      <c r="C6" s="202">
        <f>'0.2 Data Config'!$L$10</f>
        <v>0.7495</v>
      </c>
      <c r="E6" s="9">
        <f>C6</f>
        <v>0.7495</v>
      </c>
      <c r="G6" s="201" t="inlineStr">
        <is>
          <t>Overheads &amp; Support (this model)</t>
        </is>
      </c>
      <c r="H6" s="9">
        <f>C9</f>
        <v>3.6644999999999994</v>
      </c>
    </row>
    <row r="7">
      <c r="B7" s="8" t="inlineStr">
        <is>
          <t>Platform Overheads</t>
        </is>
      </c>
      <c r="C7" s="9">
        <f>SUM(H28)</f>
        <v>0.165</v>
      </c>
      <c r="E7" s="9">
        <f>C7</f>
        <v>0.165</v>
      </c>
      <c r="G7" s="203" t="inlineStr">
        <is>
          <t>Variance (budget less cost)</t>
        </is>
      </c>
      <c r="H7" s="204">
        <f>H5-H6</f>
        <v>1.8355000000000006</v>
      </c>
    </row>
    <row r="8">
      <c r="B8" s="8" t="inlineStr">
        <is>
          <t>Squad Support Costs</t>
        </is>
      </c>
      <c r="C8" s="9">
        <f>SUM(H24,H25,H26,H27,H33)</f>
        <v>2.7499999999999996</v>
      </c>
      <c r="D8" s="9">
        <f>SUM(I24,I25,I26,I27,I33)</f>
        <v>1.15</v>
      </c>
      <c r="E8" s="9">
        <f>C8+D8</f>
        <v>3.8999999999999995</v>
      </c>
    </row>
    <row r="9">
      <c r="B9" s="203" t="inlineStr">
        <is>
          <t>Total Cost</t>
        </is>
      </c>
      <c r="C9" s="204">
        <f>SUM(C6:C8)</f>
        <v>3.6644999999999994</v>
      </c>
      <c r="D9" s="204">
        <f>SUM(D6:D8)</f>
        <v>1.15</v>
      </c>
      <c r="E9" s="204">
        <f>C9+D9</f>
        <v>4.814499999999999</v>
      </c>
    </row>
    <row r="10">
      <c r="G10" s="561" t="inlineStr">
        <is>
          <t xml:space="preserve">Other funding </t>
        </is>
      </c>
      <c r="H10" s="562" t="n"/>
      <c r="I10" s="562" t="n"/>
      <c r="J10" s="562" t="n"/>
    </row>
    <row r="11">
      <c r="B11" s="565" t="inlineStr">
        <is>
          <t>Lights On funded from the TDD allocation above (Data Config). Shared TDD Corporate pool sits on 2.4 COE Summary.</t>
        </is>
      </c>
      <c r="D11" s="507" t="n"/>
      <c r="E11" s="206" t="n"/>
      <c r="G11" s="480" t="inlineStr">
        <is>
          <t>Funding position</t>
        </is>
      </c>
      <c r="H11" s="5" t="n"/>
      <c r="I11" s="5" t="n"/>
      <c r="J11" s="5" t="n"/>
    </row>
    <row r="12">
      <c r="B12" s="505" t="n"/>
      <c r="D12" s="507" t="n"/>
      <c r="E12" s="207" t="n"/>
      <c r="G12" s="211" t="inlineStr">
        <is>
          <t>Other cost (this model)</t>
        </is>
      </c>
      <c r="H12" s="202" t="n"/>
      <c r="I12" s="228">
        <f>D9</f>
        <v>1.15</v>
      </c>
      <c r="J12" s="9" t="n"/>
    </row>
    <row r="13">
      <c r="B13" s="427" t="inlineStr">
        <is>
          <t>Total to fund</t>
        </is>
      </c>
      <c r="C13" s="428" t="n"/>
      <c r="G13" s="211" t="inlineStr">
        <is>
          <t>Funded from TDD Corporate pool (2.4 COE Summary)</t>
        </is>
      </c>
      <c r="H13" s="202" t="n"/>
      <c r="I13" s="228">
        <f>I33</f>
        <v>0.0</v>
      </c>
      <c r="J13" s="9" t="n"/>
    </row>
    <row r="14">
      <c r="B14" s="429" t="inlineStr">
        <is>
          <t>TDD Variance</t>
        </is>
      </c>
      <c r="C14" s="430">
        <f>MAX(0,-H7)</f>
        <v>0.0</v>
      </c>
      <c r="G14" s="203" t="inlineStr">
        <is>
          <t>Left to fund</t>
        </is>
      </c>
      <c r="H14" s="202" t="n"/>
      <c r="I14" s="204">
        <f>I12-I13</f>
        <v>1.15</v>
      </c>
      <c r="J14" s="9" t="n"/>
    </row>
    <row r="15">
      <c r="B15" s="429" t="inlineStr">
        <is>
          <t>Other Variance</t>
        </is>
      </c>
      <c r="C15" s="430">
        <f>MAX(0,I14)</f>
        <v>1.15</v>
      </c>
      <c r="G15" s="8" t="n"/>
      <c r="H15" s="202" t="n"/>
      <c r="I15" s="208" t="n"/>
      <c r="J15" s="9" t="n"/>
    </row>
    <row r="16">
      <c r="B16" s="431" t="inlineStr">
        <is>
          <t>Total</t>
        </is>
      </c>
      <c r="C16" s="432">
        <f>C14+C15</f>
        <v>1.15</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6" t="inlineStr">
        <is>
          <t>Fund</t>
        </is>
      </c>
    </row>
    <row r="24">
      <c r="B24" s="8" t="inlineStr">
        <is>
          <t>Workplace &amp; Enterprise Tooling</t>
        </is>
      </c>
      <c r="C24" s="213" t="inlineStr">
        <is>
          <t>Configuration / Integration</t>
        </is>
      </c>
      <c r="D24" s="213" t="inlineStr">
        <is>
          <t>S</t>
        </is>
      </c>
      <c r="E24" s="213" t="inlineStr">
        <is>
          <t>Onshore</t>
        </is>
      </c>
      <c r="F24" s="214" t="n">
        <v>1</v>
      </c>
      <c r="G24" s="202">
        <f>IFERROR(IF($E24="Onshore",INDEX('0.3 Squad Archetypes'!$G$5:$G$23,MATCH($C24&amp;"|"&amp;$D24,'0.3 Squad Archetypes'!$A$5:$A$23,0)),INDEX('0.3 Squad Archetypes'!$H$5:$H$23,MATCH($C24&amp;"|"&amp;$D24,'0.3 Squad Archetypes'!$A$5:$A$23,0))),"check size")</f>
        <v>0.4</v>
      </c>
      <c r="H24" s="9">
        <f>IFERROR($G24*$F24,"")</f>
        <v>0.4</v>
      </c>
      <c r="I24" s="9">
        <f>IFERROR($G24*(1-$F24),"")</f>
        <v>0.0</v>
      </c>
      <c r="K24" s="693" t="inlineStr">
        <is>
          <t>AU</t>
        </is>
      </c>
    </row>
    <row r="25">
      <c r="B25" s="8" t="inlineStr">
        <is>
          <t>Network &amp; Infrastructure</t>
        </is>
      </c>
      <c r="C25" s="213" t="inlineStr">
        <is>
          <t>Operations</t>
        </is>
      </c>
      <c r="D25" s="213" t="inlineStr">
        <is>
          <t>L</t>
        </is>
      </c>
      <c r="E25" s="213" t="inlineStr">
        <is>
          <t>Onshore</t>
        </is>
      </c>
      <c r="F25" s="214" t="n">
        <v>0.5</v>
      </c>
      <c r="G25" s="202">
        <f>IFERROR(IF($E25="Onshore",INDEX('0.3 Squad Archetypes'!$G$5:$G$23,MATCH($C25&amp;"|"&amp;$D25,'0.3 Squad Archetypes'!$A$5:$A$23,0)),INDEX('0.3 Squad Archetypes'!$H$5:$H$23,MATCH($C25&amp;"|"&amp;$D25,'0.3 Squad Archetypes'!$A$5:$A$23,0))),"check size")</f>
        <v>2.3</v>
      </c>
      <c r="H25" s="9">
        <f>IFERROR($G25*$F25,"")</f>
        <v>1.15</v>
      </c>
      <c r="I25" s="9">
        <f>IFERROR($G25*(1-$F25),"")</f>
        <v>1.15</v>
      </c>
      <c r="J25" t="inlineStr">
        <is>
          <t xml:space="preserve">Could be 50% support </t>
        </is>
      </c>
      <c r="K25" s="693" t="inlineStr">
        <is>
          <t>AU</t>
        </is>
      </c>
    </row>
    <row r="26">
      <c r="B26" s="8" t="inlineStr">
        <is>
          <t>DevOps &amp; Engineering</t>
        </is>
      </c>
      <c r="C26" s="213" t="inlineStr">
        <is>
          <t>Engineering</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0.8</v>
      </c>
      <c r="H26" s="9">
        <f>IFERROR($G26*$F26,"")</f>
        <v>0.8</v>
      </c>
      <c r="I26" s="9">
        <f>IFERROR($G26*(1-$F26),"")</f>
        <v>0.0</v>
      </c>
      <c r="J26" t="inlineStr">
        <is>
          <t>Support could be more than 20%</t>
        </is>
      </c>
      <c r="K26" s="693" t="inlineStr">
        <is>
          <t>AU</t>
        </is>
      </c>
    </row>
    <row r="27">
      <c r="B27" s="8" t="inlineStr">
        <is>
          <t>Integration</t>
        </is>
      </c>
      <c r="C27" s="213" t="inlineStr">
        <is>
          <t>Configuration / Integration</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0.4</v>
      </c>
      <c r="H27" s="9">
        <f>IFERROR($G27*$F27,"")</f>
        <v>0.4</v>
      </c>
      <c r="I27" s="9">
        <f>IFERROR($G27*(1-$F27),"")</f>
        <v>0.0</v>
      </c>
      <c r="K27" s="693" t="inlineStr">
        <is>
          <t>AU</t>
        </is>
      </c>
    </row>
    <row r="28">
      <c r="B28" s="470" t="inlineStr">
        <is>
          <t>Platform Overhead</t>
        </is>
      </c>
      <c r="H28" s="202">
        <f>'0.2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c r="K32" s="696" t="inlineStr">
        <is>
          <t>Fund</t>
        </is>
      </c>
    </row>
    <row r="33">
      <c r="B33" s="8" t="inlineStr">
        <is>
          <t>EGI TDD</t>
        </is>
      </c>
      <c r="C33" s="213" t="inlineStr">
        <is>
          <t>Strategic Programs</t>
        </is>
      </c>
      <c r="D33" s="213" t="n"/>
      <c r="E33" s="213" t="inlineStr">
        <is>
          <t>Onshore</t>
        </is>
      </c>
      <c r="F33" s="214" t="n">
        <v>0.2</v>
      </c>
      <c r="G33" s="216" t="n">
        <v>0</v>
      </c>
      <c r="H33" s="9">
        <f>IFERROR($G33*$F33,"")</f>
        <v>0.0</v>
      </c>
      <c r="I33" s="9">
        <f>IFERROR($G33*(1-$F33),"")</f>
        <v>0.0</v>
      </c>
      <c r="K33" s="693" t="inlineStr">
        <is>
          <t>AU</t>
        </is>
      </c>
    </row>
    <row r="34">
      <c r="B34" s="203" t="inlineStr">
        <is>
          <t>EGI TDD Total</t>
        </is>
      </c>
      <c r="G34" s="204">
        <f>SUM(G33:G33)</f>
        <v>0.0</v>
      </c>
      <c r="H34" s="204">
        <f>SUM(H33:H33)</f>
        <v>0.0</v>
      </c>
      <c r="I34" s="204">
        <f>SUM(I33:I33)</f>
        <v>0.0</v>
      </c>
    </row>
    <row r="35"/>
    <row r="36">
      <c r="B36" s="686" t="inlineStr">
        <is>
          <t>TDD squad cost - AU funded (Fund toggles) ($m)</t>
        </is>
      </c>
      <c r="C36" s="669">
        <f>SUMIF(K24:K27,"AU",H24:H27)+SUMIF(K33:K33,"AU",H33:H33)</f>
        <v>2.7499999999999996</v>
      </c>
    </row>
    <row r="37">
      <c r="B37" s="686" t="inlineStr">
        <is>
          <t>TDD squad cost - NZ funded (Fund toggles) ($m)</t>
        </is>
      </c>
      <c r="C37" s="669">
        <f>SUMIF(K24:K27,"NZ",H24:H27)+SUMIF(K33:K33,"NZ",H33:H33)</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 sqref="K24 K25 K26 K27 K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J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P&amp;C Cost ($m)</t>
        </is>
      </c>
      <c r="G5" s="201" t="inlineStr">
        <is>
          <t>TDD Lights On Budget (people - 0.2 Data Config)</t>
        </is>
      </c>
      <c r="H5" s="202">
        <f>'0.2 Data Config'!$E$18</f>
        <v>2.0</v>
      </c>
    </row>
    <row r="6">
      <c r="B6" s="8" t="inlineStr">
        <is>
          <t>Portfolio Overhead (see 0.2 Data Config)</t>
        </is>
      </c>
      <c r="C6" s="202">
        <f>'0.2 Data Config'!$L$10</f>
        <v>0.7495</v>
      </c>
      <c r="E6" s="9">
        <f>C6</f>
        <v>0.7495</v>
      </c>
      <c r="G6" s="201" t="inlineStr">
        <is>
          <t>Overheads &amp; Support (this model)</t>
        </is>
      </c>
      <c r="H6" s="9">
        <f>C9</f>
        <v>1.2745000000000002</v>
      </c>
    </row>
    <row r="7">
      <c r="B7" s="8" t="inlineStr">
        <is>
          <t>Platform Overheads</t>
        </is>
      </c>
      <c r="C7" s="9">
        <f>SUM(H26)</f>
        <v>0.165</v>
      </c>
      <c r="E7" s="9">
        <f>C7</f>
        <v>0.165</v>
      </c>
      <c r="G7" s="203" t="inlineStr">
        <is>
          <t>Variance (budget less cost)</t>
        </is>
      </c>
      <c r="H7" s="204">
        <f>H5-H6</f>
        <v>0.7254999999999998</v>
      </c>
    </row>
    <row r="8">
      <c r="B8" s="8" t="inlineStr">
        <is>
          <t>Squad Support Costs</t>
        </is>
      </c>
      <c r="C8" s="9">
        <f>SUM(H24,H25,H31)</f>
        <v>0.36</v>
      </c>
      <c r="D8" s="9">
        <f>SUM(I24,I25,I31)</f>
        <v>1.44</v>
      </c>
      <c r="E8" s="9">
        <f>C8+D8</f>
        <v>1.7999999999999998</v>
      </c>
    </row>
    <row r="9">
      <c r="B9" s="203" t="inlineStr">
        <is>
          <t>Total Cost</t>
        </is>
      </c>
      <c r="C9" s="204">
        <f>SUM(C6:C8)</f>
        <v>1.2745000000000002</v>
      </c>
      <c r="D9" s="204">
        <f>SUM(D6:D8)</f>
        <v>1.44</v>
      </c>
      <c r="E9" s="204">
        <f>C9+D9</f>
        <v>2.7145</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(Fin)'!Q12</f>
        <v>5.8</v>
      </c>
      <c r="G12" s="218" t="inlineStr">
        <is>
          <t>P&amp;C Lights On</t>
        </is>
      </c>
      <c r="H12" s="221">
        <f>'0.1 Budget Table (Fin)'!L12</f>
        <v>2.1</v>
      </c>
      <c r="I12" s="487">
        <f>'0.1 Budget Table (Fin)'!G12</f>
        <v>0.0</v>
      </c>
      <c r="J12" s="222">
        <f>IFERROR(H12-I12,0)</f>
        <v>2.1</v>
      </c>
    </row>
    <row r="13">
      <c r="G13" s="218" t="inlineStr">
        <is>
          <t>OpEx Initiatives</t>
        </is>
      </c>
      <c r="H13" s="221">
        <f>'0.1 Budget Table (Fin)'!N12</f>
        <v>2.0</v>
      </c>
      <c r="I13" s="229" t="n">
        <v>0</v>
      </c>
      <c r="J13" s="222">
        <f>IFERROR(H13-I13,0)</f>
        <v>2.0</v>
      </c>
    </row>
    <row r="14">
      <c r="B14" s="427" t="inlineStr">
        <is>
          <t>Total to fund</t>
        </is>
      </c>
      <c r="C14" s="428" t="n"/>
      <c r="G14" s="218" t="inlineStr">
        <is>
          <t>CapEx</t>
        </is>
      </c>
      <c r="H14" s="221">
        <f>'0.1 Budget Table (Fin)'!P12</f>
        <v>0.3</v>
      </c>
      <c r="I14" s="229" t="n">
        <v>0</v>
      </c>
      <c r="J14" s="222">
        <f>IFERROR(H14-I14,0)</f>
        <v>0.3</v>
      </c>
    </row>
    <row r="15">
      <c r="B15" s="429" t="inlineStr">
        <is>
          <t>TDD Variance</t>
        </is>
      </c>
      <c r="C15" s="430">
        <f>MAX(0,-H7)</f>
        <v>0.0</v>
      </c>
      <c r="G15" s="218" t="inlineStr">
        <is>
          <t>Significant Items</t>
        </is>
      </c>
      <c r="H15" s="221">
        <f>'0.1 Budget Table (Fin)'!O12</f>
        <v>1.4</v>
      </c>
      <c r="I15" s="229" t="n">
        <v>0</v>
      </c>
      <c r="J15" s="222">
        <f>IFERROR(H15-I15,0)</f>
        <v>1.4</v>
      </c>
    </row>
    <row r="16">
      <c r="B16" s="429" t="inlineStr">
        <is>
          <t>Other Variance</t>
        </is>
      </c>
      <c r="C16" s="430">
        <f>MAX(0,I20)</f>
        <v>1.44</v>
      </c>
      <c r="G16" s="218" t="inlineStr">
        <is>
          <t>Significant Items EGI</t>
        </is>
      </c>
      <c r="H16" s="221" t="n"/>
      <c r="I16" s="229">
        <f>I31</f>
        <v>0.0</v>
      </c>
      <c r="J16" s="222" t="n"/>
    </row>
    <row r="17">
      <c r="B17" s="431" t="inlineStr">
        <is>
          <t>Total</t>
        </is>
      </c>
      <c r="C17" s="432">
        <f>C15+C16</f>
        <v>1.44</v>
      </c>
      <c r="G17" s="218" t="inlineStr">
        <is>
          <t>Depreciation</t>
        </is>
      </c>
      <c r="H17" s="221">
        <f>'0.1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1.44</v>
      </c>
      <c r="J19" s="224" t="n"/>
    </row>
    <row r="20">
      <c r="G20" s="225" t="inlineStr">
        <is>
          <t>Left to fund</t>
        </is>
      </c>
      <c r="H20" s="224" t="n"/>
      <c r="I20" s="226">
        <f>I19-I18</f>
        <v>1.44</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6" t="inlineStr">
        <is>
          <t>Fund</t>
        </is>
      </c>
    </row>
    <row r="24">
      <c r="B24" s="218" t="inlineStr">
        <is>
          <t>P&amp;C</t>
        </is>
      </c>
      <c r="C24" s="219" t="inlineStr">
        <is>
          <t>Configuration / Integration</t>
        </is>
      </c>
      <c r="D24" s="219" t="inlineStr">
        <is>
          <t>M</t>
        </is>
      </c>
      <c r="E24" s="219" t="inlineStr">
        <is>
          <t>Onshore</t>
        </is>
      </c>
      <c r="F24" s="220" t="n">
        <v>0.2</v>
      </c>
      <c r="G24" s="221">
        <f>IFERROR(IF($E24="Onshore",INDEX('0.3 Squad Archetypes'!$G$5:$G$23,MATCH($C24&amp;"|"&amp;$D24,'0.3 Squad Archetypes'!$A$5:$A$23,0)),INDEX('0.3 Squad Archetypes'!$H$5:$H$23,MATCH($C24&amp;"|"&amp;$D24,'0.3 Squad Archetypes'!$A$5:$A$23,0))),"check size")</f>
        <v>1.4</v>
      </c>
      <c r="H24" s="222">
        <f>IFERROR($G24*$F24,"")</f>
        <v>0.27999999999999997</v>
      </c>
      <c r="I24" s="222">
        <f>IFERROR($G24*(1-$F24),"")</f>
        <v>1.1199999999999999</v>
      </c>
      <c r="J24" s="693" t="inlineStr">
        <is>
          <t>AU</t>
        </is>
      </c>
    </row>
    <row r="25">
      <c r="B25" s="218" t="inlineStr">
        <is>
          <t>P&amp;C - RTA</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693" t="inlineStr">
        <is>
          <t>AU</t>
        </is>
      </c>
    </row>
    <row r="26">
      <c r="B26" s="486" t="inlineStr">
        <is>
          <t>Platform Overhead</t>
        </is>
      </c>
      <c r="G26" s="224" t="n"/>
      <c r="H26" s="221">
        <f>'0.2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6" t="inlineStr">
        <is>
          <t>Fund</t>
        </is>
      </c>
    </row>
    <row r="31">
      <c r="B31" s="8" t="inlineStr">
        <is>
          <t>EGI P&amp;C</t>
        </is>
      </c>
      <c r="C31" s="213" t="inlineStr">
        <is>
          <t>Strategic Programs</t>
        </is>
      </c>
      <c r="D31" s="213" t="n"/>
      <c r="E31" s="213" t="inlineStr">
        <is>
          <t>Onshore</t>
        </is>
      </c>
      <c r="F31" s="214" t="n">
        <v>0.2</v>
      </c>
      <c r="G31" s="216" t="n">
        <v>0</v>
      </c>
      <c r="H31" s="9">
        <f>IFERROR($G31*$F31,"")</f>
        <v>0.0</v>
      </c>
      <c r="I31" s="9">
        <f>IFERROR($G31*(1-$F31),"")</f>
        <v>0.0</v>
      </c>
      <c r="J31" s="693" t="inlineStr">
        <is>
          <t>AU</t>
        </is>
      </c>
    </row>
    <row r="32">
      <c r="B32" s="203" t="inlineStr">
        <is>
          <t>EGI P&amp;C Total</t>
        </is>
      </c>
      <c r="G32" s="204">
        <f>SUM(G31:G31)</f>
        <v>0.0</v>
      </c>
      <c r="H32" s="204">
        <f>SUM(H31:H31)</f>
        <v>0.0</v>
      </c>
      <c r="I32" s="204">
        <f>SUM(I31:I31)</f>
        <v>0.0</v>
      </c>
    </row>
    <row r="33"/>
    <row r="34">
      <c r="B34" s="686" t="inlineStr">
        <is>
          <t>TDD squad cost - AU funded (Fund toggles) ($m)</t>
        </is>
      </c>
      <c r="C34" s="669">
        <f>SUMIF(J24:J25,"AU",H24:H25)+SUMIF(J31:J31,"AU",H31:H31)</f>
        <v>0.36</v>
      </c>
    </row>
    <row r="35">
      <c r="B35" s="686" t="inlineStr">
        <is>
          <t>TDD squad cost - NZ funded (Fund toggles) ($m)</t>
        </is>
      </c>
      <c r="C35" s="669">
        <f>SUMIF(J24:J25,"NZ",H24:H25)+SUMIF(J31:J31,"NZ",H31:H31)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J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480" t="inlineStr">
        <is>
          <t>TDD ($m)</t>
        </is>
      </c>
      <c r="D5" s="480" t="inlineStr">
        <is>
          <t>Other ($m)</t>
        </is>
      </c>
      <c r="E5" s="480" t="inlineStr">
        <is>
          <t>Total Finance Cost ($m)</t>
        </is>
      </c>
      <c r="G5" s="201" t="inlineStr">
        <is>
          <t>TDD Lights On Budget (people - 0.2 Data Config)</t>
        </is>
      </c>
      <c r="H5" s="202">
        <f>'0.2 Data Config'!$E$19</f>
        <v>2.0</v>
      </c>
    </row>
    <row r="6">
      <c r="B6" s="8" t="inlineStr">
        <is>
          <t>Portfolio Overhead (see 0.2 Data Config)</t>
        </is>
      </c>
      <c r="C6" s="202">
        <f>'0.2 Data Config'!$L$10</f>
        <v>0.7495</v>
      </c>
      <c r="E6" s="9">
        <f>C6</f>
        <v>0.7495</v>
      </c>
      <c r="G6" s="201" t="inlineStr">
        <is>
          <t>Overheads &amp; Support (this model)</t>
        </is>
      </c>
      <c r="H6" s="9">
        <f>C9</f>
        <v>1.4145</v>
      </c>
    </row>
    <row r="7">
      <c r="B7" s="8" t="inlineStr">
        <is>
          <t>Platform Overheads</t>
        </is>
      </c>
      <c r="C7" s="9">
        <f>SUM(H26)</f>
        <v>0.165</v>
      </c>
      <c r="E7" s="9">
        <f>C7</f>
        <v>0.165</v>
      </c>
      <c r="G7" s="203" t="inlineStr">
        <is>
          <t>Variance (budget less cost)</t>
        </is>
      </c>
      <c r="H7" s="204">
        <f>H5-H6</f>
        <v>0.5854999999999999</v>
      </c>
    </row>
    <row r="8">
      <c r="B8" s="8" t="inlineStr">
        <is>
          <t>Squad Support Costs</t>
        </is>
      </c>
      <c r="C8" s="9">
        <f>SUM(H24,H25,H31)</f>
        <v>0.5</v>
      </c>
      <c r="D8" s="9">
        <f>SUM(I24,I25,I31)</f>
        <v>2.0</v>
      </c>
      <c r="E8" s="9">
        <f>C8+D8</f>
        <v>2.5</v>
      </c>
    </row>
    <row r="9">
      <c r="B9" s="203" t="inlineStr">
        <is>
          <t>Total Cost</t>
        </is>
      </c>
      <c r="C9" s="204">
        <f>SUM(C6:C8)</f>
        <v>1.4145</v>
      </c>
      <c r="D9" s="204">
        <f>SUM(D6:D8)</f>
        <v>2.0</v>
      </c>
      <c r="E9" s="204">
        <f>C9+D9</f>
        <v>3.4145000000000003</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(Fin)'!Q11</f>
        <v>3.5</v>
      </c>
      <c r="G12" s="218" t="inlineStr">
        <is>
          <t>Corporate Finance Lights On</t>
        </is>
      </c>
      <c r="H12" s="221">
        <f>'0.1 Budget Table (Fin)'!L11</f>
        <v>2.6</v>
      </c>
      <c r="I12" s="487">
        <f>'0.1 Budget Table (Fin)'!G11</f>
        <v>0.0</v>
      </c>
      <c r="J12" s="222">
        <f>IFERROR(H12-I12,0)</f>
        <v>2.6</v>
      </c>
    </row>
    <row r="13">
      <c r="G13" s="218" t="inlineStr">
        <is>
          <t>OpEx Initiatives</t>
        </is>
      </c>
      <c r="H13" s="221">
        <f>'0.1 Budget Table (Fin)'!N11</f>
        <v>0.9</v>
      </c>
      <c r="I13" s="229" t="n">
        <v>0</v>
      </c>
      <c r="J13" s="222">
        <f>IFERROR(H13-I13,0)</f>
        <v>0.9</v>
      </c>
    </row>
    <row r="14">
      <c r="B14" s="427" t="inlineStr">
        <is>
          <t>Total to fund</t>
        </is>
      </c>
      <c r="C14" s="428" t="n"/>
      <c r="G14" s="218" t="inlineStr">
        <is>
          <t>CapEx</t>
        </is>
      </c>
      <c r="H14" s="221">
        <f>'0.1 Budget Table (Fin)'!P11</f>
        <v>0.0</v>
      </c>
      <c r="I14" s="229" t="n">
        <v>0</v>
      </c>
      <c r="J14" s="222">
        <f>IFERROR(H14-I14,0)</f>
        <v>0.0</v>
      </c>
    </row>
    <row r="15">
      <c r="B15" s="429" t="inlineStr">
        <is>
          <t>TDD Variance</t>
        </is>
      </c>
      <c r="C15" s="430">
        <f>MAX(0,-H7)</f>
        <v>0.0</v>
      </c>
      <c r="G15" s="218" t="inlineStr">
        <is>
          <t>Significant Items</t>
        </is>
      </c>
      <c r="H15" s="221">
        <f>'0.1 Budget Table (Fin)'!O11</f>
        <v>0.0</v>
      </c>
      <c r="I15" s="229" t="n">
        <v>0</v>
      </c>
      <c r="J15" s="222">
        <f>IFERROR(H15-I15,0)</f>
        <v>0.0</v>
      </c>
    </row>
    <row r="16">
      <c r="B16" s="429" t="inlineStr">
        <is>
          <t>Other Variance</t>
        </is>
      </c>
      <c r="C16" s="430">
        <f>MAX(0,I20)</f>
        <v>2.0</v>
      </c>
      <c r="G16" s="218" t="inlineStr">
        <is>
          <t>Significant Items EGI</t>
        </is>
      </c>
      <c r="H16" s="221" t="n"/>
      <c r="I16" s="229">
        <f>I31</f>
        <v>0.0</v>
      </c>
      <c r="J16" s="222" t="n"/>
    </row>
    <row r="17">
      <c r="B17" s="431" t="inlineStr">
        <is>
          <t>Total</t>
        </is>
      </c>
      <c r="C17" s="432">
        <f>C15+C16</f>
        <v>2.0</v>
      </c>
      <c r="G17" s="218" t="inlineStr">
        <is>
          <t>Depreciation</t>
        </is>
      </c>
      <c r="H17" s="221">
        <f>'0.1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2.0</v>
      </c>
      <c r="J19" s="224" t="n"/>
    </row>
    <row r="20">
      <c r="G20" s="225" t="inlineStr">
        <is>
          <t>Left to fund</t>
        </is>
      </c>
      <c r="H20" s="224" t="n"/>
      <c r="I20" s="226">
        <f>I19-I18</f>
        <v>2.0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6" t="inlineStr">
        <is>
          <t>Fund</t>
        </is>
      </c>
    </row>
    <row r="24">
      <c r="B24" s="218" t="inlineStr">
        <is>
          <t>AU Finance</t>
        </is>
      </c>
      <c r="C24" s="219" t="inlineStr">
        <is>
          <t>Configuration / Integration</t>
        </is>
      </c>
      <c r="D24" s="219" t="inlineStr">
        <is>
          <t>L</t>
        </is>
      </c>
      <c r="E24" s="219" t="inlineStr">
        <is>
          <t>Onshore</t>
        </is>
      </c>
      <c r="F24" s="220" t="n">
        <v>0.2</v>
      </c>
      <c r="G24" s="221">
        <f>IFERROR(IF($E24="Onshore",INDEX('0.3 Squad Archetypes'!$G$5:$G$23,MATCH($C24&amp;"|"&amp;$D24,'0.3 Squad Archetypes'!$A$5:$A$23,0)),INDEX('0.3 Squad Archetypes'!$H$5:$H$23,MATCH($C24&amp;"|"&amp;$D24,'0.3 Squad Archetypes'!$A$5:$A$23,0))),"check size")</f>
        <v>2.1</v>
      </c>
      <c r="H24" s="222">
        <f>IFERROR($G24*$F24,"")</f>
        <v>0.42000000000000004</v>
      </c>
      <c r="I24" s="222">
        <f>IFERROR($G24*(1-$F24),"")</f>
        <v>1.6800000000000002</v>
      </c>
      <c r="J24" s="693" t="inlineStr">
        <is>
          <t>AU</t>
        </is>
      </c>
    </row>
    <row r="25">
      <c r="B25" s="218" t="inlineStr">
        <is>
          <t>NZ Finance</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693" t="inlineStr">
        <is>
          <t>AU</t>
        </is>
      </c>
    </row>
    <row r="26">
      <c r="B26" s="486" t="inlineStr">
        <is>
          <t>Platform Overhead</t>
        </is>
      </c>
      <c r="C26" s="224" t="n"/>
      <c r="D26" s="224" t="n"/>
      <c r="E26" s="224" t="n"/>
      <c r="F26" s="224" t="n"/>
      <c r="G26" s="224" t="n"/>
      <c r="H26" s="221">
        <f>'0.2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6" t="inlineStr">
        <is>
          <t>Fund</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c r="J31" s="693" t="inlineStr">
        <is>
          <t>AU</t>
        </is>
      </c>
    </row>
    <row r="32">
      <c r="B32" s="203" t="inlineStr">
        <is>
          <t>EGI Finance Total</t>
        </is>
      </c>
      <c r="G32" s="204">
        <f>SUM(G31:G31)</f>
        <v>0.0</v>
      </c>
      <c r="H32" s="204">
        <f>SUM(H31:H31)</f>
        <v>0.0</v>
      </c>
      <c r="I32" s="204">
        <f>SUM(I31:I31)</f>
        <v>0.0</v>
      </c>
    </row>
    <row r="33"/>
    <row r="34">
      <c r="B34" s="686" t="inlineStr">
        <is>
          <t>TDD squad cost - AU funded (Fund toggles) ($m)</t>
        </is>
      </c>
      <c r="C34" s="669">
        <f>SUMIF(J24:J25,"AU",H24:H25)+SUMIF(J31:J31,"AU",H31:H31)</f>
        <v>0.5</v>
      </c>
    </row>
    <row r="35">
      <c r="B35" s="686" t="inlineStr">
        <is>
          <t>TDD squad cost - NZ funded (Fund toggles) ($m)</t>
        </is>
      </c>
      <c r="C35" s="669">
        <f>SUMIF(J24:J25,"NZ",H24:H25)+SUMIF(J31:J31,"NZ",H31:H31)</f>
        <v>0.0</v>
      </c>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K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488" t="inlineStr">
        <is>
          <t>TDD ($m)</t>
        </is>
      </c>
      <c r="D6" s="488" t="inlineStr">
        <is>
          <t>Other ($m)</t>
        </is>
      </c>
      <c r="E6" s="488" t="inlineStr">
        <is>
          <t>Total Infrastructure Cost ($m)</t>
        </is>
      </c>
      <c r="G6" s="201" t="inlineStr">
        <is>
          <t>TDD Lights On Budget (people - 0.2 Data Config)</t>
        </is>
      </c>
      <c r="H6" s="202">
        <f>'0.2 Data Config'!$E$17</f>
        <v>2.5</v>
      </c>
    </row>
    <row r="7">
      <c r="B7" s="233" t="inlineStr">
        <is>
          <t>Portfolio Overhead (see 0.2 Data Config)</t>
        </is>
      </c>
      <c r="C7" s="221">
        <f>'0.2 Data Config'!$L$10</f>
        <v>0.7495</v>
      </c>
      <c r="D7" s="224" t="n"/>
      <c r="E7" s="222">
        <f>C7</f>
        <v>0.7495</v>
      </c>
      <c r="G7" s="201" t="inlineStr">
        <is>
          <t>Overheads &amp; Support (this model)</t>
        </is>
      </c>
      <c r="H7" s="9">
        <f>C10</f>
        <v>2.5245</v>
      </c>
    </row>
    <row r="8">
      <c r="B8" s="233" t="inlineStr">
        <is>
          <t>Platform Overheads</t>
        </is>
      </c>
      <c r="C8" s="222">
        <f>SUM(H26,H33,H39)</f>
        <v>0.495</v>
      </c>
      <c r="D8" s="224" t="n"/>
      <c r="E8" s="222">
        <f>C8</f>
        <v>0.495</v>
      </c>
      <c r="G8" s="203" t="inlineStr">
        <is>
          <t>Variance (budget less cost)</t>
        </is>
      </c>
      <c r="H8" s="204">
        <f>H6-H7</f>
        <v>-0.02450000000000019</v>
      </c>
    </row>
    <row r="9">
      <c r="B9" s="8" t="inlineStr">
        <is>
          <t>Squad Support Costs</t>
        </is>
      </c>
      <c r="C9" s="234">
        <f>SUM(H25,H31,H32,H38)</f>
        <v>1.2800000000000002</v>
      </c>
      <c r="D9" s="234">
        <f>SUM(I25,I31,I32,I38)</f>
        <v>2.7199999999999998</v>
      </c>
      <c r="E9" s="234">
        <f>C9+D9</f>
        <v>4.0</v>
      </c>
    </row>
    <row r="10">
      <c r="B10" s="203" t="inlineStr">
        <is>
          <t>Total Cost</t>
        </is>
      </c>
      <c r="C10" s="204">
        <f>SUM(C7:C9)</f>
        <v>2.5245</v>
      </c>
      <c r="D10" s="204">
        <f>SUM(D7:D9)</f>
        <v>2.7199999999999998</v>
      </c>
      <c r="E10" s="204">
        <f>C10+D10</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'0.1 Budget Table (Fin)'!Q10</f>
        <v>9.3</v>
      </c>
      <c r="G13" s="218" t="inlineStr">
        <is>
          <t>Infrastructure Lights On</t>
        </is>
      </c>
      <c r="H13" s="221">
        <f>'0.1 Budget Table (Fin)'!L10</f>
        <v>3.9</v>
      </c>
      <c r="I13" s="224">
        <f>'0.1 Budget Table (Fin)'!G10</f>
        <v>0.0</v>
      </c>
      <c r="J13" s="222">
        <f>IFERROR(H13-I13,0)</f>
        <v>3.9</v>
      </c>
    </row>
    <row r="14">
      <c r="G14" s="218" t="inlineStr">
        <is>
          <t>OpEx Initiatives</t>
        </is>
      </c>
      <c r="H14" s="221">
        <f>'0.1 Budget Table (Fin)'!N10</f>
        <v>0.4</v>
      </c>
      <c r="I14" s="229" t="n">
        <v>0</v>
      </c>
      <c r="J14" s="222">
        <f>IFERROR(H14-I14,0)</f>
        <v>0.4</v>
      </c>
    </row>
    <row r="15">
      <c r="B15" s="427" t="inlineStr">
        <is>
          <t>Total to fund</t>
        </is>
      </c>
      <c r="C15" s="428" t="n"/>
      <c r="G15" s="218" t="inlineStr">
        <is>
          <t>CapEx</t>
        </is>
      </c>
      <c r="H15" s="221">
        <f>'0.1 Budget Table (Fin)'!P10</f>
        <v>5.0</v>
      </c>
      <c r="I15" s="229" t="n">
        <v>0</v>
      </c>
      <c r="J15" s="222">
        <f>IFERROR(H15-I15,0)</f>
        <v>5.0</v>
      </c>
    </row>
    <row r="16">
      <c r="B16" s="429" t="inlineStr">
        <is>
          <t>TDD Variance</t>
        </is>
      </c>
      <c r="C16" s="430">
        <f>MAX(0,-H8)</f>
        <v>0.02450000000000019</v>
      </c>
      <c r="G16" s="218" t="inlineStr">
        <is>
          <t>Significant Items</t>
        </is>
      </c>
      <c r="H16" s="221">
        <f>'0.1 Budget Table (Fin)'!O10</f>
        <v>0.0</v>
      </c>
      <c r="I16" s="229" t="n">
        <v>0</v>
      </c>
      <c r="J16" s="222">
        <f>IFERROR(H16-I16,0)</f>
        <v>0.0</v>
      </c>
    </row>
    <row r="17">
      <c r="B17" s="429" t="inlineStr">
        <is>
          <t>Other Variance</t>
        </is>
      </c>
      <c r="C17" s="430">
        <f>MAX(0,I20)</f>
        <v>2.7199999999999998</v>
      </c>
      <c r="G17" s="218" t="inlineStr">
        <is>
          <t>Depreciation</t>
        </is>
      </c>
      <c r="H17" s="221">
        <f>'0.1 Budget Table (Fin)'!M10</f>
        <v>0.0</v>
      </c>
      <c r="I17" s="229" t="n">
        <v>0</v>
      </c>
      <c r="J17" s="222">
        <f>IFERROR(H17-I17,0)</f>
        <v>0.0</v>
      </c>
    </row>
    <row r="18">
      <c r="B18" s="431" t="inlineStr">
        <is>
          <t>Total</t>
        </is>
      </c>
      <c r="C18" s="432">
        <f>C16+C17</f>
        <v>2.7445</v>
      </c>
      <c r="G18" s="230" t="inlineStr">
        <is>
          <t>Total applied</t>
        </is>
      </c>
      <c r="H18" s="224" t="n"/>
      <c r="I18" s="231">
        <f>SUM(I13:I17)</f>
        <v>0.0</v>
      </c>
      <c r="J18" s="224" t="n"/>
    </row>
    <row r="19">
      <c r="G19" s="218" t="inlineStr">
        <is>
          <t>Other cost (this model)</t>
        </is>
      </c>
      <c r="H19" s="224" t="n"/>
      <c r="I19" s="222">
        <f>D10</f>
        <v>2.7199999999999998</v>
      </c>
      <c r="J19" s="224" t="n"/>
    </row>
    <row r="20">
      <c r="G20" s="225" t="inlineStr">
        <is>
          <t>Left to fund</t>
        </is>
      </c>
      <c r="H20" s="224" t="n"/>
      <c r="I20" s="226">
        <f>I19-I18</f>
        <v>2.7199999999999998</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c r="K24" s="696" t="inlineStr">
        <is>
          <t>Fund</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IFERROR(IF($E25="Onshore",INDEX('0.3 Squad Archetypes'!$G$5:$G$23,MATCH($C25&amp;"|"&amp;$D25,'0.3 Squad Archetypes'!$A$5:$A$23,0)),INDEX('0.3 Squad Archetypes'!$H$5:$H$23,MATCH($C25&amp;"|"&amp;$D25,'0.3 Squad Archetypes'!$A$5:$A$23,0))),"check size")</f>
        <v>1.4</v>
      </c>
      <c r="H25" s="222">
        <f>IFERROR($G25*$F25,"")</f>
        <v>0.27999999999999997</v>
      </c>
      <c r="I25" s="222">
        <f>IFERROR($G25*(1-$F25),"")</f>
        <v>1.1199999999999999</v>
      </c>
      <c r="K25" s="693" t="inlineStr">
        <is>
          <t>AU</t>
        </is>
      </c>
    </row>
    <row r="26">
      <c r="B26" s="486" t="inlineStr">
        <is>
          <t>Platform Overhead</t>
        </is>
      </c>
      <c r="C26" s="224" t="n"/>
      <c r="D26" s="224" t="n"/>
      <c r="E26" s="224" t="n"/>
      <c r="F26" s="224" t="n"/>
      <c r="G26" s="224" t="n"/>
      <c r="H26" s="221">
        <f>'0.2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c r="K30" s="696" t="inlineStr">
        <is>
          <t>Fund</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IFERROR(IF($E31="Onshore",INDEX('0.3 Squad Archetypes'!$G$5:$G$23,MATCH($C31&amp;"|"&amp;$D31,'0.3 Squad Archetypes'!$A$5:$A$23,0)),INDEX('0.3 Squad Archetypes'!$H$5:$H$23,MATCH($C31&amp;"|"&amp;$D31,'0.3 Squad Archetypes'!$A$5:$A$23,0))),"check size")</f>
        <v>1.4</v>
      </c>
      <c r="H31" s="222">
        <f>IFERROR($G31*$F31,"")</f>
        <v>0.27999999999999997</v>
      </c>
      <c r="I31" s="222">
        <f>IFERROR($G31*(1-$F31),"")</f>
        <v>1.1199999999999999</v>
      </c>
      <c r="K31" s="693" t="inlineStr">
        <is>
          <t>AU</t>
        </is>
      </c>
    </row>
    <row r="32">
      <c r="B32" s="218" t="inlineStr">
        <is>
          <t>Technology Support</t>
        </is>
      </c>
      <c r="C32" s="219" t="inlineStr">
        <is>
          <t>Operations</t>
        </is>
      </c>
      <c r="D32" s="219" t="inlineStr">
        <is>
          <t>S</t>
        </is>
      </c>
      <c r="E32" s="219" t="inlineStr">
        <is>
          <t>Onshore</t>
        </is>
      </c>
      <c r="F32" s="220" t="n">
        <v>0.8</v>
      </c>
      <c r="G32" s="221">
        <f>IFERROR(IF($E32="Onshore",INDEX('0.3 Squad Archetypes'!$G$5:$G$23,MATCH($C32&amp;"|"&amp;$D32,'0.3 Squad Archetypes'!$A$5:$A$23,0)),INDEX('0.3 Squad Archetypes'!$H$5:$H$23,MATCH($C32&amp;"|"&amp;$D32,'0.3 Squad Archetypes'!$A$5:$A$23,0))),"check size")</f>
        <v>0.8</v>
      </c>
      <c r="H32" s="222">
        <f>IFERROR($G32*$F32,"")</f>
        <v>0.6400000000000001</v>
      </c>
      <c r="I32" s="222">
        <f>IFERROR($G32*(1-$F32),"")</f>
        <v>0.15999999999999998</v>
      </c>
      <c r="K32" s="693" t="inlineStr">
        <is>
          <t>AU</t>
        </is>
      </c>
    </row>
    <row r="33">
      <c r="B33" s="486" t="inlineStr">
        <is>
          <t>Platform Overhead</t>
        </is>
      </c>
      <c r="C33" s="224" t="n"/>
      <c r="D33" s="224" t="n"/>
      <c r="E33" s="224" t="n"/>
      <c r="F33" s="224" t="n"/>
      <c r="G33" s="224" t="n"/>
      <c r="H33" s="221">
        <f>'0.2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c r="K37" s="696" t="inlineStr">
        <is>
          <t>Fund</t>
        </is>
      </c>
    </row>
    <row r="38">
      <c r="B38" s="218" t="inlineStr">
        <is>
          <t>Data &amp; Insights</t>
        </is>
      </c>
      <c r="C38" s="219" t="inlineStr">
        <is>
          <t>Configuration / Integration</t>
        </is>
      </c>
      <c r="D38" s="219" t="inlineStr">
        <is>
          <t>S</t>
        </is>
      </c>
      <c r="E38" s="219" t="inlineStr">
        <is>
          <t>Onshore</t>
        </is>
      </c>
      <c r="F38" s="220" t="n">
        <v>0.2</v>
      </c>
      <c r="G38" s="221">
        <f>IFERROR(IF($E38="Onshore",INDEX('0.3 Squad Archetypes'!$G$5:$G$23,MATCH($C38&amp;"|"&amp;$D38,'0.3 Squad Archetypes'!$A$5:$A$23,0)),INDEX('0.3 Squad Archetypes'!$H$5:$H$23,MATCH($C38&amp;"|"&amp;$D38,'0.3 Squad Archetypes'!$A$5:$A$23,0))),"check size")</f>
        <v>0.4</v>
      </c>
      <c r="H38" s="222">
        <f>IFERROR($G38*$F38,"")</f>
        <v>0.08000000000000002</v>
      </c>
      <c r="I38" s="222">
        <f>IFERROR($G38*(1-$F38),"")</f>
        <v>0.32000000000000006</v>
      </c>
      <c r="J38" t="inlineStr">
        <is>
          <t>Data team to be worked out</t>
        </is>
      </c>
      <c r="K38" s="693" t="inlineStr">
        <is>
          <t>AU</t>
        </is>
      </c>
    </row>
    <row r="39">
      <c r="B39" s="486" t="inlineStr">
        <is>
          <t>Platform Overhead</t>
        </is>
      </c>
      <c r="C39" s="224" t="n"/>
      <c r="D39" s="224" t="n"/>
      <c r="E39" s="224" t="n"/>
      <c r="F39" s="224" t="n"/>
      <c r="G39" s="224" t="n"/>
      <c r="H39" s="221">
        <f>'0.2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row r="41"/>
    <row r="42">
      <c r="B42" s="686" t="inlineStr">
        <is>
          <t>TDD squad cost - AU funded (Fund toggles) ($m)</t>
        </is>
      </c>
      <c r="C42" s="669">
        <f>SUMIF(K25:K25,"AU",H25:H25)+SUMIF(K31:K32,"AU",H31:H32)+SUMIF(K38:K38,"AU",H38:H38)</f>
        <v>1.2800000000000002</v>
      </c>
    </row>
    <row r="43">
      <c r="B43" s="686" t="inlineStr">
        <is>
          <t>TDD squad cost - NZ funded (Fund toggles) ($m)</t>
        </is>
      </c>
      <c r="C43" s="669">
        <f>SUMIF(K25:K25,"NZ",H25:H25)+SUMIF(K31:K32,"NZ",H31:H32)+SUMIF(K38:K38,"NZ",H38:H38)</f>
        <v>0.0</v>
      </c>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 sqref="K25 K31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K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ES &amp; B2B Cost ($m)</t>
        </is>
      </c>
      <c r="G5" s="201" t="inlineStr">
        <is>
          <t>TDD Lights On Budget (people - 0.2 Data Config)</t>
        </is>
      </c>
      <c r="H5" s="202">
        <f>'0.2 Data Config'!$E$16</f>
        <v>2.5</v>
      </c>
    </row>
    <row r="6">
      <c r="B6" s="8" t="inlineStr">
        <is>
          <t>Portfolio Overhead (see 0.2 Data Config)</t>
        </is>
      </c>
      <c r="C6" s="202">
        <f>'0.2 Data Config'!$L$10</f>
        <v>0.7495</v>
      </c>
      <c r="E6" s="9">
        <f>C6</f>
        <v>0.7495</v>
      </c>
      <c r="G6" s="201"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03" t="inlineStr">
        <is>
          <t>Variance (budget less cost)</t>
        </is>
      </c>
      <c r="H7" s="204">
        <f>H5-H6</f>
        <v>-0.009500000000000064</v>
      </c>
    </row>
    <row r="8">
      <c r="B8" s="8" t="inlineStr">
        <is>
          <t>Squad Support Costs</t>
        </is>
      </c>
      <c r="C8" s="9">
        <f>SUM(H27,H28,H34)</f>
        <v>1.4300000000000002</v>
      </c>
      <c r="D8" s="9">
        <f>SUM(I27,I28,I34)</f>
        <v>4.67</v>
      </c>
      <c r="E8" s="9">
        <f>C8+D8</f>
        <v>6.1</v>
      </c>
    </row>
    <row r="9">
      <c r="B9" s="203" t="inlineStr">
        <is>
          <t>Total Cost</t>
        </is>
      </c>
      <c r="C9" s="204">
        <f>SUM(C6:C8)</f>
        <v>2.5095</v>
      </c>
      <c r="D9" s="204">
        <f>SUM(D6:D8)</f>
        <v>4.67</v>
      </c>
      <c r="E9" s="204">
        <f>C9+D9</f>
        <v>7.1795</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'0.1 Budget Table (Fin)'!Q7</f>
        <v>7.2</v>
      </c>
      <c r="G12" s="218" t="inlineStr">
        <is>
          <t>Energy Solutions Lights On</t>
        </is>
      </c>
      <c r="H12" s="221">
        <f>'0.1 Budget Table (Fin)'!L7</f>
        <v>3.9</v>
      </c>
      <c r="I12" s="487">
        <f>'0.1 Budget Table (Fin)'!G7</f>
        <v>1.0</v>
      </c>
      <c r="J12" s="222">
        <f>IFERROR(H12-I12,0)</f>
        <v>2.9</v>
      </c>
    </row>
    <row r="13">
      <c r="G13" s="218" t="inlineStr">
        <is>
          <t xml:space="preserve">ES OpEx Initiatives </t>
        </is>
      </c>
      <c r="H13" s="221">
        <f>'0.1 Budget Table (Fin)'!N7</f>
        <v>1.0</v>
      </c>
      <c r="I13" s="229" t="n">
        <v>0</v>
      </c>
      <c r="J13" s="222">
        <f>IFERROR(H13-I13,0)</f>
        <v>1.0</v>
      </c>
    </row>
    <row r="14">
      <c r="B14" s="427" t="inlineStr">
        <is>
          <t>Total to fund</t>
        </is>
      </c>
      <c r="C14" s="428" t="n"/>
      <c r="G14" s="218" t="inlineStr">
        <is>
          <t>ES CapEx</t>
        </is>
      </c>
      <c r="H14" s="221">
        <f>'0.1 Budget Table (Fin)'!P7</f>
        <v>2.3</v>
      </c>
      <c r="I14" s="229" t="n">
        <v>1</v>
      </c>
      <c r="J14" s="222">
        <f>IFERROR(H14-I14,0)</f>
        <v>1.2999999999999998</v>
      </c>
    </row>
    <row r="15">
      <c r="B15" s="429" t="inlineStr">
        <is>
          <t>TDD Variance</t>
        </is>
      </c>
      <c r="C15" s="430">
        <f>MAX(0,-H7)</f>
        <v>0.009500000000000064</v>
      </c>
      <c r="G15" s="247" t="inlineStr">
        <is>
          <t>B2B Lights On</t>
        </is>
      </c>
      <c r="H15" s="229" t="n"/>
      <c r="I15" s="229" t="n"/>
      <c r="J15" s="222" t="n"/>
    </row>
    <row r="16">
      <c r="B16" s="429" t="inlineStr">
        <is>
          <t>Other Variance</t>
        </is>
      </c>
      <c r="C16" s="430">
        <f>MAX(0,I22)</f>
        <v>1.17</v>
      </c>
      <c r="E16" t="inlineStr">
        <is>
          <t>What is the B2B initiatives #?</t>
        </is>
      </c>
      <c r="G16" s="247" t="inlineStr">
        <is>
          <t xml:space="preserve">B2B OpEx Initiatives </t>
        </is>
      </c>
      <c r="H16" s="229" t="n"/>
      <c r="I16" s="229" t="n"/>
      <c r="J16" s="222" t="n"/>
    </row>
    <row r="17">
      <c r="B17" s="431" t="inlineStr">
        <is>
          <t>Total</t>
        </is>
      </c>
      <c r="C17" s="432">
        <f>C15+C16</f>
        <v>1.1795</v>
      </c>
      <c r="E17" t="inlineStr">
        <is>
          <t>What is the B2B CapEx?</t>
        </is>
      </c>
      <c r="G17" s="247" t="inlineStr">
        <is>
          <t>B2B CapEx</t>
        </is>
      </c>
      <c r="H17" s="229" t="n">
        <v>5.2</v>
      </c>
      <c r="I17" s="229" t="n">
        <v>1.5</v>
      </c>
      <c r="J17" s="222" t="n"/>
    </row>
    <row r="18">
      <c r="G18" s="218" t="inlineStr">
        <is>
          <t>Significant Items</t>
        </is>
      </c>
      <c r="H18" s="221">
        <f>'0.1 Budget Table (Fin)'!O7</f>
        <v>0.0</v>
      </c>
      <c r="I18" s="229" t="n">
        <v>0</v>
      </c>
      <c r="J18" s="222">
        <f>IFERROR(H18-I18,0)</f>
        <v>0.0</v>
      </c>
    </row>
    <row r="19">
      <c r="G19" s="218" t="inlineStr">
        <is>
          <t>Depreciation</t>
        </is>
      </c>
      <c r="H19" s="221">
        <f>'0.1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4.67</v>
      </c>
      <c r="J21" s="224" t="n"/>
    </row>
    <row r="22">
      <c r="G22" s="225" t="inlineStr">
        <is>
          <t>Left to fund</t>
        </is>
      </c>
      <c r="H22" s="224" t="n"/>
      <c r="I22" s="226">
        <f>I21-I20</f>
        <v>1.17</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c r="K26" s="696" t="inlineStr">
        <is>
          <t>Fund</t>
        </is>
      </c>
    </row>
    <row r="27">
      <c r="B27" s="218" t="inlineStr">
        <is>
          <t>Energy</t>
        </is>
      </c>
      <c r="C27" s="219" t="inlineStr">
        <is>
          <t>Engineering</t>
        </is>
      </c>
      <c r="D27" s="219" t="inlineStr">
        <is>
          <t>M</t>
        </is>
      </c>
      <c r="E27" s="219" t="inlineStr">
        <is>
          <t>Onshore</t>
        </is>
      </c>
      <c r="F27" s="220" t="n">
        <v>0.2</v>
      </c>
      <c r="G27" s="221">
        <f>IFERROR(IF($E27="Onshore",INDEX('0.3 Squad Archetypes'!$G$5:$G$23,MATCH($C27&amp;"|"&amp;$D27,'0.3 Squad Archetypes'!$A$5:$A$23,0)),INDEX('0.3 Squad Archetypes'!$H$5:$H$23,MATCH($C27&amp;"|"&amp;$D27,'0.3 Squad Archetypes'!$A$5:$A$23,0))),"check size")</f>
        <v>2.0</v>
      </c>
      <c r="H27" s="222">
        <f>IFERROR($G27*$F27,"")</f>
        <v>0.4</v>
      </c>
      <c r="I27" s="222">
        <f>IFERROR($G27*(1-$F27),"")</f>
        <v>1.6</v>
      </c>
      <c r="K27" s="693" t="inlineStr">
        <is>
          <t>AU</t>
        </is>
      </c>
    </row>
    <row r="28">
      <c r="B28" s="218" t="inlineStr">
        <is>
          <t>EVCI</t>
        </is>
      </c>
      <c r="C28" s="219" t="inlineStr">
        <is>
          <t>Engineering</t>
        </is>
      </c>
      <c r="D28" s="219" t="inlineStr">
        <is>
          <t>M</t>
        </is>
      </c>
      <c r="E28" s="219" t="inlineStr">
        <is>
          <t>Onshore</t>
        </is>
      </c>
      <c r="F28" s="220" t="n">
        <v>0.2</v>
      </c>
      <c r="G28" s="221">
        <f>IFERROR(IF($E28="Onshore",INDEX('0.3 Squad Archetypes'!$G$5:$G$23,MATCH($C28&amp;"|"&amp;$D28,'0.3 Squad Archetypes'!$A$5:$A$23,0)),INDEX('0.3 Squad Archetypes'!$H$5:$H$23,MATCH($C28&amp;"|"&amp;$D28,'0.3 Squad Archetypes'!$A$5:$A$23,0))),"check size")</f>
        <v>2.0</v>
      </c>
      <c r="H28" s="222">
        <f>IFERROR($G28*$F28,"")</f>
        <v>0.4</v>
      </c>
      <c r="I28" s="222">
        <f>IFERROR($G28*(1-$F28),"")</f>
        <v>1.6</v>
      </c>
      <c r="J28" t="inlineStr">
        <is>
          <t xml:space="preserve">current FTE 6 </t>
        </is>
      </c>
      <c r="K28" s="693" t="inlineStr">
        <is>
          <t>AU</t>
        </is>
      </c>
    </row>
    <row r="29">
      <c r="B29" s="486" t="inlineStr">
        <is>
          <t>Platform Overhead</t>
        </is>
      </c>
      <c r="C29" s="224" t="n"/>
      <c r="D29" s="224" t="n"/>
      <c r="E29" s="224" t="n"/>
      <c r="F29" s="224" t="n"/>
      <c r="G29" s="224" t="n"/>
      <c r="H29" s="221">
        <f>'0.2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c r="K33" s="696" t="inlineStr">
        <is>
          <t>Fund</t>
        </is>
      </c>
    </row>
    <row r="34">
      <c r="B34" s="218" t="inlineStr">
        <is>
          <t>B2B</t>
        </is>
      </c>
      <c r="C34" s="219" t="inlineStr">
        <is>
          <t>Configuration / Integration</t>
        </is>
      </c>
      <c r="D34" s="219" t="inlineStr">
        <is>
          <t>L</t>
        </is>
      </c>
      <c r="E34" s="219" t="inlineStr">
        <is>
          <t>Onshore</t>
        </is>
      </c>
      <c r="F34" s="220" t="n">
        <v>0.3</v>
      </c>
      <c r="G34" s="221">
        <f>IFERROR(IF($E34="Onshore",INDEX('0.3 Squad Archetypes'!$G$5:$G$23,MATCH($C34&amp;"|"&amp;$D34,'0.3 Squad Archetypes'!$A$5:$A$23,0)),INDEX('0.3 Squad Archetypes'!$H$5:$H$23,MATCH($C34&amp;"|"&amp;$D34,'0.3 Squad Archetypes'!$A$5:$A$23,0))),"check size")</f>
        <v>2.1</v>
      </c>
      <c r="H34" s="222">
        <f>IFERROR($G34*$F34,"")</f>
        <v>0.63</v>
      </c>
      <c r="I34" s="222">
        <f>IFERROR($G34*(1-$F34),"")</f>
        <v>1.47</v>
      </c>
      <c r="K34" s="693" t="inlineStr">
        <is>
          <t>AU</t>
        </is>
      </c>
    </row>
    <row r="35">
      <c r="B35" s="486" t="inlineStr">
        <is>
          <t>Platform Overhead</t>
        </is>
      </c>
      <c r="C35" s="224" t="n"/>
      <c r="D35" s="224" t="n"/>
      <c r="E35" s="224" t="n"/>
      <c r="F35" s="224" t="n"/>
      <c r="G35" s="224" t="n"/>
      <c r="H35" s="221">
        <f>'0.2 Data Config'!$L$16</f>
        <v>0.165</v>
      </c>
      <c r="I35" s="224" t="n"/>
    </row>
    <row r="36">
      <c r="B36" s="225" t="inlineStr">
        <is>
          <t>B2B Total</t>
        </is>
      </c>
      <c r="C36" s="212" t="n"/>
      <c r="D36" s="212" t="n"/>
      <c r="E36" s="212" t="n"/>
      <c r="F36" s="212" t="n"/>
      <c r="G36" s="226">
        <f>SUM(G34:G34)</f>
        <v>2.1</v>
      </c>
      <c r="H36" s="226">
        <f>SUM(H34:H35)</f>
        <v>0.795</v>
      </c>
      <c r="I36" s="226">
        <f>SUM(I34:I34)</f>
        <v>1.47</v>
      </c>
    </row>
    <row r="37"/>
    <row r="38">
      <c r="B38" s="686" t="inlineStr">
        <is>
          <t>TDD squad cost - AU funded (Fund toggles) ($m)</t>
        </is>
      </c>
      <c r="C38" s="669">
        <f>SUMIF(K27:K28,"AU",H27:H28)+SUMIF(K34:K34,"AU",H34:H34)</f>
        <v>1.4300000000000002</v>
      </c>
    </row>
    <row r="39">
      <c r="B39" s="686" t="inlineStr">
        <is>
          <t>TDD squad cost - NZ funded (Fund toggles) ($m)</t>
        </is>
      </c>
      <c r="C39" s="669">
        <f>SUMIF(K27:K28,"NZ",H27:H28)+SUMIF(K34:K34,"NZ",H34:H34)</f>
        <v>0.0</v>
      </c>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 sqref="K27 K28 K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L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Commercial Fuels Cost ($m)</t>
        </is>
      </c>
      <c r="G5" s="201" t="inlineStr">
        <is>
          <t>TDD Lights On Budget (people - 0.2 Data Config)</t>
        </is>
      </c>
      <c r="H5" s="202">
        <f>'0.2 Data Config'!$E$15</f>
        <v>2.5</v>
      </c>
    </row>
    <row r="6">
      <c r="B6" s="8" t="inlineStr">
        <is>
          <t>Portfolio Overhead (see 0.2 Data Config)</t>
        </is>
      </c>
      <c r="C6" s="202">
        <f>'0.2 Data Config'!$L$10</f>
        <v>0.7495</v>
      </c>
      <c r="E6" s="9">
        <f>C6</f>
        <v>0.7495</v>
      </c>
      <c r="G6" s="201" t="inlineStr">
        <is>
          <t>Overheads &amp; Support (this model)</t>
        </is>
      </c>
      <c r="H6" s="9">
        <f>C9</f>
        <v>2.0845</v>
      </c>
    </row>
    <row r="7">
      <c r="B7" s="8" t="inlineStr">
        <is>
          <t>Platform Overheads</t>
        </is>
      </c>
      <c r="C7" s="9">
        <f>SUM(H27,H33,H39)</f>
        <v>0.495</v>
      </c>
      <c r="E7" s="9">
        <f>C7</f>
        <v>0.495</v>
      </c>
      <c r="G7" s="203" t="inlineStr">
        <is>
          <t>Variance (budget less cost)</t>
        </is>
      </c>
      <c r="H7" s="204">
        <f>H5-H6</f>
        <v>0.4155000000000002</v>
      </c>
    </row>
    <row r="8">
      <c r="B8" s="8" t="inlineStr">
        <is>
          <t>Squad Support Costs</t>
        </is>
      </c>
      <c r="C8" s="9">
        <f>SUM(H25,H26,H32,H38)</f>
        <v>0.8399999999999999</v>
      </c>
      <c r="D8" s="9">
        <f>SUM(I25,I26,I32,I38)</f>
        <v>5.0600000000000005</v>
      </c>
      <c r="E8" s="9">
        <f>C8+D8</f>
        <v>5.9</v>
      </c>
    </row>
    <row r="9">
      <c r="B9" s="203" t="inlineStr">
        <is>
          <t>Total Cost</t>
        </is>
      </c>
      <c r="C9" s="204">
        <f>SUM(C6:C8)</f>
        <v>2.0845</v>
      </c>
      <c r="D9" s="204">
        <f>SUM(D6:D8)</f>
        <v>5.0600000000000005</v>
      </c>
      <c r="E9" s="204">
        <f>C9+D9</f>
        <v>7.144500000000001</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'0.1 Budget Table (Fin)'!Q8</f>
        <v>40.5</v>
      </c>
      <c r="G12" s="8" t="inlineStr">
        <is>
          <t>Commercial Fuels Lights On</t>
        </is>
      </c>
      <c r="H12" s="202">
        <f>'0.1 Budget Table (Fin)'!L8</f>
        <v>13.4</v>
      </c>
      <c r="I12" s="467">
        <f>'0.1 Budget Table (Fin)'!G8</f>
        <v>0.0</v>
      </c>
      <c r="J12" s="9">
        <f>IFERROR(H12-I12,0)</f>
        <v>13.4</v>
      </c>
    </row>
    <row r="13">
      <c r="G13" s="8" t="inlineStr">
        <is>
          <t>OpEx Initiatives</t>
        </is>
      </c>
      <c r="H13" s="202">
        <f>'0.1 Budget Table (Fin)'!N8</f>
        <v>6.1</v>
      </c>
      <c r="I13" s="208" t="n">
        <v>0</v>
      </c>
      <c r="J13" s="9">
        <f>IFERROR(H13-I13,0)</f>
        <v>6.1</v>
      </c>
    </row>
    <row r="14">
      <c r="B14" s="427" t="inlineStr">
        <is>
          <t>Total to fund</t>
        </is>
      </c>
      <c r="C14" s="428" t="n"/>
      <c r="G14" s="8" t="inlineStr">
        <is>
          <t>CapEx</t>
        </is>
      </c>
      <c r="H14" s="202">
        <f>'0.1 Budget Table (Fin)'!P8</f>
        <v>6.8</v>
      </c>
      <c r="I14" s="208" t="n">
        <v>1.7</v>
      </c>
      <c r="J14" s="9">
        <f>IFERROR(H14-I14,0)</f>
        <v>5.1</v>
      </c>
    </row>
    <row r="15">
      <c r="B15" s="429" t="inlineStr">
        <is>
          <t>TDD Variance</t>
        </is>
      </c>
      <c r="C15" s="430">
        <f>MAX(0,-H7)</f>
        <v>0.0</v>
      </c>
      <c r="G15" s="8" t="inlineStr">
        <is>
          <t>TDD CapEx</t>
        </is>
      </c>
      <c r="H15" s="202">
        <f>'0.1 Budget Table (Fin)'!P5</f>
        <v>4.9</v>
      </c>
      <c r="I15" s="208" t="n"/>
      <c r="J15" s="9">
        <f>IFERROR(H15-I15,0)</f>
        <v>4.9</v>
      </c>
    </row>
    <row r="16">
      <c r="B16" s="429" t="inlineStr">
        <is>
          <t>Other Variance</t>
        </is>
      </c>
      <c r="C16" s="430">
        <f>MAX(0,I20)</f>
        <v>1.9600000000000009</v>
      </c>
      <c r="G16" s="8" t="inlineStr">
        <is>
          <t>Significant Items</t>
        </is>
      </c>
      <c r="H16" s="202">
        <f>'0.1 Budget Table (Fin)'!O8</f>
        <v>14.2</v>
      </c>
      <c r="I16" s="208">
        <f>I38</f>
        <v>1.4</v>
      </c>
      <c r="J16" s="9">
        <f>IFERROR(H16-I16,0)</f>
        <v>12.799999999999999</v>
      </c>
    </row>
    <row r="17">
      <c r="B17" s="431" t="inlineStr">
        <is>
          <t>Total</t>
        </is>
      </c>
      <c r="C17" s="432">
        <f>C15+C16</f>
        <v>1.9600000000000009</v>
      </c>
      <c r="G17" s="8" t="inlineStr">
        <is>
          <t>Depreciation</t>
        </is>
      </c>
      <c r="H17" s="202">
        <f>'0.1 Budget Table (Fin)'!M8</f>
        <v>0.0</v>
      </c>
      <c r="I17" s="208" t="n">
        <v>0</v>
      </c>
      <c r="J17" s="9">
        <f>IFERROR(H17-I17,0)</f>
        <v>0.0</v>
      </c>
    </row>
    <row r="18">
      <c r="G18" s="211" t="inlineStr">
        <is>
          <t>Total applied</t>
        </is>
      </c>
      <c r="I18" s="22">
        <f>SUM(I12:I17)</f>
        <v>3.0999999999999996</v>
      </c>
    </row>
    <row r="19">
      <c r="G19" s="8" t="inlineStr">
        <is>
          <t>Other cost (this model)</t>
        </is>
      </c>
      <c r="I19" s="9">
        <f>D9</f>
        <v>5.0600000000000005</v>
      </c>
    </row>
    <row r="20">
      <c r="G20" s="203" t="inlineStr">
        <is>
          <t>Left to fund</t>
        </is>
      </c>
      <c r="I20" s="204">
        <f>I19-I18</f>
        <v>1.9600000000000009</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c r="K24" s="696" t="inlineStr">
        <is>
          <t>Fund</t>
        </is>
      </c>
    </row>
    <row r="25">
      <c r="B25" s="8" t="inlineStr">
        <is>
          <t>Trading &amp; Shipping</t>
        </is>
      </c>
      <c r="C25" s="213" t="inlineStr">
        <is>
          <t>Configuration / Integration</t>
        </is>
      </c>
      <c r="D25" s="213" t="inlineStr">
        <is>
          <t>M</t>
        </is>
      </c>
      <c r="E25" s="213" t="inlineStr">
        <is>
          <t>Onshore</t>
        </is>
      </c>
      <c r="F25" s="214" t="n">
        <v>0.4</v>
      </c>
      <c r="G25" s="202">
        <f>IFERROR(IF($E25="Onshore",INDEX('0.3 Squad Archetypes'!$G$5:$G$23,MATCH($C25&amp;"|"&amp;$D25,'0.3 Squad Archetypes'!$A$5:$A$23,0)),INDEX('0.3 Squad Archetypes'!$H$5:$H$23,MATCH($C25&amp;"|"&amp;$D25,'0.3 Squad Archetypes'!$A$5:$A$23,0))),"check size")</f>
        <v>1.4</v>
      </c>
      <c r="H25" s="9">
        <f>IFERROR($G25*$F25,"")</f>
        <v>0.5599999999999999</v>
      </c>
      <c r="I25" s="9">
        <f>IFERROR($G25*(1-$F25),"")</f>
        <v>0.84</v>
      </c>
      <c r="K25" s="693" t="inlineStr">
        <is>
          <t>AU</t>
        </is>
      </c>
    </row>
    <row r="26">
      <c r="B26" s="8" t="inlineStr">
        <is>
          <t>Trading &amp; Shipping Data</t>
        </is>
      </c>
      <c r="C26" s="213" t="inlineStr">
        <is>
          <t>Enterprise Data and Insights</t>
        </is>
      </c>
      <c r="D26" s="213" t="inlineStr">
        <is>
          <t>M</t>
        </is>
      </c>
      <c r="E26" s="213" t="inlineStr">
        <is>
          <t>Onshore</t>
        </is>
      </c>
      <c r="F26" s="214" t="n">
        <v>0</v>
      </c>
      <c r="G26" s="202">
        <f>IFERROR(IF($E26="Onshore",INDEX('0.3 Squad Archetypes'!$G$5:$G$23,MATCH($C26&amp;"|"&amp;$D26,'0.3 Squad Archetypes'!$A$5:$A$23,0)),INDEX('0.3 Squad Archetypes'!$H$5:$H$23,MATCH($C26&amp;"|"&amp;$D26,'0.3 Squad Archetypes'!$A$5:$A$23,0))),"check size")</f>
        <v>1.7</v>
      </c>
      <c r="H26" s="9">
        <f>IFERROR($G26*$F26,"")</f>
        <v>0.0</v>
      </c>
      <c r="I26" s="9">
        <f>IFERROR($G26*(1-$F26),"")</f>
        <v>1.7</v>
      </c>
      <c r="J26" s="102" t="inlineStr">
        <is>
          <t>Fully funded by CF</t>
        </is>
      </c>
      <c r="K26" s="693" t="inlineStr">
        <is>
          <t>AU</t>
        </is>
      </c>
    </row>
    <row r="27">
      <c r="B27" s="470" t="inlineStr">
        <is>
          <t>Platform Overhead</t>
        </is>
      </c>
      <c r="H27" s="202">
        <f>'0.2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K31" s="696" t="inlineStr">
        <is>
          <t>Fund</t>
        </is>
      </c>
    </row>
    <row r="32">
      <c r="B32" s="8" t="inlineStr">
        <is>
          <t>Supply</t>
        </is>
      </c>
      <c r="C32" s="213" t="inlineStr">
        <is>
          <t>Configuration / Integration</t>
        </is>
      </c>
      <c r="D32" s="213" t="inlineStr">
        <is>
          <t>M</t>
        </is>
      </c>
      <c r="E32" s="213" t="inlineStr">
        <is>
          <t>Onshore</t>
        </is>
      </c>
      <c r="F32" s="214" t="n">
        <v>0.2</v>
      </c>
      <c r="G32" s="202">
        <f>IFERROR(IF($E32="Onshore",INDEX('0.3 Squad Archetypes'!$G$5:$G$23,MATCH($C32&amp;"|"&amp;$D32,'0.3 Squad Archetypes'!$A$5:$A$23,0)),INDEX('0.3 Squad Archetypes'!$H$5:$H$23,MATCH($C32&amp;"|"&amp;$D32,'0.3 Squad Archetypes'!$A$5:$A$23,0))),"check size")</f>
        <v>1.4</v>
      </c>
      <c r="H32" s="9">
        <f>IFERROR($G32*$F32,"")</f>
        <v>0.27999999999999997</v>
      </c>
      <c r="I32" s="9">
        <f>IFERROR($G32*(1-$F32),"")</f>
        <v>1.1199999999999999</v>
      </c>
      <c r="K32" s="693" t="inlineStr">
        <is>
          <t>AU</t>
        </is>
      </c>
    </row>
    <row r="33">
      <c r="B33" s="470" t="inlineStr">
        <is>
          <t>Platform Overhead</t>
        </is>
      </c>
      <c r="H33" s="202">
        <f>'0.2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c r="K37" s="696" t="inlineStr">
        <is>
          <t>Fund</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c r="K38" s="693" t="inlineStr">
        <is>
          <t>AU</t>
        </is>
      </c>
    </row>
    <row r="39">
      <c r="B39" s="470" t="inlineStr">
        <is>
          <t>Platform Overhead</t>
        </is>
      </c>
      <c r="H39" s="202">
        <f>'0.2 Data Config'!$L$16</f>
        <v>0.165</v>
      </c>
    </row>
    <row r="40">
      <c r="B40" s="203" t="inlineStr">
        <is>
          <t>CTRM Total</t>
        </is>
      </c>
      <c r="C40" s="212" t="n"/>
      <c r="D40" s="212" t="n"/>
      <c r="E40" s="212" t="n"/>
      <c r="F40" s="212" t="n"/>
      <c r="G40" s="204">
        <f>SUM(G38:G38)</f>
        <v>1.4</v>
      </c>
      <c r="H40" s="204">
        <f>SUM(H38:H39)</f>
        <v>0.165</v>
      </c>
      <c r="I40" s="204">
        <f>SUM(I38:I38)</f>
        <v>1.4</v>
      </c>
    </row>
    <row r="41"/>
    <row r="42">
      <c r="B42" s="686" t="inlineStr">
        <is>
          <t>TDD squad cost - AU funded (Fund toggles) ($m)</t>
        </is>
      </c>
      <c r="C42" s="669">
        <f>SUMIF(K25:K26,"AU",H25:H26)+SUMIF(K32:K32,"AU",H32:H32)+SUMIF(K38:K38,"AU",H38:H38)</f>
        <v>0.8399999999999999</v>
      </c>
    </row>
    <row r="43">
      <c r="B43" s="686" t="inlineStr">
        <is>
          <t>TDD squad cost - NZ funded (Fund toggles) ($m)</t>
        </is>
      </c>
      <c r="C43" s="669">
        <f>SUMIF(K25:K26,"NZ",H25:H26)+SUMIF(K32:K32,"NZ",H32:H32)+SUMIF(K38:K38,"NZ",H38:H38)</f>
        <v>0.0</v>
      </c>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 sqref="K25 K26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K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480" t="inlineStr">
        <is>
          <t>TDD ($m)</t>
        </is>
      </c>
      <c r="D5" s="480" t="inlineStr">
        <is>
          <t>Other ($m)</t>
        </is>
      </c>
      <c r="E5" s="480" t="inlineStr">
        <is>
          <t>Total Z Retail Cost ($m)</t>
        </is>
      </c>
      <c r="G5" s="201" t="inlineStr">
        <is>
          <t>TDD Lights On Budget (people - 0.2 Data Config)</t>
        </is>
      </c>
      <c r="H5" s="202">
        <f>'0.2 Data Config'!$E$12</f>
        <v>2.5</v>
      </c>
    </row>
    <row r="6">
      <c r="B6" s="8" t="inlineStr">
        <is>
          <t>Portfolio Overhead (see 0.2 Data Config)</t>
        </is>
      </c>
      <c r="C6" s="202">
        <f>'0.2 Data Config'!$L$10</f>
        <v>0.7495</v>
      </c>
      <c r="E6" s="9">
        <f>C6</f>
        <v>0.7495</v>
      </c>
      <c r="G6" s="201" t="inlineStr">
        <is>
          <t>Overheads &amp; Support (this model)</t>
        </is>
      </c>
      <c r="H6" s="9">
        <f>C9</f>
        <v>5.399500000000001</v>
      </c>
    </row>
    <row r="7">
      <c r="B7" s="8" t="inlineStr">
        <is>
          <t>Platform Overheads</t>
        </is>
      </c>
      <c r="C7" s="9">
        <f>SUM(H25,H32)</f>
        <v>0.33</v>
      </c>
      <c r="E7" s="9">
        <f>C7</f>
        <v>0.33</v>
      </c>
      <c r="G7" s="203" t="inlineStr">
        <is>
          <t>Variance (budget less cost)</t>
        </is>
      </c>
      <c r="H7" s="204">
        <f>H5-H6</f>
        <v>-2.8995000000000006</v>
      </c>
      <c r="I7" t="inlineStr">
        <is>
          <t>Z funded - out of Z OpEx</t>
        </is>
      </c>
    </row>
    <row r="8">
      <c r="B8" s="8" t="inlineStr">
        <is>
          <t>Squad Support Costs</t>
        </is>
      </c>
      <c r="C8" s="9">
        <f>SUM(H24,H30,H31)</f>
        <v>4.32</v>
      </c>
      <c r="D8" s="9">
        <f>SUM(I24,I30,I31)</f>
        <v>1.0799999999999996</v>
      </c>
      <c r="E8" s="9">
        <f>C8+D8</f>
        <v>5.4</v>
      </c>
    </row>
    <row r="9">
      <c r="B9" s="203" t="inlineStr">
        <is>
          <t>Total Cost</t>
        </is>
      </c>
      <c r="C9" s="204">
        <f>SUM(C6:C8)</f>
        <v>5.399500000000001</v>
      </c>
      <c r="D9" s="204">
        <f>SUM(D6:D8)</f>
        <v>1.0799999999999996</v>
      </c>
      <c r="E9" s="204">
        <f>C9+D9</f>
        <v>6.4795</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(Fin)'!Q6</f>
        <v>76.60000000000002</v>
      </c>
      <c r="G12" s="218" t="inlineStr">
        <is>
          <t>Z-Energy Lights On</t>
        </is>
      </c>
      <c r="H12" s="221">
        <f>'0.1 Budget Table (Fin)'!L6</f>
        <v>52.20000000000001</v>
      </c>
      <c r="I12" s="224" t="n"/>
      <c r="J12" s="222">
        <f>IFERROR(H12-I12,0)</f>
        <v>52.20000000000001</v>
      </c>
    </row>
    <row r="13">
      <c r="G13" s="218" t="inlineStr">
        <is>
          <t>OpEx Initiatives</t>
        </is>
      </c>
      <c r="H13" s="221">
        <f>'0.1 Budget Table (Fin)'!N6</f>
        <v>1.4</v>
      </c>
      <c r="I13" s="229" t="n">
        <v>0</v>
      </c>
      <c r="J13" s="222">
        <f>IFERROR(H13-I13,0)</f>
        <v>1.4</v>
      </c>
    </row>
    <row r="14">
      <c r="B14" s="427" t="inlineStr">
        <is>
          <t>Total to fund</t>
        </is>
      </c>
      <c r="C14" s="428" t="n"/>
      <c r="G14" s="218" t="inlineStr">
        <is>
          <t>CapEx</t>
        </is>
      </c>
      <c r="H14" s="221">
        <f>'0.1 Budget Table (Fin)'!P6</f>
        <v>11.7</v>
      </c>
      <c r="I14" s="229" t="n">
        <v>1.08</v>
      </c>
      <c r="J14" s="222">
        <f>IFERROR(H14-I14,0)</f>
        <v>10.62</v>
      </c>
    </row>
    <row r="15">
      <c r="B15" s="429" t="inlineStr">
        <is>
          <t>TDD Variance</t>
        </is>
      </c>
      <c r="C15" s="430">
        <f>MAX(0,-H7)</f>
        <v>2.8995000000000006</v>
      </c>
      <c r="G15" s="218" t="inlineStr">
        <is>
          <t>Significant Items</t>
        </is>
      </c>
      <c r="H15" s="221" t="str">
        <f>'0.1 Budget Table (Fin)'!$O$6</f>
        <v>-</v>
      </c>
      <c r="I15" s="229" t="n">
        <v>0</v>
      </c>
      <c r="J15" s="222">
        <f>IFERROR(H15-I15,0)</f>
        <v>0.0</v>
      </c>
    </row>
    <row r="16">
      <c r="B16" s="429" t="inlineStr">
        <is>
          <t>Other Variance</t>
        </is>
      </c>
      <c r="C16" s="430">
        <f>MAX(0,I19)</f>
        <v>0.0</v>
      </c>
      <c r="G16" s="218" t="inlineStr">
        <is>
          <t>Depreciation</t>
        </is>
      </c>
      <c r="H16" s="221">
        <f>'0.1 Budget Table (Fin)'!M6</f>
        <v>11.3</v>
      </c>
      <c r="I16" s="229" t="n">
        <v>0</v>
      </c>
      <c r="J16" s="222">
        <f>IFERROR(H16-I16,0)</f>
        <v>11.3</v>
      </c>
    </row>
    <row r="17">
      <c r="B17" s="431" t="inlineStr">
        <is>
          <t>Total</t>
        </is>
      </c>
      <c r="C17" s="432">
        <f>C15+C16</f>
        <v>2.8995000000000006</v>
      </c>
      <c r="G17" s="230" t="inlineStr">
        <is>
          <t>Total applied</t>
        </is>
      </c>
      <c r="H17" s="224" t="n"/>
      <c r="I17" s="231">
        <f>SUM(I12:I16)</f>
        <v>1.08</v>
      </c>
      <c r="J17" s="224" t="n"/>
    </row>
    <row r="18">
      <c r="G18" s="218" t="inlineStr">
        <is>
          <t>Other cost (this model)</t>
        </is>
      </c>
      <c r="H18" s="224" t="n"/>
      <c r="I18" s="222">
        <f>D9</f>
        <v>1.0799999999999996</v>
      </c>
      <c r="J18" s="224" t="n"/>
    </row>
    <row r="19">
      <c r="G19" s="225" t="inlineStr">
        <is>
          <t>Left to fund</t>
        </is>
      </c>
      <c r="H19" s="224" t="n"/>
      <c r="I19" s="226">
        <f>MAX(0,ROUND(I18-I17,6))</f>
        <v>0.0</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K23" s="696" t="inlineStr">
        <is>
          <t>Fund</t>
        </is>
      </c>
    </row>
    <row r="24">
      <c r="B24" s="218" t="inlineStr">
        <is>
          <t>Z Supply</t>
        </is>
      </c>
      <c r="C24" s="219" t="inlineStr">
        <is>
          <t>Build and Run</t>
        </is>
      </c>
      <c r="D24" s="219" t="inlineStr">
        <is>
          <t>M</t>
        </is>
      </c>
      <c r="E24" s="219" t="inlineStr">
        <is>
          <t>Onshore</t>
        </is>
      </c>
      <c r="F24" s="220" t="n">
        <v>0.8</v>
      </c>
      <c r="G24" s="221">
        <f>IFERROR(IF($E24="Onshore",INDEX('0.3 Squad Archetypes'!$G$5:$G$23,MATCH($C24&amp;"|"&amp;$D24,'0.3 Squad Archetypes'!$A$5:$A$23,0)),INDEX('0.3 Squad Archetypes'!$H$5:$H$23,MATCH($C24&amp;"|"&amp;$D24,'0.3 Squad Archetypes'!$A$5:$A$23,0))),"check size")</f>
        <v>2.0</v>
      </c>
      <c r="H24" s="222">
        <f>IFERROR($G24*$F24,"")</f>
        <v>1.6</v>
      </c>
      <c r="I24" s="222">
        <f>IFERROR($G24*(1-$F24),"")</f>
        <v>0.3999999999999999</v>
      </c>
      <c r="J24" t="inlineStr">
        <is>
          <t>100% Z covered</t>
        </is>
      </c>
      <c r="K24" s="693" t="inlineStr">
        <is>
          <t>NZ</t>
        </is>
      </c>
    </row>
    <row r="25">
      <c r="B25" s="486" t="inlineStr">
        <is>
          <t>Platform Overhead</t>
        </is>
      </c>
      <c r="C25" s="224" t="n"/>
      <c r="D25" s="224" t="n"/>
      <c r="E25" s="224" t="n"/>
      <c r="F25" s="224" t="n"/>
      <c r="G25" s="224" t="n"/>
      <c r="H25" s="221">
        <f>'0.2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c r="K29" s="696" t="inlineStr">
        <is>
          <t>Fund</t>
        </is>
      </c>
    </row>
    <row r="30">
      <c r="B30" s="218" t="inlineStr">
        <is>
          <t>Site Systems</t>
        </is>
      </c>
      <c r="C30" s="219" t="inlineStr">
        <is>
          <t>Configuration / Integration</t>
        </is>
      </c>
      <c r="D30" s="219" t="inlineStr">
        <is>
          <t>M</t>
        </is>
      </c>
      <c r="E30" s="219" t="inlineStr">
        <is>
          <t>Onshore</t>
        </is>
      </c>
      <c r="F30" s="220" t="n">
        <v>0.8</v>
      </c>
      <c r="G30" s="221">
        <f>IFERROR(IF($E30="Onshore",INDEX('0.3 Squad Archetypes'!$G$5:$G$23,MATCH($C30&amp;"|"&amp;$D30,'0.3 Squad Archetypes'!$A$5:$A$23,0)),INDEX('0.3 Squad Archetypes'!$H$5:$H$23,MATCH($C30&amp;"|"&amp;$D30,'0.3 Squad Archetypes'!$A$5:$A$23,0))),"check size")</f>
        <v>1.4</v>
      </c>
      <c r="H30" s="222">
        <f>IFERROR($G30*$F30,"")</f>
        <v>1.1199999999999999</v>
      </c>
      <c r="I30" s="222">
        <f>IFERROR($G30*(1-$F30),"")</f>
        <v>0.2799999999999999</v>
      </c>
      <c r="J30" t="inlineStr">
        <is>
          <t>20% is CapEx</t>
        </is>
      </c>
      <c r="K30" s="693" t="inlineStr">
        <is>
          <t>NZ</t>
        </is>
      </c>
    </row>
    <row r="31">
      <c r="B31" s="218" t="inlineStr">
        <is>
          <t>Z Retail Backend</t>
        </is>
      </c>
      <c r="C31" s="219" t="inlineStr">
        <is>
          <t>Build and Run</t>
        </is>
      </c>
      <c r="D31" s="219" t="inlineStr">
        <is>
          <t>M</t>
        </is>
      </c>
      <c r="E31" s="219" t="inlineStr">
        <is>
          <t>Onshore</t>
        </is>
      </c>
      <c r="F31" s="220" t="n">
        <v>0.8</v>
      </c>
      <c r="G31" s="221">
        <f>IFERROR(IF($E31="Onshore",INDEX('0.3 Squad Archetypes'!$G$5:$G$23,MATCH($C31&amp;"|"&amp;$D31,'0.3 Squad Archetypes'!$A$5:$A$23,0)),INDEX('0.3 Squad Archetypes'!$H$5:$H$23,MATCH($C31&amp;"|"&amp;$D31,'0.3 Squad Archetypes'!$A$5:$A$23,0))),"check size")</f>
        <v>2.0</v>
      </c>
      <c r="H31" s="222">
        <f>IFERROR($G31*$F31,"")</f>
        <v>1.6</v>
      </c>
      <c r="I31" s="222">
        <f>IFERROR($G31*(1-$F31),"")</f>
        <v>0.3999999999999999</v>
      </c>
      <c r="K31" s="693" t="inlineStr">
        <is>
          <t>NZ</t>
        </is>
      </c>
    </row>
    <row r="32">
      <c r="B32" s="486" t="inlineStr">
        <is>
          <t>Platform Overhead</t>
        </is>
      </c>
      <c r="C32" s="224" t="n"/>
      <c r="D32" s="224" t="n"/>
      <c r="E32" s="224" t="n"/>
      <c r="F32" s="224" t="n"/>
      <c r="G32" s="224" t="n"/>
      <c r="H32" s="221">
        <f>'0.2 Data Config'!$L$16</f>
        <v>0.165</v>
      </c>
      <c r="I32" s="224" t="n"/>
    </row>
    <row r="33">
      <c r="B33" s="225" t="inlineStr">
        <is>
          <t>Z Customer Total</t>
        </is>
      </c>
      <c r="C33" s="212" t="n"/>
      <c r="D33" s="212" t="n"/>
      <c r="E33" s="212" t="n"/>
      <c r="F33" s="212" t="n"/>
      <c r="G33" s="226">
        <f>SUM(G30:G31)</f>
        <v>3.4</v>
      </c>
      <c r="H33" s="226">
        <f>SUM(H30:H32)</f>
        <v>2.885</v>
      </c>
      <c r="I33" s="226">
        <f>SUM(I30:I31)</f>
        <v>0.6799999999999998</v>
      </c>
    </row>
    <row r="34"/>
    <row r="35">
      <c r="B35" s="686" t="inlineStr">
        <is>
          <t>TDD squad cost - AU funded (Fund toggles) ($m)</t>
        </is>
      </c>
      <c r="C35" s="669">
        <f>SUMIF(K24:K24,"AU",H24:H24)+SUMIF(K30:K31,"AU",H30:H31)</f>
        <v>0.0</v>
      </c>
    </row>
    <row r="36">
      <c r="B36" s="686" t="inlineStr">
        <is>
          <t>TDD squad cost - NZ funded (Fund toggles) ($m)</t>
        </is>
      </c>
      <c r="C36" s="669">
        <f>SUMIF(K24:K24,"NZ",H24:H24)+SUMIF(K30:K31,"NZ",H30:H31)</f>
        <v>4.32</v>
      </c>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 sqref="K24 K30 K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1F4E79"/>
    <outlinePr summaryBelow="1" summaryRight="1"/>
    <pageSetUpPr/>
  </sheetPr>
  <dimension ref="A1:J30"/>
  <sheetViews>
    <sheetView showGridLines="0" zoomScaleNormal="100" workbookViewId="0">
      <selection activeCell="L8" sqref="L8"/>
    </sheetView>
  </sheetViews>
  <sheetFormatPr baseColWidth="8" defaultColWidth="8.54296875" defaultRowHeight="14.5" outlineLevelCol="0"/>
  <cols>
    <col width="28" customWidth="1" style="506" min="2" max="2"/>
    <col width="26" customWidth="1" style="506" min="3" max="3"/>
    <col width="9.1796875" bestFit="1" customWidth="1" style="506" min="4" max="4"/>
    <col width="21.26953125" customWidth="1" style="506" min="5" max="5"/>
    <col width="24.08984375" customWidth="1" style="506" min="6" max="6"/>
    <col width="27.1796875" customWidth="1" style="506" min="7" max="7"/>
    <col width="11.81640625" bestFit="1" customWidth="1" style="506" min="8" max="8"/>
    <col width="50.1796875" customWidth="1" style="506" min="9" max="9"/>
    <col width="24.81640625" customWidth="1" style="506" min="10" max="10"/>
  </cols>
  <sheetData>
    <row r="1"/>
    <row r="2" ht="21" customHeight="1" s="506">
      <c r="B2" s="199" t="inlineStr">
        <is>
          <t>TDD Cyber</t>
        </is>
      </c>
    </row>
    <row r="3"/>
    <row r="4">
      <c r="B4" s="508" t="inlineStr">
        <is>
          <t>Portfolio Summary</t>
        </is>
      </c>
      <c r="C4" s="509" t="n"/>
      <c r="D4" s="509" t="n"/>
      <c r="E4" s="510" t="n"/>
      <c r="G4" s="566" t="inlineStr">
        <is>
          <t>Budget vs TDD Cost</t>
        </is>
      </c>
      <c r="H4" s="510" t="n"/>
    </row>
    <row r="5">
      <c r="B5" s="5" t="inlineStr">
        <is>
          <t>Cost</t>
        </is>
      </c>
      <c r="C5" s="480" t="inlineStr">
        <is>
          <t>TDD ($m)</t>
        </is>
      </c>
      <c r="D5" s="480" t="inlineStr">
        <is>
          <t>Other ($m)</t>
        </is>
      </c>
      <c r="E5" s="480" t="inlineStr">
        <is>
          <t>Total TDD Cyber Cost ($m)</t>
        </is>
      </c>
      <c r="G5" s="201" t="inlineStr">
        <is>
          <t>TDD Lights On Budget (people - 0.2 Data Config)</t>
        </is>
      </c>
      <c r="H5" s="202">
        <f>'0.2 Data Config'!$E$23</f>
        <v>3.5</v>
      </c>
    </row>
    <row r="6">
      <c r="B6" s="8" t="inlineStr">
        <is>
          <t>Portfolio Overhead (see 0.2 Data Config)</t>
        </is>
      </c>
      <c r="C6" s="202">
        <f>'0.2 Data Config'!$L$10</f>
        <v>0.7495</v>
      </c>
      <c r="E6" s="9">
        <f>C6</f>
        <v>0.7495</v>
      </c>
      <c r="G6" s="201" t="inlineStr">
        <is>
          <t>Overheads &amp; Support (this model)</t>
        </is>
      </c>
      <c r="H6" s="9">
        <f>C9</f>
        <v>11.830489044</v>
      </c>
    </row>
    <row r="7">
      <c r="B7" s="8" t="inlineStr">
        <is>
          <t>Platform Overheads</t>
        </is>
      </c>
      <c r="C7" s="9">
        <f>SUM(H26)</f>
        <v>0.165</v>
      </c>
      <c r="E7" s="9">
        <f>C7</f>
        <v>0.165</v>
      </c>
      <c r="G7" s="203" t="inlineStr">
        <is>
          <t>Variance (budget less cost)</t>
        </is>
      </c>
      <c r="H7" s="204">
        <f>H5-H6</f>
        <v>-8.330489044</v>
      </c>
    </row>
    <row r="8">
      <c r="B8" s="8" t="inlineStr">
        <is>
          <t>Squad Support Costs</t>
        </is>
      </c>
      <c r="C8" s="9">
        <f>SUM(H24,H25)</f>
        <v>10.915989044</v>
      </c>
      <c r="D8" s="9">
        <f>SUM(I24,I25)</f>
        <v>0.0</v>
      </c>
      <c r="E8" s="9">
        <f>C8+D8</f>
        <v>10.915989044</v>
      </c>
    </row>
    <row r="9">
      <c r="B9" s="203" t="inlineStr">
        <is>
          <t>Total Cost</t>
        </is>
      </c>
      <c r="C9" s="204">
        <f>SUM(C6:C8)</f>
        <v>11.830489044</v>
      </c>
      <c r="D9" s="204">
        <f>SUM(D6:D8)</f>
        <v>0.0</v>
      </c>
      <c r="E9" s="204">
        <f>C9+D9</f>
        <v>11.830489044</v>
      </c>
    </row>
    <row r="10">
      <c r="G10" s="511" t="inlineStr">
        <is>
          <t xml:space="preserve">Other funding </t>
        </is>
      </c>
      <c r="H10" s="512" t="n"/>
      <c r="I10" s="512" t="n"/>
      <c r="J10" s="513" t="n"/>
    </row>
    <row r="11" ht="28" customHeight="1" s="506">
      <c r="B11" s="568" t="inlineStr">
        <is>
          <t>Lights On funded from the TDD allocation above (Data Config). Shared TDD Corporate pool sits on 2.4 COE Summary.</t>
        </is>
      </c>
      <c r="D11" s="507" t="n"/>
      <c r="E11" s="206" t="n"/>
      <c r="G11" s="480" t="inlineStr">
        <is>
          <t>Funding position</t>
        </is>
      </c>
      <c r="H11" s="217" t="n"/>
      <c r="I11" s="217" t="n"/>
      <c r="J11" s="217" t="n"/>
    </row>
    <row r="12">
      <c r="B12" s="560" t="n"/>
      <c r="D12" s="507" t="n"/>
      <c r="E12" s="207" t="n"/>
      <c r="G12" s="211" t="inlineStr">
        <is>
          <t>Other cost (this model)</t>
        </is>
      </c>
      <c r="H12" s="221" t="n"/>
      <c r="I12" s="228">
        <f>D9</f>
        <v>0.0</v>
      </c>
      <c r="J12" s="222" t="n"/>
    </row>
    <row r="13">
      <c r="B13" s="427" t="inlineStr">
        <is>
          <t>Total to fund</t>
        </is>
      </c>
      <c r="C13" s="428" t="n"/>
      <c r="F13" t="inlineStr">
        <is>
          <t xml:space="preserve">Cyber uplift bucket </t>
        </is>
      </c>
      <c r="G13" s="211" t="inlineStr">
        <is>
          <t>Funded from TDD Corporate pool (2.4 COE Summary)</t>
        </is>
      </c>
      <c r="H13" s="221" t="n"/>
      <c r="I13" s="216" t="n">
        <v>0</v>
      </c>
      <c r="J13" s="222" t="n"/>
    </row>
    <row r="14">
      <c r="B14" s="429" t="inlineStr">
        <is>
          <t>TDD Variance</t>
        </is>
      </c>
      <c r="C14" s="430">
        <f>MAX(0,-H7)</f>
        <v>8.330489044</v>
      </c>
      <c r="G14" s="203" t="inlineStr">
        <is>
          <t>Left to fund</t>
        </is>
      </c>
      <c r="H14" s="221" t="n"/>
      <c r="I14" s="204">
        <f>I12-I13-I16</f>
        <v>0.0</v>
      </c>
      <c r="J14" s="222" t="n"/>
    </row>
    <row r="15">
      <c r="B15" s="429" t="inlineStr">
        <is>
          <t>Other Variance</t>
        </is>
      </c>
      <c r="C15" s="430">
        <f>MAX(0,I14)</f>
        <v>0.0</v>
      </c>
      <c r="G15" s="438" t="inlineStr">
        <is>
          <t>Cyber funding buckets</t>
        </is>
      </c>
      <c r="H15" s="433" t="inlineStr">
        <is>
          <t>Budget ($m)</t>
        </is>
      </c>
      <c r="I15" s="433" t="inlineStr">
        <is>
          <t>Applied ($m)</t>
        </is>
      </c>
      <c r="J15" s="433" t="inlineStr">
        <is>
          <t>Remaining ($m)</t>
        </is>
      </c>
    </row>
    <row r="16">
      <c r="B16" s="431" t="inlineStr">
        <is>
          <t>Total</t>
        </is>
      </c>
      <c r="C16" s="432">
        <f>C14+C15</f>
        <v>8.330489044</v>
      </c>
      <c r="D16" t="inlineStr">
        <is>
          <t xml:space="preserve">Identity - can be charging back </t>
        </is>
      </c>
      <c r="G16" s="434" t="inlineStr">
        <is>
          <t>Cyber CapEx (Monitoring)</t>
        </is>
      </c>
      <c r="H16" s="435" t="n">
        <v>0.5</v>
      </c>
      <c r="I16" s="435" t="n">
        <v>0</v>
      </c>
      <c r="J16" s="430">
        <f>H16-I16</f>
        <v>0.5</v>
      </c>
    </row>
    <row r="17">
      <c r="B17" t="inlineStr">
        <is>
          <t xml:space="preserve">Cyber Architects could be charged back </t>
        </is>
      </c>
      <c r="D17" t="inlineStr">
        <is>
          <t xml:space="preserve">Governance, Risk &amp; Complaince 
- Some can be charged back </t>
        </is>
      </c>
      <c r="G17" s="230" t="n"/>
      <c r="H17" s="224" t="n"/>
      <c r="I17" s="231" t="n"/>
      <c r="J17" s="224" t="n"/>
    </row>
    <row r="18">
      <c r="B18" t="inlineStr">
        <is>
          <t xml:space="preserve">Initiatives within Cyber &amp; outside </t>
        </is>
      </c>
      <c r="G18" s="218" t="n"/>
      <c r="H18" s="224" t="n"/>
      <c r="I18" s="222" t="n"/>
      <c r="J18" s="224" t="n"/>
    </row>
    <row r="19">
      <c r="B19" t="inlineStr">
        <is>
          <t>4x Architects can be charged out 100%</t>
        </is>
      </c>
      <c r="G19" s="225" t="n"/>
      <c r="H19" s="224" t="n"/>
      <c r="I19" s="226" t="n"/>
      <c r="J19" s="224" t="n"/>
    </row>
    <row r="20"/>
    <row r="21"/>
    <row r="22">
      <c r="B22" s="511" t="inlineStr">
        <is>
          <t xml:space="preserve">Platform: TDD Cyber, Risk &amp; Service Ops </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6" t="inlineStr">
        <is>
          <t>Fund</t>
        </is>
      </c>
    </row>
    <row r="24">
      <c r="B24" s="218" t="inlineStr">
        <is>
          <t>Cyber &amp; Risk</t>
        </is>
      </c>
      <c r="C24" s="304" t="inlineStr">
        <is>
          <t>Strategic Programs</t>
        </is>
      </c>
      <c r="D24" s="304" t="n"/>
      <c r="E24" s="304" t="inlineStr">
        <is>
          <t>Onshore</t>
        </is>
      </c>
      <c r="F24" s="305" t="n">
        <v>1</v>
      </c>
      <c r="G24" s="491">
        <f>'2.3 Cyber Roles'!$F$6</f>
        <v>6.5289684139999995</v>
      </c>
      <c r="H24" s="222">
        <f>IFERROR($G24*$F24,"")</f>
        <v>6.5289684139999995</v>
      </c>
      <c r="I24" s="222">
        <f>IFERROR($G24*(1-$F24),"")</f>
        <v>0.0</v>
      </c>
      <c r="J24" s="693" t="inlineStr">
        <is>
          <t>AU</t>
        </is>
      </c>
    </row>
    <row r="25">
      <c r="B25" s="218" t="inlineStr">
        <is>
          <t>Service Operations</t>
        </is>
      </c>
      <c r="C25" s="304" t="inlineStr">
        <is>
          <t>Strategic Programs</t>
        </is>
      </c>
      <c r="D25" s="304" t="n"/>
      <c r="E25" s="304" t="inlineStr">
        <is>
          <t>Onshore</t>
        </is>
      </c>
      <c r="F25" s="305" t="n">
        <v>1</v>
      </c>
      <c r="G25" s="491">
        <f>'2.3 Cyber Roles'!$F$7</f>
        <v>4.38702063</v>
      </c>
      <c r="H25" s="222">
        <f>IFERROR($G25*$F25,"")</f>
        <v>4.38702063</v>
      </c>
      <c r="I25" s="222">
        <f>IFERROR($G25*(1-$F25),"")</f>
        <v>0.0</v>
      </c>
      <c r="J25" s="693" t="inlineStr">
        <is>
          <t>AU</t>
        </is>
      </c>
    </row>
    <row r="26">
      <c r="B26" s="486" t="inlineStr">
        <is>
          <t>Platform Overhead</t>
        </is>
      </c>
      <c r="C26" s="224" t="n"/>
      <c r="D26" s="224" t="n"/>
      <c r="E26" s="224" t="n"/>
      <c r="F26" s="224" t="n"/>
      <c r="G26" s="224" t="n"/>
      <c r="H26" s="221">
        <f>'0.2 Data Config'!$L$16</f>
        <v>0.165</v>
      </c>
      <c r="I26" s="224" t="n"/>
    </row>
    <row r="27">
      <c r="B27" s="212" t="inlineStr">
        <is>
          <t>TDD Cyber Total</t>
        </is>
      </c>
      <c r="C27" s="212" t="n"/>
      <c r="D27" s="212" t="n"/>
      <c r="E27" s="212" t="n"/>
      <c r="F27" s="212" t="n"/>
      <c r="G27" s="226">
        <f>SUM(G24:G25)</f>
        <v>10.915989044</v>
      </c>
      <c r="H27" s="226">
        <f>SUM(H24:H26)</f>
        <v>11.080989043999999</v>
      </c>
      <c r="I27" s="226">
        <f>SUM(I24:I25)</f>
        <v>0.0</v>
      </c>
    </row>
    <row r="28"/>
    <row r="29">
      <c r="B29" s="686" t="inlineStr">
        <is>
          <t>TDD squad cost - AU funded (Fund toggles) ($m)</t>
        </is>
      </c>
      <c r="C29" s="669">
        <f>SUMIF(J24:J25,"AU",H24:H25)</f>
        <v>10.915989044</v>
      </c>
    </row>
    <row r="30">
      <c r="B30" s="686" t="inlineStr">
        <is>
          <t>TDD squad cost - NZ funded (Fund toggles) ($m)</t>
        </is>
      </c>
      <c r="C30" s="669">
        <f>SUMIF(J24:J25,"NZ",H24:H25)</f>
        <v>0.0</v>
      </c>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5" showDropDown="0" showInputMessage="0" showErrorMessage="1" allowBlank="1" errorTitle="Invalid entry" error="Pick a value from the list" type="list">
      <formula1>SquadTypes</formula1>
      <formula2>0</formula2>
    </dataValidation>
    <dataValidation sqref="D24:D25" showDropDown="0" showInputMessage="0" showErrorMessage="1" allowBlank="1" errorTitle="Invalid entry" error="Pick a value from the list" type="list">
      <formula1>SquadSizes</formula1>
      <formula2>0</formula2>
    </dataValidation>
    <dataValidation sqref="E24:E25" showDropDown="0" showInputMessage="0" showErrorMessage="1" allowBlank="1" errorTitle="Invalid entry" error="Pick a value from the list" type="list">
      <formula1>OnOff</formula1>
      <formula2>0</formula2>
    </dataValidation>
    <dataValidation sqref="F24:F25" showDropDown="0" showInputMessage="0" showErrorMessage="1" allowBlank="1" errorTitle="Invalid entry" error="Pick a value from the list" type="list">
      <formula1>SupportPct</formula1>
      <formula2>0</formula2>
    </dataValidation>
    <dataValidation sqref="J24 J2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00002F6C"/>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6" t="inlineStr">
        <is>
          <t>ROLL-UP  &gt;&gt;&gt;</t>
        </is>
      </c>
    </row>
  </sheetData>
  <pageMargins left="0.75" right="0.75" top="1" bottom="1" header="0.5" footer="0.5"/>
</worksheet>
</file>

<file path=xl/worksheets/sheet21.xml><?xml version="1.0" encoding="utf-8"?>
<worksheet xmlns="http://schemas.openxmlformats.org/spreadsheetml/2006/main">
  <sheetPr>
    <tabColor rgb="00002F6C"/>
    <outlinePr summaryBelow="1" summaryRight="1"/>
    <pageSetUpPr/>
  </sheetPr>
  <dimension ref="A1:L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5" t="n"/>
      <c r="J5" s="665" t="n"/>
      <c r="K5" s="665" t="n"/>
      <c r="L5" s="665" t="n"/>
    </row>
    <row r="6">
      <c r="B6" s="668" t="inlineStr">
        <is>
          <t>Business Partnering</t>
        </is>
      </c>
      <c r="C6" s="671">
        <f>COUNTIF($G$21:$G$44,$B6)</f>
        <v>10.0</v>
      </c>
      <c r="D6" s="671">
        <f>COUNTIFS($G$21:$G$44,$B6,$F$21:$F$44,"Filled")</f>
        <v>9.0</v>
      </c>
      <c r="E6" s="671">
        <f>COUNTIFS($G$21:$G$44,$B6,$F$21:$F$44,"Vacant")</f>
        <v>1.0</v>
      </c>
      <c r="F6" s="669">
        <f>SUMIF($G$21:$G$44,$B6,$J$21:$J$44)</f>
        <v>3.2925625919999995</v>
      </c>
      <c r="G6" s="669">
        <f>C15</f>
        <v>3.8920000000000003</v>
      </c>
      <c r="H6" s="669">
        <f>MAX(0,F6-G6)</f>
        <v>0.0</v>
      </c>
      <c r="I6" s="665" t="n"/>
      <c r="J6" s="665" t="n"/>
      <c r="K6" s="665" t="n"/>
      <c r="L6" s="665" t="n"/>
    </row>
    <row r="7">
      <c r="B7" s="668" t="inlineStr">
        <is>
          <t>Transformation</t>
        </is>
      </c>
      <c r="C7" s="671">
        <f>COUNTIF($G$21:$G$44,$B7)</f>
        <v>14.0</v>
      </c>
      <c r="D7" s="671">
        <f>COUNTIFS($G$21:$G$44,$B7,$F$21:$F$44,"Filled")</f>
        <v>6.0</v>
      </c>
      <c r="E7" s="671">
        <f>COUNTIFS($G$21:$G$44,$B7,$F$21:$F$44,"Vacant")</f>
        <v>8.0</v>
      </c>
      <c r="F7" s="669">
        <f>SUMIF($G$21:$G$44,$B7,$J$21:$J$44)</f>
        <v>3.10799923</v>
      </c>
      <c r="G7" s="669">
        <f>C16</f>
        <v>2.0</v>
      </c>
      <c r="H7" s="669">
        <f>MAX(0,F7-G7)</f>
        <v>1.10799923</v>
      </c>
      <c r="I7" s="665" t="n"/>
      <c r="J7" s="665" t="n"/>
      <c r="K7" s="665" t="n"/>
      <c r="L7" s="665" t="n"/>
    </row>
    <row r="8">
      <c r="B8" s="683" t="inlineStr">
        <is>
          <t>Total</t>
        </is>
      </c>
      <c r="C8" s="684">
        <f>SUM(C6:C7)</f>
        <v>24.0</v>
      </c>
      <c r="D8" s="684">
        <f>SUM(D6:D7)</f>
        <v>15.0</v>
      </c>
      <c r="E8" s="684">
        <f>SUM(E6:E7)</f>
        <v>9.0</v>
      </c>
      <c r="F8" s="685">
        <f>SUM(F6:F7)</f>
        <v>6.400561821999999</v>
      </c>
      <c r="G8" s="685">
        <f>SUM(G6:G7)</f>
        <v>5.892</v>
      </c>
      <c r="H8" s="685">
        <f>SUM(H6:H7)</f>
        <v>1.10799923</v>
      </c>
      <c r="I8" s="665" t="n"/>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Summary'!$B$6:$B$16)</f>
        <v>11.0</v>
      </c>
      <c r="D10" s="665" t="n"/>
      <c r="E10" s="686" t="inlineStr">
        <is>
          <t>Cost - AU and other funded ($m)</t>
        </is>
      </c>
      <c r="F10" s="669">
        <f>SUMIF($E$21:$E$44,"&lt;&gt;NZ",$J$21:$J$44)</f>
        <v>5.65861055</v>
      </c>
      <c r="G10" s="665" t="n"/>
      <c r="H10" s="665" t="n"/>
      <c r="I10" s="665" t="n"/>
      <c r="J10" s="665" t="n"/>
      <c r="K10" s="665" t="n"/>
      <c r="L10" s="665" t="n"/>
    </row>
    <row r="11">
      <c r="B11" s="686" t="inlineStr">
        <is>
          <t>Business Partner allocation per portfolio (FTE - 0.2 Data Config)</t>
        </is>
      </c>
      <c r="C11" s="688">
        <f>'0.2 Data Config'!$K$7</f>
        <v>0.4</v>
      </c>
      <c r="D11" s="665" t="n"/>
      <c r="E11" s="686" t="inlineStr">
        <is>
          <t>Cost - NZ funded ($m)</t>
        </is>
      </c>
      <c r="F11" s="669">
        <f>SUMIF($E$21:$E$44,"NZ",$J$21:$J$44)</f>
        <v>0.741951272</v>
      </c>
      <c r="G11" s="665" t="n"/>
      <c r="H11" s="665" t="n"/>
      <c r="I11" s="665" t="n"/>
      <c r="J11" s="665" t="n"/>
      <c r="K11" s="665" t="n"/>
      <c r="L11" s="665" t="n"/>
    </row>
    <row r="12">
      <c r="B12" s="686" t="inlineStr">
        <is>
          <t>Business Partner FTEs funded by portfolio overheads</t>
        </is>
      </c>
      <c r="C12" s="688">
        <f>C10*C11</f>
        <v>4.4</v>
      </c>
      <c r="D12" s="665" t="n"/>
      <c r="E12" s="665" t="n"/>
      <c r="F12" s="665" t="n"/>
      <c r="G12" s="665" t="n"/>
      <c r="H12" s="665" t="n"/>
      <c r="I12" s="665" t="n"/>
      <c r="J12" s="665" t="n"/>
      <c r="K12" s="665" t="n"/>
      <c r="L12" s="665" t="n"/>
    </row>
    <row r="13">
      <c r="B13" s="686" t="inlineStr">
        <is>
          <t>Business Partner funding from portfolio overheads ($m)</t>
        </is>
      </c>
      <c r="C13" s="669">
        <f>COUNTA('2.5 Group Summary'!$B$6:$B$16)*'0.2 Data Config'!$L$7</f>
        <v>1.8920000000000001</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3.8920000000000003</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5.892</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Category</t>
        </is>
      </c>
      <c r="H20" s="667" t="inlineStr">
        <is>
          <t>On/Off</t>
        </is>
      </c>
      <c r="I20" s="690" t="inlineStr">
        <is>
          <t>Full Cost AUD ($)</t>
        </is>
      </c>
      <c r="J20" s="691" t="inlineStr">
        <is>
          <t>Model cost ($m)</t>
        </is>
      </c>
      <c r="K20" s="665" t="n"/>
      <c r="L20" s="665" t="n"/>
    </row>
    <row r="21">
      <c r="B21" s="686" t="str">
        <f>Sheet2!$B$70</f>
        <v>Briony Scott</v>
      </c>
      <c r="C21" s="692"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86" t="str">
        <f>IF(Sheet2!$G$70="Transformation","Transformation","Business Partnering")</f>
        <v>Business Partnering</v>
      </c>
      <c r="H21" s="693" t="inlineStr">
        <is>
          <t>Onshore</t>
        </is>
      </c>
      <c r="I21" s="694">
        <f>Sheet2!$AA$70</f>
        <v>205056.0</v>
      </c>
      <c r="J21" s="669">
        <f>IF($H21="Offshore",$I21*'0.3 Squad Archetypes'!$K$5,$I21)/1000000</f>
        <v>0.205056</v>
      </c>
      <c r="K21" s="665" t="n"/>
      <c r="L21" s="665" t="n"/>
    </row>
    <row r="22">
      <c r="B22" s="686" t="str">
        <f>Sheet2!$B$71</f>
        <v>Conli Mills</v>
      </c>
      <c r="C22" s="692"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86" t="str">
        <f>IF(Sheet2!$G$71="Transformation","Transformation","Business Partnering")</f>
        <v>Business Partnering</v>
      </c>
      <c r="H22" s="693" t="inlineStr">
        <is>
          <t>Onshore</t>
        </is>
      </c>
      <c r="I22" s="694">
        <f>Sheet2!$AA$71</f>
        <v>297150.0</v>
      </c>
      <c r="J22" s="669">
        <f>IF($H22="Offshore",$I22*'0.3 Squad Archetypes'!$K$5,$I22)/1000000</f>
        <v>0.29715</v>
      </c>
      <c r="K22" s="665" t="n"/>
      <c r="L22" s="665" t="n"/>
    </row>
    <row r="23">
      <c r="B23" s="686" t="str">
        <f>Sheet2!$B$72</f>
        <v>Helen Ngu</v>
      </c>
      <c r="C23" s="692"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86" t="str">
        <f>IF(Sheet2!$G$72="Transformation","Transformation","Business Partnering")</f>
        <v>Business Partnering</v>
      </c>
      <c r="H23" s="693" t="inlineStr">
        <is>
          <t>Onshore</t>
        </is>
      </c>
      <c r="I23" s="694">
        <f>Sheet2!$AA$72</f>
        <v>151002.492</v>
      </c>
      <c r="J23" s="669">
        <f>IF($H23="Offshore",$I23*'0.3 Squad Archetypes'!$K$5,$I23)/1000000</f>
        <v>0.151002492</v>
      </c>
      <c r="K23" s="665" t="n"/>
      <c r="L23" s="665" t="n"/>
    </row>
    <row r="24">
      <c r="B24" s="686" t="str">
        <f>Sheet2!$B$73</f>
        <v>Jane Esclandra</v>
      </c>
      <c r="C24" s="692"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86" t="str">
        <f>IF(Sheet2!$G$73="Transformation","Transformation","Business Partnering")</f>
        <v>Business Partnering</v>
      </c>
      <c r="H24" s="693" t="inlineStr">
        <is>
          <t>Onshore</t>
        </is>
      </c>
      <c r="I24" s="694">
        <f>Sheet2!$AA$73</f>
        <v>183455.69999999998</v>
      </c>
      <c r="J24" s="669">
        <f>IF($H24="Offshore",$I24*'0.3 Squad Archetypes'!$K$5,$I24)/1000000</f>
        <v>0.18345569999999997</v>
      </c>
      <c r="K24" s="665" t="n"/>
      <c r="L24" s="665" t="n"/>
    </row>
    <row r="25">
      <c r="B25" s="686" t="str">
        <f>Sheet2!$B$74</f>
        <v>Jeannie Chu</v>
      </c>
      <c r="C25" s="692"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86" t="str">
        <f>IF(Sheet2!$G$74="Transformation","Transformation","Business Partnering")</f>
        <v>Transformation</v>
      </c>
      <c r="H25" s="693" t="inlineStr">
        <is>
          <t>Onshore</t>
        </is>
      </c>
      <c r="I25" s="694">
        <f>Sheet2!$AA$74</f>
        <v>147687.65</v>
      </c>
      <c r="J25" s="669">
        <f>IF($H25="Offshore",$I25*'0.3 Squad Archetypes'!$K$5,$I25)/1000000</f>
        <v>0.14768765</v>
      </c>
      <c r="K25" s="665" t="n"/>
      <c r="L25" s="665" t="n"/>
    </row>
    <row r="26">
      <c r="B26" s="686" t="str">
        <f>Sheet2!$B$75</f>
        <v>Jenny Chan</v>
      </c>
      <c r="C26" s="692" t="str">
        <f>SUBSTITUTE(SUBSTITUTE(Sheet2!$C$75,"–","-"),"—","-")</f>
        <v>Project Finance Lead</v>
      </c>
      <c r="D26" s="686" t="str">
        <f>Sheet2!$G$75</f>
        <v>Transformation</v>
      </c>
      <c r="E26" s="686" t="str">
        <f>Sheet2!$M$75</f>
        <v>Australia</v>
      </c>
      <c r="F26" s="673" t="str">
        <f>IF(LOWER(Sheet2!$Q$75)="v","Vacant",IF(LOWER(Sheet2!$Q$75)="pause","Paused",IF(LOWER(Sheet2!$Q$75)="cxc","Contractor","Filled")))</f>
        <v>Filled</v>
      </c>
      <c r="G26" s="686" t="str">
        <f>IF(Sheet2!$G$75="Transformation","Transformation","Business Partnering")</f>
        <v>Transformation</v>
      </c>
      <c r="H26" s="693" t="inlineStr">
        <is>
          <t>Onshore</t>
        </is>
      </c>
      <c r="I26" s="694">
        <f>Sheet2!$AA$75</f>
        <v>206124.0</v>
      </c>
      <c r="J26" s="669">
        <f>IF($H26="Offshore",$I26*'0.3 Squad Archetypes'!$K$5,$I26)/1000000</f>
        <v>0.206124</v>
      </c>
      <c r="K26" s="665" t="n"/>
      <c r="L26" s="665" t="n"/>
    </row>
    <row r="27">
      <c r="B27" s="686" t="str">
        <f>Sheet2!$B$76</f>
        <v>Malcolm Deare</v>
      </c>
      <c r="C27" s="692"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86" t="str">
        <f>IF(Sheet2!$G$76="Transformation","Transformation","Business Partnering")</f>
        <v>Business Partnering</v>
      </c>
      <c r="H27" s="693" t="inlineStr">
        <is>
          <t>Onshore</t>
        </is>
      </c>
      <c r="I27" s="694">
        <f>Sheet2!$AA$76</f>
        <v>298100.0</v>
      </c>
      <c r="J27" s="669">
        <f>IF($H27="Offshore",$I27*'0.3 Squad Archetypes'!$K$5,$I27)/1000000</f>
        <v>0.2981</v>
      </c>
      <c r="K27" s="665" t="n"/>
      <c r="L27" s="665" t="n"/>
    </row>
    <row r="28">
      <c r="B28" s="686" t="str">
        <f>Sheet2!$B$77</f>
        <v>Maria Somera</v>
      </c>
      <c r="C28" s="692"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86" t="str">
        <f>IF(Sheet2!$G$77="Transformation","Transformation","Business Partnering")</f>
        <v>Transformation</v>
      </c>
      <c r="H28" s="693" t="inlineStr">
        <is>
          <t>Onshore</t>
        </is>
      </c>
      <c r="I28" s="694">
        <f>Sheet2!$AA$77</f>
        <v>179313.4</v>
      </c>
      <c r="J28" s="669">
        <f>IF($H28="Offshore",$I28*'0.3 Squad Archetypes'!$K$5,$I28)/1000000</f>
        <v>0.17931339999999998</v>
      </c>
      <c r="K28" s="665" t="n"/>
      <c r="L28" s="665" t="n"/>
    </row>
    <row r="29">
      <c r="B29" s="686" t="str">
        <f>Sheet2!$B$78</f>
        <v>Matt Saunders</v>
      </c>
      <c r="C29" s="692" t="str">
        <f>SUBSTITUTE(SUBSTITUTE(Sheet2!$C$78,"–","-"),"—","-")</f>
        <v>Scrum Master</v>
      </c>
      <c r="D29" s="686" t="str">
        <f>Sheet2!$G$78</f>
        <v>Transformation</v>
      </c>
      <c r="E29" s="686" t="str">
        <f>Sheet2!$M$78</f>
        <v>NZ</v>
      </c>
      <c r="F29" s="673" t="str">
        <f>IF(LOWER(Sheet2!$Q$78)="v","Vacant",IF(LOWER(Sheet2!$Q$78)="pause","Paused",IF(LOWER(Sheet2!$Q$78)="cxc","Contractor","Filled")))</f>
        <v>Filled</v>
      </c>
      <c r="G29" s="686" t="str">
        <f>IF(Sheet2!$G$78="Transformation","Transformation","Business Partnering")</f>
        <v>Transformation</v>
      </c>
      <c r="H29" s="693" t="inlineStr">
        <is>
          <t>Onshore</t>
        </is>
      </c>
      <c r="I29" s="694">
        <f>Sheet2!$AA$78</f>
        <v>147754.8</v>
      </c>
      <c r="J29" s="669">
        <f>IF($H29="Offshore",$I29*'0.3 Squad Archetypes'!$K$5,$I29)/1000000</f>
        <v>0.1477548</v>
      </c>
      <c r="K29" s="665" t="n"/>
      <c r="L29" s="665" t="n"/>
    </row>
    <row r="30">
      <c r="B30" s="686" t="str">
        <f>Sheet2!$B$79</f>
        <v>Neil Reilly</v>
      </c>
      <c r="C30" s="692" t="str">
        <f>SUBSTITUTE(SUBSTITUTE(Sheet2!$C$79,"–","-"),"—","-")</f>
        <v>TDD BP - T&amp;S</v>
      </c>
      <c r="D30" s="686" t="str">
        <f>Sheet2!$G$79</f>
        <v>TDD Business Partner</v>
      </c>
      <c r="E30" s="686" t="str">
        <f>Sheet2!$M$79</f>
        <v>Singapore</v>
      </c>
      <c r="F30" s="673" t="str">
        <f>IF(LOWER(Sheet2!$Q$79)="v","Vacant",IF(LOWER(Sheet2!$Q$79)="pause","Paused",IF(LOWER(Sheet2!$Q$79)="cxc","Contractor","Filled")))</f>
        <v>Filled</v>
      </c>
      <c r="G30" s="686" t="str">
        <f>IF(Sheet2!$G$79="Transformation","Transformation","Business Partnering")</f>
        <v>Business Partnering</v>
      </c>
      <c r="H30" s="693" t="inlineStr">
        <is>
          <t>Onshore</t>
        </is>
      </c>
      <c r="I30" s="694">
        <f>Sheet2!$AA$79</f>
        <v>666087.5</v>
      </c>
      <c r="J30" s="669">
        <f>IF($H30="Offshore",$I30*'0.3 Squad Archetypes'!$K$5,$I30)/1000000</f>
        <v>0.6660875</v>
      </c>
      <c r="K30" s="665" t="n"/>
      <c r="L30" s="665" t="n"/>
    </row>
    <row r="31">
      <c r="B31" s="686" t="str">
        <f>Sheet2!$B$80</f>
        <v>Ruth Chou</v>
      </c>
      <c r="C31" s="692"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86" t="str">
        <f>IF(Sheet2!$G$80="Transformation","Transformation","Business Partnering")</f>
        <v>Transformation</v>
      </c>
      <c r="H31" s="693" t="inlineStr">
        <is>
          <t>Onshore</t>
        </is>
      </c>
      <c r="I31" s="694">
        <f>Sheet2!$AA$80</f>
        <v>293316.85</v>
      </c>
      <c r="J31" s="669">
        <f>IF($H31="Offshore",$I31*'0.3 Squad Archetypes'!$K$5,$I31)/1000000</f>
        <v>0.29331684999999996</v>
      </c>
      <c r="K31" s="665" t="n"/>
      <c r="L31" s="665" t="n"/>
    </row>
    <row r="32">
      <c r="B32" s="686" t="str">
        <f>Sheet2!$B$81</f>
        <v>Sam Chan</v>
      </c>
      <c r="C32" s="692" t="str">
        <f>SUBSTITUTE(SUBSTITUTE(Sheet2!$C$81,"–","-"),"—","-")</f>
        <v>FinOps Manager</v>
      </c>
      <c r="D32" s="686" t="str">
        <f>Sheet2!$G$81</f>
        <v>Transformation</v>
      </c>
      <c r="E32" s="686" t="str">
        <f>Sheet2!$M$81</f>
        <v>Australia</v>
      </c>
      <c r="F32" s="673" t="str">
        <f>IF(LOWER(Sheet2!$Q$81)="v","Vacant",IF(LOWER(Sheet2!$Q$81)="pause","Paused",IF(LOWER(Sheet2!$Q$81)="cxc","Contractor","Filled")))</f>
        <v>Filled</v>
      </c>
      <c r="G32" s="686" t="str">
        <f>IF(Sheet2!$G$81="Transformation","Transformation","Business Partnering")</f>
        <v>Transformation</v>
      </c>
      <c r="H32" s="693" t="inlineStr">
        <is>
          <t>Onshore</t>
        </is>
      </c>
      <c r="I32" s="694">
        <f>Sheet2!$AA$81</f>
        <v>225788.55</v>
      </c>
      <c r="J32" s="669">
        <f>IF($H32="Offshore",$I32*'0.3 Squad Archetypes'!$K$5,$I32)/1000000</f>
        <v>0.22578854999999998</v>
      </c>
      <c r="K32" s="665" t="n"/>
      <c r="L32" s="665" t="n"/>
    </row>
    <row r="33">
      <c r="B33" s="686" t="str">
        <f>Sheet2!$B$82</f>
        <v>Shelley Crawford</v>
      </c>
      <c r="C33" s="692" t="str">
        <f>SUBSTITUTE(SUBSTITUTE(Sheet2!$C$82,"–","-"),"—","-")</f>
        <v>TDD BP - Z</v>
      </c>
      <c r="D33" s="686" t="str">
        <f>Sheet2!$G$82</f>
        <v>TDD Business Partner</v>
      </c>
      <c r="E33" s="686" t="str">
        <f>Sheet2!$M$82</f>
        <v>NZ</v>
      </c>
      <c r="F33" s="673" t="str">
        <f>IF(LOWER(Sheet2!$Q$82)="v","Vacant",IF(LOWER(Sheet2!$Q$82)="pause","Paused",IF(LOWER(Sheet2!$Q$82)="cxc","Contractor","Filled")))</f>
        <v>Filled</v>
      </c>
      <c r="G33" s="686" t="str">
        <f>IF(Sheet2!$G$82="Transformation","Transformation","Business Partnering")</f>
        <v>Business Partnering</v>
      </c>
      <c r="H33" s="693" t="inlineStr">
        <is>
          <t>Onshore</t>
        </is>
      </c>
      <c r="I33" s="694">
        <f>Sheet2!$AA$82</f>
        <v>291422.0</v>
      </c>
      <c r="J33" s="669">
        <f>IF($H33="Offshore",$I33*'0.3 Squad Archetypes'!$K$5,$I33)/1000000</f>
        <v>0.291422</v>
      </c>
      <c r="K33" s="665" t="n"/>
      <c r="L33" s="665" t="n"/>
    </row>
    <row r="34">
      <c r="B34" s="686" t="str">
        <f>Sheet2!$B$83</f>
        <v>Thomas Reid</v>
      </c>
      <c r="C34" s="692"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86" t="str">
        <f>IF(Sheet2!$G$83="Transformation","Transformation","Business Partnering")</f>
        <v>Business Partnering</v>
      </c>
      <c r="H34" s="693" t="inlineStr">
        <is>
          <t>Onshore</t>
        </is>
      </c>
      <c r="I34" s="694">
        <f>Sheet2!$AA$83</f>
        <v>417425.0</v>
      </c>
      <c r="J34" s="669">
        <f>IF($H34="Offshore",$I34*'0.3 Squad Archetypes'!$K$5,$I34)/1000000</f>
        <v>0.417425</v>
      </c>
      <c r="K34" s="665" t="n"/>
      <c r="L34" s="665" t="n"/>
    </row>
    <row r="35">
      <c r="B35" s="686" t="str">
        <f>Sheet2!$B$84</f>
        <v>Vacant</v>
      </c>
      <c r="C35" s="692" t="str">
        <f>SUBSTITUTE(SUBSTITUTE(Sheet2!$C$84,"–","-"),"—","-")</f>
        <v>Commercial Director</v>
      </c>
      <c r="D35" s="686" t="str">
        <f>Sheet2!$G$84</f>
        <v>Commercial</v>
      </c>
      <c r="E35" s="686" t="str">
        <f>Sheet2!$M$84</f>
        <v>Australia</v>
      </c>
      <c r="F35" s="673" t="str">
        <f>IF(LOWER(Sheet2!$Q$84)="v","Vacant",IF(LOWER(Sheet2!$Q$84)="pause","Paused",IF(LOWER(Sheet2!$Q$84)="cxc","Contractor","Filled")))</f>
        <v>Vacant</v>
      </c>
      <c r="G35" s="686" t="str">
        <f>IF(Sheet2!$G$84="Transformation","Transformation","Business Partnering")</f>
        <v>Business Partnering</v>
      </c>
      <c r="H35" s="693" t="inlineStr">
        <is>
          <t>Onshore</t>
        </is>
      </c>
      <c r="I35" s="694">
        <f>Sheet2!$AA$84</f>
        <v>439499.99999999994</v>
      </c>
      <c r="J35" s="669">
        <f>IF($H35="Offshore",$I35*'0.3 Squad Archetypes'!$K$5,$I35)/1000000</f>
        <v>0.43949999999999995</v>
      </c>
      <c r="K35" s="665" t="n"/>
      <c r="L35" s="665" t="n"/>
    </row>
    <row r="36">
      <c r="B36" s="686" t="str">
        <f>Sheet2!$B$85</f>
        <v>Vacant</v>
      </c>
      <c r="C36" s="692"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86" t="str">
        <f>IF(Sheet2!$G$85="Transformation","Transformation","Business Partnering")</f>
        <v>Transformation</v>
      </c>
      <c r="H36" s="693" t="inlineStr">
        <is>
          <t>Onshore</t>
        </is>
      </c>
      <c r="I36" s="694">
        <f>Sheet2!$AA$85</f>
        <v>367900.0</v>
      </c>
      <c r="J36" s="669">
        <f>IF($H36="Offshore",$I36*'0.3 Squad Archetypes'!$K$5,$I36)/1000000</f>
        <v>0.3679</v>
      </c>
      <c r="K36" s="665" t="n"/>
      <c r="L36" s="665" t="n"/>
    </row>
    <row r="37">
      <c r="B37" s="686" t="str">
        <f>Sheet2!$B$86</f>
        <v>Vacant</v>
      </c>
      <c r="C37" s="692"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86" t="str">
        <f>IF(Sheet2!$G$86="Transformation","Transformation","Business Partnering")</f>
        <v>Transformation</v>
      </c>
      <c r="H37" s="693" t="inlineStr">
        <is>
          <t>Onshore</t>
        </is>
      </c>
      <c r="I37" s="694">
        <f>Sheet2!$AA$86</f>
        <v>202853.25</v>
      </c>
      <c r="J37" s="669">
        <f>IF($H37="Offshore",$I37*'0.3 Squad Archetypes'!$K$5,$I37)/1000000</f>
        <v>0.20285325</v>
      </c>
      <c r="K37" s="665" t="n"/>
      <c r="L37" s="665" t="n"/>
    </row>
    <row r="38">
      <c r="B38" s="686" t="str">
        <f>Sheet2!$B$87</f>
        <v>Vacant</v>
      </c>
      <c r="C38" s="692"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86" t="str">
        <f>IF(Sheet2!$G$87="Transformation","Transformation","Business Partnering")</f>
        <v>Transformation</v>
      </c>
      <c r="H38" s="693" t="inlineStr">
        <is>
          <t>Onshore</t>
        </is>
      </c>
      <c r="I38" s="694">
        <f>Sheet2!$AA$87</f>
        <v>231689.25</v>
      </c>
      <c r="J38" s="669">
        <f>IF($H38="Offshore",$I38*'0.3 Squad Archetypes'!$K$5,$I38)/1000000</f>
        <v>0.23168925</v>
      </c>
      <c r="K38" s="665" t="n"/>
      <c r="L38" s="665" t="n"/>
    </row>
    <row r="39">
      <c r="B39" s="686" t="str">
        <f>Sheet2!$B$88</f>
        <v>Vacant</v>
      </c>
      <c r="C39" s="692"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86" t="str">
        <f>IF(Sheet2!$G$88="Transformation","Transformation","Business Partnering")</f>
        <v>Transformation</v>
      </c>
      <c r="H39" s="693" t="inlineStr">
        <is>
          <t>Onshore</t>
        </is>
      </c>
      <c r="I39" s="694">
        <f>Sheet2!$AA$88</f>
        <v>275810.25</v>
      </c>
      <c r="J39" s="669">
        <f>IF($H39="Offshore",$I39*'0.3 Squad Archetypes'!$K$5,$I39)/1000000</f>
        <v>0.27581025</v>
      </c>
      <c r="K39" s="665" t="n"/>
      <c r="L39" s="665" t="n"/>
    </row>
    <row r="40">
      <c r="B40" s="686" t="str">
        <f>Sheet2!$B$89</f>
        <v>Vacant</v>
      </c>
      <c r="C40" s="692"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86" t="str">
        <f>IF(Sheet2!$G$89="Transformation","Transformation","Business Partnering")</f>
        <v>Transformation</v>
      </c>
      <c r="H40" s="693" t="inlineStr">
        <is>
          <t>Onshore</t>
        </is>
      </c>
      <c r="I40" s="694">
        <f>Sheet2!$AA$89</f>
        <v>231689.25</v>
      </c>
      <c r="J40" s="669">
        <f>IF($H40="Offshore",$I40*'0.3 Squad Archetypes'!$K$5,$I40)/1000000</f>
        <v>0.23168925</v>
      </c>
      <c r="K40" s="665" t="n"/>
      <c r="L40" s="665" t="n"/>
    </row>
    <row r="41">
      <c r="B41" s="686" t="str">
        <f>Sheet2!$B$90</f>
        <v>Vacant</v>
      </c>
      <c r="C41" s="692"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86" t="str">
        <f>IF(Sheet2!$G$90="Transformation","Transformation","Business Partnering")</f>
        <v>Transformation</v>
      </c>
      <c r="H41" s="693" t="inlineStr">
        <is>
          <t>Onshore</t>
        </is>
      </c>
      <c r="I41" s="694">
        <f>Sheet2!$AA$90</f>
        <v>275810.25</v>
      </c>
      <c r="J41" s="669">
        <f>IF($H41="Offshore",$I41*'0.3 Squad Archetypes'!$K$5,$I41)/1000000</f>
        <v>0.27581025</v>
      </c>
      <c r="K41" s="665" t="n"/>
      <c r="L41" s="665" t="n"/>
    </row>
    <row r="42">
      <c r="B42" s="686" t="str">
        <f>Sheet2!$B$91</f>
        <v>Vacant</v>
      </c>
      <c r="C42" s="692" t="str">
        <f>SUBSTITUTE(SUBSTITUTE(Sheet2!$C$91,"–","-"),"—","-")</f>
        <v>Scrum Master</v>
      </c>
      <c r="D42" s="686" t="str">
        <f>Sheet2!$G$91</f>
        <v>Transformation</v>
      </c>
      <c r="E42" s="686" t="str">
        <f>Sheet2!$M$91</f>
        <v>NZ</v>
      </c>
      <c r="F42" s="673" t="str">
        <f>IF(LOWER(Sheet2!$Q$91)="v","Vacant",IF(LOWER(Sheet2!$Q$91)="pause","Paused",IF(LOWER(Sheet2!$Q$91)="cxc","Contractor","Filled")))</f>
        <v>Vacant</v>
      </c>
      <c r="G42" s="686" t="str">
        <f>IF(Sheet2!$G$91="Transformation","Transformation","Business Partnering")</f>
        <v>Transformation</v>
      </c>
      <c r="H42" s="693" t="inlineStr">
        <is>
          <t>Onshore</t>
        </is>
      </c>
      <c r="I42" s="694">
        <f>Sheet2!$AA$91</f>
        <v>151771.98</v>
      </c>
      <c r="J42" s="669">
        <f>IF($H42="Offshore",$I42*'0.3 Squad Archetypes'!$K$5,$I42)/1000000</f>
        <v>0.15177198</v>
      </c>
      <c r="K42" s="665" t="n"/>
      <c r="L42" s="665" t="n"/>
    </row>
    <row r="43">
      <c r="B43" s="686" t="str">
        <f>Sheet2!$B$92</f>
        <v>Vacant </v>
      </c>
      <c r="C43" s="692" t="str">
        <f>SUBSTITUTE(SUBSTITUTE(Sheet2!$C$92,"–","-"),"—","-")</f>
        <v>Portfolio Analyst</v>
      </c>
      <c r="D43" s="686" t="str">
        <f>Sheet2!$G$92</f>
        <v>Transformation</v>
      </c>
      <c r="E43" s="686" t="str">
        <f>Sheet2!$M$92</f>
        <v>Australia</v>
      </c>
      <c r="F43" s="673" t="str">
        <f>IF(LOWER(Sheet2!$Q$92)="v","Vacant",IF(LOWER(Sheet2!$Q$92)="pause","Paused",IF(LOWER(Sheet2!$Q$92)="cxc","Contractor","Filled")))</f>
        <v>Vacant</v>
      </c>
      <c r="G43" s="686" t="str">
        <f>IF(Sheet2!$G$92="Transformation","Transformation","Business Partnering")</f>
        <v>Transformation</v>
      </c>
      <c r="H43" s="693" t="inlineStr">
        <is>
          <t>Onshore</t>
        </is>
      </c>
      <c r="I43" s="694">
        <f>Sheet2!$AA$92</f>
        <v>170489.75</v>
      </c>
      <c r="J43" s="669">
        <f>IF($H43="Offshore",$I43*'0.3 Squad Archetypes'!$K$5,$I43)/1000000</f>
        <v>0.17048975</v>
      </c>
      <c r="K43" s="665" t="n"/>
      <c r="L43" s="665" t="n"/>
    </row>
    <row r="44">
      <c r="B44" s="686" t="str">
        <f>Sheet2!$B$93</f>
        <v>Vaughn Scott</v>
      </c>
      <c r="C44" s="692" t="str">
        <f>SUBSTITUTE(SUBSTITUTE(Sheet2!$C$93,"–","-"),"—","-")</f>
        <v>TDD BP - ES</v>
      </c>
      <c r="D44" s="686" t="str">
        <f>Sheet2!$G$93</f>
        <v>TDD Business Partner</v>
      </c>
      <c r="E44" s="686" t="str">
        <f>Sheet2!$M$93</f>
        <v>Australia</v>
      </c>
      <c r="F44" s="673" t="str">
        <f>IF(LOWER(Sheet2!$Q$93)="v","Vacant",IF(LOWER(Sheet2!$Q$93)="pause","Paused",IF(LOWER(Sheet2!$Q$93)="cxc","Contractor","Filled")))</f>
        <v>Filled</v>
      </c>
      <c r="G44" s="686" t="str">
        <f>IF(Sheet2!$G$93="Transformation","Transformation","Business Partnering")</f>
        <v>Business Partnering</v>
      </c>
      <c r="H44" s="693" t="inlineStr">
        <is>
          <t>Onshore</t>
        </is>
      </c>
      <c r="I44" s="694">
        <f>Sheet2!$AA$93</f>
        <v>343363.9</v>
      </c>
      <c r="J44" s="669">
        <f>IF($H44="Offshore",$I44*'0.3 Squad Archetypes'!$K$5,$I44)/1000000</f>
        <v>0.3433639</v>
      </c>
      <c r="K44" s="665" t="n"/>
      <c r="L44" s="665" t="n"/>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5"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dataValidations count="1">
    <dataValidation sqref="H21:H44" showDropDown="0" showInputMessage="0" showErrorMessage="1" allowBlank="0" type="list">
      <formula1>"Onshore,Offshore"</formula1>
    </dataValidation>
  </dataValidations>
  <pageMargins left="0.75" right="0.75" top="1" bottom="1" header="0.5" footer="0.5"/>
</worksheet>
</file>

<file path=xl/worksheets/sheet22.xml><?xml version="1.0" encoding="utf-8"?>
<worksheet xmlns="http://schemas.openxmlformats.org/spreadsheetml/2006/main">
  <sheetPr>
    <tabColor rgb="00002F6C"/>
    <outlinePr summaryBelow="1" summaryRight="1"/>
    <pageSetUpPr/>
  </sheetPr>
  <dimension ref="A1:L6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5" t="n"/>
      <c r="K5" s="665" t="n"/>
      <c r="L5" s="665" t="n"/>
    </row>
    <row r="6">
      <c r="B6" s="668" t="inlineStr">
        <is>
          <t>Strategy &amp; Architecture</t>
        </is>
      </c>
      <c r="C6" s="671">
        <f>COUNTIF($G$22:$G$50,$B6)</f>
        <v>20.0</v>
      </c>
      <c r="D6" s="671">
        <f>COUNTIFS($G$22:$G$50,$B6,$F$22:$F$50,"Filled")</f>
        <v>7.0</v>
      </c>
      <c r="E6" s="671">
        <f>COUNTIFS($G$22:$G$50,$B6,$F$22:$F$50,"Vacant")</f>
        <v>11.0</v>
      </c>
      <c r="F6" s="671">
        <f>COUNTIFS($G$22:$G$50,$B6,$F$22:$F$50,"Paused")</f>
        <v>2.0</v>
      </c>
      <c r="G6" s="669">
        <f>SUMIF($G$22:$G$50,$B6,$J$22:$J$50)</f>
        <v>4.320560996</v>
      </c>
      <c r="H6" s="669">
        <f>C15</f>
        <v>3.54</v>
      </c>
      <c r="I6" s="669">
        <f>MAX(0,G6-H6)</f>
        <v>0.7805609960000002</v>
      </c>
      <c r="J6" s="665" t="n"/>
      <c r="K6" s="665" t="n"/>
      <c r="L6" s="665" t="n"/>
    </row>
    <row r="7">
      <c r="B7" s="668" t="inlineStr">
        <is>
          <t>Data</t>
        </is>
      </c>
      <c r="C7" s="671">
        <f>COUNTIF($G$22:$G$50,$B7)</f>
        <v>9.0</v>
      </c>
      <c r="D7" s="671">
        <f>COUNTIFS($G$22:$G$50,$B7,$F$22:$F$50,"Filled")</f>
        <v>7.0</v>
      </c>
      <c r="E7" s="671">
        <f>COUNTIFS($G$22:$G$50,$B7,$F$22:$F$50,"Vacant")</f>
        <v>1.0</v>
      </c>
      <c r="F7" s="671">
        <f>COUNTIFS($G$22:$G$50,$B7,$F$22:$F$50,"Paused")</f>
        <v>1.0</v>
      </c>
      <c r="G7" s="669">
        <f>SUMIF($G$22:$G$50,$B7,$J$22:$J$50)</f>
        <v>2.232736616</v>
      </c>
      <c r="H7" s="669">
        <f>C16</f>
        <v>2.0</v>
      </c>
      <c r="I7" s="669">
        <f>MAX(0,G7-H7)</f>
        <v>0.23273661599999995</v>
      </c>
      <c r="J7" s="665" t="n"/>
      <c r="K7" s="665" t="n"/>
      <c r="L7" s="665" t="n"/>
    </row>
    <row r="8">
      <c r="B8" s="683" t="inlineStr">
        <is>
          <t>Total</t>
        </is>
      </c>
      <c r="C8" s="684">
        <f>SUM(C6:C7)</f>
        <v>29.0</v>
      </c>
      <c r="D8" s="684">
        <f>SUM(D6:D7)</f>
        <v>14.0</v>
      </c>
      <c r="E8" s="684">
        <f>SUM(E6:E7)</f>
        <v>12.0</v>
      </c>
      <c r="F8" s="684">
        <f>SUM(F6:F7)</f>
        <v>3.0</v>
      </c>
      <c r="G8" s="685">
        <f>SUM(G6:G7)</f>
        <v>6.553297612</v>
      </c>
      <c r="H8" s="685">
        <f>SUM(H6:H7)</f>
        <v>5.54</v>
      </c>
      <c r="I8" s="685">
        <f>SUM(I6:I7)</f>
        <v>1.0132976120000001</v>
      </c>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Summary'!$B$6:$B$16)</f>
        <v>11.0</v>
      </c>
      <c r="D10" s="665" t="n"/>
      <c r="E10" s="686" t="inlineStr">
        <is>
          <t>Cost - AU and other funded ($m)</t>
        </is>
      </c>
      <c r="F10" s="669">
        <f>SUMIF($E$22:$E$50,"&lt;&gt;NZ",$J$22:$J$50)</f>
        <v>5.5239061</v>
      </c>
      <c r="G10" s="665" t="n"/>
      <c r="H10" s="665" t="n"/>
      <c r="I10" s="665" t="n"/>
      <c r="J10" s="665" t="n"/>
      <c r="K10" s="665" t="n"/>
      <c r="L10" s="665" t="n"/>
    </row>
    <row r="11">
      <c r="B11" s="686" t="inlineStr">
        <is>
          <t>Domain Architect allocation per portfolio (FTE - 0.2 Data Config)</t>
        </is>
      </c>
      <c r="C11" s="688">
        <f>'0.2 Data Config'!$K$8</f>
        <v>0.5</v>
      </c>
      <c r="D11" s="665" t="n"/>
      <c r="E11" s="686" t="inlineStr">
        <is>
          <t>Cost - NZ funded ($m)</t>
        </is>
      </c>
      <c r="F11" s="669">
        <f>SUMIF($E$22:$E$50,"NZ",$J$22:$J$50)</f>
        <v>1.029391512</v>
      </c>
      <c r="G11" s="665" t="n"/>
      <c r="H11" s="665" t="n"/>
      <c r="I11" s="665" t="n"/>
      <c r="J11" s="665" t="n"/>
      <c r="K11" s="665" t="n"/>
      <c r="L11" s="665" t="n"/>
    </row>
    <row r="12">
      <c r="B12" s="686" t="inlineStr">
        <is>
          <t>Domain Architect FTEs funded by portfolio overheads</t>
        </is>
      </c>
      <c r="C12" s="688">
        <f>C10*C11</f>
        <v>5.5</v>
      </c>
      <c r="D12" s="665" t="n"/>
      <c r="E12" s="665" t="n"/>
      <c r="F12" s="665" t="n"/>
      <c r="G12" s="665" t="n"/>
      <c r="H12" s="665" t="n"/>
      <c r="I12" s="665" t="n"/>
      <c r="J12" s="665" t="n"/>
      <c r="K12" s="665" t="n"/>
      <c r="L12" s="665" t="n"/>
    </row>
    <row r="13">
      <c r="B13" s="686" t="inlineStr">
        <is>
          <t>Domain Architect funding from portfolio overheads ($m)</t>
        </is>
      </c>
      <c r="C13" s="669">
        <f>COUNTA('2.5 Group Summary'!$B$6:$B$16)*'0.2 Data Config'!$L$8</f>
        <v>1.54</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3.54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5.54</v>
      </c>
      <c r="D17" s="665" t="n"/>
      <c r="E17" s="665" t="n"/>
      <c r="F17" s="665" t="n"/>
      <c r="G17" s="665" t="n"/>
      <c r="H17" s="665" t="n"/>
      <c r="I17" s="665" t="n"/>
      <c r="J17" s="665" t="n"/>
      <c r="K17" s="665" t="n"/>
      <c r="L17" s="665" t="n"/>
    </row>
    <row r="18">
      <c r="B18" s="686" t="inlineStr">
        <is>
          <t>Paused roles - cost if released ($m)</t>
        </is>
      </c>
      <c r="C18" s="669">
        <f>SUMIFS($I$22:$I$50,$F$22:$F$50,"Paused")/1000000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Category</t>
        </is>
      </c>
      <c r="H21" s="667" t="inlineStr">
        <is>
          <t>On/Off</t>
        </is>
      </c>
      <c r="I21" s="690" t="inlineStr">
        <is>
          <t>Full Cost AUD ($)</t>
        </is>
      </c>
      <c r="J21" s="691" t="inlineStr">
        <is>
          <t>Model cost ($m)</t>
        </is>
      </c>
      <c r="K21" s="665" t="n"/>
      <c r="L21" s="665" t="n"/>
    </row>
    <row r="22">
      <c r="B22" s="686" t="str">
        <f>Sheet2!$B$97</f>
        <v>Craig Ambrose</v>
      </c>
      <c r="C22" s="692"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86" t="str">
        <f>IF(Sheet2!$G$97="Group Data","Data","Strategy &amp; Architecture")</f>
        <v>Strategy &amp; Architecture</v>
      </c>
      <c r="H22" s="693" t="inlineStr">
        <is>
          <t>Onshore</t>
        </is>
      </c>
      <c r="I22" s="694">
        <f>Sheet2!$AA$97</f>
        <v>242741.30399999997</v>
      </c>
      <c r="J22" s="669">
        <f>IF($F22="Paused",0,IF($H22="Offshore",$I22*'0.3 Squad Archetypes'!$K$5,$I22)/1000000)</f>
        <v>0.24274130399999996</v>
      </c>
      <c r="K22" s="665" t="n"/>
      <c r="L22" s="665" t="n"/>
    </row>
    <row r="23">
      <c r="B23" s="686" t="str">
        <f>Sheet2!$B$100</f>
        <v>James Holgate</v>
      </c>
      <c r="C23" s="692"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86" t="str">
        <f>IF(Sheet2!$G$100="Group Data","Data","Strategy &amp; Architecture")</f>
        <v>Data</v>
      </c>
      <c r="H23" s="693" t="inlineStr">
        <is>
          <t>Onshore</t>
        </is>
      </c>
      <c r="I23" s="694">
        <f>Sheet2!$AA$100</f>
        <v>409755.7</v>
      </c>
      <c r="J23" s="669">
        <f>IF($F23="Paused",0,IF($H23="Offshore",$I23*'0.3 Squad Archetypes'!$K$5,$I23)/1000000)</f>
        <v>0.4097557</v>
      </c>
      <c r="K23" s="665" t="n"/>
      <c r="L23" s="665" t="n"/>
    </row>
    <row r="24">
      <c r="B24" s="686" t="str">
        <f>Sheet2!$B$102</f>
        <v>Joel Vijayakumar</v>
      </c>
      <c r="C24" s="692"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86" t="str">
        <f>IF(Sheet2!$G$102="Group Data","Data","Strategy &amp; Architecture")</f>
        <v>Strategy &amp; Architecture</v>
      </c>
      <c r="H24" s="693" t="inlineStr">
        <is>
          <t>Onshore</t>
        </is>
      </c>
      <c r="I24" s="694">
        <f>Sheet2!$AA$102</f>
        <v>369088.60000000003</v>
      </c>
      <c r="J24" s="669">
        <f>IF($F24="Paused",0,IF($H24="Offshore",$I24*'0.3 Squad Archetypes'!$K$5,$I24)/1000000)</f>
        <v>0.36908860000000004</v>
      </c>
      <c r="K24" s="665" t="n"/>
      <c r="L24" s="665" t="n"/>
    </row>
    <row r="25">
      <c r="B25" s="686" t="str">
        <f>Sheet2!$B$103</f>
        <v>John Forde</v>
      </c>
      <c r="C25" s="692" t="str">
        <f>SUBSTITUTE(SUBSTITUTE(Sheet2!$C$103,"–","-"),"—","-")</f>
        <v>Enterprise Architect</v>
      </c>
      <c r="D25" s="686" t="str">
        <f>Sheet2!$G$103</f>
        <v>Architecture</v>
      </c>
      <c r="E25" s="686" t="str">
        <f>Sheet2!$M$103</f>
        <v>NZ</v>
      </c>
      <c r="F25" s="673" t="str">
        <f>IF(LOWER(Sheet2!$Q$103)="v","Vacant",IF(LOWER(Sheet2!$Q$103)="pause","Paused",IF(LOWER(Sheet2!$Q$103)="cxc","Contractor","Filled")))</f>
        <v>Filled</v>
      </c>
      <c r="G25" s="686" t="str">
        <f>IF(Sheet2!$G$103="Group Data","Data","Strategy &amp; Architecture")</f>
        <v>Strategy &amp; Architecture</v>
      </c>
      <c r="H25" s="693" t="inlineStr">
        <is>
          <t>Onshore</t>
        </is>
      </c>
      <c r="I25" s="694">
        <f>Sheet2!$AA$103</f>
        <v>214270.248</v>
      </c>
      <c r="J25" s="669">
        <f>IF($F25="Paused",0,IF($H25="Offshore",$I25*'0.3 Squad Archetypes'!$K$5,$I25)/1000000)</f>
        <v>0.214270248</v>
      </c>
      <c r="K25" s="665" t="n"/>
      <c r="L25" s="665" t="n"/>
    </row>
    <row r="26">
      <c r="B26" s="686" t="str">
        <f>Sheet2!$B$106</f>
        <v>Lynn Yiew</v>
      </c>
      <c r="C26" s="692"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86" t="str">
        <f>IF(Sheet2!$G$106="Group Data","Data","Strategy &amp; Architecture")</f>
        <v>Data</v>
      </c>
      <c r="H26" s="693" t="inlineStr">
        <is>
          <t>Onshore</t>
        </is>
      </c>
      <c r="I26" s="694">
        <f>Sheet2!$AA$106</f>
        <v>149746.416</v>
      </c>
      <c r="J26" s="669">
        <f>IF($F26="Paused",0,IF($H26="Offshore",$I26*'0.3 Squad Archetypes'!$K$5,$I26)/1000000)</f>
        <v>0.149746416</v>
      </c>
      <c r="K26" s="665" t="n"/>
      <c r="L26" s="665" t="n"/>
    </row>
    <row r="27">
      <c r="B27" s="686" t="str">
        <f>Sheet2!$B$107</f>
        <v>Mike Gilbert</v>
      </c>
      <c r="C27" s="692"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86" t="str">
        <f>IF(Sheet2!$G$107="Group Data","Data","Strategy &amp; Architecture")</f>
        <v>Strategy &amp; Architecture</v>
      </c>
      <c r="H27" s="693" t="inlineStr">
        <is>
          <t>Onshore</t>
        </is>
      </c>
      <c r="I27" s="694">
        <f>Sheet2!$AA$107</f>
        <v>236856.984</v>
      </c>
      <c r="J27" s="669">
        <f>IF($F27="Paused",0,IF($H27="Offshore",$I27*'0.3 Squad Archetypes'!$K$5,$I27)/1000000)</f>
        <v>0.236856984</v>
      </c>
      <c r="K27" s="665" t="n"/>
      <c r="L27" s="665" t="n"/>
    </row>
    <row r="28">
      <c r="B28" s="686" t="str">
        <f>Sheet2!$B$108</f>
        <v>Milan Patel</v>
      </c>
      <c r="C28" s="692" t="str">
        <f>SUBSTITUTE(SUBSTITUTE(Sheet2!$C$108,"–","-"),"—","-")</f>
        <v>Platform Architect</v>
      </c>
      <c r="D28" s="686" t="str">
        <f>Sheet2!$G$108</f>
        <v>Group Data</v>
      </c>
      <c r="E28" s="686" t="str">
        <f>Sheet2!$M$108</f>
        <v>Australia</v>
      </c>
      <c r="F28" s="673" t="str">
        <f>IF(LOWER(Sheet2!$Q$108)="v","Vacant",IF(LOWER(Sheet2!$Q$108)="pause","Paused",IF(LOWER(Sheet2!$Q$108)="cxc","Contractor","Filled")))</f>
        <v>Filled</v>
      </c>
      <c r="G28" s="686" t="str">
        <f>IF(Sheet2!$G$108="Group Data","Data","Strategy &amp; Architecture")</f>
        <v>Data</v>
      </c>
      <c r="H28" s="693" t="inlineStr">
        <is>
          <t>Onshore</t>
        </is>
      </c>
      <c r="I28" s="694">
        <f>Sheet2!$AA$108</f>
        <v>265584.89999999997</v>
      </c>
      <c r="J28" s="669">
        <f>IF($F28="Paused",0,IF($H28="Offshore",$I28*'0.3 Squad Archetypes'!$K$5,$I28)/1000000)</f>
        <v>0.26558489999999996</v>
      </c>
      <c r="K28" s="665" t="n"/>
      <c r="L28" s="665" t="n"/>
    </row>
    <row r="29">
      <c r="B29" s="686" t="str">
        <f>Sheet2!$B$109</f>
        <v>Mitchell Clarke</v>
      </c>
      <c r="C29" s="692"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86" t="str">
        <f>IF(Sheet2!$G$109="Group Data","Data","Strategy &amp; Architecture")</f>
        <v>Data</v>
      </c>
      <c r="H29" s="693" t="inlineStr">
        <is>
          <t>Onshore</t>
        </is>
      </c>
      <c r="I29" s="694">
        <f>Sheet2!$AA$109</f>
        <v>225988.8</v>
      </c>
      <c r="J29" s="669">
        <f>IF($F29="Paused",0,IF($H29="Offshore",$I29*'0.3 Squad Archetypes'!$K$5,$I29)/1000000)</f>
        <v>0.2259888</v>
      </c>
      <c r="K29" s="665" t="n"/>
      <c r="L29" s="665" t="n"/>
    </row>
    <row r="30">
      <c r="B30" s="686" t="str">
        <f>Sheet2!$B$114</f>
        <v>Raymond Bai</v>
      </c>
      <c r="C30" s="692"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86" t="str">
        <f>IF(Sheet2!$G$114="Group Data","Data","Strategy &amp; Architecture")</f>
        <v>Data</v>
      </c>
      <c r="H30" s="693" t="inlineStr">
        <is>
          <t>Onshore</t>
        </is>
      </c>
      <c r="I30" s="694">
        <f>Sheet2!$AA$114</f>
        <v>175872.9</v>
      </c>
      <c r="J30" s="669">
        <f>IF($F30="Paused",0,IF($H30="Offshore",$I30*'0.3 Squad Archetypes'!$K$5,$I30)/1000000)</f>
        <v>0.1758729</v>
      </c>
      <c r="K30" s="665" t="n"/>
      <c r="L30" s="665" t="n"/>
    </row>
    <row r="31">
      <c r="B31" s="686" t="str">
        <f>Sheet2!$B$115</f>
        <v>Renosh Matthew Thomas</v>
      </c>
      <c r="C31" s="692"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86" t="str">
        <f>IF(Sheet2!$G$115="Group Data","Data","Strategy &amp; Architecture")</f>
        <v>Data</v>
      </c>
      <c r="H31" s="693" t="inlineStr">
        <is>
          <t>Onshore</t>
        </is>
      </c>
      <c r="I31" s="694">
        <f>Sheet2!$AA$115</f>
        <v>227056.8</v>
      </c>
      <c r="J31" s="669">
        <f>IF($F31="Paused",0,IF($H31="Offshore",$I31*'0.3 Squad Archetypes'!$K$5,$I31)/1000000)</f>
        <v>0.22705679999999998</v>
      </c>
      <c r="K31" s="665" t="n"/>
      <c r="L31" s="665" t="n"/>
    </row>
    <row r="32">
      <c r="B32" s="686" t="str">
        <f>Sheet2!$B$116</f>
        <v>Rihan Schalkwyk</v>
      </c>
      <c r="C32" s="692"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86" t="str">
        <f>IF(Sheet2!$G$116="Group Data","Data","Strategy &amp; Architecture")</f>
        <v>Strategy &amp; Architecture</v>
      </c>
      <c r="H32" s="693" t="inlineStr">
        <is>
          <t>Onshore</t>
        </is>
      </c>
      <c r="I32" s="694">
        <f>Sheet2!$AA$116</f>
        <v>249124.35</v>
      </c>
      <c r="J32" s="669">
        <f>IF($F32="Paused",0,IF($H32="Offshore",$I32*'0.3 Squad Archetypes'!$K$5,$I32)/1000000)</f>
        <v>0.24912435</v>
      </c>
      <c r="K32" s="665" t="n"/>
      <c r="L32" s="665" t="n"/>
    </row>
    <row r="33">
      <c r="B33" s="686" t="str">
        <f>Sheet2!$B$117</f>
        <v>ring fenced</v>
      </c>
      <c r="C33" s="692"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86" t="str">
        <f>IF(Sheet2!$G$117="Group Data","Data","Strategy &amp; Architecture")</f>
        <v>Strategy &amp; Architecture</v>
      </c>
      <c r="H33" s="693" t="inlineStr">
        <is>
          <t>Onshore</t>
        </is>
      </c>
      <c r="I33" s="694">
        <f>Sheet2!$AA$117</f>
        <v>275810.25</v>
      </c>
      <c r="J33" s="669">
        <f>IF($F33="Paused",0,IF($H33="Offshore",$I33*'0.3 Squad Archetypes'!$K$5,$I33)/1000000)</f>
        <v>0.0</v>
      </c>
      <c r="K33" s="665" t="n"/>
      <c r="L33" s="665" t="n"/>
    </row>
    <row r="34">
      <c r="B34" s="686" t="str">
        <f>Sheet2!$B$118</f>
        <v>ring fenced</v>
      </c>
      <c r="C34" s="692"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86" t="str">
        <f>IF(Sheet2!$G$118="Group Data","Data","Strategy &amp; Architecture")</f>
        <v>Strategy &amp; Architecture</v>
      </c>
      <c r="H34" s="693" t="inlineStr">
        <is>
          <t>Onshore</t>
        </is>
      </c>
      <c r="I34" s="694">
        <f>Sheet2!$AA$118</f>
        <v>231689.25</v>
      </c>
      <c r="J34" s="669">
        <f>IF($F34="Paused",0,IF($H34="Offshore",$I34*'0.3 Squad Archetypes'!$K$5,$I34)/1000000)</f>
        <v>0.23168925</v>
      </c>
      <c r="K34" s="665" t="n"/>
      <c r="L34" s="665" t="n"/>
    </row>
    <row r="35">
      <c r="B35" s="686" t="str">
        <f>Sheet2!$B$119</f>
        <v>ring fenced</v>
      </c>
      <c r="C35" s="692"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86" t="str">
        <f>IF(Sheet2!$G$119="Group Data","Data","Strategy &amp; Architecture")</f>
        <v>Strategy &amp; Architecture</v>
      </c>
      <c r="H35" s="693" t="inlineStr">
        <is>
          <t>Onshore</t>
        </is>
      </c>
      <c r="I35" s="694">
        <f>Sheet2!$AA$119</f>
        <v>231689.25</v>
      </c>
      <c r="J35" s="669">
        <f>IF($F35="Paused",0,IF($H35="Offshore",$I35*'0.3 Squad Archetypes'!$K$5,$I35)/1000000)</f>
        <v>0.23168925</v>
      </c>
      <c r="K35" s="665" t="n"/>
      <c r="L35" s="665" t="n"/>
    </row>
    <row r="36">
      <c r="B36" s="686" t="str">
        <f>Sheet2!$B$120</f>
        <v>ring fenced</v>
      </c>
      <c r="C36" s="692"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86" t="str">
        <f>IF(Sheet2!$G$120="Group Data","Data","Strategy &amp; Architecture")</f>
        <v>Strategy &amp; Architecture</v>
      </c>
      <c r="H36" s="693" t="inlineStr">
        <is>
          <t>Onshore</t>
        </is>
      </c>
      <c r="I36" s="694">
        <f>Sheet2!$AA$120</f>
        <v>231689.25</v>
      </c>
      <c r="J36" s="669">
        <f>IF($F36="Paused",0,IF($H36="Offshore",$I36*'0.3 Squad Archetypes'!$K$5,$I36)/1000000)</f>
        <v>0.23168925</v>
      </c>
      <c r="K36" s="665" t="n"/>
      <c r="L36" s="665" t="n"/>
    </row>
    <row r="37">
      <c r="B37" s="686" t="str">
        <f>Sheet2!$B$121</f>
        <v>Roger Blazey</v>
      </c>
      <c r="C37" s="692"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86" t="str">
        <f>IF(Sheet2!$G$121="Group Data","Data","Strategy &amp; Architecture")</f>
        <v>Strategy &amp; Architecture</v>
      </c>
      <c r="H37" s="693" t="inlineStr">
        <is>
          <t>Onshore</t>
        </is>
      </c>
      <c r="I37" s="694">
        <f>Sheet2!$AA$121</f>
        <v>250245.75</v>
      </c>
      <c r="J37" s="669">
        <f>IF($F37="Paused",0,IF($H37="Offshore",$I37*'0.3 Squad Archetypes'!$K$5,$I37)/1000000)</f>
        <v>0.25024575</v>
      </c>
      <c r="K37" s="665" t="n"/>
      <c r="L37" s="665" t="n"/>
    </row>
    <row r="38">
      <c r="B38" s="686" t="str">
        <f>Sheet2!$B$124</f>
        <v>Sanjay Tikoo</v>
      </c>
      <c r="C38" s="692"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86" t="str">
        <f>IF(Sheet2!$G$124="Group Data","Data","Strategy &amp; Architecture")</f>
        <v>Data</v>
      </c>
      <c r="H38" s="693" t="inlineStr">
        <is>
          <t>Onshore</t>
        </is>
      </c>
      <c r="I38" s="694">
        <f>Sheet2!$AA$124</f>
        <v>389125.0</v>
      </c>
      <c r="J38" s="669">
        <f>IF($F38="Paused",0,IF($H38="Offshore",$I38*'0.3 Squad Archetypes'!$K$5,$I38)/1000000)</f>
        <v>0.389125</v>
      </c>
      <c r="K38" s="665" t="n"/>
      <c r="L38" s="665" t="n"/>
    </row>
    <row r="39">
      <c r="B39" s="686" t="str">
        <f>Sheet2!$B$127</f>
        <v>Tim Snedden</v>
      </c>
      <c r="C39" s="692" t="str">
        <f>SUBSTITUTE(SUBSTITUTE(Sheet2!$C$127,"–","-"),"—","-")</f>
        <v>Delivery Lead</v>
      </c>
      <c r="D39" s="686" t="str">
        <f>Sheet2!$G$127</f>
        <v>Delivery, SADA</v>
      </c>
      <c r="E39" s="686" t="str">
        <f>Sheet2!$M$127</f>
        <v>NZ</v>
      </c>
      <c r="F39" s="673" t="str">
        <f>IF(LOWER(Sheet2!$Q$127)="v","Vacant",IF(LOWER(Sheet2!$Q$127)="pause","Paused",IF(LOWER(Sheet2!$Q$127)="cxc","Contractor","Filled")))</f>
        <v>Filled</v>
      </c>
      <c r="G39" s="686" t="str">
        <f>IF(Sheet2!$G$127="Group Data","Data","Strategy &amp; Architecture")</f>
        <v>Strategy &amp; Architecture</v>
      </c>
      <c r="H39" s="693" t="inlineStr">
        <is>
          <t>Onshore</t>
        </is>
      </c>
      <c r="I39" s="694">
        <f>Sheet2!$AA$127</f>
        <v>185776.56</v>
      </c>
      <c r="J39" s="669">
        <f>IF($F39="Paused",0,IF($H39="Offshore",$I39*'0.3 Squad Archetypes'!$K$5,$I39)/1000000)</f>
        <v>0.18577656</v>
      </c>
    </row>
    <row r="40">
      <c r="B40" s="686" t="str">
        <f>Sheet2!$B$133</f>
        <v>Vacant</v>
      </c>
      <c r="C40" s="692"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86" t="str">
        <f>IF(Sheet2!$G$133="Group Data","Data","Strategy &amp; Architecture")</f>
        <v>Strategy &amp; Architecture</v>
      </c>
      <c r="H40" s="693" t="inlineStr">
        <is>
          <t>Onshore</t>
        </is>
      </c>
      <c r="I40" s="694">
        <f>Sheet2!$AA$133</f>
        <v>202853.25</v>
      </c>
      <c r="J40" s="669">
        <f>IF($F40="Paused",0,IF($H40="Offshore",$I40*'0.3 Squad Archetypes'!$K$5,$I40)/1000000)</f>
        <v>0.20285325</v>
      </c>
    </row>
    <row r="41">
      <c r="B41" s="686" t="str">
        <f>Sheet2!$B$134</f>
        <v>Vacant</v>
      </c>
      <c r="C41" s="692"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86" t="str">
        <f>IF(Sheet2!$G$134="Group Data","Data","Strategy &amp; Architecture")</f>
        <v>Strategy &amp; Architecture</v>
      </c>
      <c r="H41" s="693" t="inlineStr">
        <is>
          <t>Onshore</t>
        </is>
      </c>
      <c r="I41" s="694">
        <f>Sheet2!$AA$134</f>
        <v>202853.25</v>
      </c>
      <c r="J41" s="669">
        <f>IF($F41="Paused",0,IF($H41="Offshore",$I41*'0.3 Squad Archetypes'!$K$5,$I41)/1000000)</f>
        <v>0.0</v>
      </c>
    </row>
    <row r="42">
      <c r="B42" s="686" t="str">
        <f>Sheet2!$B$141</f>
        <v>Vacant</v>
      </c>
      <c r="C42" s="692"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86" t="str">
        <f>IF(Sheet2!$G$141="Group Data","Data","Strategy &amp; Architecture")</f>
        <v>Data</v>
      </c>
      <c r="H42" s="693" t="inlineStr">
        <is>
          <t>Onshore</t>
        </is>
      </c>
      <c r="I42" s="694">
        <f>Sheet2!$AA$141</f>
        <v>389606.10000000003</v>
      </c>
      <c r="J42" s="669">
        <f>IF($F42="Paused",0,IF($H42="Offshore",$I42*'0.3 Squad Archetypes'!$K$5,$I42)/1000000)</f>
        <v>0.3896061</v>
      </c>
    </row>
    <row r="43">
      <c r="B43" s="686" t="str">
        <f>Sheet2!$B$142</f>
        <v>Vacant</v>
      </c>
      <c r="C43" s="692"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86" t="str">
        <f>IF(Sheet2!$G$142="Group Data","Data","Strategy &amp; Architecture")</f>
        <v>Strategy &amp; Architecture</v>
      </c>
      <c r="H43" s="693" t="inlineStr">
        <is>
          <t>Onshore</t>
        </is>
      </c>
      <c r="I43" s="694">
        <f>Sheet2!$AA$142</f>
        <v>334972.95</v>
      </c>
      <c r="J43" s="669">
        <f>IF($F43="Paused",0,IF($H43="Offshore",$I43*'0.3 Squad Archetypes'!$K$5,$I43)/1000000)</f>
        <v>0.33497295</v>
      </c>
    </row>
    <row r="44">
      <c r="B44" s="686" t="str">
        <f>Sheet2!$B$143</f>
        <v>Vacant</v>
      </c>
      <c r="C44" s="692"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86" t="str">
        <f>IF(Sheet2!$G$143="Group Data","Data","Strategy &amp; Architecture")</f>
        <v>Strategy &amp; Architecture</v>
      </c>
      <c r="H44" s="693" t="inlineStr">
        <is>
          <t>Onshore</t>
        </is>
      </c>
      <c r="I44" s="694">
        <f>Sheet2!$AA$143</f>
        <v>333020.25</v>
      </c>
      <c r="J44" s="669">
        <f>IF($F44="Paused",0,IF($H44="Offshore",$I44*'0.3 Squad Archetypes'!$K$5,$I44)/1000000)</f>
        <v>0.33302025</v>
      </c>
    </row>
    <row r="45">
      <c r="B45" s="686" t="str">
        <f>Sheet2!$B$144</f>
        <v>Vacant</v>
      </c>
      <c r="C45" s="692"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86" t="str">
        <f>IF(Sheet2!$G$144="Group Data","Data","Strategy &amp; Architecture")</f>
        <v>Strategy &amp; Architecture</v>
      </c>
      <c r="H45" s="693" t="inlineStr">
        <is>
          <t>Onshore</t>
        </is>
      </c>
      <c r="I45" s="694">
        <f>Sheet2!$AA$144</f>
        <v>186900.0</v>
      </c>
      <c r="J45" s="669">
        <f>IF($F45="Paused",0,IF($H45="Offshore",$I45*'0.3 Squad Archetypes'!$K$5,$I45)/1000000)</f>
        <v>0.1869</v>
      </c>
    </row>
    <row r="46">
      <c r="B46" s="686" t="str">
        <f>Sheet2!$B$145</f>
        <v>Vacant</v>
      </c>
      <c r="C46" s="692"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86" t="str">
        <f>IF(Sheet2!$G$145="Group Data","Data","Strategy &amp; Architecture")</f>
        <v>Data</v>
      </c>
      <c r="H46" s="693" t="inlineStr">
        <is>
          <t>Onshore</t>
        </is>
      </c>
      <c r="I46" s="694">
        <f>Sheet2!$AA$145</f>
        <v>275810.25</v>
      </c>
      <c r="J46" s="669">
        <f>IF($F46="Paused",0,IF($H46="Offshore",$I46*'0.3 Squad Archetypes'!$K$5,$I46)/1000000)</f>
        <v>0.0</v>
      </c>
    </row>
    <row r="47">
      <c r="B47" s="686" t="str">
        <f>Sheet2!$B$146</f>
        <v>Vacant</v>
      </c>
      <c r="C47" s="692"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86" t="str">
        <f>IF(Sheet2!$G$146="Group Data","Data","Strategy &amp; Architecture")</f>
        <v>Strategy &amp; Architecture</v>
      </c>
      <c r="H47" s="693" t="inlineStr">
        <is>
          <t>Onshore</t>
        </is>
      </c>
      <c r="I47" s="694">
        <f>Sheet2!$AA$146</f>
        <v>275810.25</v>
      </c>
      <c r="J47" s="669">
        <f>IF($F47="Paused",0,IF($H47="Offshore",$I47*'0.3 Squad Archetypes'!$K$5,$I47)/1000000)</f>
        <v>0.27581025</v>
      </c>
    </row>
    <row r="48">
      <c r="B48" s="686" t="str">
        <f>Sheet2!$B$147</f>
        <v>Vacant</v>
      </c>
      <c r="C48" s="692"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86" t="str">
        <f>IF(Sheet2!$G$147="Group Data","Data","Strategy &amp; Architecture")</f>
        <v>Strategy &amp; Architecture</v>
      </c>
      <c r="H48" s="693" t="inlineStr">
        <is>
          <t>Onshore</t>
        </is>
      </c>
      <c r="I48" s="694">
        <f>Sheet2!$AA$147</f>
        <v>202853.25</v>
      </c>
      <c r="J48" s="669">
        <f>IF($F48="Paused",0,IF($H48="Offshore",$I48*'0.3 Squad Archetypes'!$K$5,$I48)/1000000)</f>
        <v>0.20285325</v>
      </c>
    </row>
    <row r="49">
      <c r="B49" s="686" t="str">
        <f>Sheet2!$B$148</f>
        <v>Vacant</v>
      </c>
      <c r="C49" s="692"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86" t="str">
        <f>IF(Sheet2!$G$148="Group Data","Data","Strategy &amp; Architecture")</f>
        <v>Strategy &amp; Architecture</v>
      </c>
      <c r="H49" s="693" t="inlineStr">
        <is>
          <t>Onshore</t>
        </is>
      </c>
      <c r="I49" s="694">
        <f>Sheet2!$AA$148</f>
        <v>170489.75</v>
      </c>
      <c r="J49" s="669">
        <f>IF($F49="Paused",0,IF($H49="Offshore",$I49*'0.3 Squad Archetypes'!$K$5,$I49)/1000000)</f>
        <v>0.17048975</v>
      </c>
    </row>
    <row r="50">
      <c r="B50" s="686" t="str">
        <f>Sheet2!$B$149</f>
        <v>Vacant</v>
      </c>
      <c r="C50" s="692"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86" t="str">
        <f>IF(Sheet2!$G$149="Group Data","Data","Strategy &amp; Architecture")</f>
        <v>Strategy &amp; Architecture</v>
      </c>
      <c r="H50" s="693" t="inlineStr">
        <is>
          <t>Onshore</t>
        </is>
      </c>
      <c r="I50" s="694">
        <f>Sheet2!$AA$149</f>
        <v>170489.75</v>
      </c>
      <c r="J50" s="669">
        <f>IF($F50="Paused",0,IF($H50="Offshore",$I50*'0.3 Squad Archetypes'!$K$5,$I50)/1000000)</f>
        <v>0.17048975</v>
      </c>
    </row>
    <row r="51">
      <c r="B51" s="686" t="inlineStr">
        <is>
          <t>Check - roles listed vs counted (must be 0)</t>
        </is>
      </c>
      <c r="C51" s="671">
        <f>COUNTA(B22:B50)-C8</f>
        <v>0.0</v>
      </c>
    </row>
    <row r="52"/>
    <row r="53">
      <c r="B53" s="695" t="inlineStr">
        <is>
          <t>Squad-based SA&amp;D roles sit in their portfolio squads (1.3 / 4.3). Leadership roles sit on 2.7 Squad Detail. Planned spend excludes Paused roles - their cost is the memo line above.</t>
        </is>
      </c>
    </row>
    <row r="54">
      <c r="B54" s="665" t="n"/>
      <c r="C54" s="665" t="n"/>
      <c r="D54" s="665" t="n"/>
      <c r="E54" s="665" t="n"/>
      <c r="F54" s="665" t="n"/>
      <c r="G54" s="665" t="n"/>
      <c r="H54" s="665" t="n"/>
      <c r="I54" s="665" t="n"/>
      <c r="J54" s="665" t="n"/>
      <c r="K54" s="665" t="n"/>
      <c r="L54" s="665" t="n"/>
    </row>
    <row r="55">
      <c r="B55" s="665" t="n"/>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dataValidations count="1">
    <dataValidation sqref="H22:H50" showDropDown="0" showInputMessage="0" showErrorMessage="1" allowBlank="0" type="list">
      <formula1>"Onshore,Offshore"</formula1>
    </dataValidation>
  </dataValidations>
  <pageMargins left="0.75" right="0.75" top="1" bottom="1" header="0.5" footer="0.5"/>
</worksheet>
</file>

<file path=xl/worksheets/sheet23.xml><?xml version="1.0" encoding="utf-8"?>
<worksheet xmlns="http://schemas.openxmlformats.org/spreadsheetml/2006/main">
  <sheetPr>
    <tabColor rgb="00002F6C"/>
    <outlinePr summaryBelow="1" summaryRight="1"/>
    <pageSetUpPr/>
  </sheetPr>
  <dimension ref="A1:L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438" t="inlineStr">
        <is>
          <t>Category</t>
        </is>
      </c>
      <c r="C5" s="438" t="inlineStr">
        <is>
          <t>Roles</t>
        </is>
      </c>
      <c r="D5" s="438" t="inlineStr">
        <is>
          <t>Filled</t>
        </is>
      </c>
      <c r="E5" s="438" t="inlineStr">
        <is>
          <t>Vacant</t>
        </is>
      </c>
      <c r="F5" s="438" t="inlineStr">
        <is>
          <t>Planned spend ($m)</t>
        </is>
      </c>
      <c r="G5" s="438" t="inlineStr">
        <is>
          <t>Budget to draw down ($m)</t>
        </is>
      </c>
      <c r="H5" s="438" t="inlineStr">
        <is>
          <t>Left to fund ($m)</t>
        </is>
      </c>
    </row>
    <row r="6">
      <c r="B6" s="668" t="inlineStr">
        <is>
          <t>Cyber &amp; Risk</t>
        </is>
      </c>
      <c r="C6" s="671">
        <f>COUNTIF($G$19:$G$70,$B6)</f>
        <v>28.0</v>
      </c>
      <c r="D6" s="671">
        <f>COUNTIFS($G$19:$G$70,$B6,$F$19:$F$70,"Filled")</f>
        <v>25.0</v>
      </c>
      <c r="E6" s="671">
        <f>COUNTIFS($G$19:$G$70,$B6,$F$19:$F$70,"Vacant")</f>
        <v>3.0</v>
      </c>
      <c r="F6" s="669">
        <f>SUMIF($G$19:$G$70,$B6,$J$19:$J$70)</f>
        <v>6.5289684139999995</v>
      </c>
      <c r="G6" s="430" t="n"/>
      <c r="H6" s="445" t="n"/>
    </row>
    <row r="7">
      <c r="B7" s="668" t="inlineStr">
        <is>
          <t>Service Operations</t>
        </is>
      </c>
      <c r="C7" s="671">
        <f>COUNTIF($G$19:$G$70,$B7)</f>
        <v>24.0</v>
      </c>
      <c r="D7" s="671">
        <f>COUNTIFS($G$19:$G$70,$B7,$F$19:$F$70,"Filled")</f>
        <v>17.0</v>
      </c>
      <c r="E7" s="671">
        <f>COUNTIFS($G$19:$G$70,$B7,$F$19:$F$70,"Vacant")</f>
        <v>7.0</v>
      </c>
      <c r="F7" s="669">
        <f>SUMIF($G$19:$G$70,$B7,$J$19:$J$70)</f>
        <v>4.38702063</v>
      </c>
      <c r="G7" s="430" t="n"/>
      <c r="H7" s="445" t="n"/>
    </row>
    <row r="8">
      <c r="B8" s="431" t="inlineStr">
        <is>
          <t>Total</t>
        </is>
      </c>
      <c r="C8" s="447">
        <f>SUM(C6:C7)</f>
        <v>52.0</v>
      </c>
      <c r="D8" s="447">
        <f>SUM(D6:D7)</f>
        <v>42.0</v>
      </c>
      <c r="E8" s="447">
        <f>SUM(E6:E7)</f>
        <v>10.0</v>
      </c>
      <c r="F8" s="432">
        <f>SUM(F6:F7)</f>
        <v>10.915989044</v>
      </c>
      <c r="G8" s="432">
        <f>'0.2 Data Config'!$E$23</f>
        <v>3.5</v>
      </c>
      <c r="H8" s="432">
        <f>MAX(0,F8-G8)</f>
        <v>7.415989044</v>
      </c>
    </row>
    <row r="9"/>
    <row r="10">
      <c r="B10" s="492" t="inlineStr">
        <is>
          <t>TDD Cyber people budget - Data Config ($m)</t>
        </is>
      </c>
      <c r="C10" s="497">
        <f>'0.2 Data Config'!$E$23</f>
        <v>3.5</v>
      </c>
      <c r="E10" s="686" t="inlineStr">
        <is>
          <t>Cost - AU and other funded ($m)</t>
        </is>
      </c>
      <c r="F10" s="669">
        <f>SUMIF($E$19:$E$70,"&lt;&gt;NZ",$J$19:$J$70)</f>
        <v>9.8579918</v>
      </c>
    </row>
    <row r="11">
      <c r="B11" s="492" t="inlineStr">
        <is>
          <t>Cyber CapEx - Monitoring, tracked separately ($m)</t>
        </is>
      </c>
      <c r="C11" s="497">
        <f>'1.11 TDD Cyber'!$H$16</f>
        <v>0.5</v>
      </c>
      <c r="E11" s="686" t="inlineStr">
        <is>
          <t>Cost - NZ funded ($m)</t>
        </is>
      </c>
      <c r="F11" s="669">
        <f>SUMIF($E$19:$E$70,"NZ",$J$19:$J$70)</f>
        <v>1.057997244</v>
      </c>
    </row>
    <row r="12">
      <c r="B12" s="492" t="inlineStr">
        <is>
          <t>Planned spend - all cyber roles ($m)</t>
        </is>
      </c>
      <c r="C12" s="497">
        <f>F8</f>
        <v>10.915989044</v>
      </c>
    </row>
    <row r="13">
      <c r="B13" s="492" t="inlineStr">
        <is>
          <t>Left to fund - roles vs people budget ($m)</t>
        </is>
      </c>
      <c r="C13" s="497">
        <f>H8</f>
        <v>7.415989044</v>
      </c>
    </row>
    <row r="14">
      <c r="B14" s="492" t="inlineStr">
        <is>
          <t>Portfolio + platform overheads charged on 1.11 ($m)</t>
        </is>
      </c>
      <c r="C14" s="497">
        <f>'1.11 TDD Cyber'!$C$6+'1.11 TDD Cyber'!$C$7</f>
        <v>0.9145000000000001</v>
      </c>
    </row>
    <row r="15">
      <c r="B15" s="492" t="inlineStr">
        <is>
          <t>Total to fund - ties to 1.11 TDD Cyber ($m)</t>
        </is>
      </c>
      <c r="C15" s="497">
        <f>C13+C14</f>
        <v>8.330489044</v>
      </c>
    </row>
    <row r="16"/>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Category</t>
        </is>
      </c>
      <c r="H18" s="667" t="inlineStr">
        <is>
          <t>On/Off</t>
        </is>
      </c>
      <c r="I18" s="667" t="inlineStr">
        <is>
          <t>Full Cost AUD ($)</t>
        </is>
      </c>
      <c r="J18" s="667" t="inlineStr">
        <is>
          <t>Model cost ($m)</t>
        </is>
      </c>
    </row>
    <row r="19">
      <c r="B19" s="686" t="str">
        <f>Sheet2!$B$2</f>
        <v>Ashley Mueller</v>
      </c>
      <c r="C19" s="692" t="str">
        <f>SUBSTITUTE(SUBSTITUTE(Sheet2!$C$2,"–","-"),"—","-")</f>
        <v>Lead - Service Assurance</v>
      </c>
      <c r="D19" s="686" t="str">
        <f>Sheet2!$G$2</f>
        <v>Service Op &amp; Assurance</v>
      </c>
      <c r="E19" s="686" t="str">
        <f>Sheet2!$M$2</f>
        <v>NZ</v>
      </c>
      <c r="F19" s="673" t="str">
        <f>IF(LOWER(Sheet2!$Q$2)="v","Vacant",IF(LOWER(Sheet2!$Q$2)="pause","Paused",IF(LOWER(Sheet2!$Q$2)="cxc","Contractor","Filled")))</f>
        <v>Filled</v>
      </c>
      <c r="G19" s="686" t="str">
        <f>IF(Sheet2!$G$2="Service Op &amp; Assurance","Service Operations","Cyber &amp; Risk")</f>
        <v>Service Operations</v>
      </c>
      <c r="H19" s="693" t="inlineStr">
        <is>
          <t>Onshore</t>
        </is>
      </c>
      <c r="I19" s="694">
        <f>Sheet2!$AA$2</f>
        <v>189974.796</v>
      </c>
      <c r="J19" s="669">
        <f>IF($H19="Offshore",$I19*'0.3 Squad Archetypes'!$K$5,$I19)/1000000</f>
        <v>0.189974796</v>
      </c>
      <c r="K19" s="665" t="n"/>
      <c r="L19" s="665" t="n"/>
    </row>
    <row r="20">
      <c r="B20" s="686" t="str">
        <f>Sheet2!$B$3</f>
        <v>Belinda Hoskens</v>
      </c>
      <c r="C20" s="692"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86" t="str">
        <f>IF(Sheet2!$G$3="Service Op &amp; Assurance","Service Operations","Cyber &amp; Risk")</f>
        <v>Service Operations</v>
      </c>
      <c r="H20" s="693" t="inlineStr">
        <is>
          <t>Onshore</t>
        </is>
      </c>
      <c r="I20" s="694">
        <f>Sheet2!$AA$3</f>
        <v>162139.5</v>
      </c>
      <c r="J20" s="669">
        <f>IF($H20="Offshore",$I20*'0.3 Squad Archetypes'!$K$5,$I20)/1000000</f>
        <v>0.1621395</v>
      </c>
      <c r="K20" s="665" t="n"/>
      <c r="L20" s="665" t="n"/>
    </row>
    <row r="21">
      <c r="B21" s="686" t="str">
        <f>Sheet2!$B$4</f>
        <v>Brian Gates</v>
      </c>
      <c r="C21" s="692" t="str">
        <f>SUBSTITUTE(SUBSTITUTE(Sheet2!$C$4,"–","-"),"—","-")</f>
        <v>Manager Risk &amp; Resilience</v>
      </c>
      <c r="D21" s="686" t="str">
        <f>Sheet2!$G$4</f>
        <v>Cyber Risk</v>
      </c>
      <c r="E21" s="686" t="str">
        <f>Sheet2!$M$4</f>
        <v>Australia</v>
      </c>
      <c r="F21" s="673" t="str">
        <f>IF(LOWER(Sheet2!$Q$4)="v","Vacant",IF(LOWER(Sheet2!$Q$4)="pause","Paused",IF(LOWER(Sheet2!$Q$4)="cxc","Contractor","Filled")))</f>
        <v>Filled</v>
      </c>
      <c r="G21" s="686" t="str">
        <f>IF(Sheet2!$G$4="Service Op &amp; Assurance","Service Operations","Cyber &amp; Risk")</f>
        <v>Cyber &amp; Risk</v>
      </c>
      <c r="H21" s="693" t="inlineStr">
        <is>
          <t>Onshore</t>
        </is>
      </c>
      <c r="I21" s="694">
        <f>Sheet2!$AA$4</f>
        <v>287043.2</v>
      </c>
      <c r="J21" s="669">
        <f>IF($H21="Offshore",$I21*'0.3 Squad Archetypes'!$K$5,$I21)/1000000</f>
        <v>0.2870432</v>
      </c>
      <c r="K21" s="665" t="n"/>
      <c r="L21" s="665" t="n"/>
    </row>
    <row r="22">
      <c r="B22" s="686" t="str">
        <f>Sheet2!$B$5</f>
        <v>Cameron Watman</v>
      </c>
      <c r="C22" s="692" t="str">
        <f>SUBSTITUTE(SUBSTITUTE(Sheet2!$C$5,"–","-"),"—","-")</f>
        <v>Engineer - IDAM</v>
      </c>
      <c r="D22" s="686" t="str">
        <f>Sheet2!$G$5</f>
        <v>Cyber Strat &amp; Tech</v>
      </c>
      <c r="E22" s="686" t="str">
        <f>Sheet2!$M$5</f>
        <v>Australia</v>
      </c>
      <c r="F22" s="673" t="str">
        <f>IF(LOWER(Sheet2!$Q$5)="v","Vacant",IF(LOWER(Sheet2!$Q$5)="pause","Paused",IF(LOWER(Sheet2!$Q$5)="cxc","Contractor","Filled")))</f>
        <v>Filled</v>
      </c>
      <c r="G22" s="686" t="str">
        <f>IF(Sheet2!$G$5="Service Op &amp; Assurance","Service Operations","Cyber &amp; Risk")</f>
        <v>Cyber &amp; Risk</v>
      </c>
      <c r="H22" s="693" t="inlineStr">
        <is>
          <t>Onshore</t>
        </is>
      </c>
      <c r="I22" s="694">
        <f>Sheet2!$AA$5</f>
        <v>173132.9</v>
      </c>
      <c r="J22" s="669">
        <f>IF($H22="Offshore",$I22*'0.3 Squad Archetypes'!$K$5,$I22)/1000000</f>
        <v>0.1731329</v>
      </c>
      <c r="K22" s="665" t="n"/>
      <c r="L22" s="665" t="n"/>
    </row>
    <row r="23">
      <c r="B23" s="686" t="str">
        <f>Sheet2!$B$6</f>
        <v>Catherine Gire</v>
      </c>
      <c r="C23" s="692"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86" t="str">
        <f>IF(Sheet2!$G$6="Service Op &amp; Assurance","Service Operations","Cyber &amp; Risk")</f>
        <v>Cyber &amp; Risk</v>
      </c>
      <c r="H23" s="693" t="inlineStr">
        <is>
          <t>Onshore</t>
        </is>
      </c>
      <c r="I23" s="694">
        <f>Sheet2!$AA$6</f>
        <v>227163.6</v>
      </c>
      <c r="J23" s="669">
        <f>IF($H23="Offshore",$I23*'0.3 Squad Archetypes'!$K$5,$I23)/1000000</f>
        <v>0.2271636</v>
      </c>
      <c r="K23" s="665" t="n"/>
      <c r="L23" s="665" t="n"/>
    </row>
    <row r="24">
      <c r="B24" s="686" t="str">
        <f>Sheet2!$B$7</f>
        <v>Chris Lyons</v>
      </c>
      <c r="C24" s="692"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86" t="str">
        <f>IF(Sheet2!$G$7="Service Op &amp; Assurance","Service Operations","Cyber &amp; Risk")</f>
        <v>Cyber &amp; Risk</v>
      </c>
      <c r="H24" s="693" t="inlineStr">
        <is>
          <t>Onshore</t>
        </is>
      </c>
      <c r="I24" s="694">
        <f>Sheet2!$AA$7</f>
        <v>283353.75</v>
      </c>
      <c r="J24" s="669">
        <f>IF($H24="Offshore",$I24*'0.3 Squad Archetypes'!$K$5,$I24)/1000000</f>
        <v>0.28335375</v>
      </c>
      <c r="K24" s="665" t="n"/>
      <c r="L24" s="665" t="n"/>
    </row>
    <row r="25">
      <c r="B25" s="686" t="str">
        <f>Sheet2!$B$8</f>
        <v>Chris Rojas</v>
      </c>
      <c r="C25" s="692"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86" t="str">
        <f>IF(Sheet2!$G$8="Service Op &amp; Assurance","Service Operations","Cyber &amp; Risk")</f>
        <v>Service Operations</v>
      </c>
      <c r="H25" s="693" t="inlineStr">
        <is>
          <t>Onshore</t>
        </is>
      </c>
      <c r="I25" s="694">
        <f>Sheet2!$AA$8</f>
        <v>243303.75</v>
      </c>
      <c r="J25" s="669">
        <f>IF($H25="Offshore",$I25*'0.3 Squad Archetypes'!$K$5,$I25)/1000000</f>
        <v>0.24330375</v>
      </c>
      <c r="K25" s="665" t="n"/>
      <c r="L25" s="665" t="n"/>
    </row>
    <row r="26">
      <c r="B26" s="686" t="str">
        <f>Sheet2!$B$9</f>
        <v>Dan Balsamo</v>
      </c>
      <c r="C26" s="692"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86" t="str">
        <f>IF(Sheet2!$G$9="Service Op &amp; Assurance","Service Operations","Cyber &amp; Risk")</f>
        <v>Cyber &amp; Risk</v>
      </c>
      <c r="H26" s="693" t="inlineStr">
        <is>
          <t>Onshore</t>
        </is>
      </c>
      <c r="I26" s="694">
        <f>Sheet2!$AA$9</f>
        <v>258576.15</v>
      </c>
      <c r="J26" s="669">
        <f>IF($H26="Offshore",$I26*'0.3 Squad Archetypes'!$K$5,$I26)/1000000</f>
        <v>0.25857615</v>
      </c>
      <c r="K26" s="665" t="n"/>
      <c r="L26" s="665" t="n"/>
    </row>
    <row r="27">
      <c r="B27" s="686" t="str">
        <f>Sheet2!$B$10</f>
        <v>Daniel Jolley</v>
      </c>
      <c r="C27" s="692"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86" t="str">
        <f>IF(Sheet2!$G$10="Service Op &amp; Assurance","Service Operations","Cyber &amp; Risk")</f>
        <v>Service Operations</v>
      </c>
      <c r="H27" s="693" t="inlineStr">
        <is>
          <t>Onshore</t>
        </is>
      </c>
      <c r="I27" s="694">
        <f>Sheet2!$AA$10</f>
        <v>115851.5</v>
      </c>
      <c r="J27" s="669">
        <f>IF($H27="Offshore",$I27*'0.3 Squad Archetypes'!$K$5,$I27)/1000000</f>
        <v>0.1158515</v>
      </c>
      <c r="K27" s="665" t="n"/>
      <c r="L27" s="665" t="n"/>
    </row>
    <row r="28">
      <c r="B28" s="686" t="str">
        <f>Sheet2!$B$11</f>
        <v>Darren Koller</v>
      </c>
      <c r="C28" s="692"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86" t="str">
        <f>IF(Sheet2!$G$11="Service Op &amp; Assurance","Service Operations","Cyber &amp; Risk")</f>
        <v>Service Operations</v>
      </c>
      <c r="H28" s="693" t="inlineStr">
        <is>
          <t>Onshore</t>
        </is>
      </c>
      <c r="I28" s="694">
        <f>Sheet2!$AA$11</f>
        <v>274943.25</v>
      </c>
      <c r="J28" s="669">
        <f>IF($H28="Offshore",$I28*'0.3 Squad Archetypes'!$K$5,$I28)/1000000</f>
        <v>0.27494325</v>
      </c>
      <c r="K28" s="665" t="n"/>
      <c r="L28" s="665" t="n"/>
    </row>
    <row r="29">
      <c r="B29" s="686" t="str">
        <f>Sheet2!$B$12</f>
        <v>Darshan Suvama</v>
      </c>
      <c r="C29" s="692"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86" t="str">
        <f>IF(Sheet2!$G$12="Service Op &amp; Assurance","Service Operations","Cyber &amp; Risk")</f>
        <v>Cyber &amp; Risk</v>
      </c>
      <c r="H29" s="693" t="inlineStr">
        <is>
          <t>Onshore</t>
        </is>
      </c>
      <c r="I29" s="694">
        <f>Sheet2!$AA$12</f>
        <v>285342.89999999997</v>
      </c>
      <c r="J29" s="669">
        <f>IF($H29="Offshore",$I29*'0.3 Squad Archetypes'!$K$5,$I29)/1000000</f>
        <v>0.28534289999999995</v>
      </c>
      <c r="K29" s="665" t="n"/>
      <c r="L29" s="665" t="n"/>
    </row>
    <row r="30">
      <c r="B30" s="686" t="str">
        <f>Sheet2!$B$13</f>
        <v>Diya Thomas</v>
      </c>
      <c r="C30" s="692"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86" t="str">
        <f>IF(Sheet2!$G$13="Service Op &amp; Assurance","Service Operations","Cyber &amp; Risk")</f>
        <v>Cyber &amp; Risk</v>
      </c>
      <c r="H30" s="693" t="inlineStr">
        <is>
          <t>Onshore</t>
        </is>
      </c>
      <c r="I30" s="694">
        <f>Sheet2!$AA$13</f>
        <v>287043.2</v>
      </c>
      <c r="J30" s="669">
        <f>IF($H30="Offshore",$I30*'0.3 Squad Archetypes'!$K$5,$I30)/1000000</f>
        <v>0.2870432</v>
      </c>
      <c r="K30" s="665" t="n"/>
      <c r="L30" s="665" t="n"/>
    </row>
    <row r="31">
      <c r="B31" s="686" t="str">
        <f>Sheet2!$B$14</f>
        <v>Ethan Lamhert (FT)</v>
      </c>
      <c r="C31" s="692"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86" t="str">
        <f>IF(Sheet2!$G$14="Service Op &amp; Assurance","Service Operations","Cyber &amp; Risk")</f>
        <v>Service Operations</v>
      </c>
      <c r="H31" s="693" t="inlineStr">
        <is>
          <t>Onshore</t>
        </is>
      </c>
      <c r="I31" s="694">
        <f>Sheet2!$AA$14</f>
        <v>89758.00000000001</v>
      </c>
      <c r="J31" s="669">
        <f>IF($H31="Offshore",$I31*'0.3 Squad Archetypes'!$K$5,$I31)/1000000</f>
        <v>0.08975800000000002</v>
      </c>
      <c r="K31" s="665" t="n"/>
      <c r="L31" s="665" t="n"/>
    </row>
    <row r="32">
      <c r="B32" s="686" t="str">
        <f>Sheet2!$B$15</f>
        <v>Iwan Wibisono</v>
      </c>
      <c r="C32" s="692" t="str">
        <f>SUBSTITUTE(SUBSTITUTE(Sheet2!$C$15,"–","-"),"—","-")</f>
        <v>Engineer - IDAM</v>
      </c>
      <c r="D32" s="686" t="str">
        <f>Sheet2!$G$15</f>
        <v>Cyber Strat &amp; Tech</v>
      </c>
      <c r="E32" s="686" t="str">
        <f>Sheet2!$M$15</f>
        <v>Australia</v>
      </c>
      <c r="F32" s="673" t="str">
        <f>IF(LOWER(Sheet2!$Q$15)="v","Vacant",IF(LOWER(Sheet2!$Q$15)="pause","Paused",IF(LOWER(Sheet2!$Q$15)="cxc","Contractor","Filled")))</f>
        <v>Filled</v>
      </c>
      <c r="G32" s="686" t="str">
        <f>IF(Sheet2!$G$15="Service Op &amp; Assurance","Service Operations","Cyber &amp; Risk")</f>
        <v>Cyber &amp; Risk</v>
      </c>
      <c r="H32" s="693" t="inlineStr">
        <is>
          <t>Onshore</t>
        </is>
      </c>
      <c r="I32" s="694">
        <f>Sheet2!$AA$15</f>
        <v>215682.6</v>
      </c>
      <c r="J32" s="669">
        <f>IF($H32="Offshore",$I32*'0.3 Squad Archetypes'!$K$5,$I32)/1000000</f>
        <v>0.2156826</v>
      </c>
      <c r="K32" s="665" t="n"/>
      <c r="L32" s="665" t="n"/>
    </row>
    <row r="33">
      <c r="B33" s="686" t="str">
        <f>Sheet2!$B$16</f>
        <v>Jack Jenkins</v>
      </c>
      <c r="C33" s="692"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86" t="str">
        <f>IF(Sheet2!$G$16="Service Op &amp; Assurance","Service Operations","Cyber &amp; Risk")</f>
        <v>Service Operations</v>
      </c>
      <c r="H33" s="693" t="inlineStr">
        <is>
          <t>Onshore</t>
        </is>
      </c>
      <c r="I33" s="694">
        <f>Sheet2!$AA$16</f>
        <v>139008.65</v>
      </c>
      <c r="J33" s="669">
        <f>IF($H33="Offshore",$I33*'0.3 Squad Archetypes'!$K$5,$I33)/1000000</f>
        <v>0.13900864999999998</v>
      </c>
      <c r="K33" s="665" t="n"/>
      <c r="L33" s="665" t="n"/>
    </row>
    <row r="34">
      <c r="B34" s="686" t="str">
        <f>Sheet2!$B$17</f>
        <v>James Byrne</v>
      </c>
      <c r="C34" s="692"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86" t="str">
        <f>IF(Sheet2!$G$17="Service Op &amp; Assurance","Service Operations","Cyber &amp; Risk")</f>
        <v>Cyber &amp; Risk</v>
      </c>
      <c r="H34" s="693" t="inlineStr">
        <is>
          <t>Onshore</t>
        </is>
      </c>
      <c r="I34" s="694">
        <f>Sheet2!$AA$17</f>
        <v>382587.7</v>
      </c>
      <c r="J34" s="669">
        <f>IF($H34="Offshore",$I34*'0.3 Squad Archetypes'!$K$5,$I34)/1000000</f>
        <v>0.38258770000000003</v>
      </c>
      <c r="K34" s="665" t="n"/>
      <c r="L34" s="665" t="n"/>
    </row>
    <row r="35">
      <c r="B35" s="686" t="str">
        <f>Sheet2!$B$18</f>
        <v>Jas Mann</v>
      </c>
      <c r="C35" s="692"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86" t="str">
        <f>IF(Sheet2!$G$18="Service Op &amp; Assurance","Service Operations","Cyber &amp; Risk")</f>
        <v>Service Operations</v>
      </c>
      <c r="H35" s="693" t="inlineStr">
        <is>
          <t>Onshore</t>
        </is>
      </c>
      <c r="I35" s="694">
        <f>Sheet2!$AA$18</f>
        <v>146885.5</v>
      </c>
      <c r="J35" s="669">
        <f>IF($H35="Offshore",$I35*'0.3 Squad Archetypes'!$K$5,$I35)/1000000</f>
        <v>0.1468855</v>
      </c>
      <c r="K35" s="665" t="n"/>
      <c r="L35" s="665" t="n"/>
    </row>
    <row r="36">
      <c r="B36" s="686" t="str">
        <f>Sheet2!$B$19</f>
        <v>Joe Nahma</v>
      </c>
      <c r="C36" s="692"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86" t="str">
        <f>IF(Sheet2!$G$19="Service Op &amp; Assurance","Service Operations","Cyber &amp; Risk")</f>
        <v>Cyber &amp; Risk</v>
      </c>
      <c r="H36" s="693" t="inlineStr">
        <is>
          <t>Onshore</t>
        </is>
      </c>
      <c r="I36" s="694">
        <f>Sheet2!$AA$19</f>
        <v>258709.65</v>
      </c>
      <c r="J36" s="669">
        <f>IF($H36="Offshore",$I36*'0.3 Squad Archetypes'!$K$5,$I36)/1000000</f>
        <v>0.25870965</v>
      </c>
      <c r="K36" s="665" t="n"/>
      <c r="L36" s="665" t="n"/>
    </row>
    <row r="37">
      <c r="B37" s="686" t="str">
        <f>Sheet2!$B$20</f>
        <v>Kaaviya Salai Manimudian</v>
      </c>
      <c r="C37" s="692" t="str">
        <f>SUBSTITUTE(SUBSTITUTE(Sheet2!$C$20,"–","-"),"—","-")</f>
        <v>Graduate</v>
      </c>
      <c r="D37" s="686" t="str">
        <f>Sheet2!$G$20</f>
        <v>Service Op &amp; Assurance</v>
      </c>
      <c r="E37" s="686" t="str">
        <f>Sheet2!$M$20</f>
        <v>Australia</v>
      </c>
      <c r="F37" s="673" t="str">
        <f>IF(LOWER(Sheet2!$Q$20)="v","Vacant",IF(LOWER(Sheet2!$Q$20)="pause","Paused",IF(LOWER(Sheet2!$Q$20)="cxc","Contractor","Filled")))</f>
        <v>Filled</v>
      </c>
      <c r="G37" s="686" t="str">
        <f>IF(Sheet2!$G$20="Service Op &amp; Assurance","Service Operations","Cyber &amp; Risk")</f>
        <v>Service Operations</v>
      </c>
      <c r="H37" s="693" t="inlineStr">
        <is>
          <t>Onshore</t>
        </is>
      </c>
      <c r="I37" s="694">
        <f>Sheet2!$AA$20</f>
        <v>110075.0</v>
      </c>
      <c r="J37" s="669">
        <f>IF($H37="Offshore",$I37*'0.3 Squad Archetypes'!$K$5,$I37)/1000000</f>
        <v>0.110075</v>
      </c>
      <c r="K37" s="665" t="n"/>
      <c r="L37" s="665" t="n"/>
    </row>
    <row r="38">
      <c r="B38" s="686" t="str">
        <f>Sheet2!$B$21</f>
        <v>Kevin Sheerin</v>
      </c>
      <c r="C38" s="692"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86" t="str">
        <f>IF(Sheet2!$G$21="Service Op &amp; Assurance","Service Operations","Cyber &amp; Risk")</f>
        <v>Cyber &amp; Risk</v>
      </c>
      <c r="H38" s="693" t="inlineStr">
        <is>
          <t>Onshore</t>
        </is>
      </c>
      <c r="I38" s="694">
        <f>Sheet2!$AA$21</f>
        <v>284982.45</v>
      </c>
      <c r="J38" s="669">
        <f>IF($H38="Offshore",$I38*'0.3 Squad Archetypes'!$K$5,$I38)/1000000</f>
        <v>0.28498245</v>
      </c>
      <c r="K38" s="665" t="n"/>
      <c r="L38" s="665" t="n"/>
    </row>
    <row r="39">
      <c r="B39" s="686" t="str">
        <f>Sheet2!$B$22</f>
        <v>Lisa Ng</v>
      </c>
      <c r="C39" s="692" t="str">
        <f>SUBSTITUTE(SUBSTITUTE(Sheet2!$C$22,"–","-"),"—","-")</f>
        <v>Cyber Security Analyst</v>
      </c>
      <c r="D39" s="686" t="str">
        <f>Sheet2!$G$22</f>
        <v>Cyber Sec Ops</v>
      </c>
      <c r="E39" s="686" t="str">
        <f>Sheet2!$M$22</f>
        <v>NZ</v>
      </c>
      <c r="F39" s="673" t="str">
        <f>IF(LOWER(Sheet2!$Q$22)="v","Vacant",IF(LOWER(Sheet2!$Q$22)="pause","Paused",IF(LOWER(Sheet2!$Q$22)="cxc","Contractor","Filled")))</f>
        <v>Filled</v>
      </c>
      <c r="G39" s="686" t="str">
        <f>IF(Sheet2!$G$22="Service Op &amp; Assurance","Service Operations","Cyber &amp; Risk")</f>
        <v>Cyber &amp; Risk</v>
      </c>
      <c r="H39" s="693" t="inlineStr">
        <is>
          <t>Onshore</t>
        </is>
      </c>
      <c r="I39" s="694">
        <f>Sheet2!$AA$22</f>
        <v>147800.064</v>
      </c>
      <c r="J39" s="669">
        <f>IF($H39="Offshore",$I39*'0.3 Squad Archetypes'!$K$5,$I39)/1000000</f>
        <v>0.147800064</v>
      </c>
      <c r="K39" s="665" t="n"/>
      <c r="L39" s="665" t="n"/>
    </row>
    <row r="40">
      <c r="B40" s="686" t="str">
        <f>Sheet2!$B$23</f>
        <v>Lynda Niewidok</v>
      </c>
      <c r="C40" s="692"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86" t="str">
        <f>IF(Sheet2!$G$23="Service Op &amp; Assurance","Service Operations","Cyber &amp; Risk")</f>
        <v>Service Operations</v>
      </c>
      <c r="H40" s="693" t="inlineStr">
        <is>
          <t>Onshore</t>
        </is>
      </c>
      <c r="I40" s="694">
        <f>Sheet2!$AA$23</f>
        <v>203988.0</v>
      </c>
      <c r="J40" s="669">
        <f>IF($H40="Offshore",$I40*'0.3 Squad Archetypes'!$K$5,$I40)/1000000</f>
        <v>0.203988</v>
      </c>
      <c r="K40" s="665" t="n"/>
      <c r="L40" s="665" t="n"/>
    </row>
    <row r="41">
      <c r="B41" s="686" t="str">
        <f>Sheet2!$B$24</f>
        <v>Mark Pearson</v>
      </c>
      <c r="C41" s="692"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86" t="str">
        <f>IF(Sheet2!$G$24="Service Op &amp; Assurance","Service Operations","Cyber &amp; Risk")</f>
        <v>Service Operations</v>
      </c>
      <c r="H41" s="693" t="inlineStr">
        <is>
          <t>Onshore</t>
        </is>
      </c>
      <c r="I41" s="694">
        <f>Sheet2!$AA$24</f>
        <v>203841.15</v>
      </c>
      <c r="J41" s="669">
        <f>IF($H41="Offshore",$I41*'0.3 Squad Archetypes'!$K$5,$I41)/1000000</f>
        <v>0.20384115</v>
      </c>
      <c r="K41" s="665" t="n"/>
      <c r="L41" s="665" t="n"/>
    </row>
    <row r="42">
      <c r="B42" s="686" t="str">
        <f>Sheet2!$B$25</f>
        <v>Mary-Grace Rivera</v>
      </c>
      <c r="C42" s="692"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86" t="str">
        <f>IF(Sheet2!$G$25="Service Op &amp; Assurance","Service Operations","Cyber &amp; Risk")</f>
        <v>Service Operations</v>
      </c>
      <c r="H42" s="693" t="inlineStr">
        <is>
          <t>Onshore</t>
        </is>
      </c>
      <c r="I42" s="694">
        <f>Sheet2!$AA$25</f>
        <v>180970.3</v>
      </c>
      <c r="J42" s="669">
        <f>IF($H42="Offshore",$I42*'0.3 Squad Archetypes'!$K$5,$I42)/1000000</f>
        <v>0.1809703</v>
      </c>
      <c r="K42" s="665" t="n"/>
      <c r="L42" s="665" t="n"/>
    </row>
    <row r="43">
      <c r="B43" s="686" t="str">
        <f>Sheet2!$B$26</f>
        <v>Mick Collins</v>
      </c>
      <c r="C43" s="692"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86" t="str">
        <f>IF(Sheet2!$G$26="Service Op &amp; Assurance","Service Operations","Cyber &amp; Risk")</f>
        <v>Service Operations</v>
      </c>
      <c r="H43" s="693" t="inlineStr">
        <is>
          <t>Onshore</t>
        </is>
      </c>
      <c r="I43" s="694">
        <f>Sheet2!$AA$26</f>
        <v>272070.45</v>
      </c>
      <c r="J43" s="669">
        <f>IF($H43="Offshore",$I43*'0.3 Squad Archetypes'!$K$5,$I43)/1000000</f>
        <v>0.27207045</v>
      </c>
      <c r="K43" s="665" t="n"/>
      <c r="L43" s="665" t="n"/>
    </row>
    <row r="44">
      <c r="B44" s="686" t="str">
        <f>Sheet2!$B$27</f>
        <v>Nischal Bhusal</v>
      </c>
      <c r="C44" s="692"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86" t="str">
        <f>IF(Sheet2!$G$27="Service Op &amp; Assurance","Service Operations","Cyber &amp; Risk")</f>
        <v>Cyber &amp; Risk</v>
      </c>
      <c r="H44" s="693" t="inlineStr">
        <is>
          <t>Onshore</t>
        </is>
      </c>
      <c r="I44" s="694">
        <f>Sheet2!$AA$27</f>
        <v>215629.19999999998</v>
      </c>
      <c r="J44" s="669">
        <f>IF($H44="Offshore",$I44*'0.3 Squad Archetypes'!$K$5,$I44)/1000000</f>
        <v>0.2156292</v>
      </c>
      <c r="K44" s="665" t="n"/>
      <c r="L44" s="665" t="n"/>
    </row>
    <row r="45">
      <c r="B45" s="686" t="str">
        <f>Sheet2!$B$28</f>
        <v>Pooja Kuperkar</v>
      </c>
      <c r="C45" s="692" t="str">
        <f>SUBSTITUTE(SUBSTITUTE(Sheet2!$C$28,"–","-"),"—","-")</f>
        <v>Cyber GRC Analyst</v>
      </c>
      <c r="D45" s="686" t="str">
        <f>Sheet2!$G$28</f>
        <v>Cyber GRC</v>
      </c>
      <c r="E45" s="686" t="str">
        <f>Sheet2!$M$28</f>
        <v>Australia</v>
      </c>
      <c r="F45" s="673" t="str">
        <f>IF(LOWER(Sheet2!$Q$28)="v","Vacant",IF(LOWER(Sheet2!$Q$28)="pause","Paused",IF(LOWER(Sheet2!$Q$28)="cxc","Contractor","Filled")))</f>
        <v>Filled</v>
      </c>
      <c r="G45" s="686" t="str">
        <f>IF(Sheet2!$G$28="Service Op &amp; Assurance","Service Operations","Cyber &amp; Risk")</f>
        <v>Cyber &amp; Risk</v>
      </c>
      <c r="H45" s="693" t="inlineStr">
        <is>
          <t>Onshore</t>
        </is>
      </c>
      <c r="I45" s="694">
        <f>Sheet2!$AA$28</f>
        <v>203440.65</v>
      </c>
      <c r="J45" s="669">
        <f>IF($H45="Offshore",$I45*'0.3 Squad Archetypes'!$K$5,$I45)/1000000</f>
        <v>0.20344065</v>
      </c>
      <c r="K45" s="665" t="n"/>
      <c r="L45" s="665" t="n"/>
    </row>
    <row r="46">
      <c r="B46" s="686" t="str">
        <f>Sheet2!$B$29</f>
        <v>Prashanth Chandran</v>
      </c>
      <c r="C46" s="692"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86" t="str">
        <f>IF(Sheet2!$G$29="Service Op &amp; Assurance","Service Operations","Cyber &amp; Risk")</f>
        <v>Cyber &amp; Risk</v>
      </c>
      <c r="H46" s="693" t="inlineStr">
        <is>
          <t>Onshore</t>
        </is>
      </c>
      <c r="I46" s="694">
        <f>Sheet2!$AA$29</f>
        <v>220275.0</v>
      </c>
      <c r="J46" s="669">
        <f>IF($H46="Offshore",$I46*'0.3 Squad Archetypes'!$K$5,$I46)/1000000</f>
        <v>0.220275</v>
      </c>
      <c r="K46" s="665" t="n"/>
      <c r="L46" s="665" t="n"/>
    </row>
    <row r="47">
      <c r="B47" s="686" t="str">
        <f>Sheet2!$B$30</f>
        <v>Rahul Sahni</v>
      </c>
      <c r="C47" s="692"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86" t="str">
        <f>IF(Sheet2!$G$30="Service Op &amp; Assurance","Service Operations","Cyber &amp; Risk")</f>
        <v>Cyber &amp; Risk</v>
      </c>
      <c r="H47" s="693" t="inlineStr">
        <is>
          <t>Onshore</t>
        </is>
      </c>
      <c r="I47" s="694">
        <f>Sheet2!$AA$30</f>
        <v>226282.5</v>
      </c>
      <c r="J47" s="669">
        <f>IF($H47="Offshore",$I47*'0.3 Squad Archetypes'!$K$5,$I47)/1000000</f>
        <v>0.2262825</v>
      </c>
      <c r="K47" s="665" t="n"/>
      <c r="L47" s="665" t="n"/>
    </row>
    <row r="48">
      <c r="B48" s="686" t="str">
        <f>Sheet2!$B$31</f>
        <v>Rajini Onteddu Reddy</v>
      </c>
      <c r="C48" s="692"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86" t="str">
        <f>IF(Sheet2!$G$31="Service Op &amp; Assurance","Service Operations","Cyber &amp; Risk")</f>
        <v>Service Operations</v>
      </c>
      <c r="H48" s="693" t="inlineStr">
        <is>
          <t>Onshore</t>
        </is>
      </c>
      <c r="I48" s="694">
        <f>Sheet2!$AA$31</f>
        <v>400671.4</v>
      </c>
      <c r="J48" s="669">
        <f>IF($H48="Offshore",$I48*'0.3 Squad Archetypes'!$K$5,$I48)/1000000</f>
        <v>0.4006714</v>
      </c>
      <c r="K48" s="665" t="n"/>
      <c r="L48" s="665" t="n"/>
    </row>
    <row r="49">
      <c r="B49" s="686" t="str">
        <f>Sheet2!$B$32</f>
        <v>Raymond Cheung</v>
      </c>
      <c r="C49" s="692" t="str">
        <f>SUBSTITUTE(SUBSTITUTE(Sheet2!$C$32,"–","-"),"—","-")</f>
        <v>Engineer - IDAM</v>
      </c>
      <c r="D49" s="686" t="str">
        <f>Sheet2!$G$32</f>
        <v>Cyber Strat &amp; Tech</v>
      </c>
      <c r="E49" s="686" t="str">
        <f>Sheet2!$M$32</f>
        <v>Australia</v>
      </c>
      <c r="F49" s="673" t="str">
        <f>IF(LOWER(Sheet2!$Q$32)="v","Vacant",IF(LOWER(Sheet2!$Q$32)="pause","Paused",IF(LOWER(Sheet2!$Q$32)="cxc","Contractor","Filled")))</f>
        <v>Filled</v>
      </c>
      <c r="G49" s="686" t="str">
        <f>IF(Sheet2!$G$32="Service Op &amp; Assurance","Service Operations","Cyber &amp; Risk")</f>
        <v>Cyber &amp; Risk</v>
      </c>
      <c r="H49" s="693" t="inlineStr">
        <is>
          <t>Onshore</t>
        </is>
      </c>
      <c r="I49" s="694">
        <f>Sheet2!$AA$32</f>
        <v>190675.0</v>
      </c>
      <c r="J49" s="669">
        <f>IF($H49="Offshore",$I49*'0.3 Squad Archetypes'!$K$5,$I49)/1000000</f>
        <v>0.190675</v>
      </c>
      <c r="K49" s="665" t="n"/>
      <c r="L49" s="665" t="n"/>
    </row>
    <row r="50">
      <c r="B50" s="686" t="str">
        <f>Sheet2!$B$33</f>
        <v>Remya Pookat</v>
      </c>
      <c r="C50" s="692"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86" t="str">
        <f>IF(Sheet2!$G$33="Service Op &amp; Assurance","Service Operations","Cyber &amp; Risk")</f>
        <v>Service Operations</v>
      </c>
      <c r="H50" s="693" t="inlineStr">
        <is>
          <t>Onshore</t>
        </is>
      </c>
      <c r="I50" s="694">
        <f>Sheet2!$AA$33</f>
        <v>220875.75</v>
      </c>
      <c r="J50" s="669">
        <f>IF($H50="Offshore",$I50*'0.3 Squad Archetypes'!$K$5,$I50)/1000000</f>
        <v>0.22087575</v>
      </c>
      <c r="K50" s="665" t="n"/>
      <c r="L50" s="665" t="n"/>
    </row>
    <row r="51">
      <c r="B51" s="686" t="str">
        <f>Sheet2!$B$34</f>
        <v>Ritika Salaria</v>
      </c>
      <c r="C51" s="692"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86" t="str">
        <f>IF(Sheet2!$G$34="Service Op &amp; Assurance","Service Operations","Cyber &amp; Risk")</f>
        <v>Service Operations</v>
      </c>
      <c r="H51" s="693" t="inlineStr">
        <is>
          <t>Onshore</t>
        </is>
      </c>
      <c r="I51" s="694">
        <f>Sheet2!$AA$34</f>
        <v>173106.6</v>
      </c>
      <c r="J51" s="669">
        <f>IF($H51="Offshore",$I51*'0.3 Squad Archetypes'!$K$5,$I51)/1000000</f>
        <v>0.1731066</v>
      </c>
      <c r="K51" s="665" t="n"/>
      <c r="L51" s="665" t="n"/>
    </row>
    <row r="52">
      <c r="B52" s="686" t="str">
        <f>Sheet2!$B$35</f>
        <v>Sameer Pattanaik</v>
      </c>
      <c r="C52" s="692"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86" t="str">
        <f>IF(Sheet2!$G$35="Service Op &amp; Assurance","Service Operations","Cyber &amp; Risk")</f>
        <v>Cyber &amp; Risk</v>
      </c>
      <c r="H52" s="693" t="inlineStr">
        <is>
          <t>Onshore</t>
        </is>
      </c>
      <c r="I52" s="694">
        <f>Sheet2!$AA$35</f>
        <v>212878.38</v>
      </c>
      <c r="J52" s="669">
        <f>IF($H52="Offshore",$I52*'0.3 Squad Archetypes'!$K$5,$I52)/1000000</f>
        <v>0.21287838</v>
      </c>
      <c r="K52" s="665" t="n"/>
      <c r="L52" s="665" t="n"/>
    </row>
    <row r="53">
      <c r="B53" s="686" t="str">
        <f>Sheet2!$B$36</f>
        <v>Shomiya Shayal</v>
      </c>
      <c r="C53" s="692" t="str">
        <f>SUBSTITUTE(SUBSTITUTE(Sheet2!$C$36,"–","-"),"—","-")</f>
        <v>Risk &amp; Resilience Lead</v>
      </c>
      <c r="D53" s="686" t="str">
        <f>Sheet2!$G$36</f>
        <v>Cyber Risk</v>
      </c>
      <c r="E53" s="686" t="str">
        <f>Sheet2!$M$36</f>
        <v>NZ</v>
      </c>
      <c r="F53" s="673" t="str">
        <f>IF(LOWER(Sheet2!$Q$36)="v","Vacant",IF(LOWER(Sheet2!$Q$36)="pause","Paused",IF(LOWER(Sheet2!$Q$36)="cxc","Contractor","Filled")))</f>
        <v>Filled</v>
      </c>
      <c r="G53" s="686" t="str">
        <f>IF(Sheet2!$G$36="Service Op &amp; Assurance","Service Operations","Cyber &amp; Risk")</f>
        <v>Cyber &amp; Risk</v>
      </c>
      <c r="H53" s="693" t="inlineStr">
        <is>
          <t>Onshore</t>
        </is>
      </c>
      <c r="I53" s="694">
        <f>Sheet2!$AA$36</f>
        <v>188515.03199999998</v>
      </c>
      <c r="J53" s="669">
        <f>IF($H53="Offshore",$I53*'0.3 Squad Archetypes'!$K$5,$I53)/1000000</f>
        <v>0.18851503199999997</v>
      </c>
      <c r="K53" s="665" t="n"/>
      <c r="L53" s="665" t="n"/>
    </row>
    <row r="54">
      <c r="B54" s="686" t="str">
        <f>Sheet2!$B$37</f>
        <v>Shruti Manchanda</v>
      </c>
      <c r="C54" s="692" t="str">
        <f>SUBSTITUTE(SUBSTITUTE(Sheet2!$C$37,"–","-"),"—","-")</f>
        <v>Cyber GRC Analyst</v>
      </c>
      <c r="D54" s="686" t="str">
        <f>Sheet2!$G$37</f>
        <v>Cyber GRC</v>
      </c>
      <c r="E54" s="686" t="str">
        <f>Sheet2!$M$37</f>
        <v>Australia</v>
      </c>
      <c r="F54" s="673" t="str">
        <f>IF(LOWER(Sheet2!$Q$37)="v","Vacant",IF(LOWER(Sheet2!$Q$37)="pause","Paused",IF(LOWER(Sheet2!$Q$37)="cxc","Contractor","Filled")))</f>
        <v>Filled</v>
      </c>
      <c r="G54" s="686" t="str">
        <f>IF(Sheet2!$G$37="Service Op &amp; Assurance","Service Operations","Cyber &amp; Risk")</f>
        <v>Cyber &amp; Risk</v>
      </c>
      <c r="H54" s="693" t="inlineStr">
        <is>
          <t>Onshore</t>
        </is>
      </c>
      <c r="I54" s="694">
        <f>Sheet2!$AA$37</f>
        <v>228885.75</v>
      </c>
      <c r="J54" s="669">
        <f>IF($H54="Offshore",$I54*'0.3 Squad Archetypes'!$K$5,$I54)/1000000</f>
        <v>0.22888575</v>
      </c>
      <c r="K54" s="665" t="n"/>
      <c r="L54" s="665" t="n"/>
    </row>
    <row r="55">
      <c r="B55" s="686" t="str">
        <f>Sheet2!$B$38</f>
        <v>Spoilagi Bhutwala</v>
      </c>
      <c r="C55" s="692"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86" t="str">
        <f>IF(Sheet2!$G$38="Service Op &amp; Assurance","Service Operations","Cyber &amp; Risk")</f>
        <v>Service Operations</v>
      </c>
      <c r="H55" s="693" t="inlineStr">
        <is>
          <t>Onshore</t>
        </is>
      </c>
      <c r="I55" s="694">
        <f>Sheet2!$AA$38</f>
        <v>97237.78400000001</v>
      </c>
      <c r="J55" s="669">
        <f>IF($H55="Offshore",$I55*'0.3 Squad Archetypes'!$K$5,$I55)/1000000</f>
        <v>0.09723778400000001</v>
      </c>
      <c r="K55" s="665" t="n"/>
      <c r="L55" s="665" t="n"/>
    </row>
    <row r="56">
      <c r="B56" s="686" t="str">
        <f>Sheet2!$B$39</f>
        <v>Stafford Dowling</v>
      </c>
      <c r="C56" s="692"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86" t="str">
        <f>IF(Sheet2!$G$39="Service Op &amp; Assurance","Service Operations","Cyber &amp; Risk")</f>
        <v>Cyber &amp; Risk</v>
      </c>
      <c r="H56" s="693" t="inlineStr">
        <is>
          <t>Onshore</t>
        </is>
      </c>
      <c r="I56" s="694">
        <f>Sheet2!$AA$39</f>
        <v>218713.05</v>
      </c>
      <c r="J56" s="669">
        <f>IF($H56="Offshore",$I56*'0.3 Squad Archetypes'!$K$5,$I56)/1000000</f>
        <v>0.21871305</v>
      </c>
      <c r="K56" s="665" t="n"/>
      <c r="L56" s="665" t="n"/>
    </row>
    <row r="57">
      <c r="B57" s="686" t="str">
        <f>Sheet2!$B$40</f>
        <v>Steven Atcheson</v>
      </c>
      <c r="C57" s="692"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86" t="str">
        <f>IF(Sheet2!$G$40="Service Op &amp; Assurance","Service Operations","Cyber &amp; Risk")</f>
        <v>Cyber &amp; Risk</v>
      </c>
      <c r="H57" s="693" t="inlineStr">
        <is>
          <t>Onshore</t>
        </is>
      </c>
      <c r="I57" s="694">
        <f>Sheet2!$AA$40</f>
        <v>316568.65</v>
      </c>
      <c r="J57" s="669">
        <f>IF($H57="Offshore",$I57*'0.3 Squad Archetypes'!$K$5,$I57)/1000000</f>
        <v>0.31656865</v>
      </c>
      <c r="K57" s="665" t="n"/>
      <c r="L57" s="665" t="n"/>
    </row>
    <row r="58">
      <c r="B58" s="686" t="str">
        <f>Sheet2!$B$41</f>
        <v>Tony Keeler</v>
      </c>
      <c r="C58" s="692"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86" t="str">
        <f>IF(Sheet2!$G$41="Service Op &amp; Assurance","Service Operations","Cyber &amp; Risk")</f>
        <v>Cyber &amp; Risk</v>
      </c>
      <c r="H58" s="693" t="inlineStr">
        <is>
          <t>Onshore</t>
        </is>
      </c>
      <c r="I58" s="694">
        <f>Sheet2!$AA$41</f>
        <v>213600.0</v>
      </c>
      <c r="J58" s="669">
        <f>IF($H58="Offshore",$I58*'0.3 Squad Archetypes'!$K$5,$I58)/1000000</f>
        <v>0.2136</v>
      </c>
      <c r="K58" s="665" t="n"/>
      <c r="L58" s="665" t="n"/>
    </row>
    <row r="59">
      <c r="B59" s="686" t="str">
        <f>Sheet2!$B$42</f>
        <v>Vacant</v>
      </c>
      <c r="C59" s="692"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86" t="str">
        <f>IF(Sheet2!$G$42="Service Op &amp; Assurance","Service Operations","Cyber &amp; Risk")</f>
        <v>Service Operations</v>
      </c>
      <c r="H59" s="693" t="inlineStr">
        <is>
          <t>Onshore</t>
        </is>
      </c>
      <c r="I59" s="694">
        <f>Sheet2!$AA$42</f>
        <v>170489.75</v>
      </c>
      <c r="J59" s="669">
        <f>IF($H59="Offshore",$I59*'0.3 Squad Archetypes'!$K$5,$I59)/1000000</f>
        <v>0.17048975</v>
      </c>
      <c r="K59" s="665" t="n"/>
      <c r="L59" s="665" t="n"/>
    </row>
    <row r="60">
      <c r="B60" s="686" t="str">
        <f>Sheet2!$B$43</f>
        <v>Vacant</v>
      </c>
      <c r="C60" s="692"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86" t="str">
        <f>IF(Sheet2!$G$43="Service Op &amp; Assurance","Service Operations","Cyber &amp; Risk")</f>
        <v>Cyber &amp; Risk</v>
      </c>
      <c r="H60" s="693" t="inlineStr">
        <is>
          <t>Onshore</t>
        </is>
      </c>
      <c r="I60" s="694">
        <f>Sheet2!$AA$43</f>
        <v>213600.0</v>
      </c>
      <c r="J60" s="669">
        <f>IF($H60="Offshore",$I60*'0.3 Squad Archetypes'!$K$5,$I60)/1000000</f>
        <v>0.2136</v>
      </c>
      <c r="K60" s="665" t="n"/>
      <c r="L60" s="665" t="n"/>
    </row>
    <row r="61">
      <c r="B61" s="686" t="str">
        <f>Sheet2!$B$44</f>
        <v>Vacant</v>
      </c>
      <c r="C61" s="692"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86" t="str">
        <f>IF(Sheet2!$G$44="Service Op &amp; Assurance","Service Operations","Cyber &amp; Risk")</f>
        <v>Service Operations</v>
      </c>
      <c r="H61" s="693" t="inlineStr">
        <is>
          <t>Onshore</t>
        </is>
      </c>
      <c r="I61" s="694">
        <f>Sheet2!$AA$44</f>
        <v>202853.25</v>
      </c>
      <c r="J61" s="669">
        <f>IF($H61="Offshore",$I61*'0.3 Squad Archetypes'!$K$5,$I61)/1000000</f>
        <v>0.20285325</v>
      </c>
      <c r="K61" s="665" t="n"/>
      <c r="L61" s="665" t="n"/>
    </row>
    <row r="62">
      <c r="B62" s="686" t="str">
        <f>Sheet2!$B$45</f>
        <v>Vacant</v>
      </c>
      <c r="C62" s="692"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86" t="str">
        <f>IF(Sheet2!$G$45="Service Op &amp; Assurance","Service Operations","Cyber &amp; Risk")</f>
        <v>Service Operations</v>
      </c>
      <c r="H62" s="693" t="inlineStr">
        <is>
          <t>Onshore</t>
        </is>
      </c>
      <c r="I62" s="694">
        <f>Sheet2!$AA$45</f>
        <v>202853.25</v>
      </c>
      <c r="J62" s="669">
        <f>IF($H62="Offshore",$I62*'0.3 Squad Archetypes'!$K$5,$I62)/1000000</f>
        <v>0.20285325</v>
      </c>
      <c r="K62" s="665" t="n"/>
      <c r="L62" s="665" t="n"/>
    </row>
    <row r="63">
      <c r="B63" s="686" t="str">
        <f>Sheet2!$B$46</f>
        <v>Vacant</v>
      </c>
      <c r="C63" s="692"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86" t="str">
        <f>IF(Sheet2!$G$46="Service Op &amp; Assurance","Service Operations","Cyber &amp; Risk")</f>
        <v>Service Operations</v>
      </c>
      <c r="H63" s="693" t="inlineStr">
        <is>
          <t>Onshore</t>
        </is>
      </c>
      <c r="I63" s="694">
        <f>Sheet2!$AA$46</f>
        <v>170489.75</v>
      </c>
      <c r="J63" s="669">
        <f>IF($H63="Offshore",$I63*'0.3 Squad Archetypes'!$K$5,$I63)/1000000</f>
        <v>0.17048975</v>
      </c>
      <c r="K63" s="665" t="n"/>
      <c r="L63" s="665" t="n"/>
    </row>
    <row r="64">
      <c r="B64" s="686" t="str">
        <f>Sheet2!$B$47</f>
        <v>Vacant</v>
      </c>
      <c r="C64" s="692"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86" t="str">
        <f>IF(Sheet2!$G$47="Service Op &amp; Assurance","Service Operations","Cyber &amp; Risk")</f>
        <v>Service Operations</v>
      </c>
      <c r="H64" s="693" t="inlineStr">
        <is>
          <t>Onshore</t>
        </is>
      </c>
      <c r="I64" s="694">
        <f>Sheet2!$AA$47</f>
        <v>170489.75</v>
      </c>
      <c r="J64" s="669">
        <f>IF($H64="Offshore",$I64*'0.3 Squad Archetypes'!$K$5,$I64)/1000000</f>
        <v>0.17048975</v>
      </c>
      <c r="K64" s="665" t="n"/>
      <c r="L64" s="665" t="n"/>
    </row>
    <row r="65">
      <c r="B65" s="686" t="str">
        <f>Sheet2!$B$48</f>
        <v>Vacant </v>
      </c>
      <c r="C65" s="692" t="str">
        <f>SUBSTITUTE(SUBSTITUTE(Sheet2!$C$48,"–","-"),"—","-")</f>
        <v>Data Risk Analyst</v>
      </c>
      <c r="D65" s="686" t="str">
        <f>Sheet2!$G$48</f>
        <v>Cyber Risk</v>
      </c>
      <c r="E65" s="686" t="str">
        <f>Sheet2!$M$48</f>
        <v>Australia</v>
      </c>
      <c r="F65" s="673" t="str">
        <f>IF(LOWER(Sheet2!$Q$48)="v","Vacant",IF(LOWER(Sheet2!$Q$48)="pause","Paused",IF(LOWER(Sheet2!$Q$48)="cxc","Contractor","Filled")))</f>
        <v>Vacant</v>
      </c>
      <c r="G65" s="686" t="str">
        <f>IF(Sheet2!$G$48="Service Op &amp; Assurance","Service Operations","Cyber &amp; Risk")</f>
        <v>Cyber &amp; Risk</v>
      </c>
      <c r="H65" s="693" t="inlineStr">
        <is>
          <t>Onshore</t>
        </is>
      </c>
      <c r="I65" s="694">
        <f>Sheet2!$AA$48</f>
        <v>170489.75</v>
      </c>
      <c r="J65" s="669">
        <f>IF($H65="Offshore",$I65*'0.3 Squad Archetypes'!$K$5,$I65)/1000000</f>
        <v>0.17048975</v>
      </c>
      <c r="K65" s="665" t="n"/>
      <c r="L65" s="665" t="n"/>
    </row>
    <row r="66">
      <c r="B66" s="686" t="str">
        <f>Sheet2!$B$49</f>
        <v>Vacant </v>
      </c>
      <c r="C66" s="692" t="str">
        <f>SUBSTITUTE(SUBSTITUTE(Sheet2!$C$49,"–","-"),"—","-")</f>
        <v>Data Risk Analyst</v>
      </c>
      <c r="D66" s="686" t="str">
        <f>Sheet2!$G$49</f>
        <v>Cyber Risk</v>
      </c>
      <c r="E66" s="686" t="str">
        <f>Sheet2!$M$49</f>
        <v>Australia</v>
      </c>
      <c r="F66" s="673" t="str">
        <f>IF(LOWER(Sheet2!$Q$49)="v","Vacant",IF(LOWER(Sheet2!$Q$49)="pause","Paused",IF(LOWER(Sheet2!$Q$49)="cxc","Contractor","Filled")))</f>
        <v>Vacant</v>
      </c>
      <c r="G66" s="686" t="str">
        <f>IF(Sheet2!$G$49="Service Op &amp; Assurance","Service Operations","Cyber &amp; Risk")</f>
        <v>Cyber &amp; Risk</v>
      </c>
      <c r="H66" s="693" t="inlineStr">
        <is>
          <t>Onshore</t>
        </is>
      </c>
      <c r="I66" s="694">
        <f>Sheet2!$AA$49</f>
        <v>170489.75</v>
      </c>
      <c r="J66" s="669">
        <f>IF($H66="Offshore",$I66*'0.3 Squad Archetypes'!$K$5,$I66)/1000000</f>
        <v>0.17048975</v>
      </c>
      <c r="K66" s="665" t="n"/>
      <c r="L66" s="665" t="n"/>
    </row>
    <row r="67">
      <c r="B67" s="686" t="str">
        <f>Sheet2!$B$50</f>
        <v>Vacant  (AKL )</v>
      </c>
      <c r="C67" s="692"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86" t="str">
        <f>IF(Sheet2!$G$50="Service Op &amp; Assurance","Service Operations","Cyber &amp; Risk")</f>
        <v>Service Operations</v>
      </c>
      <c r="H67" s="693" t="inlineStr">
        <is>
          <t>Onshore</t>
        </is>
      </c>
      <c r="I67" s="694">
        <f>Sheet2!$AA$50</f>
        <v>122571.75</v>
      </c>
      <c r="J67" s="669">
        <f>IF($H67="Offshore",$I67*'0.3 Squad Archetypes'!$K$5,$I67)/1000000</f>
        <v>0.12257175</v>
      </c>
      <c r="K67" s="665" t="n"/>
      <c r="L67" s="665" t="n"/>
    </row>
    <row r="68">
      <c r="B68" s="686" t="str">
        <f>Sheet2!$B$51</f>
        <v>Vacant (SYD)</v>
      </c>
      <c r="C68" s="692"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86" t="str">
        <f>IF(Sheet2!$G$51="Service Op &amp; Assurance","Service Operations","Cyber &amp; Risk")</f>
        <v>Service Operations</v>
      </c>
      <c r="H68" s="693" t="inlineStr">
        <is>
          <t>Onshore</t>
        </is>
      </c>
      <c r="I68" s="694">
        <f>Sheet2!$AA$51</f>
        <v>122571.75</v>
      </c>
      <c r="J68" s="669">
        <f>IF($H68="Offshore",$I68*'0.3 Squad Archetypes'!$K$5,$I68)/1000000</f>
        <v>0.12257175</v>
      </c>
      <c r="K68" s="665" t="n"/>
      <c r="L68" s="665" t="n"/>
    </row>
    <row r="69">
      <c r="B69" s="686" t="str">
        <f>Sheet2!$B$52</f>
        <v>Vanessa Castro</v>
      </c>
      <c r="C69" s="692" t="str">
        <f>SUBSTITUTE(SUBSTITUTE(Sheet2!$C$52,"–","-"),"—","-")</f>
        <v>Cyber GRC Analyst</v>
      </c>
      <c r="D69" s="686" t="str">
        <f>Sheet2!$G$52</f>
        <v>Cyber GRC</v>
      </c>
      <c r="E69" s="686" t="str">
        <f>Sheet2!$M$52</f>
        <v>NZ</v>
      </c>
      <c r="F69" s="673" t="str">
        <f>IF(LOWER(Sheet2!$Q$52)="v","Vacant",IF(LOWER(Sheet2!$Q$52)="pause","Paused",IF(LOWER(Sheet2!$Q$52)="cxc","Contractor","Filled")))</f>
        <v>Filled</v>
      </c>
      <c r="G69" s="686" t="str">
        <f>IF(Sheet2!$G$52="Service Op &amp; Assurance","Service Operations","Cyber &amp; Risk")</f>
        <v>Cyber &amp; Risk</v>
      </c>
      <c r="H69" s="693" t="inlineStr">
        <is>
          <t>Onshore</t>
        </is>
      </c>
      <c r="I69" s="694">
        <f>Sheet2!$AA$52</f>
        <v>131833.18800000002</v>
      </c>
      <c r="J69" s="669">
        <f>IF($H69="Offshore",$I69*'0.3 Squad Archetypes'!$K$5,$I69)/1000000</f>
        <v>0.13183318800000002</v>
      </c>
      <c r="K69" s="665" t="n"/>
      <c r="L69" s="665" t="n"/>
    </row>
    <row r="70">
      <c r="B70" s="686" t="str">
        <f>Sheet2!$B$53</f>
        <v>Vivienne Vasak</v>
      </c>
      <c r="C70" s="692"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86" t="str">
        <f>IF(Sheet2!$G$53="Service Op &amp; Assurance","Service Operations","Cyber &amp; Risk")</f>
        <v>Cyber &amp; Risk</v>
      </c>
      <c r="H70" s="693" t="inlineStr">
        <is>
          <t>Onshore</t>
        </is>
      </c>
      <c r="I70" s="694">
        <f>Sheet2!$AA$53</f>
        <v>315674.35</v>
      </c>
      <c r="J70" s="669">
        <f>IF($H70="Offshore",$I70*'0.3 Squad Archetypes'!$K$5,$I70)/1000000</f>
        <v>0.31567435</v>
      </c>
      <c r="K70" s="665" t="n"/>
      <c r="L70" s="665" t="n"/>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roster).</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dataValidations count="1">
    <dataValidation sqref="H19:H70" showDropDown="0" showInputMessage="0" showErrorMessage="1" allowBlank="0" type="list">
      <formula1>"Onshore,Offshore"</formula1>
    </dataValidation>
  </dataValidations>
  <pageMargins left="0.75" right="0.75" top="1" bottom="1" header="0.5" footer="0.5"/>
</worksheet>
</file>

<file path=xl/worksheets/sheet24.xml><?xml version="1.0" encoding="utf-8"?>
<worksheet xmlns="http://schemas.openxmlformats.org/spreadsheetml/2006/main">
  <sheetPr>
    <tabColor rgb="00002F6C"/>
    <outlinePr summaryBelow="1" summaryRight="1"/>
    <pageSetUpPr/>
  </sheetPr>
  <dimension ref="A1:L32"/>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199" t="inlineStr">
        <is>
          <t>COE Budget View</t>
        </is>
      </c>
    </row>
    <row r="3">
      <c r="B3" t="inlineStr">
        <is>
          <t>Roll-up only - edit budgets on 0.2 Data Config, rosters on Sheet2. Detail on 2.1 / 2.2 / 2.3.</t>
        </is>
      </c>
    </row>
    <row r="4"/>
    <row r="5"/>
    <row r="6">
      <c r="B6" s="508" t="inlineStr">
        <is>
          <t>COE Budgets</t>
        </is>
      </c>
      <c r="C6" s="509" t="n"/>
      <c r="D6" s="509" t="n"/>
      <c r="E6" s="510" t="n"/>
    </row>
    <row r="7">
      <c r="B7" s="5" t="inlineStr">
        <is>
          <t>COE</t>
        </is>
      </c>
      <c r="C7" s="480" t="inlineStr">
        <is>
          <t>TDD Lights On Budget ($m)</t>
        </is>
      </c>
      <c r="D7" s="480" t="inlineStr">
        <is>
          <t>Planned spend ($m)</t>
        </is>
      </c>
      <c r="E7" s="480" t="inlineStr">
        <is>
          <t>Budget to draw down ($m)</t>
        </is>
      </c>
      <c r="F7" s="480" t="inlineStr">
        <is>
          <t>Left to fund ($m)</t>
        </is>
      </c>
      <c r="G7" s="480" t="inlineStr">
        <is>
          <t>Total cost ($m)</t>
        </is>
      </c>
      <c r="K7" t="inlineStr">
        <is>
          <t>Other Architecture</t>
        </is>
      </c>
      <c r="L7" t="n">
        <v>1.1</v>
      </c>
    </row>
    <row r="8">
      <c r="B8" s="8" t="inlineStr">
        <is>
          <t>COE - Strategy Architecture</t>
        </is>
      </c>
      <c r="C8" s="202">
        <f>'0.2 Data Config'!$E$6</f>
        <v>2.0</v>
      </c>
      <c r="D8" s="436">
        <f>'2.2 SA&amp;D'!$G$6</f>
        <v>4.320560996</v>
      </c>
      <c r="E8" s="303">
        <f>'0.2 Data Config'!$E$6+COUNTA('2.5 Group Summary'!$B$6:$B$16)*'0.2 Data Config'!$L$8</f>
        <v>3.54</v>
      </c>
      <c r="F8" s="202">
        <f>'2.2 SA&amp;D'!$I$6</f>
        <v>0.7805609960000002</v>
      </c>
      <c r="G8" s="202">
        <f>D8</f>
        <v>4.320560996</v>
      </c>
      <c r="K8" t="inlineStr">
        <is>
          <t>Domain Architects are an overhead</t>
        </is>
      </c>
      <c r="L8" t="n">
        <v>-1.1</v>
      </c>
    </row>
    <row r="9">
      <c r="B9" s="8" t="inlineStr">
        <is>
          <t>COE - Cyber, Risk &amp; Service Ops (rolled into 1.11 TDD Cyber)</t>
        </is>
      </c>
      <c r="C9" s="202">
        <f>'0.2 Data Config'!$E$7</f>
        <v>0.0</v>
      </c>
      <c r="D9" s="303">
        <f>0</f>
        <v>0.0</v>
      </c>
      <c r="E9" s="303">
        <f>0</f>
        <v>0.0</v>
      </c>
      <c r="F9" s="202">
        <f>D9-E9</f>
        <v>0.0</v>
      </c>
      <c r="G9" s="202">
        <f>D9</f>
        <v>0.0</v>
      </c>
      <c r="K9" t="inlineStr">
        <is>
          <t xml:space="preserve">Strategy </t>
        </is>
      </c>
      <c r="L9" t="n">
        <v>1.7</v>
      </c>
    </row>
    <row r="10">
      <c r="B10" s="8" t="inlineStr">
        <is>
          <t>COE - Transformation</t>
        </is>
      </c>
      <c r="C10" s="202">
        <f>'0.2 Data Config'!$E$8</f>
        <v>2.0</v>
      </c>
      <c r="D10" s="436">
        <f>'2.1 BP&amp;T'!$F$7</f>
        <v>3.10799923</v>
      </c>
      <c r="E10" s="303">
        <f>'0.2 Data Config'!$E$8</f>
        <v>2.0</v>
      </c>
      <c r="F10" s="202">
        <f>'2.1 BP&amp;T'!$H$7</f>
        <v>1.10799923</v>
      </c>
      <c r="G10" s="202">
        <f>D10</f>
        <v>3.10799923</v>
      </c>
    </row>
    <row r="11">
      <c r="B11" s="8" t="inlineStr">
        <is>
          <t>COE - Business Partnering</t>
        </is>
      </c>
      <c r="C11" s="202">
        <f>'0.2 Data Config'!$E$9</f>
        <v>2.0</v>
      </c>
      <c r="D11" s="436">
        <f>'2.1 BP&amp;T'!$F$6</f>
        <v>3.2925625919999995</v>
      </c>
      <c r="E11" s="303">
        <f>'0.2 Data Config'!$E$9+COUNTA('2.5 Group Summary'!$B$6:$B$16)*'0.2 Data Config'!$L$7</f>
        <v>3.8920000000000003</v>
      </c>
      <c r="F11" s="202">
        <f>'2.1 BP&amp;T'!$H$6</f>
        <v>0.0</v>
      </c>
      <c r="G11" s="202">
        <f>D11</f>
        <v>3.2925625919999995</v>
      </c>
      <c r="K11" t="inlineStr">
        <is>
          <t>Data</t>
        </is>
      </c>
      <c r="L11" t="n">
        <v>2.2</v>
      </c>
    </row>
    <row r="12">
      <c r="B12" s="8" t="inlineStr">
        <is>
          <t>COE - Data</t>
        </is>
      </c>
      <c r="C12" s="202">
        <f>'0.2 Data Config'!$E$10</f>
        <v>2.0</v>
      </c>
      <c r="D12" s="436">
        <f>'2.2 SA&amp;D'!$G$7</f>
        <v>2.232736616</v>
      </c>
      <c r="E12" s="303">
        <f>'0.2 Data Config'!$E$10</f>
        <v>2.0</v>
      </c>
      <c r="F12" s="202">
        <f>'2.2 SA&amp;D'!$I$7</f>
        <v>0.23273661599999995</v>
      </c>
      <c r="G12" s="202">
        <f>D12</f>
        <v>2.232736616</v>
      </c>
    </row>
    <row r="13">
      <c r="B13" s="203" t="inlineStr">
        <is>
          <t>Total</t>
        </is>
      </c>
      <c r="C13" s="204">
        <f>SUM(C8:C12)</f>
        <v>8.0</v>
      </c>
      <c r="D13" s="204">
        <f>SUM(D8:D12)</f>
        <v>12.953859434</v>
      </c>
      <c r="E13" s="204">
        <f>SUM(E8:E12)</f>
        <v>11.432</v>
      </c>
      <c r="F13" s="204">
        <f>SUM(F8:F12)</f>
        <v>2.121296842</v>
      </c>
      <c r="G13" s="204">
        <f>SUM(G8:G12)</f>
        <v>12.953859434</v>
      </c>
    </row>
    <row r="14"/>
    <row r="15"/>
    <row r="16">
      <c r="B16" s="508" t="inlineStr">
        <is>
          <t>TDD Corporate funding pool ($m)</t>
        </is>
      </c>
      <c r="C16" s="509" t="n"/>
      <c r="D16" s="509" t="n"/>
      <c r="E16" s="510" t="n"/>
    </row>
    <row r="17">
      <c r="B17" s="5" t="inlineStr">
        <is>
          <t>Funding line</t>
        </is>
      </c>
      <c r="C17" s="480" t="inlineStr">
        <is>
          <t>Pool ($m)</t>
        </is>
      </c>
      <c r="D17" s="480" t="inlineStr">
        <is>
          <t>Drawn ($m)</t>
        </is>
      </c>
      <c r="E17" s="480" t="inlineStr">
        <is>
          <t>Remaining ($m)</t>
        </is>
      </c>
    </row>
    <row r="18">
      <c r="B18" s="8" t="inlineStr">
        <is>
          <t>OpEx Initiatives</t>
        </is>
      </c>
      <c r="C18" s="202">
        <f>'0.1 Budget Table (Fin)'!$N$5</f>
        <v>3.0</v>
      </c>
      <c r="D18" s="216" t="n">
        <v>0</v>
      </c>
      <c r="E18" s="202">
        <f>C18-D18</f>
        <v>3.0</v>
      </c>
    </row>
    <row r="19">
      <c r="B19" s="8" t="inlineStr">
        <is>
          <t>Significant Items</t>
        </is>
      </c>
      <c r="C19" s="202">
        <f>'0.1 Budget Table (Fin)'!$O$5</f>
        <v>20.2</v>
      </c>
      <c r="D19" s="202">
        <f>'1.3 Enterprise Data'!$I$13+'1.4 TDD Group Functions'!$I$13+'1.11 TDD Cyber'!$I$13</f>
        <v>0.0</v>
      </c>
      <c r="E19" s="202">
        <f>C19-D19</f>
        <v>20.2</v>
      </c>
    </row>
    <row r="20">
      <c r="B20" s="8" t="inlineStr">
        <is>
          <t>CapEx</t>
        </is>
      </c>
      <c r="C20" s="202">
        <f>'0.1 Budget Table (Fin)'!$P$5</f>
        <v>4.9</v>
      </c>
      <c r="D20" s="202">
        <f>'1.9 Commercial Fuels'!$I$15</f>
        <v>0.0</v>
      </c>
      <c r="E20" s="202">
        <f>C20-D20</f>
        <v>4.9</v>
      </c>
    </row>
    <row r="21">
      <c r="B21" s="203" t="inlineStr">
        <is>
          <t>Total</t>
        </is>
      </c>
      <c r="C21" s="204">
        <f>SUM(C18:C20)</f>
        <v>28.1</v>
      </c>
      <c r="D21" s="204">
        <f>SUM(D18:D20)</f>
        <v>0.0</v>
      </c>
      <c r="E21" s="204">
        <f>SUM(E18:E20)</f>
        <v>28.1</v>
      </c>
    </row>
    <row r="22"/>
    <row r="23">
      <c r="B23" s="678" t="inlineStr">
        <is>
          <t>Every COE role is now mapped on 2.1, 2.2 or 2.3 from the updated rosters on Sheet2 - no unspecified roles remain.</t>
        </is>
      </c>
      <c r="C23" s="665" t="n"/>
      <c r="D23" s="665" t="n"/>
      <c r="E23" s="665" t="n"/>
      <c r="F23" s="665" t="n"/>
      <c r="G23" s="665" t="n"/>
      <c r="H23" s="665" t="n"/>
      <c r="I23" s="665" t="n"/>
      <c r="J23" s="665" t="n"/>
    </row>
    <row r="24">
      <c r="B24" s="681" t="n"/>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sheetData>
  <mergeCells count="1">
    <mergeCell ref="B6:E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00002F6C"/>
    <outlinePr summaryBelow="1" summaryRight="1"/>
    <pageSetUpPr/>
  </sheetPr>
  <dimension ref="A1:K46"/>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5" t="inlineStr">
        <is>
          <t>Archetype view: what the designed model costs against the TDD budgets. The actual organisation is on 2.6.</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Support Cost ($m)</t>
        </is>
      </c>
      <c r="E5" s="667" t="inlineStr">
        <is>
          <t>Variance ($m) = budget - cost</t>
        </is>
      </c>
      <c r="F5" s="248" t="n"/>
      <c r="G5" s="667" t="inlineStr">
        <is>
          <t>Cost of non-TDD funding ($m)</t>
        </is>
      </c>
      <c r="H5" s="667" t="inlineStr">
        <is>
          <t>Amount that can be recharged ($m)</t>
        </is>
      </c>
      <c r="I5" s="667" t="inlineStr">
        <is>
          <t>Left to fund outside TDD ($m)</t>
        </is>
      </c>
      <c r="J5" s="667" t="inlineStr">
        <is>
          <t>Total still left to fund ($m)</t>
        </is>
      </c>
      <c r="K5" s="667" t="inlineStr">
        <is>
          <t>Total Cost ($m)</t>
        </is>
      </c>
    </row>
    <row r="6">
      <c r="B6" s="8" t="inlineStr">
        <is>
          <t>Ampol Retail</t>
        </is>
      </c>
      <c r="C6" s="9">
        <f>'1.1 Ampol Retail'!$H$5</f>
        <v>2.5</v>
      </c>
      <c r="D6" s="9">
        <f>'1.1 Ampol Retail'!$C$9</f>
        <v>5.6265</v>
      </c>
      <c r="E6" s="9">
        <f>'1.1 Ampol Retail'!$H$7</f>
        <v>-3.1265</v>
      </c>
      <c r="F6" s="204" t="n"/>
      <c r="G6" s="9">
        <f>'1.1 Ampol Retail'!$D$9</f>
        <v>4.728</v>
      </c>
      <c r="H6" s="9">
        <f>'1.1 Ampol Retail'!$I$17</f>
        <v>0.0</v>
      </c>
      <c r="I6" s="9">
        <f>'1.1 Ampol Retail'!$I$19</f>
        <v>4.728</v>
      </c>
      <c r="J6" s="669">
        <f>MAX(0,-E6)+I6</f>
        <v>7.8545</v>
      </c>
      <c r="K6" s="669">
        <f>'1.1 Ampol Retail'!$E$9</f>
        <v>10.3545</v>
      </c>
    </row>
    <row r="7">
      <c r="B7" s="8" t="inlineStr">
        <is>
          <t>Customer</t>
        </is>
      </c>
      <c r="C7" s="9">
        <f>'1.2 Customer'!$H$5</f>
        <v>6.5</v>
      </c>
      <c r="D7" s="9">
        <f>'1.2 Customer'!$C$9</f>
        <v>9.0245</v>
      </c>
      <c r="E7" s="9">
        <f>'1.2 Customer'!$H$7</f>
        <v>-2.5244999999999997</v>
      </c>
      <c r="F7" s="204" t="n"/>
      <c r="G7" s="9">
        <f>'1.2 Customer'!$D$9</f>
        <v>5.92</v>
      </c>
      <c r="H7" s="9">
        <f>'1.2 Customer'!$I$22</f>
        <v>4.0</v>
      </c>
      <c r="I7" s="9">
        <f>'1.2 Customer'!$I$24</f>
        <v>1.92</v>
      </c>
      <c r="J7" s="669">
        <f>MAX(0,-E7)+I7</f>
        <v>4.4445</v>
      </c>
      <c r="K7" s="669">
        <f>'1.2 Customer'!$E$9</f>
        <v>14.9445</v>
      </c>
    </row>
    <row r="8">
      <c r="B8" s="8" t="inlineStr">
        <is>
          <t>Enterprise Data</t>
        </is>
      </c>
      <c r="C8" s="9">
        <f>'1.3 Enterprise Data'!$H$5</f>
        <v>3.5</v>
      </c>
      <c r="D8" s="9">
        <f>'1.3 Enterprise Data'!$C$9</f>
        <v>4.1105</v>
      </c>
      <c r="E8" s="9">
        <f>'1.3 Enterprise Data'!$H$7</f>
        <v>-0.6105</v>
      </c>
      <c r="F8" s="204" t="n"/>
      <c r="G8" s="9">
        <f>'1.3 Enterprise Data'!$D$9</f>
        <v>1.9040000000000001</v>
      </c>
      <c r="H8" s="9">
        <f>'1.3 Enterprise Data'!$I$13</f>
        <v>0.0</v>
      </c>
      <c r="I8" s="9">
        <f>'1.3 Enterprise Data'!$I$14</f>
        <v>1.9040000000000001</v>
      </c>
      <c r="J8" s="669">
        <f>MAX(0,-E8)+I8</f>
        <v>2.5145</v>
      </c>
      <c r="K8" s="669">
        <f>'1.3 Enterprise Data'!$E$9</f>
        <v>6.0145</v>
      </c>
    </row>
    <row r="9">
      <c r="B9" s="8" t="inlineStr">
        <is>
          <t>TDD Group Functions</t>
        </is>
      </c>
      <c r="C9" s="9">
        <f>'1.4 TDD Group Functions'!$H$5</f>
        <v>5.5</v>
      </c>
      <c r="D9" s="9">
        <f>'1.4 TDD Group Functions'!$C$9</f>
        <v>3.6644999999999994</v>
      </c>
      <c r="E9" s="9">
        <f>'1.4 TDD Group Functions'!$H$7</f>
        <v>1.8355000000000006</v>
      </c>
      <c r="F9" s="204" t="n"/>
      <c r="G9" s="9">
        <f>'1.4 TDD Group Functions'!$D$9</f>
        <v>1.15</v>
      </c>
      <c r="H9" s="9">
        <f>'1.4 TDD Group Functions'!$I$13</f>
        <v>0.0</v>
      </c>
      <c r="I9" s="9">
        <f>'1.4 TDD Group Functions'!$I$14</f>
        <v>1.15</v>
      </c>
      <c r="J9" s="669">
        <f>MAX(0,-E9)+I9</f>
        <v>1.15</v>
      </c>
      <c r="K9" s="669">
        <f>'1.4 TDD Group Functions'!$E$9</f>
        <v>4.814499999999999</v>
      </c>
    </row>
    <row r="10">
      <c r="B10" s="8" t="inlineStr">
        <is>
          <t>P&amp;C</t>
        </is>
      </c>
      <c r="C10" s="9">
        <f>'1.5 P&amp;C'!$H$5</f>
        <v>2.0</v>
      </c>
      <c r="D10" s="9">
        <f>'1.5 P&amp;C'!$C$9</f>
        <v>1.2745000000000002</v>
      </c>
      <c r="E10" s="9">
        <f>'1.5 P&amp;C'!$H$7</f>
        <v>0.7254999999999998</v>
      </c>
      <c r="F10" s="204" t="n"/>
      <c r="G10" s="9">
        <f>'1.5 P&amp;C'!$D$9</f>
        <v>1.44</v>
      </c>
      <c r="H10" s="9">
        <f>'1.5 P&amp;C'!$I$18</f>
        <v>0.0</v>
      </c>
      <c r="I10" s="9">
        <f>'1.5 P&amp;C'!$I$20</f>
        <v>1.44</v>
      </c>
      <c r="J10" s="669">
        <f>MAX(0,-E10)+I10</f>
        <v>1.44</v>
      </c>
      <c r="K10" s="669">
        <f>'1.5 P&amp;C'!$E$9</f>
        <v>2.7145</v>
      </c>
    </row>
    <row r="11">
      <c r="B11" s="8" t="inlineStr">
        <is>
          <t>Finance</t>
        </is>
      </c>
      <c r="C11" s="9">
        <f>'1.6 Finance'!$H$5</f>
        <v>2.0</v>
      </c>
      <c r="D11" s="9">
        <f>'1.6 Finance'!$C$9</f>
        <v>1.4145</v>
      </c>
      <c r="E11" s="9">
        <f>'1.6 Finance'!$H$7</f>
        <v>0.5854999999999999</v>
      </c>
      <c r="F11" s="204" t="n"/>
      <c r="G11" s="9">
        <f>'1.6 Finance'!$D$9</f>
        <v>2.0</v>
      </c>
      <c r="H11" s="9">
        <f>'1.6 Finance'!$I$18</f>
        <v>0.0</v>
      </c>
      <c r="I11" s="9">
        <f>'1.6 Finance'!$I$20</f>
        <v>2.0</v>
      </c>
      <c r="J11" s="669">
        <f>MAX(0,-E11)+I11</f>
        <v>2.0</v>
      </c>
      <c r="K11" s="669">
        <f>'1.6 Finance'!$E$9</f>
        <v>3.4145000000000003</v>
      </c>
    </row>
    <row r="12">
      <c r="B12" s="8" t="inlineStr">
        <is>
          <t>Infrastructure</t>
        </is>
      </c>
      <c r="C12" s="9">
        <f>'1.7 Infrastructure'!$H$6</f>
        <v>2.5</v>
      </c>
      <c r="D12" s="9">
        <f>'1.7 Infrastructure'!$C$10</f>
        <v>2.5245</v>
      </c>
      <c r="E12" s="9">
        <f>'1.7 Infrastructure'!$H$8</f>
        <v>-0.02450000000000019</v>
      </c>
      <c r="F12" s="204" t="n"/>
      <c r="G12" s="9">
        <f>'1.7 Infrastructure'!$D$10</f>
        <v>2.7199999999999998</v>
      </c>
      <c r="H12" s="9">
        <f>'1.7 Infrastructure'!$I$18</f>
        <v>0.0</v>
      </c>
      <c r="I12" s="9">
        <f>'1.7 Infrastructure'!$I$20</f>
        <v>2.7199999999999998</v>
      </c>
      <c r="J12" s="669">
        <f>MAX(0,-E12)+I12</f>
        <v>2.7445</v>
      </c>
      <c r="K12" s="669">
        <f>'1.7 Infrastructure'!$E$10</f>
        <v>5.2445</v>
      </c>
    </row>
    <row r="13">
      <c r="B13" s="8" t="inlineStr">
        <is>
          <t>Energy Solutions &amp; B2B</t>
        </is>
      </c>
      <c r="C13" s="9">
        <f>'1.8 Energy Solutions &amp; B2B'!$H$5</f>
        <v>2.5</v>
      </c>
      <c r="D13" s="9">
        <f>'1.8 Energy Solutions &amp; B2B'!$C$9</f>
        <v>2.5095</v>
      </c>
      <c r="E13" s="9">
        <f>'1.8 Energy Solutions &amp; B2B'!$H$7</f>
        <v>-0.009500000000000064</v>
      </c>
      <c r="F13" s="204" t="n"/>
      <c r="G13" s="9">
        <f>'1.8 Energy Solutions &amp; B2B'!$D$9</f>
        <v>4.67</v>
      </c>
      <c r="H13" s="9">
        <f>'1.8 Energy Solutions &amp; B2B'!$I$20</f>
        <v>3.5</v>
      </c>
      <c r="I13" s="9">
        <f>'1.8 Energy Solutions &amp; B2B'!$I$22</f>
        <v>1.17</v>
      </c>
      <c r="J13" s="669">
        <f>MAX(0,-E13)+I13</f>
        <v>1.1795</v>
      </c>
      <c r="K13" s="669">
        <f>'1.8 Energy Solutions &amp; B2B'!$E$9</f>
        <v>7.1795</v>
      </c>
    </row>
    <row r="14">
      <c r="B14" s="8" t="inlineStr">
        <is>
          <t>Commercial Fuels</t>
        </is>
      </c>
      <c r="C14" s="9">
        <f>'1.9 Commercial Fuels'!$H$5</f>
        <v>2.5</v>
      </c>
      <c r="D14" s="9">
        <f>'1.9 Commercial Fuels'!$C$9</f>
        <v>2.0845</v>
      </c>
      <c r="E14" s="9">
        <f>'1.9 Commercial Fuels'!$H$7</f>
        <v>0.4155000000000002</v>
      </c>
      <c r="F14" s="204" t="n"/>
      <c r="G14" s="9">
        <f>'1.9 Commercial Fuels'!$D$9</f>
        <v>5.0600000000000005</v>
      </c>
      <c r="H14" s="9">
        <f>'1.9 Commercial Fuels'!$I$18</f>
        <v>3.0999999999999996</v>
      </c>
      <c r="I14" s="9">
        <f>'1.9 Commercial Fuels'!$I$20</f>
        <v>1.9600000000000009</v>
      </c>
      <c r="J14" s="669">
        <f>MAX(0,-E14)+I14</f>
        <v>1.9600000000000009</v>
      </c>
      <c r="K14" s="669">
        <f>'1.9 Commercial Fuels'!$E$9</f>
        <v>7.144500000000001</v>
      </c>
    </row>
    <row r="15">
      <c r="B15" s="8" t="inlineStr">
        <is>
          <t>Z Retail</t>
        </is>
      </c>
      <c r="C15" s="9">
        <f>'1.10 Z Retail'!$H$5</f>
        <v>2.5</v>
      </c>
      <c r="D15" s="9">
        <f>'1.10 Z Retail'!$C$9</f>
        <v>5.399500000000001</v>
      </c>
      <c r="E15" s="9">
        <f>'1.10 Z Retail'!$H$7</f>
        <v>-2.8995000000000006</v>
      </c>
      <c r="F15" s="204" t="n"/>
      <c r="G15" s="9">
        <f>'1.10 Z Retail'!$D$9</f>
        <v>1.0799999999999996</v>
      </c>
      <c r="H15" s="9">
        <f>'1.10 Z Retail'!$I$17</f>
        <v>1.08</v>
      </c>
      <c r="I15" s="9">
        <f>'1.10 Z Retail'!$I$19</f>
        <v>0.0</v>
      </c>
      <c r="J15" s="669">
        <f>MAX(0,-E15)+I15</f>
        <v>2.8995000000000006</v>
      </c>
      <c r="K15" s="669">
        <f>'1.10 Z Retail'!$E$9</f>
        <v>6.4795</v>
      </c>
    </row>
    <row r="16">
      <c r="B16" s="8" t="inlineStr">
        <is>
          <t>TDD Cyber</t>
        </is>
      </c>
      <c r="C16" s="9">
        <f>'1.11 TDD Cyber'!$H$5</f>
        <v>3.5</v>
      </c>
      <c r="D16" s="9">
        <f>'1.11 TDD Cyber'!$C$9</f>
        <v>11.830489044</v>
      </c>
      <c r="E16" s="9">
        <f>'1.11 TDD Cyber'!$H$7</f>
        <v>-8.330489044</v>
      </c>
      <c r="F16" s="204" t="n"/>
      <c r="G16" s="9">
        <f>'1.11 TDD Cyber'!$D$9</f>
        <v>0.0</v>
      </c>
      <c r="H16" s="9">
        <f>'1.11 TDD Cyber'!$I$13</f>
        <v>0.0</v>
      </c>
      <c r="I16" s="9">
        <f>'1.11 TDD Cyber'!$I$14</f>
        <v>0.0</v>
      </c>
      <c r="J16" s="669">
        <f>MAX(0,-E16)+I16</f>
        <v>8.330489044</v>
      </c>
      <c r="K16" s="669">
        <f>'1.11 TDD Cyber'!$E$9</f>
        <v>11.830489044</v>
      </c>
    </row>
    <row r="17">
      <c r="B17" s="203" t="inlineStr">
        <is>
          <t>Total - all portfolios</t>
        </is>
      </c>
      <c r="C17" s="204">
        <f>SUM(C6:C16)</f>
        <v>35.5</v>
      </c>
      <c r="D17" s="204">
        <f>SUM(D6:D16)</f>
        <v>49.463489044</v>
      </c>
      <c r="E17" s="204">
        <f>SUM(E6:E16)</f>
        <v>-13.963489044000001</v>
      </c>
      <c r="F17" s="204" t="n"/>
      <c r="G17" s="204">
        <f>SUM(G6:G16)</f>
        <v>30.671999999999997</v>
      </c>
      <c r="H17" s="204">
        <f>SUM(H6:H16)</f>
        <v>11.68</v>
      </c>
      <c r="I17" s="204">
        <f>SUM(I6:I16)</f>
        <v>18.992</v>
      </c>
      <c r="J17" s="685">
        <f>SUM(J6:J16)</f>
        <v>36.517489044</v>
      </c>
      <c r="K17" s="685">
        <f>SUM(K6:K16)</f>
        <v>80.135489044</v>
      </c>
    </row>
    <row r="18">
      <c r="B18" s="8" t="inlineStr">
        <is>
          <t>COE - Strategy Architecture</t>
        </is>
      </c>
      <c r="C18" s="9">
        <f>'0.2 Data Config'!$E$6</f>
        <v>2.0</v>
      </c>
      <c r="D18" s="9">
        <f>'2.4 COE Summary'!$D$8</f>
        <v>4.320560996</v>
      </c>
      <c r="E18" s="9">
        <f>C18-D18</f>
        <v>-2.320560996</v>
      </c>
      <c r="F18" s="204" t="n"/>
      <c r="G18" s="9" t="n">
        <v>0</v>
      </c>
      <c r="H18" s="9">
        <f>'2.4 COE Summary'!$E$8</f>
        <v>3.54</v>
      </c>
      <c r="I18" s="9">
        <f>'2.4 COE Summary'!$F$8</f>
        <v>0.7805609960000002</v>
      </c>
      <c r="J18" s="669">
        <f>MAX(0,-E18)+I18</f>
        <v>3.1011219920000004</v>
      </c>
      <c r="K18" s="669">
        <f>'2.4 COE Summary'!$G$8</f>
        <v>4.320560996</v>
      </c>
    </row>
    <row r="19">
      <c r="B19" s="8" t="inlineStr">
        <is>
          <t>COE - Cyber, Risk &amp; Service Ops (rolled into 1.11 TDD Cyber)</t>
        </is>
      </c>
      <c r="C19" s="9">
        <f>'0.2 Data Config'!$E$7</f>
        <v>0.0</v>
      </c>
      <c r="D19" s="9">
        <f>'2.4 COE Summary'!$D$9</f>
        <v>0.0</v>
      </c>
      <c r="E19" s="9">
        <f>C19-D19</f>
        <v>0.0</v>
      </c>
      <c r="F19" s="204" t="n"/>
      <c r="G19" s="9" t="n">
        <v>0</v>
      </c>
      <c r="H19" s="9">
        <f>'2.4 COE Summary'!$E$9</f>
        <v>0.0</v>
      </c>
      <c r="I19" s="9">
        <f>'2.4 COE Summary'!$F$9</f>
        <v>0.0</v>
      </c>
      <c r="J19" s="669">
        <f>MAX(0,-E19)+I19</f>
        <v>0.0</v>
      </c>
      <c r="K19" s="669">
        <f>'2.4 COE Summary'!$G$9</f>
        <v>0.0</v>
      </c>
    </row>
    <row r="20">
      <c r="B20" s="8" t="inlineStr">
        <is>
          <t>COE - Transformation</t>
        </is>
      </c>
      <c r="C20" s="9">
        <f>'0.2 Data Config'!$E$8</f>
        <v>2.0</v>
      </c>
      <c r="D20" s="9">
        <f>'2.4 COE Summary'!$D$10</f>
        <v>3.10799923</v>
      </c>
      <c r="E20" s="9">
        <f>C20-D20</f>
        <v>-1.10799923</v>
      </c>
      <c r="F20" s="204" t="n"/>
      <c r="G20" s="9" t="n">
        <v>0</v>
      </c>
      <c r="H20" s="9">
        <f>'2.4 COE Summary'!$E$10</f>
        <v>2.0</v>
      </c>
      <c r="I20" s="9">
        <f>'2.4 COE Summary'!$F$10</f>
        <v>1.10799923</v>
      </c>
      <c r="J20" s="669">
        <f>MAX(0,-E20)+I20</f>
        <v>2.21599846</v>
      </c>
      <c r="K20" s="669">
        <f>'2.4 COE Summary'!$G$10</f>
        <v>3.10799923</v>
      </c>
    </row>
    <row r="21">
      <c r="B21" s="8" t="inlineStr">
        <is>
          <t>COE - Business Partnering</t>
        </is>
      </c>
      <c r="C21" s="9">
        <f>'0.2 Data Config'!$E$9</f>
        <v>2.0</v>
      </c>
      <c r="D21" s="9">
        <f>'2.4 COE Summary'!$D$11</f>
        <v>3.2925625919999995</v>
      </c>
      <c r="E21" s="9">
        <f>C21-D21</f>
        <v>-1.2925625919999995</v>
      </c>
      <c r="F21" s="204" t="n"/>
      <c r="G21" s="9" t="n">
        <v>0</v>
      </c>
      <c r="H21" s="9">
        <f>'2.4 COE Summary'!$E$11</f>
        <v>3.8920000000000003</v>
      </c>
      <c r="I21" s="9">
        <f>'2.4 COE Summary'!$F$11</f>
        <v>0.0</v>
      </c>
      <c r="J21" s="669">
        <f>MAX(0,-E21)+I21</f>
        <v>1.2925625919999995</v>
      </c>
      <c r="K21" s="669">
        <f>'2.4 COE Summary'!$G$11</f>
        <v>3.2925625919999995</v>
      </c>
    </row>
    <row r="22">
      <c r="B22" s="8" t="inlineStr">
        <is>
          <t>COE - Data</t>
        </is>
      </c>
      <c r="C22" s="9">
        <f>'0.2 Data Config'!$E$10</f>
        <v>2.0</v>
      </c>
      <c r="D22" s="9">
        <f>'2.4 COE Summary'!$D$12</f>
        <v>2.232736616</v>
      </c>
      <c r="E22" s="9">
        <f>C22-D22</f>
        <v>-0.23273661599999995</v>
      </c>
      <c r="F22" s="204" t="n"/>
      <c r="G22" s="9" t="n">
        <v>0</v>
      </c>
      <c r="H22" s="9">
        <f>'2.4 COE Summary'!$E$12</f>
        <v>2.0</v>
      </c>
      <c r="I22" s="9">
        <f>'2.4 COE Summary'!$F$12</f>
        <v>0.23273661599999995</v>
      </c>
      <c r="J22" s="669">
        <f>MAX(0,-E22)+I22</f>
        <v>0.4654732319999999</v>
      </c>
      <c r="K22" s="669">
        <f>'2.4 COE Summary'!$G$12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62.417348477999994</v>
      </c>
      <c r="E24" s="204">
        <f>SUM(E17,E18,E19,E20,E21,E22)</f>
        <v>-18.917348478</v>
      </c>
      <c r="F24" s="204" t="n"/>
      <c r="G24" s="204">
        <f>SUM(G17,G18,G19,G20,G21,G22)</f>
        <v>30.671999999999997</v>
      </c>
      <c r="H24" s="204">
        <f>SUM(H17,H18,H19,H20,H21,H22)</f>
        <v>23.112</v>
      </c>
      <c r="I24" s="204">
        <f>SUM(I17,I18,I19,I20,I21,I22)</f>
        <v>21.113296842000004</v>
      </c>
      <c r="J24" s="685">
        <f>SUM(J17,J18,J19,J20,J21,J22)</f>
        <v>43.59264532000001</v>
      </c>
      <c r="K24" s="685">
        <f>SUM(K17,K18,K19,K20,K21,K22)</f>
        <v>93.08934847799999</v>
      </c>
    </row>
    <row r="25">
      <c r="B25" s="492" t="inlineStr">
        <is>
          <t>Less: BP &amp; Domain Architect already funded in portfolio overheads (see 2.1)</t>
        </is>
      </c>
      <c r="J25" s="493" t="n"/>
      <c r="K25" s="689">
        <f>'2.6 Total Cost'!$C$23</f>
        <v>-3.4320000000000004</v>
      </c>
    </row>
    <row r="26">
      <c r="B26" s="431" t="inlineStr">
        <is>
          <t>Net operating model cost - ties to 2.1 Total Cost ($m)</t>
        </is>
      </c>
      <c r="J26" s="432" t="n"/>
      <c r="K26" s="689">
        <f>K24+'2.6 Total Cost'!$C$23</f>
        <v>89.65734847799999</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35.5</v>
      </c>
    </row>
    <row r="29">
      <c r="B29" s="8" t="inlineStr">
        <is>
          <t>COE allocations (2.4 COE Summary)</t>
        </is>
      </c>
      <c r="C29" s="202">
        <f>'2.4 COE Summary'!$C$13</f>
        <v>8.0</v>
      </c>
    </row>
    <row r="30">
      <c r="B30" s="203" t="inlineStr">
        <is>
          <t>Total allocation accounted for</t>
        </is>
      </c>
      <c r="C30" s="204">
        <f>C28+C29</f>
        <v>43.5</v>
      </c>
    </row>
    <row r="31">
      <c r="B31" s="8" t="inlineStr">
        <is>
          <t>Data Config total allocation</t>
        </is>
      </c>
      <c r="C31" s="202">
        <f>'0.2 Data Config'!$E$26</f>
        <v>43.5</v>
      </c>
    </row>
    <row r="32">
      <c r="B32" s="203" t="inlineStr">
        <is>
          <t>Check (should be 0)</t>
        </is>
      </c>
      <c r="C32" s="204">
        <f>C30-C31</f>
        <v>0.0</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0.8085501858736058</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Retail'!$C$68+'1.2 Customer'!$C$56+'1.3 Enterprise Data'!$C$32+'1.4 TDD Group Functions'!$C$36+'1.5 P&amp;C'!$C$34+'1.6 Finance'!$C$34+'1.7 Infrastructure'!$C$42+'1.8 Energy Solutions &amp; B2B'!$C$38+'1.9 Commercial Fuels'!$C$42+'1.10 Z Retail'!$C$35+'1.11 TDD Cyber'!$C$29</f>
        <v>28.203989044</v>
      </c>
    </row>
    <row r="41">
      <c r="B41" s="668" t="inlineStr">
        <is>
          <t>Variance vs AU budget ($m)</t>
        </is>
      </c>
      <c r="C41" s="689">
        <f>C38-C39-C40</f>
        <v>1.9960109560000028</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Retail'!$C$69+'1.2 Customer'!$C$57+'1.3 Enterprise Data'!$C$33+'1.4 TDD Group Functions'!$C$37+'1.5 P&amp;C'!$C$35+'1.6 Finance'!$C$35+'1.7 Infrastructure'!$C$43+'1.8 Energy Solutions &amp; B2B'!$C$39+'1.9 Commercial Fuels'!$C$43+'1.10 Z Retail'!$C$36+'1.11 TDD Cyber'!$C$30</f>
        <v>9.219999999999999</v>
      </c>
    </row>
    <row r="45">
      <c r="B45" s="668" t="inlineStr">
        <is>
          <t>Variance vs NZ budget ($m)</t>
        </is>
      </c>
      <c r="C45" s="689">
        <f>C42-C43-C44</f>
        <v>6.380000000000003</v>
      </c>
    </row>
    <row r="46">
      <c r="B46" s="695" t="inlineStr">
        <is>
          <t>Portfolio overheads and platform overheads sit inside the COE and portfolio allocations on 0.2 Data Config.</t>
        </is>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tabColor rgb="00002F6C"/>
    <outlinePr summaryBelow="1" summaryRight="1"/>
    <pageSetUpPr/>
  </sheetPr>
  <dimension ref="A1: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Retail'!$E$9</f>
        <v>10.3545</v>
      </c>
      <c r="D6" s="670">
        <f>'2.7 Squad Detail'!$G$22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4.020313925</v>
      </c>
      <c r="H6" s="671">
        <f>COUNTIFS(Squads!$N:$N,$B6,Squads!$Q:$Q,"Squad",Squads!$R:$R,"Vacant")+COUNTIFS(Squads!$N:$N,$B6,Squads!$Q:$Q,"Strategic Program",Squads!$R:$R,"Vacant")+COUNTIFS(Squads!$N:$N,$B6,Squads!$Q:$Q,"Leadership",Squads!$R:$R,"Vacant")</f>
        <v>28.0</v>
      </c>
      <c r="I6" s="669">
        <f>E6+G6</f>
        <v>12.583638676</v>
      </c>
      <c r="J6" s="671">
        <f>F6+H6</f>
        <v>80.0</v>
      </c>
      <c r="K6" s="669">
        <f>ROUND(I6-C6,6)</f>
        <v>2.229139</v>
      </c>
      <c r="L6" s="670">
        <f>ROUND(J6-D6,1)</f>
        <v>19.5</v>
      </c>
      <c r="M6" s="665" t="n"/>
    </row>
    <row r="7">
      <c r="B7" s="668" t="str">
        <f>'1.2 Customer'!$B$2</f>
        <v>Customer</v>
      </c>
      <c r="C7" s="669">
        <f>'1.2 Customer'!$E$9</f>
        <v>14.9445</v>
      </c>
      <c r="D7" s="670">
        <f>'2.7 Squad Detail'!$G$36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3.83472715</v>
      </c>
      <c r="H7" s="671">
        <f>COUNTIFS(Squads!$N:$N,$B7,Squads!$Q:$Q,"Squad",Squads!$R:$R,"Vacant")+COUNTIFS(Squads!$N:$N,$B7,Squads!$Q:$Q,"Strategic Program",Squads!$R:$R,"Vacant")+COUNTIFS(Squads!$N:$N,$B7,Squads!$Q:$Q,"Leadership",Squads!$R:$R,"Vacant")</f>
        <v>19.0</v>
      </c>
      <c r="I7" s="669">
        <f>E7+G7</f>
        <v>17.20555674</v>
      </c>
      <c r="J7" s="671">
        <f>F7+H7</f>
        <v>88.0</v>
      </c>
      <c r="K7" s="669">
        <f>ROUND(I7-C7,6)</f>
        <v>2.261057</v>
      </c>
      <c r="L7" s="670">
        <f>ROUND(J7-D7,1)</f>
        <v>27.0</v>
      </c>
      <c r="M7" s="665" t="n"/>
    </row>
    <row r="8">
      <c r="B8" s="668" t="str">
        <f>'1.3 Enterprise Data'!$B$2</f>
        <v>Enterprise Data</v>
      </c>
      <c r="C8" s="669">
        <f>'1.3 Enterprise Data'!$E$9</f>
        <v>6.0145</v>
      </c>
      <c r="D8" s="670">
        <f>'2.7 Squad Detail'!$G$43</f>
        <v>33.0</v>
      </c>
      <c r="E8" s="669">
        <f>(SUMIFS('Added data'!$AA:$AA,'Added data'!$AC:$AC,$B8,'Added data'!$AF:$AF,"Squad",'Added data'!$AG:$AG,"Filled")+SUMIFS('Added data'!$AA:$AA,'Added data'!$AC:$AC,$B8,'Added data'!$AF:$AF,"Strategic Program",'Added data'!$AG:$AG,"Filled")+SUMIFS('Added data'!$AA:$AA,'Added data'!$AC:$AC,$B8,'Added data'!$AF:$AF,"Leadership",'Added data'!$AG:$AG,"Filled"))/1000000</f>
        <v>4.763544216</v>
      </c>
      <c r="F8" s="671">
        <f>COUNTIFS(Squads!$N:$N,$B8,Squads!$Q:$Q,"Squad",Squads!$R:$R,"Filled")+COUNTIFS(Squads!$N:$N,$B8,Squads!$Q:$Q,"Strategic Program",Squads!$R:$R,"Filled")+COUNTIFS(Squads!$N:$N,$B8,Squads!$Q:$Q,"Leadership",Squads!$R:$R,"Filled")</f>
        <v>16.0</v>
      </c>
      <c r="G8" s="669">
        <f>(SUMIFS('Added data'!$AA:$AA,'Added data'!$AC:$AC,$B8,'Added data'!$AF:$AF,"Squad",'Added data'!$AG:$AG,"Vacant")+SUMIFS('Added data'!$AA:$AA,'Added data'!$AC:$AC,$B8,'Added data'!$AF:$AF,"Strategic Program",'Added data'!$AG:$AG,"Vacant")+SUMIFS('Added data'!$AA:$AA,'Added data'!$AC:$AC,$B8,'Added data'!$AF:$AF,"Leadership",'Added data'!$AG:$AG,"Vacant"))/1000000</f>
        <v>2.16412225</v>
      </c>
      <c r="H8" s="671">
        <f>COUNTIFS(Squads!$N:$N,$B8,Squads!$Q:$Q,"Squad",Squads!$R:$R,"Vacant")+COUNTIFS(Squads!$N:$N,$B8,Squads!$Q:$Q,"Strategic Program",Squads!$R:$R,"Vacant")+COUNTIFS(Squads!$N:$N,$B8,Squads!$Q:$Q,"Leadership",Squads!$R:$R,"Vacant")</f>
        <v>14.0</v>
      </c>
      <c r="I8" s="669">
        <f>E8+G8</f>
        <v>6.927666466</v>
      </c>
      <c r="J8" s="671">
        <f>F8+H8</f>
        <v>30.0</v>
      </c>
      <c r="K8" s="669">
        <f>ROUND(I8-C8,6)</f>
        <v>0.913166</v>
      </c>
      <c r="L8" s="670">
        <f>ROUND(J8-D8,1)</f>
        <v>-3.0</v>
      </c>
      <c r="M8" s="665" t="n"/>
    </row>
    <row r="9">
      <c r="B9" s="668" t="str">
        <f>'1.4 TDD Group Functions'!$B$2</f>
        <v>TDD Group Functions</v>
      </c>
      <c r="C9" s="669">
        <f>'1.4 TDD Group Functions'!$E$9</f>
        <v>4.814499999999999</v>
      </c>
      <c r="D9" s="670">
        <f>'2.7 Squad Detail'!$G$51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P&amp;C'!$E$9</f>
        <v>2.7145</v>
      </c>
      <c r="D10" s="670">
        <f>'2.7 Squad Detail'!$G$57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Finance'!$E$9</f>
        <v>3.4145000000000003</v>
      </c>
      <c r="D11" s="670">
        <f>'2.7 Squad Detail'!$G$63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Infrastructure'!$E$10</f>
        <v>5.2445</v>
      </c>
      <c r="D12" s="670">
        <f>'2.7 Squad Detail'!$G$71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2.4419335</v>
      </c>
      <c r="H12" s="671">
        <f>COUNTIFS(Squads!$N:$N,$B12,Squads!$Q:$Q,"Squad",Squads!$R:$R,"Vacant")+COUNTIFS(Squads!$N:$N,$B12,Squads!$Q:$Q,"Strategic Program",Squads!$R:$R,"Vacant")+COUNTIFS(Squads!$N:$N,$B12,Squads!$Q:$Q,"Leadership",Squads!$R:$R,"Vacant")</f>
        <v>14.0</v>
      </c>
      <c r="I12" s="669">
        <f>E12+G12</f>
        <v>7.54551029</v>
      </c>
      <c r="J12" s="671">
        <f>F12+H12</f>
        <v>35.0</v>
      </c>
      <c r="K12" s="669">
        <f>ROUND(I12-C12,6)</f>
        <v>2.30101</v>
      </c>
      <c r="L12" s="670">
        <f>ROUND(J12-D12,1)</f>
        <v>7.0</v>
      </c>
      <c r="M12" s="665" t="n"/>
    </row>
    <row r="13">
      <c r="B13" s="668" t="str">
        <f>'1.8 Energy Solutions &amp; B2B'!$B$2</f>
        <v>Energy Solutions &amp; B2B</v>
      </c>
      <c r="C13" s="669">
        <f>'1.8 Energy Solutions &amp; B2B'!$E$9</f>
        <v>7.1795</v>
      </c>
      <c r="D13" s="670">
        <f>'2.7 Squad Detail'!$G$77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1.826412</v>
      </c>
      <c r="H13" s="671">
        <f>COUNTIFS(Squads!$N:$N,$B13,Squads!$Q:$Q,"Squad",Squads!$R:$R,"Vacant")+COUNTIFS(Squads!$N:$N,$B13,Squads!$Q:$Q,"Strategic Program",Squads!$R:$R,"Vacant")+COUNTIFS(Squads!$N:$N,$B13,Squads!$Q:$Q,"Leadership",Squads!$R:$R,"Vacant")</f>
        <v>12.0</v>
      </c>
      <c r="I13" s="669">
        <f>E13+G13</f>
        <v>6.7874295280000005</v>
      </c>
      <c r="J13" s="671">
        <f>F13+H13</f>
        <v>37.0</v>
      </c>
      <c r="K13" s="669">
        <f>ROUND(I13-C13,6)</f>
        <v>-0.39207</v>
      </c>
      <c r="L13" s="670">
        <f>ROUND(J13-D13,1)</f>
        <v>5.0</v>
      </c>
      <c r="M13" s="665" t="n"/>
    </row>
    <row r="14">
      <c r="B14" s="668" t="str">
        <f>'1.9 Commercial Fuels'!$B$2</f>
        <v>Commercial Fuels</v>
      </c>
      <c r="C14" s="669">
        <f>'1.9 Commercial Fuels'!$E$9</f>
        <v>7.144500000000001</v>
      </c>
      <c r="D14" s="670">
        <f>'2.7 Squad Detail'!$G$85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Retail'!$E$9</f>
        <v>6.4795</v>
      </c>
      <c r="D15" s="670">
        <f>'2.7 Squad Detail'!$G$91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'1.11 TDD Cyber'!$B$2</f>
        <v>TDD Cyber</v>
      </c>
      <c r="C16" s="669">
        <f>'1.11 TDD Cyber'!$E$9</f>
        <v>11.830489044</v>
      </c>
      <c r="D16" s="670" t="str">
        <f>"-"</f>
        <v>-</v>
      </c>
      <c r="E16" s="669">
        <f>(SUMIFS('Added data'!$AA:$AA,'Added data'!$AC:$AC,$B16,'Added data'!$AF:$AF,"Squad",'Added data'!$AG:$AG,"Filled")+SUMIFS('Added data'!$AA:$AA,'Added data'!$AC:$AC,$B16,'Added data'!$AF:$AF,"Strategic Program",'Added data'!$AG:$AG,"Filled")+SUMIFS('Added data'!$AA:$AA,'Added data'!$AC:$AC,$B16,'Added data'!$AF:$AF,"Leadership",'Added data'!$AG:$AG,"Filled"))/1000000</f>
        <v>9.444233794</v>
      </c>
      <c r="F16" s="671">
        <f>COUNTIFS(Squads!$N:$N,$B16,Squads!$Q:$Q,"Squad",Squads!$R:$R,"Filled")+COUNTIFS(Squads!$N:$N,$B16,Squads!$Q:$Q,"Strategic Program",Squads!$R:$R,"Filled")+COUNTIFS(Squads!$N:$N,$B16,Squads!$Q:$Q,"Leadership",Squads!$R:$R,"Filled")</f>
        <v>40.0</v>
      </c>
      <c r="G16" s="669">
        <f>(SUMIFS('Added data'!$AA:$AA,'Added data'!$AC:$AC,$B16,'Added data'!$AF:$AF,"Squad",'Added data'!$AG:$AG,"Vacant")+SUMIFS('Added data'!$AA:$AA,'Added data'!$AC:$AC,$B16,'Added data'!$AF:$AF,"Strategic Program",'Added data'!$AG:$AG,"Vacant")+SUMIFS('Added data'!$AA:$AA,'Added data'!$AC:$AC,$B16,'Added data'!$AF:$AF,"Leadership",'Added data'!$AG:$AG,"Vacant"))/1000000</f>
        <v>1.47175525</v>
      </c>
      <c r="H16" s="671">
        <f>COUNTIFS(Squads!$N:$N,$B16,Squads!$Q:$Q,"Squad",Squads!$R:$R,"Vacant")+COUNTIFS(Squads!$N:$N,$B16,Squads!$Q:$Q,"Strategic Program",Squads!$R:$R,"Vacant")+COUNTIFS(Squads!$N:$N,$B16,Squads!$Q:$Q,"Leadership",Squads!$R:$R,"Vacant")</f>
        <v>8.0</v>
      </c>
      <c r="I16" s="669">
        <f>E16+G16</f>
        <v>10.915989044</v>
      </c>
      <c r="J16" s="671">
        <f>F16+H16</f>
        <v>48.0</v>
      </c>
      <c r="K16" s="669">
        <f>ROUND(I16-C16,6)</f>
        <v>-0.9145</v>
      </c>
      <c r="L16" s="670" t="str">
        <f>"-"</f>
        <v>-</v>
      </c>
      <c r="M16" s="665" t="n"/>
    </row>
    <row r="17">
      <c r="B17" s="668" t="str">
        <f>'2.4 COE Summary'!$B$11</f>
        <v>COE - Business Partnering</v>
      </c>
      <c r="C17" s="669">
        <f>'2.1 BP&amp;T'!$F$6</f>
        <v>3.2925625919999995</v>
      </c>
      <c r="D17" s="672" t="str">
        <f>"-"</f>
        <v>-</v>
      </c>
      <c r="E17" s="669">
        <f>SUMIFS('2.1 BP&amp;T'!$J$21:$J$44,'2.1 BP&amp;T'!$F$21:$F$44,"Filled",'2.1 BP&amp;T'!$G$21:$G$44,'2.1 BP&amp;T'!$B$6)</f>
        <v>2.8530625919999997</v>
      </c>
      <c r="F17" s="672" t="str">
        <f>"-"</f>
        <v>-</v>
      </c>
      <c r="G17" s="669">
        <f>SUMIFS('2.1 BP&amp;T'!$J$21:$J$44,'2.1 BP&amp;T'!$F$21:$F$44,"Vacant",'2.1 BP&amp;T'!$G$21:$G$44,'2.1 BP&amp;T'!$B$6)</f>
        <v>0.43949999999999995</v>
      </c>
      <c r="H17" s="673" t="str">
        <f>"-"</f>
        <v>-</v>
      </c>
      <c r="I17" s="669">
        <f>E17+G17</f>
        <v>3.2925625919999995</v>
      </c>
      <c r="J17" s="673" t="str">
        <f>"-"</f>
        <v>-</v>
      </c>
      <c r="K17" s="669">
        <f>ROUND(I17-C17,6)</f>
        <v>0.0</v>
      </c>
      <c r="L17" s="673" t="str">
        <f>"-"</f>
        <v>-</v>
      </c>
      <c r="M17" s="665" t="n"/>
    </row>
    <row r="18">
      <c r="B18" s="668" t="str">
        <f>'2.4 COE Summary'!$B$10</f>
        <v>COE - Transformation</v>
      </c>
      <c r="C18" s="669">
        <f>'2.1 BP&amp;T'!$F$7</f>
        <v>3.10799923</v>
      </c>
      <c r="D18" s="673" t="str">
        <f>"-"</f>
        <v>-</v>
      </c>
      <c r="E18" s="669">
        <f>SUMIFS('2.1 BP&amp;T'!$J$21:$J$44,'2.1 BP&amp;T'!$F$21:$F$44,"Filled",'2.1 BP&amp;T'!$G$21:$G$44,'2.1 BP&amp;T'!$B$7)</f>
        <v>1.19998525</v>
      </c>
      <c r="F18" s="673" t="str">
        <f>"-"</f>
        <v>-</v>
      </c>
      <c r="G18" s="669">
        <f>SUMIFS('2.1 BP&amp;T'!$J$21:$J$44,'2.1 BP&amp;T'!$F$21:$F$44,"Vacant",'2.1 BP&amp;T'!$G$21:$G$44,'2.1 BP&amp;T'!$B$7)</f>
        <v>1.9080139799999998</v>
      </c>
      <c r="H18" s="673" t="str">
        <f>"-"</f>
        <v>-</v>
      </c>
      <c r="I18" s="669">
        <f>E18+G18</f>
        <v>3.10799923</v>
      </c>
      <c r="J18" s="673" t="str">
        <f>"-"</f>
        <v>-</v>
      </c>
      <c r="K18" s="669">
        <f>ROUND(I18-C18,6)</f>
        <v>0.0</v>
      </c>
      <c r="L18" s="673" t="str">
        <f>"-"</f>
        <v>-</v>
      </c>
      <c r="M18" s="665" t="n"/>
    </row>
    <row r="19">
      <c r="B19" s="668" t="str">
        <f>'2.4 COE Summary'!$B$8</f>
        <v>COE - Strategy Architecture</v>
      </c>
      <c r="C19" s="669">
        <f>'2.2 SA&amp;D'!$G$6</f>
        <v>4.320560996</v>
      </c>
      <c r="D19" s="673" t="str">
        <f>"-"</f>
        <v>-</v>
      </c>
      <c r="E19" s="669">
        <f>SUMIFS('2.2 SA&amp;D'!$J$22:$J$50,'2.2 SA&amp;D'!$F$22:$F$50,"Filled",'2.2 SA&amp;D'!$G$22:$G$50,'2.2 SA&amp;D'!$B$6)</f>
        <v>1.748103796</v>
      </c>
      <c r="F19" s="673" t="str">
        <f>"-"</f>
        <v>-</v>
      </c>
      <c r="G19" s="669">
        <f>SUMIFS('2.2 SA&amp;D'!$J$22:$J$50,'2.2 SA&amp;D'!$F$22:$F$50,"Vacant",'2.2 SA&amp;D'!$G$22:$G$50,'2.2 SA&amp;D'!$B$6)</f>
        <v>2.5724571999999997</v>
      </c>
      <c r="H19" s="673" t="str">
        <f>"-"</f>
        <v>-</v>
      </c>
      <c r="I19" s="669">
        <f>E19+G19</f>
        <v>4.320560995999999</v>
      </c>
      <c r="J19" s="673" t="str">
        <f>"-"</f>
        <v>-</v>
      </c>
      <c r="K19" s="669">
        <f>ROUND(I19-C19,6)</f>
        <v>-0.0</v>
      </c>
      <c r="L19" s="673" t="str">
        <f>"-"</f>
        <v>-</v>
      </c>
      <c r="M19" s="665" t="n"/>
    </row>
    <row r="20">
      <c r="B20" s="668" t="str">
        <f>'2.4 COE Summary'!$B$12</f>
        <v>COE - Data</v>
      </c>
      <c r="C20" s="669">
        <f>'2.2 SA&amp;D'!$G$7</f>
        <v>2.232736616</v>
      </c>
      <c r="D20" s="673" t="str">
        <f>"-"</f>
        <v>-</v>
      </c>
      <c r="E20" s="669">
        <f>SUMIFS('2.2 SA&amp;D'!$J$22:$J$50,'2.2 SA&amp;D'!$F$22:$F$50,"Filled",'2.2 SA&amp;D'!$G$22:$G$50,'2.2 SA&amp;D'!$B$7)</f>
        <v>1.8431305159999998</v>
      </c>
      <c r="F20" s="673" t="str">
        <f>"-"</f>
        <v>-</v>
      </c>
      <c r="G20" s="669">
        <f>SUMIFS('2.2 SA&amp;D'!$J$22:$J$50,'2.2 SA&amp;D'!$F$22:$F$50,"Vacant",'2.2 SA&amp;D'!$G$22:$G$50,'2.2 SA&amp;D'!$B$7)</f>
        <v>0.3896061</v>
      </c>
      <c r="H20" s="673" t="str">
        <f>"-"</f>
        <v>-</v>
      </c>
      <c r="I20" s="669">
        <f>E20+G20</f>
        <v>2.232736616</v>
      </c>
      <c r="J20" s="673" t="str">
        <f>"-"</f>
        <v>-</v>
      </c>
      <c r="K20" s="669">
        <f>ROUND(I20-C20,6)</f>
        <v>0.0</v>
      </c>
      <c r="L20" s="673" t="str">
        <f>"-"</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0.0</v>
      </c>
      <c r="F21" s="671">
        <f>COUNTIFS(Squads!$N:$N,"COE",Squads!$Q:$Q,"Leadership",Squads!$R:$R,"Filled")+COUNTIFS(Squads!$N:$N,"Unmapped",Squads!$Q:$Q,"Leadership",Squads!$R:$R,"Filled")</f>
        <v>3.0</v>
      </c>
      <c r="G21" s="669">
        <f>(SUMIFS('Added data'!$AA:$AA,'Added data'!$AC:$AC,"COE",'Added data'!$AF:$AF,"Leadership",'Added data'!$AG:$AG,"Vacant")+SUMIFS('Added data'!$AA:$AA,'Added data'!$AC:$AC,"Unmapped",'Added data'!$AF:$AF,"Leadership",'Added data'!$AG:$AG,"Vacant"))/1000000</f>
        <v>0.33497295</v>
      </c>
      <c r="H21" s="671">
        <f>COUNTIFS(Squads!$N:$N,"COE",Squads!$Q:$Q,"Leadership",Squads!$R:$R,"Vacant")+COUNTIFS(Squads!$N:$N,"Unmapped",Squads!$Q:$Q,"Leadership",Squads!$R:$R,"Vacant")</f>
        <v>1.0</v>
      </c>
      <c r="I21" s="669">
        <f>E21+G21</f>
        <v>0.33497295</v>
      </c>
      <c r="J21" s="671">
        <f>F21+H21</f>
        <v>4.0</v>
      </c>
      <c r="K21" s="669">
        <f>ROUND(I21-C21,6)</f>
        <v>0.334973</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1.2675958500000002</v>
      </c>
      <c r="H22" s="671">
        <f>COUNTIFS(Squads!$Q:$Q,"Unmapped",Squads!$R:$R,"Vacant")</f>
        <v>6.0</v>
      </c>
      <c r="I22" s="669">
        <f>E22+G22</f>
        <v>9.162708308000001</v>
      </c>
      <c r="J22" s="671">
        <f>F22+H22</f>
        <v>17.0</v>
      </c>
      <c r="K22" s="669">
        <f>ROUND(I22-C22,6)</f>
        <v>9.162708</v>
      </c>
      <c r="L22" s="673" t="str">
        <f>"-"</f>
        <v>-</v>
      </c>
      <c r="M22" s="665" t="n"/>
    </row>
    <row r="23">
      <c r="B23" s="668" t="inlineStr">
        <is>
          <t>Less: Business Partner &amp; Domain Architect funded inside portfolio overheads</t>
        </is>
      </c>
      <c r="C23" s="669">
        <f>-(COUNTA('2.5 Group Summary'!$B$6:$B$16)*'0.2 Data Config'!$L$7+COUNTA('2.5 Group Summary'!$B$6:$B$16)*'0.2 Data Config'!$L$8)</f>
        <v>-3.4320000000000004</v>
      </c>
      <c r="D23" s="672" t="str">
        <f>"-"</f>
        <v>-</v>
      </c>
      <c r="E23" s="669">
        <f>0</f>
        <v>0.0</v>
      </c>
      <c r="F23" s="672" t="str">
        <f>"-"</f>
        <v>-</v>
      </c>
      <c r="G23" s="669">
        <f>0</f>
        <v>0.0</v>
      </c>
      <c r="H23" s="673" t="str">
        <f>"-"</f>
        <v>-</v>
      </c>
      <c r="I23" s="669">
        <f>0</f>
        <v>0.0</v>
      </c>
      <c r="J23" s="673" t="str">
        <f>"-"</f>
        <v>-</v>
      </c>
      <c r="K23" s="669">
        <f>ROUND(I23-C23,6)</f>
        <v>3.432</v>
      </c>
      <c r="L23" s="673" t="str">
        <f>"-"</f>
        <v>-</v>
      </c>
      <c r="M23" s="665" t="n"/>
    </row>
    <row r="24">
      <c r="B24" s="666" t="inlineStr">
        <is>
          <t>TOTAL OPERATING MODEL</t>
        </is>
      </c>
      <c r="C24" s="674">
        <f>SUM(C6:C23)</f>
        <v>89.65734847799999</v>
      </c>
      <c r="D24" s="675">
        <f>SUM(D6:D23)</f>
        <v>328.5</v>
      </c>
      <c r="E24" s="674">
        <f>SUM(E6:E23)</f>
        <v>84.8326459781</v>
      </c>
      <c r="F24" s="675">
        <f>SUM(F6:F23)</f>
        <v>340.0</v>
      </c>
      <c r="G24" s="674">
        <f>SUM(G6:G23)</f>
        <v>33.366060425</v>
      </c>
      <c r="H24" s="675">
        <f>SUM(H6:H23)</f>
        <v>146.0</v>
      </c>
      <c r="I24" s="674">
        <f>SUM(I6:I23)</f>
        <v>118.1987064031</v>
      </c>
      <c r="J24" s="675">
        <f>SUM(J6:J23)</f>
        <v>486.0</v>
      </c>
      <c r="K24" s="674">
        <f>SUM(K6:K23)</f>
        <v>28.541358</v>
      </c>
      <c r="L24" s="675">
        <f>SUM(L6:L23)</f>
        <v>88.5</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5.0</t>
        </is>
      </c>
      <c r="C26" s="677" t="n"/>
      <c r="D26" s="677" t="n"/>
      <c r="E26" s="677" t="n"/>
      <c r="F26" s="677" t="n"/>
      <c r="G26" s="677" t="n"/>
      <c r="H26" s="665" t="n"/>
      <c r="I26" s="669">
        <f>ROUND(I24-SUM('Added data'!$AA$2:$AA$549)/1000000,3)</f>
        <v>-1.839</v>
      </c>
      <c r="J26" s="665" t="n"/>
      <c r="K26" s="665" t="n"/>
      <c r="L26" s="665" t="n"/>
      <c r="M26" s="665" t="n"/>
    </row>
    <row r="27">
      <c r="B27" s="678" t="inlineStr">
        <is>
          <t>Memo: EGI strategic delivery roster (Sheet2) - funded from Significant Items, not in the total above ($m)</t>
        </is>
      </c>
      <c r="C27" s="677" t="n"/>
      <c r="D27" s="677" t="n"/>
      <c r="E27" s="677" t="n"/>
      <c r="F27" s="677" t="n"/>
      <c r="G27" s="677" t="n"/>
      <c r="H27" s="665" t="n"/>
      <c r="I27" s="679">
        <f>'2.7 Squad Detail'!$F$185</f>
        <v>4.665919350000001</v>
      </c>
      <c r="J27" s="680">
        <f>'2.7 Squad Detail'!$C$185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7.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2.6)</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-0.5</v>
      </c>
      <c r="I4" s="499">
        <f>M95</f>
        <v>80.13548904400001</v>
      </c>
      <c r="J4" s="499">
        <f>N95</f>
        <v>81.7029099161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0.40219083499999997</v>
      </c>
      <c r="O7" s="430">
        <f>N7-IFERROR(M7,0)</f>
        <v>-0.9978091649999999</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-2.2958412299999997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2.50854367</v>
      </c>
      <c r="O12" s="430">
        <f>N12-IFERROR(M12,0)</f>
        <v>0.4085436699999998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0.4085436699999998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1.1131819849999998</v>
      </c>
      <c r="O16" s="430">
        <f>N16-IFERROR(M16,0)</f>
        <v>-0.28681801500000015</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-0.28681801500000015</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2.019899355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 xml:space="preserve">AI Enablement </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 xml:space="preserve">AI Enablement </t>
        </is>
      </c>
      <c r="E32" s="429" t="str">
        <f>'1.2 Customer'!$C$46</f>
        <v>Engineering</v>
      </c>
      <c r="F32" s="439" t="str">
        <f>'1.2 Customer'!$D$46</f>
        <v>S</v>
      </c>
      <c r="G32" s="439">
        <f>IFERROR(INDEX('0.3 Squad Archetypes'!$F$5:$F$23,MATCH('1.2 Customer'!$C$46&amp;"|"&amp;'1.2 Customer'!$D$46,'0.3 Squad Archetypes'!$A$5:$A$23,0)),"-")</f>
        <v>4.5</v>
      </c>
      <c r="H32" s="439">
        <f>COUNTIFS(Squads!$N:$N,"Customer",Squads!$P:$P,"AI Enablement ",Squads!$R:$R,"Filled")</f>
        <v>0.0</v>
      </c>
      <c r="I32" s="439">
        <f>COUNTIFS(Squads!$N:$N,"Customer",Squads!$P:$P,"AI Enablement ",Squads!$R:$R,"Vacant")</f>
        <v>0.0</v>
      </c>
      <c r="J32" s="439">
        <f>H32+I32</f>
        <v>0.0</v>
      </c>
      <c r="K32" s="439">
        <f>IFERROR(J32-G32,"-")</f>
        <v>-4.5</v>
      </c>
      <c r="L32" s="450" t="str">
        <f>IFERROR(I32/J32,"-")</f>
        <v>-</v>
      </c>
      <c r="M32" s="430">
        <f>'1.2 Customer'!$G$46</f>
        <v>0.8</v>
      </c>
      <c r="N32" s="430">
        <f>(SUMIFS('Added data'!$AA:$AA,'Added data'!$AC:$AC,"Customer",'Added data'!$AE:$AE,"AI Enablement "))/1000000</f>
        <v>0.0</v>
      </c>
      <c r="O32" s="430">
        <f>N32-IFERROR(M32,0)</f>
        <v>-0.8</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7.0</v>
      </c>
      <c r="J33" s="498">
        <f>SUM(J31:J32)</f>
        <v>13.0</v>
      </c>
      <c r="K33" s="498">
        <f>SUM(K31:K32)</f>
        <v>0.0</v>
      </c>
      <c r="L33" s="500">
        <f>IFERROR(I33/J33,"-")</f>
        <v>0.5384615384615384</v>
      </c>
      <c r="M33" s="497">
        <f>SUM(M31:M32)+'0.2 Data Config'!$L$16</f>
        <v>2.865</v>
      </c>
      <c r="N33" s="497">
        <f>SUM(N31:N32)</f>
        <v>1.3212206359999998</v>
      </c>
      <c r="O33" s="497">
        <f>SUM(O31:O32)</f>
        <v>-1.3787793640000001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15.0</v>
      </c>
      <c r="J36" s="447">
        <f>J26+J30+J33+J35</f>
        <v>74.0</v>
      </c>
      <c r="K36" s="447">
        <f>K26+K30+K33+K35</f>
        <v>4.0</v>
      </c>
      <c r="L36" s="449">
        <f>IFERROR(I36/J36,"-")</f>
        <v>0.20270270270270271</v>
      </c>
      <c r="M36" s="432">
        <f>M26+M30+M33+M35+'0.2 Data Config'!$L$10</f>
        <v>14.944499999999998</v>
      </c>
      <c r="N36" s="432">
        <f>N26+N30+N33+N35</f>
        <v>13.79917977</v>
      </c>
      <c r="O36" s="432">
        <f>O26+O30+O33+O35</f>
        <v>0.099179770000001</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Data'!$G$26</f>
        <v>0.9</v>
      </c>
      <c r="N39" s="430">
        <f>(SUMIFS('Added data'!$AA:$AA,'Added data'!$AC:$AC,"Enterprise Data",'Added data'!$AE:$AE,"Reporting &amp; Analytics"))/1000000</f>
        <v>2.9676649499999996</v>
      </c>
      <c r="O39" s="430">
        <f>N39-IFERROR(M39,0)</f>
        <v>2.0676649499999997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Data'!$G$27</f>
        <v>0.9</v>
      </c>
      <c r="N40" s="430">
        <f>(SUMIFS('Added data'!$AA:$AA,'Added data'!$AC:$AC,"Enterprise Data",'Added data'!$AE:$AE,"Data Platforms"))/1000000</f>
        <v>1.397530486</v>
      </c>
      <c r="O40" s="430">
        <f>N40-IFERROR(M40,0)</f>
        <v>0.49753048599999994</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0.6776160159999997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0.6776160159999997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1.9244203999999998</v>
      </c>
      <c r="O64" s="430">
        <f>N64-IFERROR(M64,0)</f>
        <v>0.5244203999999999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0.5244203999999999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2.09778574</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1.940323966</v>
      </c>
      <c r="O72" s="430">
        <f>N72-IFERROR(M72,0)</f>
        <v>-0.05967603399999999</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-1.128876742</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2.79636432</v>
      </c>
      <c r="O75" s="430">
        <f>N75-IFERROR(M75,0)</f>
        <v>0.6963643199999998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0.6963643199999998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-0.4325124220000003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'1.11 TDD Cyber'!$G$24+'1.11 TDD Cyber'!$G$25</f>
        <v>10.915989044</v>
      </c>
      <c r="N92" s="430">
        <f>(SUMIFS('Added data'!$AA:$AA,'Added data'!$AC:$AC,"TDD Cyber"))/1000000</f>
        <v>10.915989044</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11.080989043999999</v>
      </c>
      <c r="N93" s="497">
        <f>SUM(N92:N92)</f>
        <v>10.915989044</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11.830489043999998</v>
      </c>
      <c r="N94" s="432">
        <f>N93</f>
        <v>10.915989044</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124.0</v>
      </c>
      <c r="J95" s="452">
        <f>J22+J36+J43+J51+J57+J63+J71+J77+J85+J91+J94</f>
        <v>422.0</v>
      </c>
      <c r="K95" s="452">
        <f>K22+K36+K43+K51+K57+K63+K71+K77+K85+K91+K94</f>
        <v>-0.5</v>
      </c>
      <c r="L95" s="453">
        <f>I95/J95</f>
        <v>0.2938388625592417</v>
      </c>
      <c r="M95" s="454">
        <f>M22+M36+M43+M51+M57+M63+M71+M77+M85+M91+M94</f>
        <v>80.13548904400001</v>
      </c>
      <c r="N95" s="454">
        <f>N22+N36+N43+N51+N57+N63+N71+N77+N85+N91+N94</f>
        <v>81.7029099161</v>
      </c>
      <c r="O95" s="454">
        <f>O22+O36+O43+O51+O57+O63+O71+O77+O85+O91+O94</f>
        <v>13.6069208721</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456" t="inlineStr">
        <is>
          <t>Customer</t>
        </is>
      </c>
      <c r="C156" s="456" t="inlineStr">
        <is>
          <t>Customer AI</t>
        </is>
      </c>
      <c r="I156" s="457">
        <f>COUNTIFS(Squads!$N:$N,"Customer",Squads!$P:$P,"Customer AI",Squads!$R:$R,"Filled")</f>
        <v>0.0</v>
      </c>
      <c r="J156" s="457">
        <f>COUNTIFS(Squads!$N:$N,"Customer",Squads!$P:$P,"Customer AI",Squads!$R:$R,"Vacant")</f>
        <v>2.0</v>
      </c>
      <c r="K156" s="457">
        <f>I156+J156</f>
        <v>2.0</v>
      </c>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COUNTIFS(Squads!$Q:$Q,"Unmapped",Squads!$R:$R,"Filled")-SUM(I156:I158)</f>
        <v>1.0</v>
      </c>
      <c r="J159" s="457">
        <f>COUNTIFS(Squads!$Q:$Q,"Unmapped",Squads!$R:$R,"Vacant")-SUM(J156:J158)</f>
        <v>3.0</v>
      </c>
      <c r="K159" s="457">
        <f>I159+J159</f>
        <v>4.0</v>
      </c>
    </row>
    <row r="160"/>
    <row r="161">
      <c r="B161" s="429" t="inlineStr">
        <is>
          <t>COE roles (detail on 2.1 / 2.2 / 2.3)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roster (Sheet2) - funded from Significant Items, outside the archetype model</t>
        </is>
      </c>
    </row>
    <row r="168">
      <c r="B168" s="696" t="inlineStr">
        <is>
          <t>Name</t>
        </is>
      </c>
      <c r="C168" s="696" t="inlineStr">
        <is>
          <t>Role</t>
        </is>
      </c>
      <c r="D168" s="696" t="inlineStr">
        <is>
          <t>Engagement</t>
        </is>
      </c>
      <c r="E168" s="696" t="inlineStr">
        <is>
          <t>Country</t>
        </is>
      </c>
      <c r="F168" s="696"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7" t="inlineStr">
        <is>
          <t>DECISIONS  &gt;&gt;&gt;</t>
        </is>
      </c>
    </row>
  </sheetData>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L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CONCATENATE('1.1 Ampol Retail'!$B$2," GM working copy")</f>
        <v>Ampol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row>
    <row r="6">
      <c r="B6" s="429" t="inlineStr">
        <is>
          <t>POS</t>
        </is>
      </c>
      <c r="C6" s="692" t="str">
        <f>IF(OR('2.7 Squad Detail'!$F$7=0,'2.7 Squad Detail'!$F$7=""),'2.7 Squad Detail'!$E$7,'2.7 Squad Detail'!$E$7&amp;" - "&amp;'2.7 Squad Detail'!$F$7)</f>
        <v>Configuration / Integration - M</v>
      </c>
      <c r="D6" s="697">
        <f>'2.7 Squad Detail'!$G$7</f>
        <v>9.0</v>
      </c>
      <c r="E6" s="439">
        <f>COUNTIFS(Squads!$N:$N,"Ampol Retail",Squads!$P:$P,"POS",Squads!$R:$R,"Filled")</f>
        <v>0.0</v>
      </c>
      <c r="F6" s="439">
        <f>COUNTIFS(Squads!$N:$N,"Ampol Retail",Squads!$P:$P,"POS",Squads!$R:$R,"Vacant")</f>
        <v>7.0</v>
      </c>
      <c r="G6" s="439">
        <f>COUNTIF(E24:E30,"Hire")</f>
        <v>1.0</v>
      </c>
      <c r="H6" s="458">
        <f>F6-G6</f>
        <v>6.0</v>
      </c>
      <c r="I6" s="697">
        <f>IFERROR(E6+G6-D6,"-")</f>
        <v>-8.0</v>
      </c>
      <c r="J6" s="429" t="str">
        <f>IF(ISNUMBER(D6),IF(E6&gt;D6,"Filled already over archetype",IF(E6+G6&gt;D6,"Over archetype after hire calls","")),"Outside the archetype model - no target set")</f>
        <v/>
      </c>
      <c r="K6" s="669">
        <f>'2.7 Squad Detail'!$M$7</f>
        <v>1.4</v>
      </c>
      <c r="L6" s="669">
        <f>'2.7 Squad Detail'!$N$7</f>
        <v>0.40219083499999997</v>
      </c>
    </row>
    <row r="7">
      <c r="B7" s="429" t="inlineStr">
        <is>
          <t>Payments</t>
        </is>
      </c>
      <c r="C7" s="692" t="str">
        <f>IF(OR('2.7 Squad Detail'!$F$8=0,'2.7 Squad Detail'!$F$8=""),'2.7 Squad Detail'!$E$8,'2.7 Squad Detail'!$E$8&amp;" - "&amp;'2.7 Squad Detail'!$F$8)</f>
        <v>Configuration / Integration - S</v>
      </c>
      <c r="D7" s="697">
        <f>'2.7 Squad Detail'!$G$8</f>
        <v>6.0</v>
      </c>
      <c r="E7" s="439">
        <f>COUNTIFS(Squads!$N:$N,"Ampol Retail",Squads!$P:$P,"Payments",Squads!$R:$R,"Filled")</f>
        <v>3.0</v>
      </c>
      <c r="F7" s="439">
        <f>COUNTIFS(Squads!$N:$N,"Ampol Retail",Squads!$P:$P,"Payments",Squads!$R:$R,"Vacant")</f>
        <v>1.0</v>
      </c>
      <c r="G7" s="439">
        <f>COUNTIF(E32:E32,"Hire")</f>
        <v>0.0</v>
      </c>
      <c r="H7" s="458">
        <f>F7-G7</f>
        <v>1.0</v>
      </c>
      <c r="I7" s="697">
        <f>IFERROR(E7+G7-D7,"-")</f>
        <v>-3.0</v>
      </c>
      <c r="J7" s="429" t="str">
        <f>IF(ISNUMBER(D7),IF(E7&gt;D7,"Filled already over archetype",IF(E7+G7&gt;D7,"Over archetype after hire calls","")),"Outside the archetype model - no target set")</f>
        <v/>
      </c>
      <c r="K7" s="669">
        <f>'2.7 Squad Detail'!$M$8</f>
        <v>0.4</v>
      </c>
      <c r="L7" s="669">
        <f>'2.7 Squad Detail'!$N$8</f>
        <v>0.733398635</v>
      </c>
    </row>
    <row r="8">
      <c r="B8" s="429" t="inlineStr">
        <is>
          <t>Store Operations</t>
        </is>
      </c>
      <c r="C8" s="692" t="str">
        <f>IF(OR('2.7 Squad Detail'!$F$9=0,'2.7 Squad Detail'!$F$9=""),'2.7 Squad Detail'!$E$9,'2.7 Squad Detail'!$E$9&amp;" - "&amp;'2.7 Squad Detail'!$F$9)</f>
        <v>Operations - M</v>
      </c>
      <c r="D8" s="697">
        <f>'2.7 Squad Detail'!$G$9</f>
        <v>6.0</v>
      </c>
      <c r="E8" s="439">
        <f>COUNTIFS(Squads!$N:$N,"Ampol Retail",Squads!$P:$P,"Store Operations",Squads!$R:$R,"Filled")</f>
        <v>7.0</v>
      </c>
      <c r="F8" s="439">
        <f>COUNTIFS(Squads!$N:$N,"Ampol Retail",Squads!$P:$P,"Store Operations",Squads!$R:$R,"Vacant")</f>
        <v>1.0</v>
      </c>
      <c r="G8" s="439">
        <f>COUNTIF(E43:E43,"Hire")</f>
        <v>0.0</v>
      </c>
      <c r="H8" s="458">
        <f>F8-G8</f>
        <v>1.0</v>
      </c>
      <c r="I8" s="697">
        <f>IFERROR(E8+G8-D8,"-")</f>
        <v>1.0</v>
      </c>
      <c r="J8" s="429" t="str">
        <f>IF(ISNUMBER(D8),IF(E8&gt;D8,"Filled already over archetype",IF(E8+G8&gt;D8,"Over archetype after hire calls","")),"Outside the archetype model - no target set")</f>
        <v>Filled already over archetype</v>
      </c>
      <c r="K8" s="669">
        <f>'2.7 Squad Detail'!$M$9</f>
        <v>1.4</v>
      </c>
      <c r="L8" s="669">
        <f>'2.7 Squad Detail'!$N$9</f>
        <v>0.16403310000000002</v>
      </c>
    </row>
    <row r="9">
      <c r="B9" s="429" t="inlineStr">
        <is>
          <t>Deployment</t>
        </is>
      </c>
      <c r="C9" s="692" t="str">
        <f>IF(OR('2.7 Squad Detail'!$F$10=0,'2.7 Squad Detail'!$F$10=""),'2.7 Squad Detail'!$E$10,'2.7 Squad Detail'!$E$10&amp;" - "&amp;'2.7 Squad Detail'!$F$10)</f>
        <v>Configuration / Integration - M</v>
      </c>
      <c r="D9" s="697">
        <f>'2.7 Squad Detail'!$G$10</f>
        <v>9.0</v>
      </c>
      <c r="E9" s="439">
        <f>COUNTIFS(Squads!$N:$N,"Ampol Retail",Squads!$P:$P,"Deployment",Squads!$R:$R,"Filled")</f>
        <v>5.0</v>
      </c>
      <c r="F9" s="439">
        <f>COUNTIFS(Squads!$N:$N,"Ampol Retail",Squads!$P:$P,"Deployment",Squads!$R:$R,"Vacant")</f>
        <v>0.0</v>
      </c>
      <c r="G9" s="748">
        <f>COUNTIF(E46:E50,"Hire")</f>
        <v>0.0</v>
      </c>
      <c r="H9" s="458">
        <f>F9-G9</f>
        <v>0.0</v>
      </c>
      <c r="I9" s="697">
        <f>IFERROR(E9+G9-D9,"-")</f>
        <v>-4.0</v>
      </c>
      <c r="J9" s="429" t="str">
        <f>IF(ISNUMBER(D9),IF(E9&gt;D9,"Filled already over archetype",IF(E9+G9&gt;D9,"Over archetype after hire calls","")),"Outside the archetype model - no target set")</f>
        <v/>
      </c>
      <c r="K9" s="669">
        <f>'2.7 Squad Detail'!$M$10</f>
        <v>1.4</v>
      </c>
      <c r="L9" s="669">
        <f>'2.7 Squad Detail'!$N$10</f>
        <v>1.0045362</v>
      </c>
    </row>
    <row r="10">
      <c r="B10" s="429" t="inlineStr">
        <is>
          <t>Above Store</t>
        </is>
      </c>
      <c r="C10" s="692" t="str">
        <f>IF(OR('2.7 Squad Detail'!$F$12=0,'2.7 Squad Detail'!$F$12=""),'2.7 Squad Detail'!$E$12,'2.7 Squad Detail'!$E$12&amp;" - "&amp;'2.7 Squad Detail'!$F$12)</f>
        <v>Configuration / Integration - L</v>
      </c>
      <c r="D10" s="697">
        <f>'2.7 Squad Detail'!$G$12</f>
        <v>14.0</v>
      </c>
      <c r="E10" s="439">
        <f>COUNTIFS(Squads!$N:$N,"Ampol Retail",Squads!$P:$P,"Above Store",Squads!$R:$R,"Filled")</f>
        <v>11.0</v>
      </c>
      <c r="F10" s="439">
        <f>COUNTIFS(Squads!$N:$N,"Ampol Retail",Squads!$P:$P,"Above Store",Squads!$R:$R,"Vacant")</f>
        <v>11.0</v>
      </c>
      <c r="G10" s="439">
        <f>COUNTIF(E54:E73,"Hire")</f>
        <v>0.0</v>
      </c>
      <c r="H10" s="458">
        <f>F10-G10</f>
        <v>11.0</v>
      </c>
      <c r="I10" s="697">
        <f>IFERROR(E10+G10-D10,"-")</f>
        <v>-3.0</v>
      </c>
      <c r="J10" s="429" t="str">
        <f>IF(ISNUMBER(D10),IF(E10&gt;D10,"Filled already over archetype",IF(E10+G10&gt;D10,"Over archetype after hire calls","")),"Outside the archetype model - no target set")</f>
        <v/>
      </c>
      <c r="K10" s="669">
        <f>'2.7 Squad Detail'!$M$12</f>
        <v>2.1</v>
      </c>
      <c r="L10" s="669">
        <f>'2.7 Squad Detail'!$N$12</f>
        <v>2.50854367</v>
      </c>
    </row>
    <row r="11">
      <c r="B11" s="429" t="inlineStr">
        <is>
          <t>AmPOS</t>
        </is>
      </c>
      <c r="C11" s="692" t="str">
        <f>IF(OR('2.7 Squad Detail'!$F$14=0,'2.7 Squad Detail'!$F$14=""),'2.7 Squad Detail'!$E$14,'2.7 Squad Detail'!$E$14&amp;" - "&amp;'2.7 Squad Detail'!$F$14)</f>
        <v>Strategic Programs</v>
      </c>
      <c r="D11" s="697" t="str">
        <f>'2.7 Squad Detail'!$G$14</f>
        <v>-</v>
      </c>
      <c r="E11" s="439">
        <f>COUNTIFS(Squads!$N:$N,"Ampol Retail",Squads!$P:$P,"AmPOS",Squads!$R:$R,"Filled")</f>
        <v>10.0</v>
      </c>
      <c r="F11" s="439">
        <f>COUNTIFS(Squads!$N:$N,"Ampol Retail",Squads!$P:$P,"AmPOS",Squads!$R:$R,"Vacant")</f>
        <v>0.0</v>
      </c>
      <c r="G11" s="748">
        <f>COUNTIF(E75:E84,"Hire")</f>
        <v>0.0</v>
      </c>
      <c r="H11" s="458">
        <f>F11-G11</f>
        <v>0.0</v>
      </c>
      <c r="I11" s="697" t="str">
        <f>IFERROR(E11+G11-D11,"-")</f>
        <v>-</v>
      </c>
      <c r="J11" s="429" t="str">
        <f>IF(ISNUMBER(D11),IF(E11&gt;D11,"Filled already over archetype",IF(E11+G11&gt;D11,"Over archetype after hire calls","")),"Outside the archetype model - no target set")</f>
        <v>Outside the archetype model - no target set</v>
      </c>
      <c r="K11" s="669">
        <f>'2.7 Squad Detail'!$M$14</f>
        <v>0.0</v>
      </c>
      <c r="L11" s="669">
        <f>'2.7 Squad Detail'!$N$14</f>
        <v>2.66093203</v>
      </c>
    </row>
    <row r="12">
      <c r="B12" s="429" t="inlineStr">
        <is>
          <t>Network / QSR</t>
        </is>
      </c>
      <c r="C12" s="692" t="str">
        <f>IF(OR('2.7 Squad Detail'!$F$16=0,'2.7 Squad Detail'!$F$16=""),'2.7 Squad Detail'!$E$16,'2.7 Squad Detail'!$E$16&amp;" - "&amp;'2.7 Squad Detail'!$F$16)</f>
        <v>Configuration / Integration - M</v>
      </c>
      <c r="D12" s="697">
        <f>'2.7 Squad Detail'!$G$16</f>
        <v>9.0</v>
      </c>
      <c r="E12" s="439">
        <f>COUNTIFS(Squads!$N:$N,"Ampol Retail",Squads!$P:$P,"Network / QSR",Squads!$R:$R,"Filled")</f>
        <v>5.0</v>
      </c>
      <c r="F12" s="439">
        <f>COUNTIFS(Squads!$N:$N,"Ampol Retail",Squads!$P:$P,"Network / QSR",Squads!$R:$R,"Vacant")</f>
        <v>3.0</v>
      </c>
      <c r="G12" s="439">
        <f>COUNTIF(E86:E93,"Hire")</f>
        <v>0.0</v>
      </c>
      <c r="H12" s="458">
        <f>F12-G12</f>
        <v>3.0</v>
      </c>
      <c r="I12" s="697">
        <f>IFERROR(E12+G12-D12,"-")</f>
        <v>-4.0</v>
      </c>
      <c r="J12" s="429" t="str">
        <f>IF(ISNUMBER(D12),IF(E12&gt;D12,"Filled already over archetype",IF(E12+G12&gt;D12,"Over archetype after hire calls","")),"Outside the archetype model - no target set")</f>
        <v/>
      </c>
      <c r="K12" s="669">
        <f>'2.7 Squad Detail'!$M$16</f>
        <v>1.4</v>
      </c>
      <c r="L12" s="669">
        <f>'2.7 Squad Detail'!$N$16</f>
        <v>1.1131819849999998</v>
      </c>
    </row>
    <row r="13">
      <c r="B13" s="429" t="inlineStr">
        <is>
          <t>Data AU</t>
        </is>
      </c>
      <c r="C13" s="692" t="str">
        <f>IF(OR('2.7 Squad Detail'!$F$18=0,'2.7 Squad Detail'!$F$18=""),'2.7 Squad Detail'!$E$18,'2.7 Squad Detail'!$E$18&amp;" - "&amp;'2.7 Squad Detail'!$F$18)</f>
        <v>Enterprise Data and Insights - M</v>
      </c>
      <c r="D13" s="697">
        <f>'2.7 Squad Detail'!$G$18</f>
        <v>7.5</v>
      </c>
      <c r="E13" s="439">
        <f>COUNTIFS(Squads!$N:$N,"Ampol Retail",Squads!$P:$P,"Data AU",Squads!$R:$R,"Filled")</f>
        <v>0.0</v>
      </c>
      <c r="F13" s="439">
        <f>COUNTIFS(Squads!$N:$N,"Ampol Retail",Squads!$P:$P,"Data AU",Squads!$R:$R,"Vacant")</f>
        <v>5.0</v>
      </c>
      <c r="G13" s="439">
        <f>COUNTIF(E95:E99,"Hire")</f>
        <v>0.0</v>
      </c>
      <c r="H13" s="458">
        <f>F13-G13</f>
        <v>5.0</v>
      </c>
      <c r="I13" s="697">
        <f>IFERROR(E13+G13-D13,"-")</f>
        <v>-7.5</v>
      </c>
      <c r="J13" s="429" t="str">
        <f>IF(ISNUMBER(D13),IF(E13&gt;D13,"Filled already over archetype",IF(E13+G13&gt;D13,"Over archetype after hire calls","")),"Outside the archetype model - no target set")</f>
        <v/>
      </c>
      <c r="K13" s="669">
        <f>'2.7 Squad Detail'!$M$18</f>
        <v>0.68</v>
      </c>
      <c r="L13" s="669">
        <f>'2.7 Squad Detail'!$N$18</f>
        <v>1.243419</v>
      </c>
    </row>
    <row r="14">
      <c r="B14" s="429" t="inlineStr">
        <is>
          <t>EGI Retail</t>
        </is>
      </c>
      <c r="C14" s="692" t="str">
        <f>IF(OR('2.7 Squad Detail'!$F$20=0,'2.7 Squad Detail'!$F$20=""),'2.7 Squad Detail'!$E$20,'2.7 Squad Detail'!$E$20&amp;" - "&amp;'2.7 Squad Detail'!$F$20)</f>
        <v>Strategic Programs</v>
      </c>
      <c r="D14" s="697" t="str">
        <f>'2.7 Squad Detail'!$G$20</f>
        <v>-</v>
      </c>
      <c r="E14" s="439">
        <f>COUNTIFS(Squads!$N:$N,"Ampol Retail",Squads!$P:$P,"EGI Retail",Squads!$R:$R,"Filled")</f>
        <v>6.0</v>
      </c>
      <c r="F14" s="439">
        <f>COUNTIFS(Squads!$N:$N,"Ampol Retail",Squads!$P:$P,"EGI Retail",Squads!$R:$R,"Vacant")</f>
        <v>0.0</v>
      </c>
      <c r="G14" s="748">
        <f>COUNTIF(E101:E106,"Hire")</f>
        <v>0.0</v>
      </c>
      <c r="H14" s="458">
        <f>F14-G14</f>
        <v>0.0</v>
      </c>
      <c r="I14" s="697" t="str">
        <f>IFERROR(E14+G14-D14,"-")</f>
        <v>-</v>
      </c>
      <c r="J14" s="429" t="str">
        <f>IF(ISNUMBER(D14),IF(E14&gt;D14,"Filled already over archetype",IF(E14+G14&gt;D14,"Over archetype after hire calls","")),"Outside the archetype model - no target set")</f>
        <v>Outside the archetype model - no target set</v>
      </c>
      <c r="K14" s="669">
        <f>'2.7 Squad Detail'!$M$20</f>
        <v>0.0</v>
      </c>
      <c r="L14" s="669">
        <f>'2.7 Squad Detail'!$N$20</f>
        <v>0.9696638999999999</v>
      </c>
    </row>
    <row r="15">
      <c r="B15" s="431" t="inlineStr">
        <is>
          <t>Total</t>
        </is>
      </c>
      <c r="D15" s="698">
        <f>SUM(D6:D14)</f>
        <v>60.5</v>
      </c>
      <c r="E15" s="447">
        <f>SUM(E6:E14)</f>
        <v>47.0</v>
      </c>
      <c r="F15" s="447">
        <f>SUM(F6:F14)</f>
        <v>28.0</v>
      </c>
      <c r="G15" s="447">
        <f>SUM(G6:G14)</f>
        <v>1.0</v>
      </c>
      <c r="H15" s="447">
        <f>SUM(H6:H14)</f>
        <v>27.0</v>
      </c>
      <c r="I15" s="698">
        <f>IF(COUNT(I6:I14)=0,"-",SUM(I6:I14))</f>
        <v>-28.5</v>
      </c>
      <c r="K15" s="685">
        <f>SUM(K6:K14)</f>
        <v>8.78</v>
      </c>
      <c r="L15" s="685">
        <f>SUM(L6:L14)</f>
        <v>10.799899355</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2.7 Squad Detail, not here.</t>
        </is>
      </c>
    </row>
    <row r="20">
      <c r="B20" s="695" t="inlineStr">
        <is>
          <t>vs archetype: positive = over the allowance, negative = under.</t>
        </is>
      </c>
    </row>
    <row r="21">
      <c r="B21" s="749" t="inlineStr">
        <is>
          <t>Roster - Hire or Hold each vacancy</t>
        </is>
      </c>
      <c r="C21" s="750" t="n"/>
      <c r="D21" s="750" t="n"/>
      <c r="E21" s="750" t="n"/>
      <c r="F21" s="750" t="n"/>
      <c r="G21" s="751" t="n"/>
      <c r="H21" s="751" t="n"/>
      <c r="I21" s="751" t="n"/>
      <c r="J21" s="751" t="n"/>
    </row>
    <row r="22">
      <c r="B22" s="438" t="inlineStr">
        <is>
          <t>Name</t>
        </is>
      </c>
      <c r="C22" s="438" t="inlineStr">
        <is>
          <t>Role</t>
        </is>
      </c>
      <c r="D22" s="438" t="inlineStr">
        <is>
          <t>Status</t>
        </is>
      </c>
      <c r="E22" s="577" t="inlineStr">
        <is>
          <t>Call</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L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569" t="str">
        <f>CONCATENATE('1.2 Customer'!$B$2," GM working copy")</f>
        <v>Customer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row>
    <row r="6">
      <c r="B6" s="429" t="inlineStr">
        <is>
          <t>Ampol App</t>
        </is>
      </c>
      <c r="C6" s="692" t="str">
        <f>IF(OR('2.7 Squad Detail'!$F$23=0,'2.7 Squad Detail'!$F$23=""),'2.7 Squad Detail'!$E$23,'2.7 Squad Detail'!$E$23&amp;" - "&amp;'2.7 Squad Detail'!$F$23)</f>
        <v>Product - L</v>
      </c>
      <c r="D6" s="697">
        <f>'2.7 Squad Detail'!$G$23</f>
        <v>12.0</v>
      </c>
      <c r="E6" s="439">
        <f>COUNTIFS(Squads!$N:$N,"Customer",Squads!$P:$P,"Ampol App",Squads!$R:$R,"Filled")</f>
        <v>13.0</v>
      </c>
      <c r="F6" s="439">
        <f>COUNTIFS(Squads!$N:$N,"Customer",Squads!$P:$P,"Ampol App",Squads!$R:$R,"Vacant")</f>
        <v>1.0</v>
      </c>
      <c r="G6" s="439">
        <f>COUNTIF(E33:E33,"Hire")</f>
        <v>1.0</v>
      </c>
      <c r="H6" s="458">
        <f>F6-G6</f>
        <v>0.0</v>
      </c>
      <c r="I6" s="697">
        <f>IFERROR(E6+G6-D6,"-")</f>
        <v>2.0</v>
      </c>
      <c r="J6" s="429" t="str">
        <f>IF(ISNUMBER(D6),IF(E6&gt;D6,"Filled already over archetype",IF(E6+G6&gt;D6,"Over archetype after hire calls","")),"Outside the archetype model - no target set")</f>
        <v>Filled already over archetype</v>
      </c>
      <c r="K6" s="669">
        <f>'2.7 Squad Detail'!$M$23</f>
        <v>2.8</v>
      </c>
      <c r="L6" s="669">
        <f>'2.7 Squad Detail'!$N$23</f>
        <v>3.12378992</v>
      </c>
    </row>
    <row r="7">
      <c r="B7" s="429" t="inlineStr">
        <is>
          <t>Ampol Web</t>
        </is>
      </c>
      <c r="C7" s="692" t="str">
        <f>IF(OR('2.7 Squad Detail'!$F$24=0,'2.7 Squad Detail'!$F$24=""),'2.7 Squad Detail'!$E$24,'2.7 Squad Detail'!$E$24&amp;" - "&amp;'2.7 Squad Detail'!$F$24)</f>
        <v>Product - M</v>
      </c>
      <c r="D7" s="697">
        <f>'2.7 Squad Detail'!$G$24</f>
        <v>8.5</v>
      </c>
      <c r="E7" s="439">
        <f>COUNTIFS(Squads!$N:$N,"Customer",Squads!$P:$P,"Ampol Web",Squads!$R:$R,"Filled")</f>
        <v>9.0</v>
      </c>
      <c r="F7" s="439">
        <f>COUNTIFS(Squads!$N:$N,"Customer",Squads!$P:$P,"Ampol Web",Squads!$R:$R,"Vacant")</f>
        <v>1.0</v>
      </c>
      <c r="G7" s="439">
        <f>COUNTIF(E42:E42,"Hire")</f>
        <v>1.0</v>
      </c>
      <c r="H7" s="458">
        <f>F7-G7</f>
        <v>0.0</v>
      </c>
      <c r="I7" s="697">
        <f>IFERROR(E7+G7-D7,"-")</f>
        <v>1.5</v>
      </c>
      <c r="J7" s="429" t="str">
        <f>IF(ISNUMBER(D7),IF(E7&gt;D7,"Filled already over archetype",IF(E7+G7&gt;D7,"Over archetype after hire calls","")),"Outside the archetype model - no target set")</f>
        <v>Filled already over archetype</v>
      </c>
      <c r="K7" s="669">
        <f>'2.7 Squad Detail'!$M$24</f>
        <v>1.9</v>
      </c>
      <c r="L7" s="669">
        <f>'2.7 Squad Detail'!$N$24</f>
        <v>2.21964425</v>
      </c>
    </row>
    <row r="8">
      <c r="B8" s="429" t="inlineStr">
        <is>
          <t>Digital Operations</t>
        </is>
      </c>
      <c r="C8" s="692" t="str">
        <f>IF(OR('2.7 Squad Detail'!$F$25=0,'2.7 Squad Detail'!$F$25=""),'2.7 Squad Detail'!$E$25,'2.7 Squad Detail'!$E$25&amp;" - "&amp;'2.7 Squad Detail'!$F$25)</f>
        <v>Operations - M</v>
      </c>
      <c r="D8" s="697">
        <f>'2.7 Squad Detail'!$G$25</f>
        <v>6.0</v>
      </c>
      <c r="E8" s="439">
        <f>COUNTIFS(Squads!$N:$N,"Customer",Squads!$P:$P,"Digital Operations",Squads!$R:$R,"Filled")</f>
        <v>4.0</v>
      </c>
      <c r="F8" s="439">
        <f>COUNTIFS(Squads!$N:$N,"Customer",Squads!$P:$P,"Digital Operations",Squads!$R:$R,"Vacant")</f>
        <v>3.0</v>
      </c>
      <c r="G8" s="439">
        <f>COUNTIF(E52:E54,"Hire")</f>
        <v>0.0</v>
      </c>
      <c r="H8" s="458">
        <f>F8-G8</f>
        <v>3.0</v>
      </c>
      <c r="I8" s="697">
        <f>IFERROR(E8+G8-D8,"-")</f>
        <v>-2.0</v>
      </c>
      <c r="J8" s="429" t="str">
        <f>IF(ISNUMBER(D8),IF(E8&gt;D8,"Filled already over archetype",IF(E8+G8&gt;D8,"Over archetype after hire calls","")),"Outside the archetype model - no target set")</f>
        <v/>
      </c>
      <c r="K8" s="669">
        <f>'2.7 Squad Detail'!$M$25</f>
        <v>1.4</v>
      </c>
      <c r="L8" s="669">
        <f>'2.7 Squad Detail'!$N$25</f>
        <v>1.4808336000000002</v>
      </c>
    </row>
    <row r="9">
      <c r="B9" s="429" t="inlineStr">
        <is>
          <t>Z Energy Apps</t>
        </is>
      </c>
      <c r="C9" s="692" t="str">
        <f>IF(OR('2.7 Squad Detail'!$F$27=0,'2.7 Squad Detail'!$F$27=""),'2.7 Squad Detail'!$E$27,'2.7 Squad Detail'!$E$27&amp;" - "&amp;'2.7 Squad Detail'!$F$27)</f>
        <v>Product - S</v>
      </c>
      <c r="D9" s="697">
        <f>'2.7 Squad Detail'!$G$27</f>
        <v>5.5</v>
      </c>
      <c r="E9" s="439">
        <f>COUNTIFS(Squads!$N:$N,"Customer",Squads!$P:$P,"Z Energy Apps",Squads!$R:$R,"Filled")</f>
        <v>5.0</v>
      </c>
      <c r="F9" s="439">
        <f>COUNTIFS(Squads!$N:$N,"Customer",Squads!$P:$P,"Z Energy Apps",Squads!$R:$R,"Vacant")</f>
        <v>0.0</v>
      </c>
      <c r="G9" s="748">
        <f>COUNTIF(E56:E60,"Hire")</f>
        <v>0.0</v>
      </c>
      <c r="H9" s="458">
        <f>F9-G9</f>
        <v>0.0</v>
      </c>
      <c r="I9" s="697">
        <f>IFERROR(E9+G9-D9,"-")</f>
        <v>-0.5</v>
      </c>
      <c r="J9" s="429" t="str">
        <f>IF(ISNUMBER(D9),IF(E9&gt;D9,"Filled already over archetype",IF(E9+G9&gt;D9,"Over archetype after hire calls","")),"Outside the archetype model - no target set")</f>
        <v/>
      </c>
      <c r="K9" s="669">
        <f>'2.7 Squad Detail'!$M$27</f>
        <v>1.3</v>
      </c>
      <c r="L9" s="669">
        <f>'2.7 Squad Detail'!$N$27</f>
        <v>0.8237571600000001</v>
      </c>
    </row>
    <row r="10">
      <c r="B10" s="429" t="inlineStr">
        <is>
          <t>Z Energy Martech</t>
        </is>
      </c>
      <c r="C10" s="692" t="str">
        <f>IF(OR('2.7 Squad Detail'!$F$28=0,'2.7 Squad Detail'!$F$28=""),'2.7 Squad Detail'!$E$28,'2.7 Squad Detail'!$E$28&amp;" - "&amp;'2.7 Squad Detail'!$F$28)</f>
        <v>Product - L</v>
      </c>
      <c r="D10" s="697">
        <f>'2.7 Squad Detail'!$G$28</f>
        <v>12.0</v>
      </c>
      <c r="E10" s="439">
        <f>COUNTIFS(Squads!$N:$N,"Customer",Squads!$P:$P,"Z Energy Martech",Squads!$R:$R,"Filled")</f>
        <v>13.0</v>
      </c>
      <c r="F10" s="439">
        <f>COUNTIFS(Squads!$N:$N,"Customer",Squads!$P:$P,"Z Energy Martech",Squads!$R:$R,"Vacant")</f>
        <v>3.0</v>
      </c>
      <c r="G10" s="439">
        <f>COUNTIF(E64:E74,"Hire")</f>
        <v>1.0</v>
      </c>
      <c r="H10" s="458">
        <f>F10-G10</f>
        <v>2.0</v>
      </c>
      <c r="I10" s="697">
        <f>IFERROR(E10+G10-D10,"-")</f>
        <v>2.0</v>
      </c>
      <c r="J10" s="429" t="str">
        <f>IF(ISNUMBER(D10),IF(E10&gt;D10,"Filled already over archetype",IF(E10+G10&gt;D10,"Over archetype after hire calls","")),"Outside the archetype model - no target set")</f>
        <v>Filled already over archetype</v>
      </c>
      <c r="K10" s="669">
        <f>'2.7 Squad Detail'!$M$28</f>
        <v>2.8</v>
      </c>
      <c r="L10" s="669">
        <f>'2.7 Squad Detail'!$N$28</f>
        <v>2.5738363740000003</v>
      </c>
    </row>
    <row r="11">
      <c r="B11" s="429" t="inlineStr">
        <is>
          <t>AU CRM &amp; Martech</t>
        </is>
      </c>
      <c r="C11" s="692" t="str">
        <f>IF(OR('2.7 Squad Detail'!$F$31=0,'2.7 Squad Detail'!$F$31=""),'2.7 Squad Detail'!$E$31,'2.7 Squad Detail'!$E$31&amp;" - "&amp;'2.7 Squad Detail'!$F$31)</f>
        <v>Product - M</v>
      </c>
      <c r="D11" s="697">
        <f>'2.7 Squad Detail'!$G$31</f>
        <v>8.5</v>
      </c>
      <c r="E11" s="439">
        <f>COUNTIFS(Squads!$N:$N,"Customer",Squads!$P:$P,"AU CRM &amp; Martech",Squads!$R:$R,"Filled")</f>
        <v>6.0</v>
      </c>
      <c r="F11" s="439">
        <f>COUNTIFS(Squads!$N:$N,"Customer",Squads!$P:$P,"AU CRM &amp; Martech",Squads!$R:$R,"Vacant")</f>
        <v>7.0</v>
      </c>
      <c r="G11" s="439">
        <f>COUNTIF(E79:E91,"Hire")</f>
        <v>0.0</v>
      </c>
      <c r="H11" s="458">
        <f>F11-G11</f>
        <v>7.0</v>
      </c>
      <c r="I11" s="697">
        <f>IFERROR(E11+G11-D11,"-")</f>
        <v>-2.5</v>
      </c>
      <c r="J11" s="429" t="str">
        <f>IF(ISNUMBER(D11),IF(E11&gt;D11,"Filled already over archetype",IF(E11+G11&gt;D11,"Over archetype after hire calls","")),"Outside the archetype model - no target set")</f>
        <v/>
      </c>
      <c r="K11" s="669">
        <f>'2.7 Squad Detail'!$M$31</f>
        <v>1.9</v>
      </c>
      <c r="L11" s="669">
        <f>'2.7 Squad Detail'!$N$31</f>
        <v>1.3212206359999998</v>
      </c>
    </row>
    <row r="12">
      <c r="B12" s="429" t="inlineStr">
        <is>
          <t>EGI Customer</t>
        </is>
      </c>
      <c r="C12" s="692" t="str">
        <f>IF(OR('2.7 Squad Detail'!$F$34=0,'2.7 Squad Detail'!$F$34=""),'2.7 Squad Detail'!$E$34,'2.7 Squad Detail'!$E$34&amp;" - "&amp;'2.7 Squad Detail'!$F$34)</f>
        <v>Strategic Programs</v>
      </c>
      <c r="D12" s="697" t="str">
        <f>'2.7 Squad Detail'!$G$34</f>
        <v>-</v>
      </c>
      <c r="E12" s="439">
        <f>COUNTIFS(Squads!$N:$N,"Customer",Squads!$P:$P,"EGI Customer",Squads!$R:$R,"Filled")</f>
        <v>9.0</v>
      </c>
      <c r="F12" s="439">
        <f>COUNTIFS(Squads!$N:$N,"Customer",Squads!$P:$P,"EGI Customer",Squads!$R:$R,"Vacant")</f>
        <v>0.0</v>
      </c>
      <c r="G12" s="748">
        <f>COUNTIF(E93:E101,"Hire")</f>
        <v>0.0</v>
      </c>
      <c r="H12" s="458">
        <f>F12-G12</f>
        <v>0.0</v>
      </c>
      <c r="I12" s="697" t="str">
        <f>IFERROR(E12+G12-D12,"-")</f>
        <v>-</v>
      </c>
      <c r="J12" s="429" t="str">
        <f>IF(ISNUMBER(D12),IF(E12&gt;D12,"Filled already over archetype",IF(E12+G12&gt;D12,"Over archetype after hire calls","")),"Outside the archetype model - no target set")</f>
        <v>Outside the archetype model - no target set</v>
      </c>
      <c r="K12" s="669">
        <f>'2.7 Squad Detail'!$M$34</f>
        <v>0.0</v>
      </c>
      <c r="L12" s="669">
        <f>'2.7 Squad Detail'!$N$34</f>
        <v>2.25609783</v>
      </c>
    </row>
    <row r="13">
      <c r="B13" s="431" t="inlineStr">
        <is>
          <t>Total</t>
        </is>
      </c>
      <c r="D13" s="698">
        <f>SUM(D6:D12)</f>
        <v>52.5</v>
      </c>
      <c r="E13" s="447">
        <f>SUM(E6:E12)</f>
        <v>59.0</v>
      </c>
      <c r="F13" s="447">
        <f>SUM(F6:F12)</f>
        <v>15.0</v>
      </c>
      <c r="G13" s="447">
        <f>SUM(G6:G12)</f>
        <v>3.0</v>
      </c>
      <c r="H13" s="447">
        <f>SUM(H6:H12)</f>
        <v>12.0</v>
      </c>
      <c r="I13" s="698">
        <f>IF(COUNT(I6:I12)=0,"-",SUM(I6:I12))</f>
        <v>0.5</v>
      </c>
      <c r="K13" s="685">
        <f>SUM(K6:K12)</f>
        <v>12.1</v>
      </c>
      <c r="L13" s="685">
        <f>SUM(L6:L12)</f>
        <v>13.79917977</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2.7 Squad Detail, not here.</t>
        </is>
      </c>
    </row>
    <row r="18">
      <c r="B18" s="695" t="inlineStr">
        <is>
          <t>vs archetype: positive = over the allowance, negative = under.</t>
        </is>
      </c>
    </row>
    <row r="19">
      <c r="B19" s="749" t="inlineStr">
        <is>
          <t>Roster - Hire or Hold each vacancy</t>
        </is>
      </c>
      <c r="C19" s="750" t="n"/>
      <c r="D19" s="750" t="n"/>
      <c r="E19" s="750" t="n"/>
      <c r="F19" s="750" t="n"/>
      <c r="G19" s="751" t="n"/>
      <c r="H19" s="751" t="n"/>
      <c r="I19" s="751" t="n"/>
      <c r="J19" s="751" t="n"/>
    </row>
    <row r="20">
      <c r="B20" s="438" t="inlineStr">
        <is>
          <t>Name</t>
        </is>
      </c>
      <c r="C20" s="438" t="inlineStr">
        <is>
          <t>Role</t>
        </is>
      </c>
      <c r="D20" s="438" t="inlineStr">
        <is>
          <t>Status</t>
        </is>
      </c>
      <c r="E20" s="438" t="inlineStr">
        <is>
          <t>Call</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L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CONCATENATE('1.3 Enterprise Data'!$B$2," GM working copy")</f>
        <v>Enterprise Data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Data Science</t>
        </is>
      </c>
      <c r="C6" s="692" t="str">
        <f>IF(OR('2.7 Squad Detail'!$F$37=0,'2.7 Squad Detail'!$F$37=""),'2.7 Squad Detail'!$E$37,'2.7 Squad Detail'!$E$37&amp;" - "&amp;'2.7 Squad Detail'!$F$37)</f>
        <v>Enterprise Data and Insights - M</v>
      </c>
      <c r="D6" s="697">
        <f>'2.7 Squad Detail'!$G$37</f>
        <v>7.5</v>
      </c>
      <c r="E6" s="439">
        <f>COUNTIFS(Squads!$N:$N,"Enterprise Data",Squads!$P:$P,"Data Science",Squads!$R:$R,"Filled")</f>
        <v>3.0</v>
      </c>
      <c r="F6" s="439">
        <f>COUNTIFS(Squads!$N:$N,"Enterprise Data",Squads!$P:$P,"Data Science",Squads!$R:$R,"Vacant")</f>
        <v>4.0</v>
      </c>
      <c r="G6" s="439">
        <f>COUNTIF(E20:E25,"Hire")</f>
        <v>0.0</v>
      </c>
      <c r="H6" s="458">
        <f>F6-G6</f>
        <v>4.0</v>
      </c>
      <c r="I6" s="697">
        <f>IFERROR(E6+G6-D6,"-")</f>
        <v>-4.5</v>
      </c>
      <c r="J6" s="429" t="str">
        <f>IF(ISNUMBER(D6),IF(E6&gt;D6,"Filled already over archetype",IF(E6+G6&gt;D6,"Over archetype after hire calls","")),"Outside the archetype model - no target set")</f>
        <v/>
      </c>
      <c r="K6" s="669">
        <f>'2.7 Squad Detail'!$M$37</f>
        <v>1.7</v>
      </c>
      <c r="L6" s="669">
        <f>'2.7 Squad Detail'!$N$37</f>
        <v>1.4124205799999998</v>
      </c>
    </row>
    <row r="7">
      <c r="B7" s="429" t="inlineStr">
        <is>
          <t>Operations</t>
        </is>
      </c>
      <c r="C7" s="692" t="str">
        <f>IF(OR('2.7 Squad Detail'!$F$38=0,'2.7 Squad Detail'!$F$38=""),'2.7 Squad Detail'!$E$38,'2.7 Squad Detail'!$E$38&amp;" - "&amp;'2.7 Squad Detail'!$F$38)</f>
        <v>Operations - L</v>
      </c>
      <c r="D7" s="697">
        <f>'2.7 Squad Detail'!$G$38</f>
        <v>10.0</v>
      </c>
      <c r="E7" s="439">
        <f>COUNTIFS(Squads!$N:$N,"Enterprise Data",Squads!$P:$P,"Operations",Squads!$R:$R,"Filled")</f>
        <v>1.0</v>
      </c>
      <c r="F7" s="439">
        <f>COUNTIFS(Squads!$N:$N,"Enterprise Data",Squads!$P:$P,"Operations",Squads!$R:$R,"Vacant")</f>
        <v>1.0</v>
      </c>
      <c r="G7" s="439">
        <f>COUNTIF(E27:E27,"Hire")</f>
        <v>0.0</v>
      </c>
      <c r="H7" s="458">
        <f>F7-G7</f>
        <v>1.0</v>
      </c>
      <c r="I7" s="697">
        <f>IFERROR(E7+G7-D7,"-")</f>
        <v>-9.0</v>
      </c>
      <c r="J7" s="429" t="str">
        <f>IF(ISNUMBER(D7),IF(E7&gt;D7,"Filled already over archetype",IF(E7+G7&gt;D7,"Over archetype after hire calls","")),"Outside the archetype model - no target set")</f>
        <v/>
      </c>
      <c r="K7" s="669">
        <f>'2.7 Squad Detail'!$M$38</f>
        <v>0.9199999999999999</v>
      </c>
      <c r="L7" s="669">
        <f>'2.7 Squad Detail'!$N$38</f>
        <v>0.0</v>
      </c>
    </row>
    <row r="8">
      <c r="B8" s="429" t="inlineStr">
        <is>
          <t>Reporting &amp; Analytics</t>
        </is>
      </c>
      <c r="C8" s="692" t="str">
        <f>IF(OR('2.7 Squad Detail'!$F$39=0,'2.7 Squad Detail'!$F$39=""),'2.7 Squad Detail'!$E$39,'2.7 Squad Detail'!$E$39&amp;" - "&amp;'2.7 Squad Detail'!$F$39)</f>
        <v>Enterprise Data and Insights - S</v>
      </c>
      <c r="D8" s="697">
        <f>'2.7 Squad Detail'!$G$39</f>
        <v>4.0</v>
      </c>
      <c r="E8" s="439">
        <f>COUNTIFS(Squads!$N:$N,"Enterprise Data",Squads!$P:$P,"Reporting &amp; Analytics",Squads!$R:$R,"Filled")</f>
        <v>10.0</v>
      </c>
      <c r="F8" s="439">
        <f>COUNTIFS(Squads!$N:$N,"Enterprise Data",Squads!$P:$P,"Reporting &amp; Analytics",Squads!$R:$R,"Vacant")</f>
        <v>3.0</v>
      </c>
      <c r="G8" s="439">
        <f>COUNTIF(E30:E40,"Hire")</f>
        <v>0.0</v>
      </c>
      <c r="H8" s="458">
        <f>F8-G8</f>
        <v>3.0</v>
      </c>
      <c r="I8" s="697">
        <f>IFERROR(E8+G8-D8,"-")</f>
        <v>6.0</v>
      </c>
      <c r="J8" s="429" t="str">
        <f>IF(ISNUMBER(D8),IF(E8&gt;D8,"Filled already over archetype",IF(E8+G8&gt;D8,"Over archetype after hire calls","")),"Outside the archetype model - no target set")</f>
        <v>Filled already over archetype</v>
      </c>
      <c r="K8" s="669">
        <f>'2.7 Squad Detail'!$M$39</f>
        <v>0.9</v>
      </c>
      <c r="L8" s="669">
        <f>'2.7 Squad Detail'!$N$39</f>
        <v>2.9676649499999996</v>
      </c>
    </row>
    <row r="9">
      <c r="B9" s="429" t="inlineStr">
        <is>
          <t>Data Platforms</t>
        </is>
      </c>
      <c r="C9" s="692" t="str">
        <f>IF(OR('2.7 Squad Detail'!$F$40=0,'2.7 Squad Detail'!$F$40=""),'2.7 Squad Detail'!$E$40,'2.7 Squad Detail'!$E$40&amp;" - "&amp;'2.7 Squad Detail'!$F$40)</f>
        <v>Enterprise Data and Insights - S</v>
      </c>
      <c r="D9" s="697">
        <f>'2.7 Squad Detail'!$G$40</f>
        <v>4.0</v>
      </c>
      <c r="E9" s="439">
        <f>COUNTIFS(Squads!$N:$N,"Enterprise Data",Squads!$P:$P,"Data Platforms",Squads!$R:$R,"Filled")</f>
        <v>2.0</v>
      </c>
      <c r="F9" s="439">
        <f>COUNTIFS(Squads!$N:$N,"Enterprise Data",Squads!$P:$P,"Data Platforms",Squads!$R:$R,"Vacant")</f>
        <v>6.0</v>
      </c>
      <c r="G9" s="439">
        <f>COUNTIF(E45:E53,"Hire")</f>
        <v>0.0</v>
      </c>
      <c r="H9" s="458">
        <f>F9-G9</f>
        <v>6.0</v>
      </c>
      <c r="I9" s="697">
        <f>IFERROR(E9+G9-D9,"-")</f>
        <v>-2.0</v>
      </c>
      <c r="J9" s="429" t="str">
        <f>IF(ISNUMBER(D9),IF(E9&gt;D9,"Filled already over archetype",IF(E9+G9&gt;D9,"Over archetype after hire calls","")),"Outside the archetype model - no target set")</f>
        <v/>
      </c>
      <c r="K9" s="669">
        <f>'2.7 Squad Detail'!$M$40</f>
        <v>0.9</v>
      </c>
      <c r="L9" s="669">
        <f>'2.7 Squad Detail'!$N$40</f>
        <v>1.397530486</v>
      </c>
    </row>
    <row r="10">
      <c r="B10" s="431" t="inlineStr">
        <is>
          <t>Total</t>
        </is>
      </c>
      <c r="D10" s="698">
        <f>SUM(D6:D9)</f>
        <v>25.5</v>
      </c>
      <c r="E10" s="447">
        <f>SUM(E6:E9)</f>
        <v>16.0</v>
      </c>
      <c r="F10" s="447">
        <f>SUM(F6:F9)</f>
        <v>14.0</v>
      </c>
      <c r="G10" s="447">
        <f>SUM(G6:G9)</f>
        <v>0.0</v>
      </c>
      <c r="H10" s="447">
        <f>SUM(H6:H9)</f>
        <v>14.0</v>
      </c>
      <c r="I10" s="698">
        <f>IF(COUNT(I6:I9)=0,"-",SUM(I6:I9))</f>
        <v>-9.5</v>
      </c>
      <c r="K10" s="685">
        <f>SUM(K6:K9)</f>
        <v>4.42</v>
      </c>
      <c r="L10" s="685">
        <f>SUM(L6:L9)</f>
        <v>5.777616016</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49" t="inlineStr">
        <is>
          <t>Roster - Hire or Hold each vacancy</t>
        </is>
      </c>
      <c r="C16" s="750" t="n"/>
      <c r="D16" s="750" t="n"/>
      <c r="E16" s="750" t="n"/>
      <c r="F16" s="750" t="n"/>
      <c r="G16" s="751" t="n"/>
      <c r="H16" s="751" t="n"/>
      <c r="I16" s="751" t="n"/>
      <c r="J16" s="751" t="n"/>
    </row>
    <row r="17">
      <c r="B17" s="438" t="inlineStr">
        <is>
          <t>Name</t>
        </is>
      </c>
      <c r="C17" s="438" t="inlineStr">
        <is>
          <t>Role</t>
        </is>
      </c>
      <c r="D17" s="438" t="inlineStr">
        <is>
          <t>Status</t>
        </is>
      </c>
      <c r="E17" s="438" t="inlineStr">
        <is>
          <t>Call</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L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CONCATENATE('1.4 TDD Group Functions'!$B$2," GM working copy")</f>
        <v>TDD Group Functions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Workplace &amp; Enterprise Tooling</t>
        </is>
      </c>
      <c r="C6" s="692" t="str">
        <f>IF(OR('2.7 Squad Detail'!$F$44=0,'2.7 Squad Detail'!$F$44=""),'2.7 Squad Detail'!$E$44,'2.7 Squad Detail'!$E$44&amp;" - "&amp;'2.7 Squad Detail'!$F$44)</f>
        <v>Configuration / Integration - S</v>
      </c>
      <c r="D6" s="697">
        <f>'2.7 Squad Detail'!$G$44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7">
        <f>IFERROR(E6+G6-D6,"-")</f>
        <v>-2.0</v>
      </c>
      <c r="J6" s="429" t="str">
        <f>IF(ISNUMBER(D6),IF(E6&gt;D6,"Filled already over archetype",IF(E6+G6&gt;D6,"Over archetype after hire calls","")),"Outside the archetype model - no target set")</f>
        <v/>
      </c>
      <c r="K6" s="669">
        <f>'2.7 Squad Detail'!$M$44</f>
        <v>0.4</v>
      </c>
      <c r="L6" s="669">
        <f>'2.7 Squad Detail'!$N$44</f>
        <v>1.1173292219999997</v>
      </c>
    </row>
    <row r="7">
      <c r="B7" s="429" t="inlineStr">
        <is>
          <t>Network &amp; Infrastructure</t>
        </is>
      </c>
      <c r="C7" s="692" t="str">
        <f>IF(OR('2.7 Squad Detail'!$F$45=0,'2.7 Squad Detail'!$F$45=""),'2.7 Squad Detail'!$E$45,'2.7 Squad Detail'!$E$45&amp;" - "&amp;'2.7 Squad Detail'!$F$45)</f>
        <v>Operations - L</v>
      </c>
      <c r="D7" s="697">
        <f>'2.7 Squad Detail'!$G$45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7">
        <f>IFERROR(E7+G7-D7,"-")</f>
        <v>0.0</v>
      </c>
      <c r="J7" s="429" t="str">
        <f>IF(ISNUMBER(D7),IF(E7&gt;D7,"Filled already over archetype",IF(E7+G7&gt;D7,"Over archetype after hire calls","")),"Outside the archetype model - no target set")</f>
        <v/>
      </c>
      <c r="K7" s="669">
        <f>'2.7 Squad Detail'!$M$45</f>
        <v>2.3</v>
      </c>
      <c r="L7" s="669">
        <f>'2.7 Squad Detail'!$N$45</f>
        <v>2.8267209564</v>
      </c>
    </row>
    <row r="8">
      <c r="B8" s="429" t="inlineStr">
        <is>
          <t>DevOps &amp; Engineering</t>
        </is>
      </c>
      <c r="C8" s="692" t="str">
        <f>IF(OR('2.7 Squad Detail'!$F$46=0,'2.7 Squad Detail'!$F$46=""),'2.7 Squad Detail'!$E$46,'2.7 Squad Detail'!$E$46&amp;" - "&amp;'2.7 Squad Detail'!$F$46)</f>
        <v>Engineering - S</v>
      </c>
      <c r="D8" s="697">
        <f>'2.7 Squad Detail'!$G$46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7">
        <f>IFERROR(E8+G8-D8,"-")</f>
        <v>-0.5</v>
      </c>
      <c r="J8" s="429" t="str">
        <f>IF(ISNUMBER(D8),IF(E8&gt;D8,"Filled already over archetype",IF(E8+G8&gt;D8,"Over archetype after hire calls","")),"Outside the archetype model - no target set")</f>
        <v/>
      </c>
      <c r="K8" s="669">
        <f>'2.7 Squad Detail'!$M$46</f>
        <v>0.8</v>
      </c>
      <c r="L8" s="669">
        <f>'2.7 Squad Detail'!$N$46</f>
        <v>1.581591798</v>
      </c>
    </row>
    <row r="9">
      <c r="B9" s="429" t="inlineStr">
        <is>
          <t>Integration</t>
        </is>
      </c>
      <c r="C9" s="692" t="str">
        <f>IF(OR('2.7 Squad Detail'!$F$47=0,'2.7 Squad Detail'!$F$47=""),'2.7 Squad Detail'!$E$47,'2.7 Squad Detail'!$E$47&amp;" - "&amp;'2.7 Squad Detail'!$F$47)</f>
        <v>Configuration / Integration - S</v>
      </c>
      <c r="D9" s="697">
        <f>'2.7 Squad Detail'!$G$47</f>
        <v>6.0</v>
      </c>
      <c r="E9" s="439">
        <f>COUNTIFS(Squads!$N:$N,"TDD Group Functions",Squads!$P:$P,"Integration",Squads!$R:$R,"Filled")</f>
        <v>6.0</v>
      </c>
      <c r="F9" s="439">
        <f>COUNTIFS(Squads!$N:$N,"TDD Group Functions",Squads!$P:$P,"Integration",Squads!$R:$R,"Vacant")</f>
        <v>2.0</v>
      </c>
      <c r="G9" s="439">
        <f>COUNTIF(E49:E53,"Hire")</f>
        <v>0.0</v>
      </c>
      <c r="H9" s="458">
        <f>F9-G9</f>
        <v>2.0</v>
      </c>
      <c r="I9" s="697">
        <f>IFERROR(E9+G9-D9,"-")</f>
        <v>0.0</v>
      </c>
      <c r="J9" s="429" t="str">
        <f>IF(ISNUMBER(D9),IF(E9&gt;D9,"Filled already over archetype",IF(E9+G9&gt;D9,"Over archetype after hire calls","")),"Outside the archetype model - no target set")</f>
        <v/>
      </c>
      <c r="K9" s="669">
        <f>'2.7 Squad Detail'!$M$47</f>
        <v>0.4</v>
      </c>
      <c r="L9" s="669">
        <f>'2.7 Squad Detail'!$N$47</f>
        <v>2.044477746</v>
      </c>
    </row>
    <row r="10">
      <c r="B10" s="429" t="inlineStr">
        <is>
          <t>EGI TDD</t>
        </is>
      </c>
      <c r="C10" s="692" t="str">
        <f>IF(OR('2.7 Squad Detail'!$F$49=0,'2.7 Squad Detail'!$F$49=""),'2.7 Squad Detail'!$E$49,'2.7 Squad Detail'!$E$49&amp;" - "&amp;'2.7 Squad Detail'!$F$49)</f>
        <v>Strategic Programs</v>
      </c>
      <c r="D10" s="697" t="str">
        <f>'2.7 Squad Detail'!$G$49</f>
        <v>-</v>
      </c>
      <c r="E10" s="439">
        <f>COUNTIFS(Squads!$N:$N,"TDD Group Functions",Squads!$P:$P,"EGI TDD",Squads!$R:$R,"Filled")</f>
        <v>5.0</v>
      </c>
      <c r="F10" s="439">
        <f>COUNTIFS(Squads!$N:$N,"TDD Group Functions",Squads!$P:$P,"EGI TDD",Squads!$R:$R,"Vacant")</f>
        <v>0.0</v>
      </c>
      <c r="G10" s="748">
        <f>COUNTIF(E57:E61,"Hire")</f>
        <v>0.0</v>
      </c>
      <c r="H10" s="458">
        <f>F10-G10</f>
        <v>0.0</v>
      </c>
      <c r="I10" s="697" t="str">
        <f>IFERROR(E10+G10-D10,"-")</f>
        <v>-</v>
      </c>
      <c r="J10" s="429" t="str">
        <f>IF(ISNUMBER(D10),IF(E10&gt;D10,"Filled already over archetype",IF(E10+G10&gt;D10,"Over archetype after hire calls","")),"Outside the archetype model - no target set")</f>
        <v>Outside the archetype model - no target set</v>
      </c>
      <c r="K10" s="669">
        <f>'2.7 Squad Detail'!$M$49</f>
        <v>0.0</v>
      </c>
      <c r="L10" s="669">
        <f>'2.7 Squad Detail'!$N$49</f>
        <v>1.32454851</v>
      </c>
    </row>
    <row r="11">
      <c r="B11" s="431" t="inlineStr">
        <is>
          <t>Total</t>
        </is>
      </c>
      <c r="D11" s="698">
        <f>SUM(D6:D10)</f>
        <v>26.5</v>
      </c>
      <c r="E11" s="447">
        <f>SUM(E6:E10)</f>
        <v>29.0</v>
      </c>
      <c r="F11" s="447">
        <f>SUM(F6:F10)</f>
        <v>9.0</v>
      </c>
      <c r="G11" s="447">
        <f>SUM(G6:G10)</f>
        <v>0.0</v>
      </c>
      <c r="H11" s="447">
        <f>SUM(H6:H10)</f>
        <v>9.0</v>
      </c>
      <c r="I11" s="698">
        <f>IF(COUNT(I6:I10)=0,"-",SUM(I6:I10))</f>
        <v>-2.5</v>
      </c>
      <c r="K11" s="685">
        <f>SUM(K6:K10)</f>
        <v>3.9</v>
      </c>
      <c r="L11" s="685">
        <f>SUM(L6:L10)</f>
        <v>8.894668232399999</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2.7 Squad Detail, not here.</t>
        </is>
      </c>
    </row>
    <row r="16">
      <c r="B16" s="695" t="inlineStr">
        <is>
          <t>vs archetype: positive = over the allowance, negative = under.</t>
        </is>
      </c>
    </row>
    <row r="17">
      <c r="B17" s="749" t="inlineStr">
        <is>
          <t>Roster - Hire or Hold each vacancy</t>
        </is>
      </c>
      <c r="C17" s="750" t="n"/>
      <c r="D17" s="750" t="n"/>
      <c r="E17" s="750" t="n"/>
      <c r="F17" s="750" t="n"/>
      <c r="G17" s="751" t="n"/>
      <c r="H17" s="751" t="n"/>
      <c r="I17" s="751" t="n"/>
      <c r="J17" s="751" t="n"/>
    </row>
    <row r="18">
      <c r="B18" s="438" t="inlineStr">
        <is>
          <t>Name</t>
        </is>
      </c>
      <c r="C18" s="438" t="inlineStr">
        <is>
          <t>Role</t>
        </is>
      </c>
      <c r="D18" s="438" t="inlineStr">
        <is>
          <t>Status</t>
        </is>
      </c>
      <c r="E18" s="438" t="inlineStr">
        <is>
          <t>Call</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L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CONCATENATE('1.5 P&amp;C'!$B$2," GM working copy")</f>
        <v>P&amp;C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P&amp;C</t>
        </is>
      </c>
      <c r="C6" s="692" t="str">
        <f>IF(OR('2.7 Squad Detail'!$F$52=0,'2.7 Squad Detail'!$F$52=""),'2.7 Squad Detail'!$E$52,'2.7 Squad Detail'!$E$52&amp;" - "&amp;'2.7 Squad Detail'!$F$52)</f>
        <v>Configuration / Integration - M</v>
      </c>
      <c r="D6" s="697">
        <f>'2.7 Squad Detail'!$G$52</f>
        <v>9.0</v>
      </c>
      <c r="E6" s="439">
        <f>COUNTIFS(Squads!$N:$N,"P&amp;C",Squads!$P:$P,"P&amp;C",Squads!$R:$R,"Filled")</f>
        <v>5.0</v>
      </c>
      <c r="F6" s="439">
        <f>COUNTIFS(Squads!$N:$N,"P&amp;C",Squads!$P:$P,"P&amp;C",Squads!$R:$R,"Vacant")</f>
        <v>3.0</v>
      </c>
      <c r="G6" s="439">
        <f>COUNTIF(E19:E24,"Hire")</f>
        <v>0.0</v>
      </c>
      <c r="H6" s="458">
        <f>F6-G6</f>
        <v>3.0</v>
      </c>
      <c r="I6" s="697">
        <f>IFERROR(E6+G6-D6,"-")</f>
        <v>-4.0</v>
      </c>
      <c r="J6" s="429" t="str">
        <f>IF(ISNUMBER(D6),IF(E6&gt;D6,"Filled already over archetype",IF(E6+G6&gt;D6,"Over archetype after hire calls","")),"Outside the archetype model - no target set")</f>
        <v/>
      </c>
      <c r="K6" s="669">
        <f>'2.7 Squad Detail'!$M$52</f>
        <v>1.4</v>
      </c>
      <c r="L6" s="669">
        <f>'2.7 Squad Detail'!$N$52</f>
        <v>1.7655179300000001</v>
      </c>
    </row>
    <row r="7">
      <c r="B7" s="429" t="inlineStr">
        <is>
          <t>P&amp;C - RTA</t>
        </is>
      </c>
      <c r="C7" s="692" t="str">
        <f>IF(OR('2.7 Squad Detail'!$F$53=0,'2.7 Squad Detail'!$F$53=""),'2.7 Squad Detail'!$E$53,'2.7 Squad Detail'!$E$53&amp;" - "&amp;'2.7 Squad Detail'!$F$53)</f>
        <v>Configuration / Integration - S</v>
      </c>
      <c r="D7" s="697">
        <f>'2.7 Squad Detail'!$G$53</f>
        <v>6.0</v>
      </c>
      <c r="E7" s="439">
        <f>COUNTIFS(Squads!$N:$N,"P&amp;C",Squads!$P:$P,"P&amp;C - RTA",Squads!$R:$R,"Filled")</f>
        <v>1.0</v>
      </c>
      <c r="F7" s="439">
        <f>COUNTIFS(Squads!$N:$N,"P&amp;C",Squads!$P:$P,"P&amp;C - RTA",Squads!$R:$R,"Vacant")</f>
        <v>5.0</v>
      </c>
      <c r="G7" s="439">
        <f>COUNTIF(E27:E32,"Hire")</f>
        <v>0.0</v>
      </c>
      <c r="H7" s="458">
        <f>F7-G7</f>
        <v>5.0</v>
      </c>
      <c r="I7" s="697">
        <f>IFERROR(E7+G7-D7,"-")</f>
        <v>-5.0</v>
      </c>
      <c r="J7" s="429" t="str">
        <f>IF(ISNUMBER(D7),IF(E7&gt;D7,"Filled already over archetype",IF(E7+G7&gt;D7,"Over archetype after hire calls","")),"Outside the archetype model - no target set")</f>
        <v/>
      </c>
      <c r="K7" s="669">
        <f>'2.7 Squad Detail'!$M$53</f>
        <v>0.4</v>
      </c>
      <c r="L7" s="669">
        <f>'2.7 Squad Detail'!$N$53</f>
        <v>1.2640881499999999</v>
      </c>
    </row>
    <row r="8">
      <c r="B8" s="429" t="inlineStr">
        <is>
          <t>EGI P&amp;C</t>
        </is>
      </c>
      <c r="C8" s="692" t="str">
        <f>IF(OR('2.7 Squad Detail'!$F$55=0,'2.7 Squad Detail'!$F$55=""),'2.7 Squad Detail'!$E$55,'2.7 Squad Detail'!$E$55&amp;" - "&amp;'2.7 Squad Detail'!$F$55)</f>
        <v>Strategic Programs</v>
      </c>
      <c r="D8" s="697" t="str">
        <f>'2.7 Squad Detail'!$G$55</f>
        <v>-</v>
      </c>
      <c r="E8" s="439">
        <f>COUNTIFS(Squads!$N:$N,"P&amp;C",Squads!$P:$P,"EGI P&amp;C",Squads!$R:$R,"Filled")</f>
        <v>1.0</v>
      </c>
      <c r="F8" s="439">
        <f>COUNTIFS(Squads!$N:$N,"P&amp;C",Squads!$P:$P,"EGI P&amp;C",Squads!$R:$R,"Vacant")</f>
        <v>0.0</v>
      </c>
      <c r="G8" s="748">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c r="K8" s="669">
        <f>'2.7 Squad Detail'!$M$55</f>
        <v>0.0</v>
      </c>
      <c r="L8" s="669">
        <f>'2.7 Squad Detail'!$N$55</f>
        <v>0.238965</v>
      </c>
    </row>
    <row r="9">
      <c r="B9" s="431" t="inlineStr">
        <is>
          <t>Total</t>
        </is>
      </c>
      <c r="D9" s="698">
        <f>SUM(D6:D8)</f>
        <v>15.0</v>
      </c>
      <c r="E9" s="447">
        <f>SUM(E6:E8)</f>
        <v>7.0</v>
      </c>
      <c r="F9" s="447">
        <f>SUM(F6:F8)</f>
        <v>8.0</v>
      </c>
      <c r="G9" s="447">
        <f>SUM(G6:G8)</f>
        <v>0.0</v>
      </c>
      <c r="H9" s="447">
        <f>SUM(H6:H8)</f>
        <v>8.0</v>
      </c>
      <c r="I9" s="698">
        <f>IF(COUNT(I6:I8)=0,"-",SUM(I6:I8))</f>
        <v>-9.0</v>
      </c>
      <c r="K9" s="685">
        <f>SUM(K6:K8)</f>
        <v>1.7999999999999998</v>
      </c>
      <c r="L9" s="685">
        <f>SUM(L6:L8)</f>
        <v>3.2685710799999996</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49" t="inlineStr">
        <is>
          <t>Roster - Hire or Hold each vacancy</t>
        </is>
      </c>
      <c r="C15" s="750" t="n"/>
      <c r="D15" s="750" t="n"/>
      <c r="E15" s="750" t="n"/>
      <c r="F15" s="750" t="n"/>
      <c r="G15" s="751" t="n"/>
      <c r="H15" s="751" t="n"/>
      <c r="I15" s="751" t="n"/>
      <c r="J15" s="751" t="n"/>
    </row>
    <row r="16">
      <c r="B16" s="438" t="inlineStr">
        <is>
          <t>Name</t>
        </is>
      </c>
      <c r="C16" s="438" t="inlineStr">
        <is>
          <t>Role</t>
        </is>
      </c>
      <c r="D16" s="438" t="inlineStr">
        <is>
          <t>Status</t>
        </is>
      </c>
      <c r="E16" s="438" t="inlineStr">
        <is>
          <t>Call</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L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CONCATENATE('1.6 Finance'!$B$2," GM working copy")</f>
        <v>Finance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AU Finance</t>
        </is>
      </c>
      <c r="C6" s="692" t="str">
        <f>IF(OR('2.7 Squad Detail'!$F$58=0,'2.7 Squad Detail'!$F$58=""),'2.7 Squad Detail'!$E$58,'2.7 Squad Detail'!$E$58&amp;" - "&amp;'2.7 Squad Detail'!$F$58)</f>
        <v>Configuration / Integration - L</v>
      </c>
      <c r="D6" s="697">
        <f>'2.7 Squad Detail'!$G$58</f>
        <v>14.0</v>
      </c>
      <c r="E6" s="439">
        <f>COUNTIFS(Squads!$N:$N,"Finance",Squads!$P:$P,"AU Finance",Squads!$R:$R,"Filled")</f>
        <v>2.0</v>
      </c>
      <c r="F6" s="439">
        <f>COUNTIFS(Squads!$N:$N,"Finance",Squads!$P:$P,"AU Finance",Squads!$R:$R,"Vacant")</f>
        <v>7.0</v>
      </c>
      <c r="G6" s="439">
        <f>COUNTIF(E18:E26,"Hire")</f>
        <v>0.0</v>
      </c>
      <c r="H6" s="458">
        <f>F6-G6</f>
        <v>7.0</v>
      </c>
      <c r="I6" s="697">
        <f>IFERROR(E6+G6-D6,"-")</f>
        <v>-12.0</v>
      </c>
      <c r="J6" s="429" t="str">
        <f>IF(ISNUMBER(D6),IF(E6&gt;D6,"Filled already over archetype",IF(E6+G6&gt;D6,"Over archetype after hire calls","")),"Outside the archetype model - no target set")</f>
        <v/>
      </c>
      <c r="K6" s="669">
        <f>'2.7 Squad Detail'!$M$58</f>
        <v>2.1</v>
      </c>
      <c r="L6" s="669">
        <f>'2.7 Squad Detail'!$N$58</f>
        <v>2.01898557</v>
      </c>
    </row>
    <row r="7">
      <c r="B7" s="429" t="inlineStr">
        <is>
          <t>NZ Finance</t>
        </is>
      </c>
      <c r="C7" s="692" t="str">
        <f>IF(OR('2.7 Squad Detail'!$F$59=0,'2.7 Squad Detail'!$F$59=""),'2.7 Squad Detail'!$E$59,'2.7 Squad Detail'!$E$59&amp;" - "&amp;'2.7 Squad Detail'!$F$59)</f>
        <v>Configuration / Integration - S</v>
      </c>
      <c r="D7" s="697">
        <f>'2.7 Squad Detail'!$G$59</f>
        <v>6.0</v>
      </c>
      <c r="E7" s="439">
        <f>COUNTIFS(Squads!$N:$N,"Finance",Squads!$P:$P,"NZ Finance",Squads!$R:$R,"Filled")</f>
        <v>4.0</v>
      </c>
      <c r="F7" s="439">
        <f>COUNTIFS(Squads!$N:$N,"Finance",Squads!$P:$P,"NZ Finance",Squads!$R:$R,"Vacant")</f>
        <v>1.0</v>
      </c>
      <c r="G7" s="439">
        <f>COUNTIF(E32:E32,"Hire")</f>
        <v>0.0</v>
      </c>
      <c r="H7" s="458">
        <f>F7-G7</f>
        <v>1.0</v>
      </c>
      <c r="I7" s="697">
        <f>IFERROR(E7+G7-D7,"-")</f>
        <v>-2.0</v>
      </c>
      <c r="J7" s="429" t="str">
        <f>IF(ISNUMBER(D7),IF(E7&gt;D7,"Filled already over archetype",IF(E7+G7&gt;D7,"Over archetype after hire calls","")),"Outside the archetype model - no target set")</f>
        <v/>
      </c>
      <c r="K7" s="669">
        <f>'2.7 Squad Detail'!$M$59</f>
        <v>0.4</v>
      </c>
      <c r="L7" s="669">
        <f>'2.7 Squad Detail'!$N$59</f>
        <v>0.9051416459999999</v>
      </c>
    </row>
    <row r="8">
      <c r="B8" s="429" t="inlineStr">
        <is>
          <t>EGI Finance</t>
        </is>
      </c>
      <c r="C8" s="692" t="str">
        <f>IF(OR('2.7 Squad Detail'!$F$61=0,'2.7 Squad Detail'!$F$61=""),'2.7 Squad Detail'!$E$61,'2.7 Squad Detail'!$E$61&amp;" - "&amp;'2.7 Squad Detail'!$F$61)</f>
        <v>Strategic Programs</v>
      </c>
      <c r="D8" s="697" t="str">
        <f>'2.7 Squad Detail'!$G$61</f>
        <v>-</v>
      </c>
      <c r="E8" s="439">
        <f>COUNTIFS(Squads!$N:$N,"Finance",Squads!$P:$P,"EGI Finance",Squads!$R:$R,"Filled")</f>
        <v>1.0</v>
      </c>
      <c r="F8" s="439">
        <f>COUNTIFS(Squads!$N:$N,"Finance",Squads!$P:$P,"EGI Finance",Squads!$R:$R,"Vacant")</f>
        <v>0.0</v>
      </c>
      <c r="G8" s="748">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c r="K8" s="669">
        <f>'2.7 Squad Detail'!$M$61</f>
        <v>0.0</v>
      </c>
      <c r="L8" s="669">
        <f>'2.7 Squad Detail'!$N$61</f>
        <v>0.24172844999999998</v>
      </c>
    </row>
    <row r="9">
      <c r="B9" s="431" t="inlineStr">
        <is>
          <t>Total</t>
        </is>
      </c>
      <c r="D9" s="698">
        <f>SUM(D6:D8)</f>
        <v>20.0</v>
      </c>
      <c r="E9" s="447">
        <f>SUM(E6:E8)</f>
        <v>7.0</v>
      </c>
      <c r="F9" s="447">
        <f>SUM(F6:F8)</f>
        <v>8.0</v>
      </c>
      <c r="G9" s="447">
        <f>SUM(G6:G8)</f>
        <v>0.0</v>
      </c>
      <c r="H9" s="447">
        <f>SUM(H6:H8)</f>
        <v>8.0</v>
      </c>
      <c r="I9" s="698">
        <f>IF(COUNT(I6:I8)=0,"-",SUM(I6:I8))</f>
        <v>-14.0</v>
      </c>
      <c r="K9" s="685">
        <f>SUM(K6:K8)</f>
        <v>2.5</v>
      </c>
      <c r="L9" s="685">
        <f>SUM(L6:L8)</f>
        <v>3.1658556659999997</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49" t="inlineStr">
        <is>
          <t>Roster - Hire or Hold each vacancy</t>
        </is>
      </c>
      <c r="C15" s="750" t="n"/>
      <c r="D15" s="750" t="n"/>
      <c r="E15" s="750" t="n"/>
      <c r="F15" s="750" t="n"/>
      <c r="G15" s="751" t="n"/>
      <c r="H15" s="751" t="n"/>
      <c r="I15" s="751" t="n"/>
      <c r="J15" s="751" t="n"/>
    </row>
    <row r="16">
      <c r="B16" s="438" t="inlineStr">
        <is>
          <t>Name</t>
        </is>
      </c>
      <c r="C16" s="438" t="inlineStr">
        <is>
          <t>Role</t>
        </is>
      </c>
      <c r="D16" s="438" t="inlineStr">
        <is>
          <t>Status</t>
        </is>
      </c>
      <c r="E16" s="438" t="inlineStr">
        <is>
          <t>Call</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L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CONCATENATE('1.7 Infrastructure'!$B$2," GM working copy")</f>
        <v>Infrastructure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Distribution, Sales &amp; Services</t>
        </is>
      </c>
      <c r="C6" s="692" t="str">
        <f>IF(OR('2.7 Squad Detail'!$F$64=0,'2.7 Squad Detail'!$F$64=""),'2.7 Squad Detail'!$E$64,'2.7 Squad Detail'!$E$64&amp;" - "&amp;'2.7 Squad Detail'!$F$64)</f>
        <v>Configuration / Integration - M</v>
      </c>
      <c r="D6" s="697">
        <f>'2.7 Squad Detail'!$G$64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7">
        <f>IFERROR(E6+G6-D6,"-")</f>
        <v>-3.0</v>
      </c>
      <c r="J6" s="429" t="str">
        <f>IF(ISNUMBER(D6),IF(E6&gt;D6,"Filled already over archetype",IF(E6+G6&gt;D6,"Over archetype after hire calls","")),"Outside the archetype model - no target set")</f>
        <v/>
      </c>
      <c r="K6" s="669">
        <f>'2.7 Squad Detail'!$M$64</f>
        <v>1.4</v>
      </c>
      <c r="L6" s="669">
        <f>'2.7 Squad Detail'!$N$64</f>
        <v>1.9244203999999998</v>
      </c>
    </row>
    <row r="7">
      <c r="B7" s="429" t="inlineStr">
        <is>
          <t>Manufacturing &amp; Group Projects</t>
        </is>
      </c>
      <c r="C7" s="692" t="str">
        <f>IF(OR('2.7 Squad Detail'!$F$66=0,'2.7 Squad Detail'!$F$66=""),'2.7 Squad Detail'!$E$66,'2.7 Squad Detail'!$E$66&amp;" - "&amp;'2.7 Squad Detail'!$F$66)</f>
        <v>Configuration / Integration - M</v>
      </c>
      <c r="D7" s="697">
        <f>'2.7 Squad Detail'!$G$66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7">
        <f>IFERROR(E7+G7-D7,"-")</f>
        <v>-3.0</v>
      </c>
      <c r="J7" s="429" t="str">
        <f>IF(ISNUMBER(D7),IF(E7&gt;D7,"Filled already over archetype",IF(E7+G7&gt;D7,"Over archetype after hire calls","")),"Outside the archetype model - no target set")</f>
        <v/>
      </c>
      <c r="K7" s="669">
        <f>'2.7 Squad Detail'!$M$66</f>
        <v>1.4</v>
      </c>
      <c r="L7" s="669">
        <f>'2.7 Squad Detail'!$N$66</f>
        <v>1.9147733</v>
      </c>
    </row>
    <row r="8">
      <c r="B8" s="429" t="inlineStr">
        <is>
          <t>Technology Support</t>
        </is>
      </c>
      <c r="C8" s="692" t="str">
        <f>IF(OR('2.7 Squad Detail'!$F$67=0,'2.7 Squad Detail'!$F$67=""),'2.7 Squad Detail'!$E$67,'2.7 Squad Detail'!$E$67&amp;" - "&amp;'2.7 Squad Detail'!$F$67)</f>
        <v>Operations - S</v>
      </c>
      <c r="D8" s="697">
        <f>'2.7 Squad Detail'!$G$67</f>
        <v>4.0</v>
      </c>
      <c r="E8" s="439">
        <f>COUNTIFS(Squads!$N:$N,"Infrastructure",Squads!$P:$P,"Technology Support",Squads!$R:$R,"Filled")</f>
        <v>3.0</v>
      </c>
      <c r="F8" s="439">
        <f>COUNTIFS(Squads!$N:$N,"Infrastructure",Squads!$P:$P,"Technology Support",Squads!$R:$R,"Vacant")</f>
        <v>1.0</v>
      </c>
      <c r="G8" s="439">
        <f>COUNTIF(E41:E41,"Hire")</f>
        <v>0.0</v>
      </c>
      <c r="H8" s="458">
        <f>F8-G8</f>
        <v>1.0</v>
      </c>
      <c r="I8" s="697">
        <f>IFERROR(E8+G8-D8,"-")</f>
        <v>-1.0</v>
      </c>
      <c r="J8" s="429" t="str">
        <f>IF(ISNUMBER(D8),IF(E8&gt;D8,"Filled already over archetype",IF(E8+G8&gt;D8,"Over archetype after hire calls","")),"Outside the archetype model - no target set")</f>
        <v/>
      </c>
      <c r="K8" s="669">
        <f>'2.7 Squad Detail'!$M$67</f>
        <v>0.8</v>
      </c>
      <c r="L8" s="669">
        <f>'2.7 Squad Detail'!$N$67</f>
        <v>0.7413352899999999</v>
      </c>
    </row>
    <row r="9">
      <c r="B9" s="429" t="inlineStr">
        <is>
          <t>Data &amp; Insights</t>
        </is>
      </c>
      <c r="C9" s="692" t="str">
        <f>IF(OR('2.7 Squad Detail'!$F$69=0,'2.7 Squad Detail'!$F$69=""),'2.7 Squad Detail'!$E$69,'2.7 Squad Detail'!$E$69&amp;" - "&amp;'2.7 Squad Detail'!$F$69)</f>
        <v>Configuration / Integration - S</v>
      </c>
      <c r="D9" s="697">
        <f>'2.7 Squad Detail'!$G$69</f>
        <v>6.0</v>
      </c>
      <c r="E9" s="439">
        <f>COUNTIFS(Squads!$N:$N,"Infrastructure",Squads!$P:$P,"Data &amp; Insights",Squads!$R:$R,"Filled")</f>
        <v>2.0</v>
      </c>
      <c r="F9" s="439">
        <f>COUNTIFS(Squads!$N:$N,"Infrastructure",Squads!$P:$P,"Data &amp; Insights",Squads!$R:$R,"Vacant")</f>
        <v>5.0</v>
      </c>
      <c r="G9" s="439">
        <f>COUNTIF(E46:E51,"Hire")</f>
        <v>0.0</v>
      </c>
      <c r="H9" s="458">
        <f>F9-G9</f>
        <v>5.0</v>
      </c>
      <c r="I9" s="697">
        <f>IFERROR(E9+G9-D9,"-")</f>
        <v>-4.0</v>
      </c>
      <c r="J9" s="429" t="str">
        <f>IF(ISNUMBER(D9),IF(E9&gt;D9,"Filled already over archetype",IF(E9+G9&gt;D9,"Over archetype after hire calls","")),"Outside the archetype model - no target set")</f>
        <v/>
      </c>
      <c r="K9" s="669">
        <f>'2.7 Squad Detail'!$M$69</f>
        <v>0.4</v>
      </c>
      <c r="L9" s="669">
        <f>'2.7 Squad Detail'!$N$69</f>
        <v>1.51725675</v>
      </c>
    </row>
    <row r="10">
      <c r="B10" s="431" t="inlineStr">
        <is>
          <t>Total</t>
        </is>
      </c>
      <c r="D10" s="698">
        <f>SUM(D6:D9)</f>
        <v>28.0</v>
      </c>
      <c r="E10" s="447">
        <f>SUM(E6:E9)</f>
        <v>17.0</v>
      </c>
      <c r="F10" s="447">
        <f>SUM(F6:F9)</f>
        <v>13.0</v>
      </c>
      <c r="G10" s="447">
        <f>SUM(G6:G9)</f>
        <v>0.0</v>
      </c>
      <c r="H10" s="447">
        <f>SUM(H6:H9)</f>
        <v>13.0</v>
      </c>
      <c r="I10" s="698">
        <f>IF(COUNT(I6:I9)=0,"-",SUM(I6:I9))</f>
        <v>-11.0</v>
      </c>
      <c r="K10" s="685">
        <f>SUM(K6:K9)</f>
        <v>3.9999999999999996</v>
      </c>
      <c r="L10" s="685">
        <f>SUM(L6:L9)</f>
        <v>6.097785739999999</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49" t="inlineStr">
        <is>
          <t>Roster - Hire or Hold each vacancy</t>
        </is>
      </c>
      <c r="C16" s="750" t="n"/>
      <c r="D16" s="750" t="n"/>
      <c r="E16" s="750" t="n"/>
      <c r="F16" s="750" t="n"/>
      <c r="G16" s="751" t="n"/>
      <c r="H16" s="751" t="n"/>
      <c r="I16" s="751" t="n"/>
      <c r="J16" s="751" t="n"/>
    </row>
    <row r="17">
      <c r="B17" s="438" t="inlineStr">
        <is>
          <t>Name</t>
        </is>
      </c>
      <c r="C17" s="438" t="inlineStr">
        <is>
          <t>Role</t>
        </is>
      </c>
      <c r="D17" s="438" t="inlineStr">
        <is>
          <t>Status</t>
        </is>
      </c>
      <c r="E17" s="438" t="inlineStr">
        <is>
          <t>Call</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L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CONCATENATE('1.8 Energy Solutions &amp; B2B'!$B$2," GM working copy")</f>
        <v>Energy Solutions &amp; B2B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Energy</t>
        </is>
      </c>
      <c r="C6" s="692" t="str">
        <f>IF(OR('2.7 Squad Detail'!$F$72=0,'2.7 Squad Detail'!$F$72=""),'2.7 Squad Detail'!$E$72,'2.7 Squad Detail'!$E$72&amp;" - "&amp;'2.7 Squad Detail'!$F$72)</f>
        <v>Engineering - M</v>
      </c>
      <c r="D6" s="697">
        <f>'2.7 Squad Detail'!$G$72</f>
        <v>9.0</v>
      </c>
      <c r="E6" s="439">
        <f>COUNTIFS(Squads!$N:$N,"Energy Solutions &amp; B2B",Squads!$P:$P,"Energy",Squads!$R:$R,"Filled")</f>
        <v>5.0</v>
      </c>
      <c r="F6" s="439">
        <f>COUNTIFS(Squads!$N:$N,"Energy Solutions &amp; B2B",Squads!$P:$P,"Energy",Squads!$R:$R,"Vacant")</f>
        <v>6.0</v>
      </c>
      <c r="G6" s="439">
        <f>COUNTIF(E18:E26,"Hire")</f>
        <v>0.0</v>
      </c>
      <c r="H6" s="458">
        <f>F6-G6</f>
        <v>6.0</v>
      </c>
      <c r="I6" s="697">
        <f>IFERROR(E6+G6-D6,"-")</f>
        <v>-4.0</v>
      </c>
      <c r="J6" s="429" t="str">
        <f>IF(ISNUMBER(D6),IF(E6&gt;D6,"Filled already over archetype",IF(E6+G6&gt;D6,"Over archetype after hire calls","")),"Outside the archetype model - no target set")</f>
        <v/>
      </c>
      <c r="K6" s="669">
        <f>'2.7 Squad Detail'!$M$72</f>
        <v>2.0</v>
      </c>
      <c r="L6" s="669">
        <f>'2.7 Squad Detail'!$N$72</f>
        <v>1.940323966</v>
      </c>
    </row>
    <row r="7">
      <c r="B7" s="429" t="inlineStr">
        <is>
          <t>EVCI</t>
        </is>
      </c>
      <c r="C7" s="692" t="str">
        <f>IF(OR('2.7 Squad Detail'!$F$73=0,'2.7 Squad Detail'!$F$73=""),'2.7 Squad Detail'!$E$73,'2.7 Squad Detail'!$E$73&amp;" - "&amp;'2.7 Squad Detail'!$F$73)</f>
        <v>Engineering - M</v>
      </c>
      <c r="D7" s="697">
        <f>'2.7 Squad Detail'!$G$73</f>
        <v>9.0</v>
      </c>
      <c r="E7" s="439">
        <f>COUNTIFS(Squads!$N:$N,"Energy Solutions &amp; B2B",Squads!$P:$P,"EVCI",Squads!$R:$R,"Filled")</f>
        <v>5.0</v>
      </c>
      <c r="F7" s="439">
        <f>COUNTIFS(Squads!$N:$N,"Energy Solutions &amp; B2B",Squads!$P:$P,"EVCI",Squads!$R:$R,"Vacant")</f>
        <v>1.0</v>
      </c>
      <c r="G7" s="439">
        <f>COUNTIF(E34:E34,"Hire")</f>
        <v>0.0</v>
      </c>
      <c r="H7" s="458">
        <f>F7-G7</f>
        <v>1.0</v>
      </c>
      <c r="I7" s="697">
        <f>IFERROR(E7+G7-D7,"-")</f>
        <v>-4.0</v>
      </c>
      <c r="J7" s="429" t="str">
        <f>IF(ISNUMBER(D7),IF(E7&gt;D7,"Filled already over archetype",IF(E7+G7&gt;D7,"Over archetype after hire calls","")),"Outside the archetype model - no target set")</f>
        <v/>
      </c>
      <c r="K7" s="669">
        <f>'2.7 Squad Detail'!$M$73</f>
        <v>2.0</v>
      </c>
      <c r="L7" s="669">
        <f>'2.7 Squad Detail'!$N$73</f>
        <v>0.9307992919999999</v>
      </c>
    </row>
    <row r="8">
      <c r="B8" s="429" t="inlineStr">
        <is>
          <t>B2B</t>
        </is>
      </c>
      <c r="C8" s="692" t="str">
        <f>IF(OR('2.7 Squad Detail'!$F$75=0,'2.7 Squad Detail'!$F$75=""),'2.7 Squad Detail'!$E$75,'2.7 Squad Detail'!$E$75&amp;" - "&amp;'2.7 Squad Detail'!$F$75)</f>
        <v>Configuration / Integration - L</v>
      </c>
      <c r="D8" s="697">
        <f>'2.7 Squad Detail'!$G$75</f>
        <v>14.0</v>
      </c>
      <c r="E8" s="439">
        <f>COUNTIFS(Squads!$N:$N,"Energy Solutions &amp; B2B",Squads!$P:$P,"B2B",Squads!$R:$R,"Filled")</f>
        <v>13.0</v>
      </c>
      <c r="F8" s="439">
        <f>COUNTIFS(Squads!$N:$N,"Energy Solutions &amp; B2B",Squads!$P:$P,"B2B",Squads!$R:$R,"Vacant")</f>
        <v>3.0</v>
      </c>
      <c r="G8" s="439">
        <f>COUNTIF(E47:E51,"Hire")</f>
        <v>0.0</v>
      </c>
      <c r="H8" s="458">
        <f>F8-G8</f>
        <v>3.0</v>
      </c>
      <c r="I8" s="697">
        <f>IFERROR(E8+G8-D8,"-")</f>
        <v>-1.0</v>
      </c>
      <c r="J8" s="429" t="str">
        <f>IF(ISNUMBER(D8),IF(E8&gt;D8,"Filled already over archetype",IF(E8+G8&gt;D8,"Over archetype after hire calls","")),"Outside the archetype model - no target set")</f>
        <v/>
      </c>
      <c r="K8" s="669">
        <f>'2.7 Squad Detail'!$M$75</f>
        <v>2.1</v>
      </c>
      <c r="L8" s="669">
        <f>'2.7 Squad Detail'!$N$75</f>
        <v>2.79636432</v>
      </c>
    </row>
    <row r="9">
      <c r="B9" s="431" t="inlineStr">
        <is>
          <t>Total</t>
        </is>
      </c>
      <c r="D9" s="698">
        <f>SUM(D6:D8)</f>
        <v>32.0</v>
      </c>
      <c r="E9" s="447">
        <f>SUM(E6:E8)</f>
        <v>23.0</v>
      </c>
      <c r="F9" s="447">
        <f>SUM(F6:F8)</f>
        <v>10.0</v>
      </c>
      <c r="G9" s="447">
        <f>SUM(G6:G8)</f>
        <v>0.0</v>
      </c>
      <c r="H9" s="447">
        <f>SUM(H6:H8)</f>
        <v>10.0</v>
      </c>
      <c r="I9" s="698">
        <f>IF(COUNT(I6:I8)=0,"-",SUM(I6:I8))</f>
        <v>-9.0</v>
      </c>
      <c r="K9" s="685">
        <f>SUM(K6:K8)</f>
        <v>6.1</v>
      </c>
      <c r="L9" s="685">
        <f>SUM(L6:L8)</f>
        <v>5.667487577999999</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49" t="inlineStr">
        <is>
          <t>Roster - Hire or Hold each vacancy</t>
        </is>
      </c>
      <c r="C15" s="750" t="n"/>
      <c r="D15" s="750" t="n"/>
      <c r="E15" s="750" t="n"/>
      <c r="F15" s="750" t="n"/>
      <c r="G15" s="751" t="n"/>
      <c r="H15" s="751" t="n"/>
      <c r="I15" s="751" t="n"/>
      <c r="J15" s="751" t="n"/>
    </row>
    <row r="16">
      <c r="B16" s="438" t="inlineStr">
        <is>
          <t>Name</t>
        </is>
      </c>
      <c r="C16" s="438" t="inlineStr">
        <is>
          <t>Role</t>
        </is>
      </c>
      <c r="D16" s="438" t="inlineStr">
        <is>
          <t>Status</t>
        </is>
      </c>
      <c r="E16" s="438" t="inlineStr">
        <is>
          <t>Call</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7.xml><?xml version="1.0" encoding="utf-8"?>
<worksheet xmlns="http://schemas.openxmlformats.org/spreadsheetml/2006/main">
  <sheetPr>
    <tabColor rgb="00BF8F00"/>
    <outlinePr summaryBelow="1" summaryRight="1"/>
    <pageSetUpPr/>
  </sheetPr>
  <dimension ref="A1:L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CONCATENATE('1.9 Commercial Fuels'!$B$2," GM working copy")</f>
        <v>Commercial Fuels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Trading &amp; Shipping</t>
        </is>
      </c>
      <c r="C6" s="692" t="str">
        <f>IF(OR('2.7 Squad Detail'!$F$78=0,'2.7 Squad Detail'!$F$78=""),'2.7 Squad Detail'!$E$78,'2.7 Squad Detail'!$E$78&amp;" - "&amp;'2.7 Squad Detail'!$F$78)</f>
        <v>Configuration / Integration - M</v>
      </c>
      <c r="D6" s="697">
        <f>'2.7 Squad Detail'!$G$78</f>
        <v>9.0</v>
      </c>
      <c r="E6" s="439">
        <f>COUNTIFS(Squads!$N:$N,"Commercial Fuels",Squads!$P:$P,"Trading &amp; Shipping",Squads!$R:$R,"Filled")</f>
        <v>9.0</v>
      </c>
      <c r="F6" s="439">
        <f>COUNTIFS(Squads!$N:$N,"Commercial Fuels",Squads!$P:$P,"Trading &amp; Shipping",Squads!$R:$R,"Vacant")</f>
        <v>5.0</v>
      </c>
      <c r="G6" s="439">
        <f>COUNTIF(E19:E32,"Hire")</f>
        <v>0.0</v>
      </c>
      <c r="H6" s="458">
        <f>F6-G6</f>
        <v>5.0</v>
      </c>
      <c r="I6" s="697">
        <f>IFERROR(E6+G6-D6,"-")</f>
        <v>0.0</v>
      </c>
      <c r="J6" s="429" t="str">
        <f>IF(ISNUMBER(D6),IF(E6&gt;D6,"Filled already over archetype",IF(E6+G6&gt;D6,"Over archetype after hire calls","")),"Outside the archetype model - no target set")</f>
        <v/>
      </c>
      <c r="K6" s="669">
        <f>'2.7 Squad Detail'!$M$78</f>
        <v>1.4</v>
      </c>
      <c r="L6" s="669">
        <f>'2.7 Squad Detail'!$N$78</f>
        <v>2.6791435617</v>
      </c>
    </row>
    <row r="7">
      <c r="B7" s="429" t="inlineStr">
        <is>
          <t>Trading &amp; Shipping Data</t>
        </is>
      </c>
      <c r="C7" s="692" t="str">
        <f>IF(OR('2.7 Squad Detail'!$F$79=0,'2.7 Squad Detail'!$F$79=""),'2.7 Squad Detail'!$E$79,'2.7 Squad Detail'!$E$79&amp;" - "&amp;'2.7 Squad Detail'!$F$79)</f>
        <v>Enterprise Data and Insights - M</v>
      </c>
      <c r="D7" s="697">
        <f>'2.7 Squad Detail'!$G$79</f>
        <v>7.5</v>
      </c>
      <c r="E7" s="439">
        <f>COUNTIFS(Squads!$N:$N,"Commercial Fuels",Squads!$P:$P,"Trading &amp; Shipping Data",Squads!$R:$R,"Filled")</f>
        <v>7.0</v>
      </c>
      <c r="F7" s="439">
        <f>COUNTIFS(Squads!$N:$N,"Commercial Fuels",Squads!$P:$P,"Trading &amp; Shipping Data",Squads!$R:$R,"Vacant")</f>
        <v>0.0</v>
      </c>
      <c r="G7" s="748">
        <f>COUNTIF(E34:E40,"Hire")</f>
        <v>0.0</v>
      </c>
      <c r="H7" s="458">
        <f>F7-G7</f>
        <v>0.0</v>
      </c>
      <c r="I7" s="697">
        <f>IFERROR(E7+G7-D7,"-")</f>
        <v>-0.5</v>
      </c>
      <c r="J7" s="429" t="str">
        <f>IF(ISNUMBER(D7),IF(E7&gt;D7,"Filled already over archetype",IF(E7+G7&gt;D7,"Over archetype after hire calls","")),"Outside the archetype model - no target set")</f>
        <v/>
      </c>
      <c r="K7" s="669">
        <f>'2.7 Squad Detail'!$M$79</f>
        <v>1.7</v>
      </c>
      <c r="L7" s="669">
        <f>'2.7 Squad Detail'!$N$79</f>
        <v>2.106168849</v>
      </c>
    </row>
    <row r="8">
      <c r="B8" s="429" t="inlineStr">
        <is>
          <t>Supply</t>
        </is>
      </c>
      <c r="C8" s="692" t="str">
        <f>IF(OR('2.7 Squad Detail'!$F$81=0,'2.7 Squad Detail'!$F$81=""),'2.7 Squad Detail'!$E$81,'2.7 Squad Detail'!$E$81&amp;" - "&amp;'2.7 Squad Detail'!$F$81)</f>
        <v>Configuration / Integration - M</v>
      </c>
      <c r="D8" s="697">
        <f>'2.7 Squad Detail'!$G$81</f>
        <v>9.0</v>
      </c>
      <c r="E8" s="439">
        <f>COUNTIFS(Squads!$N:$N,"Commercial Fuels",Squads!$P:$P,"Supply",Squads!$R:$R,"Filled")</f>
        <v>2.0</v>
      </c>
      <c r="F8" s="439">
        <f>COUNTIFS(Squads!$N:$N,"Commercial Fuels",Squads!$P:$P,"Supply",Squads!$R:$R,"Vacant")</f>
        <v>3.0</v>
      </c>
      <c r="G8" s="439">
        <f>COUNTIF(E42:E46,"Hire")</f>
        <v>0.0</v>
      </c>
      <c r="H8" s="458">
        <f>F8-G8</f>
        <v>3.0</v>
      </c>
      <c r="I8" s="697">
        <f>IFERROR(E8+G8-D8,"-")</f>
        <v>-7.0</v>
      </c>
      <c r="J8" s="429" t="str">
        <f>IF(ISNUMBER(D8),IF(E8&gt;D8,"Filled already over archetype",IF(E8+G8&gt;D8,"Over archetype after hire calls","")),"Outside the archetype model - no target set")</f>
        <v/>
      </c>
      <c r="K8" s="669">
        <f>'2.7 Squad Detail'!$M$81</f>
        <v>1.4</v>
      </c>
      <c r="L8" s="669">
        <f>'2.7 Squad Detail'!$N$81</f>
        <v>1.05925575</v>
      </c>
    </row>
    <row r="9">
      <c r="B9" s="429" t="inlineStr">
        <is>
          <t>CTRM</t>
        </is>
      </c>
      <c r="C9" s="692" t="str">
        <f>IF(OR('2.7 Squad Detail'!$F$83=0,'2.7 Squad Detail'!$F$83=""),'2.7 Squad Detail'!$E$83,'2.7 Squad Detail'!$E$83&amp;" - "&amp;'2.7 Squad Detail'!$F$83)</f>
        <v>Strategic Programs</v>
      </c>
      <c r="D9" s="697" t="str">
        <f>'2.7 Squad Detail'!$G$83</f>
        <v>-</v>
      </c>
      <c r="E9" s="439">
        <f>COUNTIFS(Squads!$N:$N,"Commercial Fuels",Squads!$P:$P,"CTRM",Squads!$R:$R,"Filled")</f>
        <v>14.0</v>
      </c>
      <c r="F9" s="439">
        <f>COUNTIFS(Squads!$N:$N,"Commercial Fuels",Squads!$P:$P,"CTRM",Squads!$R:$R,"Vacant")</f>
        <v>0.0</v>
      </c>
      <c r="G9" s="748">
        <f>COUNTIF(E48:E61,"Hire")</f>
        <v>0.0</v>
      </c>
      <c r="H9" s="458">
        <f>F9-G9</f>
        <v>0.0</v>
      </c>
      <c r="I9" s="697" t="str">
        <f>IFERROR(E9+G9-D9,"-")</f>
        <v>-</v>
      </c>
      <c r="J9" s="429" t="str">
        <f>IF(ISNUMBER(D9),IF(E9&gt;D9,"Filled already over archetype",IF(E9+G9&gt;D9,"Over archetype after hire calls","")),"Outside the archetype model - no target set")</f>
        <v>Outside the archetype model - no target set</v>
      </c>
      <c r="K9" s="669">
        <f>'2.7 Squad Detail'!$M$83</f>
        <v>1.4</v>
      </c>
      <c r="L9" s="669">
        <f>'2.7 Squad Detail'!$N$83</f>
        <v>3.2217592319999997</v>
      </c>
    </row>
    <row r="10">
      <c r="B10" s="431" t="inlineStr">
        <is>
          <t>Total</t>
        </is>
      </c>
      <c r="D10" s="698">
        <f>SUM(D6:D9)</f>
        <v>25.5</v>
      </c>
      <c r="E10" s="447">
        <f>SUM(E6:E9)</f>
        <v>32.0</v>
      </c>
      <c r="F10" s="447">
        <f>SUM(F6:F9)</f>
        <v>8.0</v>
      </c>
      <c r="G10" s="447">
        <f>SUM(G6:G9)</f>
        <v>0.0</v>
      </c>
      <c r="H10" s="447">
        <f>SUM(H6:H9)</f>
        <v>8.0</v>
      </c>
      <c r="I10" s="698">
        <f>IF(COUNT(I6:I9)=0,"-",SUM(I6:I9))</f>
        <v>-7.5</v>
      </c>
      <c r="K10" s="685">
        <f>SUM(K6:K9)</f>
        <v>5.9</v>
      </c>
      <c r="L10" s="685">
        <f>SUM(L6:L9)</f>
        <v>9.0663273927</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49" t="inlineStr">
        <is>
          <t>Roster - Hire or Hold each vacancy</t>
        </is>
      </c>
      <c r="C16" s="750" t="n"/>
      <c r="D16" s="750" t="n"/>
      <c r="E16" s="750" t="n"/>
      <c r="F16" s="750" t="n"/>
      <c r="G16" s="751" t="n"/>
      <c r="H16" s="751" t="n"/>
      <c r="I16" s="751" t="n"/>
      <c r="J16" s="751" t="n"/>
    </row>
    <row r="17">
      <c r="B17" s="438" t="inlineStr">
        <is>
          <t>Name</t>
        </is>
      </c>
      <c r="C17" s="438" t="inlineStr">
        <is>
          <t>Role</t>
        </is>
      </c>
      <c r="D17" s="438" t="inlineStr">
        <is>
          <t>Status</t>
        </is>
      </c>
      <c r="E17" s="438" t="inlineStr">
        <is>
          <t>Call</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formula1>
    </dataValidation>
  </dataValidations>
  <pageMargins left="0.75" right="0.75" top="1" bottom="1" header="0.5" footer="0.5"/>
</worksheet>
</file>

<file path=xl/worksheets/sheet38.xml><?xml version="1.0" encoding="utf-8"?>
<worksheet xmlns="http://schemas.openxmlformats.org/spreadsheetml/2006/main">
  <sheetPr>
    <tabColor rgb="00BF8F00"/>
    <outlinePr summaryBelow="1" summaryRight="1"/>
    <pageSetUpPr/>
  </sheetPr>
  <dimension ref="A1:L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CONCATENATE('1.10 Z Retail'!$B$2," GM working copy")</f>
        <v>Z Retail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Z Supply</t>
        </is>
      </c>
      <c r="C6" s="692" t="str">
        <f>IF(OR('2.7 Squad Detail'!$F$86=0,'2.7 Squad Detail'!$F$86=""),'2.7 Squad Detail'!$E$86,'2.7 Squad Detail'!$E$86&amp;" - "&amp;'2.7 Squad Detail'!$F$86)</f>
        <v>Build and Run - M</v>
      </c>
      <c r="D6" s="697">
        <f>'2.7 Squad Detail'!$G$86</f>
        <v>9.0</v>
      </c>
      <c r="E6" s="439">
        <f>COUNTIFS(Squads!$N:$N,"Z Retail",Squads!$P:$P,"Z Supply",Squads!$R:$R,"Filled")</f>
        <v>7.0</v>
      </c>
      <c r="F6" s="439">
        <f>COUNTIFS(Squads!$N:$N,"Z Retail",Squads!$P:$P,"Z Supply",Squads!$R:$R,"Vacant")</f>
        <v>1.0</v>
      </c>
      <c r="G6" s="439">
        <f>COUNTIF(E19:E19,"Hire")</f>
        <v>0.0</v>
      </c>
      <c r="H6" s="458">
        <f>F6-G6</f>
        <v>1.0</v>
      </c>
      <c r="I6" s="697">
        <f>IFERROR(E6+G6-D6,"-")</f>
        <v>-2.0</v>
      </c>
      <c r="J6" s="429" t="str">
        <f>IF(ISNUMBER(D6),IF(E6&gt;D6,"Filled already over archetype",IF(E6+G6&gt;D6,"Over archetype after hire calls","")),"Outside the archetype model - no target set")</f>
        <v/>
      </c>
      <c r="K6" s="669">
        <f>'2.7 Squad Detail'!$M$86</f>
        <v>2.0</v>
      </c>
      <c r="L6" s="669">
        <f>'2.7 Squad Detail'!$N$86</f>
        <v>1.303817738</v>
      </c>
    </row>
    <row r="7">
      <c r="B7" s="429" t="inlineStr">
        <is>
          <t>Site Systems</t>
        </is>
      </c>
      <c r="C7" s="692" t="str">
        <f>IF(OR('2.7 Squad Detail'!$F$88=0,'2.7 Squad Detail'!$F$88=""),'2.7 Squad Detail'!$E$88,'2.7 Squad Detail'!$E$88&amp;" - "&amp;'2.7 Squad Detail'!$F$88)</f>
        <v>Configuration / Integration - M</v>
      </c>
      <c r="D7" s="697">
        <f>'2.7 Squad Detail'!$G$88</f>
        <v>9.0</v>
      </c>
      <c r="E7" s="439">
        <f>COUNTIFS(Squads!$N:$N,"Z Retail",Squads!$P:$P,"Site Systems",Squads!$R:$R,"Filled")</f>
        <v>8.0</v>
      </c>
      <c r="F7" s="439">
        <f>COUNTIFS(Squads!$N:$N,"Z Retail",Squads!$P:$P,"Site Systems",Squads!$R:$R,"Vacant")</f>
        <v>0.0</v>
      </c>
      <c r="G7" s="748">
        <f>COUNTIF(E27:E34,"Hire")</f>
        <v>0.0</v>
      </c>
      <c r="H7" s="458">
        <f>F7-G7</f>
        <v>0.0</v>
      </c>
      <c r="I7" s="697">
        <f>IFERROR(E7+G7-D7,"-")</f>
        <v>-1.0</v>
      </c>
      <c r="J7" s="429" t="str">
        <f>IF(ISNUMBER(D7),IF(E7&gt;D7,"Filled already over archetype",IF(E7+G7&gt;D7,"Over archetype after hire calls","")),"Outside the archetype model - no target set")</f>
        <v/>
      </c>
      <c r="K7" s="669">
        <f>'2.7 Squad Detail'!$M$88</f>
        <v>1.4</v>
      </c>
      <c r="L7" s="669">
        <f>'2.7 Squad Detail'!$N$88</f>
        <v>1.410063476</v>
      </c>
    </row>
    <row r="8">
      <c r="B8" s="429" t="inlineStr">
        <is>
          <t>Z Retail Backend</t>
        </is>
      </c>
      <c r="C8" s="692" t="str">
        <f>IF(OR('2.7 Squad Detail'!$F$89=0,'2.7 Squad Detail'!$F$89=""),'2.7 Squad Detail'!$E$89,'2.7 Squad Detail'!$E$89&amp;" - "&amp;'2.7 Squad Detail'!$F$89)</f>
        <v>Build and Run - M</v>
      </c>
      <c r="D8" s="697">
        <f>'2.7 Squad Detail'!$G$89</f>
        <v>9.0</v>
      </c>
      <c r="E8" s="439">
        <f>COUNTIFS(Squads!$N:$N,"Z Retail",Squads!$P:$P,"Z Retail Backend",Squads!$R:$R,"Filled")</f>
        <v>6.0</v>
      </c>
      <c r="F8" s="439">
        <f>COUNTIFS(Squads!$N:$N,"Z Retail",Squads!$P:$P,"Z Retail Backend",Squads!$R:$R,"Vacant")</f>
        <v>2.0</v>
      </c>
      <c r="G8" s="439">
        <f>COUNTIF(E39:E43,"Hire")</f>
        <v>0.0</v>
      </c>
      <c r="H8" s="458">
        <f>F8-G8</f>
        <v>2.0</v>
      </c>
      <c r="I8" s="697">
        <f>IFERROR(E8+G8-D8,"-")</f>
        <v>-3.0</v>
      </c>
      <c r="J8" s="429" t="str">
        <f>IF(ISNUMBER(D8),IF(E8&gt;D8,"Filled already over archetype",IF(E8+G8&gt;D8,"Over archetype after hire calls","")),"Outside the archetype model - no target set")</f>
        <v/>
      </c>
      <c r="K8" s="669">
        <f>'2.7 Squad Detail'!$M$89</f>
        <v>2.0</v>
      </c>
      <c r="L8" s="669">
        <f>'2.7 Squad Detail'!$N$89</f>
        <v>1.535648828</v>
      </c>
    </row>
    <row r="9">
      <c r="B9" s="431" t="inlineStr">
        <is>
          <t>Total</t>
        </is>
      </c>
      <c r="D9" s="698">
        <f>SUM(D6:D8)</f>
        <v>27.0</v>
      </c>
      <c r="E9" s="447">
        <f>SUM(E6:E8)</f>
        <v>21.0</v>
      </c>
      <c r="F9" s="447">
        <f>SUM(F6:F8)</f>
        <v>3.0</v>
      </c>
      <c r="G9" s="447">
        <f>SUM(G6:G8)</f>
        <v>0.0</v>
      </c>
      <c r="H9" s="447">
        <f>SUM(H6:H8)</f>
        <v>3.0</v>
      </c>
      <c r="I9" s="698">
        <f>IF(COUNT(I6:I8)=0,"-",SUM(I6:I8))</f>
        <v>-6.0</v>
      </c>
      <c r="K9" s="685">
        <f>SUM(K6:K8)</f>
        <v>5.4</v>
      </c>
      <c r="L9" s="685">
        <f>SUM(L6:L8)</f>
        <v>4.249530042</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49" t="inlineStr">
        <is>
          <t>Roster - Hire or Hold each vacancy</t>
        </is>
      </c>
      <c r="C15" s="750" t="n"/>
      <c r="D15" s="750" t="n"/>
      <c r="E15" s="750" t="n"/>
      <c r="F15" s="750" t="n"/>
      <c r="G15" s="751" t="n"/>
      <c r="H15" s="751" t="n"/>
      <c r="I15" s="751" t="n"/>
      <c r="J15" s="751" t="n"/>
    </row>
    <row r="16">
      <c r="B16" s="438" t="inlineStr">
        <is>
          <t>Name</t>
        </is>
      </c>
      <c r="C16" s="438" t="inlineStr">
        <is>
          <t>Role</t>
        </is>
      </c>
      <c r="D16" s="438" t="inlineStr">
        <is>
          <t>Status</t>
        </is>
      </c>
      <c r="E16" s="438" t="inlineStr">
        <is>
          <t>Call</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formula1>
    </dataValidation>
  </dataValidations>
  <pageMargins left="0.75" right="0.75" top="1" bottom="1" header="0.5" footer="0.5"/>
</worksheet>
</file>

<file path=xl/worksheets/sheet39.xml><?xml version="1.0" encoding="utf-8"?>
<worksheet xmlns="http://schemas.openxmlformats.org/spreadsheetml/2006/main">
  <sheetPr>
    <tabColor rgb="00BF8F00"/>
    <outlinePr summaryBelow="1" summaryRight="1"/>
    <pageSetUpPr/>
  </sheetPr>
  <dimension ref="A1:L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s>
  <sheetData>
    <row r="1"/>
    <row r="2" ht="21" customHeight="1" s="506">
      <c r="B2" s="437" t="str">
        <f>CONCATENATE('1.11 TDD Cyber'!$B$2," GM working copy")</f>
        <v>TDD Cyber GM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row>
    <row r="6">
      <c r="B6" s="429" t="inlineStr">
        <is>
          <t>TDD Cyber</t>
        </is>
      </c>
      <c r="C6" s="673" t="str">
        <f>"-"</f>
        <v>-</v>
      </c>
      <c r="D6" s="670" t="str">
        <f>"-"</f>
        <v>-</v>
      </c>
      <c r="E6" s="439">
        <f>COUNTIFS(Squads!$N:$N,"TDD Cyber",Squads!$P:$P,"TDD Cyber",Squads!$R:$R,"Filled")</f>
        <v>40.0</v>
      </c>
      <c r="F6" s="439">
        <f>COUNTIFS(Squads!$N:$N,"TDD Cyber",Squads!$P:$P,"TDD Cyber",Squads!$R:$R,"Vacant")</f>
        <v>8.0</v>
      </c>
      <c r="G6" s="439">
        <f>COUNTIF(E17:E63,"Hire")</f>
        <v>1.0</v>
      </c>
      <c r="H6" s="458">
        <f>F6-G6</f>
        <v>7.0</v>
      </c>
      <c r="I6" s="697" t="str">
        <f>IFERROR(E6+G6-D6,"-")</f>
        <v>-</v>
      </c>
      <c r="J6" s="429" t="str">
        <f>IF(ISNUMBER(D6),IF(E6&gt;D6,"Filled already over archetype",IF(E6+G6&gt;D6,"Over archetype after hire calls","")),"Outside the archetype model - no target set")</f>
        <v>Outside the archetype model - no target set</v>
      </c>
      <c r="K6" s="673" t="str">
        <f>"-"</f>
        <v>-</v>
      </c>
      <c r="L6" s="669">
        <f>'2.3 Cyber Roles'!$F$8</f>
        <v>10.915989044</v>
      </c>
    </row>
    <row r="7">
      <c r="B7" s="431" t="inlineStr">
        <is>
          <t>Total</t>
        </is>
      </c>
      <c r="D7" s="752" t="str">
        <f>"-"</f>
        <v>-</v>
      </c>
      <c r="E7" s="447">
        <f>SUM(E6:E6)</f>
        <v>40.0</v>
      </c>
      <c r="F7" s="447">
        <f>SUM(F6:F6)</f>
        <v>8.0</v>
      </c>
      <c r="G7" s="447">
        <f>SUM(G6:G6)</f>
        <v>1.0</v>
      </c>
      <c r="H7" s="447">
        <f>SUM(H6:H6)</f>
        <v>7.0</v>
      </c>
      <c r="I7" s="698" t="str">
        <f>IF(COUNT(I6:I6)=0,"-",SUM(I6:I6))</f>
        <v>-</v>
      </c>
      <c r="K7" s="685">
        <f>SUM(K6:K6)</f>
        <v>0.0</v>
      </c>
      <c r="L7" s="685">
        <f>SUM(L6:L6)</f>
        <v>10.915989044</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2.7 Squad Detail, not here.</t>
        </is>
      </c>
    </row>
    <row r="12">
      <c r="B12" s="429" t="inlineStr">
        <is>
          <t>Cyber vacancies include risk and security roles - confirm with cyber risk before holding.</t>
        </is>
      </c>
    </row>
    <row r="13">
      <c r="B13" s="695" t="inlineStr">
        <is>
          <t>vs archetype: positive = over the allowance, negative = under.</t>
        </is>
      </c>
    </row>
    <row r="14">
      <c r="B14" s="749" t="inlineStr">
        <is>
          <t>Roster - Hire or Hold each vacancy</t>
        </is>
      </c>
      <c r="C14" s="750" t="n"/>
      <c r="D14" s="750" t="n"/>
      <c r="E14" s="750" t="n"/>
      <c r="F14" s="750" t="n"/>
      <c r="G14" s="751" t="n"/>
      <c r="H14" s="751" t="n"/>
      <c r="I14" s="751" t="n"/>
      <c r="J14" s="751" t="n"/>
    </row>
    <row r="15">
      <c r="B15" s="438" t="inlineStr">
        <is>
          <t>Name</t>
        </is>
      </c>
      <c r="C15" s="438" t="inlineStr">
        <is>
          <t>Role</t>
        </is>
      </c>
      <c r="D15" s="438" t="inlineStr">
        <is>
          <t>Status</t>
        </is>
      </c>
      <c r="E15" s="438" t="inlineStr">
        <is>
          <t>Call</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formula1>
    </dataValidation>
  </dataValidations>
  <pageMargins left="0.75" right="0.75" top="1" bottom="1" header="0.5" footer="0.5"/>
</worksheet>
</file>

<file path=xl/worksheets/sheet40.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53" t="inlineStr">
        <is>
          <t>Business Partnering &amp; Transformation GM working copy</t>
        </is>
      </c>
    </row>
    <row r="3"/>
    <row r="4">
      <c r="B4" s="666" t="inlineStr">
        <is>
          <t>Position</t>
        </is>
      </c>
    </row>
    <row r="5">
      <c r="B5" s="686" t="inlineStr">
        <is>
          <t>Roles</t>
        </is>
      </c>
      <c r="C5" s="687">
        <f>COUNTA(B14:B37)</f>
        <v>24.0</v>
      </c>
      <c r="E5" s="686" t="inlineStr">
        <is>
          <t>Planned spend ($m)</t>
        </is>
      </c>
      <c r="F5" s="669">
        <f>'2.1 BP&amp;T'!$F$8</f>
        <v>6.400561821999999</v>
      </c>
    </row>
    <row r="6">
      <c r="B6" s="686" t="inlineStr">
        <is>
          <t>Filled</t>
        </is>
      </c>
      <c r="C6" s="687">
        <f>COUNTIF(E14:E37,"Filled")+COUNTIF(E14:E37,"Contractor")</f>
        <v>15.0</v>
      </c>
      <c r="E6" s="686" t="inlineStr">
        <is>
          <t>Budget to draw down ($m)</t>
        </is>
      </c>
      <c r="F6" s="669">
        <f>'2.1 BP&amp;T'!$G$8</f>
        <v>5.892</v>
      </c>
    </row>
    <row r="7">
      <c r="B7" s="686" t="inlineStr">
        <is>
          <t>Vacant</t>
        </is>
      </c>
      <c r="C7" s="687">
        <f>COUNTIF(E14:E37,"Vacant")</f>
        <v>9.0</v>
      </c>
      <c r="E7" s="686" t="inlineStr">
        <is>
          <t>Left to fund ($m)</t>
        </is>
      </c>
      <c r="F7" s="669">
        <f>'2.1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row r="12"/>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Sheet2!$B$70</f>
        <v>Briony Scott</v>
      </c>
      <c r="C14" s="692"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2"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2"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2"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2"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2"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2"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2"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2"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2"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2"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2"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2"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2"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2" t="str">
        <f>SUBSTITUTE(SUBSTITUTE(Sheet2!$C$84,"–","-"),"—","-")</f>
        <v>Commercial Director</v>
      </c>
      <c r="D28" s="686" t="str">
        <f>Sheet2!$G$84</f>
        <v>Commercial</v>
      </c>
      <c r="E28" s="673" t="str">
        <f>IF(LOWER(Sheet2!$Q$84)="v","Vacant",IF(LOWER(Sheet2!$Q$84)="pause","Paused",IF(LOWER(Sheet2!$Q$84)="cxc","Contractor","Filled")))</f>
        <v>Vacant</v>
      </c>
      <c r="F28" s="693" t="inlineStr">
        <is>
          <t>Hold</t>
        </is>
      </c>
      <c r="G28" s="694">
        <f>Sheet2!$AA$84</f>
        <v>439499.99999999994</v>
      </c>
    </row>
    <row r="29">
      <c r="B29" s="686" t="str">
        <f>Sheet2!$B$85</f>
        <v>Vacant</v>
      </c>
      <c r="C29" s="692" t="str">
        <f>SUBSTITUTE(SUBSTITUTE(Sheet2!$C$85,"–","-"),"—","-")</f>
        <v>Head of Transformation</v>
      </c>
      <c r="D29" s="686" t="str">
        <f>Sheet2!$G$85</f>
        <v>Transformation</v>
      </c>
      <c r="E29" s="673" t="str">
        <f>IF(LOWER(Sheet2!$Q$85)="v","Vacant",IF(LOWER(Sheet2!$Q$85)="pause","Paused",IF(LOWER(Sheet2!$Q$85)="cxc","Contractor","Filled")))</f>
        <v>Vacant</v>
      </c>
      <c r="F29" s="693" t="inlineStr">
        <is>
          <t>Hold</t>
        </is>
      </c>
      <c r="G29" s="694">
        <f>Sheet2!$AA$85</f>
        <v>367900.0</v>
      </c>
    </row>
    <row r="30">
      <c r="B30" s="686" t="str">
        <f>Sheet2!$B$86</f>
        <v>Vacant</v>
      </c>
      <c r="C30" s="692" t="str">
        <f>SUBSTITUTE(SUBSTITUTE(Sheet2!$C$86,"–","-"),"—","-")</f>
        <v>Delivery Systems Analyst</v>
      </c>
      <c r="D30" s="686" t="str">
        <f>Sheet2!$G$86</f>
        <v>Transformation</v>
      </c>
      <c r="E30" s="673" t="str">
        <f>IF(LOWER(Sheet2!$Q$86)="v","Vacant",IF(LOWER(Sheet2!$Q$86)="pause","Paused",IF(LOWER(Sheet2!$Q$86)="cxc","Contractor","Filled")))</f>
        <v>Vacant</v>
      </c>
      <c r="F30" s="693" t="inlineStr">
        <is>
          <t>Hold</t>
        </is>
      </c>
      <c r="G30" s="694">
        <f>Sheet2!$AA$86</f>
        <v>202853.25</v>
      </c>
    </row>
    <row r="31">
      <c r="B31" s="686" t="str">
        <f>Sheet2!$B$87</f>
        <v>Vacant</v>
      </c>
      <c r="C31" s="692" t="str">
        <f>SUBSTITUTE(SUBSTITUTE(Sheet2!$C$87,"–","-"),"—","-")</f>
        <v>Business Analysis Practice Lead</v>
      </c>
      <c r="D31" s="686" t="str">
        <f>Sheet2!$G$87</f>
        <v>Transformation</v>
      </c>
      <c r="E31" s="673" t="str">
        <f>IF(LOWER(Sheet2!$Q$87)="v","Vacant",IF(LOWER(Sheet2!$Q$87)="pause","Paused",IF(LOWER(Sheet2!$Q$87)="cxc","Contractor","Filled")))</f>
        <v>Vacant</v>
      </c>
      <c r="F31" s="693" t="inlineStr">
        <is>
          <t>Hold</t>
        </is>
      </c>
      <c r="G31" s="694">
        <f>Sheet2!$AA$87</f>
        <v>231689.25</v>
      </c>
    </row>
    <row r="32">
      <c r="B32" s="686" t="str">
        <f>Sheet2!$B$88</f>
        <v>Vacant</v>
      </c>
      <c r="C32" s="692" t="str">
        <f>SUBSTITUTE(SUBSTITUTE(Sheet2!$C$88,"–","-"),"—","-")</f>
        <v>Delivery Assurance Manager</v>
      </c>
      <c r="D32" s="686" t="str">
        <f>Sheet2!$G$88</f>
        <v>Transformation</v>
      </c>
      <c r="E32" s="673" t="str">
        <f>IF(LOWER(Sheet2!$Q$88)="v","Vacant",IF(LOWER(Sheet2!$Q$88)="pause","Paused",IF(LOWER(Sheet2!$Q$88)="cxc","Contractor","Filled")))</f>
        <v>Vacant</v>
      </c>
      <c r="F32" s="693" t="inlineStr">
        <is>
          <t>Hold</t>
        </is>
      </c>
      <c r="G32" s="694">
        <f>Sheet2!$AA$88</f>
        <v>275810.25</v>
      </c>
    </row>
    <row r="33">
      <c r="B33" s="686" t="str">
        <f>Sheet2!$B$89</f>
        <v>Vacant</v>
      </c>
      <c r="C33" s="692" t="str">
        <f>SUBSTITUTE(SUBSTITUTE(Sheet2!$C$89,"–","-"),"—","-")</f>
        <v>Delivery Capacity &amp; Assurance Lead</v>
      </c>
      <c r="D33" s="686" t="str">
        <f>Sheet2!$G$89</f>
        <v>Transformation</v>
      </c>
      <c r="E33" s="673" t="str">
        <f>IF(LOWER(Sheet2!$Q$89)="v","Vacant",IF(LOWER(Sheet2!$Q$89)="pause","Paused",IF(LOWER(Sheet2!$Q$89)="cxc","Contractor","Filled")))</f>
        <v>Vacant</v>
      </c>
      <c r="F33" s="693" t="inlineStr">
        <is>
          <t>Hold</t>
        </is>
      </c>
      <c r="G33" s="694">
        <f>Sheet2!$AA$89</f>
        <v>231689.25</v>
      </c>
    </row>
    <row r="34">
      <c r="B34" s="686" t="str">
        <f>Sheet2!$B$90</f>
        <v>Vacant</v>
      </c>
      <c r="C34" s="692" t="str">
        <f>SUBSTITUTE(SUBSTITUTE(Sheet2!$C$90,"–","-"),"—","-")</f>
        <v>Delivery Excellence Manager</v>
      </c>
      <c r="D34" s="686" t="str">
        <f>Sheet2!$G$90</f>
        <v>Transformation</v>
      </c>
      <c r="E34" s="673" t="str">
        <f>IF(LOWER(Sheet2!$Q$90)="v","Vacant",IF(LOWER(Sheet2!$Q$90)="pause","Paused",IF(LOWER(Sheet2!$Q$90)="cxc","Contractor","Filled")))</f>
        <v>Vacant</v>
      </c>
      <c r="F34" s="693" t="inlineStr">
        <is>
          <t>Hold</t>
        </is>
      </c>
      <c r="G34" s="694">
        <f>Sheet2!$AA$90</f>
        <v>275810.25</v>
      </c>
    </row>
    <row r="35">
      <c r="B35" s="686" t="str">
        <f>Sheet2!$B$91</f>
        <v>Vacant</v>
      </c>
      <c r="C35" s="692" t="str">
        <f>SUBSTITUTE(SUBSTITUTE(Sheet2!$C$91,"–","-"),"—","-")</f>
        <v>Scrum Master</v>
      </c>
      <c r="D35" s="686" t="str">
        <f>Sheet2!$G$91</f>
        <v>Transformation</v>
      </c>
      <c r="E35" s="673" t="str">
        <f>IF(LOWER(Sheet2!$Q$91)="v","Vacant",IF(LOWER(Sheet2!$Q$91)="pause","Paused",IF(LOWER(Sheet2!$Q$91)="cxc","Contractor","Filled")))</f>
        <v>Vacant</v>
      </c>
      <c r="F35" s="693" t="inlineStr">
        <is>
          <t>Hold</t>
        </is>
      </c>
      <c r="G35" s="694">
        <f>Sheet2!$AA$91</f>
        <v>151771.98</v>
      </c>
    </row>
    <row r="36">
      <c r="B36" s="686" t="str">
        <f>Sheet2!$B$92</f>
        <v>Vacant </v>
      </c>
      <c r="C36" s="692" t="str">
        <f>SUBSTITUTE(SUBSTITUTE(Sheet2!$C$92,"–","-"),"—","-")</f>
        <v>Portfolio Analyst</v>
      </c>
      <c r="D36" s="686" t="str">
        <f>Sheet2!$G$92</f>
        <v>Transformation</v>
      </c>
      <c r="E36" s="673" t="str">
        <f>IF(LOWER(Sheet2!$Q$92)="v","Vacant",IF(LOWER(Sheet2!$Q$92)="pause","Paused",IF(LOWER(Sheet2!$Q$92)="cxc","Contractor","Filled")))</f>
        <v>Vacant</v>
      </c>
      <c r="F36" s="693" t="inlineStr">
        <is>
          <t>Hold</t>
        </is>
      </c>
      <c r="G36" s="694">
        <f>Sheet2!$AA$92</f>
        <v>170489.75</v>
      </c>
    </row>
    <row r="37">
      <c r="B37" s="686" t="str">
        <f>Sheet2!$B$93</f>
        <v>Vaughn Scott</v>
      </c>
      <c r="C37" s="692" t="str">
        <f>SUBSTITUTE(SUBSTITUTE(Sheet2!$C$93,"–","-"),"—","-")</f>
        <v>TDD BP - ES</v>
      </c>
      <c r="D37" s="686" t="str">
        <f>Sheet2!$G$93</f>
        <v>TDD Business Partner</v>
      </c>
      <c r="E37" s="673" t="str">
        <f>IF(LOWER(Sheet2!$Q$93)="v","Vacant",IF(LOWER(Sheet2!$Q$93)="pause","Paused",IF(LOWER(Sheet2!$Q$93)="cxc","Contractor","Filled")))</f>
        <v>Filled</v>
      </c>
    </row>
    <row r="38"/>
    <row r="39">
      <c r="B39" s="695" t="inlineStr">
        <is>
          <t>Funding for these roles is on 2.1 BP&amp;T. Roles and costs come from Sheet2.</t>
        </is>
      </c>
    </row>
  </sheetData>
  <dataValidations count="1">
    <dataValidation sqref="F28 F29 F30 F31 F32 F33 F34 F35 F36" showDropDown="0" showInputMessage="0" showErrorMessage="1" allowBlank="0" type="list">
      <formula1>"Hire,Hold"</formula1>
    </dataValidation>
  </dataValidations>
  <pageMargins left="0.75" right="0.75" top="1" bottom="1" header="0.5" footer="0.5"/>
</worksheet>
</file>

<file path=xl/worksheets/sheet41.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53" t="inlineStr">
        <is>
          <t>Strategy, Architecture &amp; Data GM working copy</t>
        </is>
      </c>
    </row>
    <row r="3"/>
    <row r="4">
      <c r="B4" s="666" t="inlineStr">
        <is>
          <t>Position</t>
        </is>
      </c>
    </row>
    <row r="5">
      <c r="B5" s="686" t="inlineStr">
        <is>
          <t>Roles</t>
        </is>
      </c>
      <c r="C5" s="687">
        <f>COUNTA(B14:B42)</f>
        <v>29.0</v>
      </c>
      <c r="E5" s="686" t="inlineStr">
        <is>
          <t>Planned spend ($m)</t>
        </is>
      </c>
      <c r="F5" s="669">
        <f>'2.2 SA&amp;D'!$G$8</f>
        <v>6.553297612</v>
      </c>
    </row>
    <row r="6">
      <c r="B6" s="686" t="inlineStr">
        <is>
          <t>Filled</t>
        </is>
      </c>
      <c r="C6" s="687">
        <f>COUNTIF(E14:E42,"Filled")+COUNTIF(E14:E42,"Contractor")</f>
        <v>14.0</v>
      </c>
      <c r="E6" s="686" t="inlineStr">
        <is>
          <t>Budget to draw down ($m)</t>
        </is>
      </c>
      <c r="F6" s="669">
        <f>'2.2 SA&amp;D'!$H$8</f>
        <v>5.54</v>
      </c>
    </row>
    <row r="7">
      <c r="B7" s="686" t="inlineStr">
        <is>
          <t>Vacant</t>
        </is>
      </c>
      <c r="C7" s="687">
        <f>COUNTIF(E14:E42,"Vacant")</f>
        <v>12.0</v>
      </c>
      <c r="E7" s="686" t="inlineStr">
        <is>
          <t>Left to fund ($m)</t>
        </is>
      </c>
      <c r="F7" s="669">
        <f>'2.2 SA&amp;D'!$I$8</f>
        <v>1.0132976120000001</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row r="12"/>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Sheet2!$B$97</f>
        <v>Craig Ambrose</v>
      </c>
      <c r="C14" s="692"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2"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2"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2"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2"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2"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2"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2"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2"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2"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2"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2" t="str">
        <f>SUBSTITUTE(SUBSTITUTE(Sheet2!$C$117,"–","-"),"—","-")</f>
        <v>Enterprise Architect</v>
      </c>
      <c r="D25" s="686" t="str">
        <f>Sheet2!$G$117</f>
        <v>Architecture</v>
      </c>
      <c r="E25" s="673" t="str">
        <f>IF(LOWER(Sheet2!$Q$117)="v","Vacant",IF(LOWER(Sheet2!$Q$117)="pause","Paused",IF(LOWER(Sheet2!$Q$117)="cxc","Contractor","Filled")))</f>
        <v>Paused</v>
      </c>
      <c r="F25" s="693" t="inlineStr">
        <is>
          <t>Hold</t>
        </is>
      </c>
      <c r="G25" s="694">
        <f>Sheet2!$AA$117</f>
        <v>275810.25</v>
      </c>
    </row>
    <row r="26">
      <c r="B26" s="686" t="str">
        <f>Sheet2!$B$118</f>
        <v>ring fenced</v>
      </c>
      <c r="C26" s="692" t="str">
        <f>SUBSTITUTE(SUBSTITUTE(Sheet2!$C$118,"–","-"),"—","-")</f>
        <v>Domain Architect - Customer &amp; Digital Tech</v>
      </c>
      <c r="D26" s="686" t="str">
        <f>Sheet2!$G$118</f>
        <v>Architecture</v>
      </c>
      <c r="E26" s="673" t="str">
        <f>IF(LOWER(Sheet2!$Q$118)="v","Vacant",IF(LOWER(Sheet2!$Q$118)="pause","Paused",IF(LOWER(Sheet2!$Q$118)="cxc","Contractor","Filled")))</f>
        <v>Vacant</v>
      </c>
      <c r="F26" s="693" t="inlineStr">
        <is>
          <t>Hold</t>
        </is>
      </c>
      <c r="G26" s="694">
        <f>Sheet2!$AA$118</f>
        <v>231689.25</v>
      </c>
    </row>
    <row r="27">
      <c r="B27" s="686" t="str">
        <f>Sheet2!$B$119</f>
        <v>ring fenced</v>
      </c>
      <c r="C27" s="692" t="str">
        <f>SUBSTITUTE(SUBSTITUTE(Sheet2!$C$119,"–","-"),"—","-")</f>
        <v>Domain Architect - Retail &amp; Z</v>
      </c>
      <c r="D27" s="686" t="str">
        <f>Sheet2!$G$119</f>
        <v>Architecture</v>
      </c>
      <c r="E27" s="673" t="str">
        <f>IF(LOWER(Sheet2!$Q$119)="v","Vacant",IF(LOWER(Sheet2!$Q$119)="pause","Paused",IF(LOWER(Sheet2!$Q$119)="cxc","Contractor","Filled")))</f>
        <v>Vacant</v>
      </c>
      <c r="F27" s="693" t="inlineStr">
        <is>
          <t>Hold</t>
        </is>
      </c>
      <c r="G27" s="694">
        <f>Sheet2!$AA$119</f>
        <v>231689.25</v>
      </c>
    </row>
    <row r="28">
      <c r="B28" s="686" t="str">
        <f>Sheet2!$B$120</f>
        <v>ring fenced</v>
      </c>
      <c r="C28" s="692" t="str">
        <f>SUBSTITUTE(SUBSTITUTE(Sheet2!$C$120,"–","-"),"—","-")</f>
        <v>Domain Architect - TDD</v>
      </c>
      <c r="D28" s="686" t="str">
        <f>Sheet2!$G$120</f>
        <v>Architecture</v>
      </c>
      <c r="E28" s="673" t="str">
        <f>IF(LOWER(Sheet2!$Q$120)="v","Vacant",IF(LOWER(Sheet2!$Q$120)="pause","Paused",IF(LOWER(Sheet2!$Q$120)="cxc","Contractor","Filled")))</f>
        <v>Vacant</v>
      </c>
      <c r="F28" s="693" t="inlineStr">
        <is>
          <t>Hold</t>
        </is>
      </c>
      <c r="G28" s="694">
        <f>Sheet2!$AA$120</f>
        <v>231689.25</v>
      </c>
    </row>
    <row r="29">
      <c r="B29" s="686" t="str">
        <f>Sheet2!$B$121</f>
        <v>Roger Blazey</v>
      </c>
      <c r="C29" s="692"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2"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2"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2" t="str">
        <f>SUBSTITUTE(SUBSTITUTE(Sheet2!$C$133,"–","-"),"—","-")</f>
        <v>Business Analyst</v>
      </c>
      <c r="D32" s="686" t="str">
        <f>Sheet2!$G$133</f>
        <v>Delivery, SADA</v>
      </c>
      <c r="E32" s="673" t="str">
        <f>IF(LOWER(Sheet2!$Q$133)="v","Vacant",IF(LOWER(Sheet2!$Q$133)="pause","Paused",IF(LOWER(Sheet2!$Q$133)="cxc","Contractor","Filled")))</f>
        <v>Vacant</v>
      </c>
      <c r="F32" s="693" t="inlineStr">
        <is>
          <t>Hold</t>
        </is>
      </c>
      <c r="G32" s="694">
        <f>Sheet2!$AA$133</f>
        <v>202853.25</v>
      </c>
    </row>
    <row r="33">
      <c r="B33" s="686" t="str">
        <f>Sheet2!$B$134</f>
        <v>Vacant</v>
      </c>
      <c r="C33" s="692" t="str">
        <f>SUBSTITUTE(SUBSTITUTE(Sheet2!$C$134,"–","-"),"—","-")</f>
        <v>Business Analyst</v>
      </c>
      <c r="D33" s="686" t="str">
        <f>Sheet2!$G$134</f>
        <v>Delivery, SADA</v>
      </c>
      <c r="E33" s="673" t="str">
        <f>IF(LOWER(Sheet2!$Q$134)="v","Vacant",IF(LOWER(Sheet2!$Q$134)="pause","Paused",IF(LOWER(Sheet2!$Q$134)="cxc","Contractor","Filled")))</f>
        <v>Paused</v>
      </c>
      <c r="F33" s="693" t="inlineStr">
        <is>
          <t>Hold</t>
        </is>
      </c>
      <c r="G33" s="694">
        <f>Sheet2!$AA$134</f>
        <v>202853.25</v>
      </c>
    </row>
    <row r="34">
      <c r="B34" s="686" t="str">
        <f>Sheet2!$B$141</f>
        <v>Vacant</v>
      </c>
      <c r="C34" s="692" t="str">
        <f>SUBSTITUTE(SUBSTITUTE(Sheet2!$C$141,"–","-"),"—","-")</f>
        <v>Data Governance Lead</v>
      </c>
      <c r="D34" s="686" t="str">
        <f>Sheet2!$G$141</f>
        <v>Group Data</v>
      </c>
      <c r="E34" s="673" t="str">
        <f>IF(LOWER(Sheet2!$Q$141)="v","Vacant",IF(LOWER(Sheet2!$Q$141)="pause","Paused",IF(LOWER(Sheet2!$Q$141)="cxc","Contractor","Filled")))</f>
        <v>Vacant</v>
      </c>
      <c r="F34" s="693" t="inlineStr">
        <is>
          <t>Hold</t>
        </is>
      </c>
      <c r="G34" s="694">
        <f>Sheet2!$AA$141</f>
        <v>389606.10000000003</v>
      </c>
    </row>
    <row r="35">
      <c r="B35" s="686" t="str">
        <f>Sheet2!$B$142</f>
        <v>Vacant</v>
      </c>
      <c r="C35" s="692" t="str">
        <f>SUBSTITUTE(SUBSTITUTE(Sheet2!$C$142,"–","-"),"—","-")</f>
        <v>Head of Architecture</v>
      </c>
      <c r="D35" s="686" t="str">
        <f>Sheet2!$G$142</f>
        <v>Architecture</v>
      </c>
      <c r="E35" s="673" t="str">
        <f>IF(LOWER(Sheet2!$Q$142)="v","Vacant",IF(LOWER(Sheet2!$Q$142)="pause","Paused",IF(LOWER(Sheet2!$Q$142)="cxc","Contractor","Filled")))</f>
        <v>Vacant</v>
      </c>
      <c r="F35" s="693" t="inlineStr">
        <is>
          <t>Hold</t>
        </is>
      </c>
      <c r="G35" s="694">
        <f>Sheet2!$AA$142</f>
        <v>334972.95</v>
      </c>
    </row>
    <row r="36">
      <c r="B36" s="686" t="str">
        <f>Sheet2!$B$143</f>
        <v>Vacant</v>
      </c>
      <c r="C36" s="692"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693" t="inlineStr">
        <is>
          <t>Hold</t>
        </is>
      </c>
      <c r="G36" s="694">
        <f>Sheet2!$AA$143</f>
        <v>333020.25</v>
      </c>
    </row>
    <row r="37">
      <c r="B37" s="686" t="str">
        <f>Sheet2!$B$144</f>
        <v>Vacant</v>
      </c>
      <c r="C37" s="692" t="str">
        <f>SUBSTITUTE(SUBSTITUTE(Sheet2!$C$144,"–","-"),"—","-")</f>
        <v>Senior Communications Advisor</v>
      </c>
      <c r="D37" s="686" t="str">
        <f>Sheet2!$G$144</f>
        <v>na</v>
      </c>
      <c r="E37" s="673" t="str">
        <f>IF(LOWER(Sheet2!$Q$144)="v","Vacant",IF(LOWER(Sheet2!$Q$144)="pause","Paused",IF(LOWER(Sheet2!$Q$144)="cxc","Contractor","Filled")))</f>
        <v>Vacant</v>
      </c>
      <c r="F37" s="693" t="inlineStr">
        <is>
          <t>Hold</t>
        </is>
      </c>
      <c r="G37" s="694">
        <f>Sheet2!$AA$144</f>
        <v>186900.0</v>
      </c>
    </row>
    <row r="38">
      <c r="B38" s="686" t="str">
        <f>Sheet2!$B$145</f>
        <v>Vacant</v>
      </c>
      <c r="C38" s="692" t="str">
        <f>SUBSTITUTE(SUBSTITUTE(Sheet2!$C$145,"–","-"),"—","-")</f>
        <v>Enterprise Data Architect</v>
      </c>
      <c r="D38" s="686" t="str">
        <f>Sheet2!$G$145</f>
        <v>Group Data</v>
      </c>
      <c r="E38" s="673" t="str">
        <f>IF(LOWER(Sheet2!$Q$145)="v","Vacant",IF(LOWER(Sheet2!$Q$145)="pause","Paused",IF(LOWER(Sheet2!$Q$145)="cxc","Contractor","Filled")))</f>
        <v>Paused</v>
      </c>
      <c r="F38" s="693" t="inlineStr">
        <is>
          <t>Hold</t>
        </is>
      </c>
      <c r="G38" s="694">
        <f>Sheet2!$AA$145</f>
        <v>275810.25</v>
      </c>
    </row>
    <row r="39">
      <c r="B39" s="686" t="str">
        <f>Sheet2!$B$146</f>
        <v>Vacant</v>
      </c>
      <c r="C39" s="692" t="str">
        <f>SUBSTITUTE(SUBSTITUTE(Sheet2!$C$146,"–","-"),"—","-")</f>
        <v>AI Capability Lead</v>
      </c>
      <c r="D39" s="686" t="str">
        <f>Sheet2!$G$146</f>
        <v>Technology Strategy &amp; AI Capability</v>
      </c>
      <c r="E39" s="673" t="str">
        <f>IF(LOWER(Sheet2!$Q$146)="v","Vacant",IF(LOWER(Sheet2!$Q$146)="pause","Paused",IF(LOWER(Sheet2!$Q$146)="cxc","Contractor","Filled")))</f>
        <v>Vacant</v>
      </c>
      <c r="F39" s="693" t="inlineStr">
        <is>
          <t>Hold</t>
        </is>
      </c>
      <c r="G39" s="694">
        <f>Sheet2!$AA$146</f>
        <v>275810.25</v>
      </c>
    </row>
    <row r="40">
      <c r="B40" s="686" t="str">
        <f>Sheet2!$B$147</f>
        <v>Vacant</v>
      </c>
      <c r="C40" s="692" t="str">
        <f>SUBSTITUTE(SUBSTITUTE(Sheet2!$C$147,"–","-"),"—","-")</f>
        <v>Enterprise Process Lead</v>
      </c>
      <c r="D40" s="686" t="str">
        <f>Sheet2!$G$147</f>
        <v>Technology Strategy &amp; AI Capability</v>
      </c>
      <c r="E40" s="673" t="str">
        <f>IF(LOWER(Sheet2!$Q$147)="v","Vacant",IF(LOWER(Sheet2!$Q$147)="pause","Paused",IF(LOWER(Sheet2!$Q$147)="cxc","Contractor","Filled")))</f>
        <v>Vacant</v>
      </c>
      <c r="F40" s="693" t="inlineStr">
        <is>
          <t>Hold</t>
        </is>
      </c>
      <c r="G40" s="694">
        <f>Sheet2!$AA$147</f>
        <v>202853.25</v>
      </c>
    </row>
    <row r="41">
      <c r="B41" s="686" t="str">
        <f>Sheet2!$B$148</f>
        <v>Vacant</v>
      </c>
      <c r="C41" s="692" t="str">
        <f>SUBSTITUTE(SUBSTITUTE(Sheet2!$C$148,"–","-"),"—","-")</f>
        <v>EnterpriseProcess Analyst</v>
      </c>
      <c r="D41" s="686" t="str">
        <f>Sheet2!$G$148</f>
        <v>Technology Strategy &amp; AI Capability</v>
      </c>
      <c r="E41" s="673" t="str">
        <f>IF(LOWER(Sheet2!$Q$148)="v","Vacant",IF(LOWER(Sheet2!$Q$148)="pause","Paused",IF(LOWER(Sheet2!$Q$148)="cxc","Contractor","Filled")))</f>
        <v>Vacant</v>
      </c>
      <c r="F41" s="693" t="inlineStr">
        <is>
          <t>Hold</t>
        </is>
      </c>
      <c r="G41" s="694">
        <f>Sheet2!$AA$148</f>
        <v>170489.75</v>
      </c>
    </row>
    <row r="42">
      <c r="B42" s="686" t="str">
        <f>Sheet2!$B$149</f>
        <v>Vacant</v>
      </c>
      <c r="C42" s="692" t="str">
        <f>SUBSTITUTE(SUBSTITUTE(Sheet2!$C$149,"–","-"),"—","-")</f>
        <v>Strategy Analyst</v>
      </c>
      <c r="D42" s="686" t="str">
        <f>Sheet2!$G$149</f>
        <v>Technology Strategy &amp; AI Capability</v>
      </c>
      <c r="E42" s="673" t="str">
        <f>IF(LOWER(Sheet2!$Q$149)="v","Vacant",IF(LOWER(Sheet2!$Q$149)="pause","Paused",IF(LOWER(Sheet2!$Q$149)="cxc","Contractor","Filled")))</f>
        <v>Vacant</v>
      </c>
      <c r="F42" s="693" t="inlineStr">
        <is>
          <t>Hold</t>
        </is>
      </c>
      <c r="G42" s="694">
        <f>Sheet2!$AA$149</f>
        <v>170489.75</v>
      </c>
    </row>
    <row r="43"/>
    <row r="44">
      <c r="B44" s="695" t="inlineStr">
        <is>
          <t>COE roles only - squad-based SA&amp;D roles sit on 4.3 (Group Data portfolio). Funding is on 2.2 SA&amp;D.</t>
        </is>
      </c>
    </row>
  </sheetData>
  <dataValidations count="1">
    <dataValidation sqref="F25 F26 F27 F28 F32 F33 F34 F35 F36 F37 F38 F39 F40 F41 F42" showDropDown="0" showInputMessage="0" showErrorMessage="1" allowBlank="0" type="list">
      <formula1>"Hire,Hold"</formula1>
    </dataValidation>
  </dataValidations>
  <pageMargins left="0.75" right="0.75" top="1" bottom="1" header="0.5" footer="0.5"/>
</worksheet>
</file>

<file path=xl/worksheets/sheet42.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53"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row r="12">
      <c r="B12" s="666" t="inlineStr">
        <is>
          <t>EGI strategic delivery (Sheet2) - contractors, funded from Significant Items</t>
        </is>
      </c>
    </row>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Sheet2!$B$54</f>
        <v>Ahmed Yehya</v>
      </c>
      <c r="C14" s="692"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2"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2"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2"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2"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2"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2"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2"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2"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2"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2"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2"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2"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2"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2"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2"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6" t="inlineStr">
        <is>
          <t>Name</t>
        </is>
      </c>
      <c r="C32" s="696" t="inlineStr">
        <is>
          <t>Role</t>
        </is>
      </c>
      <c r="D32" s="696" t="inlineStr">
        <is>
          <t>Department</t>
        </is>
      </c>
      <c r="E32" s="696" t="inlineStr">
        <is>
          <t>Status</t>
        </is>
      </c>
      <c r="F32" s="696" t="inlineStr">
        <is>
          <t>Call</t>
        </is>
      </c>
      <c r="G32" s="696" t="inlineStr">
        <is>
          <t>Cost if hired ($)</t>
        </is>
      </c>
    </row>
    <row r="33">
      <c r="B33" s="686" t="str">
        <f>IF(Squads!$R$15="Vacant","Vacant",Squads!$B$15)</f>
        <v>Vanessa Allen</v>
      </c>
      <c r="C33" s="692" t="str">
        <f>SUBSTITUTE(SUBSTITUTE(Squads!$C$15,"–","-"),"—","-")</f>
        <v>Delivery Manager</v>
      </c>
      <c r="D33" s="686" t="str">
        <f>Squads!$N$15</f>
        <v>Ampol Retail</v>
      </c>
      <c r="E33" s="673" t="str">
        <f>Squads!$R$15</f>
        <v>Filled</v>
      </c>
    </row>
    <row r="34">
      <c r="B34" s="686" t="str">
        <f>IF(Squads!$R$16="Vacant","Vacant",Squads!$B$16)</f>
        <v>Vaishnavi Viswanathan</v>
      </c>
      <c r="C34" s="692" t="str">
        <f>SUBSTITUTE(SUBSTITUTE(Squads!$C$16,"–","-"),"—","-")</f>
        <v>Technology Manager, Store Platform</v>
      </c>
      <c r="D34" s="686" t="str">
        <f>Squads!$N$16</f>
        <v>Ampol Retail</v>
      </c>
      <c r="E34" s="673" t="str">
        <f>Squads!$R$16</f>
        <v>Filled</v>
      </c>
    </row>
    <row r="35">
      <c r="B35" s="686" t="str">
        <f>IF(Squads!$R$17="Vacant","Vacant",Squads!$B$17)</f>
        <v>Tracy Lee Reaper</v>
      </c>
      <c r="C35" s="692" t="str">
        <f>SUBSTITUTE(SUBSTITUTE(Squads!$C$17,"–","-"),"—","-")</f>
        <v>Technology Manager, Merchandising &amp; WFM</v>
      </c>
      <c r="D35" s="686" t="str">
        <f>Squads!$N$17</f>
        <v>Ampol Retail</v>
      </c>
      <c r="E35" s="673" t="str">
        <f>Squads!$R$17</f>
        <v>Filled</v>
      </c>
    </row>
    <row r="36">
      <c r="B36" s="686" t="str">
        <f>IF(Squads!$R$32="Vacant","Vacant",Squads!$B$32)</f>
        <v>Vacant</v>
      </c>
      <c r="C36" s="692" t="str">
        <f>SUBSTITUTE(SUBSTITUTE(Squads!$C$32,"–","-"),"—","-")</f>
        <v>Delivery Manager</v>
      </c>
      <c r="D36" s="686" t="str">
        <f>Squads!$N$32</f>
        <v>Z Retail</v>
      </c>
      <c r="E36" s="673" t="str">
        <f>Squads!$R$32</f>
        <v>Vacant</v>
      </c>
      <c r="F36" s="693" t="inlineStr">
        <is>
          <t>Hold</t>
        </is>
      </c>
      <c r="G36" s="694">
        <f>SUMIF('Added data'!$C$2:$C$549,Squads!$C$32,'Added data'!$AA$2:$AA$549)/COUNTIF('Added data'!$C$2:$C$549,Squads!$C$32)</f>
        <v>278824.3722222222</v>
      </c>
    </row>
    <row r="37">
      <c r="B37" s="686" t="str">
        <f>IF(Squads!$R$35="Vacant","Vacant",Squads!$B$35)</f>
        <v>Emma Natoli</v>
      </c>
      <c r="C37" s="692" t="str">
        <f>SUBSTITUTE(SUBSTITUTE(Squads!$C$35,"–","-"),"—","-")</f>
        <v>Technology Manager, Engineering</v>
      </c>
      <c r="D37" s="686" t="str">
        <f>Squads!$N$35</f>
        <v>Z Retail</v>
      </c>
      <c r="E37" s="673" t="str">
        <f>Squads!$R$35</f>
        <v>Filled</v>
      </c>
    </row>
    <row r="38">
      <c r="B38" s="686" t="str">
        <f>IF(Squads!$R$57="Vacant","Vacant",Squads!$B$57)</f>
        <v>Callan McLaughlin</v>
      </c>
      <c r="C38" s="692" t="str">
        <f>SUBSTITUTE(SUBSTITUTE(Squads!$C$57,"–","-"),"—","-")</f>
        <v>Technology Manager, Site Systems</v>
      </c>
      <c r="D38" s="686" t="str">
        <f>Squads!$N$57</f>
        <v>Z Retail</v>
      </c>
      <c r="E38" s="673" t="str">
        <f>Squads!$R$57</f>
        <v>Filled</v>
      </c>
    </row>
    <row r="39">
      <c r="B39" s="686" t="str">
        <f>IF(Squads!$R$71="Vacant","Vacant",Squads!$B$71)</f>
        <v>Vedran Jukic</v>
      </c>
      <c r="C39" s="692" t="str">
        <f>SUBSTITUTE(SUBSTITUTE(Squads!$C$71,"–","-"),"—","-")</f>
        <v>Technology Manager, Retail</v>
      </c>
      <c r="D39" s="686" t="str">
        <f>Squads!$N$71</f>
        <v>Ampol Retail</v>
      </c>
      <c r="E39" s="673" t="str">
        <f>Squads!$R$71</f>
        <v>Filled</v>
      </c>
    </row>
    <row r="40">
      <c r="B40" s="686" t="str">
        <f>IF(Squads!$R$97="Vacant","Vacant",Squads!$B$97)</f>
        <v>Madan Murthy</v>
      </c>
      <c r="C40" s="692" t="str">
        <f>SUBSTITUTE(SUBSTITUTE(Squads!$C$97,"–","-"),"—","-")</f>
        <v>Head of Technology, AU Retail</v>
      </c>
      <c r="D40" s="686" t="str">
        <f>Squads!$N$97</f>
        <v>Ampol Retail</v>
      </c>
      <c r="E40" s="673" t="str">
        <f>Squads!$R$97</f>
        <v>Filled</v>
      </c>
    </row>
    <row r="41">
      <c r="B41" s="686" t="str">
        <f>IF(Squads!$R$98="Vacant","Vacant",Squads!$B$98)</f>
        <v>Vacant</v>
      </c>
      <c r="C41" s="692" t="str">
        <f>SUBSTITUTE(SUBSTITUTE(Squads!$C$98,"–","-"),"—","-")</f>
        <v>Head of Technology, Z and Group Retail Platforms</v>
      </c>
      <c r="D41" s="686" t="str">
        <f>Squads!$N$98</f>
        <v>Z Retail</v>
      </c>
      <c r="E41" s="673" t="str">
        <f>Squads!$R$98</f>
        <v>Vacant</v>
      </c>
      <c r="F41" s="693" t="inlineStr">
        <is>
          <t>Hold</t>
        </is>
      </c>
      <c r="G41" s="694">
        <f>SUMIF('Added data'!$C$2:$C$549,Squads!$C$98,'Added data'!$AA$2:$AA$549)/COUNTIF('Added data'!$C$2:$C$549,Squads!$C$98)</f>
        <v>291422.0</v>
      </c>
    </row>
    <row r="42">
      <c r="B42" s="686" t="str">
        <f>IF(Squads!$R$115="Vacant","Vacant",Squads!$B$115)</f>
        <v>Jill Martin</v>
      </c>
      <c r="C42" s="692" t="str">
        <f>SUBSTITUTE(SUBSTITUTE(Squads!$C$115,"–","-"),"—","-")</f>
        <v>Delivery Manager</v>
      </c>
      <c r="D42" s="686" t="str">
        <f>Squads!$N$115</f>
        <v>Customer</v>
      </c>
      <c r="E42" s="673" t="str">
        <f>Squads!$R$115</f>
        <v>Filled</v>
      </c>
    </row>
    <row r="43">
      <c r="B43" s="686" t="str">
        <f>IF(Squads!$R$123="Vacant","Vacant",Squads!$B$123)</f>
        <v>Vacant</v>
      </c>
      <c r="C43" s="692" t="str">
        <f>SUBSTITUTE(SUBSTITUTE(Squads!$C$123,"–","-"),"—","-")</f>
        <v>Program Manager</v>
      </c>
      <c r="D43" s="686" t="str">
        <f>Squads!$N$123</f>
        <v>Customer</v>
      </c>
      <c r="E43" s="673" t="str">
        <f>Squads!$R$123</f>
        <v>Vacant</v>
      </c>
      <c r="F43" s="693" t="inlineStr">
        <is>
          <t>Hold</t>
        </is>
      </c>
      <c r="G43" s="694">
        <f>SUMIF('Added data'!$C$2:$C$549,Squads!$C$123,'Added data'!$AA$2:$AA$549)/COUNTIF('Added data'!$C$2:$C$549,Squads!$C$123)</f>
        <v>275810.25</v>
      </c>
    </row>
    <row r="44">
      <c r="B44" s="686" t="str">
        <f>IF(Squads!$R$124="Vacant","Vacant",Squads!$B$124)</f>
        <v>Shona Paul</v>
      </c>
      <c r="C44" s="692" t="str">
        <f>SUBSTITUTE(SUBSTITUTE(Squads!$C$124,"–","-"),"—","-")</f>
        <v>Head of Technology - Digital</v>
      </c>
      <c r="D44" s="686" t="str">
        <f>Squads!$N$124</f>
        <v>Customer</v>
      </c>
      <c r="E44" s="673" t="str">
        <f>Squads!$R$124</f>
        <v>Filled</v>
      </c>
    </row>
    <row r="45">
      <c r="B45" s="686" t="str">
        <f>IF(Squads!$R$142="Vacant","Vacant",Squads!$B$142)</f>
        <v>Byron Thornhill</v>
      </c>
      <c r="C45" s="692" t="str">
        <f>SUBSTITUTE(SUBSTITUTE(Squads!$C$142,"–","-"),"—","-")</f>
        <v>Design Manager</v>
      </c>
      <c r="D45" s="686" t="str">
        <f>Squads!$N$142</f>
        <v>Customer</v>
      </c>
      <c r="E45" s="673" t="str">
        <f>Squads!$R$142</f>
        <v>Filled</v>
      </c>
    </row>
    <row r="46">
      <c r="B46" s="686" t="str">
        <f>IF(Squads!$R$143="Vacant","Vacant",Squads!$B$143)</f>
        <v>Adriel Jeyanandhan</v>
      </c>
      <c r="C46" s="692" t="str">
        <f>SUBSTITUTE(SUBSTITUTE(Squads!$C$143,"–","-"),"—","-")</f>
        <v>Delivery Manager</v>
      </c>
      <c r="D46" s="686" t="str">
        <f>Squads!$N$143</f>
        <v>Customer</v>
      </c>
      <c r="E46" s="673" t="str">
        <f>Squads!$R$143</f>
        <v>Filled</v>
      </c>
    </row>
    <row r="47">
      <c r="B47" s="686" t="str">
        <f>IF(Squads!$R$152="Vacant","Vacant",Squads!$B$152)</f>
        <v>Zoe Udy</v>
      </c>
      <c r="C47" s="692" t="str">
        <f>SUBSTITUTE(SUBSTITUTE(Squads!$C$152,"–","-"),"—","-")</f>
        <v>Technology Manager - Data &amp; Engineering</v>
      </c>
      <c r="D47" s="686" t="str">
        <f>Squads!$N$152</f>
        <v>Customer</v>
      </c>
      <c r="E47" s="673" t="str">
        <f>Squads!$R$152</f>
        <v>Filled</v>
      </c>
    </row>
    <row r="48">
      <c r="B48" s="686" t="str">
        <f>IF(Squads!$R$154="Vacant","Vacant",Squads!$B$154)</f>
        <v>Mitesh Shah</v>
      </c>
      <c r="C48" s="692" t="str">
        <f>SUBSTITUTE(SUBSTITUTE(Squads!$C$154,"–","-"),"—","-")</f>
        <v>Technology Manager - Digital</v>
      </c>
      <c r="D48" s="686" t="str">
        <f>Squads!$N$154</f>
        <v>Customer</v>
      </c>
      <c r="E48" s="673" t="str">
        <f>Squads!$R$154</f>
        <v>Filled</v>
      </c>
    </row>
    <row r="49">
      <c r="B49" s="686" t="str">
        <f>IF(Squads!$R$155="Vacant","Vacant",Squads!$B$155)</f>
        <v>Kris Hamilton</v>
      </c>
      <c r="C49" s="692" t="str">
        <f>SUBSTITUTE(SUBSTITUTE(Squads!$C$155,"–","-"),"—","-")</f>
        <v>Technology Manager - Loyalty &amp; Martech</v>
      </c>
      <c r="D49" s="686" t="str">
        <f>Squads!$N$155</f>
        <v>Customer</v>
      </c>
      <c r="E49" s="673" t="str">
        <f>Squads!$R$155</f>
        <v>Filled</v>
      </c>
    </row>
    <row r="50">
      <c r="B50" s="686" t="str">
        <f>IF(Squads!$R$160="Vacant","Vacant",Squads!$B$160)</f>
        <v>Vacant</v>
      </c>
      <c r="C50" s="692" t="str">
        <f>SUBSTITUTE(SUBSTITUTE(Squads!$C$160,"–","-"),"—","-")</f>
        <v>AI Enablement Lead</v>
      </c>
      <c r="D50" s="686" t="str">
        <f>Squads!$N$160</f>
        <v>Customer</v>
      </c>
      <c r="E50" s="673" t="str">
        <f>Squads!$R$160</f>
        <v>Vacant</v>
      </c>
      <c r="F50" s="693" t="inlineStr">
        <is>
          <t>Hold</t>
        </is>
      </c>
      <c r="G50" s="694">
        <f>SUMIF('Added data'!$C$2:$C$549,Squads!$C$160,'Added data'!$AA$2:$AA$549)/COUNTIF('Added data'!$C$2:$C$549,Squads!$C$160)</f>
        <v>275810.25</v>
      </c>
    </row>
    <row r="51">
      <c r="B51" s="686" t="str">
        <f>IF(Squads!$R$175="Vacant","Vacant",Squads!$B$175)</f>
        <v>Christian Lazano</v>
      </c>
      <c r="C51" s="692" t="str">
        <f>SUBSTITUTE(SUBSTITUTE(Squads!$C$175,"–","-"),"—","-")</f>
        <v>Business Analyst</v>
      </c>
      <c r="D51" s="686" t="str">
        <f>Squads!$N$175</f>
        <v>Customer</v>
      </c>
      <c r="E51" s="673" t="str">
        <f>Squads!$R$175</f>
        <v>Filled</v>
      </c>
    </row>
    <row r="52">
      <c r="B52" s="686" t="str">
        <f>IF(Squads!$R$176="Vacant","Vacant",Squads!$B$176)</f>
        <v>Abhilash Reddy</v>
      </c>
      <c r="C52" s="692" t="str">
        <f>SUBSTITUTE(SUBSTITUTE(Squads!$C$176,"–","-"),"—","-")</f>
        <v>Project Manager</v>
      </c>
      <c r="D52" s="686" t="str">
        <f>Squads!$N$176</f>
        <v>Customer</v>
      </c>
      <c r="E52" s="673" t="str">
        <f>Squads!$R$176</f>
        <v>Filled</v>
      </c>
    </row>
    <row r="53">
      <c r="B53" s="686" t="str">
        <f>IF(Squads!$R$188="Vacant","Vacant",Squads!$B$188)</f>
        <v>Vacant</v>
      </c>
      <c r="C53" s="692" t="str">
        <f>SUBSTITUTE(SUBSTITUTE(Squads!$C$188,"–","-"),"—","-")</f>
        <v>Technology Manager, Engineering</v>
      </c>
      <c r="D53" s="686" t="str">
        <f>Squads!$N$188</f>
        <v>Customer</v>
      </c>
      <c r="E53" s="673" t="str">
        <f>Squads!$R$188</f>
        <v>Vacant</v>
      </c>
      <c r="F53" s="693" t="inlineStr">
        <is>
          <t>Hold</t>
        </is>
      </c>
      <c r="G53" s="694">
        <f>SUMIF('Added data'!$C$2:$C$549,Squads!$C$188,'Added data'!$AA$2:$AA$549)/COUNTIF('Added data'!$C$2:$C$549,Squads!$C$188)</f>
        <v>275810.25</v>
      </c>
    </row>
    <row r="54">
      <c r="B54" s="686" t="str">
        <f>IF(Squads!$R$190="Vacant","Vacant",Squads!$B$190)</f>
        <v>Andy Stewart</v>
      </c>
      <c r="C54" s="692" t="str">
        <f>SUBSTITUTE(SUBSTITUTE(Squads!$C$190,"–","-"),"—","-")</f>
        <v>Head of Technology, Loyalty &amp; Martech</v>
      </c>
      <c r="D54" s="686" t="str">
        <f>Squads!$N$190</f>
        <v>Customer</v>
      </c>
      <c r="E54" s="673" t="str">
        <f>Squads!$R$190</f>
        <v>Filled</v>
      </c>
    </row>
    <row r="55">
      <c r="B55" s="686" t="str">
        <f>IF(Squads!$R$201="Vacant","Vacant",Squads!$B$201)</f>
        <v>Vacant</v>
      </c>
      <c r="C55" s="692" t="str">
        <f>SUBSTITUTE(SUBSTITUTE(Squads!$C$201,"–","-"),"—","-")</f>
        <v>Snr Business Analyst</v>
      </c>
      <c r="D55" s="686" t="str">
        <f>Squads!$N$201</f>
        <v>Customer</v>
      </c>
      <c r="E55" s="673" t="str">
        <f>Squads!$R$201</f>
        <v>Vacant</v>
      </c>
      <c r="F55" s="693" t="inlineStr">
        <is>
          <t>Hold</t>
        </is>
      </c>
      <c r="G55" s="694">
        <f>SUMIF('Added data'!$C$2:$C$549,Squads!$C$201,'Added data'!$AA$2:$AA$549)/COUNTIF('Added data'!$C$2:$C$549,Squads!$C$201)</f>
        <v>236102.16</v>
      </c>
    </row>
    <row r="56">
      <c r="B56" s="686" t="str">
        <f>IF(Squads!$R$252="Vacant","Vacant",Squads!$B$252)</f>
        <v>Shruti Manchanda</v>
      </c>
      <c r="C56" s="692" t="str">
        <f>SUBSTITUTE(SUBSTITUTE(Squads!$C$252,"–","-"),"—","-")</f>
        <v>Cyber GRC Analyst</v>
      </c>
      <c r="D56" s="686" t="str">
        <f>Squads!$N$252</f>
        <v>Unmapped</v>
      </c>
      <c r="E56" s="673" t="str">
        <f>Squads!$R$252</f>
        <v>Filled</v>
      </c>
    </row>
    <row r="57">
      <c r="B57" s="686" t="str">
        <f>IF(Squads!$R$290="Vacant","Vacant",Squads!$B$290)</f>
        <v>Sanjay Tikoo</v>
      </c>
      <c r="C57" s="692" t="str">
        <f>SUBSTITUTE(SUBSTITUTE(Squads!$C$290,"–","-"),"—","-")</f>
        <v>Principal, Data Architecture &amp; Governance</v>
      </c>
      <c r="D57" s="686" t="str">
        <f>Squads!$N$290</f>
        <v>COE</v>
      </c>
      <c r="E57" s="673" t="str">
        <f>Squads!$R$290</f>
        <v>Filled</v>
      </c>
    </row>
    <row r="58">
      <c r="B58" s="686" t="str">
        <f>IF(Squads!$R$291="Vacant","Vacant",Squads!$B$291)</f>
        <v>Vacant</v>
      </c>
      <c r="C58" s="692" t="str">
        <f>SUBSTITUTE(SUBSTITUTE(Squads!$C$291,"–","-"),"—","-")</f>
        <v>Technology Manager, Data Engineering &amp; Platforms</v>
      </c>
      <c r="D58" s="686" t="str">
        <f>Squads!$N$291</f>
        <v>COE</v>
      </c>
      <c r="E58" s="673" t="str">
        <f>Squads!$R$291</f>
        <v>Vacant</v>
      </c>
      <c r="F58" s="693" t="inlineStr">
        <is>
          <t>Hold</t>
        </is>
      </c>
      <c r="G58" s="694">
        <f>SUMIF('Added data'!$C$2:$C$549,Squads!$C$291,'Added data'!$AA$2:$AA$549)/COUNTIF('Added data'!$C$2:$C$549,Squads!$C$291)</f>
        <v>320862.0</v>
      </c>
    </row>
    <row r="59">
      <c r="B59" s="686" t="str">
        <f>IF(Squads!$R$306="Vacant","Vacant",Squads!$B$306)</f>
        <v>Vacant</v>
      </c>
      <c r="C59" s="692" t="str">
        <f>SUBSTITUTE(SUBSTITUTE(Squads!$C$306,"–","-"),"—","-")</f>
        <v>Senior Communications Advisor</v>
      </c>
      <c r="D59" s="686" t="str">
        <f>Squads!$N$306</f>
        <v>COE</v>
      </c>
      <c r="E59" s="673" t="str">
        <f>Squads!$R$306</f>
        <v>Vacant</v>
      </c>
      <c r="F59" s="693" t="inlineStr">
        <is>
          <t>Hold</t>
        </is>
      </c>
      <c r="G59" s="694">
        <f>SUMIF('Added data'!$C$2:$C$549,Squads!$C$306,'Added data'!$AA$2:$AA$549)/COUNTIF('Added data'!$C$2:$C$549,Squads!$C$306)</f>
        <v>186900.0</v>
      </c>
    </row>
    <row r="60">
      <c r="B60" s="686" t="str">
        <f>IF(Squads!$R$307="Vacant","Vacant",Squads!$B$307)</f>
        <v>James Holgate</v>
      </c>
      <c r="C60" s="692" t="str">
        <f>SUBSTITUTE(SUBSTITUTE(Squads!$C$307,"–","-"),"—","-")</f>
        <v>Head of Technology,  Group Data</v>
      </c>
      <c r="D60" s="686" t="str">
        <f>Squads!$N$307</f>
        <v>COE</v>
      </c>
      <c r="E60" s="673" t="str">
        <f>Squads!$R$307</f>
        <v>Filled</v>
      </c>
    </row>
    <row r="61">
      <c r="B61" s="686" t="str">
        <f>IF(Squads!$R$308="Vacant","Vacant",Squads!$B$308)</f>
        <v>Joel Vijayakumar</v>
      </c>
      <c r="C61" s="692" t="str">
        <f>SUBSTITUTE(SUBSTITUTE(Squads!$C$308,"–","-"),"—","-")</f>
        <v>Delivery Manager, Strategy, Architecture &amp; Data</v>
      </c>
      <c r="D61" s="686" t="str">
        <f>Squads!$N$308</f>
        <v>COE</v>
      </c>
      <c r="E61" s="673" t="str">
        <f>Squads!$R$308</f>
        <v>Filled</v>
      </c>
    </row>
    <row r="62">
      <c r="B62" s="686" t="str">
        <f>IF(Squads!$R$309="Vacant","Vacant",Squads!$B$309)</f>
        <v>Vacant</v>
      </c>
      <c r="C62" s="692" t="str">
        <f>SUBSTITUTE(SUBSTITUTE(Squads!$C$309,"–","-"),"—","-")</f>
        <v>Head of Technology Strategy &amp; AI Capability</v>
      </c>
      <c r="D62" s="686" t="str">
        <f>Squads!$N$309</f>
        <v>COE</v>
      </c>
      <c r="E62" s="673" t="str">
        <f>Squads!$R$309</f>
        <v>Vacant</v>
      </c>
      <c r="F62" s="693" t="inlineStr">
        <is>
          <t>Hold</t>
        </is>
      </c>
      <c r="G62" s="694">
        <f>SUMIF('Added data'!$C$2:$C$549,Squads!$C$309,'Added data'!$AA$2:$AA$549)/COUNTIF('Added data'!$C$2:$C$549,Squads!$C$309)</f>
        <v>333020.25</v>
      </c>
    </row>
    <row r="63">
      <c r="B63" s="686" t="str">
        <f>IF(Squads!$R$317="Vacant","Vacant",Squads!$B$317)</f>
        <v>Mitchell Clarke</v>
      </c>
      <c r="C63" s="692" t="str">
        <f>SUBSTITUTE(SUBSTITUTE(Squads!$C$317,"–","-"),"—","-")</f>
        <v>Snr Data Governance Specialist</v>
      </c>
      <c r="D63" s="686" t="str">
        <f>Squads!$N$317</f>
        <v>COE</v>
      </c>
      <c r="E63" s="673" t="str">
        <f>Squads!$R$317</f>
        <v>Filled</v>
      </c>
    </row>
    <row r="64">
      <c r="B64" s="686" t="str">
        <f>IF(Squads!$R$323="Vacant","Vacant",Squads!$B$323)</f>
        <v>Jonathan Robinson</v>
      </c>
      <c r="C64" s="692" t="str">
        <f>SUBSTITUTE(SUBSTITUTE(Squads!$C$323,"–","-"),"—","-")</f>
        <v>Technology Manager  Data Science</v>
      </c>
      <c r="D64" s="686" t="str">
        <f>Squads!$N$323</f>
        <v>COE</v>
      </c>
      <c r="E64" s="673" t="str">
        <f>Squads!$R$323</f>
        <v>Filled</v>
      </c>
    </row>
    <row r="65">
      <c r="B65" s="686" t="str">
        <f>IF(Squads!$R$340="Vacant","Vacant",Squads!$B$340)</f>
        <v>Ed Tacey</v>
      </c>
      <c r="C65" s="692" t="str">
        <f>SUBSTITUTE(SUBSTITUTE(Squads!$C$340,"–","-"),"—","-")</f>
        <v>Head of Architecture</v>
      </c>
      <c r="D65" s="686" t="str">
        <f>Squads!$N$340</f>
        <v>Unmapped</v>
      </c>
      <c r="E65" s="673" t="str">
        <f>Squads!$R$340</f>
        <v>Filled</v>
      </c>
    </row>
    <row r="66">
      <c r="B66" s="686" t="str">
        <f>IF(Squads!$R$351="Vacant","Vacant",Squads!$B$351)</f>
        <v>Vacant</v>
      </c>
      <c r="C66" s="692" t="str">
        <f>SUBSTITUTE(SUBSTITUTE(Squads!$C$351,"–","-"),"—","-")</f>
        <v>Technology Manager Data</v>
      </c>
      <c r="D66" s="686" t="str">
        <f>Squads!$N$351</f>
        <v>Infrastructure</v>
      </c>
      <c r="E66" s="673" t="str">
        <f>Squads!$R$351</f>
        <v>Vacant</v>
      </c>
      <c r="F66" s="693" t="inlineStr">
        <is>
          <t>Hold</t>
        </is>
      </c>
      <c r="G66" s="694">
        <f>SUMIF('Added data'!$C$2:$C$549,Squads!$C$351,'Added data'!$AA$2:$AA$549)/COUNTIF('Added data'!$C$2:$C$549,Squads!$C$351)</f>
        <v>275810.25</v>
      </c>
    </row>
    <row r="67">
      <c r="B67" s="686" t="str">
        <f>IF(Squads!$R$353="Vacant","Vacant",Squads!$B$353)</f>
        <v>Prem Shetty</v>
      </c>
      <c r="C67" s="692" t="str">
        <f>SUBSTITUTE(SUBSTITUTE(Squads!$C$353,"–","-"),"—","-")</f>
        <v>Delivery manager</v>
      </c>
      <c r="D67" s="686" t="str">
        <f>Squads!$N$353</f>
        <v>Infrastructure</v>
      </c>
      <c r="E67" s="673" t="str">
        <f>Squads!$R$353</f>
        <v>Filled</v>
      </c>
    </row>
    <row r="68">
      <c r="B68" s="686" t="str">
        <f>IF(Squads!$R$354="Vacant","Vacant",Squads!$B$354)</f>
        <v>George Moun</v>
      </c>
      <c r="C68" s="692" t="str">
        <f>SUBSTITUTE(SUBSTITUTE(Squads!$C$354,"–","-"),"—","-")</f>
        <v>Solution Architect</v>
      </c>
      <c r="D68" s="686" t="str">
        <f>Squads!$N$354</f>
        <v>Infrastructure</v>
      </c>
      <c r="E68" s="673" t="str">
        <f>Squads!$R$354</f>
        <v>Filled</v>
      </c>
    </row>
    <row r="69">
      <c r="B69" s="686" t="str">
        <f>IF(Squads!$R$373="Vacant","Vacant",Squads!$B$373)</f>
        <v>Elle Spencer</v>
      </c>
      <c r="C69" s="692" t="str">
        <f>SUBSTITUTE(SUBSTITUTE(Squads!$C$373,"–","-"),"—","-")</f>
        <v>Technology Manager - B2B</v>
      </c>
      <c r="D69" s="686" t="str">
        <f>Squads!$N$373</f>
        <v>Energy Solutions &amp; B2B</v>
      </c>
      <c r="E69" s="673" t="str">
        <f>Squads!$R$373</f>
        <v>Filled</v>
      </c>
    </row>
    <row r="70">
      <c r="B70" s="686" t="str">
        <f>IF(Squads!$R$375="Vacant","Vacant",Squads!$B$375)</f>
        <v>Vacant</v>
      </c>
      <c r="C70" s="692" t="str">
        <f>SUBSTITUTE(SUBSTITUTE(Squads!$C$375,"–","-"),"—","-")</f>
        <v>Delivery manager</v>
      </c>
      <c r="D70" s="686" t="str">
        <f>Squads!$N$375</f>
        <v>Energy Solutions &amp; B2B</v>
      </c>
      <c r="E70" s="673" t="str">
        <f>Squads!$R$375</f>
        <v>Vacant</v>
      </c>
      <c r="F70" s="693" t="inlineStr">
        <is>
          <t>Hold</t>
        </is>
      </c>
      <c r="G70" s="694">
        <f>SUMIF('Added data'!$C$2:$C$549,Squads!$C$375,'Added data'!$AA$2:$AA$549)/COUNTIF('Added data'!$C$2:$C$549,Squads!$C$375)</f>
        <v>278824.3722222222</v>
      </c>
    </row>
    <row r="71">
      <c r="B71" s="686" t="str">
        <f>IF(Squads!$R$380="Vacant","Vacant",Squads!$B$380)</f>
        <v>Amish Pandit</v>
      </c>
      <c r="C71" s="692" t="str">
        <f>SUBSTITUTE(SUBSTITUTE(Squads!$C$380,"–","-"),"—","-")</f>
        <v>Head of Technology, Fuel Infrastructure</v>
      </c>
      <c r="D71" s="686" t="str">
        <f>Squads!$N$380</f>
        <v>Infrastructure</v>
      </c>
      <c r="E71" s="673" t="str">
        <f>Squads!$R$380</f>
        <v>Filled</v>
      </c>
    </row>
    <row r="72">
      <c r="B72" s="686" t="str">
        <f>IF(Squads!$R$381="Vacant","Vacant",Squads!$B$381)</f>
        <v>Liesl Tye</v>
      </c>
      <c r="C72" s="692"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2" t="str">
        <f>SUBSTITUTE(SUBSTITUTE(Squads!$C$405,"–","-"),"—","-")</f>
        <v>Technology Manager, Future Infrastructure </v>
      </c>
      <c r="D73" s="686" t="str">
        <f>Squads!$N$405</f>
        <v>Infrastructure</v>
      </c>
      <c r="E73" s="673" t="str">
        <f>Squads!$R$405</f>
        <v>Filled</v>
      </c>
    </row>
    <row r="74">
      <c r="B74" s="686" t="str">
        <f>IF(Squads!$R$492="Vacant","Vacant",Squads!$B$492)</f>
        <v>Vacant</v>
      </c>
      <c r="C74" s="692" t="str">
        <f>SUBSTITUTE(SUBSTITUTE(Squads!$C$492,"–","-"),"—","-")</f>
        <v>Snr Engineer</v>
      </c>
      <c r="D74" s="686" t="str">
        <f>Squads!$N$492</f>
        <v>Energy Solutions &amp; B2B</v>
      </c>
      <c r="E74" s="673" t="str">
        <f>Squads!$R$492</f>
        <v>Vacant</v>
      </c>
      <c r="F74" s="693" t="inlineStr">
        <is>
          <t>Hold</t>
        </is>
      </c>
      <c r="G74" s="694">
        <f>SUMIF('Added data'!$C$2:$C$549,Squads!$C$492,'Added data'!$AA$2:$AA$549)/COUNTIF('Added data'!$C$2:$C$549,Squads!$C$492)</f>
        <v>163253.64</v>
      </c>
    </row>
    <row r="75">
      <c r="B75" s="686" t="str">
        <f>IF(Squads!$R$493="Vacant","Vacant",Squads!$B$493)</f>
        <v>Shane Ker</v>
      </c>
      <c r="C75" s="692" t="str">
        <f>SUBSTITUTE(SUBSTITUTE(Squads!$C$493,"–","-"),"—","-")</f>
        <v>Technology Manger - Finance Platfoms</v>
      </c>
      <c r="D75" s="686" t="str">
        <f>Squads!$N$493</f>
        <v>Finance</v>
      </c>
      <c r="E75" s="673" t="str">
        <f>Squads!$R$493</f>
        <v>Filled</v>
      </c>
    </row>
    <row r="76">
      <c r="B76" s="686" t="str">
        <f>IF(Squads!$R$494="Vacant","Vacant",Squads!$B$494)</f>
        <v>Dave O'Keefe</v>
      </c>
      <c r="C76" s="692" t="str">
        <f>SUBSTITUTE(SUBSTITUTE(Squads!$C$494,"–","-"),"—","-")</f>
        <v>Technology Manager - P&amp;C Platforms</v>
      </c>
      <c r="D76" s="686" t="str">
        <f>Squads!$N$494</f>
        <v>P&amp;C</v>
      </c>
      <c r="E76" s="673" t="str">
        <f>Squads!$R$494</f>
        <v>Filled</v>
      </c>
    </row>
    <row r="77">
      <c r="B77" s="686" t="str">
        <f>IF(Squads!$R$495="Vacant","Vacant",Squads!$B$495)</f>
        <v>Vaso Vukovic</v>
      </c>
      <c r="C77" s="692" t="str">
        <f>SUBSTITUTE(SUBSTITUTE(Squads!$C$495,"–","-"),"—","-")</f>
        <v>Head of Technology - P&amp;C, Finance &amp; Legal</v>
      </c>
      <c r="D77" s="686" t="str">
        <f>Squads!$N$495</f>
        <v>P&amp;C</v>
      </c>
      <c r="E77" s="673" t="str">
        <f>Squads!$R$495</f>
        <v>Filled</v>
      </c>
    </row>
    <row r="78">
      <c r="B78" s="686" t="str">
        <f>IF(Squads!$R$496="Vacant","Vacant",Squads!$B$496)</f>
        <v>Vacant</v>
      </c>
      <c r="C78" s="692" t="str">
        <f>SUBSTITUTE(SUBSTITUTE(Squads!$C$496,"–","-"),"—","-")</f>
        <v>Delivery Manager</v>
      </c>
      <c r="D78" s="686" t="str">
        <f>Squads!$N$496</f>
        <v>P&amp;C</v>
      </c>
      <c r="E78" s="673" t="str">
        <f>Squads!$R$496</f>
        <v>Vacant</v>
      </c>
      <c r="F78" s="693" t="inlineStr">
        <is>
          <t>Hold</t>
        </is>
      </c>
      <c r="G78" s="694">
        <f>SUMIF('Added data'!$C$2:$C$549,Squads!$C$496,'Added data'!$AA$2:$AA$549)/COUNTIF('Added data'!$C$2:$C$549,Squads!$C$496)</f>
        <v>278824.3722222222</v>
      </c>
    </row>
    <row r="79">
      <c r="B79" s="686" t="str">
        <f>IF(Squads!$R$497="Vacant","Vacant",Squads!$B$497)</f>
        <v>Vacant</v>
      </c>
      <c r="C79" s="692" t="str">
        <f>SUBSTITUTE(SUBSTITUTE(Squads!$C$497,"–","-"),"—","-")</f>
        <v>Head of Technology - TDD &amp; Engineering Capability Lead</v>
      </c>
      <c r="D79" s="686" t="str">
        <f>Squads!$N$497</f>
        <v>TDD Group Functions</v>
      </c>
      <c r="E79" s="673" t="str">
        <f>Squads!$R$497</f>
        <v>Vacant</v>
      </c>
      <c r="F79" s="693" t="inlineStr">
        <is>
          <t>Hold</t>
        </is>
      </c>
      <c r="G79" s="694">
        <f>SUMIF('Added data'!$C$2:$C$549,Squads!$C$497,'Added data'!$AA$2:$AA$549)/COUNTIF('Added data'!$C$2:$C$549,Squads!$C$497)</f>
        <v>333020.25</v>
      </c>
    </row>
    <row r="80">
      <c r="B80" s="686" t="str">
        <f>IF(Squads!$R$498="Vacant","Vacant",Squads!$B$498)</f>
        <v>Nakul Bharade</v>
      </c>
      <c r="C80" s="692" t="str">
        <f>SUBSTITUTE(SUBSTITUTE(Squads!$C$498,"–","-"),"—","-")</f>
        <v>Lead Engineer Software</v>
      </c>
      <c r="D80" s="686" t="str">
        <f>Squads!$N$498</f>
        <v>TDD Group Functions</v>
      </c>
      <c r="E80" s="673" t="str">
        <f>Squads!$R$498</f>
        <v>Filled</v>
      </c>
    </row>
    <row r="81">
      <c r="B81" s="686" t="str">
        <f>IF(Squads!$R$499="Vacant","Vacant",Squads!$B$499)</f>
        <v>Murray Mitchell</v>
      </c>
      <c r="C81" s="692" t="str">
        <f>SUBSTITUTE(SUBSTITUTE(Squads!$C$499,"–","-"),"—","-")</f>
        <v>Technology Manager, Workplace and Enterprise Tooling</v>
      </c>
      <c r="D81" s="686" t="str">
        <f>Squads!$N$499</f>
        <v>TDD Group Functions</v>
      </c>
      <c r="E81" s="673" t="str">
        <f>Squads!$R$499</f>
        <v>Filled</v>
      </c>
    </row>
    <row r="82">
      <c r="B82" s="686" t="str">
        <f>IF(Squads!$R$500="Vacant","Vacant",Squads!$B$500)</f>
        <v>Vacant</v>
      </c>
      <c r="C82" s="692" t="str">
        <f>SUBSTITUTE(SUBSTITUTE(Squads!$C$500,"–","-"),"—","-")</f>
        <v>Technology Manager - DevOps and Quality Engineering</v>
      </c>
      <c r="D82" s="686" t="str">
        <f>Squads!$N$500</f>
        <v>TDD Group Functions</v>
      </c>
      <c r="E82" s="673" t="str">
        <f>Squads!$R$500</f>
        <v>Vacant</v>
      </c>
      <c r="F82" s="693" t="inlineStr">
        <is>
          <t>Hold</t>
        </is>
      </c>
      <c r="G82" s="694">
        <f>SUMIF('Added data'!$C$2:$C$549,Squads!$C$500,'Added data'!$AA$2:$AA$549)/COUNTIF('Added data'!$C$2:$C$549,Squads!$C$500)</f>
        <v>275810.25</v>
      </c>
    </row>
    <row r="83">
      <c r="B83" s="686" t="str">
        <f>IF(Squads!$R$501="Vacant","Vacant",Squads!$B$501)</f>
        <v>Vacant</v>
      </c>
      <c r="C83" s="692" t="str">
        <f>SUBSTITUTE(SUBSTITUTE(Squads!$C$501,"–","-"),"—","-")</f>
        <v>Delivery Manager</v>
      </c>
      <c r="D83" s="686" t="str">
        <f>Squads!$N$501</f>
        <v>TDD Group Functions</v>
      </c>
      <c r="E83" s="673" t="str">
        <f>Squads!$R$501</f>
        <v>Vacant</v>
      </c>
      <c r="F83" s="693" t="inlineStr">
        <is>
          <t>Hold</t>
        </is>
      </c>
      <c r="G83" s="694">
        <f>SUMIF('Added data'!$C$2:$C$549,Squads!$C$501,'Added data'!$AA$2:$AA$549)/COUNTIF('Added data'!$C$2:$C$549,Squads!$C$501)</f>
        <v>278824.3722222222</v>
      </c>
    </row>
    <row r="84">
      <c r="B84" s="686" t="str">
        <f>IF(Squads!$R$502="Vacant","Vacant",Squads!$B$502)</f>
        <v>Vacant</v>
      </c>
      <c r="C84" s="692" t="str">
        <f>SUBSTITUTE(SUBSTITUTE(Squads!$C$502,"–","-"),"—","-")</f>
        <v>Technology Manager - Cloud, Network and Infrastructure Operations</v>
      </c>
      <c r="D84" s="686" t="str">
        <f>Squads!$N$502</f>
        <v>TDD Group Functions</v>
      </c>
      <c r="E84" s="673" t="str">
        <f>Squads!$R$502</f>
        <v>Vacant</v>
      </c>
      <c r="F84" s="693" t="inlineStr">
        <is>
          <t>Hold</t>
        </is>
      </c>
      <c r="G84" s="694">
        <f>SUMIF('Added data'!$C$2:$C$549,Squads!$C$502,'Added data'!$AA$2:$AA$549)/COUNTIF('Added data'!$C$2:$C$549,Squads!$C$502)</f>
        <v>275810.25</v>
      </c>
    </row>
    <row r="85">
      <c r="B85" s="686" t="str">
        <f>IF(Squads!$R$503="Vacant","Vacant",Squads!$B$503)</f>
        <v>Vacant</v>
      </c>
      <c r="C85" s="692" t="str">
        <f>SUBSTITUTE(SUBSTITUTE(Squads!$C$503,"–","-"),"—","-")</f>
        <v>Snr Engineer</v>
      </c>
      <c r="D85" s="686" t="str">
        <f>Squads!$N$503</f>
        <v>TDD Group Functions</v>
      </c>
      <c r="E85" s="673" t="str">
        <f>Squads!$R$503</f>
        <v>Vacant</v>
      </c>
      <c r="F85" s="693" t="inlineStr">
        <is>
          <t>Hold</t>
        </is>
      </c>
      <c r="G85" s="694">
        <f>SUMIF('Added data'!$C$2:$C$549,Squads!$C$503,'Added data'!$AA$2:$AA$549)/COUNTIF('Added data'!$C$2:$C$549,Squads!$C$503)</f>
        <v>163253.64</v>
      </c>
    </row>
    <row r="86"/>
    <row r="87">
      <c r="B87" s="666" t="inlineStr">
        <is>
          <t>Every other role - unmapped, outside the archetype model, or raw data EGI rows</t>
        </is>
      </c>
    </row>
    <row r="88">
      <c r="B88" s="696" t="inlineStr">
        <is>
          <t>Name</t>
        </is>
      </c>
      <c r="C88" s="696" t="inlineStr">
        <is>
          <t>Role</t>
        </is>
      </c>
      <c r="D88" s="696" t="inlineStr">
        <is>
          <t>Department</t>
        </is>
      </c>
      <c r="E88" s="696" t="inlineStr">
        <is>
          <t>Status</t>
        </is>
      </c>
      <c r="F88" s="696" t="inlineStr">
        <is>
          <t>Call</t>
        </is>
      </c>
      <c r="G88" s="696" t="inlineStr">
        <is>
          <t>Cost if hired ($)</t>
        </is>
      </c>
    </row>
    <row r="89">
      <c r="B89" s="686" t="str">
        <f>IF(Squads!$R$37="Vacant","Vacant",Squads!$B$37)</f>
        <v>Vacant</v>
      </c>
      <c r="C89" s="692" t="str">
        <f>SUBSTITUTE(SUBSTITUTE(Squads!$C$37,"–","-"),"—","-")</f>
        <v>Delivery Lead</v>
      </c>
      <c r="D89" s="686" t="str">
        <f>Squads!$N$37</f>
        <v>Z Retail</v>
      </c>
      <c r="E89" s="673" t="str">
        <f>Squads!$R$37</f>
        <v>Vacant</v>
      </c>
      <c r="F89" s="693" t="inlineStr">
        <is>
          <t>Hold</t>
        </is>
      </c>
      <c r="G89" s="694">
        <f>SUMIF('Added data'!$C$2:$C$549,Squads!$C$37,'Added data'!$AA$2:$AA$549)/COUNTIF('Added data'!$C$2:$C$549,Squads!$C$37)</f>
        <v>231778.89629629627</v>
      </c>
    </row>
    <row r="90">
      <c r="B90" s="686" t="str">
        <f>IF(Squads!$R$39="Vacant","Vacant",Squads!$B$39)</f>
        <v>Anne Pretorius</v>
      </c>
      <c r="C90" s="692" t="str">
        <f>SUBSTITUTE(SUBSTITUTE(Squads!$C$39,"–","-"),"—","-")</f>
        <v>Lead Business Analyst</v>
      </c>
      <c r="D90" s="686" t="str">
        <f>Squads!$N$39</f>
        <v>EGI</v>
      </c>
      <c r="E90" s="673" t="str">
        <f>Squads!$R$39</f>
        <v>Filled</v>
      </c>
    </row>
    <row r="91">
      <c r="B91" s="686" t="str">
        <f>IF(Squads!$R$42="Vacant","Vacant",Squads!$B$42)</f>
        <v>Ash Muthumala</v>
      </c>
      <c r="C91" s="692" t="str">
        <f>SUBSTITUTE(SUBSTITUTE(Squads!$C$42,"–","-"),"—","-")</f>
        <v>Senior QA Analyst</v>
      </c>
      <c r="D91" s="686" t="str">
        <f>Squads!$N$42</f>
        <v>Z Retail</v>
      </c>
      <c r="E91" s="673" t="str">
        <f>Squads!$R$42</f>
        <v>Filled</v>
      </c>
    </row>
    <row r="92">
      <c r="B92" s="686" t="str">
        <f>IF(Squads!$R$65="Vacant","Vacant",Squads!$B$65)</f>
        <v>McKenzie Tournquist</v>
      </c>
      <c r="C92" s="692" t="str">
        <f>SUBSTITUTE(SUBSTITUTE(Squads!$C$65,"–","-"),"—","-")</f>
        <v>Data Analyst</v>
      </c>
      <c r="D92" s="686" t="str">
        <f>Squads!$N$65</f>
        <v>Z Retail</v>
      </c>
      <c r="E92" s="673" t="str">
        <f>Squads!$R$65</f>
        <v>Filled</v>
      </c>
    </row>
    <row r="93">
      <c r="B93" s="686" t="str">
        <f>IF(Squads!$R$67="Vacant","Vacant",Squads!$B$67)</f>
        <v>Jodie Marquez</v>
      </c>
      <c r="C93" s="692" t="str">
        <f>SUBSTITUTE(SUBSTITUTE(Squads!$C$67,"–","-"),"—","-")</f>
        <v>Data Analyst</v>
      </c>
      <c r="D93" s="686" t="str">
        <f>Squads!$N$67</f>
        <v>Z Retail</v>
      </c>
      <c r="E93" s="673" t="str">
        <f>Squads!$R$67</f>
        <v>Filled</v>
      </c>
    </row>
    <row r="94">
      <c r="B94" s="686" t="str">
        <f>IF(Squads!$R$72="Vacant","Vacant",Squads!$B$72)</f>
        <v>Kanti Hirani</v>
      </c>
      <c r="C94" s="692" t="str">
        <f>SUBSTITUTE(SUBSTITUTE(Squads!$C$72,"–","-"),"—","-")</f>
        <v>Business Analyst (PEP13 UK)</v>
      </c>
      <c r="D94" s="686" t="str">
        <f>Squads!$N$72</f>
        <v>EGI</v>
      </c>
      <c r="E94" s="673" t="str">
        <f>Squads!$R$72</f>
        <v>Filled</v>
      </c>
    </row>
    <row r="95">
      <c r="B95" s="686" t="str">
        <f>IF(Squads!$R$74="Vacant","Vacant",Squads!$B$74)</f>
        <v>Brian Lai</v>
      </c>
      <c r="C95" s="692" t="str">
        <f>SUBSTITUTE(SUBSTITUTE(Squads!$C$74,"–","-"),"—","-")</f>
        <v>Engineer - Data</v>
      </c>
      <c r="D95" s="686" t="str">
        <f>Squads!$N$74</f>
        <v>Z Retail</v>
      </c>
      <c r="E95" s="673" t="str">
        <f>Squads!$R$74</f>
        <v>Filled</v>
      </c>
    </row>
    <row r="96">
      <c r="B96" s="686" t="str">
        <f>IF(Squads!$R$87="Vacant","Vacant",Squads!$B$87)</f>
        <v>Michael Dasan</v>
      </c>
      <c r="C96" s="692" t="str">
        <f>SUBSTITUTE(SUBSTITUTE(Squads!$C$87,"–","-"),"—","-")</f>
        <v>Engineer - Data</v>
      </c>
      <c r="D96" s="686" t="str">
        <f>Squads!$N$87</f>
        <v>Z Retail</v>
      </c>
      <c r="E96" s="673" t="str">
        <f>Squads!$R$87</f>
        <v>Filled</v>
      </c>
    </row>
    <row r="97">
      <c r="B97" s="686" t="str">
        <f>IF(Squads!$R$158="Vacant","Vacant",Squads!$B$158)</f>
        <v>Vacant</v>
      </c>
      <c r="C97" s="692" t="str">
        <f>SUBSTITUTE(SUBSTITUTE(Squads!$C$158,"–","-"),"—","-")</f>
        <v>Snr Engineer, (TBD</v>
      </c>
      <c r="D97" s="686" t="str">
        <f>Squads!$N$158</f>
        <v>Customer</v>
      </c>
      <c r="E97" s="673" t="str">
        <f>Squads!$R$158</f>
        <v>Vacant</v>
      </c>
      <c r="F97" s="693" t="inlineStr">
        <is>
          <t>Hold</t>
        </is>
      </c>
      <c r="G97" s="694">
        <f>SUMIF('Added data'!$C$2:$C$549,Squads!$C$158,'Added data'!$AA$2:$AA$549)/COUNTIF('Added data'!$C$2:$C$549,Squads!$C$158)</f>
        <v>202853.25</v>
      </c>
    </row>
    <row r="98">
      <c r="B98" s="686" t="str">
        <f>IF(Squads!$R$165="Vacant","Vacant",Squads!$B$165)</f>
        <v>Vacant</v>
      </c>
      <c r="C98" s="692" t="str">
        <f>SUBSTITUTE(SUBSTITUTE(Squads!$C$165,"–","-"),"—","-")</f>
        <v>Engineer, (TBD)</v>
      </c>
      <c r="D98" s="686" t="str">
        <f>Squads!$N$165</f>
        <v>Customer</v>
      </c>
      <c r="E98" s="673" t="str">
        <f>Squads!$R$165</f>
        <v>Vacant</v>
      </c>
      <c r="F98" s="693" t="inlineStr">
        <is>
          <t>Hold</t>
        </is>
      </c>
      <c r="G98" s="694">
        <f>SUMIF('Added data'!$C$2:$C$549,Squads!$C$165,'Added data'!$AA$2:$AA$549)/COUNTIF('Added data'!$C$2:$C$549,Squads!$C$165)</f>
        <v>202853.25</v>
      </c>
    </row>
    <row r="99">
      <c r="B99" s="686" t="str">
        <f>IF(Squads!$R$255="Vacant","Vacant",Squads!$B$255)</f>
        <v>Niall Greene</v>
      </c>
      <c r="C99" s="692" t="str">
        <f>SUBSTITUTE(SUBSTITUTE(Squads!$C$255,"–","-"),"—","-")</f>
        <v>Project Manager (PEP13-EGI-UKG)</v>
      </c>
      <c r="D99" s="686" t="str">
        <f>Squads!$N$255</f>
        <v>EGI</v>
      </c>
      <c r="E99" s="673" t="str">
        <f>Squads!$R$255</f>
        <v>Filled</v>
      </c>
    </row>
    <row r="100">
      <c r="B100" s="686" t="str">
        <f>IF(Squads!$R$256="Vacant","Vacant",Squads!$B$256)</f>
        <v>Winnie Fernandes</v>
      </c>
      <c r="C100" s="692" t="str">
        <f>SUBSTITUTE(SUBSTITUTE(Squads!$C$256,"–","-"),"—","-")</f>
        <v>Delivery Lead</v>
      </c>
      <c r="D100" s="686" t="str">
        <f>Squads!$N$256</f>
        <v>EGI</v>
      </c>
      <c r="E100" s="673" t="str">
        <f>Squads!$R$256</f>
        <v>Filled</v>
      </c>
    </row>
    <row r="101">
      <c r="B101" s="686" t="str">
        <f>IF(Squads!$R$257="Vacant","Vacant",Squads!$B$257)</f>
        <v>Areum Kim Lee</v>
      </c>
      <c r="C101" s="692" t="str">
        <f>SUBSTITUTE(SUBSTITUTE(Squads!$C$257,"–","-"),"—","-")</f>
        <v>Program Manager (PEP13-EGI-UKG)</v>
      </c>
      <c r="D101" s="686" t="str">
        <f>Squads!$N$257</f>
        <v>EGI</v>
      </c>
      <c r="E101" s="673" t="str">
        <f>Squads!$R$257</f>
        <v>Filled</v>
      </c>
    </row>
    <row r="102">
      <c r="B102" s="686" t="str">
        <f>IF(Squads!$R$263="Vacant","Vacant",Squads!$B$263)</f>
        <v>Vacant</v>
      </c>
      <c r="C102" s="692" t="str">
        <f>SUBSTITUTE(SUBSTITUTE(Squads!$C$263,"–","-"),"—","-")</f>
        <v>Portfolio Analyst</v>
      </c>
      <c r="D102" s="686" t="str">
        <f>Squads!$N$263</f>
        <v>COE</v>
      </c>
      <c r="E102" s="673" t="str">
        <f>Squads!$R$263</f>
        <v>Vacant</v>
      </c>
      <c r="F102" s="693" t="inlineStr">
        <is>
          <t>Hold</t>
        </is>
      </c>
      <c r="G102" s="694">
        <f>SUMIF('Added data'!$C$2:$C$549,Squads!$C$263,'Added data'!$AA$2:$AA$549)/COUNTIF('Added data'!$C$2:$C$549,Squads!$C$263)</f>
        <v>170489.75</v>
      </c>
    </row>
    <row r="103">
      <c r="B103" s="686" t="str">
        <f>IF(Squads!$R$279="Vacant","Vacant",Squads!$B$279)</f>
        <v>Vacant</v>
      </c>
      <c r="C103" s="692" t="str">
        <f>SUBSTITUTE(SUBSTITUTE(Squads!$C$279,"–","-"),"—","-")</f>
        <v>TDD BP - Infrastructure</v>
      </c>
      <c r="D103" s="686" t="str">
        <f>Squads!$N$279</f>
        <v>COE</v>
      </c>
      <c r="E103" s="673" t="str">
        <f>Squads!$R$279</f>
        <v>Vacant</v>
      </c>
      <c r="F103" s="693" t="inlineStr">
        <is>
          <t>Hold</t>
        </is>
      </c>
      <c r="G103" s="694">
        <f>SUMIF('Added data'!$C$2:$C$549,Squads!$C$279,'Added data'!$AA$2:$AA$549)/COUNTIF('Added data'!$C$2:$C$549,Squads!$C$279)</f>
        <v>297150.0</v>
      </c>
    </row>
    <row r="104">
      <c r="B104" s="686" t="str">
        <f>IF(Squads!$R$281="Vacant","Vacant",Squads!$B$281)</f>
        <v>Vacant</v>
      </c>
      <c r="C104" s="692" t="str">
        <f>SUBSTITUTE(SUBSTITUTE(Squads!$C$281,"–","-"),"—","-")</f>
        <v>Software Asset Specialist</v>
      </c>
      <c r="D104" s="686" t="str">
        <f>Squads!$N$281</f>
        <v>COE</v>
      </c>
      <c r="E104" s="673" t="str">
        <f>Squads!$R$281</f>
        <v>Vacant</v>
      </c>
      <c r="F104" s="693" t="inlineStr">
        <is>
          <t>Hold</t>
        </is>
      </c>
      <c r="G104" s="694">
        <f>SUMIF('Added data'!$C$2:$C$549,Squads!$C$281,'Added data'!$AA$2:$AA$549)/COUNTIF('Added data'!$C$2:$C$549,Squads!$C$281)</f>
        <v>183455.69999999998</v>
      </c>
    </row>
    <row r="105">
      <c r="B105" s="686" t="str">
        <f>IF(Squads!$R$377="Vacant","Vacant",Squads!$B$377)</f>
        <v>Vacant</v>
      </c>
      <c r="C105" s="692" t="str">
        <f>SUBSTITUTE(SUBSTITUTE(Squads!$C$377,"–","-"),"—","-")</f>
        <v>Delivery Manager</v>
      </c>
      <c r="D105" s="686" t="str">
        <f>Squads!$N$377</f>
        <v>Commercial Fuels</v>
      </c>
      <c r="E105" s="673" t="str">
        <f>Squads!$R$377</f>
        <v>Vacant</v>
      </c>
      <c r="F105" s="693" t="inlineStr">
        <is>
          <t>Hold</t>
        </is>
      </c>
      <c r="G105" s="694">
        <f>SUMIF('Added data'!$C$2:$C$549,Squads!$C$377,'Added data'!$AA$2:$AA$549)/COUNTIF('Added data'!$C$2:$C$549,Squads!$C$377)</f>
        <v>278824.3722222222</v>
      </c>
    </row>
    <row r="106">
      <c r="B106" s="686" t="str">
        <f>IF(Squads!$R$378="Vacant","Vacant",Squads!$B$378)</f>
        <v>Vacant</v>
      </c>
      <c r="C106" s="692" t="str">
        <f>SUBSTITUTE(SUBSTITUTE(Squads!$C$378,"–","-"),"—","-")</f>
        <v>Technology Manager, Data</v>
      </c>
      <c r="D106" s="686" t="str">
        <f>Squads!$N$378</f>
        <v>Commercial Fuels</v>
      </c>
      <c r="E106" s="673" t="str">
        <f>Squads!$R$378</f>
        <v>Vacant</v>
      </c>
      <c r="F106" s="693" t="inlineStr">
        <is>
          <t>Hold</t>
        </is>
      </c>
      <c r="G106" s="694">
        <f>SUMIF('Added data'!$C$2:$C$549,Squads!$C$378,'Added data'!$AA$2:$AA$549)/COUNTIF('Added data'!$C$2:$C$549,Squads!$C$378)</f>
        <v>275810.25</v>
      </c>
    </row>
    <row r="107">
      <c r="B107" s="686" t="str">
        <f>IF(Squads!$R$379="Vacant","Vacant",Squads!$B$379)</f>
        <v>Carl Russo</v>
      </c>
      <c r="C107" s="692" t="str">
        <f>SUBSTITUTE(SUBSTITUTE(Squads!$C$379,"–","-"),"—","-")</f>
        <v>Program Manager - CTRM</v>
      </c>
      <c r="D107" s="686" t="str">
        <f>Squads!$N$379</f>
        <v>Unmapped</v>
      </c>
      <c r="E107" s="673" t="str">
        <f>Squads!$R$379</f>
        <v>Filled</v>
      </c>
    </row>
    <row r="108">
      <c r="B108" s="686" t="str">
        <f>IF(Squads!$R$418="Vacant","Vacant",Squads!$B$418)</f>
        <v>Vacant</v>
      </c>
      <c r="C108" s="692" t="str">
        <f>SUBSTITUTE(SUBSTITUTE(Squads!$C$418,"–","-"),"—","-")</f>
        <v>Delivery manager</v>
      </c>
      <c r="D108" s="686" t="str">
        <f>Squads!$N$418</f>
        <v>Unmapped</v>
      </c>
      <c r="E108" s="673" t="str">
        <f>Squads!$R$418</f>
        <v>Vacant</v>
      </c>
      <c r="F108" s="693" t="inlineStr">
        <is>
          <t>Hold</t>
        </is>
      </c>
      <c r="G108" s="694">
        <f>SUMIF('Added data'!$C$2:$C$549,Squads!$C$418,'Added data'!$AA$2:$AA$549)/COUNTIF('Added data'!$C$2:$C$549,Squads!$C$418)</f>
        <v>278824.3722222222</v>
      </c>
    </row>
    <row r="109"/>
    <row r="110">
      <c r="B110" s="666" t="inlineStr">
        <is>
          <t>New in Sheet2 - no raw data row yet. Add them to the Squads tab to join the portfolio counts.</t>
        </is>
      </c>
    </row>
    <row r="111">
      <c r="B111" s="696" t="inlineStr">
        <is>
          <t>Name</t>
        </is>
      </c>
      <c r="C111" s="696" t="inlineStr">
        <is>
          <t>Role</t>
        </is>
      </c>
      <c r="D111" s="696" t="inlineStr">
        <is>
          <t>Department</t>
        </is>
      </c>
      <c r="E111" s="696" t="inlineStr">
        <is>
          <t>Status</t>
        </is>
      </c>
      <c r="F111" s="696" t="inlineStr">
        <is>
          <t>Call</t>
        </is>
      </c>
      <c r="G111" s="696" t="inlineStr">
        <is>
          <t>Cost if hired ($)</t>
        </is>
      </c>
    </row>
    <row r="112">
      <c r="B112" s="686" t="str">
        <f>Sheet2!$B$3</f>
        <v>Belinda Hoskens</v>
      </c>
      <c r="C112" s="692"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2"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2"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2" t="str">
        <f>SUBSTITUTE(SUBSTITUTE(Sheet2!$C$105,"–","-"),"—","-")</f>
        <v>Delivery Lead</v>
      </c>
      <c r="D115" s="686" t="str">
        <f>Sheet2!$F$105</f>
        <v>Strategy, Architecture &amp; Data</v>
      </c>
      <c r="E115" s="673" t="str">
        <f>IF(LOWER(Sheet2!$Q$105)="v","Vacant",IF(LOWER(Sheet2!$Q$105)="pause","Paused",IF(LOWER(Sheet2!$Q$105)="cxc","Contractor","Filled")))</f>
        <v>Filled</v>
      </c>
    </row>
    <row r="116"/>
    <row r="117">
      <c r="B117" s="695"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6" t="inlineStr">
        <is>
          <t>Raw row</t>
        </is>
      </c>
      <c r="C183" s="696" t="inlineStr">
        <is>
          <t>Cell</t>
        </is>
      </c>
      <c r="D183" s="696" t="inlineStr">
        <is>
          <t>Old value</t>
        </is>
      </c>
      <c r="E183" s="696" t="inlineStr">
        <is>
          <t>New value</t>
        </is>
      </c>
      <c r="F183" s="696"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5"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formula1>
    </dataValidation>
  </dataValidations>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4" t="inlineStr">
        <is>
          <t>EVIDENCE  &gt;&gt;&gt;</t>
        </is>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F232"/>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rosters vs the raw data (Squads). Sheet2 drives 2.1 / 2.2 / 2.3 and the EGI roster; Squads drives the portfolio squads.</t>
        </is>
      </c>
    </row>
    <row r="117">
      <c r="B117" s="696" t="inlineStr">
        <is>
          <t>Name (Sheet2)</t>
        </is>
      </c>
      <c r="C117" s="696" t="inlineStr">
        <is>
          <t>Role (Sheet2)</t>
        </is>
      </c>
      <c r="D117" s="696" t="inlineStr">
        <is>
          <t>Division</t>
        </is>
      </c>
      <c r="E117" s="696" t="inlineStr">
        <is>
          <t>Raw data status</t>
        </is>
      </c>
      <c r="F117" s="696"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5" t="inlineStr">
        <is>
          <t>Where the two disagree, the Sheet2 status is used on 2.1 / 2.2 / 2.3. The raw data still drives the portfolio squad counts on 1.x / 3.0 / 4.x.</t>
        </is>
      </c>
    </row>
    <row r="135"/>
    <row r="136">
      <c r="B136" s="666" t="inlineStr">
        <is>
          <t>Roles in Sheet2 with no matching raw data row</t>
        </is>
      </c>
    </row>
    <row r="137">
      <c r="B137" s="696" t="inlineStr">
        <is>
          <t>Name (Sheet2)</t>
        </is>
      </c>
      <c r="C137" s="696" t="inlineStr">
        <is>
          <t>Role (Sheet2)</t>
        </is>
      </c>
      <c r="D137" s="696" t="inlineStr">
        <is>
          <t>Division</t>
        </is>
      </c>
      <c r="E137" s="696" t="inlineStr">
        <is>
          <t>Where it now shows</t>
        </is>
      </c>
    </row>
    <row r="138">
      <c r="B138" s="686" t="str">
        <f>Sheet2!$B$3</f>
        <v>Belinda Hoskens</v>
      </c>
      <c r="C138" s="686" t="str">
        <f>SUBSTITUTE(SUBSTITUTE(Sheet2!$C$3,"–","-"),"—","-")</f>
        <v>Technology Support Engineer</v>
      </c>
      <c r="D138" s="686" t="str">
        <f>Sheet2!$F$3</f>
        <v>Cyber, Risk &amp; Operations</v>
      </c>
      <c r="E138" s="686" t="inlineStr">
        <is>
          <t>2.3 Cyber Roles</t>
        </is>
      </c>
    </row>
    <row r="139">
      <c r="B139" s="686" t="str">
        <f>Sheet2!$B$54</f>
        <v>Ahmed Yehya</v>
      </c>
      <c r="C139" s="686" t="str">
        <f>SUBSTITUTE(SUBSTITUTE(Sheet2!$C$54,"–","-"),"—","-")</f>
        <v>TDD Strategic Delivery</v>
      </c>
      <c r="D139" s="686" t="str">
        <f>Sheet2!$F$54</f>
        <v>EGI</v>
      </c>
      <c r="E139" s="686" t="inlineStr">
        <is>
          <t>2.7 Squad Detail - EGI strategic delivery roster</t>
        </is>
      </c>
    </row>
    <row r="140">
      <c r="B140" s="686" t="str">
        <f>Sheet2!$B$55</f>
        <v>Anthony Huynh</v>
      </c>
      <c r="C140" s="686" t="str">
        <f>SUBSTITUTE(SUBSTITUTE(Sheet2!$C$55,"–","-"),"—","-")</f>
        <v>Strategic Delivery Consultant</v>
      </c>
      <c r="D140" s="686" t="str">
        <f>Sheet2!$F$55</f>
        <v>EGI</v>
      </c>
      <c r="E140" s="686" t="inlineStr">
        <is>
          <t>2.7 Squad Detail - EGI strategic delivery roster</t>
        </is>
      </c>
    </row>
    <row r="141">
      <c r="B141" s="686" t="str">
        <f>Sheet2!$B$57</f>
        <v>Ernesto Pereira</v>
      </c>
      <c r="C141" s="686" t="str">
        <f>SUBSTITUTE(SUBSTITUTE(Sheet2!$C$57,"–","-"),"—","-")</f>
        <v>Project Manger</v>
      </c>
      <c r="D141" s="686" t="str">
        <f>Sheet2!$F$57</f>
        <v>EGI</v>
      </c>
      <c r="E141" s="686" t="inlineStr">
        <is>
          <t>2.7 Squad Detail - EGI strategic delivery roster</t>
        </is>
      </c>
    </row>
    <row r="142">
      <c r="B142" s="686" t="str">
        <f>Sheet2!$B$58</f>
        <v>Harish Dasari</v>
      </c>
      <c r="C142" s="686" t="str">
        <f>SUBSTITUTE(SUBSTITUTE(Sheet2!$C$58,"–","-"),"—","-")</f>
        <v>Business Analyst (SAP Payroll)</v>
      </c>
      <c r="D142" s="686" t="str">
        <f>Sheet2!$F$58</f>
        <v>EGI</v>
      </c>
      <c r="E142" s="686" t="inlineStr">
        <is>
          <t>2.7 Squad Detail - EGI strategic delivery roster</t>
        </is>
      </c>
    </row>
    <row r="143">
      <c r="B143" s="686" t="str">
        <f>Sheet2!$B$59</f>
        <v>James Munt</v>
      </c>
      <c r="C143" s="686" t="str">
        <f>SUBSTITUTE(SUBSTITUTE(Sheet2!$C$59,"–","-"),"—","-")</f>
        <v>Program Manager Tech &amp; P&amp;C</v>
      </c>
      <c r="D143" s="686" t="str">
        <f>Sheet2!$F$59</f>
        <v>EGI</v>
      </c>
      <c r="E143" s="686" t="inlineStr">
        <is>
          <t>2.7 Squad Detail - EGI strategic delivery roster</t>
        </is>
      </c>
    </row>
    <row r="144">
      <c r="B144" s="686" t="str">
        <f>Sheet2!$B$60</f>
        <v>Jason McNamara</v>
      </c>
      <c r="C144" s="686" t="str">
        <f>SUBSTITUTE(SUBSTITUTE(Sheet2!$C$60,"–","-"),"—","-")</f>
        <v>Project Manager Retail</v>
      </c>
      <c r="D144" s="686" t="str">
        <f>Sheet2!$F$60</f>
        <v>EGI</v>
      </c>
      <c r="E144" s="686" t="inlineStr">
        <is>
          <t>2.7 Squad Detail - EGI strategic delivery roster</t>
        </is>
      </c>
    </row>
    <row r="145">
      <c r="B145" s="686" t="str">
        <f>Sheet2!$B$61</f>
        <v>Jason Sipkovic</v>
      </c>
      <c r="C145" s="686" t="str">
        <f>SUBSTITUTE(SUBSTITUTE(Sheet2!$C$61,"–","-"),"—","-")</f>
        <v>strategic program architect</v>
      </c>
      <c r="D145" s="686" t="str">
        <f>Sheet2!$F$61</f>
        <v>EGI</v>
      </c>
      <c r="E145" s="686" t="inlineStr">
        <is>
          <t>2.7 Squad Detail - EGI strategic delivery roster</t>
        </is>
      </c>
    </row>
    <row r="146">
      <c r="B146" s="686" t="str">
        <f>Sheet2!$B$62</f>
        <v>Kanika Narula</v>
      </c>
      <c r="C146" s="686" t="str">
        <f>SUBSTITUTE(SUBSTITUTE(Sheet2!$C$62,"–","-"),"—","-")</f>
        <v>Business Analyst Digital</v>
      </c>
      <c r="D146" s="686" t="str">
        <f>Sheet2!$F$62</f>
        <v>EGI</v>
      </c>
      <c r="E146" s="686" t="inlineStr">
        <is>
          <t>2.7 Squad Detail - EGI strategic delivery roster</t>
        </is>
      </c>
    </row>
    <row r="147">
      <c r="B147" s="686" t="str">
        <f>Sheet2!$B$63</f>
        <v>Karl Reyneke</v>
      </c>
      <c r="C147" s="686" t="str">
        <f>SUBSTITUTE(SUBSTITUTE(Sheet2!$C$63,"–","-"),"—","-")</f>
        <v>Strategic Delivery Consultant</v>
      </c>
      <c r="D147" s="686" t="str">
        <f>Sheet2!$F$63</f>
        <v>EGI</v>
      </c>
      <c r="E147" s="686" t="inlineStr">
        <is>
          <t>2.7 Squad Detail - EGI strategic delivery roster</t>
        </is>
      </c>
    </row>
    <row r="148">
      <c r="B148" s="686" t="str">
        <f>Sheet2!$B$64</f>
        <v>michelle Siegman</v>
      </c>
      <c r="C148" s="686" t="str">
        <f>SUBSTITUTE(SUBSTITUTE(Sheet2!$C$64,"–","-"),"—","-")</f>
        <v>Strategic Delivery Consultant</v>
      </c>
      <c r="D148" s="686" t="str">
        <f>Sheet2!$F$64</f>
        <v>EGI</v>
      </c>
      <c r="E148" s="686" t="inlineStr">
        <is>
          <t>2.7 Squad Detail - EGI strategic delivery roster</t>
        </is>
      </c>
    </row>
    <row r="149">
      <c r="B149" s="686" t="str">
        <f>Sheet2!$B$65</f>
        <v>Moitri Pal</v>
      </c>
      <c r="C149" s="686" t="str">
        <f>SUBSTITUTE(SUBSTITUTE(Sheet2!$C$65,"–","-"),"—","-")</f>
        <v>Portfolio Mnager</v>
      </c>
      <c r="D149" s="686" t="str">
        <f>Sheet2!$F$65</f>
        <v>EGI</v>
      </c>
      <c r="E149" s="686" t="inlineStr">
        <is>
          <t>2.7 Squad Detail - EGI strategic delivery roster</t>
        </is>
      </c>
    </row>
    <row r="150">
      <c r="B150" s="686" t="str">
        <f>Sheet2!$B$67</f>
        <v>Paul Hassey</v>
      </c>
      <c r="C150" s="686" t="str">
        <f>SUBSTITUTE(SUBSTITUTE(Sheet2!$C$67,"–","-"),"—","-")</f>
        <v>Program Architect</v>
      </c>
      <c r="D150" s="686" t="str">
        <f>Sheet2!$F$67</f>
        <v>EGI</v>
      </c>
      <c r="E150" s="686" t="inlineStr">
        <is>
          <t>2.7 Squad Detail - EGI strategic delivery roster</t>
        </is>
      </c>
    </row>
    <row r="151">
      <c r="B151" s="686" t="str">
        <f>Sheet2!$B$68</f>
        <v>vijay Solanki</v>
      </c>
      <c r="C151" s="686" t="str">
        <f>SUBSTITUTE(SUBSTITUTE(Sheet2!$C$68,"–","-"),"—","-")</f>
        <v>Project Manager Deployment</v>
      </c>
      <c r="D151" s="686" t="str">
        <f>Sheet2!$F$68</f>
        <v>EGI</v>
      </c>
      <c r="E151" s="686" t="inlineStr">
        <is>
          <t>2.7 Squad Detail - EGI strategic delivery roster</t>
        </is>
      </c>
    </row>
    <row r="152">
      <c r="B152" s="686" t="str">
        <f>Sheet2!$B$69</f>
        <v>Winnie Fernandes</v>
      </c>
      <c r="C152" s="686" t="str">
        <f>SUBSTITUTE(SUBSTITUTE(Sheet2!$C$69,"–","-"),"—","-")</f>
        <v>Delivery Lead - Integration</v>
      </c>
      <c r="D152" s="686" t="str">
        <f>Sheet2!$F$69</f>
        <v>EGI</v>
      </c>
      <c r="E152" s="686" t="inlineStr">
        <is>
          <t>2.7 Squad Detail - EGI strategic delivery roster</t>
        </is>
      </c>
    </row>
    <row r="153">
      <c r="B153" s="686" t="str">
        <f>Sheet2!$B$71</f>
        <v>Conli Mills</v>
      </c>
      <c r="C153" s="686" t="str">
        <f>SUBSTITUTE(SUBSTITUTE(Sheet2!$C$71,"–","-"),"—","-")</f>
        <v>TDD BP - Infrastructure</v>
      </c>
      <c r="D153" s="686" t="str">
        <f>Sheet2!$F$71</f>
        <v>Partnering &amp; Transformation</v>
      </c>
      <c r="E153" s="686" t="inlineStr">
        <is>
          <t>2.1 BP&amp;T</t>
        </is>
      </c>
    </row>
    <row r="154">
      <c r="B154" s="686" t="str">
        <f>Sheet2!$B$73</f>
        <v>Jane Esclandra</v>
      </c>
      <c r="C154" s="686" t="str">
        <f>SUBSTITUTE(SUBSTITUTE(Sheet2!$C$73,"–","-"),"—","-")</f>
        <v>Software Asset Specialist</v>
      </c>
      <c r="D154" s="686" t="str">
        <f>Sheet2!$F$73</f>
        <v>Partnering &amp; Transformation</v>
      </c>
      <c r="E154" s="686" t="inlineStr">
        <is>
          <t>2.1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6" t="inlineStr">
        <is>
          <t>Name (raw data)</t>
        </is>
      </c>
      <c r="C160" s="696" t="inlineStr">
        <is>
          <t>Role (raw data)</t>
        </is>
      </c>
      <c r="D160" s="696" t="inlineStr">
        <is>
          <t>Model portfolio</t>
        </is>
      </c>
      <c r="E160" s="696"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5" t="inlineStr">
        <is>
          <t>Zero rows were added to the raw data: the Squads tab in this workbook matches the owner's uploaded copy cell for cell.</t>
        </is>
      </c>
    </row>
    <row r="172">
      <c r="B172" s="695"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5" t="inlineStr">
        <is>
          <t>Sheet2 confirms these four roles sit in Partnering &amp; Transformation (Commercial), inside the Business Partnering bucket on 2.3.</t>
        </is>
      </c>
    </row>
    <row r="178"/>
    <row r="179">
      <c r="B179" s="666" t="inlineStr">
        <is>
          <t>Cost bases</t>
        </is>
      </c>
    </row>
    <row r="180">
      <c r="B180" s="695" t="inlineStr">
        <is>
          <t>2.1 / 2.2 / 2.3 and the EGI roster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sheetData>
  <pageMargins left="0.75" right="0.75" top="1" bottom="1" header="0.5" footer="0.5"/>
</worksheet>
</file>

<file path=xl/worksheets/sheet45.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Unmapped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Unmapped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9" t="n">
        <v>113813.2</v>
      </c>
      <c r="V2" s="324" t="n">
        <v>0.15</v>
      </c>
      <c r="W2" s="321" t="n"/>
      <c r="X2" s="325" t="n">
        <v>0.05</v>
      </c>
      <c r="Y2" s="700" t="n">
        <v>2910</v>
      </c>
      <c r="Z2" s="325" t="n">
        <v>0.03</v>
      </c>
      <c r="AA2" s="70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9" t="n">
        <v>120030</v>
      </c>
      <c r="V3" s="325" t="n">
        <v>0.1</v>
      </c>
      <c r="W3" s="702" t="n">
        <v>0.055</v>
      </c>
      <c r="X3" s="702" t="n">
        <v>0.12</v>
      </c>
      <c r="Y3" s="703" t="n"/>
      <c r="Z3" s="702" t="n">
        <v>0.04</v>
      </c>
      <c r="AA3" s="701">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4">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9" t="n">
        <v>79616.8</v>
      </c>
      <c r="V5" s="324" t="n">
        <v>0.1</v>
      </c>
      <c r="W5" s="321" t="n"/>
      <c r="X5" s="325" t="n">
        <v>0.05</v>
      </c>
      <c r="Y5" s="700" t="n">
        <v>2910</v>
      </c>
      <c r="Z5" s="325" t="n">
        <v>0.03</v>
      </c>
      <c r="AA5" s="70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9" t="n">
        <v>92828</v>
      </c>
      <c r="V6" s="324" t="n">
        <v>0.1</v>
      </c>
      <c r="W6" s="321" t="n"/>
      <c r="X6" s="325" t="n">
        <v>0.05</v>
      </c>
      <c r="Y6" s="700" t="n">
        <v>2910</v>
      </c>
      <c r="Z6" s="325" t="n">
        <v>0.03</v>
      </c>
      <c r="AA6" s="70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5" t="n">
        <v>124740</v>
      </c>
      <c r="V7" s="325" t="n">
        <v>0.1</v>
      </c>
      <c r="W7" s="702" t="n">
        <v>0.055</v>
      </c>
      <c r="X7" s="702" t="n">
        <v>0.12</v>
      </c>
      <c r="Y7" s="703" t="n"/>
      <c r="Z7" s="702" t="n">
        <v>0.04</v>
      </c>
      <c r="AA7" s="701">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5" t="n">
        <v>150000</v>
      </c>
      <c r="V8" s="325" t="n">
        <v>0.12</v>
      </c>
      <c r="W8" s="702" t="n">
        <v>0.055</v>
      </c>
      <c r="X8" s="702" t="n">
        <v>0.12</v>
      </c>
      <c r="Y8" s="703" t="n"/>
      <c r="Z8" s="702" t="n">
        <v>0.04</v>
      </c>
      <c r="AA8" s="701">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5" t="n">
        <v>122654.4</v>
      </c>
      <c r="V9" s="324" t="n">
        <v>0.15</v>
      </c>
      <c r="W9" s="321" t="n"/>
      <c r="X9" s="325" t="n">
        <v>0.05</v>
      </c>
      <c r="Y9" s="700" t="n">
        <v>2910</v>
      </c>
      <c r="Z9" s="325" t="n">
        <v>0.03</v>
      </c>
      <c r="AA9" s="701">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5" t="n">
        <v>156666.8</v>
      </c>
      <c r="V10" s="324" t="n">
        <v>0.15</v>
      </c>
      <c r="W10" s="321" t="n"/>
      <c r="X10" s="325" t="n">
        <v>0.05</v>
      </c>
      <c r="Y10" s="700" t="n">
        <v>2910</v>
      </c>
      <c r="Z10" s="325" t="n">
        <v>0.03</v>
      </c>
      <c r="AA10" s="70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5" t="n">
        <v>154360</v>
      </c>
      <c r="V11" s="325" t="n">
        <v>0.12</v>
      </c>
      <c r="W11" s="702" t="n">
        <v>0.055</v>
      </c>
      <c r="X11" s="702" t="n">
        <v>0.12</v>
      </c>
      <c r="Y11" s="703" t="n"/>
      <c r="Z11" s="702" t="n">
        <v>0.04</v>
      </c>
      <c r="AA11" s="701">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5" t="n">
        <v>112083.6</v>
      </c>
      <c r="V12" s="324" t="n">
        <v>0.15</v>
      </c>
      <c r="W12" s="321" t="n"/>
      <c r="X12" s="325" t="n">
        <v>0.05</v>
      </c>
      <c r="Y12" s="700" t="n">
        <v>2910</v>
      </c>
      <c r="Z12" s="325" t="n">
        <v>0.03</v>
      </c>
      <c r="AA12" s="701">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5" t="n">
        <v>178018</v>
      </c>
      <c r="V13" s="325" t="n">
        <v>0.12</v>
      </c>
      <c r="W13" s="702" t="n">
        <v>0.055</v>
      </c>
      <c r="X13" s="702" t="n">
        <v>0.12</v>
      </c>
      <c r="Y13" s="703" t="n"/>
      <c r="Z13" s="702" t="n">
        <v>0.04</v>
      </c>
      <c r="AA13" s="701">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5" t="n">
        <v>111090</v>
      </c>
      <c r="V14" s="325" t="n">
        <v>0.1</v>
      </c>
      <c r="W14" s="702" t="n">
        <v>0.055</v>
      </c>
      <c r="X14" s="702" t="n">
        <v>0.12</v>
      </c>
      <c r="Y14" s="703" t="n"/>
      <c r="Z14" s="702" t="n">
        <v>0.04</v>
      </c>
      <c r="AA14" s="701">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5" t="n">
        <v>147430</v>
      </c>
      <c r="V15" s="324" t="n">
        <v>0.15</v>
      </c>
      <c r="W15" s="321" t="n"/>
      <c r="X15" s="325" t="n">
        <v>0.05</v>
      </c>
      <c r="Y15" s="700" t="n">
        <v>2910</v>
      </c>
      <c r="Z15" s="325" t="n">
        <v>0.03</v>
      </c>
      <c r="AA15" s="70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4">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9" t="n">
        <v>88421.2</v>
      </c>
      <c r="V17" s="324" t="n">
        <v>0.1</v>
      </c>
      <c r="W17" s="321" t="n"/>
      <c r="X17" s="325" t="n">
        <v>0.05</v>
      </c>
      <c r="Y17" s="700" t="n">
        <v>2910</v>
      </c>
      <c r="Z17" s="325" t="n">
        <v>0.03</v>
      </c>
      <c r="AA17" s="70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9" t="n">
        <v>124200</v>
      </c>
      <c r="V18" s="324" t="n">
        <v>0.15</v>
      </c>
      <c r="W18" s="321" t="n"/>
      <c r="X18" s="325" t="n">
        <v>0.05</v>
      </c>
      <c r="Y18" s="700" t="n">
        <v>2910</v>
      </c>
      <c r="Z18" s="325" t="n">
        <v>0.03</v>
      </c>
      <c r="AA18" s="701">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9" t="n">
        <v>168801.6</v>
      </c>
      <c r="V19" s="324" t="n">
        <v>0.15</v>
      </c>
      <c r="W19" s="321" t="n"/>
      <c r="X19" s="325" t="n">
        <v>0.05</v>
      </c>
      <c r="Y19" s="700" t="n">
        <v>2910</v>
      </c>
      <c r="Z19" s="325" t="n">
        <v>0.03</v>
      </c>
      <c r="AA19" s="70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9" t="n">
        <v>108560</v>
      </c>
      <c r="V20" s="324" t="n">
        <v>0.15</v>
      </c>
      <c r="W20" s="321" t="n"/>
      <c r="X20" s="325" t="n">
        <v>0.05</v>
      </c>
      <c r="Y20" s="700" t="n">
        <v>2910</v>
      </c>
      <c r="Z20" s="325" t="n">
        <v>0.03</v>
      </c>
      <c r="AA20" s="70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5" t="n">
        <v>149030.8</v>
      </c>
      <c r="V21" s="324" t="n">
        <v>0.15</v>
      </c>
      <c r="W21" s="321" t="n"/>
      <c r="X21" s="325" t="n">
        <v>0.05</v>
      </c>
      <c r="Y21" s="700" t="n">
        <v>2910</v>
      </c>
      <c r="Z21" s="325" t="n">
        <v>0.03</v>
      </c>
      <c r="AA21" s="70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5" t="n">
        <v>165600</v>
      </c>
      <c r="V22" s="324" t="n">
        <v>0.15</v>
      </c>
      <c r="W22" s="321" t="n"/>
      <c r="X22" s="325" t="n">
        <v>0.05</v>
      </c>
      <c r="Y22" s="700" t="n">
        <v>2910</v>
      </c>
      <c r="Z22" s="325" t="n">
        <v>0.03</v>
      </c>
      <c r="AA22" s="70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5" t="n">
        <v>153920</v>
      </c>
      <c r="V23" s="325" t="n">
        <v>0.12</v>
      </c>
      <c r="W23" s="702" t="n">
        <v>0.055</v>
      </c>
      <c r="X23" s="702" t="n">
        <v>0.12</v>
      </c>
      <c r="Y23" s="703" t="n"/>
      <c r="Z23" s="702" t="n">
        <v>0.04</v>
      </c>
      <c r="AA23" s="70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5" t="n">
        <v>177320</v>
      </c>
      <c r="V24" s="325" t="n">
        <v>0.12</v>
      </c>
      <c r="W24" s="702" t="n">
        <v>0.055</v>
      </c>
      <c r="X24" s="702" t="n">
        <v>0.12</v>
      </c>
      <c r="Y24" s="703" t="n"/>
      <c r="Z24" s="702" t="n">
        <v>0.04</v>
      </c>
      <c r="AA24" s="70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5" t="n">
        <v>63388</v>
      </c>
      <c r="V25" s="324" t="n">
        <v>0.1</v>
      </c>
      <c r="W25" s="321" t="n"/>
      <c r="X25" s="325" t="n">
        <v>0.05</v>
      </c>
      <c r="Y25" s="700" t="n">
        <v>2910</v>
      </c>
      <c r="Z25" s="325" t="n">
        <v>0.03</v>
      </c>
      <c r="AA25" s="70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5" t="n">
        <v>96600</v>
      </c>
      <c r="V26" s="324" t="n">
        <v>0.1</v>
      </c>
      <c r="W26" s="321" t="n"/>
      <c r="X26" s="325" t="n">
        <v>0.05</v>
      </c>
      <c r="Y26" s="700" t="n">
        <v>2910</v>
      </c>
      <c r="Z26" s="325" t="n">
        <v>0.03</v>
      </c>
      <c r="AA26" s="70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5" t="n">
        <v>132710</v>
      </c>
      <c r="V27" s="325" t="n">
        <v>0.1</v>
      </c>
      <c r="W27" s="702" t="n">
        <v>0.055</v>
      </c>
      <c r="X27" s="702" t="n">
        <v>0.12</v>
      </c>
      <c r="Y27" s="703" t="n"/>
      <c r="Z27" s="702" t="n">
        <v>0.04</v>
      </c>
      <c r="AA27" s="70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5" t="n">
        <v>127270</v>
      </c>
      <c r="V28" s="325" t="n">
        <v>0.1</v>
      </c>
      <c r="W28" s="702" t="n">
        <v>0.055</v>
      </c>
      <c r="X28" s="702" t="n">
        <v>0.12</v>
      </c>
      <c r="Y28" s="703" t="n"/>
      <c r="Z28" s="702" t="n">
        <v>0.04</v>
      </c>
      <c r="AA28" s="70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5" t="n">
        <v>152232.4</v>
      </c>
      <c r="V29" s="324" t="n">
        <v>0.15</v>
      </c>
      <c r="W29" s="321" t="n"/>
      <c r="X29" s="325" t="n">
        <v>0.05</v>
      </c>
      <c r="Y29" s="700" t="n">
        <v>2910</v>
      </c>
      <c r="Z29" s="325" t="n">
        <v>0.03</v>
      </c>
      <c r="AA29" s="70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5" t="n">
        <v>179340</v>
      </c>
      <c r="V30" s="325" t="n">
        <v>0.12</v>
      </c>
      <c r="W30" s="702" t="n">
        <v>0.055</v>
      </c>
      <c r="X30" s="702" t="n">
        <v>0.12</v>
      </c>
      <c r="Y30" s="703" t="n"/>
      <c r="Z30" s="702" t="n">
        <v>0.04</v>
      </c>
      <c r="AA30" s="701">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5" t="n">
        <v>128800</v>
      </c>
      <c r="V31" s="324" t="n">
        <v>0.15</v>
      </c>
      <c r="W31" s="321" t="n"/>
      <c r="X31" s="325" t="n">
        <v>0.05</v>
      </c>
      <c r="Y31" s="700" t="n">
        <v>2910</v>
      </c>
      <c r="Z31" s="325" t="n">
        <v>0.03</v>
      </c>
      <c r="AA31" s="70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5" t="n">
        <v>168160</v>
      </c>
      <c r="V32" s="325" t="n">
        <v>0.12</v>
      </c>
      <c r="W32" s="702" t="n">
        <v>0.055</v>
      </c>
      <c r="X32" s="702" t="n">
        <v>0.12</v>
      </c>
      <c r="Y32" s="703" t="n"/>
      <c r="Z32" s="702" t="n">
        <v>0.04</v>
      </c>
      <c r="AA32" s="701">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5" t="n">
        <v>105800</v>
      </c>
      <c r="V33" s="324" t="n">
        <v>0.15</v>
      </c>
      <c r="W33" s="321" t="n"/>
      <c r="X33" s="325" t="n">
        <v>0.05</v>
      </c>
      <c r="Y33" s="700" t="n">
        <v>2910</v>
      </c>
      <c r="Z33" s="325" t="n">
        <v>0.03</v>
      </c>
      <c r="AA33" s="701">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5" t="n">
        <v>115230</v>
      </c>
      <c r="V34" s="324" t="n">
        <v>0.15</v>
      </c>
      <c r="W34" s="321" t="n"/>
      <c r="X34" s="325" t="n">
        <v>0.05</v>
      </c>
      <c r="Y34" s="700" t="n">
        <v>2910</v>
      </c>
      <c r="Z34" s="325" t="n">
        <v>0.03</v>
      </c>
      <c r="AA34" s="70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5" t="n">
        <v>86148.8</v>
      </c>
      <c r="V35" s="324" t="n">
        <v>0.1</v>
      </c>
      <c r="W35" s="321" t="n"/>
      <c r="X35" s="325" t="n">
        <v>0.05</v>
      </c>
      <c r="Y35" s="700" t="n">
        <v>2910</v>
      </c>
      <c r="Z35" s="325" t="n">
        <v>0.03</v>
      </c>
      <c r="AA35" s="70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5" t="n">
        <v>142360</v>
      </c>
      <c r="V36" s="325" t="n">
        <v>0.12</v>
      </c>
      <c r="W36" s="702" t="n">
        <v>0.055</v>
      </c>
      <c r="X36" s="702" t="n">
        <v>0.12</v>
      </c>
      <c r="Y36" s="703" t="n"/>
      <c r="Z36" s="702" t="n">
        <v>0.04</v>
      </c>
      <c r="AA36" s="701">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4">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5" t="n">
        <v>134270</v>
      </c>
      <c r="V38" s="325" t="n">
        <v>0.1</v>
      </c>
      <c r="W38" s="702" t="n">
        <v>0.055</v>
      </c>
      <c r="X38" s="702" t="n">
        <v>0.12</v>
      </c>
      <c r="Y38" s="703" t="n"/>
      <c r="Z38" s="702" t="n">
        <v>0.04</v>
      </c>
      <c r="AA38" s="701">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5" t="n">
        <v>145340</v>
      </c>
      <c r="V39" s="325" t="n">
        <v>0.12</v>
      </c>
      <c r="W39" s="702" t="n">
        <v>0.055</v>
      </c>
      <c r="X39" s="702" t="n">
        <v>0.12</v>
      </c>
      <c r="Y39" s="703" t="n"/>
      <c r="Z39" s="702" t="n">
        <v>0.04</v>
      </c>
      <c r="AA39" s="70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5" t="n">
        <v>195141.2</v>
      </c>
      <c r="V40" s="324" t="n">
        <v>0.15</v>
      </c>
      <c r="W40" s="321" t="n"/>
      <c r="X40" s="325" t="n">
        <v>0.05</v>
      </c>
      <c r="Y40" s="700" t="n">
        <v>2910</v>
      </c>
      <c r="Z40" s="325" t="n">
        <v>0.03</v>
      </c>
      <c r="AA40" s="70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5" t="n">
        <v>161883.2</v>
      </c>
      <c r="V41" s="324" t="n">
        <v>0.15</v>
      </c>
      <c r="W41" s="321" t="n"/>
      <c r="X41" s="325" t="n">
        <v>0.05</v>
      </c>
      <c r="Y41" s="700" t="n">
        <v>2910</v>
      </c>
      <c r="Z41" s="325" t="n">
        <v>0.03</v>
      </c>
      <c r="AA41" s="70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5" t="n">
        <v>66240</v>
      </c>
      <c r="V42" s="324" t="n">
        <v>0.1</v>
      </c>
      <c r="W42" s="322" t="n"/>
      <c r="X42" s="325" t="n">
        <v>0.05</v>
      </c>
      <c r="Y42" s="700" t="n">
        <v>2910</v>
      </c>
      <c r="Z42" s="325" t="n">
        <v>0.03</v>
      </c>
      <c r="AA42" s="70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5" t="n">
        <v>310000</v>
      </c>
      <c r="V43" s="325" t="n">
        <v>0.2</v>
      </c>
      <c r="W43" s="702" t="n">
        <v>0.055</v>
      </c>
      <c r="X43" s="702" t="n">
        <v>0.12</v>
      </c>
      <c r="Y43" s="703" t="n"/>
      <c r="Z43" s="702" t="n">
        <v>0.04</v>
      </c>
      <c r="AA43" s="701">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5" t="n">
        <v>139350</v>
      </c>
      <c r="V44" s="325" t="n">
        <v>0.12</v>
      </c>
      <c r="W44" s="702" t="n">
        <v>0.055</v>
      </c>
      <c r="X44" s="702" t="n">
        <v>0.12</v>
      </c>
      <c r="Y44" s="703" t="n"/>
      <c r="Z44" s="702" t="n">
        <v>0.04</v>
      </c>
      <c r="AA44" s="701">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5" t="n">
        <v>106876.4</v>
      </c>
      <c r="V45" s="324" t="n">
        <v>0.15</v>
      </c>
      <c r="W45" s="322" t="n"/>
      <c r="X45" s="325" t="n">
        <v>0.05</v>
      </c>
      <c r="Y45" s="700" t="n">
        <v>2910</v>
      </c>
      <c r="Z45" s="325" t="n">
        <v>0.03</v>
      </c>
      <c r="AA45" s="70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5" t="n">
        <v>159730.4</v>
      </c>
      <c r="V46" s="324" t="n">
        <v>0.15</v>
      </c>
      <c r="W46" s="340" t="n"/>
      <c r="X46" s="325" t="n">
        <v>0.05</v>
      </c>
      <c r="Y46" s="700" t="n">
        <v>2910</v>
      </c>
      <c r="Z46" s="325" t="n">
        <v>0.03</v>
      </c>
      <c r="AA46" s="70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5" t="n">
        <v>135000</v>
      </c>
      <c r="V47" s="325" t="n">
        <v>0.12</v>
      </c>
      <c r="W47" s="702" t="n">
        <v>0.055</v>
      </c>
      <c r="X47" s="702" t="n">
        <v>0.12</v>
      </c>
      <c r="Y47" s="703" t="n"/>
      <c r="Z47" s="702" t="n">
        <v>0.04</v>
      </c>
      <c r="AA47" s="70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5" t="n">
        <v>185140</v>
      </c>
      <c r="V48" s="325" t="n">
        <v>0.12</v>
      </c>
      <c r="W48" s="702" t="n">
        <v>0.055</v>
      </c>
      <c r="X48" s="702" t="n">
        <v>0.12</v>
      </c>
      <c r="Y48" s="703" t="n"/>
      <c r="Z48" s="702" t="n">
        <v>0.04</v>
      </c>
      <c r="AA48" s="701">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5" t="n">
        <v>108578.4</v>
      </c>
      <c r="V49" s="324" t="n">
        <v>0.15</v>
      </c>
      <c r="W49" s="322" t="n"/>
      <c r="X49" s="325" t="n">
        <v>0.05</v>
      </c>
      <c r="Y49" s="700" t="n">
        <v>2910</v>
      </c>
      <c r="Z49" s="325" t="n">
        <v>0.03</v>
      </c>
      <c r="AA49" s="701">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5" t="n">
        <v>75338.8</v>
      </c>
      <c r="V50" s="324" t="n">
        <v>0.1</v>
      </c>
      <c r="W50" s="322" t="n"/>
      <c r="X50" s="325" t="n">
        <v>0.05</v>
      </c>
      <c r="Y50" s="700" t="n">
        <v>2910</v>
      </c>
      <c r="Z50" s="325" t="n">
        <v>0.03</v>
      </c>
      <c r="AA50" s="70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5" t="n">
        <v>159010</v>
      </c>
      <c r="V51" s="325" t="n">
        <v>0.12</v>
      </c>
      <c r="W51" s="702" t="n">
        <v>0.055</v>
      </c>
      <c r="X51" s="702" t="n">
        <v>0.12</v>
      </c>
      <c r="Y51" s="703" t="n"/>
      <c r="Z51" s="702" t="n">
        <v>0.04</v>
      </c>
      <c r="AA51" s="701">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5" t="n">
        <v>196740</v>
      </c>
      <c r="V52" s="325" t="n">
        <v>0.12</v>
      </c>
      <c r="W52" s="702" t="n">
        <v>0.055</v>
      </c>
      <c r="X52" s="702" t="n">
        <v>0.12</v>
      </c>
      <c r="Y52" s="703" t="n"/>
      <c r="Z52" s="702" t="n">
        <v>0.04</v>
      </c>
      <c r="AA52" s="70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5" t="n">
        <v>100000</v>
      </c>
      <c r="V53" s="325" t="n">
        <v>0.12</v>
      </c>
      <c r="W53" s="702" t="n">
        <v>0.055</v>
      </c>
      <c r="X53" s="702" t="n">
        <v>0.12</v>
      </c>
      <c r="Y53" s="703" t="n"/>
      <c r="Z53" s="702" t="n">
        <v>0.04</v>
      </c>
      <c r="AA53" s="701">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5" t="n">
        <v>123240</v>
      </c>
      <c r="V54" s="325" t="n">
        <v>0.1</v>
      </c>
      <c r="W54" s="702" t="n">
        <v>0.055</v>
      </c>
      <c r="X54" s="702" t="n">
        <v>0.12</v>
      </c>
      <c r="Y54" s="703" t="n"/>
      <c r="Z54" s="702" t="n">
        <v>0.04</v>
      </c>
      <c r="AA54" s="70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5" t="n">
        <v>160460</v>
      </c>
      <c r="V55" s="325" t="n">
        <v>0.12</v>
      </c>
      <c r="W55" s="702" t="n">
        <v>0.055</v>
      </c>
      <c r="X55" s="702" t="n">
        <v>0.12</v>
      </c>
      <c r="Y55" s="703" t="n"/>
      <c r="Z55" s="702" t="n">
        <v>0.04</v>
      </c>
      <c r="AA55" s="701">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5" t="n">
        <v>117520.8</v>
      </c>
      <c r="V56" s="324" t="n">
        <v>0.15</v>
      </c>
      <c r="W56" s="322" t="n"/>
      <c r="X56" s="325" t="n">
        <v>0.05</v>
      </c>
      <c r="Y56" s="700" t="n">
        <v>2910</v>
      </c>
      <c r="Z56" s="325" t="n">
        <v>0.03</v>
      </c>
      <c r="AA56" s="70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5" t="n">
        <v>133110</v>
      </c>
      <c r="V57" s="325" t="n">
        <v>0.1</v>
      </c>
      <c r="W57" s="702" t="n">
        <v>0.055</v>
      </c>
      <c r="X57" s="702" t="n">
        <v>0.12</v>
      </c>
      <c r="Y57" s="703" t="n"/>
      <c r="Z57" s="702" t="n">
        <v>0.04</v>
      </c>
      <c r="AA57" s="701">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5" t="n">
        <v>154420</v>
      </c>
      <c r="V58" s="325" t="n">
        <v>0.12</v>
      </c>
      <c r="W58" s="702" t="n">
        <v>0.055</v>
      </c>
      <c r="X58" s="702" t="n">
        <v>0.12</v>
      </c>
      <c r="Y58" s="703" t="n"/>
      <c r="Z58" s="702" t="n">
        <v>0.04</v>
      </c>
      <c r="AA58" s="70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5" t="n">
        <v>152220</v>
      </c>
      <c r="V59" s="325" t="n">
        <v>0.12</v>
      </c>
      <c r="W59" s="702" t="n">
        <v>0.055</v>
      </c>
      <c r="X59" s="702" t="n">
        <v>0.12</v>
      </c>
      <c r="Y59" s="703" t="n"/>
      <c r="Z59" s="702" t="n">
        <v>0.04</v>
      </c>
      <c r="AA59" s="70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5" t="n">
        <v>194190</v>
      </c>
      <c r="V60" s="325" t="n">
        <v>0.12</v>
      </c>
      <c r="W60" s="702" t="n">
        <v>0.055</v>
      </c>
      <c r="X60" s="702" t="n">
        <v>0.12</v>
      </c>
      <c r="Y60" s="703" t="n"/>
      <c r="Z60" s="702" t="n">
        <v>0.04</v>
      </c>
      <c r="AA60" s="70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5" t="n">
        <v>200410</v>
      </c>
      <c r="V61" s="325" t="n">
        <v>0.12</v>
      </c>
      <c r="W61" s="702" t="n">
        <v>0.055</v>
      </c>
      <c r="X61" s="702" t="n">
        <v>0.12</v>
      </c>
      <c r="Y61" s="703" t="n"/>
      <c r="Z61" s="702" t="n">
        <v>0.04</v>
      </c>
      <c r="AA61" s="70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5" t="n">
        <v>118280</v>
      </c>
      <c r="V62" s="325" t="n">
        <v>0.1</v>
      </c>
      <c r="W62" s="702" t="n">
        <v>0.055</v>
      </c>
      <c r="X62" s="702" t="n">
        <v>0.12</v>
      </c>
      <c r="Y62" s="703" t="n"/>
      <c r="Z62" s="702" t="n">
        <v>0.04</v>
      </c>
      <c r="AA62" s="70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5" t="n">
        <v>159371.6</v>
      </c>
      <c r="V63" s="324" t="n">
        <v>0.15</v>
      </c>
      <c r="W63" s="322" t="n"/>
      <c r="X63" s="325" t="n">
        <v>0.05</v>
      </c>
      <c r="Y63" s="700" t="n">
        <v>2910</v>
      </c>
      <c r="Z63" s="325" t="n">
        <v>0.03</v>
      </c>
      <c r="AA63" s="70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5" t="n">
        <v>189604</v>
      </c>
      <c r="V64" s="325" t="n">
        <v>0.14</v>
      </c>
      <c r="W64" s="702" t="n">
        <v>0.055</v>
      </c>
      <c r="X64" s="702" t="n">
        <v>0.12</v>
      </c>
      <c r="Y64" s="703" t="n"/>
      <c r="Z64" s="702" t="n">
        <v>0.04</v>
      </c>
      <c r="AA64" s="70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5" t="n">
        <v>180025.6</v>
      </c>
      <c r="V65" s="324" t="n">
        <v>0.15</v>
      </c>
      <c r="W65" s="322" t="n"/>
      <c r="X65" s="325" t="n">
        <v>0.05</v>
      </c>
      <c r="Y65" s="700" t="n">
        <v>2910</v>
      </c>
      <c r="Z65" s="325" t="n">
        <v>0.03</v>
      </c>
      <c r="AA65" s="70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5" t="n">
        <v>133300</v>
      </c>
      <c r="V66" s="325" t="n">
        <v>0.1</v>
      </c>
      <c r="W66" s="702" t="n">
        <v>0.055</v>
      </c>
      <c r="X66" s="702" t="n">
        <v>0.12</v>
      </c>
      <c r="Y66" s="703" t="n"/>
      <c r="Z66" s="702" t="n">
        <v>0.04</v>
      </c>
      <c r="AA66" s="701">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5" t="n">
        <v>151950</v>
      </c>
      <c r="V67" s="325" t="n">
        <v>0.12</v>
      </c>
      <c r="W67" s="702" t="n">
        <v>0.055</v>
      </c>
      <c r="X67" s="702" t="n">
        <v>0.12</v>
      </c>
      <c r="Y67" s="703" t="n"/>
      <c r="Z67" s="702" t="n">
        <v>0.04</v>
      </c>
      <c r="AA67" s="701">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5" t="n">
        <v>129650</v>
      </c>
      <c r="V68" s="325" t="n">
        <v>0.1</v>
      </c>
      <c r="W68" s="702" t="n">
        <v>0.055</v>
      </c>
      <c r="X68" s="702" t="n">
        <v>0.12</v>
      </c>
      <c r="Y68" s="703" t="n"/>
      <c r="Z68" s="702" t="n">
        <v>0.04</v>
      </c>
      <c r="AA68" s="701">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5" t="n">
        <v>129650</v>
      </c>
      <c r="V69" s="325" t="n">
        <v>0.1</v>
      </c>
      <c r="W69" s="702" t="n">
        <v>0.055</v>
      </c>
      <c r="X69" s="702" t="n">
        <v>0.12</v>
      </c>
      <c r="Y69" s="703" t="n"/>
      <c r="Z69" s="702" t="n">
        <v>0.04</v>
      </c>
      <c r="AA69" s="701">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5" t="n">
        <v>129659</v>
      </c>
      <c r="V70" s="325" t="n">
        <v>0.1</v>
      </c>
      <c r="W70" s="702" t="n">
        <v>0.055</v>
      </c>
      <c r="X70" s="702" t="n">
        <v>0.12</v>
      </c>
      <c r="Y70" s="703" t="n"/>
      <c r="Z70" s="702" t="n">
        <v>0.04</v>
      </c>
      <c r="AA70" s="701">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5" t="n">
        <v>129659</v>
      </c>
      <c r="V71" s="325" t="n">
        <v>0.1</v>
      </c>
      <c r="W71" s="702" t="n">
        <v>0.055</v>
      </c>
      <c r="X71" s="702" t="n">
        <v>0.12</v>
      </c>
      <c r="Y71" s="703" t="n"/>
      <c r="Z71" s="702" t="n">
        <v>0.04</v>
      </c>
      <c r="AA71" s="701">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5" t="n">
        <v>151000</v>
      </c>
      <c r="V72" s="325" t="n">
        <v>0.12</v>
      </c>
      <c r="W72" s="702" t="n">
        <v>0.055</v>
      </c>
      <c r="X72" s="702" t="n">
        <v>0.12</v>
      </c>
      <c r="Y72" s="703" t="n"/>
      <c r="Z72" s="702" t="n">
        <v>0.04</v>
      </c>
      <c r="AA72" s="701">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5" t="n">
        <v>151000</v>
      </c>
      <c r="V73" s="325" t="n">
        <v>0.12</v>
      </c>
      <c r="W73" s="702" t="n">
        <v>0.055</v>
      </c>
      <c r="X73" s="702" t="n">
        <v>0.12</v>
      </c>
      <c r="Y73" s="703" t="n"/>
      <c r="Z73" s="702" t="n">
        <v>0.04</v>
      </c>
      <c r="AA73" s="701">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5" t="n">
        <v>173550</v>
      </c>
      <c r="V74" s="325" t="n">
        <v>0.12</v>
      </c>
      <c r="W74" s="702" t="n">
        <v>0.055</v>
      </c>
      <c r="X74" s="702" t="n">
        <v>0.12</v>
      </c>
      <c r="Y74" s="703" t="n"/>
      <c r="Z74" s="702" t="n">
        <v>0.04</v>
      </c>
      <c r="AA74" s="701">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5" t="n">
        <v>151950</v>
      </c>
      <c r="V75" s="325" t="n">
        <v>0.12</v>
      </c>
      <c r="W75" s="702" t="n">
        <v>0.055</v>
      </c>
      <c r="X75" s="702" t="n">
        <v>0.12</v>
      </c>
      <c r="Y75" s="703" t="n"/>
      <c r="Z75" s="702" t="n">
        <v>0.04</v>
      </c>
      <c r="AA75" s="701">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5" t="n">
        <v>151950</v>
      </c>
      <c r="V76" s="325" t="n">
        <v>0.12</v>
      </c>
      <c r="W76" s="702" t="n">
        <v>0.055</v>
      </c>
      <c r="X76" s="702" t="n">
        <v>0.12</v>
      </c>
      <c r="Y76" s="703" t="n"/>
      <c r="Z76" s="702" t="n">
        <v>0.04</v>
      </c>
      <c r="AA76" s="701">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5" t="n">
        <v>151950</v>
      </c>
      <c r="V77" s="325" t="n">
        <v>0.12</v>
      </c>
      <c r="W77" s="702" t="n">
        <v>0.055</v>
      </c>
      <c r="X77" s="702" t="n">
        <v>0.12</v>
      </c>
      <c r="Y77" s="703" t="n"/>
      <c r="Z77" s="702" t="n">
        <v>0.04</v>
      </c>
      <c r="AA77" s="701">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5" t="n">
        <v>129650</v>
      </c>
      <c r="V78" s="325" t="n">
        <v>0.1</v>
      </c>
      <c r="W78" s="702" t="n">
        <v>0.055</v>
      </c>
      <c r="X78" s="702" t="n">
        <v>0.12</v>
      </c>
      <c r="Y78" s="703" t="n"/>
      <c r="Z78" s="702" t="n">
        <v>0.04</v>
      </c>
      <c r="AA78" s="701">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5" t="n">
        <v>129650</v>
      </c>
      <c r="V79" s="325" t="n">
        <v>0.1</v>
      </c>
      <c r="W79" s="702" t="n">
        <v>0.055</v>
      </c>
      <c r="X79" s="702" t="n">
        <v>0.12</v>
      </c>
      <c r="Y79" s="703" t="n"/>
      <c r="Z79" s="702" t="n">
        <v>0.04</v>
      </c>
      <c r="AA79" s="701">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5" t="n">
        <v>129650</v>
      </c>
      <c r="V80" s="325" t="n">
        <v>0.1</v>
      </c>
      <c r="W80" s="702" t="n">
        <v>0.055</v>
      </c>
      <c r="X80" s="702" t="n">
        <v>0.12</v>
      </c>
      <c r="Y80" s="703" t="n"/>
      <c r="Z80" s="702" t="n">
        <v>0.04</v>
      </c>
      <c r="AA80" s="701">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5" t="n">
        <v>151950</v>
      </c>
      <c r="V81" s="325" t="n">
        <v>0.12</v>
      </c>
      <c r="W81" s="702" t="n">
        <v>0.055</v>
      </c>
      <c r="X81" s="702" t="n">
        <v>0.12</v>
      </c>
      <c r="Y81" s="703" t="n"/>
      <c r="Z81" s="702" t="n">
        <v>0.04</v>
      </c>
      <c r="AA81" s="701">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5" t="n">
        <v>151950</v>
      </c>
      <c r="V82" s="325" t="n">
        <v>0.12</v>
      </c>
      <c r="W82" s="702" t="n">
        <v>0.055</v>
      </c>
      <c r="X82" s="702" t="n">
        <v>0.12</v>
      </c>
      <c r="Y82" s="703" t="n"/>
      <c r="Z82" s="702" t="n">
        <v>0.04</v>
      </c>
      <c r="AA82" s="70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5" t="n">
        <v>173550</v>
      </c>
      <c r="V83" s="325" t="n">
        <v>0.12</v>
      </c>
      <c r="W83" s="702" t="n">
        <v>0.055</v>
      </c>
      <c r="X83" s="702" t="n">
        <v>0.12</v>
      </c>
      <c r="Y83" s="703" t="n"/>
      <c r="Z83" s="702" t="n">
        <v>0.04</v>
      </c>
      <c r="AA83" s="701">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5" t="n">
        <v>168160</v>
      </c>
      <c r="V84" s="325" t="n">
        <v>0.12</v>
      </c>
      <c r="W84" s="702" t="n">
        <v>0.055</v>
      </c>
      <c r="X84" s="702" t="n">
        <v>0.12</v>
      </c>
      <c r="Y84" s="703" t="n"/>
      <c r="Z84" s="702" t="n">
        <v>0.04</v>
      </c>
      <c r="AA84" s="70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5" t="n">
        <v>129659</v>
      </c>
      <c r="V85" s="325" t="n">
        <v>0.1</v>
      </c>
      <c r="W85" s="702" t="n">
        <v>0.055</v>
      </c>
      <c r="X85" s="702" t="n">
        <v>0.12</v>
      </c>
      <c r="Y85" s="703" t="n"/>
      <c r="Z85" s="702" t="n">
        <v>0.04</v>
      </c>
      <c r="AA85" s="701">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5" t="n">
        <v>129659</v>
      </c>
      <c r="V86" s="325" t="n">
        <v>0.1</v>
      </c>
      <c r="W86" s="702" t="n">
        <v>0.055</v>
      </c>
      <c r="X86" s="702" t="n">
        <v>0.12</v>
      </c>
      <c r="Y86" s="703" t="n"/>
      <c r="Z86" s="702" t="n">
        <v>0.04</v>
      </c>
      <c r="AA86" s="701">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5" t="n">
        <v>151950</v>
      </c>
      <c r="V87" s="325" t="n">
        <v>0.12</v>
      </c>
      <c r="W87" s="702" t="n">
        <v>0.055</v>
      </c>
      <c r="X87" s="702" t="n">
        <v>0.12</v>
      </c>
      <c r="Y87" s="703" t="n"/>
      <c r="Z87" s="702" t="n">
        <v>0.04</v>
      </c>
      <c r="AA87" s="701">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5" t="n">
        <v>151950</v>
      </c>
      <c r="V88" s="325" t="n">
        <v>0.12</v>
      </c>
      <c r="W88" s="702" t="n">
        <v>0.055</v>
      </c>
      <c r="X88" s="702" t="n">
        <v>0.12</v>
      </c>
      <c r="Y88" s="703" t="n"/>
      <c r="Z88" s="702" t="n">
        <v>0.04</v>
      </c>
      <c r="AA88" s="701">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5" t="n">
        <v>151950</v>
      </c>
      <c r="V89" s="325" t="n">
        <v>0.12</v>
      </c>
      <c r="W89" s="702" t="n">
        <v>0.055</v>
      </c>
      <c r="X89" s="702" t="n">
        <v>0.12</v>
      </c>
      <c r="Y89" s="703" t="n"/>
      <c r="Z89" s="702" t="n">
        <v>0.04</v>
      </c>
      <c r="AA89" s="701">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5" t="n">
        <v>151950</v>
      </c>
      <c r="V90" s="325" t="n">
        <v>0.12</v>
      </c>
      <c r="W90" s="702" t="n">
        <v>0.055</v>
      </c>
      <c r="X90" s="702" t="n">
        <v>0.12</v>
      </c>
      <c r="Y90" s="703" t="n"/>
      <c r="Z90" s="702" t="n">
        <v>0.04</v>
      </c>
      <c r="AA90" s="701">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5" t="n">
        <v>173550</v>
      </c>
      <c r="V91" s="325" t="n">
        <v>0.12</v>
      </c>
      <c r="W91" s="702" t="n">
        <v>0.055</v>
      </c>
      <c r="X91" s="702" t="n">
        <v>0.12</v>
      </c>
      <c r="Y91" s="703" t="n"/>
      <c r="Z91" s="702" t="n">
        <v>0.04</v>
      </c>
      <c r="AA91" s="70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5" t="n">
        <v>151950</v>
      </c>
      <c r="V92" s="325" t="n">
        <v>0.12</v>
      </c>
      <c r="W92" s="702" t="n">
        <v>0.055</v>
      </c>
      <c r="X92" s="702" t="n">
        <v>0.12</v>
      </c>
      <c r="Y92" s="703" t="n"/>
      <c r="Z92" s="702" t="n">
        <v>0.04</v>
      </c>
      <c r="AA92" s="701">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5" t="n">
        <v>129659</v>
      </c>
      <c r="V93" s="325" t="n">
        <v>0.1</v>
      </c>
      <c r="W93" s="702" t="n">
        <v>0.055</v>
      </c>
      <c r="X93" s="702" t="n">
        <v>0.12</v>
      </c>
      <c r="Y93" s="703" t="n"/>
      <c r="Z93" s="702" t="n">
        <v>0.04</v>
      </c>
      <c r="AA93" s="70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5" t="n">
        <v>173550</v>
      </c>
      <c r="V94" s="325" t="n">
        <v>0.12</v>
      </c>
      <c r="W94" s="702" t="n">
        <v>0.055</v>
      </c>
      <c r="X94" s="702" t="n">
        <v>0.12</v>
      </c>
      <c r="Y94" s="703" t="n"/>
      <c r="Z94" s="702" t="n">
        <v>0.04</v>
      </c>
      <c r="AA94" s="701">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5" t="n">
        <v>203550</v>
      </c>
      <c r="V95" s="325" t="n">
        <v>0.14</v>
      </c>
      <c r="W95" s="702" t="n">
        <v>0.055</v>
      </c>
      <c r="X95" s="702" t="n">
        <v>0.12</v>
      </c>
      <c r="Y95" s="703" t="n"/>
      <c r="Z95" s="702" t="n">
        <v>0.04</v>
      </c>
      <c r="AA95" s="701">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5" t="n">
        <v>151950</v>
      </c>
      <c r="V96" s="325" t="n">
        <v>0.12</v>
      </c>
      <c r="W96" s="702" t="n">
        <v>0.055</v>
      </c>
      <c r="X96" s="702" t="n">
        <v>0.12</v>
      </c>
      <c r="Y96" s="703" t="n"/>
      <c r="Z96" s="702" t="n">
        <v>0.04</v>
      </c>
      <c r="AA96" s="701">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5" t="n">
        <v>151950</v>
      </c>
      <c r="V97" s="325" t="n">
        <v>0.12</v>
      </c>
      <c r="W97" s="702" t="n">
        <v>0.055</v>
      </c>
      <c r="X97" s="702" t="n">
        <v>0.12</v>
      </c>
      <c r="Y97" s="703" t="n"/>
      <c r="Z97" s="702" t="n">
        <v>0.04</v>
      </c>
      <c r="AA97" s="701">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5" t="n">
        <v>173550</v>
      </c>
      <c r="V98" s="325" t="n">
        <v>0.12</v>
      </c>
      <c r="W98" s="702" t="n">
        <v>0.055</v>
      </c>
      <c r="X98" s="702" t="n">
        <v>0.12</v>
      </c>
      <c r="Y98" s="703" t="n"/>
      <c r="Z98" s="702" t="n">
        <v>0.04</v>
      </c>
      <c r="AA98" s="701">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5" t="n">
        <v>129650</v>
      </c>
      <c r="V99" s="325" t="n">
        <v>0.1</v>
      </c>
      <c r="W99" s="702" t="n">
        <v>0.055</v>
      </c>
      <c r="X99" s="702" t="n">
        <v>0.12</v>
      </c>
      <c r="Y99" s="703" t="n"/>
      <c r="Z99" s="702" t="n">
        <v>0.04</v>
      </c>
      <c r="AA99" s="701">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5" t="n">
        <v>203550</v>
      </c>
      <c r="V100" s="325" t="n">
        <v>0.14</v>
      </c>
      <c r="W100" s="702" t="n">
        <v>0.055</v>
      </c>
      <c r="X100" s="702" t="n">
        <v>0.12</v>
      </c>
      <c r="Y100" s="703" t="n"/>
      <c r="Z100" s="702" t="n">
        <v>0.04</v>
      </c>
      <c r="AA100" s="70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5" t="n">
        <v>203550</v>
      </c>
      <c r="V101" s="325" t="n">
        <v>0.14</v>
      </c>
      <c r="W101" s="702" t="n">
        <v>0.055</v>
      </c>
      <c r="X101" s="702" t="n">
        <v>0.12</v>
      </c>
      <c r="Y101" s="703" t="n"/>
      <c r="Z101" s="702" t="n">
        <v>0.04</v>
      </c>
      <c r="AA101" s="701">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5" t="n">
        <v>225400</v>
      </c>
      <c r="V102" s="324" t="n">
        <v>0.2</v>
      </c>
      <c r="W102" s="322" t="n"/>
      <c r="X102" s="325" t="n">
        <v>0.05</v>
      </c>
      <c r="Y102" s="700" t="n">
        <v>2910</v>
      </c>
      <c r="Z102" s="325" t="n">
        <v>0.03</v>
      </c>
      <c r="AA102" s="701">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5" t="n">
        <v>190225</v>
      </c>
      <c r="V103" s="325" t="n">
        <v>0.14</v>
      </c>
      <c r="W103" s="702" t="n">
        <v>0.055</v>
      </c>
      <c r="X103" s="702" t="n">
        <v>0.12</v>
      </c>
      <c r="Y103" s="703" t="n"/>
      <c r="Z103" s="702" t="n">
        <v>0.04</v>
      </c>
      <c r="AA103" s="70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5" t="n">
        <v>223570</v>
      </c>
      <c r="V104" s="325" t="n">
        <v>0.14</v>
      </c>
      <c r="W104" s="702" t="n">
        <v>0.055</v>
      </c>
      <c r="X104" s="702" t="n">
        <v>0.12</v>
      </c>
      <c r="Y104" s="703" t="n"/>
      <c r="Z104" s="702" t="n">
        <v>0.04</v>
      </c>
      <c r="AA104" s="70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5" t="n">
        <v>160153.6</v>
      </c>
      <c r="V105" s="324" t="n">
        <v>0.15</v>
      </c>
      <c r="W105" s="322" t="n"/>
      <c r="X105" s="325" t="n">
        <v>0.05</v>
      </c>
      <c r="Y105" s="700" t="n">
        <v>2910</v>
      </c>
      <c r="Z105" s="325" t="n">
        <v>0.03</v>
      </c>
      <c r="AA105" s="70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5" t="n">
        <v>136670</v>
      </c>
      <c r="V106" s="325" t="n">
        <v>0.12</v>
      </c>
      <c r="W106" s="702" t="n">
        <v>0.055</v>
      </c>
      <c r="X106" s="702" t="n">
        <v>0.12</v>
      </c>
      <c r="Y106" s="703" t="n"/>
      <c r="Z106" s="702" t="n">
        <v>0.04</v>
      </c>
      <c r="AA106" s="701">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5" t="n">
        <v>210000</v>
      </c>
      <c r="V107" s="325" t="n">
        <v>0.14</v>
      </c>
      <c r="W107" s="702" t="n">
        <v>0.055</v>
      </c>
      <c r="X107" s="702" t="n">
        <v>0.12</v>
      </c>
      <c r="Y107" s="703" t="n"/>
      <c r="Z107" s="702" t="n">
        <v>0.04</v>
      </c>
      <c r="AA107" s="70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5" t="n">
        <v>160000</v>
      </c>
      <c r="V108" s="325" t="n">
        <v>0.12</v>
      </c>
      <c r="W108" s="702" t="n">
        <v>0.055</v>
      </c>
      <c r="X108" s="702" t="n">
        <v>0.12</v>
      </c>
      <c r="Y108" s="703" t="n"/>
      <c r="Z108" s="702" t="n">
        <v>0.04</v>
      </c>
      <c r="AA108" s="70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5" t="n">
        <v>145000</v>
      </c>
      <c r="V109" s="325" t="n">
        <v>0.12</v>
      </c>
      <c r="W109" s="702" t="n">
        <v>0.055</v>
      </c>
      <c r="X109" s="702" t="n">
        <v>0.12</v>
      </c>
      <c r="Y109" s="703" t="n"/>
      <c r="Z109" s="702" t="n">
        <v>0.04</v>
      </c>
      <c r="AA109" s="70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5" t="n">
        <v>110700</v>
      </c>
      <c r="V110" s="325" t="n">
        <v>0.1</v>
      </c>
      <c r="W110" s="702" t="n">
        <v>0.055</v>
      </c>
      <c r="X110" s="702" t="n">
        <v>0.12</v>
      </c>
      <c r="Y110" s="703" t="n"/>
      <c r="Z110" s="702" t="n">
        <v>0.04</v>
      </c>
      <c r="AA110" s="70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4">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5" t="n">
        <v>107373.2</v>
      </c>
      <c r="V112" s="324" t="n">
        <v>0.15</v>
      </c>
      <c r="W112" s="322" t="n"/>
      <c r="X112" s="325" t="n">
        <v>0.05</v>
      </c>
      <c r="Y112" s="700" t="n">
        <v>2910</v>
      </c>
      <c r="Z112" s="325" t="n">
        <v>0.03</v>
      </c>
      <c r="AA112" s="70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5" t="n">
        <v>182500</v>
      </c>
      <c r="V113" s="325" t="n">
        <v>0.12</v>
      </c>
      <c r="W113" s="702" t="n">
        <v>0.055</v>
      </c>
      <c r="X113" s="702" t="n">
        <v>0.12</v>
      </c>
      <c r="Y113" s="703" t="n"/>
      <c r="Z113" s="702" t="n">
        <v>0.04</v>
      </c>
      <c r="AA113" s="70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5" t="n">
        <v>160930</v>
      </c>
      <c r="V114" s="325" t="n">
        <v>0.25</v>
      </c>
      <c r="W114" s="322" t="n"/>
      <c r="X114" s="325" t="n">
        <v>0.17</v>
      </c>
      <c r="Y114" s="700" t="n">
        <v>3310</v>
      </c>
      <c r="Z114" s="347" t="n">
        <v>0.045</v>
      </c>
      <c r="AA114" s="70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5" t="n">
        <v>176280</v>
      </c>
      <c r="V115" s="325" t="n">
        <v>0.12</v>
      </c>
      <c r="W115" s="702" t="n">
        <v>0.055</v>
      </c>
      <c r="X115" s="702" t="n">
        <v>0.12</v>
      </c>
      <c r="Y115" s="703" t="n"/>
      <c r="Z115" s="702" t="n">
        <v>0.04</v>
      </c>
      <c r="AA115" s="701">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4">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4">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5" t="n">
        <v>163310</v>
      </c>
      <c r="V118" s="325" t="n">
        <v>0.12</v>
      </c>
      <c r="W118" s="702" t="n">
        <v>0.055</v>
      </c>
      <c r="X118" s="702" t="n">
        <v>0.12</v>
      </c>
      <c r="Y118" s="703" t="n"/>
      <c r="Z118" s="702" t="n">
        <v>0.04</v>
      </c>
      <c r="AA118" s="70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5" t="n">
        <v>161830</v>
      </c>
      <c r="V119" s="325" t="n">
        <v>0.12</v>
      </c>
      <c r="W119" s="702" t="n">
        <v>0.055</v>
      </c>
      <c r="X119" s="702" t="n">
        <v>0.12</v>
      </c>
      <c r="Y119" s="703" t="n"/>
      <c r="Z119" s="702" t="n">
        <v>0.04</v>
      </c>
      <c r="AA119" s="70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5" t="n">
        <v>111380</v>
      </c>
      <c r="V120" s="325" t="n">
        <v>0.1</v>
      </c>
      <c r="W120" s="702" t="n">
        <v>0.055</v>
      </c>
      <c r="X120" s="702" t="n">
        <v>0.12</v>
      </c>
      <c r="Y120" s="703" t="n"/>
      <c r="Z120" s="702" t="n">
        <v>0.04</v>
      </c>
      <c r="AA120" s="70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5" t="n">
        <v>194910</v>
      </c>
      <c r="V121" s="325" t="n">
        <v>0.12</v>
      </c>
      <c r="W121" s="702" t="n">
        <v>0.055</v>
      </c>
      <c r="X121" s="702" t="n">
        <v>0.12</v>
      </c>
      <c r="Y121" s="703" t="n"/>
      <c r="Z121" s="702" t="n">
        <v>0.04</v>
      </c>
      <c r="AA121" s="70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5" t="n">
        <v>150000</v>
      </c>
      <c r="V122" s="325" t="n">
        <v>0.12</v>
      </c>
      <c r="W122" s="702" t="n">
        <v>0.055</v>
      </c>
      <c r="X122" s="702" t="n">
        <v>0.12</v>
      </c>
      <c r="Y122" s="703" t="n"/>
      <c r="Z122" s="702" t="n">
        <v>0.04</v>
      </c>
      <c r="AA122" s="701">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5" t="n">
        <v>190980</v>
      </c>
      <c r="V123" s="325" t="n">
        <v>0.12</v>
      </c>
      <c r="W123" s="702" t="n">
        <v>0.055</v>
      </c>
      <c r="X123" s="702" t="n">
        <v>0.12</v>
      </c>
      <c r="Y123" s="703" t="n"/>
      <c r="Z123" s="702" t="n">
        <v>0.04</v>
      </c>
      <c r="AA123" s="701">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4">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4">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5" t="n">
        <v>165000</v>
      </c>
      <c r="V126" s="325" t="n">
        <v>0.12</v>
      </c>
      <c r="W126" s="702" t="n">
        <v>0.055</v>
      </c>
      <c r="X126" s="702" t="n">
        <v>0.12</v>
      </c>
      <c r="Y126" s="703" t="n"/>
      <c r="Z126" s="702" t="n">
        <v>0.04</v>
      </c>
      <c r="AA126" s="701">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4">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5" t="n">
        <v>126350</v>
      </c>
      <c r="V128" s="325" t="n">
        <v>0.12</v>
      </c>
      <c r="W128" s="702" t="n">
        <v>0.055</v>
      </c>
      <c r="X128" s="702" t="n">
        <v>0.12</v>
      </c>
      <c r="Y128" s="703" t="n"/>
      <c r="Z128" s="702" t="n">
        <v>0.04</v>
      </c>
      <c r="AA128" s="70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4">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4">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5" t="n">
        <v>119900</v>
      </c>
      <c r="V131" s="325" t="n">
        <v>0.1</v>
      </c>
      <c r="W131" s="702" t="n">
        <v>0.055</v>
      </c>
      <c r="X131" s="702" t="n">
        <v>0.12</v>
      </c>
      <c r="Y131" s="703" t="n"/>
      <c r="Z131" s="702" t="n">
        <v>0.04</v>
      </c>
      <c r="AA131" s="701">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5" t="n">
        <v>155320</v>
      </c>
      <c r="V132" s="325" t="n">
        <v>0.12</v>
      </c>
      <c r="W132" s="702" t="n">
        <v>0.055</v>
      </c>
      <c r="X132" s="702" t="n">
        <v>0.12</v>
      </c>
      <c r="Y132" s="703" t="n"/>
      <c r="Z132" s="702" t="n">
        <v>0.04</v>
      </c>
      <c r="AA132" s="70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5" t="n">
        <v>180000</v>
      </c>
      <c r="V133" s="325" t="n">
        <v>0.12</v>
      </c>
      <c r="W133" s="702" t="n">
        <v>0.055</v>
      </c>
      <c r="X133" s="702" t="n">
        <v>0.12</v>
      </c>
      <c r="Y133" s="703" t="n"/>
      <c r="Z133" s="702" t="n">
        <v>0.04</v>
      </c>
      <c r="AA133" s="701">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4">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4">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5" t="n">
        <v>182090</v>
      </c>
      <c r="V136" s="325" t="n">
        <v>0.12</v>
      </c>
      <c r="W136" s="702" t="n">
        <v>0.055</v>
      </c>
      <c r="X136" s="702" t="n">
        <v>0.12</v>
      </c>
      <c r="Y136" s="703" t="n"/>
      <c r="Z136" s="702" t="n">
        <v>0.04</v>
      </c>
      <c r="AA136" s="70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5" t="n">
        <v>150880</v>
      </c>
      <c r="V137" s="325" t="n">
        <v>0.15</v>
      </c>
      <c r="W137" s="322" t="n"/>
      <c r="X137" s="325" t="n">
        <v>0.05</v>
      </c>
      <c r="Y137" s="700" t="n">
        <v>2910</v>
      </c>
      <c r="Z137" s="325" t="n">
        <v>0.03</v>
      </c>
      <c r="AA137" s="701">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9" t="n">
        <v>135000</v>
      </c>
      <c r="V138" s="361" t="n">
        <v>0.1</v>
      </c>
      <c r="W138" s="706" t="n">
        <v>0.055</v>
      </c>
      <c r="X138" s="706" t="n">
        <v>0.12</v>
      </c>
      <c r="Y138" s="707" t="n"/>
      <c r="Z138" s="706" t="n">
        <v>0.04</v>
      </c>
      <c r="AA138" s="708">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5" t="n">
        <v>155507.6</v>
      </c>
      <c r="V139" s="365" t="n">
        <v>0.15</v>
      </c>
      <c r="W139" s="345" t="n"/>
      <c r="X139" s="361" t="n">
        <v>0.05</v>
      </c>
      <c r="Y139" s="709" t="n">
        <v>2910</v>
      </c>
      <c r="Z139" s="361" t="n">
        <v>0.03</v>
      </c>
      <c r="AA139" s="708">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5" t="n">
        <v>145910</v>
      </c>
      <c r="V140" s="325" t="n">
        <v>0.12</v>
      </c>
      <c r="W140" s="702" t="n">
        <v>0.055</v>
      </c>
      <c r="X140" s="702" t="n">
        <v>0.12</v>
      </c>
      <c r="Y140" s="703" t="n"/>
      <c r="Z140" s="702" t="n">
        <v>0.04</v>
      </c>
      <c r="AA140" s="70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5" t="n">
        <v>123215.6</v>
      </c>
      <c r="V141" s="324" t="n">
        <v>0.15</v>
      </c>
      <c r="W141" s="322" t="n"/>
      <c r="X141" s="325" t="n">
        <v>0.05</v>
      </c>
      <c r="Y141" s="700" t="n">
        <v>2910</v>
      </c>
      <c r="Z141" s="325" t="n">
        <v>0.03</v>
      </c>
      <c r="AA141" s="70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5" t="n">
        <v>151000</v>
      </c>
      <c r="V142" s="325" t="n">
        <v>0.12</v>
      </c>
      <c r="W142" s="702" t="n">
        <v>0.055</v>
      </c>
      <c r="X142" s="702" t="n">
        <v>0.12</v>
      </c>
      <c r="Y142" s="703" t="n"/>
      <c r="Z142" s="702" t="n">
        <v>0.04</v>
      </c>
      <c r="AA142" s="70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10" t="n">
        <v>151950</v>
      </c>
      <c r="V143" s="378" t="n">
        <v>0.12</v>
      </c>
      <c r="W143" s="711" t="n">
        <v>0.055</v>
      </c>
      <c r="X143" s="711" t="n">
        <v>0.12</v>
      </c>
      <c r="Y143" s="712" t="n"/>
      <c r="Z143" s="711" t="n">
        <v>0.04</v>
      </c>
      <c r="AA143" s="713">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9" t="n">
        <v>129650</v>
      </c>
      <c r="V144" s="325" t="n">
        <v>0.1</v>
      </c>
      <c r="W144" s="702" t="n">
        <v>0.055</v>
      </c>
      <c r="X144" s="702" t="n">
        <v>0.12</v>
      </c>
      <c r="Y144" s="703" t="n"/>
      <c r="Z144" s="702" t="n">
        <v>0.04</v>
      </c>
      <c r="AA144" s="70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9" t="n">
        <v>151950</v>
      </c>
      <c r="V145" s="325" t="n">
        <v>0.12</v>
      </c>
      <c r="W145" s="702" t="n">
        <v>0.055</v>
      </c>
      <c r="X145" s="702" t="n">
        <v>0.12</v>
      </c>
      <c r="Y145" s="703" t="n"/>
      <c r="Z145" s="702" t="n">
        <v>0.04</v>
      </c>
      <c r="AA145" s="70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9" t="n">
        <v>151950</v>
      </c>
      <c r="V146" s="325" t="n">
        <v>0.12</v>
      </c>
      <c r="W146" s="702" t="n">
        <v>0.055</v>
      </c>
      <c r="X146" s="702" t="n">
        <v>0.12</v>
      </c>
      <c r="Y146" s="703" t="n"/>
      <c r="Z146" s="702" t="n">
        <v>0.04</v>
      </c>
      <c r="AA146" s="70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4" t="n">
        <v>151950</v>
      </c>
      <c r="V147" s="385" t="n">
        <v>0.12</v>
      </c>
      <c r="W147" s="715" t="n">
        <v>0.055</v>
      </c>
      <c r="X147" s="715" t="n">
        <v>0.12</v>
      </c>
      <c r="Y147" s="716" t="n"/>
      <c r="Z147" s="715" t="n">
        <v>0.04</v>
      </c>
      <c r="AA147" s="717">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5" t="n">
        <v>151950</v>
      </c>
      <c r="V148" s="325" t="n">
        <v>0.12</v>
      </c>
      <c r="W148" s="702" t="n">
        <v>0.055</v>
      </c>
      <c r="X148" s="702" t="n">
        <v>0.12</v>
      </c>
      <c r="Y148" s="703" t="n"/>
      <c r="Z148" s="702" t="n">
        <v>0.04</v>
      </c>
      <c r="AA148" s="701">
        <f>U148*(1+V148+W148+X148+Y148+Z148)</f>
        <v>202853.25</v>
      </c>
      <c r="AC148" t="inlineStr">
        <is>
          <t>Customer</t>
        </is>
      </c>
      <c r="AD148" t="inlineStr">
        <is>
          <t>-</t>
        </is>
      </c>
      <c r="AE148" t="inlineStr">
        <is>
          <t>Customer AI</t>
        </is>
      </c>
      <c r="AF148" t="inlineStr">
        <is>
          <t>Unmapped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5" t="n">
        <v>151950</v>
      </c>
      <c r="V149" s="325" t="n">
        <v>0.12</v>
      </c>
      <c r="W149" s="702" t="n">
        <v>0.055</v>
      </c>
      <c r="X149" s="702" t="n">
        <v>0.12</v>
      </c>
      <c r="Y149" s="703" t="n"/>
      <c r="Z149" s="702" t="n">
        <v>0.04</v>
      </c>
      <c r="AA149" s="701">
        <f>U149*(1+V149+W149+X149+Y149+Z149)</f>
        <v>202853.25</v>
      </c>
      <c r="AC149" t="inlineStr">
        <is>
          <t>Customer</t>
        </is>
      </c>
      <c r="AD149" t="inlineStr">
        <is>
          <t>-</t>
        </is>
      </c>
      <c r="AE149" t="inlineStr">
        <is>
          <t>Customer AI</t>
        </is>
      </c>
      <c r="AF149" t="inlineStr">
        <is>
          <t>Unmapped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5" t="n">
        <v>126130</v>
      </c>
      <c r="V150" s="325" t="n">
        <v>0.1</v>
      </c>
      <c r="W150" s="702" t="n">
        <v>0.055</v>
      </c>
      <c r="X150" s="702" t="n">
        <v>0.12</v>
      </c>
      <c r="Y150" s="703" t="n"/>
      <c r="Z150" s="702" t="n">
        <v>0.04</v>
      </c>
      <c r="AA150" s="70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5" t="n">
        <v>160740</v>
      </c>
      <c r="V151" s="325" t="n">
        <v>0.12</v>
      </c>
      <c r="W151" s="702" t="n">
        <v>0.055</v>
      </c>
      <c r="X151" s="702" t="n">
        <v>0.12</v>
      </c>
      <c r="Y151" s="703" t="n"/>
      <c r="Z151" s="702" t="n">
        <v>0.04</v>
      </c>
      <c r="AA151" s="70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5" t="n">
        <v>193100</v>
      </c>
      <c r="V152" s="325" t="n">
        <v>0.12</v>
      </c>
      <c r="W152" s="702" t="n">
        <v>0.055</v>
      </c>
      <c r="X152" s="702" t="n">
        <v>0.12</v>
      </c>
      <c r="Y152" s="703" t="n"/>
      <c r="Z152" s="702" t="n">
        <v>0.04</v>
      </c>
      <c r="AA152" s="70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4">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5" t="n">
        <v>151950</v>
      </c>
      <c r="V154" s="325" t="n">
        <v>0.12</v>
      </c>
      <c r="W154" s="702" t="n">
        <v>0.055</v>
      </c>
      <c r="X154" s="702" t="n">
        <v>0.12</v>
      </c>
      <c r="Y154" s="703" t="n"/>
      <c r="Z154" s="702" t="n">
        <v>0.04</v>
      </c>
      <c r="AA154" s="70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5" t="n">
        <v>151950</v>
      </c>
      <c r="V155" s="325" t="n">
        <v>0.12</v>
      </c>
      <c r="W155" s="702" t="n">
        <v>0.055</v>
      </c>
      <c r="X155" s="702" t="n">
        <v>0.12</v>
      </c>
      <c r="Y155" s="703" t="n"/>
      <c r="Z155" s="702" t="n">
        <v>0.04</v>
      </c>
      <c r="AA155" s="70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5" t="n">
        <v>129650</v>
      </c>
      <c r="V156" s="325" t="n">
        <v>0.1</v>
      </c>
      <c r="W156" s="702" t="n">
        <v>0.055</v>
      </c>
      <c r="X156" s="702" t="n">
        <v>0.12</v>
      </c>
      <c r="Y156" s="703" t="n"/>
      <c r="Z156" s="702" t="n">
        <v>0.04</v>
      </c>
      <c r="AA156" s="70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4">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5" t="n">
        <v>163990</v>
      </c>
      <c r="V158" s="325" t="n">
        <v>0.12</v>
      </c>
      <c r="W158" s="702" t="n">
        <v>0.055</v>
      </c>
      <c r="X158" s="702" t="n">
        <v>0.12</v>
      </c>
      <c r="Y158" s="703" t="n"/>
      <c r="Z158" s="702" t="n">
        <v>0.04</v>
      </c>
      <c r="AA158" s="70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5" t="n">
        <v>110400</v>
      </c>
      <c r="V159" s="324" t="n">
        <v>0.15</v>
      </c>
      <c r="W159" s="322" t="n"/>
      <c r="X159" s="325" t="n">
        <v>0.05</v>
      </c>
      <c r="Y159" s="700"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5" t="n">
        <v>167750</v>
      </c>
      <c r="V160" s="325" t="n">
        <v>0.12</v>
      </c>
      <c r="W160" s="702" t="n">
        <v>0.055</v>
      </c>
      <c r="X160" s="702" t="n">
        <v>0.12</v>
      </c>
      <c r="Y160" s="703" t="n"/>
      <c r="Z160" s="702" t="n">
        <v>0.04</v>
      </c>
      <c r="AA160" s="70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5" t="n">
        <v>148310</v>
      </c>
      <c r="V161" s="325" t="n">
        <v>0.12</v>
      </c>
      <c r="W161" s="702" t="n">
        <v>0.055</v>
      </c>
      <c r="X161" s="702" t="n">
        <v>0.12</v>
      </c>
      <c r="Y161" s="703" t="n"/>
      <c r="Z161" s="702" t="n">
        <v>0.04</v>
      </c>
      <c r="AA161" s="70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4">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5" t="n">
        <v>182760</v>
      </c>
      <c r="V163" s="325" t="n">
        <v>0.12</v>
      </c>
      <c r="W163" s="702" t="n">
        <v>0.055</v>
      </c>
      <c r="X163" s="702" t="n">
        <v>0.12</v>
      </c>
      <c r="Y163" s="703" t="n"/>
      <c r="Z163" s="702" t="n">
        <v>0.04</v>
      </c>
      <c r="AA163" s="70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5" t="n">
        <v>160000</v>
      </c>
      <c r="V164" s="325" t="n">
        <v>0.12</v>
      </c>
      <c r="W164" s="702" t="n">
        <v>0.055</v>
      </c>
      <c r="X164" s="702" t="n">
        <v>0.12</v>
      </c>
      <c r="Y164" s="703" t="n"/>
      <c r="Z164" s="702" t="n">
        <v>0.04</v>
      </c>
      <c r="AA164" s="70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4">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4">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5" t="n">
        <v>104000</v>
      </c>
      <c r="V167" s="325" t="n">
        <v>0.1</v>
      </c>
      <c r="W167" s="702" t="n">
        <v>0.055</v>
      </c>
      <c r="X167" s="702" t="n">
        <v>0.12</v>
      </c>
      <c r="Y167" s="703" t="n"/>
      <c r="Z167" s="702" t="n">
        <v>0.04</v>
      </c>
      <c r="AA167" s="70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5" t="n">
        <v>151950</v>
      </c>
      <c r="V168" s="325" t="n">
        <v>0.12</v>
      </c>
      <c r="W168" s="702" t="n">
        <v>0.055</v>
      </c>
      <c r="X168" s="702" t="n">
        <v>0.12</v>
      </c>
      <c r="Y168" s="703" t="n"/>
      <c r="Z168" s="702" t="n">
        <v>0.04</v>
      </c>
      <c r="AA168" s="70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5" t="n">
        <v>160000</v>
      </c>
      <c r="V169" s="325" t="n">
        <v>0.12</v>
      </c>
      <c r="W169" s="702" t="n">
        <v>0.055</v>
      </c>
      <c r="X169" s="702" t="n">
        <v>0.12</v>
      </c>
      <c r="Y169" s="703" t="n"/>
      <c r="Z169" s="702" t="n">
        <v>0.04</v>
      </c>
      <c r="AA169" s="70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5" t="n">
        <v>232999.2</v>
      </c>
      <c r="V170" s="324" t="n">
        <v>0.2</v>
      </c>
      <c r="W170" s="321" t="n"/>
      <c r="X170" s="325" t="n">
        <v>0.05</v>
      </c>
      <c r="Y170" s="700" t="n">
        <v>2910</v>
      </c>
      <c r="Z170" s="325" t="n">
        <v>0.03</v>
      </c>
      <c r="AA170" s="70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9" t="n">
        <v>174800</v>
      </c>
      <c r="V171" s="324" t="n">
        <v>0.15</v>
      </c>
      <c r="W171" s="321" t="n"/>
      <c r="X171" s="325" t="n">
        <v>0.05</v>
      </c>
      <c r="Y171" s="700" t="n">
        <v>2910</v>
      </c>
      <c r="Z171" s="325" t="n">
        <v>0.03</v>
      </c>
      <c r="AA171" s="70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9" t="n">
        <v>165000</v>
      </c>
      <c r="V172" s="325" t="n">
        <v>0.12</v>
      </c>
      <c r="W172" s="702" t="n">
        <v>0.055</v>
      </c>
      <c r="X172" s="702" t="n">
        <v>0.12</v>
      </c>
      <c r="Y172" s="703" t="n"/>
      <c r="Z172" s="702" t="n">
        <v>0.04</v>
      </c>
      <c r="AA172" s="70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9" t="n">
        <v>179096.4</v>
      </c>
      <c r="V173" s="324" t="n">
        <v>0.15</v>
      </c>
      <c r="W173" s="321" t="n"/>
      <c r="X173" s="325" t="n">
        <v>0.05</v>
      </c>
      <c r="Y173" s="700" t="n">
        <v>2910</v>
      </c>
      <c r="Z173" s="325" t="n">
        <v>0.03</v>
      </c>
      <c r="AA173" s="70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5" t="n">
        <v>222190</v>
      </c>
      <c r="V174" s="325" t="n">
        <v>0.14</v>
      </c>
      <c r="W174" s="702" t="n">
        <v>0.055</v>
      </c>
      <c r="X174" s="702" t="n">
        <v>0.12</v>
      </c>
      <c r="Y174" s="703" t="n"/>
      <c r="Z174" s="702" t="n">
        <v>0.04</v>
      </c>
      <c r="AA174" s="70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5" t="n">
        <v>212032.4</v>
      </c>
      <c r="V175" s="324" t="n">
        <v>0.2</v>
      </c>
      <c r="W175" s="322" t="n"/>
      <c r="X175" s="325" t="n">
        <v>0.05</v>
      </c>
      <c r="Y175" s="700" t="n">
        <v>2910</v>
      </c>
      <c r="Z175" s="325" t="n">
        <v>0.03</v>
      </c>
      <c r="AA175" s="70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5" t="n">
        <v>203550</v>
      </c>
      <c r="V176" s="325" t="n">
        <v>0.14</v>
      </c>
      <c r="W176" s="702" t="n">
        <v>0.055</v>
      </c>
      <c r="X176" s="702" t="n">
        <v>0.12</v>
      </c>
      <c r="Y176" s="703" t="n"/>
      <c r="Z176" s="702" t="n">
        <v>0.04</v>
      </c>
      <c r="AA176" s="70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5" t="n">
        <v>203550</v>
      </c>
      <c r="V177" s="325" t="n">
        <v>0.14</v>
      </c>
      <c r="W177" s="702" t="n">
        <v>0.055</v>
      </c>
      <c r="X177" s="702" t="n">
        <v>0.12</v>
      </c>
      <c r="Y177" s="703" t="n"/>
      <c r="Z177" s="702" t="n">
        <v>0.04</v>
      </c>
      <c r="AA177" s="70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9" t="n">
        <v>203550</v>
      </c>
      <c r="V178" s="325" t="n">
        <v>0.14</v>
      </c>
      <c r="W178" s="702" t="n">
        <v>0.055</v>
      </c>
      <c r="X178" s="702" t="n">
        <v>0.12</v>
      </c>
      <c r="Y178" s="703" t="n"/>
      <c r="Z178" s="702" t="n">
        <v>0.04</v>
      </c>
      <c r="AA178" s="70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9" t="n">
        <v>203550</v>
      </c>
      <c r="V179" s="325" t="n">
        <v>0.14</v>
      </c>
      <c r="W179" s="702" t="n">
        <v>0.055</v>
      </c>
      <c r="X179" s="702" t="n">
        <v>0.12</v>
      </c>
      <c r="Y179" s="703" t="n"/>
      <c r="Z179" s="702" t="n">
        <v>0.04</v>
      </c>
      <c r="AA179" s="70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9" t="n">
        <v>203550</v>
      </c>
      <c r="V180" s="325" t="n">
        <v>0.14</v>
      </c>
      <c r="W180" s="702" t="n">
        <v>0.055</v>
      </c>
      <c r="X180" s="702" t="n">
        <v>0.12</v>
      </c>
      <c r="Y180" s="703" t="n"/>
      <c r="Z180" s="702" t="n">
        <v>0.04</v>
      </c>
      <c r="AA180" s="70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9" t="n">
        <v>203550</v>
      </c>
      <c r="V181" s="325" t="n">
        <v>0.14</v>
      </c>
      <c r="W181" s="702" t="n">
        <v>0.055</v>
      </c>
      <c r="X181" s="702" t="n">
        <v>0.12</v>
      </c>
      <c r="Y181" s="703" t="n"/>
      <c r="Z181" s="702" t="n">
        <v>0.04</v>
      </c>
      <c r="AA181" s="70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9" t="n">
        <v>144863.2</v>
      </c>
      <c r="V182" s="324" t="n">
        <v>0.15</v>
      </c>
      <c r="W182" s="321" t="n"/>
      <c r="X182" s="325" t="n">
        <v>0.05</v>
      </c>
      <c r="Y182" s="700" t="n">
        <v>2910</v>
      </c>
      <c r="Z182" s="325" t="n">
        <v>0.03</v>
      </c>
      <c r="AA182" s="70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9" t="n">
        <v>142581.6</v>
      </c>
      <c r="V183" s="324" t="n">
        <v>0.15</v>
      </c>
      <c r="W183" s="321" t="n"/>
      <c r="X183" s="325" t="n">
        <v>0.05</v>
      </c>
      <c r="Y183" s="700" t="n">
        <v>2910</v>
      </c>
      <c r="Z183" s="325" t="n">
        <v>0.03</v>
      </c>
      <c r="AA183" s="70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9" t="n">
        <v>90601.60000000001</v>
      </c>
      <c r="V184" s="324" t="n">
        <v>0.15</v>
      </c>
      <c r="W184" s="322" t="n"/>
      <c r="X184" s="325" t="n">
        <v>0.05</v>
      </c>
      <c r="Y184" s="700" t="n">
        <v>2910</v>
      </c>
      <c r="Z184" s="325" t="n">
        <v>0.03</v>
      </c>
      <c r="AA184" s="70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9" t="n">
        <v>149205.6</v>
      </c>
      <c r="V185" s="324" t="n">
        <v>0.15</v>
      </c>
      <c r="W185" s="322" t="n"/>
      <c r="X185" s="325" t="n">
        <v>0.05</v>
      </c>
      <c r="Y185" s="700" t="n">
        <v>2910</v>
      </c>
      <c r="Z185" s="325" t="n">
        <v>0.03</v>
      </c>
      <c r="AA185" s="701">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9" t="n">
        <v>130640</v>
      </c>
      <c r="V186" s="324" t="n">
        <v>0.15</v>
      </c>
      <c r="W186" s="322" t="n"/>
      <c r="X186" s="325" t="n">
        <v>0.05</v>
      </c>
      <c r="Y186" s="700" t="n">
        <v>2910</v>
      </c>
      <c r="Z186" s="325" t="n">
        <v>0.03</v>
      </c>
      <c r="AA186" s="70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9" t="n">
        <v>124200</v>
      </c>
      <c r="V187" s="324" t="n">
        <v>0.15</v>
      </c>
      <c r="W187" s="321" t="n"/>
      <c r="X187" s="325" t="n">
        <v>0.05</v>
      </c>
      <c r="Y187" s="700" t="n">
        <v>2910</v>
      </c>
      <c r="Z187" s="325" t="n">
        <v>0.03</v>
      </c>
      <c r="AA187" s="70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9" t="n">
        <v>139702</v>
      </c>
      <c r="V188" s="324" t="n">
        <v>0.15</v>
      </c>
      <c r="W188" s="321" t="n"/>
      <c r="X188" s="325" t="n">
        <v>0.05</v>
      </c>
      <c r="Y188" s="700" t="n">
        <v>2910</v>
      </c>
      <c r="Z188" s="325" t="n">
        <v>0.03</v>
      </c>
      <c r="AA188" s="70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9" t="n">
        <v>126076.8</v>
      </c>
      <c r="V189" s="324" t="n">
        <v>0.15</v>
      </c>
      <c r="W189" s="321" t="n"/>
      <c r="X189" s="325" t="n">
        <v>0.05</v>
      </c>
      <c r="Y189" s="700" t="n">
        <v>2910</v>
      </c>
      <c r="Z189" s="325" t="n">
        <v>0.03</v>
      </c>
      <c r="AA189" s="70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9" t="n">
        <v>157936.4</v>
      </c>
      <c r="V190" s="324" t="n">
        <v>0.15</v>
      </c>
      <c r="W190" s="321" t="n"/>
      <c r="X190" s="325" t="n">
        <v>0.05</v>
      </c>
      <c r="Y190" s="700" t="n">
        <v>2910</v>
      </c>
      <c r="Z190" s="325" t="n">
        <v>0.03</v>
      </c>
      <c r="AA190" s="70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9" t="n">
        <v>110059.6</v>
      </c>
      <c r="V191" s="324" t="n">
        <v>0.15</v>
      </c>
      <c r="W191" s="321" t="n"/>
      <c r="X191" s="325" t="n">
        <v>0.05</v>
      </c>
      <c r="Y191" s="700" t="n">
        <v>2910</v>
      </c>
      <c r="Z191" s="325" t="n">
        <v>0.03</v>
      </c>
      <c r="AA191" s="70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9" t="n">
        <v>87804.8</v>
      </c>
      <c r="V192" s="324" t="n">
        <v>0.1</v>
      </c>
      <c r="W192" s="321" t="n"/>
      <c r="X192" s="325" t="n">
        <v>0.05</v>
      </c>
      <c r="Y192" s="700" t="n">
        <v>2910</v>
      </c>
      <c r="Z192" s="325" t="n">
        <v>0.03</v>
      </c>
      <c r="AA192" s="70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9" t="n">
        <v>86553.60000000001</v>
      </c>
      <c r="V193" s="324" t="n">
        <v>0.1</v>
      </c>
      <c r="W193" s="321" t="n"/>
      <c r="X193" s="325" t="n">
        <v>0.05</v>
      </c>
      <c r="Y193" s="700" t="n">
        <v>2910</v>
      </c>
      <c r="Z193" s="325" t="n">
        <v>0.03</v>
      </c>
      <c r="AA193" s="70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9" t="n">
        <v>155553.6</v>
      </c>
      <c r="V194" s="324" t="n">
        <v>0.15</v>
      </c>
      <c r="W194" s="321" t="n"/>
      <c r="X194" s="325" t="n">
        <v>0.05</v>
      </c>
      <c r="Y194" s="700" t="n">
        <v>2910</v>
      </c>
      <c r="Z194" s="325" t="n">
        <v>0.03</v>
      </c>
      <c r="AA194" s="70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9" t="n">
        <v>88448.8</v>
      </c>
      <c r="V195" s="324" t="n">
        <v>0.1</v>
      </c>
      <c r="W195" s="321" t="n"/>
      <c r="X195" s="325" t="n">
        <v>0.05</v>
      </c>
      <c r="Y195" s="700" t="n">
        <v>2910</v>
      </c>
      <c r="Z195" s="325" t="n">
        <v>0.03</v>
      </c>
      <c r="AA195" s="70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9" t="n">
        <v>118247.6</v>
      </c>
      <c r="V196" s="324" t="n">
        <v>0.15</v>
      </c>
      <c r="W196" s="322" t="n"/>
      <c r="X196" s="325" t="n">
        <v>0.05</v>
      </c>
      <c r="Y196" s="700" t="n">
        <v>2910</v>
      </c>
      <c r="Z196" s="325" t="n">
        <v>0.03</v>
      </c>
      <c r="AA196" s="70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9" t="n">
        <v>157209.6</v>
      </c>
      <c r="V197" s="324" t="n">
        <v>0.15</v>
      </c>
      <c r="W197" s="322" t="n"/>
      <c r="X197" s="325" t="n">
        <v>0.05</v>
      </c>
      <c r="Y197" s="700" t="n">
        <v>2910</v>
      </c>
      <c r="Z197" s="325" t="n">
        <v>0.03</v>
      </c>
      <c r="AA197" s="70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9" t="n">
        <v>86388</v>
      </c>
      <c r="V198" s="324" t="n">
        <v>0.1</v>
      </c>
      <c r="W198" s="322" t="n"/>
      <c r="X198" s="325" t="n">
        <v>0.05</v>
      </c>
      <c r="Y198" s="700" t="n">
        <v>2910</v>
      </c>
      <c r="Z198" s="325" t="n">
        <v>0.03</v>
      </c>
      <c r="AA198" s="70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9" t="n">
        <v>173550</v>
      </c>
      <c r="V199" s="325" t="n">
        <v>0.12</v>
      </c>
      <c r="W199" s="702" t="n">
        <v>0.055</v>
      </c>
      <c r="X199" s="702" t="n">
        <v>0.12</v>
      </c>
      <c r="Y199" s="703" t="n"/>
      <c r="Z199" s="702" t="n">
        <v>0.04</v>
      </c>
      <c r="AA199" s="70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9" t="n">
        <v>151950</v>
      </c>
      <c r="V200" s="325" t="n">
        <v>0.12</v>
      </c>
      <c r="W200" s="702" t="n">
        <v>0.055</v>
      </c>
      <c r="X200" s="702" t="n">
        <v>0.12</v>
      </c>
      <c r="Y200" s="703" t="n"/>
      <c r="Z200" s="702" t="n">
        <v>0.04</v>
      </c>
      <c r="AA200" s="70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9" t="n">
        <v>151950</v>
      </c>
      <c r="V201" s="325" t="n">
        <v>0.12</v>
      </c>
      <c r="W201" s="702" t="n">
        <v>0.055</v>
      </c>
      <c r="X201" s="702" t="n">
        <v>0.12</v>
      </c>
      <c r="Y201" s="703" t="n"/>
      <c r="Z201" s="702" t="n">
        <v>0.04</v>
      </c>
      <c r="AA201" s="70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5" t="n">
        <v>119600</v>
      </c>
      <c r="V202" s="324" t="n">
        <v>0.15</v>
      </c>
      <c r="W202" s="322" t="n"/>
      <c r="X202" s="325" t="n">
        <v>0.05</v>
      </c>
      <c r="Y202" s="700" t="n">
        <v>2910</v>
      </c>
      <c r="Z202" s="325" t="n">
        <v>0.03</v>
      </c>
      <c r="AA202" s="70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5" t="n">
        <v>152085.2</v>
      </c>
      <c r="V203" s="324" t="n">
        <v>0.15</v>
      </c>
      <c r="W203" s="321" t="n"/>
      <c r="X203" s="325" t="n">
        <v>0.05</v>
      </c>
      <c r="Y203" s="700" t="n">
        <v>2910</v>
      </c>
      <c r="Z203" s="325" t="n">
        <v>0.03</v>
      </c>
      <c r="AA203" s="70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5" t="n">
        <v>123300</v>
      </c>
      <c r="V204" s="325" t="n">
        <v>0.1</v>
      </c>
      <c r="W204" s="702" t="n">
        <v>0.055</v>
      </c>
      <c r="X204" s="702" t="n">
        <v>0.12</v>
      </c>
      <c r="Y204" s="703" t="n"/>
      <c r="Z204" s="702" t="n">
        <v>0.04</v>
      </c>
      <c r="AA204" s="70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5" t="n">
        <v>211840</v>
      </c>
      <c r="V205" s="325" t="n">
        <v>0.14</v>
      </c>
      <c r="W205" s="702" t="n">
        <v>0.055</v>
      </c>
      <c r="X205" s="702" t="n">
        <v>0.12</v>
      </c>
      <c r="Y205" s="703" t="n"/>
      <c r="Z205" s="702" t="n">
        <v>0.04</v>
      </c>
      <c r="AA205" s="70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5" t="n">
        <v>131660</v>
      </c>
      <c r="V206" s="325" t="n">
        <v>0.1</v>
      </c>
      <c r="W206" s="702" t="n">
        <v>0.055</v>
      </c>
      <c r="X206" s="702" t="n">
        <v>0.12</v>
      </c>
      <c r="Y206" s="703" t="n"/>
      <c r="Z206" s="702" t="n">
        <v>0.04</v>
      </c>
      <c r="AA206" s="70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5" t="n">
        <v>170160</v>
      </c>
      <c r="V207" s="325" t="n">
        <v>0.12</v>
      </c>
      <c r="W207" s="702" t="n">
        <v>0.055</v>
      </c>
      <c r="X207" s="702" t="n">
        <v>0.12</v>
      </c>
      <c r="Y207" s="703" t="n"/>
      <c r="Z207" s="702" t="n">
        <v>0.04</v>
      </c>
      <c r="AA207" s="70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5" t="n">
        <v>212250</v>
      </c>
      <c r="V208" s="325" t="n">
        <v>0.12</v>
      </c>
      <c r="W208" s="702" t="n">
        <v>0.055</v>
      </c>
      <c r="X208" s="702" t="n">
        <v>0.12</v>
      </c>
      <c r="Y208" s="703" t="n"/>
      <c r="Z208" s="702" t="n">
        <v>0.04</v>
      </c>
      <c r="AA208" s="70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5" t="n">
        <v>182250</v>
      </c>
      <c r="V209" s="325" t="n">
        <v>0.12</v>
      </c>
      <c r="W209" s="702" t="n">
        <v>0.055</v>
      </c>
      <c r="X209" s="702" t="n">
        <v>0.12</v>
      </c>
      <c r="Y209" s="703" t="n"/>
      <c r="Z209" s="702" t="n">
        <v>0.04</v>
      </c>
      <c r="AA209" s="70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5" t="n">
        <v>193690</v>
      </c>
      <c r="V210" s="325" t="n">
        <v>0.12</v>
      </c>
      <c r="W210" s="702" t="n">
        <v>0.055</v>
      </c>
      <c r="X210" s="702" t="n">
        <v>0.12</v>
      </c>
      <c r="Y210" s="703" t="n"/>
      <c r="Z210" s="702" t="n">
        <v>0.04</v>
      </c>
      <c r="AA210" s="70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5" t="n">
        <v>88100</v>
      </c>
      <c r="V211" s="325" t="n">
        <v>0.1</v>
      </c>
      <c r="W211" s="702" t="n">
        <v>0.055</v>
      </c>
      <c r="X211" s="702" t="n">
        <v>0.12</v>
      </c>
      <c r="Y211" s="703" t="n"/>
      <c r="Z211" s="702" t="n">
        <v>0.04</v>
      </c>
      <c r="AA211" s="70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5" t="n">
        <v>205950</v>
      </c>
      <c r="V212" s="325" t="n">
        <v>0.12</v>
      </c>
      <c r="W212" s="702" t="n">
        <v>0.055</v>
      </c>
      <c r="X212" s="702" t="n">
        <v>0.12</v>
      </c>
      <c r="Y212" s="703" t="n"/>
      <c r="Z212" s="702" t="n">
        <v>0.04</v>
      </c>
      <c r="AA212" s="70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5" t="n">
        <v>213740</v>
      </c>
      <c r="V213" s="325" t="n">
        <v>0.12</v>
      </c>
      <c r="W213" s="702" t="n">
        <v>0.055</v>
      </c>
      <c r="X213" s="702" t="n">
        <v>0.12</v>
      </c>
      <c r="Y213" s="703" t="n"/>
      <c r="Z213" s="702" t="n">
        <v>0.04</v>
      </c>
      <c r="AA213" s="70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9" t="n">
        <v>211840</v>
      </c>
      <c r="V214" s="361" t="n">
        <v>0.14</v>
      </c>
      <c r="W214" s="706" t="n">
        <v>0.055</v>
      </c>
      <c r="X214" s="706" t="n">
        <v>0.12</v>
      </c>
      <c r="Y214" s="707" t="n"/>
      <c r="Z214" s="706" t="n">
        <v>0.04</v>
      </c>
      <c r="AA214" s="708">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9" t="n">
        <v>73600</v>
      </c>
      <c r="V215" s="365" t="n">
        <v>0.1</v>
      </c>
      <c r="W215" s="345" t="n"/>
      <c r="X215" s="361" t="n">
        <v>0.05</v>
      </c>
      <c r="Y215" s="709" t="n">
        <v>2910</v>
      </c>
      <c r="Z215" s="361" t="n">
        <v>0.03</v>
      </c>
      <c r="AA215" s="708">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9" t="n">
        <v>161560</v>
      </c>
      <c r="V216" s="361" t="n">
        <v>0.12</v>
      </c>
      <c r="W216" s="706" t="n">
        <v>0.055</v>
      </c>
      <c r="X216" s="706" t="n">
        <v>0.12</v>
      </c>
      <c r="Y216" s="707" t="n"/>
      <c r="Z216" s="706" t="n">
        <v>0.04</v>
      </c>
      <c r="AA216" s="708">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5" t="n">
        <v>105710</v>
      </c>
      <c r="V217" s="325" t="n">
        <v>0.1</v>
      </c>
      <c r="W217" s="702" t="n">
        <v>0.055</v>
      </c>
      <c r="X217" s="702" t="n">
        <v>0.12</v>
      </c>
      <c r="Y217" s="703" t="n"/>
      <c r="Z217" s="702" t="n">
        <v>0.04</v>
      </c>
      <c r="AA217" s="70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5" t="n">
        <v>270380</v>
      </c>
      <c r="V218" s="325" t="n">
        <v>0.2</v>
      </c>
      <c r="W218" s="718" t="n">
        <v>0.055</v>
      </c>
      <c r="X218" s="718" t="n">
        <v>0.12</v>
      </c>
      <c r="Y218" s="719" t="n"/>
      <c r="Z218" s="718" t="n">
        <v>0.04</v>
      </c>
      <c r="AA218" s="70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5" t="n">
        <v>111700</v>
      </c>
      <c r="V219" s="325" t="n">
        <v>0.1</v>
      </c>
      <c r="W219" s="702" t="n">
        <v>0.055</v>
      </c>
      <c r="X219" s="702" t="n">
        <v>0.12</v>
      </c>
      <c r="Y219" s="703" t="n"/>
      <c r="Z219" s="702" t="n">
        <v>0.04</v>
      </c>
      <c r="AA219" s="70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5" t="n">
        <v>193790</v>
      </c>
      <c r="V220" s="325" t="n">
        <v>0.12</v>
      </c>
      <c r="W220" s="702" t="n">
        <v>0.055</v>
      </c>
      <c r="X220" s="702" t="n">
        <v>0.12</v>
      </c>
      <c r="Y220" s="703" t="n"/>
      <c r="Z220" s="702" t="n">
        <v>0.04</v>
      </c>
      <c r="AA220" s="70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5" t="n">
        <v>85000</v>
      </c>
      <c r="V221" s="325" t="n">
        <v>0.08</v>
      </c>
      <c r="W221" s="702" t="n">
        <v>0.055</v>
      </c>
      <c r="X221" s="702" t="n">
        <v>0.12</v>
      </c>
      <c r="Y221" s="703" t="n"/>
      <c r="Z221" s="702" t="n">
        <v>0.04</v>
      </c>
      <c r="AA221" s="70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5" t="n">
        <v>213470</v>
      </c>
      <c r="V222" s="325" t="n">
        <v>0.12</v>
      </c>
      <c r="W222" s="702" t="n">
        <v>0.055</v>
      </c>
      <c r="X222" s="702" t="n">
        <v>0.12</v>
      </c>
      <c r="Y222" s="703" t="n"/>
      <c r="Z222" s="702" t="n">
        <v>0.04</v>
      </c>
      <c r="AA222" s="70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5" t="n">
        <v>117796.8</v>
      </c>
      <c r="V223" s="324" t="n">
        <v>0.15</v>
      </c>
      <c r="W223" s="322" t="n"/>
      <c r="X223" s="325" t="n">
        <v>0.05</v>
      </c>
      <c r="Y223" s="700" t="n">
        <v>2910</v>
      </c>
      <c r="Z223" s="325" t="n">
        <v>0.03</v>
      </c>
      <c r="AA223" s="70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5" t="n">
        <v>152800</v>
      </c>
      <c r="V224" s="325" t="n">
        <v>0.12</v>
      </c>
      <c r="W224" s="702" t="n">
        <v>0.055</v>
      </c>
      <c r="X224" s="702" t="n">
        <v>0.12</v>
      </c>
      <c r="Y224" s="703" t="n"/>
      <c r="Z224" s="702" t="n">
        <v>0.04</v>
      </c>
      <c r="AA224" s="70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5" t="n">
        <v>152690</v>
      </c>
      <c r="V225" s="325" t="n">
        <v>0.12</v>
      </c>
      <c r="W225" s="702" t="n">
        <v>0.055</v>
      </c>
      <c r="X225" s="702" t="n">
        <v>0.12</v>
      </c>
      <c r="Y225" s="703" t="n"/>
      <c r="Z225" s="702" t="n">
        <v>0.04</v>
      </c>
      <c r="AA225" s="70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5" t="n">
        <v>137620</v>
      </c>
      <c r="V226" s="325" t="n">
        <v>0.1</v>
      </c>
      <c r="W226" s="702" t="n">
        <v>0.055</v>
      </c>
      <c r="X226" s="702" t="n">
        <v>0.12</v>
      </c>
      <c r="Y226" s="703" t="n"/>
      <c r="Z226" s="702" t="n">
        <v>0.04</v>
      </c>
      <c r="AA226" s="70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5" t="n">
        <v>200790</v>
      </c>
      <c r="V227" s="325" t="n">
        <v>0.14</v>
      </c>
      <c r="W227" s="702" t="n">
        <v>0.055</v>
      </c>
      <c r="X227" s="702" t="n">
        <v>0.12</v>
      </c>
      <c r="Y227" s="703" t="n"/>
      <c r="Z227" s="702" t="n">
        <v>0.04</v>
      </c>
      <c r="AA227" s="70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5" t="n">
        <v>161520</v>
      </c>
      <c r="V228" s="325" t="n">
        <v>0.12</v>
      </c>
      <c r="W228" s="702" t="n">
        <v>0.055</v>
      </c>
      <c r="X228" s="702" t="n">
        <v>0.12</v>
      </c>
      <c r="Y228" s="703" t="n"/>
      <c r="Z228" s="702" t="n">
        <v>0.04</v>
      </c>
      <c r="AA228" s="70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5" t="n">
        <v>152390</v>
      </c>
      <c r="V229" s="325" t="n">
        <v>0.12</v>
      </c>
      <c r="W229" s="702" t="n">
        <v>0.055</v>
      </c>
      <c r="X229" s="702" t="n">
        <v>0.12</v>
      </c>
      <c r="Y229" s="703" t="n"/>
      <c r="Z229" s="702" t="n">
        <v>0.04</v>
      </c>
      <c r="AA229" s="70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5" t="n">
        <v>165000</v>
      </c>
      <c r="V230" s="325" t="n">
        <v>0.12</v>
      </c>
      <c r="W230" s="702" t="n">
        <v>0.055</v>
      </c>
      <c r="X230" s="702" t="n">
        <v>0.12</v>
      </c>
      <c r="Y230" s="703" t="n"/>
      <c r="Z230" s="702" t="n">
        <v>0.04</v>
      </c>
      <c r="AA230" s="70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5" t="n">
        <v>169500</v>
      </c>
      <c r="V231" s="325" t="n">
        <v>0.12</v>
      </c>
      <c r="W231" s="702" t="n">
        <v>0.055</v>
      </c>
      <c r="X231" s="702" t="n">
        <v>0.12</v>
      </c>
      <c r="Y231" s="703" t="n"/>
      <c r="Z231" s="702" t="n">
        <v>0.04</v>
      </c>
      <c r="AA231" s="70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5" t="n">
        <v>283160</v>
      </c>
      <c r="V232" s="325" t="n">
        <v>0.2</v>
      </c>
      <c r="W232" s="702" t="n">
        <v>0.055</v>
      </c>
      <c r="X232" s="702" t="n">
        <v>0.12</v>
      </c>
      <c r="Y232" s="703" t="n"/>
      <c r="Z232" s="702" t="n">
        <v>0.04</v>
      </c>
      <c r="AA232" s="70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5" t="n">
        <v>145000</v>
      </c>
      <c r="V233" s="325" t="n">
        <v>0.1</v>
      </c>
      <c r="W233" s="702" t="n">
        <v>0.055</v>
      </c>
      <c r="X233" s="702" t="n">
        <v>0.12</v>
      </c>
      <c r="Y233" s="703" t="n"/>
      <c r="Z233" s="702" t="n">
        <v>0.04</v>
      </c>
      <c r="AA233" s="70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5" t="n">
        <v>165450</v>
      </c>
      <c r="V234" s="325" t="n">
        <v>0.12</v>
      </c>
      <c r="W234" s="702" t="n">
        <v>0.055</v>
      </c>
      <c r="X234" s="702" t="n">
        <v>0.12</v>
      </c>
      <c r="Y234" s="703" t="n"/>
      <c r="Z234" s="702" t="n">
        <v>0.04</v>
      </c>
      <c r="AA234" s="70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5" t="n">
        <v>131640</v>
      </c>
      <c r="V235" s="325" t="n">
        <v>0.1</v>
      </c>
      <c r="W235" s="702" t="n">
        <v>0.055</v>
      </c>
      <c r="X235" s="702" t="n">
        <v>0.12</v>
      </c>
      <c r="Y235" s="703" t="n"/>
      <c r="Z235" s="702" t="n">
        <v>0.04</v>
      </c>
      <c r="AA235" s="70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5" t="n">
        <v>170706</v>
      </c>
      <c r="V236" s="324" t="n">
        <v>0.15</v>
      </c>
      <c r="W236" s="322" t="n"/>
      <c r="X236" s="325" t="n">
        <v>0.05</v>
      </c>
      <c r="Y236" s="700" t="n">
        <v>2910</v>
      </c>
      <c r="Z236" s="325" t="n">
        <v>0.03</v>
      </c>
      <c r="AA236" s="70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5" t="n">
        <v>150898.4</v>
      </c>
      <c r="V237" s="324" t="n">
        <v>0.15</v>
      </c>
      <c r="W237" s="322" t="n"/>
      <c r="X237" s="325" t="n">
        <v>0.05</v>
      </c>
      <c r="Y237" s="700" t="n">
        <v>2910</v>
      </c>
      <c r="Z237" s="325" t="n">
        <v>0.03</v>
      </c>
      <c r="AA237" s="70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5" t="n">
        <v>171450</v>
      </c>
      <c r="V238" s="325" t="n">
        <v>0.12</v>
      </c>
      <c r="W238" s="702" t="n">
        <v>0.055</v>
      </c>
      <c r="X238" s="702" t="n">
        <v>0.12</v>
      </c>
      <c r="Y238" s="703" t="n"/>
      <c r="Z238" s="702" t="n">
        <v>0.04</v>
      </c>
      <c r="AA238" s="70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5" t="n">
        <v>79938.8</v>
      </c>
      <c r="V239" s="324" t="n">
        <v>0.1</v>
      </c>
      <c r="W239" s="322" t="n"/>
      <c r="X239" s="325" t="n">
        <v>0.05</v>
      </c>
      <c r="Y239" s="700" t="n">
        <v>2910</v>
      </c>
      <c r="Z239" s="325" t="n">
        <v>0.03</v>
      </c>
      <c r="AA239" s="70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5" t="n">
        <v>163830</v>
      </c>
      <c r="V240" s="325" t="n">
        <v>0.12</v>
      </c>
      <c r="W240" s="702" t="n">
        <v>0.055</v>
      </c>
      <c r="X240" s="702" t="n">
        <v>0.12</v>
      </c>
      <c r="Y240" s="703" t="n"/>
      <c r="Z240" s="702" t="n">
        <v>0.04</v>
      </c>
      <c r="AA240" s="70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5" t="n">
        <v>233630</v>
      </c>
      <c r="V241" s="325" t="n">
        <v>0.14</v>
      </c>
      <c r="W241" s="702" t="n">
        <v>0.055</v>
      </c>
      <c r="X241" s="702" t="n">
        <v>0.12</v>
      </c>
      <c r="Y241" s="703" t="n"/>
      <c r="Z241" s="702" t="n">
        <v>0.04</v>
      </c>
      <c r="AA241" s="70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5" t="n">
        <v>160000</v>
      </c>
      <c r="V242" s="325" t="n">
        <v>0.12</v>
      </c>
      <c r="W242" s="702" t="n">
        <v>0.055</v>
      </c>
      <c r="X242" s="702" t="n">
        <v>0.12</v>
      </c>
      <c r="Y242" s="703" t="n"/>
      <c r="Z242" s="702" t="n">
        <v>0.04</v>
      </c>
      <c r="AA242" s="70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5" t="n">
        <v>129650</v>
      </c>
      <c r="V243" s="325" t="n">
        <v>0.1</v>
      </c>
      <c r="W243" s="702" t="n">
        <v>0.055</v>
      </c>
      <c r="X243" s="702" t="n">
        <v>0.12</v>
      </c>
      <c r="Y243" s="703" t="n"/>
      <c r="Z243" s="702" t="n">
        <v>0.04</v>
      </c>
      <c r="AA243" s="70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5" t="n">
        <v>160000</v>
      </c>
      <c r="V244" s="325" t="n">
        <v>0.12</v>
      </c>
      <c r="W244" s="702" t="n">
        <v>0.055</v>
      </c>
      <c r="X244" s="702" t="n">
        <v>0.12</v>
      </c>
      <c r="Y244" s="703" t="n"/>
      <c r="Z244" s="702" t="n">
        <v>0.04</v>
      </c>
      <c r="AA244" s="70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5" t="n">
        <v>151950</v>
      </c>
      <c r="V245" s="325" t="n">
        <v>0.12</v>
      </c>
      <c r="W245" s="702" t="n">
        <v>0.055</v>
      </c>
      <c r="X245" s="702" t="n">
        <v>0.12</v>
      </c>
      <c r="Y245" s="703" t="n"/>
      <c r="Z245" s="702" t="n">
        <v>0.04</v>
      </c>
      <c r="AA245" s="70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5" t="n">
        <v>151950</v>
      </c>
      <c r="V246" s="325" t="n">
        <v>0.12</v>
      </c>
      <c r="W246" s="702" t="n">
        <v>0.055</v>
      </c>
      <c r="X246" s="702" t="n">
        <v>0.12</v>
      </c>
      <c r="Y246" s="703" t="n"/>
      <c r="Z246" s="702" t="n">
        <v>0.04</v>
      </c>
      <c r="AA246" s="70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5" t="n">
        <v>129650</v>
      </c>
      <c r="V247" s="325" t="n">
        <v>0.1</v>
      </c>
      <c r="W247" s="702" t="n">
        <v>0.055</v>
      </c>
      <c r="X247" s="702" t="n">
        <v>0.12</v>
      </c>
      <c r="Y247" s="703" t="n"/>
      <c r="Z247" s="702" t="n">
        <v>0.04</v>
      </c>
      <c r="AA247" s="70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5" t="n">
        <v>129650</v>
      </c>
      <c r="V248" s="325" t="n">
        <v>0.1</v>
      </c>
      <c r="W248" s="702" t="n">
        <v>0.055</v>
      </c>
      <c r="X248" s="702" t="n">
        <v>0.12</v>
      </c>
      <c r="Y248" s="703" t="n"/>
      <c r="Z248" s="702" t="n">
        <v>0.04</v>
      </c>
      <c r="AA248" s="70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5" t="n">
        <v>129650</v>
      </c>
      <c r="V249" s="325" t="n">
        <v>0.1</v>
      </c>
      <c r="W249" s="702" t="n">
        <v>0.055</v>
      </c>
      <c r="X249" s="702" t="n">
        <v>0.12</v>
      </c>
      <c r="Y249" s="703" t="n"/>
      <c r="Z249" s="702" t="n">
        <v>0.04</v>
      </c>
      <c r="AA249" s="70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5" t="n">
        <v>129650</v>
      </c>
      <c r="V250" s="325" t="n">
        <v>0.1</v>
      </c>
      <c r="W250" s="702" t="n">
        <v>0.055</v>
      </c>
      <c r="X250" s="702" t="n">
        <v>0.12</v>
      </c>
      <c r="Y250" s="703" t="n"/>
      <c r="Z250" s="702" t="n">
        <v>0.04</v>
      </c>
      <c r="AA250" s="70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5" t="n">
        <v>94650</v>
      </c>
      <c r="V251" s="325" t="n">
        <v>0.08</v>
      </c>
      <c r="W251" s="702" t="n">
        <v>0.055</v>
      </c>
      <c r="X251" s="702" t="n">
        <v>0.12</v>
      </c>
      <c r="Y251" s="703" t="n"/>
      <c r="Z251" s="702" t="n">
        <v>0.04</v>
      </c>
      <c r="AA251" s="70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5" t="n">
        <v>94650</v>
      </c>
      <c r="V252" s="325" t="n">
        <v>0.08</v>
      </c>
      <c r="W252" s="702" t="n">
        <v>0.055</v>
      </c>
      <c r="X252" s="702" t="n">
        <v>0.12</v>
      </c>
      <c r="Y252" s="703" t="n"/>
      <c r="Z252" s="702" t="n">
        <v>0.04</v>
      </c>
      <c r="AA252" s="70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5" t="n">
        <v>104815.6</v>
      </c>
      <c r="V253" s="324" t="n">
        <v>0.15</v>
      </c>
      <c r="W253" s="322" t="n"/>
      <c r="X253" s="325" t="n">
        <v>0.05</v>
      </c>
      <c r="Y253" s="700" t="n">
        <v>2910</v>
      </c>
      <c r="Z253" s="325" t="n">
        <v>0.03</v>
      </c>
      <c r="AA253" s="70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5" t="n">
        <v>232970</v>
      </c>
      <c r="V254" s="325" t="n">
        <v>0.14</v>
      </c>
      <c r="W254" s="702" t="n">
        <v>0.055</v>
      </c>
      <c r="X254" s="702" t="n">
        <v>0.12</v>
      </c>
      <c r="Y254" s="703" t="n"/>
      <c r="Z254" s="702" t="n">
        <v>0.04</v>
      </c>
      <c r="AA254" s="70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5" t="n"/>
      <c r="V255" s="325" t="n"/>
      <c r="W255" s="702" t="n"/>
      <c r="X255" s="702" t="n"/>
      <c r="Y255" s="703" t="n"/>
      <c r="Z255" s="702" t="n"/>
      <c r="AA255" s="704">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5" t="n"/>
      <c r="V256" s="325" t="n"/>
      <c r="W256" s="702" t="n"/>
      <c r="X256" s="702" t="n"/>
      <c r="Y256" s="703" t="n"/>
      <c r="Z256" s="702" t="n"/>
      <c r="AA256" s="704">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4">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5" t="n"/>
      <c r="V258" s="325" t="n"/>
      <c r="W258" s="702" t="n"/>
      <c r="X258" s="702" t="n"/>
      <c r="Y258" s="703" t="n"/>
      <c r="Z258" s="702" t="n"/>
      <c r="AA258" s="704">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5" t="n"/>
      <c r="V259" s="325" t="n"/>
      <c r="W259" s="322" t="n"/>
      <c r="X259" s="325" t="n"/>
      <c r="Y259" s="700" t="n"/>
      <c r="Z259" s="347" t="n"/>
      <c r="AA259" s="704">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5" t="n"/>
      <c r="V260" s="325" t="n"/>
      <c r="W260" s="702" t="n"/>
      <c r="X260" s="702" t="n"/>
      <c r="Y260" s="703" t="n"/>
      <c r="Z260" s="702" t="n"/>
      <c r="AA260" s="704">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5" t="n"/>
      <c r="V261" s="324" t="n"/>
      <c r="W261" s="321" t="n"/>
      <c r="X261" s="325" t="n"/>
      <c r="Y261" s="700" t="n"/>
      <c r="Z261" s="325" t="n"/>
      <c r="AA261" s="704">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5" t="n"/>
      <c r="V262" s="324" t="n"/>
      <c r="W262" s="321" t="n"/>
      <c r="X262" s="325" t="n"/>
      <c r="Y262" s="700" t="n"/>
      <c r="Z262" s="325" t="n"/>
      <c r="AA262" s="704">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5" t="n"/>
      <c r="V263" s="325" t="n"/>
      <c r="W263" s="702" t="n"/>
      <c r="X263" s="702" t="n"/>
      <c r="Y263" s="703" t="n"/>
      <c r="Z263" s="702" t="n"/>
      <c r="AA263" s="704">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4">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5" t="n"/>
      <c r="V265" s="324" t="n"/>
      <c r="W265" s="322" t="n"/>
      <c r="X265" s="325" t="n"/>
      <c r="Y265" s="700" t="n"/>
      <c r="Z265" s="325" t="n"/>
      <c r="AA265" s="704">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5">
        <f>T266</f>
        <v>230010.0</v>
      </c>
      <c r="V266" s="325" t="n">
        <v>0.2</v>
      </c>
      <c r="W266" s="702" t="n">
        <v>0.055</v>
      </c>
      <c r="X266" s="702" t="n">
        <v>0.12</v>
      </c>
      <c r="Y266" s="703" t="n"/>
      <c r="Z266" s="702" t="n">
        <v>0.04</v>
      </c>
      <c r="AA266" s="701">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4">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5" t="n"/>
      <c r="V268" s="325" t="n"/>
      <c r="W268" s="702" t="n"/>
      <c r="X268" s="702" t="n"/>
      <c r="Y268" s="703" t="n"/>
      <c r="Z268" s="702" t="n"/>
      <c r="AA268" s="704">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5" t="n"/>
      <c r="V269" s="325" t="n"/>
      <c r="W269" s="702" t="n"/>
      <c r="X269" s="702" t="n"/>
      <c r="Y269" s="703" t="n"/>
      <c r="Z269" s="702" t="n"/>
      <c r="AA269" s="704">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4">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5" t="n"/>
      <c r="V271" s="324" t="n"/>
      <c r="W271" s="321" t="n"/>
      <c r="X271" s="325" t="n"/>
      <c r="Y271" s="700" t="n"/>
      <c r="Z271" s="325" t="n"/>
      <c r="AA271" s="704">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5" t="n">
        <v>153600</v>
      </c>
      <c r="V272" s="325" t="n">
        <v>0.12</v>
      </c>
      <c r="W272" s="702" t="n">
        <v>0.055</v>
      </c>
      <c r="X272" s="702" t="n">
        <v>0.12</v>
      </c>
      <c r="Y272" s="703" t="n"/>
      <c r="Z272" s="702" t="n">
        <v>0.04</v>
      </c>
      <c r="AA272" s="70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5" t="n">
        <v>210000</v>
      </c>
      <c r="V273" s="325" t="n">
        <v>0.2</v>
      </c>
      <c r="W273" s="702" t="n">
        <v>0.055</v>
      </c>
      <c r="X273" s="702" t="n">
        <v>0.12</v>
      </c>
      <c r="Y273" s="703" t="n"/>
      <c r="Z273" s="702" t="n">
        <v>0.04</v>
      </c>
      <c r="AA273" s="70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5" t="n">
        <v>120400.4</v>
      </c>
      <c r="V274" s="324" t="n">
        <v>0.15</v>
      </c>
      <c r="W274" s="321" t="n"/>
      <c r="X274" s="325" t="n">
        <v>0.05</v>
      </c>
      <c r="Y274" s="700" t="n">
        <v>2910</v>
      </c>
      <c r="Z274" s="325" t="n">
        <v>0.03</v>
      </c>
      <c r="AA274" s="70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5" t="n">
        <v>137420</v>
      </c>
      <c r="V275" s="325" t="n">
        <v>0.12</v>
      </c>
      <c r="W275" s="702" t="n">
        <v>0.055</v>
      </c>
      <c r="X275" s="702" t="n">
        <v>0.12</v>
      </c>
      <c r="Y275" s="703" t="n"/>
      <c r="Z275" s="702" t="n">
        <v>0.04</v>
      </c>
      <c r="AA275" s="70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5" t="n">
        <v>112310</v>
      </c>
      <c r="V276" s="325" t="n">
        <v>0.1</v>
      </c>
      <c r="W276" s="702" t="n">
        <v>0.055</v>
      </c>
      <c r="X276" s="702" t="n">
        <v>0.12</v>
      </c>
      <c r="Y276" s="703" t="n"/>
      <c r="Z276" s="702" t="n">
        <v>0.04</v>
      </c>
      <c r="AA276" s="70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5" t="n">
        <v>154400</v>
      </c>
      <c r="V277" s="325" t="n">
        <v>0.12</v>
      </c>
      <c r="W277" s="702" t="n">
        <v>0.055</v>
      </c>
      <c r="X277" s="702" t="n">
        <v>0.12</v>
      </c>
      <c r="Y277" s="703" t="n"/>
      <c r="Z277" s="702" t="n">
        <v>0.04</v>
      </c>
      <c r="AA277" s="70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5" t="n">
        <v>220000</v>
      </c>
      <c r="V278" s="325" t="n">
        <v>0.14</v>
      </c>
      <c r="W278" s="702" t="n">
        <v>0.055</v>
      </c>
      <c r="X278" s="702" t="n">
        <v>0.12</v>
      </c>
      <c r="Y278" s="703" t="n"/>
      <c r="Z278" s="702" t="n">
        <v>0.04</v>
      </c>
      <c r="AA278" s="70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5" t="n">
        <v>136360</v>
      </c>
      <c r="V279" s="325" t="n">
        <v>0.1</v>
      </c>
      <c r="W279" s="702" t="n">
        <v>0.055</v>
      </c>
      <c r="X279" s="702" t="n">
        <v>0.12</v>
      </c>
      <c r="Y279" s="703" t="n"/>
      <c r="Z279" s="702" t="n">
        <v>0.04</v>
      </c>
      <c r="AA279" s="70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5" t="n">
        <v>117760</v>
      </c>
      <c r="V280" s="324" t="n">
        <v>0.15</v>
      </c>
      <c r="W280" s="322" t="n"/>
      <c r="X280" s="325" t="n">
        <v>0.05</v>
      </c>
      <c r="Y280" s="700" t="n">
        <v>2910</v>
      </c>
      <c r="Z280" s="325" t="n">
        <v>0.03</v>
      </c>
      <c r="AA280" s="70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5" t="n">
        <v>423500</v>
      </c>
      <c r="V281" s="325" t="n">
        <v>0.35</v>
      </c>
      <c r="W281" s="322" t="n"/>
      <c r="X281" s="325" t="n">
        <v>0.17</v>
      </c>
      <c r="Y281" s="700" t="n">
        <v>3310</v>
      </c>
      <c r="Z281" s="347" t="n">
        <v>0.045</v>
      </c>
      <c r="AA281" s="70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5" t="n">
        <v>216470</v>
      </c>
      <c r="V282" s="325" t="n">
        <v>0.14</v>
      </c>
      <c r="W282" s="702" t="n">
        <v>0.055</v>
      </c>
      <c r="X282" s="702" t="n">
        <v>0.12</v>
      </c>
      <c r="Y282" s="703" t="n"/>
      <c r="Z282" s="702" t="n">
        <v>0.04</v>
      </c>
      <c r="AA282" s="70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5" t="n">
        <v>169130</v>
      </c>
      <c r="V283" s="325" t="n">
        <v>0.12</v>
      </c>
      <c r="W283" s="702" t="n">
        <v>0.055</v>
      </c>
      <c r="X283" s="702" t="n">
        <v>0.12</v>
      </c>
      <c r="Y283" s="703" t="n"/>
      <c r="Z283" s="702" t="n">
        <v>0.04</v>
      </c>
      <c r="AA283" s="70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5" t="n">
        <v>225400</v>
      </c>
      <c r="V284" s="324" t="n">
        <v>0.2</v>
      </c>
      <c r="W284" s="322" t="n"/>
      <c r="X284" s="325" t="n">
        <v>0.05</v>
      </c>
      <c r="Y284" s="700" t="n">
        <v>2910</v>
      </c>
      <c r="Z284" s="325" t="n">
        <v>0.03</v>
      </c>
      <c r="AA284" s="70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5" t="n">
        <v>295000</v>
      </c>
      <c r="V285" s="325" t="n">
        <v>0.2</v>
      </c>
      <c r="W285" s="702" t="n">
        <v>0.055</v>
      </c>
      <c r="X285" s="702" t="n">
        <v>0.12</v>
      </c>
      <c r="Y285" s="703" t="n"/>
      <c r="Z285" s="702" t="n">
        <v>0.04</v>
      </c>
      <c r="AA285" s="70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5" t="n">
        <v>300000</v>
      </c>
      <c r="V286" s="325" t="n">
        <v>0.25</v>
      </c>
      <c r="W286" s="702" t="n">
        <v>0.055</v>
      </c>
      <c r="X286" s="702" t="n">
        <v>0.12</v>
      </c>
      <c r="Y286" s="703" t="n"/>
      <c r="Z286" s="702" t="n">
        <v>0.04</v>
      </c>
      <c r="AA286" s="701">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5" t="n">
        <v>260000</v>
      </c>
      <c r="V287" s="325" t="n">
        <v>0.2</v>
      </c>
      <c r="W287" s="702" t="n">
        <v>0.055</v>
      </c>
      <c r="X287" s="702" t="n">
        <v>0.12</v>
      </c>
      <c r="Y287" s="703" t="n"/>
      <c r="Z287" s="702" t="n">
        <v>0.04</v>
      </c>
      <c r="AA287" s="70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5" t="n">
        <v>151950</v>
      </c>
      <c r="V288" s="325" t="n">
        <v>0.12</v>
      </c>
      <c r="W288" s="702" t="n">
        <v>0.055</v>
      </c>
      <c r="X288" s="702" t="n">
        <v>0.12</v>
      </c>
      <c r="Y288" s="703" t="n"/>
      <c r="Z288" s="702" t="n">
        <v>0.04</v>
      </c>
      <c r="AA288" s="70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5" t="n">
        <v>173550</v>
      </c>
      <c r="V289" s="325" t="n">
        <v>0.12</v>
      </c>
      <c r="W289" s="702" t="n">
        <v>0.055</v>
      </c>
      <c r="X289" s="702" t="n">
        <v>0.12</v>
      </c>
      <c r="Y289" s="703" t="n"/>
      <c r="Z289" s="702" t="n">
        <v>0.04</v>
      </c>
      <c r="AA289" s="70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5" t="n">
        <v>203550</v>
      </c>
      <c r="V290" s="325" t="n">
        <v>0.14</v>
      </c>
      <c r="W290" s="702" t="n">
        <v>0.055</v>
      </c>
      <c r="X290" s="702" t="n">
        <v>0.12</v>
      </c>
      <c r="Y290" s="703" t="n"/>
      <c r="Z290" s="702" t="n">
        <v>0.04</v>
      </c>
      <c r="AA290" s="70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5" t="n">
        <v>173550</v>
      </c>
      <c r="V291" s="325" t="n">
        <v>0.12</v>
      </c>
      <c r="W291" s="702" t="n">
        <v>0.055</v>
      </c>
      <c r="X291" s="702" t="n">
        <v>0.12</v>
      </c>
      <c r="Y291" s="703" t="n"/>
      <c r="Z291" s="702" t="n">
        <v>0.04</v>
      </c>
      <c r="AA291" s="70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5" t="n">
        <v>203550</v>
      </c>
      <c r="V292" s="325" t="n">
        <v>0.14</v>
      </c>
      <c r="W292" s="702" t="n">
        <v>0.055</v>
      </c>
      <c r="X292" s="702" t="n">
        <v>0.12</v>
      </c>
      <c r="Y292" s="703" t="n"/>
      <c r="Z292" s="702" t="n">
        <v>0.04</v>
      </c>
      <c r="AA292" s="70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5" t="n">
        <v>121026</v>
      </c>
      <c r="V293" s="324" t="n">
        <v>0.15</v>
      </c>
      <c r="W293" s="322" t="n"/>
      <c r="X293" s="325" t="n">
        <v>0.05</v>
      </c>
      <c r="Y293" s="700" t="n">
        <v>2910</v>
      </c>
      <c r="Z293" s="325" t="n">
        <v>0.03</v>
      </c>
      <c r="AA293" s="701">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5" t="n">
        <v>129650</v>
      </c>
      <c r="V294" s="325" t="n">
        <v>0.1</v>
      </c>
      <c r="W294" s="702" t="n">
        <v>0.055</v>
      </c>
      <c r="X294" s="702" t="n">
        <v>0.12</v>
      </c>
      <c r="Y294" s="703" t="n"/>
      <c r="Z294" s="702" t="n">
        <v>0.04</v>
      </c>
      <c r="AA294" s="70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5" t="n">
        <v>242660</v>
      </c>
      <c r="V295" s="325" t="n">
        <v>0.2</v>
      </c>
      <c r="W295" s="702" t="n">
        <v>0.055</v>
      </c>
      <c r="X295" s="702" t="n">
        <v>0.12</v>
      </c>
      <c r="Y295" s="703" t="n"/>
      <c r="Z295" s="702" t="n">
        <v>0.04</v>
      </c>
      <c r="AA295" s="70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5" t="n">
        <v>180000</v>
      </c>
      <c r="V296" s="325" t="n">
        <v>0.12</v>
      </c>
      <c r="W296" s="702" t="n">
        <v>0.055</v>
      </c>
      <c r="X296" s="702" t="n">
        <v>0.12</v>
      </c>
      <c r="Y296" s="703" t="n"/>
      <c r="Z296" s="702" t="n">
        <v>0.04</v>
      </c>
      <c r="AA296" s="70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5" t="n">
        <v>166560</v>
      </c>
      <c r="V297" s="325" t="n">
        <v>0.12</v>
      </c>
      <c r="W297" s="702" t="n">
        <v>0.055</v>
      </c>
      <c r="X297" s="702" t="n">
        <v>0.12</v>
      </c>
      <c r="Y297" s="703" t="n"/>
      <c r="Z297" s="702" t="n">
        <v>0.04</v>
      </c>
      <c r="AA297" s="70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5" t="n">
        <v>147936</v>
      </c>
      <c r="V298" s="324" t="n">
        <v>0.15</v>
      </c>
      <c r="W298" s="321" t="n"/>
      <c r="X298" s="325" t="n">
        <v>0.05</v>
      </c>
      <c r="Y298" s="700" t="n">
        <v>2910</v>
      </c>
      <c r="Z298" s="325" t="n">
        <v>0.03</v>
      </c>
      <c r="AA298" s="70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5" t="n">
        <v>194984.8</v>
      </c>
      <c r="V299" s="324" t="n">
        <v>0.15</v>
      </c>
      <c r="W299" s="322" t="n"/>
      <c r="X299" s="325" t="n">
        <v>0.05</v>
      </c>
      <c r="Y299" s="700" t="n">
        <v>2910</v>
      </c>
      <c r="Z299" s="325" t="n">
        <v>0.03</v>
      </c>
      <c r="AA299" s="70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5" t="n">
        <v>218390</v>
      </c>
      <c r="V300" s="325" t="n">
        <v>0.14</v>
      </c>
      <c r="W300" s="702" t="n">
        <v>0.055</v>
      </c>
      <c r="X300" s="702" t="n">
        <v>0.12</v>
      </c>
      <c r="Y300" s="703" t="n"/>
      <c r="Z300" s="702" t="n">
        <v>0.04</v>
      </c>
      <c r="AA300" s="701">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5" t="n">
        <v>182760</v>
      </c>
      <c r="V301" s="325" t="n">
        <v>0.12</v>
      </c>
      <c r="W301" s="702" t="n">
        <v>0.055</v>
      </c>
      <c r="X301" s="702" t="n">
        <v>0.12</v>
      </c>
      <c r="Y301" s="703" t="n"/>
      <c r="Z301" s="702" t="n">
        <v>0.04</v>
      </c>
      <c r="AA301" s="70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5" t="n">
        <v>289580</v>
      </c>
      <c r="V302" s="325" t="n">
        <v>0.2</v>
      </c>
      <c r="W302" s="702" t="n">
        <v>0.055</v>
      </c>
      <c r="X302" s="702" t="n">
        <v>0.12</v>
      </c>
      <c r="Y302" s="703" t="n"/>
      <c r="Z302" s="702" t="n">
        <v>0.04</v>
      </c>
      <c r="AA302" s="701">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5" t="n">
        <v>248400</v>
      </c>
      <c r="V303" s="324" t="n">
        <v>0.2</v>
      </c>
      <c r="W303" s="321" t="n"/>
      <c r="X303" s="325" t="n">
        <v>0.05</v>
      </c>
      <c r="Y303" s="700" t="n">
        <v>2910</v>
      </c>
      <c r="Z303" s="325" t="n">
        <v>0.03</v>
      </c>
      <c r="AA303" s="70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5" t="n">
        <v>260840</v>
      </c>
      <c r="V304" s="325" t="n">
        <v>0.2</v>
      </c>
      <c r="W304" s="702" t="n">
        <v>0.055</v>
      </c>
      <c r="X304" s="702" t="n">
        <v>0.12</v>
      </c>
      <c r="Y304" s="703" t="n"/>
      <c r="Z304" s="702" t="n">
        <v>0.04</v>
      </c>
      <c r="AA304" s="701">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5" t="n">
        <v>171837.6</v>
      </c>
      <c r="V305" s="324" t="n">
        <v>0.15</v>
      </c>
      <c r="W305" s="322" t="n"/>
      <c r="X305" s="325" t="n">
        <v>0.05</v>
      </c>
      <c r="Y305" s="700" t="n">
        <v>2910</v>
      </c>
      <c r="Z305" s="325" t="n">
        <v>0.03</v>
      </c>
      <c r="AA305" s="70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5" t="n">
        <v>243850</v>
      </c>
      <c r="V306" s="325" t="n">
        <v>0.14</v>
      </c>
      <c r="W306" s="702" t="n">
        <v>0.055</v>
      </c>
      <c r="X306" s="702" t="n">
        <v>0.12</v>
      </c>
      <c r="Y306" s="703" t="n"/>
      <c r="Z306" s="702" t="n">
        <v>0.04</v>
      </c>
      <c r="AA306" s="70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5" t="n">
        <v>197180</v>
      </c>
      <c r="V307" s="325" t="n">
        <v>0.12</v>
      </c>
      <c r="W307" s="702" t="n">
        <v>0.055</v>
      </c>
      <c r="X307" s="702" t="n">
        <v>0.12</v>
      </c>
      <c r="Y307" s="703" t="n"/>
      <c r="Z307" s="702" t="n">
        <v>0.04</v>
      </c>
      <c r="AA307" s="70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5" t="n">
        <v>119379.2</v>
      </c>
      <c r="V308" s="324" t="n">
        <v>0.15</v>
      </c>
      <c r="W308" s="322" t="n"/>
      <c r="X308" s="325" t="n">
        <v>0.05</v>
      </c>
      <c r="Y308" s="700" t="n">
        <v>2910</v>
      </c>
      <c r="Z308" s="325" t="n">
        <v>0.03</v>
      </c>
      <c r="AA308" s="70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5" t="n">
        <v>190200.8</v>
      </c>
      <c r="V309" s="324" t="n">
        <v>0.15</v>
      </c>
      <c r="W309" s="322" t="n"/>
      <c r="X309" s="325" t="n">
        <v>0.05</v>
      </c>
      <c r="Y309" s="700" t="n">
        <v>2910</v>
      </c>
      <c r="Z309" s="325" t="n">
        <v>0.03</v>
      </c>
      <c r="AA309" s="70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5" t="n">
        <v>198940</v>
      </c>
      <c r="V310" s="325" t="n">
        <v>0.12</v>
      </c>
      <c r="W310" s="702" t="n">
        <v>0.055</v>
      </c>
      <c r="X310" s="702" t="n">
        <v>0.12</v>
      </c>
      <c r="Y310" s="703" t="n"/>
      <c r="Z310" s="702" t="n">
        <v>0.04</v>
      </c>
      <c r="AA310" s="701">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5" t="n">
        <v>169280</v>
      </c>
      <c r="V311" s="325" t="n">
        <v>0.12</v>
      </c>
      <c r="W311" s="702" t="n">
        <v>0.055</v>
      </c>
      <c r="X311" s="702" t="n">
        <v>0.12</v>
      </c>
      <c r="Y311" s="703" t="n"/>
      <c r="Z311" s="702" t="n">
        <v>0.04</v>
      </c>
      <c r="AA311" s="701">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5" t="n">
        <v>138000</v>
      </c>
      <c r="V312" s="325" t="n">
        <v>0.1</v>
      </c>
      <c r="W312" s="702" t="n">
        <v>0.055</v>
      </c>
      <c r="X312" s="702" t="n">
        <v>0.12</v>
      </c>
      <c r="Y312" s="703" t="n"/>
      <c r="Z312" s="702" t="n">
        <v>0.04</v>
      </c>
      <c r="AA312" s="70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5" t="n">
        <v>156160</v>
      </c>
      <c r="V313" s="325" t="n">
        <v>0.12</v>
      </c>
      <c r="W313" s="702" t="n">
        <v>0.055</v>
      </c>
      <c r="X313" s="702" t="n">
        <v>0.12</v>
      </c>
      <c r="Y313" s="703" t="n"/>
      <c r="Z313" s="702" t="n">
        <v>0.04</v>
      </c>
      <c r="AA313" s="70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5" t="n">
        <v>191290</v>
      </c>
      <c r="V314" s="325" t="n">
        <v>0.12</v>
      </c>
      <c r="W314" s="702" t="n">
        <v>0.055</v>
      </c>
      <c r="X314" s="702" t="n">
        <v>0.12</v>
      </c>
      <c r="Y314" s="703" t="n"/>
      <c r="Z314" s="702" t="n">
        <v>0.04</v>
      </c>
      <c r="AA314" s="70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5" t="n">
        <v>178100</v>
      </c>
      <c r="V315" s="325" t="n">
        <v>0.12</v>
      </c>
      <c r="W315" s="702" t="n">
        <v>0.055</v>
      </c>
      <c r="X315" s="702" t="n">
        <v>0.12</v>
      </c>
      <c r="Y315" s="703" t="n"/>
      <c r="Z315" s="702" t="n">
        <v>0.04</v>
      </c>
      <c r="AA315" s="70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5" t="n">
        <v>131740</v>
      </c>
      <c r="V316" s="325" t="n">
        <v>0.12</v>
      </c>
      <c r="W316" s="702" t="n">
        <v>0.055</v>
      </c>
      <c r="X316" s="702" t="n">
        <v>0.12</v>
      </c>
      <c r="Y316" s="703" t="n"/>
      <c r="Z316" s="702" t="n">
        <v>0.04</v>
      </c>
      <c r="AA316" s="701">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5" t="n">
        <v>170080</v>
      </c>
      <c r="V317" s="325" t="n">
        <v>0.12</v>
      </c>
      <c r="W317" s="702" t="n">
        <v>0.055</v>
      </c>
      <c r="X317" s="702" t="n">
        <v>0.12</v>
      </c>
      <c r="Y317" s="703" t="n"/>
      <c r="Z317" s="702" t="n">
        <v>0.04</v>
      </c>
      <c r="AA317" s="701">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5" t="n">
        <v>186610</v>
      </c>
      <c r="V318" s="325" t="n">
        <v>0.12</v>
      </c>
      <c r="W318" s="702" t="n">
        <v>0.055</v>
      </c>
      <c r="X318" s="702" t="n">
        <v>0.12</v>
      </c>
      <c r="Y318" s="703" t="n"/>
      <c r="Z318" s="702" t="n">
        <v>0.04</v>
      </c>
      <c r="AA318" s="70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5" t="n">
        <v>203550</v>
      </c>
      <c r="V319" s="325" t="n">
        <v>0.14</v>
      </c>
      <c r="W319" s="702" t="n">
        <v>0.055</v>
      </c>
      <c r="X319" s="702" t="n">
        <v>0.12</v>
      </c>
      <c r="Y319" s="703" t="n"/>
      <c r="Z319" s="702" t="n">
        <v>0.04</v>
      </c>
      <c r="AA319" s="70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5" t="n">
        <v>173550</v>
      </c>
      <c r="V320" s="325" t="n">
        <v>0.12</v>
      </c>
      <c r="W320" s="702" t="n">
        <v>0.055</v>
      </c>
      <c r="X320" s="702" t="n">
        <v>0.12</v>
      </c>
      <c r="Y320" s="703" t="n"/>
      <c r="Z320" s="702" t="n">
        <v>0.04</v>
      </c>
      <c r="AA320" s="70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5" t="n">
        <v>173550</v>
      </c>
      <c r="V321" s="325" t="n">
        <v>0.12</v>
      </c>
      <c r="W321" s="702" t="n">
        <v>0.055</v>
      </c>
      <c r="X321" s="702" t="n">
        <v>0.12</v>
      </c>
      <c r="Y321" s="703" t="n"/>
      <c r="Z321" s="702" t="n">
        <v>0.04</v>
      </c>
      <c r="AA321" s="70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5" t="n">
        <v>173550</v>
      </c>
      <c r="V322" s="325" t="n">
        <v>0.12</v>
      </c>
      <c r="W322" s="702" t="n">
        <v>0.055</v>
      </c>
      <c r="X322" s="702" t="n">
        <v>0.12</v>
      </c>
      <c r="Y322" s="703" t="n"/>
      <c r="Z322" s="702" t="n">
        <v>0.04</v>
      </c>
      <c r="AA322" s="70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5" t="n">
        <v>187450</v>
      </c>
      <c r="V323" s="325" t="n">
        <v>0.12</v>
      </c>
      <c r="W323" s="702" t="n">
        <v>0.055</v>
      </c>
      <c r="X323" s="702" t="n">
        <v>0.12</v>
      </c>
      <c r="Y323" s="703" t="n"/>
      <c r="Z323" s="702" t="n">
        <v>0.04</v>
      </c>
      <c r="AA323" s="70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5" t="n">
        <v>163493.2</v>
      </c>
      <c r="V324" s="324" t="n">
        <v>0.15</v>
      </c>
      <c r="W324" s="322" t="n"/>
      <c r="X324" s="325" t="n">
        <v>0.05</v>
      </c>
      <c r="Y324" s="700" t="n">
        <v>2910</v>
      </c>
      <c r="Z324" s="325" t="n">
        <v>0.03</v>
      </c>
      <c r="AA324" s="70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5" t="n">
        <v>197480</v>
      </c>
      <c r="V325" s="325" t="n">
        <v>0.12</v>
      </c>
      <c r="W325" s="702" t="n">
        <v>0.055</v>
      </c>
      <c r="X325" s="702" t="n">
        <v>0.12</v>
      </c>
      <c r="Y325" s="703" t="n"/>
      <c r="Z325" s="702" t="n">
        <v>0.04</v>
      </c>
      <c r="AA325" s="70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5" t="n">
        <v>275000</v>
      </c>
      <c r="V326" s="325" t="n">
        <v>0.2</v>
      </c>
      <c r="W326" s="702" t="n">
        <v>0.055</v>
      </c>
      <c r="X326" s="702" t="n">
        <v>0.12</v>
      </c>
      <c r="Y326" s="703" t="n"/>
      <c r="Z326" s="702" t="n">
        <v>0.04</v>
      </c>
      <c r="AA326" s="701">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5" t="n">
        <v>182000</v>
      </c>
      <c r="V327" s="325" t="n">
        <v>0.12</v>
      </c>
      <c r="W327" s="702" t="n">
        <v>0.055</v>
      </c>
      <c r="X327" s="702" t="n">
        <v>0.12</v>
      </c>
      <c r="Y327" s="703" t="n"/>
      <c r="Z327" s="702" t="n">
        <v>0.04</v>
      </c>
      <c r="AA327" s="70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5" t="n">
        <v>188010</v>
      </c>
      <c r="V328" s="325" t="n">
        <v>0.12</v>
      </c>
      <c r="W328" s="702" t="n">
        <v>0.055</v>
      </c>
      <c r="X328" s="702" t="n">
        <v>0.12</v>
      </c>
      <c r="Y328" s="703" t="n"/>
      <c r="Z328" s="702" t="n">
        <v>0.04</v>
      </c>
      <c r="AA328" s="70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5" t="n">
        <v>148672</v>
      </c>
      <c r="V329" s="324" t="n">
        <v>0.15</v>
      </c>
      <c r="W329" s="322" t="n"/>
      <c r="X329" s="325" t="n">
        <v>0.05</v>
      </c>
      <c r="Y329" s="700" t="n">
        <v>2910</v>
      </c>
      <c r="Z329" s="325" t="n">
        <v>0.03</v>
      </c>
      <c r="AA329" s="701">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5" t="n">
        <v>151950</v>
      </c>
      <c r="V330" s="325" t="n">
        <v>0.12</v>
      </c>
      <c r="W330" s="702" t="n">
        <v>0.055</v>
      </c>
      <c r="X330" s="702" t="n">
        <v>0.12</v>
      </c>
      <c r="Y330" s="703" t="n"/>
      <c r="Z330" s="702" t="n">
        <v>0.04</v>
      </c>
      <c r="AA330" s="70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5" t="n">
        <v>151950</v>
      </c>
      <c r="V331" s="325" t="n">
        <v>0.12</v>
      </c>
      <c r="W331" s="702" t="n">
        <v>0.055</v>
      </c>
      <c r="X331" s="702" t="n">
        <v>0.12</v>
      </c>
      <c r="Y331" s="703" t="n"/>
      <c r="Z331" s="702" t="n">
        <v>0.04</v>
      </c>
      <c r="AA331" s="70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5" t="n">
        <v>151950</v>
      </c>
      <c r="V332" s="325" t="n">
        <v>0.12</v>
      </c>
      <c r="W332" s="702" t="n">
        <v>0.055</v>
      </c>
      <c r="X332" s="702" t="n">
        <v>0.12</v>
      </c>
      <c r="Y332" s="703" t="n"/>
      <c r="Z332" s="702" t="n">
        <v>0.04</v>
      </c>
      <c r="AA332" s="70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5" t="n">
        <v>129650</v>
      </c>
      <c r="V333" s="325" t="n">
        <v>0.1</v>
      </c>
      <c r="W333" s="702" t="n">
        <v>0.055</v>
      </c>
      <c r="X333" s="702" t="n">
        <v>0.12</v>
      </c>
      <c r="Y333" s="703" t="n"/>
      <c r="Z333" s="702" t="n">
        <v>0.04</v>
      </c>
      <c r="AA333" s="70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5" t="n">
        <v>151950</v>
      </c>
      <c r="V334" s="325" t="n">
        <v>0.12</v>
      </c>
      <c r="W334" s="702" t="n">
        <v>0.055</v>
      </c>
      <c r="X334" s="702" t="n">
        <v>0.12</v>
      </c>
      <c r="Y334" s="703" t="n"/>
      <c r="Z334" s="702" t="n">
        <v>0.04</v>
      </c>
      <c r="AA334" s="70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5" t="n">
        <v>151950</v>
      </c>
      <c r="V335" s="325" t="n">
        <v>0.12</v>
      </c>
      <c r="W335" s="702" t="n">
        <v>0.055</v>
      </c>
      <c r="X335" s="702" t="n">
        <v>0.12</v>
      </c>
      <c r="Y335" s="703" t="n"/>
      <c r="Z335" s="702" t="n">
        <v>0.04</v>
      </c>
      <c r="AA335" s="701">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5" t="n">
        <v>151950</v>
      </c>
      <c r="V336" s="325" t="n">
        <v>0.12</v>
      </c>
      <c r="W336" s="702" t="n">
        <v>0.055</v>
      </c>
      <c r="X336" s="702" t="n">
        <v>0.12</v>
      </c>
      <c r="Y336" s="703" t="n"/>
      <c r="Z336" s="702" t="n">
        <v>0.04</v>
      </c>
      <c r="AA336" s="701">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5" t="n">
        <v>151000</v>
      </c>
      <c r="V337" s="325" t="n">
        <v>0.12</v>
      </c>
      <c r="W337" s="702" t="n">
        <v>0.055</v>
      </c>
      <c r="X337" s="702" t="n">
        <v>0.12</v>
      </c>
      <c r="Y337" s="703" t="n"/>
      <c r="Z337" s="702" t="n">
        <v>0.04</v>
      </c>
      <c r="AA337" s="70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5" t="n">
        <v>151000</v>
      </c>
      <c r="V338" s="325" t="n">
        <v>0.12</v>
      </c>
      <c r="W338" s="702" t="n">
        <v>0.055</v>
      </c>
      <c r="X338" s="702" t="n">
        <v>0.12</v>
      </c>
      <c r="Y338" s="703" t="n"/>
      <c r="Z338" s="702" t="n">
        <v>0.04</v>
      </c>
      <c r="AA338" s="70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5" t="n">
        <v>151950</v>
      </c>
      <c r="V339" s="325" t="n">
        <v>0.12</v>
      </c>
      <c r="W339" s="702" t="n">
        <v>0.055</v>
      </c>
      <c r="X339" s="702" t="n">
        <v>0.12</v>
      </c>
      <c r="Y339" s="703" t="n"/>
      <c r="Z339" s="702" t="n">
        <v>0.04</v>
      </c>
      <c r="AA339" s="70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5" t="n">
        <v>151950</v>
      </c>
      <c r="V340" s="325" t="n">
        <v>0.12</v>
      </c>
      <c r="W340" s="702" t="n">
        <v>0.055</v>
      </c>
      <c r="X340" s="702" t="n">
        <v>0.12</v>
      </c>
      <c r="Y340" s="703" t="n"/>
      <c r="Z340" s="702" t="n">
        <v>0.04</v>
      </c>
      <c r="AA340" s="70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5" t="n">
        <v>151950</v>
      </c>
      <c r="V341" s="325" t="n">
        <v>0.12</v>
      </c>
      <c r="W341" s="702" t="n">
        <v>0.055</v>
      </c>
      <c r="X341" s="702" t="n">
        <v>0.12</v>
      </c>
      <c r="Y341" s="703" t="n"/>
      <c r="Z341" s="702" t="n">
        <v>0.04</v>
      </c>
      <c r="AA341" s="70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5" t="n">
        <v>129650</v>
      </c>
      <c r="V342" s="325" t="n">
        <v>0.1</v>
      </c>
      <c r="W342" s="702" t="n">
        <v>0.055</v>
      </c>
      <c r="X342" s="702" t="n">
        <v>0.12</v>
      </c>
      <c r="Y342" s="703" t="n"/>
      <c r="Z342" s="702" t="n">
        <v>0.04</v>
      </c>
      <c r="AA342" s="70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5" t="n">
        <v>275340</v>
      </c>
      <c r="V343" s="325" t="n">
        <v>0.2</v>
      </c>
      <c r="W343" s="702" t="n">
        <v>0.055</v>
      </c>
      <c r="X343" s="702" t="n">
        <v>0.12</v>
      </c>
      <c r="Y343" s="703" t="n"/>
      <c r="Z343" s="702" t="n">
        <v>0.04</v>
      </c>
      <c r="AA343" s="701">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5" t="n">
        <v>236730</v>
      </c>
      <c r="V344" s="325" t="n">
        <v>0.2</v>
      </c>
      <c r="W344" s="702" t="n">
        <v>0.055</v>
      </c>
      <c r="X344" s="702" t="n">
        <v>0.12</v>
      </c>
      <c r="Y344" s="703" t="n"/>
      <c r="Z344" s="702" t="n">
        <v>0.04</v>
      </c>
      <c r="AA344" s="70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5" t="n">
        <v>235350</v>
      </c>
      <c r="V345" s="325" t="n">
        <v>0.2</v>
      </c>
      <c r="W345" s="702" t="n">
        <v>0.055</v>
      </c>
      <c r="X345" s="702" t="n">
        <v>0.12</v>
      </c>
      <c r="Y345" s="703" t="n"/>
      <c r="Z345" s="702" t="n">
        <v>0.04</v>
      </c>
      <c r="AA345" s="701">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5" t="n">
        <v>140000</v>
      </c>
      <c r="V346" s="325" t="n">
        <v>0.12</v>
      </c>
      <c r="W346" s="702" t="n">
        <v>0.055</v>
      </c>
      <c r="X346" s="702" t="n">
        <v>0.12</v>
      </c>
      <c r="Y346" s="703" t="n"/>
      <c r="Z346" s="702" t="n">
        <v>0.04</v>
      </c>
      <c r="AA346" s="701">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5" t="n">
        <v>203550</v>
      </c>
      <c r="V347" s="325" t="n">
        <v>0.14</v>
      </c>
      <c r="W347" s="702" t="n">
        <v>0.055</v>
      </c>
      <c r="X347" s="702" t="n">
        <v>0.12</v>
      </c>
      <c r="Y347" s="703" t="n"/>
      <c r="Z347" s="702" t="n">
        <v>0.04</v>
      </c>
      <c r="AA347" s="701">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5" t="n">
        <v>203550</v>
      </c>
      <c r="V348" s="325" t="n">
        <v>0.14</v>
      </c>
      <c r="W348" s="702" t="n">
        <v>0.055</v>
      </c>
      <c r="X348" s="702" t="n">
        <v>0.12</v>
      </c>
      <c r="Y348" s="703" t="n"/>
      <c r="Z348" s="702" t="n">
        <v>0.04</v>
      </c>
      <c r="AA348" s="70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5" t="n">
        <v>151950</v>
      </c>
      <c r="V349" s="325" t="n">
        <v>0.12</v>
      </c>
      <c r="W349" s="702" t="n">
        <v>0.055</v>
      </c>
      <c r="X349" s="702" t="n">
        <v>0.12</v>
      </c>
      <c r="Y349" s="703" t="n"/>
      <c r="Z349" s="702" t="n">
        <v>0.04</v>
      </c>
      <c r="AA349" s="70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5" t="n">
        <v>129650</v>
      </c>
      <c r="V350" s="325" t="n">
        <v>0.1</v>
      </c>
      <c r="W350" s="702" t="n">
        <v>0.055</v>
      </c>
      <c r="X350" s="702" t="n">
        <v>0.12</v>
      </c>
      <c r="Y350" s="703" t="n"/>
      <c r="Z350" s="702" t="n">
        <v>0.04</v>
      </c>
      <c r="AA350" s="70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5" t="n">
        <v>129650</v>
      </c>
      <c r="V351" s="325" t="n">
        <v>0.1</v>
      </c>
      <c r="W351" s="702" t="n">
        <v>0.055</v>
      </c>
      <c r="X351" s="702" t="n">
        <v>0.12</v>
      </c>
      <c r="Y351" s="703" t="n"/>
      <c r="Z351" s="702" t="n">
        <v>0.04</v>
      </c>
      <c r="AA351" s="70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5" t="n">
        <v>151950</v>
      </c>
      <c r="V352" s="325" t="n">
        <v>0.12</v>
      </c>
      <c r="W352" s="702" t="n">
        <v>0.055</v>
      </c>
      <c r="X352" s="702" t="n">
        <v>0.12</v>
      </c>
      <c r="Y352" s="703" t="n"/>
      <c r="Z352" s="702" t="n">
        <v>0.04</v>
      </c>
      <c r="AA352" s="70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5" t="n">
        <v>151950</v>
      </c>
      <c r="V353" s="325" t="n">
        <v>0.12</v>
      </c>
      <c r="W353" s="702" t="n">
        <v>0.055</v>
      </c>
      <c r="X353" s="702" t="n">
        <v>0.12</v>
      </c>
      <c r="Y353" s="703" t="n"/>
      <c r="Z353" s="702" t="n">
        <v>0.04</v>
      </c>
      <c r="AA353" s="70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5" t="n">
        <v>134550</v>
      </c>
      <c r="V354" s="325" t="n">
        <v>0.12</v>
      </c>
      <c r="W354" s="702" t="n">
        <v>0.055</v>
      </c>
      <c r="X354" s="702" t="n">
        <v>0.12</v>
      </c>
      <c r="Y354" s="703" t="n"/>
      <c r="Z354" s="702" t="n">
        <v>0.04</v>
      </c>
      <c r="AA354" s="70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5" t="n">
        <v>173470</v>
      </c>
      <c r="V355" s="325" t="n">
        <v>0.12</v>
      </c>
      <c r="W355" s="702" t="n">
        <v>0.055</v>
      </c>
      <c r="X355" s="702" t="n">
        <v>0.12</v>
      </c>
      <c r="Y355" s="703" t="n"/>
      <c r="Z355" s="702" t="n">
        <v>0.04</v>
      </c>
      <c r="AA355" s="70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5" t="n">
        <v>166140</v>
      </c>
      <c r="V356" s="325" t="n">
        <v>0.12</v>
      </c>
      <c r="W356" s="702" t="n">
        <v>0.055</v>
      </c>
      <c r="X356" s="702" t="n">
        <v>0.12</v>
      </c>
      <c r="Y356" s="703" t="n"/>
      <c r="Z356" s="702" t="n">
        <v>0.04</v>
      </c>
      <c r="AA356" s="70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5" t="n">
        <v>71300</v>
      </c>
      <c r="V357" s="324" t="n">
        <v>0.1</v>
      </c>
      <c r="W357" s="321" t="n"/>
      <c r="X357" s="325" t="n">
        <v>0.05</v>
      </c>
      <c r="Y357" s="700" t="n">
        <v>2910</v>
      </c>
      <c r="Z357" s="325" t="n">
        <v>0.03</v>
      </c>
      <c r="AA357" s="70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5" t="n">
        <v>123906</v>
      </c>
      <c r="V358" s="325" t="n">
        <v>0.1</v>
      </c>
      <c r="W358" s="702" t="n">
        <v>0.055</v>
      </c>
      <c r="X358" s="702" t="n">
        <v>0.12</v>
      </c>
      <c r="Y358" s="703" t="n"/>
      <c r="Z358" s="702" t="n">
        <v>0.04</v>
      </c>
      <c r="AA358" s="70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5" t="n">
        <v>212020</v>
      </c>
      <c r="V359" s="325" t="n">
        <v>0.14</v>
      </c>
      <c r="W359" s="702" t="n">
        <v>0.055</v>
      </c>
      <c r="X359" s="702" t="n">
        <v>0.12</v>
      </c>
      <c r="Y359" s="703" t="n"/>
      <c r="Z359" s="702" t="n">
        <v>0.04</v>
      </c>
      <c r="AA359" s="70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5" t="n">
        <v>85000</v>
      </c>
      <c r="V360" s="325" t="n">
        <v>0.08</v>
      </c>
      <c r="W360" s="702" t="n">
        <v>0.055</v>
      </c>
      <c r="X360" s="702" t="n">
        <v>0.12</v>
      </c>
      <c r="Y360" s="703" t="n"/>
      <c r="Z360" s="702" t="n">
        <v>0.04</v>
      </c>
      <c r="AA360" s="701">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5" t="n">
        <v>83499.2</v>
      </c>
      <c r="V361" s="324" t="n">
        <v>0.1</v>
      </c>
      <c r="W361" s="321" t="n"/>
      <c r="X361" s="325" t="n">
        <v>0.05</v>
      </c>
      <c r="Y361" s="700" t="n">
        <v>2910</v>
      </c>
      <c r="Z361" s="325" t="n">
        <v>0.03</v>
      </c>
      <c r="AA361" s="70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5" t="n">
        <v>256980</v>
      </c>
      <c r="V362" s="325" t="n">
        <v>0.2</v>
      </c>
      <c r="W362" s="702" t="n">
        <v>0.055</v>
      </c>
      <c r="X362" s="702" t="n">
        <v>0.12</v>
      </c>
      <c r="Y362" s="703" t="n"/>
      <c r="Z362" s="702" t="n">
        <v>0.04</v>
      </c>
      <c r="AA362" s="70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5" t="n">
        <v>150723.6</v>
      </c>
      <c r="V363" s="324" t="n">
        <v>0.15</v>
      </c>
      <c r="W363" s="321" t="n"/>
      <c r="X363" s="325" t="n">
        <v>0.05</v>
      </c>
      <c r="Y363" s="700" t="n">
        <v>2910</v>
      </c>
      <c r="Z363" s="325" t="n">
        <v>0.03</v>
      </c>
      <c r="AA363" s="70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5" t="n">
        <v>176400</v>
      </c>
      <c r="V364" s="325" t="n">
        <v>0.12</v>
      </c>
      <c r="W364" s="702" t="n">
        <v>0.055</v>
      </c>
      <c r="X364" s="702" t="n">
        <v>0.12</v>
      </c>
      <c r="Y364" s="703" t="n"/>
      <c r="Z364" s="702" t="n">
        <v>0.04</v>
      </c>
      <c r="AA364" s="70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5" t="n">
        <v>122433.6</v>
      </c>
      <c r="V365" s="324" t="n">
        <v>0.15</v>
      </c>
      <c r="W365" s="321" t="n"/>
      <c r="X365" s="325" t="n">
        <v>0.05</v>
      </c>
      <c r="Y365" s="700" t="n">
        <v>2910</v>
      </c>
      <c r="Z365" s="325" t="n">
        <v>0.03</v>
      </c>
      <c r="AA365" s="70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5" t="n">
        <v>164050</v>
      </c>
      <c r="V366" s="325" t="n">
        <v>0.12</v>
      </c>
      <c r="W366" s="702" t="n">
        <v>0.055</v>
      </c>
      <c r="X366" s="702" t="n">
        <v>0.12</v>
      </c>
      <c r="Y366" s="703" t="n"/>
      <c r="Z366" s="702" t="n">
        <v>0.04</v>
      </c>
      <c r="AA366" s="701">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5" t="n">
        <v>193600</v>
      </c>
      <c r="V367" s="325" t="n">
        <v>0.25</v>
      </c>
      <c r="W367" s="322" t="n"/>
      <c r="X367" s="325" t="n">
        <v>0.17</v>
      </c>
      <c r="Y367" s="700" t="n">
        <v>3310</v>
      </c>
      <c r="Z367" s="347" t="n">
        <v>0.045</v>
      </c>
      <c r="AA367" s="70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5" t="n">
        <v>161340</v>
      </c>
      <c r="V368" s="325" t="n">
        <v>0.12</v>
      </c>
      <c r="W368" s="702" t="n">
        <v>0.055</v>
      </c>
      <c r="X368" s="702" t="n">
        <v>0.12</v>
      </c>
      <c r="Y368" s="703" t="n"/>
      <c r="Z368" s="702" t="n">
        <v>0.04</v>
      </c>
      <c r="AA368" s="70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5" t="n">
        <v>180870.8</v>
      </c>
      <c r="V369" s="325" t="n">
        <v>0.25</v>
      </c>
      <c r="W369" s="322" t="n"/>
      <c r="X369" s="325" t="n">
        <v>0.17</v>
      </c>
      <c r="Y369" s="700" t="n">
        <v>3310</v>
      </c>
      <c r="Z369" s="347" t="n">
        <v>0.045</v>
      </c>
      <c r="AA369" s="70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5" t="n">
        <v>175837.2</v>
      </c>
      <c r="V370" s="325" t="n">
        <v>0.25</v>
      </c>
      <c r="W370" s="322" t="n"/>
      <c r="X370" s="325" t="n">
        <v>0.17</v>
      </c>
      <c r="Y370" s="700" t="n">
        <v>3310</v>
      </c>
      <c r="Z370" s="347" t="n">
        <v>0.045</v>
      </c>
      <c r="AA370" s="70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5" t="n">
        <v>113430</v>
      </c>
      <c r="V371" s="325" t="n">
        <v>0.1</v>
      </c>
      <c r="W371" s="702" t="n">
        <v>0.055</v>
      </c>
      <c r="X371" s="702" t="n">
        <v>0.12</v>
      </c>
      <c r="Y371" s="703" t="n"/>
      <c r="Z371" s="702" t="n">
        <v>0.04</v>
      </c>
      <c r="AA371" s="70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5" t="n">
        <v>127110</v>
      </c>
      <c r="V372" s="325" t="n">
        <v>0.1</v>
      </c>
      <c r="W372" s="702" t="n">
        <v>0.055</v>
      </c>
      <c r="X372" s="702" t="n">
        <v>0.12</v>
      </c>
      <c r="Y372" s="703" t="n"/>
      <c r="Z372" s="702" t="n">
        <v>0.04</v>
      </c>
      <c r="AA372" s="70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5" t="n">
        <v>207470</v>
      </c>
      <c r="V373" s="325" t="n">
        <v>0.12</v>
      </c>
      <c r="W373" s="702" t="n">
        <v>0.055</v>
      </c>
      <c r="X373" s="702" t="n">
        <v>0.12</v>
      </c>
      <c r="Y373" s="703" t="n"/>
      <c r="Z373" s="702" t="n">
        <v>0.04</v>
      </c>
      <c r="AA373" s="70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5" t="n">
        <v>115000</v>
      </c>
      <c r="V374" s="324" t="n">
        <v>0.15</v>
      </c>
      <c r="W374" s="321" t="n"/>
      <c r="X374" s="325" t="n">
        <v>0.05</v>
      </c>
      <c r="Y374" s="700" t="n">
        <v>2910</v>
      </c>
      <c r="Z374" s="325" t="n">
        <v>0.03</v>
      </c>
      <c r="AA374" s="70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5" t="n">
        <v>71631.2</v>
      </c>
      <c r="V375" s="324" t="n">
        <v>0.1</v>
      </c>
      <c r="W375" s="321" t="n"/>
      <c r="X375" s="325" t="n">
        <v>0.05</v>
      </c>
      <c r="Y375" s="700" t="n">
        <v>2910</v>
      </c>
      <c r="Z375" s="325" t="n">
        <v>0.03</v>
      </c>
      <c r="AA375" s="70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5" t="n">
        <v>238890</v>
      </c>
      <c r="V376" s="325" t="n">
        <v>0.14</v>
      </c>
      <c r="W376" s="702" t="n">
        <v>0.055</v>
      </c>
      <c r="X376" s="702" t="n">
        <v>0.12</v>
      </c>
      <c r="Y376" s="703" t="n"/>
      <c r="Z376" s="702" t="n">
        <v>0.04</v>
      </c>
      <c r="AA376" s="70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5" t="n">
        <v>144495.2</v>
      </c>
      <c r="V377" s="324" t="n">
        <v>0.15</v>
      </c>
      <c r="W377" s="321" t="n"/>
      <c r="X377" s="325" t="n">
        <v>0.05</v>
      </c>
      <c r="Y377" s="700" t="n">
        <v>2910</v>
      </c>
      <c r="Z377" s="325" t="n">
        <v>0.03</v>
      </c>
      <c r="AA377" s="70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5" t="n">
        <v>234362.48</v>
      </c>
      <c r="V378" s="325" t="n">
        <v>0.25</v>
      </c>
      <c r="W378" s="322" t="n"/>
      <c r="X378" s="325" t="n">
        <v>0.17</v>
      </c>
      <c r="Y378" s="700" t="n">
        <v>3310</v>
      </c>
      <c r="Z378" s="347" t="n">
        <v>0.045</v>
      </c>
      <c r="AA378" s="70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20" t="n">
        <v>166090</v>
      </c>
      <c r="V379" s="325" t="n">
        <v>0.14</v>
      </c>
      <c r="W379" s="702" t="n">
        <v>0.055</v>
      </c>
      <c r="X379" s="702" t="n">
        <v>0.12</v>
      </c>
      <c r="Y379" s="703" t="n"/>
      <c r="Z379" s="702" t="n">
        <v>0.04</v>
      </c>
      <c r="AA379" s="70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5" t="n">
        <v>199710</v>
      </c>
      <c r="V380" s="325" t="n">
        <v>0.12</v>
      </c>
      <c r="W380" s="702" t="n">
        <v>0.055</v>
      </c>
      <c r="X380" s="702" t="n">
        <v>0.12</v>
      </c>
      <c r="Y380" s="703" t="n"/>
      <c r="Z380" s="702" t="n">
        <v>0.04</v>
      </c>
      <c r="AA380" s="70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5" t="n">
        <v>145710</v>
      </c>
      <c r="V381" s="325" t="n">
        <v>0.12</v>
      </c>
      <c r="W381" s="702" t="n">
        <v>0.055</v>
      </c>
      <c r="X381" s="702" t="n">
        <v>0.12</v>
      </c>
      <c r="Y381" s="703" t="n"/>
      <c r="Z381" s="702" t="n">
        <v>0.04</v>
      </c>
      <c r="AA381" s="70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5" t="n">
        <v>217390</v>
      </c>
      <c r="V382" s="325" t="n">
        <v>0.14</v>
      </c>
      <c r="W382" s="702" t="n">
        <v>0.055</v>
      </c>
      <c r="X382" s="702" t="n">
        <v>0.12</v>
      </c>
      <c r="Y382" s="703" t="n"/>
      <c r="Z382" s="702" t="n">
        <v>0.04</v>
      </c>
      <c r="AA382" s="70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5" t="n">
        <v>152250</v>
      </c>
      <c r="V383" s="325" t="n">
        <v>0.12</v>
      </c>
      <c r="W383" s="702" t="n">
        <v>0.055</v>
      </c>
      <c r="X383" s="702" t="n">
        <v>0.12</v>
      </c>
      <c r="Y383" s="703" t="n"/>
      <c r="Z383" s="702" t="n">
        <v>0.04</v>
      </c>
      <c r="AA383" s="70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5" t="n">
        <v>145000</v>
      </c>
      <c r="V384" s="325" t="n">
        <v>0.12</v>
      </c>
      <c r="W384" s="702" t="n">
        <v>0.055</v>
      </c>
      <c r="X384" s="702" t="n">
        <v>0.12</v>
      </c>
      <c r="Y384" s="703" t="n"/>
      <c r="Z384" s="702" t="n">
        <v>0.04</v>
      </c>
      <c r="AA384" s="70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5" t="n">
        <v>167510</v>
      </c>
      <c r="V385" s="325" t="n">
        <v>0.12</v>
      </c>
      <c r="W385" s="702" t="n">
        <v>0.055</v>
      </c>
      <c r="X385" s="702" t="n">
        <v>0.12</v>
      </c>
      <c r="Y385" s="703" t="n"/>
      <c r="Z385" s="702" t="n">
        <v>0.04</v>
      </c>
      <c r="AA385" s="70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5" t="n">
        <v>210000</v>
      </c>
      <c r="V386" s="325" t="n">
        <v>0.12</v>
      </c>
      <c r="W386" s="702" t="n">
        <v>0.055</v>
      </c>
      <c r="X386" s="702" t="n">
        <v>0.12</v>
      </c>
      <c r="Y386" s="703" t="n"/>
      <c r="Z386" s="702" t="n">
        <v>0.04</v>
      </c>
      <c r="AA386" s="70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5" t="n">
        <v>192260</v>
      </c>
      <c r="V387" s="325" t="n">
        <v>0.12</v>
      </c>
      <c r="W387" s="702" t="n">
        <v>0.055</v>
      </c>
      <c r="X387" s="702" t="n">
        <v>0.12</v>
      </c>
      <c r="Y387" s="703" t="n"/>
      <c r="Z387" s="702" t="n">
        <v>0.04</v>
      </c>
      <c r="AA387" s="70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5" t="n">
        <v>130260</v>
      </c>
      <c r="V388" s="325" t="n">
        <v>0.1</v>
      </c>
      <c r="W388" s="702" t="n">
        <v>0.055</v>
      </c>
      <c r="X388" s="702" t="n">
        <v>0.12</v>
      </c>
      <c r="Y388" s="703" t="n"/>
      <c r="Z388" s="702" t="n">
        <v>0.04</v>
      </c>
      <c r="AA388" s="70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5" t="n">
        <v>147402.4</v>
      </c>
      <c r="V389" s="324" t="n">
        <v>0.15</v>
      </c>
      <c r="W389" s="321" t="n"/>
      <c r="X389" s="325" t="n">
        <v>0.05</v>
      </c>
      <c r="Y389" s="700" t="n">
        <v>2910</v>
      </c>
      <c r="Z389" s="325" t="n">
        <v>0.03</v>
      </c>
      <c r="AA389" s="70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5" t="n">
        <v>156160</v>
      </c>
      <c r="V390" s="325" t="n">
        <v>0.12</v>
      </c>
      <c r="W390" s="702" t="n">
        <v>0.055</v>
      </c>
      <c r="X390" s="702" t="n">
        <v>0.12</v>
      </c>
      <c r="Y390" s="703" t="n"/>
      <c r="Z390" s="702" t="n">
        <v>0.04</v>
      </c>
      <c r="AA390" s="70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5" t="n">
        <v>198173.8</v>
      </c>
      <c r="V391" s="325" t="n">
        <v>0.25</v>
      </c>
      <c r="W391" s="322" t="n"/>
      <c r="X391" s="325" t="n">
        <v>0.17</v>
      </c>
      <c r="Y391" s="700" t="n">
        <v>3310</v>
      </c>
      <c r="Z391" s="347" t="n">
        <v>0.045</v>
      </c>
      <c r="AA391" s="70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5" t="n">
        <v>158056</v>
      </c>
      <c r="V392" s="324" t="n">
        <v>0.15</v>
      </c>
      <c r="W392" s="321" t="n"/>
      <c r="X392" s="325" t="n">
        <v>0.05</v>
      </c>
      <c r="Y392" s="700" t="n">
        <v>2910</v>
      </c>
      <c r="Z392" s="325" t="n">
        <v>0.03</v>
      </c>
      <c r="AA392" s="70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5" t="n">
        <v>169610</v>
      </c>
      <c r="V393" s="325" t="n">
        <v>0.12</v>
      </c>
      <c r="W393" s="702" t="n">
        <v>0.055</v>
      </c>
      <c r="X393" s="702" t="n">
        <v>0.12</v>
      </c>
      <c r="Y393" s="703" t="n"/>
      <c r="Z393" s="702" t="n">
        <v>0.04</v>
      </c>
      <c r="AA393" s="70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5" t="n">
        <v>159950</v>
      </c>
      <c r="V394" s="325" t="n">
        <v>0.12</v>
      </c>
      <c r="W394" s="702" t="n">
        <v>0.055</v>
      </c>
      <c r="X394" s="702" t="n">
        <v>0.12</v>
      </c>
      <c r="Y394" s="703" t="n"/>
      <c r="Z394" s="702" t="n">
        <v>0.04</v>
      </c>
      <c r="AA394" s="70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5" t="n">
        <v>190180</v>
      </c>
      <c r="V395" s="325" t="n">
        <v>0.14</v>
      </c>
      <c r="W395" s="702" t="n">
        <v>0.055</v>
      </c>
      <c r="X395" s="702" t="n">
        <v>0.12</v>
      </c>
      <c r="Y395" s="703" t="n"/>
      <c r="Z395" s="702" t="n">
        <v>0.04</v>
      </c>
      <c r="AA395" s="70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5" t="n">
        <v>136890</v>
      </c>
      <c r="V396" s="325" t="n">
        <v>0.1</v>
      </c>
      <c r="W396" s="702" t="n">
        <v>0.055</v>
      </c>
      <c r="X396" s="702" t="n">
        <v>0.12</v>
      </c>
      <c r="Y396" s="703" t="n"/>
      <c r="Z396" s="702" t="n">
        <v>0.04</v>
      </c>
      <c r="AA396" s="70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5" t="n">
        <v>104570</v>
      </c>
      <c r="V397" s="325" t="n">
        <v>0.1</v>
      </c>
      <c r="W397" s="702" t="n">
        <v>0.055</v>
      </c>
      <c r="X397" s="702" t="n">
        <v>0.12</v>
      </c>
      <c r="Y397" s="703" t="n"/>
      <c r="Z397" s="702" t="n">
        <v>0.04</v>
      </c>
      <c r="AA397" s="70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5" t="n">
        <v>192870</v>
      </c>
      <c r="V398" s="325" t="n">
        <v>0.12</v>
      </c>
      <c r="W398" s="702" t="n">
        <v>0.055</v>
      </c>
      <c r="X398" s="702" t="n">
        <v>0.12</v>
      </c>
      <c r="Y398" s="703" t="n"/>
      <c r="Z398" s="702" t="n">
        <v>0.04</v>
      </c>
      <c r="AA398" s="70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5" t="n">
        <v>217800</v>
      </c>
      <c r="V399" s="325" t="n">
        <v>0.25</v>
      </c>
      <c r="W399" s="322" t="n"/>
      <c r="X399" s="325" t="n">
        <v>0.17</v>
      </c>
      <c r="Y399" s="700" t="n">
        <v>3310</v>
      </c>
      <c r="Z399" s="347" t="n">
        <v>0.045</v>
      </c>
      <c r="AA399" s="70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5" t="n">
        <v>83692.40000000001</v>
      </c>
      <c r="V400" s="324" t="n">
        <v>0.1</v>
      </c>
      <c r="W400" s="321" t="n"/>
      <c r="X400" s="325" t="n">
        <v>0.05</v>
      </c>
      <c r="Y400" s="700" t="n">
        <v>2910</v>
      </c>
      <c r="Z400" s="325" t="n">
        <v>0.03</v>
      </c>
      <c r="AA400" s="70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21" t="n">
        <v>140760</v>
      </c>
      <c r="V401" s="322" t="n">
        <v>0</v>
      </c>
      <c r="W401" s="322" t="n">
        <v>0</v>
      </c>
      <c r="X401" s="325" t="n">
        <v>0</v>
      </c>
      <c r="Y401" s="318" t="n">
        <v>0</v>
      </c>
      <c r="Z401" s="325" t="n">
        <v>0.04</v>
      </c>
      <c r="AA401" s="70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2" t="n">
        <v>136860</v>
      </c>
      <c r="V402" s="412" t="n">
        <v>0.1</v>
      </c>
      <c r="W402" s="723" t="n">
        <v>0.055</v>
      </c>
      <c r="X402" s="723" t="n">
        <v>0.12</v>
      </c>
      <c r="Y402" s="724" t="n"/>
      <c r="Z402" s="723" t="n">
        <v>0.04</v>
      </c>
      <c r="AA402" s="725">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5" t="n">
        <v>189620</v>
      </c>
      <c r="V403" s="325" t="n">
        <v>0.12</v>
      </c>
      <c r="W403" s="702" t="n">
        <v>0.055</v>
      </c>
      <c r="X403" s="702" t="n">
        <v>0.12</v>
      </c>
      <c r="Y403" s="703" t="n"/>
      <c r="Z403" s="702" t="n">
        <v>0.04</v>
      </c>
      <c r="AA403" s="70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5" t="n">
        <v>254100</v>
      </c>
      <c r="V404" s="325" t="n">
        <v>0.25</v>
      </c>
      <c r="W404" s="322" t="n"/>
      <c r="X404" s="325" t="n">
        <v>0.17</v>
      </c>
      <c r="Y404" s="700" t="n">
        <v>3310</v>
      </c>
      <c r="Z404" s="347" t="n">
        <v>0.045</v>
      </c>
      <c r="AA404" s="70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5" t="n">
        <v>126702.4</v>
      </c>
      <c r="V405" s="324" t="n">
        <v>0.15</v>
      </c>
      <c r="W405" s="322" t="n"/>
      <c r="X405" s="325" t="n">
        <v>0.05</v>
      </c>
      <c r="Y405" s="700" t="n">
        <v>2910</v>
      </c>
      <c r="Z405" s="325" t="n">
        <v>0.03</v>
      </c>
      <c r="AA405" s="70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5" t="n">
        <v>124862.4</v>
      </c>
      <c r="V406" s="324" t="n">
        <v>0.15</v>
      </c>
      <c r="W406" s="322" t="n"/>
      <c r="X406" s="325" t="n">
        <v>0.05</v>
      </c>
      <c r="Y406" s="700" t="n">
        <v>2910</v>
      </c>
      <c r="Z406" s="325" t="n">
        <v>0.03</v>
      </c>
      <c r="AA406" s="70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5" t="n">
        <v>159220</v>
      </c>
      <c r="V407" s="325" t="n">
        <v>0.12</v>
      </c>
      <c r="W407" s="702" t="n">
        <v>0.055</v>
      </c>
      <c r="X407" s="702" t="n">
        <v>0.12</v>
      </c>
      <c r="Y407" s="703" t="n"/>
      <c r="Z407" s="702" t="n">
        <v>0.04</v>
      </c>
      <c r="AA407" s="70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5" t="n">
        <v>211600</v>
      </c>
      <c r="V408" s="324" t="n">
        <v>0.2</v>
      </c>
      <c r="W408" s="322" t="n"/>
      <c r="X408" s="325" t="n">
        <v>0.05</v>
      </c>
      <c r="Y408" s="700" t="n">
        <v>2910</v>
      </c>
      <c r="Z408" s="325" t="n">
        <v>0.03</v>
      </c>
      <c r="AA408" s="70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5" t="n">
        <v>144720</v>
      </c>
      <c r="V409" s="325" t="n">
        <v>0.1</v>
      </c>
      <c r="W409" s="702" t="n">
        <v>0.055</v>
      </c>
      <c r="X409" s="702" t="n">
        <v>0.12</v>
      </c>
      <c r="Y409" s="703" t="n"/>
      <c r="Z409" s="702" t="n">
        <v>0.04</v>
      </c>
      <c r="AA409" s="701">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5" t="n">
        <v>192110</v>
      </c>
      <c r="V410" s="325" t="n">
        <v>0.12</v>
      </c>
      <c r="W410" s="702" t="n">
        <v>0.055</v>
      </c>
      <c r="X410" s="702" t="n">
        <v>0.12</v>
      </c>
      <c r="Y410" s="703" t="n"/>
      <c r="Z410" s="702" t="n">
        <v>0.04</v>
      </c>
      <c r="AA410" s="70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5" t="n">
        <v>187730</v>
      </c>
      <c r="V411" s="325" t="n">
        <v>0.12</v>
      </c>
      <c r="W411" s="702" t="n">
        <v>0.055</v>
      </c>
      <c r="X411" s="702" t="n">
        <v>0.12</v>
      </c>
      <c r="Y411" s="703" t="n"/>
      <c r="Z411" s="702" t="n">
        <v>0.04</v>
      </c>
      <c r="AA411" s="70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5" t="n">
        <v>164380</v>
      </c>
      <c r="V412" s="325" t="n">
        <v>0.12</v>
      </c>
      <c r="W412" s="702" t="n">
        <v>0.055</v>
      </c>
      <c r="X412" s="702" t="n">
        <v>0.12</v>
      </c>
      <c r="Y412" s="703" t="n"/>
      <c r="Z412" s="702" t="n">
        <v>0.04</v>
      </c>
      <c r="AA412" s="701">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5" t="n">
        <v>140000</v>
      </c>
      <c r="V413" s="325" t="n">
        <v>0.12</v>
      </c>
      <c r="W413" s="702" t="n">
        <v>0.055</v>
      </c>
      <c r="X413" s="702" t="n">
        <v>0.12</v>
      </c>
      <c r="Y413" s="703" t="n"/>
      <c r="Z413" s="702" t="n">
        <v>0.04</v>
      </c>
      <c r="AA413" s="701">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5" t="n">
        <v>166000</v>
      </c>
      <c r="V414" s="325" t="n">
        <v>0.12</v>
      </c>
      <c r="W414" s="702" t="n">
        <v>0.055</v>
      </c>
      <c r="X414" s="702" t="n">
        <v>0.12</v>
      </c>
      <c r="Y414" s="703" t="n"/>
      <c r="Z414" s="702" t="n">
        <v>0.04</v>
      </c>
      <c r="AA414" s="701">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9" t="n">
        <v>226191.2</v>
      </c>
      <c r="V415" s="365" t="n">
        <v>0.2</v>
      </c>
      <c r="X415" s="361" t="n">
        <v>0.05</v>
      </c>
      <c r="Y415" s="709" t="n">
        <v>2910</v>
      </c>
      <c r="Z415" s="361" t="n">
        <v>0.03</v>
      </c>
      <c r="AA415" s="708">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5" t="n">
        <v>69156.40000000001</v>
      </c>
      <c r="V416" s="324" t="n">
        <v>0.1</v>
      </c>
      <c r="W416" s="322" t="n"/>
      <c r="X416" s="325" t="n">
        <v>0.05</v>
      </c>
      <c r="Y416" s="700" t="n">
        <v>2910</v>
      </c>
      <c r="Z416" s="325" t="n">
        <v>0.03</v>
      </c>
      <c r="AA416" s="70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5" t="n">
        <v>190260</v>
      </c>
      <c r="V417" s="325" t="n">
        <v>0.12</v>
      </c>
      <c r="W417" s="702" t="n">
        <v>0.055</v>
      </c>
      <c r="X417" s="702" t="n">
        <v>0.12</v>
      </c>
      <c r="Y417" s="703" t="n"/>
      <c r="Z417" s="702" t="n">
        <v>0.04</v>
      </c>
      <c r="AA417" s="70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5" t="n">
        <v>152919.8</v>
      </c>
      <c r="V418" s="325" t="n">
        <v>0.18</v>
      </c>
      <c r="W418" s="322" t="n"/>
      <c r="X418" s="325" t="n">
        <v>0.17</v>
      </c>
      <c r="Y418" s="700" t="n">
        <v>3310</v>
      </c>
      <c r="Z418" s="347" t="n">
        <v>0.045</v>
      </c>
      <c r="AA418" s="70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5" t="n">
        <v>116880</v>
      </c>
      <c r="V419" s="325" t="n">
        <v>0.1</v>
      </c>
      <c r="W419" s="702" t="n">
        <v>0.055</v>
      </c>
      <c r="X419" s="702" t="n">
        <v>0.12</v>
      </c>
      <c r="Y419" s="703" t="n"/>
      <c r="Z419" s="702" t="n">
        <v>0.04</v>
      </c>
      <c r="AA419" s="70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5" t="n">
        <v>174780</v>
      </c>
      <c r="V420" s="325" t="n">
        <v>0.12</v>
      </c>
      <c r="W420" s="702" t="n">
        <v>0.055</v>
      </c>
      <c r="X420" s="702" t="n">
        <v>0.12</v>
      </c>
      <c r="Y420" s="703" t="n"/>
      <c r="Z420" s="702" t="n">
        <v>0.04</v>
      </c>
      <c r="AA420" s="70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5" t="n">
        <v>248050</v>
      </c>
      <c r="V421" s="325" t="n">
        <v>0.25</v>
      </c>
      <c r="W421" s="322" t="n"/>
      <c r="X421" s="325" t="n">
        <v>0.17</v>
      </c>
      <c r="Y421" s="700" t="n">
        <v>3310</v>
      </c>
      <c r="Z421" s="347" t="n">
        <v>0.045</v>
      </c>
      <c r="AA421" s="70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5" t="n">
        <v>130824</v>
      </c>
      <c r="V422" s="324" t="n">
        <v>0.15</v>
      </c>
      <c r="W422" s="322" t="n"/>
      <c r="X422" s="325" t="n">
        <v>0.05</v>
      </c>
      <c r="Y422" s="700" t="n">
        <v>2910</v>
      </c>
      <c r="Z422" s="325" t="n">
        <v>0.03</v>
      </c>
      <c r="AA422" s="70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5" t="n">
        <v>156850</v>
      </c>
      <c r="V423" s="325" t="n">
        <v>0.12</v>
      </c>
      <c r="W423" s="702" t="n">
        <v>0.055</v>
      </c>
      <c r="X423" s="702" t="n">
        <v>0.12</v>
      </c>
      <c r="Y423" s="703" t="n"/>
      <c r="Z423" s="702" t="n">
        <v>0.04</v>
      </c>
      <c r="AA423" s="70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5" t="n">
        <v>111580</v>
      </c>
      <c r="V424" s="325" t="n">
        <v>0.1</v>
      </c>
      <c r="W424" s="702" t="n">
        <v>0.055</v>
      </c>
      <c r="X424" s="702" t="n">
        <v>0.12</v>
      </c>
      <c r="Y424" s="703" t="n"/>
      <c r="Z424" s="702" t="n">
        <v>0.04</v>
      </c>
      <c r="AA424" s="70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5" t="n">
        <v>188324.4</v>
      </c>
      <c r="V425" s="325" t="n">
        <v>0.25</v>
      </c>
      <c r="W425" s="322" t="n"/>
      <c r="X425" s="325" t="n">
        <v>0.17</v>
      </c>
      <c r="Y425" s="700" t="n">
        <v>3310</v>
      </c>
      <c r="Z425" s="347" t="n">
        <v>0.045</v>
      </c>
      <c r="AA425" s="70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4">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5" t="n">
        <v>160000</v>
      </c>
      <c r="V427" s="325" t="n">
        <v>0.12</v>
      </c>
      <c r="W427" s="702" t="n">
        <v>0.055</v>
      </c>
      <c r="X427" s="702" t="n">
        <v>0.12</v>
      </c>
      <c r="Y427" s="703" t="n"/>
      <c r="Z427" s="702" t="n">
        <v>0.04</v>
      </c>
      <c r="AA427" s="70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5" t="n">
        <v>220050.6</v>
      </c>
      <c r="V428" s="325" t="n">
        <v>0.25</v>
      </c>
      <c r="W428" s="322" t="n"/>
      <c r="X428" s="325" t="n">
        <v>0.17</v>
      </c>
      <c r="Y428" s="700" t="n">
        <v>3310</v>
      </c>
      <c r="Z428" s="347" t="n">
        <v>0.045</v>
      </c>
      <c r="AA428" s="70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5" t="n">
        <v>166360</v>
      </c>
      <c r="V429" s="325" t="n">
        <v>0.12</v>
      </c>
      <c r="W429" s="702" t="n">
        <v>0.055</v>
      </c>
      <c r="X429" s="702" t="n">
        <v>0.12</v>
      </c>
      <c r="Y429" s="703" t="n"/>
      <c r="Z429" s="702" t="n">
        <v>0.04</v>
      </c>
      <c r="AA429" s="70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5" t="n">
        <v>205050</v>
      </c>
      <c r="V430" s="325" t="n">
        <v>0.14</v>
      </c>
      <c r="W430" s="702" t="n">
        <v>0.055</v>
      </c>
      <c r="X430" s="702" t="n">
        <v>0.12</v>
      </c>
      <c r="Y430" s="703" t="n"/>
      <c r="Z430" s="702" t="n">
        <v>0.04</v>
      </c>
      <c r="AA430" s="70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5" t="n">
        <v>238091.7</v>
      </c>
      <c r="V431" s="325" t="n">
        <v>0.25</v>
      </c>
      <c r="W431" s="322" t="n"/>
      <c r="X431" s="325" t="n">
        <v>0.17</v>
      </c>
      <c r="Y431" s="700" t="n">
        <v>3310</v>
      </c>
      <c r="Z431" s="347" t="n">
        <v>0.045</v>
      </c>
      <c r="AA431" s="70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5" t="n">
        <v>82380</v>
      </c>
      <c r="V432" s="325" t="n">
        <v>0.08</v>
      </c>
      <c r="W432" s="702" t="n">
        <v>0.055</v>
      </c>
      <c r="X432" s="702" t="n">
        <v>0.12</v>
      </c>
      <c r="Y432" s="703" t="n"/>
      <c r="Z432" s="702" t="n">
        <v>0.04</v>
      </c>
      <c r="AA432" s="70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5" t="n">
        <v>205700</v>
      </c>
      <c r="V433" s="325" t="n">
        <v>0.25</v>
      </c>
      <c r="W433" s="322" t="n"/>
      <c r="X433" s="325" t="n">
        <v>0.17</v>
      </c>
      <c r="Y433" s="700" t="n">
        <v>3310</v>
      </c>
      <c r="Z433" s="347" t="n">
        <v>0.045</v>
      </c>
      <c r="AA433" s="70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5" t="n">
        <v>110000</v>
      </c>
      <c r="V434" s="325" t="n">
        <v>0.1</v>
      </c>
      <c r="W434" s="702" t="n">
        <v>0.055</v>
      </c>
      <c r="X434" s="702" t="n">
        <v>0.12</v>
      </c>
      <c r="Y434" s="703" t="n"/>
      <c r="Z434" s="702" t="n">
        <v>0.04</v>
      </c>
      <c r="AA434" s="70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5" t="n">
        <v>151950</v>
      </c>
      <c r="V435" s="325" t="n">
        <v>0.12</v>
      </c>
      <c r="W435" s="702" t="n">
        <v>0.055</v>
      </c>
      <c r="X435" s="702" t="n">
        <v>0.12</v>
      </c>
      <c r="Y435" s="703" t="n"/>
      <c r="Z435" s="702" t="n">
        <v>0.04</v>
      </c>
      <c r="AA435" s="70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5" t="n">
        <v>173550</v>
      </c>
      <c r="V436" s="325" t="n">
        <v>0.12</v>
      </c>
      <c r="W436" s="702" t="n">
        <v>0.055</v>
      </c>
      <c r="X436" s="702" t="n">
        <v>0.12</v>
      </c>
      <c r="Y436" s="703" t="n"/>
      <c r="Z436" s="702" t="n">
        <v>0.04</v>
      </c>
      <c r="AA436" s="70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5" t="n">
        <v>203550</v>
      </c>
      <c r="V437" s="325" t="n">
        <v>0.14</v>
      </c>
      <c r="W437" s="702" t="n">
        <v>0.055</v>
      </c>
      <c r="X437" s="702" t="n">
        <v>0.12</v>
      </c>
      <c r="Y437" s="703" t="n"/>
      <c r="Z437" s="702" t="n">
        <v>0.04</v>
      </c>
      <c r="AA437" s="70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5" t="n">
        <v>203550</v>
      </c>
      <c r="V438" s="325" t="n">
        <v>0.14</v>
      </c>
      <c r="W438" s="702" t="n">
        <v>0.055</v>
      </c>
      <c r="X438" s="702" t="n">
        <v>0.12</v>
      </c>
      <c r="Y438" s="703" t="n"/>
      <c r="Z438" s="702" t="n">
        <v>0.04</v>
      </c>
      <c r="AA438" s="70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5" t="n">
        <v>151950</v>
      </c>
      <c r="V439" s="325" t="n">
        <v>0.12</v>
      </c>
      <c r="W439" s="702" t="n">
        <v>0.055</v>
      </c>
      <c r="X439" s="702" t="n">
        <v>0.12</v>
      </c>
      <c r="Y439" s="703" t="n"/>
      <c r="Z439" s="702" t="n">
        <v>0.04</v>
      </c>
      <c r="AA439" s="70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5" t="n">
        <v>151950</v>
      </c>
      <c r="V440" s="325" t="n">
        <v>0.12</v>
      </c>
      <c r="W440" s="702" t="n">
        <v>0.055</v>
      </c>
      <c r="X440" s="702" t="n">
        <v>0.12</v>
      </c>
      <c r="Y440" s="703" t="n"/>
      <c r="Z440" s="702" t="n">
        <v>0.04</v>
      </c>
      <c r="AA440" s="70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5" t="n">
        <v>173550</v>
      </c>
      <c r="V441" s="325" t="n">
        <v>0.12</v>
      </c>
      <c r="W441" s="702" t="n">
        <v>0.055</v>
      </c>
      <c r="X441" s="702" t="n">
        <v>0.12</v>
      </c>
      <c r="Y441" s="703" t="n"/>
      <c r="Z441" s="702" t="n">
        <v>0.04</v>
      </c>
      <c r="AA441" s="70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5" t="n">
        <v>151950</v>
      </c>
      <c r="V442" s="325" t="n">
        <v>0.12</v>
      </c>
      <c r="W442" s="702" t="n">
        <v>0.055</v>
      </c>
      <c r="X442" s="702" t="n">
        <v>0.12</v>
      </c>
      <c r="Y442" s="703" t="n"/>
      <c r="Z442" s="702" t="n">
        <v>0.04</v>
      </c>
      <c r="AA442" s="701">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5" t="n">
        <v>94650</v>
      </c>
      <c r="V443" s="325" t="n">
        <v>0.08</v>
      </c>
      <c r="W443" s="702" t="n">
        <v>0.055</v>
      </c>
      <c r="X443" s="702" t="n">
        <v>0.12</v>
      </c>
      <c r="Y443" s="703" t="n"/>
      <c r="Z443" s="702" t="n">
        <v>0.04</v>
      </c>
      <c r="AA443" s="70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5" t="n">
        <v>203550</v>
      </c>
      <c r="V444" s="325" t="n">
        <v>0.14</v>
      </c>
      <c r="W444" s="702" t="n">
        <v>0.055</v>
      </c>
      <c r="X444" s="702" t="n">
        <v>0.12</v>
      </c>
      <c r="Y444" s="703" t="n"/>
      <c r="Z444" s="702" t="n">
        <v>0.04</v>
      </c>
      <c r="AA444" s="70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5" t="n">
        <v>203550</v>
      </c>
      <c r="V445" s="325" t="n">
        <v>0.14</v>
      </c>
      <c r="W445" s="702" t="n">
        <v>0.055</v>
      </c>
      <c r="X445" s="702" t="n">
        <v>0.12</v>
      </c>
      <c r="Y445" s="703" t="n"/>
      <c r="Z445" s="702" t="n">
        <v>0.04</v>
      </c>
      <c r="AA445" s="70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5" t="n">
        <v>173550</v>
      </c>
      <c r="V446" s="325" t="n">
        <v>0.12</v>
      </c>
      <c r="W446" s="702" t="n">
        <v>0.055</v>
      </c>
      <c r="X446" s="702" t="n">
        <v>0.12</v>
      </c>
      <c r="Y446" s="703" t="n"/>
      <c r="Z446" s="702" t="n">
        <v>0.04</v>
      </c>
      <c r="AA446" s="701">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5" t="n">
        <v>173550</v>
      </c>
      <c r="V447" s="325" t="n">
        <v>0.12</v>
      </c>
      <c r="W447" s="702" t="n">
        <v>0.055</v>
      </c>
      <c r="X447" s="702" t="n">
        <v>0.12</v>
      </c>
      <c r="Y447" s="703" t="n"/>
      <c r="Z447" s="702" t="n">
        <v>0.04</v>
      </c>
      <c r="AA447" s="70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5" t="n">
        <v>129650</v>
      </c>
      <c r="V448" s="325" t="n">
        <v>0.1</v>
      </c>
      <c r="W448" s="702" t="n">
        <v>0.055</v>
      </c>
      <c r="X448" s="702" t="n">
        <v>0.12</v>
      </c>
      <c r="Y448" s="703" t="n"/>
      <c r="Z448" s="702" t="n">
        <v>0.04</v>
      </c>
      <c r="AA448" s="70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5" t="n">
        <v>203550</v>
      </c>
      <c r="V449" s="325" t="n">
        <v>0.14</v>
      </c>
      <c r="W449" s="702" t="n">
        <v>0.055</v>
      </c>
      <c r="X449" s="702" t="n">
        <v>0.12</v>
      </c>
      <c r="Y449" s="703" t="n"/>
      <c r="Z449" s="702" t="n">
        <v>0.04</v>
      </c>
      <c r="AA449" s="70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5" t="n">
        <v>203550</v>
      </c>
      <c r="V450" s="325" t="n">
        <v>0.14</v>
      </c>
      <c r="W450" s="702" t="n">
        <v>0.055</v>
      </c>
      <c r="X450" s="702" t="n">
        <v>0.12</v>
      </c>
      <c r="Y450" s="703" t="n"/>
      <c r="Z450" s="702" t="n">
        <v>0.04</v>
      </c>
      <c r="AA450" s="70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5" t="n">
        <v>203550</v>
      </c>
      <c r="V451" s="325" t="n">
        <v>0.14</v>
      </c>
      <c r="W451" s="702" t="n">
        <v>0.055</v>
      </c>
      <c r="X451" s="702" t="n">
        <v>0.12</v>
      </c>
      <c r="Y451" s="703" t="n"/>
      <c r="Z451" s="702" t="n">
        <v>0.04</v>
      </c>
      <c r="AA451" s="701">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5" t="n">
        <v>129650</v>
      </c>
      <c r="V452" s="325" t="n">
        <v>0.1</v>
      </c>
      <c r="W452" s="702" t="n">
        <v>0.055</v>
      </c>
      <c r="X452" s="702" t="n">
        <v>0.12</v>
      </c>
      <c r="Y452" s="703" t="n"/>
      <c r="Z452" s="702" t="n">
        <v>0.04</v>
      </c>
      <c r="AA452" s="70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5" t="n">
        <v>173550</v>
      </c>
      <c r="V453" s="325" t="n">
        <v>0.12</v>
      </c>
      <c r="W453" s="702" t="n">
        <v>0.055</v>
      </c>
      <c r="X453" s="702" t="n">
        <v>0.12</v>
      </c>
      <c r="Y453" s="703" t="n"/>
      <c r="Z453" s="702" t="n">
        <v>0.04</v>
      </c>
      <c r="AA453" s="70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5" t="n">
        <v>129650</v>
      </c>
      <c r="V454" s="325" t="n">
        <v>0.1</v>
      </c>
      <c r="W454" s="702" t="n">
        <v>0.055</v>
      </c>
      <c r="X454" s="702" t="n">
        <v>0.12</v>
      </c>
      <c r="Y454" s="703" t="n"/>
      <c r="Z454" s="702" t="n">
        <v>0.04</v>
      </c>
      <c r="AA454" s="70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5" t="n">
        <v>151950</v>
      </c>
      <c r="V455" s="325" t="n">
        <v>0.12</v>
      </c>
      <c r="W455" s="702" t="n">
        <v>0.055</v>
      </c>
      <c r="X455" s="702" t="n">
        <v>0.12</v>
      </c>
      <c r="Y455" s="703" t="n"/>
      <c r="Z455" s="702" t="n">
        <v>0.04</v>
      </c>
      <c r="AA455" s="701">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5" t="n">
        <v>151000</v>
      </c>
      <c r="V456" s="325" t="n">
        <v>0.12</v>
      </c>
      <c r="W456" s="702" t="n">
        <v>0.055</v>
      </c>
      <c r="X456" s="702" t="n">
        <v>0.12</v>
      </c>
      <c r="Y456" s="703" t="n"/>
      <c r="Z456" s="702" t="n">
        <v>0.04</v>
      </c>
      <c r="AA456" s="70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5" t="n">
        <v>151950</v>
      </c>
      <c r="V457" s="325" t="n">
        <v>0.12</v>
      </c>
      <c r="W457" s="702" t="n">
        <v>0.055</v>
      </c>
      <c r="X457" s="702" t="n">
        <v>0.12</v>
      </c>
      <c r="Y457" s="703" t="n"/>
      <c r="Z457" s="702" t="n">
        <v>0.04</v>
      </c>
      <c r="AA457" s="70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5" t="n">
        <v>173550</v>
      </c>
      <c r="V458" s="325" t="n">
        <v>0.12</v>
      </c>
      <c r="W458" s="702" t="n">
        <v>0.055</v>
      </c>
      <c r="X458" s="702" t="n">
        <v>0.12</v>
      </c>
      <c r="Y458" s="703" t="n"/>
      <c r="Z458" s="702" t="n">
        <v>0.04</v>
      </c>
      <c r="AA458" s="70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5" t="n">
        <v>151950</v>
      </c>
      <c r="V459" s="325" t="n">
        <v>0.12</v>
      </c>
      <c r="W459" s="702" t="n">
        <v>0.055</v>
      </c>
      <c r="X459" s="702" t="n">
        <v>0.12</v>
      </c>
      <c r="Y459" s="703" t="n"/>
      <c r="Z459" s="702" t="n">
        <v>0.04</v>
      </c>
      <c r="AA459" s="70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5" t="n">
        <v>151950</v>
      </c>
      <c r="V460" s="325" t="n">
        <v>0.12</v>
      </c>
      <c r="W460" s="702" t="n">
        <v>0.055</v>
      </c>
      <c r="X460" s="702" t="n">
        <v>0.12</v>
      </c>
      <c r="Y460" s="703" t="n"/>
      <c r="Z460" s="702" t="n">
        <v>0.04</v>
      </c>
      <c r="AA460" s="70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5" t="n">
        <v>151950</v>
      </c>
      <c r="V461" s="325" t="n">
        <v>0.12</v>
      </c>
      <c r="W461" s="702" t="n">
        <v>0.055</v>
      </c>
      <c r="X461" s="702" t="n">
        <v>0.12</v>
      </c>
      <c r="Y461" s="703" t="n"/>
      <c r="Z461" s="702" t="n">
        <v>0.04</v>
      </c>
      <c r="AA461" s="701">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5" t="n">
        <v>151950</v>
      </c>
      <c r="V462" s="325" t="n">
        <v>0.12</v>
      </c>
      <c r="W462" s="702" t="n">
        <v>0.055</v>
      </c>
      <c r="X462" s="702" t="n">
        <v>0.12</v>
      </c>
      <c r="Y462" s="703" t="n"/>
      <c r="Z462" s="702" t="n">
        <v>0.04</v>
      </c>
      <c r="AA462" s="701">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5" t="n">
        <v>151950</v>
      </c>
      <c r="V463" s="325" t="n">
        <v>0.12</v>
      </c>
      <c r="W463" s="702" t="n">
        <v>0.055</v>
      </c>
      <c r="X463" s="702" t="n">
        <v>0.12</v>
      </c>
      <c r="Y463" s="703" t="n"/>
      <c r="Z463" s="702" t="n">
        <v>0.04</v>
      </c>
      <c r="AA463" s="701">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5" t="n">
        <v>151950</v>
      </c>
      <c r="V464" s="325" t="n">
        <v>0.12</v>
      </c>
      <c r="W464" s="702" t="n">
        <v>0.055</v>
      </c>
      <c r="X464" s="702" t="n">
        <v>0.12</v>
      </c>
      <c r="Y464" s="703" t="n"/>
      <c r="Z464" s="702" t="n">
        <v>0.04</v>
      </c>
      <c r="AA464" s="701">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5" t="n">
        <v>185360</v>
      </c>
      <c r="V465" s="325" t="n">
        <v>0.12</v>
      </c>
      <c r="W465" s="702" t="n">
        <v>0.055</v>
      </c>
      <c r="X465" s="702" t="n">
        <v>0.12</v>
      </c>
      <c r="Y465" s="703" t="n"/>
      <c r="Z465" s="702" t="n">
        <v>0.04</v>
      </c>
      <c r="AA465" s="70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5" t="n">
        <v>159820</v>
      </c>
      <c r="V466" s="325" t="n">
        <v>0.12</v>
      </c>
      <c r="W466" s="702" t="n">
        <v>0.055</v>
      </c>
      <c r="X466" s="702" t="n">
        <v>0.12</v>
      </c>
      <c r="Y466" s="703" t="n"/>
      <c r="Z466" s="702" t="n">
        <v>0.04</v>
      </c>
      <c r="AA466" s="70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5" t="n">
        <v>165730</v>
      </c>
      <c r="V467" s="325" t="n">
        <v>0.12</v>
      </c>
      <c r="W467" s="702" t="n">
        <v>0.055</v>
      </c>
      <c r="X467" s="702" t="n">
        <v>0.12</v>
      </c>
      <c r="Y467" s="703" t="n"/>
      <c r="Z467" s="702" t="n">
        <v>0.04</v>
      </c>
      <c r="AA467" s="70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4">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5" t="n">
        <v>158050</v>
      </c>
      <c r="V469" s="325" t="n">
        <v>0.12</v>
      </c>
      <c r="W469" s="702" t="n">
        <v>0.055</v>
      </c>
      <c r="X469" s="702" t="n">
        <v>0.12</v>
      </c>
      <c r="Y469" s="703" t="n"/>
      <c r="Z469" s="702" t="n">
        <v>0.04</v>
      </c>
      <c r="AA469" s="70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5" t="n">
        <v>140000</v>
      </c>
      <c r="V470" s="325" t="n">
        <v>0.12</v>
      </c>
      <c r="W470" s="702" t="n">
        <v>0.055</v>
      </c>
      <c r="X470" s="702" t="n">
        <v>0.12</v>
      </c>
      <c r="Y470" s="703" t="n"/>
      <c r="Z470" s="702" t="n">
        <v>0.04</v>
      </c>
      <c r="AA470" s="70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4">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5" t="n">
        <v>203672</v>
      </c>
      <c r="V472" s="325" t="n">
        <v>0.12</v>
      </c>
      <c r="W472" s="702" t="n">
        <v>0.055</v>
      </c>
      <c r="X472" s="702" t="n">
        <v>0.12</v>
      </c>
      <c r="Y472" s="703" t="n"/>
      <c r="Z472" s="702" t="n">
        <v>0.04</v>
      </c>
      <c r="AA472" s="70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5" t="n">
        <v>108127.6</v>
      </c>
      <c r="V473" s="324" t="n">
        <v>0.15</v>
      </c>
      <c r="W473" s="321" t="n"/>
      <c r="X473" s="325" t="n">
        <v>0.05</v>
      </c>
      <c r="Y473" s="700" t="n">
        <v>2910</v>
      </c>
      <c r="Z473" s="325" t="n">
        <v>0.03</v>
      </c>
      <c r="AA473" s="70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5" t="n">
        <v>186640</v>
      </c>
      <c r="V474" s="325" t="n">
        <v>0.12</v>
      </c>
      <c r="W474" s="702" t="n">
        <v>0.055</v>
      </c>
      <c r="X474" s="702" t="n">
        <v>0.12</v>
      </c>
      <c r="Y474" s="703" t="n"/>
      <c r="Z474" s="702" t="n">
        <v>0.04</v>
      </c>
      <c r="AA474" s="70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5" t="n">
        <v>181070</v>
      </c>
      <c r="V475" s="325" t="n">
        <v>0.12</v>
      </c>
      <c r="W475" s="702" t="n">
        <v>0.055</v>
      </c>
      <c r="X475" s="702" t="n">
        <v>0.12</v>
      </c>
      <c r="Y475" s="703" t="n"/>
      <c r="Z475" s="702"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5" t="n">
        <v>106424.68</v>
      </c>
      <c r="V476" s="324" t="n">
        <v>0.15</v>
      </c>
      <c r="W476" s="321" t="n"/>
      <c r="X476" s="325" t="n">
        <v>0.05</v>
      </c>
      <c r="Y476" s="700" t="n">
        <v>2910</v>
      </c>
      <c r="Z476" s="325" t="n">
        <v>0.03</v>
      </c>
      <c r="AA476" s="70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5" t="n">
        <v>178250</v>
      </c>
      <c r="V477" s="325" t="n">
        <v>0.12</v>
      </c>
      <c r="W477" s="702" t="n">
        <v>0.055</v>
      </c>
      <c r="X477" s="702" t="n">
        <v>0.12</v>
      </c>
      <c r="Y477" s="703" t="n"/>
      <c r="Z477" s="702" t="n">
        <v>0.04</v>
      </c>
      <c r="AA477" s="701">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5" t="n">
        <v>157560</v>
      </c>
      <c r="V478" s="325" t="n">
        <v>0.12</v>
      </c>
      <c r="W478" s="702" t="n">
        <v>0.055</v>
      </c>
      <c r="X478" s="702" t="n">
        <v>0.12</v>
      </c>
      <c r="Y478" s="703" t="n"/>
      <c r="Z478" s="702" t="n">
        <v>0.04</v>
      </c>
      <c r="AA478" s="70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5" t="n">
        <v>154450</v>
      </c>
      <c r="V479" s="325" t="n">
        <v>0.12</v>
      </c>
      <c r="W479" s="702" t="n">
        <v>0.055</v>
      </c>
      <c r="X479" s="702" t="n">
        <v>0.12</v>
      </c>
      <c r="Y479" s="703" t="n"/>
      <c r="Z479" s="702" t="n">
        <v>0.04</v>
      </c>
      <c r="AA479" s="70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5" t="n"/>
      <c r="V480" s="325" t="n"/>
      <c r="W480" s="702" t="n"/>
      <c r="X480" s="702" t="n"/>
      <c r="Y480" s="703" t="n"/>
      <c r="Z480" s="702" t="n"/>
      <c r="AA480" s="704">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5" t="n">
        <v>142443.6</v>
      </c>
      <c r="V481" s="324" t="n">
        <v>0.15</v>
      </c>
      <c r="W481" s="321" t="n"/>
      <c r="X481" s="325" t="n">
        <v>0.05</v>
      </c>
      <c r="Y481" s="700" t="n">
        <v>2910</v>
      </c>
      <c r="Z481" s="325" t="n">
        <v>0.03</v>
      </c>
      <c r="AA481" s="70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5" t="n">
        <v>184640</v>
      </c>
      <c r="V482" s="325" t="n">
        <v>0.12</v>
      </c>
      <c r="W482" s="702" t="n">
        <v>0.055</v>
      </c>
      <c r="X482" s="702" t="n">
        <v>0.12</v>
      </c>
      <c r="Y482" s="703" t="n"/>
      <c r="Z482" s="702" t="n">
        <v>0.04</v>
      </c>
      <c r="AA482" s="70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5" t="n">
        <v>179700</v>
      </c>
      <c r="V483" s="325" t="n">
        <v>0.12</v>
      </c>
      <c r="W483" s="702" t="n">
        <v>0.055</v>
      </c>
      <c r="X483" s="702" t="n">
        <v>0.12</v>
      </c>
      <c r="Y483" s="703" t="n"/>
      <c r="Z483" s="702" t="n">
        <v>0.04</v>
      </c>
      <c r="AA483" s="701">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5" t="n">
        <v>165450</v>
      </c>
      <c r="V484" s="325" t="n">
        <v>0.12</v>
      </c>
      <c r="W484" s="702" t="n">
        <v>0.055</v>
      </c>
      <c r="X484" s="702" t="n">
        <v>0.12</v>
      </c>
      <c r="Y484" s="703" t="n"/>
      <c r="Z484" s="702" t="n">
        <v>0.04</v>
      </c>
      <c r="AA484" s="70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4">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4">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5" t="n">
        <v>88568.40000000001</v>
      </c>
      <c r="V487" s="324" t="n">
        <v>0.1</v>
      </c>
      <c r="W487" s="322" t="n"/>
      <c r="X487" s="325" t="n">
        <v>0.05</v>
      </c>
      <c r="Y487" s="700" t="n">
        <v>2910</v>
      </c>
      <c r="Z487" s="325" t="n">
        <v>0.03</v>
      </c>
      <c r="AA487" s="70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5" t="n">
        <v>162122.4</v>
      </c>
      <c r="V488" s="324" t="n">
        <v>0.15</v>
      </c>
      <c r="W488" s="322" t="n"/>
      <c r="X488" s="325" t="n">
        <v>0.05</v>
      </c>
      <c r="Y488" s="700" t="n">
        <v>2910</v>
      </c>
      <c r="Z488" s="325" t="n">
        <v>0.03</v>
      </c>
      <c r="AA488" s="70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5" t="n">
        <v>145710</v>
      </c>
      <c r="V489" s="325" t="n">
        <v>0.12</v>
      </c>
      <c r="W489" s="702" t="n">
        <v>0.055</v>
      </c>
      <c r="X489" s="702" t="n">
        <v>0.12</v>
      </c>
      <c r="Y489" s="703" t="n"/>
      <c r="Z489" s="702" t="n">
        <v>0.04</v>
      </c>
      <c r="AA489" s="70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5" t="n">
        <v>146464</v>
      </c>
      <c r="V490" s="324" t="n">
        <v>0.15</v>
      </c>
      <c r="W490" s="322" t="n"/>
      <c r="X490" s="325" t="n">
        <v>0.05</v>
      </c>
      <c r="Y490" s="700" t="n">
        <v>2910</v>
      </c>
      <c r="Z490" s="325" t="n">
        <v>0.03</v>
      </c>
      <c r="AA490" s="70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5" t="n">
        <v>158690.8</v>
      </c>
      <c r="V491" s="324" t="n">
        <v>0.15</v>
      </c>
      <c r="W491" s="322" t="n"/>
      <c r="X491" s="325" t="n">
        <v>0.05</v>
      </c>
      <c r="Y491" s="700" t="n">
        <v>2910</v>
      </c>
      <c r="Z491" s="325" t="n">
        <v>0.03</v>
      </c>
      <c r="AA491" s="70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5" t="n">
        <v>204000</v>
      </c>
      <c r="V492" s="325" t="n">
        <v>0.12</v>
      </c>
      <c r="W492" s="702" t="n">
        <v>0.055</v>
      </c>
      <c r="X492" s="702" t="n">
        <v>0.12</v>
      </c>
      <c r="Y492" s="703" t="n"/>
      <c r="Z492" s="702" t="n">
        <v>0.04</v>
      </c>
      <c r="AA492" s="701">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5" t="n">
        <v>160370</v>
      </c>
      <c r="V493" s="325" t="n">
        <v>0.12</v>
      </c>
      <c r="W493" s="702" t="n">
        <v>0.055</v>
      </c>
      <c r="X493" s="702" t="n">
        <v>0.12</v>
      </c>
      <c r="Y493" s="703" t="n"/>
      <c r="Z493" s="702" t="n">
        <v>0.04</v>
      </c>
      <c r="AA493" s="70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5" t="n">
        <v>154836</v>
      </c>
      <c r="V494" s="324" t="n">
        <v>0.15</v>
      </c>
      <c r="W494" s="322" t="n"/>
      <c r="X494" s="325" t="n">
        <v>0.05</v>
      </c>
      <c r="Y494" s="700" t="n">
        <v>2910</v>
      </c>
      <c r="Z494" s="325" t="n">
        <v>0.03</v>
      </c>
      <c r="AA494" s="70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5" t="n">
        <v>173429.2</v>
      </c>
      <c r="V495" s="324" t="n">
        <v>0.15</v>
      </c>
      <c r="W495" s="322" t="n"/>
      <c r="X495" s="325" t="n">
        <v>0.05</v>
      </c>
      <c r="Y495" s="700" t="n">
        <v>2910</v>
      </c>
      <c r="Z495" s="325" t="n">
        <v>0.03</v>
      </c>
      <c r="AA495" s="70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5" t="n">
        <v>106563.6</v>
      </c>
      <c r="V496" s="324" t="n">
        <v>0.15</v>
      </c>
      <c r="W496" s="322" t="n"/>
      <c r="X496" s="325" t="n">
        <v>0.05</v>
      </c>
      <c r="Y496" s="700" t="n">
        <v>2910</v>
      </c>
      <c r="Z496" s="325" t="n">
        <v>0.03</v>
      </c>
      <c r="AA496" s="70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5" t="n">
        <v>184000</v>
      </c>
      <c r="V497" s="324" t="n">
        <v>0.15</v>
      </c>
      <c r="W497" s="322" t="n"/>
      <c r="X497" s="325" t="n">
        <v>0.05</v>
      </c>
      <c r="Y497" s="700" t="n">
        <v>2910</v>
      </c>
      <c r="Z497" s="325" t="n">
        <v>0.03</v>
      </c>
      <c r="AA497" s="70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5" t="n">
        <v>163040</v>
      </c>
      <c r="V498" s="325" t="n">
        <v>0.12</v>
      </c>
      <c r="W498" s="702" t="n">
        <v>0.055</v>
      </c>
      <c r="X498" s="702" t="n">
        <v>0.12</v>
      </c>
      <c r="Y498" s="703" t="n"/>
      <c r="Z498" s="702" t="n">
        <v>0.04</v>
      </c>
      <c r="AA498" s="70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5" t="n">
        <v>159130</v>
      </c>
      <c r="V499" s="325" t="n">
        <v>0.12</v>
      </c>
      <c r="W499" s="702" t="n">
        <v>0.055</v>
      </c>
      <c r="X499" s="702" t="n">
        <v>0.12</v>
      </c>
      <c r="Y499" s="703" t="n"/>
      <c r="Z499" s="702" t="n">
        <v>0.04</v>
      </c>
      <c r="AA499" s="70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9" t="n">
        <v>111136</v>
      </c>
      <c r="V500" s="324" t="n">
        <v>0.15</v>
      </c>
      <c r="W500" s="322" t="n"/>
      <c r="X500" s="325" t="n">
        <v>0.05</v>
      </c>
      <c r="Y500" s="700" t="n">
        <v>2910</v>
      </c>
      <c r="Z500" s="325" t="n">
        <v>0.03</v>
      </c>
      <c r="AA500" s="70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9" t="n">
        <v>175410</v>
      </c>
      <c r="V501" s="325" t="n">
        <v>0.12</v>
      </c>
      <c r="W501" s="702" t="n">
        <v>0.055</v>
      </c>
      <c r="X501" s="702" t="n">
        <v>0.12</v>
      </c>
      <c r="Y501" s="703" t="n"/>
      <c r="Z501" s="702" t="n">
        <v>0.04</v>
      </c>
      <c r="AA501" s="701">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9" t="n">
        <v>147200</v>
      </c>
      <c r="V502" s="325" t="n">
        <v>0.15</v>
      </c>
      <c r="W502" s="322" t="n"/>
      <c r="X502" s="325" t="n">
        <v>0.05</v>
      </c>
      <c r="Y502" s="700" t="n">
        <v>2910</v>
      </c>
      <c r="Z502" s="325" t="n">
        <v>0.03</v>
      </c>
      <c r="AA502" s="701">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9" t="n">
        <v>147200</v>
      </c>
      <c r="V503" s="324" t="n">
        <v>0.15</v>
      </c>
      <c r="W503" s="322" t="n"/>
      <c r="X503" s="325" t="n">
        <v>0.05</v>
      </c>
      <c r="Y503" s="700" t="n">
        <v>2910</v>
      </c>
      <c r="Z503" s="325" t="n">
        <v>0.03</v>
      </c>
      <c r="AA503" s="701">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9" t="n">
        <v>200000</v>
      </c>
      <c r="V504" s="325" t="n">
        <v>0.12</v>
      </c>
      <c r="W504" s="702" t="n">
        <v>0.055</v>
      </c>
      <c r="X504" s="702" t="n">
        <v>0.12</v>
      </c>
      <c r="Y504" s="703" t="n"/>
      <c r="Z504" s="702" t="n">
        <v>0.04</v>
      </c>
      <c r="AA504" s="70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9" t="n">
        <v>200000</v>
      </c>
      <c r="V505" s="325" t="n">
        <v>0.12</v>
      </c>
      <c r="W505" s="702" t="n">
        <v>0.055</v>
      </c>
      <c r="X505" s="702" t="n">
        <v>0.12</v>
      </c>
      <c r="Y505" s="703" t="n"/>
      <c r="Z505" s="702" t="n">
        <v>0.04</v>
      </c>
      <c r="AA505" s="70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5" t="n">
        <v>200000</v>
      </c>
      <c r="V506" s="325" t="n">
        <v>0.12</v>
      </c>
      <c r="W506" s="702" t="n">
        <v>0.055</v>
      </c>
      <c r="X506" s="702" t="n">
        <v>0.12</v>
      </c>
      <c r="Y506" s="703" t="n"/>
      <c r="Z506" s="702" t="n">
        <v>0.04</v>
      </c>
      <c r="AA506" s="70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5" t="n">
        <v>200000</v>
      </c>
      <c r="V507" s="325" t="n">
        <v>0.12</v>
      </c>
      <c r="W507" s="702" t="n">
        <v>0.055</v>
      </c>
      <c r="X507" s="702" t="n">
        <v>0.12</v>
      </c>
      <c r="Y507" s="703" t="n"/>
      <c r="Z507" s="702" t="n">
        <v>0.04</v>
      </c>
      <c r="AA507" s="70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5" t="n">
        <v>114438.8</v>
      </c>
      <c r="V508" s="324" t="n">
        <v>0.15</v>
      </c>
      <c r="W508" s="322" t="n"/>
      <c r="X508" s="325" t="n">
        <v>0.05</v>
      </c>
      <c r="Y508" s="700" t="n">
        <v>2910</v>
      </c>
      <c r="Z508" s="325" t="n">
        <v>0.03</v>
      </c>
      <c r="AA508" s="70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5" t="n">
        <v>194100</v>
      </c>
      <c r="V509" s="325" t="n">
        <v>0.12</v>
      </c>
      <c r="W509" s="702" t="n">
        <v>0.055</v>
      </c>
      <c r="X509" s="702" t="n">
        <v>0.12</v>
      </c>
      <c r="Y509" s="703" t="n"/>
      <c r="Z509" s="702" t="n">
        <v>0.04</v>
      </c>
      <c r="AA509" s="70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5" t="n">
        <v>238790</v>
      </c>
      <c r="V510" s="325" t="n">
        <v>0.14</v>
      </c>
      <c r="W510" s="702" t="n">
        <v>0.055</v>
      </c>
      <c r="X510" s="702" t="n">
        <v>0.12</v>
      </c>
      <c r="Y510" s="703" t="n"/>
      <c r="Z510" s="702" t="n">
        <v>0.04</v>
      </c>
      <c r="AA510" s="70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5" t="n">
        <v>159712</v>
      </c>
      <c r="V511" s="324" t="n">
        <v>0.15</v>
      </c>
      <c r="W511" s="322" t="n"/>
      <c r="X511" s="325" t="n">
        <v>0.05</v>
      </c>
      <c r="Y511" s="700" t="n">
        <v>2910</v>
      </c>
      <c r="Z511" s="325" t="n">
        <v>0.03</v>
      </c>
      <c r="AA511" s="70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5" t="n">
        <v>182340</v>
      </c>
      <c r="V512" s="325" t="n">
        <v>0.12</v>
      </c>
      <c r="W512" s="702" t="n">
        <v>0.055</v>
      </c>
      <c r="X512" s="702" t="n">
        <v>0.12</v>
      </c>
      <c r="Y512" s="703" t="n"/>
      <c r="Z512" s="702" t="n">
        <v>0.04</v>
      </c>
      <c r="AA512" s="70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5" t="n">
        <v>161000</v>
      </c>
      <c r="V513" s="324" t="n">
        <v>0.15</v>
      </c>
      <c r="W513" s="322" t="n"/>
      <c r="X513" s="325" t="n">
        <v>0.05</v>
      </c>
      <c r="Y513" s="700" t="n">
        <v>2910</v>
      </c>
      <c r="Z513" s="325" t="n">
        <v>0.03</v>
      </c>
      <c r="AA513" s="70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5" t="n">
        <v>188380</v>
      </c>
      <c r="V514" s="325" t="n">
        <v>0.12</v>
      </c>
      <c r="W514" s="702" t="n">
        <v>0.055</v>
      </c>
      <c r="X514" s="702" t="n">
        <v>0.12</v>
      </c>
      <c r="Y514" s="703" t="n"/>
      <c r="Z514" s="702" t="n">
        <v>0.04</v>
      </c>
      <c r="AA514" s="701">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5" t="n">
        <v>140000</v>
      </c>
      <c r="V515" s="325" t="n">
        <v>0.12</v>
      </c>
      <c r="W515" s="702" t="n">
        <v>0.055</v>
      </c>
      <c r="X515" s="702" t="n">
        <v>0.12</v>
      </c>
      <c r="Y515" s="703" t="n"/>
      <c r="Z515" s="702" t="n">
        <v>0.04</v>
      </c>
      <c r="AA515" s="70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5" t="n">
        <v>173550</v>
      </c>
      <c r="V516" s="325" t="n">
        <v>0.12</v>
      </c>
      <c r="W516" s="702" t="n">
        <v>0.055</v>
      </c>
      <c r="X516" s="702" t="n">
        <v>0.12</v>
      </c>
      <c r="Y516" s="703" t="n"/>
      <c r="Z516" s="702" t="n">
        <v>0.04</v>
      </c>
      <c r="AA516" s="701">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5" t="n">
        <v>173550</v>
      </c>
      <c r="V517" s="325" t="n">
        <v>0.12</v>
      </c>
      <c r="W517" s="702" t="n">
        <v>0.055</v>
      </c>
      <c r="X517" s="702" t="n">
        <v>0.12</v>
      </c>
      <c r="Y517" s="703" t="n"/>
      <c r="Z517" s="702" t="n">
        <v>0.04</v>
      </c>
      <c r="AA517" s="701">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5" t="n">
        <v>173550</v>
      </c>
      <c r="V518" s="325" t="n">
        <v>0.12</v>
      </c>
      <c r="W518" s="702" t="n">
        <v>0.055</v>
      </c>
      <c r="X518" s="702" t="n">
        <v>0.12</v>
      </c>
      <c r="Y518" s="703" t="n"/>
      <c r="Z518" s="702" t="n">
        <v>0.04</v>
      </c>
      <c r="AA518" s="701">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5" t="n">
        <v>173550</v>
      </c>
      <c r="V519" s="325" t="n">
        <v>0.12</v>
      </c>
      <c r="W519" s="702" t="n">
        <v>0.055</v>
      </c>
      <c r="X519" s="702" t="n">
        <v>0.12</v>
      </c>
      <c r="Y519" s="703" t="n"/>
      <c r="Z519" s="702" t="n">
        <v>0.04</v>
      </c>
      <c r="AA519" s="701">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5" t="n">
        <v>173550</v>
      </c>
      <c r="V520" s="325" t="n">
        <v>0.12</v>
      </c>
      <c r="W520" s="702" t="n">
        <v>0.055</v>
      </c>
      <c r="X520" s="702" t="n">
        <v>0.12</v>
      </c>
      <c r="Y520" s="703" t="n"/>
      <c r="Z520" s="702" t="n">
        <v>0.04</v>
      </c>
      <c r="AA520" s="701">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5" t="n">
        <v>173550</v>
      </c>
      <c r="V521" s="325" t="n">
        <v>0.12</v>
      </c>
      <c r="W521" s="702" t="n">
        <v>0.055</v>
      </c>
      <c r="X521" s="702" t="n">
        <v>0.12</v>
      </c>
      <c r="Y521" s="703" t="n"/>
      <c r="Z521" s="702" t="n">
        <v>0.04</v>
      </c>
      <c r="AA521" s="701">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5" t="n">
        <v>173550</v>
      </c>
      <c r="V522" s="325" t="n">
        <v>0.12</v>
      </c>
      <c r="W522" s="702" t="n">
        <v>0.055</v>
      </c>
      <c r="X522" s="702" t="n">
        <v>0.12</v>
      </c>
      <c r="Y522" s="703" t="n"/>
      <c r="Z522" s="702" t="n">
        <v>0.04</v>
      </c>
      <c r="AA522" s="701">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5" t="n">
        <v>151000</v>
      </c>
      <c r="V523" s="325" t="n">
        <v>0.12</v>
      </c>
      <c r="W523" s="702" t="n">
        <v>0.055</v>
      </c>
      <c r="X523" s="702" t="n">
        <v>0.12</v>
      </c>
      <c r="Y523" s="703" t="n"/>
      <c r="Z523" s="702" t="n">
        <v>0.04</v>
      </c>
      <c r="AA523" s="701">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5" t="n">
        <v>173550</v>
      </c>
      <c r="V524" s="325" t="n">
        <v>0.12</v>
      </c>
      <c r="W524" s="702" t="n">
        <v>0.055</v>
      </c>
      <c r="X524" s="702" t="n">
        <v>0.12</v>
      </c>
      <c r="Y524" s="703" t="n"/>
      <c r="Z524" s="702" t="n">
        <v>0.04</v>
      </c>
      <c r="AA524" s="701">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5" t="n">
        <v>151950</v>
      </c>
      <c r="V525" s="325" t="n">
        <v>0.12</v>
      </c>
      <c r="W525" s="702" t="n">
        <v>0.055</v>
      </c>
      <c r="X525" s="702" t="n">
        <v>0.12</v>
      </c>
      <c r="Y525" s="703" t="n"/>
      <c r="Z525" s="702" t="n">
        <v>0.04</v>
      </c>
      <c r="AA525" s="701">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5" t="n">
        <v>151950</v>
      </c>
      <c r="V526" s="325" t="n">
        <v>0.12</v>
      </c>
      <c r="W526" s="702" t="n">
        <v>0.055</v>
      </c>
      <c r="X526" s="702" t="n">
        <v>0.12</v>
      </c>
      <c r="Y526" s="703" t="n"/>
      <c r="Z526" s="702" t="n">
        <v>0.04</v>
      </c>
      <c r="AA526" s="701">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5" t="n">
        <v>151950</v>
      </c>
      <c r="V527" s="325" t="n">
        <v>0.12</v>
      </c>
      <c r="W527" s="702" t="n">
        <v>0.055</v>
      </c>
      <c r="X527" s="702" t="n">
        <v>0.12</v>
      </c>
      <c r="Y527" s="703" t="n"/>
      <c r="Z527" s="702" t="n">
        <v>0.04</v>
      </c>
      <c r="AA527" s="701">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5" t="n">
        <v>129650</v>
      </c>
      <c r="V528" s="325" t="n">
        <v>0.1</v>
      </c>
      <c r="W528" s="702" t="n">
        <v>0.055</v>
      </c>
      <c r="X528" s="702" t="n">
        <v>0.12</v>
      </c>
      <c r="Y528" s="703" t="n"/>
      <c r="Z528" s="702" t="n">
        <v>0.04</v>
      </c>
      <c r="AA528" s="701">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5" t="n">
        <v>129650</v>
      </c>
      <c r="V529" s="325" t="n">
        <v>0.1</v>
      </c>
      <c r="W529" s="702" t="n">
        <v>0.055</v>
      </c>
      <c r="X529" s="702" t="n">
        <v>0.12</v>
      </c>
      <c r="Y529" s="703" t="n"/>
      <c r="Z529" s="702" t="n">
        <v>0.04</v>
      </c>
      <c r="AA529" s="701">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5" t="n">
        <v>136860</v>
      </c>
      <c r="V530" s="325" t="n">
        <v>0.1</v>
      </c>
      <c r="W530" s="702" t="n">
        <v>0.055</v>
      </c>
      <c r="X530" s="702" t="n">
        <v>0.12</v>
      </c>
      <c r="Y530" s="703" t="n"/>
      <c r="Z530" s="702" t="n">
        <v>0.04</v>
      </c>
      <c r="AA530" s="701">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5" t="n">
        <v>203550</v>
      </c>
      <c r="V531" s="325" t="n">
        <v>0.14</v>
      </c>
      <c r="W531" s="702" t="n">
        <v>0.055</v>
      </c>
      <c r="X531" s="702" t="n">
        <v>0.12</v>
      </c>
      <c r="Y531" s="703" t="n"/>
      <c r="Z531" s="702" t="n">
        <v>0.04</v>
      </c>
      <c r="AA531" s="70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5" t="n">
        <v>203550</v>
      </c>
      <c r="V532" s="325" t="n">
        <v>0.14</v>
      </c>
      <c r="W532" s="702" t="n">
        <v>0.055</v>
      </c>
      <c r="X532" s="702" t="n">
        <v>0.12</v>
      </c>
      <c r="Y532" s="703" t="n"/>
      <c r="Z532" s="702" t="n">
        <v>0.04</v>
      </c>
      <c r="AA532" s="70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5" t="n">
        <v>235350</v>
      </c>
      <c r="V533" s="325" t="n">
        <v>0.2</v>
      </c>
      <c r="W533" s="702" t="n">
        <v>0.055</v>
      </c>
      <c r="X533" s="702" t="n">
        <v>0.12</v>
      </c>
      <c r="Y533" s="703" t="n"/>
      <c r="Z533" s="702" t="n">
        <v>0.04</v>
      </c>
      <c r="AA533" s="70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5" t="n">
        <v>151950</v>
      </c>
      <c r="V534" s="325" t="n">
        <v>0.12</v>
      </c>
      <c r="W534" s="702" t="n">
        <v>0.055</v>
      </c>
      <c r="X534" s="702" t="n">
        <v>0.12</v>
      </c>
      <c r="Y534" s="703" t="n"/>
      <c r="Z534" s="702" t="n">
        <v>0.04</v>
      </c>
      <c r="AA534" s="70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5" t="n">
        <v>173550</v>
      </c>
      <c r="V535" s="325" t="n">
        <v>0.12</v>
      </c>
      <c r="W535" s="702" t="n">
        <v>0.055</v>
      </c>
      <c r="X535" s="702" t="n">
        <v>0.12</v>
      </c>
      <c r="Y535" s="703" t="n"/>
      <c r="Z535" s="702" t="n">
        <v>0.04</v>
      </c>
      <c r="AA535" s="70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5" t="n">
        <v>151950</v>
      </c>
      <c r="V536" s="325" t="n">
        <v>0.12</v>
      </c>
      <c r="W536" s="702" t="n">
        <v>0.055</v>
      </c>
      <c r="X536" s="702" t="n">
        <v>0.12</v>
      </c>
      <c r="Y536" s="703" t="n"/>
      <c r="Z536" s="702" t="n">
        <v>0.04</v>
      </c>
      <c r="AA536" s="70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5" t="n">
        <v>151000</v>
      </c>
      <c r="V537" s="325" t="n">
        <v>0.12</v>
      </c>
      <c r="W537" s="702" t="n">
        <v>0.055</v>
      </c>
      <c r="X537" s="702" t="n">
        <v>0.12</v>
      </c>
      <c r="Y537" s="703" t="n"/>
      <c r="Z537" s="702" t="n">
        <v>0.04</v>
      </c>
      <c r="AA537" s="70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5" t="n">
        <v>151000</v>
      </c>
      <c r="V538" s="325" t="n">
        <v>0.12</v>
      </c>
      <c r="W538" s="702" t="n">
        <v>0.055</v>
      </c>
      <c r="X538" s="702" t="n">
        <v>0.12</v>
      </c>
      <c r="Y538" s="703" t="n"/>
      <c r="Z538" s="702" t="n">
        <v>0.04</v>
      </c>
      <c r="AA538" s="70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5" t="n">
        <v>203550</v>
      </c>
      <c r="V539" s="325" t="n">
        <v>0.14</v>
      </c>
      <c r="W539" s="702" t="n">
        <v>0.055</v>
      </c>
      <c r="X539" s="702" t="n">
        <v>0.12</v>
      </c>
      <c r="Y539" s="703" t="n"/>
      <c r="Z539" s="702" t="n">
        <v>0.04</v>
      </c>
      <c r="AA539" s="70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5" t="n">
        <v>151950</v>
      </c>
      <c r="V540" s="325" t="n">
        <v>0.12</v>
      </c>
      <c r="W540" s="702" t="n">
        <v>0.055</v>
      </c>
      <c r="X540" s="702" t="n">
        <v>0.12</v>
      </c>
      <c r="Y540" s="703" t="n"/>
      <c r="Z540" s="702" t="n">
        <v>0.04</v>
      </c>
      <c r="AA540" s="70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5" t="n">
        <v>151950</v>
      </c>
      <c r="V541" s="325" t="n">
        <v>0.12</v>
      </c>
      <c r="W541" s="702" t="n">
        <v>0.055</v>
      </c>
      <c r="X541" s="702" t="n">
        <v>0.12</v>
      </c>
      <c r="Y541" s="703" t="n"/>
      <c r="Z541" s="702" t="n">
        <v>0.04</v>
      </c>
      <c r="AA541" s="70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5" t="n">
        <v>173550</v>
      </c>
      <c r="V542" s="325" t="n">
        <v>0.12</v>
      </c>
      <c r="W542" s="702" t="n">
        <v>0.055</v>
      </c>
      <c r="X542" s="702" t="n">
        <v>0.12</v>
      </c>
      <c r="Y542" s="703" t="n"/>
      <c r="Z542" s="702" t="n">
        <v>0.04</v>
      </c>
      <c r="AA542" s="70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5" t="n">
        <v>173550</v>
      </c>
      <c r="V543" s="325" t="n">
        <v>0.12</v>
      </c>
      <c r="W543" s="702" t="n">
        <v>0.055</v>
      </c>
      <c r="X543" s="702" t="n">
        <v>0.12</v>
      </c>
      <c r="Y543" s="703" t="n"/>
      <c r="Z543" s="702" t="n">
        <v>0.04</v>
      </c>
      <c r="AA543" s="70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5" t="n">
        <v>203550</v>
      </c>
      <c r="V544" s="325" t="n">
        <v>0.14</v>
      </c>
      <c r="W544" s="702" t="n">
        <v>0.055</v>
      </c>
      <c r="X544" s="702" t="n">
        <v>0.12</v>
      </c>
      <c r="Y544" s="703" t="n"/>
      <c r="Z544" s="702" t="n">
        <v>0.04</v>
      </c>
      <c r="AA544" s="70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5" t="n">
        <v>203550</v>
      </c>
      <c r="V545" s="325" t="n">
        <v>0.14</v>
      </c>
      <c r="W545" s="702" t="n">
        <v>0.055</v>
      </c>
      <c r="X545" s="702" t="n">
        <v>0.12</v>
      </c>
      <c r="Y545" s="703" t="n"/>
      <c r="Z545" s="702" t="n">
        <v>0.04</v>
      </c>
      <c r="AA545" s="70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5" t="n">
        <v>203550</v>
      </c>
      <c r="V546" s="325" t="n">
        <v>0.14</v>
      </c>
      <c r="W546" s="702" t="n">
        <v>0.055</v>
      </c>
      <c r="X546" s="702" t="n">
        <v>0.12</v>
      </c>
      <c r="Y546" s="703" t="n"/>
      <c r="Z546" s="702" t="n">
        <v>0.04</v>
      </c>
      <c r="AA546" s="70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5" t="n">
        <v>139794</v>
      </c>
      <c r="V547" s="324" t="n">
        <v>0.15</v>
      </c>
      <c r="W547" s="322" t="n"/>
      <c r="X547" s="325" t="n">
        <v>0.05</v>
      </c>
      <c r="Y547" s="700" t="n">
        <v>2910</v>
      </c>
      <c r="Z547" s="325" t="n">
        <v>0.03</v>
      </c>
      <c r="AA547" s="701">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5" t="n">
        <v>257420</v>
      </c>
      <c r="V548" s="325" t="n">
        <v>0.2</v>
      </c>
      <c r="W548" s="702" t="n">
        <v>0.055</v>
      </c>
      <c r="X548" s="702" t="n">
        <v>0.12</v>
      </c>
      <c r="Y548" s="703" t="n"/>
      <c r="Z548" s="702" t="n">
        <v>0.04</v>
      </c>
      <c r="AA548" s="701">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5" t="n">
        <v>179000</v>
      </c>
      <c r="V549" s="325" t="n">
        <v>0.12</v>
      </c>
      <c r="W549" s="702" t="n">
        <v>0.055</v>
      </c>
      <c r="X549" s="702" t="n">
        <v>0.12</v>
      </c>
      <c r="Y549" s="703" t="n"/>
      <c r="Z549" s="702" t="n">
        <v>0.04</v>
      </c>
      <c r="AA549" s="70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6" t="n">
        <v>110400</v>
      </c>
      <c r="V550" s="324" t="n">
        <v>0.15</v>
      </c>
      <c r="W550" s="322" t="n"/>
      <c r="X550" s="325" t="n">
        <v>0.05</v>
      </c>
      <c r="Y550" s="700" t="n">
        <v>2910</v>
      </c>
      <c r="Z550" s="325" t="n">
        <v>0.03</v>
      </c>
      <c r="AA550" s="701">
        <f>U550*(1+V550+X550+Z550)+Y550</f>
        <v>138702.0</v>
      </c>
      <c r="AB550" t="n">
        <v>114753</v>
      </c>
    </row>
    <row r="551" ht="18" customHeight="1" s="506">
      <c r="A551" s="337" t="n"/>
      <c r="C551" s="418" t="n"/>
      <c r="M551" s="419" t="n"/>
      <c r="N551" s="343" t="n"/>
      <c r="O551" s="345" t="n"/>
      <c r="P551" s="343" t="n"/>
      <c r="Q551" s="345" t="n"/>
      <c r="U551" s="726" t="n"/>
      <c r="V551" s="365" t="n"/>
      <c r="X551" s="361" t="n"/>
      <c r="Y551" s="709" t="n"/>
      <c r="Z551" s="361" t="n"/>
      <c r="AA551" s="328" t="n">
        <v>6400561.822000001</v>
      </c>
      <c r="AB551" s="708" t="n">
        <v>116452</v>
      </c>
    </row>
    <row r="552" ht="18" customHeight="1" s="506">
      <c r="AA552" s="727">
        <f t="array" ref="AA552">SUM(IFERROR(AA2:AA550,0))</f>
        <v/>
      </c>
    </row>
    <row r="553" ht="18" customHeight="1" s="506">
      <c r="AA553" s="423" t="n">
        <v>5100000</v>
      </c>
    </row>
    <row r="554" ht="18" customHeight="1" s="506">
      <c r="AA554" s="727">
        <f>SUM(AA552:AA553)</f>
        <v>125276881.9531</v>
      </c>
    </row>
    <row r="555" ht="14.5" customHeight="1" s="506"/>
    <row r="556" ht="18" customHeight="1" s="506">
      <c r="F556" s="328" t="n">
        <v>115</v>
      </c>
      <c r="I556" s="328" t="inlineStr">
        <is>
          <t>163 Vacancies</t>
        </is>
      </c>
      <c r="S556" s="424" t="inlineStr">
        <is>
          <t>estimated numbers</t>
        </is>
      </c>
      <c r="U556" s="728"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9" t="n">
        <v>152085.2</v>
      </c>
      <c r="V2" s="600" t="n">
        <v>0.15</v>
      </c>
      <c r="W2" s="596" t="n"/>
      <c r="X2" s="601" t="n">
        <v>0.05</v>
      </c>
      <c r="Y2" s="730" t="n">
        <v>2910</v>
      </c>
      <c r="Z2" s="601" t="n">
        <v>0.03</v>
      </c>
      <c r="AA2" s="731">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9" t="n">
        <v>123300</v>
      </c>
      <c r="V3" s="601" t="n">
        <v>0.1</v>
      </c>
      <c r="W3" s="732" t="n">
        <v>0.055</v>
      </c>
      <c r="X3" s="732" t="n">
        <v>0.12</v>
      </c>
      <c r="Y3" s="733" t="n"/>
      <c r="Z3" s="732" t="n">
        <v>0.04</v>
      </c>
      <c r="AA3" s="731">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9" t="n">
        <v>211840</v>
      </c>
      <c r="V4" s="601" t="n">
        <v>0.14</v>
      </c>
      <c r="W4" s="732" t="n">
        <v>0.055</v>
      </c>
      <c r="X4" s="732" t="n">
        <v>0.12</v>
      </c>
      <c r="Y4" s="733" t="n"/>
      <c r="Z4" s="732" t="n">
        <v>0.04</v>
      </c>
      <c r="AA4" s="731">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9" t="n">
        <v>131660</v>
      </c>
      <c r="V5" s="601" t="n">
        <v>0.1</v>
      </c>
      <c r="W5" s="732" t="n">
        <v>0.055</v>
      </c>
      <c r="X5" s="732" t="n">
        <v>0.12</v>
      </c>
      <c r="Y5" s="733" t="n"/>
      <c r="Z5" s="732" t="n">
        <v>0.04</v>
      </c>
      <c r="AA5" s="731">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9" t="n">
        <v>170160</v>
      </c>
      <c r="V6" s="601" t="n">
        <v>0.12</v>
      </c>
      <c r="W6" s="732" t="n">
        <v>0.055</v>
      </c>
      <c r="X6" s="732" t="n">
        <v>0.12</v>
      </c>
      <c r="Y6" s="733" t="n"/>
      <c r="Z6" s="732" t="n">
        <v>0.04</v>
      </c>
      <c r="AA6" s="731">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9" t="n">
        <v>212250</v>
      </c>
      <c r="V7" s="601" t="n">
        <v>0.12</v>
      </c>
      <c r="W7" s="732" t="n">
        <v>0.055</v>
      </c>
      <c r="X7" s="732" t="n">
        <v>0.12</v>
      </c>
      <c r="Y7" s="733" t="n"/>
      <c r="Z7" s="732" t="n">
        <v>0.04</v>
      </c>
      <c r="AA7" s="731">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9" t="n">
        <v>182250</v>
      </c>
      <c r="V8" s="601" t="n">
        <v>0.12</v>
      </c>
      <c r="W8" s="732" t="n">
        <v>0.055</v>
      </c>
      <c r="X8" s="732" t="n">
        <v>0.12</v>
      </c>
      <c r="Y8" s="733" t="n"/>
      <c r="Z8" s="732" t="n">
        <v>0.04</v>
      </c>
      <c r="AA8" s="731">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9" t="n">
        <v>193690</v>
      </c>
      <c r="V9" s="601" t="n">
        <v>0.12</v>
      </c>
      <c r="W9" s="732" t="n">
        <v>0.055</v>
      </c>
      <c r="X9" s="732" t="n">
        <v>0.12</v>
      </c>
      <c r="Y9" s="733" t="n"/>
      <c r="Z9" s="732" t="n">
        <v>0.04</v>
      </c>
      <c r="AA9" s="731">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9" t="n">
        <v>88100</v>
      </c>
      <c r="V10" s="601" t="n">
        <v>0.1</v>
      </c>
      <c r="W10" s="732" t="n">
        <v>0.055</v>
      </c>
      <c r="X10" s="732" t="n">
        <v>0.12</v>
      </c>
      <c r="Y10" s="733" t="n"/>
      <c r="Z10" s="732" t="n">
        <v>0.04</v>
      </c>
      <c r="AA10" s="731">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9" t="n">
        <v>205950</v>
      </c>
      <c r="V11" s="601" t="n">
        <v>0.12</v>
      </c>
      <c r="W11" s="732" t="n">
        <v>0.055</v>
      </c>
      <c r="X11" s="732" t="n">
        <v>0.12</v>
      </c>
      <c r="Y11" s="733" t="n"/>
      <c r="Z11" s="732" t="n">
        <v>0.04</v>
      </c>
      <c r="AA11" s="731">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9" t="n">
        <v>213740</v>
      </c>
      <c r="V12" s="601" t="n">
        <v>0.12</v>
      </c>
      <c r="W12" s="732" t="n">
        <v>0.055</v>
      </c>
      <c r="X12" s="732" t="n">
        <v>0.12</v>
      </c>
      <c r="Y12" s="733" t="n"/>
      <c r="Z12" s="732" t="n">
        <v>0.04</v>
      </c>
      <c r="AA12" s="731">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4" t="n">
        <v>211840</v>
      </c>
      <c r="V13" s="608" t="n">
        <v>0.14</v>
      </c>
      <c r="W13" s="735" t="n">
        <v>0.055</v>
      </c>
      <c r="X13" s="735" t="n">
        <v>0.12</v>
      </c>
      <c r="Y13" s="736" t="n"/>
      <c r="Z13" s="735" t="n">
        <v>0.04</v>
      </c>
      <c r="AA13" s="737">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4" t="n">
        <v>73600</v>
      </c>
      <c r="V14" s="612" t="n">
        <v>0.1</v>
      </c>
      <c r="W14" s="613" t="n"/>
      <c r="X14" s="608" t="n">
        <v>0.05</v>
      </c>
      <c r="Y14" s="738" t="n">
        <v>2910</v>
      </c>
      <c r="Z14" s="608" t="n">
        <v>0.03</v>
      </c>
      <c r="AA14" s="737">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4" t="n">
        <v>161560</v>
      </c>
      <c r="V15" s="608" t="n">
        <v>0.12</v>
      </c>
      <c r="W15" s="735" t="n">
        <v>0.055</v>
      </c>
      <c r="X15" s="735" t="n">
        <v>0.12</v>
      </c>
      <c r="Y15" s="736" t="n"/>
      <c r="Z15" s="735" t="n">
        <v>0.04</v>
      </c>
      <c r="AA15" s="737">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9" t="n">
        <v>105710</v>
      </c>
      <c r="V16" s="601" t="n">
        <v>0.1</v>
      </c>
      <c r="W16" s="732" t="n">
        <v>0.055</v>
      </c>
      <c r="X16" s="732" t="n">
        <v>0.12</v>
      </c>
      <c r="Y16" s="733" t="n"/>
      <c r="Z16" s="732" t="n">
        <v>0.04</v>
      </c>
      <c r="AA16" s="731">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9" t="n">
        <v>270380</v>
      </c>
      <c r="V17" s="601" t="n">
        <v>0.2</v>
      </c>
      <c r="W17" s="739" t="n">
        <v>0.055</v>
      </c>
      <c r="X17" s="739" t="n">
        <v>0.12</v>
      </c>
      <c r="Y17" s="740" t="n"/>
      <c r="Z17" s="739" t="n">
        <v>0.04</v>
      </c>
      <c r="AA17" s="731">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9" t="n">
        <v>111700</v>
      </c>
      <c r="V18" s="601" t="n">
        <v>0.1</v>
      </c>
      <c r="W18" s="732" t="n">
        <v>0.055</v>
      </c>
      <c r="X18" s="732" t="n">
        <v>0.12</v>
      </c>
      <c r="Y18" s="733" t="n"/>
      <c r="Z18" s="732" t="n">
        <v>0.04</v>
      </c>
      <c r="AA18" s="731">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9" t="n">
        <v>193790</v>
      </c>
      <c r="V19" s="601" t="n">
        <v>0.12</v>
      </c>
      <c r="W19" s="732" t="n">
        <v>0.055</v>
      </c>
      <c r="X19" s="732" t="n">
        <v>0.12</v>
      </c>
      <c r="Y19" s="733" t="n"/>
      <c r="Z19" s="732" t="n">
        <v>0.04</v>
      </c>
      <c r="AA19" s="731">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9" t="n">
        <v>85000</v>
      </c>
      <c r="V20" s="601" t="n">
        <v>0.08</v>
      </c>
      <c r="W20" s="732" t="n">
        <v>0.055</v>
      </c>
      <c r="X20" s="732" t="n">
        <v>0.12</v>
      </c>
      <c r="Y20" s="733" t="n"/>
      <c r="Z20" s="732" t="n">
        <v>0.04</v>
      </c>
      <c r="AA20" s="731">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9" t="n">
        <v>213470</v>
      </c>
      <c r="V21" s="601" t="n">
        <v>0.12</v>
      </c>
      <c r="W21" s="732" t="n">
        <v>0.055</v>
      </c>
      <c r="X21" s="732" t="n">
        <v>0.12</v>
      </c>
      <c r="Y21" s="733" t="n"/>
      <c r="Z21" s="732" t="n">
        <v>0.04</v>
      </c>
      <c r="AA21" s="731">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9" t="n">
        <v>117796.8</v>
      </c>
      <c r="V22" s="600" t="n">
        <v>0.15</v>
      </c>
      <c r="W22" s="597" t="n"/>
      <c r="X22" s="601" t="n">
        <v>0.05</v>
      </c>
      <c r="Y22" s="730" t="n">
        <v>2910</v>
      </c>
      <c r="Z22" s="601" t="n">
        <v>0.03</v>
      </c>
      <c r="AA22" s="731">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9" t="n">
        <v>152800</v>
      </c>
      <c r="V23" s="601" t="n">
        <v>0.12</v>
      </c>
      <c r="W23" s="732" t="n">
        <v>0.055</v>
      </c>
      <c r="X23" s="732" t="n">
        <v>0.12</v>
      </c>
      <c r="Y23" s="733" t="n"/>
      <c r="Z23" s="732" t="n">
        <v>0.04</v>
      </c>
      <c r="AA23" s="731">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9" t="n">
        <v>152690</v>
      </c>
      <c r="V24" s="601" t="n">
        <v>0.12</v>
      </c>
      <c r="W24" s="732" t="n">
        <v>0.055</v>
      </c>
      <c r="X24" s="732" t="n">
        <v>0.12</v>
      </c>
      <c r="Y24" s="733" t="n"/>
      <c r="Z24" s="732" t="n">
        <v>0.04</v>
      </c>
      <c r="AA24" s="731">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9" t="n">
        <v>137620</v>
      </c>
      <c r="V25" s="601" t="n">
        <v>0.1</v>
      </c>
      <c r="W25" s="732" t="n">
        <v>0.055</v>
      </c>
      <c r="X25" s="732" t="n">
        <v>0.12</v>
      </c>
      <c r="Y25" s="733" t="n"/>
      <c r="Z25" s="732" t="n">
        <v>0.04</v>
      </c>
      <c r="AA25" s="731">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9" t="n">
        <v>200790</v>
      </c>
      <c r="V26" s="601" t="n">
        <v>0.14</v>
      </c>
      <c r="W26" s="732" t="n">
        <v>0.055</v>
      </c>
      <c r="X26" s="732" t="n">
        <v>0.12</v>
      </c>
      <c r="Y26" s="733" t="n"/>
      <c r="Z26" s="732" t="n">
        <v>0.04</v>
      </c>
      <c r="AA26" s="731">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9" t="n">
        <v>161520</v>
      </c>
      <c r="V27" s="601" t="n">
        <v>0.12</v>
      </c>
      <c r="W27" s="732" t="n">
        <v>0.055</v>
      </c>
      <c r="X27" s="732" t="n">
        <v>0.12</v>
      </c>
      <c r="Y27" s="733" t="n"/>
      <c r="Z27" s="732" t="n">
        <v>0.04</v>
      </c>
      <c r="AA27" s="731">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9" t="n">
        <v>152390</v>
      </c>
      <c r="V28" s="601" t="n">
        <v>0.12</v>
      </c>
      <c r="W28" s="732" t="n">
        <v>0.055</v>
      </c>
      <c r="X28" s="732" t="n">
        <v>0.12</v>
      </c>
      <c r="Y28" s="733" t="n"/>
      <c r="Z28" s="732" t="n">
        <v>0.04</v>
      </c>
      <c r="AA28" s="731">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9" t="n">
        <v>165000</v>
      </c>
      <c r="V29" s="601" t="n">
        <v>0.12</v>
      </c>
      <c r="W29" s="732" t="n">
        <v>0.055</v>
      </c>
      <c r="X29" s="732" t="n">
        <v>0.12</v>
      </c>
      <c r="Y29" s="733" t="n"/>
      <c r="Z29" s="732" t="n">
        <v>0.04</v>
      </c>
      <c r="AA29" s="731">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9" t="n">
        <v>169500</v>
      </c>
      <c r="V30" s="601" t="n">
        <v>0.12</v>
      </c>
      <c r="W30" s="732" t="n">
        <v>0.055</v>
      </c>
      <c r="X30" s="732" t="n">
        <v>0.12</v>
      </c>
      <c r="Y30" s="733" t="n"/>
      <c r="Z30" s="732" t="n">
        <v>0.04</v>
      </c>
      <c r="AA30" s="731">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9" t="n">
        <v>283160</v>
      </c>
      <c r="V31" s="601" t="n">
        <v>0.2</v>
      </c>
      <c r="W31" s="732" t="n">
        <v>0.055</v>
      </c>
      <c r="X31" s="732" t="n">
        <v>0.12</v>
      </c>
      <c r="Y31" s="733" t="n"/>
      <c r="Z31" s="732" t="n">
        <v>0.04</v>
      </c>
      <c r="AA31" s="731">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9" t="n">
        <v>145000</v>
      </c>
      <c r="V32" s="601" t="n">
        <v>0.1</v>
      </c>
      <c r="W32" s="732" t="n">
        <v>0.055</v>
      </c>
      <c r="X32" s="732" t="n">
        <v>0.12</v>
      </c>
      <c r="Y32" s="733" t="n"/>
      <c r="Z32" s="732" t="n">
        <v>0.04</v>
      </c>
      <c r="AA32" s="731">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9" t="n">
        <v>165450</v>
      </c>
      <c r="V33" s="601" t="n">
        <v>0.12</v>
      </c>
      <c r="W33" s="732" t="n">
        <v>0.055</v>
      </c>
      <c r="X33" s="732" t="n">
        <v>0.12</v>
      </c>
      <c r="Y33" s="733" t="n"/>
      <c r="Z33" s="732" t="n">
        <v>0.04</v>
      </c>
      <c r="AA33" s="731">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9" t="n">
        <v>131640</v>
      </c>
      <c r="V34" s="601" t="n">
        <v>0.1</v>
      </c>
      <c r="W34" s="732" t="n">
        <v>0.055</v>
      </c>
      <c r="X34" s="732" t="n">
        <v>0.12</v>
      </c>
      <c r="Y34" s="733" t="n"/>
      <c r="Z34" s="732" t="n">
        <v>0.04</v>
      </c>
      <c r="AA34" s="731">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9" t="n">
        <v>170706</v>
      </c>
      <c r="V35" s="600" t="n">
        <v>0.15</v>
      </c>
      <c r="W35" s="597" t="n"/>
      <c r="X35" s="601" t="n">
        <v>0.05</v>
      </c>
      <c r="Y35" s="730" t="n">
        <v>2910</v>
      </c>
      <c r="Z35" s="601" t="n">
        <v>0.03</v>
      </c>
      <c r="AA35" s="731">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9" t="n">
        <v>150898.4</v>
      </c>
      <c r="V36" s="600" t="n">
        <v>0.15</v>
      </c>
      <c r="W36" s="597" t="n"/>
      <c r="X36" s="601" t="n">
        <v>0.05</v>
      </c>
      <c r="Y36" s="730" t="n">
        <v>2910</v>
      </c>
      <c r="Z36" s="601" t="n">
        <v>0.03</v>
      </c>
      <c r="AA36" s="731">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9" t="n">
        <v>171450</v>
      </c>
      <c r="V37" s="601" t="n">
        <v>0.12</v>
      </c>
      <c r="W37" s="732" t="n">
        <v>0.055</v>
      </c>
      <c r="X37" s="732" t="n">
        <v>0.12</v>
      </c>
      <c r="Y37" s="733" t="n"/>
      <c r="Z37" s="732" t="n">
        <v>0.04</v>
      </c>
      <c r="AA37" s="731">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9" t="n">
        <v>79938.8</v>
      </c>
      <c r="V38" s="600" t="n">
        <v>0.1</v>
      </c>
      <c r="W38" s="597" t="n"/>
      <c r="X38" s="601" t="n">
        <v>0.05</v>
      </c>
      <c r="Y38" s="730" t="n">
        <v>2910</v>
      </c>
      <c r="Z38" s="601" t="n">
        <v>0.03</v>
      </c>
      <c r="AA38" s="731">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9" t="n">
        <v>163830</v>
      </c>
      <c r="V39" s="601" t="n">
        <v>0.12</v>
      </c>
      <c r="W39" s="732" t="n">
        <v>0.055</v>
      </c>
      <c r="X39" s="732" t="n">
        <v>0.12</v>
      </c>
      <c r="Y39" s="733" t="n"/>
      <c r="Z39" s="732" t="n">
        <v>0.04</v>
      </c>
      <c r="AA39" s="731">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9" t="n">
        <v>233630</v>
      </c>
      <c r="V40" s="601" t="n">
        <v>0.14</v>
      </c>
      <c r="W40" s="732" t="n">
        <v>0.055</v>
      </c>
      <c r="X40" s="732" t="n">
        <v>0.12</v>
      </c>
      <c r="Y40" s="733" t="n"/>
      <c r="Z40" s="732" t="n">
        <v>0.04</v>
      </c>
      <c r="AA40" s="731">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9" t="n">
        <v>160000</v>
      </c>
      <c r="V41" s="601" t="n">
        <v>0.12</v>
      </c>
      <c r="W41" s="732" t="n">
        <v>0.055</v>
      </c>
      <c r="X41" s="732" t="n">
        <v>0.12</v>
      </c>
      <c r="Y41" s="733" t="n"/>
      <c r="Z41" s="732" t="n">
        <v>0.04</v>
      </c>
      <c r="AA41" s="731">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9" t="n">
        <v>129650</v>
      </c>
      <c r="V42" s="601" t="n">
        <v>0.1</v>
      </c>
      <c r="W42" s="732" t="n">
        <v>0.055</v>
      </c>
      <c r="X42" s="732" t="n">
        <v>0.12</v>
      </c>
      <c r="Y42" s="733" t="n"/>
      <c r="Z42" s="732" t="n">
        <v>0.04</v>
      </c>
      <c r="AA42" s="731">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9" t="n">
        <v>160000</v>
      </c>
      <c r="V43" s="601" t="n">
        <v>0.12</v>
      </c>
      <c r="W43" s="732" t="n">
        <v>0.055</v>
      </c>
      <c r="X43" s="732" t="n">
        <v>0.12</v>
      </c>
      <c r="Y43" s="733" t="n"/>
      <c r="Z43" s="732" t="n">
        <v>0.04</v>
      </c>
      <c r="AA43" s="731">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9" t="n">
        <v>151950</v>
      </c>
      <c r="V44" s="601" t="n">
        <v>0.12</v>
      </c>
      <c r="W44" s="732" t="n">
        <v>0.055</v>
      </c>
      <c r="X44" s="732" t="n">
        <v>0.12</v>
      </c>
      <c r="Y44" s="733" t="n"/>
      <c r="Z44" s="732" t="n">
        <v>0.04</v>
      </c>
      <c r="AA44" s="731">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9" t="n">
        <v>151950</v>
      </c>
      <c r="V45" s="601" t="n">
        <v>0.12</v>
      </c>
      <c r="W45" s="732" t="n">
        <v>0.055</v>
      </c>
      <c r="X45" s="732" t="n">
        <v>0.12</v>
      </c>
      <c r="Y45" s="733" t="n"/>
      <c r="Z45" s="732" t="n">
        <v>0.04</v>
      </c>
      <c r="AA45" s="731">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9" t="n">
        <v>129650</v>
      </c>
      <c r="V46" s="601" t="n">
        <v>0.1</v>
      </c>
      <c r="W46" s="732" t="n">
        <v>0.055</v>
      </c>
      <c r="X46" s="732" t="n">
        <v>0.12</v>
      </c>
      <c r="Y46" s="733" t="n"/>
      <c r="Z46" s="732" t="n">
        <v>0.04</v>
      </c>
      <c r="AA46" s="731">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9" t="n">
        <v>129650</v>
      </c>
      <c r="V47" s="601" t="n">
        <v>0.1</v>
      </c>
      <c r="W47" s="732" t="n">
        <v>0.055</v>
      </c>
      <c r="X47" s="732" t="n">
        <v>0.12</v>
      </c>
      <c r="Y47" s="733" t="n"/>
      <c r="Z47" s="732" t="n">
        <v>0.04</v>
      </c>
      <c r="AA47" s="731">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9" t="n">
        <v>129650</v>
      </c>
      <c r="V48" s="601" t="n">
        <v>0.1</v>
      </c>
      <c r="W48" s="732" t="n">
        <v>0.055</v>
      </c>
      <c r="X48" s="732" t="n">
        <v>0.12</v>
      </c>
      <c r="Y48" s="733" t="n"/>
      <c r="Z48" s="732" t="n">
        <v>0.04</v>
      </c>
      <c r="AA48" s="731">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9" t="n">
        <v>129650</v>
      </c>
      <c r="V49" s="601" t="n">
        <v>0.1</v>
      </c>
      <c r="W49" s="732" t="n">
        <v>0.055</v>
      </c>
      <c r="X49" s="732" t="n">
        <v>0.12</v>
      </c>
      <c r="Y49" s="733" t="n"/>
      <c r="Z49" s="732" t="n">
        <v>0.04</v>
      </c>
      <c r="AA49" s="731">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9" t="n">
        <v>94650</v>
      </c>
      <c r="V50" s="601" t="n">
        <v>0.08</v>
      </c>
      <c r="W50" s="732" t="n">
        <v>0.055</v>
      </c>
      <c r="X50" s="732" t="n">
        <v>0.12</v>
      </c>
      <c r="Y50" s="733" t="n"/>
      <c r="Z50" s="732" t="n">
        <v>0.04</v>
      </c>
      <c r="AA50" s="731">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9" t="n">
        <v>94650</v>
      </c>
      <c r="V51" s="601" t="n">
        <v>0.08</v>
      </c>
      <c r="W51" s="732" t="n">
        <v>0.055</v>
      </c>
      <c r="X51" s="732" t="n">
        <v>0.12</v>
      </c>
      <c r="Y51" s="733" t="n"/>
      <c r="Z51" s="732" t="n">
        <v>0.04</v>
      </c>
      <c r="AA51" s="731">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9" t="n">
        <v>104815.6</v>
      </c>
      <c r="V52" s="600" t="n">
        <v>0.15</v>
      </c>
      <c r="W52" s="597" t="n"/>
      <c r="X52" s="601" t="n">
        <v>0.05</v>
      </c>
      <c r="Y52" s="730" t="n">
        <v>2910</v>
      </c>
      <c r="Z52" s="601" t="n">
        <v>0.03</v>
      </c>
      <c r="AA52" s="731">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9" t="n">
        <v>232970</v>
      </c>
      <c r="V53" s="601" t="n">
        <v>0.14</v>
      </c>
      <c r="W53" s="732" t="n">
        <v>0.055</v>
      </c>
      <c r="X53" s="732" t="n">
        <v>0.12</v>
      </c>
      <c r="Y53" s="733" t="n"/>
      <c r="Z53" s="732" t="n">
        <v>0.04</v>
      </c>
      <c r="AA53" s="731">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9" t="n"/>
      <c r="V54" s="601" t="n"/>
      <c r="W54" s="732" t="n"/>
      <c r="X54" s="732" t="n"/>
      <c r="Y54" s="733" t="n"/>
      <c r="Z54" s="732" t="n"/>
      <c r="AA54" s="741">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9" t="n"/>
      <c r="V55" s="601" t="n"/>
      <c r="W55" s="732" t="n"/>
      <c r="X55" s="732" t="n"/>
      <c r="Y55" s="733" t="n"/>
      <c r="Z55" s="732" t="n"/>
      <c r="AA55" s="741">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41">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9" t="n"/>
      <c r="V57" s="601" t="n"/>
      <c r="W57" s="732" t="n"/>
      <c r="X57" s="732" t="n"/>
      <c r="Y57" s="733" t="n"/>
      <c r="Z57" s="732" t="n"/>
      <c r="AA57" s="741">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9" t="n"/>
      <c r="V58" s="601" t="n"/>
      <c r="W58" s="597" t="n"/>
      <c r="X58" s="601" t="n"/>
      <c r="Y58" s="730" t="n"/>
      <c r="Z58" s="620" t="n"/>
      <c r="AA58" s="741">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9" t="n"/>
      <c r="V59" s="601" t="n"/>
      <c r="W59" s="732" t="n"/>
      <c r="X59" s="732" t="n"/>
      <c r="Y59" s="733" t="n"/>
      <c r="Z59" s="732" t="n"/>
      <c r="AA59" s="741">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9" t="n"/>
      <c r="V60" s="600" t="n"/>
      <c r="W60" s="596" t="n"/>
      <c r="X60" s="601" t="n"/>
      <c r="Y60" s="730" t="n"/>
      <c r="Z60" s="601" t="n"/>
      <c r="AA60" s="741">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9" t="n"/>
      <c r="V61" s="600" t="n"/>
      <c r="W61" s="596" t="n"/>
      <c r="X61" s="601" t="n"/>
      <c r="Y61" s="730" t="n"/>
      <c r="Z61" s="601" t="n"/>
      <c r="AA61" s="741">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9" t="n"/>
      <c r="V62" s="601" t="n"/>
      <c r="W62" s="732" t="n"/>
      <c r="X62" s="732" t="n"/>
      <c r="Y62" s="733" t="n"/>
      <c r="Z62" s="732" t="n"/>
      <c r="AA62" s="741">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41">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9" t="n"/>
      <c r="V64" s="600" t="n"/>
      <c r="W64" s="597" t="n"/>
      <c r="X64" s="601" t="n"/>
      <c r="Y64" s="730" t="n"/>
      <c r="Z64" s="601" t="n"/>
      <c r="AA64" s="741">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9">
        <f>T65</f>
        <v>230010.0</v>
      </c>
      <c r="V65" s="601" t="n">
        <v>0.2</v>
      </c>
      <c r="W65" s="732" t="n">
        <v>0.055</v>
      </c>
      <c r="X65" s="732" t="n">
        <v>0.12</v>
      </c>
      <c r="Y65" s="733" t="n"/>
      <c r="Z65" s="732" t="n">
        <v>0.04</v>
      </c>
      <c r="AA65" s="731">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41">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9" t="n"/>
      <c r="V67" s="601" t="n"/>
      <c r="W67" s="732" t="n"/>
      <c r="X67" s="732" t="n"/>
      <c r="Y67" s="733" t="n"/>
      <c r="Z67" s="732" t="n"/>
      <c r="AA67" s="741">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9" t="n"/>
      <c r="V68" s="601" t="n"/>
      <c r="W68" s="732" t="n"/>
      <c r="X68" s="732" t="n"/>
      <c r="Y68" s="733" t="n"/>
      <c r="Z68" s="732" t="n"/>
      <c r="AA68" s="741">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41">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9" t="n">
        <v>153600</v>
      </c>
      <c r="V70" s="601" t="n">
        <v>0.12</v>
      </c>
      <c r="W70" s="732" t="n">
        <v>0.055</v>
      </c>
      <c r="X70" s="732" t="n">
        <v>0.12</v>
      </c>
      <c r="Y70" s="733" t="n"/>
      <c r="Z70" s="732" t="n">
        <v>0.04</v>
      </c>
      <c r="AA70" s="731">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9" t="n">
        <v>210000</v>
      </c>
      <c r="V71" s="601" t="n">
        <v>0.2</v>
      </c>
      <c r="W71" s="732" t="n">
        <v>0.055</v>
      </c>
      <c r="X71" s="732" t="n">
        <v>0.12</v>
      </c>
      <c r="Y71" s="733" t="n"/>
      <c r="Z71" s="732" t="n">
        <v>0.04</v>
      </c>
      <c r="AA71" s="731">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9" t="n">
        <v>120400.4</v>
      </c>
      <c r="V72" s="600" t="n">
        <v>0.15</v>
      </c>
      <c r="W72" s="596" t="n"/>
      <c r="X72" s="601" t="n">
        <v>0.05</v>
      </c>
      <c r="Y72" s="730" t="n">
        <v>2910</v>
      </c>
      <c r="Z72" s="601" t="n">
        <v>0.03</v>
      </c>
      <c r="AA72" s="731">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9" t="n">
        <v>137420</v>
      </c>
      <c r="V73" s="601" t="n">
        <v>0.12</v>
      </c>
      <c r="W73" s="732" t="n">
        <v>0.055</v>
      </c>
      <c r="X73" s="732" t="n">
        <v>0.12</v>
      </c>
      <c r="Y73" s="733" t="n"/>
      <c r="Z73" s="732" t="n">
        <v>0.04</v>
      </c>
      <c r="AA73" s="731">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9" t="n">
        <v>112310</v>
      </c>
      <c r="V74" s="601" t="n">
        <v>0.1</v>
      </c>
      <c r="W74" s="732" t="n">
        <v>0.055</v>
      </c>
      <c r="X74" s="732" t="n">
        <v>0.12</v>
      </c>
      <c r="Y74" s="733" t="n"/>
      <c r="Z74" s="732" t="n">
        <v>0.04</v>
      </c>
      <c r="AA74" s="731">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9" t="n">
        <v>154400</v>
      </c>
      <c r="V75" s="601" t="n">
        <v>0.12</v>
      </c>
      <c r="W75" s="732" t="n">
        <v>0.055</v>
      </c>
      <c r="X75" s="732" t="n">
        <v>0.12</v>
      </c>
      <c r="Y75" s="733" t="n"/>
      <c r="Z75" s="732" t="n">
        <v>0.04</v>
      </c>
      <c r="AA75" s="731">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9" t="n">
        <v>220000</v>
      </c>
      <c r="V76" s="601" t="n">
        <v>0.14</v>
      </c>
      <c r="W76" s="732" t="n">
        <v>0.055</v>
      </c>
      <c r="X76" s="732" t="n">
        <v>0.12</v>
      </c>
      <c r="Y76" s="733" t="n"/>
      <c r="Z76" s="732" t="n">
        <v>0.04</v>
      </c>
      <c r="AA76" s="731">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9" t="n">
        <v>136360</v>
      </c>
      <c r="V77" s="601" t="n">
        <v>0.1</v>
      </c>
      <c r="W77" s="732" t="n">
        <v>0.055</v>
      </c>
      <c r="X77" s="732" t="n">
        <v>0.12</v>
      </c>
      <c r="Y77" s="733" t="n"/>
      <c r="Z77" s="732" t="n">
        <v>0.04</v>
      </c>
      <c r="AA77" s="731">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9" t="n">
        <v>117760</v>
      </c>
      <c r="V78" s="600" t="n">
        <v>0.15</v>
      </c>
      <c r="W78" s="597" t="n"/>
      <c r="X78" s="601" t="n">
        <v>0.05</v>
      </c>
      <c r="Y78" s="730" t="n">
        <v>2910</v>
      </c>
      <c r="Z78" s="601" t="n">
        <v>0.03</v>
      </c>
      <c r="AA78" s="731">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9" t="n">
        <v>423500</v>
      </c>
      <c r="V79" s="601" t="n">
        <v>0.35</v>
      </c>
      <c r="W79" s="597" t="n"/>
      <c r="X79" s="601" t="n">
        <v>0.17</v>
      </c>
      <c r="Y79" s="730" t="n">
        <v>3310</v>
      </c>
      <c r="Z79" s="620" t="n">
        <v>0.045</v>
      </c>
      <c r="AA79" s="731">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9" t="n">
        <v>216470</v>
      </c>
      <c r="V80" s="601" t="n">
        <v>0.14</v>
      </c>
      <c r="W80" s="732" t="n">
        <v>0.055</v>
      </c>
      <c r="X80" s="732" t="n">
        <v>0.12</v>
      </c>
      <c r="Y80" s="733" t="n"/>
      <c r="Z80" s="732" t="n">
        <v>0.04</v>
      </c>
      <c r="AA80" s="731">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9" t="n">
        <v>169130</v>
      </c>
      <c r="V81" s="601" t="n">
        <v>0.12</v>
      </c>
      <c r="W81" s="732" t="n">
        <v>0.055</v>
      </c>
      <c r="X81" s="732" t="n">
        <v>0.12</v>
      </c>
      <c r="Y81" s="733" t="n"/>
      <c r="Z81" s="732" t="n">
        <v>0.04</v>
      </c>
      <c r="AA81" s="731">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9" t="n">
        <v>225400</v>
      </c>
      <c r="V82" s="600" t="n">
        <v>0.2</v>
      </c>
      <c r="W82" s="597" t="n"/>
      <c r="X82" s="601" t="n">
        <v>0.05</v>
      </c>
      <c r="Y82" s="730" t="n">
        <v>2910</v>
      </c>
      <c r="Z82" s="601" t="n">
        <v>0.03</v>
      </c>
      <c r="AA82" s="731">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9" t="n">
        <v>295000</v>
      </c>
      <c r="V83" s="601" t="n">
        <v>0.2</v>
      </c>
      <c r="W83" s="732" t="n">
        <v>0.055</v>
      </c>
      <c r="X83" s="732" t="n">
        <v>0.12</v>
      </c>
      <c r="Y83" s="733" t="n"/>
      <c r="Z83" s="732" t="n">
        <v>0.04</v>
      </c>
      <c r="AA83" s="731">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9" t="n">
        <v>300000</v>
      </c>
      <c r="V84" s="601" t="n">
        <v>0.25</v>
      </c>
      <c r="W84" s="732" t="n">
        <v>0.055</v>
      </c>
      <c r="X84" s="732" t="n">
        <v>0.12</v>
      </c>
      <c r="Y84" s="733" t="n"/>
      <c r="Z84" s="732" t="n">
        <v>0.04</v>
      </c>
      <c r="AA84" s="731">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9" t="n">
        <v>260000</v>
      </c>
      <c r="V85" s="601" t="n">
        <v>0.2</v>
      </c>
      <c r="W85" s="732" t="n">
        <v>0.055</v>
      </c>
      <c r="X85" s="732" t="n">
        <v>0.12</v>
      </c>
      <c r="Y85" s="733" t="n"/>
      <c r="Z85" s="732" t="n">
        <v>0.04</v>
      </c>
      <c r="AA85" s="731">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9" t="n">
        <v>151950</v>
      </c>
      <c r="V86" s="601" t="n">
        <v>0.12</v>
      </c>
      <c r="W86" s="732" t="n">
        <v>0.055</v>
      </c>
      <c r="X86" s="732" t="n">
        <v>0.12</v>
      </c>
      <c r="Y86" s="733" t="n"/>
      <c r="Z86" s="732" t="n">
        <v>0.04</v>
      </c>
      <c r="AA86" s="731">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9" t="n">
        <v>173550</v>
      </c>
      <c r="V87" s="601" t="n">
        <v>0.12</v>
      </c>
      <c r="W87" s="732" t="n">
        <v>0.055</v>
      </c>
      <c r="X87" s="732" t="n">
        <v>0.12</v>
      </c>
      <c r="Y87" s="733" t="n"/>
      <c r="Z87" s="732" t="n">
        <v>0.04</v>
      </c>
      <c r="AA87" s="731">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9" t="n">
        <v>203550</v>
      </c>
      <c r="V88" s="601" t="n">
        <v>0.14</v>
      </c>
      <c r="W88" s="732" t="n">
        <v>0.055</v>
      </c>
      <c r="X88" s="732" t="n">
        <v>0.12</v>
      </c>
      <c r="Y88" s="733" t="n"/>
      <c r="Z88" s="732" t="n">
        <v>0.04</v>
      </c>
      <c r="AA88" s="731">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9" t="n">
        <v>173550</v>
      </c>
      <c r="V89" s="601" t="n">
        <v>0.12</v>
      </c>
      <c r="W89" s="732" t="n">
        <v>0.055</v>
      </c>
      <c r="X89" s="732" t="n">
        <v>0.12</v>
      </c>
      <c r="Y89" s="733" t="n"/>
      <c r="Z89" s="732" t="n">
        <v>0.04</v>
      </c>
      <c r="AA89" s="731">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9" t="n">
        <v>203550</v>
      </c>
      <c r="V90" s="601" t="n">
        <v>0.14</v>
      </c>
      <c r="W90" s="732" t="n">
        <v>0.055</v>
      </c>
      <c r="X90" s="732" t="n">
        <v>0.12</v>
      </c>
      <c r="Y90" s="733" t="n"/>
      <c r="Z90" s="732" t="n">
        <v>0.04</v>
      </c>
      <c r="AA90" s="731">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9" t="n">
        <v>121026</v>
      </c>
      <c r="V91" s="600" t="n">
        <v>0.15</v>
      </c>
      <c r="W91" s="597" t="n"/>
      <c r="X91" s="601" t="n">
        <v>0.05</v>
      </c>
      <c r="Y91" s="730" t="n">
        <v>2910</v>
      </c>
      <c r="Z91" s="601" t="n">
        <v>0.03</v>
      </c>
      <c r="AA91" s="731">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9" t="n">
        <v>129650</v>
      </c>
      <c r="V92" s="601" t="n">
        <v>0.1</v>
      </c>
      <c r="W92" s="732" t="n">
        <v>0.055</v>
      </c>
      <c r="X92" s="732" t="n">
        <v>0.12</v>
      </c>
      <c r="Y92" s="733" t="n"/>
      <c r="Z92" s="732" t="n">
        <v>0.04</v>
      </c>
      <c r="AA92" s="731">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9" t="n">
        <v>242660</v>
      </c>
      <c r="V93" s="601" t="n">
        <v>0.2</v>
      </c>
      <c r="W93" s="732" t="n">
        <v>0.055</v>
      </c>
      <c r="X93" s="732" t="n">
        <v>0.12</v>
      </c>
      <c r="Y93" s="733" t="n"/>
      <c r="Z93" s="732" t="n">
        <v>0.04</v>
      </c>
      <c r="AA93" s="731">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9" t="n">
        <v>180000</v>
      </c>
      <c r="V94" s="601" t="n">
        <v>0.12</v>
      </c>
      <c r="W94" s="732" t="n">
        <v>0.055</v>
      </c>
      <c r="X94" s="732" t="n">
        <v>0.12</v>
      </c>
      <c r="Y94" s="733" t="n"/>
      <c r="Z94" s="732" t="n">
        <v>0.04</v>
      </c>
      <c r="AA94" s="731">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9" t="n">
        <v>166560</v>
      </c>
      <c r="V95" s="601" t="n">
        <v>0.12</v>
      </c>
      <c r="W95" s="732" t="n">
        <v>0.055</v>
      </c>
      <c r="X95" s="732" t="n">
        <v>0.12</v>
      </c>
      <c r="Y95" s="733" t="n"/>
      <c r="Z95" s="732" t="n">
        <v>0.04</v>
      </c>
      <c r="AA95" s="731">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9" t="n">
        <v>147936</v>
      </c>
      <c r="V96" s="600" t="n">
        <v>0.15</v>
      </c>
      <c r="W96" s="596" t="n"/>
      <c r="X96" s="601" t="n">
        <v>0.05</v>
      </c>
      <c r="Y96" s="730" t="n">
        <v>2910</v>
      </c>
      <c r="Z96" s="601" t="n">
        <v>0.03</v>
      </c>
      <c r="AA96" s="731">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9" t="n">
        <v>194984.8</v>
      </c>
      <c r="V97" s="600" t="n">
        <v>0.15</v>
      </c>
      <c r="W97" s="597" t="n"/>
      <c r="X97" s="601" t="n">
        <v>0.05</v>
      </c>
      <c r="Y97" s="730" t="n">
        <v>2910</v>
      </c>
      <c r="Z97" s="601" t="n">
        <v>0.03</v>
      </c>
      <c r="AA97" s="731">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9" t="n">
        <v>218390</v>
      </c>
      <c r="V98" s="601" t="n">
        <v>0.14</v>
      </c>
      <c r="W98" s="732" t="n">
        <v>0.055</v>
      </c>
      <c r="X98" s="732" t="n">
        <v>0.12</v>
      </c>
      <c r="Y98" s="733" t="n"/>
      <c r="Z98" s="732" t="n">
        <v>0.04</v>
      </c>
      <c r="AA98" s="731">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9" t="n">
        <v>182760</v>
      </c>
      <c r="V99" s="601" t="n">
        <v>0.12</v>
      </c>
      <c r="W99" s="732" t="n">
        <v>0.055</v>
      </c>
      <c r="X99" s="732" t="n">
        <v>0.12</v>
      </c>
      <c r="Y99" s="733" t="n"/>
      <c r="Z99" s="732" t="n">
        <v>0.04</v>
      </c>
      <c r="AA99" s="731">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9" t="n">
        <v>289580</v>
      </c>
      <c r="V100" s="601" t="n">
        <v>0.2</v>
      </c>
      <c r="W100" s="732" t="n">
        <v>0.055</v>
      </c>
      <c r="X100" s="732" t="n">
        <v>0.12</v>
      </c>
      <c r="Y100" s="733" t="n"/>
      <c r="Z100" s="732" t="n">
        <v>0.04</v>
      </c>
      <c r="AA100" s="731">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9" t="n">
        <v>248400</v>
      </c>
      <c r="V101" s="600" t="n">
        <v>0.2</v>
      </c>
      <c r="W101" s="596" t="n"/>
      <c r="X101" s="601" t="n">
        <v>0.05</v>
      </c>
      <c r="Y101" s="730" t="n">
        <v>2910</v>
      </c>
      <c r="Z101" s="601" t="n">
        <v>0.03</v>
      </c>
      <c r="AA101" s="731">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9" t="n">
        <v>260840</v>
      </c>
      <c r="V102" s="601" t="n">
        <v>0.2</v>
      </c>
      <c r="W102" s="732" t="n">
        <v>0.055</v>
      </c>
      <c r="X102" s="732" t="n">
        <v>0.12</v>
      </c>
      <c r="Y102" s="733" t="n"/>
      <c r="Z102" s="732" t="n">
        <v>0.04</v>
      </c>
      <c r="AA102" s="731">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9" t="n">
        <v>171837.6</v>
      </c>
      <c r="V103" s="600" t="n">
        <v>0.15</v>
      </c>
      <c r="W103" s="597" t="n"/>
      <c r="X103" s="601" t="n">
        <v>0.05</v>
      </c>
      <c r="Y103" s="730" t="n">
        <v>2910</v>
      </c>
      <c r="Z103" s="601" t="n">
        <v>0.03</v>
      </c>
      <c r="AA103" s="731">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9" t="n">
        <v>243850</v>
      </c>
      <c r="V104" s="601" t="n">
        <v>0.14</v>
      </c>
      <c r="W104" s="732" t="n">
        <v>0.055</v>
      </c>
      <c r="X104" s="732" t="n">
        <v>0.12</v>
      </c>
      <c r="Y104" s="733" t="n"/>
      <c r="Z104" s="732" t="n">
        <v>0.04</v>
      </c>
      <c r="AA104" s="731">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9" t="n">
        <v>197180</v>
      </c>
      <c r="V105" s="601" t="n">
        <v>0.12</v>
      </c>
      <c r="W105" s="732" t="n">
        <v>0.055</v>
      </c>
      <c r="X105" s="732" t="n">
        <v>0.12</v>
      </c>
      <c r="Y105" s="733" t="n"/>
      <c r="Z105" s="732" t="n">
        <v>0.04</v>
      </c>
      <c r="AA105" s="731">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9" t="n">
        <v>119379.2</v>
      </c>
      <c r="V106" s="600" t="n">
        <v>0.15</v>
      </c>
      <c r="W106" s="597" t="n"/>
      <c r="X106" s="601" t="n">
        <v>0.05</v>
      </c>
      <c r="Y106" s="730" t="n">
        <v>2910</v>
      </c>
      <c r="Z106" s="601" t="n">
        <v>0.03</v>
      </c>
      <c r="AA106" s="731">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9" t="n">
        <v>190200.8</v>
      </c>
      <c r="V107" s="600" t="n">
        <v>0.15</v>
      </c>
      <c r="W107" s="597" t="n"/>
      <c r="X107" s="601" t="n">
        <v>0.05</v>
      </c>
      <c r="Y107" s="730" t="n">
        <v>2910</v>
      </c>
      <c r="Z107" s="601" t="n">
        <v>0.03</v>
      </c>
      <c r="AA107" s="731">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9" t="n">
        <v>198940</v>
      </c>
      <c r="V108" s="601" t="n">
        <v>0.12</v>
      </c>
      <c r="W108" s="732" t="n">
        <v>0.055</v>
      </c>
      <c r="X108" s="732" t="n">
        <v>0.12</v>
      </c>
      <c r="Y108" s="733" t="n"/>
      <c r="Z108" s="732" t="n">
        <v>0.04</v>
      </c>
      <c r="AA108" s="731">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9" t="n">
        <v>169280</v>
      </c>
      <c r="V109" s="601" t="n">
        <v>0.12</v>
      </c>
      <c r="W109" s="732" t="n">
        <v>0.055</v>
      </c>
      <c r="X109" s="732" t="n">
        <v>0.12</v>
      </c>
      <c r="Y109" s="733" t="n"/>
      <c r="Z109" s="732" t="n">
        <v>0.04</v>
      </c>
      <c r="AA109" s="731">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9" t="n">
        <v>138000</v>
      </c>
      <c r="V110" s="601" t="n">
        <v>0.1</v>
      </c>
      <c r="W110" s="732" t="n">
        <v>0.055</v>
      </c>
      <c r="X110" s="732" t="n">
        <v>0.12</v>
      </c>
      <c r="Y110" s="733" t="n"/>
      <c r="Z110" s="732" t="n">
        <v>0.04</v>
      </c>
      <c r="AA110" s="731">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9" t="n">
        <v>156160</v>
      </c>
      <c r="V111" s="601" t="n">
        <v>0.12</v>
      </c>
      <c r="W111" s="732" t="n">
        <v>0.055</v>
      </c>
      <c r="X111" s="732" t="n">
        <v>0.12</v>
      </c>
      <c r="Y111" s="733" t="n"/>
      <c r="Z111" s="732" t="n">
        <v>0.04</v>
      </c>
      <c r="AA111" s="731">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9" t="n">
        <v>191290</v>
      </c>
      <c r="V112" s="601" t="n">
        <v>0.12</v>
      </c>
      <c r="W112" s="732" t="n">
        <v>0.055</v>
      </c>
      <c r="X112" s="732" t="n">
        <v>0.12</v>
      </c>
      <c r="Y112" s="733" t="n"/>
      <c r="Z112" s="732" t="n">
        <v>0.04</v>
      </c>
      <c r="AA112" s="731">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9" t="n">
        <v>178100</v>
      </c>
      <c r="V113" s="601" t="n">
        <v>0.12</v>
      </c>
      <c r="W113" s="732" t="n">
        <v>0.055</v>
      </c>
      <c r="X113" s="732" t="n">
        <v>0.12</v>
      </c>
      <c r="Y113" s="733" t="n"/>
      <c r="Z113" s="732" t="n">
        <v>0.04</v>
      </c>
      <c r="AA113" s="731">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9" t="n">
        <v>131740</v>
      </c>
      <c r="V114" s="601" t="n">
        <v>0.12</v>
      </c>
      <c r="W114" s="732" t="n">
        <v>0.055</v>
      </c>
      <c r="X114" s="732" t="n">
        <v>0.12</v>
      </c>
      <c r="Y114" s="733" t="n"/>
      <c r="Z114" s="732" t="n">
        <v>0.04</v>
      </c>
      <c r="AA114" s="731">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9" t="n">
        <v>170080</v>
      </c>
      <c r="V115" s="601" t="n">
        <v>0.12</v>
      </c>
      <c r="W115" s="732" t="n">
        <v>0.055</v>
      </c>
      <c r="X115" s="732" t="n">
        <v>0.12</v>
      </c>
      <c r="Y115" s="733" t="n"/>
      <c r="Z115" s="732" t="n">
        <v>0.04</v>
      </c>
      <c r="AA115" s="731">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9" t="n">
        <v>186610</v>
      </c>
      <c r="V116" s="601" t="n">
        <v>0.12</v>
      </c>
      <c r="W116" s="732" t="n">
        <v>0.055</v>
      </c>
      <c r="X116" s="732" t="n">
        <v>0.12</v>
      </c>
      <c r="Y116" s="733" t="n"/>
      <c r="Z116" s="732" t="n">
        <v>0.04</v>
      </c>
      <c r="AA116" s="731">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9" t="n">
        <v>203550</v>
      </c>
      <c r="V117" s="601" t="n">
        <v>0.14</v>
      </c>
      <c r="W117" s="732" t="n">
        <v>0.055</v>
      </c>
      <c r="X117" s="732" t="n">
        <v>0.12</v>
      </c>
      <c r="Y117" s="733" t="n"/>
      <c r="Z117" s="732" t="n">
        <v>0.04</v>
      </c>
      <c r="AA117" s="731">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9" t="n">
        <v>173550</v>
      </c>
      <c r="V118" s="601" t="n">
        <v>0.12</v>
      </c>
      <c r="W118" s="732" t="n">
        <v>0.055</v>
      </c>
      <c r="X118" s="732" t="n">
        <v>0.12</v>
      </c>
      <c r="Y118" s="733" t="n"/>
      <c r="Z118" s="732" t="n">
        <v>0.04</v>
      </c>
      <c r="AA118" s="731">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9" t="n">
        <v>173550</v>
      </c>
      <c r="V119" s="601" t="n">
        <v>0.12</v>
      </c>
      <c r="W119" s="732" t="n">
        <v>0.055</v>
      </c>
      <c r="X119" s="732" t="n">
        <v>0.12</v>
      </c>
      <c r="Y119" s="733" t="n"/>
      <c r="Z119" s="732" t="n">
        <v>0.04</v>
      </c>
      <c r="AA119" s="731">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9" t="n">
        <v>173550</v>
      </c>
      <c r="V120" s="601" t="n">
        <v>0.12</v>
      </c>
      <c r="W120" s="732" t="n">
        <v>0.055</v>
      </c>
      <c r="X120" s="732" t="n">
        <v>0.12</v>
      </c>
      <c r="Y120" s="733" t="n"/>
      <c r="Z120" s="732" t="n">
        <v>0.04</v>
      </c>
      <c r="AA120" s="731">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9" t="n">
        <v>187450</v>
      </c>
      <c r="V121" s="601" t="n">
        <v>0.12</v>
      </c>
      <c r="W121" s="732" t="n">
        <v>0.055</v>
      </c>
      <c r="X121" s="732" t="n">
        <v>0.12</v>
      </c>
      <c r="Y121" s="733" t="n"/>
      <c r="Z121" s="732" t="n">
        <v>0.04</v>
      </c>
      <c r="AA121" s="731">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9" t="n">
        <v>163493.2</v>
      </c>
      <c r="V122" s="600" t="n">
        <v>0.15</v>
      </c>
      <c r="W122" s="597" t="n"/>
      <c r="X122" s="601" t="n">
        <v>0.05</v>
      </c>
      <c r="Y122" s="730" t="n">
        <v>2910</v>
      </c>
      <c r="Z122" s="601" t="n">
        <v>0.03</v>
      </c>
      <c r="AA122" s="731">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9" t="n">
        <v>197480</v>
      </c>
      <c r="V123" s="601" t="n">
        <v>0.12</v>
      </c>
      <c r="W123" s="732" t="n">
        <v>0.055</v>
      </c>
      <c r="X123" s="732" t="n">
        <v>0.12</v>
      </c>
      <c r="Y123" s="733" t="n"/>
      <c r="Z123" s="732" t="n">
        <v>0.04</v>
      </c>
      <c r="AA123" s="731">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9" t="n">
        <v>275000</v>
      </c>
      <c r="V124" s="601" t="n">
        <v>0.2</v>
      </c>
      <c r="W124" s="732" t="n">
        <v>0.055</v>
      </c>
      <c r="X124" s="732" t="n">
        <v>0.12</v>
      </c>
      <c r="Y124" s="733" t="n"/>
      <c r="Z124" s="732" t="n">
        <v>0.04</v>
      </c>
      <c r="AA124" s="731">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9" t="n">
        <v>182000</v>
      </c>
      <c r="V125" s="601" t="n">
        <v>0.12</v>
      </c>
      <c r="W125" s="732" t="n">
        <v>0.055</v>
      </c>
      <c r="X125" s="732" t="n">
        <v>0.12</v>
      </c>
      <c r="Y125" s="733" t="n"/>
      <c r="Z125" s="732" t="n">
        <v>0.04</v>
      </c>
      <c r="AA125" s="731">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9" t="n">
        <v>188010</v>
      </c>
      <c r="V126" s="601" t="n">
        <v>0.12</v>
      </c>
      <c r="W126" s="732" t="n">
        <v>0.055</v>
      </c>
      <c r="X126" s="732" t="n">
        <v>0.12</v>
      </c>
      <c r="Y126" s="733" t="n"/>
      <c r="Z126" s="732" t="n">
        <v>0.04</v>
      </c>
      <c r="AA126" s="731">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9" t="n">
        <v>148672</v>
      </c>
      <c r="V127" s="600" t="n">
        <v>0.15</v>
      </c>
      <c r="W127" s="597" t="n"/>
      <c r="X127" s="601" t="n">
        <v>0.05</v>
      </c>
      <c r="Y127" s="730" t="n">
        <v>2910</v>
      </c>
      <c r="Z127" s="601" t="n">
        <v>0.03</v>
      </c>
      <c r="AA127" s="731">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9" t="n">
        <v>151950</v>
      </c>
      <c r="V128" s="601" t="n">
        <v>0.12</v>
      </c>
      <c r="W128" s="732" t="n">
        <v>0.055</v>
      </c>
      <c r="X128" s="732" t="n">
        <v>0.12</v>
      </c>
      <c r="Y128" s="733" t="n"/>
      <c r="Z128" s="732" t="n">
        <v>0.04</v>
      </c>
      <c r="AA128" s="731">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9" t="n">
        <v>151950</v>
      </c>
      <c r="V129" s="601" t="n">
        <v>0.12</v>
      </c>
      <c r="W129" s="732" t="n">
        <v>0.055</v>
      </c>
      <c r="X129" s="732" t="n">
        <v>0.12</v>
      </c>
      <c r="Y129" s="733" t="n"/>
      <c r="Z129" s="732" t="n">
        <v>0.04</v>
      </c>
      <c r="AA129" s="731">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9" t="n">
        <v>151950</v>
      </c>
      <c r="V130" s="601" t="n">
        <v>0.12</v>
      </c>
      <c r="W130" s="732" t="n">
        <v>0.055</v>
      </c>
      <c r="X130" s="732" t="n">
        <v>0.12</v>
      </c>
      <c r="Y130" s="733" t="n"/>
      <c r="Z130" s="732" t="n">
        <v>0.04</v>
      </c>
      <c r="AA130" s="731">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9" t="n">
        <v>129650</v>
      </c>
      <c r="V131" s="601" t="n">
        <v>0.1</v>
      </c>
      <c r="W131" s="732" t="n">
        <v>0.055</v>
      </c>
      <c r="X131" s="732" t="n">
        <v>0.12</v>
      </c>
      <c r="Y131" s="733" t="n"/>
      <c r="Z131" s="732" t="n">
        <v>0.04</v>
      </c>
      <c r="AA131" s="731">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9" t="n">
        <v>151950</v>
      </c>
      <c r="V132" s="601" t="n">
        <v>0.12</v>
      </c>
      <c r="W132" s="732" t="n">
        <v>0.055</v>
      </c>
      <c r="X132" s="732" t="n">
        <v>0.12</v>
      </c>
      <c r="Y132" s="733" t="n"/>
      <c r="Z132" s="732" t="n">
        <v>0.04</v>
      </c>
      <c r="AA132" s="731">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9" t="n">
        <v>151950</v>
      </c>
      <c r="V133" s="601" t="n">
        <v>0.12</v>
      </c>
      <c r="W133" s="732" t="n">
        <v>0.055</v>
      </c>
      <c r="X133" s="732" t="n">
        <v>0.12</v>
      </c>
      <c r="Y133" s="733" t="n"/>
      <c r="Z133" s="732" t="n">
        <v>0.04</v>
      </c>
      <c r="AA133" s="731">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9" t="n">
        <v>151950</v>
      </c>
      <c r="V134" s="601" t="n">
        <v>0.12</v>
      </c>
      <c r="W134" s="732" t="n">
        <v>0.055</v>
      </c>
      <c r="X134" s="732" t="n">
        <v>0.12</v>
      </c>
      <c r="Y134" s="733" t="n"/>
      <c r="Z134" s="732" t="n">
        <v>0.04</v>
      </c>
      <c r="AA134" s="731">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9" t="n">
        <v>151000</v>
      </c>
      <c r="V135" s="601" t="n">
        <v>0.12</v>
      </c>
      <c r="W135" s="732" t="n">
        <v>0.055</v>
      </c>
      <c r="X135" s="732" t="n">
        <v>0.12</v>
      </c>
      <c r="Y135" s="733" t="n"/>
      <c r="Z135" s="732" t="n">
        <v>0.04</v>
      </c>
      <c r="AA135" s="731">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9" t="n">
        <v>151000</v>
      </c>
      <c r="V136" s="601" t="n">
        <v>0.12</v>
      </c>
      <c r="W136" s="732" t="n">
        <v>0.055</v>
      </c>
      <c r="X136" s="732" t="n">
        <v>0.12</v>
      </c>
      <c r="Y136" s="733" t="n"/>
      <c r="Z136" s="732" t="n">
        <v>0.04</v>
      </c>
      <c r="AA136" s="731">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9" t="n">
        <v>151950</v>
      </c>
      <c r="V137" s="601" t="n">
        <v>0.12</v>
      </c>
      <c r="W137" s="732" t="n">
        <v>0.055</v>
      </c>
      <c r="X137" s="732" t="n">
        <v>0.12</v>
      </c>
      <c r="Y137" s="733" t="n"/>
      <c r="Z137" s="732" t="n">
        <v>0.04</v>
      </c>
      <c r="AA137" s="731">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9" t="n">
        <v>151950</v>
      </c>
      <c r="V138" s="601" t="n">
        <v>0.12</v>
      </c>
      <c r="W138" s="732" t="n">
        <v>0.055</v>
      </c>
      <c r="X138" s="732" t="n">
        <v>0.12</v>
      </c>
      <c r="Y138" s="733" t="n"/>
      <c r="Z138" s="732" t="n">
        <v>0.04</v>
      </c>
      <c r="AA138" s="731">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9" t="n">
        <v>151950</v>
      </c>
      <c r="V139" s="601" t="n">
        <v>0.12</v>
      </c>
      <c r="W139" s="732" t="n">
        <v>0.055</v>
      </c>
      <c r="X139" s="732" t="n">
        <v>0.12</v>
      </c>
      <c r="Y139" s="733" t="n"/>
      <c r="Z139" s="732" t="n">
        <v>0.04</v>
      </c>
      <c r="AA139" s="731">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9" t="n">
        <v>129650</v>
      </c>
      <c r="V140" s="601" t="n">
        <v>0.1</v>
      </c>
      <c r="W140" s="732" t="n">
        <v>0.055</v>
      </c>
      <c r="X140" s="732" t="n">
        <v>0.12</v>
      </c>
      <c r="Y140" s="733" t="n"/>
      <c r="Z140" s="732" t="n">
        <v>0.04</v>
      </c>
      <c r="AA140" s="731">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9" t="n">
        <v>275340</v>
      </c>
      <c r="V141" s="601" t="n">
        <v>0.2</v>
      </c>
      <c r="W141" s="732" t="n">
        <v>0.055</v>
      </c>
      <c r="X141" s="732" t="n">
        <v>0.12</v>
      </c>
      <c r="Y141" s="733" t="n"/>
      <c r="Z141" s="732" t="n">
        <v>0.04</v>
      </c>
      <c r="AA141" s="731">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9" t="n">
        <v>236730</v>
      </c>
      <c r="V142" s="601" t="n">
        <v>0.2</v>
      </c>
      <c r="W142" s="732" t="n">
        <v>0.055</v>
      </c>
      <c r="X142" s="732" t="n">
        <v>0.12</v>
      </c>
      <c r="Y142" s="733" t="n"/>
      <c r="Z142" s="732" t="n">
        <v>0.04</v>
      </c>
      <c r="AA142" s="731">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9" t="n">
        <v>235350</v>
      </c>
      <c r="V143" s="601" t="n">
        <v>0.2</v>
      </c>
      <c r="W143" s="732" t="n">
        <v>0.055</v>
      </c>
      <c r="X143" s="732" t="n">
        <v>0.12</v>
      </c>
      <c r="Y143" s="733" t="n"/>
      <c r="Z143" s="732" t="n">
        <v>0.04</v>
      </c>
      <c r="AA143" s="731">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9" t="n">
        <v>140000</v>
      </c>
      <c r="V144" s="601" t="n">
        <v>0.12</v>
      </c>
      <c r="W144" s="732" t="n">
        <v>0.055</v>
      </c>
      <c r="X144" s="732" t="n">
        <v>0.12</v>
      </c>
      <c r="Y144" s="733" t="n"/>
      <c r="Z144" s="732" t="n">
        <v>0.04</v>
      </c>
      <c r="AA144" s="731">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9" t="n">
        <v>203550</v>
      </c>
      <c r="V145" s="601" t="n">
        <v>0.14</v>
      </c>
      <c r="W145" s="732" t="n">
        <v>0.055</v>
      </c>
      <c r="X145" s="732" t="n">
        <v>0.12</v>
      </c>
      <c r="Y145" s="733" t="n"/>
      <c r="Z145" s="732" t="n">
        <v>0.04</v>
      </c>
      <c r="AA145" s="731">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9" t="n">
        <v>203550</v>
      </c>
      <c r="V146" s="601" t="n">
        <v>0.14</v>
      </c>
      <c r="W146" s="732" t="n">
        <v>0.055</v>
      </c>
      <c r="X146" s="732" t="n">
        <v>0.12</v>
      </c>
      <c r="Y146" s="733" t="n"/>
      <c r="Z146" s="732" t="n">
        <v>0.04</v>
      </c>
      <c r="AA146" s="731">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9" t="n">
        <v>151950</v>
      </c>
      <c r="V147" s="601" t="n">
        <v>0.12</v>
      </c>
      <c r="W147" s="732" t="n">
        <v>0.055</v>
      </c>
      <c r="X147" s="732" t="n">
        <v>0.12</v>
      </c>
      <c r="Y147" s="733" t="n"/>
      <c r="Z147" s="732" t="n">
        <v>0.04</v>
      </c>
      <c r="AA147" s="731">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9" t="n">
        <v>129650</v>
      </c>
      <c r="V148" s="601" t="n">
        <v>0.1</v>
      </c>
      <c r="W148" s="732" t="n">
        <v>0.055</v>
      </c>
      <c r="X148" s="732" t="n">
        <v>0.12</v>
      </c>
      <c r="Y148" s="733" t="n"/>
      <c r="Z148" s="732" t="n">
        <v>0.04</v>
      </c>
      <c r="AA148" s="731">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9" t="n">
        <v>129650</v>
      </c>
      <c r="V149" s="601" t="n">
        <v>0.1</v>
      </c>
      <c r="W149" s="732" t="n">
        <v>0.055</v>
      </c>
      <c r="X149" s="732" t="n">
        <v>0.12</v>
      </c>
      <c r="Y149" s="733" t="n"/>
      <c r="Z149" s="732" t="n">
        <v>0.04</v>
      </c>
      <c r="AA149" s="731">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9" t="n">
        <v>151950</v>
      </c>
      <c r="V150" s="601" t="n">
        <v>0.12</v>
      </c>
      <c r="W150" s="732" t="n">
        <v>0.055</v>
      </c>
      <c r="X150" s="732" t="n">
        <v>0.12</v>
      </c>
      <c r="Y150" s="733" t="n"/>
      <c r="Z150" s="732" t="n">
        <v>0.04</v>
      </c>
      <c r="AA150" s="731">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9" t="n">
        <v>151950</v>
      </c>
      <c r="V151" s="601" t="n">
        <v>0.12</v>
      </c>
      <c r="W151" s="732" t="n">
        <v>0.055</v>
      </c>
      <c r="X151" s="732" t="n">
        <v>0.12</v>
      </c>
      <c r="Y151" s="733" t="n"/>
      <c r="Z151" s="732" t="n">
        <v>0.04</v>
      </c>
      <c r="AA151" s="731">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9" t="n">
        <v>134550</v>
      </c>
      <c r="V152" s="601" t="n">
        <v>0.12</v>
      </c>
      <c r="W152" s="732" t="n">
        <v>0.055</v>
      </c>
      <c r="X152" s="732" t="n">
        <v>0.12</v>
      </c>
      <c r="Y152" s="733" t="n"/>
      <c r="Z152" s="732" t="n">
        <v>0.04</v>
      </c>
      <c r="AA152" s="731">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9" t="n">
        <v>173470</v>
      </c>
      <c r="V153" s="601" t="n">
        <v>0.12</v>
      </c>
      <c r="W153" s="732" t="n">
        <v>0.055</v>
      </c>
      <c r="X153" s="732" t="n">
        <v>0.12</v>
      </c>
      <c r="Y153" s="733" t="n"/>
      <c r="Z153" s="732" t="n">
        <v>0.04</v>
      </c>
      <c r="AA153" s="731">
        <f>U153*(1+V153+W153+X153+Y153+Z153)</f>
        <v>231582.44999999998</v>
      </c>
      <c r="AB153" s="606" t="n"/>
    </row>
  </sheetData>
  <autoFilter ref="A1:AB153"/>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'2.7 Squad Detail'!$G$22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'2.7 Squad Detail'!$G$36</f>
        <v>61.0</v>
      </c>
    </row>
    <row r="4">
      <c r="A4" t="inlineStr">
        <is>
          <t>Product</t>
        </is>
      </c>
      <c r="B4" t="inlineStr">
        <is>
          <t>M</t>
        </is>
      </c>
      <c r="D4" s="241" t="n">
        <v>0.3</v>
      </c>
      <c r="E4" t="inlineStr">
        <is>
          <t>Exclude</t>
        </is>
      </c>
      <c r="F4" t="inlineStr">
        <is>
          <t>Exclude</t>
        </is>
      </c>
      <c r="G4" t="inlineStr">
        <is>
          <t>Exclude</t>
        </is>
      </c>
      <c r="J4" t="inlineStr">
        <is>
          <t>Enterprise Data</t>
        </is>
      </c>
      <c r="K4">
        <f>'2.7 Squad Detail'!$G$43</f>
        <v>33.0</v>
      </c>
    </row>
    <row r="5">
      <c r="A5" t="inlineStr">
        <is>
          <t>Operations</t>
        </is>
      </c>
      <c r="B5" t="inlineStr">
        <is>
          <t>L</t>
        </is>
      </c>
      <c r="D5" t="n">
        <v>0.4</v>
      </c>
      <c r="J5" t="inlineStr">
        <is>
          <t>TDD Group Functions</t>
        </is>
      </c>
      <c r="K5">
        <f>'2.7 Squad Detail'!$G$51</f>
        <v>26.5</v>
      </c>
    </row>
    <row r="6">
      <c r="A6" t="inlineStr">
        <is>
          <t>Enterprise Data and Insights</t>
        </is>
      </c>
      <c r="D6" t="n">
        <v>0.5</v>
      </c>
      <c r="J6" t="inlineStr">
        <is>
          <t>P&amp;C</t>
        </is>
      </c>
      <c r="K6">
        <f>'2.7 Squad Detail'!$G$57</f>
        <v>15.0</v>
      </c>
    </row>
    <row r="7">
      <c r="A7" t="inlineStr">
        <is>
          <t>Build and Run</t>
        </is>
      </c>
      <c r="D7" t="n">
        <v>0.7</v>
      </c>
      <c r="J7" t="inlineStr">
        <is>
          <t>Finance</t>
        </is>
      </c>
      <c r="K7">
        <f>'2.7 Squad Detail'!$G$63</f>
        <v>20.0</v>
      </c>
    </row>
    <row r="8">
      <c r="A8" t="inlineStr">
        <is>
          <t>Strategic Programs</t>
        </is>
      </c>
      <c r="D8" t="n">
        <v>0.8</v>
      </c>
      <c r="J8" t="inlineStr">
        <is>
          <t>Infrastructure</t>
        </is>
      </c>
      <c r="K8">
        <f>'2.7 Squad Detail'!$G$71</f>
        <v>28.0</v>
      </c>
    </row>
    <row r="9">
      <c r="D9" t="n">
        <v>0.9</v>
      </c>
      <c r="J9" t="inlineStr">
        <is>
          <t>Energy Solutions &amp; B2B</t>
        </is>
      </c>
      <c r="K9">
        <f>'2.7 Squad Detail'!$G$77</f>
        <v>32.0</v>
      </c>
    </row>
    <row r="10">
      <c r="D10" t="n">
        <v>1</v>
      </c>
      <c r="J10" t="inlineStr">
        <is>
          <t>Commercial Fuels</t>
        </is>
      </c>
      <c r="K10">
        <f>'2.7 Squad Detail'!$G$85</f>
        <v>25.5</v>
      </c>
    </row>
    <row r="11">
      <c r="J11" t="inlineStr">
        <is>
          <t>Z Retail</t>
        </is>
      </c>
      <c r="K11">
        <f>'2.7 Squad Detail'!$G$91</f>
        <v>27.0</v>
      </c>
    </row>
    <row r="12">
      <c r="J12" t="inlineStr">
        <is>
          <t>TDD Cyber</t>
        </is>
      </c>
      <c r="K12">
        <f>'2.7 Squad Detail'!$G$94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2026-07-22T07:50:51Z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