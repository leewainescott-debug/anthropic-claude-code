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hidden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visible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3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</numFmts>
  <fonts count="9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</fonts>
  <fills count="50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244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48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45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squad archetypes were set as the design - they allow this many squad roles</t>
        </is>
      </c>
      <c r="C5" s="982">
        <f>'3.3 FTE View'!$F$95</f>
        <v>310.5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across squads, leadership and COEs - a third vacant</t>
        </is>
      </c>
      <c r="C6" s="982">
        <f>'3.3 FTE View'!$I$95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raised organisation costs today ($m)</t>
        </is>
      </c>
      <c r="C7" s="982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Over the archetype design by ($m)</t>
        </is>
      </c>
      <c r="C8" s="982">
        <f>'3.2 Total Cost'!$H$16</f>
        <v>17.1407004501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hire, hold or offshore every vacancy on the 2.x working copies - value on the table ($m)</t>
        </is>
      </c>
      <c r="C9" s="983">
        <f>'3.2 Total Cost'!$I$21</f>
        <v>86.5787701821</v>
      </c>
      <c r="D9" s="949" t="n"/>
      <c r="E9" s="949" t="n"/>
      <c r="F9" s="949" t="n"/>
      <c r="G9" s="949" t="n"/>
    </row>
    <row r="10">
      <c r="B10" s="289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Shared roles - leadership, Head of Technology, business partners and architects - are classified once in REVIEW and compared to the allowance on Lists. They are never added on top of a portfolio's cost.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(AmPOS, CTRM, P&amp;C, the EGI squads) have no rate in 0.3 - it is marked TBC - so they carry no archetype comparison.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Business partners and architects sit in the COEs, so a portfolio's column P adds only its share of those two, never its own leadership.</t>
        </is>
      </c>
      <c r="C15" s="287" t="n"/>
      <c r="D15" s="287" t="n"/>
      <c r="E15" s="287" t="n"/>
      <c r="F15" s="287" t="n"/>
      <c r="G15" s="287" t="n"/>
    </row>
    <row r="17">
      <c r="B17" s="289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984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+ COEs ($m)</t>
        </is>
      </c>
      <c r="C20" s="984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984">
        <f>'0.2 Data Config'!$E$27-'3.1 Group Summary'!$C$20</f>
        <v>3.3</v>
      </c>
      <c r="D21" s="949" t="n"/>
      <c r="E21" s="949" t="n"/>
      <c r="F21" s="949" t="n"/>
      <c r="G21" s="949" t="n"/>
    </row>
    <row r="22">
      <c r="B22" s="455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archetype-based portfolios ($m)</t>
        </is>
      </c>
      <c r="C23" s="984">
        <f>'3.2 Total Cost'!$G$16</f>
        <v>70.7</v>
      </c>
      <c r="D23" s="949" t="n"/>
      <c r="E23" s="949" t="n"/>
      <c r="F23" s="949" t="n"/>
      <c r="G23" s="949" t="n"/>
    </row>
    <row r="24">
      <c r="B24" s="285" t="inlineStr">
        <is>
          <t>Shared role allowance - leadership, Head of Tech, BP, architecture ($m)</t>
        </is>
      </c>
      <c r="C24" s="984">
        <f>Lists!$AI$6</f>
        <v>7.975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984">
        <f>('3.2 Total Cost'!$G$16+Lists!$AI$6)</f>
        <v>78.675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984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Actual over the designed cost by ($m)</t>
        </is>
      </c>
      <c r="C27" s="984">
        <f>'3.2 Total Cost'!$F$21-('3.2 Total Cost'!$G$16+Lists!$AI$6)</f>
        <v>36.4382622681</v>
      </c>
      <c r="D27" s="949" t="n"/>
      <c r="E27" s="949" t="n"/>
      <c r="F27" s="949" t="n"/>
      <c r="G27" s="949" t="n"/>
    </row>
    <row r="28">
      <c r="B28" s="285" t="inlineStr">
        <is>
          <t>Budget allocated less actual cost ($m)</t>
        </is>
      </c>
      <c r="C28" s="984">
        <f>'3.1 Group Summary'!$C$20-'3.2 Total Cost'!$F$21</f>
        <v>-64.6132622681</v>
      </c>
      <c r="D28" s="949" t="n"/>
      <c r="E28" s="949" t="n"/>
      <c r="F28" s="949" t="n"/>
      <c r="G28" s="949" t="n"/>
    </row>
    <row r="29">
      <c r="B29" s="455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+ vacant ($m)</t>
        </is>
      </c>
      <c r="C30" s="984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984">
        <f>'3.2 Total Cost'!$L$21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984">
        <f>'3.2 Total Cost'!$M$21</f>
        <v>28.534492086</v>
      </c>
      <c r="D32" s="949" t="n"/>
      <c r="E32" s="949" t="n"/>
      <c r="F32" s="949" t="n"/>
      <c r="G32" s="949" t="n"/>
    </row>
    <row r="33">
      <c r="B33" s="285" t="inlineStr">
        <is>
          <t>Difference vs the designed cost ($m)</t>
        </is>
      </c>
      <c r="C33" s="984">
        <f>'3.2 Total Cost'!$F$21-('3.2 Total Cost'!$G$16+Lists!$AI$6)</f>
        <v>36.4382622681</v>
      </c>
      <c r="D33" s="949" t="n"/>
      <c r="E33" s="949" t="n"/>
      <c r="F33" s="949" t="n"/>
      <c r="G33" s="949" t="n"/>
    </row>
    <row r="35">
      <c r="B35" s="289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squads at their set sizes</t>
        </is>
      </c>
      <c r="C36" s="458">
        <f>'3.3 FTE View'!$F$95</f>
        <v>310.5</v>
      </c>
      <c r="D36" s="949" t="n"/>
      <c r="E36" s="949" t="n"/>
      <c r="F36" s="949" t="n"/>
      <c r="G36" s="949" t="n"/>
    </row>
    <row r="37">
      <c r="B37" s="285" t="inlineStr">
        <is>
          <t>Roles actually raised in the archetype-based portfolios</t>
        </is>
      </c>
      <c r="C37" s="458">
        <f>'3.2 Total Cost'!$C$16</f>
        <v>414</v>
      </c>
      <c r="D37" s="949" t="n"/>
      <c r="E37" s="949" t="n"/>
      <c r="F37" s="949" t="n"/>
      <c r="G37" s="949" t="n"/>
    </row>
    <row r="38">
      <c r="B38" s="285" t="inlineStr">
        <is>
          <t>Roles raised beyond the archetypes</t>
        </is>
      </c>
      <c r="C38" s="458">
        <f>'3.2 Total Cost'!$C$16-'3.3 FTE View'!$F$95</f>
        <v>103.5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budget, not archetypes</t>
        </is>
      </c>
      <c r="C39" s="458">
        <f>'3.2 Total Cost'!$C$21-'3.2 Total Cost'!$C$16</f>
        <v>111</v>
      </c>
      <c r="D39" s="949" t="n"/>
      <c r="E39" s="949" t="n"/>
      <c r="F39" s="949" t="n"/>
      <c r="G39" s="949" t="n"/>
    </row>
    <row r="40">
      <c r="B40" s="285" t="inlineStr">
        <is>
          <t>All org roles (squads + leadership + COEs + unmapped)</t>
        </is>
      </c>
      <c r="C40" s="458">
        <f>'3.3 FTE View'!$I$95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458">
        <f>'3.3 FTE View'!$G$95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458">
        <f>'3.3 FTE View'!$H$95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458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458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459">
        <f>'3.3 FTE View'!$L$95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289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984">
        <f>'3.2 Total Cost'!$L$21</f>
        <v>86.5787701821</v>
      </c>
      <c r="D49" s="949" t="n"/>
      <c r="E49" s="949" t="n"/>
      <c r="F49" s="949" t="n"/>
      <c r="G49" s="949" t="n"/>
    </row>
    <row r="50">
      <c r="B50" s="285" t="inlineStr">
        <is>
          <t>Filled roles over/(under) the squad archetype cost ($m)</t>
        </is>
      </c>
      <c r="C50" s="984">
        <f>'3.2 Total Cost'!$L$21-'3.2 Total Cost'!$G$16</f>
        <v>15.8787701821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984">
        <f>'3.2 Total Cost'!$M$21</f>
        <v>28.534492086</v>
      </c>
      <c r="D51" s="949" t="n"/>
      <c r="E51" s="949" t="n"/>
      <c r="F51" s="949" t="n"/>
      <c r="G51" s="949" t="n"/>
    </row>
    <row r="52">
      <c r="B52" s="285" t="inlineStr">
        <is>
          <t>of which squad roles - the 2.x working tab lever ($m)</t>
        </is>
      </c>
      <c r="C52" s="984">
        <f>SUMIFS('REVIEW - Complete Role Mapping'!$AA$2:$AA$528,'REVIEW - Complete Role Mapping'!$AR$2:$AR$528,"Squad",'REVIEW - Complete Role Mapping'!$AK$2:$AK$528,"Vacant")/1000000</f>
        <v>22.713886798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Taking the design OVER the archetypes by ($m)</t>
        </is>
      </c>
      <c r="C54" s="984">
        <f>'3.2 Total Cost'!$H$16</f>
        <v>17.1407004501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984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984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2.4 ($m)</t>
        </is>
      </c>
      <c r="C59" s="984">
        <f>'3.4 COE Summary'!$H$11</f>
        <v>4.94341935</v>
      </c>
      <c r="D59" s="949" t="n"/>
      <c r="E59" s="949" t="n"/>
      <c r="F59" s="949" t="n"/>
      <c r="G59" s="949" t="n"/>
    </row>
    <row r="61">
      <c r="B61" s="289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460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Lights On budget ($m)</t>
        </is>
      </c>
      <c r="C64" s="984">
        <f>INDEX('3.1 Group Summary'!$C$6:$C$16,MATCH($C$63,'3.1 Group Summary'!$B$6:$B$16,0))</f>
        <v>5.5</v>
      </c>
      <c r="D64" s="949" t="n"/>
      <c r="E64" s="949" t="n"/>
      <c r="F64" s="949" t="n"/>
      <c r="G64" s="949" t="n"/>
    </row>
    <row r="65">
      <c r="B65" s="285" t="inlineStr">
        <is>
          <t>TDD Cost ($m)</t>
        </is>
      </c>
      <c r="C65" s="984">
        <f>INDEX('3.1 Group Summary'!$D$6:$D$16,MATCH($C$63,'3.1 Group Summary'!$B$6:$B$16,0))</f>
        <v>14.005227457</v>
      </c>
    </row>
    <row r="66">
      <c r="B66" s="285" t="inlineStr">
        <is>
          <t>TDD Variance - to fund ($m)</t>
        </is>
      </c>
      <c r="C66" s="985">
        <f>-INDEX('3.1 Group Summary'!$E$6:$E$16,MATCH($C$63,'3.1 Group Summary'!$B$6:$B$16,0))</f>
        <v>8.505227457</v>
      </c>
    </row>
    <row r="67">
      <c r="B67" s="285" t="inlineStr">
        <is>
          <t>Funded outside TDD ($m)</t>
        </is>
      </c>
      <c r="C67" s="984">
        <f>INDEX('3.1 Group Summary'!$I$6:$I$16,MATCH($C$63,'3.1 Group Summary'!$B$6:$B$16,0))</f>
        <v>22</v>
      </c>
    </row>
    <row r="68">
      <c r="B68" s="285" t="inlineStr">
        <is>
          <t>Allocated outside TDD ($m)</t>
        </is>
      </c>
      <c r="C68" s="984">
        <f>INDEX('3.1 Group Summary'!$J$6:$J$16,MATCH($C$63,'3.1 Group Summary'!$B$6:$B$16,0))</f>
        <v>9.695704767</v>
      </c>
    </row>
    <row r="69">
      <c r="B69" s="285" t="inlineStr">
        <is>
          <t>Left to fund ($m)</t>
        </is>
      </c>
      <c r="C69" s="984">
        <f>INDEX('3.1 Group Summary'!$K$6:$K$16,MATCH($C$63,'3.1 Group Summary'!$B$6:$B$16,0))</f>
        <v>0</v>
      </c>
    </row>
    <row r="70">
      <c r="B70" s="285" t="inlineStr">
        <is>
          <t>Total cost ($m)</t>
        </is>
      </c>
      <c r="C70" s="984">
        <f>INDEX('3.1 Group Summary'!$M$6:$M$16,MATCH($C$63,'3.1 Group Summary'!$B$6:$B$16,0))</f>
        <v>0</v>
      </c>
    </row>
    <row r="71">
      <c r="B71" s="285" t="inlineStr">
        <is>
          <t>Archetype squad roles allowed</t>
        </is>
      </c>
      <c r="C71" s="986">
        <f>INDEX(Lists!$K$2:$K$12,MATCH($C$63,Lists!$J$2:$J$12,0))</f>
        <v>3</v>
      </c>
    </row>
    <row r="72">
      <c r="B72" s="285" t="inlineStr">
        <is>
          <t>Org roles (excl leadership)</t>
        </is>
      </c>
      <c r="C72" s="458">
        <f>COUNTIFS('REVIEW - Complete Role Mapping'!$AJ$2:$AJ$530,$C$63,'REVIEW - Complete Role Mapping'!$AQ$2:$AQ$530,0)</f>
        <v>65</v>
      </c>
    </row>
    <row r="73">
      <c r="B73" s="285" t="inlineStr">
        <is>
          <t>Filled</t>
        </is>
      </c>
      <c r="C73" s="458">
        <f>COUNTIFS('REVIEW - Complete Role Mapping'!$AJ$2:$AJ$530,$C$63,'REVIEW - Complete Role Mapping'!$AQ$2:$AQ$530,0,'REVIEW - Complete Role Mapping'!$AK$2:$AK$530,"Filled")</f>
        <v>43</v>
      </c>
    </row>
    <row r="74">
      <c r="B74" s="285" t="inlineStr">
        <is>
          <t>Vacant</t>
        </is>
      </c>
      <c r="C74" s="458">
        <f>COUNTIFS('REVIEW - Complete Role Mapping'!$AJ$2:$AJ$530,$C$63,'REVIEW - Complete Role Mapping'!$AQ$2:$AQ$530,0,'REVIEW - Complete Role Mapping'!$AK$2:$AK$530,"Vacant")</f>
        <v>22</v>
      </c>
    </row>
    <row r="75">
      <c r="B75" s="285" t="inlineStr">
        <is>
          <t>Leadership roles</t>
        </is>
      </c>
      <c r="C75" s="458">
        <f>COUNTIFS('REVIEW - Complete Role Mapping'!$AJ$2:$AJ$530,$C$63,'REVIEW - Complete Role Mapping'!$AQ$2:$AQ$530,1)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1" allowBlank="1" errorTitle="Invalid entry" error="Pick a value from the list" type="list">
      <formula1>"Ampol Retail,Customer,Enterprise Data,TDD Group Functions,P&amp;C,Finance,Infrastructure,Energy Solutions &amp; B2B,Commercial Fuels,Z Retail,TDD Cyber"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Spend</t>
        </is>
      </c>
      <c r="G5" s="467" t="inlineStr">
        <is>
          <t>Variance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'3.4 COE Summary'!$F$8</f>
        <v>3.958617086</v>
      </c>
      <c r="G6" s="989">
        <f>SUM(E6-F6)</f>
        <v>-1.958617086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SUM(E7-F7)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'3.4 COE Summary'!$F$7</f>
        <v>3.10799923</v>
      </c>
      <c r="G8" s="989">
        <f>SUM(E8-F8)</f>
        <v>-1.10799923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>
        <f>'3.4 COE Summary'!$F$6</f>
        <v>3.292562592</v>
      </c>
      <c r="G9" s="989">
        <f>SUM(E9-F9)</f>
        <v>-1.292562592</v>
      </c>
      <c r="H9" s="949" t="n"/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>
        <f>'3.4 COE Summary'!$F$9</f>
        <v>2.072105266</v>
      </c>
      <c r="G10" s="989">
        <f>SUM(E10-F10)</f>
        <v>-0.0721052659999999</v>
      </c>
      <c r="H10" s="949" t="n"/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('1.1 Ampol Retail'!$C$9+'1.1 Ampol Retail'!$D$9)</f>
        <v>6.0795</v>
      </c>
      <c r="G11" s="993">
        <f>SUM(E11-F11)</f>
        <v>-0.5795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('1.10 Z Retail'!$C$9+'1.10 Z Retail'!$D$9)</f>
        <v>6.6195</v>
      </c>
      <c r="G12" s="993">
        <f>SUM(E12-F12)</f>
        <v>-0.119500000000001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('1.2 Customer'!$C$9+'1.2 Customer'!$D$9)</f>
        <v>8.1445</v>
      </c>
      <c r="G13" s="988">
        <f>($E$13+$E$14)-$F$13</f>
        <v>-1.6445</v>
      </c>
      <c r="H13" s="994" t="inlineStr">
        <is>
          <t>Customer budget is rows 13+14 combined; F13 carries the whole portfolio</t>
        </is>
      </c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/>
      <c r="G14" s="988" t="str">
        <f>"see row 13"</f>
        <v>see row 13</v>
      </c>
      <c r="H14" s="949" t="n"/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'1.9 Commercial Fuels'!C9</f>
        <v>2.5525</v>
      </c>
      <c r="G15" s="993">
        <f>SUM(E15-F15)</f>
        <v>-0.0525000000000002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('1.8 Energy Solutions &amp; B2B'!$C$9+'1.8 Energy Solutions &amp; B2B'!$D$9)</f>
        <v>3.0275</v>
      </c>
      <c r="G16" s="993">
        <f>SUM(E16-F16)</f>
        <v>-0.5275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('1.7 Infrastructure'!$C$10+'1.7 Infrastructure'!$D$10)</f>
        <v>3.0525</v>
      </c>
      <c r="G17" s="993">
        <f>SUM(E17-F17)</f>
        <v>-0.5525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('1.5 P&amp;C'!$C$9+'1.5 P&amp;C'!$D$9)</f>
        <v>2.0125</v>
      </c>
      <c r="G18" s="993">
        <f>SUM(E18-F18)</f>
        <v>-0.0125000000000002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('1.6 Finance'!$C$9+'1.6 Finance'!$D$9)</f>
        <v>2.6425</v>
      </c>
      <c r="G19" s="993">
        <f>SUM(E19-F19)</f>
        <v>-0.6425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/>
      <c r="G20" s="988" t="n"/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('1.4 TDD Group Functions'!$C$9+'1.4 TDD Group Functions'!$D$9)</f>
        <v>5.4525</v>
      </c>
      <c r="G21" s="988">
        <f>SUM(E21-F21)</f>
        <v>0.0474999999999994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('1.3 Enterprise Data'!$C$9+'1.3 Enterprise Data'!$D$9)</f>
        <v>2.9785</v>
      </c>
      <c r="G22" s="988">
        <f>SUM(E22-F22)</f>
        <v>0.5215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'1.13 Cyber Roles'!$F$8</f>
        <v>9.897858294</v>
      </c>
      <c r="G23" s="993">
        <f>SUM(E23-F23)</f>
        <v>-6.397858294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/>
      <c r="G24" s="988" t="n"/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 t="n"/>
      <c r="G25" s="988" t="n"/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64.891142468</v>
      </c>
      <c r="G26" s="989">
        <f>SUM(G6:G25)</f>
        <v>-14.391142468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inlineStr">
        <is>
          <t>Engineering|S</t>
        </is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inlineStr">
        <is>
          <t>Engineering|M</t>
        </is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inlineStr">
        <is>
          <t>Engineering|L</t>
        </is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inlineStr">
        <is>
          <t>Configuration / Integration|XS</t>
        </is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inlineStr">
        <is>
          <t>Configuration / Integration|S</t>
        </is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inlineStr">
        <is>
          <t>Configuration / Integration|M</t>
        </is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inlineStr">
        <is>
          <t>Configuration / Integration|L</t>
        </is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inlineStr">
        <is>
          <t>Product|S</t>
        </is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inlineStr">
        <is>
          <t>Product|M</t>
        </is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inlineStr">
        <is>
          <t>Product|L</t>
        </is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inlineStr">
        <is>
          <t>Operations|S</t>
        </is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inlineStr">
        <is>
          <t>Operations|M</t>
        </is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inlineStr">
        <is>
          <t>Operations|L</t>
        </is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inlineStr">
        <is>
          <t>Enterprise Data and Insights|S</t>
        </is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inlineStr">
        <is>
          <t>Enterprise Data and Insights|M</t>
        </is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inlineStr">
        <is>
          <t>Enterprise Data and Insights|L</t>
        </is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inlineStr">
        <is>
          <t>Build and Run|S</t>
        </is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inlineStr">
        <is>
          <t>Build and Run|M</t>
        </is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inlineStr">
        <is>
          <t>Build and Run|L</t>
        </is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S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Cost class</t>
        </is>
      </c>
      <c r="AS1" s="1030" t="inlineStr">
        <is>
          <t>Squad name on design tab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U2*(1+V2+X2+Z2)+Y2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IFERROR(INDEX(Lists!$U$1:$U$25,MATCH($I2,Lists!$T$1:$T$25,0)),"?")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technology",$C2)),"Head of Technology",IF(ISNUMBER(SEARCH("TDD BP",$C2)),"Business Partner",IF(OR(ISNUMBER(SEARCH("domain architect",$C2)),ISNUMBER(SEARCH("enterprise architect",$C2))),"Architecture",IF($AQ2=1,"Leadership","Squad")))))</f>
        <v>Squad</v>
      </c>
      <c r="AS2" t="str">
        <f>IF(TRIM($B2)="","",IFERROR(INDEX(Lists!$AA:$AA,MATCH($AP2,Lists!$Z:$Z,0)),$AP2))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U3*(1+V3+W3+X3+Y3+Z3)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IFERROR(INDEX(Lists!$U$1:$U$25,MATCH($I3,Lists!$T$1:$T$25,0)),"?")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technology",$C3)),"Head of Technology",IF(ISNUMBER(SEARCH("TDD BP",$C3)),"Business Partner",IF(OR(ISNUMBER(SEARCH("domain architect",$C3)),ISNUMBER(SEARCH("enterprise architect",$C3))),"Architecture",IF($AQ3=1,"Leadership","Squad")))))</f>
        <v>Squad</v>
      </c>
      <c r="AS3" t="str">
        <f>IF(TRIM($B3)="","",IFERROR(INDEX(Lists!$AA:$AA,MATCH($AP3,Lists!$Z:$Z,0)),$AP3))</f>
        <v>Network /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S4*222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IFERROR(INDEX(Lists!$U$1:$U$25,MATCH($I4,Lists!$T$1:$T$25,0)),"?")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technology",$C4)),"Head of Technology",IF(ISNUMBER(SEARCH("TDD BP",$C4)),"Business Partner",IF(OR(ISNUMBER(SEARCH("domain architect",$C4)),ISNUMBER(SEARCH("enterprise architect",$C4))),"Architecture",IF($AQ4=1,"Leadership","Squad")))))</f>
        <v>Squad</v>
      </c>
      <c r="AS4" t="str">
        <f>IF(TRIM($B4)="","",IFERROR(INDEX(Lists!$AA:$AA,MATCH($AP4,Lists!$Z:$Z,0)),$AP4))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U5*(1+V5+X5+Z5)+Y5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IFERROR(INDEX(Lists!$U$1:$U$25,MATCH($I5,Lists!$T$1:$T$25,0)),"?")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technology",$C5)),"Head of Technology",IF(ISNUMBER(SEARCH("TDD BP",$C5)),"Business Partner",IF(OR(ISNUMBER(SEARCH("domain architect",$C5)),ISNUMBER(SEARCH("enterprise architect",$C5))),"Architecture",IF($AQ5=1,"Leadership","Squad")))))</f>
        <v>Squad</v>
      </c>
      <c r="AS5" t="str">
        <f>IF(TRIM($B5)="","",IFERROR(INDEX(Lists!$AA:$AA,MATCH($AP5,Lists!$Z:$Z,0)),$AP5))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U6*(1+V6+X6+Z6)+Y6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IFERROR(INDEX(Lists!$U$1:$U$25,MATCH($I6,Lists!$T$1:$T$25,0)),"?")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technology",$C6)),"Head of Technology",IF(ISNUMBER(SEARCH("TDD BP",$C6)),"Business Partner",IF(OR(ISNUMBER(SEARCH("domain architect",$C6)),ISNUMBER(SEARCH("enterprise architect",$C6))),"Architecture",IF($AQ6=1,"Leadership","Squad")))))</f>
        <v>Squad</v>
      </c>
      <c r="AS6" t="str">
        <f>IF(TRIM($B6)="","",IFERROR(INDEX(Lists!$AA:$AA,MATCH($AP6,Lists!$Z:$Z,0)),$AP6))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U7*(1+V7+W7+X7+Y7+Z7)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IFERROR(INDEX(Lists!$U$1:$U$25,MATCH($I7,Lists!$T$1:$T$25,0)),"?")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technology",$C7)),"Head of Technology",IF(ISNUMBER(SEARCH("TDD BP",$C7)),"Business Partner",IF(OR(ISNUMBER(SEARCH("domain architect",$C7)),ISNUMBER(SEARCH("enterprise architect",$C7))),"Architecture",IF($AQ7=1,"Leadership","Squad")))))</f>
        <v>Squad</v>
      </c>
      <c r="AS7" t="str">
        <f>IF(TRIM($B7)="","",IFERROR(INDEX(Lists!$AA:$AA,MATCH($AP7,Lists!$Z:$Z,0)),$AP7))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U8*(1+V8+W8+X8+Y8+Z8)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IFERROR(INDEX(Lists!$U$1:$U$25,MATCH($I8,Lists!$T$1:$T$25,0)),"?")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technology",$C8)),"Head of Technology",IF(ISNUMBER(SEARCH("TDD BP",$C8)),"Business Partner",IF(OR(ISNUMBER(SEARCH("domain architect",$C8)),ISNUMBER(SEARCH("enterprise architect",$C8))),"Architecture",IF($AQ8=1,"Leadership","Squad")))))</f>
        <v>Squad</v>
      </c>
      <c r="AS8" t="str">
        <f>IF(TRIM($B8)="","",IFERROR(INDEX(Lists!$AA:$AA,MATCH($AP8,Lists!$Z:$Z,0)),$AP8))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U9*(1+V9+X9+Z9)+Y9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IFERROR(INDEX(Lists!$U$1:$U$25,MATCH($I9,Lists!$T$1:$T$25,0)),"?")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technology",$C9)),"Head of Technology",IF(ISNUMBER(SEARCH("TDD BP",$C9)),"Business Partner",IF(OR(ISNUMBER(SEARCH("domain architect",$C9)),ISNUMBER(SEARCH("enterprise architect",$C9))),"Architecture",IF($AQ9=1,"Leadership","Squad")))))</f>
        <v>Squad</v>
      </c>
      <c r="AS9" t="str">
        <f>IF(TRIM($B9)="","",IFERROR(INDEX(Lists!$AA:$AA,MATCH($AP9,Lists!$Z:$Z,0)),$AP9))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U10*(1+V10+X10+Z10)+Y10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IFERROR(INDEX(Lists!$U$1:$U$25,MATCH($I10,Lists!$T$1:$T$25,0)),"?")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technology",$C10)),"Head of Technology",IF(ISNUMBER(SEARCH("TDD BP",$C10)),"Business Partner",IF(OR(ISNUMBER(SEARCH("domain architect",$C10)),ISNUMBER(SEARCH("enterprise architect",$C10))),"Architecture",IF($AQ10=1,"Leadership","Squad")))))</f>
        <v>Squad</v>
      </c>
      <c r="AS10" t="str">
        <f>IF(TRIM($B10)="","",IFERROR(INDEX(Lists!$AA:$AA,MATCH($AP10,Lists!$Z:$Z,0)),$AP10))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U11*(1+V11+W11+X11+Y11+Z11)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IFERROR(INDEX(Lists!$U$1:$U$25,MATCH($I11,Lists!$T$1:$T$25,0)),"?")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technology",$C11)),"Head of Technology",IF(ISNUMBER(SEARCH("TDD BP",$C11)),"Business Partner",IF(OR(ISNUMBER(SEARCH("domain architect",$C11)),ISNUMBER(SEARCH("enterprise architect",$C11))),"Architecture",IF($AQ11=1,"Leadership","Squad")))))</f>
        <v>Squad</v>
      </c>
      <c r="AS11" t="str">
        <f>IF(TRIM($B11)="","",IFERROR(INDEX(Lists!$AA:$AA,MATCH($AP11,Lists!$Z:$Z,0)),$AP11))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U12*(1+V12+X12+Z12)+Y12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IFERROR(INDEX(Lists!$U$1:$U$25,MATCH($I12,Lists!$T$1:$T$25,0)),"?")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technology",$C12)),"Head of Technology",IF(ISNUMBER(SEARCH("TDD BP",$C12)),"Business Partner",IF(OR(ISNUMBER(SEARCH("domain architect",$C12)),ISNUMBER(SEARCH("enterprise architect",$C12))),"Architecture",IF($AQ12=1,"Leadership","Squad")))))</f>
        <v>Squad</v>
      </c>
      <c r="AS12" t="str">
        <f>IF(TRIM($B12)="","",IFERROR(INDEX(Lists!$AA:$AA,MATCH($AP12,Lists!$Z:$Z,0)),$AP12))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U13*(1+V13+W13+X13+Y13+Z13)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IFERROR(INDEX(Lists!$U$1:$U$25,MATCH($I13,Lists!$T$1:$T$25,0)),"?")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technology",$C13)),"Head of Technology",IF(ISNUMBER(SEARCH("TDD BP",$C13)),"Business Partner",IF(OR(ISNUMBER(SEARCH("domain architect",$C13)),ISNUMBER(SEARCH("enterprise architect",$C13))),"Architecture",IF($AQ13=1,"Leadership","Squad")))))</f>
        <v>Squad</v>
      </c>
      <c r="AS13" t="str">
        <f>IF(TRIM($B13)="","",IFERROR(INDEX(Lists!$AA:$AA,MATCH($AP13,Lists!$Z:$Z,0)),$AP13))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U14*(1+V14+W14+X14+Y14+Z14)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IFERROR(INDEX(Lists!$U$1:$U$25,MATCH($I14,Lists!$T$1:$T$25,0)),"?")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technology",$C14)),"Head of Technology",IF(ISNUMBER(SEARCH("TDD BP",$C14)),"Business Partner",IF(OR(ISNUMBER(SEARCH("domain architect",$C14)),ISNUMBER(SEARCH("enterprise architect",$C14))),"Architecture",IF($AQ14=1,"Leadership","Squad")))))</f>
        <v>Squad</v>
      </c>
      <c r="AS14" t="str">
        <f>IF(TRIM($B14)="","",IFERROR(INDEX(Lists!$AA:$AA,MATCH($AP14,Lists!$Z:$Z,0)),$AP14))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U15*(1+V15+X15+Z15)+Y15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IFERROR(INDEX(Lists!$U$1:$U$25,MATCH($I15,Lists!$T$1:$T$25,0)),"?")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technology",$C15)),"Head of Technology",IF(ISNUMBER(SEARCH("TDD BP",$C15)),"Business Partner",IF(OR(ISNUMBER(SEARCH("domain architect",$C15)),ISNUMBER(SEARCH("enterprise architect",$C15))),"Architecture",IF($AQ15=1,"Leadership","Squad")))))</f>
        <v>Squad</v>
      </c>
      <c r="AS15" t="str">
        <f>IF(TRIM($B15)="","",IFERROR(INDEX(Lists!$AA:$AA,MATCH($AP15,Lists!$Z:$Z,0)),$AP15))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U16*(1+V16+X16+Z16)+Y16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IFERROR(INDEX(Lists!$U$1:$U$25,MATCH($I16,Lists!$T$1:$T$25,0)),"?")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technology",$C16)),"Head of Technology",IF(ISNUMBER(SEARCH("TDD BP",$C16)),"Business Partner",IF(OR(ISNUMBER(SEARCH("domain architect",$C16)),ISNUMBER(SEARCH("enterprise architect",$C16))),"Architecture",IF($AQ16=1,"Leadership","Squad")))))</f>
        <v>Squad</v>
      </c>
      <c r="AS16" t="str">
        <f>IF(TRIM($B16)="","",IFERROR(INDEX(Lists!$AA:$AA,MATCH($AP16,Lists!$Z:$Z,0)),$AP16))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U17*(1+V17+X17+Z17)+Y17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IFERROR(INDEX(Lists!$U$1:$U$25,MATCH($I17,Lists!$T$1:$T$25,0)),"?")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technology",$C17)),"Head of Technology",IF(ISNUMBER(SEARCH("TDD BP",$C17)),"Business Partner",IF(OR(ISNUMBER(SEARCH("domain architect",$C17)),ISNUMBER(SEARCH("enterprise architect",$C17))),"Architecture",IF($AQ17=1,"Leadership","Squad")))))</f>
        <v>Squad</v>
      </c>
      <c r="AS17" t="str">
        <f>IF(TRIM($B17)="","",IFERROR(INDEX(Lists!$AA:$AA,MATCH($AP17,Lists!$Z:$Z,0)),$AP17))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U18*(1+V18+X18+Z18)+Y18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IFERROR(INDEX(Lists!$U$1:$U$25,MATCH($I18,Lists!$T$1:$T$25,0)),"?")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technology",$C18)),"Head of Technology",IF(ISNUMBER(SEARCH("TDD BP",$C18)),"Business Partner",IF(OR(ISNUMBER(SEARCH("domain architect",$C18)),ISNUMBER(SEARCH("enterprise architect",$C18))),"Architecture",IF($AQ18=1,"Leadership","Squad")))))</f>
        <v>Leadership</v>
      </c>
      <c r="AS18" t="str">
        <f>IF(TRIM($B18)="","",IFERROR(INDEX(Lists!$AA:$AA,MATCH($AP18,Lists!$Z:$Z,0)),$AP18))</f>
        <v>Leadership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U19*(1+V19+X19+Z19)+Y19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IFERROR(INDEX(Lists!$U$1:$U$25,MATCH($I19,Lists!$T$1:$T$25,0)),"?")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technology",$C19)),"Head of Technology",IF(ISNUMBER(SEARCH("TDD BP",$C19)),"Business Partner",IF(OR(ISNUMBER(SEARCH("domain architect",$C19)),ISNUMBER(SEARCH("enterprise architect",$C19))),"Architecture",IF($AQ19=1,"Leadership","Squad")))))</f>
        <v>Squad</v>
      </c>
      <c r="AS19" t="str">
        <f>IF(TRIM($B19)="","",IFERROR(INDEX(Lists!$AA:$AA,MATCH($AP19,Lists!$Z:$Z,0)),$AP19))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U20*(1+V20+X20+Z20)+Y20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IFERROR(INDEX(Lists!$U$1:$U$25,MATCH($I20,Lists!$T$1:$T$25,0)),"?")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technology",$C20)),"Head of Technology",IF(ISNUMBER(SEARCH("TDD BP",$C20)),"Business Partner",IF(OR(ISNUMBER(SEARCH("domain architect",$C20)),ISNUMBER(SEARCH("enterprise architect",$C20))),"Architecture",IF($AQ20=1,"Leadership","Squad")))))</f>
        <v>Squad</v>
      </c>
      <c r="AS20" t="str">
        <f>IF(TRIM($B20)="","",IFERROR(INDEX(Lists!$AA:$AA,MATCH($AP20,Lists!$Z:$Z,0)),$AP20))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U21*(1+V21+X21+Z21)+Y21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IFERROR(INDEX(Lists!$U$1:$U$25,MATCH($I21,Lists!$T$1:$T$25,0)),"?")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technology",$C21)),"Head of Technology",IF(ISNUMBER(SEARCH("TDD BP",$C21)),"Business Partner",IF(OR(ISNUMBER(SEARCH("domain architect",$C21)),ISNUMBER(SEARCH("enterprise architect",$C21))),"Architecture",IF($AQ21=1,"Leadership","Squad")))))</f>
        <v>Squad</v>
      </c>
      <c r="AS21" t="str">
        <f>IF(TRIM($B21)="","",IFERROR(INDEX(Lists!$AA:$AA,MATCH($AP21,Lists!$Z:$Z,0)),$AP21))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U22*(1+V22+W22+X22+Y22+Z22)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IFERROR(INDEX(Lists!$U$1:$U$25,MATCH($I22,Lists!$T$1:$T$25,0)),"?")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technology",$C22)),"Head of Technology",IF(ISNUMBER(SEARCH("TDD BP",$C22)),"Business Partner",IF(OR(ISNUMBER(SEARCH("domain architect",$C22)),ISNUMBER(SEARCH("enterprise architect",$C22))),"Architecture",IF($AQ22=1,"Leadership","Squad")))))</f>
        <v>Squad</v>
      </c>
      <c r="AS22" t="str">
        <f>IF(TRIM($B22)="","",IFERROR(INDEX(Lists!$AA:$AA,MATCH($AP22,Lists!$Z:$Z,0)),$AP22))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U23*(1+V23+W23+X23+Y23+Z23)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IFERROR(INDEX(Lists!$U$1:$U$25,MATCH($I23,Lists!$T$1:$T$25,0)),"?")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technology",$C23)),"Head of Technology",IF(ISNUMBER(SEARCH("TDD BP",$C23)),"Business Partner",IF(OR(ISNUMBER(SEARCH("domain architect",$C23)),ISNUMBER(SEARCH("enterprise architect",$C23))),"Architecture",IF($AQ23=1,"Leadership","Squad")))))</f>
        <v>Leadership</v>
      </c>
      <c r="AS23" t="str">
        <f>IF(TRIM($B23)="","",IFERROR(INDEX(Lists!$AA:$AA,MATCH($AP23,Lists!$Z:$Z,0)),$AP23))</f>
        <v>Leadership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U24*(1+V24+X24+Z24)+Y24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IFERROR(INDEX(Lists!$U$1:$U$25,MATCH($I24,Lists!$T$1:$T$25,0)),"?")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technology",$C24)),"Head of Technology",IF(ISNUMBER(SEARCH("TDD BP",$C24)),"Business Partner",IF(OR(ISNUMBER(SEARCH("domain architect",$C24)),ISNUMBER(SEARCH("enterprise architect",$C24))),"Architecture",IF($AQ24=1,"Leadership","Squad")))))</f>
        <v>Squad</v>
      </c>
      <c r="AS24" t="str">
        <f>IF(TRIM($B24)="","",IFERROR(INDEX(Lists!$AA:$AA,MATCH($AP24,Lists!$Z:$Z,0)),$AP24))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U25*(1+V25+X25+Z25)+Y25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IFERROR(INDEX(Lists!$U$1:$U$25,MATCH($I25,Lists!$T$1:$T$25,0)),"?")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technology",$C25)),"Head of Technology",IF(ISNUMBER(SEARCH("TDD BP",$C25)),"Business Partner",IF(OR(ISNUMBER(SEARCH("domain architect",$C25)),ISNUMBER(SEARCH("enterprise architect",$C25))),"Architecture",IF($AQ25=1,"Leadership","Squad")))))</f>
        <v>Squad</v>
      </c>
      <c r="AS25" t="str">
        <f>IF(TRIM($B25)="","",IFERROR(INDEX(Lists!$AA:$AA,MATCH($AP25,Lists!$Z:$Z,0)),$AP25))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U26*(1+V26+W26+X26+Y26+Z26)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IFERROR(INDEX(Lists!$U$1:$U$25,MATCH($I26,Lists!$T$1:$T$25,0)),"?")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technology",$C26)),"Head of Technology",IF(ISNUMBER(SEARCH("TDD BP",$C26)),"Business Partner",IF(OR(ISNUMBER(SEARCH("domain architect",$C26)),ISNUMBER(SEARCH("enterprise architect",$C26))),"Architecture",IF($AQ26=1,"Leadership","Squad")))))</f>
        <v>Squad</v>
      </c>
      <c r="AS26" t="str">
        <f>IF(TRIM($B26)="","",IFERROR(INDEX(Lists!$AA:$AA,MATCH($AP26,Lists!$Z:$Z,0)),$AP26))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U27*(1+V27+W27+X27+Y27+Z27)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IFERROR(INDEX(Lists!$U$1:$U$25,MATCH($I27,Lists!$T$1:$T$25,0)),"?")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technology",$C27)),"Head of Technology",IF(ISNUMBER(SEARCH("TDD BP",$C27)),"Business Partner",IF(OR(ISNUMBER(SEARCH("domain architect",$C27)),ISNUMBER(SEARCH("enterprise architect",$C27))),"Architecture",IF($AQ27=1,"Leadership","Squad")))))</f>
        <v>Squad</v>
      </c>
      <c r="AS27" t="str">
        <f>IF(TRIM($B27)="","",IFERROR(INDEX(Lists!$AA:$AA,MATCH($AP27,Lists!$Z:$Z,0)),$AP27))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U28*(1+V28+X28+Z28)+Y28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IFERROR(INDEX(Lists!$U$1:$U$25,MATCH($I28,Lists!$T$1:$T$25,0)),"?")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technology",$C28)),"Head of Technology",IF(ISNUMBER(SEARCH("TDD BP",$C28)),"Business Partner",IF(OR(ISNUMBER(SEARCH("domain architect",$C28)),ISNUMBER(SEARCH("enterprise architect",$C28))),"Architecture",IF($AQ28=1,"Leadership","Squad")))))</f>
        <v>Squad</v>
      </c>
      <c r="AS28" t="str">
        <f>IF(TRIM($B28)="","",IFERROR(INDEX(Lists!$AA:$AA,MATCH($AP28,Lists!$Z:$Z,0)),$AP28))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U29*(1+V29+W29+X29+Y29+Z29)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IFERROR(INDEX(Lists!$U$1:$U$25,MATCH($I29,Lists!$T$1:$T$25,0)),"?")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technology",$C29)),"Head of Technology",IF(ISNUMBER(SEARCH("TDD BP",$C29)),"Business Partner",IF(OR(ISNUMBER(SEARCH("domain architect",$C29)),ISNUMBER(SEARCH("enterprise architect",$C29))),"Architecture",IF($AQ29=1,"Leadership","Squad")))))</f>
        <v>Squad</v>
      </c>
      <c r="AS29" t="str">
        <f>IF(TRIM($B29)="","",IFERROR(INDEX(Lists!$AA:$AA,MATCH($AP29,Lists!$Z:$Z,0)),$AP29))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U30*(1+V30+X30+Z30)+Y30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IFERROR(INDEX(Lists!$U$1:$U$25,MATCH($I30,Lists!$T$1:$T$25,0)),"?")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technology",$C30)),"Head of Technology",IF(ISNUMBER(SEARCH("TDD BP",$C30)),"Business Partner",IF(OR(ISNUMBER(SEARCH("domain architect",$C30)),ISNUMBER(SEARCH("enterprise architect",$C30))),"Architecture",IF($AQ30=1,"Leadership","Squad")))))</f>
        <v>Squad</v>
      </c>
      <c r="AS30" t="str">
        <f>IF(TRIM($B30)="","",IFERROR(INDEX(Lists!$AA:$AA,MATCH($AP30,Lists!$Z:$Z,0)),$AP30))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U31*(1+V31+W31+X31+Y31+Z31)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IFERROR(INDEX(Lists!$U$1:$U$25,MATCH($I31,Lists!$T$1:$T$25,0)),"?")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technology",$C31)),"Head of Technology",IF(ISNUMBER(SEARCH("TDD BP",$C31)),"Business Partner",IF(OR(ISNUMBER(SEARCH("domain architect",$C31)),ISNUMBER(SEARCH("enterprise architect",$C31))),"Architecture",IF($AQ31=1,"Leadership","Squad")))))</f>
        <v>Squad</v>
      </c>
      <c r="AS31" t="str">
        <f>IF(TRIM($B31)="","",IFERROR(INDEX(Lists!$AA:$AA,MATCH($AP31,Lists!$Z:$Z,0)),$AP31))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U32*(1+V32+X32+Z32)+Y32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IFERROR(INDEX(Lists!$U$1:$U$25,MATCH($I32,Lists!$T$1:$T$25,0)),"?")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technology",$C32)),"Head of Technology",IF(ISNUMBER(SEARCH("TDD BP",$C32)),"Business Partner",IF(OR(ISNUMBER(SEARCH("domain architect",$C32)),ISNUMBER(SEARCH("enterprise architect",$C32))),"Architecture",IF($AQ32=1,"Leadership","Squad")))))</f>
        <v>Squad</v>
      </c>
      <c r="AS32" t="str">
        <f>IF(TRIM($B32)="","",IFERROR(INDEX(Lists!$AA:$AA,MATCH($AP32,Lists!$Z:$Z,0)),$AP32))</f>
        <v>Network /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U33*(1+V33+X33+Z33)+Y33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IFERROR(INDEX(Lists!$U$1:$U$25,MATCH($I33,Lists!$T$1:$T$25,0)),"?")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technology",$C33)),"Head of Technology",IF(ISNUMBER(SEARCH("TDD BP",$C33)),"Business Partner",IF(OR(ISNUMBER(SEARCH("domain architect",$C33)),ISNUMBER(SEARCH("enterprise architect",$C33))),"Architecture",IF($AQ33=1,"Leadership","Squad")))))</f>
        <v>Squad</v>
      </c>
      <c r="AS33" t="str">
        <f>IF(TRIM($B33)="","",IFERROR(INDEX(Lists!$AA:$AA,MATCH($AP33,Lists!$Z:$Z,0)),$AP33))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U34*(1+V34+X34+Z34)+Y34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IFERROR(INDEX(Lists!$U$1:$U$25,MATCH($I34,Lists!$T$1:$T$25,0)),"?")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technology",$C34)),"Head of Technology",IF(ISNUMBER(SEARCH("TDD BP",$C34)),"Business Partner",IF(OR(ISNUMBER(SEARCH("domain architect",$C34)),ISNUMBER(SEARCH("enterprise architect",$C34))),"Architecture",IF($AQ34=1,"Leadership","Squad")))))</f>
        <v>Squad</v>
      </c>
      <c r="AS34" t="str">
        <f>IF(TRIM($B34)="","",IFERROR(INDEX(Lists!$AA:$AA,MATCH($AP34,Lists!$Z:$Z,0)),$AP34))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U35*(1+V35+W35+X35+Y35+Z35)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IFERROR(INDEX(Lists!$U$1:$U$25,MATCH($I35,Lists!$T$1:$T$25,0)),"?")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technology",$C35)),"Head of Technology",IF(ISNUMBER(SEARCH("TDD BP",$C35)),"Business Partner",IF(OR(ISNUMBER(SEARCH("domain architect",$C35)),ISNUMBER(SEARCH("enterprise architect",$C35))),"Architecture",IF($AQ35=1,"Leadership","Squad")))))</f>
        <v>Squad</v>
      </c>
      <c r="AS35" t="str">
        <f>IF(TRIM($B35)="","",IFERROR(INDEX(Lists!$AA:$AA,MATCH($AP35,Lists!$Z:$Z,0)),$AP35))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U36*(1+V36+W36+X36+Y36+Z36)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IFERROR(INDEX(Lists!$U$1:$U$25,MATCH($I36,Lists!$T$1:$T$25,0)),"?")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technology",$C36)),"Head of Technology",IF(ISNUMBER(SEARCH("TDD BP",$C36)),"Business Partner",IF(OR(ISNUMBER(SEARCH("domain architect",$C36)),ISNUMBER(SEARCH("enterprise architect",$C36))),"Architecture",IF($AQ36=1,"Leadership","Squad")))))</f>
        <v>Squad</v>
      </c>
      <c r="AS36" t="str">
        <f>IF(TRIM($B36)="","",IFERROR(INDEX(Lists!$AA:$AA,MATCH($AP36,Lists!$Z:$Z,0)),$AP36))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U37*(1+V37+W37+X37+Y37+Z37)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IFERROR(INDEX(Lists!$U$1:$U$25,MATCH($I37,Lists!$T$1:$T$25,0)),"?")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technology",$C37)),"Head of Technology",IF(ISNUMBER(SEARCH("TDD BP",$C37)),"Business Partner",IF(OR(ISNUMBER(SEARCH("domain architect",$C37)),ISNUMBER(SEARCH("enterprise architect",$C37))),"Architecture",IF($AQ37=1,"Leadership","Squad")))))</f>
        <v>Squad</v>
      </c>
      <c r="AS37" t="str">
        <f>IF(TRIM($B37)="","",IFERROR(INDEX(Lists!$AA:$AA,MATCH($AP37,Lists!$Z:$Z,0)),$AP37))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U38*(1+V38+X38+Z38)+Y38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IFERROR(INDEX(Lists!$U$1:$U$25,MATCH($I38,Lists!$T$1:$T$25,0)),"?")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technology",$C38)),"Head of Technology",IF(ISNUMBER(SEARCH("TDD BP",$C38)),"Business Partner",IF(OR(ISNUMBER(SEARCH("domain architect",$C38)),ISNUMBER(SEARCH("enterprise architect",$C38))),"Architecture",IF($AQ38=1,"Leadership","Squad")))))</f>
        <v>Squad</v>
      </c>
      <c r="AS38" t="str">
        <f>IF(TRIM($B38)="","",IFERROR(INDEX(Lists!$AA:$AA,MATCH($AP38,Lists!$Z:$Z,0)),$AP38))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U39*(1+V39+X39+Z39)+Y39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IFERROR(INDEX(Lists!$U$1:$U$25,MATCH($I39,Lists!$T$1:$T$25,0)),"?")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technology",$C39)),"Head of Technology",IF(ISNUMBER(SEARCH("TDD BP",$C39)),"Business Partner",IF(OR(ISNUMBER(SEARCH("domain architect",$C39)),ISNUMBER(SEARCH("enterprise architect",$C39))),"Architecture",IF($AQ39=1,"Leadership","Squad")))))</f>
        <v>Squad</v>
      </c>
      <c r="AS39" t="str">
        <f>IF(TRIM($B39)="","",IFERROR(INDEX(Lists!$AA:$AA,MATCH($AP39,Lists!$Z:$Z,0)),$AP39))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U40*(1+V40+X40+Z40)+Y40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IFERROR(INDEX(Lists!$U$1:$U$25,MATCH($I40,Lists!$T$1:$T$25,0)),"?")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technology",$C40)),"Head of Technology",IF(ISNUMBER(SEARCH("TDD BP",$C40)),"Business Partner",IF(OR(ISNUMBER(SEARCH("domain architect",$C40)),ISNUMBER(SEARCH("enterprise architect",$C40))),"Architecture",IF($AQ40=1,"Leadership","Squad")))))</f>
        <v>Squad</v>
      </c>
      <c r="AS40" t="str">
        <f>IF(TRIM($B40)="","",IFERROR(INDEX(Lists!$AA:$AA,MATCH($AP40,Lists!$Z:$Z,0)),$AP40))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U41*(1+V41+W41+X41+Y41+Z41)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IFERROR(INDEX(Lists!$U$1:$U$25,MATCH($I41,Lists!$T$1:$T$25,0)),"?")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technology",$C41)),"Head of Technology",IF(ISNUMBER(SEARCH("TDD BP",$C41)),"Business Partner",IF(OR(ISNUMBER(SEARCH("domain architect",$C41)),ISNUMBER(SEARCH("enterprise architect",$C41))),"Architecture",IF($AQ41=1,"Leadership","Squad")))))</f>
        <v>Squad</v>
      </c>
      <c r="AS41" t="str">
        <f>IF(TRIM($B41)="","",IFERROR(INDEX(Lists!$AA:$AA,MATCH($AP41,Lists!$Z:$Z,0)),$AP41))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U42*(1+V42+W42+X42+Y42+Z42)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IFERROR(INDEX(Lists!$U$1:$U$25,MATCH($I42,Lists!$T$1:$T$25,0)),"?")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technology",$C42)),"Head of Technology",IF(ISNUMBER(SEARCH("TDD BP",$C42)),"Business Partner",IF(OR(ISNUMBER(SEARCH("domain architect",$C42)),ISNUMBER(SEARCH("enterprise architect",$C42))),"Architecture",IF($AQ42=1,"Leadership","Squad")))))</f>
        <v>Head of Technology</v>
      </c>
      <c r="AS42" t="str">
        <f>IF(TRIM($B42)="","",IFERROR(INDEX(Lists!$AA:$AA,MATCH($AP42,Lists!$Z:$Z,0)),$AP42))</f>
        <v>Leadership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U43*(1+V43+X43+Z43)+Y43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IFERROR(INDEX(Lists!$U$1:$U$25,MATCH($I43,Lists!$T$1:$T$25,0)),"?")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technology",$C43)),"Head of Technology",IF(ISNUMBER(SEARCH("TDD BP",$C43)),"Business Partner",IF(OR(ISNUMBER(SEARCH("domain architect",$C43)),ISNUMBER(SEARCH("enterprise architect",$C43))),"Architecture",IF($AQ43=1,"Leadership","Squad")))))</f>
        <v>Squad</v>
      </c>
      <c r="AS43" t="str">
        <f>IF(TRIM($B43)="","",IFERROR(INDEX(Lists!$AA:$AA,MATCH($AP43,Lists!$Z:$Z,0)),$AP43))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U44*(1+V44+X44+Z44)+Y44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IFERROR(INDEX(Lists!$U$1:$U$25,MATCH($I44,Lists!$T$1:$T$25,0)),"?")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technology",$C44)),"Head of Technology",IF(ISNUMBER(SEARCH("TDD BP",$C44)),"Business Partner",IF(OR(ISNUMBER(SEARCH("domain architect",$C44)),ISNUMBER(SEARCH("enterprise architect",$C44))),"Architecture",IF($AQ44=1,"Leadership","Squad")))))</f>
        <v>Squad</v>
      </c>
      <c r="AS44" t="str">
        <f>IF(TRIM($B44)="","",IFERROR(INDEX(Lists!$AA:$AA,MATCH($AP44,Lists!$Z:$Z,0)),$AP44))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U45*(1+V45+W45+X45+Y45+Z45)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IFERROR(INDEX(Lists!$U$1:$U$25,MATCH($I45,Lists!$T$1:$T$25,0)),"?")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technology",$C45)),"Head of Technology",IF(ISNUMBER(SEARCH("TDD BP",$C45)),"Business Partner",IF(OR(ISNUMBER(SEARCH("domain architect",$C45)),ISNUMBER(SEARCH("enterprise architect",$C45))),"Architecture",IF($AQ45=1,"Leadership","Squad")))))</f>
        <v>Leadership</v>
      </c>
      <c r="AS45" t="str">
        <f>IF(TRIM($B45)="","",IFERROR(INDEX(Lists!$AA:$AA,MATCH($AP45,Lists!$Z:$Z,0)),$AP45))</f>
        <v>Leadership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U46*(1+V46+W46+X46+Y46+Z46)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IFERROR(INDEX(Lists!$U$1:$U$25,MATCH($I46,Lists!$T$1:$T$25,0)),"?")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technology",$C46)),"Head of Technology",IF(ISNUMBER(SEARCH("TDD BP",$C46)),"Business Partner",IF(OR(ISNUMBER(SEARCH("domain architect",$C46)),ISNUMBER(SEARCH("enterprise architect",$C46))),"Architecture",IF($AQ46=1,"Leadership","Squad")))))</f>
        <v>Squad</v>
      </c>
      <c r="AS46" t="str">
        <f>IF(TRIM($B46)="","",IFERROR(INDEX(Lists!$AA:$AA,MATCH($AP46,Lists!$Z:$Z,0)),$AP46))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U47*(1+V47+W47+X47+Y47+Z47)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IFERROR(INDEX(Lists!$U$1:$U$25,MATCH($I47,Lists!$T$1:$T$25,0)),"?")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technology",$C47)),"Head of Technology",IF(ISNUMBER(SEARCH("TDD BP",$C47)),"Business Partner",IF(OR(ISNUMBER(SEARCH("domain architect",$C47)),ISNUMBER(SEARCH("enterprise architect",$C47))),"Architecture",IF($AQ47=1,"Leadership","Squad")))))</f>
        <v>Squad</v>
      </c>
      <c r="AS47" t="str">
        <f>IF(TRIM($B47)="","",IFERROR(INDEX(Lists!$AA:$AA,MATCH($AP47,Lists!$Z:$Z,0)),$AP47))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U48*(1+V48+X48+Z48)+Y48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IFERROR(INDEX(Lists!$U$1:$U$25,MATCH($I48,Lists!$T$1:$T$25,0)),"?")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technology",$C48)),"Head of Technology",IF(ISNUMBER(SEARCH("TDD BP",$C48)),"Business Partner",IF(OR(ISNUMBER(SEARCH("domain architect",$C48)),ISNUMBER(SEARCH("enterprise architect",$C48))),"Architecture",IF($AQ48=1,"Leadership","Squad")))))</f>
        <v>Squad</v>
      </c>
      <c r="AS48" t="str">
        <f>IF(TRIM($B48)="","",IFERROR(INDEX(Lists!$AA:$AA,MATCH($AP48,Lists!$Z:$Z,0)),$AP48))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U49*(1+V49+X49+Z49)+Y49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IFERROR(INDEX(Lists!$U$1:$U$25,MATCH($I49,Lists!$T$1:$T$25,0)),"?")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technology",$C49)),"Head of Technology",IF(ISNUMBER(SEARCH("TDD BP",$C49)),"Business Partner",IF(OR(ISNUMBER(SEARCH("domain architect",$C49)),ISNUMBER(SEARCH("enterprise architect",$C49))),"Architecture",IF($AQ49=1,"Leadership","Squad")))))</f>
        <v>Squad</v>
      </c>
      <c r="AS49" t="str">
        <f>IF(TRIM($B49)="","",IFERROR(INDEX(Lists!$AA:$AA,MATCH($AP49,Lists!$Z:$Z,0)),$AP49))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U50*(1+V50+W50+X50+Y50+Z50)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IFERROR(INDEX(Lists!$U$1:$U$25,MATCH($I50,Lists!$T$1:$T$25,0)),"?")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technology",$C50)),"Head of Technology",IF(ISNUMBER(SEARCH("TDD BP",$C50)),"Business Partner",IF(OR(ISNUMBER(SEARCH("domain architect",$C50)),ISNUMBER(SEARCH("enterprise architect",$C50))),"Architecture",IF($AQ50=1,"Leadership","Squad")))))</f>
        <v>Squad</v>
      </c>
      <c r="AS50" t="str">
        <f>IF(TRIM($B50)="","",IFERROR(INDEX(Lists!$AA:$AA,MATCH($AP50,Lists!$Z:$Z,0)),$AP50))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U51*(1+V51+W51+X51+Y51+Z51)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IFERROR(INDEX(Lists!$U$1:$U$25,MATCH($I51,Lists!$T$1:$T$25,0)),"?")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technology",$C51)),"Head of Technology",IF(ISNUMBER(SEARCH("TDD BP",$C51)),"Business Partner",IF(OR(ISNUMBER(SEARCH("domain architect",$C51)),ISNUMBER(SEARCH("enterprise architect",$C51))),"Architecture",IF($AQ51=1,"Leadership","Squad")))))</f>
        <v>Squad</v>
      </c>
      <c r="AS51" t="str">
        <f>IF(TRIM($B51)="","",IFERROR(INDEX(Lists!$AA:$AA,MATCH($AP51,Lists!$Z:$Z,0)),$AP51))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U52*(1+V52+W52+X52+Y52+Z52)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IFERROR(INDEX(Lists!$U$1:$U$25,MATCH($I52,Lists!$T$1:$T$25,0)),"?")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technology",$C52)),"Head of Technology",IF(ISNUMBER(SEARCH("TDD BP",$C52)),"Business Partner",IF(OR(ISNUMBER(SEARCH("domain architect",$C52)),ISNUMBER(SEARCH("enterprise architect",$C52))),"Architecture",IF($AQ52=1,"Leadership","Squad")))))</f>
        <v>Squad</v>
      </c>
      <c r="AS52" t="str">
        <f>IF(TRIM($B52)="","",IFERROR(INDEX(Lists!$AA:$AA,MATCH($AP52,Lists!$Z:$Z,0)),$AP52))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U53*(1+V53+W53+X53+Y53+Z53)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IFERROR(INDEX(Lists!$U$1:$U$25,MATCH($I53,Lists!$T$1:$T$25,0)),"?")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technology",$C53)),"Head of Technology",IF(ISNUMBER(SEARCH("TDD BP",$C53)),"Business Partner",IF(OR(ISNUMBER(SEARCH("domain architect",$C53)),ISNUMBER(SEARCH("enterprise architect",$C53))),"Architecture",IF($AQ53=1,"Leadership","Squad")))))</f>
        <v>Squad</v>
      </c>
      <c r="AS53" t="str">
        <f>IF(TRIM($B53)="","",IFERROR(INDEX(Lists!$AA:$AA,MATCH($AP53,Lists!$Z:$Z,0)),$AP53))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U54*(1+V54+W54+X54+Y54+Z54)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IFERROR(INDEX(Lists!$U$1:$U$25,MATCH($I54,Lists!$T$1:$T$25,0)),"?")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technology",$C54)),"Head of Technology",IF(ISNUMBER(SEARCH("TDD BP",$C54)),"Business Partner",IF(OR(ISNUMBER(SEARCH("domain architect",$C54)),ISNUMBER(SEARCH("enterprise architect",$C54))),"Architecture",IF($AQ54=1,"Leadership","Squad")))))</f>
        <v>Squad</v>
      </c>
      <c r="AS54" t="str">
        <f>IF(TRIM($B54)="","",IFERROR(INDEX(Lists!$AA:$AA,MATCH($AP54,Lists!$Z:$Z,0)),$AP54))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U55*(1+V55+X55+Z55)+Y55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IFERROR(INDEX(Lists!$U$1:$U$25,MATCH($I55,Lists!$T$1:$T$25,0)),"?")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technology",$C55)),"Head of Technology",IF(ISNUMBER(SEARCH("TDD BP",$C55)),"Business Partner",IF(OR(ISNUMBER(SEARCH("domain architect",$C55)),ISNUMBER(SEARCH("enterprise architect",$C55))),"Architecture",IF($AQ55=1,"Leadership","Squad")))))</f>
        <v>Squad</v>
      </c>
      <c r="AS55" t="str">
        <f>IF(TRIM($B55)="","",IFERROR(INDEX(Lists!$AA:$AA,MATCH($AP55,Lists!$Z:$Z,0)),$AP55))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U56*(1+V56+W56+X56+Y56+Z56)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IFERROR(INDEX(Lists!$U$1:$U$25,MATCH($I56,Lists!$T$1:$T$25,0)),"?")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technology",$C56)),"Head of Technology",IF(ISNUMBER(SEARCH("TDD BP",$C56)),"Business Partner",IF(OR(ISNUMBER(SEARCH("domain architect",$C56)),ISNUMBER(SEARCH("enterprise architect",$C56))),"Architecture",IF($AQ56=1,"Leadership","Squad")))))</f>
        <v>Squad</v>
      </c>
      <c r="AS56" t="str">
        <f>IF(TRIM($B56)="","",IFERROR(INDEX(Lists!$AA:$AA,MATCH($AP56,Lists!$Z:$Z,0)),$AP56))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U57*(1+V57+W57+X57+Y57+Z57)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IFERROR(INDEX(Lists!$U$1:$U$25,MATCH($I57,Lists!$T$1:$T$25,0)),"?")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technology",$C57)),"Head of Technology",IF(ISNUMBER(SEARCH("TDD BP",$C57)),"Business Partner",IF(OR(ISNUMBER(SEARCH("domain architect",$C57)),ISNUMBER(SEARCH("enterprise architect",$C57))),"Architecture",IF($AQ57=1,"Leadership","Squad")))))</f>
        <v>Squad</v>
      </c>
      <c r="AS57" t="str">
        <f>IF(TRIM($B57)="","",IFERROR(INDEX(Lists!$AA:$AA,MATCH($AP57,Lists!$Z:$Z,0)),$AP57))</f>
        <v>Network /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U58*(1+V58+W58+X58+Y58+Z58)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IFERROR(INDEX(Lists!$U$1:$U$25,MATCH($I58,Lists!$T$1:$T$25,0)),"?")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technology",$C58)),"Head of Technology",IF(ISNUMBER(SEARCH("TDD BP",$C58)),"Business Partner",IF(OR(ISNUMBER(SEARCH("domain architect",$C58)),ISNUMBER(SEARCH("enterprise architect",$C58))),"Architecture",IF($AQ58=1,"Leadership","Squad")))))</f>
        <v>Squad</v>
      </c>
      <c r="AS58" t="str">
        <f>IF(TRIM($B58)="","",IFERROR(INDEX(Lists!$AA:$AA,MATCH($AP58,Lists!$Z:$Z,0)),$AP58))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U59*(1+V59+W59+X59+Y59+Z59)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IFERROR(INDEX(Lists!$U$1:$U$25,MATCH($I59,Lists!$T$1:$T$25,0)),"?")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technology",$C59)),"Head of Technology",IF(ISNUMBER(SEARCH("TDD BP",$C59)),"Business Partner",IF(OR(ISNUMBER(SEARCH("domain architect",$C59)),ISNUMBER(SEARCH("enterprise architect",$C59))),"Architecture",IF($AQ59=1,"Leadership","Squad")))))</f>
        <v>Squad</v>
      </c>
      <c r="AS59" t="str">
        <f>IF(TRIM($B59)="","",IFERROR(INDEX(Lists!$AA:$AA,MATCH($AP59,Lists!$Z:$Z,0)),$AP59))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U60*(1+V60+W60+X60+Y60+Z60)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IFERROR(INDEX(Lists!$U$1:$U$25,MATCH($I60,Lists!$T$1:$T$25,0)),"?")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technology",$C60)),"Head of Technology",IF(ISNUMBER(SEARCH("TDD BP",$C60)),"Business Partner",IF(OR(ISNUMBER(SEARCH("domain architect",$C60)),ISNUMBER(SEARCH("enterprise architect",$C60))),"Architecture",IF($AQ60=1,"Leadership","Squad")))))</f>
        <v>Squad</v>
      </c>
      <c r="AS60" t="str">
        <f>IF(TRIM($B60)="","",IFERROR(INDEX(Lists!$AA:$AA,MATCH($AP60,Lists!$Z:$Z,0)),$AP60))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U61*(1+V61+W61+X61+Y61+Z61)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IFERROR(INDEX(Lists!$U$1:$U$25,MATCH($I61,Lists!$T$1:$T$25,0)),"?")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technology",$C61)),"Head of Technology",IF(ISNUMBER(SEARCH("TDD BP",$C61)),"Business Partner",IF(OR(ISNUMBER(SEARCH("domain architect",$C61)),ISNUMBER(SEARCH("enterprise architect",$C61))),"Architecture",IF($AQ61=1,"Leadership","Squad")))))</f>
        <v>Squad</v>
      </c>
      <c r="AS61" t="str">
        <f>IF(TRIM($B61)="","",IFERROR(INDEX(Lists!$AA:$AA,MATCH($AP61,Lists!$Z:$Z,0)),$AP61))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U62*(1+V62+X62+Z62)+Y62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IFERROR(INDEX(Lists!$U$1:$U$25,MATCH($I62,Lists!$T$1:$T$25,0)),"?")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technology",$C62)),"Head of Technology",IF(ISNUMBER(SEARCH("TDD BP",$C62)),"Business Partner",IF(OR(ISNUMBER(SEARCH("domain architect",$C62)),ISNUMBER(SEARCH("enterprise architect",$C62))),"Architecture",IF($AQ62=1,"Leadership","Squad")))))</f>
        <v>Squad</v>
      </c>
      <c r="AS62" t="str">
        <f>IF(TRIM($B62)="","",IFERROR(INDEX(Lists!$AA:$AA,MATCH($AP62,Lists!$Z:$Z,0)),$AP62))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U63*(1+V63+W63+X63+Y63+Z63)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IFERROR(INDEX(Lists!$U$1:$U$25,MATCH($I63,Lists!$T$1:$T$25,0)),"?")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technology",$C63)),"Head of Technology",IF(ISNUMBER(SEARCH("TDD BP",$C63)),"Business Partner",IF(OR(ISNUMBER(SEARCH("domain architect",$C63)),ISNUMBER(SEARCH("enterprise architect",$C63))),"Architecture",IF($AQ63=1,"Leadership","Squad")))))</f>
        <v>Squad</v>
      </c>
      <c r="AS63" t="str">
        <f>IF(TRIM($B63)="","",IFERROR(INDEX(Lists!$AA:$AA,MATCH($AP63,Lists!$Z:$Z,0)),$AP63))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U64*(1+V64+X64+Z64)+Y64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IFERROR(INDEX(Lists!$U$1:$U$25,MATCH($I64,Lists!$T$1:$T$25,0)),"?")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technology",$C64)),"Head of Technology",IF(ISNUMBER(SEARCH("TDD BP",$C64)),"Business Partner",IF(OR(ISNUMBER(SEARCH("domain architect",$C64)),ISNUMBER(SEARCH("enterprise architect",$C64))),"Architecture",IF($AQ64=1,"Leadership","Squad")))))</f>
        <v>Leadership</v>
      </c>
      <c r="AS64" t="str">
        <f>IF(TRIM($B64)="","",IFERROR(INDEX(Lists!$AA:$AA,MATCH($AP64,Lists!$Z:$Z,0)),$AP64))</f>
        <v>Leadership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U65*(1+V65+W65+X65+Y65+Z65)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IFERROR(INDEX(Lists!$U$1:$U$25,MATCH($I65,Lists!$T$1:$T$25,0)),"?")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technology",$C65)),"Head of Technology",IF(ISNUMBER(SEARCH("TDD BP",$C65)),"Business Partner",IF(OR(ISNUMBER(SEARCH("domain architect",$C65)),ISNUMBER(SEARCH("enterprise architect",$C65))),"Architecture",IF($AQ65=1,"Leadership","Squad")))))</f>
        <v>Squad</v>
      </c>
      <c r="AS65" t="str">
        <f>IF(TRIM($B65)="","",IFERROR(INDEX(Lists!$AA:$AA,MATCH($AP65,Lists!$Z:$Z,0)),$AP65))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U66*(1+V66+W66+X66+Y66+Z66)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IFERROR(INDEX(Lists!$U$1:$U$25,MATCH($I66,Lists!$T$1:$T$25,0)),"?")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technology",$C66)),"Head of Technology",IF(ISNUMBER(SEARCH("TDD BP",$C66)),"Business Partner",IF(OR(ISNUMBER(SEARCH("domain architect",$C66)),ISNUMBER(SEARCH("enterprise architect",$C66))),"Architecture",IF($AQ66=1,"Leadership","Squad")))))</f>
        <v>Squad</v>
      </c>
      <c r="AS66" t="str">
        <f>IF(TRIM($B66)="","",IFERROR(INDEX(Lists!$AA:$AA,MATCH($AP66,Lists!$Z:$Z,0)),$AP66))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U67*(1+V67+W67+X67+Y67+Z67)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IFERROR(INDEX(Lists!$U$1:$U$25,MATCH($I67,Lists!$T$1:$T$25,0)),"?")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technology",$C67)),"Head of Technology",IF(ISNUMBER(SEARCH("TDD BP",$C67)),"Business Partner",IF(OR(ISNUMBER(SEARCH("domain architect",$C67)),ISNUMBER(SEARCH("enterprise architect",$C67))),"Architecture",IF($AQ67=1,"Leadership","Squad")))))</f>
        <v>Squad</v>
      </c>
      <c r="AS67" t="str">
        <f>IF(TRIM($B67)="","",IFERROR(INDEX(Lists!$AA:$AA,MATCH($AP67,Lists!$Z:$Z,0)),$AP67))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U68*(1+V68+W68+X68+Y68+Z68)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IFERROR(INDEX(Lists!$U$1:$U$25,MATCH($I68,Lists!$T$1:$T$25,0)),"?")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technology",$C68)),"Head of Technology",IF(ISNUMBER(SEARCH("TDD BP",$C68)),"Business Partner",IF(OR(ISNUMBER(SEARCH("domain architect",$C68)),ISNUMBER(SEARCH("enterprise architect",$C68))),"Architecture",IF($AQ68=1,"Leadership","Squad")))))</f>
        <v>Squad</v>
      </c>
      <c r="AS68" t="str">
        <f>IF(TRIM($B68)="","",IFERROR(INDEX(Lists!$AA:$AA,MATCH($AP68,Lists!$Z:$Z,0)),$AP68))</f>
        <v>Network /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U69*(1+V69+W69+X69+Y69+Z69)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IFERROR(INDEX(Lists!$U$1:$U$25,MATCH($I69,Lists!$T$1:$T$25,0)),"?")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technology",$C69)),"Head of Technology",IF(ISNUMBER(SEARCH("TDD BP",$C69)),"Business Partner",IF(OR(ISNUMBER(SEARCH("domain architect",$C69)),ISNUMBER(SEARCH("enterprise architect",$C69))),"Architecture",IF($AQ69=1,"Leadership","Squad")))))</f>
        <v>Squad</v>
      </c>
      <c r="AS69" t="str">
        <f>IF(TRIM($B69)="","",IFERROR(INDEX(Lists!$AA:$AA,MATCH($AP69,Lists!$Z:$Z,0)),$AP69))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U70*(1+V70+W70+X70+Y70+Z70)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IFERROR(INDEX(Lists!$U$1:$U$25,MATCH($I70,Lists!$T$1:$T$25,0)),"?")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technology",$C70)),"Head of Technology",IF(ISNUMBER(SEARCH("TDD BP",$C70)),"Business Partner",IF(OR(ISNUMBER(SEARCH("domain architect",$C70)),ISNUMBER(SEARCH("enterprise architect",$C70))),"Architecture",IF($AQ70=1,"Leadership","Squad")))))</f>
        <v>Squad</v>
      </c>
      <c r="AS70" t="str">
        <f>IF(TRIM($B70)="","",IFERROR(INDEX(Lists!$AA:$AA,MATCH($AP70,Lists!$Z:$Z,0)),$AP70))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U71*(1+V71+W71+X71+Y71+Z71)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IFERROR(INDEX(Lists!$U$1:$U$25,MATCH($I71,Lists!$T$1:$T$25,0)),"?")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technology",$C71)),"Head of Technology",IF(ISNUMBER(SEARCH("TDD BP",$C71)),"Business Partner",IF(OR(ISNUMBER(SEARCH("domain architect",$C71)),ISNUMBER(SEARCH("enterprise architect",$C71))),"Architecture",IF($AQ71=1,"Leadership","Squad")))))</f>
        <v>Squad</v>
      </c>
      <c r="AS71" t="str">
        <f>IF(TRIM($B71)="","",IFERROR(INDEX(Lists!$AA:$AA,MATCH($AP71,Lists!$Z:$Z,0)),$AP71))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U72*(1+V72+W72+X72+Y72+Z72)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IFERROR(INDEX(Lists!$U$1:$U$25,MATCH($I72,Lists!$T$1:$T$25,0)),"?")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technology",$C72)),"Head of Technology",IF(ISNUMBER(SEARCH("TDD BP",$C72)),"Business Partner",IF(OR(ISNUMBER(SEARCH("domain architect",$C72)),ISNUMBER(SEARCH("enterprise architect",$C72))),"Architecture",IF($AQ72=1,"Leadership","Squad")))))</f>
        <v>Squad</v>
      </c>
      <c r="AS72" t="str">
        <f>IF(TRIM($B72)="","",IFERROR(INDEX(Lists!$AA:$AA,MATCH($AP72,Lists!$Z:$Z,0)),$AP72))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U73*(1+V73+W73+X73+Y73+Z73)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IFERROR(INDEX(Lists!$U$1:$U$25,MATCH($I73,Lists!$T$1:$T$25,0)),"?")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technology",$C73)),"Head of Technology",IF(ISNUMBER(SEARCH("TDD BP",$C73)),"Business Partner",IF(OR(ISNUMBER(SEARCH("domain architect",$C73)),ISNUMBER(SEARCH("enterprise architect",$C73))),"Architecture",IF($AQ73=1,"Leadership","Squad")))))</f>
        <v>Squad</v>
      </c>
      <c r="AS73" t="str">
        <f>IF(TRIM($B73)="","",IFERROR(INDEX(Lists!$AA:$AA,MATCH($AP73,Lists!$Z:$Z,0)),$AP73))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U74*(1+V74+W74+X74+Y74+Z74)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IFERROR(INDEX(Lists!$U$1:$U$25,MATCH($I74,Lists!$T$1:$T$25,0)),"?")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technology",$C74)),"Head of Technology",IF(ISNUMBER(SEARCH("TDD BP",$C74)),"Business Partner",IF(OR(ISNUMBER(SEARCH("domain architect",$C74)),ISNUMBER(SEARCH("enterprise architect",$C74))),"Architecture",IF($AQ74=1,"Leadership","Squad")))))</f>
        <v>Leadership</v>
      </c>
      <c r="AS74" t="str">
        <f>IF(TRIM($B74)="","",IFERROR(INDEX(Lists!$AA:$AA,MATCH($AP74,Lists!$Z:$Z,0)),$AP74))</f>
        <v>Leadership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U75*(1+V75+W75+X75+Y75+Z75)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IFERROR(INDEX(Lists!$U$1:$U$25,MATCH($I75,Lists!$T$1:$T$25,0)),"?")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technology",$C75)),"Head of Technology",IF(ISNUMBER(SEARCH("TDD BP",$C75)),"Business Partner",IF(OR(ISNUMBER(SEARCH("domain architect",$C75)),ISNUMBER(SEARCH("enterprise architect",$C75))),"Architecture",IF($AQ75=1,"Leadership","Squad")))))</f>
        <v>Squad</v>
      </c>
      <c r="AS75" t="str">
        <f>IF(TRIM($B75)="","",IFERROR(INDEX(Lists!$AA:$AA,MATCH($AP75,Lists!$Z:$Z,0)),$AP75))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U76*(1+V76+W76+X76+Y76+Z76)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IFERROR(INDEX(Lists!$U$1:$U$25,MATCH($I76,Lists!$T$1:$T$25,0)),"?")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technology",$C76)),"Head of Technology",IF(ISNUMBER(SEARCH("TDD BP",$C76)),"Business Partner",IF(OR(ISNUMBER(SEARCH("domain architect",$C76)),ISNUMBER(SEARCH("enterprise architect",$C76))),"Architecture",IF($AQ76=1,"Leadership","Squad")))))</f>
        <v>Squad</v>
      </c>
      <c r="AS76" t="str">
        <f>IF(TRIM($B76)="","",IFERROR(INDEX(Lists!$AA:$AA,MATCH($AP76,Lists!$Z:$Z,0)),$AP76))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U77*(1+V77+W77+X77+Y77+Z77)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IFERROR(INDEX(Lists!$U$1:$U$25,MATCH($I77,Lists!$T$1:$T$25,0)),"?")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technology",$C77)),"Head of Technology",IF(ISNUMBER(SEARCH("TDD BP",$C77)),"Business Partner",IF(OR(ISNUMBER(SEARCH("domain architect",$C77)),ISNUMBER(SEARCH("enterprise architect",$C77))),"Architecture",IF($AQ77=1,"Leadership","Squad")))))</f>
        <v>Squad</v>
      </c>
      <c r="AS77" t="str">
        <f>IF(TRIM($B77)="","",IFERROR(INDEX(Lists!$AA:$AA,MATCH($AP77,Lists!$Z:$Z,0)),$AP77))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U78*(1+V78+W78+X78+Y78+Z78)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IFERROR(INDEX(Lists!$U$1:$U$25,MATCH($I78,Lists!$T$1:$T$25,0)),"?")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technology",$C78)),"Head of Technology",IF(ISNUMBER(SEARCH("TDD BP",$C78)),"Business Partner",IF(OR(ISNUMBER(SEARCH("domain architect",$C78)),ISNUMBER(SEARCH("enterprise architect",$C78))),"Architecture",IF($AQ78=1,"Leadership","Squad")))))</f>
        <v>Squad</v>
      </c>
      <c r="AS78" t="str">
        <f>IF(TRIM($B78)="","",IFERROR(INDEX(Lists!$AA:$AA,MATCH($AP78,Lists!$Z:$Z,0)),$AP78))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U79*(1+V79+W79+X79+Y79+Z79)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IFERROR(INDEX(Lists!$U$1:$U$25,MATCH($I79,Lists!$T$1:$T$25,0)),"?")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technology",$C79)),"Head of Technology",IF(ISNUMBER(SEARCH("TDD BP",$C79)),"Business Partner",IF(OR(ISNUMBER(SEARCH("domain architect",$C79)),ISNUMBER(SEARCH("enterprise architect",$C79))),"Architecture",IF($AQ79=1,"Leadership","Squad")))))</f>
        <v>Squad</v>
      </c>
      <c r="AS79" t="str">
        <f>IF(TRIM($B79)="","",IFERROR(INDEX(Lists!$AA:$AA,MATCH($AP79,Lists!$Z:$Z,0)),$AP79))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U80*(1+V80+W80+X80+Y80+Z80)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IFERROR(INDEX(Lists!$U$1:$U$25,MATCH($I80,Lists!$T$1:$T$25,0)),"?")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technology",$C80)),"Head of Technology",IF(ISNUMBER(SEARCH("TDD BP",$C80)),"Business Partner",IF(OR(ISNUMBER(SEARCH("domain architect",$C80)),ISNUMBER(SEARCH("enterprise architect",$C80))),"Architecture",IF($AQ80=1,"Leadership","Squad")))))</f>
        <v>Squad</v>
      </c>
      <c r="AS80" t="str">
        <f>IF(TRIM($B80)="","",IFERROR(INDEX(Lists!$AA:$AA,MATCH($AP80,Lists!$Z:$Z,0)),$AP80))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U81*(1+V81+W81+X81+Y81+Z81)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IFERROR(INDEX(Lists!$U$1:$U$25,MATCH($I81,Lists!$T$1:$T$25,0)),"?")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technology",$C81)),"Head of Technology",IF(ISNUMBER(SEARCH("TDD BP",$C81)),"Business Partner",IF(OR(ISNUMBER(SEARCH("domain architect",$C81)),ISNUMBER(SEARCH("enterprise architect",$C81))),"Architecture",IF($AQ81=1,"Leadership","Squad")))))</f>
        <v>Squad</v>
      </c>
      <c r="AS81" t="str">
        <f>IF(TRIM($B81)="","",IFERROR(INDEX(Lists!$AA:$AA,MATCH($AP81,Lists!$Z:$Z,0)),$AP81))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U82*(1+V82+X82+Z82)+Y82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IFERROR(INDEX(Lists!$U$1:$U$25,MATCH($I82,Lists!$T$1:$T$25,0)),"?")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technology",$C82)),"Head of Technology",IF(ISNUMBER(SEARCH("TDD BP",$C82)),"Business Partner",IF(OR(ISNUMBER(SEARCH("domain architect",$C82)),ISNUMBER(SEARCH("enterprise architect",$C82))),"Architecture",IF($AQ82=1,"Leadership","Squad")))))</f>
        <v>Head of Technology</v>
      </c>
      <c r="AS82" t="str">
        <f>IF(TRIM($B82)="","",IFERROR(INDEX(Lists!$AA:$AA,MATCH($AP82,Lists!$Z:$Z,0)),$AP82))</f>
        <v>Leadership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U83*(1+V83+W83+X83+Y83+Z83)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IFERROR(INDEX(Lists!$U$1:$U$25,MATCH($I83,Lists!$T$1:$T$25,0)),"?")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technology",$C83)),"Head of Technology",IF(ISNUMBER(SEARCH("TDD BP",$C83)),"Business Partner",IF(OR(ISNUMBER(SEARCH("domain architect",$C83)),ISNUMBER(SEARCH("enterprise architect",$C83))),"Architecture",IF($AQ83=1,"Leadership","Squad")))))</f>
        <v>Squad</v>
      </c>
      <c r="AS83" t="str">
        <f>IF(TRIM($B83)="","",IFERROR(INDEX(Lists!$AA:$AA,MATCH($AP83,Lists!$Z:$Z,0)),$AP83))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U84*(1+V84+W84+X84+Y84+Z84)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IFERROR(INDEX(Lists!$U$1:$U$25,MATCH($I84,Lists!$T$1:$T$25,0)),"?")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technology",$C84)),"Head of Technology",IF(ISNUMBER(SEARCH("TDD BP",$C84)),"Business Partner",IF(OR(ISNUMBER(SEARCH("domain architect",$C84)),ISNUMBER(SEARCH("enterprise architect",$C84))),"Architecture",IF($AQ84=1,"Leadership","Squad")))))</f>
        <v>Squad</v>
      </c>
      <c r="AS84" t="str">
        <f>IF(TRIM($B84)="","",IFERROR(INDEX(Lists!$AA:$AA,MATCH($AP84,Lists!$Z:$Z,0)),$AP84))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U85*(1+V85+W85+X85+Y85+Z85)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IFERROR(INDEX(Lists!$U$1:$U$25,MATCH($I85,Lists!$T$1:$T$25,0)),"?")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technology",$C85)),"Head of Technology",IF(ISNUMBER(SEARCH("TDD BP",$C85)),"Business Partner",IF(OR(ISNUMBER(SEARCH("domain architect",$C85)),ISNUMBER(SEARCH("enterprise architect",$C85))),"Architecture",IF($AQ85=1,"Leadership","Squad")))))</f>
        <v>Squad</v>
      </c>
      <c r="AS85" t="str">
        <f>IF(TRIM($B85)="","",IFERROR(INDEX(Lists!$AA:$AA,MATCH($AP85,Lists!$Z:$Z,0)),$AP85))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U86*(1+V86+W86+X86+Y86+Z86)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IFERROR(INDEX(Lists!$U$1:$U$25,MATCH($I86,Lists!$T$1:$T$25,0)),"?")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technology",$C86)),"Head of Technology",IF(ISNUMBER(SEARCH("TDD BP",$C86)),"Business Partner",IF(OR(ISNUMBER(SEARCH("domain architect",$C86)),ISNUMBER(SEARCH("enterprise architect",$C86))),"Architecture",IF($AQ86=1,"Leadership","Squad")))))</f>
        <v>Squad</v>
      </c>
      <c r="AS86" t="str">
        <f>IF(TRIM($B86)="","",IFERROR(INDEX(Lists!$AA:$AA,MATCH($AP86,Lists!$Z:$Z,0)),$AP86))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U87*(1+V87+W87+X87+Y87+Z87)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IFERROR(INDEX(Lists!$U$1:$U$25,MATCH($I87,Lists!$T$1:$T$25,0)),"?")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technology",$C87)),"Head of Technology",IF(ISNUMBER(SEARCH("TDD BP",$C87)),"Business Partner",IF(OR(ISNUMBER(SEARCH("domain architect",$C87)),ISNUMBER(SEARCH("enterprise architect",$C87))),"Architecture",IF($AQ87=1,"Leadership","Squad")))))</f>
        <v>Squad</v>
      </c>
      <c r="AS87" t="str">
        <f>IF(TRIM($B87)="","",IFERROR(INDEX(Lists!$AA:$AA,MATCH($AP87,Lists!$Z:$Z,0)),$AP87))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U88*(1+V88+W88+X88+Y88+Z88)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IFERROR(INDEX(Lists!$U$1:$U$25,MATCH($I88,Lists!$T$1:$T$25,0)),"?")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technology",$C88)),"Head of Technology",IF(ISNUMBER(SEARCH("TDD BP",$C88)),"Business Partner",IF(OR(ISNUMBER(SEARCH("domain architect",$C88)),ISNUMBER(SEARCH("enterprise architect",$C88))),"Architecture",IF($AQ88=1,"Leadership","Squad")))))</f>
        <v>Squad</v>
      </c>
      <c r="AS88" t="str">
        <f>IF(TRIM($B88)="","",IFERROR(INDEX(Lists!$AA:$AA,MATCH($AP88,Lists!$Z:$Z,0)),$AP88))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U89*(1+V89+W89+X89+Y89+Z89)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IFERROR(INDEX(Lists!$U$1:$U$25,MATCH($I89,Lists!$T$1:$T$25,0)),"?")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technology",$C89)),"Head of Technology",IF(ISNUMBER(SEARCH("TDD BP",$C89)),"Business Partner",IF(OR(ISNUMBER(SEARCH("domain architect",$C89)),ISNUMBER(SEARCH("enterprise architect",$C89))),"Architecture",IF($AQ89=1,"Leadership","Squad")))))</f>
        <v>Squad</v>
      </c>
      <c r="AS89" t="str">
        <f>IF(TRIM($B89)="","",IFERROR(INDEX(Lists!$AA:$AA,MATCH($AP89,Lists!$Z:$Z,0)),$AP89))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U90*(1+V90+W90+X90+Y90+Z90)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IFERROR(INDEX(Lists!$U$1:$U$25,MATCH($I90,Lists!$T$1:$T$25,0)),"?")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technology",$C90)),"Head of Technology",IF(ISNUMBER(SEARCH("TDD BP",$C90)),"Business Partner",IF(OR(ISNUMBER(SEARCH("domain architect",$C90)),ISNUMBER(SEARCH("enterprise architect",$C90))),"Architecture",IF($AQ90=1,"Leadership","Squad")))))</f>
        <v>Squad</v>
      </c>
      <c r="AS90" t="str">
        <f>IF(TRIM($B90)="","",IFERROR(INDEX(Lists!$AA:$AA,MATCH($AP90,Lists!$Z:$Z,0)),$AP90))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U91*(1+V91+W91+X91+Y91+Z91)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IFERROR(INDEX(Lists!$U$1:$U$25,MATCH($I91,Lists!$T$1:$T$25,0)),"?")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technology",$C91)),"Head of Technology",IF(ISNUMBER(SEARCH("TDD BP",$C91)),"Business Partner",IF(OR(ISNUMBER(SEARCH("domain architect",$C91)),ISNUMBER(SEARCH("enterprise architect",$C91))),"Architecture",IF($AQ91=1,"Leadership","Squad")))))</f>
        <v>Squad</v>
      </c>
      <c r="AS91" t="str">
        <f>IF(TRIM($B91)="","",IFERROR(INDEX(Lists!$AA:$AA,MATCH($AP91,Lists!$Z:$Z,0)),$AP91))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U92*(1+V92+W92+X92+Y92+Z92)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IFERROR(INDEX(Lists!$U$1:$U$25,MATCH($I92,Lists!$T$1:$T$25,0)),"?")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technology",$C92)),"Head of Technology",IF(ISNUMBER(SEARCH("TDD BP",$C92)),"Business Partner",IF(OR(ISNUMBER(SEARCH("domain architect",$C92)),ISNUMBER(SEARCH("enterprise architect",$C92))),"Architecture",IF($AQ92=1,"Leadership","Squad")))))</f>
        <v>Squad</v>
      </c>
      <c r="AS92" t="str">
        <f>IF(TRIM($B92)="","",IFERROR(INDEX(Lists!$AA:$AA,MATCH($AP92,Lists!$Z:$Z,0)),$AP92))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U93*(1+V93+W93+X93+Y93+Z93)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IFERROR(INDEX(Lists!$U$1:$U$25,MATCH($I93,Lists!$T$1:$T$25,0)),"?")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technology",$C93)),"Head of Technology",IF(ISNUMBER(SEARCH("TDD BP",$C93)),"Business Partner",IF(OR(ISNUMBER(SEARCH("domain architect",$C93)),ISNUMBER(SEARCH("enterprise architect",$C93))),"Architecture",IF($AQ93=1,"Leadership","Squad")))))</f>
        <v>Squad</v>
      </c>
      <c r="AS93" t="str">
        <f>IF(TRIM($B93)="","",IFERROR(INDEX(Lists!$AA:$AA,MATCH($AP93,Lists!$Z:$Z,0)),$AP93))</f>
        <v>Network /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U94*(1+V94+W94+X94+Y94+Z94)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IFERROR(INDEX(Lists!$U$1:$U$25,MATCH($I94,Lists!$T$1:$T$25,0)),"?")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technology",$C94)),"Head of Technology",IF(ISNUMBER(SEARCH("TDD BP",$C94)),"Business Partner",IF(OR(ISNUMBER(SEARCH("domain architect",$C94)),ISNUMBER(SEARCH("enterprise architect",$C94))),"Architecture",IF($AQ94=1,"Leadership","Squad")))))</f>
        <v>Squad</v>
      </c>
      <c r="AS94" t="str">
        <f>IF(TRIM($B94)="","",IFERROR(INDEX(Lists!$AA:$AA,MATCH($AP94,Lists!$Z:$Z,0)),$AP94))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U95*(1+V95+W95+X95+Y95+Z95)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IFERROR(INDEX(Lists!$U$1:$U$25,MATCH($I95,Lists!$T$1:$T$25,0)),"?")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technology",$C95)),"Head of Technology",IF(ISNUMBER(SEARCH("TDD BP",$C95)),"Business Partner",IF(OR(ISNUMBER(SEARCH("domain architect",$C95)),ISNUMBER(SEARCH("enterprise architect",$C95))),"Architecture",IF($AQ95=1,"Leadership","Squad")))))</f>
        <v>Squad</v>
      </c>
      <c r="AS95" t="str">
        <f>IF(TRIM($B95)="","",IFERROR(INDEX(Lists!$AA:$AA,MATCH($AP95,Lists!$Z:$Z,0)),$AP95))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U96*(1+V96+W96+X96+Y96+Z96)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IFERROR(INDEX(Lists!$U$1:$U$25,MATCH($I96,Lists!$T$1:$T$25,0)),"?")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technology",$C96)),"Head of Technology",IF(ISNUMBER(SEARCH("TDD BP",$C96)),"Business Partner",IF(OR(ISNUMBER(SEARCH("domain architect",$C96)),ISNUMBER(SEARCH("enterprise architect",$C96))),"Architecture",IF($AQ96=1,"Leadership","Squad")))))</f>
        <v>Leadership</v>
      </c>
      <c r="AS96" t="str">
        <f>IF(TRIM($B96)="","",IFERROR(INDEX(Lists!$AA:$AA,MATCH($AP96,Lists!$Z:$Z,0)),$AP96))</f>
        <v>Leadership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U97*(1+V97+W97+X97+Y97+Z97)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IFERROR(INDEX(Lists!$U$1:$U$25,MATCH($I97,Lists!$T$1:$T$25,0)),"?")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technology",$C97)),"Head of Technology",IF(ISNUMBER(SEARCH("TDD BP",$C97)),"Business Partner",IF(OR(ISNUMBER(SEARCH("domain architect",$C97)),ISNUMBER(SEARCH("enterprise architect",$C97))),"Architecture",IF($AQ97=1,"Leadership","Squad")))))</f>
        <v>Leadership</v>
      </c>
      <c r="AS97" t="str">
        <f>IF(TRIM($B97)="","",IFERROR(INDEX(Lists!$AA:$AA,MATCH($AP97,Lists!$Z:$Z,0)),$AP97))</f>
        <v>Leadership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U98*(1+V98+X98+Z98)+Y98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IFERROR(INDEX(Lists!$U$1:$U$25,MATCH($I98,Lists!$T$1:$T$25,0)),"?")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technology",$C98)),"Head of Technology",IF(ISNUMBER(SEARCH("TDD BP",$C98)),"Business Partner",IF(OR(ISNUMBER(SEARCH("domain architect",$C98)),ISNUMBER(SEARCH("enterprise architect",$C98))),"Architecture",IF($AQ98=1,"Leadership","Squad")))))</f>
        <v>Squad</v>
      </c>
      <c r="AS98" t="str">
        <f>IF(TRIM($B98)="","",IFERROR(INDEX(Lists!$AA:$AA,MATCH($AP98,Lists!$Z:$Z,0)),$AP98))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U99*(1+V99+W99+X99+Y99+Z99)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IFERROR(INDEX(Lists!$U$1:$U$25,MATCH($I99,Lists!$T$1:$T$25,0)),"?")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technology",$C99)),"Head of Technology",IF(ISNUMBER(SEARCH("TDD BP",$C99)),"Business Partner",IF(OR(ISNUMBER(SEARCH("domain architect",$C99)),ISNUMBER(SEARCH("enterprise architect",$C99))),"Architecture",IF($AQ99=1,"Leadership","Squad")))))</f>
        <v>Squad</v>
      </c>
      <c r="AS99" t="str">
        <f>IF(TRIM($B99)="","",IFERROR(INDEX(Lists!$AA:$AA,MATCH($AP99,Lists!$Z:$Z,0)),$AP99))</f>
        <v>Network /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U100*(1+V100+W100+X100+Y100+Z100)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IFERROR(INDEX(Lists!$U$1:$U$25,MATCH($I100,Lists!$T$1:$T$25,0)),"?")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technology",$C100)),"Head of Technology",IF(ISNUMBER(SEARCH("TDD BP",$C100)),"Business Partner",IF(OR(ISNUMBER(SEARCH("domain architect",$C100)),ISNUMBER(SEARCH("enterprise architect",$C100))),"Architecture",IF($AQ100=1,"Leadership","Squad")))))</f>
        <v>Leadership</v>
      </c>
      <c r="AS100" t="str">
        <f>IF(TRIM($B100)="","",IFERROR(INDEX(Lists!$AA:$AA,MATCH($AP100,Lists!$Z:$Z,0)),$AP100))</f>
        <v>Leadership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U101*(1+V101+W101+X101+Y101+Z101)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IFERROR(INDEX(Lists!$U$1:$U$25,MATCH($I101,Lists!$T$1:$T$25,0)),"?")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technology",$C101)),"Head of Technology",IF(ISNUMBER(SEARCH("TDD BP",$C101)),"Business Partner",IF(OR(ISNUMBER(SEARCH("domain architect",$C101)),ISNUMBER(SEARCH("enterprise architect",$C101))),"Architecture",IF($AQ101=1,"Leadership","Squad")))))</f>
        <v>Squad</v>
      </c>
      <c r="AS101" t="str">
        <f>IF(TRIM($B101)="","",IFERROR(INDEX(Lists!$AA:$AA,MATCH($AP101,Lists!$Z:$Z,0)),$AP101))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U102*(1+V102+W102+X102+Y102+Z102)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IFERROR(INDEX(Lists!$U$1:$U$25,MATCH($I102,Lists!$T$1:$T$25,0)),"?")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technology",$C102)),"Head of Technology",IF(ISNUMBER(SEARCH("TDD BP",$C102)),"Business Partner",IF(OR(ISNUMBER(SEARCH("domain architect",$C102)),ISNUMBER(SEARCH("enterprise architect",$C102))),"Architecture",IF($AQ102=1,"Leadership","Squad")))))</f>
        <v>Squad</v>
      </c>
      <c r="AS102" t="str">
        <f>IF(TRIM($B102)="","",IFERROR(INDEX(Lists!$AA:$AA,MATCH($AP102,Lists!$Z:$Z,0)),$AP102))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U103*(1+V103+W103+X103+Y103+Z103)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IFERROR(INDEX(Lists!$U$1:$U$25,MATCH($I103,Lists!$T$1:$T$25,0)),"?")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technology",$C103)),"Head of Technology",IF(ISNUMBER(SEARCH("TDD BP",$C103)),"Business Partner",IF(OR(ISNUMBER(SEARCH("domain architect",$C103)),ISNUMBER(SEARCH("enterprise architect",$C103))),"Architecture",IF($AQ103=1,"Leadership","Squad")))))</f>
        <v>Squad</v>
      </c>
      <c r="AS103" t="str">
        <f>IF(TRIM($B103)="","",IFERROR(INDEX(Lists!$AA:$AA,MATCH($AP103,Lists!$Z:$Z,0)),$AP103))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S104*222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IFERROR(INDEX(Lists!$U$1:$U$25,MATCH($I104,Lists!$T$1:$T$25,0)),"?")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technology",$C104)),"Head of Technology",IF(ISNUMBER(SEARCH("TDD BP",$C104)),"Business Partner",IF(OR(ISNUMBER(SEARCH("domain architect",$C104)),ISNUMBER(SEARCH("enterprise architect",$C104))),"Architecture",IF($AQ104=1,"Leadership","Squad")))))</f>
        <v>Squad</v>
      </c>
      <c r="AS104" t="str">
        <f>IF(TRIM($B104)="","",IFERROR(INDEX(Lists!$AA:$AA,MATCH($AP104,Lists!$Z:$Z,0)),$AP104))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U105*(1+V105+X105+Z105)+Y105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IFERROR(INDEX(Lists!$U$1:$U$25,MATCH($I105,Lists!$T$1:$T$25,0)),"?")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technology",$C105)),"Head of Technology",IF(ISNUMBER(SEARCH("TDD BP",$C105)),"Business Partner",IF(OR(ISNUMBER(SEARCH("domain architect",$C105)),ISNUMBER(SEARCH("enterprise architect",$C105))),"Architecture",IF($AQ105=1,"Leadership","Squad")))))</f>
        <v>Squad</v>
      </c>
      <c r="AS105" t="str">
        <f>IF(TRIM($B105)="","",IFERROR(INDEX(Lists!$AA:$AA,MATCH($AP105,Lists!$Z:$Z,0)),$AP105))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U106*(1+V106+W106+X106+Y106+Z106)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IFERROR(INDEX(Lists!$U$1:$U$25,MATCH($I106,Lists!$T$1:$T$25,0)),"?")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technology",$C106)),"Head of Technology",IF(ISNUMBER(SEARCH("TDD BP",$C106)),"Business Partner",IF(OR(ISNUMBER(SEARCH("domain architect",$C106)),ISNUMBER(SEARCH("enterprise architect",$C106))),"Architecture",IF($AQ106=1,"Leadership","Squad")))))</f>
        <v>Squad</v>
      </c>
      <c r="AS106" t="str">
        <f>IF(TRIM($B106)="","",IFERROR(INDEX(Lists!$AA:$AA,MATCH($AP106,Lists!$Z:$Z,0)),$AP106))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U107*(1+V107+X107+Z107)+Y107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IFERROR(INDEX(Lists!$U$1:$U$25,MATCH($I107,Lists!$T$1:$T$25,0)),"?")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technology",$C107)),"Head of Technology",IF(ISNUMBER(SEARCH("TDD BP",$C107)),"Business Partner",IF(OR(ISNUMBER(SEARCH("domain architect",$C107)),ISNUMBER(SEARCH("enterprise architect",$C107))),"Architecture",IF($AQ107=1,"Leadership","Squad")))))</f>
        <v>Squad</v>
      </c>
      <c r="AS107" t="str">
        <f>IF(TRIM($B107)="","",IFERROR(INDEX(Lists!$AA:$AA,MATCH($AP107,Lists!$Z:$Z,0)),$AP107))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 t="n"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IFERROR(INDEX(Lists!$U$1:$U$25,MATCH($I108,Lists!$T$1:$T$25,0)),"?")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technology",$C108)),"Head of Technology",IF(ISNUMBER(SEARCH("TDD BP",$C108)),"Business Partner",IF(OR(ISNUMBER(SEARCH("domain architect",$C108)),ISNUMBER(SEARCH("enterprise architect",$C108))),"Architecture",IF($AQ108=1,"Leadership","Squad")))))</f>
        <v>Squad</v>
      </c>
      <c r="AS108" t="str">
        <f>IF(TRIM($B108)="","",IFERROR(INDEX(Lists!$AA:$AA,MATCH($AP108,Lists!$Z:$Z,0)),$AP108))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 t="n"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IFERROR(INDEX(Lists!$U$1:$U$25,MATCH($I109,Lists!$T$1:$T$25,0)),"?")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technology",$C109)),"Head of Technology",IF(ISNUMBER(SEARCH("TDD BP",$C109)),"Business Partner",IF(OR(ISNUMBER(SEARCH("domain architect",$C109)),ISNUMBER(SEARCH("enterprise architect",$C109))),"Architecture",IF($AQ109=1,"Leadership","Squad")))))</f>
        <v>Leadership</v>
      </c>
      <c r="AS109" t="str">
        <f>IF(TRIM($B109)="","",IFERROR(INDEX(Lists!$AA:$AA,MATCH($AP109,Lists!$Z:$Z,0)),$AP109))</f>
        <v>Leadership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 t="n"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IFERROR(INDEX(Lists!$U$1:$U$25,MATCH($I110,Lists!$T$1:$T$25,0)),"?")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technology",$C110)),"Head of Technology",IF(ISNUMBER(SEARCH("TDD BP",$C110)),"Business Partner",IF(OR(ISNUMBER(SEARCH("domain architect",$C110)),ISNUMBER(SEARCH("enterprise architect",$C110))),"Architecture",IF($AQ110=1,"Leadership","Squad")))))</f>
        <v>Leadership</v>
      </c>
      <c r="AS110" t="str">
        <f>IF(TRIM($B110)="","",IFERROR(INDEX(Lists!$AA:$AA,MATCH($AP110,Lists!$Z:$Z,0)),$AP110))</f>
        <v>Leadership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 t="n"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IFERROR(INDEX(Lists!$U$1:$U$25,MATCH($I111,Lists!$T$1:$T$25,0)),"?")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technology",$C111)),"Head of Technology",IF(ISNUMBER(SEARCH("TDD BP",$C111)),"Business Partner",IF(OR(ISNUMBER(SEARCH("domain architect",$C111)),ISNUMBER(SEARCH("enterprise architect",$C111))),"Architecture",IF($AQ111=1,"Leadership","Squad")))))</f>
        <v>Squad</v>
      </c>
      <c r="AS111" t="str">
        <f>IF(TRIM($B111)="","",IFERROR(INDEX(Lists!$AA:$AA,MATCH($AP111,Lists!$Z:$Z,0)),$AP111))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 t="n"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IFERROR(INDEX(Lists!$U$1:$U$25,MATCH($I112,Lists!$T$1:$T$25,0)),"?")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technology",$C112)),"Head of Technology",IF(ISNUMBER(SEARCH("TDD BP",$C112)),"Business Partner",IF(OR(ISNUMBER(SEARCH("domain architect",$C112)),ISNUMBER(SEARCH("enterprise architect",$C112))),"Architecture",IF($AQ112=1,"Leadership","Squad")))))</f>
        <v>Squad</v>
      </c>
      <c r="AS112" t="str">
        <f>IF(TRIM($B112)="","",IFERROR(INDEX(Lists!$AA:$AA,MATCH($AP112,Lists!$Z:$Z,0)),$AP112))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 t="n"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IFERROR(INDEX(Lists!$U$1:$U$25,MATCH($I113,Lists!$T$1:$T$25,0)),"?")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technology",$C113)),"Head of Technology",IF(ISNUMBER(SEARCH("TDD BP",$C113)),"Business Partner",IF(OR(ISNUMBER(SEARCH("domain architect",$C113)),ISNUMBER(SEARCH("enterprise architect",$C113))),"Architecture",IF($AQ113=1,"Leadership","Squad")))))</f>
        <v>Head of Technology</v>
      </c>
      <c r="AS113" t="str">
        <f>IF(TRIM($B113)="","",IFERROR(INDEX(Lists!$AA:$AA,MATCH($AP113,Lists!$Z:$Z,0)),$AP113))</f>
        <v>Leadership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 t="n"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IFERROR(INDEX(Lists!$U$1:$U$25,MATCH($I114,Lists!$T$1:$T$25,0)),"?")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technology",$C114)),"Head of Technology",IF(ISNUMBER(SEARCH("TDD BP",$C114)),"Business Partner",IF(OR(ISNUMBER(SEARCH("domain architect",$C114)),ISNUMBER(SEARCH("enterprise architect",$C114))),"Architecture",IF($AQ114=1,"Leadership","Squad")))))</f>
        <v>Squad</v>
      </c>
      <c r="AS114" t="str">
        <f>IF(TRIM($B114)="","",IFERROR(INDEX(Lists!$AA:$AA,MATCH($AP114,Lists!$Z:$Z,0)),$AP114))</f>
        <v>AU CRM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 t="n"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IFERROR(INDEX(Lists!$U$1:$U$25,MATCH($I115,Lists!$T$1:$T$25,0)),"?")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technology",$C115)),"Head of Technology",IF(ISNUMBER(SEARCH("TDD BP",$C115)),"Business Partner",IF(OR(ISNUMBER(SEARCH("domain architect",$C115)),ISNUMBER(SEARCH("enterprise architect",$C115))),"Architecture",IF($AQ115=1,"Leadership","Squad")))))</f>
        <v>Squad</v>
      </c>
      <c r="AS115" t="str">
        <f>IF(TRIM($B115)="","",IFERROR(INDEX(Lists!$AA:$AA,MATCH($AP115,Lists!$Z:$Z,0)),$AP115))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 t="n"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IFERROR(INDEX(Lists!$U$1:$U$25,MATCH($I116,Lists!$T$1:$T$25,0)),"?")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technology",$C116)),"Head of Technology",IF(ISNUMBER(SEARCH("TDD BP",$C116)),"Business Partner",IF(OR(ISNUMBER(SEARCH("domain architect",$C116)),ISNUMBER(SEARCH("enterprise architect",$C116))),"Architecture",IF($AQ116=1,"Leadership","Squad")))))</f>
        <v>Squad</v>
      </c>
      <c r="AS116" t="str">
        <f>IF(TRIM($B116)="","",IFERROR(INDEX(Lists!$AA:$AA,MATCH($AP116,Lists!$Z:$Z,0)),$AP116))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 t="n"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IFERROR(INDEX(Lists!$U$1:$U$25,MATCH($I117,Lists!$T$1:$T$25,0)),"?")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technology",$C117)),"Head of Technology",IF(ISNUMBER(SEARCH("TDD BP",$C117)),"Business Partner",IF(OR(ISNUMBER(SEARCH("domain architect",$C117)),ISNUMBER(SEARCH("enterprise architect",$C117))),"Architecture",IF($AQ117=1,"Leadership","Squad")))))</f>
        <v>Squad</v>
      </c>
      <c r="AS117" t="str">
        <f>IF(TRIM($B117)="","",IFERROR(INDEX(Lists!$AA:$AA,MATCH($AP117,Lists!$Z:$Z,0)),$AP117))</f>
        <v>Z Energy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 t="n"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IFERROR(INDEX(Lists!$U$1:$U$25,MATCH($I118,Lists!$T$1:$T$25,0)),"?")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technology",$C118)),"Head of Technology",IF(ISNUMBER(SEARCH("TDD BP",$C118)),"Business Partner",IF(OR(ISNUMBER(SEARCH("domain architect",$C118)),ISNUMBER(SEARCH("enterprise architect",$C118))),"Architecture",IF($AQ118=1,"Leadership","Squad")))))</f>
        <v>Squad</v>
      </c>
      <c r="AS118" t="str">
        <f>IF(TRIM($B118)="","",IFERROR(INDEX(Lists!$AA:$AA,MATCH($AP118,Lists!$Z:$Z,0)),$AP118))</f>
        <v>Z Energy Apps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 t="n"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IFERROR(INDEX(Lists!$U$1:$U$25,MATCH($I119,Lists!$T$1:$T$25,0)),"?")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technology",$C119)),"Head of Technology",IF(ISNUMBER(SEARCH("TDD BP",$C119)),"Business Partner",IF(OR(ISNUMBER(SEARCH("domain architect",$C119)),ISNUMBER(SEARCH("enterprise architect",$C119))),"Architecture",IF($AQ119=1,"Leadership","Squad")))))</f>
        <v>Squad</v>
      </c>
      <c r="AS119" t="str">
        <f>IF(TRIM($B119)="","",IFERROR(INDEX(Lists!$AA:$AA,MATCH($AP119,Lists!$Z:$Z,0)),$AP119))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 t="n"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IFERROR(INDEX(Lists!$U$1:$U$25,MATCH($I120,Lists!$T$1:$T$25,0)),"?")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technology",$C120)),"Head of Technology",IF(ISNUMBER(SEARCH("TDD BP",$C120)),"Business Partner",IF(OR(ISNUMBER(SEARCH("domain architect",$C120)),ISNUMBER(SEARCH("enterprise architect",$C120))),"Architecture",IF($AQ120=1,"Leadership","Squad")))))</f>
        <v>Squad</v>
      </c>
      <c r="AS120" t="str">
        <f>IF(TRIM($B120)="","",IFERROR(INDEX(Lists!$AA:$AA,MATCH($AP120,Lists!$Z:$Z,0)),$AP120))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 t="n"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IFERROR(INDEX(Lists!$U$1:$U$25,MATCH($I121,Lists!$T$1:$T$25,0)),"?")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technology",$C121)),"Head of Technology",IF(ISNUMBER(SEARCH("TDD BP",$C121)),"Business Partner",IF(OR(ISNUMBER(SEARCH("domain architect",$C121)),ISNUMBER(SEARCH("enterprise architect",$C121))),"Architecture",IF($AQ121=1,"Leadership","Squad")))))</f>
        <v>Squad</v>
      </c>
      <c r="AS121" t="str">
        <f>IF(TRIM($B121)="","",IFERROR(INDEX(Lists!$AA:$AA,MATCH($AP121,Lists!$Z:$Z,0)),$AP121))</f>
        <v>Z Energy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 t="n"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IFERROR(INDEX(Lists!$U$1:$U$25,MATCH($I122,Lists!$T$1:$T$25,0)),"?")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technology",$C122)),"Head of Technology",IF(ISNUMBER(SEARCH("TDD BP",$C122)),"Business Partner",IF(OR(ISNUMBER(SEARCH("domain architect",$C122)),ISNUMBER(SEARCH("enterprise architect",$C122))),"Architecture",IF($AQ122=1,"Leadership","Squad")))))</f>
        <v>Squad</v>
      </c>
      <c r="AS122" t="str">
        <f>IF(TRIM($B122)="","",IFERROR(INDEX(Lists!$AA:$AA,MATCH($AP122,Lists!$Z:$Z,0)),$AP122))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 t="n"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IFERROR(INDEX(Lists!$U$1:$U$25,MATCH($I123,Lists!$T$1:$T$25,0)),"?")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technology",$C123)),"Head of Technology",IF(ISNUMBER(SEARCH("TDD BP",$C123)),"Business Partner",IF(OR(ISNUMBER(SEARCH("domain architect",$C123)),ISNUMBER(SEARCH("enterprise architect",$C123))),"Architecture",IF($AQ123=1,"Leadership","Squad")))))</f>
        <v>Leadership</v>
      </c>
      <c r="AS123" t="str">
        <f>IF(TRIM($B123)="","",IFERROR(INDEX(Lists!$AA:$AA,MATCH($AP123,Lists!$Z:$Z,0)),$AP123))</f>
        <v>Leadership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 t="n"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IFERROR(INDEX(Lists!$U$1:$U$25,MATCH($I124,Lists!$T$1:$T$25,0)),"?")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technology",$C124)),"Head of Technology",IF(ISNUMBER(SEARCH("TDD BP",$C124)),"Business Partner",IF(OR(ISNUMBER(SEARCH("domain architect",$C124)),ISNUMBER(SEARCH("enterprise architect",$C124))),"Architecture",IF($AQ124=1,"Leadership","Squad")))))</f>
        <v>Squad</v>
      </c>
      <c r="AS124" t="str">
        <f>IF(TRIM($B124)="","",IFERROR(INDEX(Lists!$AA:$AA,MATCH($AP124,Lists!$Z:$Z,0)),$AP124))</f>
        <v>Z Energy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 t="n"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IFERROR(INDEX(Lists!$U$1:$U$25,MATCH($I125,Lists!$T$1:$T$25,0)),"?")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technology",$C125)),"Head of Technology",IF(ISNUMBER(SEARCH("TDD BP",$C125)),"Business Partner",IF(OR(ISNUMBER(SEARCH("domain architect",$C125)),ISNUMBER(SEARCH("enterprise architect",$C125))),"Architecture",IF($AQ125=1,"Leadership","Squad")))))</f>
        <v>Squad</v>
      </c>
      <c r="AS125" t="str">
        <f>IF(TRIM($B125)="","",IFERROR(INDEX(Lists!$AA:$AA,MATCH($AP125,Lists!$Z:$Z,0)),$AP125))</f>
        <v>Z Energy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 t="n"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IFERROR(INDEX(Lists!$U$1:$U$25,MATCH($I126,Lists!$T$1:$T$25,0)),"?")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technology",$C126)),"Head of Technology",IF(ISNUMBER(SEARCH("TDD BP",$C126)),"Business Partner",IF(OR(ISNUMBER(SEARCH("domain architect",$C126)),ISNUMBER(SEARCH("enterprise architect",$C126))),"Architecture",IF($AQ126=1,"Leadership","Squad")))))</f>
        <v>Leadership</v>
      </c>
      <c r="AS126" t="str">
        <f>IF(TRIM($B126)="","",IFERROR(INDEX(Lists!$AA:$AA,MATCH($AP126,Lists!$Z:$Z,0)),$AP126))</f>
        <v>Leadership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 t="n"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IFERROR(INDEX(Lists!$U$1:$U$25,MATCH($I127,Lists!$T$1:$T$25,0)),"?")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technology",$C127)),"Head of Technology",IF(ISNUMBER(SEARCH("TDD BP",$C127)),"Business Partner",IF(OR(ISNUMBER(SEARCH("domain architect",$C127)),ISNUMBER(SEARCH("enterprise architect",$C127))),"Architecture",IF($AQ127=1,"Leadership","Squad")))))</f>
        <v>Squad</v>
      </c>
      <c r="AS127" t="str">
        <f>IF(TRIM($B127)="","",IFERROR(INDEX(Lists!$AA:$AA,MATCH($AP127,Lists!$Z:$Z,0)),$AP127))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 t="n"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IFERROR(INDEX(Lists!$U$1:$U$25,MATCH($I128,Lists!$T$1:$T$25,0)),"?")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technology",$C128)),"Head of Technology",IF(ISNUMBER(SEARCH("TDD BP",$C128)),"Business Partner",IF(OR(ISNUMBER(SEARCH("domain architect",$C128)),ISNUMBER(SEARCH("enterprise architect",$C128))),"Architecture",IF($AQ128=1,"Leadership","Squad")))))</f>
        <v>Squad</v>
      </c>
      <c r="AS128" t="str">
        <f>IF(TRIM($B128)="","",IFERROR(INDEX(Lists!$AA:$AA,MATCH($AP128,Lists!$Z:$Z,0)),$AP128))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 t="n"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IFERROR(INDEX(Lists!$U$1:$U$25,MATCH($I129,Lists!$T$1:$T$25,0)),"?")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technology",$C129)),"Head of Technology",IF(ISNUMBER(SEARCH("TDD BP",$C129)),"Business Partner",IF(OR(ISNUMBER(SEARCH("domain architect",$C129)),ISNUMBER(SEARCH("enterprise architect",$C129))),"Architecture",IF($AQ129=1,"Leadership","Squad")))))</f>
        <v>Squad</v>
      </c>
      <c r="AS129" t="str">
        <f>IF(TRIM($B129)="","",IFERROR(INDEX(Lists!$AA:$AA,MATCH($AP129,Lists!$Z:$Z,0)),$AP129))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 t="n"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IFERROR(INDEX(Lists!$U$1:$U$25,MATCH($I130,Lists!$T$1:$T$25,0)),"?")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Energy Martech</v>
      </c>
      <c r="AQ130" s="949" t="b">
        <f>IF(TRIM($B130)="","",--OR(TRIM($K130)="Leadership",TRIM($J130)="Leadership"))</f>
        <v>0</v>
      </c>
      <c r="AR130" t="str">
        <f>IF(TRIM($B130)="","",IF(ISNUMBER(SEARCH("head of technology",$C130)),"Head of Technology",IF(ISNUMBER(SEARCH("TDD BP",$C130)),"Business Partner",IF(OR(ISNUMBER(SEARCH("domain architect",$C130)),ISNUMBER(SEARCH("enterprise architect",$C130))),"Architecture",IF($AQ130=1,"Leadership","Squad")))))</f>
        <v>Squad</v>
      </c>
      <c r="AS130" t="str">
        <f>IF(TRIM($B130)="","",IFERROR(INDEX(Lists!$AA:$AA,MATCH($AP130,Lists!$Z:$Z,0)),$AP130))</f>
        <v>Z Energy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 t="n"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IFERROR(INDEX(Lists!$U$1:$U$25,MATCH($I131,Lists!$T$1:$T$25,0)),"?")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technology",$C131)),"Head of Technology",IF(ISNUMBER(SEARCH("TDD BP",$C131)),"Business Partner",IF(OR(ISNUMBER(SEARCH("domain architect",$C131)),ISNUMBER(SEARCH("enterprise architect",$C131))),"Architecture",IF($AQ131=1,"Leadership","Squad")))))</f>
        <v>Leadership</v>
      </c>
      <c r="AS131" t="str">
        <f>IF(TRIM($B131)="","",IFERROR(INDEX(Lists!$AA:$AA,MATCH($AP131,Lists!$Z:$Z,0)),$AP131))</f>
        <v>Leadership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 t="n"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IFERROR(INDEX(Lists!$U$1:$U$25,MATCH($I132,Lists!$T$1:$T$25,0)),"?")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technology",$C132)),"Head of Technology",IF(ISNUMBER(SEARCH("TDD BP",$C132)),"Business Partner",IF(OR(ISNUMBER(SEARCH("domain architect",$C132)),ISNUMBER(SEARCH("enterprise architect",$C132))),"Architecture",IF($AQ132=1,"Leadership","Squad")))))</f>
        <v>Squad</v>
      </c>
      <c r="AS132" t="str">
        <f>IF(TRIM($B132)="","",IFERROR(INDEX(Lists!$AA:$AA,MATCH($AP132,Lists!$Z:$Z,0)),$AP132))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 t="n"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IFERROR(INDEX(Lists!$U$1:$U$25,MATCH($I133,Lists!$T$1:$T$25,0)),"?")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technology",$C133)),"Head of Technology",IF(ISNUMBER(SEARCH("TDD BP",$C133)),"Business Partner",IF(OR(ISNUMBER(SEARCH("domain architect",$C133)),ISNUMBER(SEARCH("enterprise architect",$C133))),"Architecture",IF($AQ133=1,"Leadership","Squad")))))</f>
        <v>Squad</v>
      </c>
      <c r="AS133" t="str">
        <f>IF(TRIM($B133)="","",IFERROR(INDEX(Lists!$AA:$AA,MATCH($AP133,Lists!$Z:$Z,0)),$AP133))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 t="n"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IFERROR(INDEX(Lists!$U$1:$U$25,MATCH($I134,Lists!$T$1:$T$25,0)),"?")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technology",$C134)),"Head of Technology",IF(ISNUMBER(SEARCH("TDD BP",$C134)),"Business Partner",IF(OR(ISNUMBER(SEARCH("domain architect",$C134)),ISNUMBER(SEARCH("enterprise architect",$C134))),"Architecture",IF($AQ134=1,"Leadership","Squad")))))</f>
        <v>Squad</v>
      </c>
      <c r="AS134" t="str">
        <f>IF(TRIM($B134)="","",IFERROR(INDEX(Lists!$AA:$AA,MATCH($AP134,Lists!$Z:$Z,0)),$AP134))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 t="n"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IFERROR(INDEX(Lists!$U$1:$U$25,MATCH($I135,Lists!$T$1:$T$25,0)),"?")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technology",$C135)),"Head of Technology",IF(ISNUMBER(SEARCH("TDD BP",$C135)),"Business Partner",IF(OR(ISNUMBER(SEARCH("domain architect",$C135)),ISNUMBER(SEARCH("enterprise architect",$C135))),"Architecture",IF($AQ135=1,"Leadership","Squad")))))</f>
        <v>Squad</v>
      </c>
      <c r="AS135" t="str">
        <f>IF(TRIM($B135)="","",IFERROR(INDEX(Lists!$AA:$AA,MATCH($AP135,Lists!$Z:$Z,0)),$AP135))</f>
        <v>Z Energy Apps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 t="n"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IFERROR(INDEX(Lists!$U$1:$U$25,MATCH($I136,Lists!$T$1:$T$25,0)),"?")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technology",$C136)),"Head of Technology",IF(ISNUMBER(SEARCH("TDD BP",$C136)),"Business Partner",IF(OR(ISNUMBER(SEARCH("domain architect",$C136)),ISNUMBER(SEARCH("enterprise architect",$C136))),"Architecture",IF($AQ136=1,"Leadership","Squad")))))</f>
        <v>Squad</v>
      </c>
      <c r="AS136" t="str">
        <f>IF(TRIM($B136)="","",IFERROR(INDEX(Lists!$AA:$AA,MATCH($AP136,Lists!$Z:$Z,0)),$AP136))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 t="n"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IFERROR(INDEX(Lists!$U$1:$U$25,MATCH($I137,Lists!$T$1:$T$25,0)),"?")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technology",$C137)),"Head of Technology",IF(ISNUMBER(SEARCH("TDD BP",$C137)),"Business Partner",IF(OR(ISNUMBER(SEARCH("domain architect",$C137)),ISNUMBER(SEARCH("enterprise architect",$C137))),"Architecture",IF($AQ137=1,"Leadership","Squad")))))</f>
        <v>Squad</v>
      </c>
      <c r="AS137" t="str">
        <f>IF(TRIM($B137)="","",IFERROR(INDEX(Lists!$AA:$AA,MATCH($AP137,Lists!$Z:$Z,0)),$AP137))</f>
        <v>AU CRM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 t="n"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IFERROR(INDEX(Lists!$U$1:$U$25,MATCH($I138,Lists!$T$1:$T$25,0)),"?")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technology",$C138)),"Head of Technology",IF(ISNUMBER(SEARCH("TDD BP",$C138)),"Business Partner",IF(OR(ISNUMBER(SEARCH("domain architect",$C138)),ISNUMBER(SEARCH("enterprise architect",$C138))),"Architecture",IF($AQ138=1,"Leadership","Squad")))))</f>
        <v>Squad</v>
      </c>
      <c r="AS138" t="str">
        <f>IF(TRIM($B138)="","",IFERROR(INDEX(Lists!$AA:$AA,MATCH($AP138,Lists!$Z:$Z,0)),$AP138))</f>
        <v>AU CRM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 t="n"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IFERROR(INDEX(Lists!$U$1:$U$25,MATCH($I139,Lists!$T$1:$T$25,0)),"?")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technology",$C139)),"Head of Technology",IF(ISNUMBER(SEARCH("TDD BP",$C139)),"Business Partner",IF(OR(ISNUMBER(SEARCH("domain architect",$C139)),ISNUMBER(SEARCH("enterprise architect",$C139))),"Architecture",IF($AQ139=1,"Leadership","Squad")))))</f>
        <v>Squad</v>
      </c>
      <c r="AS139" t="str">
        <f>IF(TRIM($B139)="","",IFERROR(INDEX(Lists!$AA:$AA,MATCH($AP139,Lists!$Z:$Z,0)),$AP139))</f>
        <v>Z Energy Martech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 t="n"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IFERROR(INDEX(Lists!$U$1:$U$25,MATCH($I140,Lists!$T$1:$T$25,0)),"?")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technology",$C140)),"Head of Technology",IF(ISNUMBER(SEARCH("TDD BP",$C140)),"Business Partner",IF(OR(ISNUMBER(SEARCH("domain architect",$C140)),ISNUMBER(SEARCH("enterprise architect",$C140))),"Architecture",IF($AQ140=1,"Leadership","Squad")))))</f>
        <v>Squad</v>
      </c>
      <c r="AS140" t="str">
        <f>IF(TRIM($B140)="","",IFERROR(INDEX(Lists!$AA:$AA,MATCH($AP140,Lists!$Z:$Z,0)),$AP140))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 t="n"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IFERROR(INDEX(Lists!$U$1:$U$25,MATCH($I141,Lists!$T$1:$T$25,0)),"?")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technology",$C141)),"Head of Technology",IF(ISNUMBER(SEARCH("TDD BP",$C141)),"Business Partner",IF(OR(ISNUMBER(SEARCH("domain architect",$C141)),ISNUMBER(SEARCH("enterprise architect",$C141))),"Architecture",IF($AQ141=1,"Leadership","Squad")))))</f>
        <v>Squad</v>
      </c>
      <c r="AS141" t="str">
        <f>IF(TRIM($B141)="","",IFERROR(INDEX(Lists!$AA:$AA,MATCH($AP141,Lists!$Z:$Z,0)),$AP141))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 t="n"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IFERROR(INDEX(Lists!$U$1:$U$25,MATCH($I142,Lists!$T$1:$T$25,0)),"?")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technology",$C142)),"Head of Technology",IF(ISNUMBER(SEARCH("TDD BP",$C142)),"Business Partner",IF(OR(ISNUMBER(SEARCH("domain architect",$C142)),ISNUMBER(SEARCH("enterprise architect",$C142))),"Architecture",IF($AQ142=1,"Leadership","Squad")))))</f>
        <v>Squad</v>
      </c>
      <c r="AS142" t="str">
        <f>IF(TRIM($B142)="","",IFERROR(INDEX(Lists!$AA:$AA,MATCH($AP142,Lists!$Z:$Z,0)),$AP142))</f>
        <v>Z Energy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 t="n"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IFERROR(INDEX(Lists!$U$1:$U$25,MATCH($I143,Lists!$T$1:$T$25,0)),"?")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technology",$C143)),"Head of Technology",IF(ISNUMBER(SEARCH("TDD BP",$C143)),"Business Partner",IF(OR(ISNUMBER(SEARCH("domain architect",$C143)),ISNUMBER(SEARCH("enterprise architect",$C143))),"Architecture",IF($AQ143=1,"Leadership","Squad")))))</f>
        <v>Squad</v>
      </c>
      <c r="AS143" t="str">
        <f>IF(TRIM($B143)="","",IFERROR(INDEX(Lists!$AA:$AA,MATCH($AP143,Lists!$Z:$Z,0)),$AP143))</f>
        <v>Z Energy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 t="n"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IFERROR(INDEX(Lists!$U$1:$U$25,MATCH($I144,Lists!$T$1:$T$25,0)),"?")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technology",$C144)),"Head of Technology",IF(ISNUMBER(SEARCH("TDD BP",$C144)),"Business Partner",IF(OR(ISNUMBER(SEARCH("domain architect",$C144)),ISNUMBER(SEARCH("enterprise architect",$C144))),"Architecture",IF($AQ144=1,"Leadership","Squad")))))</f>
        <v>Squad</v>
      </c>
      <c r="AS144" t="str">
        <f>IF(TRIM($B144)="","",IFERROR(INDEX(Lists!$AA:$AA,MATCH($AP144,Lists!$Z:$Z,0)),$AP144))</f>
        <v>Z Energy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 t="n"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IFERROR(INDEX(Lists!$U$1:$U$25,MATCH($I145,Lists!$T$1:$T$25,0)),"?")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technology",$C145)),"Head of Technology",IF(ISNUMBER(SEARCH("TDD BP",$C145)),"Business Partner",IF(OR(ISNUMBER(SEARCH("domain architect",$C145)),ISNUMBER(SEARCH("enterprise architect",$C145))),"Architecture",IF($AQ145=1,"Leadership","Squad")))))</f>
        <v>Squad</v>
      </c>
      <c r="AS145" t="str">
        <f>IF(TRIM($B145)="","",IFERROR(INDEX(Lists!$AA:$AA,MATCH($AP145,Lists!$Z:$Z,0)),$AP145))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 t="n"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IFERROR(INDEX(Lists!$U$1:$U$25,MATCH($I146,Lists!$T$1:$T$25,0)),"?")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technology",$C146)),"Head of Technology",IF(ISNUMBER(SEARCH("TDD BP",$C146)),"Business Partner",IF(OR(ISNUMBER(SEARCH("domain architect",$C146)),ISNUMBER(SEARCH("enterprise architect",$C146))),"Architecture",IF($AQ146=1,"Leadership","Squad")))))</f>
        <v>Squad</v>
      </c>
      <c r="AS146" t="str">
        <f>IF(TRIM($B146)="","",IFERROR(INDEX(Lists!$AA:$AA,MATCH($AP146,Lists!$Z:$Z,0)),$AP146))</f>
        <v>Z Energy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 t="n"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IFERROR(INDEX(Lists!$U$1:$U$25,MATCH($I147,Lists!$T$1:$T$25,0)),"?")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technology",$C147)),"Head of Technology",IF(ISNUMBER(SEARCH("TDD BP",$C147)),"Business Partner",IF(OR(ISNUMBER(SEARCH("domain architect",$C147)),ISNUMBER(SEARCH("enterprise architect",$C147))),"Architecture",IF($AQ147=1,"Leadership","Squad")))))</f>
        <v>Leadership</v>
      </c>
      <c r="AS147" t="str">
        <f>IF(TRIM($B147)="","",IFERROR(INDEX(Lists!$AA:$AA,MATCH($AP147,Lists!$Z:$Z,0)),$AP147))</f>
        <v>Leadership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 t="n"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IFERROR(INDEX(Lists!$U$1:$U$25,MATCH($I148,Lists!$T$1:$T$25,0)),"?")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technology",$C148)),"Head of Technology",IF(ISNUMBER(SEARCH("TDD BP",$C148)),"Business Partner",IF(OR(ISNUMBER(SEARCH("domain architect",$C148)),ISNUMBER(SEARCH("enterprise architect",$C148))),"Architecture",IF($AQ148=1,"Leadership","Squad")))))</f>
        <v>Squad</v>
      </c>
      <c r="AS148" t="str">
        <f>IF(TRIM($B148)="","",IFERROR(INDEX(Lists!$AA:$AA,MATCH($AP148,Lists!$Z:$Z,0)),$AP148))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 t="n"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IFERROR(INDEX(Lists!$U$1:$U$25,MATCH($I149,Lists!$T$1:$T$25,0)),"?")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technology",$C149)),"Head of Technology",IF(ISNUMBER(SEARCH("TDD BP",$C149)),"Business Partner",IF(OR(ISNUMBER(SEARCH("domain architect",$C149)),ISNUMBER(SEARCH("enterprise architect",$C149))),"Architecture",IF($AQ149=1,"Leadership","Squad")))))</f>
        <v>Squad</v>
      </c>
      <c r="AS149" t="str">
        <f>IF(TRIM($B149)="","",IFERROR(INDEX(Lists!$AA:$AA,MATCH($AP149,Lists!$Z:$Z,0)),$AP149))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 t="n"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IFERROR(INDEX(Lists!$U$1:$U$25,MATCH($I150,Lists!$T$1:$T$25,0)),"?")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technology",$C150)),"Head of Technology",IF(ISNUMBER(SEARCH("TDD BP",$C150)),"Business Partner",IF(OR(ISNUMBER(SEARCH("domain architect",$C150)),ISNUMBER(SEARCH("enterprise architect",$C150))),"Architecture",IF($AQ150=1,"Leadership","Squad")))))</f>
        <v>Squad</v>
      </c>
      <c r="AS150" t="str">
        <f>IF(TRIM($B150)="","",IFERROR(INDEX(Lists!$AA:$AA,MATCH($AP150,Lists!$Z:$Z,0)),$AP150))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 t="n"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IFERROR(INDEX(Lists!$U$1:$U$25,MATCH($I151,Lists!$T$1:$T$25,0)),"?")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technology",$C151)),"Head of Technology",IF(ISNUMBER(SEARCH("TDD BP",$C151)),"Business Partner",IF(OR(ISNUMBER(SEARCH("domain architect",$C151)),ISNUMBER(SEARCH("enterprise architect",$C151))),"Architecture",IF($AQ151=1,"Leadership","Squad")))))</f>
        <v>Squad</v>
      </c>
      <c r="AS151" t="str">
        <f>IF(TRIM($B151)="","",IFERROR(INDEX(Lists!$AA:$AA,MATCH($AP151,Lists!$Z:$Z,0)),$AP151))</f>
        <v>Z Energy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 t="n"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IFERROR(INDEX(Lists!$U$1:$U$25,MATCH($I152,Lists!$T$1:$T$25,0)),"?")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technology",$C152)),"Head of Technology",IF(ISNUMBER(SEARCH("TDD BP",$C152)),"Business Partner",IF(OR(ISNUMBER(SEARCH("domain architect",$C152)),ISNUMBER(SEARCH("enterprise architect",$C152))),"Architecture",IF($AQ152=1,"Leadership","Squad")))))</f>
        <v>Leadership</v>
      </c>
      <c r="AS152" t="str">
        <f>IF(TRIM($B152)="","",IFERROR(INDEX(Lists!$AA:$AA,MATCH($AP152,Lists!$Z:$Z,0)),$AP152))</f>
        <v>Leadership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 t="n"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IFERROR(INDEX(Lists!$U$1:$U$25,MATCH($I153,Lists!$T$1:$T$25,0)),"?")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technology",$C153)),"Head of Technology",IF(ISNUMBER(SEARCH("TDD BP",$C153)),"Business Partner",IF(OR(ISNUMBER(SEARCH("domain architect",$C153)),ISNUMBER(SEARCH("enterprise architect",$C153))),"Architecture",IF($AQ153=1,"Leadership","Squad")))))</f>
        <v>Squad</v>
      </c>
      <c r="AS153" t="str">
        <f>IF(TRIM($B153)="","",IFERROR(INDEX(Lists!$AA:$AA,MATCH($AP153,Lists!$Z:$Z,0)),$AP153))</f>
        <v>Z Energy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 t="n"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IFERROR(INDEX(Lists!$U$1:$U$25,MATCH($I154,Lists!$T$1:$T$25,0)),"?")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technology",$C154)),"Head of Technology",IF(ISNUMBER(SEARCH("TDD BP",$C154)),"Business Partner",IF(OR(ISNUMBER(SEARCH("domain architect",$C154)),ISNUMBER(SEARCH("enterprise architect",$C154))),"Architecture",IF($AQ154=1,"Leadership","Squad")))))</f>
        <v>Squad</v>
      </c>
      <c r="AS154" t="str">
        <f>IF(TRIM($B154)="","",IFERROR(INDEX(Lists!$AA:$AA,MATCH($AP154,Lists!$Z:$Z,0)),$AP154))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 t="n"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IFERROR(INDEX(Lists!$U$1:$U$25,MATCH($I155,Lists!$T$1:$T$25,0)),"?")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technology",$C155)),"Head of Technology",IF(ISNUMBER(SEARCH("TDD BP",$C155)),"Business Partner",IF(OR(ISNUMBER(SEARCH("domain architect",$C155)),ISNUMBER(SEARCH("enterprise architect",$C155))),"Architecture",IF($AQ155=1,"Leadership","Squad")))))</f>
        <v>Squad</v>
      </c>
      <c r="AS155" t="str">
        <f>IF(TRIM($B155)="","",IFERROR(INDEX(Lists!$AA:$AA,MATCH($AP155,Lists!$Z:$Z,0)),$AP155))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 t="n"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IFERROR(INDEX(Lists!$U$1:$U$25,MATCH($I156,Lists!$T$1:$T$25,0)),"?")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technology",$C156)),"Head of Technology",IF(ISNUMBER(SEARCH("TDD BP",$C156)),"Business Partner",IF(OR(ISNUMBER(SEARCH("domain architect",$C156)),ISNUMBER(SEARCH("enterprise architect",$C156))),"Architecture",IF($AQ156=1,"Leadership","Squad")))))</f>
        <v>Squad</v>
      </c>
      <c r="AS156" t="str">
        <f>IF(TRIM($B156)="","",IFERROR(INDEX(Lists!$AA:$AA,MATCH($AP156,Lists!$Z:$Z,0)),$AP156))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 t="n"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IFERROR(INDEX(Lists!$U$1:$U$25,MATCH($I157,Lists!$T$1:$T$25,0)),"?")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technology",$C157)),"Head of Technology",IF(ISNUMBER(SEARCH("TDD BP",$C157)),"Business Partner",IF(OR(ISNUMBER(SEARCH("domain architect",$C157)),ISNUMBER(SEARCH("enterprise architect",$C157))),"Architecture",IF($AQ157=1,"Leadership","Squad")))))</f>
        <v>Squad</v>
      </c>
      <c r="AS157" t="str">
        <f>IF(TRIM($B157)="","",IFERROR(INDEX(Lists!$AA:$AA,MATCH($AP157,Lists!$Z:$Z,0)),$AP157))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 t="n"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IFERROR(INDEX(Lists!$U$1:$U$25,MATCH($I158,Lists!$T$1:$T$25,0)),"?")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technology",$C158)),"Head of Technology",IF(ISNUMBER(SEARCH("TDD BP",$C158)),"Business Partner",IF(OR(ISNUMBER(SEARCH("domain architect",$C158)),ISNUMBER(SEARCH("enterprise architect",$C158))),"Architecture",IF($AQ158=1,"Leadership","Squad")))))</f>
        <v>Squad</v>
      </c>
      <c r="AS158" t="str">
        <f>IF(TRIM($B158)="","",IFERROR(INDEX(Lists!$AA:$AA,MATCH($AP158,Lists!$Z:$Z,0)),$AP158))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 t="n"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IFERROR(INDEX(Lists!$U$1:$U$25,MATCH($I159,Lists!$T$1:$T$25,0)),"?")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technology",$C159)),"Head of Technology",IF(ISNUMBER(SEARCH("TDD BP",$C159)),"Business Partner",IF(OR(ISNUMBER(SEARCH("domain architect",$C159)),ISNUMBER(SEARCH("enterprise architect",$C159))),"Architecture",IF($AQ159=1,"Leadership","Squad")))))</f>
        <v>Squad</v>
      </c>
      <c r="AS159" t="str">
        <f>IF(TRIM($B159)="","",IFERROR(INDEX(Lists!$AA:$AA,MATCH($AP159,Lists!$Z:$Z,0)),$AP159))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 t="n"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IFERROR(INDEX(Lists!$U$1:$U$25,MATCH($I160,Lists!$T$1:$T$25,0)),"?")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technology",$C160)),"Head of Technology",IF(ISNUMBER(SEARCH("TDD BP",$C160)),"Business Partner",IF(OR(ISNUMBER(SEARCH("domain architect",$C160)),ISNUMBER(SEARCH("enterprise architect",$C160))),"Architecture",IF($AQ160=1,"Leadership","Squad")))))</f>
        <v>Squad</v>
      </c>
      <c r="AS160" t="str">
        <f>IF(TRIM($B160)="","",IFERROR(INDEX(Lists!$AA:$AA,MATCH($AP160,Lists!$Z:$Z,0)),$AP160))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 t="n"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IFERROR(INDEX(Lists!$U$1:$U$25,MATCH($I161,Lists!$T$1:$T$25,0)),"?")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technology",$C161)),"Head of Technology",IF(ISNUMBER(SEARCH("TDD BP",$C161)),"Business Partner",IF(OR(ISNUMBER(SEARCH("domain architect",$C161)),ISNUMBER(SEARCH("enterprise architect",$C161))),"Architecture",IF($AQ161=1,"Leadership","Squad")))))</f>
        <v>Squad</v>
      </c>
      <c r="AS161" t="str">
        <f>IF(TRIM($B161)="","",IFERROR(INDEX(Lists!$AA:$AA,MATCH($AP161,Lists!$Z:$Z,0)),$AP161))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 t="n"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IFERROR(INDEX(Lists!$U$1:$U$25,MATCH($I162,Lists!$T$1:$T$25,0)),"?")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technology",$C162)),"Head of Technology",IF(ISNUMBER(SEARCH("TDD BP",$C162)),"Business Partner",IF(OR(ISNUMBER(SEARCH("domain architect",$C162)),ISNUMBER(SEARCH("enterprise architect",$C162))),"Architecture",IF($AQ162=1,"Leadership","Squad")))))</f>
        <v>Squad</v>
      </c>
      <c r="AS162" t="str">
        <f>IF(TRIM($B162)="","",IFERROR(INDEX(Lists!$AA:$AA,MATCH($AP162,Lists!$Z:$Z,0)),$AP162))</f>
        <v>Z Energy Apps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 t="n"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IFERROR(INDEX(Lists!$U$1:$U$25,MATCH($I163,Lists!$T$1:$T$25,0)),"?")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technology",$C163)),"Head of Technology",IF(ISNUMBER(SEARCH("TDD BP",$C163)),"Business Partner",IF(OR(ISNUMBER(SEARCH("domain architect",$C163)),ISNUMBER(SEARCH("enterprise architect",$C163))),"Architecture",IF($AQ163=1,"Leadership","Squad")))))</f>
        <v>Squad</v>
      </c>
      <c r="AS163" t="str">
        <f>IF(TRIM($B163)="","",IFERROR(INDEX(Lists!$AA:$AA,MATCH($AP163,Lists!$Z:$Z,0)),$AP163))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 t="n"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IFERROR(INDEX(Lists!$U$1:$U$25,MATCH($I164,Lists!$T$1:$T$25,0)),"?")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technology",$C164)),"Head of Technology",IF(ISNUMBER(SEARCH("TDD BP",$C164)),"Business Partner",IF(OR(ISNUMBER(SEARCH("domain architect",$C164)),ISNUMBER(SEARCH("enterprise architect",$C164))),"Architecture",IF($AQ164=1,"Leadership","Squad")))))</f>
        <v>Squad</v>
      </c>
      <c r="AS164" t="str">
        <f>IF(TRIM($B164)="","",IFERROR(INDEX(Lists!$AA:$AA,MATCH($AP164,Lists!$Z:$Z,0)),$AP164))</f>
        <v>Z Energy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 t="n"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IFERROR(INDEX(Lists!$U$1:$U$25,MATCH($I165,Lists!$T$1:$T$25,0)),"?")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technology",$C165)),"Head of Technology",IF(ISNUMBER(SEARCH("TDD BP",$C165)),"Business Partner",IF(OR(ISNUMBER(SEARCH("domain architect",$C165)),ISNUMBER(SEARCH("enterprise architect",$C165))),"Architecture",IF($AQ165=1,"Leadership","Squad")))))</f>
        <v>Squad</v>
      </c>
      <c r="AS165" t="str">
        <f>IF(TRIM($B165)="","",IFERROR(INDEX(Lists!$AA:$AA,MATCH($AP165,Lists!$Z:$Z,0)),$AP165))</f>
        <v>Z Energy Apps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 t="n"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IFERROR(INDEX(Lists!$U$1:$U$25,MATCH($I166,Lists!$T$1:$T$25,0)),"?")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technology",$C166)),"Head of Technology",IF(ISNUMBER(SEARCH("TDD BP",$C166)),"Business Partner",IF(OR(ISNUMBER(SEARCH("domain architect",$C166)),ISNUMBER(SEARCH("enterprise architect",$C166))),"Architecture",IF($AQ166=1,"Leadership","Squad")))))</f>
        <v>Squad</v>
      </c>
      <c r="AS166" t="str">
        <f>IF(TRIM($B166)="","",IFERROR(INDEX(Lists!$AA:$AA,MATCH($AP166,Lists!$Z:$Z,0)),$AP166))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 t="n"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IFERROR(INDEX(Lists!$U$1:$U$25,MATCH($I167,Lists!$T$1:$T$25,0)),"?")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technology",$C167)),"Head of Technology",IF(ISNUMBER(SEARCH("TDD BP",$C167)),"Business Partner",IF(OR(ISNUMBER(SEARCH("domain architect",$C167)),ISNUMBER(SEARCH("enterprise architect",$C167))),"Architecture",IF($AQ167=1,"Leadership","Squad")))))</f>
        <v>Squad</v>
      </c>
      <c r="AS167" t="str">
        <f>IF(TRIM($B167)="","",IFERROR(INDEX(Lists!$AA:$AA,MATCH($AP167,Lists!$Z:$Z,0)),$AP167))</f>
        <v>Z Energy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 t="n"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IFERROR(INDEX(Lists!$U$1:$U$25,MATCH($I168,Lists!$T$1:$T$25,0)),"?")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technology",$C168)),"Head of Technology",IF(ISNUMBER(SEARCH("TDD BP",$C168)),"Business Partner",IF(OR(ISNUMBER(SEARCH("domain architect",$C168)),ISNUMBER(SEARCH("enterprise architect",$C168))),"Architecture",IF($AQ168=1,"Leadership","Squad")))))</f>
        <v>Head of Technology</v>
      </c>
      <c r="AS168" t="str">
        <f>IF(TRIM($B168)="","",IFERROR(INDEX(Lists!$AA:$AA,MATCH($AP168,Lists!$Z:$Z,0)),$AP168))</f>
        <v>Leadership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 t="n"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IFERROR(INDEX(Lists!$U$1:$U$25,MATCH($I169,Lists!$T$1:$T$25,0)),"?")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technology",$C169)),"Head of Technology",IF(ISNUMBER(SEARCH("TDD BP",$C169)),"Business Partner",IF(OR(ISNUMBER(SEARCH("domain architect",$C169)),ISNUMBER(SEARCH("enterprise architect",$C169))),"Architecture",IF($AQ169=1,"Leadership","Squad")))))</f>
        <v>Squad</v>
      </c>
      <c r="AS169" t="str">
        <f>IF(TRIM($B169)="","",IFERROR(INDEX(Lists!$AA:$AA,MATCH($AP169,Lists!$Z:$Z,0)),$AP169))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 t="n"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IFERROR(INDEX(Lists!$U$1:$U$25,MATCH($I170,Lists!$T$1:$T$25,0)),"?")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technology",$C170)),"Head of Technology",IF(ISNUMBER(SEARCH("TDD BP",$C170)),"Business Partner",IF(OR(ISNUMBER(SEARCH("domain architect",$C170)),ISNUMBER(SEARCH("enterprise architect",$C170))),"Architecture",IF($AQ170=1,"Leadership","Squad")))))</f>
        <v>Squad</v>
      </c>
      <c r="AS170" t="str">
        <f>IF(TRIM($B170)="","",IFERROR(INDEX(Lists!$AA:$AA,MATCH($AP170,Lists!$Z:$Z,0)),$AP170))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 t="n"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IFERROR(INDEX(Lists!$U$1:$U$25,MATCH($I171,Lists!$T$1:$T$25,0)),"?")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technology",$C171)),"Head of Technology",IF(ISNUMBER(SEARCH("TDD BP",$C171)),"Business Partner",IF(OR(ISNUMBER(SEARCH("domain architect",$C171)),ISNUMBER(SEARCH("enterprise architect",$C171))),"Architecture",IF($AQ171=1,"Leadership","Squad")))))</f>
        <v>Squad</v>
      </c>
      <c r="AS171" t="str">
        <f>IF(TRIM($B171)="","",IFERROR(INDEX(Lists!$AA:$AA,MATCH($AP171,Lists!$Z:$Z,0)),$AP171))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 t="n"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IFERROR(INDEX(Lists!$U$1:$U$25,MATCH($I172,Lists!$T$1:$T$25,0)),"?")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technology",$C172)),"Head of Technology",IF(ISNUMBER(SEARCH("TDD BP",$C172)),"Business Partner",IF(OR(ISNUMBER(SEARCH("domain architect",$C172)),ISNUMBER(SEARCH("enterprise architect",$C172))),"Architecture",IF($AQ172=1,"Leadership","Squad")))))</f>
        <v>Squad</v>
      </c>
      <c r="AS172" t="str">
        <f>IF(TRIM($B172)="","",IFERROR(INDEX(Lists!$AA:$AA,MATCH($AP172,Lists!$Z:$Z,0)),$AP172))</f>
        <v>Z Energy Apps</v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 t="n"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IFERROR(INDEX(Lists!$U$1:$U$25,MATCH($I173,Lists!$T$1:$T$25,0)),"?")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technology",$C173)),"Head of Technology",IF(ISNUMBER(SEARCH("TDD BP",$C173)),"Business Partner",IF(OR(ISNUMBER(SEARCH("domain architect",$C173)),ISNUMBER(SEARCH("enterprise architect",$C173))),"Architecture",IF($AQ173=1,"Leadership","Squad")))))</f>
        <v>Squad</v>
      </c>
      <c r="AS173" t="str">
        <f>IF(TRIM($B173)="","",IFERROR(INDEX(Lists!$AA:$AA,MATCH($AP173,Lists!$Z:$Z,0)),$AP173))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 t="n"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IFERROR(INDEX(Lists!$U$1:$U$25,MATCH($I174,Lists!$T$1:$T$25,0)),"?")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technology",$C174)),"Head of Technology",IF(ISNUMBER(SEARCH("TDD BP",$C174)),"Business Partner",IF(OR(ISNUMBER(SEARCH("domain architect",$C174)),ISNUMBER(SEARCH("enterprise architect",$C174))),"Architecture",IF($AQ174=1,"Leadership","Squad")))))</f>
        <v>Squad</v>
      </c>
      <c r="AS174" t="str">
        <f>IF(TRIM($B174)="","",IFERROR(INDEX(Lists!$AA:$AA,MATCH($AP174,Lists!$Z:$Z,0)),$AP174))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 t="n"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IFERROR(INDEX(Lists!$U$1:$U$25,MATCH($I175,Lists!$T$1:$T$25,0)),"?")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technology",$C175)),"Head of Technology",IF(ISNUMBER(SEARCH("TDD BP",$C175)),"Business Partner",IF(OR(ISNUMBER(SEARCH("domain architect",$C175)),ISNUMBER(SEARCH("enterprise architect",$C175))),"Architecture",IF($AQ175=1,"Leadership","Squad")))))</f>
        <v>Squad</v>
      </c>
      <c r="AS175" t="str">
        <f>IF(TRIM($B175)="","",IFERROR(INDEX(Lists!$AA:$AA,MATCH($AP175,Lists!$Z:$Z,0)),$AP175))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 t="n"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IFERROR(INDEX(Lists!$U$1:$U$25,MATCH($I176,Lists!$T$1:$T$25,0)),"?")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technology",$C176)),"Head of Technology",IF(ISNUMBER(SEARCH("TDD BP",$C176)),"Business Partner",IF(OR(ISNUMBER(SEARCH("domain architect",$C176)),ISNUMBER(SEARCH("enterprise architect",$C176))),"Architecture",IF($AQ176=1,"Leadership","Squad")))))</f>
        <v>Leadership</v>
      </c>
      <c r="AS176" t="str">
        <f>IF(TRIM($B176)="","",IFERROR(INDEX(Lists!$AA:$AA,MATCH($AP176,Lists!$Z:$Z,0)),$AP176))</f>
        <v>Leadership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 t="n"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IFERROR(INDEX(Lists!$U$1:$U$25,MATCH($I177,Lists!$T$1:$T$25,0)),"?")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technology",$C177)),"Head of Technology",IF(ISNUMBER(SEARCH("TDD BP",$C177)),"Business Partner",IF(OR(ISNUMBER(SEARCH("domain architect",$C177)),ISNUMBER(SEARCH("enterprise architect",$C177))),"Architecture",IF($AQ177=1,"Leadership","Squad")))))</f>
        <v>Leadership</v>
      </c>
      <c r="AS177" t="str">
        <f>IF(TRIM($B177)="","",IFERROR(INDEX(Lists!$AA:$AA,MATCH($AP177,Lists!$Z:$Z,0)),$AP177))</f>
        <v>Leadership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 t="n"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IFERROR(INDEX(Lists!$U$1:$U$25,MATCH($I178,Lists!$T$1:$T$25,0)),"?")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technology",$C178)),"Head of Technology",IF(ISNUMBER(SEARCH("TDD BP",$C178)),"Business Partner",IF(OR(ISNUMBER(SEARCH("domain architect",$C178)),ISNUMBER(SEARCH("enterprise architect",$C178))),"Architecture",IF($AQ178=1,"Leadership","Squad")))))</f>
        <v>Squad</v>
      </c>
      <c r="AS178" t="str">
        <f>IF(TRIM($B178)="","",IFERROR(INDEX(Lists!$AA:$AA,MATCH($AP178,Lists!$Z:$Z,0)),$AP178))</f>
        <v>AU CRM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 t="n"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IFERROR(INDEX(Lists!$U$1:$U$25,MATCH($I179,Lists!$T$1:$T$25,0)),"?")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technology",$C179)),"Head of Technology",IF(ISNUMBER(SEARCH("TDD BP",$C179)),"Business Partner",IF(OR(ISNUMBER(SEARCH("domain architect",$C179)),ISNUMBER(SEARCH("enterprise architect",$C179))),"Architecture",IF($AQ179=1,"Leadership","Squad")))))</f>
        <v>Squad</v>
      </c>
      <c r="AS179" t="str">
        <f>IF(TRIM($B179)="","",IFERROR(INDEX(Lists!$AA:$AA,MATCH($AP179,Lists!$Z:$Z,0)),$AP179))</f>
        <v>AU CRM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 t="n"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IFERROR(INDEX(Lists!$U$1:$U$25,MATCH($I180,Lists!$T$1:$T$25,0)),"?")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technology",$C180)),"Head of Technology",IF(ISNUMBER(SEARCH("TDD BP",$C180)),"Business Partner",IF(OR(ISNUMBER(SEARCH("domain architect",$C180)),ISNUMBER(SEARCH("enterprise architect",$C180))),"Architecture",IF($AQ180=1,"Leadership","Squad")))))</f>
        <v>Squad</v>
      </c>
      <c r="AS180" t="str">
        <f>IF(TRIM($B180)="","",IFERROR(INDEX(Lists!$AA:$AA,MATCH($AP180,Lists!$Z:$Z,0)),$AP180))</f>
        <v>AU CRM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 t="n"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IFERROR(INDEX(Lists!$U$1:$U$25,MATCH($I181,Lists!$T$1:$T$25,0)),"?")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technology",$C181)),"Head of Technology",IF(ISNUMBER(SEARCH("TDD BP",$C181)),"Business Partner",IF(OR(ISNUMBER(SEARCH("domain architect",$C181)),ISNUMBER(SEARCH("enterprise architect",$C181))),"Architecture",IF($AQ181=1,"Leadership","Squad")))))</f>
        <v>Squad</v>
      </c>
      <c r="AS181" t="str">
        <f>IF(TRIM($B181)="","",IFERROR(INDEX(Lists!$AA:$AA,MATCH($AP181,Lists!$Z:$Z,0)),$AP181))</f>
        <v>AU CRM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 t="n"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IFERROR(INDEX(Lists!$U$1:$U$25,MATCH($I182,Lists!$T$1:$T$25,0)),"?")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technology",$C182)),"Head of Technology",IF(ISNUMBER(SEARCH("TDD BP",$C182)),"Business Partner",IF(OR(ISNUMBER(SEARCH("domain architect",$C182)),ISNUMBER(SEARCH("enterprise architect",$C182))),"Architecture",IF($AQ182=1,"Leadership","Squad")))))</f>
        <v>Squad</v>
      </c>
      <c r="AS182" t="str">
        <f>IF(TRIM($B182)="","",IFERROR(INDEX(Lists!$AA:$AA,MATCH($AP182,Lists!$Z:$Z,0)),$AP182))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 t="n"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IFERROR(INDEX(Lists!$U$1:$U$25,MATCH($I183,Lists!$T$1:$T$25,0)),"?")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technology",$C183)),"Head of Technology",IF(ISNUMBER(SEARCH("TDD BP",$C183)),"Business Partner",IF(OR(ISNUMBER(SEARCH("domain architect",$C183)),ISNUMBER(SEARCH("enterprise architect",$C183))),"Architecture",IF($AQ183=1,"Leadership","Squad")))))</f>
        <v>Squad</v>
      </c>
      <c r="AS183" t="str">
        <f>IF(TRIM($B183)="","",IFERROR(INDEX(Lists!$AA:$AA,MATCH($AP183,Lists!$Z:$Z,0)),$AP183))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 t="n"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IFERROR(INDEX(Lists!$U$1:$U$25,MATCH($I184,Lists!$T$1:$T$25,0)),"?")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technology",$C184)),"Head of Technology",IF(ISNUMBER(SEARCH("TDD BP",$C184)),"Business Partner",IF(OR(ISNUMBER(SEARCH("domain architect",$C184)),ISNUMBER(SEARCH("enterprise architect",$C184))),"Architecture",IF($AQ184=1,"Leadership","Squad")))))</f>
        <v>Squad</v>
      </c>
      <c r="AS184" t="str">
        <f>IF(TRIM($B184)="","",IFERROR(INDEX(Lists!$AA:$AA,MATCH($AP184,Lists!$Z:$Z,0)),$AP184))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 t="n"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IFERROR(INDEX(Lists!$U$1:$U$25,MATCH($I185,Lists!$T$1:$T$25,0)),"?")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AU CRM &amp; Martech</v>
      </c>
      <c r="AQ185" s="949" t="b">
        <f>IF(TRIM($B185)="","",--OR(TRIM($K185)="Leadership",TRIM($J185)="Leadership"))</f>
        <v>0</v>
      </c>
      <c r="AR185" t="str">
        <f>IF(TRIM($B185)="","",IF(ISNUMBER(SEARCH("head of technology",$C185)),"Head of Technology",IF(ISNUMBER(SEARCH("TDD BP",$C185)),"Business Partner",IF(OR(ISNUMBER(SEARCH("domain architect",$C185)),ISNUMBER(SEARCH("enterprise architect",$C185))),"Architecture",IF($AQ185=1,"Leadership","Squad")))))</f>
        <v>Squad</v>
      </c>
      <c r="AS185" t="str">
        <f>IF(TRIM($B185)="","",IFERROR(INDEX(Lists!$AA:$AA,MATCH($AP185,Lists!$Z:$Z,0)),$AP185))</f>
        <v>AU CRM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 t="n"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IFERROR(INDEX(Lists!$U$1:$U$25,MATCH($I186,Lists!$T$1:$T$25,0)),"?")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AU CRM &amp; Martech</v>
      </c>
      <c r="AQ186" s="949" t="b">
        <f>IF(TRIM($B186)="","",--OR(TRIM($K186)="Leadership",TRIM($J186)="Leadership"))</f>
        <v>0</v>
      </c>
      <c r="AR186" t="str">
        <f>IF(TRIM($B186)="","",IF(ISNUMBER(SEARCH("head of technology",$C186)),"Head of Technology",IF(ISNUMBER(SEARCH("TDD BP",$C186)),"Business Partner",IF(OR(ISNUMBER(SEARCH("domain architect",$C186)),ISNUMBER(SEARCH("enterprise architect",$C186))),"Architecture",IF($AQ186=1,"Leadership","Squad")))))</f>
        <v>Squad</v>
      </c>
      <c r="AS186" t="str">
        <f>IF(TRIM($B186)="","",IFERROR(INDEX(Lists!$AA:$AA,MATCH($AP186,Lists!$Z:$Z,0)),$AP186))</f>
        <v>AU CRM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 t="n"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IFERROR(INDEX(Lists!$U$1:$U$25,MATCH($I187,Lists!$T$1:$T$25,0)),"?")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technology",$C187)),"Head of Technology",IF(ISNUMBER(SEARCH("TDD BP",$C187)),"Business Partner",IF(OR(ISNUMBER(SEARCH("domain architect",$C187)),ISNUMBER(SEARCH("enterprise architect",$C187))),"Architecture",IF($AQ187=1,"Leadership","Squad")))))</f>
        <v>Squad</v>
      </c>
      <c r="AS187" t="str">
        <f>IF(TRIM($B187)="","",IFERROR(INDEX(Lists!$AA:$AA,MATCH($AP187,Lists!$Z:$Z,0)),$AP187))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 t="n"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IFERROR(INDEX(Lists!$U$1:$U$25,MATCH($I188,Lists!$T$1:$T$25,0)),"?")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Energy Martech</v>
      </c>
      <c r="AQ188" s="949" t="b">
        <f>IF(TRIM($B188)="","",--OR(TRIM($K188)="Leadership",TRIM($J188)="Leadership"))</f>
        <v>0</v>
      </c>
      <c r="AR188" t="str">
        <f>IF(TRIM($B188)="","",IF(ISNUMBER(SEARCH("head of technology",$C188)),"Head of Technology",IF(ISNUMBER(SEARCH("TDD BP",$C188)),"Business Partner",IF(OR(ISNUMBER(SEARCH("domain architect",$C188)),ISNUMBER(SEARCH("enterprise architect",$C188))),"Architecture",IF($AQ188=1,"Leadership","Squad")))))</f>
        <v>Squad</v>
      </c>
      <c r="AS188" t="str">
        <f>IF(TRIM($B188)="","",IFERROR(INDEX(Lists!$AA:$AA,MATCH($AP188,Lists!$Z:$Z,0)),$AP188))</f>
        <v>Z Energy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 t="n"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IFERROR(INDEX(Lists!$U$1:$U$25,MATCH($I189,Lists!$T$1:$T$25,0)),"?")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technology",$C189)),"Head of Technology",IF(ISNUMBER(SEARCH("TDD BP",$C189)),"Business Partner",IF(OR(ISNUMBER(SEARCH("domain architect",$C189)),ISNUMBER(SEARCH("enterprise architect",$C189))),"Architecture",IF($AQ189=1,"Leadership","Squad")))))</f>
        <v>Leadership</v>
      </c>
      <c r="AS189" t="str">
        <f>IF(TRIM($B189)="","",IFERROR(INDEX(Lists!$AA:$AA,MATCH($AP189,Lists!$Z:$Z,0)),$AP189))</f>
        <v>Leadership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 t="n"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IFERROR(INDEX(Lists!$U$1:$U$25,MATCH($I190,Lists!$T$1:$T$25,0)),"?")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technology",$C190)),"Head of Technology",IF(ISNUMBER(SEARCH("TDD BP",$C190)),"Business Partner",IF(OR(ISNUMBER(SEARCH("domain architect",$C190)),ISNUMBER(SEARCH("enterprise architect",$C190))),"Architecture",IF($AQ190=1,"Leadership","Squad")))))</f>
        <v>Squad</v>
      </c>
      <c r="AS190" t="str">
        <f>IF(TRIM($B190)="","",IFERROR(INDEX(Lists!$AA:$AA,MATCH($AP190,Lists!$Z:$Z,0)),$AP190))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 t="n"/>
      <c r="AB191" s="699" t="n"/>
      <c r="AC191" s="1053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 t="n"/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technology",$C191)),"Head of Technology",IF(ISNUMBER(SEARCH("TDD BP",$C191)),"Business Partner",IF(OR(ISNUMBER(SEARCH("domain architect",$C191)),ISNUMBER(SEARCH("enterprise architect",$C191))),"Architecture",IF($AQ191=1,"Leadership","Squad")))))</f>
        <v/>
      </c>
      <c r="AS191">
        <f>IF(TRIM($B191)="","",IFERROR(INDEX(Lists!$AA:$AA,MATCH($AP191,Lists!$Z:$Z,0)),$AP191))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 t="n"/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 t="n"/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technology",$C192)),"Head of Technology",IF(ISNUMBER(SEARCH("TDD BP",$C192)),"Business Partner",IF(OR(ISNUMBER(SEARCH("domain architect",$C192)),ISNUMBER(SEARCH("enterprise architect",$C192))),"Architecture",IF($AQ192=1,"Leadership","Squad")))))</f>
        <v/>
      </c>
      <c r="AS192">
        <f>IF(TRIM($B192)="","",IFERROR(INDEX(Lists!$AA:$AA,MATCH($AP192,Lists!$Z:$Z,0)),$AP192))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 t="n"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IFERROR(INDEX(Lists!$U$1:$U$25,MATCH($I193,Lists!$T$1:$T$25,0)),"?")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technology",$C193)),"Head of Technology",IF(ISNUMBER(SEARCH("TDD BP",$C193)),"Business Partner",IF(OR(ISNUMBER(SEARCH("domain architect",$C193)),ISNUMBER(SEARCH("enterprise architect",$C193))),"Architecture",IF($AQ193=1,"Leadership","Squad")))))</f>
        <v>Squad</v>
      </c>
      <c r="AS193" t="str">
        <f>IF(TRIM($B193)="","",IFERROR(INDEX(Lists!$AA:$AA,MATCH($AP193,Lists!$Z:$Z,0)),$AP193))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 t="n"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IFERROR(INDEX(Lists!$U$1:$U$25,MATCH($I194,Lists!$T$1:$T$25,0)),"?")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technology",$C194)),"Head of Technology",IF(ISNUMBER(SEARCH("TDD BP",$C194)),"Business Partner",IF(OR(ISNUMBER(SEARCH("domain architect",$C194)),ISNUMBER(SEARCH("enterprise architect",$C194))),"Architecture",IF($AQ194=1,"Leadership","Squad")))))</f>
        <v>Squad</v>
      </c>
      <c r="AS194" t="str">
        <f>IF(TRIM($B194)="","",IFERROR(INDEX(Lists!$AA:$AA,MATCH($AP194,Lists!$Z:$Z,0)),$AP194))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 t="n"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IFERROR(INDEX(Lists!$U$1:$U$25,MATCH($I195,Lists!$T$1:$T$25,0)),"?")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technology",$C195)),"Head of Technology",IF(ISNUMBER(SEARCH("TDD BP",$C195)),"Business Partner",IF(OR(ISNUMBER(SEARCH("domain architect",$C195)),ISNUMBER(SEARCH("enterprise architect",$C195))),"Architecture",IF($AQ195=1,"Leadership","Squad")))))</f>
        <v>Squad</v>
      </c>
      <c r="AS195" t="str">
        <f>IF(TRIM($B195)="","",IFERROR(INDEX(Lists!$AA:$AA,MATCH($AP195,Lists!$Z:$Z,0)),$AP195))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 t="n"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IFERROR(INDEX(Lists!$U$1:$U$25,MATCH($I196,Lists!$T$1:$T$25,0)),"?")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technology",$C196)),"Head of Technology",IF(ISNUMBER(SEARCH("TDD BP",$C196)),"Business Partner",IF(OR(ISNUMBER(SEARCH("domain architect",$C196)),ISNUMBER(SEARCH("enterprise architect",$C196))),"Architecture",IF($AQ196=1,"Leadership","Squad")))))</f>
        <v>Squad</v>
      </c>
      <c r="AS196" t="str">
        <f>IF(TRIM($B196)="","",IFERROR(INDEX(Lists!$AA:$AA,MATCH($AP196,Lists!$Z:$Z,0)),$AP196))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 t="n"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IFERROR(INDEX(Lists!$U$1:$U$25,MATCH($I197,Lists!$T$1:$T$25,0)),"?")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technology",$C197)),"Head of Technology",IF(ISNUMBER(SEARCH("TDD BP",$C197)),"Business Partner",IF(OR(ISNUMBER(SEARCH("domain architect",$C197)),ISNUMBER(SEARCH("enterprise architect",$C197))),"Architecture",IF($AQ197=1,"Leadership","Squad")))))</f>
        <v>Squad</v>
      </c>
      <c r="AS197" t="str">
        <f>IF(TRIM($B197)="","",IFERROR(INDEX(Lists!$AA:$AA,MATCH($AP197,Lists!$Z:$Z,0)),$AP197))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 t="n"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IFERROR(INDEX(Lists!$U$1:$U$25,MATCH($I198,Lists!$T$1:$T$25,0)),"?")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technology",$C198)),"Head of Technology",IF(ISNUMBER(SEARCH("TDD BP",$C198)),"Business Partner",IF(OR(ISNUMBER(SEARCH("domain architect",$C198)),ISNUMBER(SEARCH("enterprise architect",$C198))),"Architecture",IF($AQ198=1,"Leadership","Squad")))))</f>
        <v>Squad</v>
      </c>
      <c r="AS198" t="str">
        <f>IF(TRIM($B198)="","",IFERROR(INDEX(Lists!$AA:$AA,MATCH($AP198,Lists!$Z:$Z,0)),$AP198))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 t="n"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IFERROR(INDEX(Lists!$U$1:$U$25,MATCH($I199,Lists!$T$1:$T$25,0)),"?")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technology",$C199)),"Head of Technology",IF(ISNUMBER(SEARCH("TDD BP",$C199)),"Business Partner",IF(OR(ISNUMBER(SEARCH("domain architect",$C199)),ISNUMBER(SEARCH("enterprise architect",$C199))),"Architecture",IF($AQ199=1,"Leadership","Squad")))))</f>
        <v>Squad</v>
      </c>
      <c r="AS199" t="str">
        <f>IF(TRIM($B199)="","",IFERROR(INDEX(Lists!$AA:$AA,MATCH($AP199,Lists!$Z:$Z,0)),$AP199))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 t="n"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IFERROR(INDEX(Lists!$U$1:$U$25,MATCH($I200,Lists!$T$1:$T$25,0)),"?")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technology",$C200)),"Head of Technology",IF(ISNUMBER(SEARCH("TDD BP",$C200)),"Business Partner",IF(OR(ISNUMBER(SEARCH("domain architect",$C200)),ISNUMBER(SEARCH("enterprise architect",$C200))),"Architecture",IF($AQ200=1,"Leadership","Squad")))))</f>
        <v>Squad</v>
      </c>
      <c r="AS200" t="str">
        <f>IF(TRIM($B200)="","",IFERROR(INDEX(Lists!$AA:$AA,MATCH($AP200,Lists!$Z:$Z,0)),$AP200))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 t="n"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IFERROR(INDEX(Lists!$U$1:$U$25,MATCH($I201,Lists!$T$1:$T$25,0)),"?")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technology",$C201)),"Head of Technology",IF(ISNUMBER(SEARCH("TDD BP",$C201)),"Business Partner",IF(OR(ISNUMBER(SEARCH("domain architect",$C201)),ISNUMBER(SEARCH("enterprise architect",$C201))),"Architecture",IF($AQ201=1,"Leadership","Squad")))))</f>
        <v>Squad</v>
      </c>
      <c r="AS201" t="str">
        <f>IF(TRIM($B201)="","",IFERROR(INDEX(Lists!$AA:$AA,MATCH($AP201,Lists!$Z:$Z,0)),$AP201))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 t="n"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IFERROR(INDEX(Lists!$U$1:$U$25,MATCH($I202,Lists!$T$1:$T$25,0)),"?")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technology",$C202)),"Head of Technology",IF(ISNUMBER(SEARCH("TDD BP",$C202)),"Business Partner",IF(OR(ISNUMBER(SEARCH("domain architect",$C202)),ISNUMBER(SEARCH("enterprise architect",$C202))),"Architecture",IF($AQ202=1,"Leadership","Squad")))))</f>
        <v>Squad</v>
      </c>
      <c r="AS202" t="str">
        <f>IF(TRIM($B202)="","",IFERROR(INDEX(Lists!$AA:$AA,MATCH($AP202,Lists!$Z:$Z,0)),$AP202))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 t="n"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IFERROR(INDEX(Lists!$U$1:$U$25,MATCH($I203,Lists!$T$1:$T$25,0)),"?")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technology",$C203)),"Head of Technology",IF(ISNUMBER(SEARCH("TDD BP",$C203)),"Business Partner",IF(OR(ISNUMBER(SEARCH("domain architect",$C203)),ISNUMBER(SEARCH("enterprise architect",$C203))),"Architecture",IF($AQ203=1,"Leadership","Squad")))))</f>
        <v>Squad</v>
      </c>
      <c r="AS203" t="str">
        <f>IF(TRIM($B203)="","",IFERROR(INDEX(Lists!$AA:$AA,MATCH($AP203,Lists!$Z:$Z,0)),$AP203))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 t="n"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IFERROR(INDEX(Lists!$U$1:$U$25,MATCH($I204,Lists!$T$1:$T$25,0)),"?")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technology",$C204)),"Head of Technology",IF(ISNUMBER(SEARCH("TDD BP",$C204)),"Business Partner",IF(OR(ISNUMBER(SEARCH("domain architect",$C204)),ISNUMBER(SEARCH("enterprise architect",$C204))),"Architecture",IF($AQ204=1,"Leadership","Squad")))))</f>
        <v>Squad</v>
      </c>
      <c r="AS204" t="str">
        <f>IF(TRIM($B204)="","",IFERROR(INDEX(Lists!$AA:$AA,MATCH($AP204,Lists!$Z:$Z,0)),$AP204))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 t="n">
        <v>89758.00000000001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IFERROR(INDEX(Lists!$U$1:$U$25,MATCH($I205,Lists!$T$1:$T$25,0)),"?")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technology",$C205)),"Head of Technology",IF(ISNUMBER(SEARCH("TDD BP",$C205)),"Business Partner",IF(OR(ISNUMBER(SEARCH("domain architect",$C205)),ISNUMBER(SEARCH("enterprise architect",$C205))),"Architecture",IF($AQ205=1,"Leadership","Squad")))))</f>
        <v>Squad</v>
      </c>
      <c r="AS205" t="str">
        <f>IF(TRIM($B205)="","",IFERROR(INDEX(Lists!$AA:$AA,MATCH($AP205,Lists!$Z:$Z,0)),$AP205))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 t="n"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IFERROR(INDEX(Lists!$U$1:$U$25,MATCH($I206,Lists!$T$1:$T$25,0)),"?")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technology",$C206)),"Head of Technology",IF(ISNUMBER(SEARCH("TDD BP",$C206)),"Business Partner",IF(OR(ISNUMBER(SEARCH("domain architect",$C206)),ISNUMBER(SEARCH("enterprise architect",$C206))),"Architecture",IF($AQ206=1,"Leadership","Squad")))))</f>
        <v>Squad</v>
      </c>
      <c r="AS206" t="str">
        <f>IF(TRIM($B206)="","",IFERROR(INDEX(Lists!$AA:$AA,MATCH($AP206,Lists!$Z:$Z,0)),$AP206))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 t="n"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IFERROR(INDEX(Lists!$U$1:$U$25,MATCH($I207,Lists!$T$1:$T$25,0)),"?")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technology",$C207)),"Head of Technology",IF(ISNUMBER(SEARCH("TDD BP",$C207)),"Business Partner",IF(OR(ISNUMBER(SEARCH("domain architect",$C207)),ISNUMBER(SEARCH("enterprise architect",$C207))),"Architecture",IF($AQ207=1,"Leadership","Squad")))))</f>
        <v>Squad</v>
      </c>
      <c r="AS207" t="str">
        <f>IF(TRIM($B207)="","",IFERROR(INDEX(Lists!$AA:$AA,MATCH($AP207,Lists!$Z:$Z,0)),$AP207))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 t="n"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IFERROR(INDEX(Lists!$U$1:$U$25,MATCH($I208,Lists!$T$1:$T$25,0)),"?")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technology",$C208)),"Head of Technology",IF(ISNUMBER(SEARCH("TDD BP",$C208)),"Business Partner",IF(OR(ISNUMBER(SEARCH("domain architect",$C208)),ISNUMBER(SEARCH("enterprise architect",$C208))),"Architecture",IF($AQ208=1,"Leadership","Squad")))))</f>
        <v>Squad</v>
      </c>
      <c r="AS208" t="str">
        <f>IF(TRIM($B208)="","",IFERROR(INDEX(Lists!$AA:$AA,MATCH($AP208,Lists!$Z:$Z,0)),$AP208))</f>
        <v>Cyber Strat &amp; Tech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 t="n"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IFERROR(INDEX(Lists!$U$1:$U$25,MATCH($I209,Lists!$T$1:$T$25,0)),"?")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technology",$C209)),"Head of Technology",IF(ISNUMBER(SEARCH("TDD BP",$C209)),"Business Partner",IF(OR(ISNUMBER(SEARCH("domain architect",$C209)),ISNUMBER(SEARCH("enterprise architect",$C209))),"Architecture",IF($AQ209=1,"Leadership","Squad")))))</f>
        <v>Squad</v>
      </c>
      <c r="AS209" t="str">
        <f>IF(TRIM($B209)="","",IFERROR(INDEX(Lists!$AA:$AA,MATCH($AP209,Lists!$Z:$Z,0)),$AP209))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 t="n"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IFERROR(INDEX(Lists!$U$1:$U$25,MATCH($I210,Lists!$T$1:$T$25,0)),"?")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technology",$C210)),"Head of Technology",IF(ISNUMBER(SEARCH("TDD BP",$C210)),"Business Partner",IF(OR(ISNUMBER(SEARCH("domain architect",$C210)),ISNUMBER(SEARCH("enterprise architect",$C210))),"Architecture",IF($AQ210=1,"Leadership","Squad")))))</f>
        <v>Squad</v>
      </c>
      <c r="AS210" t="str">
        <f>IF(TRIM($B210)="","",IFERROR(INDEX(Lists!$AA:$AA,MATCH($AP210,Lists!$Z:$Z,0)),$AP210))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 t="n"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IFERROR(INDEX(Lists!$U$1:$U$25,MATCH($I211,Lists!$T$1:$T$25,0)),"?")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technology",$C211)),"Head of Technology",IF(ISNUMBER(SEARCH("TDD BP",$C211)),"Business Partner",IF(OR(ISNUMBER(SEARCH("domain architect",$C211)),ISNUMBER(SEARCH("enterprise architect",$C211))),"Architecture",IF($AQ211=1,"Leadership","Squad")))))</f>
        <v>Squad</v>
      </c>
      <c r="AS211" t="str">
        <f>IF(TRIM($B211)="","",IFERROR(INDEX(Lists!$AA:$AA,MATCH($AP211,Lists!$Z:$Z,0)),$AP211))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 t="n"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IFERROR(INDEX(Lists!$U$1:$U$25,MATCH($I212,Lists!$T$1:$T$25,0)),"?")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technology",$C212)),"Head of Technology",IF(ISNUMBER(SEARCH("TDD BP",$C212)),"Business Partner",IF(OR(ISNUMBER(SEARCH("domain architect",$C212)),ISNUMBER(SEARCH("enterprise architect",$C212))),"Architecture",IF($AQ212=1,"Leadership","Squad")))))</f>
        <v>Squad</v>
      </c>
      <c r="AS212" t="str">
        <f>IF(TRIM($B212)="","",IFERROR(INDEX(Lists!$AA:$AA,MATCH($AP212,Lists!$Z:$Z,0)),$AP212))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 t="n"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IFERROR(INDEX(Lists!$U$1:$U$25,MATCH($I213,Lists!$T$1:$T$25,0)),"?")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technology",$C213)),"Head of Technology",IF(ISNUMBER(SEARCH("TDD BP",$C213)),"Business Partner",IF(OR(ISNUMBER(SEARCH("domain architect",$C213)),ISNUMBER(SEARCH("enterprise architect",$C213))),"Architecture",IF($AQ213=1,"Leadership","Squad")))))</f>
        <v>Squad</v>
      </c>
      <c r="AS213" t="str">
        <f>IF(TRIM($B213)="","",IFERROR(INDEX(Lists!$AA:$AA,MATCH($AP213,Lists!$Z:$Z,0)),$AP213))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 t="n"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IFERROR(INDEX(Lists!$U$1:$U$25,MATCH($I214,Lists!$T$1:$T$25,0)),"?")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technology",$C214)),"Head of Technology",IF(ISNUMBER(SEARCH("TDD BP",$C214)),"Business Partner",IF(OR(ISNUMBER(SEARCH("domain architect",$C214)),ISNUMBER(SEARCH("enterprise architect",$C214))),"Architecture",IF($AQ214=1,"Leadership","Squad")))))</f>
        <v>Squad</v>
      </c>
      <c r="AS214" t="str">
        <f>IF(TRIM($B214)="","",IFERROR(INDEX(Lists!$AA:$AA,MATCH($AP214,Lists!$Z:$Z,0)),$AP214))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 t="n"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IFERROR(INDEX(Lists!$U$1:$U$25,MATCH($I215,Lists!$T$1:$T$25,0)),"?")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technology",$C215)),"Head of Technology",IF(ISNUMBER(SEARCH("TDD BP",$C215)),"Business Partner",IF(OR(ISNUMBER(SEARCH("domain architect",$C215)),ISNUMBER(SEARCH("enterprise architect",$C215))),"Architecture",IF($AQ215=1,"Leadership","Squad")))))</f>
        <v>Squad</v>
      </c>
      <c r="AS215" t="str">
        <f>IF(TRIM($B215)="","",IFERROR(INDEX(Lists!$AA:$AA,MATCH($AP215,Lists!$Z:$Z,0)),$AP215))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 t="n"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IFERROR(INDEX(Lists!$U$1:$U$25,MATCH($I216,Lists!$T$1:$T$25,0)),"?")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technology",$C216)),"Head of Technology",IF(ISNUMBER(SEARCH("TDD BP",$C216)),"Business Partner",IF(OR(ISNUMBER(SEARCH("domain architect",$C216)),ISNUMBER(SEARCH("enterprise architect",$C216))),"Architecture",IF($AQ216=1,"Leadership","Squad")))))</f>
        <v>Squad</v>
      </c>
      <c r="AS216" t="str">
        <f>IF(TRIM($B216)="","",IFERROR(INDEX(Lists!$AA:$AA,MATCH($AP216,Lists!$Z:$Z,0)),$AP216))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 t="n"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IFERROR(INDEX(Lists!$U$1:$U$25,MATCH($I217,Lists!$T$1:$T$25,0)),"?")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technology",$C217)),"Head of Technology",IF(ISNUMBER(SEARCH("TDD BP",$C217)),"Business Partner",IF(OR(ISNUMBER(SEARCH("domain architect",$C217)),ISNUMBER(SEARCH("enterprise architect",$C217))),"Architecture",IF($AQ217=1,"Leadership","Squad")))))</f>
        <v>Squad</v>
      </c>
      <c r="AS217" t="str">
        <f>IF(TRIM($B217)="","",IFERROR(INDEX(Lists!$AA:$AA,MATCH($AP217,Lists!$Z:$Z,0)),$AP217))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 t="n"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IFERROR(INDEX(Lists!$U$1:$U$25,MATCH($I218,Lists!$T$1:$T$25,0)),"?")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technology",$C218)),"Head of Technology",IF(ISNUMBER(SEARCH("TDD BP",$C218)),"Business Partner",IF(OR(ISNUMBER(SEARCH("domain architect",$C218)),ISNUMBER(SEARCH("enterprise architect",$C218))),"Architecture",IF($AQ218=1,"Leadership","Squad")))))</f>
        <v>Squad</v>
      </c>
      <c r="AS218" t="str">
        <f>IF(TRIM($B218)="","",IFERROR(INDEX(Lists!$AA:$AA,MATCH($AP218,Lists!$Z:$Z,0)),$AP218))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 t="n"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IFERROR(INDEX(Lists!$U$1:$U$25,MATCH($I219,Lists!$T$1:$T$25,0)),"?")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technology",$C219)),"Head of Technology",IF(ISNUMBER(SEARCH("TDD BP",$C219)),"Business Partner",IF(OR(ISNUMBER(SEARCH("domain architect",$C219)),ISNUMBER(SEARCH("enterprise architect",$C219))),"Architecture",IF($AQ219=1,"Leadership","Squad")))))</f>
        <v>Squad</v>
      </c>
      <c r="AS219" t="str">
        <f>IF(TRIM($B219)="","",IFERROR(INDEX(Lists!$AA:$AA,MATCH($AP219,Lists!$Z:$Z,0)),$AP219))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 t="n"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IFERROR(INDEX(Lists!$U$1:$U$25,MATCH($I220,Lists!$T$1:$T$25,0)),"?")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technology",$C220)),"Head of Technology",IF(ISNUMBER(SEARCH("TDD BP",$C220)),"Business Partner",IF(OR(ISNUMBER(SEARCH("domain architect",$C220)),ISNUMBER(SEARCH("enterprise architect",$C220))),"Architecture",IF($AQ220=1,"Leadership","Squad")))))</f>
        <v>Squad</v>
      </c>
      <c r="AS220" t="str">
        <f>IF(TRIM($B220)="","",IFERROR(INDEX(Lists!$AA:$AA,MATCH($AP220,Lists!$Z:$Z,0)),$AP220))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 t="n"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IFERROR(INDEX(Lists!$U$1:$U$25,MATCH($I221,Lists!$T$1:$T$25,0)),"?")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technology",$C221)),"Head of Technology",IF(ISNUMBER(SEARCH("TDD BP",$C221)),"Business Partner",IF(OR(ISNUMBER(SEARCH("domain architect",$C221)),ISNUMBER(SEARCH("enterprise architect",$C221))),"Architecture",IF($AQ221=1,"Leadership","Squad")))))</f>
        <v>Squad</v>
      </c>
      <c r="AS221" t="str">
        <f>IF(TRIM($B221)="","",IFERROR(INDEX(Lists!$AA:$AA,MATCH($AP221,Lists!$Z:$Z,0)),$AP221))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 t="n"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IFERROR(INDEX(Lists!$U$1:$U$25,MATCH($I222,Lists!$T$1:$T$25,0)),"?")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technology",$C222)),"Head of Technology",IF(ISNUMBER(SEARCH("TDD BP",$C222)),"Business Partner",IF(OR(ISNUMBER(SEARCH("domain architect",$C222)),ISNUMBER(SEARCH("enterprise architect",$C222))),"Architecture",IF($AQ222=1,"Leadership","Squad")))))</f>
        <v>Squad</v>
      </c>
      <c r="AS222" t="str">
        <f>IF(TRIM($B222)="","",IFERROR(INDEX(Lists!$AA:$AA,MATCH($AP222,Lists!$Z:$Z,0)),$AP222))</f>
        <v>Service Op &amp; Assurance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 t="n"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IFERROR(INDEX(Lists!$U$1:$U$25,MATCH($I223,Lists!$T$1:$T$25,0)),"?")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technology",$C223)),"Head of Technology",IF(ISNUMBER(SEARCH("TDD BP",$C223)),"Business Partner",IF(OR(ISNUMBER(SEARCH("domain architect",$C223)),ISNUMBER(SEARCH("enterprise architect",$C223))),"Architecture",IF($AQ223=1,"Leadership","Squad")))))</f>
        <v>Squad</v>
      </c>
      <c r="AS223" t="str">
        <f>IF(TRIM($B223)="","",IFERROR(INDEX(Lists!$AA:$AA,MATCH($AP223,Lists!$Z:$Z,0)),$AP223))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 t="n"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IFERROR(INDEX(Lists!$U$1:$U$25,MATCH($I224,Lists!$T$1:$T$25,0)),"?")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technology",$C224)),"Head of Technology",IF(ISNUMBER(SEARCH("TDD BP",$C224)),"Business Partner",IF(OR(ISNUMBER(SEARCH("domain architect",$C224)),ISNUMBER(SEARCH("enterprise architect",$C224))),"Architecture",IF($AQ224=1,"Leadership","Squad")))))</f>
        <v>Squad</v>
      </c>
      <c r="AS224" t="str">
        <f>IF(TRIM($B224)="","",IFERROR(INDEX(Lists!$AA:$AA,MATCH($AP224,Lists!$Z:$Z,0)),$AP224))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 t="n"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IFERROR(INDEX(Lists!$U$1:$U$25,MATCH($I225,Lists!$T$1:$T$25,0)),"?")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technology",$C225)),"Head of Technology",IF(ISNUMBER(SEARCH("TDD BP",$C225)),"Business Partner",IF(OR(ISNUMBER(SEARCH("domain architect",$C225)),ISNUMBER(SEARCH("enterprise architect",$C225))),"Architecture",IF($AQ225=1,"Leadership","Squad")))))</f>
        <v>Squad</v>
      </c>
      <c r="AS225" t="str">
        <f>IF(TRIM($B225)="","",IFERROR(INDEX(Lists!$AA:$AA,MATCH($AP225,Lists!$Z:$Z,0)),$AP225))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 t="n"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IFERROR(INDEX(Lists!$U$1:$U$25,MATCH($I226,Lists!$T$1:$T$25,0)),"?")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technology",$C226)),"Head of Technology",IF(ISNUMBER(SEARCH("TDD BP",$C226)),"Business Partner",IF(OR(ISNUMBER(SEARCH("domain architect",$C226)),ISNUMBER(SEARCH("enterprise architect",$C226))),"Architecture",IF($AQ226=1,"Leadership","Squad")))))</f>
        <v>Squad</v>
      </c>
      <c r="AS226" t="str">
        <f>IF(TRIM($B226)="","",IFERROR(INDEX(Lists!$AA:$AA,MATCH($AP226,Lists!$Z:$Z,0)),$AP226))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 t="n"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IFERROR(INDEX(Lists!$U$1:$U$25,MATCH($I227,Lists!$T$1:$T$25,0)),"?")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technology",$C227)),"Head of Technology",IF(ISNUMBER(SEARCH("TDD BP",$C227)),"Business Partner",IF(OR(ISNUMBER(SEARCH("domain architect",$C227)),ISNUMBER(SEARCH("enterprise architect",$C227))),"Architecture",IF($AQ227=1,"Leadership","Squad")))))</f>
        <v>Squad</v>
      </c>
      <c r="AS227" t="str">
        <f>IF(TRIM($B227)="","",IFERROR(INDEX(Lists!$AA:$AA,MATCH($AP227,Lists!$Z:$Z,0)),$AP227))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 t="n"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IFERROR(INDEX(Lists!$U$1:$U$25,MATCH($I228,Lists!$T$1:$T$25,0)),"?")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technology",$C228)),"Head of Technology",IF(ISNUMBER(SEARCH("TDD BP",$C228)),"Business Partner",IF(OR(ISNUMBER(SEARCH("domain architect",$C228)),ISNUMBER(SEARCH("enterprise architect",$C228))),"Architecture",IF($AQ228=1,"Leadership","Squad")))))</f>
        <v>Squad</v>
      </c>
      <c r="AS228" t="str">
        <f>IF(TRIM($B228)="","",IFERROR(INDEX(Lists!$AA:$AA,MATCH($AP228,Lists!$Z:$Z,0)),$AP228))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 t="n">
        <v>97237.78400000001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IFERROR(INDEX(Lists!$U$1:$U$25,MATCH($I229,Lists!$T$1:$T$25,0)),"?")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technology",$C229)),"Head of Technology",IF(ISNUMBER(SEARCH("TDD BP",$C229)),"Business Partner",IF(OR(ISNUMBER(SEARCH("domain architect",$C229)),ISNUMBER(SEARCH("enterprise architect",$C229))),"Architecture",IF($AQ229=1,"Leadership","Squad")))))</f>
        <v>Squad</v>
      </c>
      <c r="AS229" t="str">
        <f>IF(TRIM($B229)="","",IFERROR(INDEX(Lists!$AA:$AA,MATCH($AP229,Lists!$Z:$Z,0)),$AP229))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 t="n"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IFERROR(INDEX(Lists!$U$1:$U$25,MATCH($I230,Lists!$T$1:$T$25,0)),"?")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technology",$C230)),"Head of Technology",IF(ISNUMBER(SEARCH("TDD BP",$C230)),"Business Partner",IF(OR(ISNUMBER(SEARCH("domain architect",$C230)),ISNUMBER(SEARCH("enterprise architect",$C230))),"Architecture",IF($AQ230=1,"Leadership","Squad")))))</f>
        <v>Squad</v>
      </c>
      <c r="AS230" t="str">
        <f>IF(TRIM($B230)="","",IFERROR(INDEX(Lists!$AA:$AA,MATCH($AP230,Lists!$Z:$Z,0)),$AP230))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 t="n"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IFERROR(INDEX(Lists!$U$1:$U$25,MATCH($I231,Lists!$T$1:$T$25,0)),"?")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technology",$C231)),"Head of Technology",IF(ISNUMBER(SEARCH("TDD BP",$C231)),"Business Partner",IF(OR(ISNUMBER(SEARCH("domain architect",$C231)),ISNUMBER(SEARCH("enterprise architect",$C231))),"Architecture",IF($AQ231=1,"Leadership","Squad")))))</f>
        <v>Squad</v>
      </c>
      <c r="AS231" t="str">
        <f>IF(TRIM($B231)="","",IFERROR(INDEX(Lists!$AA:$AA,MATCH($AP231,Lists!$Z:$Z,0)),$AP231))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 t="n"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IFERROR(INDEX(Lists!$U$1:$U$25,MATCH($I232,Lists!$T$1:$T$25,0)),"?")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technology",$C232)),"Head of Technology",IF(ISNUMBER(SEARCH("TDD BP",$C232)),"Business Partner",IF(OR(ISNUMBER(SEARCH("domain architect",$C232)),ISNUMBER(SEARCH("enterprise architect",$C232))),"Architecture",IF($AQ232=1,"Leadership","Squad")))))</f>
        <v>Squad</v>
      </c>
      <c r="AS232" t="str">
        <f>IF(TRIM($B232)="","",IFERROR(INDEX(Lists!$AA:$AA,MATCH($AP232,Lists!$Z:$Z,0)),$AP232))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 t="n"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IFERROR(INDEX(Lists!$U$1:$U$25,MATCH($I233,Lists!$T$1:$T$25,0)),"?")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technology",$C233)),"Head of Technology",IF(ISNUMBER(SEARCH("TDD BP",$C233)),"Business Partner",IF(OR(ISNUMBER(SEARCH("domain architect",$C233)),ISNUMBER(SEARCH("enterprise architect",$C233))),"Architecture",IF($AQ233=1,"Leadership","Squad")))))</f>
        <v>Squad</v>
      </c>
      <c r="AS233" t="str">
        <f>IF(TRIM($B233)="","",IFERROR(INDEX(Lists!$AA:$AA,MATCH($AP233,Lists!$Z:$Z,0)),$AP233))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 t="n"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IFERROR(INDEX(Lists!$U$1:$U$25,MATCH($I234,Lists!$T$1:$T$25,0)),"?")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technology",$C234)),"Head of Technology",IF(ISNUMBER(SEARCH("TDD BP",$C234)),"Business Partner",IF(OR(ISNUMBER(SEARCH("domain architect",$C234)),ISNUMBER(SEARCH("enterprise architect",$C234))),"Architecture",IF($AQ234=1,"Leadership","Squad")))))</f>
        <v>Squad</v>
      </c>
      <c r="AS234" t="str">
        <f>IF(TRIM($B234)="","",IFERROR(INDEX(Lists!$AA:$AA,MATCH($AP234,Lists!$Z:$Z,0)),$AP234))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 t="n"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IFERROR(INDEX(Lists!$U$1:$U$25,MATCH($I235,Lists!$T$1:$T$25,0)),"?")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technology",$C235)),"Head of Technology",IF(ISNUMBER(SEARCH("TDD BP",$C235)),"Business Partner",IF(OR(ISNUMBER(SEARCH("domain architect",$C235)),ISNUMBER(SEARCH("enterprise architect",$C235))),"Architecture",IF($AQ235=1,"Leadership","Squad")))))</f>
        <v>Squad</v>
      </c>
      <c r="AS235" t="str">
        <f>IF(TRIM($B235)="","",IFERROR(INDEX(Lists!$AA:$AA,MATCH($AP235,Lists!$Z:$Z,0)),$AP235))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 t="n"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IFERROR(INDEX(Lists!$U$1:$U$25,MATCH($I236,Lists!$T$1:$T$25,0)),"?")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technology",$C236)),"Head of Technology",IF(ISNUMBER(SEARCH("TDD BP",$C236)),"Business Partner",IF(OR(ISNUMBER(SEARCH("domain architect",$C236)),ISNUMBER(SEARCH("enterprise architect",$C236))),"Architecture",IF($AQ236=1,"Leadership","Squad")))))</f>
        <v>Squad</v>
      </c>
      <c r="AS236" t="str">
        <f>IF(TRIM($B236)="","",IFERROR(INDEX(Lists!$AA:$AA,MATCH($AP236,Lists!$Z:$Z,0)),$AP236))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 t="n"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IFERROR(INDEX(Lists!$U$1:$U$25,MATCH($I237,Lists!$T$1:$T$25,0)),"?")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technology",$C237)),"Head of Technology",IF(ISNUMBER(SEARCH("TDD BP",$C237)),"Business Partner",IF(OR(ISNUMBER(SEARCH("domain architect",$C237)),ISNUMBER(SEARCH("enterprise architect",$C237))),"Architecture",IF($AQ237=1,"Leadership","Squad")))))</f>
        <v>Squad</v>
      </c>
      <c r="AS237" t="str">
        <f>IF(TRIM($B237)="","",IFERROR(INDEX(Lists!$AA:$AA,MATCH($AP237,Lists!$Z:$Z,0)),$AP237))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 t="n"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IFERROR(INDEX(Lists!$U$1:$U$25,MATCH($I238,Lists!$T$1:$T$25,0)),"?")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technology",$C238)),"Head of Technology",IF(ISNUMBER(SEARCH("TDD BP",$C238)),"Business Partner",IF(OR(ISNUMBER(SEARCH("domain architect",$C238)),ISNUMBER(SEARCH("enterprise architect",$C238))),"Architecture",IF($AQ238=1,"Leadership","Squad")))))</f>
        <v>Squad</v>
      </c>
      <c r="AS238" t="str">
        <f>IF(TRIM($B238)="","",IFERROR(INDEX(Lists!$AA:$AA,MATCH($AP238,Lists!$Z:$Z,0)),$AP238))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S239*222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IFERROR(INDEX(Lists!$U$1:$U$25,MATCH($I239,Lists!$T$1:$T$25,0)),"?")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technology",$C239)),"Head of Technology",IF(ISNUMBER(SEARCH("TDD BP",$C239)),"Business Partner",IF(OR(ISNUMBER(SEARCH("domain architect",$C239)),ISNUMBER(SEARCH("enterprise architect",$C239))),"Architecture",IF($AQ239=1,"Leadership","Squad")))))</f>
        <v>Squad</v>
      </c>
      <c r="AS239" t="str">
        <f>IF(TRIM($B239)="","",IFERROR(INDEX(Lists!$AA:$AA,MATCH($AP239,Lists!$Z:$Z,0)),$AP239))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S240*222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IFERROR(INDEX(Lists!$U$1:$U$25,MATCH($I240,Lists!$T$1:$T$25,0)),"?")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technology",$C240)),"Head of Technology",IF(ISNUMBER(SEARCH("TDD BP",$C240)),"Business Partner",IF(OR(ISNUMBER(SEARCH("domain architect",$C240)),ISNUMBER(SEARCH("enterprise architect",$C240))),"Architecture",IF($AQ240=1,"Leadership","Squad")))))</f>
        <v>Squad</v>
      </c>
      <c r="AS240" t="str">
        <f>IF(TRIM($B240)="","",IFERROR(INDEX(Lists!$AA:$AA,MATCH($AP240,Lists!$Z:$Z,0)),$AP240))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S241*222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IFERROR(INDEX(Lists!$U$1:$U$25,MATCH($I241,Lists!$T$1:$T$25,0)),"?")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technology",$C241)),"Head of Technology",IF(ISNUMBER(SEARCH("TDD BP",$C241)),"Business Partner",IF(OR(ISNUMBER(SEARCH("domain architect",$C241)),ISNUMBER(SEARCH("enterprise architect",$C241))),"Architecture",IF($AQ241=1,"Leadership","Squad")))))</f>
        <v>Squad</v>
      </c>
      <c r="AS241" t="str">
        <f>IF(TRIM($B241)="","",IFERROR(INDEX(Lists!$AA:$AA,MATCH($AP241,Lists!$Z:$Z,0)),$AP241))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S242*222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IFERROR(INDEX(Lists!$U$1:$U$25,MATCH($I242,Lists!$T$1:$T$25,0)),"?")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technology",$C242)),"Head of Technology",IF(ISNUMBER(SEARCH("TDD BP",$C242)),"Business Partner",IF(OR(ISNUMBER(SEARCH("domain architect",$C242)),ISNUMBER(SEARCH("enterprise architect",$C242))),"Architecture",IF($AQ242=1,"Leadership","Squad")))))</f>
        <v>Squad</v>
      </c>
      <c r="AS242" t="str">
        <f>IF(TRIM($B242)="","",IFERROR(INDEX(Lists!$AA:$AA,MATCH($AP242,Lists!$Z:$Z,0)),$AP242))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S243*222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IFERROR(INDEX(Lists!$U$1:$U$25,MATCH($I243,Lists!$T$1:$T$25,0)),"?")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technology",$C243)),"Head of Technology",IF(ISNUMBER(SEARCH("TDD BP",$C243)),"Business Partner",IF(OR(ISNUMBER(SEARCH("domain architect",$C243)),ISNUMBER(SEARCH("enterprise architect",$C243))),"Architecture",IF($AQ243=1,"Leadership","Squad")))))</f>
        <v>Squad</v>
      </c>
      <c r="AS243" t="str">
        <f>IF(TRIM($B243)="","",IFERROR(INDEX(Lists!$AA:$AA,MATCH($AP243,Lists!$Z:$Z,0)),$AP243))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S244*222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IFERROR(INDEX(Lists!$U$1:$U$25,MATCH($I244,Lists!$T$1:$T$25,0)),"?")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technology",$C244)),"Head of Technology",IF(ISNUMBER(SEARCH("TDD BP",$C244)),"Business Partner",IF(OR(ISNUMBER(SEARCH("domain architect",$C244)),ISNUMBER(SEARCH("enterprise architect",$C244))),"Architecture",IF($AQ244=1,"Leadership","Squad")))))</f>
        <v>Squad</v>
      </c>
      <c r="AS244" t="str">
        <f>IF(TRIM($B244)="","",IFERROR(INDEX(Lists!$AA:$AA,MATCH($AP244,Lists!$Z:$Z,0)),$AP244))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S245*222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IFERROR(INDEX(Lists!$U$1:$U$25,MATCH($I245,Lists!$T$1:$T$25,0)),"?")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technology",$C245)),"Head of Technology",IF(ISNUMBER(SEARCH("TDD BP",$C245)),"Business Partner",IF(OR(ISNUMBER(SEARCH("domain architect",$C245)),ISNUMBER(SEARCH("enterprise architect",$C245))),"Architecture",IF($AQ245=1,"Leadership","Squad")))))</f>
        <v>Squad</v>
      </c>
      <c r="AS245" t="str">
        <f>IF(TRIM($B245)="","",IFERROR(INDEX(Lists!$AA:$AA,MATCH($AP245,Lists!$Z:$Z,0)),$AP245))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S246*222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IFERROR(INDEX(Lists!$U$1:$U$25,MATCH($I246,Lists!$T$1:$T$25,0)),"?")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technology",$C246)),"Head of Technology",IF(ISNUMBER(SEARCH("TDD BP",$C246)),"Business Partner",IF(OR(ISNUMBER(SEARCH("domain architect",$C246)),ISNUMBER(SEARCH("enterprise architect",$C246))),"Architecture",IF($AQ246=1,"Leadership","Squad")))))</f>
        <v>Squad</v>
      </c>
      <c r="AS246" t="str">
        <f>IF(TRIM($B246)="","",IFERROR(INDEX(Lists!$AA:$AA,MATCH($AP246,Lists!$Z:$Z,0)),$AP246))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S247*222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IFERROR(INDEX(Lists!$U$1:$U$25,MATCH($I247,Lists!$T$1:$T$25,0)),"?")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technology",$C247)),"Head of Technology",IF(ISNUMBER(SEARCH("TDD BP",$C247)),"Business Partner",IF(OR(ISNUMBER(SEARCH("domain architect",$C247)),ISNUMBER(SEARCH("enterprise architect",$C247))),"Architecture",IF($AQ247=1,"Leadership","Squad")))))</f>
        <v>Squad</v>
      </c>
      <c r="AS247" t="str">
        <f>IF(TRIM($B247)="","",IFERROR(INDEX(Lists!$AA:$AA,MATCH($AP247,Lists!$Z:$Z,0)),$AP247))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S248*222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IFERROR(INDEX(Lists!$U$1:$U$25,MATCH($I248,Lists!$T$1:$T$25,0)),"?")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technology",$C248)),"Head of Technology",IF(ISNUMBER(SEARCH("TDD BP",$C248)),"Business Partner",IF(OR(ISNUMBER(SEARCH("domain architect",$C248)),ISNUMBER(SEARCH("enterprise architect",$C248))),"Architecture",IF($AQ248=1,"Leadership","Squad")))))</f>
        <v>Squad</v>
      </c>
      <c r="AS248" t="str">
        <f>IF(TRIM($B248)="","",IFERROR(INDEX(Lists!$AA:$AA,MATCH($AP248,Lists!$Z:$Z,0)),$AP248))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S249*222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IFERROR(INDEX(Lists!$U$1:$U$25,MATCH($I249,Lists!$T$1:$T$25,0)),"?")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technology",$C249)),"Head of Technology",IF(ISNUMBER(SEARCH("TDD BP",$C249)),"Business Partner",IF(OR(ISNUMBER(SEARCH("domain architect",$C249)),ISNUMBER(SEARCH("enterprise architect",$C249))),"Architecture",IF($AQ249=1,"Leadership","Squad")))))</f>
        <v>Squad</v>
      </c>
      <c r="AS249" t="str">
        <f>IF(TRIM($B249)="","",IFERROR(INDEX(Lists!$AA:$AA,MATCH($AP249,Lists!$Z:$Z,0)),$AP249))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U250*(1+V250+W250+X250+Y250+Z250)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IFERROR(INDEX(Lists!$U$1:$U$25,MATCH($I250,Lists!$T$1:$T$25,0)),"?")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technology",$C250)),"Head of Technology",IF(ISNUMBER(SEARCH("TDD BP",$C250)),"Business Partner",IF(OR(ISNUMBER(SEARCH("domain architect",$C250)),ISNUMBER(SEARCH("enterprise architect",$C250))),"Architecture",IF($AQ250=1,"Leadership","Squad")))))</f>
        <v>Squad</v>
      </c>
      <c r="AS250" t="str">
        <f>IF(TRIM($B250)="","",IFERROR(INDEX(Lists!$AA:$AA,MATCH($AP250,Lists!$Z:$Z,0)),$AP250))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S251*222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IFERROR(INDEX(Lists!$U$1:$U$25,MATCH($I251,Lists!$T$1:$T$25,0)),"?")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technology",$C251)),"Head of Technology",IF(ISNUMBER(SEARCH("TDD BP",$C251)),"Business Partner",IF(OR(ISNUMBER(SEARCH("domain architect",$C251)),ISNUMBER(SEARCH("enterprise architect",$C251))),"Architecture",IF($AQ251=1,"Leadership","Squad")))))</f>
        <v>Squad</v>
      </c>
      <c r="AS251" t="str">
        <f>IF(TRIM($B251)="","",IFERROR(INDEX(Lists!$AA:$AA,MATCH($AP251,Lists!$Z:$Z,0)),$AP251))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S252*222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IFERROR(INDEX(Lists!$U$1:$U$25,MATCH($I252,Lists!$T$1:$T$25,0)),"?")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technology",$C252)),"Head of Technology",IF(ISNUMBER(SEARCH("TDD BP",$C252)),"Business Partner",IF(OR(ISNUMBER(SEARCH("domain architect",$C252)),ISNUMBER(SEARCH("enterprise architect",$C252))),"Architecture",IF($AQ252=1,"Leadership","Squad")))))</f>
        <v>Squad</v>
      </c>
      <c r="AS252" t="str">
        <f>IF(TRIM($B252)="","",IFERROR(INDEX(Lists!$AA:$AA,MATCH($AP252,Lists!$Z:$Z,0)),$AP252))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S253*222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IFERROR(INDEX(Lists!$U$1:$U$25,MATCH($I253,Lists!$T$1:$T$25,0)),"?")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technology",$C253)),"Head of Technology",IF(ISNUMBER(SEARCH("TDD BP",$C253)),"Business Partner",IF(OR(ISNUMBER(SEARCH("domain architect",$C253)),ISNUMBER(SEARCH("enterprise architect",$C253))),"Architecture",IF($AQ253=1,"Leadership","Squad")))))</f>
        <v>Squad</v>
      </c>
      <c r="AS253" t="str">
        <f>IF(TRIM($B253)="","",IFERROR(INDEX(Lists!$AA:$AA,MATCH($AP253,Lists!$Z:$Z,0)),$AP253))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S254*222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IFERROR(INDEX(Lists!$U$1:$U$25,MATCH($I254,Lists!$T$1:$T$25,0)),"?")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technology",$C254)),"Head of Technology",IF(ISNUMBER(SEARCH("TDD BP",$C254)),"Business Partner",IF(OR(ISNUMBER(SEARCH("domain architect",$C254)),ISNUMBER(SEARCH("enterprise architect",$C254))),"Architecture",IF($AQ254=1,"Leadership","Squad")))))</f>
        <v>Squad</v>
      </c>
      <c r="AS254" t="str">
        <f>IF(TRIM($B254)="","",IFERROR(INDEX(Lists!$AA:$AA,MATCH($AP254,Lists!$Z:$Z,0)),$AP254))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 t="n"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IFERROR(INDEX(Lists!$U$1:$U$25,MATCH($I255,Lists!$T$1:$T$25,0)),"?")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technology",$C255)),"Head of Technology",IF(ISNUMBER(SEARCH("TDD BP",$C255)),"Business Partner",IF(OR(ISNUMBER(SEARCH("domain architect",$C255)),ISNUMBER(SEARCH("enterprise architect",$C255))),"Architecture",IF($AQ255=1,"Leadership","Squad")))))</f>
        <v>Squad</v>
      </c>
      <c r="AS255" t="str">
        <f>IF(TRIM($B255)="","",IFERROR(INDEX(Lists!$AA:$AA,MATCH($AP255,Lists!$Z:$Z,0)),$AP255))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 t="n"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IFERROR(INDEX(Lists!$U$1:$U$25,MATCH($I256,Lists!$T$1:$T$25,0)),"?")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technology",$C256)),"Head of Technology",IF(ISNUMBER(SEARCH("TDD BP",$C256)),"Business Partner",IF(OR(ISNUMBER(SEARCH("domain architect",$C256)),ISNUMBER(SEARCH("enterprise architect",$C256))),"Architecture",IF($AQ256=1,"Leadership","Squad")))))</f>
        <v>Business Partner</v>
      </c>
      <c r="AS256" t="str">
        <f>IF(TRIM($B256)="","",IFERROR(INDEX(Lists!$AA:$AA,MATCH($AP256,Lists!$Z:$Z,0)),$AP256))</f>
        <v>TDD 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 t="n"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IFERROR(INDEX(Lists!$U$1:$U$25,MATCH($I257,Lists!$T$1:$T$25,0)),"?")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technology",$C257)),"Head of Technology",IF(ISNUMBER(SEARCH("TDD BP",$C257)),"Business Partner",IF(OR(ISNUMBER(SEARCH("domain architect",$C257)),ISNUMBER(SEARCH("enterprise architect",$C257))),"Architecture",IF($AQ257=1,"Leadership","Squad")))))</f>
        <v>Squad</v>
      </c>
      <c r="AS257" t="str">
        <f>IF(TRIM($B257)="","",IFERROR(INDEX(Lists!$AA:$AA,MATCH($AP257,Lists!$Z:$Z,0)),$AP257))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 t="n"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IFERROR(INDEX(Lists!$U$1:$U$25,MATCH($I258,Lists!$T$1:$T$25,0)),"?")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technology",$C258)),"Head of Technology",IF(ISNUMBER(SEARCH("TDD BP",$C258)),"Business Partner",IF(OR(ISNUMBER(SEARCH("domain architect",$C258)),ISNUMBER(SEARCH("enterprise architect",$C258))),"Architecture",IF($AQ258=1,"Leadership","Squad")))))</f>
        <v>Squad</v>
      </c>
      <c r="AS258" t="str">
        <f>IF(TRIM($B258)="","",IFERROR(INDEX(Lists!$AA:$AA,MATCH($AP258,Lists!$Z:$Z,0)),$AP258))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 t="n"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IFERROR(INDEX(Lists!$U$1:$U$25,MATCH($I259,Lists!$T$1:$T$25,0)),"?")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technology",$C259)),"Head of Technology",IF(ISNUMBER(SEARCH("TDD BP",$C259)),"Business Partner",IF(OR(ISNUMBER(SEARCH("domain architect",$C259)),ISNUMBER(SEARCH("enterprise architect",$C259))),"Architecture",IF($AQ259=1,"Leadership","Squad")))))</f>
        <v>Squad</v>
      </c>
      <c r="AS259" t="str">
        <f>IF(TRIM($B259)="","",IFERROR(INDEX(Lists!$AA:$AA,MATCH($AP259,Lists!$Z:$Z,0)),$AP259))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 t="n"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IFERROR(INDEX(Lists!$U$1:$U$25,MATCH($I260,Lists!$T$1:$T$25,0)),"?")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technology",$C260)),"Head of Technology",IF(ISNUMBER(SEARCH("TDD BP",$C260)),"Business Partner",IF(OR(ISNUMBER(SEARCH("domain architect",$C260)),ISNUMBER(SEARCH("enterprise architect",$C260))),"Architecture",IF($AQ260=1,"Leadership","Squad")))))</f>
        <v>Squad</v>
      </c>
      <c r="AS260" t="str">
        <f>IF(TRIM($B260)="","",IFERROR(INDEX(Lists!$AA:$AA,MATCH($AP260,Lists!$Z:$Z,0)),$AP260))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 t="n"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IFERROR(INDEX(Lists!$U$1:$U$25,MATCH($I261,Lists!$T$1:$T$25,0)),"?")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technology",$C261)),"Head of Technology",IF(ISNUMBER(SEARCH("TDD BP",$C261)),"Business Partner",IF(OR(ISNUMBER(SEARCH("domain architect",$C261)),ISNUMBER(SEARCH("enterprise architect",$C261))),"Architecture",IF($AQ261=1,"Leadership","Squad")))))</f>
        <v>Business Partner</v>
      </c>
      <c r="AS261" t="str">
        <f>IF(TRIM($B261)="","",IFERROR(INDEX(Lists!$AA:$AA,MATCH($AP261,Lists!$Z:$Z,0)),$AP261))</f>
        <v>TDD 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 t="n"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IFERROR(INDEX(Lists!$U$1:$U$25,MATCH($I262,Lists!$T$1:$T$25,0)),"?")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technology",$C262)),"Head of Technology",IF(ISNUMBER(SEARCH("TDD BP",$C262)),"Business Partner",IF(OR(ISNUMBER(SEARCH("domain architect",$C262)),ISNUMBER(SEARCH("enterprise architect",$C262))),"Architecture",IF($AQ262=1,"Leadership","Squad")))))</f>
        <v>Squad</v>
      </c>
      <c r="AS262" t="str">
        <f>IF(TRIM($B262)="","",IFERROR(INDEX(Lists!$AA:$AA,MATCH($AP262,Lists!$Z:$Z,0)),$AP262))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 t="n"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IFERROR(INDEX(Lists!$U$1:$U$25,MATCH($I263,Lists!$T$1:$T$25,0)),"?")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technology",$C263)),"Head of Technology",IF(ISNUMBER(SEARCH("TDD BP",$C263)),"Business Partner",IF(OR(ISNUMBER(SEARCH("domain architect",$C263)),ISNUMBER(SEARCH("enterprise architect",$C263))),"Architecture",IF($AQ263=1,"Leadership","Squad")))))</f>
        <v>Squad</v>
      </c>
      <c r="AS263" t="str">
        <f>IF(TRIM($B263)="","",IFERROR(INDEX(Lists!$AA:$AA,MATCH($AP263,Lists!$Z:$Z,0)),$AP263))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 t="n"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IFERROR(INDEX(Lists!$U$1:$U$25,MATCH($I264,Lists!$T$1:$T$25,0)),"?")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technology",$C264)),"Head of Technology",IF(ISNUMBER(SEARCH("TDD BP",$C264)),"Business Partner",IF(OR(ISNUMBER(SEARCH("domain architect",$C264)),ISNUMBER(SEARCH("enterprise architect",$C264))),"Architecture",IF($AQ264=1,"Leadership","Squad")))))</f>
        <v>Business Partner</v>
      </c>
      <c r="AS264" t="str">
        <f>IF(TRIM($B264)="","",IFERROR(INDEX(Lists!$AA:$AA,MATCH($AP264,Lists!$Z:$Z,0)),$AP264))</f>
        <v>TDD 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 t="n"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IFERROR(INDEX(Lists!$U$1:$U$25,MATCH($I265,Lists!$T$1:$T$25,0)),"?")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technology",$C265)),"Head of Technology",IF(ISNUMBER(SEARCH("TDD BP",$C265)),"Business Partner",IF(OR(ISNUMBER(SEARCH("domain architect",$C265)),ISNUMBER(SEARCH("enterprise architect",$C265))),"Architecture",IF($AQ265=1,"Leadership","Squad")))))</f>
        <v>Squad</v>
      </c>
      <c r="AS265" t="str">
        <f>IF(TRIM($B265)="","",IFERROR(INDEX(Lists!$AA:$AA,MATCH($AP265,Lists!$Z:$Z,0)),$AP265))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 t="n"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IFERROR(INDEX(Lists!$U$1:$U$25,MATCH($I266,Lists!$T$1:$T$25,0)),"?")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technology",$C266)),"Head of Technology",IF(ISNUMBER(SEARCH("TDD BP",$C266)),"Business Partner",IF(OR(ISNUMBER(SEARCH("domain architect",$C266)),ISNUMBER(SEARCH("enterprise architect",$C266))),"Architecture",IF($AQ266=1,"Leadership","Squad")))))</f>
        <v>Squad</v>
      </c>
      <c r="AS266" t="str">
        <f>IF(TRIM($B266)="","",IFERROR(INDEX(Lists!$AA:$AA,MATCH($AP266,Lists!$Z:$Z,0)),$AP266))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 t="n"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IFERROR(INDEX(Lists!$U$1:$U$25,MATCH($I267,Lists!$T$1:$T$25,0)),"?")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technology",$C267)),"Head of Technology",IF(ISNUMBER(SEARCH("TDD BP",$C267)),"Business Partner",IF(OR(ISNUMBER(SEARCH("domain architect",$C267)),ISNUMBER(SEARCH("enterprise architect",$C267))),"Architecture",IF($AQ267=1,"Leadership","Squad")))))</f>
        <v>Business Partner</v>
      </c>
      <c r="AS267" t="str">
        <f>IF(TRIM($B267)="","",IFERROR(INDEX(Lists!$AA:$AA,MATCH($AP267,Lists!$Z:$Z,0)),$AP267))</f>
        <v>TDD 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 t="n"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IFERROR(INDEX(Lists!$U$1:$U$25,MATCH($I268,Lists!$T$1:$T$25,0)),"?")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technology",$C268)),"Head of Technology",IF(ISNUMBER(SEARCH("TDD BP",$C268)),"Business Partner",IF(OR(ISNUMBER(SEARCH("domain architect",$C268)),ISNUMBER(SEARCH("enterprise architect",$C268))),"Architecture",IF($AQ268=1,"Leadership","Squad")))))</f>
        <v>Business Partner</v>
      </c>
      <c r="AS268" t="str">
        <f>IF(TRIM($B268)="","",IFERROR(INDEX(Lists!$AA:$AA,MATCH($AP268,Lists!$Z:$Z,0)),$AP268))</f>
        <v>TDD 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 t="n">
        <v>439499.9999999999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IFERROR(INDEX(Lists!$U$1:$U$25,MATCH($I269,Lists!$T$1:$T$25,0)),"?")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technology",$C269)),"Head of Technology",IF(ISNUMBER(SEARCH("TDD BP",$C269)),"Business Partner",IF(OR(ISNUMBER(SEARCH("domain architect",$C269)),ISNUMBER(SEARCH("enterprise architect",$C269))),"Architecture",IF($AQ269=1,"Leadership","Squad")))))</f>
        <v>Squad</v>
      </c>
      <c r="AS269" t="str">
        <f>IF(TRIM($B269)="","",IFERROR(INDEX(Lists!$AA:$AA,MATCH($AP269,Lists!$Z:$Z,0)),$AP269))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 t="n"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IFERROR(INDEX(Lists!$U$1:$U$25,MATCH($I270,Lists!$T$1:$T$25,0)),"?")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technology",$C270)),"Head of Technology",IF(ISNUMBER(SEARCH("TDD BP",$C270)),"Business Partner",IF(OR(ISNUMBER(SEARCH("domain architect",$C270)),ISNUMBER(SEARCH("enterprise architect",$C270))),"Architecture",IF($AQ270=1,"Leadership","Squad")))))</f>
        <v>Squad</v>
      </c>
      <c r="AS270" t="str">
        <f>IF(TRIM($B270)="","",IFERROR(INDEX(Lists!$AA:$AA,MATCH($AP270,Lists!$Z:$Z,0)),$AP270))</f>
        <v>Transformation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 t="n"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IFERROR(INDEX(Lists!$U$1:$U$25,MATCH($I271,Lists!$T$1:$T$25,0)),"?")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technology",$C271)),"Head of Technology",IF(ISNUMBER(SEARCH("TDD BP",$C271)),"Business Partner",IF(OR(ISNUMBER(SEARCH("domain architect",$C271)),ISNUMBER(SEARCH("enterprise architect",$C271))),"Architecture",IF($AQ271=1,"Leadership","Squad")))))</f>
        <v>Squad</v>
      </c>
      <c r="AS271" t="str">
        <f>IF(TRIM($B271)="","",IFERROR(INDEX(Lists!$AA:$AA,MATCH($AP271,Lists!$Z:$Z,0)),$AP271))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 t="n"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IFERROR(INDEX(Lists!$U$1:$U$25,MATCH($I272,Lists!$T$1:$T$25,0)),"?")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technology",$C272)),"Head of Technology",IF(ISNUMBER(SEARCH("TDD BP",$C272)),"Business Partner",IF(OR(ISNUMBER(SEARCH("domain architect",$C272)),ISNUMBER(SEARCH("enterprise architect",$C272))),"Architecture",IF($AQ272=1,"Leadership","Squad")))))</f>
        <v>Squad</v>
      </c>
      <c r="AS272" t="str">
        <f>IF(TRIM($B272)="","",IFERROR(INDEX(Lists!$AA:$AA,MATCH($AP272,Lists!$Z:$Z,0)),$AP272))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 t="n"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IFERROR(INDEX(Lists!$U$1:$U$25,MATCH($I273,Lists!$T$1:$T$25,0)),"?")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technology",$C273)),"Head of Technology",IF(ISNUMBER(SEARCH("TDD BP",$C273)),"Business Partner",IF(OR(ISNUMBER(SEARCH("domain architect",$C273)),ISNUMBER(SEARCH("enterprise architect",$C273))),"Architecture",IF($AQ273=1,"Leadership","Squad")))))</f>
        <v>Squad</v>
      </c>
      <c r="AS273" t="str">
        <f>IF(TRIM($B273)="","",IFERROR(INDEX(Lists!$AA:$AA,MATCH($AP273,Lists!$Z:$Z,0)),$AP273))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 t="n"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IFERROR(INDEX(Lists!$U$1:$U$25,MATCH($I274,Lists!$T$1:$T$25,0)),"?")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technology",$C274)),"Head of Technology",IF(ISNUMBER(SEARCH("TDD BP",$C274)),"Business Partner",IF(OR(ISNUMBER(SEARCH("domain architect",$C274)),ISNUMBER(SEARCH("enterprise architect",$C274))),"Architecture",IF($AQ274=1,"Leadership","Squad")))))</f>
        <v>Squad</v>
      </c>
      <c r="AS274" t="str">
        <f>IF(TRIM($B274)="","",IFERROR(INDEX(Lists!$AA:$AA,MATCH($AP274,Lists!$Z:$Z,0)),$AP274))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 t="n"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IFERROR(INDEX(Lists!$U$1:$U$25,MATCH($I275,Lists!$T$1:$T$25,0)),"?")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technology",$C275)),"Head of Technology",IF(ISNUMBER(SEARCH("TDD BP",$C275)),"Business Partner",IF(OR(ISNUMBER(SEARCH("domain architect",$C275)),ISNUMBER(SEARCH("enterprise architect",$C275))),"Architecture",IF($AQ275=1,"Leadership","Squad")))))</f>
        <v>Squad</v>
      </c>
      <c r="AS275" t="str">
        <f>IF(TRIM($B275)="","",IFERROR(INDEX(Lists!$AA:$AA,MATCH($AP275,Lists!$Z:$Z,0)),$AP275))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 t="n"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IFERROR(INDEX(Lists!$U$1:$U$25,MATCH($I276,Lists!$T$1:$T$25,0)),"?")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technology",$C276)),"Head of Technology",IF(ISNUMBER(SEARCH("TDD BP",$C276)),"Business Partner",IF(OR(ISNUMBER(SEARCH("domain architect",$C276)),ISNUMBER(SEARCH("enterprise architect",$C276))),"Architecture",IF($AQ276=1,"Leadership","Squad")))))</f>
        <v>Squad</v>
      </c>
      <c r="AS276" t="str">
        <f>IF(TRIM($B276)="","",IFERROR(INDEX(Lists!$AA:$AA,MATCH($AP276,Lists!$Z:$Z,0)),$AP276))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 t="n"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IFERROR(INDEX(Lists!$U$1:$U$25,MATCH($I277,Lists!$T$1:$T$25,0)),"?")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technology",$C277)),"Head of Technology",IF(ISNUMBER(SEARCH("TDD BP",$C277)),"Business Partner",IF(OR(ISNUMBER(SEARCH("domain architect",$C277)),ISNUMBER(SEARCH("enterprise architect",$C277))),"Architecture",IF($AQ277=1,"Leadership","Squad")))))</f>
        <v>Squad</v>
      </c>
      <c r="AS277" t="str">
        <f>IF(TRIM($B277)="","",IFERROR(INDEX(Lists!$AA:$AA,MATCH($AP277,Lists!$Z:$Z,0)),$AP277))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 t="n"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IFERROR(INDEX(Lists!$U$1:$U$25,MATCH($I278,Lists!$T$1:$T$25,0)),"?")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technology",$C278)),"Head of Technology",IF(ISNUMBER(SEARCH("TDD BP",$C278)),"Business Partner",IF(OR(ISNUMBER(SEARCH("domain architect",$C278)),ISNUMBER(SEARCH("enterprise architect",$C278))),"Architecture",IF($AQ278=1,"Leadership","Squad")))))</f>
        <v>Business Partner</v>
      </c>
      <c r="AS278" t="str">
        <f>IF(TRIM($B278)="","",IFERROR(INDEX(Lists!$AA:$AA,MATCH($AP278,Lists!$Z:$Z,0)),$AP278))</f>
        <v>TDD 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U279*(1+V279+W279+X279+Y279+Z279)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IFERROR(INDEX(Lists!$U$1:$U$25,MATCH($I279,Lists!$T$1:$T$25,0)),"?")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technology",$C279)),"Head of Technology",IF(ISNUMBER(SEARCH("TDD BP",$C279)),"Business Partner",IF(OR(ISNUMBER(SEARCH("domain architect",$C279)),ISNUMBER(SEARCH("enterprise architect",$C279))),"Architecture",IF($AQ279=1,"Leadership","Squad")))))</f>
        <v>Squad</v>
      </c>
      <c r="AS279" t="str">
        <f>IF(TRIM($B279)="","",IFERROR(INDEX(Lists!$AA:$AA,MATCH($AP279,Lists!$Z:$Z,0)),$AP279))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U280*(1+V280+W280+X280+Y280+Z280)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IFERROR(INDEX(Lists!$U$1:$U$25,MATCH($I280,Lists!$T$1:$T$25,0)),"?")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technology",$C280)),"Head of Technology",IF(ISNUMBER(SEARCH("TDD BP",$C280)),"Business Partner",IF(OR(ISNUMBER(SEARCH("domain architect",$C280)),ISNUMBER(SEARCH("enterprise architect",$C280))),"Architecture",IF($AQ280=1,"Leadership","Squad")))))</f>
        <v>Squad</v>
      </c>
      <c r="AS280" t="str">
        <f>IF(TRIM($B280)="","",IFERROR(INDEX(Lists!$AA:$AA,MATCH($AP280,Lists!$Z:$Z,0)),$AP280))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U281*(1+V281+X281+Z281)+Y281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IFERROR(INDEX(Lists!$U$1:$U$25,MATCH($I281,Lists!$T$1:$T$25,0)),"?")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technology",$C281)),"Head of Technology",IF(ISNUMBER(SEARCH("TDD BP",$C281)),"Business Partner",IF(OR(ISNUMBER(SEARCH("domain architect",$C281)),ISNUMBER(SEARCH("enterprise architect",$C281))),"Architecture",IF($AQ281=1,"Leadership","Squad")))))</f>
        <v>Squad</v>
      </c>
      <c r="AS281" t="str">
        <f>IF(TRIM($B281)="","",IFERROR(INDEX(Lists!$AA:$AA,MATCH($AP281,Lists!$Z:$Z,0)),$AP281))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U282*(1+V282+X282+Z282)+Y282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IFERROR(INDEX(Lists!$U$1:$U$25,MATCH($I282,Lists!$T$1:$T$25,0)),"?")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technology",$C282)),"Head of Technology",IF(ISNUMBER(SEARCH("TDD BP",$C282)),"Business Partner",IF(OR(ISNUMBER(SEARCH("domain architect",$C282)),ISNUMBER(SEARCH("enterprise architect",$C282))),"Architecture",IF($AQ282=1,"Leadership","Squad")))))</f>
        <v>Architecture</v>
      </c>
      <c r="AS282" t="str">
        <f>IF(TRIM($B282)="","",IFERROR(INDEX(Lists!$AA:$AA,MATCH($AP282,Lists!$Z:$Z,0)),$AP282))</f>
        <v>Architecture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U283*(1+V283+W283+X283+Y283+Z283)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IFERROR(INDEX(Lists!$U$1:$U$25,MATCH($I283,Lists!$T$1:$T$25,0)),"?")</f>
        <v>Enterprise Data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4</v>
      </c>
      <c r="AN283" s="949" t="str">
        <f>$AJ283&amp;"|"&amp;$AM283</f>
        <v>Enterprise Data|4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technology",$C283)),"Head of Technology",IF(ISNUMBER(SEARCH("TDD BP",$C283)),"Business Partner",IF(OR(ISNUMBER(SEARCH("domain architect",$C283)),ISNUMBER(SEARCH("enterprise architect",$C283))),"Architecture",IF($AQ283=1,"Leadership","Squad")))))</f>
        <v>Leadership</v>
      </c>
      <c r="AS283" t="str">
        <f>IF(TRIM($B283)="","",IFERROR(INDEX(Lists!$AA:$AA,MATCH($AP283,Lists!$Z:$Z,0)),$AP283))</f>
        <v>Leadership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U284*(1+V284+W284+X284+Y284+Z284)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IFERROR(INDEX(Lists!$U$1:$U$25,MATCH($I284,Lists!$T$1:$T$25,0)),"?")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5</v>
      </c>
      <c r="AN284" s="949" t="str">
        <f>$AJ284&amp;"|"&amp;$AM284</f>
        <v>Enterprise Data|5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technology",$C284)),"Head of Technology",IF(ISNUMBER(SEARCH("TDD BP",$C284)),"Business Partner",IF(OR(ISNUMBER(SEARCH("domain architect",$C284)),ISNUMBER(SEARCH("enterprise architect",$C284))),"Architecture",IF($AQ284=1,"Leadership","Squad")))))</f>
        <v>Squad</v>
      </c>
      <c r="AS284" t="str">
        <f>IF(TRIM($B284)="","",IFERROR(INDEX(Lists!$AA:$AA,MATCH($AP284,Lists!$Z:$Z,0)),$AP284))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U285*(1+V285+W285+X285+Y285+Z285)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IFERROR(INDEX(Lists!$U$1:$U$25,MATCH($I285,Lists!$T$1:$T$25,0)),"?")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6</v>
      </c>
      <c r="AN285" s="949" t="str">
        <f>$AJ285&amp;"|"&amp;$AM285</f>
        <v>Enterprise Data|6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technology",$C285)),"Head of Technology",IF(ISNUMBER(SEARCH("TDD BP",$C285)),"Business Partner",IF(OR(ISNUMBER(SEARCH("domain architect",$C285)),ISNUMBER(SEARCH("enterprise architect",$C285))),"Architecture",IF($AQ285=1,"Leadership","Squad")))))</f>
        <v>Head of Technology</v>
      </c>
      <c r="AS285" t="str">
        <f>IF(TRIM($B285)="","",IFERROR(INDEX(Lists!$AA:$AA,MATCH($AP285,Lists!$Z:$Z,0)),$AP285))</f>
        <v>Leadership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U286*(1+V286+X286+Z286)+Y286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IFERROR(INDEX(Lists!$U$1:$U$25,MATCH($I286,Lists!$T$1:$T$25,0)),"?")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7</v>
      </c>
      <c r="AN286" s="949" t="str">
        <f>$AJ286&amp;"|"&amp;$AM286</f>
        <v>Enterprise Data|7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technology",$C286)),"Head of Technology",IF(ISNUMBER(SEARCH("TDD BP",$C286)),"Business Partner",IF(OR(ISNUMBER(SEARCH("domain architect",$C286)),ISNUMBER(SEARCH("enterprise architect",$C286))),"Architecture",IF($AQ286=1,"Leadership","Squad")))))</f>
        <v>Leadership</v>
      </c>
      <c r="AS286" t="str">
        <f>IF(TRIM($B286)="","",IFERROR(INDEX(Lists!$AA:$AA,MATCH($AP286,Lists!$Z:$Z,0)),$AP286))</f>
        <v>Leadership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U287*(1+V287+W287+X287+Y287+Z287)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IFERROR(INDEX(Lists!$U$1:$U$25,MATCH($I287,Lists!$T$1:$T$25,0)),"?")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2</v>
      </c>
      <c r="AN287" s="949" t="str">
        <f>$AJ287&amp;"|"&amp;$AM287</f>
        <v>COE SA&amp;D|2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technology",$C287)),"Head of Technology",IF(ISNUMBER(SEARCH("TDD BP",$C287)),"Business Partner",IF(OR(ISNUMBER(SEARCH("domain architect",$C287)),ISNUMBER(SEARCH("enterprise architect",$C287))),"Architecture",IF($AQ287=1,"Leadership","Squad")))))</f>
        <v>Leadership</v>
      </c>
      <c r="AS287" t="str">
        <f>IF(TRIM($B287)="","",IFERROR(INDEX(Lists!$AA:$AA,MATCH($AP287,Lists!$Z:$Z,0)),$AP287))</f>
        <v>Leadership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U288*(1+V288+X288+Z288)+Y288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IFERROR(INDEX(Lists!$U$1:$U$25,MATCH($I288,Lists!$T$1:$T$25,0)),"?")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3</v>
      </c>
      <c r="AN288" s="949" t="str">
        <f>$AJ288&amp;"|"&amp;$AM288</f>
        <v>COE SA&amp;D|3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technology",$C288)),"Head of Technology",IF(ISNUMBER(SEARCH("TDD BP",$C288)),"Business Partner",IF(OR(ISNUMBER(SEARCH("domain architect",$C288)),ISNUMBER(SEARCH("enterprise architect",$C288))),"Architecture",IF($AQ288=1,"Leadership","Squad")))))</f>
        <v>Architecture</v>
      </c>
      <c r="AS288" t="str">
        <f>IF(TRIM($B288)="","",IFERROR(INDEX(Lists!$AA:$AA,MATCH($AP288,Lists!$Z:$Z,0)),$AP288))</f>
        <v>Architecture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U289*(1+V289+W289+X289+Y289+Z289)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IFERROR(INDEX(Lists!$U$1:$U$25,MATCH($I289,Lists!$T$1:$T$25,0)),"?")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8</v>
      </c>
      <c r="AN289" s="949" t="str">
        <f>$AJ289&amp;"|"&amp;$AM289</f>
        <v>Enterprise Data|8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technology",$C289)),"Head of Technology",IF(ISNUMBER(SEARCH("TDD BP",$C289)),"Business Partner",IF(OR(ISNUMBER(SEARCH("domain architect",$C289)),ISNUMBER(SEARCH("enterprise architect",$C289))),"Architecture",IF($AQ289=1,"Leadership","Squad")))))</f>
        <v>Leadership</v>
      </c>
      <c r="AS289" t="str">
        <f>IF(TRIM($B289)="","",IFERROR(INDEX(Lists!$AA:$AA,MATCH($AP289,Lists!$Z:$Z,0)),$AP289))</f>
        <v>Leadership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U290*(1+V290+W290+X290+Y290+Z290)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IFERROR(INDEX(Lists!$U$1:$U$25,MATCH($I290,Lists!$T$1:$T$25,0)),"?")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9</v>
      </c>
      <c r="AN290" s="949" t="str">
        <f>$AJ290&amp;"|"&amp;$AM290</f>
        <v>Enterprise Data|9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technology",$C290)),"Head of Technology",IF(ISNUMBER(SEARCH("TDD BP",$C290)),"Business Partner",IF(OR(ISNUMBER(SEARCH("domain architect",$C290)),ISNUMBER(SEARCH("enterprise architect",$C290))),"Architecture",IF($AQ290=1,"Leadership","Squad")))))</f>
        <v>Squad</v>
      </c>
      <c r="AS290" t="str">
        <f>IF(TRIM($B290)="","",IFERROR(INDEX(Lists!$AA:$AA,MATCH($AP290,Lists!$Z:$Z,0)),$AP290))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U291*(1+V291+X291+Z291)+Y291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IFERROR(INDEX(Lists!$U$1:$U$25,MATCH($I291,Lists!$T$1:$T$25,0)),"?")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4</v>
      </c>
      <c r="AN291" s="949" t="str">
        <f>$AJ291&amp;"|"&amp;$AM291</f>
        <v>COE SA&amp;D|4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technology",$C291)),"Head of Technology",IF(ISNUMBER(SEARCH("TDD BP",$C291)),"Business Partner",IF(OR(ISNUMBER(SEARCH("domain architect",$C291)),ISNUMBER(SEARCH("enterprise architect",$C291))),"Architecture",IF($AQ291=1,"Leadership","Squad")))))</f>
        <v>Squad</v>
      </c>
      <c r="AS291" t="str">
        <f>IF(TRIM($B291)="","",IFERROR(INDEX(Lists!$AA:$AA,MATCH($AP291,Lists!$Z:$Z,0)),$AP291))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U292*(1+V292+X292+Z292)+Y292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IFERROR(INDEX(Lists!$U$1:$U$25,MATCH($I292,Lists!$T$1:$T$25,0)),"?")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5</v>
      </c>
      <c r="AN292" s="949" t="str">
        <f>$AJ292&amp;"|"&amp;$AM292</f>
        <v>COE SA&amp;D|5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technology",$C292)),"Head of Technology",IF(ISNUMBER(SEARCH("TDD BP",$C292)),"Business Partner",IF(OR(ISNUMBER(SEARCH("domain architect",$C292)),ISNUMBER(SEARCH("enterprise architect",$C292))),"Architecture",IF($AQ292=1,"Leadership","Squad")))))</f>
        <v>Architecture</v>
      </c>
      <c r="AS292" t="str">
        <f>IF(TRIM($B292)="","",IFERROR(INDEX(Lists!$AA:$AA,MATCH($AP292,Lists!$Z:$Z,0)),$AP292))</f>
        <v>Architecture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U293*(1+V293+W293+X293+Y293+Z293)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IFERROR(INDEX(Lists!$U$1:$U$25,MATCH($I293,Lists!$T$1:$T$25,0)),"?")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6</v>
      </c>
      <c r="AN293" s="949" t="str">
        <f>$AJ293&amp;"|"&amp;$AM293</f>
        <v>COE SA&amp;D|6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technology",$C293)),"Head of Technology",IF(ISNUMBER(SEARCH("TDD BP",$C293)),"Business Partner",IF(OR(ISNUMBER(SEARCH("domain architect",$C293)),ISNUMBER(SEARCH("enterprise architect",$C293))),"Architecture",IF($AQ293=1,"Leadership","Squad")))))</f>
        <v>Squad</v>
      </c>
      <c r="AS293" t="str">
        <f>IF(TRIM($B293)="","",IFERROR(INDEX(Lists!$AA:$AA,MATCH($AP293,Lists!$Z:$Z,0)),$AP293))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U294*(1+V294+W294+X294+Y294+Z294)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IFERROR(INDEX(Lists!$U$1:$U$25,MATCH($I294,Lists!$T$1:$T$25,0)),"?")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7</v>
      </c>
      <c r="AN294" s="949" t="str">
        <f>$AJ294&amp;"|"&amp;$AM294</f>
        <v>COE SA&amp;D|7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technology",$C294)),"Head of Technology",IF(ISNUMBER(SEARCH("TDD BP",$C294)),"Business Partner",IF(OR(ISNUMBER(SEARCH("domain architect",$C294)),ISNUMBER(SEARCH("enterprise architect",$C294))),"Architecture",IF($AQ294=1,"Leadership","Squad")))))</f>
        <v>Squad</v>
      </c>
      <c r="AS294" t="str">
        <f>IF(TRIM($B294)="","",IFERROR(INDEX(Lists!$AA:$AA,MATCH($AP294,Lists!$Z:$Z,0)),$AP294))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U295*(1+V295+W295+X295+Y295+Z295)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IFERROR(INDEX(Lists!$U$1:$U$25,MATCH($I295,Lists!$T$1:$T$25,0)),"?")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10</v>
      </c>
      <c r="AN295" s="949" t="str">
        <f>$AJ295&amp;"|"&amp;$AM295</f>
        <v>Enterprise Data|10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technology",$C295)),"Head of Technology",IF(ISNUMBER(SEARCH("TDD BP",$C295)),"Business Partner",IF(OR(ISNUMBER(SEARCH("domain architect",$C295)),ISNUMBER(SEARCH("enterprise architect",$C295))),"Architecture",IF($AQ295=1,"Leadership","Squad")))))</f>
        <v>Squad</v>
      </c>
      <c r="AS295" t="str">
        <f>IF(TRIM($B295)="","",IFERROR(INDEX(Lists!$AA:$AA,MATCH($AP295,Lists!$Z:$Z,0)),$AP295))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U296*(1+V296+W296+X296+Y296+Z296)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IFERROR(INDEX(Lists!$U$1:$U$25,MATCH($I296,Lists!$T$1:$T$25,0)),"?")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11</v>
      </c>
      <c r="AN296" s="949" t="str">
        <f>$AJ296&amp;"|"&amp;$AM296</f>
        <v>Enterprise Data|11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technology",$C296)),"Head of Technology",IF(ISNUMBER(SEARCH("TDD BP",$C296)),"Business Partner",IF(OR(ISNUMBER(SEARCH("domain architect",$C296)),ISNUMBER(SEARCH("enterprise architect",$C296))),"Architecture",IF($AQ296=1,"Leadership","Squad")))))</f>
        <v>Squad</v>
      </c>
      <c r="AS296" t="str">
        <f>IF(TRIM($B296)="","",IFERROR(INDEX(Lists!$AA:$AA,MATCH($AP296,Lists!$Z:$Z,0)),$AP296))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U297*(1+V297+W297+X297+Y297+Z297)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IFERROR(INDEX(Lists!$U$1:$U$25,MATCH($I297,Lists!$T$1:$T$25,0)),"?")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12</v>
      </c>
      <c r="AN297" s="949" t="str">
        <f>$AJ297&amp;"|"&amp;$AM297</f>
        <v>Enterprise Data|12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technology",$C297)),"Head of Technology",IF(ISNUMBER(SEARCH("TDD BP",$C297)),"Business Partner",IF(OR(ISNUMBER(SEARCH("domain architect",$C297)),ISNUMBER(SEARCH("enterprise architect",$C297))),"Architecture",IF($AQ297=1,"Leadership","Squad")))))</f>
        <v>Squad</v>
      </c>
      <c r="AS297" t="str">
        <f>IF(TRIM($B297)="","",IFERROR(INDEX(Lists!$AA:$AA,MATCH($AP297,Lists!$Z:$Z,0)),$AP297))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U298*(1+V298+W298+X298+Y298+Z298)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IFERROR(INDEX(Lists!$U$1:$U$25,MATCH($I298,Lists!$T$1:$T$25,0)),"?")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13</v>
      </c>
      <c r="AN298" s="949" t="str">
        <f>$AJ298&amp;"|"&amp;$AM298</f>
        <v>Enterprise Data|13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technology",$C298)),"Head of Technology",IF(ISNUMBER(SEARCH("TDD BP",$C298)),"Business Partner",IF(OR(ISNUMBER(SEARCH("domain architect",$C298)),ISNUMBER(SEARCH("enterprise architect",$C298))),"Architecture",IF($AQ298=1,"Leadership","Squad")))))</f>
        <v>Squad</v>
      </c>
      <c r="AS298" t="str">
        <f>IF(TRIM($B298)="","",IFERROR(INDEX(Lists!$AA:$AA,MATCH($AP298,Lists!$Z:$Z,0)),$AP298))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U299*(1+V299+W299+X299+Y299+Z299)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IFERROR(INDEX(Lists!$U$1:$U$25,MATCH($I299,Lists!$T$1:$T$25,0)),"?")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8</v>
      </c>
      <c r="AN299" s="949" t="str">
        <f>$AJ299&amp;"|"&amp;$AM299</f>
        <v>COE SA&amp;D|8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technology",$C299)),"Head of Technology",IF(ISNUMBER(SEARCH("TDD BP",$C299)),"Business Partner",IF(OR(ISNUMBER(SEARCH("domain architect",$C299)),ISNUMBER(SEARCH("enterprise architect",$C299))),"Architecture",IF($AQ299=1,"Leadership","Squad")))))</f>
        <v>Squad</v>
      </c>
      <c r="AS299" t="str">
        <f>IF(TRIM($B299)="","",IFERROR(INDEX(Lists!$AA:$AA,MATCH($AP299,Lists!$Z:$Z,0)),$AP299))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U300*(1+V300+W300+X300+Y300+Z300)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IFERROR(INDEX(Lists!$U$1:$U$25,MATCH($I300,Lists!$T$1:$T$25,0)),"?")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9</v>
      </c>
      <c r="AN300" s="949" t="str">
        <f>$AJ300&amp;"|"&amp;$AM300</f>
        <v>COE SA&amp;D|9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technology",$C300)),"Head of Technology",IF(ISNUMBER(SEARCH("TDD BP",$C300)),"Business Partner",IF(OR(ISNUMBER(SEARCH("domain architect",$C300)),ISNUMBER(SEARCH("enterprise architect",$C300))),"Architecture",IF($AQ300=1,"Leadership","Squad")))))</f>
        <v>Squad</v>
      </c>
      <c r="AS300" t="str">
        <f>IF(TRIM($B300)="","",IFERROR(INDEX(Lists!$AA:$AA,MATCH($AP300,Lists!$Z:$Z,0)),$AP300))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U301*(1+V301+W301+X301+Y301+Z301)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IFERROR(INDEX(Lists!$U$1:$U$25,MATCH($I301,Lists!$T$1:$T$25,0)),"?")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10</v>
      </c>
      <c r="AN301" s="949" t="str">
        <f>$AJ301&amp;"|"&amp;$AM301</f>
        <v>COE SA&amp;D|10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technology",$C301)),"Head of Technology",IF(ISNUMBER(SEARCH("TDD BP",$C301)),"Business Partner",IF(OR(ISNUMBER(SEARCH("domain architect",$C301)),ISNUMBER(SEARCH("enterprise architect",$C301))),"Architecture",IF($AQ301=1,"Leadership","Squad")))))</f>
        <v>Squad</v>
      </c>
      <c r="AS301" t="str">
        <f>IF(TRIM($B301)="","",IFERROR(INDEX(Lists!$AA:$AA,MATCH($AP301,Lists!$Z:$Z,0)),$AP301))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U302*(1+V302+W302+X302+Y302+Z302)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IFERROR(INDEX(Lists!$U$1:$U$25,MATCH($I302,Lists!$T$1:$T$25,0)),"?")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11</v>
      </c>
      <c r="AN302" s="949" t="str">
        <f>$AJ302&amp;"|"&amp;$AM302</f>
        <v>COE SA&amp;D|11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technology",$C302)),"Head of Technology",IF(ISNUMBER(SEARCH("TDD BP",$C302)),"Business Partner",IF(OR(ISNUMBER(SEARCH("domain architect",$C302)),ISNUMBER(SEARCH("enterprise architect",$C302))),"Architecture",IF($AQ302=1,"Leadership","Squad")))))</f>
        <v>Architecture</v>
      </c>
      <c r="AS302" t="str">
        <f>IF(TRIM($B302)="","",IFERROR(INDEX(Lists!$AA:$AA,MATCH($AP302,Lists!$Z:$Z,0)),$AP302))</f>
        <v>Architecture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U303*(1+V303+W303+X303+Y303+Z303)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IFERROR(INDEX(Lists!$U$1:$U$25,MATCH($I303,Lists!$T$1:$T$25,0)),"?")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12</v>
      </c>
      <c r="AN303" s="949" t="str">
        <f>$AJ303&amp;"|"&amp;$AM303</f>
        <v>COE SA&amp;D|12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technology",$C303)),"Head of Technology",IF(ISNUMBER(SEARCH("TDD BP",$C303)),"Business Partner",IF(OR(ISNUMBER(SEARCH("domain architect",$C303)),ISNUMBER(SEARCH("enterprise architect",$C303))),"Architecture",IF($AQ303=1,"Leadership","Squad")))))</f>
        <v>Architecture</v>
      </c>
      <c r="AS303" t="str">
        <f>IF(TRIM($B303)="","",IFERROR(INDEX(Lists!$AA:$AA,MATCH($AP303,Lists!$Z:$Z,0)),$AP303))</f>
        <v>Architecture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U304*(1+V304+W304+X304+Y304+Z304)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IFERROR(INDEX(Lists!$U$1:$U$25,MATCH($I304,Lists!$T$1:$T$25,0)),"?")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13</v>
      </c>
      <c r="AN304" s="949" t="str">
        <f>$AJ304&amp;"|"&amp;$AM304</f>
        <v>COE SA&amp;D|13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technology",$C304)),"Head of Technology",IF(ISNUMBER(SEARCH("TDD BP",$C304)),"Business Partner",IF(OR(ISNUMBER(SEARCH("domain architect",$C304)),ISNUMBER(SEARCH("enterprise architect",$C304))),"Architecture",IF($AQ304=1,"Leadership","Squad")))))</f>
        <v>Architecture</v>
      </c>
      <c r="AS304" t="str">
        <f>IF(TRIM($B304)="","",IFERROR(INDEX(Lists!$AA:$AA,MATCH($AP304,Lists!$Z:$Z,0)),$AP304))</f>
        <v>Architecture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U305*(1+V305+W305+X305+Y305+Z305)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IFERROR(INDEX(Lists!$U$1:$U$25,MATCH($I305,Lists!$T$1:$T$25,0)),"?")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14</v>
      </c>
      <c r="AN305" s="949" t="str">
        <f>$AJ305&amp;"|"&amp;$AM305</f>
        <v>COE SA&amp;D|14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technology",$C305)),"Head of Technology",IF(ISNUMBER(SEARCH("TDD BP",$C305)),"Business Partner",IF(OR(ISNUMBER(SEARCH("domain architect",$C305)),ISNUMBER(SEARCH("enterprise architect",$C305))),"Architecture",IF($AQ305=1,"Leadership","Squad")))))</f>
        <v>Architecture</v>
      </c>
      <c r="AS305" t="str">
        <f>IF(TRIM($B305)="","",IFERROR(INDEX(Lists!$AA:$AA,MATCH($AP305,Lists!$Z:$Z,0)),$AP305))</f>
        <v>Architecture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U306*(1+V306+W306+X306+Y306+Z306)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IFERROR(INDEX(Lists!$U$1:$U$25,MATCH($I306,Lists!$T$1:$T$25,0)),"?")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15</v>
      </c>
      <c r="AN306" s="949" t="str">
        <f>$AJ306&amp;"|"&amp;$AM306</f>
        <v>COE SA&amp;D|15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technology",$C306)),"Head of Technology",IF(ISNUMBER(SEARCH("TDD BP",$C306)),"Business Partner",IF(OR(ISNUMBER(SEARCH("domain architect",$C306)),ISNUMBER(SEARCH("enterprise architect",$C306))),"Architecture",IF($AQ306=1,"Leadership","Squad")))))</f>
        <v>Squad</v>
      </c>
      <c r="AS306" t="str">
        <f>IF(TRIM($B306)="","",IFERROR(INDEX(Lists!$AA:$AA,MATCH($AP306,Lists!$Z:$Z,0)),$AP306))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U307*(1+V307+X307+Z307)+Y307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IFERROR(INDEX(Lists!$U$1:$U$25,MATCH($I307,Lists!$T$1:$T$25,0)),"?")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14</v>
      </c>
      <c r="AN307" s="949" t="str">
        <f>$AJ307&amp;"|"&amp;$AM307</f>
        <v>Enterprise Data|14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technology",$C307)),"Head of Technology",IF(ISNUMBER(SEARCH("TDD BP",$C307)),"Business Partner",IF(OR(ISNUMBER(SEARCH("domain architect",$C307)),ISNUMBER(SEARCH("enterprise architect",$C307))),"Architecture",IF($AQ307=1,"Leadership","Squad")))))</f>
        <v>Squad</v>
      </c>
      <c r="AS307" t="str">
        <f>IF(TRIM($B307)="","",IFERROR(INDEX(Lists!$AA:$AA,MATCH($AP307,Lists!$Z:$Z,0)),$AP307))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U308*(1+V308+W308+X308+Y308+Z308)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IFERROR(INDEX(Lists!$U$1:$U$25,MATCH($I308,Lists!$T$1:$T$25,0)),"?")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15</v>
      </c>
      <c r="AN308" s="949" t="str">
        <f>$AJ308&amp;"|"&amp;$AM308</f>
        <v>Enterprise Data|15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technology",$C308)),"Head of Technology",IF(ISNUMBER(SEARCH("TDD BP",$C308)),"Business Partner",IF(OR(ISNUMBER(SEARCH("domain architect",$C308)),ISNUMBER(SEARCH("enterprise architect",$C308))),"Architecture",IF($AQ308=1,"Leadership","Squad")))))</f>
        <v>Squad</v>
      </c>
      <c r="AS308" t="str">
        <f>IF(TRIM($B308)="","",IFERROR(INDEX(Lists!$AA:$AA,MATCH($AP308,Lists!$Z:$Z,0)),$AP308))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U309*(1+V309+W309+X309+Y309+Z309)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IFERROR(INDEX(Lists!$U$1:$U$25,MATCH($I309,Lists!$T$1:$T$25,0)),"?")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16</v>
      </c>
      <c r="AN309" s="949" t="str">
        <f>$AJ309&amp;"|"&amp;$AM309</f>
        <v>COE SA&amp;D|16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technology",$C309)),"Head of Technology",IF(ISNUMBER(SEARCH("TDD BP",$C309)),"Business Partner",IF(OR(ISNUMBER(SEARCH("domain architect",$C309)),ISNUMBER(SEARCH("enterprise architect",$C309))),"Architecture",IF($AQ309=1,"Leadership","Squad")))))</f>
        <v>Squad</v>
      </c>
      <c r="AS309" t="str">
        <f>IF(TRIM($B309)="","",IFERROR(INDEX(Lists!$AA:$AA,MATCH($AP309,Lists!$Z:$Z,0)),$AP309))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U310*(1+V310+W310+X310+Y310+Z310)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IFERROR(INDEX(Lists!$U$1:$U$25,MATCH($I310,Lists!$T$1:$T$25,0)),"?")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16</v>
      </c>
      <c r="AN310" s="949" t="str">
        <f>$AJ310&amp;"|"&amp;$AM310</f>
        <v>Enterprise Data|16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technology",$C310)),"Head of Technology",IF(ISNUMBER(SEARCH("TDD BP",$C310)),"Business Partner",IF(OR(ISNUMBER(SEARCH("domain architect",$C310)),ISNUMBER(SEARCH("enterprise architect",$C310))),"Architecture",IF($AQ310=1,"Leadership","Squad")))))</f>
        <v>Squad</v>
      </c>
      <c r="AS310" t="str">
        <f>IF(TRIM($B310)="","",IFERROR(INDEX(Lists!$AA:$AA,MATCH($AP310,Lists!$Z:$Z,0)),$AP310))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U311*(1+V311+W311+X311+Y311+Z311)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IFERROR(INDEX(Lists!$U$1:$U$25,MATCH($I311,Lists!$T$1:$T$25,0)),"?")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17</v>
      </c>
      <c r="AN311" s="949" t="str">
        <f>$AJ311&amp;"|"&amp;$AM311</f>
        <v>Enterprise Data|17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technology",$C311)),"Head of Technology",IF(ISNUMBER(SEARCH("TDD BP",$C311)),"Business Partner",IF(OR(ISNUMBER(SEARCH("domain architect",$C311)),ISNUMBER(SEARCH("enterprise architect",$C311))),"Architecture",IF($AQ311=1,"Leadership","Squad")))))</f>
        <v>Squad</v>
      </c>
      <c r="AS311" t="str">
        <f>IF(TRIM($B311)="","",IFERROR(INDEX(Lists!$AA:$AA,MATCH($AP311,Lists!$Z:$Z,0)),$AP311))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U312*(1+V312+X312+Z312)+Y312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IFERROR(INDEX(Lists!$U$1:$U$25,MATCH($I312,Lists!$T$1:$T$25,0)),"?")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18</v>
      </c>
      <c r="AN312" s="949" t="str">
        <f>$AJ312&amp;"|"&amp;$AM312</f>
        <v>Enterprise Data|18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technology",$C312)),"Head of Technology",IF(ISNUMBER(SEARCH("TDD BP",$C312)),"Business Partner",IF(OR(ISNUMBER(SEARCH("domain architect",$C312)),ISNUMBER(SEARCH("enterprise architect",$C312))),"Architecture",IF($AQ312=1,"Leadership","Squad")))))</f>
        <v>Squad</v>
      </c>
      <c r="AS312" t="str">
        <f>IF(TRIM($B312)="","",IFERROR(INDEX(Lists!$AA:$AA,MATCH($AP312,Lists!$Z:$Z,0)),$AP312))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U313*(1+V313+W313+X313+Y313+Z313)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IFERROR(INDEX(Lists!$U$1:$U$25,MATCH($I313,Lists!$T$1:$T$25,0)),"?")</f>
        <v>Enterprise Data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19</v>
      </c>
      <c r="AN313" s="949" t="str">
        <f>$AJ313&amp;"|"&amp;$AM313</f>
        <v>Enterprise Data|19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technology",$C313)),"Head of Technology",IF(ISNUMBER(SEARCH("TDD BP",$C313)),"Business Partner",IF(OR(ISNUMBER(SEARCH("domain architect",$C313)),ISNUMBER(SEARCH("enterprise architect",$C313))),"Architecture",IF($AQ313=1,"Leadership","Squad")))))</f>
        <v>Leadership</v>
      </c>
      <c r="AS313" t="str">
        <f>IF(TRIM($B313)="","",IFERROR(INDEX(Lists!$AA:$AA,MATCH($AP313,Lists!$Z:$Z,0)),$AP313))</f>
        <v>Leadership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U314*(1+V314+W314+X314+Y314+Z314)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IFERROR(INDEX(Lists!$U$1:$U$25,MATCH($I314,Lists!$T$1:$T$25,0)),"?")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20</v>
      </c>
      <c r="AN314" s="949" t="str">
        <f>$AJ314&amp;"|"&amp;$AM314</f>
        <v>Enterprise Data|20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technology",$C314)),"Head of Technology",IF(ISNUMBER(SEARCH("TDD BP",$C314)),"Business Partner",IF(OR(ISNUMBER(SEARCH("domain architect",$C314)),ISNUMBER(SEARCH("enterprise architect",$C314))),"Architecture",IF($AQ314=1,"Leadership","Squad")))))</f>
        <v>Squad</v>
      </c>
      <c r="AS314" t="str">
        <f>IF(TRIM($B314)="","",IFERROR(INDEX(Lists!$AA:$AA,MATCH($AP314,Lists!$Z:$Z,0)),$AP314))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U315*(1+V315+W315+X315+Y315+Z315)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IFERROR(INDEX(Lists!$U$1:$U$25,MATCH($I315,Lists!$T$1:$T$25,0)),"?")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21</v>
      </c>
      <c r="AN315" s="949" t="str">
        <f>$AJ315&amp;"|"&amp;$AM315</f>
        <v>Enterprise Data|21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technology",$C315)),"Head of Technology",IF(ISNUMBER(SEARCH("TDD BP",$C315)),"Business Partner",IF(OR(ISNUMBER(SEARCH("domain architect",$C315)),ISNUMBER(SEARCH("enterprise architect",$C315))),"Architecture",IF($AQ315=1,"Leadership","Squad")))))</f>
        <v>Squad</v>
      </c>
      <c r="AS315" t="str">
        <f>IF(TRIM($B315)="","",IFERROR(INDEX(Lists!$AA:$AA,MATCH($AP315,Lists!$Z:$Z,0)),$AP315))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U316*(1+V316+W316+X316+Y316+Z316)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IFERROR(INDEX(Lists!$U$1:$U$25,MATCH($I316,Lists!$T$1:$T$25,0)),"?")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22</v>
      </c>
      <c r="AN316" s="949" t="str">
        <f>$AJ316&amp;"|"&amp;$AM316</f>
        <v>Enterprise Data|22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technology",$C316)),"Head of Technology",IF(ISNUMBER(SEARCH("TDD BP",$C316)),"Business Partner",IF(OR(ISNUMBER(SEARCH("domain architect",$C316)),ISNUMBER(SEARCH("enterprise architect",$C316))),"Architecture",IF($AQ316=1,"Leadership","Squad")))))</f>
        <v>Squad</v>
      </c>
      <c r="AS316" t="str">
        <f>IF(TRIM($B316)="","",IFERROR(INDEX(Lists!$AA:$AA,MATCH($AP316,Lists!$Z:$Z,0)),$AP316))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U317*(1+V317+W317+X317+Y317+Z317)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IFERROR(INDEX(Lists!$U$1:$U$25,MATCH($I317,Lists!$T$1:$T$25,0)),"?")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23</v>
      </c>
      <c r="AN317" s="949" t="str">
        <f>$AJ317&amp;"|"&amp;$AM317</f>
        <v>Enterprise Data|23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technology",$C317)),"Head of Technology",IF(ISNUMBER(SEARCH("TDD BP",$C317)),"Business Partner",IF(OR(ISNUMBER(SEARCH("domain architect",$C317)),ISNUMBER(SEARCH("enterprise architect",$C317))),"Architecture",IF($AQ317=1,"Leadership","Squad")))))</f>
        <v>Squad</v>
      </c>
      <c r="AS317" t="str">
        <f>IF(TRIM($B317)="","",IFERROR(INDEX(Lists!$AA:$AA,MATCH($AP317,Lists!$Z:$Z,0)),$AP317))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U318*(1+V318+W318+X318+Y318+Z318)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IFERROR(INDEX(Lists!$U$1:$U$25,MATCH($I318,Lists!$T$1:$T$25,0)),"?")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24</v>
      </c>
      <c r="AN318" s="949" t="str">
        <f>$AJ318&amp;"|"&amp;$AM318</f>
        <v>Enterprise Data|24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technology",$C318)),"Head of Technology",IF(ISNUMBER(SEARCH("TDD BP",$C318)),"Business Partner",IF(OR(ISNUMBER(SEARCH("domain architect",$C318)),ISNUMBER(SEARCH("enterprise architect",$C318))),"Architecture",IF($AQ318=1,"Leadership","Squad")))))</f>
        <v>Squad</v>
      </c>
      <c r="AS318" t="str">
        <f>IF(TRIM($B318)="","",IFERROR(INDEX(Lists!$AA:$AA,MATCH($AP318,Lists!$Z:$Z,0)),$AP318))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U319*(1+V319+W319+X319+Y319+Z319)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IFERROR(INDEX(Lists!$U$1:$U$25,MATCH($I319,Lists!$T$1:$T$25,0)),"?")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25</v>
      </c>
      <c r="AN319" s="949" t="str">
        <f>$AJ319&amp;"|"&amp;$AM319</f>
        <v>Enterprise Data|25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technology",$C319)),"Head of Technology",IF(ISNUMBER(SEARCH("TDD BP",$C319)),"Business Partner",IF(OR(ISNUMBER(SEARCH("domain architect",$C319)),ISNUMBER(SEARCH("enterprise architect",$C319))),"Architecture",IF($AQ319=1,"Leadership","Squad")))))</f>
        <v>Squad</v>
      </c>
      <c r="AS319" t="str">
        <f>IF(TRIM($B319)="","",IFERROR(INDEX(Lists!$AA:$AA,MATCH($AP319,Lists!$Z:$Z,0)),$AP319))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U320*(1+V320+W320+X320+Y320+Z320)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IFERROR(INDEX(Lists!$U$1:$U$25,MATCH($I320,Lists!$T$1:$T$25,0)),"?")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26</v>
      </c>
      <c r="AN320" s="949" t="str">
        <f>$AJ320&amp;"|"&amp;$AM320</f>
        <v>Enterprise Data|26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technology",$C320)),"Head of Technology",IF(ISNUMBER(SEARCH("TDD BP",$C320)),"Business Partner",IF(OR(ISNUMBER(SEARCH("domain architect",$C320)),ISNUMBER(SEARCH("enterprise architect",$C320))),"Architecture",IF($AQ320=1,"Leadership","Squad")))))</f>
        <v>Squad</v>
      </c>
      <c r="AS320" t="str">
        <f>IF(TRIM($B320)="","",IFERROR(INDEX(Lists!$AA:$AA,MATCH($AP320,Lists!$Z:$Z,0)),$AP320))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U321*(1+V321+W321+X321+Y321+Z321)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IFERROR(INDEX(Lists!$U$1:$U$25,MATCH($I321,Lists!$T$1:$T$25,0)),"?")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17</v>
      </c>
      <c r="AN321" s="949" t="str">
        <f>$AJ321&amp;"|"&amp;$AM321</f>
        <v>COE SA&amp;D|17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technology",$C321)),"Head of Technology",IF(ISNUMBER(SEARCH("TDD BP",$C321)),"Business Partner",IF(OR(ISNUMBER(SEARCH("domain architect",$C321)),ISNUMBER(SEARCH("enterprise architect",$C321))),"Architecture",IF($AQ321=1,"Leadership","Squad")))))</f>
        <v>Squad</v>
      </c>
      <c r="AS321" t="str">
        <f>IF(TRIM($B321)="","",IFERROR(INDEX(Lists!$AA:$AA,MATCH($AP321,Lists!$Z:$Z,0)),$AP321))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U322*(1+V322+W322+X322+Y322+Z322)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IFERROR(INDEX(Lists!$U$1:$U$25,MATCH($I322,Lists!$T$1:$T$25,0)),"?")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18</v>
      </c>
      <c r="AN322" s="949" t="str">
        <f>$AJ322&amp;"|"&amp;$AM322</f>
        <v>COE SA&amp;D|18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technology",$C322)),"Head of Technology",IF(ISNUMBER(SEARCH("TDD BP",$C322)),"Business Partner",IF(OR(ISNUMBER(SEARCH("domain architect",$C322)),ISNUMBER(SEARCH("enterprise architect",$C322))),"Architecture",IF($AQ322=1,"Leadership","Squad")))))</f>
        <v>Leadership</v>
      </c>
      <c r="AS322" t="str">
        <f>IF(TRIM($B322)="","",IFERROR(INDEX(Lists!$AA:$AA,MATCH($AP322,Lists!$Z:$Z,0)),$AP322))</f>
        <v>Leadership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U323*(1+V323+W323+X323+Y323+Z323)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IFERROR(INDEX(Lists!$U$1:$U$25,MATCH($I323,Lists!$T$1:$T$25,0)),"?")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19</v>
      </c>
      <c r="AN323" s="949" t="str">
        <f>$AJ323&amp;"|"&amp;$AM323</f>
        <v>COE SA&amp;D|19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technology",$C323)),"Head of Technology",IF(ISNUMBER(SEARCH("TDD BP",$C323)),"Business Partner",IF(OR(ISNUMBER(SEARCH("domain architect",$C323)),ISNUMBER(SEARCH("enterprise architect",$C323))),"Architecture",IF($AQ323=1,"Leadership","Squad")))))</f>
        <v>Head of Technology</v>
      </c>
      <c r="AS323" t="str">
        <f>IF(TRIM($B323)="","",IFERROR(INDEX(Lists!$AA:$AA,MATCH($AP323,Lists!$Z:$Z,0)),$AP323))</f>
        <v>Leadership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U324*(1+V324+W324+X324+Y324+Z324)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IFERROR(INDEX(Lists!$U$1:$U$25,MATCH($I324,Lists!$T$1:$T$25,0)),"?")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20</v>
      </c>
      <c r="AN324" s="949" t="str">
        <f>$AJ324&amp;"|"&amp;$AM324</f>
        <v>COE SA&amp;D|20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technology",$C324)),"Head of Technology",IF(ISNUMBER(SEARCH("TDD BP",$C324)),"Business Partner",IF(OR(ISNUMBER(SEARCH("domain architect",$C324)),ISNUMBER(SEARCH("enterprise architect",$C324))),"Architecture",IF($AQ324=1,"Leadership","Squad")))))</f>
        <v>Leadership</v>
      </c>
      <c r="AS324" t="str">
        <f>IF(TRIM($B324)="","",IFERROR(INDEX(Lists!$AA:$AA,MATCH($AP324,Lists!$Z:$Z,0)),$AP324))</f>
        <v>Leadership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U325*(1+V325+W325+X325+Y325+Z325)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IFERROR(INDEX(Lists!$U$1:$U$25,MATCH($I325,Lists!$T$1:$T$25,0)),"?")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21</v>
      </c>
      <c r="AN325" s="949" t="str">
        <f>$AJ325&amp;"|"&amp;$AM325</f>
        <v>COE SA&amp;D|21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technology",$C325)),"Head of Technology",IF(ISNUMBER(SEARCH("TDD BP",$C325)),"Business Partner",IF(OR(ISNUMBER(SEARCH("domain architect",$C325)),ISNUMBER(SEARCH("enterprise architect",$C325))),"Architecture",IF($AQ325=1,"Leadership","Squad")))))</f>
        <v>Squad</v>
      </c>
      <c r="AS325" t="str">
        <f>IF(TRIM($B325)="","",IFERROR(INDEX(Lists!$AA:$AA,MATCH($AP325,Lists!$Z:$Z,0)),$AP325))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U326*(1+V326+W326+X326+Y326+Z326)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IFERROR(INDEX(Lists!$U$1:$U$25,MATCH($I326,Lists!$T$1:$T$25,0)),"?")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22</v>
      </c>
      <c r="AN326" s="949" t="str">
        <f>$AJ326&amp;"|"&amp;$AM326</f>
        <v>COE SA&amp;D|22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technology",$C326)),"Head of Technology",IF(ISNUMBER(SEARCH("TDD BP",$C326)),"Business Partner",IF(OR(ISNUMBER(SEARCH("domain architect",$C326)),ISNUMBER(SEARCH("enterprise architect",$C326))),"Architecture",IF($AQ326=1,"Leadership","Squad")))))</f>
        <v>Squad</v>
      </c>
      <c r="AS326" t="str">
        <f>IF(TRIM($B326)="","",IFERROR(INDEX(Lists!$AA:$AA,MATCH($AP326,Lists!$Z:$Z,0)),$AP326))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U327*(1+V327+W327+X327+Y327+Z327)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IFERROR(INDEX(Lists!$U$1:$U$25,MATCH($I327,Lists!$T$1:$T$25,0)),"?")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23</v>
      </c>
      <c r="AN327" s="949" t="str">
        <f>$AJ327&amp;"|"&amp;$AM327</f>
        <v>COE SA&amp;D|23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technology",$C327)),"Head of Technology",IF(ISNUMBER(SEARCH("TDD BP",$C327)),"Business Partner",IF(OR(ISNUMBER(SEARCH("domain architect",$C327)),ISNUMBER(SEARCH("enterprise architect",$C327))),"Architecture",IF($AQ327=1,"Leadership","Squad")))))</f>
        <v>Squad</v>
      </c>
      <c r="AS327" t="str">
        <f>IF(TRIM($B327)="","",IFERROR(INDEX(Lists!$AA:$AA,MATCH($AP327,Lists!$Z:$Z,0)),$AP327))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U328*(1+V328+W328+X328+Y328+Z328)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IFERROR(INDEX(Lists!$U$1:$U$25,MATCH($I328,Lists!$T$1:$T$25,0)),"?")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24</v>
      </c>
      <c r="AN328" s="949" t="str">
        <f>$AJ328&amp;"|"&amp;$AM328</f>
        <v>COE SA&amp;D|24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technology",$C328)),"Head of Technology",IF(ISNUMBER(SEARCH("TDD BP",$C328)),"Business Partner",IF(OR(ISNUMBER(SEARCH("domain architect",$C328)),ISNUMBER(SEARCH("enterprise architect",$C328))),"Architecture",IF($AQ328=1,"Leadership","Squad")))))</f>
        <v>Squad</v>
      </c>
      <c r="AS328" t="str">
        <f>IF(TRIM($B328)="","",IFERROR(INDEX(Lists!$AA:$AA,MATCH($AP328,Lists!$Z:$Z,0)),$AP328))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U329*(1+V329+W329+X329+Y329+Z329)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IFERROR(INDEX(Lists!$U$1:$U$25,MATCH($I329,Lists!$T$1:$T$25,0)),"?")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27</v>
      </c>
      <c r="AN329" s="949" t="str">
        <f>$AJ329&amp;"|"&amp;$AM329</f>
        <v>Enterprise Data|27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technology",$C329)),"Head of Technology",IF(ISNUMBER(SEARCH("TDD BP",$C329)),"Business Partner",IF(OR(ISNUMBER(SEARCH("domain architect",$C329)),ISNUMBER(SEARCH("enterprise architect",$C329))),"Architecture",IF($AQ329=1,"Leadership","Squad")))))</f>
        <v>Squad</v>
      </c>
      <c r="AS329" t="str">
        <f>IF(TRIM($B329)="","",IFERROR(INDEX(Lists!$AA:$AA,MATCH($AP329,Lists!$Z:$Z,0)),$AP329))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U330*(1+V330+W330+X330+Y330+Z330)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IFERROR(INDEX(Lists!$U$1:$U$25,MATCH($I330,Lists!$T$1:$T$25,0)),"?")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28</v>
      </c>
      <c r="AN330" s="949" t="str">
        <f>$AJ330&amp;"|"&amp;$AM330</f>
        <v>Enterprise Data|28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technology",$C330)),"Head of Technology",IF(ISNUMBER(SEARCH("TDD BP",$C330)),"Business Partner",IF(OR(ISNUMBER(SEARCH("domain architect",$C330)),ISNUMBER(SEARCH("enterprise architect",$C330))),"Architecture",IF($AQ330=1,"Leadership","Squad")))))</f>
        <v>Squad</v>
      </c>
      <c r="AS330" t="str">
        <f>IF(TRIM($B330)="","",IFERROR(INDEX(Lists!$AA:$AA,MATCH($AP330,Lists!$Z:$Z,0)),$AP330))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U331*(1+V331+W331+X331+Y331+Z331)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IFERROR(INDEX(Lists!$U$1:$U$25,MATCH($I331,Lists!$T$1:$T$25,0)),"?")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29</v>
      </c>
      <c r="AN331" s="949" t="str">
        <f>$AJ331&amp;"|"&amp;$AM331</f>
        <v>Enterprise Data|29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technology",$C331)),"Head of Technology",IF(ISNUMBER(SEARCH("TDD BP",$C331)),"Business Partner",IF(OR(ISNUMBER(SEARCH("domain architect",$C331)),ISNUMBER(SEARCH("enterprise architect",$C331))),"Architecture",IF($AQ331=1,"Leadership","Squad")))))</f>
        <v>Squad</v>
      </c>
      <c r="AS331" t="str">
        <f>IF(TRIM($B331)="","",IFERROR(INDEX(Lists!$AA:$AA,MATCH($AP331,Lists!$Z:$Z,0)),$AP331))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U332*(1+V332+W332+X332+Y332+Z332)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IFERROR(INDEX(Lists!$U$1:$U$25,MATCH($I332,Lists!$T$1:$T$25,0)),"?")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30</v>
      </c>
      <c r="AN332" s="949" t="str">
        <f>$AJ332&amp;"|"&amp;$AM332</f>
        <v>Enterprise Data|30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technology",$C332)),"Head of Technology",IF(ISNUMBER(SEARCH("TDD BP",$C332)),"Business Partner",IF(OR(ISNUMBER(SEARCH("domain architect",$C332)),ISNUMBER(SEARCH("enterprise architect",$C332))),"Architecture",IF($AQ332=1,"Leadership","Squad")))))</f>
        <v>Squad</v>
      </c>
      <c r="AS332" t="str">
        <f>IF(TRIM($B332)="","",IFERROR(INDEX(Lists!$AA:$AA,MATCH($AP332,Lists!$Z:$Z,0)),$AP332))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 t="n"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IFERROR(INDEX(Lists!$U$1:$U$25,MATCH($I333,Lists!$T$1:$T$25,0)),"?")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technology",$C333)),"Head of Technology",IF(ISNUMBER(SEARCH("TDD BP",$C333)),"Business Partner",IF(OR(ISNUMBER(SEARCH("domain architect",$C333)),ISNUMBER(SEARCH("enterprise architect",$C333))),"Architecture",IF($AQ333=1,"Leadership","Squad")))))</f>
        <v>Squad</v>
      </c>
      <c r="AS333" t="str">
        <f>IF(TRIM($B333)="","",IFERROR(INDEX(Lists!$AA:$AA,MATCH($AP333,Lists!$Z:$Z,0)),$AP333))</f>
        <v>Manufacturing &amp;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 t="n">
        <v>87044.00000000001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IFERROR(INDEX(Lists!$U$1:$U$25,MATCH($I334,Lists!$T$1:$T$25,0)),"?")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technology",$C334)),"Head of Technology",IF(ISNUMBER(SEARCH("TDD BP",$C334)),"Business Partner",IF(OR(ISNUMBER(SEARCH("domain architect",$C334)),ISNUMBER(SEARCH("enterprise architect",$C334))),"Architecture",IF($AQ334=1,"Leadership","Squad")))))</f>
        <v>Squad</v>
      </c>
      <c r="AS334" t="str">
        <f>IF(TRIM($B334)="","",IFERROR(INDEX(Lists!$AA:$AA,MATCH($AP334,Lists!$Z:$Z,0)),$AP334))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 t="n"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IFERROR(INDEX(Lists!$U$1:$U$25,MATCH($I335,Lists!$T$1:$T$25,0)),"?")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technology",$C335)),"Head of Technology",IF(ISNUMBER(SEARCH("TDD BP",$C335)),"Business Partner",IF(OR(ISNUMBER(SEARCH("domain architect",$C335)),ISNUMBER(SEARCH("enterprise architect",$C335))),"Architecture",IF($AQ335=1,"Leadership","Squad")))))</f>
        <v>Squad</v>
      </c>
      <c r="AS335" t="str">
        <f>IF(TRIM($B335)="","",IFERROR(INDEX(Lists!$AA:$AA,MATCH($AP335,Lists!$Z:$Z,0)),$AP335))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 t="n"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IFERROR(INDEX(Lists!$U$1:$U$25,MATCH($I336,Lists!$T$1:$T$25,0)),"?")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technology",$C336)),"Head of Technology",IF(ISNUMBER(SEARCH("TDD BP",$C336)),"Business Partner",IF(OR(ISNUMBER(SEARCH("domain architect",$C336)),ISNUMBER(SEARCH("enterprise architect",$C336))),"Architecture",IF($AQ336=1,"Leadership","Squad")))))</f>
        <v>Leadership</v>
      </c>
      <c r="AS336" t="str">
        <f>IF(TRIM($B336)="","",IFERROR(INDEX(Lists!$AA:$AA,MATCH($AP336,Lists!$Z:$Z,0)),$AP336))</f>
        <v>Leadership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 t="n"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IFERROR(INDEX(Lists!$U$1:$U$25,MATCH($I337,Lists!$T$1:$T$25,0)),"?")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technology",$C337)),"Head of Technology",IF(ISNUMBER(SEARCH("TDD BP",$C337)),"Business Partner",IF(OR(ISNUMBER(SEARCH("domain architect",$C337)),ISNUMBER(SEARCH("enterprise architect",$C337))),"Architecture",IF($AQ337=1,"Leadership","Squad")))))</f>
        <v>Squad</v>
      </c>
      <c r="AS337" t="str">
        <f>IF(TRIM($B337)="","",IFERROR(INDEX(Lists!$AA:$AA,MATCH($AP337,Lists!$Z:$Z,0)),$AP337))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 t="n"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IFERROR(INDEX(Lists!$U$1:$U$25,MATCH($I338,Lists!$T$1:$T$25,0)),"?")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technology",$C338)),"Head of Technology",IF(ISNUMBER(SEARCH("TDD BP",$C338)),"Business Partner",IF(OR(ISNUMBER(SEARCH("domain architect",$C338)),ISNUMBER(SEARCH("enterprise architect",$C338))),"Architecture",IF($AQ338=1,"Leadership","Squad")))))</f>
        <v>Squad</v>
      </c>
      <c r="AS338" t="str">
        <f>IF(TRIM($B338)="","",IFERROR(INDEX(Lists!$AA:$AA,MATCH($AP338,Lists!$Z:$Z,0)),$AP338))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 t="n"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IFERROR(INDEX(Lists!$U$1:$U$25,MATCH($I339,Lists!$T$1:$T$25,0)),"?")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technology",$C339)),"Head of Technology",IF(ISNUMBER(SEARCH("TDD BP",$C339)),"Business Partner",IF(OR(ISNUMBER(SEARCH("domain architect",$C339)),ISNUMBER(SEARCH("enterprise architect",$C339))),"Architecture",IF($AQ339=1,"Leadership","Squad")))))</f>
        <v>Head of Technology</v>
      </c>
      <c r="AS339" t="str">
        <f>IF(TRIM($B339)="","",IFERROR(INDEX(Lists!$AA:$AA,MATCH($AP339,Lists!$Z:$Z,0)),$AP339))</f>
        <v>Leadership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 t="n"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IFERROR(INDEX(Lists!$U$1:$U$25,MATCH($I340,Lists!$T$1:$T$25,0)),"?")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technology",$C340)),"Head of Technology",IF(ISNUMBER(SEARCH("TDD BP",$C340)),"Business Partner",IF(OR(ISNUMBER(SEARCH("domain architect",$C340)),ISNUMBER(SEARCH("enterprise architect",$C340))),"Architecture",IF($AQ340=1,"Leadership","Squad")))))</f>
        <v>Squad</v>
      </c>
      <c r="AS340" t="str">
        <f>IF(TRIM($B340)="","",IFERROR(INDEX(Lists!$AA:$AA,MATCH($AP340,Lists!$Z:$Z,0)),$AP340))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 t="n"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IFERROR(INDEX(Lists!$U$1:$U$25,MATCH($I341,Lists!$T$1:$T$25,0)),"?")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technology",$C341)),"Head of Technology",IF(ISNUMBER(SEARCH("TDD BP",$C341)),"Business Partner",IF(OR(ISNUMBER(SEARCH("domain architect",$C341)),ISNUMBER(SEARCH("enterprise architect",$C341))),"Architecture",IF($AQ341=1,"Leadership","Squad")))))</f>
        <v>Squad</v>
      </c>
      <c r="AS341" t="str">
        <f>IF(TRIM($B341)="","",IFERROR(INDEX(Lists!$AA:$AA,MATCH($AP341,Lists!$Z:$Z,0)),$AP341))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 t="n"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IFERROR(INDEX(Lists!$U$1:$U$25,MATCH($I342,Lists!$T$1:$T$25,0)),"?")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technology",$C342)),"Head of Technology",IF(ISNUMBER(SEARCH("TDD BP",$C342)),"Business Partner",IF(OR(ISNUMBER(SEARCH("domain architect",$C342)),ISNUMBER(SEARCH("enterprise architect",$C342))),"Architecture",IF($AQ342=1,"Leadership","Squad")))))</f>
        <v>Squad</v>
      </c>
      <c r="AS342" t="str">
        <f>IF(TRIM($B342)="","",IFERROR(INDEX(Lists!$AA:$AA,MATCH($AP342,Lists!$Z:$Z,0)),$AP342))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 t="n"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IFERROR(INDEX(Lists!$U$1:$U$25,MATCH($I343,Lists!$T$1:$T$25,0)),"?")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technology",$C343)),"Head of Technology",IF(ISNUMBER(SEARCH("TDD BP",$C343)),"Business Partner",IF(OR(ISNUMBER(SEARCH("domain architect",$C343)),ISNUMBER(SEARCH("enterprise architect",$C343))),"Architecture",IF($AQ343=1,"Leadership","Squad")))))</f>
        <v>Squad</v>
      </c>
      <c r="AS343" t="str">
        <f>IF(TRIM($B343)="","",IFERROR(INDEX(Lists!$AA:$AA,MATCH($AP343,Lists!$Z:$Z,0)),$AP343))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 t="n"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IFERROR(INDEX(Lists!$U$1:$U$25,MATCH($I344,Lists!$T$1:$T$25,0)),"?")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technology",$C344)),"Head of Technology",IF(ISNUMBER(SEARCH("TDD BP",$C344)),"Business Partner",IF(OR(ISNUMBER(SEARCH("domain architect",$C344)),ISNUMBER(SEARCH("enterprise architect",$C344))),"Architecture",IF($AQ344=1,"Leadership","Squad")))))</f>
        <v>Squad</v>
      </c>
      <c r="AS344" t="str">
        <f>IF(TRIM($B344)="","",IFERROR(INDEX(Lists!$AA:$AA,MATCH($AP344,Lists!$Z:$Z,0)),$AP344))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 t="n"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IFERROR(INDEX(Lists!$U$1:$U$25,MATCH($I345,Lists!$T$1:$T$25,0)),"?")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technology",$C345)),"Head of Technology",IF(ISNUMBER(SEARCH("TDD BP",$C345)),"Business Partner",IF(OR(ISNUMBER(SEARCH("domain architect",$C345)),ISNUMBER(SEARCH("enterprise architect",$C345))),"Architecture",IF($AQ345=1,"Leadership","Squad")))))</f>
        <v>Squad</v>
      </c>
      <c r="AS345" t="str">
        <f>IF(TRIM($B345)="","",IFERROR(INDEX(Lists!$AA:$AA,MATCH($AP345,Lists!$Z:$Z,0)),$AP345))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 t="n"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IFERROR(INDEX(Lists!$U$1:$U$25,MATCH($I346,Lists!$T$1:$T$25,0)),"?")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technology",$C346)),"Head of Technology",IF(ISNUMBER(SEARCH("TDD BP",$C346)),"Business Partner",IF(OR(ISNUMBER(SEARCH("domain architect",$C346)),ISNUMBER(SEARCH("enterprise architect",$C346))),"Architecture",IF($AQ346=1,"Leadership","Squad")))))</f>
        <v>Squad</v>
      </c>
      <c r="AS346" t="str">
        <f>IF(TRIM($B346)="","",IFERROR(INDEX(Lists!$AA:$AA,MATCH($AP346,Lists!$Z:$Z,0)),$AP346))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 t="n"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IFERROR(INDEX(Lists!$U$1:$U$25,MATCH($I347,Lists!$T$1:$T$25,0)),"?")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technology",$C347)),"Head of Technology",IF(ISNUMBER(SEARCH("TDD BP",$C347)),"Business Partner",IF(OR(ISNUMBER(SEARCH("domain architect",$C347)),ISNUMBER(SEARCH("enterprise architect",$C347))),"Architecture",IF($AQ347=1,"Leadership","Squad")))))</f>
        <v>Squad</v>
      </c>
      <c r="AS347" t="str">
        <f>IF(TRIM($B347)="","",IFERROR(INDEX(Lists!$AA:$AA,MATCH($AP347,Lists!$Z:$Z,0)),$AP347))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 t="n"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IFERROR(INDEX(Lists!$U$1:$U$25,MATCH($I348,Lists!$T$1:$T$25,0)),"?")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technology",$C348)),"Head of Technology",IF(ISNUMBER(SEARCH("TDD BP",$C348)),"Business Partner",IF(OR(ISNUMBER(SEARCH("domain architect",$C348)),ISNUMBER(SEARCH("enterprise architect",$C348))),"Architecture",IF($AQ348=1,"Leadership","Squad")))))</f>
        <v>Squad</v>
      </c>
      <c r="AS348" t="str">
        <f>IF(TRIM($B348)="","",IFERROR(INDEX(Lists!$AA:$AA,MATCH($AP348,Lists!$Z:$Z,0)),$AP348))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 t="n"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IFERROR(INDEX(Lists!$U$1:$U$25,MATCH($I349,Lists!$T$1:$T$25,0)),"?")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technology",$C349)),"Head of Technology",IF(ISNUMBER(SEARCH("TDD BP",$C349)),"Business Partner",IF(OR(ISNUMBER(SEARCH("domain architect",$C349)),ISNUMBER(SEARCH("enterprise architect",$C349))),"Architecture",IF($AQ349=1,"Leadership","Squad")))))</f>
        <v>Squad</v>
      </c>
      <c r="AS349" t="str">
        <f>IF(TRIM($B349)="","",IFERROR(INDEX(Lists!$AA:$AA,MATCH($AP349,Lists!$Z:$Z,0)),$AP349))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 t="n"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IFERROR(INDEX(Lists!$U$1:$U$25,MATCH($I350,Lists!$T$1:$T$25,0)),"?")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technology",$C350)),"Head of Technology",IF(ISNUMBER(SEARCH("TDD BP",$C350)),"Business Partner",IF(OR(ISNUMBER(SEARCH("domain architect",$C350)),ISNUMBER(SEARCH("enterprise architect",$C350))),"Architecture",IF($AQ350=1,"Leadership","Squad")))))</f>
        <v>Squad</v>
      </c>
      <c r="AS350" t="str">
        <f>IF(TRIM($B350)="","",IFERROR(INDEX(Lists!$AA:$AA,MATCH($AP350,Lists!$Z:$Z,0)),$AP350))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 t="n"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IFERROR(INDEX(Lists!$U$1:$U$25,MATCH($I351,Lists!$T$1:$T$25,0)),"?")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technology",$C351)),"Head of Technology",IF(ISNUMBER(SEARCH("TDD BP",$C351)),"Business Partner",IF(OR(ISNUMBER(SEARCH("domain architect",$C351)),ISNUMBER(SEARCH("enterprise architect",$C351))),"Architecture",IF($AQ351=1,"Leadership","Squad")))))</f>
        <v>Squad</v>
      </c>
      <c r="AS351" t="str">
        <f>IF(TRIM($B351)="","",IFERROR(INDEX(Lists!$AA:$AA,MATCH($AP351,Lists!$Z:$Z,0)),$AP351))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 t="n">
        <v>87434.81600000001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IFERROR(INDEX(Lists!$U$1:$U$25,MATCH($I352,Lists!$T$1:$T$25,0)),"?")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technology",$C352)),"Head of Technology",IF(ISNUMBER(SEARCH("TDD BP",$C352)),"Business Partner",IF(OR(ISNUMBER(SEARCH("domain architect",$C352)),ISNUMBER(SEARCH("enterprise architect",$C352))),"Architecture",IF($AQ352=1,"Leadership","Squad")))))</f>
        <v>Squad</v>
      </c>
      <c r="AS352" t="str">
        <f>IF(TRIM($B352)="","",IFERROR(INDEX(Lists!$AA:$AA,MATCH($AP352,Lists!$Z:$Z,0)),$AP352))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 t="n"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IFERROR(INDEX(Lists!$U$1:$U$25,MATCH($I353,Lists!$T$1:$T$25,0)),"?")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technology",$C353)),"Head of Technology",IF(ISNUMBER(SEARCH("TDD BP",$C353)),"Business Partner",IF(OR(ISNUMBER(SEARCH("domain architect",$C353)),ISNUMBER(SEARCH("enterprise architect",$C353))),"Architecture",IF($AQ353=1,"Leadership","Squad")))))</f>
        <v>Squad</v>
      </c>
      <c r="AS353" t="str">
        <f>IF(TRIM($B353)="","",IFERROR(INDEX(Lists!$AA:$AA,MATCH($AP353,Lists!$Z:$Z,0)),$AP353))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 t="n"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IFERROR(INDEX(Lists!$U$1:$U$25,MATCH($I354,Lists!$T$1:$T$25,0)),"?")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technology",$C354)),"Head of Technology",IF(ISNUMBER(SEARCH("TDD BP",$C354)),"Business Partner",IF(OR(ISNUMBER(SEARCH("domain architect",$C354)),ISNUMBER(SEARCH("enterprise architect",$C354))),"Architecture",IF($AQ354=1,"Leadership","Squad")))))</f>
        <v>Squad</v>
      </c>
      <c r="AS354" t="str">
        <f>IF(TRIM($B354)="","",IFERROR(INDEX(Lists!$AA:$AA,MATCH($AP354,Lists!$Z:$Z,0)),$AP354))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 t="n">
        <v>346651.0331999999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IFERROR(INDEX(Lists!$U$1:$U$25,MATCH($I355,Lists!$T$1:$T$25,0)),"?")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technology",$C355)),"Head of Technology",IF(ISNUMBER(SEARCH("TDD BP",$C355)),"Business Partner",IF(OR(ISNUMBER(SEARCH("domain architect",$C355)),ISNUMBER(SEARCH("enterprise architect",$C355))),"Architecture",IF($AQ355=1,"Leadership","Squad")))))</f>
        <v>Squad</v>
      </c>
      <c r="AS355" t="str">
        <f>IF(TRIM($B355)="","",IFERROR(INDEX(Lists!$AA:$AA,MATCH($AP355,Lists!$Z:$Z,0)),$AP355))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 t="n"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IFERROR(INDEX(Lists!$U$1:$U$25,MATCH($I356,Lists!$T$1:$T$25,0)),"?")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technology",$C356)),"Head of Technology",IF(ISNUMBER(SEARCH("TDD BP",$C356)),"Business Partner",IF(OR(ISNUMBER(SEARCH("domain architect",$C356)),ISNUMBER(SEARCH("enterprise architect",$C356))),"Architecture",IF($AQ356=1,"Leadership","Squad")))))</f>
        <v>Squad</v>
      </c>
      <c r="AS356" t="str">
        <f>IF(TRIM($B356)="","",IFERROR(INDEX(Lists!$AA:$AA,MATCH($AP356,Lists!$Z:$Z,0)),$AP356))</f>
        <v>Manufacturing &amp;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 t="n"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IFERROR(INDEX(Lists!$U$1:$U$25,MATCH($I357,Lists!$T$1:$T$25,0)),"?")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technology",$C357)),"Head of Technology",IF(ISNUMBER(SEARCH("TDD BP",$C357)),"Business Partner",IF(OR(ISNUMBER(SEARCH("domain architect",$C357)),ISNUMBER(SEARCH("enterprise architect",$C357))),"Architecture",IF($AQ357=1,"Leadership","Squad")))))</f>
        <v>Squad</v>
      </c>
      <c r="AS357" t="str">
        <f>IF(TRIM($B357)="","",IFERROR(INDEX(Lists!$AA:$AA,MATCH($AP357,Lists!$Z:$Z,0)),$AP357))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 t="n"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IFERROR(INDEX(Lists!$U$1:$U$25,MATCH($I358,Lists!$T$1:$T$25,0)),"?")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technology",$C358)),"Head of Technology",IF(ISNUMBER(SEARCH("TDD BP",$C358)),"Business Partner",IF(OR(ISNUMBER(SEARCH("domain architect",$C358)),ISNUMBER(SEARCH("enterprise architect",$C358))),"Architecture",IF($AQ358=1,"Leadership","Squad")))))</f>
        <v>Squad</v>
      </c>
      <c r="AS358" t="str">
        <f>IF(TRIM($B358)="","",IFERROR(INDEX(Lists!$AA:$AA,MATCH($AP358,Lists!$Z:$Z,0)),$AP358))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 t="n"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IFERROR(INDEX(Lists!$U$1:$U$25,MATCH($I359,Lists!$T$1:$T$25,0)),"?")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technology",$C359)),"Head of Technology",IF(ISNUMBER(SEARCH("TDD BP",$C359)),"Business Partner",IF(OR(ISNUMBER(SEARCH("domain architect",$C359)),ISNUMBER(SEARCH("enterprise architect",$C359))),"Architecture",IF($AQ359=1,"Leadership","Squad")))))</f>
        <v>Leadership</v>
      </c>
      <c r="AS359" t="str">
        <f>IF(TRIM($B359)="","",IFERROR(INDEX(Lists!$AA:$AA,MATCH($AP359,Lists!$Z:$Z,0)),$AP359))</f>
        <v>Leadership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 t="n"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IFERROR(INDEX(Lists!$U$1:$U$25,MATCH($I360,Lists!$T$1:$T$25,0)),"?")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technology",$C360)),"Head of Technology",IF(ISNUMBER(SEARCH("TDD BP",$C360)),"Business Partner",IF(OR(ISNUMBER(SEARCH("domain architect",$C360)),ISNUMBER(SEARCH("enterprise architect",$C360))),"Architecture",IF($AQ360=1,"Leadership","Squad")))))</f>
        <v>Squad</v>
      </c>
      <c r="AS360" t="str">
        <f>IF(TRIM($B360)="","",IFERROR(INDEX(Lists!$AA:$AA,MATCH($AP360,Lists!$Z:$Z,0)),$AP360))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 t="n"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IFERROR(INDEX(Lists!$U$1:$U$25,MATCH($I361,Lists!$T$1:$T$25,0)),"?")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technology",$C361)),"Head of Technology",IF(ISNUMBER(SEARCH("TDD BP",$C361)),"Business Partner",IF(OR(ISNUMBER(SEARCH("domain architect",$C361)),ISNUMBER(SEARCH("enterprise architect",$C361))),"Architecture",IF($AQ361=1,"Leadership","Squad")))))</f>
        <v>Squad</v>
      </c>
      <c r="AS361" t="str">
        <f>IF(TRIM($B361)="","",IFERROR(INDEX(Lists!$AA:$AA,MATCH($AP361,Lists!$Z:$Z,0)),$AP361))</f>
        <v>Manufacturing &amp;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 t="n"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IFERROR(INDEX(Lists!$U$1:$U$25,MATCH($I362,Lists!$T$1:$T$25,0)),"?")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technology",$C362)),"Head of Technology",IF(ISNUMBER(SEARCH("TDD BP",$C362)),"Business Partner",IF(OR(ISNUMBER(SEARCH("domain architect",$C362)),ISNUMBER(SEARCH("enterprise architect",$C362))),"Architecture",IF($AQ362=1,"Leadership","Squad")))))</f>
        <v>Squad</v>
      </c>
      <c r="AS362" t="str">
        <f>IF(TRIM($B362)="","",IFERROR(INDEX(Lists!$AA:$AA,MATCH($AP362,Lists!$Z:$Z,0)),$AP362))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 t="n"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IFERROR(INDEX(Lists!$U$1:$U$25,MATCH($I363,Lists!$T$1:$T$25,0)),"?")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technology",$C363)),"Head of Technology",IF(ISNUMBER(SEARCH("TDD BP",$C363)),"Business Partner",IF(OR(ISNUMBER(SEARCH("domain architect",$C363)),ISNUMBER(SEARCH("enterprise architect",$C363))),"Architecture",IF($AQ363=1,"Leadership","Squad")))))</f>
        <v>Squad</v>
      </c>
      <c r="AS363" t="str">
        <f>IF(TRIM($B363)="","",IFERROR(INDEX(Lists!$AA:$AA,MATCH($AP363,Lists!$Z:$Z,0)),$AP363))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 t="n"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IFERROR(INDEX(Lists!$U$1:$U$25,MATCH($I364,Lists!$T$1:$T$25,0)),"?")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technology",$C364)),"Head of Technology",IF(ISNUMBER(SEARCH("TDD BP",$C364)),"Business Partner",IF(OR(ISNUMBER(SEARCH("domain architect",$C364)),ISNUMBER(SEARCH("enterprise architect",$C364))),"Architecture",IF($AQ364=1,"Leadership","Squad")))))</f>
        <v>Leadership</v>
      </c>
      <c r="AS364" t="str">
        <f>IF(TRIM($B364)="","",IFERROR(INDEX(Lists!$AA:$AA,MATCH($AP364,Lists!$Z:$Z,0)),$AP364))</f>
        <v>Leadership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 t="n"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IFERROR(INDEX(Lists!$U$1:$U$25,MATCH($I365,Lists!$T$1:$T$25,0)),"?")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technology",$C365)),"Head of Technology",IF(ISNUMBER(SEARCH("TDD BP",$C365)),"Business Partner",IF(OR(ISNUMBER(SEARCH("domain architect",$C365)),ISNUMBER(SEARCH("enterprise architect",$C365))),"Architecture",IF($AQ365=1,"Leadership","Squad")))))</f>
        <v>Squad</v>
      </c>
      <c r="AS365" t="str">
        <f>IF(TRIM($B365)="","",IFERROR(INDEX(Lists!$AA:$AA,MATCH($AP365,Lists!$Z:$Z,0)),$AP365))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 t="n"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IFERROR(INDEX(Lists!$U$1:$U$25,MATCH($I366,Lists!$T$1:$T$25,0)),"?")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technology",$C366)),"Head of Technology",IF(ISNUMBER(SEARCH("TDD BP",$C366)),"Business Partner",IF(OR(ISNUMBER(SEARCH("domain architect",$C366)),ISNUMBER(SEARCH("enterprise architect",$C366))),"Architecture",IF($AQ366=1,"Leadership","Squad")))))</f>
        <v>Squad</v>
      </c>
      <c r="AS366" t="str">
        <f>IF(TRIM($B366)="","",IFERROR(INDEX(Lists!$AA:$AA,MATCH($AP366,Lists!$Z:$Z,0)),$AP366))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 t="n"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IFERROR(INDEX(Lists!$U$1:$U$25,MATCH($I367,Lists!$T$1:$T$25,0)),"?")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technology",$C367)),"Head of Technology",IF(ISNUMBER(SEARCH("TDD BP",$C367)),"Business Partner",IF(OR(ISNUMBER(SEARCH("domain architect",$C367)),ISNUMBER(SEARCH("enterprise architect",$C367))),"Architecture",IF($AQ367=1,"Leadership","Squad")))))</f>
        <v>Squad</v>
      </c>
      <c r="AS367" t="str">
        <f>IF(TRIM($B367)="","",IFERROR(INDEX(Lists!$AA:$AA,MATCH($AP367,Lists!$Z:$Z,0)),$AP367))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 t="n"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IFERROR(INDEX(Lists!$U$1:$U$25,MATCH($I368,Lists!$T$1:$T$25,0)),"?")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technology",$C368)),"Head of Technology",IF(ISNUMBER(SEARCH("TDD BP",$C368)),"Business Partner",IF(OR(ISNUMBER(SEARCH("domain architect",$C368)),ISNUMBER(SEARCH("enterprise architect",$C368))),"Architecture",IF($AQ368=1,"Leadership","Squad")))))</f>
        <v>Squad</v>
      </c>
      <c r="AS368" t="str">
        <f>IF(TRIM($B368)="","",IFERROR(INDEX(Lists!$AA:$AA,MATCH($AP368,Lists!$Z:$Z,0)),$AP368))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 t="n"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IFERROR(INDEX(Lists!$U$1:$U$25,MATCH($I369,Lists!$T$1:$T$25,0)),"?")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technology",$C369)),"Head of Technology",IF(ISNUMBER(SEARCH("TDD BP",$C369)),"Business Partner",IF(OR(ISNUMBER(SEARCH("domain architect",$C369)),ISNUMBER(SEARCH("enterprise architect",$C369))),"Architecture",IF($AQ369=1,"Leadership","Squad")))))</f>
        <v>Squad</v>
      </c>
      <c r="AS369" t="str">
        <f>IF(TRIM($B369)="","",IFERROR(INDEX(Lists!$AA:$AA,MATCH($AP369,Lists!$Z:$Z,0)),$AP369))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 t="n"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IFERROR(INDEX(Lists!$U$1:$U$25,MATCH($I370,Lists!$T$1:$T$25,0)),"?")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technology",$C370)),"Head of Technology",IF(ISNUMBER(SEARCH("TDD BP",$C370)),"Business Partner",IF(OR(ISNUMBER(SEARCH("domain architect",$C370)),ISNUMBER(SEARCH("enterprise architect",$C370))),"Architecture",IF($AQ370=1,"Leadership","Squad")))))</f>
        <v>Squad</v>
      </c>
      <c r="AS370" t="str">
        <f>IF(TRIM($B370)="","",IFERROR(INDEX(Lists!$AA:$AA,MATCH($AP370,Lists!$Z:$Z,0)),$AP370))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 t="n"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IFERROR(INDEX(Lists!$U$1:$U$25,MATCH($I371,Lists!$T$1:$T$25,0)),"?")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technology",$C371)),"Head of Technology",IF(ISNUMBER(SEARCH("TDD BP",$C371)),"Business Partner",IF(OR(ISNUMBER(SEARCH("domain architect",$C371)),ISNUMBER(SEARCH("enterprise architect",$C371))),"Architecture",IF($AQ371=1,"Leadership","Squad")))))</f>
        <v>Squad</v>
      </c>
      <c r="AS371" t="str">
        <f>IF(TRIM($B371)="","",IFERROR(INDEX(Lists!$AA:$AA,MATCH($AP371,Lists!$Z:$Z,0)),$AP371))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 t="n"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IFERROR(INDEX(Lists!$U$1:$U$25,MATCH($I372,Lists!$T$1:$T$25,0)),"?")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technology",$C372)),"Head of Technology",IF(ISNUMBER(SEARCH("TDD BP",$C372)),"Business Partner",IF(OR(ISNUMBER(SEARCH("domain architect",$C372)),ISNUMBER(SEARCH("enterprise architect",$C372))),"Architecture",IF($AQ372=1,"Leadership","Squad")))))</f>
        <v>Squad</v>
      </c>
      <c r="AS372" t="str">
        <f>IF(TRIM($B372)="","",IFERROR(INDEX(Lists!$AA:$AA,MATCH($AP372,Lists!$Z:$Z,0)),$AP372))</f>
        <v>Manufacturing &amp;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 t="n"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IFERROR(INDEX(Lists!$U$1:$U$25,MATCH($I373,Lists!$T$1:$T$25,0)),"?")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technology",$C373)),"Head of Technology",IF(ISNUMBER(SEARCH("TDD BP",$C373)),"Business Partner",IF(OR(ISNUMBER(SEARCH("domain architect",$C373)),ISNUMBER(SEARCH("enterprise architect",$C373))),"Architecture",IF($AQ373=1,"Leadership","Squad")))))</f>
        <v>Squad</v>
      </c>
      <c r="AS373" t="str">
        <f>IF(TRIM($B373)="","",IFERROR(INDEX(Lists!$AA:$AA,MATCH($AP373,Lists!$Z:$Z,0)),$AP373))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 t="n"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IFERROR(INDEX(Lists!$U$1:$U$25,MATCH($I374,Lists!$T$1:$T$25,0)),"?")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technology",$C374)),"Head of Technology",IF(ISNUMBER(SEARCH("TDD BP",$C374)),"Business Partner",IF(OR(ISNUMBER(SEARCH("domain architect",$C374)),ISNUMBER(SEARCH("enterprise architect",$C374))),"Architecture",IF($AQ374=1,"Leadership","Squad")))))</f>
        <v>Squad</v>
      </c>
      <c r="AS374" t="str">
        <f>IF(TRIM($B374)="","",IFERROR(INDEX(Lists!$AA:$AA,MATCH($AP374,Lists!$Z:$Z,0)),$AP374))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 t="n"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IFERROR(INDEX(Lists!$U$1:$U$25,MATCH($I375,Lists!$T$1:$T$25,0)),"?")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technology",$C375)),"Head of Technology",IF(ISNUMBER(SEARCH("TDD BP",$C375)),"Business Partner",IF(OR(ISNUMBER(SEARCH("domain architect",$C375)),ISNUMBER(SEARCH("enterprise architect",$C375))),"Architecture",IF($AQ375=1,"Leadership","Squad")))))</f>
        <v>Squad</v>
      </c>
      <c r="AS375" t="str">
        <f>IF(TRIM($B375)="","",IFERROR(INDEX(Lists!$AA:$AA,MATCH($AP375,Lists!$Z:$Z,0)),$AP375))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 t="n">
        <v>322386.9999999999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IFERROR(INDEX(Lists!$U$1:$U$25,MATCH($I376,Lists!$T$1:$T$25,0)),"?")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technology",$C376)),"Head of Technology",IF(ISNUMBER(SEARCH("TDD BP",$C376)),"Business Partner",IF(OR(ISNUMBER(SEARCH("domain architect",$C376)),ISNUMBER(SEARCH("enterprise architect",$C376))),"Architecture",IF($AQ376=1,"Leadership","Squad")))))</f>
        <v>Squad</v>
      </c>
      <c r="AS376" t="str">
        <f>IF(TRIM($B376)="","",IFERROR(INDEX(Lists!$AA:$AA,MATCH($AP376,Lists!$Z:$Z,0)),$AP376))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 t="n"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IFERROR(INDEX(Lists!$U$1:$U$25,MATCH($I377,Lists!$T$1:$T$25,0)),"?")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technology",$C377)),"Head of Technology",IF(ISNUMBER(SEARCH("TDD BP",$C377)),"Business Partner",IF(OR(ISNUMBER(SEARCH("domain architect",$C377)),ISNUMBER(SEARCH("enterprise architect",$C377))),"Architecture",IF($AQ377=1,"Leadership","Squad")))))</f>
        <v>Squad</v>
      </c>
      <c r="AS377" t="str">
        <f>IF(TRIM($B377)="","",IFERROR(INDEX(Lists!$AA:$AA,MATCH($AP377,Lists!$Z:$Z,0)),$AP377))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 t="n"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IFERROR(INDEX(Lists!$U$1:$U$25,MATCH($I378,Lists!$T$1:$T$25,0)),"?")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technology",$C378)),"Head of Technology",IF(ISNUMBER(SEARCH("TDD BP",$C378)),"Business Partner",IF(OR(ISNUMBER(SEARCH("domain architect",$C378)),ISNUMBER(SEARCH("enterprise architect",$C378))),"Architecture",IF($AQ378=1,"Leadership","Squad")))))</f>
        <v>Squad</v>
      </c>
      <c r="AS378" t="str">
        <f>IF(TRIM($B378)="","",IFERROR(INDEX(Lists!$AA:$AA,MATCH($AP378,Lists!$Z:$Z,0)),$AP378))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 t="n"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IFERROR(INDEX(Lists!$U$1:$U$25,MATCH($I379,Lists!$T$1:$T$25,0)),"?")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technology",$C379)),"Head of Technology",IF(ISNUMBER(SEARCH("TDD BP",$C379)),"Business Partner",IF(OR(ISNUMBER(SEARCH("domain architect",$C379)),ISNUMBER(SEARCH("enterprise architect",$C379))),"Architecture",IF($AQ379=1,"Leadership","Squad")))))</f>
        <v>Squad</v>
      </c>
      <c r="AS379" t="str">
        <f>IF(TRIM($B379)="","",IFERROR(INDEX(Lists!$AA:$AA,MATCH($AP379,Lists!$Z:$Z,0)),$AP379))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 t="n"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IFERROR(INDEX(Lists!$U$1:$U$25,MATCH($I380,Lists!$T$1:$T$25,0)),"?")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technology",$C380)),"Head of Technology",IF(ISNUMBER(SEARCH("TDD BP",$C380)),"Business Partner",IF(OR(ISNUMBER(SEARCH("domain architect",$C380)),ISNUMBER(SEARCH("enterprise architect",$C380))),"Architecture",IF($AQ380=1,"Leadership","Squad")))))</f>
        <v>Squad</v>
      </c>
      <c r="AS380" t="str">
        <f>IF(TRIM($B380)="","",IFERROR(INDEX(Lists!$AA:$AA,MATCH($AP380,Lists!$Z:$Z,0)),$AP380))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 t="n">
        <v>375566.4999999999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IFERROR(INDEX(Lists!$U$1:$U$25,MATCH($I381,Lists!$T$1:$T$25,0)),"?")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technology",$C381)),"Head of Technology",IF(ISNUMBER(SEARCH("TDD BP",$C381)),"Business Partner",IF(OR(ISNUMBER(SEARCH("domain architect",$C381)),ISNUMBER(SEARCH("enterprise architect",$C381))),"Architecture",IF($AQ381=1,"Leadership","Squad")))))</f>
        <v>Squad</v>
      </c>
      <c r="AS381" t="str">
        <f>IF(TRIM($B381)="","",IFERROR(INDEX(Lists!$AA:$AA,MATCH($AP381,Lists!$Z:$Z,0)),$AP381))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 t="n"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IFERROR(INDEX(Lists!$U$1:$U$25,MATCH($I382,Lists!$T$1:$T$25,0)),"?")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technology",$C382)),"Head of Technology",IF(ISNUMBER(SEARCH("TDD BP",$C382)),"Business Partner",IF(OR(ISNUMBER(SEARCH("domain architect",$C382)),ISNUMBER(SEARCH("enterprise architect",$C382))),"Architecture",IF($AQ382=1,"Leadership","Squad")))))</f>
        <v>Squad</v>
      </c>
      <c r="AS382" t="str">
        <f>IF(TRIM($B382)="","",IFERROR(INDEX(Lists!$AA:$AA,MATCH($AP382,Lists!$Z:$Z,0)),$AP382))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 t="n"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IFERROR(INDEX(Lists!$U$1:$U$25,MATCH($I383,Lists!$T$1:$T$25,0)),"?")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technology",$C383)),"Head of Technology",IF(ISNUMBER(SEARCH("TDD BP",$C383)),"Business Partner",IF(OR(ISNUMBER(SEARCH("domain architect",$C383)),ISNUMBER(SEARCH("enterprise architect",$C383))),"Architecture",IF($AQ383=1,"Leadership","Squad")))))</f>
        <v>Squad</v>
      </c>
      <c r="AS383" t="str">
        <f>IF(TRIM($B383)="","",IFERROR(INDEX(Lists!$AA:$AA,MATCH($AP383,Lists!$Z:$Z,0)),$AP383))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 t="n"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IFERROR(INDEX(Lists!$U$1:$U$25,MATCH($I384,Lists!$T$1:$T$25,0)),"?")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technology",$C384)),"Head of Technology",IF(ISNUMBER(SEARCH("TDD BP",$C384)),"Business Partner",IF(OR(ISNUMBER(SEARCH("domain architect",$C384)),ISNUMBER(SEARCH("enterprise architect",$C384))),"Architecture",IF($AQ384=1,"Leadership","Squad")))))</f>
        <v>Squad</v>
      </c>
      <c r="AS384" t="str">
        <f>IF(TRIM($B384)="","",IFERROR(INDEX(Lists!$AA:$AA,MATCH($AP384,Lists!$Z:$Z,0)),$AP384))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 t="n"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IFERROR(INDEX(Lists!$U$1:$U$25,MATCH($I385,Lists!$T$1:$T$25,0)),"?")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technology",$C385)),"Head of Technology",IF(ISNUMBER(SEARCH("TDD BP",$C385)),"Business Partner",IF(OR(ISNUMBER(SEARCH("domain architect",$C385)),ISNUMBER(SEARCH("enterprise architect",$C385))),"Architecture",IF($AQ385=1,"Leadership","Squad")))))</f>
        <v>Head of Technology</v>
      </c>
      <c r="AS385" t="str">
        <f>IF(TRIM($B385)="","",IFERROR(INDEX(Lists!$AA:$AA,MATCH($AP385,Lists!$Z:$Z,0)),$AP385))</f>
        <v>Leadership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 t="n"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IFERROR(INDEX(Lists!$U$1:$U$25,MATCH($I386,Lists!$T$1:$T$25,0)),"?")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technology",$C386)),"Head of Technology",IF(ISNUMBER(SEARCH("TDD BP",$C386)),"Business Partner",IF(OR(ISNUMBER(SEARCH("domain architect",$C386)),ISNUMBER(SEARCH("enterprise architect",$C386))),"Architecture",IF($AQ386=1,"Leadership","Squad")))))</f>
        <v>Squad</v>
      </c>
      <c r="AS386" t="str">
        <f>IF(TRIM($B386)="","",IFERROR(INDEX(Lists!$AA:$AA,MATCH($AP386,Lists!$Z:$Z,0)),$AP386))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 t="n"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IFERROR(INDEX(Lists!$U$1:$U$25,MATCH($I387,Lists!$T$1:$T$25,0)),"?")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technology",$C387)),"Head of Technology",IF(ISNUMBER(SEARCH("TDD BP",$C387)),"Business Partner",IF(OR(ISNUMBER(SEARCH("domain architect",$C387)),ISNUMBER(SEARCH("enterprise architect",$C387))),"Architecture",IF($AQ387=1,"Leadership","Squad")))))</f>
        <v>Squad</v>
      </c>
      <c r="AS387" t="str">
        <f>IF(TRIM($B387)="","",IFERROR(INDEX(Lists!$AA:$AA,MATCH($AP387,Lists!$Z:$Z,0)),$AP387))</f>
        <v>Manufacturing &amp;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 t="n"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IFERROR(INDEX(Lists!$U$1:$U$25,MATCH($I388,Lists!$T$1:$T$25,0)),"?")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technology",$C388)),"Head of Technology",IF(ISNUMBER(SEARCH("TDD BP",$C388)),"Business Partner",IF(OR(ISNUMBER(SEARCH("domain architect",$C388)),ISNUMBER(SEARCH("enterprise architect",$C388))),"Architecture",IF($AQ388=1,"Leadership","Squad")))))</f>
        <v>Squad</v>
      </c>
      <c r="AS388" t="str">
        <f>IF(TRIM($B388)="","",IFERROR(INDEX(Lists!$AA:$AA,MATCH($AP388,Lists!$Z:$Z,0)),$AP388))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 t="n"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IFERROR(INDEX(Lists!$U$1:$U$25,MATCH($I389,Lists!$T$1:$T$25,0)),"?")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technology",$C389)),"Head of Technology",IF(ISNUMBER(SEARCH("TDD BP",$C389)),"Business Partner",IF(OR(ISNUMBER(SEARCH("domain architect",$C389)),ISNUMBER(SEARCH("enterprise architect",$C389))),"Architecture",IF($AQ389=1,"Leadership","Squad")))))</f>
        <v>Squad</v>
      </c>
      <c r="AS389" t="str">
        <f>IF(TRIM($B389)="","",IFERROR(INDEX(Lists!$AA:$AA,MATCH($AP389,Lists!$Z:$Z,0)),$AP389))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 t="n"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IFERROR(INDEX(Lists!$U$1:$U$25,MATCH($I390,Lists!$T$1:$T$25,0)),"?")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technology",$C390)),"Head of Technology",IF(ISNUMBER(SEARCH("TDD BP",$C390)),"Business Partner",IF(OR(ISNUMBER(SEARCH("domain architect",$C390)),ISNUMBER(SEARCH("enterprise architect",$C390))),"Architecture",IF($AQ390=1,"Leadership","Squad")))))</f>
        <v>Squad</v>
      </c>
      <c r="AS390" t="str">
        <f>IF(TRIM($B390)="","",IFERROR(INDEX(Lists!$AA:$AA,MATCH($AP390,Lists!$Z:$Z,0)),$AP390))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 t="n"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IFERROR(INDEX(Lists!$U$1:$U$25,MATCH($I391,Lists!$T$1:$T$25,0)),"?")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technology",$C391)),"Head of Technology",IF(ISNUMBER(SEARCH("TDD BP",$C391)),"Business Partner",IF(OR(ISNUMBER(SEARCH("domain architect",$C391)),ISNUMBER(SEARCH("enterprise architect",$C391))),"Architecture",IF($AQ391=1,"Leadership","Squad")))))</f>
        <v>Squad</v>
      </c>
      <c r="AS391" t="str">
        <f>IF(TRIM($B391)="","",IFERROR(INDEX(Lists!$AA:$AA,MATCH($AP391,Lists!$Z:$Z,0)),$AP391))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 t="n"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IFERROR(INDEX(Lists!$U$1:$U$25,MATCH($I392,Lists!$T$1:$T$25,0)),"?")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technology",$C392)),"Head of Technology",IF(ISNUMBER(SEARCH("TDD BP",$C392)),"Business Partner",IF(OR(ISNUMBER(SEARCH("domain architect",$C392)),ISNUMBER(SEARCH("enterprise architect",$C392))),"Architecture",IF($AQ392=1,"Leadership","Squad")))))</f>
        <v>Head of Technology</v>
      </c>
      <c r="AS392" t="str">
        <f>IF(TRIM($B392)="","",IFERROR(INDEX(Lists!$AA:$AA,MATCH($AP392,Lists!$Z:$Z,0)),$AP392))</f>
        <v>Leadership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 t="n">
        <v>84514.55200000003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IFERROR(INDEX(Lists!$U$1:$U$25,MATCH($I393,Lists!$T$1:$T$25,0)),"?")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technology",$C393)),"Head of Technology",IF(ISNUMBER(SEARCH("TDD BP",$C393)),"Business Partner",IF(OR(ISNUMBER(SEARCH("domain architect",$C393)),ISNUMBER(SEARCH("enterprise architect",$C393))),"Architecture",IF($AQ393=1,"Leadership","Squad")))))</f>
        <v>Squad</v>
      </c>
      <c r="AS393" t="str">
        <f>IF(TRIM($B393)="","",IFERROR(INDEX(Lists!$AA:$AA,MATCH($AP393,Lists!$Z:$Z,0)),$AP393))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 t="n"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IFERROR(INDEX(Lists!$U$1:$U$25,MATCH($I394,Lists!$T$1:$T$25,0)),"?")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technology",$C394)),"Head of Technology",IF(ISNUMBER(SEARCH("TDD BP",$C394)),"Business Partner",IF(OR(ISNUMBER(SEARCH("domain architect",$C394)),ISNUMBER(SEARCH("enterprise architect",$C394))),"Architecture",IF($AQ394=1,"Leadership","Squad")))))</f>
        <v>Squad</v>
      </c>
      <c r="AS394" t="str">
        <f>IF(TRIM($B394)="","",IFERROR(INDEX(Lists!$AA:$AA,MATCH($AP394,Lists!$Z:$Z,0)),$AP394))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 t="n"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IFERROR(INDEX(Lists!$U$1:$U$25,MATCH($I395,Lists!$T$1:$T$25,0)),"?")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technology",$C395)),"Head of Technology",IF(ISNUMBER(SEARCH("TDD BP",$C395)),"Business Partner",IF(OR(ISNUMBER(SEARCH("domain architect",$C395)),ISNUMBER(SEARCH("enterprise architect",$C395))),"Architecture",IF($AQ395=1,"Leadership","Squad")))))</f>
        <v>Squad</v>
      </c>
      <c r="AS395" t="str">
        <f>IF(TRIM($B395)="","",IFERROR(INDEX(Lists!$AA:$AA,MATCH($AP395,Lists!$Z:$Z,0)),$AP395))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 t="n"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IFERROR(INDEX(Lists!$U$1:$U$25,MATCH($I396,Lists!$T$1:$T$25,0)),"?")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technology",$C396)),"Head of Technology",IF(ISNUMBER(SEARCH("TDD BP",$C396)),"Business Partner",IF(OR(ISNUMBER(SEARCH("domain architect",$C396)),ISNUMBER(SEARCH("enterprise architect",$C396))),"Architecture",IF($AQ396=1,"Leadership","Squad")))))</f>
        <v>Squad</v>
      </c>
      <c r="AS396" t="str">
        <f>IF(TRIM($B396)="","",IFERROR(INDEX(Lists!$AA:$AA,MATCH($AP396,Lists!$Z:$Z,0)),$AP396))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 t="n"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IFERROR(INDEX(Lists!$U$1:$U$25,MATCH($I397,Lists!$T$1:$T$25,0)),"?")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technology",$C397)),"Head of Technology",IF(ISNUMBER(SEARCH("TDD BP",$C397)),"Business Partner",IF(OR(ISNUMBER(SEARCH("domain architect",$C397)),ISNUMBER(SEARCH("enterprise architect",$C397))),"Architecture",IF($AQ397=1,"Leadership","Squad")))))</f>
        <v>Squad</v>
      </c>
      <c r="AS397" t="str">
        <f>IF(TRIM($B397)="","",IFERROR(INDEX(Lists!$AA:$AA,MATCH($AP397,Lists!$Z:$Z,0)),$AP397))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 t="n">
        <v>366703.2499999999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IFERROR(INDEX(Lists!$U$1:$U$25,MATCH($I398,Lists!$T$1:$T$25,0)),"?")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technology",$C398)),"Head of Technology",IF(ISNUMBER(SEARCH("TDD BP",$C398)),"Business Partner",IF(OR(ISNUMBER(SEARCH("domain architect",$C398)),ISNUMBER(SEARCH("enterprise architect",$C398))),"Architecture",IF($AQ398=1,"Leadership","Squad")))))</f>
        <v>Squad</v>
      </c>
      <c r="AS398" t="str">
        <f>IF(TRIM($B398)="","",IFERROR(INDEX(Lists!$AA:$AA,MATCH($AP398,Lists!$Z:$Z,0)),$AP398))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 t="n"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IFERROR(INDEX(Lists!$U$1:$U$25,MATCH($I399,Lists!$T$1:$T$25,0)),"?")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technology",$C399)),"Head of Technology",IF(ISNUMBER(SEARCH("TDD BP",$C399)),"Business Partner",IF(OR(ISNUMBER(SEARCH("domain architect",$C399)),ISNUMBER(SEARCH("enterprise architect",$C399))),"Architecture",IF($AQ399=1,"Leadership","Squad")))))</f>
        <v>Squad</v>
      </c>
      <c r="AS399" t="str">
        <f>IF(TRIM($B399)="","",IFERROR(INDEX(Lists!$AA:$AA,MATCH($AP399,Lists!$Z:$Z,0)),$AP399))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 t="n"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IFERROR(INDEX(Lists!$U$1:$U$25,MATCH($I400,Lists!$T$1:$T$25,0)),"?")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technology",$C400)),"Head of Technology",IF(ISNUMBER(SEARCH("TDD BP",$C400)),"Business Partner",IF(OR(ISNUMBER(SEARCH("domain architect",$C400)),ISNUMBER(SEARCH("enterprise architect",$C400))),"Architecture",IF($AQ400=1,"Leadership","Squad")))))</f>
        <v>Squad</v>
      </c>
      <c r="AS400" t="str">
        <f>IF(TRIM($B400)="","",IFERROR(INDEX(Lists!$AA:$AA,MATCH($AP400,Lists!$Z:$Z,0)),$AP400))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 t="n"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IFERROR(INDEX(Lists!$U$1:$U$25,MATCH($I401,Lists!$T$1:$T$25,0)),"?")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technology",$C401)),"Head of Technology",IF(ISNUMBER(SEARCH("TDD BP",$C401)),"Business Partner",IF(OR(ISNUMBER(SEARCH("domain architect",$C401)),ISNUMBER(SEARCH("enterprise architect",$C401))),"Architecture",IF($AQ401=1,"Leadership","Squad")))))</f>
        <v>Squad</v>
      </c>
      <c r="AS401" t="str">
        <f>IF(TRIM($B401)="","",IFERROR(INDEX(Lists!$AA:$AA,MATCH($AP401,Lists!$Z:$Z,0)),$AP401))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 t="n"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IFERROR(INDEX(Lists!$U$1:$U$25,MATCH($I402,Lists!$T$1:$T$25,0)),"?")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technology",$C402)),"Head of Technology",IF(ISNUMBER(SEARCH("TDD BP",$C402)),"Business Partner",IF(OR(ISNUMBER(SEARCH("domain architect",$C402)),ISNUMBER(SEARCH("enterprise architect",$C402))),"Architecture",IF($AQ402=1,"Leadership","Squad")))))</f>
        <v>Squad</v>
      </c>
      <c r="AS402" t="str">
        <f>IF(TRIM($B402)="","",IFERROR(INDEX(Lists!$AA:$AA,MATCH($AP402,Lists!$Z:$Z,0)),$AP402))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 t="n"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IFERROR(INDEX(Lists!$U$1:$U$25,MATCH($I403,Lists!$T$1:$T$25,0)),"?")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technology",$C403)),"Head of Technology",IF(ISNUMBER(SEARCH("TDD BP",$C403)),"Business Partner",IF(OR(ISNUMBER(SEARCH("domain architect",$C403)),ISNUMBER(SEARCH("enterprise architect",$C403))),"Architecture",IF($AQ403=1,"Leadership","Squad")))))</f>
        <v>Squad</v>
      </c>
      <c r="AS403" t="str">
        <f>IF(TRIM($B403)="","",IFERROR(INDEX(Lists!$AA:$AA,MATCH($AP403,Lists!$Z:$Z,0)),$AP403))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 t="n"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IFERROR(INDEX(Lists!$U$1:$U$25,MATCH($I404,Lists!$T$1:$T$25,0)),"?")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technology",$C404)),"Head of Technology",IF(ISNUMBER(SEARCH("TDD BP",$C404)),"Business Partner",IF(OR(ISNUMBER(SEARCH("domain architect",$C404)),ISNUMBER(SEARCH("enterprise architect",$C404))),"Architecture",IF($AQ404=1,"Leadership","Squad")))))</f>
        <v>Squad</v>
      </c>
      <c r="AS404" t="str">
        <f>IF(TRIM($B404)="","",IFERROR(INDEX(Lists!$AA:$AA,MATCH($AP404,Lists!$Z:$Z,0)),$AP404))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 t="n"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IFERROR(INDEX(Lists!$U$1:$U$25,MATCH($I405,Lists!$T$1:$T$25,0)),"?")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technology",$C405)),"Head of Technology",IF(ISNUMBER(SEARCH("TDD BP",$C405)),"Business Partner",IF(OR(ISNUMBER(SEARCH("domain architect",$C405)),ISNUMBER(SEARCH("enterprise architect",$C405))),"Architecture",IF($AQ405=1,"Leadership","Squad")))))</f>
        <v>Squad</v>
      </c>
      <c r="AS405" t="str">
        <f>IF(TRIM($B405)="","",IFERROR(INDEX(Lists!$AA:$AA,MATCH($AP405,Lists!$Z:$Z,0)),$AP405))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 t="n"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IFERROR(INDEX(Lists!$U$1:$U$25,MATCH($I406,Lists!$T$1:$T$25,0)),"?")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technology",$C406)),"Head of Technology",IF(ISNUMBER(SEARCH("TDD BP",$C406)),"Business Partner",IF(OR(ISNUMBER(SEARCH("domain architect",$C406)),ISNUMBER(SEARCH("enterprise architect",$C406))),"Architecture",IF($AQ406=1,"Leadership","Squad")))))</f>
        <v>Squad</v>
      </c>
      <c r="AS406" t="str">
        <f>IF(TRIM($B406)="","",IFERROR(INDEX(Lists!$AA:$AA,MATCH($AP406,Lists!$Z:$Z,0)),$AP406))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 t="n"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IFERROR(INDEX(Lists!$U$1:$U$25,MATCH($I407,Lists!$T$1:$T$25,0)),"?")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technology",$C407)),"Head of Technology",IF(ISNUMBER(SEARCH("TDD BP",$C407)),"Business Partner",IF(OR(ISNUMBER(SEARCH("domain architect",$C407)),ISNUMBER(SEARCH("enterprise architect",$C407))),"Architecture",IF($AQ407=1,"Leadership","Squad")))))</f>
        <v>Squad</v>
      </c>
      <c r="AS407" t="str">
        <f>IF(TRIM($B407)="","",IFERROR(INDEX(Lists!$AA:$AA,MATCH($AP407,Lists!$Z:$Z,0)),$AP407))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 t="n">
        <v>352114.3404999999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IFERROR(INDEX(Lists!$U$1:$U$25,MATCH($I408,Lists!$T$1:$T$25,0)),"?")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technology",$C408)),"Head of Technology",IF(ISNUMBER(SEARCH("TDD BP",$C408)),"Business Partner",IF(OR(ISNUMBER(SEARCH("domain architect",$C408)),ISNUMBER(SEARCH("enterprise architect",$C408))),"Architecture",IF($AQ408=1,"Leadership","Squad")))))</f>
        <v>Squad</v>
      </c>
      <c r="AS408" t="str">
        <f>IF(TRIM($B408)="","",IFERROR(INDEX(Lists!$AA:$AA,MATCH($AP408,Lists!$Z:$Z,0)),$AP408))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 t="n"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IFERROR(INDEX(Lists!$U$1:$U$25,MATCH($I409,Lists!$T$1:$T$25,0)),"?")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technology",$C409)),"Head of Technology",IF(ISNUMBER(SEARCH("TDD BP",$C409)),"Business Partner",IF(OR(ISNUMBER(SEARCH("domain architect",$C409)),ISNUMBER(SEARCH("enterprise architect",$C409))),"Architecture",IF($AQ409=1,"Leadership","Squad")))))</f>
        <v>Squad</v>
      </c>
      <c r="AS409" t="str">
        <f>IF(TRIM($B409)="","",IFERROR(INDEX(Lists!$AA:$AA,MATCH($AP409,Lists!$Z:$Z,0)),$AP409))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 t="n">
        <v>304660.4999999999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IFERROR(INDEX(Lists!$U$1:$U$25,MATCH($I410,Lists!$T$1:$T$25,0)),"?")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technology",$C410)),"Head of Technology",IF(ISNUMBER(SEARCH("TDD BP",$C410)),"Business Partner",IF(OR(ISNUMBER(SEARCH("domain architect",$C410)),ISNUMBER(SEARCH("enterprise architect",$C410))),"Architecture",IF($AQ410=1,"Leadership","Squad")))))</f>
        <v>Squad</v>
      </c>
      <c r="AS410" t="str">
        <f>IF(TRIM($B410)="","",IFERROR(INDEX(Lists!$AA:$AA,MATCH($AP410,Lists!$Z:$Z,0)),$AP410))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 t="n"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IFERROR(INDEX(Lists!$U$1:$U$25,MATCH($I411,Lists!$T$1:$T$25,0)),"?")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technology",$C411)),"Head of Technology",IF(ISNUMBER(SEARCH("TDD BP",$C411)),"Business Partner",IF(OR(ISNUMBER(SEARCH("domain architect",$C411)),ISNUMBER(SEARCH("enterprise architect",$C411))),"Architecture",IF($AQ411=1,"Leadership","Squad")))))</f>
        <v>Squad</v>
      </c>
      <c r="AS411" t="str">
        <f>IF(TRIM($B411)="","",IFERROR(INDEX(Lists!$AA:$AA,MATCH($AP411,Lists!$Z:$Z,0)),$AP411))</f>
        <v>Manufacturing &amp;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 t="n"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IFERROR(INDEX(Lists!$U$1:$U$25,MATCH($I412,Lists!$T$1:$T$25,0)),"?")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technology",$C412)),"Head of Technology",IF(ISNUMBER(SEARCH("TDD BP",$C412)),"Business Partner",IF(OR(ISNUMBER(SEARCH("domain architect",$C412)),ISNUMBER(SEARCH("enterprise architect",$C412))),"Architecture",IF($AQ412=1,"Leadership","Squad")))))</f>
        <v>Squad</v>
      </c>
      <c r="AS412" t="str">
        <f>IF(TRIM($B412)="","",IFERROR(INDEX(Lists!$AA:$AA,MATCH($AP412,Lists!$Z:$Z,0)),$AP412))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 t="n"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IFERROR(INDEX(Lists!$U$1:$U$25,MATCH($I413,Lists!$T$1:$T$25,0)),"?")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technology",$C413)),"Head of Technology",IF(ISNUMBER(SEARCH("TDD BP",$C413)),"Business Partner",IF(OR(ISNUMBER(SEARCH("domain architect",$C413)),ISNUMBER(SEARCH("enterprise architect",$C413))),"Architecture",IF($AQ413=1,"Leadership","Squad")))))</f>
        <v>Squad</v>
      </c>
      <c r="AS413" t="str">
        <f>IF(TRIM($B413)="","",IFERROR(INDEX(Lists!$AA:$AA,MATCH($AP413,Lists!$Z:$Z,0)),$AP413))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 t="n"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IFERROR(INDEX(Lists!$U$1:$U$25,MATCH($I414,Lists!$T$1:$T$25,0)),"?")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technology",$C414)),"Head of Technology",IF(ISNUMBER(SEARCH("TDD BP",$C414)),"Business Partner",IF(OR(ISNUMBER(SEARCH("domain architect",$C414)),ISNUMBER(SEARCH("enterprise architect",$C414))),"Architecture",IF($AQ414=1,"Leadership","Squad")))))</f>
        <v>Leadership</v>
      </c>
      <c r="AS414" t="str">
        <f>IF(TRIM($B414)="","",IFERROR(INDEX(Lists!$AA:$AA,MATCH($AP414,Lists!$Z:$Z,0)),$AP414))</f>
        <v>Leadership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 t="n"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IFERROR(INDEX(Lists!$U$1:$U$25,MATCH($I415,Lists!$T$1:$T$25,0)),"?")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technology",$C415)),"Head of Technology",IF(ISNUMBER(SEARCH("TDD BP",$C415)),"Business Partner",IF(OR(ISNUMBER(SEARCH("domain architect",$C415)),ISNUMBER(SEARCH("enterprise architect",$C415))),"Architecture",IF($AQ415=1,"Leadership","Squad")))))</f>
        <v>Leadership</v>
      </c>
      <c r="AS415" t="str">
        <f>IF(TRIM($B415)="","",IFERROR(INDEX(Lists!$AA:$AA,MATCH($AP415,Lists!$Z:$Z,0)),$AP415))</f>
        <v>Leadership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 t="n"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IFERROR(INDEX(Lists!$U$1:$U$25,MATCH($I416,Lists!$T$1:$T$25,0)),"?")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technology",$C416)),"Head of Technology",IF(ISNUMBER(SEARCH("TDD BP",$C416)),"Business Partner",IF(OR(ISNUMBER(SEARCH("domain architect",$C416)),ISNUMBER(SEARCH("enterprise architect",$C416))),"Architecture",IF($AQ416=1,"Leadership","Squad")))))</f>
        <v>Squad</v>
      </c>
      <c r="AS416" t="str">
        <f>IF(TRIM($B416)="","",IFERROR(INDEX(Lists!$AA:$AA,MATCH($AP416,Lists!$Z:$Z,0)),$AP416))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 t="n"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IFERROR(INDEX(Lists!$U$1:$U$25,MATCH($I417,Lists!$T$1:$T$25,0)),"?")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technology",$C417)),"Head of Technology",IF(ISNUMBER(SEARCH("TDD BP",$C417)),"Business Partner",IF(OR(ISNUMBER(SEARCH("domain architect",$C417)),ISNUMBER(SEARCH("enterprise architect",$C417))),"Architecture",IF($AQ417=1,"Leadership","Squad")))))</f>
        <v>Squad</v>
      </c>
      <c r="AS417" t="str">
        <f>IF(TRIM($B417)="","",IFERROR(INDEX(Lists!$AA:$AA,MATCH($AP417,Lists!$Z:$Z,0)),$AP417))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 t="n"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IFERROR(INDEX(Lists!$U$1:$U$25,MATCH($I418,Lists!$T$1:$T$25,0)),"?")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technology",$C418)),"Head of Technology",IF(ISNUMBER(SEARCH("TDD BP",$C418)),"Business Partner",IF(OR(ISNUMBER(SEARCH("domain architect",$C418)),ISNUMBER(SEARCH("enterprise architect",$C418))),"Architecture",IF($AQ418=1,"Leadership","Squad")))))</f>
        <v>Squad</v>
      </c>
      <c r="AS418" t="str">
        <f>IF(TRIM($B418)="","",IFERROR(INDEX(Lists!$AA:$AA,MATCH($AP418,Lists!$Z:$Z,0)),$AP418))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 t="n"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IFERROR(INDEX(Lists!$U$1:$U$25,MATCH($I419,Lists!$T$1:$T$25,0)),"?")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technology",$C419)),"Head of Technology",IF(ISNUMBER(SEARCH("TDD BP",$C419)),"Business Partner",IF(OR(ISNUMBER(SEARCH("domain architect",$C419)),ISNUMBER(SEARCH("enterprise architect",$C419))),"Architecture",IF($AQ419=1,"Leadership","Squad")))))</f>
        <v>Squad</v>
      </c>
      <c r="AS419" t="str">
        <f>IF(TRIM($B419)="","",IFERROR(INDEX(Lists!$AA:$AA,MATCH($AP419,Lists!$Z:$Z,0)),$AP419))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 t="n"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IFERROR(INDEX(Lists!$U$1:$U$25,MATCH($I420,Lists!$T$1:$T$25,0)),"?")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technology",$C420)),"Head of Technology",IF(ISNUMBER(SEARCH("TDD BP",$C420)),"Business Partner",IF(OR(ISNUMBER(SEARCH("domain architect",$C420)),ISNUMBER(SEARCH("enterprise architect",$C420))),"Architecture",IF($AQ420=1,"Leadership","Squad")))))</f>
        <v>Squad</v>
      </c>
      <c r="AS420" t="str">
        <f>IF(TRIM($B420)="","",IFERROR(INDEX(Lists!$AA:$AA,MATCH($AP420,Lists!$Z:$Z,0)),$AP420))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 t="n"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IFERROR(INDEX(Lists!$U$1:$U$25,MATCH($I421,Lists!$T$1:$T$25,0)),"?")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technology",$C421)),"Head of Technology",IF(ISNUMBER(SEARCH("TDD BP",$C421)),"Business Partner",IF(OR(ISNUMBER(SEARCH("domain architect",$C421)),ISNUMBER(SEARCH("enterprise architect",$C421))),"Architecture",IF($AQ421=1,"Leadership","Squad")))))</f>
        <v>Leadership</v>
      </c>
      <c r="AS421" t="str">
        <f>IF(TRIM($B421)="","",IFERROR(INDEX(Lists!$AA:$AA,MATCH($AP421,Lists!$Z:$Z,0)),$AP421))</f>
        <v>Leadership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 t="n"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IFERROR(INDEX(Lists!$U$1:$U$25,MATCH($I422,Lists!$T$1:$T$25,0)),"?")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technology",$C422)),"Head of Technology",IF(ISNUMBER(SEARCH("TDD BP",$C422)),"Business Partner",IF(OR(ISNUMBER(SEARCH("domain architect",$C422)),ISNUMBER(SEARCH("enterprise architect",$C422))),"Architecture",IF($AQ422=1,"Leadership","Squad")))))</f>
        <v>Leadership</v>
      </c>
      <c r="AS422" t="str">
        <f>IF(TRIM($B422)="","",IFERROR(INDEX(Lists!$AA:$AA,MATCH($AP422,Lists!$Z:$Z,0)),$AP422))</f>
        <v>Leadership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 t="n"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IFERROR(INDEX(Lists!$U$1:$U$25,MATCH($I423,Lists!$T$1:$T$25,0)),"?")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technology",$C423)),"Head of Technology",IF(ISNUMBER(SEARCH("TDD BP",$C423)),"Business Partner",IF(OR(ISNUMBER(SEARCH("domain architect",$C423)),ISNUMBER(SEARCH("enterprise architect",$C423))),"Architecture",IF($AQ423=1,"Leadership","Squad")))))</f>
        <v>Squad</v>
      </c>
      <c r="AS423" t="str">
        <f>IF(TRIM($B423)="","",IFERROR(INDEX(Lists!$AA:$AA,MATCH($AP423,Lists!$Z:$Z,0)),$AP423))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 t="n"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IFERROR(INDEX(Lists!$U$1:$U$25,MATCH($I424,Lists!$T$1:$T$25,0)),"?")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technology",$C424)),"Head of Technology",IF(ISNUMBER(SEARCH("TDD BP",$C424)),"Business Partner",IF(OR(ISNUMBER(SEARCH("domain architect",$C424)),ISNUMBER(SEARCH("enterprise architect",$C424))),"Architecture",IF($AQ424=1,"Leadership","Squad")))))</f>
        <v>Squad</v>
      </c>
      <c r="AS424" t="str">
        <f>IF(TRIM($B424)="","",IFERROR(INDEX(Lists!$AA:$AA,MATCH($AP424,Lists!$Z:$Z,0)),$AP424))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 t="n"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IFERROR(INDEX(Lists!$U$1:$U$25,MATCH($I425,Lists!$T$1:$T$25,0)),"?")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technology",$C425)),"Head of Technology",IF(ISNUMBER(SEARCH("TDD BP",$C425)),"Business Partner",IF(OR(ISNUMBER(SEARCH("domain architect",$C425)),ISNUMBER(SEARCH("enterprise architect",$C425))),"Architecture",IF($AQ425=1,"Leadership","Squad")))))</f>
        <v>Squad</v>
      </c>
      <c r="AS425" t="str">
        <f>IF(TRIM($B425)="","",IFERROR(INDEX(Lists!$AA:$AA,MATCH($AP425,Lists!$Z:$Z,0)),$AP425))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 t="n"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IFERROR(INDEX(Lists!$U$1:$U$25,MATCH($I426,Lists!$T$1:$T$25,0)),"?")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technology",$C426)),"Head of Technology",IF(ISNUMBER(SEARCH("TDD BP",$C426)),"Business Partner",IF(OR(ISNUMBER(SEARCH("domain architect",$C426)),ISNUMBER(SEARCH("enterprise architect",$C426))),"Architecture",IF($AQ426=1,"Leadership","Squad")))))</f>
        <v>Leadership</v>
      </c>
      <c r="AS426" t="str">
        <f>IF(TRIM($B426)="","",IFERROR(INDEX(Lists!$AA:$AA,MATCH($AP426,Lists!$Z:$Z,0)),$AP426))</f>
        <v>Leadership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 t="n"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IFERROR(INDEX(Lists!$U$1:$U$25,MATCH($I427,Lists!$T$1:$T$25,0)),"?")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technology",$C427)),"Head of Technology",IF(ISNUMBER(SEARCH("TDD BP",$C427)),"Business Partner",IF(OR(ISNUMBER(SEARCH("domain architect",$C427)),ISNUMBER(SEARCH("enterprise architect",$C427))),"Architecture",IF($AQ427=1,"Leadership","Squad")))))</f>
        <v>Leadership</v>
      </c>
      <c r="AS427" t="str">
        <f>IF(TRIM($B427)="","",IFERROR(INDEX(Lists!$AA:$AA,MATCH($AP427,Lists!$Z:$Z,0)),$AP427))</f>
        <v>Leadership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 t="n"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IFERROR(INDEX(Lists!$U$1:$U$25,MATCH($I428,Lists!$T$1:$T$25,0)),"?")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technology",$C428)),"Head of Technology",IF(ISNUMBER(SEARCH("TDD BP",$C428)),"Business Partner",IF(OR(ISNUMBER(SEARCH("domain architect",$C428)),ISNUMBER(SEARCH("enterprise architect",$C428))),"Architecture",IF($AQ428=1,"Leadership","Squad")))))</f>
        <v>Leadership</v>
      </c>
      <c r="AS428" t="str">
        <f>IF(TRIM($B428)="","",IFERROR(INDEX(Lists!$AA:$AA,MATCH($AP428,Lists!$Z:$Z,0)),$AP428))</f>
        <v>Leadership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 t="n"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IFERROR(INDEX(Lists!$U$1:$U$25,MATCH($I429,Lists!$T$1:$T$25,0)),"?")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technology",$C429)),"Head of Technology",IF(ISNUMBER(SEARCH("TDD BP",$C429)),"Business Partner",IF(OR(ISNUMBER(SEARCH("domain architect",$C429)),ISNUMBER(SEARCH("enterprise architect",$C429))),"Architecture",IF($AQ429=1,"Leadership","Squad")))))</f>
        <v>Squad</v>
      </c>
      <c r="AS429" t="str">
        <f>IF(TRIM($B429)="","",IFERROR(INDEX(Lists!$AA:$AA,MATCH($AP429,Lists!$Z:$Z,0)),$AP429))</f>
        <v>Manufacturing &amp;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 t="n"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IFERROR(INDEX(Lists!$U$1:$U$25,MATCH($I430,Lists!$T$1:$T$25,0)),"?")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technology",$C430)),"Head of Technology",IF(ISNUMBER(SEARCH("TDD BP",$C430)),"Business Partner",IF(OR(ISNUMBER(SEARCH("domain architect",$C430)),ISNUMBER(SEARCH("enterprise architect",$C430))),"Architecture",IF($AQ430=1,"Leadership","Squad")))))</f>
        <v>Squad</v>
      </c>
      <c r="AS430" t="str">
        <f>IF(TRIM($B430)="","",IFERROR(INDEX(Lists!$AA:$AA,MATCH($AP430,Lists!$Z:$Z,0)),$AP430))</f>
        <v>Manufacturing &amp;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 t="n"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IFERROR(INDEX(Lists!$U$1:$U$25,MATCH($I431,Lists!$T$1:$T$25,0)),"?")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technology",$C431)),"Head of Technology",IF(ISNUMBER(SEARCH("TDD BP",$C431)),"Business Partner",IF(OR(ISNUMBER(SEARCH("domain architect",$C431)),ISNUMBER(SEARCH("enterprise architect",$C431))),"Architecture",IF($AQ431=1,"Leadership","Squad")))))</f>
        <v>Squad</v>
      </c>
      <c r="AS431" t="str">
        <f>IF(TRIM($B431)="","",IFERROR(INDEX(Lists!$AA:$AA,MATCH($AP431,Lists!$Z:$Z,0)),$AP431))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 t="n"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IFERROR(INDEX(Lists!$U$1:$U$25,MATCH($I432,Lists!$T$1:$T$25,0)),"?")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technology",$C432)),"Head of Technology",IF(ISNUMBER(SEARCH("TDD BP",$C432)),"Business Partner",IF(OR(ISNUMBER(SEARCH("domain architect",$C432)),ISNUMBER(SEARCH("enterprise architect",$C432))),"Architecture",IF($AQ432=1,"Leadership","Squad")))))</f>
        <v>Squad</v>
      </c>
      <c r="AS432" t="str">
        <f>IF(TRIM($B432)="","",IFERROR(INDEX(Lists!$AA:$AA,MATCH($AP432,Lists!$Z:$Z,0)),$AP432))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 t="n"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IFERROR(INDEX(Lists!$U$1:$U$25,MATCH($I433,Lists!$T$1:$T$25,0)),"?")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technology",$C433)),"Head of Technology",IF(ISNUMBER(SEARCH("TDD BP",$C433)),"Business Partner",IF(OR(ISNUMBER(SEARCH("domain architect",$C433)),ISNUMBER(SEARCH("enterprise architect",$C433))),"Architecture",IF($AQ433=1,"Leadership","Squad")))))</f>
        <v>Squad</v>
      </c>
      <c r="AS433" t="str">
        <f>IF(TRIM($B433)="","",IFERROR(INDEX(Lists!$AA:$AA,MATCH($AP433,Lists!$Z:$Z,0)),$AP433))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 t="n"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IFERROR(INDEX(Lists!$U$1:$U$25,MATCH($I434,Lists!$T$1:$T$25,0)),"?")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technology",$C434)),"Head of Technology",IF(ISNUMBER(SEARCH("TDD BP",$C434)),"Business Partner",IF(OR(ISNUMBER(SEARCH("domain architect",$C434)),ISNUMBER(SEARCH("enterprise architect",$C434))),"Architecture",IF($AQ434=1,"Leadership","Squad")))))</f>
        <v>Squad</v>
      </c>
      <c r="AS434" t="str">
        <f>IF(TRIM($B434)="","",IFERROR(INDEX(Lists!$AA:$AA,MATCH($AP434,Lists!$Z:$Z,0)),$AP434))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 t="n"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IFERROR(INDEX(Lists!$U$1:$U$25,MATCH($I435,Lists!$T$1:$T$25,0)),"?")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technology",$C435)),"Head of Technology",IF(ISNUMBER(SEARCH("TDD BP",$C435)),"Business Partner",IF(OR(ISNUMBER(SEARCH("domain architect",$C435)),ISNUMBER(SEARCH("enterprise architect",$C435))),"Architecture",IF($AQ435=1,"Leadership","Squad")))))</f>
        <v>Squad</v>
      </c>
      <c r="AS435" t="str">
        <f>IF(TRIM($B435)="","",IFERROR(INDEX(Lists!$AA:$AA,MATCH($AP435,Lists!$Z:$Z,0)),$AP435))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 t="n"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IFERROR(INDEX(Lists!$U$1:$U$25,MATCH($I436,Lists!$T$1:$T$25,0)),"?")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technology",$C436)),"Head of Technology",IF(ISNUMBER(SEARCH("TDD BP",$C436)),"Business Partner",IF(OR(ISNUMBER(SEARCH("domain architect",$C436)),ISNUMBER(SEARCH("enterprise architect",$C436))),"Architecture",IF($AQ436=1,"Leadership","Squad")))))</f>
        <v>Squad</v>
      </c>
      <c r="AS436" t="str">
        <f>IF(TRIM($B436)="","",IFERROR(INDEX(Lists!$AA:$AA,MATCH($AP436,Lists!$Z:$Z,0)),$AP436))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 t="n"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IFERROR(INDEX(Lists!$U$1:$U$25,MATCH($I437,Lists!$T$1:$T$25,0)),"?")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technology",$C437)),"Head of Technology",IF(ISNUMBER(SEARCH("TDD BP",$C437)),"Business Partner",IF(OR(ISNUMBER(SEARCH("domain architect",$C437)),ISNUMBER(SEARCH("enterprise architect",$C437))),"Architecture",IF($AQ437=1,"Leadership","Squad")))))</f>
        <v>Squad</v>
      </c>
      <c r="AS437" t="str">
        <f>IF(TRIM($B437)="","",IFERROR(INDEX(Lists!$AA:$AA,MATCH($AP437,Lists!$Z:$Z,0)),$AP437))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 t="n"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IFERROR(INDEX(Lists!$U$1:$U$25,MATCH($I438,Lists!$T$1:$T$25,0)),"?")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technology",$C438)),"Head of Technology",IF(ISNUMBER(SEARCH("TDD BP",$C438)),"Business Partner",IF(OR(ISNUMBER(SEARCH("domain architect",$C438)),ISNUMBER(SEARCH("enterprise architect",$C438))),"Architecture",IF($AQ438=1,"Leadership","Squad")))))</f>
        <v>Squad</v>
      </c>
      <c r="AS438" t="str">
        <f>IF(TRIM($B438)="","",IFERROR(INDEX(Lists!$AA:$AA,MATCH($AP438,Lists!$Z:$Z,0)),$AP438))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 t="n"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IFERROR(INDEX(Lists!$U$1:$U$25,MATCH($I439,Lists!$T$1:$T$25,0)),"?")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technology",$C439)),"Head of Technology",IF(ISNUMBER(SEARCH("TDD BP",$C439)),"Business Partner",IF(OR(ISNUMBER(SEARCH("domain architect",$C439)),ISNUMBER(SEARCH("enterprise architect",$C439))),"Architecture",IF($AQ439=1,"Leadership","Squad")))))</f>
        <v>Squad</v>
      </c>
      <c r="AS439" t="str">
        <f>IF(TRIM($B439)="","",IFERROR(INDEX(Lists!$AA:$AA,MATCH($AP439,Lists!$Z:$Z,0)),$AP439))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 t="n"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IFERROR(INDEX(Lists!$U$1:$U$25,MATCH($I440,Lists!$T$1:$T$25,0)),"?")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technology",$C440)),"Head of Technology",IF(ISNUMBER(SEARCH("TDD BP",$C440)),"Business Partner",IF(OR(ISNUMBER(SEARCH("domain architect",$C440)),ISNUMBER(SEARCH("enterprise architect",$C440))),"Architecture",IF($AQ440=1,"Leadership","Squad")))))</f>
        <v>Squad</v>
      </c>
      <c r="AS440" t="str">
        <f>IF(TRIM($B440)="","",IFERROR(INDEX(Lists!$AA:$AA,MATCH($AP440,Lists!$Z:$Z,0)),$AP440))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 t="n"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IFERROR(INDEX(Lists!$U$1:$U$25,MATCH($I441,Lists!$T$1:$T$25,0)),"?")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technology",$C441)),"Head of Technology",IF(ISNUMBER(SEARCH("TDD BP",$C441)),"Business Partner",IF(OR(ISNUMBER(SEARCH("domain architect",$C441)),ISNUMBER(SEARCH("enterprise architect",$C441))),"Architecture",IF($AQ441=1,"Leadership","Squad")))))</f>
        <v>Squad</v>
      </c>
      <c r="AS441" t="str">
        <f>IF(TRIM($B441)="","",IFERROR(INDEX(Lists!$AA:$AA,MATCH($AP441,Lists!$Z:$Z,0)),$AP441))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 t="n"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IFERROR(INDEX(Lists!$U$1:$U$25,MATCH($I442,Lists!$T$1:$T$25,0)),"?")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technology",$C442)),"Head of Technology",IF(ISNUMBER(SEARCH("TDD BP",$C442)),"Business Partner",IF(OR(ISNUMBER(SEARCH("domain architect",$C442)),ISNUMBER(SEARCH("enterprise architect",$C442))),"Architecture",IF($AQ442=1,"Leadership","Squad")))))</f>
        <v>Squad</v>
      </c>
      <c r="AS442" t="str">
        <f>IF(TRIM($B442)="","",IFERROR(INDEX(Lists!$AA:$AA,MATCH($AP442,Lists!$Z:$Z,0)),$AP442))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 t="n"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IFERROR(INDEX(Lists!$U$1:$U$25,MATCH($I443,Lists!$T$1:$T$25,0)),"?")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technology",$C443)),"Head of Technology",IF(ISNUMBER(SEARCH("TDD BP",$C443)),"Business Partner",IF(OR(ISNUMBER(SEARCH("domain architect",$C443)),ISNUMBER(SEARCH("enterprise architect",$C443))),"Architecture",IF($AQ443=1,"Leadership","Squad")))))</f>
        <v>Squad</v>
      </c>
      <c r="AS443" t="str">
        <f>IF(TRIM($B443)="","",IFERROR(INDEX(Lists!$AA:$AA,MATCH($AP443,Lists!$Z:$Z,0)),$AP443))</f>
        <v>Manufacturing &amp;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 t="n"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IFERROR(INDEX(Lists!$U$1:$U$25,MATCH($I444,Lists!$T$1:$T$25,0)),"?")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technology",$C444)),"Head of Technology",IF(ISNUMBER(SEARCH("TDD BP",$C444)),"Business Partner",IF(OR(ISNUMBER(SEARCH("domain architect",$C444)),ISNUMBER(SEARCH("enterprise architect",$C444))),"Architecture",IF($AQ444=1,"Leadership","Squad")))))</f>
        <v>Squad</v>
      </c>
      <c r="AS444" t="str">
        <f>IF(TRIM($B444)="","",IFERROR(INDEX(Lists!$AA:$AA,MATCH($AP444,Lists!$Z:$Z,0)),$AP444))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 t="n"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IFERROR(INDEX(Lists!$U$1:$U$25,MATCH($I445,Lists!$T$1:$T$25,0)),"?")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technology",$C445)),"Head of Technology",IF(ISNUMBER(SEARCH("TDD BP",$C445)),"Business Partner",IF(OR(ISNUMBER(SEARCH("domain architect",$C445)),ISNUMBER(SEARCH("enterprise architect",$C445))),"Architecture",IF($AQ445=1,"Leadership","Squad")))))</f>
        <v>Squad</v>
      </c>
      <c r="AS445" t="str">
        <f>IF(TRIM($B445)="","",IFERROR(INDEX(Lists!$AA:$AA,MATCH($AP445,Lists!$Z:$Z,0)),$AP445))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S446*222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IFERROR(INDEX(Lists!$U$1:$U$25,MATCH($I446,Lists!$T$1:$T$25,0)),"?")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technology",$C446)),"Head of Technology",IF(ISNUMBER(SEARCH("TDD BP",$C446)),"Business Partner",IF(OR(ISNUMBER(SEARCH("domain architect",$C446)),ISNUMBER(SEARCH("enterprise architect",$C446))),"Architecture",IF($AQ446=1,"Leadership","Squad")))))</f>
        <v>Squad</v>
      </c>
      <c r="AS446" t="str">
        <f>IF(TRIM($B446)="","",IFERROR(INDEX(Lists!$AA:$AA,MATCH($AP446,Lists!$Z:$Z,0)),$AP446))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 t="n"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IFERROR(INDEX(Lists!$U$1:$U$25,MATCH($I447,Lists!$T$1:$T$25,0)),"?")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technology",$C447)),"Head of Technology",IF(ISNUMBER(SEARCH("TDD BP",$C447)),"Business Partner",IF(OR(ISNUMBER(SEARCH("domain architect",$C447)),ISNUMBER(SEARCH("enterprise architect",$C447))),"Architecture",IF($AQ447=1,"Leadership","Squad")))))</f>
        <v>Squad</v>
      </c>
      <c r="AS447" t="str">
        <f>IF(TRIM($B447)="","",IFERROR(INDEX(Lists!$AA:$AA,MATCH($AP447,Lists!$Z:$Z,0)),$AP447))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 t="n"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IFERROR(INDEX(Lists!$U$1:$U$25,MATCH($I448,Lists!$T$1:$T$25,0)),"?")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technology",$C448)),"Head of Technology",IF(ISNUMBER(SEARCH("TDD BP",$C448)),"Business Partner",IF(OR(ISNUMBER(SEARCH("domain architect",$C448)),ISNUMBER(SEARCH("enterprise architect",$C448))),"Architecture",IF($AQ448=1,"Leadership","Squad")))))</f>
        <v>Squad</v>
      </c>
      <c r="AS448" t="str">
        <f>IF(TRIM($B448)="","",IFERROR(INDEX(Lists!$AA:$AA,MATCH($AP448,Lists!$Z:$Z,0)),$AP448))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 t="n"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IFERROR(INDEX(Lists!$U$1:$U$25,MATCH($I449,Lists!$T$1:$T$25,0)),"?")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technology",$C449)),"Head of Technology",IF(ISNUMBER(SEARCH("TDD BP",$C449)),"Business Partner",IF(OR(ISNUMBER(SEARCH("domain architect",$C449)),ISNUMBER(SEARCH("enterprise architect",$C449))),"Architecture",IF($AQ449=1,"Leadership","Squad")))))</f>
        <v>Squad</v>
      </c>
      <c r="AS449" t="str">
        <f>IF(TRIM($B449)="","",IFERROR(INDEX(Lists!$AA:$AA,MATCH($AP449,Lists!$Z:$Z,0)),$AP449))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 t="n"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IFERROR(INDEX(Lists!$U$1:$U$25,MATCH($I450,Lists!$T$1:$T$25,0)),"?")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technology",$C450)),"Head of Technology",IF(ISNUMBER(SEARCH("TDD BP",$C450)),"Business Partner",IF(OR(ISNUMBER(SEARCH("domain architect",$C450)),ISNUMBER(SEARCH("enterprise architect",$C450))),"Architecture",IF($AQ450=1,"Leadership","Squad")))))</f>
        <v>Squad</v>
      </c>
      <c r="AS450" t="str">
        <f>IF(TRIM($B450)="","",IFERROR(INDEX(Lists!$AA:$AA,MATCH($AP450,Lists!$Z:$Z,0)),$AP450))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 t="n"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IFERROR(INDEX(Lists!$U$1:$U$25,MATCH($I451,Lists!$T$1:$T$25,0)),"?")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technology",$C451)),"Head of Technology",IF(ISNUMBER(SEARCH("TDD BP",$C451)),"Business Partner",IF(OR(ISNUMBER(SEARCH("domain architect",$C451)),ISNUMBER(SEARCH("enterprise architect",$C451))),"Architecture",IF($AQ451=1,"Leadership","Squad")))))</f>
        <v>Squad</v>
      </c>
      <c r="AS451" t="str">
        <f>IF(TRIM($B451)="","",IFERROR(INDEX(Lists!$AA:$AA,MATCH($AP451,Lists!$Z:$Z,0)),$AP451))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 t="n"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IFERROR(INDEX(Lists!$U$1:$U$25,MATCH($I452,Lists!$T$1:$T$25,0)),"?")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technology",$C452)),"Head of Technology",IF(ISNUMBER(SEARCH("TDD BP",$C452)),"Business Partner",IF(OR(ISNUMBER(SEARCH("domain architect",$C452)),ISNUMBER(SEARCH("enterprise architect",$C452))),"Architecture",IF($AQ452=1,"Leadership","Squad")))))</f>
        <v>Squad</v>
      </c>
      <c r="AS452" t="str">
        <f>IF(TRIM($B452)="","",IFERROR(INDEX(Lists!$AA:$AA,MATCH($AP452,Lists!$Z:$Z,0)),$AP452))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 t="n"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IFERROR(INDEX(Lists!$U$1:$U$25,MATCH($I453,Lists!$T$1:$T$25,0)),"?")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technology",$C453)),"Head of Technology",IF(ISNUMBER(SEARCH("TDD BP",$C453)),"Business Partner",IF(OR(ISNUMBER(SEARCH("domain architect",$C453)),ISNUMBER(SEARCH("enterprise architect",$C453))),"Architecture",IF($AQ453=1,"Leadership","Squad")))))</f>
        <v>Squad</v>
      </c>
      <c r="AS453" t="str">
        <f>IF(TRIM($B453)="","",IFERROR(INDEX(Lists!$AA:$AA,MATCH($AP453,Lists!$Z:$Z,0)),$AP453))</f>
        <v>AU Finance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 t="n"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IFERROR(INDEX(Lists!$U$1:$U$25,MATCH($I454,Lists!$T$1:$T$25,0)),"?")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technology",$C454)),"Head of Technology",IF(ISNUMBER(SEARCH("TDD BP",$C454)),"Business Partner",IF(OR(ISNUMBER(SEARCH("domain architect",$C454)),ISNUMBER(SEARCH("enterprise architect",$C454))),"Architecture",IF($AQ454=1,"Leadership","Squad")))))</f>
        <v>Squad</v>
      </c>
      <c r="AS454" t="str">
        <f>IF(TRIM($B454)="","",IFERROR(INDEX(Lists!$AA:$AA,MATCH($AP454,Lists!$Z:$Z,0)),$AP454))</f>
        <v>AU Finance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 t="n"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IFERROR(INDEX(Lists!$U$1:$U$25,MATCH($I455,Lists!$T$1:$T$25,0)),"?")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technology",$C455)),"Head of Technology",IF(ISNUMBER(SEARCH("TDD BP",$C455)),"Business Partner",IF(OR(ISNUMBER(SEARCH("domain architect",$C455)),ISNUMBER(SEARCH("enterprise architect",$C455))),"Architecture",IF($AQ455=1,"Leadership","Squad")))))</f>
        <v>Leadership</v>
      </c>
      <c r="AS455" t="str">
        <f>IF(TRIM($B455)="","",IFERROR(INDEX(Lists!$AA:$AA,MATCH($AP455,Lists!$Z:$Z,0)),$AP455))</f>
        <v>Leadership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 t="n"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IFERROR(INDEX(Lists!$U$1:$U$25,MATCH($I456,Lists!$T$1:$T$25,0)),"?")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technology",$C456)),"Head of Technology",IF(ISNUMBER(SEARCH("TDD BP",$C456)),"Business Partner",IF(OR(ISNUMBER(SEARCH("domain architect",$C456)),ISNUMBER(SEARCH("enterprise architect",$C456))),"Architecture",IF($AQ456=1,"Leadership","Squad")))))</f>
        <v>Squad</v>
      </c>
      <c r="AS456" t="str">
        <f>IF(TRIM($B456)="","",IFERROR(INDEX(Lists!$AA:$AA,MATCH($AP456,Lists!$Z:$Z,0)),$AP456))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 t="n"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IFERROR(INDEX(Lists!$U$1:$U$25,MATCH($I457,Lists!$T$1:$T$25,0)),"?")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technology",$C457)),"Head of Technology",IF(ISNUMBER(SEARCH("TDD BP",$C457)),"Business Partner",IF(OR(ISNUMBER(SEARCH("domain architect",$C457)),ISNUMBER(SEARCH("enterprise architect",$C457))),"Architecture",IF($AQ457=1,"Leadership","Squad")))))</f>
        <v>Squad</v>
      </c>
      <c r="AS457" t="str">
        <f>IF(TRIM($B457)="","",IFERROR(INDEX(Lists!$AA:$AA,MATCH($AP457,Lists!$Z:$Z,0)),$AP457))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 t="n"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IFERROR(INDEX(Lists!$U$1:$U$25,MATCH($I458,Lists!$T$1:$T$25,0)),"?")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technology",$C458)),"Head of Technology",IF(ISNUMBER(SEARCH("TDD BP",$C458)),"Business Partner",IF(OR(ISNUMBER(SEARCH("domain architect",$C458)),ISNUMBER(SEARCH("enterprise architect",$C458))),"Architecture",IF($AQ458=1,"Leadership","Squad")))))</f>
        <v>Squad</v>
      </c>
      <c r="AS458" t="str">
        <f>IF(TRIM($B458)="","",IFERROR(INDEX(Lists!$AA:$AA,MATCH($AP458,Lists!$Z:$Z,0)),$AP458))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 t="n"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IFERROR(INDEX(Lists!$U$1:$U$25,MATCH($I459,Lists!$T$1:$T$25,0)),"?")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technology",$C459)),"Head of Technology",IF(ISNUMBER(SEARCH("TDD BP",$C459)),"Business Partner",IF(OR(ISNUMBER(SEARCH("domain architect",$C459)),ISNUMBER(SEARCH("enterprise architect",$C459))),"Architecture",IF($AQ459=1,"Leadership","Squad")))))</f>
        <v>Squad</v>
      </c>
      <c r="AS459" t="str">
        <f>IF(TRIM($B459)="","",IFERROR(INDEX(Lists!$AA:$AA,MATCH($AP459,Lists!$Z:$Z,0)),$AP459))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 t="n"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IFERROR(INDEX(Lists!$U$1:$U$25,MATCH($I460,Lists!$T$1:$T$25,0)),"?")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technology",$C460)),"Head of Technology",IF(ISNUMBER(SEARCH("TDD BP",$C460)),"Business Partner",IF(OR(ISNUMBER(SEARCH("domain architect",$C460)),ISNUMBER(SEARCH("enterprise architect",$C460))),"Architecture",IF($AQ460=1,"Leadership","Squad")))))</f>
        <v>Squad</v>
      </c>
      <c r="AS460" t="str">
        <f>IF(TRIM($B460)="","",IFERROR(INDEX(Lists!$AA:$AA,MATCH($AP460,Lists!$Z:$Z,0)),$AP460))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 t="n"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IFERROR(INDEX(Lists!$U$1:$U$25,MATCH($I461,Lists!$T$1:$T$25,0)),"?")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technology",$C461)),"Head of Technology",IF(ISNUMBER(SEARCH("TDD BP",$C461)),"Business Partner",IF(OR(ISNUMBER(SEARCH("domain architect",$C461)),ISNUMBER(SEARCH("enterprise architect",$C461))),"Architecture",IF($AQ461=1,"Leadership","Squad")))))</f>
        <v>Squad</v>
      </c>
      <c r="AS461" t="str">
        <f>IF(TRIM($B461)="","",IFERROR(INDEX(Lists!$AA:$AA,MATCH($AP461,Lists!$Z:$Z,0)),$AP461))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 t="n"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IFERROR(INDEX(Lists!$U$1:$U$25,MATCH($I462,Lists!$T$1:$T$25,0)),"?")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technology",$C462)),"Head of Technology",IF(ISNUMBER(SEARCH("TDD BP",$C462)),"Business Partner",IF(OR(ISNUMBER(SEARCH("domain architect",$C462)),ISNUMBER(SEARCH("enterprise architect",$C462))),"Architecture",IF($AQ462=1,"Leadership","Squad")))))</f>
        <v>Squad</v>
      </c>
      <c r="AS462" t="str">
        <f>IF(TRIM($B462)="","",IFERROR(INDEX(Lists!$AA:$AA,MATCH($AP462,Lists!$Z:$Z,0)),$AP462))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 t="n"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IFERROR(INDEX(Lists!$U$1:$U$25,MATCH($I463,Lists!$T$1:$T$25,0)),"?")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technology",$C463)),"Head of Technology",IF(ISNUMBER(SEARCH("TDD BP",$C463)),"Business Partner",IF(OR(ISNUMBER(SEARCH("domain architect",$C463)),ISNUMBER(SEARCH("enterprise architect",$C463))),"Architecture",IF($AQ463=1,"Leadership","Squad")))))</f>
        <v>Squad</v>
      </c>
      <c r="AS463" t="str">
        <f>IF(TRIM($B463)="","",IFERROR(INDEX(Lists!$AA:$AA,MATCH($AP463,Lists!$Z:$Z,0)),$AP463))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 t="n"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IFERROR(INDEX(Lists!$U$1:$U$25,MATCH($I464,Lists!$T$1:$T$25,0)),"?")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technology",$C464)),"Head of Technology",IF(ISNUMBER(SEARCH("TDD BP",$C464)),"Business Partner",IF(OR(ISNUMBER(SEARCH("domain architect",$C464)),ISNUMBER(SEARCH("enterprise architect",$C464))),"Architecture",IF($AQ464=1,"Leadership","Squad")))))</f>
        <v>Squad</v>
      </c>
      <c r="AS464" t="str">
        <f>IF(TRIM($B464)="","",IFERROR(INDEX(Lists!$AA:$AA,MATCH($AP464,Lists!$Z:$Z,0)),$AP464))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 t="n"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IFERROR(INDEX(Lists!$U$1:$U$25,MATCH($I465,Lists!$T$1:$T$25,0)),"?")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technology",$C465)),"Head of Technology",IF(ISNUMBER(SEARCH("TDD BP",$C465)),"Business Partner",IF(OR(ISNUMBER(SEARCH("domain architect",$C465)),ISNUMBER(SEARCH("enterprise architect",$C465))),"Architecture",IF($AQ465=1,"Leadership","Squad")))))</f>
        <v>Squad</v>
      </c>
      <c r="AS465" t="str">
        <f>IF(TRIM($B465)="","",IFERROR(INDEX(Lists!$AA:$AA,MATCH($AP465,Lists!$Z:$Z,0)),$AP465))</f>
        <v>P&amp;C -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 t="n"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IFERROR(INDEX(Lists!$U$1:$U$25,MATCH($I466,Lists!$T$1:$T$25,0)),"?")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technology",$C466)),"Head of Technology",IF(ISNUMBER(SEARCH("TDD BP",$C466)),"Business Partner",IF(OR(ISNUMBER(SEARCH("domain architect",$C466)),ISNUMBER(SEARCH("enterprise architect",$C466))),"Architecture",IF($AQ466=1,"Leadership","Squad")))))</f>
        <v>Head of Technology</v>
      </c>
      <c r="AS466" t="str">
        <f>IF(TRIM($B466)="","",IFERROR(INDEX(Lists!$AA:$AA,MATCH($AP466,Lists!$Z:$Z,0)),$AP466))</f>
        <v>Leadership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 t="n"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IFERROR(INDEX(Lists!$U$1:$U$25,MATCH($I467,Lists!$T$1:$T$25,0)),"?")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technology",$C467)),"Head of Technology",IF(ISNUMBER(SEARCH("TDD BP",$C467)),"Business Partner",IF(OR(ISNUMBER(SEARCH("domain architect",$C467)),ISNUMBER(SEARCH("enterprise architect",$C467))),"Architecture",IF($AQ467=1,"Leadership","Squad")))))</f>
        <v>Squad</v>
      </c>
      <c r="AS467" t="str">
        <f>IF(TRIM($B467)="","",IFERROR(INDEX(Lists!$AA:$AA,MATCH($AP467,Lists!$Z:$Z,0)),$AP467))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 t="n"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IFERROR(INDEX(Lists!$U$1:$U$25,MATCH($I468,Lists!$T$1:$T$25,0)),"?")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technology",$C468)),"Head of Technology",IF(ISNUMBER(SEARCH("TDD BP",$C468)),"Business Partner",IF(OR(ISNUMBER(SEARCH("domain architect",$C468)),ISNUMBER(SEARCH("enterprise architect",$C468))),"Architecture",IF($AQ468=1,"Leadership","Squad")))))</f>
        <v>Squad</v>
      </c>
      <c r="AS468" t="str">
        <f>IF(TRIM($B468)="","",IFERROR(INDEX(Lists!$AA:$AA,MATCH($AP468,Lists!$Z:$Z,0)),$AP468))</f>
        <v>Network &amp; Infrastructure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 t="n"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IFERROR(INDEX(Lists!$U$1:$U$25,MATCH($I469,Lists!$T$1:$T$25,0)),"?")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technology",$C469)),"Head of Technology",IF(ISNUMBER(SEARCH("TDD BP",$C469)),"Business Partner",IF(OR(ISNUMBER(SEARCH("domain architect",$C469)),ISNUMBER(SEARCH("enterprise architect",$C469))),"Architecture",IF($AQ469=1,"Leadership","Squad")))))</f>
        <v>Squad</v>
      </c>
      <c r="AS469" t="str">
        <f>IF(TRIM($B469)="","",IFERROR(INDEX(Lists!$AA:$AA,MATCH($AP469,Lists!$Z:$Z,0)),$AP469))</f>
        <v>Network &amp; Infrastructure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 t="n"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IFERROR(INDEX(Lists!$U$1:$U$25,MATCH($I470,Lists!$T$1:$T$25,0)),"?")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technology",$C470)),"Head of Technology",IF(ISNUMBER(SEARCH("TDD BP",$C470)),"Business Partner",IF(OR(ISNUMBER(SEARCH("domain architect",$C470)),ISNUMBER(SEARCH("enterprise architect",$C470))),"Architecture",IF($AQ470=1,"Leadership","Squad")))))</f>
        <v>Squad</v>
      </c>
      <c r="AS470" t="str">
        <f>IF(TRIM($B470)="","",IFERROR(INDEX(Lists!$AA:$AA,MATCH($AP470,Lists!$Z:$Z,0)),$AP470))</f>
        <v>Network &amp; Infrastructure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 t="n"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IFERROR(INDEX(Lists!$U$1:$U$25,MATCH($I471,Lists!$T$1:$T$25,0)),"?")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technology",$C471)),"Head of Technology",IF(ISNUMBER(SEARCH("TDD BP",$C471)),"Business Partner",IF(OR(ISNUMBER(SEARCH("domain architect",$C471)),ISNUMBER(SEARCH("enterprise architect",$C471))),"Architecture",IF($AQ471=1,"Leadership","Squad")))))</f>
        <v>Squad</v>
      </c>
      <c r="AS471" t="str">
        <f>IF(TRIM($B471)="","",IFERROR(INDEX(Lists!$AA:$AA,MATCH($AP471,Lists!$Z:$Z,0)),$AP471))</f>
        <v>Network &amp; Infrastructure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 t="n"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IFERROR(INDEX(Lists!$U$1:$U$25,MATCH($I472,Lists!$T$1:$T$25,0)),"?")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technology",$C472)),"Head of Technology",IF(ISNUMBER(SEARCH("TDD BP",$C472)),"Business Partner",IF(OR(ISNUMBER(SEARCH("domain architect",$C472)),ISNUMBER(SEARCH("enterprise architect",$C472))),"Architecture",IF($AQ472=1,"Leadership","Squad")))))</f>
        <v>Squad</v>
      </c>
      <c r="AS472" t="str">
        <f>IF(TRIM($B472)="","",IFERROR(INDEX(Lists!$AA:$AA,MATCH($AP472,Lists!$Z:$Z,0)),$AP472))</f>
        <v>Network &amp; Infrastructure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 t="n"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IFERROR(INDEX(Lists!$U$1:$U$25,MATCH($I473,Lists!$T$1:$T$25,0)),"?")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technology",$C473)),"Head of Technology",IF(ISNUMBER(SEARCH("TDD BP",$C473)),"Business Partner",IF(OR(ISNUMBER(SEARCH("domain architect",$C473)),ISNUMBER(SEARCH("enterprise architect",$C473))),"Architecture",IF($AQ473=1,"Leadership","Squad")))))</f>
        <v>Squad</v>
      </c>
      <c r="AS473" t="str">
        <f>IF(TRIM($B473)="","",IFERROR(INDEX(Lists!$AA:$AA,MATCH($AP473,Lists!$Z:$Z,0)),$AP473))</f>
        <v>Network &amp; Infrastructure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 t="n"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IFERROR(INDEX(Lists!$U$1:$U$25,MATCH($I474,Lists!$T$1:$T$25,0)),"?")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technology",$C474)),"Head of Technology",IF(ISNUMBER(SEARCH("TDD BP",$C474)),"Business Partner",IF(OR(ISNUMBER(SEARCH("domain architect",$C474)),ISNUMBER(SEARCH("enterprise architect",$C474))),"Architecture",IF($AQ474=1,"Leadership","Squad")))))</f>
        <v>Squad</v>
      </c>
      <c r="AS474" t="str">
        <f>IF(TRIM($B474)="","",IFERROR(INDEX(Lists!$AA:$AA,MATCH($AP474,Lists!$Z:$Z,0)),$AP474))</f>
        <v>Network &amp; Infrastructure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 t="n"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IFERROR(INDEX(Lists!$U$1:$U$25,MATCH($I475,Lists!$T$1:$T$25,0)),"?")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technology",$C475)),"Head of Technology",IF(ISNUMBER(SEARCH("TDD BP",$C475)),"Business Partner",IF(OR(ISNUMBER(SEARCH("domain architect",$C475)),ISNUMBER(SEARCH("enterprise architect",$C475))),"Architecture",IF($AQ475=1,"Leadership","Squad")))))</f>
        <v>Squad</v>
      </c>
      <c r="AS475" t="str">
        <f>IF(TRIM($B475)="","",IFERROR(INDEX(Lists!$AA:$AA,MATCH($AP475,Lists!$Z:$Z,0)),$AP475))</f>
        <v>Network &amp; Infrastructure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 t="n"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IFERROR(INDEX(Lists!$U$1:$U$25,MATCH($I476,Lists!$T$1:$T$25,0)),"?")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technology",$C476)),"Head of Technology",IF(ISNUMBER(SEARCH("TDD BP",$C476)),"Business Partner",IF(OR(ISNUMBER(SEARCH("domain architect",$C476)),ISNUMBER(SEARCH("enterprise architect",$C476))),"Architecture",IF($AQ476=1,"Leadership","Squad")))))</f>
        <v>Squad</v>
      </c>
      <c r="AS476" t="str">
        <f>IF(TRIM($B476)="","",IFERROR(INDEX(Lists!$AA:$AA,MATCH($AP476,Lists!$Z:$Z,0)),$AP476))</f>
        <v>Network &amp; Infrastructure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 t="n"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IFERROR(INDEX(Lists!$U$1:$U$25,MATCH($I477,Lists!$T$1:$T$25,0)),"?")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technology",$C477)),"Head of Technology",IF(ISNUMBER(SEARCH("TDD BP",$C477)),"Business Partner",IF(OR(ISNUMBER(SEARCH("domain architect",$C477)),ISNUMBER(SEARCH("enterprise architect",$C477))),"Architecture",IF($AQ477=1,"Leadership","Squad")))))</f>
        <v>Squad</v>
      </c>
      <c r="AS477" t="str">
        <f>IF(TRIM($B477)="","",IFERROR(INDEX(Lists!$AA:$AA,MATCH($AP477,Lists!$Z:$Z,0)),$AP477))</f>
        <v>Network &amp; Infrastructure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 t="n"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IFERROR(INDEX(Lists!$U$1:$U$25,MATCH($I478,Lists!$T$1:$T$25,0)),"?")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technology",$C478)),"Head of Technology",IF(ISNUMBER(SEARCH("TDD BP",$C478)),"Business Partner",IF(OR(ISNUMBER(SEARCH("domain architect",$C478)),ISNUMBER(SEARCH("enterprise architect",$C478))),"Architecture",IF($AQ478=1,"Leadership","Squad")))))</f>
        <v>Squad</v>
      </c>
      <c r="AS478" t="str">
        <f>IF(TRIM($B478)="","",IFERROR(INDEX(Lists!$AA:$AA,MATCH($AP478,Lists!$Z:$Z,0)),$AP478))</f>
        <v>Network &amp; Infrastructure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 t="n"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IFERROR(INDEX(Lists!$U$1:$U$25,MATCH($I479,Lists!$T$1:$T$25,0)),"?")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technology",$C479)),"Head of Technology",IF(ISNUMBER(SEARCH("TDD BP",$C479)),"Business Partner",IF(OR(ISNUMBER(SEARCH("domain architect",$C479)),ISNUMBER(SEARCH("enterprise architect",$C479))),"Architecture",IF($AQ479=1,"Leadership","Squad")))))</f>
        <v>Squad</v>
      </c>
      <c r="AS479" t="str">
        <f>IF(TRIM($B479)="","",IFERROR(INDEX(Lists!$AA:$AA,MATCH($AP479,Lists!$Z:$Z,0)),$AP479))</f>
        <v>DevOps &amp; Engineering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 t="n"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IFERROR(INDEX(Lists!$U$1:$U$25,MATCH($I480,Lists!$T$1:$T$25,0)),"?")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technology",$C480)),"Head of Technology",IF(ISNUMBER(SEARCH("TDD BP",$C480)),"Business Partner",IF(OR(ISNUMBER(SEARCH("domain architect",$C480)),ISNUMBER(SEARCH("enterprise architect",$C480))),"Architecture",IF($AQ480=1,"Leadership","Squad")))))</f>
        <v>Squad</v>
      </c>
      <c r="AS480" t="str">
        <f>IF(TRIM($B480)="","",IFERROR(INDEX(Lists!$AA:$AA,MATCH($AP480,Lists!$Z:$Z,0)),$AP480))</f>
        <v>DevOps &amp; Engineering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 t="n"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IFERROR(INDEX(Lists!$U$1:$U$25,MATCH($I481,Lists!$T$1:$T$25,0)),"?")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technology",$C481)),"Head of Technology",IF(ISNUMBER(SEARCH("TDD BP",$C481)),"Business Partner",IF(OR(ISNUMBER(SEARCH("domain architect",$C481)),ISNUMBER(SEARCH("enterprise architect",$C481))),"Architecture",IF($AQ481=1,"Leadership","Squad")))))</f>
        <v>Squad</v>
      </c>
      <c r="AS481" t="str">
        <f>IF(TRIM($B481)="","",IFERROR(INDEX(Lists!$AA:$AA,MATCH($AP481,Lists!$Z:$Z,0)),$AP481))</f>
        <v>DevOps &amp; Engineering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 t="n"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IFERROR(INDEX(Lists!$U$1:$U$25,MATCH($I482,Lists!$T$1:$T$25,0)),"?")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technology",$C482)),"Head of Technology",IF(ISNUMBER(SEARCH("TDD BP",$C482)),"Business Partner",IF(OR(ISNUMBER(SEARCH("domain architect",$C482)),ISNUMBER(SEARCH("enterprise architect",$C482))),"Architecture",IF($AQ482=1,"Leadership","Squad")))))</f>
        <v>Squad</v>
      </c>
      <c r="AS482" t="str">
        <f>IF(TRIM($B482)="","",IFERROR(INDEX(Lists!$AA:$AA,MATCH($AP482,Lists!$Z:$Z,0)),$AP482))</f>
        <v>DevOps &amp; Engineering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 t="n"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IFERROR(INDEX(Lists!$U$1:$U$25,MATCH($I483,Lists!$T$1:$T$25,0)),"?")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technology",$C483)),"Head of Technology",IF(ISNUMBER(SEARCH("TDD BP",$C483)),"Business Partner",IF(OR(ISNUMBER(SEARCH("domain architect",$C483)),ISNUMBER(SEARCH("enterprise architect",$C483))),"Architecture",IF($AQ483=1,"Leadership","Squad")))))</f>
        <v>Squad</v>
      </c>
      <c r="AS483" t="str">
        <f>IF(TRIM($B483)="","",IFERROR(INDEX(Lists!$AA:$AA,MATCH($AP483,Lists!$Z:$Z,0)),$AP483))</f>
        <v>Integration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 t="n"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IFERROR(INDEX(Lists!$U$1:$U$25,MATCH($I484,Lists!$T$1:$T$25,0)),"?")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technology",$C484)),"Head of Technology",IF(ISNUMBER(SEARCH("TDD BP",$C484)),"Business Partner",IF(OR(ISNUMBER(SEARCH("domain architect",$C484)),ISNUMBER(SEARCH("enterprise architect",$C484))),"Architecture",IF($AQ484=1,"Leadership","Squad")))))</f>
        <v>Squad</v>
      </c>
      <c r="AS484" t="str">
        <f>IF(TRIM($B484)="","",IFERROR(INDEX(Lists!$AA:$AA,MATCH($AP484,Lists!$Z:$Z,0)),$AP484))</f>
        <v>Integration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 t="n"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IFERROR(INDEX(Lists!$U$1:$U$25,MATCH($I485,Lists!$T$1:$T$25,0)),"?")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technology",$C485)),"Head of Technology",IF(ISNUMBER(SEARCH("TDD BP",$C485)),"Business Partner",IF(OR(ISNUMBER(SEARCH("domain architect",$C485)),ISNUMBER(SEARCH("enterprise architect",$C485))),"Architecture",IF($AQ485=1,"Leadership","Squad")))))</f>
        <v>Squad</v>
      </c>
      <c r="AS485" t="str">
        <f>IF(TRIM($B485)="","",IFERROR(INDEX(Lists!$AA:$AA,MATCH($AP485,Lists!$Z:$Z,0)),$AP485))</f>
        <v>Integration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 t="n"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IFERROR(INDEX(Lists!$U$1:$U$25,MATCH($I486,Lists!$T$1:$T$25,0)),"?")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technology",$C486)),"Head of Technology",IF(ISNUMBER(SEARCH("TDD BP",$C486)),"Business Partner",IF(OR(ISNUMBER(SEARCH("domain architect",$C486)),ISNUMBER(SEARCH("enterprise architect",$C486))),"Architecture",IF($AQ486=1,"Leadership","Squad")))))</f>
        <v>Squad</v>
      </c>
      <c r="AS486" t="str">
        <f>IF(TRIM($B486)="","",IFERROR(INDEX(Lists!$AA:$AA,MATCH($AP486,Lists!$Z:$Z,0)),$AP486))</f>
        <v>Integration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 t="n"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IFERROR(INDEX(Lists!$U$1:$U$25,MATCH($I487,Lists!$T$1:$T$25,0)),"?")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technology",$C487)),"Head of Technology",IF(ISNUMBER(SEARCH("TDD BP",$C487)),"Business Partner",IF(OR(ISNUMBER(SEARCH("domain architect",$C487)),ISNUMBER(SEARCH("enterprise architect",$C487))),"Architecture",IF($AQ487=1,"Leadership","Squad")))))</f>
        <v>Squad</v>
      </c>
      <c r="AS487" t="str">
        <f>IF(TRIM($B487)="","",IFERROR(INDEX(Lists!$AA:$AA,MATCH($AP487,Lists!$Z:$Z,0)),$AP487))</f>
        <v>Integration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 t="n"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IFERROR(INDEX(Lists!$U$1:$U$25,MATCH($I488,Lists!$T$1:$T$25,0)),"?")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technology",$C488)),"Head of Technology",IF(ISNUMBER(SEARCH("TDD BP",$C488)),"Business Partner",IF(OR(ISNUMBER(SEARCH("domain architect",$C488)),ISNUMBER(SEARCH("enterprise architect",$C488))),"Architecture",IF($AQ488=1,"Leadership","Squad")))))</f>
        <v>Squad</v>
      </c>
      <c r="AS488" t="str">
        <f>IF(TRIM($B488)="","",IFERROR(INDEX(Lists!$AA:$AA,MATCH($AP488,Lists!$Z:$Z,0)),$AP488))</f>
        <v>Integration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 t="n"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IFERROR(INDEX(Lists!$U$1:$U$25,MATCH($I489,Lists!$T$1:$T$25,0)),"?")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technology",$C489)),"Head of Technology",IF(ISNUMBER(SEARCH("TDD BP",$C489)),"Business Partner",IF(OR(ISNUMBER(SEARCH("domain architect",$C489)),ISNUMBER(SEARCH("enterprise architect",$C489))),"Architecture",IF($AQ489=1,"Leadership","Squad")))))</f>
        <v>Squad</v>
      </c>
      <c r="AS489" t="str">
        <f>IF(TRIM($B489)="","",IFERROR(INDEX(Lists!$AA:$AA,MATCH($AP489,Lists!$Z:$Z,0)),$AP489))</f>
        <v>Integration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 t="n"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IFERROR(INDEX(Lists!$U$1:$U$25,MATCH($I490,Lists!$T$1:$T$25,0)),"?")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technology",$C490)),"Head of Technology",IF(ISNUMBER(SEARCH("TDD BP",$C490)),"Business Partner",IF(OR(ISNUMBER(SEARCH("domain architect",$C490)),ISNUMBER(SEARCH("enterprise architect",$C490))),"Architecture",IF($AQ490=1,"Leadership","Squad")))))</f>
        <v>Squad</v>
      </c>
      <c r="AS490" t="str">
        <f>IF(TRIM($B490)="","",IFERROR(INDEX(Lists!$AA:$AA,MATCH($AP490,Lists!$Z:$Z,0)),$AP490))</f>
        <v>Integration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 t="n"/>
      <c r="AB491" s="423" t="n"/>
      <c r="AC491" s="423" t="n"/>
      <c r="AD491" s="741" t="n"/>
      <c r="AE491" s="741" t="n"/>
      <c r="AF491" s="741" t="n"/>
      <c r="AG491" s="741" t="n"/>
      <c r="AH491" s="741" t="n"/>
      <c r="AI491" s="741" t="n"/>
      <c r="AJ491" s="949" t="str">
        <f>IFERROR(INDEX(Lists!$U$1:$U$25,MATCH($I491,Lists!$T$1:$T$25,0)),"?")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technology",$C491)),"Head of Technology",IF(ISNUMBER(SEARCH("TDD BP",$C491)),"Business Partner",IF(OR(ISNUMBER(SEARCH("domain architect",$C491)),ISNUMBER(SEARCH("enterprise architect",$C491))),"Architecture",IF($AQ491=1,"Leadership","Squad")))))</f>
        <v>Squad</v>
      </c>
      <c r="AS491" t="str">
        <f>IF(TRIM($B491)="","",IFERROR(INDEX(Lists!$AA:$AA,MATCH($AP491,Lists!$Z:$Z,0)),$AP491))</f>
        <v>Integration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 t="n"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IFERROR(INDEX(Lists!$U$1:$U$25,MATCH($I492,Lists!$T$1:$T$25,0)),"?")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technology",$C492)),"Head of Technology",IF(ISNUMBER(SEARCH("TDD BP",$C492)),"Business Partner",IF(OR(ISNUMBER(SEARCH("domain architect",$C492)),ISNUMBER(SEARCH("enterprise architect",$C492))),"Architecture",IF($AQ492=1,"Leadership","Squad")))))</f>
        <v>Squad</v>
      </c>
      <c r="AS492" t="str">
        <f>IF(TRIM($B492)="","",IFERROR(INDEX(Lists!$AA:$AA,MATCH($AP492,Lists!$Z:$Z,0)),$AP492))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 t="n"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IFERROR(INDEX(Lists!$U$1:$U$25,MATCH($I493,Lists!$T$1:$T$25,0)),"?")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technology",$C493)),"Head of Technology",IF(ISNUMBER(SEARCH("TDD BP",$C493)),"Business Partner",IF(OR(ISNUMBER(SEARCH("domain architect",$C493)),ISNUMBER(SEARCH("enterprise architect",$C493))),"Architecture",IF($AQ493=1,"Leadership","Squad")))))</f>
        <v>Squad</v>
      </c>
      <c r="AS493" t="str">
        <f>IF(TRIM($B493)="","",IFERROR(INDEX(Lists!$AA:$AA,MATCH($AP493,Lists!$Z:$Z,0)),$AP493))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 t="n"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IFERROR(INDEX(Lists!$U$1:$U$25,MATCH($I494,Lists!$T$1:$T$25,0)),"?")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technology",$C494)),"Head of Technology",IF(ISNUMBER(SEARCH("TDD BP",$C494)),"Business Partner",IF(OR(ISNUMBER(SEARCH("domain architect",$C494)),ISNUMBER(SEARCH("enterprise architect",$C494))),"Architecture",IF($AQ494=1,"Leadership","Squad")))))</f>
        <v>Squad</v>
      </c>
      <c r="AS494" t="str">
        <f>IF(TRIM($B494)="","",IFERROR(INDEX(Lists!$AA:$AA,MATCH($AP494,Lists!$Z:$Z,0)),$AP494))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 t="n"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IFERROR(INDEX(Lists!$U$1:$U$25,MATCH($I495,Lists!$T$1:$T$25,0)),"?")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technology",$C495)),"Head of Technology",IF(ISNUMBER(SEARCH("TDD BP",$C495)),"Business Partner",IF(OR(ISNUMBER(SEARCH("domain architect",$C495)),ISNUMBER(SEARCH("enterprise architect",$C495))),"Architecture",IF($AQ495=1,"Leadership","Squad")))))</f>
        <v>Squad</v>
      </c>
      <c r="AS495" t="str">
        <f>IF(TRIM($B495)="","",IFERROR(INDEX(Lists!$AA:$AA,MATCH($AP495,Lists!$Z:$Z,0)),$AP495))</f>
        <v>AU Finance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 t="n"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IFERROR(INDEX(Lists!$U$1:$U$25,MATCH($I496,Lists!$T$1:$T$25,0)),"?")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technology",$C496)),"Head of Technology",IF(ISNUMBER(SEARCH("TDD BP",$C496)),"Business Partner",IF(OR(ISNUMBER(SEARCH("domain architect",$C496)),ISNUMBER(SEARCH("enterprise architect",$C496))),"Architecture",IF($AQ496=1,"Leadership","Squad")))))</f>
        <v>Squad</v>
      </c>
      <c r="AS496" t="str">
        <f>IF(TRIM($B496)="","",IFERROR(INDEX(Lists!$AA:$AA,MATCH($AP496,Lists!$Z:$Z,0)),$AP496))</f>
        <v>AU Finance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 t="n"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IFERROR(INDEX(Lists!$U$1:$U$25,MATCH($I497,Lists!$T$1:$T$25,0)),"?")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technology",$C497)),"Head of Technology",IF(ISNUMBER(SEARCH("TDD BP",$C497)),"Business Partner",IF(OR(ISNUMBER(SEARCH("domain architect",$C497)),ISNUMBER(SEARCH("enterprise architect",$C497))),"Architecture",IF($AQ497=1,"Leadership","Squad")))))</f>
        <v>Squad</v>
      </c>
      <c r="AS497" t="str">
        <f>IF(TRIM($B497)="","",IFERROR(INDEX(Lists!$AA:$AA,MATCH($AP497,Lists!$Z:$Z,0)),$AP497))</f>
        <v>AU Finance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 t="n"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IFERROR(INDEX(Lists!$U$1:$U$25,MATCH($I498,Lists!$T$1:$T$25,0)),"?")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technology",$C498)),"Head of Technology",IF(ISNUMBER(SEARCH("TDD BP",$C498)),"Business Partner",IF(OR(ISNUMBER(SEARCH("domain architect",$C498)),ISNUMBER(SEARCH("enterprise architect",$C498))),"Architecture",IF($AQ498=1,"Leadership","Squad")))))</f>
        <v>Squad</v>
      </c>
      <c r="AS498" t="str">
        <f>IF(TRIM($B498)="","",IFERROR(INDEX(Lists!$AA:$AA,MATCH($AP498,Lists!$Z:$Z,0)),$AP498))</f>
        <v>AU Finance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 t="n"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IFERROR(INDEX(Lists!$U$1:$U$25,MATCH($I499,Lists!$T$1:$T$25,0)),"?")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technology",$C499)),"Head of Technology",IF(ISNUMBER(SEARCH("TDD BP",$C499)),"Business Partner",IF(OR(ISNUMBER(SEARCH("domain architect",$C499)),ISNUMBER(SEARCH("enterprise architect",$C499))),"Architecture",IF($AQ499=1,"Leadership","Squad")))))</f>
        <v>Squad</v>
      </c>
      <c r="AS499" t="str">
        <f>IF(TRIM($B499)="","",IFERROR(INDEX(Lists!$AA:$AA,MATCH($AP499,Lists!$Z:$Z,0)),$AP499))</f>
        <v>AU Finance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 t="n"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IFERROR(INDEX(Lists!$U$1:$U$25,MATCH($I500,Lists!$T$1:$T$25,0)),"?")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technology",$C500)),"Head of Technology",IF(ISNUMBER(SEARCH("TDD BP",$C500)),"Business Partner",IF(OR(ISNUMBER(SEARCH("domain architect",$C500)),ISNUMBER(SEARCH("enterprise architect",$C500))),"Architecture",IF($AQ500=1,"Leadership","Squad")))))</f>
        <v>Squad</v>
      </c>
      <c r="AS500" t="str">
        <f>IF(TRIM($B500)="","",IFERROR(INDEX(Lists!$AA:$AA,MATCH($AP500,Lists!$Z:$Z,0)),$AP500))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 t="n"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IFERROR(INDEX(Lists!$U$1:$U$25,MATCH($I501,Lists!$T$1:$T$25,0)),"?")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technology",$C501)),"Head of Technology",IF(ISNUMBER(SEARCH("TDD BP",$C501)),"Business Partner",IF(OR(ISNUMBER(SEARCH("domain architect",$C501)),ISNUMBER(SEARCH("enterprise architect",$C501))),"Architecture",IF($AQ501=1,"Leadership","Squad")))))</f>
        <v>Squad</v>
      </c>
      <c r="AS501" t="str">
        <f>IF(TRIM($B501)="","",IFERROR(INDEX(Lists!$AA:$AA,MATCH($AP501,Lists!$Z:$Z,0)),$AP501))</f>
        <v>AU Finance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 t="n"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IFERROR(INDEX(Lists!$U$1:$U$25,MATCH($I502,Lists!$T$1:$T$25,0)),"?")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technology",$C502)),"Head of Technology",IF(ISNUMBER(SEARCH("TDD BP",$C502)),"Business Partner",IF(OR(ISNUMBER(SEARCH("domain architect",$C502)),ISNUMBER(SEARCH("enterprise architect",$C502))),"Architecture",IF($AQ502=1,"Leadership","Squad")))))</f>
        <v>Squad</v>
      </c>
      <c r="AS502" t="str">
        <f>IF(TRIM($B502)="","",IFERROR(INDEX(Lists!$AA:$AA,MATCH($AP502,Lists!$Z:$Z,0)),$AP502))</f>
        <v>P&amp;C -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 t="n"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IFERROR(INDEX(Lists!$U$1:$U$25,MATCH($I503,Lists!$T$1:$T$25,0)),"?")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technology",$C503)),"Head of Technology",IF(ISNUMBER(SEARCH("TDD BP",$C503)),"Business Partner",IF(OR(ISNUMBER(SEARCH("domain architect",$C503)),ISNUMBER(SEARCH("enterprise architect",$C503))),"Architecture",IF($AQ503=1,"Leadership","Squad")))))</f>
        <v>Squad</v>
      </c>
      <c r="AS503" t="str">
        <f>IF(TRIM($B503)="","",IFERROR(INDEX(Lists!$AA:$AA,MATCH($AP503,Lists!$Z:$Z,0)),$AP503))</f>
        <v>P&amp;C -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 t="n"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IFERROR(INDEX(Lists!$U$1:$U$25,MATCH($I504,Lists!$T$1:$T$25,0)),"?")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technology",$C504)),"Head of Technology",IF(ISNUMBER(SEARCH("TDD BP",$C504)),"Business Partner",IF(OR(ISNUMBER(SEARCH("domain architect",$C504)),ISNUMBER(SEARCH("enterprise architect",$C504))),"Architecture",IF($AQ504=1,"Leadership","Squad")))))</f>
        <v>Squad</v>
      </c>
      <c r="AS504" t="str">
        <f>IF(TRIM($B504)="","",IFERROR(INDEX(Lists!$AA:$AA,MATCH($AP504,Lists!$Z:$Z,0)),$AP504))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 t="n"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IFERROR(INDEX(Lists!$U$1:$U$25,MATCH($I505,Lists!$T$1:$T$25,0)),"?")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technology",$C505)),"Head of Technology",IF(ISNUMBER(SEARCH("TDD BP",$C505)),"Business Partner",IF(OR(ISNUMBER(SEARCH("domain architect",$C505)),ISNUMBER(SEARCH("enterprise architect",$C505))),"Architecture",IF($AQ505=1,"Leadership","Squad")))))</f>
        <v>Squad</v>
      </c>
      <c r="AS505" t="str">
        <f>IF(TRIM($B505)="","",IFERROR(INDEX(Lists!$AA:$AA,MATCH($AP505,Lists!$Z:$Z,0)),$AP505))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 t="n"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IFERROR(INDEX(Lists!$U$1:$U$25,MATCH($I506,Lists!$T$1:$T$25,0)),"?")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technology",$C506)),"Head of Technology",IF(ISNUMBER(SEARCH("TDD BP",$C506)),"Business Partner",IF(OR(ISNUMBER(SEARCH("domain architect",$C506)),ISNUMBER(SEARCH("enterprise architect",$C506))),"Architecture",IF($AQ506=1,"Leadership","Squad")))))</f>
        <v>Squad</v>
      </c>
      <c r="AS506" t="str">
        <f>IF(TRIM($B506)="","",IFERROR(INDEX(Lists!$AA:$AA,MATCH($AP506,Lists!$Z:$Z,0)),$AP506))</f>
        <v>P&amp;C -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 t="n"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IFERROR(INDEX(Lists!$U$1:$U$25,MATCH($I507,Lists!$T$1:$T$25,0)),"?")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technology",$C507)),"Head of Technology",IF(ISNUMBER(SEARCH("TDD BP",$C507)),"Business Partner",IF(OR(ISNUMBER(SEARCH("domain architect",$C507)),ISNUMBER(SEARCH("enterprise architect",$C507))),"Architecture",IF($AQ507=1,"Leadership","Squad")))))</f>
        <v>Squad</v>
      </c>
      <c r="AS507" t="str">
        <f>IF(TRIM($B507)="","",IFERROR(INDEX(Lists!$AA:$AA,MATCH($AP507,Lists!$Z:$Z,0)),$AP507))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 t="n"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IFERROR(INDEX(Lists!$U$1:$U$25,MATCH($I508,Lists!$T$1:$T$25,0)),"?")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technology",$C508)),"Head of Technology",IF(ISNUMBER(SEARCH("TDD BP",$C508)),"Business Partner",IF(OR(ISNUMBER(SEARCH("domain architect",$C508)),ISNUMBER(SEARCH("enterprise architect",$C508))),"Architecture",IF($AQ508=1,"Leadership","Squad")))))</f>
        <v>Squad</v>
      </c>
      <c r="AS508" t="str">
        <f>IF(TRIM($B508)="","",IFERROR(INDEX(Lists!$AA:$AA,MATCH($AP508,Lists!$Z:$Z,0)),$AP508))</f>
        <v>P&amp;C -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 t="n"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IFERROR(INDEX(Lists!$U$1:$U$25,MATCH($I509,Lists!$T$1:$T$25,0)),"?")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technology",$C509)),"Head of Technology",IF(ISNUMBER(SEARCH("TDD BP",$C509)),"Business Partner",IF(OR(ISNUMBER(SEARCH("domain architect",$C509)),ISNUMBER(SEARCH("enterprise architect",$C509))),"Architecture",IF($AQ509=1,"Leadership","Squad")))))</f>
        <v>Squad</v>
      </c>
      <c r="AS509" t="str">
        <f>IF(TRIM($B509)="","",IFERROR(INDEX(Lists!$AA:$AA,MATCH($AP509,Lists!$Z:$Z,0)),$AP509))</f>
        <v>P&amp;C -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 t="n"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IFERROR(INDEX(Lists!$U$1:$U$25,MATCH($I510,Lists!$T$1:$T$25,0)),"?")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technology",$C510)),"Head of Technology",IF(ISNUMBER(SEARCH("TDD BP",$C510)),"Business Partner",IF(OR(ISNUMBER(SEARCH("domain architect",$C510)),ISNUMBER(SEARCH("enterprise architect",$C510))),"Architecture",IF($AQ510=1,"Leadership","Squad")))))</f>
        <v>Leadership</v>
      </c>
      <c r="AS510" t="str">
        <f>IF(TRIM($B510)="","",IFERROR(INDEX(Lists!$AA:$AA,MATCH($AP510,Lists!$Z:$Z,0)),$AP510))</f>
        <v>Leadership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 t="n"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IFERROR(INDEX(Lists!$U$1:$U$25,MATCH($I511,Lists!$T$1:$T$25,0)),"?")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technology",$C511)),"Head of Technology",IF(ISNUMBER(SEARCH("TDD BP",$C511)),"Business Partner",IF(OR(ISNUMBER(SEARCH("domain architect",$C511)),ISNUMBER(SEARCH("enterprise architect",$C511))),"Architecture",IF($AQ511=1,"Leadership","Squad")))))</f>
        <v>Leadership</v>
      </c>
      <c r="AS511" t="str">
        <f>IF(TRIM($B511)="","",IFERROR(INDEX(Lists!$AA:$AA,MATCH($AP511,Lists!$Z:$Z,0)),$AP511))</f>
        <v>Leadership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 t="n"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IFERROR(INDEX(Lists!$U$1:$U$25,MATCH($I512,Lists!$T$1:$T$25,0)),"?")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technology",$C512)),"Head of Technology",IF(ISNUMBER(SEARCH("TDD BP",$C512)),"Business Partner",IF(OR(ISNUMBER(SEARCH("domain architect",$C512)),ISNUMBER(SEARCH("enterprise architect",$C512))),"Architecture",IF($AQ512=1,"Leadership","Squad")))))</f>
        <v>Head of Technology</v>
      </c>
      <c r="AS512" t="str">
        <f>IF(TRIM($B512)="","",IFERROR(INDEX(Lists!$AA:$AA,MATCH($AP512,Lists!$Z:$Z,0)),$AP512))</f>
        <v>Leadership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 t="n"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IFERROR(INDEX(Lists!$U$1:$U$25,MATCH($I513,Lists!$T$1:$T$25,0)),"?")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technology",$C513)),"Head of Technology",IF(ISNUMBER(SEARCH("TDD BP",$C513)),"Business Partner",IF(OR(ISNUMBER(SEARCH("domain architect",$C513)),ISNUMBER(SEARCH("enterprise architect",$C513))),"Architecture",IF($AQ513=1,"Leadership","Squad")))))</f>
        <v>Squad</v>
      </c>
      <c r="AS513" t="str">
        <f>IF(TRIM($B513)="","",IFERROR(INDEX(Lists!$AA:$AA,MATCH($AP513,Lists!$Z:$Z,0)),$AP513))</f>
        <v>Network &amp; Infrastructure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 t="n"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IFERROR(INDEX(Lists!$U$1:$U$25,MATCH($I514,Lists!$T$1:$T$25,0)),"?")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technology",$C514)),"Head of Technology",IF(ISNUMBER(SEARCH("TDD BP",$C514)),"Business Partner",IF(OR(ISNUMBER(SEARCH("domain architect",$C514)),ISNUMBER(SEARCH("enterprise architect",$C514))),"Architecture",IF($AQ514=1,"Leadership","Squad")))))</f>
        <v>Squad</v>
      </c>
      <c r="AS514" t="str">
        <f>IF(TRIM($B514)="","",IFERROR(INDEX(Lists!$AA:$AA,MATCH($AP514,Lists!$Z:$Z,0)),$AP514))</f>
        <v>Integration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 t="n"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IFERROR(INDEX(Lists!$U$1:$U$25,MATCH($I515,Lists!$T$1:$T$25,0)),"?")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technology",$C515)),"Head of Technology",IF(ISNUMBER(SEARCH("TDD BP",$C515)),"Business Partner",IF(OR(ISNUMBER(SEARCH("domain architect",$C515)),ISNUMBER(SEARCH("enterprise architect",$C515))),"Architecture",IF($AQ515=1,"Leadership","Squad")))))</f>
        <v>Squad</v>
      </c>
      <c r="AS515" t="str">
        <f>IF(TRIM($B515)="","",IFERROR(INDEX(Lists!$AA:$AA,MATCH($AP515,Lists!$Z:$Z,0)),$AP515))</f>
        <v>DevOps &amp; Engineering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 t="n"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IFERROR(INDEX(Lists!$U$1:$U$25,MATCH($I516,Lists!$T$1:$T$25,0)),"?")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technology",$C516)),"Head of Technology",IF(ISNUMBER(SEARCH("TDD BP",$C516)),"Business Partner",IF(OR(ISNUMBER(SEARCH("domain architect",$C516)),ISNUMBER(SEARCH("enterprise architect",$C516))),"Architecture",IF($AQ516=1,"Leadership","Squad")))))</f>
        <v>Squad</v>
      </c>
      <c r="AS516" t="str">
        <f>IF(TRIM($B516)="","",IFERROR(INDEX(Lists!$AA:$AA,MATCH($AP516,Lists!$Z:$Z,0)),$AP516))</f>
        <v>Integration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 t="n"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IFERROR(INDEX(Lists!$U$1:$U$25,MATCH($I517,Lists!$T$1:$T$25,0)),"?")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technology",$C517)),"Head of Technology",IF(ISNUMBER(SEARCH("TDD BP",$C517)),"Business Partner",IF(OR(ISNUMBER(SEARCH("domain architect",$C517)),ISNUMBER(SEARCH("enterprise architect",$C517))),"Architecture",IF($AQ517=1,"Leadership","Squad")))))</f>
        <v>Squad</v>
      </c>
      <c r="AS517" t="str">
        <f>IF(TRIM($B517)="","",IFERROR(INDEX(Lists!$AA:$AA,MATCH($AP517,Lists!$Z:$Z,0)),$AP517))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 t="n"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IFERROR(INDEX(Lists!$U$1:$U$25,MATCH($I518,Lists!$T$1:$T$25,0)),"?")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technology",$C518)),"Head of Technology",IF(ISNUMBER(SEARCH("TDD BP",$C518)),"Business Partner",IF(OR(ISNUMBER(SEARCH("domain architect",$C518)),ISNUMBER(SEARCH("enterprise architect",$C518))),"Architecture",IF($AQ518=1,"Leadership","Squad")))))</f>
        <v>Leadership</v>
      </c>
      <c r="AS518" t="str">
        <f>IF(TRIM($B518)="","",IFERROR(INDEX(Lists!$AA:$AA,MATCH($AP518,Lists!$Z:$Z,0)),$AP518))</f>
        <v>Leadership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 t="n"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IFERROR(INDEX(Lists!$U$1:$U$25,MATCH($I519,Lists!$T$1:$T$25,0)),"?")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technology",$C519)),"Head of Technology",IF(ISNUMBER(SEARCH("TDD BP",$C519)),"Business Partner",IF(OR(ISNUMBER(SEARCH("domain architect",$C519)),ISNUMBER(SEARCH("enterprise architect",$C519))),"Architecture",IF($AQ519=1,"Leadership","Squad")))))</f>
        <v>Squad</v>
      </c>
      <c r="AS519" t="str">
        <f>IF(TRIM($B519)="","",IFERROR(INDEX(Lists!$AA:$AA,MATCH($AP519,Lists!$Z:$Z,0)),$AP519))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 t="n"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IFERROR(INDEX(Lists!$U$1:$U$25,MATCH($I520,Lists!$T$1:$T$25,0)),"?")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technology",$C520)),"Head of Technology",IF(ISNUMBER(SEARCH("TDD BP",$C520)),"Business Partner",IF(OR(ISNUMBER(SEARCH("domain architect",$C520)),ISNUMBER(SEARCH("enterprise architect",$C520))),"Architecture",IF($AQ520=1,"Leadership","Squad")))))</f>
        <v>Squad</v>
      </c>
      <c r="AS520" t="str">
        <f>IF(TRIM($B520)="","",IFERROR(INDEX(Lists!$AA:$AA,MATCH($AP520,Lists!$Z:$Z,0)),$AP520))</f>
        <v>DevOps &amp; Engineering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 t="n"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IFERROR(INDEX(Lists!$U$1:$U$25,MATCH($I521,Lists!$T$1:$T$25,0)),"?")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technology",$C521)),"Head of Technology",IF(ISNUMBER(SEARCH("TDD BP",$C521)),"Business Partner",IF(OR(ISNUMBER(SEARCH("domain architect",$C521)),ISNUMBER(SEARCH("enterprise architect",$C521))),"Architecture",IF($AQ521=1,"Leadership","Squad")))))</f>
        <v>Squad</v>
      </c>
      <c r="AS521" t="str">
        <f>IF(TRIM($B521)="","",IFERROR(INDEX(Lists!$AA:$AA,MATCH($AP521,Lists!$Z:$Z,0)),$AP521))</f>
        <v>DevOps &amp; Engineering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 t="n"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IFERROR(INDEX(Lists!$U$1:$U$25,MATCH($I522,Lists!$T$1:$T$25,0)),"?")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technology",$C522)),"Head of Technology",IF(ISNUMBER(SEARCH("TDD BP",$C522)),"Business Partner",IF(OR(ISNUMBER(SEARCH("domain architect",$C522)),ISNUMBER(SEARCH("enterprise architect",$C522))),"Architecture",IF($AQ522=1,"Leadership","Squad")))))</f>
        <v>Squad</v>
      </c>
      <c r="AS522" t="str">
        <f>IF(TRIM($B522)="","",IFERROR(INDEX(Lists!$AA:$AA,MATCH($AP522,Lists!$Z:$Z,0)),$AP522))</f>
        <v>DevOps &amp; Engineering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 t="n"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IFERROR(INDEX(Lists!$U$1:$U$25,MATCH($I523,Lists!$T$1:$T$25,0)),"?")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technology",$C523)),"Head of Technology",IF(ISNUMBER(SEARCH("TDD BP",$C523)),"Business Partner",IF(OR(ISNUMBER(SEARCH("domain architect",$C523)),ISNUMBER(SEARCH("enterprise architect",$C523))),"Architecture",IF($AQ523=1,"Leadership","Squad")))))</f>
        <v>Leadership</v>
      </c>
      <c r="AS523" t="str">
        <f>IF(TRIM($B523)="","",IFERROR(INDEX(Lists!$AA:$AA,MATCH($AP523,Lists!$Z:$Z,0)),$AP523))</f>
        <v>Leadership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 t="n"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IFERROR(INDEX(Lists!$U$1:$U$25,MATCH($I524,Lists!$T$1:$T$25,0)),"?")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technology",$C524)),"Head of Technology",IF(ISNUMBER(SEARCH("TDD BP",$C524)),"Business Partner",IF(OR(ISNUMBER(SEARCH("domain architect",$C524)),ISNUMBER(SEARCH("enterprise architect",$C524))),"Architecture",IF($AQ524=1,"Leadership","Squad")))))</f>
        <v>Leadership</v>
      </c>
      <c r="AS524" t="str">
        <f>IF(TRIM($B524)="","",IFERROR(INDEX(Lists!$AA:$AA,MATCH($AP524,Lists!$Z:$Z,0)),$AP524))</f>
        <v>Leadership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 t="n"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IFERROR(INDEX(Lists!$U$1:$U$25,MATCH($I525,Lists!$T$1:$T$25,0)),"?")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technology",$C525)),"Head of Technology",IF(ISNUMBER(SEARCH("TDD BP",$C525)),"Business Partner",IF(OR(ISNUMBER(SEARCH("domain architect",$C525)),ISNUMBER(SEARCH("enterprise architect",$C525))),"Architecture",IF($AQ525=1,"Leadership","Squad")))))</f>
        <v>Leadership</v>
      </c>
      <c r="AS525" t="str">
        <f>IF(TRIM($B525)="","",IFERROR(INDEX(Lists!$AA:$AA,MATCH($AP525,Lists!$Z:$Z,0)),$AP525))</f>
        <v>Leadership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 t="n"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IFERROR(INDEX(Lists!$U$1:$U$25,MATCH($I526,Lists!$T$1:$T$25,0)),"?")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technology",$C526)),"Head of Technology",IF(ISNUMBER(SEARCH("TDD BP",$C526)),"Business Partner",IF(OR(ISNUMBER(SEARCH("domain architect",$C526)),ISNUMBER(SEARCH("enterprise architect",$C526))),"Architecture",IF($AQ526=1,"Leadership","Squad")))))</f>
        <v>Squad</v>
      </c>
      <c r="AS526" t="str">
        <f>IF(TRIM($B526)="","",IFERROR(INDEX(Lists!$AA:$AA,MATCH($AP526,Lists!$Z:$Z,0)),$AP526))</f>
        <v>AU Finance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 t="n"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IFERROR(INDEX(Lists!$U$1:$U$25,MATCH($I527,Lists!$T$1:$T$25,0)),"?")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technology",$C527)),"Head of Technology",IF(ISNUMBER(SEARCH("TDD BP",$C527)),"Business Partner",IF(OR(ISNUMBER(SEARCH("domain architect",$C527)),ISNUMBER(SEARCH("enterprise architect",$C527))),"Architecture",IF($AQ527=1,"Leadership","Squad")))))</f>
        <v>Squad</v>
      </c>
      <c r="AS527" t="str">
        <f>IF(TRIM($B527)="","",IFERROR(INDEX(Lists!$AA:$AA,MATCH($AP527,Lists!$Z:$Z,0)),$AP527))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 t="n"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IFERROR(INDEX(Lists!$U$1:$U$25,MATCH($I528,Lists!$T$1:$T$25,0)),"?")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technology",$C528)),"Head of Technology",IF(ISNUMBER(SEARCH("TDD BP",$C528)),"Business Partner",IF(OR(ISNUMBER(SEARCH("domain architect",$C528)),ISNUMBER(SEARCH("enterprise architect",$C528))),"Architecture",IF($AQ528=1,"Leadership","Squad")))))</f>
        <v>Squad</v>
      </c>
      <c r="AS528" t="str">
        <f>IF(TRIM($B528)="","",IFERROR(INDEX(Lists!$AA:$AA,MATCH($AP528,Lists!$Z:$Z,0)),$AP528))</f>
        <v>Unassigned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1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IF(('0.2 Data Config'!$D$11)&gt;('0.2 Data Config'!$C$11),0,'0.2 Data Config'!$L$10)</f>
        <v>0.7975</v>
      </c>
      <c r="D6" s="510">
        <f>IF(('0.2 Data Config'!$D$11)&gt;('0.2 Data Config'!$C$11),'0.2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IF(('0.2 Data Config'!$D$11)&gt;('0.2 Data Config'!$C$11),0,SUM(I29,I36,I49,I55,I61))</f>
        <v>0.66</v>
      </c>
      <c r="D7" s="510">
        <f>IF(('0.2 Data Config'!$D$11)&gt;('0.2 Data Config'!$C$11),SUM(I29,I36,I49,I55,I61),0)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SUMIF(F25:F28,"AU",I25:I28)+SUMIF(F34:F34,"AU",I34:I34)+SUMIF(F48:F48,"AU",I48:I48)+SUMIF(F54:F54,"AU",I54:I54)+SUMIF(F60:F60,"AU",I60:I60)+SUMIF(F66:F66,"AU",I66:I66)</f>
        <v>4.622</v>
      </c>
      <c r="D8" s="510">
        <f>SUMIF(F25:F28,"NZ",I25:I28)+SUMIF(F34:F34,"NZ",I34:I34)+SUMIF(F48:F48,"NZ",I48:I48)+SUMIF(F54:F54,"NZ",I54:I54)+SUMIF(F60:F60,"NZ",I60:I60)+SUMIF(F66:F66,"NZ",I66:I66)</f>
        <v>0</v>
      </c>
      <c r="E8" s="510">
        <f>SUM(J25,J26,J27,J28,J34,J35,J48,J54,J60,J66)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521" t="inlineStr">
        <is>
          <t>Total to fund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TDD Variance</t>
        </is>
      </c>
      <c r="C12" s="1081">
        <f>I8+I9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Other Variance</t>
        </is>
      </c>
      <c r="C13" s="1081">
        <f>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524" t="inlineStr">
        <is>
          <t>Total</t>
        </is>
      </c>
      <c r="C14" s="1082">
        <f>C12+C13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'0.1 Budget Table (Fin)'!L9</f>
        <v>13.9</v>
      </c>
      <c r="J14" s="1084">
        <f>'0.1 Budget Table (Fin)'!G9</f>
        <v>0</v>
      </c>
      <c r="K14" s="990">
        <f>IFERROR(I14-J14,0)</f>
        <v>13.9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'0.1 Budget Table (Fin)'!N9</f>
        <v>1.3</v>
      </c>
      <c r="J15" s="1086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'0.1 Budget Table (Fin)'!P9</f>
        <v>11.8</v>
      </c>
      <c r="J16" s="1086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'0.1 Budget Table (Fin)'!O9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8.184089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'0.1 Budget Table (Fin)'!Q9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092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/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092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1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IF(('0.2 Data Config'!$D$12)&gt;('0.2 Data Config'!$C$12),0,'0.2 Data Config'!$L$10)</f>
        <v>0</v>
      </c>
      <c r="D6" s="510">
        <f>IF(('0.2 Data Config'!$D$12)&gt;('0.2 Data Config'!$C$12),'0.2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IF(('0.2 Data Config'!$C$12)&gt;('0.2 Data Config'!$C$12),SUM(I27,I34,I40),0)</f>
        <v>0</v>
      </c>
      <c r="D7" s="510">
        <f>IF(('0.2 Data Config'!$D$12)&gt;('0.2 Data Config'!$C$12),SUM(I27,I34,I40),0)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SUMIF(F26:F26,"AU",I26:I26)+SUMIF(F32:F33,"AU",I32:I33)</f>
        <v>0</v>
      </c>
      <c r="D8" s="510">
        <f>SUMIF(F26:F26,"NZ",I26:I26)+SUMIF(F32:F33,"NZ",I32:I33)+SUMIF(F39,"NZ",I39:I39)</f>
        <v>5.492</v>
      </c>
      <c r="E8" s="510">
        <f>SUM(J26,J32,J33,J39)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(Fin)'!Q6</f>
        <v>76.6</v>
      </c>
      <c r="F14" s="504" t="n"/>
      <c r="G14" s="442" t="n"/>
      <c r="H14" s="175" t="inlineStr">
        <is>
          <t>Z-Energy Lights On</t>
        </is>
      </c>
      <c r="I14" s="1094">
        <f>'0.1 Budget Table (Fin)'!L6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(Fin)'!N6</f>
        <v>1.4</v>
      </c>
      <c r="J15" s="1096" t="n">
        <v>0</v>
      </c>
      <c r="K15" s="1095">
        <f>IFERROR(I15-J15,0)</f>
        <v>1.4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'0.1 Budget Table (Fin)'!P6</f>
        <v>11.7</v>
      </c>
      <c r="J16" s="1096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TDD Variance</t>
        </is>
      </c>
      <c r="C17" s="1081">
        <f>I8+I9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 t="str">
        <f>'0.1 Budget Table (Fin)'!$O$6</f>
        <v>-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</t>
        </is>
      </c>
      <c r="C18" s="1081">
        <f>-J21</f>
        <v>-0.208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(Fin)'!M6</f>
        <v>11.3</v>
      </c>
      <c r="J18" s="1096" t="n">
        <v>0</v>
      </c>
      <c r="K18" s="1095">
        <f>IFERROR(I18-J18,0)</f>
        <v>11.3</v>
      </c>
      <c r="L18" s="442" t="n"/>
      <c r="M18" s="442" t="n"/>
    </row>
    <row r="19">
      <c r="B19" s="524" t="inlineStr">
        <is>
          <t>Total</t>
        </is>
      </c>
      <c r="C19" s="1097">
        <f>C17+C18</f>
        <v>-0.0884999999999985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59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Config'!$C$14),'0.2 Data Config'!$L$10,0)*0.5</f>
        <v>0.39875</v>
      </c>
      <c r="D6" s="510">
        <f>IF(('0.2 Data Config'!$D$13+'0.2 Data Config'!$D$14)&gt;('0.2 Data Config'!$C$13+'0.2 Data Config'!$C$14),'0.2 Data Config'!$L$10,0)*0.5</f>
        <v>0.39875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Config'!$C$14),SUM(I34,I42,I49),0)</f>
        <v>0.495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0.99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SUMIF(F31:F33,"AU",I31:I33)+SUMIF(F39:F41,"AU",I39:I41)+SUMIF(F47:F48,"AU",I47:I48)+SUMIF(F54:F54,"AU",I54:I54)</f>
        <v>2.04</v>
      </c>
      <c r="D8" s="510">
        <f>SUMIF(F31:F33,"NZ",I31:I33)+SUMIF(F39:F41,"NZ",I39:I41)+SUMIF(F47:F48,"NZ",I47:I48)+SUMIF(F54:F54,"NZ",I54:I54)</f>
        <v>4.317</v>
      </c>
      <c r="E8" s="510">
        <f>SUM(J31,J32,J33,J39,J40,J41,J47,J48,J54)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0.43375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2.93375</v>
      </c>
      <c r="D9" s="518">
        <f>SUM(D6:D8)</f>
        <v>5.21075</v>
      </c>
      <c r="E9" s="518">
        <f>SUM(E6:E8)</f>
        <v>5.92</v>
      </c>
      <c r="F9" s="518">
        <f>SUM(F6:F8)</f>
        <v>14.0645</v>
      </c>
      <c r="G9" s="949" t="n"/>
      <c r="H9" s="549" t="inlineStr">
        <is>
          <t>NZ over/(under) budget ($m)</t>
        </is>
      </c>
      <c r="I9" s="1102">
        <f>D9-I7</f>
        <v>1.21075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1.6445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'0.1 Budget Table (Fin)'!Q13</f>
        <v>11.7</v>
      </c>
      <c r="F14" s="504" t="n"/>
      <c r="G14" s="442" t="n"/>
      <c r="H14" s="473" t="inlineStr">
        <is>
          <t>Customer Lights On</t>
        </is>
      </c>
      <c r="I14" s="1085">
        <f>'0.1 Budget Table (Fin)'!L13</f>
        <v>1.7</v>
      </c>
      <c r="J14" s="1084">
        <f>'0.1 Budget Table (Fin)'!G13</f>
        <v>0</v>
      </c>
      <c r="K14" s="990">
        <f>IFERROR(I14-J14,0)</f>
        <v>1.7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'0.1 Budget Table (Fin)'!N13</f>
        <v>0</v>
      </c>
      <c r="J15" s="1086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'0.1 Budget Table (Fin)'!P13</f>
        <v>5</v>
      </c>
      <c r="J16" s="1086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TDD Variance</t>
        </is>
      </c>
      <c r="C17" s="1081">
        <f>I8+I9</f>
        <v>1.6445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Other Variance</t>
        </is>
      </c>
      <c r="C18" s="1081">
        <f>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'0.1 Budget Table (Fin)'!O13</f>
        <v>5</v>
      </c>
      <c r="J18" s="1086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524" t="inlineStr">
        <is>
          <t>Total</t>
        </is>
      </c>
      <c r="C19" s="1082">
        <f>C17+C18</f>
        <v>-1.9355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'0.1 Budget Table (Fin)'!M13</f>
        <v>0</v>
      </c>
      <c r="J23" s="1086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9.5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Energy Apps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Energy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085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AU CRM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106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IF(('0.2 Data Config'!$D$22)&gt;('0.2 Data Config'!$C$22),0,'0.2 Data Config'!$L$10)</f>
        <v>0.7975</v>
      </c>
      <c r="D6" s="510">
        <f>IF(('0.2 Data Config'!$D$22)&gt;('0.2 Data Config'!$C$22),'0.2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IF(('0.2 Data Config'!$D$22)&gt;('0.2 Data Config'!$C$22),0,SUM(I31))</f>
        <v>0.165</v>
      </c>
      <c r="D7" s="510">
        <f>IF(('0.2 Data Config'!$D$22)&gt;('0.2 Data Config'!$C$22),SUM(I31),0)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SUMIF(F27:F30,"AU",I27:I30)+SUMIF(F36:F36,"AU",I36:I36)</f>
        <v>1.88</v>
      </c>
      <c r="D8" s="510">
        <f>SUMIF(F27:F30,"NZ",I27:I30)+SUMIF(F36:F36,"NZ",I36:I36)</f>
        <v>0.136</v>
      </c>
      <c r="E8" s="510">
        <f>SUM(J27,J28,J29,J30,J36)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521" t="inlineStr">
        <is>
          <t>Total to fund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092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TDD Variance</t>
        </is>
      </c>
      <c r="C17" s="1081">
        <f>I8+I9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Other Variance</t>
        </is>
      </c>
      <c r="C18" s="1081">
        <f>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524" t="inlineStr">
        <is>
          <t>Total</t>
        </is>
      </c>
      <c r="C19" s="1082">
        <f>C17+C18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IF(('0.2 Data Config'!$D$21)&gt;('0.2 Data Config'!$C$21),0,'0.2 Data Config'!$L$10)</f>
        <v>0.7975</v>
      </c>
      <c r="D6" s="510">
        <f>IF(('0.2 Data Config'!$D$21)&gt;('0.2 Data Config'!$C$21),'0.2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IF(('0.2 Data Config'!$D$21)&gt;('0.2 Data Config'!$C$21),0,SUM(I25))</f>
        <v>0.165</v>
      </c>
      <c r="D7" s="510">
        <f>IF(('0.2 Data Config'!$D$21)&gt;('0.2 Data Config'!$C$21),SUM(I25),0)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SUMIF(F21:F24,"AU",I21:I24)+SUMIF(F30:F30,"AU",I30:I30)</f>
        <v>4.49</v>
      </c>
      <c r="D8" s="510">
        <f>SUMIF(F21:F24,"NZ",I21:I24)+SUMIF(F30:F30,"NZ",I30:I30)</f>
        <v>0</v>
      </c>
      <c r="E8" s="510">
        <f>SUM(J21,J22,J23,J24,J30)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521" t="inlineStr">
        <is>
          <t>Total to fund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TDD Variance</t>
        </is>
      </c>
      <c r="C15" s="1081">
        <f>I8+I9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Other Variance</t>
        </is>
      </c>
      <c r="C16" s="1081">
        <f>-J15</f>
        <v>-1.21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524" t="inlineStr">
        <is>
          <t xml:space="preserve">Total over budget </t>
        </is>
      </c>
      <c r="C17" s="1082">
        <f>C15+C16</f>
        <v>-1.1625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Network &amp; Infrastructure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Engineering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092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6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Config'!$D$18)&gt;('0.2 Data Config'!$C$18),0,'0.2 Data Config'!$L$10)</f>
        <v>0.7975</v>
      </c>
      <c r="D6" s="510">
        <f>IF(('0.2 Data Config'!$D$18)&gt;('0.2 Data Config'!$C$18),'0.2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Config'!$D$18)&gt;('0.2 Data Config'!$C$18),0,SUM(I27))</f>
        <v>0.165</v>
      </c>
      <c r="D7" s="510">
        <f>IF(('0.2 Data Config'!$D$18)&gt;('0.2 Data Config'!$C$18),SUM(I25,I31),0)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SUMIF(F25:F26,"AU",I25:I26)+SUMIF(F32:F32,"AU",I32:I32)</f>
        <v>1.05</v>
      </c>
      <c r="D8" s="510">
        <f>SUMIF(F25:F32,"NZ",I25:I32)</f>
        <v>0</v>
      </c>
      <c r="E8" s="510">
        <f>SUM(J25,J26,J32)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994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'0.1 Budget Table (Fin)'!Q12</f>
        <v>5.8</v>
      </c>
      <c r="F13" s="504" t="n"/>
      <c r="G13" s="442" t="n"/>
      <c r="H13" s="175" t="inlineStr">
        <is>
          <t>P&amp;C Lights On</t>
        </is>
      </c>
      <c r="I13" s="1094">
        <f>'0.1 Budget Table (Fin)'!L12</f>
        <v>2.1</v>
      </c>
      <c r="J13" s="1110">
        <f>'0.1 Budget Table (Fin)'!G12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'0.1 Budget Table (Fin)'!N12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'0.1 Budget Table (Fin)'!P12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TDD Variance</t>
        </is>
      </c>
      <c r="C16" s="1081">
        <f>I8+I9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'0.1 Budget Table (Fin)'!O12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Other Variance</t>
        </is>
      </c>
      <c r="C17" s="1081">
        <f>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524" t="inlineStr">
        <is>
          <t>Total</t>
        </is>
      </c>
      <c r="C18" s="1082">
        <f>C16+C17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(Fin)'!M12</f>
        <v>0</v>
      </c>
      <c r="J18" s="1096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-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7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Config'!$D$19)&gt;('0.2 Data Config'!$C$19),0,'0.2 Data Config'!$L$10)</f>
        <v>0.7975</v>
      </c>
      <c r="D6" s="510">
        <f>IF(('0.2 Data Config'!$D$19)&gt;('0.2 Data Config'!$C$19),'0.2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Config'!$D$19)&gt;('0.2 Data Config'!$C$19),0,SUM(I28))</f>
        <v>0.165</v>
      </c>
      <c r="D7" s="510">
        <f>IF(('0.2 Data Config'!$D$19)&gt;('0.2 Data Config'!$C$19),SUM(I28),0)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SUMIF(F26:F27,"AU",I26:I27)+SUMIF(F33:F33,"AU",I33:I33)</f>
        <v>0.28</v>
      </c>
      <c r="D8" s="510">
        <f>SUMIF(F26:F27,"NZ",I26:I27)+SUMIF(F33:F33,"NZ",I33:I33)</f>
        <v>1.4</v>
      </c>
      <c r="E8" s="510">
        <f>SUM(J26,J27,J33)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'0.1 Budget Table (Fin)'!Q11</f>
        <v>3.5</v>
      </c>
      <c r="F14" s="504" t="n"/>
      <c r="G14" s="442" t="n"/>
      <c r="H14" s="175" t="inlineStr">
        <is>
          <t>Corporate Finance Lights On</t>
        </is>
      </c>
      <c r="I14" s="1094">
        <f>'0.1 Budget Table (Fin)'!L11</f>
        <v>2.6</v>
      </c>
      <c r="J14" s="1110">
        <f>'0.1 Budget Table (Fin)'!G11</f>
        <v>0</v>
      </c>
      <c r="K14" s="1095">
        <f>IFERROR(I14-J14,0)</f>
        <v>2.6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(Fin)'!N11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521" t="inlineStr">
        <is>
          <t xml:space="preserve">Total off budget 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(Fin)'!P11</f>
        <v>0</v>
      </c>
      <c r="J16" s="1096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TDD Variance</t>
        </is>
      </c>
      <c r="C17" s="1081">
        <f>I8+I9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(Fin)'!O11</f>
        <v>0</v>
      </c>
      <c r="J17" s="1096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Other Variance</t>
        </is>
      </c>
      <c r="C18" s="1081">
        <f>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524" t="inlineStr">
        <is>
          <t>Total</t>
        </is>
      </c>
      <c r="C19" s="1082">
        <f>C17+C18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'0.1 Budget Table (Fin)'!M11</f>
        <v>0</v>
      </c>
      <c r="J19" s="1096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0.45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AU Finance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955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955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92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4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IF(('0.2 Data Config'!$D$17)&gt;('0.2 Data Config'!$C$17),0,'0.2 Data Config'!$L$10)</f>
        <v>0.7975</v>
      </c>
      <c r="D7" s="510">
        <f>IF(('0.2 Data Config'!$D$17)&gt;('0.2 Data Config'!$C$17),'0.2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IF(('0.2 Data Config'!$D$17)&gt;('0.2 Data Config'!$C$17),0,SUM(I27,I34,I40))</f>
        <v>0.495</v>
      </c>
      <c r="D8" s="510">
        <f>IF(('0.2 Data Config'!$D$17)&gt;('0.2 Data Config'!$C$17),SUM(I27,I34,I40),0)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SUMIF(F26:F26,"AU",I26:I26)+SUMIF(F32:F33,"AU",I32:I33)+SUMIF(F39:F39,"AU",I39:I39)</f>
        <v>1.76</v>
      </c>
      <c r="D9" s="510">
        <f>SUMIF(F26:F26,"NZ",I26:I26)+SUMIF(F32:F33,"NZ",I32:I33)+SUMIF(F39:F39,"NZ",I39:I39)</f>
        <v>0</v>
      </c>
      <c r="E9" s="510">
        <f>SUM(J26,J32,J33,J39)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'0.1 Budget Table (Fin)'!Q10</f>
        <v>9.3</v>
      </c>
      <c r="F14" s="504" t="n"/>
      <c r="G14" s="442" t="n"/>
      <c r="H14" s="175" t="inlineStr">
        <is>
          <t>Infrastructure Lights On</t>
        </is>
      </c>
      <c r="I14" s="1094">
        <f>'0.1 Budget Table (Fin)'!L10</f>
        <v>3.9</v>
      </c>
      <c r="J14" s="334">
        <f>'0.1 Budget Table (Fin)'!G10</f>
        <v>0</v>
      </c>
      <c r="K14" s="1095">
        <f>IFERROR(I14-J14,0)</f>
        <v>3.9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'0.1 Budget Table (Fin)'!N10</f>
        <v>0.4</v>
      </c>
      <c r="J15" s="1096" t="n">
        <v>0</v>
      </c>
      <c r="K15" s="1095">
        <f>IFERROR(I15-J15,0)</f>
        <v>0.4</v>
      </c>
      <c r="L15" s="442" t="n"/>
      <c r="M15" s="442" t="n"/>
    </row>
    <row r="16">
      <c r="B16" s="521" t="inlineStr">
        <is>
          <t>Total to fund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'0.1 Budget Table (Fin)'!P10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TDD Variance</t>
        </is>
      </c>
      <c r="C17" s="1081">
        <f>I8+I9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'0.1 Budget Table (Fin)'!O10</f>
        <v>0</v>
      </c>
      <c r="J17" s="1096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Other Variance</t>
        </is>
      </c>
      <c r="C18" s="1081">
        <f>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'0.1 Budget Table (Fin)'!M10</f>
        <v>0</v>
      </c>
      <c r="J18" s="1096" t="n">
        <v>0</v>
      </c>
      <c r="K18" s="1095">
        <f>IFERROR(I18-J18,0)</f>
        <v>0</v>
      </c>
      <c r="L18" s="442" t="n"/>
      <c r="M18" s="442" t="n"/>
    </row>
    <row r="19">
      <c r="B19" s="524" t="inlineStr">
        <is>
          <t>Total</t>
        </is>
      </c>
      <c r="C19" s="1082">
        <f>C17+C18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2.5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&amp;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0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IF(('0.2 Data Config'!$D$16)&gt;('0.2 Data Config'!$C$16),0,'0.2 Data Config'!$L$10)</f>
        <v>0.7975</v>
      </c>
      <c r="D6" s="510">
        <f>IF(('0.2 Data Config'!$D$16)&gt;('0.2 Data Config'!$C$16),'0.2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IF(('0.2 Data Config'!$D$16)&gt;('0.2 Data Config'!$C$16),0,SUM(I30,I36))</f>
        <v>0.33</v>
      </c>
      <c r="D7" s="510">
        <f>IF(('0.2 Data Config'!$D$16)&gt;('0.2 Data Config'!$C$16),SUM(I30,I36),0)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SUMIF(F28:F29,"AU",I28:I29)+SUMIF(F35:F35,"AU",I35:I35)</f>
        <v>1.9</v>
      </c>
      <c r="D8" s="510">
        <f>SUMIF(F28:F29,"NZ",I28:I29)+SUMIF(F35:F35,"NZ",I35:I35)</f>
        <v>0</v>
      </c>
      <c r="E8" s="510">
        <f>SUM(J28,J29,J35)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'0.1 Budget Table (Fin)'!Q7</f>
        <v>7.2</v>
      </c>
      <c r="F13" s="504" t="n"/>
      <c r="G13" s="442" t="n"/>
      <c r="H13" s="175" t="inlineStr">
        <is>
          <t>Energy Solutions Lights On</t>
        </is>
      </c>
      <c r="I13" s="1094">
        <f>'0.1 Budget Table (Fin)'!L7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094" t="n">
        <v>2.5</v>
      </c>
      <c r="J14" s="1096" t="n">
        <v>2.5</v>
      </c>
      <c r="K14" s="1095">
        <f>IFERROR(I14-J14,0)</f>
        <v>0</v>
      </c>
      <c r="L14" s="554" t="n"/>
      <c r="M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094" t="n">
        <v>2.5</v>
      </c>
      <c r="J15" s="1096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TDD Variance</t>
        </is>
      </c>
      <c r="C16" s="1081">
        <f>I8+I9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Other Variance</t>
        </is>
      </c>
      <c r="C17" s="1081">
        <f>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524" t="inlineStr">
        <is>
          <t>Total</t>
        </is>
      </c>
      <c r="C18" s="1082">
        <f>C16+C17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096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'0.1 Budget Table (Fin)'!O7</f>
        <v>0</v>
      </c>
      <c r="J19" s="1096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'0.1 Budget Table (Fin)'!M7</f>
        <v>0</v>
      </c>
      <c r="J20" s="1096" t="n">
        <v>0</v>
      </c>
      <c r="K20" s="1095">
        <f>IFERROR(I20-J20,0)</f>
        <v>0</v>
      </c>
      <c r="L20" s="554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4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IF(('0.2 Data Config'!$D$15)&gt;('0.2 Data Config'!$C$15),0,'0.2 Data Config'!$L$10)</f>
        <v>0.7975</v>
      </c>
      <c r="D6" s="510">
        <f>IF(('0.2 Data Config'!$D$15)&gt;('0.2 Data Config'!$C$15),'0.2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IF(('0.2 Data Config'!$D$15)&gt;('0.2 Data Config'!$C$15),0,SUM(I28,I34,I40))</f>
        <v>0.495</v>
      </c>
      <c r="D7" s="510">
        <f>IF(('0.2 Data Config'!$D$15)&gt;('0.2 Data Config'!$C$15),SUM(I28,I34,I40),0)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SUMIF(F26:F27,"AU",I26:I27)+SUMIF(F33:F33,"AU",I33:I33)+SUMIF(F39:F39,"AU",I39:I39)</f>
        <v>1.26</v>
      </c>
      <c r="D8" s="510">
        <f>SUMIF(F26:F27,"NZ",I26:I27)+SUMIF(F33:F33,"NZ",I33:I33)+SUMIF(F39:F39,"NZ",I39:I39)</f>
        <v>0</v>
      </c>
      <c r="E8" s="510">
        <f>SUM(J26,J27,J33,J39)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'0.1 Budget Table (Fin)'!Q8</f>
        <v>40.5</v>
      </c>
      <c r="F13" s="504" t="n"/>
      <c r="G13" s="442" t="n"/>
      <c r="H13" s="473" t="inlineStr">
        <is>
          <t>Commercial Fuels Lights On</t>
        </is>
      </c>
      <c r="I13" s="1085">
        <f>'0.1 Budget Table (Fin)'!L8</f>
        <v>13.4</v>
      </c>
      <c r="J13" s="1084">
        <f>'0.1 Budget Table (Fin)'!G8</f>
        <v>0</v>
      </c>
      <c r="K13" s="990">
        <f>IFERROR(I13-J13,0)</f>
        <v>13.4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'0.1 Budget Table (Fin)'!N8</f>
        <v>6.1</v>
      </c>
      <c r="J14" s="1086" t="n">
        <v>1.7</v>
      </c>
      <c r="K14" s="990">
        <f>IFERROR(I14-J14,0)</f>
        <v>4.4</v>
      </c>
      <c r="L14" s="554" t="n"/>
      <c r="M14" s="442" t="n"/>
      <c r="N14" s="442" t="n"/>
    </row>
    <row r="15">
      <c r="B15" s="521" t="inlineStr">
        <is>
          <t>Total to fund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'0.1 Budget Table (Fin)'!P8</f>
        <v>6.8</v>
      </c>
      <c r="J15" s="1086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TDD Variance</t>
        </is>
      </c>
      <c r="C16" s="1081">
        <f>I8+I9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'0.1 Budget Table (Fin)'!P5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Other Variance</t>
        </is>
      </c>
      <c r="C17" s="1081">
        <f>-J21</f>
        <v>-0.24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'0.1 Budget Table (Fin)'!O8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524" t="inlineStr">
        <is>
          <t>Total</t>
        </is>
      </c>
      <c r="C18" s="1082">
        <f>C16+C17</f>
        <v>-0.1875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'0.1 Budget Table (Fin)'!M8</f>
        <v>0</v>
      </c>
      <c r="J18" s="1086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7.18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092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or 3.3 -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10" t="inlineStr">
        <is>
          <t>Portfolio</t>
        </is>
      </c>
      <c r="C5" s="1211" t="inlineStr">
        <is>
          <t>Budget ($m)</t>
        </is>
      </c>
      <c r="D5" s="1211" t="inlineStr">
        <is>
          <t>Actual cost ($m)</t>
        </is>
      </c>
      <c r="E5" s="1211" t="inlineStr">
        <is>
          <t>Variance to budget ($m)</t>
        </is>
      </c>
      <c r="F5" s="1210" t="inlineStr">
        <is>
          <t>Archetype cost ($m)</t>
        </is>
      </c>
      <c r="G5" s="1210" t="inlineStr">
        <is>
          <t>Variance to archetype ($m)</t>
        </is>
      </c>
      <c r="H5" s="1210" t="inlineStr">
        <is>
          <t>Roles</t>
        </is>
      </c>
      <c r="I5" s="1211" t="inlineStr">
        <is>
          <t>Vacant</t>
        </is>
      </c>
      <c r="J5" s="1211" t="inlineStr">
        <is>
          <t>Cost after decisions ($m)</t>
        </is>
      </c>
      <c r="K5" s="507" t="n"/>
      <c r="L5" s="507" t="n"/>
      <c r="M5" s="507" t="n"/>
      <c r="N5" s="572" t="n"/>
    </row>
    <row r="6">
      <c r="B6" s="473" t="str">
        <f>'3.2 Total Cost'!$B$6</f>
        <v>Ampol Retail</v>
      </c>
      <c r="C6" s="990">
        <f>SUMPRODUCT(('0.2 Data Config'!$B$6:$B$25&lt;&gt;"")*(IFERROR(INDEX(Lists!$AL$2:$AL$19,MATCH('0.2 Data Config'!$B$6:$B$25,Lists!$AK$2:$AK$19,0)),"")=$B6)*'0.2 Data Config'!$E$6:$E$25)</f>
        <v>5.5</v>
      </c>
      <c r="D6" s="990">
        <f>'3.2 Total Cost'!$F$6</f>
        <v>14.005227457</v>
      </c>
      <c r="E6" s="1115">
        <f>$C6-$D6</f>
        <v>-8.505227457</v>
      </c>
      <c r="F6" s="1091">
        <f>'3.2 Total Cost'!$G$6</f>
        <v>10.9</v>
      </c>
      <c r="G6" s="1091">
        <f>'3.2 Total Cost'!$H$6</f>
        <v>3.105227457</v>
      </c>
      <c r="H6" s="1091">
        <f>'3.2 Total Cost'!$C$6</f>
        <v>70</v>
      </c>
      <c r="I6" s="990">
        <f>'3.2 Total Cost'!$E$6</f>
        <v>22</v>
      </c>
      <c r="J6" s="990">
        <f>'3.2 Total Cost'!$I$6</f>
        <v>9.695704767</v>
      </c>
      <c r="K6" s="990" t="n"/>
      <c r="L6" s="1116" t="n"/>
      <c r="M6" s="510" t="n"/>
      <c r="N6" s="949" t="n"/>
    </row>
    <row r="7">
      <c r="B7" s="473" t="str">
        <f>'3.2 Total Cost'!$B$7</f>
        <v>Customer</v>
      </c>
      <c r="C7" s="990">
        <f>SUMPRODUCT(('0.2 Data Config'!$B$6:$B$25&lt;&gt;"")*(IFERROR(INDEX(Lists!$AL$2:$AL$19,MATCH('0.2 Data Config'!$B$6:$B$25,Lists!$AK$2:$AK$19,0)),"")=$B7)*'0.2 Data Config'!$E$6:$E$25)</f>
        <v>6.5</v>
      </c>
      <c r="D7" s="990">
        <f>'3.2 Total Cost'!$F$7</f>
        <v>17.12686714</v>
      </c>
      <c r="E7" s="1115">
        <f>$C7-$D7</f>
        <v>-10.62686714</v>
      </c>
      <c r="F7" s="1091">
        <f>'3.2 Total Cost'!$G$7</f>
        <v>17.6</v>
      </c>
      <c r="G7" s="1091">
        <f>'3.2 Total Cost'!$H$7</f>
        <v>-0.473132859999996</v>
      </c>
      <c r="H7" s="1091">
        <f>'3.2 Total Cost'!$C$7</f>
        <v>83</v>
      </c>
      <c r="I7" s="990">
        <f>'3.2 Total Cost'!$E$7</f>
        <v>13</v>
      </c>
      <c r="J7" s="990">
        <f>'3.2 Total Cost'!$I$7</f>
        <v>15.474726044</v>
      </c>
      <c r="K7" s="990" t="n"/>
      <c r="L7" s="1116" t="n"/>
      <c r="M7" s="510" t="n"/>
      <c r="N7" s="949" t="n"/>
    </row>
    <row r="8">
      <c r="B8" s="473" t="str">
        <f>'3.2 Total Cost'!$B$8</f>
        <v>Enterprise Data</v>
      </c>
      <c r="C8" s="990">
        <f>SUMPRODUCT(('0.2 Data Config'!$B$6:$B$25&lt;&gt;"")*(IFERROR(INDEX(Lists!$AL$2:$AL$19,MATCH('0.2 Data Config'!$B$6:$B$25,Lists!$AK$2:$AK$19,0)),"")=$B8)*'0.2 Data Config'!$E$6:$E$25)</f>
        <v>3.5</v>
      </c>
      <c r="D8" s="990">
        <f>'3.2 Total Cost'!$F$8</f>
        <v>6.917175476</v>
      </c>
      <c r="E8" s="1115">
        <f>$C8-$D8</f>
        <v>-3.417175476</v>
      </c>
      <c r="F8" s="1091">
        <f>'3.2 Total Cost'!$G$8</f>
        <v>4.3</v>
      </c>
      <c r="G8" s="1091">
        <f>'3.2 Total Cost'!$H$8</f>
        <v>2.617175476</v>
      </c>
      <c r="H8" s="1091">
        <f>'3.2 Total Cost'!$C$8</f>
        <v>30</v>
      </c>
      <c r="I8" s="990">
        <f>'3.2 Total Cost'!$E$8</f>
        <v>10</v>
      </c>
      <c r="J8" s="990">
        <f>'3.2 Total Cost'!$I$8</f>
        <v>4.953369976</v>
      </c>
      <c r="K8" s="990" t="n"/>
      <c r="L8" s="1116" t="n"/>
      <c r="M8" s="510" t="n"/>
      <c r="N8" s="949" t="n"/>
    </row>
    <row r="9">
      <c r="B9" s="473" t="str">
        <f>'3.2 Total Cost'!$B$9</f>
        <v>TDD Group Functions</v>
      </c>
      <c r="C9" s="990">
        <f>SUMPRODUCT(('0.2 Data Config'!$B$6:$B$25&lt;&gt;"")*(IFERROR(INDEX(Lists!$AL$2:$AL$19,MATCH('0.2 Data Config'!$B$6:$B$25,Lists!$AK$2:$AK$19,0)),"")=$B9)*'0.2 Data Config'!$E$6:$E$25)</f>
        <v>5.5</v>
      </c>
      <c r="D9" s="990">
        <f>'3.2 Total Cost'!$F$9</f>
        <v>10.0312294824</v>
      </c>
      <c r="E9" s="1115">
        <f>$C9-$D9</f>
        <v>-4.5312294824</v>
      </c>
      <c r="F9" s="1091">
        <f>'3.2 Total Cost'!$G$9</f>
        <v>5.7</v>
      </c>
      <c r="G9" s="1091">
        <f>'3.2 Total Cost'!$H$9</f>
        <v>4.3312294824</v>
      </c>
      <c r="H9" s="1091">
        <f>'3.2 Total Cost'!$C$9</f>
        <v>46</v>
      </c>
      <c r="I9" s="990">
        <f>'3.2 Total Cost'!$E$9</f>
        <v>14</v>
      </c>
      <c r="J9" s="990">
        <f>'3.2 Total Cost'!$I$9</f>
        <v>6.6853174824</v>
      </c>
      <c r="K9" s="990" t="n"/>
      <c r="L9" s="1116" t="n"/>
      <c r="M9" s="510" t="n"/>
      <c r="N9" s="949" t="n"/>
    </row>
    <row r="10">
      <c r="B10" s="473" t="str">
        <f>'3.2 Total Cost'!$B$10</f>
        <v>P&amp;C</v>
      </c>
      <c r="C10" s="990">
        <f>SUMPRODUCT(('0.2 Data Config'!$B$6:$B$25&lt;&gt;"")*(IFERROR(INDEX(Lists!$AL$2:$AL$19,MATCH('0.2 Data Config'!$B$6:$B$25,Lists!$AK$2:$AK$19,0)),"")=$B10)*'0.2 Data Config'!$E$6:$E$25)</f>
        <v>2</v>
      </c>
      <c r="D10" s="990">
        <f>'3.2 Total Cost'!$F$10</f>
        <v>4.18444088</v>
      </c>
      <c r="E10" s="1115">
        <f>$C10-$D10</f>
        <v>-2.18444088</v>
      </c>
      <c r="F10" s="1091">
        <f>'3.2 Total Cost'!$G$10</f>
        <v>1.4</v>
      </c>
      <c r="G10" s="1091">
        <f>'3.2 Total Cost'!$H$10</f>
        <v>2.78444088</v>
      </c>
      <c r="H10" s="1091">
        <f>'3.2 Total Cost'!$C$10</f>
        <v>18</v>
      </c>
      <c r="I10" s="990">
        <f>'3.2 Total Cost'!$E$10</f>
        <v>10</v>
      </c>
      <c r="J10" s="990">
        <f>'3.2 Total Cost'!$I$10</f>
        <v>2.07003598</v>
      </c>
      <c r="K10" s="990" t="n"/>
      <c r="L10" s="1116" t="n"/>
      <c r="M10" s="510" t="n"/>
      <c r="N10" s="949" t="n"/>
    </row>
    <row r="11">
      <c r="B11" s="473" t="str">
        <f>'3.2 Total Cost'!$B$11</f>
        <v>Finance</v>
      </c>
      <c r="C11" s="990">
        <f>SUMPRODUCT(('0.2 Data Config'!$B$6:$B$25&lt;&gt;"")*(IFERROR(INDEX(Lists!$AL$2:$AL$19,MATCH('0.2 Data Config'!$B$6:$B$25,Lists!$AK$2:$AK$19,0)),"")=$B11)*'0.2 Data Config'!$E$6:$E$25)</f>
        <v>2</v>
      </c>
      <c r="D11" s="990">
        <f>'3.2 Total Cost'!$F$11</f>
        <v>3.844616116</v>
      </c>
      <c r="E11" s="1115">
        <f>$C11-$D11</f>
        <v>-1.844616116</v>
      </c>
      <c r="F11" s="1091">
        <f>'3.2 Total Cost'!$G$11</f>
        <v>2.8</v>
      </c>
      <c r="G11" s="1091">
        <f>'3.2 Total Cost'!$H$11</f>
        <v>1.044616116</v>
      </c>
      <c r="H11" s="1091">
        <f>'3.2 Total Cost'!$C$11</f>
        <v>17</v>
      </c>
      <c r="I11" s="990">
        <f>'3.2 Total Cost'!$E$11</f>
        <v>8</v>
      </c>
      <c r="J11" s="990">
        <f>'3.2 Total Cost'!$I$11</f>
        <v>2.047934746</v>
      </c>
      <c r="K11" s="990" t="n"/>
      <c r="L11" s="1116" t="n"/>
      <c r="M11" s="510" t="n"/>
      <c r="N11" s="949" t="n"/>
    </row>
    <row r="12">
      <c r="B12" s="473" t="str">
        <f>'3.2 Total Cost'!$B$12</f>
        <v>Infrastructure</v>
      </c>
      <c r="C12" s="990">
        <f>SUMPRODUCT(('0.2 Data Config'!$B$6:$B$25&lt;&gt;"")*(IFERROR(INDEX(Lists!$AL$2:$AL$19,MATCH('0.2 Data Config'!$B$6:$B$25,Lists!$AK$2:$AK$19,0)),"")=$B12)*'0.2 Data Config'!$E$6:$E$25)</f>
        <v>2.5</v>
      </c>
      <c r="D12" s="990">
        <f>'3.2 Total Cost'!$F$12</f>
        <v>7.74836354</v>
      </c>
      <c r="E12" s="1115">
        <f>$C12-$D12</f>
        <v>-5.24836354</v>
      </c>
      <c r="F12" s="1091">
        <f>'3.2 Total Cost'!$G$12</f>
        <v>6.4</v>
      </c>
      <c r="G12" s="1091">
        <f>'3.2 Total Cost'!$H$12</f>
        <v>1.34836354</v>
      </c>
      <c r="H12" s="1091">
        <f>'3.2 Total Cost'!$C$12</f>
        <v>36</v>
      </c>
      <c r="I12" s="990">
        <f>'3.2 Total Cost'!$E$12</f>
        <v>12</v>
      </c>
      <c r="J12" s="990">
        <f>'3.2 Total Cost'!$I$12</f>
        <v>5.10357679</v>
      </c>
      <c r="K12" s="990" t="n"/>
      <c r="L12" s="1116" t="n"/>
      <c r="M12" s="510" t="n"/>
      <c r="N12" s="949" t="n"/>
    </row>
    <row r="13">
      <c r="B13" s="473" t="str">
        <f>'3.2 Total Cost'!$B$13</f>
        <v>Energy Solutions &amp; B2B</v>
      </c>
      <c r="C13" s="990">
        <f>SUMPRODUCT(('0.2 Data Config'!$B$6:$B$25&lt;&gt;"")*(IFERROR(INDEX(Lists!$AL$2:$AL$19,MATCH('0.2 Data Config'!$B$6:$B$25,Lists!$AK$2:$AK$19,0)),"")=$B13)*'0.2 Data Config'!$E$6:$E$25)</f>
        <v>2.5</v>
      </c>
      <c r="D13" s="990">
        <f>'3.2 Total Cost'!$F$13</f>
        <v>6.447816278</v>
      </c>
      <c r="E13" s="1115">
        <f>$C13-$D13</f>
        <v>-3.947816278</v>
      </c>
      <c r="F13" s="1091">
        <f>'3.2 Total Cost'!$G$13</f>
        <v>7.9</v>
      </c>
      <c r="G13" s="1091">
        <f>'3.2 Total Cost'!$H$13</f>
        <v>-1.452183722</v>
      </c>
      <c r="H13" s="1091">
        <f>'3.2 Total Cost'!$C$13</f>
        <v>33</v>
      </c>
      <c r="I13" s="990">
        <f>'3.2 Total Cost'!$E$13</f>
        <v>9</v>
      </c>
      <c r="J13" s="990">
        <f>'3.2 Total Cost'!$I$13</f>
        <v>4.418551028</v>
      </c>
      <c r="K13" s="990" t="n"/>
      <c r="L13" s="1116" t="n"/>
      <c r="M13" s="510" t="n"/>
      <c r="N13" s="949" t="n"/>
    </row>
    <row r="14">
      <c r="B14" s="473" t="str">
        <f>'3.2 Total Cost'!$B$14</f>
        <v>Commercial Fuels</v>
      </c>
      <c r="C14" s="990">
        <f>SUMPRODUCT(('0.2 Data Config'!$B$6:$B$25&lt;&gt;"")*(IFERROR(INDEX(Lists!$AL$2:$AL$19,MATCH('0.2 Data Config'!$B$6:$B$25,Lists!$AK$2:$AK$19,0)),"")=$B14)*'0.2 Data Config'!$E$6:$E$25)</f>
        <v>2.5</v>
      </c>
      <c r="D14" s="990">
        <f>'3.2 Total Cost'!$F$14</f>
        <v>10.1976697287</v>
      </c>
      <c r="E14" s="1115">
        <f>$C14-$D14</f>
        <v>-7.6976697287</v>
      </c>
      <c r="F14" s="1091">
        <f>'3.2 Total Cost'!$G$14</f>
        <v>5.9</v>
      </c>
      <c r="G14" s="1091">
        <f>'3.2 Total Cost'!$H$14</f>
        <v>4.2976697287</v>
      </c>
      <c r="H14" s="1091">
        <f>'3.2 Total Cost'!$C$14</f>
        <v>42</v>
      </c>
      <c r="I14" s="990">
        <f>'3.2 Total Cost'!$E$14</f>
        <v>9</v>
      </c>
      <c r="J14" s="990">
        <f>'3.2 Total Cost'!$I$14</f>
        <v>8.2810494787</v>
      </c>
      <c r="K14" s="990" t="n"/>
      <c r="L14" s="1116" t="n"/>
      <c r="M14" s="510" t="n"/>
      <c r="N14" s="949" t="n"/>
    </row>
    <row r="15">
      <c r="B15" s="473" t="str">
        <f>'3.2 Total Cost'!$B$15</f>
        <v>Z Retail</v>
      </c>
      <c r="C15" s="990">
        <f>SUMPRODUCT(('0.2 Data Config'!$B$6:$B$25&lt;&gt;"")*(IFERROR(INDEX(Lists!$AL$2:$AL$19,MATCH('0.2 Data Config'!$B$6:$B$25,Lists!$AK$2:$AK$19,0)),"")=$B15)*'0.2 Data Config'!$E$6:$E$25)</f>
        <v>6.5</v>
      </c>
      <c r="D15" s="990">
        <f>'3.2 Total Cost'!$F$15</f>
        <v>7.337294352</v>
      </c>
      <c r="E15" s="1115">
        <f>$C15-$D15</f>
        <v>-0.837294352</v>
      </c>
      <c r="F15" s="1091">
        <f>'3.2 Total Cost'!$G$15</f>
        <v>7.8</v>
      </c>
      <c r="G15" s="1091">
        <f>'3.2 Total Cost'!$H$15</f>
        <v>-0.462705648</v>
      </c>
      <c r="H15" s="1091">
        <f>'3.2 Total Cost'!$C$15</f>
        <v>39</v>
      </c>
      <c r="I15" s="990">
        <f>'3.2 Total Cost'!$E$15</f>
        <v>7</v>
      </c>
      <c r="J15" s="990">
        <f>'3.2 Total Cost'!$I$15</f>
        <v>5.686366352</v>
      </c>
      <c r="K15" s="990" t="n"/>
      <c r="L15" s="1116" t="n"/>
      <c r="M15" s="510" t="n"/>
      <c r="N15" s="949" t="n"/>
    </row>
    <row r="16">
      <c r="B16" s="504" t="str">
        <f>'3.2 Total Cost'!$B$17</f>
        <v>COE Cyber</v>
      </c>
      <c r="C16" s="1117">
        <f>SUMPRODUCT(('0.2 Data Config'!$B$6:$B$25&lt;&gt;"")*(IFERROR(INDEX(Lists!$AL$2:$AL$19,MATCH('0.2 Data Config'!$B$6:$B$25,Lists!$AK$2:$AK$19,0)),"")=$B16)*'0.2 Data Config'!$E$6:$E$25)</f>
        <v>3.5</v>
      </c>
      <c r="D16" s="1117">
        <f>'3.2 Total Cost'!$F$17</f>
        <v>9.897858294</v>
      </c>
      <c r="E16" s="1118">
        <f>$C16-$D16</f>
        <v>-6.397858294</v>
      </c>
      <c r="F16" s="1117" t="str">
        <f>'3.2 Total Cost'!$G$17</f>
        <v>-</v>
      </c>
      <c r="G16" s="1117" t="str">
        <f>'3.2 Total Cost'!$H$17</f>
        <v>-</v>
      </c>
      <c r="H16" s="1117">
        <f>'3.2 Total Cost'!$C$17</f>
        <v>46</v>
      </c>
      <c r="I16" s="1117">
        <f>'3.2 Total Cost'!$E$17</f>
        <v>4</v>
      </c>
      <c r="J16" s="1117">
        <f>'3.2 Total Cost'!$I$17</f>
        <v>9.199090294</v>
      </c>
      <c r="K16" s="1117" t="n"/>
      <c r="L16" s="1119" t="n"/>
      <c r="M16" s="545" t="n"/>
      <c r="N16" s="504" t="n"/>
    </row>
    <row r="17">
      <c r="B17" s="517" t="str">
        <f>'3.2 Total Cost'!$B$18</f>
        <v>COE BP&amp;T</v>
      </c>
      <c r="C17" s="1091">
        <f>SUMPRODUCT(('0.2 Data Config'!$B$6:$B$25&lt;&gt;"")*(IFERROR(INDEX(Lists!$AL$2:$AL$19,MATCH('0.2 Data Config'!$B$6:$B$25,Lists!$AK$2:$AK$19,0)),"")=$B17)*'0.2 Data Config'!$E$6:$E$25)</f>
        <v>4</v>
      </c>
      <c r="D17" s="1091">
        <f>'3.2 Total Cost'!$F$18</f>
        <v>6.400561822</v>
      </c>
      <c r="E17" s="1120">
        <f>$C17-$D17</f>
        <v>-2.400561822</v>
      </c>
      <c r="F17" s="1091" t="str">
        <f>'3.2 Total Cost'!$G$18</f>
        <v>-</v>
      </c>
      <c r="G17" s="1091" t="str">
        <f>'3.2 Total Cost'!$H$18</f>
        <v>-</v>
      </c>
      <c r="H17" s="1091">
        <f>'3.2 Total Cost'!$C$18</f>
        <v>24</v>
      </c>
      <c r="I17" s="1091">
        <f>'3.2 Total Cost'!$E$18</f>
        <v>9</v>
      </c>
      <c r="J17" s="1091">
        <f>'3.2 Total Cost'!$I$18</f>
        <v>4.053047842</v>
      </c>
      <c r="K17" s="1091" t="n"/>
      <c r="L17" s="1121" t="n"/>
      <c r="M17" s="1121" t="n"/>
    </row>
    <row r="18">
      <c r="B18" s="473" t="str">
        <f>'3.2 Total Cost'!$B$19</f>
        <v>COE SA&amp;D</v>
      </c>
      <c r="C18" s="990">
        <f>SUMPRODUCT(('0.2 Data Config'!$B$6:$B$25&lt;&gt;"")*(IFERROR(INDEX(Lists!$AL$2:$AL$19,MATCH('0.2 Data Config'!$B$6:$B$25,Lists!$AK$2:$AK$19,0)),"")=$B18)*'0.2 Data Config'!$E$6:$E$25)</f>
        <v>4</v>
      </c>
      <c r="D18" s="990">
        <f>'3.2 Total Cost'!$F$19</f>
        <v>6.030722352</v>
      </c>
      <c r="E18" s="1115">
        <f>$C18-$D18</f>
        <v>-2.030722352</v>
      </c>
      <c r="F18" s="1091" t="str">
        <f>'3.2 Total Cost'!$G$19</f>
        <v>-</v>
      </c>
      <c r="G18" s="1091" t="str">
        <f>'3.2 Total Cost'!$H$19</f>
        <v>-</v>
      </c>
      <c r="H18" s="1091">
        <f>'3.2 Total Cost'!$C$19</f>
        <v>24</v>
      </c>
      <c r="I18" s="990">
        <f>'3.2 Total Cost'!$E$19</f>
        <v>8</v>
      </c>
      <c r="J18" s="990">
        <f>'3.2 Total Cost'!$I$19</f>
        <v>3.966580052</v>
      </c>
      <c r="K18" s="990" t="n"/>
      <c r="L18" s="1116" t="n"/>
      <c r="M18" s="510" t="n"/>
    </row>
    <row r="19">
      <c r="B19" s="473" t="str">
        <f>'3.2 Total Cost'!$B$20</f>
        <v>EGI</v>
      </c>
      <c r="C19" s="990">
        <f>SUMPRODUCT(('0.2 Data Config'!$B$6:$B$25&lt;&gt;"")*(IFERROR(INDEX(Lists!$AL$2:$AL$19,MATCH('0.2 Data Config'!$B$6:$B$25,Lists!$AK$2:$AK$19,0)),"")=$B19)*'0.2 Data Config'!$E$6:$E$25)</f>
        <v>0</v>
      </c>
      <c r="D19" s="990">
        <f>'3.2 Total Cost'!$F$20</f>
        <v>4.94341935</v>
      </c>
      <c r="E19" s="1115">
        <f>$C19-$D19</f>
        <v>-4.94341935</v>
      </c>
      <c r="F19" s="1091" t="str">
        <f>'3.2 Total Cost'!$G$20</f>
        <v>-</v>
      </c>
      <c r="G19" s="1091" t="str">
        <f>'3.2 Total Cost'!$H$20</f>
        <v>-</v>
      </c>
      <c r="H19" s="1091">
        <f>'3.2 Total Cost'!$C$20</f>
        <v>17</v>
      </c>
      <c r="I19" s="990">
        <f>'3.2 Total Cost'!$E$20</f>
        <v>0</v>
      </c>
      <c r="J19" s="990">
        <f>'3.2 Total Cost'!$I$20</f>
        <v>4.94341935</v>
      </c>
      <c r="K19" s="990" t="n"/>
      <c r="L19" s="1116" t="n"/>
      <c r="M19" s="510" t="n"/>
    </row>
    <row r="20">
      <c r="B20" s="1212" t="inlineStr">
        <is>
          <t>Total</t>
        </is>
      </c>
      <c r="C20" s="990">
        <f>SUM(C6:C19)</f>
        <v>50.5</v>
      </c>
      <c r="D20" s="990">
        <f>SUM(D6:D19)</f>
        <v>115.1132622681</v>
      </c>
      <c r="E20" s="1115">
        <f>SUM(E6:E19)</f>
        <v>-64.6132622681</v>
      </c>
      <c r="F20" s="1091">
        <f>SUM(F6:F19)</f>
        <v>70.7</v>
      </c>
      <c r="G20" s="1091">
        <f>SUM(G6:G19)</f>
        <v>17.1407004501</v>
      </c>
      <c r="H20" s="1091">
        <f>SUM(H6:H19)</f>
        <v>525</v>
      </c>
      <c r="I20" s="990">
        <f>SUM(I6:I19)</f>
        <v>135</v>
      </c>
      <c r="J20" s="990">
        <f>SUM(J6:J19)</f>
        <v>86.5787701821</v>
      </c>
      <c r="K20" s="990" t="n"/>
      <c r="L20" s="1116" t="n"/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Actual is the REVIEW ledger; archetype is the design. Overhead is compared, never added.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14" t="inlineStr">
        <is>
          <t>Portfolio</t>
        </is>
      </c>
      <c r="C5" s="1215" t="inlineStr">
        <is>
          <t>Roles</t>
        </is>
      </c>
      <c r="D5" s="1215" t="inlineStr">
        <is>
          <t>Filled</t>
        </is>
      </c>
      <c r="E5" s="1215" t="inlineStr">
        <is>
          <t>Vacant</t>
        </is>
      </c>
      <c r="F5" s="1215" t="inlineStr">
        <is>
          <t>Actual cost ($m)</t>
        </is>
      </c>
      <c r="G5" s="1215" t="inlineStr">
        <is>
          <t>Archetype cost ($m)</t>
        </is>
      </c>
      <c r="H5" s="1216" t="inlineStr">
        <is>
          <t>Variance actual vs archetype ($m)</t>
        </is>
      </c>
      <c r="I5" s="1216" t="inlineStr">
        <is>
          <t>Cost after decisions ($m)</t>
        </is>
      </c>
      <c r="J5" s="1216" t="inlineStr">
        <is>
          <t>Change from decisions ($m)</t>
        </is>
      </c>
      <c r="K5" s="1215" t="inlineStr">
        <is>
          <t>Roles after decisions</t>
        </is>
      </c>
      <c r="L5" s="1215" t="inlineStr">
        <is>
          <t>Filled cost ($m)</t>
        </is>
      </c>
      <c r="M5" s="1217" t="inlineStr">
        <is>
          <t>Vacant cost ($m)</t>
        </is>
      </c>
      <c r="N5" s="1129" t="n"/>
    </row>
    <row r="6">
      <c r="B6" s="549" t="inlineStr">
        <is>
          <t>Ampol Retail</t>
        </is>
      </c>
      <c r="C6" s="1126">
        <f>COUNTIFS('REVIEW - Complete Role Mapping'!$AJ$2:$AJ$528,$B6)</f>
        <v>70</v>
      </c>
      <c r="D6" s="1126">
        <f>COUNTIFS('REVIEW - Complete Role Mapping'!$AJ$2:$AJ$528,$B6,'REVIEW - Complete Role Mapping'!$AK$2:$AK$528,"Filled")</f>
        <v>48</v>
      </c>
      <c r="E6" s="1126">
        <f>COUNTIFS('REVIEW - Complete Role Mapping'!$AJ$2:$AJ$528,$B6,'REVIEW - Complete Role Mapping'!$AK$2:$AK$528,"Vacant")</f>
        <v>22</v>
      </c>
      <c r="F6" s="1126">
        <f>SUMIFS('REVIEW - Complete Role Mapping'!$AA$2:$AA$528,'REVIEW - Complete Role Mapping'!$AJ$2:$AJ$528,$B6)/1000000</f>
        <v>14.005227457</v>
      </c>
      <c r="G6" s="1126">
        <f>'2.1 Ampol Retail'!$L$17</f>
        <v>10.9</v>
      </c>
      <c r="H6" s="1127">
        <f>$F6-$G6</f>
        <v>3.105227457</v>
      </c>
      <c r="I6" s="1127">
        <f>'2.1 Ampol Retail'!$O$17</f>
        <v>9.695704767</v>
      </c>
      <c r="J6" s="1127">
        <f>$I6-$F6</f>
        <v>-4.30952269</v>
      </c>
      <c r="K6" s="1126">
        <f>'2.1 Ampol Retail'!$J$17</f>
        <v>48</v>
      </c>
      <c r="L6" s="1126">
        <f>SUMIFS('REVIEW - Complete Role Mapping'!$AA$2:$AA$528,'REVIEW - Complete Role Mapping'!$AJ$2:$AJ$528,$B6,'REVIEW - Complete Role Mapping'!$AK$2:$AK$528,"Filled")/1000000</f>
        <v>9.695704767</v>
      </c>
      <c r="M6" s="1128">
        <f>SUMIFS('REVIEW - Complete Role Mapping'!$AA$2:$AA$528,'REVIEW - Complete Role Mapping'!$AJ$2:$AJ$528,$B6,'REVIEW - Complete Role Mapping'!$AK$2:$AK$528,"Vacant")/1000000</f>
        <v>4.30952269</v>
      </c>
      <c r="N6" s="1129" t="n"/>
    </row>
    <row r="7">
      <c r="B7" s="549" t="inlineStr">
        <is>
          <t>Customer</t>
        </is>
      </c>
      <c r="C7" s="1126">
        <f>COUNTIFS('REVIEW - Complete Role Mapping'!$AJ$2:$AJ$528,$B7)</f>
        <v>83</v>
      </c>
      <c r="D7" s="1126">
        <f>COUNTIFS('REVIEW - Complete Role Mapping'!$AJ$2:$AJ$528,$B7,'REVIEW - Complete Role Mapping'!$AK$2:$AK$528,"Filled")</f>
        <v>70</v>
      </c>
      <c r="E7" s="1126">
        <f>COUNTIFS('REVIEW - Complete Role Mapping'!$AJ$2:$AJ$528,$B7,'REVIEW - Complete Role Mapping'!$AK$2:$AK$528,"Vacant")</f>
        <v>13</v>
      </c>
      <c r="F7" s="1126">
        <f>SUMIFS('REVIEW - Complete Role Mapping'!$AA$2:$AA$528,'REVIEW - Complete Role Mapping'!$AJ$2:$AJ$528,$B7)/1000000</f>
        <v>17.12686714</v>
      </c>
      <c r="G7" s="1126">
        <f>'2.2 Customer'!$L$18</f>
        <v>17.6</v>
      </c>
      <c r="H7" s="1127">
        <f>$F7-$G7</f>
        <v>-0.473132859999996</v>
      </c>
      <c r="I7" s="1127">
        <f>'2.2 Customer'!$O$18</f>
        <v>15.474726044</v>
      </c>
      <c r="J7" s="1127">
        <f>$I7-$F7</f>
        <v>-1.652141096</v>
      </c>
      <c r="K7" s="1126">
        <f>'2.2 Customer'!$J$18</f>
        <v>70</v>
      </c>
      <c r="L7" s="1126">
        <f>SUMIFS('REVIEW - Complete Role Mapping'!$AA$2:$AA$528,'REVIEW - Complete Role Mapping'!$AJ$2:$AJ$528,$B7,'REVIEW - Complete Role Mapping'!$AK$2:$AK$528,"Filled")/1000000</f>
        <v>15.474726044</v>
      </c>
      <c r="M7" s="1128">
        <f>SUMIFS('REVIEW - Complete Role Mapping'!$AA$2:$AA$528,'REVIEW - Complete Role Mapping'!$AJ$2:$AJ$528,$B7,'REVIEW - Complete Role Mapping'!$AK$2:$AK$528,"Vacant")/1000000</f>
        <v>1.652141096</v>
      </c>
      <c r="N7" s="1129" t="n"/>
    </row>
    <row r="8">
      <c r="B8" s="549" t="inlineStr">
        <is>
          <t>Enterprise Data</t>
        </is>
      </c>
      <c r="C8" s="1126">
        <f>COUNTIFS('REVIEW - Complete Role Mapping'!$AJ$2:$AJ$528,$B8)</f>
        <v>30</v>
      </c>
      <c r="D8" s="1126">
        <f>COUNTIFS('REVIEW - Complete Role Mapping'!$AJ$2:$AJ$528,$B8,'REVIEW - Complete Role Mapping'!$AK$2:$AK$528,"Filled")</f>
        <v>20</v>
      </c>
      <c r="E8" s="1126">
        <f>COUNTIFS('REVIEW - Complete Role Mapping'!$AJ$2:$AJ$528,$B8,'REVIEW - Complete Role Mapping'!$AK$2:$AK$528,"Vacant")</f>
        <v>10</v>
      </c>
      <c r="F8" s="1126">
        <f>SUMIFS('REVIEW - Complete Role Mapping'!$AA$2:$AA$528,'REVIEW - Complete Role Mapping'!$AJ$2:$AJ$528,$B8)/1000000</f>
        <v>6.917175476</v>
      </c>
      <c r="G8" s="1126">
        <f>'2.3 Enterprise Data'!$L$10</f>
        <v>4.3</v>
      </c>
      <c r="H8" s="1127">
        <f>$F8-$G8</f>
        <v>2.617175476</v>
      </c>
      <c r="I8" s="1127">
        <f>'2.3 Enterprise Data'!$O$10</f>
        <v>4.953369976</v>
      </c>
      <c r="J8" s="1127">
        <f>$I8-$F8</f>
        <v>-1.9638055</v>
      </c>
      <c r="K8" s="1126">
        <f>'2.3 Enterprise Data'!$J$10</f>
        <v>20</v>
      </c>
      <c r="L8" s="1126">
        <f>SUMIFS('REVIEW - Complete Role Mapping'!$AA$2:$AA$528,'REVIEW - Complete Role Mapping'!$AJ$2:$AJ$528,$B8,'REVIEW - Complete Role Mapping'!$AK$2:$AK$528,"Filled")/1000000</f>
        <v>4.953369976</v>
      </c>
      <c r="M8" s="1128">
        <f>SUMIFS('REVIEW - Complete Role Mapping'!$AA$2:$AA$528,'REVIEW - Complete Role Mapping'!$AJ$2:$AJ$528,$B8,'REVIEW - Complete Role Mapping'!$AK$2:$AK$528,"Vacant")/1000000</f>
        <v>1.9638055</v>
      </c>
      <c r="N8" s="1129" t="n"/>
    </row>
    <row r="9">
      <c r="B9" s="549" t="inlineStr">
        <is>
          <t>TDD Group Functions</t>
        </is>
      </c>
      <c r="C9" s="1126">
        <f>COUNTIFS('REVIEW - Complete Role Mapping'!$AJ$2:$AJ$528,$B9)</f>
        <v>46</v>
      </c>
      <c r="D9" s="1126">
        <f>COUNTIFS('REVIEW - Complete Role Mapping'!$AJ$2:$AJ$528,$B9,'REVIEW - Complete Role Mapping'!$AK$2:$AK$528,"Filled")</f>
        <v>32</v>
      </c>
      <c r="E9" s="1126">
        <f>COUNTIFS('REVIEW - Complete Role Mapping'!$AJ$2:$AJ$528,$B9,'REVIEW - Complete Role Mapping'!$AK$2:$AK$528,"Vacant")</f>
        <v>14</v>
      </c>
      <c r="F9" s="1126">
        <f>SUMIFS('REVIEW - Complete Role Mapping'!$AA$2:$AA$528,'REVIEW - Complete Role Mapping'!$AJ$2:$AJ$528,$B9)/1000000</f>
        <v>10.0312294824</v>
      </c>
      <c r="G9" s="1126">
        <f>'2.4 TDD Group Functions'!$L$12</f>
        <v>5.7</v>
      </c>
      <c r="H9" s="1127">
        <f>$F9-$G9</f>
        <v>4.3312294824</v>
      </c>
      <c r="I9" s="1127">
        <f>'2.4 TDD Group Functions'!$O$12</f>
        <v>6.6853174824</v>
      </c>
      <c r="J9" s="1127">
        <f>$I9-$F9</f>
        <v>-3.345912</v>
      </c>
      <c r="K9" s="1126">
        <f>'2.4 TDD Group Functions'!$J$12</f>
        <v>32</v>
      </c>
      <c r="L9" s="1126">
        <f>SUMIFS('REVIEW - Complete Role Mapping'!$AA$2:$AA$528,'REVIEW - Complete Role Mapping'!$AJ$2:$AJ$528,$B9,'REVIEW - Complete Role Mapping'!$AK$2:$AK$528,"Filled")/1000000</f>
        <v>6.6853174824</v>
      </c>
      <c r="M9" s="1128">
        <f>SUMIFS('REVIEW - Complete Role Mapping'!$AA$2:$AA$528,'REVIEW - Complete Role Mapping'!$AJ$2:$AJ$528,$B9,'REVIEW - Complete Role Mapping'!$AK$2:$AK$528,"Vacant")/1000000</f>
        <v>3.345912</v>
      </c>
      <c r="N9" s="1129" t="n"/>
    </row>
    <row r="10">
      <c r="B10" s="549" t="inlineStr">
        <is>
          <t>P&amp;C</t>
        </is>
      </c>
      <c r="C10" s="1126">
        <f>COUNTIFS('REVIEW - Complete Role Mapping'!$AJ$2:$AJ$528,$B10)</f>
        <v>18</v>
      </c>
      <c r="D10" s="1126">
        <f>COUNTIFS('REVIEW - Complete Role Mapping'!$AJ$2:$AJ$528,$B10,'REVIEW - Complete Role Mapping'!$AK$2:$AK$528,"Filled")</f>
        <v>8</v>
      </c>
      <c r="E10" s="1126">
        <f>COUNTIFS('REVIEW - Complete Role Mapping'!$AJ$2:$AJ$528,$B10,'REVIEW - Complete Role Mapping'!$AK$2:$AK$528,"Vacant")</f>
        <v>10</v>
      </c>
      <c r="F10" s="1126">
        <f>SUMIFS('REVIEW - Complete Role Mapping'!$AA$2:$AA$528,'REVIEW - Complete Role Mapping'!$AJ$2:$AJ$528,$B10)/1000000</f>
        <v>4.18444088</v>
      </c>
      <c r="G10" s="1126">
        <f>'2.5 P&amp;C'!$L$10</f>
        <v>1.4</v>
      </c>
      <c r="H10" s="1127">
        <f>$F10-$G10</f>
        <v>2.78444088</v>
      </c>
      <c r="I10" s="1127">
        <f>'2.5 P&amp;C'!$O$10</f>
        <v>2.07003598</v>
      </c>
      <c r="J10" s="1127">
        <f>$I10-$F10</f>
        <v>-2.1144049</v>
      </c>
      <c r="K10" s="1126">
        <f>'2.5 P&amp;C'!$J$10</f>
        <v>8</v>
      </c>
      <c r="L10" s="1126">
        <f>SUMIFS('REVIEW - Complete Role Mapping'!$AA$2:$AA$528,'REVIEW - Complete Role Mapping'!$AJ$2:$AJ$528,$B10,'REVIEW - Complete Role Mapping'!$AK$2:$AK$528,"Filled")/1000000</f>
        <v>2.07003598</v>
      </c>
      <c r="M10" s="1128">
        <f>SUMIFS('REVIEW - Complete Role Mapping'!$AA$2:$AA$528,'REVIEW - Complete Role Mapping'!$AJ$2:$AJ$528,$B10,'REVIEW - Complete Role Mapping'!$AK$2:$AK$528,"Vacant")/1000000</f>
        <v>2.1144049</v>
      </c>
      <c r="N10" s="1129" t="n"/>
    </row>
    <row r="11">
      <c r="B11" s="549" t="inlineStr">
        <is>
          <t>Finance</t>
        </is>
      </c>
      <c r="C11" s="1126">
        <f>COUNTIFS('REVIEW - Complete Role Mapping'!$AJ$2:$AJ$528,$B11)</f>
        <v>17</v>
      </c>
      <c r="D11" s="1126">
        <f>COUNTIFS('REVIEW - Complete Role Mapping'!$AJ$2:$AJ$528,$B11,'REVIEW - Complete Role Mapping'!$AK$2:$AK$528,"Filled")</f>
        <v>9</v>
      </c>
      <c r="E11" s="1126">
        <f>COUNTIFS('REVIEW - Complete Role Mapping'!$AJ$2:$AJ$528,$B11,'REVIEW - Complete Role Mapping'!$AK$2:$AK$528,"Vacant")</f>
        <v>8</v>
      </c>
      <c r="F11" s="1126">
        <f>SUMIFS('REVIEW - Complete Role Mapping'!$AA$2:$AA$528,'REVIEW - Complete Role Mapping'!$AJ$2:$AJ$528,$B11)/1000000</f>
        <v>3.844616116</v>
      </c>
      <c r="G11" s="1126">
        <f>'2.6 Finance'!$L$11</f>
        <v>2.8</v>
      </c>
      <c r="H11" s="1127">
        <f>$F11-$G11</f>
        <v>1.044616116</v>
      </c>
      <c r="I11" s="1127">
        <f>'2.6 Finance'!$O$11</f>
        <v>2.047934746</v>
      </c>
      <c r="J11" s="1127">
        <f>$I11-$F11</f>
        <v>-1.79668137</v>
      </c>
      <c r="K11" s="1126">
        <f>'2.6 Finance'!$J$11</f>
        <v>9</v>
      </c>
      <c r="L11" s="1126">
        <f>SUMIFS('REVIEW - Complete Role Mapping'!$AA$2:$AA$528,'REVIEW - Complete Role Mapping'!$AJ$2:$AJ$528,$B11,'REVIEW - Complete Role Mapping'!$AK$2:$AK$528,"Filled")/1000000</f>
        <v>2.047934746</v>
      </c>
      <c r="M11" s="1128">
        <f>SUMIFS('REVIEW - Complete Role Mapping'!$AA$2:$AA$528,'REVIEW - Complete Role Mapping'!$AJ$2:$AJ$528,$B11,'REVIEW - Complete Role Mapping'!$AK$2:$AK$528,"Vacant")/1000000</f>
        <v>1.79668137</v>
      </c>
      <c r="N11" s="1129" t="n"/>
    </row>
    <row r="12">
      <c r="B12" s="549" t="inlineStr">
        <is>
          <t>Infrastructure</t>
        </is>
      </c>
      <c r="C12" s="1126">
        <f>COUNTIFS('REVIEW - Complete Role Mapping'!$AJ$2:$AJ$528,$B12)</f>
        <v>36</v>
      </c>
      <c r="D12" s="1126">
        <f>COUNTIFS('REVIEW - Complete Role Mapping'!$AJ$2:$AJ$528,$B12,'REVIEW - Complete Role Mapping'!$AK$2:$AK$528,"Filled")</f>
        <v>24</v>
      </c>
      <c r="E12" s="1126">
        <f>COUNTIFS('REVIEW - Complete Role Mapping'!$AJ$2:$AJ$528,$B12,'REVIEW - Complete Role Mapping'!$AK$2:$AK$528,"Vacant")</f>
        <v>12</v>
      </c>
      <c r="F12" s="1126">
        <f>SUMIFS('REVIEW - Complete Role Mapping'!$AA$2:$AA$528,'REVIEW - Complete Role Mapping'!$AJ$2:$AJ$528,$B12)/1000000</f>
        <v>7.74836354</v>
      </c>
      <c r="G12" s="1126">
        <f>'2.7 Infrastructure'!$L$11</f>
        <v>6.4</v>
      </c>
      <c r="H12" s="1127">
        <f>$F12-$G12</f>
        <v>1.34836354</v>
      </c>
      <c r="I12" s="1127">
        <f>'2.7 Infrastructure'!$O$11</f>
        <v>5.10357679</v>
      </c>
      <c r="J12" s="1127">
        <f>$I12-$F12</f>
        <v>-2.64478675</v>
      </c>
      <c r="K12" s="1126">
        <f>'2.7 Infrastructure'!$J$11</f>
        <v>24</v>
      </c>
      <c r="L12" s="1126">
        <f>SUMIFS('REVIEW - Complete Role Mapping'!$AA$2:$AA$528,'REVIEW - Complete Role Mapping'!$AJ$2:$AJ$528,$B12,'REVIEW - Complete Role Mapping'!$AK$2:$AK$528,"Filled")/1000000</f>
        <v>5.10357679</v>
      </c>
      <c r="M12" s="1128">
        <f>SUMIFS('REVIEW - Complete Role Mapping'!$AA$2:$AA$528,'REVIEW - Complete Role Mapping'!$AJ$2:$AJ$528,$B12,'REVIEW - Complete Role Mapping'!$AK$2:$AK$528,"Vacant")/1000000</f>
        <v>2.64478675</v>
      </c>
      <c r="N12" s="1129" t="n"/>
    </row>
    <row r="13">
      <c r="B13" s="549" t="inlineStr">
        <is>
          <t>Energy Solutions &amp; B2B</t>
        </is>
      </c>
      <c r="C13" s="1126">
        <f>COUNTIFS('REVIEW - Complete Role Mapping'!$AJ$2:$AJ$528,$B13)</f>
        <v>33</v>
      </c>
      <c r="D13" s="1126">
        <f>COUNTIFS('REVIEW - Complete Role Mapping'!$AJ$2:$AJ$528,$B13,'REVIEW - Complete Role Mapping'!$AK$2:$AK$528,"Filled")</f>
        <v>24</v>
      </c>
      <c r="E13" s="1126">
        <f>COUNTIFS('REVIEW - Complete Role Mapping'!$AJ$2:$AJ$528,$B13,'REVIEW - Complete Role Mapping'!$AK$2:$AK$528,"Vacant")</f>
        <v>9</v>
      </c>
      <c r="F13" s="1126">
        <f>SUMIFS('REVIEW - Complete Role Mapping'!$AA$2:$AA$528,'REVIEW - Complete Role Mapping'!$AJ$2:$AJ$528,$B13)/1000000</f>
        <v>6.447816278</v>
      </c>
      <c r="G13" s="1126">
        <f>'2.8 Energy Solutions &amp; B2B'!$L$10</f>
        <v>7.9</v>
      </c>
      <c r="H13" s="1127">
        <f>$F13-$G13</f>
        <v>-1.452183722</v>
      </c>
      <c r="I13" s="1127">
        <f>'2.8 Energy Solutions &amp; B2B'!$O$10</f>
        <v>4.418551028</v>
      </c>
      <c r="J13" s="1127">
        <f>$I13-$F13</f>
        <v>-2.02926525</v>
      </c>
      <c r="K13" s="1126">
        <f>'2.8 Energy Solutions &amp; B2B'!$J$10</f>
        <v>24</v>
      </c>
      <c r="L13" s="1126">
        <f>SUMIFS('REVIEW - Complete Role Mapping'!$AA$2:$AA$528,'REVIEW - Complete Role Mapping'!$AJ$2:$AJ$528,$B13,'REVIEW - Complete Role Mapping'!$AK$2:$AK$528,"Filled")/1000000</f>
        <v>4.418551028</v>
      </c>
      <c r="M13" s="1128">
        <f>SUMIFS('REVIEW - Complete Role Mapping'!$AA$2:$AA$528,'REVIEW - Complete Role Mapping'!$AJ$2:$AJ$528,$B13,'REVIEW - Complete Role Mapping'!$AK$2:$AK$528,"Vacant")/1000000</f>
        <v>2.02926525</v>
      </c>
      <c r="N13" s="1129" t="n"/>
    </row>
    <row r="14">
      <c r="B14" s="549" t="inlineStr">
        <is>
          <t>Commercial Fuels</t>
        </is>
      </c>
      <c r="C14" s="1126">
        <f>COUNTIFS('REVIEW - Complete Role Mapping'!$AJ$2:$AJ$528,$B14)</f>
        <v>42</v>
      </c>
      <c r="D14" s="1126">
        <f>COUNTIFS('REVIEW - Complete Role Mapping'!$AJ$2:$AJ$528,$B14,'REVIEW - Complete Role Mapping'!$AK$2:$AK$528,"Filled")</f>
        <v>33</v>
      </c>
      <c r="E14" s="1126">
        <f>COUNTIFS('REVIEW - Complete Role Mapping'!$AJ$2:$AJ$528,$B14,'REVIEW - Complete Role Mapping'!$AK$2:$AK$528,"Vacant")</f>
        <v>9</v>
      </c>
      <c r="F14" s="1126">
        <f>SUMIFS('REVIEW - Complete Role Mapping'!$AA$2:$AA$528,'REVIEW - Complete Role Mapping'!$AJ$2:$AJ$528,$B14)/1000000</f>
        <v>10.1976697287</v>
      </c>
      <c r="G14" s="1126">
        <f>'2.9 Commercial Fuels'!$L$11</f>
        <v>5.9</v>
      </c>
      <c r="H14" s="1127">
        <f>$F14-$G14</f>
        <v>4.2976697287</v>
      </c>
      <c r="I14" s="1127">
        <f>'2.9 Commercial Fuels'!$O$11</f>
        <v>8.2810494787</v>
      </c>
      <c r="J14" s="1127">
        <f>$I14-$F14</f>
        <v>-1.91662025</v>
      </c>
      <c r="K14" s="1126">
        <f>'2.9 Commercial Fuels'!$J$11</f>
        <v>33</v>
      </c>
      <c r="L14" s="1126">
        <f>SUMIFS('REVIEW - Complete Role Mapping'!$AA$2:$AA$528,'REVIEW - Complete Role Mapping'!$AJ$2:$AJ$528,$B14,'REVIEW - Complete Role Mapping'!$AK$2:$AK$528,"Filled")/1000000</f>
        <v>8.2810494787</v>
      </c>
      <c r="M14" s="1128">
        <f>SUMIFS('REVIEW - Complete Role Mapping'!$AA$2:$AA$528,'REVIEW - Complete Role Mapping'!$AJ$2:$AJ$528,$B14,'REVIEW - Complete Role Mapping'!$AK$2:$AK$528,"Vacant")/1000000</f>
        <v>1.91662025</v>
      </c>
      <c r="N14" s="1129" t="n"/>
    </row>
    <row r="15">
      <c r="B15" s="549" t="inlineStr">
        <is>
          <t>Z Retail</t>
        </is>
      </c>
      <c r="C15" s="1126">
        <f>COUNTIFS('REVIEW - Complete Role Mapping'!$AJ$2:$AJ$528,$B15)</f>
        <v>39</v>
      </c>
      <c r="D15" s="1126">
        <f>COUNTIFS('REVIEW - Complete Role Mapping'!$AJ$2:$AJ$528,$B15,'REVIEW - Complete Role Mapping'!$AK$2:$AK$528,"Filled")</f>
        <v>32</v>
      </c>
      <c r="E15" s="1126">
        <f>COUNTIFS('REVIEW - Complete Role Mapping'!$AJ$2:$AJ$528,$B15,'REVIEW - Complete Role Mapping'!$AK$2:$AK$528,"Vacant")</f>
        <v>7</v>
      </c>
      <c r="F15" s="1126">
        <f>SUMIFS('REVIEW - Complete Role Mapping'!$AA$2:$AA$528,'REVIEW - Complete Role Mapping'!$AJ$2:$AJ$528,$B15)/1000000</f>
        <v>7.337294352</v>
      </c>
      <c r="G15" s="1126">
        <f>'2.10 Z Retail'!$L$11</f>
        <v>7.8</v>
      </c>
      <c r="H15" s="1127">
        <f>$F15-$G15</f>
        <v>-0.462705648</v>
      </c>
      <c r="I15" s="1127">
        <f>'2.10 Z Retail'!$O$11</f>
        <v>5.686366352</v>
      </c>
      <c r="J15" s="1127">
        <f>$I15-$F15</f>
        <v>-1.650928</v>
      </c>
      <c r="K15" s="1126">
        <f>'2.10 Z Retail'!$J$11</f>
        <v>32</v>
      </c>
      <c r="L15" s="1126">
        <f>SUMIFS('REVIEW - Complete Role Mapping'!$AA$2:$AA$528,'REVIEW - Complete Role Mapping'!$AJ$2:$AJ$528,$B15,'REVIEW - Complete Role Mapping'!$AK$2:$AK$528,"Filled")/1000000</f>
        <v>5.686366352</v>
      </c>
      <c r="M15" s="1128">
        <f>SUMIFS('REVIEW - Complete Role Mapping'!$AA$2:$AA$528,'REVIEW - Complete Role Mapping'!$AJ$2:$AJ$528,$B15,'REVIEW - Complete Role Mapping'!$AK$2:$AK$528,"Vacant")/1000000</f>
        <v>1.650928</v>
      </c>
      <c r="N15" s="1129" t="n"/>
    </row>
    <row r="16">
      <c r="B16" s="1218" t="inlineStr">
        <is>
          <t>Portfolios (archetype-based)</t>
        </is>
      </c>
      <c r="C16" s="1126">
        <f>SUM(C6:C15)</f>
        <v>414</v>
      </c>
      <c r="D16" s="1126">
        <f>SUM(D6:D15)</f>
        <v>300</v>
      </c>
      <c r="E16" s="1126">
        <f>SUM(E6:E15)</f>
        <v>114</v>
      </c>
      <c r="F16" s="1126">
        <f>SUM(F6:F15)</f>
        <v>87.8407004501</v>
      </c>
      <c r="G16" s="1126">
        <f>SUM(G6:G15)</f>
        <v>70.7</v>
      </c>
      <c r="H16" s="1127">
        <f>SUM(H6:H15)</f>
        <v>17.1407004501</v>
      </c>
      <c r="I16" s="1127">
        <f>SUM(I6:I15)</f>
        <v>64.4166326441</v>
      </c>
      <c r="J16" s="1127">
        <f>SUM(J6:J15)</f>
        <v>-23.424067806</v>
      </c>
      <c r="K16" s="1126">
        <f>SUM(K6:K15)</f>
        <v>300</v>
      </c>
      <c r="L16" s="1126">
        <f>SUM(L6:L15)</f>
        <v>64.4166326441</v>
      </c>
      <c r="M16" s="1128">
        <f>SUM(M6:M15)</f>
        <v>23.424067806</v>
      </c>
      <c r="N16" s="1129" t="n"/>
    </row>
    <row r="17">
      <c r="B17" s="549" t="inlineStr">
        <is>
          <t>COE Cyber</t>
        </is>
      </c>
      <c r="C17" s="1126">
        <f>COUNTIFS('REVIEW - Complete Role Mapping'!$AJ$2:$AJ$528,$B17)</f>
        <v>46</v>
      </c>
      <c r="D17" s="1126">
        <f>COUNTIFS('REVIEW - Complete Role Mapping'!$AJ$2:$AJ$528,$B17,'REVIEW - Complete Role Mapping'!$AK$2:$AK$528,"Filled")</f>
        <v>42</v>
      </c>
      <c r="E17" s="1126">
        <f>COUNTIFS('REVIEW - Complete Role Mapping'!$AJ$2:$AJ$528,$B17,'REVIEW - Complete Role Mapping'!$AK$2:$AK$528,"Vacant")</f>
        <v>4</v>
      </c>
      <c r="F17" s="1126">
        <f>SUMIFS('REVIEW - Complete Role Mapping'!$AA$2:$AA$528,'REVIEW - Complete Role Mapping'!$AJ$2:$AJ$528,$B17)/1000000</f>
        <v>9.897858294</v>
      </c>
      <c r="G17" s="1126" t="str">
        <f>"-"</f>
        <v>-</v>
      </c>
      <c r="H17" s="1127" t="str">
        <f>"-"</f>
        <v>-</v>
      </c>
      <c r="I17" s="1127">
        <f>'2.11 TDD Cyber'!$O$11</f>
        <v>9.199090294</v>
      </c>
      <c r="J17" s="1127">
        <f>$I17-$F17</f>
        <v>-0.698767999999999</v>
      </c>
      <c r="K17" s="1126">
        <f>'2.11 TDD Cyber'!$J$11</f>
        <v>42</v>
      </c>
      <c r="L17" s="1126">
        <f>SUMIFS('REVIEW - Complete Role Mapping'!$AA$2:$AA$528,'REVIEW - Complete Role Mapping'!$AJ$2:$AJ$528,$B17,'REVIEW - Complete Role Mapping'!$AK$2:$AK$528,"Filled")/1000000</f>
        <v>9.199090294</v>
      </c>
      <c r="M17" s="1128">
        <f>SUMIFS('REVIEW - Complete Role Mapping'!$AA$2:$AA$528,'REVIEW - Complete Role Mapping'!$AJ$2:$AJ$528,$B17,'REVIEW - Complete Role Mapping'!$AK$2:$AK$528,"Vacant")/1000000</f>
        <v>0.698768</v>
      </c>
      <c r="N17" s="1219" t="inlineStr">
        <is>
          <t>Measured against budget, not archetype</t>
        </is>
      </c>
    </row>
    <row r="18">
      <c r="B18" s="549" t="inlineStr">
        <is>
          <t>COE BP&amp;T</t>
        </is>
      </c>
      <c r="C18" s="1126">
        <f>COUNTIFS('REVIEW - Complete Role Mapping'!$AJ$2:$AJ$528,$B18)</f>
        <v>24</v>
      </c>
      <c r="D18" s="1126">
        <f>COUNTIFS('REVIEW - Complete Role Mapping'!$AJ$2:$AJ$528,$B18,'REVIEW - Complete Role Mapping'!$AK$2:$AK$528,"Filled")</f>
        <v>15</v>
      </c>
      <c r="E18" s="1126">
        <f>COUNTIFS('REVIEW - Complete Role Mapping'!$AJ$2:$AJ$528,$B18,'REVIEW - Complete Role Mapping'!$AK$2:$AK$528,"Vacant")</f>
        <v>9</v>
      </c>
      <c r="F18" s="1126">
        <f>SUMIFS('REVIEW - Complete Role Mapping'!$AA$2:$AA$528,'REVIEW - Complete Role Mapping'!$AJ$2:$AJ$528,$B18)/1000000</f>
        <v>6.400561822</v>
      </c>
      <c r="G18" s="1126" t="str">
        <f>"-"</f>
        <v>-</v>
      </c>
      <c r="H18" s="1127" t="str">
        <f>"-"</f>
        <v>-</v>
      </c>
      <c r="I18" s="1127">
        <f>'2.12 BP&amp;T'!$O$9</f>
        <v>4.053047842</v>
      </c>
      <c r="J18" s="1127">
        <f>$I18-$F18</f>
        <v>-2.34751398</v>
      </c>
      <c r="K18" s="1126">
        <f>'2.12 BP&amp;T'!$J$9</f>
        <v>15</v>
      </c>
      <c r="L18" s="1126">
        <f>SUMIFS('REVIEW - Complete Role Mapping'!$AA$2:$AA$528,'REVIEW - Complete Role Mapping'!$AJ$2:$AJ$528,$B18,'REVIEW - Complete Role Mapping'!$AK$2:$AK$528,"Filled")/1000000</f>
        <v>4.053047842</v>
      </c>
      <c r="M18" s="1128">
        <f>SUMIFS('REVIEW - Complete Role Mapping'!$AA$2:$AA$528,'REVIEW - Complete Role Mapping'!$AJ$2:$AJ$528,$B18,'REVIEW - Complete Role Mapping'!$AK$2:$AK$528,"Vacant")/1000000</f>
        <v>2.34751398</v>
      </c>
      <c r="N18" s="1219" t="inlineStr">
        <is>
          <t>Measured against budget, not archetype</t>
        </is>
      </c>
    </row>
    <row r="19">
      <c r="B19" s="549" t="inlineStr">
        <is>
          <t>COE SA&amp;D</t>
        </is>
      </c>
      <c r="C19" s="1126">
        <f>COUNTIFS('REVIEW - Complete Role Mapping'!$AJ$2:$AJ$528,$B19)</f>
        <v>24</v>
      </c>
      <c r="D19" s="1126">
        <f>COUNTIFS('REVIEW - Complete Role Mapping'!$AJ$2:$AJ$528,$B19,'REVIEW - Complete Role Mapping'!$AK$2:$AK$528,"Filled")</f>
        <v>16</v>
      </c>
      <c r="E19" s="1126">
        <f>COUNTIFS('REVIEW - Complete Role Mapping'!$AJ$2:$AJ$528,$B19,'REVIEW - Complete Role Mapping'!$AK$2:$AK$528,"Vacant")</f>
        <v>8</v>
      </c>
      <c r="F19" s="1126">
        <f>SUMIFS('REVIEW - Complete Role Mapping'!$AA$2:$AA$528,'REVIEW - Complete Role Mapping'!$AJ$2:$AJ$528,$B19)/1000000</f>
        <v>6.030722352</v>
      </c>
      <c r="G19" s="1126" t="str">
        <f>"-"</f>
        <v>-</v>
      </c>
      <c r="H19" s="1127" t="str">
        <f>"-"</f>
        <v>-</v>
      </c>
      <c r="I19" s="1127">
        <f>'2.13 SA&amp;D'!$O$11</f>
        <v>3.966580052</v>
      </c>
      <c r="J19" s="1127">
        <f>$I19-$F19</f>
        <v>-2.0641423</v>
      </c>
      <c r="K19" s="1126">
        <f>'2.13 SA&amp;D'!$J$11</f>
        <v>16</v>
      </c>
      <c r="L19" s="1126">
        <f>SUMIFS('REVIEW - Complete Role Mapping'!$AA$2:$AA$528,'REVIEW - Complete Role Mapping'!$AJ$2:$AJ$528,$B19,'REVIEW - Complete Role Mapping'!$AK$2:$AK$528,"Filled")/1000000</f>
        <v>3.966580052</v>
      </c>
      <c r="M19" s="1128">
        <f>SUMIFS('REVIEW - Complete Role Mapping'!$AA$2:$AA$528,'REVIEW - Complete Role Mapping'!$AJ$2:$AJ$528,$B19,'REVIEW - Complete Role Mapping'!$AK$2:$AK$528,"Vacant")/1000000</f>
        <v>2.0641423</v>
      </c>
      <c r="N19" s="1219" t="inlineStr">
        <is>
          <t>Measured against budget, not archetype</t>
        </is>
      </c>
    </row>
    <row r="20">
      <c r="B20" s="549" t="inlineStr">
        <is>
          <t>EGI</t>
        </is>
      </c>
      <c r="C20" s="1126">
        <f>COUNTIFS('REVIEW - Complete Role Mapping'!$AJ$2:$AJ$528,$B20)</f>
        <v>17</v>
      </c>
      <c r="D20" s="1126">
        <f>COUNTIFS('REVIEW - Complete Role Mapping'!$AJ$2:$AJ$528,$B20,'REVIEW - Complete Role Mapping'!$AK$2:$AK$528,"Filled")</f>
        <v>17</v>
      </c>
      <c r="E20" s="1126">
        <f>COUNTIFS('REVIEW - Complete Role Mapping'!$AJ$2:$AJ$528,$B20,'REVIEW - Complete Role Mapping'!$AK$2:$AK$528,"Vacant")</f>
        <v>0</v>
      </c>
      <c r="F20" s="1126">
        <f>SUMIFS('REVIEW - Complete Role Mapping'!$AA$2:$AA$528,'REVIEW - Complete Role Mapping'!$AJ$2:$AJ$528,$B20)/1000000</f>
        <v>4.94341935</v>
      </c>
      <c r="G20" s="1126" t="str">
        <f>"-"</f>
        <v>-</v>
      </c>
      <c r="H20" s="1127" t="str">
        <f>"-"</f>
        <v>-</v>
      </c>
      <c r="I20" s="1127">
        <f>'2.14 EGI'!$O$7</f>
        <v>4.94341935</v>
      </c>
      <c r="J20" s="1127">
        <f>$I20-$F20</f>
        <v>0</v>
      </c>
      <c r="K20" s="1126">
        <f>'2.14 EGI'!$J$7</f>
        <v>17</v>
      </c>
      <c r="L20" s="1126">
        <f>SUMIFS('REVIEW - Complete Role Mapping'!$AA$2:$AA$528,'REVIEW - Complete Role Mapping'!$AJ$2:$AJ$528,$B20,'REVIEW - Complete Role Mapping'!$AK$2:$AK$528,"Filled")/1000000</f>
        <v>4.94341935</v>
      </c>
      <c r="M20" s="1128">
        <f>SUMIFS('REVIEW - Complete Role Mapping'!$AA$2:$AA$528,'REVIEW - Complete Role Mapping'!$AJ$2:$AJ$528,$B20,'REVIEW - Complete Role Mapping'!$AK$2:$AK$528,"Vacant")/1000000</f>
        <v>0</v>
      </c>
      <c r="N20" s="1219" t="inlineStr">
        <is>
          <t>Measured against budget, not archetype</t>
        </is>
      </c>
    </row>
    <row r="21">
      <c r="B21" s="1218" t="inlineStr">
        <is>
          <t>Total</t>
        </is>
      </c>
      <c r="C21" s="1126">
        <f>$C16+SUM(C17:C20)</f>
        <v>525</v>
      </c>
      <c r="D21" s="1126">
        <f>$D16+SUM(D17:D20)</f>
        <v>390</v>
      </c>
      <c r="E21" s="1126">
        <f>$E16+SUM(E17:E20)</f>
        <v>135</v>
      </c>
      <c r="F21" s="1126">
        <f>$F16+SUM(F17:F20)</f>
        <v>115.1132622681</v>
      </c>
      <c r="G21" s="1126">
        <f>$G16</f>
        <v>70.7</v>
      </c>
      <c r="H21" s="1127">
        <f>$H16</f>
        <v>17.1407004501</v>
      </c>
      <c r="I21" s="1127">
        <f>$I16+SUM(I17:I20)</f>
        <v>86.5787701821</v>
      </c>
      <c r="J21" s="1127">
        <f>$J16+SUM(J17:J20)</f>
        <v>-28.534492086</v>
      </c>
      <c r="K21" s="1126">
        <f>$K16+SUM(K17:K20)</f>
        <v>390</v>
      </c>
      <c r="L21" s="1126">
        <f>$L16+SUM(L17:L20)</f>
        <v>86.5787701821</v>
      </c>
      <c r="M21" s="1128">
        <f>$M16+SUM(M17:M20)</f>
        <v>28.534492086</v>
      </c>
      <c r="N21" s="1129" t="n"/>
    </row>
    <row r="22">
      <c r="B22" s="1220" t="inlineStr">
        <is>
          <t>Archetype and variance cover the ten archetype-based portfolios only; the four COEs are measured against budget.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inlineStr">
        <is>
          <t>Ledger control - roles</t>
        </is>
      </c>
      <c r="C23" s="1130">
        <f>COUNTA('REVIEW - Complete Role Mapping'!$B$2:$B$528)-$C$21</f>
        <v>0</v>
      </c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Ledger control - cost ($m), must be 0</t>
        </is>
      </c>
      <c r="C24" s="1132" t="n"/>
      <c r="D24" s="1132" t="n"/>
      <c r="E24" s="1132" t="n"/>
      <c r="F24" s="1132">
        <f>SUMIFS('REVIEW - Complete Role Mapping'!$AA$2:$AA$528,'REVIEW - Complete Role Mapping'!$AJ$2:$AJ$528,"&lt;&gt;")/1000000-$F$21</f>
        <v>0</v>
      </c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543" t="n"/>
      <c r="C25" s="1132" t="n"/>
      <c r="D25" s="545" t="n"/>
      <c r="E25" s="1132" t="n"/>
      <c r="F25" s="1132" t="n"/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23" t="inlineStr">
        <is>
          <t>Shared roles - allowance vs actual (each role classified once in REVIEW)</t>
        </is>
      </c>
      <c r="C26" s="1132" t="n"/>
      <c r="D26" s="1132" t="n"/>
      <c r="E26" s="1132" t="n"/>
      <c r="F26" s="1132" t="n"/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inlineStr">
        <is>
          <t>Class</t>
        </is>
      </c>
      <c r="C27" s="1224" t="inlineStr">
        <is>
          <t>Roles</t>
        </is>
      </c>
      <c r="D27" s="1132" t="n"/>
      <c r="E27" s="1132" t="n"/>
      <c r="F27" s="1224" t="inlineStr">
        <is>
          <t>Actual ($m)</t>
        </is>
      </c>
      <c r="G27" s="1224" t="inlineStr">
        <is>
          <t>Allowance ($m)</t>
        </is>
      </c>
      <c r="H27" s="1029" t="inlineStr">
        <is>
          <t>Variance ($m)</t>
        </is>
      </c>
      <c r="I27" s="504" t="n"/>
      <c r="J27" s="504" t="n"/>
      <c r="K27" s="504" t="n"/>
      <c r="L27" s="504" t="n"/>
      <c r="M27" s="504" t="n"/>
      <c r="N27" s="949" t="n"/>
    </row>
    <row r="28">
      <c r="B28" s="596" t="inlineStr">
        <is>
          <t>Head of Technology</t>
        </is>
      </c>
      <c r="C28" s="1132">
        <f>COUNTIFS('REVIEW - Complete Role Mapping'!$AR$2:$AR$528,$B28)</f>
        <v>11</v>
      </c>
      <c r="D28" s="1132" t="n"/>
      <c r="E28" s="1132" t="n"/>
      <c r="F28" s="1132">
        <f>SUMIFS('REVIEW - Complete Role Mapping'!$AA$2:$AA$528,'REVIEW - Complete Role Mapping'!$AR$2:$AR$528,$B28)/1000000</f>
        <v>3.383334286</v>
      </c>
      <c r="G28" s="1132">
        <f>IFERROR(INDEX(Lists!$AI:$AI,MATCH($B28,Lists!$AF:$AF,0)),0)</f>
        <v>1.375</v>
      </c>
      <c r="H28" s="504">
        <f>$F28-$G28</f>
        <v>2.008334286</v>
      </c>
      <c r="I28" s="504" t="n"/>
      <c r="J28" s="504" t="n"/>
      <c r="K28" s="504" t="n"/>
      <c r="L28" s="504" t="n"/>
      <c r="M28" s="504" t="n"/>
      <c r="N28" s="949" t="n"/>
    </row>
    <row r="29">
      <c r="B29" s="596" t="inlineStr">
        <is>
          <t>Leadership</t>
        </is>
      </c>
      <c r="C29" s="1132">
        <f>COUNTIFS('REVIEW - Complete Role Mapping'!$AR$2:$AR$528,$B29)</f>
        <v>42</v>
      </c>
      <c r="D29" s="1132" t="n"/>
      <c r="E29" s="1132" t="n"/>
      <c r="F29" s="1132">
        <f>SUMIFS('REVIEW - Complete Role Mapping'!$AA$2:$AA$528,'REVIEW - Complete Role Mapping'!$AR$2:$AR$528,$B29)/1000000</f>
        <v>10.866483267</v>
      </c>
      <c r="G29" s="1132">
        <f>IFERROR(INDEX(Lists!$AI:$AI,MATCH($B29,Lists!$AF:$AF,0)),0)</f>
        <v>3</v>
      </c>
      <c r="H29" s="504">
        <f>$F29-$G29</f>
        <v>7.866483267</v>
      </c>
      <c r="I29" s="504" t="n"/>
      <c r="J29" s="504" t="n"/>
      <c r="K29" s="504" t="n"/>
      <c r="L29" s="504" t="n"/>
      <c r="M29" s="504" t="n"/>
      <c r="N29" s="949" t="n"/>
    </row>
    <row r="30">
      <c r="B30" s="596" t="inlineStr">
        <is>
          <t>Business Partner</t>
        </is>
      </c>
      <c r="C30" s="1132">
        <f>COUNTIFS('REVIEW - Complete Role Mapping'!$AR$2:$AR$528,$B30)</f>
        <v>6</v>
      </c>
      <c r="D30" s="1132" t="n"/>
      <c r="E30" s="1132" t="n"/>
      <c r="F30" s="1132">
        <f>SUMIFS('REVIEW - Complete Role Mapping'!$AA$2:$AA$528,'REVIEW - Complete Role Mapping'!$AR$2:$AR$528,$B30)/1000000</f>
        <v>2.3135484</v>
      </c>
      <c r="G30" s="1132">
        <f>IFERROR(INDEX(Lists!$AI:$AI,MATCH($B30,Lists!$AF:$AF,0)),0)</f>
        <v>2.2</v>
      </c>
      <c r="H30" s="504">
        <f>$F30-$G30</f>
        <v>0.1135484</v>
      </c>
      <c r="I30" s="504" t="n"/>
      <c r="J30" s="504" t="n"/>
      <c r="K30" s="504" t="n"/>
      <c r="L30" s="504" t="n"/>
      <c r="M30" s="504" t="n"/>
      <c r="N30" s="949" t="n"/>
    </row>
    <row r="31">
      <c r="B31" s="596" t="inlineStr">
        <is>
          <t>Architecture</t>
        </is>
      </c>
      <c r="C31" s="1132">
        <f>COUNTIFS('REVIEW - Complete Role Mapping'!$AR$2:$AR$528,$B31)</f>
        <v>7</v>
      </c>
      <c r="D31" s="1132" t="n"/>
      <c r="E31" s="1132" t="n"/>
      <c r="F31" s="1132">
        <f>SUMIFS('REVIEW - Complete Role Mapping'!$AA$2:$AA$528,'REVIEW - Complete Role Mapping'!$AR$2:$AR$528,$B31)/1000000</f>
        <v>1.664746536</v>
      </c>
      <c r="G31" s="1132">
        <f>IFERROR(INDEX(Lists!$AI:$AI,MATCH($B31,Lists!$AF:$AF,0)),0)</f>
        <v>1.4</v>
      </c>
      <c r="H31" s="504">
        <f>$F31-$G31</f>
        <v>0.264746536</v>
      </c>
      <c r="I31" s="504" t="n"/>
      <c r="J31" s="504" t="n"/>
      <c r="K31" s="504" t="n"/>
      <c r="L31" s="504" t="n"/>
      <c r="M31" s="504" t="n"/>
      <c r="N31" s="949" t="n"/>
    </row>
    <row r="32">
      <c r="B32" s="1225" t="inlineStr">
        <is>
          <t>Shared roles total</t>
        </is>
      </c>
      <c r="C32" s="1132">
        <f>SUM(C28:C31)</f>
        <v>66</v>
      </c>
      <c r="D32" s="1132" t="n"/>
      <c r="E32" s="1132" t="n"/>
      <c r="F32" s="1132">
        <f>SUM(F28:F31)</f>
        <v>18.228112489</v>
      </c>
      <c r="G32" s="1132">
        <f>SUM(G28:G31)</f>
        <v>7.975</v>
      </c>
      <c r="H32" s="504">
        <f>SUM(H28:H31)</f>
        <v>10.253112489</v>
      </c>
      <c r="I32" s="504" t="n"/>
      <c r="J32" s="504" t="n"/>
      <c r="K32" s="504" t="n"/>
      <c r="L32" s="504" t="n"/>
      <c r="M32" s="504" t="n"/>
      <c r="N32" s="949" t="n"/>
    </row>
    <row r="33">
      <c r="B33" s="596" t="inlineStr">
        <is>
          <t>Squad (delivery) roles</t>
        </is>
      </c>
      <c r="C33" s="1132">
        <f>COUNTIFS('REVIEW - Complete Role Mapping'!$AR$2:$AR$528,"Squad")</f>
        <v>459</v>
      </c>
      <c r="D33" s="1132" t="n"/>
      <c r="E33" s="1132" t="n"/>
      <c r="F33" s="1132">
        <f>SUMIFS('REVIEW - Complete Role Mapping'!$AA$2:$AA$528,'REVIEW - Complete Role Mapping'!$AR$2:$AR$528,"Squad")/1000000</f>
        <v>96.8851497791</v>
      </c>
      <c r="G33" s="1132" t="n"/>
      <c r="H33" s="504" t="n"/>
      <c r="I33" s="504" t="n"/>
      <c r="J33" s="504" t="n"/>
      <c r="K33" s="504" t="n"/>
      <c r="L33" s="504" t="n"/>
      <c r="M33" s="504" t="n"/>
    </row>
    <row r="34">
      <c r="B34" s="1226" t="inlineStr">
        <is>
          <t>Total - ties to the ledger</t>
        </is>
      </c>
      <c r="C34" s="504">
        <f>$C32+$C33</f>
        <v>525</v>
      </c>
      <c r="D34" s="504" t="n"/>
      <c r="E34" s="504" t="n"/>
      <c r="F34" s="504">
        <f>$F32+$F33</f>
        <v>115.1132622681</v>
      </c>
      <c r="G34" s="504" t="n"/>
      <c r="H34" s="504" t="n"/>
      <c r="I34" s="504" t="n"/>
      <c r="J34" s="504" t="n"/>
      <c r="K34" s="504" t="n"/>
      <c r="L34" s="504" t="n"/>
      <c r="M34" s="504" t="n"/>
    </row>
    <row r="35">
      <c r="B35" s="596" t="n"/>
      <c r="C35" s="504" t="n"/>
      <c r="D35" s="504" t="n"/>
      <c r="E35" s="504" t="n"/>
      <c r="F35" s="504" t="n"/>
      <c r="G35" s="504" t="n"/>
      <c r="H35" s="504" t="n"/>
      <c r="I35" s="504" t="n"/>
      <c r="J35" s="504" t="n"/>
      <c r="K35" s="504" t="n"/>
      <c r="L35" s="504" t="n"/>
      <c r="M35" s="504" t="n"/>
    </row>
    <row r="36">
      <c r="B36" s="981" t="n"/>
      <c r="C36" s="981" t="n"/>
      <c r="D36" s="981" t="n"/>
      <c r="E36" s="981" t="n"/>
      <c r="F36" s="981" t="n"/>
      <c r="G36" s="981" t="n"/>
      <c r="H36" s="504" t="n"/>
      <c r="I36" s="504" t="n"/>
      <c r="J36" s="504" t="n"/>
      <c r="K36" s="504" t="n"/>
      <c r="L36" s="504" t="n"/>
      <c r="M36" s="504" t="n"/>
    </row>
    <row r="37">
      <c r="B37" s="596" t="n"/>
      <c r="C37" s="1132" t="n"/>
      <c r="D37" s="1132" t="n"/>
      <c r="E37" s="1132" t="n"/>
      <c r="F37" s="1132" t="n"/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596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596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inlineStr">
        <is>
          <t>Org roles</t>
        </is>
      </c>
      <c r="D3" s="486" t="inlineStr">
        <is>
          <t>Filled</t>
        </is>
      </c>
      <c r="E3" s="486" t="inlineStr">
        <is>
          <t>Vacant</t>
        </is>
      </c>
      <c r="F3" s="486" t="inlineStr">
        <is>
          <t>Vacancy rate</t>
        </is>
      </c>
      <c r="G3" s="486" t="inlineStr">
        <is>
          <t>Archetype roles (squads)</t>
        </is>
      </c>
      <c r="H3" s="486" t="inlineStr">
        <is>
          <t>Roles above archetype</t>
        </is>
      </c>
      <c r="I3" s="486" t="inlineStr">
        <is>
          <t>Archetype cost incl overheads ($m)</t>
        </is>
      </c>
      <c r="J3" s="486" t="inlineStr">
        <is>
          <t>Actual squad cost ($m)</t>
        </is>
      </c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statement, every squad in the ledger. Counts only - no dollars in this table.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030" t="inlineStr">
        <is>
          <t>Portfolio</t>
        </is>
      </c>
      <c r="C5" s="1030" t="inlineStr">
        <is>
          <t>Squad</t>
        </is>
      </c>
      <c r="D5" s="1030" t="inlineStr">
        <is>
          <t>Archetype type</t>
        </is>
      </c>
      <c r="E5" s="1030" t="inlineStr">
        <is>
          <t>Archetype size</t>
        </is>
      </c>
      <c r="F5" s="1030" t="inlineStr">
        <is>
          <t>Archetype roles</t>
        </is>
      </c>
      <c r="G5" s="1030" t="inlineStr">
        <is>
          <t>Filled</t>
        </is>
      </c>
      <c r="H5" s="1030" t="inlineStr">
        <is>
          <t>Vacant</t>
        </is>
      </c>
      <c r="I5" s="1030" t="inlineStr">
        <is>
          <t>Total roles</t>
        </is>
      </c>
      <c r="J5" s="1030" t="inlineStr">
        <is>
          <t>Variance to archetype</t>
        </is>
      </c>
      <c r="K5" s="1030" t="inlineStr">
        <is>
          <t>Roles after decisions</t>
        </is>
      </c>
      <c r="L5" s="1030" t="inlineStr">
        <is>
          <t>Vacancy %</t>
        </is>
      </c>
    </row>
    <row r="6" ht="43.5" customHeight="1">
      <c r="B6" s="486" t="inlineStr">
        <is>
          <t>Ampol Retail</t>
        </is>
      </c>
      <c r="C6" s="486" t="str">
        <f>'2.1 Ampol Retail'!$B$6</f>
        <v>Above Store</v>
      </c>
      <c r="D6" s="486" t="str">
        <f>'2.1 Ampol Retail'!$C$6</f>
        <v>Configuration / Integration</v>
      </c>
      <c r="E6" s="486" t="str">
        <f>'2.1 Ampol Retail'!$R$6</f>
        <v>M</v>
      </c>
      <c r="F6" s="486">
        <f>'2.1 Ampol Retail'!$D$6</f>
        <v>9</v>
      </c>
      <c r="G6" s="486">
        <f>COUNTIFS('REVIEW - Complete Role Mapping'!$AJ$2:$AJ$528,$B6,'REVIEW - Complete Role Mapping'!$AP$2:$AP$528,$C6,'REVIEW - Complete Role Mapping'!$AK$2:$AK$528,"Filled")</f>
        <v>7</v>
      </c>
      <c r="H6" s="486">
        <f>COUNTIFS('REVIEW - Complete Role Mapping'!$AJ$2:$AJ$528,$B6,'REVIEW - Complete Role Mapping'!$AP$2:$AP$528,$C6,'REVIEW - Complete Role Mapping'!$AK$2:$AK$528,"Vacant")</f>
        <v>4</v>
      </c>
      <c r="I6" s="486">
        <f>$G6+$H6</f>
        <v>11</v>
      </c>
      <c r="J6" s="486">
        <f>IFERROR($I6-$F6,"-")</f>
        <v>2</v>
      </c>
      <c r="K6" s="486">
        <f>'2.1 Ampol Retail'!$J$6</f>
        <v>7</v>
      </c>
      <c r="L6" s="486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285" t="str">
        <f>'2.1 Ampol Retail'!$B$7</f>
        <v>AmPOS</v>
      </c>
      <c r="D7" s="285" t="str">
        <f>'2.1 Ampol Retail'!$C$7</f>
        <v>Strategic Programs</v>
      </c>
      <c r="E7" s="285" t="str">
        <f>'2.1 Ampol Retail'!$R$7</f>
        <v>-</v>
      </c>
      <c r="F7" s="288" t="str">
        <f>'2.1 Ampol Retail'!$D$7</f>
        <v>-</v>
      </c>
      <c r="G7" s="288">
        <f>COUNTIFS('REVIEW - Complete Role Mapping'!$AJ$2:$AJ$528,$B7,'REVIEW - Complete Role Mapping'!$AP$2:$AP$528,$C7,'REVIEW - Complete Role Mapping'!$AK$2:$AK$528,"Filled")</f>
        <v>10</v>
      </c>
      <c r="H7" s="288">
        <f>COUNTIFS('REVIEW - Complete Role Mapping'!$AJ$2:$AJ$528,$B7,'REVIEW - Complete Role Mapping'!$AP$2:$AP$528,$C7,'REVIEW - Complete Role Mapping'!$AK$2:$AK$528,"Vacant")</f>
        <v>0</v>
      </c>
      <c r="I7" s="288">
        <f>$G7+$H7</f>
        <v>10</v>
      </c>
      <c r="J7" s="288" t="str">
        <f>IFERROR($I7-$F7,"-")</f>
        <v>-</v>
      </c>
      <c r="K7" s="288">
        <f>'2.1 Ampol Retail'!$J$7</f>
        <v>10</v>
      </c>
      <c r="L7" s="291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285" t="str">
        <f>'2.1 Ampol Retail'!$B$8</f>
        <v>POS</v>
      </c>
      <c r="D8" s="285" t="str">
        <f>'2.1 Ampol Retail'!$C$8</f>
        <v>Configuration / Integration</v>
      </c>
      <c r="E8" s="285" t="str">
        <f>'2.1 Ampol Retail'!$R$8</f>
        <v>M</v>
      </c>
      <c r="F8" s="288">
        <f>'2.1 Ampol Retail'!$D$8</f>
        <v>9</v>
      </c>
      <c r="G8" s="288">
        <f>COUNTIFS('REVIEW - Complete Role Mapping'!$AJ$2:$AJ$528,$B8,'REVIEW - Complete Role Mapping'!$AP$2:$AP$528,$C8,'REVIEW - Complete Role Mapping'!$AK$2:$AK$528,"Filled")</f>
        <v>0</v>
      </c>
      <c r="H8" s="288">
        <f>COUNTIFS('REVIEW - Complete Role Mapping'!$AJ$2:$AJ$528,$B8,'REVIEW - Complete Role Mapping'!$AP$2:$AP$528,$C8,'REVIEW - Complete Role Mapping'!$AK$2:$AK$528,"Vacant")</f>
        <v>8</v>
      </c>
      <c r="I8" s="288">
        <f>$G8+$H8</f>
        <v>8</v>
      </c>
      <c r="J8" s="288">
        <f>IFERROR($I8-$F8,"-")</f>
        <v>-1</v>
      </c>
      <c r="K8" s="288">
        <f>'2.1 Ampol Retail'!$J$8</f>
        <v>0</v>
      </c>
      <c r="L8" s="291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285" t="str">
        <f>'2.1 Ampol Retail'!$B$9</f>
        <v>Store Operations</v>
      </c>
      <c r="D9" s="285" t="str">
        <f>'2.1 Ampol Retail'!$C$9</f>
        <v>Operations</v>
      </c>
      <c r="E9" s="285" t="str">
        <f>'2.1 Ampol Retail'!$R$9</f>
        <v>M</v>
      </c>
      <c r="F9" s="288">
        <f>'2.1 Ampol Retail'!$D$9</f>
        <v>6</v>
      </c>
      <c r="G9" s="288">
        <f>COUNTIFS('REVIEW - Complete Role Mapping'!$AJ$2:$AJ$528,$B9,'REVIEW - Complete Role Mapping'!$AP$2:$AP$528,$C9,'REVIEW - Complete Role Mapping'!$AK$2:$AK$528,"Filled")</f>
        <v>7</v>
      </c>
      <c r="H9" s="288">
        <f>COUNTIFS('REVIEW - Complete Role Mapping'!$AJ$2:$AJ$528,$B9,'REVIEW - Complete Role Mapping'!$AP$2:$AP$528,$C9,'REVIEW - Complete Role Mapping'!$AK$2:$AK$528,"Vacant")</f>
        <v>1</v>
      </c>
      <c r="I9" s="288">
        <f>$G9+$H9</f>
        <v>8</v>
      </c>
      <c r="J9" s="288">
        <f>IFERROR($I9-$F9,"-")</f>
        <v>2</v>
      </c>
      <c r="K9" s="288">
        <f>'2.1 Ampol Retail'!$J$9</f>
        <v>7</v>
      </c>
      <c r="L9" s="291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285" t="str">
        <f>'2.1 Ampol Retail'!$B$10</f>
        <v>Data AU</v>
      </c>
      <c r="D10" s="285" t="str">
        <f>'2.1 Ampol Retail'!$C$10</f>
        <v>Enterprise Data and Insights</v>
      </c>
      <c r="E10" s="285" t="str">
        <f>'2.1 Ampol Retail'!$R$10</f>
        <v>M</v>
      </c>
      <c r="F10" s="288">
        <f>'2.1 Ampol Retail'!$D$10</f>
        <v>7.5</v>
      </c>
      <c r="G10" s="288">
        <f>COUNTIFS('REVIEW - Complete Role Mapping'!$AJ$2:$AJ$528,$B10,'REVIEW - Complete Role Mapping'!$AP$2:$AP$528,$C10,'REVIEW - Complete Role Mapping'!$AK$2:$AK$528,"Filled")</f>
        <v>0</v>
      </c>
      <c r="H10" s="288">
        <f>COUNTIFS('REVIEW - Complete Role Mapping'!$AJ$2:$AJ$528,$B10,'REVIEW - Complete Role Mapping'!$AP$2:$AP$528,$C10,'REVIEW - Complete Role Mapping'!$AK$2:$AK$528,"Vacant")</f>
        <v>6</v>
      </c>
      <c r="I10" s="288">
        <f>$G10+$H10</f>
        <v>6</v>
      </c>
      <c r="J10" s="288">
        <f>IFERROR($I10-$F10,"-")</f>
        <v>-1.5</v>
      </c>
      <c r="K10" s="288">
        <f>'2.1 Ampol Retail'!$J$10</f>
        <v>0</v>
      </c>
      <c r="L10" s="291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455" t="str">
        <f>'2.1 Ampol Retail'!$B$11</f>
        <v>EGI Retail</v>
      </c>
      <c r="D11" s="456" t="str">
        <f>'2.1 Ampol Retail'!$C$11</f>
        <v>Strategic Programs</v>
      </c>
      <c r="E11" s="456" t="str">
        <f>'2.1 Ampol Retail'!$R$11</f>
        <v>-</v>
      </c>
      <c r="F11" s="456" t="str">
        <f>'2.1 Ampol Retail'!$D$11</f>
        <v>-</v>
      </c>
      <c r="G11" s="309">
        <f>COUNTIFS('REVIEW - Complete Role Mapping'!$AJ$2:$AJ$528,$B11,'REVIEW - Complete Role Mapping'!$AP$2:$AP$528,$C11,'REVIEW - Complete Role Mapping'!$AK$2:$AK$528,"Filled")</f>
        <v>6</v>
      </c>
      <c r="H11" s="309">
        <f>COUNTIFS('REVIEW - Complete Role Mapping'!$AJ$2:$AJ$528,$B11,'REVIEW - Complete Role Mapping'!$AP$2:$AP$528,$C11,'REVIEW - Complete Role Mapping'!$AK$2:$AK$528,"Vacant")</f>
        <v>0</v>
      </c>
      <c r="I11" s="309">
        <f>$G11+$H11</f>
        <v>6</v>
      </c>
      <c r="J11" s="309" t="str">
        <f>IFERROR($I11-$F11,"-")</f>
        <v>-</v>
      </c>
      <c r="K11" s="309">
        <f>'2.1 Ampol Retail'!$J$11</f>
        <v>6</v>
      </c>
      <c r="L11" s="605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285" t="str">
        <f>'2.1 Ampol Retail'!$B$12</f>
        <v>Network &amp; QSR</v>
      </c>
      <c r="D12" s="285" t="str">
        <f>'2.1 Ampol Retail'!$C$12</f>
        <v>Configuration / Integration</v>
      </c>
      <c r="E12" s="285" t="str">
        <f>'2.1 Ampol Retail'!$R$12</f>
        <v>S</v>
      </c>
      <c r="F12" s="288">
        <f>'2.1 Ampol Retail'!$D$12</f>
        <v>6</v>
      </c>
      <c r="G12" s="288">
        <f>COUNTIFS('REVIEW - Complete Role Mapping'!$AJ$2:$AJ$528,$B12,'REVIEW - Complete Role Mapping'!$AP$2:$AP$528,$C12,'REVIEW - Complete Role Mapping'!$AK$2:$AK$528,"Filled")</f>
        <v>4</v>
      </c>
      <c r="H12" s="288">
        <f>COUNTIFS('REVIEW - Complete Role Mapping'!$AJ$2:$AJ$528,$B12,'REVIEW - Complete Role Mapping'!$AP$2:$AP$528,$C12,'REVIEW - Complete Role Mapping'!$AK$2:$AK$528,"Vacant")</f>
        <v>2</v>
      </c>
      <c r="I12" s="288">
        <f>$G12+$H12</f>
        <v>6</v>
      </c>
      <c r="J12" s="288">
        <f>IFERROR($I12-$F12,"-")</f>
        <v>0</v>
      </c>
      <c r="K12" s="288">
        <f>'2.1 Ampol Retail'!$J$12</f>
        <v>4</v>
      </c>
      <c r="L12" s="291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455" t="str">
        <f>'2.1 Ampol Retail'!$B$13</f>
        <v>Deployment</v>
      </c>
      <c r="D13" s="456" t="str">
        <f>'2.1 Ampol Retail'!$C$13</f>
        <v>Operations</v>
      </c>
      <c r="E13" s="456" t="str">
        <f>'2.1 Ampol Retail'!$R$13</f>
        <v>S</v>
      </c>
      <c r="F13" s="456">
        <f>'2.1 Ampol Retail'!$D$13</f>
        <v>4</v>
      </c>
      <c r="G13" s="309">
        <f>COUNTIFS('REVIEW - Complete Role Mapping'!$AJ$2:$AJ$528,$B13,'REVIEW - Complete Role Mapping'!$AP$2:$AP$528,$C13,'REVIEW - Complete Role Mapping'!$AK$2:$AK$528,"Filled")</f>
        <v>5</v>
      </c>
      <c r="H13" s="309">
        <f>COUNTIFS('REVIEW - Complete Role Mapping'!$AJ$2:$AJ$528,$B13,'REVIEW - Complete Role Mapping'!$AP$2:$AP$528,$C13,'REVIEW - Complete Role Mapping'!$AK$2:$AK$528,"Vacant")</f>
        <v>0</v>
      </c>
      <c r="I13" s="309">
        <f>$G13+$H13</f>
        <v>5</v>
      </c>
      <c r="J13" s="309">
        <f>IFERROR($I13-$F13,"-")</f>
        <v>1</v>
      </c>
      <c r="K13" s="309">
        <f>'2.1 Ampol Retail'!$J$13</f>
        <v>5</v>
      </c>
      <c r="L13" s="605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285" t="str">
        <f>'2.1 Ampol Retail'!$B$14</f>
        <v>Payments</v>
      </c>
      <c r="D14" s="285" t="str">
        <f>'2.1 Ampol Retail'!$C$14</f>
        <v>Configuration / Integration</v>
      </c>
      <c r="E14" s="285" t="str">
        <f>'2.1 Ampol Retail'!$R$14</f>
        <v>S</v>
      </c>
      <c r="F14" s="288">
        <f>'2.1 Ampol Retail'!$D$14</f>
        <v>6</v>
      </c>
      <c r="G14" s="288">
        <f>COUNTIFS('REVIEW - Complete Role Mapping'!$AJ$2:$AJ$528,$B14,'REVIEW - Complete Role Mapping'!$AP$2:$AP$528,$C14,'REVIEW - Complete Role Mapping'!$AK$2:$AK$528,"Filled")</f>
        <v>3</v>
      </c>
      <c r="H14" s="288">
        <f>COUNTIFS('REVIEW - Complete Role Mapping'!$AJ$2:$AJ$528,$B14,'REVIEW - Complete Role Mapping'!$AP$2:$AP$528,$C14,'REVIEW - Complete Role Mapping'!$AK$2:$AK$528,"Vacant")</f>
        <v>1</v>
      </c>
      <c r="I14" s="288">
        <f>$G14+$H14</f>
        <v>4</v>
      </c>
      <c r="J14" s="288">
        <f>IFERROR($I14-$F14,"-")</f>
        <v>-2</v>
      </c>
      <c r="K14" s="288">
        <f>'2.1 Ampol Retail'!$J$14</f>
        <v>3</v>
      </c>
      <c r="L14" s="291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455" t="str">
        <f>'2.1 Ampol Retail'!$B$15</f>
        <v>EGI TDD</v>
      </c>
      <c r="D15" s="456" t="str">
        <f>'2.1 Ampol Retail'!$C$15</f>
        <v>Outside archetype model</v>
      </c>
      <c r="E15" s="456" t="str">
        <f>'2.1 Ampol Retail'!$R$15</f>
        <v>-</v>
      </c>
      <c r="F15" s="456" t="str">
        <f>'2.1 Ampol Retail'!$D$15</f>
        <v>-</v>
      </c>
      <c r="G15" s="309">
        <f>COUNTIFS('REVIEW - Complete Role Mapping'!$AJ$2:$AJ$528,$B15,'REVIEW - Complete Role Mapping'!$AP$2:$AP$528,$C15,'REVIEW - Complete Role Mapping'!$AK$2:$AK$528,"Filled")</f>
        <v>1</v>
      </c>
      <c r="H15" s="309">
        <f>COUNTIFS('REVIEW - Complete Role Mapping'!$AJ$2:$AJ$528,$B15,'REVIEW - Complete Role Mapping'!$AP$2:$AP$528,$C15,'REVIEW - Complete Role Mapping'!$AK$2:$AK$528,"Vacant")</f>
        <v>0</v>
      </c>
      <c r="I15" s="309">
        <f>$G15+$H15</f>
        <v>1</v>
      </c>
      <c r="J15" s="309" t="str">
        <f>IFERROR($I15-$F15,"-")</f>
        <v>-</v>
      </c>
      <c r="K15" s="309">
        <f>'2.1 Ampol Retail'!$J$15</f>
        <v>1</v>
      </c>
      <c r="L15" s="605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285" t="str">
        <f>'2.1 Ampol Retail'!$B$16</f>
        <v>Leadership</v>
      </c>
      <c r="D16" s="285" t="str">
        <f>'2.1 Ampol Retail'!$C$16</f>
        <v>Outside archetype model</v>
      </c>
      <c r="E16" s="285" t="str">
        <f>'2.1 Ampol Retail'!$R$16</f>
        <v>-</v>
      </c>
      <c r="F16" s="288" t="str">
        <f>'2.1 Ampol Retail'!$D$16</f>
        <v>-</v>
      </c>
      <c r="G16" s="288">
        <f>COUNTIFS('REVIEW - Complete Role Mapping'!$AJ$2:$AJ$528,$B16,'REVIEW - Complete Role Mapping'!$AP$2:$AP$528,$C16,'REVIEW - Complete Role Mapping'!$AK$2:$AK$528,"Filled")</f>
        <v>5</v>
      </c>
      <c r="H16" s="288">
        <f>COUNTIFS('REVIEW - Complete Role Mapping'!$AJ$2:$AJ$528,$B16,'REVIEW - Complete Role Mapping'!$AP$2:$AP$528,$C16,'REVIEW - Complete Role Mapping'!$AK$2:$AK$528,"Vacant")</f>
        <v>0</v>
      </c>
      <c r="I16" s="288">
        <f>$G16+$H16</f>
        <v>5</v>
      </c>
      <c r="J16" s="288" t="str">
        <f>IFERROR($I16-$F16,"-")</f>
        <v>-</v>
      </c>
      <c r="K16" s="288">
        <f>'2.1 Ampol Retail'!$J$16</f>
        <v>5</v>
      </c>
      <c r="L16" s="291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227" t="inlineStr">
        <is>
          <t>Portfolio total</t>
        </is>
      </c>
      <c r="D17" s="456" t="n"/>
      <c r="E17" s="456" t="n"/>
      <c r="F17" s="456">
        <f>IF(COUNT(F6:F16)=0,"-",SUM(F6:F16))</f>
        <v>47.5</v>
      </c>
      <c r="G17" s="309">
        <f>SUM(G6:G16)</f>
        <v>48</v>
      </c>
      <c r="H17" s="309">
        <f>SUM(H6:H16)</f>
        <v>22</v>
      </c>
      <c r="I17" s="309">
        <f>COUNTIFS('REVIEW - Complete Role Mapping'!$AJ$2:$AJ$528,$B17)</f>
        <v>70</v>
      </c>
      <c r="J17" s="309">
        <f>IF(COUNT(F6:F16)=0,"-",SUM(J6:J16))</f>
        <v>0.5</v>
      </c>
      <c r="K17" s="309">
        <f>SUM(K6:K16)</f>
        <v>48</v>
      </c>
      <c r="L17" s="605">
        <f>IFERROR($H17/$I17,"-")</f>
        <v>0.314285714285714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Customer</t>
        </is>
      </c>
      <c r="C18" s="285" t="str">
        <f>'2.2 Customer'!$B$6</f>
        <v>Ampol App</v>
      </c>
      <c r="D18" s="285" t="str">
        <f>'2.2 Customer'!$C$6</f>
        <v>Product</v>
      </c>
      <c r="E18" s="285" t="str">
        <f>'2.2 Customer'!$R$6</f>
        <v>L</v>
      </c>
      <c r="F18" s="288">
        <f>'2.2 Customer'!$D$6</f>
        <v>12</v>
      </c>
      <c r="G18" s="288">
        <f>COUNTIFS('REVIEW - Complete Role Mapping'!$AJ$2:$AJ$528,$B18,'REVIEW - Complete Role Mapping'!$AP$2:$AP$528,$C18,'REVIEW - Complete Role Mapping'!$AK$2:$AK$528,"Filled")</f>
        <v>14</v>
      </c>
      <c r="H18" s="288">
        <f>COUNTIFS('REVIEW - Complete Role Mapping'!$AJ$2:$AJ$528,$B18,'REVIEW - Complete Role Mapping'!$AP$2:$AP$528,$C18,'REVIEW - Complete Role Mapping'!$AK$2:$AK$528,"Vacant")</f>
        <v>0</v>
      </c>
      <c r="I18" s="288">
        <f>$G18+$H18</f>
        <v>14</v>
      </c>
      <c r="J18" s="288">
        <f>IFERROR($I18-$F18,"-")</f>
        <v>2</v>
      </c>
      <c r="K18" s="288">
        <f>'2.2 Customer'!$J$6</f>
        <v>14</v>
      </c>
      <c r="L18" s="291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Customer</t>
        </is>
      </c>
      <c r="C19" s="455" t="str">
        <f>'2.2 Customer'!$B$7</f>
        <v>Z Loyalty &amp; Martech</v>
      </c>
      <c r="D19" s="456" t="str">
        <f>'2.2 Customer'!$C$7</f>
        <v>Product</v>
      </c>
      <c r="E19" s="456" t="str">
        <f>'2.2 Customer'!$R$7</f>
        <v>L</v>
      </c>
      <c r="F19" s="456">
        <f>'2.2 Customer'!$D$7</f>
        <v>12</v>
      </c>
      <c r="G19" s="309">
        <f>COUNTIFS('REVIEW - Complete Role Mapping'!$AJ$2:$AJ$528,$B19,'REVIEW - Complete Role Mapping'!$AP$2:$AP$528,$C19,'REVIEW - Complete Role Mapping'!$AK$2:$AK$528,"Filled")</f>
        <v>13</v>
      </c>
      <c r="H19" s="309">
        <f>COUNTIFS('REVIEW - Complete Role Mapping'!$AJ$2:$AJ$528,$B19,'REVIEW - Complete Role Mapping'!$AP$2:$AP$528,$C19,'REVIEW - Complete Role Mapping'!$AK$2:$AK$528,"Vacant")</f>
        <v>0</v>
      </c>
      <c r="I19" s="309">
        <f>$G19+$H19</f>
        <v>13</v>
      </c>
      <c r="J19" s="309">
        <f>IFERROR($I19-$F19,"-")</f>
        <v>1</v>
      </c>
      <c r="K19" s="309">
        <f>'2.2 Customer'!$J$7</f>
        <v>13</v>
      </c>
      <c r="L19" s="605">
        <f>IFERROR($H19/$I19,"-")</f>
        <v>0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285" t="str">
        <f>'2.2 Customer'!$B$8</f>
        <v>EGI Customer</v>
      </c>
      <c r="D20" s="285" t="str">
        <f>'2.2 Customer'!$C$8</f>
        <v>Strategic Programs</v>
      </c>
      <c r="E20" s="285" t="str">
        <f>'2.2 Customer'!$R$8</f>
        <v>-</v>
      </c>
      <c r="F20" s="288" t="str">
        <f>'2.2 Customer'!$D$8</f>
        <v>-</v>
      </c>
      <c r="G20" s="288">
        <f>COUNTIFS('REVIEW - Complete Role Mapping'!$AJ$2:$AJ$528,$B20,'REVIEW - Complete Role Mapping'!$AP$2:$AP$528,$C20,'REVIEW - Complete Role Mapping'!$AK$2:$AK$528,"Filled")</f>
        <v>10</v>
      </c>
      <c r="H20" s="288">
        <f>COUNTIFS('REVIEW - Complete Role Mapping'!$AJ$2:$AJ$528,$B20,'REVIEW - Complete Role Mapping'!$AP$2:$AP$528,$C20,'REVIEW - Complete Role Mapping'!$AK$2:$AK$528,"Vacant")</f>
        <v>0</v>
      </c>
      <c r="I20" s="288">
        <f>$G20+$H20</f>
        <v>10</v>
      </c>
      <c r="J20" s="288" t="str">
        <f>IFERROR($I20-$F20,"-")</f>
        <v>-</v>
      </c>
      <c r="K20" s="288">
        <f>'2.2 Customer'!$J$8</f>
        <v>10</v>
      </c>
      <c r="L20" s="291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455" t="str">
        <f>'2.2 Customer'!$B$9</f>
        <v>Ampol Web</v>
      </c>
      <c r="D21" s="456" t="str">
        <f>'2.2 Customer'!$C$9</f>
        <v>Product</v>
      </c>
      <c r="E21" s="456" t="str">
        <f>'2.2 Customer'!$R$9</f>
        <v>M</v>
      </c>
      <c r="F21" s="456">
        <f>'2.2 Customer'!$D$9</f>
        <v>8.5</v>
      </c>
      <c r="G21" s="309">
        <f>COUNTIFS('REVIEW - Complete Role Mapping'!$AJ$2:$AJ$528,$B21,'REVIEW - Complete Role Mapping'!$AP$2:$AP$528,$C21,'REVIEW - Complete Role Mapping'!$AK$2:$AK$528,"Filled")</f>
        <v>8</v>
      </c>
      <c r="H21" s="309">
        <f>COUNTIFS('REVIEW - Complete Role Mapping'!$AJ$2:$AJ$528,$B21,'REVIEW - Complete Role Mapping'!$AP$2:$AP$528,$C21,'REVIEW - Complete Role Mapping'!$AK$2:$AK$528,"Vacant")</f>
        <v>0</v>
      </c>
      <c r="I21" s="309">
        <f>$G21+$H21</f>
        <v>8</v>
      </c>
      <c r="J21" s="309">
        <f>IFERROR($I21-$F21,"-")</f>
        <v>-0.5</v>
      </c>
      <c r="K21" s="309">
        <f>'2.2 Customer'!$J$9</f>
        <v>8</v>
      </c>
      <c r="L21" s="605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607" t="str">
        <f>'2.2 Customer'!$B$10</f>
        <v>Ampol Loyalty &amp; Martech</v>
      </c>
      <c r="D22" s="607" t="str">
        <f>'2.2 Customer'!$C$10</f>
        <v>Product</v>
      </c>
      <c r="E22" s="607" t="str">
        <f>'2.2 Customer'!$R$10</f>
        <v>M</v>
      </c>
      <c r="F22" s="607">
        <f>'2.2 Customer'!$D$10</f>
        <v>8.5</v>
      </c>
      <c r="G22" s="601">
        <f>COUNTIFS('REVIEW - Complete Role Mapping'!$AJ$2:$AJ$528,$B22,'REVIEW - Complete Role Mapping'!$AP$2:$AP$528,$C22,'REVIEW - Complete Role Mapping'!$AK$2:$AK$528,"Filled")</f>
        <v>3</v>
      </c>
      <c r="H22" s="601">
        <f>COUNTIFS('REVIEW - Complete Role Mapping'!$AJ$2:$AJ$528,$B22,'REVIEW - Complete Role Mapping'!$AP$2:$AP$528,$C22,'REVIEW - Complete Role Mapping'!$AK$2:$AK$528,"Vacant")</f>
        <v>4</v>
      </c>
      <c r="I22" s="601">
        <f>$G22+$H22</f>
        <v>7</v>
      </c>
      <c r="J22" s="601">
        <f>IFERROR($I22-$F22,"-")</f>
        <v>-1.5</v>
      </c>
      <c r="K22" s="601">
        <f>'2.2 Customer'!$J$10</f>
        <v>3</v>
      </c>
      <c r="L22" s="602">
        <f>IFERROR($H22/$I22,"-")</f>
        <v>0.571428571428571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285" t="str">
        <f>'2.2 Customer'!$B$11</f>
        <v>Digital Operations</v>
      </c>
      <c r="D23" s="285" t="str">
        <f>'2.2 Customer'!$C$11</f>
        <v>Operations</v>
      </c>
      <c r="E23" s="285" t="str">
        <f>'2.2 Customer'!$R$11</f>
        <v>M</v>
      </c>
      <c r="F23" s="288">
        <f>'2.2 Customer'!$D$11</f>
        <v>6</v>
      </c>
      <c r="G23" s="288">
        <f>COUNTIFS('REVIEW - Complete Role Mapping'!$AJ$2:$AJ$528,$B23,'REVIEW - Complete Role Mapping'!$AP$2:$AP$528,$C23,'REVIEW - Complete Role Mapping'!$AK$2:$AK$528,"Filled")</f>
        <v>4</v>
      </c>
      <c r="H23" s="288">
        <f>COUNTIFS('REVIEW - Complete Role Mapping'!$AJ$2:$AJ$528,$B23,'REVIEW - Complete Role Mapping'!$AP$2:$AP$528,$C23,'REVIEW - Complete Role Mapping'!$AK$2:$AK$528,"Vacant")</f>
        <v>3</v>
      </c>
      <c r="I23" s="288">
        <f>$G23+$H23</f>
        <v>7</v>
      </c>
      <c r="J23" s="288">
        <f>IFERROR($I23-$F23,"-")</f>
        <v>1</v>
      </c>
      <c r="K23" s="288">
        <f>'2.2 Customer'!$J$11</f>
        <v>4</v>
      </c>
      <c r="L23" s="291">
        <f>IFERROR($H23/$I23,"-")</f>
        <v>0.428571428571429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285" t="str">
        <f>'2.2 Customer'!$B$12</f>
        <v>Z App and Web</v>
      </c>
      <c r="D24" s="285" t="str">
        <f>'2.2 Customer'!$C$12</f>
        <v>Product</v>
      </c>
      <c r="E24" s="285" t="str">
        <f>'2.2 Customer'!$R$12</f>
        <v>S</v>
      </c>
      <c r="F24" s="288">
        <f>'2.2 Customer'!$D$12</f>
        <v>5.5</v>
      </c>
      <c r="G24" s="288">
        <f>COUNTIFS('REVIEW - Complete Role Mapping'!$AJ$2:$AJ$528,$B24,'REVIEW - Complete Role Mapping'!$AP$2:$AP$528,$C24,'REVIEW - Complete Role Mapping'!$AK$2:$AK$528,"Filled")</f>
        <v>5</v>
      </c>
      <c r="H24" s="288">
        <f>COUNTIFS('REVIEW - Complete Role Mapping'!$AJ$2:$AJ$528,$B24,'REVIEW - Complete Role Mapping'!$AP$2:$AP$528,$C24,'REVIEW - Complete Role Mapping'!$AK$2:$AK$528,"Vacant")</f>
        <v>0</v>
      </c>
      <c r="I24" s="288">
        <f>$G24+$H24</f>
        <v>5</v>
      </c>
      <c r="J24" s="288">
        <f>IFERROR($I24-$F24,"-")</f>
        <v>-0.5</v>
      </c>
      <c r="K24" s="288">
        <f>'2.2 Customer'!$J$12</f>
        <v>5</v>
      </c>
      <c r="L24" s="291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285" t="str">
        <f>'2.2 Customer'!$B$13</f>
        <v>AU CRM &amp; Martech</v>
      </c>
      <c r="D25" s="285" t="str">
        <f>'2.2 Customer'!$C$13</f>
        <v>Product</v>
      </c>
      <c r="E25" s="285" t="str">
        <f>'2.2 Customer'!$R$13</f>
        <v>M</v>
      </c>
      <c r="F25" s="288">
        <f>'2.2 Customer'!$D$13</f>
        <v>8.5</v>
      </c>
      <c r="G25" s="288">
        <f>COUNTIFS('REVIEW - Complete Role Mapping'!$AJ$2:$AJ$528,$B25,'REVIEW - Complete Role Mapping'!$AP$2:$AP$528,$C25,'REVIEW - Complete Role Mapping'!$AK$2:$AK$528,"Filled")</f>
        <v>0</v>
      </c>
      <c r="H25" s="288">
        <f>COUNTIFS('REVIEW - Complete Role Mapping'!$AJ$2:$AJ$528,$B25,'REVIEW - Complete Role Mapping'!$AP$2:$AP$528,$C25,'REVIEW - Complete Role Mapping'!$AK$2:$AK$528,"Vacant")</f>
        <v>2</v>
      </c>
      <c r="I25" s="288">
        <f>$G25+$H25</f>
        <v>2</v>
      </c>
      <c r="J25" s="288">
        <f>IFERROR($I25-$F25,"-")</f>
        <v>-6.5</v>
      </c>
      <c r="K25" s="288">
        <f>'2.2 Customer'!$J$13</f>
        <v>0</v>
      </c>
      <c r="L25" s="291">
        <f>IFERROR($H25/$I25,"-")</f>
        <v>1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455" t="str">
        <f>'2.2 Customer'!$B$14</f>
        <v>Customer AI</v>
      </c>
      <c r="D26" s="456" t="str">
        <f>'2.2 Customer'!$C$14</f>
        <v>Engineering</v>
      </c>
      <c r="E26" s="456" t="str">
        <f>'2.2 Customer'!$R$14</f>
        <v>S</v>
      </c>
      <c r="F26" s="456">
        <f>'2.2 Customer'!$D$14</f>
        <v>4.5</v>
      </c>
      <c r="G26" s="309">
        <f>COUNTIFS('REVIEW - Complete Role Mapping'!$AJ$2:$AJ$528,$B26,'REVIEW - Complete Role Mapping'!$AP$2:$AP$528,$C26,'REVIEW - Complete Role Mapping'!$AK$2:$AK$528,"Filled")</f>
        <v>0</v>
      </c>
      <c r="H26" s="309">
        <f>COUNTIFS('REVIEW - Complete Role Mapping'!$AJ$2:$AJ$528,$B26,'REVIEW - Complete Role Mapping'!$AP$2:$AP$528,$C26,'REVIEW - Complete Role Mapping'!$AK$2:$AK$528,"Vacant")</f>
        <v>2</v>
      </c>
      <c r="I26" s="309">
        <f>$G26+$H26</f>
        <v>2</v>
      </c>
      <c r="J26" s="309">
        <f>IFERROR($I26-$F26,"-")</f>
        <v>-2.5</v>
      </c>
      <c r="K26" s="309">
        <f>'2.2 Customer'!$J$14</f>
        <v>0</v>
      </c>
      <c r="L26" s="605">
        <f>IFERROR($H26/$I26,"-")</f>
        <v>1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285" t="str">
        <f>'2.2 Customer'!$B$15</f>
        <v>Z Energy Martech</v>
      </c>
      <c r="D27" s="285" t="str">
        <f>'2.2 Customer'!$C$15</f>
        <v>Product</v>
      </c>
      <c r="E27" s="285" t="str">
        <f>'2.2 Customer'!$R$15</f>
        <v>L</v>
      </c>
      <c r="F27" s="288">
        <f>'2.2 Customer'!$D$15</f>
        <v>12</v>
      </c>
      <c r="G27" s="288">
        <f>COUNTIFS('REVIEW - Complete Role Mapping'!$AJ$2:$AJ$528,$B27,'REVIEW - Complete Role Mapping'!$AP$2:$AP$528,$C27,'REVIEW - Complete Role Mapping'!$AK$2:$AK$528,"Filled")</f>
        <v>2</v>
      </c>
      <c r="H27" s="288">
        <f>COUNTIFS('REVIEW - Complete Role Mapping'!$AJ$2:$AJ$528,$B27,'REVIEW - Complete Role Mapping'!$AP$2:$AP$528,$C27,'REVIEW - Complete Role Mapping'!$AK$2:$AK$528,"Vacant")</f>
        <v>0</v>
      </c>
      <c r="I27" s="288">
        <f>$G27+$H27</f>
        <v>2</v>
      </c>
      <c r="J27" s="288">
        <f>IFERROR($I27-$F27,"-")</f>
        <v>-10</v>
      </c>
      <c r="K27" s="288">
        <f>'2.2 Customer'!$J$15</f>
        <v>2</v>
      </c>
      <c r="L27" s="291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285" t="str">
        <f>'2.2 Customer'!$B$16</f>
        <v>Energy</v>
      </c>
      <c r="D28" s="285" t="str">
        <f>'2.2 Customer'!$C$16</f>
        <v>Outside archetype model</v>
      </c>
      <c r="E28" s="285" t="str">
        <f>'2.2 Customer'!$R$16</f>
        <v>-</v>
      </c>
      <c r="F28" s="288" t="str">
        <f>'2.2 Customer'!$D$16</f>
        <v>-</v>
      </c>
      <c r="G28" s="288">
        <f>COUNTIFS('REVIEW - Complete Role Mapping'!$AJ$2:$AJ$528,$B28,'REVIEW - Complete Role Mapping'!$AP$2:$AP$528,$C28,'REVIEW - Complete Role Mapping'!$AK$2:$AK$528,"Filled")</f>
        <v>1</v>
      </c>
      <c r="H28" s="288">
        <f>COUNTIFS('REVIEW - Complete Role Mapping'!$AJ$2:$AJ$528,$B28,'REVIEW - Complete Role Mapping'!$AP$2:$AP$528,$C28,'REVIEW - Complete Role Mapping'!$AK$2:$AK$528,"Vacant")</f>
        <v>0</v>
      </c>
      <c r="I28" s="288">
        <f>$G28+$H28</f>
        <v>1</v>
      </c>
      <c r="J28" s="288" t="str">
        <f>IFERROR($I28-$F28,"-")</f>
        <v>-</v>
      </c>
      <c r="K28" s="288">
        <f>'2.2 Customer'!$J$16</f>
        <v>1</v>
      </c>
      <c r="L28" s="291">
        <f>IFERROR($H28/$I28,"-")</f>
        <v>0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285" t="str">
        <f>'2.2 Customer'!$B$17</f>
        <v>Leadership</v>
      </c>
      <c r="D29" s="285" t="str">
        <f>'2.2 Customer'!$C$17</f>
        <v>Outside archetype model</v>
      </c>
      <c r="E29" s="285" t="str">
        <f>'2.2 Customer'!$R$17</f>
        <v>-</v>
      </c>
      <c r="F29" s="288" t="str">
        <f>'2.2 Customer'!$D$17</f>
        <v>-</v>
      </c>
      <c r="G29" s="288">
        <f>COUNTIFS('REVIEW - Complete Role Mapping'!$AJ$2:$AJ$528,$B29,'REVIEW - Complete Role Mapping'!$AP$2:$AP$528,$C29,'REVIEW - Complete Role Mapping'!$AK$2:$AK$528,"Filled")</f>
        <v>10</v>
      </c>
      <c r="H29" s="288">
        <f>COUNTIFS('REVIEW - Complete Role Mapping'!$AJ$2:$AJ$528,$B29,'REVIEW - Complete Role Mapping'!$AP$2:$AP$528,$C29,'REVIEW - Complete Role Mapping'!$AK$2:$AK$528,"Vacant")</f>
        <v>2</v>
      </c>
      <c r="I29" s="288">
        <f>$G29+$H29</f>
        <v>12</v>
      </c>
      <c r="J29" s="288" t="str">
        <f>IFERROR($I29-$F29,"-")</f>
        <v>-</v>
      </c>
      <c r="K29" s="288">
        <f>'2.2 Customer'!$J$17</f>
        <v>10</v>
      </c>
      <c r="L29" s="291">
        <f>IFERROR($H29/$I29,"-")</f>
        <v>0.166666666666667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227" t="inlineStr">
        <is>
          <t>Portfolio total</t>
        </is>
      </c>
      <c r="D30" s="456" t="n"/>
      <c r="E30" s="456" t="n"/>
      <c r="F30" s="456">
        <f>IF(COUNT(F18:F29)=0,"-",SUM(F18:F29))</f>
        <v>77.5</v>
      </c>
      <c r="G30" s="309">
        <f>SUM(G18:G29)</f>
        <v>70</v>
      </c>
      <c r="H30" s="309">
        <f>SUM(H18:H29)</f>
        <v>13</v>
      </c>
      <c r="I30" s="309">
        <f>COUNTIFS('REVIEW - Complete Role Mapping'!$AJ$2:$AJ$528,$B30)</f>
        <v>83</v>
      </c>
      <c r="J30" s="309">
        <f>IF(COUNT(F18:F29)=0,"-",SUM(J18:J29))</f>
        <v>-17.5</v>
      </c>
      <c r="K30" s="309">
        <f>SUM(K18:K29)</f>
        <v>70</v>
      </c>
      <c r="L30" s="605">
        <f>IFERROR($H30/$I30,"-")</f>
        <v>0.156626506024096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Enterprise Data</t>
        </is>
      </c>
      <c r="C31" s="285" t="str">
        <f>'2.3 Enterprise Data'!$B$6</f>
        <v>Reporting &amp; Analytics</v>
      </c>
      <c r="D31" s="285" t="str">
        <f>'2.3 Enterprise Data'!$C$6</f>
        <v>Enterprise Data and Insights</v>
      </c>
      <c r="E31" s="285" t="str">
        <f>'2.3 Enterprise Data'!$R$6</f>
        <v>M</v>
      </c>
      <c r="F31" s="288">
        <f>'2.3 Enterprise Data'!$D$6</f>
        <v>7.5</v>
      </c>
      <c r="G31" s="288">
        <f>COUNTIFS('REVIEW - Complete Role Mapping'!$AJ$2:$AJ$528,$B31,'REVIEW - Complete Role Mapping'!$AP$2:$AP$528,$C31,'REVIEW - Complete Role Mapping'!$AK$2:$AK$528,"Filled")</f>
        <v>9</v>
      </c>
      <c r="H31" s="288">
        <f>COUNTIFS('REVIEW - Complete Role Mapping'!$AJ$2:$AJ$528,$B31,'REVIEW - Complete Role Mapping'!$AP$2:$AP$528,$C31,'REVIEW - Complete Role Mapping'!$AK$2:$AK$528,"Vacant")</f>
        <v>3</v>
      </c>
      <c r="I31" s="288">
        <f>$G31+$H31</f>
        <v>12</v>
      </c>
      <c r="J31" s="288">
        <f>IFERROR($I31-$F31,"-")</f>
        <v>4.5</v>
      </c>
      <c r="K31" s="288">
        <f>'2.3 Enterprise Data'!$J$6</f>
        <v>9</v>
      </c>
      <c r="L31" s="291">
        <f>IFERROR($H31/$I31,"-")</f>
        <v>0.25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Enterprise Data</t>
        </is>
      </c>
      <c r="C32" s="285" t="str">
        <f>'2.3 Enterprise Data'!$B$7</f>
        <v>Data Platforms</v>
      </c>
      <c r="D32" s="285" t="str">
        <f>'2.3 Enterprise Data'!$C$7</f>
        <v>Enterprise Data and Insights</v>
      </c>
      <c r="E32" s="285" t="str">
        <f>'2.3 Enterprise Data'!$R$7</f>
        <v>M</v>
      </c>
      <c r="F32" s="288">
        <f>'2.3 Enterprise Data'!$D$7</f>
        <v>7.5</v>
      </c>
      <c r="G32" s="288">
        <f>COUNTIFS('REVIEW - Complete Role Mapping'!$AJ$2:$AJ$528,$B32,'REVIEW - Complete Role Mapping'!$AP$2:$AP$528,$C32,'REVIEW - Complete Role Mapping'!$AK$2:$AK$528,"Filled")</f>
        <v>3</v>
      </c>
      <c r="H32" s="288">
        <f>COUNTIFS('REVIEW - Complete Role Mapping'!$AJ$2:$AJ$528,$B32,'REVIEW - Complete Role Mapping'!$AP$2:$AP$528,$C32,'REVIEW - Complete Role Mapping'!$AK$2:$AK$528,"Vacant")</f>
        <v>6</v>
      </c>
      <c r="I32" s="288">
        <f>$G32+$H32</f>
        <v>9</v>
      </c>
      <c r="J32" s="288">
        <f>IFERROR($I32-$F32,"-")</f>
        <v>1.5</v>
      </c>
      <c r="K32" s="288">
        <f>'2.3 Enterprise Data'!$J$7</f>
        <v>3</v>
      </c>
      <c r="L32" s="291">
        <f>IFERROR($H32/$I32,"-")</f>
        <v>0.666666666666667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Enterprise Data</t>
        </is>
      </c>
      <c r="C33" s="455" t="str">
        <f>'2.3 Enterprise Data'!$B$8</f>
        <v>Data Science</v>
      </c>
      <c r="D33" s="456" t="str">
        <f>'2.3 Enterprise Data'!$C$8</f>
        <v>Enterprise Data and Insights</v>
      </c>
      <c r="E33" s="456" t="str">
        <f>'2.3 Enterprise Data'!$R$8</f>
        <v>S</v>
      </c>
      <c r="F33" s="456">
        <f>'2.3 Enterprise Data'!$D$8</f>
        <v>4</v>
      </c>
      <c r="G33" s="309">
        <f>COUNTIFS('REVIEW - Complete Role Mapping'!$AJ$2:$AJ$528,$B33,'REVIEW - Complete Role Mapping'!$AP$2:$AP$528,$C33,'REVIEW - Complete Role Mapping'!$AK$2:$AK$528,"Filled")</f>
        <v>4</v>
      </c>
      <c r="H33" s="309">
        <f>COUNTIFS('REVIEW - Complete Role Mapping'!$AJ$2:$AJ$528,$B33,'REVIEW - Complete Role Mapping'!$AP$2:$AP$528,$C33,'REVIEW - Complete Role Mapping'!$AK$2:$AK$528,"Vacant")</f>
        <v>0</v>
      </c>
      <c r="I33" s="309">
        <f>$G33+$H33</f>
        <v>4</v>
      </c>
      <c r="J33" s="309">
        <f>IFERROR($I33-$F33,"-")</f>
        <v>0</v>
      </c>
      <c r="K33" s="309">
        <f>'2.3 Enterprise Data'!$J$8</f>
        <v>4</v>
      </c>
      <c r="L33" s="605">
        <f>IFERROR($H33/$I33,"-")</f>
        <v>0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285" t="str">
        <f>'2.3 Enterprise Data'!$B$9</f>
        <v>Leadership</v>
      </c>
      <c r="D34" s="285" t="str">
        <f>'2.3 Enterprise Data'!$C$9</f>
        <v>Outside archetype model</v>
      </c>
      <c r="E34" s="285" t="str">
        <f>'2.3 Enterprise Data'!$R$9</f>
        <v>-</v>
      </c>
      <c r="F34" s="288" t="str">
        <f>'2.3 Enterprise Data'!$D$9</f>
        <v>-</v>
      </c>
      <c r="G34" s="288">
        <f>COUNTIFS('REVIEW - Complete Role Mapping'!$AJ$2:$AJ$528,$B34,'REVIEW - Complete Role Mapping'!$AP$2:$AP$528,$C34,'REVIEW - Complete Role Mapping'!$AK$2:$AK$528,"Filled")</f>
        <v>4</v>
      </c>
      <c r="H34" s="288">
        <f>COUNTIFS('REVIEW - Complete Role Mapping'!$AJ$2:$AJ$528,$B34,'REVIEW - Complete Role Mapping'!$AP$2:$AP$528,$C34,'REVIEW - Complete Role Mapping'!$AK$2:$AK$528,"Vacant")</f>
        <v>1</v>
      </c>
      <c r="I34" s="288">
        <f>$G34+$H34</f>
        <v>5</v>
      </c>
      <c r="J34" s="288" t="str">
        <f>IFERROR($I34-$F34,"-")</f>
        <v>-</v>
      </c>
      <c r="K34" s="288">
        <f>'2.3 Enterprise Data'!$J$9</f>
        <v>4</v>
      </c>
      <c r="L34" s="291">
        <f>IFERROR($H34/$I34,"-")</f>
        <v>0.2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227" t="inlineStr">
        <is>
          <t>Portfolio total</t>
        </is>
      </c>
      <c r="D35" s="456" t="n"/>
      <c r="E35" s="456" t="n"/>
      <c r="F35" s="456">
        <f>IF(COUNT(F31:F34)=0,"-",SUM(F31:F34))</f>
        <v>19</v>
      </c>
      <c r="G35" s="309">
        <f>SUM(G31:G34)</f>
        <v>20</v>
      </c>
      <c r="H35" s="309">
        <f>SUM(H31:H34)</f>
        <v>10</v>
      </c>
      <c r="I35" s="309">
        <f>COUNTIFS('REVIEW - Complete Role Mapping'!$AJ$2:$AJ$528,$B35)</f>
        <v>30</v>
      </c>
      <c r="J35" s="309">
        <f>IF(COUNT(F31:F34)=0,"-",SUM(J31:J34))</f>
        <v>6</v>
      </c>
      <c r="K35" s="309">
        <f>SUM(K31:K34)</f>
        <v>20</v>
      </c>
      <c r="L35" s="605">
        <f>IFERROR($H35/$I35,"-")</f>
        <v>0.333333333333333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TDD Group Functions</t>
        </is>
      </c>
      <c r="C36" s="607" t="str">
        <f>'2.4 TDD Group Functions'!$B$6</f>
        <v>Cloud, Network &amp; Infra Ops</v>
      </c>
      <c r="D36" s="607" t="str">
        <f>'2.4 TDD Group Functions'!$C$6</f>
        <v>Operations</v>
      </c>
      <c r="E36" s="607" t="str">
        <f>'2.4 TDD Group Functions'!$R$6</f>
        <v>M</v>
      </c>
      <c r="F36" s="607">
        <f>'2.4 TDD Group Functions'!$D$6</f>
        <v>6</v>
      </c>
      <c r="G36" s="601">
        <f>COUNTIFS('REVIEW - Complete Role Mapping'!$AJ$2:$AJ$528,$B36,'REVIEW - Complete Role Mapping'!$AP$2:$AP$528,$C36,'REVIEW - Complete Role Mapping'!$AK$2:$AK$528,"Filled")</f>
        <v>11</v>
      </c>
      <c r="H36" s="601">
        <f>COUNTIFS('REVIEW - Complete Role Mapping'!$AJ$2:$AJ$528,$B36,'REVIEW - Complete Role Mapping'!$AP$2:$AP$528,$C36,'REVIEW - Complete Role Mapping'!$AK$2:$AK$528,"Vacant")</f>
        <v>1</v>
      </c>
      <c r="I36" s="601">
        <f>$G36+$H36</f>
        <v>12</v>
      </c>
      <c r="J36" s="601">
        <f>IFERROR($I36-$F36,"-")</f>
        <v>6</v>
      </c>
      <c r="K36" s="601">
        <f>'2.4 TDD Group Functions'!$J$6</f>
        <v>11</v>
      </c>
      <c r="L36" s="602">
        <f>IFERROR($H36/$I36,"-")</f>
        <v>0.0833333333333333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TDD Group Functions</t>
        </is>
      </c>
      <c r="C37" s="285" t="str">
        <f>'2.4 TDD Group Functions'!$B$7</f>
        <v>Integration &amp; Process Automation</v>
      </c>
      <c r="D37" s="285" t="str">
        <f>'2.4 TDD Group Functions'!$C$7</f>
        <v>Configuration / Integration</v>
      </c>
      <c r="E37" s="285" t="str">
        <f>'2.4 TDD Group Functions'!$R$7</f>
        <v>M</v>
      </c>
      <c r="F37" s="288">
        <f>'2.4 TDD Group Functions'!$D$7</f>
        <v>9</v>
      </c>
      <c r="G37" s="288">
        <f>COUNTIFS('REVIEW - Complete Role Mapping'!$AJ$2:$AJ$528,$B37,'REVIEW - Complete Role Mapping'!$AP$2:$AP$528,$C37,'REVIEW - Complete Role Mapping'!$AK$2:$AK$528,"Filled")</f>
        <v>9</v>
      </c>
      <c r="H37" s="288">
        <f>COUNTIFS('REVIEW - Complete Role Mapping'!$AJ$2:$AJ$528,$B37,'REVIEW - Complete Role Mapping'!$AP$2:$AP$528,$C37,'REVIEW - Complete Role Mapping'!$AK$2:$AK$528,"Vacant")</f>
        <v>2</v>
      </c>
      <c r="I37" s="288">
        <f>$G37+$H37</f>
        <v>11</v>
      </c>
      <c r="J37" s="288">
        <f>IFERROR($I37-$F37,"-")</f>
        <v>2</v>
      </c>
      <c r="K37" s="288">
        <f>'2.4 TDD Group Functions'!$J$7</f>
        <v>9</v>
      </c>
      <c r="L37" s="291">
        <f>IFERROR($H37/$I37,"-")</f>
        <v>0.181818181818182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TDD Group Functions</t>
        </is>
      </c>
      <c r="C38" s="285" t="str">
        <f>'2.4 TDD Group Functions'!$B$8</f>
        <v>DevOps &amp; QE</v>
      </c>
      <c r="D38" s="285" t="str">
        <f>'2.4 TDD Group Functions'!$C$8</f>
        <v>Engineering</v>
      </c>
      <c r="E38" s="285" t="str">
        <f>'2.4 TDD Group Functions'!$R$8</f>
        <v>S</v>
      </c>
      <c r="F38" s="288">
        <f>'2.4 TDD Group Functions'!$D$8</f>
        <v>4.5</v>
      </c>
      <c r="G38" s="288">
        <f>COUNTIFS('REVIEW - Complete Role Mapping'!$AJ$2:$AJ$528,$B38,'REVIEW - Complete Role Mapping'!$AP$2:$AP$528,$C38,'REVIEW - Complete Role Mapping'!$AK$2:$AK$528,"Filled")</f>
        <v>4</v>
      </c>
      <c r="H38" s="288">
        <f>COUNTIFS('REVIEW - Complete Role Mapping'!$AJ$2:$AJ$528,$B38,'REVIEW - Complete Role Mapping'!$AP$2:$AP$528,$C38,'REVIEW - Complete Role Mapping'!$AK$2:$AK$528,"Vacant")</f>
        <v>4</v>
      </c>
      <c r="I38" s="288">
        <f>$G38+$H38</f>
        <v>8</v>
      </c>
      <c r="J38" s="288">
        <f>IFERROR($I38-$F38,"-")</f>
        <v>3.5</v>
      </c>
      <c r="K38" s="288">
        <f>'2.4 TDD Group Functions'!$J$8</f>
        <v>4</v>
      </c>
      <c r="L38" s="291">
        <f>IFERROR($H38/$I38,"-")</f>
        <v>0.5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TDD Group Functions</t>
        </is>
      </c>
      <c r="C39" s="285" t="str">
        <f>'2.4 TDD Group Functions'!$B$9</f>
        <v>Workplace &amp; Enterprise Tooling</v>
      </c>
      <c r="D39" s="285" t="str">
        <f>'2.4 TDD Group Functions'!$C$9</f>
        <v>Configuration / Integration</v>
      </c>
      <c r="E39" s="285" t="str">
        <f>'2.4 TDD Group Functions'!$R$9</f>
        <v>S</v>
      </c>
      <c r="F39" s="288">
        <f>'2.4 TDD Group Functions'!$D$9</f>
        <v>6</v>
      </c>
      <c r="G39" s="288">
        <f>COUNTIFS('REVIEW - Complete Role Mapping'!$AJ$2:$AJ$528,$B39,'REVIEW - Complete Role Mapping'!$AP$2:$AP$528,$C39,'REVIEW - Complete Role Mapping'!$AK$2:$AK$528,"Filled")</f>
        <v>4</v>
      </c>
      <c r="H39" s="288">
        <f>COUNTIFS('REVIEW - Complete Role Mapping'!$AJ$2:$AJ$528,$B39,'REVIEW - Complete Role Mapping'!$AP$2:$AP$528,$C39,'REVIEW - Complete Role Mapping'!$AK$2:$AK$528,"Vacant")</f>
        <v>2</v>
      </c>
      <c r="I39" s="288">
        <f>$G39+$H39</f>
        <v>6</v>
      </c>
      <c r="J39" s="288">
        <f>IFERROR($I39-$F39,"-")</f>
        <v>0</v>
      </c>
      <c r="K39" s="288">
        <f>'2.4 TDD Group Functions'!$J$9</f>
        <v>4</v>
      </c>
      <c r="L39" s="291">
        <f>IFERROR($H39/$I39,"-")</f>
        <v>0.333333333333333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TDD Group Functions</t>
        </is>
      </c>
      <c r="C40" s="285" t="str">
        <f>'2.4 TDD Group Functions'!$B$10</f>
        <v>EGI TDD</v>
      </c>
      <c r="D40" s="285" t="str">
        <f>'2.4 TDD Group Functions'!$C$10</f>
        <v>Strategic Programs</v>
      </c>
      <c r="E40" s="285" t="str">
        <f>'2.4 TDD Group Functions'!$R$10</f>
        <v>-</v>
      </c>
      <c r="F40" s="288" t="str">
        <f>'2.4 TDD Group Functions'!$D$10</f>
        <v>-</v>
      </c>
      <c r="G40" s="288">
        <f>COUNTIFS('REVIEW - Complete Role Mapping'!$AJ$2:$AJ$528,$B40,'REVIEW - Complete Role Mapping'!$AP$2:$AP$528,$C40,'REVIEW - Complete Role Mapping'!$AK$2:$AK$528,"Filled")</f>
        <v>4</v>
      </c>
      <c r="H40" s="288">
        <f>COUNTIFS('REVIEW - Complete Role Mapping'!$AJ$2:$AJ$528,$B40,'REVIEW - Complete Role Mapping'!$AP$2:$AP$528,$C40,'REVIEW - Complete Role Mapping'!$AK$2:$AK$528,"Vacant")</f>
        <v>0</v>
      </c>
      <c r="I40" s="288">
        <f>$G40+$H40</f>
        <v>4</v>
      </c>
      <c r="J40" s="288" t="str">
        <f>IFERROR($I40-$F40,"-")</f>
        <v>-</v>
      </c>
      <c r="K40" s="288">
        <f>'2.4 TDD Group Functions'!$J$10</f>
        <v>4</v>
      </c>
      <c r="L40" s="291">
        <f>IFERROR($H40/$I40,"-")</f>
        <v>0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285" t="str">
        <f>'2.4 TDD Group Functions'!$B$11</f>
        <v>Leadership</v>
      </c>
      <c r="D41" s="285" t="str">
        <f>'2.4 TDD Group Functions'!$C$11</f>
        <v>Outside archetype model</v>
      </c>
      <c r="E41" s="285" t="str">
        <f>'2.4 TDD Group Functions'!$R$11</f>
        <v>-</v>
      </c>
      <c r="F41" s="288" t="str">
        <f>'2.4 TDD Group Functions'!$D$11</f>
        <v>-</v>
      </c>
      <c r="G41" s="288">
        <f>COUNTIFS('REVIEW - Complete Role Mapping'!$AJ$2:$AJ$528,$B41,'REVIEW - Complete Role Mapping'!$AP$2:$AP$528,$C41,'REVIEW - Complete Role Mapping'!$AK$2:$AK$528,"Filled")</f>
        <v>0</v>
      </c>
      <c r="H41" s="288">
        <f>COUNTIFS('REVIEW - Complete Role Mapping'!$AJ$2:$AJ$528,$B41,'REVIEW - Complete Role Mapping'!$AP$2:$AP$528,$C41,'REVIEW - Complete Role Mapping'!$AK$2:$AK$528,"Vacant")</f>
        <v>5</v>
      </c>
      <c r="I41" s="288">
        <f>$G41+$H41</f>
        <v>5</v>
      </c>
      <c r="J41" s="288" t="str">
        <f>IFERROR($I41-$F41,"-")</f>
        <v>-</v>
      </c>
      <c r="K41" s="288">
        <f>'2.4 TDD Group Functions'!$J$11</f>
        <v>0</v>
      </c>
      <c r="L41" s="291">
        <f>IFERROR($H41/$I41,"-")</f>
        <v>1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227" t="inlineStr">
        <is>
          <t>Portfolio total</t>
        </is>
      </c>
      <c r="D42" s="456" t="n"/>
      <c r="E42" s="456" t="n"/>
      <c r="F42" s="456">
        <f>IF(COUNT(F36:F41)=0,"-",SUM(F36:F41))</f>
        <v>25.5</v>
      </c>
      <c r="G42" s="309">
        <f>SUM(G36:G41)</f>
        <v>32</v>
      </c>
      <c r="H42" s="309">
        <f>SUM(H36:H41)</f>
        <v>14</v>
      </c>
      <c r="I42" s="309">
        <f>COUNTIFS('REVIEW - Complete Role Mapping'!$AJ$2:$AJ$528,$B42)</f>
        <v>46</v>
      </c>
      <c r="J42" s="309">
        <f>IF(COUNT(F36:F41)=0,"-",SUM(J36:J41))</f>
        <v>11.5</v>
      </c>
      <c r="K42" s="309">
        <f>SUM(K36:K41)</f>
        <v>32</v>
      </c>
      <c r="L42" s="605">
        <f>IFERROR($H42/$I42,"-")</f>
        <v>0.304347826086957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P&amp;C</t>
        </is>
      </c>
      <c r="C43" s="607" t="str">
        <f>'2.5 P&amp;C'!$B$6</f>
        <v>P&amp;C</v>
      </c>
      <c r="D43" s="607">
        <f>'2.5 P&amp;C'!$C$6</f>
        <v>0</v>
      </c>
      <c r="E43" s="607" t="str">
        <f>'2.5 P&amp;C'!$R$6</f>
        <v>-</v>
      </c>
      <c r="F43" s="607" t="str">
        <f>'2.5 P&amp;C'!$D$6</f>
        <v>-</v>
      </c>
      <c r="G43" s="601">
        <f>COUNTIFS('REVIEW - Complete Role Mapping'!$AJ$2:$AJ$528,$B43,'REVIEW - Complete Role Mapping'!$AP$2:$AP$528,$C43,'REVIEW - Complete Role Mapping'!$AK$2:$AK$528,"Filled")</f>
        <v>5</v>
      </c>
      <c r="H43" s="601">
        <f>COUNTIFS('REVIEW - Complete Role Mapping'!$AJ$2:$AJ$528,$B43,'REVIEW - Complete Role Mapping'!$AP$2:$AP$528,$C43,'REVIEW - Complete Role Mapping'!$AK$2:$AK$528,"Vacant")</f>
        <v>3</v>
      </c>
      <c r="I43" s="601">
        <f>$G43+$H43</f>
        <v>8</v>
      </c>
      <c r="J43" s="601" t="str">
        <f>IFERROR($I43-$F43,"-")</f>
        <v>-</v>
      </c>
      <c r="K43" s="601">
        <f>'2.5 P&amp;C'!$J$6</f>
        <v>5</v>
      </c>
      <c r="L43" s="602">
        <f>IFERROR($H43/$I43,"-")</f>
        <v>0.375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P&amp;C</t>
        </is>
      </c>
      <c r="C44" s="285" t="str">
        <f>'2.5 P&amp;C'!$B$7</f>
        <v>P&amp;C RTA</v>
      </c>
      <c r="D44" s="285" t="str">
        <f>'2.5 P&amp;C'!$C$7</f>
        <v>Configuration / Integration</v>
      </c>
      <c r="E44" s="285" t="str">
        <f>'2.5 P&amp;C'!$R$7</f>
        <v>S</v>
      </c>
      <c r="F44" s="288">
        <f>'2.5 P&amp;C'!$D$7</f>
        <v>6</v>
      </c>
      <c r="G44" s="288">
        <f>COUNTIFS('REVIEW - Complete Role Mapping'!$AJ$2:$AJ$528,$B44,'REVIEW - Complete Role Mapping'!$AP$2:$AP$528,$C44,'REVIEW - Complete Role Mapping'!$AK$2:$AK$528,"Filled")</f>
        <v>1</v>
      </c>
      <c r="H44" s="288">
        <f>COUNTIFS('REVIEW - Complete Role Mapping'!$AJ$2:$AJ$528,$B44,'REVIEW - Complete Role Mapping'!$AP$2:$AP$528,$C44,'REVIEW - Complete Role Mapping'!$AK$2:$AK$528,"Vacant")</f>
        <v>5</v>
      </c>
      <c r="I44" s="288">
        <f>$G44+$H44</f>
        <v>6</v>
      </c>
      <c r="J44" s="288">
        <f>IFERROR($I44-$F44,"-")</f>
        <v>0</v>
      </c>
      <c r="K44" s="288">
        <f>'2.5 P&amp;C'!$J$7</f>
        <v>1</v>
      </c>
      <c r="L44" s="291">
        <f>IFERROR($H44/$I44,"-")</f>
        <v>0.833333333333333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P&amp;C</t>
        </is>
      </c>
      <c r="C45" s="285" t="str">
        <f>'2.5 P&amp;C'!$B$8</f>
        <v>EGI P&amp;C</v>
      </c>
      <c r="D45" s="285" t="str">
        <f>'2.5 P&amp;C'!$C$8</f>
        <v>Strategic Programs</v>
      </c>
      <c r="E45" s="285" t="str">
        <f>'2.5 P&amp;C'!$R$8</f>
        <v>-</v>
      </c>
      <c r="F45" s="288" t="str">
        <f>'2.5 P&amp;C'!$D$8</f>
        <v>-</v>
      </c>
      <c r="G45" s="288">
        <f>COUNTIFS('REVIEW - Complete Role Mapping'!$AJ$2:$AJ$528,$B45,'REVIEW - Complete Role Mapping'!$AP$2:$AP$528,$C45,'REVIEW - Complete Role Mapping'!$AK$2:$AK$528,"Filled")</f>
        <v>1</v>
      </c>
      <c r="H45" s="288">
        <f>COUNTIFS('REVIEW - Complete Role Mapping'!$AJ$2:$AJ$528,$B45,'REVIEW - Complete Role Mapping'!$AP$2:$AP$528,$C45,'REVIEW - Complete Role Mapping'!$AK$2:$AK$528,"Vacant")</f>
        <v>0</v>
      </c>
      <c r="I45" s="288">
        <f>$G45+$H45</f>
        <v>1</v>
      </c>
      <c r="J45" s="288" t="str">
        <f>IFERROR($I45-$F45,"-")</f>
        <v>-</v>
      </c>
      <c r="K45" s="288">
        <f>'2.5 P&amp;C'!$J$8</f>
        <v>1</v>
      </c>
      <c r="L45" s="291">
        <f>IFERROR($H45/$I45,"-")</f>
        <v>0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P&amp;C</t>
        </is>
      </c>
      <c r="C46" s="285" t="str">
        <f>'2.5 P&amp;C'!$B$9</f>
        <v>Leadership</v>
      </c>
      <c r="D46" s="285" t="str">
        <f>'2.5 P&amp;C'!$C$9</f>
        <v>Outside archetype model</v>
      </c>
      <c r="E46" s="285" t="str">
        <f>'2.5 P&amp;C'!$R$9</f>
        <v>-</v>
      </c>
      <c r="F46" s="288" t="str">
        <f>'2.5 P&amp;C'!$D$9</f>
        <v>-</v>
      </c>
      <c r="G46" s="288">
        <f>COUNTIFS('REVIEW - Complete Role Mapping'!$AJ$2:$AJ$528,$B46,'REVIEW - Complete Role Mapping'!$AP$2:$AP$528,$C46,'REVIEW - Complete Role Mapping'!$AK$2:$AK$528,"Filled")</f>
        <v>1</v>
      </c>
      <c r="H46" s="288">
        <f>COUNTIFS('REVIEW - Complete Role Mapping'!$AJ$2:$AJ$528,$B46,'REVIEW - Complete Role Mapping'!$AP$2:$AP$528,$C46,'REVIEW - Complete Role Mapping'!$AK$2:$AK$528,"Vacant")</f>
        <v>2</v>
      </c>
      <c r="I46" s="288">
        <f>$G46+$H46</f>
        <v>3</v>
      </c>
      <c r="J46" s="288" t="str">
        <f>IFERROR($I46-$F46,"-")</f>
        <v>-</v>
      </c>
      <c r="K46" s="288">
        <f>'2.5 P&amp;C'!$J$9</f>
        <v>1</v>
      </c>
      <c r="L46" s="291">
        <f>IFERROR($H46/$I46,"-")</f>
        <v>0.666666666666667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P&amp;C</t>
        </is>
      </c>
      <c r="C47" s="1228" t="inlineStr">
        <is>
          <t>Portfolio total</t>
        </is>
      </c>
      <c r="D47" s="285" t="n"/>
      <c r="E47" s="285" t="n"/>
      <c r="F47" s="288">
        <f>IF(COUNT(F43:F46)=0,"-",SUM(F43:F46))</f>
        <v>6</v>
      </c>
      <c r="G47" s="288">
        <f>SUM(G43:G46)</f>
        <v>8</v>
      </c>
      <c r="H47" s="288">
        <f>SUM(H43:H46)</f>
        <v>10</v>
      </c>
      <c r="I47" s="288">
        <f>COUNTIFS('REVIEW - Complete Role Mapping'!$AJ$2:$AJ$528,$B47)</f>
        <v>18</v>
      </c>
      <c r="J47" s="288">
        <f>IF(COUNT(F43:F46)=0,"-",SUM(J43:J46))</f>
        <v>0</v>
      </c>
      <c r="K47" s="288">
        <f>SUM(K43:K46)</f>
        <v>8</v>
      </c>
      <c r="L47" s="291">
        <f>IFERROR($H47/$I47,"-")</f>
        <v>0.555555555555556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Finance</t>
        </is>
      </c>
      <c r="C48" s="455" t="str">
        <f>'2.6 Finance'!$B$6</f>
        <v>SAP ERP</v>
      </c>
      <c r="D48" s="456" t="str">
        <f>'2.6 Finance'!$C$6</f>
        <v>Configuration / Integration</v>
      </c>
      <c r="E48" s="456" t="str">
        <f>'2.6 Finance'!$R$6</f>
        <v>S</v>
      </c>
      <c r="F48" s="456">
        <f>'2.6 Finance'!$D$6</f>
        <v>6</v>
      </c>
      <c r="G48" s="309">
        <f>COUNTIFS('REVIEW - Complete Role Mapping'!$AJ$2:$AJ$528,$B48,'REVIEW - Complete Role Mapping'!$AP$2:$AP$528,$C48,'REVIEW - Complete Role Mapping'!$AK$2:$AK$528,"Filled")</f>
        <v>2</v>
      </c>
      <c r="H48" s="309">
        <f>COUNTIFS('REVIEW - Complete Role Mapping'!$AJ$2:$AJ$528,$B48,'REVIEW - Complete Role Mapping'!$AP$2:$AP$528,$C48,'REVIEW - Complete Role Mapping'!$AK$2:$AK$528,"Vacant")</f>
        <v>7</v>
      </c>
      <c r="I48" s="309">
        <f>$G48+$H48</f>
        <v>9</v>
      </c>
      <c r="J48" s="309">
        <f>IFERROR($I48-$F48,"-")</f>
        <v>3</v>
      </c>
      <c r="K48" s="309">
        <f>'2.6 Finance'!$J$6</f>
        <v>2</v>
      </c>
      <c r="L48" s="605">
        <f>IFERROR($H48/$I48,"-")</f>
        <v>0.777777777777778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Finance</t>
        </is>
      </c>
      <c r="C49" s="285" t="str">
        <f>'2.6 Finance'!$B$7</f>
        <v>NZ Finance</v>
      </c>
      <c r="D49" s="285" t="str">
        <f>'2.6 Finance'!$C$7</f>
        <v>Configuration / Integration</v>
      </c>
      <c r="E49" s="285" t="str">
        <f>'2.6 Finance'!$R$7</f>
        <v>S</v>
      </c>
      <c r="F49" s="288">
        <f>'2.6 Finance'!$D$7</f>
        <v>6</v>
      </c>
      <c r="G49" s="288">
        <f>COUNTIFS('REVIEW - Complete Role Mapping'!$AJ$2:$AJ$528,$B49,'REVIEW - Complete Role Mapping'!$AP$2:$AP$528,$C49,'REVIEW - Complete Role Mapping'!$AK$2:$AK$528,"Filled")</f>
        <v>4</v>
      </c>
      <c r="H49" s="288">
        <f>COUNTIFS('REVIEW - Complete Role Mapping'!$AJ$2:$AJ$528,$B49,'REVIEW - Complete Role Mapping'!$AP$2:$AP$528,$C49,'REVIEW - Complete Role Mapping'!$AK$2:$AK$528,"Vacant")</f>
        <v>1</v>
      </c>
      <c r="I49" s="288">
        <f>$G49+$H49</f>
        <v>5</v>
      </c>
      <c r="J49" s="288">
        <f>IFERROR($I49-$F49,"-")</f>
        <v>-1</v>
      </c>
      <c r="K49" s="288">
        <f>'2.6 Finance'!$J$7</f>
        <v>4</v>
      </c>
      <c r="L49" s="291">
        <f>IFERROR($H49/$I49,"-")</f>
        <v>0.2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Finance</t>
        </is>
      </c>
      <c r="C50" s="455" t="str">
        <f>'2.6 Finance'!$B$8</f>
        <v>EGI Finance</v>
      </c>
      <c r="D50" s="456" t="str">
        <f>'2.6 Finance'!$C$8</f>
        <v>Strategic Programs</v>
      </c>
      <c r="E50" s="456" t="str">
        <f>'2.6 Finance'!$R$8</f>
        <v>-</v>
      </c>
      <c r="F50" s="456" t="str">
        <f>'2.6 Finance'!$D$8</f>
        <v>-</v>
      </c>
      <c r="G50" s="309">
        <f>COUNTIFS('REVIEW - Complete Role Mapping'!$AJ$2:$AJ$528,$B50,'REVIEW - Complete Role Mapping'!$AP$2:$AP$528,$C50,'REVIEW - Complete Role Mapping'!$AK$2:$AK$528,"Filled")</f>
        <v>1</v>
      </c>
      <c r="H50" s="309">
        <f>COUNTIFS('REVIEW - Complete Role Mapping'!$AJ$2:$AJ$528,$B50,'REVIEW - Complete Role Mapping'!$AP$2:$AP$528,$C50,'REVIEW - Complete Role Mapping'!$AK$2:$AK$528,"Vacant")</f>
        <v>0</v>
      </c>
      <c r="I50" s="309">
        <f>$G50+$H50</f>
        <v>1</v>
      </c>
      <c r="J50" s="309" t="str">
        <f>IFERROR($I50-$F50,"-")</f>
        <v>-</v>
      </c>
      <c r="K50" s="309">
        <f>'2.6 Finance'!$J$8</f>
        <v>1</v>
      </c>
      <c r="L50" s="605">
        <f>IFERROR($H50/$I50,"-")</f>
        <v>0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Finance</t>
        </is>
      </c>
      <c r="C51" s="607" t="str">
        <f>'2.6 Finance'!$B$9</f>
        <v>Leadership</v>
      </c>
      <c r="D51" s="607" t="str">
        <f>'2.6 Finance'!$C$9</f>
        <v>Outside archetype model</v>
      </c>
      <c r="E51" s="607" t="str">
        <f>'2.6 Finance'!$R$9</f>
        <v>-</v>
      </c>
      <c r="F51" s="607" t="str">
        <f>'2.6 Finance'!$D$9</f>
        <v>-</v>
      </c>
      <c r="G51" s="601">
        <f>COUNTIFS('REVIEW - Complete Role Mapping'!$AJ$2:$AJ$528,$B51,'REVIEW - Complete Role Mapping'!$AP$2:$AP$528,$C51,'REVIEW - Complete Role Mapping'!$AK$2:$AK$528,"Filled")</f>
        <v>1</v>
      </c>
      <c r="H51" s="601">
        <f>COUNTIFS('REVIEW - Complete Role Mapping'!$AJ$2:$AJ$528,$B51,'REVIEW - Complete Role Mapping'!$AP$2:$AP$528,$C51,'REVIEW - Complete Role Mapping'!$AK$2:$AK$528,"Vacant")</f>
        <v>0</v>
      </c>
      <c r="I51" s="601">
        <f>$G51+$H51</f>
        <v>1</v>
      </c>
      <c r="J51" s="601" t="str">
        <f>IFERROR($I51-$F51,"-")</f>
        <v>-</v>
      </c>
      <c r="K51" s="601">
        <f>'2.6 Finance'!$J$9</f>
        <v>1</v>
      </c>
      <c r="L51" s="602">
        <f>IFERROR($H51/$I51,"-")</f>
        <v>0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Finance</t>
        </is>
      </c>
      <c r="C52" s="285" t="str">
        <f>'2.6 Finance'!$B$10</f>
        <v>Unassigned</v>
      </c>
      <c r="D52" s="285" t="str">
        <f>'2.6 Finance'!$C$10</f>
        <v>Outside archetype model</v>
      </c>
      <c r="E52" s="285" t="str">
        <f>'2.6 Finance'!$R$10</f>
        <v>-</v>
      </c>
      <c r="F52" s="288" t="str">
        <f>'2.6 Finance'!$D$10</f>
        <v>-</v>
      </c>
      <c r="G52" s="288">
        <f>COUNTIFS('REVIEW - Complete Role Mapping'!$AJ$2:$AJ$528,$B52,'REVIEW - Complete Role Mapping'!$AP$2:$AP$528,$C52,'REVIEW - Complete Role Mapping'!$AK$2:$AK$528,"Filled")</f>
        <v>1</v>
      </c>
      <c r="H52" s="288">
        <f>COUNTIFS('REVIEW - Complete Role Mapping'!$AJ$2:$AJ$528,$B52,'REVIEW - Complete Role Mapping'!$AP$2:$AP$528,$C52,'REVIEW - Complete Role Mapping'!$AK$2:$AK$528,"Vacant")</f>
        <v>0</v>
      </c>
      <c r="I52" s="288">
        <f>$G52+$H52</f>
        <v>1</v>
      </c>
      <c r="J52" s="288" t="str">
        <f>IFERROR($I52-$F52,"-")</f>
        <v>-</v>
      </c>
      <c r="K52" s="288">
        <f>'2.6 Finance'!$J$10</f>
        <v>1</v>
      </c>
      <c r="L52" s="291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Finance</t>
        </is>
      </c>
      <c r="C53" s="1228" t="inlineStr">
        <is>
          <t>Portfolio total</t>
        </is>
      </c>
      <c r="D53" s="285" t="n"/>
      <c r="E53" s="285" t="n"/>
      <c r="F53" s="288">
        <f>IF(COUNT(F48:F52)=0,"-",SUM(F48:F52))</f>
        <v>12</v>
      </c>
      <c r="G53" s="288">
        <f>SUM(G48:G52)</f>
        <v>9</v>
      </c>
      <c r="H53" s="288">
        <f>SUM(H48:H52)</f>
        <v>8</v>
      </c>
      <c r="I53" s="288">
        <f>COUNTIFS('REVIEW - Complete Role Mapping'!$AJ$2:$AJ$528,$B53)</f>
        <v>17</v>
      </c>
      <c r="J53" s="288">
        <f>IF(COUNT(F48:F52)=0,"-",SUM(J48:J52))</f>
        <v>2</v>
      </c>
      <c r="K53" s="288">
        <f>SUM(K48:K52)</f>
        <v>9</v>
      </c>
      <c r="L53" s="291">
        <f>IFERROR($H53/$I53,"-")</f>
        <v>0.470588235294118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Infrastructure</t>
        </is>
      </c>
      <c r="C54" s="455" t="str">
        <f>'2.7 Infrastructure'!$B$6</f>
        <v>Distribution, Sales &amp; Services</v>
      </c>
      <c r="D54" s="456" t="str">
        <f>'2.7 Infrastructure'!$C$6</f>
        <v>Configuration / Integration</v>
      </c>
      <c r="E54" s="456" t="str">
        <f>'2.7 Infrastructure'!$R$6</f>
        <v>M</v>
      </c>
      <c r="F54" s="456">
        <f>'2.7 Infrastructure'!$D$6</f>
        <v>9</v>
      </c>
      <c r="G54" s="309">
        <f>COUNTIFS('REVIEW - Complete Role Mapping'!$AJ$2:$AJ$528,$B54,'REVIEW - Complete Role Mapping'!$AP$2:$AP$528,$C54,'REVIEW - Complete Role Mapping'!$AK$2:$AK$528,"Filled")</f>
        <v>8</v>
      </c>
      <c r="H54" s="309">
        <f>COUNTIFS('REVIEW - Complete Role Mapping'!$AJ$2:$AJ$528,$B54,'REVIEW - Complete Role Mapping'!$AP$2:$AP$528,$C54,'REVIEW - Complete Role Mapping'!$AK$2:$AK$528,"Vacant")</f>
        <v>2</v>
      </c>
      <c r="I54" s="309">
        <f>$G54+$H54</f>
        <v>10</v>
      </c>
      <c r="J54" s="309">
        <f>IFERROR($I54-$F54,"-")</f>
        <v>1</v>
      </c>
      <c r="K54" s="309">
        <f>'2.7 Infrastructure'!$J$6</f>
        <v>8</v>
      </c>
      <c r="L54" s="605">
        <f>IFERROR($H54/$I54,"-")</f>
        <v>0.2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Infrastructure</t>
        </is>
      </c>
      <c r="C55" s="285" t="str">
        <f>'2.7 Infrastructure'!$B$7</f>
        <v>Manufacturing Group Projects</v>
      </c>
      <c r="D55" s="285" t="str">
        <f>'2.7 Infrastructure'!$C$7</f>
        <v>Configuration / Integration</v>
      </c>
      <c r="E55" s="285" t="str">
        <f>'2.7 Infrastructure'!$R$7</f>
        <v>M</v>
      </c>
      <c r="F55" s="288">
        <f>'2.7 Infrastructure'!$D$7</f>
        <v>9</v>
      </c>
      <c r="G55" s="288">
        <f>COUNTIFS('REVIEW - Complete Role Mapping'!$AJ$2:$AJ$528,$B55,'REVIEW - Complete Role Mapping'!$AP$2:$AP$528,$C55,'REVIEW - Complete Role Mapping'!$AK$2:$AK$528,"Filled")</f>
        <v>7</v>
      </c>
      <c r="H55" s="288">
        <f>COUNTIFS('REVIEW - Complete Role Mapping'!$AJ$2:$AJ$528,$B55,'REVIEW - Complete Role Mapping'!$AP$2:$AP$528,$C55,'REVIEW - Complete Role Mapping'!$AK$2:$AK$528,"Vacant")</f>
        <v>2</v>
      </c>
      <c r="I55" s="288">
        <f>$G55+$H55</f>
        <v>9</v>
      </c>
      <c r="J55" s="288">
        <f>IFERROR($I55-$F55,"-")</f>
        <v>0</v>
      </c>
      <c r="K55" s="288">
        <f>'2.7 Infrastructure'!$J$7</f>
        <v>7</v>
      </c>
      <c r="L55" s="291">
        <f>IFERROR($H55/$I55,"-")</f>
        <v>0.222222222222222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Infrastructure</t>
        </is>
      </c>
      <c r="C56" s="455" t="str">
        <f>'2.7 Infrastructure'!$B$8</f>
        <v>Data &amp; Insights</v>
      </c>
      <c r="D56" s="456" t="str">
        <f>'2.7 Infrastructure'!$C$8</f>
        <v>Configuration / Integration</v>
      </c>
      <c r="E56" s="456" t="str">
        <f>'2.7 Infrastructure'!$R$8</f>
        <v>S</v>
      </c>
      <c r="F56" s="456">
        <f>'2.7 Infrastructure'!$D$8</f>
        <v>6</v>
      </c>
      <c r="G56" s="309">
        <f>COUNTIFS('REVIEW - Complete Role Mapping'!$AJ$2:$AJ$528,$B56,'REVIEW - Complete Role Mapping'!$AP$2:$AP$528,$C56,'REVIEW - Complete Role Mapping'!$AK$2:$AK$528,"Filled")</f>
        <v>2</v>
      </c>
      <c r="H56" s="309">
        <f>COUNTIFS('REVIEW - Complete Role Mapping'!$AJ$2:$AJ$528,$B56,'REVIEW - Complete Role Mapping'!$AP$2:$AP$528,$C56,'REVIEW - Complete Role Mapping'!$AK$2:$AK$528,"Vacant")</f>
        <v>5</v>
      </c>
      <c r="I56" s="309">
        <f>$G56+$H56</f>
        <v>7</v>
      </c>
      <c r="J56" s="309">
        <f>IFERROR($I56-$F56,"-")</f>
        <v>1</v>
      </c>
      <c r="K56" s="309">
        <f>'2.7 Infrastructure'!$J$8</f>
        <v>2</v>
      </c>
      <c r="L56" s="605">
        <f>IFERROR($H56/$I56,"-")</f>
        <v>0.714285714285714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Infrastructure</t>
        </is>
      </c>
      <c r="C57" s="607" t="str">
        <f>'2.7 Infrastructure'!$B$9</f>
        <v>Technology Support</v>
      </c>
      <c r="D57" s="607" t="str">
        <f>'2.7 Infrastructure'!$C$9</f>
        <v>Operations</v>
      </c>
      <c r="E57" s="607" t="str">
        <f>'2.7 Infrastructure'!$R$9</f>
        <v>S</v>
      </c>
      <c r="F57" s="607">
        <f>'2.7 Infrastructure'!$D$9</f>
        <v>4</v>
      </c>
      <c r="G57" s="601">
        <f>COUNTIFS('REVIEW - Complete Role Mapping'!$AJ$2:$AJ$528,$B57,'REVIEW - Complete Role Mapping'!$AP$2:$AP$528,$C57,'REVIEW - Complete Role Mapping'!$AK$2:$AK$528,"Filled")</f>
        <v>5</v>
      </c>
      <c r="H57" s="601">
        <f>COUNTIFS('REVIEW - Complete Role Mapping'!$AJ$2:$AJ$528,$B57,'REVIEW - Complete Role Mapping'!$AP$2:$AP$528,$C57,'REVIEW - Complete Role Mapping'!$AK$2:$AK$528,"Vacant")</f>
        <v>0</v>
      </c>
      <c r="I57" s="601">
        <f>$G57+$H57</f>
        <v>5</v>
      </c>
      <c r="J57" s="601">
        <f>IFERROR($I57-$F57,"-")</f>
        <v>1</v>
      </c>
      <c r="K57" s="601">
        <f>'2.7 Infrastructure'!$J$9</f>
        <v>5</v>
      </c>
      <c r="L57" s="602">
        <f>IFERROR($H57/$I57,"-")</f>
        <v>0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Infrastructure</t>
        </is>
      </c>
      <c r="C58" s="285" t="str">
        <f>'2.7 Infrastructure'!$B$10</f>
        <v>Leadership</v>
      </c>
      <c r="D58" s="285" t="str">
        <f>'2.7 Infrastructure'!$C$10</f>
        <v>Outside archetype model</v>
      </c>
      <c r="E58" s="285" t="str">
        <f>'2.7 Infrastructure'!$R$10</f>
        <v>-</v>
      </c>
      <c r="F58" s="288" t="str">
        <f>'2.7 Infrastructure'!$D$10</f>
        <v>-</v>
      </c>
      <c r="G58" s="288">
        <f>COUNTIFS('REVIEW - Complete Role Mapping'!$AJ$2:$AJ$528,$B58,'REVIEW - Complete Role Mapping'!$AP$2:$AP$528,$C58,'REVIEW - Complete Role Mapping'!$AK$2:$AK$528,"Filled")</f>
        <v>2</v>
      </c>
      <c r="H58" s="288">
        <f>COUNTIFS('REVIEW - Complete Role Mapping'!$AJ$2:$AJ$528,$B58,'REVIEW - Complete Role Mapping'!$AP$2:$AP$528,$C58,'REVIEW - Complete Role Mapping'!$AK$2:$AK$528,"Vacant")</f>
        <v>3</v>
      </c>
      <c r="I58" s="288">
        <f>$G58+$H58</f>
        <v>5</v>
      </c>
      <c r="J58" s="288" t="str">
        <f>IFERROR($I58-$F58,"-")</f>
        <v>-</v>
      </c>
      <c r="K58" s="288">
        <f>'2.7 Infrastructure'!$J$10</f>
        <v>2</v>
      </c>
      <c r="L58" s="291">
        <f>IFERROR($H58/$I58,"-")</f>
        <v>0.6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Infrastructure</t>
        </is>
      </c>
      <c r="C59" s="1228" t="inlineStr">
        <is>
          <t>Portfolio total</t>
        </is>
      </c>
      <c r="D59" s="285" t="n"/>
      <c r="E59" s="285" t="n"/>
      <c r="F59" s="288">
        <f>IF(COUNT(F54:F58)=0,"-",SUM(F54:F58))</f>
        <v>28</v>
      </c>
      <c r="G59" s="288">
        <f>SUM(G54:G58)</f>
        <v>24</v>
      </c>
      <c r="H59" s="288">
        <f>SUM(H54:H58)</f>
        <v>12</v>
      </c>
      <c r="I59" s="288">
        <f>COUNTIFS('REVIEW - Complete Role Mapping'!$AJ$2:$AJ$528,$B59)</f>
        <v>36</v>
      </c>
      <c r="J59" s="288">
        <f>IF(COUNT(F54:F58)=0,"-",SUM(J54:J58))</f>
        <v>3</v>
      </c>
      <c r="K59" s="288">
        <f>SUM(K54:K58)</f>
        <v>24</v>
      </c>
      <c r="L59" s="291">
        <f>IFERROR($H59/$I59,"-")</f>
        <v>0.333333333333333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Energy Solutions &amp; B2B</t>
        </is>
      </c>
      <c r="C60" s="455" t="str">
        <f>'2.8 Energy Solutions &amp; B2B'!$B$6</f>
        <v>B2B</v>
      </c>
      <c r="D60" s="456" t="str">
        <f>'2.8 Energy Solutions &amp; B2B'!$C$6</f>
        <v>Configuration / Integration</v>
      </c>
      <c r="E60" s="456" t="str">
        <f>'2.8 Energy Solutions &amp; B2B'!$R$6</f>
        <v>L</v>
      </c>
      <c r="F60" s="456">
        <f>'2.8 Energy Solutions &amp; B2B'!$D$6</f>
        <v>14</v>
      </c>
      <c r="G60" s="309">
        <f>COUNTIFS('REVIEW - Complete Role Mapping'!$AJ$2:$AJ$528,$B60,'REVIEW - Complete Role Mapping'!$AP$2:$AP$528,$C60,'REVIEW - Complete Role Mapping'!$AK$2:$AK$528,"Filled")</f>
        <v>11</v>
      </c>
      <c r="H60" s="309">
        <f>COUNTIFS('REVIEW - Complete Role Mapping'!$AJ$2:$AJ$528,$B60,'REVIEW - Complete Role Mapping'!$AP$2:$AP$528,$C60,'REVIEW - Complete Role Mapping'!$AK$2:$AK$528,"Vacant")</f>
        <v>3</v>
      </c>
      <c r="I60" s="309">
        <f>$G60+$H60</f>
        <v>14</v>
      </c>
      <c r="J60" s="309">
        <f>IFERROR($I60-$F60,"-")</f>
        <v>0</v>
      </c>
      <c r="K60" s="309">
        <f>'2.8 Energy Solutions &amp; B2B'!$J$6</f>
        <v>11</v>
      </c>
      <c r="L60" s="605">
        <f>IFERROR($H60/$I60,"-")</f>
        <v>0.214285714285714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Energy Solutions &amp; B2B</t>
        </is>
      </c>
      <c r="C61" s="285" t="str">
        <f>'2.8 Energy Solutions &amp; B2B'!$B$7</f>
        <v>Energy</v>
      </c>
      <c r="D61" s="285" t="str">
        <f>'2.8 Energy Solutions &amp; B2B'!$C$7</f>
        <v>Engineering</v>
      </c>
      <c r="E61" s="285" t="str">
        <f>'2.8 Energy Solutions &amp; B2B'!$R$7</f>
        <v>L</v>
      </c>
      <c r="F61" s="288">
        <f>'2.8 Energy Solutions &amp; B2B'!$D$7</f>
        <v>12</v>
      </c>
      <c r="G61" s="288">
        <f>COUNTIFS('REVIEW - Complete Role Mapping'!$AJ$2:$AJ$528,$B61,'REVIEW - Complete Role Mapping'!$AP$2:$AP$528,$C61,'REVIEW - Complete Role Mapping'!$AK$2:$AK$528,"Filled")</f>
        <v>5</v>
      </c>
      <c r="H61" s="288">
        <f>COUNTIFS('REVIEW - Complete Role Mapping'!$AJ$2:$AJ$528,$B61,'REVIEW - Complete Role Mapping'!$AP$2:$AP$528,$C61,'REVIEW - Complete Role Mapping'!$AK$2:$AK$528,"Vacant")</f>
        <v>4</v>
      </c>
      <c r="I61" s="288">
        <f>$G61+$H61</f>
        <v>9</v>
      </c>
      <c r="J61" s="288">
        <f>IFERROR($I61-$F61,"-")</f>
        <v>-3</v>
      </c>
      <c r="K61" s="288">
        <f>'2.8 Energy Solutions &amp; B2B'!$J$7</f>
        <v>5</v>
      </c>
      <c r="L61" s="291">
        <f>IFERROR($H61/$I61,"-")</f>
        <v>0.444444444444444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Energy Solutions &amp; B2B</t>
        </is>
      </c>
      <c r="C62" s="455" t="str">
        <f>'2.8 Energy Solutions &amp; B2B'!$B$8</f>
        <v>EVCI</v>
      </c>
      <c r="D62" s="456" t="str">
        <f>'2.8 Energy Solutions &amp; B2B'!$C$8</f>
        <v>Engineering</v>
      </c>
      <c r="E62" s="456" t="str">
        <f>'2.8 Energy Solutions &amp; B2B'!$R$8</f>
        <v>M</v>
      </c>
      <c r="F62" s="456">
        <f>'2.8 Energy Solutions &amp; B2B'!$D$8</f>
        <v>9</v>
      </c>
      <c r="G62" s="309">
        <f>COUNTIFS('REVIEW - Complete Role Mapping'!$AJ$2:$AJ$528,$B62,'REVIEW - Complete Role Mapping'!$AP$2:$AP$528,$C62,'REVIEW - Complete Role Mapping'!$AK$2:$AK$528,"Filled")</f>
        <v>6</v>
      </c>
      <c r="H62" s="309">
        <f>COUNTIFS('REVIEW - Complete Role Mapping'!$AJ$2:$AJ$528,$B62,'REVIEW - Complete Role Mapping'!$AP$2:$AP$528,$C62,'REVIEW - Complete Role Mapping'!$AK$2:$AK$528,"Vacant")</f>
        <v>0</v>
      </c>
      <c r="I62" s="309">
        <f>$G62+$H62</f>
        <v>6</v>
      </c>
      <c r="J62" s="309">
        <f>IFERROR($I62-$F62,"-")</f>
        <v>-3</v>
      </c>
      <c r="K62" s="309">
        <f>'2.8 Energy Solutions &amp; B2B'!$J$8</f>
        <v>6</v>
      </c>
      <c r="L62" s="605">
        <f>IFERROR($H62/$I62,"-")</f>
        <v>0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Energy Solutions &amp; B2B</t>
        </is>
      </c>
      <c r="C63" s="607" t="str">
        <f>'2.8 Energy Solutions &amp; B2B'!$B$9</f>
        <v>Leadership</v>
      </c>
      <c r="D63" s="607" t="str">
        <f>'2.8 Energy Solutions &amp; B2B'!$C$9</f>
        <v>Outside archetype model</v>
      </c>
      <c r="E63" s="607" t="str">
        <f>'2.8 Energy Solutions &amp; B2B'!$R$9</f>
        <v>-</v>
      </c>
      <c r="F63" s="607" t="str">
        <f>'2.8 Energy Solutions &amp; B2B'!$D$9</f>
        <v>-</v>
      </c>
      <c r="G63" s="601">
        <f>COUNTIFS('REVIEW - Complete Role Mapping'!$AJ$2:$AJ$528,$B63,'REVIEW - Complete Role Mapping'!$AP$2:$AP$528,$C63,'REVIEW - Complete Role Mapping'!$AK$2:$AK$528,"Filled")</f>
        <v>2</v>
      </c>
      <c r="H63" s="601">
        <f>COUNTIFS('REVIEW - Complete Role Mapping'!$AJ$2:$AJ$528,$B63,'REVIEW - Complete Role Mapping'!$AP$2:$AP$528,$C63,'REVIEW - Complete Role Mapping'!$AK$2:$AK$528,"Vacant")</f>
        <v>2</v>
      </c>
      <c r="I63" s="601">
        <f>$G63+$H63</f>
        <v>4</v>
      </c>
      <c r="J63" s="601" t="str">
        <f>IFERROR($I63-$F63,"-")</f>
        <v>-</v>
      </c>
      <c r="K63" s="601">
        <f>'2.8 Energy Solutions &amp; B2B'!$J$9</f>
        <v>2</v>
      </c>
      <c r="L63" s="602">
        <f>IFERROR($H63/$I63,"-")</f>
        <v>0.5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Energy Solutions &amp; B2B</t>
        </is>
      </c>
      <c r="C64" s="1228" t="inlineStr">
        <is>
          <t>Portfolio total</t>
        </is>
      </c>
      <c r="D64" s="285" t="n"/>
      <c r="E64" s="285" t="n"/>
      <c r="F64" s="288">
        <f>IF(COUNT(F60:F63)=0,"-",SUM(F60:F63))</f>
        <v>35</v>
      </c>
      <c r="G64" s="288">
        <f>SUM(G60:G63)</f>
        <v>24</v>
      </c>
      <c r="H64" s="288">
        <f>SUM(H60:H63)</f>
        <v>9</v>
      </c>
      <c r="I64" s="288">
        <f>COUNTIFS('REVIEW - Complete Role Mapping'!$AJ$2:$AJ$528,$B64)</f>
        <v>33</v>
      </c>
      <c r="J64" s="288">
        <f>IF(COUNT(F60:F63)=0,"-",SUM(J60:J63))</f>
        <v>-6</v>
      </c>
      <c r="K64" s="288">
        <f>SUM(K60:K63)</f>
        <v>24</v>
      </c>
      <c r="L64" s="291">
        <f>IFERROR($H64/$I64,"-")</f>
        <v>0.272727272727273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Commercial Fuels</t>
        </is>
      </c>
      <c r="C65" s="455" t="str">
        <f>'2.9 Commercial Fuels'!$B$6</f>
        <v>CTRM</v>
      </c>
      <c r="D65" s="456" t="str">
        <f>'2.9 Commercial Fuels'!$C$6</f>
        <v>Strategic Programs</v>
      </c>
      <c r="E65" s="456" t="str">
        <f>'2.9 Commercial Fuels'!$R$6</f>
        <v>-</v>
      </c>
      <c r="F65" s="456" t="str">
        <f>'2.9 Commercial Fuels'!$D$6</f>
        <v>-</v>
      </c>
      <c r="G65" s="309">
        <f>COUNTIFS('REVIEW - Complete Role Mapping'!$AJ$2:$AJ$528,$B65,'REVIEW - Complete Role Mapping'!$AP$2:$AP$528,$C65,'REVIEW - Complete Role Mapping'!$AK$2:$AK$528,"Filled")</f>
        <v>14</v>
      </c>
      <c r="H65" s="309">
        <f>COUNTIFS('REVIEW - Complete Role Mapping'!$AJ$2:$AJ$528,$B65,'REVIEW - Complete Role Mapping'!$AP$2:$AP$528,$C65,'REVIEW - Complete Role Mapping'!$AK$2:$AK$528,"Vacant")</f>
        <v>0</v>
      </c>
      <c r="I65" s="309">
        <f>$G65+$H65</f>
        <v>14</v>
      </c>
      <c r="J65" s="309" t="str">
        <f>IFERROR($I65-$F65,"-")</f>
        <v>-</v>
      </c>
      <c r="K65" s="309">
        <f>'2.9 Commercial Fuels'!$J$6</f>
        <v>14</v>
      </c>
      <c r="L65" s="605">
        <f>IFERROR($H65/$I65,"-")</f>
        <v>0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Commercial Fuels</t>
        </is>
      </c>
      <c r="C66" s="285" t="str">
        <f>'2.9 Commercial Fuels'!$B$7</f>
        <v>Trading &amp; Shipping</v>
      </c>
      <c r="D66" s="285" t="str">
        <f>'2.9 Commercial Fuels'!$C$7</f>
        <v>Configuration / Integration</v>
      </c>
      <c r="E66" s="285" t="str">
        <f>'2.9 Commercial Fuels'!$R$7</f>
        <v>M</v>
      </c>
      <c r="F66" s="288">
        <f>'2.9 Commercial Fuels'!$D$7</f>
        <v>9</v>
      </c>
      <c r="G66" s="288">
        <f>COUNTIFS('REVIEW - Complete Role Mapping'!$AJ$2:$AJ$528,$B66,'REVIEW - Complete Role Mapping'!$AP$2:$AP$528,$C66,'REVIEW - Complete Role Mapping'!$AK$2:$AK$528,"Filled")</f>
        <v>9</v>
      </c>
      <c r="H66" s="288">
        <f>COUNTIFS('REVIEW - Complete Role Mapping'!$AJ$2:$AJ$528,$B66,'REVIEW - Complete Role Mapping'!$AP$2:$AP$528,$C66,'REVIEW - Complete Role Mapping'!$AK$2:$AK$528,"Vacant")</f>
        <v>3</v>
      </c>
      <c r="I66" s="288">
        <f>$G66+$H66</f>
        <v>12</v>
      </c>
      <c r="J66" s="288">
        <f>IFERROR($I66-$F66,"-")</f>
        <v>3</v>
      </c>
      <c r="K66" s="288">
        <f>'2.9 Commercial Fuels'!$J$7</f>
        <v>9</v>
      </c>
      <c r="L66" s="291">
        <f>IFERROR($H66/$I66,"-")</f>
        <v>0.25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Commercial Fuels</t>
        </is>
      </c>
      <c r="C67" s="285" t="str">
        <f>'2.9 Commercial Fuels'!$B$8</f>
        <v>Trading &amp; Shipping Data</v>
      </c>
      <c r="D67" s="285" t="str">
        <f>'2.9 Commercial Fuels'!$C$8</f>
        <v>Enterprise Data and Insights</v>
      </c>
      <c r="E67" s="285" t="str">
        <f>'2.9 Commercial Fuels'!$R$8</f>
        <v>M</v>
      </c>
      <c r="F67" s="288">
        <f>'2.9 Commercial Fuels'!$D$8</f>
        <v>7.5</v>
      </c>
      <c r="G67" s="288">
        <f>COUNTIFS('REVIEW - Complete Role Mapping'!$AJ$2:$AJ$528,$B67,'REVIEW - Complete Role Mapping'!$AP$2:$AP$528,$C67,'REVIEW - Complete Role Mapping'!$AK$2:$AK$528,"Filled")</f>
        <v>7</v>
      </c>
      <c r="H67" s="288">
        <f>COUNTIFS('REVIEW - Complete Role Mapping'!$AJ$2:$AJ$528,$B67,'REVIEW - Complete Role Mapping'!$AP$2:$AP$528,$C67,'REVIEW - Complete Role Mapping'!$AK$2:$AK$528,"Vacant")</f>
        <v>0</v>
      </c>
      <c r="I67" s="288">
        <f>$G67+$H67</f>
        <v>7</v>
      </c>
      <c r="J67" s="288">
        <f>IFERROR($I67-$F67,"-")</f>
        <v>-0.5</v>
      </c>
      <c r="K67" s="288">
        <f>'2.9 Commercial Fuels'!$J$8</f>
        <v>7</v>
      </c>
      <c r="L67" s="291">
        <f>IFERROR($H67/$I67,"-")</f>
        <v>0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Commercial Fuels</t>
        </is>
      </c>
      <c r="C68" s="455" t="str">
        <f>'2.9 Commercial Fuels'!$B$9</f>
        <v>Supply</v>
      </c>
      <c r="D68" s="456" t="str">
        <f>'2.9 Commercial Fuels'!$C$9</f>
        <v>Configuration / Integration</v>
      </c>
      <c r="E68" s="456" t="str">
        <f>'2.9 Commercial Fuels'!$R$9</f>
        <v>M</v>
      </c>
      <c r="F68" s="456">
        <f>'2.9 Commercial Fuels'!$D$9</f>
        <v>9</v>
      </c>
      <c r="G68" s="309">
        <f>COUNTIFS('REVIEW - Complete Role Mapping'!$AJ$2:$AJ$528,$B68,'REVIEW - Complete Role Mapping'!$AP$2:$AP$528,$C68,'REVIEW - Complete Role Mapping'!$AK$2:$AK$528,"Filled")</f>
        <v>1</v>
      </c>
      <c r="H68" s="309">
        <f>COUNTIFS('REVIEW - Complete Role Mapping'!$AJ$2:$AJ$528,$B68,'REVIEW - Complete Role Mapping'!$AP$2:$AP$528,$C68,'REVIEW - Complete Role Mapping'!$AK$2:$AK$528,"Vacant")</f>
        <v>4</v>
      </c>
      <c r="I68" s="309">
        <f>$G68+$H68</f>
        <v>5</v>
      </c>
      <c r="J68" s="309">
        <f>IFERROR($I68-$F68,"-")</f>
        <v>-4</v>
      </c>
      <c r="K68" s="309">
        <f>'2.9 Commercial Fuels'!$J$9</f>
        <v>1</v>
      </c>
      <c r="L68" s="605">
        <f>IFERROR($H68/$I68,"-")</f>
        <v>0.8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Commercial Fuels</t>
        </is>
      </c>
      <c r="C69" s="285" t="str">
        <f>'2.9 Commercial Fuels'!$B$10</f>
        <v>Leadership</v>
      </c>
      <c r="D69" s="285" t="str">
        <f>'2.9 Commercial Fuels'!$C$10</f>
        <v>Outside archetype model</v>
      </c>
      <c r="E69" s="285" t="str">
        <f>'2.9 Commercial Fuels'!$R$10</f>
        <v>-</v>
      </c>
      <c r="F69" s="288" t="str">
        <f>'2.9 Commercial Fuels'!$D$10</f>
        <v>-</v>
      </c>
      <c r="G69" s="288">
        <f>COUNTIFS('REVIEW - Complete Role Mapping'!$AJ$2:$AJ$528,$B69,'REVIEW - Complete Role Mapping'!$AP$2:$AP$528,$C69,'REVIEW - Complete Role Mapping'!$AK$2:$AK$528,"Filled")</f>
        <v>2</v>
      </c>
      <c r="H69" s="288">
        <f>COUNTIFS('REVIEW - Complete Role Mapping'!$AJ$2:$AJ$528,$B69,'REVIEW - Complete Role Mapping'!$AP$2:$AP$528,$C69,'REVIEW - Complete Role Mapping'!$AK$2:$AK$528,"Vacant")</f>
        <v>2</v>
      </c>
      <c r="I69" s="288">
        <f>$G69+$H69</f>
        <v>4</v>
      </c>
      <c r="J69" s="288" t="str">
        <f>IFERROR($I69-$F69,"-")</f>
        <v>-</v>
      </c>
      <c r="K69" s="288">
        <f>'2.9 Commercial Fuels'!$J$10</f>
        <v>2</v>
      </c>
      <c r="L69" s="291">
        <f>IFERROR($H69/$I69,"-")</f>
        <v>0.5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Commercial Fuels</t>
        </is>
      </c>
      <c r="C70" s="1227" t="inlineStr">
        <is>
          <t>Portfolio total</t>
        </is>
      </c>
      <c r="D70" s="456" t="n"/>
      <c r="E70" s="456" t="n"/>
      <c r="F70" s="456">
        <f>IF(COUNT(F65:F69)=0,"-",SUM(F65:F69))</f>
        <v>25.5</v>
      </c>
      <c r="G70" s="309">
        <f>SUM(G65:G69)</f>
        <v>33</v>
      </c>
      <c r="H70" s="309">
        <f>SUM(H65:H69)</f>
        <v>9</v>
      </c>
      <c r="I70" s="309">
        <f>COUNTIFS('REVIEW - Complete Role Mapping'!$AJ$2:$AJ$528,$B70)</f>
        <v>42</v>
      </c>
      <c r="J70" s="309">
        <f>IF(COUNT(F65:F69)=0,"-",SUM(J65:J69))</f>
        <v>-1.5</v>
      </c>
      <c r="K70" s="309">
        <f>SUM(K65:K69)</f>
        <v>33</v>
      </c>
      <c r="L70" s="605">
        <f>IFERROR($H70/$I70,"-")</f>
        <v>0.214285714285714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Z Retail</t>
        </is>
      </c>
      <c r="C71" s="607" t="str">
        <f>'2.10 Z Retail'!$B$6</f>
        <v>Site Systems</v>
      </c>
      <c r="D71" s="607" t="str">
        <f>'2.10 Z Retail'!$C$6</f>
        <v>Configuration / Integration</v>
      </c>
      <c r="E71" s="607" t="str">
        <f>'2.10 Z Retail'!$R$6</f>
        <v>M</v>
      </c>
      <c r="F71" s="607">
        <f>'2.10 Z Retail'!$D$6</f>
        <v>9</v>
      </c>
      <c r="G71" s="601">
        <f>COUNTIFS('REVIEW - Complete Role Mapping'!$AJ$2:$AJ$528,$B71,'REVIEW - Complete Role Mapping'!$AP$2:$AP$528,$C71,'REVIEW - Complete Role Mapping'!$AK$2:$AK$528,"Filled")</f>
        <v>9</v>
      </c>
      <c r="H71" s="601">
        <f>COUNTIFS('REVIEW - Complete Role Mapping'!$AJ$2:$AJ$528,$B71,'REVIEW - Complete Role Mapping'!$AP$2:$AP$528,$C71,'REVIEW - Complete Role Mapping'!$AK$2:$AK$528,"Vacant")</f>
        <v>0</v>
      </c>
      <c r="I71" s="601">
        <f>$G71+$H71</f>
        <v>9</v>
      </c>
      <c r="J71" s="601">
        <f>IFERROR($I71-$F71,"-")</f>
        <v>0</v>
      </c>
      <c r="K71" s="601">
        <f>'2.10 Z Retail'!$J$6</f>
        <v>9</v>
      </c>
      <c r="L71" s="602">
        <f>IFERROR($H71/$I71,"-")</f>
        <v>0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Z Retail</t>
        </is>
      </c>
      <c r="C72" s="285" t="str">
        <f>'2.10 Z Retail'!$B$7</f>
        <v>Z Retail Backend</v>
      </c>
      <c r="D72" s="285" t="str">
        <f>'2.10 Z Retail'!$C$7</f>
        <v>Build and Run</v>
      </c>
      <c r="E72" s="285" t="str">
        <f>'2.10 Z Retail'!$R$7</f>
        <v>M</v>
      </c>
      <c r="F72" s="288">
        <f>'2.10 Z Retail'!$D$7</f>
        <v>9</v>
      </c>
      <c r="G72" s="288">
        <f>COUNTIFS('REVIEW - Complete Role Mapping'!$AJ$2:$AJ$528,$B72,'REVIEW - Complete Role Mapping'!$AP$2:$AP$528,$C72,'REVIEW - Complete Role Mapping'!$AK$2:$AK$528,"Filled")</f>
        <v>7</v>
      </c>
      <c r="H72" s="288">
        <f>COUNTIFS('REVIEW - Complete Role Mapping'!$AJ$2:$AJ$528,$B72,'REVIEW - Complete Role Mapping'!$AP$2:$AP$528,$C72,'REVIEW - Complete Role Mapping'!$AK$2:$AK$528,"Vacant")</f>
        <v>2</v>
      </c>
      <c r="I72" s="288">
        <f>$G72+$H72</f>
        <v>9</v>
      </c>
      <c r="J72" s="288">
        <f>IFERROR($I72-$F72,"-")</f>
        <v>0</v>
      </c>
      <c r="K72" s="288">
        <f>'2.10 Z Retail'!$J$7</f>
        <v>7</v>
      </c>
      <c r="L72" s="291">
        <f>IFERROR($H72/$I72,"-")</f>
        <v>0.222222222222222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Z Retail</t>
        </is>
      </c>
      <c r="C73" s="285" t="str">
        <f>'2.10 Z Retail'!$B$8</f>
        <v>Z Supply</v>
      </c>
      <c r="D73" s="285" t="str">
        <f>'2.10 Z Retail'!$C$8</f>
        <v>Build and Run</v>
      </c>
      <c r="E73" s="285" t="str">
        <f>'2.10 Z Retail'!$R$8</f>
        <v>M</v>
      </c>
      <c r="F73" s="288">
        <f>'2.10 Z Retail'!$D$8</f>
        <v>9</v>
      </c>
      <c r="G73" s="288">
        <f>COUNTIFS('REVIEW - Complete Role Mapping'!$AJ$2:$AJ$528,$B73,'REVIEW - Complete Role Mapping'!$AP$2:$AP$528,$C73,'REVIEW - Complete Role Mapping'!$AK$2:$AK$528,"Filled")</f>
        <v>8</v>
      </c>
      <c r="H73" s="288">
        <f>COUNTIFS('REVIEW - Complete Role Mapping'!$AJ$2:$AJ$528,$B73,'REVIEW - Complete Role Mapping'!$AP$2:$AP$528,$C73,'REVIEW - Complete Role Mapping'!$AK$2:$AK$528,"Vacant")</f>
        <v>1</v>
      </c>
      <c r="I73" s="288">
        <f>$G73+$H73</f>
        <v>9</v>
      </c>
      <c r="J73" s="288">
        <f>IFERROR($I73-$F73,"-")</f>
        <v>0</v>
      </c>
      <c r="K73" s="288">
        <f>'2.10 Z Retail'!$J$8</f>
        <v>8</v>
      </c>
      <c r="L73" s="291">
        <f>IFERROR($H73/$I73,"-")</f>
        <v>0.111111111111111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Z Retail</t>
        </is>
      </c>
      <c r="C74" s="455" t="str">
        <f>'2.10 Z Retail'!$B$9</f>
        <v>Data NZ</v>
      </c>
      <c r="D74" s="456" t="str">
        <f>'2.10 Z Retail'!$C$9</f>
        <v>Enterprise Data and Insights</v>
      </c>
      <c r="E74" s="456" t="str">
        <f>'2.10 Z Retail'!$R$9</f>
        <v>M</v>
      </c>
      <c r="F74" s="456">
        <f>'2.10 Z Retail'!$D$9</f>
        <v>7.5</v>
      </c>
      <c r="G74" s="309">
        <f>COUNTIFS('REVIEW - Complete Role Mapping'!$AJ$2:$AJ$528,$B74,'REVIEW - Complete Role Mapping'!$AP$2:$AP$528,$C74,'REVIEW - Complete Role Mapping'!$AK$2:$AK$528,"Filled")</f>
        <v>5</v>
      </c>
      <c r="H74" s="309">
        <f>COUNTIFS('REVIEW - Complete Role Mapping'!$AJ$2:$AJ$528,$B74,'REVIEW - Complete Role Mapping'!$AP$2:$AP$528,$C74,'REVIEW - Complete Role Mapping'!$AK$2:$AK$528,"Vacant")</f>
        <v>2</v>
      </c>
      <c r="I74" s="309">
        <f>$G74+$H74</f>
        <v>7</v>
      </c>
      <c r="J74" s="309">
        <f>IFERROR($I74-$F74,"-")</f>
        <v>-0.5</v>
      </c>
      <c r="K74" s="309">
        <f>'2.10 Z Retail'!$J$9</f>
        <v>5</v>
      </c>
      <c r="L74" s="605">
        <f>IFERROR($H74/$I74,"-")</f>
        <v>0.285714285714286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Z Retail</t>
        </is>
      </c>
      <c r="C75" s="285" t="str">
        <f>'2.10 Z Retail'!$B$10</f>
        <v>Leadership</v>
      </c>
      <c r="D75" s="285" t="str">
        <f>'2.10 Z Retail'!$C$10</f>
        <v>Outside archetype model</v>
      </c>
      <c r="E75" s="285" t="str">
        <f>'2.10 Z Retail'!$R$10</f>
        <v>-</v>
      </c>
      <c r="F75" s="288" t="str">
        <f>'2.10 Z Retail'!$D$10</f>
        <v>-</v>
      </c>
      <c r="G75" s="288">
        <f>COUNTIFS('REVIEW - Complete Role Mapping'!$AJ$2:$AJ$528,$B75,'REVIEW - Complete Role Mapping'!$AP$2:$AP$528,$C75,'REVIEW - Complete Role Mapping'!$AK$2:$AK$528,"Filled")</f>
        <v>3</v>
      </c>
      <c r="H75" s="288">
        <f>COUNTIFS('REVIEW - Complete Role Mapping'!$AJ$2:$AJ$528,$B75,'REVIEW - Complete Role Mapping'!$AP$2:$AP$528,$C75,'REVIEW - Complete Role Mapping'!$AK$2:$AK$528,"Vacant")</f>
        <v>2</v>
      </c>
      <c r="I75" s="288">
        <f>$G75+$H75</f>
        <v>5</v>
      </c>
      <c r="J75" s="288" t="str">
        <f>IFERROR($I75-$F75,"-")</f>
        <v>-</v>
      </c>
      <c r="K75" s="288">
        <f>'2.10 Z Retail'!$J$10</f>
        <v>3</v>
      </c>
      <c r="L75" s="291">
        <f>IFERROR($H75/$I75,"-")</f>
        <v>0.4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Z Retail</t>
        </is>
      </c>
      <c r="C76" s="1227" t="inlineStr">
        <is>
          <t>Portfolio total</t>
        </is>
      </c>
      <c r="D76" s="456" t="n"/>
      <c r="E76" s="456" t="n"/>
      <c r="F76" s="456">
        <f>IF(COUNT(F71:F75)=0,"-",SUM(F71:F75))</f>
        <v>34.5</v>
      </c>
      <c r="G76" s="309">
        <f>SUM(G71:G75)</f>
        <v>32</v>
      </c>
      <c r="H76" s="309">
        <f>SUM(H71:H75)</f>
        <v>7</v>
      </c>
      <c r="I76" s="309">
        <f>COUNTIFS('REVIEW - Complete Role Mapping'!$AJ$2:$AJ$528,$B76)</f>
        <v>39</v>
      </c>
      <c r="J76" s="309">
        <f>IF(COUNT(F71:F75)=0,"-",SUM(J71:J75))</f>
        <v>-0.5</v>
      </c>
      <c r="K76" s="309">
        <f>SUM(K71:K75)</f>
        <v>32</v>
      </c>
      <c r="L76" s="605">
        <f>IFERROR($H76/$I76,"-")</f>
        <v>0.17948717948718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COE Cyber</t>
        </is>
      </c>
      <c r="C77" s="607" t="str">
        <f>'2.11 TDD Cyber'!$B$6</f>
        <v>Service Op &amp; Assurance</v>
      </c>
      <c r="D77" s="607" t="str">
        <f>'2.11 TDD Cyber'!$C$6</f>
        <v>Outside archetype model</v>
      </c>
      <c r="E77" s="607" t="str">
        <f>'2.11 TDD Cyber'!$R$6</f>
        <v>-</v>
      </c>
      <c r="F77" s="607" t="str">
        <f>'2.11 TDD Cyber'!$D$6</f>
        <v>-</v>
      </c>
      <c r="G77" s="601">
        <f>COUNTIFS('REVIEW - Complete Role Mapping'!$AJ$2:$AJ$528,$B77,'REVIEW - Complete Role Mapping'!$AP$2:$AP$528,$C77,'REVIEW - Complete Role Mapping'!$AK$2:$AK$528,"Filled")</f>
        <v>17</v>
      </c>
      <c r="H77" s="601">
        <f>COUNTIFS('REVIEW - Complete Role Mapping'!$AJ$2:$AJ$528,$B77,'REVIEW - Complete Role Mapping'!$AP$2:$AP$528,$C77,'REVIEW - Complete Role Mapping'!$AK$2:$AK$528,"Vacant")</f>
        <v>4</v>
      </c>
      <c r="I77" s="601">
        <f>$G77+$H77</f>
        <v>21</v>
      </c>
      <c r="J77" s="601" t="str">
        <f>IFERROR($I77-$F77,"-")</f>
        <v>-</v>
      </c>
      <c r="K77" s="601">
        <f>'2.11 TDD Cyber'!$J$6</f>
        <v>17</v>
      </c>
      <c r="L77" s="602">
        <f>IFERROR($H77/$I77,"-")</f>
        <v>0.19047619047619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COE Cyber</t>
        </is>
      </c>
      <c r="C78" s="285" t="str">
        <f>'2.11 TDD Cyber'!$B$7</f>
        <v>Cyber Strat &amp; Tech</v>
      </c>
      <c r="D78" s="285" t="str">
        <f>'2.11 TDD Cyber'!$C$7</f>
        <v>Outside archetype model</v>
      </c>
      <c r="E78" s="285" t="str">
        <f>'2.11 TDD Cyber'!$R$7</f>
        <v>-</v>
      </c>
      <c r="F78" s="288" t="str">
        <f>'2.11 TDD Cyber'!$D$7</f>
        <v>-</v>
      </c>
      <c r="G78" s="288">
        <f>COUNTIFS('REVIEW - Complete Role Mapping'!$AJ$2:$AJ$528,$B78,'REVIEW - Complete Role Mapping'!$AP$2:$AP$528,$C78,'REVIEW - Complete Role Mapping'!$AK$2:$AK$528,"Filled")</f>
        <v>13</v>
      </c>
      <c r="H78" s="288">
        <f>COUNTIFS('REVIEW - Complete Role Mapping'!$AJ$2:$AJ$528,$B78,'REVIEW - Complete Role Mapping'!$AP$2:$AP$528,$C78,'REVIEW - Complete Role Mapping'!$AK$2:$AK$528,"Vacant")</f>
        <v>0</v>
      </c>
      <c r="I78" s="288">
        <f>$G78+$H78</f>
        <v>13</v>
      </c>
      <c r="J78" s="288" t="str">
        <f>IFERROR($I78-$F78,"-")</f>
        <v>-</v>
      </c>
      <c r="K78" s="288">
        <f>'2.11 TDD Cyber'!$J$7</f>
        <v>13</v>
      </c>
      <c r="L78" s="291">
        <f>IFERROR($H78/$I78,"-")</f>
        <v>0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COE Cyber</t>
        </is>
      </c>
      <c r="C79" s="285" t="str">
        <f>'2.11 TDD Cyber'!$B$8</f>
        <v>Cyber GRC</v>
      </c>
      <c r="D79" s="285" t="str">
        <f>'2.11 TDD Cyber'!$C$8</f>
        <v>Outside archetype model</v>
      </c>
      <c r="E79" s="285" t="str">
        <f>'2.11 TDD Cyber'!$R$8</f>
        <v>-</v>
      </c>
      <c r="F79" s="288" t="str">
        <f>'2.11 TDD Cyber'!$D$8</f>
        <v>-</v>
      </c>
      <c r="G79" s="288">
        <f>COUNTIFS('REVIEW - Complete Role Mapping'!$AJ$2:$AJ$528,$B79,'REVIEW - Complete Role Mapping'!$AP$2:$AP$528,$C79,'REVIEW - Complete Role Mapping'!$AK$2:$AK$528,"Filled")</f>
        <v>5</v>
      </c>
      <c r="H79" s="288">
        <f>COUNTIFS('REVIEW - Complete Role Mapping'!$AJ$2:$AJ$528,$B79,'REVIEW - Complete Role Mapping'!$AP$2:$AP$528,$C79,'REVIEW - Complete Role Mapping'!$AK$2:$AK$528,"Vacant")</f>
        <v>0</v>
      </c>
      <c r="I79" s="288">
        <f>$G79+$H79</f>
        <v>5</v>
      </c>
      <c r="J79" s="288" t="str">
        <f>IFERROR($I79-$F79,"-")</f>
        <v>-</v>
      </c>
      <c r="K79" s="288">
        <f>'2.11 TDD Cyber'!$J$8</f>
        <v>5</v>
      </c>
      <c r="L79" s="291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COE Cyber</t>
        </is>
      </c>
      <c r="C80" s="455" t="str">
        <f>'2.11 TDD Cyber'!$B$9</f>
        <v>Cyber Sec Ops</v>
      </c>
      <c r="D80" s="456" t="str">
        <f>'2.11 TDD Cyber'!$C$9</f>
        <v>Outside archetype model</v>
      </c>
      <c r="E80" s="456" t="str">
        <f>'2.11 TDD Cyber'!$R$9</f>
        <v>-</v>
      </c>
      <c r="F80" s="456" t="str">
        <f>'2.11 TDD Cyber'!$D$9</f>
        <v>-</v>
      </c>
      <c r="G80" s="309">
        <f>COUNTIFS('REVIEW - Complete Role Mapping'!$AJ$2:$AJ$528,$B80,'REVIEW - Complete Role Mapping'!$AP$2:$AP$528,$C80,'REVIEW - Complete Role Mapping'!$AK$2:$AK$528,"Filled")</f>
        <v>5</v>
      </c>
      <c r="H80" s="309">
        <f>COUNTIFS('REVIEW - Complete Role Mapping'!$AJ$2:$AJ$528,$B80,'REVIEW - Complete Role Mapping'!$AP$2:$AP$528,$C80,'REVIEW - Complete Role Mapping'!$AK$2:$AK$528,"Vacant")</f>
        <v>0</v>
      </c>
      <c r="I80" s="309">
        <f>$G80+$H80</f>
        <v>5</v>
      </c>
      <c r="J80" s="309" t="str">
        <f>IFERROR($I80-$F80,"-")</f>
        <v>-</v>
      </c>
      <c r="K80" s="309">
        <f>'2.11 TDD Cyber'!$J$9</f>
        <v>5</v>
      </c>
      <c r="L80" s="605">
        <f>IFERROR($H80/$I80,"-")</f>
        <v>0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COE Cyber</t>
        </is>
      </c>
      <c r="C81" s="285" t="str">
        <f>'2.11 TDD Cyber'!$B$10</f>
        <v>Cyber Risk</v>
      </c>
      <c r="D81" s="285" t="str">
        <f>'2.11 TDD Cyber'!$C$10</f>
        <v>Outside archetype model</v>
      </c>
      <c r="E81" s="285" t="str">
        <f>'2.11 TDD Cyber'!$R$10</f>
        <v>-</v>
      </c>
      <c r="F81" s="288" t="str">
        <f>'2.11 TDD Cyber'!$D$10</f>
        <v>-</v>
      </c>
      <c r="G81" s="288">
        <f>COUNTIFS('REVIEW - Complete Role Mapping'!$AJ$2:$AJ$528,$B81,'REVIEW - Complete Role Mapping'!$AP$2:$AP$528,$C81,'REVIEW - Complete Role Mapping'!$AK$2:$AK$528,"Filled")</f>
        <v>2</v>
      </c>
      <c r="H81" s="288">
        <f>COUNTIFS('REVIEW - Complete Role Mapping'!$AJ$2:$AJ$528,$B81,'REVIEW - Complete Role Mapping'!$AP$2:$AP$528,$C81,'REVIEW - Complete Role Mapping'!$AK$2:$AK$528,"Vacant")</f>
        <v>0</v>
      </c>
      <c r="I81" s="288">
        <f>$G81+$H81</f>
        <v>2</v>
      </c>
      <c r="J81" s="288" t="str">
        <f>IFERROR($I81-$F81,"-")</f>
        <v>-</v>
      </c>
      <c r="K81" s="288">
        <f>'2.11 TDD Cyber'!$J$10</f>
        <v>2</v>
      </c>
      <c r="L81" s="291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COE Cyber</t>
        </is>
      </c>
      <c r="C82" s="1227" t="inlineStr">
        <is>
          <t>Portfolio total</t>
        </is>
      </c>
      <c r="D82" s="456" t="n"/>
      <c r="E82" s="456" t="n"/>
      <c r="F82" s="456" t="str">
        <f>IF(COUNT(F77:F81)=0,"-",SUM(F77:F81))</f>
        <v>-</v>
      </c>
      <c r="G82" s="309">
        <f>SUM(G77:G81)</f>
        <v>42</v>
      </c>
      <c r="H82" s="309">
        <f>SUM(H77:H81)</f>
        <v>4</v>
      </c>
      <c r="I82" s="309">
        <f>COUNTIFS('REVIEW - Complete Role Mapping'!$AJ$2:$AJ$528,$B82)</f>
        <v>46</v>
      </c>
      <c r="J82" s="309" t="str">
        <f>IF(COUNT(F77:F81)=0,"-",SUM(J77:J81))</f>
        <v>-</v>
      </c>
      <c r="K82" s="309">
        <f>SUM(K77:K81)</f>
        <v>42</v>
      </c>
      <c r="L82" s="605">
        <f>IFERROR($H82/$I82,"-")</f>
        <v>0.0869565217391304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COE BP&amp;T</t>
        </is>
      </c>
      <c r="C83" s="285" t="str">
        <f>'2.12 BP&amp;T'!$B$6</f>
        <v>Transformation</v>
      </c>
      <c r="D83" s="285" t="str">
        <f>'2.12 BP&amp;T'!$C$6</f>
        <v>Outside archetype model</v>
      </c>
      <c r="E83" s="285" t="str">
        <f>'2.12 BP&amp;T'!$R$6</f>
        <v>-</v>
      </c>
      <c r="F83" s="288" t="str">
        <f>'2.12 BP&amp;T'!$D$6</f>
        <v>-</v>
      </c>
      <c r="G83" s="288">
        <f>COUNTIFS('REVIEW - Complete Role Mapping'!$AJ$2:$AJ$528,$B83,'REVIEW - Complete Role Mapping'!$AP$2:$AP$528,$C83,'REVIEW - Complete Role Mapping'!$AK$2:$AK$528,"Filled")</f>
        <v>6</v>
      </c>
      <c r="H83" s="288">
        <f>COUNTIFS('REVIEW - Complete Role Mapping'!$AJ$2:$AJ$528,$B83,'REVIEW - Complete Role Mapping'!$AP$2:$AP$528,$C83,'REVIEW - Complete Role Mapping'!$AK$2:$AK$528,"Vacant")</f>
        <v>8</v>
      </c>
      <c r="I83" s="288">
        <f>$G83+$H83</f>
        <v>14</v>
      </c>
      <c r="J83" s="288" t="str">
        <f>IFERROR($I83-$F83,"-")</f>
        <v>-</v>
      </c>
      <c r="K83" s="288">
        <f>'2.12 BP&amp;T'!$J$6</f>
        <v>6</v>
      </c>
      <c r="L83" s="291">
        <f>IFERROR($H83/$I83,"-")</f>
        <v>0.571428571428571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COE BP&amp;T</t>
        </is>
      </c>
      <c r="C84" s="455" t="str">
        <f>'2.12 BP&amp;T'!$B$7</f>
        <v>TDD Business Partner</v>
      </c>
      <c r="D84" s="456" t="str">
        <f>'2.12 BP&amp;T'!$C$7</f>
        <v>Outside archetype model</v>
      </c>
      <c r="E84" s="456" t="str">
        <f>'2.12 BP&amp;T'!$R$7</f>
        <v>-</v>
      </c>
      <c r="F84" s="456" t="str">
        <f>'2.12 BP&amp;T'!$D$7</f>
        <v>-</v>
      </c>
      <c r="G84" s="309">
        <f>COUNTIFS('REVIEW - Complete Role Mapping'!$AJ$2:$AJ$528,$B84,'REVIEW - Complete Role Mapping'!$AP$2:$AP$528,$C84,'REVIEW - Complete Role Mapping'!$AK$2:$AK$528,"Filled")</f>
        <v>6</v>
      </c>
      <c r="H84" s="309">
        <f>COUNTIFS('REVIEW - Complete Role Mapping'!$AJ$2:$AJ$528,$B84,'REVIEW - Complete Role Mapping'!$AP$2:$AP$528,$C84,'REVIEW - Complete Role Mapping'!$AK$2:$AK$528,"Vacant")</f>
        <v>0</v>
      </c>
      <c r="I84" s="309">
        <f>$G84+$H84</f>
        <v>6</v>
      </c>
      <c r="J84" s="309" t="str">
        <f>IFERROR($I84-$F84,"-")</f>
        <v>-</v>
      </c>
      <c r="K84" s="309">
        <f>'2.12 BP&amp;T'!$J$7</f>
        <v>6</v>
      </c>
      <c r="L84" s="605">
        <f>IFERROR($H84/$I84,"-")</f>
        <v>0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COE BP&amp;T</t>
        </is>
      </c>
      <c r="C85" s="607" t="str">
        <f>'2.12 BP&amp;T'!$B$8</f>
        <v>Commercial</v>
      </c>
      <c r="D85" s="607" t="str">
        <f>'2.12 BP&amp;T'!$C$8</f>
        <v>Outside archetype model</v>
      </c>
      <c r="E85" s="607" t="str">
        <f>'2.12 BP&amp;T'!$R$8</f>
        <v>-</v>
      </c>
      <c r="F85" s="607" t="str">
        <f>'2.12 BP&amp;T'!$D$8</f>
        <v>-</v>
      </c>
      <c r="G85" s="601">
        <f>COUNTIFS('REVIEW - Complete Role Mapping'!$AJ$2:$AJ$528,$B85,'REVIEW - Complete Role Mapping'!$AP$2:$AP$528,$C85,'REVIEW - Complete Role Mapping'!$AK$2:$AK$528,"Filled")</f>
        <v>3</v>
      </c>
      <c r="H85" s="601">
        <f>COUNTIFS('REVIEW - Complete Role Mapping'!$AJ$2:$AJ$528,$B85,'REVIEW - Complete Role Mapping'!$AP$2:$AP$528,$C85,'REVIEW - Complete Role Mapping'!$AK$2:$AK$528,"Vacant")</f>
        <v>1</v>
      </c>
      <c r="I85" s="601">
        <f>$G85+$H85</f>
        <v>4</v>
      </c>
      <c r="J85" s="601" t="str">
        <f>IFERROR($I85-$F85,"-")</f>
        <v>-</v>
      </c>
      <c r="K85" s="601">
        <f>'2.12 BP&amp;T'!$J$8</f>
        <v>3</v>
      </c>
      <c r="L85" s="602">
        <f>IFERROR($H85/$I85,"-")</f>
        <v>0.25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COE BP&amp;T</t>
        </is>
      </c>
      <c r="C86" s="1228" t="inlineStr">
        <is>
          <t>Portfolio total</t>
        </is>
      </c>
      <c r="D86" s="285" t="n"/>
      <c r="E86" s="285" t="n"/>
      <c r="F86" s="288" t="str">
        <f>IF(COUNT(F83:F85)=0,"-",SUM(F83:F85))</f>
        <v>-</v>
      </c>
      <c r="G86" s="288">
        <f>SUM(G83:G85)</f>
        <v>15</v>
      </c>
      <c r="H86" s="288">
        <f>SUM(H83:H85)</f>
        <v>9</v>
      </c>
      <c r="I86" s="288">
        <f>COUNTIFS('REVIEW - Complete Role Mapping'!$AJ$2:$AJ$528,$B86)</f>
        <v>24</v>
      </c>
      <c r="J86" s="288" t="str">
        <f>IF(COUNT(F83:F85)=0,"-",SUM(J83:J85))</f>
        <v>-</v>
      </c>
      <c r="K86" s="288">
        <f>SUM(K83:K85)</f>
        <v>15</v>
      </c>
      <c r="L86" s="291">
        <f>IFERROR($H86/$I86,"-")</f>
        <v>0.375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COE SA&amp;D</t>
        </is>
      </c>
      <c r="C87" s="455" t="str">
        <f>'2.13 SA&amp;D'!$B$6</f>
        <v>Architecture</v>
      </c>
      <c r="D87" s="456" t="str">
        <f>'2.13 SA&amp;D'!$C$6</f>
        <v>Outside archetype model</v>
      </c>
      <c r="E87" s="456" t="str">
        <f>'2.13 SA&amp;D'!$R$6</f>
        <v>-</v>
      </c>
      <c r="F87" s="456" t="str">
        <f>'2.13 SA&amp;D'!$D$6</f>
        <v>-</v>
      </c>
      <c r="G87" s="309">
        <f>COUNTIFS('REVIEW - Complete Role Mapping'!$AJ$2:$AJ$528,$B87,'REVIEW - Complete Role Mapping'!$AP$2:$AP$528,$C87,'REVIEW - Complete Role Mapping'!$AK$2:$AK$528,"Filled")</f>
        <v>7</v>
      </c>
      <c r="H87" s="309">
        <f>COUNTIFS('REVIEW - Complete Role Mapping'!$AJ$2:$AJ$528,$B87,'REVIEW - Complete Role Mapping'!$AP$2:$AP$528,$C87,'REVIEW - Complete Role Mapping'!$AK$2:$AK$528,"Vacant")</f>
        <v>0</v>
      </c>
      <c r="I87" s="309">
        <f>$G87+$H87</f>
        <v>7</v>
      </c>
      <c r="J87" s="309" t="str">
        <f>IFERROR($I87-$F87,"-")</f>
        <v>-</v>
      </c>
      <c r="K87" s="309">
        <f>'2.13 SA&amp;D'!$J$6</f>
        <v>7</v>
      </c>
      <c r="L87" s="605">
        <f>IFERROR($H87/$I87,"-")</f>
        <v>0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COE SA&amp;D</t>
        </is>
      </c>
      <c r="C88" s="285" t="str">
        <f>'2.13 SA&amp;D'!$B$7</f>
        <v>Group Data</v>
      </c>
      <c r="D88" s="285" t="str">
        <f>'2.13 SA&amp;D'!$C$7</f>
        <v>Outside archetype model</v>
      </c>
      <c r="E88" s="285" t="str">
        <f>'2.13 SA&amp;D'!$R$7</f>
        <v>-</v>
      </c>
      <c r="F88" s="288" t="str">
        <f>'2.13 SA&amp;D'!$D$7</f>
        <v>-</v>
      </c>
      <c r="G88" s="288">
        <f>COUNTIFS('REVIEW - Complete Role Mapping'!$AJ$2:$AJ$528,$B88,'REVIEW - Complete Role Mapping'!$AP$2:$AP$528,$C88,'REVIEW - Complete Role Mapping'!$AK$2:$AK$528,"Filled")</f>
        <v>6</v>
      </c>
      <c r="H88" s="288">
        <f>COUNTIFS('REVIEW - Complete Role Mapping'!$AJ$2:$AJ$528,$B88,'REVIEW - Complete Role Mapping'!$AP$2:$AP$528,$C88,'REVIEW - Complete Role Mapping'!$AK$2:$AK$528,"Vacant")</f>
        <v>1</v>
      </c>
      <c r="I88" s="288">
        <f>$G88+$H88</f>
        <v>7</v>
      </c>
      <c r="J88" s="288" t="str">
        <f>IFERROR($I88-$F88,"-")</f>
        <v>-</v>
      </c>
      <c r="K88" s="288">
        <f>'2.13 SA&amp;D'!$J$7</f>
        <v>6</v>
      </c>
      <c r="L88" s="291">
        <f>IFERROR($H88/$I88,"-")</f>
        <v>0.142857142857143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COE SA&amp;D</t>
        </is>
      </c>
      <c r="C89" s="285" t="str">
        <f>'2.13 SA&amp;D'!$B$8</f>
        <v>Technology Strategy &amp; AI Capability</v>
      </c>
      <c r="D89" s="285" t="str">
        <f>'2.13 SA&amp;D'!$C$8</f>
        <v>Outside archetype model</v>
      </c>
      <c r="E89" s="285" t="str">
        <f>'2.13 SA&amp;D'!$R$8</f>
        <v>-</v>
      </c>
      <c r="F89" s="288" t="str">
        <f>'2.13 SA&amp;D'!$D$8</f>
        <v>-</v>
      </c>
      <c r="G89" s="288">
        <f>COUNTIFS('REVIEW - Complete Role Mapping'!$AJ$2:$AJ$528,$B89,'REVIEW - Complete Role Mapping'!$AP$2:$AP$528,$C89,'REVIEW - Complete Role Mapping'!$AK$2:$AK$528,"Filled")</f>
        <v>1</v>
      </c>
      <c r="H89" s="288">
        <f>COUNTIFS('REVIEW - Complete Role Mapping'!$AJ$2:$AJ$528,$B89,'REVIEW - Complete Role Mapping'!$AP$2:$AP$528,$C89,'REVIEW - Complete Role Mapping'!$AK$2:$AK$528,"Vacant")</f>
        <v>4</v>
      </c>
      <c r="I89" s="288">
        <f>$G89+$H89</f>
        <v>5</v>
      </c>
      <c r="J89" s="288" t="str">
        <f>IFERROR($I89-$F89,"-")</f>
        <v>-</v>
      </c>
      <c r="K89" s="288">
        <f>'2.13 SA&amp;D'!$J$8</f>
        <v>1</v>
      </c>
      <c r="L89" s="291">
        <f>IFERROR($H89/$I89,"-")</f>
        <v>0.8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COE SA&amp;D</t>
        </is>
      </c>
      <c r="C90" s="455" t="str">
        <f>'2.13 SA&amp;D'!$B$9</f>
        <v>Data Platforms</v>
      </c>
      <c r="D90" s="456" t="str">
        <f>'2.13 SA&amp;D'!$C$9</f>
        <v>Outside archetype model</v>
      </c>
      <c r="E90" s="456" t="str">
        <f>'2.13 SA&amp;D'!$R$9</f>
        <v>-</v>
      </c>
      <c r="F90" s="456" t="str">
        <f>'2.13 SA&amp;D'!$D$9</f>
        <v>-</v>
      </c>
      <c r="G90" s="309">
        <f>COUNTIFS('REVIEW - Complete Role Mapping'!$AJ$2:$AJ$528,$B90,'REVIEW - Complete Role Mapping'!$AP$2:$AP$528,$C90,'REVIEW - Complete Role Mapping'!$AK$2:$AK$528,"Filled")</f>
        <v>1</v>
      </c>
      <c r="H90" s="309">
        <f>COUNTIFS('REVIEW - Complete Role Mapping'!$AJ$2:$AJ$528,$B90,'REVIEW - Complete Role Mapping'!$AP$2:$AP$528,$C90,'REVIEW - Complete Role Mapping'!$AK$2:$AK$528,"Vacant")</f>
        <v>0</v>
      </c>
      <c r="I90" s="309">
        <f>$G90+$H90</f>
        <v>1</v>
      </c>
      <c r="J90" s="309" t="str">
        <f>IFERROR($I90-$F90,"-")</f>
        <v>-</v>
      </c>
      <c r="K90" s="309">
        <f>'2.13 SA&amp;D'!$J$9</f>
        <v>1</v>
      </c>
      <c r="L90" s="605">
        <f>IFERROR($H90/$I90,"-")</f>
        <v>0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COE SA&amp;D</t>
        </is>
      </c>
      <c r="C91" s="285" t="str">
        <f>'2.13 SA&amp;D'!$B$10</f>
        <v>Leadership</v>
      </c>
      <c r="D91" s="285" t="str">
        <f>'2.13 SA&amp;D'!$C$10</f>
        <v>Outside archetype model</v>
      </c>
      <c r="E91" s="285" t="str">
        <f>'2.13 SA&amp;D'!$R$10</f>
        <v>-</v>
      </c>
      <c r="F91" s="288" t="str">
        <f>'2.13 SA&amp;D'!$D$10</f>
        <v>-</v>
      </c>
      <c r="G91" s="288">
        <f>COUNTIFS('REVIEW - Complete Role Mapping'!$AJ$2:$AJ$528,$B91,'REVIEW - Complete Role Mapping'!$AP$2:$AP$528,$C91,'REVIEW - Complete Role Mapping'!$AK$2:$AK$528,"Filled")</f>
        <v>1</v>
      </c>
      <c r="H91" s="288">
        <f>COUNTIFS('REVIEW - Complete Role Mapping'!$AJ$2:$AJ$528,$B91,'REVIEW - Complete Role Mapping'!$AP$2:$AP$528,$C91,'REVIEW - Complete Role Mapping'!$AK$2:$AK$528,"Vacant")</f>
        <v>3</v>
      </c>
      <c r="I91" s="288">
        <f>$G91+$H91</f>
        <v>4</v>
      </c>
      <c r="J91" s="288" t="str">
        <f>IFERROR($I91-$F91,"-")</f>
        <v>-</v>
      </c>
      <c r="K91" s="288">
        <f>'2.13 SA&amp;D'!$J$10</f>
        <v>1</v>
      </c>
      <c r="L91" s="291">
        <f>IFERROR($H91/$I91,"-")</f>
        <v>0.75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COE SA&amp;D</t>
        </is>
      </c>
      <c r="C92" s="1227" t="inlineStr">
        <is>
          <t>Portfolio total</t>
        </is>
      </c>
      <c r="D92" s="456" t="n"/>
      <c r="E92" s="456" t="n"/>
      <c r="F92" s="456" t="str">
        <f>IF(COUNT(F87:F91)=0,"-",SUM(F87:F91))</f>
        <v>-</v>
      </c>
      <c r="G92" s="309">
        <f>SUM(G87:G91)</f>
        <v>16</v>
      </c>
      <c r="H92" s="309">
        <f>SUM(H87:H91)</f>
        <v>8</v>
      </c>
      <c r="I92" s="309">
        <f>COUNTIFS('REVIEW - Complete Role Mapping'!$AJ$2:$AJ$528,$B92)</f>
        <v>24</v>
      </c>
      <c r="J92" s="309" t="str">
        <f>IF(COUNT(F87:F91)=0,"-",SUM(J87:J91))</f>
        <v>-</v>
      </c>
      <c r="K92" s="309">
        <f>SUM(K87:K91)</f>
        <v>16</v>
      </c>
      <c r="L92" s="605">
        <f>IFERROR($H92/$I92,"-")</f>
        <v>0.333333333333333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EGI</t>
        </is>
      </c>
      <c r="C93" s="607" t="str">
        <f>'2.14 EGI'!$B$6</f>
        <v>EGI</v>
      </c>
      <c r="D93" s="607" t="str">
        <f>'2.14 EGI'!$C$6</f>
        <v>Outside archetype model</v>
      </c>
      <c r="E93" s="607" t="str">
        <f>'2.14 EGI'!$R$6</f>
        <v>-</v>
      </c>
      <c r="F93" s="607" t="str">
        <f>'2.14 EGI'!$D$6</f>
        <v>-</v>
      </c>
      <c r="G93" s="601">
        <f>COUNTIFS('REVIEW - Complete Role Mapping'!$AJ$2:$AJ$528,$B93,'REVIEW - Complete Role Mapping'!$AP$2:$AP$528,$C93,'REVIEW - Complete Role Mapping'!$AK$2:$AK$528,"Filled")</f>
        <v>17</v>
      </c>
      <c r="H93" s="601">
        <f>COUNTIFS('REVIEW - Complete Role Mapping'!$AJ$2:$AJ$528,$B93,'REVIEW - Complete Role Mapping'!$AP$2:$AP$528,$C93,'REVIEW - Complete Role Mapping'!$AK$2:$AK$528,"Vacant")</f>
        <v>0</v>
      </c>
      <c r="I93" s="601">
        <f>$G93+$H93</f>
        <v>17</v>
      </c>
      <c r="J93" s="601" t="str">
        <f>IFERROR($I93-$F93,"-")</f>
        <v>-</v>
      </c>
      <c r="K93" s="601">
        <f>'2.14 EGI'!$J$6</f>
        <v>17</v>
      </c>
      <c r="L93" s="602">
        <f>IFERROR($H93/$I93,"-")</f>
        <v>0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EGI</t>
        </is>
      </c>
      <c r="C94" s="1228" t="inlineStr">
        <is>
          <t>Portfolio total</t>
        </is>
      </c>
      <c r="D94" s="285" t="n"/>
      <c r="E94" s="285" t="n"/>
      <c r="F94" s="288" t="str">
        <f>IF(COUNT(F93:F93)=0,"-",SUM(F93:F93))</f>
        <v>-</v>
      </c>
      <c r="G94" s="288">
        <f>SUM(G93:G93)</f>
        <v>17</v>
      </c>
      <c r="H94" s="288">
        <f>SUM(H93:H93)</f>
        <v>0</v>
      </c>
      <c r="I94" s="288">
        <f>COUNTIFS('REVIEW - Complete Role Mapping'!$AJ$2:$AJ$528,$B94)</f>
        <v>17</v>
      </c>
      <c r="J94" s="288" t="str">
        <f>IF(COUNT(F93:F93)=0,"-",SUM(J93:J93))</f>
        <v>-</v>
      </c>
      <c r="K94" s="288">
        <f>SUM(K93:K93)</f>
        <v>17</v>
      </c>
      <c r="L94" s="291">
        <f>IFERROR($H94/$I94,"-")</f>
        <v>0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n"/>
      <c r="C95" s="1227" t="inlineStr">
        <is>
          <t>Group total</t>
        </is>
      </c>
      <c r="D95" s="456" t="n"/>
      <c r="E95" s="456" t="n"/>
      <c r="F95" s="456">
        <f>SUMIF($C$6:$C$94,"&lt;&gt;Portfolio total",F6:F94)</f>
        <v>310.5</v>
      </c>
      <c r="G95" s="309">
        <f>$G$17+$G$30+$G$35+$G$42+$G$47+$G$53+$G$59+$G$64+$G$70+$G$76+$G$82+$G$86+$G$92+$G$94</f>
        <v>390</v>
      </c>
      <c r="H95" s="309">
        <f>$H$17+$H$30+$H$35+$H$42+$H$47+$H$53+$H$59+$H$64+$H$70+$H$76+$H$82+$H$86+$H$92+$H$94</f>
        <v>135</v>
      </c>
      <c r="I95" s="309">
        <f>COUNTA('REVIEW - Complete Role Mapping'!$B$2:$B$528)</f>
        <v>525</v>
      </c>
      <c r="J95" s="309">
        <f>SUMIF($C$6:$C$94,"&lt;&gt;Portfolio total",J6:J94)</f>
        <v>-2.5</v>
      </c>
      <c r="K95" s="309">
        <f>$K$17+$K$30+$K$35+$K$42+$K$47+$K$53+$K$59+$K$64+$K$70+$K$76+$K$82+$K$86+$K$92+$K$94</f>
        <v>390</v>
      </c>
      <c r="L95" s="605">
        <f>IFERROR($H95/$I95,"-")</f>
        <v>0.257142857142857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n"/>
      <c r="C96" s="607" t="n"/>
      <c r="D96" s="607" t="n"/>
      <c r="E96" s="607" t="n"/>
      <c r="F96" s="607" t="n"/>
      <c r="G96" s="601" t="n"/>
      <c r="H96" s="601" t="n"/>
      <c r="I96" s="601" t="n"/>
      <c r="J96" s="601" t="n"/>
      <c r="K96" s="601" t="n"/>
      <c r="L96" s="602" t="n"/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229" t="inlineStr">
        <is>
          <t>Ledger control - roles, must be 0</t>
        </is>
      </c>
      <c r="C97" s="290" t="n"/>
      <c r="D97" s="290" t="n"/>
      <c r="E97" s="290" t="n"/>
      <c r="F97" s="290" t="n"/>
      <c r="G97" s="292" t="n"/>
      <c r="H97" s="292" t="n"/>
      <c r="I97" s="292">
        <f>COUNTA('REVIEW - Complete Role Mapping'!$B$2:$B$528)-$I$95</f>
        <v>0</v>
      </c>
      <c r="J97" s="292" t="n"/>
      <c r="K97" s="292" t="n"/>
      <c r="L97" s="293" t="n"/>
      <c r="M97" s="1138" t="n"/>
      <c r="N97" s="1138" t="n"/>
      <c r="O97" s="1139" t="n"/>
      <c r="P97" s="518" t="n"/>
    </row>
    <row r="99">
      <c r="B99" s="289" t="n"/>
      <c r="C99" s="290" t="n"/>
      <c r="D99" s="290" t="n"/>
      <c r="E99" s="290" t="n"/>
      <c r="F99" s="290" t="n"/>
      <c r="G99" s="290" t="n"/>
      <c r="H99" s="290" t="n"/>
      <c r="I99" s="290" t="n"/>
      <c r="J99" s="290" t="n"/>
      <c r="K99" s="290" t="n"/>
      <c r="L99" s="290" t="n"/>
      <c r="M99" s="290" t="n"/>
      <c r="N99" s="290" t="n"/>
      <c r="O99" s="290" t="n"/>
      <c r="P99" s="949" t="n"/>
    </row>
    <row r="100">
      <c r="B100" s="486" t="n"/>
      <c r="C100" s="486" t="n"/>
      <c r="D100" s="486" t="n"/>
      <c r="E100" s="486" t="n"/>
      <c r="F100" s="949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  <c r="P100" s="949" t="n"/>
    </row>
    <row r="101">
      <c r="B101" s="285" t="n"/>
      <c r="C101" s="285" t="n"/>
      <c r="D101" s="285" t="n"/>
      <c r="E101" s="285" t="n"/>
      <c r="F101" s="949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  <c r="P101" s="949" t="n"/>
    </row>
    <row r="102">
      <c r="B102" s="285" t="n"/>
      <c r="C102" s="285" t="n"/>
      <c r="D102" s="285" t="n"/>
      <c r="E102" s="285" t="n"/>
      <c r="F102" s="949" t="n"/>
      <c r="G102" s="949" t="n"/>
      <c r="H102" s="949" t="n"/>
      <c r="I102" s="949" t="n"/>
      <c r="J102" s="949" t="n"/>
      <c r="K102" s="949" t="n"/>
      <c r="L102" s="949" t="n"/>
      <c r="M102" s="949" t="n"/>
      <c r="N102" s="949" t="n"/>
      <c r="O102" s="949" t="n"/>
      <c r="P102" s="949" t="n"/>
    </row>
    <row r="103">
      <c r="B103" s="285" t="n"/>
      <c r="C103" s="285" t="n"/>
      <c r="D103" s="285" t="n"/>
      <c r="E103" s="285" t="n"/>
      <c r="F103" s="949" t="n"/>
      <c r="G103" s="949" t="n"/>
      <c r="H103" s="949" t="n"/>
      <c r="I103" s="949" t="n"/>
      <c r="J103" s="949" t="n"/>
      <c r="K103" s="949" t="n"/>
      <c r="L103" s="949" t="n"/>
      <c r="M103" s="949" t="n"/>
      <c r="N103" s="949" t="n"/>
      <c r="O103" s="949" t="n"/>
      <c r="P103" s="949" t="n"/>
    </row>
    <row r="104">
      <c r="B104" s="285" t="n"/>
      <c r="C104" s="285" t="n"/>
      <c r="D104" s="285" t="n"/>
      <c r="E104" s="285" t="n"/>
      <c r="F104" s="949" t="n"/>
      <c r="G104" s="949" t="n"/>
      <c r="H104" s="949" t="n"/>
      <c r="I104" s="949" t="n"/>
      <c r="J104" s="949" t="n"/>
      <c r="K104" s="949" t="n"/>
      <c r="L104" s="949" t="n"/>
      <c r="M104" s="949" t="n"/>
      <c r="N104" s="949" t="n"/>
      <c r="O104" s="949" t="n"/>
      <c r="P104" s="949" t="n"/>
    </row>
    <row r="105">
      <c r="B105" s="285" t="n"/>
      <c r="C105" s="285" t="n"/>
      <c r="D105" s="285" t="n"/>
      <c r="E105" s="285" t="n"/>
      <c r="F105" s="949" t="n"/>
      <c r="G105" s="949" t="n"/>
      <c r="H105" s="949" t="n"/>
      <c r="I105" s="949" t="n"/>
      <c r="J105" s="949" t="n"/>
      <c r="K105" s="949" t="n"/>
      <c r="L105" s="949" t="n"/>
      <c r="M105" s="949" t="n"/>
      <c r="N105" s="949" t="n"/>
      <c r="O105" s="949" t="n"/>
      <c r="P105" s="949" t="n"/>
    </row>
    <row r="106">
      <c r="B106" s="285" t="n"/>
      <c r="C106" s="285" t="n"/>
      <c r="D106" s="285" t="n"/>
      <c r="E106" s="285" t="n"/>
      <c r="F106" s="949" t="n"/>
      <c r="G106" s="949" t="n"/>
      <c r="H106" s="949" t="n"/>
      <c r="I106" s="949" t="n"/>
      <c r="J106" s="949" t="n"/>
      <c r="K106" s="949" t="n"/>
      <c r="L106" s="949" t="n"/>
      <c r="M106" s="949" t="n"/>
      <c r="N106" s="949" t="n"/>
      <c r="O106" s="949" t="n"/>
      <c r="P106" s="949" t="n"/>
    </row>
    <row r="107">
      <c r="B107" s="285" t="n"/>
      <c r="C107" s="285" t="n"/>
      <c r="D107" s="285" t="n"/>
      <c r="E107" s="285" t="n"/>
      <c r="F107" s="949" t="n"/>
      <c r="G107" s="949" t="n"/>
      <c r="H107" s="949" t="n"/>
      <c r="I107" s="949" t="n"/>
      <c r="J107" s="949" t="n"/>
      <c r="K107" s="949" t="n"/>
      <c r="L107" s="949" t="n"/>
      <c r="M107" s="949" t="n"/>
      <c r="N107" s="949" t="n"/>
      <c r="O107" s="949" t="n"/>
      <c r="P107" s="949" t="n"/>
    </row>
    <row r="108">
      <c r="B108" s="285" t="n"/>
      <c r="C108" s="295" t="n"/>
      <c r="D108" s="285" t="n"/>
      <c r="E108" s="285" t="n"/>
      <c r="F108" s="949" t="n"/>
      <c r="G108" s="949" t="n"/>
      <c r="H108" s="949" t="n"/>
      <c r="I108" s="949" t="n"/>
      <c r="J108" s="949" t="n"/>
      <c r="K108" s="949" t="n"/>
      <c r="L108" s="949" t="n"/>
      <c r="M108" s="949" t="n"/>
      <c r="N108" s="949" t="n"/>
      <c r="O108" s="949" t="n"/>
      <c r="P108" s="949" t="n"/>
    </row>
    <row r="109">
      <c r="B109" s="285" t="n"/>
      <c r="C109" s="285" t="n"/>
      <c r="D109" s="285" t="n"/>
      <c r="E109" s="285" t="n"/>
      <c r="F109" s="949" t="n"/>
      <c r="G109" s="949" t="n"/>
      <c r="H109" s="949" t="n"/>
      <c r="I109" s="949" t="n"/>
      <c r="J109" s="949" t="n"/>
      <c r="K109" s="949" t="n"/>
      <c r="L109" s="949" t="n"/>
      <c r="M109" s="949" t="n"/>
      <c r="N109" s="949" t="n"/>
      <c r="O109" s="949" t="n"/>
      <c r="P109" s="949" t="n"/>
    </row>
    <row r="110">
      <c r="B110" s="285" t="n"/>
      <c r="C110" s="285" t="n"/>
      <c r="D110" s="285" t="n"/>
      <c r="E110" s="285" t="n"/>
      <c r="F110" s="949" t="n"/>
      <c r="G110" s="949" t="n"/>
      <c r="H110" s="949" t="n"/>
      <c r="I110" s="949" t="n"/>
      <c r="J110" s="949" t="n"/>
      <c r="K110" s="949" t="n"/>
      <c r="L110" s="949" t="n"/>
      <c r="M110" s="949" t="n"/>
      <c r="N110" s="949" t="n"/>
      <c r="O110" s="949" t="n"/>
      <c r="P110" s="949" t="n"/>
    </row>
    <row r="111">
      <c r="B111" s="285" t="n"/>
      <c r="C111" s="285" t="n"/>
      <c r="D111" s="285" t="n"/>
      <c r="E111" s="285" t="n"/>
      <c r="F111" s="949" t="n"/>
      <c r="G111" s="949" t="n"/>
      <c r="H111" s="949" t="n"/>
      <c r="I111" s="949" t="n"/>
      <c r="J111" s="949" t="n"/>
      <c r="K111" s="949" t="n"/>
      <c r="L111" s="949" t="n"/>
      <c r="M111" s="949" t="n"/>
      <c r="N111" s="949" t="n"/>
      <c r="O111" s="949" t="n"/>
      <c r="P111" s="949" t="n"/>
    </row>
    <row r="112">
      <c r="B112" s="285" t="n"/>
      <c r="C112" s="285" t="n"/>
      <c r="D112" s="285" t="n"/>
      <c r="E112" s="285" t="n"/>
      <c r="F112" s="949" t="n"/>
      <c r="G112" s="949" t="n"/>
      <c r="H112" s="949" t="n"/>
      <c r="I112" s="949" t="n"/>
      <c r="J112" s="949" t="n"/>
      <c r="K112" s="949" t="n"/>
      <c r="L112" s="949" t="n"/>
      <c r="M112" s="949" t="n"/>
      <c r="N112" s="949" t="n"/>
      <c r="O112" s="949" t="n"/>
      <c r="P112" s="949" t="n"/>
    </row>
    <row r="113">
      <c r="B113" s="285" t="n"/>
      <c r="C113" s="285" t="n"/>
      <c r="D113" s="285" t="n"/>
      <c r="E113" s="285" t="n"/>
    </row>
    <row r="114">
      <c r="B114" s="285" t="n"/>
      <c r="C114" s="285" t="n"/>
      <c r="D114" s="285" t="n"/>
      <c r="E114" s="285" t="n"/>
    </row>
    <row r="115">
      <c r="B115" s="285" t="n"/>
      <c r="C115" s="285" t="n"/>
      <c r="D115" s="285" t="n"/>
      <c r="E115" s="285" t="n"/>
    </row>
    <row r="116">
      <c r="B116" s="285" t="n"/>
      <c r="C116" s="285" t="n"/>
      <c r="D116" s="285" t="n"/>
      <c r="E116" s="285" t="n"/>
    </row>
    <row r="117">
      <c r="B117" s="285" t="n"/>
      <c r="C117" s="285" t="n"/>
      <c r="D117" s="285" t="n"/>
      <c r="E117" s="285" t="n"/>
    </row>
    <row r="118">
      <c r="B118" s="285" t="n"/>
      <c r="C118" s="295" t="n"/>
      <c r="D118" s="285" t="n"/>
      <c r="E118" s="285" t="n"/>
    </row>
    <row r="119">
      <c r="B119" s="285" t="n"/>
      <c r="C119" s="295" t="n"/>
      <c r="D119" s="285" t="n"/>
      <c r="E119" s="285" t="n"/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507" t="inlineStr">
        <is>
          <t>COE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  <c r="K5" s="616" t="inlineStr">
        <is>
          <t>Gross people cost ($m)</t>
        </is>
      </c>
      <c r="L5" s="616" t="inlineStr">
        <is>
          <t>Funded by portfolios ($m)</t>
        </is>
      </c>
    </row>
    <row r="6">
      <c r="B6" s="549" t="inlineStr">
        <is>
          <t>Business Partnering</t>
        </is>
      </c>
      <c r="C6" s="617">
        <f>COUNTIFS('REVIEW - Complete Role Mapping'!$AJ:$AJ,"COE BP&amp;T")-COUNTIFS('REVIEW - Complete Role Mapping'!$AJ:$AJ,"COE BP&amp;T",'REVIEW - Complete Role Mapping'!$G:$G,"Transformation")</f>
        <v>10</v>
      </c>
      <c r="D6" s="617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617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116">
        <f>'1.11 BP&amp;T'!$F$6</f>
        <v>3.292562592</v>
      </c>
      <c r="G6" s="1116">
        <f>'1.11 BP&amp;T'!$G$6</f>
        <v>2</v>
      </c>
      <c r="H6" s="1116">
        <f>'1.11 BP&amp;T'!$H$6</f>
        <v>-1.292562592</v>
      </c>
      <c r="I6" s="1116">
        <f>'1.11 BP&amp;T'!$I$6</f>
        <v>2.8501381</v>
      </c>
      <c r="J6" s="1116">
        <f>'1.11 BP&amp;T'!$J$6</f>
        <v>0.442424492</v>
      </c>
      <c r="K6" s="1125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125">
        <f>'1.11 BP&amp;T'!$C$13</f>
        <v>2.2</v>
      </c>
    </row>
    <row r="7">
      <c r="B7" s="549" t="inlineStr">
        <is>
          <t>Transformation</t>
        </is>
      </c>
      <c r="C7" s="617">
        <f>COUNTIFS('REVIEW - Complete Role Mapping'!$AJ:$AJ,"COE BP&amp;T",'REVIEW - Complete Role Mapping'!$G:$G,"Transformation")</f>
        <v>14</v>
      </c>
      <c r="D7" s="617">
        <f>COUNTIFS('REVIEW - Complete Role Mapping'!$AJ:$AJ,"COE BP&amp;T",'REVIEW - Complete Role Mapping'!$AK:$AK,"Filled",'REVIEW - Complete Role Mapping'!$G:$G,"Transformation")</f>
        <v>6</v>
      </c>
      <c r="E7" s="617">
        <f>COUNTIFS('REVIEW - Complete Role Mapping'!$AJ:$AJ,"COE BP&amp;T",'REVIEW - Complete Role Mapping'!$AK:$AK,"Vacant",'REVIEW - Complete Role Mapping'!$G:$G,"Transformation")</f>
        <v>8</v>
      </c>
      <c r="F7" s="1116">
        <f>'1.11 BP&amp;T'!$F$7</f>
        <v>3.10799923</v>
      </c>
      <c r="G7" s="1116">
        <f>'1.11 BP&amp;T'!$G$7</f>
        <v>2</v>
      </c>
      <c r="H7" s="1116">
        <f>'1.11 BP&amp;T'!$H$7</f>
        <v>-1.10799923</v>
      </c>
      <c r="I7" s="1116">
        <f>'1.11 BP&amp;T'!$I$7</f>
        <v>2.58446665</v>
      </c>
      <c r="J7" s="1116">
        <f>'1.11 BP&amp;T'!$J$7</f>
        <v>0.29952678</v>
      </c>
      <c r="K7" s="1125">
        <f>(SUMIFS('REVIEW - Complete Role Mapping'!$AA$2:$AA$528,'REVIEW - Complete Role Mapping'!$AJ$2:$AJ$528,"COE BP&amp;T",'REVIEW - Complete Role Mapping'!$G$2:$G$528,"Transformation"))/1000000</f>
        <v>3.10799923</v>
      </c>
      <c r="L7" s="1125" t="n">
        <v>0</v>
      </c>
    </row>
    <row r="8">
      <c r="B8" s="549" t="inlineStr">
        <is>
          <t>Strategy &amp; Architecture</t>
        </is>
      </c>
      <c r="C8" s="617">
        <f>COUNTIFS('REVIEW - Complete Role Mapping'!$AJ:$AJ,"COE SA&amp;D")-COUNTIFS('REVIEW - Complete Role Mapping'!$AJ:$AJ,"COE SA&amp;D",'REVIEW - Complete Role Mapping'!$G:$G,"Group Data")</f>
        <v>16</v>
      </c>
      <c r="D8" s="617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617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116">
        <f>'1.12 SA&amp;D'!$G$6</f>
        <v>3.958617086</v>
      </c>
      <c r="G8" s="1116">
        <f>'1.12 SA&amp;D'!$H$6</f>
        <v>2</v>
      </c>
      <c r="H8" s="1116">
        <f>'1.12 SA&amp;D'!$I$6</f>
        <v>1.958617086</v>
      </c>
      <c r="I8" s="1116">
        <f>'1.12 SA&amp;D'!$J$6</f>
        <v>3.26474855</v>
      </c>
      <c r="J8" s="1116">
        <f>'1.12 SA&amp;D'!$K$6</f>
        <v>0.693868536</v>
      </c>
      <c r="K8" s="1125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125">
        <f>'1.12 SA&amp;D'!$C$13</f>
        <v>1.4</v>
      </c>
    </row>
    <row r="9">
      <c r="B9" s="549" t="inlineStr">
        <is>
          <t>Data</t>
        </is>
      </c>
      <c r="C9" s="617">
        <f>COUNTIFS('REVIEW - Complete Role Mapping'!$AJ:$AJ,"COE SA&amp;D",'REVIEW - Complete Role Mapping'!$G:$G,"Group Data")</f>
        <v>8</v>
      </c>
      <c r="D9" s="617">
        <f>COUNTIFS('REVIEW - Complete Role Mapping'!$AJ:$AJ,"COE SA&amp;D",'REVIEW - Complete Role Mapping'!$AK:$AK,"Filled",'REVIEW - Complete Role Mapping'!$G:$G,"Group Data")</f>
        <v>7</v>
      </c>
      <c r="E9" s="617">
        <f>COUNTIFS('REVIEW - Complete Role Mapping'!$AJ:$AJ,"COE SA&amp;D",'REVIEW - Complete Role Mapping'!$AK:$AK,"Vacant",'REVIEW - Complete Role Mapping'!$G:$G,"Group Data")</f>
        <v>1</v>
      </c>
      <c r="F9" s="1116">
        <f>'1.12 SA&amp;D'!$G$7</f>
        <v>2.072105266</v>
      </c>
      <c r="G9" s="1116">
        <f>'1.12 SA&amp;D'!$H$7</f>
        <v>2</v>
      </c>
      <c r="H9" s="1116">
        <f>'1.12 SA&amp;D'!$I$7</f>
        <v>0.0721052659999999</v>
      </c>
      <c r="I9" s="1116">
        <f>'1.12 SA&amp;D'!$J$7</f>
        <v>1.6732345</v>
      </c>
      <c r="J9" s="1116">
        <f>'1.12 SA&amp;D'!$K$7</f>
        <v>0.149746416</v>
      </c>
      <c r="K9" s="1125">
        <f>(SUMIFS('REVIEW - Complete Role Mapping'!$AA$2:$AA$528,'REVIEW - Complete Role Mapping'!$AJ$2:$AJ$528,"COE SA&amp;D",'REVIEW - Complete Role Mapping'!$G$2:$G$528,"Group Data"))/1000000</f>
        <v>2.072105266</v>
      </c>
      <c r="L9" s="1125" t="n">
        <v>0</v>
      </c>
    </row>
    <row r="10">
      <c r="B10" s="549" t="inlineStr">
        <is>
          <t>Cyber, Risk &amp; Service Operations</t>
        </is>
      </c>
      <c r="C10" s="617">
        <f>COUNTIFS('REVIEW - Complete Role Mapping'!$AJ:$AJ,"COE Cyber")</f>
        <v>46</v>
      </c>
      <c r="D10" s="617">
        <f>COUNTIFS('REVIEW - Complete Role Mapping'!$AJ:$AJ,"COE Cyber",'REVIEW - Complete Role Mapping'!$AK:$AK,"Filled")</f>
        <v>42</v>
      </c>
      <c r="E10" s="617">
        <f>COUNTIFS('REVIEW - Complete Role Mapping'!$AJ:$AJ,"COE Cyber",'REVIEW - Complete Role Mapping'!$AK:$AK,"Vacant")</f>
        <v>4</v>
      </c>
      <c r="F10" s="1116">
        <f>'1.13 Cyber Roles'!$F$8</f>
        <v>9.897858294</v>
      </c>
      <c r="G10" s="1116">
        <f>'1.13 Cyber Roles'!$G$8</f>
        <v>4</v>
      </c>
      <c r="H10" s="1116">
        <f>'1.13 Cyber Roles'!$H$8</f>
        <v>5.897858294</v>
      </c>
      <c r="I10" s="1116">
        <f>'1.13 Cyber Roles'!$I$8</f>
        <v>8.83986105</v>
      </c>
      <c r="J10" s="1116">
        <f>'1.13 Cyber Roles'!$J$8</f>
        <v>1.057997244</v>
      </c>
      <c r="K10" s="1125">
        <f>SUMIFS('REVIEW - Complete Role Mapping'!$AA$2:$AA$528,'REVIEW - Complete Role Mapping'!$AJ$2:$AJ$528,"COE Cyber")/1000000</f>
        <v>9.897858294</v>
      </c>
      <c r="L10" s="1125" t="n">
        <v>0</v>
      </c>
    </row>
    <row r="11">
      <c r="B11" s="586" t="inlineStr">
        <is>
          <t>EGI</t>
        </is>
      </c>
      <c r="C11" s="613">
        <f>COUNTIFS('REVIEW - Complete Role Mapping'!$AJ$2:$AJ$528,"EGI")</f>
        <v>17</v>
      </c>
      <c r="D11" s="613">
        <f>COUNTIFS('REVIEW - Complete Role Mapping'!$AJ$2:$AJ$528,"EGI",'REVIEW - Complete Role Mapping'!$AK$2:$AK$528,"Filled")</f>
        <v>17</v>
      </c>
      <c r="E11" s="613">
        <f>COUNTIFS('REVIEW - Complete Role Mapping'!$AJ$2:$AJ$528,"EGI",'REVIEW - Complete Role Mapping'!$AK$2:$AK$528,"Vacant")</f>
        <v>0</v>
      </c>
      <c r="F11" s="1121">
        <f>SUMIFS('REVIEW - Complete Role Mapping'!$AA$2:$AA$528,'REVIEW - Complete Role Mapping'!$AJ$2:$AJ$528,"EGI")/1000000</f>
        <v>4.94341935</v>
      </c>
      <c r="G11" s="1121" t="n">
        <v>0</v>
      </c>
      <c r="H11" s="1121">
        <f>$F11-$G11</f>
        <v>4.94341935</v>
      </c>
      <c r="I11" s="1121">
        <f>SUM(I6:I10)</f>
        <v>19.21244885</v>
      </c>
      <c r="J11" s="1121">
        <f>SUM(J6:J10)</f>
        <v>2.643563468</v>
      </c>
      <c r="K11" s="1125">
        <f>SUMIFS('REVIEW - Complete Role Mapping'!$AA$2:$AA$528,'REVIEW - Complete Role Mapping'!$AJ$2:$AJ$528,"EGI")/1000000</f>
        <v>4.94341935</v>
      </c>
      <c r="L11" s="1125" t="n">
        <v>0</v>
      </c>
    </row>
    <row r="12">
      <c r="B12" s="1226" t="inlineStr">
        <is>
          <t>Total</t>
        </is>
      </c>
      <c r="C12" s="1117">
        <f>SUM(C6:C11)</f>
        <v>111</v>
      </c>
      <c r="D12" s="1117">
        <f>SUM(D6:D11)</f>
        <v>90</v>
      </c>
      <c r="E12" s="1117">
        <f>SUM(E6:E11)</f>
        <v>21</v>
      </c>
      <c r="F12" s="1117">
        <f>SUM(F6:F11)</f>
        <v>27.272561818</v>
      </c>
      <c r="G12" s="1117">
        <f>SUM(G6:G11)</f>
        <v>12</v>
      </c>
      <c r="H12" s="504">
        <f>SUM(H6:H11)</f>
        <v>10.471438174</v>
      </c>
      <c r="I12" s="504">
        <f>SUM(I6:I11)</f>
        <v>38.4248977</v>
      </c>
      <c r="J12" s="504">
        <f>SUM(J6:J11)</f>
        <v>5.287126936</v>
      </c>
      <c r="K12" s="949">
        <f>SUM(K6:K11)</f>
        <v>27.272561818</v>
      </c>
      <c r="L12" s="949">
        <f>SUM(L6:L11)</f>
        <v>3.6</v>
      </c>
    </row>
    <row r="13">
      <c r="B13" s="431" t="inlineStr">
        <is>
          <t>Planned spend (F) is net: gross people cost less the amount funded inside portfolio overheads. Both matter - gross is what the people cost, net is the call on the COE budget.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994" t="inlineStr">
        <is>
          <t>Ledger control - roles in the four COEs plus EGI, must be 0</t>
        </is>
      </c>
      <c r="C14" s="504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994" t="inlineStr">
        <is>
          <t>Ledger control - cost ($m), must be 0</t>
        </is>
      </c>
      <c r="C15" s="504" t="n"/>
      <c r="D15" s="504" t="n"/>
      <c r="E15" s="504" t="n"/>
      <c r="F15" s="504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596" t="n"/>
      <c r="C16" s="504" t="n"/>
      <c r="D16" s="504" t="n"/>
      <c r="E16" s="504" t="n"/>
      <c r="F16" s="504" t="n"/>
      <c r="G16" s="504" t="n"/>
      <c r="H16" s="504" t="n"/>
      <c r="I16" s="504" t="n"/>
      <c r="J16" s="504" t="n"/>
      <c r="K16" s="949" t="n"/>
      <c r="L16" s="949" t="n"/>
    </row>
    <row r="17">
      <c r="B17" s="453" t="inlineStr">
        <is>
          <t>TDD Corporate funding pool ($m)</t>
        </is>
      </c>
      <c r="C17" s="981" t="n"/>
      <c r="D17" s="981" t="n"/>
      <c r="E17" s="981" t="n"/>
      <c r="F17" s="504" t="n"/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142" t="inlineStr">
        <is>
          <t>Pool ($m)</t>
        </is>
      </c>
      <c r="D18" s="1142" t="inlineStr">
        <is>
          <t>Drawn ($m)</t>
        </is>
      </c>
      <c r="E18" s="1142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510">
        <f>'0.1 Budget Table (Fin)'!$N$5</f>
        <v>3</v>
      </c>
      <c r="D19" s="510">
        <f>0</f>
        <v>0</v>
      </c>
      <c r="E19" s="510">
        <f>C19-D19</f>
        <v>3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510">
        <f>'0.1 Budget Table (Fin)'!$O$5</f>
        <v>20.2</v>
      </c>
      <c r="D20" s="510">
        <f>'1.3 Enterprise Data'!$J$15+'1.4 TDD Group Functions'!$J$14</f>
        <v>0</v>
      </c>
      <c r="E20" s="510">
        <f>C20-D20</f>
        <v>20.2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510">
        <f>'0.1 Budget Table (Fin)'!$P$5</f>
        <v>4.9</v>
      </c>
      <c r="D21" s="510">
        <f>'1.9 Commercial Fuels'!$J$16+'1.13 Cyber Roles'!$C$13</f>
        <v>0.5</v>
      </c>
      <c r="E21" s="510">
        <f>C21-D21</f>
        <v>4.4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518">
        <f>SUM(C19:C21)</f>
        <v>28.1</v>
      </c>
      <c r="D22" s="518">
        <f>SUM(D19:D21)</f>
        <v>0.5</v>
      </c>
      <c r="E22" s="518">
        <f>SUM(E19:E21)</f>
        <v>27.6</v>
      </c>
      <c r="F22" s="504" t="n"/>
      <c r="G22" s="504" t="n"/>
      <c r="H22" s="504" t="n"/>
      <c r="I22" s="504" t="n"/>
      <c r="J22" s="504" t="n"/>
    </row>
    <row r="23">
      <c r="B23" s="543" t="n"/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Variance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G6-F6</f>
        <v>-1.292562592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G7-F7</f>
        <v>-1.10799923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SUM(H6:H7)</f>
        <v>-2.400561822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net of the Business Partner FTEs funded inside portfolio overheads (row 13); the COE draws down its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($m)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G6-H6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8</v>
      </c>
      <c r="D7" s="617">
        <f>COUNTIFS('REVIEW - Complete Role Mapping'!$AJ$2:$AJ$528,"COE SA&amp;D",'REVIEW - Complete Role Mapping'!$G$2:$G$528,"Group Data",'REVIEW - Complete Role Mapping'!$AK$2:$AK$528,"Filled")</f>
        <v>7</v>
      </c>
      <c r="E7" s="617">
        <f>COUNTIFS('REVIEW - Complete Role Mapping'!$AJ$2:$AJ$528,"COE SA&amp;D",'REVIEW - Complete Role Mapping'!$G$2:$G$528,"Group Data",'REVIEW - Complete Role Mapping'!$AK$2:$AK$528,"Vacant")</f>
        <v>1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2.072105266</v>
      </c>
      <c r="H7" s="510">
        <f>C16</f>
        <v>2</v>
      </c>
      <c r="I7" s="1116">
        <f>G7-H7</f>
        <v>0.0721052659999999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16</v>
      </c>
      <c r="E8" s="613">
        <f>SUM(E6:E7)</f>
        <v>8</v>
      </c>
      <c r="F8" s="613">
        <f>SUM(F6:F7)</f>
        <v>0</v>
      </c>
      <c r="G8" s="518">
        <f>SUM(G6:G7)</f>
        <v>6.030722352</v>
      </c>
      <c r="H8" s="518">
        <f>SUM(H6:H7)</f>
        <v>4</v>
      </c>
      <c r="I8" s="1121">
        <f>SUM(I6:I7)</f>
        <v>2.030722352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net of the Domain Architect FTEs funded inside portfolio overheads (row 13); COEs draw down on their own allocation only.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-1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($m)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135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F8-G8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629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A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209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Above Store</t>
        </is>
      </c>
      <c r="C6" s="635" t="str">
        <f>IFERROR(INDEX('1.1 Ampol Retail'!$C:$C,MATCH($S6,'1.1 Ampol Retail'!$B:$B,0)),"Outside archetype model")</f>
        <v>Configuration / Integration</v>
      </c>
      <c r="D6" s="1150">
        <f>IFERROR(INDEX('0.3 Squad Archetypes'!$F$5:$F$23,MATCH($C6&amp;"|"&amp;$R6,'0.3 Squad Archetypes'!$A$5:$A$23,0)),"-")</f>
        <v>9</v>
      </c>
      <c r="E6" s="1151">
        <f>COUNTIFS($F$25:$F$94,$B6)</f>
        <v>11</v>
      </c>
      <c r="F6" s="1151">
        <f>IFERROR($E6-$D6,"-")</f>
        <v>2</v>
      </c>
      <c r="G6" s="1151">
        <f>COUNTIFS($F$25:$F$94,$B6,$D$25:$D$94,"Vacant")</f>
        <v>4</v>
      </c>
      <c r="H6" s="1151">
        <f>COUNTIFS($F$25:$F$94,$B6,$D$25:$D$94,"Vacant",$E$25:$E$94,"Hire")+COUNTIFS($F$25:$F$94,$B6,$D$25:$D$94,"Vacant",$E$25:$E$94,"Offshore")</f>
        <v>0</v>
      </c>
      <c r="I6" s="1151">
        <f>$G6-$H6</f>
        <v>4</v>
      </c>
      <c r="J6" s="634">
        <f>$E6-COUNTIFS($F$25:$F$94,$B6,$E$25:$E$94,"Hold")</f>
        <v>7</v>
      </c>
      <c r="K6" s="1152" t="str">
        <f>IF(NOT(ISNUMBER($D6)),"Outside the archetype model",IF($J6&gt;$D6,"Over archetype after decisions",IF($J6&lt;$D6,"Under archetype","On archetype")))</f>
        <v>Under archetype</v>
      </c>
      <c r="L6" s="1153">
        <f>IFERROR(INDEX('0.3 Squad Archetypes'!$G$5:$G$23,MATCH($C6&amp;"|"&amp;$R6,'0.3 Squad Archetypes'!$A$5:$A$23,0)),"-")</f>
        <v>2.1</v>
      </c>
      <c r="M6" s="1153">
        <f>SUMIFS($G$25:$G$94,$F$25:$F$94,$B6)/1000000</f>
        <v>2.097921857</v>
      </c>
      <c r="N6" s="1153">
        <f>IFERROR($M6-$L6,"-")</f>
        <v>-0.00207814300000031</v>
      </c>
      <c r="O6" s="635">
        <f>SUMIFS($H$25:$H$94,$F$25:$F$94,$B6)/1000000</f>
        <v>1.352492272</v>
      </c>
      <c r="P6">
        <f>$O6+(Lists!$AG$4+Lists!$AG$5)*$E6/$E$17</f>
        <v>1.40906370057143</v>
      </c>
      <c r="Q6">
        <f>IFERROR($P6-$L6,"-")</f>
        <v>-0.690936299428572</v>
      </c>
      <c r="R6" t="str">
        <f>IFERROR(IF(INDEX('1.1 Ampol Retail'!$D:$D,MATCH($S6,'1.1 Ampol Retail'!$B:$B,0))="","-",INDEX('1.1 Ampol Retail'!$D:$D,MATCH($S6,'1.1 Ampol Retail'!$B:$B,0))),"-")</f>
        <v>M</v>
      </c>
      <c r="S6" t="str">
        <f>IFERROR(INDEX(Lists!$AA:$AA,MATCH($B6,Lists!$Z:$Z,0)),$B6)</f>
        <v>Above Store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AmPOS</t>
        </is>
      </c>
      <c r="C7" s="635" t="str">
        <f>IFERROR(INDEX('1.1 Ampol Retail'!$C:$C,MATCH($S7,'1.1 Ampol Retail'!$B:$B,0)),"Outside archetype model")</f>
        <v>Strategic Programs</v>
      </c>
      <c r="D7" s="1150" t="str">
        <f>IFERROR(INDEX('0.3 Squad Archetypes'!$F$5:$F$23,MATCH($C7&amp;"|"&amp;$R7,'0.3 Squad Archetypes'!$A$5:$A$23,0)),"-")</f>
        <v>-</v>
      </c>
      <c r="E7" s="1151">
        <f>COUNTIFS($F$25:$F$94,$B7)</f>
        <v>10</v>
      </c>
      <c r="F7" s="1151" t="str">
        <f>IFERROR($E7-$D7,"-")</f>
        <v>-</v>
      </c>
      <c r="G7" s="1151">
        <f>COUNTIFS($F$25:$F$94,$B7,$D$25:$D$94,"Vacant")</f>
        <v>0</v>
      </c>
      <c r="H7" s="1151">
        <f>COUNTIFS($F$25:$F$94,$B7,$D$25:$D$94,"Vacant",$E$25:$E$94,"Hire")+COUNTIFS($F$25:$F$94,$B7,$D$25:$D$94,"Vacant",$E$25:$E$94,"Offshore")</f>
        <v>0</v>
      </c>
      <c r="I7" s="1151">
        <f>$G7-$H7</f>
        <v>0</v>
      </c>
      <c r="J7" s="634">
        <f>$E7-COUNTIFS($F$25:$F$94,$B7,$E$25:$E$94,"Hold")</f>
        <v>10</v>
      </c>
      <c r="K7" s="1152" t="str">
        <f>IF(NOT(ISNUMBER($D7)),"Outside the archetype model",IF($J7&gt;$D7,"Over archetype after decisions",IF($J7&lt;$D7,"Under archetype","On archetype")))</f>
        <v>Outside the archetype model</v>
      </c>
      <c r="L7" s="1153" t="str">
        <f>IFERROR(INDEX('0.3 Squad Archetypes'!$G$5:$G$23,MATCH($C7&amp;"|"&amp;$R7,'0.3 Squad Archetypes'!$A$5:$A$23,0)),"-")</f>
        <v>-</v>
      </c>
      <c r="M7" s="1153">
        <f>SUMIFS($G$25:$G$94,$F$25:$F$94,$B7)/1000000</f>
        <v>2.115029718</v>
      </c>
      <c r="N7" s="1153" t="str">
        <f>IFERROR($M7-$L7,"-")</f>
        <v>-</v>
      </c>
      <c r="O7" s="635">
        <f>SUMIFS($H$25:$H$94,$F$25:$F$94,$B7)/1000000</f>
        <v>2.115029718</v>
      </c>
      <c r="P7">
        <f>$O7+(Lists!$AG$4+Lists!$AG$5)*$E7/$E$17</f>
        <v>2.16645828942857</v>
      </c>
      <c r="Q7" t="str">
        <f>IFERROR($P7-$L7,"-")</f>
        <v>-</v>
      </c>
      <c r="R7" t="str">
        <f>IFERROR(IF(INDEX('1.1 Ampol Retail'!$D:$D,MATCH($S7,'1.1 Ampol Retail'!$B:$B,0))="","-",INDEX('1.1 Ampol Retail'!$D:$D,MATCH($S7,'1.1 Ampol Retail'!$B:$B,0))),"-")</f>
        <v>-</v>
      </c>
      <c r="S7" t="str">
        <f>IFERROR(INDEX(Lists!$AA:$AA,MATCH($B7,Lists!$Z:$Z,0)),$B7)</f>
        <v>AmPOS</v>
      </c>
      <c r="T7" t="str">
        <f>IF($B7="Leadership","Shared role - compared to the allowance",IF($C7="Strategic Programs","Strategic Programs - no rate in 0.3 (TBC)",IF(NOT(ISNUMBER($D7)),"No archetype for this squad","Archetype applies")))</f>
        <v>Strategic Programs - no rate in 0.3 (TBC)</v>
      </c>
    </row>
    <row r="8">
      <c r="A8" s="949" t="n"/>
      <c r="B8" s="634" t="inlineStr">
        <is>
          <t>POS</t>
        </is>
      </c>
      <c r="C8" s="635" t="str">
        <f>IFERROR(INDEX('1.1 Ampol Retail'!$C:$C,MATCH($S8,'1.1 Ampol Retail'!$B:$B,0)),"Outside archetype model")</f>
        <v>Configuration / Integration</v>
      </c>
      <c r="D8" s="1150">
        <f>IFERROR(INDEX('0.3 Squad Archetypes'!$F$5:$F$23,MATCH($C8&amp;"|"&amp;$R8,'0.3 Squad Archetypes'!$A$5:$A$23,0)),"-")</f>
        <v>9</v>
      </c>
      <c r="E8" s="1151">
        <f>COUNTIFS($F$25:$F$94,$B8)</f>
        <v>8</v>
      </c>
      <c r="F8" s="1151">
        <f>IFERROR($E8-$D8,"-")</f>
        <v>-1</v>
      </c>
      <c r="G8" s="1151">
        <f>COUNTIFS($F$25:$F$94,$B8,$D$25:$D$94,"Vacant")</f>
        <v>8</v>
      </c>
      <c r="H8" s="1151">
        <f>COUNTIFS($F$25:$F$94,$B8,$D$25:$D$94,"Vacant",$E$25:$E$94,"Hire")+COUNTIFS($F$25:$F$94,$B8,$D$25:$D$94,"Vacant",$E$25:$E$94,"Offshore")</f>
        <v>0</v>
      </c>
      <c r="I8" s="1151">
        <f>$G8-$H8</f>
        <v>8</v>
      </c>
      <c r="J8" s="634">
        <f>$E8-COUNTIFS($F$25:$F$94,$B8,$E$25:$E$94,"Hold")</f>
        <v>0</v>
      </c>
      <c r="K8" s="1152" t="str">
        <f>IF(NOT(ISNUMBER($D8)),"Outside the archetype model",IF($J8&gt;$D8,"Over archetype after decisions",IF($J8&lt;$D8,"Under archetype","On archetype")))</f>
        <v>Under archetype</v>
      </c>
      <c r="L8" s="1153">
        <f>IFERROR(INDEX('0.3 Squad Archetypes'!$G$5:$G$23,MATCH($C8&amp;"|"&amp;$R8,'0.3 Squad Archetypes'!$A$5:$A$23,0)),"-")</f>
        <v>2.1</v>
      </c>
      <c r="M8" s="1153">
        <f>SUMIFS($G$25:$G$94,$F$25:$F$94,$B8)/1000000</f>
        <v>1.576223685</v>
      </c>
      <c r="N8" s="1153">
        <f>IFERROR($M8-$L8,"-")</f>
        <v>-0.523776315</v>
      </c>
      <c r="O8" s="635">
        <f>SUMIFS($H$25:$H$94,$F$25:$F$94,$B8)/1000000</f>
        <v>0</v>
      </c>
      <c r="P8">
        <f>$O8+(Lists!$AG$4+Lists!$AG$5)*$E8/$E$17</f>
        <v>0.0411428571428571</v>
      </c>
      <c r="Q8">
        <f>IFERROR($P8-$L8,"-")</f>
        <v>-2.05885714285714</v>
      </c>
      <c r="R8" t="str">
        <f>IFERROR(IF(INDEX('1.1 Ampol Retail'!$D:$D,MATCH($S8,'1.1 Ampol Retail'!$B:$B,0))="","-",INDEX('1.1 Ampol Retail'!$D:$D,MATCH($S8,'1.1 Ampol Retail'!$B:$B,0))),"-")</f>
        <v>M</v>
      </c>
      <c r="S8" t="str">
        <f>IFERROR(INDEX(Lists!$AA:$AA,MATCH($B8,Lists!$Z:$Z,0)),$B8)</f>
        <v>POS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Store Operations</t>
        </is>
      </c>
      <c r="C9" s="635" t="str">
        <f>IFERROR(INDEX('1.1 Ampol Retail'!$C:$C,MATCH($S9,'1.1 Ampol Retail'!$B:$B,0)),"Outside archetype model")</f>
        <v>Operations</v>
      </c>
      <c r="D9" s="1150">
        <f>IFERROR(INDEX('0.3 Squad Archetypes'!$F$5:$F$23,MATCH($C9&amp;"|"&amp;$R9,'0.3 Squad Archetypes'!$A$5:$A$23,0)),"-")</f>
        <v>6</v>
      </c>
      <c r="E9" s="1151">
        <f>COUNTIFS($F$25:$F$94,$B9)</f>
        <v>8</v>
      </c>
      <c r="F9" s="1151">
        <f>IFERROR($E9-$D9,"-")</f>
        <v>2</v>
      </c>
      <c r="G9" s="1151">
        <f>COUNTIFS($F$25:$F$94,$B9,$D$25:$D$94,"Vacant")</f>
        <v>1</v>
      </c>
      <c r="H9" s="1151">
        <f>COUNTIFS($F$25:$F$94,$B9,$D$25:$D$94,"Vacant",$E$25:$E$94,"Hire")+COUNTIFS($F$25:$F$94,$B9,$D$25:$D$94,"Vacant",$E$25:$E$94,"Offshore")</f>
        <v>0</v>
      </c>
      <c r="I9" s="1151">
        <f>$G9-$H9</f>
        <v>1</v>
      </c>
      <c r="J9" s="634">
        <f>$E9-COUNTIFS($F$25:$F$94,$B9,$E$25:$E$94,"Hold")</f>
        <v>7</v>
      </c>
      <c r="K9" s="1152" t="str">
        <f>IF(NOT(ISNUMBER($D9)),"Outside the archetype model",IF($J9&gt;$D9,"Over archetype after decisions",IF($J9&lt;$D9,"Under archetype","On archetype")))</f>
        <v>Over archetype after decisions</v>
      </c>
      <c r="L9" s="1153">
        <f>IFERROR(INDEX('0.3 Squad Archetypes'!$G$5:$G$23,MATCH($C9&amp;"|"&amp;$R9,'0.3 Squad Archetypes'!$A$5:$A$23,0)),"-")</f>
        <v>1.4</v>
      </c>
      <c r="M9" s="1153">
        <f>SUMIFS($G$25:$G$94,$F$25:$F$94,$B9)/1000000</f>
        <v>1.429759453</v>
      </c>
      <c r="N9" s="1153">
        <f>IFERROR($M9-$L9,"-")</f>
        <v>0.029759453</v>
      </c>
      <c r="O9" s="635">
        <f>SUMIFS($H$25:$H$94,$F$25:$F$94,$B9)/1000000</f>
        <v>1.259257868</v>
      </c>
      <c r="P9">
        <f>$O9+(Lists!$AG$4+Lists!$AG$5)*$E9/$E$17</f>
        <v>1.30040072514286</v>
      </c>
      <c r="Q9">
        <f>IFERROR($P9-$L9,"-")</f>
        <v>-0.0995992748571428</v>
      </c>
      <c r="R9" t="str">
        <f>IFERROR(IF(INDEX('1.1 Ampol Retail'!$D:$D,MATCH($S9,'1.1 Ampol Retail'!$B:$B,0))="","-",INDEX('1.1 Ampol Retail'!$D:$D,MATCH($S9,'1.1 Ampol Retail'!$B:$B,0))),"-")</f>
        <v>M</v>
      </c>
      <c r="S9" t="str">
        <f>IFERROR(INDEX(Lists!$AA:$AA,MATCH($B9,Lists!$Z:$Z,0)),$B9)</f>
        <v>Store Operations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Data AU</t>
        </is>
      </c>
      <c r="C10" s="635" t="str">
        <f>IFERROR(INDEX('1.1 Ampol Retail'!$C:$C,MATCH($S10,'1.1 Ampol Retail'!$B:$B,0)),"Outside archetype model")</f>
        <v>Enterprise Data and Insights</v>
      </c>
      <c r="D10" s="1150">
        <f>IFERROR(INDEX('0.3 Squad Archetypes'!$F$5:$F$23,MATCH($C10&amp;"|"&amp;$R10,'0.3 Squad Archetypes'!$A$5:$A$23,0)),"-")</f>
        <v>7.5</v>
      </c>
      <c r="E10" s="1151">
        <f>COUNTIFS($F$25:$F$94,$B10)</f>
        <v>6</v>
      </c>
      <c r="F10" s="1151">
        <f>IFERROR($E10-$D10,"-")</f>
        <v>-1.5</v>
      </c>
      <c r="G10" s="1151">
        <f>COUNTIFS($F$25:$F$94,$B10,$D$25:$D$94,"Vacant")</f>
        <v>6</v>
      </c>
      <c r="H10" s="1151">
        <f>COUNTIFS($F$25:$F$94,$B10,$D$25:$D$94,"Vacant",$E$25:$E$94,"Hire")+COUNTIFS($F$25:$F$94,$B10,$D$25:$D$94,"Vacant",$E$25:$E$94,"Offshore")</f>
        <v>0</v>
      </c>
      <c r="I10" s="1151">
        <f>$G10-$H10</f>
        <v>6</v>
      </c>
      <c r="J10" s="634">
        <f>$E10-COUNTIFS($F$25:$F$94,$B10,$E$25:$E$94,"Hold")</f>
        <v>0</v>
      </c>
      <c r="K10" s="1152" t="str">
        <f>IF(NOT(ISNUMBER($D10)),"Outside the archetype model",IF($J10&gt;$D10,"Over archetype after decisions",IF($J10&lt;$D10,"Under archetype","On archetype")))</f>
        <v>Under archetype</v>
      </c>
      <c r="L10" s="1153">
        <f>IFERROR(INDEX('0.3 Squad Archetypes'!$G$5:$G$23,MATCH($C10&amp;"|"&amp;$R10,'0.3 Squad Archetypes'!$A$5:$A$23,0)),"-")</f>
        <v>1.7</v>
      </c>
      <c r="M10" s="1153">
        <f>SUMIFS($G$25:$G$94,$F$25:$F$94,$B10)/1000000</f>
        <v>1.21232375</v>
      </c>
      <c r="N10" s="1153">
        <f>IFERROR($M10-$L10,"-")</f>
        <v>-0.48767625</v>
      </c>
      <c r="O10" s="635">
        <f>SUMIFS($H$25:$H$94,$F$25:$F$94,$B10)/1000000</f>
        <v>0</v>
      </c>
      <c r="P10">
        <f>$O10+(Lists!$AG$4+Lists!$AG$5)*$E10/$E$17</f>
        <v>0.0308571428571429</v>
      </c>
      <c r="Q10">
        <f>IFERROR($P10-$L10,"-")</f>
        <v>-1.66914285714286</v>
      </c>
      <c r="R10" t="str">
        <f>IFERROR(IF(INDEX('1.1 Ampol Retail'!$D:$D,MATCH($S10,'1.1 Ampol Retail'!$B:$B,0))="","-",INDEX('1.1 Ampol Retail'!$D:$D,MATCH($S10,'1.1 Ampol Retail'!$B:$B,0))),"-")</f>
        <v>M</v>
      </c>
      <c r="S10" t="str">
        <f>IFERROR(INDEX(Lists!$AA:$AA,MATCH($B10,Lists!$Z:$Z,0)),$B10)</f>
        <v>Data AU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Archetype applies</v>
      </c>
    </row>
    <row r="11">
      <c r="A11" s="949" t="n"/>
      <c r="B11" s="640" t="inlineStr">
        <is>
          <t>EGI Retail</t>
        </is>
      </c>
      <c r="C11" s="635" t="str">
        <f>IFERROR(INDEX('1.1 Ampol Retail'!$C:$C,MATCH($S11,'1.1 Ampol Retail'!$B:$B,0)),"Outside archetype model")</f>
        <v>Strategic Programs</v>
      </c>
      <c r="D11" s="1150" t="str">
        <f>IFERROR(INDEX('0.3 Squad Archetypes'!$F$5:$F$23,MATCH($C11&amp;"|"&amp;$R11,'0.3 Squad Archetypes'!$A$5:$A$23,0)),"-")</f>
        <v>-</v>
      </c>
      <c r="E11" s="1151">
        <f>COUNTIFS($F$25:$F$94,$B11)</f>
        <v>6</v>
      </c>
      <c r="F11" s="1151" t="str">
        <f>IFERROR($E11-$D11,"-")</f>
        <v>-</v>
      </c>
      <c r="G11" s="1151">
        <f>COUNTIFS($F$25:$F$94,$B11,$D$25:$D$94,"Vacant")</f>
        <v>0</v>
      </c>
      <c r="H11" s="1151">
        <f>COUNTIFS($F$25:$F$94,$B11,$D$25:$D$94,"Vacant",$E$25:$E$94,"Hire")+COUNTIFS($F$25:$F$94,$B11,$D$25:$D$94,"Vacant",$E$25:$E$94,"Offshore")</f>
        <v>0</v>
      </c>
      <c r="I11" s="1151">
        <f>$G11-$H11</f>
        <v>0</v>
      </c>
      <c r="J11" s="634">
        <f>$E11-COUNTIFS($F$25:$F$94,$B11,$E$25:$E$94,"Hold")</f>
        <v>6</v>
      </c>
      <c r="K11" s="1152" t="str">
        <f>IF(NOT(ISNUMBER($D11)),"Outside the archetype model",IF($J11&gt;$D11,"Over archetype after decisions",IF($J11&lt;$D11,"Under archetype","On archetype")))</f>
        <v>Outside the archetype model</v>
      </c>
      <c r="L11" s="1153" t="str">
        <f>IFERROR(INDEX('0.3 Squad Archetypes'!$G$5:$G$23,MATCH($C11&amp;"|"&amp;$R11,'0.3 Squad Archetypes'!$A$5:$A$23,0)),"-")</f>
        <v>-</v>
      </c>
      <c r="M11" s="1153">
        <f>SUMIFS($G$25:$G$94,$F$25:$F$94,$B11)/1000000</f>
        <v>1.221357614</v>
      </c>
      <c r="N11" s="1153" t="str">
        <f>IFERROR($M11-$L11,"-")</f>
        <v>-</v>
      </c>
      <c r="O11" s="635">
        <f>SUMIFS($H$25:$H$94,$F$25:$F$94,$B11)/1000000</f>
        <v>1.221357614</v>
      </c>
      <c r="P11">
        <f>$O11+(Lists!$AG$4+Lists!$AG$5)*$E11/$E$17</f>
        <v>1.25221475685714</v>
      </c>
      <c r="Q11" t="str">
        <f>IFERROR($P11-$L11,"-")</f>
        <v>-</v>
      </c>
      <c r="R11" t="str">
        <f>IFERROR(IF(INDEX('1.1 Ampol Retail'!$D:$D,MATCH($S11,'1.1 Ampol Retail'!$B:$B,0))="","-",INDEX('1.1 Ampol Retail'!$D:$D,MATCH($S11,'1.1 Ampol Retail'!$B:$B,0))),"-")</f>
        <v>-</v>
      </c>
      <c r="S11" t="str">
        <f>IFERROR(INDEX(Lists!$AA:$AA,MATCH($B11,Lists!$Z:$Z,0)),$B11)</f>
        <v>EGI Retail</v>
      </c>
      <c r="T11" t="str">
        <f>IF($B11="Leadership","Shared role - compared to the allowance",IF($C11="Strategic Programs","Strategic Programs - no rate in 0.3 (TBC)",IF(NOT(ISNUMBER($D11)),"No archetype for this squad","Archetype applies")))</f>
        <v>Strategic Programs - no rate in 0.3 (TBC)</v>
      </c>
    </row>
    <row r="12">
      <c r="A12" s="949" t="n"/>
      <c r="B12" s="634" t="inlineStr">
        <is>
          <t>Network &amp; QSR</t>
        </is>
      </c>
      <c r="C12" s="635" t="str">
        <f>IFERROR(INDEX('1.1 Ampol Retail'!$C:$C,MATCH($S12,'1.1 Ampol Retail'!$B:$B,0)),"Outside archetype model")</f>
        <v>Configuration / Integration</v>
      </c>
      <c r="D12" s="1150">
        <f>IFERROR(INDEX('0.3 Squad Archetypes'!$F$5:$F$23,MATCH($C12&amp;"|"&amp;$R12,'0.3 Squad Archetypes'!$A$5:$A$23,0)),"-")</f>
        <v>6</v>
      </c>
      <c r="E12" s="1151">
        <f>COUNTIFS($F$25:$F$94,$B12)</f>
        <v>6</v>
      </c>
      <c r="F12" s="1151">
        <f>IFERROR($E12-$D12,"-")</f>
        <v>0</v>
      </c>
      <c r="G12" s="1151">
        <f>COUNTIFS($F$25:$F$94,$B12,$D$25:$D$94,"Vacant")</f>
        <v>2</v>
      </c>
      <c r="H12" s="1151">
        <f>COUNTIFS($F$25:$F$94,$B12,$D$25:$D$94,"Vacant",$E$25:$E$94,"Hire")+COUNTIFS($F$25:$F$94,$B12,$D$25:$D$94,"Vacant",$E$25:$E$94,"Offshore")</f>
        <v>0</v>
      </c>
      <c r="I12" s="1151">
        <f>$G12-$H12</f>
        <v>2</v>
      </c>
      <c r="J12" s="634">
        <f>$E12-COUNTIFS($F$25:$F$94,$B12,$E$25:$E$94,"Hold")</f>
        <v>4</v>
      </c>
      <c r="K12" s="1152" t="str">
        <f>IF(NOT(ISNUMBER($D12)),"Outside the archetype model",IF($J12&gt;$D12,"Over archetype after decisions",IF($J12&lt;$D12,"Under archetype","On archetype")))</f>
        <v>Under archetype</v>
      </c>
      <c r="L12" s="1153">
        <f>IFERROR(INDEX('0.3 Squad Archetypes'!$G$5:$G$23,MATCH($C12&amp;"|"&amp;$R12,'0.3 Squad Archetypes'!$A$5:$A$23,0)),"-")</f>
        <v>1.4</v>
      </c>
      <c r="M12" s="1153">
        <f>SUMIFS($G$25:$G$94,$F$25:$F$94,$B12)/1000000</f>
        <v>1.1140311</v>
      </c>
      <c r="N12" s="1153">
        <f>IFERROR($M12-$L12,"-")</f>
        <v>-0.2859689</v>
      </c>
      <c r="O12" s="635">
        <f>SUMIFS($H$25:$H$94,$F$25:$F$94,$B12)/1000000</f>
        <v>0.6794886</v>
      </c>
      <c r="P12">
        <f>$O12+(Lists!$AG$4+Lists!$AG$5)*$E12/$E$17</f>
        <v>0.710345742857143</v>
      </c>
      <c r="Q12">
        <f>IFERROR($P12-$L12,"-")</f>
        <v>-0.689654257142857</v>
      </c>
      <c r="R12" t="str">
        <f>IFERROR(IF(INDEX('1.1 Ampol Retail'!$D:$D,MATCH($S12,'1.1 Ampol Retail'!$B:$B,0))="","-",INDEX('1.1 Ampol Retail'!$D:$D,MATCH($S12,'1.1 Ampol Retail'!$B:$B,0))),"-")</f>
        <v>S</v>
      </c>
      <c r="S12" t="str">
        <f>IFERROR(INDEX(Lists!$AA:$AA,MATCH($B12,Lists!$Z:$Z,0)),$B12)</f>
        <v>Network / QSR</v>
      </c>
      <c r="T12" t="str">
        <f>IF($B12="Leadership","Shared role - compared to the allowance",IF($C12="Strategic Programs","Strategic Programs - no rate in 0.3 (TBC)",IF(NOT(ISNUMBER($D12)),"No archetype for this squad","Archetype applies")))</f>
        <v>Archetype applies</v>
      </c>
    </row>
    <row r="13">
      <c r="A13" s="949" t="n"/>
      <c r="B13" s="640" t="inlineStr">
        <is>
          <t>Deployment</t>
        </is>
      </c>
      <c r="C13" s="635" t="str">
        <f>IFERROR(INDEX('1.1 Ampol Retail'!$C:$C,MATCH($S13,'1.1 Ampol Retail'!$B:$B,0)),"Outside archetype model")</f>
        <v>Operations</v>
      </c>
      <c r="D13" s="1150">
        <f>IFERROR(INDEX('0.3 Squad Archetypes'!$F$5:$F$23,MATCH($C13&amp;"|"&amp;$R13,'0.3 Squad Archetypes'!$A$5:$A$23,0)),"-")</f>
        <v>4</v>
      </c>
      <c r="E13" s="1151">
        <f>COUNTIFS($F$25:$F$94,$B13)</f>
        <v>5</v>
      </c>
      <c r="F13" s="1151">
        <f>IFERROR($E13-$D13,"-")</f>
        <v>1</v>
      </c>
      <c r="G13" s="1151">
        <f>COUNTIFS($F$25:$F$94,$B13,$D$25:$D$94,"Vacant")</f>
        <v>0</v>
      </c>
      <c r="H13" s="1151">
        <f>COUNTIFS($F$25:$F$94,$B13,$D$25:$D$94,"Vacant",$E$25:$E$94,"Hire")+COUNTIFS($F$25:$F$94,$B13,$D$25:$D$94,"Vacant",$E$25:$E$94,"Offshore")</f>
        <v>0</v>
      </c>
      <c r="I13" s="1151">
        <f>$G13-$H13</f>
        <v>0</v>
      </c>
      <c r="J13" s="634">
        <f>$E13-COUNTIFS($F$25:$F$94,$B13,$E$25:$E$94,"Hold")</f>
        <v>5</v>
      </c>
      <c r="K13" s="1152" t="str">
        <f>IF(NOT(ISNUMBER($D13)),"Outside the archetype model",IF($J13&gt;$D13,"Over archetype after decisions",IF($J13&lt;$D13,"Under archetype","On archetype")))</f>
        <v>Over archetype after decisions</v>
      </c>
      <c r="L13" s="1153">
        <f>IFERROR(INDEX('0.3 Squad Archetypes'!$G$5:$G$23,MATCH($C13&amp;"|"&amp;$R13,'0.3 Squad Archetypes'!$A$5:$A$23,0)),"-")</f>
        <v>0.8</v>
      </c>
      <c r="M13" s="1153">
        <f>SUMIFS($G$25:$G$94,$F$25:$F$94,$B13)/1000000</f>
        <v>0.893835732</v>
      </c>
      <c r="N13" s="1153">
        <f>IFERROR($M13-$L13,"-")</f>
        <v>0.093835732</v>
      </c>
      <c r="O13" s="635">
        <f>SUMIFS($H$25:$H$94,$F$25:$F$94,$B13)/1000000</f>
        <v>0.893835732</v>
      </c>
      <c r="P13">
        <f>$O13+(Lists!$AG$4+Lists!$AG$5)*$E13/$E$17</f>
        <v>0.919550017714286</v>
      </c>
      <c r="Q13">
        <f>IFERROR($P13-$L13,"-")</f>
        <v>0.119550017714286</v>
      </c>
      <c r="R13" t="str">
        <f>IFERROR(IF(INDEX('1.1 Ampol Retail'!$D:$D,MATCH($S13,'1.1 Ampol Retail'!$B:$B,0))="","-",INDEX('1.1 Ampol Retail'!$D:$D,MATCH($S13,'1.1 Ampol Retail'!$B:$B,0))),"-")</f>
        <v>S</v>
      </c>
      <c r="S13" t="str">
        <f>IFERROR(INDEX(Lists!$AA:$AA,MATCH($B13,Lists!$Z:$Z,0)),$B13)</f>
        <v>Deployment</v>
      </c>
      <c r="T13" t="str">
        <f>IF($B13="Leadership","Shared role - compared to the allowance",IF($C13="Strategic Programs","Strategic Programs - no rate in 0.3 (TBC)",IF(NOT(ISNUMBER($D13)),"No archetype for this squad","Archetype applies")))</f>
        <v>Archetype applies</v>
      </c>
    </row>
    <row r="14">
      <c r="A14" s="949" t="n"/>
      <c r="B14" s="634" t="inlineStr">
        <is>
          <t>Payments</t>
        </is>
      </c>
      <c r="C14" s="635" t="str">
        <f>IFERROR(INDEX('1.1 Ampol Retail'!$C:$C,MATCH($S14,'1.1 Ampol Retail'!$B:$B,0)),"Outside archetype model")</f>
        <v>Configuration / Integration</v>
      </c>
      <c r="D14" s="1150">
        <f>IFERROR(INDEX('0.3 Squad Archetypes'!$F$5:$F$23,MATCH($C14&amp;"|"&amp;$R14,'0.3 Squad Archetypes'!$A$5:$A$23,0)),"-")</f>
        <v>6</v>
      </c>
      <c r="E14" s="1151">
        <f>COUNTIFS($F$25:$F$94,$B14)</f>
        <v>4</v>
      </c>
      <c r="F14" s="1151">
        <f>IFERROR($E14-$D14,"-")</f>
        <v>-2</v>
      </c>
      <c r="G14" s="1151">
        <f>COUNTIFS($F$25:$F$94,$B14,$D$25:$D$94,"Vacant")</f>
        <v>1</v>
      </c>
      <c r="H14" s="1151">
        <f>COUNTIFS($F$25:$F$94,$B14,$D$25:$D$94,"Vacant",$E$25:$E$94,"Hire")+COUNTIFS($F$25:$F$94,$B14,$D$25:$D$94,"Vacant",$E$25:$E$94,"Offshore")</f>
        <v>0</v>
      </c>
      <c r="I14" s="1151">
        <f>$G14-$H14</f>
        <v>1</v>
      </c>
      <c r="J14" s="634">
        <f>$E14-COUNTIFS($F$25:$F$94,$B14,$E$25:$E$94,"Hold")</f>
        <v>3</v>
      </c>
      <c r="K14" s="1152" t="str">
        <f>IF(NOT(ISNUMBER($D14)),"Outside the archetype model",IF($J14&gt;$D14,"Over archetype after decisions",IF($J14&lt;$D14,"Under archetype","On archetype")))</f>
        <v>Under archetype</v>
      </c>
      <c r="L14" s="1153">
        <f>IFERROR(INDEX('0.3 Squad Archetypes'!$G$5:$G$23,MATCH($C14&amp;"|"&amp;$R14,'0.3 Squad Archetypes'!$A$5:$A$23,0)),"-")</f>
        <v>1.4</v>
      </c>
      <c r="M14" s="1153">
        <f>SUMIFS($G$25:$G$94,$F$25:$F$94,$B14)/1000000</f>
        <v>0.789428585</v>
      </c>
      <c r="N14" s="1153">
        <f>IFERROR($M14-$L14,"-")</f>
        <v>-0.610571415</v>
      </c>
      <c r="O14" s="635">
        <f>SUMIFS($H$25:$H$94,$F$25:$F$94,$B14)/1000000</f>
        <v>0.618927</v>
      </c>
      <c r="P14">
        <f>$O14+(Lists!$AG$4+Lists!$AG$5)*$E14/$E$17</f>
        <v>0.639498428571429</v>
      </c>
      <c r="Q14">
        <f>IFERROR($P14-$L14,"-")</f>
        <v>-0.760501571428571</v>
      </c>
      <c r="R14" t="str">
        <f>IFERROR(IF(INDEX('1.1 Ampol Retail'!$D:$D,MATCH($S14,'1.1 Ampol Retail'!$B:$B,0))="","-",INDEX('1.1 Ampol Retail'!$D:$D,MATCH($S14,'1.1 Ampol Retail'!$B:$B,0))),"-")</f>
        <v>S</v>
      </c>
      <c r="S14" t="str">
        <f>IFERROR(INDEX(Lists!$AA:$AA,MATCH($B14,Lists!$Z:$Z,0)),$B14)</f>
        <v>Payments</v>
      </c>
      <c r="T14" t="str">
        <f>IF($B14="Leadership","Shared role - compared to the allowance",IF($C14="Strategic Programs","Strategic Programs - no rate in 0.3 (TBC)",IF(NOT(ISNUMBER($D14)),"No archetype for this squad","Archetype applies")))</f>
        <v>Archetype applies</v>
      </c>
    </row>
    <row r="15">
      <c r="A15" s="949" t="n"/>
      <c r="B15" s="640" t="inlineStr">
        <is>
          <t>EGI TDD</t>
        </is>
      </c>
      <c r="C15" s="635" t="str">
        <f>IFERROR(INDEX('1.1 Ampol Retail'!$C:$C,MATCH($S15,'1.1 Ampol Retail'!$B:$B,0)),"Outside archetype model")</f>
        <v>Outside archetype model</v>
      </c>
      <c r="D15" s="1150" t="str">
        <f>IFERROR(INDEX('0.3 Squad Archetypes'!$F$5:$F$23,MATCH($C15&amp;"|"&amp;$R15,'0.3 Squad Archetypes'!$A$5:$A$23,0)),"-")</f>
        <v>-</v>
      </c>
      <c r="E15" s="1151">
        <f>COUNTIFS($F$25:$F$94,$B15)</f>
        <v>1</v>
      </c>
      <c r="F15" s="1151" t="str">
        <f>IFERROR($E15-$D15,"-")</f>
        <v>-</v>
      </c>
      <c r="G15" s="1151">
        <f>COUNTIFS($F$25:$F$94,$B15,$D$25:$D$94,"Vacant")</f>
        <v>0</v>
      </c>
      <c r="H15" s="1151">
        <f>COUNTIFS($F$25:$F$94,$B15,$D$25:$D$94,"Vacant",$E$25:$E$94,"Hire")+COUNTIFS($F$25:$F$94,$B15,$D$25:$D$94,"Vacant",$E$25:$E$94,"Offshore")</f>
        <v>0</v>
      </c>
      <c r="I15" s="1151">
        <f>$G15-$H15</f>
        <v>0</v>
      </c>
      <c r="J15" s="634">
        <f>$E15-COUNTIFS($F$25:$F$94,$B15,$E$25:$E$94,"Hold")</f>
        <v>1</v>
      </c>
      <c r="K15" s="1152" t="str">
        <f>IF(NOT(ISNUMBER($D15)),"Outside the archetype model",IF($J15&gt;$D15,"Over archetype after decisions",IF($J15&lt;$D15,"Under archetype","On archetype")))</f>
        <v>Outside the archetype model</v>
      </c>
      <c r="L15" s="1153" t="str">
        <f>IFERROR(INDEX('0.3 Squad Archetypes'!$G$5:$G$23,MATCH($C15&amp;"|"&amp;$R15,'0.3 Squad Archetypes'!$A$5:$A$23,0)),"-")</f>
        <v>-</v>
      </c>
      <c r="M15" s="1153">
        <f>SUMIFS($G$25:$G$94,$F$25:$F$94,$B15)/1000000</f>
        <v>0.2997</v>
      </c>
      <c r="N15" s="1153" t="str">
        <f>IFERROR($M15-$L15,"-")</f>
        <v>-</v>
      </c>
      <c r="O15" s="635">
        <f>SUMIFS($H$25:$H$94,$F$25:$F$94,$B15)/1000000</f>
        <v>0.2997</v>
      </c>
      <c r="P15">
        <f>$O15+(Lists!$AG$4+Lists!$AG$5)*$E15/$E$17</f>
        <v>0.304842857142857</v>
      </c>
      <c r="Q15" t="str">
        <f>IFERROR($P15-$L15,"-")</f>
        <v>-</v>
      </c>
      <c r="R15" t="str">
        <f>IFERROR(IF(INDEX('1.1 Ampol Retail'!$D:$D,MATCH($S15,'1.1 Ampol Retail'!$B:$B,0))="","-",INDEX('1.1 Ampol Retail'!$D:$D,MATCH($S15,'1.1 Ampol Retail'!$B:$B,0))),"-")</f>
        <v>-</v>
      </c>
      <c r="S15" t="str">
        <f>IFERROR(INDEX(Lists!$AA:$AA,MATCH($B15,Lists!$Z:$Z,0)),$B15)</f>
        <v>EGI TDD</v>
      </c>
      <c r="T15" t="str">
        <f>IF($B15="Leadership","Shared role - compared to the allowance",IF($C15="Strategic Programs","Strategic Programs - no rate in 0.3 (TBC)",IF(NOT(ISNUMBER($D15)),"No archetype for this squad","Archetype applies")))</f>
        <v>No archetype for this squad</v>
      </c>
    </row>
    <row r="16">
      <c r="A16" s="949" t="n"/>
      <c r="B16" s="634" t="inlineStr">
        <is>
          <t>Leadership</t>
        </is>
      </c>
      <c r="C16" s="635" t="str">
        <f>IFERROR(INDEX('1.1 Ampol Retail'!$C:$C,MATCH($S16,'1.1 Ampol Retail'!$B:$B,0)),"Outside archetype model")</f>
        <v>Outside archetype model</v>
      </c>
      <c r="D16" s="1150" t="str">
        <f>IFERROR(INDEX('0.3 Squad Archetypes'!$F$5:$F$23,MATCH($C16&amp;"|"&amp;$R16,'0.3 Squad Archetypes'!$A$5:$A$23,0)),"-")</f>
        <v>-</v>
      </c>
      <c r="E16" s="1151">
        <f>COUNTIFS($F$25:$F$94,$B16)</f>
        <v>5</v>
      </c>
      <c r="F16" s="1151" t="str">
        <f>IFERROR($E16-$D16,"-")</f>
        <v>-</v>
      </c>
      <c r="G16" s="1151">
        <f>COUNTIFS($F$25:$F$94,$B16,$D$25:$D$94,"Vacant")</f>
        <v>0</v>
      </c>
      <c r="H16" s="1151">
        <f>COUNTIFS($F$25:$F$94,$B16,$D$25:$D$94,"Vacant",$E$25:$E$94,"Hire")+COUNTIFS($F$25:$F$94,$B16,$D$25:$D$94,"Vacant",$E$25:$E$94,"Offshore")</f>
        <v>0</v>
      </c>
      <c r="I16" s="1151">
        <f>$G16-$H16</f>
        <v>0</v>
      </c>
      <c r="J16" s="634">
        <f>$E16-COUNTIFS($F$25:$F$94,$B16,$E$25:$E$94,"Hold")</f>
        <v>5</v>
      </c>
      <c r="K16" s="1152" t="str">
        <f>IF(NOT(ISNUMBER($D16)),"Outside the archetype model",IF($J16&gt;$D16,"Over archetype after decisions",IF($J16&lt;$D16,"Under archetype","On archetype")))</f>
        <v>Outside the archetype model</v>
      </c>
      <c r="L16" s="1153" t="str">
        <f>IFERROR(INDEX('0.3 Squad Archetypes'!$G$5:$G$23,MATCH($C16&amp;"|"&amp;$R16,'0.3 Squad Archetypes'!$A$5:$A$23,0)),"-")</f>
        <v>-</v>
      </c>
      <c r="M16" s="1153">
        <f>SUMIFS($G$25:$G$94,$F$25:$F$94,$B16)/1000000</f>
        <v>1.255615963</v>
      </c>
      <c r="N16" s="1153" t="str">
        <f>IFERROR($M16-$L16,"-")</f>
        <v>-</v>
      </c>
      <c r="O16" s="635">
        <f>SUMIFS($H$25:$H$94,$F$25:$F$94,$B16)/1000000</f>
        <v>1.255615963</v>
      </c>
      <c r="P16">
        <f>$O16+(Lists!$AG$4+Lists!$AG$5)*$E16/$E$17</f>
        <v>1.28133024871429</v>
      </c>
      <c r="Q16" t="str">
        <f>IFERROR($P16-$L16,"-")</f>
        <v>-</v>
      </c>
      <c r="R16" t="str">
        <f>IFERROR(IF(INDEX('1.1 Ampol Retail'!$D:$D,MATCH($S16,'1.1 Ampol Retail'!$B:$B,0))="","-",INDEX('1.1 Ampol Retail'!$D:$D,MATCH($S16,'1.1 Ampol Retail'!$B:$B,0))),"-")</f>
        <v>-</v>
      </c>
      <c r="S16" t="str">
        <f>IFERROR(INDEX(Lists!$AA:$AA,MATCH($B16,Lists!$Z:$Z,0)),$B16)</f>
        <v>Leadership</v>
      </c>
      <c r="T16" t="str">
        <f>IF($B16="Leadership","Shared role - compared to the allowance",IF($C16="Strategic Programs","Strategic Programs - no rate in 0.3 (TBC)",IF(NOT(ISNUMBER($D16)),"No archetype for this squad","Archetype applies")))</f>
        <v>Shared role - compared to the allowance</v>
      </c>
    </row>
    <row r="17">
      <c r="A17" s="949" t="n"/>
      <c r="B17" s="1231" t="inlineStr">
        <is>
          <t>Total</t>
        </is>
      </c>
      <c r="C17" s="641" t="n"/>
      <c r="D17" s="1154">
        <f>SUM(D6:D16)</f>
        <v>47.5</v>
      </c>
      <c r="E17" s="1154">
        <f>COUNTIFS('REVIEW - Complete Role Mapping'!$AJ$2:$AJ$528,"Ampol Retail")</f>
        <v>70</v>
      </c>
      <c r="F17" s="1154">
        <f>SUM(F6:F16)</f>
        <v>0.5</v>
      </c>
      <c r="G17" s="1154">
        <f>SUM(G6:G16)</f>
        <v>22</v>
      </c>
      <c r="H17" s="1154">
        <f>SUM(H6:H16)</f>
        <v>0</v>
      </c>
      <c r="I17" s="1154">
        <f>SUM(I6:I16)</f>
        <v>22</v>
      </c>
      <c r="J17" s="641">
        <f>SUM(J6:J16)</f>
        <v>48</v>
      </c>
      <c r="K17" s="1155" t="n"/>
      <c r="L17" s="1155">
        <f>SUM(L6:L16)</f>
        <v>10.9</v>
      </c>
      <c r="M17" s="1155">
        <f>SUMIFS('REVIEW - Complete Role Mapping'!$AA$2:$AA$528,'REVIEW - Complete Role Mapping'!$AJ$2:$AJ$528,"Ampol Retail")/1000000</f>
        <v>14.005227457</v>
      </c>
      <c r="N17" s="1155">
        <f>SUM(N6:N16)</f>
        <v>-1.786475838</v>
      </c>
      <c r="O17" s="641">
        <f>SUM(O6:O16)</f>
        <v>9.695704767</v>
      </c>
      <c r="P17">
        <f>SUM(P6:P16)</f>
        <v>10.055704767</v>
      </c>
      <c r="Q17">
        <f>SUM(Q6:Q16)</f>
        <v>-5.84914138514286</v>
      </c>
    </row>
    <row r="18">
      <c r="A18" s="949" t="n"/>
      <c r="B18" s="504" t="n"/>
      <c r="C18" s="949" t="n"/>
      <c r="D18" s="949" t="n"/>
      <c r="E18" s="1156" t="n"/>
      <c r="F18" s="949" t="n"/>
      <c r="G18" s="949" t="n"/>
      <c r="H18" s="94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994" t="inlineStr">
        <is>
          <t>Cost to fill every vacancy at full onshore cost ($m)</t>
        </is>
      </c>
      <c r="C19" s="949" t="n"/>
      <c r="D19" s="949" t="n"/>
      <c r="E19" s="1156">
        <f>SUMIFS($G$25:$G$94,$D$25:$D$94,"Vacant")/1000000</f>
        <v>4.30952269</v>
      </c>
      <c r="F19" s="949" t="n"/>
      <c r="G19" s="949" t="n"/>
      <c r="H19" s="949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994" t="inlineStr">
        <is>
          <t>Of which currently marked Hire or Offshore ($m)</t>
        </is>
      </c>
      <c r="C20" s="949" t="n"/>
      <c r="D20" s="949" t="n"/>
      <c r="E20" s="949">
        <f>(SUMIFS($G$25:$G$94,$D$25:$D$94,"Vacant",$E$25:$E$94,"Hire")+Lists!$AD$5*SUMIFS($G$25:$G$94,$D$25:$D$94,"Vacant",$E$25:$E$94,"Offshore"))/1000000</f>
        <v>0</v>
      </c>
      <c r="F20" s="949" t="n"/>
      <c r="G20" s="949" t="n"/>
      <c r="H20" s="949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994" t="inlineStr">
        <is>
          <t>Leadership and Head of Technology already inside this portfolio ($m) - not re-added in column P</t>
        </is>
      </c>
      <c r="C21" s="432" t="n"/>
      <c r="D21" s="432" t="n"/>
      <c r="E21" s="432">
        <f>SUMIFS('REVIEW - Complete Role Mapping'!$AA$2:$AA$528,'REVIEW - Complete Role Mapping'!$AJ$2:$AJ$528,"Ampol Retail",'REVIEW - Complete Role Mapping'!$AQ$2:$AQ$528,1)/1000000</f>
        <v>1.255615963</v>
      </c>
      <c r="F21" s="432" t="n"/>
      <c r="G21" s="430" t="n"/>
      <c r="H21" s="430" t="n"/>
      <c r="I21" s="430" t="n"/>
      <c r="J21" s="430" t="n"/>
      <c r="K21" s="949" t="n"/>
      <c r="L21" s="949" t="n"/>
      <c r="M21" s="949" t="n"/>
      <c r="N21" s="949" t="n"/>
      <c r="O21" s="949" t="n"/>
    </row>
    <row r="22">
      <c r="A22" s="949" t="n"/>
      <c r="B22" s="504" t="n"/>
      <c r="C22" s="442" t="n"/>
      <c r="D22" s="442" t="n"/>
      <c r="E22" s="1156" t="n"/>
      <c r="F22" s="442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949" t="n"/>
    </row>
    <row r="23">
      <c r="A23" s="949" t="n"/>
      <c r="B23" s="994" t="inlineStr">
        <is>
          <t>Ampol Retail roles - one row per named role, from REVIEW</t>
        </is>
      </c>
      <c r="C23" s="442" t="n"/>
      <c r="D23" s="442" t="n"/>
      <c r="E23" s="1156" t="n"/>
      <c r="F23" s="442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949" t="n"/>
    </row>
    <row r="24" ht="15.65" customHeight="1">
      <c r="A24" s="949" t="n"/>
      <c r="B24" s="1029" t="inlineStr">
        <is>
          <t>Name</t>
        </is>
      </c>
      <c r="C24" s="1029" t="inlineStr">
        <is>
          <t>Role</t>
        </is>
      </c>
      <c r="D24" s="1029" t="inlineStr">
        <is>
          <t>Status</t>
        </is>
      </c>
      <c r="E24" s="1029" t="inlineStr">
        <is>
          <t>Vacancy lever</t>
        </is>
      </c>
      <c r="F24" s="1029" t="inlineStr">
        <is>
          <t>Squad</t>
        </is>
      </c>
      <c r="G24" s="1029" t="inlineStr">
        <is>
          <t>Cost if hired ($)</t>
        </is>
      </c>
      <c r="H24" s="1029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533" t="str">
        <f>INDEX('REVIEW - Complete Role Mapping'!$B:$B,36)</f>
        <v>Joseph Maroun</v>
      </c>
      <c r="C25" s="533" t="str">
        <f>INDEX('REVIEW - Complete Role Mapping'!$C:$C,36)</f>
        <v>Systems Analyst</v>
      </c>
      <c r="D25" s="533" t="str">
        <f>IF(ISNUMBER(SEARCH("vacant",$B25)),"Vacant","Filled")</f>
        <v>Filled</v>
      </c>
      <c r="E25" s="533" t="inlineStr">
        <is>
          <t>Filled</t>
        </is>
      </c>
      <c r="F25" s="533" t="str">
        <f>INDEX('REVIEW - Complete Role Mapping'!$AP:$AP,36)</f>
        <v>Above Store</v>
      </c>
      <c r="G25" s="949">
        <f>INDEX('REVIEW - Complete Role Mapping'!$AA:$AA,36)</f>
        <v>176565.05</v>
      </c>
      <c r="H25" s="949">
        <f>$G25*IFERROR(INDEX(Lists!$AD:$AD,MATCH($E25,Lists!$AC:$AC,0)),1)</f>
        <v>176565.05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46" t="str">
        <f>INDEX('REVIEW - Complete Role Mapping'!$B:$B,43)</f>
        <v>Majdi Abedi</v>
      </c>
      <c r="C26" s="646" t="str">
        <f>INDEX('REVIEW - Complete Role Mapping'!$C:$C,43)</f>
        <v>Systems Analyst</v>
      </c>
      <c r="D26" s="646" t="str">
        <f>IF(ISNUMBER(SEARCH("vacant",$B26)),"Vacant","Filled")</f>
        <v>Filled</v>
      </c>
      <c r="E26" s="646" t="inlineStr">
        <is>
          <t>Filled</t>
        </is>
      </c>
      <c r="F26" s="646" t="str">
        <f>INDEX('REVIEW - Complete Role Mapping'!$AP:$AP,43)</f>
        <v>Above Store</v>
      </c>
      <c r="G26" s="949">
        <f>INDEX('REVIEW - Complete Role Mapping'!$AA:$AA,43)</f>
        <v>134367.972</v>
      </c>
      <c r="H26" s="949">
        <f>$G26*IFERROR(INDEX(Lists!$AD:$AD,MATCH($E26,Lists!$AC:$AC,0)),1)</f>
        <v>134367.972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Mapping'!$B:$B,53)</f>
        <v>Pahul Oberoi</v>
      </c>
      <c r="C27" s="634" t="str">
        <f>INDEX('REVIEW - Complete Role Mapping'!$C:$C,53)</f>
        <v>Systems Analyst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Mapping'!$AP:$AP,53)</f>
        <v>Above Store</v>
      </c>
      <c r="G27" s="949">
        <f>INDEX('REVIEW - Complete Role Mapping'!$AA:$AA,53)</f>
        <v>162060.6</v>
      </c>
      <c r="H27" s="949">
        <f>$G27*IFERROR(INDEX(Lists!$AD:$AD,MATCH($E27,Lists!$AC:$AC,0)),1)</f>
        <v>162060.6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Mapping'!$B:$B,58)</f>
        <v>Sao Keawprasit</v>
      </c>
      <c r="C28" s="634" t="str">
        <f>INDEX('REVIEW - Complete Role Mapping'!$C:$C,58)</f>
        <v>Systems Analyst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Mapping'!$AP:$AP,58)</f>
        <v>Above Store</v>
      </c>
      <c r="G28" s="949">
        <f>INDEX('REVIEW - Complete Role Mapping'!$AA:$AA,58)</f>
        <v>203213.7</v>
      </c>
      <c r="H28" s="949">
        <f>$G28*IFERROR(INDEX(Lists!$AD:$AD,MATCH($E28,Lists!$AC:$AC,0)),1)</f>
        <v>203213.7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Mapping'!$B:$B,102)</f>
        <v>Vijay Patel</v>
      </c>
      <c r="C29" s="634" t="str">
        <f>INDEX('REVIEW - Complete Role Mapping'!$C:$C,102)</f>
        <v>Systems Analyst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Mapping'!$AP:$AP,102)</f>
        <v>Above Store</v>
      </c>
      <c r="G29" s="949">
        <f>INDEX('REVIEW - Complete Role Mapping'!$AA:$AA,102)</f>
        <v>193575</v>
      </c>
      <c r="H29" s="949">
        <f>$G29*IFERROR(INDEX(Lists!$AD:$AD,MATCH($E29,Lists!$AC:$AC,0)),1)</f>
        <v>193575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Mapping'!$B:$B,106)</f>
        <v>Zhan Zhang</v>
      </c>
      <c r="C30" s="634" t="str">
        <f>INDEX('REVIEW - Complete Role Mapping'!$C:$C,106)</f>
        <v>Solution Architect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Mapping'!$AP:$AP,106)</f>
        <v>Above Store</v>
      </c>
      <c r="G30" s="949">
        <f>INDEX('REVIEW - Complete Role Mapping'!$AA:$AA,106)</f>
        <v>243637.5</v>
      </c>
      <c r="H30" s="949">
        <f>$G30*IFERROR(INDEX(Lists!$AD:$AD,MATCH($E30,Lists!$AC:$AC,0)),1)</f>
        <v>243637.5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Mapping'!$B:$B,107)</f>
        <v>Zuan Zheng</v>
      </c>
      <c r="C31" s="634" t="str">
        <f>INDEX('REVIEW - Complete Role Mapping'!$C:$C,107)</f>
        <v>Systems Analyst</v>
      </c>
      <c r="D31" s="612" t="str">
        <f>IF(ISNUMBER(SEARCH("vacant",$B31)),"Vacant","Filled")</f>
        <v>Filled</v>
      </c>
      <c r="E31" s="647" t="inlineStr">
        <is>
          <t>Filled</t>
        </is>
      </c>
      <c r="F31" s="648" t="str">
        <f>INDEX('REVIEW - Complete Role Mapping'!$AP:$AP,107)</f>
        <v>Above Store</v>
      </c>
      <c r="G31" s="949">
        <f>INDEX('REVIEW - Complete Role Mapping'!$AA:$AA,107)</f>
        <v>239072.45</v>
      </c>
      <c r="H31" s="949">
        <f>$G31*IFERROR(INDEX(Lists!$AD:$AD,MATCH($E31,Lists!$AC:$AC,0)),1)</f>
        <v>239072.45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Mapping'!$B:$B,67)</f>
        <v>Vacant</v>
      </c>
      <c r="C32" s="634" t="str">
        <f>INDEX('REVIEW - Complete Role Mapping'!$C:$C,67)</f>
        <v>Business Analyst</v>
      </c>
      <c r="D32" s="612" t="str">
        <f>IF(ISNUMBER(SEARCH("vacant",$B32)),"Vacant","Filled")</f>
        <v>Vacant</v>
      </c>
      <c r="E32" s="647" t="inlineStr">
        <is>
          <t>Hold</t>
        </is>
      </c>
      <c r="F32" s="648" t="str">
        <f>INDEX('REVIEW - Complete Role Mapping'!$AP:$AP,67)</f>
        <v>Above Store</v>
      </c>
      <c r="G32" s="949">
        <f>INDEX('REVIEW - Complete Role Mapping'!$AA:$AA,67)</f>
        <v>202853.25</v>
      </c>
      <c r="H32" s="949">
        <f>$G32*IFERROR(INDEX(Lists!$AD:$AD,MATCH($E32,Lists!$AC:$AC,0)),1)</f>
        <v>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Mapping'!$B:$B,79)</f>
        <v>Vacant</v>
      </c>
      <c r="C33" s="634" t="str">
        <f>INDEX('REVIEW - Complete Role Mapping'!$C:$C,79)</f>
        <v>Engineer - Integration</v>
      </c>
      <c r="D33" s="612" t="str">
        <f>IF(ISNUMBER(SEARCH("vacant",$B33)),"Vacant","Filled")</f>
        <v>Vacant</v>
      </c>
      <c r="E33" s="612" t="inlineStr">
        <is>
          <t>Hold</t>
        </is>
      </c>
      <c r="F33" s="634" t="str">
        <f>INDEX('REVIEW - Complete Role Mapping'!$AP:$AP,79)</f>
        <v>Above Store</v>
      </c>
      <c r="G33" s="949">
        <f>INDEX('REVIEW - Complete Role Mapping'!$AA:$AA,79)</f>
        <v>170489.75</v>
      </c>
      <c r="H33" s="949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Mapping'!$B:$B,85)</f>
        <v>Vacant</v>
      </c>
      <c r="C34" s="646" t="str">
        <f>INDEX('REVIEW - Complete Role Mapping'!$C:$C,85)</f>
        <v>Quality Assurance</v>
      </c>
      <c r="D34" s="646" t="str">
        <f>IF(ISNUMBER(SEARCH("vacant",$B34)),"Vacant","Filled")</f>
        <v>Vacant</v>
      </c>
      <c r="E34" s="646" t="inlineStr">
        <is>
          <t>Hold</t>
        </is>
      </c>
      <c r="F34" s="646" t="str">
        <f>INDEX('REVIEW - Complete Role Mapping'!$AP:$AP,85)</f>
        <v>Above Store</v>
      </c>
      <c r="G34" s="949">
        <f>INDEX('REVIEW - Complete Role Mapping'!$AA:$AA,85)</f>
        <v>170501.585</v>
      </c>
      <c r="H34" s="949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Mapping'!$B:$B,92)</f>
        <v>Vacant</v>
      </c>
      <c r="C35" s="634" t="str">
        <f>INDEX('REVIEW - Complete Role Mapping'!$C:$C,92)</f>
        <v>Systems Analyst</v>
      </c>
      <c r="D35" s="612" t="str">
        <f>IF(ISNUMBER(SEARCH("vacant",$B35)),"Vacant","Filled")</f>
        <v>Vacant</v>
      </c>
      <c r="E35" s="612" t="inlineStr">
        <is>
          <t>Hold</t>
        </is>
      </c>
      <c r="F35" s="634" t="str">
        <f>INDEX('REVIEW - Complete Role Mapping'!$AP:$AP,92)</f>
        <v>Above Store</v>
      </c>
      <c r="G35" s="949">
        <f>INDEX('REVIEW - Complete Role Mapping'!$AA:$AA,92)</f>
        <v>201585</v>
      </c>
      <c r="H35" s="949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Mapping'!$B:$B,13)</f>
        <v>Balaji Murugan</v>
      </c>
      <c r="C36" s="634" t="str">
        <f>INDEX('REVIEW - Complete Role Mapping'!$C:$C,13)</f>
        <v>Delivery Lead</v>
      </c>
      <c r="D36" s="612" t="str">
        <f>IF(ISNUMBER(SEARCH("vacant",$B36)),"Vacant","Filled")</f>
        <v>Filled</v>
      </c>
      <c r="E36" s="612" t="inlineStr">
        <is>
          <t>Filled</t>
        </is>
      </c>
      <c r="F36" s="634" t="str">
        <f>INDEX('REVIEW - Complete Role Mapping'!$AP:$AP,13)</f>
        <v>AmPOS</v>
      </c>
      <c r="G36" s="949">
        <f>INDEX('REVIEW - Complete Role Mapping'!$AA:$AA,13)</f>
        <v>237654.03</v>
      </c>
      <c r="H36" s="949">
        <f>$G36*IFERROR(INDEX(Lists!$AD:$AD,MATCH($E36,Lists!$AC:$AC,0)),1)</f>
        <v>237654.03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Mapping'!$B:$B,467)</f>
        <v>Hardik Trivedi</v>
      </c>
      <c r="C37" s="634" t="str">
        <f>INDEX('REVIEW - Complete Role Mapping'!$C:$C,467)</f>
        <v>Snr Business Analyst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Mapping'!$AP:$AP,467)</f>
        <v>AmPOS</v>
      </c>
      <c r="G37" s="949">
        <f>INDEX('REVIEW - Complete Role Mapping'!$AA:$AA,467)</f>
        <v>210342.6</v>
      </c>
      <c r="H37" s="949">
        <f>$G37*IFERROR(INDEX(Lists!$AD:$AD,MATCH($E37,Lists!$AC:$AC,0)),1)</f>
        <v>210342.6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Mapping'!$B:$B,30)</f>
        <v>Irfan Zavahir</v>
      </c>
      <c r="C38" s="634" t="str">
        <f>INDEX('REVIEW - Complete Role Mapping'!$C:$C,30)</f>
        <v>Delivery Lead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Mapping'!$AP:$AP,30)</f>
        <v>AmPOS</v>
      </c>
      <c r="G38" s="949">
        <f>INDEX('REVIEW - Complete Role Mapping'!$AA:$AA,30)</f>
        <v>161334</v>
      </c>
      <c r="H38" s="949">
        <f>$G38*IFERROR(INDEX(Lists!$AD:$AD,MATCH($E38,Lists!$AC:$AC,0)),1)</f>
        <v>161334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Mapping'!$B:$B,37)</f>
        <v>Karthick Sathiyamoorthy</v>
      </c>
      <c r="C39" s="646" t="str">
        <f>INDEX('REVIEW - Complete Role Mapping'!$C:$C,37)</f>
        <v>Quality Assurance</v>
      </c>
      <c r="D39" s="646" t="str">
        <f>IF(ISNUMBER(SEARCH("vacant",$B39)),"Vacant","Filled")</f>
        <v>Filled</v>
      </c>
      <c r="E39" s="646" t="inlineStr">
        <is>
          <t>Filled</t>
        </is>
      </c>
      <c r="F39" s="646" t="str">
        <f>INDEX('REVIEW - Complete Role Mapping'!$AP:$AP,37)</f>
        <v>AmPOS</v>
      </c>
      <c r="G39" s="949">
        <f>INDEX('REVIEW - Complete Role Mapping'!$AA:$AA,37)</f>
        <v>194028.9</v>
      </c>
      <c r="H39" s="949">
        <f>$G39*IFERROR(INDEX(Lists!$AD:$AD,MATCH($E39,Lists!$AC:$AC,0)),1)</f>
        <v>194028.9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Mapping'!$B:$B,39)</f>
        <v>Kate Johnstone</v>
      </c>
      <c r="C40" s="634" t="str">
        <f>INDEX('REVIEW - Complete Role Mapping'!$C:$C,39)</f>
        <v>Program Manager POS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Mapping'!$AP:$AP,39)</f>
        <v>AmPOS</v>
      </c>
      <c r="G40" s="949">
        <f>INDEX('REVIEW - Complete Role Mapping'!$AA:$AA,39)</f>
        <v>202026.336</v>
      </c>
      <c r="H40" s="949">
        <f>$G40*IFERROR(INDEX(Lists!$AD:$AD,MATCH($E40,Lists!$AC:$AC,0)),1)</f>
        <v>202026.336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Mapping'!$B:$B,380)</f>
        <v>Kevin Nelson</v>
      </c>
      <c r="C41" s="634" t="str">
        <f>INDEX('REVIEW - Complete Role Mapping'!$C:$C,380)</f>
        <v>Delivery Lead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Mapping'!$AP:$AP,380)</f>
        <v>AmPOS</v>
      </c>
      <c r="G41" s="949">
        <f>INDEX('REVIEW - Complete Role Mapping'!$AA:$AA,380)</f>
        <v>253142.7</v>
      </c>
      <c r="H41" s="949">
        <f>$G41*IFERROR(INDEX(Lists!$AD:$AD,MATCH($E41,Lists!$AC:$AC,0)),1)</f>
        <v>253142.7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Mapping'!$B:$B,51)</f>
        <v>Mick Standen</v>
      </c>
      <c r="C42" s="634" t="str">
        <f>INDEX('REVIEW - Complete Role Mapping'!$C:$C,51)</f>
        <v>Systems Analyst</v>
      </c>
      <c r="D42" s="612" t="str">
        <f>IF(ISNUMBER(SEARCH("vacant",$B42)),"Vacant","Filled")</f>
        <v>Filled</v>
      </c>
      <c r="E42" s="612" t="inlineStr">
        <is>
          <t>Filled</t>
        </is>
      </c>
      <c r="F42" s="634" t="str">
        <f>INDEX('REVIEW - Complete Role Mapping'!$AP:$AP,51)</f>
        <v>AmPOS</v>
      </c>
      <c r="G42" s="949">
        <f>INDEX('REVIEW - Complete Role Mapping'!$AA:$AA,51)</f>
        <v>262647.9</v>
      </c>
      <c r="H42" s="949">
        <f>$G42*IFERROR(INDEX(Lists!$AD:$AD,MATCH($E42,Lists!$AC:$AC,0)),1)</f>
        <v>262647.9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Mapping'!$B:$B,55)</f>
        <v>Peter Nicolopoulos</v>
      </c>
      <c r="C43" s="634" t="str">
        <f>INDEX('REVIEW - Complete Role Mapping'!$C:$C,55)</f>
        <v>Systems Analyst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Mapping'!$AP:$AP,55)</f>
        <v>AmPOS</v>
      </c>
      <c r="G43" s="949">
        <f>INDEX('REVIEW - Complete Role Mapping'!$AA:$AA,55)</f>
        <v>147460.584</v>
      </c>
      <c r="H43" s="949">
        <f>$G43*IFERROR(INDEX(Lists!$AD:$AD,MATCH($E43,Lists!$AC:$AC,0)),1)</f>
        <v>147460.584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Mapping'!$B:$B,62)</f>
        <v>Tabitha Raharadjo</v>
      </c>
      <c r="C44" s="634" t="str">
        <f>INDEX('REVIEW - Complete Role Mapping'!$C:$C,62)</f>
        <v>Project Coordinator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Mapping'!$AP:$AP,62)</f>
        <v>AmPOS</v>
      </c>
      <c r="G44" s="949">
        <f>INDEX('REVIEW - Complete Role Mapping'!$AA:$AA,62)</f>
        <v>198937.068</v>
      </c>
      <c r="H44" s="949">
        <f>$G44*IFERROR(INDEX(Lists!$AD:$AD,MATCH($E44,Lists!$AC:$AC,0)),1)</f>
        <v>198937.068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Mapping'!$B:$B,442)</f>
        <v>Victor Beuk</v>
      </c>
      <c r="C45" s="634" t="str">
        <f>INDEX('REVIEW - Complete Role Mapping'!$C:$C,442)</f>
        <v>Delivery Lead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Mapping'!$AP:$AP,442)</f>
        <v>AmPOS</v>
      </c>
      <c r="G45" s="949">
        <f>INDEX('REVIEW - Complete Role Mapping'!$AA:$AA,442)</f>
        <v>247455.6</v>
      </c>
      <c r="H45" s="949">
        <f>$G45*IFERROR(INDEX(Lists!$AD:$AD,MATCH($E45,Lists!$AC:$AC,0)),1)</f>
        <v>247455.6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Mapping'!$B:$B,69)</f>
        <v>Vacant</v>
      </c>
      <c r="C46" s="634" t="str">
        <f>INDEX('REVIEW - Complete Role Mapping'!$C:$C,69)</f>
        <v>Business Analyst</v>
      </c>
      <c r="D46" s="612" t="str">
        <f>IF(ISNUMBER(SEARCH("vacant",$B46)),"Vacant","Filled")</f>
        <v>Vacant</v>
      </c>
      <c r="E46" s="647" t="inlineStr">
        <is>
          <t>Hold</t>
        </is>
      </c>
      <c r="F46" s="648" t="str">
        <f>INDEX('REVIEW - Complete Role Mapping'!$AP:$AP,69)</f>
        <v>POS</v>
      </c>
      <c r="G46" s="949">
        <f>INDEX('REVIEW - Complete Role Mapping'!$AA:$AA,69)</f>
        <v>170501.585</v>
      </c>
      <c r="H46" s="949">
        <f>$G46*IFERROR(INDEX(Lists!$AD:$AD,MATCH($E46,Lists!$AC:$AC,0)),1)</f>
        <v>0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Mapping'!$B:$B,81)</f>
        <v>Vacant</v>
      </c>
      <c r="C47" s="634" t="str">
        <f>INDEX('REVIEW - Complete Role Mapping'!$C:$C,81)</f>
        <v>Engineer Integration</v>
      </c>
      <c r="D47" s="612" t="str">
        <f>IF(ISNUMBER(SEARCH("vacant",$B47)),"Vacant","Filled")</f>
        <v>Vacant</v>
      </c>
      <c r="E47" s="647" t="inlineStr">
        <is>
          <t>Hold</t>
        </is>
      </c>
      <c r="F47" s="648" t="str">
        <f>INDEX('REVIEW - Complete Role Mapping'!$AP:$AP,81)</f>
        <v>POS</v>
      </c>
      <c r="G47" s="949">
        <f>INDEX('REVIEW - Complete Role Mapping'!$AA:$AA,81)</f>
        <v>231689.25</v>
      </c>
      <c r="H47" s="949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Mapping'!$B:$B,83)</f>
        <v>Vacant</v>
      </c>
      <c r="C48" s="646" t="str">
        <f>INDEX('REVIEW - Complete Role Mapping'!$C:$C,83)</f>
        <v>Lead Quality Assurance</v>
      </c>
      <c r="D48" s="646" t="str">
        <f>IF(ISNUMBER(SEARCH("vacant",$B48)),"Vacant","Filled")</f>
        <v>Vacant</v>
      </c>
      <c r="E48" s="646" t="inlineStr">
        <is>
          <t>Hold</t>
        </is>
      </c>
      <c r="F48" s="646" t="str">
        <f>INDEX('REVIEW - Complete Role Mapping'!$AP:$AP,83)</f>
        <v>POS</v>
      </c>
      <c r="G48" s="949">
        <f>INDEX('REVIEW - Complete Role Mapping'!$AA:$AA,83)</f>
        <v>224493.6</v>
      </c>
      <c r="H48" s="949">
        <f>$G48*IFERROR(INDEX(Lists!$AD:$AD,MATCH($E48,Lists!$AC:$AC,0)),1)</f>
        <v>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Mapping'!$B:$B,86)</f>
        <v>Vacant</v>
      </c>
      <c r="C49" s="634" t="str">
        <f>INDEX('REVIEW - Complete Role Mapping'!$C:$C,86)</f>
        <v>Quality Assurance</v>
      </c>
      <c r="D49" s="612" t="str">
        <f>IF(ISNUMBER(SEARCH("vacant",$B49)),"Vacant","Filled")</f>
        <v>Vacant</v>
      </c>
      <c r="E49" s="612" t="inlineStr">
        <is>
          <t>Hold</t>
        </is>
      </c>
      <c r="F49" s="634" t="str">
        <f>INDEX('REVIEW - Complete Role Mapping'!$AP:$AP,86)</f>
        <v>POS</v>
      </c>
      <c r="G49" s="949">
        <f>INDEX('REVIEW - Complete Role Mapping'!$AA:$AA,86)</f>
        <v>170489.75</v>
      </c>
      <c r="H49" s="949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Mapping'!$B:$B,87)</f>
        <v>Vacant</v>
      </c>
      <c r="C50" s="634" t="str">
        <f>INDEX('REVIEW - Complete Role Mapping'!$C:$C,87)</f>
        <v>Quality Assurance</v>
      </c>
      <c r="D50" s="612" t="str">
        <f>IF(ISNUMBER(SEARCH("vacant",$B50)),"Vacant","Filled")</f>
        <v>Vacant</v>
      </c>
      <c r="E50" s="612" t="inlineStr">
        <is>
          <t>Hold</t>
        </is>
      </c>
      <c r="F50" s="634" t="str">
        <f>INDEX('REVIEW - Complete Role Mapping'!$AP:$AP,87)</f>
        <v>POS</v>
      </c>
      <c r="G50" s="949">
        <f>INDEX('REVIEW - Complete Role Mapping'!$AA:$AA,87)</f>
        <v>170489.75</v>
      </c>
      <c r="H50" s="949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Mapping'!$B:$B,88)</f>
        <v>Vacant</v>
      </c>
      <c r="C51" s="634" t="str">
        <f>INDEX('REVIEW - Complete Role Mapping'!$C:$C,88)</f>
        <v>Quality Assurance</v>
      </c>
      <c r="D51" s="612" t="str">
        <f>IF(ISNUMBER(SEARCH("vacant",$B51)),"Vacant","Filled")</f>
        <v>Vacant</v>
      </c>
      <c r="E51" s="612" t="inlineStr">
        <is>
          <t>Hold</t>
        </is>
      </c>
      <c r="F51" s="634" t="str">
        <f>INDEX('REVIEW - Complete Role Mapping'!$AP:$AP,88)</f>
        <v>POS</v>
      </c>
      <c r="G51" s="949">
        <f>INDEX('REVIEW - Complete Role Mapping'!$AA:$AA,88)</f>
        <v>202853.25</v>
      </c>
      <c r="H51" s="949">
        <f>$G51*IFERROR(INDEX(Lists!$AD:$AD,MATCH($E51,Lists!$AC:$AC,0)),1)</f>
        <v>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Mapping'!$B:$B,90)</f>
        <v>Vacant</v>
      </c>
      <c r="C52" s="634" t="str">
        <f>INDEX('REVIEW - Complete Role Mapping'!$C:$C,90)</f>
        <v>Release &amp; Environments Manager</v>
      </c>
      <c r="D52" s="612" t="str">
        <f>IF(ISNUMBER(SEARCH("vacant",$B52)),"Vacant","Filled")</f>
        <v>Vacant</v>
      </c>
      <c r="E52" s="612" t="inlineStr">
        <is>
          <t>Hold</t>
        </is>
      </c>
      <c r="F52" s="634" t="str">
        <f>INDEX('REVIEW - Complete Role Mapping'!$AP:$AP,90)</f>
        <v>POS</v>
      </c>
      <c r="G52" s="949">
        <f>INDEX('REVIEW - Complete Role Mapping'!$AA:$AA,90)</f>
        <v>202853.25</v>
      </c>
      <c r="H52" s="949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Mapping'!$B:$B,95)</f>
        <v>Vacant</v>
      </c>
      <c r="C53" s="634" t="str">
        <f>INDEX('REVIEW - Complete Role Mapping'!$C:$C,95)</f>
        <v>Systems Analyst</v>
      </c>
      <c r="D53" s="612" t="str">
        <f>IF(ISNUMBER(SEARCH("vacant",$B53)),"Vacant","Filled")</f>
        <v>Vacant</v>
      </c>
      <c r="E53" s="612" t="inlineStr">
        <is>
          <t>Hold</t>
        </is>
      </c>
      <c r="F53" s="634" t="str">
        <f>INDEX('REVIEW - Complete Role Mapping'!$AP:$AP,95)</f>
        <v>POS</v>
      </c>
      <c r="G53" s="949">
        <f>INDEX('REVIEW - Complete Role Mapping'!$AA:$AA,95)</f>
        <v>202853.25</v>
      </c>
      <c r="H53" s="949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Mapping'!$B:$B,7)</f>
        <v>Andrew Whitford</v>
      </c>
      <c r="C54" s="646" t="str">
        <f>INDEX('REVIEW - Complete Role Mapping'!$C:$C,7)</f>
        <v>Field Systems Operations Lead - WA</v>
      </c>
      <c r="D54" s="646" t="str">
        <f>IF(ISNUMBER(SEARCH("vacant",$B54)),"Vacant","Filled")</f>
        <v>Filled</v>
      </c>
      <c r="E54" s="646" t="inlineStr">
        <is>
          <t>Filled</t>
        </is>
      </c>
      <c r="F54" s="646" t="str">
        <f>INDEX('REVIEW - Complete Role Mapping'!$AP:$AP,7)</f>
        <v>Store Operations</v>
      </c>
      <c r="G54" s="949">
        <f>INDEX('REVIEW - Complete Role Mapping'!$AA:$AA,7)</f>
        <v>164033.1</v>
      </c>
      <c r="H54" s="949">
        <f>$G54*IFERROR(INDEX(Lists!$AD:$AD,MATCH($E54,Lists!$AC:$AC,0)),1)</f>
        <v>164033.1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Mapping'!$B:$B,24)</f>
        <v>Ephraim Adan</v>
      </c>
      <c r="C55" s="634" t="str">
        <f>INDEX('REVIEW - Complete Role Mapping'!$C:$C,24)</f>
        <v>Manager - AU Retail Operations</v>
      </c>
      <c r="D55" s="612" t="str">
        <f>IF(ISNUMBER(SEARCH("vacant",$B55)),"Vacant","Filled")</f>
        <v>Filled</v>
      </c>
      <c r="E55" s="612" t="inlineStr">
        <is>
          <t>Filled</t>
        </is>
      </c>
      <c r="F55" s="634" t="str">
        <f>INDEX('REVIEW - Complete Role Mapping'!$AP:$AP,24)</f>
        <v>Store Operations</v>
      </c>
      <c r="G55" s="949">
        <f>INDEX('REVIEW - Complete Role Mapping'!$AA:$AA,24)</f>
        <v>77707.84</v>
      </c>
      <c r="H55" s="949">
        <f>$G55*IFERROR(INDEX(Lists!$AD:$AD,MATCH($E55,Lists!$AC:$AC,0)),1)</f>
        <v>77707.84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Mapping'!$B:$B,27)</f>
        <v>Geoff Goddard</v>
      </c>
      <c r="C56" s="646" t="str">
        <f>INDEX('REVIEW - Complete Role Mapping'!$C:$C,27)</f>
        <v>Field Systems Operations Lead - VIC</v>
      </c>
      <c r="D56" s="646" t="str">
        <f>IF(ISNUMBER(SEARCH("vacant",$B56)),"Vacant","Filled")</f>
        <v>Filled</v>
      </c>
      <c r="E56" s="646" t="inlineStr">
        <is>
          <t>Filled</t>
        </is>
      </c>
      <c r="F56" s="646" t="str">
        <f>INDEX('REVIEW - Complete Role Mapping'!$AP:$AP,27)</f>
        <v>Store Operations</v>
      </c>
      <c r="G56" s="949">
        <f>INDEX('REVIEW - Complete Role Mapping'!$AA:$AA,27)</f>
        <v>167360.05</v>
      </c>
      <c r="H56" s="949">
        <f>$G56*IFERROR(INDEX(Lists!$AD:$AD,MATCH($E56,Lists!$AC:$AC,0)),1)</f>
        <v>167360.05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Mapping'!$B:$B,28)</f>
        <v>Gerald Aguas</v>
      </c>
      <c r="C57" s="634" t="str">
        <f>INDEX('REVIEW - Complete Role Mapping'!$C:$C,28)</f>
        <v>Field Systems Operations Lead - NSW</v>
      </c>
      <c r="D57" s="612" t="str">
        <f>IF(ISNUMBER(SEARCH("vacant",$B57)),"Vacant","Filled")</f>
        <v>Filled</v>
      </c>
      <c r="E57" s="612" t="inlineStr">
        <is>
          <t>Filled</t>
        </is>
      </c>
      <c r="F57" s="634" t="str">
        <f>INDEX('REVIEW - Complete Role Mapping'!$AP:$AP,28)</f>
        <v>Store Operations</v>
      </c>
      <c r="G57" s="949">
        <f>INDEX('REVIEW - Complete Role Mapping'!$AA:$AA,28)</f>
        <v>190155.852</v>
      </c>
      <c r="H57" s="949">
        <f>$G57*IFERROR(INDEX(Lists!$AD:$AD,MATCH($E57,Lists!$AC:$AC,0)),1)</f>
        <v>190155.852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Mapping'!$B:$B,38)</f>
        <v>Karthikeyan Kuppan</v>
      </c>
      <c r="C58" s="634" t="str">
        <f>INDEX('REVIEW - Complete Role Mapping'!$C:$C,38)</f>
        <v>Lead - AU Retail Operations</v>
      </c>
      <c r="D58" s="612" t="str">
        <f>IF(ISNUMBER(SEARCH("vacant",$B58)),"Vacant","Filled")</f>
        <v>Filled</v>
      </c>
      <c r="E58" s="612" t="inlineStr">
        <is>
          <t>Filled</t>
        </is>
      </c>
      <c r="F58" s="634" t="str">
        <f>INDEX('REVIEW - Complete Role Mapping'!$AP:$AP,38)</f>
        <v>Store Operations</v>
      </c>
      <c r="G58" s="949">
        <f>INDEX('REVIEW - Complete Role Mapping'!$AA:$AA,38)</f>
        <v>242933.676</v>
      </c>
      <c r="H58" s="949">
        <f>$G58*IFERROR(INDEX(Lists!$AD:$AD,MATCH($E58,Lists!$AC:$AC,0)),1)</f>
        <v>242933.676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Mapping'!$B:$B,54)</f>
        <v>Patrick Ericson Nario</v>
      </c>
      <c r="C59" s="634" t="str">
        <f>INDEX('REVIEW - Complete Role Mapping'!$C:$C,54)</f>
        <v>Support Analyst - Field Operations</v>
      </c>
      <c r="D59" s="612" t="str">
        <f>IF(ISNUMBER(SEARCH("vacant",$B59)),"Vacant","Filled")</f>
        <v>Filled</v>
      </c>
      <c r="E59" s="612" t="inlineStr">
        <is>
          <t>Filled</t>
        </is>
      </c>
      <c r="F59" s="634" t="str">
        <f>INDEX('REVIEW - Complete Role Mapping'!$AP:$AP,54)</f>
        <v>Store Operations</v>
      </c>
      <c r="G59" s="949">
        <f>INDEX('REVIEW - Complete Role Mapping'!$AA:$AA,54)</f>
        <v>214214.1</v>
      </c>
      <c r="H59" s="949">
        <f>$G59*IFERROR(INDEX(Lists!$AD:$AD,MATCH($E59,Lists!$AC:$AC,0)),1)</f>
        <v>214214.1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Mapping'!$B:$B,66)</f>
        <v>Tuan Edwards</v>
      </c>
      <c r="C60" s="634" t="str">
        <f>INDEX('REVIEW - Complete Role Mapping'!$C:$C,66)</f>
        <v>Field Systems Operations Lead - QLD</v>
      </c>
      <c r="D60" s="612" t="str">
        <f>IF(ISNUMBER(SEARCH("vacant",$B60)),"Vacant","Filled")</f>
        <v>Filled</v>
      </c>
      <c r="E60" s="612" t="inlineStr">
        <is>
          <t>Filled</t>
        </is>
      </c>
      <c r="F60" s="634" t="str">
        <f>INDEX('REVIEW - Complete Role Mapping'!$AP:$AP,66)</f>
        <v>Store Operations</v>
      </c>
      <c r="G60" s="949">
        <f>INDEX('REVIEW - Complete Role Mapping'!$AA:$AA,66)</f>
        <v>202853.25</v>
      </c>
      <c r="H60" s="949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Mapping'!$B:$B,91)</f>
        <v>Vacant</v>
      </c>
      <c r="C61" s="634" t="str">
        <f>INDEX('REVIEW - Complete Role Mapping'!$C:$C,91)</f>
        <v>Support Analyst -Retail</v>
      </c>
      <c r="D61" s="612" t="str">
        <f>IF(ISNUMBER(SEARCH("vacant",$B61)),"Vacant","Filled")</f>
        <v>Vacant</v>
      </c>
      <c r="E61" s="612" t="inlineStr">
        <is>
          <t>Hold</t>
        </is>
      </c>
      <c r="F61" s="634" t="str">
        <f>INDEX('REVIEW - Complete Role Mapping'!$AP:$AP,91)</f>
        <v>Store Operations</v>
      </c>
      <c r="G61" s="949">
        <f>INDEX('REVIEW - Complete Role Mapping'!$AA:$AA,91)</f>
        <v>170501.585</v>
      </c>
      <c r="H61" s="949">
        <f>$G61*IFERROR(INDEX(Lists!$AD:$AD,MATCH($E61,Lists!$AC:$AC,0)),1)</f>
        <v>0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Mapping'!$B:$B,70)</f>
        <v>Vacant</v>
      </c>
      <c r="C62" s="634" t="str">
        <f>INDEX('REVIEW - Complete Role Mapping'!$C:$C,70)</f>
        <v>Data Analyst</v>
      </c>
      <c r="D62" s="612" t="str">
        <f>IF(ISNUMBER(SEARCH("vacant",$B62)),"Vacant","Filled")</f>
        <v>Vacant</v>
      </c>
      <c r="E62" s="612" t="inlineStr">
        <is>
          <t>Hold</t>
        </is>
      </c>
      <c r="F62" s="634" t="str">
        <f>INDEX('REVIEW - Complete Role Mapping'!$AP:$AP,70)</f>
        <v>Data AU</v>
      </c>
      <c r="G62" s="949">
        <f>INDEX('REVIEW - Complete Role Mapping'!$AA:$AA,70)</f>
        <v>201585</v>
      </c>
      <c r="H62" s="949">
        <f>$G62*IFERROR(INDEX(Lists!$AD:$AD,MATCH($E62,Lists!$AC:$AC,0)),1)</f>
        <v>0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Mapping'!$B:$B,71)</f>
        <v>Vacant</v>
      </c>
      <c r="C63" s="634" t="str">
        <f>INDEX('REVIEW - Complete Role Mapping'!$C:$C,71)</f>
        <v>Data Analyst</v>
      </c>
      <c r="D63" s="612" t="str">
        <f>IF(ISNUMBER(SEARCH("vacant",$B63)),"Vacant","Filled")</f>
        <v>Vacant</v>
      </c>
      <c r="E63" s="612" t="inlineStr">
        <is>
          <t>Hold</t>
        </is>
      </c>
      <c r="F63" s="634" t="str">
        <f>INDEX('REVIEW - Complete Role Mapping'!$AP:$AP,71)</f>
        <v>Data AU</v>
      </c>
      <c r="G63" s="949">
        <f>INDEX('REVIEW - Complete Role Mapping'!$AA:$AA,71)</f>
        <v>231689.25</v>
      </c>
      <c r="H63" s="949">
        <f>$G63*IFERROR(INDEX(Lists!$AD:$AD,MATCH($E63,Lists!$AC:$AC,0)),1)</f>
        <v>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Mapping'!$B:$B,72)</f>
        <v>Vacant</v>
      </c>
      <c r="C64" s="634" t="str">
        <f>INDEX('REVIEW - Complete Role Mapping'!$C:$C,72)</f>
        <v>Delivery Lead</v>
      </c>
      <c r="D64" s="612" t="str">
        <f>IF(ISNUMBER(SEARCH("vacant",$B64)),"Vacant","Filled")</f>
        <v>Vacant</v>
      </c>
      <c r="E64" s="612" t="inlineStr">
        <is>
          <t>Hold</t>
        </is>
      </c>
      <c r="F64" s="634" t="str">
        <f>INDEX('REVIEW - Complete Role Mapping'!$AP:$AP,72)</f>
        <v>Data AU</v>
      </c>
      <c r="G64" s="949">
        <f>INDEX('REVIEW - Complete Role Mapping'!$AA:$AA,72)</f>
        <v>202853.25</v>
      </c>
      <c r="H64" s="949">
        <f>$G64*IFERROR(INDEX(Lists!$AD:$AD,MATCH($E64,Lists!$AC:$AC,0)),1)</f>
        <v>0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Mapping'!$B:$B,75)</f>
        <v>Vacant</v>
      </c>
      <c r="C65" s="634" t="str">
        <f>INDEX('REVIEW - Complete Role Mapping'!$C:$C,75)</f>
        <v>Engineer - Data</v>
      </c>
      <c r="D65" s="612" t="str">
        <f>IF(ISNUMBER(SEARCH("vacant",$B65)),"Vacant","Filled")</f>
        <v>Vacant</v>
      </c>
      <c r="E65" s="612" t="inlineStr">
        <is>
          <t>Hold</t>
        </is>
      </c>
      <c r="F65" s="634" t="str">
        <f>INDEX('REVIEW - Complete Role Mapping'!$AP:$AP,75)</f>
        <v>Data AU</v>
      </c>
      <c r="G65" s="949">
        <f>INDEX('REVIEW - Complete Role Mapping'!$AA:$AA,75)</f>
        <v>202853.25</v>
      </c>
      <c r="H65" s="949">
        <f>$G65*IFERROR(INDEX(Lists!$AD:$AD,MATCH($E65,Lists!$AC:$AC,0)),1)</f>
        <v>0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Mapping'!$B:$B,76)</f>
        <v>Vacant</v>
      </c>
      <c r="C66" s="634" t="str">
        <f>INDEX('REVIEW - Complete Role Mapping'!$C:$C,76)</f>
        <v>Engineer - Data</v>
      </c>
      <c r="D66" s="612" t="str">
        <f>IF(ISNUMBER(SEARCH("vacant",$B66)),"Vacant","Filled")</f>
        <v>Vacant</v>
      </c>
      <c r="E66" s="612" t="inlineStr">
        <is>
          <t>Hold</t>
        </is>
      </c>
      <c r="F66" s="634" t="str">
        <f>INDEX('REVIEW - Complete Role Mapping'!$AP:$AP,76)</f>
        <v>Data AU</v>
      </c>
      <c r="G66" s="949">
        <f>INDEX('REVIEW - Complete Role Mapping'!$AA:$AA,76)</f>
        <v>202853.25</v>
      </c>
      <c r="H66" s="949">
        <f>$G66*IFERROR(INDEX(Lists!$AD:$AD,MATCH($E66,Lists!$AC:$AC,0)),1)</f>
        <v>0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Mapping'!$B:$B,77)</f>
        <v>Vacant</v>
      </c>
      <c r="C67" s="646" t="str">
        <f>INDEX('REVIEW - Complete Role Mapping'!$C:$C,77)</f>
        <v>Engineer - Data</v>
      </c>
      <c r="D67" s="646" t="str">
        <f>IF(ISNUMBER(SEARCH("vacant",$B67)),"Vacant","Filled")</f>
        <v>Vacant</v>
      </c>
      <c r="E67" s="646" t="inlineStr">
        <is>
          <t>Hold</t>
        </is>
      </c>
      <c r="F67" s="646" t="str">
        <f>INDEX('REVIEW - Complete Role Mapping'!$AP:$AP,77)</f>
        <v>Data AU</v>
      </c>
      <c r="G67" s="949">
        <f>INDEX('REVIEW - Complete Role Mapping'!$AA:$AA,77)</f>
        <v>170489.75</v>
      </c>
      <c r="H67" s="949">
        <f>$G67*IFERROR(INDEX(Lists!$AD:$AD,MATCH($E67,Lists!$AC:$AC,0)),1)</f>
        <v>0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Mapping'!$B:$B,4)</f>
        <v>Alex Prakhiy</v>
      </c>
      <c r="C68" s="634" t="str">
        <f>INDEX('REVIEW - Complete Role Mapping'!$C:$C,4)</f>
        <v>Business Analyst</v>
      </c>
      <c r="D68" s="612" t="str">
        <f>IF(ISNUMBER(SEARCH("vacant",$B68)),"Vacant","Filled")</f>
        <v>Filled</v>
      </c>
      <c r="E68" s="612" t="inlineStr">
        <is>
          <t>Filled</t>
        </is>
      </c>
      <c r="F68" s="634" t="str">
        <f>INDEX('REVIEW - Complete Role Mapping'!$AP:$AP,4)</f>
        <v>EGI Retail</v>
      </c>
      <c r="G68" s="949">
        <f>INDEX('REVIEW - Complete Role Mapping'!$AA:$AA,4)</f>
        <v>222000</v>
      </c>
      <c r="H68" s="949">
        <f>$G68*IFERROR(INDEX(Lists!$AD:$AD,MATCH($E68,Lists!$AC:$AC,0)),1)</f>
        <v>222000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Mapping'!$B:$B,10)</f>
        <v>Anne Pretorius</v>
      </c>
      <c r="C69" s="634" t="str">
        <f>INDEX('REVIEW - Complete Role Mapping'!$C:$C,10)</f>
        <v>Lead Business Analyst</v>
      </c>
      <c r="D69" s="612" t="str">
        <f>IF(ISNUMBER(SEARCH("vacant",$B69)),"Vacant","Filled")</f>
        <v>Filled</v>
      </c>
      <c r="E69" s="612" t="inlineStr">
        <is>
          <t>Filled</t>
        </is>
      </c>
      <c r="F69" s="634" t="str">
        <f>INDEX('REVIEW - Complete Role Mapping'!$AP:$AP,10)</f>
        <v>EGI Retail</v>
      </c>
      <c r="G69" s="949">
        <f>INDEX('REVIEW - Complete Role Mapping'!$AA:$AA,10)</f>
        <v>195610.164</v>
      </c>
      <c r="H69" s="949">
        <f>$G69*IFERROR(INDEX(Lists!$AD:$AD,MATCH($E69,Lists!$AC:$AC,0)),1)</f>
        <v>195610.164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Mapping'!$B:$B,47)</f>
        <v>Marty O'Shea</v>
      </c>
      <c r="C70" s="634" t="str">
        <f>INDEX('REVIEW - Complete Role Mapping'!$C:$C,47)</f>
        <v>Systems Analyst</v>
      </c>
      <c r="D70" s="612" t="str">
        <f>IF(ISNUMBER(SEARCH("vacant",$B70)),"Vacant","Filled")</f>
        <v>Filled</v>
      </c>
      <c r="E70" s="647" t="inlineStr">
        <is>
          <t>Filled</t>
        </is>
      </c>
      <c r="F70" s="648" t="str">
        <f>INDEX('REVIEW - Complete Role Mapping'!$AP:$AP,47)</f>
        <v>EGI Retail</v>
      </c>
      <c r="G70" s="949">
        <f>INDEX('REVIEW - Complete Role Mapping'!$AA:$AA,47)</f>
        <v>247161.9</v>
      </c>
      <c r="H70" s="949">
        <f>$G70*IFERROR(INDEX(Lists!$AD:$AD,MATCH($E70,Lists!$AC:$AC,0)),1)</f>
        <v>247161.9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Mapping'!$B:$B,52)</f>
        <v>Navneet Singh</v>
      </c>
      <c r="C71" s="634" t="str">
        <f>INDEX('REVIEW - Complete Role Mapping'!$C:$C,52)</f>
        <v>Solution Architect</v>
      </c>
      <c r="D71" s="612" t="str">
        <f>IF(ISNUMBER(SEARCH("vacant",$B71)),"Vacant","Filled")</f>
        <v>Filled</v>
      </c>
      <c r="E71" s="612" t="inlineStr">
        <is>
          <t>Filled</t>
        </is>
      </c>
      <c r="F71" s="634" t="str">
        <f>INDEX('REVIEW - Complete Role Mapping'!$AP:$AP,52)</f>
        <v>EGI Retail</v>
      </c>
      <c r="G71" s="949">
        <f>INDEX('REVIEW - Complete Role Mapping'!$AA:$AA,52)</f>
        <v>133500</v>
      </c>
      <c r="H71" s="949">
        <f>$G71*IFERROR(INDEX(Lists!$AD:$AD,MATCH($E71,Lists!$AC:$AC,0)),1)</f>
        <v>133500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Mapping'!$B:$B,60)</f>
        <v>Sendhil Vinayagam (75% EGI)</v>
      </c>
      <c r="C72" s="646" t="str">
        <f>INDEX('REVIEW - Complete Role Mapping'!$C:$C,60)</f>
        <v>Solution Architect</v>
      </c>
      <c r="D72" s="646" t="str">
        <f>IF(ISNUMBER(SEARCH("vacant",$B72)),"Vacant","Filled")</f>
        <v>Filled</v>
      </c>
      <c r="E72" s="646" t="inlineStr">
        <is>
          <t>Filled</t>
        </is>
      </c>
      <c r="F72" s="646" t="str">
        <f>INDEX('REVIEW - Complete Role Mapping'!$AP:$AP,60)</f>
        <v>EGI Retail</v>
      </c>
      <c r="G72" s="949">
        <f>INDEX('REVIEW - Complete Role Mapping'!$AA:$AA,60)</f>
        <v>267547.35</v>
      </c>
      <c r="H72" s="949">
        <f>$G72*IFERROR(INDEX(Lists!$AD:$AD,MATCH($E72,Lists!$AC:$AC,0)),1)</f>
        <v>267547.35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Mapping'!$B:$B,61)</f>
        <v>Sjoerd Van Sluijs</v>
      </c>
      <c r="C73" s="634" t="str">
        <f>INDEX('REVIEW - Complete Role Mapping'!$C:$C,61)</f>
        <v>Senior PM PEP1, PEP18</v>
      </c>
      <c r="D73" s="612" t="str">
        <f>IF(ISNUMBER(SEARCH("vacant",$B73)),"Vacant","Filled")</f>
        <v>Filled</v>
      </c>
      <c r="E73" s="612" t="inlineStr">
        <is>
          <t>Filled</t>
        </is>
      </c>
      <c r="F73" s="634" t="str">
        <f>INDEX('REVIEW - Complete Role Mapping'!$AP:$AP,61)</f>
        <v>EGI Retail</v>
      </c>
      <c r="G73" s="949">
        <f>INDEX('REVIEW - Complete Role Mapping'!$AA:$AA,61)</f>
        <v>155538.2</v>
      </c>
      <c r="H73" s="949">
        <f>$G73*IFERROR(INDEX(Lists!$AD:$AD,MATCH($E73,Lists!$AC:$AC,0)),1)</f>
        <v>155538.2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Mapping'!$B:$B,3)</f>
        <v>Adrian Lueng</v>
      </c>
      <c r="C74" s="634" t="str">
        <f>INDEX('REVIEW - Complete Role Mapping'!$C:$C,3)</f>
        <v>Quality Assurance</v>
      </c>
      <c r="D74" s="612" t="str">
        <f>IF(ISNUMBER(SEARCH("vacant",$B74)),"Vacant","Filled")</f>
        <v>Filled</v>
      </c>
      <c r="E74" s="612" t="inlineStr">
        <is>
          <t>Filled</t>
        </is>
      </c>
      <c r="F74" s="634" t="str">
        <f>INDEX('REVIEW - Complete Role Mapping'!$AP:$AP,3)</f>
        <v>Network &amp; QSR</v>
      </c>
      <c r="G74" s="949">
        <f>INDEX('REVIEW - Complete Role Mapping'!$AA:$AA,3)</f>
        <v>157839.45</v>
      </c>
      <c r="H74" s="949">
        <f>$G74*IFERROR(INDEX(Lists!$AD:$AD,MATCH($E74,Lists!$AC:$AC,0)),1)</f>
        <v>157839.45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Mapping'!$B:$B,32)</f>
        <v>Javier Aguirre Castellanos</v>
      </c>
      <c r="C75" s="634" t="str">
        <f>INDEX('REVIEW - Complete Role Mapping'!$C:$C,32)</f>
        <v>Solution Architect</v>
      </c>
      <c r="D75" s="612" t="str">
        <f>IF(ISNUMBER(SEARCH("vacant",$B75)),"Vacant","Filled")</f>
        <v>Filled</v>
      </c>
      <c r="E75" s="612" t="inlineStr">
        <is>
          <t>Filled</t>
        </is>
      </c>
      <c r="F75" s="634" t="str">
        <f>INDEX('REVIEW - Complete Role Mapping'!$AP:$AP,32)</f>
        <v>Network &amp; QSR</v>
      </c>
      <c r="G75" s="949">
        <f>INDEX('REVIEW - Complete Role Mapping'!$AA:$AA,32)</f>
        <v>133044</v>
      </c>
      <c r="H75" s="949">
        <f>$G75*IFERROR(INDEX(Lists!$AD:$AD,MATCH($E75,Lists!$AC:$AC,0)),1)</f>
        <v>133044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Mapping'!$B:$B,57)</f>
        <v>Santiago Hernandez Arevalo</v>
      </c>
      <c r="C76" s="634" t="str">
        <f>INDEX('REVIEW - Complete Role Mapping'!$C:$C,57)</f>
        <v>Systems Analyst</v>
      </c>
      <c r="D76" s="612" t="str">
        <f>IF(ISNUMBER(SEARCH("vacant",$B76)),"Vacant","Filled")</f>
        <v>Filled</v>
      </c>
      <c r="E76" s="612" t="inlineStr">
        <is>
          <t>Filled</t>
        </is>
      </c>
      <c r="F76" s="634" t="str">
        <f>INDEX('REVIEW - Complete Role Mapping'!$AP:$AP,57)</f>
        <v>Network &amp; QSR</v>
      </c>
      <c r="G76" s="949">
        <f>INDEX('REVIEW - Complete Role Mapping'!$AA:$AA,57)</f>
        <v>206150.7</v>
      </c>
      <c r="H76" s="949">
        <f>$G76*IFERROR(INDEX(Lists!$AD:$AD,MATCH($E76,Lists!$AC:$AC,0)),1)</f>
        <v>206150.7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Mapping'!$B:$B,99)</f>
        <v>Vanessa Trujillo Munoz</v>
      </c>
      <c r="C77" s="634" t="str">
        <f>INDEX('REVIEW - Complete Role Mapping'!$C:$C,99)</f>
        <v>Delivery Lead</v>
      </c>
      <c r="D77" s="612" t="str">
        <f>IF(ISNUMBER(SEARCH("vacant",$B77)),"Vacant","Filled")</f>
        <v>Filled</v>
      </c>
      <c r="E77" s="647" t="inlineStr">
        <is>
          <t>Filled</t>
        </is>
      </c>
      <c r="F77" s="648" t="str">
        <f>INDEX('REVIEW - Complete Role Mapping'!$AP:$AP,99)</f>
        <v>Network &amp; QSR</v>
      </c>
      <c r="G77" s="949">
        <f>INDEX('REVIEW - Complete Role Mapping'!$AA:$AA,99)</f>
        <v>182454.45</v>
      </c>
      <c r="H77" s="949">
        <f>$G77*IFERROR(INDEX(Lists!$AD:$AD,MATCH($E77,Lists!$AC:$AC,0)),1)</f>
        <v>182454.45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Mapping'!$B:$B,68)</f>
        <v>Vacant</v>
      </c>
      <c r="C78" s="634" t="str">
        <f>INDEX('REVIEW - Complete Role Mapping'!$C:$C,68)</f>
        <v>Business Analyst</v>
      </c>
      <c r="D78" s="612" t="str">
        <f>IF(ISNUMBER(SEARCH("vacant",$B78)),"Vacant","Filled")</f>
        <v>Vacant</v>
      </c>
      <c r="E78" s="647" t="inlineStr">
        <is>
          <t>Hold</t>
        </is>
      </c>
      <c r="F78" s="648" t="str">
        <f>INDEX('REVIEW - Complete Role Mapping'!$AP:$AP,68)</f>
        <v>Network &amp; QSR</v>
      </c>
      <c r="G78" s="949">
        <f>INDEX('REVIEW - Complete Role Mapping'!$AA:$AA,68)</f>
        <v>202853.25</v>
      </c>
      <c r="H78" s="949">
        <f>$G78*IFERROR(INDEX(Lists!$AD:$AD,MATCH($E78,Lists!$AC:$AC,0)),1)</f>
        <v>0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Mapping'!$B:$B,93)</f>
        <v>Vacant</v>
      </c>
      <c r="C79" s="634" t="str">
        <f>INDEX('REVIEW - Complete Role Mapping'!$C:$C,93)</f>
        <v>Systems Analyst</v>
      </c>
      <c r="D79" s="612" t="str">
        <f>IF(ISNUMBER(SEARCH("vacant",$B79)),"Vacant","Filled")</f>
        <v>Vacant</v>
      </c>
      <c r="E79" s="647" t="inlineStr">
        <is>
          <t>Hold</t>
        </is>
      </c>
      <c r="F79" s="648" t="str">
        <f>INDEX('REVIEW - Complete Role Mapping'!$AP:$AP,93)</f>
        <v>Network &amp; QSR</v>
      </c>
      <c r="G79" s="949">
        <f>INDEX('REVIEW - Complete Role Mapping'!$AA:$AA,93)</f>
        <v>231689.25</v>
      </c>
      <c r="H79" s="949">
        <f>$G79*IFERROR(INDEX(Lists!$AD:$AD,MATCH($E79,Lists!$AC:$AC,0)),1)</f>
        <v>0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Mapping'!$B:$B,8)</f>
        <v>Aniket Banerji</v>
      </c>
      <c r="C80" s="634" t="str">
        <f>INDEX('REVIEW - Complete Role Mapping'!$C:$C,8)</f>
        <v>Deployment Lead</v>
      </c>
      <c r="D80" s="612" t="str">
        <f>IF(ISNUMBER(SEARCH("vacant",$B80)),"Vacant","Filled")</f>
        <v>Filled</v>
      </c>
      <c r="E80" s="647" t="inlineStr">
        <is>
          <t>Filled</t>
        </is>
      </c>
      <c r="F80" s="648" t="str">
        <f>INDEX('REVIEW - Complete Role Mapping'!$AP:$AP,8)</f>
        <v>Deployment</v>
      </c>
      <c r="G80" s="949">
        <f>INDEX('REVIEW - Complete Role Mapping'!$AA:$AA,8)</f>
        <v>200250</v>
      </c>
      <c r="H80" s="949">
        <f>$G80*IFERROR(INDEX(Lists!$AD:$AD,MATCH($E80,Lists!$AC:$AC,0)),1)</f>
        <v>200250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Mapping'!$B:$B,11)</f>
        <v>Anthony Dumbrell</v>
      </c>
      <c r="C81" s="634" t="str">
        <f>INDEX('REVIEW - Complete Role Mapping'!$C:$C,11)</f>
        <v>Technology &amp; Lab Specialist Stores</v>
      </c>
      <c r="D81" s="612" t="str">
        <f>IF(ISNUMBER(SEARCH("vacant",$B81)),"Vacant","Filled")</f>
        <v>Filled</v>
      </c>
      <c r="E81" s="612" t="inlineStr">
        <is>
          <t>Filled</t>
        </is>
      </c>
      <c r="F81" s="634" t="str">
        <f>INDEX('REVIEW - Complete Role Mapping'!$AP:$AP,11)</f>
        <v>Deployment</v>
      </c>
      <c r="G81" s="949">
        <f>INDEX('REVIEW - Complete Role Mapping'!$AA:$AA,11)</f>
        <v>206070.6</v>
      </c>
      <c r="H81" s="949">
        <f>$G81*IFERROR(INDEX(Lists!$AD:$AD,MATCH($E81,Lists!$AC:$AC,0)),1)</f>
        <v>206070.6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Mapping'!$B:$B,22)</f>
        <v>Deepak Kubendran</v>
      </c>
      <c r="C82" s="634" t="str">
        <f>INDEX('REVIEW - Complete Role Mapping'!$C:$C,22)</f>
        <v>Project Manager – Deployments</v>
      </c>
      <c r="D82" s="612" t="str">
        <f>IF(ISNUMBER(SEARCH("vacant",$B82)),"Vacant","Filled")</f>
        <v>Filled</v>
      </c>
      <c r="E82" s="612" t="inlineStr">
        <is>
          <t>Filled</t>
        </is>
      </c>
      <c r="F82" s="634" t="str">
        <f>INDEX('REVIEW - Complete Role Mapping'!$AP:$AP,22)</f>
        <v>Deployment</v>
      </c>
      <c r="G82" s="949">
        <f>INDEX('REVIEW - Complete Role Mapping'!$AA:$AA,22)</f>
        <v>205483.2</v>
      </c>
      <c r="H82" s="949">
        <f>$G82*IFERROR(INDEX(Lists!$AD:$AD,MATCH($E82,Lists!$AC:$AC,0)),1)</f>
        <v>205483.2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Mapping'!$B:$B,48)</f>
        <v>Matthew Patane</v>
      </c>
      <c r="C83" s="634" t="str">
        <f>INDEX('REVIEW - Complete Role Mapping'!$C:$C,48)</f>
        <v>Release &amp; Deployment Manager</v>
      </c>
      <c r="D83" s="612" t="str">
        <f>IF(ISNUMBER(SEARCH("vacant",$B83)),"Vacant","Filled")</f>
        <v>Filled</v>
      </c>
      <c r="E83" s="612" t="inlineStr">
        <is>
          <t>Filled</t>
        </is>
      </c>
      <c r="F83" s="634" t="str">
        <f>INDEX('REVIEW - Complete Role Mapping'!$AP:$AP,48)</f>
        <v>Deployment</v>
      </c>
      <c r="G83" s="949">
        <f>INDEX('REVIEW - Complete Role Mapping'!$AA:$AA,48)</f>
        <v>136461.432</v>
      </c>
      <c r="H83" s="949">
        <f>$G83*IFERROR(INDEX(Lists!$AD:$AD,MATCH($E83,Lists!$AC:$AC,0)),1)</f>
        <v>136461.432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Mapping'!$B:$B,103)</f>
        <v>Violeta Trajkovski</v>
      </c>
      <c r="C84" s="646" t="str">
        <f>INDEX('REVIEW - Complete Role Mapping'!$C:$C,103)</f>
        <v>Deployment Coordinator</v>
      </c>
      <c r="D84" s="646" t="str">
        <f>IF(ISNUMBER(SEARCH("vacant",$B84)),"Vacant","Filled")</f>
        <v>Filled</v>
      </c>
      <c r="E84" s="646" t="inlineStr">
        <is>
          <t>Filled</t>
        </is>
      </c>
      <c r="F84" s="646" t="str">
        <f>INDEX('REVIEW - Complete Role Mapping'!$AP:$AP,103)</f>
        <v>Deployment</v>
      </c>
      <c r="G84" s="949">
        <f>INDEX('REVIEW - Complete Role Mapping'!$AA:$AA,103)</f>
        <v>145570.5</v>
      </c>
      <c r="H84" s="949">
        <f>$G84*IFERROR(INDEX(Lists!$AD:$AD,MATCH($E84,Lists!$AC:$AC,0)),1)</f>
        <v>145570.5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Mapping'!$B:$B,14)</f>
        <v>Beenu Murali</v>
      </c>
      <c r="C85" s="634" t="str">
        <f>INDEX('REVIEW - Complete Role Mapping'!$C:$C,14)</f>
        <v>Quality Assurance</v>
      </c>
      <c r="D85" s="612" t="str">
        <f>IF(ISNUMBER(SEARCH("vacant",$B85)),"Vacant","Filled")</f>
        <v>Filled</v>
      </c>
      <c r="E85" s="647" t="inlineStr">
        <is>
          <t>Filled</t>
        </is>
      </c>
      <c r="F85" s="648" t="str">
        <f>INDEX('REVIEW - Complete Role Mapping'!$AP:$AP,14)</f>
        <v>Payments</v>
      </c>
      <c r="G85" s="949">
        <f>INDEX('REVIEW - Complete Role Mapping'!$AA:$AA,14)</f>
        <v>146083.35</v>
      </c>
      <c r="H85" s="949">
        <f>$G85*IFERROR(INDEX(Lists!$AD:$AD,MATCH($E85,Lists!$AC:$AC,0)),1)</f>
        <v>146083.35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Mapping'!$B:$B,59)</f>
        <v>Sayan Kar</v>
      </c>
      <c r="C86" s="634" t="str">
        <f>INDEX('REVIEW - Complete Role Mapping'!$C:$C,59)</f>
        <v>Systems Analyst</v>
      </c>
      <c r="D86" s="612" t="str">
        <f>IF(ISNUMBER(SEARCH("vacant",$B86)),"Vacant","Filled")</f>
        <v>Filled</v>
      </c>
      <c r="E86" s="647" t="inlineStr">
        <is>
          <t>Filled</t>
        </is>
      </c>
      <c r="F86" s="648" t="str">
        <f>INDEX('REVIEW - Complete Role Mapping'!$AP:$AP,59)</f>
        <v>Payments</v>
      </c>
      <c r="G86" s="949">
        <f>INDEX('REVIEW - Complete Role Mapping'!$AA:$AA,59)</f>
        <v>259243.65</v>
      </c>
      <c r="H86" s="949">
        <f>$G86*IFERROR(INDEX(Lists!$AD:$AD,MATCH($E86,Lists!$AC:$AC,0)),1)</f>
        <v>259243.65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Mapping'!$B:$B,101)</f>
        <v>Venkat Kedharanathan</v>
      </c>
      <c r="C87" s="634" t="str">
        <f>INDEX('REVIEW - Complete Role Mapping'!$C:$C,101)</f>
        <v>Senior Business Analyst</v>
      </c>
      <c r="D87" s="612" t="str">
        <f>IF(ISNUMBER(SEARCH("vacant",$B87)),"Vacant","Filled")</f>
        <v>Filled</v>
      </c>
      <c r="E87" s="647" t="inlineStr">
        <is>
          <t>Filled</t>
        </is>
      </c>
      <c r="F87" s="648" t="str">
        <f>INDEX('REVIEW - Complete Role Mapping'!$AP:$AP,101)</f>
        <v>Payments</v>
      </c>
      <c r="G87" s="949">
        <f>INDEX('REVIEW - Complete Role Mapping'!$AA:$AA,101)</f>
        <v>213600</v>
      </c>
      <c r="H87" s="949">
        <f>$G87*IFERROR(INDEX(Lists!$AD:$AD,MATCH($E87,Lists!$AC:$AC,0)),1)</f>
        <v>213600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Mapping'!$B:$B,94)</f>
        <v>Vacant</v>
      </c>
      <c r="C88" s="634" t="str">
        <f>INDEX('REVIEW - Complete Role Mapping'!$C:$C,94)</f>
        <v>Systems Analyst</v>
      </c>
      <c r="D88" s="612" t="str">
        <f>IF(ISNUMBER(SEARCH("vacant",$B88)),"Vacant","Filled")</f>
        <v>Vacant</v>
      </c>
      <c r="E88" s="647" t="inlineStr">
        <is>
          <t>Hold</t>
        </is>
      </c>
      <c r="F88" s="648" t="str">
        <f>INDEX('REVIEW - Complete Role Mapping'!$AP:$AP,94)</f>
        <v>Payments</v>
      </c>
      <c r="G88" s="949">
        <f>INDEX('REVIEW - Complete Role Mapping'!$AA:$AA,94)</f>
        <v>170501.585</v>
      </c>
      <c r="H88" s="949">
        <f>$G88*IFERROR(INDEX(Lists!$AD:$AD,MATCH($E88,Lists!$AC:$AC,0)),1)</f>
        <v>0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Mapping'!$B:$B,104)</f>
        <v>Viren Khatri</v>
      </c>
      <c r="C89" s="634" t="str">
        <f>INDEX('REVIEW - Complete Role Mapping'!$C:$C,104)</f>
        <v>Data Migration Lead</v>
      </c>
      <c r="D89" s="612" t="str">
        <f>IF(ISNUMBER(SEARCH("vacant",$B89)),"Vacant","Filled")</f>
        <v>Filled</v>
      </c>
      <c r="E89" s="647" t="inlineStr">
        <is>
          <t>Filled</t>
        </is>
      </c>
      <c r="F89" s="648" t="str">
        <f>INDEX('REVIEW - Complete Role Mapping'!$AP:$AP,104)</f>
        <v>EGI TDD</v>
      </c>
      <c r="G89" s="949">
        <f>INDEX('REVIEW - Complete Role Mapping'!$AA:$AA,104)</f>
        <v>299700</v>
      </c>
      <c r="H89" s="949">
        <f>$G89*IFERROR(INDEX(Lists!$AD:$AD,MATCH($E89,Lists!$AC:$AC,0)),1)</f>
        <v>299700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Mapping'!$B:$B,42)</f>
        <v>Madan Murthy</v>
      </c>
      <c r="C90" s="634" t="str">
        <f>INDEX('REVIEW - Complete Role Mapping'!$C:$C,42)</f>
        <v>Head of Technology, AU Retail</v>
      </c>
      <c r="D90" s="612" t="str">
        <f>IF(ISNUMBER(SEARCH("vacant",$B90)),"Vacant","Filled")</f>
        <v>Filled</v>
      </c>
      <c r="E90" s="647" t="inlineStr">
        <is>
          <t>Filled</t>
        </is>
      </c>
      <c r="F90" s="648" t="str">
        <f>INDEX('REVIEW - Complete Role Mapping'!$AP:$AP,42)</f>
        <v>Leadership</v>
      </c>
      <c r="G90" s="949">
        <f>INDEX('REVIEW - Complete Role Mapping'!$AA:$AA,42)</f>
        <v>186032.25</v>
      </c>
      <c r="H90" s="949">
        <f>$G90*IFERROR(INDEX(Lists!$AD:$AD,MATCH($E90,Lists!$AC:$AC,0)),1)</f>
        <v>186032.25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Mapping'!$B:$B,64)</f>
        <v>Tracy Lee Reaper</v>
      </c>
      <c r="C91" s="634" t="str">
        <f>INDEX('REVIEW - Complete Role Mapping'!$C:$C,64)</f>
        <v>Technology Manager, Merchandising &amp; WFM</v>
      </c>
      <c r="D91" s="612" t="str">
        <f>IF(ISNUMBER(SEARCH("vacant",$B91)),"Vacant","Filled")</f>
        <v>Filled</v>
      </c>
      <c r="E91" s="647" t="inlineStr">
        <is>
          <t>Filled</t>
        </is>
      </c>
      <c r="F91" s="648" t="str">
        <f>INDEX('REVIEW - Complete Role Mapping'!$AP:$AP,64)</f>
        <v>Leadership</v>
      </c>
      <c r="G91" s="949">
        <f>INDEX('REVIEW - Complete Role Mapping'!$AA:$AA,64)</f>
        <v>224341.488</v>
      </c>
      <c r="H91" s="949">
        <f>$G91*IFERROR(INDEX(Lists!$AD:$AD,MATCH($E91,Lists!$AC:$AC,0)),1)</f>
        <v>224341.488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Mapping'!$B:$B,96)</f>
        <v>Vaishnavi Viswanathan</v>
      </c>
      <c r="C92" s="634" t="str">
        <f>INDEX('REVIEW - Complete Role Mapping'!$C:$C,96)</f>
        <v>Technology Manager, Store Platform</v>
      </c>
      <c r="D92" s="612" t="str">
        <f>IF(ISNUMBER(SEARCH("vacant",$B92)),"Vacant","Filled")</f>
        <v>Filled</v>
      </c>
      <c r="E92" s="647" t="inlineStr">
        <is>
          <t>Filled</t>
        </is>
      </c>
      <c r="F92" s="648" t="str">
        <f>INDEX('REVIEW - Complete Role Mapping'!$AP:$AP,96)</f>
        <v>Leadership</v>
      </c>
      <c r="G92" s="949">
        <f>INDEX('REVIEW - Complete Role Mapping'!$AA:$AA,96)</f>
        <v>257754.875</v>
      </c>
      <c r="H92" s="949">
        <f>$G92*IFERROR(INDEX(Lists!$AD:$AD,MATCH($E92,Lists!$AC:$AC,0)),1)</f>
        <v>257754.875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Mapping'!$B:$B,97)</f>
        <v>Vanessa Allen</v>
      </c>
      <c r="C93" s="646" t="str">
        <f>INDEX('REVIEW - Complete Role Mapping'!$C:$C,97)</f>
        <v>Delivery Manager</v>
      </c>
      <c r="D93" s="646" t="str">
        <f>IF(ISNUMBER(SEARCH("vacant",$B93)),"Vacant","Filled")</f>
        <v>Filled</v>
      </c>
      <c r="E93" s="646" t="inlineStr">
        <is>
          <t>Filled</t>
        </is>
      </c>
      <c r="F93" s="646" t="str">
        <f>INDEX('REVIEW - Complete Role Mapping'!$AP:$AP,97)</f>
        <v>Leadership</v>
      </c>
      <c r="G93" s="949">
        <f>INDEX('REVIEW - Complete Role Mapping'!$AA:$AA,97)</f>
        <v>302937.35</v>
      </c>
      <c r="H93" s="949">
        <f>$G93*IFERROR(INDEX(Lists!$AD:$AD,MATCH($E93,Lists!$AC:$AC,0)),1)</f>
        <v>302937.35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Mapping'!$B:$B,100)</f>
        <v>Vedran Jukic</v>
      </c>
      <c r="C94" s="634" t="str">
        <f>INDEX('REVIEW - Complete Role Mapping'!$C:$C,100)</f>
        <v>Technology Manager, Retail</v>
      </c>
      <c r="D94" s="612" t="str">
        <f>IF(ISNUMBER(SEARCH("vacant",$B94)),"Vacant","Filled")</f>
        <v>Filled</v>
      </c>
      <c r="E94" s="647" t="inlineStr">
        <is>
          <t>Filled</t>
        </is>
      </c>
      <c r="F94" s="648" t="str">
        <f>INDEX('REVIEW - Complete Role Mapping'!$AP:$AP,100)</f>
        <v>Leadership</v>
      </c>
      <c r="G94" s="949">
        <f>INDEX('REVIEW - Complete Role Mapping'!$AA:$AA,100)</f>
        <v>284550</v>
      </c>
      <c r="H94" s="949">
        <f>$G94*IFERROR(INDEX(Lists!$AD:$AD,MATCH($E94,Lists!$AC:$AC,0)),1)</f>
        <v>284550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n"/>
      <c r="C95" s="634" t="n"/>
      <c r="D95" s="612" t="n"/>
      <c r="E95" s="647" t="n"/>
      <c r="F95" s="648" t="n"/>
      <c r="G95" s="949" t="n"/>
      <c r="H95" s="949" t="n"/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n"/>
      <c r="C96" s="634" t="n"/>
      <c r="D96" s="612" t="n"/>
      <c r="E96" s="647" t="n"/>
      <c r="F96" s="648" t="n"/>
      <c r="G96" s="949" t="n"/>
      <c r="H96" s="949" t="n"/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n"/>
      <c r="C97" s="634" t="n"/>
      <c r="D97" s="612" t="n"/>
      <c r="E97" s="647" t="n"/>
      <c r="F97" s="648" t="n"/>
      <c r="G97" s="949" t="n"/>
      <c r="H97" s="949" t="n"/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n"/>
      <c r="C98" s="634" t="n"/>
      <c r="D98" s="612" t="n"/>
      <c r="E98" s="647" t="n"/>
      <c r="F98" s="648" t="n"/>
      <c r="G98" s="949" t="n"/>
      <c r="H98" s="949" t="n"/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n"/>
      <c r="C99" s="634" t="n"/>
      <c r="D99" s="612" t="n"/>
      <c r="E99" s="647" t="n"/>
      <c r="F99" s="648" t="n"/>
      <c r="G99" s="949" t="n"/>
      <c r="H99" s="949" t="n"/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3:D106">
    <cfRule type="cellIs" priority="1" operator="equal" dxfId="1">
      <formula>"Vacant"</formula>
    </cfRule>
  </conditionalFormatting>
  <conditionalFormatting sqref="I6:I15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25:E94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0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211" t="inlineStr">
        <is>
          <t>Total cost after overhead ($m)</t>
        </is>
      </c>
      <c r="Q5" s="1211" t="inlineStr">
        <is>
          <t>New Variance ($m)</t>
        </is>
      </c>
      <c r="R5" s="1211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Ampol App</t>
        </is>
      </c>
      <c r="C6" s="635" t="str">
        <f>IFERROR(INDEX('1.2 Customer'!$C:$C,MATCH($S6,'1.2 Customer'!$B:$B,0)),"Outside archetype model")</f>
        <v>Product</v>
      </c>
      <c r="D6" s="1150">
        <f>IFERROR(INDEX('0.3 Squad Archetypes'!$F$5:$F$23,MATCH($C6&amp;"|"&amp;$R6,'0.3 Squad Archetypes'!$A$5:$A$23,0)),"-")</f>
        <v>12</v>
      </c>
      <c r="E6" s="1151">
        <f>COUNTIFS($F$26:$F$108,$B6)</f>
        <v>14</v>
      </c>
      <c r="F6" s="1151">
        <f>IFERROR($E6-$D6,"-")</f>
        <v>2</v>
      </c>
      <c r="G6" s="1151">
        <f>COUNTIFS($F$26:$F$108,$B6,$D$26:$D$108,"Vacant")</f>
        <v>0</v>
      </c>
      <c r="H6" s="1151">
        <f>COUNTIFS($F$26:$F$108,$B6,$D$26:$D$108,"Vacant",$E$26:$E$108,"Hire")+COUNTIFS($F$26:$F$108,$B6,$D$26:$D$108,"Vacant",$E$26:$E$108,"Offshore")</f>
        <v>0</v>
      </c>
      <c r="I6" s="1151">
        <f>$G6-$H6</f>
        <v>0</v>
      </c>
      <c r="J6" s="1151">
        <f>$E6-COUNTIFS($F$26:$F$108,$B6,$E$26:$E$108,"Hold")</f>
        <v>14</v>
      </c>
      <c r="K6" s="634" t="str">
        <f>IF(NOT(ISNUMBER($D6)),"Outside the archetype model",IF($J6&gt;$D6,"Over archetype after decisions",IF($J6&lt;$D6,"Under archetype","On archetype")))</f>
        <v>Over archetype after decisions</v>
      </c>
      <c r="L6" s="1152">
        <f>IFERROR(INDEX('0.3 Squad Archetypes'!$G$5:$G$23,MATCH($C6&amp;"|"&amp;$R6,'0.3 Squad Archetypes'!$A$5:$A$23,0)),"-")</f>
        <v>2.8</v>
      </c>
      <c r="M6" s="1153">
        <f>SUMIFS($G$26:$G$108,$F$26:$F$108,$B6)/1000000</f>
        <v>3.36059233</v>
      </c>
      <c r="N6" s="1153">
        <f>IFERROR($M6-$L6,"-")</f>
        <v>0.56059233</v>
      </c>
      <c r="O6" s="1153">
        <f>SUMIFS($H$26:$H$108,$F$26:$F$108,$B6)/1000000</f>
        <v>3.36059233</v>
      </c>
      <c r="P6" s="1153">
        <f>$O6+(Lists!$AG$4+Lists!$AG$5)*$E6/$E$18</f>
        <v>3.42131522156627</v>
      </c>
      <c r="Q6" s="1153">
        <f>IFERROR($P6-$L6,"-")</f>
        <v>0.621315221566265</v>
      </c>
      <c r="R6" s="635" t="str">
        <f>IFERROR(IF(INDEX('1.2 Customer'!$D:$D,MATCH($S6,'1.2 Customer'!$B:$B,0))="","-",INDEX('1.2 Customer'!$D:$D,MATCH($S6,'1.2 Customer'!$B:$B,0))),"-")</f>
        <v>L</v>
      </c>
      <c r="S6" t="str">
        <f>IFERROR(INDEX(Lists!$AA:$AA,MATCH($B6,Lists!$Z:$Z,0)),$B6)</f>
        <v>Ampol App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Z Loyalty &amp; Martech</t>
        </is>
      </c>
      <c r="C7" s="635" t="str">
        <f>IFERROR(INDEX('1.2 Customer'!$C:$C,MATCH($S7,'1.2 Customer'!$B:$B,0)),"Outside archetype model")</f>
        <v>Product</v>
      </c>
      <c r="D7" s="1150">
        <f>IFERROR(INDEX('0.3 Squad Archetypes'!$F$5:$F$23,MATCH($C7&amp;"|"&amp;$R7,'0.3 Squad Archetypes'!$A$5:$A$23,0)),"-")</f>
        <v>12</v>
      </c>
      <c r="E7" s="1151">
        <f>COUNTIFS($F$26:$F$108,$B7)</f>
        <v>13</v>
      </c>
      <c r="F7" s="1151">
        <f>IFERROR($E7-$D7,"-")</f>
        <v>1</v>
      </c>
      <c r="G7" s="1151">
        <f>COUNTIFS($F$26:$F$108,$B7,$D$26:$D$108,"Vacant")</f>
        <v>0</v>
      </c>
      <c r="H7" s="1151">
        <f>COUNTIFS($F$26:$F$108,$B7,$D$26:$D$108,"Vacant",$E$26:$E$108,"Hire")+COUNTIFS($F$26:$F$108,$B7,$D$26:$D$108,"Vacant",$E$26:$E$108,"Offshore")</f>
        <v>0</v>
      </c>
      <c r="I7" s="1151">
        <f>$G7-$H7</f>
        <v>0</v>
      </c>
      <c r="J7" s="1151">
        <f>$E7-COUNTIFS($F$26:$F$108,$B7,$E$26:$E$108,"Hold")</f>
        <v>13</v>
      </c>
      <c r="K7" s="634" t="str">
        <f>IF(NOT(ISNUMBER($D7)),"Outside the archetype model",IF($J7&gt;$D7,"Over archetype after decisions",IF($J7&lt;$D7,"Under archetype","On archetype")))</f>
        <v>Over archetype after decisions</v>
      </c>
      <c r="L7" s="1152">
        <f>IFERROR(INDEX('0.3 Squad Archetypes'!$G$5:$G$23,MATCH($C7&amp;"|"&amp;$R7,'0.3 Squad Archetypes'!$A$5:$A$23,0)),"-")</f>
        <v>2.8</v>
      </c>
      <c r="M7" s="1153">
        <f>SUMIFS($G$26:$G$108,$F$26:$F$108,$B7)/1000000</f>
        <v>2.768476772</v>
      </c>
      <c r="N7" s="1153">
        <f>IFERROR($M7-$L7,"-")</f>
        <v>-0.0315232279999997</v>
      </c>
      <c r="O7" s="1153">
        <f>SUMIFS($H$26:$H$108,$F$26:$F$108,$B7)/1000000</f>
        <v>2.768476772</v>
      </c>
      <c r="P7" s="1153">
        <f>$O7+(Lists!$AG$4+Lists!$AG$5)*$E7/$E$18</f>
        <v>2.82486231416867</v>
      </c>
      <c r="Q7" s="1153">
        <f>IFERROR($P7-$L7,"-")</f>
        <v>0.0248623141686748</v>
      </c>
      <c r="R7" s="635" t="str">
        <f>IFERROR(IF(INDEX('1.2 Customer'!$D:$D,MATCH($S7,'1.2 Customer'!$B:$B,0))="","-",INDEX('1.2 Customer'!$D:$D,MATCH($S7,'1.2 Customer'!$B:$B,0))),"-")</f>
        <v>L</v>
      </c>
      <c r="S7" t="str">
        <f>IFERROR(INDEX(Lists!$AA:$AA,MATCH($B7,Lists!$Z:$Z,0)),$B7)</f>
        <v>Z Energy Martech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EGI Customer</t>
        </is>
      </c>
      <c r="C8" s="635" t="str">
        <f>IFERROR(INDEX('1.2 Customer'!$C:$C,MATCH($S8,'1.2 Customer'!$B:$B,0)),"Outside archetype model")</f>
        <v>Strategic Programs</v>
      </c>
      <c r="D8" s="1150" t="str">
        <f>IFERROR(INDEX('0.3 Squad Archetypes'!$F$5:$F$23,MATCH($C8&amp;"|"&amp;$R8,'0.3 Squad Archetypes'!$A$5:$A$23,0)),"-")</f>
        <v>-</v>
      </c>
      <c r="E8" s="1151">
        <f>COUNTIFS($F$26:$F$108,$B8)</f>
        <v>10</v>
      </c>
      <c r="F8" s="1151" t="str">
        <f>IFERROR($E8-$D8,"-")</f>
        <v>-</v>
      </c>
      <c r="G8" s="1151">
        <f>COUNTIFS($F$26:$F$108,$B8,$D$26:$D$108,"Vacant")</f>
        <v>0</v>
      </c>
      <c r="H8" s="1151">
        <f>COUNTIFS($F$26:$F$108,$B8,$D$26:$D$108,"Vacant",$E$26:$E$108,"Hire")+COUNTIFS($F$26:$F$108,$B8,$D$26:$D$108,"Vacant",$E$26:$E$108,"Offshore")</f>
        <v>0</v>
      </c>
      <c r="I8" s="1151">
        <f>$G8-$H8</f>
        <v>0</v>
      </c>
      <c r="J8" s="1151">
        <f>$E8-COUNTIFS($F$26:$F$108,$B8,$E$26:$E$108,"Hold")</f>
        <v>10</v>
      </c>
      <c r="K8" s="634" t="str">
        <f>IF(NOT(ISNUMBER($D8)),"Outside the archetype model",IF($J8&gt;$D8,"Over archetype after decisions",IF($J8&lt;$D8,"Under archetype","On archetype")))</f>
        <v>Outside the archetype model</v>
      </c>
      <c r="L8" s="1152" t="str">
        <f>IFERROR(INDEX('0.3 Squad Archetypes'!$G$5:$G$23,MATCH($C8&amp;"|"&amp;$R8,'0.3 Squad Archetypes'!$A$5:$A$23,0)),"-")</f>
        <v>-</v>
      </c>
      <c r="M8" s="1153">
        <f>SUMIFS($G$26:$G$108,$F$26:$F$108,$B8)/1000000</f>
        <v>2.208135308</v>
      </c>
      <c r="N8" s="1153" t="str">
        <f>IFERROR($M8-$L8,"-")</f>
        <v>-</v>
      </c>
      <c r="O8" s="1153">
        <f>SUMIFS($H$26:$H$108,$F$26:$F$108,$B8)/1000000</f>
        <v>2.208135308</v>
      </c>
      <c r="P8" s="1153">
        <f>$O8+(Lists!$AG$4+Lists!$AG$5)*$E8/$E$18</f>
        <v>2.2515088019759</v>
      </c>
      <c r="Q8" s="1153" t="str">
        <f>IFERROR($P8-$L8,"-")</f>
        <v>-</v>
      </c>
      <c r="R8" s="635" t="str">
        <f>IFERROR(IF(INDEX('1.2 Customer'!$D:$D,MATCH($S8,'1.2 Customer'!$B:$B,0))="","-",INDEX('1.2 Customer'!$D:$D,MATCH($S8,'1.2 Customer'!$B:$B,0))),"-")</f>
        <v>-</v>
      </c>
      <c r="S8" t="str">
        <f>IFERROR(INDEX(Lists!$AA:$AA,MATCH($B8,Lists!$Z:$Z,0)),$B8)</f>
        <v>EGI Customer</v>
      </c>
      <c r="T8" t="str">
        <f>IF($B8="Leadership","Shared role - compared to the allowance",IF($C8="Strategic Programs","Strategic Programs - no rate in 0.3 (TBC)",IF(NOT(ISNUMBER($D8)),"No archetype for this squad","Archetype applies")))</f>
        <v>Strategic Programs - no rate in 0.3 (TBC)</v>
      </c>
    </row>
    <row r="9">
      <c r="A9" s="949" t="n"/>
      <c r="B9" s="640" t="inlineStr">
        <is>
          <t>Ampol Web</t>
        </is>
      </c>
      <c r="C9" s="635" t="str">
        <f>IFERROR(INDEX('1.2 Customer'!$C:$C,MATCH($S9,'1.2 Customer'!$B:$B,0)),"Outside archetype model")</f>
        <v>Product</v>
      </c>
      <c r="D9" s="1150">
        <f>IFERROR(INDEX('0.3 Squad Archetypes'!$F$5:$F$23,MATCH($C9&amp;"|"&amp;$R9,'0.3 Squad Archetypes'!$A$5:$A$23,0)),"-")</f>
        <v>8.5</v>
      </c>
      <c r="E9" s="1151">
        <f>COUNTIFS($F$26:$F$108,$B9)</f>
        <v>8</v>
      </c>
      <c r="F9" s="1151">
        <f>IFERROR($E9-$D9,"-")</f>
        <v>-0.5</v>
      </c>
      <c r="G9" s="1151">
        <f>COUNTIFS($F$26:$F$108,$B9,$D$26:$D$108,"Vacant")</f>
        <v>0</v>
      </c>
      <c r="H9" s="1151">
        <f>COUNTIFS($F$26:$F$108,$B9,$D$26:$D$108,"Vacant",$E$26:$E$108,"Hire")+COUNTIFS($F$26:$F$108,$B9,$D$26:$D$108,"Vacant",$E$26:$E$108,"Offshore")</f>
        <v>0</v>
      </c>
      <c r="I9" s="1151">
        <f>$G9-$H9</f>
        <v>0</v>
      </c>
      <c r="J9" s="1151">
        <f>$E9-COUNTIFS($F$26:$F$108,$B9,$E$26:$E$108,"Hold")</f>
        <v>8</v>
      </c>
      <c r="K9" s="634" t="str">
        <f>IF(NOT(ISNUMBER($D9)),"Outside the archetype model",IF($J9&gt;$D9,"Over archetype after decisions",IF($J9&lt;$D9,"Under archetype","On archetype")))</f>
        <v>Under archetype</v>
      </c>
      <c r="L9" s="1152">
        <f>IFERROR(INDEX('0.3 Squad Archetypes'!$G$5:$G$23,MATCH($C9&amp;"|"&amp;$R9,'0.3 Squad Archetypes'!$A$5:$A$23,0)),"-")</f>
        <v>1.9</v>
      </c>
      <c r="M9" s="1153">
        <f>SUMIFS($G$26:$G$108,$F$26:$F$108,$B9)/1000000</f>
        <v>1.59122945</v>
      </c>
      <c r="N9" s="1153">
        <f>IFERROR($M9-$L9,"-")</f>
        <v>-0.30877055</v>
      </c>
      <c r="O9" s="1153">
        <f>SUMIFS($H$26:$H$108,$F$26:$F$108,$B9)/1000000</f>
        <v>1.59122945</v>
      </c>
      <c r="P9" s="1153">
        <f>$O9+(Lists!$AG$4+Lists!$AG$5)*$E9/$E$18</f>
        <v>1.62592824518072</v>
      </c>
      <c r="Q9" s="1153">
        <f>IFERROR($P9-$L9,"-")</f>
        <v>-0.274071754819277</v>
      </c>
      <c r="R9" s="635" t="str">
        <f>IFERROR(IF(INDEX('1.2 Customer'!$D:$D,MATCH($S9,'1.2 Customer'!$B:$B,0))="","-",INDEX('1.2 Customer'!$D:$D,MATCH($S9,'1.2 Customer'!$B:$B,0))),"-")</f>
        <v>M</v>
      </c>
      <c r="S9" t="str">
        <f>IFERROR(INDEX(Lists!$AA:$AA,MATCH($B9,Lists!$Z:$Z,0)),$B9)</f>
        <v>Ampol Web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Ampol Loyalty &amp; Martech</t>
        </is>
      </c>
      <c r="C10" s="635" t="str">
        <f>IFERROR(INDEX('1.2 Customer'!$C:$C,MATCH($S10,'1.2 Customer'!$B:$B,0)),"Outside archetype model")</f>
        <v>Product</v>
      </c>
      <c r="D10" s="1150">
        <f>IFERROR(INDEX('0.3 Squad Archetypes'!$F$5:$F$23,MATCH($C10&amp;"|"&amp;$R10,'0.3 Squad Archetypes'!$A$5:$A$23,0)),"-")</f>
        <v>8.5</v>
      </c>
      <c r="E10" s="1151">
        <f>COUNTIFS($F$26:$F$108,$B10)</f>
        <v>7</v>
      </c>
      <c r="F10" s="1151">
        <f>IFERROR($E10-$D10,"-")</f>
        <v>-1.5</v>
      </c>
      <c r="G10" s="1151">
        <f>COUNTIFS($F$26:$F$108,$B10,$D$26:$D$108,"Vacant")</f>
        <v>4</v>
      </c>
      <c r="H10" s="1151">
        <f>COUNTIFS($F$26:$F$108,$B10,$D$26:$D$108,"Vacant",$E$26:$E$108,"Hire")+COUNTIFS($F$26:$F$108,$B10,$D$26:$D$108,"Vacant",$E$26:$E$108,"Offshore")</f>
        <v>0</v>
      </c>
      <c r="I10" s="1151">
        <f>$G10-$H10</f>
        <v>4</v>
      </c>
      <c r="J10" s="1151">
        <f>$E10-COUNTIFS($F$26:$F$108,$B10,$E$26:$E$108,"Hold")</f>
        <v>3</v>
      </c>
      <c r="K10" s="634" t="str">
        <f>IF(NOT(ISNUMBER($D10)),"Outside the archetype model",IF($J10&gt;$D10,"Over archetype after decisions",IF($J10&lt;$D10,"Under archetype","On archetype")))</f>
        <v>Under archetype</v>
      </c>
      <c r="L10" s="1152">
        <f>IFERROR(INDEX('0.3 Squad Archetypes'!$G$5:$G$23,MATCH($C10&amp;"|"&amp;$R10,'0.3 Squad Archetypes'!$A$5:$A$23,0)),"-")</f>
        <v>1.9</v>
      </c>
      <c r="M10" s="1153">
        <f>SUMIFS($G$26:$G$108,$F$26:$F$108,$B10)/1000000</f>
        <v>1.08729156</v>
      </c>
      <c r="N10" s="1153">
        <f>IFERROR($M10-$L10,"-")</f>
        <v>-0.81270844</v>
      </c>
      <c r="O10" s="1153">
        <f>SUMIFS($H$26:$H$108,$F$26:$F$108,$B10)/1000000</f>
        <v>0.6059565</v>
      </c>
      <c r="P10" s="1153">
        <f>$O10+(Lists!$AG$4+Lists!$AG$5)*$E10/$E$18</f>
        <v>0.636317945783133</v>
      </c>
      <c r="Q10" s="1153">
        <f>IFERROR($P10-$L10,"-")</f>
        <v>-1.26368205421687</v>
      </c>
      <c r="R10" s="635" t="str">
        <f>IFERROR(IF(INDEX('1.2 Customer'!$D:$D,MATCH($S10,'1.2 Customer'!$B:$B,0))="","-",INDEX('1.2 Customer'!$D:$D,MATCH($S10,'1.2 Customer'!$B:$B,0))),"-")</f>
        <v>M</v>
      </c>
      <c r="S10" t="str">
        <f>IFERROR(INDEX(Lists!$AA:$AA,MATCH($B10,Lists!$Z:$Z,0)),$B10)</f>
        <v>AU CRM &amp; Martech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Archetype applies</v>
      </c>
    </row>
    <row r="11">
      <c r="A11" s="949" t="n"/>
      <c r="B11" s="640" t="inlineStr">
        <is>
          <t>Digital Operations</t>
        </is>
      </c>
      <c r="C11" s="635" t="str">
        <f>IFERROR(INDEX('1.2 Customer'!$C:$C,MATCH($S11,'1.2 Customer'!$B:$B,0)),"Outside archetype model")</f>
        <v>Operations</v>
      </c>
      <c r="D11" s="1150">
        <f>IFERROR(INDEX('0.3 Squad Archetypes'!$F$5:$F$23,MATCH($C11&amp;"|"&amp;$R11,'0.3 Squad Archetypes'!$A$5:$A$23,0)),"-")</f>
        <v>6</v>
      </c>
      <c r="E11" s="1151">
        <f>COUNTIFS($F$26:$F$108,$B11)</f>
        <v>7</v>
      </c>
      <c r="F11" s="1151">
        <f>IFERROR($E11-$D11,"-")</f>
        <v>1</v>
      </c>
      <c r="G11" s="1151">
        <f>COUNTIFS($F$26:$F$108,$B11,$D$26:$D$108,"Vacant")</f>
        <v>3</v>
      </c>
      <c r="H11" s="1151">
        <f>COUNTIFS($F$26:$F$108,$B11,$D$26:$D$108,"Vacant",$E$26:$E$108,"Hire")+COUNTIFS($F$26:$F$108,$B11,$D$26:$D$108,"Vacant",$E$26:$E$108,"Offshore")</f>
        <v>0</v>
      </c>
      <c r="I11" s="1151">
        <f>$G11-$H11</f>
        <v>3</v>
      </c>
      <c r="J11" s="1151">
        <f>$E11-COUNTIFS($F$26:$F$108,$B11,$E$26:$E$108,"Hold")</f>
        <v>4</v>
      </c>
      <c r="K11" s="634" t="str">
        <f>IF(NOT(ISNUMBER($D11)),"Outside the archetype model",IF($J11&gt;$D11,"Over archetype after decisions",IF($J11&lt;$D11,"Under archetype","On archetype")))</f>
        <v>Under archetype</v>
      </c>
      <c r="L11" s="1152">
        <f>IFERROR(INDEX('0.3 Squad Archetypes'!$G$5:$G$23,MATCH($C11&amp;"|"&amp;$R11,'0.3 Squad Archetypes'!$A$5:$A$23,0)),"-")</f>
        <v>1.4</v>
      </c>
      <c r="M11" s="1153">
        <f>SUMIFS($G$26:$G$108,$F$26:$F$108,$B11)/1000000</f>
        <v>1.303645928</v>
      </c>
      <c r="N11" s="1153">
        <f>IFERROR($M11-$L11,"-")</f>
        <v>-0.0963540719999998</v>
      </c>
      <c r="O11" s="1153">
        <f>SUMIFS($H$26:$H$108,$F$26:$F$108,$B11)/1000000</f>
        <v>0.897842088</v>
      </c>
      <c r="P11" s="1153">
        <f>$O11+(Lists!$AG$4+Lists!$AG$5)*$E11/$E$18</f>
        <v>0.928203533783133</v>
      </c>
      <c r="Q11" s="1153">
        <f>IFERROR($P11-$L11,"-")</f>
        <v>-0.471796466216867</v>
      </c>
      <c r="R11" s="635" t="str">
        <f>IFERROR(IF(INDEX('1.2 Customer'!$D:$D,MATCH($S11,'1.2 Customer'!$B:$B,0))="","-",INDEX('1.2 Customer'!$D:$D,MATCH($S11,'1.2 Customer'!$B:$B,0))),"-")</f>
        <v>M</v>
      </c>
      <c r="S11" t="str">
        <f>IFERROR(INDEX(Lists!$AA:$AA,MATCH($B11,Lists!$Z:$Z,0)),$B11)</f>
        <v>Digital Operations</v>
      </c>
      <c r="T11" t="str">
        <f>IF($B11="Leadership","Shared role - compared to the allowance",IF($C11="Strategic Programs","Strategic Programs - no rate in 0.3 (TBC)",IF(NOT(ISNUMBER($D11)),"No archetype for this squad","Archetype applies")))</f>
        <v>Archetype applies</v>
      </c>
    </row>
    <row r="12">
      <c r="A12" s="949" t="n"/>
      <c r="B12" s="634" t="inlineStr">
        <is>
          <t>Z App and Web</t>
        </is>
      </c>
      <c r="C12" s="635" t="str">
        <f>IFERROR(INDEX('1.2 Customer'!$C:$C,MATCH($S12,'1.2 Customer'!$B:$B,0)),"Outside archetype model")</f>
        <v>Product</v>
      </c>
      <c r="D12" s="1150">
        <f>IFERROR(INDEX('0.3 Squad Archetypes'!$F$5:$F$23,MATCH($C12&amp;"|"&amp;$R12,'0.3 Squad Archetypes'!$A$5:$A$23,0)),"-")</f>
        <v>5.5</v>
      </c>
      <c r="E12" s="1151">
        <f>COUNTIFS($F$26:$F$108,$B12)</f>
        <v>5</v>
      </c>
      <c r="F12" s="1151">
        <f>IFERROR($E12-$D12,"-")</f>
        <v>-0.5</v>
      </c>
      <c r="G12" s="1151">
        <f>COUNTIFS($F$26:$F$108,$B12,$D$26:$D$108,"Vacant")</f>
        <v>0</v>
      </c>
      <c r="H12" s="1151">
        <f>COUNTIFS($F$26:$F$108,$B12,$D$26:$D$108,"Vacant",$E$26:$E$108,"Hire")+COUNTIFS($F$26:$F$108,$B12,$D$26:$D$108,"Vacant",$E$26:$E$108,"Offshore")</f>
        <v>0</v>
      </c>
      <c r="I12" s="1151">
        <f>$G12-$H12</f>
        <v>0</v>
      </c>
      <c r="J12" s="1151">
        <f>$E12-COUNTIFS($F$26:$F$108,$B12,$E$26:$E$108,"Hold")</f>
        <v>5</v>
      </c>
      <c r="K12" s="634" t="str">
        <f>IF(NOT(ISNUMBER($D12)),"Outside the archetype model",IF($J12&gt;$D12,"Over archetype after decisions",IF($J12&lt;$D12,"Under archetype","On archetype")))</f>
        <v>Under archetype</v>
      </c>
      <c r="L12" s="1152">
        <f>IFERROR(INDEX('0.3 Squad Archetypes'!$G$5:$G$23,MATCH($C12&amp;"|"&amp;$R12,'0.3 Squad Archetypes'!$A$5:$A$23,0)),"-")</f>
        <v>1.3</v>
      </c>
      <c r="M12" s="1153">
        <f>SUMIFS($G$26:$G$108,$F$26:$F$108,$B12)/1000000</f>
        <v>1.223286048</v>
      </c>
      <c r="N12" s="1153">
        <f>IFERROR($M12-$L12,"-")</f>
        <v>-0.0767139520000002</v>
      </c>
      <c r="O12" s="1153">
        <f>SUMIFS($H$26:$H$108,$F$26:$F$108,$B12)/1000000</f>
        <v>1.223286048</v>
      </c>
      <c r="P12" s="1153">
        <f>$O12+(Lists!$AG$4+Lists!$AG$5)*$E12/$E$18</f>
        <v>1.24497279498795</v>
      </c>
      <c r="Q12" s="1153">
        <f>IFERROR($P12-$L12,"-")</f>
        <v>-0.0550272050120484</v>
      </c>
      <c r="R12" s="635" t="str">
        <f>IFERROR(IF(INDEX('1.2 Customer'!$D:$D,MATCH($S12,'1.2 Customer'!$B:$B,0))="","-",INDEX('1.2 Customer'!$D:$D,MATCH($S12,'1.2 Customer'!$B:$B,0))),"-")</f>
        <v>S</v>
      </c>
      <c r="S12" t="str">
        <f>IFERROR(INDEX(Lists!$AA:$AA,MATCH($B12,Lists!$Z:$Z,0)),$B12)</f>
        <v>Z Energy Apps</v>
      </c>
      <c r="T12" t="str">
        <f>IF($B12="Leadership","Shared role - compared to the allowance",IF($C12="Strategic Programs","Strategic Programs - no rate in 0.3 (TBC)",IF(NOT(ISNUMBER($D12)),"No archetype for this squad","Archetype applies")))</f>
        <v>Archetype applies</v>
      </c>
    </row>
    <row r="13">
      <c r="A13" s="949" t="n"/>
      <c r="B13" s="640" t="inlineStr">
        <is>
          <t>AU CRM &amp; Martech</t>
        </is>
      </c>
      <c r="C13" s="635" t="str">
        <f>IFERROR(INDEX('1.2 Customer'!$C:$C,MATCH($S13,'1.2 Customer'!$B:$B,0)),"Outside archetype model")</f>
        <v>Product</v>
      </c>
      <c r="D13" s="1150">
        <f>IFERROR(INDEX('0.3 Squad Archetypes'!$F$5:$F$23,MATCH($C13&amp;"|"&amp;$R13,'0.3 Squad Archetypes'!$A$5:$A$23,0)),"-")</f>
        <v>8.5</v>
      </c>
      <c r="E13" s="1151">
        <f>COUNTIFS($F$26:$F$108,$B13)</f>
        <v>2</v>
      </c>
      <c r="F13" s="1151">
        <f>IFERROR($E13-$D13,"-")</f>
        <v>-6.5</v>
      </c>
      <c r="G13" s="1151">
        <f>COUNTIFS($F$26:$F$108,$B13,$D$26:$D$108,"Vacant")</f>
        <v>2</v>
      </c>
      <c r="H13" s="1151">
        <f>COUNTIFS($F$26:$F$108,$B13,$D$26:$D$108,"Vacant",$E$26:$E$108,"Hire")+COUNTIFS($F$26:$F$108,$B13,$D$26:$D$108,"Vacant",$E$26:$E$108,"Offshore")</f>
        <v>0</v>
      </c>
      <c r="I13" s="1151">
        <f>$G13-$H13</f>
        <v>2</v>
      </c>
      <c r="J13" s="1151">
        <f>$E13-COUNTIFS($F$26:$F$108,$B13,$E$26:$E$108,"Hold")</f>
        <v>0</v>
      </c>
      <c r="K13" s="634" t="str">
        <f>IF(NOT(ISNUMBER($D13)),"Outside the archetype model",IF($J13&gt;$D13,"Over archetype after decisions",IF($J13&lt;$D13,"Under archetype","On archetype")))</f>
        <v>Under archetype</v>
      </c>
      <c r="L13" s="1152">
        <f>IFERROR(INDEX('0.3 Squad Archetypes'!$G$5:$G$23,MATCH($C13&amp;"|"&amp;$R13,'0.3 Squad Archetypes'!$A$5:$A$23,0)),"-")</f>
        <v>1.9</v>
      </c>
      <c r="M13" s="1153">
        <f>SUMIFS($G$26:$G$108,$F$26:$F$108,$B13)/1000000</f>
        <v>0.243934428</v>
      </c>
      <c r="N13" s="1153">
        <f>IFERROR($M13-$L13,"-")</f>
        <v>-1.656065572</v>
      </c>
      <c r="O13" s="1153">
        <f>SUMIFS($H$26:$H$108,$F$26:$F$108,$B13)/1000000</f>
        <v>0</v>
      </c>
      <c r="P13" s="1153">
        <f>$O13+(Lists!$AG$4+Lists!$AG$5)*$E13/$E$18</f>
        <v>0.00867469879518072</v>
      </c>
      <c r="Q13" s="1153">
        <f>IFERROR($P13-$L13,"-")</f>
        <v>-1.89132530120482</v>
      </c>
      <c r="R13" s="635" t="str">
        <f>IFERROR(IF(INDEX('1.2 Customer'!$D:$D,MATCH($S13,'1.2 Customer'!$B:$B,0))="","-",INDEX('1.2 Customer'!$D:$D,MATCH($S13,'1.2 Customer'!$B:$B,0))),"-")</f>
        <v>M</v>
      </c>
      <c r="S13" t="str">
        <f>IFERROR(INDEX(Lists!$AA:$AA,MATCH($B13,Lists!$Z:$Z,0)),$B13)</f>
        <v>AU CRM &amp; Martech</v>
      </c>
      <c r="T13" t="str">
        <f>IF($B13="Leadership","Shared role - compared to the allowance",IF($C13="Strategic Programs","Strategic Programs - no rate in 0.3 (TBC)",IF(NOT(ISNUMBER($D13)),"No archetype for this squad","Archetype applies")))</f>
        <v>Archetype applies</v>
      </c>
    </row>
    <row r="14">
      <c r="A14" s="949" t="n"/>
      <c r="B14" s="634" t="inlineStr">
        <is>
          <t>Customer AI</t>
        </is>
      </c>
      <c r="C14" s="635" t="str">
        <f>IFERROR(INDEX('1.2 Customer'!$C:$C,MATCH($S14,'1.2 Customer'!$B:$B,0)),"Outside archetype model")</f>
        <v>Engineering</v>
      </c>
      <c r="D14" s="1150">
        <f>IFERROR(INDEX('0.3 Squad Archetypes'!$F$5:$F$23,MATCH($C14&amp;"|"&amp;$R14,'0.3 Squad Archetypes'!$A$5:$A$23,0)),"-")</f>
        <v>4.5</v>
      </c>
      <c r="E14" s="1151">
        <f>COUNTIFS($F$26:$F$108,$B14)</f>
        <v>2</v>
      </c>
      <c r="F14" s="1151">
        <f>IFERROR($E14-$D14,"-")</f>
        <v>-2.5</v>
      </c>
      <c r="G14" s="1151">
        <f>COUNTIFS($F$26:$F$108,$B14,$D$26:$D$108,"Vacant")</f>
        <v>2</v>
      </c>
      <c r="H14" s="1151">
        <f>COUNTIFS($F$26:$F$108,$B14,$D$26:$D$108,"Vacant",$E$26:$E$108,"Hire")+COUNTIFS($F$26:$F$108,$B14,$D$26:$D$108,"Vacant",$E$26:$E$108,"Offshore")</f>
        <v>0</v>
      </c>
      <c r="I14" s="1151">
        <f>$G14-$H14</f>
        <v>2</v>
      </c>
      <c r="J14" s="1151">
        <f>$E14-COUNTIFS($F$26:$F$108,$B14,$E$26:$E$108,"Hold")</f>
        <v>0</v>
      </c>
      <c r="K14" s="634" t="str">
        <f>IF(NOT(ISNUMBER($D14)),"Outside the archetype model",IF($J14&gt;$D14,"Over archetype after decisions",IF($J14&lt;$D14,"Under archetype","On archetype")))</f>
        <v>Under archetype</v>
      </c>
      <c r="L14" s="1152">
        <f>IFERROR(INDEX('0.3 Squad Archetypes'!$G$5:$G$23,MATCH($C14&amp;"|"&amp;$R14,'0.3 Squad Archetypes'!$A$5:$A$23,0)),"-")</f>
        <v>0.8</v>
      </c>
      <c r="M14" s="1153">
        <f>SUMIFS($G$26:$G$108,$F$26:$F$108,$B14)/1000000</f>
        <v>0.17103768</v>
      </c>
      <c r="N14" s="1153">
        <f>IFERROR($M14-$L14,"-")</f>
        <v>-0.62896232</v>
      </c>
      <c r="O14" s="1153">
        <f>SUMIFS($H$26:$H$108,$F$26:$F$108,$B14)/1000000</f>
        <v>0</v>
      </c>
      <c r="P14" s="1153">
        <f>$O14+(Lists!$AG$4+Lists!$AG$5)*$E14/$E$18</f>
        <v>0.00867469879518072</v>
      </c>
      <c r="Q14" s="1153">
        <f>IFERROR($P14-$L14,"-")</f>
        <v>-0.791325301204819</v>
      </c>
      <c r="R14" s="635" t="str">
        <f>IFERROR(IF(INDEX('1.2 Customer'!$D:$D,MATCH($S14,'1.2 Customer'!$B:$B,0))="","-",INDEX('1.2 Customer'!$D:$D,MATCH($S14,'1.2 Customer'!$B:$B,0))),"-")</f>
        <v>S</v>
      </c>
      <c r="S14" t="str">
        <f>IFERROR(INDEX(Lists!$AA:$AA,MATCH($B14,Lists!$Z:$Z,0)),$B14)</f>
        <v>Customer AI</v>
      </c>
      <c r="T14" t="str">
        <f>IF($B14="Leadership","Shared role - compared to the allowance",IF($C14="Strategic Programs","Strategic Programs - no rate in 0.3 (TBC)",IF(NOT(ISNUMBER($D14)),"No archetype for this squad","Archetype applies")))</f>
        <v>Archetype applies</v>
      </c>
    </row>
    <row r="15" customFormat="1" s="949">
      <c r="A15" s="949" t="n"/>
      <c r="B15" s="634" t="inlineStr">
        <is>
          <t>Z Energy Martech</t>
        </is>
      </c>
      <c r="C15" s="635" t="str">
        <f>IFERROR(INDEX('1.2 Customer'!$C:$C,MATCH($S15,'1.2 Customer'!$B:$B,0)),"Outside archetype model")</f>
        <v>Product</v>
      </c>
      <c r="D15" s="1150">
        <f>IFERROR(INDEX('0.3 Squad Archetypes'!$F$5:$F$23,MATCH($C15&amp;"|"&amp;$R15,'0.3 Squad Archetypes'!$A$5:$A$23,0)),"-")</f>
        <v>12</v>
      </c>
      <c r="E15" s="1151">
        <f>COUNTIFS($F$26:$F$108,$B15)</f>
        <v>2</v>
      </c>
      <c r="F15" s="1151">
        <f>IFERROR($E15-$D15,"-")</f>
        <v>-10</v>
      </c>
      <c r="G15" s="1151">
        <f>COUNTIFS($F$26:$F$108,$B15,$D$26:$D$108,"Vacant")</f>
        <v>0</v>
      </c>
      <c r="H15" s="1151">
        <f>COUNTIFS($F$26:$F$108,$B15,$D$26:$D$108,"Vacant",$E$26:$E$108,"Hire")+COUNTIFS($F$26:$F$108,$B15,$D$26:$D$108,"Vacant",$E$26:$E$108,"Offshore")</f>
        <v>0</v>
      </c>
      <c r="I15" s="1151">
        <f>$G15-$H15</f>
        <v>0</v>
      </c>
      <c r="J15" s="1151">
        <f>$E15-COUNTIFS($F$26:$F$108,$B15,$E$26:$E$108,"Hold")</f>
        <v>2</v>
      </c>
      <c r="K15" s="634" t="str">
        <f>IF(NOT(ISNUMBER($D15)),"Outside the archetype model",IF($J15&gt;$D15,"Over archetype after decisions",IF($J15&lt;$D15,"Under archetype","On archetype")))</f>
        <v>Under archetype</v>
      </c>
      <c r="L15" s="1152">
        <f>IFERROR(INDEX('0.3 Squad Archetypes'!$G$5:$G$23,MATCH($C15&amp;"|"&amp;$R15,'0.3 Squad Archetypes'!$A$5:$A$23,0)),"-")</f>
        <v>2.8</v>
      </c>
      <c r="M15" s="1153">
        <f>SUMIFS($G$26:$G$108,$F$26:$F$108,$B15)/1000000</f>
        <v>0.38037825</v>
      </c>
      <c r="N15" s="1153">
        <f>IFERROR($M15-$L15,"-")</f>
        <v>-2.41962175</v>
      </c>
      <c r="O15" s="1153">
        <f>SUMIFS($H$26:$H$108,$F$26:$F$108,$B15)/1000000</f>
        <v>0.38037825</v>
      </c>
      <c r="P15" s="1153">
        <f>$O15+(Lists!$AG$4+Lists!$AG$5)*$E15/$E$18</f>
        <v>0.389052948795181</v>
      </c>
      <c r="Q15" s="1153">
        <f>IFERROR($P15-$L15,"-")</f>
        <v>-2.41094705120482</v>
      </c>
      <c r="R15" s="635" t="str">
        <f>IFERROR(IF(INDEX('1.2 Customer'!$D:$D,MATCH($S15,'1.2 Customer'!$B:$B,0))="","-",INDEX('1.2 Customer'!$D:$D,MATCH($S15,'1.2 Customer'!$B:$B,0))),"-")</f>
        <v>L</v>
      </c>
      <c r="S15" t="str">
        <f>IFERROR(INDEX(Lists!$AA:$AA,MATCH($B15,Lists!$Z:$Z,0)),$B15)</f>
        <v>Z Energy Martech</v>
      </c>
      <c r="T15" t="str">
        <f>IF($B15="Leadership","Shared role - compared to the allowance",IF($C15="Strategic Programs","Strategic Programs - no rate in 0.3 (TBC)",IF(NOT(ISNUMBER($D15)),"No archetype for this squad","Archetype applies")))</f>
        <v>Archetype applies</v>
      </c>
    </row>
    <row r="16">
      <c r="A16" s="949" t="n"/>
      <c r="B16" s="641" t="inlineStr">
        <is>
          <t>Energy</t>
        </is>
      </c>
      <c r="C16" s="641" t="str">
        <f>IFERROR(INDEX('1.2 Customer'!$C:$C,MATCH($S16,'1.2 Customer'!$B:$B,0)),"Outside archetype model")</f>
        <v>Outside archetype model</v>
      </c>
      <c r="D16" s="1154" t="str">
        <f>IFERROR(INDEX('0.3 Squad Archetypes'!$F$5:$F$23,MATCH($C16&amp;"|"&amp;$R16,'0.3 Squad Archetypes'!$A$5:$A$23,0)),"-")</f>
        <v>-</v>
      </c>
      <c r="E16" s="1154">
        <f>COUNTIFS($F$26:$F$108,$B16)</f>
        <v>1</v>
      </c>
      <c r="F16" s="1154" t="str">
        <f>IFERROR($E16-$D16,"-")</f>
        <v>-</v>
      </c>
      <c r="G16" s="1154">
        <f>COUNTIFS($F$26:$F$108,$B16,$D$26:$D$108,"Vacant")</f>
        <v>0</v>
      </c>
      <c r="H16" s="1154">
        <f>COUNTIFS($F$26:$F$108,$B16,$D$26:$D$108,"Vacant",$E$26:$E$108,"Hire")+COUNTIFS($F$26:$F$108,$B16,$D$26:$D$108,"Vacant",$E$26:$E$108,"Offshore")</f>
        <v>0</v>
      </c>
      <c r="I16" s="1154">
        <f>$G16-$H16</f>
        <v>0</v>
      </c>
      <c r="J16" s="1154">
        <f>$E16-COUNTIFS($F$26:$F$108,$B16,$E$26:$E$108,"Hold")</f>
        <v>1</v>
      </c>
      <c r="K16" s="641" t="str">
        <f>IF(NOT(ISNUMBER($D16)),"Outside the archetype model",IF($J16&gt;$D16,"Over archetype after decisions",IF($J16&lt;$D16,"Under archetype","On archetype")))</f>
        <v>Outside the archetype model</v>
      </c>
      <c r="L16" s="1155" t="str">
        <f>IFERROR(INDEX('0.3 Squad Archetypes'!$G$5:$G$23,MATCH($C16&amp;"|"&amp;$R16,'0.3 Squad Archetypes'!$A$5:$A$23,0)),"-")</f>
        <v>-</v>
      </c>
      <c r="M16" s="1155">
        <f>SUMIFS($G$26:$G$108,$F$26:$F$108,$B16)/1000000</f>
        <v>0.17048975</v>
      </c>
      <c r="N16" s="1155" t="str">
        <f>IFERROR($M16-$L16,"-")</f>
        <v>-</v>
      </c>
      <c r="O16" s="1155">
        <f>SUMIFS($H$26:$H$108,$F$26:$F$108,$B16)/1000000</f>
        <v>0.17048975</v>
      </c>
      <c r="P16" s="1155">
        <f>$O16+(Lists!$AG$4+Lists!$AG$5)*$E16/$E$18</f>
        <v>0.17482709939759</v>
      </c>
      <c r="Q16" s="1155" t="str">
        <f>IFERROR($P16-$L16,"-")</f>
        <v>-</v>
      </c>
      <c r="R16" s="641" t="str">
        <f>IFERROR(IF(INDEX('1.2 Customer'!$D:$D,MATCH($S16,'1.2 Customer'!$B:$B,0))="","-",INDEX('1.2 Customer'!$D:$D,MATCH($S16,'1.2 Customer'!$B:$B,0))),"-")</f>
        <v>-</v>
      </c>
      <c r="S16" t="str">
        <f>IFERROR(INDEX(Lists!$AA:$AA,MATCH($B16,Lists!$Z:$Z,0)),$B16)</f>
        <v>Energy</v>
      </c>
      <c r="T16" t="str">
        <f>IF($B16="Leadership","Shared role - compared to the allowance",IF($C16="Strategic Programs","Strategic Programs - no rate in 0.3 (TBC)",IF(NOT(ISNUMBER($D16)),"No archetype for this squad","Archetype applies")))</f>
        <v>No archetype for this squad</v>
      </c>
    </row>
    <row r="17">
      <c r="A17" s="949" t="n"/>
      <c r="B17" s="504" t="inlineStr">
        <is>
          <t>Leadership</t>
        </is>
      </c>
      <c r="C17" s="949" t="str">
        <f>IFERROR(INDEX('1.2 Customer'!$C:$C,MATCH($S17,'1.2 Customer'!$B:$B,0)),"Outside archetype model")</f>
        <v>Outside archetype model</v>
      </c>
      <c r="D17" s="949" t="str">
        <f>IFERROR(INDEX('0.3 Squad Archetypes'!$F$5:$F$23,MATCH($C17&amp;"|"&amp;$R17,'0.3 Squad Archetypes'!$A$5:$A$23,0)),"-")</f>
        <v>-</v>
      </c>
      <c r="E17" s="1156">
        <f>COUNTIFS($F$26:$F$108,$B17)</f>
        <v>12</v>
      </c>
      <c r="F17" s="1156" t="str">
        <f>IFERROR($E17-$D17,"-")</f>
        <v>-</v>
      </c>
      <c r="G17" s="949">
        <f>COUNTIFS($F$26:$F$108,$B17,$D$26:$D$108,"Vacant")</f>
        <v>2</v>
      </c>
      <c r="H17" s="949">
        <f>COUNTIFS($F$26:$F$108,$B17,$D$26:$D$108,"Vacant",$E$26:$E$108,"Hire")+COUNTIFS($F$26:$F$108,$B17,$D$26:$D$108,"Vacant",$E$26:$E$108,"Offshore")</f>
        <v>0</v>
      </c>
      <c r="I17" s="949">
        <f>$G17-$H17</f>
        <v>2</v>
      </c>
      <c r="J17" s="949">
        <f>$E17-COUNTIFS($F$26:$F$108,$B17,$E$26:$E$108,"Hold")</f>
        <v>10</v>
      </c>
      <c r="K17" s="949" t="str">
        <f>IF(NOT(ISNUMBER($D17)),"Outside the archetype model",IF($J17&gt;$D17,"Over archetype after decisions",IF($J17&lt;$D17,"Under archetype","On archetype")))</f>
        <v>Outside the archetype model</v>
      </c>
      <c r="L17" s="949" t="str">
        <f>IFERROR(INDEX('0.3 Squad Archetypes'!$G$5:$G$23,MATCH($C17&amp;"|"&amp;$R17,'0.3 Squad Archetypes'!$A$5:$A$23,0)),"-")</f>
        <v>-</v>
      </c>
      <c r="M17" s="949">
        <f>SUMIFS($G$26:$G$108,$F$26:$F$108,$B17)/1000000</f>
        <v>2.618369636</v>
      </c>
      <c r="N17" s="949" t="str">
        <f>IFERROR($M17-$L17,"-")</f>
        <v>-</v>
      </c>
      <c r="O17" s="949">
        <f>SUMIFS($H$26:$H$108,$F$26:$F$108,$B17)/1000000</f>
        <v>2.268339548</v>
      </c>
      <c r="P17" s="949">
        <f>$O17+(Lists!$AG$4+Lists!$AG$5)*$E17/$E$18</f>
        <v>2.32038774077108</v>
      </c>
      <c r="Q17" s="949" t="str">
        <f>IFERROR($P17-$L17,"-")</f>
        <v>-</v>
      </c>
      <c r="R17" s="949" t="str">
        <f>IFERROR(IF(INDEX('1.2 Customer'!$D:$D,MATCH($S17,'1.2 Customer'!$B:$B,0))="","-",INDEX('1.2 Customer'!$D:$D,MATCH($S17,'1.2 Customer'!$B:$B,0))),"-")</f>
        <v>-</v>
      </c>
      <c r="S17" t="str">
        <f>IFERROR(INDEX(Lists!$AA:$AA,MATCH($B17,Lists!$Z:$Z,0)),$B17)</f>
        <v>Leadership</v>
      </c>
      <c r="T17" t="str">
        <f>IF($B17="Leadership","Shared role - compared to the allowance",IF($C17="Strategic Programs","Strategic Programs - no rate in 0.3 (TBC)",IF(NOT(ISNUMBER($D17)),"No archetype for this squad","Archetype applies")))</f>
        <v>Shared role - compared to the allowance</v>
      </c>
    </row>
    <row r="18">
      <c r="A18" s="949" t="n"/>
      <c r="B18" s="1226" t="inlineStr">
        <is>
          <t>Total</t>
        </is>
      </c>
      <c r="C18" s="949" t="n"/>
      <c r="D18" s="949">
        <f>SUM(D6:D17)</f>
        <v>77.5</v>
      </c>
      <c r="E18" s="1156">
        <f>COUNTIFS('REVIEW - Complete Role Mapping'!$AJ$2:$AJ$528,"Customer")</f>
        <v>83</v>
      </c>
      <c r="F18" s="1156">
        <f>SUM(F6:F17)</f>
        <v>-17.5</v>
      </c>
      <c r="G18" s="949">
        <f>SUM(G6:G17)</f>
        <v>13</v>
      </c>
      <c r="H18" s="949">
        <f>SUM(H6:H17)</f>
        <v>0</v>
      </c>
      <c r="I18" s="949">
        <f>SUM(I6:I17)</f>
        <v>13</v>
      </c>
      <c r="J18" s="949">
        <f>SUM(J6:J17)</f>
        <v>70</v>
      </c>
      <c r="K18" s="949" t="n"/>
      <c r="L18" s="949">
        <f>SUM(L6:L17)</f>
        <v>17.6</v>
      </c>
      <c r="M18" s="949">
        <f>SUMIFS('REVIEW - Complete Role Mapping'!$AA$2:$AA$528,'REVIEW - Complete Role Mapping'!$AJ$2:$AJ$528,"Customer")/1000000</f>
        <v>17.12686714</v>
      </c>
      <c r="N18" s="949">
        <f>SUM(N6:N17)</f>
        <v>-5.470127554</v>
      </c>
      <c r="O18" s="949">
        <f>SUM(O6:O17)</f>
        <v>15.474726044</v>
      </c>
      <c r="P18" s="949">
        <f>SUM(P6:P17)</f>
        <v>15.834726044</v>
      </c>
      <c r="Q18" s="949">
        <f>SUM(Q6:Q17)</f>
        <v>-6.51199759814458</v>
      </c>
      <c r="R18" s="949" t="n"/>
    </row>
    <row r="19">
      <c r="A19" s="949" t="n"/>
      <c r="B19" s="504" t="n"/>
      <c r="C19" s="442" t="n"/>
      <c r="D19" s="442" t="n"/>
      <c r="E19" s="1156" t="n"/>
      <c r="F19" s="1156" t="n"/>
      <c r="G19" s="442" t="n"/>
      <c r="H19" s="442" t="n"/>
      <c r="I19" s="442" t="n"/>
      <c r="J19" s="442" t="n"/>
      <c r="K19" s="442" t="n"/>
      <c r="L19" s="442" t="n"/>
      <c r="M19" s="442" t="n"/>
      <c r="N19" s="442" t="n"/>
      <c r="O19" s="442" t="n"/>
      <c r="P19" s="442" t="n"/>
      <c r="Q19" s="442" t="n"/>
      <c r="R19" s="949" t="n"/>
    </row>
    <row r="20">
      <c r="A20" s="949" t="n"/>
      <c r="B20" s="994" t="inlineStr">
        <is>
          <t>Cost to fill every vacancy at full onshore cost ($m)</t>
        </is>
      </c>
      <c r="C20" s="442" t="n"/>
      <c r="D20" s="442" t="n"/>
      <c r="E20" s="1156">
        <f>SUMIFS($G$26:$G$108,$D$26:$D$108,"Vacant")/1000000</f>
        <v>1.652141096</v>
      </c>
      <c r="F20" s="1156" t="n"/>
      <c r="G20" s="442" t="n"/>
      <c r="H20" s="442" t="n"/>
      <c r="I20" s="442" t="n"/>
      <c r="J20" s="442" t="n"/>
      <c r="K20" s="442" t="n"/>
      <c r="L20" s="442" t="n"/>
      <c r="M20" s="442" t="n"/>
      <c r="N20" s="442" t="n"/>
      <c r="O20" s="442" t="n"/>
      <c r="P20" s="442" t="n"/>
      <c r="Q20" s="442" t="n"/>
      <c r="R20" s="949" t="n"/>
    </row>
    <row r="21">
      <c r="A21" s="949" t="n"/>
      <c r="B21" s="994" t="inlineStr">
        <is>
          <t>Of which currently marked Hire or Offshore ($m)</t>
        </is>
      </c>
      <c r="C21" s="430" t="n"/>
      <c r="D21" s="430" t="n"/>
      <c r="E21" s="430">
        <f>(SUMIFS($G$26:$G$108,$D$26:$D$108,"Vacant",$E$26:$E$108,"Hire")+Lists!$AD$5*SUMIFS($G$26:$G$108,$D$26:$D$108,"Vacant",$E$26:$E$108,"Offshore"))/1000000</f>
        <v>0</v>
      </c>
      <c r="F21" s="430" t="n"/>
      <c r="G21" s="430" t="n"/>
      <c r="H21" s="949" t="n"/>
      <c r="I21" s="949" t="n"/>
      <c r="J21" s="949" t="n"/>
      <c r="K21" s="949" t="n"/>
      <c r="L21" s="949" t="n"/>
      <c r="M21" s="949" t="n"/>
      <c r="N21" s="949" t="n"/>
      <c r="O21" s="949" t="n"/>
      <c r="P21" s="949" t="n"/>
      <c r="Q21" s="949" t="n"/>
      <c r="R21" s="949" t="n"/>
    </row>
    <row r="22">
      <c r="A22" s="949" t="n"/>
      <c r="B22" s="994" t="inlineStr">
        <is>
          <t>Leadership and Head of Technology already inside this portfolio ($m) - not re-added in column P</t>
        </is>
      </c>
      <c r="C22" s="645" t="n"/>
      <c r="D22" s="645" t="n"/>
      <c r="E22" s="645">
        <f>SUMIFS('REVIEW - Complete Role Mapping'!$AA$2:$AA$528,'REVIEW - Complete Role Mapping'!$AJ$2:$AJ$528,"Customer",'REVIEW - Complete Role Mapping'!$AQ$2:$AQ$528,1)/1000000</f>
        <v>2.618369636</v>
      </c>
      <c r="F22" s="645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9" t="n"/>
      <c r="R22" s="949" t="n"/>
    </row>
    <row r="23" ht="15.65" customHeight="1">
      <c r="A23" s="949" t="n"/>
      <c r="B23" s="433" t="n"/>
      <c r="C23" s="434" t="n"/>
      <c r="D23" s="434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9" t="n"/>
      <c r="R23" s="949" t="n"/>
    </row>
    <row r="24">
      <c r="A24" s="949" t="n"/>
      <c r="B24" s="1232" t="inlineStr">
        <is>
          <t>Customer roles - one row per named role, from REVIEW</t>
        </is>
      </c>
      <c r="C24" s="533" t="n"/>
      <c r="D24" s="533" t="n"/>
      <c r="E24" s="533" t="n"/>
      <c r="F24" s="533" t="n"/>
      <c r="G24" s="533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9" t="n"/>
      <c r="R24" s="949" t="n"/>
    </row>
    <row r="25">
      <c r="A25" s="949" t="n"/>
      <c r="B25" s="1233" t="inlineStr">
        <is>
          <t>Name</t>
        </is>
      </c>
      <c r="C25" s="1233" t="inlineStr">
        <is>
          <t>Role</t>
        </is>
      </c>
      <c r="D25" s="1233" t="inlineStr">
        <is>
          <t>Status</t>
        </is>
      </c>
      <c r="E25" s="1233" t="inlineStr">
        <is>
          <t>Vacancy lever</t>
        </is>
      </c>
      <c r="F25" s="1233" t="inlineStr">
        <is>
          <t>Squad</t>
        </is>
      </c>
      <c r="G25" s="1233" t="inlineStr">
        <is>
          <t>Cost if hired ($)</t>
        </is>
      </c>
      <c r="H25" s="1029" t="inlineStr">
        <is>
          <t>Effective cost ($)</t>
        </is>
      </c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9" t="n"/>
      <c r="R25" s="949" t="n"/>
    </row>
    <row r="26">
      <c r="A26" s="949" t="n"/>
      <c r="B26" s="634" t="str">
        <f>INDEX('REVIEW - Complete Role Mapping'!$B:$B,112)</f>
        <v>Alisha Allport</v>
      </c>
      <c r="C26" s="634" t="str">
        <f>INDEX('REVIEW - Complete Role Mapping'!$C:$C,112)</f>
        <v>Principal Experience Designer</v>
      </c>
      <c r="D26" s="612" t="str">
        <f>IF(ISNUMBER(SEARCH("vacant",$B26)),"Vacant","Filled")</f>
        <v>Filled</v>
      </c>
      <c r="E26" s="612" t="inlineStr">
        <is>
          <t>Filled</t>
        </is>
      </c>
      <c r="F26" s="981" t="str">
        <f>INDEX('REVIEW - Complete Role Mapping'!$AP:$AP,112)</f>
        <v>Ampol App</v>
      </c>
      <c r="G26" s="1157">
        <f>INDEX('REVIEW - Complete Role Mapping'!$AA:$AA,112)</f>
        <v>146464.7</v>
      </c>
      <c r="H26" s="949">
        <f>$G26*IFERROR(INDEX(Lists!$AD:$AD,MATCH($E26,Lists!$AC:$AC,0)),1)</f>
        <v>146464.7</v>
      </c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</row>
    <row r="27">
      <c r="A27" s="949" t="n"/>
      <c r="B27" s="634" t="str">
        <f>INDEX('REVIEW - Complete Role Mapping'!$B:$B,116)</f>
        <v>Annabel Phu</v>
      </c>
      <c r="C27" s="634" t="str">
        <f>INDEX('REVIEW - Complete Role Mapping'!$C:$C,116)</f>
        <v>Engineer - Mobile</v>
      </c>
      <c r="D27" s="612" t="str">
        <f>IF(ISNUMBER(SEARCH("vacant",$B27)),"Vacant","Filled")</f>
        <v>Filled</v>
      </c>
      <c r="E27" s="612" t="inlineStr">
        <is>
          <t>Filled</t>
        </is>
      </c>
      <c r="F27" s="981" t="str">
        <f>INDEX('REVIEW - Complete Role Mapping'!$AP:$AP,116)</f>
        <v>Ampol App</v>
      </c>
      <c r="G27" s="1157">
        <f>INDEX('REVIEW - Complete Role Mapping'!$AA:$AA,116)</f>
        <v>266400</v>
      </c>
      <c r="H27" s="949">
        <f>$G27*IFERROR(INDEX(Lists!$AD:$AD,MATCH($E27,Lists!$AC:$AC,0)),1)</f>
        <v>266400</v>
      </c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634" t="str">
        <f>INDEX('REVIEW - Complete Role Mapping'!$B:$B,119)</f>
        <v>Anup Antony</v>
      </c>
      <c r="C28" s="634" t="str">
        <f>INDEX('REVIEW - Complete Role Mapping'!$C:$C,119)</f>
        <v>Engineer - BE</v>
      </c>
      <c r="D28" s="612" t="str">
        <f>IF(ISNUMBER(SEARCH("vacant",$B28)),"Vacant","Filled")</f>
        <v>Filled</v>
      </c>
      <c r="E28" s="612" t="inlineStr">
        <is>
          <t>Filled</t>
        </is>
      </c>
      <c r="F28" s="981" t="str">
        <f>INDEX('REVIEW - Complete Role Mapping'!$AP:$AP,119)</f>
        <v>Ampol App</v>
      </c>
      <c r="G28" s="1157">
        <f>INDEX('REVIEW - Complete Role Mapping'!$AA:$AA,119)</f>
        <v>255300</v>
      </c>
      <c r="H28" s="949">
        <f>$G28*IFERROR(INDEX(Lists!$AD:$AD,MATCH($E28,Lists!$AC:$AC,0)),1)</f>
        <v>255300</v>
      </c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634" t="str">
        <f>INDEX('REVIEW - Complete Role Mapping'!$B:$B,122)</f>
        <v>Binumon Mathai</v>
      </c>
      <c r="C29" s="634" t="str">
        <f>INDEX('REVIEW - Complete Role Mapping'!$C:$C,122)</f>
        <v>Senior Quality Assurance</v>
      </c>
      <c r="D29" s="612" t="str">
        <f>IF(ISNUMBER(SEARCH("vacant",$B29)),"Vacant","Filled")</f>
        <v>Filled</v>
      </c>
      <c r="E29" s="612" t="inlineStr">
        <is>
          <t>Filled</t>
        </is>
      </c>
      <c r="F29" s="981" t="str">
        <f>INDEX('REVIEW - Complete Role Mapping'!$AP:$AP,122)</f>
        <v>Ampol App</v>
      </c>
      <c r="G29" s="1157">
        <f>INDEX('REVIEW - Complete Role Mapping'!$AA:$AA,122)</f>
        <v>223776</v>
      </c>
      <c r="H29" s="949">
        <f>$G29*IFERROR(INDEX(Lists!$AD:$AD,MATCH($E29,Lists!$AC:$AC,0)),1)</f>
        <v>223776</v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634" t="str">
        <f>INDEX('REVIEW - Complete Role Mapping'!$B:$B,132)</f>
        <v>Edwin Justin</v>
      </c>
      <c r="C30" s="634" t="str">
        <f>INDEX('REVIEW - Complete Role Mapping'!$C:$C,132)</f>
        <v>Senior Engineer - BE</v>
      </c>
      <c r="D30" s="612" t="str">
        <f>IF(ISNUMBER(SEARCH("vacant",$B30)),"Vacant","Filled")</f>
        <v>Filled</v>
      </c>
      <c r="E30" s="612" t="inlineStr">
        <is>
          <t>Filled</t>
        </is>
      </c>
      <c r="F30" s="981" t="str">
        <f>INDEX('REVIEW - Complete Role Mapping'!$AP:$AP,132)</f>
        <v>Ampol App</v>
      </c>
      <c r="G30" s="1157">
        <f>INDEX('REVIEW - Complete Role Mapping'!$AA:$AA,132)</f>
        <v>194789.85</v>
      </c>
      <c r="H30" s="949">
        <f>$G30*IFERROR(INDEX(Lists!$AD:$AD,MATCH($E30,Lists!$AC:$AC,0)),1)</f>
        <v>194789.85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634" t="str">
        <f>INDEX('REVIEW - Complete Role Mapping'!$B:$B,134)</f>
        <v>Ethan Laffan</v>
      </c>
      <c r="C31" s="634" t="str">
        <f>INDEX('REVIEW - Complete Role Mapping'!$C:$C,134)</f>
        <v>Associate Experience Designer</v>
      </c>
      <c r="D31" s="612" t="str">
        <f>IF(ISNUMBER(SEARCH("vacant",$B31)),"Vacant","Filled")</f>
        <v>Filled</v>
      </c>
      <c r="E31" s="612" t="inlineStr">
        <is>
          <t>Filled</t>
        </is>
      </c>
      <c r="F31" s="981" t="str">
        <f>INDEX('REVIEW - Complete Role Mapping'!$AP:$AP,134)</f>
        <v>Ampol App</v>
      </c>
      <c r="G31" s="1157">
        <f>INDEX('REVIEW - Complete Role Mapping'!$AA:$AA,134)</f>
        <v>201585</v>
      </c>
      <c r="H31" s="949">
        <f>$G31*IFERROR(INDEX(Lists!$AD:$AD,MATCH($E31,Lists!$AC:$AC,0)),1)</f>
        <v>201585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Mapping'!$B:$B,145)</f>
        <v>Khalid Mahmud</v>
      </c>
      <c r="C32" s="634" t="str">
        <f>INDEX('REVIEW - Complete Role Mapping'!$C:$C,145)</f>
        <v>Lead Engineer - BE</v>
      </c>
      <c r="D32" s="612" t="str">
        <f>IF(ISNUMBER(SEARCH("vacant",$B32)),"Vacant","Filled")</f>
        <v>Filled</v>
      </c>
      <c r="E32" s="612" t="inlineStr">
        <is>
          <t>Filled</t>
        </is>
      </c>
      <c r="F32" s="981" t="str">
        <f>INDEX('REVIEW - Complete Role Mapping'!$AP:$AP,145)</f>
        <v>Ampol App</v>
      </c>
      <c r="G32" s="1157">
        <f>INDEX('REVIEW - Complete Role Mapping'!$AA:$AA,145)</f>
        <v>266400</v>
      </c>
      <c r="H32" s="949">
        <f>$G32*IFERROR(INDEX(Lists!$AD:$AD,MATCH($E32,Lists!$AC:$AC,0)),1)</f>
        <v>266400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Mapping'!$B:$B,149)</f>
        <v>Maria Salman</v>
      </c>
      <c r="C33" s="634" t="str">
        <f>INDEX('REVIEW - Complete Role Mapping'!$C:$C,149)</f>
        <v>Experience Designer</v>
      </c>
      <c r="D33" s="612" t="str">
        <f>IF(ISNUMBER(SEARCH("vacant",$B33)),"Vacant","Filled")</f>
        <v>Filled</v>
      </c>
      <c r="E33" s="612" t="inlineStr">
        <is>
          <t>Filled</t>
        </is>
      </c>
      <c r="F33" s="981" t="str">
        <f>INDEX('REVIEW - Complete Role Mapping'!$AP:$AP,149)</f>
        <v>Ampol App</v>
      </c>
      <c r="G33" s="1157">
        <f>INDEX('REVIEW - Complete Role Mapping'!$AA:$AA,149)</f>
        <v>240834.48</v>
      </c>
      <c r="H33" s="949">
        <f>$G33*IFERROR(INDEX(Lists!$AD:$AD,MATCH($E33,Lists!$AC:$AC,0)),1)</f>
        <v>240834.48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Mapping'!$B:$B,154)</f>
        <v>Penny Pennisi</v>
      </c>
      <c r="C34" s="634" t="str">
        <f>INDEX('REVIEW - Complete Role Mapping'!$C:$C,154)</f>
        <v>Delivery Lead</v>
      </c>
      <c r="D34" s="612" t="str">
        <f>IF(ISNUMBER(SEARCH("vacant",$B34)),"Vacant","Filled")</f>
        <v>Filled</v>
      </c>
      <c r="E34" s="612" t="inlineStr">
        <is>
          <t>Filled</t>
        </is>
      </c>
      <c r="F34" s="981" t="str">
        <f>INDEX('REVIEW - Complete Role Mapping'!$AP:$AP,154)</f>
        <v>Ampol App</v>
      </c>
      <c r="G34" s="1157">
        <f>INDEX('REVIEW - Complete Role Mapping'!$AA:$AA,154)</f>
        <v>299700</v>
      </c>
      <c r="H34" s="949">
        <f>$G34*IFERROR(INDEX(Lists!$AD:$AD,MATCH($E34,Lists!$AC:$AC,0)),1)</f>
        <v>299700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Mapping'!$B:$B,155)</f>
        <v>Peter Lee</v>
      </c>
      <c r="C35" s="646" t="str">
        <f>INDEX('REVIEW - Complete Role Mapping'!$C:$C,155)</f>
        <v>Snr Business Analyst</v>
      </c>
      <c r="D35" s="612" t="str">
        <f>IF(ISNUMBER(SEARCH("vacant",$B35)),"Vacant","Filled")</f>
        <v>Filled</v>
      </c>
      <c r="E35" s="612" t="inlineStr">
        <is>
          <t>Filled</t>
        </is>
      </c>
      <c r="F35" s="981" t="str">
        <f>INDEX('REVIEW - Complete Role Mapping'!$AP:$AP,155)</f>
        <v>Ampol App</v>
      </c>
      <c r="G35" s="1157">
        <f>INDEX('REVIEW - Complete Role Mapping'!$AA:$AA,155)</f>
        <v>243984.6</v>
      </c>
      <c r="H35" s="949">
        <f>$G35*IFERROR(INDEX(Lists!$AD:$AD,MATCH($E35,Lists!$AC:$AC,0)),1)</f>
        <v>243984.6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Mapping'!$B:$B,156)</f>
        <v>Phillip Kewley</v>
      </c>
      <c r="C36" s="634" t="str">
        <f>INDEX('REVIEW - Complete Role Mapping'!$C:$C,156)</f>
        <v>Quality Assurance</v>
      </c>
      <c r="D36" s="612" t="str">
        <f>IF(ISNUMBER(SEARCH("vacant",$B36)),"Vacant","Filled")</f>
        <v>Filled</v>
      </c>
      <c r="E36" s="612" t="inlineStr">
        <is>
          <t>Filled</t>
        </is>
      </c>
      <c r="F36" s="981" t="str">
        <f>INDEX('REVIEW - Complete Role Mapping'!$AP:$AP,156)</f>
        <v>Ampol App</v>
      </c>
      <c r="G36" s="1157">
        <f>INDEX('REVIEW - Complete Role Mapping'!$AA:$AA,156)</f>
        <v>213600</v>
      </c>
      <c r="H36" s="949">
        <f>$G36*IFERROR(INDEX(Lists!$AD:$AD,MATCH($E36,Lists!$AC:$AC,0)),1)</f>
        <v>213600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Mapping'!$B:$B,157)</f>
        <v>Raj Ganesan</v>
      </c>
      <c r="C37" s="634" t="str">
        <f>INDEX('REVIEW - Complete Role Mapping'!$C:$C,157)</f>
        <v>Engineer - Mobile (ios)</v>
      </c>
      <c r="D37" s="612" t="str">
        <f>IF(ISNUMBER(SEARCH("vacant",$B37)),"Vacant","Filled")</f>
        <v>Filled</v>
      </c>
      <c r="E37" s="612" t="inlineStr">
        <is>
          <t>Filled</t>
        </is>
      </c>
      <c r="F37" s="981" t="str">
        <f>INDEX('REVIEW - Complete Role Mapping'!$AP:$AP,157)</f>
        <v>Ampol App</v>
      </c>
      <c r="G37" s="1157">
        <f>INDEX('REVIEW - Complete Role Mapping'!$AA:$AA,157)</f>
        <v>230880</v>
      </c>
      <c r="H37" s="949">
        <f>$G37*IFERROR(INDEX(Lists!$AD:$AD,MATCH($E37,Lists!$AC:$AC,0)),1)</f>
        <v>230880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Mapping'!$B:$B,166)</f>
        <v>Sheetal Karkera</v>
      </c>
      <c r="C38" s="634" t="str">
        <f>INDEX('REVIEW - Complete Role Mapping'!$C:$C,166)</f>
        <v>Lead Engineer - Mobile</v>
      </c>
      <c r="D38" s="612" t="str">
        <f>IF(ISNUMBER(SEARCH("vacant",$B38)),"Vacant","Filled")</f>
        <v>Filled</v>
      </c>
      <c r="E38" s="612" t="inlineStr">
        <is>
          <t>Filled</t>
        </is>
      </c>
      <c r="F38" s="981" t="str">
        <f>INDEX('REVIEW - Complete Role Mapping'!$AP:$AP,166)</f>
        <v>Ampol App</v>
      </c>
      <c r="G38" s="1157">
        <f>INDEX('REVIEW - Complete Role Mapping'!$AA:$AA,166)</f>
        <v>301067.45</v>
      </c>
      <c r="H38" s="949">
        <f>$G38*IFERROR(INDEX(Lists!$AD:$AD,MATCH($E38,Lists!$AC:$AC,0)),1)</f>
        <v>301067.45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Mapping'!$B:$B,173)</f>
        <v>Toby Clark</v>
      </c>
      <c r="C39" s="634" t="str">
        <f>INDEX('REVIEW - Complete Role Mapping'!$C:$C,173)</f>
        <v>Engineer - Mobile (iOS)</v>
      </c>
      <c r="D39" s="612" t="str">
        <f>IF(ISNUMBER(SEARCH("vacant",$B39)),"Vacant","Filled")</f>
        <v>Filled</v>
      </c>
      <c r="E39" s="612" t="inlineStr">
        <is>
          <t>Filled</t>
        </is>
      </c>
      <c r="F39" s="981" t="str">
        <f>INDEX('REVIEW - Complete Role Mapping'!$AP:$AP,173)</f>
        <v>Ampol App</v>
      </c>
      <c r="G39" s="1157">
        <f>INDEX('REVIEW - Complete Role Mapping'!$AA:$AA,173)</f>
        <v>275810.25</v>
      </c>
      <c r="H39" s="949">
        <f>$G39*IFERROR(INDEX(Lists!$AD:$AD,MATCH($E39,Lists!$AC:$AC,0)),1)</f>
        <v>275810.25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Mapping'!$B:$B,117)</f>
        <v>Anthony Gen</v>
      </c>
      <c r="C40" s="634" t="str">
        <f>INDEX('REVIEW - Complete Role Mapping'!$C:$C,117)</f>
        <v>Data Analyst</v>
      </c>
      <c r="D40" s="612" t="str">
        <f>IF(ISNUMBER(SEARCH("vacant",$B40)),"Vacant","Filled")</f>
        <v>Filled</v>
      </c>
      <c r="E40" s="612" t="inlineStr">
        <is>
          <t>Filled</t>
        </is>
      </c>
      <c r="F40" s="981" t="str">
        <f>INDEX('REVIEW - Complete Role Mapping'!$AP:$AP,117)</f>
        <v>Z Loyalty &amp; Martech</v>
      </c>
      <c r="G40" s="1157">
        <f>INDEX('REVIEW - Complete Role Mapping'!$AA:$AA,117)</f>
        <v>179198.4</v>
      </c>
      <c r="H40" s="949">
        <f>$G40*IFERROR(INDEX(Lists!$AD:$AD,MATCH($E40,Lists!$AC:$AC,0)),1)</f>
        <v>179198.4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Mapping'!$B:$B,121)</f>
        <v>Bharat Talreja</v>
      </c>
      <c r="C41" s="634" t="str">
        <f>INDEX('REVIEW - Complete Role Mapping'!$C:$C,121)</f>
        <v>Marketing Technology Lead</v>
      </c>
      <c r="D41" s="612" t="str">
        <f>IF(ISNUMBER(SEARCH("vacant",$B41)),"Vacant","Filled")</f>
        <v>Filled</v>
      </c>
      <c r="E41" s="612" t="inlineStr">
        <is>
          <t>Filled</t>
        </is>
      </c>
      <c r="F41" s="981" t="str">
        <f>INDEX('REVIEW - Complete Role Mapping'!$AP:$AP,121)</f>
        <v>Z Loyalty &amp; Martech</v>
      </c>
      <c r="G41" s="1157">
        <f>INDEX('REVIEW - Complete Role Mapping'!$AA:$AA,121)</f>
        <v>266400</v>
      </c>
      <c r="H41" s="949">
        <f>$G41*IFERROR(INDEX(Lists!$AD:$AD,MATCH($E41,Lists!$AC:$AC,0)),1)</f>
        <v>266400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Mapping'!$B:$B,124)</f>
        <v>Carianne Monast</v>
      </c>
      <c r="C42" s="634" t="str">
        <f>INDEX('REVIEW - Complete Role Mapping'!$C:$C,124)</f>
        <v>Martech Specialist</v>
      </c>
      <c r="D42" s="612" t="str">
        <f>IF(ISNUMBER(SEARCH("vacant",$B42)),"Vacant","Filled")</f>
        <v>Filled</v>
      </c>
      <c r="E42" s="612" t="inlineStr">
        <is>
          <t>Filled</t>
        </is>
      </c>
      <c r="F42" s="981" t="str">
        <f>INDEX('REVIEW - Complete Role Mapping'!$AP:$AP,124)</f>
        <v>Z Loyalty &amp; Martech</v>
      </c>
      <c r="G42" s="1157">
        <f>INDEX('REVIEW - Complete Role Mapping'!$AA:$AA,124)</f>
        <v>207352.2</v>
      </c>
      <c r="H42" s="949">
        <f>$G42*IFERROR(INDEX(Lists!$AD:$AD,MATCH($E42,Lists!$AC:$AC,0)),1)</f>
        <v>207352.2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Mapping'!$B:$B,125)</f>
        <v>Celia Voysey</v>
      </c>
      <c r="C43" s="634" t="str">
        <f>INDEX('REVIEW - Complete Role Mapping'!$C:$C,125)</f>
        <v>Delivery Lead</v>
      </c>
      <c r="D43" s="612" t="str">
        <f>IF(ISNUMBER(SEARCH("vacant",$B43)),"Vacant","Filled")</f>
        <v>Filled</v>
      </c>
      <c r="E43" s="612" t="inlineStr">
        <is>
          <t>Filled</t>
        </is>
      </c>
      <c r="F43" s="981" t="str">
        <f>INDEX('REVIEW - Complete Role Mapping'!$AP:$AP,125)</f>
        <v>Z Loyalty &amp; Martech</v>
      </c>
      <c r="G43" s="1157">
        <f>INDEX('REVIEW - Complete Role Mapping'!$AA:$AA,125)</f>
        <v>240300</v>
      </c>
      <c r="H43" s="949">
        <f>$G43*IFERROR(INDEX(Lists!$AD:$AD,MATCH($E43,Lists!$AC:$AC,0)),1)</f>
        <v>240300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Mapping'!$B:$B,139)</f>
        <v>Jill Martin</v>
      </c>
      <c r="C44" s="634" t="str">
        <f>INDEX('REVIEW - Complete Role Mapping'!$C:$C,139)</f>
        <v>Delivery Manager</v>
      </c>
      <c r="D44" s="612" t="str">
        <f>IF(ISNUMBER(SEARCH("vacant",$B44)),"Vacant","Filled")</f>
        <v>Filled</v>
      </c>
      <c r="E44" s="612" t="inlineStr">
        <is>
          <t>Filled</t>
        </is>
      </c>
      <c r="F44" s="981" t="str">
        <f>INDEX('REVIEW - Complete Role Mapping'!$AP:$AP,139)</f>
        <v>Z Loyalty &amp; Martech</v>
      </c>
      <c r="G44" s="1157">
        <f>INDEX('REVIEW - Complete Role Mapping'!$AA:$AA,139)</f>
        <v>202853.25</v>
      </c>
      <c r="H44" s="949">
        <f>$G44*IFERROR(INDEX(Lists!$AD:$AD,MATCH($E44,Lists!$AC:$AC,0)),1)</f>
        <v>202853.25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Mapping'!$B:$B,142)</f>
        <v>Jordan Kettles</v>
      </c>
      <c r="C45" s="634" t="str">
        <f>INDEX('REVIEW - Complete Role Mapping'!$C:$C,142)</f>
        <v>Engineer, Sotware</v>
      </c>
      <c r="D45" s="612" t="str">
        <f>IF(ISNUMBER(SEARCH("vacant",$B45)),"Vacant","Filled")</f>
        <v>Filled</v>
      </c>
      <c r="E45" s="612" t="inlineStr">
        <is>
          <t>Filled</t>
        </is>
      </c>
      <c r="F45" s="981" t="str">
        <f>INDEX('REVIEW - Complete Role Mapping'!$AP:$AP,142)</f>
        <v>Z Loyalty &amp; Martech</v>
      </c>
      <c r="G45" s="1157">
        <f>INDEX('REVIEW - Complete Role Mapping'!$AA:$AA,142)</f>
        <v>165860.95</v>
      </c>
      <c r="H45" s="949">
        <f>$G45*IFERROR(INDEX(Lists!$AD:$AD,MATCH($E45,Lists!$AC:$AC,0)),1)</f>
        <v>165860.95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Mapping'!$B:$B,143)</f>
        <v>Kaye Javier</v>
      </c>
      <c r="C46" s="646" t="str">
        <f>INDEX('REVIEW - Complete Role Mapping'!$C:$C,143)</f>
        <v>QA Analyst</v>
      </c>
      <c r="D46" s="612" t="str">
        <f>IF(ISNUMBER(SEARCH("vacant",$B46)),"Vacant","Filled")</f>
        <v>Filled</v>
      </c>
      <c r="E46" s="612" t="inlineStr">
        <is>
          <t>Filled</t>
        </is>
      </c>
      <c r="F46" s="981" t="str">
        <f>INDEX('REVIEW - Complete Role Mapping'!$AP:$AP,143)</f>
        <v>Z Loyalty &amp; Martech</v>
      </c>
      <c r="G46" s="1157">
        <f>INDEX('REVIEW - Complete Role Mapping'!$AA:$AA,143)</f>
        <v>214587.9</v>
      </c>
      <c r="H46" s="949">
        <f>$G46*IFERROR(INDEX(Lists!$AD:$AD,MATCH($E46,Lists!$AC:$AC,0)),1)</f>
        <v>214587.9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Mapping'!$B:$B,144)</f>
        <v>Kellie Gathergood</v>
      </c>
      <c r="C47" s="634" t="str">
        <f>INDEX('REVIEW - Complete Role Mapping'!$C:$C,144)</f>
        <v>Lead Quality Assurance</v>
      </c>
      <c r="D47" s="612" t="str">
        <f>IF(ISNUMBER(SEARCH("vacant",$B47)),"Vacant","Filled")</f>
        <v>Filled</v>
      </c>
      <c r="E47" s="612" t="inlineStr">
        <is>
          <t>Filled</t>
        </is>
      </c>
      <c r="F47" s="981" t="str">
        <f>INDEX('REVIEW - Complete Role Mapping'!$AP:$AP,144)</f>
        <v>Z Loyalty &amp; Martech</v>
      </c>
      <c r="G47" s="1157">
        <f>INDEX('REVIEW - Complete Role Mapping'!$AA:$AA,144)</f>
        <v>257788.5</v>
      </c>
      <c r="H47" s="949">
        <f>$G47*IFERROR(INDEX(Lists!$AD:$AD,MATCH($E47,Lists!$AC:$AC,0)),1)</f>
        <v>257788.5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Mapping'!$B:$B,146)</f>
        <v>Kishore Ganesan</v>
      </c>
      <c r="C48" s="634" t="str">
        <f>INDEX('REVIEW - Complete Role Mapping'!$C:$C,146)</f>
        <v>Intermediate Quality Assurance</v>
      </c>
      <c r="D48" s="612" t="str">
        <f>IF(ISNUMBER(SEARCH("vacant",$B48)),"Vacant","Filled")</f>
        <v>Filled</v>
      </c>
      <c r="E48" s="612" t="inlineStr">
        <is>
          <t>Filled</t>
        </is>
      </c>
      <c r="F48" s="981" t="str">
        <f>INDEX('REVIEW - Complete Role Mapping'!$AP:$AP,146)</f>
        <v>Z Loyalty &amp; Martech</v>
      </c>
      <c r="G48" s="1157">
        <f>INDEX('REVIEW - Complete Role Mapping'!$AA:$AA,146)</f>
        <v>202853.25</v>
      </c>
      <c r="H48" s="949">
        <f>$G48*IFERROR(INDEX(Lists!$AD:$AD,MATCH($E48,Lists!$AC:$AC,0)),1)</f>
        <v>202853.25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Mapping'!$B:$B,151)</f>
        <v>Megan Rodgers</v>
      </c>
      <c r="C49" s="634" t="str">
        <f>INDEX('REVIEW - Complete Role Mapping'!$C:$C,151)</f>
        <v>Business Analyst</v>
      </c>
      <c r="D49" s="612" t="str">
        <f>IF(ISNUMBER(SEARCH("vacant",$B49)),"Vacant","Filled")</f>
        <v>Filled</v>
      </c>
      <c r="E49" s="612" t="inlineStr">
        <is>
          <t>Filled</t>
        </is>
      </c>
      <c r="F49" s="981" t="str">
        <f>INDEX('REVIEW - Complete Role Mapping'!$AP:$AP,151)</f>
        <v>Z Loyalty &amp; Martech</v>
      </c>
      <c r="G49" s="1157">
        <f>INDEX('REVIEW - Complete Role Mapping'!$AA:$AA,151)</f>
        <v>138702</v>
      </c>
      <c r="H49" s="949">
        <f>$G49*IFERROR(INDEX(Lists!$AD:$AD,MATCH($E49,Lists!$AC:$AC,0)),1)</f>
        <v>138702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Mapping'!$B:$B,153)</f>
        <v>Nimi Rose</v>
      </c>
      <c r="C50" s="634" t="str">
        <f>INDEX('REVIEW - Complete Role Mapping'!$C:$C,153)</f>
        <v>Marketing Technology Lead</v>
      </c>
      <c r="D50" s="612" t="str">
        <f>IF(ISNUMBER(SEARCH("vacant",$B50)),"Vacant","Filled")</f>
        <v>Filled</v>
      </c>
      <c r="E50" s="612" t="inlineStr">
        <is>
          <t>Filled</t>
        </is>
      </c>
      <c r="F50" s="981" t="str">
        <f>INDEX('REVIEW - Complete Role Mapping'!$AP:$AP,153)</f>
        <v>Z Loyalty &amp; Martech</v>
      </c>
      <c r="G50" s="1157">
        <f>INDEX('REVIEW - Complete Role Mapping'!$AA:$AA,153)</f>
        <v>197993.85</v>
      </c>
      <c r="H50" s="949">
        <f>$G50*IFERROR(INDEX(Lists!$AD:$AD,MATCH($E50,Lists!$AC:$AC,0)),1)</f>
        <v>197993.85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Mapping'!$B:$B,164)</f>
        <v>Scott Cullen</v>
      </c>
      <c r="C51" s="634" t="str">
        <f>INDEX('REVIEW - Complete Role Mapping'!$C:$C,164)</f>
        <v>Engineer, Dev Ops</v>
      </c>
      <c r="D51" s="612" t="str">
        <f>IF(ISNUMBER(SEARCH("vacant",$B51)),"Vacant","Filled")</f>
        <v>Filled</v>
      </c>
      <c r="E51" s="612" t="inlineStr">
        <is>
          <t>Filled</t>
        </is>
      </c>
      <c r="F51" s="981" t="str">
        <f>INDEX('REVIEW - Complete Role Mapping'!$AP:$AP,164)</f>
        <v>Z Loyalty &amp; Martech</v>
      </c>
      <c r="G51" s="1157">
        <f>INDEX('REVIEW - Complete Role Mapping'!$AA:$AA,164)</f>
        <v>220275</v>
      </c>
      <c r="H51" s="949">
        <f>$G51*IFERROR(INDEX(Lists!$AD:$AD,MATCH($E51,Lists!$AC:$AC,0)),1)</f>
        <v>220275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Mapping'!$B:$B,167)</f>
        <v>Shinal Chamberlain</v>
      </c>
      <c r="C52" s="634" t="str">
        <f>INDEX('REVIEW - Complete Role Mapping'!$C:$C,167)</f>
        <v>Business Analyst</v>
      </c>
      <c r="D52" s="612" t="str">
        <f>IF(ISNUMBER(SEARCH("vacant",$B52)),"Vacant","Filled")</f>
        <v>Filled</v>
      </c>
      <c r="E52" s="612" t="inlineStr">
        <is>
          <t>Filled</t>
        </is>
      </c>
      <c r="F52" s="981" t="str">
        <f>INDEX('REVIEW - Complete Role Mapping'!$AP:$AP,167)</f>
        <v>Z Loyalty &amp; Martech</v>
      </c>
      <c r="G52" s="1157">
        <f>INDEX('REVIEW - Complete Role Mapping'!$AA:$AA,167)</f>
        <v>274311.472</v>
      </c>
      <c r="H52" s="949">
        <f>$G52*IFERROR(INDEX(Lists!$AD:$AD,MATCH($E52,Lists!$AC:$AC,0)),1)</f>
        <v>274311.472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Mapping'!$B:$B,111)</f>
        <v>Alan Peng</v>
      </c>
      <c r="C53" s="634" t="str">
        <f>INDEX('REVIEW - Complete Role Mapping'!$C:$C,111)</f>
        <v>Delivery Lead</v>
      </c>
      <c r="D53" s="612" t="str">
        <f>IF(ISNUMBER(SEARCH("vacant",$B53)),"Vacant","Filled")</f>
        <v>Filled</v>
      </c>
      <c r="E53" s="612" t="inlineStr">
        <is>
          <t>Filled</t>
        </is>
      </c>
      <c r="F53" s="981" t="str">
        <f>INDEX('REVIEW - Complete Role Mapping'!$AP:$AP,111)</f>
        <v>EGI Customer</v>
      </c>
      <c r="G53" s="1157">
        <f>INDEX('REVIEW - Complete Role Mapping'!$AA:$AA,111)</f>
        <v>216043.05</v>
      </c>
      <c r="H53" s="949">
        <f>$G53*IFERROR(INDEX(Lists!$AD:$AD,MATCH($E53,Lists!$AC:$AC,0)),1)</f>
        <v>216043.05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Mapping'!$B:$B,115)</f>
        <v>Angie Ng</v>
      </c>
      <c r="C54" s="634" t="str">
        <f>INDEX('REVIEW - Complete Role Mapping'!$C:$C,115)</f>
        <v>Snr Engineer - BE</v>
      </c>
      <c r="D54" s="612" t="str">
        <f>IF(ISNUMBER(SEARCH("vacant",$B54)),"Vacant","Filled")</f>
        <v>Filled</v>
      </c>
      <c r="E54" s="612" t="inlineStr">
        <is>
          <t>Filled</t>
        </is>
      </c>
      <c r="F54" s="981" t="str">
        <f>INDEX('REVIEW - Complete Role Mapping'!$AP:$AP,115)</f>
        <v>EGI Customer</v>
      </c>
      <c r="G54" s="1157">
        <f>INDEX('REVIEW - Complete Role Mapping'!$AA:$AA,115)</f>
        <v>254958.3</v>
      </c>
      <c r="H54" s="949">
        <f>$G54*IFERROR(INDEX(Lists!$AD:$AD,MATCH($E54,Lists!$AC:$AC,0)),1)</f>
        <v>254958.3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Mapping'!$B:$B,129)</f>
        <v>Dasha Fothergill</v>
      </c>
      <c r="C55" s="634" t="str">
        <f>INDEX('REVIEW - Complete Role Mapping'!$C:$C,129)</f>
        <v>Data Analyst</v>
      </c>
      <c r="D55" s="612" t="str">
        <f>IF(ISNUMBER(SEARCH("vacant",$B55)),"Vacant","Filled")</f>
        <v>Filled</v>
      </c>
      <c r="E55" s="612" t="inlineStr">
        <is>
          <t>Filled</t>
        </is>
      </c>
      <c r="F55" s="981" t="str">
        <f>INDEX('REVIEW - Complete Role Mapping'!$AP:$AP,129)</f>
        <v>EGI Customer</v>
      </c>
      <c r="G55" s="1157">
        <f>INDEX('REVIEW - Complete Role Mapping'!$AA:$AA,129)</f>
        <v>188492.4</v>
      </c>
      <c r="H55" s="949">
        <f>$G55*IFERROR(INDEX(Lists!$AD:$AD,MATCH($E55,Lists!$AC:$AC,0)),1)</f>
        <v>188492.4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Mapping'!$B:$B,158)</f>
        <v>Ramez Haider</v>
      </c>
      <c r="C56" s="634" t="str">
        <f>INDEX('REVIEW - Complete Role Mapping'!$C:$C,158)</f>
        <v>Solution Architect</v>
      </c>
      <c r="D56" s="612" t="str">
        <f>IF(ISNUMBER(SEARCH("vacant",$B56)),"Vacant","Filled")</f>
        <v>Filled</v>
      </c>
      <c r="E56" s="612" t="inlineStr">
        <is>
          <t>Filled</t>
        </is>
      </c>
      <c r="F56" s="981" t="str">
        <f>INDEX('REVIEW - Complete Role Mapping'!$AP:$AP,158)</f>
        <v>EGI Customer</v>
      </c>
      <c r="G56" s="1157">
        <f>INDEX('REVIEW - Complete Role Mapping'!$AA:$AA,158)</f>
        <v>247530</v>
      </c>
      <c r="H56" s="949">
        <f>$G56*IFERROR(INDEX(Lists!$AD:$AD,MATCH($E56,Lists!$AC:$AC,0)),1)</f>
        <v>247530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Mapping'!$B:$B,159)</f>
        <v>Rishabh Bhatia</v>
      </c>
      <c r="C57" s="634" t="str">
        <f>INDEX('REVIEW - Complete Role Mapping'!$C:$C,159)</f>
        <v>Engineer - Mobile (Android)</v>
      </c>
      <c r="D57" s="612" t="str">
        <f>IF(ISNUMBER(SEARCH("vacant",$B57)),"Vacant","Filled")</f>
        <v>Filled</v>
      </c>
      <c r="E57" s="612" t="inlineStr">
        <is>
          <t>Filled</t>
        </is>
      </c>
      <c r="F57" s="981" t="str">
        <f>INDEX('REVIEW - Complete Role Mapping'!$AP:$AP,159)</f>
        <v>EGI Customer</v>
      </c>
      <c r="G57" s="1157">
        <f>INDEX('REVIEW - Complete Role Mapping'!$AA:$AA,159)</f>
        <v>136760</v>
      </c>
      <c r="H57" s="949">
        <f>$G57*IFERROR(INDEX(Lists!$AD:$AD,MATCH($E57,Lists!$AC:$AC,0)),1)</f>
        <v>136760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Mapping'!$B:$B,160)</f>
        <v>Rob Jadrjevic</v>
      </c>
      <c r="C58" s="634" t="str">
        <f>INDEX('REVIEW - Complete Role Mapping'!$C:$C,160)</f>
        <v>Engineer - BE</v>
      </c>
      <c r="D58" s="612" t="str">
        <f>IF(ISNUMBER(SEARCH("vacant",$B58)),"Vacant","Filled")</f>
        <v>Filled</v>
      </c>
      <c r="E58" s="612" t="inlineStr">
        <is>
          <t>Filled</t>
        </is>
      </c>
      <c r="F58" s="981" t="str">
        <f>INDEX('REVIEW - Complete Role Mapping'!$AP:$AP,160)</f>
        <v>EGI Customer</v>
      </c>
      <c r="G58" s="1157">
        <f>INDEX('REVIEW - Complete Role Mapping'!$AA:$AA,160)</f>
        <v>202853.25</v>
      </c>
      <c r="H58" s="949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Mapping'!$B:$B,161)</f>
        <v>Safiq Iqbal</v>
      </c>
      <c r="C59" s="634" t="str">
        <f>INDEX('REVIEW - Complete Role Mapping'!$C:$C,161)</f>
        <v>Principal Engineer</v>
      </c>
      <c r="D59" s="612" t="str">
        <f>IF(ISNUMBER(SEARCH("vacant",$B59)),"Vacant","Filled")</f>
        <v>Filled</v>
      </c>
      <c r="E59" s="612" t="inlineStr">
        <is>
          <t>Filled</t>
        </is>
      </c>
      <c r="F59" s="981" t="str">
        <f>INDEX('REVIEW - Complete Role Mapping'!$AP:$AP,161)</f>
        <v>EGI Customer</v>
      </c>
      <c r="G59" s="1157">
        <f>INDEX('REVIEW - Complete Role Mapping'!$AA:$AA,161)</f>
        <v>213600</v>
      </c>
      <c r="H59" s="949">
        <f>$G59*IFERROR(INDEX(Lists!$AD:$AD,MATCH($E59,Lists!$AC:$AC,0)),1)</f>
        <v>213600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Mapping'!$B:$B,170)</f>
        <v>Sri Balan Raj</v>
      </c>
      <c r="C60" s="634" t="str">
        <f>INDEX('REVIEW - Complete Role Mapping'!$C:$C,170)</f>
        <v>Business Analyst</v>
      </c>
      <c r="D60" s="612" t="str">
        <f>IF(ISNUMBER(SEARCH("vacant",$B60)),"Vacant","Filled")</f>
        <v>Filled</v>
      </c>
      <c r="E60" s="612" t="inlineStr">
        <is>
          <t>Filled</t>
        </is>
      </c>
      <c r="F60" s="981" t="str">
        <f>INDEX('REVIEW - Complete Role Mapping'!$AP:$AP,170)</f>
        <v>EGI Customer</v>
      </c>
      <c r="G60" s="1157">
        <f>INDEX('REVIEW - Complete Role Mapping'!$AA:$AA,170)</f>
        <v>275810.25</v>
      </c>
      <c r="H60" s="949">
        <f>$G60*IFERROR(INDEX(Lists!$AD:$AD,MATCH($E60,Lists!$AC:$AC,0)),1)</f>
        <v>275810.25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Mapping'!$B:$B,171)</f>
        <v>Swapnil Pithwa</v>
      </c>
      <c r="C61" s="646" t="str">
        <f>INDEX('REVIEW - Complete Role Mapping'!$C:$C,171)</f>
        <v>Engineer - BE</v>
      </c>
      <c r="D61" s="612" t="str">
        <f>IF(ISNUMBER(SEARCH("vacant",$B61)),"Vacant","Filled")</f>
        <v>Filled</v>
      </c>
      <c r="E61" s="612" t="inlineStr">
        <is>
          <t>Filled</t>
        </is>
      </c>
      <c r="F61" s="981" t="str">
        <f>INDEX('REVIEW - Complete Role Mapping'!$AP:$AP,171)</f>
        <v>EGI Customer</v>
      </c>
      <c r="G61" s="1157">
        <f>INDEX('REVIEW - Complete Role Mapping'!$AA:$AA,171)</f>
        <v>275810.25</v>
      </c>
      <c r="H61" s="949">
        <f>$G61*IFERROR(INDEX(Lists!$AD:$AD,MATCH($E61,Lists!$AC:$AC,0)),1)</f>
        <v>275810.25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Mapping'!$B:$B,187)</f>
        <v>Waheed Malek</v>
      </c>
      <c r="C62" s="634" t="str">
        <f>INDEX('REVIEW - Complete Role Mapping'!$C:$C,187)</f>
        <v>Quality Assurance</v>
      </c>
      <c r="D62" s="612" t="str">
        <f>IF(ISNUMBER(SEARCH("vacant",$B62)),"Vacant","Filled")</f>
        <v>Filled</v>
      </c>
      <c r="E62" s="612" t="inlineStr">
        <is>
          <t>Filled</t>
        </is>
      </c>
      <c r="F62" s="981" t="str">
        <f>INDEX('REVIEW - Complete Role Mapping'!$AP:$AP,187)</f>
        <v>EGI Customer</v>
      </c>
      <c r="G62" s="1157">
        <f>INDEX('REVIEW - Complete Role Mapping'!$AA:$AA,187)</f>
        <v>196277.808</v>
      </c>
      <c r="H62" s="949">
        <f>$G62*IFERROR(INDEX(Lists!$AD:$AD,MATCH($E62,Lists!$AC:$AC,0)),1)</f>
        <v>196277.808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Mapping'!$B:$B,108)</f>
        <v>Aaron Lu</v>
      </c>
      <c r="C63" s="634" t="str">
        <f>INDEX('REVIEW - Complete Role Mapping'!$C:$C,108)</f>
        <v>Engineer - BE</v>
      </c>
      <c r="D63" s="612" t="str">
        <f>IF(ISNUMBER(SEARCH("vacant",$B63)),"Vacant","Filled")</f>
        <v>Filled</v>
      </c>
      <c r="E63" s="612" t="inlineStr">
        <is>
          <t>Filled</t>
        </is>
      </c>
      <c r="F63" s="981" t="str">
        <f>INDEX('REVIEW - Complete Role Mapping'!$AP:$AP,108)</f>
        <v>Ampol Web</v>
      </c>
      <c r="G63" s="1157">
        <f>INDEX('REVIEW - Complete Role Mapping'!$AA:$AA,108)</f>
        <v>235333.8</v>
      </c>
      <c r="H63" s="949">
        <f>$G63*IFERROR(INDEX(Lists!$AD:$AD,MATCH($E63,Lists!$AC:$AC,0)),1)</f>
        <v>235333.8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Mapping'!$B:$B,120)</f>
        <v>Ashwini Gaikwad</v>
      </c>
      <c r="C64" s="634" t="str">
        <f>INDEX('REVIEW - Complete Role Mapping'!$C:$C,120)</f>
        <v>Quality Assurance</v>
      </c>
      <c r="D64" s="612" t="str">
        <f>IF(ISNUMBER(SEARCH("vacant",$B64)),"Vacant","Filled")</f>
        <v>Filled</v>
      </c>
      <c r="E64" s="612" t="inlineStr">
        <is>
          <t>Filled</t>
        </is>
      </c>
      <c r="F64" s="981" t="str">
        <f>INDEX('REVIEW - Complete Role Mapping'!$AP:$AP,120)</f>
        <v>Ampol Web</v>
      </c>
      <c r="G64" s="1157">
        <f>INDEX('REVIEW - Complete Role Mapping'!$AA:$AA,120)</f>
        <v>168677.25</v>
      </c>
      <c r="H64" s="949">
        <f>$G64*IFERROR(INDEX(Lists!$AD:$AD,MATCH($E64,Lists!$AC:$AC,0)),1)</f>
        <v>168677.25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Mapping'!$B:$B,128)</f>
        <v>Darwin Morales</v>
      </c>
      <c r="C65" s="962" t="str">
        <f>INDEX('REVIEW - Complete Role Mapping'!$C:$C,128)</f>
        <v>Snr Engineer - FE</v>
      </c>
      <c r="D65" s="612" t="str">
        <f>IF(ISNUMBER(SEARCH("vacant",$B65)),"Vacant","Filled")</f>
        <v>Filled</v>
      </c>
      <c r="E65" s="612" t="inlineStr">
        <is>
          <t>Filled</t>
        </is>
      </c>
      <c r="F65" s="981" t="str">
        <f>INDEX('REVIEW - Complete Role Mapping'!$AP:$AP,128)</f>
        <v>Ampol Web</v>
      </c>
      <c r="G65" s="1157">
        <f>INDEX('REVIEW - Complete Role Mapping'!$AA:$AA,128)</f>
        <v>243090.15</v>
      </c>
      <c r="H65" s="949">
        <f>$G65*IFERROR(INDEX(Lists!$AD:$AD,MATCH($E65,Lists!$AC:$AC,0)),1)</f>
        <v>243090.15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Mapping'!$B:$B,140)</f>
        <v>Jin Zhong</v>
      </c>
      <c r="C66" s="634" t="str">
        <f>INDEX('REVIEW - Complete Role Mapping'!$C:$C,140)</f>
        <v>Lead Engineer - BE</v>
      </c>
      <c r="D66" s="612" t="str">
        <f>IF(ISNUMBER(SEARCH("vacant",$B66)),"Vacant","Filled")</f>
        <v>Filled</v>
      </c>
      <c r="E66" s="612" t="inlineStr">
        <is>
          <t>Filled</t>
        </is>
      </c>
      <c r="F66" s="981" t="str">
        <f>INDEX('REVIEW - Complete Role Mapping'!$AP:$AP,140)</f>
        <v>Ampol Web</v>
      </c>
      <c r="G66" s="1157">
        <f>INDEX('REVIEW - Complete Role Mapping'!$AA:$AA,140)</f>
        <v>202853.25</v>
      </c>
      <c r="H66" s="949">
        <f>$G66*IFERROR(INDEX(Lists!$AD:$AD,MATCH($E66,Lists!$AC:$AC,0)),1)</f>
        <v>202853.25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Mapping'!$B:$B,141)</f>
        <v>Jordan Askwith</v>
      </c>
      <c r="C67" s="962" t="str">
        <f>INDEX('REVIEW - Complete Role Mapping'!$C:$C,141)</f>
        <v>Solution Architect</v>
      </c>
      <c r="D67" s="612" t="str">
        <f>IF(ISNUMBER(SEARCH("vacant",$B67)),"Vacant","Filled")</f>
        <v>Filled</v>
      </c>
      <c r="E67" s="612" t="inlineStr">
        <is>
          <t>Filled</t>
        </is>
      </c>
      <c r="F67" s="981" t="str">
        <f>INDEX('REVIEW - Complete Role Mapping'!$AP:$AP,141)</f>
        <v>Ampol Web</v>
      </c>
      <c r="G67" s="1157">
        <f>INDEX('REVIEW - Complete Role Mapping'!$AA:$AA,141)</f>
        <v>202853.25</v>
      </c>
      <c r="H67" s="949">
        <f>$G67*IFERROR(INDEX(Lists!$AD:$AD,MATCH($E67,Lists!$AC:$AC,0)),1)</f>
        <v>202853.25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Mapping'!$B:$B,148)</f>
        <v>Lily Fong</v>
      </c>
      <c r="C68" s="962" t="str">
        <f>INDEX('REVIEW - Complete Role Mapping'!$C:$C,148)</f>
        <v>Snr Business Analyst</v>
      </c>
      <c r="D68" s="612" t="str">
        <f>IF(ISNUMBER(SEARCH("vacant",$B68)),"Vacant","Filled")</f>
        <v>Filled</v>
      </c>
      <c r="E68" s="612" t="inlineStr">
        <is>
          <t>Filled</t>
        </is>
      </c>
      <c r="F68" s="981" t="str">
        <f>INDEX('REVIEW - Complete Role Mapping'!$AP:$AP,148)</f>
        <v>Ampol Web</v>
      </c>
      <c r="G68" s="1157">
        <f>INDEX('REVIEW - Complete Role Mapping'!$AA:$AA,148)</f>
        <v>170489.75</v>
      </c>
      <c r="H68" s="949">
        <f>$G68*IFERROR(INDEX(Lists!$AD:$AD,MATCH($E68,Lists!$AC:$AC,0)),1)</f>
        <v>170489.75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Mapping'!$B:$B,163)</f>
        <v>Saugata Acharya</v>
      </c>
      <c r="C69" s="646" t="str">
        <f>INDEX('REVIEW - Complete Role Mapping'!$C:$C,163)</f>
        <v>Delivery Lead</v>
      </c>
      <c r="D69" s="612" t="str">
        <f>IF(ISNUMBER(SEARCH("vacant",$B69)),"Vacant","Filled")</f>
        <v>Filled</v>
      </c>
      <c r="E69" s="612" t="inlineStr">
        <is>
          <t>Filled</t>
        </is>
      </c>
      <c r="F69" s="981" t="str">
        <f>INDEX('REVIEW - Complete Role Mapping'!$AP:$AP,163)</f>
        <v>Ampol Web</v>
      </c>
      <c r="G69" s="1157">
        <f>INDEX('REVIEW - Complete Role Mapping'!$AA:$AA,163)</f>
        <v>217914</v>
      </c>
      <c r="H69" s="949">
        <f>$G69*IFERROR(INDEX(Lists!$AD:$AD,MATCH($E69,Lists!$AC:$AC,0)),1)</f>
        <v>217914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Mapping'!$B:$B,190)</f>
        <v>Zohan Sim</v>
      </c>
      <c r="C70" s="634" t="str">
        <f>INDEX('REVIEW - Complete Role Mapping'!$C:$C,190)</f>
        <v>Engineer - BE</v>
      </c>
      <c r="D70" s="612" t="str">
        <f>IF(ISNUMBER(SEARCH("vacant",$B70)),"Vacant","Filled")</f>
        <v>Filled</v>
      </c>
      <c r="E70" s="612" t="inlineStr">
        <is>
          <t>Filled</t>
        </is>
      </c>
      <c r="F70" s="981" t="str">
        <f>INDEX('REVIEW - Complete Role Mapping'!$AP:$AP,190)</f>
        <v>Ampol Web</v>
      </c>
      <c r="G70" s="1157">
        <f>INDEX('REVIEW - Complete Role Mapping'!$AA:$AA,190)</f>
        <v>150018</v>
      </c>
      <c r="H70" s="949">
        <f>$G70*IFERROR(INDEX(Lists!$AD:$AD,MATCH($E70,Lists!$AC:$AC,0)),1)</f>
        <v>150018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Mapping'!$B:$B,114)</f>
        <v>Angela Gilbert</v>
      </c>
      <c r="C71" s="634" t="str">
        <f>INDEX('REVIEW - Complete Role Mapping'!$C:$C,114)</f>
        <v>Martech Lead - Dynamics</v>
      </c>
      <c r="D71" s="612" t="str">
        <f>IF(ISNUMBER(SEARCH("vacant",$B71)),"Vacant","Filled")</f>
        <v>Filled</v>
      </c>
      <c r="E71" s="612" t="inlineStr">
        <is>
          <t>Filled</t>
        </is>
      </c>
      <c r="F71" s="981" t="str">
        <f>INDEX('REVIEW - Complete Role Mapping'!$AP:$AP,114)</f>
        <v>Ampol Loyalty &amp; Martech</v>
      </c>
      <c r="G71" s="1157">
        <f>INDEX('REVIEW - Complete Role Mapping'!$AA:$AA,114)</f>
        <v>200250</v>
      </c>
      <c r="H71" s="949">
        <f>$G71*IFERROR(INDEX(Lists!$AD:$AD,MATCH($E71,Lists!$AC:$AC,0)),1)</f>
        <v>200250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Mapping'!$B:$B,137)</f>
        <v>Jawad Hassan</v>
      </c>
      <c r="C72" s="634" t="str">
        <f>INDEX('REVIEW - Complete Role Mapping'!$C:$C,137)</f>
        <v>Engineer Data (Snowflake)</v>
      </c>
      <c r="D72" s="612" t="str">
        <f>IF(ISNUMBER(SEARCH("vacant",$B72)),"Vacant","Filled")</f>
        <v>Filled</v>
      </c>
      <c r="E72" s="612" t="inlineStr">
        <is>
          <t>Filled</t>
        </is>
      </c>
      <c r="F72" s="981" t="str">
        <f>INDEX('REVIEW - Complete Role Mapping'!$AP:$AP,137)</f>
        <v>Ampol Loyalty &amp; Martech</v>
      </c>
      <c r="G72" s="1157">
        <f>INDEX('REVIEW - Complete Role Mapping'!$AA:$AA,137)</f>
        <v>202853.25</v>
      </c>
      <c r="H72" s="949">
        <f>$G72*IFERROR(INDEX(Lists!$AD:$AD,MATCH($E72,Lists!$AC:$AC,0)),1)</f>
        <v>202853.25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Mapping'!$B:$B,138)</f>
        <v>Jeremy Xu</v>
      </c>
      <c r="C73" s="634" t="str">
        <f>INDEX('REVIEW - Complete Role Mapping'!$C:$C,138)</f>
        <v>Data Analyst</v>
      </c>
      <c r="D73" s="612" t="str">
        <f>IF(ISNUMBER(SEARCH("vacant",$B73)),"Vacant","Filled")</f>
        <v>Filled</v>
      </c>
      <c r="E73" s="612" t="inlineStr">
        <is>
          <t>Filled</t>
        </is>
      </c>
      <c r="F73" s="981" t="str">
        <f>INDEX('REVIEW - Complete Role Mapping'!$AP:$AP,138)</f>
        <v>Ampol Loyalty &amp; Martech</v>
      </c>
      <c r="G73" s="1157">
        <f>INDEX('REVIEW - Complete Role Mapping'!$AA:$AA,138)</f>
        <v>202853.25</v>
      </c>
      <c r="H73" s="949">
        <f>$G73*IFERROR(INDEX(Lists!$AD:$AD,MATCH($E73,Lists!$AC:$AC,0)),1)</f>
        <v>202853.25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Mapping'!$B:$B,178)</f>
        <v>Vacant</v>
      </c>
      <c r="C74" s="634" t="str">
        <f>INDEX('REVIEW - Complete Role Mapping'!$C:$C,178)</f>
        <v>Engineer, Software</v>
      </c>
      <c r="D74" s="612" t="str">
        <f>IF(ISNUMBER(SEARCH("vacant",$B74)),"Vacant","Filled")</f>
        <v>Vacant</v>
      </c>
      <c r="E74" s="612" t="inlineStr">
        <is>
          <t>Hold</t>
        </is>
      </c>
      <c r="F74" s="981" t="str">
        <f>INDEX('REVIEW - Complete Role Mapping'!$AP:$AP,178)</f>
        <v>Ampol Loyalty &amp; Martech</v>
      </c>
      <c r="G74" s="1157">
        <f>INDEX('REVIEW - Complete Role Mapping'!$AA:$AA,178)</f>
        <v>155676</v>
      </c>
      <c r="H74" s="949">
        <f>$G74*IFERROR(INDEX(Lists!$AD:$AD,MATCH($E74,Lists!$AC:$AC,0)),1)</f>
        <v>0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Mapping'!$B:$B,179)</f>
        <v>Vacant</v>
      </c>
      <c r="C75" s="634" t="str">
        <f>INDEX('REVIEW - Complete Role Mapping'!$C:$C,179)</f>
        <v>Snr Engineer, Data</v>
      </c>
      <c r="D75" s="612" t="str">
        <f>IF(ISNUMBER(SEARCH("vacant",$B75)),"Vacant","Filled")</f>
        <v>Vacant</v>
      </c>
      <c r="E75" s="612" t="inlineStr">
        <is>
          <t>Hold</t>
        </is>
      </c>
      <c r="F75" s="981" t="str">
        <f>INDEX('REVIEW - Complete Role Mapping'!$AP:$AP,179)</f>
        <v>Ampol Loyalty &amp; Martech</v>
      </c>
      <c r="G75" s="1157">
        <f>INDEX('REVIEW - Complete Role Mapping'!$AA:$AA,179)</f>
        <v>174743.46</v>
      </c>
      <c r="H75" s="949">
        <f>$G75*IFERROR(INDEX(Lists!$AD:$AD,MATCH($E75,Lists!$AC:$AC,0)),1)</f>
        <v>0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Mapping'!$B:$B,180)</f>
        <v>Vacant</v>
      </c>
      <c r="C76" s="634" t="str">
        <f>INDEX('REVIEW - Complete Role Mapping'!$C:$C,180)</f>
        <v>Solution Architect</v>
      </c>
      <c r="D76" s="612" t="str">
        <f>IF(ISNUMBER(SEARCH("vacant",$B76)),"Vacant","Filled")</f>
        <v>Vacant</v>
      </c>
      <c r="E76" s="612" t="inlineStr">
        <is>
          <t>Hold</t>
        </is>
      </c>
      <c r="F76" s="981" t="str">
        <f>INDEX('REVIEW - Complete Role Mapping'!$AP:$AP,180)</f>
        <v>Ampol Loyalty &amp; Martech</v>
      </c>
      <c r="G76" s="1157">
        <f>INDEX('REVIEW - Complete Role Mapping'!$AA:$AA,180)</f>
        <v>75457.8</v>
      </c>
      <c r="H76" s="949">
        <f>$G76*IFERROR(INDEX(Lists!$AD:$AD,MATCH($E76,Lists!$AC:$AC,0)),1)</f>
        <v>0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Mapping'!$B:$B,181)</f>
        <v>Vacant</v>
      </c>
      <c r="C77" s="634" t="str">
        <f>INDEX('REVIEW - Complete Role Mapping'!$C:$C,181)</f>
        <v>Data Analyst</v>
      </c>
      <c r="D77" s="612" t="str">
        <f>IF(ISNUMBER(SEARCH("vacant",$B77)),"Vacant","Filled")</f>
        <v>Vacant</v>
      </c>
      <c r="E77" s="612" t="inlineStr">
        <is>
          <t>Hold</t>
        </is>
      </c>
      <c r="F77" s="981" t="str">
        <f>INDEX('REVIEW - Complete Role Mapping'!$AP:$AP,181)</f>
        <v>Ampol Loyalty &amp; Martech</v>
      </c>
      <c r="G77" s="1157">
        <f>INDEX('REVIEW - Complete Role Mapping'!$AA:$AA,181)</f>
        <v>75457.8</v>
      </c>
      <c r="H77" s="949">
        <f>$G77*IFERROR(INDEX(Lists!$AD:$AD,MATCH($E77,Lists!$AC:$AC,0)),1)</f>
        <v>0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Mapping'!$B:$B,127)</f>
        <v>Daniel Arban</v>
      </c>
      <c r="C78" s="634" t="str">
        <f>INDEX('REVIEW - Complete Role Mapping'!$C:$C,127)</f>
        <v>Service Delivery Lead</v>
      </c>
      <c r="D78" s="612" t="str">
        <f>IF(ISNUMBER(SEARCH("vacant",$B78)),"Vacant","Filled")</f>
        <v>Filled</v>
      </c>
      <c r="E78" s="612" t="inlineStr">
        <is>
          <t>Filled</t>
        </is>
      </c>
      <c r="F78" s="981" t="str">
        <f>INDEX('REVIEW - Complete Role Mapping'!$AP:$AP,127)</f>
        <v>Digital Operations</v>
      </c>
      <c r="G78" s="1157">
        <f>INDEX('REVIEW - Complete Role Mapping'!$AA:$AA,127)</f>
        <v>248640</v>
      </c>
      <c r="H78" s="949">
        <f>$G78*IFERROR(INDEX(Lists!$AD:$AD,MATCH($E78,Lists!$AC:$AC,0)),1)</f>
        <v>248640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Mapping'!$B:$B,133)</f>
        <v>Emile Violi</v>
      </c>
      <c r="C79" s="634" t="str">
        <f>INDEX('REVIEW - Complete Role Mapping'!$C:$C,133)</f>
        <v>Engineer - BE</v>
      </c>
      <c r="D79" s="612" t="str">
        <f>IF(ISNUMBER(SEARCH("vacant",$B79)),"Vacant","Filled")</f>
        <v>Filled</v>
      </c>
      <c r="E79" s="612" t="inlineStr">
        <is>
          <t>Filled</t>
        </is>
      </c>
      <c r="F79" s="981" t="str">
        <f>INDEX('REVIEW - Complete Role Mapping'!$AP:$AP,133)</f>
        <v>Digital Operations</v>
      </c>
      <c r="G79" s="1157">
        <f>INDEX('REVIEW - Complete Role Mapping'!$AA:$AA,133)</f>
        <v>154465.188</v>
      </c>
      <c r="H79" s="949">
        <f>$G79*IFERROR(INDEX(Lists!$AD:$AD,MATCH($E79,Lists!$AC:$AC,0)),1)</f>
        <v>154465.188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Mapping'!$B:$B,150)</f>
        <v>Mark Wilson</v>
      </c>
      <c r="C80" s="634" t="str">
        <f>INDEX('REVIEW - Complete Role Mapping'!$C:$C,150)</f>
        <v>Digital Support Manager (AU)</v>
      </c>
      <c r="D80" s="612" t="str">
        <f>IF(ISNUMBER(SEARCH("vacant",$B80)),"Vacant","Filled")</f>
        <v>Filled</v>
      </c>
      <c r="E80" s="612" t="inlineStr">
        <is>
          <t>Filled</t>
        </is>
      </c>
      <c r="F80" s="981" t="str">
        <f>INDEX('REVIEW - Complete Role Mapping'!$AP:$AP,150)</f>
        <v>Digital Operations</v>
      </c>
      <c r="G80" s="1157">
        <f>INDEX('REVIEW - Complete Role Mapping'!$AA:$AA,150)</f>
        <v>218926.65</v>
      </c>
      <c r="H80" s="949">
        <f>$G80*IFERROR(INDEX(Lists!$AD:$AD,MATCH($E80,Lists!$AC:$AC,0)),1)</f>
        <v>218926.65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Mapping'!$B:$B,169)</f>
        <v>Shreema Das</v>
      </c>
      <c r="C81" s="634" t="str">
        <f>INDEX('REVIEW - Complete Role Mapping'!$C:$C,169)</f>
        <v>Solution Architect</v>
      </c>
      <c r="D81" s="612" t="str">
        <f>IF(ISNUMBER(SEARCH("vacant",$B81)),"Vacant","Filled")</f>
        <v>Filled</v>
      </c>
      <c r="E81" s="612" t="inlineStr">
        <is>
          <t>Filled</t>
        </is>
      </c>
      <c r="F81" s="981" t="str">
        <f>INDEX('REVIEW - Complete Role Mapping'!$AP:$AP,169)</f>
        <v>Digital Operations</v>
      </c>
      <c r="G81" s="1157">
        <f>INDEX('REVIEW - Complete Role Mapping'!$AA:$AA,169)</f>
        <v>275810.25</v>
      </c>
      <c r="H81" s="949">
        <f>$G81*IFERROR(INDEX(Lists!$AD:$AD,MATCH($E81,Lists!$AC:$AC,0)),1)</f>
        <v>275810.25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Mapping'!$B:$B,182)</f>
        <v>Vacant</v>
      </c>
      <c r="C82" s="962" t="str">
        <f>INDEX('REVIEW - Complete Role Mapping'!$C:$C,182)</f>
        <v>.NET Back End Developer / Mid</v>
      </c>
      <c r="D82" s="612" t="str">
        <f>IF(ISNUMBER(SEARCH("vacant",$B82)),"Vacant","Filled")</f>
        <v>Vacant</v>
      </c>
      <c r="E82" s="612" t="inlineStr">
        <is>
          <t>Hold</t>
        </is>
      </c>
      <c r="F82" s="981" t="str">
        <f>INDEX('REVIEW - Complete Role Mapping'!$AP:$AP,182)</f>
        <v>Digital Operations</v>
      </c>
      <c r="G82" s="1157">
        <f>INDEX('REVIEW - Complete Role Mapping'!$AA:$AA,182)</f>
        <v>106519.664</v>
      </c>
      <c r="H82" s="949">
        <f>$G82*IFERROR(INDEX(Lists!$AD:$AD,MATCH($E82,Lists!$AC:$AC,0)),1)</f>
        <v>0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Mapping'!$B:$B,183)</f>
        <v>Vacant</v>
      </c>
      <c r="C83" s="962" t="str">
        <f>INDEX('REVIEW - Complete Role Mapping'!$C:$C,183)</f>
        <v>.NET Back End Developer / Mid</v>
      </c>
      <c r="D83" s="612" t="str">
        <f>IF(ISNUMBER(SEARCH("vacant",$B83)),"Vacant","Filled")</f>
        <v>Vacant</v>
      </c>
      <c r="E83" s="612" t="inlineStr">
        <is>
          <t>Hold</t>
        </is>
      </c>
      <c r="F83" s="981" t="str">
        <f>INDEX('REVIEW - Complete Role Mapping'!$AP:$AP,183)</f>
        <v>Digital Operations</v>
      </c>
      <c r="G83" s="1157">
        <f>INDEX('REVIEW - Complete Role Mapping'!$AA:$AA,183)</f>
        <v>105043.248</v>
      </c>
      <c r="H83" s="949">
        <f>$G83*IFERROR(INDEX(Lists!$AD:$AD,MATCH($E83,Lists!$AC:$AC,0)),1)</f>
        <v>0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Mapping'!$B:$B,184)</f>
        <v>Vacant</v>
      </c>
      <c r="C84" s="962" t="str">
        <f>INDEX('REVIEW - Complete Role Mapping'!$C:$C,184)</f>
        <v>QA / Tester / Mid</v>
      </c>
      <c r="D84" s="612" t="str">
        <f>IF(ISNUMBER(SEARCH("vacant",$B84)),"Vacant","Filled")</f>
        <v>Vacant</v>
      </c>
      <c r="E84" s="612" t="inlineStr">
        <is>
          <t>Hold</t>
        </is>
      </c>
      <c r="F84" s="981" t="str">
        <f>INDEX('REVIEW - Complete Role Mapping'!$AP:$AP,184)</f>
        <v>Digital Operations</v>
      </c>
      <c r="G84" s="1157">
        <f>INDEX('REVIEW - Complete Role Mapping'!$AA:$AA,184)</f>
        <v>194240.928</v>
      </c>
      <c r="H84" s="949">
        <f>$G84*IFERROR(INDEX(Lists!$AD:$AD,MATCH($E84,Lists!$AC:$AC,0)),1)</f>
        <v>0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Mapping'!$B:$B,118)</f>
        <v>Ants Jackson</v>
      </c>
      <c r="C85" s="634" t="str">
        <f>INDEX('REVIEW - Complete Role Mapping'!$C:$C,118)</f>
        <v>Experience Designer</v>
      </c>
      <c r="D85" s="612" t="str">
        <f>IF(ISNUMBER(SEARCH("vacant",$B85)),"Vacant","Filled")</f>
        <v>Filled</v>
      </c>
      <c r="E85" s="612" t="inlineStr">
        <is>
          <t>Filled</t>
        </is>
      </c>
      <c r="F85" s="981" t="str">
        <f>INDEX('REVIEW - Complete Role Mapping'!$AP:$AP,118)</f>
        <v>Z App and Web</v>
      </c>
      <c r="G85" s="1157">
        <f>INDEX('REVIEW - Complete Role Mapping'!$AA:$AA,118)</f>
        <v>220275</v>
      </c>
      <c r="H85" s="949">
        <f>$G85*IFERROR(INDEX(Lists!$AD:$AD,MATCH($E85,Lists!$AC:$AC,0)),1)</f>
        <v>220275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Mapping'!$B:$B,135)</f>
        <v>James Nicolle</v>
      </c>
      <c r="C86" s="646" t="str">
        <f>INDEX('REVIEW - Complete Role Mapping'!$C:$C,135)</f>
        <v>Delivery Lead</v>
      </c>
      <c r="D86" s="612" t="str">
        <f>IF(ISNUMBER(SEARCH("vacant",$B86)),"Vacant","Filled")</f>
        <v>Filled</v>
      </c>
      <c r="E86" s="612" t="inlineStr">
        <is>
          <t>Filled</t>
        </is>
      </c>
      <c r="F86" s="981" t="str">
        <f>INDEX('REVIEW - Complete Role Mapping'!$AP:$AP,135)</f>
        <v>Z App and Web</v>
      </c>
      <c r="G86" s="1157">
        <f>INDEX('REVIEW - Complete Role Mapping'!$AA:$AA,135)</f>
        <v>202853.25</v>
      </c>
      <c r="H86" s="949">
        <f>$G86*IFERROR(INDEX(Lists!$AD:$AD,MATCH($E86,Lists!$AC:$AC,0)),1)</f>
        <v>202853.25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Mapping'!$B:$B,162)</f>
        <v>Sam Turnball</v>
      </c>
      <c r="C87" s="634" t="str">
        <f>INDEX('REVIEW - Complete Role Mapping'!$C:$C,162)</f>
        <v>Associate Experience Designer</v>
      </c>
      <c r="D87" s="612" t="str">
        <f>IF(ISNUMBER(SEARCH("vacant",$B87)),"Vacant","Filled")</f>
        <v>Filled</v>
      </c>
      <c r="E87" s="612" t="inlineStr">
        <is>
          <t>Filled</t>
        </is>
      </c>
      <c r="F87" s="981" t="str">
        <f>INDEX('REVIEW - Complete Role Mapping'!$AP:$AP,162)</f>
        <v>Z App and Web</v>
      </c>
      <c r="G87" s="1157">
        <f>INDEX('REVIEW - Complete Role Mapping'!$AA:$AA,162)</f>
        <v>301148.976</v>
      </c>
      <c r="H87" s="949">
        <f>$G87*IFERROR(INDEX(Lists!$AD:$AD,MATCH($E87,Lists!$AC:$AC,0)),1)</f>
        <v>301148.976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Mapping'!$B:$B,165)</f>
        <v>Shane Abrahams</v>
      </c>
      <c r="C88" s="634" t="str">
        <f>INDEX('REVIEW - Complete Role Mapping'!$C:$C,165)</f>
        <v>Digital Support Manager - NZ</v>
      </c>
      <c r="D88" s="612" t="str">
        <f>IF(ISNUMBER(SEARCH("vacant",$B88)),"Vacant","Filled")</f>
        <v>Filled</v>
      </c>
      <c r="E88" s="612" t="inlineStr">
        <is>
          <t>Filled</t>
        </is>
      </c>
      <c r="F88" s="981" t="str">
        <f>INDEX('REVIEW - Complete Role Mapping'!$AP:$AP,165)</f>
        <v>Z App and Web</v>
      </c>
      <c r="G88" s="1157">
        <f>INDEX('REVIEW - Complete Role Mapping'!$AA:$AA,165)</f>
        <v>223198.572</v>
      </c>
      <c r="H88" s="949">
        <f>$G88*IFERROR(INDEX(Lists!$AD:$AD,MATCH($E88,Lists!$AC:$AC,0)),1)</f>
        <v>223198.572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Mapping'!$B:$B,172)</f>
        <v>Tim Corin</v>
      </c>
      <c r="C89" s="634" t="str">
        <f>INDEX('REVIEW - Complete Role Mapping'!$C:$C,172)</f>
        <v>Experience Designer</v>
      </c>
      <c r="D89" s="612" t="str">
        <f>IF(ISNUMBER(SEARCH("vacant",$B89)),"Vacant","Filled")</f>
        <v>Filled</v>
      </c>
      <c r="E89" s="612" t="inlineStr">
        <is>
          <t>Filled</t>
        </is>
      </c>
      <c r="F89" s="981" t="str">
        <f>INDEX('REVIEW - Complete Role Mapping'!$AP:$AP,172)</f>
        <v>Z App and Web</v>
      </c>
      <c r="G89" s="1157">
        <f>INDEX('REVIEW - Complete Role Mapping'!$AA:$AA,172)</f>
        <v>275810.25</v>
      </c>
      <c r="H89" s="949">
        <f>$G89*IFERROR(INDEX(Lists!$AD:$AD,MATCH($E89,Lists!$AC:$AC,0)),1)</f>
        <v>275810.25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Mapping'!$B:$B,185)</f>
        <v>Vacant</v>
      </c>
      <c r="C90" s="634" t="str">
        <f>INDEX('REVIEW - Complete Role Mapping'!$C:$C,185)</f>
        <v>QA / Tester / Mid</v>
      </c>
      <c r="D90" s="612" t="str">
        <f>IF(ISNUMBER(SEARCH("vacant",$B90)),"Vacant","Filled")</f>
        <v>Vacant</v>
      </c>
      <c r="E90" s="612" t="inlineStr">
        <is>
          <t>Hold</t>
        </is>
      </c>
      <c r="F90" s="981" t="str">
        <f>INDEX('REVIEW - Complete Role Mapping'!$AP:$AP,185)</f>
        <v>AU CRM &amp; Martech</v>
      </c>
      <c r="G90" s="1157">
        <f>INDEX('REVIEW - Complete Role Mapping'!$AA:$AA,185)</f>
        <v>95579.88</v>
      </c>
      <c r="H90" s="949">
        <f>$G90*IFERROR(INDEX(Lists!$AD:$AD,MATCH($E90,Lists!$AC:$AC,0)),1)</f>
        <v>0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Mapping'!$B:$B,186)</f>
        <v>Vacant</v>
      </c>
      <c r="C91" s="634" t="str">
        <f>INDEX('REVIEW - Complete Role Mapping'!$C:$C,186)</f>
        <v>Systems Analyst / Mid</v>
      </c>
      <c r="D91" s="612" t="str">
        <f>IF(ISNUMBER(SEARCH("vacant",$B91)),"Vacant","Filled")</f>
        <v>Vacant</v>
      </c>
      <c r="E91" s="612" t="inlineStr">
        <is>
          <t>Hold</t>
        </is>
      </c>
      <c r="F91" s="981" t="str">
        <f>INDEX('REVIEW - Complete Role Mapping'!$AP:$AP,186)</f>
        <v>AU CRM &amp; Martech</v>
      </c>
      <c r="G91" s="1157">
        <f>INDEX('REVIEW - Complete Role Mapping'!$AA:$AA,186)</f>
        <v>148354.548</v>
      </c>
      <c r="H91" s="949">
        <f>$G91*IFERROR(INDEX(Lists!$AD:$AD,MATCH($E91,Lists!$AC:$AC,0)),1)</f>
        <v>0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Mapping'!$B:$B,174)</f>
        <v>Vacant</v>
      </c>
      <c r="C92" s="646" t="str">
        <f>INDEX('REVIEW - Complete Role Mapping'!$C:$C,174)</f>
        <v>AI Engineer - Front End</v>
      </c>
      <c r="D92" s="612" t="str">
        <f>IF(ISNUMBER(SEARCH("vacant",$B92)),"Vacant","Filled")</f>
        <v>Vacant</v>
      </c>
      <c r="E92" s="612" t="inlineStr">
        <is>
          <t>Hold</t>
        </is>
      </c>
      <c r="F92" s="981" t="str">
        <f>INDEX('REVIEW - Complete Role Mapping'!$AP:$AP,174)</f>
        <v>Customer AI</v>
      </c>
      <c r="G92" s="1157">
        <f>INDEX('REVIEW - Complete Role Mapping'!$AA:$AA,174)</f>
        <v>85518.84</v>
      </c>
      <c r="H92" s="949">
        <f>$G92*IFERROR(INDEX(Lists!$AD:$AD,MATCH($E92,Lists!$AC:$AC,0)),1)</f>
        <v>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Mapping'!$B:$B,175)</f>
        <v>Vacant</v>
      </c>
      <c r="C93" s="634" t="str">
        <f>INDEX('REVIEW - Complete Role Mapping'!$C:$C,175)</f>
        <v>AI Engineer - Full Stack </v>
      </c>
      <c r="D93" s="612" t="str">
        <f>IF(ISNUMBER(SEARCH("vacant",$B93)),"Vacant","Filled")</f>
        <v>Vacant</v>
      </c>
      <c r="E93" s="612" t="inlineStr">
        <is>
          <t>Hold</t>
        </is>
      </c>
      <c r="F93" s="981" t="str">
        <f>INDEX('REVIEW - Complete Role Mapping'!$AP:$AP,175)</f>
        <v>Customer AI</v>
      </c>
      <c r="G93" s="1157">
        <f>INDEX('REVIEW - Complete Role Mapping'!$AA:$AA,175)</f>
        <v>85518.84</v>
      </c>
      <c r="H93" s="949">
        <f>$G93*IFERROR(INDEX(Lists!$AD:$AD,MATCH($E93,Lists!$AC:$AC,0)),1)</f>
        <v>0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Mapping'!$B:$B,130)</f>
        <v>Denise Esguerra</v>
      </c>
      <c r="C94" s="634" t="str">
        <f>INDEX('REVIEW - Complete Role Mapping'!$C:$C,130)</f>
        <v>Martech Specialist</v>
      </c>
      <c r="D94" s="612" t="str">
        <f>IF(ISNUMBER(SEARCH("vacant",$B94)),"Vacant","Filled")</f>
        <v>Filled</v>
      </c>
      <c r="E94" s="612" t="inlineStr">
        <is>
          <t>Filled</t>
        </is>
      </c>
      <c r="F94" s="981" t="str">
        <f>INDEX('REVIEW - Complete Role Mapping'!$AP:$AP,130)</f>
        <v>Z Energy Martech</v>
      </c>
      <c r="G94" s="1157">
        <f>INDEX('REVIEW - Complete Role Mapping'!$AA:$AA,130)</f>
        <v>177525</v>
      </c>
      <c r="H94" s="949">
        <f>$G94*IFERROR(INDEX(Lists!$AD:$AD,MATCH($E94,Lists!$AC:$AC,0)),1)</f>
        <v>177525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Mapping'!$B:$B,188)</f>
        <v>Yash Thakkar</v>
      </c>
      <c r="C95" s="634" t="str">
        <f>INDEX('REVIEW - Complete Role Mapping'!$C:$C,188)</f>
        <v>Martech Specialist</v>
      </c>
      <c r="D95" s="612" t="str">
        <f>IF(ISNUMBER(SEARCH("vacant",$B95)),"Vacant","Filled")</f>
        <v>Filled</v>
      </c>
      <c r="E95" s="612" t="inlineStr">
        <is>
          <t>Filled</t>
        </is>
      </c>
      <c r="F95" s="981" t="str">
        <f>INDEX('REVIEW - Complete Role Mapping'!$AP:$AP,188)</f>
        <v>Z Energy Martech</v>
      </c>
      <c r="G95" s="1157">
        <f>INDEX('REVIEW - Complete Role Mapping'!$AA:$AA,188)</f>
        <v>202853.25</v>
      </c>
      <c r="H95" s="949">
        <f>$G95*IFERROR(INDEX(Lists!$AD:$AD,MATCH($E95,Lists!$AC:$AC,0)),1)</f>
        <v>202853.25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Mapping'!$B:$B,136)</f>
        <v>Jasper Na</v>
      </c>
      <c r="C96" s="634" t="str">
        <f>INDEX('REVIEW - Complete Role Mapping'!$C:$C,136)</f>
        <v>Associate Engineer - BE</v>
      </c>
      <c r="D96" s="612" t="str">
        <f>IF(ISNUMBER(SEARCH("vacant",$B96)),"Vacant","Filled")</f>
        <v>Filled</v>
      </c>
      <c r="E96" s="612" t="inlineStr">
        <is>
          <t>Filled</t>
        </is>
      </c>
      <c r="F96" s="981" t="str">
        <f>INDEX('REVIEW - Complete Role Mapping'!$AP:$AP,136)</f>
        <v>Energy</v>
      </c>
      <c r="G96" s="1157">
        <f>INDEX('REVIEW - Complete Role Mapping'!$AA:$AA,136)</f>
        <v>170489.75</v>
      </c>
      <c r="H96" s="949">
        <f>$G96*IFERROR(INDEX(Lists!$AD:$AD,MATCH($E96,Lists!$AC:$AC,0)),1)</f>
        <v>170489.75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Mapping'!$B:$B,109)</f>
        <v>Abhilash Reddy</v>
      </c>
      <c r="C97" s="962" t="str">
        <f>INDEX('REVIEW - Complete Role Mapping'!$C:$C,109)</f>
        <v>Project Manager</v>
      </c>
      <c r="D97" s="612" t="str">
        <f>IF(ISNUMBER(SEARCH("vacant",$B97)),"Vacant","Filled")</f>
        <v>Filled</v>
      </c>
      <c r="E97" s="612" t="inlineStr">
        <is>
          <t>Filled</t>
        </is>
      </c>
      <c r="F97" s="981" t="str">
        <f>INDEX('REVIEW - Complete Role Mapping'!$AP:$AP,109)</f>
        <v>Leadership</v>
      </c>
      <c r="G97" s="1157">
        <f>INDEX('REVIEW - Complete Role Mapping'!$AA:$AA,109)</f>
        <v>266400</v>
      </c>
      <c r="H97" s="949">
        <f>$G97*IFERROR(INDEX(Lists!$AD:$AD,MATCH($E97,Lists!$AC:$AC,0)),1)</f>
        <v>266400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Mapping'!$B:$B,110)</f>
        <v>Adriel Jeyanandhan</v>
      </c>
      <c r="C98" s="962" t="str">
        <f>INDEX('REVIEW - Complete Role Mapping'!$C:$C,110)</f>
        <v>Delivery Manager</v>
      </c>
      <c r="D98" s="612" t="str">
        <f>IF(ISNUMBER(SEARCH("vacant",$B98)),"Vacant","Filled")</f>
        <v>Filled</v>
      </c>
      <c r="E98" s="612" t="inlineStr">
        <is>
          <t>Filled</t>
        </is>
      </c>
      <c r="F98" s="981" t="str">
        <f>INDEX('REVIEW - Complete Role Mapping'!$AP:$AP,110)</f>
        <v>Leadership</v>
      </c>
      <c r="G98" s="1157">
        <f>INDEX('REVIEW - Complete Role Mapping'!$AA:$AA,110)</f>
        <v>218018.85</v>
      </c>
      <c r="H98" s="949">
        <f>$G98*IFERROR(INDEX(Lists!$AD:$AD,MATCH($E98,Lists!$AC:$AC,0)),1)</f>
        <v>218018.85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Mapping'!$B:$B,113)</f>
        <v>Andy Stewart</v>
      </c>
      <c r="C99" s="962" t="str">
        <f>INDEX('REVIEW - Complete Role Mapping'!$C:$C,113)</f>
        <v>Head of Technology, Loyalty &amp; Martech</v>
      </c>
      <c r="D99" s="612" t="str">
        <f>IF(ISNUMBER(SEARCH("vacant",$B99)),"Vacant","Filled")</f>
        <v>Filled</v>
      </c>
      <c r="E99" s="612" t="inlineStr">
        <is>
          <t>Filled</t>
        </is>
      </c>
      <c r="F99" s="981" t="str">
        <f>INDEX('REVIEW - Complete Role Mapping'!$AP:$AP,113)</f>
        <v>Leadership</v>
      </c>
      <c r="G99" s="1157">
        <f>INDEX('REVIEW - Complete Role Mapping'!$AA:$AA,113)</f>
        <v>260204.85</v>
      </c>
      <c r="H99" s="949">
        <f>$G99*IFERROR(INDEX(Lists!$AD:$AD,MATCH($E99,Lists!$AC:$AC,0)),1)</f>
        <v>260204.85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Mapping'!$B:$B,123)</f>
        <v>Byron Thornhill</v>
      </c>
      <c r="C100" s="646" t="str">
        <f>INDEX('REVIEW - Complete Role Mapping'!$C:$C,123)</f>
        <v>Design Manager</v>
      </c>
      <c r="D100" s="612" t="str">
        <f>IF(ISNUMBER(SEARCH("vacant",$B100)),"Vacant","Filled")</f>
        <v>Filled</v>
      </c>
      <c r="E100" s="612" t="inlineStr">
        <is>
          <t>Filled</t>
        </is>
      </c>
      <c r="F100" s="981" t="str">
        <f>INDEX('REVIEW - Complete Role Mapping'!$AP:$AP,123)</f>
        <v>Leadership</v>
      </c>
      <c r="G100" s="1157">
        <f>INDEX('REVIEW - Complete Role Mapping'!$AA:$AA,123)</f>
        <v>157668.5</v>
      </c>
      <c r="H100" s="1159">
        <f>$G100*IFERROR(INDEX(Lists!$AD:$AD,MATCH($E100,Lists!$AC:$AC,0)),1)</f>
        <v>157668.5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Mapping'!$B:$B,126)</f>
        <v>Christian Lazano</v>
      </c>
      <c r="C101" s="962" t="str">
        <f>INDEX('REVIEW - Complete Role Mapping'!$C:$C,126)</f>
        <v>Business Analyst</v>
      </c>
      <c r="D101" s="612" t="str">
        <f>IF(ISNUMBER(SEARCH("vacant",$B101)),"Vacant","Filled")</f>
        <v>Filled</v>
      </c>
      <c r="E101" s="612" t="inlineStr">
        <is>
          <t>Filled</t>
        </is>
      </c>
      <c r="F101" s="981" t="str">
        <f>INDEX('REVIEW - Complete Role Mapping'!$AP:$AP,126)</f>
        <v>Leadership</v>
      </c>
      <c r="G101" s="1157">
        <f>INDEX('REVIEW - Complete Role Mapping'!$AA:$AA,126)</f>
        <v>266400</v>
      </c>
      <c r="H101" s="1159">
        <f>$G101*IFERROR(INDEX(Lists!$AD:$AD,MATCH($E101,Lists!$AC:$AC,0)),1)</f>
        <v>266400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Mapping'!$B:$B,131)</f>
        <v>Ed Tacey</v>
      </c>
      <c r="C102" s="962" t="str">
        <f>INDEX('REVIEW - Complete Role Mapping'!$C:$C,131)</f>
        <v>AI Enablement Lead</v>
      </c>
      <c r="D102" s="612" t="str">
        <f>IF(ISNUMBER(SEARCH("vacant",$B102)),"Vacant","Filled")</f>
        <v>Filled</v>
      </c>
      <c r="E102" s="612" t="inlineStr">
        <is>
          <t>Filled</t>
        </is>
      </c>
      <c r="F102" s="981" t="str">
        <f>INDEX('REVIEW - Complete Role Mapping'!$AP:$AP,131)</f>
        <v>Leadership</v>
      </c>
      <c r="G102" s="1157">
        <f>INDEX('REVIEW - Complete Role Mapping'!$AA:$AA,131)</f>
        <v>194184.348</v>
      </c>
      <c r="H102" s="1159">
        <f>$G102*IFERROR(INDEX(Lists!$AD:$AD,MATCH($E102,Lists!$AC:$AC,0)),1)</f>
        <v>194184.348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Mapping'!$B:$B,147)</f>
        <v>Kris Hamilton</v>
      </c>
      <c r="C103" s="646" t="str">
        <f>INDEX('REVIEW - Complete Role Mapping'!$C:$C,147)</f>
        <v>Technology Manager - Loyalty &amp; Martech</v>
      </c>
      <c r="D103" s="612" t="str">
        <f>IF(ISNUMBER(SEARCH("vacant",$B103)),"Vacant","Filled")</f>
        <v>Filled</v>
      </c>
      <c r="E103" s="612" t="inlineStr">
        <is>
          <t>Filled</t>
        </is>
      </c>
      <c r="F103" s="981" t="str">
        <f>INDEX('REVIEW - Complete Role Mapping'!$AP:$AP,147)</f>
        <v>Leadership</v>
      </c>
      <c r="G103" s="1157">
        <f>INDEX('REVIEW - Complete Role Mapping'!$AA:$AA,147)</f>
        <v>202853.25</v>
      </c>
      <c r="H103" s="1159">
        <f>$G103*IFERROR(INDEX(Lists!$AD:$AD,MATCH($E103,Lists!$AC:$AC,0)),1)</f>
        <v>202853.25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Mapping'!$B:$B,152)</f>
        <v>Mitesh Shah</v>
      </c>
      <c r="C104" s="634" t="str">
        <f>INDEX('REVIEW - Complete Role Mapping'!$C:$C,152)</f>
        <v>Technology Manager - Digital</v>
      </c>
      <c r="D104" s="612" t="str">
        <f>IF(ISNUMBER(SEARCH("vacant",$B104)),"Vacant","Filled")</f>
        <v>Filled</v>
      </c>
      <c r="E104" s="612" t="inlineStr">
        <is>
          <t>Filled</t>
        </is>
      </c>
      <c r="F104" s="981" t="str">
        <f>INDEX('REVIEW - Complete Role Mapping'!$AP:$AP,152)</f>
        <v>Leadership</v>
      </c>
      <c r="G104" s="1157">
        <f>INDEX('REVIEW - Complete Role Mapping'!$AA:$AA,152)</f>
        <v>223946.25</v>
      </c>
      <c r="H104" s="1159">
        <f>$G104*IFERROR(INDEX(Lists!$AD:$AD,MATCH($E104,Lists!$AC:$AC,0)),1)</f>
        <v>223946.25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Mapping'!$B:$B,168)</f>
        <v>Shona Paul</v>
      </c>
      <c r="C105" s="634" t="str">
        <f>INDEX('REVIEW - Complete Role Mapping'!$C:$C,168)</f>
        <v>Head of Technology - Digital</v>
      </c>
      <c r="D105" s="612" t="str">
        <f>IF(ISNUMBER(SEARCH("vacant",$B105)),"Vacant","Filled")</f>
        <v>Filled</v>
      </c>
      <c r="E105" s="612" t="inlineStr">
        <is>
          <t>Filled</t>
        </is>
      </c>
      <c r="F105" s="981" t="str">
        <f>INDEX('REVIEW - Complete Role Mapping'!$AP:$AP,168)</f>
        <v>Leadership</v>
      </c>
      <c r="G105" s="1157">
        <f>INDEX('REVIEW - Complete Role Mapping'!$AA:$AA,168)</f>
        <v>275810.25</v>
      </c>
      <c r="H105" s="949">
        <f>$G105*IFERROR(INDEX(Lists!$AD:$AD,MATCH($E105,Lists!$AC:$AC,0)),1)</f>
        <v>275810.25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Mapping'!$B:$B,189)</f>
        <v>Zoe Udy</v>
      </c>
      <c r="C106" s="634" t="str">
        <f>INDEX('REVIEW - Complete Role Mapping'!$C:$C,189)</f>
        <v>Technology Manager – Data &amp; Engineering</v>
      </c>
      <c r="D106" s="612" t="str">
        <f>IF(ISNUMBER(SEARCH("vacant",$B106)),"Vacant","Filled")</f>
        <v>Filled</v>
      </c>
      <c r="E106" s="612" t="inlineStr">
        <is>
          <t>Filled</t>
        </is>
      </c>
      <c r="F106" s="981" t="str">
        <f>INDEX('REVIEW - Complete Role Mapping'!$AP:$AP,189)</f>
        <v>Leadership</v>
      </c>
      <c r="G106" s="1157">
        <f>INDEX('REVIEW - Complete Role Mapping'!$AA:$AA,189)</f>
        <v>202853.25</v>
      </c>
      <c r="H106" s="442">
        <f>$G106*IFERROR(INDEX(Lists!$AD:$AD,MATCH($E106,Lists!$AC:$AC,0)),1)</f>
        <v>202853.25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Mapping'!$B:$B,176)</f>
        <v>Vacant</v>
      </c>
      <c r="C107" s="634" t="str">
        <f>INDEX('REVIEW - Complete Role Mapping'!$C:$C,176)</f>
        <v>Technology Manager, Engineering</v>
      </c>
      <c r="D107" s="612" t="str">
        <f>IF(ISNUMBER(SEARCH("vacant",$B107)),"Vacant","Filled")</f>
        <v>Vacant</v>
      </c>
      <c r="E107" s="612" t="inlineStr">
        <is>
          <t>Hold</t>
        </is>
      </c>
      <c r="F107" s="981" t="str">
        <f>INDEX('REVIEW - Complete Role Mapping'!$AP:$AP,176)</f>
        <v>Leadership</v>
      </c>
      <c r="G107" s="1157">
        <f>INDEX('REVIEW - Complete Role Mapping'!$AA:$AA,176)</f>
        <v>186432.888</v>
      </c>
      <c r="H107" s="442">
        <f>$G107*IFERROR(INDEX(Lists!$AD:$AD,MATCH($E107,Lists!$AC:$AC,0)),1)</f>
        <v>0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Mapping'!$B:$B,177)</f>
        <v>Vacant</v>
      </c>
      <c r="C108" s="634" t="str">
        <f>INDEX('REVIEW - Complete Role Mapping'!$C:$C,177)</f>
        <v>Program Manager</v>
      </c>
      <c r="D108" s="612" t="str">
        <f>IF(ISNUMBER(SEARCH("vacant",$B108)),"Vacant","Filled")</f>
        <v>Vacant</v>
      </c>
      <c r="E108" s="612" t="inlineStr">
        <is>
          <t>Hold</t>
        </is>
      </c>
      <c r="F108" s="981" t="str">
        <f>INDEX('REVIEW - Complete Role Mapping'!$AP:$AP,177)</f>
        <v>Leadership</v>
      </c>
      <c r="G108" s="1157">
        <f>INDEX('REVIEW - Complete Role Mapping'!$AA:$AA,177)</f>
        <v>163597.2</v>
      </c>
      <c r="H108" s="442">
        <f>$G108*IFERROR(INDEX(Lists!$AD:$AD,MATCH($E108,Lists!$AC:$AC,0)),1)</f>
        <v>0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n"/>
      <c r="C109" s="634" t="n"/>
      <c r="D109" s="612" t="n"/>
      <c r="E109" s="612" t="n"/>
      <c r="F109" s="612" t="n"/>
      <c r="G109" s="634" t="n"/>
      <c r="H109" s="442" t="n"/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n"/>
      <c r="C110" s="634" t="n"/>
      <c r="D110" s="612" t="n"/>
      <c r="E110" s="612" t="n"/>
      <c r="F110" s="612" t="n"/>
      <c r="G110" s="634" t="n"/>
      <c r="H110" s="442" t="n"/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</sheetData>
  <autoFilter ref="B24:G108">
    <sortState ref="B65:G108">
      <sortCondition ref="C24:C108"/>
    </sortState>
  </autoFilter>
  <conditionalFormatting sqref="D22:D108">
    <cfRule type="cellIs" priority="3" operator="equal" dxfId="1">
      <formula>"Vacant"</formula>
    </cfRule>
  </conditionalFormatting>
  <conditionalFormatting sqref="J6:J13">
    <cfRule type="expression" priority="4" dxfId="1">
      <formula>AND(ISNUMBER(J6),J6&gt;0)</formula>
    </cfRule>
    <cfRule type="expression" priority="5" dxfId="0">
      <formula>AND(ISNUMBER(J6),J6&lt;=0)</formula>
    </cfRule>
  </conditionalFormatting>
  <dataValidations count="1">
    <dataValidation sqref="E26:E108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Reporting &amp; Analytics</t>
        </is>
      </c>
      <c r="C6" s="635" t="str">
        <f>IFERROR(INDEX('1.3 Enterprise Data'!$C:$C,MATCH($S6,'1.3 Enterprise Data'!$B:$B,0)),"Outside archetype model")</f>
        <v>Enterprise Data and Insights</v>
      </c>
      <c r="D6" s="1150">
        <f>IFERROR(INDEX('0.3 Squad Archetypes'!$F$5:$F$23,MATCH($C6&amp;"|"&amp;$R6,'0.3 Squad Archetypes'!$A$5:$A$23,0)),"-")</f>
        <v>7.5</v>
      </c>
      <c r="E6" s="1151">
        <f>COUNTIFS($F$18:$F$47,$B6)</f>
        <v>12</v>
      </c>
      <c r="F6" s="1151">
        <f>IFERROR($E6-$D6,"-")</f>
        <v>4.5</v>
      </c>
      <c r="G6" s="1151">
        <f>COUNTIFS($F$18:$F$47,$B6,$D$18:$D$47,"Vacant")</f>
        <v>3</v>
      </c>
      <c r="H6" s="1151">
        <f>COUNTIFS($F$18:$F$47,$B6,$D$18:$D$47,"Vacant",$E$18:$E$47,"Hire")+COUNTIFS($F$18:$F$47,$B6,$D$18:$D$47,"Vacant",$E$18:$E$47,"Offshore")</f>
        <v>0</v>
      </c>
      <c r="I6" s="1151">
        <f>$G6-$H6</f>
        <v>3</v>
      </c>
      <c r="J6" s="634">
        <f>$E6-COUNTIFS($F$18:$F$47,$B6,$E$18:$E$47,"Hold")</f>
        <v>9</v>
      </c>
      <c r="K6" s="1152" t="str">
        <f>IF(NOT(ISNUMBER($D6)),"Outside the archetype model",IF($J6&gt;$D6,"Over archetype after decisions",IF($J6&lt;$D6,"Under archetype","On archetype")))</f>
        <v>Over archetype after decisions</v>
      </c>
      <c r="L6" s="1153">
        <f>IFERROR(INDEX('0.3 Squad Archetypes'!$G$5:$G$23,MATCH($C6&amp;"|"&amp;$R6,'0.3 Squad Archetypes'!$A$5:$A$23,0)),"-")</f>
        <v>1.7</v>
      </c>
      <c r="M6" s="1153">
        <f>SUMIFS($G$18:$G$47,$F$18:$F$47,$B6)/1000000</f>
        <v>2.7648117</v>
      </c>
      <c r="N6" s="1153">
        <f>IFERROR($M6-$L6,"-")</f>
        <v>1.0648117</v>
      </c>
      <c r="O6" s="635">
        <f>SUMIFS($H$18:$H$47,$F$18:$F$47,$B6)/1000000</f>
        <v>2.15625195</v>
      </c>
      <c r="P6">
        <f>$O6+(Lists!$AG$4+Lists!$AG$5)*$E6/$E$10</f>
        <v>2.30025195</v>
      </c>
      <c r="Q6">
        <f>IFERROR($P6-$L6,"-")</f>
        <v>0.60025195</v>
      </c>
      <c r="R6" t="str">
        <f>IFERROR(IF(INDEX('1.3 Enterprise Data'!$D:$D,MATCH($S6,'1.3 Enterprise Data'!$B:$B,0))="","-",INDEX('1.3 Enterprise Data'!$D:$D,MATCH($S6,'1.3 Enterprise Data'!$B:$B,0))),"-")</f>
        <v>M</v>
      </c>
      <c r="S6" t="str">
        <f>IFERROR(INDEX(Lists!$AA:$AA,MATCH($B6,Lists!$Z:$Z,0)),$B6)</f>
        <v>Reporting &amp; Analytics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Data Platforms</t>
        </is>
      </c>
      <c r="C7" s="635" t="str">
        <f>IFERROR(INDEX('1.3 Enterprise Data'!$C:$C,MATCH($S7,'1.3 Enterprise Data'!$B:$B,0)),"Outside archetype model")</f>
        <v>Enterprise Data and Insights</v>
      </c>
      <c r="D7" s="1150">
        <f>IFERROR(INDEX('0.3 Squad Archetypes'!$F$5:$F$23,MATCH($C7&amp;"|"&amp;$R7,'0.3 Squad Archetypes'!$A$5:$A$23,0)),"-")</f>
        <v>7.5</v>
      </c>
      <c r="E7" s="1151">
        <f>COUNTIFS($F$18:$F$47,$B7)</f>
        <v>9</v>
      </c>
      <c r="F7" s="1151">
        <f>IFERROR($E7-$D7,"-")</f>
        <v>1.5</v>
      </c>
      <c r="G7" s="1151">
        <f>COUNTIFS($F$18:$F$47,$B7,$D$18:$D$47,"Vacant")</f>
        <v>6</v>
      </c>
      <c r="H7" s="1151">
        <f>COUNTIFS($F$18:$F$47,$B7,$D$18:$D$47,"Vacant",$E$18:$E$47,"Hire")+COUNTIFS($F$18:$F$47,$B7,$D$18:$D$47,"Vacant",$E$18:$E$47,"Offshore")</f>
        <v>0</v>
      </c>
      <c r="I7" s="1151">
        <f>$G7-$H7</f>
        <v>6</v>
      </c>
      <c r="J7" s="634">
        <f>$E7-COUNTIFS($F$18:$F$47,$B7,$E$18:$E$47,"Hold")</f>
        <v>3</v>
      </c>
      <c r="K7" s="1152" t="str">
        <f>IF(NOT(ISNUMBER($D7)),"Outside the archetype model",IF($J7&gt;$D7,"Over archetype after decisions",IF($J7&lt;$D7,"Under archetype","On archetype")))</f>
        <v>Under archetype</v>
      </c>
      <c r="L7" s="1153">
        <f>IFERROR(INDEX('0.3 Squad Archetypes'!$G$5:$G$23,MATCH($C7&amp;"|"&amp;$R7,'0.3 Squad Archetypes'!$A$5:$A$23,0)),"-")</f>
        <v>1.7</v>
      </c>
      <c r="M7" s="1153">
        <f>SUMIFS($G$18:$G$47,$F$18:$F$47,$B7)/1000000</f>
        <v>1.786160296</v>
      </c>
      <c r="N7" s="1153">
        <f>IFERROR($M7-$L7,"-")</f>
        <v>0.0861602960000001</v>
      </c>
      <c r="O7" s="635">
        <f>SUMIFS($H$18:$H$47,$F$18:$F$47,$B7)/1000000</f>
        <v>0.633767796</v>
      </c>
      <c r="P7">
        <f>$O7+(Lists!$AG$4+Lists!$AG$5)*$E7/$E$10</f>
        <v>0.741767796</v>
      </c>
      <c r="Q7">
        <f>IFERROR($P7-$L7,"-")</f>
        <v>-0.958232204</v>
      </c>
      <c r="R7" t="str">
        <f>IFERROR(IF(INDEX('1.3 Enterprise Data'!$D:$D,MATCH($S7,'1.3 Enterprise Data'!$B:$B,0))="","-",INDEX('1.3 Enterprise Data'!$D:$D,MATCH($S7,'1.3 Enterprise Data'!$B:$B,0))),"-")</f>
        <v>M</v>
      </c>
      <c r="S7" t="str">
        <f>IFERROR(INDEX(Lists!$AA:$AA,MATCH($B7,Lists!$Z:$Z,0)),$B7)</f>
        <v>Data Platforms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Data Science</t>
        </is>
      </c>
      <c r="C8" s="635" t="str">
        <f>IFERROR(INDEX('1.3 Enterprise Data'!$C:$C,MATCH($S8,'1.3 Enterprise Data'!$B:$B,0)),"Outside archetype model")</f>
        <v>Enterprise Data and Insights</v>
      </c>
      <c r="D8" s="1150">
        <f>IFERROR(INDEX('0.3 Squad Archetypes'!$F$5:$F$23,MATCH($C8&amp;"|"&amp;$R8,'0.3 Squad Archetypes'!$A$5:$A$23,0)),"-")</f>
        <v>4</v>
      </c>
      <c r="E8" s="1151">
        <f>COUNTIFS($F$18:$F$47,$B8)</f>
        <v>4</v>
      </c>
      <c r="F8" s="1151">
        <f>IFERROR($E8-$D8,"-")</f>
        <v>0</v>
      </c>
      <c r="G8" s="1151">
        <f>COUNTIFS($F$18:$F$47,$B8,$D$18:$D$47,"Vacant")</f>
        <v>0</v>
      </c>
      <c r="H8" s="1151">
        <f>COUNTIFS($F$18:$F$47,$B8,$D$18:$D$47,"Vacant",$E$18:$E$47,"Hire")+COUNTIFS($F$18:$F$47,$B8,$D$18:$D$47,"Vacant",$E$18:$E$47,"Offshore")</f>
        <v>0</v>
      </c>
      <c r="I8" s="1151">
        <f>$G8-$H8</f>
        <v>0</v>
      </c>
      <c r="J8" s="634">
        <f>$E8-COUNTIFS($F$18:$F$47,$B8,$E$18:$E$47,"Hold")</f>
        <v>4</v>
      </c>
      <c r="K8" s="1152" t="str">
        <f>IF(NOT(ISNUMBER($D8)),"Outside the archetype model",IF($J8&gt;$D8,"Over archetype after decisions",IF($J8&lt;$D8,"Under archetype","On archetype")))</f>
        <v>On archetype</v>
      </c>
      <c r="L8" s="1153">
        <f>IFERROR(INDEX('0.3 Squad Archetypes'!$G$5:$G$23,MATCH($C8&amp;"|"&amp;$R8,'0.3 Squad Archetypes'!$A$5:$A$23,0)),"-")</f>
        <v>0.9</v>
      </c>
      <c r="M8" s="1153">
        <f>SUMIFS($G$18:$G$47,$F$18:$F$47,$B8)/1000000</f>
        <v>0.80639733</v>
      </c>
      <c r="N8" s="1153">
        <f>IFERROR($M8-$L8,"-")</f>
        <v>-0.0936026700000001</v>
      </c>
      <c r="O8" s="635">
        <f>SUMIFS($H$18:$H$47,$F$18:$F$47,$B8)/1000000</f>
        <v>0.80639733</v>
      </c>
      <c r="P8">
        <f>$O8+(Lists!$AG$4+Lists!$AG$5)*$E8/$E$10</f>
        <v>0.85439733</v>
      </c>
      <c r="Q8">
        <f>IFERROR($P8-$L8,"-")</f>
        <v>-0.0456026700000001</v>
      </c>
      <c r="R8" t="str">
        <f>IFERROR(IF(INDEX('1.3 Enterprise Data'!$D:$D,MATCH($S8,'1.3 Enterprise Data'!$B:$B,0))="","-",INDEX('1.3 Enterprise Data'!$D:$D,MATCH($S8,'1.3 Enterprise Data'!$B:$B,0))),"-")</f>
        <v>S</v>
      </c>
      <c r="S8" t="str">
        <f>IFERROR(INDEX(Lists!$AA:$AA,MATCH($B8,Lists!$Z:$Z,0)),$B8)</f>
        <v>Data Science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Leadership</t>
        </is>
      </c>
      <c r="C9" s="635" t="str">
        <f>IFERROR(INDEX('1.3 Enterprise Data'!$C:$C,MATCH($S9,'1.3 Enterprise Data'!$B:$B,0)),"Outside archetype model")</f>
        <v>Outside archetype model</v>
      </c>
      <c r="D9" s="1150" t="str">
        <f>IFERROR(INDEX('0.3 Squad Archetypes'!$F$5:$F$23,MATCH($C9&amp;"|"&amp;$R9,'0.3 Squad Archetypes'!$A$5:$A$23,0)),"-")</f>
        <v>-</v>
      </c>
      <c r="E9" s="1151">
        <f>COUNTIFS($F$18:$F$47,$B9)</f>
        <v>5</v>
      </c>
      <c r="F9" s="1151" t="str">
        <f>IFERROR($E9-$D9,"-")</f>
        <v>-</v>
      </c>
      <c r="G9" s="1151">
        <f>COUNTIFS($F$18:$F$47,$B9,$D$18:$D$47,"Vacant")</f>
        <v>1</v>
      </c>
      <c r="H9" s="1151">
        <f>COUNTIFS($F$18:$F$47,$B9,$D$18:$D$47,"Vacant",$E$18:$E$47,"Hire")+COUNTIFS($F$18:$F$47,$B9,$D$18:$D$47,"Vacant",$E$18:$E$47,"Offshore")</f>
        <v>0</v>
      </c>
      <c r="I9" s="1151">
        <f>$G9-$H9</f>
        <v>1</v>
      </c>
      <c r="J9" s="634">
        <f>$E9-COUNTIFS($F$18:$F$47,$B9,$E$18:$E$47,"Hold")</f>
        <v>4</v>
      </c>
      <c r="K9" s="1152" t="str">
        <f>IF(NOT(ISNUMBER($D9)),"Outside the archetype model",IF($J9&gt;$D9,"Over archetype after decisions",IF($J9&lt;$D9,"Under archetype","On archetype")))</f>
        <v>Outside the archetype model</v>
      </c>
      <c r="L9" s="1153" t="str">
        <f>IFERROR(INDEX('0.3 Squad Archetypes'!$G$5:$G$23,MATCH($C9&amp;"|"&amp;$R9,'0.3 Squad Archetypes'!$A$5:$A$23,0)),"-")</f>
        <v>-</v>
      </c>
      <c r="M9" s="1153">
        <f>SUMIFS($G$18:$G$47,$F$18:$F$47,$B9)/1000000</f>
        <v>1.55980615</v>
      </c>
      <c r="N9" s="1153" t="str">
        <f>IFERROR($M9-$L9,"-")</f>
        <v>-</v>
      </c>
      <c r="O9" s="635">
        <f>SUMIFS($H$18:$H$47,$F$18:$F$47,$B9)/1000000</f>
        <v>1.3569529</v>
      </c>
      <c r="P9">
        <f>$O9+(Lists!$AG$4+Lists!$AG$5)*$E9/$E$10</f>
        <v>1.4169529</v>
      </c>
      <c r="Q9" t="str">
        <f>IFERROR($P9-$L9,"-")</f>
        <v>-</v>
      </c>
      <c r="R9" t="str">
        <f>IFERROR(IF(INDEX('1.3 Enterprise Data'!$D:$D,MATCH($S9,'1.3 Enterprise Data'!$B:$B,0))="","-",INDEX('1.3 Enterprise Data'!$D:$D,MATCH($S9,'1.3 Enterprise Data'!$B:$B,0))),"-")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1212" t="inlineStr">
        <is>
          <t>Total</t>
        </is>
      </c>
      <c r="C10" s="635" t="n"/>
      <c r="D10" s="1150">
        <f>SUM(D6:D9)</f>
        <v>19</v>
      </c>
      <c r="E10" s="1151">
        <f>COUNTIFS('REVIEW - Complete Role Mapping'!$AJ$2:$AJ$528,"Enterprise Data")</f>
        <v>30</v>
      </c>
      <c r="F10" s="1151">
        <f>SUM(F6:F9)</f>
        <v>6</v>
      </c>
      <c r="G10" s="1151">
        <f>SUM(G6:G9)</f>
        <v>10</v>
      </c>
      <c r="H10" s="1151">
        <f>SUM(H6:H9)</f>
        <v>0</v>
      </c>
      <c r="I10" s="1151">
        <f>SUM(I6:I9)</f>
        <v>10</v>
      </c>
      <c r="J10" s="634">
        <f>SUM(J6:J9)</f>
        <v>20</v>
      </c>
      <c r="K10" s="1152" t="n"/>
      <c r="L10" s="1153">
        <f>SUM(L6:L9)</f>
        <v>4.3</v>
      </c>
      <c r="M10" s="1153">
        <f>SUMIFS('REVIEW - Complete Role Mapping'!$AA$2:$AA$528,'REVIEW - Complete Role Mapping'!$AJ$2:$AJ$528,"Enterprise Data")/1000000</f>
        <v>6.917175476</v>
      </c>
      <c r="N10" s="1153">
        <f>SUM(N6:N9)</f>
        <v>1.057369326</v>
      </c>
      <c r="O10" s="635">
        <f>SUM(O6:O9)</f>
        <v>4.953369976</v>
      </c>
      <c r="P10">
        <f>SUM(P6:P9)</f>
        <v>5.313369976</v>
      </c>
      <c r="Q10">
        <f>SUM(Q6:Q9)</f>
        <v>-0.403582924</v>
      </c>
    </row>
    <row r="11">
      <c r="A11" s="949" t="n"/>
      <c r="B11" s="640" t="n"/>
      <c r="C11" s="635" t="n"/>
      <c r="D11" s="1150" t="n"/>
      <c r="E11" s="1151" t="n"/>
      <c r="F11" s="1151" t="n"/>
      <c r="G11" s="1151" t="n"/>
      <c r="H11" s="1151" t="n"/>
      <c r="I11" s="1151" t="n"/>
      <c r="J11" s="634" t="n"/>
      <c r="K11" s="1152" t="n"/>
      <c r="L11" s="1153" t="n"/>
      <c r="M11" s="1153" t="n"/>
      <c r="N11" s="1153" t="n"/>
      <c r="O11" s="635" t="n"/>
    </row>
    <row r="12">
      <c r="A12" s="949" t="n"/>
      <c r="B12" s="1234" t="inlineStr">
        <is>
          <t>Cost to fill every vacancy at full onshore cost ($m)</t>
        </is>
      </c>
      <c r="C12" s="635" t="n"/>
      <c r="D12" s="1150" t="n"/>
      <c r="E12" s="1151">
        <f>SUMIFS($G$18:$G$47,$D$18:$D$47,"Vacant")/1000000</f>
        <v>1.9638055</v>
      </c>
      <c r="F12" s="1151" t="n"/>
      <c r="G12" s="1151" t="n"/>
      <c r="H12" s="1151" t="n"/>
      <c r="I12" s="1151" t="n"/>
      <c r="J12" s="634" t="n"/>
      <c r="K12" s="1152" t="n"/>
      <c r="L12" s="1153" t="n"/>
      <c r="M12" s="1153" t="n"/>
      <c r="N12" s="1153" t="n"/>
      <c r="O12" s="635" t="n"/>
    </row>
    <row r="13">
      <c r="A13" s="949" t="n"/>
      <c r="B13" s="1235" t="inlineStr">
        <is>
          <t>Of which currently marked Hire or Offshore ($m)</t>
        </is>
      </c>
      <c r="C13" s="641" t="n"/>
      <c r="D13" s="1154" t="n"/>
      <c r="E13" s="1154">
        <f>(SUMIFS($G$18:$G$47,$D$18:$D$47,"Vacant",$E$18:$E$47,"Hire")+Lists!$AD$5*SUMIFS($G$18:$G$47,$D$18:$D$47,"Vacant",$E$18:$E$47,"Offshore"))/1000000</f>
        <v>0</v>
      </c>
      <c r="F13" s="1154" t="n"/>
      <c r="G13" s="1154" t="n"/>
      <c r="H13" s="1154" t="n"/>
      <c r="I13" s="1154" t="n"/>
      <c r="J13" s="641" t="n"/>
      <c r="K13" s="1155" t="n"/>
      <c r="L13" s="1155" t="n"/>
      <c r="M13" s="1155" t="n"/>
      <c r="N13" s="1155" t="n"/>
      <c r="O13" s="641" t="n"/>
    </row>
    <row r="14">
      <c r="A14" s="949" t="n"/>
      <c r="B14" s="994" t="inlineStr">
        <is>
          <t>Leadership and Head of Technology already inside this portfolio ($m) - not re-added in column P</t>
        </is>
      </c>
      <c r="C14" s="949" t="n"/>
      <c r="D14" s="949" t="n"/>
      <c r="E14" s="1156">
        <f>SUMIFS('REVIEW - Complete Role Mapping'!$AA$2:$AA$528,'REVIEW - Complete Role Mapping'!$AJ$2:$AJ$528,"Enterprise Data",'REVIEW - Complete Role Mapping'!$AQ$2:$AQ$528,1)/1000000</f>
        <v>1.55980615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504" t="n"/>
      <c r="C15" s="949" t="n"/>
      <c r="D15" s="949" t="n"/>
      <c r="E15" s="1156" t="n"/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994" t="inlineStr">
        <is>
          <t>Enterprise Data roles - one row per named role, from REVIEW</t>
        </is>
      </c>
      <c r="C16" s="432" t="n"/>
      <c r="D16" s="432" t="n"/>
      <c r="E16" s="432" t="n"/>
      <c r="F16" s="432" t="n"/>
      <c r="G16" s="430" t="n"/>
      <c r="H16" s="430" t="n"/>
      <c r="I16" s="430" t="n"/>
      <c r="J16" s="430" t="n"/>
      <c r="K16" s="949" t="n"/>
      <c r="L16" s="949" t="n"/>
      <c r="M16" s="949" t="n"/>
      <c r="N16" s="949" t="n"/>
      <c r="O16" s="949" t="n"/>
    </row>
    <row r="17">
      <c r="A17" s="949" t="n"/>
      <c r="B17" s="1029" t="inlineStr">
        <is>
          <t>Name</t>
        </is>
      </c>
      <c r="C17" s="1029" t="inlineStr">
        <is>
          <t>Role</t>
        </is>
      </c>
      <c r="D17" s="1029" t="inlineStr">
        <is>
          <t>Status</t>
        </is>
      </c>
      <c r="E17" s="1029" t="inlineStr">
        <is>
          <t>Vacancy lever</t>
        </is>
      </c>
      <c r="F17" s="1029" t="inlineStr">
        <is>
          <t>Squad</t>
        </is>
      </c>
      <c r="G17" s="1029" t="inlineStr">
        <is>
          <t>Cost if hired ($)</t>
        </is>
      </c>
      <c r="H17" s="1029" t="inlineStr">
        <is>
          <t>Effective cost ($)</t>
        </is>
      </c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504" t="str">
        <f>INDEX('REVIEW - Complete Role Mapping'!$B:$B,279)</f>
        <v>Abdul Ghaffar</v>
      </c>
      <c r="C18" s="442" t="str">
        <f>INDEX('REVIEW - Complete Role Mapping'!$C:$C,279)</f>
        <v>Applications Specialist - Demand Planning</v>
      </c>
      <c r="D18" s="442" t="str">
        <f>IF(ISNUMBER(SEARCH("vacant",$B18)),"Vacant","Filled")</f>
        <v>Filled</v>
      </c>
      <c r="E18" s="1156" t="inlineStr">
        <is>
          <t>Filled</t>
        </is>
      </c>
      <c r="F18" s="442" t="str">
        <f>INDEX('REVIEW - Complete Role Mapping'!$AP:$AP,279)</f>
        <v>Reporting &amp; Analytics</v>
      </c>
      <c r="G18" s="442">
        <f>INDEX('REVIEW - Complete Role Mapping'!$AA:$AA,279)</f>
        <v>240300</v>
      </c>
      <c r="H18" s="442">
        <f>$G18*IFERROR(INDEX(Lists!$AD:$AD,MATCH($E18,Lists!$AC:$AC,0)),1)</f>
        <v>240300</v>
      </c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504" t="str">
        <f>INDEX('REVIEW - Complete Role Mapping'!$B:$B,280)</f>
        <v>Bobby Mason</v>
      </c>
      <c r="C19" s="442" t="str">
        <f>INDEX('REVIEW - Complete Role Mapping'!$C:$C,280)</f>
        <v>Reporting Analyst</v>
      </c>
      <c r="D19" s="442" t="str">
        <f>IF(ISNUMBER(SEARCH("vacant",$B19)),"Vacant","Filled")</f>
        <v>Filled</v>
      </c>
      <c r="E19" s="1156" t="inlineStr">
        <is>
          <t>Filled</t>
        </is>
      </c>
      <c r="F19" s="442" t="str">
        <f>INDEX('REVIEW - Complete Role Mapping'!$AP:$AP,280)</f>
        <v>Reporting &amp; Analytics</v>
      </c>
      <c r="G19" s="442">
        <f>INDEX('REVIEW - Complete Role Mapping'!$AA:$AA,280)</f>
        <v>222357.6</v>
      </c>
      <c r="H19" s="442">
        <f>$G19*IFERROR(INDEX(Lists!$AD:$AD,MATCH($E19,Lists!$AC:$AC,0)),1)</f>
        <v>222357.6</v>
      </c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433" t="str">
        <f>INDEX('REVIEW - Complete Role Mapping'!$B:$B,290)</f>
        <v>Kina Birkby</v>
      </c>
      <c r="C20" s="434" t="str">
        <f>INDEX('REVIEW - Complete Role Mapping'!$C:$C,290)</f>
        <v>Delivery Lead</v>
      </c>
      <c r="D20" s="434" t="str">
        <f>IF(ISNUMBER(SEARCH("vacant",$B20)),"Vacant","Filled")</f>
        <v>Filled</v>
      </c>
      <c r="E20" s="645" t="inlineStr">
        <is>
          <t>Filled</t>
        </is>
      </c>
      <c r="F20" s="434" t="str">
        <f>INDEX('REVIEW - Complete Role Mapping'!$AP:$AP,290)</f>
        <v>Reporting &amp; Analytics</v>
      </c>
      <c r="G20" s="949">
        <f>INDEX('REVIEW - Complete Role Mapping'!$AA:$AA,290)</f>
        <v>263235.3</v>
      </c>
      <c r="H20" s="949">
        <f>$G20*IFERROR(INDEX(Lists!$AD:$AD,MATCH($E20,Lists!$AC:$AC,0)),1)</f>
        <v>263235.3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533" t="str">
        <f>INDEX('REVIEW - Complete Role Mapping'!$B:$B,297)</f>
        <v>Prashanth Krishnankutty</v>
      </c>
      <c r="C21" s="533" t="str">
        <f>INDEX('REVIEW - Complete Role Mapping'!$C:$C,297)</f>
        <v>Lead Reporting &amp; Insights</v>
      </c>
      <c r="D21" s="533" t="str">
        <f>IF(ISNUMBER(SEARCH("vacant",$B21)),"Vacant","Filled")</f>
        <v>Filled</v>
      </c>
      <c r="E21" s="533" t="inlineStr">
        <is>
          <t>Filled</t>
        </is>
      </c>
      <c r="F21" s="533" t="str">
        <f>INDEX('REVIEW - Complete Role Mapping'!$AP:$AP,297)</f>
        <v>Reporting &amp; Analytics</v>
      </c>
      <c r="G21" s="949">
        <f>INDEX('REVIEW - Complete Role Mapping'!$AA:$AA,297)</f>
        <v>255372.15</v>
      </c>
      <c r="H21" s="949">
        <f>$G21*IFERROR(INDEX(Lists!$AD:$AD,MATCH($E21,Lists!$AC:$AC,0)),1)</f>
        <v>255372.15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46" t="str">
        <f>INDEX('REVIEW - Complete Role Mapping'!$B:$B,298)</f>
        <v>Rakshit Kaul</v>
      </c>
      <c r="C22" s="646" t="str">
        <f>INDEX('REVIEW - Complete Role Mapping'!$C:$C,298)</f>
        <v>Applications Specialist</v>
      </c>
      <c r="D22" s="646" t="str">
        <f>IF(ISNUMBER(SEARCH("vacant",$B22)),"Vacant","Filled")</f>
        <v>Filled</v>
      </c>
      <c r="E22" s="646" t="inlineStr">
        <is>
          <t>Filled</t>
        </is>
      </c>
      <c r="F22" s="646" t="str">
        <f>INDEX('REVIEW - Complete Role Mapping'!$AP:$AP,298)</f>
        <v>Reporting &amp; Analytics</v>
      </c>
      <c r="G22" s="949">
        <f>INDEX('REVIEW - Complete Role Mapping'!$AA:$AA,298)</f>
        <v>237763.5</v>
      </c>
      <c r="H22" s="949">
        <f>$G22*IFERROR(INDEX(Lists!$AD:$AD,MATCH($E22,Lists!$AC:$AC,0)),1)</f>
        <v>237763.5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Mapping'!$B:$B,308)</f>
        <v>Sai Konka</v>
      </c>
      <c r="C23" s="634" t="str">
        <f>INDEX('REVIEW - Complete Role Mapping'!$C:$C,308)</f>
        <v>Application &amp; Analytics Manager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Mapping'!$AP:$AP,308)</f>
        <v>Reporting &amp; Analytics</v>
      </c>
      <c r="G23" s="949">
        <f>INDEX('REVIEW - Complete Role Mapping'!$AA:$AA,308)</f>
        <v>263635.8</v>
      </c>
      <c r="H23" s="949">
        <f>$G23*IFERROR(INDEX(Lists!$AD:$AD,MATCH($E23,Lists!$AC:$AC,0)),1)</f>
        <v>263635.8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Mapping'!$B:$B,310)</f>
        <v>Steve Murray</v>
      </c>
      <c r="C24" s="634" t="str">
        <f>INDEX('REVIEW - Complete Role Mapping'!$C:$C,310)</f>
        <v>Applications Specialist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Mapping'!$AP:$AP,310)</f>
        <v>Reporting &amp; Analytics</v>
      </c>
      <c r="G24" s="949">
        <f>INDEX('REVIEW - Complete Role Mapping'!$AA:$AA,310)</f>
        <v>242970</v>
      </c>
      <c r="H24" s="949">
        <f>$G24*IFERROR(INDEX(Lists!$AD:$AD,MATCH($E24,Lists!$AC:$AC,0)),1)</f>
        <v>242970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Mapping'!$B:$B,311)</f>
        <v>Sumathi Manikkampichai</v>
      </c>
      <c r="C25" s="634" t="str">
        <f>INDEX('REVIEW - Complete Role Mapping'!$C:$C,311)</f>
        <v>Data Architect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Mapping'!$AP:$AP,311)</f>
        <v>Reporting &amp; Analytics</v>
      </c>
      <c r="G25" s="949">
        <f>INDEX('REVIEW - Complete Role Mapping'!$AA:$AA,311)</f>
        <v>250993.35</v>
      </c>
      <c r="H25" s="949">
        <f>$G25*IFERROR(INDEX(Lists!$AD:$AD,MATCH($E25,Lists!$AC:$AC,0)),1)</f>
        <v>250993.35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Mapping'!$B:$B,331)</f>
        <v>Vincent Lu</v>
      </c>
      <c r="C26" s="634" t="str">
        <f>INDEX('REVIEW - Complete Role Mapping'!$C:$C,331)</f>
        <v>Reporting Analyst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Mapping'!$AP:$AP,331)</f>
        <v>Reporting &amp; Analytics</v>
      </c>
      <c r="G26" s="949">
        <f>INDEX('REVIEW - Complete Role Mapping'!$AA:$AA,331)</f>
        <v>179624.25</v>
      </c>
      <c r="H26" s="949">
        <f>$G26*IFERROR(INDEX(Lists!$AD:$AD,MATCH($E26,Lists!$AC:$AC,0)),1)</f>
        <v>179624.25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Mapping'!$B:$B,318)</f>
        <v>Vacant</v>
      </c>
      <c r="C27" s="634" t="str">
        <f>INDEX('REVIEW - Complete Role Mapping'!$C:$C,318)</f>
        <v>Business Analyst</v>
      </c>
      <c r="D27" s="612" t="str">
        <f>IF(ISNUMBER(SEARCH("vacant",$B27)),"Vacant","Filled")</f>
        <v>Vacant</v>
      </c>
      <c r="E27" s="612" t="inlineStr">
        <is>
          <t>Hold</t>
        </is>
      </c>
      <c r="F27" s="634" t="str">
        <f>INDEX('REVIEW - Complete Role Mapping'!$AP:$AP,318)</f>
        <v>Reporting &amp; Analytics</v>
      </c>
      <c r="G27" s="949">
        <f>INDEX('REVIEW - Complete Role Mapping'!$AA:$AA,318)</f>
        <v>202853.25</v>
      </c>
      <c r="H27" s="949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Mapping'!$B:$B,329)</f>
        <v>Vacant</v>
      </c>
      <c r="C28" s="634" t="str">
        <f>INDEX('REVIEW - Complete Role Mapping'!$C:$C,329)</f>
        <v>Applications Specialist - Strategic Programs</v>
      </c>
      <c r="D28" s="612" t="str">
        <f>IF(ISNUMBER(SEARCH("vacant",$B28)),"Vacant","Filled")</f>
        <v>Vacant</v>
      </c>
      <c r="E28" s="612" t="inlineStr">
        <is>
          <t>Hold</t>
        </is>
      </c>
      <c r="F28" s="634" t="str">
        <f>INDEX('REVIEW - Complete Role Mapping'!$AP:$AP,329)</f>
        <v>Reporting &amp; Analytics</v>
      </c>
      <c r="G28" s="949">
        <f>INDEX('REVIEW - Complete Role Mapping'!$AA:$AA,329)</f>
        <v>202853.25</v>
      </c>
      <c r="H28" s="949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Mapping'!$B:$B,330)</f>
        <v>Vacant</v>
      </c>
      <c r="C29" s="634" t="str">
        <f>INDEX('REVIEW - Complete Role Mapping'!$C:$C,330)</f>
        <v>Reporting analysts - Strategic Programs</v>
      </c>
      <c r="D29" s="612" t="str">
        <f>IF(ISNUMBER(SEARCH("vacant",$B29)),"Vacant","Filled")</f>
        <v>Vacant</v>
      </c>
      <c r="E29" s="612" t="inlineStr">
        <is>
          <t>Hold</t>
        </is>
      </c>
      <c r="F29" s="634" t="str">
        <f>INDEX('REVIEW - Complete Role Mapping'!$AP:$AP,330)</f>
        <v>Reporting &amp; Analytics</v>
      </c>
      <c r="G29" s="949">
        <f>INDEX('REVIEW - Complete Role Mapping'!$AA:$AA,330)</f>
        <v>202853.25</v>
      </c>
      <c r="H29" s="949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Mapping'!$B:$B,284)</f>
        <v>Dinesh Chandrasekaran</v>
      </c>
      <c r="C30" s="634" t="str">
        <f>INDEX('REVIEW - Complete Role Mapping'!$C:$C,284)</f>
        <v>Lead Engineer (Snowflake)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Mapping'!$AP:$AP,284)</f>
        <v>Data Platforms</v>
      </c>
      <c r="G30" s="949">
        <f>INDEX('REVIEW - Complete Role Mapping'!$AA:$AA,284)</f>
        <v>243984.6</v>
      </c>
      <c r="H30" s="949">
        <f>$G30*IFERROR(INDEX(Lists!$AD:$AD,MATCH($E30,Lists!$AC:$AC,0)),1)</f>
        <v>243984.6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Mapping'!$B:$B,307)</f>
        <v>Roozbeh Shahbazirad</v>
      </c>
      <c r="C31" s="634" t="str">
        <f>INDEX('REVIEW - Complete Role Mapping'!$C:$C,307)</f>
        <v>Lead Engineer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Mapping'!$AP:$AP,307)</f>
        <v>Data Platforms</v>
      </c>
      <c r="G31" s="949">
        <f>INDEX('REVIEW - Complete Role Mapping'!$AA:$AA,307)</f>
        <v>204006.636</v>
      </c>
      <c r="H31" s="949">
        <f>$G31*IFERROR(INDEX(Lists!$AD:$AD,MATCH($E31,Lists!$AC:$AC,0)),1)</f>
        <v>204006.636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Mapping'!$B:$B,312)</f>
        <v>Tim Snedden</v>
      </c>
      <c r="C32" s="634" t="str">
        <f>INDEX('REVIEW - Complete Role Mapping'!$C:$C,312)</f>
        <v>Delivery Lead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Mapping'!$AP:$AP,312)</f>
        <v>Data Platforms</v>
      </c>
      <c r="G32" s="949">
        <f>INDEX('REVIEW - Complete Role Mapping'!$AA:$AA,312)</f>
        <v>185776.56</v>
      </c>
      <c r="H32" s="949">
        <f>$G32*IFERROR(INDEX(Lists!$AD:$AD,MATCH($E32,Lists!$AC:$AC,0)),1)</f>
        <v>185776.56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Mapping'!$B:$B,314)</f>
        <v>Vacant</v>
      </c>
      <c r="C33" s="634" t="str">
        <f>INDEX('REVIEW - Complete Role Mapping'!$C:$C,314)</f>
        <v>Engineer Data  </v>
      </c>
      <c r="D33" s="612" t="str">
        <f>IF(ISNUMBER(SEARCH("vacant",$B33)),"Vacant","Filled")</f>
        <v>Vacant</v>
      </c>
      <c r="E33" s="647" t="inlineStr">
        <is>
          <t>Hold</t>
        </is>
      </c>
      <c r="F33" s="648" t="str">
        <f>INDEX('REVIEW - Complete Role Mapping'!$AP:$AP,314)</f>
        <v>Data Platforms</v>
      </c>
      <c r="G33" s="949">
        <f>INDEX('REVIEW - Complete Role Mapping'!$AA:$AA,314)</f>
        <v>202853.25</v>
      </c>
      <c r="H33" s="949">
        <f>$G33*IFERROR(INDEX(Lists!$AD:$AD,MATCH($E33,Lists!$AC:$AC,0)),1)</f>
        <v>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Mapping'!$B:$B,315)</f>
        <v>Vacant</v>
      </c>
      <c r="C34" s="634" t="str">
        <f>INDEX('REVIEW - Complete Role Mapping'!$C:$C,315)</f>
        <v>Quality Assurance</v>
      </c>
      <c r="D34" s="612" t="str">
        <f>IF(ISNUMBER(SEARCH("vacant",$B34)),"Vacant","Filled")</f>
        <v>Vacant</v>
      </c>
      <c r="E34" s="612" t="inlineStr">
        <is>
          <t>Hold</t>
        </is>
      </c>
      <c r="F34" s="634" t="str">
        <f>INDEX('REVIEW - Complete Role Mapping'!$AP:$AP,315)</f>
        <v>Data Platforms</v>
      </c>
      <c r="G34" s="949">
        <f>INDEX('REVIEW - Complete Role Mapping'!$AA:$AA,315)</f>
        <v>170489.75</v>
      </c>
      <c r="H34" s="949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Mapping'!$B:$B,316)</f>
        <v>Vacant</v>
      </c>
      <c r="C35" s="646" t="str">
        <f>INDEX('REVIEW - Complete Role Mapping'!$C:$C,316)</f>
        <v>Engineer - DevOps</v>
      </c>
      <c r="D35" s="646" t="str">
        <f>IF(ISNUMBER(SEARCH("vacant",$B35)),"Vacant","Filled")</f>
        <v>Vacant</v>
      </c>
      <c r="E35" s="646" t="inlineStr">
        <is>
          <t>Hold</t>
        </is>
      </c>
      <c r="F35" s="646" t="str">
        <f>INDEX('REVIEW - Complete Role Mapping'!$AP:$AP,316)</f>
        <v>Data Platforms</v>
      </c>
      <c r="G35" s="949">
        <f>INDEX('REVIEW - Complete Role Mapping'!$AA:$AA,316)</f>
        <v>202853.25</v>
      </c>
      <c r="H35" s="949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Mapping'!$B:$B,317)</f>
        <v>Vacant</v>
      </c>
      <c r="C36" s="634" t="str">
        <f>INDEX('REVIEW - Complete Role Mapping'!$C:$C,317)</f>
        <v>Business Analyst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Mapping'!$AP:$AP,317)</f>
        <v>Data Platforms</v>
      </c>
      <c r="G36" s="949">
        <f>INDEX('REVIEW - Complete Role Mapping'!$AA:$AA,317)</f>
        <v>202853.25</v>
      </c>
      <c r="H36" s="949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Mapping'!$B:$B,319)</f>
        <v>Vacant</v>
      </c>
      <c r="C37" s="634" t="str">
        <f>INDEX('REVIEW - Complete Role Mapping'!$C:$C,319)</f>
        <v>Engineer - Data</v>
      </c>
      <c r="D37" s="612" t="str">
        <f>IF(ISNUMBER(SEARCH("vacant",$B37)),"Vacant","Filled")</f>
        <v>Vacant</v>
      </c>
      <c r="E37" s="612" t="inlineStr">
        <is>
          <t>Hold</t>
        </is>
      </c>
      <c r="F37" s="634" t="str">
        <f>INDEX('REVIEW - Complete Role Mapping'!$AP:$AP,319)</f>
        <v>Data Platforms</v>
      </c>
      <c r="G37" s="949">
        <f>INDEX('REVIEW - Complete Role Mapping'!$AA:$AA,319)</f>
        <v>202853.25</v>
      </c>
      <c r="H37" s="949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Mapping'!$B:$B,320)</f>
        <v>Vacant</v>
      </c>
      <c r="C38" s="634" t="str">
        <f>INDEX('REVIEW - Complete Role Mapping'!$C:$C,320)</f>
        <v>Quality Assurance</v>
      </c>
      <c r="D38" s="612" t="str">
        <f>IF(ISNUMBER(SEARCH("vacant",$B38)),"Vacant","Filled")</f>
        <v>Vacant</v>
      </c>
      <c r="E38" s="612" t="inlineStr">
        <is>
          <t>Hold</t>
        </is>
      </c>
      <c r="F38" s="634" t="str">
        <f>INDEX('REVIEW - Complete Role Mapping'!$AP:$AP,320)</f>
        <v>Data Platforms</v>
      </c>
      <c r="G38" s="949">
        <f>INDEX('REVIEW - Complete Role Mapping'!$AA:$AA,320)</f>
        <v>170489.75</v>
      </c>
      <c r="H38" s="949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Mapping'!$B:$B,281)</f>
        <v>Carol Kuang</v>
      </c>
      <c r="C39" s="634" t="str">
        <f>INDEX('REVIEW - Complete Role Mapping'!$C:$C,281)</f>
        <v>Senior Data Scientist</v>
      </c>
      <c r="D39" s="612" t="str">
        <f>IF(ISNUMBER(SEARCH("vacant",$B39)),"Vacant","Filled")</f>
        <v>Filled</v>
      </c>
      <c r="E39" s="612" t="inlineStr">
        <is>
          <t>Filled</t>
        </is>
      </c>
      <c r="F39" s="634" t="str">
        <f>INDEX('REVIEW - Complete Role Mapping'!$AP:$AP,281)</f>
        <v>Data Science</v>
      </c>
      <c r="G39" s="949">
        <f>INDEX('REVIEW - Complete Role Mapping'!$AA:$AA,281)</f>
        <v>184871.28</v>
      </c>
      <c r="H39" s="949">
        <f>$G39*IFERROR(INDEX(Lists!$AD:$AD,MATCH($E39,Lists!$AC:$AC,0)),1)</f>
        <v>184871.28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Mapping'!$B:$B,295)</f>
        <v>Om Singh</v>
      </c>
      <c r="C40" s="646" t="str">
        <f>INDEX('REVIEW - Complete Role Mapping'!$C:$C,295)</f>
        <v>Data Scientist</v>
      </c>
      <c r="D40" s="646" t="str">
        <f>IF(ISNUMBER(SEARCH("vacant",$B40)),"Vacant","Filled")</f>
        <v>Filled</v>
      </c>
      <c r="E40" s="646" t="inlineStr">
        <is>
          <t>Filled</t>
        </is>
      </c>
      <c r="F40" s="646" t="str">
        <f>INDEX('REVIEW - Complete Role Mapping'!$AP:$AP,295)</f>
        <v>Data Science</v>
      </c>
      <c r="G40" s="949">
        <f>INDEX('REVIEW - Complete Role Mapping'!$AA:$AA,295)</f>
        <v>181470</v>
      </c>
      <c r="H40" s="949">
        <f>$G40*IFERROR(INDEX(Lists!$AD:$AD,MATCH($E40,Lists!$AC:$AC,0)),1)</f>
        <v>181470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Mapping'!$B:$B,296)</f>
        <v>Prashant Tataskar</v>
      </c>
      <c r="C41" s="634" t="str">
        <f>INDEX('REVIEW - Complete Role Mapping'!$C:$C,296)</f>
        <v>Data Scientist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Mapping'!$AP:$AP,296)</f>
        <v>Data Science</v>
      </c>
      <c r="G41" s="949">
        <f>INDEX('REVIEW - Complete Role Mapping'!$AA:$AA,296)</f>
        <v>208473.6</v>
      </c>
      <c r="H41" s="949">
        <f>$G41*IFERROR(INDEX(Lists!$AD:$AD,MATCH($E41,Lists!$AC:$AC,0)),1)</f>
        <v>208473.6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Mapping'!$B:$B,332)</f>
        <v>Yu Chen</v>
      </c>
      <c r="C42" s="646" t="str">
        <f>INDEX('REVIEW - Complete Role Mapping'!$C:$C,332)</f>
        <v>Senior Data Scientist</v>
      </c>
      <c r="D42" s="646" t="str">
        <f>IF(ISNUMBER(SEARCH("vacant",$B42)),"Vacant","Filled")</f>
        <v>Filled</v>
      </c>
      <c r="E42" s="646" t="inlineStr">
        <is>
          <t>Filled</t>
        </is>
      </c>
      <c r="F42" s="646" t="str">
        <f>INDEX('REVIEW - Complete Role Mapping'!$AP:$AP,332)</f>
        <v>Data Science</v>
      </c>
      <c r="G42" s="949">
        <f>INDEX('REVIEW - Complete Role Mapping'!$AA:$AA,332)</f>
        <v>231582.45</v>
      </c>
      <c r="H42" s="949">
        <f>$G42*IFERROR(INDEX(Lists!$AD:$AD,MATCH($E42,Lists!$AC:$AC,0)),1)</f>
        <v>231582.45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Mapping'!$B:$B,283)</f>
        <v>Deepali Mahajan</v>
      </c>
      <c r="C43" s="634" t="str">
        <f>INDEX('REVIEW - Complete Role Mapping'!$C:$C,283)</f>
        <v>Data Operations Manager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Mapping'!$AP:$AP,283)</f>
        <v>Leadership</v>
      </c>
      <c r="G43" s="949">
        <f>INDEX('REVIEW - Complete Role Mapping'!$AA:$AA,283)</f>
        <v>295918.45</v>
      </c>
      <c r="H43" s="949">
        <f>$G43*IFERROR(INDEX(Lists!$AD:$AD,MATCH($E43,Lists!$AC:$AC,0)),1)</f>
        <v>295918.45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Mapping'!$B:$B,285)</f>
        <v>James Holgate</v>
      </c>
      <c r="C44" s="634" t="str">
        <f>INDEX('REVIEW - Complete Role Mapping'!$C:$C,285)</f>
        <v>Head of Technology,  Group Data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Mapping'!$AP:$AP,285)</f>
        <v>Leadership</v>
      </c>
      <c r="G44" s="949">
        <f>INDEX('REVIEW - Complete Role Mapping'!$AA:$AA,285)</f>
        <v>409755.7</v>
      </c>
      <c r="H44" s="949">
        <f>$G44*IFERROR(INDEX(Lists!$AD:$AD,MATCH($E44,Lists!$AC:$AC,0)),1)</f>
        <v>409755.7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Mapping'!$B:$B,286)</f>
        <v>Jason Gleason</v>
      </c>
      <c r="C45" s="634" t="str">
        <f>INDEX('REVIEW - Complete Role Mapping'!$C:$C,286)</f>
        <v>Technology Manager, Data Engineering &amp; Platforms</v>
      </c>
      <c r="D45" s="612" t="str">
        <f>IF(ISNUMBER(SEARCH("vacant",$B45)),"Vacant","Filled")</f>
        <v>Filled</v>
      </c>
      <c r="E45" s="647" t="inlineStr">
        <is>
          <t>Filled</t>
        </is>
      </c>
      <c r="F45" s="648" t="str">
        <f>INDEX('REVIEW - Complete Role Mapping'!$AP:$AP,286)</f>
        <v>Leadership</v>
      </c>
      <c r="G45" s="949">
        <f>INDEX('REVIEW - Complete Role Mapping'!$AA:$AA,286)</f>
        <v>320862</v>
      </c>
      <c r="H45" s="949">
        <f>$G45*IFERROR(INDEX(Lists!$AD:$AD,MATCH($E45,Lists!$AC:$AC,0)),1)</f>
        <v>320862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Mapping'!$B:$B,289)</f>
        <v>Jonathan Robinson</v>
      </c>
      <c r="C46" s="634" t="str">
        <f>INDEX('REVIEW - Complete Role Mapping'!$C:$C,289)</f>
        <v>Technology Manager  Data Science</v>
      </c>
      <c r="D46" s="612" t="str">
        <f>IF(ISNUMBER(SEARCH("vacant",$B46)),"Vacant","Filled")</f>
        <v>Filled</v>
      </c>
      <c r="E46" s="647" t="inlineStr">
        <is>
          <t>Filled</t>
        </is>
      </c>
      <c r="F46" s="648" t="str">
        <f>INDEX('REVIEW - Complete Role Mapping'!$AP:$AP,289)</f>
        <v>Leadership</v>
      </c>
      <c r="G46" s="949">
        <f>INDEX('REVIEW - Complete Role Mapping'!$AA:$AA,289)</f>
        <v>330416.75</v>
      </c>
      <c r="H46" s="949">
        <f>$G46*IFERROR(INDEX(Lists!$AD:$AD,MATCH($E46,Lists!$AC:$AC,0)),1)</f>
        <v>330416.75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Mapping'!$B:$B,313)</f>
        <v>Vacant</v>
      </c>
      <c r="C47" s="634" t="str">
        <f>INDEX('REVIEW - Complete Role Mapping'!$C:$C,313)</f>
        <v>Service Transition Lead</v>
      </c>
      <c r="D47" s="612" t="str">
        <f>IF(ISNUMBER(SEARCH("vacant",$B47)),"Vacant","Filled")</f>
        <v>Vacant</v>
      </c>
      <c r="E47" s="647" t="inlineStr">
        <is>
          <t>Hold</t>
        </is>
      </c>
      <c r="F47" s="648" t="str">
        <f>INDEX('REVIEW - Complete Role Mapping'!$AP:$AP,313)</f>
        <v>Leadership</v>
      </c>
      <c r="G47" s="949">
        <f>INDEX('REVIEW - Complete Role Mapping'!$AA:$AA,313)</f>
        <v>202853.25</v>
      </c>
      <c r="H47" s="949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n"/>
      <c r="C48" s="634" t="n"/>
      <c r="D48" s="612" t="n"/>
      <c r="E48" s="647" t="n"/>
      <c r="F48" s="648" t="n"/>
      <c r="G48" s="949" t="n"/>
      <c r="H48" s="949" t="n"/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n"/>
      <c r="C49" s="634" t="n"/>
      <c r="D49" s="612" t="n"/>
      <c r="E49" s="647" t="n"/>
      <c r="F49" s="648" t="n"/>
      <c r="G49" s="949" t="n"/>
      <c r="H49" s="949" t="n"/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n"/>
      <c r="C50" s="634" t="n"/>
      <c r="D50" s="612" t="n"/>
      <c r="E50" s="647" t="n"/>
      <c r="F50" s="648" t="n"/>
      <c r="G50" s="949" t="n"/>
      <c r="H50" s="949" t="n"/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n"/>
      <c r="C51" s="646" t="n"/>
      <c r="D51" s="646" t="n"/>
      <c r="E51" s="646" t="n"/>
      <c r="F51" s="646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n"/>
      <c r="C52" s="634" t="n"/>
      <c r="D52" s="612" t="n"/>
      <c r="E52" s="612" t="n"/>
      <c r="F52" s="634" t="n"/>
      <c r="G52" s="949" t="n"/>
      <c r="H52" s="949" t="n"/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54">
    <cfRule type="cellIs" priority="1" operator="equal" dxfId="1">
      <formula>"Vacant"</formula>
    </cfRule>
  </conditionalFormatting>
  <conditionalFormatting sqref="I6:I10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8:E47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Cloud, Network &amp; Infra Ops</t>
        </is>
      </c>
      <c r="C6" s="635" t="str">
        <f>IFERROR(INDEX('1.4 TDD Group Functions'!$C:$C,MATCH($S6,'1.4 TDD Group Functions'!$B:$B,0)),"Outside archetype model")</f>
        <v>Operations</v>
      </c>
      <c r="D6" s="1150">
        <f>IFERROR(INDEX('0.3 Squad Archetypes'!$F$5:$F$23,MATCH($C6&amp;"|"&amp;$R6,'0.3 Squad Archetypes'!$A$5:$A$23,0)),"-")</f>
        <v>6</v>
      </c>
      <c r="E6" s="1151">
        <f>COUNTIFS($F$20:$F$65,$B6)</f>
        <v>12</v>
      </c>
      <c r="F6" s="1151">
        <f>IFERROR($E6-$D6,"-")</f>
        <v>6</v>
      </c>
      <c r="G6" s="1151">
        <f>COUNTIFS($F$20:$F$65,$B6,$D$20:$D$65,"Vacant")</f>
        <v>1</v>
      </c>
      <c r="H6" s="1151">
        <f>COUNTIFS($F$20:$F$65,$B6,$D$20:$D$65,"Vacant",$E$20:$E$65,"Hire")+COUNTIFS($F$20:$F$65,$B6,$D$20:$D$65,"Vacant",$E$20:$E$65,"Offshore")</f>
        <v>0</v>
      </c>
      <c r="I6" s="1151">
        <f>$G6-$H6</f>
        <v>1</v>
      </c>
      <c r="J6" s="634">
        <f>$E6-COUNTIFS($F$20:$F$65,$B6,$E$20:$E$65,"Hold")</f>
        <v>11</v>
      </c>
      <c r="K6" s="1152" t="str">
        <f>IF(NOT(ISNUMBER($D6)),"Outside the archetype model",IF($J6&gt;$D6,"Over archetype after decisions",IF($J6&lt;$D6,"Under archetype","On archetype")))</f>
        <v>Over archetype after decisions</v>
      </c>
      <c r="L6" s="1153">
        <f>IFERROR(INDEX('0.3 Squad Archetypes'!$G$5:$G$23,MATCH($C6&amp;"|"&amp;$R6,'0.3 Squad Archetypes'!$A$5:$A$23,0)),"-")</f>
        <v>1.4</v>
      </c>
      <c r="M6" s="1153">
        <f>SUMIFS($G$20:$G$65,$F$20:$F$65,$B6)/1000000</f>
        <v>2.8267209564</v>
      </c>
      <c r="N6" s="1153">
        <f>IFERROR($M6-$L6,"-")</f>
        <v>1.4267209564</v>
      </c>
      <c r="O6" s="635">
        <f>SUMIFS($H$20:$H$65,$F$20:$F$65,$B6)/1000000</f>
        <v>2.6238677064</v>
      </c>
      <c r="P6">
        <f>$O6+(Lists!$AG$4+Lists!$AG$5)*$E6/$E$12</f>
        <v>2.71778074987826</v>
      </c>
      <c r="Q6">
        <f>IFERROR($P6-$L6,"-")</f>
        <v>1.31778074987826</v>
      </c>
      <c r="R6" t="str">
        <f>IFERROR(IF(INDEX('1.4 TDD Group Functions'!$D:$D,MATCH($S6,'1.4 TDD Group Functions'!$B:$B,0))="","-",INDEX('1.4 TDD Group Functions'!$D:$D,MATCH($S6,'1.4 TDD Group Functions'!$B:$B,0))),"-")</f>
        <v>M</v>
      </c>
      <c r="S6" t="str">
        <f>IFERROR(INDEX(Lists!$AA:$AA,MATCH($B6,Lists!$Z:$Z,0)),$B6)</f>
        <v>Network &amp; Infrastructure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Functions'!$C:$C,MATCH($S7,'1.4 TDD Group Functions'!$B:$B,0)),"Outside archetype model")</f>
        <v>Configuration / Integration</v>
      </c>
      <c r="D7" s="1150">
        <f>IFERROR(INDEX('0.3 Squad Archetypes'!$F$5:$F$23,MATCH($C7&amp;"|"&amp;$R7,'0.3 Squad Archetypes'!$A$5:$A$23,0)),"-")</f>
        <v>9</v>
      </c>
      <c r="E7" s="1151">
        <f>COUNTIFS($F$20:$F$65,$B7)</f>
        <v>11</v>
      </c>
      <c r="F7" s="1151">
        <f>IFERROR($E7-$D7,"-")</f>
        <v>2</v>
      </c>
      <c r="G7" s="1151">
        <f>COUNTIFS($F$20:$F$65,$B7,$D$20:$D$65,"Vacant")</f>
        <v>2</v>
      </c>
      <c r="H7" s="1151">
        <f>COUNTIFS($F$20:$F$65,$B7,$D$20:$D$65,"Vacant",$E$20:$E$65,"Hire")+COUNTIFS($F$20:$F$65,$B7,$D$20:$D$65,"Vacant",$E$20:$E$65,"Offshore")</f>
        <v>0</v>
      </c>
      <c r="I7" s="1151">
        <f>$G7-$H7</f>
        <v>2</v>
      </c>
      <c r="J7" s="634">
        <f>$E7-COUNTIFS($F$20:$F$65,$B7,$E$20:$E$65,"Hold")</f>
        <v>9</v>
      </c>
      <c r="K7" s="1152" t="str">
        <f>IF(NOT(ISNUMBER($D7)),"Outside the archetype model",IF($J7&gt;$D7,"Over archetype after decisions",IF($J7&lt;$D7,"Under archetype","On archetype")))</f>
        <v>On archetype</v>
      </c>
      <c r="L7" s="1153">
        <f>IFERROR(INDEX('0.3 Squad Archetypes'!$G$5:$G$23,MATCH($C7&amp;"|"&amp;$R7,'0.3 Squad Archetypes'!$A$5:$A$23,0)),"-")</f>
        <v>2.1</v>
      </c>
      <c r="M7" s="1153">
        <f>SUMIFS($G$20:$G$65,$F$20:$F$65,$B7)/1000000</f>
        <v>2.044477746</v>
      </c>
      <c r="N7" s="1153">
        <f>IFERROR($M7-$L7,"-")</f>
        <v>-0.055522254</v>
      </c>
      <c r="O7" s="635">
        <f>SUMIFS($H$20:$H$65,$F$20:$F$65,$B7)/1000000</f>
        <v>1.611203496</v>
      </c>
      <c r="P7">
        <f>$O7+(Lists!$AG$4+Lists!$AG$5)*$E7/$E$12</f>
        <v>1.69729045252174</v>
      </c>
      <c r="Q7">
        <f>IFERROR($P7-$L7,"-")</f>
        <v>-0.402709547478261</v>
      </c>
      <c r="R7" t="str">
        <f>IFERROR(IF(INDEX('1.4 TDD Group Functions'!$D:$D,MATCH($S7,'1.4 TDD Group Functions'!$B:$B,0))="","-",INDEX('1.4 TDD Group Functions'!$D:$D,MATCH($S7,'1.4 TDD Group Functions'!$B:$B,0))),"-")</f>
        <v>M</v>
      </c>
      <c r="S7" t="str">
        <f>IFERROR(INDEX(Lists!$AA:$AA,MATCH($B7,Lists!$Z:$Z,0)),$B7)</f>
        <v>Integration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DevOps &amp; QE</t>
        </is>
      </c>
      <c r="C8" s="635" t="str">
        <f>IFERROR(INDEX('1.4 TDD Group Functions'!$C:$C,MATCH($S8,'1.4 TDD Group Functions'!$B:$B,0)),"Outside archetype model")</f>
        <v>Engineering</v>
      </c>
      <c r="D8" s="1150">
        <f>IFERROR(INDEX('0.3 Squad Archetypes'!$F$5:$F$23,MATCH($C8&amp;"|"&amp;$R8,'0.3 Squad Archetypes'!$A$5:$A$23,0)),"-")</f>
        <v>4.5</v>
      </c>
      <c r="E8" s="1151">
        <f>COUNTIFS($F$20:$F$65,$B8)</f>
        <v>8</v>
      </c>
      <c r="F8" s="1151">
        <f>IFERROR($E8-$D8,"-")</f>
        <v>3.5</v>
      </c>
      <c r="G8" s="1151">
        <f>COUNTIFS($F$20:$F$65,$B8,$D$20:$D$65,"Vacant")</f>
        <v>4</v>
      </c>
      <c r="H8" s="1151">
        <f>COUNTIFS($F$20:$F$65,$B8,$D$20:$D$65,"Vacant",$E$20:$E$65,"Hire")+COUNTIFS($F$20:$F$65,$B8,$D$20:$D$65,"Vacant",$E$20:$E$65,"Offshore")</f>
        <v>0</v>
      </c>
      <c r="I8" s="1151">
        <f>$G8-$H8</f>
        <v>4</v>
      </c>
      <c r="J8" s="634">
        <f>$E8-COUNTIFS($F$20:$F$65,$B8,$E$20:$E$65,"Hold")</f>
        <v>4</v>
      </c>
      <c r="K8" s="1152" t="str">
        <f>IF(NOT(ISNUMBER($D8)),"Outside the archetype model",IF($J8&gt;$D8,"Over archetype after decisions",IF($J8&lt;$D8,"Under archetype","On archetype")))</f>
        <v>Under archetype</v>
      </c>
      <c r="L8" s="1153">
        <f>IFERROR(INDEX('0.3 Squad Archetypes'!$G$5:$G$23,MATCH($C8&amp;"|"&amp;$R8,'0.3 Squad Archetypes'!$A$5:$A$23,0)),"-")</f>
        <v>0.8</v>
      </c>
      <c r="M8" s="1153">
        <f>SUMIFS($G$20:$G$65,$F$20:$F$65,$B8)/1000000</f>
        <v>1.581591798</v>
      </c>
      <c r="N8" s="1153">
        <f>IFERROR($M8-$L8,"-")</f>
        <v>0.781591798</v>
      </c>
      <c r="O8" s="635">
        <f>SUMIFS($H$20:$H$65,$F$20:$F$65,$B8)/1000000</f>
        <v>0.712506798</v>
      </c>
      <c r="P8">
        <f>$O8+(Lists!$AG$4+Lists!$AG$5)*$E8/$E$12</f>
        <v>0.775115493652174</v>
      </c>
      <c r="Q8">
        <f>IFERROR($P8-$L8,"-")</f>
        <v>-0.0248845063478262</v>
      </c>
      <c r="R8" t="str">
        <f>IFERROR(IF(INDEX('1.4 TDD Group Functions'!$D:$D,MATCH($S8,'1.4 TDD Group Functions'!$B:$B,0))="","-",INDEX('1.4 TDD Group Functions'!$D:$D,MATCH($S8,'1.4 TDD Group Functions'!$B:$B,0))),"-")</f>
        <v>S</v>
      </c>
      <c r="S8" t="str">
        <f>IFERROR(INDEX(Lists!$AA:$AA,MATCH($B8,Lists!$Z:$Z,0)),$B8)</f>
        <v>DevOps &amp; Engineering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Functions'!$C:$C,MATCH($S9,'1.4 TDD Group Functions'!$B:$B,0)),"Outside archetype model")</f>
        <v>Configuration / Integration</v>
      </c>
      <c r="D9" s="1150">
        <f>IFERROR(INDEX('0.3 Squad Archetypes'!$F$5:$F$23,MATCH($C9&amp;"|"&amp;$R9,'0.3 Squad Archetypes'!$A$5:$A$23,0)),"-")</f>
        <v>6</v>
      </c>
      <c r="E9" s="1151">
        <f>COUNTIFS($F$20:$F$65,$B9)</f>
        <v>6</v>
      </c>
      <c r="F9" s="1151">
        <f>IFERROR($E9-$D9,"-")</f>
        <v>0</v>
      </c>
      <c r="G9" s="1151">
        <f>COUNTIFS($F$20:$F$65,$B9,$D$20:$D$65,"Vacant")</f>
        <v>2</v>
      </c>
      <c r="H9" s="1151">
        <f>COUNTIFS($F$20:$F$65,$B9,$D$20:$D$65,"Vacant",$E$20:$E$65,"Hire")+COUNTIFS($F$20:$F$65,$B9,$D$20:$D$65,"Vacant",$E$20:$E$65,"Offshore")</f>
        <v>0</v>
      </c>
      <c r="I9" s="1151">
        <f>$G9-$H9</f>
        <v>2</v>
      </c>
      <c r="J9" s="634">
        <f>$E9-COUNTIFS($F$20:$F$65,$B9,$E$20:$E$65,"Hold")</f>
        <v>4</v>
      </c>
      <c r="K9" s="1152" t="str">
        <f>IF(NOT(ISNUMBER($D9)),"Outside the archetype model",IF($J9&gt;$D9,"Over archetype after decisions",IF($J9&lt;$D9,"Under archetype","On archetype")))</f>
        <v>Under archetype</v>
      </c>
      <c r="L9" s="1153">
        <f>IFERROR(INDEX('0.3 Squad Archetypes'!$G$5:$G$23,MATCH($C9&amp;"|"&amp;$R9,'0.3 Squad Archetypes'!$A$5:$A$23,0)),"-")</f>
        <v>1.4</v>
      </c>
      <c r="M9" s="1153">
        <f>SUMIFS($G$20:$G$65,$F$20:$F$65,$B9)/1000000</f>
        <v>1.117329222</v>
      </c>
      <c r="N9" s="1153">
        <f>IFERROR($M9-$L9,"-")</f>
        <v>-0.282670778</v>
      </c>
      <c r="O9" s="635">
        <f>SUMIFS($H$20:$H$65,$F$20:$F$65,$B9)/1000000</f>
        <v>0.712890972</v>
      </c>
      <c r="P9">
        <f>$O9+(Lists!$AG$4+Lists!$AG$5)*$E9/$E$12</f>
        <v>0.75984749373913</v>
      </c>
      <c r="Q9">
        <f>IFERROR($P9-$L9,"-")</f>
        <v>-0.64015250626087</v>
      </c>
      <c r="R9" t="str">
        <f>IFERROR(IF(INDEX('1.4 TDD Group Functions'!$D:$D,MATCH($S9,'1.4 TDD Group Functions'!$B:$B,0))="","-",INDEX('1.4 TDD Group Functions'!$D:$D,MATCH($S9,'1.4 TDD Group Functions'!$B:$B,0))),"-")</f>
        <v>S</v>
      </c>
      <c r="S9" t="str">
        <f>IFERROR(INDEX(Lists!$AA:$AA,MATCH($B9,Lists!$Z:$Z,0)),$B9)</f>
        <v>Workplace &amp; Enterprise Tooling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EGI TDD</t>
        </is>
      </c>
      <c r="C10" s="635" t="str">
        <f>IFERROR(INDEX('1.4 TDD Group Functions'!$C:$C,MATCH($S10,'1.4 TDD Group Functions'!$B:$B,0)),"Outside archetype model")</f>
        <v>Strategic Programs</v>
      </c>
      <c r="D10" s="1150" t="str">
        <f>IFERROR(INDEX('0.3 Squad Archetypes'!$F$5:$F$23,MATCH($C10&amp;"|"&amp;$R10,'0.3 Squad Archetypes'!$A$5:$A$23,0)),"-")</f>
        <v>-</v>
      </c>
      <c r="E10" s="1151">
        <f>COUNTIFS($F$20:$F$65,$B10)</f>
        <v>4</v>
      </c>
      <c r="F10" s="1151" t="str">
        <f>IFERROR($E10-$D10,"-")</f>
        <v>-</v>
      </c>
      <c r="G10" s="1151">
        <f>COUNTIFS($F$20:$F$65,$B10,$D$20:$D$65,"Vacant")</f>
        <v>0</v>
      </c>
      <c r="H10" s="1151">
        <f>COUNTIFS($F$20:$F$65,$B10,$D$20:$D$65,"Vacant",$E$20:$E$65,"Hire")+COUNTIFS($F$20:$F$65,$B10,$D$20:$D$65,"Vacant",$E$20:$E$65,"Offshore")</f>
        <v>0</v>
      </c>
      <c r="I10" s="1151">
        <f>$G10-$H10</f>
        <v>0</v>
      </c>
      <c r="J10" s="634">
        <f>$E10-COUNTIFS($F$20:$F$65,$B10,$E$20:$E$65,"Hold")</f>
        <v>4</v>
      </c>
      <c r="K10" s="1152" t="str">
        <f>IF(NOT(ISNUMBER($D10)),"Outside the archetype model",IF($J10&gt;$D10,"Over archetype after decisions",IF($J10&lt;$D10,"Under archetype","On archetype")))</f>
        <v>Outside the archetype model</v>
      </c>
      <c r="L10" s="1153" t="str">
        <f>IFERROR(INDEX('0.3 Squad Archetypes'!$G$5:$G$23,MATCH($C10&amp;"|"&amp;$R10,'0.3 Squad Archetypes'!$A$5:$A$23,0)),"-")</f>
        <v>-</v>
      </c>
      <c r="M10" s="1153">
        <f>SUMIFS($G$20:$G$65,$F$20:$F$65,$B10)/1000000</f>
        <v>1.02484851</v>
      </c>
      <c r="N10" s="1153" t="str">
        <f>IFERROR($M10-$L10,"-")</f>
        <v>-</v>
      </c>
      <c r="O10" s="635">
        <f>SUMIFS($H$20:$H$65,$F$20:$F$65,$B10)/1000000</f>
        <v>1.02484851</v>
      </c>
      <c r="P10">
        <f>$O10+(Lists!$AG$4+Lists!$AG$5)*$E10/$E$12</f>
        <v>1.05615285782609</v>
      </c>
      <c r="Q10" t="str">
        <f>IFERROR($P10-$L10,"-")</f>
        <v>-</v>
      </c>
      <c r="R10" t="str">
        <f>IFERROR(IF(INDEX('1.4 TDD Group Functions'!$D:$D,MATCH($S10,'1.4 TDD Group Functions'!$B:$B,0))="","-",INDEX('1.4 TDD Group Functions'!$D:$D,MATCH($S10,'1.4 TDD Group Functions'!$B:$B,0))),"-")</f>
        <v>-</v>
      </c>
      <c r="S10" t="str">
        <f>IFERROR(INDEX(Lists!$AA:$AA,MATCH($B10,Lists!$Z:$Z,0)),$B10)</f>
        <v>EGI TDD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Strategic Programs - no rate in 0.3 (TBC)</v>
      </c>
    </row>
    <row r="11">
      <c r="A11" s="949" t="n"/>
      <c r="B11" s="640" t="inlineStr">
        <is>
          <t>Leadership</t>
        </is>
      </c>
      <c r="C11" s="635" t="str">
        <f>IFERROR(INDEX('1.4 TDD Group Functions'!$C:$C,MATCH($S11,'1.4 TDD Group Functions'!$B:$B,0)),"Outside archetype model")</f>
        <v>Outside archetype model</v>
      </c>
      <c r="D11" s="1150" t="str">
        <f>IFERROR(INDEX('0.3 Squad Archetypes'!$F$5:$F$23,MATCH($C11&amp;"|"&amp;$R11,'0.3 Squad Archetypes'!$A$5:$A$23,0)),"-")</f>
        <v>-</v>
      </c>
      <c r="E11" s="1151">
        <f>COUNTIFS($F$20:$F$65,$B11)</f>
        <v>5</v>
      </c>
      <c r="F11" s="1151" t="str">
        <f>IFERROR($E11-$D11,"-")</f>
        <v>-</v>
      </c>
      <c r="G11" s="1151">
        <f>COUNTIFS($F$20:$F$65,$B11,$D$20:$D$65,"Vacant")</f>
        <v>5</v>
      </c>
      <c r="H11" s="1151">
        <f>COUNTIFS($F$20:$F$65,$B11,$D$20:$D$65,"Vacant",$E$20:$E$65,"Hire")+COUNTIFS($F$20:$F$65,$B11,$D$20:$D$65,"Vacant",$E$20:$E$65,"Offshore")</f>
        <v>0</v>
      </c>
      <c r="I11" s="1151">
        <f>$G11-$H11</f>
        <v>5</v>
      </c>
      <c r="J11" s="634">
        <f>$E11-COUNTIFS($F$20:$F$65,$B11,$E$20:$E$65,"Hold")</f>
        <v>0</v>
      </c>
      <c r="K11" s="1152" t="str">
        <f>IF(NOT(ISNUMBER($D11)),"Outside the archetype model",IF($J11&gt;$D11,"Over archetype after decisions",IF($J11&lt;$D11,"Under archetype","On archetype")))</f>
        <v>Outside the archetype model</v>
      </c>
      <c r="L11" s="1153" t="str">
        <f>IFERROR(INDEX('0.3 Squad Archetypes'!$G$5:$G$23,MATCH($C11&amp;"|"&amp;$R11,'0.3 Squad Archetypes'!$A$5:$A$23,0)),"-")</f>
        <v>-</v>
      </c>
      <c r="M11" s="1153">
        <f>SUMIFS($G$20:$G$65,$F$20:$F$65,$B11)/1000000</f>
        <v>1.43626125</v>
      </c>
      <c r="N11" s="1153" t="str">
        <f>IFERROR($M11-$L11,"-")</f>
        <v>-</v>
      </c>
      <c r="O11" s="635">
        <f>SUMIFS($H$20:$H$65,$F$20:$F$65,$B11)/1000000</f>
        <v>0</v>
      </c>
      <c r="P11">
        <f>$O11+(Lists!$AG$4+Lists!$AG$5)*$E11/$E$12</f>
        <v>0.0391304347826087</v>
      </c>
      <c r="Q11" t="str">
        <f>IFERROR($P11-$L11,"-")</f>
        <v>-</v>
      </c>
      <c r="R11" t="str">
        <f>IFERROR(IF(INDEX('1.4 TDD Group Functions'!$D:$D,MATCH($S11,'1.4 TDD Group Functions'!$B:$B,0))="","-",INDEX('1.4 TDD Group Functions'!$D:$D,MATCH($S11,'1.4 TDD Group Functions'!$B:$B,0))),"-")</f>
        <v>-</v>
      </c>
      <c r="S11" t="str">
        <f>IFERROR(INDEX(Lists!$AA:$AA,MATCH($B11,Lists!$Z:$Z,0)),$B11)</f>
        <v>Leadership</v>
      </c>
      <c r="T11" t="str">
        <f>IF($B11="Leadership","Shared role - compared to the allowance",IF($C11="Strategic Programs","Strategic Programs - no rate in 0.3 (TBC)",IF(NOT(ISNUMBER($D11)),"No archetype for this squad","Archetype applies")))</f>
        <v>Shared role - compared to the allowance</v>
      </c>
    </row>
    <row r="12">
      <c r="A12" s="949" t="n"/>
      <c r="B12" s="1212" t="inlineStr">
        <is>
          <t>Total</t>
        </is>
      </c>
      <c r="C12" s="635" t="n"/>
      <c r="D12" s="1150">
        <f>SUM(D6:D11)</f>
        <v>25.5</v>
      </c>
      <c r="E12" s="1151">
        <f>COUNTIFS('REVIEW - Complete Role Mapping'!$AJ$2:$AJ$528,"TDD Group Functions")</f>
        <v>46</v>
      </c>
      <c r="F12" s="1151">
        <f>SUM(F6:F11)</f>
        <v>11.5</v>
      </c>
      <c r="G12" s="1151">
        <f>SUM(G6:G11)</f>
        <v>14</v>
      </c>
      <c r="H12" s="1151">
        <f>SUM(H6:H11)</f>
        <v>0</v>
      </c>
      <c r="I12" s="1151">
        <f>SUM(I6:I11)</f>
        <v>14</v>
      </c>
      <c r="J12" s="634">
        <f>SUM(J6:J11)</f>
        <v>32</v>
      </c>
      <c r="K12" s="1152" t="n"/>
      <c r="L12" s="1153">
        <f>SUM(L6:L11)</f>
        <v>5.7</v>
      </c>
      <c r="M12" s="1153">
        <f>SUMIFS('REVIEW - Complete Role Mapping'!$AA$2:$AA$528,'REVIEW - Complete Role Mapping'!$AJ$2:$AJ$528,"TDD Group Functions")/1000000</f>
        <v>10.0312294824</v>
      </c>
      <c r="N12" s="1153">
        <f>SUM(N6:N11)</f>
        <v>1.8701197224</v>
      </c>
      <c r="O12" s="635">
        <f>SUM(O6:O11)</f>
        <v>6.6853174824</v>
      </c>
      <c r="P12">
        <f>SUM(P6:P11)</f>
        <v>7.0453174824</v>
      </c>
      <c r="Q12">
        <f>SUM(Q6:Q11)</f>
        <v>0.250034189791304</v>
      </c>
    </row>
    <row r="13">
      <c r="A13" s="949" t="n"/>
      <c r="B13" s="641" t="n"/>
      <c r="C13" s="641" t="n"/>
      <c r="D13" s="1154" t="n"/>
      <c r="E13" s="1154" t="n"/>
      <c r="F13" s="1154" t="n"/>
      <c r="G13" s="1154" t="n"/>
      <c r="H13" s="1154" t="n"/>
      <c r="I13" s="1154" t="n"/>
      <c r="J13" s="641" t="n"/>
      <c r="K13" s="1155" t="n"/>
      <c r="L13" s="1155" t="n"/>
      <c r="M13" s="1155" t="n"/>
      <c r="N13" s="1155" t="n"/>
      <c r="O13" s="641" t="n"/>
    </row>
    <row r="14">
      <c r="A14" s="949" t="n"/>
      <c r="B14" s="994" t="inlineStr">
        <is>
          <t>Cost to fill every vacancy at full onshore cost ($m)</t>
        </is>
      </c>
      <c r="C14" s="949" t="n"/>
      <c r="D14" s="949" t="n"/>
      <c r="E14" s="1156">
        <f>SUMIFS($G$20:$G$65,$D$20:$D$65,"Vacant")/1000000</f>
        <v>3.345912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Of which currently marked Hire or Offshore ($m)</t>
        </is>
      </c>
      <c r="C15" s="949" t="n"/>
      <c r="D15" s="949" t="n"/>
      <c r="E15" s="1156">
        <f>(SUMIFS($G$20:$G$65,$D$20:$D$65,"Vacant",$E$20:$E$65,"Hire")+Lists!$AD$5*SUMIFS($G$20:$G$65,$D$20:$D$65,"Vacant",$E$20:$E$65,"Offshore"))/1000000</f>
        <v>0</v>
      </c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994" t="inlineStr">
        <is>
          <t>Leadership and Head of Technology already inside this portfolio ($m) - not re-added in column P</t>
        </is>
      </c>
      <c r="C16" s="949" t="n"/>
      <c r="D16" s="949" t="n"/>
      <c r="E16" s="949">
        <f>SUMIFS('REVIEW - Complete Role Mapping'!$AA$2:$AA$528,'REVIEW - Complete Role Mapping'!$AJ$2:$AJ$528,"TDD Group Functions",'REVIEW - Complete Role Mapping'!$AQ$2:$AQ$528,1)/1000000</f>
        <v>1.43626125</v>
      </c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431" t="n"/>
      <c r="C17" s="432" t="n"/>
      <c r="D17" s="432" t="n"/>
      <c r="E17" s="432" t="n"/>
      <c r="F17" s="432" t="n"/>
      <c r="G17" s="430" t="n"/>
      <c r="H17" s="430" t="n"/>
      <c r="I17" s="430" t="n"/>
      <c r="J17" s="430" t="n"/>
      <c r="K17" s="949" t="n"/>
      <c r="L17" s="949" t="n"/>
      <c r="M17" s="949" t="n"/>
      <c r="N17" s="949" t="n"/>
      <c r="O17" s="949" t="n"/>
    </row>
    <row r="18">
      <c r="A18" s="949" t="n"/>
      <c r="B18" s="994" t="inlineStr">
        <is>
          <t>TDD Group Functions roles - one row per named role, from REVIEW</t>
        </is>
      </c>
      <c r="C18" s="442" t="n"/>
      <c r="D18" s="442" t="n"/>
      <c r="E18" s="1156" t="n"/>
      <c r="F18" s="442" t="n"/>
      <c r="G18" s="442" t="n"/>
      <c r="H18" s="442" t="n"/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1029" t="inlineStr">
        <is>
          <t>Name</t>
        </is>
      </c>
      <c r="C19" s="1029" t="inlineStr">
        <is>
          <t>Role</t>
        </is>
      </c>
      <c r="D19" s="1029" t="inlineStr">
        <is>
          <t>Status</t>
        </is>
      </c>
      <c r="E19" s="1236" t="inlineStr">
        <is>
          <t>Vacancy lever</t>
        </is>
      </c>
      <c r="F19" s="1029" t="inlineStr">
        <is>
          <t>Squad</t>
        </is>
      </c>
      <c r="G19" s="1029" t="inlineStr">
        <is>
          <t>Cost if hired ($)</t>
        </is>
      </c>
      <c r="H19" s="1029" t="inlineStr">
        <is>
          <t>Effective cost ($)</t>
        </is>
      </c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433" t="str">
        <f>INDEX('REVIEW - Complete Role Mapping'!$B:$B,468)</f>
        <v>C K Lau</v>
      </c>
      <c r="C20" s="434" t="str">
        <f>INDEX('REVIEW - Complete Role Mapping'!$C:$C,468)</f>
        <v>Delivery Lead (Cloud &amp; Network)</v>
      </c>
      <c r="D20" s="434" t="str">
        <f>IF(ISNUMBER(SEARCH("vacant",$B20)),"Vacant","Filled")</f>
        <v>Filled</v>
      </c>
      <c r="E20" s="949" t="inlineStr">
        <is>
          <t>Filled</t>
        </is>
      </c>
      <c r="F20" s="949" t="str">
        <f>INDEX('REVIEW - Complete Role Mapping'!$AP:$AP,468)</f>
        <v>Cloud, Network &amp; Infra Ops</v>
      </c>
      <c r="G20" s="949">
        <f>INDEX('REVIEW - Complete Role Mapping'!$AA:$AA,468)</f>
        <v>249164.4</v>
      </c>
      <c r="H20" s="949">
        <f>$G20*IFERROR(INDEX(Lists!$AD:$AD,MATCH($E20,Lists!$AC:$AC,0)),1)</f>
        <v>249164.4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533" t="str">
        <f>INDEX('REVIEW - Complete Role Mapping'!$B:$B,469)</f>
        <v>Fan Zhang</v>
      </c>
      <c r="C21" s="533" t="str">
        <f>INDEX('REVIEW - Complete Role Mapping'!$C:$C,469)</f>
        <v>Infrastructure Engineer</v>
      </c>
      <c r="D21" s="533" t="str">
        <f>IF(ISNUMBER(SEARCH("vacant",$B21)),"Vacant","Filled")</f>
        <v>Filled</v>
      </c>
      <c r="E21" s="533" t="inlineStr">
        <is>
          <t>Filled</t>
        </is>
      </c>
      <c r="F21" s="533" t="str">
        <f>INDEX('REVIEW - Complete Role Mapping'!$AP:$AP,469)</f>
        <v>Cloud, Network &amp; Infra Ops</v>
      </c>
      <c r="G21" s="949">
        <f>INDEX('REVIEW - Complete Role Mapping'!$AA:$AA,469)</f>
        <v>133812.3564</v>
      </c>
      <c r="H21" s="949">
        <f>$G21*IFERROR(INDEX(Lists!$AD:$AD,MATCH($E21,Lists!$AC:$AC,0)),1)</f>
        <v>133812.3564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46" t="str">
        <f>INDEX('REVIEW - Complete Role Mapping'!$B:$B,470)</f>
        <v>Jason Satoso</v>
      </c>
      <c r="C22" s="646" t="str">
        <f>INDEX('REVIEW - Complete Role Mapping'!$C:$C,470)</f>
        <v>Cloud Operations Engineer</v>
      </c>
      <c r="D22" s="646" t="str">
        <f>IF(ISNUMBER(SEARCH("vacant",$B22)),"Vacant","Filled")</f>
        <v>Filled</v>
      </c>
      <c r="E22" s="646" t="inlineStr">
        <is>
          <t>Filled</t>
        </is>
      </c>
      <c r="F22" s="646" t="str">
        <f>INDEX('REVIEW - Complete Role Mapping'!$AP:$AP,470)</f>
        <v>Cloud, Network &amp; Infra Ops</v>
      </c>
      <c r="G22" s="949">
        <f>INDEX('REVIEW - Complete Role Mapping'!$AA:$AA,470)</f>
        <v>206190.75</v>
      </c>
      <c r="H22" s="949">
        <f>$G22*IFERROR(INDEX(Lists!$AD:$AD,MATCH($E22,Lists!$AC:$AC,0)),1)</f>
        <v>206190.75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Mapping'!$B:$B,471)</f>
        <v>John McCormack</v>
      </c>
      <c r="C23" s="634" t="str">
        <f>INDEX('REVIEW - Complete Role Mapping'!$C:$C,471)</f>
        <v>Manager - Infrastructure Operations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Mapping'!$AP:$AP,471)</f>
        <v>Cloud, Network &amp; Infra Ops</v>
      </c>
      <c r="G23" s="949">
        <f>INDEX('REVIEW - Complete Role Mapping'!$AA:$AA,471)</f>
        <v>246494.4</v>
      </c>
      <c r="H23" s="949">
        <f>$G23*IFERROR(INDEX(Lists!$AD:$AD,MATCH($E23,Lists!$AC:$AC,0)),1)</f>
        <v>246494.4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Mapping'!$B:$B,472)</f>
        <v>Muhammad Abubaker</v>
      </c>
      <c r="C24" s="634" t="str">
        <f>INDEX('REVIEW - Complete Role Mapping'!$C:$C,472)</f>
        <v>Network Operations Engineer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Mapping'!$AP:$AP,472)</f>
        <v>Cloud, Network &amp; Infra Ops</v>
      </c>
      <c r="G24" s="949">
        <f>INDEX('REVIEW - Complete Role Mapping'!$AA:$AA,472)</f>
        <v>217658.4</v>
      </c>
      <c r="H24" s="949">
        <f>$G24*IFERROR(INDEX(Lists!$AD:$AD,MATCH($E24,Lists!$AC:$AC,0)),1)</f>
        <v>217658.4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Mapping'!$B:$B,473)</f>
        <v>Ring fenced selection</v>
      </c>
      <c r="C25" s="634" t="str">
        <f>INDEX('REVIEW - Complete Role Mapping'!$C:$C,473)</f>
        <v>Cloud Solutions Architect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Mapping'!$AP:$AP,473)</f>
        <v>Cloud, Network &amp; Infra Ops</v>
      </c>
      <c r="G25" s="949">
        <f>INDEX('REVIEW - Complete Role Mapping'!$AA:$AA,473)</f>
        <v>267000</v>
      </c>
      <c r="H25" s="949">
        <f>$G25*IFERROR(INDEX(Lists!$AD:$AD,MATCH($E25,Lists!$AC:$AC,0)),1)</f>
        <v>267000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Mapping'!$B:$B,474)</f>
        <v>Ring fenced selection</v>
      </c>
      <c r="C26" s="634" t="str">
        <f>INDEX('REVIEW - Complete Role Mapping'!$C:$C,474)</f>
        <v>Cloud Solutions Architect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Mapping'!$AP:$AP,474)</f>
        <v>Cloud, Network &amp; Infra Ops</v>
      </c>
      <c r="G26" s="949">
        <f>INDEX('REVIEW - Complete Role Mapping'!$AA:$AA,474)</f>
        <v>267000</v>
      </c>
      <c r="H26" s="949">
        <f>$G26*IFERROR(INDEX(Lists!$AD:$AD,MATCH($E26,Lists!$AC:$AC,0)),1)</f>
        <v>267000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Mapping'!$B:$B,475)</f>
        <v>Ring fenced selection</v>
      </c>
      <c r="C27" s="646" t="str">
        <f>INDEX('REVIEW - Complete Role Mapping'!$C:$C,475)</f>
        <v>Cloud Solutions Architect</v>
      </c>
      <c r="D27" s="646" t="str">
        <f>IF(ISNUMBER(SEARCH("vacant",$B27)),"Vacant","Filled")</f>
        <v>Filled</v>
      </c>
      <c r="E27" s="646" t="inlineStr">
        <is>
          <t>Filled</t>
        </is>
      </c>
      <c r="F27" s="646" t="str">
        <f>INDEX('REVIEW - Complete Role Mapping'!$AP:$AP,475)</f>
        <v>Cloud, Network &amp; Infra Ops</v>
      </c>
      <c r="G27" s="949">
        <f>INDEX('REVIEW - Complete Role Mapping'!$AA:$AA,475)</f>
        <v>267000</v>
      </c>
      <c r="H27" s="949">
        <f>$G27*IFERROR(INDEX(Lists!$AD:$AD,MATCH($E27,Lists!$AC:$AC,0)),1)</f>
        <v>267000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Mapping'!$B:$B,476)</f>
        <v>Ring fenced selection</v>
      </c>
      <c r="C28" s="634" t="str">
        <f>INDEX('REVIEW - Complete Role Mapping'!$C:$C,476)</f>
        <v>Cloud Solutions Architect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Mapping'!$AP:$AP,476)</f>
        <v>Cloud, Network &amp; Infra Ops</v>
      </c>
      <c r="G28" s="949">
        <f>INDEX('REVIEW - Complete Role Mapping'!$AA:$AA,476)</f>
        <v>267000</v>
      </c>
      <c r="H28" s="949">
        <f>$G28*IFERROR(INDEX(Lists!$AD:$AD,MATCH($E28,Lists!$AC:$AC,0)),1)</f>
        <v>267000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Mapping'!$B:$B,477)</f>
        <v>Satish Chowdhary</v>
      </c>
      <c r="C29" s="634" t="str">
        <f>INDEX('REVIEW - Complete Role Mapping'!$C:$C,477)</f>
        <v>Nework Architect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Mapping'!$AP:$AP,477)</f>
        <v>Cloud, Network &amp; Infra Ops</v>
      </c>
      <c r="G29" s="949">
        <f>INDEX('REVIEW - Complete Role Mapping'!$AA:$AA,477)</f>
        <v>259123.5</v>
      </c>
      <c r="H29" s="949">
        <f>$G29*IFERROR(INDEX(Lists!$AD:$AD,MATCH($E29,Lists!$AC:$AC,0)),1)</f>
        <v>259123.5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Mapping'!$B:$B,478)</f>
        <v>Steven Yong</v>
      </c>
      <c r="C30" s="634" t="str">
        <f>INDEX('REVIEW - Complete Role Mapping'!$C:$C,478)</f>
        <v>Nework Architect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Mapping'!$AP:$AP,478)</f>
        <v>Cloud, Network &amp; Infra Ops</v>
      </c>
      <c r="G30" s="949">
        <f>INDEX('REVIEW - Complete Role Mapping'!$AA:$AA,478)</f>
        <v>243423.9</v>
      </c>
      <c r="H30" s="949">
        <f>$G30*IFERROR(INDEX(Lists!$AD:$AD,MATCH($E30,Lists!$AC:$AC,0)),1)</f>
        <v>243423.9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Mapping'!$B:$B,513)</f>
        <v>Vacant</v>
      </c>
      <c r="C31" s="634" t="str">
        <f>INDEX('REVIEW - Complete Role Mapping'!$C:$C,513)</f>
        <v>Infrastructure Operations Lead</v>
      </c>
      <c r="D31" s="612" t="str">
        <f>IF(ISNUMBER(SEARCH("vacant",$B31)),"Vacant","Filled")</f>
        <v>Vacant</v>
      </c>
      <c r="E31" s="612" t="inlineStr">
        <is>
          <t>Hold</t>
        </is>
      </c>
      <c r="F31" s="634" t="str">
        <f>INDEX('REVIEW - Complete Role Mapping'!$AP:$AP,513)</f>
        <v>Cloud, Network &amp; Infra Ops</v>
      </c>
      <c r="G31" s="949">
        <f>INDEX('REVIEW - Complete Role Mapping'!$AA:$AA,513)</f>
        <v>202853.25</v>
      </c>
      <c r="H31" s="949">
        <f>$G31*IFERROR(INDEX(Lists!$AD:$AD,MATCH($E31,Lists!$AC:$AC,0)),1)</f>
        <v>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Mapping'!$B:$B,483)</f>
        <v>Archana Chetiwal</v>
      </c>
      <c r="C32" s="634" t="str">
        <f>INDEX('REVIEW - Complete Role Mapping'!$C:$C,483)</f>
        <v>Snr Engineer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Mapping'!$AP:$AP,483)</f>
        <v>Integration &amp; Process Automation</v>
      </c>
      <c r="G32" s="949">
        <f>INDEX('REVIEW - Complete Role Mapping'!$AA:$AA,483)</f>
        <v>186900</v>
      </c>
      <c r="H32" s="949">
        <f>$G32*IFERROR(INDEX(Lists!$AD:$AD,MATCH($E32,Lists!$AC:$AC,0)),1)</f>
        <v>186900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Mapping'!$B:$B,484)</f>
        <v>Bala Thiruvadi</v>
      </c>
      <c r="C33" s="634" t="str">
        <f>INDEX('REVIEW - Complete Role Mapping'!$C:$C,484)</f>
        <v>Integration Architect - Boomi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Mapping'!$AP:$AP,484)</f>
        <v>Integration &amp; Process Automation</v>
      </c>
      <c r="G33" s="949">
        <f>INDEX('REVIEW - Complete Role Mapping'!$AA:$AA,484)</f>
        <v>271902.12</v>
      </c>
      <c r="H33" s="949">
        <f>$G33*IFERROR(INDEX(Lists!$AD:$AD,MATCH($E33,Lists!$AC:$AC,0)),1)</f>
        <v>271902.12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Mapping'!$B:$B,485)</f>
        <v>Joel Krijnen</v>
      </c>
      <c r="C34" s="634" t="str">
        <f>INDEX('REVIEW - Complete Role Mapping'!$C:$C,485)</f>
        <v>Lead Engineer Software</v>
      </c>
      <c r="D34" s="612" t="str">
        <f>IF(ISNUMBER(SEARCH("vacant",$B34)),"Vacant","Filled")</f>
        <v>Filled</v>
      </c>
      <c r="E34" s="647" t="inlineStr">
        <is>
          <t>Filled</t>
        </is>
      </c>
      <c r="F34" s="648" t="str">
        <f>INDEX('REVIEW - Complete Role Mapping'!$AP:$AP,485)</f>
        <v>Integration &amp; Process Automation</v>
      </c>
      <c r="G34" s="949">
        <f>INDEX('REVIEW - Complete Role Mapping'!$AA:$AA,485)</f>
        <v>178115.628</v>
      </c>
      <c r="H34" s="949">
        <f>$G34*IFERROR(INDEX(Lists!$AD:$AD,MATCH($E34,Lists!$AC:$AC,0)),1)</f>
        <v>178115.628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Mapping'!$B:$B,486)</f>
        <v>Lisa Rademakers</v>
      </c>
      <c r="C35" s="634" t="str">
        <f>INDEX('REVIEW - Complete Role Mapping'!$C:$C,486)</f>
        <v>Delivery Lead (Integrations)</v>
      </c>
      <c r="D35" s="612" t="str">
        <f>IF(ISNUMBER(SEARCH("vacant",$B35)),"Vacant","Filled")</f>
        <v>Filled</v>
      </c>
      <c r="E35" s="647" t="inlineStr">
        <is>
          <t>Filled</t>
        </is>
      </c>
      <c r="F35" s="648" t="str">
        <f>INDEX('REVIEW - Complete Role Mapping'!$AP:$AP,486)</f>
        <v>Integration &amp; Process Automation</v>
      </c>
      <c r="G35" s="949">
        <f>INDEX('REVIEW - Complete Role Mapping'!$AA:$AA,486)</f>
        <v>202320.552</v>
      </c>
      <c r="H35" s="949">
        <f>$G35*IFERROR(INDEX(Lists!$AD:$AD,MATCH($E35,Lists!$AC:$AC,0)),1)</f>
        <v>202320.552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Mapping'!$B:$B,487)</f>
        <v>Michael Weng</v>
      </c>
      <c r="C36" s="634" t="str">
        <f>INDEX('REVIEW - Complete Role Mapping'!$C:$C,487)</f>
        <v>Solution Architect</v>
      </c>
      <c r="D36" s="612" t="str">
        <f>IF(ISNUMBER(SEARCH("vacant",$B36)),"Vacant","Filled")</f>
        <v>Filled</v>
      </c>
      <c r="E36" s="612" t="inlineStr">
        <is>
          <t>Filled</t>
        </is>
      </c>
      <c r="F36" s="634" t="str">
        <f>INDEX('REVIEW - Complete Role Mapping'!$AP:$AP,487)</f>
        <v>Integration &amp; Process Automation</v>
      </c>
      <c r="G36" s="949">
        <f>INDEX('REVIEW - Complete Role Mapping'!$AA:$AA,487)</f>
        <v>216227.916</v>
      </c>
      <c r="H36" s="949">
        <f>$G36*IFERROR(INDEX(Lists!$AD:$AD,MATCH($E36,Lists!$AC:$AC,0)),1)</f>
        <v>216227.916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Mapping'!$B:$B,488)</f>
        <v>Mike Seales</v>
      </c>
      <c r="C37" s="634" t="str">
        <f>INDEX('REVIEW - Complete Role Mapping'!$C:$C,488)</f>
        <v>Technology Manager, Integration &amp; Process Automation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Mapping'!$AP:$AP,488)</f>
        <v>Integration &amp; Process Automation</v>
      </c>
      <c r="G37" s="949">
        <f>INDEX('REVIEW - Complete Role Mapping'!$AA:$AA,488)</f>
        <v>229230</v>
      </c>
      <c r="H37" s="949">
        <f>$G37*IFERROR(INDEX(Lists!$AD:$AD,MATCH($E37,Lists!$AC:$AC,0)),1)</f>
        <v>229230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Mapping'!$B:$B,491)</f>
        <v>Nidhi Aggarwal</v>
      </c>
      <c r="C38" s="634" t="str">
        <f>INDEX('REVIEW - Complete Role Mapping'!$C:$C,491)</f>
        <v>Snr Engineer - Boomi</v>
      </c>
      <c r="D38" s="612" t="str">
        <f>IF(ISNUMBER(SEARCH("vacant",$B38)),"Vacant","Filled")</f>
        <v>Filled</v>
      </c>
      <c r="E38" s="647" t="inlineStr">
        <is>
          <t>Filled</t>
        </is>
      </c>
      <c r="F38" s="648" t="str">
        <f>INDEX('REVIEW - Complete Role Mapping'!$AP:$AP,491)</f>
        <v>Integration &amp; Process Automation</v>
      </c>
      <c r="G38" s="949">
        <f>INDEX('REVIEW - Complete Role Mapping'!$AA:$AA,491)</f>
        <v>0</v>
      </c>
      <c r="H38" s="949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Mapping'!$B:$B,489)</f>
        <v>Noel Morris</v>
      </c>
      <c r="C39" s="646" t="str">
        <f>INDEX('REVIEW - Complete Role Mapping'!$C:$C,489)</f>
        <v>Snr Engineer</v>
      </c>
      <c r="D39" s="646" t="str">
        <f>IF(ISNUMBER(SEARCH("vacant",$B39)),"Vacant","Filled")</f>
        <v>Filled</v>
      </c>
      <c r="E39" s="646" t="inlineStr">
        <is>
          <t>Filled</t>
        </is>
      </c>
      <c r="F39" s="646" t="str">
        <f>INDEX('REVIEW - Complete Role Mapping'!$AP:$AP,489)</f>
        <v>Integration &amp; Process Automation</v>
      </c>
      <c r="G39" s="949">
        <f>INDEX('REVIEW - Complete Role Mapping'!$AA:$AA,489)</f>
        <v>139607.28</v>
      </c>
      <c r="H39" s="949">
        <f>$G39*IFERROR(INDEX(Lists!$AD:$AD,MATCH($E39,Lists!$AC:$AC,0)),1)</f>
        <v>139607.28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Mapping'!$B:$B,490)</f>
        <v>Thandava Krishna Kakarala</v>
      </c>
      <c r="C40" s="634" t="str">
        <f>INDEX('REVIEW - Complete Role Mapping'!$C:$C,490)</f>
        <v>Snr Engineer - Boomi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Mapping'!$AP:$AP,490)</f>
        <v>Integration &amp; Process Automation</v>
      </c>
      <c r="G40" s="949">
        <f>INDEX('REVIEW - Complete Role Mapping'!$AA:$AA,490)</f>
        <v>186900</v>
      </c>
      <c r="H40" s="949">
        <f>$G40*IFERROR(INDEX(Lists!$AD:$AD,MATCH($E40,Lists!$AC:$AC,0)),1)</f>
        <v>186900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Mapping'!$B:$B,514)</f>
        <v>Vacant</v>
      </c>
      <c r="C41" s="646" t="str">
        <f>INDEX('REVIEW - Complete Role Mapping'!$C:$C,514)</f>
        <v>RPA Lead</v>
      </c>
      <c r="D41" s="646" t="str">
        <f>IF(ISNUMBER(SEARCH("vacant",$B41)),"Vacant","Filled")</f>
        <v>Vacant</v>
      </c>
      <c r="E41" s="646" t="inlineStr">
        <is>
          <t>Hold</t>
        </is>
      </c>
      <c r="F41" s="646" t="str">
        <f>INDEX('REVIEW - Complete Role Mapping'!$AP:$AP,514)</f>
        <v>Integration &amp; Process Automation</v>
      </c>
      <c r="G41" s="949">
        <f>INDEX('REVIEW - Complete Role Mapping'!$AA:$AA,514)</f>
        <v>231689.25</v>
      </c>
      <c r="H41" s="949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Mapping'!$B:$B,516)</f>
        <v>Vacant</v>
      </c>
      <c r="C42" s="634" t="str">
        <f>INDEX('REVIEW - Complete Role Mapping'!$C:$C,516)</f>
        <v>Business Analyst (Integrations)</v>
      </c>
      <c r="D42" s="612" t="str">
        <f>IF(ISNUMBER(SEARCH("vacant",$B42)),"Vacant","Filled")</f>
        <v>Vacant</v>
      </c>
      <c r="E42" s="612" t="inlineStr">
        <is>
          <t>Hold</t>
        </is>
      </c>
      <c r="F42" s="634" t="str">
        <f>INDEX('REVIEW - Complete Role Mapping'!$AP:$AP,516)</f>
        <v>Integration &amp; Process Automation</v>
      </c>
      <c r="G42" s="949">
        <f>INDEX('REVIEW - Complete Role Mapping'!$AA:$AA,516)</f>
        <v>201585</v>
      </c>
      <c r="H42" s="949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Mapping'!$B:$B,479)</f>
        <v>Lucas Wang</v>
      </c>
      <c r="C43" s="634" t="str">
        <f>INDEX('REVIEW - Complete Role Mapping'!$C:$C,479)</f>
        <v>Senior Engineer (Automation Test)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Mapping'!$AP:$AP,479)</f>
        <v>DevOps &amp; QE</v>
      </c>
      <c r="G43" s="949">
        <f>INDEX('REVIEW - Complete Role Mapping'!$AA:$AA,479)</f>
        <v>194522.85</v>
      </c>
      <c r="H43" s="949">
        <f>$G43*IFERROR(INDEX(Lists!$AD:$AD,MATCH($E43,Lists!$AC:$AC,0)),1)</f>
        <v>194522.85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Mapping'!$B:$B,480)</f>
        <v>Luke Hamer</v>
      </c>
      <c r="C44" s="634" t="str">
        <f>INDEX('REVIEW - Complete Role Mapping'!$C:$C,480)</f>
        <v>Lead Engineer - Devops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Mapping'!$AP:$AP,480)</f>
        <v>DevOps &amp; QE</v>
      </c>
      <c r="G44" s="949">
        <f>INDEX('REVIEW - Complete Role Mapping'!$AA:$AA,480)</f>
        <v>183060.72</v>
      </c>
      <c r="H44" s="949">
        <f>$G44*IFERROR(INDEX(Lists!$AD:$AD,MATCH($E44,Lists!$AC:$AC,0)),1)</f>
        <v>183060.72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Mapping'!$B:$B,481)</f>
        <v>Mike Lealamanu</v>
      </c>
      <c r="C45" s="634" t="str">
        <f>INDEX('REVIEW - Complete Role Mapping'!$C:$C,481)</f>
        <v>Quality Assurance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Mapping'!$AP:$AP,481)</f>
        <v>DevOps &amp; QE</v>
      </c>
      <c r="G45" s="949">
        <f>INDEX('REVIEW - Complete Role Mapping'!$AA:$AA,481)</f>
        <v>133983.228</v>
      </c>
      <c r="H45" s="949">
        <f>$G45*IFERROR(INDEX(Lists!$AD:$AD,MATCH($E45,Lists!$AC:$AC,0)),1)</f>
        <v>133983.228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Mapping'!$B:$B,482)</f>
        <v>Sunny Arya</v>
      </c>
      <c r="C46" s="634" t="str">
        <f>INDEX('REVIEW - Complete Role Mapping'!$C:$C,482)</f>
        <v>Lead Engineer, Devops</v>
      </c>
      <c r="D46" s="612" t="str">
        <f>IF(ISNUMBER(SEARCH("vacant",$B46)),"Vacant","Filled")</f>
        <v>Filled</v>
      </c>
      <c r="E46" s="647" t="inlineStr">
        <is>
          <t>Filled</t>
        </is>
      </c>
      <c r="F46" s="648" t="str">
        <f>INDEX('REVIEW - Complete Role Mapping'!$AP:$AP,482)</f>
        <v>DevOps &amp; QE</v>
      </c>
      <c r="G46" s="949">
        <f>INDEX('REVIEW - Complete Role Mapping'!$AA:$AA,482)</f>
        <v>200940</v>
      </c>
      <c r="H46" s="949">
        <f>$G46*IFERROR(INDEX(Lists!$AD:$AD,MATCH($E46,Lists!$AC:$AC,0)),1)</f>
        <v>200940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Mapping'!$B:$B,515)</f>
        <v>Vacant</v>
      </c>
      <c r="C47" s="634" t="str">
        <f>INDEX('REVIEW - Complete Role Mapping'!$C:$C,515)</f>
        <v>Senior Engineer (Automation Test)</v>
      </c>
      <c r="D47" s="612" t="str">
        <f>IF(ISNUMBER(SEARCH("vacant",$B47)),"Vacant","Filled")</f>
        <v>Vacant</v>
      </c>
      <c r="E47" s="647" t="inlineStr">
        <is>
          <t>Hold</t>
        </is>
      </c>
      <c r="F47" s="648" t="str">
        <f>INDEX('REVIEW - Complete Role Mapping'!$AP:$AP,515)</f>
        <v>DevOps &amp; QE</v>
      </c>
      <c r="G47" s="949">
        <f>INDEX('REVIEW - Complete Role Mapping'!$AA:$AA,515)</f>
        <v>202853.25</v>
      </c>
      <c r="H47" s="949">
        <f>$G47*IFERROR(INDEX(Lists!$AD:$AD,MATCH($E47,Lists!$AC:$AC,0)),1)</f>
        <v>0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Mapping'!$B:$B,520)</f>
        <v>Vacant</v>
      </c>
      <c r="C48" s="634" t="str">
        <f>INDEX('REVIEW - Complete Role Mapping'!$C:$C,520)</f>
        <v>Environments and Test Data Manager</v>
      </c>
      <c r="D48" s="612" t="str">
        <f>IF(ISNUMBER(SEARCH("vacant",$B48)),"Vacant","Filled")</f>
        <v>Vacant</v>
      </c>
      <c r="E48" s="647" t="inlineStr">
        <is>
          <t>Hold</t>
        </is>
      </c>
      <c r="F48" s="648" t="str">
        <f>INDEX('REVIEW - Complete Role Mapping'!$AP:$AP,520)</f>
        <v>DevOps &amp; QE</v>
      </c>
      <c r="G48" s="949">
        <f>INDEX('REVIEW - Complete Role Mapping'!$AA:$AA,520)</f>
        <v>202853.25</v>
      </c>
      <c r="H48" s="949">
        <f>$G48*IFERROR(INDEX(Lists!$AD:$AD,MATCH($E48,Lists!$AC:$AC,0)),1)</f>
        <v>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Mapping'!$B:$B,521)</f>
        <v>Vacant</v>
      </c>
      <c r="C49" s="634" t="str">
        <f>INDEX('REVIEW - Complete Role Mapping'!$C:$C,521)</f>
        <v>Lead Engineer (Automation Test)</v>
      </c>
      <c r="D49" s="612" t="str">
        <f>IF(ISNUMBER(SEARCH("vacant",$B49)),"Vacant","Filled")</f>
        <v>Vacant</v>
      </c>
      <c r="E49" s="647" t="inlineStr">
        <is>
          <t>Hold</t>
        </is>
      </c>
      <c r="F49" s="648" t="str">
        <f>INDEX('REVIEW - Complete Role Mapping'!$AP:$AP,521)</f>
        <v>DevOps &amp; QE</v>
      </c>
      <c r="G49" s="949">
        <f>INDEX('REVIEW - Complete Role Mapping'!$AA:$AA,521)</f>
        <v>231689.25</v>
      </c>
      <c r="H49" s="949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Mapping'!$B:$B,522)</f>
        <v>Vacant</v>
      </c>
      <c r="C50" s="646" t="str">
        <f>INDEX('REVIEW - Complete Role Mapping'!$C:$C,522)</f>
        <v>Lead Engineer Software</v>
      </c>
      <c r="D50" s="646" t="str">
        <f>IF(ISNUMBER(SEARCH("vacant",$B50)),"Vacant","Filled")</f>
        <v>Vacant</v>
      </c>
      <c r="E50" s="646" t="inlineStr">
        <is>
          <t>Hold</t>
        </is>
      </c>
      <c r="F50" s="646" t="str">
        <f>INDEX('REVIEW - Complete Role Mapping'!$AP:$AP,522)</f>
        <v>DevOps &amp; QE</v>
      </c>
      <c r="G50" s="949">
        <f>INDEX('REVIEW - Complete Role Mapping'!$AA:$AA,522)</f>
        <v>231689.25</v>
      </c>
      <c r="H50" s="949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Mapping'!$B:$B,492)</f>
        <v>Billie Connolly</v>
      </c>
      <c r="C51" s="634" t="str">
        <f>INDEX('REVIEW - Complete Role Mapping'!$C:$C,492)</f>
        <v>Engineer - Modern Workplaces</v>
      </c>
      <c r="D51" s="612" t="str">
        <f>IF(ISNUMBER(SEARCH("vacant",$B51)),"Vacant","Filled")</f>
        <v>Filled</v>
      </c>
      <c r="E51" s="612" t="inlineStr">
        <is>
          <t>Filled</t>
        </is>
      </c>
      <c r="F51" s="634" t="str">
        <f>INDEX('REVIEW - Complete Role Mapping'!$AP:$AP,492)</f>
        <v>Workplace &amp; Enterprise Tooling</v>
      </c>
      <c r="G51" s="949">
        <f>INDEX('REVIEW - Complete Role Mapping'!$AA:$AA,492)</f>
        <v>135906.948</v>
      </c>
      <c r="H51" s="949">
        <f>$G51*IFERROR(INDEX(Lists!$AD:$AD,MATCH($E51,Lists!$AC:$AC,0)),1)</f>
        <v>135906.948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Mapping'!$B:$B,493)</f>
        <v>Ken Thomson</v>
      </c>
      <c r="C52" s="634" t="str">
        <f>INDEX('REVIEW - Complete Role Mapping'!$C:$C,493)</f>
        <v>Servicenow Platform Specialist</v>
      </c>
      <c r="D52" s="612" t="str">
        <f>IF(ISNUMBER(SEARCH("vacant",$B52)),"Vacant","Filled")</f>
        <v>Filled</v>
      </c>
      <c r="E52" s="612" t="inlineStr">
        <is>
          <t>Filled</t>
        </is>
      </c>
      <c r="F52" s="634" t="str">
        <f>INDEX('REVIEW - Complete Role Mapping'!$AP:$AP,493)</f>
        <v>Workplace &amp; Enterprise Tooling</v>
      </c>
      <c r="G52" s="949">
        <f>INDEX('REVIEW - Complete Role Mapping'!$AA:$AA,493)</f>
        <v>220875.75</v>
      </c>
      <c r="H52" s="949">
        <f>$G52*IFERROR(INDEX(Lists!$AD:$AD,MATCH($E52,Lists!$AC:$AC,0)),1)</f>
        <v>220875.75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Mapping'!$B:$B,494)</f>
        <v>Nicholas McKay</v>
      </c>
      <c r="C53" s="634" t="str">
        <f>INDEX('REVIEW - Complete Role Mapping'!$C:$C,494)</f>
        <v>Workplace Tooling Specialist</v>
      </c>
      <c r="D53" s="612" t="str">
        <f>IF(ISNUMBER(SEARCH("vacant",$B53)),"Vacant","Filled")</f>
        <v>Filled</v>
      </c>
      <c r="E53" s="612" t="inlineStr">
        <is>
          <t>Filled</t>
        </is>
      </c>
      <c r="F53" s="634" t="str">
        <f>INDEX('REVIEW - Complete Role Mapping'!$AP:$AP,494)</f>
        <v>Workplace &amp; Enterprise Tooling</v>
      </c>
      <c r="G53" s="949">
        <f>INDEX('REVIEW - Complete Role Mapping'!$AA:$AA,494)</f>
        <v>212438.55</v>
      </c>
      <c r="H53" s="949">
        <f>$G53*IFERROR(INDEX(Lists!$AD:$AD,MATCH($E53,Lists!$AC:$AC,0)),1)</f>
        <v>212438.55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Mapping'!$B:$B,527)</f>
        <v>Rob Struthers</v>
      </c>
      <c r="C54" s="634" t="str">
        <f>INDEX('REVIEW - Complete Role Mapping'!$C:$C,527)</f>
        <v>Engineer - Modern Workplaces</v>
      </c>
      <c r="D54" s="612" t="str">
        <f>IF(ISNUMBER(SEARCH("vacant",$B54)),"Vacant","Filled")</f>
        <v>Filled</v>
      </c>
      <c r="E54" s="612" t="inlineStr">
        <is>
          <t>Filled</t>
        </is>
      </c>
      <c r="F54" s="634" t="str">
        <f>INDEX('REVIEW - Complete Role Mapping'!$AP:$AP,527)</f>
        <v>Workplace &amp; Enterprise Tooling</v>
      </c>
      <c r="G54" s="949">
        <f>INDEX('REVIEW - Complete Role Mapping'!$AA:$AA,527)</f>
        <v>143669.724</v>
      </c>
      <c r="H54" s="949">
        <f>$G54*IFERROR(INDEX(Lists!$AD:$AD,MATCH($E54,Lists!$AC:$AC,0)),1)</f>
        <v>143669.724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Mapping'!$B:$B,517)</f>
        <v>Vacant</v>
      </c>
      <c r="C55" s="634" t="str">
        <f>INDEX('REVIEW - Complete Role Mapping'!$C:$C,517)</f>
        <v>Business Analyst (Workplace &amp; Enterprise Tooling)</v>
      </c>
      <c r="D55" s="612" t="str">
        <f>IF(ISNUMBER(SEARCH("vacant",$B55)),"Vacant","Filled")</f>
        <v>Vacant</v>
      </c>
      <c r="E55" s="612" t="inlineStr">
        <is>
          <t>Hold</t>
        </is>
      </c>
      <c r="F55" s="634" t="str">
        <f>INDEX('REVIEW - Complete Role Mapping'!$AP:$AP,517)</f>
        <v>Workplace &amp; Enterprise Tooling</v>
      </c>
      <c r="G55" s="949">
        <f>INDEX('REVIEW - Complete Role Mapping'!$AA:$AA,517)</f>
        <v>201585</v>
      </c>
      <c r="H55" s="949">
        <f>$G55*IFERROR(INDEX(Lists!$AD:$AD,MATCH($E55,Lists!$AC:$AC,0)),1)</f>
        <v>0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Mapping'!$B:$B,519)</f>
        <v>Vacant</v>
      </c>
      <c r="C56" s="634" t="str">
        <f>INDEX('REVIEW - Complete Role Mapping'!$C:$C,519)</f>
        <v>Enterprise Systems Specialist</v>
      </c>
      <c r="D56" s="612" t="str">
        <f>IF(ISNUMBER(SEARCH("vacant",$B56)),"Vacant","Filled")</f>
        <v>Vacant</v>
      </c>
      <c r="E56" s="612" t="inlineStr">
        <is>
          <t>Hold</t>
        </is>
      </c>
      <c r="F56" s="634" t="str">
        <f>INDEX('REVIEW - Complete Role Mapping'!$AP:$AP,519)</f>
        <v>Workplace &amp; Enterprise Tooling</v>
      </c>
      <c r="G56" s="949">
        <f>INDEX('REVIEW - Complete Role Mapping'!$AA:$AA,519)</f>
        <v>202853.25</v>
      </c>
      <c r="H56" s="949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Mapping'!$B:$B,449)</f>
        <v>Anjali Patra</v>
      </c>
      <c r="C57" s="634" t="str">
        <f>INDEX('REVIEW - Complete Role Mapping'!$C:$C,449)</f>
        <v>Delivery Lead - EGI</v>
      </c>
      <c r="D57" s="612" t="str">
        <f>IF(ISNUMBER(SEARCH("vacant",$B57)),"Vacant","Filled")</f>
        <v>Filled</v>
      </c>
      <c r="E57" s="647" t="inlineStr">
        <is>
          <t>Filled</t>
        </is>
      </c>
      <c r="F57" s="648" t="str">
        <f>INDEX('REVIEW - Complete Role Mapping'!$AP:$AP,449)</f>
        <v>EGI TDD</v>
      </c>
      <c r="G57" s="949">
        <f>INDEX('REVIEW - Complete Role Mapping'!$AA:$AA,449)</f>
        <v>210996.75</v>
      </c>
      <c r="H57" s="949">
        <f>$G57*IFERROR(INDEX(Lists!$AD:$AD,MATCH($E57,Lists!$AC:$AC,0)),1)</f>
        <v>210996.75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Mapping'!$B:$B,450)</f>
        <v>Arun Tahlan</v>
      </c>
      <c r="C58" s="634" t="str">
        <f>INDEX('REVIEW - Complete Role Mapping'!$C:$C,450)</f>
        <v>Integration Architect (C) - Boomi</v>
      </c>
      <c r="D58" s="612" t="str">
        <f>IF(ISNUMBER(SEARCH("vacant",$B58)),"Vacant","Filled")</f>
        <v>Filled</v>
      </c>
      <c r="E58" s="647" t="inlineStr">
        <is>
          <t>Filled</t>
        </is>
      </c>
      <c r="F58" s="648" t="str">
        <f>INDEX('REVIEW - Complete Role Mapping'!$AP:$AP,450)</f>
        <v>EGI TDD</v>
      </c>
      <c r="G58" s="949">
        <f>INDEX('REVIEW - Complete Role Mapping'!$AA:$AA,450)</f>
        <v>348096</v>
      </c>
      <c r="H58" s="949">
        <f>$G58*IFERROR(INDEX(Lists!$AD:$AD,MATCH($E58,Lists!$AC:$AC,0)),1)</f>
        <v>348096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Mapping'!$B:$B,452)</f>
        <v>Kris Thornley</v>
      </c>
      <c r="C59" s="646" t="str">
        <f>INDEX('REVIEW - Complete Role Mapping'!$C:$C,452)</f>
        <v>Integration Architect (C)</v>
      </c>
      <c r="D59" s="646" t="str">
        <f>IF(ISNUMBER(SEARCH("vacant",$B59)),"Vacant","Filled")</f>
        <v>Filled</v>
      </c>
      <c r="E59" s="646" t="inlineStr">
        <is>
          <t>Filled</t>
        </is>
      </c>
      <c r="F59" s="646" t="str">
        <f>INDEX('REVIEW - Complete Role Mapping'!$AP:$AP,452)</f>
        <v>EGI TDD</v>
      </c>
      <c r="G59" s="949">
        <f>INDEX('REVIEW - Complete Role Mapping'!$AA:$AA,452)</f>
        <v>266400</v>
      </c>
      <c r="H59" s="949">
        <f>$G59*IFERROR(INDEX(Lists!$AD:$AD,MATCH($E59,Lists!$AC:$AC,0)),1)</f>
        <v>266400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Mapping'!$B:$B,451)</f>
        <v>Shobhit Mittal</v>
      </c>
      <c r="C60" s="634" t="str">
        <f>INDEX('REVIEW - Complete Role Mapping'!$C:$C,451)</f>
        <v>Lead Engineer - Automation Test</v>
      </c>
      <c r="D60" s="612" t="str">
        <f>IF(ISNUMBER(SEARCH("vacant",$B60)),"Vacant","Filled")</f>
        <v>Filled</v>
      </c>
      <c r="E60" s="612" t="inlineStr">
        <is>
          <t>Filled</t>
        </is>
      </c>
      <c r="F60" s="634" t="str">
        <f>INDEX('REVIEW - Complete Role Mapping'!$AP:$AP,451)</f>
        <v>EGI TDD</v>
      </c>
      <c r="G60" s="949">
        <f>INDEX('REVIEW - Complete Role Mapping'!$AA:$AA,451)</f>
        <v>199355.76</v>
      </c>
      <c r="H60" s="949">
        <f>$G60*IFERROR(INDEX(Lists!$AD:$AD,MATCH($E60,Lists!$AC:$AC,0)),1)</f>
        <v>199355.76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Mapping'!$B:$B,512)</f>
        <v>Vacant</v>
      </c>
      <c r="C61" s="634" t="str">
        <f>INDEX('REVIEW - Complete Role Mapping'!$C:$C,512)</f>
        <v>Head of Technology - TDD &amp; Engineering Capability Lead</v>
      </c>
      <c r="D61" s="612" t="str">
        <f>IF(ISNUMBER(SEARCH("vacant",$B61)),"Vacant","Filled")</f>
        <v>Vacant</v>
      </c>
      <c r="E61" s="612" t="inlineStr">
        <is>
          <t>Hold</t>
        </is>
      </c>
      <c r="F61" s="634" t="str">
        <f>INDEX('REVIEW - Complete Role Mapping'!$AP:$AP,512)</f>
        <v>Leadership</v>
      </c>
      <c r="G61" s="949">
        <f>INDEX('REVIEW - Complete Role Mapping'!$AA:$AA,512)</f>
        <v>333020.25</v>
      </c>
      <c r="H61" s="949">
        <f>$G61*IFERROR(INDEX(Lists!$AD:$AD,MATCH($E61,Lists!$AC:$AC,0)),1)</f>
        <v>0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Mapping'!$B:$B,518)</f>
        <v>Vacant</v>
      </c>
      <c r="C62" s="634" t="str">
        <f>INDEX('REVIEW - Complete Role Mapping'!$C:$C,518)</f>
        <v>Delivery Manager</v>
      </c>
      <c r="D62" s="612" t="str">
        <f>IF(ISNUMBER(SEARCH("vacant",$B62)),"Vacant","Filled")</f>
        <v>Vacant</v>
      </c>
      <c r="E62" s="612" t="inlineStr">
        <is>
          <t>Hold</t>
        </is>
      </c>
      <c r="F62" s="634" t="str">
        <f>INDEX('REVIEW - Complete Role Mapping'!$AP:$AP,518)</f>
        <v>Leadership</v>
      </c>
      <c r="G62" s="949">
        <f>INDEX('REVIEW - Complete Role Mapping'!$AA:$AA,518)</f>
        <v>275810.25</v>
      </c>
      <c r="H62" s="949">
        <f>$G62*IFERROR(INDEX(Lists!$AD:$AD,MATCH($E62,Lists!$AC:$AC,0)),1)</f>
        <v>0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Mapping'!$B:$B,523)</f>
        <v>Vacant</v>
      </c>
      <c r="C63" s="634" t="str">
        <f>INDEX('REVIEW - Complete Role Mapping'!$C:$C,523)</f>
        <v>Technology Manager – Cloud, Network and Infrastructure Operations</v>
      </c>
      <c r="D63" s="612" t="str">
        <f>IF(ISNUMBER(SEARCH("vacant",$B63)),"Vacant","Filled")</f>
        <v>Vacant</v>
      </c>
      <c r="E63" s="647" t="inlineStr">
        <is>
          <t>Hold</t>
        </is>
      </c>
      <c r="F63" s="648" t="str">
        <f>INDEX('REVIEW - Complete Role Mapping'!$AP:$AP,523)</f>
        <v>Leadership</v>
      </c>
      <c r="G63" s="949">
        <f>INDEX('REVIEW - Complete Role Mapping'!$AA:$AA,523)</f>
        <v>275810.25</v>
      </c>
      <c r="H63" s="949">
        <f>$G63*IFERROR(INDEX(Lists!$AD:$AD,MATCH($E63,Lists!$AC:$AC,0)),1)</f>
        <v>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Mapping'!$B:$B,524)</f>
        <v>Vacant</v>
      </c>
      <c r="C64" s="634" t="str">
        <f>INDEX('REVIEW - Complete Role Mapping'!$C:$C,524)</f>
        <v>Technology Manager – DevOps and Quality Engineering</v>
      </c>
      <c r="D64" s="612" t="str">
        <f>IF(ISNUMBER(SEARCH("vacant",$B64)),"Vacant","Filled")</f>
        <v>Vacant</v>
      </c>
      <c r="E64" s="647" t="inlineStr">
        <is>
          <t>Hold</t>
        </is>
      </c>
      <c r="F64" s="648" t="str">
        <f>INDEX('REVIEW - Complete Role Mapping'!$AP:$AP,524)</f>
        <v>Leadership</v>
      </c>
      <c r="G64" s="949">
        <f>INDEX('REVIEW - Complete Role Mapping'!$AA:$AA,524)</f>
        <v>275810.25</v>
      </c>
      <c r="H64" s="949">
        <f>$G64*IFERROR(INDEX(Lists!$AD:$AD,MATCH($E64,Lists!$AC:$AC,0)),1)</f>
        <v>0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Mapping'!$B:$B,525)</f>
        <v>Vacant</v>
      </c>
      <c r="C65" s="634" t="str">
        <f>INDEX('REVIEW - Complete Role Mapping'!$C:$C,525)</f>
        <v>Technology Manager, Enterprise Tooling</v>
      </c>
      <c r="D65" s="612" t="str">
        <f>IF(ISNUMBER(SEARCH("vacant",$B65)),"Vacant","Filled")</f>
        <v>Vacant</v>
      </c>
      <c r="E65" s="612" t="inlineStr">
        <is>
          <t>Hold</t>
        </is>
      </c>
      <c r="F65" s="634" t="str">
        <f>INDEX('REVIEW - Complete Role Mapping'!$AP:$AP,525)</f>
        <v>Leadership</v>
      </c>
      <c r="G65" s="949">
        <f>INDEX('REVIEW - Complete Role Mapping'!$AA:$AA,525)</f>
        <v>275810.25</v>
      </c>
      <c r="H65" s="949">
        <f>$G65*IFERROR(INDEX(Lists!$AD:$AD,MATCH($E65,Lists!$AC:$AC,0)),1)</f>
        <v>0</v>
      </c>
      <c r="I65" s="949" t="n"/>
      <c r="J65" s="949" t="n"/>
      <c r="K65" s="949" t="n"/>
      <c r="L65" s="949" t="n"/>
      <c r="M65" s="949" t="n"/>
      <c r="N65" s="949" t="n"/>
    </row>
    <row r="66">
      <c r="B66" s="646" t="n"/>
      <c r="C66" s="646" t="n"/>
      <c r="D66" s="646" t="n"/>
      <c r="E66" s="646" t="n"/>
      <c r="F66" s="646" t="n"/>
      <c r="G66" s="949" t="n"/>
      <c r="H66" s="949" t="n"/>
      <c r="I66" s="949" t="n"/>
      <c r="J66" s="949" t="n"/>
      <c r="K66" s="949" t="n"/>
      <c r="L66" s="949" t="n"/>
      <c r="M66" s="949" t="n"/>
      <c r="N66" s="949" t="n"/>
    </row>
    <row r="67">
      <c r="B67" s="634" t="n"/>
      <c r="C67" s="634" t="n"/>
      <c r="D67" s="612" t="n"/>
      <c r="E67" s="612" t="n"/>
      <c r="F67" s="634" t="n"/>
      <c r="G67" s="949" t="n"/>
      <c r="H67" s="949" t="n"/>
      <c r="I67" s="949" t="n"/>
      <c r="J67" s="949" t="n"/>
      <c r="K67" s="949" t="n"/>
      <c r="L67" s="949" t="n"/>
      <c r="M67" s="949" t="n"/>
      <c r="N67" s="949" t="n"/>
    </row>
    <row r="68">
      <c r="B68" s="646" t="n"/>
      <c r="C68" s="646" t="n"/>
      <c r="D68" s="646" t="n"/>
      <c r="E68" s="646" t="n"/>
      <c r="F68" s="646" t="n"/>
      <c r="G68" s="442" t="n"/>
      <c r="H68" s="442" t="n"/>
      <c r="I68" s="442" t="n"/>
      <c r="J68" s="442" t="n"/>
      <c r="K68" s="442" t="n"/>
      <c r="L68" s="442" t="n"/>
      <c r="M68" s="442" t="n"/>
      <c r="N68" s="442" t="n"/>
    </row>
    <row r="69">
      <c r="B69" s="634" t="n"/>
      <c r="C69" s="634" t="n"/>
      <c r="D69" s="612" t="n"/>
      <c r="E69" s="612" t="n"/>
      <c r="F69" s="634" t="n"/>
      <c r="G69" s="442" t="n"/>
      <c r="H69" s="442" t="n"/>
      <c r="I69" s="442" t="n"/>
      <c r="J69" s="442" t="n"/>
      <c r="K69" s="442" t="n"/>
      <c r="L69" s="442" t="n"/>
      <c r="M69" s="442" t="n"/>
      <c r="N69" s="442" t="n"/>
    </row>
    <row r="70">
      <c r="B70" s="634" t="n"/>
      <c r="C70" s="634" t="n"/>
      <c r="D70" s="612" t="n"/>
      <c r="E70" s="612" t="n"/>
      <c r="F70" s="634" t="n"/>
      <c r="G70" s="442" t="n"/>
      <c r="H70" s="442" t="n"/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19:D61">
    <cfRule type="cellIs" priority="1" operator="equal" dxfId="1">
      <formula>"Vacant"</formula>
    </cfRule>
  </conditionalFormatting>
  <conditionalFormatting sqref="I6:I11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20:E65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39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P&amp;C</t>
        </is>
      </c>
      <c r="C6" s="635">
        <f>IFERROR(INDEX('1.5 P&amp;C'!$C:$C,MATCH($S6,'1.5 P&amp;C'!$B:$B,0)),"Outside archetype model")</f>
        <v>0</v>
      </c>
      <c r="D6" s="1150" t="str">
        <f>IFERROR(INDEX('0.3 Squad Archetypes'!$F$5:$F$23,MATCH($C6&amp;"|"&amp;$R6,'0.3 Squad Archetypes'!$A$5:$A$23,0)),"-")</f>
        <v>-</v>
      </c>
      <c r="E6" s="1151">
        <f>COUNTIFS($F$18:$F$35,$B6)</f>
        <v>8</v>
      </c>
      <c r="F6" s="1151" t="str">
        <f>IFERROR($E6-$D6,"-")</f>
        <v>-</v>
      </c>
      <c r="G6" s="1151">
        <f>COUNTIFS($F$18:$F$35,$B6,$D$18:$D$35,"Vacant")</f>
        <v>3</v>
      </c>
      <c r="H6" s="1151">
        <f>COUNTIFS($F$18:$F$35,$B6,$D$18:$D$35,"Vacant",$E$18:$E$35,"Hire")+COUNTIFS($F$18:$F$35,$B6,$D$18:$D$35,"Vacant",$E$18:$E$35,"Offshore")</f>
        <v>0</v>
      </c>
      <c r="I6" s="1151">
        <f>$G6-$H6</f>
        <v>3</v>
      </c>
      <c r="J6" s="634">
        <f>$E6-COUNTIFS($F$18:$F$35,$B6,$E$18:$E$35,"Hold")</f>
        <v>5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153" t="str">
        <f>IFERROR(INDEX('0.3 Squad Archetypes'!$G$5:$G$23,MATCH($C6&amp;"|"&amp;$R6,'0.3 Squad Archetypes'!$A$5:$A$23,0)),"-")</f>
        <v>-</v>
      </c>
      <c r="M6" s="1153">
        <f>SUMIFS($G$18:$G$35,$F$18:$F$35,$B6)/1000000</f>
        <v>1.76551793</v>
      </c>
      <c r="N6" s="1153" t="str">
        <f>IFERROR($M6-$L6,"-")</f>
        <v>-</v>
      </c>
      <c r="O6" s="635">
        <f>SUMIFS($H$18:$H$35,$F$18:$F$35,$B6)/1000000</f>
        <v>1.18932168</v>
      </c>
      <c r="P6">
        <f>$O6+(Lists!$AG$4+Lists!$AG$5)*$E6/$E$10</f>
        <v>1.34932168</v>
      </c>
      <c r="Q6" t="str">
        <f>IFERROR($P6-$L6,"-")</f>
        <v>-</v>
      </c>
      <c r="R6" t="str">
        <f>IFERROR(IF(INDEX('1.5 P&amp;C'!$D:$D,MATCH($S6,'1.5 P&amp;C'!$B:$B,0))="","-",INDEX('1.5 P&amp;C'!$D:$D,MATCH($S6,'1.5 P&amp;C'!$B:$B,0))),"-")</f>
        <v>-</v>
      </c>
      <c r="S6" t="str">
        <f>IFERROR(INDEX(Lists!$AA:$AA,MATCH($B6,Lists!$Z:$Z,0)),$B6)</f>
        <v>P&amp;C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A7" s="949" t="n"/>
      <c r="B7" s="640" t="inlineStr">
        <is>
          <t>P&amp;C RTA</t>
        </is>
      </c>
      <c r="C7" s="635" t="str">
        <f>IFERROR(INDEX('1.5 P&amp;C'!$C:$C,MATCH($S7,'1.5 P&amp;C'!$B:$B,0)),"Outside archetype model")</f>
        <v>Configuration / Integration</v>
      </c>
      <c r="D7" s="1150">
        <f>IFERROR(INDEX('0.3 Squad Archetypes'!$F$5:$F$23,MATCH($C7&amp;"|"&amp;$R7,'0.3 Squad Archetypes'!$A$5:$A$23,0)),"-")</f>
        <v>6</v>
      </c>
      <c r="E7" s="1151">
        <f>COUNTIFS($F$18:$F$35,$B7)</f>
        <v>6</v>
      </c>
      <c r="F7" s="1151">
        <f>IFERROR($E7-$D7,"-")</f>
        <v>0</v>
      </c>
      <c r="G7" s="1151">
        <f>COUNTIFS($F$18:$F$35,$B7,$D$18:$D$35,"Vacant")</f>
        <v>5</v>
      </c>
      <c r="H7" s="1151">
        <f>COUNTIFS($F$18:$F$35,$B7,$D$18:$D$35,"Vacant",$E$18:$E$35,"Hire")+COUNTIFS($F$18:$F$35,$B7,$D$18:$D$35,"Vacant",$E$18:$E$35,"Offshore")</f>
        <v>0</v>
      </c>
      <c r="I7" s="1151">
        <f>$G7-$H7</f>
        <v>5</v>
      </c>
      <c r="J7" s="634">
        <f>$E7-COUNTIFS($F$18:$F$35,$B7,$E$18:$E$35,"Hold")</f>
        <v>1</v>
      </c>
      <c r="K7" s="1152" t="str">
        <f>IF(NOT(ISNUMBER($D7)),"Outside the archetype model",IF($J7&gt;$D7,"Over archetype after decisions",IF($J7&lt;$D7,"Under archetype","On archetype")))</f>
        <v>Under archetype</v>
      </c>
      <c r="L7" s="1153">
        <f>IFERROR(INDEX('0.3 Squad Archetypes'!$G$5:$G$23,MATCH($C7&amp;"|"&amp;$R7,'0.3 Squad Archetypes'!$A$5:$A$23,0)),"-")</f>
        <v>1.4</v>
      </c>
      <c r="M7" s="1153">
        <f>SUMIFS($G$18:$G$35,$F$18:$F$35,$B7)/1000000</f>
        <v>1.26408815</v>
      </c>
      <c r="N7" s="1153">
        <f>IFERROR($M7-$L7,"-")</f>
        <v>-0.13591185</v>
      </c>
      <c r="O7" s="635">
        <f>SUMIFS($H$18:$H$35,$F$18:$F$35,$B7)/1000000</f>
        <v>0.2775</v>
      </c>
      <c r="P7">
        <f>$O7+(Lists!$AG$4+Lists!$AG$5)*$E7/$E$10</f>
        <v>0.3975</v>
      </c>
      <c r="Q7">
        <f>IFERROR($P7-$L7,"-")</f>
        <v>-1.0025</v>
      </c>
      <c r="R7" t="str">
        <f>IFERROR(IF(INDEX('1.5 P&amp;C'!$D:$D,MATCH($S7,'1.5 P&amp;C'!$B:$B,0))="","-",INDEX('1.5 P&amp;C'!$D:$D,MATCH($S7,'1.5 P&amp;C'!$B:$B,0))),"-")</f>
        <v>S</v>
      </c>
      <c r="S7" t="str">
        <f>IFERROR(INDEX(Lists!$AA:$AA,MATCH($B7,Lists!$Z:$Z,0)),$B7)</f>
        <v>P&amp;C - RTA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EGI P&amp;C</t>
        </is>
      </c>
      <c r="C8" s="635" t="str">
        <f>IFERROR(INDEX('1.5 P&amp;C'!$C:$C,MATCH($S8,'1.5 P&amp;C'!$B:$B,0)),"Outside archetype model")</f>
        <v>Strategic Programs</v>
      </c>
      <c r="D8" s="1150" t="str">
        <f>IFERROR(INDEX('0.3 Squad Archetypes'!$F$5:$F$23,MATCH($C8&amp;"|"&amp;$R8,'0.3 Squad Archetypes'!$A$5:$A$23,0)),"-")</f>
        <v>-</v>
      </c>
      <c r="E8" s="1151">
        <f>COUNTIFS($F$18:$F$35,$B8)</f>
        <v>1</v>
      </c>
      <c r="F8" s="1151" t="str">
        <f>IFERROR($E8-$D8,"-")</f>
        <v>-</v>
      </c>
      <c r="G8" s="1151">
        <f>COUNTIFS($F$18:$F$35,$B8,$D$18:$D$35,"Vacant")</f>
        <v>0</v>
      </c>
      <c r="H8" s="1151">
        <f>COUNTIFS($F$18:$F$35,$B8,$D$18:$D$35,"Vacant",$E$18:$E$35,"Hire")+COUNTIFS($F$18:$F$35,$B8,$D$18:$D$35,"Vacant",$E$18:$E$35,"Offshore")</f>
        <v>0</v>
      </c>
      <c r="I8" s="1151">
        <f>$G8-$H8</f>
        <v>0</v>
      </c>
      <c r="J8" s="634">
        <f>$E8-COUNTIFS($F$18:$F$35,$B8,$E$18:$E$35,"Hold")</f>
        <v>1</v>
      </c>
      <c r="K8" s="1152" t="str">
        <f>IF(NOT(ISNUMBER($D8)),"Outside the archetype model",IF($J8&gt;$D8,"Over archetype after decisions",IF($J8&lt;$D8,"Under archetype","On archetype")))</f>
        <v>Outside the archetype model</v>
      </c>
      <c r="L8" s="1153" t="str">
        <f>IFERROR(INDEX('0.3 Squad Archetypes'!$G$5:$G$23,MATCH($C8&amp;"|"&amp;$R8,'0.3 Squad Archetypes'!$A$5:$A$23,0)),"-")</f>
        <v>-</v>
      </c>
      <c r="M8" s="1153">
        <f>SUMIFS($G$18:$G$35,$F$18:$F$35,$B8)/1000000</f>
        <v>0.238965</v>
      </c>
      <c r="N8" s="1153" t="str">
        <f>IFERROR($M8-$L8,"-")</f>
        <v>-</v>
      </c>
      <c r="O8" s="635">
        <f>SUMIFS($H$18:$H$35,$F$18:$F$35,$B8)/1000000</f>
        <v>0.238965</v>
      </c>
      <c r="P8">
        <f>$O8+(Lists!$AG$4+Lists!$AG$5)*$E8/$E$10</f>
        <v>0.258965</v>
      </c>
      <c r="Q8" t="str">
        <f>IFERROR($P8-$L8,"-")</f>
        <v>-</v>
      </c>
      <c r="R8" t="str">
        <f>IFERROR(IF(INDEX('1.5 P&amp;C'!$D:$D,MATCH($S8,'1.5 P&amp;C'!$B:$B,0))="","-",INDEX('1.5 P&amp;C'!$D:$D,MATCH($S8,'1.5 P&amp;C'!$B:$B,0))),"-")</f>
        <v>-</v>
      </c>
      <c r="S8" t="str">
        <f>IFERROR(INDEX(Lists!$AA:$AA,MATCH($B8,Lists!$Z:$Z,0)),$B8)</f>
        <v>EGI P&amp;C</v>
      </c>
      <c r="T8" t="str">
        <f>IF($B8="Leadership","Shared role - compared to the allowance",IF($C8="Strategic Programs","Strategic Programs - no rate in 0.3 (TBC)",IF(NOT(ISNUMBER($D8)),"No archetype for this squad","Archetype applies")))</f>
        <v>Strategic Programs - no rate in 0.3 (TBC)</v>
      </c>
    </row>
    <row r="9">
      <c r="A9" s="949" t="n"/>
      <c r="B9" s="641" t="inlineStr">
        <is>
          <t>Leadership</t>
        </is>
      </c>
      <c r="C9" s="641" t="str">
        <f>IFERROR(INDEX('1.5 P&amp;C'!$C:$C,MATCH($S9,'1.5 P&amp;C'!$B:$B,0)),"Outside archetype model")</f>
        <v>Outside archetype model</v>
      </c>
      <c r="D9" s="1154" t="str">
        <f>IFERROR(INDEX('0.3 Squad Archetypes'!$F$5:$F$23,MATCH($C9&amp;"|"&amp;$R9,'0.3 Squad Archetypes'!$A$5:$A$23,0)),"-")</f>
        <v>-</v>
      </c>
      <c r="E9" s="1154">
        <f>COUNTIFS($F$18:$F$35,$B9)</f>
        <v>3</v>
      </c>
      <c r="F9" s="1154" t="str">
        <f>IFERROR($E9-$D9,"-")</f>
        <v>-</v>
      </c>
      <c r="G9" s="1154">
        <f>COUNTIFS($F$18:$F$35,$B9,$D$18:$D$35,"Vacant")</f>
        <v>2</v>
      </c>
      <c r="H9" s="1154">
        <f>COUNTIFS($F$18:$F$35,$B9,$D$18:$D$35,"Vacant",$E$18:$E$35,"Hire")+COUNTIFS($F$18:$F$35,$B9,$D$18:$D$35,"Vacant",$E$18:$E$35,"Offshore")</f>
        <v>0</v>
      </c>
      <c r="I9" s="1154">
        <f>$G9-$H9</f>
        <v>2</v>
      </c>
      <c r="J9" s="641">
        <f>$E9-COUNTIFS($F$18:$F$35,$B9,$E$18:$E$35,"Hold")</f>
        <v>1</v>
      </c>
      <c r="K9" s="1155" t="str">
        <f>IF(NOT(ISNUMBER($D9)),"Outside the archetype model",IF($J9&gt;$D9,"Over archetype after decisions",IF($J9&lt;$D9,"Under archetype","On archetype")))</f>
        <v>Outside the archetype model</v>
      </c>
      <c r="L9" s="1155" t="str">
        <f>IFERROR(INDEX('0.3 Squad Archetypes'!$G$5:$G$23,MATCH($C9&amp;"|"&amp;$R9,'0.3 Squad Archetypes'!$A$5:$A$23,0)),"-")</f>
        <v>-</v>
      </c>
      <c r="M9" s="1155">
        <f>SUMIFS($G$18:$G$35,$F$18:$F$35,$B9)/1000000</f>
        <v>0.9158698</v>
      </c>
      <c r="N9" s="1155" t="str">
        <f>IFERROR($M9-$L9,"-")</f>
        <v>-</v>
      </c>
      <c r="O9" s="641">
        <f>SUMIFS($H$18:$H$35,$F$18:$F$35,$B9)/1000000</f>
        <v>0.3642493</v>
      </c>
      <c r="P9">
        <f>$O9+(Lists!$AG$4+Lists!$AG$5)*$E9/$E$10</f>
        <v>0.4242493</v>
      </c>
      <c r="Q9" t="str">
        <f>IFERROR($P9-$L9,"-")</f>
        <v>-</v>
      </c>
      <c r="R9" t="str">
        <f>IFERROR(IF(INDEX('1.5 P&amp;C'!$D:$D,MATCH($S9,'1.5 P&amp;C'!$B:$B,0))="","-",INDEX('1.5 P&amp;C'!$D:$D,MATCH($S9,'1.5 P&amp;C'!$B:$B,0))),"-")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1226" t="inlineStr">
        <is>
          <t>Total</t>
        </is>
      </c>
      <c r="C10" s="645" t="n"/>
      <c r="D10" s="949">
        <f>SUM(D6:D9)</f>
        <v>6</v>
      </c>
      <c r="E10" s="1156">
        <f>COUNTIFS('REVIEW - Complete Role Mapping'!$AJ$2:$AJ$528,"P&amp;C")</f>
        <v>18</v>
      </c>
      <c r="F10" s="949">
        <f>SUM(F6:F9)</f>
        <v>0</v>
      </c>
      <c r="G10" s="949">
        <f>SUM(G6:G9)</f>
        <v>10</v>
      </c>
      <c r="H10" s="949">
        <f>SUM(H6:H9)</f>
        <v>0</v>
      </c>
      <c r="I10" s="949">
        <f>SUM(I6:I9)</f>
        <v>10</v>
      </c>
      <c r="J10" s="949">
        <f>SUM(J6:J9)</f>
        <v>8</v>
      </c>
      <c r="K10" s="949" t="n"/>
      <c r="L10" s="949">
        <f>SUM(L6:L9)</f>
        <v>1.4</v>
      </c>
      <c r="M10" s="949">
        <f>SUMIFS('REVIEW - Complete Role Mapping'!$AA$2:$AA$528,'REVIEW - Complete Role Mapping'!$AJ$2:$AJ$528,"P&amp;C")/1000000</f>
        <v>4.18444088</v>
      </c>
      <c r="N10" s="949">
        <f>SUM(N6:N9)</f>
        <v>-0.13591185</v>
      </c>
      <c r="O10" s="949">
        <f>SUM(O6:O9)</f>
        <v>2.07003598</v>
      </c>
      <c r="P10">
        <f>SUM(P6:P9)</f>
        <v>2.43003598</v>
      </c>
      <c r="Q10">
        <f>SUM(Q6:Q9)</f>
        <v>-1.0025</v>
      </c>
    </row>
    <row r="11">
      <c r="A11" s="949" t="n"/>
      <c r="B11" s="504" t="n"/>
      <c r="C11" s="645" t="n"/>
      <c r="D11" s="949" t="n"/>
      <c r="E11" s="1156" t="n"/>
      <c r="F11" s="949" t="n"/>
      <c r="G11" s="949" t="n"/>
      <c r="H11" s="949" t="n"/>
      <c r="I11" s="949" t="n"/>
      <c r="J11" s="949" t="n"/>
      <c r="K11" s="949" t="n"/>
      <c r="L11" s="949" t="n"/>
      <c r="M11" s="949" t="n"/>
      <c r="N11" s="949" t="n"/>
      <c r="O11" s="949" t="n"/>
    </row>
    <row r="12">
      <c r="A12" s="949" t="n"/>
      <c r="B12" s="994" t="inlineStr">
        <is>
          <t>Cost to fill every vacancy at full onshore cost ($m)</t>
        </is>
      </c>
      <c r="C12" s="645" t="n"/>
      <c r="D12" s="442" t="n"/>
      <c r="E12" s="1156">
        <f>SUMIFS($G$18:$G$35,$D$18:$D$35,"Vacant")/1000000</f>
        <v>2.1144049</v>
      </c>
      <c r="F12" s="442" t="n"/>
      <c r="G12" s="442" t="n"/>
      <c r="H12" s="442" t="n"/>
      <c r="I12" s="442" t="n"/>
      <c r="J12" s="442" t="n"/>
      <c r="K12" s="442" t="n"/>
      <c r="L12" s="442" t="n"/>
      <c r="M12" s="442" t="n"/>
      <c r="N12" s="442" t="n"/>
      <c r="O12" s="949" t="n"/>
    </row>
    <row r="13">
      <c r="A13" s="949" t="n"/>
      <c r="B13" s="994" t="inlineStr">
        <is>
          <t>Of which currently marked Hire or Offshore ($m)</t>
        </is>
      </c>
      <c r="C13" s="645" t="n"/>
      <c r="D13" s="442" t="n"/>
      <c r="E13" s="1156">
        <f>(SUMIFS($G$18:$G$35,$D$18:$D$35,"Vacant",$E$18:$E$35,"Hire")+Lists!$AD$5*SUMIFS($G$18:$G$35,$D$18:$D$35,"Vacant",$E$18:$E$35,"Offshore"))/1000000</f>
        <v>0</v>
      </c>
      <c r="F13" s="442" t="n"/>
      <c r="G13" s="442" t="n"/>
      <c r="H13" s="442" t="n"/>
      <c r="I13" s="442" t="n"/>
      <c r="J13" s="442" t="n"/>
      <c r="K13" s="442" t="n"/>
      <c r="L13" s="442" t="n"/>
      <c r="M13" s="442" t="n"/>
      <c r="N13" s="442" t="n"/>
      <c r="O13" s="949" t="n"/>
    </row>
    <row r="14">
      <c r="A14" s="949" t="n"/>
      <c r="B14" s="994" t="inlineStr">
        <is>
          <t>Leadership and Head of Technology already inside this portfolio ($m) - not re-added in column P</t>
        </is>
      </c>
      <c r="C14" s="949" t="n"/>
      <c r="D14" s="949" t="n"/>
      <c r="E14" s="949">
        <f>SUMIFS('REVIEW - Complete Role Mapping'!$AA$2:$AA$528,'REVIEW - Complete Role Mapping'!$AJ$2:$AJ$528,"P&amp;C",'REVIEW - Complete Role Mapping'!$AQ$2:$AQ$528,1)/1000000</f>
        <v>0.9158698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432" t="n"/>
      <c r="C15" s="432" t="n"/>
      <c r="D15" s="432" t="n"/>
      <c r="E15" s="432" t="n"/>
      <c r="F15" s="432" t="n"/>
      <c r="G15" s="430" t="n"/>
      <c r="H15" s="430" t="n"/>
      <c r="I15" s="430" t="n"/>
      <c r="J15" s="430" t="n"/>
      <c r="K15" s="949" t="n"/>
      <c r="L15" s="949" t="n"/>
      <c r="M15" s="949" t="n"/>
      <c r="N15" s="949" t="n"/>
      <c r="O15" s="949" t="n"/>
    </row>
    <row r="16" ht="15.65" customHeight="1">
      <c r="A16" s="949" t="n"/>
      <c r="B16" s="994" t="inlineStr">
        <is>
          <t>P&amp;C roles - one row per named role, from REVIEW</t>
        </is>
      </c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11" t="inlineStr">
        <is>
          <t>Name</t>
        </is>
      </c>
      <c r="C17" s="1211" t="inlineStr">
        <is>
          <t>Role</t>
        </is>
      </c>
      <c r="D17" s="1211" t="inlineStr">
        <is>
          <t>Status</t>
        </is>
      </c>
      <c r="E17" s="1211" t="inlineStr">
        <is>
          <t>Vacancy lever</t>
        </is>
      </c>
      <c r="F17" s="1211" t="inlineStr">
        <is>
          <t>Squad</t>
        </is>
      </c>
      <c r="G17" s="1029" t="inlineStr">
        <is>
          <t>Cost if hired ($)</t>
        </is>
      </c>
      <c r="H17" s="1029" t="inlineStr">
        <is>
          <t>Effective cost ($)</t>
        </is>
      </c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646" t="str">
        <f>INDEX('REVIEW - Complete Role Mapping'!$B:$B,460)</f>
        <v>Grace Hadiwijaya</v>
      </c>
      <c r="C18" s="646" t="str">
        <f>INDEX('REVIEW - Complete Role Mapping'!$C:$C,460)</f>
        <v>Lead P&amp;C Platforms</v>
      </c>
      <c r="D18" s="646" t="str">
        <f>IF(ISNUMBER(SEARCH("vacant",$B18)),"Vacant","Filled")</f>
        <v>Filled</v>
      </c>
      <c r="E18" s="646" t="inlineStr">
        <is>
          <t>Filled</t>
        </is>
      </c>
      <c r="F18" s="646" t="str">
        <f>INDEX('REVIEW - Complete Role Mapping'!$AP:$AP,460)</f>
        <v>P&amp;C</v>
      </c>
      <c r="G18" s="949">
        <f>INDEX('REVIEW - Complete Role Mapping'!$AA:$AA,460)</f>
        <v>237963.75</v>
      </c>
      <c r="H18" s="949">
        <f>$G18*IFERROR(INDEX(Lists!$AD:$AD,MATCH($E18,Lists!$AC:$AC,0)),1)</f>
        <v>237963.75</v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34" t="str">
        <f>INDEX('REVIEW - Complete Role Mapping'!$B:$B,461)</f>
        <v>Maadhu Suresh</v>
      </c>
      <c r="C19" s="634" t="str">
        <f>INDEX('REVIEW - Complete Role Mapping'!$C:$C,461)</f>
        <v>Solution Architect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Mapping'!$AP:$AP,461)</f>
        <v>P&amp;C</v>
      </c>
      <c r="G19" s="949">
        <f>INDEX('REVIEW - Complete Role Mapping'!$AA:$AA,461)</f>
        <v>272340</v>
      </c>
      <c r="H19" s="949">
        <f>$G19*IFERROR(INDEX(Lists!$AD:$AD,MATCH($E19,Lists!$AC:$AC,0)),1)</f>
        <v>272340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46" t="str">
        <f>INDEX('REVIEW - Complete Role Mapping'!$B:$B,462)</f>
        <v>Michael Pollock</v>
      </c>
      <c r="C20" s="646" t="str">
        <f>INDEX('REVIEW - Complete Role Mapping'!$C:$C,462)</f>
        <v>Lead Business Analyst</v>
      </c>
      <c r="D20" s="646" t="str">
        <f>IF(ISNUMBER(SEARCH("vacant",$B20)),"Vacant","Filled")</f>
        <v>Filled</v>
      </c>
      <c r="E20" s="646" t="inlineStr">
        <is>
          <t>Filled</t>
        </is>
      </c>
      <c r="F20" s="646" t="str">
        <f>INDEX('REVIEW - Complete Role Mapping'!$AP:$AP,462)</f>
        <v>P&amp;C</v>
      </c>
      <c r="G20" s="949">
        <f>INDEX('REVIEW - Complete Role Mapping'!$AA:$AA,462)</f>
        <v>193358.28</v>
      </c>
      <c r="H20" s="949">
        <f>$G20*IFERROR(INDEX(Lists!$AD:$AD,MATCH($E20,Lists!$AC:$AC,0)),1)</f>
        <v>193358.28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Mapping'!$B:$B,463)</f>
        <v>Prerna Sharma</v>
      </c>
      <c r="C21" s="634" t="str">
        <f>INDEX('REVIEW - Complete Role Mapping'!$C:$C,463)</f>
        <v>SAP HR Specialist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Mapping'!$AP:$AP,463)</f>
        <v>P&amp;C</v>
      </c>
      <c r="G21" s="949">
        <f>INDEX('REVIEW - Complete Role Mapping'!$AA:$AA,463)</f>
        <v>234172.35</v>
      </c>
      <c r="H21" s="949">
        <f>$G21*IFERROR(INDEX(Lists!$AD:$AD,MATCH($E21,Lists!$AC:$AC,0)),1)</f>
        <v>234172.35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Mapping'!$B:$B,464)</f>
        <v>Thai Pung</v>
      </c>
      <c r="C22" s="634" t="str">
        <f>INDEX('REVIEW - Complete Role Mapping'!$C:$C,464)</f>
        <v>Delivery Lead - (P&amp;C)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Mapping'!$AP:$AP,464)</f>
        <v>P&amp;C</v>
      </c>
      <c r="G22" s="949">
        <f>INDEX('REVIEW - Complete Role Mapping'!$AA:$AA,464)</f>
        <v>251487.3</v>
      </c>
      <c r="H22" s="949">
        <f>$G22*IFERROR(INDEX(Lists!$AD:$AD,MATCH($E22,Lists!$AC:$AC,0)),1)</f>
        <v>251487.3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Mapping'!$B:$B,504)</f>
        <v>Vacant</v>
      </c>
      <c r="C23" s="634" t="str">
        <f>INDEX('REVIEW - Complete Role Mapping'!$C:$C,504)</f>
        <v>Engineer</v>
      </c>
      <c r="D23" s="612" t="str">
        <f>IF(ISNUMBER(SEARCH("vacant",$B23)),"Vacant","Filled")</f>
        <v>Vacant</v>
      </c>
      <c r="E23" s="612" t="inlineStr">
        <is>
          <t>Hold</t>
        </is>
      </c>
      <c r="F23" s="634" t="str">
        <f>INDEX('REVIEW - Complete Role Mapping'!$AP:$AP,504)</f>
        <v>P&amp;C</v>
      </c>
      <c r="G23" s="949">
        <f>INDEX('REVIEW - Complete Role Mapping'!$AA:$AA,504)</f>
        <v>202853.25</v>
      </c>
      <c r="H23" s="949">
        <f>$G23*IFERROR(INDEX(Lists!$AD:$AD,MATCH($E23,Lists!$AC:$AC,0)),1)</f>
        <v>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Mapping'!$B:$B,505)</f>
        <v>Vacant</v>
      </c>
      <c r="C24" s="634" t="str">
        <f>INDEX('REVIEW - Complete Role Mapping'!$C:$C,505)</f>
        <v>Engineer</v>
      </c>
      <c r="D24" s="612" t="str">
        <f>IF(ISNUMBER(SEARCH("vacant",$B24)),"Vacant","Filled")</f>
        <v>Vacant</v>
      </c>
      <c r="E24" s="612" t="inlineStr">
        <is>
          <t>Hold</t>
        </is>
      </c>
      <c r="F24" s="634" t="str">
        <f>INDEX('REVIEW - Complete Role Mapping'!$AP:$AP,505)</f>
        <v>P&amp;C</v>
      </c>
      <c r="G24" s="949">
        <f>INDEX('REVIEW - Complete Role Mapping'!$AA:$AA,505)</f>
        <v>202853.25</v>
      </c>
      <c r="H24" s="949">
        <f>$G24*IFERROR(INDEX(Lists!$AD:$AD,MATCH($E24,Lists!$AC:$AC,0)),1)</f>
        <v>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Mapping'!$B:$B,507)</f>
        <v>Vacant</v>
      </c>
      <c r="C25" s="634" t="str">
        <f>INDEX('REVIEW - Complete Role Mapping'!$C:$C,507)</f>
        <v>Quality Assurance</v>
      </c>
      <c r="D25" s="612" t="str">
        <f>IF(ISNUMBER(SEARCH("vacant",$B25)),"Vacant","Filled")</f>
        <v>Vacant</v>
      </c>
      <c r="E25" s="612" t="inlineStr">
        <is>
          <t>Hold</t>
        </is>
      </c>
      <c r="F25" s="634" t="str">
        <f>INDEX('REVIEW - Complete Role Mapping'!$AP:$AP,507)</f>
        <v>P&amp;C</v>
      </c>
      <c r="G25" s="949">
        <f>INDEX('REVIEW - Complete Role Mapping'!$AA:$AA,507)</f>
        <v>170489.75</v>
      </c>
      <c r="H25" s="949">
        <f>$G25*IFERROR(INDEX(Lists!$AD:$AD,MATCH($E25,Lists!$AC:$AC,0)),1)</f>
        <v>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Mapping'!$B:$B,465)</f>
        <v>Kurniaty Widjaya</v>
      </c>
      <c r="C26" s="634" t="str">
        <f>INDEX('REVIEW - Complete Role Mapping'!$C:$C,465)</f>
        <v>ERP HR Pay Functional Lead</v>
      </c>
      <c r="D26" s="612" t="str">
        <f>IF(ISNUMBER(SEARCH("vacant",$B26)),"Vacant","Filled")</f>
        <v>Filled</v>
      </c>
      <c r="E26" s="647" t="inlineStr">
        <is>
          <t>Filled</t>
        </is>
      </c>
      <c r="F26" s="648" t="str">
        <f>INDEX('REVIEW - Complete Role Mapping'!$AP:$AP,465)</f>
        <v>P&amp;C RTA</v>
      </c>
      <c r="G26" s="949">
        <f>INDEX('REVIEW - Complete Role Mapping'!$AA:$AA,465)</f>
        <v>277500</v>
      </c>
      <c r="H26" s="949">
        <f>$G26*IFERROR(INDEX(Lists!$AD:$AD,MATCH($E26,Lists!$AC:$AC,0)),1)</f>
        <v>277500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Mapping'!$B:$B,502)</f>
        <v>Vacant</v>
      </c>
      <c r="C27" s="634" t="str">
        <f>INDEX('REVIEW - Complete Role Mapping'!$C:$C,502)</f>
        <v>Business Analyst (P&amp;C RTA)</v>
      </c>
      <c r="D27" s="612" t="str">
        <f>IF(ISNUMBER(SEARCH("vacant",$B27)),"Vacant","Filled")</f>
        <v>Vacant</v>
      </c>
      <c r="E27" s="647" t="inlineStr">
        <is>
          <t>Hold</t>
        </is>
      </c>
      <c r="F27" s="648" t="str">
        <f>INDEX('REVIEW - Complete Role Mapping'!$AP:$AP,502)</f>
        <v>P&amp;C RTA</v>
      </c>
      <c r="G27" s="949">
        <f>INDEX('REVIEW - Complete Role Mapping'!$AA:$AA,502)</f>
        <v>201585</v>
      </c>
      <c r="H27" s="949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Mapping'!$B:$B,503)</f>
        <v>Vacant</v>
      </c>
      <c r="C28" s="634" t="str">
        <f>INDEX('REVIEW - Complete Role Mapping'!$C:$C,503)</f>
        <v>Delivery Lead (RTA)</v>
      </c>
      <c r="D28" s="612" t="str">
        <f>IF(ISNUMBER(SEARCH("vacant",$B28)),"Vacant","Filled")</f>
        <v>Vacant</v>
      </c>
      <c r="E28" s="647" t="inlineStr">
        <is>
          <t>Hold</t>
        </is>
      </c>
      <c r="F28" s="648" t="str">
        <f>INDEX('REVIEW - Complete Role Mapping'!$AP:$AP,503)</f>
        <v>P&amp;C RTA</v>
      </c>
      <c r="G28" s="949">
        <f>INDEX('REVIEW - Complete Role Mapping'!$AA:$AA,503)</f>
        <v>231689.25</v>
      </c>
      <c r="H28" s="949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Mapping'!$B:$B,506)</f>
        <v>Vacant</v>
      </c>
      <c r="C29" s="646" t="str">
        <f>INDEX('REVIEW - Complete Role Mapping'!$C:$C,506)</f>
        <v>Engineer</v>
      </c>
      <c r="D29" s="646" t="str">
        <f>IF(ISNUMBER(SEARCH("vacant",$B29)),"Vacant","Filled")</f>
        <v>Vacant</v>
      </c>
      <c r="E29" s="646" t="inlineStr">
        <is>
          <t>Hold</t>
        </is>
      </c>
      <c r="F29" s="646" t="str">
        <f>INDEX('REVIEW - Complete Role Mapping'!$AP:$AP,506)</f>
        <v>P&amp;C RTA</v>
      </c>
      <c r="G29" s="949">
        <f>INDEX('REVIEW - Complete Role Mapping'!$AA:$AA,506)</f>
        <v>202853.25</v>
      </c>
      <c r="H29" s="949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Mapping'!$B:$B,508)</f>
        <v>Vacant</v>
      </c>
      <c r="C30" s="634" t="str">
        <f>INDEX('REVIEW - Complete Role Mapping'!$C:$C,508)</f>
        <v>Quality Assurance</v>
      </c>
      <c r="D30" s="612" t="str">
        <f>IF(ISNUMBER(SEARCH("vacant",$B30)),"Vacant","Filled")</f>
        <v>Vacant</v>
      </c>
      <c r="E30" s="612" t="inlineStr">
        <is>
          <t>Hold</t>
        </is>
      </c>
      <c r="F30" s="634" t="str">
        <f>INDEX('REVIEW - Complete Role Mapping'!$AP:$AP,508)</f>
        <v>P&amp;C RTA</v>
      </c>
      <c r="G30" s="949">
        <f>INDEX('REVIEW - Complete Role Mapping'!$AA:$AA,508)</f>
        <v>170489.75</v>
      </c>
      <c r="H30" s="949">
        <f>$G30*IFERROR(INDEX(Lists!$AD:$AD,MATCH($E30,Lists!$AC:$AC,0)),1)</f>
        <v>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Mapping'!$B:$B,509)</f>
        <v>Vacant</v>
      </c>
      <c r="C31" s="634" t="str">
        <f>INDEX('REVIEW - Complete Role Mapping'!$C:$C,509)</f>
        <v>Systems Specialist</v>
      </c>
      <c r="D31" s="612" t="str">
        <f>IF(ISNUMBER(SEARCH("vacant",$B31)),"Vacant","Filled")</f>
        <v>Vacant</v>
      </c>
      <c r="E31" s="647" t="inlineStr">
        <is>
          <t>Hold</t>
        </is>
      </c>
      <c r="F31" s="648" t="str">
        <f>INDEX('REVIEW - Complete Role Mapping'!$AP:$AP,509)</f>
        <v>P&amp;C RTA</v>
      </c>
      <c r="G31" s="949">
        <f>INDEX('REVIEW - Complete Role Mapping'!$AA:$AA,509)</f>
        <v>179970.9</v>
      </c>
      <c r="H31" s="949">
        <f>$G31*IFERROR(INDEX(Lists!$AD:$AD,MATCH($E31,Lists!$AC:$AC,0)),1)</f>
        <v>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Mapping'!$B:$B,448)</f>
        <v>Vikram Chhahira</v>
      </c>
      <c r="C32" s="634" t="str">
        <f>INDEX('REVIEW - Complete Role Mapping'!$C:$C,448)</f>
        <v>Delivery Lead, EGI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Mapping'!$AP:$AP,448)</f>
        <v>EGI P&amp;C</v>
      </c>
      <c r="G32" s="949">
        <f>INDEX('REVIEW - Complete Role Mapping'!$AA:$AA,448)</f>
        <v>238965</v>
      </c>
      <c r="H32" s="949">
        <f>$G32*IFERROR(INDEX(Lists!$AD:$AD,MATCH($E32,Lists!$AC:$AC,0)),1)</f>
        <v>238965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Mapping'!$B:$B,466)</f>
        <v>Vaso Vukovic</v>
      </c>
      <c r="C33" s="634" t="str">
        <f>INDEX('REVIEW - Complete Role Mapping'!$C:$C,466)</f>
        <v>Head of Technology - P&amp;C, Finance &amp; Legal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Mapping'!$AP:$AP,466)</f>
        <v>Leadership</v>
      </c>
      <c r="G33" s="949">
        <f>INDEX('REVIEW - Complete Role Mapping'!$AA:$AA,466)</f>
        <v>364249.3</v>
      </c>
      <c r="H33" s="949">
        <f>$G33*IFERROR(INDEX(Lists!$AD:$AD,MATCH($E33,Lists!$AC:$AC,0)),1)</f>
        <v>364249.3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Mapping'!$B:$B,510)</f>
        <v>Vacant</v>
      </c>
      <c r="C34" s="634" t="str">
        <f>INDEX('REVIEW - Complete Role Mapping'!$C:$C,510)</f>
        <v>Technology Manager – P&amp;C Platforms</v>
      </c>
      <c r="D34" s="612" t="str">
        <f>IF(ISNUMBER(SEARCH("vacant",$B34)),"Vacant","Filled")</f>
        <v>Vacant</v>
      </c>
      <c r="E34" s="647" t="inlineStr">
        <is>
          <t>Hold</t>
        </is>
      </c>
      <c r="F34" s="648" t="str">
        <f>INDEX('REVIEW - Complete Role Mapping'!$AP:$AP,510)</f>
        <v>Leadership</v>
      </c>
      <c r="G34" s="949">
        <f>INDEX('REVIEW - Complete Role Mapping'!$AA:$AA,510)</f>
        <v>275810.25</v>
      </c>
      <c r="H34" s="949">
        <f>$G34*IFERROR(INDEX(Lists!$AD:$AD,MATCH($E34,Lists!$AC:$AC,0)),1)</f>
        <v>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Mapping'!$B:$B,511)</f>
        <v>Vacant</v>
      </c>
      <c r="C35" s="634" t="str">
        <f>INDEX('REVIEW - Complete Role Mapping'!$C:$C,511)</f>
        <v>Delivery Manager</v>
      </c>
      <c r="D35" s="612" t="str">
        <f>IF(ISNUMBER(SEARCH("vacant",$B35)),"Vacant","Filled")</f>
        <v>Vacant</v>
      </c>
      <c r="E35" s="647" t="inlineStr">
        <is>
          <t>Hold</t>
        </is>
      </c>
      <c r="F35" s="648" t="str">
        <f>INDEX('REVIEW - Complete Role Mapping'!$AP:$AP,511)</f>
        <v>Leadership</v>
      </c>
      <c r="G35" s="949">
        <f>INDEX('REVIEW - Complete Role Mapping'!$AA:$AA,511)</f>
        <v>275810.25</v>
      </c>
      <c r="H35" s="949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n"/>
      <c r="C36" s="646" t="n"/>
      <c r="D36" s="646" t="n"/>
      <c r="E36" s="646" t="n"/>
      <c r="F36" s="646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n"/>
      <c r="C37" s="634" t="n"/>
      <c r="D37" s="612" t="n"/>
      <c r="E37" s="612" t="n"/>
      <c r="F37" s="63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n"/>
      <c r="C38" s="634" t="n"/>
      <c r="D38" s="612" t="n"/>
      <c r="E38" s="612" t="n"/>
      <c r="F38" s="634" t="n"/>
      <c r="G38" s="442" t="n"/>
      <c r="H38" s="442" t="n"/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n"/>
      <c r="C39" s="634" t="n"/>
      <c r="D39" s="612" t="n"/>
      <c r="E39" s="612" t="n"/>
      <c r="F39" s="634" t="n"/>
      <c r="G39" s="442" t="n"/>
      <c r="H39" s="442" t="n"/>
      <c r="I39" s="442" t="n"/>
      <c r="J39" s="442" t="n"/>
      <c r="K39" s="442" t="n"/>
      <c r="L39" s="442" t="n"/>
      <c r="M39" s="442" t="n"/>
      <c r="N39" s="442" t="n"/>
      <c r="O39" s="949" t="n"/>
    </row>
  </sheetData>
  <conditionalFormatting sqref="D17:D34">
    <cfRule type="cellIs" priority="1" operator="equal" dxfId="1">
      <formula>"Vacant"</formula>
    </cfRule>
  </conditionalFormatting>
  <conditionalFormatting sqref="I6:I9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8:E35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SAP ERP</t>
        </is>
      </c>
      <c r="C6" s="635" t="str">
        <f>IFERROR(INDEX('1.6 Finance'!$C:$C,MATCH($S6,'1.6 Finance'!$B:$B,0)),"Outside archetype model")</f>
        <v>Configuration / Integration</v>
      </c>
      <c r="D6" s="1150">
        <f>IFERROR(INDEX('0.3 Squad Archetypes'!$F$5:$F$23,MATCH($C6&amp;"|"&amp;$R6,'0.3 Squad Archetypes'!$A$5:$A$23,0)),"-")</f>
        <v>6</v>
      </c>
      <c r="E6" s="1151">
        <f>COUNTIFS($F$19:$F$35,$B6)</f>
        <v>9</v>
      </c>
      <c r="F6" s="1151">
        <f>IFERROR($E6-$D6,"-")</f>
        <v>3</v>
      </c>
      <c r="G6" s="1151">
        <f>COUNTIFS($F$19:$F$35,$B6,$D$19:$D$35,"Vacant")</f>
        <v>7</v>
      </c>
      <c r="H6" s="1151">
        <f>COUNTIFS($F$19:$F$35,$B6,$D$19:$D$35,"Vacant",$E$19:$E$35,"Hire")+COUNTIFS($F$19:$F$35,$B6,$D$19:$D$35,"Vacant",$E$19:$E$35,"Offshore")</f>
        <v>0</v>
      </c>
      <c r="I6" s="1151">
        <f>$G6-$H6</f>
        <v>7</v>
      </c>
      <c r="J6" s="634">
        <f>$E6-COUNTIFS($F$19:$F$35,$B6,$E$19:$E$35,"Hold")</f>
        <v>2</v>
      </c>
      <c r="K6" s="1152" t="str">
        <f>IF(NOT(ISNUMBER($D6)),"Outside the archetype model",IF($J6&gt;$D6,"Over archetype after decisions",IF($J6&lt;$D6,"Under archetype","On archetype")))</f>
        <v>Under archetype</v>
      </c>
      <c r="L6" s="1153">
        <f>IFERROR(INDEX('0.3 Squad Archetypes'!$G$5:$G$23,MATCH($C6&amp;"|"&amp;$R6,'0.3 Squad Archetypes'!$A$5:$A$23,0)),"-")</f>
        <v>1.4</v>
      </c>
      <c r="M6" s="1153">
        <f>SUMIFS($G$19:$G$35,$F$19:$F$35,$B6)/1000000</f>
        <v>2.01898557</v>
      </c>
      <c r="N6" s="1153">
        <f>IFERROR($M6-$L6,"-")</f>
        <v>0.61898557</v>
      </c>
      <c r="O6" s="635">
        <f>SUMIFS($H$19:$H$35,$F$19:$F$35,$B6)/1000000</f>
        <v>0.45399345</v>
      </c>
      <c r="P6">
        <f>$O6+(Lists!$AG$4+Lists!$AG$5)*$E6/$E$11</f>
        <v>0.644581685294118</v>
      </c>
      <c r="Q6">
        <f>IFERROR($P6-$L6,"-")</f>
        <v>-0.755418314705882</v>
      </c>
      <c r="R6" t="str">
        <f>IFERROR(IF(INDEX('1.6 Finance'!$D:$D,MATCH($S6,'1.6 Finance'!$B:$B,0))="","-",INDEX('1.6 Finance'!$D:$D,MATCH($S6,'1.6 Finance'!$B:$B,0))),"-")</f>
        <v>S</v>
      </c>
      <c r="S6" t="str">
        <f>IFERROR(INDEX(Lists!$AA:$AA,MATCH($B6,Lists!$Z:$Z,0)),$B6)</f>
        <v>AU Finance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NZ Finance</t>
        </is>
      </c>
      <c r="C7" s="635" t="str">
        <f>IFERROR(INDEX('1.6 Finance'!$C:$C,MATCH($S7,'1.6 Finance'!$B:$B,0)),"Outside archetype model")</f>
        <v>Configuration / Integration</v>
      </c>
      <c r="D7" s="1150">
        <f>IFERROR(INDEX('0.3 Squad Archetypes'!$F$5:$F$23,MATCH($C7&amp;"|"&amp;$R7,'0.3 Squad Archetypes'!$A$5:$A$23,0)),"-")</f>
        <v>6</v>
      </c>
      <c r="E7" s="1151">
        <f>COUNTIFS($F$19:$F$35,$B7)</f>
        <v>5</v>
      </c>
      <c r="F7" s="1151">
        <f>IFERROR($E7-$D7,"-")</f>
        <v>-1</v>
      </c>
      <c r="G7" s="1151">
        <f>COUNTIFS($F$19:$F$35,$B7,$D$19:$D$35,"Vacant")</f>
        <v>1</v>
      </c>
      <c r="H7" s="1151">
        <f>COUNTIFS($F$19:$F$35,$B7,$D$19:$D$35,"Vacant",$E$19:$E$35,"Hire")+COUNTIFS($F$19:$F$35,$B7,$D$19:$D$35,"Vacant",$E$19:$E$35,"Offshore")</f>
        <v>0</v>
      </c>
      <c r="I7" s="1151">
        <f>$G7-$H7</f>
        <v>1</v>
      </c>
      <c r="J7" s="634">
        <f>$E7-COUNTIFS($F$19:$F$35,$B7,$E$19:$E$35,"Hold")</f>
        <v>4</v>
      </c>
      <c r="K7" s="1152" t="str">
        <f>IF(NOT(ISNUMBER($D7)),"Outside the archetype model",IF($J7&gt;$D7,"Over archetype after decisions",IF($J7&lt;$D7,"Under archetype","On archetype")))</f>
        <v>Under archetype</v>
      </c>
      <c r="L7" s="1153">
        <f>IFERROR(INDEX('0.3 Squad Archetypes'!$G$5:$G$23,MATCH($C7&amp;"|"&amp;$R7,'0.3 Squad Archetypes'!$A$5:$A$23,0)),"-")</f>
        <v>1.4</v>
      </c>
      <c r="M7" s="1153">
        <f>SUMIFS($G$19:$G$35,$F$19:$F$35,$B7)/1000000</f>
        <v>0.905141646</v>
      </c>
      <c r="N7" s="1153">
        <f>IFERROR($M7-$L7,"-")</f>
        <v>-0.494858354</v>
      </c>
      <c r="O7" s="635">
        <f>SUMIFS($H$19:$H$35,$F$19:$F$35,$B7)/1000000</f>
        <v>0.673452396</v>
      </c>
      <c r="P7">
        <f>$O7+(Lists!$AG$4+Lists!$AG$5)*$E7/$E$11</f>
        <v>0.779334748941176</v>
      </c>
      <c r="Q7">
        <f>IFERROR($P7-$L7,"-")</f>
        <v>-0.620665251058824</v>
      </c>
      <c r="R7" t="str">
        <f>IFERROR(IF(INDEX('1.6 Finance'!$D:$D,MATCH($S7,'1.6 Finance'!$B:$B,0))="","-",INDEX('1.6 Finance'!$D:$D,MATCH($S7,'1.6 Finance'!$B:$B,0))),"-")</f>
        <v>S</v>
      </c>
      <c r="S7" t="str">
        <f>IFERROR(INDEX(Lists!$AA:$AA,MATCH($B7,Lists!$Z:$Z,0)),$B7)</f>
        <v>NZ Finance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EGI Finance</t>
        </is>
      </c>
      <c r="C8" s="635" t="str">
        <f>IFERROR(INDEX('1.6 Finance'!$C:$C,MATCH($S8,'1.6 Finance'!$B:$B,0)),"Outside archetype model")</f>
        <v>Strategic Programs</v>
      </c>
      <c r="D8" s="1150" t="str">
        <f>IFERROR(INDEX('0.3 Squad Archetypes'!$F$5:$F$23,MATCH($C8&amp;"|"&amp;$R8,'0.3 Squad Archetypes'!$A$5:$A$23,0)),"-")</f>
        <v>-</v>
      </c>
      <c r="E8" s="1151">
        <f>COUNTIFS($F$19:$F$35,$B8)</f>
        <v>1</v>
      </c>
      <c r="F8" s="1151" t="str">
        <f>IFERROR($E8-$D8,"-")</f>
        <v>-</v>
      </c>
      <c r="G8" s="1151">
        <f>COUNTIFS($F$19:$F$35,$B8,$D$19:$D$35,"Vacant")</f>
        <v>0</v>
      </c>
      <c r="H8" s="1151">
        <f>COUNTIFS($F$19:$F$35,$B8,$D$19:$D$35,"Vacant",$E$19:$E$35,"Hire")+COUNTIFS($F$19:$F$35,$B8,$D$19:$D$35,"Vacant",$E$19:$E$35,"Offshore")</f>
        <v>0</v>
      </c>
      <c r="I8" s="1151">
        <f>$G8-$H8</f>
        <v>0</v>
      </c>
      <c r="J8" s="634">
        <f>$E8-COUNTIFS($F$19:$F$35,$B8,$E$19:$E$35,"Hold")</f>
        <v>1</v>
      </c>
      <c r="K8" s="1152" t="str">
        <f>IF(NOT(ISNUMBER($D8)),"Outside the archetype model",IF($J8&gt;$D8,"Over archetype after decisions",IF($J8&lt;$D8,"Under archetype","On archetype")))</f>
        <v>Outside the archetype model</v>
      </c>
      <c r="L8" s="1153" t="str">
        <f>IFERROR(INDEX('0.3 Squad Archetypes'!$G$5:$G$23,MATCH($C8&amp;"|"&amp;$R8,'0.3 Squad Archetypes'!$A$5:$A$23,0)),"-")</f>
        <v>-</v>
      </c>
      <c r="M8" s="1153">
        <f>SUMIFS($G$19:$G$35,$F$19:$F$35,$B8)/1000000</f>
        <v>0.24172845</v>
      </c>
      <c r="N8" s="1153" t="str">
        <f>IFERROR($M8-$L8,"-")</f>
        <v>-</v>
      </c>
      <c r="O8" s="635">
        <f>SUMIFS($H$19:$H$35,$F$19:$F$35,$B8)/1000000</f>
        <v>0.24172845</v>
      </c>
      <c r="P8">
        <f>$O8+(Lists!$AG$4+Lists!$AG$5)*$E8/$E$11</f>
        <v>0.262904920588235</v>
      </c>
      <c r="Q8" t="str">
        <f>IFERROR($P8-$L8,"-")</f>
        <v>-</v>
      </c>
      <c r="R8" t="str">
        <f>IFERROR(IF(INDEX('1.6 Finance'!$D:$D,MATCH($S8,'1.6 Finance'!$B:$B,0))="","-",INDEX('1.6 Finance'!$D:$D,MATCH($S8,'1.6 Finance'!$B:$B,0))),"-")</f>
        <v>-</v>
      </c>
      <c r="S8" t="str">
        <f>IFERROR(INDEX(Lists!$AA:$AA,MATCH($B8,Lists!$Z:$Z,0)),$B8)</f>
        <v>EGI Finance</v>
      </c>
      <c r="T8" t="str">
        <f>IF($B8="Leadership","Shared role - compared to the allowance",IF($C8="Strategic Programs","Strategic Programs - no rate in 0.3 (TBC)",IF(NOT(ISNUMBER($D8)),"No archetype for this squad","Archetype applies")))</f>
        <v>Strategic Programs - no rate in 0.3 (TBC)</v>
      </c>
    </row>
    <row r="9">
      <c r="A9" s="949" t="n"/>
      <c r="B9" s="641" t="inlineStr">
        <is>
          <t>Leadership</t>
        </is>
      </c>
      <c r="C9" s="641" t="str">
        <f>IFERROR(INDEX('1.6 Finance'!$C:$C,MATCH($S9,'1.6 Finance'!$B:$B,0)),"Outside archetype model")</f>
        <v>Outside archetype model</v>
      </c>
      <c r="D9" s="1154" t="str">
        <f>IFERROR(INDEX('0.3 Squad Archetypes'!$F$5:$F$23,MATCH($C9&amp;"|"&amp;$R9,'0.3 Squad Archetypes'!$A$5:$A$23,0)),"-")</f>
        <v>-</v>
      </c>
      <c r="E9" s="1154">
        <f>COUNTIFS($F$19:$F$35,$B9)</f>
        <v>1</v>
      </c>
      <c r="F9" s="1154" t="str">
        <f>IFERROR($E9-$D9,"-")</f>
        <v>-</v>
      </c>
      <c r="G9" s="1154">
        <f>COUNTIFS($F$19:$F$35,$B9,$D$19:$D$35,"Vacant")</f>
        <v>0</v>
      </c>
      <c r="H9" s="1154">
        <f>COUNTIFS($F$19:$F$35,$B9,$D$19:$D$35,"Vacant",$E$19:$E$35,"Hire")+COUNTIFS($F$19:$F$35,$B9,$D$19:$D$35,"Vacant",$E$19:$E$35,"Offshore")</f>
        <v>0</v>
      </c>
      <c r="I9" s="1154">
        <f>$G9-$H9</f>
        <v>0</v>
      </c>
      <c r="J9" s="641">
        <f>$E9-COUNTIFS($F$19:$F$35,$B9,$E$19:$E$35,"Hold")</f>
        <v>1</v>
      </c>
      <c r="K9" s="1155" t="str">
        <f>IF(NOT(ISNUMBER($D9)),"Outside the archetype model",IF($J9&gt;$D9,"Over archetype after decisions",IF($J9&lt;$D9,"Under archetype","On archetype")))</f>
        <v>Outside the archetype model</v>
      </c>
      <c r="L9" s="1155" t="str">
        <f>IFERROR(INDEX('0.3 Squad Archetypes'!$G$5:$G$23,MATCH($C9&amp;"|"&amp;$R9,'0.3 Squad Archetypes'!$A$5:$A$23,0)),"-")</f>
        <v>-</v>
      </c>
      <c r="M9" s="1155">
        <f>SUMIFS($G$19:$G$35,$F$19:$F$35,$B9)/1000000</f>
        <v>0.32356045</v>
      </c>
      <c r="N9" s="1155" t="str">
        <f>IFERROR($M9-$L9,"-")</f>
        <v>-</v>
      </c>
      <c r="O9" s="641">
        <f>SUMIFS($H$19:$H$35,$F$19:$F$35,$B9)/1000000</f>
        <v>0.32356045</v>
      </c>
      <c r="P9">
        <f>$O9+(Lists!$AG$4+Lists!$AG$5)*$E9/$E$11</f>
        <v>0.344736920588235</v>
      </c>
      <c r="Q9" t="str">
        <f>IFERROR($P9-$L9,"-")</f>
        <v>-</v>
      </c>
      <c r="R9" t="str">
        <f>IFERROR(IF(INDEX('1.6 Finance'!$D:$D,MATCH($S9,'1.6 Finance'!$B:$B,0))="","-",INDEX('1.6 Finance'!$D:$D,MATCH($S9,'1.6 Finance'!$B:$B,0))),"-")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504" t="inlineStr">
        <is>
          <t>Unassigned</t>
        </is>
      </c>
      <c r="C10" s="645" t="str">
        <f>IFERROR(INDEX('1.6 Finance'!$C:$C,MATCH($S10,'1.6 Finance'!$B:$B,0)),"Outside archetype model")</f>
        <v>Outside archetype model</v>
      </c>
      <c r="D10" s="949" t="str">
        <f>IFERROR(INDEX('0.3 Squad Archetypes'!$F$5:$F$23,MATCH($C10&amp;"|"&amp;$R10,'0.3 Squad Archetypes'!$A$5:$A$23,0)),"-")</f>
        <v>-</v>
      </c>
      <c r="E10" s="1156">
        <f>COUNTIFS($F$19:$F$35,$B10)</f>
        <v>1</v>
      </c>
      <c r="F10" s="949" t="str">
        <f>IFERROR($E10-$D10,"-")</f>
        <v>-</v>
      </c>
      <c r="G10" s="949">
        <f>COUNTIFS($F$19:$F$35,$B10,$D$19:$D$35,"Vacant")</f>
        <v>0</v>
      </c>
      <c r="H10" s="949">
        <f>COUNTIFS($F$19:$F$35,$B10,$D$19:$D$35,"Vacant",$E$19:$E$35,"Hire")+COUNTIFS($F$19:$F$35,$B10,$D$19:$D$35,"Vacant",$E$19:$E$35,"Offshore")</f>
        <v>0</v>
      </c>
      <c r="I10" s="949">
        <f>$G10-$H10</f>
        <v>0</v>
      </c>
      <c r="J10" s="949">
        <f>$E10-COUNTIFS($F$19:$F$35,$B10,$E$19:$E$35,"Hold")</f>
        <v>1</v>
      </c>
      <c r="K10" s="949" t="str">
        <f>IF(NOT(ISNUMBER($D10)),"Outside the archetype model",IF($J10&gt;$D10,"Over archetype after decisions",IF($J10&lt;$D10,"Under archetype","On archetype")))</f>
        <v>Outside the archetype model</v>
      </c>
      <c r="L10" s="949" t="str">
        <f>IFERROR(INDEX('0.3 Squad Archetypes'!$G$5:$G$23,MATCH($C10&amp;"|"&amp;$R10,'0.3 Squad Archetypes'!$A$5:$A$23,0)),"-")</f>
        <v>-</v>
      </c>
      <c r="M10" s="949">
        <f>SUMIFS($G$19:$G$35,$F$19:$F$35,$B10)/1000000</f>
        <v>0.3552</v>
      </c>
      <c r="N10" s="949" t="str">
        <f>IFERROR($M10-$L10,"-")</f>
        <v>-</v>
      </c>
      <c r="O10" s="949">
        <f>SUMIFS($H$19:$H$35,$F$19:$F$35,$B10)/1000000</f>
        <v>0.3552</v>
      </c>
      <c r="P10">
        <f>$O10+(Lists!$AG$4+Lists!$AG$5)*$E10/$E$11</f>
        <v>0.376376470588235</v>
      </c>
      <c r="Q10" t="str">
        <f>IFERROR($P10-$L10,"-")</f>
        <v>-</v>
      </c>
      <c r="R10" t="str">
        <f>IFERROR(IF(INDEX('1.6 Finance'!$D:$D,MATCH($S10,'1.6 Finance'!$B:$B,0))="","-",INDEX('1.6 Finance'!$D:$D,MATCH($S10,'1.6 Finance'!$B:$B,0))),"-")</f>
        <v>-</v>
      </c>
      <c r="S10" t="str">
        <f>IFERROR(INDEX(Lists!$AA:$AA,MATCH($B10,Lists!$Z:$Z,0)),$B10)</f>
        <v>Unassigned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No archetype for this squad</v>
      </c>
    </row>
    <row r="11">
      <c r="A11" s="949" t="n"/>
      <c r="B11" s="1226" t="inlineStr">
        <is>
          <t>Total</t>
        </is>
      </c>
      <c r="C11" s="645" t="n"/>
      <c r="D11" s="949">
        <f>SUM(D6:D10)</f>
        <v>12</v>
      </c>
      <c r="E11" s="1156">
        <f>COUNTIFS('REVIEW - Complete Role Mapping'!$AJ$2:$AJ$528,"Finance")</f>
        <v>17</v>
      </c>
      <c r="F11" s="949">
        <f>SUM(F6:F10)</f>
        <v>2</v>
      </c>
      <c r="G11" s="949">
        <f>SUM(G6:G10)</f>
        <v>8</v>
      </c>
      <c r="H11" s="949">
        <f>SUM(H6:H10)</f>
        <v>0</v>
      </c>
      <c r="I11" s="949">
        <f>SUM(I6:I10)</f>
        <v>8</v>
      </c>
      <c r="J11" s="949">
        <f>SUM(J6:J10)</f>
        <v>9</v>
      </c>
      <c r="K11" s="949" t="n"/>
      <c r="L11" s="949">
        <f>SUM(L6:L10)</f>
        <v>2.8</v>
      </c>
      <c r="M11" s="949">
        <f>SUMIFS('REVIEW - Complete Role Mapping'!$AA$2:$AA$528,'REVIEW - Complete Role Mapping'!$AJ$2:$AJ$528,"Finance")/1000000</f>
        <v>3.844616116</v>
      </c>
      <c r="N11" s="949">
        <f>SUM(N6:N10)</f>
        <v>0.124127216</v>
      </c>
      <c r="O11" s="949">
        <f>SUM(O6:O10)</f>
        <v>2.047934746</v>
      </c>
      <c r="P11">
        <f>SUM(P6:P10)</f>
        <v>2.407934746</v>
      </c>
      <c r="Q11">
        <f>SUM(Q6:Q10)</f>
        <v>-1.37608356576471</v>
      </c>
    </row>
    <row r="12">
      <c r="A12" s="949" t="n"/>
      <c r="B12" s="431" t="n"/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949">
        <f>SUMIFS($G$19:$G$35,$D$19:$D$35,"Vacant")/1000000</f>
        <v>1.79668137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645" t="n"/>
      <c r="D14" s="442" t="n"/>
      <c r="E14" s="1156">
        <f>(SUMIFS($G$19:$G$35,$D$19:$D$35,"Vacant",$E$19:$E$35,"Hire")+Lists!$AD$5*SUMIFS($G$19:$G$35,$D$19:$D$35,"Vacant",$E$19:$E$35,"Offshore"))/1000000</f>
        <v>0</v>
      </c>
      <c r="F14" s="442" t="n"/>
      <c r="G14" s="442" t="n"/>
      <c r="H14" s="442" t="n"/>
      <c r="I14" s="442" t="n"/>
      <c r="J14" s="442" t="n"/>
      <c r="K14" s="442" t="n"/>
      <c r="L14" s="442" t="n"/>
      <c r="M14" s="442" t="n"/>
      <c r="N14" s="442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645" t="n"/>
      <c r="D15" s="442" t="n"/>
      <c r="E15" s="1156">
        <f>SUMIFS('REVIEW - Complete Role Mapping'!$AA$2:$AA$528,'REVIEW - Complete Role Mapping'!$AJ$2:$AJ$528,"Finance",'REVIEW - Complete Role Mapping'!$AQ$2:$AQ$528,1)/1000000</f>
        <v>0.32356045</v>
      </c>
      <c r="F15" s="442" t="n"/>
      <c r="G15" s="442" t="n"/>
      <c r="H15" s="442" t="n"/>
      <c r="I15" s="442" t="n"/>
      <c r="J15" s="442" t="n"/>
      <c r="K15" s="442" t="n"/>
      <c r="L15" s="442" t="n"/>
      <c r="M15" s="442" t="n"/>
      <c r="N15" s="442" t="n"/>
      <c r="O15" s="949" t="n"/>
    </row>
    <row r="16" ht="15.65" customHeight="1">
      <c r="A16" s="949" t="n"/>
      <c r="B16" s="433" t="n"/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32" t="inlineStr">
        <is>
          <t>Finance roles - one row per named role, from REVIEW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33" t="inlineStr">
        <is>
          <t>Name</t>
        </is>
      </c>
      <c r="C18" s="1233" t="inlineStr">
        <is>
          <t>Role</t>
        </is>
      </c>
      <c r="D18" s="1233" t="inlineStr">
        <is>
          <t>Status</t>
        </is>
      </c>
      <c r="E18" s="1233" t="inlineStr">
        <is>
          <t>Vacancy lever</t>
        </is>
      </c>
      <c r="F18" s="1233" t="inlineStr">
        <is>
          <t>Squad</t>
        </is>
      </c>
      <c r="G18" s="1029" t="inlineStr">
        <is>
          <t>Cost if hired ($)</t>
        </is>
      </c>
      <c r="H18" s="102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34" t="str">
        <f>INDEX('REVIEW - Complete Role Mapping'!$B:$B,453)</f>
        <v>Julma Bhagwani</v>
      </c>
      <c r="C19" s="634" t="str">
        <f>INDEX('REVIEW - Complete Role Mapping'!$C:$C,453)</f>
        <v>SAP ERP Application Lead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Mapping'!$AP:$AP,453)</f>
        <v>SAP ERP</v>
      </c>
      <c r="G19" s="949">
        <f>INDEX('REVIEW - Complete Role Mapping'!$AA:$AA,453)</f>
        <v>239899.5</v>
      </c>
      <c r="H19" s="949">
        <f>$G19*IFERROR(INDEX(Lists!$AD:$AD,MATCH($E19,Lists!$AC:$AC,0)),1)</f>
        <v>239899.5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46" t="str">
        <f>INDEX('REVIEW - Complete Role Mapping'!$B:$B,454)</f>
        <v>Maudud Chaudhury</v>
      </c>
      <c r="C20" s="646" t="str">
        <f>INDEX('REVIEW - Complete Role Mapping'!$C:$C,454)</f>
        <v>SAP ERP Application Lead</v>
      </c>
      <c r="D20" s="646" t="str">
        <f>IF(ISNUMBER(SEARCH("vacant",$B20)),"Vacant","Filled")</f>
        <v>Filled</v>
      </c>
      <c r="E20" s="646" t="inlineStr">
        <is>
          <t>Filled</t>
        </is>
      </c>
      <c r="F20" s="646" t="str">
        <f>INDEX('REVIEW - Complete Role Mapping'!$AP:$AP,454)</f>
        <v>SAP ERP</v>
      </c>
      <c r="G20" s="949">
        <f>INDEX('REVIEW - Complete Role Mapping'!$AA:$AA,454)</f>
        <v>214093.95</v>
      </c>
      <c r="H20" s="949">
        <f>$G20*IFERROR(INDEX(Lists!$AD:$AD,MATCH($E20,Lists!$AC:$AC,0)),1)</f>
        <v>214093.95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Mapping'!$B:$B,495)</f>
        <v>Vacant</v>
      </c>
      <c r="C21" s="634" t="str">
        <f>INDEX('REVIEW - Complete Role Mapping'!$C:$C,495)</f>
        <v>SAP Functional Specialist</v>
      </c>
      <c r="D21" s="612" t="str">
        <f>IF(ISNUMBER(SEARCH("vacant",$B21)),"Vacant","Filled")</f>
        <v>Vacant</v>
      </c>
      <c r="E21" s="612" t="inlineStr">
        <is>
          <t>Hold</t>
        </is>
      </c>
      <c r="F21" s="634" t="str">
        <f>INDEX('REVIEW - Complete Role Mapping'!$AP:$AP,495)</f>
        <v>SAP ERP</v>
      </c>
      <c r="G21" s="949">
        <f>INDEX('REVIEW - Complete Role Mapping'!$AA:$AA,495)</f>
        <v>231689.25</v>
      </c>
      <c r="H21" s="949">
        <f>$G21*IFERROR(INDEX(Lists!$AD:$AD,MATCH($E21,Lists!$AC:$AC,0)),1)</f>
        <v>0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Mapping'!$B:$B,496)</f>
        <v>Vacant</v>
      </c>
      <c r="C22" s="634" t="str">
        <f>INDEX('REVIEW - Complete Role Mapping'!$C:$C,496)</f>
        <v>SAP Functional Specialist</v>
      </c>
      <c r="D22" s="612" t="str">
        <f>IF(ISNUMBER(SEARCH("vacant",$B22)),"Vacant","Filled")</f>
        <v>Vacant</v>
      </c>
      <c r="E22" s="612" t="inlineStr">
        <is>
          <t>Hold</t>
        </is>
      </c>
      <c r="F22" s="634" t="str">
        <f>INDEX('REVIEW - Complete Role Mapping'!$AP:$AP,496)</f>
        <v>SAP ERP</v>
      </c>
      <c r="G22" s="949">
        <f>INDEX('REVIEW - Complete Role Mapping'!$AA:$AA,496)</f>
        <v>231689.25</v>
      </c>
      <c r="H22" s="949">
        <f>$G22*IFERROR(INDEX(Lists!$AD:$AD,MATCH($E22,Lists!$AC:$AC,0)),1)</f>
        <v>0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Mapping'!$B:$B,497)</f>
        <v>Vacant</v>
      </c>
      <c r="C23" s="634" t="str">
        <f>INDEX('REVIEW - Complete Role Mapping'!$C:$C,497)</f>
        <v>SAP Functional Specialist</v>
      </c>
      <c r="D23" s="612" t="str">
        <f>IF(ISNUMBER(SEARCH("vacant",$B23)),"Vacant","Filled")</f>
        <v>Vacant</v>
      </c>
      <c r="E23" s="647" t="inlineStr">
        <is>
          <t>Hold</t>
        </is>
      </c>
      <c r="F23" s="648" t="str">
        <f>INDEX('REVIEW - Complete Role Mapping'!$AP:$AP,497)</f>
        <v>SAP ERP</v>
      </c>
      <c r="G23" s="949">
        <f>INDEX('REVIEW - Complete Role Mapping'!$AA:$AA,497)</f>
        <v>231689.25</v>
      </c>
      <c r="H23" s="949">
        <f>$G23*IFERROR(INDEX(Lists!$AD:$AD,MATCH($E23,Lists!$AC:$AC,0)),1)</f>
        <v>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Mapping'!$B:$B,498)</f>
        <v>Vacant</v>
      </c>
      <c r="C24" s="634" t="str">
        <f>INDEX('REVIEW - Complete Role Mapping'!$C:$C,498)</f>
        <v>SAP Functional Specialist</v>
      </c>
      <c r="D24" s="612" t="str">
        <f>IF(ISNUMBER(SEARCH("vacant",$B24)),"Vacant","Filled")</f>
        <v>Vacant</v>
      </c>
      <c r="E24" s="647" t="inlineStr">
        <is>
          <t>Hold</t>
        </is>
      </c>
      <c r="F24" s="648" t="str">
        <f>INDEX('REVIEW - Complete Role Mapping'!$AP:$AP,498)</f>
        <v>SAP ERP</v>
      </c>
      <c r="G24" s="949">
        <f>INDEX('REVIEW - Complete Role Mapping'!$AA:$AA,498)</f>
        <v>231689.25</v>
      </c>
      <c r="H24" s="949">
        <f>$G24*IFERROR(INDEX(Lists!$AD:$AD,MATCH($E24,Lists!$AC:$AC,0)),1)</f>
        <v>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Mapping'!$B:$B,499)</f>
        <v>Vacant</v>
      </c>
      <c r="C25" s="634" t="str">
        <f>INDEX('REVIEW - Complete Role Mapping'!$C:$C,499)</f>
        <v>Solution Architect - Finance</v>
      </c>
      <c r="D25" s="612" t="str">
        <f>IF(ISNUMBER(SEARCH("vacant",$B25)),"Vacant","Filled")</f>
        <v>Vacant</v>
      </c>
      <c r="E25" s="647" t="inlineStr">
        <is>
          <t>Hold</t>
        </is>
      </c>
      <c r="F25" s="648" t="str">
        <f>INDEX('REVIEW - Complete Role Mapping'!$AP:$AP,499)</f>
        <v>SAP ERP</v>
      </c>
      <c r="G25" s="949">
        <f>INDEX('REVIEW - Complete Role Mapping'!$AA:$AA,499)</f>
        <v>231689.25</v>
      </c>
      <c r="H25" s="949">
        <f>$G25*IFERROR(INDEX(Lists!$AD:$AD,MATCH($E25,Lists!$AC:$AC,0)),1)</f>
        <v>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Mapping'!$B:$B,501)</f>
        <v>Vacant</v>
      </c>
      <c r="C26" s="634" t="str">
        <f>INDEX('REVIEW - Complete Role Mapping'!$C:$C,501)</f>
        <v>Delivery Lead (SAP)</v>
      </c>
      <c r="D26" s="612" t="str">
        <f>IF(ISNUMBER(SEARCH("vacant",$B26)),"Vacant","Filled")</f>
        <v>Vacant</v>
      </c>
      <c r="E26" s="647" t="inlineStr">
        <is>
          <t>Hold</t>
        </is>
      </c>
      <c r="F26" s="648" t="str">
        <f>INDEX('REVIEW - Complete Role Mapping'!$AP:$AP,501)</f>
        <v>SAP ERP</v>
      </c>
      <c r="G26" s="949">
        <f>INDEX('REVIEW - Complete Role Mapping'!$AA:$AA,501)</f>
        <v>231689.25</v>
      </c>
      <c r="H26" s="949">
        <f>$G26*IFERROR(INDEX(Lists!$AD:$AD,MATCH($E26,Lists!$AC:$AC,0)),1)</f>
        <v>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Mapping'!$B:$B,526)</f>
        <v>Vacant</v>
      </c>
      <c r="C27" s="634" t="str">
        <f>INDEX('REVIEW - Complete Role Mapping'!$C:$C,526)</f>
        <v>Integration Specialist (ASAPIO CTRM)</v>
      </c>
      <c r="D27" s="612" t="str">
        <f>IF(ISNUMBER(SEARCH("vacant",$B27)),"Vacant","Filled")</f>
        <v>Vacant</v>
      </c>
      <c r="E27" s="647" t="inlineStr">
        <is>
          <t>Hold</t>
        </is>
      </c>
      <c r="F27" s="648" t="str">
        <f>INDEX('REVIEW - Complete Role Mapping'!$AP:$AP,526)</f>
        <v>SAP ERP</v>
      </c>
      <c r="G27" s="949">
        <f>INDEX('REVIEW - Complete Role Mapping'!$AA:$AA,526)</f>
        <v>174856.62</v>
      </c>
      <c r="H27" s="949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Mapping'!$B:$B,456)</f>
        <v>Leilanie Avilla</v>
      </c>
      <c r="C28" s="634" t="str">
        <f>INDEX('REVIEW - Complete Role Mapping'!$C:$C,456)</f>
        <v>JDE Systems Specialist</v>
      </c>
      <c r="D28" s="612" t="str">
        <f>IF(ISNUMBER(SEARCH("vacant",$B28)),"Vacant","Filled")</f>
        <v>Filled</v>
      </c>
      <c r="E28" s="647" t="inlineStr">
        <is>
          <t>Filled</t>
        </is>
      </c>
      <c r="F28" s="648" t="str">
        <f>INDEX('REVIEW - Complete Role Mapping'!$AP:$AP,456)</f>
        <v>NZ Finance</v>
      </c>
      <c r="G28" s="949">
        <f>INDEX('REVIEW - Complete Role Mapping'!$AA:$AA,456)</f>
        <v>107420.712</v>
      </c>
      <c r="H28" s="949">
        <f>$G28*IFERROR(INDEX(Lists!$AD:$AD,MATCH($E28,Lists!$AC:$AC,0)),1)</f>
        <v>107420.712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Mapping'!$B:$B,457)</f>
        <v>Lydia Pritchard</v>
      </c>
      <c r="C29" s="634" t="str">
        <f>INDEX('REVIEW - Complete Role Mapping'!$C:$C,457)</f>
        <v>Lead JDE Systems Specialist</v>
      </c>
      <c r="D29" s="612" t="str">
        <f>IF(ISNUMBER(SEARCH("vacant",$B29)),"Vacant","Filled")</f>
        <v>Filled</v>
      </c>
      <c r="E29" s="647" t="inlineStr">
        <is>
          <t>Filled</t>
        </is>
      </c>
      <c r="F29" s="648" t="str">
        <f>INDEX('REVIEW - Complete Role Mapping'!$AP:$AP,457)</f>
        <v>NZ Finance</v>
      </c>
      <c r="G29" s="949">
        <f>INDEX('REVIEW - Complete Role Mapping'!$AA:$AA,457)</f>
        <v>198099.684</v>
      </c>
      <c r="H29" s="949">
        <f>$G29*IFERROR(INDEX(Lists!$AD:$AD,MATCH($E29,Lists!$AC:$AC,0)),1)</f>
        <v>198099.684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Mapping'!$B:$B,458)</f>
        <v>Ring fenced</v>
      </c>
      <c r="C30" s="634" t="str">
        <f>INDEX('REVIEW - Complete Role Mapping'!$C:$C,458)</f>
        <v>JDE Senior Systems Specialist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Mapping'!$AP:$AP,458)</f>
        <v>NZ Finance</v>
      </c>
      <c r="G30" s="949">
        <f>INDEX('REVIEW - Complete Role Mapping'!$AA:$AA,458)</f>
        <v>183966</v>
      </c>
      <c r="H30" s="949">
        <f>$G30*IFERROR(INDEX(Lists!$AD:$AD,MATCH($E30,Lists!$AC:$AC,0)),1)</f>
        <v>183966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Mapping'!$B:$B,459)</f>
        <v>Ring fenced</v>
      </c>
      <c r="C31" s="646" t="str">
        <f>INDEX('REVIEW - Complete Role Mapping'!$C:$C,459)</f>
        <v>JDE Senior Systems Specialist</v>
      </c>
      <c r="D31" s="646" t="str">
        <f>IF(ISNUMBER(SEARCH("vacant",$B31)),"Vacant","Filled")</f>
        <v>Filled</v>
      </c>
      <c r="E31" s="646" t="inlineStr">
        <is>
          <t>Filled</t>
        </is>
      </c>
      <c r="F31" s="646" t="str">
        <f>INDEX('REVIEW - Complete Role Mapping'!$AP:$AP,459)</f>
        <v>NZ Finance</v>
      </c>
      <c r="G31" s="949">
        <f>INDEX('REVIEW - Complete Role Mapping'!$AA:$AA,459)</f>
        <v>183966</v>
      </c>
      <c r="H31" s="949">
        <f>$G31*IFERROR(INDEX(Lists!$AD:$AD,MATCH($E31,Lists!$AC:$AC,0)),1)</f>
        <v>183966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Mapping'!$B:$B,500)</f>
        <v>Vacant</v>
      </c>
      <c r="C32" s="634" t="str">
        <f>INDEX('REVIEW - Complete Role Mapping'!$C:$C,500)</f>
        <v>Delivery Lead (JDE)</v>
      </c>
      <c r="D32" s="612" t="str">
        <f>IF(ISNUMBER(SEARCH("vacant",$B32)),"Vacant","Filled")</f>
        <v>Vacant</v>
      </c>
      <c r="E32" s="612" t="inlineStr">
        <is>
          <t>Hold</t>
        </is>
      </c>
      <c r="F32" s="634" t="str">
        <f>INDEX('REVIEW - Complete Role Mapping'!$AP:$AP,500)</f>
        <v>NZ Finance</v>
      </c>
      <c r="G32" s="949">
        <f>INDEX('REVIEW - Complete Role Mapping'!$AA:$AA,500)</f>
        <v>231689.25</v>
      </c>
      <c r="H32" s="949">
        <f>$G32*IFERROR(INDEX(Lists!$AD:$AD,MATCH($E32,Lists!$AC:$AC,0)),1)</f>
        <v>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Mapping'!$B:$B,447)</f>
        <v>Ee Lynn Yap</v>
      </c>
      <c r="C33" s="634" t="str">
        <f>INDEX('REVIEW - Complete Role Mapping'!$C:$C,447)</f>
        <v>SAP ERP Application Lead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Mapping'!$AP:$AP,447)</f>
        <v>EGI Finance</v>
      </c>
      <c r="G33" s="949">
        <f>INDEX('REVIEW - Complete Role Mapping'!$AA:$AA,447)</f>
        <v>241728.45</v>
      </c>
      <c r="H33" s="949">
        <f>$G33*IFERROR(INDEX(Lists!$AD:$AD,MATCH($E33,Lists!$AC:$AC,0)),1)</f>
        <v>241728.45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Mapping'!$B:$B,455)</f>
        <v>Shane Ker</v>
      </c>
      <c r="C34" s="634" t="str">
        <f>INDEX('REVIEW - Complete Role Mapping'!$C:$C,455)</f>
        <v>Technology Manger - Finance Platfoms</v>
      </c>
      <c r="D34" s="612" t="str">
        <f>IF(ISNUMBER(SEARCH("vacant",$B34)),"Vacant","Filled")</f>
        <v>Filled</v>
      </c>
      <c r="E34" s="647" t="inlineStr">
        <is>
          <t>Filled</t>
        </is>
      </c>
      <c r="F34" s="648" t="str">
        <f>INDEX('REVIEW - Complete Role Mapping'!$AP:$AP,455)</f>
        <v>Leadership</v>
      </c>
      <c r="G34" s="949">
        <f>INDEX('REVIEW - Complete Role Mapping'!$AA:$AA,455)</f>
        <v>323560.45</v>
      </c>
      <c r="H34" s="949">
        <f>$G34*IFERROR(INDEX(Lists!$AD:$AD,MATCH($E34,Lists!$AC:$AC,0)),1)</f>
        <v>323560.45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Mapping'!$B:$B,528)</f>
        <v>Jens Tom</v>
      </c>
      <c r="C35" s="634" t="str">
        <f>INDEX('REVIEW - Complete Role Mapping'!$C:$C,528)</f>
        <v>SAP Solution Architect</v>
      </c>
      <c r="D35" s="612" t="str">
        <f>IF(ISNUMBER(SEARCH("vacant",$B35)),"Vacant","Filled")</f>
        <v>Filled</v>
      </c>
      <c r="E35" s="647" t="inlineStr">
        <is>
          <t>Filled</t>
        </is>
      </c>
      <c r="F35" s="648" t="str">
        <f>INDEX('REVIEW - Complete Role Mapping'!$AP:$AP,528)</f>
        <v>Unassigned</v>
      </c>
      <c r="G35" s="949">
        <f>INDEX('REVIEW - Complete Role Mapping'!$AA:$AA,528)</f>
        <v>355200</v>
      </c>
      <c r="H35" s="949">
        <f>$G35*IFERROR(INDEX(Lists!$AD:$AD,MATCH($E35,Lists!$AC:$AC,0)),1)</f>
        <v>355200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n"/>
      <c r="C36" s="634" t="n"/>
      <c r="D36" s="612" t="n"/>
      <c r="E36" s="647" t="n"/>
      <c r="F36" s="648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n"/>
      <c r="C37" s="646" t="n"/>
      <c r="D37" s="646" t="n"/>
      <c r="E37" s="646" t="n"/>
      <c r="F37" s="646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n"/>
      <c r="C38" s="634" t="n"/>
      <c r="D38" s="612" t="n"/>
      <c r="E38" s="612" t="n"/>
      <c r="F38" s="634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7:D34">
    <cfRule type="cellIs" priority="1" operator="equal" dxfId="1">
      <formula>"Vacant"</formula>
    </cfRule>
  </conditionalFormatting>
  <conditionalFormatting sqref="I6:I9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9:E35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59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Distribution, Sales &amp; Services</t>
        </is>
      </c>
      <c r="C6" s="635" t="str">
        <f>IFERROR(INDEX('1.7 Infrastructure'!$C:$C,MATCH($S6,'1.7 Infrastructure'!$B:$B,0)),"Outside archetype model")</f>
        <v>Configuration / Integration</v>
      </c>
      <c r="D6" s="1150">
        <f>IFERROR(INDEX('0.3 Squad Archetypes'!$F$5:$F$23,MATCH($C6&amp;"|"&amp;$R6,'0.3 Squad Archetypes'!$A$5:$A$23,0)),"-")</f>
        <v>9</v>
      </c>
      <c r="E6" s="1151">
        <f>COUNTIFS($F$19:$F$54,$B6)</f>
        <v>10</v>
      </c>
      <c r="F6" s="1151">
        <f>IFERROR($E6-$D6,"-")</f>
        <v>1</v>
      </c>
      <c r="G6" s="1151">
        <f>COUNTIFS($F$19:$F$54,$B6,$D$19:$D$54,"Vacant")</f>
        <v>2</v>
      </c>
      <c r="H6" s="1151">
        <f>COUNTIFS($F$19:$F$54,$B6,$D$19:$D$54,"Vacant",$E$19:$E$54,"Hire")+COUNTIFS($F$19:$F$54,$B6,$D$19:$D$54,"Vacant",$E$19:$E$54,"Offshore")</f>
        <v>0</v>
      </c>
      <c r="I6" s="1151">
        <f>$G6-$H6</f>
        <v>2</v>
      </c>
      <c r="J6" s="634">
        <f>$E6-COUNTIFS($F$19:$F$54,$B6,$E$19:$E$54,"Hold")</f>
        <v>8</v>
      </c>
      <c r="K6" s="1152" t="str">
        <f>IF(NOT(ISNUMBER($D6)),"Outside the archetype model",IF($J6&gt;$D6,"Over archetype after decisions",IF($J6&lt;$D6,"Under archetype","On archetype")))</f>
        <v>Under archetype</v>
      </c>
      <c r="L6" s="1153">
        <f>IFERROR(INDEX('0.3 Squad Archetypes'!$G$5:$G$23,MATCH($C6&amp;"|"&amp;$R6,'0.3 Squad Archetypes'!$A$5:$A$23,0)),"-")</f>
        <v>2.1</v>
      </c>
      <c r="M6" s="1153">
        <f>SUMIFS($G$19:$G$54,$F$19:$F$54,$B6)/1000000</f>
        <v>2.12727365</v>
      </c>
      <c r="N6" s="1153">
        <f>IFERROR($M6-$L6,"-")</f>
        <v>0.0272736499999997</v>
      </c>
      <c r="O6" s="635">
        <f>SUMIFS($H$19:$H$54,$F$19:$F$54,$B6)/1000000</f>
        <v>1.75393065</v>
      </c>
      <c r="P6">
        <f>$O6+(Lists!$AG$4+Lists!$AG$5)*$E6/$E$11</f>
        <v>1.85393065</v>
      </c>
      <c r="Q6">
        <f>IFERROR($P6-$L6,"-")</f>
        <v>-0.24606935</v>
      </c>
      <c r="R6" t="str">
        <f>IFERROR(IF(INDEX('1.7 Infrastructure'!$D:$D,MATCH($S6,'1.7 Infrastructure'!$B:$B,0))="","-",INDEX('1.7 Infrastructure'!$D:$D,MATCH($S6,'1.7 Infrastructure'!$B:$B,0))),"-")</f>
        <v>M</v>
      </c>
      <c r="S6" t="str">
        <f>IFERROR(INDEX(Lists!$AA:$AA,MATCH($B6,Lists!$Z:$Z,0)),$B6)</f>
        <v>Distribution, Sales &amp; Services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Infrastructure'!$C:$C,MATCH($S7,'1.7 Infrastructure'!$B:$B,0)),"Outside archetype model")</f>
        <v>Configuration / Integration</v>
      </c>
      <c r="D7" s="1150">
        <f>IFERROR(INDEX('0.3 Squad Archetypes'!$F$5:$F$23,MATCH($C7&amp;"|"&amp;$R7,'0.3 Squad Archetypes'!$A$5:$A$23,0)),"-")</f>
        <v>9</v>
      </c>
      <c r="E7" s="1151">
        <f>COUNTIFS($F$19:$F$54,$B7)</f>
        <v>9</v>
      </c>
      <c r="F7" s="1151">
        <f>IFERROR($E7-$D7,"-")</f>
        <v>0</v>
      </c>
      <c r="G7" s="1151">
        <f>COUNTIFS($F$19:$F$54,$B7,$D$19:$D$54,"Vacant")</f>
        <v>2</v>
      </c>
      <c r="H7" s="1151">
        <f>COUNTIFS($F$19:$F$54,$B7,$D$19:$D$54,"Vacant",$E$19:$E$54,"Hire")+COUNTIFS($F$19:$F$54,$B7,$D$19:$D$54,"Vacant",$E$19:$E$54,"Offshore")</f>
        <v>0</v>
      </c>
      <c r="I7" s="1151">
        <f>$G7-$H7</f>
        <v>2</v>
      </c>
      <c r="J7" s="634">
        <f>$E7-COUNTIFS($F$19:$F$54,$B7,$E$19:$E$54,"Hold")</f>
        <v>7</v>
      </c>
      <c r="K7" s="1152" t="str">
        <f>IF(NOT(ISNUMBER($D7)),"Outside the archetype model",IF($J7&gt;$D7,"Over archetype after decisions",IF($J7&lt;$D7,"Under archetype","On archetype")))</f>
        <v>Under archetype</v>
      </c>
      <c r="L7" s="1153">
        <f>IFERROR(INDEX('0.3 Squad Archetypes'!$G$5:$G$23,MATCH($C7&amp;"|"&amp;$R7,'0.3 Squad Archetypes'!$A$5:$A$23,0)),"-")</f>
        <v>2.1</v>
      </c>
      <c r="M7" s="1153">
        <f>SUMIFS($G$19:$G$54,$F$19:$F$54,$B7)/1000000</f>
        <v>1.9147733</v>
      </c>
      <c r="N7" s="1153">
        <f>IFERROR($M7-$L7,"-")</f>
        <v>-0.1852267</v>
      </c>
      <c r="O7" s="635">
        <f>SUMIFS($H$19:$H$54,$F$19:$F$54,$B7)/1000000</f>
        <v>1.5125943</v>
      </c>
      <c r="P7">
        <f>$O7+(Lists!$AG$4+Lists!$AG$5)*$E7/$E$11</f>
        <v>1.6025943</v>
      </c>
      <c r="Q7">
        <f>IFERROR($P7-$L7,"-")</f>
        <v>-0.4974057</v>
      </c>
      <c r="R7" t="str">
        <f>IFERROR(IF(INDEX('1.7 Infrastructure'!$D:$D,MATCH($S7,'1.7 Infrastructure'!$B:$B,0))="","-",INDEX('1.7 Infrastructure'!$D:$D,MATCH($S7,'1.7 Infrastructure'!$B:$B,0))),"-")</f>
        <v>M</v>
      </c>
      <c r="S7" t="str">
        <f>IFERROR(INDEX(Lists!$AA:$AA,MATCH($B7,Lists!$Z:$Z,0)),$B7)</f>
        <v>Manufacturing &amp; Group Projects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Data &amp; Insights</t>
        </is>
      </c>
      <c r="C8" s="635" t="str">
        <f>IFERROR(INDEX('1.7 Infrastructure'!$C:$C,MATCH($S8,'1.7 Infrastructure'!$B:$B,0)),"Outside archetype model")</f>
        <v>Configuration / Integration</v>
      </c>
      <c r="D8" s="1150">
        <f>IFERROR(INDEX('0.3 Squad Archetypes'!$F$5:$F$23,MATCH($C8&amp;"|"&amp;$R8,'0.3 Squad Archetypes'!$A$5:$A$23,0)),"-")</f>
        <v>6</v>
      </c>
      <c r="E8" s="1151">
        <f>COUNTIFS($F$19:$F$54,$B8)</f>
        <v>7</v>
      </c>
      <c r="F8" s="1151">
        <f>IFERROR($E8-$D8,"-")</f>
        <v>1</v>
      </c>
      <c r="G8" s="1151">
        <f>COUNTIFS($F$19:$F$54,$B8,$D$19:$D$54,"Vacant")</f>
        <v>5</v>
      </c>
      <c r="H8" s="1151">
        <f>COUNTIFS($F$19:$F$54,$B8,$D$19:$D$54,"Vacant",$E$19:$E$54,"Hire")+COUNTIFS($F$19:$F$54,$B8,$D$19:$D$54,"Vacant",$E$19:$E$54,"Offshore")</f>
        <v>0</v>
      </c>
      <c r="I8" s="1151">
        <f>$G8-$H8</f>
        <v>5</v>
      </c>
      <c r="J8" s="634">
        <f>$E8-COUNTIFS($F$19:$F$54,$B8,$E$19:$E$54,"Hold")</f>
        <v>2</v>
      </c>
      <c r="K8" s="1152" t="str">
        <f>IF(NOT(ISNUMBER($D8)),"Outside the archetype model",IF($J8&gt;$D8,"Over archetype after decisions",IF($J8&lt;$D8,"Under archetype","On archetype")))</f>
        <v>Under archetype</v>
      </c>
      <c r="L8" s="1153">
        <f>IFERROR(INDEX('0.3 Squad Archetypes'!$G$5:$G$23,MATCH($C8&amp;"|"&amp;$R8,'0.3 Squad Archetypes'!$A$5:$A$23,0)),"-")</f>
        <v>1.4</v>
      </c>
      <c r="M8" s="1153">
        <f>SUMIFS($G$19:$G$54,$F$19:$F$54,$B8)/1000000</f>
        <v>1.51725675</v>
      </c>
      <c r="N8" s="1153">
        <f>IFERROR($M8-$L8,"-")</f>
        <v>0.11725675</v>
      </c>
      <c r="O8" s="635">
        <f>SUMIFS($H$19:$H$54,$F$19:$F$54,$B8)/1000000</f>
        <v>0.47542275</v>
      </c>
      <c r="P8">
        <f>$O8+(Lists!$AG$4+Lists!$AG$5)*$E8/$E$11</f>
        <v>0.54542275</v>
      </c>
      <c r="Q8">
        <f>IFERROR($P8-$L8,"-")</f>
        <v>-0.85457725</v>
      </c>
      <c r="R8" t="str">
        <f>IFERROR(IF(INDEX('1.7 Infrastructure'!$D:$D,MATCH($S8,'1.7 Infrastructure'!$B:$B,0))="","-",INDEX('1.7 Infrastructure'!$D:$D,MATCH($S8,'1.7 Infrastructure'!$B:$B,0))),"-")</f>
        <v>S</v>
      </c>
      <c r="S8" t="str">
        <f>IFERROR(INDEX(Lists!$AA:$AA,MATCH($B8,Lists!$Z:$Z,0)),$B8)</f>
        <v>Data &amp; Insights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Technology Support</t>
        </is>
      </c>
      <c r="C9" s="635" t="str">
        <f>IFERROR(INDEX('1.7 Infrastructure'!$C:$C,MATCH($S9,'1.7 Infrastructure'!$B:$B,0)),"Outside archetype model")</f>
        <v>Operations</v>
      </c>
      <c r="D9" s="1150">
        <f>IFERROR(INDEX('0.3 Squad Archetypes'!$F$5:$F$23,MATCH($C9&amp;"|"&amp;$R9,'0.3 Squad Archetypes'!$A$5:$A$23,0)),"-")</f>
        <v>4</v>
      </c>
      <c r="E9" s="1151">
        <f>COUNTIFS($F$19:$F$54,$B9)</f>
        <v>5</v>
      </c>
      <c r="F9" s="1151">
        <f>IFERROR($E9-$D9,"-")</f>
        <v>1</v>
      </c>
      <c r="G9" s="1151">
        <f>COUNTIFS($F$19:$F$54,$B9,$D$19:$D$54,"Vacant")</f>
        <v>0</v>
      </c>
      <c r="H9" s="1151">
        <f>COUNTIFS($F$19:$F$54,$B9,$D$19:$D$54,"Vacant",$E$19:$E$54,"Hire")+COUNTIFS($F$19:$F$54,$B9,$D$19:$D$54,"Vacant",$E$19:$E$54,"Offshore")</f>
        <v>0</v>
      </c>
      <c r="I9" s="1151">
        <f>$G9-$H9</f>
        <v>0</v>
      </c>
      <c r="J9" s="634">
        <f>$E9-COUNTIFS($F$19:$F$54,$B9,$E$19:$E$54,"Hold")</f>
        <v>5</v>
      </c>
      <c r="K9" s="1152" t="str">
        <f>IF(NOT(ISNUMBER($D9)),"Outside the archetype model",IF($J9&gt;$D9,"Over archetype after decisions",IF($J9&lt;$D9,"Under archetype","On archetype")))</f>
        <v>Over archetype after decisions</v>
      </c>
      <c r="L9" s="1153">
        <f>IFERROR(INDEX('0.3 Squad Archetypes'!$G$5:$G$23,MATCH($C9&amp;"|"&amp;$R9,'0.3 Squad Archetypes'!$A$5:$A$23,0)),"-")</f>
        <v>0.8</v>
      </c>
      <c r="M9" s="1153">
        <f>SUMIFS($G$19:$G$54,$F$19:$F$54,$B9)/1000000</f>
        <v>0.74133529</v>
      </c>
      <c r="N9" s="1153">
        <f>IFERROR($M9-$L9,"-")</f>
        <v>-0.05866471</v>
      </c>
      <c r="O9" s="635">
        <f>SUMIFS($H$19:$H$54,$F$19:$F$54,$B9)/1000000</f>
        <v>0.74133529</v>
      </c>
      <c r="P9">
        <f>$O9+(Lists!$AG$4+Lists!$AG$5)*$E9/$E$11</f>
        <v>0.79133529</v>
      </c>
      <c r="Q9">
        <f>IFERROR($P9-$L9,"-")</f>
        <v>-0.00866470999999991</v>
      </c>
      <c r="R9" t="str">
        <f>IFERROR(IF(INDEX('1.7 Infrastructure'!$D:$D,MATCH($S9,'1.7 Infrastructure'!$B:$B,0))="","-",INDEX('1.7 Infrastructure'!$D:$D,MATCH($S9,'1.7 Infrastructure'!$B:$B,0))),"-")</f>
        <v>S</v>
      </c>
      <c r="S9" t="str">
        <f>IFERROR(INDEX(Lists!$AA:$AA,MATCH($B9,Lists!$Z:$Z,0)),$B9)</f>
        <v>Technology Support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41" t="inlineStr">
        <is>
          <t>Leadership</t>
        </is>
      </c>
      <c r="C10" s="641" t="str">
        <f>IFERROR(INDEX('1.7 Infrastructure'!$C:$C,MATCH($S10,'1.7 Infrastructure'!$B:$B,0)),"Outside archetype model")</f>
        <v>Outside archetype model</v>
      </c>
      <c r="D10" s="1154" t="str">
        <f>IFERROR(INDEX('0.3 Squad Archetypes'!$F$5:$F$23,MATCH($C10&amp;"|"&amp;$R10,'0.3 Squad Archetypes'!$A$5:$A$23,0)),"-")</f>
        <v>-</v>
      </c>
      <c r="E10" s="1154">
        <f>COUNTIFS($F$19:$F$54,$B10)</f>
        <v>5</v>
      </c>
      <c r="F10" s="1154" t="str">
        <f>IFERROR($E10-$D10,"-")</f>
        <v>-</v>
      </c>
      <c r="G10" s="1154">
        <f>COUNTIFS($F$19:$F$54,$B10,$D$19:$D$54,"Vacant")</f>
        <v>3</v>
      </c>
      <c r="H10" s="1154">
        <f>COUNTIFS($F$19:$F$54,$B10,$D$19:$D$54,"Vacant",$E$19:$E$54,"Hire")+COUNTIFS($F$19:$F$54,$B10,$D$19:$D$54,"Vacant",$E$19:$E$54,"Offshore")</f>
        <v>0</v>
      </c>
      <c r="I10" s="1154">
        <f>$G10-$H10</f>
        <v>3</v>
      </c>
      <c r="J10" s="641">
        <f>$E10-COUNTIFS($F$19:$F$54,$B10,$E$19:$E$54,"Hold")</f>
        <v>2</v>
      </c>
      <c r="K10" s="1155" t="str">
        <f>IF(NOT(ISNUMBER($D10)),"Outside the archetype model",IF($J10&gt;$D10,"Over archetype after decisions",IF($J10&lt;$D10,"Under archetype","On archetype")))</f>
        <v>Outside the archetype model</v>
      </c>
      <c r="L10" s="1155" t="str">
        <f>IFERROR(INDEX('0.3 Squad Archetypes'!$G$5:$G$23,MATCH($C10&amp;"|"&amp;$R10,'0.3 Squad Archetypes'!$A$5:$A$23,0)),"-")</f>
        <v>-</v>
      </c>
      <c r="M10" s="1155">
        <f>SUMIFS($G$19:$G$54,$F$19:$F$54,$B10)/1000000</f>
        <v>1.44772455</v>
      </c>
      <c r="N10" s="1155" t="str">
        <f>IFERROR($M10-$L10,"-")</f>
        <v>-</v>
      </c>
      <c r="O10" s="641">
        <f>SUMIFS($H$19:$H$54,$F$19:$F$54,$B10)/1000000</f>
        <v>0.6202938</v>
      </c>
      <c r="P10">
        <f>$O10+(Lists!$AG$4+Lists!$AG$5)*$E10/$E$11</f>
        <v>0.6702938</v>
      </c>
      <c r="Q10" t="str">
        <f>IFERROR($P10-$L10,"-")</f>
        <v>-</v>
      </c>
      <c r="R10" t="str">
        <f>IFERROR(IF(INDEX('1.7 Infrastructure'!$D:$D,MATCH($S10,'1.7 Infrastructure'!$B:$B,0))="","-",INDEX('1.7 Infrastructure'!$D:$D,MATCH($S10,'1.7 Infrastructure'!$B:$B,0))),"-")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A11" s="949" t="n"/>
      <c r="B11" s="1226" t="inlineStr">
        <is>
          <t>Total</t>
        </is>
      </c>
      <c r="C11" s="645" t="n"/>
      <c r="D11" s="949">
        <f>SUM(D6:D10)</f>
        <v>28</v>
      </c>
      <c r="E11" s="1156">
        <f>COUNTIFS('REVIEW - Complete Role Mapping'!$AJ$2:$AJ$528,"Infrastructure")</f>
        <v>36</v>
      </c>
      <c r="F11" s="949">
        <f>SUM(F6:F10)</f>
        <v>3</v>
      </c>
      <c r="G11" s="949">
        <f>SUM(G6:G10)</f>
        <v>12</v>
      </c>
      <c r="H11" s="949">
        <f>SUM(H6:H10)</f>
        <v>0</v>
      </c>
      <c r="I11" s="949">
        <f>SUM(I6:I10)</f>
        <v>12</v>
      </c>
      <c r="J11" s="949">
        <f>SUM(J6:J10)</f>
        <v>24</v>
      </c>
      <c r="K11" s="949" t="n"/>
      <c r="L11" s="949">
        <f>SUM(L6:L10)</f>
        <v>6.4</v>
      </c>
      <c r="M11" s="949">
        <f>SUMIFS('REVIEW - Complete Role Mapping'!$AA$2:$AA$528,'REVIEW - Complete Role Mapping'!$AJ$2:$AJ$528,"Infrastructure")/1000000</f>
        <v>7.74836354</v>
      </c>
      <c r="N11" s="949">
        <f>SUM(N6:N10)</f>
        <v>-0.0993610100000002</v>
      </c>
      <c r="O11" s="949">
        <f>SUM(O6:O10)</f>
        <v>5.10357679</v>
      </c>
      <c r="P11">
        <f>SUM(P6:P10)</f>
        <v>5.46357679</v>
      </c>
      <c r="Q11">
        <f>SUM(Q6:Q10)</f>
        <v>-1.60671701</v>
      </c>
    </row>
    <row r="12">
      <c r="A12" s="949" t="n"/>
      <c r="B12" s="504" t="n"/>
      <c r="C12" s="645" t="n"/>
      <c r="D12" s="949" t="n"/>
      <c r="E12" s="1156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949">
        <f>SUMIFS($G$19:$G$54,$D$19:$D$54,"Vacant")/1000000</f>
        <v>2.64478675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949" t="n"/>
      <c r="D14" s="949" t="n"/>
      <c r="E14" s="949">
        <f>(SUMIFS($G$19:$G$54,$D$19:$D$54,"Vacant",$E$19:$E$54,"Hire")+Lists!$AD$5*SUMIFS($G$19:$G$54,$D$19:$D$54,"Vacant",$E$19:$E$54,"Offshore"))/1000000</f>
        <v>0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645" t="n"/>
      <c r="D15" s="442" t="n"/>
      <c r="E15" s="1156">
        <f>SUMIFS('REVIEW - Complete Role Mapping'!$AA$2:$AA$528,'REVIEW - Complete Role Mapping'!$AJ$2:$AJ$528,"Infrastructure",'REVIEW - Complete Role Mapping'!$AQ$2:$AQ$528,1)/1000000</f>
        <v>1.44772455</v>
      </c>
      <c r="F15" s="442" t="n"/>
      <c r="G15" s="442" t="n"/>
      <c r="H15" s="442" t="n"/>
      <c r="I15" s="442" t="n"/>
      <c r="J15" s="442" t="n"/>
      <c r="K15" s="442" t="n"/>
      <c r="L15" s="442" t="n"/>
      <c r="M15" s="442" t="n"/>
      <c r="N15" s="442" t="n"/>
      <c r="O15" s="949" t="n"/>
    </row>
    <row r="16">
      <c r="A16" s="949" t="n"/>
      <c r="B16" s="504" t="n"/>
      <c r="C16" s="645" t="n"/>
      <c r="D16" s="442" t="n"/>
      <c r="E16" s="1156" t="n"/>
      <c r="F16" s="442" t="n"/>
      <c r="G16" s="442" t="n"/>
      <c r="H16" s="442" t="n"/>
      <c r="I16" s="442" t="n"/>
      <c r="J16" s="442" t="n"/>
      <c r="K16" s="442" t="n"/>
      <c r="L16" s="442" t="n"/>
      <c r="M16" s="442" t="n"/>
      <c r="N16" s="442" t="n"/>
      <c r="O16" s="949" t="n"/>
    </row>
    <row r="17" ht="15.65" customHeight="1">
      <c r="A17" s="949" t="n"/>
      <c r="B17" s="994" t="inlineStr">
        <is>
          <t>Infrastructure roles - one row per named role, from REVIEW</t>
        </is>
      </c>
      <c r="C17" s="430" t="n"/>
      <c r="D17" s="430" t="n"/>
      <c r="E17" s="430" t="n"/>
      <c r="F17" s="430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11" t="inlineStr">
        <is>
          <t>Name</t>
        </is>
      </c>
      <c r="C18" s="1211" t="inlineStr">
        <is>
          <t>Role</t>
        </is>
      </c>
      <c r="D18" s="1211" t="inlineStr">
        <is>
          <t>Status</t>
        </is>
      </c>
      <c r="E18" s="1211" t="inlineStr">
        <is>
          <t>Vacancy lever</t>
        </is>
      </c>
      <c r="F18" s="1211" t="inlineStr">
        <is>
          <t>Squad</t>
        </is>
      </c>
      <c r="G18" s="1029" t="inlineStr">
        <is>
          <t>Cost if hired ($)</t>
        </is>
      </c>
      <c r="H18" s="102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46" t="str">
        <f>INDEX('REVIEW - Complete Role Mapping'!$B:$B,341)</f>
        <v>Angus Gibson</v>
      </c>
      <c r="C19" s="646" t="str">
        <f>INDEX('REVIEW - Complete Role Mapping'!$C:$C,341)</f>
        <v>Senior Systems Analyst</v>
      </c>
      <c r="D19" s="646" t="str">
        <f>IF(ISNUMBER(SEARCH("vacant",$B19)),"Vacant","Filled")</f>
        <v>Filled</v>
      </c>
      <c r="E19" s="646" t="inlineStr">
        <is>
          <t>Filled</t>
        </is>
      </c>
      <c r="F19" s="646" t="str">
        <f>INDEX('REVIEW - Complete Role Mapping'!$AP:$AP,341)</f>
        <v>Distribution, Sales &amp; Services</v>
      </c>
      <c r="G19" s="949">
        <f>INDEX('REVIEW - Complete Role Mapping'!$AA:$AA,341)</f>
        <v>235494</v>
      </c>
      <c r="H19" s="949">
        <f>$G19*IFERROR(INDEX(Lists!$AD:$AD,MATCH($E19,Lists!$AC:$AC,0)),1)</f>
        <v>235494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Mapping'!$B:$B,345)</f>
        <v>Anvitha Kurra</v>
      </c>
      <c r="C20" s="634" t="str">
        <f>INDEX('REVIEW - Complete Role Mapping'!$C:$C,345)</f>
        <v>Senior Systems Analyst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Mapping'!$AP:$AP,345)</f>
        <v>Distribution, Sales &amp; Services</v>
      </c>
      <c r="G20" s="949">
        <f>INDEX('REVIEW - Complete Role Mapping'!$AA:$AA,345)</f>
        <v>215388.9</v>
      </c>
      <c r="H20" s="949">
        <f>$G20*IFERROR(INDEX(Lists!$AD:$AD,MATCH($E20,Lists!$AC:$AC,0)),1)</f>
        <v>215388.9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Mapping'!$B:$B,349)</f>
        <v>Breanna Hua</v>
      </c>
      <c r="C21" s="634" t="str">
        <f>INDEX('REVIEW - Complete Role Mapping'!$C:$C,349)</f>
        <v>Systems Analyst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Mapping'!$AP:$AP,349)</f>
        <v>Distribution, Sales &amp; Services</v>
      </c>
      <c r="G21" s="949">
        <f>INDEX('REVIEW - Complete Role Mapping'!$AA:$AA,349)</f>
        <v>167149.65</v>
      </c>
      <c r="H21" s="949">
        <f>$G21*IFERROR(INDEX(Lists!$AD:$AD,MATCH($E21,Lists!$AC:$AC,0)),1)</f>
        <v>167149.65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Mapping'!$B:$B,375)</f>
        <v>Jodi Higgins</v>
      </c>
      <c r="C22" s="634" t="str">
        <f>INDEX('REVIEW - Complete Role Mapping'!$C:$C,375)</f>
        <v>Delivery Lead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Mapping'!$AP:$AP,375)</f>
        <v>Distribution, Sales &amp; Services</v>
      </c>
      <c r="G22" s="949">
        <f>INDEX('REVIEW - Complete Role Mapping'!$AA:$AA,375)</f>
        <v>257481.45</v>
      </c>
      <c r="H22" s="949">
        <f>$G22*IFERROR(INDEX(Lists!$AD:$AD,MATCH($E22,Lists!$AC:$AC,0)),1)</f>
        <v>257481.45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Mapping'!$B:$B,397)</f>
        <v>Rebecca Estepa</v>
      </c>
      <c r="C23" s="634" t="str">
        <f>INDEX('REVIEW - Complete Role Mapping'!$C:$C,397)</f>
        <v>Snr Business Analyst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Mapping'!$AP:$AP,397)</f>
        <v>Distribution, Sales &amp; Services</v>
      </c>
      <c r="G23" s="949">
        <f>INDEX('REVIEW - Complete Role Mapping'!$AA:$AA,397)</f>
        <v>233331.3</v>
      </c>
      <c r="H23" s="949">
        <f>$G23*IFERROR(INDEX(Lists!$AD:$AD,MATCH($E23,Lists!$AC:$AC,0)),1)</f>
        <v>233331.3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Mapping'!$B:$B,400)</f>
        <v>Rohan Patel</v>
      </c>
      <c r="C24" s="634" t="str">
        <f>INDEX('REVIEW - Complete Role Mapping'!$C:$C,400)</f>
        <v>Senior Systems Analyst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Mapping'!$AP:$AP,400)</f>
        <v>Distribution, Sales &amp; Services</v>
      </c>
      <c r="G24" s="949">
        <f>INDEX('REVIEW - Complete Role Mapping'!$AA:$AA,400)</f>
        <v>209394.75</v>
      </c>
      <c r="H24" s="949">
        <f>$G24*IFERROR(INDEX(Lists!$AD:$AD,MATCH($E24,Lists!$AC:$AC,0)),1)</f>
        <v>209394.75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Mapping'!$B:$B,404)</f>
        <v>Siva Chimmani</v>
      </c>
      <c r="C25" s="634" t="str">
        <f>INDEX('REVIEW - Complete Role Mapping'!$C:$C,404)</f>
        <v>Senior Engineer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Mapping'!$AP:$AP,404)</f>
        <v>Distribution, Sales &amp; Services</v>
      </c>
      <c r="G25" s="949">
        <f>INDEX('REVIEW - Complete Role Mapping'!$AA:$AA,404)</f>
        <v>213600</v>
      </c>
      <c r="H25" s="949">
        <f>$G25*IFERROR(INDEX(Lists!$AD:$AD,MATCH($E25,Lists!$AC:$AC,0)),1)</f>
        <v>213600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Mapping'!$B:$B,406)</f>
        <v>Sriramani Deyyala</v>
      </c>
      <c r="C26" s="634" t="str">
        <f>INDEX('REVIEW - Complete Role Mapping'!$C:$C,406)</f>
        <v>Systems Analyst</v>
      </c>
      <c r="D26" s="612" t="str">
        <f>IF(ISNUMBER(SEARCH("vacant",$B26)),"Vacant","Filled")</f>
        <v>Filled</v>
      </c>
      <c r="E26" s="647" t="inlineStr">
        <is>
          <t>Filled</t>
        </is>
      </c>
      <c r="F26" s="648" t="str">
        <f>INDEX('REVIEW - Complete Role Mapping'!$AP:$AP,406)</f>
        <v>Distribution, Sales &amp; Services</v>
      </c>
      <c r="G26" s="949">
        <f>INDEX('REVIEW - Complete Role Mapping'!$AA:$AA,406)</f>
        <v>222090.6</v>
      </c>
      <c r="H26" s="949">
        <f>$G26*IFERROR(INDEX(Lists!$AD:$AD,MATCH($E26,Lists!$AC:$AC,0)),1)</f>
        <v>222090.6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Mapping'!$B:$B,431)</f>
        <v>Vacant</v>
      </c>
      <c r="C27" s="634" t="str">
        <f>INDEX('REVIEW - Complete Role Mapping'!$C:$C,431)</f>
        <v>Quality Assurance</v>
      </c>
      <c r="D27" s="612" t="str">
        <f>IF(ISNUMBER(SEARCH("vacant",$B27)),"Vacant","Filled")</f>
        <v>Vacant</v>
      </c>
      <c r="E27" s="647" t="inlineStr">
        <is>
          <t>Hold</t>
        </is>
      </c>
      <c r="F27" s="648" t="str">
        <f>INDEX('REVIEW - Complete Role Mapping'!$AP:$AP,431)</f>
        <v>Distribution, Sales &amp; Services</v>
      </c>
      <c r="G27" s="949">
        <f>INDEX('REVIEW - Complete Role Mapping'!$AA:$AA,431)</f>
        <v>170489.75</v>
      </c>
      <c r="H27" s="949">
        <f>$G27*IFERROR(INDEX(Lists!$AD:$AD,MATCH($E27,Lists!$AC:$AC,0)),1)</f>
        <v>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Mapping'!$B:$B,432)</f>
        <v>Vacant</v>
      </c>
      <c r="C28" s="634" t="str">
        <f>INDEX('REVIEW - Complete Role Mapping'!$C:$C,432)</f>
        <v>Business Analyst</v>
      </c>
      <c r="D28" s="612" t="str">
        <f>IF(ISNUMBER(SEARCH("vacant",$B28)),"Vacant","Filled")</f>
        <v>Vacant</v>
      </c>
      <c r="E28" s="612" t="inlineStr">
        <is>
          <t>Hold</t>
        </is>
      </c>
      <c r="F28" s="634" t="str">
        <f>INDEX('REVIEW - Complete Role Mapping'!$AP:$AP,432)</f>
        <v>Distribution, Sales &amp; Services</v>
      </c>
      <c r="G28" s="949">
        <f>INDEX('REVIEW - Complete Role Mapping'!$AA:$AA,432)</f>
        <v>202853.25</v>
      </c>
      <c r="H28" s="949">
        <f>$G28*IFERROR(INDEX(Lists!$AD:$AD,MATCH($E28,Lists!$AC:$AC,0)),1)</f>
        <v>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Mapping'!$B:$B,333)</f>
        <v>Akhil Sriram</v>
      </c>
      <c r="C29" s="646" t="str">
        <f>INDEX('REVIEW - Complete Role Mapping'!$C:$C,333)</f>
        <v>Snr Business Analyst</v>
      </c>
      <c r="D29" s="646" t="str">
        <f>IF(ISNUMBER(SEARCH("vacant",$B29)),"Vacant","Filled")</f>
        <v>Filled</v>
      </c>
      <c r="E29" s="646" t="inlineStr">
        <is>
          <t>Filled</t>
        </is>
      </c>
      <c r="F29" s="646" t="str">
        <f>INDEX('REVIEW - Complete Role Mapping'!$AP:$AP,333)</f>
        <v>Manufacturing Group Projects</v>
      </c>
      <c r="G29" s="949">
        <f>INDEX('REVIEW - Complete Role Mapping'!$AA:$AA,333)</f>
        <v>221796.9</v>
      </c>
      <c r="H29" s="949">
        <f>$G29*IFERROR(INDEX(Lists!$AD:$AD,MATCH($E29,Lists!$AC:$AC,0)),1)</f>
        <v>221796.9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Mapping'!$B:$B,356)</f>
        <v>Chris Camacho</v>
      </c>
      <c r="C30" s="634" t="str">
        <f>INDEX('REVIEW - Complete Role Mapping'!$C:$C,356)</f>
        <v>Senior Systems Analyst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Mapping'!$AP:$AP,356)</f>
        <v>Manufacturing Group Projects</v>
      </c>
      <c r="G30" s="949">
        <f>INDEX('REVIEW - Complete Role Mapping'!$AA:$AA,356)</f>
        <v>225051.95</v>
      </c>
      <c r="H30" s="949">
        <f>$G30*IFERROR(INDEX(Lists!$AD:$AD,MATCH($E30,Lists!$AC:$AC,0)),1)</f>
        <v>225051.95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Mapping'!$B:$B,361)</f>
        <v>Fabian Moreno Cortes</v>
      </c>
      <c r="C31" s="634" t="str">
        <f>INDEX('REVIEW - Complete Role Mapping'!$C:$C,361)</f>
        <v>Engineer - Software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Mapping'!$AP:$AP,361)</f>
        <v>Manufacturing Group Projects</v>
      </c>
      <c r="G31" s="949">
        <f>INDEX('REVIEW - Complete Role Mapping'!$AA:$AA,361)</f>
        <v>193575</v>
      </c>
      <c r="H31" s="949">
        <f>$G31*IFERROR(INDEX(Lists!$AD:$AD,MATCH($E31,Lists!$AC:$AC,0)),1)</f>
        <v>193575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Mapping'!$B:$B,372)</f>
        <v>Jaya Ganasan</v>
      </c>
      <c r="C32" s="634" t="str">
        <f>INDEX('REVIEW - Complete Role Mapping'!$C:$C,372)</f>
        <v>B2B &amp; Energy+B452:I452</v>
      </c>
      <c r="D32" s="612" t="str">
        <f>IF(ISNUMBER(SEARCH("vacant",$B32)),"Vacant","Filled")</f>
        <v>Filled</v>
      </c>
      <c r="E32" s="612" t="inlineStr">
        <is>
          <t>Filled</t>
        </is>
      </c>
      <c r="F32" s="634" t="str">
        <f>INDEX('REVIEW - Complete Role Mapping'!$AP:$AP,372)</f>
        <v>Manufacturing Group Projects</v>
      </c>
      <c r="G32" s="949">
        <f>INDEX('REVIEW - Complete Role Mapping'!$AA:$AA,372)</f>
        <v>257693.9</v>
      </c>
      <c r="H32" s="949">
        <f>$G32*IFERROR(INDEX(Lists!$AD:$AD,MATCH($E32,Lists!$AC:$AC,0)),1)</f>
        <v>257693.9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Mapping'!$B:$B,387)</f>
        <v>Louis Ballington</v>
      </c>
      <c r="C33" s="634" t="str">
        <f>INDEX('REVIEW - Complete Role Mapping'!$C:$C,387)</f>
        <v>Delivery Lead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Mapping'!$AP:$AP,387)</f>
        <v>Manufacturing Group Projects</v>
      </c>
      <c r="G33" s="949">
        <f>INDEX('REVIEW - Complete Role Mapping'!$AA:$AA,387)</f>
        <v>256466.85</v>
      </c>
      <c r="H33" s="949">
        <f>$G33*IFERROR(INDEX(Lists!$AD:$AD,MATCH($E33,Lists!$AC:$AC,0)),1)</f>
        <v>256466.85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Mapping'!$B:$B,411)</f>
        <v>Tyler Meggs</v>
      </c>
      <c r="C34" s="634" t="str">
        <f>INDEX('REVIEW - Complete Role Mapping'!$C:$C,411)</f>
        <v>System Analyst</v>
      </c>
      <c r="D34" s="612" t="str">
        <f>IF(ISNUMBER(SEARCH("vacant",$B34)),"Vacant","Filled")</f>
        <v>Filled</v>
      </c>
      <c r="E34" s="612" t="inlineStr">
        <is>
          <t>Filled</t>
        </is>
      </c>
      <c r="F34" s="634" t="str">
        <f>INDEX('REVIEW - Complete Role Mapping'!$AP:$AP,411)</f>
        <v>Manufacturing Group Projects</v>
      </c>
      <c r="G34" s="949">
        <f>INDEX('REVIEW - Complete Role Mapping'!$AA:$AA,411)</f>
        <v>144650</v>
      </c>
      <c r="H34" s="949">
        <f>$G34*IFERROR(INDEX(Lists!$AD:$AD,MATCH($E34,Lists!$AC:$AC,0)),1)</f>
        <v>144650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Mapping'!$B:$B,443)</f>
        <v>Victor Olasanoye</v>
      </c>
      <c r="C35" s="646" t="str">
        <f>INDEX('REVIEW - Complete Role Mapping'!$C:$C,443)</f>
        <v>Senior Systems Analyst</v>
      </c>
      <c r="D35" s="646" t="str">
        <f>IF(ISNUMBER(SEARCH("vacant",$B35)),"Vacant","Filled")</f>
        <v>Filled</v>
      </c>
      <c r="E35" s="646" t="inlineStr">
        <is>
          <t>Filled</t>
        </is>
      </c>
      <c r="F35" s="646" t="str">
        <f>INDEX('REVIEW - Complete Role Mapping'!$AP:$AP,443)</f>
        <v>Manufacturing Group Projects</v>
      </c>
      <c r="G35" s="949">
        <f>INDEX('REVIEW - Complete Role Mapping'!$AA:$AA,443)</f>
        <v>213359.7</v>
      </c>
      <c r="H35" s="949">
        <f>$G35*IFERROR(INDEX(Lists!$AD:$AD,MATCH($E35,Lists!$AC:$AC,0)),1)</f>
        <v>213359.7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Mapping'!$B:$B,429)</f>
        <v>Vacant</v>
      </c>
      <c r="C36" s="634" t="str">
        <f>INDEX('REVIEW - Complete Role Mapping'!$C:$C,429)</f>
        <v>Quality Assurance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Mapping'!$AP:$AP,429)</f>
        <v>Manufacturing Group Projects</v>
      </c>
      <c r="G36" s="949">
        <f>INDEX('REVIEW - Complete Role Mapping'!$AA:$AA,429)</f>
        <v>170489.75</v>
      </c>
      <c r="H36" s="949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Mapping'!$B:$B,430)</f>
        <v>Vacant</v>
      </c>
      <c r="C37" s="634" t="str">
        <f>INDEX('REVIEW - Complete Role Mapping'!$C:$C,430)</f>
        <v>Solution Architect</v>
      </c>
      <c r="D37" s="612" t="str">
        <f>IF(ISNUMBER(SEARCH("vacant",$B37)),"Vacant","Filled")</f>
        <v>Vacant</v>
      </c>
      <c r="E37" s="612" t="inlineStr">
        <is>
          <t>Hold</t>
        </is>
      </c>
      <c r="F37" s="634" t="str">
        <f>INDEX('REVIEW - Complete Role Mapping'!$AP:$AP,430)</f>
        <v>Manufacturing Group Projects</v>
      </c>
      <c r="G37" s="949">
        <f>INDEX('REVIEW - Complete Role Mapping'!$AA:$AA,430)</f>
        <v>231689.25</v>
      </c>
      <c r="H37" s="949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Mapping'!$B:$B,403)</f>
        <v>Simrat Singh</v>
      </c>
      <c r="C38" s="634" t="str">
        <f>INDEX('REVIEW - Complete Role Mapping'!$C:$C,403)</f>
        <v>Reporting Analyst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Mapping'!$AP:$AP,403)</f>
        <v>Data &amp; Insights</v>
      </c>
      <c r="G38" s="949">
        <f>INDEX('REVIEW - Complete Role Mapping'!$AA:$AA,403)</f>
        <v>197580</v>
      </c>
      <c r="H38" s="949">
        <f>$G38*IFERROR(INDEX(Lists!$AD:$AD,MATCH($E38,Lists!$AC:$AC,0)),1)</f>
        <v>197580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Mapping'!$B:$B,407)</f>
        <v>Stevani Kho</v>
      </c>
      <c r="C39" s="634" t="str">
        <f>INDEX('REVIEW - Complete Role Mapping'!$C:$C,407)</f>
        <v>Delivery Lead</v>
      </c>
      <c r="D39" s="612" t="str">
        <f>IF(ISNUMBER(SEARCH("vacant",$B39)),"Vacant","Filled")</f>
        <v>Filled</v>
      </c>
      <c r="E39" s="612" t="inlineStr">
        <is>
          <t>Filled</t>
        </is>
      </c>
      <c r="F39" s="634" t="str">
        <f>INDEX('REVIEW - Complete Role Mapping'!$AP:$AP,407)</f>
        <v>Data &amp; Insights</v>
      </c>
      <c r="G39" s="949">
        <f>INDEX('REVIEW - Complete Role Mapping'!$AA:$AA,407)</f>
        <v>277842.75</v>
      </c>
      <c r="H39" s="949">
        <f>$G39*IFERROR(INDEX(Lists!$AD:$AD,MATCH($E39,Lists!$AC:$AC,0)),1)</f>
        <v>277842.75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Mapping'!$B:$B,433)</f>
        <v>Vacant</v>
      </c>
      <c r="C40" s="634" t="str">
        <f>INDEX('REVIEW - Complete Role Mapping'!$C:$C,433)</f>
        <v>Data Analyst</v>
      </c>
      <c r="D40" s="612" t="str">
        <f>IF(ISNUMBER(SEARCH("vacant",$B40)),"Vacant","Filled")</f>
        <v>Vacant</v>
      </c>
      <c r="E40" s="612" t="inlineStr">
        <is>
          <t>Hold</t>
        </is>
      </c>
      <c r="F40" s="634" t="str">
        <f>INDEX('REVIEW - Complete Role Mapping'!$AP:$AP,433)</f>
        <v>Data &amp; Insights</v>
      </c>
      <c r="G40" s="949">
        <f>INDEX('REVIEW - Complete Role Mapping'!$AA:$AA,433)</f>
        <v>201585</v>
      </c>
      <c r="H40" s="949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Mapping'!$B:$B,434)</f>
        <v>Vacant</v>
      </c>
      <c r="C41" s="634" t="str">
        <f>INDEX('REVIEW - Complete Role Mapping'!$C:$C,434)</f>
        <v>Engineer Data</v>
      </c>
      <c r="D41" s="612" t="str">
        <f>IF(ISNUMBER(SEARCH("vacant",$B41)),"Vacant","Filled")</f>
        <v>Vacant</v>
      </c>
      <c r="E41" s="612" t="inlineStr">
        <is>
          <t>Hold</t>
        </is>
      </c>
      <c r="F41" s="634" t="str">
        <f>INDEX('REVIEW - Complete Role Mapping'!$AP:$AP,434)</f>
        <v>Data &amp; Insights</v>
      </c>
      <c r="G41" s="949">
        <f>INDEX('REVIEW - Complete Role Mapping'!$AA:$AA,434)</f>
        <v>202853.25</v>
      </c>
      <c r="H41" s="949">
        <f>$G41*IFERROR(INDEX(Lists!$AD:$AD,MATCH($E41,Lists!$AC:$AC,0)),1)</f>
        <v>0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Mapping'!$B:$B,435)</f>
        <v>Vacant</v>
      </c>
      <c r="C42" s="634" t="str">
        <f>INDEX('REVIEW - Complete Role Mapping'!$C:$C,435)</f>
        <v>Lead Data Analyst</v>
      </c>
      <c r="D42" s="612" t="str">
        <f>IF(ISNUMBER(SEARCH("vacant",$B42)),"Vacant","Filled")</f>
        <v>Vacant</v>
      </c>
      <c r="E42" s="612" t="inlineStr">
        <is>
          <t>Hold</t>
        </is>
      </c>
      <c r="F42" s="634" t="str">
        <f>INDEX('REVIEW - Complete Role Mapping'!$AP:$AP,435)</f>
        <v>Data &amp; Insights</v>
      </c>
      <c r="G42" s="949">
        <f>INDEX('REVIEW - Complete Role Mapping'!$AA:$AA,435)</f>
        <v>231689.25</v>
      </c>
      <c r="H42" s="949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Mapping'!$B:$B,436)</f>
        <v>Vacant</v>
      </c>
      <c r="C43" s="634" t="str">
        <f>INDEX('REVIEW - Complete Role Mapping'!$C:$C,436)</f>
        <v>Reporting Analyst</v>
      </c>
      <c r="D43" s="612" t="str">
        <f>IF(ISNUMBER(SEARCH("vacant",$B43)),"Vacant","Filled")</f>
        <v>Vacant</v>
      </c>
      <c r="E43" s="612" t="inlineStr">
        <is>
          <t>Hold</t>
        </is>
      </c>
      <c r="F43" s="634" t="str">
        <f>INDEX('REVIEW - Complete Role Mapping'!$AP:$AP,436)</f>
        <v>Data &amp; Insights</v>
      </c>
      <c r="G43" s="949">
        <f>INDEX('REVIEW - Complete Role Mapping'!$AA:$AA,436)</f>
        <v>202853.25</v>
      </c>
      <c r="H43" s="949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Mapping'!$B:$B,437)</f>
        <v>Vacant</v>
      </c>
      <c r="C44" s="634" t="str">
        <f>INDEX('REVIEW - Complete Role Mapping'!$C:$C,437)</f>
        <v>Senior Engineer Data</v>
      </c>
      <c r="D44" s="612" t="str">
        <f>IF(ISNUMBER(SEARCH("vacant",$B44)),"Vacant","Filled")</f>
        <v>Vacant</v>
      </c>
      <c r="E44" s="647" t="inlineStr">
        <is>
          <t>Hold</t>
        </is>
      </c>
      <c r="F44" s="648" t="str">
        <f>INDEX('REVIEW - Complete Role Mapping'!$AP:$AP,437)</f>
        <v>Data &amp; Insights</v>
      </c>
      <c r="G44" s="949">
        <f>INDEX('REVIEW - Complete Role Mapping'!$AA:$AA,437)</f>
        <v>202853.25</v>
      </c>
      <c r="H44" s="949">
        <f>$G44*IFERROR(INDEX(Lists!$AD:$AD,MATCH($E44,Lists!$AC:$AC,0)),1)</f>
        <v>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Mapping'!$B:$B,335)</f>
        <v>Alison Rosier</v>
      </c>
      <c r="C45" s="634" t="str">
        <f>INDEX('REVIEW - Complete Role Mapping'!$C:$C,335)</f>
        <v>Technology Support Engineer - Infrastructure</v>
      </c>
      <c r="D45" s="612" t="str">
        <f>IF(ISNUMBER(SEARCH("vacant",$B45)),"Vacant","Filled")</f>
        <v>Filled</v>
      </c>
      <c r="E45" s="647" t="inlineStr">
        <is>
          <t>Filled</t>
        </is>
      </c>
      <c r="F45" s="648" t="str">
        <f>INDEX('REVIEW - Complete Role Mapping'!$AP:$AP,335)</f>
        <v>Technology Support</v>
      </c>
      <c r="G45" s="949">
        <f>INDEX('REVIEW - Complete Role Mapping'!$AA:$AA,335)</f>
        <v>162936.39</v>
      </c>
      <c r="H45" s="949">
        <f>$G45*IFERROR(INDEX(Lists!$AD:$AD,MATCH($E45,Lists!$AC:$AC,0)),1)</f>
        <v>162936.39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Mapping'!$B:$B,365)</f>
        <v>Glenn Earl</v>
      </c>
      <c r="C46" s="646" t="str">
        <f>INDEX('REVIEW - Complete Role Mapping'!$C:$C,365)</f>
        <v>Lead Technology Support - Infrastructure</v>
      </c>
      <c r="D46" s="646" t="str">
        <f>IF(ISNUMBER(SEARCH("vacant",$B46)),"Vacant","Filled")</f>
        <v>Filled</v>
      </c>
      <c r="E46" s="646" t="inlineStr">
        <is>
          <t>Filled</t>
        </is>
      </c>
      <c r="F46" s="646" t="str">
        <f>INDEX('REVIEW - Complete Role Mapping'!$AP:$AP,365)</f>
        <v>Technology Support</v>
      </c>
      <c r="G46" s="949">
        <f>INDEX('REVIEW - Complete Role Mapping'!$AA:$AA,365)</f>
        <v>171291.9</v>
      </c>
      <c r="H46" s="949">
        <f>$G46*IFERROR(INDEX(Lists!$AD:$AD,MATCH($E46,Lists!$AC:$AC,0)),1)</f>
        <v>171291.9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Mapping'!$B:$B,396)</f>
        <v>Radek Rybar</v>
      </c>
      <c r="C47" s="634" t="str">
        <f>INDEX('REVIEW - Complete Role Mapping'!$C:$C,396)</f>
        <v>Technology Support Engineer - Infrastructure</v>
      </c>
      <c r="D47" s="612" t="str">
        <f>IF(ISNUMBER(SEARCH("vacant",$B47)),"Vacant","Filled")</f>
        <v>Filled</v>
      </c>
      <c r="E47" s="612" t="inlineStr">
        <is>
          <t>Filled</t>
        </is>
      </c>
      <c r="F47" s="634" t="str">
        <f>INDEX('REVIEW - Complete Role Mapping'!$AP:$AP,396)</f>
        <v>Technology Support</v>
      </c>
      <c r="G47" s="949">
        <f>INDEX('REVIEW - Complete Role Mapping'!$AA:$AA,396)</f>
        <v>153697.2</v>
      </c>
      <c r="H47" s="949">
        <f>$G47*IFERROR(INDEX(Lists!$AD:$AD,MATCH($E47,Lists!$AC:$AC,0)),1)</f>
        <v>153697.2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Mapping'!$B:$B,401)</f>
        <v>Scott Hasson</v>
      </c>
      <c r="C48" s="634" t="str">
        <f>INDEX('REVIEW - Complete Role Mapping'!$C:$C,401)</f>
        <v>Technology Support Engineer - Infrastructure</v>
      </c>
      <c r="D48" s="612" t="str">
        <f>IF(ISNUMBER(SEARCH("vacant",$B48)),"Vacant","Filled")</f>
        <v>Filled</v>
      </c>
      <c r="E48" s="612" t="inlineStr">
        <is>
          <t>Filled</t>
        </is>
      </c>
      <c r="F48" s="634" t="str">
        <f>INDEX('REVIEW - Complete Role Mapping'!$AP:$AP,401)</f>
        <v>Technology Support</v>
      </c>
      <c r="G48" s="949">
        <f>INDEX('REVIEW - Complete Role Mapping'!$AA:$AA,401)</f>
        <v>146727.7</v>
      </c>
      <c r="H48" s="949">
        <f>$G48*IFERROR(INDEX(Lists!$AD:$AD,MATCH($E48,Lists!$AC:$AC,0)),1)</f>
        <v>146727.7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Mapping'!$B:$B,409)</f>
        <v>Tom Moore</v>
      </c>
      <c r="C49" s="634" t="str">
        <f>INDEX('REVIEW - Complete Role Mapping'!$C:$C,409)</f>
        <v>Technology Support Engineer - Infrastructure</v>
      </c>
      <c r="D49" s="612" t="str">
        <f>IF(ISNUMBER(SEARCH("vacant",$B49)),"Vacant","Filled")</f>
        <v>Filled</v>
      </c>
      <c r="E49" s="647" t="inlineStr">
        <is>
          <t>Filled</t>
        </is>
      </c>
      <c r="F49" s="648" t="str">
        <f>INDEX('REVIEW - Complete Role Mapping'!$AP:$AP,409)</f>
        <v>Technology Support</v>
      </c>
      <c r="G49" s="949">
        <f>INDEX('REVIEW - Complete Role Mapping'!$AA:$AA,409)</f>
        <v>106682.1</v>
      </c>
      <c r="H49" s="949">
        <f>$G49*IFERROR(INDEX(Lists!$AD:$AD,MATCH($E49,Lists!$AC:$AC,0)),1)</f>
        <v>106682.1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Mapping'!$B:$B,339)</f>
        <v>Amish Pandit</v>
      </c>
      <c r="C50" s="634" t="str">
        <f>INDEX('REVIEW - Complete Role Mapping'!$C:$C,339)</f>
        <v>Head of Technology, Fuel Infrastructure</v>
      </c>
      <c r="D50" s="612" t="str">
        <f>IF(ISNUMBER(SEARCH("vacant",$B50)),"Vacant","Filled")</f>
        <v>Filled</v>
      </c>
      <c r="E50" s="647" t="inlineStr">
        <is>
          <t>Filled</t>
        </is>
      </c>
      <c r="F50" s="648" t="str">
        <f>INDEX('REVIEW - Complete Role Mapping'!$AP:$AP,339)</f>
        <v>Leadership</v>
      </c>
      <c r="G50" s="949">
        <f>INDEX('REVIEW - Complete Role Mapping'!$AA:$AA,339)</f>
        <v>363626.7</v>
      </c>
      <c r="H50" s="949">
        <f>$G50*IFERROR(INDEX(Lists!$AD:$AD,MATCH($E50,Lists!$AC:$AC,0)),1)</f>
        <v>363626.7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Mapping'!$B:$B,364)</f>
        <v>George Moun</v>
      </c>
      <c r="C51" s="634" t="str">
        <f>INDEX('REVIEW - Complete Role Mapping'!$C:$C,364)</f>
        <v>Solution Architect</v>
      </c>
      <c r="D51" s="612" t="str">
        <f>IF(ISNUMBER(SEARCH("vacant",$B51)),"Vacant","Filled")</f>
        <v>Filled</v>
      </c>
      <c r="E51" s="647" t="inlineStr">
        <is>
          <t>Filled</t>
        </is>
      </c>
      <c r="F51" s="648" t="str">
        <f>INDEX('REVIEW - Complete Role Mapping'!$AP:$AP,364)</f>
        <v>Leadership</v>
      </c>
      <c r="G51" s="949">
        <f>INDEX('REVIEW - Complete Role Mapping'!$AA:$AA,364)</f>
        <v>256667.1</v>
      </c>
      <c r="H51" s="949">
        <f>$G51*IFERROR(INDEX(Lists!$AD:$AD,MATCH($E51,Lists!$AC:$AC,0)),1)</f>
        <v>256667.1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Mapping'!$B:$B,426)</f>
        <v>Vacant</v>
      </c>
      <c r="C52" s="634" t="str">
        <f>INDEX('REVIEW - Complete Role Mapping'!$C:$C,426)</f>
        <v>Delivery manager</v>
      </c>
      <c r="D52" s="612" t="str">
        <f>IF(ISNUMBER(SEARCH("vacant",$B52)),"Vacant","Filled")</f>
        <v>Vacant</v>
      </c>
      <c r="E52" s="647" t="inlineStr">
        <is>
          <t>Hold</t>
        </is>
      </c>
      <c r="F52" s="648" t="str">
        <f>INDEX('REVIEW - Complete Role Mapping'!$AP:$AP,426)</f>
        <v>Leadership</v>
      </c>
      <c r="G52" s="949">
        <f>INDEX('REVIEW - Complete Role Mapping'!$AA:$AA,426)</f>
        <v>275810.25</v>
      </c>
      <c r="H52" s="949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Mapping'!$B:$B,427)</f>
        <v>Vacant</v>
      </c>
      <c r="C53" s="634" t="str">
        <f>INDEX('REVIEW - Complete Role Mapping'!$C:$C,427)</f>
        <v>Technology Manager Data</v>
      </c>
      <c r="D53" s="612" t="str">
        <f>IF(ISNUMBER(SEARCH("vacant",$B53)),"Vacant","Filled")</f>
        <v>Vacant</v>
      </c>
      <c r="E53" s="647" t="inlineStr">
        <is>
          <t>Hold</t>
        </is>
      </c>
      <c r="F53" s="648" t="str">
        <f>INDEX('REVIEW - Complete Role Mapping'!$AP:$AP,427)</f>
        <v>Leadership</v>
      </c>
      <c r="G53" s="949">
        <f>INDEX('REVIEW - Complete Role Mapping'!$AA:$AA,427)</f>
        <v>275810.25</v>
      </c>
      <c r="H53" s="949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Mapping'!$B:$B,428)</f>
        <v>Vacant</v>
      </c>
      <c r="C54" s="646" t="str">
        <f>INDEX('REVIEW - Complete Role Mapping'!$C:$C,428)</f>
        <v>Technology Manager, Future Infrastructure </v>
      </c>
      <c r="D54" s="646" t="str">
        <f>IF(ISNUMBER(SEARCH("vacant",$B54)),"Vacant","Filled")</f>
        <v>Vacant</v>
      </c>
      <c r="E54" s="646" t="inlineStr">
        <is>
          <t>Hold</t>
        </is>
      </c>
      <c r="F54" s="646" t="str">
        <f>INDEX('REVIEW - Complete Role Mapping'!$AP:$AP,428)</f>
        <v>Leadership</v>
      </c>
      <c r="G54" s="442">
        <f>INDEX('REVIEW - Complete Role Mapping'!$AA:$AA,428)</f>
        <v>275810.25</v>
      </c>
      <c r="H54" s="442">
        <f>$G54*IFERROR(INDEX(Lists!$AD:$AD,MATCH($E54,Lists!$AC:$AC,0)),1)</f>
        <v>0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442" t="n"/>
      <c r="H55" s="442" t="n"/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612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n"/>
      <c r="C57" s="634" t="n"/>
      <c r="D57" s="612" t="n"/>
      <c r="E57" s="612" t="n"/>
      <c r="F57" s="63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n"/>
      <c r="C58" s="634" t="n"/>
      <c r="D58" s="612" t="n"/>
      <c r="E58" s="612" t="n"/>
      <c r="F58" s="63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</sheetData>
  <conditionalFormatting sqref="D18:D51">
    <cfRule type="cellIs" priority="1" operator="equal" dxfId="1">
      <formula>"Vacant"</formula>
    </cfRule>
  </conditionalFormatting>
  <conditionalFormatting sqref="I6:I10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9:E54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B2B</t>
        </is>
      </c>
      <c r="C6" s="635" t="str">
        <f>IFERROR(INDEX('1.8 Energy Solutions &amp; B2B'!$C:$C,MATCH($S6,'1.8 Energy Solutions &amp; B2B'!$B:$B,0)),"Outside archetype model")</f>
        <v>Configuration / Integration</v>
      </c>
      <c r="D6" s="1150">
        <f>IFERROR(INDEX('0.3 Squad Archetypes'!$F$5:$F$23,MATCH($C6&amp;"|"&amp;$R6,'0.3 Squad Archetypes'!$A$5:$A$23,0)),"-")</f>
        <v>14</v>
      </c>
      <c r="E6" s="1151">
        <f>COUNTIFS($F$18:$F$50,$B6)</f>
        <v>14</v>
      </c>
      <c r="F6" s="1151">
        <f>IFERROR($E6-$D6,"-")</f>
        <v>0</v>
      </c>
      <c r="G6" s="1151">
        <f>COUNTIFS($F$18:$F$50,$B6,$D$18:$D$50,"Vacant")</f>
        <v>3</v>
      </c>
      <c r="H6" s="1151">
        <f>COUNTIFS($F$18:$F$50,$B6,$D$18:$D$50,"Vacant",$E$18:$E$50,"Hire")+COUNTIFS($F$18:$F$50,$B6,$D$18:$D$50,"Vacant",$E$18:$E$50,"Offshore")</f>
        <v>0</v>
      </c>
      <c r="I6" s="1151">
        <f>$G6-$H6</f>
        <v>3</v>
      </c>
      <c r="J6" s="634">
        <f>$E6-COUNTIFS($F$18:$F$50,$B6,$E$18:$E$50,"Hold")</f>
        <v>11</v>
      </c>
      <c r="K6" s="1152" t="str">
        <f>IF(NOT(ISNUMBER($D6)),"Outside the archetype model",IF($J6&gt;$D6,"Over archetype after decisions",IF($J6&lt;$D6,"Under archetype","On archetype")))</f>
        <v>Under archetype</v>
      </c>
      <c r="L6" s="1153">
        <f>IFERROR(INDEX('0.3 Squad Archetypes'!$G$5:$G$23,MATCH($C6&amp;"|"&amp;$R6,'0.3 Squad Archetypes'!$A$5:$A$23,0)),"-")</f>
        <v>3.2</v>
      </c>
      <c r="M6" s="1153">
        <f>SUMIFS($G$18:$G$50,$F$18:$F$50,$B6)/1000000</f>
        <v>2.59351107</v>
      </c>
      <c r="N6" s="1153">
        <f>IFERROR($M6-$L6,"-")</f>
        <v>-0.60648893</v>
      </c>
      <c r="O6" s="635">
        <f>SUMIFS($H$18:$H$50,$F$18:$F$50,$B6)/1000000</f>
        <v>1.95611532</v>
      </c>
      <c r="P6">
        <f>$O6+(Lists!$AG$4+Lists!$AG$5)*$E6/$E$10</f>
        <v>2.10884259272727</v>
      </c>
      <c r="Q6">
        <f>IFERROR($P6-$L6,"-")</f>
        <v>-1.09115740727273</v>
      </c>
      <c r="R6" t="str">
        <f>IFERROR(IF(INDEX('1.8 Energy Solutions &amp; B2B'!$D:$D,MATCH($S6,'1.8 Energy Solutions &amp; B2B'!$B:$B,0))="","-",INDEX('1.8 Energy Solutions &amp; B2B'!$D:$D,MATCH($S6,'1.8 Energy Solutions &amp; B2B'!$B:$B,0))),"-")</f>
        <v>L</v>
      </c>
      <c r="S6" t="str">
        <f>IFERROR(INDEX(Lists!$AA:$AA,MATCH($B6,Lists!$Z:$Z,0)),$B6)</f>
        <v>B2B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Energy</t>
        </is>
      </c>
      <c r="C7" s="635" t="str">
        <f>IFERROR(INDEX('1.8 Energy Solutions &amp; B2B'!$C:$C,MATCH($S7,'1.8 Energy Solutions &amp; B2B'!$B:$B,0)),"Outside archetype model")</f>
        <v>Engineering</v>
      </c>
      <c r="D7" s="1150">
        <f>IFERROR(INDEX('0.3 Squad Archetypes'!$F$5:$F$23,MATCH($C7&amp;"|"&amp;$R7,'0.3 Squad Archetypes'!$A$5:$A$23,0)),"-")</f>
        <v>12</v>
      </c>
      <c r="E7" s="1151">
        <f>COUNTIFS($F$18:$F$50,$B7)</f>
        <v>9</v>
      </c>
      <c r="F7" s="1151">
        <f>IFERROR($E7-$D7,"-")</f>
        <v>-3</v>
      </c>
      <c r="G7" s="1151">
        <f>COUNTIFS($F$18:$F$50,$B7,$D$18:$D$50,"Vacant")</f>
        <v>4</v>
      </c>
      <c r="H7" s="1151">
        <f>COUNTIFS($F$18:$F$50,$B7,$D$18:$D$50,"Vacant",$E$18:$E$50,"Hire")+COUNTIFS($F$18:$F$50,$B7,$D$18:$D$50,"Vacant",$E$18:$E$50,"Offshore")</f>
        <v>0</v>
      </c>
      <c r="I7" s="1151">
        <f>$G7-$H7</f>
        <v>4</v>
      </c>
      <c r="J7" s="634">
        <f>$E7-COUNTIFS($F$18:$F$50,$B7,$E$18:$E$50,"Hold")</f>
        <v>5</v>
      </c>
      <c r="K7" s="1152" t="str">
        <f>IF(NOT(ISNUMBER($D7)),"Outside the archetype model",IF($J7&gt;$D7,"Over archetype after decisions",IF($J7&lt;$D7,"Under archetype","On archetype")))</f>
        <v>Under archetype</v>
      </c>
      <c r="L7" s="1153">
        <f>IFERROR(INDEX('0.3 Squad Archetypes'!$G$5:$G$23,MATCH($C7&amp;"|"&amp;$R7,'0.3 Squad Archetypes'!$A$5:$A$23,0)),"-")</f>
        <v>2.7</v>
      </c>
      <c r="M7" s="1153">
        <f>SUMIFS($G$18:$G$50,$F$18:$F$50,$B7)/1000000</f>
        <v>1.803563966</v>
      </c>
      <c r="N7" s="1153">
        <f>IFERROR($M7-$L7,"-")</f>
        <v>-0.896436034</v>
      </c>
      <c r="O7" s="635">
        <f>SUMIFS($H$18:$H$50,$F$18:$F$50,$B7)/1000000</f>
        <v>0.963314966</v>
      </c>
      <c r="P7">
        <f>$O7+(Lists!$AG$4+Lists!$AG$5)*$E7/$E$10</f>
        <v>1.06149678418182</v>
      </c>
      <c r="Q7">
        <f>IFERROR($P7-$L7,"-")</f>
        <v>-1.63850321581818</v>
      </c>
      <c r="R7" t="str">
        <f>IFERROR(IF(INDEX('1.8 Energy Solutions &amp; B2B'!$D:$D,MATCH($S7,'1.8 Energy Solutions &amp; B2B'!$B:$B,0))="","-",INDEX('1.8 Energy Solutions &amp; B2B'!$D:$D,MATCH($S7,'1.8 Energy Solutions &amp; B2B'!$B:$B,0))),"-")</f>
        <v>L</v>
      </c>
      <c r="S7" t="str">
        <f>IFERROR(INDEX(Lists!$AA:$AA,MATCH($B7,Lists!$Z:$Z,0)),$B7)</f>
        <v>Energy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EVCI</t>
        </is>
      </c>
      <c r="C8" s="635" t="str">
        <f>IFERROR(INDEX('1.8 Energy Solutions &amp; B2B'!$C:$C,MATCH($S8,'1.8 Energy Solutions &amp; B2B'!$B:$B,0)),"Outside archetype model")</f>
        <v>Engineering</v>
      </c>
      <c r="D8" s="1150">
        <f>IFERROR(INDEX('0.3 Squad Archetypes'!$F$5:$F$23,MATCH($C8&amp;"|"&amp;$R8,'0.3 Squad Archetypes'!$A$5:$A$23,0)),"-")</f>
        <v>9</v>
      </c>
      <c r="E8" s="1151">
        <f>COUNTIFS($F$18:$F$50,$B8)</f>
        <v>6</v>
      </c>
      <c r="F8" s="1151">
        <f>IFERROR($E8-$D8,"-")</f>
        <v>-3</v>
      </c>
      <c r="G8" s="1151">
        <f>COUNTIFS($F$18:$F$50,$B8,$D$18:$D$50,"Vacant")</f>
        <v>0</v>
      </c>
      <c r="H8" s="1151">
        <f>COUNTIFS($F$18:$F$50,$B8,$D$18:$D$50,"Vacant",$E$18:$E$50,"Hire")+COUNTIFS($F$18:$F$50,$B8,$D$18:$D$50,"Vacant",$E$18:$E$50,"Offshore")</f>
        <v>0</v>
      </c>
      <c r="I8" s="1151">
        <f>$G8-$H8</f>
        <v>0</v>
      </c>
      <c r="J8" s="634">
        <f>$E8-COUNTIFS($F$18:$F$50,$B8,$E$18:$E$50,"Hold")</f>
        <v>6</v>
      </c>
      <c r="K8" s="1152" t="str">
        <f>IF(NOT(ISNUMBER($D8)),"Outside the archetype model",IF($J8&gt;$D8,"Over archetype after decisions",IF($J8&lt;$D8,"Under archetype","On archetype")))</f>
        <v>Under archetype</v>
      </c>
      <c r="L8" s="1153">
        <f>IFERROR(INDEX('0.3 Squad Archetypes'!$G$5:$G$23,MATCH($C8&amp;"|"&amp;$R8,'0.3 Squad Archetypes'!$A$5:$A$23,0)),"-")</f>
        <v>2</v>
      </c>
      <c r="M8" s="1153">
        <f>SUMIFS($G$18:$G$50,$F$18:$F$50,$B8)/1000000</f>
        <v>0.930799292</v>
      </c>
      <c r="N8" s="1153">
        <f>IFERROR($M8-$L8,"-")</f>
        <v>-1.069200708</v>
      </c>
      <c r="O8" s="635">
        <f>SUMIFS($H$18:$H$50,$F$18:$F$50,$B8)/1000000</f>
        <v>0.930799292</v>
      </c>
      <c r="P8">
        <f>$O8+(Lists!$AG$4+Lists!$AG$5)*$E8/$E$10</f>
        <v>0.996253837454545</v>
      </c>
      <c r="Q8">
        <f>IFERROR($P8-$L8,"-")</f>
        <v>-1.00374616254545</v>
      </c>
      <c r="R8" t="str">
        <f>IFERROR(IF(INDEX('1.8 Energy Solutions &amp; B2B'!$D:$D,MATCH($S8,'1.8 Energy Solutions &amp; B2B'!$B:$B,0))="","-",INDEX('1.8 Energy Solutions &amp; B2B'!$D:$D,MATCH($S8,'1.8 Energy Solutions &amp; B2B'!$B:$B,0))),"-")</f>
        <v>M</v>
      </c>
      <c r="S8" t="str">
        <f>IFERROR(INDEX(Lists!$AA:$AA,MATCH($B8,Lists!$Z:$Z,0)),$B8)</f>
        <v>EVCI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Leadership</t>
        </is>
      </c>
      <c r="C9" s="635" t="str">
        <f>IFERROR(INDEX('1.8 Energy Solutions &amp; B2B'!$C:$C,MATCH($S9,'1.8 Energy Solutions &amp; B2B'!$B:$B,0)),"Outside archetype model")</f>
        <v>Outside archetype model</v>
      </c>
      <c r="D9" s="1150" t="str">
        <f>IFERROR(INDEX('0.3 Squad Archetypes'!$F$5:$F$23,MATCH($C9&amp;"|"&amp;$R9,'0.3 Squad Archetypes'!$A$5:$A$23,0)),"-")</f>
        <v>-</v>
      </c>
      <c r="E9" s="1151">
        <f>COUNTIFS($F$18:$F$50,$B9)</f>
        <v>4</v>
      </c>
      <c r="F9" s="1151" t="str">
        <f>IFERROR($E9-$D9,"-")</f>
        <v>-</v>
      </c>
      <c r="G9" s="1151">
        <f>COUNTIFS($F$18:$F$50,$B9,$D$18:$D$50,"Vacant")</f>
        <v>2</v>
      </c>
      <c r="H9" s="1151">
        <f>COUNTIFS($F$18:$F$50,$B9,$D$18:$D$50,"Vacant",$E$18:$E$50,"Hire")+COUNTIFS($F$18:$F$50,$B9,$D$18:$D$50,"Vacant",$E$18:$E$50,"Offshore")</f>
        <v>0</v>
      </c>
      <c r="I9" s="1151">
        <f>$G9-$H9</f>
        <v>2</v>
      </c>
      <c r="J9" s="634">
        <f>$E9-COUNTIFS($F$18:$F$50,$B9,$E$18:$E$50,"Hold")</f>
        <v>2</v>
      </c>
      <c r="K9" s="1152" t="str">
        <f>IF(NOT(ISNUMBER($D9)),"Outside the archetype model",IF($J9&gt;$D9,"Over archetype after decisions",IF($J9&lt;$D9,"Under archetype","On archetype")))</f>
        <v>Outside the archetype model</v>
      </c>
      <c r="L9" s="1153" t="str">
        <f>IFERROR(INDEX('0.3 Squad Archetypes'!$G$5:$G$23,MATCH($C9&amp;"|"&amp;$R9,'0.3 Squad Archetypes'!$A$5:$A$23,0)),"-")</f>
        <v>-</v>
      </c>
      <c r="M9" s="1153">
        <f>SUMIFS($G$18:$G$50,$F$18:$F$50,$B9)/1000000</f>
        <v>1.11994195</v>
      </c>
      <c r="N9" s="1153" t="str">
        <f>IFERROR($M9-$L9,"-")</f>
        <v>-</v>
      </c>
      <c r="O9" s="635">
        <f>SUMIFS($H$18:$H$50,$F$18:$F$50,$B9)/1000000</f>
        <v>0.56832145</v>
      </c>
      <c r="P9">
        <f>$O9+(Lists!$AG$4+Lists!$AG$5)*$E9/$E$10</f>
        <v>0.611957813636364</v>
      </c>
      <c r="Q9" t="str">
        <f>IFERROR($P9-$L9,"-")</f>
        <v>-</v>
      </c>
      <c r="R9" t="str">
        <f>IFERROR(IF(INDEX('1.8 Energy Solutions &amp; B2B'!$D:$D,MATCH($S9,'1.8 Energy Solutions &amp; B2B'!$B:$B,0))="","-",INDEX('1.8 Energy Solutions &amp; B2B'!$D:$D,MATCH($S9,'1.8 Energy Solutions &amp; B2B'!$B:$B,0))),"-")</f>
        <v>-</v>
      </c>
      <c r="S9" t="str">
        <f>IFERROR(INDEX(Lists!$AA:$AA,MATCH($B9,Lists!$Z:$Z,0)),$B9)</f>
        <v>Leadership</v>
      </c>
      <c r="T9" t="str">
        <f>IF($B9="Leadership","Shared role - compared to the allowance",IF($C9="Strategic Programs","Strategic Programs - no rate in 0.3 (TBC)",IF(NOT(ISNUMBER($D9)),"No archetype for this squad","Archetype applies")))</f>
        <v>Shared role - compared to the allowance</v>
      </c>
    </row>
    <row r="10">
      <c r="A10" s="949" t="n"/>
      <c r="B10" s="1231" t="inlineStr">
        <is>
          <t>Total</t>
        </is>
      </c>
      <c r="C10" s="641" t="n"/>
      <c r="D10" s="1154">
        <f>SUM(D6:D9)</f>
        <v>35</v>
      </c>
      <c r="E10" s="1154">
        <f>COUNTIFS('REVIEW - Complete Role Mapping'!$AJ$2:$AJ$528,"Energy Solutions &amp; B2B")</f>
        <v>33</v>
      </c>
      <c r="F10" s="1154">
        <f>SUM(F6:F9)</f>
        <v>-6</v>
      </c>
      <c r="G10" s="1154">
        <f>SUM(G6:G9)</f>
        <v>9</v>
      </c>
      <c r="H10" s="1154">
        <f>SUM(H6:H9)</f>
        <v>0</v>
      </c>
      <c r="I10" s="1154">
        <f>SUM(I6:I9)</f>
        <v>9</v>
      </c>
      <c r="J10" s="641">
        <f>SUM(J6:J9)</f>
        <v>24</v>
      </c>
      <c r="K10" s="1155" t="n"/>
      <c r="L10" s="1155">
        <f>SUM(L6:L9)</f>
        <v>7.9</v>
      </c>
      <c r="M10" s="1155">
        <f>SUMIFS('REVIEW - Complete Role Mapping'!$AA$2:$AA$528,'REVIEW - Complete Role Mapping'!$AJ$2:$AJ$528,"Energy Solutions &amp; B2B")/1000000</f>
        <v>6.447816278</v>
      </c>
      <c r="N10" s="1155">
        <f>SUM(N6:N9)</f>
        <v>-2.572125672</v>
      </c>
      <c r="O10" s="641">
        <f>SUM(O6:O9)</f>
        <v>4.418551028</v>
      </c>
      <c r="P10">
        <f>SUM(P6:P9)</f>
        <v>4.778551028</v>
      </c>
      <c r="Q10">
        <f>SUM(Q6:Q9)</f>
        <v>-3.73340678563636</v>
      </c>
    </row>
    <row r="11">
      <c r="A11" s="949" t="n"/>
      <c r="B11" s="504" t="n"/>
      <c r="C11" s="645" t="n"/>
      <c r="D11" s="949" t="n"/>
      <c r="E11" s="1156" t="n"/>
      <c r="F11" s="949" t="n"/>
      <c r="G11" s="949" t="n"/>
      <c r="H11" s="949" t="n"/>
      <c r="I11" s="949" t="n"/>
      <c r="J11" s="949" t="n"/>
      <c r="K11" s="949" t="n"/>
      <c r="L11" s="949" t="n"/>
      <c r="M11" s="949" t="n"/>
      <c r="N11" s="949" t="n"/>
      <c r="O11" s="949" t="n"/>
    </row>
    <row r="12">
      <c r="A12" s="949" t="n"/>
      <c r="B12" s="994" t="inlineStr">
        <is>
          <t>Cost to fill every vacancy at full onshore cost ($m)</t>
        </is>
      </c>
      <c r="C12" s="949" t="n"/>
      <c r="D12" s="949" t="n"/>
      <c r="E12" s="1156">
        <f>SUMIFS($G$18:$G$50,$D$18:$D$50,"Vacant")/1000000</f>
        <v>2.02926525</v>
      </c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Of which currently marked Hire or Offshore ($m)</t>
        </is>
      </c>
      <c r="C13" s="949" t="n"/>
      <c r="D13" s="949" t="n"/>
      <c r="E13" s="949">
        <f>(SUMIFS($G$18:$G$50,$D$18:$D$50,"Vacant",$E$18:$E$50,"Hire")+Lists!$AD$5*SUMIFS($G$18:$G$50,$D$18:$D$50,"Vacant",$E$18:$E$50,"Offshore"))/1000000</f>
        <v>0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Leadership and Head of Technology already inside this portfolio ($m) - not re-added in column P</t>
        </is>
      </c>
      <c r="C14" s="949" t="n"/>
      <c r="D14" s="949" t="n"/>
      <c r="E14" s="949">
        <f>SUMIFS('REVIEW - Complete Role Mapping'!$AA$2:$AA$528,'REVIEW - Complete Role Mapping'!$AJ$2:$AJ$528,"Energy Solutions &amp; B2B",'REVIEW - Complete Role Mapping'!$AQ$2:$AQ$528,1)/1000000</f>
        <v>1.11994195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504" t="n"/>
      <c r="C15" s="645" t="n"/>
      <c r="D15" s="442" t="n"/>
      <c r="E15" s="1156" t="n"/>
      <c r="F15" s="442" t="n"/>
      <c r="G15" s="442" t="n"/>
      <c r="H15" s="442" t="n"/>
      <c r="I15" s="442" t="n"/>
      <c r="J15" s="442" t="n"/>
      <c r="K15" s="442" t="n"/>
      <c r="L15" s="442" t="n"/>
      <c r="M15" s="442" t="n"/>
      <c r="N15" s="442" t="n"/>
      <c r="O15" s="949" t="n"/>
    </row>
    <row r="16">
      <c r="A16" s="949" t="n"/>
      <c r="B16" s="994" t="inlineStr">
        <is>
          <t>Energy Solutions &amp; B2B roles - one row per named role, from REVIEW</t>
        </is>
      </c>
      <c r="C16" s="645" t="n"/>
      <c r="D16" s="442" t="n"/>
      <c r="E16" s="1156" t="n"/>
      <c r="F16" s="442" t="n"/>
      <c r="G16" s="442" t="n"/>
      <c r="H16" s="442" t="n"/>
      <c r="I16" s="442" t="n"/>
      <c r="J16" s="442" t="n"/>
      <c r="K16" s="442" t="n"/>
      <c r="L16" s="442" t="n"/>
      <c r="M16" s="442" t="n"/>
      <c r="N16" s="442" t="n"/>
      <c r="O16" s="949" t="n"/>
    </row>
    <row r="17" ht="15.65" customHeight="1">
      <c r="A17" s="949" t="n"/>
      <c r="B17" s="1029" t="inlineStr">
        <is>
          <t>Name</t>
        </is>
      </c>
      <c r="C17" s="1029" t="inlineStr">
        <is>
          <t>Role</t>
        </is>
      </c>
      <c r="D17" s="1029" t="inlineStr">
        <is>
          <t>Status</t>
        </is>
      </c>
      <c r="E17" s="1029" t="inlineStr">
        <is>
          <t>Vacancy lever</t>
        </is>
      </c>
      <c r="F17" s="1029" t="inlineStr">
        <is>
          <t>Squad</t>
        </is>
      </c>
      <c r="G17" s="1029" t="inlineStr">
        <is>
          <t>Cost if hired ($)</t>
        </is>
      </c>
      <c r="H17" s="1029" t="inlineStr">
        <is>
          <t>Effective cost ($)</t>
        </is>
      </c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533" t="str">
        <f>INDEX('REVIEW - Complete Role Mapping'!$B:$B,334)</f>
        <v>Alex Abelita</v>
      </c>
      <c r="C18" s="533" t="str">
        <f>INDEX('REVIEW - Complete Role Mapping'!$C:$C,334)</f>
        <v>Associate Engineer - Automation Testing</v>
      </c>
      <c r="D18" s="533" t="str">
        <f>IF(ISNUMBER(SEARCH("vacant",$B18)),"Vacant","Filled")</f>
        <v>Filled</v>
      </c>
      <c r="E18" s="533" t="inlineStr">
        <is>
          <t>Filled</t>
        </is>
      </c>
      <c r="F18" s="533" t="str">
        <f>INDEX('REVIEW - Complete Role Mapping'!$AP:$AP,334)</f>
        <v>B2B</v>
      </c>
      <c r="G18" s="949">
        <f>INDEX('REVIEW - Complete Role Mapping'!$AA:$AA,334)</f>
        <v>87044</v>
      </c>
      <c r="H18" s="949">
        <f>$G18*IFERROR(INDEX(Lists!$AD:$AD,MATCH($E18,Lists!$AC:$AC,0)),1)</f>
        <v>87044</v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46" t="str">
        <f>INDEX('REVIEW - Complete Role Mapping'!$B:$B,337)</f>
        <v>Allyn Puente</v>
      </c>
      <c r="C19" s="646" t="str">
        <f>INDEX('REVIEW - Complete Role Mapping'!$C:$C,337)</f>
        <v>Graduate</v>
      </c>
      <c r="D19" s="646" t="str">
        <f>IF(ISNUMBER(SEARCH("vacant",$B19)),"Vacant","Filled")</f>
        <v>Filled</v>
      </c>
      <c r="E19" s="646" t="inlineStr">
        <is>
          <t>Filled</t>
        </is>
      </c>
      <c r="F19" s="646" t="str">
        <f>INDEX('REVIEW - Complete Role Mapping'!$AP:$AP,337)</f>
        <v>B2B</v>
      </c>
      <c r="G19" s="949">
        <f>INDEX('REVIEW - Complete Role Mapping'!$AA:$AA,337)</f>
        <v>110075</v>
      </c>
      <c r="H19" s="949">
        <f>$G19*IFERROR(INDEX(Lists!$AD:$AD,MATCH($E19,Lists!$AC:$AC,0)),1)</f>
        <v>110075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Mapping'!$B:$B,348)</f>
        <v>Belinda Ford</v>
      </c>
      <c r="C20" s="634" t="str">
        <f>INDEX('REVIEW - Complete Role Mapping'!$C:$C,348)</f>
        <v>Quality Assurance</v>
      </c>
      <c r="D20" s="612" t="str">
        <f>IF(ISNUMBER(SEARCH("vacant",$B20)),"Vacant","Filled")</f>
        <v>Filled</v>
      </c>
      <c r="E20" s="876" t="inlineStr">
        <is>
          <t>Filled</t>
        </is>
      </c>
      <c r="F20" s="634" t="str">
        <f>INDEX('REVIEW - Complete Role Mapping'!$AP:$AP,348)</f>
        <v>B2B</v>
      </c>
      <c r="G20" s="949">
        <f>INDEX('REVIEW - Complete Role Mapping'!$AA:$AA,348)</f>
        <v>149160.45</v>
      </c>
      <c r="H20" s="949">
        <f>$G20*IFERROR(INDEX(Lists!$AD:$AD,MATCH($E20,Lists!$AC:$AC,0)),1)</f>
        <v>149160.45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Mapping'!$B:$B,357)</f>
        <v>Debbie Gor</v>
      </c>
      <c r="C21" s="634" t="str">
        <f>INDEX('REVIEW - Complete Role Mapping'!$C:$C,357)</f>
        <v>Delivery Lead</v>
      </c>
      <c r="D21" s="612" t="str">
        <f>IF(ISNUMBER(SEARCH("vacant",$B21)),"Vacant","Filled")</f>
        <v>Filled</v>
      </c>
      <c r="E21" s="876" t="inlineStr">
        <is>
          <t>Filled</t>
        </is>
      </c>
      <c r="F21" s="634" t="str">
        <f>INDEX('REVIEW - Complete Role Mapping'!$AP:$AP,357)</f>
        <v>B2B</v>
      </c>
      <c r="G21" s="949">
        <f>INDEX('REVIEW - Complete Role Mapping'!$AA:$AA,357)</f>
        <v>266612.85</v>
      </c>
      <c r="H21" s="949">
        <f>$G21*IFERROR(INDEX(Lists!$AD:$AD,MATCH($E21,Lists!$AC:$AC,0)),1)</f>
        <v>266612.85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Mapping'!$B:$B,362)</f>
        <v>Frank Liang</v>
      </c>
      <c r="C22" s="634" t="str">
        <f>INDEX('REVIEW - Complete Role Mapping'!$C:$C,362)</f>
        <v>Senior Systems Analyst</v>
      </c>
      <c r="D22" s="612" t="str">
        <f>IF(ISNUMBER(SEARCH("vacant",$B22)),"Vacant","Filled")</f>
        <v>Filled</v>
      </c>
      <c r="E22" s="876" t="inlineStr">
        <is>
          <t>Filled</t>
        </is>
      </c>
      <c r="F22" s="634" t="str">
        <f>INDEX('REVIEW - Complete Role Mapping'!$AP:$AP,362)</f>
        <v>B2B</v>
      </c>
      <c r="G22" s="949">
        <f>INDEX('REVIEW - Complete Role Mapping'!$AA:$AA,362)</f>
        <v>223625.85</v>
      </c>
      <c r="H22" s="949">
        <f>$G22*IFERROR(INDEX(Lists!$AD:$AD,MATCH($E22,Lists!$AC:$AC,0)),1)</f>
        <v>223625.85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Mapping'!$B:$B,374)</f>
        <v>Jessica Calla</v>
      </c>
      <c r="C23" s="634" t="str">
        <f>INDEX('REVIEW - Complete Role Mapping'!$C:$C,374)</f>
        <v>System Analyst Card</v>
      </c>
      <c r="D23" s="612" t="str">
        <f>IF(ISNUMBER(SEARCH("vacant",$B23)),"Vacant","Filled")</f>
        <v>Filled</v>
      </c>
      <c r="E23" s="876" t="inlineStr">
        <is>
          <t>Filled</t>
        </is>
      </c>
      <c r="F23" s="634" t="str">
        <f>INDEX('REVIEW - Complete Role Mapping'!$AP:$AP,374)</f>
        <v>B2B</v>
      </c>
      <c r="G23" s="949">
        <f>INDEX('REVIEW - Complete Role Mapping'!$AA:$AA,374)</f>
        <v>137509.55</v>
      </c>
      <c r="H23" s="949">
        <f>$G23*IFERROR(INDEX(Lists!$AD:$AD,MATCH($E23,Lists!$AC:$AC,0)),1)</f>
        <v>137509.55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Mapping'!$B:$B,386)</f>
        <v>Lindsay Baipas</v>
      </c>
      <c r="C24" s="634" t="str">
        <f>INDEX('REVIEW - Complete Role Mapping'!$C:$C,386)</f>
        <v>System Analyst Card</v>
      </c>
      <c r="D24" s="612" t="str">
        <f>IF(ISNUMBER(SEARCH("vacant",$B24)),"Vacant","Filled")</f>
        <v>Filled</v>
      </c>
      <c r="E24" s="876" t="inlineStr">
        <is>
          <t>Filled</t>
        </is>
      </c>
      <c r="F24" s="634" t="str">
        <f>INDEX('REVIEW - Complete Role Mapping'!$AP:$AP,386)</f>
        <v>B2B</v>
      </c>
      <c r="G24" s="949">
        <f>INDEX('REVIEW - Complete Role Mapping'!$AA:$AA,386)</f>
        <v>190306.8</v>
      </c>
      <c r="H24" s="949">
        <f>$G24*IFERROR(INDEX(Lists!$AD:$AD,MATCH($E24,Lists!$AC:$AC,0)),1)</f>
        <v>190306.8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Mapping'!$B:$B,389)</f>
        <v>Mick DaSilva</v>
      </c>
      <c r="C25" s="634" t="str">
        <f>INDEX('REVIEW - Complete Role Mapping'!$C:$C,389)</f>
        <v>Senior Business Analyst</v>
      </c>
      <c r="D25" s="612" t="str">
        <f>IF(ISNUMBER(SEARCH("vacant",$B25)),"Vacant","Filled")</f>
        <v>Filled</v>
      </c>
      <c r="E25" s="876" t="inlineStr">
        <is>
          <t>Filled</t>
        </is>
      </c>
      <c r="F25" s="634" t="str">
        <f>INDEX('REVIEW - Complete Role Mapping'!$AP:$AP,389)</f>
        <v>B2B</v>
      </c>
      <c r="G25" s="949">
        <f>INDEX('REVIEW - Complete Role Mapping'!$AA:$AA,389)</f>
        <v>219447.3</v>
      </c>
      <c r="H25" s="949">
        <f>$G25*IFERROR(INDEX(Lists!$AD:$AD,MATCH($E25,Lists!$AC:$AC,0)),1)</f>
        <v>219447.3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Mapping'!$B:$B,390)</f>
        <v>Mikey Tran</v>
      </c>
      <c r="C26" s="634" t="str">
        <f>INDEX('REVIEW - Complete Role Mapping'!$C:$C,390)</f>
        <v>Senior Systems Analyst - Card</v>
      </c>
      <c r="D26" s="612" t="str">
        <f>IF(ISNUMBER(SEARCH("vacant",$B26)),"Vacant","Filled")</f>
        <v>Filled</v>
      </c>
      <c r="E26" s="876" t="inlineStr">
        <is>
          <t>Filled</t>
        </is>
      </c>
      <c r="F26" s="634" t="str">
        <f>INDEX('REVIEW - Complete Role Mapping'!$AP:$AP,390)</f>
        <v>B2B</v>
      </c>
      <c r="G26" s="949">
        <f>INDEX('REVIEW - Complete Role Mapping'!$AA:$AA,390)</f>
        <v>186900</v>
      </c>
      <c r="H26" s="949">
        <f>$G26*IFERROR(INDEX(Lists!$AD:$AD,MATCH($E26,Lists!$AC:$AC,0)),1)</f>
        <v>186900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Mapping'!$B:$B,391)</f>
        <v>Ming Shao</v>
      </c>
      <c r="C27" s="634" t="str">
        <f>INDEX('REVIEW - Complete Role Mapping'!$C:$C,391)</f>
        <v>Senior Systems Analyst Card</v>
      </c>
      <c r="D27" s="612" t="str">
        <f>IF(ISNUMBER(SEARCH("vacant",$B27)),"Vacant","Filled")</f>
        <v>Filled</v>
      </c>
      <c r="E27" s="876" t="inlineStr">
        <is>
          <t>Filled</t>
        </is>
      </c>
      <c r="F27" s="634" t="str">
        <f>INDEX('REVIEW - Complete Role Mapping'!$AP:$AP,391)</f>
        <v>B2B</v>
      </c>
      <c r="G27" s="949">
        <f>INDEX('REVIEW - Complete Role Mapping'!$AA:$AA,391)</f>
        <v>221610</v>
      </c>
      <c r="H27" s="949">
        <f>$G27*IFERROR(INDEX(Lists!$AD:$AD,MATCH($E27,Lists!$AC:$AC,0)),1)</f>
        <v>221610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Mapping'!$B:$B,399)</f>
        <v>Rod Santillan</v>
      </c>
      <c r="C28" s="634" t="str">
        <f>INDEX('REVIEW - Complete Role Mapping'!$C:$C,399)</f>
        <v>Snr Engineer Software</v>
      </c>
      <c r="D28" s="612" t="str">
        <f>IF(ISNUMBER(SEARCH("vacant",$B28)),"Vacant","Filled")</f>
        <v>Filled</v>
      </c>
      <c r="E28" s="876" t="inlineStr">
        <is>
          <t>Filled</t>
        </is>
      </c>
      <c r="F28" s="634" t="str">
        <f>INDEX('REVIEW - Complete Role Mapping'!$AP:$AP,399)</f>
        <v>B2B</v>
      </c>
      <c r="G28" s="949">
        <f>INDEX('REVIEW - Complete Role Mapping'!$AA:$AA,399)</f>
        <v>163823.52</v>
      </c>
      <c r="H28" s="949">
        <f>$G28*IFERROR(INDEX(Lists!$AD:$AD,MATCH($E28,Lists!$AC:$AC,0)),1)</f>
        <v>163823.52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Mapping'!$B:$B,412)</f>
        <v>Vacant</v>
      </c>
      <c r="C29" s="634" t="str">
        <f>INDEX('REVIEW - Complete Role Mapping'!$C:$C,412)</f>
        <v>Engineer Software</v>
      </c>
      <c r="D29" s="612" t="str">
        <f>IF(ISNUMBER(SEARCH("vacant",$B29)),"Vacant","Filled")</f>
        <v>Vacant</v>
      </c>
      <c r="E29" s="876" t="inlineStr">
        <is>
          <t>Hold</t>
        </is>
      </c>
      <c r="F29" s="634" t="str">
        <f>INDEX('REVIEW - Complete Role Mapping'!$AP:$AP,412)</f>
        <v>B2B</v>
      </c>
      <c r="G29" s="949">
        <f>INDEX('REVIEW - Complete Role Mapping'!$AA:$AA,412)</f>
        <v>202853.25</v>
      </c>
      <c r="H29" s="949">
        <f>$G29*IFERROR(INDEX(Lists!$AD:$AD,MATCH($E29,Lists!$AC:$AC,0)),1)</f>
        <v>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Mapping'!$B:$B,413)</f>
        <v>Vacant</v>
      </c>
      <c r="C30" s="634" t="str">
        <f>INDEX('REVIEW - Complete Role Mapping'!$C:$C,413)</f>
        <v>Solution Architect</v>
      </c>
      <c r="D30" s="612" t="str">
        <f>IF(ISNUMBER(SEARCH("vacant",$B30)),"Vacant","Filled")</f>
        <v>Vacant</v>
      </c>
      <c r="E30" s="876" t="inlineStr">
        <is>
          <t>Hold</t>
        </is>
      </c>
      <c r="F30" s="634" t="str">
        <f>INDEX('REVIEW - Complete Role Mapping'!$AP:$AP,413)</f>
        <v>B2B</v>
      </c>
      <c r="G30" s="949">
        <f>INDEX('REVIEW - Complete Role Mapping'!$AA:$AA,413)</f>
        <v>231689.25</v>
      </c>
      <c r="H30" s="949">
        <f>$G30*IFERROR(INDEX(Lists!$AD:$AD,MATCH($E30,Lists!$AC:$AC,0)),1)</f>
        <v>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Mapping'!$B:$B,438)</f>
        <v>Vacant</v>
      </c>
      <c r="C31" s="634" t="str">
        <f>INDEX('REVIEW - Complete Role Mapping'!$C:$C,438)</f>
        <v>Business Analyst</v>
      </c>
      <c r="D31" s="612" t="str">
        <f>IF(ISNUMBER(SEARCH("vacant",$B31)),"Vacant","Filled")</f>
        <v>Vacant</v>
      </c>
      <c r="E31" s="647" t="inlineStr">
        <is>
          <t>Hold</t>
        </is>
      </c>
      <c r="F31" s="648" t="str">
        <f>INDEX('REVIEW - Complete Role Mapping'!$AP:$AP,438)</f>
        <v>B2B</v>
      </c>
      <c r="G31" s="949">
        <f>INDEX('REVIEW - Complete Role Mapping'!$AA:$AA,438)</f>
        <v>202853.25</v>
      </c>
      <c r="H31" s="949">
        <f>$G31*IFERROR(INDEX(Lists!$AD:$AD,MATCH($E31,Lists!$AC:$AC,0)),1)</f>
        <v>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Mapping'!$B:$B,352)</f>
        <v>Caitlin Naylor</v>
      </c>
      <c r="C32" s="634" t="str">
        <f>INDEX('REVIEW - Complete Role Mapping'!$C:$C,352)</f>
        <v>Associate Engineer- Software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Mapping'!$AP:$AP,352)</f>
        <v>Energy</v>
      </c>
      <c r="G32" s="949">
        <f>INDEX('REVIEW - Complete Role Mapping'!$AA:$AA,352)</f>
        <v>87434.816</v>
      </c>
      <c r="H32" s="949">
        <f>$G32*IFERROR(INDEX(Lists!$AD:$AD,MATCH($E32,Lists!$AC:$AC,0)),1)</f>
        <v>87434.816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Mapping'!$B:$B,360)</f>
        <v>Elma Kurian</v>
      </c>
      <c r="C33" s="634" t="str">
        <f>INDEX('REVIEW - Complete Role Mapping'!$C:$C,360)</f>
        <v>System Specialist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Mapping'!$AP:$AP,360)</f>
        <v>Energy</v>
      </c>
      <c r="G33" s="949">
        <f>INDEX('REVIEW - Complete Role Mapping'!$AA:$AA,360)</f>
        <v>203253.75</v>
      </c>
      <c r="H33" s="949">
        <f>$G33*IFERROR(INDEX(Lists!$AD:$AD,MATCH($E33,Lists!$AC:$AC,0)),1)</f>
        <v>203253.75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Mapping'!$B:$B,367)</f>
        <v>Gunjan Vasudeva</v>
      </c>
      <c r="C34" s="646" t="str">
        <f>INDEX('REVIEW - Complete Role Mapping'!$C:$C,367)</f>
        <v>Lead Quality Assurance</v>
      </c>
      <c r="D34" s="646" t="str">
        <f>IF(ISNUMBER(SEARCH("vacant",$B34)),"Vacant","Filled")</f>
        <v>Filled</v>
      </c>
      <c r="E34" s="646" t="inlineStr">
        <is>
          <t>Filled</t>
        </is>
      </c>
      <c r="F34" s="646" t="str">
        <f>INDEX('REVIEW - Complete Role Mapping'!$AP:$AP,367)</f>
        <v>Energy</v>
      </c>
      <c r="G34" s="949">
        <f>INDEX('REVIEW - Complete Role Mapping'!$AA:$AA,367)</f>
        <v>208473.6</v>
      </c>
      <c r="H34" s="949">
        <f>$G34*IFERROR(INDEX(Lists!$AD:$AD,MATCH($E34,Lists!$AC:$AC,0)),1)</f>
        <v>208473.6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Mapping'!$B:$B,371)</f>
        <v>James Hung</v>
      </c>
      <c r="C35" s="634" t="str">
        <f>INDEX('REVIEW - Complete Role Mapping'!$C:$C,371)</f>
        <v>System Specialist</v>
      </c>
      <c r="D35" s="612" t="str">
        <f>IF(ISNUMBER(SEARCH("vacant",$B35)),"Vacant","Filled")</f>
        <v>Filled</v>
      </c>
      <c r="E35" s="876" t="inlineStr">
        <is>
          <t>Filled</t>
        </is>
      </c>
      <c r="F35" s="634" t="str">
        <f>INDEX('REVIEW - Complete Role Mapping'!$AP:$AP,371)</f>
        <v>Energy</v>
      </c>
      <c r="G35" s="949">
        <f>INDEX('REVIEW - Complete Role Mapping'!$AA:$AA,371)</f>
        <v>213533.25</v>
      </c>
      <c r="H35" s="949">
        <f>$G35*IFERROR(INDEX(Lists!$AD:$AD,MATCH($E35,Lists!$AC:$AC,0)),1)</f>
        <v>213533.25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Mapping'!$B:$B,388)</f>
        <v>Marcela Gonzalez</v>
      </c>
      <c r="C36" s="634" t="str">
        <f>INDEX('REVIEW - Complete Role Mapping'!$C:$C,388)</f>
        <v>Energy Platforms Lead</v>
      </c>
      <c r="D36" s="612" t="str">
        <f>IF(ISNUMBER(SEARCH("vacant",$B36)),"Vacant","Filled")</f>
        <v>Filled</v>
      </c>
      <c r="E36" s="876" t="inlineStr">
        <is>
          <t>Filled</t>
        </is>
      </c>
      <c r="F36" s="634" t="str">
        <f>INDEX('REVIEW - Complete Role Mapping'!$AP:$AP,388)</f>
        <v>Energy</v>
      </c>
      <c r="G36" s="949">
        <f>INDEX('REVIEW - Complete Role Mapping'!$AA:$AA,388)</f>
        <v>250619.55</v>
      </c>
      <c r="H36" s="949">
        <f>$G36*IFERROR(INDEX(Lists!$AD:$AD,MATCH($E36,Lists!$AC:$AC,0)),1)</f>
        <v>250619.55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Mapping'!$B:$B,416)</f>
        <v>Vacant</v>
      </c>
      <c r="C37" s="634" t="str">
        <f>INDEX('REVIEW - Complete Role Mapping'!$C:$C,416)</f>
        <v>Engineer Automation - Testing</v>
      </c>
      <c r="D37" s="612" t="str">
        <f>IF(ISNUMBER(SEARCH("vacant",$B37)),"Vacant","Filled")</f>
        <v>Vacant</v>
      </c>
      <c r="E37" s="876" t="inlineStr">
        <is>
          <t>Hold</t>
        </is>
      </c>
      <c r="F37" s="634" t="str">
        <f>INDEX('REVIEW - Complete Role Mapping'!$AP:$AP,416)</f>
        <v>Energy</v>
      </c>
      <c r="G37" s="949">
        <f>INDEX('REVIEW - Complete Role Mapping'!$AA:$AA,416)</f>
        <v>202853.25</v>
      </c>
      <c r="H37" s="949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Mapping'!$B:$B,417)</f>
        <v>Vacant</v>
      </c>
      <c r="C38" s="634" t="str">
        <f>INDEX('REVIEW - Complete Role Mapping'!$C:$C,417)</f>
        <v>Snr Engineer Software</v>
      </c>
      <c r="D38" s="612" t="str">
        <f>IF(ISNUMBER(SEARCH("vacant",$B38)),"Vacant","Filled")</f>
        <v>Vacant</v>
      </c>
      <c r="E38" s="876" t="inlineStr">
        <is>
          <t>Hold</t>
        </is>
      </c>
      <c r="F38" s="634" t="str">
        <f>INDEX('REVIEW - Complete Role Mapping'!$AP:$AP,417)</f>
        <v>Energy</v>
      </c>
      <c r="G38" s="949">
        <f>INDEX('REVIEW - Complete Role Mapping'!$AA:$AA,417)</f>
        <v>202853.25</v>
      </c>
      <c r="H38" s="949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Mapping'!$B:$B,418)</f>
        <v>Vacant</v>
      </c>
      <c r="C39" s="634" t="str">
        <f>INDEX('REVIEW - Complete Role Mapping'!$C:$C,418)</f>
        <v>Solution Architect</v>
      </c>
      <c r="D39" s="612" t="str">
        <f>IF(ISNUMBER(SEARCH("vacant",$B39)),"Vacant","Filled")</f>
        <v>Vacant</v>
      </c>
      <c r="E39" s="876" t="inlineStr">
        <is>
          <t>Hold</t>
        </is>
      </c>
      <c r="F39" s="634" t="str">
        <f>INDEX('REVIEW - Complete Role Mapping'!$AP:$AP,418)</f>
        <v>Energy</v>
      </c>
      <c r="G39" s="949">
        <f>INDEX('REVIEW - Complete Role Mapping'!$AA:$AA,418)</f>
        <v>231689.25</v>
      </c>
      <c r="H39" s="949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Mapping'!$B:$B,439)</f>
        <v>Vacant</v>
      </c>
      <c r="C40" s="634" t="str">
        <f>INDEX('REVIEW - Complete Role Mapping'!$C:$C,439)</f>
        <v>Business Analyst</v>
      </c>
      <c r="D40" s="612" t="str">
        <f>IF(ISNUMBER(SEARCH("vacant",$B40)),"Vacant","Filled")</f>
        <v>Vacant</v>
      </c>
      <c r="E40" s="876" t="inlineStr">
        <is>
          <t>Hold</t>
        </is>
      </c>
      <c r="F40" s="634" t="str">
        <f>INDEX('REVIEW - Complete Role Mapping'!$AP:$AP,439)</f>
        <v>Energy</v>
      </c>
      <c r="G40" s="949">
        <f>INDEX('REVIEW - Complete Role Mapping'!$AA:$AA,439)</f>
        <v>202853.25</v>
      </c>
      <c r="H40" s="949">
        <f>$G40*IFERROR(INDEX(Lists!$AD:$AD,MATCH($E40,Lists!$AC:$AC,0)),1)</f>
        <v>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Mapping'!$B:$B,340)</f>
        <v>Angela Ross</v>
      </c>
      <c r="C41" s="646" t="str">
        <f>INDEX('REVIEW - Complete Role Mapping'!$C:$C,340)</f>
        <v>Delivery Lead</v>
      </c>
      <c r="D41" s="646" t="str">
        <f>IF(ISNUMBER(SEARCH("vacant",$B41)),"Vacant","Filled")</f>
        <v>Filled</v>
      </c>
      <c r="E41" s="646" t="inlineStr">
        <is>
          <t>Filled</t>
        </is>
      </c>
      <c r="F41" s="646" t="str">
        <f>INDEX('REVIEW - Complete Role Mapping'!$AP:$AP,340)</f>
        <v>EVCI</v>
      </c>
      <c r="G41" s="949">
        <f>INDEX('REVIEW - Complete Role Mapping'!$AA:$AA,340)</f>
        <v>188300.028</v>
      </c>
      <c r="H41" s="949">
        <f>$G41*IFERROR(INDEX(Lists!$AD:$AD,MATCH($E41,Lists!$AC:$AC,0)),1)</f>
        <v>188300.028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Mapping'!$B:$B,342)</f>
        <v>Anie Camerino</v>
      </c>
      <c r="C42" s="634" t="str">
        <f>INDEX('REVIEW - Complete Role Mapping'!$C:$C,342)</f>
        <v>Snr Quality Assurance</v>
      </c>
      <c r="D42" s="612" t="str">
        <f>IF(ISNUMBER(SEARCH("vacant",$B42)),"Vacant","Filled")</f>
        <v>Filled</v>
      </c>
      <c r="E42" s="876" t="inlineStr">
        <is>
          <t>Filled</t>
        </is>
      </c>
      <c r="F42" s="634" t="str">
        <f>INDEX('REVIEW - Complete Role Mapping'!$AP:$AP,342)</f>
        <v>EVCI</v>
      </c>
      <c r="G42" s="949">
        <f>INDEX('REVIEW - Complete Role Mapping'!$AA:$AA,342)</f>
        <v>153503.328</v>
      </c>
      <c r="H42" s="949">
        <f>$G42*IFERROR(INDEX(Lists!$AD:$AD,MATCH($E42,Lists!$AC:$AC,0)),1)</f>
        <v>153503.328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Mapping'!$B:$B,351)</f>
        <v>Caitlin Dyas</v>
      </c>
      <c r="C43" s="634" t="str">
        <f>INDEX('REVIEW - Complete Role Mapping'!$C:$C,351)</f>
        <v>Snr Engineer Software</v>
      </c>
      <c r="D43" s="612" t="str">
        <f>IF(ISNUMBER(SEARCH("vacant",$B43)),"Vacant","Filled")</f>
        <v>Filled</v>
      </c>
      <c r="E43" s="876" t="inlineStr">
        <is>
          <t>Filled</t>
        </is>
      </c>
      <c r="F43" s="634" t="str">
        <f>INDEX('REVIEW - Complete Role Mapping'!$AP:$AP,351)</f>
        <v>EVCI</v>
      </c>
      <c r="G43" s="949">
        <f>INDEX('REVIEW - Complete Role Mapping'!$AA:$AA,351)</f>
        <v>144360</v>
      </c>
      <c r="H43" s="949">
        <f>$G43*IFERROR(INDEX(Lists!$AD:$AD,MATCH($E43,Lists!$AC:$AC,0)),1)</f>
        <v>144360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Mapping'!$B:$B,366)</f>
        <v>Gokila Mylsamy</v>
      </c>
      <c r="C44" s="634" t="str">
        <f>INDEX('REVIEW - Complete Role Mapping'!$C:$C,366)</f>
        <v>Lead Engineer Software</v>
      </c>
      <c r="D44" s="612" t="str">
        <f>IF(ISNUMBER(SEARCH("vacant",$B44)),"Vacant","Filled")</f>
        <v>Filled</v>
      </c>
      <c r="E44" s="876" t="inlineStr">
        <is>
          <t>Filled</t>
        </is>
      </c>
      <c r="F44" s="634" t="str">
        <f>INDEX('REVIEW - Complete Role Mapping'!$AP:$AP,366)</f>
        <v>EVCI</v>
      </c>
      <c r="G44" s="949">
        <f>INDEX('REVIEW - Complete Role Mapping'!$AA:$AA,366)</f>
        <v>184214.952</v>
      </c>
      <c r="H44" s="949">
        <f>$G44*IFERROR(INDEX(Lists!$AD:$AD,MATCH($E44,Lists!$AC:$AC,0)),1)</f>
        <v>184214.952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Mapping'!$B:$B,377)</f>
        <v>Josh Campbell</v>
      </c>
      <c r="C45" s="634" t="str">
        <f>INDEX('REVIEW - Complete Role Mapping'!$C:$C,377)</f>
        <v>Engineer Software</v>
      </c>
      <c r="D45" s="612" t="str">
        <f>IF(ISNUMBER(SEARCH("vacant",$B45)),"Vacant","Filled")</f>
        <v>Filled</v>
      </c>
      <c r="E45" s="876" t="inlineStr">
        <is>
          <t>Filled</t>
        </is>
      </c>
      <c r="F45" s="634" t="str">
        <f>INDEX('REVIEW - Complete Role Mapping'!$AP:$AP,377)</f>
        <v>EVCI</v>
      </c>
      <c r="G45" s="949">
        <f>INDEX('REVIEW - Complete Role Mapping'!$AA:$AA,377)</f>
        <v>101667.032</v>
      </c>
      <c r="H45" s="949">
        <f>$G45*IFERROR(INDEX(Lists!$AD:$AD,MATCH($E45,Lists!$AC:$AC,0)),1)</f>
        <v>101667.032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Mapping'!$B:$B,382)</f>
        <v>Lana Wagner</v>
      </c>
      <c r="C46" s="634" t="str">
        <f>INDEX('REVIEW - Complete Role Mapping'!$C:$C,382)</f>
        <v>Senior Business Analyst</v>
      </c>
      <c r="D46" s="612" t="str">
        <f>IF(ISNUMBER(SEARCH("vacant",$B46)),"Vacant","Filled")</f>
        <v>Filled</v>
      </c>
      <c r="E46" s="647" t="inlineStr">
        <is>
          <t>Filled</t>
        </is>
      </c>
      <c r="F46" s="648" t="str">
        <f>INDEX('REVIEW - Complete Role Mapping'!$AP:$AP,382)</f>
        <v>EVCI</v>
      </c>
      <c r="G46" s="949">
        <f>INDEX('REVIEW - Complete Role Mapping'!$AA:$AA,382)</f>
        <v>158753.952</v>
      </c>
      <c r="H46" s="949">
        <f>$G46*IFERROR(INDEX(Lists!$AD:$AD,MATCH($E46,Lists!$AC:$AC,0)),1)</f>
        <v>158753.952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Mapping'!$B:$B,359)</f>
        <v>Elle Spencer</v>
      </c>
      <c r="C47" s="634" t="str">
        <f>INDEX('REVIEW - Complete Role Mapping'!$C:$C,359)</f>
        <v>Technology Manager - B2B</v>
      </c>
      <c r="D47" s="612" t="str">
        <f>IF(ISNUMBER(SEARCH("vacant",$B47)),"Vacant","Filled")</f>
        <v>Filled</v>
      </c>
      <c r="E47" s="647" t="inlineStr">
        <is>
          <t>Filled</t>
        </is>
      </c>
      <c r="F47" s="648" t="str">
        <f>INDEX('REVIEW - Complete Role Mapping'!$AP:$AP,359)</f>
        <v>Leadership</v>
      </c>
      <c r="G47" s="949">
        <f>INDEX('REVIEW - Complete Role Mapping'!$AA:$AA,359)</f>
        <v>294563.45</v>
      </c>
      <c r="H47" s="949">
        <f>$G47*IFERROR(INDEX(Lists!$AD:$AD,MATCH($E47,Lists!$AC:$AC,0)),1)</f>
        <v>294563.45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Mapping'!$B:$B,385)</f>
        <v>Liesl Tye</v>
      </c>
      <c r="C48" s="634" t="str">
        <f>INDEX('REVIEW - Complete Role Mapping'!$C:$C,385)</f>
        <v>Head of Technology, B2B &amp; Energy Solutions</v>
      </c>
      <c r="D48" s="612" t="str">
        <f>IF(ISNUMBER(SEARCH("vacant",$B48)),"Vacant","Filled")</f>
        <v>Filled</v>
      </c>
      <c r="E48" s="647" t="inlineStr">
        <is>
          <t>Filled</t>
        </is>
      </c>
      <c r="F48" s="648" t="str">
        <f>INDEX('REVIEW - Complete Role Mapping'!$AP:$AP,385)</f>
        <v>Leadership</v>
      </c>
      <c r="G48" s="949">
        <f>INDEX('REVIEW - Complete Role Mapping'!$AA:$AA,385)</f>
        <v>273758</v>
      </c>
      <c r="H48" s="949">
        <f>$G48*IFERROR(INDEX(Lists!$AD:$AD,MATCH($E48,Lists!$AC:$AC,0)),1)</f>
        <v>273758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Mapping'!$B:$B,414)</f>
        <v>Vacant</v>
      </c>
      <c r="C49" s="634" t="str">
        <f>INDEX('REVIEW - Complete Role Mapping'!$C:$C,414)</f>
        <v>Delivery manager</v>
      </c>
      <c r="D49" s="612" t="str">
        <f>IF(ISNUMBER(SEARCH("vacant",$B49)),"Vacant","Filled")</f>
        <v>Vacant</v>
      </c>
      <c r="E49" s="647" t="inlineStr">
        <is>
          <t>Hold</t>
        </is>
      </c>
      <c r="F49" s="648" t="str">
        <f>INDEX('REVIEW - Complete Role Mapping'!$AP:$AP,414)</f>
        <v>Leadership</v>
      </c>
      <c r="G49" s="949">
        <f>INDEX('REVIEW - Complete Role Mapping'!$AA:$AA,414)</f>
        <v>275810.25</v>
      </c>
      <c r="H49" s="949">
        <f>$G49*IFERROR(INDEX(Lists!$AD:$AD,MATCH($E49,Lists!$AC:$AC,0)),1)</f>
        <v>0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Mapping'!$B:$B,415)</f>
        <v>Vacant</v>
      </c>
      <c r="C50" s="646" t="str">
        <f>INDEX('REVIEW - Complete Role Mapping'!$C:$C,415)</f>
        <v>Technology Manager, Energy Solutions</v>
      </c>
      <c r="D50" s="646" t="str">
        <f>IF(ISNUMBER(SEARCH("vacant",$B50)),"Vacant","Filled")</f>
        <v>Vacant</v>
      </c>
      <c r="E50" s="646" t="inlineStr">
        <is>
          <t>Hold</t>
        </is>
      </c>
      <c r="F50" s="646" t="str">
        <f>INDEX('REVIEW - Complete Role Mapping'!$AP:$AP,415)</f>
        <v>Leadership</v>
      </c>
      <c r="G50" s="949">
        <f>INDEX('REVIEW - Complete Role Mapping'!$AA:$AA,415)</f>
        <v>275810.25</v>
      </c>
      <c r="H50" s="949">
        <f>$G50*IFERROR(INDEX(Lists!$AD:$AD,MATCH($E50,Lists!$AC:$AC,0)),1)</f>
        <v>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n"/>
      <c r="C51" s="634" t="n"/>
      <c r="D51" s="612" t="n"/>
      <c r="E51" s="876" t="n"/>
      <c r="F51" s="634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n"/>
      <c r="C52" s="646" t="n"/>
      <c r="D52" s="646" t="n"/>
      <c r="E52" s="877" t="n"/>
      <c r="F52" s="646" t="n"/>
      <c r="G52" s="442" t="n"/>
      <c r="H52" s="442" t="n"/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n"/>
      <c r="C53" s="634" t="n"/>
      <c r="D53" s="612" t="n"/>
      <c r="E53" s="876" t="n"/>
      <c r="F53" s="634" t="n"/>
      <c r="G53" s="442" t="n"/>
      <c r="H53" s="442" t="n"/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n"/>
      <c r="C54" s="634" t="n"/>
      <c r="D54" s="612" t="n"/>
      <c r="E54" s="876" t="n"/>
      <c r="F54" s="634" t="n"/>
      <c r="G54" s="442" t="n"/>
      <c r="H54" s="442" t="n"/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n"/>
      <c r="C55" s="634" t="n"/>
      <c r="D55" s="612" t="n"/>
      <c r="E55" s="876" t="n"/>
      <c r="F55" s="634" t="n"/>
      <c r="G55" s="442" t="n"/>
      <c r="H55" s="442" t="n"/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7:D52">
    <cfRule type="cellIs" priority="1" operator="equal" dxfId="1">
      <formula>"Vacant"</formula>
    </cfRule>
  </conditionalFormatting>
  <conditionalFormatting sqref="I6:I9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8:E50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CTRM</t>
        </is>
      </c>
      <c r="C6" s="635" t="str">
        <f>IFERROR(INDEX('1.9 Commercial Fuels'!$C:$C,MATCH($S6,'1.9 Commercial Fuels'!$B:$B,0)),"Outside archetype model")</f>
        <v>Strategic Programs</v>
      </c>
      <c r="D6" s="1150" t="str">
        <f>IFERROR(INDEX('0.3 Squad Archetypes'!$F$5:$F$23,MATCH($C6&amp;"|"&amp;$R6,'0.3 Squad Archetypes'!$A$5:$A$23,0)),"-")</f>
        <v>-</v>
      </c>
      <c r="E6" s="1151">
        <f>COUNTIFS($F$19:$F$60,$B6)</f>
        <v>14</v>
      </c>
      <c r="F6" s="1151" t="str">
        <f>IFERROR($E6-$D6,"-")</f>
        <v>-</v>
      </c>
      <c r="G6" s="1151">
        <f>COUNTIFS($F$19:$F$60,$B6,$D$19:$D$60,"Vacant")</f>
        <v>0</v>
      </c>
      <c r="H6" s="1151">
        <f>COUNTIFS($F$19:$F$60,$B6,$D$19:$D$60,"Vacant",$E$19:$E$60,"Hire")+COUNTIFS($F$19:$F$60,$B6,$D$19:$D$60,"Vacant",$E$19:$E$60,"Offshore")</f>
        <v>0</v>
      </c>
      <c r="I6" s="1151">
        <f>$G6-$H6</f>
        <v>0</v>
      </c>
      <c r="J6" s="634">
        <f>$E6-COUNTIFS($F$19:$F$60,$B6,$E$19:$E$60,"Hold")</f>
        <v>14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153" t="str">
        <f>IFERROR(INDEX('0.3 Squad Archetypes'!$G$5:$G$23,MATCH($C6&amp;"|"&amp;$R6,'0.3 Squad Archetypes'!$A$5:$A$23,0)),"-")</f>
        <v>-</v>
      </c>
      <c r="M6" s="1153">
        <f>SUMIFS($G$19:$G$60,$F$19:$F$60,$B6)/1000000</f>
        <v>3.221759232</v>
      </c>
      <c r="N6" s="1153" t="str">
        <f>IFERROR($M6-$L6,"-")</f>
        <v>-</v>
      </c>
      <c r="O6" s="635">
        <f>SUMIFS($H$19:$H$60,$F$19:$F$60,$B6)/1000000</f>
        <v>3.221759232</v>
      </c>
      <c r="P6">
        <f>$O6+(Lists!$AG$4+Lists!$AG$5)*$E6/$E$11</f>
        <v>3.341759232</v>
      </c>
      <c r="Q6" t="str">
        <f>IFERROR($P6-$L6,"-")</f>
        <v>-</v>
      </c>
      <c r="R6" t="str">
        <f>IFERROR(IF(INDEX('1.9 Commercial Fuels'!$D:$D,MATCH($S6,'1.9 Commercial Fuels'!$B:$B,0))="","-",INDEX('1.9 Commercial Fuels'!$D:$D,MATCH($S6,'1.9 Commercial Fuels'!$B:$B,0))),"-")</f>
        <v>-</v>
      </c>
      <c r="S6" t="str">
        <f>IFERROR(INDEX(Lists!$AA:$AA,MATCH($B6,Lists!$Z:$Z,0)),$B6)</f>
        <v>CTRM</v>
      </c>
      <c r="T6" t="str">
        <f>IF($B6="Leadership","Shared role - compared to the allowance",IF($C6="Strategic Programs","Strategic Programs - no rate in 0.3 (TBC)",IF(NOT(ISNUMBER($D6)),"No archetype for this squad","Archetype applies")))</f>
        <v>Strategic Programs - no rate in 0.3 (TBC)</v>
      </c>
    </row>
    <row r="7">
      <c r="A7" s="949" t="n"/>
      <c r="B7" s="640" t="inlineStr">
        <is>
          <t>Trading &amp; Shipping</t>
        </is>
      </c>
      <c r="C7" s="635" t="str">
        <f>IFERROR(INDEX('1.9 Commercial Fuels'!$C:$C,MATCH($S7,'1.9 Commercial Fuels'!$B:$B,0)),"Outside archetype model")</f>
        <v>Configuration / Integration</v>
      </c>
      <c r="D7" s="1150">
        <f>IFERROR(INDEX('0.3 Squad Archetypes'!$F$5:$F$23,MATCH($C7&amp;"|"&amp;$R7,'0.3 Squad Archetypes'!$A$5:$A$23,0)),"-")</f>
        <v>9</v>
      </c>
      <c r="E7" s="1151">
        <f>COUNTIFS($F$19:$F$60,$B7)</f>
        <v>12</v>
      </c>
      <c r="F7" s="1151">
        <f>IFERROR($E7-$D7,"-")</f>
        <v>3</v>
      </c>
      <c r="G7" s="1151">
        <f>COUNTIFS($F$19:$F$60,$B7,$D$19:$D$60,"Vacant")</f>
        <v>3</v>
      </c>
      <c r="H7" s="1151">
        <f>COUNTIFS($F$19:$F$60,$B7,$D$19:$D$60,"Vacant",$E$19:$E$60,"Hire")+COUNTIFS($F$19:$F$60,$B7,$D$19:$D$60,"Vacant",$E$19:$E$60,"Offshore")</f>
        <v>0</v>
      </c>
      <c r="I7" s="1151">
        <f>$G7-$H7</f>
        <v>3</v>
      </c>
      <c r="J7" s="634">
        <f>$E7-COUNTIFS($F$19:$F$60,$B7,$E$19:$E$60,"Hold")</f>
        <v>9</v>
      </c>
      <c r="K7" s="1152" t="str">
        <f>IF(NOT(ISNUMBER($D7)),"Outside the archetype model",IF($J7&gt;$D7,"Over archetype after decisions",IF($J7&lt;$D7,"Under archetype","On archetype")))</f>
        <v>On archetype</v>
      </c>
      <c r="L7" s="1153">
        <f>IFERROR(INDEX('0.3 Squad Archetypes'!$G$5:$G$23,MATCH($C7&amp;"|"&amp;$R7,'0.3 Squad Archetypes'!$A$5:$A$23,0)),"-")</f>
        <v>2.1</v>
      </c>
      <c r="M7" s="1153">
        <f>SUMIFS($G$19:$G$60,$F$19:$F$60,$B7)/1000000</f>
        <v>2.6791435617</v>
      </c>
      <c r="N7" s="1153">
        <f>IFERROR($M7-$L7,"-")</f>
        <v>0.5791435617</v>
      </c>
      <c r="O7" s="635">
        <f>SUMIFS($H$19:$H$60,$F$19:$F$60,$B7)/1000000</f>
        <v>2.1543928117</v>
      </c>
      <c r="P7">
        <f>$O7+(Lists!$AG$4+Lists!$AG$5)*$E7/$E$11</f>
        <v>2.25724995455714</v>
      </c>
      <c r="Q7">
        <f>IFERROR($P7-$L7,"-")</f>
        <v>0.157249954557142</v>
      </c>
      <c r="R7" t="str">
        <f>IFERROR(IF(INDEX('1.9 Commercial Fuels'!$D:$D,MATCH($S7,'1.9 Commercial Fuels'!$B:$B,0))="","-",INDEX('1.9 Commercial Fuels'!$D:$D,MATCH($S7,'1.9 Commercial Fuels'!$B:$B,0))),"-")</f>
        <v>M</v>
      </c>
      <c r="S7" t="str">
        <f>IFERROR(INDEX(Lists!$AA:$AA,MATCH($B7,Lists!$Z:$Z,0)),$B7)</f>
        <v>Trading &amp; Shipping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Fuels'!$C:$C,MATCH($S8,'1.9 Commercial Fuels'!$B:$B,0)),"Outside archetype model")</f>
        <v>Enterprise Data and Insights</v>
      </c>
      <c r="D8" s="1150">
        <f>IFERROR(INDEX('0.3 Squad Archetypes'!$F$5:$F$23,MATCH($C8&amp;"|"&amp;$R8,'0.3 Squad Archetypes'!$A$5:$A$23,0)),"-")</f>
        <v>7.5</v>
      </c>
      <c r="E8" s="1151">
        <f>COUNTIFS($F$19:$F$60,$B8)</f>
        <v>7</v>
      </c>
      <c r="F8" s="1151">
        <f>IFERROR($E8-$D8,"-")</f>
        <v>-0.5</v>
      </c>
      <c r="G8" s="1151">
        <f>COUNTIFS($F$19:$F$60,$B8,$D$19:$D$60,"Vacant")</f>
        <v>0</v>
      </c>
      <c r="H8" s="1151">
        <f>COUNTIFS($F$19:$F$60,$B8,$D$19:$D$60,"Vacant",$E$19:$E$60,"Hire")+COUNTIFS($F$19:$F$60,$B8,$D$19:$D$60,"Vacant",$E$19:$E$60,"Offshore")</f>
        <v>0</v>
      </c>
      <c r="I8" s="1151">
        <f>$G8-$H8</f>
        <v>0</v>
      </c>
      <c r="J8" s="634">
        <f>$E8-COUNTIFS($F$19:$F$60,$B8,$E$19:$E$60,"Hold")</f>
        <v>7</v>
      </c>
      <c r="K8" s="1152" t="str">
        <f>IF(NOT(ISNUMBER($D8)),"Outside the archetype model",IF($J8&gt;$D8,"Over archetype after decisions",IF($J8&lt;$D8,"Under archetype","On archetype")))</f>
        <v>Under archetype</v>
      </c>
      <c r="L8" s="1153">
        <f>IFERROR(INDEX('0.3 Squad Archetypes'!$G$5:$G$23,MATCH($C8&amp;"|"&amp;$R8,'0.3 Squad Archetypes'!$A$5:$A$23,0)),"-")</f>
        <v>1.7</v>
      </c>
      <c r="M8" s="1153">
        <f>SUMIFS($G$19:$G$60,$F$19:$F$60,$B8)/1000000</f>
        <v>2.106168849</v>
      </c>
      <c r="N8" s="1153">
        <f>IFERROR($M8-$L8,"-")</f>
        <v>0.406168849</v>
      </c>
      <c r="O8" s="635">
        <f>SUMIFS($H$19:$H$60,$F$19:$F$60,$B8)/1000000</f>
        <v>2.106168849</v>
      </c>
      <c r="P8">
        <f>$O8+(Lists!$AG$4+Lists!$AG$5)*$E8/$E$11</f>
        <v>2.166168849</v>
      </c>
      <c r="Q8">
        <f>IFERROR($P8-$L8,"-")</f>
        <v>0.466168849</v>
      </c>
      <c r="R8" t="str">
        <f>IFERROR(IF(INDEX('1.9 Commercial Fuels'!$D:$D,MATCH($S8,'1.9 Commercial Fuels'!$B:$B,0))="","-",INDEX('1.9 Commercial Fuels'!$D:$D,MATCH($S8,'1.9 Commercial Fuels'!$B:$B,0))),"-")</f>
        <v>M</v>
      </c>
      <c r="S8" t="str">
        <f>IFERROR(INDEX(Lists!$AA:$AA,MATCH($B8,Lists!$Z:$Z,0)),$B8)</f>
        <v>Trading &amp; Shipping Data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Supply</t>
        </is>
      </c>
      <c r="C9" s="635" t="str">
        <f>IFERROR(INDEX('1.9 Commercial Fuels'!$C:$C,MATCH($S9,'1.9 Commercial Fuels'!$B:$B,0)),"Outside archetype model")</f>
        <v>Configuration / Integration</v>
      </c>
      <c r="D9" s="1150">
        <f>IFERROR(INDEX('0.3 Squad Archetypes'!$F$5:$F$23,MATCH($C9&amp;"|"&amp;$R9,'0.3 Squad Archetypes'!$A$5:$A$23,0)),"-")</f>
        <v>9</v>
      </c>
      <c r="E9" s="1151">
        <f>COUNTIFS($F$19:$F$60,$B9)</f>
        <v>5</v>
      </c>
      <c r="F9" s="1151">
        <f>IFERROR($E9-$D9,"-")</f>
        <v>-4</v>
      </c>
      <c r="G9" s="1151">
        <f>COUNTIFS($F$19:$F$60,$B9,$D$19:$D$60,"Vacant")</f>
        <v>4</v>
      </c>
      <c r="H9" s="1151">
        <f>COUNTIFS($F$19:$F$60,$B9,$D$19:$D$60,"Vacant",$E$19:$E$60,"Hire")+COUNTIFS($F$19:$F$60,$B9,$D$19:$D$60,"Vacant",$E$19:$E$60,"Offshore")</f>
        <v>0</v>
      </c>
      <c r="I9" s="1151">
        <f>$G9-$H9</f>
        <v>4</v>
      </c>
      <c r="J9" s="634">
        <f>$E9-COUNTIFS($F$19:$F$60,$B9,$E$19:$E$60,"Hold")</f>
        <v>1</v>
      </c>
      <c r="K9" s="1152" t="str">
        <f>IF(NOT(ISNUMBER($D9)),"Outside the archetype model",IF($J9&gt;$D9,"Over archetype after decisions",IF($J9&lt;$D9,"Under archetype","On archetype")))</f>
        <v>Under archetype</v>
      </c>
      <c r="L9" s="1153">
        <f>IFERROR(INDEX('0.3 Squad Archetypes'!$G$5:$G$23,MATCH($C9&amp;"|"&amp;$R9,'0.3 Squad Archetypes'!$A$5:$A$23,0)),"-")</f>
        <v>2.1</v>
      </c>
      <c r="M9" s="1153">
        <f>SUMIFS($G$19:$G$60,$F$19:$F$60,$B9)/1000000</f>
        <v>1.05925575</v>
      </c>
      <c r="N9" s="1153">
        <f>IFERROR($M9-$L9,"-")</f>
        <v>-1.04074425</v>
      </c>
      <c r="O9" s="635">
        <f>SUMIFS($H$19:$H$60,$F$19:$F$60,$B9)/1000000</f>
        <v>0.21900675</v>
      </c>
      <c r="P9">
        <f>$O9+(Lists!$AG$4+Lists!$AG$5)*$E9/$E$11</f>
        <v>0.261863892857143</v>
      </c>
      <c r="Q9">
        <f>IFERROR($P9-$L9,"-")</f>
        <v>-1.83813610714286</v>
      </c>
      <c r="R9" t="str">
        <f>IFERROR(IF(INDEX('1.9 Commercial Fuels'!$D:$D,MATCH($S9,'1.9 Commercial Fuels'!$B:$B,0))="","-",INDEX('1.9 Commercial Fuels'!$D:$D,MATCH($S9,'1.9 Commercial Fuels'!$B:$B,0))),"-")</f>
        <v>M</v>
      </c>
      <c r="S9" t="str">
        <f>IFERROR(INDEX(Lists!$AA:$AA,MATCH($B9,Lists!$Z:$Z,0)),$B9)</f>
        <v>Supply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41" t="inlineStr">
        <is>
          <t>Leadership</t>
        </is>
      </c>
      <c r="C10" s="641" t="str">
        <f>IFERROR(INDEX('1.9 Commercial Fuels'!$C:$C,MATCH($S10,'1.9 Commercial Fuels'!$B:$B,0)),"Outside archetype model")</f>
        <v>Outside archetype model</v>
      </c>
      <c r="D10" s="1154" t="str">
        <f>IFERROR(INDEX('0.3 Squad Archetypes'!$F$5:$F$23,MATCH($C10&amp;"|"&amp;$R10,'0.3 Squad Archetypes'!$A$5:$A$23,0)),"-")</f>
        <v>-</v>
      </c>
      <c r="E10" s="1154">
        <f>COUNTIFS($F$19:$F$60,$B10)</f>
        <v>4</v>
      </c>
      <c r="F10" s="1154" t="str">
        <f>IFERROR($E10-$D10,"-")</f>
        <v>-</v>
      </c>
      <c r="G10" s="1154">
        <f>COUNTIFS($F$19:$F$60,$B10,$D$19:$D$60,"Vacant")</f>
        <v>2</v>
      </c>
      <c r="H10" s="1154">
        <f>COUNTIFS($F$19:$F$60,$B10,$D$19:$D$60,"Vacant",$E$19:$E$60,"Hire")+COUNTIFS($F$19:$F$60,$B10,$D$19:$D$60,"Vacant",$E$19:$E$60,"Offshore")</f>
        <v>0</v>
      </c>
      <c r="I10" s="1154">
        <f>$G10-$H10</f>
        <v>2</v>
      </c>
      <c r="J10" s="641">
        <f>$E10-COUNTIFS($F$19:$F$60,$B10,$E$19:$E$60,"Hold")</f>
        <v>2</v>
      </c>
      <c r="K10" s="1155" t="str">
        <f>IF(NOT(ISNUMBER($D10)),"Outside the archetype model",IF($J10&gt;$D10,"Over archetype after decisions",IF($J10&lt;$D10,"Under archetype","On archetype")))</f>
        <v>Outside the archetype model</v>
      </c>
      <c r="L10" s="1155" t="str">
        <f>IFERROR(INDEX('0.3 Squad Archetypes'!$G$5:$G$23,MATCH($C10&amp;"|"&amp;$R10,'0.3 Squad Archetypes'!$A$5:$A$23,0)),"-")</f>
        <v>-</v>
      </c>
      <c r="M10" s="1155">
        <f>SUMIFS($G$19:$G$60,$F$19:$F$60,$B10)/1000000</f>
        <v>1.131342336</v>
      </c>
      <c r="N10" s="1155" t="str">
        <f>IFERROR($M10-$L10,"-")</f>
        <v>-</v>
      </c>
      <c r="O10" s="641">
        <f>SUMIFS($H$19:$H$60,$F$19:$F$60,$B10)/1000000</f>
        <v>0.579721836</v>
      </c>
      <c r="P10">
        <f>$O10+(Lists!$AG$4+Lists!$AG$5)*$E10/$E$11</f>
        <v>0.614007550285714</v>
      </c>
      <c r="Q10" t="str">
        <f>IFERROR($P10-$L10,"-")</f>
        <v>-</v>
      </c>
      <c r="R10" t="str">
        <f>IFERROR(IF(INDEX('1.9 Commercial Fuels'!$D:$D,MATCH($S10,'1.9 Commercial Fuels'!$B:$B,0))="","-",INDEX('1.9 Commercial Fuels'!$D:$D,MATCH($S10,'1.9 Commercial Fuels'!$B:$B,0))),"-")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A11" s="949" t="n"/>
      <c r="B11" s="1226" t="inlineStr">
        <is>
          <t>Total</t>
        </is>
      </c>
      <c r="C11" s="645" t="n"/>
      <c r="D11" s="949">
        <f>SUM(D6:D10)</f>
        <v>25.5</v>
      </c>
      <c r="E11" s="1156">
        <f>COUNTIFS('REVIEW - Complete Role Mapping'!$AJ$2:$AJ$528,"Commercial Fuels")</f>
        <v>42</v>
      </c>
      <c r="F11" s="949">
        <f>SUM(F6:F10)</f>
        <v>-1.5</v>
      </c>
      <c r="G11" s="949">
        <f>SUM(G6:G10)</f>
        <v>9</v>
      </c>
      <c r="H11" s="949">
        <f>SUM(H6:H10)</f>
        <v>0</v>
      </c>
      <c r="I11" s="949">
        <f>SUM(I6:I10)</f>
        <v>9</v>
      </c>
      <c r="J11" s="949">
        <f>SUM(J6:J10)</f>
        <v>33</v>
      </c>
      <c r="K11" s="949" t="n"/>
      <c r="L11" s="949">
        <f>SUM(L6:L10)</f>
        <v>5.9</v>
      </c>
      <c r="M11" s="949">
        <f>SUMIFS('REVIEW - Complete Role Mapping'!$AA$2:$AA$528,'REVIEW - Complete Role Mapping'!$AJ$2:$AJ$528,"Commercial Fuels")/1000000</f>
        <v>10.1976697287</v>
      </c>
      <c r="N11" s="949">
        <f>SUM(N6:N10)</f>
        <v>-0.0554318393000002</v>
      </c>
      <c r="O11" s="949">
        <f>SUM(O6:O10)</f>
        <v>8.2810494787</v>
      </c>
      <c r="P11">
        <f>SUM(P6:P10)</f>
        <v>8.6410494787</v>
      </c>
      <c r="Q11">
        <f>SUM(Q6:Q10)</f>
        <v>-1.21471730358571</v>
      </c>
    </row>
    <row r="12">
      <c r="A12" s="949" t="n"/>
      <c r="B12" s="504" t="n"/>
      <c r="C12" s="645" t="n"/>
      <c r="D12" s="949" t="n"/>
      <c r="E12" s="1156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645" t="n"/>
      <c r="D13" s="442" t="n"/>
      <c r="E13" s="1156">
        <f>SUMIFS($G$19:$G$60,$D$19:$D$60,"Vacant")/1000000</f>
        <v>1.91662025</v>
      </c>
      <c r="F13" s="442" t="n"/>
      <c r="G13" s="442" t="n"/>
      <c r="H13" s="442" t="n"/>
      <c r="I13" s="442" t="n"/>
      <c r="J13" s="442" t="n"/>
      <c r="K13" s="442" t="n"/>
      <c r="L13" s="442" t="n"/>
      <c r="M13" s="442" t="n"/>
      <c r="N13" s="442" t="n"/>
      <c r="O13" s="949" t="n"/>
    </row>
    <row r="14">
      <c r="A14" s="949" t="n"/>
      <c r="B14" s="994" t="inlineStr">
        <is>
          <t>Of which currently marked Hire or Offshore ($m)</t>
        </is>
      </c>
      <c r="C14" s="645" t="n"/>
      <c r="D14" s="442" t="n"/>
      <c r="E14" s="1156">
        <f>(SUMIFS($G$19:$G$60,$D$19:$D$60,"Vacant",$E$19:$E$60,"Hire")+Lists!$AD$5*SUMIFS($G$19:$G$60,$D$19:$D$60,"Vacant",$E$19:$E$60,"Offshore"))/1000000</f>
        <v>0</v>
      </c>
      <c r="F14" s="442" t="n"/>
      <c r="G14" s="442" t="n"/>
      <c r="H14" s="442" t="n"/>
      <c r="I14" s="442" t="n"/>
      <c r="J14" s="442" t="n"/>
      <c r="K14" s="442" t="n"/>
      <c r="L14" s="442" t="n"/>
      <c r="M14" s="442" t="n"/>
      <c r="N14" s="442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949" t="n"/>
      <c r="D15" s="949" t="n"/>
      <c r="E15" s="949">
        <f>SUMIFS('REVIEW - Complete Role Mapping'!$AA$2:$AA$528,'REVIEW - Complete Role Mapping'!$AJ$2:$AJ$528,"Commercial Fuels",'REVIEW - Complete Role Mapping'!$AQ$2:$AQ$528,1)/1000000</f>
        <v>1.131342336</v>
      </c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432" t="n"/>
      <c r="C16" s="432" t="n"/>
      <c r="D16" s="432" t="n"/>
      <c r="E16" s="432" t="n"/>
      <c r="F16" s="432" t="n"/>
      <c r="G16" s="430" t="n"/>
      <c r="H16" s="430" t="n"/>
      <c r="I16" s="430" t="n"/>
      <c r="J16" s="430" t="n"/>
      <c r="K16" s="949" t="n"/>
      <c r="L16" s="949" t="n"/>
      <c r="M16" s="949" t="n"/>
      <c r="N16" s="949" t="n"/>
      <c r="O16" s="949" t="n"/>
    </row>
    <row r="17" ht="15.65" customHeight="1">
      <c r="A17" s="949" t="n"/>
      <c r="B17" s="994" t="inlineStr">
        <is>
          <t>Commercial Fuels roles - one row per named role, from REVIEW</t>
        </is>
      </c>
      <c r="C17" s="430" t="n"/>
      <c r="D17" s="430" t="n"/>
      <c r="E17" s="430" t="n"/>
      <c r="F17" s="430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11" t="inlineStr">
        <is>
          <t>Name</t>
        </is>
      </c>
      <c r="C18" s="1211" t="inlineStr">
        <is>
          <t>Role</t>
        </is>
      </c>
      <c r="D18" s="1211" t="inlineStr">
        <is>
          <t>Status</t>
        </is>
      </c>
      <c r="E18" s="1211" t="inlineStr">
        <is>
          <t>Vacancy lever</t>
        </is>
      </c>
      <c r="F18" s="1211" t="inlineStr">
        <is>
          <t>Squad</t>
        </is>
      </c>
      <c r="G18" s="1029" t="inlineStr">
        <is>
          <t>Cost if hired ($)</t>
        </is>
      </c>
      <c r="H18" s="102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46" t="str">
        <f>INDEX('REVIEW - Complete Role Mapping'!$B:$B,338)</f>
        <v>Amanda Turnbull</v>
      </c>
      <c r="C19" s="646" t="str">
        <f>INDEX('REVIEW - Complete Role Mapping'!$C:$C,338)</f>
        <v>Engineer Software</v>
      </c>
      <c r="D19" s="646" t="str">
        <f>IF(ISNUMBER(SEARCH("vacant",$B19)),"Vacant","Filled")</f>
        <v>Filled</v>
      </c>
      <c r="E19" s="646" t="inlineStr">
        <is>
          <t>Filled</t>
        </is>
      </c>
      <c r="F19" s="646" t="str">
        <f>INDEX('REVIEW - Complete Role Mapping'!$AP:$AP,338)</f>
        <v>CTRM</v>
      </c>
      <c r="G19" s="949">
        <f>INDEX('REVIEW - Complete Role Mapping'!$AA:$AA,338)</f>
        <v>101439.056</v>
      </c>
      <c r="H19" s="949">
        <f>$G19*IFERROR(INDEX(Lists!$AD:$AD,MATCH($E19,Lists!$AC:$AC,0)),1)</f>
        <v>101439.056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Mapping'!$B:$B,350)</f>
        <v>Byron Leung</v>
      </c>
      <c r="C20" s="634" t="str">
        <f>INDEX('REVIEW - Complete Role Mapping'!$C:$C,350)</f>
        <v>Solution Architect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Mapping'!$AP:$AP,350)</f>
        <v>CTRM</v>
      </c>
      <c r="G20" s="949">
        <f>INDEX('REVIEW - Complete Role Mapping'!$AA:$AA,350)</f>
        <v>276972.45</v>
      </c>
      <c r="H20" s="949">
        <f>$G20*IFERROR(INDEX(Lists!$AD:$AD,MATCH($E20,Lists!$AC:$AC,0)),1)</f>
        <v>276972.45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Mapping'!$B:$B,353)</f>
        <v>Carl Russo</v>
      </c>
      <c r="C21" s="634" t="str">
        <f>INDEX('REVIEW - Complete Role Mapping'!$C:$C,353)</f>
        <v>Program Manager - CTRM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Mapping'!$AP:$AP,353)</f>
        <v>CTRM</v>
      </c>
      <c r="G21" s="949">
        <f>INDEX('REVIEW - Complete Role Mapping'!$AA:$AA,353)</f>
        <v>323695.95</v>
      </c>
      <c r="H21" s="949">
        <f>$G21*IFERROR(INDEX(Lists!$AD:$AD,MATCH($E21,Lists!$AC:$AC,0)),1)</f>
        <v>323695.95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Mapping'!$B:$B,354)</f>
        <v>Chantal Lynch</v>
      </c>
      <c r="C22" s="634" t="str">
        <f>INDEX('REVIEW - Complete Role Mapping'!$C:$C,354)</f>
        <v>Lead Quality Assurance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Mapping'!$AP:$AP,354)</f>
        <v>CTRM</v>
      </c>
      <c r="G22" s="949">
        <f>INDEX('REVIEW - Complete Role Mapping'!$AA:$AA,354)</f>
        <v>180639.096</v>
      </c>
      <c r="H22" s="949">
        <f>$G22*IFERROR(INDEX(Lists!$AD:$AD,MATCH($E22,Lists!$AC:$AC,0)),1)</f>
        <v>180639.096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Mapping'!$B:$B,358)</f>
        <v>Deepa Kaur</v>
      </c>
      <c r="C23" s="634" t="str">
        <f>INDEX('REVIEW - Complete Role Mapping'!$C:$C,358)</f>
        <v>Senior Engineer Automation Testing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Mapping'!$AP:$AP,358)</f>
        <v>CTRM</v>
      </c>
      <c r="G23" s="949">
        <f>INDEX('REVIEW - Complete Role Mapping'!$AA:$AA,358)</f>
        <v>194522.85</v>
      </c>
      <c r="H23" s="949">
        <f>$G23*IFERROR(INDEX(Lists!$AD:$AD,MATCH($E23,Lists!$AC:$AC,0)),1)</f>
        <v>194522.85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Mapping'!$B:$B,363)</f>
        <v>Fransiscus Setiawan</v>
      </c>
      <c r="C24" s="634" t="str">
        <f>INDEX('REVIEW - Complete Role Mapping'!$C:$C,363)</f>
        <v>Integration Architect   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Mapping'!$AP:$AP,363)</f>
        <v>CTRM</v>
      </c>
      <c r="G24" s="949">
        <f>INDEX('REVIEW - Complete Role Mapping'!$AA:$AA,363)</f>
        <v>280350</v>
      </c>
      <c r="H24" s="949">
        <f>$G24*IFERROR(INDEX(Lists!$AD:$AD,MATCH($E24,Lists!$AC:$AC,0)),1)</f>
        <v>280350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Mapping'!$B:$B,369)</f>
        <v>Hayden Corney</v>
      </c>
      <c r="C25" s="634" t="str">
        <f>INDEX('REVIEW - Complete Role Mapping'!$C:$C,369)</f>
        <v>Lead Engineer Software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Mapping'!$AP:$AP,369)</f>
        <v>CTRM</v>
      </c>
      <c r="G25" s="949">
        <f>INDEX('REVIEW - Complete Role Mapping'!$AA:$AA,369)</f>
        <v>197318.88</v>
      </c>
      <c r="H25" s="949">
        <f>$G25*IFERROR(INDEX(Lists!$AD:$AD,MATCH($E25,Lists!$AC:$AC,0)),1)</f>
        <v>197318.88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Mapping'!$B:$B,383)</f>
        <v>Laura Roberts</v>
      </c>
      <c r="C26" s="634" t="str">
        <f>INDEX('REVIEW - Complete Role Mapping'!$C:$C,383)</f>
        <v>Senior Engineer Software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Mapping'!$AP:$AP,383)</f>
        <v>CTRM</v>
      </c>
      <c r="G26" s="949">
        <f>INDEX('REVIEW - Complete Role Mapping'!$AA:$AA,383)</f>
        <v>156490.752</v>
      </c>
      <c r="H26" s="949">
        <f>$G26*IFERROR(INDEX(Lists!$AD:$AD,MATCH($E26,Lists!$AC:$AC,0)),1)</f>
        <v>156490.752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Mapping'!$B:$B,393)</f>
        <v>Oliver Shanks</v>
      </c>
      <c r="C27" s="634" t="str">
        <f>INDEX('REVIEW - Complete Role Mapping'!$C:$C,393)</f>
        <v>Associate Engineer Software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Mapping'!$AP:$AP,393)</f>
        <v>CTRM</v>
      </c>
      <c r="G27" s="949">
        <f>INDEX('REVIEW - Complete Role Mapping'!$AA:$AA,393)</f>
        <v>84514.552</v>
      </c>
      <c r="H27" s="949">
        <f>$G27*IFERROR(INDEX(Lists!$AD:$AD,MATCH($E27,Lists!$AC:$AC,0)),1)</f>
        <v>84514.552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Mapping'!$B:$B,394)</f>
        <v>Oz Shaaban</v>
      </c>
      <c r="C28" s="634" t="str">
        <f>INDEX('REVIEW - Complete Role Mapping'!$C:$C,394)</f>
        <v>Delivery Lead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Mapping'!$AP:$AP,394)</f>
        <v>CTRM</v>
      </c>
      <c r="G28" s="949">
        <f>INDEX('REVIEW - Complete Role Mapping'!$AA:$AA,394)</f>
        <v>253997.1</v>
      </c>
      <c r="H28" s="949">
        <f>$G28*IFERROR(INDEX(Lists!$AD:$AD,MATCH($E28,Lists!$AC:$AC,0)),1)</f>
        <v>253997.1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Mapping'!$B:$B,398)</f>
        <v>Rick Abainza</v>
      </c>
      <c r="C29" s="634" t="str">
        <f>INDEX('REVIEW - Complete Role Mapping'!$C:$C,398)</f>
        <v>Lead Business Analyst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Mapping'!$AP:$AP,398)</f>
        <v>CTRM</v>
      </c>
      <c r="G29" s="949">
        <f>INDEX('REVIEW - Complete Role Mapping'!$AA:$AA,398)</f>
        <v>366703.25</v>
      </c>
      <c r="H29" s="949">
        <f>$G29*IFERROR(INDEX(Lists!$AD:$AD,MATCH($E29,Lists!$AC:$AC,0)),1)</f>
        <v>366703.25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Mapping'!$B:$B,402)</f>
        <v>Sijin Zhu</v>
      </c>
      <c r="C30" s="634" t="str">
        <f>INDEX('REVIEW - Complete Role Mapping'!$C:$C,402)</f>
        <v>Business Analyst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Mapping'!$AP:$AP,402)</f>
        <v>CTRM</v>
      </c>
      <c r="G30" s="949">
        <f>INDEX('REVIEW - Complete Role Mapping'!$AA:$AA,402)</f>
        <v>279205.246</v>
      </c>
      <c r="H30" s="949">
        <f>$G30*IFERROR(INDEX(Lists!$AD:$AD,MATCH($E30,Lists!$AC:$AC,0)),1)</f>
        <v>279205.246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Mapping'!$B:$B,410)</f>
        <v>Trung Truong</v>
      </c>
      <c r="C31" s="634" t="str">
        <f>INDEX('REVIEW - Complete Role Mapping'!$C:$C,410)</f>
        <v>Engineer Applications</v>
      </c>
      <c r="D31" s="612" t="str">
        <f>IF(ISNUMBER(SEARCH("vacant",$B31)),"Vacant","Filled")</f>
        <v>Filled</v>
      </c>
      <c r="E31" s="647" t="inlineStr">
        <is>
          <t>Filled</t>
        </is>
      </c>
      <c r="F31" s="648" t="str">
        <f>INDEX('REVIEW - Complete Role Mapping'!$AP:$AP,410)</f>
        <v>CTRM</v>
      </c>
      <c r="G31" s="949">
        <f>INDEX('REVIEW - Complete Role Mapping'!$AA:$AA,410)</f>
        <v>304660.5</v>
      </c>
      <c r="H31" s="949">
        <f>$G31*IFERROR(INDEX(Lists!$AD:$AD,MATCH($E31,Lists!$AC:$AC,0)),1)</f>
        <v>304660.5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Mapping'!$B:$B,444)</f>
        <v>Zhan Liu</v>
      </c>
      <c r="C32" s="634" t="str">
        <f>INDEX('REVIEW - Complete Role Mapping'!$C:$C,444)</f>
        <v>Engineer Applications</v>
      </c>
      <c r="D32" s="612" t="str">
        <f>IF(ISNUMBER(SEARCH("vacant",$B32)),"Vacant","Filled")</f>
        <v>Filled</v>
      </c>
      <c r="E32" s="647" t="inlineStr">
        <is>
          <t>Filled</t>
        </is>
      </c>
      <c r="F32" s="648" t="str">
        <f>INDEX('REVIEW - Complete Role Mapping'!$AP:$AP,444)</f>
        <v>CTRM</v>
      </c>
      <c r="G32" s="949">
        <f>INDEX('REVIEW - Complete Role Mapping'!$AA:$AA,444)</f>
        <v>221249.55</v>
      </c>
      <c r="H32" s="949">
        <f>$G32*IFERROR(INDEX(Lists!$AD:$AD,MATCH($E32,Lists!$AC:$AC,0)),1)</f>
        <v>221249.55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Mapping'!$B:$B,355)</f>
        <v>Chin Fang Kwek</v>
      </c>
      <c r="C33" s="634" t="str">
        <f>INDEX('REVIEW - Complete Role Mapping'!$C:$C,355)</f>
        <v>System Analyst</v>
      </c>
      <c r="D33" s="612" t="str">
        <f>IF(ISNUMBER(SEARCH("vacant",$B33)),"Vacant","Filled")</f>
        <v>Filled</v>
      </c>
      <c r="E33" s="647" t="inlineStr">
        <is>
          <t>Filled</t>
        </is>
      </c>
      <c r="F33" s="648" t="str">
        <f>INDEX('REVIEW - Complete Role Mapping'!$AP:$AP,355)</f>
        <v>Trading &amp; Shipping</v>
      </c>
      <c r="G33" s="949">
        <f>INDEX('REVIEW - Complete Role Mapping'!$AA:$AA,355)</f>
        <v>346651.0332</v>
      </c>
      <c r="H33" s="949">
        <f>$G33*IFERROR(INDEX(Lists!$AD:$AD,MATCH($E33,Lists!$AC:$AC,0)),1)</f>
        <v>346651.0332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Mapping'!$B:$B,368)</f>
        <v>Hari Maneti</v>
      </c>
      <c r="C34" s="646" t="str">
        <f>INDEX('REVIEW - Complete Role Mapping'!$C:$C,368)</f>
        <v>Systems Analyst</v>
      </c>
      <c r="D34" s="646" t="str">
        <f>IF(ISNUMBER(SEARCH("vacant",$B34)),"Vacant","Filled")</f>
        <v>Filled</v>
      </c>
      <c r="E34" s="646" t="inlineStr">
        <is>
          <t>Filled</t>
        </is>
      </c>
      <c r="F34" s="646" t="str">
        <f>INDEX('REVIEW - Complete Role Mapping'!$AP:$AP,368)</f>
        <v>Trading &amp; Shipping</v>
      </c>
      <c r="G34" s="949">
        <f>INDEX('REVIEW - Complete Role Mapping'!$AA:$AA,368)</f>
        <v>293634.617</v>
      </c>
      <c r="H34" s="949">
        <f>$G34*IFERROR(INDEX(Lists!$AD:$AD,MATCH($E34,Lists!$AC:$AC,0)),1)</f>
        <v>293634.617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Mapping'!$B:$B,370)</f>
        <v>Isha Riyat</v>
      </c>
      <c r="C35" s="634" t="str">
        <f>INDEX('REVIEW - Complete Role Mapping'!$C:$C,370)</f>
        <v>Senior Business Analyst</v>
      </c>
      <c r="D35" s="612" t="str">
        <f>IF(ISNUMBER(SEARCH("vacant",$B35)),"Vacant","Filled")</f>
        <v>Filled</v>
      </c>
      <c r="E35" s="612" t="inlineStr">
        <is>
          <t>Filled</t>
        </is>
      </c>
      <c r="F35" s="634" t="str">
        <f>INDEX('REVIEW - Complete Role Mapping'!$AP:$AP,370)</f>
        <v>Trading &amp; Shipping</v>
      </c>
      <c r="G35" s="949">
        <f>INDEX('REVIEW - Complete Role Mapping'!$AA:$AA,370)</f>
        <v>226429.35</v>
      </c>
      <c r="H35" s="949">
        <f>$G35*IFERROR(INDEX(Lists!$AD:$AD,MATCH($E35,Lists!$AC:$AC,0)),1)</f>
        <v>226429.35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Mapping'!$B:$B,378)</f>
        <v>JR Panganiban</v>
      </c>
      <c r="C36" s="634" t="str">
        <f>INDEX('REVIEW - Complete Role Mapping'!$C:$C,378)</f>
        <v>Technology Support Engineer</v>
      </c>
      <c r="D36" s="612" t="str">
        <f>IF(ISNUMBER(SEARCH("vacant",$B36)),"Vacant","Filled")</f>
        <v>Filled</v>
      </c>
      <c r="E36" s="612" t="inlineStr">
        <is>
          <t>Filled</t>
        </is>
      </c>
      <c r="F36" s="634" t="str">
        <f>INDEX('REVIEW - Complete Role Mapping'!$AP:$AP,378)</f>
        <v>Trading &amp; Shipping</v>
      </c>
      <c r="G36" s="949">
        <f>INDEX('REVIEW - Complete Role Mapping'!$AA:$AA,378)</f>
        <v>146390.4</v>
      </c>
      <c r="H36" s="949">
        <f>$G36*IFERROR(INDEX(Lists!$AD:$AD,MATCH($E36,Lists!$AC:$AC,0)),1)</f>
        <v>146390.4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Mapping'!$B:$B,373)</f>
        <v>Jem Cruz</v>
      </c>
      <c r="C37" s="634" t="str">
        <f>INDEX('REVIEW - Complete Role Mapping'!$C:$C,373)</f>
        <v>System Specialist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Mapping'!$AP:$AP,373)</f>
        <v>Trading &amp; Shipping</v>
      </c>
      <c r="G37" s="949">
        <f>INDEX('REVIEW - Complete Role Mapping'!$AA:$AA,373)</f>
        <v>180010.35</v>
      </c>
      <c r="H37" s="949">
        <f>$G37*IFERROR(INDEX(Lists!$AD:$AD,MATCH($E37,Lists!$AC:$AC,0)),1)</f>
        <v>180010.35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Mapping'!$B:$B,379)</f>
        <v>Kevin Li</v>
      </c>
      <c r="C38" s="634" t="str">
        <f>INDEX('REVIEW - Complete Role Mapping'!$C:$C,379)</f>
        <v>System Specialist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Mapping'!$AP:$AP,379)</f>
        <v>Trading &amp; Shipping</v>
      </c>
      <c r="G38" s="949">
        <f>INDEX('REVIEW - Complete Role Mapping'!$AA:$AA,379)</f>
        <v>179970.9</v>
      </c>
      <c r="H38" s="949">
        <f>$G38*IFERROR(INDEX(Lists!$AD:$AD,MATCH($E38,Lists!$AC:$AC,0)),1)</f>
        <v>179970.9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Mapping'!$B:$B,384)</f>
        <v>Leo Machin</v>
      </c>
      <c r="C39" s="634" t="str">
        <f>INDEX('REVIEW - Complete Role Mapping'!$C:$C,384)</f>
        <v>Lead Engineer Applications</v>
      </c>
      <c r="D39" s="612" t="str">
        <f>IF(ISNUMBER(SEARCH("vacant",$B39)),"Vacant","Filled")</f>
        <v>Filled</v>
      </c>
      <c r="E39" s="612" t="inlineStr">
        <is>
          <t>Filled</t>
        </is>
      </c>
      <c r="F39" s="634" t="str">
        <f>INDEX('REVIEW - Complete Role Mapping'!$AP:$AP,384)</f>
        <v>Trading &amp; Shipping</v>
      </c>
      <c r="G39" s="949">
        <f>INDEX('REVIEW - Complete Role Mapping'!$AA:$AA,384)</f>
        <v>212558.7</v>
      </c>
      <c r="H39" s="949">
        <f>$G39*IFERROR(INDEX(Lists!$AD:$AD,MATCH($E39,Lists!$AC:$AC,0)),1)</f>
        <v>212558.7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Mapping'!$B:$B,395)</f>
        <v>Poch Fernandez</v>
      </c>
      <c r="C40" s="634" t="str">
        <f>INDEX('REVIEW - Complete Role Mapping'!$C:$C,395)</f>
        <v>Lead Technology Support  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Mapping'!$AP:$AP,395)</f>
        <v>Trading &amp; Shipping</v>
      </c>
      <c r="G40" s="949">
        <f>INDEX('REVIEW - Complete Role Mapping'!$AA:$AA,395)</f>
        <v>216633.121</v>
      </c>
      <c r="H40" s="949">
        <f>$G40*IFERROR(INDEX(Lists!$AD:$AD,MATCH($E40,Lists!$AC:$AC,0)),1)</f>
        <v>216633.121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Mapping'!$B:$B,408)</f>
        <v>Suja Sugathan</v>
      </c>
      <c r="C41" s="634" t="str">
        <f>INDEX('REVIEW - Complete Role Mapping'!$C:$C,408)</f>
        <v>Senior Business Analyst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Mapping'!$AP:$AP,408)</f>
        <v>Trading &amp; Shipping</v>
      </c>
      <c r="G41" s="949">
        <f>INDEX('REVIEW - Complete Role Mapping'!$AA:$AA,408)</f>
        <v>352114.3405</v>
      </c>
      <c r="H41" s="949">
        <f>$G41*IFERROR(INDEX(Lists!$AD:$AD,MATCH($E41,Lists!$AC:$AC,0)),1)</f>
        <v>352114.3405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Mapping'!$B:$B,420)</f>
        <v>Vacant</v>
      </c>
      <c r="C42" s="634" t="str">
        <f>INDEX('REVIEW - Complete Role Mapping'!$C:$C,420)</f>
        <v>Tech Support Technician</v>
      </c>
      <c r="D42" s="612" t="str">
        <f>IF(ISNUMBER(SEARCH("vacant",$B42)),"Vacant","Filled")</f>
        <v>Vacant</v>
      </c>
      <c r="E42" s="612" t="inlineStr">
        <is>
          <t>Hold</t>
        </is>
      </c>
      <c r="F42" s="634" t="str">
        <f>INDEX('REVIEW - Complete Role Mapping'!$AP:$AP,420)</f>
        <v>Trading &amp; Shipping</v>
      </c>
      <c r="G42" s="949">
        <f>INDEX('REVIEW - Complete Role Mapping'!$AA:$AA,420)</f>
        <v>122571.75</v>
      </c>
      <c r="H42" s="949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Mapping'!$B:$B,424)</f>
        <v>Vacant</v>
      </c>
      <c r="C43" s="634" t="str">
        <f>INDEX('REVIEW - Complete Role Mapping'!$C:$C,424)</f>
        <v>Delivery Lead</v>
      </c>
      <c r="D43" s="612" t="str">
        <f>IF(ISNUMBER(SEARCH("vacant",$B43)),"Vacant","Filled")</f>
        <v>Vacant</v>
      </c>
      <c r="E43" s="612" t="inlineStr">
        <is>
          <t>Hold</t>
        </is>
      </c>
      <c r="F43" s="634" t="str">
        <f>INDEX('REVIEW - Complete Role Mapping'!$AP:$AP,424)</f>
        <v>Trading &amp; Shipping</v>
      </c>
      <c r="G43" s="949">
        <f>INDEX('REVIEW - Complete Role Mapping'!$AA:$AA,424)</f>
        <v>231689.25</v>
      </c>
      <c r="H43" s="949">
        <f>$G43*IFERROR(INDEX(Lists!$AD:$AD,MATCH($E43,Lists!$AC:$AC,0)),1)</f>
        <v>0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Mapping'!$B:$B,425)</f>
        <v>Vacant</v>
      </c>
      <c r="C44" s="634" t="str">
        <f>INDEX('REVIEW - Complete Role Mapping'!$C:$C,425)</f>
        <v>Quality Assurance</v>
      </c>
      <c r="D44" s="612" t="str">
        <f>IF(ISNUMBER(SEARCH("vacant",$B44)),"Vacant","Filled")</f>
        <v>Vacant</v>
      </c>
      <c r="E44" s="612" t="inlineStr">
        <is>
          <t>Hold</t>
        </is>
      </c>
      <c r="F44" s="634" t="str">
        <f>INDEX('REVIEW - Complete Role Mapping'!$AP:$AP,425)</f>
        <v>Trading &amp; Shipping</v>
      </c>
      <c r="G44" s="949">
        <f>INDEX('REVIEW - Complete Role Mapping'!$AA:$AA,425)</f>
        <v>170489.75</v>
      </c>
      <c r="H44" s="949">
        <f>$G44*IFERROR(INDEX(Lists!$AD:$AD,MATCH($E44,Lists!$AC:$AC,0)),1)</f>
        <v>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Mapping'!$B:$B,344)</f>
        <v>Anusha Viswanatha</v>
      </c>
      <c r="C45" s="634" t="str">
        <f>INDEX('REVIEW - Complete Role Mapping'!$C:$C,344)</f>
        <v>Delivery Lead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Mapping'!$AP:$AP,344)</f>
        <v>Trading &amp; Shipping Data</v>
      </c>
      <c r="G45" s="949">
        <f>INDEX('REVIEW - Complete Role Mapping'!$AA:$AA,344)</f>
        <v>286934</v>
      </c>
      <c r="H45" s="949">
        <f>$G45*IFERROR(INDEX(Lists!$AD:$AD,MATCH($E45,Lists!$AC:$AC,0)),1)</f>
        <v>286934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Mapping'!$B:$B,346)</f>
        <v>Arun Prakash Jayaprakasam</v>
      </c>
      <c r="C46" s="634" t="str">
        <f>INDEX('REVIEW - Complete Role Mapping'!$C:$C,346)</f>
        <v>Data Engineer Analyst</v>
      </c>
      <c r="D46" s="612" t="str">
        <f>IF(ISNUMBER(SEARCH("vacant",$B46)),"Vacant","Filled")</f>
        <v>Filled</v>
      </c>
      <c r="E46" s="612" t="inlineStr">
        <is>
          <t>Filled</t>
        </is>
      </c>
      <c r="F46" s="634" t="str">
        <f>INDEX('REVIEW - Complete Role Mapping'!$AP:$AP,346)</f>
        <v>Trading &amp; Shipping Data</v>
      </c>
      <c r="G46" s="949">
        <f>INDEX('REVIEW - Complete Role Mapping'!$AA:$AA,346)</f>
        <v>268285.722</v>
      </c>
      <c r="H46" s="949">
        <f>$G46*IFERROR(INDEX(Lists!$AD:$AD,MATCH($E46,Lists!$AC:$AC,0)),1)</f>
        <v>268285.722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Mapping'!$B:$B,347)</f>
        <v>Ayushi Agarwal</v>
      </c>
      <c r="C47" s="634" t="str">
        <f>INDEX('REVIEW - Complete Role Mapping'!$C:$C,347)</f>
        <v>Engineer Data</v>
      </c>
      <c r="D47" s="612" t="str">
        <f>IF(ISNUMBER(SEARCH("vacant",$B47)),"Vacant","Filled")</f>
        <v>Filled</v>
      </c>
      <c r="E47" s="612" t="inlineStr">
        <is>
          <t>Filled</t>
        </is>
      </c>
      <c r="F47" s="634" t="str">
        <f>INDEX('REVIEW - Complete Role Mapping'!$AP:$AP,347)</f>
        <v>Trading &amp; Shipping Data</v>
      </c>
      <c r="G47" s="949">
        <f>INDEX('REVIEW - Complete Role Mapping'!$AA:$AA,347)</f>
        <v>260911.498</v>
      </c>
      <c r="H47" s="949">
        <f>$G47*IFERROR(INDEX(Lists!$AD:$AD,MATCH($E47,Lists!$AC:$AC,0)),1)</f>
        <v>260911.498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Mapping'!$B:$B,376)</f>
        <v>Jonathan Wong</v>
      </c>
      <c r="C48" s="646" t="str">
        <f>INDEX('REVIEW - Complete Role Mapping'!$C:$C,376)</f>
        <v>Senior Business Analyst</v>
      </c>
      <c r="D48" s="646" t="str">
        <f>IF(ISNUMBER(SEARCH("vacant",$B48)),"Vacant","Filled")</f>
        <v>Filled</v>
      </c>
      <c r="E48" s="646" t="inlineStr">
        <is>
          <t>Filled</t>
        </is>
      </c>
      <c r="F48" s="646" t="str">
        <f>INDEX('REVIEW - Complete Role Mapping'!$AP:$AP,376)</f>
        <v>Trading &amp; Shipping Data</v>
      </c>
      <c r="G48" s="949">
        <f>INDEX('REVIEW - Complete Role Mapping'!$AA:$AA,376)</f>
        <v>322387</v>
      </c>
      <c r="H48" s="949">
        <f>$G48*IFERROR(INDEX(Lists!$AD:$AD,MATCH($E48,Lists!$AC:$AC,0)),1)</f>
        <v>322387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Mapping'!$B:$B,381)</f>
        <v>Kumar Siva</v>
      </c>
      <c r="C49" s="634" t="str">
        <f>INDEX('REVIEW - Complete Role Mapping'!$C:$C,381)</f>
        <v>Lead engineer Data</v>
      </c>
      <c r="D49" s="612" t="str">
        <f>IF(ISNUMBER(SEARCH("vacant",$B49)),"Vacant","Filled")</f>
        <v>Filled</v>
      </c>
      <c r="E49" s="612" t="inlineStr">
        <is>
          <t>Filled</t>
        </is>
      </c>
      <c r="F49" s="634" t="str">
        <f>INDEX('REVIEW - Complete Role Mapping'!$AP:$AP,381)</f>
        <v>Trading &amp; Shipping Data</v>
      </c>
      <c r="G49" s="949">
        <f>INDEX('REVIEW - Complete Role Mapping'!$AA:$AA,381)</f>
        <v>375566.5</v>
      </c>
      <c r="H49" s="949">
        <f>$G49*IFERROR(INDEX(Lists!$AD:$AD,MATCH($E49,Lists!$AC:$AC,0)),1)</f>
        <v>375566.5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Mapping'!$B:$B,405)</f>
        <v>Soumya Choudhury</v>
      </c>
      <c r="C50" s="634" t="str">
        <f>INDEX('REVIEW - Complete Role Mapping'!$C:$C,405)</f>
        <v>Data Application Specialist </v>
      </c>
      <c r="D50" s="612" t="str">
        <f>IF(ISNUMBER(SEARCH("vacant",$B50)),"Vacant","Filled")</f>
        <v>Filled</v>
      </c>
      <c r="E50" s="647" t="inlineStr">
        <is>
          <t>Filled</t>
        </is>
      </c>
      <c r="F50" s="648" t="str">
        <f>INDEX('REVIEW - Complete Role Mapping'!$AP:$AP,405)</f>
        <v>Trading &amp; Shipping Data</v>
      </c>
      <c r="G50" s="949">
        <f>INDEX('REVIEW - Complete Role Mapping'!$AA:$AA,405)</f>
        <v>325684.129</v>
      </c>
      <c r="H50" s="949">
        <f>$G50*IFERROR(INDEX(Lists!$AD:$AD,MATCH($E50,Lists!$AC:$AC,0)),1)</f>
        <v>325684.129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Mapping'!$B:$B,445)</f>
        <v>Zijie Zhang</v>
      </c>
      <c r="C51" s="634" t="str">
        <f>INDEX('REVIEW - Complete Role Mapping'!$C:$C,445)</f>
        <v>Senior Data Analyst</v>
      </c>
      <c r="D51" s="612" t="str">
        <f>IF(ISNUMBER(SEARCH("vacant",$B51)),"Vacant","Filled")</f>
        <v>Filled</v>
      </c>
      <c r="E51" s="647" t="inlineStr">
        <is>
          <t>Filled</t>
        </is>
      </c>
      <c r="F51" s="648" t="str">
        <f>INDEX('REVIEW - Complete Role Mapping'!$AP:$AP,445)</f>
        <v>Trading &amp; Shipping Data</v>
      </c>
      <c r="G51" s="949">
        <f>INDEX('REVIEW - Complete Role Mapping'!$AA:$AA,445)</f>
        <v>266400</v>
      </c>
      <c r="H51" s="949">
        <f>$G51*IFERROR(INDEX(Lists!$AD:$AD,MATCH($E51,Lists!$AC:$AC,0)),1)</f>
        <v>266400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Mapping'!$B:$B,343)</f>
        <v>Ann Aquino</v>
      </c>
      <c r="C52" s="634" t="str">
        <f>INDEX('REVIEW - Complete Role Mapping'!$C:$C,343)</f>
        <v>Senior Business Analyst</v>
      </c>
      <c r="D52" s="612" t="str">
        <f>IF(ISNUMBER(SEARCH("vacant",$B52)),"Vacant","Filled")</f>
        <v>Filled</v>
      </c>
      <c r="E52" s="647" t="inlineStr">
        <is>
          <t>Filled</t>
        </is>
      </c>
      <c r="F52" s="648" t="str">
        <f>INDEX('REVIEW - Complete Role Mapping'!$AP:$AP,343)</f>
        <v>Supply</v>
      </c>
      <c r="G52" s="949">
        <f>INDEX('REVIEW - Complete Role Mapping'!$AA:$AA,343)</f>
        <v>219006.75</v>
      </c>
      <c r="H52" s="949">
        <f>$G52*IFERROR(INDEX(Lists!$AD:$AD,MATCH($E52,Lists!$AC:$AC,0)),1)</f>
        <v>219006.75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Mapping'!$B:$B,419)</f>
        <v>Vacant</v>
      </c>
      <c r="C53" s="634" t="str">
        <f>INDEX('REVIEW - Complete Role Mapping'!$C:$C,419)</f>
        <v>System Specialist</v>
      </c>
      <c r="D53" s="612" t="str">
        <f>IF(ISNUMBER(SEARCH("vacant",$B53)),"Vacant","Filled")</f>
        <v>Vacant</v>
      </c>
      <c r="E53" s="647" t="inlineStr">
        <is>
          <t>Hold</t>
        </is>
      </c>
      <c r="F53" s="648" t="str">
        <f>INDEX('REVIEW - Complete Role Mapping'!$AP:$AP,419)</f>
        <v>Supply</v>
      </c>
      <c r="G53" s="949">
        <f>INDEX('REVIEW - Complete Role Mapping'!$AA:$AA,419)</f>
        <v>202853.25</v>
      </c>
      <c r="H53" s="949">
        <f>$G53*IFERROR(INDEX(Lists!$AD:$AD,MATCH($E53,Lists!$AC:$AC,0)),1)</f>
        <v>0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Mapping'!$B:$B,423)</f>
        <v>Vacant</v>
      </c>
      <c r="C54" s="646" t="str">
        <f>INDEX('REVIEW - Complete Role Mapping'!$C:$C,423)</f>
        <v>Delivery Lead</v>
      </c>
      <c r="D54" s="646" t="str">
        <f>IF(ISNUMBER(SEARCH("vacant",$B54)),"Vacant","Filled")</f>
        <v>Vacant</v>
      </c>
      <c r="E54" s="646" t="inlineStr">
        <is>
          <t>Hold</t>
        </is>
      </c>
      <c r="F54" s="646" t="str">
        <f>INDEX('REVIEW - Complete Role Mapping'!$AP:$AP,423)</f>
        <v>Supply</v>
      </c>
      <c r="G54" s="949">
        <f>INDEX('REVIEW - Complete Role Mapping'!$AA:$AA,423)</f>
        <v>231689.25</v>
      </c>
      <c r="H54" s="949">
        <f>$G54*IFERROR(INDEX(Lists!$AD:$AD,MATCH($E54,Lists!$AC:$AC,0)),1)</f>
        <v>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Mapping'!$B:$B,440)</f>
        <v>Vacant</v>
      </c>
      <c r="C55" s="634" t="str">
        <f>INDEX('REVIEW - Complete Role Mapping'!$C:$C,440)</f>
        <v>Engineer Software</v>
      </c>
      <c r="D55" s="612" t="str">
        <f>IF(ISNUMBER(SEARCH("vacant",$B55)),"Vacant","Filled")</f>
        <v>Vacant</v>
      </c>
      <c r="E55" s="612" t="inlineStr">
        <is>
          <t>Hold</t>
        </is>
      </c>
      <c r="F55" s="634" t="str">
        <f>INDEX('REVIEW - Complete Role Mapping'!$AP:$AP,440)</f>
        <v>Supply</v>
      </c>
      <c r="G55" s="949">
        <f>INDEX('REVIEW - Complete Role Mapping'!$AA:$AA,440)</f>
        <v>202853.25</v>
      </c>
      <c r="H55" s="949">
        <f>$G55*IFERROR(INDEX(Lists!$AD:$AD,MATCH($E55,Lists!$AC:$AC,0)),1)</f>
        <v>0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Mapping'!$B:$B,441)</f>
        <v>Vacant</v>
      </c>
      <c r="C56" s="634" t="str">
        <f>INDEX('REVIEW - Complete Role Mapping'!$C:$C,441)</f>
        <v>System Specialist</v>
      </c>
      <c r="D56" s="612" t="str">
        <f>IF(ISNUMBER(SEARCH("vacant",$B56)),"Vacant","Filled")</f>
        <v>Vacant</v>
      </c>
      <c r="E56" s="612" t="inlineStr">
        <is>
          <t>Hold</t>
        </is>
      </c>
      <c r="F56" s="634" t="str">
        <f>INDEX('REVIEW - Complete Role Mapping'!$AP:$AP,441)</f>
        <v>Supply</v>
      </c>
      <c r="G56" s="949">
        <f>INDEX('REVIEW - Complete Role Mapping'!$AA:$AA,441)</f>
        <v>202853.25</v>
      </c>
      <c r="H56" s="949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Mapping'!$B:$B,336)</f>
        <v>Allan Francia</v>
      </c>
      <c r="C57" s="634" t="str">
        <f>INDEX('REVIEW - Complete Role Mapping'!$C:$C,336)</f>
        <v>Technology Manager - T&amp;S</v>
      </c>
      <c r="D57" s="612" t="str">
        <f>IF(ISNUMBER(SEARCH("vacant",$B57)),"Vacant","Filled")</f>
        <v>Filled</v>
      </c>
      <c r="E57" s="612" t="inlineStr">
        <is>
          <t>Filled</t>
        </is>
      </c>
      <c r="F57" s="634" t="str">
        <f>INDEX('REVIEW - Complete Role Mapping'!$AP:$AP,336)</f>
        <v>Leadership</v>
      </c>
      <c r="G57" s="949">
        <f>INDEX('REVIEW - Complete Role Mapping'!$AA:$AA,336)</f>
        <v>287287.1</v>
      </c>
      <c r="H57" s="949">
        <f>$G57*IFERROR(INDEX(Lists!$AD:$AD,MATCH($E57,Lists!$AC:$AC,0)),1)</f>
        <v>287287.1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Mapping'!$B:$B,392)</f>
        <v>Nakul Bharade</v>
      </c>
      <c r="C58" s="634" t="str">
        <f>INDEX('REVIEW - Complete Role Mapping'!$C:$C,392)</f>
        <v>Head of Technology, Commercial Fuels</v>
      </c>
      <c r="D58" s="612" t="str">
        <f>IF(ISNUMBER(SEARCH("vacant",$B58)),"Vacant","Filled")</f>
        <v>Filled</v>
      </c>
      <c r="E58" s="612" t="inlineStr">
        <is>
          <t>Filled</t>
        </is>
      </c>
      <c r="F58" s="634" t="str">
        <f>INDEX('REVIEW - Complete Role Mapping'!$AP:$AP,392)</f>
        <v>Leadership</v>
      </c>
      <c r="G58" s="949">
        <f>INDEX('REVIEW - Complete Role Mapping'!$AA:$AA,392)</f>
        <v>292434.736</v>
      </c>
      <c r="H58" s="949">
        <f>$G58*IFERROR(INDEX(Lists!$AD:$AD,MATCH($E58,Lists!$AC:$AC,0)),1)</f>
        <v>292434.736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Mapping'!$B:$B,421)</f>
        <v>Vacant</v>
      </c>
      <c r="C59" s="634" t="str">
        <f>INDEX('REVIEW - Complete Role Mapping'!$C:$C,421)</f>
        <v>Delivery Manager</v>
      </c>
      <c r="D59" s="612" t="str">
        <f>IF(ISNUMBER(SEARCH("vacant",$B59)),"Vacant","Filled")</f>
        <v>Vacant</v>
      </c>
      <c r="E59" s="612" t="inlineStr">
        <is>
          <t>Hold</t>
        </is>
      </c>
      <c r="F59" s="634" t="str">
        <f>INDEX('REVIEW - Complete Role Mapping'!$AP:$AP,421)</f>
        <v>Leadership</v>
      </c>
      <c r="G59" s="949">
        <f>INDEX('REVIEW - Complete Role Mapping'!$AA:$AA,421)</f>
        <v>275810.25</v>
      </c>
      <c r="H59" s="949">
        <f>$G59*IFERROR(INDEX(Lists!$AD:$AD,MATCH($E59,Lists!$AC:$AC,0)),1)</f>
        <v>0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Mapping'!$B:$B,422)</f>
        <v>Vacant</v>
      </c>
      <c r="C60" s="634" t="str">
        <f>INDEX('REVIEW - Complete Role Mapping'!$C:$C,422)</f>
        <v>Technology Manager, Data</v>
      </c>
      <c r="D60" s="612" t="str">
        <f>IF(ISNUMBER(SEARCH("vacant",$B60)),"Vacant","Filled")</f>
        <v>Vacant</v>
      </c>
      <c r="E60" s="612" t="inlineStr">
        <is>
          <t>Hold</t>
        </is>
      </c>
      <c r="F60" s="634" t="str">
        <f>INDEX('REVIEW - Complete Role Mapping'!$AP:$AP,422)</f>
        <v>Leadership</v>
      </c>
      <c r="G60" s="949">
        <f>INDEX('REVIEW - Complete Role Mapping'!$AA:$AA,422)</f>
        <v>275810.25</v>
      </c>
      <c r="H60" s="949">
        <f>$G60*IFERROR(INDEX(Lists!$AD:$AD,MATCH($E60,Lists!$AC:$AC,0)),1)</f>
        <v>0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n"/>
      <c r="C61" s="634" t="n"/>
      <c r="D61" s="612" t="n"/>
      <c r="E61" s="612" t="n"/>
      <c r="F61" s="634" t="n"/>
      <c r="G61" s="949" t="n"/>
      <c r="H61" s="949" t="n"/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n"/>
      <c r="C62" s="646" t="n"/>
      <c r="D62" s="646" t="n"/>
      <c r="E62" s="646" t="n"/>
      <c r="F62" s="646" t="n"/>
      <c r="G62" s="442" t="n"/>
      <c r="H62" s="442" t="n"/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</sheetData>
  <conditionalFormatting sqref="D18:D61">
    <cfRule type="cellIs" priority="1" operator="equal" dxfId="1">
      <formula>"Vacant"</formula>
    </cfRule>
  </conditionalFormatting>
  <conditionalFormatting sqref="I6:I10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9:E60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Site Systems</t>
        </is>
      </c>
      <c r="C6" s="635" t="str">
        <f>IFERROR(INDEX('1.10 Z Retail'!$C:$C,MATCH($S6,'1.10 Z Retail'!$B:$B,0)),"Outside archetype model")</f>
        <v>Configuration / Integration</v>
      </c>
      <c r="D6" s="1150">
        <f>IFERROR(INDEX('0.3 Squad Archetypes'!$F$5:$F$23,MATCH($C6&amp;"|"&amp;$R6,'0.3 Squad Archetypes'!$A$5:$A$23,0)),"-")</f>
        <v>9</v>
      </c>
      <c r="E6" s="1151">
        <f>COUNTIFS($F$19:$F$57,$B6)</f>
        <v>9</v>
      </c>
      <c r="F6" s="1151">
        <f>IFERROR($E6-$D6,"-")</f>
        <v>0</v>
      </c>
      <c r="G6" s="1151">
        <f>COUNTIFS($F$19:$F$57,$B6,$D$19:$D$57,"Vacant")</f>
        <v>0</v>
      </c>
      <c r="H6" s="1151">
        <f>COUNTIFS($F$19:$F$57,$B6,$D$19:$D$57,"Vacant",$E$19:$E$57,"Hire")+COUNTIFS($F$19:$F$57,$B6,$D$19:$D$57,"Vacant",$E$19:$E$57,"Offshore")</f>
        <v>0</v>
      </c>
      <c r="I6" s="1151">
        <f>$G6-$H6</f>
        <v>0</v>
      </c>
      <c r="J6" s="634">
        <f>$E6-COUNTIFS($F$19:$F$57,$B6,$E$19:$E$57,"Hold")</f>
        <v>9</v>
      </c>
      <c r="K6" s="1152" t="str">
        <f>IF(NOT(ISNUMBER($D6)),"Outside the archetype model",IF($J6&gt;$D6,"Over archetype after decisions",IF($J6&lt;$D6,"Under archetype","On archetype")))</f>
        <v>On archetype</v>
      </c>
      <c r="L6" s="1153">
        <f>IFERROR(INDEX('0.3 Squad Archetypes'!$G$5:$G$23,MATCH($C6&amp;"|"&amp;$R6,'0.3 Squad Archetypes'!$A$5:$A$23,0)),"-")</f>
        <v>2.1</v>
      </c>
      <c r="M6" s="1153">
        <f>SUMIFS($G$19:$G$57,$F$19:$F$57,$B6)/1000000</f>
        <v>1.374665758</v>
      </c>
      <c r="N6" s="1153">
        <f>IFERROR($M6-$L6,"-")</f>
        <v>-0.725334242</v>
      </c>
      <c r="O6" s="635">
        <f>SUMIFS($H$19:$H$57,$F$19:$F$57,$B6)/1000000</f>
        <v>1.374665758</v>
      </c>
      <c r="P6">
        <f>$O6+(Lists!$AG$4+Lists!$AG$5)*$E6/$E$11</f>
        <v>1.45774268107692</v>
      </c>
      <c r="Q6">
        <f>IFERROR($P6-$L6,"-")</f>
        <v>-0.642257318923077</v>
      </c>
      <c r="R6" t="str">
        <f>IFERROR(IF(INDEX('1.10 Z Retail'!$D:$D,MATCH($S6,'1.10 Z Retail'!$B:$B,0))="","-",INDEX('1.10 Z Retail'!$D:$D,MATCH($S6,'1.10 Z Retail'!$B:$B,0))),"-")</f>
        <v>M</v>
      </c>
      <c r="S6" t="str">
        <f>IFERROR(INDEX(Lists!$AA:$AA,MATCH($B6,Lists!$Z:$Z,0)),$B6)</f>
        <v>Site Systems</v>
      </c>
      <c r="T6" t="str">
        <f>IF($B6="Leadership","Shared role - compared to the allowance",IF($C6="Strategic Programs","Strategic Programs - no rate in 0.3 (TBC)",IF(NOT(ISNUMBER($D6)),"No archetype for this squad","Archetype applies")))</f>
        <v>Archetype applies</v>
      </c>
    </row>
    <row r="7">
      <c r="A7" s="949" t="n"/>
      <c r="B7" s="640" t="inlineStr">
        <is>
          <t>Z Retail Backend</t>
        </is>
      </c>
      <c r="C7" s="635" t="str">
        <f>IFERROR(INDEX('1.10 Z Retail'!$C:$C,MATCH($S7,'1.10 Z Retail'!$B:$B,0)),"Outside archetype model")</f>
        <v>Build and Run</v>
      </c>
      <c r="D7" s="1150">
        <f>IFERROR(INDEX('0.3 Squad Archetypes'!$F$5:$F$23,MATCH($C7&amp;"|"&amp;$R7,'0.3 Squad Archetypes'!$A$5:$A$23,0)),"-")</f>
        <v>9</v>
      </c>
      <c r="E7" s="1151">
        <f>COUNTIFS($F$19:$F$57,$B7)</f>
        <v>9</v>
      </c>
      <c r="F7" s="1151">
        <f>IFERROR($E7-$D7,"-")</f>
        <v>0</v>
      </c>
      <c r="G7" s="1151">
        <f>COUNTIFS($F$19:$F$57,$B7,$D$19:$D$57,"Vacant")</f>
        <v>2</v>
      </c>
      <c r="H7" s="1151">
        <f>COUNTIFS($F$19:$F$57,$B7,$D$19:$D$57,"Vacant",$E$19:$E$57,"Hire")+COUNTIFS($F$19:$F$57,$B7,$D$19:$D$57,"Vacant",$E$19:$E$57,"Offshore")</f>
        <v>0</v>
      </c>
      <c r="I7" s="1151">
        <f>$G7-$H7</f>
        <v>2</v>
      </c>
      <c r="J7" s="634">
        <f>$E7-COUNTIFS($F$19:$F$57,$B7,$E$19:$E$57,"Hold")</f>
        <v>7</v>
      </c>
      <c r="K7" s="1152" t="str">
        <f>IF(NOT(ISNUMBER($D7)),"Outside the archetype model",IF($J7&gt;$D7,"Over archetype after decisions",IF($J7&lt;$D7,"Under archetype","On archetype")))</f>
        <v>Under archetype</v>
      </c>
      <c r="L7" s="1153">
        <f>IFERROR(INDEX('0.3 Squad Archetypes'!$G$5:$G$23,MATCH($C7&amp;"|"&amp;$R7,'0.3 Squad Archetypes'!$A$5:$A$23,0)),"-")</f>
        <v>2</v>
      </c>
      <c r="M7" s="1153">
        <f>SUMIFS($G$19:$G$57,$F$19:$F$57,$B7)/1000000</f>
        <v>1.857667168</v>
      </c>
      <c r="N7" s="1153">
        <f>IFERROR($M7-$L7,"-")</f>
        <v>-0.142332832</v>
      </c>
      <c r="O7" s="635">
        <f>SUMIFS($H$19:$H$57,$F$19:$F$57,$B7)/1000000</f>
        <v>1.455488168</v>
      </c>
      <c r="P7">
        <f>$O7+(Lists!$AG$4+Lists!$AG$5)*$E7/$E$11</f>
        <v>1.53856509107692</v>
      </c>
      <c r="Q7">
        <f>IFERROR($P7-$L7,"-")</f>
        <v>-0.461434908923077</v>
      </c>
      <c r="R7" t="str">
        <f>IFERROR(IF(INDEX('1.10 Z Retail'!$D:$D,MATCH($S7,'1.10 Z Retail'!$B:$B,0))="","-",INDEX('1.10 Z Retail'!$D:$D,MATCH($S7,'1.10 Z Retail'!$B:$B,0))),"-")</f>
        <v>M</v>
      </c>
      <c r="S7" t="str">
        <f>IFERROR(INDEX(Lists!$AA:$AA,MATCH($B7,Lists!$Z:$Z,0)),$B7)</f>
        <v>Z Retail Backend</v>
      </c>
      <c r="T7" t="str">
        <f>IF($B7="Leadership","Shared role - compared to the allowance",IF($C7="Strategic Programs","Strategic Programs - no rate in 0.3 (TBC)",IF(NOT(ISNUMBER($D7)),"No archetype for this squad","Archetype applies")))</f>
        <v>Archetype applies</v>
      </c>
    </row>
    <row r="8">
      <c r="A8" s="949" t="n"/>
      <c r="B8" s="634" t="inlineStr">
        <is>
          <t>Z Supply</t>
        </is>
      </c>
      <c r="C8" s="635" t="str">
        <f>IFERROR(INDEX('1.10 Z Retail'!$C:$C,MATCH($S8,'1.10 Z Retail'!$B:$B,0)),"Outside archetype model")</f>
        <v>Build and Run</v>
      </c>
      <c r="D8" s="1150">
        <f>IFERROR(INDEX('0.3 Squad Archetypes'!$F$5:$F$23,MATCH($C8&amp;"|"&amp;$R8,'0.3 Squad Archetypes'!$A$5:$A$23,0)),"-")</f>
        <v>9</v>
      </c>
      <c r="E8" s="1151">
        <f>COUNTIFS($F$19:$F$57,$B8)</f>
        <v>9</v>
      </c>
      <c r="F8" s="1151">
        <f>IFERROR($E8-$D8,"-")</f>
        <v>0</v>
      </c>
      <c r="G8" s="1151">
        <f>COUNTIFS($F$19:$F$57,$B8,$D$19:$D$57,"Vacant")</f>
        <v>1</v>
      </c>
      <c r="H8" s="1151">
        <f>COUNTIFS($F$19:$F$57,$B8,$D$19:$D$57,"Vacant",$E$19:$E$57,"Hire")+COUNTIFS($F$19:$F$57,$B8,$D$19:$D$57,"Vacant",$E$19:$E$57,"Offshore")</f>
        <v>0</v>
      </c>
      <c r="I8" s="1151">
        <f>$G8-$H8</f>
        <v>1</v>
      </c>
      <c r="J8" s="634">
        <f>$E8-COUNTIFS($F$19:$F$57,$B8,$E$19:$E$57,"Hold")</f>
        <v>8</v>
      </c>
      <c r="K8" s="1152" t="str">
        <f>IF(NOT(ISNUMBER($D8)),"Outside the archetype model",IF($J8&gt;$D8,"Over archetype after decisions",IF($J8&lt;$D8,"Under archetype","On archetype")))</f>
        <v>Under archetype</v>
      </c>
      <c r="L8" s="1153">
        <f>IFERROR(INDEX('0.3 Squad Archetypes'!$G$5:$G$23,MATCH($C8&amp;"|"&amp;$R8,'0.3 Squad Archetypes'!$A$5:$A$23,0)),"-")</f>
        <v>2</v>
      </c>
      <c r="M8" s="1153">
        <f>SUMIFS($G$19:$G$57,$F$19:$F$57,$B8)/1000000</f>
        <v>1.663774396</v>
      </c>
      <c r="N8" s="1153">
        <f>IFERROR($M8-$L8,"-")</f>
        <v>-0.336225604</v>
      </c>
      <c r="O8" s="635">
        <f>SUMIFS($H$19:$H$57,$F$19:$F$57,$B8)/1000000</f>
        <v>1.387964146</v>
      </c>
      <c r="P8">
        <f>$O8+(Lists!$AG$4+Lists!$AG$5)*$E8/$E$11</f>
        <v>1.47104106907692</v>
      </c>
      <c r="Q8">
        <f>IFERROR($P8-$L8,"-")</f>
        <v>-0.528958930923077</v>
      </c>
      <c r="R8" t="str">
        <f>IFERROR(IF(INDEX('1.10 Z Retail'!$D:$D,MATCH($S8,'1.10 Z Retail'!$B:$B,0))="","-",INDEX('1.10 Z Retail'!$D:$D,MATCH($S8,'1.10 Z Retail'!$B:$B,0))),"-")</f>
        <v>M</v>
      </c>
      <c r="S8" t="str">
        <f>IFERROR(INDEX(Lists!$AA:$AA,MATCH($B8,Lists!$Z:$Z,0)),$B8)</f>
        <v>Z Supply</v>
      </c>
      <c r="T8" t="str">
        <f>IF($B8="Leadership","Shared role - compared to the allowance",IF($C8="Strategic Programs","Strategic Programs - no rate in 0.3 (TBC)",IF(NOT(ISNUMBER($D8)),"No archetype for this squad","Archetype applies")))</f>
        <v>Archetype applies</v>
      </c>
    </row>
    <row r="9">
      <c r="A9" s="949" t="n"/>
      <c r="B9" s="640" t="inlineStr">
        <is>
          <t>Data NZ</t>
        </is>
      </c>
      <c r="C9" s="635" t="str">
        <f>IFERROR(INDEX('1.10 Z Retail'!$C:$C,MATCH($S9,'1.10 Z Retail'!$B:$B,0)),"Outside archetype model")</f>
        <v>Enterprise Data and Insights</v>
      </c>
      <c r="D9" s="1150">
        <f>IFERROR(INDEX('0.3 Squad Archetypes'!$F$5:$F$23,MATCH($C9&amp;"|"&amp;$R9,'0.3 Squad Archetypes'!$A$5:$A$23,0)),"-")</f>
        <v>7.5</v>
      </c>
      <c r="E9" s="1151">
        <f>COUNTIFS($F$19:$F$57,$B9)</f>
        <v>7</v>
      </c>
      <c r="F9" s="1151">
        <f>IFERROR($E9-$D9,"-")</f>
        <v>-0.5</v>
      </c>
      <c r="G9" s="1151">
        <f>COUNTIFS($F$19:$F$57,$B9,$D$19:$D$57,"Vacant")</f>
        <v>2</v>
      </c>
      <c r="H9" s="1151">
        <f>COUNTIFS($F$19:$F$57,$B9,$D$19:$D$57,"Vacant",$E$19:$E$57,"Hire")+COUNTIFS($F$19:$F$57,$B9,$D$19:$D$57,"Vacant",$E$19:$E$57,"Offshore")</f>
        <v>0</v>
      </c>
      <c r="I9" s="1151">
        <f>$G9-$H9</f>
        <v>2</v>
      </c>
      <c r="J9" s="634">
        <f>$E9-COUNTIFS($F$19:$F$57,$B9,$E$19:$E$57,"Hold")</f>
        <v>5</v>
      </c>
      <c r="K9" s="1152" t="str">
        <f>IF(NOT(ISNUMBER($D9)),"Outside the archetype model",IF($J9&gt;$D9,"Over archetype after decisions",IF($J9&lt;$D9,"Under archetype","On archetype")))</f>
        <v>Under archetype</v>
      </c>
      <c r="L9" s="1153">
        <f>IFERROR(INDEX('0.3 Squad Archetypes'!$G$5:$G$23,MATCH($C9&amp;"|"&amp;$R9,'0.3 Squad Archetypes'!$A$5:$A$23,0)),"-")</f>
        <v>1.7</v>
      </c>
      <c r="M9" s="1153">
        <f>SUMIFS($G$19:$G$57,$F$19:$F$57,$B9)/1000000</f>
        <v>1.223843362</v>
      </c>
      <c r="N9" s="1153">
        <f>IFERROR($M9-$L9,"-")</f>
        <v>-0.476156638</v>
      </c>
      <c r="O9" s="635">
        <f>SUMIFS($H$19:$H$57,$F$19:$F$57,$B9)/1000000</f>
        <v>0.745179862</v>
      </c>
      <c r="P9">
        <f>$O9+(Lists!$AG$4+Lists!$AG$5)*$E9/$E$11</f>
        <v>0.809795246615385</v>
      </c>
      <c r="Q9">
        <f>IFERROR($P9-$L9,"-")</f>
        <v>-0.890204753384615</v>
      </c>
      <c r="R9" t="str">
        <f>IFERROR(IF(INDEX('1.10 Z Retail'!$D:$D,MATCH($S9,'1.10 Z Retail'!$B:$B,0))="","-",INDEX('1.10 Z Retail'!$D:$D,MATCH($S9,'1.10 Z Retail'!$B:$B,0))),"-")</f>
        <v>M</v>
      </c>
      <c r="S9" t="str">
        <f>IFERROR(INDEX(Lists!$AA:$AA,MATCH($B9,Lists!$Z:$Z,0)),$B9)</f>
        <v>Data NZ</v>
      </c>
      <c r="T9" t="str">
        <f>IF($B9="Leadership","Shared role - compared to the allowance",IF($C9="Strategic Programs","Strategic Programs - no rate in 0.3 (TBC)",IF(NOT(ISNUMBER($D9)),"No archetype for this squad","Archetype applies")))</f>
        <v>Archetype applies</v>
      </c>
    </row>
    <row r="10">
      <c r="A10" s="949" t="n"/>
      <c r="B10" s="634" t="inlineStr">
        <is>
          <t>Leadership</t>
        </is>
      </c>
      <c r="C10" s="635" t="str">
        <f>IFERROR(INDEX('1.10 Z Retail'!$C:$C,MATCH($S10,'1.10 Z Retail'!$B:$B,0)),"Outside archetype model")</f>
        <v>Outside archetype model</v>
      </c>
      <c r="D10" s="1150" t="str">
        <f>IFERROR(INDEX('0.3 Squad Archetypes'!$F$5:$F$23,MATCH($C10&amp;"|"&amp;$R10,'0.3 Squad Archetypes'!$A$5:$A$23,0)),"-")</f>
        <v>-</v>
      </c>
      <c r="E10" s="1151">
        <f>COUNTIFS($F$19:$F$57,$B10)</f>
        <v>5</v>
      </c>
      <c r="F10" s="1151" t="str">
        <f>IFERROR($E10-$D10,"-")</f>
        <v>-</v>
      </c>
      <c r="G10" s="1151">
        <f>COUNTIFS($F$19:$F$57,$B10,$D$19:$D$57,"Vacant")</f>
        <v>2</v>
      </c>
      <c r="H10" s="1151">
        <f>COUNTIFS($F$19:$F$57,$B10,$D$19:$D$57,"Vacant",$E$19:$E$57,"Hire")+COUNTIFS($F$19:$F$57,$B10,$D$19:$D$57,"Vacant",$E$19:$E$57,"Offshore")</f>
        <v>0</v>
      </c>
      <c r="I10" s="1151">
        <f>$G10-$H10</f>
        <v>2</v>
      </c>
      <c r="J10" s="634">
        <f>$E10-COUNTIFS($F$19:$F$57,$B10,$E$19:$E$57,"Hold")</f>
        <v>3</v>
      </c>
      <c r="K10" s="1152" t="str">
        <f>IF(NOT(ISNUMBER($D10)),"Outside the archetype model",IF($J10&gt;$D10,"Over archetype after decisions",IF($J10&lt;$D10,"Under archetype","On archetype")))</f>
        <v>Outside the archetype model</v>
      </c>
      <c r="L10" s="1153" t="str">
        <f>IFERROR(INDEX('0.3 Squad Archetypes'!$G$5:$G$23,MATCH($C10&amp;"|"&amp;$R10,'0.3 Squad Archetypes'!$A$5:$A$23,0)),"-")</f>
        <v>-</v>
      </c>
      <c r="M10" s="1153">
        <f>SUMIFS($G$19:$G$57,$F$19:$F$57,$B10)/1000000</f>
        <v>1.217343668</v>
      </c>
      <c r="N10" s="1153" t="str">
        <f>IFERROR($M10-$L10,"-")</f>
        <v>-</v>
      </c>
      <c r="O10" s="635">
        <f>SUMIFS($H$19:$H$57,$F$19:$F$57,$B10)/1000000</f>
        <v>0.723068418</v>
      </c>
      <c r="P10">
        <f>$O10+(Lists!$AG$4+Lists!$AG$5)*$E10/$E$11</f>
        <v>0.769222264153846</v>
      </c>
      <c r="Q10" t="str">
        <f>IFERROR($P10-$L10,"-")</f>
        <v>-</v>
      </c>
      <c r="R10" t="str">
        <f>IFERROR(IF(INDEX('1.10 Z Retail'!$D:$D,MATCH($S10,'1.10 Z Retail'!$B:$B,0))="","-",INDEX('1.10 Z Retail'!$D:$D,MATCH($S10,'1.10 Z Retail'!$B:$B,0))),"-")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A11" s="949" t="n"/>
      <c r="B11" s="1237" t="inlineStr">
        <is>
          <t>Total</t>
        </is>
      </c>
      <c r="C11" s="635" t="n"/>
      <c r="D11" s="1150">
        <f>SUM(D6:D10)</f>
        <v>34.5</v>
      </c>
      <c r="E11" s="1151">
        <f>COUNTIFS('REVIEW - Complete Role Mapping'!$AJ$2:$AJ$528,"Z Retail")</f>
        <v>39</v>
      </c>
      <c r="F11" s="1151">
        <f>SUM(F6:F10)</f>
        <v>-0.5</v>
      </c>
      <c r="G11" s="1151">
        <f>SUM(G6:G10)</f>
        <v>7</v>
      </c>
      <c r="H11" s="1151">
        <f>SUM(H6:H10)</f>
        <v>0</v>
      </c>
      <c r="I11" s="1151">
        <f>SUM(I6:I10)</f>
        <v>7</v>
      </c>
      <c r="J11" s="634">
        <f>SUM(J6:J10)</f>
        <v>32</v>
      </c>
      <c r="K11" s="1152" t="n"/>
      <c r="L11" s="1153">
        <f>SUM(L6:L10)</f>
        <v>7.8</v>
      </c>
      <c r="M11" s="1153">
        <f>SUMIFS('REVIEW - Complete Role Mapping'!$AA$2:$AA$528,'REVIEW - Complete Role Mapping'!$AJ$2:$AJ$528,"Z Retail")/1000000</f>
        <v>7.337294352</v>
      </c>
      <c r="N11" s="1153">
        <f>SUM(N6:N10)</f>
        <v>-1.680049316</v>
      </c>
      <c r="O11" s="635">
        <f>SUM(O6:O10)</f>
        <v>5.686366352</v>
      </c>
      <c r="P11">
        <f>SUM(P6:P10)</f>
        <v>6.046366352</v>
      </c>
      <c r="Q11">
        <f>SUM(Q6:Q10)</f>
        <v>-2.52285591215385</v>
      </c>
    </row>
    <row r="12">
      <c r="A12" s="949" t="n"/>
      <c r="B12" s="641" t="n"/>
      <c r="C12" s="641" t="n"/>
      <c r="D12" s="1154" t="n"/>
      <c r="E12" s="1154" t="n"/>
      <c r="F12" s="1154" t="n"/>
      <c r="G12" s="1154" t="n"/>
      <c r="H12" s="1154" t="n"/>
      <c r="I12" s="1154" t="n"/>
      <c r="J12" s="641" t="n"/>
      <c r="K12" s="1155" t="n"/>
      <c r="L12" s="1155" t="n"/>
      <c r="M12" s="1155" t="n"/>
      <c r="N12" s="1155" t="n"/>
      <c r="O12" s="641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1156">
        <f>SUMIFS($G$19:$G$57,$D$19:$D$57,"Vacant")/1000000</f>
        <v>1.650928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949" t="n"/>
      <c r="D14" s="949" t="n"/>
      <c r="E14" s="1156">
        <f>(SUMIFS($G$19:$G$57,$D$19:$D$57,"Vacant",$E$19:$E$57,"Hire")+Lists!$AD$5*SUMIFS($G$19:$G$57,$D$19:$D$57,"Vacant",$E$19:$E$57,"Offshore"))/1000000</f>
        <v>0</v>
      </c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432" t="n"/>
      <c r="D15" s="432" t="n"/>
      <c r="E15" s="432">
        <f>SUMIFS('REVIEW - Complete Role Mapping'!$AA$2:$AA$528,'REVIEW - Complete Role Mapping'!$AJ$2:$AJ$528,"Z Retail",'REVIEW - Complete Role Mapping'!$AQ$2:$AQ$528,1)/1000000</f>
        <v>1.217343668</v>
      </c>
      <c r="F15" s="432" t="n"/>
      <c r="G15" s="430" t="n"/>
      <c r="H15" s="430" t="n"/>
      <c r="I15" s="430" t="n"/>
      <c r="J15" s="430" t="n"/>
      <c r="K15" s="949" t="n"/>
      <c r="L15" s="949" t="n"/>
      <c r="M15" s="949" t="n"/>
      <c r="N15" s="949" t="n"/>
      <c r="O15" s="949" t="n"/>
    </row>
    <row r="16">
      <c r="A16" s="949" t="n"/>
      <c r="B16" s="431" t="n"/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994" t="inlineStr">
        <is>
          <t>Z Retail roles - one row per named role, from REVIEW</t>
        </is>
      </c>
      <c r="C17" s="442" t="n"/>
      <c r="D17" s="442" t="n"/>
      <c r="E17" s="1156" t="n"/>
      <c r="F17" s="442" t="n"/>
      <c r="G17" s="442" t="n"/>
      <c r="H17" s="442" t="n"/>
      <c r="I17" s="442" t="n"/>
      <c r="J17" s="442" t="n"/>
      <c r="K17" s="442" t="n"/>
      <c r="L17" s="442" t="n"/>
      <c r="M17" s="442" t="n"/>
      <c r="N17" s="442" t="n"/>
      <c r="O17" s="949" t="n"/>
    </row>
    <row r="18">
      <c r="A18" s="949" t="n"/>
      <c r="B18" s="1029" t="inlineStr">
        <is>
          <t>Name</t>
        </is>
      </c>
      <c r="C18" s="1029" t="inlineStr">
        <is>
          <t>Role</t>
        </is>
      </c>
      <c r="D18" s="1029" t="inlineStr">
        <is>
          <t>Status</t>
        </is>
      </c>
      <c r="E18" s="1236" t="inlineStr">
        <is>
          <t>Vacancy lever</t>
        </is>
      </c>
      <c r="F18" s="1029" t="inlineStr">
        <is>
          <t>Squad</t>
        </is>
      </c>
      <c r="G18" s="1029" t="inlineStr">
        <is>
          <t>Cost if hired ($)</t>
        </is>
      </c>
      <c r="H18" s="1029" t="inlineStr">
        <is>
          <t>Effective cost ($)</t>
        </is>
      </c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433" t="str">
        <f>INDEX('REVIEW - Complete Role Mapping'!$B:$B,5)</f>
        <v>Alex Sutherland</v>
      </c>
      <c r="C19" s="434" t="str">
        <f>INDEX('REVIEW - Complete Role Mapping'!$C:$C,5)</f>
        <v>Site Systems Analyst</v>
      </c>
      <c r="D19" s="434" t="str">
        <f>IF(ISNUMBER(SEARCH("vacant",$B19)),"Vacant","Filled")</f>
        <v>Filled</v>
      </c>
      <c r="E19" s="645" t="inlineStr">
        <is>
          <t>Filled</t>
        </is>
      </c>
      <c r="F19" s="434" t="str">
        <f>INDEX('REVIEW - Complete Role Mapping'!$AP:$AP,5)</f>
        <v>Site Systems</v>
      </c>
      <c r="G19" s="949">
        <f>INDEX('REVIEW - Complete Role Mapping'!$AA:$AA,5)</f>
        <v>96857.824</v>
      </c>
      <c r="H19" s="949">
        <f>$G19*IFERROR(INDEX(Lists!$AD:$AD,MATCH($E19,Lists!$AC:$AC,0)),1)</f>
        <v>96857.824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533" t="str">
        <f>INDEX('REVIEW - Complete Role Mapping'!$B:$B,16)</f>
        <v>Bradley Cunningham</v>
      </c>
      <c r="C20" s="533" t="str">
        <f>INDEX('REVIEW - Complete Role Mapping'!$C:$C,16)</f>
        <v>Site Systems Analyst</v>
      </c>
      <c r="D20" s="533" t="str">
        <f>IF(ISNUMBER(SEARCH("vacant",$B20)),"Vacant","Filled")</f>
        <v>Filled</v>
      </c>
      <c r="E20" s="533" t="inlineStr">
        <is>
          <t>Filled</t>
        </is>
      </c>
      <c r="F20" s="533" t="str">
        <f>INDEX('REVIEW - Complete Role Mapping'!$AP:$AP,16)</f>
        <v>Site Systems</v>
      </c>
      <c r="G20" s="949">
        <f>INDEX('REVIEW - Complete Role Mapping'!$AA:$AA,16)</f>
        <v>107247.016</v>
      </c>
      <c r="H20" s="949">
        <f>$G20*IFERROR(INDEX(Lists!$AD:$AD,MATCH($E20,Lists!$AC:$AC,0)),1)</f>
        <v>107247.016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46" t="str">
        <f>INDEX('REVIEW - Complete Role Mapping'!$B:$B,19)</f>
        <v>Chris Mitchell</v>
      </c>
      <c r="C21" s="646" t="str">
        <f>INDEX('REVIEW - Complete Role Mapping'!$C:$C,19)</f>
        <v>Deployment Lead</v>
      </c>
      <c r="D21" s="646" t="str">
        <f>IF(ISNUMBER(SEARCH("vacant",$B21)),"Vacant","Filled")</f>
        <v>Filled</v>
      </c>
      <c r="E21" s="646" t="inlineStr">
        <is>
          <t>Filled</t>
        </is>
      </c>
      <c r="F21" s="646" t="str">
        <f>INDEX('REVIEW - Complete Role Mapping'!$AP:$AP,19)</f>
        <v>Site Systems</v>
      </c>
      <c r="G21" s="949">
        <f>INDEX('REVIEW - Complete Role Mapping'!$AA:$AA,19)</f>
        <v>136438.8</v>
      </c>
      <c r="H21" s="949">
        <f>$G21*IFERROR(INDEX(Lists!$AD:$AD,MATCH($E21,Lists!$AC:$AC,0)),1)</f>
        <v>136438.8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Mapping'!$B:$B,20)</f>
        <v>Chris Wilson</v>
      </c>
      <c r="C22" s="634" t="str">
        <f>INDEX('REVIEW - Complete Role Mapping'!$C:$C,20)</f>
        <v>Solution Architect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Mapping'!$AP:$AP,20)</f>
        <v>Site Systems</v>
      </c>
      <c r="G22" s="949">
        <f>INDEX('REVIEW - Complete Role Mapping'!$AA:$AA,20)</f>
        <v>186217.884</v>
      </c>
      <c r="H22" s="949">
        <f>$G22*IFERROR(INDEX(Lists!$AD:$AD,MATCH($E22,Lists!$AC:$AC,0)),1)</f>
        <v>186217.884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Mapping'!$B:$B,40)</f>
        <v>Kelly Russell</v>
      </c>
      <c r="C23" s="634" t="str">
        <f>INDEX('REVIEW - Complete Role Mapping'!$C:$C,40)</f>
        <v>Lead Quality Assurance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Mapping'!$AP:$AP,40)</f>
        <v>Site Systems</v>
      </c>
      <c r="G23" s="949">
        <f>INDEX('REVIEW - Complete Role Mapping'!$AA:$AA,40)</f>
        <v>81073.2</v>
      </c>
      <c r="H23" s="949">
        <f>$G23*IFERROR(INDEX(Lists!$AD:$AD,MATCH($E23,Lists!$AC:$AC,0)),1)</f>
        <v>81073.2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Mapping'!$B:$B,56)</f>
        <v>Sakshi Sachdeva</v>
      </c>
      <c r="C24" s="634" t="str">
        <f>INDEX('REVIEW - Complete Role Mapping'!$C:$C,56)</f>
        <v>Senior Quality Assurance 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Mapping'!$AP:$AP,56)</f>
        <v>Site Systems</v>
      </c>
      <c r="G24" s="949">
        <f>INDEX('REVIEW - Complete Role Mapping'!$AA:$AA,56)</f>
        <v>175039.65</v>
      </c>
      <c r="H24" s="949">
        <f>$G24*IFERROR(INDEX(Lists!$AD:$AD,MATCH($E24,Lists!$AC:$AC,0)),1)</f>
        <v>175039.65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Mapping'!$B:$B,63)</f>
        <v>Tim Gurnsey</v>
      </c>
      <c r="C25" s="634" t="str">
        <f>INDEX('REVIEW - Complete Role Mapping'!$C:$C,63)</f>
        <v>Delivery Lead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Mapping'!$AP:$AP,63)</f>
        <v>Site Systems</v>
      </c>
      <c r="G25" s="949">
        <f>INDEX('REVIEW - Complete Role Mapping'!$AA:$AA,63)</f>
        <v>256913.42</v>
      </c>
      <c r="H25" s="949">
        <f>$G25*IFERROR(INDEX(Lists!$AD:$AD,MATCH($E25,Lists!$AC:$AC,0)),1)</f>
        <v>256913.42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Mapping'!$B:$B,98)</f>
        <v>Vanessa King</v>
      </c>
      <c r="C26" s="634" t="str">
        <f>INDEX('REVIEW - Complete Role Mapping'!$C:$C,98)</f>
        <v>Lead Quality Assurance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Mapping'!$AP:$AP,98)</f>
        <v>Site Systems</v>
      </c>
      <c r="G26" s="949">
        <f>INDEX('REVIEW - Complete Role Mapping'!$AA:$AA,98)</f>
        <v>199898.928</v>
      </c>
      <c r="H26" s="949">
        <f>$G26*IFERROR(INDEX(Lists!$AD:$AD,MATCH($E26,Lists!$AC:$AC,0)),1)</f>
        <v>199898.928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Mapping'!$B:$B,105)</f>
        <v>Warren Grieve</v>
      </c>
      <c r="C27" s="634" t="str">
        <f>INDEX('REVIEW - Complete Role Mapping'!$C:$C,105)</f>
        <v>Senior Site Systems Analyst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Mapping'!$AP:$AP,105)</f>
        <v>Site Systems</v>
      </c>
      <c r="G27" s="949">
        <f>INDEX('REVIEW - Complete Role Mapping'!$AA:$AA,105)</f>
        <v>134979.036</v>
      </c>
      <c r="H27" s="949">
        <f>$G27*IFERROR(INDEX(Lists!$AD:$AD,MATCH($E27,Lists!$AC:$AC,0)),1)</f>
        <v>134979.036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Mapping'!$B:$B,2)</f>
        <v>Adrian Alcance</v>
      </c>
      <c r="C28" s="634" t="str">
        <f>INDEX('REVIEW - Complete Role Mapping'!$C:$C,2)</f>
        <v>Senior Engineer - DevOps</v>
      </c>
      <c r="D28" s="612" t="str">
        <f>IF(ISNUMBER(SEARCH("vacant",$B28)),"Vacant","Filled")</f>
        <v>Filled</v>
      </c>
      <c r="E28" s="647" t="inlineStr">
        <is>
          <t>Filled</t>
        </is>
      </c>
      <c r="F28" s="648" t="str">
        <f>INDEX('REVIEW - Complete Role Mapping'!$AP:$AP,2)</f>
        <v>Z Retail Backend</v>
      </c>
      <c r="G28" s="949">
        <f>INDEX('REVIEW - Complete Role Mapping'!$AA:$AA,2)</f>
        <v>142900.236</v>
      </c>
      <c r="H28" s="949">
        <f>$G28*IFERROR(INDEX(Lists!$AD:$AD,MATCH($E28,Lists!$AC:$AC,0)),1)</f>
        <v>142900.236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Mapping'!$B:$B,6)</f>
        <v>Allana Arbuckle</v>
      </c>
      <c r="C29" s="634" t="str">
        <f>INDEX('REVIEW - Complete Role Mapping'!$C:$C,6)</f>
        <v>Business Analyst</v>
      </c>
      <c r="D29" s="612" t="str">
        <f>IF(ISNUMBER(SEARCH("vacant",$B29)),"Vacant","Filled")</f>
        <v>Filled</v>
      </c>
      <c r="E29" s="647" t="inlineStr">
        <is>
          <t>Filled</t>
        </is>
      </c>
      <c r="F29" s="648" t="str">
        <f>INDEX('REVIEW - Complete Role Mapping'!$AP:$AP,6)</f>
        <v>Z Retail Backend</v>
      </c>
      <c r="G29" s="949">
        <f>INDEX('REVIEW - Complete Role Mapping'!$AA:$AA,6)</f>
        <v>112447.04</v>
      </c>
      <c r="H29" s="949">
        <f>$G29*IFERROR(INDEX(Lists!$AD:$AD,MATCH($E29,Lists!$AC:$AC,0)),1)</f>
        <v>112447.04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Mapping'!$B:$B,21)</f>
        <v>Christian Guo</v>
      </c>
      <c r="C30" s="646" t="str">
        <f>INDEX('REVIEW - Complete Role Mapping'!$C:$C,21)</f>
        <v>Solution Architect</v>
      </c>
      <c r="D30" s="646" t="str">
        <f>IF(ISNUMBER(SEARCH("vacant",$B30)),"Vacant","Filled")</f>
        <v>Filled</v>
      </c>
      <c r="E30" s="646" t="inlineStr">
        <is>
          <t>Filled</t>
        </is>
      </c>
      <c r="F30" s="646" t="str">
        <f>INDEX('REVIEW - Complete Role Mapping'!$AP:$AP,21)</f>
        <v>Z Retail Backend</v>
      </c>
      <c r="G30" s="949">
        <f>INDEX('REVIEW - Complete Role Mapping'!$AA:$AA,21)</f>
        <v>206598</v>
      </c>
      <c r="H30" s="949">
        <f>$G30*IFERROR(INDEX(Lists!$AD:$AD,MATCH($E30,Lists!$AC:$AC,0)),1)</f>
        <v>206598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Mapping'!$B:$B,41)</f>
        <v>Lauren Lancaster</v>
      </c>
      <c r="C31" s="634" t="str">
        <f>INDEX('REVIEW - Complete Role Mapping'!$C:$C,41)</f>
        <v>Associate Engineer - Software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Mapping'!$AP:$AP,41)</f>
        <v>Z Retail Backend</v>
      </c>
      <c r="G31" s="949">
        <f>INDEX('REVIEW - Complete Role Mapping'!$AA:$AA,41)</f>
        <v>438650</v>
      </c>
      <c r="H31" s="949">
        <f>$G31*IFERROR(INDEX(Lists!$AD:$AD,MATCH($E31,Lists!$AC:$AC,0)),1)</f>
        <v>438650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Mapping'!$B:$B,44)</f>
        <v>Malachi Ah Hoi</v>
      </c>
      <c r="C32" s="634" t="str">
        <f>INDEX('REVIEW - Complete Role Mapping'!$C:$C,44)</f>
        <v>Senior Quality Assurance</v>
      </c>
      <c r="D32" s="612" t="str">
        <f>IF(ISNUMBER(SEARCH("vacant",$B32)),"Vacant","Filled")</f>
        <v>Filled</v>
      </c>
      <c r="E32" s="612" t="inlineStr">
        <is>
          <t>Filled</t>
        </is>
      </c>
      <c r="F32" s="634" t="str">
        <f>INDEX('REVIEW - Complete Role Mapping'!$AP:$AP,44)</f>
        <v>Z Retail Backend</v>
      </c>
      <c r="G32" s="949">
        <f>INDEX('REVIEW - Complete Role Mapping'!$AA:$AA,44)</f>
        <v>199378.392</v>
      </c>
      <c r="H32" s="949">
        <f>$G32*IFERROR(INDEX(Lists!$AD:$AD,MATCH($E32,Lists!$AC:$AC,0)),1)</f>
        <v>199378.392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Mapping'!$B:$B,46)</f>
        <v>Mark Dickson</v>
      </c>
      <c r="C33" s="634" t="str">
        <f>INDEX('REVIEW - Complete Role Mapping'!$C:$C,46)</f>
        <v>Delivery Lead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Mapping'!$AP:$AP,46)</f>
        <v>Z Retail Backend</v>
      </c>
      <c r="G33" s="949">
        <f>INDEX('REVIEW - Complete Role Mapping'!$AA:$AA,46)</f>
        <v>180225</v>
      </c>
      <c r="H33" s="949">
        <f>$G33*IFERROR(INDEX(Lists!$AD:$AD,MATCH($E33,Lists!$AC:$AC,0)),1)</f>
        <v>180225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Mapping'!$B:$B,65)</f>
        <v>Trevor Weaver</v>
      </c>
      <c r="C34" s="634" t="str">
        <f>INDEX('REVIEW - Complete Role Mapping'!$C:$C,65)</f>
        <v>Lead  Engineer - Software</v>
      </c>
      <c r="D34" s="612" t="str">
        <f>IF(ISNUMBER(SEARCH("vacant",$B34)),"Vacant","Filled")</f>
        <v>Filled</v>
      </c>
      <c r="E34" s="612" t="inlineStr">
        <is>
          <t>Filled</t>
        </is>
      </c>
      <c r="F34" s="634" t="str">
        <f>INDEX('REVIEW - Complete Role Mapping'!$AP:$AP,65)</f>
        <v>Z Retail Backend</v>
      </c>
      <c r="G34" s="949">
        <f>INDEX('REVIEW - Complete Role Mapping'!$AA:$AA,65)</f>
        <v>175289.5</v>
      </c>
      <c r="H34" s="949">
        <f>$G34*IFERROR(INDEX(Lists!$AD:$AD,MATCH($E34,Lists!$AC:$AC,0)),1)</f>
        <v>175289.5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Mapping'!$B:$B,80)</f>
        <v>Vacant</v>
      </c>
      <c r="C35" s="634" t="str">
        <f>INDEX('REVIEW - Complete Role Mapping'!$C:$C,80)</f>
        <v>Engineer - Software</v>
      </c>
      <c r="D35" s="612" t="str">
        <f>IF(ISNUMBER(SEARCH("vacant",$B35)),"Vacant","Filled")</f>
        <v>Vacant</v>
      </c>
      <c r="E35" s="612" t="inlineStr">
        <is>
          <t>Hold</t>
        </is>
      </c>
      <c r="F35" s="634" t="str">
        <f>INDEX('REVIEW - Complete Role Mapping'!$AP:$AP,80)</f>
        <v>Z Retail Backend</v>
      </c>
      <c r="G35" s="949">
        <f>INDEX('REVIEW - Complete Role Mapping'!$AA:$AA,80)</f>
        <v>231689.25</v>
      </c>
      <c r="H35" s="949">
        <f>$G35*IFERROR(INDEX(Lists!$AD:$AD,MATCH($E35,Lists!$AC:$AC,0)),1)</f>
        <v>0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Mapping'!$B:$B,84)</f>
        <v>Vacant</v>
      </c>
      <c r="C36" s="634" t="str">
        <f>INDEX('REVIEW - Complete Role Mapping'!$C:$C,84)</f>
        <v>Lead Quality Assurance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Mapping'!$AP:$AP,84)</f>
        <v>Z Retail Backend</v>
      </c>
      <c r="G36" s="949">
        <f>INDEX('REVIEW - Complete Role Mapping'!$AA:$AA,84)</f>
        <v>170489.75</v>
      </c>
      <c r="H36" s="949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Mapping'!$B:$B,9)</f>
        <v>Anna Koot</v>
      </c>
      <c r="C37" s="634" t="str">
        <f>INDEX('REVIEW - Complete Role Mapping'!$C:$C,9)</f>
        <v>Senior Business Analyst</v>
      </c>
      <c r="D37" s="612" t="str">
        <f>IF(ISNUMBER(SEARCH("vacant",$B37)),"Vacant","Filled")</f>
        <v>Filled</v>
      </c>
      <c r="E37" s="612" t="inlineStr">
        <is>
          <t>Filled</t>
        </is>
      </c>
      <c r="F37" s="634" t="str">
        <f>INDEX('REVIEW - Complete Role Mapping'!$AP:$AP,9)</f>
        <v>Z Supply</v>
      </c>
      <c r="G37" s="949">
        <f>INDEX('REVIEW - Complete Role Mapping'!$AA:$AA,9)</f>
        <v>153774.912</v>
      </c>
      <c r="H37" s="949">
        <f>$G37*IFERROR(INDEX(Lists!$AD:$AD,MATCH($E37,Lists!$AC:$AC,0)),1)</f>
        <v>153774.912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Mapping'!$B:$B,15)</f>
        <v>Benjamin Sheffield</v>
      </c>
      <c r="C38" s="634" t="str">
        <f>INDEX('REVIEW - Complete Role Mapping'!$C:$C,15)</f>
        <v>Lead Engineer - Software</v>
      </c>
      <c r="D38" s="612" t="str">
        <f>IF(ISNUMBER(SEARCH("vacant",$B38)),"Vacant","Filled")</f>
        <v>Filled</v>
      </c>
      <c r="E38" s="612" t="inlineStr">
        <is>
          <t>Filled</t>
        </is>
      </c>
      <c r="F38" s="634" t="str">
        <f>INDEX('REVIEW - Complete Role Mapping'!$AP:$AP,15)</f>
        <v>Z Supply</v>
      </c>
      <c r="G38" s="949">
        <f>INDEX('REVIEW - Complete Role Mapping'!$AA:$AA,15)</f>
        <v>184248.9</v>
      </c>
      <c r="H38" s="949">
        <f>$G38*IFERROR(INDEX(Lists!$AD:$AD,MATCH($E38,Lists!$AC:$AC,0)),1)</f>
        <v>184248.9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Mapping'!$B:$B,25)</f>
        <v>Eugene Yeo</v>
      </c>
      <c r="C39" s="646" t="str">
        <f>INDEX('REVIEW - Complete Role Mapping'!$C:$C,25)</f>
        <v>Engineer - DevOps</v>
      </c>
      <c r="D39" s="646" t="str">
        <f>IF(ISNUMBER(SEARCH("vacant",$B39)),"Vacant","Filled")</f>
        <v>Filled</v>
      </c>
      <c r="E39" s="646" t="inlineStr">
        <is>
          <t>Filled</t>
        </is>
      </c>
      <c r="F39" s="646" t="str">
        <f>INDEX('REVIEW - Complete Role Mapping'!$AP:$AP,25)</f>
        <v>Z Supply</v>
      </c>
      <c r="G39" s="949">
        <f>INDEX('REVIEW - Complete Role Mapping'!$AA:$AA,25)</f>
        <v>116898</v>
      </c>
      <c r="H39" s="949">
        <f>$G39*IFERROR(INDEX(Lists!$AD:$AD,MATCH($E39,Lists!$AC:$AC,0)),1)</f>
        <v>116898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Mapping'!$B:$B,26)</f>
        <v>Gayan Liyana Arachchige</v>
      </c>
      <c r="C40" s="634" t="str">
        <f>INDEX('REVIEW - Complete Role Mapping'!$C:$C,26)</f>
        <v>Engineer - DevOps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Mapping'!$AP:$AP,26)</f>
        <v>Z Supply</v>
      </c>
      <c r="G40" s="949">
        <f>INDEX('REVIEW - Complete Role Mapping'!$AA:$AA,26)</f>
        <v>174513.65</v>
      </c>
      <c r="H40" s="949">
        <f>$G40*IFERROR(INDEX(Lists!$AD:$AD,MATCH($E40,Lists!$AC:$AC,0)),1)</f>
        <v>174513.65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Mapping'!$B:$B,29)</f>
        <v>Helen Jones</v>
      </c>
      <c r="C41" s="634" t="str">
        <f>INDEX('REVIEW - Complete Role Mapping'!$C:$C,29)</f>
        <v>Delivery Lead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Mapping'!$AP:$AP,29)</f>
        <v>Z Supply</v>
      </c>
      <c r="G41" s="949">
        <f>INDEX('REVIEW - Complete Role Mapping'!$AA:$AA,29)</f>
        <v>239418.9</v>
      </c>
      <c r="H41" s="949">
        <f>$G41*IFERROR(INDEX(Lists!$AD:$AD,MATCH($E41,Lists!$AC:$AC,0)),1)</f>
        <v>239418.9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Mapping'!$B:$B,31)</f>
        <v>Isuru Herath</v>
      </c>
      <c r="C42" s="634" t="str">
        <f>INDEX('REVIEW - Complete Role Mapping'!$C:$C,31)</f>
        <v>Senior Engineer - Software</v>
      </c>
      <c r="D42" s="612" t="str">
        <f>IF(ISNUMBER(SEARCH("vacant",$B42)),"Vacant","Filled")</f>
        <v>Filled</v>
      </c>
      <c r="E42" s="612" t="inlineStr">
        <is>
          <t>Filled</t>
        </is>
      </c>
      <c r="F42" s="634" t="str">
        <f>INDEX('REVIEW - Complete Role Mapping'!$AP:$AP,31)</f>
        <v>Z Supply</v>
      </c>
      <c r="G42" s="949">
        <f>INDEX('REVIEW - Complete Role Mapping'!$AA:$AA,31)</f>
        <v>224493.6</v>
      </c>
      <c r="H42" s="949">
        <f>$G42*IFERROR(INDEX(Lists!$AD:$AD,MATCH($E42,Lists!$AC:$AC,0)),1)</f>
        <v>224493.6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Mapping'!$B:$B,34)</f>
        <v>Joe Kuttikkatt</v>
      </c>
      <c r="C43" s="634" t="str">
        <f>INDEX('REVIEW - Complete Role Mapping'!$C:$C,34)</f>
        <v>Senior Quality Assurance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Mapping'!$AP:$AP,34)</f>
        <v>Z Supply</v>
      </c>
      <c r="G43" s="949">
        <f>INDEX('REVIEW - Complete Role Mapping'!$AA:$AA,34)</f>
        <v>104565.584</v>
      </c>
      <c r="H43" s="949">
        <f>$G43*IFERROR(INDEX(Lists!$AD:$AD,MATCH($E43,Lists!$AC:$AC,0)),1)</f>
        <v>104565.584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Mapping'!$B:$B,35)</f>
        <v>Johanah Gloria</v>
      </c>
      <c r="C44" s="634" t="str">
        <f>INDEX('REVIEW - Complete Role Mapping'!$C:$C,35)</f>
        <v>Engineer - Software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Mapping'!$AP:$AP,35)</f>
        <v>Z Supply</v>
      </c>
      <c r="G44" s="949">
        <f>INDEX('REVIEW - Complete Role Mapping'!$AA:$AA,35)</f>
        <v>190050.6</v>
      </c>
      <c r="H44" s="949">
        <f>$G44*IFERROR(INDEX(Lists!$AD:$AD,MATCH($E44,Lists!$AC:$AC,0)),1)</f>
        <v>190050.6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Mapping'!$B:$B,89)</f>
        <v>Vacant</v>
      </c>
      <c r="C45" s="634" t="str">
        <f>INDEX('REVIEW - Complete Role Mapping'!$C:$C,89)</f>
        <v>Quality Assurance</v>
      </c>
      <c r="D45" s="612" t="str">
        <f>IF(ISNUMBER(SEARCH("vacant",$B45)),"Vacant","Filled")</f>
        <v>Vacant</v>
      </c>
      <c r="E45" s="612" t="inlineStr">
        <is>
          <t>Hold</t>
        </is>
      </c>
      <c r="F45" s="634" t="str">
        <f>INDEX('REVIEW - Complete Role Mapping'!$AP:$AP,89)</f>
        <v>Z Supply</v>
      </c>
      <c r="G45" s="949">
        <f>INDEX('REVIEW - Complete Role Mapping'!$AA:$AA,89)</f>
        <v>275810.25</v>
      </c>
      <c r="H45" s="949">
        <f>$G45*IFERROR(INDEX(Lists!$AD:$AD,MATCH($E45,Lists!$AC:$AC,0)),1)</f>
        <v>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Mapping'!$B:$B,12)</f>
        <v>Ash Muthumala</v>
      </c>
      <c r="C46" s="634" t="str">
        <f>INDEX('REVIEW - Complete Role Mapping'!$C:$C,12)</f>
        <v>Senior QA Analyst</v>
      </c>
      <c r="D46" s="612" t="str">
        <f>IF(ISNUMBER(SEARCH("vacant",$B46)),"Vacant","Filled")</f>
        <v>Filled</v>
      </c>
      <c r="E46" s="612" t="inlineStr">
        <is>
          <t>Filled</t>
        </is>
      </c>
      <c r="F46" s="634" t="str">
        <f>INDEX('REVIEW - Complete Role Mapping'!$AP:$AP,12)</f>
        <v>Data NZ</v>
      </c>
      <c r="G46" s="949">
        <f>INDEX('REVIEW - Complete Role Mapping'!$AA:$AA,12)</f>
        <v>140772.828</v>
      </c>
      <c r="H46" s="949">
        <f>$G46*IFERROR(INDEX(Lists!$AD:$AD,MATCH($E46,Lists!$AC:$AC,0)),1)</f>
        <v>140772.828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Mapping'!$B:$B,17)</f>
        <v>Brian Lai</v>
      </c>
      <c r="C47" s="634" t="str">
        <f>INDEX('REVIEW - Complete Role Mapping'!$C:$C,17)</f>
        <v>Engineer - Data</v>
      </c>
      <c r="D47" s="612" t="str">
        <f>IF(ISNUMBER(SEARCH("vacant",$B47)),"Vacant","Filled")</f>
        <v>Filled</v>
      </c>
      <c r="E47" s="647" t="inlineStr">
        <is>
          <t>Filled</t>
        </is>
      </c>
      <c r="F47" s="648" t="str">
        <f>INDEX('REVIEW - Complete Role Mapping'!$AP:$AP,17)</f>
        <v>Data NZ</v>
      </c>
      <c r="G47" s="949">
        <f>INDEX('REVIEW - Complete Role Mapping'!$AA:$AA,17)</f>
        <v>155676</v>
      </c>
      <c r="H47" s="949">
        <f>$G47*IFERROR(INDEX(Lists!$AD:$AD,MATCH($E47,Lists!$AC:$AC,0)),1)</f>
        <v>155676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Mapping'!$B:$B,33)</f>
        <v>Jodie Marquez</v>
      </c>
      <c r="C48" s="646" t="str">
        <f>INDEX('REVIEW - Complete Role Mapping'!$C:$C,33)</f>
        <v>Data Analyst</v>
      </c>
      <c r="D48" s="646" t="str">
        <f>IF(ISNUMBER(SEARCH("vacant",$B48)),"Vacant","Filled")</f>
        <v>Filled</v>
      </c>
      <c r="E48" s="646" t="inlineStr">
        <is>
          <t>Filled</t>
        </is>
      </c>
      <c r="F48" s="646" t="str">
        <f>INDEX('REVIEW - Complete Role Mapping'!$AP:$AP,33)</f>
        <v>Data NZ</v>
      </c>
      <c r="G48" s="949">
        <f>INDEX('REVIEW - Complete Role Mapping'!$AA:$AA,33)</f>
        <v>144642.9</v>
      </c>
      <c r="H48" s="949">
        <f>$G48*IFERROR(INDEX(Lists!$AD:$AD,MATCH($E48,Lists!$AC:$AC,0)),1)</f>
        <v>144642.9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Mapping'!$B:$B,49)</f>
        <v>McKenzie Tournquist</v>
      </c>
      <c r="C49" s="634" t="str">
        <f>INDEX('REVIEW - Complete Role Mapping'!$C:$C,49)</f>
        <v>Data Analyst</v>
      </c>
      <c r="D49" s="612" t="str">
        <f>IF(ISNUMBER(SEARCH("vacant",$B49)),"Vacant","Filled")</f>
        <v>Filled</v>
      </c>
      <c r="E49" s="612" t="inlineStr">
        <is>
          <t>Filled</t>
        </is>
      </c>
      <c r="F49" s="634" t="str">
        <f>INDEX('REVIEW - Complete Role Mapping'!$AP:$AP,49)</f>
        <v>Data NZ</v>
      </c>
      <c r="G49" s="949">
        <f>INDEX('REVIEW - Complete Role Mapping'!$AA:$AA,49)</f>
        <v>91809.784</v>
      </c>
      <c r="H49" s="949">
        <f>$G49*IFERROR(INDEX(Lists!$AD:$AD,MATCH($E49,Lists!$AC:$AC,0)),1)</f>
        <v>91809.784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Mapping'!$B:$B,50)</f>
        <v>Michael Dasan</v>
      </c>
      <c r="C50" s="634" t="str">
        <f>INDEX('REVIEW - Complete Role Mapping'!$C:$C,50)</f>
        <v>Engineer - Data</v>
      </c>
      <c r="D50" s="612" t="str">
        <f>IF(ISNUMBER(SEARCH("vacant",$B50)),"Vacant","Filled")</f>
        <v>Filled</v>
      </c>
      <c r="E50" s="612" t="inlineStr">
        <is>
          <t>Filled</t>
        </is>
      </c>
      <c r="F50" s="634" t="str">
        <f>INDEX('REVIEW - Complete Role Mapping'!$AP:$AP,50)</f>
        <v>Data NZ</v>
      </c>
      <c r="G50" s="949">
        <f>INDEX('REVIEW - Complete Role Mapping'!$AA:$AA,50)</f>
        <v>212278.35</v>
      </c>
      <c r="H50" s="949">
        <f>$G50*IFERROR(INDEX(Lists!$AD:$AD,MATCH($E50,Lists!$AC:$AC,0)),1)</f>
        <v>212278.35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Mapping'!$B:$B,73)</f>
        <v>Vacant</v>
      </c>
      <c r="C51" s="634" t="str">
        <f>INDEX('REVIEW - Complete Role Mapping'!$C:$C,73)</f>
        <v>Delivery Lead</v>
      </c>
      <c r="D51" s="612" t="str">
        <f>IF(ISNUMBER(SEARCH("vacant",$B51)),"Vacant","Filled")</f>
        <v>Vacant</v>
      </c>
      <c r="E51" s="612" t="inlineStr">
        <is>
          <t>Hold</t>
        </is>
      </c>
      <c r="F51" s="634" t="str">
        <f>INDEX('REVIEW - Complete Role Mapping'!$AP:$AP,73)</f>
        <v>Data NZ</v>
      </c>
      <c r="G51" s="949">
        <f>INDEX('REVIEW - Complete Role Mapping'!$AA:$AA,73)</f>
        <v>275810.25</v>
      </c>
      <c r="H51" s="949">
        <f>$G51*IFERROR(INDEX(Lists!$AD:$AD,MATCH($E51,Lists!$AC:$AC,0)),1)</f>
        <v>0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Mapping'!$B:$B,78)</f>
        <v>Vacant</v>
      </c>
      <c r="C52" s="634" t="str">
        <f>INDEX('REVIEW - Complete Role Mapping'!$C:$C,78)</f>
        <v>Engineer - Data</v>
      </c>
      <c r="D52" s="612" t="str">
        <f>IF(ISNUMBER(SEARCH("vacant",$B52)),"Vacant","Filled")</f>
        <v>Vacant</v>
      </c>
      <c r="E52" s="612" t="inlineStr">
        <is>
          <t>Hold</t>
        </is>
      </c>
      <c r="F52" s="634" t="str">
        <f>INDEX('REVIEW - Complete Role Mapping'!$AP:$AP,78)</f>
        <v>Data NZ</v>
      </c>
      <c r="G52" s="949">
        <f>INDEX('REVIEW - Complete Role Mapping'!$AA:$AA,78)</f>
        <v>202853.25</v>
      </c>
      <c r="H52" s="949">
        <f>$G52*IFERROR(INDEX(Lists!$AD:$AD,MATCH($E52,Lists!$AC:$AC,0)),1)</f>
        <v>0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Mapping'!$B:$B,18)</f>
        <v>Callan McLaughlin</v>
      </c>
      <c r="C53" s="634" t="str">
        <f>INDEX('REVIEW - Complete Role Mapping'!$C:$C,18)</f>
        <v>Technology Manager, Site Systems</v>
      </c>
      <c r="D53" s="612" t="str">
        <f>IF(ISNUMBER(SEARCH("vacant",$B53)),"Vacant","Filled")</f>
        <v>Filled</v>
      </c>
      <c r="E53" s="612" t="inlineStr">
        <is>
          <t>Filled</t>
        </is>
      </c>
      <c r="F53" s="634" t="str">
        <f>INDEX('REVIEW - Complete Role Mapping'!$AP:$AP,18)</f>
        <v>Leadership</v>
      </c>
      <c r="G53" s="949">
        <f>INDEX('REVIEW - Complete Role Mapping'!$AA:$AA,18)</f>
        <v>210535.968</v>
      </c>
      <c r="H53" s="949">
        <f>$G53*IFERROR(INDEX(Lists!$AD:$AD,MATCH($E53,Lists!$AC:$AC,0)),1)</f>
        <v>210535.968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Mapping'!$B:$B,23)</f>
        <v>Emma Natoli</v>
      </c>
      <c r="C54" s="646" t="str">
        <f>INDEX('REVIEW - Complete Role Mapping'!$C:$C,23)</f>
        <v>Technology Manager, Engineering</v>
      </c>
      <c r="D54" s="646" t="str">
        <f>IF(ISNUMBER(SEARCH("vacant",$B54)),"Vacant","Filled")</f>
        <v>Filled</v>
      </c>
      <c r="E54" s="646" t="inlineStr">
        <is>
          <t>Filled</t>
        </is>
      </c>
      <c r="F54" s="646" t="str">
        <f>INDEX('REVIEW - Complete Role Mapping'!$AP:$AP,23)</f>
        <v>Leadership</v>
      </c>
      <c r="G54" s="949">
        <f>INDEX('REVIEW - Complete Role Mapping'!$AA:$AA,23)</f>
        <v>236722.2</v>
      </c>
      <c r="H54" s="949">
        <f>$G54*IFERROR(INDEX(Lists!$AD:$AD,MATCH($E54,Lists!$AC:$AC,0)),1)</f>
        <v>236722.2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Mapping'!$B:$B,45)</f>
        <v>Manjot Kaur Malli</v>
      </c>
      <c r="C55" s="634" t="str">
        <f>INDEX('REVIEW - Complete Role Mapping'!$C:$C,45)</f>
        <v>Technology Manager, Data</v>
      </c>
      <c r="D55" s="612" t="str">
        <f>IF(ISNUMBER(SEARCH("vacant",$B55)),"Vacant","Filled")</f>
        <v>Filled</v>
      </c>
      <c r="E55" s="612" t="inlineStr">
        <is>
          <t>Filled</t>
        </is>
      </c>
      <c r="F55" s="634" t="str">
        <f>INDEX('REVIEW - Complete Role Mapping'!$AP:$AP,45)</f>
        <v>Leadership</v>
      </c>
      <c r="G55" s="949">
        <f>INDEX('REVIEW - Complete Role Mapping'!$AA:$AA,45)</f>
        <v>275810.25</v>
      </c>
      <c r="H55" s="949">
        <f>$G55*IFERROR(INDEX(Lists!$AD:$AD,MATCH($E55,Lists!$AC:$AC,0)),1)</f>
        <v>275810.25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Mapping'!$B:$B,74)</f>
        <v>Vacant</v>
      </c>
      <c r="C56" s="634" t="str">
        <f>INDEX('REVIEW - Complete Role Mapping'!$C:$C,74)</f>
        <v>Delivery Manager</v>
      </c>
      <c r="D56" s="612" t="str">
        <f>IF(ISNUMBER(SEARCH("vacant",$B56)),"Vacant","Filled")</f>
        <v>Vacant</v>
      </c>
      <c r="E56" s="612" t="inlineStr">
        <is>
          <t>Hold</t>
        </is>
      </c>
      <c r="F56" s="634" t="str">
        <f>INDEX('REVIEW - Complete Role Mapping'!$AP:$AP,74)</f>
        <v>Leadership</v>
      </c>
      <c r="G56" s="949">
        <f>INDEX('REVIEW - Complete Role Mapping'!$AA:$AA,74)</f>
        <v>202853.25</v>
      </c>
      <c r="H56" s="949">
        <f>$G56*IFERROR(INDEX(Lists!$AD:$AD,MATCH($E56,Lists!$AC:$AC,0)),1)</f>
        <v>0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Mapping'!$B:$B,82)</f>
        <v>Vacant</v>
      </c>
      <c r="C57" s="634" t="str">
        <f>INDEX('REVIEW - Complete Role Mapping'!$C:$C,82)</f>
        <v>Head of Technology, Z and Group Retail Platforms</v>
      </c>
      <c r="D57" s="612" t="str">
        <f>IF(ISNUMBER(SEARCH("vacant",$B57)),"Vacant","Filled")</f>
        <v>Vacant</v>
      </c>
      <c r="E57" s="612" t="inlineStr">
        <is>
          <t>Hold</t>
        </is>
      </c>
      <c r="F57" s="634" t="str">
        <f>INDEX('REVIEW - Complete Role Mapping'!$AP:$AP,82)</f>
        <v>Leadership</v>
      </c>
      <c r="G57" s="949">
        <f>INDEX('REVIEW - Complete Role Mapping'!$AA:$AA,82)</f>
        <v>291422</v>
      </c>
      <c r="H57" s="949">
        <f>$G57*IFERROR(INDEX(Lists!$AD:$AD,MATCH($E57,Lists!$AC:$AC,0)),1)</f>
        <v>0</v>
      </c>
      <c r="I57" s="949" t="n"/>
      <c r="J57" s="949" t="n"/>
      <c r="K57" s="949" t="n"/>
      <c r="L57" s="949" t="n"/>
      <c r="M57" s="949" t="n"/>
      <c r="N57" s="949" t="n"/>
    </row>
    <row r="58">
      <c r="B58" s="646" t="n"/>
      <c r="C58" s="646" t="n"/>
      <c r="D58" s="646" t="n"/>
      <c r="E58" s="646" t="n"/>
      <c r="F58" s="646" t="n"/>
      <c r="G58" s="949" t="n"/>
      <c r="H58" s="949" t="n"/>
      <c r="I58" s="949" t="n"/>
      <c r="J58" s="949" t="n"/>
      <c r="K58" s="949" t="n"/>
      <c r="L58" s="949" t="n"/>
      <c r="M58" s="949" t="n"/>
      <c r="N58" s="949" t="n"/>
    </row>
    <row r="59">
      <c r="B59" s="634" t="n"/>
      <c r="C59" s="634" t="n"/>
      <c r="D59" s="612" t="n"/>
      <c r="E59" s="647" t="n"/>
      <c r="F59" s="648" t="n"/>
      <c r="G59" s="949" t="n"/>
      <c r="H59" s="949" t="n"/>
      <c r="I59" s="949" t="n"/>
      <c r="J59" s="949" t="n"/>
      <c r="K59" s="949" t="n"/>
      <c r="L59" s="949" t="n"/>
      <c r="M59" s="949" t="n"/>
      <c r="N59" s="949" t="n"/>
    </row>
    <row r="60">
      <c r="B60" s="634" t="n"/>
      <c r="C60" s="634" t="n"/>
      <c r="D60" s="612" t="n"/>
      <c r="E60" s="647" t="n"/>
      <c r="F60" s="648" t="n"/>
      <c r="G60" s="949" t="n"/>
      <c r="H60" s="949" t="n"/>
      <c r="I60" s="949" t="n"/>
      <c r="J60" s="949" t="n"/>
      <c r="K60" s="949" t="n"/>
      <c r="L60" s="949" t="n"/>
      <c r="M60" s="949" t="n"/>
      <c r="N60" s="949" t="n"/>
    </row>
    <row r="61">
      <c r="B61" s="646" t="n"/>
      <c r="C61" s="646" t="n"/>
      <c r="D61" s="646" t="n"/>
      <c r="E61" s="646" t="n"/>
      <c r="F61" s="646" t="n"/>
      <c r="G61" s="442" t="n"/>
      <c r="H61" s="442" t="n"/>
      <c r="I61" s="442" t="n"/>
      <c r="J61" s="442" t="n"/>
      <c r="K61" s="442" t="n"/>
      <c r="L61" s="442" t="n"/>
      <c r="M61" s="442" t="n"/>
      <c r="N61" s="442" t="n"/>
    </row>
    <row r="62">
      <c r="B62" s="634" t="n"/>
      <c r="C62" s="634" t="n"/>
      <c r="D62" s="612" t="n"/>
      <c r="E62" s="612" t="n"/>
      <c r="F62" s="634" t="n"/>
      <c r="G62" s="442" t="n"/>
      <c r="H62" s="442" t="n"/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7:D43">
    <cfRule type="cellIs" priority="1" operator="equal" dxfId="1">
      <formula>"Vacant"</formula>
    </cfRule>
  </conditionalFormatting>
  <conditionalFormatting sqref="I6:I9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9:E57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7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Service Op &amp; Assurance</t>
        </is>
      </c>
      <c r="C6" s="635" t="str">
        <f>"Outside archetype model"</f>
        <v>Outside archetype model</v>
      </c>
      <c r="D6" s="1150" t="str">
        <f>IFERROR(INDEX('0.3 Squad Archetypes'!$F$5:$F$23,MATCH($C6&amp;"|"&amp;$R6,'0.3 Squad Archetypes'!$A$5:$A$23,0)),"-")</f>
        <v>-</v>
      </c>
      <c r="E6" s="1151">
        <f>COUNTIFS($F$19:$F$64,$B6)</f>
        <v>21</v>
      </c>
      <c r="F6" s="1151" t="str">
        <f>IFERROR($E6-$D6,"-")</f>
        <v>-</v>
      </c>
      <c r="G6" s="1151">
        <f>COUNTIFS($F$19:$F$64,$B6,$D$19:$D$64,"Vacant")</f>
        <v>4</v>
      </c>
      <c r="H6" s="1151">
        <f>COUNTIFS($F$19:$F$64,$B6,$D$19:$D$64,"Vacant",$E$19:$E$64,"Hire")+COUNTIFS($F$19:$F$64,$B6,$D$19:$D$64,"Vacant",$E$19:$E$64,"Offshore")</f>
        <v>0</v>
      </c>
      <c r="I6" s="1151">
        <f>$G6-$H6</f>
        <v>4</v>
      </c>
      <c r="J6" s="634">
        <f>$E6-COUNTIFS($F$19:$F$64,$B6,$E$19:$E$64,"Hold")</f>
        <v>17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153" t="str">
        <f>IFERROR(INDEX('0.3 Squad Archetypes'!$G$5:$G$23,MATCH($C6&amp;"|"&amp;$R6,'0.3 Squad Archetypes'!$A$5:$A$23,0)),"-")</f>
        <v>-</v>
      </c>
      <c r="M6" s="1153">
        <f>SUMIFS($G$19:$G$64,$F$19:$F$64,$B6)/1000000</f>
        <v>3.92346938</v>
      </c>
      <c r="N6" s="1153" t="str">
        <f>IFERROR($M6-$L6,"-")</f>
        <v>-</v>
      </c>
      <c r="O6" s="635">
        <f>SUMIFS($H$19:$H$64,$F$19:$F$64,$B6)/1000000</f>
        <v>3.22470138</v>
      </c>
      <c r="P6">
        <f>$O6</f>
        <v>3.22470138</v>
      </c>
      <c r="Q6" t="str">
        <f>IFERROR($P6-$L6,"-")</f>
        <v>-</v>
      </c>
      <c r="R6" t="str">
        <f>"-"</f>
        <v>-</v>
      </c>
      <c r="S6" t="str">
        <f>IFERROR(INDEX(Lists!$AA:$AA,MATCH($B6,Lists!$Z:$Z,0)),$B6)</f>
        <v>Service Op &amp; Assurance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A7" s="949" t="n"/>
      <c r="B7" s="640" t="inlineStr">
        <is>
          <t>Cyber Strat &amp; Tech</t>
        </is>
      </c>
      <c r="C7" s="635" t="str">
        <f>"Outside archetype model"</f>
        <v>Outside archetype model</v>
      </c>
      <c r="D7" s="1150" t="str">
        <f>IFERROR(INDEX('0.3 Squad Archetypes'!$F$5:$F$23,MATCH($C7&amp;"|"&amp;$R7,'0.3 Squad Archetypes'!$A$5:$A$23,0)),"-")</f>
        <v>-</v>
      </c>
      <c r="E7" s="1151">
        <f>COUNTIFS($F$19:$F$64,$B7)</f>
        <v>13</v>
      </c>
      <c r="F7" s="1151" t="str">
        <f>IFERROR($E7-$D7,"-")</f>
        <v>-</v>
      </c>
      <c r="G7" s="1151">
        <f>COUNTIFS($F$19:$F$64,$B7,$D$19:$D$64,"Vacant")</f>
        <v>0</v>
      </c>
      <c r="H7" s="1151">
        <f>COUNTIFS($F$19:$F$64,$B7,$D$19:$D$64,"Vacant",$E$19:$E$64,"Hire")+COUNTIFS($F$19:$F$64,$B7,$D$19:$D$64,"Vacant",$E$19:$E$64,"Offshore")</f>
        <v>0</v>
      </c>
      <c r="I7" s="1151">
        <f>$G7-$H7</f>
        <v>0</v>
      </c>
      <c r="J7" s="634">
        <f>$E7-COUNTIFS($F$19:$F$64,$B7,$E$19:$E$64,"Hold")</f>
        <v>13</v>
      </c>
      <c r="K7" s="1152" t="str">
        <f>IF(NOT(ISNUMBER($D7)),"Outside the archetype model",IF($J7&gt;$D7,"Over archetype after decisions",IF($J7&lt;$D7,"Under archetype","On archetype")))</f>
        <v>Outside the archetype model</v>
      </c>
      <c r="L7" s="1153" t="str">
        <f>IFERROR(INDEX('0.3 Squad Archetypes'!$G$5:$G$23,MATCH($C7&amp;"|"&amp;$R7,'0.3 Squad Archetypes'!$A$5:$A$23,0)),"-")</f>
        <v>-</v>
      </c>
      <c r="M7" s="1153">
        <f>SUMIFS($G$19:$G$64,$F$19:$F$64,$B7)/1000000</f>
        <v>3.31576355</v>
      </c>
      <c r="N7" s="1153" t="str">
        <f>IFERROR($M7-$L7,"-")</f>
        <v>-</v>
      </c>
      <c r="O7" s="635">
        <f>SUMIFS($H$19:$H$64,$F$19:$F$64,$B7)/1000000</f>
        <v>3.31576355</v>
      </c>
      <c r="P7">
        <f>$O7</f>
        <v>3.31576355</v>
      </c>
      <c r="Q7" t="str">
        <f>IFERROR($P7-$L7,"-")</f>
        <v>-</v>
      </c>
      <c r="R7" t="str">
        <f>"-"</f>
        <v>-</v>
      </c>
      <c r="S7" t="str">
        <f>IFERROR(INDEX(Lists!$AA:$AA,MATCH($B7,Lists!$Z:$Z,0)),$B7)</f>
        <v>Cyber Strat &amp; Tech</v>
      </c>
      <c r="T7" t="str">
        <f>IF($B7="Leadership","Shared role - compared to the allowance",IF($C7="Strategic Programs","Strategic Programs - no rate in 0.3 (TBC)",IF(NOT(ISNUMBER($D7)),"No archetype for this squad","Archetype applies")))</f>
        <v>No archetype for this squad</v>
      </c>
    </row>
    <row r="8">
      <c r="A8" s="949" t="n"/>
      <c r="B8" s="634" t="inlineStr">
        <is>
          <t>Cyber GRC</t>
        </is>
      </c>
      <c r="C8" s="635" t="str">
        <f>"Outside archetype model"</f>
        <v>Outside archetype model</v>
      </c>
      <c r="D8" s="1150" t="str">
        <f>IFERROR(INDEX('0.3 Squad Archetypes'!$F$5:$F$23,MATCH($C8&amp;"|"&amp;$R8,'0.3 Squad Archetypes'!$A$5:$A$23,0)),"-")</f>
        <v>-</v>
      </c>
      <c r="E8" s="1151">
        <f>COUNTIFS($F$19:$F$64,$B8)</f>
        <v>5</v>
      </c>
      <c r="F8" s="1151" t="str">
        <f>IFERROR($E8-$D8,"-")</f>
        <v>-</v>
      </c>
      <c r="G8" s="1151">
        <f>COUNTIFS($F$19:$F$64,$B8,$D$19:$D$64,"Vacant")</f>
        <v>0</v>
      </c>
      <c r="H8" s="1151">
        <f>COUNTIFS($F$19:$F$64,$B8,$D$19:$D$64,"Vacant",$E$19:$E$64,"Hire")+COUNTIFS($F$19:$F$64,$B8,$D$19:$D$64,"Vacant",$E$19:$E$64,"Offshore")</f>
        <v>0</v>
      </c>
      <c r="I8" s="1151">
        <f>$G8-$H8</f>
        <v>0</v>
      </c>
      <c r="J8" s="634">
        <f>$E8-COUNTIFS($F$19:$F$64,$B8,$E$19:$E$64,"Hold")</f>
        <v>5</v>
      </c>
      <c r="K8" s="1152" t="str">
        <f>IF(NOT(ISNUMBER($D8)),"Outside the archetype model",IF($J8&gt;$D8,"Over archetype after decisions",IF($J8&lt;$D8,"Under archetype","On archetype")))</f>
        <v>Outside the archetype model</v>
      </c>
      <c r="L8" s="1153" t="str">
        <f>IFERROR(INDEX('0.3 Squad Archetypes'!$G$5:$G$23,MATCH($C8&amp;"|"&amp;$R8,'0.3 Squad Archetypes'!$A$5:$A$23,0)),"-")</f>
        <v>-</v>
      </c>
      <c r="M8" s="1153">
        <f>SUMIFS($G$19:$G$64,$F$19:$F$64,$B8)/1000000</f>
        <v>1.071477788</v>
      </c>
      <c r="N8" s="1153" t="str">
        <f>IFERROR($M8-$L8,"-")</f>
        <v>-</v>
      </c>
      <c r="O8" s="635">
        <f>SUMIFS($H$19:$H$64,$F$19:$F$64,$B8)/1000000</f>
        <v>1.071477788</v>
      </c>
      <c r="P8">
        <f>$O8</f>
        <v>1.071477788</v>
      </c>
      <c r="Q8" t="str">
        <f>IFERROR($P8-$L8,"-")</f>
        <v>-</v>
      </c>
      <c r="R8" t="str">
        <f>"-"</f>
        <v>-</v>
      </c>
      <c r="S8" t="str">
        <f>IFERROR(INDEX(Lists!$AA:$AA,MATCH($B8,Lists!$Z:$Z,0)),$B8)</f>
        <v>Cyber GRC</v>
      </c>
      <c r="T8" t="str">
        <f>IF($B8="Leadership","Shared role - compared to the allowance",IF($C8="Strategic Programs","Strategic Programs - no rate in 0.3 (TBC)",IF(NOT(ISNUMBER($D8)),"No archetype for this squad","Archetype applies")))</f>
        <v>No archetype for this squad</v>
      </c>
    </row>
    <row r="9">
      <c r="A9" s="949" t="n"/>
      <c r="B9" s="641" t="inlineStr">
        <is>
          <t>Cyber Sec Ops</t>
        </is>
      </c>
      <c r="C9" s="641" t="str">
        <f>"Outside archetype model"</f>
        <v>Outside archetype model</v>
      </c>
      <c r="D9" s="1154" t="str">
        <f>IFERROR(INDEX('0.3 Squad Archetypes'!$F$5:$F$23,MATCH($C9&amp;"|"&amp;$R9,'0.3 Squad Archetypes'!$A$5:$A$23,0)),"-")</f>
        <v>-</v>
      </c>
      <c r="E9" s="1154">
        <f>COUNTIFS($F$19:$F$64,$B9)</f>
        <v>5</v>
      </c>
      <c r="F9" s="1154" t="str">
        <f>IFERROR($E9-$D9,"-")</f>
        <v>-</v>
      </c>
      <c r="G9" s="1154">
        <f>COUNTIFS($F$19:$F$64,$B9,$D$19:$D$64,"Vacant")</f>
        <v>0</v>
      </c>
      <c r="H9" s="1154">
        <f>COUNTIFS($F$19:$F$64,$B9,$D$19:$D$64,"Vacant",$E$19:$E$64,"Hire")+COUNTIFS($F$19:$F$64,$B9,$D$19:$D$64,"Vacant",$E$19:$E$64,"Offshore")</f>
        <v>0</v>
      </c>
      <c r="I9" s="1154">
        <f>$G9-$H9</f>
        <v>0</v>
      </c>
      <c r="J9" s="641">
        <f>$E9-COUNTIFS($F$19:$F$64,$B9,$E$19:$E$64,"Hold")</f>
        <v>5</v>
      </c>
      <c r="K9" s="1155" t="str">
        <f>IF(NOT(ISNUMBER($D9)),"Outside the archetype model",IF($J9&gt;$D9,"Over archetype after decisions",IF($J9&lt;$D9,"Under archetype","On archetype")))</f>
        <v>Outside the archetype model</v>
      </c>
      <c r="L9" s="1155" t="str">
        <f>IFERROR(INDEX('0.3 Squad Archetypes'!$G$5:$G$23,MATCH($C9&amp;"|"&amp;$R9,'0.3 Squad Archetypes'!$A$5:$A$23,0)),"-")</f>
        <v>-</v>
      </c>
      <c r="M9" s="1155">
        <f>SUMIFS($G$19:$G$64,$F$19:$F$64,$B9)/1000000</f>
        <v>1.111589344</v>
      </c>
      <c r="N9" s="1155" t="str">
        <f>IFERROR($M9-$L9,"-")</f>
        <v>-</v>
      </c>
      <c r="O9" s="641">
        <f>SUMIFS($H$19:$H$64,$F$19:$F$64,$B9)/1000000</f>
        <v>1.111589344</v>
      </c>
      <c r="P9">
        <f>$O9</f>
        <v>1.111589344</v>
      </c>
      <c r="Q9" t="str">
        <f>IFERROR($P9-$L9,"-")</f>
        <v>-</v>
      </c>
      <c r="R9" t="str">
        <f>"-"</f>
        <v>-</v>
      </c>
      <c r="S9" t="str">
        <f>IFERROR(INDEX(Lists!$AA:$AA,MATCH($B9,Lists!$Z:$Z,0)),$B9)</f>
        <v>Cyber Sec Ops</v>
      </c>
      <c r="T9" t="str">
        <f>IF($B9="Leadership","Shared role - compared to the allowance",IF($C9="Strategic Programs","Strategic Programs - no rate in 0.3 (TBC)",IF(NOT(ISNUMBER($D9)),"No archetype for this squad","Archetype applies")))</f>
        <v>No archetype for this squad</v>
      </c>
    </row>
    <row r="10">
      <c r="A10" s="949" t="n"/>
      <c r="B10" s="504" t="inlineStr">
        <is>
          <t>Cyber Risk</t>
        </is>
      </c>
      <c r="C10" s="949" t="str">
        <f>"Outside archetype model"</f>
        <v>Outside archetype model</v>
      </c>
      <c r="D10" s="949" t="str">
        <f>IFERROR(INDEX('0.3 Squad Archetypes'!$F$5:$F$23,MATCH($C10&amp;"|"&amp;$R10,'0.3 Squad Archetypes'!$A$5:$A$23,0)),"-")</f>
        <v>-</v>
      </c>
      <c r="E10" s="1156">
        <f>COUNTIFS($F$19:$F$64,$B10)</f>
        <v>2</v>
      </c>
      <c r="F10" s="949" t="str">
        <f>IFERROR($E10-$D10,"-")</f>
        <v>-</v>
      </c>
      <c r="G10" s="949">
        <f>COUNTIFS($F$19:$F$64,$B10,$D$19:$D$64,"Vacant")</f>
        <v>0</v>
      </c>
      <c r="H10" s="949">
        <f>COUNTIFS($F$19:$F$64,$B10,$D$19:$D$64,"Vacant",$E$19:$E$64,"Hire")+COUNTIFS($F$19:$F$64,$B10,$D$19:$D$64,"Vacant",$E$19:$E$64,"Offshore")</f>
        <v>0</v>
      </c>
      <c r="I10" s="949">
        <f>$G10-$H10</f>
        <v>0</v>
      </c>
      <c r="J10" s="949">
        <f>$E10-COUNTIFS($F$19:$F$64,$B10,$E$19:$E$64,"Hold")</f>
        <v>2</v>
      </c>
      <c r="K10" s="949" t="str">
        <f>IF(NOT(ISNUMBER($D10)),"Outside the archetype model",IF($J10&gt;$D10,"Over archetype after decisions",IF($J10&lt;$D10,"Under archetype","On archetype")))</f>
        <v>Outside the archetype model</v>
      </c>
      <c r="L10" s="949" t="str">
        <f>IFERROR(INDEX('0.3 Squad Archetypes'!$G$5:$G$23,MATCH($C10&amp;"|"&amp;$R10,'0.3 Squad Archetypes'!$A$5:$A$23,0)),"-")</f>
        <v>-</v>
      </c>
      <c r="M10" s="949">
        <f>SUMIFS($G$19:$G$64,$F$19:$F$64,$B10)/1000000</f>
        <v>0.475558232</v>
      </c>
      <c r="N10" s="949" t="str">
        <f>IFERROR($M10-$L10,"-")</f>
        <v>-</v>
      </c>
      <c r="O10" s="949">
        <f>SUMIFS($H$19:$H$64,$F$19:$F$64,$B10)/1000000</f>
        <v>0.475558232</v>
      </c>
      <c r="P10">
        <f>$O10</f>
        <v>0.475558232</v>
      </c>
      <c r="Q10" t="str">
        <f>IFERROR($P10-$L10,"-")</f>
        <v>-</v>
      </c>
      <c r="R10" t="str">
        <f>"-"</f>
        <v>-</v>
      </c>
      <c r="S10" t="str">
        <f>IFERROR(INDEX(Lists!$AA:$AA,MATCH($B10,Lists!$Z:$Z,0)),$B10)</f>
        <v>Cyber Risk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No archetype for this squad</v>
      </c>
    </row>
    <row r="11">
      <c r="A11" s="949" t="n"/>
      <c r="B11" s="1226" t="inlineStr">
        <is>
          <t>Total</t>
        </is>
      </c>
      <c r="C11" s="949" t="n"/>
      <c r="D11" s="949">
        <f>SUM(D6:D10)</f>
        <v>0</v>
      </c>
      <c r="E11" s="1156">
        <f>COUNTIFS('REVIEW - Complete Role Mapping'!$AJ$2:$AJ$528,"COE Cyber")</f>
        <v>46</v>
      </c>
      <c r="F11" s="949">
        <f>SUM(F6:F10)</f>
        <v>0</v>
      </c>
      <c r="G11" s="949">
        <f>SUM(G6:G10)</f>
        <v>4</v>
      </c>
      <c r="H11" s="949">
        <f>SUM(H6:H10)</f>
        <v>0</v>
      </c>
      <c r="I11" s="949">
        <f>SUM(I6:I10)</f>
        <v>4</v>
      </c>
      <c r="J11" s="949">
        <f>SUM(J6:J10)</f>
        <v>42</v>
      </c>
      <c r="K11" s="949" t="n"/>
      <c r="L11" s="949">
        <f>SUM(L6:L10)</f>
        <v>0</v>
      </c>
      <c r="M11" s="949">
        <f>SUMIFS('REVIEW - Complete Role Mapping'!$AA$2:$AA$528,'REVIEW - Complete Role Mapping'!$AJ$2:$AJ$528,"COE Cyber")/1000000</f>
        <v>9.897858294</v>
      </c>
      <c r="N11" s="949">
        <f>SUM(N6:N10)</f>
        <v>0</v>
      </c>
      <c r="O11" s="949">
        <f>SUM(O6:O10)</f>
        <v>9.199090294</v>
      </c>
      <c r="P11">
        <f>SUM(P6:P10)</f>
        <v>9.199090294</v>
      </c>
      <c r="Q11">
        <f>SUM(Q6:Q10)</f>
        <v>0</v>
      </c>
    </row>
    <row r="12">
      <c r="A12" s="949" t="n"/>
      <c r="B12" s="431" t="n"/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Cost to fill every vacancy at full onshore cost ($m)</t>
        </is>
      </c>
      <c r="C13" s="949" t="n"/>
      <c r="D13" s="949" t="n"/>
      <c r="E13" s="949">
        <f>SUMIFS($G$19:$G$64,$D$19:$D$64,"Vacant")/1000000</f>
        <v>0.698768</v>
      </c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>
      <c r="A14" s="949" t="n"/>
      <c r="B14" s="994" t="inlineStr">
        <is>
          <t>Of which currently marked Hire or Offshore ($m)</t>
        </is>
      </c>
      <c r="C14" s="432" t="n"/>
      <c r="D14" s="432" t="n"/>
      <c r="E14" s="432">
        <f>(SUMIFS($G$19:$G$64,$D$19:$D$64,"Vacant",$E$19:$E$64,"Hire")+Lists!$AD$5*SUMIFS($G$19:$G$64,$D$19:$D$64,"Vacant",$E$19:$E$64,"Offshore"))/1000000</f>
        <v>0</v>
      </c>
      <c r="F14" s="432" t="n"/>
      <c r="G14" s="430" t="n"/>
      <c r="H14" s="430" t="n"/>
      <c r="I14" s="430" t="n"/>
      <c r="J14" s="430" t="n"/>
      <c r="K14" s="949" t="n"/>
      <c r="L14" s="949" t="n"/>
      <c r="M14" s="949" t="n"/>
      <c r="N14" s="949" t="n"/>
      <c r="O14" s="949" t="n"/>
    </row>
    <row r="15">
      <c r="A15" s="949" t="n"/>
      <c r="B15" s="994" t="inlineStr">
        <is>
          <t>Leadership and Head of Technology already inside this portfolio ($m) - not re-added in column P</t>
        </is>
      </c>
      <c r="C15" s="430" t="n"/>
      <c r="D15" s="430" t="n"/>
      <c r="E15" s="430">
        <f>SUMIFS('REVIEW - Complete Role Mapping'!$AA$2:$AA$528,'REVIEW - Complete Role Mapping'!$AJ$2:$AJ$528,"COE Cyber",'REVIEW - Complete Role Mapping'!$AQ$2:$AQ$528,1)/1000000</f>
        <v>0</v>
      </c>
      <c r="F15" s="430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</row>
    <row r="16" ht="15.65" customHeight="1">
      <c r="A16" s="949" t="n"/>
      <c r="B16" s="433" t="n"/>
      <c r="C16" s="645" t="n"/>
      <c r="D16" s="645" t="n"/>
      <c r="E16" s="645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32" t="inlineStr">
        <is>
          <t>COE Cyber roles - one row per named role, from REVIEW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33" t="inlineStr">
        <is>
          <t>Name</t>
        </is>
      </c>
      <c r="C18" s="1233" t="inlineStr">
        <is>
          <t>Role</t>
        </is>
      </c>
      <c r="D18" s="1233" t="inlineStr">
        <is>
          <t>Status</t>
        </is>
      </c>
      <c r="E18" s="1233" t="inlineStr">
        <is>
          <t>Vacancy lever</t>
        </is>
      </c>
      <c r="F18" s="1233" t="inlineStr">
        <is>
          <t>Squad</t>
        </is>
      </c>
      <c r="G18" s="1029" t="inlineStr">
        <is>
          <t>Cost if hired ($)</t>
        </is>
      </c>
      <c r="H18" s="1029" t="inlineStr">
        <is>
          <t>Effective cost ($)</t>
        </is>
      </c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634" t="str">
        <f>INDEX('REVIEW - Complete Role Mapping'!$B:$B,193)</f>
        <v>Ashley Mueller</v>
      </c>
      <c r="C19" s="634" t="str">
        <f>INDEX('REVIEW - Complete Role Mapping'!$C:$C,193)</f>
        <v>Lead – Service Assurance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Mapping'!$AP:$AP,193)</f>
        <v>Service Op &amp; Assurance</v>
      </c>
      <c r="G19" s="949">
        <f>INDEX('REVIEW - Complete Role Mapping'!$AA:$AA,193)</f>
        <v>189974.796</v>
      </c>
      <c r="H19" s="949">
        <f>$G19*IFERROR(INDEX(Lists!$AD:$AD,MATCH($E19,Lists!$AC:$AC,0)),1)</f>
        <v>189974.796</v>
      </c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634" t="str">
        <f>INDEX('REVIEW - Complete Role Mapping'!$B:$B,194)</f>
        <v>Belinda Hoskens</v>
      </c>
      <c r="C20" s="634" t="str">
        <f>INDEX('REVIEW - Complete Role Mapping'!$C:$C,194)</f>
        <v>Technology Support Engineer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Mapping'!$AP:$AP,194)</f>
        <v>Service Op &amp; Assurance</v>
      </c>
      <c r="G20" s="949">
        <f>INDEX('REVIEW - Complete Role Mapping'!$AA:$AA,194)</f>
        <v>162139.5</v>
      </c>
      <c r="H20" s="949">
        <f>$G20*IFERROR(INDEX(Lists!$AD:$AD,MATCH($E20,Lists!$AC:$AC,0)),1)</f>
        <v>162139.5</v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634" t="str">
        <f>INDEX('REVIEW - Complete Role Mapping'!$B:$B,199)</f>
        <v>Chris Rojas</v>
      </c>
      <c r="C21" s="634" t="str">
        <f>INDEX('REVIEW - Complete Role Mapping'!$C:$C,199)</f>
        <v>Manager, Customer Support Operations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Mapping'!$AP:$AP,199)</f>
        <v>Service Op &amp; Assurance</v>
      </c>
      <c r="G21" s="949">
        <f>INDEX('REVIEW - Complete Role Mapping'!$AA:$AA,199)</f>
        <v>243303.75</v>
      </c>
      <c r="H21" s="949">
        <f>$G21*IFERROR(INDEX(Lists!$AD:$AD,MATCH($E21,Lists!$AC:$AC,0)),1)</f>
        <v>243303.75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Mapping'!$B:$B,201)</f>
        <v>Daniel Jolley</v>
      </c>
      <c r="C22" s="634" t="str">
        <f>INDEX('REVIEW - Complete Role Mapping'!$C:$C,201)</f>
        <v>Tech Support Technician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Mapping'!$AP:$AP,201)</f>
        <v>Service Op &amp; Assurance</v>
      </c>
      <c r="G22" s="949">
        <f>INDEX('REVIEW - Complete Role Mapping'!$AA:$AA,201)</f>
        <v>115851.5</v>
      </c>
      <c r="H22" s="949">
        <f>$G22*IFERROR(INDEX(Lists!$AD:$AD,MATCH($E22,Lists!$AC:$AC,0)),1)</f>
        <v>115851.5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Mapping'!$B:$B,202)</f>
        <v>Darren Koller</v>
      </c>
      <c r="C23" s="634" t="str">
        <f>INDEX('REVIEW - Complete Role Mapping'!$C:$C,202)</f>
        <v>Manager, Service Management &amp; Major Incident Mgmt Lead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Mapping'!$AP:$AP,202)</f>
        <v>Service Op &amp; Assurance</v>
      </c>
      <c r="G23" s="949">
        <f>INDEX('REVIEW - Complete Role Mapping'!$AA:$AA,202)</f>
        <v>274943.25</v>
      </c>
      <c r="H23" s="949">
        <f>$G23*IFERROR(INDEX(Lists!$AD:$AD,MATCH($E23,Lists!$AC:$AC,0)),1)</f>
        <v>274943.25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Mapping'!$B:$B,205)</f>
        <v>Ethan Lamhert (FT)</v>
      </c>
      <c r="C24" s="634" t="str">
        <f>INDEX('REVIEW - Complete Role Mapping'!$C:$C,205)</f>
        <v>Tech Support Technician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Mapping'!$AP:$AP,205)</f>
        <v>Service Op &amp; Assurance</v>
      </c>
      <c r="G24" s="949">
        <f>INDEX('REVIEW - Complete Role Mapping'!$AA:$AA,205)</f>
        <v>89758</v>
      </c>
      <c r="H24" s="949">
        <f>$G24*IFERROR(INDEX(Lists!$AD:$AD,MATCH($E24,Lists!$AC:$AC,0)),1)</f>
        <v>89758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Mapping'!$B:$B,207)</f>
        <v>Jack Jenkins</v>
      </c>
      <c r="C25" s="634" t="str">
        <f>INDEX('REVIEW - Complete Role Mapping'!$C:$C,207)</f>
        <v>Asset Analyst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Mapping'!$AP:$AP,207)</f>
        <v>Service Op &amp; Assurance</v>
      </c>
      <c r="G25" s="949">
        <f>INDEX('REVIEW - Complete Role Mapping'!$AA:$AA,207)</f>
        <v>139008.65</v>
      </c>
      <c r="H25" s="949">
        <f>$G25*IFERROR(INDEX(Lists!$AD:$AD,MATCH($E25,Lists!$AC:$AC,0)),1)</f>
        <v>139008.65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Mapping'!$B:$B,209)</f>
        <v>Jas Mann</v>
      </c>
      <c r="C26" s="634" t="str">
        <f>INDEX('REVIEW - Complete Role Mapping'!$C:$C,209)</f>
        <v>Technology Support Engineer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Mapping'!$AP:$AP,209)</f>
        <v>Service Op &amp; Assurance</v>
      </c>
      <c r="G26" s="949">
        <f>INDEX('REVIEW - Complete Role Mapping'!$AA:$AA,209)</f>
        <v>146885.5</v>
      </c>
      <c r="H26" s="949">
        <f>$G26*IFERROR(INDEX(Lists!$AD:$AD,MATCH($E26,Lists!$AC:$AC,0)),1)</f>
        <v>146885.5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Mapping'!$B:$B,211)</f>
        <v>Kaaviya Salai Manimudian</v>
      </c>
      <c r="C27" s="634" t="str">
        <f>INDEX('REVIEW - Complete Role Mapping'!$C:$C,211)</f>
        <v>Graduate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Mapping'!$AP:$AP,211)</f>
        <v>Service Op &amp; Assurance</v>
      </c>
      <c r="G27" s="949">
        <f>INDEX('REVIEW - Complete Role Mapping'!$AA:$AA,211)</f>
        <v>110075</v>
      </c>
      <c r="H27" s="949">
        <f>$G27*IFERROR(INDEX(Lists!$AD:$AD,MATCH($E27,Lists!$AC:$AC,0)),1)</f>
        <v>110075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Mapping'!$B:$B,214)</f>
        <v>Lynda Niewidok</v>
      </c>
      <c r="C28" s="634" t="str">
        <f>INDEX('REVIEW - Complete Role Mapping'!$C:$C,214)</f>
        <v>Lead – Service Desk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Mapping'!$AP:$AP,214)</f>
        <v>Service Op &amp; Assurance</v>
      </c>
      <c r="G28" s="949">
        <f>INDEX('REVIEW - Complete Role Mapping'!$AA:$AA,214)</f>
        <v>203988</v>
      </c>
      <c r="H28" s="949">
        <f>$G28*IFERROR(INDEX(Lists!$AD:$AD,MATCH($E28,Lists!$AC:$AC,0)),1)</f>
        <v>203988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Mapping'!$B:$B,215)</f>
        <v>Mark Pearson</v>
      </c>
      <c r="C29" s="634" t="str">
        <f>INDEX('REVIEW - Complete Role Mapping'!$C:$C,215)</f>
        <v>Lead – Technology Support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Mapping'!$AP:$AP,215)</f>
        <v>Service Op &amp; Assurance</v>
      </c>
      <c r="G29" s="949">
        <f>INDEX('REVIEW - Complete Role Mapping'!$AA:$AA,215)</f>
        <v>203841.15</v>
      </c>
      <c r="H29" s="949">
        <f>$G29*IFERROR(INDEX(Lists!$AD:$AD,MATCH($E29,Lists!$AC:$AC,0)),1)</f>
        <v>203841.15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Mapping'!$B:$B,216)</f>
        <v>Mary-Grace Rivera</v>
      </c>
      <c r="C30" s="634" t="str">
        <f>INDEX('REVIEW - Complete Role Mapping'!$C:$C,216)</f>
        <v>Lead, Service Management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Mapping'!$AP:$AP,216)</f>
        <v>Service Op &amp; Assurance</v>
      </c>
      <c r="G30" s="949">
        <f>INDEX('REVIEW - Complete Role Mapping'!$AA:$AA,216)</f>
        <v>180970.3</v>
      </c>
      <c r="H30" s="949">
        <f>$G30*IFERROR(INDEX(Lists!$AD:$AD,MATCH($E30,Lists!$AC:$AC,0)),1)</f>
        <v>180970.3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Mapping'!$B:$B,217)</f>
        <v>Mick Collins</v>
      </c>
      <c r="C31" s="634" t="str">
        <f>INDEX('REVIEW - Complete Role Mapping'!$C:$C,217)</f>
        <v>Manager, Service Performance &amp; Assurance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Mapping'!$AP:$AP,217)</f>
        <v>Service Op &amp; Assurance</v>
      </c>
      <c r="G31" s="949">
        <f>INDEX('REVIEW - Complete Role Mapping'!$AA:$AA,217)</f>
        <v>272070.45</v>
      </c>
      <c r="H31" s="949">
        <f>$G31*IFERROR(INDEX(Lists!$AD:$AD,MATCH($E31,Lists!$AC:$AC,0)),1)</f>
        <v>272070.45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Mapping'!$B:$B,222)</f>
        <v>Rajini Onteddu Reddy</v>
      </c>
      <c r="C32" s="634" t="str">
        <f>INDEX('REVIEW - Complete Role Mapping'!$C:$C,222)</f>
        <v>Head of Service Operations &amp; Assurance</v>
      </c>
      <c r="D32" s="612" t="str">
        <f>IF(ISNUMBER(SEARCH("vacant",$B32)),"Vacant","Filled")</f>
        <v>Filled</v>
      </c>
      <c r="E32" s="612" t="inlineStr">
        <is>
          <t>Filled</t>
        </is>
      </c>
      <c r="F32" s="634" t="str">
        <f>INDEX('REVIEW - Complete Role Mapping'!$AP:$AP,222)</f>
        <v>Service Op &amp; Assurance</v>
      </c>
      <c r="G32" s="949">
        <f>INDEX('REVIEW - Complete Role Mapping'!$AA:$AA,222)</f>
        <v>400671.4</v>
      </c>
      <c r="H32" s="949">
        <f>$G32*IFERROR(INDEX(Lists!$AD:$AD,MATCH($E32,Lists!$AC:$AC,0)),1)</f>
        <v>400671.4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Mapping'!$B:$B,224)</f>
        <v>Remya Pookat</v>
      </c>
      <c r="C33" s="634" t="str">
        <f>INDEX('REVIEW - Complete Role Mapping'!$C:$C,224)</f>
        <v>Lead – Change &amp; Release Management</v>
      </c>
      <c r="D33" s="612" t="str">
        <f>IF(ISNUMBER(SEARCH("vacant",$B33)),"Vacant","Filled")</f>
        <v>Filled</v>
      </c>
      <c r="E33" s="612" t="inlineStr">
        <is>
          <t>Filled</t>
        </is>
      </c>
      <c r="F33" s="634" t="str">
        <f>INDEX('REVIEW - Complete Role Mapping'!$AP:$AP,224)</f>
        <v>Service Op &amp; Assurance</v>
      </c>
      <c r="G33" s="949">
        <f>INDEX('REVIEW - Complete Role Mapping'!$AA:$AA,224)</f>
        <v>220875.75</v>
      </c>
      <c r="H33" s="949">
        <f>$G33*IFERROR(INDEX(Lists!$AD:$AD,MATCH($E33,Lists!$AC:$AC,0)),1)</f>
        <v>220875.75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Mapping'!$B:$B,225)</f>
        <v>Ritika Salaria</v>
      </c>
      <c r="C34" s="634" t="str">
        <f>INDEX('REVIEW - Complete Role Mapping'!$C:$C,225)</f>
        <v>Configuration Analyst</v>
      </c>
      <c r="D34" s="612" t="str">
        <f>IF(ISNUMBER(SEARCH("vacant",$B34)),"Vacant","Filled")</f>
        <v>Filled</v>
      </c>
      <c r="E34" s="612" t="inlineStr">
        <is>
          <t>Filled</t>
        </is>
      </c>
      <c r="F34" s="634" t="str">
        <f>INDEX('REVIEW - Complete Role Mapping'!$AP:$AP,225)</f>
        <v>Service Op &amp; Assurance</v>
      </c>
      <c r="G34" s="949">
        <f>INDEX('REVIEW - Complete Role Mapping'!$AA:$AA,225)</f>
        <v>173106.6</v>
      </c>
      <c r="H34" s="949">
        <f>$G34*IFERROR(INDEX(Lists!$AD:$AD,MATCH($E34,Lists!$AC:$AC,0)),1)</f>
        <v>173106.6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Mapping'!$B:$B,229)</f>
        <v>Spoilagi Bhutwala</v>
      </c>
      <c r="C35" s="634" t="str">
        <f>INDEX('REVIEW - Complete Role Mapping'!$C:$C,229)</f>
        <v>Tech Support Technician</v>
      </c>
      <c r="D35" s="612" t="str">
        <f>IF(ISNUMBER(SEARCH("vacant",$B35)),"Vacant","Filled")</f>
        <v>Filled</v>
      </c>
      <c r="E35" s="612" t="inlineStr">
        <is>
          <t>Filled</t>
        </is>
      </c>
      <c r="F35" s="634" t="str">
        <f>INDEX('REVIEW - Complete Role Mapping'!$AP:$AP,229)</f>
        <v>Service Op &amp; Assurance</v>
      </c>
      <c r="G35" s="949">
        <f>INDEX('REVIEW - Complete Role Mapping'!$AA:$AA,229)</f>
        <v>97237.784</v>
      </c>
      <c r="H35" s="949">
        <f>$G35*IFERROR(INDEX(Lists!$AD:$AD,MATCH($E35,Lists!$AC:$AC,0)),1)</f>
        <v>97237.784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Mapping'!$B:$B,233)</f>
        <v>Vacant</v>
      </c>
      <c r="C36" s="634" t="str">
        <f>INDEX('REVIEW - Complete Role Mapping'!$C:$C,233)</f>
        <v>Lead – Problem Management</v>
      </c>
      <c r="D36" s="612" t="str">
        <f>IF(ISNUMBER(SEARCH("vacant",$B36)),"Vacant","Filled")</f>
        <v>Vacant</v>
      </c>
      <c r="E36" s="612" t="inlineStr">
        <is>
          <t>Hold</t>
        </is>
      </c>
      <c r="F36" s="634" t="str">
        <f>INDEX('REVIEW - Complete Role Mapping'!$AP:$AP,233)</f>
        <v>Service Op &amp; Assurance</v>
      </c>
      <c r="G36" s="949">
        <f>INDEX('REVIEW - Complete Role Mapping'!$AA:$AA,233)</f>
        <v>170489.75</v>
      </c>
      <c r="H36" s="949">
        <f>$G36*IFERROR(INDEX(Lists!$AD:$AD,MATCH($E36,Lists!$AC:$AC,0)),1)</f>
        <v>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Mapping'!$B:$B,234)</f>
        <v>Vacant</v>
      </c>
      <c r="C37" s="634" t="str">
        <f>INDEX('REVIEW - Complete Role Mapping'!$C:$C,234)</f>
        <v>Lead – Asset &amp; Configuration</v>
      </c>
      <c r="D37" s="612" t="str">
        <f>IF(ISNUMBER(SEARCH("vacant",$B37)),"Vacant","Filled")</f>
        <v>Vacant</v>
      </c>
      <c r="E37" s="612" t="inlineStr">
        <is>
          <t>Hold</t>
        </is>
      </c>
      <c r="F37" s="634" t="str">
        <f>INDEX('REVIEW - Complete Role Mapping'!$AP:$AP,234)</f>
        <v>Service Op &amp; Assurance</v>
      </c>
      <c r="G37" s="949">
        <f>INDEX('REVIEW - Complete Role Mapping'!$AA:$AA,234)</f>
        <v>202853.25</v>
      </c>
      <c r="H37" s="949">
        <f>$G37*IFERROR(INDEX(Lists!$AD:$AD,MATCH($E37,Lists!$AC:$AC,0)),1)</f>
        <v>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Mapping'!$B:$B,235)</f>
        <v>Vacant</v>
      </c>
      <c r="C38" s="634" t="str">
        <f>INDEX('REVIEW - Complete Role Mapping'!$C:$C,235)</f>
        <v>Lead – Service Performance &amp; Insights</v>
      </c>
      <c r="D38" s="612" t="str">
        <f>IF(ISNUMBER(SEARCH("vacant",$B38)),"Vacant","Filled")</f>
        <v>Vacant</v>
      </c>
      <c r="E38" s="612" t="inlineStr">
        <is>
          <t>Hold</t>
        </is>
      </c>
      <c r="F38" s="634" t="str">
        <f>INDEX('REVIEW - Complete Role Mapping'!$AP:$AP,235)</f>
        <v>Service Op &amp; Assurance</v>
      </c>
      <c r="G38" s="949">
        <f>INDEX('REVIEW - Complete Role Mapping'!$AA:$AA,235)</f>
        <v>202853.25</v>
      </c>
      <c r="H38" s="949">
        <f>$G38*IFERROR(INDEX(Lists!$AD:$AD,MATCH($E38,Lists!$AC:$AC,0)),1)</f>
        <v>0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Mapping'!$B:$B,236)</f>
        <v>Vacant</v>
      </c>
      <c r="C39" s="634" t="str">
        <f>INDEX('REVIEW - Complete Role Mapping'!$C:$C,236)</f>
        <v>Tech Support Technician</v>
      </c>
      <c r="D39" s="612" t="str">
        <f>IF(ISNUMBER(SEARCH("vacant",$B39)),"Vacant","Filled")</f>
        <v>Vacant</v>
      </c>
      <c r="E39" s="612" t="inlineStr">
        <is>
          <t>Hold</t>
        </is>
      </c>
      <c r="F39" s="634" t="str">
        <f>INDEX('REVIEW - Complete Role Mapping'!$AP:$AP,236)</f>
        <v>Service Op &amp; Assurance</v>
      </c>
      <c r="G39" s="949">
        <f>INDEX('REVIEW - Complete Role Mapping'!$AA:$AA,236)</f>
        <v>122571.75</v>
      </c>
      <c r="H39" s="949">
        <f>$G39*IFERROR(INDEX(Lists!$AD:$AD,MATCH($E39,Lists!$AC:$AC,0)),1)</f>
        <v>0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Mapping'!$B:$B,196)</f>
        <v>Cameron Watman</v>
      </c>
      <c r="C40" s="634" t="str">
        <f>INDEX('REVIEW - Complete Role Mapping'!$C:$C,196)</f>
        <v>Engineer - IDAM</v>
      </c>
      <c r="D40" s="612" t="str">
        <f>IF(ISNUMBER(SEARCH("vacant",$B40)),"Vacant","Filled")</f>
        <v>Filled</v>
      </c>
      <c r="E40" s="612" t="inlineStr">
        <is>
          <t>Filled</t>
        </is>
      </c>
      <c r="F40" s="634" t="str">
        <f>INDEX('REVIEW - Complete Role Mapping'!$AP:$AP,196)</f>
        <v>Cyber Strat &amp; Tech</v>
      </c>
      <c r="G40" s="949">
        <f>INDEX('REVIEW - Complete Role Mapping'!$AA:$AA,196)</f>
        <v>173132.9</v>
      </c>
      <c r="H40" s="949">
        <f>$G40*IFERROR(INDEX(Lists!$AD:$AD,MATCH($E40,Lists!$AC:$AC,0)),1)</f>
        <v>173132.9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Mapping'!$B:$B,197)</f>
        <v>Catherine Gire</v>
      </c>
      <c r="C41" s="634" t="str">
        <f>INDEX('REVIEW - Complete Role Mapping'!$C:$C,197)</f>
        <v>Cyber Technical Business Analyst</v>
      </c>
      <c r="D41" s="612" t="str">
        <f>IF(ISNUMBER(SEARCH("vacant",$B41)),"Vacant","Filled")</f>
        <v>Filled</v>
      </c>
      <c r="E41" s="612" t="inlineStr">
        <is>
          <t>Filled</t>
        </is>
      </c>
      <c r="F41" s="634" t="str">
        <f>INDEX('REVIEW - Complete Role Mapping'!$AP:$AP,197)</f>
        <v>Cyber Strat &amp; Tech</v>
      </c>
      <c r="G41" s="949">
        <f>INDEX('REVIEW - Complete Role Mapping'!$AA:$AA,197)</f>
        <v>227163.6</v>
      </c>
      <c r="H41" s="949">
        <f>$G41*IFERROR(INDEX(Lists!$AD:$AD,MATCH($E41,Lists!$AC:$AC,0)),1)</f>
        <v>227163.6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Mapping'!$B:$B,198)</f>
        <v>Chris Lyons</v>
      </c>
      <c r="C42" s="634" t="str">
        <f>INDEX('REVIEW - Complete Role Mapping'!$C:$C,198)</f>
        <v>Cyber Security Architect</v>
      </c>
      <c r="D42" s="612" t="str">
        <f>IF(ISNUMBER(SEARCH("vacant",$B42)),"Vacant","Filled")</f>
        <v>Filled</v>
      </c>
      <c r="E42" s="612" t="inlineStr">
        <is>
          <t>Filled</t>
        </is>
      </c>
      <c r="F42" s="634" t="str">
        <f>INDEX('REVIEW - Complete Role Mapping'!$AP:$AP,198)</f>
        <v>Cyber Strat &amp; Tech</v>
      </c>
      <c r="G42" s="949">
        <f>INDEX('REVIEW - Complete Role Mapping'!$AA:$AA,198)</f>
        <v>283353.75</v>
      </c>
      <c r="H42" s="949">
        <f>$G42*IFERROR(INDEX(Lists!$AD:$AD,MATCH($E42,Lists!$AC:$AC,0)),1)</f>
        <v>283353.75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Mapping'!$B:$B,200)</f>
        <v>Dan Balsamo</v>
      </c>
      <c r="C43" s="634" t="str">
        <f>INDEX('REVIEW - Complete Role Mapping'!$C:$C,200)</f>
        <v>Senior Cyber Project Manager</v>
      </c>
      <c r="D43" s="612" t="str">
        <f>IF(ISNUMBER(SEARCH("vacant",$B43)),"Vacant","Filled")</f>
        <v>Filled</v>
      </c>
      <c r="E43" s="612" t="inlineStr">
        <is>
          <t>Filled</t>
        </is>
      </c>
      <c r="F43" s="634" t="str">
        <f>INDEX('REVIEW - Complete Role Mapping'!$AP:$AP,200)</f>
        <v>Cyber Strat &amp; Tech</v>
      </c>
      <c r="G43" s="949">
        <f>INDEX('REVIEW - Complete Role Mapping'!$AA:$AA,200)</f>
        <v>258576.15</v>
      </c>
      <c r="H43" s="949">
        <f>$G43*IFERROR(INDEX(Lists!$AD:$AD,MATCH($E43,Lists!$AC:$AC,0)),1)</f>
        <v>258576.15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Mapping'!$B:$B,203)</f>
        <v>Darshan Suvama</v>
      </c>
      <c r="C44" s="634" t="str">
        <f>INDEX('REVIEW - Complete Role Mapping'!$C:$C,203)</f>
        <v>Cyber Offensive Security Lead</v>
      </c>
      <c r="D44" s="612" t="str">
        <f>IF(ISNUMBER(SEARCH("vacant",$B44)),"Vacant","Filled")</f>
        <v>Filled</v>
      </c>
      <c r="E44" s="612" t="inlineStr">
        <is>
          <t>Filled</t>
        </is>
      </c>
      <c r="F44" s="634" t="str">
        <f>INDEX('REVIEW - Complete Role Mapping'!$AP:$AP,203)</f>
        <v>Cyber Strat &amp; Tech</v>
      </c>
      <c r="G44" s="949">
        <f>INDEX('REVIEW - Complete Role Mapping'!$AA:$AA,203)</f>
        <v>285342.9</v>
      </c>
      <c r="H44" s="949">
        <f>$G44*IFERROR(INDEX(Lists!$AD:$AD,MATCH($E44,Lists!$AC:$AC,0)),1)</f>
        <v>285342.9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Mapping'!$B:$B,206)</f>
        <v>Iwan Wibisono</v>
      </c>
      <c r="C45" s="634" t="str">
        <f>INDEX('REVIEW - Complete Role Mapping'!$C:$C,206)</f>
        <v>Engineer - IDAM</v>
      </c>
      <c r="D45" s="612" t="str">
        <f>IF(ISNUMBER(SEARCH("vacant",$B45)),"Vacant","Filled")</f>
        <v>Filled</v>
      </c>
      <c r="E45" s="612" t="inlineStr">
        <is>
          <t>Filled</t>
        </is>
      </c>
      <c r="F45" s="634" t="str">
        <f>INDEX('REVIEW - Complete Role Mapping'!$AP:$AP,206)</f>
        <v>Cyber Strat &amp; Tech</v>
      </c>
      <c r="G45" s="949">
        <f>INDEX('REVIEW - Complete Role Mapping'!$AA:$AA,206)</f>
        <v>215682.6</v>
      </c>
      <c r="H45" s="949">
        <f>$G45*IFERROR(INDEX(Lists!$AD:$AD,MATCH($E45,Lists!$AC:$AC,0)),1)</f>
        <v>215682.6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Mapping'!$B:$B,208)</f>
        <v>James Byrne</v>
      </c>
      <c r="C46" s="634" t="str">
        <f>INDEX('REVIEW - Complete Role Mapping'!$C:$C,208)</f>
        <v>Head of Cyber Strategy &amp; Technology</v>
      </c>
      <c r="D46" s="612" t="str">
        <f>IF(ISNUMBER(SEARCH("vacant",$B46)),"Vacant","Filled")</f>
        <v>Filled</v>
      </c>
      <c r="E46" s="612" t="inlineStr">
        <is>
          <t>Filled</t>
        </is>
      </c>
      <c r="F46" s="634" t="str">
        <f>INDEX('REVIEW - Complete Role Mapping'!$AP:$AP,208)</f>
        <v>Cyber Strat &amp; Tech</v>
      </c>
      <c r="G46" s="949">
        <f>INDEX('REVIEW - Complete Role Mapping'!$AA:$AA,208)</f>
        <v>382587.7</v>
      </c>
      <c r="H46" s="949">
        <f>$G46*IFERROR(INDEX(Lists!$AD:$AD,MATCH($E46,Lists!$AC:$AC,0)),1)</f>
        <v>382587.7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Mapping'!$B:$B,210)</f>
        <v>Joe Nahma</v>
      </c>
      <c r="C47" s="634" t="str">
        <f>INDEX('REVIEW - Complete Role Mapping'!$C:$C,210)</f>
        <v>Manager Identity &amp; Access Management</v>
      </c>
      <c r="D47" s="612" t="str">
        <f>IF(ISNUMBER(SEARCH("vacant",$B47)),"Vacant","Filled")</f>
        <v>Filled</v>
      </c>
      <c r="E47" s="612" t="inlineStr">
        <is>
          <t>Filled</t>
        </is>
      </c>
      <c r="F47" s="634" t="str">
        <f>INDEX('REVIEW - Complete Role Mapping'!$AP:$AP,210)</f>
        <v>Cyber Strat &amp; Tech</v>
      </c>
      <c r="G47" s="949">
        <f>INDEX('REVIEW - Complete Role Mapping'!$AA:$AA,210)</f>
        <v>258709.65</v>
      </c>
      <c r="H47" s="949">
        <f>$G47*IFERROR(INDEX(Lists!$AD:$AD,MATCH($E47,Lists!$AC:$AC,0)),1)</f>
        <v>258709.65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Mapping'!$B:$B,212)</f>
        <v>Kevin Sheerin</v>
      </c>
      <c r="C48" s="634" t="str">
        <f>INDEX('REVIEW - Complete Role Mapping'!$C:$C,212)</f>
        <v>Cyber Architecture Lead</v>
      </c>
      <c r="D48" s="612" t="str">
        <f>IF(ISNUMBER(SEARCH("vacant",$B48)),"Vacant","Filled")</f>
        <v>Filled</v>
      </c>
      <c r="E48" s="612" t="inlineStr">
        <is>
          <t>Filled</t>
        </is>
      </c>
      <c r="F48" s="634" t="str">
        <f>INDEX('REVIEW - Complete Role Mapping'!$AP:$AP,212)</f>
        <v>Cyber Strat &amp; Tech</v>
      </c>
      <c r="G48" s="949">
        <f>INDEX('REVIEW - Complete Role Mapping'!$AA:$AA,212)</f>
        <v>284982.45</v>
      </c>
      <c r="H48" s="949">
        <f>$G48*IFERROR(INDEX(Lists!$AD:$AD,MATCH($E48,Lists!$AC:$AC,0)),1)</f>
        <v>284982.45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Mapping'!$B:$B,221)</f>
        <v>Rahul Sahni</v>
      </c>
      <c r="C49" s="634" t="str">
        <f>INDEX('REVIEW - Complete Role Mapping'!$C:$C,221)</f>
        <v>Cyber Security Architect</v>
      </c>
      <c r="D49" s="612" t="str">
        <f>IF(ISNUMBER(SEARCH("vacant",$B49)),"Vacant","Filled")</f>
        <v>Filled</v>
      </c>
      <c r="E49" s="612" t="inlineStr">
        <is>
          <t>Filled</t>
        </is>
      </c>
      <c r="F49" s="634" t="str">
        <f>INDEX('REVIEW - Complete Role Mapping'!$AP:$AP,221)</f>
        <v>Cyber Strat &amp; Tech</v>
      </c>
      <c r="G49" s="949">
        <f>INDEX('REVIEW - Complete Role Mapping'!$AA:$AA,221)</f>
        <v>226282.5</v>
      </c>
      <c r="H49" s="949">
        <f>$G49*IFERROR(INDEX(Lists!$AD:$AD,MATCH($E49,Lists!$AC:$AC,0)),1)</f>
        <v>226282.5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Mapping'!$B:$B,223)</f>
        <v>Raymond Cheung</v>
      </c>
      <c r="C50" s="634" t="str">
        <f>INDEX('REVIEW - Complete Role Mapping'!$C:$C,223)</f>
        <v>Engineer - IDAM</v>
      </c>
      <c r="D50" s="612" t="str">
        <f>IF(ISNUMBER(SEARCH("vacant",$B50)),"Vacant","Filled")</f>
        <v>Filled</v>
      </c>
      <c r="E50" s="612" t="inlineStr">
        <is>
          <t>Filled</t>
        </is>
      </c>
      <c r="F50" s="634" t="str">
        <f>INDEX('REVIEW - Complete Role Mapping'!$AP:$AP,223)</f>
        <v>Cyber Strat &amp; Tech</v>
      </c>
      <c r="G50" s="949">
        <f>INDEX('REVIEW - Complete Role Mapping'!$AA:$AA,223)</f>
        <v>190675</v>
      </c>
      <c r="H50" s="949">
        <f>$G50*IFERROR(INDEX(Lists!$AD:$AD,MATCH($E50,Lists!$AC:$AC,0)),1)</f>
        <v>190675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Mapping'!$B:$B,232)</f>
        <v>Tony Keeler</v>
      </c>
      <c r="C51" s="634" t="str">
        <f>INDEX('REVIEW - Complete Role Mapping'!$C:$C,232)</f>
        <v>Cyber Business Analyst</v>
      </c>
      <c r="D51" s="612" t="str">
        <f>IF(ISNUMBER(SEARCH("vacant",$B51)),"Vacant","Filled")</f>
        <v>Filled</v>
      </c>
      <c r="E51" s="612" t="inlineStr">
        <is>
          <t>Filled</t>
        </is>
      </c>
      <c r="F51" s="634" t="str">
        <f>INDEX('REVIEW - Complete Role Mapping'!$AP:$AP,232)</f>
        <v>Cyber Strat &amp; Tech</v>
      </c>
      <c r="G51" s="949">
        <f>INDEX('REVIEW - Complete Role Mapping'!$AA:$AA,232)</f>
        <v>213600</v>
      </c>
      <c r="H51" s="949">
        <f>$G51*IFERROR(INDEX(Lists!$AD:$AD,MATCH($E51,Lists!$AC:$AC,0)),1)</f>
        <v>213600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Mapping'!$B:$B,238)</f>
        <v>Vivienne Vasak</v>
      </c>
      <c r="C52" s="634" t="str">
        <f>INDEX('REVIEW - Complete Role Mapping'!$C:$C,238)</f>
        <v>Portfolio Manager Cyber Security</v>
      </c>
      <c r="D52" s="612" t="str">
        <f>IF(ISNUMBER(SEARCH("vacant",$B52)),"Vacant","Filled")</f>
        <v>Filled</v>
      </c>
      <c r="E52" s="612" t="inlineStr">
        <is>
          <t>Filled</t>
        </is>
      </c>
      <c r="F52" s="634" t="str">
        <f>INDEX('REVIEW - Complete Role Mapping'!$AP:$AP,238)</f>
        <v>Cyber Strat &amp; Tech</v>
      </c>
      <c r="G52" s="949">
        <f>INDEX('REVIEW - Complete Role Mapping'!$AA:$AA,238)</f>
        <v>315674.35</v>
      </c>
      <c r="H52" s="949">
        <f>$G52*IFERROR(INDEX(Lists!$AD:$AD,MATCH($E52,Lists!$AC:$AC,0)),1)</f>
        <v>315674.35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Mapping'!$B:$B,204)</f>
        <v>Diya Thomas</v>
      </c>
      <c r="C53" s="634" t="str">
        <f>INDEX('REVIEW - Complete Role Mapping'!$C:$C,204)</f>
        <v>Manager Cyber Security GRC</v>
      </c>
      <c r="D53" s="612" t="str">
        <f>IF(ISNUMBER(SEARCH("vacant",$B53)),"Vacant","Filled")</f>
        <v>Filled</v>
      </c>
      <c r="E53" s="612" t="inlineStr">
        <is>
          <t>Filled</t>
        </is>
      </c>
      <c r="F53" s="634" t="str">
        <f>INDEX('REVIEW - Complete Role Mapping'!$AP:$AP,204)</f>
        <v>Cyber GRC</v>
      </c>
      <c r="G53" s="949">
        <f>INDEX('REVIEW - Complete Role Mapping'!$AA:$AA,204)</f>
        <v>287043.2</v>
      </c>
      <c r="H53" s="949">
        <f>$G53*IFERROR(INDEX(Lists!$AD:$AD,MATCH($E53,Lists!$AC:$AC,0)),1)</f>
        <v>287043.2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Mapping'!$B:$B,219)</f>
        <v>Pooja Kuperkar</v>
      </c>
      <c r="C54" s="634" t="str">
        <f>INDEX('REVIEW - Complete Role Mapping'!$C:$C,219)</f>
        <v>Cyber GRC Analyst</v>
      </c>
      <c r="D54" s="612" t="str">
        <f>IF(ISNUMBER(SEARCH("vacant",$B54)),"Vacant","Filled")</f>
        <v>Filled</v>
      </c>
      <c r="E54" s="612" t="inlineStr">
        <is>
          <t>Filled</t>
        </is>
      </c>
      <c r="F54" s="634" t="str">
        <f>INDEX('REVIEW - Complete Role Mapping'!$AP:$AP,219)</f>
        <v>Cyber GRC</v>
      </c>
      <c r="G54" s="949">
        <f>INDEX('REVIEW - Complete Role Mapping'!$AA:$AA,219)</f>
        <v>203440.65</v>
      </c>
      <c r="H54" s="949">
        <f>$G54*IFERROR(INDEX(Lists!$AD:$AD,MATCH($E54,Lists!$AC:$AC,0)),1)</f>
        <v>203440.65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Mapping'!$B:$B,220)</f>
        <v>Prashanth Chandran</v>
      </c>
      <c r="C55" s="634" t="str">
        <f>INDEX('REVIEW - Complete Role Mapping'!$C:$C,220)</f>
        <v>Senior Cyber GRC Specialist</v>
      </c>
      <c r="D55" s="612" t="str">
        <f>IF(ISNUMBER(SEARCH("vacant",$B55)),"Vacant","Filled")</f>
        <v>Filled</v>
      </c>
      <c r="E55" s="612" t="inlineStr">
        <is>
          <t>Filled</t>
        </is>
      </c>
      <c r="F55" s="634" t="str">
        <f>INDEX('REVIEW - Complete Role Mapping'!$AP:$AP,220)</f>
        <v>Cyber GRC</v>
      </c>
      <c r="G55" s="949">
        <f>INDEX('REVIEW - Complete Role Mapping'!$AA:$AA,220)</f>
        <v>220275</v>
      </c>
      <c r="H55" s="949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Mapping'!$B:$B,228)</f>
        <v>Shruti Manchanda</v>
      </c>
      <c r="C56" s="634" t="str">
        <f>INDEX('REVIEW - Complete Role Mapping'!$C:$C,228)</f>
        <v>Cyber GRC Analyst</v>
      </c>
      <c r="D56" s="612" t="str">
        <f>IF(ISNUMBER(SEARCH("vacant",$B56)),"Vacant","Filled")</f>
        <v>Filled</v>
      </c>
      <c r="E56" s="647" t="inlineStr">
        <is>
          <t>Filled</t>
        </is>
      </c>
      <c r="F56" s="648" t="str">
        <f>INDEX('REVIEW - Complete Role Mapping'!$AP:$AP,228)</f>
        <v>Cyber GRC</v>
      </c>
      <c r="G56" s="949">
        <f>INDEX('REVIEW - Complete Role Mapping'!$AA:$AA,228)</f>
        <v>228885.75</v>
      </c>
      <c r="H56" s="949">
        <f>$G56*IFERROR(INDEX(Lists!$AD:$AD,MATCH($E56,Lists!$AC:$AC,0)),1)</f>
        <v>228885.75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Mapping'!$B:$B,237)</f>
        <v>Vanessa Castro</v>
      </c>
      <c r="C57" s="634" t="str">
        <f>INDEX('REVIEW - Complete Role Mapping'!$C:$C,237)</f>
        <v>Cyber GRC Analyst</v>
      </c>
      <c r="D57" s="612" t="str">
        <f>IF(ISNUMBER(SEARCH("vacant",$B57)),"Vacant","Filled")</f>
        <v>Filled</v>
      </c>
      <c r="E57" s="647" t="inlineStr">
        <is>
          <t>Filled</t>
        </is>
      </c>
      <c r="F57" s="648" t="str">
        <f>INDEX('REVIEW - Complete Role Mapping'!$AP:$AP,237)</f>
        <v>Cyber GRC</v>
      </c>
      <c r="G57" s="949">
        <f>INDEX('REVIEW - Complete Role Mapping'!$AA:$AA,237)</f>
        <v>131833.188</v>
      </c>
      <c r="H57" s="949">
        <f>$G57*IFERROR(INDEX(Lists!$AD:$AD,MATCH($E57,Lists!$AC:$AC,0)),1)</f>
        <v>131833.188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Mapping'!$B:$B,213)</f>
        <v>Lisa Ng</v>
      </c>
      <c r="C58" s="634" t="str">
        <f>INDEX('REVIEW - Complete Role Mapping'!$C:$C,213)</f>
        <v>Cyber Security Analyst</v>
      </c>
      <c r="D58" s="612" t="str">
        <f>IF(ISNUMBER(SEARCH("vacant",$B58)),"Vacant","Filled")</f>
        <v>Filled</v>
      </c>
      <c r="E58" s="647" t="inlineStr">
        <is>
          <t>Filled</t>
        </is>
      </c>
      <c r="F58" s="648" t="str">
        <f>INDEX('REVIEW - Complete Role Mapping'!$AP:$AP,213)</f>
        <v>Cyber Sec Ops</v>
      </c>
      <c r="G58" s="949">
        <f>INDEX('REVIEW - Complete Role Mapping'!$AA:$AA,213)</f>
        <v>147800.064</v>
      </c>
      <c r="H58" s="949">
        <f>$G58*IFERROR(INDEX(Lists!$AD:$AD,MATCH($E58,Lists!$AC:$AC,0)),1)</f>
        <v>147800.064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Mapping'!$B:$B,218)</f>
        <v>Nischal Bhusal</v>
      </c>
      <c r="C59" s="634" t="str">
        <f>INDEX('REVIEW - Complete Role Mapping'!$C:$C,218)</f>
        <v>Cyber Security Analyst</v>
      </c>
      <c r="D59" s="612" t="str">
        <f>IF(ISNUMBER(SEARCH("vacant",$B59)),"Vacant","Filled")</f>
        <v>Filled</v>
      </c>
      <c r="E59" s="647" t="inlineStr">
        <is>
          <t>Filled</t>
        </is>
      </c>
      <c r="F59" s="648" t="str">
        <f>INDEX('REVIEW - Complete Role Mapping'!$AP:$AP,218)</f>
        <v>Cyber Sec Ops</v>
      </c>
      <c r="G59" s="949">
        <f>INDEX('REVIEW - Complete Role Mapping'!$AA:$AA,218)</f>
        <v>215629.2</v>
      </c>
      <c r="H59" s="949">
        <f>$G59*IFERROR(INDEX(Lists!$AD:$AD,MATCH($E59,Lists!$AC:$AC,0)),1)</f>
        <v>215629.2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Mapping'!$B:$B,226)</f>
        <v>Sameer Pattanaik</v>
      </c>
      <c r="C60" s="634" t="str">
        <f>INDEX('REVIEW - Complete Role Mapping'!$C:$C,226)</f>
        <v>Cyber Security Operations Lead</v>
      </c>
      <c r="D60" s="612" t="str">
        <f>IF(ISNUMBER(SEARCH("vacant",$B60)),"Vacant","Filled")</f>
        <v>Filled</v>
      </c>
      <c r="E60" s="612" t="inlineStr">
        <is>
          <t>Filled</t>
        </is>
      </c>
      <c r="F60" s="634" t="str">
        <f>INDEX('REVIEW - Complete Role Mapping'!$AP:$AP,226)</f>
        <v>Cyber Sec Ops</v>
      </c>
      <c r="G60" s="949">
        <f>INDEX('REVIEW - Complete Role Mapping'!$AA:$AA,226)</f>
        <v>212878.38</v>
      </c>
      <c r="H60" s="949">
        <f>$G60*IFERROR(INDEX(Lists!$AD:$AD,MATCH($E60,Lists!$AC:$AC,0)),1)</f>
        <v>212878.38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Mapping'!$B:$B,230)</f>
        <v>Stafford Dowling</v>
      </c>
      <c r="C61" s="634" t="str">
        <f>INDEX('REVIEW - Complete Role Mapping'!$C:$C,230)</f>
        <v>Cyber Security Analyst</v>
      </c>
      <c r="D61" s="612" t="str">
        <f>IF(ISNUMBER(SEARCH("vacant",$B61)),"Vacant","Filled")</f>
        <v>Filled</v>
      </c>
      <c r="E61" s="612" t="inlineStr">
        <is>
          <t>Filled</t>
        </is>
      </c>
      <c r="F61" s="634" t="str">
        <f>INDEX('REVIEW - Complete Role Mapping'!$AP:$AP,230)</f>
        <v>Cyber Sec Ops</v>
      </c>
      <c r="G61" s="949">
        <f>INDEX('REVIEW - Complete Role Mapping'!$AA:$AA,230)</f>
        <v>218713.05</v>
      </c>
      <c r="H61" s="949">
        <f>$G61*IFERROR(INDEX(Lists!$AD:$AD,MATCH($E61,Lists!$AC:$AC,0)),1)</f>
        <v>218713.05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Mapping'!$B:$B,231)</f>
        <v>Steven Atcheson</v>
      </c>
      <c r="C62" s="646" t="str">
        <f>INDEX('REVIEW - Complete Role Mapping'!$C:$C,231)</f>
        <v>Manager Cyber Security Operations</v>
      </c>
      <c r="D62" s="646" t="str">
        <f>IF(ISNUMBER(SEARCH("vacant",$B62)),"Vacant","Filled")</f>
        <v>Filled</v>
      </c>
      <c r="E62" s="646" t="inlineStr">
        <is>
          <t>Filled</t>
        </is>
      </c>
      <c r="F62" s="646" t="str">
        <f>INDEX('REVIEW - Complete Role Mapping'!$AP:$AP,231)</f>
        <v>Cyber Sec Ops</v>
      </c>
      <c r="G62" s="949">
        <f>INDEX('REVIEW - Complete Role Mapping'!$AA:$AA,231)</f>
        <v>316568.65</v>
      </c>
      <c r="H62" s="949">
        <f>$G62*IFERROR(INDEX(Lists!$AD:$AD,MATCH($E62,Lists!$AC:$AC,0)),1)</f>
        <v>316568.65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Mapping'!$B:$B,195)</f>
        <v>Brian Gates</v>
      </c>
      <c r="C63" s="634" t="str">
        <f>INDEX('REVIEW - Complete Role Mapping'!$C:$C,195)</f>
        <v>Manager Risk &amp; Resilience</v>
      </c>
      <c r="D63" s="612" t="str">
        <f>IF(ISNUMBER(SEARCH("vacant",$B63)),"Vacant","Filled")</f>
        <v>Filled</v>
      </c>
      <c r="E63" s="612" t="inlineStr">
        <is>
          <t>Filled</t>
        </is>
      </c>
      <c r="F63" s="634" t="str">
        <f>INDEX('REVIEW - Complete Role Mapping'!$AP:$AP,195)</f>
        <v>Cyber Risk</v>
      </c>
      <c r="G63" s="949">
        <f>INDEX('REVIEW - Complete Role Mapping'!$AA:$AA,195)</f>
        <v>287043.2</v>
      </c>
      <c r="H63" s="949">
        <f>$G63*IFERROR(INDEX(Lists!$AD:$AD,MATCH($E63,Lists!$AC:$AC,0)),1)</f>
        <v>287043.2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Mapping'!$B:$B,227)</f>
        <v>Shomiya Shayal</v>
      </c>
      <c r="C64" s="646" t="str">
        <f>INDEX('REVIEW - Complete Role Mapping'!$C:$C,227)</f>
        <v>Risk &amp; Resilience Lead</v>
      </c>
      <c r="D64" s="646" t="str">
        <f>IF(ISNUMBER(SEARCH("vacant",$B64)),"Vacant","Filled")</f>
        <v>Filled</v>
      </c>
      <c r="E64" s="646" t="inlineStr">
        <is>
          <t>Filled</t>
        </is>
      </c>
      <c r="F64" s="646" t="str">
        <f>INDEX('REVIEW - Complete Role Mapping'!$AP:$AP,227)</f>
        <v>Cyber Risk</v>
      </c>
      <c r="G64" s="949">
        <f>INDEX('REVIEW - Complete Role Mapping'!$AA:$AA,227)</f>
        <v>188515.032</v>
      </c>
      <c r="H64" s="949">
        <f>$G64*IFERROR(INDEX(Lists!$AD:$AD,MATCH($E64,Lists!$AC:$AC,0)),1)</f>
        <v>188515.032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n"/>
      <c r="C65" s="634" t="n"/>
      <c r="D65" s="612" t="n"/>
      <c r="E65" s="612" t="n"/>
      <c r="F65" s="634" t="n"/>
      <c r="G65" s="949" t="n"/>
      <c r="H65" s="949" t="n"/>
      <c r="I65" s="949" t="n"/>
      <c r="J65" s="949" t="n"/>
      <c r="K65" s="949" t="n"/>
      <c r="L65" s="949" t="n"/>
      <c r="M65" s="949" t="n"/>
      <c r="N65" s="949" t="n"/>
    </row>
    <row r="66">
      <c r="B66" s="646" t="n"/>
      <c r="C66" s="646" t="n"/>
      <c r="D66" s="646" t="n"/>
      <c r="E66" s="646" t="n"/>
      <c r="F66" s="646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  <row r="67">
      <c r="B67" s="634" t="n"/>
      <c r="C67" s="634" t="n"/>
      <c r="D67" s="612" t="n"/>
      <c r="E67" s="612" t="n"/>
      <c r="F67" s="634" t="n"/>
      <c r="G67" s="442" t="n"/>
      <c r="H67" s="442" t="n"/>
      <c r="I67" s="442" t="n"/>
      <c r="J67" s="442" t="n"/>
      <c r="K67" s="442" t="n"/>
      <c r="L67" s="442" t="n"/>
      <c r="M67" s="442" t="n"/>
      <c r="N67" s="442" t="n"/>
    </row>
  </sheetData>
  <conditionalFormatting sqref="D16:D64">
    <cfRule type="cellIs" priority="1" operator="equal" dxfId="1">
      <formula>"Vacant"</formula>
    </cfRule>
  </conditionalFormatting>
  <conditionalFormatting sqref="I6:I7">
    <cfRule type="expression" priority="2" dxfId="1">
      <formula>AND(ISNUMBER(I6),I6&gt;0)</formula>
    </cfRule>
    <cfRule type="expression" priority="3" dxfId="0">
      <formula>AND(ISNUMBER(I6),I6&lt;=0)</formula>
    </cfRule>
  </conditionalFormatting>
  <dataValidations count="1">
    <dataValidation sqref="E19:E64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0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4">
      <c r="B4" s="1221" t="inlineStr">
        <is>
          <t>Position by squad - archetype vs actual. Roles, status and cost come from REVIEW; the archetype comes from the design tab.</t>
        </is>
      </c>
      <c r="C4" s="949" t="n"/>
      <c r="D4" s="949" t="n"/>
      <c r="E4" s="949" t="n"/>
      <c r="F4" s="949" t="n"/>
      <c r="G4" s="949" t="n"/>
    </row>
    <row r="5">
      <c r="B5" s="1214" t="inlineStr">
        <is>
          <t>Squad</t>
        </is>
      </c>
      <c r="C5" s="1238" t="inlineStr">
        <is>
          <t>Archetype type</t>
        </is>
      </c>
      <c r="D5" s="1029" t="inlineStr">
        <is>
          <t>Archetype roles</t>
        </is>
      </c>
      <c r="E5" s="1214" t="inlineStr">
        <is>
          <t>Total roles (incl. vacant roles)</t>
        </is>
      </c>
      <c r="F5" s="1239" t="inlineStr">
        <is>
          <t>Variance between archetype and actual squads</t>
        </is>
      </c>
      <c r="G5" s="1029" t="inlineStr">
        <is>
          <t>Vacant</t>
        </is>
      </c>
      <c r="H5" s="1030" t="inlineStr">
        <is>
          <t>Planning to hire or offshore</t>
        </is>
      </c>
      <c r="I5" s="1030" t="inlineStr">
        <is>
          <t>Vacancies remaining</t>
        </is>
      </c>
      <c r="J5" s="1030" t="inlineStr">
        <is>
          <t>New total number of roles in squad</t>
        </is>
      </c>
      <c r="K5" s="1030" t="inlineStr">
        <is>
          <t>Flag</t>
        </is>
      </c>
      <c r="L5" s="1030" t="inlineStr">
        <is>
          <t>Archetype cost ($m)</t>
        </is>
      </c>
      <c r="M5" s="1030" t="inlineStr">
        <is>
          <t>Full cost of model ($m)</t>
        </is>
      </c>
      <c r="N5" s="1030" t="inlineStr">
        <is>
          <t>Variance between archetype &amp; actuals</t>
        </is>
      </c>
      <c r="O5" s="1030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B6" s="546" t="inlineStr">
        <is>
          <t>Transformation</t>
        </is>
      </c>
      <c r="C6" s="620" t="str">
        <f>"Outside archetype model"</f>
        <v>Outside archetype model</v>
      </c>
      <c r="D6" s="949" t="str">
        <f>IFERROR(INDEX('0.3 Squad Archetypes'!$F$5:$F$23,MATCH($C6&amp;"|"&amp;$R6,'0.3 Squad Archetypes'!$A$5:$A$23,0)),"-")</f>
        <v>-</v>
      </c>
      <c r="E6" s="546">
        <f>COUNTIFS($F$17:$F$40,$B6)</f>
        <v>14</v>
      </c>
      <c r="F6" s="510" t="str">
        <f>IFERROR($E6-$D6,"-")</f>
        <v>-</v>
      </c>
      <c r="G6" s="949">
        <f>COUNTIFS($F$17:$F$40,$B6,$D$17:$D$40,"Vacant")</f>
        <v>8</v>
      </c>
      <c r="H6">
        <f>COUNTIFS($F$17:$F$40,$B6,$D$17:$D$40,"Vacant",$E$17:$E$40,"Hire")+COUNTIFS($F$17:$F$40,$B6,$D$17:$D$40,"Vacant",$E$17:$E$40,"Offshore")</f>
        <v>0</v>
      </c>
      <c r="I6">
        <f>$G6-$H6</f>
        <v>8</v>
      </c>
      <c r="J6">
        <f>$E6-COUNTIFS($F$17:$F$40,$B6,$E$17:$E$40,"Hold")</f>
        <v>6</v>
      </c>
      <c r="K6" t="str">
        <f>IF(NOT(ISNUMBER($D6)),"Outside the archetype model",IF($J6&gt;$D6,"Over archetype after decisions",IF($J6&lt;$D6,"Under archetype","On archetype")))</f>
        <v>Outside the archetype model</v>
      </c>
      <c r="L6" t="str">
        <f>IFERROR(INDEX('0.3 Squad Archetypes'!$G$5:$G$23,MATCH($C6&amp;"|"&amp;$R6,'0.3 Squad Archetypes'!$A$5:$A$23,0)),"-")</f>
        <v>-</v>
      </c>
      <c r="M6">
        <f>SUMIFS($G$17:$G$40,$F$17:$F$40,$B6)/1000000</f>
        <v>3.10799923</v>
      </c>
      <c r="N6" t="str">
        <f>IFERROR($M6-$L6,"-")</f>
        <v>-</v>
      </c>
      <c r="O6">
        <f>SUMIFS($H$17:$H$40,$F$17:$F$40,$B6)/1000000</f>
        <v>1.19998525</v>
      </c>
      <c r="P6">
        <f>$O6</f>
        <v>1.19998525</v>
      </c>
      <c r="Q6" t="str">
        <f>IFERROR($P6-$L6,"-")</f>
        <v>-</v>
      </c>
      <c r="R6" t="str">
        <f>"-"</f>
        <v>-</v>
      </c>
      <c r="S6" t="str">
        <f>IFERROR(INDEX(Lists!$AA:$AA,MATCH($B6,Lists!$Z:$Z,0)),$B6)</f>
        <v>Transformation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B7" s="546" t="inlineStr">
        <is>
          <t>TDD Business Partner</t>
        </is>
      </c>
      <c r="C7" s="620" t="str">
        <f>"Outside archetype model"</f>
        <v>Outside archetype model</v>
      </c>
      <c r="D7" s="949" t="str">
        <f>IFERROR(INDEX('0.3 Squad Archetypes'!$F$5:$F$23,MATCH($C7&amp;"|"&amp;$R7,'0.3 Squad Archetypes'!$A$5:$A$23,0)),"-")</f>
        <v>-</v>
      </c>
      <c r="E7" s="546">
        <f>COUNTIFS($F$17:$F$40,$B7)</f>
        <v>6</v>
      </c>
      <c r="F7" s="510" t="str">
        <f>IFERROR($E7-$D7,"-")</f>
        <v>-</v>
      </c>
      <c r="G7" s="949">
        <f>COUNTIFS($F$17:$F$40,$B7,$D$17:$D$40,"Vacant")</f>
        <v>0</v>
      </c>
      <c r="H7">
        <f>COUNTIFS($F$17:$F$40,$B7,$D$17:$D$40,"Vacant",$E$17:$E$40,"Hire")+COUNTIFS($F$17:$F$40,$B7,$D$17:$D$40,"Vacant",$E$17:$E$40,"Offshore")</f>
        <v>0</v>
      </c>
      <c r="I7">
        <f>$G7-$H7</f>
        <v>0</v>
      </c>
      <c r="J7">
        <f>$E7-COUNTIFS($F$17:$F$40,$B7,$E$17:$E$40,"Hold")</f>
        <v>6</v>
      </c>
      <c r="K7" t="str">
        <f>IF(NOT(ISNUMBER($D7)),"Outside the archetype model",IF($J7&gt;$D7,"Over archetype after decisions",IF($J7&lt;$D7,"Under archetype","On archetype")))</f>
        <v>Outside the archetype model</v>
      </c>
      <c r="L7" t="str">
        <f>IFERROR(INDEX('0.3 Squad Archetypes'!$G$5:$G$23,MATCH($C7&amp;"|"&amp;$R7,'0.3 Squad Archetypes'!$A$5:$A$23,0)),"-")</f>
        <v>-</v>
      </c>
      <c r="M7">
        <f>SUMIFS($G$17:$G$40,$F$17:$F$40,$B7)/1000000</f>
        <v>2.3135484</v>
      </c>
      <c r="N7" t="str">
        <f>IFERROR($M7-$L7,"-")</f>
        <v>-</v>
      </c>
      <c r="O7">
        <f>SUMIFS($H$17:$H$40,$F$17:$F$40,$B7)/1000000</f>
        <v>2.3135484</v>
      </c>
      <c r="P7">
        <f>$O7</f>
        <v>2.3135484</v>
      </c>
      <c r="Q7" t="str">
        <f>IFERROR($P7-$L7,"-")</f>
        <v>-</v>
      </c>
      <c r="R7" t="str">
        <f>"-"</f>
        <v>-</v>
      </c>
      <c r="S7" t="str">
        <f>IFERROR(INDEX(Lists!$AA:$AA,MATCH($B7,Lists!$Z:$Z,0)),$B7)</f>
        <v>TDD Business Partner</v>
      </c>
      <c r="T7" t="str">
        <f>IF($B7="Leadership","Shared role - compared to the allowance",IF($C7="Strategic Programs","Strategic Programs - no rate in 0.3 (TBC)",IF(NOT(ISNUMBER($D7)),"No archetype for this squad","Archetype applies")))</f>
        <v>No archetype for this squad</v>
      </c>
    </row>
    <row r="8">
      <c r="B8" s="546" t="inlineStr">
        <is>
          <t>Commercial</t>
        </is>
      </c>
      <c r="C8" s="620" t="str">
        <f>"Outside archetype model"</f>
        <v>Outside archetype model</v>
      </c>
      <c r="D8" s="949" t="str">
        <f>IFERROR(INDEX('0.3 Squad Archetypes'!$F$5:$F$23,MATCH($C8&amp;"|"&amp;$R8,'0.3 Squad Archetypes'!$A$5:$A$23,0)),"-")</f>
        <v>-</v>
      </c>
      <c r="E8" s="949">
        <f>COUNTIFS($F$17:$F$40,$B8)</f>
        <v>4</v>
      </c>
      <c r="F8" s="949" t="str">
        <f>IFERROR($E8-$D8,"-")</f>
        <v>-</v>
      </c>
      <c r="G8" s="949">
        <f>COUNTIFS($F$17:$F$40,$B8,$D$17:$D$40,"Vacant")</f>
        <v>1</v>
      </c>
      <c r="H8">
        <f>COUNTIFS($F$17:$F$40,$B8,$D$17:$D$40,"Vacant",$E$17:$E$40,"Hire")+COUNTIFS($F$17:$F$40,$B8,$D$17:$D$40,"Vacant",$E$17:$E$40,"Offshore")</f>
        <v>0</v>
      </c>
      <c r="I8">
        <f>$G8-$H8</f>
        <v>1</v>
      </c>
      <c r="J8">
        <f>$E8-COUNTIFS($F$17:$F$40,$B8,$E$17:$E$40,"Hold")</f>
        <v>3</v>
      </c>
      <c r="K8" t="str">
        <f>IF(NOT(ISNUMBER($D8)),"Outside the archetype model",IF($J8&gt;$D8,"Over archetype after decisions",IF($J8&lt;$D8,"Under archetype","On archetype")))</f>
        <v>Outside the archetype model</v>
      </c>
      <c r="L8" t="str">
        <f>IFERROR(INDEX('0.3 Squad Archetypes'!$G$5:$G$23,MATCH($C8&amp;"|"&amp;$R8,'0.3 Squad Archetypes'!$A$5:$A$23,0)),"-")</f>
        <v>-</v>
      </c>
      <c r="M8">
        <f>SUMIFS($G$17:$G$40,$F$17:$F$40,$B8)/1000000</f>
        <v>0.979014192</v>
      </c>
      <c r="N8" t="str">
        <f>IFERROR($M8-$L8,"-")</f>
        <v>-</v>
      </c>
      <c r="O8">
        <f>SUMIFS($H$17:$H$40,$F$17:$F$40,$B8)/1000000</f>
        <v>0.539514192</v>
      </c>
      <c r="P8">
        <f>$O8</f>
        <v>0.539514192</v>
      </c>
      <c r="Q8" t="str">
        <f>IFERROR($P8-$L8,"-")</f>
        <v>-</v>
      </c>
      <c r="R8" t="str">
        <f>"-"</f>
        <v>-</v>
      </c>
      <c r="S8" t="str">
        <f>IFERROR(INDEX(Lists!$AA:$AA,MATCH($B8,Lists!$Z:$Z,0)),$B8)</f>
        <v>Commercial</v>
      </c>
      <c r="T8" t="str">
        <f>IF($B8="Leadership","Shared role - compared to the allowance",IF($C8="Strategic Programs","Strategic Programs - no rate in 0.3 (TBC)",IF(NOT(ISNUMBER($D8)),"No archetype for this squad","Archetype applies")))</f>
        <v>No archetype for this squad</v>
      </c>
    </row>
    <row r="9">
      <c r="B9" s="1218" t="inlineStr">
        <is>
          <t>Total</t>
        </is>
      </c>
      <c r="C9" s="510" t="n"/>
      <c r="D9" s="949">
        <f>SUM(D6:D8)</f>
        <v>0</v>
      </c>
      <c r="E9" s="949">
        <f>COUNTIFS('REVIEW - Complete Role Mapping'!$AJ$2:$AJ$528,"COE BP&amp;T")</f>
        <v>24</v>
      </c>
      <c r="F9" s="949">
        <f>SUM(F6:F8)</f>
        <v>0</v>
      </c>
      <c r="G9" s="949">
        <f>SUM(G6:G8)</f>
        <v>9</v>
      </c>
      <c r="H9">
        <f>SUM(H6:H8)</f>
        <v>0</v>
      </c>
      <c r="I9">
        <f>SUM(I6:I8)</f>
        <v>9</v>
      </c>
      <c r="J9">
        <f>SUM(J6:J8)</f>
        <v>15</v>
      </c>
      <c r="L9">
        <f>SUM(L6:L8)</f>
        <v>0</v>
      </c>
      <c r="M9">
        <f>SUMIFS('REVIEW - Complete Role Mapping'!$AA$2:$AA$528,'REVIEW - Complete Role Mapping'!$AJ$2:$AJ$528,"COE BP&amp;T")/1000000</f>
        <v>6.400561822</v>
      </c>
      <c r="N9">
        <f>SUM(N6:N8)</f>
        <v>0</v>
      </c>
      <c r="O9">
        <f>SUM(O6:O8)</f>
        <v>4.053047842</v>
      </c>
      <c r="P9">
        <f>SUM(P6:P8)</f>
        <v>4.053047842</v>
      </c>
      <c r="Q9">
        <f>SUM(Q6:Q8)</f>
        <v>0</v>
      </c>
    </row>
    <row r="10">
      <c r="B10" s="546" t="n"/>
      <c r="C10" s="510" t="n"/>
      <c r="D10" s="949" t="n"/>
      <c r="E10" s="949" t="n"/>
      <c r="F10" s="949" t="n"/>
      <c r="G10" s="949" t="n"/>
    </row>
    <row r="11">
      <c r="B11" s="1220" t="inlineStr">
        <is>
          <t>Cost to fill every vacancy at full onshore cost ($m)</t>
        </is>
      </c>
      <c r="C11" s="510" t="n"/>
      <c r="D11" s="949" t="n"/>
      <c r="E11" s="949">
        <f>SUMIFS($G$17:$G$40,$D$17:$D$40,"Vacant")/1000000</f>
        <v>2.34751398</v>
      </c>
      <c r="F11" s="949" t="n"/>
      <c r="G11" s="949" t="n"/>
    </row>
    <row r="12">
      <c r="B12" s="1240" t="inlineStr">
        <is>
          <t>Of which currently marked Hire or Offshore ($m)</t>
        </is>
      </c>
      <c r="E12">
        <f>(SUMIFS($G$17:$G$40,$D$17:$D$40,"Vacant",$E$17:$E$40,"Hire")+Lists!$AD$5*SUMIFS($G$17:$G$40,$D$17:$D$40,"Vacant",$E$17:$E$40,"Offshore"))/1000000</f>
        <v>0</v>
      </c>
    </row>
    <row r="13">
      <c r="B13" s="1232" t="inlineStr">
        <is>
          <t>Leadership and Head of Technology already inside this portfolio ($m) - not re-added in column P</t>
        </is>
      </c>
      <c r="C13" s="533" t="n"/>
      <c r="D13" s="533" t="n"/>
      <c r="E13" s="533">
        <f>SUMIFS('REVIEW - Complete Role Mapping'!$AA$2:$AA$528,'REVIEW - Complete Role Mapping'!$AJ$2:$AJ$528,"COE BP&amp;T",'REVIEW - Complete Role Mapping'!$AQ$2:$AQ$528,1)/1000000</f>
        <v>0</v>
      </c>
      <c r="F13" s="533" t="n"/>
      <c r="G13" s="533" t="n"/>
    </row>
    <row r="14">
      <c r="B14" s="546" t="n"/>
      <c r="C14" s="622" t="n"/>
      <c r="D14" s="546" t="n"/>
      <c r="E14" s="612" t="n"/>
      <c r="F14" s="949" t="n"/>
      <c r="G14" s="949" t="n"/>
    </row>
    <row r="15">
      <c r="B15" s="1220" t="inlineStr">
        <is>
          <t>COE BP&amp;T roles - one row per named role, from REVIEW</t>
        </is>
      </c>
      <c r="C15" s="622" t="n"/>
      <c r="D15" s="546" t="n"/>
      <c r="E15" s="612" t="n"/>
      <c r="F15" s="949" t="n"/>
      <c r="G15" s="949" t="n"/>
    </row>
    <row r="16">
      <c r="B16" s="1214" t="inlineStr">
        <is>
          <t>Name</t>
        </is>
      </c>
      <c r="C16" s="1214" t="inlineStr">
        <is>
          <t>Role</t>
        </is>
      </c>
      <c r="D16" s="1214" t="inlineStr">
        <is>
          <t>Status</t>
        </is>
      </c>
      <c r="E16" s="1214" t="inlineStr">
        <is>
          <t>Vacancy lever</t>
        </is>
      </c>
      <c r="F16" s="1029" t="inlineStr">
        <is>
          <t>Squad</t>
        </is>
      </c>
      <c r="G16" s="1029" t="inlineStr">
        <is>
          <t>Cost if hired ($)</t>
        </is>
      </c>
      <c r="H16" s="1030" t="inlineStr">
        <is>
          <t>Effective cost ($)</t>
        </is>
      </c>
    </row>
    <row r="17">
      <c r="B17" s="546" t="str">
        <f>INDEX('REVIEW - Complete Role Mapping'!$B:$B,259)</f>
        <v>Jeannie Chu</v>
      </c>
      <c r="C17" s="622" t="str">
        <f>INDEX('REVIEW - Complete Role Mapping'!$C:$C,259)</f>
        <v>Snr Finance Support Administrator</v>
      </c>
      <c r="D17" s="546" t="str">
        <f>IF(ISNUMBER(SEARCH("vacant",$B17)),"Vacant","Filled")</f>
        <v>Filled</v>
      </c>
      <c r="E17" s="612" t="inlineStr">
        <is>
          <t>Filled</t>
        </is>
      </c>
      <c r="F17" s="949" t="str">
        <f>INDEX('REVIEW - Complete Role Mapping'!$AP:$AP,259)</f>
        <v>Transformation</v>
      </c>
      <c r="G17" s="949">
        <f>INDEX('REVIEW - Complete Role Mapping'!$AA:$AA,259)</f>
        <v>147687.65</v>
      </c>
      <c r="H17">
        <f>$G17*IFERROR(INDEX(Lists!$AD:$AD,MATCH($E17,Lists!$AC:$AC,0)),1)</f>
        <v>147687.65</v>
      </c>
    </row>
    <row r="18">
      <c r="B18" s="546" t="str">
        <f>INDEX('REVIEW - Complete Role Mapping'!$B:$B,260)</f>
        <v>Jenny Chan</v>
      </c>
      <c r="C18" s="622" t="str">
        <f>INDEX('REVIEW - Complete Role Mapping'!$C:$C,260)</f>
        <v>Project Finance Lead</v>
      </c>
      <c r="D18" s="546" t="str">
        <f>IF(ISNUMBER(SEARCH("vacant",$B18)),"Vacant","Filled")</f>
        <v>Filled</v>
      </c>
      <c r="E18" s="612" t="inlineStr">
        <is>
          <t>Filled</t>
        </is>
      </c>
      <c r="F18" s="949" t="str">
        <f>INDEX('REVIEW - Complete Role Mapping'!$AP:$AP,260)</f>
        <v>Transformation</v>
      </c>
      <c r="G18" s="949">
        <f>INDEX('REVIEW - Complete Role Mapping'!$AA:$AA,260)</f>
        <v>206124</v>
      </c>
      <c r="H18">
        <f>$G18*IFERROR(INDEX(Lists!$AD:$AD,MATCH($E18,Lists!$AC:$AC,0)),1)</f>
        <v>206124</v>
      </c>
    </row>
    <row r="19">
      <c r="B19" s="546" t="str">
        <f>INDEX('REVIEW - Complete Role Mapping'!$B:$B,262)</f>
        <v>Maria Somera</v>
      </c>
      <c r="C19" s="622" t="str">
        <f>INDEX('REVIEW - Complete Role Mapping'!$C:$C,262)</f>
        <v>Technology Finance Analyst</v>
      </c>
      <c r="D19" s="546" t="str">
        <f>IF(ISNUMBER(SEARCH("vacant",$B19)),"Vacant","Filled")</f>
        <v>Filled</v>
      </c>
      <c r="E19" s="612" t="inlineStr">
        <is>
          <t>Filled</t>
        </is>
      </c>
      <c r="F19" s="949" t="str">
        <f>INDEX('REVIEW - Complete Role Mapping'!$AP:$AP,262)</f>
        <v>Transformation</v>
      </c>
      <c r="G19" s="949">
        <f>INDEX('REVIEW - Complete Role Mapping'!$AA:$AA,262)</f>
        <v>179313.4</v>
      </c>
      <c r="H19">
        <f>$G19*IFERROR(INDEX(Lists!$AD:$AD,MATCH($E19,Lists!$AC:$AC,0)),1)</f>
        <v>179313.4</v>
      </c>
    </row>
    <row r="20">
      <c r="B20" s="546" t="str">
        <f>INDEX('REVIEW - Complete Role Mapping'!$B:$B,263)</f>
        <v>Matt Saunders</v>
      </c>
      <c r="C20" s="622" t="str">
        <f>INDEX('REVIEW - Complete Role Mapping'!$C:$C,263)</f>
        <v>Scrum Master</v>
      </c>
      <c r="D20" s="546" t="str">
        <f>IF(ISNUMBER(SEARCH("vacant",$B20)),"Vacant","Filled")</f>
        <v>Filled</v>
      </c>
      <c r="E20" s="612" t="inlineStr">
        <is>
          <t>Filled</t>
        </is>
      </c>
      <c r="F20" s="949" t="str">
        <f>INDEX('REVIEW - Complete Role Mapping'!$AP:$AP,263)</f>
        <v>Transformation</v>
      </c>
      <c r="G20" s="949">
        <f>INDEX('REVIEW - Complete Role Mapping'!$AA:$AA,263)</f>
        <v>147754.8</v>
      </c>
      <c r="H20">
        <f>$G20*IFERROR(INDEX(Lists!$AD:$AD,MATCH($E20,Lists!$AC:$AC,0)),1)</f>
        <v>147754.8</v>
      </c>
    </row>
    <row r="21">
      <c r="B21" s="546" t="str">
        <f>INDEX('REVIEW - Complete Role Mapping'!$B:$B,265)</f>
        <v>Ruth Chou</v>
      </c>
      <c r="C21" s="622" t="str">
        <f>INDEX('REVIEW - Complete Role Mapping'!$C:$C,265)</f>
        <v>Portfolio Reporting Manager</v>
      </c>
      <c r="D21" s="546" t="str">
        <f>IF(ISNUMBER(SEARCH("vacant",$B21)),"Vacant","Filled")</f>
        <v>Filled</v>
      </c>
      <c r="E21" s="612" t="inlineStr">
        <is>
          <t>Filled</t>
        </is>
      </c>
      <c r="F21" s="949" t="str">
        <f>INDEX('REVIEW - Complete Role Mapping'!$AP:$AP,265)</f>
        <v>Transformation</v>
      </c>
      <c r="G21" s="949">
        <f>INDEX('REVIEW - Complete Role Mapping'!$AA:$AA,265)</f>
        <v>293316.85</v>
      </c>
      <c r="H21">
        <f>$G21*IFERROR(INDEX(Lists!$AD:$AD,MATCH($E21,Lists!$AC:$AC,0)),1)</f>
        <v>293316.85</v>
      </c>
    </row>
    <row r="22">
      <c r="B22" s="546" t="str">
        <f>INDEX('REVIEW - Complete Role Mapping'!$B:$B,266)</f>
        <v>Sam Chan</v>
      </c>
      <c r="C22" s="622" t="str">
        <f>INDEX('REVIEW - Complete Role Mapping'!$C:$C,266)</f>
        <v>FinOps Manager</v>
      </c>
      <c r="D22" s="546" t="str">
        <f>IF(ISNUMBER(SEARCH("vacant",$B22)),"Vacant","Filled")</f>
        <v>Filled</v>
      </c>
      <c r="E22" s="612" t="inlineStr">
        <is>
          <t>Filled</t>
        </is>
      </c>
      <c r="F22" s="949" t="str">
        <f>INDEX('REVIEW - Complete Role Mapping'!$AP:$AP,266)</f>
        <v>Transformation</v>
      </c>
      <c r="G22" s="949">
        <f>INDEX('REVIEW - Complete Role Mapping'!$AA:$AA,266)</f>
        <v>225788.55</v>
      </c>
      <c r="H22">
        <f>$G22*IFERROR(INDEX(Lists!$AD:$AD,MATCH($E22,Lists!$AC:$AC,0)),1)</f>
        <v>225788.55</v>
      </c>
    </row>
    <row r="23">
      <c r="B23" s="546" t="str">
        <f>INDEX('REVIEW - Complete Role Mapping'!$B:$B,270)</f>
        <v>Vacant</v>
      </c>
      <c r="C23" s="622" t="str">
        <f>INDEX('REVIEW - Complete Role Mapping'!$C:$C,270)</f>
        <v>Head of Transformation</v>
      </c>
      <c r="D23" s="546" t="str">
        <f>IF(ISNUMBER(SEARCH("vacant",$B23)),"Vacant","Filled")</f>
        <v>Vacant</v>
      </c>
      <c r="E23" s="612" t="inlineStr">
        <is>
          <t>Hold</t>
        </is>
      </c>
      <c r="F23" s="949" t="str">
        <f>INDEX('REVIEW - Complete Role Mapping'!$AP:$AP,270)</f>
        <v>Transformation</v>
      </c>
      <c r="G23" s="949">
        <f>INDEX('REVIEW - Complete Role Mapping'!$AA:$AA,270)</f>
        <v>367900</v>
      </c>
      <c r="H23">
        <f>$G23*IFERROR(INDEX(Lists!$AD:$AD,MATCH($E23,Lists!$AC:$AC,0)),1)</f>
        <v>0</v>
      </c>
    </row>
    <row r="24">
      <c r="B24" s="546" t="str">
        <f>INDEX('REVIEW - Complete Role Mapping'!$B:$B,271)</f>
        <v>Vacant</v>
      </c>
      <c r="C24" s="622" t="str">
        <f>INDEX('REVIEW - Complete Role Mapping'!$C:$C,271)</f>
        <v>Delivery Systems Analyst</v>
      </c>
      <c r="D24" s="546" t="str">
        <f>IF(ISNUMBER(SEARCH("vacant",$B24)),"Vacant","Filled")</f>
        <v>Vacant</v>
      </c>
      <c r="E24" s="612" t="inlineStr">
        <is>
          <t>Hold</t>
        </is>
      </c>
      <c r="F24" s="949" t="str">
        <f>INDEX('REVIEW - Complete Role Mapping'!$AP:$AP,271)</f>
        <v>Transformation</v>
      </c>
      <c r="G24" s="949">
        <f>INDEX('REVIEW - Complete Role Mapping'!$AA:$AA,271)</f>
        <v>202853.25</v>
      </c>
      <c r="H24">
        <f>$G24*IFERROR(INDEX(Lists!$AD:$AD,MATCH($E24,Lists!$AC:$AC,0)),1)</f>
        <v>0</v>
      </c>
    </row>
    <row r="25">
      <c r="B25" s="546" t="str">
        <f>INDEX('REVIEW - Complete Role Mapping'!$B:$B,272)</f>
        <v>Vacant</v>
      </c>
      <c r="C25" s="622" t="str">
        <f>INDEX('REVIEW - Complete Role Mapping'!$C:$C,272)</f>
        <v>Business Analysis Practice Lead</v>
      </c>
      <c r="D25" s="546" t="str">
        <f>IF(ISNUMBER(SEARCH("vacant",$B25)),"Vacant","Filled")</f>
        <v>Vacant</v>
      </c>
      <c r="E25" s="612" t="inlineStr">
        <is>
          <t>Hold</t>
        </is>
      </c>
      <c r="F25" s="949" t="str">
        <f>INDEX('REVIEW - Complete Role Mapping'!$AP:$AP,272)</f>
        <v>Transformation</v>
      </c>
      <c r="G25" s="949">
        <f>INDEX('REVIEW - Complete Role Mapping'!$AA:$AA,272)</f>
        <v>231689.25</v>
      </c>
      <c r="H25">
        <f>$G25*IFERROR(INDEX(Lists!$AD:$AD,MATCH($E25,Lists!$AC:$AC,0)),1)</f>
        <v>0</v>
      </c>
    </row>
    <row r="26">
      <c r="B26" s="546" t="str">
        <f>INDEX('REVIEW - Complete Role Mapping'!$B:$B,273)</f>
        <v>Vacant</v>
      </c>
      <c r="C26" s="622" t="str">
        <f>INDEX('REVIEW - Complete Role Mapping'!$C:$C,273)</f>
        <v>Delivery Assurance Manager</v>
      </c>
      <c r="D26" s="546" t="str">
        <f>IF(ISNUMBER(SEARCH("vacant",$B26)),"Vacant","Filled")</f>
        <v>Vacant</v>
      </c>
      <c r="E26" s="612" t="inlineStr">
        <is>
          <t>Hold</t>
        </is>
      </c>
      <c r="F26" s="949" t="str">
        <f>INDEX('REVIEW - Complete Role Mapping'!$AP:$AP,273)</f>
        <v>Transformation</v>
      </c>
      <c r="G26" s="949">
        <f>INDEX('REVIEW - Complete Role Mapping'!$AA:$AA,273)</f>
        <v>275810.25</v>
      </c>
      <c r="H26">
        <f>$G26*IFERROR(INDEX(Lists!$AD:$AD,MATCH($E26,Lists!$AC:$AC,0)),1)</f>
        <v>0</v>
      </c>
    </row>
    <row r="27">
      <c r="B27" s="546" t="str">
        <f>INDEX('REVIEW - Complete Role Mapping'!$B:$B,274)</f>
        <v>Vacant</v>
      </c>
      <c r="C27" s="622" t="str">
        <f>INDEX('REVIEW - Complete Role Mapping'!$C:$C,274)</f>
        <v>Delivery Capacity &amp; Assurance Lead</v>
      </c>
      <c r="D27" s="546" t="str">
        <f>IF(ISNUMBER(SEARCH("vacant",$B27)),"Vacant","Filled")</f>
        <v>Vacant</v>
      </c>
      <c r="E27" s="612" t="inlineStr">
        <is>
          <t>Hold</t>
        </is>
      </c>
      <c r="F27" s="949" t="str">
        <f>INDEX('REVIEW - Complete Role Mapping'!$AP:$AP,274)</f>
        <v>Transformation</v>
      </c>
      <c r="G27" s="949">
        <f>INDEX('REVIEW - Complete Role Mapping'!$AA:$AA,274)</f>
        <v>231689.25</v>
      </c>
      <c r="H27">
        <f>$G27*IFERROR(INDEX(Lists!$AD:$AD,MATCH($E27,Lists!$AC:$AC,0)),1)</f>
        <v>0</v>
      </c>
    </row>
    <row r="28">
      <c r="B28" s="546" t="str">
        <f>INDEX('REVIEW - Complete Role Mapping'!$B:$B,275)</f>
        <v>Vacant</v>
      </c>
      <c r="C28" s="622" t="str">
        <f>INDEX('REVIEW - Complete Role Mapping'!$C:$C,275)</f>
        <v>Delivery Excellence Manager</v>
      </c>
      <c r="D28" s="546" t="str">
        <f>IF(ISNUMBER(SEARCH("vacant",$B28)),"Vacant","Filled")</f>
        <v>Vacant</v>
      </c>
      <c r="E28" s="612" t="inlineStr">
        <is>
          <t>Hold</t>
        </is>
      </c>
      <c r="F28" s="536" t="str">
        <f>INDEX('REVIEW - Complete Role Mapping'!$AP:$AP,275)</f>
        <v>Transformation</v>
      </c>
      <c r="G28" s="624">
        <f>INDEX('REVIEW - Complete Role Mapping'!$AA:$AA,275)</f>
        <v>275810.25</v>
      </c>
      <c r="H28">
        <f>$G28*IFERROR(INDEX(Lists!$AD:$AD,MATCH($E28,Lists!$AC:$AC,0)),1)</f>
        <v>0</v>
      </c>
    </row>
    <row r="29">
      <c r="B29" s="546" t="str">
        <f>INDEX('REVIEW - Complete Role Mapping'!$B:$B,276)</f>
        <v>Vacant</v>
      </c>
      <c r="C29" s="622" t="str">
        <f>INDEX('REVIEW - Complete Role Mapping'!$C:$C,276)</f>
        <v>Scrum Master</v>
      </c>
      <c r="D29" s="546" t="str">
        <f>IF(ISNUMBER(SEARCH("vacant",$B29)),"Vacant","Filled")</f>
        <v>Vacant</v>
      </c>
      <c r="E29" s="612" t="inlineStr">
        <is>
          <t>Hold</t>
        </is>
      </c>
      <c r="F29" s="536" t="str">
        <f>INDEX('REVIEW - Complete Role Mapping'!$AP:$AP,276)</f>
        <v>Transformation</v>
      </c>
      <c r="G29" s="624">
        <f>INDEX('REVIEW - Complete Role Mapping'!$AA:$AA,276)</f>
        <v>151771.98</v>
      </c>
      <c r="H29">
        <f>$G29*IFERROR(INDEX(Lists!$AD:$AD,MATCH($E29,Lists!$AC:$AC,0)),1)</f>
        <v>0</v>
      </c>
    </row>
    <row r="30">
      <c r="B30" s="546" t="str">
        <f>INDEX('REVIEW - Complete Role Mapping'!$B:$B,277)</f>
        <v>Vacant</v>
      </c>
      <c r="C30" s="622" t="str">
        <f>INDEX('REVIEW - Complete Role Mapping'!$C:$C,277)</f>
        <v>Portfolio Analyst</v>
      </c>
      <c r="D30" s="546" t="str">
        <f>IF(ISNUMBER(SEARCH("vacant",$B30)),"Vacant","Filled")</f>
        <v>Vacant</v>
      </c>
      <c r="E30" s="612" t="inlineStr">
        <is>
          <t>Hold</t>
        </is>
      </c>
      <c r="F30" s="536" t="str">
        <f>INDEX('REVIEW - Complete Role Mapping'!$AP:$AP,277)</f>
        <v>Transformation</v>
      </c>
      <c r="G30" s="624">
        <f>INDEX('REVIEW - Complete Role Mapping'!$AA:$AA,277)</f>
        <v>170489.75</v>
      </c>
      <c r="H30">
        <f>$G30*IFERROR(INDEX(Lists!$AD:$AD,MATCH($E30,Lists!$AC:$AC,0)),1)</f>
        <v>0</v>
      </c>
    </row>
    <row r="31">
      <c r="B31" s="546" t="str">
        <f>INDEX('REVIEW - Complete Role Mapping'!$B:$B,256)</f>
        <v>Conli Mills</v>
      </c>
      <c r="C31" s="622" t="str">
        <f>INDEX('REVIEW - Complete Role Mapping'!$C:$C,256)</f>
        <v>TDD BP - Infrastructure</v>
      </c>
      <c r="D31" s="546" t="str">
        <f>IF(ISNUMBER(SEARCH("vacant",$B31)),"Vacant","Filled")</f>
        <v>Filled</v>
      </c>
      <c r="E31" s="612" t="inlineStr">
        <is>
          <t>Filled</t>
        </is>
      </c>
      <c r="F31" s="536" t="str">
        <f>INDEX('REVIEW - Complete Role Mapping'!$AP:$AP,256)</f>
        <v>TDD Business Partner</v>
      </c>
      <c r="G31" s="624">
        <f>INDEX('REVIEW - Complete Role Mapping'!$AA:$AA,256)</f>
        <v>297150</v>
      </c>
      <c r="H31">
        <f>$G31*IFERROR(INDEX(Lists!$AD:$AD,MATCH($E31,Lists!$AC:$AC,0)),1)</f>
        <v>297150</v>
      </c>
    </row>
    <row r="32">
      <c r="B32" s="546" t="str">
        <f>INDEX('REVIEW - Complete Role Mapping'!$B:$B,261)</f>
        <v>Malcolm Deare</v>
      </c>
      <c r="C32" s="622" t="str">
        <f>INDEX('REVIEW - Complete Role Mapping'!$C:$C,261)</f>
        <v>TDD BP, Group Functions</v>
      </c>
      <c r="D32" s="546" t="str">
        <f>IF(ISNUMBER(SEARCH("vacant",$B32)),"Vacant","Filled")</f>
        <v>Filled</v>
      </c>
      <c r="E32" s="612" t="inlineStr">
        <is>
          <t>Filled</t>
        </is>
      </c>
      <c r="F32" s="536" t="str">
        <f>INDEX('REVIEW - Complete Role Mapping'!$AP:$AP,261)</f>
        <v>TDD Business Partner</v>
      </c>
      <c r="G32" s="624">
        <f>INDEX('REVIEW - Complete Role Mapping'!$AA:$AA,261)</f>
        <v>298100</v>
      </c>
      <c r="H32">
        <f>$G32*IFERROR(INDEX(Lists!$AD:$AD,MATCH($E32,Lists!$AC:$AC,0)),1)</f>
        <v>298100</v>
      </c>
    </row>
    <row r="33">
      <c r="B33" s="546" t="str">
        <f>INDEX('REVIEW - Complete Role Mapping'!$B:$B,264)</f>
        <v>Neil Reilly</v>
      </c>
      <c r="C33" s="622" t="str">
        <f>INDEX('REVIEW - Complete Role Mapping'!$C:$C,264)</f>
        <v>TDD BP - T&amp;S</v>
      </c>
      <c r="D33" s="546" t="str">
        <f>IF(ISNUMBER(SEARCH("vacant",$B33)),"Vacant","Filled")</f>
        <v>Filled</v>
      </c>
      <c r="E33" s="612" t="inlineStr">
        <is>
          <t>Filled</t>
        </is>
      </c>
      <c r="F33" s="536" t="str">
        <f>INDEX('REVIEW - Complete Role Mapping'!$AP:$AP,264)</f>
        <v>TDD Business Partner</v>
      </c>
      <c r="G33" s="624">
        <f>INDEX('REVIEW - Complete Role Mapping'!$AA:$AA,264)</f>
        <v>666087.5</v>
      </c>
      <c r="H33">
        <f>$G33*IFERROR(INDEX(Lists!$AD:$AD,MATCH($E33,Lists!$AC:$AC,0)),1)</f>
        <v>666087.5</v>
      </c>
    </row>
    <row r="34">
      <c r="B34" s="546" t="str">
        <f>INDEX('REVIEW - Complete Role Mapping'!$B:$B,267)</f>
        <v>Shelley Crawford</v>
      </c>
      <c r="C34" s="622" t="str">
        <f>INDEX('REVIEW - Complete Role Mapping'!$C:$C,267)</f>
        <v>TDD BP - Z</v>
      </c>
      <c r="D34" s="546" t="str">
        <f>IF(ISNUMBER(SEARCH("vacant",$B34)),"Vacant","Filled")</f>
        <v>Filled</v>
      </c>
      <c r="E34" s="612" t="inlineStr">
        <is>
          <t>Filled</t>
        </is>
      </c>
      <c r="F34" s="536" t="str">
        <f>INDEX('REVIEW - Complete Role Mapping'!$AP:$AP,267)</f>
        <v>TDD Business Partner</v>
      </c>
      <c r="G34" s="624">
        <f>INDEX('REVIEW - Complete Role Mapping'!$AA:$AA,267)</f>
        <v>291422</v>
      </c>
      <c r="H34">
        <f>$G34*IFERROR(INDEX(Lists!$AD:$AD,MATCH($E34,Lists!$AC:$AC,0)),1)</f>
        <v>291422</v>
      </c>
    </row>
    <row r="35">
      <c r="B35" s="546" t="str">
        <f>INDEX('REVIEW - Complete Role Mapping'!$B:$B,268)</f>
        <v>Thomas Reid</v>
      </c>
      <c r="C35" s="622" t="str">
        <f>INDEX('REVIEW - Complete Role Mapping'!$C:$C,268)</f>
        <v>TDD BP - Retail &amp; Customer - Store Digital</v>
      </c>
      <c r="D35" s="546" t="str">
        <f>IF(ISNUMBER(SEARCH("vacant",$B35)),"Vacant","Filled")</f>
        <v>Filled</v>
      </c>
      <c r="E35" s="612" t="inlineStr">
        <is>
          <t>Filled</t>
        </is>
      </c>
      <c r="F35" s="536" t="str">
        <f>INDEX('REVIEW - Complete Role Mapping'!$AP:$AP,268)</f>
        <v>TDD Business Partner</v>
      </c>
      <c r="G35" s="624">
        <f>INDEX('REVIEW - Complete Role Mapping'!$AA:$AA,268)</f>
        <v>417425</v>
      </c>
      <c r="H35">
        <f>$G35*IFERROR(INDEX(Lists!$AD:$AD,MATCH($E35,Lists!$AC:$AC,0)),1)</f>
        <v>417425</v>
      </c>
    </row>
    <row r="36">
      <c r="B36" s="546" t="str">
        <f>INDEX('REVIEW - Complete Role Mapping'!$B:$B,278)</f>
        <v>Vaughn Scott</v>
      </c>
      <c r="C36" s="622" t="str">
        <f>INDEX('REVIEW - Complete Role Mapping'!$C:$C,278)</f>
        <v>TDD BP - ES</v>
      </c>
      <c r="D36" s="546" t="str">
        <f>IF(ISNUMBER(SEARCH("vacant",$B36)),"Vacant","Filled")</f>
        <v>Filled</v>
      </c>
      <c r="E36" s="612" t="inlineStr">
        <is>
          <t>Filled</t>
        </is>
      </c>
      <c r="F36" s="536" t="str">
        <f>INDEX('REVIEW - Complete Role Mapping'!$AP:$AP,278)</f>
        <v>TDD Business Partner</v>
      </c>
      <c r="G36" s="624">
        <f>INDEX('REVIEW - Complete Role Mapping'!$AA:$AA,278)</f>
        <v>343363.9</v>
      </c>
      <c r="H36">
        <f>$G36*IFERROR(INDEX(Lists!$AD:$AD,MATCH($E36,Lists!$AC:$AC,0)),1)</f>
        <v>343363.9</v>
      </c>
    </row>
    <row r="37">
      <c r="B37" s="546" t="str">
        <f>INDEX('REVIEW - Complete Role Mapping'!$B:$B,255)</f>
        <v>Briony Scott</v>
      </c>
      <c r="C37" s="622" t="str">
        <f>INDEX('REVIEW - Complete Role Mapping'!$C:$C,255)</f>
        <v>Service &amp; Contract Specialist AU</v>
      </c>
      <c r="D37" s="546" t="str">
        <f>IF(ISNUMBER(SEARCH("vacant",$B37)),"Vacant","Filled")</f>
        <v>Filled</v>
      </c>
      <c r="E37" s="612" t="inlineStr">
        <is>
          <t>Filled</t>
        </is>
      </c>
      <c r="F37" s="949" t="str">
        <f>INDEX('REVIEW - Complete Role Mapping'!$AP:$AP,255)</f>
        <v>Commercial</v>
      </c>
      <c r="G37" s="949">
        <f>INDEX('REVIEW - Complete Role Mapping'!$AA:$AA,255)</f>
        <v>205056</v>
      </c>
      <c r="H37">
        <f>$G37*IFERROR(INDEX(Lists!$AD:$AD,MATCH($E37,Lists!$AC:$AC,0)),1)</f>
        <v>205056</v>
      </c>
    </row>
    <row r="38">
      <c r="B38" t="str">
        <f>INDEX('REVIEW - Complete Role Mapping'!$B:$B,257)</f>
        <v>Helen Ngu</v>
      </c>
      <c r="C38" t="str">
        <f>INDEX('REVIEW - Complete Role Mapping'!$C:$C,257)</f>
        <v>Service &amp; Contract Specialist NZ</v>
      </c>
      <c r="D38" t="str">
        <f>IF(ISNUMBER(SEARCH("vacant",$B38)),"Vacant","Filled")</f>
        <v>Filled</v>
      </c>
      <c r="E38" t="inlineStr">
        <is>
          <t>Filled</t>
        </is>
      </c>
      <c r="F38" t="str">
        <f>INDEX('REVIEW - Complete Role Mapping'!$AP:$AP,257)</f>
        <v>Commercial</v>
      </c>
      <c r="G38">
        <f>INDEX('REVIEW - Complete Role Mapping'!$AA:$AA,257)</f>
        <v>151002.492</v>
      </c>
      <c r="H38">
        <f>$G38*IFERROR(INDEX(Lists!$AD:$AD,MATCH($E38,Lists!$AC:$AC,0)),1)</f>
        <v>151002.492</v>
      </c>
    </row>
    <row r="39">
      <c r="B39" s="543" t="str">
        <f>INDEX('REVIEW - Complete Role Mapping'!$B:$B,258)</f>
        <v>Jane Esclandra</v>
      </c>
      <c r="C39" s="949" t="str">
        <f>INDEX('REVIEW - Complete Role Mapping'!$C:$C,258)</f>
        <v>Software Asset Specialist</v>
      </c>
      <c r="D39" s="949" t="str">
        <f>IF(ISNUMBER(SEARCH("vacant",$B39)),"Vacant","Filled")</f>
        <v>Filled</v>
      </c>
      <c r="E39" s="949" t="inlineStr">
        <is>
          <t>Filled</t>
        </is>
      </c>
      <c r="F39" s="949" t="str">
        <f>INDEX('REVIEW - Complete Role Mapping'!$AP:$AP,258)</f>
        <v>Commercial</v>
      </c>
      <c r="G39" s="949">
        <f>INDEX('REVIEW - Complete Role Mapping'!$AA:$AA,258)</f>
        <v>183455.7</v>
      </c>
      <c r="H39">
        <f>$G39*IFERROR(INDEX(Lists!$AD:$AD,MATCH($E39,Lists!$AC:$AC,0)),1)</f>
        <v>183455.7</v>
      </c>
    </row>
    <row r="40">
      <c r="B40" t="str">
        <f>INDEX('REVIEW - Complete Role Mapping'!$B:$B,269)</f>
        <v>Vacant</v>
      </c>
      <c r="C40" t="str">
        <f>INDEX('REVIEW - Complete Role Mapping'!$C:$C,269)</f>
        <v>Commercial Director</v>
      </c>
      <c r="D40" t="str">
        <f>IF(ISNUMBER(SEARCH("vacant",$B40)),"Vacant","Filled")</f>
        <v>Vacant</v>
      </c>
      <c r="E40" t="inlineStr">
        <is>
          <t>Hold</t>
        </is>
      </c>
      <c r="F40" t="str">
        <f>INDEX('REVIEW - Complete Role Mapping'!$AP:$AP,269)</f>
        <v>Commercial</v>
      </c>
      <c r="G40">
        <f>INDEX('REVIEW - Complete Role Mapping'!$AA:$AA,269)</f>
        <v>439500</v>
      </c>
      <c r="H40">
        <f>$G40*IFERROR(INDEX(Lists!$AD:$AD,MATCH($E40,Lists!$AC:$AC,0)),1)</f>
        <v>0</v>
      </c>
    </row>
  </sheetData>
  <dataValidations count="1">
    <dataValidation sqref="E17:E40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4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4">
      <c r="B4" s="1221" t="inlineStr">
        <is>
          <t>Position by squad - archetype vs actual. Roles, status and cost come from REVIEW; the archetype comes from the design tab.</t>
        </is>
      </c>
      <c r="C4" s="949" t="n"/>
      <c r="D4" s="949" t="n"/>
      <c r="E4" s="949" t="n"/>
      <c r="F4" s="949" t="n"/>
      <c r="G4" s="949" t="n"/>
    </row>
    <row r="5">
      <c r="B5" s="1214" t="inlineStr">
        <is>
          <t>Squad</t>
        </is>
      </c>
      <c r="C5" s="1238" t="inlineStr">
        <is>
          <t>Archetype type</t>
        </is>
      </c>
      <c r="D5" s="1029" t="inlineStr">
        <is>
          <t>Archetype roles</t>
        </is>
      </c>
      <c r="E5" s="1214" t="inlineStr">
        <is>
          <t>Total roles (incl. vacant roles)</t>
        </is>
      </c>
      <c r="F5" s="1239" t="inlineStr">
        <is>
          <t>Variance between archetype and actual squads</t>
        </is>
      </c>
      <c r="G5" s="1029" t="inlineStr">
        <is>
          <t>Vacant</t>
        </is>
      </c>
      <c r="H5" s="1030" t="inlineStr">
        <is>
          <t>Planning to hire or offshore</t>
        </is>
      </c>
      <c r="I5" s="1030" t="inlineStr">
        <is>
          <t>Vacancies remaining</t>
        </is>
      </c>
      <c r="J5" s="1030" t="inlineStr">
        <is>
          <t>New total number of roles in squad</t>
        </is>
      </c>
      <c r="K5" s="1030" t="inlineStr">
        <is>
          <t>Flag</t>
        </is>
      </c>
      <c r="L5" s="1030" t="inlineStr">
        <is>
          <t>Archetype cost ($m)</t>
        </is>
      </c>
      <c r="M5" s="1030" t="inlineStr">
        <is>
          <t>Full cost of model ($m)</t>
        </is>
      </c>
      <c r="N5" s="1030" t="inlineStr">
        <is>
          <t>Variance between archetype &amp; actuals</t>
        </is>
      </c>
      <c r="O5" s="1030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B6" s="546" t="inlineStr">
        <is>
          <t>Architecture</t>
        </is>
      </c>
      <c r="C6" s="620" t="str">
        <f>"Outside archetype model"</f>
        <v>Outside archetype model</v>
      </c>
      <c r="D6" s="949" t="str">
        <f>IFERROR(INDEX('0.3 Squad Archetypes'!$F$5:$F$23,MATCH($C6&amp;"|"&amp;$R6,'0.3 Squad Archetypes'!$A$5:$A$23,0)),"-")</f>
        <v>-</v>
      </c>
      <c r="E6" s="546">
        <f>COUNTIFS($F$19:$F$42,$B6)</f>
        <v>7</v>
      </c>
      <c r="F6" s="510" t="str">
        <f>IFERROR($E6-$D6,"-")</f>
        <v>-</v>
      </c>
      <c r="G6" s="949">
        <f>COUNTIFS($F$19:$F$42,$B6,$D$19:$D$42,"Vacant")</f>
        <v>0</v>
      </c>
      <c r="H6">
        <f>COUNTIFS($F$19:$F$42,$B6,$D$19:$D$42,"Vacant",$E$19:$E$42,"Hire")+COUNTIFS($F$19:$F$42,$B6,$D$19:$D$42,"Vacant",$E$19:$E$42,"Offshore")</f>
        <v>0</v>
      </c>
      <c r="I6">
        <f>$G6-$H6</f>
        <v>0</v>
      </c>
      <c r="J6">
        <f>$E6-COUNTIFS($F$19:$F$42,$B6,$E$19:$E$42,"Hold")</f>
        <v>7</v>
      </c>
      <c r="K6" t="str">
        <f>IF(NOT(ISNUMBER($D6)),"Outside the archetype model",IF($J6&gt;$D6,"Over archetype after decisions",IF($J6&lt;$D6,"Under archetype","On archetype")))</f>
        <v>Outside the archetype model</v>
      </c>
      <c r="L6" t="str">
        <f>IFERROR(INDEX('0.3 Squad Archetypes'!$G$5:$G$23,MATCH($C6&amp;"|"&amp;$R6,'0.3 Squad Archetypes'!$A$5:$A$23,0)),"-")</f>
        <v>-</v>
      </c>
      <c r="M6">
        <f>SUMIFS($G$19:$G$42,$F$19:$F$42,$B6)/1000000</f>
        <v>1.664746536</v>
      </c>
      <c r="N6" t="str">
        <f>IFERROR($M6-$L6,"-")</f>
        <v>-</v>
      </c>
      <c r="O6">
        <f>SUMIFS($H$19:$H$42,$F$19:$F$42,$B6)/1000000</f>
        <v>1.664746536</v>
      </c>
      <c r="P6">
        <f>$O6</f>
        <v>1.664746536</v>
      </c>
      <c r="Q6" t="str">
        <f>IFERROR($P6-$L6,"-")</f>
        <v>-</v>
      </c>
      <c r="R6" t="str">
        <f>"-"</f>
        <v>-</v>
      </c>
      <c r="S6" t="str">
        <f>IFERROR(INDEX(Lists!$AA:$AA,MATCH($B6,Lists!$Z:$Z,0)),$B6)</f>
        <v>Architecture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B7" s="546" t="inlineStr">
        <is>
          <t>Group Data</t>
        </is>
      </c>
      <c r="C7" s="620" t="str">
        <f>"Outside archetype model"</f>
        <v>Outside archetype model</v>
      </c>
      <c r="D7" s="949" t="str">
        <f>IFERROR(INDEX('0.3 Squad Archetypes'!$F$5:$F$23,MATCH($C7&amp;"|"&amp;$R7,'0.3 Squad Archetypes'!$A$5:$A$23,0)),"-")</f>
        <v>-</v>
      </c>
      <c r="E7" s="546">
        <f>COUNTIFS($F$19:$F$42,$B7)</f>
        <v>7</v>
      </c>
      <c r="F7" s="510" t="str">
        <f>IFERROR($E7-$D7,"-")</f>
        <v>-</v>
      </c>
      <c r="G7" s="949">
        <f>COUNTIFS($F$19:$F$42,$B7,$D$19:$D$42,"Vacant")</f>
        <v>1</v>
      </c>
      <c r="H7">
        <f>COUNTIFS($F$19:$F$42,$B7,$D$19:$D$42,"Vacant",$E$19:$E$42,"Hire")+COUNTIFS($F$19:$F$42,$B7,$D$19:$D$42,"Vacant",$E$19:$E$42,"Offshore")</f>
        <v>0</v>
      </c>
      <c r="I7">
        <f>$G7-$H7</f>
        <v>1</v>
      </c>
      <c r="J7">
        <f>$E7-COUNTIFS($F$19:$F$42,$B7,$E$19:$E$42,"Hold")</f>
        <v>6</v>
      </c>
      <c r="K7" t="str">
        <f>IF(NOT(ISNUMBER($D7)),"Outside the archetype model",IF($J7&gt;$D7,"Over archetype after decisions",IF($J7&lt;$D7,"Under archetype","On archetype")))</f>
        <v>Outside the archetype model</v>
      </c>
      <c r="L7" t="str">
        <f>IFERROR(INDEX('0.3 Squad Archetypes'!$G$5:$G$23,MATCH($C7&amp;"|"&amp;$R7,'0.3 Squad Archetypes'!$A$5:$A$23,0)),"-")</f>
        <v>-</v>
      </c>
      <c r="M7">
        <f>SUMIFS($G$19:$G$42,$F$19:$F$42,$B7)/1000000</f>
        <v>1.806520366</v>
      </c>
      <c r="N7" t="str">
        <f>IFERROR($M7-$L7,"-")</f>
        <v>-</v>
      </c>
      <c r="O7">
        <f>SUMIFS($H$19:$H$42,$F$19:$F$42,$B7)/1000000</f>
        <v>1.416914266</v>
      </c>
      <c r="P7">
        <f>$O7</f>
        <v>1.416914266</v>
      </c>
      <c r="Q7" t="str">
        <f>IFERROR($P7-$L7,"-")</f>
        <v>-</v>
      </c>
      <c r="R7" t="str">
        <f>"-"</f>
        <v>-</v>
      </c>
      <c r="S7" t="str">
        <f>IFERROR(INDEX(Lists!$AA:$AA,MATCH($B7,Lists!$Z:$Z,0)),$B7)</f>
        <v>Group Data</v>
      </c>
      <c r="T7" t="str">
        <f>IF($B7="Leadership","Shared role - compared to the allowance",IF($C7="Strategic Programs","Strategic Programs - no rate in 0.3 (TBC)",IF(NOT(ISNUMBER($D7)),"No archetype for this squad","Archetype applies")))</f>
        <v>No archetype for this squad</v>
      </c>
    </row>
    <row r="8">
      <c r="B8" s="546" t="inlineStr">
        <is>
          <t>Technology Strategy &amp; AI Capability</t>
        </is>
      </c>
      <c r="C8" s="620" t="str">
        <f>"Outside archetype model"</f>
        <v>Outside archetype model</v>
      </c>
      <c r="D8" s="949" t="str">
        <f>IFERROR(INDEX('0.3 Squad Archetypes'!$F$5:$F$23,MATCH($C8&amp;"|"&amp;$R8,'0.3 Squad Archetypes'!$A$5:$A$23,0)),"-")</f>
        <v>-</v>
      </c>
      <c r="E8" s="949">
        <f>COUNTIFS($F$19:$F$42,$B8)</f>
        <v>5</v>
      </c>
      <c r="F8" s="949" t="str">
        <f>IFERROR($E8-$D8,"-")</f>
        <v>-</v>
      </c>
      <c r="G8" s="949">
        <f>COUNTIFS($F$19:$F$42,$B8,$D$19:$D$42,"Vacant")</f>
        <v>4</v>
      </c>
      <c r="H8">
        <f>COUNTIFS($F$19:$F$42,$B8,$D$19:$D$42,"Vacant",$E$19:$E$42,"Hire")+COUNTIFS($F$19:$F$42,$B8,$D$19:$D$42,"Vacant",$E$19:$E$42,"Offshore")</f>
        <v>0</v>
      </c>
      <c r="I8">
        <f>$G8-$H8</f>
        <v>4</v>
      </c>
      <c r="J8">
        <f>$E8-COUNTIFS($F$19:$F$42,$B8,$E$19:$E$42,"Hold")</f>
        <v>1</v>
      </c>
      <c r="K8" t="str">
        <f>IF(NOT(ISNUMBER($D8)),"Outside the archetype model",IF($J8&gt;$D8,"Over archetype after decisions",IF($J8&lt;$D8,"Under archetype","On archetype")))</f>
        <v>Outside the archetype model</v>
      </c>
      <c r="L8" t="str">
        <f>IFERROR(INDEX('0.3 Squad Archetypes'!$G$5:$G$23,MATCH($C8&amp;"|"&amp;$R8,'0.3 Squad Archetypes'!$A$5:$A$23,0)),"-")</f>
        <v>-</v>
      </c>
      <c r="M8">
        <f>SUMIFS($G$19:$G$42,$F$19:$F$42,$B8)/1000000</f>
        <v>1.06988875</v>
      </c>
      <c r="N8" t="str">
        <f>IFERROR($M8-$L8,"-")</f>
        <v>-</v>
      </c>
      <c r="O8">
        <f>SUMIFS($H$19:$H$42,$F$19:$F$42,$B8)/1000000</f>
        <v>0.25024575</v>
      </c>
      <c r="P8">
        <f>$O8</f>
        <v>0.25024575</v>
      </c>
      <c r="Q8" t="str">
        <f>IFERROR($P8-$L8,"-")</f>
        <v>-</v>
      </c>
      <c r="R8" t="str">
        <f>"-"</f>
        <v>-</v>
      </c>
      <c r="S8" t="str">
        <f>IFERROR(INDEX(Lists!$AA:$AA,MATCH($B8,Lists!$Z:$Z,0)),$B8)</f>
        <v>Technology Strategy &amp; AI Capability</v>
      </c>
      <c r="T8" t="str">
        <f>IF($B8="Leadership","Shared role - compared to the allowance",IF($C8="Strategic Programs","Strategic Programs - no rate in 0.3 (TBC)",IF(NOT(ISNUMBER($D8)),"No archetype for this squad","Archetype applies")))</f>
        <v>No archetype for this squad</v>
      </c>
    </row>
    <row r="9">
      <c r="B9" s="546" t="inlineStr">
        <is>
          <t>Data Platforms</t>
        </is>
      </c>
      <c r="C9" s="510" t="str">
        <f>"Outside archetype model"</f>
        <v>Outside archetype model</v>
      </c>
      <c r="D9" s="949" t="str">
        <f>IFERROR(INDEX('0.3 Squad Archetypes'!$F$5:$F$23,MATCH($C9&amp;"|"&amp;$R9,'0.3 Squad Archetypes'!$A$5:$A$23,0)),"-")</f>
        <v>-</v>
      </c>
      <c r="E9" s="949">
        <f>COUNTIFS($F$19:$F$42,$B9)</f>
        <v>1</v>
      </c>
      <c r="F9" s="949" t="str">
        <f>IFERROR($E9-$D9,"-")</f>
        <v>-</v>
      </c>
      <c r="G9" s="949">
        <f>COUNTIFS($F$19:$F$42,$B9,$D$19:$D$42,"Vacant")</f>
        <v>0</v>
      </c>
      <c r="H9">
        <f>COUNTIFS($F$19:$F$42,$B9,$D$19:$D$42,"Vacant",$E$19:$E$42,"Hire")+COUNTIFS($F$19:$F$42,$B9,$D$19:$D$42,"Vacant",$E$19:$E$42,"Offshore")</f>
        <v>0</v>
      </c>
      <c r="I9">
        <f>$G9-$H9</f>
        <v>0</v>
      </c>
      <c r="J9">
        <f>$E9-COUNTIFS($F$19:$F$42,$B9,$E$19:$E$42,"Hold")</f>
        <v>1</v>
      </c>
      <c r="K9" t="str">
        <f>IF(NOT(ISNUMBER($D9)),"Outside the archetype model",IF($J9&gt;$D9,"Over archetype after decisions",IF($J9&lt;$D9,"Under archetype","On archetype")))</f>
        <v>Outside the archetype model</v>
      </c>
      <c r="L9" t="str">
        <f>IFERROR(INDEX('0.3 Squad Archetypes'!$G$5:$G$23,MATCH($C9&amp;"|"&amp;$R9,'0.3 Squad Archetypes'!$A$5:$A$23,0)),"-")</f>
        <v>-</v>
      </c>
      <c r="M9">
        <f>SUMIFS($G$19:$G$42,$F$19:$F$42,$B9)/1000000</f>
        <v>0.2655849</v>
      </c>
      <c r="N9" t="str">
        <f>IFERROR($M9-$L9,"-")</f>
        <v>-</v>
      </c>
      <c r="O9">
        <f>SUMIFS($H$19:$H$42,$F$19:$F$42,$B9)/1000000</f>
        <v>0.2655849</v>
      </c>
      <c r="P9">
        <f>$O9</f>
        <v>0.2655849</v>
      </c>
      <c r="Q9" t="str">
        <f>IFERROR($P9-$L9,"-")</f>
        <v>-</v>
      </c>
      <c r="R9" t="str">
        <f>"-"</f>
        <v>-</v>
      </c>
      <c r="S9" t="str">
        <f>IFERROR(INDEX(Lists!$AA:$AA,MATCH($B9,Lists!$Z:$Z,0)),$B9)</f>
        <v>Data Platforms</v>
      </c>
      <c r="T9" t="str">
        <f>IF($B9="Leadership","Shared role - compared to the allowance",IF($C9="Strategic Programs","Strategic Programs - no rate in 0.3 (TBC)",IF(NOT(ISNUMBER($D9)),"No archetype for this squad","Archetype applies")))</f>
        <v>No archetype for this squad</v>
      </c>
    </row>
    <row r="10">
      <c r="B10" s="546" t="inlineStr">
        <is>
          <t>Leadership</t>
        </is>
      </c>
      <c r="C10" s="510" t="str">
        <f>"Outside archetype model"</f>
        <v>Outside archetype model</v>
      </c>
      <c r="D10" s="949" t="str">
        <f>IFERROR(INDEX('0.3 Squad Archetypes'!$F$5:$F$23,MATCH($C10&amp;"|"&amp;$R10,'0.3 Squad Archetypes'!$A$5:$A$23,0)),"-")</f>
        <v>-</v>
      </c>
      <c r="E10" s="949">
        <f>COUNTIFS($F$19:$F$42,$B10)</f>
        <v>4</v>
      </c>
      <c r="F10" s="949" t="str">
        <f>IFERROR($E10-$D10,"-")</f>
        <v>-</v>
      </c>
      <c r="G10" s="949">
        <f>COUNTIFS($F$19:$F$42,$B10,$D$19:$D$42,"Vacant")</f>
        <v>3</v>
      </c>
      <c r="H10">
        <f>COUNTIFS($F$19:$F$42,$B10,$D$19:$D$42,"Vacant",$E$19:$E$42,"Hire")+COUNTIFS($F$19:$F$42,$B10,$D$19:$D$42,"Vacant",$E$19:$E$42,"Offshore")</f>
        <v>0</v>
      </c>
      <c r="I10">
        <f>$G10-$H10</f>
        <v>3</v>
      </c>
      <c r="J10">
        <f>$E10-COUNTIFS($F$19:$F$42,$B10,$E$19:$E$42,"Hold")</f>
        <v>1</v>
      </c>
      <c r="K10" t="str">
        <f>IF(NOT(ISNUMBER($D10)),"Outside the archetype model",IF($J10&gt;$D10,"Over archetype after decisions",IF($J10&lt;$D10,"Under archetype","On archetype")))</f>
        <v>Outside the archetype model</v>
      </c>
      <c r="L10" t="str">
        <f>IFERROR(INDEX('0.3 Squad Archetypes'!$G$5:$G$23,MATCH($C10&amp;"|"&amp;$R10,'0.3 Squad Archetypes'!$A$5:$A$23,0)),"-")</f>
        <v>-</v>
      </c>
      <c r="M10">
        <f>SUMIFS($G$19:$G$42,$F$19:$F$42,$B10)/1000000</f>
        <v>1.2239818</v>
      </c>
      <c r="N10" t="str">
        <f>IFERROR($M10-$L10,"-")</f>
        <v>-</v>
      </c>
      <c r="O10">
        <f>SUMIFS($H$19:$H$42,$F$19:$F$42,$B10)/1000000</f>
        <v>0.3690886</v>
      </c>
      <c r="P10">
        <f>$O10</f>
        <v>0.3690886</v>
      </c>
      <c r="Q10" t="str">
        <f>IFERROR($P10-$L10,"-")</f>
        <v>-</v>
      </c>
      <c r="R10" t="str">
        <f>"-"</f>
        <v>-</v>
      </c>
      <c r="S10" t="str">
        <f>IFERROR(INDEX(Lists!$AA:$AA,MATCH($B10,Lists!$Z:$Z,0)),$B10)</f>
        <v>Leadership</v>
      </c>
      <c r="T10" t="str">
        <f>IF($B10="Leadership","Shared role - compared to the allowance",IF($C10="Strategic Programs","Strategic Programs - no rate in 0.3 (TBC)",IF(NOT(ISNUMBER($D10)),"No archetype for this squad","Archetype applies")))</f>
        <v>Shared role - compared to the allowance</v>
      </c>
    </row>
    <row r="11">
      <c r="B11" s="1218" t="inlineStr">
        <is>
          <t>Total</t>
        </is>
      </c>
      <c r="C11" s="510" t="n"/>
      <c r="D11" s="949">
        <f>SUM(D6:D10)</f>
        <v>0</v>
      </c>
      <c r="E11" s="949">
        <f>COUNTIFS('REVIEW - Complete Role Mapping'!$AJ$2:$AJ$528,"COE SA&amp;D")</f>
        <v>24</v>
      </c>
      <c r="F11" s="949">
        <f>SUM(F6:F10)</f>
        <v>0</v>
      </c>
      <c r="G11" s="949">
        <f>SUM(G6:G10)</f>
        <v>8</v>
      </c>
      <c r="H11">
        <f>SUM(H6:H10)</f>
        <v>0</v>
      </c>
      <c r="I11">
        <f>SUM(I6:I10)</f>
        <v>8</v>
      </c>
      <c r="J11">
        <f>SUM(J6:J10)</f>
        <v>16</v>
      </c>
      <c r="L11">
        <f>SUM(L6:L10)</f>
        <v>0</v>
      </c>
      <c r="M11">
        <f>SUMIFS('REVIEW - Complete Role Mapping'!$AA$2:$AA$528,'REVIEW - Complete Role Mapping'!$AJ$2:$AJ$528,"COE SA&amp;D")/1000000</f>
        <v>6.030722352</v>
      </c>
      <c r="N11">
        <f>SUM(N6:N10)</f>
        <v>0</v>
      </c>
      <c r="O11">
        <f>SUM(O6:O10)</f>
        <v>3.966580052</v>
      </c>
      <c r="P11">
        <f>SUM(P6:P10)</f>
        <v>3.966580052</v>
      </c>
      <c r="Q11">
        <f>SUM(Q6:Q10)</f>
        <v>0</v>
      </c>
    </row>
    <row r="13">
      <c r="B13" s="1232" t="inlineStr">
        <is>
          <t>Cost to fill every vacancy at full onshore cost ($m)</t>
        </is>
      </c>
      <c r="C13" s="533" t="n"/>
      <c r="D13" s="533" t="n"/>
      <c r="E13" s="533">
        <f>SUMIFS($G$19:$G$42,$D$19:$D$42,"Vacant")/1000000</f>
        <v>2.0641423</v>
      </c>
      <c r="F13" s="533" t="n"/>
      <c r="G13" s="533" t="n"/>
    </row>
    <row r="14">
      <c r="B14" s="1220" t="inlineStr">
        <is>
          <t>Of which currently marked Hire or Offshore ($m)</t>
        </is>
      </c>
      <c r="C14" s="622" t="n"/>
      <c r="D14" s="546" t="n"/>
      <c r="E14" s="612">
        <f>(SUMIFS($G$19:$G$42,$D$19:$D$42,"Vacant",$E$19:$E$42,"Hire")+Lists!$AD$5*SUMIFS($G$19:$G$42,$D$19:$D$42,"Vacant",$E$19:$E$42,"Offshore"))/1000000</f>
        <v>0</v>
      </c>
      <c r="G14" s="949" t="n"/>
    </row>
    <row r="15" ht="29" customHeight="1">
      <c r="B15" s="1220" t="inlineStr">
        <is>
          <t>Leadership and Head of Technology already inside this portfolio ($m) - not re-added in column P</t>
        </is>
      </c>
      <c r="C15" s="622" t="n"/>
      <c r="D15" s="546" t="n"/>
      <c r="E15" s="612">
        <f>SUMIFS('REVIEW - Complete Role Mapping'!$AA$2:$AA$528,'REVIEW - Complete Role Mapping'!$AJ$2:$AJ$528,"COE SA&amp;D",'REVIEW - Complete Role Mapping'!$AQ$2:$AQ$528,1)/1000000</f>
        <v>1.2239818</v>
      </c>
      <c r="G15" s="949" t="n"/>
    </row>
    <row r="16" ht="29.15" customHeight="1">
      <c r="B16" s="546" t="n"/>
      <c r="C16" s="622" t="n"/>
      <c r="D16" s="546" t="n"/>
      <c r="E16" s="612" t="n"/>
      <c r="G16" s="949" t="n"/>
    </row>
    <row r="17">
      <c r="B17" s="1220" t="inlineStr">
        <is>
          <t>COE SA&amp;D roles - one row per named role, from REVIEW</t>
        </is>
      </c>
      <c r="C17" s="622" t="n"/>
      <c r="D17" s="546" t="n"/>
      <c r="E17" s="612" t="n"/>
      <c r="G17" s="949" t="n"/>
    </row>
    <row r="18">
      <c r="B18" s="1214" t="inlineStr">
        <is>
          <t>Name</t>
        </is>
      </c>
      <c r="C18" s="1214" t="inlineStr">
        <is>
          <t>Role</t>
        </is>
      </c>
      <c r="D18" s="1214" t="inlineStr">
        <is>
          <t>Status</t>
        </is>
      </c>
      <c r="E18" s="1214" t="inlineStr">
        <is>
          <t>Vacancy lever</t>
        </is>
      </c>
      <c r="F18" s="1030" t="inlineStr">
        <is>
          <t>Squad</t>
        </is>
      </c>
      <c r="G18" s="1029" t="inlineStr">
        <is>
          <t>Cost if hired ($)</t>
        </is>
      </c>
      <c r="H18" s="1030" t="inlineStr">
        <is>
          <t>Effective cost ($)</t>
        </is>
      </c>
    </row>
    <row r="19">
      <c r="B19" s="546" t="str">
        <f>INDEX('REVIEW - Complete Role Mapping'!$B:$B,282)</f>
        <v>Craig Ambrose</v>
      </c>
      <c r="C19" s="622" t="str">
        <f>INDEX('REVIEW - Complete Role Mapping'!$C:$C,282)</f>
        <v>Domain Architect - Group Functions</v>
      </c>
      <c r="D19" s="546" t="str">
        <f>IF(ISNUMBER(SEARCH("vacant",$B19)),"Vacant","Filled")</f>
        <v>Filled</v>
      </c>
      <c r="E19" s="612" t="inlineStr">
        <is>
          <t>Filled</t>
        </is>
      </c>
      <c r="F19" t="str">
        <f>INDEX('REVIEW - Complete Role Mapping'!$AP:$AP,282)</f>
        <v>Architecture</v>
      </c>
      <c r="G19" s="949">
        <f>INDEX('REVIEW - Complete Role Mapping'!$AA:$AA,282)</f>
        <v>242741.304</v>
      </c>
      <c r="H19">
        <f>$G19*IFERROR(INDEX(Lists!$AD:$AD,MATCH($E19,Lists!$AC:$AC,0)),1)</f>
        <v>242741.304</v>
      </c>
    </row>
    <row r="20">
      <c r="B20" s="546" t="str">
        <f>INDEX('REVIEW - Complete Role Mapping'!$B:$B,288)</f>
        <v>John Forde</v>
      </c>
      <c r="C20" s="622" t="str">
        <f>INDEX('REVIEW - Complete Role Mapping'!$C:$C,288)</f>
        <v>Enterprise Architect</v>
      </c>
      <c r="D20" s="546" t="str">
        <f>IF(ISNUMBER(SEARCH("vacant",$B20)),"Vacant","Filled")</f>
        <v>Filled</v>
      </c>
      <c r="E20" s="612" t="inlineStr">
        <is>
          <t>Filled</t>
        </is>
      </c>
      <c r="F20" t="str">
        <f>INDEX('REVIEW - Complete Role Mapping'!$AP:$AP,288)</f>
        <v>Architecture</v>
      </c>
      <c r="G20" s="949">
        <f>INDEX('REVIEW - Complete Role Mapping'!$AA:$AA,288)</f>
        <v>214270.248</v>
      </c>
      <c r="H20">
        <f>$G20*IFERROR(INDEX(Lists!$AD:$AD,MATCH($E20,Lists!$AC:$AC,0)),1)</f>
        <v>214270.248</v>
      </c>
    </row>
    <row r="21">
      <c r="B21" s="546" t="str">
        <f>INDEX('REVIEW - Complete Role Mapping'!$B:$B,292)</f>
        <v>Mike Gilbert</v>
      </c>
      <c r="C21" s="622" t="str">
        <f>INDEX('REVIEW - Complete Role Mapping'!$C:$C,292)</f>
        <v>Domain Architect - CFE &amp; Infrastructure </v>
      </c>
      <c r="D21" s="546" t="str">
        <f>IF(ISNUMBER(SEARCH("vacant",$B21)),"Vacant","Filled")</f>
        <v>Filled</v>
      </c>
      <c r="E21" s="612" t="inlineStr">
        <is>
          <t>Filled</t>
        </is>
      </c>
      <c r="F21" t="str">
        <f>INDEX('REVIEW - Complete Role Mapping'!$AP:$AP,292)</f>
        <v>Architecture</v>
      </c>
      <c r="G21" s="949">
        <f>INDEX('REVIEW - Complete Role Mapping'!$AA:$AA,292)</f>
        <v>236856.984</v>
      </c>
      <c r="H21">
        <f>$G21*IFERROR(INDEX(Lists!$AD:$AD,MATCH($E21,Lists!$AC:$AC,0)),1)</f>
        <v>236856.984</v>
      </c>
    </row>
    <row r="22">
      <c r="B22" s="546" t="str">
        <f>INDEX('REVIEW - Complete Role Mapping'!$B:$B,302)</f>
        <v>ring fenced</v>
      </c>
      <c r="C22" s="622" t="str">
        <f>INDEX('REVIEW - Complete Role Mapping'!$C:$C,302)</f>
        <v>Enterprise Architect</v>
      </c>
      <c r="D22" s="546" t="str">
        <f>IF(ISNUMBER(SEARCH("vacant",$B22)),"Vacant","Filled")</f>
        <v>Filled</v>
      </c>
      <c r="E22" s="612" t="inlineStr">
        <is>
          <t>Filled</t>
        </is>
      </c>
      <c r="F22" t="str">
        <f>INDEX('REVIEW - Complete Role Mapping'!$AP:$AP,302)</f>
        <v>Architecture</v>
      </c>
      <c r="G22" s="949">
        <f>INDEX('REVIEW - Complete Role Mapping'!$AA:$AA,302)</f>
        <v>275810.25</v>
      </c>
      <c r="H22">
        <f>$G22*IFERROR(INDEX(Lists!$AD:$AD,MATCH($E22,Lists!$AC:$AC,0)),1)</f>
        <v>275810.25</v>
      </c>
    </row>
    <row r="23">
      <c r="B23" s="546" t="str">
        <f>INDEX('REVIEW - Complete Role Mapping'!$B:$B,303)</f>
        <v>ring fenced</v>
      </c>
      <c r="C23" s="622" t="str">
        <f>INDEX('REVIEW - Complete Role Mapping'!$C:$C,303)</f>
        <v>Domain Architect - Customer &amp; Digital Tech</v>
      </c>
      <c r="D23" s="546" t="str">
        <f>IF(ISNUMBER(SEARCH("vacant",$B23)),"Vacant","Filled")</f>
        <v>Filled</v>
      </c>
      <c r="E23" s="612" t="inlineStr">
        <is>
          <t>Filled</t>
        </is>
      </c>
      <c r="F23" s="536" t="str">
        <f>INDEX('REVIEW - Complete Role Mapping'!$AP:$AP,303)</f>
        <v>Architecture</v>
      </c>
      <c r="G23" s="949">
        <f>INDEX('REVIEW - Complete Role Mapping'!$AA:$AA,303)</f>
        <v>231689.25</v>
      </c>
      <c r="H23">
        <f>$G23*IFERROR(INDEX(Lists!$AD:$AD,MATCH($E23,Lists!$AC:$AC,0)),1)</f>
        <v>231689.25</v>
      </c>
    </row>
    <row r="24">
      <c r="B24" s="546" t="str">
        <f>INDEX('REVIEW - Complete Role Mapping'!$B:$B,304)</f>
        <v>ring fenced</v>
      </c>
      <c r="C24" s="622" t="str">
        <f>INDEX('REVIEW - Complete Role Mapping'!$C:$C,304)</f>
        <v>Domain Architect - Retail &amp; Z</v>
      </c>
      <c r="D24" s="546" t="str">
        <f>IF(ISNUMBER(SEARCH("vacant",$B24)),"Vacant","Filled")</f>
        <v>Filled</v>
      </c>
      <c r="E24" s="612" t="inlineStr">
        <is>
          <t>Filled</t>
        </is>
      </c>
      <c r="F24" s="536" t="str">
        <f>INDEX('REVIEW - Complete Role Mapping'!$AP:$AP,304)</f>
        <v>Architecture</v>
      </c>
      <c r="G24" s="949">
        <f>INDEX('REVIEW - Complete Role Mapping'!$AA:$AA,304)</f>
        <v>231689.25</v>
      </c>
      <c r="H24">
        <f>$G24*IFERROR(INDEX(Lists!$AD:$AD,MATCH($E24,Lists!$AC:$AC,0)),1)</f>
        <v>231689.25</v>
      </c>
    </row>
    <row r="25">
      <c r="B25" s="546" t="str">
        <f>INDEX('REVIEW - Complete Role Mapping'!$B:$B,305)</f>
        <v>ring fenced</v>
      </c>
      <c r="C25" s="622" t="str">
        <f>INDEX('REVIEW - Complete Role Mapping'!$C:$C,305)</f>
        <v>Domain Architect - TDD</v>
      </c>
      <c r="D25" s="546" t="str">
        <f>IF(ISNUMBER(SEARCH("vacant",$B25)),"Vacant","Filled")</f>
        <v>Filled</v>
      </c>
      <c r="E25" s="612" t="inlineStr">
        <is>
          <t>Filled</t>
        </is>
      </c>
      <c r="F25" s="536" t="str">
        <f>INDEX('REVIEW - Complete Role Mapping'!$AP:$AP,305)</f>
        <v>Architecture</v>
      </c>
      <c r="G25" s="624">
        <f>INDEX('REVIEW - Complete Role Mapping'!$AA:$AA,305)</f>
        <v>231689.25</v>
      </c>
      <c r="H25">
        <f>$G25*IFERROR(INDEX(Lists!$AD:$AD,MATCH($E25,Lists!$AC:$AC,0)),1)</f>
        <v>231689.25</v>
      </c>
    </row>
    <row r="26">
      <c r="B26" s="546" t="str">
        <f>INDEX('REVIEW - Complete Role Mapping'!$B:$B,291)</f>
        <v>Lynn Yiew</v>
      </c>
      <c r="C26" s="622" t="str">
        <f>INDEX('REVIEW - Complete Role Mapping'!$C:$C,291)</f>
        <v>Data Governance Specialist</v>
      </c>
      <c r="D26" s="546" t="str">
        <f>IF(ISNUMBER(SEARCH("vacant",$B26)),"Vacant","Filled")</f>
        <v>Filled</v>
      </c>
      <c r="E26" s="612" t="inlineStr">
        <is>
          <t>Filled</t>
        </is>
      </c>
      <c r="F26" s="536" t="str">
        <f>INDEX('REVIEW - Complete Role Mapping'!$AP:$AP,291)</f>
        <v>Group Data</v>
      </c>
      <c r="G26" s="624">
        <f>INDEX('REVIEW - Complete Role Mapping'!$AA:$AA,291)</f>
        <v>149746.416</v>
      </c>
      <c r="H26">
        <f>$G26*IFERROR(INDEX(Lists!$AD:$AD,MATCH($E26,Lists!$AC:$AC,0)),1)</f>
        <v>149746.416</v>
      </c>
    </row>
    <row r="27">
      <c r="B27" s="546" t="str">
        <f>INDEX('REVIEW - Complete Role Mapping'!$B:$B,294)</f>
        <v>Mitchell Clarke</v>
      </c>
      <c r="C27" s="622" t="str">
        <f>INDEX('REVIEW - Complete Role Mapping'!$C:$C,294)</f>
        <v>Snr Data Governance Specialist</v>
      </c>
      <c r="D27" s="546" t="str">
        <f>IF(ISNUMBER(SEARCH("vacant",$B27)),"Vacant","Filled")</f>
        <v>Filled</v>
      </c>
      <c r="E27" s="612" t="inlineStr">
        <is>
          <t>Filled</t>
        </is>
      </c>
      <c r="F27" s="536" t="str">
        <f>INDEX('REVIEW - Complete Role Mapping'!$AP:$AP,294)</f>
        <v>Group Data</v>
      </c>
      <c r="G27" s="624">
        <f>INDEX('REVIEW - Complete Role Mapping'!$AA:$AA,294)</f>
        <v>225988.8</v>
      </c>
      <c r="H27">
        <f>$G27*IFERROR(INDEX(Lists!$AD:$AD,MATCH($E27,Lists!$AC:$AC,0)),1)</f>
        <v>225988.8</v>
      </c>
    </row>
    <row r="28">
      <c r="B28" s="546" t="str">
        <f>INDEX('REVIEW - Complete Role Mapping'!$B:$B,299)</f>
        <v>Raymond Bai</v>
      </c>
      <c r="C28" s="622" t="str">
        <f>INDEX('REVIEW - Complete Role Mapping'!$C:$C,299)</f>
        <v>Data Adoption Specialist</v>
      </c>
      <c r="D28" s="546" t="str">
        <f>IF(ISNUMBER(SEARCH("vacant",$B28)),"Vacant","Filled")</f>
        <v>Filled</v>
      </c>
      <c r="E28" s="612" t="inlineStr">
        <is>
          <t>Filled</t>
        </is>
      </c>
      <c r="F28" s="536" t="str">
        <f>INDEX('REVIEW - Complete Role Mapping'!$AP:$AP,299)</f>
        <v>Group Data</v>
      </c>
      <c r="G28" s="624">
        <f>INDEX('REVIEW - Complete Role Mapping'!$AA:$AA,299)</f>
        <v>175872.9</v>
      </c>
      <c r="H28">
        <f>$G28*IFERROR(INDEX(Lists!$AD:$AD,MATCH($E28,Lists!$AC:$AC,0)),1)</f>
        <v>175872.9</v>
      </c>
    </row>
    <row r="29">
      <c r="B29" s="546" t="str">
        <f>INDEX('REVIEW - Complete Role Mapping'!$B:$B,300)</f>
        <v>Renosh Matthew Thomas</v>
      </c>
      <c r="C29" s="622" t="str">
        <f>INDEX('REVIEW - Complete Role Mapping'!$C:$C,300)</f>
        <v>Data Enablement Lead</v>
      </c>
      <c r="D29" s="546" t="str">
        <f>IF(ISNUMBER(SEARCH("vacant",$B29)),"Vacant","Filled")</f>
        <v>Filled</v>
      </c>
      <c r="E29" s="612" t="inlineStr">
        <is>
          <t>Filled</t>
        </is>
      </c>
      <c r="F29" s="536" t="str">
        <f>INDEX('REVIEW - Complete Role Mapping'!$AP:$AP,300)</f>
        <v>Group Data</v>
      </c>
      <c r="G29" s="627">
        <f>INDEX('REVIEW - Complete Role Mapping'!$AA:$AA,300)</f>
        <v>227056.8</v>
      </c>
      <c r="H29">
        <f>$G29*IFERROR(INDEX(Lists!$AD:$AD,MATCH($E29,Lists!$AC:$AC,0)),1)</f>
        <v>227056.8</v>
      </c>
    </row>
    <row r="30">
      <c r="B30" s="546" t="str">
        <f>INDEX('REVIEW - Complete Role Mapping'!$B:$B,301)</f>
        <v>Rihan Schalkwyk</v>
      </c>
      <c r="C30" s="622" t="str">
        <f>INDEX('REVIEW - Complete Role Mapping'!$C:$C,301)</f>
        <v>Senior Business Analyst</v>
      </c>
      <c r="D30" s="546" t="str">
        <f>IF(ISNUMBER(SEARCH("vacant",$B30)),"Vacant","Filled")</f>
        <v>Filled</v>
      </c>
      <c r="E30" s="612" t="inlineStr">
        <is>
          <t>Filled</t>
        </is>
      </c>
      <c r="F30" s="536" t="str">
        <f>INDEX('REVIEW - Complete Role Mapping'!$AP:$AP,301)</f>
        <v>Group Data</v>
      </c>
      <c r="G30" s="627">
        <f>INDEX('REVIEW - Complete Role Mapping'!$AA:$AA,301)</f>
        <v>249124.35</v>
      </c>
      <c r="H30">
        <f>$G30*IFERROR(INDEX(Lists!$AD:$AD,MATCH($E30,Lists!$AC:$AC,0)),1)</f>
        <v>249124.35</v>
      </c>
    </row>
    <row r="31">
      <c r="B31" s="546" t="str">
        <f>INDEX('REVIEW - Complete Role Mapping'!$B:$B,309)</f>
        <v>Sanjay Tikoo</v>
      </c>
      <c r="C31" s="622" t="str">
        <f>INDEX('REVIEW - Complete Role Mapping'!$C:$C,309)</f>
        <v>Principal, Data Architecture &amp; Governance</v>
      </c>
      <c r="D31" s="546" t="str">
        <f>IF(ISNUMBER(SEARCH("vacant",$B31)),"Vacant","Filled")</f>
        <v>Filled</v>
      </c>
      <c r="E31" s="612" t="inlineStr">
        <is>
          <t>Filled</t>
        </is>
      </c>
      <c r="F31" s="536" t="str">
        <f>INDEX('REVIEW - Complete Role Mapping'!$AP:$AP,309)</f>
        <v>Group Data</v>
      </c>
      <c r="G31" s="627">
        <f>INDEX('REVIEW - Complete Role Mapping'!$AA:$AA,309)</f>
        <v>389125</v>
      </c>
      <c r="H31">
        <f>$G31*IFERROR(INDEX(Lists!$AD:$AD,MATCH($E31,Lists!$AC:$AC,0)),1)</f>
        <v>389125</v>
      </c>
    </row>
    <row r="32">
      <c r="B32" s="546" t="str">
        <f>INDEX('REVIEW - Complete Role Mapping'!$B:$B,321)</f>
        <v>Vacant</v>
      </c>
      <c r="C32" s="622" t="str">
        <f>INDEX('REVIEW - Complete Role Mapping'!$C:$C,321)</f>
        <v>Data Governance Lead</v>
      </c>
      <c r="D32" s="546" t="str">
        <f>IF(ISNUMBER(SEARCH("vacant",$B32)),"Vacant","Filled")</f>
        <v>Vacant</v>
      </c>
      <c r="E32" s="612" t="inlineStr">
        <is>
          <t>Hold</t>
        </is>
      </c>
      <c r="F32" s="536" t="str">
        <f>INDEX('REVIEW - Complete Role Mapping'!$AP:$AP,321)</f>
        <v>Group Data</v>
      </c>
      <c r="G32" s="624">
        <f>INDEX('REVIEW - Complete Role Mapping'!$AA:$AA,321)</f>
        <v>389606.1</v>
      </c>
      <c r="H32">
        <f>$G32*IFERROR(INDEX(Lists!$AD:$AD,MATCH($E32,Lists!$AC:$AC,0)),1)</f>
        <v>0</v>
      </c>
    </row>
    <row r="33">
      <c r="B33" s="546" t="str">
        <f>INDEX('REVIEW - Complete Role Mapping'!$B:$B,306)</f>
        <v>Roger Blazey</v>
      </c>
      <c r="C33" s="622" t="str">
        <f>INDEX('REVIEW - Complete Role Mapping'!$C:$C,306)</f>
        <v>Architect (AI Innovation)</v>
      </c>
      <c r="D33" s="546" t="str">
        <f>IF(ISNUMBER(SEARCH("vacant",$B33)),"Vacant","Filled")</f>
        <v>Filled</v>
      </c>
      <c r="E33" s="612" t="inlineStr">
        <is>
          <t>Filled</t>
        </is>
      </c>
      <c r="F33" s="536" t="str">
        <f>INDEX('REVIEW - Complete Role Mapping'!$AP:$AP,306)</f>
        <v>Technology Strategy &amp; AI Capability</v>
      </c>
      <c r="G33" s="624">
        <f>INDEX('REVIEW - Complete Role Mapping'!$AA:$AA,306)</f>
        <v>250245.75</v>
      </c>
      <c r="H33">
        <f>$G33*IFERROR(INDEX(Lists!$AD:$AD,MATCH($E33,Lists!$AC:$AC,0)),1)</f>
        <v>250245.75</v>
      </c>
    </row>
    <row r="34">
      <c r="B34" s="546" t="str">
        <f>INDEX('REVIEW - Complete Role Mapping'!$B:$B,325)</f>
        <v>Vacant</v>
      </c>
      <c r="C34" s="622" t="str">
        <f>INDEX('REVIEW - Complete Role Mapping'!$C:$C,325)</f>
        <v>AI Capability Lead</v>
      </c>
      <c r="D34" s="546" t="str">
        <f>IF(ISNUMBER(SEARCH("vacant",$B34)),"Vacant","Filled")</f>
        <v>Vacant</v>
      </c>
      <c r="E34" s="612" t="inlineStr">
        <is>
          <t>Hold</t>
        </is>
      </c>
      <c r="F34" s="536" t="str">
        <f>INDEX('REVIEW - Complete Role Mapping'!$AP:$AP,325)</f>
        <v>Technology Strategy &amp; AI Capability</v>
      </c>
      <c r="G34" s="624">
        <f>INDEX('REVIEW - Complete Role Mapping'!$AA:$AA,325)</f>
        <v>275810.25</v>
      </c>
      <c r="H34">
        <f>$G34*IFERROR(INDEX(Lists!$AD:$AD,MATCH($E34,Lists!$AC:$AC,0)),1)</f>
        <v>0</v>
      </c>
    </row>
    <row r="35">
      <c r="B35" s="546" t="str">
        <f>INDEX('REVIEW - Complete Role Mapping'!$B:$B,326)</f>
        <v>Vacant</v>
      </c>
      <c r="C35" s="622" t="str">
        <f>INDEX('REVIEW - Complete Role Mapping'!$C:$C,326)</f>
        <v>Enterprise Process Lead</v>
      </c>
      <c r="D35" s="546" t="str">
        <f>IF(ISNUMBER(SEARCH("vacant",$B35)),"Vacant","Filled")</f>
        <v>Vacant</v>
      </c>
      <c r="E35" s="612" t="inlineStr">
        <is>
          <t>Hold</t>
        </is>
      </c>
      <c r="F35" s="536" t="str">
        <f>INDEX('REVIEW - Complete Role Mapping'!$AP:$AP,326)</f>
        <v>Technology Strategy &amp; AI Capability</v>
      </c>
      <c r="G35" s="624">
        <f>INDEX('REVIEW - Complete Role Mapping'!$AA:$AA,326)</f>
        <v>202853.25</v>
      </c>
      <c r="H35">
        <f>$G35*IFERROR(INDEX(Lists!$AD:$AD,MATCH($E35,Lists!$AC:$AC,0)),1)</f>
        <v>0</v>
      </c>
    </row>
    <row r="36">
      <c r="B36" s="546" t="str">
        <f>INDEX('REVIEW - Complete Role Mapping'!$B:$B,327)</f>
        <v>Vacant</v>
      </c>
      <c r="C36" s="622" t="str">
        <f>INDEX('REVIEW - Complete Role Mapping'!$C:$C,327)</f>
        <v>EnterpriseProcess Analyst</v>
      </c>
      <c r="D36" s="546" t="str">
        <f>IF(ISNUMBER(SEARCH("vacant",$B36)),"Vacant","Filled")</f>
        <v>Vacant</v>
      </c>
      <c r="E36" s="612" t="inlineStr">
        <is>
          <t>Hold</t>
        </is>
      </c>
      <c r="F36" s="536" t="str">
        <f>INDEX('REVIEW - Complete Role Mapping'!$AP:$AP,327)</f>
        <v>Technology Strategy &amp; AI Capability</v>
      </c>
      <c r="G36" s="624">
        <f>INDEX('REVIEW - Complete Role Mapping'!$AA:$AA,327)</f>
        <v>170489.75</v>
      </c>
      <c r="H36">
        <f>$G36*IFERROR(INDEX(Lists!$AD:$AD,MATCH($E36,Lists!$AC:$AC,0)),1)</f>
        <v>0</v>
      </c>
    </row>
    <row r="37">
      <c r="B37" s="546" t="str">
        <f>INDEX('REVIEW - Complete Role Mapping'!$B:$B,328)</f>
        <v>Vacant</v>
      </c>
      <c r="C37" s="622" t="str">
        <f>INDEX('REVIEW - Complete Role Mapping'!$C:$C,328)</f>
        <v>Strategy Analyst</v>
      </c>
      <c r="D37" s="546" t="str">
        <f>IF(ISNUMBER(SEARCH("vacant",$B37)),"Vacant","Filled")</f>
        <v>Vacant</v>
      </c>
      <c r="E37" s="612" t="inlineStr">
        <is>
          <t>Hold</t>
        </is>
      </c>
      <c r="F37" s="442" t="str">
        <f>INDEX('REVIEW - Complete Role Mapping'!$AP:$AP,328)</f>
        <v>Technology Strategy &amp; AI Capability</v>
      </c>
      <c r="G37" s="442">
        <f>INDEX('REVIEW - Complete Role Mapping'!$AA:$AA,328)</f>
        <v>170489.75</v>
      </c>
      <c r="H37">
        <f>$G37*IFERROR(INDEX(Lists!$AD:$AD,MATCH($E37,Lists!$AC:$AC,0)),1)</f>
        <v>0</v>
      </c>
    </row>
    <row r="38">
      <c r="B38" s="546" t="str">
        <f>INDEX('REVIEW - Complete Role Mapping'!$B:$B,293)</f>
        <v>Milan Patel</v>
      </c>
      <c r="C38" s="622" t="str">
        <f>INDEX('REVIEW - Complete Role Mapping'!$C:$C,293)</f>
        <v>Platform Architect</v>
      </c>
      <c r="D38" s="546" t="str">
        <f>IF(ISNUMBER(SEARCH("vacant",$B38)),"Vacant","Filled")</f>
        <v>Filled</v>
      </c>
      <c r="E38" s="612" t="inlineStr">
        <is>
          <t>Filled</t>
        </is>
      </c>
      <c r="F38" s="536" t="str">
        <f>INDEX('REVIEW - Complete Role Mapping'!$AP:$AP,293)</f>
        <v>Data Platforms</v>
      </c>
      <c r="G38" s="624">
        <f>INDEX('REVIEW - Complete Role Mapping'!$AA:$AA,293)</f>
        <v>265584.9</v>
      </c>
      <c r="H38">
        <f>$G38*IFERROR(INDEX(Lists!$AD:$AD,MATCH($E38,Lists!$AC:$AC,0)),1)</f>
        <v>265584.9</v>
      </c>
    </row>
    <row r="39">
      <c r="B39" s="546" t="str">
        <f>INDEX('REVIEW - Complete Role Mapping'!$B:$B,287)</f>
        <v>Joel Vijayakumar</v>
      </c>
      <c r="C39" s="622" t="str">
        <f>INDEX('REVIEW - Complete Role Mapping'!$C:$C,287)</f>
        <v>Delivery Manager, Strategy, Architecture &amp; Data</v>
      </c>
      <c r="D39" s="546" t="str">
        <f>IF(ISNUMBER(SEARCH("vacant",$B39)),"Vacant","Filled")</f>
        <v>Filled</v>
      </c>
      <c r="E39" s="612" t="inlineStr">
        <is>
          <t>Filled</t>
        </is>
      </c>
      <c r="F39" s="536" t="str">
        <f>INDEX('REVIEW - Complete Role Mapping'!$AP:$AP,287)</f>
        <v>Leadership</v>
      </c>
      <c r="G39" s="624">
        <f>INDEX('REVIEW - Complete Role Mapping'!$AA:$AA,287)</f>
        <v>369088.6</v>
      </c>
      <c r="H39">
        <f>$G39*IFERROR(INDEX(Lists!$AD:$AD,MATCH($E39,Lists!$AC:$AC,0)),1)</f>
        <v>369088.6</v>
      </c>
    </row>
    <row r="40">
      <c r="B40" s="546" t="str">
        <f>INDEX('REVIEW - Complete Role Mapping'!$B:$B,322)</f>
        <v>Vacant</v>
      </c>
      <c r="C40" s="622" t="str">
        <f>INDEX('REVIEW - Complete Role Mapping'!$C:$C,322)</f>
        <v>Head of Architecture</v>
      </c>
      <c r="D40" s="546" t="str">
        <f>IF(ISNUMBER(SEARCH("vacant",$B40)),"Vacant","Filled")</f>
        <v>Vacant</v>
      </c>
      <c r="E40" s="612" t="inlineStr">
        <is>
          <t>Hold</t>
        </is>
      </c>
      <c r="F40" s="536" t="str">
        <f>INDEX('REVIEW - Complete Role Mapping'!$AP:$AP,322)</f>
        <v>Leadership</v>
      </c>
      <c r="G40" s="624">
        <f>INDEX('REVIEW - Complete Role Mapping'!$AA:$AA,322)</f>
        <v>334972.95</v>
      </c>
      <c r="H40">
        <f>$G40*IFERROR(INDEX(Lists!$AD:$AD,MATCH($E40,Lists!$AC:$AC,0)),1)</f>
        <v>0</v>
      </c>
    </row>
    <row r="41">
      <c r="B41" s="546" t="str">
        <f>INDEX('REVIEW - Complete Role Mapping'!$B:$B,323)</f>
        <v>Vacant</v>
      </c>
      <c r="C41" s="622" t="str">
        <f>INDEX('REVIEW - Complete Role Mapping'!$C:$C,323)</f>
        <v>Head of Technology Strategy &amp; AI Capability</v>
      </c>
      <c r="D41" s="546" t="str">
        <f>IF(ISNUMBER(SEARCH("vacant",$B41)),"Vacant","Filled")</f>
        <v>Vacant</v>
      </c>
      <c r="E41" s="612" t="inlineStr">
        <is>
          <t>Hold</t>
        </is>
      </c>
      <c r="F41" s="536" t="str">
        <f>INDEX('REVIEW - Complete Role Mapping'!$AP:$AP,323)</f>
        <v>Leadership</v>
      </c>
      <c r="G41" s="624">
        <f>INDEX('REVIEW - Complete Role Mapping'!$AA:$AA,323)</f>
        <v>333020.25</v>
      </c>
      <c r="H41">
        <f>$G41*IFERROR(INDEX(Lists!$AD:$AD,MATCH($E41,Lists!$AC:$AC,0)),1)</f>
        <v>0</v>
      </c>
    </row>
    <row r="42">
      <c r="B42" s="546" t="str">
        <f>INDEX('REVIEW - Complete Role Mapping'!$B:$B,324)</f>
        <v>Vacant</v>
      </c>
      <c r="C42" s="622" t="str">
        <f>INDEX('REVIEW - Complete Role Mapping'!$C:$C,324)</f>
        <v>Senior Communications Advisor</v>
      </c>
      <c r="D42" s="546" t="str">
        <f>IF(ISNUMBER(SEARCH("vacant",$B42)),"Vacant","Filled")</f>
        <v>Vacant</v>
      </c>
      <c r="E42" s="612" t="inlineStr">
        <is>
          <t>Hold</t>
        </is>
      </c>
      <c r="F42" s="536" t="str">
        <f>INDEX('REVIEW - Complete Role Mapping'!$AP:$AP,324)</f>
        <v>Leadership</v>
      </c>
      <c r="G42" s="624">
        <f>INDEX('REVIEW - Complete Role Mapping'!$AA:$AA,324)</f>
        <v>186900</v>
      </c>
      <c r="H42">
        <f>$G42*IFERROR(INDEX(Lists!$AD:$AD,MATCH($E42,Lists!$AC:$AC,0)),1)</f>
        <v>0</v>
      </c>
    </row>
    <row r="44">
      <c r="B44" s="543" t="n"/>
      <c r="C44" s="949" t="n"/>
      <c r="D44" s="949" t="n"/>
      <c r="E44" s="949" t="n"/>
      <c r="F44" s="949" t="n"/>
      <c r="G44" s="949" t="n"/>
    </row>
  </sheetData>
  <dataValidations count="1">
    <dataValidation sqref="E19:E42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949" t="n"/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230" t="inlineStr">
        <is>
          <t>Position by squad - archetype vs actual. Roles, status and cost come from REVIEW; the archetype comes from the design tab.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11" t="inlineStr">
        <is>
          <t>Squad</t>
        </is>
      </c>
      <c r="C5" s="1211" t="inlineStr">
        <is>
          <t>Archetype type</t>
        </is>
      </c>
      <c r="D5" s="1211" t="inlineStr">
        <is>
          <t>Archetype roles</t>
        </is>
      </c>
      <c r="E5" s="1211" t="inlineStr">
        <is>
          <t>Total roles (incl. vacant roles)</t>
        </is>
      </c>
      <c r="F5" s="1211" t="inlineStr">
        <is>
          <t>Variance between archetype and actual squads</t>
        </is>
      </c>
      <c r="G5" s="1211" t="inlineStr">
        <is>
          <t>Vacant</t>
        </is>
      </c>
      <c r="H5" s="1211" t="inlineStr">
        <is>
          <t>Planning to hire or offshore</t>
        </is>
      </c>
      <c r="I5" s="1211" t="inlineStr">
        <is>
          <t>Vacancies remaining</t>
        </is>
      </c>
      <c r="J5" s="1211" t="inlineStr">
        <is>
          <t>New total number of roles in squad</t>
        </is>
      </c>
      <c r="K5" s="1211" t="inlineStr">
        <is>
          <t>Flag</t>
        </is>
      </c>
      <c r="L5" s="1211" t="inlineStr">
        <is>
          <t>Archetype cost ($m)</t>
        </is>
      </c>
      <c r="M5" s="1211" t="inlineStr">
        <is>
          <t>Full cost of model ($m)</t>
        </is>
      </c>
      <c r="N5" s="1211" t="inlineStr">
        <is>
          <t>Variance between archetype &amp; actuals</t>
        </is>
      </c>
      <c r="O5" s="1211" t="inlineStr">
        <is>
          <t>New cost of squads ($m)</t>
        </is>
      </c>
      <c r="P5" s="1030" t="inlineStr">
        <is>
          <t>Total cost after overhead ($m)</t>
        </is>
      </c>
      <c r="Q5" s="1030" t="inlineStr">
        <is>
          <t>New Variance ($m)</t>
        </is>
      </c>
      <c r="R5" s="1030" t="inlineStr">
        <is>
          <t>Archetype size</t>
        </is>
      </c>
      <c r="S5" s="1030" t="inlineStr">
        <is>
          <t>Squad name on design tab</t>
        </is>
      </c>
      <c r="T5" s="1030" t="inlineStr">
        <is>
          <t>Archetype basis</t>
        </is>
      </c>
    </row>
    <row r="6">
      <c r="A6" s="949" t="n"/>
      <c r="B6" s="634" t="inlineStr">
        <is>
          <t>EGI</t>
        </is>
      </c>
      <c r="C6" s="635" t="str">
        <f>"Outside archetype model"</f>
        <v>Outside archetype model</v>
      </c>
      <c r="D6" s="1150" t="str">
        <f>IFERROR(INDEX('0.3 Squad Archetypes'!$F$5:$F$23,MATCH($C6&amp;"|"&amp;$R6,'0.3 Squad Archetypes'!$A$5:$A$23,0)),"-")</f>
        <v>-</v>
      </c>
      <c r="E6" s="1151">
        <f>COUNTIFS($F$15:$F$31,$B6)</f>
        <v>17</v>
      </c>
      <c r="F6" s="1151" t="str">
        <f>IFERROR($E6-$D6,"-")</f>
        <v>-</v>
      </c>
      <c r="G6" s="1151">
        <f>COUNTIFS($F$15:$F$31,$B6,$D$15:$D$31,"Vacant")</f>
        <v>0</v>
      </c>
      <c r="H6" s="1151">
        <f>COUNTIFS($F$15:$F$31,$B6,$D$15:$D$31,"Vacant",$E$15:$E$31,"Hire")+COUNTIFS($F$15:$F$31,$B6,$D$15:$D$31,"Vacant",$E$15:$E$31,"Offshore")</f>
        <v>0</v>
      </c>
      <c r="I6" s="1151">
        <f>$G6-$H6</f>
        <v>0</v>
      </c>
      <c r="J6" s="634">
        <f>$E6-COUNTIFS($F$15:$F$31,$B6,$E$15:$E$31,"Hold")</f>
        <v>17</v>
      </c>
      <c r="K6" s="1152" t="str">
        <f>IF(NOT(ISNUMBER($D6)),"Outside the archetype model",IF($J6&gt;$D6,"Over archetype after decisions",IF($J6&lt;$D6,"Under archetype","On archetype")))</f>
        <v>Outside the archetype model</v>
      </c>
      <c r="L6" s="1153" t="str">
        <f>IFERROR(INDEX('0.3 Squad Archetypes'!$G$5:$G$23,MATCH($C6&amp;"|"&amp;$R6,'0.3 Squad Archetypes'!$A$5:$A$23,0)),"-")</f>
        <v>-</v>
      </c>
      <c r="M6" s="1153">
        <f>SUMIFS($G$15:$G$31,$F$15:$F$31,$B6)/1000000</f>
        <v>4.94341935</v>
      </c>
      <c r="N6" s="1153" t="str">
        <f>IFERROR($M6-$L6,"-")</f>
        <v>-</v>
      </c>
      <c r="O6" s="635">
        <f>SUMIFS($H$15:$H$31,$F$15:$F$31,$B6)/1000000</f>
        <v>4.94341935</v>
      </c>
      <c r="P6">
        <f>$O6</f>
        <v>4.94341935</v>
      </c>
      <c r="Q6" t="str">
        <f>IFERROR($P6-$L6,"-")</f>
        <v>-</v>
      </c>
      <c r="R6" t="str">
        <f>"-"</f>
        <v>-</v>
      </c>
      <c r="S6" t="str">
        <f>IFERROR(INDEX(Lists!$AA:$AA,MATCH($B6,Lists!$Z:$Z,0)),$B6)</f>
        <v>EGI</v>
      </c>
      <c r="T6" t="str">
        <f>IF($B6="Leadership","Shared role - compared to the allowance",IF($C6="Strategic Programs","Strategic Programs - no rate in 0.3 (TBC)",IF(NOT(ISNUMBER($D6)),"No archetype for this squad","Archetype applies")))</f>
        <v>No archetype for this squad</v>
      </c>
    </row>
    <row r="7">
      <c r="A7" s="949" t="n"/>
      <c r="B7" s="1231" t="inlineStr">
        <is>
          <t>Total</t>
        </is>
      </c>
      <c r="C7" s="641" t="n"/>
      <c r="D7" s="1154">
        <f>SUM(D6:D6)</f>
        <v>0</v>
      </c>
      <c r="E7" s="1154">
        <f>COUNTIFS('REVIEW - Complete Role Mapping'!$AJ$2:$AJ$528,"EGI")</f>
        <v>17</v>
      </c>
      <c r="F7" s="1154">
        <f>SUM(F6:F6)</f>
        <v>0</v>
      </c>
      <c r="G7" s="1154">
        <f>SUM(G6:G6)</f>
        <v>0</v>
      </c>
      <c r="H7" s="1154">
        <f>SUM(H6:H6)</f>
        <v>0</v>
      </c>
      <c r="I7" s="1154">
        <f>SUM(I6:I6)</f>
        <v>0</v>
      </c>
      <c r="J7" s="641">
        <f>SUM(J6:J6)</f>
        <v>17</v>
      </c>
      <c r="K7" s="1155" t="n"/>
      <c r="L7" s="1155">
        <f>SUM(L6:L6)</f>
        <v>0</v>
      </c>
      <c r="M7" s="1155">
        <f>SUMIFS('REVIEW - Complete Role Mapping'!$AA$2:$AA$528,'REVIEW - Complete Role Mapping'!$AJ$2:$AJ$528,"EGI")/1000000</f>
        <v>4.94341935</v>
      </c>
      <c r="N7" s="1155">
        <f>SUM(N6:N6)</f>
        <v>0</v>
      </c>
      <c r="O7" s="641">
        <f>SUM(O6:O6)</f>
        <v>4.94341935</v>
      </c>
      <c r="P7">
        <f>SUM(P6:P6)</f>
        <v>4.94341935</v>
      </c>
      <c r="Q7">
        <f>SUM(Q6:Q6)</f>
        <v>0</v>
      </c>
    </row>
    <row r="8">
      <c r="A8" s="949" t="n"/>
      <c r="B8" s="504" t="n"/>
      <c r="C8" s="504" t="n"/>
      <c r="D8" s="949" t="n"/>
      <c r="E8" s="1156" t="n"/>
      <c r="F8" s="949" t="n"/>
      <c r="G8" s="949" t="n"/>
      <c r="H8" s="949" t="n"/>
      <c r="I8" s="949" t="n"/>
      <c r="J8" s="949" t="n"/>
      <c r="K8" s="949" t="n"/>
      <c r="L8" s="949" t="n"/>
      <c r="M8" s="949" t="n"/>
      <c r="N8" s="949" t="n"/>
      <c r="O8" s="949" t="n"/>
    </row>
    <row r="9">
      <c r="A9" s="949" t="n"/>
      <c r="B9" s="994" t="inlineStr">
        <is>
          <t>Cost to fill every vacancy at full onshore cost ($m)</t>
        </is>
      </c>
      <c r="C9" s="504" t="n"/>
      <c r="D9" s="949" t="n"/>
      <c r="E9" s="1156">
        <f>SUMIFS($G$15:$G$31,$D$15:$D$31,"Vacant")/1000000</f>
        <v>0</v>
      </c>
      <c r="F9" s="949" t="n"/>
      <c r="G9" s="949" t="n"/>
      <c r="H9" s="949" t="n"/>
      <c r="I9" s="949" t="n"/>
      <c r="J9" s="949" t="n"/>
      <c r="K9" s="949" t="n"/>
      <c r="L9" s="949" t="n"/>
      <c r="M9" s="949" t="n"/>
      <c r="N9" s="949" t="n"/>
      <c r="O9" s="949" t="n"/>
    </row>
    <row r="10">
      <c r="A10" s="949" t="n"/>
      <c r="B10" s="994" t="inlineStr">
        <is>
          <t>Of which currently marked Hire or Offshore ($m)</t>
        </is>
      </c>
      <c r="C10" s="504" t="n"/>
      <c r="D10" s="949" t="n"/>
      <c r="E10" s="949">
        <f>(SUMIFS($G$15:$G$31,$D$15:$D$31,"Vacant",$E$15:$E$31,"Hire")+Lists!$AD$5*SUMIFS($G$15:$G$31,$D$15:$D$31,"Vacant",$E$15:$E$31,"Offshore"))/1000000</f>
        <v>0</v>
      </c>
      <c r="F10" s="949" t="n"/>
      <c r="G10" s="949" t="n"/>
      <c r="H10" s="949" t="n"/>
      <c r="I10" s="949" t="n"/>
      <c r="J10" s="949" t="n"/>
      <c r="K10" s="949" t="n"/>
      <c r="L10" s="949" t="n"/>
      <c r="M10" s="949" t="n"/>
      <c r="N10" s="949" t="n"/>
      <c r="O10" s="949" t="n"/>
    </row>
    <row r="11">
      <c r="A11" s="949" t="n"/>
      <c r="B11" s="994" t="inlineStr">
        <is>
          <t>Leadership and Head of Technology already inside this portfolio ($m) - not re-added in column P</t>
        </is>
      </c>
      <c r="C11" s="504" t="n"/>
      <c r="D11" s="949" t="n"/>
      <c r="E11" s="949">
        <f>SUMIFS('REVIEW - Complete Role Mapping'!$AA$2:$AA$528,'REVIEW - Complete Role Mapping'!$AJ$2:$AJ$528,"EGI",'REVIEW - Complete Role Mapping'!$AQ$2:$AQ$528,1)/1000000</f>
        <v>0</v>
      </c>
      <c r="F11" s="949" t="n"/>
      <c r="G11" s="949" t="n"/>
      <c r="H11" s="949" t="n"/>
      <c r="I11" s="949" t="n"/>
      <c r="J11" s="949" t="n"/>
      <c r="K11" s="949" t="n"/>
      <c r="L11" s="949" t="n"/>
      <c r="M11" s="949" t="n"/>
      <c r="N11" s="949" t="n"/>
      <c r="O11" s="949" t="n"/>
    </row>
    <row r="12">
      <c r="A12" s="949" t="n"/>
      <c r="B12" s="432" t="n"/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994" t="inlineStr">
        <is>
          <t>EGI roles - one row per named role, from REVIEW</t>
        </is>
      </c>
      <c r="C13" s="432" t="n"/>
      <c r="D13" s="432" t="n"/>
      <c r="E13" s="432" t="n"/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029" t="inlineStr">
        <is>
          <t>Name</t>
        </is>
      </c>
      <c r="C14" s="1029" t="inlineStr">
        <is>
          <t>Role</t>
        </is>
      </c>
      <c r="D14" s="1029" t="inlineStr">
        <is>
          <t>Status</t>
        </is>
      </c>
      <c r="E14" s="1029" t="inlineStr">
        <is>
          <t>Vacancy lever</t>
        </is>
      </c>
      <c r="F14" s="1029" t="inlineStr">
        <is>
          <t>Squad</t>
        </is>
      </c>
      <c r="G14" s="1029" t="inlineStr">
        <is>
          <t>Cost if hired ($)</t>
        </is>
      </c>
      <c r="H14" s="1029" t="inlineStr">
        <is>
          <t>Effective cost ($)</t>
        </is>
      </c>
      <c r="I14" s="949" t="n"/>
      <c r="J14" s="949" t="n"/>
      <c r="K14" s="949" t="n"/>
      <c r="L14" s="949" t="n"/>
      <c r="M14" s="949" t="n"/>
      <c r="N14" s="949" t="n"/>
      <c r="O14" s="949" t="n"/>
    </row>
    <row r="15">
      <c r="A15" s="949" t="n"/>
      <c r="B15" s="533" t="str">
        <f>INDEX('REVIEW - Complete Role Mapping'!$B:$B,239)</f>
        <v>Ahmed Yehya</v>
      </c>
      <c r="C15" s="533" t="str">
        <f>INDEX('REVIEW - Complete Role Mapping'!$C:$C,239)</f>
        <v>TDD Strategic Delivery</v>
      </c>
      <c r="D15" s="533" t="str">
        <f>IF(ISNUMBER(SEARCH("vacant",$B15)),"Vacant","Filled")</f>
        <v>Filled</v>
      </c>
      <c r="E15" s="533" t="inlineStr">
        <is>
          <t>Filled</t>
        </is>
      </c>
      <c r="F15" s="533" t="str">
        <f>INDEX('REVIEW - Complete Role Mapping'!$AP:$AP,239)</f>
        <v>EGI</v>
      </c>
      <c r="G15" s="949">
        <f>INDEX('REVIEW - Complete Role Mapping'!$AA:$AA,239)</f>
        <v>277500</v>
      </c>
      <c r="H15" s="949">
        <f>$G15*IFERROR(INDEX(Lists!$AD:$AD,MATCH($E15,Lists!$AC:$AC,0)),1)</f>
        <v>277500</v>
      </c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646" t="str">
        <f>INDEX('REVIEW - Complete Role Mapping'!$B:$B,240)</f>
        <v>Anthony Huynh</v>
      </c>
      <c r="C16" s="646" t="str">
        <f>INDEX('REVIEW - Complete Role Mapping'!$C:$C,240)</f>
        <v>Strategic Delivery Consultant</v>
      </c>
      <c r="D16" s="646" t="str">
        <f>IF(ISNUMBER(SEARCH("vacant",$B16)),"Vacant","Filled")</f>
        <v>Filled</v>
      </c>
      <c r="E16" s="646" t="inlineStr">
        <is>
          <t>Filled</t>
        </is>
      </c>
      <c r="F16" s="646" t="str">
        <f>INDEX('REVIEW - Complete Role Mapping'!$AP:$AP,240)</f>
        <v>EGI</v>
      </c>
      <c r="G16" s="949">
        <f>INDEX('REVIEW - Complete Role Mapping'!$AA:$AA,240)</f>
        <v>301254</v>
      </c>
      <c r="H16" s="949">
        <f>$G16*IFERROR(INDEX(Lists!$AD:$AD,MATCH($E16,Lists!$AC:$AC,0)),1)</f>
        <v>301254</v>
      </c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634" t="str">
        <f>INDEX('REVIEW - Complete Role Mapping'!$B:$B,241)</f>
        <v>Areum Kim Lee</v>
      </c>
      <c r="C17" s="634" t="str">
        <f>INDEX('REVIEW - Complete Role Mapping'!$C:$C,241)</f>
        <v>Program Manager (PEP13-EGI-UKG)</v>
      </c>
      <c r="D17" s="612" t="str">
        <f>IF(ISNUMBER(SEARCH("vacant",$B17)),"Vacant","Filled")</f>
        <v>Filled</v>
      </c>
      <c r="E17" s="612" t="inlineStr">
        <is>
          <t>Filled</t>
        </is>
      </c>
      <c r="F17" s="634" t="str">
        <f>INDEX('REVIEW - Complete Role Mapping'!$AP:$AP,241)</f>
        <v>EGI</v>
      </c>
      <c r="G17" s="949">
        <f>INDEX('REVIEW - Complete Role Mapping'!$AA:$AA,241)</f>
        <v>343158.72</v>
      </c>
      <c r="H17">
        <f>$G17*IFERROR(INDEX(Lists!$AD:$AD,MATCH($E17,Lists!$AC:$AC,0)),1)</f>
        <v>343158.72</v>
      </c>
    </row>
    <row r="18">
      <c r="A18" s="949" t="n"/>
      <c r="B18" s="634" t="str">
        <f>INDEX('REVIEW - Complete Role Mapping'!$B:$B,446)</f>
        <v>Ashish Gupte</v>
      </c>
      <c r="C18" s="634" t="str">
        <f>INDEX('REVIEW - Complete Role Mapping'!$C:$C,446)</f>
        <v>DeveloperSAP ECC</v>
      </c>
      <c r="D18" s="612" t="str">
        <f>IF(ISNUMBER(SEARCH("vacant",$B18)),"Vacant","Filled")</f>
        <v>Filled</v>
      </c>
      <c r="E18" s="612" t="inlineStr">
        <is>
          <t>Filled</t>
        </is>
      </c>
      <c r="F18" s="634" t="str">
        <f>INDEX('REVIEW - Complete Role Mapping'!$AP:$AP,446)</f>
        <v>EGI</v>
      </c>
      <c r="G18" s="949">
        <f>INDEX('REVIEW - Complete Role Mapping'!$AA:$AA,446)</f>
        <v>277500</v>
      </c>
      <c r="H18">
        <f>$G18*IFERROR(INDEX(Lists!$AD:$AD,MATCH($E18,Lists!$AC:$AC,0)),1)</f>
        <v>277500</v>
      </c>
    </row>
    <row r="19">
      <c r="A19" s="949" t="n"/>
      <c r="B19" s="634" t="str">
        <f>INDEX('REVIEW - Complete Role Mapping'!$B:$B,242)</f>
        <v>Ernesto Pereira</v>
      </c>
      <c r="C19" s="634" t="str">
        <f>INDEX('REVIEW - Complete Role Mapping'!$C:$C,242)</f>
        <v>Project Manger</v>
      </c>
      <c r="D19" s="612" t="str">
        <f>IF(ISNUMBER(SEARCH("vacant",$B19)),"Vacant","Filled")</f>
        <v>Filled</v>
      </c>
      <c r="E19" s="612" t="inlineStr">
        <is>
          <t>Filled</t>
        </is>
      </c>
      <c r="F19" s="634" t="str">
        <f>INDEX('REVIEW - Complete Role Mapping'!$AP:$AP,242)</f>
        <v>EGI</v>
      </c>
      <c r="G19" s="949">
        <f>INDEX('REVIEW - Complete Role Mapping'!$AA:$AA,242)</f>
        <v>222000</v>
      </c>
      <c r="H19">
        <f>$G19*IFERROR(INDEX(Lists!$AD:$AD,MATCH($E19,Lists!$AC:$AC,0)),1)</f>
        <v>222000</v>
      </c>
    </row>
    <row r="20">
      <c r="A20" s="949" t="n"/>
      <c r="B20" s="634" t="str">
        <f>INDEX('REVIEW - Complete Role Mapping'!$B:$B,243)</f>
        <v>Harish Dasari</v>
      </c>
      <c r="C20" s="634" t="str">
        <f>INDEX('REVIEW - Complete Role Mapping'!$C:$C,243)</f>
        <v>Business Analyst (SAP Payroll)</v>
      </c>
      <c r="D20" s="612" t="str">
        <f>IF(ISNUMBER(SEARCH("vacant",$B20)),"Vacant","Filled")</f>
        <v>Filled</v>
      </c>
      <c r="E20" s="612" t="inlineStr">
        <is>
          <t>Filled</t>
        </is>
      </c>
      <c r="F20" s="634" t="str">
        <f>INDEX('REVIEW - Complete Role Mapping'!$AP:$AP,243)</f>
        <v>EGI</v>
      </c>
      <c r="G20" s="949">
        <f>INDEX('REVIEW - Complete Role Mapping'!$AA:$AA,243)</f>
        <v>244200</v>
      </c>
      <c r="H20">
        <f>$G20*IFERROR(INDEX(Lists!$AD:$AD,MATCH($E20,Lists!$AC:$AC,0)),1)</f>
        <v>244200</v>
      </c>
    </row>
    <row r="21">
      <c r="A21" s="949" t="n"/>
      <c r="B21" s="634" t="str">
        <f>INDEX('REVIEW - Complete Role Mapping'!$B:$B,244)</f>
        <v>James Munt</v>
      </c>
      <c r="C21" s="634" t="str">
        <f>INDEX('REVIEW - Complete Role Mapping'!$C:$C,244)</f>
        <v>Program Manager Tech &amp; P&amp;C</v>
      </c>
      <c r="D21" s="612" t="str">
        <f>IF(ISNUMBER(SEARCH("vacant",$B21)),"Vacant","Filled")</f>
        <v>Filled</v>
      </c>
      <c r="E21" s="612" t="inlineStr">
        <is>
          <t>Filled</t>
        </is>
      </c>
      <c r="F21" s="634" t="str">
        <f>INDEX('REVIEW - Complete Role Mapping'!$AP:$AP,244)</f>
        <v>EGI</v>
      </c>
      <c r="G21" s="949">
        <f>INDEX('REVIEW - Complete Role Mapping'!$AA:$AA,244)</f>
        <v>266400</v>
      </c>
      <c r="H21">
        <f>$G21*IFERROR(INDEX(Lists!$AD:$AD,MATCH($E21,Lists!$AC:$AC,0)),1)</f>
        <v>266400</v>
      </c>
    </row>
    <row r="22">
      <c r="A22" s="949" t="n"/>
      <c r="B22" s="634" t="str">
        <f>INDEX('REVIEW - Complete Role Mapping'!$B:$B,245)</f>
        <v>Jason McNamara</v>
      </c>
      <c r="C22" s="634" t="str">
        <f>INDEX('REVIEW - Complete Role Mapping'!$C:$C,245)</f>
        <v>Project Manager Retail</v>
      </c>
      <c r="D22" s="612" t="str">
        <f>IF(ISNUMBER(SEARCH("vacant",$B22)),"Vacant","Filled")</f>
        <v>Filled</v>
      </c>
      <c r="E22" s="612" t="inlineStr">
        <is>
          <t>Filled</t>
        </is>
      </c>
      <c r="F22" s="634" t="str">
        <f>INDEX('REVIEW - Complete Role Mapping'!$AP:$AP,245)</f>
        <v>EGI</v>
      </c>
      <c r="G22" s="949">
        <f>INDEX('REVIEW - Complete Role Mapping'!$AA:$AA,245)</f>
        <v>488400</v>
      </c>
      <c r="H22">
        <f>$G22*IFERROR(INDEX(Lists!$AD:$AD,MATCH($E22,Lists!$AC:$AC,0)),1)</f>
        <v>488400</v>
      </c>
    </row>
    <row r="23">
      <c r="A23" s="949" t="n"/>
      <c r="B23" s="634" t="str">
        <f>INDEX('REVIEW - Complete Role Mapping'!$B:$B,246)</f>
        <v>Jason Sipkovic</v>
      </c>
      <c r="C23" s="634" t="str">
        <f>INDEX('REVIEW - Complete Role Mapping'!$C:$C,246)</f>
        <v>strategic program architect</v>
      </c>
      <c r="D23" s="612" t="str">
        <f>IF(ISNUMBER(SEARCH("vacant",$B23)),"Vacant","Filled")</f>
        <v>Filled</v>
      </c>
      <c r="E23" s="612" t="inlineStr">
        <is>
          <t>Filled</t>
        </is>
      </c>
      <c r="F23" s="634" t="str">
        <f>INDEX('REVIEW - Complete Role Mapping'!$AP:$AP,246)</f>
        <v>EGI</v>
      </c>
      <c r="G23" s="949">
        <f>INDEX('REVIEW - Complete Role Mapping'!$AA:$AA,246)</f>
        <v>333000</v>
      </c>
      <c r="H23">
        <f>$G23*IFERROR(INDEX(Lists!$AD:$AD,MATCH($E23,Lists!$AC:$AC,0)),1)</f>
        <v>333000</v>
      </c>
    </row>
    <row r="24">
      <c r="A24" s="949" t="n"/>
      <c r="B24" s="634" t="str">
        <f>INDEX('REVIEW - Complete Role Mapping'!$B:$B,247)</f>
        <v>Kanika Narula</v>
      </c>
      <c r="C24" s="634" t="str">
        <f>INDEX('REVIEW - Complete Role Mapping'!$C:$C,247)</f>
        <v>Business Analyst Digital</v>
      </c>
      <c r="D24" s="612" t="str">
        <f>IF(ISNUMBER(SEARCH("vacant",$B24)),"Vacant","Filled")</f>
        <v>Filled</v>
      </c>
      <c r="E24" s="612" t="inlineStr">
        <is>
          <t>Filled</t>
        </is>
      </c>
      <c r="F24" s="634" t="str">
        <f>INDEX('REVIEW - Complete Role Mapping'!$AP:$AP,247)</f>
        <v>EGI</v>
      </c>
      <c r="G24" s="949">
        <f>INDEX('REVIEW - Complete Role Mapping'!$AA:$AA,247)</f>
        <v>239502.48</v>
      </c>
      <c r="H24">
        <f>$G24*IFERROR(INDEX(Lists!$AD:$AD,MATCH($E24,Lists!$AC:$AC,0)),1)</f>
        <v>239502.48</v>
      </c>
    </row>
    <row r="25">
      <c r="A25" s="949" t="n"/>
      <c r="B25" s="634" t="str">
        <f>INDEX('REVIEW - Complete Role Mapping'!$B:$B,248)</f>
        <v>Karl Reyneke</v>
      </c>
      <c r="C25" s="634" t="str">
        <f>INDEX('REVIEW - Complete Role Mapping'!$C:$C,248)</f>
        <v>Strategic Delivery Consultant</v>
      </c>
      <c r="D25" s="612" t="str">
        <f>IF(ISNUMBER(SEARCH("vacant",$B25)),"Vacant","Filled")</f>
        <v>Filled</v>
      </c>
      <c r="E25" s="612" t="inlineStr">
        <is>
          <t>Filled</t>
        </is>
      </c>
      <c r="F25" s="634" t="str">
        <f>INDEX('REVIEW - Complete Role Mapping'!$AP:$AP,248)</f>
        <v>EGI</v>
      </c>
      <c r="G25" s="949">
        <f>INDEX('REVIEW - Complete Role Mapping'!$AA:$AA,248)</f>
        <v>299700</v>
      </c>
      <c r="H25">
        <f>$G25*IFERROR(INDEX(Lists!$AD:$AD,MATCH($E25,Lists!$AC:$AC,0)),1)</f>
        <v>299700</v>
      </c>
    </row>
    <row r="26">
      <c r="A26" s="949" t="n"/>
      <c r="B26" s="634" t="str">
        <f>INDEX('REVIEW - Complete Role Mapping'!$B:$B,250)</f>
        <v>Moitri Pal</v>
      </c>
      <c r="C26" s="634" t="str">
        <f>INDEX('REVIEW - Complete Role Mapping'!$C:$C,250)</f>
        <v>Portfolio Mnager</v>
      </c>
      <c r="D26" s="612" t="str">
        <f>IF(ISNUMBER(SEARCH("vacant",$B26)),"Vacant","Filled")</f>
        <v>Filled</v>
      </c>
      <c r="E26" s="612" t="inlineStr">
        <is>
          <t>Filled</t>
        </is>
      </c>
      <c r="F26" s="634" t="str">
        <f>INDEX('REVIEW - Complete Role Mapping'!$AP:$AP,250)</f>
        <v>EGI</v>
      </c>
      <c r="G26" s="949">
        <f>INDEX('REVIEW - Complete Role Mapping'!$AA:$AA,250)</f>
        <v>325464.15</v>
      </c>
      <c r="H26">
        <f>$G26*IFERROR(INDEX(Lists!$AD:$AD,MATCH($E26,Lists!$AC:$AC,0)),1)</f>
        <v>325464.15</v>
      </c>
    </row>
    <row r="27">
      <c r="A27" s="949" t="n"/>
      <c r="B27" s="634" t="str">
        <f>INDEX('REVIEW - Complete Role Mapping'!$B:$B,251)</f>
        <v>Niall Greene</v>
      </c>
      <c r="C27" s="634" t="str">
        <f>INDEX('REVIEW - Complete Role Mapping'!$C:$C,251)</f>
        <v>Project Manager (PEP13-EGI-UKG)</v>
      </c>
      <c r="D27" s="612" t="str">
        <f>IF(ISNUMBER(SEARCH("vacant",$B27)),"Vacant","Filled")</f>
        <v>Filled</v>
      </c>
      <c r="E27" s="612" t="inlineStr">
        <is>
          <t>Filled</t>
        </is>
      </c>
      <c r="F27" s="634" t="str">
        <f>INDEX('REVIEW - Complete Role Mapping'!$AP:$AP,251)</f>
        <v>EGI</v>
      </c>
      <c r="G27" s="949">
        <f>INDEX('REVIEW - Complete Role Mapping'!$AA:$AA,251)</f>
        <v>244200</v>
      </c>
      <c r="H27">
        <f>$G27*IFERROR(INDEX(Lists!$AD:$AD,MATCH($E27,Lists!$AC:$AC,0)),1)</f>
        <v>244200</v>
      </c>
    </row>
    <row r="28">
      <c r="A28" s="949" t="n"/>
      <c r="B28" s="634" t="str">
        <f>INDEX('REVIEW - Complete Role Mapping'!$B:$B,252)</f>
        <v>Paul Hassey</v>
      </c>
      <c r="C28" s="634" t="str">
        <f>INDEX('REVIEW - Complete Role Mapping'!$C:$C,252)</f>
        <v>Program Architect</v>
      </c>
      <c r="D28" s="612" t="str">
        <f>IF(ISNUMBER(SEARCH("vacant",$B28)),"Vacant","Filled")</f>
        <v>Filled</v>
      </c>
      <c r="E28" s="612" t="inlineStr">
        <is>
          <t>Filled</t>
        </is>
      </c>
      <c r="F28" s="634" t="str">
        <f>INDEX('REVIEW - Complete Role Mapping'!$AP:$AP,252)</f>
        <v>EGI</v>
      </c>
      <c r="G28" s="949">
        <f>INDEX('REVIEW - Complete Role Mapping'!$AA:$AA,252)</f>
        <v>310800</v>
      </c>
      <c r="H28">
        <f>$G28*IFERROR(INDEX(Lists!$AD:$AD,MATCH($E28,Lists!$AC:$AC,0)),1)</f>
        <v>310800</v>
      </c>
    </row>
    <row r="29">
      <c r="A29" s="949" t="n"/>
      <c r="B29" s="634" t="str">
        <f>INDEX('REVIEW - Complete Role Mapping'!$B:$B,254)</f>
        <v>Winnie Fernandes</v>
      </c>
      <c r="C29" s="634" t="str">
        <f>INDEX('REVIEW - Complete Role Mapping'!$C:$C,254)</f>
        <v>Delivery Lead - Integration</v>
      </c>
      <c r="D29" s="612" t="str">
        <f>IF(ISNUMBER(SEARCH("vacant",$B29)),"Vacant","Filled")</f>
        <v>Filled</v>
      </c>
      <c r="E29" s="612" t="inlineStr">
        <is>
          <t>Filled</t>
        </is>
      </c>
      <c r="F29" s="634" t="str">
        <f>INDEX('REVIEW - Complete Role Mapping'!$AP:$AP,254)</f>
        <v>EGI</v>
      </c>
      <c r="G29" s="949">
        <f>INDEX('REVIEW - Complete Role Mapping'!$AA:$AA,254)</f>
        <v>273504</v>
      </c>
      <c r="H29">
        <f>$G29*IFERROR(INDEX(Lists!$AD:$AD,MATCH($E29,Lists!$AC:$AC,0)),1)</f>
        <v>273504</v>
      </c>
    </row>
    <row r="30">
      <c r="A30" s="949" t="n"/>
      <c r="B30" s="634" t="str">
        <f>INDEX('REVIEW - Complete Role Mapping'!$B:$B,249)</f>
        <v>michelle Siegman</v>
      </c>
      <c r="C30" s="634" t="str">
        <f>INDEX('REVIEW - Complete Role Mapping'!$C:$C,249)</f>
        <v>Strategic Delivery Consultant</v>
      </c>
      <c r="D30" s="612" t="str">
        <f>IF(ISNUMBER(SEARCH("vacant",$B30)),"Vacant","Filled")</f>
        <v>Filled</v>
      </c>
      <c r="E30" s="612" t="inlineStr">
        <is>
          <t>Filled</t>
        </is>
      </c>
      <c r="F30" s="634" t="str">
        <f>INDEX('REVIEW - Complete Role Mapping'!$AP:$AP,249)</f>
        <v>EGI</v>
      </c>
      <c r="G30" s="949">
        <f>INDEX('REVIEW - Complete Role Mapping'!$AA:$AA,249)</f>
        <v>230436</v>
      </c>
      <c r="H30">
        <f>$G30*IFERROR(INDEX(Lists!$AD:$AD,MATCH($E30,Lists!$AC:$AC,0)),1)</f>
        <v>230436</v>
      </c>
    </row>
    <row r="31">
      <c r="A31" s="949" t="n"/>
      <c r="B31" s="634" t="str">
        <f>INDEX('REVIEW - Complete Role Mapping'!$B:$B,253)</f>
        <v>vijay Solanki</v>
      </c>
      <c r="C31" s="634" t="str">
        <f>INDEX('REVIEW - Complete Role Mapping'!$C:$C,253)</f>
        <v>Project Manager Deployment</v>
      </c>
      <c r="D31" s="612" t="str">
        <f>IF(ISNUMBER(SEARCH("vacant",$B31)),"Vacant","Filled")</f>
        <v>Filled</v>
      </c>
      <c r="E31" s="612" t="inlineStr">
        <is>
          <t>Filled</t>
        </is>
      </c>
      <c r="F31" s="634" t="str">
        <f>INDEX('REVIEW - Complete Role Mapping'!$AP:$AP,253)</f>
        <v>EGI</v>
      </c>
      <c r="G31" s="949">
        <f>INDEX('REVIEW - Complete Role Mapping'!$AA:$AA,253)</f>
        <v>266400</v>
      </c>
      <c r="H31">
        <f>$G31*IFERROR(INDEX(Lists!$AD:$AD,MATCH($E31,Lists!$AC:$AC,0)),1)</f>
        <v>266400</v>
      </c>
    </row>
    <row r="32">
      <c r="A32" s="949" t="n"/>
      <c r="B32" s="634" t="n"/>
      <c r="C32" s="634" t="n"/>
      <c r="D32" s="612" t="n"/>
      <c r="E32" s="612" t="n"/>
      <c r="F32" s="634" t="n"/>
      <c r="G32" s="432" t="n"/>
    </row>
    <row r="33">
      <c r="A33" s="949" t="n"/>
      <c r="B33" s="634" t="n"/>
      <c r="C33" s="634" t="n"/>
      <c r="D33" s="612" t="n"/>
      <c r="E33" s="612" t="n"/>
      <c r="F33" s="634" t="n"/>
      <c r="G33" s="949" t="n"/>
    </row>
    <row r="34">
      <c r="A34" s="949" t="n"/>
      <c r="B34" s="504" t="n"/>
      <c r="C34" s="504" t="n"/>
      <c r="D34" s="504" t="n"/>
      <c r="E34" s="504" t="n"/>
      <c r="F34" s="949" t="n"/>
      <c r="G34" s="949" t="n"/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dataValidations count="1">
    <dataValidation sqref="E15:E31" showDropDown="0" showInputMessage="0" showErrorMessage="0" allowBlank="0" errorTitle="Vacancy lever" error="Choose Filled, Hire, Hold or Offshore." type="list">
      <formula1>"Filled,Hire,Hold,Offshore"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994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533" t="inlineStr">
        <is>
          <t>Portfolio</t>
        </is>
      </c>
      <c r="C5" s="533" t="inlineStr">
        <is>
          <t>Squads roles</t>
        </is>
      </c>
      <c r="D5" s="533" t="inlineStr">
        <is>
          <t>Squads occupied</t>
        </is>
      </c>
      <c r="E5" s="533" t="inlineStr">
        <is>
          <t>Squads vacant</t>
        </is>
      </c>
      <c r="F5" s="533" t="inlineStr">
        <is>
          <t>REVIEW roles</t>
        </is>
      </c>
      <c r="G5" s="533" t="inlineStr">
        <is>
          <t>REVIEW occupied</t>
        </is>
      </c>
      <c r="H5" s="533" t="inlineStr">
        <is>
          <t>REVIEW vacant</t>
        </is>
      </c>
      <c r="I5" s="533" t="inlineStr">
        <is>
          <t>Δ roles</t>
        </is>
      </c>
      <c r="J5" s="533" t="inlineStr">
        <is>
          <t>Δ occupied</t>
        </is>
      </c>
      <c r="K5" s="533" t="inlineStr">
        <is>
          <t>Δ vacant</t>
        </is>
      </c>
    </row>
    <row r="6">
      <c r="B6" s="634" t="inlineStr">
        <is>
          <t>Ampol Retail</t>
        </is>
      </c>
      <c r="C6" s="612">
        <f>COUNTIF(Squads!$N:$N,"Ampol Retail")</f>
        <v>80</v>
      </c>
      <c r="D6" s="612">
        <f>C6-E6</f>
        <v>52</v>
      </c>
      <c r="E6" s="612">
        <f>COUNTIFS(Squads!$N:$N,"Ampol Retail",Squads!$R:$R,"Vacant")</f>
        <v>28</v>
      </c>
      <c r="F6" s="612">
        <f>COUNTIF('REVIEW - Complete Role Mapping'!$AJ:$AJ,"Ampol Retail")</f>
        <v>70</v>
      </c>
      <c r="G6" s="612">
        <f>F6-H6</f>
        <v>48</v>
      </c>
      <c r="H6" s="612">
        <f>COUNTIFS('REVIEW - Complete Role Mapping'!$AJ:$AJ,"Ampol Retail",'REVIEW - Complete Role Mapping'!$AK:$AK,"Vacant")</f>
        <v>22</v>
      </c>
      <c r="I6" s="1161">
        <f>F6-C6</f>
        <v>-10</v>
      </c>
      <c r="J6" s="1161">
        <f>G6-D6</f>
        <v>-4</v>
      </c>
      <c r="K6" s="1161">
        <f>H6-E6</f>
        <v>-6</v>
      </c>
    </row>
    <row r="7">
      <c r="B7" s="640" t="inlineStr">
        <is>
          <t>Customer</t>
        </is>
      </c>
      <c r="C7" s="612">
        <f>COUNTIF(Squads!$N:$N,"Customer")</f>
        <v>90</v>
      </c>
      <c r="D7" s="612">
        <f>C7-E7</f>
        <v>69</v>
      </c>
      <c r="E7" s="612">
        <f>COUNTIFS(Squads!$N:$N,"Customer",Squads!$R:$R,"Vacant")</f>
        <v>21</v>
      </c>
      <c r="F7" s="612">
        <f>COUNTIF('REVIEW - Complete Role Mapping'!$AJ:$AJ,"Customer")</f>
        <v>83</v>
      </c>
      <c r="G7" s="612">
        <f>F7-H7</f>
        <v>70</v>
      </c>
      <c r="H7" s="612">
        <f>COUNTIFS('REVIEW - Complete Role Mapping'!$AJ:$AJ,"Customer",'REVIEW - Complete Role Mapping'!$AK:$AK,"Vacant")</f>
        <v>13</v>
      </c>
      <c r="I7" s="1161">
        <f>F7-C7</f>
        <v>-7</v>
      </c>
      <c r="J7" s="1161">
        <f>G7-D7</f>
        <v>1</v>
      </c>
      <c r="K7" s="1161">
        <f>H7-E7</f>
        <v>-8</v>
      </c>
    </row>
    <row r="8">
      <c r="B8" s="634" t="inlineStr">
        <is>
          <t>Enterprise Data</t>
        </is>
      </c>
      <c r="C8" s="612">
        <f>COUNTIF(Squads!$N:$N,"Enterprise Data")</f>
        <v>30</v>
      </c>
      <c r="D8" s="612">
        <f>C8-E8</f>
        <v>16</v>
      </c>
      <c r="E8" s="612">
        <f>COUNTIFS(Squads!$N:$N,"Enterprise Data",Squads!$R:$R,"Vacant")</f>
        <v>14</v>
      </c>
      <c r="F8" s="612">
        <f>COUNTIF('REVIEW - Complete Role Mapping'!$AJ:$AJ,"Enterprise Data")</f>
        <v>30</v>
      </c>
      <c r="G8" s="612">
        <f>F8-H8</f>
        <v>20</v>
      </c>
      <c r="H8" s="612">
        <f>COUNTIFS('REVIEW - Complete Role Mapping'!$AJ:$AJ,"Enterprise Data",'REVIEW - Complete Role Mapping'!$AK:$AK,"Vacant")</f>
        <v>10</v>
      </c>
      <c r="I8" s="1161">
        <f>F8-C8</f>
        <v>0</v>
      </c>
      <c r="J8" s="1161">
        <f>G8-D8</f>
        <v>4</v>
      </c>
      <c r="K8" s="1161">
        <f>H8-E8</f>
        <v>-4</v>
      </c>
    </row>
    <row r="9">
      <c r="B9" s="640" t="inlineStr">
        <is>
          <t>TDD Group Functions</t>
        </is>
      </c>
      <c r="C9" s="612">
        <f>COUNTIF(Squads!$N:$N,"TDD Group Functions")</f>
        <v>45</v>
      </c>
      <c r="D9" s="612">
        <f>C9-E9</f>
        <v>31</v>
      </c>
      <c r="E9" s="612">
        <f>COUNTIFS(Squads!$N:$N,"TDD Group Functions",Squads!$R:$R,"Vacant")</f>
        <v>14</v>
      </c>
      <c r="F9" s="612">
        <f>COUNTIF('REVIEW - Complete Role Mapping'!$AJ:$AJ,"TDD Group Functions")</f>
        <v>46</v>
      </c>
      <c r="G9" s="612">
        <f>F9-H9</f>
        <v>32</v>
      </c>
      <c r="H9" s="612">
        <f>COUNTIFS('REVIEW - Complete Role Mapping'!$AJ:$AJ,"TDD Group Functions",'REVIEW - Complete Role Mapping'!$AK:$AK,"Vacant")</f>
        <v>14</v>
      </c>
      <c r="I9" s="1161">
        <f>F9-C9</f>
        <v>1</v>
      </c>
      <c r="J9" s="1161">
        <f>G9-D9</f>
        <v>1</v>
      </c>
      <c r="K9" s="1161">
        <f>H9-E9</f>
        <v>0</v>
      </c>
    </row>
    <row r="10">
      <c r="B10" s="634" t="inlineStr">
        <is>
          <t>P&amp;C</t>
        </is>
      </c>
      <c r="C10" s="612">
        <f>COUNTIF(Squads!$N:$N,"P&amp;C")</f>
        <v>18</v>
      </c>
      <c r="D10" s="612">
        <f>C10-E10</f>
        <v>9</v>
      </c>
      <c r="E10" s="612">
        <f>COUNTIFS(Squads!$N:$N,"P&amp;C",Squads!$R:$R,"Vacant")</f>
        <v>9</v>
      </c>
      <c r="F10" s="612">
        <f>COUNTIF('REVIEW - Complete Role Mapping'!$AJ:$AJ,"P&amp;C")</f>
        <v>18</v>
      </c>
      <c r="G10" s="612">
        <f>F10-H10</f>
        <v>8</v>
      </c>
      <c r="H10" s="612">
        <f>COUNTIFS('REVIEW - Complete Role Mapping'!$AJ:$AJ,"P&amp;C",'REVIEW - Complete Role Mapping'!$AK:$AK,"Vacant")</f>
        <v>10</v>
      </c>
      <c r="I10" s="1161">
        <f>F10-C10</f>
        <v>0</v>
      </c>
      <c r="J10" s="1161">
        <f>G10-D10</f>
        <v>-1</v>
      </c>
      <c r="K10" s="1161">
        <f>H10-E10</f>
        <v>1</v>
      </c>
    </row>
    <row r="11">
      <c r="B11" s="640" t="inlineStr">
        <is>
          <t>Finance</t>
        </is>
      </c>
      <c r="C11" s="612">
        <f>COUNTIF(Squads!$N:$N,"Finance")</f>
        <v>16</v>
      </c>
      <c r="D11" s="612">
        <f>C11-E11</f>
        <v>8</v>
      </c>
      <c r="E11" s="612">
        <f>COUNTIFS(Squads!$N:$N,"Finance",Squads!$R:$R,"Vacant")</f>
        <v>8</v>
      </c>
      <c r="F11" s="612">
        <f>COUNTIF('REVIEW - Complete Role Mapping'!$AJ:$AJ,"Finance")</f>
        <v>17</v>
      </c>
      <c r="G11" s="612">
        <f>F11-H11</f>
        <v>9</v>
      </c>
      <c r="H11" s="612">
        <f>COUNTIFS('REVIEW - Complete Role Mapping'!$AJ:$AJ,"Finance",'REVIEW - Complete Role Mapping'!$AK:$AK,"Vacant")</f>
        <v>8</v>
      </c>
      <c r="I11" s="1161">
        <f>F11-C11</f>
        <v>1</v>
      </c>
      <c r="J11" s="1161">
        <f>G11-D11</f>
        <v>1</v>
      </c>
      <c r="K11" s="1161">
        <f>H11-E11</f>
        <v>0</v>
      </c>
    </row>
    <row r="12">
      <c r="B12" s="634" t="inlineStr">
        <is>
          <t>Infrastructure</t>
        </is>
      </c>
      <c r="C12" s="612">
        <f>COUNTIF(Squads!$N:$N,"Infrastructure")</f>
        <v>35</v>
      </c>
      <c r="D12" s="612">
        <f>C12-E12</f>
        <v>21</v>
      </c>
      <c r="E12" s="612">
        <f>COUNTIFS(Squads!$N:$N,"Infrastructure",Squads!$R:$R,"Vacant")</f>
        <v>14</v>
      </c>
      <c r="F12" s="612">
        <f>COUNTIF('REVIEW - Complete Role Mapping'!$AJ:$AJ,"Infrastructure")</f>
        <v>36</v>
      </c>
      <c r="G12" s="612">
        <f>F12-H12</f>
        <v>24</v>
      </c>
      <c r="H12" s="612">
        <f>COUNTIFS('REVIEW - Complete Role Mapping'!$AJ:$AJ,"Infrastructure",'REVIEW - Complete Role Mapping'!$AK:$AK,"Vacant")</f>
        <v>12</v>
      </c>
      <c r="I12" s="1161">
        <f>F12-C12</f>
        <v>1</v>
      </c>
      <c r="J12" s="1161">
        <f>G12-D12</f>
        <v>3</v>
      </c>
      <c r="K12" s="1161">
        <f>H12-E12</f>
        <v>-2</v>
      </c>
    </row>
    <row r="13">
      <c r="B13" s="640" t="inlineStr">
        <is>
          <t>Energy Solutions &amp; B2B</t>
        </is>
      </c>
      <c r="C13" s="612">
        <f>COUNTIF(Squads!$N:$N,"Energy Solutions &amp; B2B")</f>
        <v>37</v>
      </c>
      <c r="D13" s="612">
        <f>C13-E13</f>
        <v>25</v>
      </c>
      <c r="E13" s="612">
        <f>COUNTIFS(Squads!$N:$N,"Energy Solutions &amp; B2B",Squads!$R:$R,"Vacant")</f>
        <v>12</v>
      </c>
      <c r="F13" s="612">
        <f>COUNTIF('REVIEW - Complete Role Mapping'!$AJ:$AJ,"Energy Solutions &amp; B2B")</f>
        <v>33</v>
      </c>
      <c r="G13" s="612">
        <f>F13-H13</f>
        <v>24</v>
      </c>
      <c r="H13" s="612">
        <f>COUNTIFS('REVIEW - Complete Role Mapping'!$AJ:$AJ,"Energy Solutions &amp; B2B",'REVIEW - Complete Role Mapping'!$AK:$AK,"Vacant")</f>
        <v>9</v>
      </c>
      <c r="I13" s="1161">
        <f>F13-C13</f>
        <v>-4</v>
      </c>
      <c r="J13" s="1161">
        <f>G13-D13</f>
        <v>-1</v>
      </c>
      <c r="K13" s="1161">
        <f>H13-E13</f>
        <v>-3</v>
      </c>
    </row>
    <row r="14">
      <c r="B14" s="634" t="inlineStr">
        <is>
          <t>Commercial Fuels</t>
        </is>
      </c>
      <c r="C14" s="612">
        <f>COUNTIF(Squads!$N:$N,"Commercial Fuels")</f>
        <v>42</v>
      </c>
      <c r="D14" s="612">
        <f>C14-E14</f>
        <v>32</v>
      </c>
      <c r="E14" s="612">
        <f>COUNTIFS(Squads!$N:$N,"Commercial Fuels",Squads!$R:$R,"Vacant")</f>
        <v>10</v>
      </c>
      <c r="F14" s="612">
        <f>COUNTIF('REVIEW - Complete Role Mapping'!$AJ:$AJ,"Commercial Fuels")</f>
        <v>42</v>
      </c>
      <c r="G14" s="612">
        <f>F14-H14</f>
        <v>33</v>
      </c>
      <c r="H14" s="612">
        <f>COUNTIFS('REVIEW - Complete Role Mapping'!$AJ:$AJ,"Commercial Fuels",'REVIEW - Complete Role Mapping'!$AK:$AK,"Vacant")</f>
        <v>9</v>
      </c>
      <c r="I14" s="1161">
        <f>F14-C14</f>
        <v>0</v>
      </c>
      <c r="J14" s="1161">
        <f>G14-D14</f>
        <v>1</v>
      </c>
      <c r="K14" s="1161">
        <f>H14-E14</f>
        <v>-1</v>
      </c>
    </row>
    <row r="15">
      <c r="B15" s="640" t="inlineStr">
        <is>
          <t>Z Retail</t>
        </is>
      </c>
      <c r="C15" s="612">
        <f>COUNTIF(Squads!$N:$N,"Z Retail")</f>
        <v>34</v>
      </c>
      <c r="D15" s="612">
        <f>C15-E15</f>
        <v>28</v>
      </c>
      <c r="E15" s="612">
        <f>COUNTIFS(Squads!$N:$N,"Z Retail",Squads!$R:$R,"Vacant")</f>
        <v>6</v>
      </c>
      <c r="F15" s="612">
        <f>COUNTIF('REVIEW - Complete Role Mapping'!$AJ:$AJ,"Z Retail")</f>
        <v>39</v>
      </c>
      <c r="G15" s="612">
        <f>F15-H15</f>
        <v>32</v>
      </c>
      <c r="H15" s="612">
        <f>COUNTIFS('REVIEW - Complete Role Mapping'!$AJ:$AJ,"Z Retail",'REVIEW - Complete Role Mapping'!$AK:$AK,"Vacant")</f>
        <v>7</v>
      </c>
      <c r="I15" s="1161">
        <f>F15-C15</f>
        <v>5</v>
      </c>
      <c r="J15" s="1161">
        <f>G15-D15</f>
        <v>4</v>
      </c>
      <c r="K15" s="1161">
        <f>H15-E15</f>
        <v>1</v>
      </c>
    </row>
    <row r="16">
      <c r="B16" s="634" t="inlineStr">
        <is>
          <t>COE - Cyber</t>
        </is>
      </c>
      <c r="C16" s="612">
        <f>COUNTIF(Squads!$N:$N,"TDD Cyber")</f>
        <v>48</v>
      </c>
      <c r="D16" s="612">
        <f>C16-E16</f>
        <v>40</v>
      </c>
      <c r="E16" s="612">
        <f>COUNTIFS(Squads!$N:$N,"TDD Cyber",Squads!$R:$R,"Vacant")</f>
        <v>8</v>
      </c>
      <c r="F16" s="612">
        <f>COUNTIF('REVIEW - Complete Role Mapping'!$AJ:$AJ,"COE Cyber")</f>
        <v>46</v>
      </c>
      <c r="G16" s="612">
        <f>F16-H16</f>
        <v>42</v>
      </c>
      <c r="H16" s="612">
        <f>COUNTIFS('REVIEW - Complete Role Mapping'!$AJ:$AJ,"COE Cyber",'REVIEW - Complete Role Mapping'!$AK:$AK,"Vacant")</f>
        <v>4</v>
      </c>
      <c r="I16" s="1161">
        <f>F16-C16</f>
        <v>-2</v>
      </c>
      <c r="J16" s="1161">
        <f>G16-D16</f>
        <v>2</v>
      </c>
      <c r="K16" s="1161">
        <f>H16-E16</f>
        <v>-4</v>
      </c>
    </row>
    <row r="17">
      <c r="B17" s="640" t="inlineStr">
        <is>
          <t>COE - Partnering, Strategy, Arch &amp; Data</t>
        </is>
      </c>
      <c r="C17" s="612">
        <f>COUNTIF(Squads!$N:$N,"COE")</f>
        <v>52</v>
      </c>
      <c r="D17" s="612">
        <f>C17-E17</f>
        <v>31</v>
      </c>
      <c r="E17" s="612">
        <f>COUNTIFS(Squads!$N:$N,"COE",Squads!$R:$R,"Vacant")</f>
        <v>21</v>
      </c>
      <c r="F17" s="612">
        <f>COUNTIF('REVIEW - Complete Role Mapping'!$AJ:$AJ,"COE BP&amp;T")+COUNTIF('REVIEW - Complete Role Mapping'!$AJ:$AJ,"COE SA&amp;D")</f>
        <v>48</v>
      </c>
      <c r="G17" s="612">
        <f>F17-H17</f>
        <v>31</v>
      </c>
      <c r="H17" s="612">
        <f>COUNTIFS('REVIEW - Complete Role Mapping'!$AJ:$AJ,"COE BP&amp;T",'REVIEW - Complete Role Mapping'!$AK:$AK,"Vacant")+COUNTIFS('REVIEW - Complete Role Mapping'!$AJ:$AJ,"COE SA&amp;D",'REVIEW - Complete Role Mapping'!$AK:$AK,"Vacant")</f>
        <v>17</v>
      </c>
      <c r="I17" s="1161">
        <f>F17-C17</f>
        <v>-4</v>
      </c>
      <c r="J17" s="1161">
        <f>G17-D17</f>
        <v>0</v>
      </c>
      <c r="K17" s="1161">
        <f>H17-E17</f>
        <v>-4</v>
      </c>
    </row>
    <row r="18">
      <c r="B18" s="634" t="inlineStr">
        <is>
          <t>EGI</t>
        </is>
      </c>
      <c r="C18" s="612">
        <f>COUNTIF(Squads!$N:$N,"EGI")</f>
        <v>5</v>
      </c>
      <c r="D18" s="612">
        <f>C18-E18</f>
        <v>5</v>
      </c>
      <c r="E18" s="612">
        <f>COUNTIFS(Squads!$N:$N,"EGI",Squads!$R:$R,"Vacant")</f>
        <v>0</v>
      </c>
      <c r="F18" s="612">
        <f>COUNTIF('REVIEW - Complete Role Mapping'!$AJ:$AJ,"EGI")</f>
        <v>17</v>
      </c>
      <c r="G18" s="612">
        <f>F18-H18</f>
        <v>17</v>
      </c>
      <c r="H18" s="612">
        <f>COUNTIFS('REVIEW - Complete Role Mapping'!$AJ:$AJ,"EGI",'REVIEW - Complete Role Mapping'!$AK:$AK,"Vacant")</f>
        <v>0</v>
      </c>
      <c r="I18" s="1161">
        <f>F18-C18</f>
        <v>12</v>
      </c>
      <c r="J18" s="1161">
        <f>G18-D18</f>
        <v>12</v>
      </c>
      <c r="K18" s="1161">
        <f>H18-E18</f>
        <v>0</v>
      </c>
    </row>
    <row r="19">
      <c r="B19" s="640" t="inlineStr">
        <is>
          <t>Unmapped (Squads only)</t>
        </is>
      </c>
      <c r="C19" s="612">
        <f>COUNTIF(Squads!$N:$N,"Unmapped")</f>
        <v>4</v>
      </c>
      <c r="D19" s="612">
        <f>C19-E19</f>
        <v>3</v>
      </c>
      <c r="E19" s="612">
        <f>COUNTIFS(Squads!$N:$N,"Unmapped",Squads!$R:$R,"Vacant")</f>
        <v>1</v>
      </c>
      <c r="F19" s="612">
        <f>0</f>
        <v>0</v>
      </c>
      <c r="G19" s="612">
        <f>F19-H19</f>
        <v>0</v>
      </c>
      <c r="H19" s="612">
        <f>0</f>
        <v>0</v>
      </c>
      <c r="I19" s="1161">
        <f>F19-C19</f>
        <v>-4</v>
      </c>
      <c r="J19" s="1161">
        <f>G19-D19</f>
        <v>-3</v>
      </c>
      <c r="K19" s="1161">
        <f>H19-E19</f>
        <v>-1</v>
      </c>
    </row>
    <row r="20">
      <c r="B20" s="641" t="inlineStr">
        <is>
          <t>Total</t>
        </is>
      </c>
      <c r="C20" s="651">
        <f>SUM(C6:C19)</f>
        <v>536</v>
      </c>
      <c r="D20" s="651">
        <f>SUM(D6:D19)</f>
        <v>370</v>
      </c>
      <c r="E20" s="651">
        <f>SUM(E6:E19)</f>
        <v>166</v>
      </c>
      <c r="F20" s="651">
        <f>SUM(F6:F19)</f>
        <v>525</v>
      </c>
      <c r="G20" s="651">
        <f>SUM(G6:G19)</f>
        <v>390</v>
      </c>
      <c r="H20" s="651">
        <f>SUM(H6:H19)</f>
        <v>135</v>
      </c>
      <c r="I20" s="1162">
        <f>SUM(I6:I19)</f>
        <v>-11</v>
      </c>
      <c r="J20" s="1162">
        <f>SUM(J6:J19)</f>
        <v>20</v>
      </c>
      <c r="K20" s="1162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G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 - every check reads the model, nothing is typed in</t>
        </is>
      </c>
      <c r="C4" s="306" t="n"/>
      <c r="D4" s="306" t="n"/>
      <c r="E4" s="306" t="n"/>
      <c r="F4" s="290" t="n"/>
    </row>
    <row r="5">
      <c r="B5" s="1226" t="inlineStr">
        <is>
          <t>Check</t>
        </is>
      </c>
      <c r="C5" s="1243" t="inlineStr">
        <is>
          <t>Value</t>
        </is>
      </c>
      <c r="D5" s="1243" t="inlineStr">
        <is>
          <t>Expected</t>
        </is>
      </c>
      <c r="E5" s="1243" t="inlineStr">
        <is>
          <t>Difference</t>
        </is>
      </c>
      <c r="F5" s="949" t="n"/>
    </row>
    <row r="6">
      <c r="B6" s="285" t="inlineStr">
        <is>
          <t>Roles in the ledger</t>
        </is>
      </c>
      <c r="C6" s="288">
        <f>COUNTA('REVIEW - Complete Role Mapping'!$B$2:$B$528)</f>
        <v>525</v>
      </c>
      <c r="D6" s="288" t="n">
        <v>525</v>
      </c>
      <c r="E6" s="307">
        <f>ROUND($C6-$D6,6)</f>
        <v>0</v>
      </c>
      <c r="F6" s="949" t="n"/>
    </row>
    <row r="7">
      <c r="B7" s="285" t="inlineStr">
        <is>
          <t>Cost in the ledger ($m)</t>
        </is>
      </c>
      <c r="C7" s="288">
        <f>SUMIFS('REVIEW - Complete Role Mapping'!$AA$2:$AA$528,'REVIEW - Complete Role Mapping'!$B$2:$B$528,"&lt;&gt;")/1000000</f>
        <v>115.1132622681</v>
      </c>
      <c r="D7" s="288" t="n">
        <v>115.113262268</v>
      </c>
      <c r="E7" s="307">
        <f>ROUND($C7-$D7,6)</f>
        <v>0</v>
      </c>
      <c r="F7" s="949" t="n"/>
    </row>
    <row r="8">
      <c r="B8" s="285" t="inlineStr">
        <is>
          <t>Filled</t>
        </is>
      </c>
      <c r="C8" s="288">
        <f>COUNTIFS('REVIEW - Complete Role Mapping'!$AK$2:$AK$528,"Filled")</f>
        <v>390</v>
      </c>
      <c r="D8" s="288" t="n">
        <v>390</v>
      </c>
      <c r="E8" s="307">
        <f>ROUND($C8-$D8,6)</f>
        <v>0</v>
      </c>
      <c r="F8" s="949" t="n"/>
    </row>
    <row r="9">
      <c r="B9" s="285" t="inlineStr">
        <is>
          <t>Vacant</t>
        </is>
      </c>
      <c r="C9" s="288">
        <f>COUNTIFS('REVIEW - Complete Role Mapping'!$AK$2:$AK$528,"Vacant")</f>
        <v>135</v>
      </c>
      <c r="D9" s="288" t="n">
        <v>135</v>
      </c>
      <c r="E9" s="307">
        <f>ROUND($C9-$D9,6)</f>
        <v>0</v>
      </c>
      <c r="F9" s="949" t="n"/>
    </row>
    <row r="10">
      <c r="B10" t="inlineStr">
        <is>
          <t>Roles with no portfolio</t>
        </is>
      </c>
      <c r="C10">
        <f>COUNTIFS('REVIEW - Complete Role Mapping'!$B$2:$B$528,"&lt;&gt;",'REVIEW - Complete Role Mapping'!$AJ$2:$AJ$528,"")</f>
        <v>0</v>
      </c>
      <c r="D10" t="n">
        <v>0</v>
      </c>
      <c r="E10">
        <f>ROUND($C10-$D10,6)</f>
        <v>0</v>
      </c>
    </row>
    <row r="11">
      <c r="B11" s="289" t="inlineStr">
        <is>
          <t>Roles with no squad</t>
        </is>
      </c>
      <c r="C11" s="306">
        <f>COUNTIFS('REVIEW - Complete Role Mapping'!$AP$2:$AP$528,"Unassigned")</f>
        <v>1</v>
      </c>
      <c r="D11" s="306" t="n">
        <v>1</v>
      </c>
      <c r="E11" s="306">
        <f>ROUND($C11-$D11,6)</f>
        <v>0</v>
      </c>
      <c r="F11" s="290" t="n"/>
    </row>
    <row r="12">
      <c r="B12" s="285" t="inlineStr">
        <is>
          <t>3.2 total cost vs ledger ($m)</t>
        </is>
      </c>
      <c r="C12" s="504">
        <f>'3.2 Total Cost'!$F$24</f>
        <v>0</v>
      </c>
      <c r="D12" s="504" t="n">
        <v>0</v>
      </c>
      <c r="E12" s="504">
        <f>ROUND($C12-$D12,6)</f>
        <v>0</v>
      </c>
      <c r="F12" s="285" t="n"/>
    </row>
    <row r="13">
      <c r="B13" s="285" t="inlineStr">
        <is>
          <t>3.2 total roles vs ledger</t>
        </is>
      </c>
      <c r="C13" s="504">
        <f>'3.2 Total Cost'!$C$23</f>
        <v>0</v>
      </c>
      <c r="D13" s="504" t="n">
        <v>0</v>
      </c>
      <c r="E13" s="504">
        <f>ROUND($C13-$D13,6)</f>
        <v>0</v>
      </c>
      <c r="F13" s="285" t="n"/>
    </row>
    <row r="14">
      <c r="B14" s="285" t="inlineStr">
        <is>
          <t>3.3 total roles vs ledger</t>
        </is>
      </c>
      <c r="C14" s="504">
        <f>'3.3 FTE View'!$I$97</f>
        <v>0</v>
      </c>
      <c r="D14" s="504" t="n">
        <v>0</v>
      </c>
      <c r="E14" s="504">
        <f>ROUND($C14-$D14,6)</f>
        <v>0</v>
      </c>
      <c r="F14" s="285" t="n"/>
    </row>
    <row r="15">
      <c r="B15" s="1228" t="inlineStr">
        <is>
          <t>Checks failing</t>
        </is>
      </c>
      <c r="C15" s="504" t="n"/>
      <c r="D15" s="504" t="n"/>
      <c r="E15" s="504">
        <f>COUNTIF(E6:E14,"&lt;&gt;0")</f>
        <v>0</v>
      </c>
      <c r="F15" s="285" t="n"/>
    </row>
    <row r="16">
      <c r="B16" s="285" t="n"/>
      <c r="C16" s="504" t="n"/>
      <c r="D16" s="504" t="n"/>
      <c r="E16" s="504" t="n"/>
      <c r="F16" s="285" t="n"/>
    </row>
    <row r="17">
      <c r="B17" s="285" t="n"/>
      <c r="C17" s="285" t="n"/>
      <c r="D17" s="285" t="n"/>
      <c r="E17" s="285" t="n"/>
      <c r="F17" s="285" t="n"/>
    </row>
    <row r="18">
      <c r="B18" s="285" t="n"/>
      <c r="C18" s="504" t="n"/>
      <c r="D18" s="504" t="n"/>
      <c r="E18" s="504" t="n"/>
      <c r="F18" s="285" t="n"/>
    </row>
    <row r="19">
      <c r="B19" s="285" t="n"/>
      <c r="C19" s="504" t="n"/>
      <c r="D19" s="504" t="n"/>
      <c r="E19" s="504" t="n"/>
      <c r="F19" s="285" t="n"/>
    </row>
    <row r="20">
      <c r="B20" s="285" t="n"/>
      <c r="C20" s="504" t="n"/>
      <c r="D20" s="504" t="n"/>
      <c r="E20" s="504" t="n"/>
      <c r="F20" s="285" t="n"/>
    </row>
    <row r="21">
      <c r="B21" s="285" t="n"/>
      <c r="C21" s="504" t="n"/>
      <c r="D21" s="504" t="n"/>
      <c r="E21" s="504" t="n"/>
      <c r="F21" s="285" t="n"/>
    </row>
    <row r="22">
      <c r="B22" s="285" t="n"/>
      <c r="C22" s="504" t="n"/>
      <c r="D22" s="504" t="n"/>
      <c r="E22" s="504" t="n"/>
      <c r="F22" s="285" t="n"/>
    </row>
    <row r="23">
      <c r="B23" s="285" t="n"/>
      <c r="C23" s="504" t="n"/>
      <c r="D23" s="504" t="n"/>
      <c r="E23" s="504" t="n"/>
      <c r="F23" s="285" t="n"/>
    </row>
    <row r="24">
      <c r="B24" s="285" t="n"/>
      <c r="C24" s="504" t="n"/>
      <c r="D24" s="504" t="n"/>
      <c r="E24" s="504" t="n"/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0"/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0"/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0"/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4"/>
    <row r="115"/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5"/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8"/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69"/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8"/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1"/>
    <row r="182"/>
    <row r="183"/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3"/>
    <row r="234"/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5"/>
    <row r="256"/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–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–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–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–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–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–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–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–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–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–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–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–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–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–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–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–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–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–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–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–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–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–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–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–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–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–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–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–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–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–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–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–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–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–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–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–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–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–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–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–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–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–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–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–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–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–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–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–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–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–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–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–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24" customWidth="1" min="33" max="33"/>
    <col width="18" customWidth="1" min="34" max="34"/>
    <col width="20" customWidth="1" min="35" max="35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Canonical squad</t>
        </is>
      </c>
      <c r="AA1" s="1208" t="inlineStr">
        <is>
          <t>Name on 1.x design tab</t>
        </is>
      </c>
      <c r="AC1" s="1208" t="inlineStr">
        <is>
          <t>Lever</t>
        </is>
      </c>
      <c r="AD1" s="1208" t="inlineStr">
        <is>
          <t>Cost factor</t>
        </is>
      </c>
      <c r="AF1" s="1208" t="inlineStr">
        <is>
          <t>Shared role class</t>
        </is>
      </c>
      <c r="AG1" s="1208" t="inlineStr">
        <is>
          <t>Allowance per portfolio ($m)</t>
        </is>
      </c>
      <c r="AH1" s="1208" t="inlineStr">
        <is>
          <t>Portfolios charged</t>
        </is>
      </c>
      <c r="AI1" s="1208" t="inlineStr">
        <is>
          <t>Allowance total ($m)</t>
        </is>
      </c>
      <c r="AK1" s="1208" t="inlineStr">
        <is>
          <t>0.2 Data Config budget line</t>
        </is>
      </c>
      <c r="AL1" s="1208" t="inlineStr">
        <is>
          <t>Portfolio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'3.3 FTE View'!$G$22</f>
        <v>3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Z2" t="inlineStr">
        <is>
          <t>Z Loyalty &amp; Martech</t>
        </is>
      </c>
      <c r="AA2" t="inlineStr">
        <is>
          <t>Z Energy Martech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 t="n">
        <v>0.1375</v>
      </c>
      <c r="AH2" t="n">
        <v>10</v>
      </c>
      <c r="AI2">
        <f>$AG2*$AH2</f>
        <v>1.375</v>
      </c>
      <c r="AK2" t="inlineStr">
        <is>
          <t>Ampol Retail</t>
        </is>
      </c>
      <c r="AL2" t="inlineStr">
        <is>
          <t>Ampol Retail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'3.3 FTE View'!$G$36</f>
        <v>11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Z3" t="inlineStr">
        <is>
          <t>Cloud, Network &amp; Infra Ops</t>
        </is>
      </c>
      <c r="AA3" t="inlineStr">
        <is>
          <t>Network &amp; Infrastructure</t>
        </is>
      </c>
      <c r="AC3" t="inlineStr">
        <is>
          <t>Hire</t>
        </is>
      </c>
      <c r="AD3" t="n">
        <v>1</v>
      </c>
      <c r="AF3" t="inlineStr">
        <is>
          <t>Leadership</t>
        </is>
      </c>
      <c r="AG3" t="n">
        <v>0.3</v>
      </c>
      <c r="AH3" t="n">
        <v>10</v>
      </c>
      <c r="AI3">
        <f>$AG3*$AH3</f>
        <v>3</v>
      </c>
      <c r="AK3" t="inlineStr">
        <is>
          <t>Z Retail</t>
        </is>
      </c>
      <c r="AL3" t="inlineStr">
        <is>
          <t>Z Retail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'3.3 FTE View'!$G$43</f>
        <v>5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Z4" t="inlineStr">
        <is>
          <t>Integration &amp; Process Automation</t>
        </is>
      </c>
      <c r="AA4" t="inlineStr">
        <is>
          <t>Integration</t>
        </is>
      </c>
      <c r="AC4" t="inlineStr">
        <is>
          <t>Hold</t>
        </is>
      </c>
      <c r="AD4" t="n">
        <v>0</v>
      </c>
      <c r="AF4" t="inlineStr">
        <is>
          <t>Business Partner</t>
        </is>
      </c>
      <c r="AG4" t="n">
        <v>0.22</v>
      </c>
      <c r="AH4" t="n">
        <v>10</v>
      </c>
      <c r="AI4">
        <f>$AG4*$AH4</f>
        <v>2.2</v>
      </c>
      <c r="AK4" t="inlineStr">
        <is>
          <t>Ampol Customer</t>
        </is>
      </c>
      <c r="AL4" t="inlineStr">
        <is>
          <t>Customer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'3.3 FTE View'!$G$51</f>
        <v>1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Z5" t="inlineStr">
        <is>
          <t>Manufacturing Group Projects</t>
        </is>
      </c>
      <c r="AA5" t="inlineStr">
        <is>
          <t>Manufacturing &amp; Group Projects</t>
        </is>
      </c>
      <c r="AC5" t="inlineStr">
        <is>
          <t>Offshore</t>
        </is>
      </c>
      <c r="AD5" t="n">
        <v>0.4</v>
      </c>
      <c r="AF5" t="inlineStr">
        <is>
          <t>Architecture</t>
        </is>
      </c>
      <c r="AG5" t="n">
        <v>0.14</v>
      </c>
      <c r="AH5" t="n">
        <v>10</v>
      </c>
      <c r="AI5">
        <f>$AG5*$AH5</f>
        <v>1.4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'3.3 FTE View'!$G$57</f>
        <v>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Z6" t="inlineStr">
        <is>
          <t>SAP ERP</t>
        </is>
      </c>
      <c r="AA6" t="inlineStr">
        <is>
          <t>AU Finance</t>
        </is>
      </c>
      <c r="AF6" s="1208" t="inlineStr">
        <is>
          <t>Total</t>
        </is>
      </c>
      <c r="AI6" s="1208">
        <f>SUM(AI2:AI5)</f>
        <v>7.975</v>
      </c>
      <c r="AK6" t="inlineStr">
        <is>
          <t>TDD Data</t>
        </is>
      </c>
      <c r="AL6" t="inlineStr">
        <is>
          <t>Enterprise Data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'3.3 FTE View'!$G$63</f>
        <v>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Z7" t="inlineStr">
        <is>
          <t>DevOps &amp; QE</t>
        </is>
      </c>
      <c r="AA7" t="inlineStr">
        <is>
          <t>DevOps &amp; Engineering</t>
        </is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'3.3 FTE View'!$G$71</f>
        <v>9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Z8" t="inlineStr">
        <is>
          <t>Ampol Loyalty &amp; Martech</t>
        </is>
      </c>
      <c r="AA8" t="inlineStr">
        <is>
          <t>AU CRM &amp; Martech</t>
        </is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'3.3 FTE View'!$G$77</f>
        <v>17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Z9" t="inlineStr">
        <is>
          <t>Network &amp; QSR</t>
        </is>
      </c>
      <c r="AA9" t="inlineStr">
        <is>
          <t>Network / QSR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'3.3 FTE View'!$G$85</f>
        <v>3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Z10" t="inlineStr">
        <is>
          <t>P&amp;C RTA</t>
        </is>
      </c>
      <c r="AA10" t="inlineStr">
        <is>
          <t>P&amp;C - RTA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'3.3 FTE View'!$G$93</f>
        <v>17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Z11" t="inlineStr">
        <is>
          <t>Z App and Web</t>
        </is>
      </c>
      <c r="AA11" t="inlineStr">
        <is>
          <t>Z Energy Apps</t>
        </is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TDD Cyber</t>
        </is>
      </c>
      <c r="K12" s="949">
        <f>'3.3 FTE View'!$G$96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n"/>
      <c r="K13" s="949" t="n"/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K13" t="inlineStr">
        <is>
          <t>COE - Cyber, Risk &amp; Service Ops (see 1.13)</t>
        </is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n"/>
      <c r="K14" s="949" t="n"/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n"/>
      <c r="K15" s="949" t="n"/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2026-07-25T14:34:48Z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