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visible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hidden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5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  <numFmt numFmtId="187" formatCode="#,##0;[Red](#,##0);&quot;-&quot;"/>
    <numFmt numFmtId="188" formatCode="#,##0.00;[Red](#,##0.00);&quot;-&quot;"/>
  </numFmts>
  <fonts count="9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  <font>
      <b val="1"/>
      <color rgb="FFFFFFFF"/>
    </font>
    <font/>
    <font>
      <b val="1"/>
      <color rgb="FF1F4E79"/>
    </font>
  </fonts>
  <fills count="53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395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  <xf numFmtId="0" fontId="95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horizontal="right" vertical="center"/>
    </xf>
    <xf numFmtId="0" fontId="94" fillId="0" borderId="102" applyAlignment="1" pivotButton="0" quotePrefix="0" xfId="0">
      <alignment horizontal="center" vertical="center"/>
    </xf>
    <xf numFmtId="0" fontId="96" fillId="50" borderId="101" applyAlignment="1" pivotButton="0" quotePrefix="0" xfId="0">
      <alignment vertical="bottom" wrapText="1"/>
    </xf>
    <xf numFmtId="0" fontId="96" fillId="50" borderId="0" applyAlignment="1" pivotButton="0" quotePrefix="0" xfId="0">
      <alignment vertical="bottom" wrapText="1"/>
    </xf>
    <xf numFmtId="187" fontId="57" fillId="44" borderId="101" applyAlignment="1" pivotButton="0" quotePrefix="0" xfId="0">
      <alignment horizontal="center" vertical="center"/>
    </xf>
    <xf numFmtId="187" fontId="57" fillId="0" borderId="101" applyAlignment="1" pivotButton="0" quotePrefix="0" xfId="0">
      <alignment horizontal="center" vertical="center"/>
    </xf>
    <xf numFmtId="187" fontId="57" fillId="0" borderId="101" pivotButton="0" quotePrefix="0" xfId="0"/>
    <xf numFmtId="188" fontId="57" fillId="0" borderId="101" applyAlignment="1" pivotButton="0" quotePrefix="0" xfId="0">
      <alignment horizontal="right"/>
    </xf>
    <xf numFmtId="188" fontId="57" fillId="44" borderId="101" applyAlignment="1" pivotButton="0" quotePrefix="0" xfId="0">
      <alignment horizontal="center" vertical="center"/>
    </xf>
    <xf numFmtId="188" fontId="0" fillId="0" borderId="0" pivotButton="0" quotePrefix="0" xfId="0"/>
    <xf numFmtId="187" fontId="68" fillId="43" borderId="101" applyAlignment="1" pivotButton="0" quotePrefix="0" xfId="0">
      <alignment horizontal="center" vertical="center"/>
    </xf>
    <xf numFmtId="187" fontId="68" fillId="43" borderId="101" pivotButton="0" quotePrefix="0" xfId="0"/>
    <xf numFmtId="188" fontId="68" fillId="43" borderId="101" applyAlignment="1" pivotButton="0" quotePrefix="0" xfId="0">
      <alignment horizontal="right"/>
    </xf>
    <xf numFmtId="188" fontId="68" fillId="43" borderId="101" pivotButton="0" quotePrefix="0" xfId="0"/>
    <xf numFmtId="0" fontId="94" fillId="51" borderId="102" applyAlignment="1" pivotButton="0" quotePrefix="0" xfId="0">
      <alignment vertical="bottom" wrapText="1"/>
    </xf>
    <xf numFmtId="188" fontId="57" fillId="44" borderId="101" applyAlignment="1" pivotButton="0" quotePrefix="0" xfId="0">
      <alignment horizontal="right"/>
    </xf>
    <xf numFmtId="187" fontId="0" fillId="0" borderId="102" pivotButton="0" quotePrefix="0" xfId="0"/>
    <xf numFmtId="187" fontId="57" fillId="0" borderId="102" applyAlignment="1" pivotButton="0" quotePrefix="0" xfId="0">
      <alignment horizontal="right"/>
    </xf>
    <xf numFmtId="188" fontId="0" fillId="0" borderId="102" pivotButton="0" quotePrefix="0" xfId="0"/>
    <xf numFmtId="0" fontId="94" fillId="51" borderId="101" applyAlignment="1" pivotButton="0" quotePrefix="0" xfId="0">
      <alignment vertical="bottom" wrapText="1"/>
    </xf>
    <xf numFmtId="3" fontId="48" fillId="0" borderId="102" pivotButton="0" quotePrefix="0" xfId="10"/>
    <xf numFmtId="3" fontId="11" fillId="0" borderId="102" pivotButton="0" quotePrefix="0" xfId="0"/>
    <xf numFmtId="3" fontId="48" fillId="0" borderId="102" pivotButton="0" quotePrefix="0" xfId="0"/>
    <xf numFmtId="173" fontId="94" fillId="51" borderId="102" applyAlignment="1" pivotButton="0" quotePrefix="0" xfId="0">
      <alignment vertical="bottom" wrapText="1"/>
    </xf>
    <xf numFmtId="0" fontId="96" fillId="50" borderId="102" applyAlignment="1" pivotButton="0" quotePrefix="0" xfId="0">
      <alignment vertical="bottom" wrapText="1"/>
    </xf>
    <xf numFmtId="187" fontId="57" fillId="0" borderId="101" applyAlignment="1" pivotButton="0" quotePrefix="0" xfId="0">
      <alignment vertical="center"/>
    </xf>
    <xf numFmtId="187" fontId="57" fillId="0" borderId="101" applyAlignment="1" pivotButton="0" quotePrefix="0" xfId="0">
      <alignment horizontal="right" vertical="center"/>
    </xf>
    <xf numFmtId="187" fontId="0" fillId="0" borderId="0" pivotButton="0" quotePrefix="0" xfId="0"/>
    <xf numFmtId="0" fontId="94" fillId="51" borderId="0" applyAlignment="1" pivotButton="0" quotePrefix="0" xfId="0">
      <alignment vertical="bottom" wrapText="1"/>
    </xf>
    <xf numFmtId="3" fontId="0" fillId="0" borderId="0" pivotButton="0" quotePrefix="0" xfId="0"/>
    <xf numFmtId="0" fontId="95" fillId="0" borderId="61" pivotButton="0" quotePrefix="0" xfId="12"/>
    <xf numFmtId="0" fontId="95" fillId="0" borderId="102" applyAlignment="1" pivotButton="0" quotePrefix="0" xfId="0">
      <alignment vertical="center"/>
    </xf>
    <xf numFmtId="0" fontId="94" fillId="43" borderId="99" pivotButton="0" quotePrefix="0" xfId="0"/>
    <xf numFmtId="0" fontId="95" fillId="0" borderId="99" applyAlignment="1" pivotButton="0" quotePrefix="0" xfId="0">
      <alignment horizontal="left" vertical="center"/>
    </xf>
    <xf numFmtId="187" fontId="67" fillId="0" borderId="102" pivotButton="0" quotePrefix="0" xfId="0"/>
    <xf numFmtId="187" fontId="60" fillId="0" borderId="102" pivotButton="0" quotePrefix="0" xfId="0"/>
    <xf numFmtId="187" fontId="48" fillId="0" borderId="102" pivotButton="0" quotePrefix="0" xfId="0"/>
    <xf numFmtId="188" fontId="48" fillId="0" borderId="102" pivotButton="0" quotePrefix="0" xfId="0"/>
    <xf numFmtId="0" fontId="95" fillId="51" borderId="102" applyAlignment="1" pivotButton="0" quotePrefix="0" xfId="0">
      <alignment vertical="bottom" wrapText="1"/>
    </xf>
    <xf numFmtId="0" fontId="95" fillId="45" borderId="101" pivotButton="0" quotePrefix="0" xfId="0"/>
    <xf numFmtId="3" fontId="94" fillId="51" borderId="102" applyAlignment="1" pivotButton="0" quotePrefix="0" xfId="0">
      <alignment vertical="bottom" wrapText="1"/>
    </xf>
    <xf numFmtId="187" fontId="47" fillId="0" borderId="102" pivotButton="0" quotePrefix="0" xfId="0"/>
    <xf numFmtId="187" fontId="61" fillId="0" borderId="102" pivotButton="0" quotePrefix="0" xfId="0"/>
    <xf numFmtId="187" fontId="67" fillId="47" borderId="101" applyAlignment="1" pivotButton="0" quotePrefix="0" xfId="0">
      <alignment horizontal="center" vertical="center"/>
    </xf>
    <xf numFmtId="187" fontId="94" fillId="51" borderId="101" applyAlignment="1" pivotButton="0" quotePrefix="0" xfId="0">
      <alignment vertical="bottom" wrapText="1"/>
    </xf>
    <xf numFmtId="187" fontId="94" fillId="51" borderId="102" applyAlignment="1" pivotButton="0" quotePrefix="0" xfId="0">
      <alignment vertical="bottom" wrapText="1"/>
    </xf>
    <xf numFmtId="3" fontId="94" fillId="51" borderId="102" applyAlignment="1" pivotButton="0" quotePrefix="0" xfId="10">
      <alignment vertical="bottom" wrapText="1"/>
    </xf>
    <xf numFmtId="3" fontId="57" fillId="0" borderId="101" pivotButton="0" quotePrefix="0" xfId="0"/>
    <xf numFmtId="0" fontId="95" fillId="42" borderId="101" pivotButton="0" quotePrefix="0" xfId="0"/>
    <xf numFmtId="0" fontId="95" fillId="51" borderId="101" applyAlignment="1" pivotButton="0" quotePrefix="0" xfId="0">
      <alignment vertical="bottom" wrapText="1"/>
    </xf>
    <xf numFmtId="0" fontId="94" fillId="47" borderId="101" applyAlignment="1" pivotButton="0" quotePrefix="0" xfId="0">
      <alignment horizontal="center" vertical="center"/>
    </xf>
    <xf numFmtId="3" fontId="94" fillId="51" borderId="0" applyAlignment="1" pivotButton="0" quotePrefix="0" xfId="0">
      <alignment vertical="bottom" wrapText="1"/>
    </xf>
    <xf numFmtId="3" fontId="67" fillId="0" borderId="102" pivotButton="0" quotePrefix="0" xfId="0"/>
    <xf numFmtId="0" fontId="97" fillId="0" borderId="102" pivotButton="0" quotePrefix="0" xfId="0"/>
    <xf numFmtId="0" fontId="97" fillId="0" borderId="102" applyAlignment="1" pivotButton="0" quotePrefix="0" xfId="11">
      <alignment vertical="top" wrapText="1"/>
    </xf>
    <xf numFmtId="0" fontId="97" fillId="0" borderId="61" pivotButton="0" quotePrefix="0" xfId="12"/>
    <xf numFmtId="0" fontId="97" fillId="2" borderId="101" applyAlignment="1" pivotButton="0" quotePrefix="0" xfId="0">
      <alignment horizontal="left" vertical="center"/>
    </xf>
    <xf numFmtId="0" fontId="97" fillId="47" borderId="101" applyAlignment="1" pivotButton="0" quotePrefix="0" xfId="0">
      <alignment horizontal="center" vertical="center" wrapText="1"/>
    </xf>
    <xf numFmtId="178" fontId="97" fillId="0" borderId="102" pivotButton="0" quotePrefix="0" xfId="0"/>
    <xf numFmtId="0" fontId="97" fillId="0" borderId="101" applyAlignment="1" pivotButton="0" quotePrefix="0" xfId="0">
      <alignment vertical="center"/>
    </xf>
    <xf numFmtId="0" fontId="97" fillId="0" borderId="102" applyAlignment="1" pivotButton="0" quotePrefix="0" xfId="0">
      <alignment horizontal="left" vertical="center"/>
    </xf>
    <xf numFmtId="0" fontId="97" fillId="0" borderId="102" applyAlignment="1" pivotButton="0" quotePrefix="0" xfId="0">
      <alignment vertical="center"/>
    </xf>
    <xf numFmtId="0" fontId="97" fillId="0" borderId="102" applyAlignment="1" pivotButton="0" quotePrefix="0" xfId="0">
      <alignment vertical="center" wrapText="1"/>
    </xf>
    <xf numFmtId="0" fontId="97" fillId="36" borderId="99" applyAlignment="1" pivotButton="0" quotePrefix="0" xfId="0">
      <alignment horizontal="left" vertical="center"/>
    </xf>
    <xf numFmtId="0" fontId="97" fillId="0" borderId="99" applyAlignment="1" pivotButton="0" quotePrefix="0" xfId="0">
      <alignment horizontal="left" vertical="center"/>
    </xf>
    <xf numFmtId="0" fontId="97" fillId="36" borderId="101" applyAlignment="1" pivotButton="0" quotePrefix="0" xfId="0">
      <alignment vertical="center"/>
    </xf>
    <xf numFmtId="0" fontId="97" fillId="47" borderId="102" pivotButton="0" quotePrefix="0" xfId="0"/>
    <xf numFmtId="0" fontId="97" fillId="43" borderId="101" pivotButton="0" quotePrefix="0" xfId="0"/>
    <xf numFmtId="0" fontId="97" fillId="51" borderId="102" applyAlignment="1" pivotButton="0" quotePrefix="0" xfId="0">
      <alignment vertical="bottom" wrapText="1"/>
    </xf>
    <xf numFmtId="0" fontId="97" fillId="47" borderId="101" applyAlignment="1" pivotButton="0" quotePrefix="0" xfId="0">
      <alignment horizontal="center" vertical="center"/>
    </xf>
    <xf numFmtId="0" fontId="97" fillId="45" borderId="101" pivotButton="0" quotePrefix="0" xfId="0"/>
    <xf numFmtId="0" fontId="97" fillId="0" borderId="101" pivotButton="0" quotePrefix="0" xfId="0"/>
    <xf numFmtId="0" fontId="97" fillId="42" borderId="101" pivotButton="0" quotePrefix="0" xfId="0"/>
    <xf numFmtId="0" fontId="97" fillId="51" borderId="101" applyAlignment="1" pivotButton="0" quotePrefix="0" xfId="0">
      <alignment vertical="bottom" wrapText="1"/>
    </xf>
    <xf numFmtId="0" fontId="97" fillId="0" borderId="0" pivotButton="0" quotePrefix="0" xfId="0"/>
    <xf numFmtId="0" fontId="0" fillId="52" borderId="0" pivotButton="0" quotePrefix="0" xfId="0"/>
    <xf numFmtId="0" fontId="94" fillId="47" borderId="99" applyAlignment="1" pivotButton="0" quotePrefix="0" xfId="0">
      <alignment horizontal="left" vertical="center"/>
    </xf>
    <xf numFmtId="0" fontId="94" fillId="43" borderId="99" applyAlignment="1" pivotButton="0" quotePrefix="0" xfId="0">
      <alignment horizontal="left" vertical="center"/>
    </xf>
    <xf numFmtId="167" fontId="43" fillId="52" borderId="101" pivotButton="0" quotePrefix="0" xfId="0"/>
    <xf numFmtId="167" fontId="58" fillId="52" borderId="101" pivotButton="0" quotePrefix="0" xfId="0"/>
    <xf numFmtId="167" fontId="43" fillId="52" borderId="61" pivotButton="0" quotePrefix="0" xfId="0"/>
    <xf numFmtId="167" fontId="42" fillId="52" borderId="101" pivotButton="0" quotePrefix="0" xfId="0"/>
    <xf numFmtId="167" fontId="58" fillId="52" borderId="61" pivotButton="0" quotePrefix="0" xfId="0"/>
    <xf numFmtId="0" fontId="89" fillId="52" borderId="0" pivotButton="0" quotePrefix="0" xfId="0"/>
    <xf numFmtId="167" fontId="42" fillId="52" borderId="61" pivotButton="0" quotePrefix="0" xfId="0"/>
    <xf numFmtId="167" fontId="61" fillId="52" borderId="99" applyAlignment="1" pivotButton="0" quotePrefix="0" xfId="0">
      <alignment horizontal="right" vertical="center"/>
    </xf>
    <xf numFmtId="2" fontId="57" fillId="52" borderId="101" applyAlignment="1" pivotButton="0" quotePrefix="0" xfId="0">
      <alignment horizontal="right" vertical="center"/>
    </xf>
    <xf numFmtId="0" fontId="94" fillId="31" borderId="99" applyAlignment="1" pivotButton="0" quotePrefix="0" xfId="0">
      <alignment horizontal="left" vertical="center"/>
    </xf>
    <xf numFmtId="0" fontId="98" fillId="36" borderId="101" applyAlignment="1" pivotButton="0" quotePrefix="0" xfId="0">
      <alignment vertical="center"/>
    </xf>
    <xf numFmtId="187" fontId="71" fillId="0" borderId="99" applyAlignment="1" pivotButton="0" quotePrefix="0" xfId="0">
      <alignment horizontal="right" vertical="center"/>
    </xf>
    <xf numFmtId="188" fontId="71" fillId="0" borderId="99" applyAlignment="1" pivotButton="0" quotePrefix="0" xfId="0">
      <alignment horizontal="right" vertical="center"/>
    </xf>
    <xf numFmtId="188" fontId="71" fillId="0" borderId="102" applyAlignment="1" pivotButton="0" quotePrefix="0" xfId="0">
      <alignment horizontal="right" vertical="center"/>
    </xf>
    <xf numFmtId="0" fontId="98" fillId="36" borderId="99" applyAlignment="1" pivotButton="0" quotePrefix="0" xfId="0">
      <alignment horizontal="left" vertical="center"/>
    </xf>
    <xf numFmtId="188" fontId="47" fillId="0" borderId="99" applyAlignment="1" pivotButton="0" quotePrefix="0" xfId="0">
      <alignment horizontal="right" vertical="center"/>
    </xf>
    <xf numFmtId="0" fontId="98" fillId="37" borderId="99" applyAlignment="1" pivotButton="0" quotePrefix="0" xfId="0">
      <alignment horizontal="left" vertical="center"/>
    </xf>
    <xf numFmtId="187" fontId="47" fillId="0" borderId="99" applyAlignment="1" pivotButton="0" quotePrefix="0" xfId="0">
      <alignment horizontal="right" vertical="center"/>
    </xf>
    <xf numFmtId="169" fontId="47" fillId="0" borderId="99" applyAlignment="1" pivotButton="0" quotePrefix="0" xfId="0">
      <alignment horizontal="right" vertical="center"/>
    </xf>
    <xf numFmtId="187" fontId="58" fillId="46" borderId="99" applyAlignment="1" pivotButton="0" quotePrefix="0" xfId="0">
      <alignment horizontal="center" vertical="center"/>
    </xf>
    <xf numFmtId="188" fontId="9" fillId="0" borderId="101" pivotButton="0" quotePrefix="0" xfId="0"/>
    <xf numFmtId="188" fontId="10" fillId="9" borderId="101" pivotButton="0" quotePrefix="0" xfId="0"/>
    <xf numFmtId="187" fontId="9" fillId="0" borderId="101" pivotButton="0" quotePrefix="0" xfId="0"/>
    <xf numFmtId="188" fontId="57" fillId="0" borderId="101" applyAlignment="1" pivotButton="0" quotePrefix="0" xfId="0">
      <alignment horizontal="right" vertical="center"/>
    </xf>
    <xf numFmtId="188" fontId="57" fillId="0" borderId="102" pivotButton="0" quotePrefix="0" xfId="0"/>
    <xf numFmtId="187" fontId="57" fillId="0" borderId="102" pivotButton="0" quotePrefix="0" xfId="0"/>
    <xf numFmtId="188" fontId="57" fillId="0" borderId="102" applyAlignment="1" pivotButton="0" quotePrefix="0" xfId="0">
      <alignment horizontal="right" vertical="center"/>
    </xf>
    <xf numFmtId="187" fontId="10" fillId="9" borderId="101" pivotButton="0" quotePrefix="0" xfId="0"/>
    <xf numFmtId="188" fontId="68" fillId="42" borderId="101" applyAlignment="1" pivotButton="0" quotePrefix="0" xfId="0">
      <alignment horizontal="right" vertical="center"/>
    </xf>
    <xf numFmtId="188" fontId="57" fillId="0" borderId="101" applyAlignment="1" pivotButton="0" quotePrefix="0" xfId="0">
      <alignment vertical="center"/>
    </xf>
    <xf numFmtId="188" fontId="97" fillId="0" borderId="102" pivotButton="0" quotePrefix="0" xfId="0"/>
    <xf numFmtId="187" fontId="57" fillId="0" borderId="102" applyAlignment="1" pivotButton="0" quotePrefix="0" xfId="0">
      <alignment horizontal="right" vertical="center"/>
    </xf>
    <xf numFmtId="187" fontId="94" fillId="0" borderId="102" applyAlignment="1" pivotButton="0" quotePrefix="0" xfId="0">
      <alignment vertical="bottom" wrapText="1"/>
    </xf>
    <xf numFmtId="188" fontId="94" fillId="0" borderId="102" applyAlignment="1" pivotButton="0" quotePrefix="0" xfId="0">
      <alignment vertical="bottom" wrapText="1"/>
    </xf>
    <xf numFmtId="187" fontId="57" fillId="0" borderId="102" applyAlignment="1" pivotButton="0" quotePrefix="0" xfId="0">
      <alignment horizontal="center" vertical="center"/>
    </xf>
    <xf numFmtId="188" fontId="57" fillId="0" borderId="102" applyAlignment="1" pivotButton="0" quotePrefix="0" xfId="0">
      <alignment horizontal="center" vertical="center"/>
    </xf>
    <xf numFmtId="188" fontId="60" fillId="47" borderId="99" applyAlignment="1" pivotButton="0" quotePrefix="0" xfId="0">
      <alignment horizontal="center" vertical="center"/>
    </xf>
    <xf numFmtId="187" fontId="60" fillId="47" borderId="99" applyAlignment="1" pivotButton="0" quotePrefix="0" xfId="0">
      <alignment horizontal="center" vertical="center"/>
    </xf>
    <xf numFmtId="169" fontId="60" fillId="47" borderId="99" applyAlignment="1" pivotButton="0" quotePrefix="0" xfId="0">
      <alignment horizontal="center" vertical="center"/>
    </xf>
    <xf numFmtId="188" fontId="61" fillId="0" borderId="99" applyAlignment="1" pivotButton="0" quotePrefix="0" xfId="0">
      <alignment horizontal="left" vertical="center"/>
    </xf>
    <xf numFmtId="187" fontId="61" fillId="0" borderId="99" applyAlignment="1" pivotButton="0" quotePrefix="0" xfId="0">
      <alignment horizontal="center" vertical="center"/>
    </xf>
    <xf numFmtId="169" fontId="61" fillId="0" borderId="99" applyAlignment="1" pivotButton="0" quotePrefix="0" xfId="0">
      <alignment horizontal="center" vertical="center"/>
    </xf>
    <xf numFmtId="188" fontId="47" fillId="37" borderId="99" applyAlignment="1" pivotButton="0" quotePrefix="0" xfId="0">
      <alignment horizontal="left" vertical="center"/>
    </xf>
    <xf numFmtId="188" fontId="47" fillId="37" borderId="99" pivotButton="0" quotePrefix="0" xfId="0"/>
    <xf numFmtId="187" fontId="47" fillId="37" borderId="99" pivotButton="0" quotePrefix="0" xfId="0"/>
    <xf numFmtId="187" fontId="47" fillId="37" borderId="99" applyAlignment="1" pivotButton="0" quotePrefix="0" xfId="0">
      <alignment horizontal="center" vertical="center"/>
    </xf>
    <xf numFmtId="169" fontId="47" fillId="37" borderId="99" applyAlignment="1" pivotButton="0" quotePrefix="0" xfId="0">
      <alignment horizontal="center" vertical="center"/>
    </xf>
    <xf numFmtId="188" fontId="94" fillId="37" borderId="99" applyAlignment="1" pivotButton="0" quotePrefix="0" xfId="0">
      <alignment horizontal="left" vertical="center"/>
    </xf>
    <xf numFmtId="188" fontId="47" fillId="43" borderId="99" pivotButton="0" quotePrefix="0" xfId="0"/>
    <xf numFmtId="187" fontId="47" fillId="43" borderId="99" pivotButton="0" quotePrefix="0" xfId="0"/>
    <xf numFmtId="187" fontId="47" fillId="43" borderId="99" applyAlignment="1" pivotButton="0" quotePrefix="0" xfId="0">
      <alignment horizontal="center" vertical="center"/>
    </xf>
    <xf numFmtId="169" fontId="47" fillId="43" borderId="99" applyAlignment="1" pivotButton="0" quotePrefix="0" xfId="0">
      <alignment horizontal="center" vertical="center"/>
    </xf>
    <xf numFmtId="188" fontId="94" fillId="0" borderId="99" applyAlignment="1" pivotButton="0" quotePrefix="0" xfId="0">
      <alignment horizontal="left" vertical="center"/>
    </xf>
    <xf numFmtId="188" fontId="94" fillId="43" borderId="99" pivotButton="0" quotePrefix="0" xfId="0"/>
    <xf numFmtId="188" fontId="60" fillId="36" borderId="99" pivotButton="0" quotePrefix="0" xfId="0"/>
    <xf numFmtId="187" fontId="60" fillId="36" borderId="99" pivotButton="0" quotePrefix="0" xfId="0"/>
    <xf numFmtId="187" fontId="60" fillId="36" borderId="99" applyAlignment="1" pivotButton="0" quotePrefix="0" xfId="0">
      <alignment horizontal="center" vertical="center"/>
    </xf>
    <xf numFmtId="169" fontId="60" fillId="36" borderId="99" applyAlignment="1" pivotButton="0" quotePrefix="0" xfId="0">
      <alignment horizontal="center" vertical="center"/>
    </xf>
    <xf numFmtId="188" fontId="94" fillId="0" borderId="0" pivotButton="0" quotePrefix="0" xfId="0"/>
    <xf numFmtId="169" fontId="0" fillId="0" borderId="0" pivotButton="0" quotePrefix="0" xfId="0"/>
    <xf numFmtId="169" fontId="60" fillId="36" borderId="99" pivotButton="0" quotePrefix="0" xfId="0"/>
    <xf numFmtId="188" fontId="94" fillId="47" borderId="99" applyAlignment="1" pivotButton="0" quotePrefix="0" xfId="0">
      <alignment horizontal="center" vertical="center"/>
    </xf>
    <xf numFmtId="169" fontId="0" fillId="0" borderId="102" pivotButton="0" quotePrefix="0" xfId="0"/>
    <xf numFmtId="188" fontId="94" fillId="31" borderId="99" applyAlignment="1" pivotButton="0" quotePrefix="0" xfId="0">
      <alignment horizontal="left" vertical="center"/>
    </xf>
    <xf numFmtId="188" fontId="0" fillId="0" borderId="102" applyAlignment="1" pivotButton="0" quotePrefix="0" xfId="0">
      <alignment horizontal="right"/>
    </xf>
    <xf numFmtId="187" fontId="68" fillId="42" borderId="101" applyAlignment="1" pivotButton="0" quotePrefix="0" xfId="0">
      <alignment horizontal="center" vertical="center"/>
    </xf>
    <xf numFmtId="187" fontId="68" fillId="42" borderId="101" applyAlignment="1" pivotButton="0" quotePrefix="0" xfId="0">
      <alignment horizontal="right" vertical="center"/>
    </xf>
    <xf numFmtId="187" fontId="68" fillId="0" borderId="101" applyAlignment="1" pivotButton="0" quotePrefix="0" xfId="0">
      <alignment horizontal="center" vertical="center"/>
    </xf>
    <xf numFmtId="0" fontId="96" fillId="50" borderId="99" applyAlignment="1" pivotButton="0" quotePrefix="0" xfId="0">
      <alignment vertical="bottom" wrapText="1"/>
    </xf>
    <xf numFmtId="188" fontId="61" fillId="0" borderId="99" applyAlignment="1" pivotButton="0" quotePrefix="0" xfId="0">
      <alignment horizontal="center" vertical="center"/>
    </xf>
    <xf numFmtId="188" fontId="47" fillId="31" borderId="99" applyAlignment="1" pivotButton="0" quotePrefix="0" xfId="0">
      <alignment horizontal="center" vertical="center"/>
    </xf>
    <xf numFmtId="188" fontId="47" fillId="36" borderId="99" pivotButton="0" quotePrefix="0" xfId="0"/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50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9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133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what the squad archetypes allow (roles)</t>
        </is>
      </c>
      <c r="C5" s="1334">
        <f>'3.2 Total Cost'!$I$16</f>
        <v>299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(all 525)</t>
        </is>
      </c>
      <c r="C6" s="1334">
        <f>'3.2 Total Cost'!$C$21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organisation costs today ($m)</t>
        </is>
      </c>
      <c r="C7" s="1335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Delivery squads over the archetype by ($m)</t>
        </is>
      </c>
      <c r="C8" s="1335">
        <f>'3.2 Total Cost'!$K$16</f>
        <v>11.4876985951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value on the table - cost of every vacancy ($m)</t>
        </is>
      </c>
      <c r="C9" s="1336">
        <f>SUMIFS('REVIEW - Complete Role Mapping'!$AA$2:$AA$528,'REVIEW - Complete Role Mapping'!$AK$2:$AK$528,"Vacant")/1000000</f>
        <v>28.534492086</v>
      </c>
      <c r="D9" s="949" t="n"/>
      <c r="E9" s="949" t="n"/>
      <c r="F9" s="949" t="n"/>
      <c r="G9" s="949" t="n"/>
    </row>
    <row r="10">
      <c r="B10" s="1337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Overhead is compared to its allowance, never added to a portfolio. The 8 GMs are the only overhead line with no role in the ledger.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carry no rate in 0.3, so they show no archetype comparison until one is set.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Delivery squads and overhead roles are separated on every 2.x tab, so archetype and actual always compare the same people.</t>
        </is>
      </c>
      <c r="C15" s="287" t="n"/>
      <c r="D15" s="287" t="n"/>
      <c r="E15" s="287" t="n"/>
      <c r="F15" s="287" t="n"/>
      <c r="G15" s="287" t="n"/>
    </row>
    <row r="16"/>
    <row r="17">
      <c r="B17" s="1337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1338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and COEs ($m)</t>
        </is>
      </c>
      <c r="C20" s="1338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1338">
        <f>'0.2 Data Config'!$E$27-'3.1 Group Summary'!$C$20</f>
        <v>3.3</v>
      </c>
      <c r="D21" s="949" t="n"/>
      <c r="E21" s="949" t="n"/>
      <c r="F21" s="949" t="n"/>
      <c r="G21" s="949" t="n"/>
    </row>
    <row r="22">
      <c r="B22" s="1339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portfolios with an archetype ($m)</t>
        </is>
      </c>
      <c r="C23" s="1338">
        <f>'3.2 Total Cost'!$J$16</f>
        <v>64.2</v>
      </c>
      <c r="D23" s="949" t="n"/>
      <c r="E23" s="949" t="n"/>
      <c r="F23" s="949" t="n"/>
      <c r="G23" s="949" t="n"/>
    </row>
    <row r="24">
      <c r="B24" s="285" t="inlineStr">
        <is>
          <t>Overhead allowance - all six lines from 0.2 Data Config ($m)</t>
        </is>
      </c>
      <c r="C24" s="1338">
        <f>Lists!$AJ$8</f>
        <v>12.925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1338">
        <f>'3.2 Total Cost'!$J$16+Lists!$AJ$8</f>
        <v>77.125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1338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Delivery squads: actual over archetype ($m) - like for like</t>
        </is>
      </c>
      <c r="C27" s="1338">
        <f>'3.2 Total Cost'!$K$16</f>
        <v>11.4876985951</v>
      </c>
      <c r="D27" s="949" t="n"/>
      <c r="E27" s="949" t="n"/>
      <c r="F27" s="949" t="n"/>
      <c r="G27" s="949" t="n"/>
    </row>
    <row r="28">
      <c r="B28" s="285" t="inlineStr">
        <is>
          <t>Overhead: actual over allowance ($m) - like for like</t>
        </is>
      </c>
      <c r="C28" s="1338">
        <f>'3.2 Total Cost'!$H$36</f>
        <v>9.995765991</v>
      </c>
      <c r="D28" s="949" t="n"/>
      <c r="E28" s="949" t="n"/>
      <c r="F28" s="949" t="n"/>
      <c r="G28" s="949" t="n"/>
    </row>
    <row r="29">
      <c r="B29" s="1339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plus vacant ($m)</t>
        </is>
      </c>
      <c r="C30" s="1338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1338">
        <f>SUMIFS('REVIEW - Complete Role Mapping'!$AA$2:$AA$528,'REVIEW - Complete Role Mapping'!$AK$2:$AK$528,"Filled")/1000000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1338">
        <f>SUMIFS('REVIEW - Complete Role Mapping'!$AA$2:$AA$528,'REVIEW - Complete Role Mapping'!$AK$2:$AK$528,"Vacant")/1000000</f>
        <v>28.534492086</v>
      </c>
      <c r="D32" s="949" t="n"/>
      <c r="E32" s="949" t="n"/>
      <c r="F32" s="949" t="n"/>
      <c r="G32" s="949" t="n"/>
    </row>
    <row r="33">
      <c r="B33" s="285" t="inlineStr">
        <is>
          <t>Delivery squad cost ($m)</t>
        </is>
      </c>
      <c r="C33" s="1338">
        <f>'3.2 Total Cost'!$H$21</f>
        <v>103.4590321131</v>
      </c>
      <c r="D33" s="949" t="n"/>
      <c r="E33" s="949" t="n"/>
      <c r="F33" s="949" t="n"/>
      <c r="G33" s="949" t="n"/>
    </row>
    <row r="34"/>
    <row r="35">
      <c r="B35" s="1337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delivery squads</t>
        </is>
      </c>
      <c r="C36" s="1340">
        <f>'3.2 Total Cost'!$I$16</f>
        <v>299</v>
      </c>
      <c r="D36" s="949" t="n"/>
      <c r="E36" s="949" t="n"/>
      <c r="F36" s="949" t="n"/>
      <c r="G36" s="949" t="n"/>
    </row>
    <row r="37">
      <c r="B37" s="285" t="inlineStr">
        <is>
          <t>Delivery squad roles actually raised</t>
        </is>
      </c>
      <c r="C37" s="1340">
        <f>'3.2 Total Cost'!$G$16</f>
        <v>369</v>
      </c>
      <c r="D37" s="949" t="n"/>
      <c r="E37" s="949" t="n"/>
      <c r="F37" s="949" t="n"/>
      <c r="G37" s="949" t="n"/>
    </row>
    <row r="38">
      <c r="B38" s="285" t="inlineStr">
        <is>
          <t>Delivery squad roles beyond the archetype</t>
        </is>
      </c>
      <c r="C38" s="1340">
        <f>'3.2 Total Cost'!$G$16-'3.2 Total Cost'!$I$16</f>
        <v>70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</t>
        </is>
      </c>
      <c r="C39" s="1340">
        <f>'3.2 Total Cost'!$C$21-'3.2 Total Cost'!$C$16</f>
        <v>113</v>
      </c>
      <c r="D39" s="949" t="n"/>
      <c r="E39" s="949" t="n"/>
      <c r="F39" s="949" t="n"/>
      <c r="G39" s="949" t="n"/>
    </row>
    <row r="40">
      <c r="B40" s="285" t="inlineStr">
        <is>
          <t>All org roles</t>
        </is>
      </c>
      <c r="C40" s="1340">
        <f>'3.3 FTE View'!$I$111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1340">
        <f>'3.3 FTE View'!$G$111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1340">
        <f>'3.3 FTE View'!$H$111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1340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1340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1341">
        <f>'3.3 FTE View'!$L$111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7"/>
    <row r="48">
      <c r="B48" s="1337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1338">
        <f>SUMIFS('REVIEW - Complete Role Mapping'!$AA$2:$AA$528,'REVIEW - Complete Role Mapping'!$AK$2:$AK$528,"Filled")/1000000</f>
        <v>86.5787701821</v>
      </c>
      <c r="D49" s="949" t="n"/>
      <c r="E49" s="949" t="n"/>
      <c r="F49" s="949" t="n"/>
      <c r="G49" s="949" t="n"/>
    </row>
    <row r="50">
      <c r="B50" s="285" t="inlineStr">
        <is>
          <t>Delivery squad cost over/(under) the archetype ($m)</t>
        </is>
      </c>
      <c r="C50" s="1338">
        <f>'3.2 Total Cost'!$K$16</f>
        <v>11.4876985951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1338">
        <f>SUMIFS('REVIEW - Complete Role Mapping'!$AA$2:$AA$528,'REVIEW - Complete Role Mapping'!$AK$2:$AK$528,"Vacant")/1000000</f>
        <v>28.534492086</v>
      </c>
      <c r="D51" s="949" t="n"/>
      <c r="E51" s="949" t="n"/>
      <c r="F51" s="949" t="n"/>
      <c r="G51" s="949" t="n"/>
    </row>
    <row r="52">
      <c r="B52" s="285" t="inlineStr">
        <is>
          <t>of which delivery squad roles ($m)</t>
        </is>
      </c>
      <c r="C52" s="1338">
        <f>SUMIFS('REVIEW - Complete Role Mapping'!$AA$2:$AA$528,'REVIEW - Complete Role Mapping'!$AR$2:$AR$528,"Squad",'REVIEW - Complete Role Mapping'!$AK$2:$AK$528,"Vacant")/1000000</f>
        <v>22.899337248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Overhead roles inside the ledger ($m)</t>
        </is>
      </c>
      <c r="C54" s="1338">
        <f>'3.2 Total Cost'!$M$21</f>
        <v>11.654230155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1340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1338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3.4 ($m)</t>
        </is>
      </c>
      <c r="C59" s="1338">
        <f>'3.4 COE Summary'!$H$12</f>
        <v>15.771333518</v>
      </c>
      <c r="D59" s="949" t="n"/>
      <c r="E59" s="949" t="n"/>
      <c r="F59" s="949" t="n"/>
      <c r="G59" s="949" t="n"/>
    </row>
    <row r="60"/>
    <row r="61">
      <c r="B61" s="1337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1342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budget ($m)</t>
        </is>
      </c>
      <c r="C64" s="1338">
        <f>IFERROR(INDEX('3.1 Group Summary'!$C$6:$C$19,MATCH($C$63,'3.1 Group Summary'!$B$6:$B$19,0)),"-")</f>
        <v>5.5</v>
      </c>
      <c r="D64" s="949" t="n"/>
      <c r="E64" s="949" t="n"/>
      <c r="F64" s="949" t="n"/>
      <c r="G64" s="949" t="n"/>
    </row>
    <row r="65">
      <c r="B65" s="285" t="inlineStr">
        <is>
          <t>Actual cost of the portfolio ($m)</t>
        </is>
      </c>
      <c r="C65" s="1338">
        <f>IFERROR(INDEX('3.1 Group Summary'!$D$6:$D$19,MATCH($C$63,'3.1 Group Summary'!$B$6:$B$19,0)),"-")</f>
        <v>14.005227457</v>
      </c>
    </row>
    <row r="66">
      <c r="B66" s="285" t="inlineStr">
        <is>
          <t>Variance to budget ($m)</t>
        </is>
      </c>
      <c r="C66" s="1338">
        <f>IFERROR(INDEX('3.1 Group Summary'!$E$6:$E$19,MATCH($C$63,'3.1 Group Summary'!$B$6:$B$19,0)),"-")</f>
        <v>8.505227457</v>
      </c>
    </row>
    <row r="67">
      <c r="B67" s="285" t="inlineStr">
        <is>
          <t>Delivery squad cost ($m)</t>
        </is>
      </c>
      <c r="C67" s="1338">
        <f>IFERROR(INDEX('3.1 Group Summary'!$F$6:$F$19,MATCH($C$63,'3.1 Group Summary'!$B$6:$B$19,0)),"-")</f>
        <v>12.749611494</v>
      </c>
    </row>
    <row r="68">
      <c r="B68" s="285" t="inlineStr">
        <is>
          <t>Squad archetype cost ($m)</t>
        </is>
      </c>
      <c r="C68" s="1338">
        <f>IFERROR(INDEX('3.1 Group Summary'!$G$6:$G$19,MATCH($C$63,'3.1 Group Summary'!$B$6:$B$19,0)),"-")</f>
        <v>9.88</v>
      </c>
    </row>
    <row r="69">
      <c r="B69" s="285" t="inlineStr">
        <is>
          <t>Variance to archetype ($m)</t>
        </is>
      </c>
      <c r="C69" s="1338">
        <f>IFERROR(INDEX('3.1 Group Summary'!$H$6:$H$19,MATCH($C$63,'3.1 Group Summary'!$B$6:$B$19,0)),"-")</f>
        <v>2.869611494</v>
      </c>
    </row>
    <row r="70">
      <c r="B70" s="285" t="inlineStr">
        <is>
          <t>Overhead cost inside the portfolio ($m)</t>
        </is>
      </c>
      <c r="C70" s="1338">
        <f>IFERROR(INDEX('3.1 Group Summary'!$I$6:$I$19,MATCH($C$63,'3.1 Group Summary'!$B$6:$B$19,0)),"-")</f>
        <v>1.255615963</v>
      </c>
    </row>
    <row r="71">
      <c r="B71" s="285" t="inlineStr">
        <is>
          <t>Roles</t>
        </is>
      </c>
      <c r="C71" s="1340">
        <f>IFERROR(INDEX('3.1 Group Summary'!$J$6:$J$19,MATCH($C$63,'3.1 Group Summary'!$B$6:$B$19,0)),"-")</f>
        <v>70</v>
      </c>
    </row>
    <row r="72">
      <c r="B72" s="285" t="inlineStr">
        <is>
          <t>Org roles (excl leadership)</t>
        </is>
      </c>
      <c r="C72" s="1340">
        <f>COUNTIFS('REVIEW - Complete Role Mapping'!$AJ$2:$AJ$528,$C$63,'REVIEW - Complete Role Mapping'!$AQ$2:$AQ$528,0)</f>
        <v>65</v>
      </c>
    </row>
    <row r="73">
      <c r="B73" s="285" t="inlineStr">
        <is>
          <t>Filled</t>
        </is>
      </c>
      <c r="C73" s="1340">
        <f>COUNTIFS('REVIEW - Complete Role Mapping'!$AJ$2:$AJ$528,$C$63,'REVIEW - Complete Role Mapping'!$AQ$2:$AQ$528,0,'REVIEW - Complete Role Mapping'!$AK$2:$AK$528,"Filled")</f>
        <v>43</v>
      </c>
    </row>
    <row r="74">
      <c r="B74" s="285" t="inlineStr">
        <is>
          <t>Vacant</t>
        </is>
      </c>
      <c r="C74" s="1340">
        <f>COUNTIFS('REVIEW - Complete Role Mapping'!$AJ$2:$AJ$528,$C$63,'REVIEW - Complete Role Mapping'!$AQ$2:$AQ$528,0,'REVIEW - Complete Role Mapping'!$AK$2:$AK$528,"Vacant")</f>
        <v>22</v>
      </c>
    </row>
    <row r="75">
      <c r="B75" s="285" t="inlineStr">
        <is>
          <t>Leadership roles</t>
        </is>
      </c>
      <c r="C75" s="1340">
        <f>COUNTIFS('REVIEW - Complete Role Mapping'!$AJ$2:$AJ$528,$C$63,'REVIEW - Complete Role Mapping'!$AQ$2:$AQ$528,1)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  <row r="78"/>
    <row r="79"/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0" allowBlank="0" type="list">
      <formula1>"Ampol Retail,Customer,Enterprise Data,TDD Group Functions,P&amp;C,Finance,Infrastructure,Energy Solutions &amp; B2B,Commercial Fuels,Z Retail,COE Cyber,COE BP&amp;T,COE SA&amp;D,EGI"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Actual cost ($m)</t>
        </is>
      </c>
      <c r="G5" s="467" t="inlineStr">
        <is>
          <t>Over/(under) budget ($m)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SUMIFS('REVIEW - Complete Role Mapping'!$AA$2:$AA$528,'REVIEW - Complete Role Mapping'!$AJ$2:$AJ$528,"COE SA&amp;D")/1000000</f>
        <v>6.529494052</v>
      </c>
      <c r="G6" s="989">
        <f>$F6-$E6</f>
        <v>4.529494052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$F7-$E7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SUMIFS('REVIEW - Complete Role Mapping'!$AA$2:$AA$528,'REVIEW - Complete Role Mapping'!$AJ$2:$AJ$528,"COE BP&amp;T")/1000000</f>
        <v>6.400561822</v>
      </c>
      <c r="G8" s="989">
        <f>$F8-$E8</f>
        <v>4.400561822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 t="n">
        <v>0</v>
      </c>
      <c r="G9" s="989">
        <f>$F9-$E9</f>
        <v>-2</v>
      </c>
      <c r="H9" s="949" t="inlineStr">
        <is>
          <t>charged on the first COE BP&amp;T line above</t>
        </is>
      </c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 t="n">
        <v>0</v>
      </c>
      <c r="G10" s="989">
        <f>$F10-$E10</f>
        <v>-2</v>
      </c>
      <c r="H10" s="949" t="inlineStr">
        <is>
          <t>charged on the first COE SA&amp;D line above</t>
        </is>
      </c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SUMIFS('REVIEW - Complete Role Mapping'!$AA$2:$AA$528,'REVIEW - Complete Role Mapping'!$AJ$2:$AJ$528,"Ampol Retail")/1000000</f>
        <v>14.005227457</v>
      </c>
      <c r="G11" s="993">
        <f>$F11-$E11</f>
        <v>8.505227457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SUMIFS('REVIEW - Complete Role Mapping'!$AA$2:$AA$528,'REVIEW - Complete Role Mapping'!$AJ$2:$AJ$528,"Z Retail")/1000000</f>
        <v>7.337294352</v>
      </c>
      <c r="G12" s="993">
        <f>$F12-$E12</f>
        <v>0.837294352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SUMIFS('REVIEW - Complete Role Mapping'!$AA$2:$AA$528,'REVIEW - Complete Role Mapping'!$AJ$2:$AJ$528,"Customer")/1000000</f>
        <v>17.12686714</v>
      </c>
      <c r="G13" s="988">
        <f>$F13-$E13</f>
        <v>14.62686714</v>
      </c>
      <c r="H13" s="1298" t="n"/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>
        <v>0</v>
      </c>
      <c r="G14" s="988" t="n"/>
      <c r="H14" s="949" t="inlineStr">
        <is>
          <t>charged on the first Customer line above</t>
        </is>
      </c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SUMIFS('REVIEW - Complete Role Mapping'!$AA$2:$AA$528,'REVIEW - Complete Role Mapping'!$AJ$2:$AJ$528,"Commercial Fuels")/1000000</f>
        <v>10.1976697287</v>
      </c>
      <c r="G15" s="993">
        <f>$F15-$E15</f>
        <v>7.6976697287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SUMIFS('REVIEW - Complete Role Mapping'!$AA$2:$AA$528,'REVIEW - Complete Role Mapping'!$AJ$2:$AJ$528,"Energy Solutions &amp; B2B")/1000000</f>
        <v>6.447816278</v>
      </c>
      <c r="G16" s="993">
        <f>$F16-$E16</f>
        <v>3.947816278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SUMIFS('REVIEW - Complete Role Mapping'!$AA$2:$AA$528,'REVIEW - Complete Role Mapping'!$AJ$2:$AJ$528,"Infrastructure")/1000000</f>
        <v>7.74836354</v>
      </c>
      <c r="G17" s="993">
        <f>$F17-$E17</f>
        <v>5.24836354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SUMIFS('REVIEW - Complete Role Mapping'!$AA$2:$AA$528,'REVIEW - Complete Role Mapping'!$AJ$2:$AJ$528,"P&amp;C")/1000000</f>
        <v>4.18444088</v>
      </c>
      <c r="G18" s="993">
        <f>$F18-$E18</f>
        <v>2.18444088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SUMIFS('REVIEW - Complete Role Mapping'!$AA$2:$AA$528,'REVIEW - Complete Role Mapping'!$AJ$2:$AJ$528,"Finance")/1000000</f>
        <v>3.844616116</v>
      </c>
      <c r="G19" s="993">
        <f>$F19-$E19</f>
        <v>1.844616116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>
        <v>0</v>
      </c>
      <c r="G20" s="988">
        <f>$F20-$E20</f>
        <v>0</v>
      </c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SUMIFS('REVIEW - Complete Role Mapping'!$AA$2:$AA$528,'REVIEW - Complete Role Mapping'!$AJ$2:$AJ$528,"TDD Group Functions")/1000000</f>
        <v>10.0312294824</v>
      </c>
      <c r="G21" s="988">
        <f>$F21-$E21</f>
        <v>4.5312294824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SUMIFS('REVIEW - Complete Role Mapping'!$AA$2:$AA$528,'REVIEW - Complete Role Mapping'!$AJ$2:$AJ$528,"Enterprise Data")/1000000</f>
        <v>6.418403776</v>
      </c>
      <c r="G22" s="988">
        <f>$F22-$E22</f>
        <v>2.918403776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SUMIFS('REVIEW - Complete Role Mapping'!$AA$2:$AA$528,'REVIEW - Complete Role Mapping'!$AJ$2:$AJ$528,"COE Cyber")/1000000</f>
        <v>9.897858294</v>
      </c>
      <c r="G23" s="993">
        <f>$F23-$E23</f>
        <v>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>
        <v>0</v>
      </c>
      <c r="G24" s="988">
        <f>$F24-$E24</f>
        <v>0</v>
      </c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>
        <f>SUMIFS('REVIEW - Complete Role Mapping'!$AA$2:$AA$528,'REVIEW - Complete Role Mapping'!$AJ$2:$AJ$528,"EGI")/1000000</f>
        <v>4.94341935</v>
      </c>
      <c r="G25" s="988">
        <f>$F25-$E25</f>
        <v>4.94341935</v>
      </c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115.1132622681</v>
      </c>
      <c r="G26" s="989">
        <f>$F26-$E26</f>
        <v>64.6132622681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str">
        <f>$C5&amp;"|"&amp;$D5</f>
        <v>Engineering|S</v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str">
        <f>$C6&amp;"|"&amp;$D6</f>
        <v>Engineering|M</v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str">
        <f>$C7&amp;"|"&amp;$D7</f>
        <v>Engineering|L</v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str">
        <f>$C8&amp;"|"&amp;$D8</f>
        <v>Configuration / Integration|XS</v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str">
        <f>$C9&amp;"|"&amp;$D9</f>
        <v>Configuration / Integration|S</v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str">
        <f>$C10&amp;"|"&amp;$D10</f>
        <v>Configuration / Integration|M</v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str">
        <f>$C11&amp;"|"&amp;$D11</f>
        <v>Configuration / Integration|L</v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str">
        <f>$C12&amp;"|"&amp;$D12</f>
        <v>Product|S</v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str">
        <f>$C13&amp;"|"&amp;$D13</f>
        <v>Product|M</v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str">
        <f>$C14&amp;"|"&amp;$D14</f>
        <v>Product|L</v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str">
        <f>$C15&amp;"|"&amp;$D15</f>
        <v>Operations|S</v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str">
        <f>$C16&amp;"|"&amp;$D16</f>
        <v>Operations|M</v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str">
        <f>$C17&amp;"|"&amp;$D17</f>
        <v>Operations|L</v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str">
        <f>$C18&amp;"|"&amp;$D18</f>
        <v>Enterprise Data and Insights|S</v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str">
        <f>$C19&amp;"|"&amp;$D19</f>
        <v>Enterprise Data and Insights|M</v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str">
        <f>$C20&amp;"|"&amp;$D20</f>
        <v>Enterprise Data and Insights|L</v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str">
        <f>$C21&amp;"|"&amp;$D21</f>
        <v>Build and Run|S</v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str">
        <f>$C22&amp;"|"&amp;$D22</f>
        <v>Build and Run|M</v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str">
        <f>$C23&amp;"|"&amp;$D23</f>
        <v>Build and Run|L</v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V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Overhead line</t>
        </is>
      </c>
      <c r="AS1" s="1030" t="inlineStr">
        <is>
          <t>Squad name on design tab</t>
        </is>
      </c>
      <c r="AT1" s="1208" t="inlineStr">
        <is>
          <t>Squad or overhead line</t>
        </is>
      </c>
      <c r="AU1" s="1208" t="inlineStr">
        <is>
          <t>Agreed cost override (AUD)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IF(TRIM($B2)="","",IF(N($AU2)&gt;0,$AU2,IF(N($S2)&gt;0,$S2*Lists!$AG$15*(1+N($Z2)),N($U2)*(1+N($V2)+N($W2)+N($X2)+N($Z2))+N($Y2))))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IF(TRIM($B2)="","",IF(IFERROR(INDEX(Lists!$AO$2:$AO$4,MATCH(ROW(),Lists!$AN$2:$AN$4,0)),"")&lt;&gt;"",IFERROR(INDEX(Lists!$AO$2:$AO$4,MATCH(ROW(),Lists!$AN$2:$AN$4,0)),""),IFERROR(INDEX(Lists!$U:$U,MATCH(TRIM($I2),Lists!$T:$T,0)),TRIM($I2))))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",$C2)),"Head of Technology",IF(ISNUMBER(SEARCH("TDD BP",$C2)),"Business Partner",IF(OR(ISNUMBER(SEARCH("domain architect",$C2)),ISNUMBER(SEARCH("enterprise architect",$C2))),"Domain Architect",IF(ISNUMBER(SEARCH("delivery man",$C2)),"Delivery Manager",IF(OR(ISNUMBER(SEARCH("technology manager",$C2)),ISNUMBER(SEARCH("technology manger",$C2)),ISNUMBER(SEARCH("tech manager",$C2))),"Technology Manager","Squad"))))))</f>
        <v>Squad</v>
      </c>
      <c r="AS2" t="str">
        <f>IF(TRIM($B2)="","",IFERROR(INDEX(Lists!$AA:$AA,MATCH($AP2,Lists!$Z:$Z,0)),$AP2))</f>
        <v>Z Retail Backend</v>
      </c>
      <c r="AT2" t="str">
        <f>IF(TRIM($B2)="","",IF(IFERROR(INDEX(Lists!$AP$2:$AP$4,MATCH(ROW(),Lists!$AN$2:$AN$4,0)),"")&lt;&gt;"",IFERROR(INDEX(Lists!$AP$2:$AP$4,MATCH(ROW(),Lists!$AN$2:$AN$4,0)),""),IF(OR(LEFT($AJ2,3)="COE",$AJ2="EGI"),$AP2,IF($AR2&lt;&gt;"Squad",$AR2,$AP2))))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IF(TRIM($B3)="","",IF(N($AU3)&gt;0,$AU3,IF(N($S3)&gt;0,$S3*Lists!$AG$15*(1+N($Z3)),N($U3)*(1+N($V3)+N($W3)+N($X3)+N($Z3))+N($Y3))))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IF(TRIM($B3)="","",IF(IFERROR(INDEX(Lists!$AO$2:$AO$4,MATCH(ROW(),Lists!$AN$2:$AN$4,0)),"")&lt;&gt;"",IFERROR(INDEX(Lists!$AO$2:$AO$4,MATCH(ROW(),Lists!$AN$2:$AN$4,0)),""),IFERROR(INDEX(Lists!$U:$U,MATCH(TRIM($I3),Lists!$T:$T,0)),TRIM($I3))))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",$C3)),"Head of Technology",IF(ISNUMBER(SEARCH("TDD BP",$C3)),"Business Partner",IF(OR(ISNUMBER(SEARCH("domain architect",$C3)),ISNUMBER(SEARCH("enterprise architect",$C3))),"Domain Architect",IF(ISNUMBER(SEARCH("delivery man",$C3)),"Delivery Manager",IF(OR(ISNUMBER(SEARCH("technology manager",$C3)),ISNUMBER(SEARCH("technology manger",$C3)),ISNUMBER(SEARCH("tech manager",$C3))),"Technology Manager","Squad"))))))</f>
        <v>Squad</v>
      </c>
      <c r="AS3" t="str">
        <f>IF(TRIM($B3)="","",IFERROR(INDEX(Lists!$AA:$AA,MATCH($AP3,Lists!$Z:$Z,0)),$AP3))</f>
        <v>Network &amp; QSR</v>
      </c>
      <c r="AT3" t="str">
        <f>IF(TRIM($B3)="","",IF(IFERROR(INDEX(Lists!$AP$2:$AP$4,MATCH(ROW(),Lists!$AN$2:$AN$4,0)),"")&lt;&gt;"",IFERROR(INDEX(Lists!$AP$2:$AP$4,MATCH(ROW(),Lists!$AN$2:$AN$4,0)),""),IF(OR(LEFT($AJ3,3)="COE",$AJ3="EGI"),$AP3,IF($AR3&lt;&gt;"Squad",$AR3,$AP3))))</f>
        <v>Network &amp;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IF(TRIM($B4)="","",IF(N($AU4)&gt;0,$AU4,IF(N($S4)&gt;0,$S4*Lists!$AG$15*(1+N($Z4)),N($U4)*(1+N($V4)+N($W4)+N($X4)+N($Z4))+N($Y4))))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IF(TRIM($B4)="","",IF(IFERROR(INDEX(Lists!$AO$2:$AO$4,MATCH(ROW(),Lists!$AN$2:$AN$4,0)),"")&lt;&gt;"",IFERROR(INDEX(Lists!$AO$2:$AO$4,MATCH(ROW(),Lists!$AN$2:$AN$4,0)),""),IFERROR(INDEX(Lists!$U:$U,MATCH(TRIM($I4),Lists!$T:$T,0)),TRIM($I4))))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",$C4)),"Head of Technology",IF(ISNUMBER(SEARCH("TDD BP",$C4)),"Business Partner",IF(OR(ISNUMBER(SEARCH("domain architect",$C4)),ISNUMBER(SEARCH("enterprise architect",$C4))),"Domain Architect",IF(ISNUMBER(SEARCH("delivery man",$C4)),"Delivery Manager",IF(OR(ISNUMBER(SEARCH("technology manager",$C4)),ISNUMBER(SEARCH("technology manger",$C4)),ISNUMBER(SEARCH("tech manager",$C4))),"Technology Manager","Squad"))))))</f>
        <v>Squad</v>
      </c>
      <c r="AS4" t="str">
        <f>IF(TRIM($B4)="","",IFERROR(INDEX(Lists!$AA:$AA,MATCH($AP4,Lists!$Z:$Z,0)),$AP4))</f>
        <v>EGI Retail</v>
      </c>
      <c r="AT4" t="str">
        <f>IF(TRIM($B4)="","",IF(IFERROR(INDEX(Lists!$AP$2:$AP$4,MATCH(ROW(),Lists!$AN$2:$AN$4,0)),"")&lt;&gt;"",IFERROR(INDEX(Lists!$AP$2:$AP$4,MATCH(ROW(),Lists!$AN$2:$AN$4,0)),""),IF(OR(LEFT($AJ4,3)="COE",$AJ4="EGI"),$AP4,IF($AR4&lt;&gt;"Squad",$AR4,$AP4))))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IF(TRIM($B5)="","",IF(N($AU5)&gt;0,$AU5,IF(N($S5)&gt;0,$S5*Lists!$AG$15*(1+N($Z5)),N($U5)*(1+N($V5)+N($W5)+N($X5)+N($Z5))+N($Y5))))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IF(TRIM($B5)="","",IF(IFERROR(INDEX(Lists!$AO$2:$AO$4,MATCH(ROW(),Lists!$AN$2:$AN$4,0)),"")&lt;&gt;"",IFERROR(INDEX(Lists!$AO$2:$AO$4,MATCH(ROW(),Lists!$AN$2:$AN$4,0)),""),IFERROR(INDEX(Lists!$U:$U,MATCH(TRIM($I5),Lists!$T:$T,0)),TRIM($I5))))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",$C5)),"Head of Technology",IF(ISNUMBER(SEARCH("TDD BP",$C5)),"Business Partner",IF(OR(ISNUMBER(SEARCH("domain architect",$C5)),ISNUMBER(SEARCH("enterprise architect",$C5))),"Domain Architect",IF(ISNUMBER(SEARCH("delivery man",$C5)),"Delivery Manager",IF(OR(ISNUMBER(SEARCH("technology manager",$C5)),ISNUMBER(SEARCH("technology manger",$C5)),ISNUMBER(SEARCH("tech manager",$C5))),"Technology Manager","Squad"))))))</f>
        <v>Squad</v>
      </c>
      <c r="AS5" t="str">
        <f>IF(TRIM($B5)="","",IFERROR(INDEX(Lists!$AA:$AA,MATCH($AP5,Lists!$Z:$Z,0)),$AP5))</f>
        <v>Site Systems</v>
      </c>
      <c r="AT5" t="str">
        <f>IF(TRIM($B5)="","",IF(IFERROR(INDEX(Lists!$AP$2:$AP$4,MATCH(ROW(),Lists!$AN$2:$AN$4,0)),"")&lt;&gt;"",IFERROR(INDEX(Lists!$AP$2:$AP$4,MATCH(ROW(),Lists!$AN$2:$AN$4,0)),""),IF(OR(LEFT($AJ5,3)="COE",$AJ5="EGI"),$AP5,IF($AR5&lt;&gt;"Squad",$AR5,$AP5))))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IF(TRIM($B6)="","",IF(N($AU6)&gt;0,$AU6,IF(N($S6)&gt;0,$S6*Lists!$AG$15*(1+N($Z6)),N($U6)*(1+N($V6)+N($W6)+N($X6)+N($Z6))+N($Y6))))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IF(TRIM($B6)="","",IF(IFERROR(INDEX(Lists!$AO$2:$AO$4,MATCH(ROW(),Lists!$AN$2:$AN$4,0)),"")&lt;&gt;"",IFERROR(INDEX(Lists!$AO$2:$AO$4,MATCH(ROW(),Lists!$AN$2:$AN$4,0)),""),IFERROR(INDEX(Lists!$U:$U,MATCH(TRIM($I6),Lists!$T:$T,0)),TRIM($I6))))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",$C6)),"Head of Technology",IF(ISNUMBER(SEARCH("TDD BP",$C6)),"Business Partner",IF(OR(ISNUMBER(SEARCH("domain architect",$C6)),ISNUMBER(SEARCH("enterprise architect",$C6))),"Domain Architect",IF(ISNUMBER(SEARCH("delivery man",$C6)),"Delivery Manager",IF(OR(ISNUMBER(SEARCH("technology manager",$C6)),ISNUMBER(SEARCH("technology manger",$C6)),ISNUMBER(SEARCH("tech manager",$C6))),"Technology Manager","Squad"))))))</f>
        <v>Squad</v>
      </c>
      <c r="AS6" t="str">
        <f>IF(TRIM($B6)="","",IFERROR(INDEX(Lists!$AA:$AA,MATCH($AP6,Lists!$Z:$Z,0)),$AP6))</f>
        <v>Z Retail Backend</v>
      </c>
      <c r="AT6" t="str">
        <f>IF(TRIM($B6)="","",IF(IFERROR(INDEX(Lists!$AP$2:$AP$4,MATCH(ROW(),Lists!$AN$2:$AN$4,0)),"")&lt;&gt;"",IFERROR(INDEX(Lists!$AP$2:$AP$4,MATCH(ROW(),Lists!$AN$2:$AN$4,0)),""),IF(OR(LEFT($AJ6,3)="COE",$AJ6="EGI"),$AP6,IF($AR6&lt;&gt;"Squad",$AR6,$AP6))))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IF(TRIM($B7)="","",IF(N($AU7)&gt;0,$AU7,IF(N($S7)&gt;0,$S7*Lists!$AG$15*(1+N($Z7)),N($U7)*(1+N($V7)+N($W7)+N($X7)+N($Z7))+N($Y7))))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IF(TRIM($B7)="","",IF(IFERROR(INDEX(Lists!$AO$2:$AO$4,MATCH(ROW(),Lists!$AN$2:$AN$4,0)),"")&lt;&gt;"",IFERROR(INDEX(Lists!$AO$2:$AO$4,MATCH(ROW(),Lists!$AN$2:$AN$4,0)),""),IFERROR(INDEX(Lists!$U:$U,MATCH(TRIM($I7),Lists!$T:$T,0)),TRIM($I7))))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",$C7)),"Head of Technology",IF(ISNUMBER(SEARCH("TDD BP",$C7)),"Business Partner",IF(OR(ISNUMBER(SEARCH("domain architect",$C7)),ISNUMBER(SEARCH("enterprise architect",$C7))),"Domain Architect",IF(ISNUMBER(SEARCH("delivery man",$C7)),"Delivery Manager",IF(OR(ISNUMBER(SEARCH("technology manager",$C7)),ISNUMBER(SEARCH("technology manger",$C7)),ISNUMBER(SEARCH("tech manager",$C7))),"Technology Manager","Squad"))))))</f>
        <v>Squad</v>
      </c>
      <c r="AS7" t="str">
        <f>IF(TRIM($B7)="","",IFERROR(INDEX(Lists!$AA:$AA,MATCH($AP7,Lists!$Z:$Z,0)),$AP7))</f>
        <v>Store Operations</v>
      </c>
      <c r="AT7" t="str">
        <f>IF(TRIM($B7)="","",IF(IFERROR(INDEX(Lists!$AP$2:$AP$4,MATCH(ROW(),Lists!$AN$2:$AN$4,0)),"")&lt;&gt;"",IFERROR(INDEX(Lists!$AP$2:$AP$4,MATCH(ROW(),Lists!$AN$2:$AN$4,0)),""),IF(OR(LEFT($AJ7,3)="COE",$AJ7="EGI"),$AP7,IF($AR7&lt;&gt;"Squad",$AR7,$AP7))))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IF(TRIM($B8)="","",IF(N($AU8)&gt;0,$AU8,IF(N($S8)&gt;0,$S8*Lists!$AG$15*(1+N($Z8)),N($U8)*(1+N($V8)+N($W8)+N($X8)+N($Z8))+N($Y8))))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IF(TRIM($B8)="","",IF(IFERROR(INDEX(Lists!$AO$2:$AO$4,MATCH(ROW(),Lists!$AN$2:$AN$4,0)),"")&lt;&gt;"",IFERROR(INDEX(Lists!$AO$2:$AO$4,MATCH(ROW(),Lists!$AN$2:$AN$4,0)),""),IFERROR(INDEX(Lists!$U:$U,MATCH(TRIM($I8),Lists!$T:$T,0)),TRIM($I8))))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",$C8)),"Head of Technology",IF(ISNUMBER(SEARCH("TDD BP",$C8)),"Business Partner",IF(OR(ISNUMBER(SEARCH("domain architect",$C8)),ISNUMBER(SEARCH("enterprise architect",$C8))),"Domain Architect",IF(ISNUMBER(SEARCH("delivery man",$C8)),"Delivery Manager",IF(OR(ISNUMBER(SEARCH("technology manager",$C8)),ISNUMBER(SEARCH("technology manger",$C8)),ISNUMBER(SEARCH("tech manager",$C8))),"Technology Manager","Squad"))))))</f>
        <v>Squad</v>
      </c>
      <c r="AS8" t="str">
        <f>IF(TRIM($B8)="","",IFERROR(INDEX(Lists!$AA:$AA,MATCH($AP8,Lists!$Z:$Z,0)),$AP8))</f>
        <v>Deployment</v>
      </c>
      <c r="AT8" t="str">
        <f>IF(TRIM($B8)="","",IF(IFERROR(INDEX(Lists!$AP$2:$AP$4,MATCH(ROW(),Lists!$AN$2:$AN$4,0)),"")&lt;&gt;"",IFERROR(INDEX(Lists!$AP$2:$AP$4,MATCH(ROW(),Lists!$AN$2:$AN$4,0)),""),IF(OR(LEFT($AJ8,3)="COE",$AJ8="EGI"),$AP8,IF($AR8&lt;&gt;"Squad",$AR8,$AP8))))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IF(TRIM($B9)="","",IF(N($AU9)&gt;0,$AU9,IF(N($S9)&gt;0,$S9*Lists!$AG$15*(1+N($Z9)),N($U9)*(1+N($V9)+N($W9)+N($X9)+N($Z9))+N($Y9))))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IF(TRIM($B9)="","",IF(IFERROR(INDEX(Lists!$AO$2:$AO$4,MATCH(ROW(),Lists!$AN$2:$AN$4,0)),"")&lt;&gt;"",IFERROR(INDEX(Lists!$AO$2:$AO$4,MATCH(ROW(),Lists!$AN$2:$AN$4,0)),""),IFERROR(INDEX(Lists!$U:$U,MATCH(TRIM($I9),Lists!$T:$T,0)),TRIM($I9))))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",$C9)),"Head of Technology",IF(ISNUMBER(SEARCH("TDD BP",$C9)),"Business Partner",IF(OR(ISNUMBER(SEARCH("domain architect",$C9)),ISNUMBER(SEARCH("enterprise architect",$C9))),"Domain Architect",IF(ISNUMBER(SEARCH("delivery man",$C9)),"Delivery Manager",IF(OR(ISNUMBER(SEARCH("technology manager",$C9)),ISNUMBER(SEARCH("technology manger",$C9)),ISNUMBER(SEARCH("tech manager",$C9))),"Technology Manager","Squad"))))))</f>
        <v>Squad</v>
      </c>
      <c r="AS9" t="str">
        <f>IF(TRIM($B9)="","",IFERROR(INDEX(Lists!$AA:$AA,MATCH($AP9,Lists!$Z:$Z,0)),$AP9))</f>
        <v>Z Supply</v>
      </c>
      <c r="AT9" t="str">
        <f>IF(TRIM($B9)="","",IF(IFERROR(INDEX(Lists!$AP$2:$AP$4,MATCH(ROW(),Lists!$AN$2:$AN$4,0)),"")&lt;&gt;"",IFERROR(INDEX(Lists!$AP$2:$AP$4,MATCH(ROW(),Lists!$AN$2:$AN$4,0)),""),IF(OR(LEFT($AJ9,3)="COE",$AJ9="EGI"),$AP9,IF($AR9&lt;&gt;"Squad",$AR9,$AP9))))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IF(TRIM($B10)="","",IF(N($AU10)&gt;0,$AU10,IF(N($S10)&gt;0,$S10*Lists!$AG$15*(1+N($Z10)),N($U10)*(1+N($V10)+N($W10)+N($X10)+N($Z10))+N($Y10))))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IF(TRIM($B10)="","",IF(IFERROR(INDEX(Lists!$AO$2:$AO$4,MATCH(ROW(),Lists!$AN$2:$AN$4,0)),"")&lt;&gt;"",IFERROR(INDEX(Lists!$AO$2:$AO$4,MATCH(ROW(),Lists!$AN$2:$AN$4,0)),""),IFERROR(INDEX(Lists!$U:$U,MATCH(TRIM($I10),Lists!$T:$T,0)),TRIM($I10))))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",$C10)),"Head of Technology",IF(ISNUMBER(SEARCH("TDD BP",$C10)),"Business Partner",IF(OR(ISNUMBER(SEARCH("domain architect",$C10)),ISNUMBER(SEARCH("enterprise architect",$C10))),"Domain Architect",IF(ISNUMBER(SEARCH("delivery man",$C10)),"Delivery Manager",IF(OR(ISNUMBER(SEARCH("technology manager",$C10)),ISNUMBER(SEARCH("technology manger",$C10)),ISNUMBER(SEARCH("tech manager",$C10))),"Technology Manager","Squad"))))))</f>
        <v>Squad</v>
      </c>
      <c r="AS10" t="str">
        <f>IF(TRIM($B10)="","",IFERROR(INDEX(Lists!$AA:$AA,MATCH($AP10,Lists!$Z:$Z,0)),$AP10))</f>
        <v>EGI Retail</v>
      </c>
      <c r="AT10" t="str">
        <f>IF(TRIM($B10)="","",IF(IFERROR(INDEX(Lists!$AP$2:$AP$4,MATCH(ROW(),Lists!$AN$2:$AN$4,0)),"")&lt;&gt;"",IFERROR(INDEX(Lists!$AP$2:$AP$4,MATCH(ROW(),Lists!$AN$2:$AN$4,0)),""),IF(OR(LEFT($AJ10,3)="COE",$AJ10="EGI"),$AP10,IF($AR10&lt;&gt;"Squad",$AR10,$AP10))))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IF(TRIM($B11)="","",IF(N($AU11)&gt;0,$AU11,IF(N($S11)&gt;0,$S11*Lists!$AG$15*(1+N($Z11)),N($U11)*(1+N($V11)+N($W11)+N($X11)+N($Z11))+N($Y11))))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IF(TRIM($B11)="","",IF(IFERROR(INDEX(Lists!$AO$2:$AO$4,MATCH(ROW(),Lists!$AN$2:$AN$4,0)),"")&lt;&gt;"",IFERROR(INDEX(Lists!$AO$2:$AO$4,MATCH(ROW(),Lists!$AN$2:$AN$4,0)),""),IFERROR(INDEX(Lists!$U:$U,MATCH(TRIM($I11),Lists!$T:$T,0)),TRIM($I11))))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",$C11)),"Head of Technology",IF(ISNUMBER(SEARCH("TDD BP",$C11)),"Business Partner",IF(OR(ISNUMBER(SEARCH("domain architect",$C11)),ISNUMBER(SEARCH("enterprise architect",$C11))),"Domain Architect",IF(ISNUMBER(SEARCH("delivery man",$C11)),"Delivery Manager",IF(OR(ISNUMBER(SEARCH("technology manager",$C11)),ISNUMBER(SEARCH("technology manger",$C11)),ISNUMBER(SEARCH("tech manager",$C11))),"Technology Manager","Squad"))))))</f>
        <v>Squad</v>
      </c>
      <c r="AS11" t="str">
        <f>IF(TRIM($B11)="","",IFERROR(INDEX(Lists!$AA:$AA,MATCH($AP11,Lists!$Z:$Z,0)),$AP11))</f>
        <v>Deployment</v>
      </c>
      <c r="AT11" t="str">
        <f>IF(TRIM($B11)="","",IF(IFERROR(INDEX(Lists!$AP$2:$AP$4,MATCH(ROW(),Lists!$AN$2:$AN$4,0)),"")&lt;&gt;"",IFERROR(INDEX(Lists!$AP$2:$AP$4,MATCH(ROW(),Lists!$AN$2:$AN$4,0)),""),IF(OR(LEFT($AJ11,3)="COE",$AJ11="EGI"),$AP11,IF($AR11&lt;&gt;"Squad",$AR11,$AP11))))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IF(TRIM($B12)="","",IF(N($AU12)&gt;0,$AU12,IF(N($S12)&gt;0,$S12*Lists!$AG$15*(1+N($Z12)),N($U12)*(1+N($V12)+N($W12)+N($X12)+N($Z12))+N($Y12))))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IF(TRIM($B12)="","",IF(IFERROR(INDEX(Lists!$AO$2:$AO$4,MATCH(ROW(),Lists!$AN$2:$AN$4,0)),"")&lt;&gt;"",IFERROR(INDEX(Lists!$AO$2:$AO$4,MATCH(ROW(),Lists!$AN$2:$AN$4,0)),""),IFERROR(INDEX(Lists!$U:$U,MATCH(TRIM($I12),Lists!$T:$T,0)),TRIM($I12))))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",$C12)),"Head of Technology",IF(ISNUMBER(SEARCH("TDD BP",$C12)),"Business Partner",IF(OR(ISNUMBER(SEARCH("domain architect",$C12)),ISNUMBER(SEARCH("enterprise architect",$C12))),"Domain Architect",IF(ISNUMBER(SEARCH("delivery man",$C12)),"Delivery Manager",IF(OR(ISNUMBER(SEARCH("technology manager",$C12)),ISNUMBER(SEARCH("technology manger",$C12)),ISNUMBER(SEARCH("tech manager",$C12))),"Technology Manager","Squad"))))))</f>
        <v>Squad</v>
      </c>
      <c r="AS12" t="str">
        <f>IF(TRIM($B12)="","",IFERROR(INDEX(Lists!$AA:$AA,MATCH($AP12,Lists!$Z:$Z,0)),$AP12))</f>
        <v>Data NZ</v>
      </c>
      <c r="AT12" t="str">
        <f>IF(TRIM($B12)="","",IF(IFERROR(INDEX(Lists!$AP$2:$AP$4,MATCH(ROW(),Lists!$AN$2:$AN$4,0)),"")&lt;&gt;"",IFERROR(INDEX(Lists!$AP$2:$AP$4,MATCH(ROW(),Lists!$AN$2:$AN$4,0)),""),IF(OR(LEFT($AJ12,3)="COE",$AJ12="EGI"),$AP12,IF($AR12&lt;&gt;"Squad",$AR12,$AP12))))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IF(TRIM($B13)="","",IF(N($AU13)&gt;0,$AU13,IF(N($S13)&gt;0,$S13*Lists!$AG$15*(1+N($Z13)),N($U13)*(1+N($V13)+N($W13)+N($X13)+N($Z13))+N($Y13))))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IF(TRIM($B13)="","",IF(IFERROR(INDEX(Lists!$AO$2:$AO$4,MATCH(ROW(),Lists!$AN$2:$AN$4,0)),"")&lt;&gt;"",IFERROR(INDEX(Lists!$AO$2:$AO$4,MATCH(ROW(),Lists!$AN$2:$AN$4,0)),""),IFERROR(INDEX(Lists!$U:$U,MATCH(TRIM($I13),Lists!$T:$T,0)),TRIM($I13))))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",$C13)),"Head of Technology",IF(ISNUMBER(SEARCH("TDD BP",$C13)),"Business Partner",IF(OR(ISNUMBER(SEARCH("domain architect",$C13)),ISNUMBER(SEARCH("enterprise architect",$C13))),"Domain Architect",IF(ISNUMBER(SEARCH("delivery man",$C13)),"Delivery Manager",IF(OR(ISNUMBER(SEARCH("technology manager",$C13)),ISNUMBER(SEARCH("technology manger",$C13)),ISNUMBER(SEARCH("tech manager",$C13))),"Technology Manager","Squad"))))))</f>
        <v>Squad</v>
      </c>
      <c r="AS13" t="str">
        <f>IF(TRIM($B13)="","",IFERROR(INDEX(Lists!$AA:$AA,MATCH($AP13,Lists!$Z:$Z,0)),$AP13))</f>
        <v>AmPOS</v>
      </c>
      <c r="AT13" t="str">
        <f>IF(TRIM($B13)="","",IF(IFERROR(INDEX(Lists!$AP$2:$AP$4,MATCH(ROW(),Lists!$AN$2:$AN$4,0)),"")&lt;&gt;"",IFERROR(INDEX(Lists!$AP$2:$AP$4,MATCH(ROW(),Lists!$AN$2:$AN$4,0)),""),IF(OR(LEFT($AJ13,3)="COE",$AJ13="EGI"),$AP13,IF($AR13&lt;&gt;"Squad",$AR13,$AP13))))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IF(TRIM($B14)="","",IF(N($AU14)&gt;0,$AU14,IF(N($S14)&gt;0,$S14*Lists!$AG$15*(1+N($Z14)),N($U14)*(1+N($V14)+N($W14)+N($X14)+N($Z14))+N($Y14))))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IF(TRIM($B14)="","",IF(IFERROR(INDEX(Lists!$AO$2:$AO$4,MATCH(ROW(),Lists!$AN$2:$AN$4,0)),"")&lt;&gt;"",IFERROR(INDEX(Lists!$AO$2:$AO$4,MATCH(ROW(),Lists!$AN$2:$AN$4,0)),""),IFERROR(INDEX(Lists!$U:$U,MATCH(TRIM($I14),Lists!$T:$T,0)),TRIM($I14))))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",$C14)),"Head of Technology",IF(ISNUMBER(SEARCH("TDD BP",$C14)),"Business Partner",IF(OR(ISNUMBER(SEARCH("domain architect",$C14)),ISNUMBER(SEARCH("enterprise architect",$C14))),"Domain Architect",IF(ISNUMBER(SEARCH("delivery man",$C14)),"Delivery Manager",IF(OR(ISNUMBER(SEARCH("technology manager",$C14)),ISNUMBER(SEARCH("technology manger",$C14)),ISNUMBER(SEARCH("tech manager",$C14))),"Technology Manager","Squad"))))))</f>
        <v>Squad</v>
      </c>
      <c r="AS14" t="str">
        <f>IF(TRIM($B14)="","",IFERROR(INDEX(Lists!$AA:$AA,MATCH($AP14,Lists!$Z:$Z,0)),$AP14))</f>
        <v>Payments</v>
      </c>
      <c r="AT14" t="str">
        <f>IF(TRIM($B14)="","",IF(IFERROR(INDEX(Lists!$AP$2:$AP$4,MATCH(ROW(),Lists!$AN$2:$AN$4,0)),"")&lt;&gt;"",IFERROR(INDEX(Lists!$AP$2:$AP$4,MATCH(ROW(),Lists!$AN$2:$AN$4,0)),""),IF(OR(LEFT($AJ14,3)="COE",$AJ14="EGI"),$AP14,IF($AR14&lt;&gt;"Squad",$AR14,$AP14))))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IF(TRIM($B15)="","",IF(N($AU15)&gt;0,$AU15,IF(N($S15)&gt;0,$S15*Lists!$AG$15*(1+N($Z15)),N($U15)*(1+N($V15)+N($W15)+N($X15)+N($Z15))+N($Y15))))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IF(TRIM($B15)="","",IF(IFERROR(INDEX(Lists!$AO$2:$AO$4,MATCH(ROW(),Lists!$AN$2:$AN$4,0)),"")&lt;&gt;"",IFERROR(INDEX(Lists!$AO$2:$AO$4,MATCH(ROW(),Lists!$AN$2:$AN$4,0)),""),IFERROR(INDEX(Lists!$U:$U,MATCH(TRIM($I15),Lists!$T:$T,0)),TRIM($I15))))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",$C15)),"Head of Technology",IF(ISNUMBER(SEARCH("TDD BP",$C15)),"Business Partner",IF(OR(ISNUMBER(SEARCH("domain architect",$C15)),ISNUMBER(SEARCH("enterprise architect",$C15))),"Domain Architect",IF(ISNUMBER(SEARCH("delivery man",$C15)),"Delivery Manager",IF(OR(ISNUMBER(SEARCH("technology manager",$C15)),ISNUMBER(SEARCH("technology manger",$C15)),ISNUMBER(SEARCH("tech manager",$C15))),"Technology Manager","Squad"))))))</f>
        <v>Squad</v>
      </c>
      <c r="AS15" t="str">
        <f>IF(TRIM($B15)="","",IFERROR(INDEX(Lists!$AA:$AA,MATCH($AP15,Lists!$Z:$Z,0)),$AP15))</f>
        <v>Z Supply</v>
      </c>
      <c r="AT15" t="str">
        <f>IF(TRIM($B15)="","",IF(IFERROR(INDEX(Lists!$AP$2:$AP$4,MATCH(ROW(),Lists!$AN$2:$AN$4,0)),"")&lt;&gt;"",IFERROR(INDEX(Lists!$AP$2:$AP$4,MATCH(ROW(),Lists!$AN$2:$AN$4,0)),""),IF(OR(LEFT($AJ15,3)="COE",$AJ15="EGI"),$AP15,IF($AR15&lt;&gt;"Squad",$AR15,$AP15))))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IF(TRIM($B16)="","",IF(N($AU16)&gt;0,$AU16,IF(N($S16)&gt;0,$S16*Lists!$AG$15*(1+N($Z16)),N($U16)*(1+N($V16)+N($W16)+N($X16)+N($Z16))+N($Y16))))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IF(TRIM($B16)="","",IF(IFERROR(INDEX(Lists!$AO$2:$AO$4,MATCH(ROW(),Lists!$AN$2:$AN$4,0)),"")&lt;&gt;"",IFERROR(INDEX(Lists!$AO$2:$AO$4,MATCH(ROW(),Lists!$AN$2:$AN$4,0)),""),IFERROR(INDEX(Lists!$U:$U,MATCH(TRIM($I16),Lists!$T:$T,0)),TRIM($I16))))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",$C16)),"Head of Technology",IF(ISNUMBER(SEARCH("TDD BP",$C16)),"Business Partner",IF(OR(ISNUMBER(SEARCH("domain architect",$C16)),ISNUMBER(SEARCH("enterprise architect",$C16))),"Domain Architect",IF(ISNUMBER(SEARCH("delivery man",$C16)),"Delivery Manager",IF(OR(ISNUMBER(SEARCH("technology manager",$C16)),ISNUMBER(SEARCH("technology manger",$C16)),ISNUMBER(SEARCH("tech manager",$C16))),"Technology Manager","Squad"))))))</f>
        <v>Squad</v>
      </c>
      <c r="AS16" t="str">
        <f>IF(TRIM($B16)="","",IFERROR(INDEX(Lists!$AA:$AA,MATCH($AP16,Lists!$Z:$Z,0)),$AP16))</f>
        <v>Site Systems</v>
      </c>
      <c r="AT16" t="str">
        <f>IF(TRIM($B16)="","",IF(IFERROR(INDEX(Lists!$AP$2:$AP$4,MATCH(ROW(),Lists!$AN$2:$AN$4,0)),"")&lt;&gt;"",IFERROR(INDEX(Lists!$AP$2:$AP$4,MATCH(ROW(),Lists!$AN$2:$AN$4,0)),""),IF(OR(LEFT($AJ16,3)="COE",$AJ16="EGI"),$AP16,IF($AR16&lt;&gt;"Squad",$AR16,$AP16))))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IF(TRIM($B17)="","",IF(N($AU17)&gt;0,$AU17,IF(N($S17)&gt;0,$S17*Lists!$AG$15*(1+N($Z17)),N($U17)*(1+N($V17)+N($W17)+N($X17)+N($Z17))+N($Y17))))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IF(TRIM($B17)="","",IF(IFERROR(INDEX(Lists!$AO$2:$AO$4,MATCH(ROW(),Lists!$AN$2:$AN$4,0)),"")&lt;&gt;"",IFERROR(INDEX(Lists!$AO$2:$AO$4,MATCH(ROW(),Lists!$AN$2:$AN$4,0)),""),IFERROR(INDEX(Lists!$U:$U,MATCH(TRIM($I17),Lists!$T:$T,0)),TRIM($I17))))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",$C17)),"Head of Technology",IF(ISNUMBER(SEARCH("TDD BP",$C17)),"Business Partner",IF(OR(ISNUMBER(SEARCH("domain architect",$C17)),ISNUMBER(SEARCH("enterprise architect",$C17))),"Domain Architect",IF(ISNUMBER(SEARCH("delivery man",$C17)),"Delivery Manager",IF(OR(ISNUMBER(SEARCH("technology manager",$C17)),ISNUMBER(SEARCH("technology manger",$C17)),ISNUMBER(SEARCH("tech manager",$C17))),"Technology Manager","Squad"))))))</f>
        <v>Squad</v>
      </c>
      <c r="AS17" t="str">
        <f>IF(TRIM($B17)="","",IFERROR(INDEX(Lists!$AA:$AA,MATCH($AP17,Lists!$Z:$Z,0)),$AP17))</f>
        <v>Data NZ</v>
      </c>
      <c r="AT17" t="str">
        <f>IF(TRIM($B17)="","",IF(IFERROR(INDEX(Lists!$AP$2:$AP$4,MATCH(ROW(),Lists!$AN$2:$AN$4,0)),"")&lt;&gt;"",IFERROR(INDEX(Lists!$AP$2:$AP$4,MATCH(ROW(),Lists!$AN$2:$AN$4,0)),""),IF(OR(LEFT($AJ17,3)="COE",$AJ17="EGI"),$AP17,IF($AR17&lt;&gt;"Squad",$AR17,$AP17))))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IF(TRIM($B18)="","",IF(N($AU18)&gt;0,$AU18,IF(N($S18)&gt;0,$S18*Lists!$AG$15*(1+N($Z18)),N($U18)*(1+N($V18)+N($W18)+N($X18)+N($Z18))+N($Y18))))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IF(TRIM($B18)="","",IF(IFERROR(INDEX(Lists!$AO$2:$AO$4,MATCH(ROW(),Lists!$AN$2:$AN$4,0)),"")&lt;&gt;"",IFERROR(INDEX(Lists!$AO$2:$AO$4,MATCH(ROW(),Lists!$AN$2:$AN$4,0)),""),IFERROR(INDEX(Lists!$U:$U,MATCH(TRIM($I18),Lists!$T:$T,0)),TRIM($I18))))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",$C18)),"Head of Technology",IF(ISNUMBER(SEARCH("TDD BP",$C18)),"Business Partner",IF(OR(ISNUMBER(SEARCH("domain architect",$C18)),ISNUMBER(SEARCH("enterprise architect",$C18))),"Domain Architect",IF(ISNUMBER(SEARCH("delivery man",$C18)),"Delivery Manager",IF(OR(ISNUMBER(SEARCH("technology manager",$C18)),ISNUMBER(SEARCH("technology manger",$C18)),ISNUMBER(SEARCH("tech manager",$C18))),"Technology Manager","Squad"))))))</f>
        <v>Technology Manager</v>
      </c>
      <c r="AS18" t="str">
        <f>IF(TRIM($B18)="","",IFERROR(INDEX(Lists!$AA:$AA,MATCH($AP18,Lists!$Z:$Z,0)),$AP18))</f>
        <v>Leadership</v>
      </c>
      <c r="AT18" t="str">
        <f>IF(TRIM($B18)="","",IF(IFERROR(INDEX(Lists!$AP$2:$AP$4,MATCH(ROW(),Lists!$AN$2:$AN$4,0)),"")&lt;&gt;"",IFERROR(INDEX(Lists!$AP$2:$AP$4,MATCH(ROW(),Lists!$AN$2:$AN$4,0)),""),IF(OR(LEFT($AJ18,3)="COE",$AJ18="EGI"),$AP18,IF($AR18&lt;&gt;"Squad",$AR18,$AP18))))</f>
        <v>Technology Manager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IF(TRIM($B19)="","",IF(N($AU19)&gt;0,$AU19,IF(N($S19)&gt;0,$S19*Lists!$AG$15*(1+N($Z19)),N($U19)*(1+N($V19)+N($W19)+N($X19)+N($Z19))+N($Y19))))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IF(TRIM($B19)="","",IF(IFERROR(INDEX(Lists!$AO$2:$AO$4,MATCH(ROW(),Lists!$AN$2:$AN$4,0)),"")&lt;&gt;"",IFERROR(INDEX(Lists!$AO$2:$AO$4,MATCH(ROW(),Lists!$AN$2:$AN$4,0)),""),IFERROR(INDEX(Lists!$U:$U,MATCH(TRIM($I19),Lists!$T:$T,0)),TRIM($I19))))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",$C19)),"Head of Technology",IF(ISNUMBER(SEARCH("TDD BP",$C19)),"Business Partner",IF(OR(ISNUMBER(SEARCH("domain architect",$C19)),ISNUMBER(SEARCH("enterprise architect",$C19))),"Domain Architect",IF(ISNUMBER(SEARCH("delivery man",$C19)),"Delivery Manager",IF(OR(ISNUMBER(SEARCH("technology manager",$C19)),ISNUMBER(SEARCH("technology manger",$C19)),ISNUMBER(SEARCH("tech manager",$C19))),"Technology Manager","Squad"))))))</f>
        <v>Squad</v>
      </c>
      <c r="AS19" t="str">
        <f>IF(TRIM($B19)="","",IFERROR(INDEX(Lists!$AA:$AA,MATCH($AP19,Lists!$Z:$Z,0)),$AP19))</f>
        <v>Site Systems</v>
      </c>
      <c r="AT19" t="str">
        <f>IF(TRIM($B19)="","",IF(IFERROR(INDEX(Lists!$AP$2:$AP$4,MATCH(ROW(),Lists!$AN$2:$AN$4,0)),"")&lt;&gt;"",IFERROR(INDEX(Lists!$AP$2:$AP$4,MATCH(ROW(),Lists!$AN$2:$AN$4,0)),""),IF(OR(LEFT($AJ19,3)="COE",$AJ19="EGI"),$AP19,IF($AR19&lt;&gt;"Squad",$AR19,$AP19))))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IF(TRIM($B20)="","",IF(N($AU20)&gt;0,$AU20,IF(N($S20)&gt;0,$S20*Lists!$AG$15*(1+N($Z20)),N($U20)*(1+N($V20)+N($W20)+N($X20)+N($Z20))+N($Y20))))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IF(TRIM($B20)="","",IF(IFERROR(INDEX(Lists!$AO$2:$AO$4,MATCH(ROW(),Lists!$AN$2:$AN$4,0)),"")&lt;&gt;"",IFERROR(INDEX(Lists!$AO$2:$AO$4,MATCH(ROW(),Lists!$AN$2:$AN$4,0)),""),IFERROR(INDEX(Lists!$U:$U,MATCH(TRIM($I20),Lists!$T:$T,0)),TRIM($I20))))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",$C20)),"Head of Technology",IF(ISNUMBER(SEARCH("TDD BP",$C20)),"Business Partner",IF(OR(ISNUMBER(SEARCH("domain architect",$C20)),ISNUMBER(SEARCH("enterprise architect",$C20))),"Domain Architect",IF(ISNUMBER(SEARCH("delivery man",$C20)),"Delivery Manager",IF(OR(ISNUMBER(SEARCH("technology manager",$C20)),ISNUMBER(SEARCH("technology manger",$C20)),ISNUMBER(SEARCH("tech manager",$C20))),"Technology Manager","Squad"))))))</f>
        <v>Squad</v>
      </c>
      <c r="AS20" t="str">
        <f>IF(TRIM($B20)="","",IFERROR(INDEX(Lists!$AA:$AA,MATCH($AP20,Lists!$Z:$Z,0)),$AP20))</f>
        <v>Site Systems</v>
      </c>
      <c r="AT20" t="str">
        <f>IF(TRIM($B20)="","",IF(IFERROR(INDEX(Lists!$AP$2:$AP$4,MATCH(ROW(),Lists!$AN$2:$AN$4,0)),"")&lt;&gt;"",IFERROR(INDEX(Lists!$AP$2:$AP$4,MATCH(ROW(),Lists!$AN$2:$AN$4,0)),""),IF(OR(LEFT($AJ20,3)="COE",$AJ20="EGI"),$AP20,IF($AR20&lt;&gt;"Squad",$AR20,$AP20))))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IF(TRIM($B21)="","",IF(N($AU21)&gt;0,$AU21,IF(N($S21)&gt;0,$S21*Lists!$AG$15*(1+N($Z21)),N($U21)*(1+N($V21)+N($W21)+N($X21)+N($Z21))+N($Y21))))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IF(TRIM($B21)="","",IF(IFERROR(INDEX(Lists!$AO$2:$AO$4,MATCH(ROW(),Lists!$AN$2:$AN$4,0)),"")&lt;&gt;"",IFERROR(INDEX(Lists!$AO$2:$AO$4,MATCH(ROW(),Lists!$AN$2:$AN$4,0)),""),IFERROR(INDEX(Lists!$U:$U,MATCH(TRIM($I21),Lists!$T:$T,0)),TRIM($I21))))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",$C21)),"Head of Technology",IF(ISNUMBER(SEARCH("TDD BP",$C21)),"Business Partner",IF(OR(ISNUMBER(SEARCH("domain architect",$C21)),ISNUMBER(SEARCH("enterprise architect",$C21))),"Domain Architect",IF(ISNUMBER(SEARCH("delivery man",$C21)),"Delivery Manager",IF(OR(ISNUMBER(SEARCH("technology manager",$C21)),ISNUMBER(SEARCH("technology manger",$C21)),ISNUMBER(SEARCH("tech manager",$C21))),"Technology Manager","Squad"))))))</f>
        <v>Squad</v>
      </c>
      <c r="AS21" t="str">
        <f>IF(TRIM($B21)="","",IFERROR(INDEX(Lists!$AA:$AA,MATCH($AP21,Lists!$Z:$Z,0)),$AP21))</f>
        <v>Z Retail Backend</v>
      </c>
      <c r="AT21" t="str">
        <f>IF(TRIM($B21)="","",IF(IFERROR(INDEX(Lists!$AP$2:$AP$4,MATCH(ROW(),Lists!$AN$2:$AN$4,0)),"")&lt;&gt;"",IFERROR(INDEX(Lists!$AP$2:$AP$4,MATCH(ROW(),Lists!$AN$2:$AN$4,0)),""),IF(OR(LEFT($AJ21,3)="COE",$AJ21="EGI"),$AP21,IF($AR21&lt;&gt;"Squad",$AR21,$AP21))))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IF(TRIM($B22)="","",IF(N($AU22)&gt;0,$AU22,IF(N($S22)&gt;0,$S22*Lists!$AG$15*(1+N($Z22)),N($U22)*(1+N($V22)+N($W22)+N($X22)+N($Z22))+N($Y22))))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IF(TRIM($B22)="","",IF(IFERROR(INDEX(Lists!$AO$2:$AO$4,MATCH(ROW(),Lists!$AN$2:$AN$4,0)),"")&lt;&gt;"",IFERROR(INDEX(Lists!$AO$2:$AO$4,MATCH(ROW(),Lists!$AN$2:$AN$4,0)),""),IFERROR(INDEX(Lists!$U:$U,MATCH(TRIM($I22),Lists!$T:$T,0)),TRIM($I22))))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",$C22)),"Head of Technology",IF(ISNUMBER(SEARCH("TDD BP",$C22)),"Business Partner",IF(OR(ISNUMBER(SEARCH("domain architect",$C22)),ISNUMBER(SEARCH("enterprise architect",$C22))),"Domain Architect",IF(ISNUMBER(SEARCH("delivery man",$C22)),"Delivery Manager",IF(OR(ISNUMBER(SEARCH("technology manager",$C22)),ISNUMBER(SEARCH("technology manger",$C22)),ISNUMBER(SEARCH("tech manager",$C22))),"Technology Manager","Squad"))))))</f>
        <v>Squad</v>
      </c>
      <c r="AS22" t="str">
        <f>IF(TRIM($B22)="","",IFERROR(INDEX(Lists!$AA:$AA,MATCH($AP22,Lists!$Z:$Z,0)),$AP22))</f>
        <v>Deployment</v>
      </c>
      <c r="AT22" t="str">
        <f>IF(TRIM($B22)="","",IF(IFERROR(INDEX(Lists!$AP$2:$AP$4,MATCH(ROW(),Lists!$AN$2:$AN$4,0)),"")&lt;&gt;"",IFERROR(INDEX(Lists!$AP$2:$AP$4,MATCH(ROW(),Lists!$AN$2:$AN$4,0)),""),IF(OR(LEFT($AJ22,3)="COE",$AJ22="EGI"),$AP22,IF($AR22&lt;&gt;"Squad",$AR22,$AP22))))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IF(TRIM($B23)="","",IF(N($AU23)&gt;0,$AU23,IF(N($S23)&gt;0,$S23*Lists!$AG$15*(1+N($Z23)),N($U23)*(1+N($V23)+N($W23)+N($X23)+N($Z23))+N($Y23))))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IF(TRIM($B23)="","",IF(IFERROR(INDEX(Lists!$AO$2:$AO$4,MATCH(ROW(),Lists!$AN$2:$AN$4,0)),"")&lt;&gt;"",IFERROR(INDEX(Lists!$AO$2:$AO$4,MATCH(ROW(),Lists!$AN$2:$AN$4,0)),""),IFERROR(INDEX(Lists!$U:$U,MATCH(TRIM($I23),Lists!$T:$T,0)),TRIM($I23))))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",$C23)),"Head of Technology",IF(ISNUMBER(SEARCH("TDD BP",$C23)),"Business Partner",IF(OR(ISNUMBER(SEARCH("domain architect",$C23)),ISNUMBER(SEARCH("enterprise architect",$C23))),"Domain Architect",IF(ISNUMBER(SEARCH("delivery man",$C23)),"Delivery Manager",IF(OR(ISNUMBER(SEARCH("technology manager",$C23)),ISNUMBER(SEARCH("technology manger",$C23)),ISNUMBER(SEARCH("tech manager",$C23))),"Technology Manager","Squad"))))))</f>
        <v>Technology Manager</v>
      </c>
      <c r="AS23" t="str">
        <f>IF(TRIM($B23)="","",IFERROR(INDEX(Lists!$AA:$AA,MATCH($AP23,Lists!$Z:$Z,0)),$AP23))</f>
        <v>Leadership</v>
      </c>
      <c r="AT23" t="str">
        <f>IF(TRIM($B23)="","",IF(IFERROR(INDEX(Lists!$AP$2:$AP$4,MATCH(ROW(),Lists!$AN$2:$AN$4,0)),"")&lt;&gt;"",IFERROR(INDEX(Lists!$AP$2:$AP$4,MATCH(ROW(),Lists!$AN$2:$AN$4,0)),""),IF(OR(LEFT($AJ23,3)="COE",$AJ23="EGI"),$AP23,IF($AR23&lt;&gt;"Squad",$AR23,$AP23))))</f>
        <v>Technology Manager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IF(TRIM($B24)="","",IF(N($AU24)&gt;0,$AU24,IF(N($S24)&gt;0,$S24*Lists!$AG$15*(1+N($Z24)),N($U24)*(1+N($V24)+N($W24)+N($X24)+N($Z24))+N($Y24))))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IF(TRIM($B24)="","",IF(IFERROR(INDEX(Lists!$AO$2:$AO$4,MATCH(ROW(),Lists!$AN$2:$AN$4,0)),"")&lt;&gt;"",IFERROR(INDEX(Lists!$AO$2:$AO$4,MATCH(ROW(),Lists!$AN$2:$AN$4,0)),""),IFERROR(INDEX(Lists!$U:$U,MATCH(TRIM($I24),Lists!$T:$T,0)),TRIM($I24))))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",$C24)),"Head of Technology",IF(ISNUMBER(SEARCH("TDD BP",$C24)),"Business Partner",IF(OR(ISNUMBER(SEARCH("domain architect",$C24)),ISNUMBER(SEARCH("enterprise architect",$C24))),"Domain Architect",IF(ISNUMBER(SEARCH("delivery man",$C24)),"Delivery Manager",IF(OR(ISNUMBER(SEARCH("technology manager",$C24)),ISNUMBER(SEARCH("technology manger",$C24)),ISNUMBER(SEARCH("tech manager",$C24))),"Technology Manager","Squad"))))))</f>
        <v>Squad</v>
      </c>
      <c r="AS24" t="str">
        <f>IF(TRIM($B24)="","",IFERROR(INDEX(Lists!$AA:$AA,MATCH($AP24,Lists!$Z:$Z,0)),$AP24))</f>
        <v>Store Operations</v>
      </c>
      <c r="AT24" t="str">
        <f>IF(TRIM($B24)="","",IF(IFERROR(INDEX(Lists!$AP$2:$AP$4,MATCH(ROW(),Lists!$AN$2:$AN$4,0)),"")&lt;&gt;"",IFERROR(INDEX(Lists!$AP$2:$AP$4,MATCH(ROW(),Lists!$AN$2:$AN$4,0)),""),IF(OR(LEFT($AJ24,3)="COE",$AJ24="EGI"),$AP24,IF($AR24&lt;&gt;"Squad",$AR24,$AP24))))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IF(TRIM($B25)="","",IF(N($AU25)&gt;0,$AU25,IF(N($S25)&gt;0,$S25*Lists!$AG$15*(1+N($Z25)),N($U25)*(1+N($V25)+N($W25)+N($X25)+N($Z25))+N($Y25))))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IF(TRIM($B25)="","",IF(IFERROR(INDEX(Lists!$AO$2:$AO$4,MATCH(ROW(),Lists!$AN$2:$AN$4,0)),"")&lt;&gt;"",IFERROR(INDEX(Lists!$AO$2:$AO$4,MATCH(ROW(),Lists!$AN$2:$AN$4,0)),""),IFERROR(INDEX(Lists!$U:$U,MATCH(TRIM($I25),Lists!$T:$T,0)),TRIM($I25))))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",$C25)),"Head of Technology",IF(ISNUMBER(SEARCH("TDD BP",$C25)),"Business Partner",IF(OR(ISNUMBER(SEARCH("domain architect",$C25)),ISNUMBER(SEARCH("enterprise architect",$C25))),"Domain Architect",IF(ISNUMBER(SEARCH("delivery man",$C25)),"Delivery Manager",IF(OR(ISNUMBER(SEARCH("technology manager",$C25)),ISNUMBER(SEARCH("technology manger",$C25)),ISNUMBER(SEARCH("tech manager",$C25))),"Technology Manager","Squad"))))))</f>
        <v>Squad</v>
      </c>
      <c r="AS25" t="str">
        <f>IF(TRIM($B25)="","",IFERROR(INDEX(Lists!$AA:$AA,MATCH($AP25,Lists!$Z:$Z,0)),$AP25))</f>
        <v>Z Supply</v>
      </c>
      <c r="AT25" t="str">
        <f>IF(TRIM($B25)="","",IF(IFERROR(INDEX(Lists!$AP$2:$AP$4,MATCH(ROW(),Lists!$AN$2:$AN$4,0)),"")&lt;&gt;"",IFERROR(INDEX(Lists!$AP$2:$AP$4,MATCH(ROW(),Lists!$AN$2:$AN$4,0)),""),IF(OR(LEFT($AJ25,3)="COE",$AJ25="EGI"),$AP25,IF($AR25&lt;&gt;"Squad",$AR25,$AP25))))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IF(TRIM($B26)="","",IF(N($AU26)&gt;0,$AU26,IF(N($S26)&gt;0,$S26*Lists!$AG$15*(1+N($Z26)),N($U26)*(1+N($V26)+N($W26)+N($X26)+N($Z26))+N($Y26))))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IF(TRIM($B26)="","",IF(IFERROR(INDEX(Lists!$AO$2:$AO$4,MATCH(ROW(),Lists!$AN$2:$AN$4,0)),"")&lt;&gt;"",IFERROR(INDEX(Lists!$AO$2:$AO$4,MATCH(ROW(),Lists!$AN$2:$AN$4,0)),""),IFERROR(INDEX(Lists!$U:$U,MATCH(TRIM($I26),Lists!$T:$T,0)),TRIM($I26))))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",$C26)),"Head of Technology",IF(ISNUMBER(SEARCH("TDD BP",$C26)),"Business Partner",IF(OR(ISNUMBER(SEARCH("domain architect",$C26)),ISNUMBER(SEARCH("enterprise architect",$C26))),"Domain Architect",IF(ISNUMBER(SEARCH("delivery man",$C26)),"Delivery Manager",IF(OR(ISNUMBER(SEARCH("technology manager",$C26)),ISNUMBER(SEARCH("technology manger",$C26)),ISNUMBER(SEARCH("tech manager",$C26))),"Technology Manager","Squad"))))))</f>
        <v>Squad</v>
      </c>
      <c r="AS26" t="str">
        <f>IF(TRIM($B26)="","",IFERROR(INDEX(Lists!$AA:$AA,MATCH($AP26,Lists!$Z:$Z,0)),$AP26))</f>
        <v>Z Supply</v>
      </c>
      <c r="AT26" t="str">
        <f>IF(TRIM($B26)="","",IF(IFERROR(INDEX(Lists!$AP$2:$AP$4,MATCH(ROW(),Lists!$AN$2:$AN$4,0)),"")&lt;&gt;"",IFERROR(INDEX(Lists!$AP$2:$AP$4,MATCH(ROW(),Lists!$AN$2:$AN$4,0)),""),IF(OR(LEFT($AJ26,3)="COE",$AJ26="EGI"),$AP26,IF($AR26&lt;&gt;"Squad",$AR26,$AP26))))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IF(TRIM($B27)="","",IF(N($AU27)&gt;0,$AU27,IF(N($S27)&gt;0,$S27*Lists!$AG$15*(1+N($Z27)),N($U27)*(1+N($V27)+N($W27)+N($X27)+N($Z27))+N($Y27))))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IF(TRIM($B27)="","",IF(IFERROR(INDEX(Lists!$AO$2:$AO$4,MATCH(ROW(),Lists!$AN$2:$AN$4,0)),"")&lt;&gt;"",IFERROR(INDEX(Lists!$AO$2:$AO$4,MATCH(ROW(),Lists!$AN$2:$AN$4,0)),""),IFERROR(INDEX(Lists!$U:$U,MATCH(TRIM($I27),Lists!$T:$T,0)),TRIM($I27))))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",$C27)),"Head of Technology",IF(ISNUMBER(SEARCH("TDD BP",$C27)),"Business Partner",IF(OR(ISNUMBER(SEARCH("domain architect",$C27)),ISNUMBER(SEARCH("enterprise architect",$C27))),"Domain Architect",IF(ISNUMBER(SEARCH("delivery man",$C27)),"Delivery Manager",IF(OR(ISNUMBER(SEARCH("technology manager",$C27)),ISNUMBER(SEARCH("technology manger",$C27)),ISNUMBER(SEARCH("tech manager",$C27))),"Technology Manager","Squad"))))))</f>
        <v>Squad</v>
      </c>
      <c r="AS27" t="str">
        <f>IF(TRIM($B27)="","",IFERROR(INDEX(Lists!$AA:$AA,MATCH($AP27,Lists!$Z:$Z,0)),$AP27))</f>
        <v>Store Operations</v>
      </c>
      <c r="AT27" t="str">
        <f>IF(TRIM($B27)="","",IF(IFERROR(INDEX(Lists!$AP$2:$AP$4,MATCH(ROW(),Lists!$AN$2:$AN$4,0)),"")&lt;&gt;"",IFERROR(INDEX(Lists!$AP$2:$AP$4,MATCH(ROW(),Lists!$AN$2:$AN$4,0)),""),IF(OR(LEFT($AJ27,3)="COE",$AJ27="EGI"),$AP27,IF($AR27&lt;&gt;"Squad",$AR27,$AP27))))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IF(TRIM($B28)="","",IF(N($AU28)&gt;0,$AU28,IF(N($S28)&gt;0,$S28*Lists!$AG$15*(1+N($Z28)),N($U28)*(1+N($V28)+N($W28)+N($X28)+N($Z28))+N($Y28))))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IF(TRIM($B28)="","",IF(IFERROR(INDEX(Lists!$AO$2:$AO$4,MATCH(ROW(),Lists!$AN$2:$AN$4,0)),"")&lt;&gt;"",IFERROR(INDEX(Lists!$AO$2:$AO$4,MATCH(ROW(),Lists!$AN$2:$AN$4,0)),""),IFERROR(INDEX(Lists!$U:$U,MATCH(TRIM($I28),Lists!$T:$T,0)),TRIM($I28))))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",$C28)),"Head of Technology",IF(ISNUMBER(SEARCH("TDD BP",$C28)),"Business Partner",IF(OR(ISNUMBER(SEARCH("domain architect",$C28)),ISNUMBER(SEARCH("enterprise architect",$C28))),"Domain Architect",IF(ISNUMBER(SEARCH("delivery man",$C28)),"Delivery Manager",IF(OR(ISNUMBER(SEARCH("technology manager",$C28)),ISNUMBER(SEARCH("technology manger",$C28)),ISNUMBER(SEARCH("tech manager",$C28))),"Technology Manager","Squad"))))))</f>
        <v>Squad</v>
      </c>
      <c r="AS28" t="str">
        <f>IF(TRIM($B28)="","",IFERROR(INDEX(Lists!$AA:$AA,MATCH($AP28,Lists!$Z:$Z,0)),$AP28))</f>
        <v>Store Operations</v>
      </c>
      <c r="AT28" t="str">
        <f>IF(TRIM($B28)="","",IF(IFERROR(INDEX(Lists!$AP$2:$AP$4,MATCH(ROW(),Lists!$AN$2:$AN$4,0)),"")&lt;&gt;"",IFERROR(INDEX(Lists!$AP$2:$AP$4,MATCH(ROW(),Lists!$AN$2:$AN$4,0)),""),IF(OR(LEFT($AJ28,3)="COE",$AJ28="EGI"),$AP28,IF($AR28&lt;&gt;"Squad",$AR28,$AP28))))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IF(TRIM($B29)="","",IF(N($AU29)&gt;0,$AU29,IF(N($S29)&gt;0,$S29*Lists!$AG$15*(1+N($Z29)),N($U29)*(1+N($V29)+N($W29)+N($X29)+N($Z29))+N($Y29))))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IF(TRIM($B29)="","",IF(IFERROR(INDEX(Lists!$AO$2:$AO$4,MATCH(ROW(),Lists!$AN$2:$AN$4,0)),"")&lt;&gt;"",IFERROR(INDEX(Lists!$AO$2:$AO$4,MATCH(ROW(),Lists!$AN$2:$AN$4,0)),""),IFERROR(INDEX(Lists!$U:$U,MATCH(TRIM($I29),Lists!$T:$T,0)),TRIM($I29))))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",$C29)),"Head of Technology",IF(ISNUMBER(SEARCH("TDD BP",$C29)),"Business Partner",IF(OR(ISNUMBER(SEARCH("domain architect",$C29)),ISNUMBER(SEARCH("enterprise architect",$C29))),"Domain Architect",IF(ISNUMBER(SEARCH("delivery man",$C29)),"Delivery Manager",IF(OR(ISNUMBER(SEARCH("technology manager",$C29)),ISNUMBER(SEARCH("technology manger",$C29)),ISNUMBER(SEARCH("tech manager",$C29))),"Technology Manager","Squad"))))))</f>
        <v>Squad</v>
      </c>
      <c r="AS29" t="str">
        <f>IF(TRIM($B29)="","",IFERROR(INDEX(Lists!$AA:$AA,MATCH($AP29,Lists!$Z:$Z,0)),$AP29))</f>
        <v>Z Supply</v>
      </c>
      <c r="AT29" t="str">
        <f>IF(TRIM($B29)="","",IF(IFERROR(INDEX(Lists!$AP$2:$AP$4,MATCH(ROW(),Lists!$AN$2:$AN$4,0)),"")&lt;&gt;"",IFERROR(INDEX(Lists!$AP$2:$AP$4,MATCH(ROW(),Lists!$AN$2:$AN$4,0)),""),IF(OR(LEFT($AJ29,3)="COE",$AJ29="EGI"),$AP29,IF($AR29&lt;&gt;"Squad",$AR29,$AP29))))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IF(TRIM($B30)="","",IF(N($AU30)&gt;0,$AU30,IF(N($S30)&gt;0,$S30*Lists!$AG$15*(1+N($Z30)),N($U30)*(1+N($V30)+N($W30)+N($X30)+N($Z30))+N($Y30))))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IF(TRIM($B30)="","",IF(IFERROR(INDEX(Lists!$AO$2:$AO$4,MATCH(ROW(),Lists!$AN$2:$AN$4,0)),"")&lt;&gt;"",IFERROR(INDEX(Lists!$AO$2:$AO$4,MATCH(ROW(),Lists!$AN$2:$AN$4,0)),""),IFERROR(INDEX(Lists!$U:$U,MATCH(TRIM($I30),Lists!$T:$T,0)),TRIM($I30))))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",$C30)),"Head of Technology",IF(ISNUMBER(SEARCH("TDD BP",$C30)),"Business Partner",IF(OR(ISNUMBER(SEARCH("domain architect",$C30)),ISNUMBER(SEARCH("enterprise architect",$C30))),"Domain Architect",IF(ISNUMBER(SEARCH("delivery man",$C30)),"Delivery Manager",IF(OR(ISNUMBER(SEARCH("technology manager",$C30)),ISNUMBER(SEARCH("technology manger",$C30)),ISNUMBER(SEARCH("tech manager",$C30))),"Technology Manager","Squad"))))))</f>
        <v>Squad</v>
      </c>
      <c r="AS30" t="str">
        <f>IF(TRIM($B30)="","",IFERROR(INDEX(Lists!$AA:$AA,MATCH($AP30,Lists!$Z:$Z,0)),$AP30))</f>
        <v>AmPOS</v>
      </c>
      <c r="AT30" t="str">
        <f>IF(TRIM($B30)="","",IF(IFERROR(INDEX(Lists!$AP$2:$AP$4,MATCH(ROW(),Lists!$AN$2:$AN$4,0)),"")&lt;&gt;"",IFERROR(INDEX(Lists!$AP$2:$AP$4,MATCH(ROW(),Lists!$AN$2:$AN$4,0)),""),IF(OR(LEFT($AJ30,3)="COE",$AJ30="EGI"),$AP30,IF($AR30&lt;&gt;"Squad",$AR30,$AP30))))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IF(TRIM($B31)="","",IF(N($AU31)&gt;0,$AU31,IF(N($S31)&gt;0,$S31*Lists!$AG$15*(1+N($Z31)),N($U31)*(1+N($V31)+N($W31)+N($X31)+N($Z31))+N($Y31))))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IF(TRIM($B31)="","",IF(IFERROR(INDEX(Lists!$AO$2:$AO$4,MATCH(ROW(),Lists!$AN$2:$AN$4,0)),"")&lt;&gt;"",IFERROR(INDEX(Lists!$AO$2:$AO$4,MATCH(ROW(),Lists!$AN$2:$AN$4,0)),""),IFERROR(INDEX(Lists!$U:$U,MATCH(TRIM($I31),Lists!$T:$T,0)),TRIM($I31))))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",$C31)),"Head of Technology",IF(ISNUMBER(SEARCH("TDD BP",$C31)),"Business Partner",IF(OR(ISNUMBER(SEARCH("domain architect",$C31)),ISNUMBER(SEARCH("enterprise architect",$C31))),"Domain Architect",IF(ISNUMBER(SEARCH("delivery man",$C31)),"Delivery Manager",IF(OR(ISNUMBER(SEARCH("technology manager",$C31)),ISNUMBER(SEARCH("technology manger",$C31)),ISNUMBER(SEARCH("tech manager",$C31))),"Technology Manager","Squad"))))))</f>
        <v>Squad</v>
      </c>
      <c r="AS31" t="str">
        <f>IF(TRIM($B31)="","",IFERROR(INDEX(Lists!$AA:$AA,MATCH($AP31,Lists!$Z:$Z,0)),$AP31))</f>
        <v>Z Supply</v>
      </c>
      <c r="AT31" t="str">
        <f>IF(TRIM($B31)="","",IF(IFERROR(INDEX(Lists!$AP$2:$AP$4,MATCH(ROW(),Lists!$AN$2:$AN$4,0)),"")&lt;&gt;"",IFERROR(INDEX(Lists!$AP$2:$AP$4,MATCH(ROW(),Lists!$AN$2:$AN$4,0)),""),IF(OR(LEFT($AJ31,3)="COE",$AJ31="EGI"),$AP31,IF($AR31&lt;&gt;"Squad",$AR31,$AP31))))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IF(TRIM($B32)="","",IF(N($AU32)&gt;0,$AU32,IF(N($S32)&gt;0,$S32*Lists!$AG$15*(1+N($Z32)),N($U32)*(1+N($V32)+N($W32)+N($X32)+N($Z32))+N($Y32))))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IF(TRIM($B32)="","",IF(IFERROR(INDEX(Lists!$AO$2:$AO$4,MATCH(ROW(),Lists!$AN$2:$AN$4,0)),"")&lt;&gt;"",IFERROR(INDEX(Lists!$AO$2:$AO$4,MATCH(ROW(),Lists!$AN$2:$AN$4,0)),""),IFERROR(INDEX(Lists!$U:$U,MATCH(TRIM($I32),Lists!$T:$T,0)),TRIM($I32))))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",$C32)),"Head of Technology",IF(ISNUMBER(SEARCH("TDD BP",$C32)),"Business Partner",IF(OR(ISNUMBER(SEARCH("domain architect",$C32)),ISNUMBER(SEARCH("enterprise architect",$C32))),"Domain Architect",IF(ISNUMBER(SEARCH("delivery man",$C32)),"Delivery Manager",IF(OR(ISNUMBER(SEARCH("technology manager",$C32)),ISNUMBER(SEARCH("technology manger",$C32)),ISNUMBER(SEARCH("tech manager",$C32))),"Technology Manager","Squad"))))))</f>
        <v>Squad</v>
      </c>
      <c r="AS32" t="str">
        <f>IF(TRIM($B32)="","",IFERROR(INDEX(Lists!$AA:$AA,MATCH($AP32,Lists!$Z:$Z,0)),$AP32))</f>
        <v>Network &amp; QSR</v>
      </c>
      <c r="AT32" t="str">
        <f>IF(TRIM($B32)="","",IF(IFERROR(INDEX(Lists!$AP$2:$AP$4,MATCH(ROW(),Lists!$AN$2:$AN$4,0)),"")&lt;&gt;"",IFERROR(INDEX(Lists!$AP$2:$AP$4,MATCH(ROW(),Lists!$AN$2:$AN$4,0)),""),IF(OR(LEFT($AJ32,3)="COE",$AJ32="EGI"),$AP32,IF($AR32&lt;&gt;"Squad",$AR32,$AP32))))</f>
        <v>Network &amp;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IF(TRIM($B33)="","",IF(N($AU33)&gt;0,$AU33,IF(N($S33)&gt;0,$S33*Lists!$AG$15*(1+N($Z33)),N($U33)*(1+N($V33)+N($W33)+N($X33)+N($Z33))+N($Y33))))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IF(TRIM($B33)="","",IF(IFERROR(INDEX(Lists!$AO$2:$AO$4,MATCH(ROW(),Lists!$AN$2:$AN$4,0)),"")&lt;&gt;"",IFERROR(INDEX(Lists!$AO$2:$AO$4,MATCH(ROW(),Lists!$AN$2:$AN$4,0)),""),IFERROR(INDEX(Lists!$U:$U,MATCH(TRIM($I33),Lists!$T:$T,0)),TRIM($I33))))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",$C33)),"Head of Technology",IF(ISNUMBER(SEARCH("TDD BP",$C33)),"Business Partner",IF(OR(ISNUMBER(SEARCH("domain architect",$C33)),ISNUMBER(SEARCH("enterprise architect",$C33))),"Domain Architect",IF(ISNUMBER(SEARCH("delivery man",$C33)),"Delivery Manager",IF(OR(ISNUMBER(SEARCH("technology manager",$C33)),ISNUMBER(SEARCH("technology manger",$C33)),ISNUMBER(SEARCH("tech manager",$C33))),"Technology Manager","Squad"))))))</f>
        <v>Squad</v>
      </c>
      <c r="AS33" t="str">
        <f>IF(TRIM($B33)="","",IFERROR(INDEX(Lists!$AA:$AA,MATCH($AP33,Lists!$Z:$Z,0)),$AP33))</f>
        <v>Data NZ</v>
      </c>
      <c r="AT33" t="str">
        <f>IF(TRIM($B33)="","",IF(IFERROR(INDEX(Lists!$AP$2:$AP$4,MATCH(ROW(),Lists!$AN$2:$AN$4,0)),"")&lt;&gt;"",IFERROR(INDEX(Lists!$AP$2:$AP$4,MATCH(ROW(),Lists!$AN$2:$AN$4,0)),""),IF(OR(LEFT($AJ33,3)="COE",$AJ33="EGI"),$AP33,IF($AR33&lt;&gt;"Squad",$AR33,$AP33))))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IF(TRIM($B34)="","",IF(N($AU34)&gt;0,$AU34,IF(N($S34)&gt;0,$S34*Lists!$AG$15*(1+N($Z34)),N($U34)*(1+N($V34)+N($W34)+N($X34)+N($Z34))+N($Y34))))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IF(TRIM($B34)="","",IF(IFERROR(INDEX(Lists!$AO$2:$AO$4,MATCH(ROW(),Lists!$AN$2:$AN$4,0)),"")&lt;&gt;"",IFERROR(INDEX(Lists!$AO$2:$AO$4,MATCH(ROW(),Lists!$AN$2:$AN$4,0)),""),IFERROR(INDEX(Lists!$U:$U,MATCH(TRIM($I34),Lists!$T:$T,0)),TRIM($I34))))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",$C34)),"Head of Technology",IF(ISNUMBER(SEARCH("TDD BP",$C34)),"Business Partner",IF(OR(ISNUMBER(SEARCH("domain architect",$C34)),ISNUMBER(SEARCH("enterprise architect",$C34))),"Domain Architect",IF(ISNUMBER(SEARCH("delivery man",$C34)),"Delivery Manager",IF(OR(ISNUMBER(SEARCH("technology manager",$C34)),ISNUMBER(SEARCH("technology manger",$C34)),ISNUMBER(SEARCH("tech manager",$C34))),"Technology Manager","Squad"))))))</f>
        <v>Squad</v>
      </c>
      <c r="AS34" t="str">
        <f>IF(TRIM($B34)="","",IFERROR(INDEX(Lists!$AA:$AA,MATCH($AP34,Lists!$Z:$Z,0)),$AP34))</f>
        <v>Z Supply</v>
      </c>
      <c r="AT34" t="str">
        <f>IF(TRIM($B34)="","",IF(IFERROR(INDEX(Lists!$AP$2:$AP$4,MATCH(ROW(),Lists!$AN$2:$AN$4,0)),"")&lt;&gt;"",IFERROR(INDEX(Lists!$AP$2:$AP$4,MATCH(ROW(),Lists!$AN$2:$AN$4,0)),""),IF(OR(LEFT($AJ34,3)="COE",$AJ34="EGI"),$AP34,IF($AR34&lt;&gt;"Squad",$AR34,$AP34))))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IF(TRIM($B35)="","",IF(N($AU35)&gt;0,$AU35,IF(N($S35)&gt;0,$S35*Lists!$AG$15*(1+N($Z35)),N($U35)*(1+N($V35)+N($W35)+N($X35)+N($Z35))+N($Y35))))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IF(TRIM($B35)="","",IF(IFERROR(INDEX(Lists!$AO$2:$AO$4,MATCH(ROW(),Lists!$AN$2:$AN$4,0)),"")&lt;&gt;"",IFERROR(INDEX(Lists!$AO$2:$AO$4,MATCH(ROW(),Lists!$AN$2:$AN$4,0)),""),IFERROR(INDEX(Lists!$U:$U,MATCH(TRIM($I35),Lists!$T:$T,0)),TRIM($I35))))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",$C35)),"Head of Technology",IF(ISNUMBER(SEARCH("TDD BP",$C35)),"Business Partner",IF(OR(ISNUMBER(SEARCH("domain architect",$C35)),ISNUMBER(SEARCH("enterprise architect",$C35))),"Domain Architect",IF(ISNUMBER(SEARCH("delivery man",$C35)),"Delivery Manager",IF(OR(ISNUMBER(SEARCH("technology manager",$C35)),ISNUMBER(SEARCH("technology manger",$C35)),ISNUMBER(SEARCH("tech manager",$C35))),"Technology Manager","Squad"))))))</f>
        <v>Squad</v>
      </c>
      <c r="AS35" t="str">
        <f>IF(TRIM($B35)="","",IFERROR(INDEX(Lists!$AA:$AA,MATCH($AP35,Lists!$Z:$Z,0)),$AP35))</f>
        <v>Z Supply</v>
      </c>
      <c r="AT35" t="str">
        <f>IF(TRIM($B35)="","",IF(IFERROR(INDEX(Lists!$AP$2:$AP$4,MATCH(ROW(),Lists!$AN$2:$AN$4,0)),"")&lt;&gt;"",IFERROR(INDEX(Lists!$AP$2:$AP$4,MATCH(ROW(),Lists!$AN$2:$AN$4,0)),""),IF(OR(LEFT($AJ35,3)="COE",$AJ35="EGI"),$AP35,IF($AR35&lt;&gt;"Squad",$AR35,$AP35))))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IF(TRIM($B36)="","",IF(N($AU36)&gt;0,$AU36,IF(N($S36)&gt;0,$S36*Lists!$AG$15*(1+N($Z36)),N($U36)*(1+N($V36)+N($W36)+N($X36)+N($Z36))+N($Y36))))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IF(TRIM($B36)="","",IF(IFERROR(INDEX(Lists!$AO$2:$AO$4,MATCH(ROW(),Lists!$AN$2:$AN$4,0)),"")&lt;&gt;"",IFERROR(INDEX(Lists!$AO$2:$AO$4,MATCH(ROW(),Lists!$AN$2:$AN$4,0)),""),IFERROR(INDEX(Lists!$U:$U,MATCH(TRIM($I36),Lists!$T:$T,0)),TRIM($I36))))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",$C36)),"Head of Technology",IF(ISNUMBER(SEARCH("TDD BP",$C36)),"Business Partner",IF(OR(ISNUMBER(SEARCH("domain architect",$C36)),ISNUMBER(SEARCH("enterprise architect",$C36))),"Domain Architect",IF(ISNUMBER(SEARCH("delivery man",$C36)),"Delivery Manager",IF(OR(ISNUMBER(SEARCH("technology manager",$C36)),ISNUMBER(SEARCH("technology manger",$C36)),ISNUMBER(SEARCH("tech manager",$C36))),"Technology Manager","Squad"))))))</f>
        <v>Squad</v>
      </c>
      <c r="AS36" t="str">
        <f>IF(TRIM($B36)="","",IFERROR(INDEX(Lists!$AA:$AA,MATCH($AP36,Lists!$Z:$Z,0)),$AP36))</f>
        <v>Above Store</v>
      </c>
      <c r="AT36" t="str">
        <f>IF(TRIM($B36)="","",IF(IFERROR(INDEX(Lists!$AP$2:$AP$4,MATCH(ROW(),Lists!$AN$2:$AN$4,0)),"")&lt;&gt;"",IFERROR(INDEX(Lists!$AP$2:$AP$4,MATCH(ROW(),Lists!$AN$2:$AN$4,0)),""),IF(OR(LEFT($AJ36,3)="COE",$AJ36="EGI"),$AP36,IF($AR36&lt;&gt;"Squad",$AR36,$AP36))))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IF(TRIM($B37)="","",IF(N($AU37)&gt;0,$AU37,IF(N($S37)&gt;0,$S37*Lists!$AG$15*(1+N($Z37)),N($U37)*(1+N($V37)+N($W37)+N($X37)+N($Z37))+N($Y37))))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IF(TRIM($B37)="","",IF(IFERROR(INDEX(Lists!$AO$2:$AO$4,MATCH(ROW(),Lists!$AN$2:$AN$4,0)),"")&lt;&gt;"",IFERROR(INDEX(Lists!$AO$2:$AO$4,MATCH(ROW(),Lists!$AN$2:$AN$4,0)),""),IFERROR(INDEX(Lists!$U:$U,MATCH(TRIM($I37),Lists!$T:$T,0)),TRIM($I37))))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",$C37)),"Head of Technology",IF(ISNUMBER(SEARCH("TDD BP",$C37)),"Business Partner",IF(OR(ISNUMBER(SEARCH("domain architect",$C37)),ISNUMBER(SEARCH("enterprise architect",$C37))),"Domain Architect",IF(ISNUMBER(SEARCH("delivery man",$C37)),"Delivery Manager",IF(OR(ISNUMBER(SEARCH("technology manager",$C37)),ISNUMBER(SEARCH("technology manger",$C37)),ISNUMBER(SEARCH("tech manager",$C37))),"Technology Manager","Squad"))))))</f>
        <v>Squad</v>
      </c>
      <c r="AS37" t="str">
        <f>IF(TRIM($B37)="","",IFERROR(INDEX(Lists!$AA:$AA,MATCH($AP37,Lists!$Z:$Z,0)),$AP37))</f>
        <v>AmPOS</v>
      </c>
      <c r="AT37" t="str">
        <f>IF(TRIM($B37)="","",IF(IFERROR(INDEX(Lists!$AP$2:$AP$4,MATCH(ROW(),Lists!$AN$2:$AN$4,0)),"")&lt;&gt;"",IFERROR(INDEX(Lists!$AP$2:$AP$4,MATCH(ROW(),Lists!$AN$2:$AN$4,0)),""),IF(OR(LEFT($AJ37,3)="COE",$AJ37="EGI"),$AP37,IF($AR37&lt;&gt;"Squad",$AR37,$AP37))))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IF(TRIM($B38)="","",IF(N($AU38)&gt;0,$AU38,IF(N($S38)&gt;0,$S38*Lists!$AG$15*(1+N($Z38)),N($U38)*(1+N($V38)+N($W38)+N($X38)+N($Z38))+N($Y38))))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IF(TRIM($B38)="","",IF(IFERROR(INDEX(Lists!$AO$2:$AO$4,MATCH(ROW(),Lists!$AN$2:$AN$4,0)),"")&lt;&gt;"",IFERROR(INDEX(Lists!$AO$2:$AO$4,MATCH(ROW(),Lists!$AN$2:$AN$4,0)),""),IFERROR(INDEX(Lists!$U:$U,MATCH(TRIM($I38),Lists!$T:$T,0)),TRIM($I38))))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",$C38)),"Head of Technology",IF(ISNUMBER(SEARCH("TDD BP",$C38)),"Business Partner",IF(OR(ISNUMBER(SEARCH("domain architect",$C38)),ISNUMBER(SEARCH("enterprise architect",$C38))),"Domain Architect",IF(ISNUMBER(SEARCH("delivery man",$C38)),"Delivery Manager",IF(OR(ISNUMBER(SEARCH("technology manager",$C38)),ISNUMBER(SEARCH("technology manger",$C38)),ISNUMBER(SEARCH("tech manager",$C38))),"Technology Manager","Squad"))))))</f>
        <v>Squad</v>
      </c>
      <c r="AS38" t="str">
        <f>IF(TRIM($B38)="","",IFERROR(INDEX(Lists!$AA:$AA,MATCH($AP38,Lists!$Z:$Z,0)),$AP38))</f>
        <v>Store Operations</v>
      </c>
      <c r="AT38" t="str">
        <f>IF(TRIM($B38)="","",IF(IFERROR(INDEX(Lists!$AP$2:$AP$4,MATCH(ROW(),Lists!$AN$2:$AN$4,0)),"")&lt;&gt;"",IFERROR(INDEX(Lists!$AP$2:$AP$4,MATCH(ROW(),Lists!$AN$2:$AN$4,0)),""),IF(OR(LEFT($AJ38,3)="COE",$AJ38="EGI"),$AP38,IF($AR38&lt;&gt;"Squad",$AR38,$AP38))))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IF(TRIM($B39)="","",IF(N($AU39)&gt;0,$AU39,IF(N($S39)&gt;0,$S39*Lists!$AG$15*(1+N($Z39)),N($U39)*(1+N($V39)+N($W39)+N($X39)+N($Z39))+N($Y39))))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IF(TRIM($B39)="","",IF(IFERROR(INDEX(Lists!$AO$2:$AO$4,MATCH(ROW(),Lists!$AN$2:$AN$4,0)),"")&lt;&gt;"",IFERROR(INDEX(Lists!$AO$2:$AO$4,MATCH(ROW(),Lists!$AN$2:$AN$4,0)),""),IFERROR(INDEX(Lists!$U:$U,MATCH(TRIM($I39),Lists!$T:$T,0)),TRIM($I39))))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",$C39)),"Head of Technology",IF(ISNUMBER(SEARCH("TDD BP",$C39)),"Business Partner",IF(OR(ISNUMBER(SEARCH("domain architect",$C39)),ISNUMBER(SEARCH("enterprise architect",$C39))),"Domain Architect",IF(ISNUMBER(SEARCH("delivery man",$C39)),"Delivery Manager",IF(OR(ISNUMBER(SEARCH("technology manager",$C39)),ISNUMBER(SEARCH("technology manger",$C39)),ISNUMBER(SEARCH("tech manager",$C39))),"Technology Manager","Squad"))))))</f>
        <v>Squad</v>
      </c>
      <c r="AS39" t="str">
        <f>IF(TRIM($B39)="","",IFERROR(INDEX(Lists!$AA:$AA,MATCH($AP39,Lists!$Z:$Z,0)),$AP39))</f>
        <v>AmPOS</v>
      </c>
      <c r="AT39" t="str">
        <f>IF(TRIM($B39)="","",IF(IFERROR(INDEX(Lists!$AP$2:$AP$4,MATCH(ROW(),Lists!$AN$2:$AN$4,0)),"")&lt;&gt;"",IFERROR(INDEX(Lists!$AP$2:$AP$4,MATCH(ROW(),Lists!$AN$2:$AN$4,0)),""),IF(OR(LEFT($AJ39,3)="COE",$AJ39="EGI"),$AP39,IF($AR39&lt;&gt;"Squad",$AR39,$AP39))))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IF(TRIM($B40)="","",IF(N($AU40)&gt;0,$AU40,IF(N($S40)&gt;0,$S40*Lists!$AG$15*(1+N($Z40)),N($U40)*(1+N($V40)+N($W40)+N($X40)+N($Z40))+N($Y40))))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IF(TRIM($B40)="","",IF(IFERROR(INDEX(Lists!$AO$2:$AO$4,MATCH(ROW(),Lists!$AN$2:$AN$4,0)),"")&lt;&gt;"",IFERROR(INDEX(Lists!$AO$2:$AO$4,MATCH(ROW(),Lists!$AN$2:$AN$4,0)),""),IFERROR(INDEX(Lists!$U:$U,MATCH(TRIM($I40),Lists!$T:$T,0)),TRIM($I40))))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",$C40)),"Head of Technology",IF(ISNUMBER(SEARCH("TDD BP",$C40)),"Business Partner",IF(OR(ISNUMBER(SEARCH("domain architect",$C40)),ISNUMBER(SEARCH("enterprise architect",$C40))),"Domain Architect",IF(ISNUMBER(SEARCH("delivery man",$C40)),"Delivery Manager",IF(OR(ISNUMBER(SEARCH("technology manager",$C40)),ISNUMBER(SEARCH("technology manger",$C40)),ISNUMBER(SEARCH("tech manager",$C40))),"Technology Manager","Squad"))))))</f>
        <v>Squad</v>
      </c>
      <c r="AS40" t="str">
        <f>IF(TRIM($B40)="","",IFERROR(INDEX(Lists!$AA:$AA,MATCH($AP40,Lists!$Z:$Z,0)),$AP40))</f>
        <v>Site Systems</v>
      </c>
      <c r="AT40" t="str">
        <f>IF(TRIM($B40)="","",IF(IFERROR(INDEX(Lists!$AP$2:$AP$4,MATCH(ROW(),Lists!$AN$2:$AN$4,0)),"")&lt;&gt;"",IFERROR(INDEX(Lists!$AP$2:$AP$4,MATCH(ROW(),Lists!$AN$2:$AN$4,0)),""),IF(OR(LEFT($AJ40,3)="COE",$AJ40="EGI"),$AP40,IF($AR40&lt;&gt;"Squad",$AR40,$AP40))))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IF(TRIM($B41)="","",IF(N($AU41)&gt;0,$AU41,IF(N($S41)&gt;0,$S41*Lists!$AG$15*(1+N($Z41)),N($U41)*(1+N($V41)+N($W41)+N($X41)+N($Z41))+N($Y41))))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IF(TRIM($B41)="","",IF(IFERROR(INDEX(Lists!$AO$2:$AO$4,MATCH(ROW(),Lists!$AN$2:$AN$4,0)),"")&lt;&gt;"",IFERROR(INDEX(Lists!$AO$2:$AO$4,MATCH(ROW(),Lists!$AN$2:$AN$4,0)),""),IFERROR(INDEX(Lists!$U:$U,MATCH(TRIM($I41),Lists!$T:$T,0)),TRIM($I41))))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",$C41)),"Head of Technology",IF(ISNUMBER(SEARCH("TDD BP",$C41)),"Business Partner",IF(OR(ISNUMBER(SEARCH("domain architect",$C41)),ISNUMBER(SEARCH("enterprise architect",$C41))),"Domain Architect",IF(ISNUMBER(SEARCH("delivery man",$C41)),"Delivery Manager",IF(OR(ISNUMBER(SEARCH("technology manager",$C41)),ISNUMBER(SEARCH("technology manger",$C41)),ISNUMBER(SEARCH("tech manager",$C41))),"Technology Manager","Squad"))))))</f>
        <v>Squad</v>
      </c>
      <c r="AS41" t="str">
        <f>IF(TRIM($B41)="","",IFERROR(INDEX(Lists!$AA:$AA,MATCH($AP41,Lists!$Z:$Z,0)),$AP41))</f>
        <v>Z Retail Backend</v>
      </c>
      <c r="AT41" t="str">
        <f>IF(TRIM($B41)="","",IF(IFERROR(INDEX(Lists!$AP$2:$AP$4,MATCH(ROW(),Lists!$AN$2:$AN$4,0)),"")&lt;&gt;"",IFERROR(INDEX(Lists!$AP$2:$AP$4,MATCH(ROW(),Lists!$AN$2:$AN$4,0)),""),IF(OR(LEFT($AJ41,3)="COE",$AJ41="EGI"),$AP41,IF($AR41&lt;&gt;"Squad",$AR41,$AP41))))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IF(TRIM($B42)="","",IF(N($AU42)&gt;0,$AU42,IF(N($S42)&gt;0,$S42*Lists!$AG$15*(1+N($Z42)),N($U42)*(1+N($V42)+N($W42)+N($X42)+N($Z42))+N($Y42))))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IF(TRIM($B42)="","",IF(IFERROR(INDEX(Lists!$AO$2:$AO$4,MATCH(ROW(),Lists!$AN$2:$AN$4,0)),"")&lt;&gt;"",IFERROR(INDEX(Lists!$AO$2:$AO$4,MATCH(ROW(),Lists!$AN$2:$AN$4,0)),""),IFERROR(INDEX(Lists!$U:$U,MATCH(TRIM($I42),Lists!$T:$T,0)),TRIM($I42))))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",$C42)),"Head of Technology",IF(ISNUMBER(SEARCH("TDD BP",$C42)),"Business Partner",IF(OR(ISNUMBER(SEARCH("domain architect",$C42)),ISNUMBER(SEARCH("enterprise architect",$C42))),"Domain Architect",IF(ISNUMBER(SEARCH("delivery man",$C42)),"Delivery Manager",IF(OR(ISNUMBER(SEARCH("technology manager",$C42)),ISNUMBER(SEARCH("technology manger",$C42)),ISNUMBER(SEARCH("tech manager",$C42))),"Technology Manager","Squad"))))))</f>
        <v>Head of Technology</v>
      </c>
      <c r="AS42" t="str">
        <f>IF(TRIM($B42)="","",IFERROR(INDEX(Lists!$AA:$AA,MATCH($AP42,Lists!$Z:$Z,0)),$AP42))</f>
        <v>Leadership</v>
      </c>
      <c r="AT42" t="str">
        <f>IF(TRIM($B42)="","",IF(IFERROR(INDEX(Lists!$AP$2:$AP$4,MATCH(ROW(),Lists!$AN$2:$AN$4,0)),"")&lt;&gt;"",IFERROR(INDEX(Lists!$AP$2:$AP$4,MATCH(ROW(),Lists!$AN$2:$AN$4,0)),""),IF(OR(LEFT($AJ42,3)="COE",$AJ42="EGI"),$AP42,IF($AR42&lt;&gt;"Squad",$AR42,$AP42))))</f>
        <v>Head of Technology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IF(TRIM($B43)="","",IF(N($AU43)&gt;0,$AU43,IF(N($S43)&gt;0,$S43*Lists!$AG$15*(1+N($Z43)),N($U43)*(1+N($V43)+N($W43)+N($X43)+N($Z43))+N($Y43))))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IF(TRIM($B43)="","",IF(IFERROR(INDEX(Lists!$AO$2:$AO$4,MATCH(ROW(),Lists!$AN$2:$AN$4,0)),"")&lt;&gt;"",IFERROR(INDEX(Lists!$AO$2:$AO$4,MATCH(ROW(),Lists!$AN$2:$AN$4,0)),""),IFERROR(INDEX(Lists!$U:$U,MATCH(TRIM($I43),Lists!$T:$T,0)),TRIM($I43))))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",$C43)),"Head of Technology",IF(ISNUMBER(SEARCH("TDD BP",$C43)),"Business Partner",IF(OR(ISNUMBER(SEARCH("domain architect",$C43)),ISNUMBER(SEARCH("enterprise architect",$C43))),"Domain Architect",IF(ISNUMBER(SEARCH("delivery man",$C43)),"Delivery Manager",IF(OR(ISNUMBER(SEARCH("technology manager",$C43)),ISNUMBER(SEARCH("technology manger",$C43)),ISNUMBER(SEARCH("tech manager",$C43))),"Technology Manager","Squad"))))))</f>
        <v>Squad</v>
      </c>
      <c r="AS43" t="str">
        <f>IF(TRIM($B43)="","",IFERROR(INDEX(Lists!$AA:$AA,MATCH($AP43,Lists!$Z:$Z,0)),$AP43))</f>
        <v>Above Store</v>
      </c>
      <c r="AT43" t="str">
        <f>IF(TRIM($B43)="","",IF(IFERROR(INDEX(Lists!$AP$2:$AP$4,MATCH(ROW(),Lists!$AN$2:$AN$4,0)),"")&lt;&gt;"",IFERROR(INDEX(Lists!$AP$2:$AP$4,MATCH(ROW(),Lists!$AN$2:$AN$4,0)),""),IF(OR(LEFT($AJ43,3)="COE",$AJ43="EGI"),$AP43,IF($AR43&lt;&gt;"Squad",$AR43,$AP43))))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IF(TRIM($B44)="","",IF(N($AU44)&gt;0,$AU44,IF(N($S44)&gt;0,$S44*Lists!$AG$15*(1+N($Z44)),N($U44)*(1+N($V44)+N($W44)+N($X44)+N($Z44))+N($Y44))))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IF(TRIM($B44)="","",IF(IFERROR(INDEX(Lists!$AO$2:$AO$4,MATCH(ROW(),Lists!$AN$2:$AN$4,0)),"")&lt;&gt;"",IFERROR(INDEX(Lists!$AO$2:$AO$4,MATCH(ROW(),Lists!$AN$2:$AN$4,0)),""),IFERROR(INDEX(Lists!$U:$U,MATCH(TRIM($I44),Lists!$T:$T,0)),TRIM($I44))))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",$C44)),"Head of Technology",IF(ISNUMBER(SEARCH("TDD BP",$C44)),"Business Partner",IF(OR(ISNUMBER(SEARCH("domain architect",$C44)),ISNUMBER(SEARCH("enterprise architect",$C44))),"Domain Architect",IF(ISNUMBER(SEARCH("delivery man",$C44)),"Delivery Manager",IF(OR(ISNUMBER(SEARCH("technology manager",$C44)),ISNUMBER(SEARCH("technology manger",$C44)),ISNUMBER(SEARCH("tech manager",$C44))),"Technology Manager","Squad"))))))</f>
        <v>Squad</v>
      </c>
      <c r="AS44" t="str">
        <f>IF(TRIM($B44)="","",IFERROR(INDEX(Lists!$AA:$AA,MATCH($AP44,Lists!$Z:$Z,0)),$AP44))</f>
        <v>Z Retail Backend</v>
      </c>
      <c r="AT44" t="str">
        <f>IF(TRIM($B44)="","",IF(IFERROR(INDEX(Lists!$AP$2:$AP$4,MATCH(ROW(),Lists!$AN$2:$AN$4,0)),"")&lt;&gt;"",IFERROR(INDEX(Lists!$AP$2:$AP$4,MATCH(ROW(),Lists!$AN$2:$AN$4,0)),""),IF(OR(LEFT($AJ44,3)="COE",$AJ44="EGI"),$AP44,IF($AR44&lt;&gt;"Squad",$AR44,$AP44))))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IF(TRIM($B45)="","",IF(N($AU45)&gt;0,$AU45,IF(N($S45)&gt;0,$S45*Lists!$AG$15*(1+N($Z45)),N($U45)*(1+N($V45)+N($W45)+N($X45)+N($Z45))+N($Y45))))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IF(TRIM($B45)="","",IF(IFERROR(INDEX(Lists!$AO$2:$AO$4,MATCH(ROW(),Lists!$AN$2:$AN$4,0)),"")&lt;&gt;"",IFERROR(INDEX(Lists!$AO$2:$AO$4,MATCH(ROW(),Lists!$AN$2:$AN$4,0)),""),IFERROR(INDEX(Lists!$U:$U,MATCH(TRIM($I45),Lists!$T:$T,0)),TRIM($I45))))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",$C45)),"Head of Technology",IF(ISNUMBER(SEARCH("TDD BP",$C45)),"Business Partner",IF(OR(ISNUMBER(SEARCH("domain architect",$C45)),ISNUMBER(SEARCH("enterprise architect",$C45))),"Domain Architect",IF(ISNUMBER(SEARCH("delivery man",$C45)),"Delivery Manager",IF(OR(ISNUMBER(SEARCH("technology manager",$C45)),ISNUMBER(SEARCH("technology manger",$C45)),ISNUMBER(SEARCH("tech manager",$C45))),"Technology Manager","Squad"))))))</f>
        <v>Technology Manager</v>
      </c>
      <c r="AS45" t="str">
        <f>IF(TRIM($B45)="","",IFERROR(INDEX(Lists!$AA:$AA,MATCH($AP45,Lists!$Z:$Z,0)),$AP45))</f>
        <v>Leadership</v>
      </c>
      <c r="AT45" t="str">
        <f>IF(TRIM($B45)="","",IF(IFERROR(INDEX(Lists!$AP$2:$AP$4,MATCH(ROW(),Lists!$AN$2:$AN$4,0)),"")&lt;&gt;"",IFERROR(INDEX(Lists!$AP$2:$AP$4,MATCH(ROW(),Lists!$AN$2:$AN$4,0)),""),IF(OR(LEFT($AJ45,3)="COE",$AJ45="EGI"),$AP45,IF($AR45&lt;&gt;"Squad",$AR45,$AP45))))</f>
        <v>Technology Manager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IF(TRIM($B46)="","",IF(N($AU46)&gt;0,$AU46,IF(N($S46)&gt;0,$S46*Lists!$AG$15*(1+N($Z46)),N($U46)*(1+N($V46)+N($W46)+N($X46)+N($Z46))+N($Y46))))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IF(TRIM($B46)="","",IF(IFERROR(INDEX(Lists!$AO$2:$AO$4,MATCH(ROW(),Lists!$AN$2:$AN$4,0)),"")&lt;&gt;"",IFERROR(INDEX(Lists!$AO$2:$AO$4,MATCH(ROW(),Lists!$AN$2:$AN$4,0)),""),IFERROR(INDEX(Lists!$U:$U,MATCH(TRIM($I46),Lists!$T:$T,0)),TRIM($I46))))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",$C46)),"Head of Technology",IF(ISNUMBER(SEARCH("TDD BP",$C46)),"Business Partner",IF(OR(ISNUMBER(SEARCH("domain architect",$C46)),ISNUMBER(SEARCH("enterprise architect",$C46))),"Domain Architect",IF(ISNUMBER(SEARCH("delivery man",$C46)),"Delivery Manager",IF(OR(ISNUMBER(SEARCH("technology manager",$C46)),ISNUMBER(SEARCH("technology manger",$C46)),ISNUMBER(SEARCH("tech manager",$C46))),"Technology Manager","Squad"))))))</f>
        <v>Squad</v>
      </c>
      <c r="AS46" t="str">
        <f>IF(TRIM($B46)="","",IFERROR(INDEX(Lists!$AA:$AA,MATCH($AP46,Lists!$Z:$Z,0)),$AP46))</f>
        <v>Z Retail Backend</v>
      </c>
      <c r="AT46" t="str">
        <f>IF(TRIM($B46)="","",IF(IFERROR(INDEX(Lists!$AP$2:$AP$4,MATCH(ROW(),Lists!$AN$2:$AN$4,0)),"")&lt;&gt;"",IFERROR(INDEX(Lists!$AP$2:$AP$4,MATCH(ROW(),Lists!$AN$2:$AN$4,0)),""),IF(OR(LEFT($AJ46,3)="COE",$AJ46="EGI"),$AP46,IF($AR46&lt;&gt;"Squad",$AR46,$AP46))))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IF(TRIM($B47)="","",IF(N($AU47)&gt;0,$AU47,IF(N($S47)&gt;0,$S47*Lists!$AG$15*(1+N($Z47)),N($U47)*(1+N($V47)+N($W47)+N($X47)+N($Z47))+N($Y47))))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IF(TRIM($B47)="","",IF(IFERROR(INDEX(Lists!$AO$2:$AO$4,MATCH(ROW(),Lists!$AN$2:$AN$4,0)),"")&lt;&gt;"",IFERROR(INDEX(Lists!$AO$2:$AO$4,MATCH(ROW(),Lists!$AN$2:$AN$4,0)),""),IFERROR(INDEX(Lists!$U:$U,MATCH(TRIM($I47),Lists!$T:$T,0)),TRIM($I47))))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",$C47)),"Head of Technology",IF(ISNUMBER(SEARCH("TDD BP",$C47)),"Business Partner",IF(OR(ISNUMBER(SEARCH("domain architect",$C47)),ISNUMBER(SEARCH("enterprise architect",$C47))),"Domain Architect",IF(ISNUMBER(SEARCH("delivery man",$C47)),"Delivery Manager",IF(OR(ISNUMBER(SEARCH("technology manager",$C47)),ISNUMBER(SEARCH("technology manger",$C47)),ISNUMBER(SEARCH("tech manager",$C47))),"Technology Manager","Squad"))))))</f>
        <v>Squad</v>
      </c>
      <c r="AS47" t="str">
        <f>IF(TRIM($B47)="","",IFERROR(INDEX(Lists!$AA:$AA,MATCH($AP47,Lists!$Z:$Z,0)),$AP47))</f>
        <v>EGI Retail</v>
      </c>
      <c r="AT47" t="str">
        <f>IF(TRIM($B47)="","",IF(IFERROR(INDEX(Lists!$AP$2:$AP$4,MATCH(ROW(),Lists!$AN$2:$AN$4,0)),"")&lt;&gt;"",IFERROR(INDEX(Lists!$AP$2:$AP$4,MATCH(ROW(),Lists!$AN$2:$AN$4,0)),""),IF(OR(LEFT($AJ47,3)="COE",$AJ47="EGI"),$AP47,IF($AR47&lt;&gt;"Squad",$AR47,$AP47))))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IF(TRIM($B48)="","",IF(N($AU48)&gt;0,$AU48,IF(N($S48)&gt;0,$S48*Lists!$AG$15*(1+N($Z48)),N($U48)*(1+N($V48)+N($W48)+N($X48)+N($Z48))+N($Y48))))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IF(TRIM($B48)="","",IF(IFERROR(INDEX(Lists!$AO$2:$AO$4,MATCH(ROW(),Lists!$AN$2:$AN$4,0)),"")&lt;&gt;"",IFERROR(INDEX(Lists!$AO$2:$AO$4,MATCH(ROW(),Lists!$AN$2:$AN$4,0)),""),IFERROR(INDEX(Lists!$U:$U,MATCH(TRIM($I48),Lists!$T:$T,0)),TRIM($I48))))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",$C48)),"Head of Technology",IF(ISNUMBER(SEARCH("TDD BP",$C48)),"Business Partner",IF(OR(ISNUMBER(SEARCH("domain architect",$C48)),ISNUMBER(SEARCH("enterprise architect",$C48))),"Domain Architect",IF(ISNUMBER(SEARCH("delivery man",$C48)),"Delivery Manager",IF(OR(ISNUMBER(SEARCH("technology manager",$C48)),ISNUMBER(SEARCH("technology manger",$C48)),ISNUMBER(SEARCH("tech manager",$C48))),"Technology Manager","Squad"))))))</f>
        <v>Squad</v>
      </c>
      <c r="AS48" t="str">
        <f>IF(TRIM($B48)="","",IFERROR(INDEX(Lists!$AA:$AA,MATCH($AP48,Lists!$Z:$Z,0)),$AP48))</f>
        <v>Deployment</v>
      </c>
      <c r="AT48" t="str">
        <f>IF(TRIM($B48)="","",IF(IFERROR(INDEX(Lists!$AP$2:$AP$4,MATCH(ROW(),Lists!$AN$2:$AN$4,0)),"")&lt;&gt;"",IFERROR(INDEX(Lists!$AP$2:$AP$4,MATCH(ROW(),Lists!$AN$2:$AN$4,0)),""),IF(OR(LEFT($AJ48,3)="COE",$AJ48="EGI"),$AP48,IF($AR48&lt;&gt;"Squad",$AR48,$AP48))))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IF(TRIM($B49)="","",IF(N($AU49)&gt;0,$AU49,IF(N($S49)&gt;0,$S49*Lists!$AG$15*(1+N($Z49)),N($U49)*(1+N($V49)+N($W49)+N($X49)+N($Z49))+N($Y49))))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IF(TRIM($B49)="","",IF(IFERROR(INDEX(Lists!$AO$2:$AO$4,MATCH(ROW(),Lists!$AN$2:$AN$4,0)),"")&lt;&gt;"",IFERROR(INDEX(Lists!$AO$2:$AO$4,MATCH(ROW(),Lists!$AN$2:$AN$4,0)),""),IFERROR(INDEX(Lists!$U:$U,MATCH(TRIM($I49),Lists!$T:$T,0)),TRIM($I49))))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",$C49)),"Head of Technology",IF(ISNUMBER(SEARCH("TDD BP",$C49)),"Business Partner",IF(OR(ISNUMBER(SEARCH("domain architect",$C49)),ISNUMBER(SEARCH("enterprise architect",$C49))),"Domain Architect",IF(ISNUMBER(SEARCH("delivery man",$C49)),"Delivery Manager",IF(OR(ISNUMBER(SEARCH("technology manager",$C49)),ISNUMBER(SEARCH("technology manger",$C49)),ISNUMBER(SEARCH("tech manager",$C49))),"Technology Manager","Squad"))))))</f>
        <v>Squad</v>
      </c>
      <c r="AS49" t="str">
        <f>IF(TRIM($B49)="","",IFERROR(INDEX(Lists!$AA:$AA,MATCH($AP49,Lists!$Z:$Z,0)),$AP49))</f>
        <v>Data NZ</v>
      </c>
      <c r="AT49" t="str">
        <f>IF(TRIM($B49)="","",IF(IFERROR(INDEX(Lists!$AP$2:$AP$4,MATCH(ROW(),Lists!$AN$2:$AN$4,0)),"")&lt;&gt;"",IFERROR(INDEX(Lists!$AP$2:$AP$4,MATCH(ROW(),Lists!$AN$2:$AN$4,0)),""),IF(OR(LEFT($AJ49,3)="COE",$AJ49="EGI"),$AP49,IF($AR49&lt;&gt;"Squad",$AR49,$AP49))))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IF(TRIM($B50)="","",IF(N($AU50)&gt;0,$AU50,IF(N($S50)&gt;0,$S50*Lists!$AG$15*(1+N($Z50)),N($U50)*(1+N($V50)+N($W50)+N($X50)+N($Z50))+N($Y50))))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IF(TRIM($B50)="","",IF(IFERROR(INDEX(Lists!$AO$2:$AO$4,MATCH(ROW(),Lists!$AN$2:$AN$4,0)),"")&lt;&gt;"",IFERROR(INDEX(Lists!$AO$2:$AO$4,MATCH(ROW(),Lists!$AN$2:$AN$4,0)),""),IFERROR(INDEX(Lists!$U:$U,MATCH(TRIM($I50),Lists!$T:$T,0)),TRIM($I50))))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",$C50)),"Head of Technology",IF(ISNUMBER(SEARCH("TDD BP",$C50)),"Business Partner",IF(OR(ISNUMBER(SEARCH("domain architect",$C50)),ISNUMBER(SEARCH("enterprise architect",$C50))),"Domain Architect",IF(ISNUMBER(SEARCH("delivery man",$C50)),"Delivery Manager",IF(OR(ISNUMBER(SEARCH("technology manager",$C50)),ISNUMBER(SEARCH("technology manger",$C50)),ISNUMBER(SEARCH("tech manager",$C50))),"Technology Manager","Squad"))))))</f>
        <v>Squad</v>
      </c>
      <c r="AS50" t="str">
        <f>IF(TRIM($B50)="","",IFERROR(INDEX(Lists!$AA:$AA,MATCH($AP50,Lists!$Z:$Z,0)),$AP50))</f>
        <v>Data NZ</v>
      </c>
      <c r="AT50" t="str">
        <f>IF(TRIM($B50)="","",IF(IFERROR(INDEX(Lists!$AP$2:$AP$4,MATCH(ROW(),Lists!$AN$2:$AN$4,0)),"")&lt;&gt;"",IFERROR(INDEX(Lists!$AP$2:$AP$4,MATCH(ROW(),Lists!$AN$2:$AN$4,0)),""),IF(OR(LEFT($AJ50,3)="COE",$AJ50="EGI"),$AP50,IF($AR50&lt;&gt;"Squad",$AR50,$AP50))))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IF(TRIM($B51)="","",IF(N($AU51)&gt;0,$AU51,IF(N($S51)&gt;0,$S51*Lists!$AG$15*(1+N($Z51)),N($U51)*(1+N($V51)+N($W51)+N($X51)+N($Z51))+N($Y51))))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IF(TRIM($B51)="","",IF(IFERROR(INDEX(Lists!$AO$2:$AO$4,MATCH(ROW(),Lists!$AN$2:$AN$4,0)),"")&lt;&gt;"",IFERROR(INDEX(Lists!$AO$2:$AO$4,MATCH(ROW(),Lists!$AN$2:$AN$4,0)),""),IFERROR(INDEX(Lists!$U:$U,MATCH(TRIM($I51),Lists!$T:$T,0)),TRIM($I51))))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",$C51)),"Head of Technology",IF(ISNUMBER(SEARCH("TDD BP",$C51)),"Business Partner",IF(OR(ISNUMBER(SEARCH("domain architect",$C51)),ISNUMBER(SEARCH("enterprise architect",$C51))),"Domain Architect",IF(ISNUMBER(SEARCH("delivery man",$C51)),"Delivery Manager",IF(OR(ISNUMBER(SEARCH("technology manager",$C51)),ISNUMBER(SEARCH("technology manger",$C51)),ISNUMBER(SEARCH("tech manager",$C51))),"Technology Manager","Squad"))))))</f>
        <v>Squad</v>
      </c>
      <c r="AS51" t="str">
        <f>IF(TRIM($B51)="","",IFERROR(INDEX(Lists!$AA:$AA,MATCH($AP51,Lists!$Z:$Z,0)),$AP51))</f>
        <v>AmPOS</v>
      </c>
      <c r="AT51" t="str">
        <f>IF(TRIM($B51)="","",IF(IFERROR(INDEX(Lists!$AP$2:$AP$4,MATCH(ROW(),Lists!$AN$2:$AN$4,0)),"")&lt;&gt;"",IFERROR(INDEX(Lists!$AP$2:$AP$4,MATCH(ROW(),Lists!$AN$2:$AN$4,0)),""),IF(OR(LEFT($AJ51,3)="COE",$AJ51="EGI"),$AP51,IF($AR51&lt;&gt;"Squad",$AR51,$AP51))))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IF(TRIM($B52)="","",IF(N($AU52)&gt;0,$AU52,IF(N($S52)&gt;0,$S52*Lists!$AG$15*(1+N($Z52)),N($U52)*(1+N($V52)+N($W52)+N($X52)+N($Z52))+N($Y52))))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IF(TRIM($B52)="","",IF(IFERROR(INDEX(Lists!$AO$2:$AO$4,MATCH(ROW(),Lists!$AN$2:$AN$4,0)),"")&lt;&gt;"",IFERROR(INDEX(Lists!$AO$2:$AO$4,MATCH(ROW(),Lists!$AN$2:$AN$4,0)),""),IFERROR(INDEX(Lists!$U:$U,MATCH(TRIM($I52),Lists!$T:$T,0)),TRIM($I52))))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",$C52)),"Head of Technology",IF(ISNUMBER(SEARCH("TDD BP",$C52)),"Business Partner",IF(OR(ISNUMBER(SEARCH("domain architect",$C52)),ISNUMBER(SEARCH("enterprise architect",$C52))),"Domain Architect",IF(ISNUMBER(SEARCH("delivery man",$C52)),"Delivery Manager",IF(OR(ISNUMBER(SEARCH("technology manager",$C52)),ISNUMBER(SEARCH("technology manger",$C52)),ISNUMBER(SEARCH("tech manager",$C52))),"Technology Manager","Squad"))))))</f>
        <v>Squad</v>
      </c>
      <c r="AS52" t="str">
        <f>IF(TRIM($B52)="","",IFERROR(INDEX(Lists!$AA:$AA,MATCH($AP52,Lists!$Z:$Z,0)),$AP52))</f>
        <v>EGI Retail</v>
      </c>
      <c r="AT52" t="str">
        <f>IF(TRIM($B52)="","",IF(IFERROR(INDEX(Lists!$AP$2:$AP$4,MATCH(ROW(),Lists!$AN$2:$AN$4,0)),"")&lt;&gt;"",IFERROR(INDEX(Lists!$AP$2:$AP$4,MATCH(ROW(),Lists!$AN$2:$AN$4,0)),""),IF(OR(LEFT($AJ52,3)="COE",$AJ52="EGI"),$AP52,IF($AR52&lt;&gt;"Squad",$AR52,$AP52))))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IF(TRIM($B53)="","",IF(N($AU53)&gt;0,$AU53,IF(N($S53)&gt;0,$S53*Lists!$AG$15*(1+N($Z53)),N($U53)*(1+N($V53)+N($W53)+N($X53)+N($Z53))+N($Y53))))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IF(TRIM($B53)="","",IF(IFERROR(INDEX(Lists!$AO$2:$AO$4,MATCH(ROW(),Lists!$AN$2:$AN$4,0)),"")&lt;&gt;"",IFERROR(INDEX(Lists!$AO$2:$AO$4,MATCH(ROW(),Lists!$AN$2:$AN$4,0)),""),IFERROR(INDEX(Lists!$U:$U,MATCH(TRIM($I53),Lists!$T:$T,0)),TRIM($I53))))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",$C53)),"Head of Technology",IF(ISNUMBER(SEARCH("TDD BP",$C53)),"Business Partner",IF(OR(ISNUMBER(SEARCH("domain architect",$C53)),ISNUMBER(SEARCH("enterprise architect",$C53))),"Domain Architect",IF(ISNUMBER(SEARCH("delivery man",$C53)),"Delivery Manager",IF(OR(ISNUMBER(SEARCH("technology manager",$C53)),ISNUMBER(SEARCH("technology manger",$C53)),ISNUMBER(SEARCH("tech manager",$C53))),"Technology Manager","Squad"))))))</f>
        <v>Squad</v>
      </c>
      <c r="AS53" t="str">
        <f>IF(TRIM($B53)="","",IFERROR(INDEX(Lists!$AA:$AA,MATCH($AP53,Lists!$Z:$Z,0)),$AP53))</f>
        <v>Above Store</v>
      </c>
      <c r="AT53" t="str">
        <f>IF(TRIM($B53)="","",IF(IFERROR(INDEX(Lists!$AP$2:$AP$4,MATCH(ROW(),Lists!$AN$2:$AN$4,0)),"")&lt;&gt;"",IFERROR(INDEX(Lists!$AP$2:$AP$4,MATCH(ROW(),Lists!$AN$2:$AN$4,0)),""),IF(OR(LEFT($AJ53,3)="COE",$AJ53="EGI"),$AP53,IF($AR53&lt;&gt;"Squad",$AR53,$AP53))))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IF(TRIM($B54)="","",IF(N($AU54)&gt;0,$AU54,IF(N($S54)&gt;0,$S54*Lists!$AG$15*(1+N($Z54)),N($U54)*(1+N($V54)+N($W54)+N($X54)+N($Z54))+N($Y54))))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IF(TRIM($B54)="","",IF(IFERROR(INDEX(Lists!$AO$2:$AO$4,MATCH(ROW(),Lists!$AN$2:$AN$4,0)),"")&lt;&gt;"",IFERROR(INDEX(Lists!$AO$2:$AO$4,MATCH(ROW(),Lists!$AN$2:$AN$4,0)),""),IFERROR(INDEX(Lists!$U:$U,MATCH(TRIM($I54),Lists!$T:$T,0)),TRIM($I54))))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",$C54)),"Head of Technology",IF(ISNUMBER(SEARCH("TDD BP",$C54)),"Business Partner",IF(OR(ISNUMBER(SEARCH("domain architect",$C54)),ISNUMBER(SEARCH("enterprise architect",$C54))),"Domain Architect",IF(ISNUMBER(SEARCH("delivery man",$C54)),"Delivery Manager",IF(OR(ISNUMBER(SEARCH("technology manager",$C54)),ISNUMBER(SEARCH("technology manger",$C54)),ISNUMBER(SEARCH("tech manager",$C54))),"Technology Manager","Squad"))))))</f>
        <v>Squad</v>
      </c>
      <c r="AS54" t="str">
        <f>IF(TRIM($B54)="","",IFERROR(INDEX(Lists!$AA:$AA,MATCH($AP54,Lists!$Z:$Z,0)),$AP54))</f>
        <v>Store Operations</v>
      </c>
      <c r="AT54" t="str">
        <f>IF(TRIM($B54)="","",IF(IFERROR(INDEX(Lists!$AP$2:$AP$4,MATCH(ROW(),Lists!$AN$2:$AN$4,0)),"")&lt;&gt;"",IFERROR(INDEX(Lists!$AP$2:$AP$4,MATCH(ROW(),Lists!$AN$2:$AN$4,0)),""),IF(OR(LEFT($AJ54,3)="COE",$AJ54="EGI"),$AP54,IF($AR54&lt;&gt;"Squad",$AR54,$AP54))))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IF(TRIM($B55)="","",IF(N($AU55)&gt;0,$AU55,IF(N($S55)&gt;0,$S55*Lists!$AG$15*(1+N($Z55)),N($U55)*(1+N($V55)+N($W55)+N($X55)+N($Z55))+N($Y55))))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IF(TRIM($B55)="","",IF(IFERROR(INDEX(Lists!$AO$2:$AO$4,MATCH(ROW(),Lists!$AN$2:$AN$4,0)),"")&lt;&gt;"",IFERROR(INDEX(Lists!$AO$2:$AO$4,MATCH(ROW(),Lists!$AN$2:$AN$4,0)),""),IFERROR(INDEX(Lists!$U:$U,MATCH(TRIM($I55),Lists!$T:$T,0)),TRIM($I55))))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",$C55)),"Head of Technology",IF(ISNUMBER(SEARCH("TDD BP",$C55)),"Business Partner",IF(OR(ISNUMBER(SEARCH("domain architect",$C55)),ISNUMBER(SEARCH("enterprise architect",$C55))),"Domain Architect",IF(ISNUMBER(SEARCH("delivery man",$C55)),"Delivery Manager",IF(OR(ISNUMBER(SEARCH("technology manager",$C55)),ISNUMBER(SEARCH("technology manger",$C55)),ISNUMBER(SEARCH("tech manager",$C55))),"Technology Manager","Squad"))))))</f>
        <v>Squad</v>
      </c>
      <c r="AS55" t="str">
        <f>IF(TRIM($B55)="","",IFERROR(INDEX(Lists!$AA:$AA,MATCH($AP55,Lists!$Z:$Z,0)),$AP55))</f>
        <v>AmPOS</v>
      </c>
      <c r="AT55" t="str">
        <f>IF(TRIM($B55)="","",IF(IFERROR(INDEX(Lists!$AP$2:$AP$4,MATCH(ROW(),Lists!$AN$2:$AN$4,0)),"")&lt;&gt;"",IFERROR(INDEX(Lists!$AP$2:$AP$4,MATCH(ROW(),Lists!$AN$2:$AN$4,0)),""),IF(OR(LEFT($AJ55,3)="COE",$AJ55="EGI"),$AP55,IF($AR55&lt;&gt;"Squad",$AR55,$AP55))))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IF(TRIM($B56)="","",IF(N($AU56)&gt;0,$AU56,IF(N($S56)&gt;0,$S56*Lists!$AG$15*(1+N($Z56)),N($U56)*(1+N($V56)+N($W56)+N($X56)+N($Z56))+N($Y56))))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IF(TRIM($B56)="","",IF(IFERROR(INDEX(Lists!$AO$2:$AO$4,MATCH(ROW(),Lists!$AN$2:$AN$4,0)),"")&lt;&gt;"",IFERROR(INDEX(Lists!$AO$2:$AO$4,MATCH(ROW(),Lists!$AN$2:$AN$4,0)),""),IFERROR(INDEX(Lists!$U:$U,MATCH(TRIM($I56),Lists!$T:$T,0)),TRIM($I56))))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",$C56)),"Head of Technology",IF(ISNUMBER(SEARCH("TDD BP",$C56)),"Business Partner",IF(OR(ISNUMBER(SEARCH("domain architect",$C56)),ISNUMBER(SEARCH("enterprise architect",$C56))),"Domain Architect",IF(ISNUMBER(SEARCH("delivery man",$C56)),"Delivery Manager",IF(OR(ISNUMBER(SEARCH("technology manager",$C56)),ISNUMBER(SEARCH("technology manger",$C56)),ISNUMBER(SEARCH("tech manager",$C56))),"Technology Manager","Squad"))))))</f>
        <v>Squad</v>
      </c>
      <c r="AS56" t="str">
        <f>IF(TRIM($B56)="","",IFERROR(INDEX(Lists!$AA:$AA,MATCH($AP56,Lists!$Z:$Z,0)),$AP56))</f>
        <v>Site Systems</v>
      </c>
      <c r="AT56" t="str">
        <f>IF(TRIM($B56)="","",IF(IFERROR(INDEX(Lists!$AP$2:$AP$4,MATCH(ROW(),Lists!$AN$2:$AN$4,0)),"")&lt;&gt;"",IFERROR(INDEX(Lists!$AP$2:$AP$4,MATCH(ROW(),Lists!$AN$2:$AN$4,0)),""),IF(OR(LEFT($AJ56,3)="COE",$AJ56="EGI"),$AP56,IF($AR56&lt;&gt;"Squad",$AR56,$AP56))))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IF(TRIM($B57)="","",IF(N($AU57)&gt;0,$AU57,IF(N($S57)&gt;0,$S57*Lists!$AG$15*(1+N($Z57)),N($U57)*(1+N($V57)+N($W57)+N($X57)+N($Z57))+N($Y57))))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IF(TRIM($B57)="","",IF(IFERROR(INDEX(Lists!$AO$2:$AO$4,MATCH(ROW(),Lists!$AN$2:$AN$4,0)),"")&lt;&gt;"",IFERROR(INDEX(Lists!$AO$2:$AO$4,MATCH(ROW(),Lists!$AN$2:$AN$4,0)),""),IFERROR(INDEX(Lists!$U:$U,MATCH(TRIM($I57),Lists!$T:$T,0)),TRIM($I57))))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",$C57)),"Head of Technology",IF(ISNUMBER(SEARCH("TDD BP",$C57)),"Business Partner",IF(OR(ISNUMBER(SEARCH("domain architect",$C57)),ISNUMBER(SEARCH("enterprise architect",$C57))),"Domain Architect",IF(ISNUMBER(SEARCH("delivery man",$C57)),"Delivery Manager",IF(OR(ISNUMBER(SEARCH("technology manager",$C57)),ISNUMBER(SEARCH("technology manger",$C57)),ISNUMBER(SEARCH("tech manager",$C57))),"Technology Manager","Squad"))))))</f>
        <v>Squad</v>
      </c>
      <c r="AS57" t="str">
        <f>IF(TRIM($B57)="","",IFERROR(INDEX(Lists!$AA:$AA,MATCH($AP57,Lists!$Z:$Z,0)),$AP57))</f>
        <v>Network &amp; QSR</v>
      </c>
      <c r="AT57" t="str">
        <f>IF(TRIM($B57)="","",IF(IFERROR(INDEX(Lists!$AP$2:$AP$4,MATCH(ROW(),Lists!$AN$2:$AN$4,0)),"")&lt;&gt;"",IFERROR(INDEX(Lists!$AP$2:$AP$4,MATCH(ROW(),Lists!$AN$2:$AN$4,0)),""),IF(OR(LEFT($AJ57,3)="COE",$AJ57="EGI"),$AP57,IF($AR57&lt;&gt;"Squad",$AR57,$AP57))))</f>
        <v>Network &amp;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IF(TRIM($B58)="","",IF(N($AU58)&gt;0,$AU58,IF(N($S58)&gt;0,$S58*Lists!$AG$15*(1+N($Z58)),N($U58)*(1+N($V58)+N($W58)+N($X58)+N($Z58))+N($Y58))))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IF(TRIM($B58)="","",IF(IFERROR(INDEX(Lists!$AO$2:$AO$4,MATCH(ROW(),Lists!$AN$2:$AN$4,0)),"")&lt;&gt;"",IFERROR(INDEX(Lists!$AO$2:$AO$4,MATCH(ROW(),Lists!$AN$2:$AN$4,0)),""),IFERROR(INDEX(Lists!$U:$U,MATCH(TRIM($I58),Lists!$T:$T,0)),TRIM($I58))))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",$C58)),"Head of Technology",IF(ISNUMBER(SEARCH("TDD BP",$C58)),"Business Partner",IF(OR(ISNUMBER(SEARCH("domain architect",$C58)),ISNUMBER(SEARCH("enterprise architect",$C58))),"Domain Architect",IF(ISNUMBER(SEARCH("delivery man",$C58)),"Delivery Manager",IF(OR(ISNUMBER(SEARCH("technology manager",$C58)),ISNUMBER(SEARCH("technology manger",$C58)),ISNUMBER(SEARCH("tech manager",$C58))),"Technology Manager","Squad"))))))</f>
        <v>Squad</v>
      </c>
      <c r="AS58" t="str">
        <f>IF(TRIM($B58)="","",IFERROR(INDEX(Lists!$AA:$AA,MATCH($AP58,Lists!$Z:$Z,0)),$AP58))</f>
        <v>Above Store</v>
      </c>
      <c r="AT58" t="str">
        <f>IF(TRIM($B58)="","",IF(IFERROR(INDEX(Lists!$AP$2:$AP$4,MATCH(ROW(),Lists!$AN$2:$AN$4,0)),"")&lt;&gt;"",IFERROR(INDEX(Lists!$AP$2:$AP$4,MATCH(ROW(),Lists!$AN$2:$AN$4,0)),""),IF(OR(LEFT($AJ58,3)="COE",$AJ58="EGI"),$AP58,IF($AR58&lt;&gt;"Squad",$AR58,$AP58))))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IF(TRIM($B59)="","",IF(N($AU59)&gt;0,$AU59,IF(N($S59)&gt;0,$S59*Lists!$AG$15*(1+N($Z59)),N($U59)*(1+N($V59)+N($W59)+N($X59)+N($Z59))+N($Y59))))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IF(TRIM($B59)="","",IF(IFERROR(INDEX(Lists!$AO$2:$AO$4,MATCH(ROW(),Lists!$AN$2:$AN$4,0)),"")&lt;&gt;"",IFERROR(INDEX(Lists!$AO$2:$AO$4,MATCH(ROW(),Lists!$AN$2:$AN$4,0)),""),IFERROR(INDEX(Lists!$U:$U,MATCH(TRIM($I59),Lists!$T:$T,0)),TRIM($I59))))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",$C59)),"Head of Technology",IF(ISNUMBER(SEARCH("TDD BP",$C59)),"Business Partner",IF(OR(ISNUMBER(SEARCH("domain architect",$C59)),ISNUMBER(SEARCH("enterprise architect",$C59))),"Domain Architect",IF(ISNUMBER(SEARCH("delivery man",$C59)),"Delivery Manager",IF(OR(ISNUMBER(SEARCH("technology manager",$C59)),ISNUMBER(SEARCH("technology manger",$C59)),ISNUMBER(SEARCH("tech manager",$C59))),"Technology Manager","Squad"))))))</f>
        <v>Squad</v>
      </c>
      <c r="AS59" t="str">
        <f>IF(TRIM($B59)="","",IFERROR(INDEX(Lists!$AA:$AA,MATCH($AP59,Lists!$Z:$Z,0)),$AP59))</f>
        <v>Payments</v>
      </c>
      <c r="AT59" t="str">
        <f>IF(TRIM($B59)="","",IF(IFERROR(INDEX(Lists!$AP$2:$AP$4,MATCH(ROW(),Lists!$AN$2:$AN$4,0)),"")&lt;&gt;"",IFERROR(INDEX(Lists!$AP$2:$AP$4,MATCH(ROW(),Lists!$AN$2:$AN$4,0)),""),IF(OR(LEFT($AJ59,3)="COE",$AJ59="EGI"),$AP59,IF($AR59&lt;&gt;"Squad",$AR59,$AP59))))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IF(TRIM($B60)="","",IF(N($AU60)&gt;0,$AU60,IF(N($S60)&gt;0,$S60*Lists!$AG$15*(1+N($Z60)),N($U60)*(1+N($V60)+N($W60)+N($X60)+N($Z60))+N($Y60))))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IF(TRIM($B60)="","",IF(IFERROR(INDEX(Lists!$AO$2:$AO$4,MATCH(ROW(),Lists!$AN$2:$AN$4,0)),"")&lt;&gt;"",IFERROR(INDEX(Lists!$AO$2:$AO$4,MATCH(ROW(),Lists!$AN$2:$AN$4,0)),""),IFERROR(INDEX(Lists!$U:$U,MATCH(TRIM($I60),Lists!$T:$T,0)),TRIM($I60))))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",$C60)),"Head of Technology",IF(ISNUMBER(SEARCH("TDD BP",$C60)),"Business Partner",IF(OR(ISNUMBER(SEARCH("domain architect",$C60)),ISNUMBER(SEARCH("enterprise architect",$C60))),"Domain Architect",IF(ISNUMBER(SEARCH("delivery man",$C60)),"Delivery Manager",IF(OR(ISNUMBER(SEARCH("technology manager",$C60)),ISNUMBER(SEARCH("technology manger",$C60)),ISNUMBER(SEARCH("tech manager",$C60))),"Technology Manager","Squad"))))))</f>
        <v>Squad</v>
      </c>
      <c r="AS60" t="str">
        <f>IF(TRIM($B60)="","",IFERROR(INDEX(Lists!$AA:$AA,MATCH($AP60,Lists!$Z:$Z,0)),$AP60))</f>
        <v>EGI Retail</v>
      </c>
      <c r="AT60" t="str">
        <f>IF(TRIM($B60)="","",IF(IFERROR(INDEX(Lists!$AP$2:$AP$4,MATCH(ROW(),Lists!$AN$2:$AN$4,0)),"")&lt;&gt;"",IFERROR(INDEX(Lists!$AP$2:$AP$4,MATCH(ROW(),Lists!$AN$2:$AN$4,0)),""),IF(OR(LEFT($AJ60,3)="COE",$AJ60="EGI"),$AP60,IF($AR60&lt;&gt;"Squad",$AR60,$AP60))))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IF(TRIM($B61)="","",IF(N($AU61)&gt;0,$AU61,IF(N($S61)&gt;0,$S61*Lists!$AG$15*(1+N($Z61)),N($U61)*(1+N($V61)+N($W61)+N($X61)+N($Z61))+N($Y61))))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IF(TRIM($B61)="","",IF(IFERROR(INDEX(Lists!$AO$2:$AO$4,MATCH(ROW(),Lists!$AN$2:$AN$4,0)),"")&lt;&gt;"",IFERROR(INDEX(Lists!$AO$2:$AO$4,MATCH(ROW(),Lists!$AN$2:$AN$4,0)),""),IFERROR(INDEX(Lists!$U:$U,MATCH(TRIM($I61),Lists!$T:$T,0)),TRIM($I61))))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",$C61)),"Head of Technology",IF(ISNUMBER(SEARCH("TDD BP",$C61)),"Business Partner",IF(OR(ISNUMBER(SEARCH("domain architect",$C61)),ISNUMBER(SEARCH("enterprise architect",$C61))),"Domain Architect",IF(ISNUMBER(SEARCH("delivery man",$C61)),"Delivery Manager",IF(OR(ISNUMBER(SEARCH("technology manager",$C61)),ISNUMBER(SEARCH("technology manger",$C61)),ISNUMBER(SEARCH("tech manager",$C61))),"Technology Manager","Squad"))))))</f>
        <v>Squad</v>
      </c>
      <c r="AS61" t="str">
        <f>IF(TRIM($B61)="","",IFERROR(INDEX(Lists!$AA:$AA,MATCH($AP61,Lists!$Z:$Z,0)),$AP61))</f>
        <v>EGI Retail</v>
      </c>
      <c r="AT61" t="str">
        <f>IF(TRIM($B61)="","",IF(IFERROR(INDEX(Lists!$AP$2:$AP$4,MATCH(ROW(),Lists!$AN$2:$AN$4,0)),"")&lt;&gt;"",IFERROR(INDEX(Lists!$AP$2:$AP$4,MATCH(ROW(),Lists!$AN$2:$AN$4,0)),""),IF(OR(LEFT($AJ61,3)="COE",$AJ61="EGI"),$AP61,IF($AR61&lt;&gt;"Squad",$AR61,$AP61))))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IF(TRIM($B62)="","",IF(N($AU62)&gt;0,$AU62,IF(N($S62)&gt;0,$S62*Lists!$AG$15*(1+N($Z62)),N($U62)*(1+N($V62)+N($W62)+N($X62)+N($Z62))+N($Y62))))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IF(TRIM($B62)="","",IF(IFERROR(INDEX(Lists!$AO$2:$AO$4,MATCH(ROW(),Lists!$AN$2:$AN$4,0)),"")&lt;&gt;"",IFERROR(INDEX(Lists!$AO$2:$AO$4,MATCH(ROW(),Lists!$AN$2:$AN$4,0)),""),IFERROR(INDEX(Lists!$U:$U,MATCH(TRIM($I62),Lists!$T:$T,0)),TRIM($I62))))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",$C62)),"Head of Technology",IF(ISNUMBER(SEARCH("TDD BP",$C62)),"Business Partner",IF(OR(ISNUMBER(SEARCH("domain architect",$C62)),ISNUMBER(SEARCH("enterprise architect",$C62))),"Domain Architect",IF(ISNUMBER(SEARCH("delivery man",$C62)),"Delivery Manager",IF(OR(ISNUMBER(SEARCH("technology manager",$C62)),ISNUMBER(SEARCH("technology manger",$C62)),ISNUMBER(SEARCH("tech manager",$C62))),"Technology Manager","Squad"))))))</f>
        <v>Squad</v>
      </c>
      <c r="AS62" t="str">
        <f>IF(TRIM($B62)="","",IFERROR(INDEX(Lists!$AA:$AA,MATCH($AP62,Lists!$Z:$Z,0)),$AP62))</f>
        <v>AmPOS</v>
      </c>
      <c r="AT62" t="str">
        <f>IF(TRIM($B62)="","",IF(IFERROR(INDEX(Lists!$AP$2:$AP$4,MATCH(ROW(),Lists!$AN$2:$AN$4,0)),"")&lt;&gt;"",IFERROR(INDEX(Lists!$AP$2:$AP$4,MATCH(ROW(),Lists!$AN$2:$AN$4,0)),""),IF(OR(LEFT($AJ62,3)="COE",$AJ62="EGI"),$AP62,IF($AR62&lt;&gt;"Squad",$AR62,$AP62))))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IF(TRIM($B63)="","",IF(N($AU63)&gt;0,$AU63,IF(N($S63)&gt;0,$S63*Lists!$AG$15*(1+N($Z63)),N($U63)*(1+N($V63)+N($W63)+N($X63)+N($Z63))+N($Y63))))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IF(TRIM($B63)="","",IF(IFERROR(INDEX(Lists!$AO$2:$AO$4,MATCH(ROW(),Lists!$AN$2:$AN$4,0)),"")&lt;&gt;"",IFERROR(INDEX(Lists!$AO$2:$AO$4,MATCH(ROW(),Lists!$AN$2:$AN$4,0)),""),IFERROR(INDEX(Lists!$U:$U,MATCH(TRIM($I63),Lists!$T:$T,0)),TRIM($I63))))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",$C63)),"Head of Technology",IF(ISNUMBER(SEARCH("TDD BP",$C63)),"Business Partner",IF(OR(ISNUMBER(SEARCH("domain architect",$C63)),ISNUMBER(SEARCH("enterprise architect",$C63))),"Domain Architect",IF(ISNUMBER(SEARCH("delivery man",$C63)),"Delivery Manager",IF(OR(ISNUMBER(SEARCH("technology manager",$C63)),ISNUMBER(SEARCH("technology manger",$C63)),ISNUMBER(SEARCH("tech manager",$C63))),"Technology Manager","Squad"))))))</f>
        <v>Squad</v>
      </c>
      <c r="AS63" t="str">
        <f>IF(TRIM($B63)="","",IFERROR(INDEX(Lists!$AA:$AA,MATCH($AP63,Lists!$Z:$Z,0)),$AP63))</f>
        <v>Site Systems</v>
      </c>
      <c r="AT63" t="str">
        <f>IF(TRIM($B63)="","",IF(IFERROR(INDEX(Lists!$AP$2:$AP$4,MATCH(ROW(),Lists!$AN$2:$AN$4,0)),"")&lt;&gt;"",IFERROR(INDEX(Lists!$AP$2:$AP$4,MATCH(ROW(),Lists!$AN$2:$AN$4,0)),""),IF(OR(LEFT($AJ63,3)="COE",$AJ63="EGI"),$AP63,IF($AR63&lt;&gt;"Squad",$AR63,$AP63))))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IF(TRIM($B64)="","",IF(N($AU64)&gt;0,$AU64,IF(N($S64)&gt;0,$S64*Lists!$AG$15*(1+N($Z64)),N($U64)*(1+N($V64)+N($W64)+N($X64)+N($Z64))+N($Y64))))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IF(TRIM($B64)="","",IF(IFERROR(INDEX(Lists!$AO$2:$AO$4,MATCH(ROW(),Lists!$AN$2:$AN$4,0)),"")&lt;&gt;"",IFERROR(INDEX(Lists!$AO$2:$AO$4,MATCH(ROW(),Lists!$AN$2:$AN$4,0)),""),IFERROR(INDEX(Lists!$U:$U,MATCH(TRIM($I64),Lists!$T:$T,0)),TRIM($I64))))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",$C64)),"Head of Technology",IF(ISNUMBER(SEARCH("TDD BP",$C64)),"Business Partner",IF(OR(ISNUMBER(SEARCH("domain architect",$C64)),ISNUMBER(SEARCH("enterprise architect",$C64))),"Domain Architect",IF(ISNUMBER(SEARCH("delivery man",$C64)),"Delivery Manager",IF(OR(ISNUMBER(SEARCH("technology manager",$C64)),ISNUMBER(SEARCH("technology manger",$C64)),ISNUMBER(SEARCH("tech manager",$C64))),"Technology Manager","Squad"))))))</f>
        <v>Technology Manager</v>
      </c>
      <c r="AS64" t="str">
        <f>IF(TRIM($B64)="","",IFERROR(INDEX(Lists!$AA:$AA,MATCH($AP64,Lists!$Z:$Z,0)),$AP64))</f>
        <v>Leadership</v>
      </c>
      <c r="AT64" t="str">
        <f>IF(TRIM($B64)="","",IF(IFERROR(INDEX(Lists!$AP$2:$AP$4,MATCH(ROW(),Lists!$AN$2:$AN$4,0)),"")&lt;&gt;"",IFERROR(INDEX(Lists!$AP$2:$AP$4,MATCH(ROW(),Lists!$AN$2:$AN$4,0)),""),IF(OR(LEFT($AJ64,3)="COE",$AJ64="EGI"),$AP64,IF($AR64&lt;&gt;"Squad",$AR64,$AP64))))</f>
        <v>Technology Manager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IF(TRIM($B65)="","",IF(N($AU65)&gt;0,$AU65,IF(N($S65)&gt;0,$S65*Lists!$AG$15*(1+N($Z65)),N($U65)*(1+N($V65)+N($W65)+N($X65)+N($Z65))+N($Y65))))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IF(TRIM($B65)="","",IF(IFERROR(INDEX(Lists!$AO$2:$AO$4,MATCH(ROW(),Lists!$AN$2:$AN$4,0)),"")&lt;&gt;"",IFERROR(INDEX(Lists!$AO$2:$AO$4,MATCH(ROW(),Lists!$AN$2:$AN$4,0)),""),IFERROR(INDEX(Lists!$U:$U,MATCH(TRIM($I65),Lists!$T:$T,0)),TRIM($I65))))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",$C65)),"Head of Technology",IF(ISNUMBER(SEARCH("TDD BP",$C65)),"Business Partner",IF(OR(ISNUMBER(SEARCH("domain architect",$C65)),ISNUMBER(SEARCH("enterprise architect",$C65))),"Domain Architect",IF(ISNUMBER(SEARCH("delivery man",$C65)),"Delivery Manager",IF(OR(ISNUMBER(SEARCH("technology manager",$C65)),ISNUMBER(SEARCH("technology manger",$C65)),ISNUMBER(SEARCH("tech manager",$C65))),"Technology Manager","Squad"))))))</f>
        <v>Squad</v>
      </c>
      <c r="AS65" t="str">
        <f>IF(TRIM($B65)="","",IFERROR(INDEX(Lists!$AA:$AA,MATCH($AP65,Lists!$Z:$Z,0)),$AP65))</f>
        <v>Z Retail Backend</v>
      </c>
      <c r="AT65" t="str">
        <f>IF(TRIM($B65)="","",IF(IFERROR(INDEX(Lists!$AP$2:$AP$4,MATCH(ROW(),Lists!$AN$2:$AN$4,0)),"")&lt;&gt;"",IFERROR(INDEX(Lists!$AP$2:$AP$4,MATCH(ROW(),Lists!$AN$2:$AN$4,0)),""),IF(OR(LEFT($AJ65,3)="COE",$AJ65="EGI"),$AP65,IF($AR65&lt;&gt;"Squad",$AR65,$AP65))))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IF(TRIM($B66)="","",IF(N($AU66)&gt;0,$AU66,IF(N($S66)&gt;0,$S66*Lists!$AG$15*(1+N($Z66)),N($U66)*(1+N($V66)+N($W66)+N($X66)+N($Z66))+N($Y66))))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IF(TRIM($B66)="","",IF(IFERROR(INDEX(Lists!$AO$2:$AO$4,MATCH(ROW(),Lists!$AN$2:$AN$4,0)),"")&lt;&gt;"",IFERROR(INDEX(Lists!$AO$2:$AO$4,MATCH(ROW(),Lists!$AN$2:$AN$4,0)),""),IFERROR(INDEX(Lists!$U:$U,MATCH(TRIM($I66),Lists!$T:$T,0)),TRIM($I66))))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",$C66)),"Head of Technology",IF(ISNUMBER(SEARCH("TDD BP",$C66)),"Business Partner",IF(OR(ISNUMBER(SEARCH("domain architect",$C66)),ISNUMBER(SEARCH("enterprise architect",$C66))),"Domain Architect",IF(ISNUMBER(SEARCH("delivery man",$C66)),"Delivery Manager",IF(OR(ISNUMBER(SEARCH("technology manager",$C66)),ISNUMBER(SEARCH("technology manger",$C66)),ISNUMBER(SEARCH("tech manager",$C66))),"Technology Manager","Squad"))))))</f>
        <v>Squad</v>
      </c>
      <c r="AS66" t="str">
        <f>IF(TRIM($B66)="","",IFERROR(INDEX(Lists!$AA:$AA,MATCH($AP66,Lists!$Z:$Z,0)),$AP66))</f>
        <v>Store Operations</v>
      </c>
      <c r="AT66" t="str">
        <f>IF(TRIM($B66)="","",IF(IFERROR(INDEX(Lists!$AP$2:$AP$4,MATCH(ROW(),Lists!$AN$2:$AN$4,0)),"")&lt;&gt;"",IFERROR(INDEX(Lists!$AP$2:$AP$4,MATCH(ROW(),Lists!$AN$2:$AN$4,0)),""),IF(OR(LEFT($AJ66,3)="COE",$AJ66="EGI"),$AP66,IF($AR66&lt;&gt;"Squad",$AR66,$AP66))))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IF(TRIM($B67)="","",IF(N($AU67)&gt;0,$AU67,IF(N($S67)&gt;0,$S67*Lists!$AG$15*(1+N($Z67)),N($U67)*(1+N($V67)+N($W67)+N($X67)+N($Z67))+N($Y67))))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IF(TRIM($B67)="","",IF(IFERROR(INDEX(Lists!$AO$2:$AO$4,MATCH(ROW(),Lists!$AN$2:$AN$4,0)),"")&lt;&gt;"",IFERROR(INDEX(Lists!$AO$2:$AO$4,MATCH(ROW(),Lists!$AN$2:$AN$4,0)),""),IFERROR(INDEX(Lists!$U:$U,MATCH(TRIM($I67),Lists!$T:$T,0)),TRIM($I67))))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",$C67)),"Head of Technology",IF(ISNUMBER(SEARCH("TDD BP",$C67)),"Business Partner",IF(OR(ISNUMBER(SEARCH("domain architect",$C67)),ISNUMBER(SEARCH("enterprise architect",$C67))),"Domain Architect",IF(ISNUMBER(SEARCH("delivery man",$C67)),"Delivery Manager",IF(OR(ISNUMBER(SEARCH("technology manager",$C67)),ISNUMBER(SEARCH("technology manger",$C67)),ISNUMBER(SEARCH("tech manager",$C67))),"Technology Manager","Squad"))))))</f>
        <v>Squad</v>
      </c>
      <c r="AS67" t="str">
        <f>IF(TRIM($B67)="","",IFERROR(INDEX(Lists!$AA:$AA,MATCH($AP67,Lists!$Z:$Z,0)),$AP67))</f>
        <v>Above Store</v>
      </c>
      <c r="AT67" t="str">
        <f>IF(TRIM($B67)="","",IF(IFERROR(INDEX(Lists!$AP$2:$AP$4,MATCH(ROW(),Lists!$AN$2:$AN$4,0)),"")&lt;&gt;"",IFERROR(INDEX(Lists!$AP$2:$AP$4,MATCH(ROW(),Lists!$AN$2:$AN$4,0)),""),IF(OR(LEFT($AJ67,3)="COE",$AJ67="EGI"),$AP67,IF($AR67&lt;&gt;"Squad",$AR67,$AP67))))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IF(TRIM($B68)="","",IF(N($AU68)&gt;0,$AU68,IF(N($S68)&gt;0,$S68*Lists!$AG$15*(1+N($Z68)),N($U68)*(1+N($V68)+N($W68)+N($X68)+N($Z68))+N($Y68))))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IF(TRIM($B68)="","",IF(IFERROR(INDEX(Lists!$AO$2:$AO$4,MATCH(ROW(),Lists!$AN$2:$AN$4,0)),"")&lt;&gt;"",IFERROR(INDEX(Lists!$AO$2:$AO$4,MATCH(ROW(),Lists!$AN$2:$AN$4,0)),""),IFERROR(INDEX(Lists!$U:$U,MATCH(TRIM($I68),Lists!$T:$T,0)),TRIM($I68))))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",$C68)),"Head of Technology",IF(ISNUMBER(SEARCH("TDD BP",$C68)),"Business Partner",IF(OR(ISNUMBER(SEARCH("domain architect",$C68)),ISNUMBER(SEARCH("enterprise architect",$C68))),"Domain Architect",IF(ISNUMBER(SEARCH("delivery man",$C68)),"Delivery Manager",IF(OR(ISNUMBER(SEARCH("technology manager",$C68)),ISNUMBER(SEARCH("technology manger",$C68)),ISNUMBER(SEARCH("tech manager",$C68))),"Technology Manager","Squad"))))))</f>
        <v>Squad</v>
      </c>
      <c r="AS68" t="str">
        <f>IF(TRIM($B68)="","",IFERROR(INDEX(Lists!$AA:$AA,MATCH($AP68,Lists!$Z:$Z,0)),$AP68))</f>
        <v>Network &amp; QSR</v>
      </c>
      <c r="AT68" t="str">
        <f>IF(TRIM($B68)="","",IF(IFERROR(INDEX(Lists!$AP$2:$AP$4,MATCH(ROW(),Lists!$AN$2:$AN$4,0)),"")&lt;&gt;"",IFERROR(INDEX(Lists!$AP$2:$AP$4,MATCH(ROW(),Lists!$AN$2:$AN$4,0)),""),IF(OR(LEFT($AJ68,3)="COE",$AJ68="EGI"),$AP68,IF($AR68&lt;&gt;"Squad",$AR68,$AP68))))</f>
        <v>Network &amp;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IF(TRIM($B69)="","",IF(N($AU69)&gt;0,$AU69,IF(N($S69)&gt;0,$S69*Lists!$AG$15*(1+N($Z69)),N($U69)*(1+N($V69)+N($W69)+N($X69)+N($Z69))+N($Y69))))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IF(TRIM($B69)="","",IF(IFERROR(INDEX(Lists!$AO$2:$AO$4,MATCH(ROW(),Lists!$AN$2:$AN$4,0)),"")&lt;&gt;"",IFERROR(INDEX(Lists!$AO$2:$AO$4,MATCH(ROW(),Lists!$AN$2:$AN$4,0)),""),IFERROR(INDEX(Lists!$U:$U,MATCH(TRIM($I69),Lists!$T:$T,0)),TRIM($I69))))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",$C69)),"Head of Technology",IF(ISNUMBER(SEARCH("TDD BP",$C69)),"Business Partner",IF(OR(ISNUMBER(SEARCH("domain architect",$C69)),ISNUMBER(SEARCH("enterprise architect",$C69))),"Domain Architect",IF(ISNUMBER(SEARCH("delivery man",$C69)),"Delivery Manager",IF(OR(ISNUMBER(SEARCH("technology manager",$C69)),ISNUMBER(SEARCH("technology manger",$C69)),ISNUMBER(SEARCH("tech manager",$C69))),"Technology Manager","Squad"))))))</f>
        <v>Squad</v>
      </c>
      <c r="AS69" t="str">
        <f>IF(TRIM($B69)="","",IFERROR(INDEX(Lists!$AA:$AA,MATCH($AP69,Lists!$Z:$Z,0)),$AP69))</f>
        <v>POS</v>
      </c>
      <c r="AT69" t="str">
        <f>IF(TRIM($B69)="","",IF(IFERROR(INDEX(Lists!$AP$2:$AP$4,MATCH(ROW(),Lists!$AN$2:$AN$4,0)),"")&lt;&gt;"",IFERROR(INDEX(Lists!$AP$2:$AP$4,MATCH(ROW(),Lists!$AN$2:$AN$4,0)),""),IF(OR(LEFT($AJ69,3)="COE",$AJ69="EGI"),$AP69,IF($AR69&lt;&gt;"Squad",$AR69,$AP69))))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IF(TRIM($B70)="","",IF(N($AU70)&gt;0,$AU70,IF(N($S70)&gt;0,$S70*Lists!$AG$15*(1+N($Z70)),N($U70)*(1+N($V70)+N($W70)+N($X70)+N($Z70))+N($Y70))))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IF(TRIM($B70)="","",IF(IFERROR(INDEX(Lists!$AO$2:$AO$4,MATCH(ROW(),Lists!$AN$2:$AN$4,0)),"")&lt;&gt;"",IFERROR(INDEX(Lists!$AO$2:$AO$4,MATCH(ROW(),Lists!$AN$2:$AN$4,0)),""),IFERROR(INDEX(Lists!$U:$U,MATCH(TRIM($I70),Lists!$T:$T,0)),TRIM($I70))))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",$C70)),"Head of Technology",IF(ISNUMBER(SEARCH("TDD BP",$C70)),"Business Partner",IF(OR(ISNUMBER(SEARCH("domain architect",$C70)),ISNUMBER(SEARCH("enterprise architect",$C70))),"Domain Architect",IF(ISNUMBER(SEARCH("delivery man",$C70)),"Delivery Manager",IF(OR(ISNUMBER(SEARCH("technology manager",$C70)),ISNUMBER(SEARCH("technology manger",$C70)),ISNUMBER(SEARCH("tech manager",$C70))),"Technology Manager","Squad"))))))</f>
        <v>Squad</v>
      </c>
      <c r="AS70" t="str">
        <f>IF(TRIM($B70)="","",IFERROR(INDEX(Lists!$AA:$AA,MATCH($AP70,Lists!$Z:$Z,0)),$AP70))</f>
        <v>Data AU</v>
      </c>
      <c r="AT70" t="str">
        <f>IF(TRIM($B70)="","",IF(IFERROR(INDEX(Lists!$AP$2:$AP$4,MATCH(ROW(),Lists!$AN$2:$AN$4,0)),"")&lt;&gt;"",IFERROR(INDEX(Lists!$AP$2:$AP$4,MATCH(ROW(),Lists!$AN$2:$AN$4,0)),""),IF(OR(LEFT($AJ70,3)="COE",$AJ70="EGI"),$AP70,IF($AR70&lt;&gt;"Squad",$AR70,$AP70))))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IF(TRIM($B71)="","",IF(N($AU71)&gt;0,$AU71,IF(N($S71)&gt;0,$S71*Lists!$AG$15*(1+N($Z71)),N($U71)*(1+N($V71)+N($W71)+N($X71)+N($Z71))+N($Y71))))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IF(TRIM($B71)="","",IF(IFERROR(INDEX(Lists!$AO$2:$AO$4,MATCH(ROW(),Lists!$AN$2:$AN$4,0)),"")&lt;&gt;"",IFERROR(INDEX(Lists!$AO$2:$AO$4,MATCH(ROW(),Lists!$AN$2:$AN$4,0)),""),IFERROR(INDEX(Lists!$U:$U,MATCH(TRIM($I71),Lists!$T:$T,0)),TRIM($I71))))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",$C71)),"Head of Technology",IF(ISNUMBER(SEARCH("TDD BP",$C71)),"Business Partner",IF(OR(ISNUMBER(SEARCH("domain architect",$C71)),ISNUMBER(SEARCH("enterprise architect",$C71))),"Domain Architect",IF(ISNUMBER(SEARCH("delivery man",$C71)),"Delivery Manager",IF(OR(ISNUMBER(SEARCH("technology manager",$C71)),ISNUMBER(SEARCH("technology manger",$C71)),ISNUMBER(SEARCH("tech manager",$C71))),"Technology Manager","Squad"))))))</f>
        <v>Squad</v>
      </c>
      <c r="AS71" t="str">
        <f>IF(TRIM($B71)="","",IFERROR(INDEX(Lists!$AA:$AA,MATCH($AP71,Lists!$Z:$Z,0)),$AP71))</f>
        <v>Data AU</v>
      </c>
      <c r="AT71" t="str">
        <f>IF(TRIM($B71)="","",IF(IFERROR(INDEX(Lists!$AP$2:$AP$4,MATCH(ROW(),Lists!$AN$2:$AN$4,0)),"")&lt;&gt;"",IFERROR(INDEX(Lists!$AP$2:$AP$4,MATCH(ROW(),Lists!$AN$2:$AN$4,0)),""),IF(OR(LEFT($AJ71,3)="COE",$AJ71="EGI"),$AP71,IF($AR71&lt;&gt;"Squad",$AR71,$AP71))))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IF(TRIM($B72)="","",IF(N($AU72)&gt;0,$AU72,IF(N($S72)&gt;0,$S72*Lists!$AG$15*(1+N($Z72)),N($U72)*(1+N($V72)+N($W72)+N($X72)+N($Z72))+N($Y72))))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IF(TRIM($B72)="","",IF(IFERROR(INDEX(Lists!$AO$2:$AO$4,MATCH(ROW(),Lists!$AN$2:$AN$4,0)),"")&lt;&gt;"",IFERROR(INDEX(Lists!$AO$2:$AO$4,MATCH(ROW(),Lists!$AN$2:$AN$4,0)),""),IFERROR(INDEX(Lists!$U:$U,MATCH(TRIM($I72),Lists!$T:$T,0)),TRIM($I72))))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",$C72)),"Head of Technology",IF(ISNUMBER(SEARCH("TDD BP",$C72)),"Business Partner",IF(OR(ISNUMBER(SEARCH("domain architect",$C72)),ISNUMBER(SEARCH("enterprise architect",$C72))),"Domain Architect",IF(ISNUMBER(SEARCH("delivery man",$C72)),"Delivery Manager",IF(OR(ISNUMBER(SEARCH("technology manager",$C72)),ISNUMBER(SEARCH("technology manger",$C72)),ISNUMBER(SEARCH("tech manager",$C72))),"Technology Manager","Squad"))))))</f>
        <v>Squad</v>
      </c>
      <c r="AS72" t="str">
        <f>IF(TRIM($B72)="","",IFERROR(INDEX(Lists!$AA:$AA,MATCH($AP72,Lists!$Z:$Z,0)),$AP72))</f>
        <v>Data AU</v>
      </c>
      <c r="AT72" t="str">
        <f>IF(TRIM($B72)="","",IF(IFERROR(INDEX(Lists!$AP$2:$AP$4,MATCH(ROW(),Lists!$AN$2:$AN$4,0)),"")&lt;&gt;"",IFERROR(INDEX(Lists!$AP$2:$AP$4,MATCH(ROW(),Lists!$AN$2:$AN$4,0)),""),IF(OR(LEFT($AJ72,3)="COE",$AJ72="EGI"),$AP72,IF($AR72&lt;&gt;"Squad",$AR72,$AP72))))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IF(TRIM($B73)="","",IF(N($AU73)&gt;0,$AU73,IF(N($S73)&gt;0,$S73*Lists!$AG$15*(1+N($Z73)),N($U73)*(1+N($V73)+N($W73)+N($X73)+N($Z73))+N($Y73))))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IF(TRIM($B73)="","",IF(IFERROR(INDEX(Lists!$AO$2:$AO$4,MATCH(ROW(),Lists!$AN$2:$AN$4,0)),"")&lt;&gt;"",IFERROR(INDEX(Lists!$AO$2:$AO$4,MATCH(ROW(),Lists!$AN$2:$AN$4,0)),""),IFERROR(INDEX(Lists!$U:$U,MATCH(TRIM($I73),Lists!$T:$T,0)),TRIM($I73))))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",$C73)),"Head of Technology",IF(ISNUMBER(SEARCH("TDD BP",$C73)),"Business Partner",IF(OR(ISNUMBER(SEARCH("domain architect",$C73)),ISNUMBER(SEARCH("enterprise architect",$C73))),"Domain Architect",IF(ISNUMBER(SEARCH("delivery man",$C73)),"Delivery Manager",IF(OR(ISNUMBER(SEARCH("technology manager",$C73)),ISNUMBER(SEARCH("technology manger",$C73)),ISNUMBER(SEARCH("tech manager",$C73))),"Technology Manager","Squad"))))))</f>
        <v>Squad</v>
      </c>
      <c r="AS73" t="str">
        <f>IF(TRIM($B73)="","",IFERROR(INDEX(Lists!$AA:$AA,MATCH($AP73,Lists!$Z:$Z,0)),$AP73))</f>
        <v>Data NZ</v>
      </c>
      <c r="AT73" t="str">
        <f>IF(TRIM($B73)="","",IF(IFERROR(INDEX(Lists!$AP$2:$AP$4,MATCH(ROW(),Lists!$AN$2:$AN$4,0)),"")&lt;&gt;"",IFERROR(INDEX(Lists!$AP$2:$AP$4,MATCH(ROW(),Lists!$AN$2:$AN$4,0)),""),IF(OR(LEFT($AJ73,3)="COE",$AJ73="EGI"),$AP73,IF($AR73&lt;&gt;"Squad",$AR73,$AP73))))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IF(TRIM($B74)="","",IF(N($AU74)&gt;0,$AU74,IF(N($S74)&gt;0,$S74*Lists!$AG$15*(1+N($Z74)),N($U74)*(1+N($V74)+N($W74)+N($X74)+N($Z74))+N($Y74))))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IF(TRIM($B74)="","",IF(IFERROR(INDEX(Lists!$AO$2:$AO$4,MATCH(ROW(),Lists!$AN$2:$AN$4,0)),"")&lt;&gt;"",IFERROR(INDEX(Lists!$AO$2:$AO$4,MATCH(ROW(),Lists!$AN$2:$AN$4,0)),""),IFERROR(INDEX(Lists!$U:$U,MATCH(TRIM($I74),Lists!$T:$T,0)),TRIM($I74))))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",$C74)),"Head of Technology",IF(ISNUMBER(SEARCH("TDD BP",$C74)),"Business Partner",IF(OR(ISNUMBER(SEARCH("domain architect",$C74)),ISNUMBER(SEARCH("enterprise architect",$C74))),"Domain Architect",IF(ISNUMBER(SEARCH("delivery man",$C74)),"Delivery Manager",IF(OR(ISNUMBER(SEARCH("technology manager",$C74)),ISNUMBER(SEARCH("technology manger",$C74)),ISNUMBER(SEARCH("tech manager",$C74))),"Technology Manager","Squad"))))))</f>
        <v>Delivery Manager</v>
      </c>
      <c r="AS74" t="str">
        <f>IF(TRIM($B74)="","",IFERROR(INDEX(Lists!$AA:$AA,MATCH($AP74,Lists!$Z:$Z,0)),$AP74))</f>
        <v>Leadership</v>
      </c>
      <c r="AT74" t="str">
        <f>IF(TRIM($B74)="","",IF(IFERROR(INDEX(Lists!$AP$2:$AP$4,MATCH(ROW(),Lists!$AN$2:$AN$4,0)),"")&lt;&gt;"",IFERROR(INDEX(Lists!$AP$2:$AP$4,MATCH(ROW(),Lists!$AN$2:$AN$4,0)),""),IF(OR(LEFT($AJ74,3)="COE",$AJ74="EGI"),$AP74,IF($AR74&lt;&gt;"Squad",$AR74,$AP74))))</f>
        <v>Delivery Manager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IF(TRIM($B75)="","",IF(N($AU75)&gt;0,$AU75,IF(N($S75)&gt;0,$S75*Lists!$AG$15*(1+N($Z75)),N($U75)*(1+N($V75)+N($W75)+N($X75)+N($Z75))+N($Y75))))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IF(TRIM($B75)="","",IF(IFERROR(INDEX(Lists!$AO$2:$AO$4,MATCH(ROW(),Lists!$AN$2:$AN$4,0)),"")&lt;&gt;"",IFERROR(INDEX(Lists!$AO$2:$AO$4,MATCH(ROW(),Lists!$AN$2:$AN$4,0)),""),IFERROR(INDEX(Lists!$U:$U,MATCH(TRIM($I75),Lists!$T:$T,0)),TRIM($I75))))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",$C75)),"Head of Technology",IF(ISNUMBER(SEARCH("TDD BP",$C75)),"Business Partner",IF(OR(ISNUMBER(SEARCH("domain architect",$C75)),ISNUMBER(SEARCH("enterprise architect",$C75))),"Domain Architect",IF(ISNUMBER(SEARCH("delivery man",$C75)),"Delivery Manager",IF(OR(ISNUMBER(SEARCH("technology manager",$C75)),ISNUMBER(SEARCH("technology manger",$C75)),ISNUMBER(SEARCH("tech manager",$C75))),"Technology Manager","Squad"))))))</f>
        <v>Squad</v>
      </c>
      <c r="AS75" t="str">
        <f>IF(TRIM($B75)="","",IFERROR(INDEX(Lists!$AA:$AA,MATCH($AP75,Lists!$Z:$Z,0)),$AP75))</f>
        <v>Data AU</v>
      </c>
      <c r="AT75" t="str">
        <f>IF(TRIM($B75)="","",IF(IFERROR(INDEX(Lists!$AP$2:$AP$4,MATCH(ROW(),Lists!$AN$2:$AN$4,0)),"")&lt;&gt;"",IFERROR(INDEX(Lists!$AP$2:$AP$4,MATCH(ROW(),Lists!$AN$2:$AN$4,0)),""),IF(OR(LEFT($AJ75,3)="COE",$AJ75="EGI"),$AP75,IF($AR75&lt;&gt;"Squad",$AR75,$AP75))))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IF(TRIM($B76)="","",IF(N($AU76)&gt;0,$AU76,IF(N($S76)&gt;0,$S76*Lists!$AG$15*(1+N($Z76)),N($U76)*(1+N($V76)+N($W76)+N($X76)+N($Z76))+N($Y76))))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IF(TRIM($B76)="","",IF(IFERROR(INDEX(Lists!$AO$2:$AO$4,MATCH(ROW(),Lists!$AN$2:$AN$4,0)),"")&lt;&gt;"",IFERROR(INDEX(Lists!$AO$2:$AO$4,MATCH(ROW(),Lists!$AN$2:$AN$4,0)),""),IFERROR(INDEX(Lists!$U:$U,MATCH(TRIM($I76),Lists!$T:$T,0)),TRIM($I76))))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",$C76)),"Head of Technology",IF(ISNUMBER(SEARCH("TDD BP",$C76)),"Business Partner",IF(OR(ISNUMBER(SEARCH("domain architect",$C76)),ISNUMBER(SEARCH("enterprise architect",$C76))),"Domain Architect",IF(ISNUMBER(SEARCH("delivery man",$C76)),"Delivery Manager",IF(OR(ISNUMBER(SEARCH("technology manager",$C76)),ISNUMBER(SEARCH("technology manger",$C76)),ISNUMBER(SEARCH("tech manager",$C76))),"Technology Manager","Squad"))))))</f>
        <v>Squad</v>
      </c>
      <c r="AS76" t="str">
        <f>IF(TRIM($B76)="","",IFERROR(INDEX(Lists!$AA:$AA,MATCH($AP76,Lists!$Z:$Z,0)),$AP76))</f>
        <v>Data AU</v>
      </c>
      <c r="AT76" t="str">
        <f>IF(TRIM($B76)="","",IF(IFERROR(INDEX(Lists!$AP$2:$AP$4,MATCH(ROW(),Lists!$AN$2:$AN$4,0)),"")&lt;&gt;"",IFERROR(INDEX(Lists!$AP$2:$AP$4,MATCH(ROW(),Lists!$AN$2:$AN$4,0)),""),IF(OR(LEFT($AJ76,3)="COE",$AJ76="EGI"),$AP76,IF($AR76&lt;&gt;"Squad",$AR76,$AP76))))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IF(TRIM($B77)="","",IF(N($AU77)&gt;0,$AU77,IF(N($S77)&gt;0,$S77*Lists!$AG$15*(1+N($Z77)),N($U77)*(1+N($V77)+N($W77)+N($X77)+N($Z77))+N($Y77))))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IF(TRIM($B77)="","",IF(IFERROR(INDEX(Lists!$AO$2:$AO$4,MATCH(ROW(),Lists!$AN$2:$AN$4,0)),"")&lt;&gt;"",IFERROR(INDEX(Lists!$AO$2:$AO$4,MATCH(ROW(),Lists!$AN$2:$AN$4,0)),""),IFERROR(INDEX(Lists!$U:$U,MATCH(TRIM($I77),Lists!$T:$T,0)),TRIM($I77))))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",$C77)),"Head of Technology",IF(ISNUMBER(SEARCH("TDD BP",$C77)),"Business Partner",IF(OR(ISNUMBER(SEARCH("domain architect",$C77)),ISNUMBER(SEARCH("enterprise architect",$C77))),"Domain Architect",IF(ISNUMBER(SEARCH("delivery man",$C77)),"Delivery Manager",IF(OR(ISNUMBER(SEARCH("technology manager",$C77)),ISNUMBER(SEARCH("technology manger",$C77)),ISNUMBER(SEARCH("tech manager",$C77))),"Technology Manager","Squad"))))))</f>
        <v>Squad</v>
      </c>
      <c r="AS77" t="str">
        <f>IF(TRIM($B77)="","",IFERROR(INDEX(Lists!$AA:$AA,MATCH($AP77,Lists!$Z:$Z,0)),$AP77))</f>
        <v>Data AU</v>
      </c>
      <c r="AT77" t="str">
        <f>IF(TRIM($B77)="","",IF(IFERROR(INDEX(Lists!$AP$2:$AP$4,MATCH(ROW(),Lists!$AN$2:$AN$4,0)),"")&lt;&gt;"",IFERROR(INDEX(Lists!$AP$2:$AP$4,MATCH(ROW(),Lists!$AN$2:$AN$4,0)),""),IF(OR(LEFT($AJ77,3)="COE",$AJ77="EGI"),$AP77,IF($AR77&lt;&gt;"Squad",$AR77,$AP77))))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IF(TRIM($B78)="","",IF(N($AU78)&gt;0,$AU78,IF(N($S78)&gt;0,$S78*Lists!$AG$15*(1+N($Z78)),N($U78)*(1+N($V78)+N($W78)+N($X78)+N($Z78))+N($Y78))))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IF(TRIM($B78)="","",IF(IFERROR(INDEX(Lists!$AO$2:$AO$4,MATCH(ROW(),Lists!$AN$2:$AN$4,0)),"")&lt;&gt;"",IFERROR(INDEX(Lists!$AO$2:$AO$4,MATCH(ROW(),Lists!$AN$2:$AN$4,0)),""),IFERROR(INDEX(Lists!$U:$U,MATCH(TRIM($I78),Lists!$T:$T,0)),TRIM($I78))))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",$C78)),"Head of Technology",IF(ISNUMBER(SEARCH("TDD BP",$C78)),"Business Partner",IF(OR(ISNUMBER(SEARCH("domain architect",$C78)),ISNUMBER(SEARCH("enterprise architect",$C78))),"Domain Architect",IF(ISNUMBER(SEARCH("delivery man",$C78)),"Delivery Manager",IF(OR(ISNUMBER(SEARCH("technology manager",$C78)),ISNUMBER(SEARCH("technology manger",$C78)),ISNUMBER(SEARCH("tech manager",$C78))),"Technology Manager","Squad"))))))</f>
        <v>Squad</v>
      </c>
      <c r="AS78" t="str">
        <f>IF(TRIM($B78)="","",IFERROR(INDEX(Lists!$AA:$AA,MATCH($AP78,Lists!$Z:$Z,0)),$AP78))</f>
        <v>Data NZ</v>
      </c>
      <c r="AT78" t="str">
        <f>IF(TRIM($B78)="","",IF(IFERROR(INDEX(Lists!$AP$2:$AP$4,MATCH(ROW(),Lists!$AN$2:$AN$4,0)),"")&lt;&gt;"",IFERROR(INDEX(Lists!$AP$2:$AP$4,MATCH(ROW(),Lists!$AN$2:$AN$4,0)),""),IF(OR(LEFT($AJ78,3)="COE",$AJ78="EGI"),$AP78,IF($AR78&lt;&gt;"Squad",$AR78,$AP78))))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IF(TRIM($B79)="","",IF(N($AU79)&gt;0,$AU79,IF(N($S79)&gt;0,$S79*Lists!$AG$15*(1+N($Z79)),N($U79)*(1+N($V79)+N($W79)+N($X79)+N($Z79))+N($Y79))))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IF(TRIM($B79)="","",IF(IFERROR(INDEX(Lists!$AO$2:$AO$4,MATCH(ROW(),Lists!$AN$2:$AN$4,0)),"")&lt;&gt;"",IFERROR(INDEX(Lists!$AO$2:$AO$4,MATCH(ROW(),Lists!$AN$2:$AN$4,0)),""),IFERROR(INDEX(Lists!$U:$U,MATCH(TRIM($I79),Lists!$T:$T,0)),TRIM($I79))))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",$C79)),"Head of Technology",IF(ISNUMBER(SEARCH("TDD BP",$C79)),"Business Partner",IF(OR(ISNUMBER(SEARCH("domain architect",$C79)),ISNUMBER(SEARCH("enterprise architect",$C79))),"Domain Architect",IF(ISNUMBER(SEARCH("delivery man",$C79)),"Delivery Manager",IF(OR(ISNUMBER(SEARCH("technology manager",$C79)),ISNUMBER(SEARCH("technology manger",$C79)),ISNUMBER(SEARCH("tech manager",$C79))),"Technology Manager","Squad"))))))</f>
        <v>Squad</v>
      </c>
      <c r="AS79" t="str">
        <f>IF(TRIM($B79)="","",IFERROR(INDEX(Lists!$AA:$AA,MATCH($AP79,Lists!$Z:$Z,0)),$AP79))</f>
        <v>Above Store</v>
      </c>
      <c r="AT79" t="str">
        <f>IF(TRIM($B79)="","",IF(IFERROR(INDEX(Lists!$AP$2:$AP$4,MATCH(ROW(),Lists!$AN$2:$AN$4,0)),"")&lt;&gt;"",IFERROR(INDEX(Lists!$AP$2:$AP$4,MATCH(ROW(),Lists!$AN$2:$AN$4,0)),""),IF(OR(LEFT($AJ79,3)="COE",$AJ79="EGI"),$AP79,IF($AR79&lt;&gt;"Squad",$AR79,$AP79))))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IF(TRIM($B80)="","",IF(N($AU80)&gt;0,$AU80,IF(N($S80)&gt;0,$S80*Lists!$AG$15*(1+N($Z80)),N($U80)*(1+N($V80)+N($W80)+N($X80)+N($Z80))+N($Y80))))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IF(TRIM($B80)="","",IF(IFERROR(INDEX(Lists!$AO$2:$AO$4,MATCH(ROW(),Lists!$AN$2:$AN$4,0)),"")&lt;&gt;"",IFERROR(INDEX(Lists!$AO$2:$AO$4,MATCH(ROW(),Lists!$AN$2:$AN$4,0)),""),IFERROR(INDEX(Lists!$U:$U,MATCH(TRIM($I80),Lists!$T:$T,0)),TRIM($I80))))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",$C80)),"Head of Technology",IF(ISNUMBER(SEARCH("TDD BP",$C80)),"Business Partner",IF(OR(ISNUMBER(SEARCH("domain architect",$C80)),ISNUMBER(SEARCH("enterprise architect",$C80))),"Domain Architect",IF(ISNUMBER(SEARCH("delivery man",$C80)),"Delivery Manager",IF(OR(ISNUMBER(SEARCH("technology manager",$C80)),ISNUMBER(SEARCH("technology manger",$C80)),ISNUMBER(SEARCH("tech manager",$C80))),"Technology Manager","Squad"))))))</f>
        <v>Squad</v>
      </c>
      <c r="AS80" t="str">
        <f>IF(TRIM($B80)="","",IFERROR(INDEX(Lists!$AA:$AA,MATCH($AP80,Lists!$Z:$Z,0)),$AP80))</f>
        <v>Z Retail Backend</v>
      </c>
      <c r="AT80" t="str">
        <f>IF(TRIM($B80)="","",IF(IFERROR(INDEX(Lists!$AP$2:$AP$4,MATCH(ROW(),Lists!$AN$2:$AN$4,0)),"")&lt;&gt;"",IFERROR(INDEX(Lists!$AP$2:$AP$4,MATCH(ROW(),Lists!$AN$2:$AN$4,0)),""),IF(OR(LEFT($AJ80,3)="COE",$AJ80="EGI"),$AP80,IF($AR80&lt;&gt;"Squad",$AR80,$AP80))))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IF(TRIM($B81)="","",IF(N($AU81)&gt;0,$AU81,IF(N($S81)&gt;0,$S81*Lists!$AG$15*(1+N($Z81)),N($U81)*(1+N($V81)+N($W81)+N($X81)+N($Z81))+N($Y81))))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IF(TRIM($B81)="","",IF(IFERROR(INDEX(Lists!$AO$2:$AO$4,MATCH(ROW(),Lists!$AN$2:$AN$4,0)),"")&lt;&gt;"",IFERROR(INDEX(Lists!$AO$2:$AO$4,MATCH(ROW(),Lists!$AN$2:$AN$4,0)),""),IFERROR(INDEX(Lists!$U:$U,MATCH(TRIM($I81),Lists!$T:$T,0)),TRIM($I81))))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",$C81)),"Head of Technology",IF(ISNUMBER(SEARCH("TDD BP",$C81)),"Business Partner",IF(OR(ISNUMBER(SEARCH("domain architect",$C81)),ISNUMBER(SEARCH("enterprise architect",$C81))),"Domain Architect",IF(ISNUMBER(SEARCH("delivery man",$C81)),"Delivery Manager",IF(OR(ISNUMBER(SEARCH("technology manager",$C81)),ISNUMBER(SEARCH("technology manger",$C81)),ISNUMBER(SEARCH("tech manager",$C81))),"Technology Manager","Squad"))))))</f>
        <v>Squad</v>
      </c>
      <c r="AS81" t="str">
        <f>IF(TRIM($B81)="","",IFERROR(INDEX(Lists!$AA:$AA,MATCH($AP81,Lists!$Z:$Z,0)),$AP81))</f>
        <v>POS</v>
      </c>
      <c r="AT81" t="str">
        <f>IF(TRIM($B81)="","",IF(IFERROR(INDEX(Lists!$AP$2:$AP$4,MATCH(ROW(),Lists!$AN$2:$AN$4,0)),"")&lt;&gt;"",IFERROR(INDEX(Lists!$AP$2:$AP$4,MATCH(ROW(),Lists!$AN$2:$AN$4,0)),""),IF(OR(LEFT($AJ81,3)="COE",$AJ81="EGI"),$AP81,IF($AR81&lt;&gt;"Squad",$AR81,$AP81))))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IF(TRIM($B82)="","",IF(N($AU82)&gt;0,$AU82,IF(N($S82)&gt;0,$S82*Lists!$AG$15*(1+N($Z82)),N($U82)*(1+N($V82)+N($W82)+N($X82)+N($Z82))+N($Y82))))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IF(TRIM($B82)="","",IF(IFERROR(INDEX(Lists!$AO$2:$AO$4,MATCH(ROW(),Lists!$AN$2:$AN$4,0)),"")&lt;&gt;"",IFERROR(INDEX(Lists!$AO$2:$AO$4,MATCH(ROW(),Lists!$AN$2:$AN$4,0)),""),IFERROR(INDEX(Lists!$U:$U,MATCH(TRIM($I82),Lists!$T:$T,0)),TRIM($I82))))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",$C82)),"Head of Technology",IF(ISNUMBER(SEARCH("TDD BP",$C82)),"Business Partner",IF(OR(ISNUMBER(SEARCH("domain architect",$C82)),ISNUMBER(SEARCH("enterprise architect",$C82))),"Domain Architect",IF(ISNUMBER(SEARCH("delivery man",$C82)),"Delivery Manager",IF(OR(ISNUMBER(SEARCH("technology manager",$C82)),ISNUMBER(SEARCH("technology manger",$C82)),ISNUMBER(SEARCH("tech manager",$C82))),"Technology Manager","Squad"))))))</f>
        <v>Head of Technology</v>
      </c>
      <c r="AS82" t="str">
        <f>IF(TRIM($B82)="","",IFERROR(INDEX(Lists!$AA:$AA,MATCH($AP82,Lists!$Z:$Z,0)),$AP82))</f>
        <v>Leadership</v>
      </c>
      <c r="AT82" t="str">
        <f>IF(TRIM($B82)="","",IF(IFERROR(INDEX(Lists!$AP$2:$AP$4,MATCH(ROW(),Lists!$AN$2:$AN$4,0)),"")&lt;&gt;"",IFERROR(INDEX(Lists!$AP$2:$AP$4,MATCH(ROW(),Lists!$AN$2:$AN$4,0)),""),IF(OR(LEFT($AJ82,3)="COE",$AJ82="EGI"),$AP82,IF($AR82&lt;&gt;"Squad",$AR82,$AP82))))</f>
        <v>Head of Technology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IF(TRIM($B83)="","",IF(N($AU83)&gt;0,$AU83,IF(N($S83)&gt;0,$S83*Lists!$AG$15*(1+N($Z83)),N($U83)*(1+N($V83)+N($W83)+N($X83)+N($Z83))+N($Y83))))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IF(TRIM($B83)="","",IF(IFERROR(INDEX(Lists!$AO$2:$AO$4,MATCH(ROW(),Lists!$AN$2:$AN$4,0)),"")&lt;&gt;"",IFERROR(INDEX(Lists!$AO$2:$AO$4,MATCH(ROW(),Lists!$AN$2:$AN$4,0)),""),IFERROR(INDEX(Lists!$U:$U,MATCH(TRIM($I83),Lists!$T:$T,0)),TRIM($I83))))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",$C83)),"Head of Technology",IF(ISNUMBER(SEARCH("TDD BP",$C83)),"Business Partner",IF(OR(ISNUMBER(SEARCH("domain architect",$C83)),ISNUMBER(SEARCH("enterprise architect",$C83))),"Domain Architect",IF(ISNUMBER(SEARCH("delivery man",$C83)),"Delivery Manager",IF(OR(ISNUMBER(SEARCH("technology manager",$C83)),ISNUMBER(SEARCH("technology manger",$C83)),ISNUMBER(SEARCH("tech manager",$C83))),"Technology Manager","Squad"))))))</f>
        <v>Squad</v>
      </c>
      <c r="AS83" t="str">
        <f>IF(TRIM($B83)="","",IFERROR(INDEX(Lists!$AA:$AA,MATCH($AP83,Lists!$Z:$Z,0)),$AP83))</f>
        <v>POS</v>
      </c>
      <c r="AT83" t="str">
        <f>IF(TRIM($B83)="","",IF(IFERROR(INDEX(Lists!$AP$2:$AP$4,MATCH(ROW(),Lists!$AN$2:$AN$4,0)),"")&lt;&gt;"",IFERROR(INDEX(Lists!$AP$2:$AP$4,MATCH(ROW(),Lists!$AN$2:$AN$4,0)),""),IF(OR(LEFT($AJ83,3)="COE",$AJ83="EGI"),$AP83,IF($AR83&lt;&gt;"Squad",$AR83,$AP83))))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IF(TRIM($B84)="","",IF(N($AU84)&gt;0,$AU84,IF(N($S84)&gt;0,$S84*Lists!$AG$15*(1+N($Z84)),N($U84)*(1+N($V84)+N($W84)+N($X84)+N($Z84))+N($Y84))))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IF(TRIM($B84)="","",IF(IFERROR(INDEX(Lists!$AO$2:$AO$4,MATCH(ROW(),Lists!$AN$2:$AN$4,0)),"")&lt;&gt;"",IFERROR(INDEX(Lists!$AO$2:$AO$4,MATCH(ROW(),Lists!$AN$2:$AN$4,0)),""),IFERROR(INDEX(Lists!$U:$U,MATCH(TRIM($I84),Lists!$T:$T,0)),TRIM($I84))))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",$C84)),"Head of Technology",IF(ISNUMBER(SEARCH("TDD BP",$C84)),"Business Partner",IF(OR(ISNUMBER(SEARCH("domain architect",$C84)),ISNUMBER(SEARCH("enterprise architect",$C84))),"Domain Architect",IF(ISNUMBER(SEARCH("delivery man",$C84)),"Delivery Manager",IF(OR(ISNUMBER(SEARCH("technology manager",$C84)),ISNUMBER(SEARCH("technology manger",$C84)),ISNUMBER(SEARCH("tech manager",$C84))),"Technology Manager","Squad"))))))</f>
        <v>Squad</v>
      </c>
      <c r="AS84" t="str">
        <f>IF(TRIM($B84)="","",IFERROR(INDEX(Lists!$AA:$AA,MATCH($AP84,Lists!$Z:$Z,0)),$AP84))</f>
        <v>Z Retail Backend</v>
      </c>
      <c r="AT84" t="str">
        <f>IF(TRIM($B84)="","",IF(IFERROR(INDEX(Lists!$AP$2:$AP$4,MATCH(ROW(),Lists!$AN$2:$AN$4,0)),"")&lt;&gt;"",IFERROR(INDEX(Lists!$AP$2:$AP$4,MATCH(ROW(),Lists!$AN$2:$AN$4,0)),""),IF(OR(LEFT($AJ84,3)="COE",$AJ84="EGI"),$AP84,IF($AR84&lt;&gt;"Squad",$AR84,$AP84))))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IF(TRIM($B85)="","",IF(N($AU85)&gt;0,$AU85,IF(N($S85)&gt;0,$S85*Lists!$AG$15*(1+N($Z85)),N($U85)*(1+N($V85)+N($W85)+N($X85)+N($Z85))+N($Y85))))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IF(TRIM($B85)="","",IF(IFERROR(INDEX(Lists!$AO$2:$AO$4,MATCH(ROW(),Lists!$AN$2:$AN$4,0)),"")&lt;&gt;"",IFERROR(INDEX(Lists!$AO$2:$AO$4,MATCH(ROW(),Lists!$AN$2:$AN$4,0)),""),IFERROR(INDEX(Lists!$U:$U,MATCH(TRIM($I85),Lists!$T:$T,0)),TRIM($I85))))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",$C85)),"Head of Technology",IF(ISNUMBER(SEARCH("TDD BP",$C85)),"Business Partner",IF(OR(ISNUMBER(SEARCH("domain architect",$C85)),ISNUMBER(SEARCH("enterprise architect",$C85))),"Domain Architect",IF(ISNUMBER(SEARCH("delivery man",$C85)),"Delivery Manager",IF(OR(ISNUMBER(SEARCH("technology manager",$C85)),ISNUMBER(SEARCH("technology manger",$C85)),ISNUMBER(SEARCH("tech manager",$C85))),"Technology Manager","Squad"))))))</f>
        <v>Squad</v>
      </c>
      <c r="AS85" t="str">
        <f>IF(TRIM($B85)="","",IFERROR(INDEX(Lists!$AA:$AA,MATCH($AP85,Lists!$Z:$Z,0)),$AP85))</f>
        <v>Above Store</v>
      </c>
      <c r="AT85" t="str">
        <f>IF(TRIM($B85)="","",IF(IFERROR(INDEX(Lists!$AP$2:$AP$4,MATCH(ROW(),Lists!$AN$2:$AN$4,0)),"")&lt;&gt;"",IFERROR(INDEX(Lists!$AP$2:$AP$4,MATCH(ROW(),Lists!$AN$2:$AN$4,0)),""),IF(OR(LEFT($AJ85,3)="COE",$AJ85="EGI"),$AP85,IF($AR85&lt;&gt;"Squad",$AR85,$AP85))))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IF(TRIM($B86)="","",IF(N($AU86)&gt;0,$AU86,IF(N($S86)&gt;0,$S86*Lists!$AG$15*(1+N($Z86)),N($U86)*(1+N($V86)+N($W86)+N($X86)+N($Z86))+N($Y86))))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IF(TRIM($B86)="","",IF(IFERROR(INDEX(Lists!$AO$2:$AO$4,MATCH(ROW(),Lists!$AN$2:$AN$4,0)),"")&lt;&gt;"",IFERROR(INDEX(Lists!$AO$2:$AO$4,MATCH(ROW(),Lists!$AN$2:$AN$4,0)),""),IFERROR(INDEX(Lists!$U:$U,MATCH(TRIM($I86),Lists!$T:$T,0)),TRIM($I86))))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",$C86)),"Head of Technology",IF(ISNUMBER(SEARCH("TDD BP",$C86)),"Business Partner",IF(OR(ISNUMBER(SEARCH("domain architect",$C86)),ISNUMBER(SEARCH("enterprise architect",$C86))),"Domain Architect",IF(ISNUMBER(SEARCH("delivery man",$C86)),"Delivery Manager",IF(OR(ISNUMBER(SEARCH("technology manager",$C86)),ISNUMBER(SEARCH("technology manger",$C86)),ISNUMBER(SEARCH("tech manager",$C86))),"Technology Manager","Squad"))))))</f>
        <v>Squad</v>
      </c>
      <c r="AS86" t="str">
        <f>IF(TRIM($B86)="","",IFERROR(INDEX(Lists!$AA:$AA,MATCH($AP86,Lists!$Z:$Z,0)),$AP86))</f>
        <v>POS</v>
      </c>
      <c r="AT86" t="str">
        <f>IF(TRIM($B86)="","",IF(IFERROR(INDEX(Lists!$AP$2:$AP$4,MATCH(ROW(),Lists!$AN$2:$AN$4,0)),"")&lt;&gt;"",IFERROR(INDEX(Lists!$AP$2:$AP$4,MATCH(ROW(),Lists!$AN$2:$AN$4,0)),""),IF(OR(LEFT($AJ86,3)="COE",$AJ86="EGI"),$AP86,IF($AR86&lt;&gt;"Squad",$AR86,$AP86))))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IF(TRIM($B87)="","",IF(N($AU87)&gt;0,$AU87,IF(N($S87)&gt;0,$S87*Lists!$AG$15*(1+N($Z87)),N($U87)*(1+N($V87)+N($W87)+N($X87)+N($Z87))+N($Y87))))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IF(TRIM($B87)="","",IF(IFERROR(INDEX(Lists!$AO$2:$AO$4,MATCH(ROW(),Lists!$AN$2:$AN$4,0)),"")&lt;&gt;"",IFERROR(INDEX(Lists!$AO$2:$AO$4,MATCH(ROW(),Lists!$AN$2:$AN$4,0)),""),IFERROR(INDEX(Lists!$U:$U,MATCH(TRIM($I87),Lists!$T:$T,0)),TRIM($I87))))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",$C87)),"Head of Technology",IF(ISNUMBER(SEARCH("TDD BP",$C87)),"Business Partner",IF(OR(ISNUMBER(SEARCH("domain architect",$C87)),ISNUMBER(SEARCH("enterprise architect",$C87))),"Domain Architect",IF(ISNUMBER(SEARCH("delivery man",$C87)),"Delivery Manager",IF(OR(ISNUMBER(SEARCH("technology manager",$C87)),ISNUMBER(SEARCH("technology manger",$C87)),ISNUMBER(SEARCH("tech manager",$C87))),"Technology Manager","Squad"))))))</f>
        <v>Squad</v>
      </c>
      <c r="AS87" t="str">
        <f>IF(TRIM($B87)="","",IFERROR(INDEX(Lists!$AA:$AA,MATCH($AP87,Lists!$Z:$Z,0)),$AP87))</f>
        <v>POS</v>
      </c>
      <c r="AT87" t="str">
        <f>IF(TRIM($B87)="","",IF(IFERROR(INDEX(Lists!$AP$2:$AP$4,MATCH(ROW(),Lists!$AN$2:$AN$4,0)),"")&lt;&gt;"",IFERROR(INDEX(Lists!$AP$2:$AP$4,MATCH(ROW(),Lists!$AN$2:$AN$4,0)),""),IF(OR(LEFT($AJ87,3)="COE",$AJ87="EGI"),$AP87,IF($AR87&lt;&gt;"Squad",$AR87,$AP87))))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IF(TRIM($B88)="","",IF(N($AU88)&gt;0,$AU88,IF(N($S88)&gt;0,$S88*Lists!$AG$15*(1+N($Z88)),N($U88)*(1+N($V88)+N($W88)+N($X88)+N($Z88))+N($Y88))))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IF(TRIM($B88)="","",IF(IFERROR(INDEX(Lists!$AO$2:$AO$4,MATCH(ROW(),Lists!$AN$2:$AN$4,0)),"")&lt;&gt;"",IFERROR(INDEX(Lists!$AO$2:$AO$4,MATCH(ROW(),Lists!$AN$2:$AN$4,0)),""),IFERROR(INDEX(Lists!$U:$U,MATCH(TRIM($I88),Lists!$T:$T,0)),TRIM($I88))))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",$C88)),"Head of Technology",IF(ISNUMBER(SEARCH("TDD BP",$C88)),"Business Partner",IF(OR(ISNUMBER(SEARCH("domain architect",$C88)),ISNUMBER(SEARCH("enterprise architect",$C88))),"Domain Architect",IF(ISNUMBER(SEARCH("delivery man",$C88)),"Delivery Manager",IF(OR(ISNUMBER(SEARCH("technology manager",$C88)),ISNUMBER(SEARCH("technology manger",$C88)),ISNUMBER(SEARCH("tech manager",$C88))),"Technology Manager","Squad"))))))</f>
        <v>Squad</v>
      </c>
      <c r="AS88" t="str">
        <f>IF(TRIM($B88)="","",IFERROR(INDEX(Lists!$AA:$AA,MATCH($AP88,Lists!$Z:$Z,0)),$AP88))</f>
        <v>POS</v>
      </c>
      <c r="AT88" t="str">
        <f>IF(TRIM($B88)="","",IF(IFERROR(INDEX(Lists!$AP$2:$AP$4,MATCH(ROW(),Lists!$AN$2:$AN$4,0)),"")&lt;&gt;"",IFERROR(INDEX(Lists!$AP$2:$AP$4,MATCH(ROW(),Lists!$AN$2:$AN$4,0)),""),IF(OR(LEFT($AJ88,3)="COE",$AJ88="EGI"),$AP88,IF($AR88&lt;&gt;"Squad",$AR88,$AP88))))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IF(TRIM($B89)="","",IF(N($AU89)&gt;0,$AU89,IF(N($S89)&gt;0,$S89*Lists!$AG$15*(1+N($Z89)),N($U89)*(1+N($V89)+N($W89)+N($X89)+N($Z89))+N($Y89))))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IF(TRIM($B89)="","",IF(IFERROR(INDEX(Lists!$AO$2:$AO$4,MATCH(ROW(),Lists!$AN$2:$AN$4,0)),"")&lt;&gt;"",IFERROR(INDEX(Lists!$AO$2:$AO$4,MATCH(ROW(),Lists!$AN$2:$AN$4,0)),""),IFERROR(INDEX(Lists!$U:$U,MATCH(TRIM($I89),Lists!$T:$T,0)),TRIM($I89))))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",$C89)),"Head of Technology",IF(ISNUMBER(SEARCH("TDD BP",$C89)),"Business Partner",IF(OR(ISNUMBER(SEARCH("domain architect",$C89)),ISNUMBER(SEARCH("enterprise architect",$C89))),"Domain Architect",IF(ISNUMBER(SEARCH("delivery man",$C89)),"Delivery Manager",IF(OR(ISNUMBER(SEARCH("technology manager",$C89)),ISNUMBER(SEARCH("technology manger",$C89)),ISNUMBER(SEARCH("tech manager",$C89))),"Technology Manager","Squad"))))))</f>
        <v>Squad</v>
      </c>
      <c r="AS89" t="str">
        <f>IF(TRIM($B89)="","",IFERROR(INDEX(Lists!$AA:$AA,MATCH($AP89,Lists!$Z:$Z,0)),$AP89))</f>
        <v>Z Supply</v>
      </c>
      <c r="AT89" t="str">
        <f>IF(TRIM($B89)="","",IF(IFERROR(INDEX(Lists!$AP$2:$AP$4,MATCH(ROW(),Lists!$AN$2:$AN$4,0)),"")&lt;&gt;"",IFERROR(INDEX(Lists!$AP$2:$AP$4,MATCH(ROW(),Lists!$AN$2:$AN$4,0)),""),IF(OR(LEFT($AJ89,3)="COE",$AJ89="EGI"),$AP89,IF($AR89&lt;&gt;"Squad",$AR89,$AP89))))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IF(TRIM($B90)="","",IF(N($AU90)&gt;0,$AU90,IF(N($S90)&gt;0,$S90*Lists!$AG$15*(1+N($Z90)),N($U90)*(1+N($V90)+N($W90)+N($X90)+N($Z90))+N($Y90))))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IF(TRIM($B90)="","",IF(IFERROR(INDEX(Lists!$AO$2:$AO$4,MATCH(ROW(),Lists!$AN$2:$AN$4,0)),"")&lt;&gt;"",IFERROR(INDEX(Lists!$AO$2:$AO$4,MATCH(ROW(),Lists!$AN$2:$AN$4,0)),""),IFERROR(INDEX(Lists!$U:$U,MATCH(TRIM($I90),Lists!$T:$T,0)),TRIM($I90))))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",$C90)),"Head of Technology",IF(ISNUMBER(SEARCH("TDD BP",$C90)),"Business Partner",IF(OR(ISNUMBER(SEARCH("domain architect",$C90)),ISNUMBER(SEARCH("enterprise architect",$C90))),"Domain Architect",IF(ISNUMBER(SEARCH("delivery man",$C90)),"Delivery Manager",IF(OR(ISNUMBER(SEARCH("technology manager",$C90)),ISNUMBER(SEARCH("technology manger",$C90)),ISNUMBER(SEARCH("tech manager",$C90))),"Technology Manager","Squad"))))))</f>
        <v>Squad</v>
      </c>
      <c r="AS90" t="str">
        <f>IF(TRIM($B90)="","",IFERROR(INDEX(Lists!$AA:$AA,MATCH($AP90,Lists!$Z:$Z,0)),$AP90))</f>
        <v>POS</v>
      </c>
      <c r="AT90" t="str">
        <f>IF(TRIM($B90)="","",IF(IFERROR(INDEX(Lists!$AP$2:$AP$4,MATCH(ROW(),Lists!$AN$2:$AN$4,0)),"")&lt;&gt;"",IFERROR(INDEX(Lists!$AP$2:$AP$4,MATCH(ROW(),Lists!$AN$2:$AN$4,0)),""),IF(OR(LEFT($AJ90,3)="COE",$AJ90="EGI"),$AP90,IF($AR90&lt;&gt;"Squad",$AR90,$AP90))))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IF(TRIM($B91)="","",IF(N($AU91)&gt;0,$AU91,IF(N($S91)&gt;0,$S91*Lists!$AG$15*(1+N($Z91)),N($U91)*(1+N($V91)+N($W91)+N($X91)+N($Z91))+N($Y91))))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IF(TRIM($B91)="","",IF(IFERROR(INDEX(Lists!$AO$2:$AO$4,MATCH(ROW(),Lists!$AN$2:$AN$4,0)),"")&lt;&gt;"",IFERROR(INDEX(Lists!$AO$2:$AO$4,MATCH(ROW(),Lists!$AN$2:$AN$4,0)),""),IFERROR(INDEX(Lists!$U:$U,MATCH(TRIM($I91),Lists!$T:$T,0)),TRIM($I91))))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",$C91)),"Head of Technology",IF(ISNUMBER(SEARCH("TDD BP",$C91)),"Business Partner",IF(OR(ISNUMBER(SEARCH("domain architect",$C91)),ISNUMBER(SEARCH("enterprise architect",$C91))),"Domain Architect",IF(ISNUMBER(SEARCH("delivery man",$C91)),"Delivery Manager",IF(OR(ISNUMBER(SEARCH("technology manager",$C91)),ISNUMBER(SEARCH("technology manger",$C91)),ISNUMBER(SEARCH("tech manager",$C91))),"Technology Manager","Squad"))))))</f>
        <v>Squad</v>
      </c>
      <c r="AS91" t="str">
        <f>IF(TRIM($B91)="","",IFERROR(INDEX(Lists!$AA:$AA,MATCH($AP91,Lists!$Z:$Z,0)),$AP91))</f>
        <v>Store Operations</v>
      </c>
      <c r="AT91" t="str">
        <f>IF(TRIM($B91)="","",IF(IFERROR(INDEX(Lists!$AP$2:$AP$4,MATCH(ROW(),Lists!$AN$2:$AN$4,0)),"")&lt;&gt;"",IFERROR(INDEX(Lists!$AP$2:$AP$4,MATCH(ROW(),Lists!$AN$2:$AN$4,0)),""),IF(OR(LEFT($AJ91,3)="COE",$AJ91="EGI"),$AP91,IF($AR91&lt;&gt;"Squad",$AR91,$AP91))))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IF(TRIM($B92)="","",IF(N($AU92)&gt;0,$AU92,IF(N($S92)&gt;0,$S92*Lists!$AG$15*(1+N($Z92)),N($U92)*(1+N($V92)+N($W92)+N($X92)+N($Z92))+N($Y92))))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IF(TRIM($B92)="","",IF(IFERROR(INDEX(Lists!$AO$2:$AO$4,MATCH(ROW(),Lists!$AN$2:$AN$4,0)),"")&lt;&gt;"",IFERROR(INDEX(Lists!$AO$2:$AO$4,MATCH(ROW(),Lists!$AN$2:$AN$4,0)),""),IFERROR(INDEX(Lists!$U:$U,MATCH(TRIM($I92),Lists!$T:$T,0)),TRIM($I92))))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",$C92)),"Head of Technology",IF(ISNUMBER(SEARCH("TDD BP",$C92)),"Business Partner",IF(OR(ISNUMBER(SEARCH("domain architect",$C92)),ISNUMBER(SEARCH("enterprise architect",$C92))),"Domain Architect",IF(ISNUMBER(SEARCH("delivery man",$C92)),"Delivery Manager",IF(OR(ISNUMBER(SEARCH("technology manager",$C92)),ISNUMBER(SEARCH("technology manger",$C92)),ISNUMBER(SEARCH("tech manager",$C92))),"Technology Manager","Squad"))))))</f>
        <v>Squad</v>
      </c>
      <c r="AS92" t="str">
        <f>IF(TRIM($B92)="","",IFERROR(INDEX(Lists!$AA:$AA,MATCH($AP92,Lists!$Z:$Z,0)),$AP92))</f>
        <v>Above Store</v>
      </c>
      <c r="AT92" t="str">
        <f>IF(TRIM($B92)="","",IF(IFERROR(INDEX(Lists!$AP$2:$AP$4,MATCH(ROW(),Lists!$AN$2:$AN$4,0)),"")&lt;&gt;"",IFERROR(INDEX(Lists!$AP$2:$AP$4,MATCH(ROW(),Lists!$AN$2:$AN$4,0)),""),IF(OR(LEFT($AJ92,3)="COE",$AJ92="EGI"),$AP92,IF($AR92&lt;&gt;"Squad",$AR92,$AP92))))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IF(TRIM($B93)="","",IF(N($AU93)&gt;0,$AU93,IF(N($S93)&gt;0,$S93*Lists!$AG$15*(1+N($Z93)),N($U93)*(1+N($V93)+N($W93)+N($X93)+N($Z93))+N($Y93))))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IF(TRIM($B93)="","",IF(IFERROR(INDEX(Lists!$AO$2:$AO$4,MATCH(ROW(),Lists!$AN$2:$AN$4,0)),"")&lt;&gt;"",IFERROR(INDEX(Lists!$AO$2:$AO$4,MATCH(ROW(),Lists!$AN$2:$AN$4,0)),""),IFERROR(INDEX(Lists!$U:$U,MATCH(TRIM($I93),Lists!$T:$T,0)),TRIM($I93))))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",$C93)),"Head of Technology",IF(ISNUMBER(SEARCH("TDD BP",$C93)),"Business Partner",IF(OR(ISNUMBER(SEARCH("domain architect",$C93)),ISNUMBER(SEARCH("enterprise architect",$C93))),"Domain Architect",IF(ISNUMBER(SEARCH("delivery man",$C93)),"Delivery Manager",IF(OR(ISNUMBER(SEARCH("technology manager",$C93)),ISNUMBER(SEARCH("technology manger",$C93)),ISNUMBER(SEARCH("tech manager",$C93))),"Technology Manager","Squad"))))))</f>
        <v>Squad</v>
      </c>
      <c r="AS93" t="str">
        <f>IF(TRIM($B93)="","",IFERROR(INDEX(Lists!$AA:$AA,MATCH($AP93,Lists!$Z:$Z,0)),$AP93))</f>
        <v>Network &amp; QSR</v>
      </c>
      <c r="AT93" t="str">
        <f>IF(TRIM($B93)="","",IF(IFERROR(INDEX(Lists!$AP$2:$AP$4,MATCH(ROW(),Lists!$AN$2:$AN$4,0)),"")&lt;&gt;"",IFERROR(INDEX(Lists!$AP$2:$AP$4,MATCH(ROW(),Lists!$AN$2:$AN$4,0)),""),IF(OR(LEFT($AJ93,3)="COE",$AJ93="EGI"),$AP93,IF($AR93&lt;&gt;"Squad",$AR93,$AP93))))</f>
        <v>Network &amp;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IF(TRIM($B94)="","",IF(N($AU94)&gt;0,$AU94,IF(N($S94)&gt;0,$S94*Lists!$AG$15*(1+N($Z94)),N($U94)*(1+N($V94)+N($W94)+N($X94)+N($Z94))+N($Y94))))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IF(TRIM($B94)="","",IF(IFERROR(INDEX(Lists!$AO$2:$AO$4,MATCH(ROW(),Lists!$AN$2:$AN$4,0)),"")&lt;&gt;"",IFERROR(INDEX(Lists!$AO$2:$AO$4,MATCH(ROW(),Lists!$AN$2:$AN$4,0)),""),IFERROR(INDEX(Lists!$U:$U,MATCH(TRIM($I94),Lists!$T:$T,0)),TRIM($I94))))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",$C94)),"Head of Technology",IF(ISNUMBER(SEARCH("TDD BP",$C94)),"Business Partner",IF(OR(ISNUMBER(SEARCH("domain architect",$C94)),ISNUMBER(SEARCH("enterprise architect",$C94))),"Domain Architect",IF(ISNUMBER(SEARCH("delivery man",$C94)),"Delivery Manager",IF(OR(ISNUMBER(SEARCH("technology manager",$C94)),ISNUMBER(SEARCH("technology manger",$C94)),ISNUMBER(SEARCH("tech manager",$C94))),"Technology Manager","Squad"))))))</f>
        <v>Squad</v>
      </c>
      <c r="AS94" t="str">
        <f>IF(TRIM($B94)="","",IFERROR(INDEX(Lists!$AA:$AA,MATCH($AP94,Lists!$Z:$Z,0)),$AP94))</f>
        <v>Payments</v>
      </c>
      <c r="AT94" t="str">
        <f>IF(TRIM($B94)="","",IF(IFERROR(INDEX(Lists!$AP$2:$AP$4,MATCH(ROW(),Lists!$AN$2:$AN$4,0)),"")&lt;&gt;"",IFERROR(INDEX(Lists!$AP$2:$AP$4,MATCH(ROW(),Lists!$AN$2:$AN$4,0)),""),IF(OR(LEFT($AJ94,3)="COE",$AJ94="EGI"),$AP94,IF($AR94&lt;&gt;"Squad",$AR94,$AP94))))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IF(TRIM($B95)="","",IF(N($AU95)&gt;0,$AU95,IF(N($S95)&gt;0,$S95*Lists!$AG$15*(1+N($Z95)),N($U95)*(1+N($V95)+N($W95)+N($X95)+N($Z95))+N($Y95))))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IF(TRIM($B95)="","",IF(IFERROR(INDEX(Lists!$AO$2:$AO$4,MATCH(ROW(),Lists!$AN$2:$AN$4,0)),"")&lt;&gt;"",IFERROR(INDEX(Lists!$AO$2:$AO$4,MATCH(ROW(),Lists!$AN$2:$AN$4,0)),""),IFERROR(INDEX(Lists!$U:$U,MATCH(TRIM($I95),Lists!$T:$T,0)),TRIM($I95))))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",$C95)),"Head of Technology",IF(ISNUMBER(SEARCH("TDD BP",$C95)),"Business Partner",IF(OR(ISNUMBER(SEARCH("domain architect",$C95)),ISNUMBER(SEARCH("enterprise architect",$C95))),"Domain Architect",IF(ISNUMBER(SEARCH("delivery man",$C95)),"Delivery Manager",IF(OR(ISNUMBER(SEARCH("technology manager",$C95)),ISNUMBER(SEARCH("technology manger",$C95)),ISNUMBER(SEARCH("tech manager",$C95))),"Technology Manager","Squad"))))))</f>
        <v>Squad</v>
      </c>
      <c r="AS95" t="str">
        <f>IF(TRIM($B95)="","",IFERROR(INDEX(Lists!$AA:$AA,MATCH($AP95,Lists!$Z:$Z,0)),$AP95))</f>
        <v>POS</v>
      </c>
      <c r="AT95" t="str">
        <f>IF(TRIM($B95)="","",IF(IFERROR(INDEX(Lists!$AP$2:$AP$4,MATCH(ROW(),Lists!$AN$2:$AN$4,0)),"")&lt;&gt;"",IFERROR(INDEX(Lists!$AP$2:$AP$4,MATCH(ROW(),Lists!$AN$2:$AN$4,0)),""),IF(OR(LEFT($AJ95,3)="COE",$AJ95="EGI"),$AP95,IF($AR95&lt;&gt;"Squad",$AR95,$AP95))))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IF(TRIM($B96)="","",IF(N($AU96)&gt;0,$AU96,IF(N($S96)&gt;0,$S96*Lists!$AG$15*(1+N($Z96)),N($U96)*(1+N($V96)+N($W96)+N($X96)+N($Z96))+N($Y96))))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IF(TRIM($B96)="","",IF(IFERROR(INDEX(Lists!$AO$2:$AO$4,MATCH(ROW(),Lists!$AN$2:$AN$4,0)),"")&lt;&gt;"",IFERROR(INDEX(Lists!$AO$2:$AO$4,MATCH(ROW(),Lists!$AN$2:$AN$4,0)),""),IFERROR(INDEX(Lists!$U:$U,MATCH(TRIM($I96),Lists!$T:$T,0)),TRIM($I96))))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",$C96)),"Head of Technology",IF(ISNUMBER(SEARCH("TDD BP",$C96)),"Business Partner",IF(OR(ISNUMBER(SEARCH("domain architect",$C96)),ISNUMBER(SEARCH("enterprise architect",$C96))),"Domain Architect",IF(ISNUMBER(SEARCH("delivery man",$C96)),"Delivery Manager",IF(OR(ISNUMBER(SEARCH("technology manager",$C96)),ISNUMBER(SEARCH("technology manger",$C96)),ISNUMBER(SEARCH("tech manager",$C96))),"Technology Manager","Squad"))))))</f>
        <v>Technology Manager</v>
      </c>
      <c r="AS96" t="str">
        <f>IF(TRIM($B96)="","",IFERROR(INDEX(Lists!$AA:$AA,MATCH($AP96,Lists!$Z:$Z,0)),$AP96))</f>
        <v>Leadership</v>
      </c>
      <c r="AT96" t="str">
        <f>IF(TRIM($B96)="","",IF(IFERROR(INDEX(Lists!$AP$2:$AP$4,MATCH(ROW(),Lists!$AN$2:$AN$4,0)),"")&lt;&gt;"",IFERROR(INDEX(Lists!$AP$2:$AP$4,MATCH(ROW(),Lists!$AN$2:$AN$4,0)),""),IF(OR(LEFT($AJ96,3)="COE",$AJ96="EGI"),$AP96,IF($AR96&lt;&gt;"Squad",$AR96,$AP96))))</f>
        <v>Technology Manager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IF(TRIM($B97)="","",IF(N($AU97)&gt;0,$AU97,IF(N($S97)&gt;0,$S97*Lists!$AG$15*(1+N($Z97)),N($U97)*(1+N($V97)+N($W97)+N($X97)+N($Z97))+N($Y97))))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IF(TRIM($B97)="","",IF(IFERROR(INDEX(Lists!$AO$2:$AO$4,MATCH(ROW(),Lists!$AN$2:$AN$4,0)),"")&lt;&gt;"",IFERROR(INDEX(Lists!$AO$2:$AO$4,MATCH(ROW(),Lists!$AN$2:$AN$4,0)),""),IFERROR(INDEX(Lists!$U:$U,MATCH(TRIM($I97),Lists!$T:$T,0)),TRIM($I97))))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",$C97)),"Head of Technology",IF(ISNUMBER(SEARCH("TDD BP",$C97)),"Business Partner",IF(OR(ISNUMBER(SEARCH("domain architect",$C97)),ISNUMBER(SEARCH("enterprise architect",$C97))),"Domain Architect",IF(ISNUMBER(SEARCH("delivery man",$C97)),"Delivery Manager",IF(OR(ISNUMBER(SEARCH("technology manager",$C97)),ISNUMBER(SEARCH("technology manger",$C97)),ISNUMBER(SEARCH("tech manager",$C97))),"Technology Manager","Squad"))))))</f>
        <v>Delivery Manager</v>
      </c>
      <c r="AS97" t="str">
        <f>IF(TRIM($B97)="","",IFERROR(INDEX(Lists!$AA:$AA,MATCH($AP97,Lists!$Z:$Z,0)),$AP97))</f>
        <v>Leadership</v>
      </c>
      <c r="AT97" t="str">
        <f>IF(TRIM($B97)="","",IF(IFERROR(INDEX(Lists!$AP$2:$AP$4,MATCH(ROW(),Lists!$AN$2:$AN$4,0)),"")&lt;&gt;"",IFERROR(INDEX(Lists!$AP$2:$AP$4,MATCH(ROW(),Lists!$AN$2:$AN$4,0)),""),IF(OR(LEFT($AJ97,3)="COE",$AJ97="EGI"),$AP97,IF($AR97&lt;&gt;"Squad",$AR97,$AP97))))</f>
        <v>Delivery Manager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IF(TRIM($B98)="","",IF(N($AU98)&gt;0,$AU98,IF(N($S98)&gt;0,$S98*Lists!$AG$15*(1+N($Z98)),N($U98)*(1+N($V98)+N($W98)+N($X98)+N($Z98))+N($Y98))))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IF(TRIM($B98)="","",IF(IFERROR(INDEX(Lists!$AO$2:$AO$4,MATCH(ROW(),Lists!$AN$2:$AN$4,0)),"")&lt;&gt;"",IFERROR(INDEX(Lists!$AO$2:$AO$4,MATCH(ROW(),Lists!$AN$2:$AN$4,0)),""),IFERROR(INDEX(Lists!$U:$U,MATCH(TRIM($I98),Lists!$T:$T,0)),TRIM($I98))))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",$C98)),"Head of Technology",IF(ISNUMBER(SEARCH("TDD BP",$C98)),"Business Partner",IF(OR(ISNUMBER(SEARCH("domain architect",$C98)),ISNUMBER(SEARCH("enterprise architect",$C98))),"Domain Architect",IF(ISNUMBER(SEARCH("delivery man",$C98)),"Delivery Manager",IF(OR(ISNUMBER(SEARCH("technology manager",$C98)),ISNUMBER(SEARCH("technology manger",$C98)),ISNUMBER(SEARCH("tech manager",$C98))),"Technology Manager","Squad"))))))</f>
        <v>Squad</v>
      </c>
      <c r="AS98" t="str">
        <f>IF(TRIM($B98)="","",IFERROR(INDEX(Lists!$AA:$AA,MATCH($AP98,Lists!$Z:$Z,0)),$AP98))</f>
        <v>Site Systems</v>
      </c>
      <c r="AT98" t="str">
        <f>IF(TRIM($B98)="","",IF(IFERROR(INDEX(Lists!$AP$2:$AP$4,MATCH(ROW(),Lists!$AN$2:$AN$4,0)),"")&lt;&gt;"",IFERROR(INDEX(Lists!$AP$2:$AP$4,MATCH(ROW(),Lists!$AN$2:$AN$4,0)),""),IF(OR(LEFT($AJ98,3)="COE",$AJ98="EGI"),$AP98,IF($AR98&lt;&gt;"Squad",$AR98,$AP98))))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IF(TRIM($B99)="","",IF(N($AU99)&gt;0,$AU99,IF(N($S99)&gt;0,$S99*Lists!$AG$15*(1+N($Z99)),N($U99)*(1+N($V99)+N($W99)+N($X99)+N($Z99))+N($Y99))))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IF(TRIM($B99)="","",IF(IFERROR(INDEX(Lists!$AO$2:$AO$4,MATCH(ROW(),Lists!$AN$2:$AN$4,0)),"")&lt;&gt;"",IFERROR(INDEX(Lists!$AO$2:$AO$4,MATCH(ROW(),Lists!$AN$2:$AN$4,0)),""),IFERROR(INDEX(Lists!$U:$U,MATCH(TRIM($I99),Lists!$T:$T,0)),TRIM($I99))))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",$C99)),"Head of Technology",IF(ISNUMBER(SEARCH("TDD BP",$C99)),"Business Partner",IF(OR(ISNUMBER(SEARCH("domain architect",$C99)),ISNUMBER(SEARCH("enterprise architect",$C99))),"Domain Architect",IF(ISNUMBER(SEARCH("delivery man",$C99)),"Delivery Manager",IF(OR(ISNUMBER(SEARCH("technology manager",$C99)),ISNUMBER(SEARCH("technology manger",$C99)),ISNUMBER(SEARCH("tech manager",$C99))),"Technology Manager","Squad"))))))</f>
        <v>Squad</v>
      </c>
      <c r="AS99" t="str">
        <f>IF(TRIM($B99)="","",IFERROR(INDEX(Lists!$AA:$AA,MATCH($AP99,Lists!$Z:$Z,0)),$AP99))</f>
        <v>Network &amp; QSR</v>
      </c>
      <c r="AT99" t="str">
        <f>IF(TRIM($B99)="","",IF(IFERROR(INDEX(Lists!$AP$2:$AP$4,MATCH(ROW(),Lists!$AN$2:$AN$4,0)),"")&lt;&gt;"",IFERROR(INDEX(Lists!$AP$2:$AP$4,MATCH(ROW(),Lists!$AN$2:$AN$4,0)),""),IF(OR(LEFT($AJ99,3)="COE",$AJ99="EGI"),$AP99,IF($AR99&lt;&gt;"Squad",$AR99,$AP99))))</f>
        <v>Network &amp;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IF(TRIM($B100)="","",IF(N($AU100)&gt;0,$AU100,IF(N($S100)&gt;0,$S100*Lists!$AG$15*(1+N($Z100)),N($U100)*(1+N($V100)+N($W100)+N($X100)+N($Z100))+N($Y100))))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IF(TRIM($B100)="","",IF(IFERROR(INDEX(Lists!$AO$2:$AO$4,MATCH(ROW(),Lists!$AN$2:$AN$4,0)),"")&lt;&gt;"",IFERROR(INDEX(Lists!$AO$2:$AO$4,MATCH(ROW(),Lists!$AN$2:$AN$4,0)),""),IFERROR(INDEX(Lists!$U:$U,MATCH(TRIM($I100),Lists!$T:$T,0)),TRIM($I100))))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",$C100)),"Head of Technology",IF(ISNUMBER(SEARCH("TDD BP",$C100)),"Business Partner",IF(OR(ISNUMBER(SEARCH("domain architect",$C100)),ISNUMBER(SEARCH("enterprise architect",$C100))),"Domain Architect",IF(ISNUMBER(SEARCH("delivery man",$C100)),"Delivery Manager",IF(OR(ISNUMBER(SEARCH("technology manager",$C100)),ISNUMBER(SEARCH("technology manger",$C100)),ISNUMBER(SEARCH("tech manager",$C100))),"Technology Manager","Squad"))))))</f>
        <v>Technology Manager</v>
      </c>
      <c r="AS100" t="str">
        <f>IF(TRIM($B100)="","",IFERROR(INDEX(Lists!$AA:$AA,MATCH($AP100,Lists!$Z:$Z,0)),$AP100))</f>
        <v>Leadership</v>
      </c>
      <c r="AT100" t="str">
        <f>IF(TRIM($B100)="","",IF(IFERROR(INDEX(Lists!$AP$2:$AP$4,MATCH(ROW(),Lists!$AN$2:$AN$4,0)),"")&lt;&gt;"",IFERROR(INDEX(Lists!$AP$2:$AP$4,MATCH(ROW(),Lists!$AN$2:$AN$4,0)),""),IF(OR(LEFT($AJ100,3)="COE",$AJ100="EGI"),$AP100,IF($AR100&lt;&gt;"Squad",$AR100,$AP100))))</f>
        <v>Technology Manager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IF(TRIM($B101)="","",IF(N($AU101)&gt;0,$AU101,IF(N($S101)&gt;0,$S101*Lists!$AG$15*(1+N($Z101)),N($U101)*(1+N($V101)+N($W101)+N($X101)+N($Z101))+N($Y101))))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IF(TRIM($B101)="","",IF(IFERROR(INDEX(Lists!$AO$2:$AO$4,MATCH(ROW(),Lists!$AN$2:$AN$4,0)),"")&lt;&gt;"",IFERROR(INDEX(Lists!$AO$2:$AO$4,MATCH(ROW(),Lists!$AN$2:$AN$4,0)),""),IFERROR(INDEX(Lists!$U:$U,MATCH(TRIM($I101),Lists!$T:$T,0)),TRIM($I101))))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",$C101)),"Head of Technology",IF(ISNUMBER(SEARCH("TDD BP",$C101)),"Business Partner",IF(OR(ISNUMBER(SEARCH("domain architect",$C101)),ISNUMBER(SEARCH("enterprise architect",$C101))),"Domain Architect",IF(ISNUMBER(SEARCH("delivery man",$C101)),"Delivery Manager",IF(OR(ISNUMBER(SEARCH("technology manager",$C101)),ISNUMBER(SEARCH("technology manger",$C101)),ISNUMBER(SEARCH("tech manager",$C101))),"Technology Manager","Squad"))))))</f>
        <v>Squad</v>
      </c>
      <c r="AS101" t="str">
        <f>IF(TRIM($B101)="","",IFERROR(INDEX(Lists!$AA:$AA,MATCH($AP101,Lists!$Z:$Z,0)),$AP101))</f>
        <v>Payments</v>
      </c>
      <c r="AT101" t="str">
        <f>IF(TRIM($B101)="","",IF(IFERROR(INDEX(Lists!$AP$2:$AP$4,MATCH(ROW(),Lists!$AN$2:$AN$4,0)),"")&lt;&gt;"",IFERROR(INDEX(Lists!$AP$2:$AP$4,MATCH(ROW(),Lists!$AN$2:$AN$4,0)),""),IF(OR(LEFT($AJ101,3)="COE",$AJ101="EGI"),$AP101,IF($AR101&lt;&gt;"Squad",$AR101,$AP101))))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IF(TRIM($B102)="","",IF(N($AU102)&gt;0,$AU102,IF(N($S102)&gt;0,$S102*Lists!$AG$15*(1+N($Z102)),N($U102)*(1+N($V102)+N($W102)+N($X102)+N($Z102))+N($Y102))))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IF(TRIM($B102)="","",IF(IFERROR(INDEX(Lists!$AO$2:$AO$4,MATCH(ROW(),Lists!$AN$2:$AN$4,0)),"")&lt;&gt;"",IFERROR(INDEX(Lists!$AO$2:$AO$4,MATCH(ROW(),Lists!$AN$2:$AN$4,0)),""),IFERROR(INDEX(Lists!$U:$U,MATCH(TRIM($I102),Lists!$T:$T,0)),TRIM($I102))))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",$C102)),"Head of Technology",IF(ISNUMBER(SEARCH("TDD BP",$C102)),"Business Partner",IF(OR(ISNUMBER(SEARCH("domain architect",$C102)),ISNUMBER(SEARCH("enterprise architect",$C102))),"Domain Architect",IF(ISNUMBER(SEARCH("delivery man",$C102)),"Delivery Manager",IF(OR(ISNUMBER(SEARCH("technology manager",$C102)),ISNUMBER(SEARCH("technology manger",$C102)),ISNUMBER(SEARCH("tech manager",$C102))),"Technology Manager","Squad"))))))</f>
        <v>Squad</v>
      </c>
      <c r="AS102" t="str">
        <f>IF(TRIM($B102)="","",IFERROR(INDEX(Lists!$AA:$AA,MATCH($AP102,Lists!$Z:$Z,0)),$AP102))</f>
        <v>Above Store</v>
      </c>
      <c r="AT102" t="str">
        <f>IF(TRIM($B102)="","",IF(IFERROR(INDEX(Lists!$AP$2:$AP$4,MATCH(ROW(),Lists!$AN$2:$AN$4,0)),"")&lt;&gt;"",IFERROR(INDEX(Lists!$AP$2:$AP$4,MATCH(ROW(),Lists!$AN$2:$AN$4,0)),""),IF(OR(LEFT($AJ102,3)="COE",$AJ102="EGI"),$AP102,IF($AR102&lt;&gt;"Squad",$AR102,$AP102))))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IF(TRIM($B103)="","",IF(N($AU103)&gt;0,$AU103,IF(N($S103)&gt;0,$S103*Lists!$AG$15*(1+N($Z103)),N($U103)*(1+N($V103)+N($W103)+N($X103)+N($Z103))+N($Y103))))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IF(TRIM($B103)="","",IF(IFERROR(INDEX(Lists!$AO$2:$AO$4,MATCH(ROW(),Lists!$AN$2:$AN$4,0)),"")&lt;&gt;"",IFERROR(INDEX(Lists!$AO$2:$AO$4,MATCH(ROW(),Lists!$AN$2:$AN$4,0)),""),IFERROR(INDEX(Lists!$U:$U,MATCH(TRIM($I103),Lists!$T:$T,0)),TRIM($I103))))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",$C103)),"Head of Technology",IF(ISNUMBER(SEARCH("TDD BP",$C103)),"Business Partner",IF(OR(ISNUMBER(SEARCH("domain architect",$C103)),ISNUMBER(SEARCH("enterprise architect",$C103))),"Domain Architect",IF(ISNUMBER(SEARCH("delivery man",$C103)),"Delivery Manager",IF(OR(ISNUMBER(SEARCH("technology manager",$C103)),ISNUMBER(SEARCH("technology manger",$C103)),ISNUMBER(SEARCH("tech manager",$C103))),"Technology Manager","Squad"))))))</f>
        <v>Squad</v>
      </c>
      <c r="AS103" t="str">
        <f>IF(TRIM($B103)="","",IFERROR(INDEX(Lists!$AA:$AA,MATCH($AP103,Lists!$Z:$Z,0)),$AP103))</f>
        <v>Deployment</v>
      </c>
      <c r="AT103" t="str">
        <f>IF(TRIM($B103)="","",IF(IFERROR(INDEX(Lists!$AP$2:$AP$4,MATCH(ROW(),Lists!$AN$2:$AN$4,0)),"")&lt;&gt;"",IFERROR(INDEX(Lists!$AP$2:$AP$4,MATCH(ROW(),Lists!$AN$2:$AN$4,0)),""),IF(OR(LEFT($AJ103,3)="COE",$AJ103="EGI"),$AP103,IF($AR103&lt;&gt;"Squad",$AR103,$AP103))))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IF(TRIM($B104)="","",IF(N($AU104)&gt;0,$AU104,IF(N($S104)&gt;0,$S104*Lists!$AG$15*(1+N($Z104)),N($U104)*(1+N($V104)+N($W104)+N($X104)+N($Z104))+N($Y104))))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IF(TRIM($B104)="","",IF(IFERROR(INDEX(Lists!$AO$2:$AO$4,MATCH(ROW(),Lists!$AN$2:$AN$4,0)),"")&lt;&gt;"",IFERROR(INDEX(Lists!$AO$2:$AO$4,MATCH(ROW(),Lists!$AN$2:$AN$4,0)),""),IFERROR(INDEX(Lists!$U:$U,MATCH(TRIM($I104),Lists!$T:$T,0)),TRIM($I104))))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",$C104)),"Head of Technology",IF(ISNUMBER(SEARCH("TDD BP",$C104)),"Business Partner",IF(OR(ISNUMBER(SEARCH("domain architect",$C104)),ISNUMBER(SEARCH("enterprise architect",$C104))),"Domain Architect",IF(ISNUMBER(SEARCH("delivery man",$C104)),"Delivery Manager",IF(OR(ISNUMBER(SEARCH("technology manager",$C104)),ISNUMBER(SEARCH("technology manger",$C104)),ISNUMBER(SEARCH("tech manager",$C104))),"Technology Manager","Squad"))))))</f>
        <v>Squad</v>
      </c>
      <c r="AS104" t="str">
        <f>IF(TRIM($B104)="","",IFERROR(INDEX(Lists!$AA:$AA,MATCH($AP104,Lists!$Z:$Z,0)),$AP104))</f>
        <v>EGI TDD</v>
      </c>
      <c r="AT104" t="str">
        <f>IF(TRIM($B104)="","",IF(IFERROR(INDEX(Lists!$AP$2:$AP$4,MATCH(ROW(),Lists!$AN$2:$AN$4,0)),"")&lt;&gt;"",IFERROR(INDEX(Lists!$AP$2:$AP$4,MATCH(ROW(),Lists!$AN$2:$AN$4,0)),""),IF(OR(LEFT($AJ104,3)="COE",$AJ104="EGI"),$AP104,IF($AR104&lt;&gt;"Squad",$AR104,$AP104))))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IF(TRIM($B105)="","",IF(N($AU105)&gt;0,$AU105,IF(N($S105)&gt;0,$S105*Lists!$AG$15*(1+N($Z105)),N($U105)*(1+N($V105)+N($W105)+N($X105)+N($Z105))+N($Y105))))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IF(TRIM($B105)="","",IF(IFERROR(INDEX(Lists!$AO$2:$AO$4,MATCH(ROW(),Lists!$AN$2:$AN$4,0)),"")&lt;&gt;"",IFERROR(INDEX(Lists!$AO$2:$AO$4,MATCH(ROW(),Lists!$AN$2:$AN$4,0)),""),IFERROR(INDEX(Lists!$U:$U,MATCH(TRIM($I105),Lists!$T:$T,0)),TRIM($I105))))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",$C105)),"Head of Technology",IF(ISNUMBER(SEARCH("TDD BP",$C105)),"Business Partner",IF(OR(ISNUMBER(SEARCH("domain architect",$C105)),ISNUMBER(SEARCH("enterprise architect",$C105))),"Domain Architect",IF(ISNUMBER(SEARCH("delivery man",$C105)),"Delivery Manager",IF(OR(ISNUMBER(SEARCH("technology manager",$C105)),ISNUMBER(SEARCH("technology manger",$C105)),ISNUMBER(SEARCH("tech manager",$C105))),"Technology Manager","Squad"))))))</f>
        <v>Squad</v>
      </c>
      <c r="AS105" t="str">
        <f>IF(TRIM($B105)="","",IFERROR(INDEX(Lists!$AA:$AA,MATCH($AP105,Lists!$Z:$Z,0)),$AP105))</f>
        <v>Site Systems</v>
      </c>
      <c r="AT105" t="str">
        <f>IF(TRIM($B105)="","",IF(IFERROR(INDEX(Lists!$AP$2:$AP$4,MATCH(ROW(),Lists!$AN$2:$AN$4,0)),"")&lt;&gt;"",IFERROR(INDEX(Lists!$AP$2:$AP$4,MATCH(ROW(),Lists!$AN$2:$AN$4,0)),""),IF(OR(LEFT($AJ105,3)="COE",$AJ105="EGI"),$AP105,IF($AR105&lt;&gt;"Squad",$AR105,$AP105))))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IF(TRIM($B106)="","",IF(N($AU106)&gt;0,$AU106,IF(N($S106)&gt;0,$S106*Lists!$AG$15*(1+N($Z106)),N($U106)*(1+N($V106)+N($W106)+N($X106)+N($Z106))+N($Y106))))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IF(TRIM($B106)="","",IF(IFERROR(INDEX(Lists!$AO$2:$AO$4,MATCH(ROW(),Lists!$AN$2:$AN$4,0)),"")&lt;&gt;"",IFERROR(INDEX(Lists!$AO$2:$AO$4,MATCH(ROW(),Lists!$AN$2:$AN$4,0)),""),IFERROR(INDEX(Lists!$U:$U,MATCH(TRIM($I106),Lists!$T:$T,0)),TRIM($I106))))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",$C106)),"Head of Technology",IF(ISNUMBER(SEARCH("TDD BP",$C106)),"Business Partner",IF(OR(ISNUMBER(SEARCH("domain architect",$C106)),ISNUMBER(SEARCH("enterprise architect",$C106))),"Domain Architect",IF(ISNUMBER(SEARCH("delivery man",$C106)),"Delivery Manager",IF(OR(ISNUMBER(SEARCH("technology manager",$C106)),ISNUMBER(SEARCH("technology manger",$C106)),ISNUMBER(SEARCH("tech manager",$C106))),"Technology Manager","Squad"))))))</f>
        <v>Squad</v>
      </c>
      <c r="AS106" t="str">
        <f>IF(TRIM($B106)="","",IFERROR(INDEX(Lists!$AA:$AA,MATCH($AP106,Lists!$Z:$Z,0)),$AP106))</f>
        <v>Above Store</v>
      </c>
      <c r="AT106" t="str">
        <f>IF(TRIM($B106)="","",IF(IFERROR(INDEX(Lists!$AP$2:$AP$4,MATCH(ROW(),Lists!$AN$2:$AN$4,0)),"")&lt;&gt;"",IFERROR(INDEX(Lists!$AP$2:$AP$4,MATCH(ROW(),Lists!$AN$2:$AN$4,0)),""),IF(OR(LEFT($AJ106,3)="COE",$AJ106="EGI"),$AP106,IF($AR106&lt;&gt;"Squad",$AR106,$AP106))))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IF(TRIM($B107)="","",IF(N($AU107)&gt;0,$AU107,IF(N($S107)&gt;0,$S107*Lists!$AG$15*(1+N($Z107)),N($U107)*(1+N($V107)+N($W107)+N($X107)+N($Z107))+N($Y107))))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IF(TRIM($B107)="","",IF(IFERROR(INDEX(Lists!$AO$2:$AO$4,MATCH(ROW(),Lists!$AN$2:$AN$4,0)),"")&lt;&gt;"",IFERROR(INDEX(Lists!$AO$2:$AO$4,MATCH(ROW(),Lists!$AN$2:$AN$4,0)),""),IFERROR(INDEX(Lists!$U:$U,MATCH(TRIM($I107),Lists!$T:$T,0)),TRIM($I107))))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",$C107)),"Head of Technology",IF(ISNUMBER(SEARCH("TDD BP",$C107)),"Business Partner",IF(OR(ISNUMBER(SEARCH("domain architect",$C107)),ISNUMBER(SEARCH("enterprise architect",$C107))),"Domain Architect",IF(ISNUMBER(SEARCH("delivery man",$C107)),"Delivery Manager",IF(OR(ISNUMBER(SEARCH("technology manager",$C107)),ISNUMBER(SEARCH("technology manger",$C107)),ISNUMBER(SEARCH("tech manager",$C107))),"Technology Manager","Squad"))))))</f>
        <v>Squad</v>
      </c>
      <c r="AS107" t="str">
        <f>IF(TRIM($B107)="","",IFERROR(INDEX(Lists!$AA:$AA,MATCH($AP107,Lists!$Z:$Z,0)),$AP107))</f>
        <v>Above Store</v>
      </c>
      <c r="AT107" t="str">
        <f>IF(TRIM($B107)="","",IF(IFERROR(INDEX(Lists!$AP$2:$AP$4,MATCH(ROW(),Lists!$AN$2:$AN$4,0)),"")&lt;&gt;"",IFERROR(INDEX(Lists!$AP$2:$AP$4,MATCH(ROW(),Lists!$AN$2:$AN$4,0)),""),IF(OR(LEFT($AJ107,3)="COE",$AJ107="EGI"),$AP107,IF($AR107&lt;&gt;"Squad",$AR107,$AP107))))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>
        <f>IF(TRIM($B108)="","",IF(N($AU108)&gt;0,$AU108,IF(N($S108)&gt;0,$S108*Lists!$AG$15*(1+N($Z108)),N($U108)*(1+N($V108)+N($W108)+N($X108)+N($Z108))+N($Y108))))</f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IF(TRIM($B108)="","",IF(IFERROR(INDEX(Lists!$AO$2:$AO$4,MATCH(ROW(),Lists!$AN$2:$AN$4,0)),"")&lt;&gt;"",IFERROR(INDEX(Lists!$AO$2:$AO$4,MATCH(ROW(),Lists!$AN$2:$AN$4,0)),""),IFERROR(INDEX(Lists!$U:$U,MATCH(TRIM($I108),Lists!$T:$T,0)),TRIM($I108))))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",$C108)),"Head of Technology",IF(ISNUMBER(SEARCH("TDD BP",$C108)),"Business Partner",IF(OR(ISNUMBER(SEARCH("domain architect",$C108)),ISNUMBER(SEARCH("enterprise architect",$C108))),"Domain Architect",IF(ISNUMBER(SEARCH("delivery man",$C108)),"Delivery Manager",IF(OR(ISNUMBER(SEARCH("technology manager",$C108)),ISNUMBER(SEARCH("technology manger",$C108)),ISNUMBER(SEARCH("tech manager",$C108))),"Technology Manager","Squad"))))))</f>
        <v>Squad</v>
      </c>
      <c r="AS108" t="str">
        <f>IF(TRIM($B108)="","",IFERROR(INDEX(Lists!$AA:$AA,MATCH($AP108,Lists!$Z:$Z,0)),$AP108))</f>
        <v>Ampol Web</v>
      </c>
      <c r="AT108" t="str">
        <f>IF(TRIM($B108)="","",IF(IFERROR(INDEX(Lists!$AP$2:$AP$4,MATCH(ROW(),Lists!$AN$2:$AN$4,0)),"")&lt;&gt;"",IFERROR(INDEX(Lists!$AP$2:$AP$4,MATCH(ROW(),Lists!$AN$2:$AN$4,0)),""),IF(OR(LEFT($AJ108,3)="COE",$AJ108="EGI"),$AP108,IF($AR108&lt;&gt;"Squad",$AR108,$AP108))))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>
        <f>IF(TRIM($B109)="","",IF(N($AU109)&gt;0,$AU109,IF(N($S109)&gt;0,$S109*Lists!$AG$15*(1+N($Z109)),N($U109)*(1+N($V109)+N($W109)+N($X109)+N($Z109))+N($Y109))))</f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IF(TRIM($B109)="","",IF(IFERROR(INDEX(Lists!$AO$2:$AO$4,MATCH(ROW(),Lists!$AN$2:$AN$4,0)),"")&lt;&gt;"",IFERROR(INDEX(Lists!$AO$2:$AO$4,MATCH(ROW(),Lists!$AN$2:$AN$4,0)),""),IFERROR(INDEX(Lists!$U:$U,MATCH(TRIM($I109),Lists!$T:$T,0)),TRIM($I109))))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",$C109)),"Head of Technology",IF(ISNUMBER(SEARCH("TDD BP",$C109)),"Business Partner",IF(OR(ISNUMBER(SEARCH("domain architect",$C109)),ISNUMBER(SEARCH("enterprise architect",$C109))),"Domain Architect",IF(ISNUMBER(SEARCH("delivery man",$C109)),"Delivery Manager",IF(OR(ISNUMBER(SEARCH("technology manager",$C109)),ISNUMBER(SEARCH("technology manger",$C109)),ISNUMBER(SEARCH("tech manager",$C109))),"Technology Manager","Squad"))))))</f>
        <v>Squad</v>
      </c>
      <c r="AS109" t="str">
        <f>IF(TRIM($B109)="","",IFERROR(INDEX(Lists!$AA:$AA,MATCH($AP109,Lists!$Z:$Z,0)),$AP109))</f>
        <v>Leadership</v>
      </c>
      <c r="AT109" t="str">
        <f>IF(TRIM($B109)="","",IF(IFERROR(INDEX(Lists!$AP$2:$AP$4,MATCH(ROW(),Lists!$AN$2:$AN$4,0)),"")&lt;&gt;"",IFERROR(INDEX(Lists!$AP$2:$AP$4,MATCH(ROW(),Lists!$AN$2:$AN$4,0)),""),IF(OR(LEFT($AJ109,3)="COE",$AJ109="EGI"),$AP109,IF($AR109&lt;&gt;"Squad",$AR109,$AP109))))</f>
        <v>Leadership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>
        <f>IF(TRIM($B110)="","",IF(N($AU110)&gt;0,$AU110,IF(N($S110)&gt;0,$S110*Lists!$AG$15*(1+N($Z110)),N($U110)*(1+N($V110)+N($W110)+N($X110)+N($Z110))+N($Y110))))</f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IF(TRIM($B110)="","",IF(IFERROR(INDEX(Lists!$AO$2:$AO$4,MATCH(ROW(),Lists!$AN$2:$AN$4,0)),"")&lt;&gt;"",IFERROR(INDEX(Lists!$AO$2:$AO$4,MATCH(ROW(),Lists!$AN$2:$AN$4,0)),""),IFERROR(INDEX(Lists!$U:$U,MATCH(TRIM($I110),Lists!$T:$T,0)),TRIM($I110))))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",$C110)),"Head of Technology",IF(ISNUMBER(SEARCH("TDD BP",$C110)),"Business Partner",IF(OR(ISNUMBER(SEARCH("domain architect",$C110)),ISNUMBER(SEARCH("enterprise architect",$C110))),"Domain Architect",IF(ISNUMBER(SEARCH("delivery man",$C110)),"Delivery Manager",IF(OR(ISNUMBER(SEARCH("technology manager",$C110)),ISNUMBER(SEARCH("technology manger",$C110)),ISNUMBER(SEARCH("tech manager",$C110))),"Technology Manager","Squad"))))))</f>
        <v>Delivery Manager</v>
      </c>
      <c r="AS110" t="str">
        <f>IF(TRIM($B110)="","",IFERROR(INDEX(Lists!$AA:$AA,MATCH($AP110,Lists!$Z:$Z,0)),$AP110))</f>
        <v>Leadership</v>
      </c>
      <c r="AT110" t="str">
        <f>IF(TRIM($B110)="","",IF(IFERROR(INDEX(Lists!$AP$2:$AP$4,MATCH(ROW(),Lists!$AN$2:$AN$4,0)),"")&lt;&gt;"",IFERROR(INDEX(Lists!$AP$2:$AP$4,MATCH(ROW(),Lists!$AN$2:$AN$4,0)),""),IF(OR(LEFT($AJ110,3)="COE",$AJ110="EGI"),$AP110,IF($AR110&lt;&gt;"Squad",$AR110,$AP110))))</f>
        <v>Delivery Manager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>
        <f>IF(TRIM($B111)="","",IF(N($AU111)&gt;0,$AU111,IF(N($S111)&gt;0,$S111*Lists!$AG$15*(1+N($Z111)),N($U111)*(1+N($V111)+N($W111)+N($X111)+N($Z111))+N($Y111))))</f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IF(TRIM($B111)="","",IF(IFERROR(INDEX(Lists!$AO$2:$AO$4,MATCH(ROW(),Lists!$AN$2:$AN$4,0)),"")&lt;&gt;"",IFERROR(INDEX(Lists!$AO$2:$AO$4,MATCH(ROW(),Lists!$AN$2:$AN$4,0)),""),IFERROR(INDEX(Lists!$U:$U,MATCH(TRIM($I111),Lists!$T:$T,0)),TRIM($I111))))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",$C111)),"Head of Technology",IF(ISNUMBER(SEARCH("TDD BP",$C111)),"Business Partner",IF(OR(ISNUMBER(SEARCH("domain architect",$C111)),ISNUMBER(SEARCH("enterprise architect",$C111))),"Domain Architect",IF(ISNUMBER(SEARCH("delivery man",$C111)),"Delivery Manager",IF(OR(ISNUMBER(SEARCH("technology manager",$C111)),ISNUMBER(SEARCH("technology manger",$C111)),ISNUMBER(SEARCH("tech manager",$C111))),"Technology Manager","Squad"))))))</f>
        <v>Squad</v>
      </c>
      <c r="AS111" t="str">
        <f>IF(TRIM($B111)="","",IFERROR(INDEX(Lists!$AA:$AA,MATCH($AP111,Lists!$Z:$Z,0)),$AP111))</f>
        <v>EGI Customer</v>
      </c>
      <c r="AT111" t="str">
        <f>IF(TRIM($B111)="","",IF(IFERROR(INDEX(Lists!$AP$2:$AP$4,MATCH(ROW(),Lists!$AN$2:$AN$4,0)),"")&lt;&gt;"",IFERROR(INDEX(Lists!$AP$2:$AP$4,MATCH(ROW(),Lists!$AN$2:$AN$4,0)),""),IF(OR(LEFT($AJ111,3)="COE",$AJ111="EGI"),$AP111,IF($AR111&lt;&gt;"Squad",$AR111,$AP111))))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>
        <f>IF(TRIM($B112)="","",IF(N($AU112)&gt;0,$AU112,IF(N($S112)&gt;0,$S112*Lists!$AG$15*(1+N($Z112)),N($U112)*(1+N($V112)+N($W112)+N($X112)+N($Z112))+N($Y112))))</f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IF(TRIM($B112)="","",IF(IFERROR(INDEX(Lists!$AO$2:$AO$4,MATCH(ROW(),Lists!$AN$2:$AN$4,0)),"")&lt;&gt;"",IFERROR(INDEX(Lists!$AO$2:$AO$4,MATCH(ROW(),Lists!$AN$2:$AN$4,0)),""),IFERROR(INDEX(Lists!$U:$U,MATCH(TRIM($I112),Lists!$T:$T,0)),TRIM($I112))))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",$C112)),"Head of Technology",IF(ISNUMBER(SEARCH("TDD BP",$C112)),"Business Partner",IF(OR(ISNUMBER(SEARCH("domain architect",$C112)),ISNUMBER(SEARCH("enterprise architect",$C112))),"Domain Architect",IF(ISNUMBER(SEARCH("delivery man",$C112)),"Delivery Manager",IF(OR(ISNUMBER(SEARCH("technology manager",$C112)),ISNUMBER(SEARCH("technology manger",$C112)),ISNUMBER(SEARCH("tech manager",$C112))),"Technology Manager","Squad"))))))</f>
        <v>Squad</v>
      </c>
      <c r="AS112" t="str">
        <f>IF(TRIM($B112)="","",IFERROR(INDEX(Lists!$AA:$AA,MATCH($AP112,Lists!$Z:$Z,0)),$AP112))</f>
        <v>Ampol App</v>
      </c>
      <c r="AT112" t="str">
        <f>IF(TRIM($B112)="","",IF(IFERROR(INDEX(Lists!$AP$2:$AP$4,MATCH(ROW(),Lists!$AN$2:$AN$4,0)),"")&lt;&gt;"",IFERROR(INDEX(Lists!$AP$2:$AP$4,MATCH(ROW(),Lists!$AN$2:$AN$4,0)),""),IF(OR(LEFT($AJ112,3)="COE",$AJ112="EGI"),$AP112,IF($AR112&lt;&gt;"Squad",$AR112,$AP112))))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>
        <f>IF(TRIM($B113)="","",IF(N($AU113)&gt;0,$AU113,IF(N($S113)&gt;0,$S113*Lists!$AG$15*(1+N($Z113)),N($U113)*(1+N($V113)+N($W113)+N($X113)+N($Z113))+N($Y113))))</f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IF(TRIM($B113)="","",IF(IFERROR(INDEX(Lists!$AO$2:$AO$4,MATCH(ROW(),Lists!$AN$2:$AN$4,0)),"")&lt;&gt;"",IFERROR(INDEX(Lists!$AO$2:$AO$4,MATCH(ROW(),Lists!$AN$2:$AN$4,0)),""),IFERROR(INDEX(Lists!$U:$U,MATCH(TRIM($I113),Lists!$T:$T,0)),TRIM($I113))))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",$C113)),"Head of Technology",IF(ISNUMBER(SEARCH("TDD BP",$C113)),"Business Partner",IF(OR(ISNUMBER(SEARCH("domain architect",$C113)),ISNUMBER(SEARCH("enterprise architect",$C113))),"Domain Architect",IF(ISNUMBER(SEARCH("delivery man",$C113)),"Delivery Manager",IF(OR(ISNUMBER(SEARCH("technology manager",$C113)),ISNUMBER(SEARCH("technology manger",$C113)),ISNUMBER(SEARCH("tech manager",$C113))),"Technology Manager","Squad"))))))</f>
        <v>Head of Technology</v>
      </c>
      <c r="AS113" t="str">
        <f>IF(TRIM($B113)="","",IFERROR(INDEX(Lists!$AA:$AA,MATCH($AP113,Lists!$Z:$Z,0)),$AP113))</f>
        <v>Leadership</v>
      </c>
      <c r="AT113" t="str">
        <f>IF(TRIM($B113)="","",IF(IFERROR(INDEX(Lists!$AP$2:$AP$4,MATCH(ROW(),Lists!$AN$2:$AN$4,0)),"")&lt;&gt;"",IFERROR(INDEX(Lists!$AP$2:$AP$4,MATCH(ROW(),Lists!$AN$2:$AN$4,0)),""),IF(OR(LEFT($AJ113,3)="COE",$AJ113="EGI"),$AP113,IF($AR113&lt;&gt;"Squad",$AR113,$AP113))))</f>
        <v>Head of Technology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>
        <f>IF(TRIM($B114)="","",IF(N($AU114)&gt;0,$AU114,IF(N($S114)&gt;0,$S114*Lists!$AG$15*(1+N($Z114)),N($U114)*(1+N($V114)+N($W114)+N($X114)+N($Z114))+N($Y114))))</f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IF(TRIM($B114)="","",IF(IFERROR(INDEX(Lists!$AO$2:$AO$4,MATCH(ROW(),Lists!$AN$2:$AN$4,0)),"")&lt;&gt;"",IFERROR(INDEX(Lists!$AO$2:$AO$4,MATCH(ROW(),Lists!$AN$2:$AN$4,0)),""),IFERROR(INDEX(Lists!$U:$U,MATCH(TRIM($I114),Lists!$T:$T,0)),TRIM($I114))))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",$C114)),"Head of Technology",IF(ISNUMBER(SEARCH("TDD BP",$C114)),"Business Partner",IF(OR(ISNUMBER(SEARCH("domain architect",$C114)),ISNUMBER(SEARCH("enterprise architect",$C114))),"Domain Architect",IF(ISNUMBER(SEARCH("delivery man",$C114)),"Delivery Manager",IF(OR(ISNUMBER(SEARCH("technology manager",$C114)),ISNUMBER(SEARCH("technology manger",$C114)),ISNUMBER(SEARCH("tech manager",$C114))),"Technology Manager","Squad"))))))</f>
        <v>Squad</v>
      </c>
      <c r="AS114" t="str">
        <f>IF(TRIM($B114)="","",IFERROR(INDEX(Lists!$AA:$AA,MATCH($AP114,Lists!$Z:$Z,0)),$AP114))</f>
        <v>Ampol Loyalty &amp; Martech</v>
      </c>
      <c r="AT114" t="str">
        <f>IF(TRIM($B114)="","",IF(IFERROR(INDEX(Lists!$AP$2:$AP$4,MATCH(ROW(),Lists!$AN$2:$AN$4,0)),"")&lt;&gt;"",IFERROR(INDEX(Lists!$AP$2:$AP$4,MATCH(ROW(),Lists!$AN$2:$AN$4,0)),""),IF(OR(LEFT($AJ114,3)="COE",$AJ114="EGI"),$AP114,IF($AR114&lt;&gt;"Squad",$AR114,$AP114))))</f>
        <v>Ampol Loyalty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>
        <f>IF(TRIM($B115)="","",IF(N($AU115)&gt;0,$AU115,IF(N($S115)&gt;0,$S115*Lists!$AG$15*(1+N($Z115)),N($U115)*(1+N($V115)+N($W115)+N($X115)+N($Z115))+N($Y115))))</f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IF(TRIM($B115)="","",IF(IFERROR(INDEX(Lists!$AO$2:$AO$4,MATCH(ROW(),Lists!$AN$2:$AN$4,0)),"")&lt;&gt;"",IFERROR(INDEX(Lists!$AO$2:$AO$4,MATCH(ROW(),Lists!$AN$2:$AN$4,0)),""),IFERROR(INDEX(Lists!$U:$U,MATCH(TRIM($I115),Lists!$T:$T,0)),TRIM($I115))))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",$C115)),"Head of Technology",IF(ISNUMBER(SEARCH("TDD BP",$C115)),"Business Partner",IF(OR(ISNUMBER(SEARCH("domain architect",$C115)),ISNUMBER(SEARCH("enterprise architect",$C115))),"Domain Architect",IF(ISNUMBER(SEARCH("delivery man",$C115)),"Delivery Manager",IF(OR(ISNUMBER(SEARCH("technology manager",$C115)),ISNUMBER(SEARCH("technology manger",$C115)),ISNUMBER(SEARCH("tech manager",$C115))),"Technology Manager","Squad"))))))</f>
        <v>Squad</v>
      </c>
      <c r="AS115" t="str">
        <f>IF(TRIM($B115)="","",IFERROR(INDEX(Lists!$AA:$AA,MATCH($AP115,Lists!$Z:$Z,0)),$AP115))</f>
        <v>EGI Customer</v>
      </c>
      <c r="AT115" t="str">
        <f>IF(TRIM($B115)="","",IF(IFERROR(INDEX(Lists!$AP$2:$AP$4,MATCH(ROW(),Lists!$AN$2:$AN$4,0)),"")&lt;&gt;"",IFERROR(INDEX(Lists!$AP$2:$AP$4,MATCH(ROW(),Lists!$AN$2:$AN$4,0)),""),IF(OR(LEFT($AJ115,3)="COE",$AJ115="EGI"),$AP115,IF($AR115&lt;&gt;"Squad",$AR115,$AP115))))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>
        <f>IF(TRIM($B116)="","",IF(N($AU116)&gt;0,$AU116,IF(N($S116)&gt;0,$S116*Lists!$AG$15*(1+N($Z116)),N($U116)*(1+N($V116)+N($W116)+N($X116)+N($Z116))+N($Y116))))</f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IF(TRIM($B116)="","",IF(IFERROR(INDEX(Lists!$AO$2:$AO$4,MATCH(ROW(),Lists!$AN$2:$AN$4,0)),"")&lt;&gt;"",IFERROR(INDEX(Lists!$AO$2:$AO$4,MATCH(ROW(),Lists!$AN$2:$AN$4,0)),""),IFERROR(INDEX(Lists!$U:$U,MATCH(TRIM($I116),Lists!$T:$T,0)),TRIM($I116))))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",$C116)),"Head of Technology",IF(ISNUMBER(SEARCH("TDD BP",$C116)),"Business Partner",IF(OR(ISNUMBER(SEARCH("domain architect",$C116)),ISNUMBER(SEARCH("enterprise architect",$C116))),"Domain Architect",IF(ISNUMBER(SEARCH("delivery man",$C116)),"Delivery Manager",IF(OR(ISNUMBER(SEARCH("technology manager",$C116)),ISNUMBER(SEARCH("technology manger",$C116)),ISNUMBER(SEARCH("tech manager",$C116))),"Technology Manager","Squad"))))))</f>
        <v>Squad</v>
      </c>
      <c r="AS116" t="str">
        <f>IF(TRIM($B116)="","",IFERROR(INDEX(Lists!$AA:$AA,MATCH($AP116,Lists!$Z:$Z,0)),$AP116))</f>
        <v>Ampol App</v>
      </c>
      <c r="AT116" t="str">
        <f>IF(TRIM($B116)="","",IF(IFERROR(INDEX(Lists!$AP$2:$AP$4,MATCH(ROW(),Lists!$AN$2:$AN$4,0)),"")&lt;&gt;"",IFERROR(INDEX(Lists!$AP$2:$AP$4,MATCH(ROW(),Lists!$AN$2:$AN$4,0)),""),IF(OR(LEFT($AJ116,3)="COE",$AJ116="EGI"),$AP116,IF($AR116&lt;&gt;"Squad",$AR116,$AP116))))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>
        <f>IF(TRIM($B117)="","",IF(N($AU117)&gt;0,$AU117,IF(N($S117)&gt;0,$S117*Lists!$AG$15*(1+N($Z117)),N($U117)*(1+N($V117)+N($W117)+N($X117)+N($Z117))+N($Y117))))</f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IF(TRIM($B117)="","",IF(IFERROR(INDEX(Lists!$AO$2:$AO$4,MATCH(ROW(),Lists!$AN$2:$AN$4,0)),"")&lt;&gt;"",IFERROR(INDEX(Lists!$AO$2:$AO$4,MATCH(ROW(),Lists!$AN$2:$AN$4,0)),""),IFERROR(INDEX(Lists!$U:$U,MATCH(TRIM($I117),Lists!$T:$T,0)),TRIM($I117))))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",$C117)),"Head of Technology",IF(ISNUMBER(SEARCH("TDD BP",$C117)),"Business Partner",IF(OR(ISNUMBER(SEARCH("domain architect",$C117)),ISNUMBER(SEARCH("enterprise architect",$C117))),"Domain Architect",IF(ISNUMBER(SEARCH("delivery man",$C117)),"Delivery Manager",IF(OR(ISNUMBER(SEARCH("technology manager",$C117)),ISNUMBER(SEARCH("technology manger",$C117)),ISNUMBER(SEARCH("tech manager",$C117))),"Technology Manager","Squad"))))))</f>
        <v>Squad</v>
      </c>
      <c r="AS117" t="str">
        <f>IF(TRIM($B117)="","",IFERROR(INDEX(Lists!$AA:$AA,MATCH($AP117,Lists!$Z:$Z,0)),$AP117))</f>
        <v>Z Loyalty &amp; Martech</v>
      </c>
      <c r="AT117" t="str">
        <f>IF(TRIM($B117)="","",IF(IFERROR(INDEX(Lists!$AP$2:$AP$4,MATCH(ROW(),Lists!$AN$2:$AN$4,0)),"")&lt;&gt;"",IFERROR(INDEX(Lists!$AP$2:$AP$4,MATCH(ROW(),Lists!$AN$2:$AN$4,0)),""),IF(OR(LEFT($AJ117,3)="COE",$AJ117="EGI"),$AP117,IF($AR117&lt;&gt;"Squad",$AR117,$AP117))))</f>
        <v>Z Loyalty &amp;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>
        <f>IF(TRIM($B118)="","",IF(N($AU118)&gt;0,$AU118,IF(N($S118)&gt;0,$S118*Lists!$AG$15*(1+N($Z118)),N($U118)*(1+N($V118)+N($W118)+N($X118)+N($Z118))+N($Y118))))</f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IF(TRIM($B118)="","",IF(IFERROR(INDEX(Lists!$AO$2:$AO$4,MATCH(ROW(),Lists!$AN$2:$AN$4,0)),"")&lt;&gt;"",IFERROR(INDEX(Lists!$AO$2:$AO$4,MATCH(ROW(),Lists!$AN$2:$AN$4,0)),""),IFERROR(INDEX(Lists!$U:$U,MATCH(TRIM($I118),Lists!$T:$T,0)),TRIM($I118))))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",$C118)),"Head of Technology",IF(ISNUMBER(SEARCH("TDD BP",$C118)),"Business Partner",IF(OR(ISNUMBER(SEARCH("domain architect",$C118)),ISNUMBER(SEARCH("enterprise architect",$C118))),"Domain Architect",IF(ISNUMBER(SEARCH("delivery man",$C118)),"Delivery Manager",IF(OR(ISNUMBER(SEARCH("technology manager",$C118)),ISNUMBER(SEARCH("technology manger",$C118)),ISNUMBER(SEARCH("tech manager",$C118))),"Technology Manager","Squad"))))))</f>
        <v>Squad</v>
      </c>
      <c r="AS118" t="str">
        <f>IF(TRIM($B118)="","",IFERROR(INDEX(Lists!$AA:$AA,MATCH($AP118,Lists!$Z:$Z,0)),$AP118))</f>
        <v>Z App and Web</v>
      </c>
      <c r="AT118" t="str">
        <f>IF(TRIM($B118)="","",IF(IFERROR(INDEX(Lists!$AP$2:$AP$4,MATCH(ROW(),Lists!$AN$2:$AN$4,0)),"")&lt;&gt;"",IFERROR(INDEX(Lists!$AP$2:$AP$4,MATCH(ROW(),Lists!$AN$2:$AN$4,0)),""),IF(OR(LEFT($AJ118,3)="COE",$AJ118="EGI"),$AP118,IF($AR118&lt;&gt;"Squad",$AR118,$AP118))))</f>
        <v>Z App and Web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>
        <f>IF(TRIM($B119)="","",IF(N($AU119)&gt;0,$AU119,IF(N($S119)&gt;0,$S119*Lists!$AG$15*(1+N($Z119)),N($U119)*(1+N($V119)+N($W119)+N($X119)+N($Z119))+N($Y119))))</f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IF(TRIM($B119)="","",IF(IFERROR(INDEX(Lists!$AO$2:$AO$4,MATCH(ROW(),Lists!$AN$2:$AN$4,0)),"")&lt;&gt;"",IFERROR(INDEX(Lists!$AO$2:$AO$4,MATCH(ROW(),Lists!$AN$2:$AN$4,0)),""),IFERROR(INDEX(Lists!$U:$U,MATCH(TRIM($I119),Lists!$T:$T,0)),TRIM($I119))))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",$C119)),"Head of Technology",IF(ISNUMBER(SEARCH("TDD BP",$C119)),"Business Partner",IF(OR(ISNUMBER(SEARCH("domain architect",$C119)),ISNUMBER(SEARCH("enterprise architect",$C119))),"Domain Architect",IF(ISNUMBER(SEARCH("delivery man",$C119)),"Delivery Manager",IF(OR(ISNUMBER(SEARCH("technology manager",$C119)),ISNUMBER(SEARCH("technology manger",$C119)),ISNUMBER(SEARCH("tech manager",$C119))),"Technology Manager","Squad"))))))</f>
        <v>Squad</v>
      </c>
      <c r="AS119" t="str">
        <f>IF(TRIM($B119)="","",IFERROR(INDEX(Lists!$AA:$AA,MATCH($AP119,Lists!$Z:$Z,0)),$AP119))</f>
        <v>Ampol App</v>
      </c>
      <c r="AT119" t="str">
        <f>IF(TRIM($B119)="","",IF(IFERROR(INDEX(Lists!$AP$2:$AP$4,MATCH(ROW(),Lists!$AN$2:$AN$4,0)),"")&lt;&gt;"",IFERROR(INDEX(Lists!$AP$2:$AP$4,MATCH(ROW(),Lists!$AN$2:$AN$4,0)),""),IF(OR(LEFT($AJ119,3)="COE",$AJ119="EGI"),$AP119,IF($AR119&lt;&gt;"Squad",$AR119,$AP119))))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>
        <f>IF(TRIM($B120)="","",IF(N($AU120)&gt;0,$AU120,IF(N($S120)&gt;0,$S120*Lists!$AG$15*(1+N($Z120)),N($U120)*(1+N($V120)+N($W120)+N($X120)+N($Z120))+N($Y120))))</f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IF(TRIM($B120)="","",IF(IFERROR(INDEX(Lists!$AO$2:$AO$4,MATCH(ROW(),Lists!$AN$2:$AN$4,0)),"")&lt;&gt;"",IFERROR(INDEX(Lists!$AO$2:$AO$4,MATCH(ROW(),Lists!$AN$2:$AN$4,0)),""),IFERROR(INDEX(Lists!$U:$U,MATCH(TRIM($I120),Lists!$T:$T,0)),TRIM($I120))))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",$C120)),"Head of Technology",IF(ISNUMBER(SEARCH("TDD BP",$C120)),"Business Partner",IF(OR(ISNUMBER(SEARCH("domain architect",$C120)),ISNUMBER(SEARCH("enterprise architect",$C120))),"Domain Architect",IF(ISNUMBER(SEARCH("delivery man",$C120)),"Delivery Manager",IF(OR(ISNUMBER(SEARCH("technology manager",$C120)),ISNUMBER(SEARCH("technology manger",$C120)),ISNUMBER(SEARCH("tech manager",$C120))),"Technology Manager","Squad"))))))</f>
        <v>Squad</v>
      </c>
      <c r="AS120" t="str">
        <f>IF(TRIM($B120)="","",IFERROR(INDEX(Lists!$AA:$AA,MATCH($AP120,Lists!$Z:$Z,0)),$AP120))</f>
        <v>Ampol Web</v>
      </c>
      <c r="AT120" t="str">
        <f>IF(TRIM($B120)="","",IF(IFERROR(INDEX(Lists!$AP$2:$AP$4,MATCH(ROW(),Lists!$AN$2:$AN$4,0)),"")&lt;&gt;"",IFERROR(INDEX(Lists!$AP$2:$AP$4,MATCH(ROW(),Lists!$AN$2:$AN$4,0)),""),IF(OR(LEFT($AJ120,3)="COE",$AJ120="EGI"),$AP120,IF($AR120&lt;&gt;"Squad",$AR120,$AP120))))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>
        <f>IF(TRIM($B121)="","",IF(N($AU121)&gt;0,$AU121,IF(N($S121)&gt;0,$S121*Lists!$AG$15*(1+N($Z121)),N($U121)*(1+N($V121)+N($W121)+N($X121)+N($Z121))+N($Y121))))</f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IF(TRIM($B121)="","",IF(IFERROR(INDEX(Lists!$AO$2:$AO$4,MATCH(ROW(),Lists!$AN$2:$AN$4,0)),"")&lt;&gt;"",IFERROR(INDEX(Lists!$AO$2:$AO$4,MATCH(ROW(),Lists!$AN$2:$AN$4,0)),""),IFERROR(INDEX(Lists!$U:$U,MATCH(TRIM($I121),Lists!$T:$T,0)),TRIM($I121))))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",$C121)),"Head of Technology",IF(ISNUMBER(SEARCH("TDD BP",$C121)),"Business Partner",IF(OR(ISNUMBER(SEARCH("domain architect",$C121)),ISNUMBER(SEARCH("enterprise architect",$C121))),"Domain Architect",IF(ISNUMBER(SEARCH("delivery man",$C121)),"Delivery Manager",IF(OR(ISNUMBER(SEARCH("technology manager",$C121)),ISNUMBER(SEARCH("technology manger",$C121)),ISNUMBER(SEARCH("tech manager",$C121))),"Technology Manager","Squad"))))))</f>
        <v>Squad</v>
      </c>
      <c r="AS121" t="str">
        <f>IF(TRIM($B121)="","",IFERROR(INDEX(Lists!$AA:$AA,MATCH($AP121,Lists!$Z:$Z,0)),$AP121))</f>
        <v>Z Loyalty &amp; Martech</v>
      </c>
      <c r="AT121" t="str">
        <f>IF(TRIM($B121)="","",IF(IFERROR(INDEX(Lists!$AP$2:$AP$4,MATCH(ROW(),Lists!$AN$2:$AN$4,0)),"")&lt;&gt;"",IFERROR(INDEX(Lists!$AP$2:$AP$4,MATCH(ROW(),Lists!$AN$2:$AN$4,0)),""),IF(OR(LEFT($AJ121,3)="COE",$AJ121="EGI"),$AP121,IF($AR121&lt;&gt;"Squad",$AR121,$AP121))))</f>
        <v>Z Loyalty &amp;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>
        <f>IF(TRIM($B122)="","",IF(N($AU122)&gt;0,$AU122,IF(N($S122)&gt;0,$S122*Lists!$AG$15*(1+N($Z122)),N($U122)*(1+N($V122)+N($W122)+N($X122)+N($Z122))+N($Y122))))</f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IF(TRIM($B122)="","",IF(IFERROR(INDEX(Lists!$AO$2:$AO$4,MATCH(ROW(),Lists!$AN$2:$AN$4,0)),"")&lt;&gt;"",IFERROR(INDEX(Lists!$AO$2:$AO$4,MATCH(ROW(),Lists!$AN$2:$AN$4,0)),""),IFERROR(INDEX(Lists!$U:$U,MATCH(TRIM($I122),Lists!$T:$T,0)),TRIM($I122))))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",$C122)),"Head of Technology",IF(ISNUMBER(SEARCH("TDD BP",$C122)),"Business Partner",IF(OR(ISNUMBER(SEARCH("domain architect",$C122)),ISNUMBER(SEARCH("enterprise architect",$C122))),"Domain Architect",IF(ISNUMBER(SEARCH("delivery man",$C122)),"Delivery Manager",IF(OR(ISNUMBER(SEARCH("technology manager",$C122)),ISNUMBER(SEARCH("technology manger",$C122)),ISNUMBER(SEARCH("tech manager",$C122))),"Technology Manager","Squad"))))))</f>
        <v>Squad</v>
      </c>
      <c r="AS122" t="str">
        <f>IF(TRIM($B122)="","",IFERROR(INDEX(Lists!$AA:$AA,MATCH($AP122,Lists!$Z:$Z,0)),$AP122))</f>
        <v>Ampol App</v>
      </c>
      <c r="AT122" t="str">
        <f>IF(TRIM($B122)="","",IF(IFERROR(INDEX(Lists!$AP$2:$AP$4,MATCH(ROW(),Lists!$AN$2:$AN$4,0)),"")&lt;&gt;"",IFERROR(INDEX(Lists!$AP$2:$AP$4,MATCH(ROW(),Lists!$AN$2:$AN$4,0)),""),IF(OR(LEFT($AJ122,3)="COE",$AJ122="EGI"),$AP122,IF($AR122&lt;&gt;"Squad",$AR122,$AP122))))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>
        <f>IF(TRIM($B123)="","",IF(N($AU123)&gt;0,$AU123,IF(N($S123)&gt;0,$S123*Lists!$AG$15*(1+N($Z123)),N($U123)*(1+N($V123)+N($W123)+N($X123)+N($Z123))+N($Y123))))</f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IF(TRIM($B123)="","",IF(IFERROR(INDEX(Lists!$AO$2:$AO$4,MATCH(ROW(),Lists!$AN$2:$AN$4,0)),"")&lt;&gt;"",IFERROR(INDEX(Lists!$AO$2:$AO$4,MATCH(ROW(),Lists!$AN$2:$AN$4,0)),""),IFERROR(INDEX(Lists!$U:$U,MATCH(TRIM($I123),Lists!$T:$T,0)),TRIM($I123))))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",$C123)),"Head of Technology",IF(ISNUMBER(SEARCH("TDD BP",$C123)),"Business Partner",IF(OR(ISNUMBER(SEARCH("domain architect",$C123)),ISNUMBER(SEARCH("enterprise architect",$C123))),"Domain Architect",IF(ISNUMBER(SEARCH("delivery man",$C123)),"Delivery Manager",IF(OR(ISNUMBER(SEARCH("technology manager",$C123)),ISNUMBER(SEARCH("technology manger",$C123)),ISNUMBER(SEARCH("tech manager",$C123))),"Technology Manager","Squad"))))))</f>
        <v>Squad</v>
      </c>
      <c r="AS123" t="str">
        <f>IF(TRIM($B123)="","",IFERROR(INDEX(Lists!$AA:$AA,MATCH($AP123,Lists!$Z:$Z,0)),$AP123))</f>
        <v>Leadership</v>
      </c>
      <c r="AT123" t="str">
        <f>IF(TRIM($B123)="","",IF(IFERROR(INDEX(Lists!$AP$2:$AP$4,MATCH(ROW(),Lists!$AN$2:$AN$4,0)),"")&lt;&gt;"",IFERROR(INDEX(Lists!$AP$2:$AP$4,MATCH(ROW(),Lists!$AN$2:$AN$4,0)),""),IF(OR(LEFT($AJ123,3)="COE",$AJ123="EGI"),$AP123,IF($AR123&lt;&gt;"Squad",$AR123,$AP123))))</f>
        <v>Leadership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>
        <f>IF(TRIM($B124)="","",IF(N($AU124)&gt;0,$AU124,IF(N($S124)&gt;0,$S124*Lists!$AG$15*(1+N($Z124)),N($U124)*(1+N($V124)+N($W124)+N($X124)+N($Z124))+N($Y124))))</f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IF(TRIM($B124)="","",IF(IFERROR(INDEX(Lists!$AO$2:$AO$4,MATCH(ROW(),Lists!$AN$2:$AN$4,0)),"")&lt;&gt;"",IFERROR(INDEX(Lists!$AO$2:$AO$4,MATCH(ROW(),Lists!$AN$2:$AN$4,0)),""),IFERROR(INDEX(Lists!$U:$U,MATCH(TRIM($I124),Lists!$T:$T,0)),TRIM($I124))))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",$C124)),"Head of Technology",IF(ISNUMBER(SEARCH("TDD BP",$C124)),"Business Partner",IF(OR(ISNUMBER(SEARCH("domain architect",$C124)),ISNUMBER(SEARCH("enterprise architect",$C124))),"Domain Architect",IF(ISNUMBER(SEARCH("delivery man",$C124)),"Delivery Manager",IF(OR(ISNUMBER(SEARCH("technology manager",$C124)),ISNUMBER(SEARCH("technology manger",$C124)),ISNUMBER(SEARCH("tech manager",$C124))),"Technology Manager","Squad"))))))</f>
        <v>Squad</v>
      </c>
      <c r="AS124" t="str">
        <f>IF(TRIM($B124)="","",IFERROR(INDEX(Lists!$AA:$AA,MATCH($AP124,Lists!$Z:$Z,0)),$AP124))</f>
        <v>Z Loyalty &amp; Martech</v>
      </c>
      <c r="AT124" t="str">
        <f>IF(TRIM($B124)="","",IF(IFERROR(INDEX(Lists!$AP$2:$AP$4,MATCH(ROW(),Lists!$AN$2:$AN$4,0)),"")&lt;&gt;"",IFERROR(INDEX(Lists!$AP$2:$AP$4,MATCH(ROW(),Lists!$AN$2:$AN$4,0)),""),IF(OR(LEFT($AJ124,3)="COE",$AJ124="EGI"),$AP124,IF($AR124&lt;&gt;"Squad",$AR124,$AP124))))</f>
        <v>Z Loyalty &amp;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>
        <f>IF(TRIM($B125)="","",IF(N($AU125)&gt;0,$AU125,IF(N($S125)&gt;0,$S125*Lists!$AG$15*(1+N($Z125)),N($U125)*(1+N($V125)+N($W125)+N($X125)+N($Z125))+N($Y125))))</f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IF(TRIM($B125)="","",IF(IFERROR(INDEX(Lists!$AO$2:$AO$4,MATCH(ROW(),Lists!$AN$2:$AN$4,0)),"")&lt;&gt;"",IFERROR(INDEX(Lists!$AO$2:$AO$4,MATCH(ROW(),Lists!$AN$2:$AN$4,0)),""),IFERROR(INDEX(Lists!$U:$U,MATCH(TRIM($I125),Lists!$T:$T,0)),TRIM($I125))))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",$C125)),"Head of Technology",IF(ISNUMBER(SEARCH("TDD BP",$C125)),"Business Partner",IF(OR(ISNUMBER(SEARCH("domain architect",$C125)),ISNUMBER(SEARCH("enterprise architect",$C125))),"Domain Architect",IF(ISNUMBER(SEARCH("delivery man",$C125)),"Delivery Manager",IF(OR(ISNUMBER(SEARCH("technology manager",$C125)),ISNUMBER(SEARCH("technology manger",$C125)),ISNUMBER(SEARCH("tech manager",$C125))),"Technology Manager","Squad"))))))</f>
        <v>Squad</v>
      </c>
      <c r="AS125" t="str">
        <f>IF(TRIM($B125)="","",IFERROR(INDEX(Lists!$AA:$AA,MATCH($AP125,Lists!$Z:$Z,0)),$AP125))</f>
        <v>Z Loyalty &amp; Martech</v>
      </c>
      <c r="AT125" t="str">
        <f>IF(TRIM($B125)="","",IF(IFERROR(INDEX(Lists!$AP$2:$AP$4,MATCH(ROW(),Lists!$AN$2:$AN$4,0)),"")&lt;&gt;"",IFERROR(INDEX(Lists!$AP$2:$AP$4,MATCH(ROW(),Lists!$AN$2:$AN$4,0)),""),IF(OR(LEFT($AJ125,3)="COE",$AJ125="EGI"),$AP125,IF($AR125&lt;&gt;"Squad",$AR125,$AP125))))</f>
        <v>Z Loyalty &amp;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>
        <f>IF(TRIM($B126)="","",IF(N($AU126)&gt;0,$AU126,IF(N($S126)&gt;0,$S126*Lists!$AG$15*(1+N($Z126)),N($U126)*(1+N($V126)+N($W126)+N($X126)+N($Z126))+N($Y126))))</f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IF(TRIM($B126)="","",IF(IFERROR(INDEX(Lists!$AO$2:$AO$4,MATCH(ROW(),Lists!$AN$2:$AN$4,0)),"")&lt;&gt;"",IFERROR(INDEX(Lists!$AO$2:$AO$4,MATCH(ROW(),Lists!$AN$2:$AN$4,0)),""),IFERROR(INDEX(Lists!$U:$U,MATCH(TRIM($I126),Lists!$T:$T,0)),TRIM($I126))))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",$C126)),"Head of Technology",IF(ISNUMBER(SEARCH("TDD BP",$C126)),"Business Partner",IF(OR(ISNUMBER(SEARCH("domain architect",$C126)),ISNUMBER(SEARCH("enterprise architect",$C126))),"Domain Architect",IF(ISNUMBER(SEARCH("delivery man",$C126)),"Delivery Manager",IF(OR(ISNUMBER(SEARCH("technology manager",$C126)),ISNUMBER(SEARCH("technology manger",$C126)),ISNUMBER(SEARCH("tech manager",$C126))),"Technology Manager","Squad"))))))</f>
        <v>Squad</v>
      </c>
      <c r="AS126" t="str">
        <f>IF(TRIM($B126)="","",IFERROR(INDEX(Lists!$AA:$AA,MATCH($AP126,Lists!$Z:$Z,0)),$AP126))</f>
        <v>Leadership</v>
      </c>
      <c r="AT126" t="str">
        <f>IF(TRIM($B126)="","",IF(IFERROR(INDEX(Lists!$AP$2:$AP$4,MATCH(ROW(),Lists!$AN$2:$AN$4,0)),"")&lt;&gt;"",IFERROR(INDEX(Lists!$AP$2:$AP$4,MATCH(ROW(),Lists!$AN$2:$AN$4,0)),""),IF(OR(LEFT($AJ126,3)="COE",$AJ126="EGI"),$AP126,IF($AR126&lt;&gt;"Squad",$AR126,$AP126))))</f>
        <v>Leadership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>
        <f>IF(TRIM($B127)="","",IF(N($AU127)&gt;0,$AU127,IF(N($S127)&gt;0,$S127*Lists!$AG$15*(1+N($Z127)),N($U127)*(1+N($V127)+N($W127)+N($X127)+N($Z127))+N($Y127))))</f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IF(TRIM($B127)="","",IF(IFERROR(INDEX(Lists!$AO$2:$AO$4,MATCH(ROW(),Lists!$AN$2:$AN$4,0)),"")&lt;&gt;"",IFERROR(INDEX(Lists!$AO$2:$AO$4,MATCH(ROW(),Lists!$AN$2:$AN$4,0)),""),IFERROR(INDEX(Lists!$U:$U,MATCH(TRIM($I127),Lists!$T:$T,0)),TRIM($I127))))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",$C127)),"Head of Technology",IF(ISNUMBER(SEARCH("TDD BP",$C127)),"Business Partner",IF(OR(ISNUMBER(SEARCH("domain architect",$C127)),ISNUMBER(SEARCH("enterprise architect",$C127))),"Domain Architect",IF(ISNUMBER(SEARCH("delivery man",$C127)),"Delivery Manager",IF(OR(ISNUMBER(SEARCH("technology manager",$C127)),ISNUMBER(SEARCH("technology manger",$C127)),ISNUMBER(SEARCH("tech manager",$C127))),"Technology Manager","Squad"))))))</f>
        <v>Squad</v>
      </c>
      <c r="AS127" t="str">
        <f>IF(TRIM($B127)="","",IFERROR(INDEX(Lists!$AA:$AA,MATCH($AP127,Lists!$Z:$Z,0)),$AP127))</f>
        <v>Digital Operations</v>
      </c>
      <c r="AT127" t="str">
        <f>IF(TRIM($B127)="","",IF(IFERROR(INDEX(Lists!$AP$2:$AP$4,MATCH(ROW(),Lists!$AN$2:$AN$4,0)),"")&lt;&gt;"",IFERROR(INDEX(Lists!$AP$2:$AP$4,MATCH(ROW(),Lists!$AN$2:$AN$4,0)),""),IF(OR(LEFT($AJ127,3)="COE",$AJ127="EGI"),$AP127,IF($AR127&lt;&gt;"Squad",$AR127,$AP127))))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>
        <f>IF(TRIM($B128)="","",IF(N($AU128)&gt;0,$AU128,IF(N($S128)&gt;0,$S128*Lists!$AG$15*(1+N($Z128)),N($U128)*(1+N($V128)+N($W128)+N($X128)+N($Z128))+N($Y128))))</f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IF(TRIM($B128)="","",IF(IFERROR(INDEX(Lists!$AO$2:$AO$4,MATCH(ROW(),Lists!$AN$2:$AN$4,0)),"")&lt;&gt;"",IFERROR(INDEX(Lists!$AO$2:$AO$4,MATCH(ROW(),Lists!$AN$2:$AN$4,0)),""),IFERROR(INDEX(Lists!$U:$U,MATCH(TRIM($I128),Lists!$T:$T,0)),TRIM($I128))))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",$C128)),"Head of Technology",IF(ISNUMBER(SEARCH("TDD BP",$C128)),"Business Partner",IF(OR(ISNUMBER(SEARCH("domain architect",$C128)),ISNUMBER(SEARCH("enterprise architect",$C128))),"Domain Architect",IF(ISNUMBER(SEARCH("delivery man",$C128)),"Delivery Manager",IF(OR(ISNUMBER(SEARCH("technology manager",$C128)),ISNUMBER(SEARCH("technology manger",$C128)),ISNUMBER(SEARCH("tech manager",$C128))),"Technology Manager","Squad"))))))</f>
        <v>Squad</v>
      </c>
      <c r="AS128" t="str">
        <f>IF(TRIM($B128)="","",IFERROR(INDEX(Lists!$AA:$AA,MATCH($AP128,Lists!$Z:$Z,0)),$AP128))</f>
        <v>Ampol Web</v>
      </c>
      <c r="AT128" t="str">
        <f>IF(TRIM($B128)="","",IF(IFERROR(INDEX(Lists!$AP$2:$AP$4,MATCH(ROW(),Lists!$AN$2:$AN$4,0)),"")&lt;&gt;"",IFERROR(INDEX(Lists!$AP$2:$AP$4,MATCH(ROW(),Lists!$AN$2:$AN$4,0)),""),IF(OR(LEFT($AJ128,3)="COE",$AJ128="EGI"),$AP128,IF($AR128&lt;&gt;"Squad",$AR128,$AP128))))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>
        <f>IF(TRIM($B129)="","",IF(N($AU129)&gt;0,$AU129,IF(N($S129)&gt;0,$S129*Lists!$AG$15*(1+N($Z129)),N($U129)*(1+N($V129)+N($W129)+N($X129)+N($Z129))+N($Y129))))</f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IF(TRIM($B129)="","",IF(IFERROR(INDEX(Lists!$AO$2:$AO$4,MATCH(ROW(),Lists!$AN$2:$AN$4,0)),"")&lt;&gt;"",IFERROR(INDEX(Lists!$AO$2:$AO$4,MATCH(ROW(),Lists!$AN$2:$AN$4,0)),""),IFERROR(INDEX(Lists!$U:$U,MATCH(TRIM($I129),Lists!$T:$T,0)),TRIM($I129))))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",$C129)),"Head of Technology",IF(ISNUMBER(SEARCH("TDD BP",$C129)),"Business Partner",IF(OR(ISNUMBER(SEARCH("domain architect",$C129)),ISNUMBER(SEARCH("enterprise architect",$C129))),"Domain Architect",IF(ISNUMBER(SEARCH("delivery man",$C129)),"Delivery Manager",IF(OR(ISNUMBER(SEARCH("technology manager",$C129)),ISNUMBER(SEARCH("technology manger",$C129)),ISNUMBER(SEARCH("tech manager",$C129))),"Technology Manager","Squad"))))))</f>
        <v>Squad</v>
      </c>
      <c r="AS129" t="str">
        <f>IF(TRIM($B129)="","",IFERROR(INDEX(Lists!$AA:$AA,MATCH($AP129,Lists!$Z:$Z,0)),$AP129))</f>
        <v>EGI Customer</v>
      </c>
      <c r="AT129" t="str">
        <f>IF(TRIM($B129)="","",IF(IFERROR(INDEX(Lists!$AP$2:$AP$4,MATCH(ROW(),Lists!$AN$2:$AN$4,0)),"")&lt;&gt;"",IFERROR(INDEX(Lists!$AP$2:$AP$4,MATCH(ROW(),Lists!$AN$2:$AN$4,0)),""),IF(OR(LEFT($AJ129,3)="COE",$AJ129="EGI"),$AP129,IF($AR129&lt;&gt;"Squad",$AR129,$AP129))))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>
        <f>IF(TRIM($B130)="","",IF(N($AU130)&gt;0,$AU130,IF(N($S130)&gt;0,$S130*Lists!$AG$15*(1+N($Z130)),N($U130)*(1+N($V130)+N($W130)+N($X130)+N($Z130))+N($Y130))))</f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IF(TRIM($B130)="","",IF(IFERROR(INDEX(Lists!$AO$2:$AO$4,MATCH(ROW(),Lists!$AN$2:$AN$4,0)),"")&lt;&gt;"",IFERROR(INDEX(Lists!$AO$2:$AO$4,MATCH(ROW(),Lists!$AN$2:$AN$4,0)),""),IFERROR(INDEX(Lists!$U:$U,MATCH(TRIM($I130),Lists!$T:$T,0)),TRIM($I130))))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Loyalty &amp; Martech</v>
      </c>
      <c r="AQ130" s="949" t="b">
        <f>IF(TRIM($B130)="","",--OR(TRIM($K130)="Leadership",TRIM($J130)="Leadership"))</f>
        <v>0</v>
      </c>
      <c r="AR130" t="str">
        <f>IF(TRIM($B130)="","",IF(ISNUMBER(SEARCH("head of ",$C130)),"Head of Technology",IF(ISNUMBER(SEARCH("TDD BP",$C130)),"Business Partner",IF(OR(ISNUMBER(SEARCH("domain architect",$C130)),ISNUMBER(SEARCH("enterprise architect",$C130))),"Domain Architect",IF(ISNUMBER(SEARCH("delivery man",$C130)),"Delivery Manager",IF(OR(ISNUMBER(SEARCH("technology manager",$C130)),ISNUMBER(SEARCH("technology manger",$C130)),ISNUMBER(SEARCH("tech manager",$C130))),"Technology Manager","Squad"))))))</f>
        <v>Squad</v>
      </c>
      <c r="AS130" t="str">
        <f>IF(TRIM($B130)="","",IFERROR(INDEX(Lists!$AA:$AA,MATCH($AP130,Lists!$Z:$Z,0)),$AP130))</f>
        <v>Z Loyalty &amp; Martech</v>
      </c>
      <c r="AT130" t="str">
        <f>IF(TRIM($B130)="","",IF(IFERROR(INDEX(Lists!$AP$2:$AP$4,MATCH(ROW(),Lists!$AN$2:$AN$4,0)),"")&lt;&gt;"",IFERROR(INDEX(Lists!$AP$2:$AP$4,MATCH(ROW(),Lists!$AN$2:$AN$4,0)),""),IF(OR(LEFT($AJ130,3)="COE",$AJ130="EGI"),$AP130,IF($AR130&lt;&gt;"Squad",$AR130,$AP130))))</f>
        <v>Z Loyalty &amp;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>
        <f>IF(TRIM($B131)="","",IF(N($AU131)&gt;0,$AU131,IF(N($S131)&gt;0,$S131*Lists!$AG$15*(1+N($Z131)),N($U131)*(1+N($V131)+N($W131)+N($X131)+N($Z131))+N($Y131))))</f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IF(TRIM($B131)="","",IF(IFERROR(INDEX(Lists!$AO$2:$AO$4,MATCH(ROW(),Lists!$AN$2:$AN$4,0)),"")&lt;&gt;"",IFERROR(INDEX(Lists!$AO$2:$AO$4,MATCH(ROW(),Lists!$AN$2:$AN$4,0)),""),IFERROR(INDEX(Lists!$U:$U,MATCH(TRIM($I131),Lists!$T:$T,0)),TRIM($I131))))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",$C131)),"Head of Technology",IF(ISNUMBER(SEARCH("TDD BP",$C131)),"Business Partner",IF(OR(ISNUMBER(SEARCH("domain architect",$C131)),ISNUMBER(SEARCH("enterprise architect",$C131))),"Domain Architect",IF(ISNUMBER(SEARCH("delivery man",$C131)),"Delivery Manager",IF(OR(ISNUMBER(SEARCH("technology manager",$C131)),ISNUMBER(SEARCH("technology manger",$C131)),ISNUMBER(SEARCH("tech manager",$C131))),"Technology Manager","Squad"))))))</f>
        <v>Squad</v>
      </c>
      <c r="AS131" t="str">
        <f>IF(TRIM($B131)="","",IFERROR(INDEX(Lists!$AA:$AA,MATCH($AP131,Lists!$Z:$Z,0)),$AP131))</f>
        <v>Leadership</v>
      </c>
      <c r="AT131" t="str">
        <f>IF(TRIM($B131)="","",IF(IFERROR(INDEX(Lists!$AP$2:$AP$4,MATCH(ROW(),Lists!$AN$2:$AN$4,0)),"")&lt;&gt;"",IFERROR(INDEX(Lists!$AP$2:$AP$4,MATCH(ROW(),Lists!$AN$2:$AN$4,0)),""),IF(OR(LEFT($AJ131,3)="COE",$AJ131="EGI"),$AP131,IF($AR131&lt;&gt;"Squad",$AR131,$AP131))))</f>
        <v>Leadership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>
        <f>IF(TRIM($B132)="","",IF(N($AU132)&gt;0,$AU132,IF(N($S132)&gt;0,$S132*Lists!$AG$15*(1+N($Z132)),N($U132)*(1+N($V132)+N($W132)+N($X132)+N($Z132))+N($Y132))))</f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IF(TRIM($B132)="","",IF(IFERROR(INDEX(Lists!$AO$2:$AO$4,MATCH(ROW(),Lists!$AN$2:$AN$4,0)),"")&lt;&gt;"",IFERROR(INDEX(Lists!$AO$2:$AO$4,MATCH(ROW(),Lists!$AN$2:$AN$4,0)),""),IFERROR(INDEX(Lists!$U:$U,MATCH(TRIM($I132),Lists!$T:$T,0)),TRIM($I132))))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",$C132)),"Head of Technology",IF(ISNUMBER(SEARCH("TDD BP",$C132)),"Business Partner",IF(OR(ISNUMBER(SEARCH("domain architect",$C132)),ISNUMBER(SEARCH("enterprise architect",$C132))),"Domain Architect",IF(ISNUMBER(SEARCH("delivery man",$C132)),"Delivery Manager",IF(OR(ISNUMBER(SEARCH("technology manager",$C132)),ISNUMBER(SEARCH("technology manger",$C132)),ISNUMBER(SEARCH("tech manager",$C132))),"Technology Manager","Squad"))))))</f>
        <v>Squad</v>
      </c>
      <c r="AS132" t="str">
        <f>IF(TRIM($B132)="","",IFERROR(INDEX(Lists!$AA:$AA,MATCH($AP132,Lists!$Z:$Z,0)),$AP132))</f>
        <v>Ampol App</v>
      </c>
      <c r="AT132" t="str">
        <f>IF(TRIM($B132)="","",IF(IFERROR(INDEX(Lists!$AP$2:$AP$4,MATCH(ROW(),Lists!$AN$2:$AN$4,0)),"")&lt;&gt;"",IFERROR(INDEX(Lists!$AP$2:$AP$4,MATCH(ROW(),Lists!$AN$2:$AN$4,0)),""),IF(OR(LEFT($AJ132,3)="COE",$AJ132="EGI"),$AP132,IF($AR132&lt;&gt;"Squad",$AR132,$AP132))))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>
        <f>IF(TRIM($B133)="","",IF(N($AU133)&gt;0,$AU133,IF(N($S133)&gt;0,$S133*Lists!$AG$15*(1+N($Z133)),N($U133)*(1+N($V133)+N($W133)+N($X133)+N($Z133))+N($Y133))))</f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IF(TRIM($B133)="","",IF(IFERROR(INDEX(Lists!$AO$2:$AO$4,MATCH(ROW(),Lists!$AN$2:$AN$4,0)),"")&lt;&gt;"",IFERROR(INDEX(Lists!$AO$2:$AO$4,MATCH(ROW(),Lists!$AN$2:$AN$4,0)),""),IFERROR(INDEX(Lists!$U:$U,MATCH(TRIM($I133),Lists!$T:$T,0)),TRIM($I133))))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",$C133)),"Head of Technology",IF(ISNUMBER(SEARCH("TDD BP",$C133)),"Business Partner",IF(OR(ISNUMBER(SEARCH("domain architect",$C133)),ISNUMBER(SEARCH("enterprise architect",$C133))),"Domain Architect",IF(ISNUMBER(SEARCH("delivery man",$C133)),"Delivery Manager",IF(OR(ISNUMBER(SEARCH("technology manager",$C133)),ISNUMBER(SEARCH("technology manger",$C133)),ISNUMBER(SEARCH("tech manager",$C133))),"Technology Manager","Squad"))))))</f>
        <v>Squad</v>
      </c>
      <c r="AS133" t="str">
        <f>IF(TRIM($B133)="","",IFERROR(INDEX(Lists!$AA:$AA,MATCH($AP133,Lists!$Z:$Z,0)),$AP133))</f>
        <v>Digital Operations</v>
      </c>
      <c r="AT133" t="str">
        <f>IF(TRIM($B133)="","",IF(IFERROR(INDEX(Lists!$AP$2:$AP$4,MATCH(ROW(),Lists!$AN$2:$AN$4,0)),"")&lt;&gt;"",IFERROR(INDEX(Lists!$AP$2:$AP$4,MATCH(ROW(),Lists!$AN$2:$AN$4,0)),""),IF(OR(LEFT($AJ133,3)="COE",$AJ133="EGI"),$AP133,IF($AR133&lt;&gt;"Squad",$AR133,$AP133))))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>
        <f>IF(TRIM($B134)="","",IF(N($AU134)&gt;0,$AU134,IF(N($S134)&gt;0,$S134*Lists!$AG$15*(1+N($Z134)),N($U134)*(1+N($V134)+N($W134)+N($X134)+N($Z134))+N($Y134))))</f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IF(TRIM($B134)="","",IF(IFERROR(INDEX(Lists!$AO$2:$AO$4,MATCH(ROW(),Lists!$AN$2:$AN$4,0)),"")&lt;&gt;"",IFERROR(INDEX(Lists!$AO$2:$AO$4,MATCH(ROW(),Lists!$AN$2:$AN$4,0)),""),IFERROR(INDEX(Lists!$U:$U,MATCH(TRIM($I134),Lists!$T:$T,0)),TRIM($I134))))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",$C134)),"Head of Technology",IF(ISNUMBER(SEARCH("TDD BP",$C134)),"Business Partner",IF(OR(ISNUMBER(SEARCH("domain architect",$C134)),ISNUMBER(SEARCH("enterprise architect",$C134))),"Domain Architect",IF(ISNUMBER(SEARCH("delivery man",$C134)),"Delivery Manager",IF(OR(ISNUMBER(SEARCH("technology manager",$C134)),ISNUMBER(SEARCH("technology manger",$C134)),ISNUMBER(SEARCH("tech manager",$C134))),"Technology Manager","Squad"))))))</f>
        <v>Squad</v>
      </c>
      <c r="AS134" t="str">
        <f>IF(TRIM($B134)="","",IFERROR(INDEX(Lists!$AA:$AA,MATCH($AP134,Lists!$Z:$Z,0)),$AP134))</f>
        <v>Ampol App</v>
      </c>
      <c r="AT134" t="str">
        <f>IF(TRIM($B134)="","",IF(IFERROR(INDEX(Lists!$AP$2:$AP$4,MATCH(ROW(),Lists!$AN$2:$AN$4,0)),"")&lt;&gt;"",IFERROR(INDEX(Lists!$AP$2:$AP$4,MATCH(ROW(),Lists!$AN$2:$AN$4,0)),""),IF(OR(LEFT($AJ134,3)="COE",$AJ134="EGI"),$AP134,IF($AR134&lt;&gt;"Squad",$AR134,$AP134))))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>
        <f>IF(TRIM($B135)="","",IF(N($AU135)&gt;0,$AU135,IF(N($S135)&gt;0,$S135*Lists!$AG$15*(1+N($Z135)),N($U135)*(1+N($V135)+N($W135)+N($X135)+N($Z135))+N($Y135))))</f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IF(TRIM($B135)="","",IF(IFERROR(INDEX(Lists!$AO$2:$AO$4,MATCH(ROW(),Lists!$AN$2:$AN$4,0)),"")&lt;&gt;"",IFERROR(INDEX(Lists!$AO$2:$AO$4,MATCH(ROW(),Lists!$AN$2:$AN$4,0)),""),IFERROR(INDEX(Lists!$U:$U,MATCH(TRIM($I135),Lists!$T:$T,0)),TRIM($I135))))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",$C135)),"Head of Technology",IF(ISNUMBER(SEARCH("TDD BP",$C135)),"Business Partner",IF(OR(ISNUMBER(SEARCH("domain architect",$C135)),ISNUMBER(SEARCH("enterprise architect",$C135))),"Domain Architect",IF(ISNUMBER(SEARCH("delivery man",$C135)),"Delivery Manager",IF(OR(ISNUMBER(SEARCH("technology manager",$C135)),ISNUMBER(SEARCH("technology manger",$C135)),ISNUMBER(SEARCH("tech manager",$C135))),"Technology Manager","Squad"))))))</f>
        <v>Squad</v>
      </c>
      <c r="AS135" t="str">
        <f>IF(TRIM($B135)="","",IFERROR(INDEX(Lists!$AA:$AA,MATCH($AP135,Lists!$Z:$Z,0)),$AP135))</f>
        <v>Z App and Web</v>
      </c>
      <c r="AT135" t="str">
        <f>IF(TRIM($B135)="","",IF(IFERROR(INDEX(Lists!$AP$2:$AP$4,MATCH(ROW(),Lists!$AN$2:$AN$4,0)),"")&lt;&gt;"",IFERROR(INDEX(Lists!$AP$2:$AP$4,MATCH(ROW(),Lists!$AN$2:$AN$4,0)),""),IF(OR(LEFT($AJ135,3)="COE",$AJ135="EGI"),$AP135,IF($AR135&lt;&gt;"Squad",$AR135,$AP135))))</f>
        <v>Z App and Web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>
        <f>IF(TRIM($B136)="","",IF(N($AU136)&gt;0,$AU136,IF(N($S136)&gt;0,$S136*Lists!$AG$15*(1+N($Z136)),N($U136)*(1+N($V136)+N($W136)+N($X136)+N($Z136))+N($Y136))))</f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IF(TRIM($B136)="","",IF(IFERROR(INDEX(Lists!$AO$2:$AO$4,MATCH(ROW(),Lists!$AN$2:$AN$4,0)),"")&lt;&gt;"",IFERROR(INDEX(Lists!$AO$2:$AO$4,MATCH(ROW(),Lists!$AN$2:$AN$4,0)),""),IFERROR(INDEX(Lists!$U:$U,MATCH(TRIM($I136),Lists!$T:$T,0)),TRIM($I136))))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",$C136)),"Head of Technology",IF(ISNUMBER(SEARCH("TDD BP",$C136)),"Business Partner",IF(OR(ISNUMBER(SEARCH("domain architect",$C136)),ISNUMBER(SEARCH("enterprise architect",$C136))),"Domain Architect",IF(ISNUMBER(SEARCH("delivery man",$C136)),"Delivery Manager",IF(OR(ISNUMBER(SEARCH("technology manager",$C136)),ISNUMBER(SEARCH("technology manger",$C136)),ISNUMBER(SEARCH("tech manager",$C136))),"Technology Manager","Squad"))))))</f>
        <v>Squad</v>
      </c>
      <c r="AS136" t="str">
        <f>IF(TRIM($B136)="","",IFERROR(INDEX(Lists!$AA:$AA,MATCH($AP136,Lists!$Z:$Z,0)),$AP136))</f>
        <v>Energy</v>
      </c>
      <c r="AT136" t="str">
        <f>IF(TRIM($B136)="","",IF(IFERROR(INDEX(Lists!$AP$2:$AP$4,MATCH(ROW(),Lists!$AN$2:$AN$4,0)),"")&lt;&gt;"",IFERROR(INDEX(Lists!$AP$2:$AP$4,MATCH(ROW(),Lists!$AN$2:$AN$4,0)),""),IF(OR(LEFT($AJ136,3)="COE",$AJ136="EGI"),$AP136,IF($AR136&lt;&gt;"Squad",$AR136,$AP136))))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>
        <f>IF(TRIM($B137)="","",IF(N($AU137)&gt;0,$AU137,IF(N($S137)&gt;0,$S137*Lists!$AG$15*(1+N($Z137)),N($U137)*(1+N($V137)+N($W137)+N($X137)+N($Z137))+N($Y137))))</f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IF(TRIM($B137)="","",IF(IFERROR(INDEX(Lists!$AO$2:$AO$4,MATCH(ROW(),Lists!$AN$2:$AN$4,0)),"")&lt;&gt;"",IFERROR(INDEX(Lists!$AO$2:$AO$4,MATCH(ROW(),Lists!$AN$2:$AN$4,0)),""),IFERROR(INDEX(Lists!$U:$U,MATCH(TRIM($I137),Lists!$T:$T,0)),TRIM($I137))))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",$C137)),"Head of Technology",IF(ISNUMBER(SEARCH("TDD BP",$C137)),"Business Partner",IF(OR(ISNUMBER(SEARCH("domain architect",$C137)),ISNUMBER(SEARCH("enterprise architect",$C137))),"Domain Architect",IF(ISNUMBER(SEARCH("delivery man",$C137)),"Delivery Manager",IF(OR(ISNUMBER(SEARCH("technology manager",$C137)),ISNUMBER(SEARCH("technology manger",$C137)),ISNUMBER(SEARCH("tech manager",$C137))),"Technology Manager","Squad"))))))</f>
        <v>Squad</v>
      </c>
      <c r="AS137" t="str">
        <f>IF(TRIM($B137)="","",IFERROR(INDEX(Lists!$AA:$AA,MATCH($AP137,Lists!$Z:$Z,0)),$AP137))</f>
        <v>Ampol Loyalty &amp; Martech</v>
      </c>
      <c r="AT137" t="str">
        <f>IF(TRIM($B137)="","",IF(IFERROR(INDEX(Lists!$AP$2:$AP$4,MATCH(ROW(),Lists!$AN$2:$AN$4,0)),"")&lt;&gt;"",IFERROR(INDEX(Lists!$AP$2:$AP$4,MATCH(ROW(),Lists!$AN$2:$AN$4,0)),""),IF(OR(LEFT($AJ137,3)="COE",$AJ137="EGI"),$AP137,IF($AR137&lt;&gt;"Squad",$AR137,$AP137))))</f>
        <v>Ampol Loyalty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>
        <f>IF(TRIM($B138)="","",IF(N($AU138)&gt;0,$AU138,IF(N($S138)&gt;0,$S138*Lists!$AG$15*(1+N($Z138)),N($U138)*(1+N($V138)+N($W138)+N($X138)+N($Z138))+N($Y138))))</f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IF(TRIM($B138)="","",IF(IFERROR(INDEX(Lists!$AO$2:$AO$4,MATCH(ROW(),Lists!$AN$2:$AN$4,0)),"")&lt;&gt;"",IFERROR(INDEX(Lists!$AO$2:$AO$4,MATCH(ROW(),Lists!$AN$2:$AN$4,0)),""),IFERROR(INDEX(Lists!$U:$U,MATCH(TRIM($I138),Lists!$T:$T,0)),TRIM($I138))))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",$C138)),"Head of Technology",IF(ISNUMBER(SEARCH("TDD BP",$C138)),"Business Partner",IF(OR(ISNUMBER(SEARCH("domain architect",$C138)),ISNUMBER(SEARCH("enterprise architect",$C138))),"Domain Architect",IF(ISNUMBER(SEARCH("delivery man",$C138)),"Delivery Manager",IF(OR(ISNUMBER(SEARCH("technology manager",$C138)),ISNUMBER(SEARCH("technology manger",$C138)),ISNUMBER(SEARCH("tech manager",$C138))),"Technology Manager","Squad"))))))</f>
        <v>Squad</v>
      </c>
      <c r="AS138" t="str">
        <f>IF(TRIM($B138)="","",IFERROR(INDEX(Lists!$AA:$AA,MATCH($AP138,Lists!$Z:$Z,0)),$AP138))</f>
        <v>Ampol Loyalty &amp; Martech</v>
      </c>
      <c r="AT138" t="str">
        <f>IF(TRIM($B138)="","",IF(IFERROR(INDEX(Lists!$AP$2:$AP$4,MATCH(ROW(),Lists!$AN$2:$AN$4,0)),"")&lt;&gt;"",IFERROR(INDEX(Lists!$AP$2:$AP$4,MATCH(ROW(),Lists!$AN$2:$AN$4,0)),""),IF(OR(LEFT($AJ138,3)="COE",$AJ138="EGI"),$AP138,IF($AR138&lt;&gt;"Squad",$AR138,$AP138))))</f>
        <v>Ampol Loyalty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>
        <f>IF(TRIM($B139)="","",IF(N($AU139)&gt;0,$AU139,IF(N($S139)&gt;0,$S139*Lists!$AG$15*(1+N($Z139)),N($U139)*(1+N($V139)+N($W139)+N($X139)+N($Z139))+N($Y139))))</f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IF(TRIM($B139)="","",IF(IFERROR(INDEX(Lists!$AO$2:$AO$4,MATCH(ROW(),Lists!$AN$2:$AN$4,0)),"")&lt;&gt;"",IFERROR(INDEX(Lists!$AO$2:$AO$4,MATCH(ROW(),Lists!$AN$2:$AN$4,0)),""),IFERROR(INDEX(Lists!$U:$U,MATCH(TRIM($I139),Lists!$T:$T,0)),TRIM($I139))))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",$C139)),"Head of Technology",IF(ISNUMBER(SEARCH("TDD BP",$C139)),"Business Partner",IF(OR(ISNUMBER(SEARCH("domain architect",$C139)),ISNUMBER(SEARCH("enterprise architect",$C139))),"Domain Architect",IF(ISNUMBER(SEARCH("delivery man",$C139)),"Delivery Manager",IF(OR(ISNUMBER(SEARCH("technology manager",$C139)),ISNUMBER(SEARCH("technology manger",$C139)),ISNUMBER(SEARCH("tech manager",$C139))),"Technology Manager","Squad"))))))</f>
        <v>Delivery Manager</v>
      </c>
      <c r="AS139" t="str">
        <f>IF(TRIM($B139)="","",IFERROR(INDEX(Lists!$AA:$AA,MATCH($AP139,Lists!$Z:$Z,0)),$AP139))</f>
        <v>Z Loyalty &amp; Martech</v>
      </c>
      <c r="AT139" t="str">
        <f>IF(TRIM($B139)="","",IF(IFERROR(INDEX(Lists!$AP$2:$AP$4,MATCH(ROW(),Lists!$AN$2:$AN$4,0)),"")&lt;&gt;"",IFERROR(INDEX(Lists!$AP$2:$AP$4,MATCH(ROW(),Lists!$AN$2:$AN$4,0)),""),IF(OR(LEFT($AJ139,3)="COE",$AJ139="EGI"),$AP139,IF($AR139&lt;&gt;"Squad",$AR139,$AP139))))</f>
        <v>Delivery Manager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>
        <f>IF(TRIM($B140)="","",IF(N($AU140)&gt;0,$AU140,IF(N($S140)&gt;0,$S140*Lists!$AG$15*(1+N($Z140)),N($U140)*(1+N($V140)+N($W140)+N($X140)+N($Z140))+N($Y140))))</f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IF(TRIM($B140)="","",IF(IFERROR(INDEX(Lists!$AO$2:$AO$4,MATCH(ROW(),Lists!$AN$2:$AN$4,0)),"")&lt;&gt;"",IFERROR(INDEX(Lists!$AO$2:$AO$4,MATCH(ROW(),Lists!$AN$2:$AN$4,0)),""),IFERROR(INDEX(Lists!$U:$U,MATCH(TRIM($I140),Lists!$T:$T,0)),TRIM($I140))))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",$C140)),"Head of Technology",IF(ISNUMBER(SEARCH("TDD BP",$C140)),"Business Partner",IF(OR(ISNUMBER(SEARCH("domain architect",$C140)),ISNUMBER(SEARCH("enterprise architect",$C140))),"Domain Architect",IF(ISNUMBER(SEARCH("delivery man",$C140)),"Delivery Manager",IF(OR(ISNUMBER(SEARCH("technology manager",$C140)),ISNUMBER(SEARCH("technology manger",$C140)),ISNUMBER(SEARCH("tech manager",$C140))),"Technology Manager","Squad"))))))</f>
        <v>Squad</v>
      </c>
      <c r="AS140" t="str">
        <f>IF(TRIM($B140)="","",IFERROR(INDEX(Lists!$AA:$AA,MATCH($AP140,Lists!$Z:$Z,0)),$AP140))</f>
        <v>Ampol Web</v>
      </c>
      <c r="AT140" t="str">
        <f>IF(TRIM($B140)="","",IF(IFERROR(INDEX(Lists!$AP$2:$AP$4,MATCH(ROW(),Lists!$AN$2:$AN$4,0)),"")&lt;&gt;"",IFERROR(INDEX(Lists!$AP$2:$AP$4,MATCH(ROW(),Lists!$AN$2:$AN$4,0)),""),IF(OR(LEFT($AJ140,3)="COE",$AJ140="EGI"),$AP140,IF($AR140&lt;&gt;"Squad",$AR140,$AP140))))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>
        <f>IF(TRIM($B141)="","",IF(N($AU141)&gt;0,$AU141,IF(N($S141)&gt;0,$S141*Lists!$AG$15*(1+N($Z141)),N($U141)*(1+N($V141)+N($W141)+N($X141)+N($Z141))+N($Y141))))</f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IF(TRIM($B141)="","",IF(IFERROR(INDEX(Lists!$AO$2:$AO$4,MATCH(ROW(),Lists!$AN$2:$AN$4,0)),"")&lt;&gt;"",IFERROR(INDEX(Lists!$AO$2:$AO$4,MATCH(ROW(),Lists!$AN$2:$AN$4,0)),""),IFERROR(INDEX(Lists!$U:$U,MATCH(TRIM($I141),Lists!$T:$T,0)),TRIM($I141))))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",$C141)),"Head of Technology",IF(ISNUMBER(SEARCH("TDD BP",$C141)),"Business Partner",IF(OR(ISNUMBER(SEARCH("domain architect",$C141)),ISNUMBER(SEARCH("enterprise architect",$C141))),"Domain Architect",IF(ISNUMBER(SEARCH("delivery man",$C141)),"Delivery Manager",IF(OR(ISNUMBER(SEARCH("technology manager",$C141)),ISNUMBER(SEARCH("technology manger",$C141)),ISNUMBER(SEARCH("tech manager",$C141))),"Technology Manager","Squad"))))))</f>
        <v>Squad</v>
      </c>
      <c r="AS141" t="str">
        <f>IF(TRIM($B141)="","",IFERROR(INDEX(Lists!$AA:$AA,MATCH($AP141,Lists!$Z:$Z,0)),$AP141))</f>
        <v>Ampol Web</v>
      </c>
      <c r="AT141" t="str">
        <f>IF(TRIM($B141)="","",IF(IFERROR(INDEX(Lists!$AP$2:$AP$4,MATCH(ROW(),Lists!$AN$2:$AN$4,0)),"")&lt;&gt;"",IFERROR(INDEX(Lists!$AP$2:$AP$4,MATCH(ROW(),Lists!$AN$2:$AN$4,0)),""),IF(OR(LEFT($AJ141,3)="COE",$AJ141="EGI"),$AP141,IF($AR141&lt;&gt;"Squad",$AR141,$AP141))))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>
        <f>IF(TRIM($B142)="","",IF(N($AU142)&gt;0,$AU142,IF(N($S142)&gt;0,$S142*Lists!$AG$15*(1+N($Z142)),N($U142)*(1+N($V142)+N($W142)+N($X142)+N($Z142))+N($Y142))))</f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IF(TRIM($B142)="","",IF(IFERROR(INDEX(Lists!$AO$2:$AO$4,MATCH(ROW(),Lists!$AN$2:$AN$4,0)),"")&lt;&gt;"",IFERROR(INDEX(Lists!$AO$2:$AO$4,MATCH(ROW(),Lists!$AN$2:$AN$4,0)),""),IFERROR(INDEX(Lists!$U:$U,MATCH(TRIM($I142),Lists!$T:$T,0)),TRIM($I142))))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",$C142)),"Head of Technology",IF(ISNUMBER(SEARCH("TDD BP",$C142)),"Business Partner",IF(OR(ISNUMBER(SEARCH("domain architect",$C142)),ISNUMBER(SEARCH("enterprise architect",$C142))),"Domain Architect",IF(ISNUMBER(SEARCH("delivery man",$C142)),"Delivery Manager",IF(OR(ISNUMBER(SEARCH("technology manager",$C142)),ISNUMBER(SEARCH("technology manger",$C142)),ISNUMBER(SEARCH("tech manager",$C142))),"Technology Manager","Squad"))))))</f>
        <v>Squad</v>
      </c>
      <c r="AS142" t="str">
        <f>IF(TRIM($B142)="","",IFERROR(INDEX(Lists!$AA:$AA,MATCH($AP142,Lists!$Z:$Z,0)),$AP142))</f>
        <v>Z Loyalty &amp; Martech</v>
      </c>
      <c r="AT142" t="str">
        <f>IF(TRIM($B142)="","",IF(IFERROR(INDEX(Lists!$AP$2:$AP$4,MATCH(ROW(),Lists!$AN$2:$AN$4,0)),"")&lt;&gt;"",IFERROR(INDEX(Lists!$AP$2:$AP$4,MATCH(ROW(),Lists!$AN$2:$AN$4,0)),""),IF(OR(LEFT($AJ142,3)="COE",$AJ142="EGI"),$AP142,IF($AR142&lt;&gt;"Squad",$AR142,$AP142))))</f>
        <v>Z Loyalty &amp;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>
        <f>IF(TRIM($B143)="","",IF(N($AU143)&gt;0,$AU143,IF(N($S143)&gt;0,$S143*Lists!$AG$15*(1+N($Z143)),N($U143)*(1+N($V143)+N($W143)+N($X143)+N($Z143))+N($Y143))))</f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IF(TRIM($B143)="","",IF(IFERROR(INDEX(Lists!$AO$2:$AO$4,MATCH(ROW(),Lists!$AN$2:$AN$4,0)),"")&lt;&gt;"",IFERROR(INDEX(Lists!$AO$2:$AO$4,MATCH(ROW(),Lists!$AN$2:$AN$4,0)),""),IFERROR(INDEX(Lists!$U:$U,MATCH(TRIM($I143),Lists!$T:$T,0)),TRIM($I143))))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",$C143)),"Head of Technology",IF(ISNUMBER(SEARCH("TDD BP",$C143)),"Business Partner",IF(OR(ISNUMBER(SEARCH("domain architect",$C143)),ISNUMBER(SEARCH("enterprise architect",$C143))),"Domain Architect",IF(ISNUMBER(SEARCH("delivery man",$C143)),"Delivery Manager",IF(OR(ISNUMBER(SEARCH("technology manager",$C143)),ISNUMBER(SEARCH("technology manger",$C143)),ISNUMBER(SEARCH("tech manager",$C143))),"Technology Manager","Squad"))))))</f>
        <v>Squad</v>
      </c>
      <c r="AS143" t="str">
        <f>IF(TRIM($B143)="","",IFERROR(INDEX(Lists!$AA:$AA,MATCH($AP143,Lists!$Z:$Z,0)),$AP143))</f>
        <v>Z Loyalty &amp; Martech</v>
      </c>
      <c r="AT143" t="str">
        <f>IF(TRIM($B143)="","",IF(IFERROR(INDEX(Lists!$AP$2:$AP$4,MATCH(ROW(),Lists!$AN$2:$AN$4,0)),"")&lt;&gt;"",IFERROR(INDEX(Lists!$AP$2:$AP$4,MATCH(ROW(),Lists!$AN$2:$AN$4,0)),""),IF(OR(LEFT($AJ143,3)="COE",$AJ143="EGI"),$AP143,IF($AR143&lt;&gt;"Squad",$AR143,$AP143))))</f>
        <v>Z Loyalty &amp;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>
        <f>IF(TRIM($B144)="","",IF(N($AU144)&gt;0,$AU144,IF(N($S144)&gt;0,$S144*Lists!$AG$15*(1+N($Z144)),N($U144)*(1+N($V144)+N($W144)+N($X144)+N($Z144))+N($Y144))))</f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IF(TRIM($B144)="","",IF(IFERROR(INDEX(Lists!$AO$2:$AO$4,MATCH(ROW(),Lists!$AN$2:$AN$4,0)),"")&lt;&gt;"",IFERROR(INDEX(Lists!$AO$2:$AO$4,MATCH(ROW(),Lists!$AN$2:$AN$4,0)),""),IFERROR(INDEX(Lists!$U:$U,MATCH(TRIM($I144),Lists!$T:$T,0)),TRIM($I144))))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",$C144)),"Head of Technology",IF(ISNUMBER(SEARCH("TDD BP",$C144)),"Business Partner",IF(OR(ISNUMBER(SEARCH("domain architect",$C144)),ISNUMBER(SEARCH("enterprise architect",$C144))),"Domain Architect",IF(ISNUMBER(SEARCH("delivery man",$C144)),"Delivery Manager",IF(OR(ISNUMBER(SEARCH("technology manager",$C144)),ISNUMBER(SEARCH("technology manger",$C144)),ISNUMBER(SEARCH("tech manager",$C144))),"Technology Manager","Squad"))))))</f>
        <v>Squad</v>
      </c>
      <c r="AS144" t="str">
        <f>IF(TRIM($B144)="","",IFERROR(INDEX(Lists!$AA:$AA,MATCH($AP144,Lists!$Z:$Z,0)),$AP144))</f>
        <v>Z Loyalty &amp; Martech</v>
      </c>
      <c r="AT144" t="str">
        <f>IF(TRIM($B144)="","",IF(IFERROR(INDEX(Lists!$AP$2:$AP$4,MATCH(ROW(),Lists!$AN$2:$AN$4,0)),"")&lt;&gt;"",IFERROR(INDEX(Lists!$AP$2:$AP$4,MATCH(ROW(),Lists!$AN$2:$AN$4,0)),""),IF(OR(LEFT($AJ144,3)="COE",$AJ144="EGI"),$AP144,IF($AR144&lt;&gt;"Squad",$AR144,$AP144))))</f>
        <v>Z Loyalty &amp;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>
        <f>IF(TRIM($B145)="","",IF(N($AU145)&gt;0,$AU145,IF(N($S145)&gt;0,$S145*Lists!$AG$15*(1+N($Z145)),N($U145)*(1+N($V145)+N($W145)+N($X145)+N($Z145))+N($Y145))))</f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IF(TRIM($B145)="","",IF(IFERROR(INDEX(Lists!$AO$2:$AO$4,MATCH(ROW(),Lists!$AN$2:$AN$4,0)),"")&lt;&gt;"",IFERROR(INDEX(Lists!$AO$2:$AO$4,MATCH(ROW(),Lists!$AN$2:$AN$4,0)),""),IFERROR(INDEX(Lists!$U:$U,MATCH(TRIM($I145),Lists!$T:$T,0)),TRIM($I145))))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",$C145)),"Head of Technology",IF(ISNUMBER(SEARCH("TDD BP",$C145)),"Business Partner",IF(OR(ISNUMBER(SEARCH("domain architect",$C145)),ISNUMBER(SEARCH("enterprise architect",$C145))),"Domain Architect",IF(ISNUMBER(SEARCH("delivery man",$C145)),"Delivery Manager",IF(OR(ISNUMBER(SEARCH("technology manager",$C145)),ISNUMBER(SEARCH("technology manger",$C145)),ISNUMBER(SEARCH("tech manager",$C145))),"Technology Manager","Squad"))))))</f>
        <v>Squad</v>
      </c>
      <c r="AS145" t="str">
        <f>IF(TRIM($B145)="","",IFERROR(INDEX(Lists!$AA:$AA,MATCH($AP145,Lists!$Z:$Z,0)),$AP145))</f>
        <v>Ampol App</v>
      </c>
      <c r="AT145" t="str">
        <f>IF(TRIM($B145)="","",IF(IFERROR(INDEX(Lists!$AP$2:$AP$4,MATCH(ROW(),Lists!$AN$2:$AN$4,0)),"")&lt;&gt;"",IFERROR(INDEX(Lists!$AP$2:$AP$4,MATCH(ROW(),Lists!$AN$2:$AN$4,0)),""),IF(OR(LEFT($AJ145,3)="COE",$AJ145="EGI"),$AP145,IF($AR145&lt;&gt;"Squad",$AR145,$AP145))))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>
        <f>IF(TRIM($B146)="","",IF(N($AU146)&gt;0,$AU146,IF(N($S146)&gt;0,$S146*Lists!$AG$15*(1+N($Z146)),N($U146)*(1+N($V146)+N($W146)+N($X146)+N($Z146))+N($Y146))))</f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IF(TRIM($B146)="","",IF(IFERROR(INDEX(Lists!$AO$2:$AO$4,MATCH(ROW(),Lists!$AN$2:$AN$4,0)),"")&lt;&gt;"",IFERROR(INDEX(Lists!$AO$2:$AO$4,MATCH(ROW(),Lists!$AN$2:$AN$4,0)),""),IFERROR(INDEX(Lists!$U:$U,MATCH(TRIM($I146),Lists!$T:$T,0)),TRIM($I146))))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",$C146)),"Head of Technology",IF(ISNUMBER(SEARCH("TDD BP",$C146)),"Business Partner",IF(OR(ISNUMBER(SEARCH("domain architect",$C146)),ISNUMBER(SEARCH("enterprise architect",$C146))),"Domain Architect",IF(ISNUMBER(SEARCH("delivery man",$C146)),"Delivery Manager",IF(OR(ISNUMBER(SEARCH("technology manager",$C146)),ISNUMBER(SEARCH("technology manger",$C146)),ISNUMBER(SEARCH("tech manager",$C146))),"Technology Manager","Squad"))))))</f>
        <v>Squad</v>
      </c>
      <c r="AS146" t="str">
        <f>IF(TRIM($B146)="","",IFERROR(INDEX(Lists!$AA:$AA,MATCH($AP146,Lists!$Z:$Z,0)),$AP146))</f>
        <v>Z Loyalty &amp; Martech</v>
      </c>
      <c r="AT146" t="str">
        <f>IF(TRIM($B146)="","",IF(IFERROR(INDEX(Lists!$AP$2:$AP$4,MATCH(ROW(),Lists!$AN$2:$AN$4,0)),"")&lt;&gt;"",IFERROR(INDEX(Lists!$AP$2:$AP$4,MATCH(ROW(),Lists!$AN$2:$AN$4,0)),""),IF(OR(LEFT($AJ146,3)="COE",$AJ146="EGI"),$AP146,IF($AR146&lt;&gt;"Squad",$AR146,$AP146))))</f>
        <v>Z Loyalty &amp;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>
        <f>IF(TRIM($B147)="","",IF(N($AU147)&gt;0,$AU147,IF(N($S147)&gt;0,$S147*Lists!$AG$15*(1+N($Z147)),N($U147)*(1+N($V147)+N($W147)+N($X147)+N($Z147))+N($Y147))))</f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IF(TRIM($B147)="","",IF(IFERROR(INDEX(Lists!$AO$2:$AO$4,MATCH(ROW(),Lists!$AN$2:$AN$4,0)),"")&lt;&gt;"",IFERROR(INDEX(Lists!$AO$2:$AO$4,MATCH(ROW(),Lists!$AN$2:$AN$4,0)),""),IFERROR(INDEX(Lists!$U:$U,MATCH(TRIM($I147),Lists!$T:$T,0)),TRIM($I147))))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",$C147)),"Head of Technology",IF(ISNUMBER(SEARCH("TDD BP",$C147)),"Business Partner",IF(OR(ISNUMBER(SEARCH("domain architect",$C147)),ISNUMBER(SEARCH("enterprise architect",$C147))),"Domain Architect",IF(ISNUMBER(SEARCH("delivery man",$C147)),"Delivery Manager",IF(OR(ISNUMBER(SEARCH("technology manager",$C147)),ISNUMBER(SEARCH("technology manger",$C147)),ISNUMBER(SEARCH("tech manager",$C147))),"Technology Manager","Squad"))))))</f>
        <v>Technology Manager</v>
      </c>
      <c r="AS147" t="str">
        <f>IF(TRIM($B147)="","",IFERROR(INDEX(Lists!$AA:$AA,MATCH($AP147,Lists!$Z:$Z,0)),$AP147))</f>
        <v>Leadership</v>
      </c>
      <c r="AT147" t="str">
        <f>IF(TRIM($B147)="","",IF(IFERROR(INDEX(Lists!$AP$2:$AP$4,MATCH(ROW(),Lists!$AN$2:$AN$4,0)),"")&lt;&gt;"",IFERROR(INDEX(Lists!$AP$2:$AP$4,MATCH(ROW(),Lists!$AN$2:$AN$4,0)),""),IF(OR(LEFT($AJ147,3)="COE",$AJ147="EGI"),$AP147,IF($AR147&lt;&gt;"Squad",$AR147,$AP147))))</f>
        <v>Technology Manager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>
        <f>IF(TRIM($B148)="","",IF(N($AU148)&gt;0,$AU148,IF(N($S148)&gt;0,$S148*Lists!$AG$15*(1+N($Z148)),N($U148)*(1+N($V148)+N($W148)+N($X148)+N($Z148))+N($Y148))))</f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IF(TRIM($B148)="","",IF(IFERROR(INDEX(Lists!$AO$2:$AO$4,MATCH(ROW(),Lists!$AN$2:$AN$4,0)),"")&lt;&gt;"",IFERROR(INDEX(Lists!$AO$2:$AO$4,MATCH(ROW(),Lists!$AN$2:$AN$4,0)),""),IFERROR(INDEX(Lists!$U:$U,MATCH(TRIM($I148),Lists!$T:$T,0)),TRIM($I148))))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",$C148)),"Head of Technology",IF(ISNUMBER(SEARCH("TDD BP",$C148)),"Business Partner",IF(OR(ISNUMBER(SEARCH("domain architect",$C148)),ISNUMBER(SEARCH("enterprise architect",$C148))),"Domain Architect",IF(ISNUMBER(SEARCH("delivery man",$C148)),"Delivery Manager",IF(OR(ISNUMBER(SEARCH("technology manager",$C148)),ISNUMBER(SEARCH("technology manger",$C148)),ISNUMBER(SEARCH("tech manager",$C148))),"Technology Manager","Squad"))))))</f>
        <v>Squad</v>
      </c>
      <c r="AS148" t="str">
        <f>IF(TRIM($B148)="","",IFERROR(INDEX(Lists!$AA:$AA,MATCH($AP148,Lists!$Z:$Z,0)),$AP148))</f>
        <v>Ampol Web</v>
      </c>
      <c r="AT148" t="str">
        <f>IF(TRIM($B148)="","",IF(IFERROR(INDEX(Lists!$AP$2:$AP$4,MATCH(ROW(),Lists!$AN$2:$AN$4,0)),"")&lt;&gt;"",IFERROR(INDEX(Lists!$AP$2:$AP$4,MATCH(ROW(),Lists!$AN$2:$AN$4,0)),""),IF(OR(LEFT($AJ148,3)="COE",$AJ148="EGI"),$AP148,IF($AR148&lt;&gt;"Squad",$AR148,$AP148))))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>
        <f>IF(TRIM($B149)="","",IF(N($AU149)&gt;0,$AU149,IF(N($S149)&gt;0,$S149*Lists!$AG$15*(1+N($Z149)),N($U149)*(1+N($V149)+N($W149)+N($X149)+N($Z149))+N($Y149))))</f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IF(TRIM($B149)="","",IF(IFERROR(INDEX(Lists!$AO$2:$AO$4,MATCH(ROW(),Lists!$AN$2:$AN$4,0)),"")&lt;&gt;"",IFERROR(INDEX(Lists!$AO$2:$AO$4,MATCH(ROW(),Lists!$AN$2:$AN$4,0)),""),IFERROR(INDEX(Lists!$U:$U,MATCH(TRIM($I149),Lists!$T:$T,0)),TRIM($I149))))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",$C149)),"Head of Technology",IF(ISNUMBER(SEARCH("TDD BP",$C149)),"Business Partner",IF(OR(ISNUMBER(SEARCH("domain architect",$C149)),ISNUMBER(SEARCH("enterprise architect",$C149))),"Domain Architect",IF(ISNUMBER(SEARCH("delivery man",$C149)),"Delivery Manager",IF(OR(ISNUMBER(SEARCH("technology manager",$C149)),ISNUMBER(SEARCH("technology manger",$C149)),ISNUMBER(SEARCH("tech manager",$C149))),"Technology Manager","Squad"))))))</f>
        <v>Squad</v>
      </c>
      <c r="AS149" t="str">
        <f>IF(TRIM($B149)="","",IFERROR(INDEX(Lists!$AA:$AA,MATCH($AP149,Lists!$Z:$Z,0)),$AP149))</f>
        <v>Ampol App</v>
      </c>
      <c r="AT149" t="str">
        <f>IF(TRIM($B149)="","",IF(IFERROR(INDEX(Lists!$AP$2:$AP$4,MATCH(ROW(),Lists!$AN$2:$AN$4,0)),"")&lt;&gt;"",IFERROR(INDEX(Lists!$AP$2:$AP$4,MATCH(ROW(),Lists!$AN$2:$AN$4,0)),""),IF(OR(LEFT($AJ149,3)="COE",$AJ149="EGI"),$AP149,IF($AR149&lt;&gt;"Squad",$AR149,$AP149))))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>
        <f>IF(TRIM($B150)="","",IF(N($AU150)&gt;0,$AU150,IF(N($S150)&gt;0,$S150*Lists!$AG$15*(1+N($Z150)),N($U150)*(1+N($V150)+N($W150)+N($X150)+N($Z150))+N($Y150))))</f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IF(TRIM($B150)="","",IF(IFERROR(INDEX(Lists!$AO$2:$AO$4,MATCH(ROW(),Lists!$AN$2:$AN$4,0)),"")&lt;&gt;"",IFERROR(INDEX(Lists!$AO$2:$AO$4,MATCH(ROW(),Lists!$AN$2:$AN$4,0)),""),IFERROR(INDEX(Lists!$U:$U,MATCH(TRIM($I150),Lists!$T:$T,0)),TRIM($I150))))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",$C150)),"Head of Technology",IF(ISNUMBER(SEARCH("TDD BP",$C150)),"Business Partner",IF(OR(ISNUMBER(SEARCH("domain architect",$C150)),ISNUMBER(SEARCH("enterprise architect",$C150))),"Domain Architect",IF(ISNUMBER(SEARCH("delivery man",$C150)),"Delivery Manager",IF(OR(ISNUMBER(SEARCH("technology manager",$C150)),ISNUMBER(SEARCH("technology manger",$C150)),ISNUMBER(SEARCH("tech manager",$C150))),"Technology Manager","Squad"))))))</f>
        <v>Squad</v>
      </c>
      <c r="AS150" t="str">
        <f>IF(TRIM($B150)="","",IFERROR(INDEX(Lists!$AA:$AA,MATCH($AP150,Lists!$Z:$Z,0)),$AP150))</f>
        <v>Digital Operations</v>
      </c>
      <c r="AT150" t="str">
        <f>IF(TRIM($B150)="","",IF(IFERROR(INDEX(Lists!$AP$2:$AP$4,MATCH(ROW(),Lists!$AN$2:$AN$4,0)),"")&lt;&gt;"",IFERROR(INDEX(Lists!$AP$2:$AP$4,MATCH(ROW(),Lists!$AN$2:$AN$4,0)),""),IF(OR(LEFT($AJ150,3)="COE",$AJ150="EGI"),$AP150,IF($AR150&lt;&gt;"Squad",$AR150,$AP150))))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>
        <f>IF(TRIM($B151)="","",IF(N($AU151)&gt;0,$AU151,IF(N($S151)&gt;0,$S151*Lists!$AG$15*(1+N($Z151)),N($U151)*(1+N($V151)+N($W151)+N($X151)+N($Z151))+N($Y151))))</f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IF(TRIM($B151)="","",IF(IFERROR(INDEX(Lists!$AO$2:$AO$4,MATCH(ROW(),Lists!$AN$2:$AN$4,0)),"")&lt;&gt;"",IFERROR(INDEX(Lists!$AO$2:$AO$4,MATCH(ROW(),Lists!$AN$2:$AN$4,0)),""),IFERROR(INDEX(Lists!$U:$U,MATCH(TRIM($I151),Lists!$T:$T,0)),TRIM($I151))))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",$C151)),"Head of Technology",IF(ISNUMBER(SEARCH("TDD BP",$C151)),"Business Partner",IF(OR(ISNUMBER(SEARCH("domain architect",$C151)),ISNUMBER(SEARCH("enterprise architect",$C151))),"Domain Architect",IF(ISNUMBER(SEARCH("delivery man",$C151)),"Delivery Manager",IF(OR(ISNUMBER(SEARCH("technology manager",$C151)),ISNUMBER(SEARCH("technology manger",$C151)),ISNUMBER(SEARCH("tech manager",$C151))),"Technology Manager","Squad"))))))</f>
        <v>Squad</v>
      </c>
      <c r="AS151" t="str">
        <f>IF(TRIM($B151)="","",IFERROR(INDEX(Lists!$AA:$AA,MATCH($AP151,Lists!$Z:$Z,0)),$AP151))</f>
        <v>Z Loyalty &amp; Martech</v>
      </c>
      <c r="AT151" t="str">
        <f>IF(TRIM($B151)="","",IF(IFERROR(INDEX(Lists!$AP$2:$AP$4,MATCH(ROW(),Lists!$AN$2:$AN$4,0)),"")&lt;&gt;"",IFERROR(INDEX(Lists!$AP$2:$AP$4,MATCH(ROW(),Lists!$AN$2:$AN$4,0)),""),IF(OR(LEFT($AJ151,3)="COE",$AJ151="EGI"),$AP151,IF($AR151&lt;&gt;"Squad",$AR151,$AP151))))</f>
        <v>Z Loyalty &amp;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>
        <f>IF(TRIM($B152)="","",IF(N($AU152)&gt;0,$AU152,IF(N($S152)&gt;0,$S152*Lists!$AG$15*(1+N($Z152)),N($U152)*(1+N($V152)+N($W152)+N($X152)+N($Z152))+N($Y152))))</f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IF(TRIM($B152)="","",IF(IFERROR(INDEX(Lists!$AO$2:$AO$4,MATCH(ROW(),Lists!$AN$2:$AN$4,0)),"")&lt;&gt;"",IFERROR(INDEX(Lists!$AO$2:$AO$4,MATCH(ROW(),Lists!$AN$2:$AN$4,0)),""),IFERROR(INDEX(Lists!$U:$U,MATCH(TRIM($I152),Lists!$T:$T,0)),TRIM($I152))))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",$C152)),"Head of Technology",IF(ISNUMBER(SEARCH("TDD BP",$C152)),"Business Partner",IF(OR(ISNUMBER(SEARCH("domain architect",$C152)),ISNUMBER(SEARCH("enterprise architect",$C152))),"Domain Architect",IF(ISNUMBER(SEARCH("delivery man",$C152)),"Delivery Manager",IF(OR(ISNUMBER(SEARCH("technology manager",$C152)),ISNUMBER(SEARCH("technology manger",$C152)),ISNUMBER(SEARCH("tech manager",$C152))),"Technology Manager","Squad"))))))</f>
        <v>Technology Manager</v>
      </c>
      <c r="AS152" t="str">
        <f>IF(TRIM($B152)="","",IFERROR(INDEX(Lists!$AA:$AA,MATCH($AP152,Lists!$Z:$Z,0)),$AP152))</f>
        <v>Leadership</v>
      </c>
      <c r="AT152" t="str">
        <f>IF(TRIM($B152)="","",IF(IFERROR(INDEX(Lists!$AP$2:$AP$4,MATCH(ROW(),Lists!$AN$2:$AN$4,0)),"")&lt;&gt;"",IFERROR(INDEX(Lists!$AP$2:$AP$4,MATCH(ROW(),Lists!$AN$2:$AN$4,0)),""),IF(OR(LEFT($AJ152,3)="COE",$AJ152="EGI"),$AP152,IF($AR152&lt;&gt;"Squad",$AR152,$AP152))))</f>
        <v>Technology Manager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>
        <f>IF(TRIM($B153)="","",IF(N($AU153)&gt;0,$AU153,IF(N($S153)&gt;0,$S153*Lists!$AG$15*(1+N($Z153)),N($U153)*(1+N($V153)+N($W153)+N($X153)+N($Z153))+N($Y153))))</f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IF(TRIM($B153)="","",IF(IFERROR(INDEX(Lists!$AO$2:$AO$4,MATCH(ROW(),Lists!$AN$2:$AN$4,0)),"")&lt;&gt;"",IFERROR(INDEX(Lists!$AO$2:$AO$4,MATCH(ROW(),Lists!$AN$2:$AN$4,0)),""),IFERROR(INDEX(Lists!$U:$U,MATCH(TRIM($I153),Lists!$T:$T,0)),TRIM($I153))))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",$C153)),"Head of Technology",IF(ISNUMBER(SEARCH("TDD BP",$C153)),"Business Partner",IF(OR(ISNUMBER(SEARCH("domain architect",$C153)),ISNUMBER(SEARCH("enterprise architect",$C153))),"Domain Architect",IF(ISNUMBER(SEARCH("delivery man",$C153)),"Delivery Manager",IF(OR(ISNUMBER(SEARCH("technology manager",$C153)),ISNUMBER(SEARCH("technology manger",$C153)),ISNUMBER(SEARCH("tech manager",$C153))),"Technology Manager","Squad"))))))</f>
        <v>Squad</v>
      </c>
      <c r="AS153" t="str">
        <f>IF(TRIM($B153)="","",IFERROR(INDEX(Lists!$AA:$AA,MATCH($AP153,Lists!$Z:$Z,0)),$AP153))</f>
        <v>Z Loyalty &amp; Martech</v>
      </c>
      <c r="AT153" t="str">
        <f>IF(TRIM($B153)="","",IF(IFERROR(INDEX(Lists!$AP$2:$AP$4,MATCH(ROW(),Lists!$AN$2:$AN$4,0)),"")&lt;&gt;"",IFERROR(INDEX(Lists!$AP$2:$AP$4,MATCH(ROW(),Lists!$AN$2:$AN$4,0)),""),IF(OR(LEFT($AJ153,3)="COE",$AJ153="EGI"),$AP153,IF($AR153&lt;&gt;"Squad",$AR153,$AP153))))</f>
        <v>Z Loyalty &amp;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>
        <f>IF(TRIM($B154)="","",IF(N($AU154)&gt;0,$AU154,IF(N($S154)&gt;0,$S154*Lists!$AG$15*(1+N($Z154)),N($U154)*(1+N($V154)+N($W154)+N($X154)+N($Z154))+N($Y154))))</f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IF(TRIM($B154)="","",IF(IFERROR(INDEX(Lists!$AO$2:$AO$4,MATCH(ROW(),Lists!$AN$2:$AN$4,0)),"")&lt;&gt;"",IFERROR(INDEX(Lists!$AO$2:$AO$4,MATCH(ROW(),Lists!$AN$2:$AN$4,0)),""),IFERROR(INDEX(Lists!$U:$U,MATCH(TRIM($I154),Lists!$T:$T,0)),TRIM($I154))))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",$C154)),"Head of Technology",IF(ISNUMBER(SEARCH("TDD BP",$C154)),"Business Partner",IF(OR(ISNUMBER(SEARCH("domain architect",$C154)),ISNUMBER(SEARCH("enterprise architect",$C154))),"Domain Architect",IF(ISNUMBER(SEARCH("delivery man",$C154)),"Delivery Manager",IF(OR(ISNUMBER(SEARCH("technology manager",$C154)),ISNUMBER(SEARCH("technology manger",$C154)),ISNUMBER(SEARCH("tech manager",$C154))),"Technology Manager","Squad"))))))</f>
        <v>Squad</v>
      </c>
      <c r="AS154" t="str">
        <f>IF(TRIM($B154)="","",IFERROR(INDEX(Lists!$AA:$AA,MATCH($AP154,Lists!$Z:$Z,0)),$AP154))</f>
        <v>Ampol App</v>
      </c>
      <c r="AT154" t="str">
        <f>IF(TRIM($B154)="","",IF(IFERROR(INDEX(Lists!$AP$2:$AP$4,MATCH(ROW(),Lists!$AN$2:$AN$4,0)),"")&lt;&gt;"",IFERROR(INDEX(Lists!$AP$2:$AP$4,MATCH(ROW(),Lists!$AN$2:$AN$4,0)),""),IF(OR(LEFT($AJ154,3)="COE",$AJ154="EGI"),$AP154,IF($AR154&lt;&gt;"Squad",$AR154,$AP154))))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>
        <f>IF(TRIM($B155)="","",IF(N($AU155)&gt;0,$AU155,IF(N($S155)&gt;0,$S155*Lists!$AG$15*(1+N($Z155)),N($U155)*(1+N($V155)+N($W155)+N($X155)+N($Z155))+N($Y155))))</f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IF(TRIM($B155)="","",IF(IFERROR(INDEX(Lists!$AO$2:$AO$4,MATCH(ROW(),Lists!$AN$2:$AN$4,0)),"")&lt;&gt;"",IFERROR(INDEX(Lists!$AO$2:$AO$4,MATCH(ROW(),Lists!$AN$2:$AN$4,0)),""),IFERROR(INDEX(Lists!$U:$U,MATCH(TRIM($I155),Lists!$T:$T,0)),TRIM($I155))))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",$C155)),"Head of Technology",IF(ISNUMBER(SEARCH("TDD BP",$C155)),"Business Partner",IF(OR(ISNUMBER(SEARCH("domain architect",$C155)),ISNUMBER(SEARCH("enterprise architect",$C155))),"Domain Architect",IF(ISNUMBER(SEARCH("delivery man",$C155)),"Delivery Manager",IF(OR(ISNUMBER(SEARCH("technology manager",$C155)),ISNUMBER(SEARCH("technology manger",$C155)),ISNUMBER(SEARCH("tech manager",$C155))),"Technology Manager","Squad"))))))</f>
        <v>Squad</v>
      </c>
      <c r="AS155" t="str">
        <f>IF(TRIM($B155)="","",IFERROR(INDEX(Lists!$AA:$AA,MATCH($AP155,Lists!$Z:$Z,0)),$AP155))</f>
        <v>Ampol App</v>
      </c>
      <c r="AT155" t="str">
        <f>IF(TRIM($B155)="","",IF(IFERROR(INDEX(Lists!$AP$2:$AP$4,MATCH(ROW(),Lists!$AN$2:$AN$4,0)),"")&lt;&gt;"",IFERROR(INDEX(Lists!$AP$2:$AP$4,MATCH(ROW(),Lists!$AN$2:$AN$4,0)),""),IF(OR(LEFT($AJ155,3)="COE",$AJ155="EGI"),$AP155,IF($AR155&lt;&gt;"Squad",$AR155,$AP155))))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>
        <f>IF(TRIM($B156)="","",IF(N($AU156)&gt;0,$AU156,IF(N($S156)&gt;0,$S156*Lists!$AG$15*(1+N($Z156)),N($U156)*(1+N($V156)+N($W156)+N($X156)+N($Z156))+N($Y156))))</f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IF(TRIM($B156)="","",IF(IFERROR(INDEX(Lists!$AO$2:$AO$4,MATCH(ROW(),Lists!$AN$2:$AN$4,0)),"")&lt;&gt;"",IFERROR(INDEX(Lists!$AO$2:$AO$4,MATCH(ROW(),Lists!$AN$2:$AN$4,0)),""),IFERROR(INDEX(Lists!$U:$U,MATCH(TRIM($I156),Lists!$T:$T,0)),TRIM($I156))))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",$C156)),"Head of Technology",IF(ISNUMBER(SEARCH("TDD BP",$C156)),"Business Partner",IF(OR(ISNUMBER(SEARCH("domain architect",$C156)),ISNUMBER(SEARCH("enterprise architect",$C156))),"Domain Architect",IF(ISNUMBER(SEARCH("delivery man",$C156)),"Delivery Manager",IF(OR(ISNUMBER(SEARCH("technology manager",$C156)),ISNUMBER(SEARCH("technology manger",$C156)),ISNUMBER(SEARCH("tech manager",$C156))),"Technology Manager","Squad"))))))</f>
        <v>Squad</v>
      </c>
      <c r="AS156" t="str">
        <f>IF(TRIM($B156)="","",IFERROR(INDEX(Lists!$AA:$AA,MATCH($AP156,Lists!$Z:$Z,0)),$AP156))</f>
        <v>Ampol App</v>
      </c>
      <c r="AT156" t="str">
        <f>IF(TRIM($B156)="","",IF(IFERROR(INDEX(Lists!$AP$2:$AP$4,MATCH(ROW(),Lists!$AN$2:$AN$4,0)),"")&lt;&gt;"",IFERROR(INDEX(Lists!$AP$2:$AP$4,MATCH(ROW(),Lists!$AN$2:$AN$4,0)),""),IF(OR(LEFT($AJ156,3)="COE",$AJ156="EGI"),$AP156,IF($AR156&lt;&gt;"Squad",$AR156,$AP156))))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>
        <f>IF(TRIM($B157)="","",IF(N($AU157)&gt;0,$AU157,IF(N($S157)&gt;0,$S157*Lists!$AG$15*(1+N($Z157)),N($U157)*(1+N($V157)+N($W157)+N($X157)+N($Z157))+N($Y157))))</f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IF(TRIM($B157)="","",IF(IFERROR(INDEX(Lists!$AO$2:$AO$4,MATCH(ROW(),Lists!$AN$2:$AN$4,0)),"")&lt;&gt;"",IFERROR(INDEX(Lists!$AO$2:$AO$4,MATCH(ROW(),Lists!$AN$2:$AN$4,0)),""),IFERROR(INDEX(Lists!$U:$U,MATCH(TRIM($I157),Lists!$T:$T,0)),TRIM($I157))))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",$C157)),"Head of Technology",IF(ISNUMBER(SEARCH("TDD BP",$C157)),"Business Partner",IF(OR(ISNUMBER(SEARCH("domain architect",$C157)),ISNUMBER(SEARCH("enterprise architect",$C157))),"Domain Architect",IF(ISNUMBER(SEARCH("delivery man",$C157)),"Delivery Manager",IF(OR(ISNUMBER(SEARCH("technology manager",$C157)),ISNUMBER(SEARCH("technology manger",$C157)),ISNUMBER(SEARCH("tech manager",$C157))),"Technology Manager","Squad"))))))</f>
        <v>Squad</v>
      </c>
      <c r="AS157" t="str">
        <f>IF(TRIM($B157)="","",IFERROR(INDEX(Lists!$AA:$AA,MATCH($AP157,Lists!$Z:$Z,0)),$AP157))</f>
        <v>Ampol App</v>
      </c>
      <c r="AT157" t="str">
        <f>IF(TRIM($B157)="","",IF(IFERROR(INDEX(Lists!$AP$2:$AP$4,MATCH(ROW(),Lists!$AN$2:$AN$4,0)),"")&lt;&gt;"",IFERROR(INDEX(Lists!$AP$2:$AP$4,MATCH(ROW(),Lists!$AN$2:$AN$4,0)),""),IF(OR(LEFT($AJ157,3)="COE",$AJ157="EGI"),$AP157,IF($AR157&lt;&gt;"Squad",$AR157,$AP157))))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>
        <f>IF(TRIM($B158)="","",IF(N($AU158)&gt;0,$AU158,IF(N($S158)&gt;0,$S158*Lists!$AG$15*(1+N($Z158)),N($U158)*(1+N($V158)+N($W158)+N($X158)+N($Z158))+N($Y158))))</f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IF(TRIM($B158)="","",IF(IFERROR(INDEX(Lists!$AO$2:$AO$4,MATCH(ROW(),Lists!$AN$2:$AN$4,0)),"")&lt;&gt;"",IFERROR(INDEX(Lists!$AO$2:$AO$4,MATCH(ROW(),Lists!$AN$2:$AN$4,0)),""),IFERROR(INDEX(Lists!$U:$U,MATCH(TRIM($I158),Lists!$T:$T,0)),TRIM($I158))))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",$C158)),"Head of Technology",IF(ISNUMBER(SEARCH("TDD BP",$C158)),"Business Partner",IF(OR(ISNUMBER(SEARCH("domain architect",$C158)),ISNUMBER(SEARCH("enterprise architect",$C158))),"Domain Architect",IF(ISNUMBER(SEARCH("delivery man",$C158)),"Delivery Manager",IF(OR(ISNUMBER(SEARCH("technology manager",$C158)),ISNUMBER(SEARCH("technology manger",$C158)),ISNUMBER(SEARCH("tech manager",$C158))),"Technology Manager","Squad"))))))</f>
        <v>Squad</v>
      </c>
      <c r="AS158" t="str">
        <f>IF(TRIM($B158)="","",IFERROR(INDEX(Lists!$AA:$AA,MATCH($AP158,Lists!$Z:$Z,0)),$AP158))</f>
        <v>EGI Customer</v>
      </c>
      <c r="AT158" t="str">
        <f>IF(TRIM($B158)="","",IF(IFERROR(INDEX(Lists!$AP$2:$AP$4,MATCH(ROW(),Lists!$AN$2:$AN$4,0)),"")&lt;&gt;"",IFERROR(INDEX(Lists!$AP$2:$AP$4,MATCH(ROW(),Lists!$AN$2:$AN$4,0)),""),IF(OR(LEFT($AJ158,3)="COE",$AJ158="EGI"),$AP158,IF($AR158&lt;&gt;"Squad",$AR158,$AP158))))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>
        <f>IF(TRIM($B159)="","",IF(N($AU159)&gt;0,$AU159,IF(N($S159)&gt;0,$S159*Lists!$AG$15*(1+N($Z159)),N($U159)*(1+N($V159)+N($W159)+N($X159)+N($Z159))+N($Y159))))</f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IF(TRIM($B159)="","",IF(IFERROR(INDEX(Lists!$AO$2:$AO$4,MATCH(ROW(),Lists!$AN$2:$AN$4,0)),"")&lt;&gt;"",IFERROR(INDEX(Lists!$AO$2:$AO$4,MATCH(ROW(),Lists!$AN$2:$AN$4,0)),""),IFERROR(INDEX(Lists!$U:$U,MATCH(TRIM($I159),Lists!$T:$T,0)),TRIM($I159))))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",$C159)),"Head of Technology",IF(ISNUMBER(SEARCH("TDD BP",$C159)),"Business Partner",IF(OR(ISNUMBER(SEARCH("domain architect",$C159)),ISNUMBER(SEARCH("enterprise architect",$C159))),"Domain Architect",IF(ISNUMBER(SEARCH("delivery man",$C159)),"Delivery Manager",IF(OR(ISNUMBER(SEARCH("technology manager",$C159)),ISNUMBER(SEARCH("technology manger",$C159)),ISNUMBER(SEARCH("tech manager",$C159))),"Technology Manager","Squad"))))))</f>
        <v>Squad</v>
      </c>
      <c r="AS159" t="str">
        <f>IF(TRIM($B159)="","",IFERROR(INDEX(Lists!$AA:$AA,MATCH($AP159,Lists!$Z:$Z,0)),$AP159))</f>
        <v>EGI Customer</v>
      </c>
      <c r="AT159" t="str">
        <f>IF(TRIM($B159)="","",IF(IFERROR(INDEX(Lists!$AP$2:$AP$4,MATCH(ROW(),Lists!$AN$2:$AN$4,0)),"")&lt;&gt;"",IFERROR(INDEX(Lists!$AP$2:$AP$4,MATCH(ROW(),Lists!$AN$2:$AN$4,0)),""),IF(OR(LEFT($AJ159,3)="COE",$AJ159="EGI"),$AP159,IF($AR159&lt;&gt;"Squad",$AR159,$AP159))))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>
        <f>IF(TRIM($B160)="","",IF(N($AU160)&gt;0,$AU160,IF(N($S160)&gt;0,$S160*Lists!$AG$15*(1+N($Z160)),N($U160)*(1+N($V160)+N($W160)+N($X160)+N($Z160))+N($Y160))))</f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IF(TRIM($B160)="","",IF(IFERROR(INDEX(Lists!$AO$2:$AO$4,MATCH(ROW(),Lists!$AN$2:$AN$4,0)),"")&lt;&gt;"",IFERROR(INDEX(Lists!$AO$2:$AO$4,MATCH(ROW(),Lists!$AN$2:$AN$4,0)),""),IFERROR(INDEX(Lists!$U:$U,MATCH(TRIM($I160),Lists!$T:$T,0)),TRIM($I160))))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",$C160)),"Head of Technology",IF(ISNUMBER(SEARCH("TDD BP",$C160)),"Business Partner",IF(OR(ISNUMBER(SEARCH("domain architect",$C160)),ISNUMBER(SEARCH("enterprise architect",$C160))),"Domain Architect",IF(ISNUMBER(SEARCH("delivery man",$C160)),"Delivery Manager",IF(OR(ISNUMBER(SEARCH("technology manager",$C160)),ISNUMBER(SEARCH("technology manger",$C160)),ISNUMBER(SEARCH("tech manager",$C160))),"Technology Manager","Squad"))))))</f>
        <v>Squad</v>
      </c>
      <c r="AS160" t="str">
        <f>IF(TRIM($B160)="","",IFERROR(INDEX(Lists!$AA:$AA,MATCH($AP160,Lists!$Z:$Z,0)),$AP160))</f>
        <v>EGI Customer</v>
      </c>
      <c r="AT160" t="str">
        <f>IF(TRIM($B160)="","",IF(IFERROR(INDEX(Lists!$AP$2:$AP$4,MATCH(ROW(),Lists!$AN$2:$AN$4,0)),"")&lt;&gt;"",IFERROR(INDEX(Lists!$AP$2:$AP$4,MATCH(ROW(),Lists!$AN$2:$AN$4,0)),""),IF(OR(LEFT($AJ160,3)="COE",$AJ160="EGI"),$AP160,IF($AR160&lt;&gt;"Squad",$AR160,$AP160))))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>
        <f>IF(TRIM($B161)="","",IF(N($AU161)&gt;0,$AU161,IF(N($S161)&gt;0,$S161*Lists!$AG$15*(1+N($Z161)),N($U161)*(1+N($V161)+N($W161)+N($X161)+N($Z161))+N($Y161))))</f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IF(TRIM($B161)="","",IF(IFERROR(INDEX(Lists!$AO$2:$AO$4,MATCH(ROW(),Lists!$AN$2:$AN$4,0)),"")&lt;&gt;"",IFERROR(INDEX(Lists!$AO$2:$AO$4,MATCH(ROW(),Lists!$AN$2:$AN$4,0)),""),IFERROR(INDEX(Lists!$U:$U,MATCH(TRIM($I161),Lists!$T:$T,0)),TRIM($I161))))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",$C161)),"Head of Technology",IF(ISNUMBER(SEARCH("TDD BP",$C161)),"Business Partner",IF(OR(ISNUMBER(SEARCH("domain architect",$C161)),ISNUMBER(SEARCH("enterprise architect",$C161))),"Domain Architect",IF(ISNUMBER(SEARCH("delivery man",$C161)),"Delivery Manager",IF(OR(ISNUMBER(SEARCH("technology manager",$C161)),ISNUMBER(SEARCH("technology manger",$C161)),ISNUMBER(SEARCH("tech manager",$C161))),"Technology Manager","Squad"))))))</f>
        <v>Squad</v>
      </c>
      <c r="AS161" t="str">
        <f>IF(TRIM($B161)="","",IFERROR(INDEX(Lists!$AA:$AA,MATCH($AP161,Lists!$Z:$Z,0)),$AP161))</f>
        <v>EGI Customer</v>
      </c>
      <c r="AT161" t="str">
        <f>IF(TRIM($B161)="","",IF(IFERROR(INDEX(Lists!$AP$2:$AP$4,MATCH(ROW(),Lists!$AN$2:$AN$4,0)),"")&lt;&gt;"",IFERROR(INDEX(Lists!$AP$2:$AP$4,MATCH(ROW(),Lists!$AN$2:$AN$4,0)),""),IF(OR(LEFT($AJ161,3)="COE",$AJ161="EGI"),$AP161,IF($AR161&lt;&gt;"Squad",$AR161,$AP161))))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>
        <f>IF(TRIM($B162)="","",IF(N($AU162)&gt;0,$AU162,IF(N($S162)&gt;0,$S162*Lists!$AG$15*(1+N($Z162)),N($U162)*(1+N($V162)+N($W162)+N($X162)+N($Z162))+N($Y162))))</f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IF(TRIM($B162)="","",IF(IFERROR(INDEX(Lists!$AO$2:$AO$4,MATCH(ROW(),Lists!$AN$2:$AN$4,0)),"")&lt;&gt;"",IFERROR(INDEX(Lists!$AO$2:$AO$4,MATCH(ROW(),Lists!$AN$2:$AN$4,0)),""),IFERROR(INDEX(Lists!$U:$U,MATCH(TRIM($I162),Lists!$T:$T,0)),TRIM($I162))))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",$C162)),"Head of Technology",IF(ISNUMBER(SEARCH("TDD BP",$C162)),"Business Partner",IF(OR(ISNUMBER(SEARCH("domain architect",$C162)),ISNUMBER(SEARCH("enterprise architect",$C162))),"Domain Architect",IF(ISNUMBER(SEARCH("delivery man",$C162)),"Delivery Manager",IF(OR(ISNUMBER(SEARCH("technology manager",$C162)),ISNUMBER(SEARCH("technology manger",$C162)),ISNUMBER(SEARCH("tech manager",$C162))),"Technology Manager","Squad"))))))</f>
        <v>Squad</v>
      </c>
      <c r="AS162" t="str">
        <f>IF(TRIM($B162)="","",IFERROR(INDEX(Lists!$AA:$AA,MATCH($AP162,Lists!$Z:$Z,0)),$AP162))</f>
        <v>Z App and Web</v>
      </c>
      <c r="AT162" t="str">
        <f>IF(TRIM($B162)="","",IF(IFERROR(INDEX(Lists!$AP$2:$AP$4,MATCH(ROW(),Lists!$AN$2:$AN$4,0)),"")&lt;&gt;"",IFERROR(INDEX(Lists!$AP$2:$AP$4,MATCH(ROW(),Lists!$AN$2:$AN$4,0)),""),IF(OR(LEFT($AJ162,3)="COE",$AJ162="EGI"),$AP162,IF($AR162&lt;&gt;"Squad",$AR162,$AP162))))</f>
        <v>Z App and Web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>
        <f>IF(TRIM($B163)="","",IF(N($AU163)&gt;0,$AU163,IF(N($S163)&gt;0,$S163*Lists!$AG$15*(1+N($Z163)),N($U163)*(1+N($V163)+N($W163)+N($X163)+N($Z163))+N($Y163))))</f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IF(TRIM($B163)="","",IF(IFERROR(INDEX(Lists!$AO$2:$AO$4,MATCH(ROW(),Lists!$AN$2:$AN$4,0)),"")&lt;&gt;"",IFERROR(INDEX(Lists!$AO$2:$AO$4,MATCH(ROW(),Lists!$AN$2:$AN$4,0)),""),IFERROR(INDEX(Lists!$U:$U,MATCH(TRIM($I163),Lists!$T:$T,0)),TRIM($I163))))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",$C163)),"Head of Technology",IF(ISNUMBER(SEARCH("TDD BP",$C163)),"Business Partner",IF(OR(ISNUMBER(SEARCH("domain architect",$C163)),ISNUMBER(SEARCH("enterprise architect",$C163))),"Domain Architect",IF(ISNUMBER(SEARCH("delivery man",$C163)),"Delivery Manager",IF(OR(ISNUMBER(SEARCH("technology manager",$C163)),ISNUMBER(SEARCH("technology manger",$C163)),ISNUMBER(SEARCH("tech manager",$C163))),"Technology Manager","Squad"))))))</f>
        <v>Squad</v>
      </c>
      <c r="AS163" t="str">
        <f>IF(TRIM($B163)="","",IFERROR(INDEX(Lists!$AA:$AA,MATCH($AP163,Lists!$Z:$Z,0)),$AP163))</f>
        <v>Ampol Web</v>
      </c>
      <c r="AT163" t="str">
        <f>IF(TRIM($B163)="","",IF(IFERROR(INDEX(Lists!$AP$2:$AP$4,MATCH(ROW(),Lists!$AN$2:$AN$4,0)),"")&lt;&gt;"",IFERROR(INDEX(Lists!$AP$2:$AP$4,MATCH(ROW(),Lists!$AN$2:$AN$4,0)),""),IF(OR(LEFT($AJ163,3)="COE",$AJ163="EGI"),$AP163,IF($AR163&lt;&gt;"Squad",$AR163,$AP163))))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>
        <f>IF(TRIM($B164)="","",IF(N($AU164)&gt;0,$AU164,IF(N($S164)&gt;0,$S164*Lists!$AG$15*(1+N($Z164)),N($U164)*(1+N($V164)+N($W164)+N($X164)+N($Z164))+N($Y164))))</f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IF(TRIM($B164)="","",IF(IFERROR(INDEX(Lists!$AO$2:$AO$4,MATCH(ROW(),Lists!$AN$2:$AN$4,0)),"")&lt;&gt;"",IFERROR(INDEX(Lists!$AO$2:$AO$4,MATCH(ROW(),Lists!$AN$2:$AN$4,0)),""),IFERROR(INDEX(Lists!$U:$U,MATCH(TRIM($I164),Lists!$T:$T,0)),TRIM($I164))))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",$C164)),"Head of Technology",IF(ISNUMBER(SEARCH("TDD BP",$C164)),"Business Partner",IF(OR(ISNUMBER(SEARCH("domain architect",$C164)),ISNUMBER(SEARCH("enterprise architect",$C164))),"Domain Architect",IF(ISNUMBER(SEARCH("delivery man",$C164)),"Delivery Manager",IF(OR(ISNUMBER(SEARCH("technology manager",$C164)),ISNUMBER(SEARCH("technology manger",$C164)),ISNUMBER(SEARCH("tech manager",$C164))),"Technology Manager","Squad"))))))</f>
        <v>Squad</v>
      </c>
      <c r="AS164" t="str">
        <f>IF(TRIM($B164)="","",IFERROR(INDEX(Lists!$AA:$AA,MATCH($AP164,Lists!$Z:$Z,0)),$AP164))</f>
        <v>Z Loyalty &amp; Martech</v>
      </c>
      <c r="AT164" t="str">
        <f>IF(TRIM($B164)="","",IF(IFERROR(INDEX(Lists!$AP$2:$AP$4,MATCH(ROW(),Lists!$AN$2:$AN$4,0)),"")&lt;&gt;"",IFERROR(INDEX(Lists!$AP$2:$AP$4,MATCH(ROW(),Lists!$AN$2:$AN$4,0)),""),IF(OR(LEFT($AJ164,3)="COE",$AJ164="EGI"),$AP164,IF($AR164&lt;&gt;"Squad",$AR164,$AP164))))</f>
        <v>Z Loyalty &amp;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>
        <f>IF(TRIM($B165)="","",IF(N($AU165)&gt;0,$AU165,IF(N($S165)&gt;0,$S165*Lists!$AG$15*(1+N($Z165)),N($U165)*(1+N($V165)+N($W165)+N($X165)+N($Z165))+N($Y165))))</f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IF(TRIM($B165)="","",IF(IFERROR(INDEX(Lists!$AO$2:$AO$4,MATCH(ROW(),Lists!$AN$2:$AN$4,0)),"")&lt;&gt;"",IFERROR(INDEX(Lists!$AO$2:$AO$4,MATCH(ROW(),Lists!$AN$2:$AN$4,0)),""),IFERROR(INDEX(Lists!$U:$U,MATCH(TRIM($I165),Lists!$T:$T,0)),TRIM($I165))))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",$C165)),"Head of Technology",IF(ISNUMBER(SEARCH("TDD BP",$C165)),"Business Partner",IF(OR(ISNUMBER(SEARCH("domain architect",$C165)),ISNUMBER(SEARCH("enterprise architect",$C165))),"Domain Architect",IF(ISNUMBER(SEARCH("delivery man",$C165)),"Delivery Manager",IF(OR(ISNUMBER(SEARCH("technology manager",$C165)),ISNUMBER(SEARCH("technology manger",$C165)),ISNUMBER(SEARCH("tech manager",$C165))),"Technology Manager","Squad"))))))</f>
        <v>Squad</v>
      </c>
      <c r="AS165" t="str">
        <f>IF(TRIM($B165)="","",IFERROR(INDEX(Lists!$AA:$AA,MATCH($AP165,Lists!$Z:$Z,0)),$AP165))</f>
        <v>Z App and Web</v>
      </c>
      <c r="AT165" t="str">
        <f>IF(TRIM($B165)="","",IF(IFERROR(INDEX(Lists!$AP$2:$AP$4,MATCH(ROW(),Lists!$AN$2:$AN$4,0)),"")&lt;&gt;"",IFERROR(INDEX(Lists!$AP$2:$AP$4,MATCH(ROW(),Lists!$AN$2:$AN$4,0)),""),IF(OR(LEFT($AJ165,3)="COE",$AJ165="EGI"),$AP165,IF($AR165&lt;&gt;"Squad",$AR165,$AP165))))</f>
        <v>Z App and Web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>
        <f>IF(TRIM($B166)="","",IF(N($AU166)&gt;0,$AU166,IF(N($S166)&gt;0,$S166*Lists!$AG$15*(1+N($Z166)),N($U166)*(1+N($V166)+N($W166)+N($X166)+N($Z166))+N($Y166))))</f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IF(TRIM($B166)="","",IF(IFERROR(INDEX(Lists!$AO$2:$AO$4,MATCH(ROW(),Lists!$AN$2:$AN$4,0)),"")&lt;&gt;"",IFERROR(INDEX(Lists!$AO$2:$AO$4,MATCH(ROW(),Lists!$AN$2:$AN$4,0)),""),IFERROR(INDEX(Lists!$U:$U,MATCH(TRIM($I166),Lists!$T:$T,0)),TRIM($I166))))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",$C166)),"Head of Technology",IF(ISNUMBER(SEARCH("TDD BP",$C166)),"Business Partner",IF(OR(ISNUMBER(SEARCH("domain architect",$C166)),ISNUMBER(SEARCH("enterprise architect",$C166))),"Domain Architect",IF(ISNUMBER(SEARCH("delivery man",$C166)),"Delivery Manager",IF(OR(ISNUMBER(SEARCH("technology manager",$C166)),ISNUMBER(SEARCH("technology manger",$C166)),ISNUMBER(SEARCH("tech manager",$C166))),"Technology Manager","Squad"))))))</f>
        <v>Squad</v>
      </c>
      <c r="AS166" t="str">
        <f>IF(TRIM($B166)="","",IFERROR(INDEX(Lists!$AA:$AA,MATCH($AP166,Lists!$Z:$Z,0)),$AP166))</f>
        <v>Ampol App</v>
      </c>
      <c r="AT166" t="str">
        <f>IF(TRIM($B166)="","",IF(IFERROR(INDEX(Lists!$AP$2:$AP$4,MATCH(ROW(),Lists!$AN$2:$AN$4,0)),"")&lt;&gt;"",IFERROR(INDEX(Lists!$AP$2:$AP$4,MATCH(ROW(),Lists!$AN$2:$AN$4,0)),""),IF(OR(LEFT($AJ166,3)="COE",$AJ166="EGI"),$AP166,IF($AR166&lt;&gt;"Squad",$AR166,$AP166))))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>
        <f>IF(TRIM($B167)="","",IF(N($AU167)&gt;0,$AU167,IF(N($S167)&gt;0,$S167*Lists!$AG$15*(1+N($Z167)),N($U167)*(1+N($V167)+N($W167)+N($X167)+N($Z167))+N($Y167))))</f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IF(TRIM($B167)="","",IF(IFERROR(INDEX(Lists!$AO$2:$AO$4,MATCH(ROW(),Lists!$AN$2:$AN$4,0)),"")&lt;&gt;"",IFERROR(INDEX(Lists!$AO$2:$AO$4,MATCH(ROW(),Lists!$AN$2:$AN$4,0)),""),IFERROR(INDEX(Lists!$U:$U,MATCH(TRIM($I167),Lists!$T:$T,0)),TRIM($I167))))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",$C167)),"Head of Technology",IF(ISNUMBER(SEARCH("TDD BP",$C167)),"Business Partner",IF(OR(ISNUMBER(SEARCH("domain architect",$C167)),ISNUMBER(SEARCH("enterprise architect",$C167))),"Domain Architect",IF(ISNUMBER(SEARCH("delivery man",$C167)),"Delivery Manager",IF(OR(ISNUMBER(SEARCH("technology manager",$C167)),ISNUMBER(SEARCH("technology manger",$C167)),ISNUMBER(SEARCH("tech manager",$C167))),"Technology Manager","Squad"))))))</f>
        <v>Squad</v>
      </c>
      <c r="AS167" t="str">
        <f>IF(TRIM($B167)="","",IFERROR(INDEX(Lists!$AA:$AA,MATCH($AP167,Lists!$Z:$Z,0)),$AP167))</f>
        <v>Z Loyalty &amp; Martech</v>
      </c>
      <c r="AT167" t="str">
        <f>IF(TRIM($B167)="","",IF(IFERROR(INDEX(Lists!$AP$2:$AP$4,MATCH(ROW(),Lists!$AN$2:$AN$4,0)),"")&lt;&gt;"",IFERROR(INDEX(Lists!$AP$2:$AP$4,MATCH(ROW(),Lists!$AN$2:$AN$4,0)),""),IF(OR(LEFT($AJ167,3)="COE",$AJ167="EGI"),$AP167,IF($AR167&lt;&gt;"Squad",$AR167,$AP167))))</f>
        <v>Z Loyalty &amp;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>
        <f>IF(TRIM($B168)="","",IF(N($AU168)&gt;0,$AU168,IF(N($S168)&gt;0,$S168*Lists!$AG$15*(1+N($Z168)),N($U168)*(1+N($V168)+N($W168)+N($X168)+N($Z168))+N($Y168))))</f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IF(TRIM($B168)="","",IF(IFERROR(INDEX(Lists!$AO$2:$AO$4,MATCH(ROW(),Lists!$AN$2:$AN$4,0)),"")&lt;&gt;"",IFERROR(INDEX(Lists!$AO$2:$AO$4,MATCH(ROW(),Lists!$AN$2:$AN$4,0)),""),IFERROR(INDEX(Lists!$U:$U,MATCH(TRIM($I168),Lists!$T:$T,0)),TRIM($I168))))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",$C168)),"Head of Technology",IF(ISNUMBER(SEARCH("TDD BP",$C168)),"Business Partner",IF(OR(ISNUMBER(SEARCH("domain architect",$C168)),ISNUMBER(SEARCH("enterprise architect",$C168))),"Domain Architect",IF(ISNUMBER(SEARCH("delivery man",$C168)),"Delivery Manager",IF(OR(ISNUMBER(SEARCH("technology manager",$C168)),ISNUMBER(SEARCH("technology manger",$C168)),ISNUMBER(SEARCH("tech manager",$C168))),"Technology Manager","Squad"))))))</f>
        <v>Head of Technology</v>
      </c>
      <c r="AS168" t="str">
        <f>IF(TRIM($B168)="","",IFERROR(INDEX(Lists!$AA:$AA,MATCH($AP168,Lists!$Z:$Z,0)),$AP168))</f>
        <v>Leadership</v>
      </c>
      <c r="AT168" t="str">
        <f>IF(TRIM($B168)="","",IF(IFERROR(INDEX(Lists!$AP$2:$AP$4,MATCH(ROW(),Lists!$AN$2:$AN$4,0)),"")&lt;&gt;"",IFERROR(INDEX(Lists!$AP$2:$AP$4,MATCH(ROW(),Lists!$AN$2:$AN$4,0)),""),IF(OR(LEFT($AJ168,3)="COE",$AJ168="EGI"),$AP168,IF($AR168&lt;&gt;"Squad",$AR168,$AP168))))</f>
        <v>Head of Technology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>
        <f>IF(TRIM($B169)="","",IF(N($AU169)&gt;0,$AU169,IF(N($S169)&gt;0,$S169*Lists!$AG$15*(1+N($Z169)),N($U169)*(1+N($V169)+N($W169)+N($X169)+N($Z169))+N($Y169))))</f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IF(TRIM($B169)="","",IF(IFERROR(INDEX(Lists!$AO$2:$AO$4,MATCH(ROW(),Lists!$AN$2:$AN$4,0)),"")&lt;&gt;"",IFERROR(INDEX(Lists!$AO$2:$AO$4,MATCH(ROW(),Lists!$AN$2:$AN$4,0)),""),IFERROR(INDEX(Lists!$U:$U,MATCH(TRIM($I169),Lists!$T:$T,0)),TRIM($I169))))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",$C169)),"Head of Technology",IF(ISNUMBER(SEARCH("TDD BP",$C169)),"Business Partner",IF(OR(ISNUMBER(SEARCH("domain architect",$C169)),ISNUMBER(SEARCH("enterprise architect",$C169))),"Domain Architect",IF(ISNUMBER(SEARCH("delivery man",$C169)),"Delivery Manager",IF(OR(ISNUMBER(SEARCH("technology manager",$C169)),ISNUMBER(SEARCH("technology manger",$C169)),ISNUMBER(SEARCH("tech manager",$C169))),"Technology Manager","Squad"))))))</f>
        <v>Squad</v>
      </c>
      <c r="AS169" t="str">
        <f>IF(TRIM($B169)="","",IFERROR(INDEX(Lists!$AA:$AA,MATCH($AP169,Lists!$Z:$Z,0)),$AP169))</f>
        <v>Digital Operations</v>
      </c>
      <c r="AT169" t="str">
        <f>IF(TRIM($B169)="","",IF(IFERROR(INDEX(Lists!$AP$2:$AP$4,MATCH(ROW(),Lists!$AN$2:$AN$4,0)),"")&lt;&gt;"",IFERROR(INDEX(Lists!$AP$2:$AP$4,MATCH(ROW(),Lists!$AN$2:$AN$4,0)),""),IF(OR(LEFT($AJ169,3)="COE",$AJ169="EGI"),$AP169,IF($AR169&lt;&gt;"Squad",$AR169,$AP169))))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>
        <f>IF(TRIM($B170)="","",IF(N($AU170)&gt;0,$AU170,IF(N($S170)&gt;0,$S170*Lists!$AG$15*(1+N($Z170)),N($U170)*(1+N($V170)+N($W170)+N($X170)+N($Z170))+N($Y170))))</f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IF(TRIM($B170)="","",IF(IFERROR(INDEX(Lists!$AO$2:$AO$4,MATCH(ROW(),Lists!$AN$2:$AN$4,0)),"")&lt;&gt;"",IFERROR(INDEX(Lists!$AO$2:$AO$4,MATCH(ROW(),Lists!$AN$2:$AN$4,0)),""),IFERROR(INDEX(Lists!$U:$U,MATCH(TRIM($I170),Lists!$T:$T,0)),TRIM($I170))))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",$C170)),"Head of Technology",IF(ISNUMBER(SEARCH("TDD BP",$C170)),"Business Partner",IF(OR(ISNUMBER(SEARCH("domain architect",$C170)),ISNUMBER(SEARCH("enterprise architect",$C170))),"Domain Architect",IF(ISNUMBER(SEARCH("delivery man",$C170)),"Delivery Manager",IF(OR(ISNUMBER(SEARCH("technology manager",$C170)),ISNUMBER(SEARCH("technology manger",$C170)),ISNUMBER(SEARCH("tech manager",$C170))),"Technology Manager","Squad"))))))</f>
        <v>Squad</v>
      </c>
      <c r="AS170" t="str">
        <f>IF(TRIM($B170)="","",IFERROR(INDEX(Lists!$AA:$AA,MATCH($AP170,Lists!$Z:$Z,0)),$AP170))</f>
        <v>EGI Customer</v>
      </c>
      <c r="AT170" t="str">
        <f>IF(TRIM($B170)="","",IF(IFERROR(INDEX(Lists!$AP$2:$AP$4,MATCH(ROW(),Lists!$AN$2:$AN$4,0)),"")&lt;&gt;"",IFERROR(INDEX(Lists!$AP$2:$AP$4,MATCH(ROW(),Lists!$AN$2:$AN$4,0)),""),IF(OR(LEFT($AJ170,3)="COE",$AJ170="EGI"),$AP170,IF($AR170&lt;&gt;"Squad",$AR170,$AP170))))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>
        <f>IF(TRIM($B171)="","",IF(N($AU171)&gt;0,$AU171,IF(N($S171)&gt;0,$S171*Lists!$AG$15*(1+N($Z171)),N($U171)*(1+N($V171)+N($W171)+N($X171)+N($Z171))+N($Y171))))</f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IF(TRIM($B171)="","",IF(IFERROR(INDEX(Lists!$AO$2:$AO$4,MATCH(ROW(),Lists!$AN$2:$AN$4,0)),"")&lt;&gt;"",IFERROR(INDEX(Lists!$AO$2:$AO$4,MATCH(ROW(),Lists!$AN$2:$AN$4,0)),""),IFERROR(INDEX(Lists!$U:$U,MATCH(TRIM($I171),Lists!$T:$T,0)),TRIM($I171))))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",$C171)),"Head of Technology",IF(ISNUMBER(SEARCH("TDD BP",$C171)),"Business Partner",IF(OR(ISNUMBER(SEARCH("domain architect",$C171)),ISNUMBER(SEARCH("enterprise architect",$C171))),"Domain Architect",IF(ISNUMBER(SEARCH("delivery man",$C171)),"Delivery Manager",IF(OR(ISNUMBER(SEARCH("technology manager",$C171)),ISNUMBER(SEARCH("technology manger",$C171)),ISNUMBER(SEARCH("tech manager",$C171))),"Technology Manager","Squad"))))))</f>
        <v>Squad</v>
      </c>
      <c r="AS171" t="str">
        <f>IF(TRIM($B171)="","",IFERROR(INDEX(Lists!$AA:$AA,MATCH($AP171,Lists!$Z:$Z,0)),$AP171))</f>
        <v>EGI Customer</v>
      </c>
      <c r="AT171" t="str">
        <f>IF(TRIM($B171)="","",IF(IFERROR(INDEX(Lists!$AP$2:$AP$4,MATCH(ROW(),Lists!$AN$2:$AN$4,0)),"")&lt;&gt;"",IFERROR(INDEX(Lists!$AP$2:$AP$4,MATCH(ROW(),Lists!$AN$2:$AN$4,0)),""),IF(OR(LEFT($AJ171,3)="COE",$AJ171="EGI"),$AP171,IF($AR171&lt;&gt;"Squad",$AR171,$AP171))))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>
        <f>IF(TRIM($B172)="","",IF(N($AU172)&gt;0,$AU172,IF(N($S172)&gt;0,$S172*Lists!$AG$15*(1+N($Z172)),N($U172)*(1+N($V172)+N($W172)+N($X172)+N($Z172))+N($Y172))))</f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IF(TRIM($B172)="","",IF(IFERROR(INDEX(Lists!$AO$2:$AO$4,MATCH(ROW(),Lists!$AN$2:$AN$4,0)),"")&lt;&gt;"",IFERROR(INDEX(Lists!$AO$2:$AO$4,MATCH(ROW(),Lists!$AN$2:$AN$4,0)),""),IFERROR(INDEX(Lists!$U:$U,MATCH(TRIM($I172),Lists!$T:$T,0)),TRIM($I172))))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",$C172)),"Head of Technology",IF(ISNUMBER(SEARCH("TDD BP",$C172)),"Business Partner",IF(OR(ISNUMBER(SEARCH("domain architect",$C172)),ISNUMBER(SEARCH("enterprise architect",$C172))),"Domain Architect",IF(ISNUMBER(SEARCH("delivery man",$C172)),"Delivery Manager",IF(OR(ISNUMBER(SEARCH("technology manager",$C172)),ISNUMBER(SEARCH("technology manger",$C172)),ISNUMBER(SEARCH("tech manager",$C172))),"Technology Manager","Squad"))))))</f>
        <v>Squad</v>
      </c>
      <c r="AS172" t="str">
        <f>IF(TRIM($B172)="","",IFERROR(INDEX(Lists!$AA:$AA,MATCH($AP172,Lists!$Z:$Z,0)),$AP172))</f>
        <v>Z App and Web</v>
      </c>
      <c r="AT172" t="str">
        <f>IF(TRIM($B172)="","",IF(IFERROR(INDEX(Lists!$AP$2:$AP$4,MATCH(ROW(),Lists!$AN$2:$AN$4,0)),"")&lt;&gt;"",IFERROR(INDEX(Lists!$AP$2:$AP$4,MATCH(ROW(),Lists!$AN$2:$AN$4,0)),""),IF(OR(LEFT($AJ172,3)="COE",$AJ172="EGI"),$AP172,IF($AR172&lt;&gt;"Squad",$AR172,$AP172))))</f>
        <v>Z App and Web</v>
      </c>
      <c r="AU172" s="1320" t="n">
        <v>275810.25</v>
      </c>
      <c r="AV172" t="inlineStr">
        <is>
          <t>Banded rate agreed for this role; its own components give $321,135. Clear column AB to price it from the components.</t>
        </is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>
        <f>IF(TRIM($B173)="","",IF(N($AU173)&gt;0,$AU173,IF(N($S173)&gt;0,$S173*Lists!$AG$15*(1+N($Z173)),N($U173)*(1+N($V173)+N($W173)+N($X173)+N($Z173))+N($Y173))))</f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IF(TRIM($B173)="","",IF(IFERROR(INDEX(Lists!$AO$2:$AO$4,MATCH(ROW(),Lists!$AN$2:$AN$4,0)),"")&lt;&gt;"",IFERROR(INDEX(Lists!$AO$2:$AO$4,MATCH(ROW(),Lists!$AN$2:$AN$4,0)),""),IFERROR(INDEX(Lists!$U:$U,MATCH(TRIM($I173),Lists!$T:$T,0)),TRIM($I173))))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",$C173)),"Head of Technology",IF(ISNUMBER(SEARCH("TDD BP",$C173)),"Business Partner",IF(OR(ISNUMBER(SEARCH("domain architect",$C173)),ISNUMBER(SEARCH("enterprise architect",$C173))),"Domain Architect",IF(ISNUMBER(SEARCH("delivery man",$C173)),"Delivery Manager",IF(OR(ISNUMBER(SEARCH("technology manager",$C173)),ISNUMBER(SEARCH("technology manger",$C173)),ISNUMBER(SEARCH("tech manager",$C173))),"Technology Manager","Squad"))))))</f>
        <v>Squad</v>
      </c>
      <c r="AS173" t="str">
        <f>IF(TRIM($B173)="","",IFERROR(INDEX(Lists!$AA:$AA,MATCH($AP173,Lists!$Z:$Z,0)),$AP173))</f>
        <v>Ampol App</v>
      </c>
      <c r="AT173" t="str">
        <f>IF(TRIM($B173)="","",IF(IFERROR(INDEX(Lists!$AP$2:$AP$4,MATCH(ROW(),Lists!$AN$2:$AN$4,0)),"")&lt;&gt;"",IFERROR(INDEX(Lists!$AP$2:$AP$4,MATCH(ROW(),Lists!$AN$2:$AN$4,0)),""),IF(OR(LEFT($AJ173,3)="COE",$AJ173="EGI"),$AP173,IF($AR173&lt;&gt;"Squad",$AR173,$AP173))))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>
        <f>IF(TRIM($B174)="","",IF(N($AU174)&gt;0,$AU174,IF(N($S174)&gt;0,$S174*Lists!$AG$15*(1+N($Z174)),N($U174)*(1+N($V174)+N($W174)+N($X174)+N($Z174))+N($Y174))))</f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IF(TRIM($B174)="","",IF(IFERROR(INDEX(Lists!$AO$2:$AO$4,MATCH(ROW(),Lists!$AN$2:$AN$4,0)),"")&lt;&gt;"",IFERROR(INDEX(Lists!$AO$2:$AO$4,MATCH(ROW(),Lists!$AN$2:$AN$4,0)),""),IFERROR(INDEX(Lists!$U:$U,MATCH(TRIM($I174),Lists!$T:$T,0)),TRIM($I174))))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",$C174)),"Head of Technology",IF(ISNUMBER(SEARCH("TDD BP",$C174)),"Business Partner",IF(OR(ISNUMBER(SEARCH("domain architect",$C174)),ISNUMBER(SEARCH("enterprise architect",$C174))),"Domain Architect",IF(ISNUMBER(SEARCH("delivery man",$C174)),"Delivery Manager",IF(OR(ISNUMBER(SEARCH("technology manager",$C174)),ISNUMBER(SEARCH("technology manger",$C174)),ISNUMBER(SEARCH("tech manager",$C174))),"Technology Manager","Squad"))))))</f>
        <v>Squad</v>
      </c>
      <c r="AS174" t="str">
        <f>IF(TRIM($B174)="","",IFERROR(INDEX(Lists!$AA:$AA,MATCH($AP174,Lists!$Z:$Z,0)),$AP174))</f>
        <v>Customer AI</v>
      </c>
      <c r="AT174" t="str">
        <f>IF(TRIM($B174)="","",IF(IFERROR(INDEX(Lists!$AP$2:$AP$4,MATCH(ROW(),Lists!$AN$2:$AN$4,0)),"")&lt;&gt;"",IFERROR(INDEX(Lists!$AP$2:$AP$4,MATCH(ROW(),Lists!$AN$2:$AN$4,0)),""),IF(OR(LEFT($AJ174,3)="COE",$AJ174="EGI"),$AP174,IF($AR174&lt;&gt;"Squad",$AR174,$AP174))))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>
        <f>IF(TRIM($B175)="","",IF(N($AU175)&gt;0,$AU175,IF(N($S175)&gt;0,$S175*Lists!$AG$15*(1+N($Z175)),N($U175)*(1+N($V175)+N($W175)+N($X175)+N($Z175))+N($Y175))))</f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IF(TRIM($B175)="","",IF(IFERROR(INDEX(Lists!$AO$2:$AO$4,MATCH(ROW(),Lists!$AN$2:$AN$4,0)),"")&lt;&gt;"",IFERROR(INDEX(Lists!$AO$2:$AO$4,MATCH(ROW(),Lists!$AN$2:$AN$4,0)),""),IFERROR(INDEX(Lists!$U:$U,MATCH(TRIM($I175),Lists!$T:$T,0)),TRIM($I175))))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",$C175)),"Head of Technology",IF(ISNUMBER(SEARCH("TDD BP",$C175)),"Business Partner",IF(OR(ISNUMBER(SEARCH("domain architect",$C175)),ISNUMBER(SEARCH("enterprise architect",$C175))),"Domain Architect",IF(ISNUMBER(SEARCH("delivery man",$C175)),"Delivery Manager",IF(OR(ISNUMBER(SEARCH("technology manager",$C175)),ISNUMBER(SEARCH("technology manger",$C175)),ISNUMBER(SEARCH("tech manager",$C175))),"Technology Manager","Squad"))))))</f>
        <v>Squad</v>
      </c>
      <c r="AS175" t="str">
        <f>IF(TRIM($B175)="","",IFERROR(INDEX(Lists!$AA:$AA,MATCH($AP175,Lists!$Z:$Z,0)),$AP175))</f>
        <v>Customer AI</v>
      </c>
      <c r="AT175" t="str">
        <f>IF(TRIM($B175)="","",IF(IFERROR(INDEX(Lists!$AP$2:$AP$4,MATCH(ROW(),Lists!$AN$2:$AN$4,0)),"")&lt;&gt;"",IFERROR(INDEX(Lists!$AP$2:$AP$4,MATCH(ROW(),Lists!$AN$2:$AN$4,0)),""),IF(OR(LEFT($AJ175,3)="COE",$AJ175="EGI"),$AP175,IF($AR175&lt;&gt;"Squad",$AR175,$AP175))))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>
        <f>IF(TRIM($B176)="","",IF(N($AU176)&gt;0,$AU176,IF(N($S176)&gt;0,$S176*Lists!$AG$15*(1+N($Z176)),N($U176)*(1+N($V176)+N($W176)+N($X176)+N($Z176))+N($Y176))))</f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IF(TRIM($B176)="","",IF(IFERROR(INDEX(Lists!$AO$2:$AO$4,MATCH(ROW(),Lists!$AN$2:$AN$4,0)),"")&lt;&gt;"",IFERROR(INDEX(Lists!$AO$2:$AO$4,MATCH(ROW(),Lists!$AN$2:$AN$4,0)),""),IFERROR(INDEX(Lists!$U:$U,MATCH(TRIM($I176),Lists!$T:$T,0)),TRIM($I176))))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",$C176)),"Head of Technology",IF(ISNUMBER(SEARCH("TDD BP",$C176)),"Business Partner",IF(OR(ISNUMBER(SEARCH("domain architect",$C176)),ISNUMBER(SEARCH("enterprise architect",$C176))),"Domain Architect",IF(ISNUMBER(SEARCH("delivery man",$C176)),"Delivery Manager",IF(OR(ISNUMBER(SEARCH("technology manager",$C176)),ISNUMBER(SEARCH("technology manger",$C176)),ISNUMBER(SEARCH("tech manager",$C176))),"Technology Manager","Squad"))))))</f>
        <v>Technology Manager</v>
      </c>
      <c r="AS176" t="str">
        <f>IF(TRIM($B176)="","",IFERROR(INDEX(Lists!$AA:$AA,MATCH($AP176,Lists!$Z:$Z,0)),$AP176))</f>
        <v>Leadership</v>
      </c>
      <c r="AT176" t="str">
        <f>IF(TRIM($B176)="","",IF(IFERROR(INDEX(Lists!$AP$2:$AP$4,MATCH(ROW(),Lists!$AN$2:$AN$4,0)),"")&lt;&gt;"",IFERROR(INDEX(Lists!$AP$2:$AP$4,MATCH(ROW(),Lists!$AN$2:$AN$4,0)),""),IF(OR(LEFT($AJ176,3)="COE",$AJ176="EGI"),$AP176,IF($AR176&lt;&gt;"Squad",$AR176,$AP176))))</f>
        <v>Technology Manager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>
        <f>IF(TRIM($B177)="","",IF(N($AU177)&gt;0,$AU177,IF(N($S177)&gt;0,$S177*Lists!$AG$15*(1+N($Z177)),N($U177)*(1+N($V177)+N($W177)+N($X177)+N($Z177))+N($Y177))))</f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IF(TRIM($B177)="","",IF(IFERROR(INDEX(Lists!$AO$2:$AO$4,MATCH(ROW(),Lists!$AN$2:$AN$4,0)),"")&lt;&gt;"",IFERROR(INDEX(Lists!$AO$2:$AO$4,MATCH(ROW(),Lists!$AN$2:$AN$4,0)),""),IFERROR(INDEX(Lists!$U:$U,MATCH(TRIM($I177),Lists!$T:$T,0)),TRIM($I177))))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",$C177)),"Head of Technology",IF(ISNUMBER(SEARCH("TDD BP",$C177)),"Business Partner",IF(OR(ISNUMBER(SEARCH("domain architect",$C177)),ISNUMBER(SEARCH("enterprise architect",$C177))),"Domain Architect",IF(ISNUMBER(SEARCH("delivery man",$C177)),"Delivery Manager",IF(OR(ISNUMBER(SEARCH("technology manager",$C177)),ISNUMBER(SEARCH("technology manger",$C177)),ISNUMBER(SEARCH("tech manager",$C177))),"Technology Manager","Squad"))))))</f>
        <v>Squad</v>
      </c>
      <c r="AS177" t="str">
        <f>IF(TRIM($B177)="","",IFERROR(INDEX(Lists!$AA:$AA,MATCH($AP177,Lists!$Z:$Z,0)),$AP177))</f>
        <v>Leadership</v>
      </c>
      <c r="AT177" t="str">
        <f>IF(TRIM($B177)="","",IF(IFERROR(INDEX(Lists!$AP$2:$AP$4,MATCH(ROW(),Lists!$AN$2:$AN$4,0)),"")&lt;&gt;"",IFERROR(INDEX(Lists!$AP$2:$AP$4,MATCH(ROW(),Lists!$AN$2:$AN$4,0)),""),IF(OR(LEFT($AJ177,3)="COE",$AJ177="EGI"),$AP177,IF($AR177&lt;&gt;"Squad",$AR177,$AP177))))</f>
        <v>Leadership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>
        <f>IF(TRIM($B178)="","",IF(N($AU178)&gt;0,$AU178,IF(N($S178)&gt;0,$S178*Lists!$AG$15*(1+N($Z178)),N($U178)*(1+N($V178)+N($W178)+N($X178)+N($Z178))+N($Y178))))</f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IF(TRIM($B178)="","",IF(IFERROR(INDEX(Lists!$AO$2:$AO$4,MATCH(ROW(),Lists!$AN$2:$AN$4,0)),"")&lt;&gt;"",IFERROR(INDEX(Lists!$AO$2:$AO$4,MATCH(ROW(),Lists!$AN$2:$AN$4,0)),""),IFERROR(INDEX(Lists!$U:$U,MATCH(TRIM($I178),Lists!$T:$T,0)),TRIM($I178))))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",$C178)),"Head of Technology",IF(ISNUMBER(SEARCH("TDD BP",$C178)),"Business Partner",IF(OR(ISNUMBER(SEARCH("domain architect",$C178)),ISNUMBER(SEARCH("enterprise architect",$C178))),"Domain Architect",IF(ISNUMBER(SEARCH("delivery man",$C178)),"Delivery Manager",IF(OR(ISNUMBER(SEARCH("technology manager",$C178)),ISNUMBER(SEARCH("technology manger",$C178)),ISNUMBER(SEARCH("tech manager",$C178))),"Technology Manager","Squad"))))))</f>
        <v>Squad</v>
      </c>
      <c r="AS178" t="str">
        <f>IF(TRIM($B178)="","",IFERROR(INDEX(Lists!$AA:$AA,MATCH($AP178,Lists!$Z:$Z,0)),$AP178))</f>
        <v>Ampol Loyalty &amp; Martech</v>
      </c>
      <c r="AT178" t="str">
        <f>IF(TRIM($B178)="","",IF(IFERROR(INDEX(Lists!$AP$2:$AP$4,MATCH(ROW(),Lists!$AN$2:$AN$4,0)),"")&lt;&gt;"",IFERROR(INDEX(Lists!$AP$2:$AP$4,MATCH(ROW(),Lists!$AN$2:$AN$4,0)),""),IF(OR(LEFT($AJ178,3)="COE",$AJ178="EGI"),$AP178,IF($AR178&lt;&gt;"Squad",$AR178,$AP178))))</f>
        <v>Ampol Loyalty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>
        <f>IF(TRIM($B179)="","",IF(N($AU179)&gt;0,$AU179,IF(N($S179)&gt;0,$S179*Lists!$AG$15*(1+N($Z179)),N($U179)*(1+N($V179)+N($W179)+N($X179)+N($Z179))+N($Y179))))</f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IF(TRIM($B179)="","",IF(IFERROR(INDEX(Lists!$AO$2:$AO$4,MATCH(ROW(),Lists!$AN$2:$AN$4,0)),"")&lt;&gt;"",IFERROR(INDEX(Lists!$AO$2:$AO$4,MATCH(ROW(),Lists!$AN$2:$AN$4,0)),""),IFERROR(INDEX(Lists!$U:$U,MATCH(TRIM($I179),Lists!$T:$T,0)),TRIM($I179))))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",$C179)),"Head of Technology",IF(ISNUMBER(SEARCH("TDD BP",$C179)),"Business Partner",IF(OR(ISNUMBER(SEARCH("domain architect",$C179)),ISNUMBER(SEARCH("enterprise architect",$C179))),"Domain Architect",IF(ISNUMBER(SEARCH("delivery man",$C179)),"Delivery Manager",IF(OR(ISNUMBER(SEARCH("technology manager",$C179)),ISNUMBER(SEARCH("technology manger",$C179)),ISNUMBER(SEARCH("tech manager",$C179))),"Technology Manager","Squad"))))))</f>
        <v>Squad</v>
      </c>
      <c r="AS179" t="str">
        <f>IF(TRIM($B179)="","",IFERROR(INDEX(Lists!$AA:$AA,MATCH($AP179,Lists!$Z:$Z,0)),$AP179))</f>
        <v>Ampol Loyalty &amp; Martech</v>
      </c>
      <c r="AT179" t="str">
        <f>IF(TRIM($B179)="","",IF(IFERROR(INDEX(Lists!$AP$2:$AP$4,MATCH(ROW(),Lists!$AN$2:$AN$4,0)),"")&lt;&gt;"",IFERROR(INDEX(Lists!$AP$2:$AP$4,MATCH(ROW(),Lists!$AN$2:$AN$4,0)),""),IF(OR(LEFT($AJ179,3)="COE",$AJ179="EGI"),$AP179,IF($AR179&lt;&gt;"Squad",$AR179,$AP179))))</f>
        <v>Ampol Loyalty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>
        <f>IF(TRIM($B180)="","",IF(N($AU180)&gt;0,$AU180,IF(N($S180)&gt;0,$S180*Lists!$AG$15*(1+N($Z180)),N($U180)*(1+N($V180)+N($W180)+N($X180)+N($Z180))+N($Y180))))</f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IF(TRIM($B180)="","",IF(IFERROR(INDEX(Lists!$AO$2:$AO$4,MATCH(ROW(),Lists!$AN$2:$AN$4,0)),"")&lt;&gt;"",IFERROR(INDEX(Lists!$AO$2:$AO$4,MATCH(ROW(),Lists!$AN$2:$AN$4,0)),""),IFERROR(INDEX(Lists!$U:$U,MATCH(TRIM($I180),Lists!$T:$T,0)),TRIM($I180))))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",$C180)),"Head of Technology",IF(ISNUMBER(SEARCH("TDD BP",$C180)),"Business Partner",IF(OR(ISNUMBER(SEARCH("domain architect",$C180)),ISNUMBER(SEARCH("enterprise architect",$C180))),"Domain Architect",IF(ISNUMBER(SEARCH("delivery man",$C180)),"Delivery Manager",IF(OR(ISNUMBER(SEARCH("technology manager",$C180)),ISNUMBER(SEARCH("technology manger",$C180)),ISNUMBER(SEARCH("tech manager",$C180))),"Technology Manager","Squad"))))))</f>
        <v>Squad</v>
      </c>
      <c r="AS180" t="str">
        <f>IF(TRIM($B180)="","",IFERROR(INDEX(Lists!$AA:$AA,MATCH($AP180,Lists!$Z:$Z,0)),$AP180))</f>
        <v>Ampol Loyalty &amp; Martech</v>
      </c>
      <c r="AT180" t="str">
        <f>IF(TRIM($B180)="","",IF(IFERROR(INDEX(Lists!$AP$2:$AP$4,MATCH(ROW(),Lists!$AN$2:$AN$4,0)),"")&lt;&gt;"",IFERROR(INDEX(Lists!$AP$2:$AP$4,MATCH(ROW(),Lists!$AN$2:$AN$4,0)),""),IF(OR(LEFT($AJ180,3)="COE",$AJ180="EGI"),$AP180,IF($AR180&lt;&gt;"Squad",$AR180,$AP180))))</f>
        <v>Ampol Loyalty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>
        <f>IF(TRIM($B181)="","",IF(N($AU181)&gt;0,$AU181,IF(N($S181)&gt;0,$S181*Lists!$AG$15*(1+N($Z181)),N($U181)*(1+N($V181)+N($W181)+N($X181)+N($Z181))+N($Y181))))</f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IF(TRIM($B181)="","",IF(IFERROR(INDEX(Lists!$AO$2:$AO$4,MATCH(ROW(),Lists!$AN$2:$AN$4,0)),"")&lt;&gt;"",IFERROR(INDEX(Lists!$AO$2:$AO$4,MATCH(ROW(),Lists!$AN$2:$AN$4,0)),""),IFERROR(INDEX(Lists!$U:$U,MATCH(TRIM($I181),Lists!$T:$T,0)),TRIM($I181))))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",$C181)),"Head of Technology",IF(ISNUMBER(SEARCH("TDD BP",$C181)),"Business Partner",IF(OR(ISNUMBER(SEARCH("domain architect",$C181)),ISNUMBER(SEARCH("enterprise architect",$C181))),"Domain Architect",IF(ISNUMBER(SEARCH("delivery man",$C181)),"Delivery Manager",IF(OR(ISNUMBER(SEARCH("technology manager",$C181)),ISNUMBER(SEARCH("technology manger",$C181)),ISNUMBER(SEARCH("tech manager",$C181))),"Technology Manager","Squad"))))))</f>
        <v>Squad</v>
      </c>
      <c r="AS181" t="str">
        <f>IF(TRIM($B181)="","",IFERROR(INDEX(Lists!$AA:$AA,MATCH($AP181,Lists!$Z:$Z,0)),$AP181))</f>
        <v>Ampol Loyalty &amp; Martech</v>
      </c>
      <c r="AT181" t="str">
        <f>IF(TRIM($B181)="","",IF(IFERROR(INDEX(Lists!$AP$2:$AP$4,MATCH(ROW(),Lists!$AN$2:$AN$4,0)),"")&lt;&gt;"",IFERROR(INDEX(Lists!$AP$2:$AP$4,MATCH(ROW(),Lists!$AN$2:$AN$4,0)),""),IF(OR(LEFT($AJ181,3)="COE",$AJ181="EGI"),$AP181,IF($AR181&lt;&gt;"Squad",$AR181,$AP181))))</f>
        <v>Ampol Loyalty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>
        <f>IF(TRIM($B182)="","",IF(N($AU182)&gt;0,$AU182,IF(N($S182)&gt;0,$S182*Lists!$AG$15*(1+N($Z182)),N($U182)*(1+N($V182)+N($W182)+N($X182)+N($Z182))+N($Y182))))</f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IF(TRIM($B182)="","",IF(IFERROR(INDEX(Lists!$AO$2:$AO$4,MATCH(ROW(),Lists!$AN$2:$AN$4,0)),"")&lt;&gt;"",IFERROR(INDEX(Lists!$AO$2:$AO$4,MATCH(ROW(),Lists!$AN$2:$AN$4,0)),""),IFERROR(INDEX(Lists!$U:$U,MATCH(TRIM($I182),Lists!$T:$T,0)),TRIM($I182))))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",$C182)),"Head of Technology",IF(ISNUMBER(SEARCH("TDD BP",$C182)),"Business Partner",IF(OR(ISNUMBER(SEARCH("domain architect",$C182)),ISNUMBER(SEARCH("enterprise architect",$C182))),"Domain Architect",IF(ISNUMBER(SEARCH("delivery man",$C182)),"Delivery Manager",IF(OR(ISNUMBER(SEARCH("technology manager",$C182)),ISNUMBER(SEARCH("technology manger",$C182)),ISNUMBER(SEARCH("tech manager",$C182))),"Technology Manager","Squad"))))))</f>
        <v>Squad</v>
      </c>
      <c r="AS182" t="str">
        <f>IF(TRIM($B182)="","",IFERROR(INDEX(Lists!$AA:$AA,MATCH($AP182,Lists!$Z:$Z,0)),$AP182))</f>
        <v>Digital Operations</v>
      </c>
      <c r="AT182" t="str">
        <f>IF(TRIM($B182)="","",IF(IFERROR(INDEX(Lists!$AP$2:$AP$4,MATCH(ROW(),Lists!$AN$2:$AN$4,0)),"")&lt;&gt;"",IFERROR(INDEX(Lists!$AP$2:$AP$4,MATCH(ROW(),Lists!$AN$2:$AN$4,0)),""),IF(OR(LEFT($AJ182,3)="COE",$AJ182="EGI"),$AP182,IF($AR182&lt;&gt;"Squad",$AR182,$AP182))))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>
        <f>IF(TRIM($B183)="","",IF(N($AU183)&gt;0,$AU183,IF(N($S183)&gt;0,$S183*Lists!$AG$15*(1+N($Z183)),N($U183)*(1+N($V183)+N($W183)+N($X183)+N($Z183))+N($Y183))))</f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IF(TRIM($B183)="","",IF(IFERROR(INDEX(Lists!$AO$2:$AO$4,MATCH(ROW(),Lists!$AN$2:$AN$4,0)),"")&lt;&gt;"",IFERROR(INDEX(Lists!$AO$2:$AO$4,MATCH(ROW(),Lists!$AN$2:$AN$4,0)),""),IFERROR(INDEX(Lists!$U:$U,MATCH(TRIM($I183),Lists!$T:$T,0)),TRIM($I183))))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",$C183)),"Head of Technology",IF(ISNUMBER(SEARCH("TDD BP",$C183)),"Business Partner",IF(OR(ISNUMBER(SEARCH("domain architect",$C183)),ISNUMBER(SEARCH("enterprise architect",$C183))),"Domain Architect",IF(ISNUMBER(SEARCH("delivery man",$C183)),"Delivery Manager",IF(OR(ISNUMBER(SEARCH("technology manager",$C183)),ISNUMBER(SEARCH("technology manger",$C183)),ISNUMBER(SEARCH("tech manager",$C183))),"Technology Manager","Squad"))))))</f>
        <v>Squad</v>
      </c>
      <c r="AS183" t="str">
        <f>IF(TRIM($B183)="","",IFERROR(INDEX(Lists!$AA:$AA,MATCH($AP183,Lists!$Z:$Z,0)),$AP183))</f>
        <v>Digital Operations</v>
      </c>
      <c r="AT183" t="str">
        <f>IF(TRIM($B183)="","",IF(IFERROR(INDEX(Lists!$AP$2:$AP$4,MATCH(ROW(),Lists!$AN$2:$AN$4,0)),"")&lt;&gt;"",IFERROR(INDEX(Lists!$AP$2:$AP$4,MATCH(ROW(),Lists!$AN$2:$AN$4,0)),""),IF(OR(LEFT($AJ183,3)="COE",$AJ183="EGI"),$AP183,IF($AR183&lt;&gt;"Squad",$AR183,$AP183))))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>
        <f>IF(TRIM($B184)="","",IF(N($AU184)&gt;0,$AU184,IF(N($S184)&gt;0,$S184*Lists!$AG$15*(1+N($Z184)),N($U184)*(1+N($V184)+N($W184)+N($X184)+N($Z184))+N($Y184))))</f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IF(TRIM($B184)="","",IF(IFERROR(INDEX(Lists!$AO$2:$AO$4,MATCH(ROW(),Lists!$AN$2:$AN$4,0)),"")&lt;&gt;"",IFERROR(INDEX(Lists!$AO$2:$AO$4,MATCH(ROW(),Lists!$AN$2:$AN$4,0)),""),IFERROR(INDEX(Lists!$U:$U,MATCH(TRIM($I184),Lists!$T:$T,0)),TRIM($I184))))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",$C184)),"Head of Technology",IF(ISNUMBER(SEARCH("TDD BP",$C184)),"Business Partner",IF(OR(ISNUMBER(SEARCH("domain architect",$C184)),ISNUMBER(SEARCH("enterprise architect",$C184))),"Domain Architect",IF(ISNUMBER(SEARCH("delivery man",$C184)),"Delivery Manager",IF(OR(ISNUMBER(SEARCH("technology manager",$C184)),ISNUMBER(SEARCH("technology manger",$C184)),ISNUMBER(SEARCH("tech manager",$C184))),"Technology Manager","Squad"))))))</f>
        <v>Squad</v>
      </c>
      <c r="AS184" t="str">
        <f>IF(TRIM($B184)="","",IFERROR(INDEX(Lists!$AA:$AA,MATCH($AP184,Lists!$Z:$Z,0)),$AP184))</f>
        <v>Digital Operations</v>
      </c>
      <c r="AT184" t="str">
        <f>IF(TRIM($B184)="","",IF(IFERROR(INDEX(Lists!$AP$2:$AP$4,MATCH(ROW(),Lists!$AN$2:$AN$4,0)),"")&lt;&gt;"",IFERROR(INDEX(Lists!$AP$2:$AP$4,MATCH(ROW(),Lists!$AN$2:$AN$4,0)),""),IF(OR(LEFT($AJ184,3)="COE",$AJ184="EGI"),$AP184,IF($AR184&lt;&gt;"Squad",$AR184,$AP184))))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>
        <f>IF(TRIM($B185)="","",IF(N($AU185)&gt;0,$AU185,IF(N($S185)&gt;0,$S185*Lists!$AG$15*(1+N($Z185)),N($U185)*(1+N($V185)+N($W185)+N($X185)+N($Z185))+N($Y185))))</f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IF(TRIM($B185)="","",IF(IFERROR(INDEX(Lists!$AO$2:$AO$4,MATCH(ROW(),Lists!$AN$2:$AN$4,0)),"")&lt;&gt;"",IFERROR(INDEX(Lists!$AO$2:$AO$4,MATCH(ROW(),Lists!$AN$2:$AN$4,0)),""),IFERROR(INDEX(Lists!$U:$U,MATCH(TRIM($I185),Lists!$T:$T,0)),TRIM($I185))))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Ampol Loyalty &amp; Martech</v>
      </c>
      <c r="AQ185" s="949" t="b">
        <f>IF(TRIM($B185)="","",--OR(TRIM($K185)="Leadership",TRIM($J185)="Leadership"))</f>
        <v>0</v>
      </c>
      <c r="AR185" t="str">
        <f>IF(TRIM($B185)="","",IF(ISNUMBER(SEARCH("head of ",$C185)),"Head of Technology",IF(ISNUMBER(SEARCH("TDD BP",$C185)),"Business Partner",IF(OR(ISNUMBER(SEARCH("domain architect",$C185)),ISNUMBER(SEARCH("enterprise architect",$C185))),"Domain Architect",IF(ISNUMBER(SEARCH("delivery man",$C185)),"Delivery Manager",IF(OR(ISNUMBER(SEARCH("technology manager",$C185)),ISNUMBER(SEARCH("technology manger",$C185)),ISNUMBER(SEARCH("tech manager",$C185))),"Technology Manager","Squad"))))))</f>
        <v>Squad</v>
      </c>
      <c r="AS185" t="str">
        <f>IF(TRIM($B185)="","",IFERROR(INDEX(Lists!$AA:$AA,MATCH($AP185,Lists!$Z:$Z,0)),$AP185))</f>
        <v>Ampol Loyalty &amp; Martech</v>
      </c>
      <c r="AT185" t="str">
        <f>IF(TRIM($B185)="","",IF(IFERROR(INDEX(Lists!$AP$2:$AP$4,MATCH(ROW(),Lists!$AN$2:$AN$4,0)),"")&lt;&gt;"",IFERROR(INDEX(Lists!$AP$2:$AP$4,MATCH(ROW(),Lists!$AN$2:$AN$4,0)),""),IF(OR(LEFT($AJ185,3)="COE",$AJ185="EGI"),$AP185,IF($AR185&lt;&gt;"Squad",$AR185,$AP185))))</f>
        <v>Ampol Loyalty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>
        <f>IF(TRIM($B186)="","",IF(N($AU186)&gt;0,$AU186,IF(N($S186)&gt;0,$S186*Lists!$AG$15*(1+N($Z186)),N($U186)*(1+N($V186)+N($W186)+N($X186)+N($Z186))+N($Y186))))</f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IF(TRIM($B186)="","",IF(IFERROR(INDEX(Lists!$AO$2:$AO$4,MATCH(ROW(),Lists!$AN$2:$AN$4,0)),"")&lt;&gt;"",IFERROR(INDEX(Lists!$AO$2:$AO$4,MATCH(ROW(),Lists!$AN$2:$AN$4,0)),""),IFERROR(INDEX(Lists!$U:$U,MATCH(TRIM($I186),Lists!$T:$T,0)),TRIM($I186))))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Ampol Loyalty &amp; Martech</v>
      </c>
      <c r="AQ186" s="949" t="b">
        <f>IF(TRIM($B186)="","",--OR(TRIM($K186)="Leadership",TRIM($J186)="Leadership"))</f>
        <v>0</v>
      </c>
      <c r="AR186" t="str">
        <f>IF(TRIM($B186)="","",IF(ISNUMBER(SEARCH("head of ",$C186)),"Head of Technology",IF(ISNUMBER(SEARCH("TDD BP",$C186)),"Business Partner",IF(OR(ISNUMBER(SEARCH("domain architect",$C186)),ISNUMBER(SEARCH("enterprise architect",$C186))),"Domain Architect",IF(ISNUMBER(SEARCH("delivery man",$C186)),"Delivery Manager",IF(OR(ISNUMBER(SEARCH("technology manager",$C186)),ISNUMBER(SEARCH("technology manger",$C186)),ISNUMBER(SEARCH("tech manager",$C186))),"Technology Manager","Squad"))))))</f>
        <v>Squad</v>
      </c>
      <c r="AS186" t="str">
        <f>IF(TRIM($B186)="","",IFERROR(INDEX(Lists!$AA:$AA,MATCH($AP186,Lists!$Z:$Z,0)),$AP186))</f>
        <v>Ampol Loyalty &amp; Martech</v>
      </c>
      <c r="AT186" t="str">
        <f>IF(TRIM($B186)="","",IF(IFERROR(INDEX(Lists!$AP$2:$AP$4,MATCH(ROW(),Lists!$AN$2:$AN$4,0)),"")&lt;&gt;"",IFERROR(INDEX(Lists!$AP$2:$AP$4,MATCH(ROW(),Lists!$AN$2:$AN$4,0)),""),IF(OR(LEFT($AJ186,3)="COE",$AJ186="EGI"),$AP186,IF($AR186&lt;&gt;"Squad",$AR186,$AP186))))</f>
        <v>Ampol Loyalty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>
        <f>IF(TRIM($B187)="","",IF(N($AU187)&gt;0,$AU187,IF(N($S187)&gt;0,$S187*Lists!$AG$15*(1+N($Z187)),N($U187)*(1+N($V187)+N($W187)+N($X187)+N($Z187))+N($Y187))))</f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IF(TRIM($B187)="","",IF(IFERROR(INDEX(Lists!$AO$2:$AO$4,MATCH(ROW(),Lists!$AN$2:$AN$4,0)),"")&lt;&gt;"",IFERROR(INDEX(Lists!$AO$2:$AO$4,MATCH(ROW(),Lists!$AN$2:$AN$4,0)),""),IFERROR(INDEX(Lists!$U:$U,MATCH(TRIM($I187),Lists!$T:$T,0)),TRIM($I187))))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",$C187)),"Head of Technology",IF(ISNUMBER(SEARCH("TDD BP",$C187)),"Business Partner",IF(OR(ISNUMBER(SEARCH("domain architect",$C187)),ISNUMBER(SEARCH("enterprise architect",$C187))),"Domain Architect",IF(ISNUMBER(SEARCH("delivery man",$C187)),"Delivery Manager",IF(OR(ISNUMBER(SEARCH("technology manager",$C187)),ISNUMBER(SEARCH("technology manger",$C187)),ISNUMBER(SEARCH("tech manager",$C187))),"Technology Manager","Squad"))))))</f>
        <v>Squad</v>
      </c>
      <c r="AS187" t="str">
        <f>IF(TRIM($B187)="","",IFERROR(INDEX(Lists!$AA:$AA,MATCH($AP187,Lists!$Z:$Z,0)),$AP187))</f>
        <v>EGI Customer</v>
      </c>
      <c r="AT187" t="str">
        <f>IF(TRIM($B187)="","",IF(IFERROR(INDEX(Lists!$AP$2:$AP$4,MATCH(ROW(),Lists!$AN$2:$AN$4,0)),"")&lt;&gt;"",IFERROR(INDEX(Lists!$AP$2:$AP$4,MATCH(ROW(),Lists!$AN$2:$AN$4,0)),""),IF(OR(LEFT($AJ187,3)="COE",$AJ187="EGI"),$AP187,IF($AR187&lt;&gt;"Squad",$AR187,$AP187))))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>
        <f>IF(TRIM($B188)="","",IF(N($AU188)&gt;0,$AU188,IF(N($S188)&gt;0,$S188*Lists!$AG$15*(1+N($Z188)),N($U188)*(1+N($V188)+N($W188)+N($X188)+N($Z188))+N($Y188))))</f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IF(TRIM($B188)="","",IF(IFERROR(INDEX(Lists!$AO$2:$AO$4,MATCH(ROW(),Lists!$AN$2:$AN$4,0)),"")&lt;&gt;"",IFERROR(INDEX(Lists!$AO$2:$AO$4,MATCH(ROW(),Lists!$AN$2:$AN$4,0)),""),IFERROR(INDEX(Lists!$U:$U,MATCH(TRIM($I188),Lists!$T:$T,0)),TRIM($I188))))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Loyalty &amp; Martech</v>
      </c>
      <c r="AQ188" s="949" t="b">
        <f>IF(TRIM($B188)="","",--OR(TRIM($K188)="Leadership",TRIM($J188)="Leadership"))</f>
        <v>0</v>
      </c>
      <c r="AR188" t="str">
        <f>IF(TRIM($B188)="","",IF(ISNUMBER(SEARCH("head of ",$C188)),"Head of Technology",IF(ISNUMBER(SEARCH("TDD BP",$C188)),"Business Partner",IF(OR(ISNUMBER(SEARCH("domain architect",$C188)),ISNUMBER(SEARCH("enterprise architect",$C188))),"Domain Architect",IF(ISNUMBER(SEARCH("delivery man",$C188)),"Delivery Manager",IF(OR(ISNUMBER(SEARCH("technology manager",$C188)),ISNUMBER(SEARCH("technology manger",$C188)),ISNUMBER(SEARCH("tech manager",$C188))),"Technology Manager","Squad"))))))</f>
        <v>Squad</v>
      </c>
      <c r="AS188" t="str">
        <f>IF(TRIM($B188)="","",IFERROR(INDEX(Lists!$AA:$AA,MATCH($AP188,Lists!$Z:$Z,0)),$AP188))</f>
        <v>Z Loyalty &amp; Martech</v>
      </c>
      <c r="AT188" t="str">
        <f>IF(TRIM($B188)="","",IF(IFERROR(INDEX(Lists!$AP$2:$AP$4,MATCH(ROW(),Lists!$AN$2:$AN$4,0)),"")&lt;&gt;"",IFERROR(INDEX(Lists!$AP$2:$AP$4,MATCH(ROW(),Lists!$AN$2:$AN$4,0)),""),IF(OR(LEFT($AJ188,3)="COE",$AJ188="EGI"),$AP188,IF($AR188&lt;&gt;"Squad",$AR188,$AP188))))</f>
        <v>Z Loyalty &amp;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>
        <f>IF(TRIM($B189)="","",IF(N($AU189)&gt;0,$AU189,IF(N($S189)&gt;0,$S189*Lists!$AG$15*(1+N($Z189)),N($U189)*(1+N($V189)+N($W189)+N($X189)+N($Z189))+N($Y189))))</f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IF(TRIM($B189)="","",IF(IFERROR(INDEX(Lists!$AO$2:$AO$4,MATCH(ROW(),Lists!$AN$2:$AN$4,0)),"")&lt;&gt;"",IFERROR(INDEX(Lists!$AO$2:$AO$4,MATCH(ROW(),Lists!$AN$2:$AN$4,0)),""),IFERROR(INDEX(Lists!$U:$U,MATCH(TRIM($I189),Lists!$T:$T,0)),TRIM($I189))))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",$C189)),"Head of Technology",IF(ISNUMBER(SEARCH("TDD BP",$C189)),"Business Partner",IF(OR(ISNUMBER(SEARCH("domain architect",$C189)),ISNUMBER(SEARCH("enterprise architect",$C189))),"Domain Architect",IF(ISNUMBER(SEARCH("delivery man",$C189)),"Delivery Manager",IF(OR(ISNUMBER(SEARCH("technology manager",$C189)),ISNUMBER(SEARCH("technology manger",$C189)),ISNUMBER(SEARCH("tech manager",$C189))),"Technology Manager","Squad"))))))</f>
        <v>Technology Manager</v>
      </c>
      <c r="AS189" t="str">
        <f>IF(TRIM($B189)="","",IFERROR(INDEX(Lists!$AA:$AA,MATCH($AP189,Lists!$Z:$Z,0)),$AP189))</f>
        <v>Leadership</v>
      </c>
      <c r="AT189" t="str">
        <f>IF(TRIM($B189)="","",IF(IFERROR(INDEX(Lists!$AP$2:$AP$4,MATCH(ROW(),Lists!$AN$2:$AN$4,0)),"")&lt;&gt;"",IFERROR(INDEX(Lists!$AP$2:$AP$4,MATCH(ROW(),Lists!$AN$2:$AN$4,0)),""),IF(OR(LEFT($AJ189,3)="COE",$AJ189="EGI"),$AP189,IF($AR189&lt;&gt;"Squad",$AR189,$AP189))))</f>
        <v>Technology Manager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>
        <f>IF(TRIM($B190)="","",IF(N($AU190)&gt;0,$AU190,IF(N($S190)&gt;0,$S190*Lists!$AG$15*(1+N($Z190)),N($U190)*(1+N($V190)+N($W190)+N($X190)+N($Z190))+N($Y190))))</f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IF(TRIM($B190)="","",IF(IFERROR(INDEX(Lists!$AO$2:$AO$4,MATCH(ROW(),Lists!$AN$2:$AN$4,0)),"")&lt;&gt;"",IFERROR(INDEX(Lists!$AO$2:$AO$4,MATCH(ROW(),Lists!$AN$2:$AN$4,0)),""),IFERROR(INDEX(Lists!$U:$U,MATCH(TRIM($I190),Lists!$T:$T,0)),TRIM($I190))))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",$C190)),"Head of Technology",IF(ISNUMBER(SEARCH("TDD BP",$C190)),"Business Partner",IF(OR(ISNUMBER(SEARCH("domain architect",$C190)),ISNUMBER(SEARCH("enterprise architect",$C190))),"Domain Architect",IF(ISNUMBER(SEARCH("delivery man",$C190)),"Delivery Manager",IF(OR(ISNUMBER(SEARCH("technology manager",$C190)),ISNUMBER(SEARCH("technology manger",$C190)),ISNUMBER(SEARCH("tech manager",$C190))),"Technology Manager","Squad"))))))</f>
        <v>Squad</v>
      </c>
      <c r="AS190" t="str">
        <f>IF(TRIM($B190)="","",IFERROR(INDEX(Lists!$AA:$AA,MATCH($AP190,Lists!$Z:$Z,0)),$AP190))</f>
        <v>Ampol Web</v>
      </c>
      <c r="AT190" t="str">
        <f>IF(TRIM($B190)="","",IF(IFERROR(INDEX(Lists!$AP$2:$AP$4,MATCH(ROW(),Lists!$AN$2:$AN$4,0)),"")&lt;&gt;"",IFERROR(INDEX(Lists!$AP$2:$AP$4,MATCH(ROW(),Lists!$AN$2:$AN$4,0)),""),IF(OR(LEFT($AJ190,3)="COE",$AJ190="EGI"),$AP190,IF($AR190&lt;&gt;"Squad",$AR190,$AP190))))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>
        <f>IF(TRIM($B191)="","",IF(N($AU191)&gt;0,$AU191,IF(N($S191)&gt;0,$S191*Lists!$AG$15*(1+N($Z191)),N($U191)*(1+N($V191)+N($W191)+N($X191)+N($Z191))+N($Y191))))</f>
        <v/>
      </c>
      <c r="AB191" s="699" t="n"/>
      <c r="AC191" s="1299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>
        <f>IF(TRIM($B191)="","",IF(IFERROR(INDEX(Lists!$AO$2:$AO$4,MATCH(ROW(),Lists!$AN$2:$AN$4,0)),"")&lt;&gt;"",IFERROR(INDEX(Lists!$AO$2:$AO$4,MATCH(ROW(),Lists!$AN$2:$AN$4,0)),""),IFERROR(INDEX(Lists!$U:$U,MATCH(TRIM($I191),Lists!$T:$T,0)),TRIM($I191))))</f>
        <v/>
      </c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",$C191)),"Head of Technology",IF(ISNUMBER(SEARCH("TDD BP",$C191)),"Business Partner",IF(OR(ISNUMBER(SEARCH("domain architect",$C191)),ISNUMBER(SEARCH("enterprise architect",$C191))),"Domain Architect",IF(ISNUMBER(SEARCH("delivery man",$C191)),"Delivery Manager",IF(OR(ISNUMBER(SEARCH("technology manager",$C191)),ISNUMBER(SEARCH("technology manger",$C191)),ISNUMBER(SEARCH("tech manager",$C191))),"Technology Manager","Squad"))))))</f>
        <v/>
      </c>
      <c r="AS191">
        <f>IF(TRIM($B191)="","",IFERROR(INDEX(Lists!$AA:$AA,MATCH($AP191,Lists!$Z:$Z,0)),$AP191))</f>
        <v/>
      </c>
      <c r="AT191">
        <f>IF(TRIM($B191)="","",IF(IFERROR(INDEX(Lists!$AP$2:$AP$4,MATCH(ROW(),Lists!$AN$2:$AN$4,0)),"")&lt;&gt;"",IFERROR(INDEX(Lists!$AP$2:$AP$4,MATCH(ROW(),Lists!$AN$2:$AN$4,0)),""),IF(OR(LEFT($AJ191,3)="COE",$AJ191="EGI"),$AP191,IF($AR191&lt;&gt;"Squad",$AR191,$AP191))))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>
        <f>IF(TRIM($B192)="","",IF(N($AU192)&gt;0,$AU192,IF(N($S192)&gt;0,$S192*Lists!$AG$15*(1+N($Z192)),N($U192)*(1+N($V192)+N($W192)+N($X192)+N($Z192))+N($Y192))))</f>
        <v/>
      </c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>
        <f>IF(TRIM($B192)="","",IF(IFERROR(INDEX(Lists!$AO$2:$AO$4,MATCH(ROW(),Lists!$AN$2:$AN$4,0)),"")&lt;&gt;"",IFERROR(INDEX(Lists!$AO$2:$AO$4,MATCH(ROW(),Lists!$AN$2:$AN$4,0)),""),IFERROR(INDEX(Lists!$U:$U,MATCH(TRIM($I192),Lists!$T:$T,0)),TRIM($I192))))</f>
        <v/>
      </c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",$C192)),"Head of Technology",IF(ISNUMBER(SEARCH("TDD BP",$C192)),"Business Partner",IF(OR(ISNUMBER(SEARCH("domain architect",$C192)),ISNUMBER(SEARCH("enterprise architect",$C192))),"Domain Architect",IF(ISNUMBER(SEARCH("delivery man",$C192)),"Delivery Manager",IF(OR(ISNUMBER(SEARCH("technology manager",$C192)),ISNUMBER(SEARCH("technology manger",$C192)),ISNUMBER(SEARCH("tech manager",$C192))),"Technology Manager","Squad"))))))</f>
        <v/>
      </c>
      <c r="AS192">
        <f>IF(TRIM($B192)="","",IFERROR(INDEX(Lists!$AA:$AA,MATCH($AP192,Lists!$Z:$Z,0)),$AP192))</f>
        <v/>
      </c>
      <c r="AT192">
        <f>IF(TRIM($B192)="","",IF(IFERROR(INDEX(Lists!$AP$2:$AP$4,MATCH(ROW(),Lists!$AN$2:$AN$4,0)),"")&lt;&gt;"",IFERROR(INDEX(Lists!$AP$2:$AP$4,MATCH(ROW(),Lists!$AN$2:$AN$4,0)),""),IF(OR(LEFT($AJ192,3)="COE",$AJ192="EGI"),$AP192,IF($AR192&lt;&gt;"Squad",$AR192,$AP192))))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>
        <f>IF(TRIM($B193)="","",IF(N($AU193)&gt;0,$AU193,IF(N($S193)&gt;0,$S193*Lists!$AG$15*(1+N($Z193)),N($U193)*(1+N($V193)+N($W193)+N($X193)+N($Z193))+N($Y193))))</f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IF(TRIM($B193)="","",IF(IFERROR(INDEX(Lists!$AO$2:$AO$4,MATCH(ROW(),Lists!$AN$2:$AN$4,0)),"")&lt;&gt;"",IFERROR(INDEX(Lists!$AO$2:$AO$4,MATCH(ROW(),Lists!$AN$2:$AN$4,0)),""),IFERROR(INDEX(Lists!$U:$U,MATCH(TRIM($I193),Lists!$T:$T,0)),TRIM($I193))))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",$C193)),"Head of Technology",IF(ISNUMBER(SEARCH("TDD BP",$C193)),"Business Partner",IF(OR(ISNUMBER(SEARCH("domain architect",$C193)),ISNUMBER(SEARCH("enterprise architect",$C193))),"Domain Architect",IF(ISNUMBER(SEARCH("delivery man",$C193)),"Delivery Manager",IF(OR(ISNUMBER(SEARCH("technology manager",$C193)),ISNUMBER(SEARCH("technology manger",$C193)),ISNUMBER(SEARCH("tech manager",$C193))),"Technology Manager","Squad"))))))</f>
        <v>Squad</v>
      </c>
      <c r="AS193" t="str">
        <f>IF(TRIM($B193)="","",IFERROR(INDEX(Lists!$AA:$AA,MATCH($AP193,Lists!$Z:$Z,0)),$AP193))</f>
        <v>Service Op &amp; Assurance</v>
      </c>
      <c r="AT193" t="str">
        <f>IF(TRIM($B193)="","",IF(IFERROR(INDEX(Lists!$AP$2:$AP$4,MATCH(ROW(),Lists!$AN$2:$AN$4,0)),"")&lt;&gt;"",IFERROR(INDEX(Lists!$AP$2:$AP$4,MATCH(ROW(),Lists!$AN$2:$AN$4,0)),""),IF(OR(LEFT($AJ193,3)="COE",$AJ193="EGI"),$AP193,IF($AR193&lt;&gt;"Squad",$AR193,$AP193))))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>
        <f>IF(TRIM($B194)="","",IF(N($AU194)&gt;0,$AU194,IF(N($S194)&gt;0,$S194*Lists!$AG$15*(1+N($Z194)),N($U194)*(1+N($V194)+N($W194)+N($X194)+N($Z194))+N($Y194))))</f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IF(TRIM($B194)="","",IF(IFERROR(INDEX(Lists!$AO$2:$AO$4,MATCH(ROW(),Lists!$AN$2:$AN$4,0)),"")&lt;&gt;"",IFERROR(INDEX(Lists!$AO$2:$AO$4,MATCH(ROW(),Lists!$AN$2:$AN$4,0)),""),IFERROR(INDEX(Lists!$U:$U,MATCH(TRIM($I194),Lists!$T:$T,0)),TRIM($I194))))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",$C194)),"Head of Technology",IF(ISNUMBER(SEARCH("TDD BP",$C194)),"Business Partner",IF(OR(ISNUMBER(SEARCH("domain architect",$C194)),ISNUMBER(SEARCH("enterprise architect",$C194))),"Domain Architect",IF(ISNUMBER(SEARCH("delivery man",$C194)),"Delivery Manager",IF(OR(ISNUMBER(SEARCH("technology manager",$C194)),ISNUMBER(SEARCH("technology manger",$C194)),ISNUMBER(SEARCH("tech manager",$C194))),"Technology Manager","Squad"))))))</f>
        <v>Squad</v>
      </c>
      <c r="AS194" t="str">
        <f>IF(TRIM($B194)="","",IFERROR(INDEX(Lists!$AA:$AA,MATCH($AP194,Lists!$Z:$Z,0)),$AP194))</f>
        <v>Service Op &amp; Assurance</v>
      </c>
      <c r="AT194" t="str">
        <f>IF(TRIM($B194)="","",IF(IFERROR(INDEX(Lists!$AP$2:$AP$4,MATCH(ROW(),Lists!$AN$2:$AN$4,0)),"")&lt;&gt;"",IFERROR(INDEX(Lists!$AP$2:$AP$4,MATCH(ROW(),Lists!$AN$2:$AN$4,0)),""),IF(OR(LEFT($AJ194,3)="COE",$AJ194="EGI"),$AP194,IF($AR194&lt;&gt;"Squad",$AR194,$AP194))))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>
        <f>IF(TRIM($B195)="","",IF(N($AU195)&gt;0,$AU195,IF(N($S195)&gt;0,$S195*Lists!$AG$15*(1+N($Z195)),N($U195)*(1+N($V195)+N($W195)+N($X195)+N($Z195))+N($Y195))))</f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IF(TRIM($B195)="","",IF(IFERROR(INDEX(Lists!$AO$2:$AO$4,MATCH(ROW(),Lists!$AN$2:$AN$4,0)),"")&lt;&gt;"",IFERROR(INDEX(Lists!$AO$2:$AO$4,MATCH(ROW(),Lists!$AN$2:$AN$4,0)),""),IFERROR(INDEX(Lists!$U:$U,MATCH(TRIM($I195),Lists!$T:$T,0)),TRIM($I195))))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",$C195)),"Head of Technology",IF(ISNUMBER(SEARCH("TDD BP",$C195)),"Business Partner",IF(OR(ISNUMBER(SEARCH("domain architect",$C195)),ISNUMBER(SEARCH("enterprise architect",$C195))),"Domain Architect",IF(ISNUMBER(SEARCH("delivery man",$C195)),"Delivery Manager",IF(OR(ISNUMBER(SEARCH("technology manager",$C195)),ISNUMBER(SEARCH("technology manger",$C195)),ISNUMBER(SEARCH("tech manager",$C195))),"Technology Manager","Squad"))))))</f>
        <v>Squad</v>
      </c>
      <c r="AS195" t="str">
        <f>IF(TRIM($B195)="","",IFERROR(INDEX(Lists!$AA:$AA,MATCH($AP195,Lists!$Z:$Z,0)),$AP195))</f>
        <v>Cyber Risk</v>
      </c>
      <c r="AT195" t="str">
        <f>IF(TRIM($B195)="","",IF(IFERROR(INDEX(Lists!$AP$2:$AP$4,MATCH(ROW(),Lists!$AN$2:$AN$4,0)),"")&lt;&gt;"",IFERROR(INDEX(Lists!$AP$2:$AP$4,MATCH(ROW(),Lists!$AN$2:$AN$4,0)),""),IF(OR(LEFT($AJ195,3)="COE",$AJ195="EGI"),$AP195,IF($AR195&lt;&gt;"Squad",$AR195,$AP195))))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>
        <f>IF(TRIM($B196)="","",IF(N($AU196)&gt;0,$AU196,IF(N($S196)&gt;0,$S196*Lists!$AG$15*(1+N($Z196)),N($U196)*(1+N($V196)+N($W196)+N($X196)+N($Z196))+N($Y196))))</f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IF(TRIM($B196)="","",IF(IFERROR(INDEX(Lists!$AO$2:$AO$4,MATCH(ROW(),Lists!$AN$2:$AN$4,0)),"")&lt;&gt;"",IFERROR(INDEX(Lists!$AO$2:$AO$4,MATCH(ROW(),Lists!$AN$2:$AN$4,0)),""),IFERROR(INDEX(Lists!$U:$U,MATCH(TRIM($I196),Lists!$T:$T,0)),TRIM($I196))))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",$C196)),"Head of Technology",IF(ISNUMBER(SEARCH("TDD BP",$C196)),"Business Partner",IF(OR(ISNUMBER(SEARCH("domain architect",$C196)),ISNUMBER(SEARCH("enterprise architect",$C196))),"Domain Architect",IF(ISNUMBER(SEARCH("delivery man",$C196)),"Delivery Manager",IF(OR(ISNUMBER(SEARCH("technology manager",$C196)),ISNUMBER(SEARCH("technology manger",$C196)),ISNUMBER(SEARCH("tech manager",$C196))),"Technology Manager","Squad"))))))</f>
        <v>Squad</v>
      </c>
      <c r="AS196" t="str">
        <f>IF(TRIM($B196)="","",IFERROR(INDEX(Lists!$AA:$AA,MATCH($AP196,Lists!$Z:$Z,0)),$AP196))</f>
        <v>Cyber Strat &amp; Tech</v>
      </c>
      <c r="AT196" t="str">
        <f>IF(TRIM($B196)="","",IF(IFERROR(INDEX(Lists!$AP$2:$AP$4,MATCH(ROW(),Lists!$AN$2:$AN$4,0)),"")&lt;&gt;"",IFERROR(INDEX(Lists!$AP$2:$AP$4,MATCH(ROW(),Lists!$AN$2:$AN$4,0)),""),IF(OR(LEFT($AJ196,3)="COE",$AJ196="EGI"),$AP196,IF($AR196&lt;&gt;"Squad",$AR196,$AP196))))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>
        <f>IF(TRIM($B197)="","",IF(N($AU197)&gt;0,$AU197,IF(N($S197)&gt;0,$S197*Lists!$AG$15*(1+N($Z197)),N($U197)*(1+N($V197)+N($W197)+N($X197)+N($Z197))+N($Y197))))</f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IF(TRIM($B197)="","",IF(IFERROR(INDEX(Lists!$AO$2:$AO$4,MATCH(ROW(),Lists!$AN$2:$AN$4,0)),"")&lt;&gt;"",IFERROR(INDEX(Lists!$AO$2:$AO$4,MATCH(ROW(),Lists!$AN$2:$AN$4,0)),""),IFERROR(INDEX(Lists!$U:$U,MATCH(TRIM($I197),Lists!$T:$T,0)),TRIM($I197))))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",$C197)),"Head of Technology",IF(ISNUMBER(SEARCH("TDD BP",$C197)),"Business Partner",IF(OR(ISNUMBER(SEARCH("domain architect",$C197)),ISNUMBER(SEARCH("enterprise architect",$C197))),"Domain Architect",IF(ISNUMBER(SEARCH("delivery man",$C197)),"Delivery Manager",IF(OR(ISNUMBER(SEARCH("technology manager",$C197)),ISNUMBER(SEARCH("technology manger",$C197)),ISNUMBER(SEARCH("tech manager",$C197))),"Technology Manager","Squad"))))))</f>
        <v>Squad</v>
      </c>
      <c r="AS197" t="str">
        <f>IF(TRIM($B197)="","",IFERROR(INDEX(Lists!$AA:$AA,MATCH($AP197,Lists!$Z:$Z,0)),$AP197))</f>
        <v>Cyber Strat &amp; Tech</v>
      </c>
      <c r="AT197" t="str">
        <f>IF(TRIM($B197)="","",IF(IFERROR(INDEX(Lists!$AP$2:$AP$4,MATCH(ROW(),Lists!$AN$2:$AN$4,0)),"")&lt;&gt;"",IFERROR(INDEX(Lists!$AP$2:$AP$4,MATCH(ROW(),Lists!$AN$2:$AN$4,0)),""),IF(OR(LEFT($AJ197,3)="COE",$AJ197="EGI"),$AP197,IF($AR197&lt;&gt;"Squad",$AR197,$AP197))))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>
        <f>IF(TRIM($B198)="","",IF(N($AU198)&gt;0,$AU198,IF(N($S198)&gt;0,$S198*Lists!$AG$15*(1+N($Z198)),N($U198)*(1+N($V198)+N($W198)+N($X198)+N($Z198))+N($Y198))))</f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IF(TRIM($B198)="","",IF(IFERROR(INDEX(Lists!$AO$2:$AO$4,MATCH(ROW(),Lists!$AN$2:$AN$4,0)),"")&lt;&gt;"",IFERROR(INDEX(Lists!$AO$2:$AO$4,MATCH(ROW(),Lists!$AN$2:$AN$4,0)),""),IFERROR(INDEX(Lists!$U:$U,MATCH(TRIM($I198),Lists!$T:$T,0)),TRIM($I198))))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",$C198)),"Head of Technology",IF(ISNUMBER(SEARCH("TDD BP",$C198)),"Business Partner",IF(OR(ISNUMBER(SEARCH("domain architect",$C198)),ISNUMBER(SEARCH("enterprise architect",$C198))),"Domain Architect",IF(ISNUMBER(SEARCH("delivery man",$C198)),"Delivery Manager",IF(OR(ISNUMBER(SEARCH("technology manager",$C198)),ISNUMBER(SEARCH("technology manger",$C198)),ISNUMBER(SEARCH("tech manager",$C198))),"Technology Manager","Squad"))))))</f>
        <v>Squad</v>
      </c>
      <c r="AS198" t="str">
        <f>IF(TRIM($B198)="","",IFERROR(INDEX(Lists!$AA:$AA,MATCH($AP198,Lists!$Z:$Z,0)),$AP198))</f>
        <v>Cyber Strat &amp; Tech</v>
      </c>
      <c r="AT198" t="str">
        <f>IF(TRIM($B198)="","",IF(IFERROR(INDEX(Lists!$AP$2:$AP$4,MATCH(ROW(),Lists!$AN$2:$AN$4,0)),"")&lt;&gt;"",IFERROR(INDEX(Lists!$AP$2:$AP$4,MATCH(ROW(),Lists!$AN$2:$AN$4,0)),""),IF(OR(LEFT($AJ198,3)="COE",$AJ198="EGI"),$AP198,IF($AR198&lt;&gt;"Squad",$AR198,$AP198))))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>
        <f>IF(TRIM($B199)="","",IF(N($AU199)&gt;0,$AU199,IF(N($S199)&gt;0,$S199*Lists!$AG$15*(1+N($Z199)),N($U199)*(1+N($V199)+N($W199)+N($X199)+N($Z199))+N($Y199))))</f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IF(TRIM($B199)="","",IF(IFERROR(INDEX(Lists!$AO$2:$AO$4,MATCH(ROW(),Lists!$AN$2:$AN$4,0)),"")&lt;&gt;"",IFERROR(INDEX(Lists!$AO$2:$AO$4,MATCH(ROW(),Lists!$AN$2:$AN$4,0)),""),IFERROR(INDEX(Lists!$U:$U,MATCH(TRIM($I199),Lists!$T:$T,0)),TRIM($I199))))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",$C199)),"Head of Technology",IF(ISNUMBER(SEARCH("TDD BP",$C199)),"Business Partner",IF(OR(ISNUMBER(SEARCH("domain architect",$C199)),ISNUMBER(SEARCH("enterprise architect",$C199))),"Domain Architect",IF(ISNUMBER(SEARCH("delivery man",$C199)),"Delivery Manager",IF(OR(ISNUMBER(SEARCH("technology manager",$C199)),ISNUMBER(SEARCH("technology manger",$C199)),ISNUMBER(SEARCH("tech manager",$C199))),"Technology Manager","Squad"))))))</f>
        <v>Squad</v>
      </c>
      <c r="AS199" t="str">
        <f>IF(TRIM($B199)="","",IFERROR(INDEX(Lists!$AA:$AA,MATCH($AP199,Lists!$Z:$Z,0)),$AP199))</f>
        <v>Service Op &amp; Assurance</v>
      </c>
      <c r="AT199" t="str">
        <f>IF(TRIM($B199)="","",IF(IFERROR(INDEX(Lists!$AP$2:$AP$4,MATCH(ROW(),Lists!$AN$2:$AN$4,0)),"")&lt;&gt;"",IFERROR(INDEX(Lists!$AP$2:$AP$4,MATCH(ROW(),Lists!$AN$2:$AN$4,0)),""),IF(OR(LEFT($AJ199,3)="COE",$AJ199="EGI"),$AP199,IF($AR199&lt;&gt;"Squad",$AR199,$AP199))))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>
        <f>IF(TRIM($B200)="","",IF(N($AU200)&gt;0,$AU200,IF(N($S200)&gt;0,$S200*Lists!$AG$15*(1+N($Z200)),N($U200)*(1+N($V200)+N($W200)+N($X200)+N($Z200))+N($Y200))))</f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IF(TRIM($B200)="","",IF(IFERROR(INDEX(Lists!$AO$2:$AO$4,MATCH(ROW(),Lists!$AN$2:$AN$4,0)),"")&lt;&gt;"",IFERROR(INDEX(Lists!$AO$2:$AO$4,MATCH(ROW(),Lists!$AN$2:$AN$4,0)),""),IFERROR(INDEX(Lists!$U:$U,MATCH(TRIM($I200),Lists!$T:$T,0)),TRIM($I200))))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",$C200)),"Head of Technology",IF(ISNUMBER(SEARCH("TDD BP",$C200)),"Business Partner",IF(OR(ISNUMBER(SEARCH("domain architect",$C200)),ISNUMBER(SEARCH("enterprise architect",$C200))),"Domain Architect",IF(ISNUMBER(SEARCH("delivery man",$C200)),"Delivery Manager",IF(OR(ISNUMBER(SEARCH("technology manager",$C200)),ISNUMBER(SEARCH("technology manger",$C200)),ISNUMBER(SEARCH("tech manager",$C200))),"Technology Manager","Squad"))))))</f>
        <v>Squad</v>
      </c>
      <c r="AS200" t="str">
        <f>IF(TRIM($B200)="","",IFERROR(INDEX(Lists!$AA:$AA,MATCH($AP200,Lists!$Z:$Z,0)),$AP200))</f>
        <v>Cyber Strat &amp; Tech</v>
      </c>
      <c r="AT200" t="str">
        <f>IF(TRIM($B200)="","",IF(IFERROR(INDEX(Lists!$AP$2:$AP$4,MATCH(ROW(),Lists!$AN$2:$AN$4,0)),"")&lt;&gt;"",IFERROR(INDEX(Lists!$AP$2:$AP$4,MATCH(ROW(),Lists!$AN$2:$AN$4,0)),""),IF(OR(LEFT($AJ200,3)="COE",$AJ200="EGI"),$AP200,IF($AR200&lt;&gt;"Squad",$AR200,$AP200))))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>
        <f>IF(TRIM($B201)="","",IF(N($AU201)&gt;0,$AU201,IF(N($S201)&gt;0,$S201*Lists!$AG$15*(1+N($Z201)),N($U201)*(1+N($V201)+N($W201)+N($X201)+N($Z201))+N($Y201))))</f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IF(TRIM($B201)="","",IF(IFERROR(INDEX(Lists!$AO$2:$AO$4,MATCH(ROW(),Lists!$AN$2:$AN$4,0)),"")&lt;&gt;"",IFERROR(INDEX(Lists!$AO$2:$AO$4,MATCH(ROW(),Lists!$AN$2:$AN$4,0)),""),IFERROR(INDEX(Lists!$U:$U,MATCH(TRIM($I201),Lists!$T:$T,0)),TRIM($I201))))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",$C201)),"Head of Technology",IF(ISNUMBER(SEARCH("TDD BP",$C201)),"Business Partner",IF(OR(ISNUMBER(SEARCH("domain architect",$C201)),ISNUMBER(SEARCH("enterprise architect",$C201))),"Domain Architect",IF(ISNUMBER(SEARCH("delivery man",$C201)),"Delivery Manager",IF(OR(ISNUMBER(SEARCH("technology manager",$C201)),ISNUMBER(SEARCH("technology manger",$C201)),ISNUMBER(SEARCH("tech manager",$C201))),"Technology Manager","Squad"))))))</f>
        <v>Squad</v>
      </c>
      <c r="AS201" t="str">
        <f>IF(TRIM($B201)="","",IFERROR(INDEX(Lists!$AA:$AA,MATCH($AP201,Lists!$Z:$Z,0)),$AP201))</f>
        <v>Service Op &amp; Assurance</v>
      </c>
      <c r="AT201" t="str">
        <f>IF(TRIM($B201)="","",IF(IFERROR(INDEX(Lists!$AP$2:$AP$4,MATCH(ROW(),Lists!$AN$2:$AN$4,0)),"")&lt;&gt;"",IFERROR(INDEX(Lists!$AP$2:$AP$4,MATCH(ROW(),Lists!$AN$2:$AN$4,0)),""),IF(OR(LEFT($AJ201,3)="COE",$AJ201="EGI"),$AP201,IF($AR201&lt;&gt;"Squad",$AR201,$AP201))))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>
        <f>IF(TRIM($B202)="","",IF(N($AU202)&gt;0,$AU202,IF(N($S202)&gt;0,$S202*Lists!$AG$15*(1+N($Z202)),N($U202)*(1+N($V202)+N($W202)+N($X202)+N($Z202))+N($Y202))))</f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IF(TRIM($B202)="","",IF(IFERROR(INDEX(Lists!$AO$2:$AO$4,MATCH(ROW(),Lists!$AN$2:$AN$4,0)),"")&lt;&gt;"",IFERROR(INDEX(Lists!$AO$2:$AO$4,MATCH(ROW(),Lists!$AN$2:$AN$4,0)),""),IFERROR(INDEX(Lists!$U:$U,MATCH(TRIM($I202),Lists!$T:$T,0)),TRIM($I202))))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",$C202)),"Head of Technology",IF(ISNUMBER(SEARCH("TDD BP",$C202)),"Business Partner",IF(OR(ISNUMBER(SEARCH("domain architect",$C202)),ISNUMBER(SEARCH("enterprise architect",$C202))),"Domain Architect",IF(ISNUMBER(SEARCH("delivery man",$C202)),"Delivery Manager",IF(OR(ISNUMBER(SEARCH("technology manager",$C202)),ISNUMBER(SEARCH("technology manger",$C202)),ISNUMBER(SEARCH("tech manager",$C202))),"Technology Manager","Squad"))))))</f>
        <v>Squad</v>
      </c>
      <c r="AS202" t="str">
        <f>IF(TRIM($B202)="","",IFERROR(INDEX(Lists!$AA:$AA,MATCH($AP202,Lists!$Z:$Z,0)),$AP202))</f>
        <v>Service Op &amp; Assurance</v>
      </c>
      <c r="AT202" t="str">
        <f>IF(TRIM($B202)="","",IF(IFERROR(INDEX(Lists!$AP$2:$AP$4,MATCH(ROW(),Lists!$AN$2:$AN$4,0)),"")&lt;&gt;"",IFERROR(INDEX(Lists!$AP$2:$AP$4,MATCH(ROW(),Lists!$AN$2:$AN$4,0)),""),IF(OR(LEFT($AJ202,3)="COE",$AJ202="EGI"),$AP202,IF($AR202&lt;&gt;"Squad",$AR202,$AP202))))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>
        <f>IF(TRIM($B203)="","",IF(N($AU203)&gt;0,$AU203,IF(N($S203)&gt;0,$S203*Lists!$AG$15*(1+N($Z203)),N($U203)*(1+N($V203)+N($W203)+N($X203)+N($Z203))+N($Y203))))</f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IF(TRIM($B203)="","",IF(IFERROR(INDEX(Lists!$AO$2:$AO$4,MATCH(ROW(),Lists!$AN$2:$AN$4,0)),"")&lt;&gt;"",IFERROR(INDEX(Lists!$AO$2:$AO$4,MATCH(ROW(),Lists!$AN$2:$AN$4,0)),""),IFERROR(INDEX(Lists!$U:$U,MATCH(TRIM($I203),Lists!$T:$T,0)),TRIM($I203))))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",$C203)),"Head of Technology",IF(ISNUMBER(SEARCH("TDD BP",$C203)),"Business Partner",IF(OR(ISNUMBER(SEARCH("domain architect",$C203)),ISNUMBER(SEARCH("enterprise architect",$C203))),"Domain Architect",IF(ISNUMBER(SEARCH("delivery man",$C203)),"Delivery Manager",IF(OR(ISNUMBER(SEARCH("technology manager",$C203)),ISNUMBER(SEARCH("technology manger",$C203)),ISNUMBER(SEARCH("tech manager",$C203))),"Technology Manager","Squad"))))))</f>
        <v>Squad</v>
      </c>
      <c r="AS203" t="str">
        <f>IF(TRIM($B203)="","",IFERROR(INDEX(Lists!$AA:$AA,MATCH($AP203,Lists!$Z:$Z,0)),$AP203))</f>
        <v>Cyber Strat &amp; Tech</v>
      </c>
      <c r="AT203" t="str">
        <f>IF(TRIM($B203)="","",IF(IFERROR(INDEX(Lists!$AP$2:$AP$4,MATCH(ROW(),Lists!$AN$2:$AN$4,0)),"")&lt;&gt;"",IFERROR(INDEX(Lists!$AP$2:$AP$4,MATCH(ROW(),Lists!$AN$2:$AN$4,0)),""),IF(OR(LEFT($AJ203,3)="COE",$AJ203="EGI"),$AP203,IF($AR203&lt;&gt;"Squad",$AR203,$AP203))))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>
        <f>IF(TRIM($B204)="","",IF(N($AU204)&gt;0,$AU204,IF(N($S204)&gt;0,$S204*Lists!$AG$15*(1+N($Z204)),N($U204)*(1+N($V204)+N($W204)+N($X204)+N($Z204))+N($Y204))))</f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IF(TRIM($B204)="","",IF(IFERROR(INDEX(Lists!$AO$2:$AO$4,MATCH(ROW(),Lists!$AN$2:$AN$4,0)),"")&lt;&gt;"",IFERROR(INDEX(Lists!$AO$2:$AO$4,MATCH(ROW(),Lists!$AN$2:$AN$4,0)),""),IFERROR(INDEX(Lists!$U:$U,MATCH(TRIM($I204),Lists!$T:$T,0)),TRIM($I204))))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",$C204)),"Head of Technology",IF(ISNUMBER(SEARCH("TDD BP",$C204)),"Business Partner",IF(OR(ISNUMBER(SEARCH("domain architect",$C204)),ISNUMBER(SEARCH("enterprise architect",$C204))),"Domain Architect",IF(ISNUMBER(SEARCH("delivery man",$C204)),"Delivery Manager",IF(OR(ISNUMBER(SEARCH("technology manager",$C204)),ISNUMBER(SEARCH("technology manger",$C204)),ISNUMBER(SEARCH("tech manager",$C204))),"Technology Manager","Squad"))))))</f>
        <v>Squad</v>
      </c>
      <c r="AS204" t="str">
        <f>IF(TRIM($B204)="","",IFERROR(INDEX(Lists!$AA:$AA,MATCH($AP204,Lists!$Z:$Z,0)),$AP204))</f>
        <v>Cyber GRC</v>
      </c>
      <c r="AT204" t="str">
        <f>IF(TRIM($B204)="","",IF(IFERROR(INDEX(Lists!$AP$2:$AP$4,MATCH(ROW(),Lists!$AN$2:$AN$4,0)),"")&lt;&gt;"",IFERROR(INDEX(Lists!$AP$2:$AP$4,MATCH(ROW(),Lists!$AN$2:$AN$4,0)),""),IF(OR(LEFT($AJ204,3)="COE",$AJ204="EGI"),$AP204,IF($AR204&lt;&gt;"Squad",$AR204,$AP204))))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>
        <f>IF(TRIM($B205)="","",IF(N($AU205)&gt;0,$AU205,IF(N($S205)&gt;0,$S205*Lists!$AG$15*(1+N($Z205)),N($U205)*(1+N($V205)+N($W205)+N($X205)+N($Z205))+N($Y205))))</f>
        <v>89758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IF(TRIM($B205)="","",IF(IFERROR(INDEX(Lists!$AO$2:$AO$4,MATCH(ROW(),Lists!$AN$2:$AN$4,0)),"")&lt;&gt;"",IFERROR(INDEX(Lists!$AO$2:$AO$4,MATCH(ROW(),Lists!$AN$2:$AN$4,0)),""),IFERROR(INDEX(Lists!$U:$U,MATCH(TRIM($I205),Lists!$T:$T,0)),TRIM($I205))))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",$C205)),"Head of Technology",IF(ISNUMBER(SEARCH("TDD BP",$C205)),"Business Partner",IF(OR(ISNUMBER(SEARCH("domain architect",$C205)),ISNUMBER(SEARCH("enterprise architect",$C205))),"Domain Architect",IF(ISNUMBER(SEARCH("delivery man",$C205)),"Delivery Manager",IF(OR(ISNUMBER(SEARCH("technology manager",$C205)),ISNUMBER(SEARCH("technology manger",$C205)),ISNUMBER(SEARCH("tech manager",$C205))),"Technology Manager","Squad"))))))</f>
        <v>Squad</v>
      </c>
      <c r="AS205" t="str">
        <f>IF(TRIM($B205)="","",IFERROR(INDEX(Lists!$AA:$AA,MATCH($AP205,Lists!$Z:$Z,0)),$AP205))</f>
        <v>Service Op &amp; Assurance</v>
      </c>
      <c r="AT205" t="str">
        <f>IF(TRIM($B205)="","",IF(IFERROR(INDEX(Lists!$AP$2:$AP$4,MATCH(ROW(),Lists!$AN$2:$AN$4,0)),"")&lt;&gt;"",IFERROR(INDEX(Lists!$AP$2:$AP$4,MATCH(ROW(),Lists!$AN$2:$AN$4,0)),""),IF(OR(LEFT($AJ205,3)="COE",$AJ205="EGI"),$AP205,IF($AR205&lt;&gt;"Squad",$AR205,$AP205))))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>
        <f>IF(TRIM($B206)="","",IF(N($AU206)&gt;0,$AU206,IF(N($S206)&gt;0,$S206*Lists!$AG$15*(1+N($Z206)),N($U206)*(1+N($V206)+N($W206)+N($X206)+N($Z206))+N($Y206))))</f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IF(TRIM($B206)="","",IF(IFERROR(INDEX(Lists!$AO$2:$AO$4,MATCH(ROW(),Lists!$AN$2:$AN$4,0)),"")&lt;&gt;"",IFERROR(INDEX(Lists!$AO$2:$AO$4,MATCH(ROW(),Lists!$AN$2:$AN$4,0)),""),IFERROR(INDEX(Lists!$U:$U,MATCH(TRIM($I206),Lists!$T:$T,0)),TRIM($I206))))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",$C206)),"Head of Technology",IF(ISNUMBER(SEARCH("TDD BP",$C206)),"Business Partner",IF(OR(ISNUMBER(SEARCH("domain architect",$C206)),ISNUMBER(SEARCH("enterprise architect",$C206))),"Domain Architect",IF(ISNUMBER(SEARCH("delivery man",$C206)),"Delivery Manager",IF(OR(ISNUMBER(SEARCH("technology manager",$C206)),ISNUMBER(SEARCH("technology manger",$C206)),ISNUMBER(SEARCH("tech manager",$C206))),"Technology Manager","Squad"))))))</f>
        <v>Squad</v>
      </c>
      <c r="AS206" t="str">
        <f>IF(TRIM($B206)="","",IFERROR(INDEX(Lists!$AA:$AA,MATCH($AP206,Lists!$Z:$Z,0)),$AP206))</f>
        <v>Cyber Strat &amp; Tech</v>
      </c>
      <c r="AT206" t="str">
        <f>IF(TRIM($B206)="","",IF(IFERROR(INDEX(Lists!$AP$2:$AP$4,MATCH(ROW(),Lists!$AN$2:$AN$4,0)),"")&lt;&gt;"",IFERROR(INDEX(Lists!$AP$2:$AP$4,MATCH(ROW(),Lists!$AN$2:$AN$4,0)),""),IF(OR(LEFT($AJ206,3)="COE",$AJ206="EGI"),$AP206,IF($AR206&lt;&gt;"Squad",$AR206,$AP206))))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>
        <f>IF(TRIM($B207)="","",IF(N($AU207)&gt;0,$AU207,IF(N($S207)&gt;0,$S207*Lists!$AG$15*(1+N($Z207)),N($U207)*(1+N($V207)+N($W207)+N($X207)+N($Z207))+N($Y207))))</f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IF(TRIM($B207)="","",IF(IFERROR(INDEX(Lists!$AO$2:$AO$4,MATCH(ROW(),Lists!$AN$2:$AN$4,0)),"")&lt;&gt;"",IFERROR(INDEX(Lists!$AO$2:$AO$4,MATCH(ROW(),Lists!$AN$2:$AN$4,0)),""),IFERROR(INDEX(Lists!$U:$U,MATCH(TRIM($I207),Lists!$T:$T,0)),TRIM($I207))))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",$C207)),"Head of Technology",IF(ISNUMBER(SEARCH("TDD BP",$C207)),"Business Partner",IF(OR(ISNUMBER(SEARCH("domain architect",$C207)),ISNUMBER(SEARCH("enterprise architect",$C207))),"Domain Architect",IF(ISNUMBER(SEARCH("delivery man",$C207)),"Delivery Manager",IF(OR(ISNUMBER(SEARCH("technology manager",$C207)),ISNUMBER(SEARCH("technology manger",$C207)),ISNUMBER(SEARCH("tech manager",$C207))),"Technology Manager","Squad"))))))</f>
        <v>Squad</v>
      </c>
      <c r="AS207" t="str">
        <f>IF(TRIM($B207)="","",IFERROR(INDEX(Lists!$AA:$AA,MATCH($AP207,Lists!$Z:$Z,0)),$AP207))</f>
        <v>Service Op &amp; Assurance</v>
      </c>
      <c r="AT207" t="str">
        <f>IF(TRIM($B207)="","",IF(IFERROR(INDEX(Lists!$AP$2:$AP$4,MATCH(ROW(),Lists!$AN$2:$AN$4,0)),"")&lt;&gt;"",IFERROR(INDEX(Lists!$AP$2:$AP$4,MATCH(ROW(),Lists!$AN$2:$AN$4,0)),""),IF(OR(LEFT($AJ207,3)="COE",$AJ207="EGI"),$AP207,IF($AR207&lt;&gt;"Squad",$AR207,$AP207))))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>
        <f>IF(TRIM($B208)="","",IF(N($AU208)&gt;0,$AU208,IF(N($S208)&gt;0,$S208*Lists!$AG$15*(1+N($Z208)),N($U208)*(1+N($V208)+N($W208)+N($X208)+N($Z208))+N($Y208))))</f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IF(TRIM($B208)="","",IF(IFERROR(INDEX(Lists!$AO$2:$AO$4,MATCH(ROW(),Lists!$AN$2:$AN$4,0)),"")&lt;&gt;"",IFERROR(INDEX(Lists!$AO$2:$AO$4,MATCH(ROW(),Lists!$AN$2:$AN$4,0)),""),IFERROR(INDEX(Lists!$U:$U,MATCH(TRIM($I208),Lists!$T:$T,0)),TRIM($I208))))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",$C208)),"Head of Technology",IF(ISNUMBER(SEARCH("TDD BP",$C208)),"Business Partner",IF(OR(ISNUMBER(SEARCH("domain architect",$C208)),ISNUMBER(SEARCH("enterprise architect",$C208))),"Domain Architect",IF(ISNUMBER(SEARCH("delivery man",$C208)),"Delivery Manager",IF(OR(ISNUMBER(SEARCH("technology manager",$C208)),ISNUMBER(SEARCH("technology manger",$C208)),ISNUMBER(SEARCH("tech manager",$C208))),"Technology Manager","Squad"))))))</f>
        <v>Head of Technology</v>
      </c>
      <c r="AS208" t="str">
        <f>IF(TRIM($B208)="","",IFERROR(INDEX(Lists!$AA:$AA,MATCH($AP208,Lists!$Z:$Z,0)),$AP208))</f>
        <v>Cyber Strat &amp; Tech</v>
      </c>
      <c r="AT208" t="str">
        <f>IF(TRIM($B208)="","",IF(IFERROR(INDEX(Lists!$AP$2:$AP$4,MATCH(ROW(),Lists!$AN$2:$AN$4,0)),"")&lt;&gt;"",IFERROR(INDEX(Lists!$AP$2:$AP$4,MATCH(ROW(),Lists!$AN$2:$AN$4,0)),""),IF(OR(LEFT($AJ208,3)="COE",$AJ208="EGI"),$AP208,IF($AR208&lt;&gt;"Squad",$AR208,$AP208))))</f>
        <v>Cyber Strat &amp; Tech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>
        <f>IF(TRIM($B209)="","",IF(N($AU209)&gt;0,$AU209,IF(N($S209)&gt;0,$S209*Lists!$AG$15*(1+N($Z209)),N($U209)*(1+N($V209)+N($W209)+N($X209)+N($Z209))+N($Y209))))</f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IF(TRIM($B209)="","",IF(IFERROR(INDEX(Lists!$AO$2:$AO$4,MATCH(ROW(),Lists!$AN$2:$AN$4,0)),"")&lt;&gt;"",IFERROR(INDEX(Lists!$AO$2:$AO$4,MATCH(ROW(),Lists!$AN$2:$AN$4,0)),""),IFERROR(INDEX(Lists!$U:$U,MATCH(TRIM($I209),Lists!$T:$T,0)),TRIM($I209))))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",$C209)),"Head of Technology",IF(ISNUMBER(SEARCH("TDD BP",$C209)),"Business Partner",IF(OR(ISNUMBER(SEARCH("domain architect",$C209)),ISNUMBER(SEARCH("enterprise architect",$C209))),"Domain Architect",IF(ISNUMBER(SEARCH("delivery man",$C209)),"Delivery Manager",IF(OR(ISNUMBER(SEARCH("technology manager",$C209)),ISNUMBER(SEARCH("technology manger",$C209)),ISNUMBER(SEARCH("tech manager",$C209))),"Technology Manager","Squad"))))))</f>
        <v>Squad</v>
      </c>
      <c r="AS209" t="str">
        <f>IF(TRIM($B209)="","",IFERROR(INDEX(Lists!$AA:$AA,MATCH($AP209,Lists!$Z:$Z,0)),$AP209))</f>
        <v>Service Op &amp; Assurance</v>
      </c>
      <c r="AT209" t="str">
        <f>IF(TRIM($B209)="","",IF(IFERROR(INDEX(Lists!$AP$2:$AP$4,MATCH(ROW(),Lists!$AN$2:$AN$4,0)),"")&lt;&gt;"",IFERROR(INDEX(Lists!$AP$2:$AP$4,MATCH(ROW(),Lists!$AN$2:$AN$4,0)),""),IF(OR(LEFT($AJ209,3)="COE",$AJ209="EGI"),$AP209,IF($AR209&lt;&gt;"Squad",$AR209,$AP209))))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>
        <f>IF(TRIM($B210)="","",IF(N($AU210)&gt;0,$AU210,IF(N($S210)&gt;0,$S210*Lists!$AG$15*(1+N($Z210)),N($U210)*(1+N($V210)+N($W210)+N($X210)+N($Z210))+N($Y210))))</f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IF(TRIM($B210)="","",IF(IFERROR(INDEX(Lists!$AO$2:$AO$4,MATCH(ROW(),Lists!$AN$2:$AN$4,0)),"")&lt;&gt;"",IFERROR(INDEX(Lists!$AO$2:$AO$4,MATCH(ROW(),Lists!$AN$2:$AN$4,0)),""),IFERROR(INDEX(Lists!$U:$U,MATCH(TRIM($I210),Lists!$T:$T,0)),TRIM($I210))))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",$C210)),"Head of Technology",IF(ISNUMBER(SEARCH("TDD BP",$C210)),"Business Partner",IF(OR(ISNUMBER(SEARCH("domain architect",$C210)),ISNUMBER(SEARCH("enterprise architect",$C210))),"Domain Architect",IF(ISNUMBER(SEARCH("delivery man",$C210)),"Delivery Manager",IF(OR(ISNUMBER(SEARCH("technology manager",$C210)),ISNUMBER(SEARCH("technology manger",$C210)),ISNUMBER(SEARCH("tech manager",$C210))),"Technology Manager","Squad"))))))</f>
        <v>Squad</v>
      </c>
      <c r="AS210" t="str">
        <f>IF(TRIM($B210)="","",IFERROR(INDEX(Lists!$AA:$AA,MATCH($AP210,Lists!$Z:$Z,0)),$AP210))</f>
        <v>Cyber Strat &amp; Tech</v>
      </c>
      <c r="AT210" t="str">
        <f>IF(TRIM($B210)="","",IF(IFERROR(INDEX(Lists!$AP$2:$AP$4,MATCH(ROW(),Lists!$AN$2:$AN$4,0)),"")&lt;&gt;"",IFERROR(INDEX(Lists!$AP$2:$AP$4,MATCH(ROW(),Lists!$AN$2:$AN$4,0)),""),IF(OR(LEFT($AJ210,3)="COE",$AJ210="EGI"),$AP210,IF($AR210&lt;&gt;"Squad",$AR210,$AP210))))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>
        <f>IF(TRIM($B211)="","",IF(N($AU211)&gt;0,$AU211,IF(N($S211)&gt;0,$S211*Lists!$AG$15*(1+N($Z211)),N($U211)*(1+N($V211)+N($W211)+N($X211)+N($Z211))+N($Y211))))</f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IF(TRIM($B211)="","",IF(IFERROR(INDEX(Lists!$AO$2:$AO$4,MATCH(ROW(),Lists!$AN$2:$AN$4,0)),"")&lt;&gt;"",IFERROR(INDEX(Lists!$AO$2:$AO$4,MATCH(ROW(),Lists!$AN$2:$AN$4,0)),""),IFERROR(INDEX(Lists!$U:$U,MATCH(TRIM($I211),Lists!$T:$T,0)),TRIM($I211))))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",$C211)),"Head of Technology",IF(ISNUMBER(SEARCH("TDD BP",$C211)),"Business Partner",IF(OR(ISNUMBER(SEARCH("domain architect",$C211)),ISNUMBER(SEARCH("enterprise architect",$C211))),"Domain Architect",IF(ISNUMBER(SEARCH("delivery man",$C211)),"Delivery Manager",IF(OR(ISNUMBER(SEARCH("technology manager",$C211)),ISNUMBER(SEARCH("technology manger",$C211)),ISNUMBER(SEARCH("tech manager",$C211))),"Technology Manager","Squad"))))))</f>
        <v>Squad</v>
      </c>
      <c r="AS211" t="str">
        <f>IF(TRIM($B211)="","",IFERROR(INDEX(Lists!$AA:$AA,MATCH($AP211,Lists!$Z:$Z,0)),$AP211))</f>
        <v>Service Op &amp; Assurance</v>
      </c>
      <c r="AT211" t="str">
        <f>IF(TRIM($B211)="","",IF(IFERROR(INDEX(Lists!$AP$2:$AP$4,MATCH(ROW(),Lists!$AN$2:$AN$4,0)),"")&lt;&gt;"",IFERROR(INDEX(Lists!$AP$2:$AP$4,MATCH(ROW(),Lists!$AN$2:$AN$4,0)),""),IF(OR(LEFT($AJ211,3)="COE",$AJ211="EGI"),$AP211,IF($AR211&lt;&gt;"Squad",$AR211,$AP211))))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>
        <f>IF(TRIM($B212)="","",IF(N($AU212)&gt;0,$AU212,IF(N($S212)&gt;0,$S212*Lists!$AG$15*(1+N($Z212)),N($U212)*(1+N($V212)+N($W212)+N($X212)+N($Z212))+N($Y212))))</f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IF(TRIM($B212)="","",IF(IFERROR(INDEX(Lists!$AO$2:$AO$4,MATCH(ROW(),Lists!$AN$2:$AN$4,0)),"")&lt;&gt;"",IFERROR(INDEX(Lists!$AO$2:$AO$4,MATCH(ROW(),Lists!$AN$2:$AN$4,0)),""),IFERROR(INDEX(Lists!$U:$U,MATCH(TRIM($I212),Lists!$T:$T,0)),TRIM($I212))))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",$C212)),"Head of Technology",IF(ISNUMBER(SEARCH("TDD BP",$C212)),"Business Partner",IF(OR(ISNUMBER(SEARCH("domain architect",$C212)),ISNUMBER(SEARCH("enterprise architect",$C212))),"Domain Architect",IF(ISNUMBER(SEARCH("delivery man",$C212)),"Delivery Manager",IF(OR(ISNUMBER(SEARCH("technology manager",$C212)),ISNUMBER(SEARCH("technology manger",$C212)),ISNUMBER(SEARCH("tech manager",$C212))),"Technology Manager","Squad"))))))</f>
        <v>Squad</v>
      </c>
      <c r="AS212" t="str">
        <f>IF(TRIM($B212)="","",IFERROR(INDEX(Lists!$AA:$AA,MATCH($AP212,Lists!$Z:$Z,0)),$AP212))</f>
        <v>Cyber Strat &amp; Tech</v>
      </c>
      <c r="AT212" t="str">
        <f>IF(TRIM($B212)="","",IF(IFERROR(INDEX(Lists!$AP$2:$AP$4,MATCH(ROW(),Lists!$AN$2:$AN$4,0)),"")&lt;&gt;"",IFERROR(INDEX(Lists!$AP$2:$AP$4,MATCH(ROW(),Lists!$AN$2:$AN$4,0)),""),IF(OR(LEFT($AJ212,3)="COE",$AJ212="EGI"),$AP212,IF($AR212&lt;&gt;"Squad",$AR212,$AP212))))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>
        <f>IF(TRIM($B213)="","",IF(N($AU213)&gt;0,$AU213,IF(N($S213)&gt;0,$S213*Lists!$AG$15*(1+N($Z213)),N($U213)*(1+N($V213)+N($W213)+N($X213)+N($Z213))+N($Y213))))</f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IF(TRIM($B213)="","",IF(IFERROR(INDEX(Lists!$AO$2:$AO$4,MATCH(ROW(),Lists!$AN$2:$AN$4,0)),"")&lt;&gt;"",IFERROR(INDEX(Lists!$AO$2:$AO$4,MATCH(ROW(),Lists!$AN$2:$AN$4,0)),""),IFERROR(INDEX(Lists!$U:$U,MATCH(TRIM($I213),Lists!$T:$T,0)),TRIM($I213))))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",$C213)),"Head of Technology",IF(ISNUMBER(SEARCH("TDD BP",$C213)),"Business Partner",IF(OR(ISNUMBER(SEARCH("domain architect",$C213)),ISNUMBER(SEARCH("enterprise architect",$C213))),"Domain Architect",IF(ISNUMBER(SEARCH("delivery man",$C213)),"Delivery Manager",IF(OR(ISNUMBER(SEARCH("technology manager",$C213)),ISNUMBER(SEARCH("technology manger",$C213)),ISNUMBER(SEARCH("tech manager",$C213))),"Technology Manager","Squad"))))))</f>
        <v>Squad</v>
      </c>
      <c r="AS213" t="str">
        <f>IF(TRIM($B213)="","",IFERROR(INDEX(Lists!$AA:$AA,MATCH($AP213,Lists!$Z:$Z,0)),$AP213))</f>
        <v>Cyber Sec Ops</v>
      </c>
      <c r="AT213" t="str">
        <f>IF(TRIM($B213)="","",IF(IFERROR(INDEX(Lists!$AP$2:$AP$4,MATCH(ROW(),Lists!$AN$2:$AN$4,0)),"")&lt;&gt;"",IFERROR(INDEX(Lists!$AP$2:$AP$4,MATCH(ROW(),Lists!$AN$2:$AN$4,0)),""),IF(OR(LEFT($AJ213,3)="COE",$AJ213="EGI"),$AP213,IF($AR213&lt;&gt;"Squad",$AR213,$AP213))))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>
        <f>IF(TRIM($B214)="","",IF(N($AU214)&gt;0,$AU214,IF(N($S214)&gt;0,$S214*Lists!$AG$15*(1+N($Z214)),N($U214)*(1+N($V214)+N($W214)+N($X214)+N($Z214))+N($Y214))))</f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IF(TRIM($B214)="","",IF(IFERROR(INDEX(Lists!$AO$2:$AO$4,MATCH(ROW(),Lists!$AN$2:$AN$4,0)),"")&lt;&gt;"",IFERROR(INDEX(Lists!$AO$2:$AO$4,MATCH(ROW(),Lists!$AN$2:$AN$4,0)),""),IFERROR(INDEX(Lists!$U:$U,MATCH(TRIM($I214),Lists!$T:$T,0)),TRIM($I214))))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",$C214)),"Head of Technology",IF(ISNUMBER(SEARCH("TDD BP",$C214)),"Business Partner",IF(OR(ISNUMBER(SEARCH("domain architect",$C214)),ISNUMBER(SEARCH("enterprise architect",$C214))),"Domain Architect",IF(ISNUMBER(SEARCH("delivery man",$C214)),"Delivery Manager",IF(OR(ISNUMBER(SEARCH("technology manager",$C214)),ISNUMBER(SEARCH("technology manger",$C214)),ISNUMBER(SEARCH("tech manager",$C214))),"Technology Manager","Squad"))))))</f>
        <v>Squad</v>
      </c>
      <c r="AS214" t="str">
        <f>IF(TRIM($B214)="","",IFERROR(INDEX(Lists!$AA:$AA,MATCH($AP214,Lists!$Z:$Z,0)),$AP214))</f>
        <v>Service Op &amp; Assurance</v>
      </c>
      <c r="AT214" t="str">
        <f>IF(TRIM($B214)="","",IF(IFERROR(INDEX(Lists!$AP$2:$AP$4,MATCH(ROW(),Lists!$AN$2:$AN$4,0)),"")&lt;&gt;"",IFERROR(INDEX(Lists!$AP$2:$AP$4,MATCH(ROW(),Lists!$AN$2:$AN$4,0)),""),IF(OR(LEFT($AJ214,3)="COE",$AJ214="EGI"),$AP214,IF($AR214&lt;&gt;"Squad",$AR214,$AP214))))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>
        <f>IF(TRIM($B215)="","",IF(N($AU215)&gt;0,$AU215,IF(N($S215)&gt;0,$S215*Lists!$AG$15*(1+N($Z215)),N($U215)*(1+N($V215)+N($W215)+N($X215)+N($Z215))+N($Y215))))</f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IF(TRIM($B215)="","",IF(IFERROR(INDEX(Lists!$AO$2:$AO$4,MATCH(ROW(),Lists!$AN$2:$AN$4,0)),"")&lt;&gt;"",IFERROR(INDEX(Lists!$AO$2:$AO$4,MATCH(ROW(),Lists!$AN$2:$AN$4,0)),""),IFERROR(INDEX(Lists!$U:$U,MATCH(TRIM($I215),Lists!$T:$T,0)),TRIM($I215))))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",$C215)),"Head of Technology",IF(ISNUMBER(SEARCH("TDD BP",$C215)),"Business Partner",IF(OR(ISNUMBER(SEARCH("domain architect",$C215)),ISNUMBER(SEARCH("enterprise architect",$C215))),"Domain Architect",IF(ISNUMBER(SEARCH("delivery man",$C215)),"Delivery Manager",IF(OR(ISNUMBER(SEARCH("technology manager",$C215)),ISNUMBER(SEARCH("technology manger",$C215)),ISNUMBER(SEARCH("tech manager",$C215))),"Technology Manager","Squad"))))))</f>
        <v>Squad</v>
      </c>
      <c r="AS215" t="str">
        <f>IF(TRIM($B215)="","",IFERROR(INDEX(Lists!$AA:$AA,MATCH($AP215,Lists!$Z:$Z,0)),$AP215))</f>
        <v>Service Op &amp; Assurance</v>
      </c>
      <c r="AT215" t="str">
        <f>IF(TRIM($B215)="","",IF(IFERROR(INDEX(Lists!$AP$2:$AP$4,MATCH(ROW(),Lists!$AN$2:$AN$4,0)),"")&lt;&gt;"",IFERROR(INDEX(Lists!$AP$2:$AP$4,MATCH(ROW(),Lists!$AN$2:$AN$4,0)),""),IF(OR(LEFT($AJ215,3)="COE",$AJ215="EGI"),$AP215,IF($AR215&lt;&gt;"Squad",$AR215,$AP215))))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>
        <f>IF(TRIM($B216)="","",IF(N($AU216)&gt;0,$AU216,IF(N($S216)&gt;0,$S216*Lists!$AG$15*(1+N($Z216)),N($U216)*(1+N($V216)+N($W216)+N($X216)+N($Z216))+N($Y216))))</f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IF(TRIM($B216)="","",IF(IFERROR(INDEX(Lists!$AO$2:$AO$4,MATCH(ROW(),Lists!$AN$2:$AN$4,0)),"")&lt;&gt;"",IFERROR(INDEX(Lists!$AO$2:$AO$4,MATCH(ROW(),Lists!$AN$2:$AN$4,0)),""),IFERROR(INDEX(Lists!$U:$U,MATCH(TRIM($I216),Lists!$T:$T,0)),TRIM($I216))))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",$C216)),"Head of Technology",IF(ISNUMBER(SEARCH("TDD BP",$C216)),"Business Partner",IF(OR(ISNUMBER(SEARCH("domain architect",$C216)),ISNUMBER(SEARCH("enterprise architect",$C216))),"Domain Architect",IF(ISNUMBER(SEARCH("delivery man",$C216)),"Delivery Manager",IF(OR(ISNUMBER(SEARCH("technology manager",$C216)),ISNUMBER(SEARCH("technology manger",$C216)),ISNUMBER(SEARCH("tech manager",$C216))),"Technology Manager","Squad"))))))</f>
        <v>Squad</v>
      </c>
      <c r="AS216" t="str">
        <f>IF(TRIM($B216)="","",IFERROR(INDEX(Lists!$AA:$AA,MATCH($AP216,Lists!$Z:$Z,0)),$AP216))</f>
        <v>Service Op &amp; Assurance</v>
      </c>
      <c r="AT216" t="str">
        <f>IF(TRIM($B216)="","",IF(IFERROR(INDEX(Lists!$AP$2:$AP$4,MATCH(ROW(),Lists!$AN$2:$AN$4,0)),"")&lt;&gt;"",IFERROR(INDEX(Lists!$AP$2:$AP$4,MATCH(ROW(),Lists!$AN$2:$AN$4,0)),""),IF(OR(LEFT($AJ216,3)="COE",$AJ216="EGI"),$AP216,IF($AR216&lt;&gt;"Squad",$AR216,$AP216))))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>
        <f>IF(TRIM($B217)="","",IF(N($AU217)&gt;0,$AU217,IF(N($S217)&gt;0,$S217*Lists!$AG$15*(1+N($Z217)),N($U217)*(1+N($V217)+N($W217)+N($X217)+N($Z217))+N($Y217))))</f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IF(TRIM($B217)="","",IF(IFERROR(INDEX(Lists!$AO$2:$AO$4,MATCH(ROW(),Lists!$AN$2:$AN$4,0)),"")&lt;&gt;"",IFERROR(INDEX(Lists!$AO$2:$AO$4,MATCH(ROW(),Lists!$AN$2:$AN$4,0)),""),IFERROR(INDEX(Lists!$U:$U,MATCH(TRIM($I217),Lists!$T:$T,0)),TRIM($I217))))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",$C217)),"Head of Technology",IF(ISNUMBER(SEARCH("TDD BP",$C217)),"Business Partner",IF(OR(ISNUMBER(SEARCH("domain architect",$C217)),ISNUMBER(SEARCH("enterprise architect",$C217))),"Domain Architect",IF(ISNUMBER(SEARCH("delivery man",$C217)),"Delivery Manager",IF(OR(ISNUMBER(SEARCH("technology manager",$C217)),ISNUMBER(SEARCH("technology manger",$C217)),ISNUMBER(SEARCH("tech manager",$C217))),"Technology Manager","Squad"))))))</f>
        <v>Squad</v>
      </c>
      <c r="AS217" t="str">
        <f>IF(TRIM($B217)="","",IFERROR(INDEX(Lists!$AA:$AA,MATCH($AP217,Lists!$Z:$Z,0)),$AP217))</f>
        <v>Service Op &amp; Assurance</v>
      </c>
      <c r="AT217" t="str">
        <f>IF(TRIM($B217)="","",IF(IFERROR(INDEX(Lists!$AP$2:$AP$4,MATCH(ROW(),Lists!$AN$2:$AN$4,0)),"")&lt;&gt;"",IFERROR(INDEX(Lists!$AP$2:$AP$4,MATCH(ROW(),Lists!$AN$2:$AN$4,0)),""),IF(OR(LEFT($AJ217,3)="COE",$AJ217="EGI"),$AP217,IF($AR217&lt;&gt;"Squad",$AR217,$AP217))))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>
        <f>IF(TRIM($B218)="","",IF(N($AU218)&gt;0,$AU218,IF(N($S218)&gt;0,$S218*Lists!$AG$15*(1+N($Z218)),N($U218)*(1+N($V218)+N($W218)+N($X218)+N($Z218))+N($Y218))))</f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IF(TRIM($B218)="","",IF(IFERROR(INDEX(Lists!$AO$2:$AO$4,MATCH(ROW(),Lists!$AN$2:$AN$4,0)),"")&lt;&gt;"",IFERROR(INDEX(Lists!$AO$2:$AO$4,MATCH(ROW(),Lists!$AN$2:$AN$4,0)),""),IFERROR(INDEX(Lists!$U:$U,MATCH(TRIM($I218),Lists!$T:$T,0)),TRIM($I218))))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",$C218)),"Head of Technology",IF(ISNUMBER(SEARCH("TDD BP",$C218)),"Business Partner",IF(OR(ISNUMBER(SEARCH("domain architect",$C218)),ISNUMBER(SEARCH("enterprise architect",$C218))),"Domain Architect",IF(ISNUMBER(SEARCH("delivery man",$C218)),"Delivery Manager",IF(OR(ISNUMBER(SEARCH("technology manager",$C218)),ISNUMBER(SEARCH("technology manger",$C218)),ISNUMBER(SEARCH("tech manager",$C218))),"Technology Manager","Squad"))))))</f>
        <v>Squad</v>
      </c>
      <c r="AS218" t="str">
        <f>IF(TRIM($B218)="","",IFERROR(INDEX(Lists!$AA:$AA,MATCH($AP218,Lists!$Z:$Z,0)),$AP218))</f>
        <v>Cyber Sec Ops</v>
      </c>
      <c r="AT218" t="str">
        <f>IF(TRIM($B218)="","",IF(IFERROR(INDEX(Lists!$AP$2:$AP$4,MATCH(ROW(),Lists!$AN$2:$AN$4,0)),"")&lt;&gt;"",IFERROR(INDEX(Lists!$AP$2:$AP$4,MATCH(ROW(),Lists!$AN$2:$AN$4,0)),""),IF(OR(LEFT($AJ218,3)="COE",$AJ218="EGI"),$AP218,IF($AR218&lt;&gt;"Squad",$AR218,$AP218))))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>
        <f>IF(TRIM($B219)="","",IF(N($AU219)&gt;0,$AU219,IF(N($S219)&gt;0,$S219*Lists!$AG$15*(1+N($Z219)),N($U219)*(1+N($V219)+N($W219)+N($X219)+N($Z219))+N($Y219))))</f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IF(TRIM($B219)="","",IF(IFERROR(INDEX(Lists!$AO$2:$AO$4,MATCH(ROW(),Lists!$AN$2:$AN$4,0)),"")&lt;&gt;"",IFERROR(INDEX(Lists!$AO$2:$AO$4,MATCH(ROW(),Lists!$AN$2:$AN$4,0)),""),IFERROR(INDEX(Lists!$U:$U,MATCH(TRIM($I219),Lists!$T:$T,0)),TRIM($I219))))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",$C219)),"Head of Technology",IF(ISNUMBER(SEARCH("TDD BP",$C219)),"Business Partner",IF(OR(ISNUMBER(SEARCH("domain architect",$C219)),ISNUMBER(SEARCH("enterprise architect",$C219))),"Domain Architect",IF(ISNUMBER(SEARCH("delivery man",$C219)),"Delivery Manager",IF(OR(ISNUMBER(SEARCH("technology manager",$C219)),ISNUMBER(SEARCH("technology manger",$C219)),ISNUMBER(SEARCH("tech manager",$C219))),"Technology Manager","Squad"))))))</f>
        <v>Squad</v>
      </c>
      <c r="AS219" t="str">
        <f>IF(TRIM($B219)="","",IFERROR(INDEX(Lists!$AA:$AA,MATCH($AP219,Lists!$Z:$Z,0)),$AP219))</f>
        <v>Cyber GRC</v>
      </c>
      <c r="AT219" t="str">
        <f>IF(TRIM($B219)="","",IF(IFERROR(INDEX(Lists!$AP$2:$AP$4,MATCH(ROW(),Lists!$AN$2:$AN$4,0)),"")&lt;&gt;"",IFERROR(INDEX(Lists!$AP$2:$AP$4,MATCH(ROW(),Lists!$AN$2:$AN$4,0)),""),IF(OR(LEFT($AJ219,3)="COE",$AJ219="EGI"),$AP219,IF($AR219&lt;&gt;"Squad",$AR219,$AP219))))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>
        <f>IF(TRIM($B220)="","",IF(N($AU220)&gt;0,$AU220,IF(N($S220)&gt;0,$S220*Lists!$AG$15*(1+N($Z220)),N($U220)*(1+N($V220)+N($W220)+N($X220)+N($Z220))+N($Y220))))</f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IF(TRIM($B220)="","",IF(IFERROR(INDEX(Lists!$AO$2:$AO$4,MATCH(ROW(),Lists!$AN$2:$AN$4,0)),"")&lt;&gt;"",IFERROR(INDEX(Lists!$AO$2:$AO$4,MATCH(ROW(),Lists!$AN$2:$AN$4,0)),""),IFERROR(INDEX(Lists!$U:$U,MATCH(TRIM($I220),Lists!$T:$T,0)),TRIM($I220))))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",$C220)),"Head of Technology",IF(ISNUMBER(SEARCH("TDD BP",$C220)),"Business Partner",IF(OR(ISNUMBER(SEARCH("domain architect",$C220)),ISNUMBER(SEARCH("enterprise architect",$C220))),"Domain Architect",IF(ISNUMBER(SEARCH("delivery man",$C220)),"Delivery Manager",IF(OR(ISNUMBER(SEARCH("technology manager",$C220)),ISNUMBER(SEARCH("technology manger",$C220)),ISNUMBER(SEARCH("tech manager",$C220))),"Technology Manager","Squad"))))))</f>
        <v>Squad</v>
      </c>
      <c r="AS220" t="str">
        <f>IF(TRIM($B220)="","",IFERROR(INDEX(Lists!$AA:$AA,MATCH($AP220,Lists!$Z:$Z,0)),$AP220))</f>
        <v>Cyber GRC</v>
      </c>
      <c r="AT220" t="str">
        <f>IF(TRIM($B220)="","",IF(IFERROR(INDEX(Lists!$AP$2:$AP$4,MATCH(ROW(),Lists!$AN$2:$AN$4,0)),"")&lt;&gt;"",IFERROR(INDEX(Lists!$AP$2:$AP$4,MATCH(ROW(),Lists!$AN$2:$AN$4,0)),""),IF(OR(LEFT($AJ220,3)="COE",$AJ220="EGI"),$AP220,IF($AR220&lt;&gt;"Squad",$AR220,$AP220))))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>
        <f>IF(TRIM($B221)="","",IF(N($AU221)&gt;0,$AU221,IF(N($S221)&gt;0,$S221*Lists!$AG$15*(1+N($Z221)),N($U221)*(1+N($V221)+N($W221)+N($X221)+N($Z221))+N($Y221))))</f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IF(TRIM($B221)="","",IF(IFERROR(INDEX(Lists!$AO$2:$AO$4,MATCH(ROW(),Lists!$AN$2:$AN$4,0)),"")&lt;&gt;"",IFERROR(INDEX(Lists!$AO$2:$AO$4,MATCH(ROW(),Lists!$AN$2:$AN$4,0)),""),IFERROR(INDEX(Lists!$U:$U,MATCH(TRIM($I221),Lists!$T:$T,0)),TRIM($I221))))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",$C221)),"Head of Technology",IF(ISNUMBER(SEARCH("TDD BP",$C221)),"Business Partner",IF(OR(ISNUMBER(SEARCH("domain architect",$C221)),ISNUMBER(SEARCH("enterprise architect",$C221))),"Domain Architect",IF(ISNUMBER(SEARCH("delivery man",$C221)),"Delivery Manager",IF(OR(ISNUMBER(SEARCH("technology manager",$C221)),ISNUMBER(SEARCH("technology manger",$C221)),ISNUMBER(SEARCH("tech manager",$C221))),"Technology Manager","Squad"))))))</f>
        <v>Squad</v>
      </c>
      <c r="AS221" t="str">
        <f>IF(TRIM($B221)="","",IFERROR(INDEX(Lists!$AA:$AA,MATCH($AP221,Lists!$Z:$Z,0)),$AP221))</f>
        <v>Cyber Strat &amp; Tech</v>
      </c>
      <c r="AT221" t="str">
        <f>IF(TRIM($B221)="","",IF(IFERROR(INDEX(Lists!$AP$2:$AP$4,MATCH(ROW(),Lists!$AN$2:$AN$4,0)),"")&lt;&gt;"",IFERROR(INDEX(Lists!$AP$2:$AP$4,MATCH(ROW(),Lists!$AN$2:$AN$4,0)),""),IF(OR(LEFT($AJ221,3)="COE",$AJ221="EGI"),$AP221,IF($AR221&lt;&gt;"Squad",$AR221,$AP221))))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>
        <f>IF(TRIM($B222)="","",IF(N($AU222)&gt;0,$AU222,IF(N($S222)&gt;0,$S222*Lists!$AG$15*(1+N($Z222)),N($U222)*(1+N($V222)+N($W222)+N($X222)+N($Z222))+N($Y222))))</f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IF(TRIM($B222)="","",IF(IFERROR(INDEX(Lists!$AO$2:$AO$4,MATCH(ROW(),Lists!$AN$2:$AN$4,0)),"")&lt;&gt;"",IFERROR(INDEX(Lists!$AO$2:$AO$4,MATCH(ROW(),Lists!$AN$2:$AN$4,0)),""),IFERROR(INDEX(Lists!$U:$U,MATCH(TRIM($I222),Lists!$T:$T,0)),TRIM($I222))))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",$C222)),"Head of Technology",IF(ISNUMBER(SEARCH("TDD BP",$C222)),"Business Partner",IF(OR(ISNUMBER(SEARCH("domain architect",$C222)),ISNUMBER(SEARCH("enterprise architect",$C222))),"Domain Architect",IF(ISNUMBER(SEARCH("delivery man",$C222)),"Delivery Manager",IF(OR(ISNUMBER(SEARCH("technology manager",$C222)),ISNUMBER(SEARCH("technology manger",$C222)),ISNUMBER(SEARCH("tech manager",$C222))),"Technology Manager","Squad"))))))</f>
        <v>Head of Technology</v>
      </c>
      <c r="AS222" t="str">
        <f>IF(TRIM($B222)="","",IFERROR(INDEX(Lists!$AA:$AA,MATCH($AP222,Lists!$Z:$Z,0)),$AP222))</f>
        <v>Service Op &amp; Assurance</v>
      </c>
      <c r="AT222" t="str">
        <f>IF(TRIM($B222)="","",IF(IFERROR(INDEX(Lists!$AP$2:$AP$4,MATCH(ROW(),Lists!$AN$2:$AN$4,0)),"")&lt;&gt;"",IFERROR(INDEX(Lists!$AP$2:$AP$4,MATCH(ROW(),Lists!$AN$2:$AN$4,0)),""),IF(OR(LEFT($AJ222,3)="COE",$AJ222="EGI"),$AP222,IF($AR222&lt;&gt;"Squad",$AR222,$AP222))))</f>
        <v>Service Op &amp; Assurance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>
        <f>IF(TRIM($B223)="","",IF(N($AU223)&gt;0,$AU223,IF(N($S223)&gt;0,$S223*Lists!$AG$15*(1+N($Z223)),N($U223)*(1+N($V223)+N($W223)+N($X223)+N($Z223))+N($Y223))))</f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IF(TRIM($B223)="","",IF(IFERROR(INDEX(Lists!$AO$2:$AO$4,MATCH(ROW(),Lists!$AN$2:$AN$4,0)),"")&lt;&gt;"",IFERROR(INDEX(Lists!$AO$2:$AO$4,MATCH(ROW(),Lists!$AN$2:$AN$4,0)),""),IFERROR(INDEX(Lists!$U:$U,MATCH(TRIM($I223),Lists!$T:$T,0)),TRIM($I223))))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",$C223)),"Head of Technology",IF(ISNUMBER(SEARCH("TDD BP",$C223)),"Business Partner",IF(OR(ISNUMBER(SEARCH("domain architect",$C223)),ISNUMBER(SEARCH("enterprise architect",$C223))),"Domain Architect",IF(ISNUMBER(SEARCH("delivery man",$C223)),"Delivery Manager",IF(OR(ISNUMBER(SEARCH("technology manager",$C223)),ISNUMBER(SEARCH("technology manger",$C223)),ISNUMBER(SEARCH("tech manager",$C223))),"Technology Manager","Squad"))))))</f>
        <v>Squad</v>
      </c>
      <c r="AS223" t="str">
        <f>IF(TRIM($B223)="","",IFERROR(INDEX(Lists!$AA:$AA,MATCH($AP223,Lists!$Z:$Z,0)),$AP223))</f>
        <v>Cyber Strat &amp; Tech</v>
      </c>
      <c r="AT223" t="str">
        <f>IF(TRIM($B223)="","",IF(IFERROR(INDEX(Lists!$AP$2:$AP$4,MATCH(ROW(),Lists!$AN$2:$AN$4,0)),"")&lt;&gt;"",IFERROR(INDEX(Lists!$AP$2:$AP$4,MATCH(ROW(),Lists!$AN$2:$AN$4,0)),""),IF(OR(LEFT($AJ223,3)="COE",$AJ223="EGI"),$AP223,IF($AR223&lt;&gt;"Squad",$AR223,$AP223))))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>
        <f>IF(TRIM($B224)="","",IF(N($AU224)&gt;0,$AU224,IF(N($S224)&gt;0,$S224*Lists!$AG$15*(1+N($Z224)),N($U224)*(1+N($V224)+N($W224)+N($X224)+N($Z224))+N($Y224))))</f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IF(TRIM($B224)="","",IF(IFERROR(INDEX(Lists!$AO$2:$AO$4,MATCH(ROW(),Lists!$AN$2:$AN$4,0)),"")&lt;&gt;"",IFERROR(INDEX(Lists!$AO$2:$AO$4,MATCH(ROW(),Lists!$AN$2:$AN$4,0)),""),IFERROR(INDEX(Lists!$U:$U,MATCH(TRIM($I224),Lists!$T:$T,0)),TRIM($I224))))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",$C224)),"Head of Technology",IF(ISNUMBER(SEARCH("TDD BP",$C224)),"Business Partner",IF(OR(ISNUMBER(SEARCH("domain architect",$C224)),ISNUMBER(SEARCH("enterprise architect",$C224))),"Domain Architect",IF(ISNUMBER(SEARCH("delivery man",$C224)),"Delivery Manager",IF(OR(ISNUMBER(SEARCH("technology manager",$C224)),ISNUMBER(SEARCH("technology manger",$C224)),ISNUMBER(SEARCH("tech manager",$C224))),"Technology Manager","Squad"))))))</f>
        <v>Squad</v>
      </c>
      <c r="AS224" t="str">
        <f>IF(TRIM($B224)="","",IFERROR(INDEX(Lists!$AA:$AA,MATCH($AP224,Lists!$Z:$Z,0)),$AP224))</f>
        <v>Service Op &amp; Assurance</v>
      </c>
      <c r="AT224" t="str">
        <f>IF(TRIM($B224)="","",IF(IFERROR(INDEX(Lists!$AP$2:$AP$4,MATCH(ROW(),Lists!$AN$2:$AN$4,0)),"")&lt;&gt;"",IFERROR(INDEX(Lists!$AP$2:$AP$4,MATCH(ROW(),Lists!$AN$2:$AN$4,0)),""),IF(OR(LEFT($AJ224,3)="COE",$AJ224="EGI"),$AP224,IF($AR224&lt;&gt;"Squad",$AR224,$AP224))))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>
        <f>IF(TRIM($B225)="","",IF(N($AU225)&gt;0,$AU225,IF(N($S225)&gt;0,$S225*Lists!$AG$15*(1+N($Z225)),N($U225)*(1+N($V225)+N($W225)+N($X225)+N($Z225))+N($Y225))))</f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IF(TRIM($B225)="","",IF(IFERROR(INDEX(Lists!$AO$2:$AO$4,MATCH(ROW(),Lists!$AN$2:$AN$4,0)),"")&lt;&gt;"",IFERROR(INDEX(Lists!$AO$2:$AO$4,MATCH(ROW(),Lists!$AN$2:$AN$4,0)),""),IFERROR(INDEX(Lists!$U:$U,MATCH(TRIM($I225),Lists!$T:$T,0)),TRIM($I225))))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",$C225)),"Head of Technology",IF(ISNUMBER(SEARCH("TDD BP",$C225)),"Business Partner",IF(OR(ISNUMBER(SEARCH("domain architect",$C225)),ISNUMBER(SEARCH("enterprise architect",$C225))),"Domain Architect",IF(ISNUMBER(SEARCH("delivery man",$C225)),"Delivery Manager",IF(OR(ISNUMBER(SEARCH("technology manager",$C225)),ISNUMBER(SEARCH("technology manger",$C225)),ISNUMBER(SEARCH("tech manager",$C225))),"Technology Manager","Squad"))))))</f>
        <v>Squad</v>
      </c>
      <c r="AS225" t="str">
        <f>IF(TRIM($B225)="","",IFERROR(INDEX(Lists!$AA:$AA,MATCH($AP225,Lists!$Z:$Z,0)),$AP225))</f>
        <v>Service Op &amp; Assurance</v>
      </c>
      <c r="AT225" t="str">
        <f>IF(TRIM($B225)="","",IF(IFERROR(INDEX(Lists!$AP$2:$AP$4,MATCH(ROW(),Lists!$AN$2:$AN$4,0)),"")&lt;&gt;"",IFERROR(INDEX(Lists!$AP$2:$AP$4,MATCH(ROW(),Lists!$AN$2:$AN$4,0)),""),IF(OR(LEFT($AJ225,3)="COE",$AJ225="EGI"),$AP225,IF($AR225&lt;&gt;"Squad",$AR225,$AP225))))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>
        <f>IF(TRIM($B226)="","",IF(N($AU226)&gt;0,$AU226,IF(N($S226)&gt;0,$S226*Lists!$AG$15*(1+N($Z226)),N($U226)*(1+N($V226)+N($W226)+N($X226)+N($Z226))+N($Y226))))</f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IF(TRIM($B226)="","",IF(IFERROR(INDEX(Lists!$AO$2:$AO$4,MATCH(ROW(),Lists!$AN$2:$AN$4,0)),"")&lt;&gt;"",IFERROR(INDEX(Lists!$AO$2:$AO$4,MATCH(ROW(),Lists!$AN$2:$AN$4,0)),""),IFERROR(INDEX(Lists!$U:$U,MATCH(TRIM($I226),Lists!$T:$T,0)),TRIM($I226))))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",$C226)),"Head of Technology",IF(ISNUMBER(SEARCH("TDD BP",$C226)),"Business Partner",IF(OR(ISNUMBER(SEARCH("domain architect",$C226)),ISNUMBER(SEARCH("enterprise architect",$C226))),"Domain Architect",IF(ISNUMBER(SEARCH("delivery man",$C226)),"Delivery Manager",IF(OR(ISNUMBER(SEARCH("technology manager",$C226)),ISNUMBER(SEARCH("technology manger",$C226)),ISNUMBER(SEARCH("tech manager",$C226))),"Technology Manager","Squad"))))))</f>
        <v>Squad</v>
      </c>
      <c r="AS226" t="str">
        <f>IF(TRIM($B226)="","",IFERROR(INDEX(Lists!$AA:$AA,MATCH($AP226,Lists!$Z:$Z,0)),$AP226))</f>
        <v>Cyber Sec Ops</v>
      </c>
      <c r="AT226" t="str">
        <f>IF(TRIM($B226)="","",IF(IFERROR(INDEX(Lists!$AP$2:$AP$4,MATCH(ROW(),Lists!$AN$2:$AN$4,0)),"")&lt;&gt;"",IFERROR(INDEX(Lists!$AP$2:$AP$4,MATCH(ROW(),Lists!$AN$2:$AN$4,0)),""),IF(OR(LEFT($AJ226,3)="COE",$AJ226="EGI"),$AP226,IF($AR226&lt;&gt;"Squad",$AR226,$AP226))))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>
        <f>IF(TRIM($B227)="","",IF(N($AU227)&gt;0,$AU227,IF(N($S227)&gt;0,$S227*Lists!$AG$15*(1+N($Z227)),N($U227)*(1+N($V227)+N($W227)+N($X227)+N($Z227))+N($Y227))))</f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IF(TRIM($B227)="","",IF(IFERROR(INDEX(Lists!$AO$2:$AO$4,MATCH(ROW(),Lists!$AN$2:$AN$4,0)),"")&lt;&gt;"",IFERROR(INDEX(Lists!$AO$2:$AO$4,MATCH(ROW(),Lists!$AN$2:$AN$4,0)),""),IFERROR(INDEX(Lists!$U:$U,MATCH(TRIM($I227),Lists!$T:$T,0)),TRIM($I227))))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",$C227)),"Head of Technology",IF(ISNUMBER(SEARCH("TDD BP",$C227)),"Business Partner",IF(OR(ISNUMBER(SEARCH("domain architect",$C227)),ISNUMBER(SEARCH("enterprise architect",$C227))),"Domain Architect",IF(ISNUMBER(SEARCH("delivery man",$C227)),"Delivery Manager",IF(OR(ISNUMBER(SEARCH("technology manager",$C227)),ISNUMBER(SEARCH("technology manger",$C227)),ISNUMBER(SEARCH("tech manager",$C227))),"Technology Manager","Squad"))))))</f>
        <v>Squad</v>
      </c>
      <c r="AS227" t="str">
        <f>IF(TRIM($B227)="","",IFERROR(INDEX(Lists!$AA:$AA,MATCH($AP227,Lists!$Z:$Z,0)),$AP227))</f>
        <v>Cyber Risk</v>
      </c>
      <c r="AT227" t="str">
        <f>IF(TRIM($B227)="","",IF(IFERROR(INDEX(Lists!$AP$2:$AP$4,MATCH(ROW(),Lists!$AN$2:$AN$4,0)),"")&lt;&gt;"",IFERROR(INDEX(Lists!$AP$2:$AP$4,MATCH(ROW(),Lists!$AN$2:$AN$4,0)),""),IF(OR(LEFT($AJ227,3)="COE",$AJ227="EGI"),$AP227,IF($AR227&lt;&gt;"Squad",$AR227,$AP227))))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>
        <f>IF(TRIM($B228)="","",IF(N($AU228)&gt;0,$AU228,IF(N($S228)&gt;0,$S228*Lists!$AG$15*(1+N($Z228)),N($U228)*(1+N($V228)+N($W228)+N($X228)+N($Z228))+N($Y228))))</f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IF(TRIM($B228)="","",IF(IFERROR(INDEX(Lists!$AO$2:$AO$4,MATCH(ROW(),Lists!$AN$2:$AN$4,0)),"")&lt;&gt;"",IFERROR(INDEX(Lists!$AO$2:$AO$4,MATCH(ROW(),Lists!$AN$2:$AN$4,0)),""),IFERROR(INDEX(Lists!$U:$U,MATCH(TRIM($I228),Lists!$T:$T,0)),TRIM($I228))))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",$C228)),"Head of Technology",IF(ISNUMBER(SEARCH("TDD BP",$C228)),"Business Partner",IF(OR(ISNUMBER(SEARCH("domain architect",$C228)),ISNUMBER(SEARCH("enterprise architect",$C228))),"Domain Architect",IF(ISNUMBER(SEARCH("delivery man",$C228)),"Delivery Manager",IF(OR(ISNUMBER(SEARCH("technology manager",$C228)),ISNUMBER(SEARCH("technology manger",$C228)),ISNUMBER(SEARCH("tech manager",$C228))),"Technology Manager","Squad"))))))</f>
        <v>Squad</v>
      </c>
      <c r="AS228" t="str">
        <f>IF(TRIM($B228)="","",IFERROR(INDEX(Lists!$AA:$AA,MATCH($AP228,Lists!$Z:$Z,0)),$AP228))</f>
        <v>Cyber GRC</v>
      </c>
      <c r="AT228" t="str">
        <f>IF(TRIM($B228)="","",IF(IFERROR(INDEX(Lists!$AP$2:$AP$4,MATCH(ROW(),Lists!$AN$2:$AN$4,0)),"")&lt;&gt;"",IFERROR(INDEX(Lists!$AP$2:$AP$4,MATCH(ROW(),Lists!$AN$2:$AN$4,0)),""),IF(OR(LEFT($AJ228,3)="COE",$AJ228="EGI"),$AP228,IF($AR228&lt;&gt;"Squad",$AR228,$AP228))))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>
        <f>IF(TRIM($B229)="","",IF(N($AU229)&gt;0,$AU229,IF(N($S229)&gt;0,$S229*Lists!$AG$15*(1+N($Z229)),N($U229)*(1+N($V229)+N($W229)+N($X229)+N($Z229))+N($Y229))))</f>
        <v>97237.784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IF(TRIM($B229)="","",IF(IFERROR(INDEX(Lists!$AO$2:$AO$4,MATCH(ROW(),Lists!$AN$2:$AN$4,0)),"")&lt;&gt;"",IFERROR(INDEX(Lists!$AO$2:$AO$4,MATCH(ROW(),Lists!$AN$2:$AN$4,0)),""),IFERROR(INDEX(Lists!$U:$U,MATCH(TRIM($I229),Lists!$T:$T,0)),TRIM($I229))))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",$C229)),"Head of Technology",IF(ISNUMBER(SEARCH("TDD BP",$C229)),"Business Partner",IF(OR(ISNUMBER(SEARCH("domain architect",$C229)),ISNUMBER(SEARCH("enterprise architect",$C229))),"Domain Architect",IF(ISNUMBER(SEARCH("delivery man",$C229)),"Delivery Manager",IF(OR(ISNUMBER(SEARCH("technology manager",$C229)),ISNUMBER(SEARCH("technology manger",$C229)),ISNUMBER(SEARCH("tech manager",$C229))),"Technology Manager","Squad"))))))</f>
        <v>Squad</v>
      </c>
      <c r="AS229" t="str">
        <f>IF(TRIM($B229)="","",IFERROR(INDEX(Lists!$AA:$AA,MATCH($AP229,Lists!$Z:$Z,0)),$AP229))</f>
        <v>Service Op &amp; Assurance</v>
      </c>
      <c r="AT229" t="str">
        <f>IF(TRIM($B229)="","",IF(IFERROR(INDEX(Lists!$AP$2:$AP$4,MATCH(ROW(),Lists!$AN$2:$AN$4,0)),"")&lt;&gt;"",IFERROR(INDEX(Lists!$AP$2:$AP$4,MATCH(ROW(),Lists!$AN$2:$AN$4,0)),""),IF(OR(LEFT($AJ229,3)="COE",$AJ229="EGI"),$AP229,IF($AR229&lt;&gt;"Squad",$AR229,$AP229))))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>
        <f>IF(TRIM($B230)="","",IF(N($AU230)&gt;0,$AU230,IF(N($S230)&gt;0,$S230*Lists!$AG$15*(1+N($Z230)),N($U230)*(1+N($V230)+N($W230)+N($X230)+N($Z230))+N($Y230))))</f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IF(TRIM($B230)="","",IF(IFERROR(INDEX(Lists!$AO$2:$AO$4,MATCH(ROW(),Lists!$AN$2:$AN$4,0)),"")&lt;&gt;"",IFERROR(INDEX(Lists!$AO$2:$AO$4,MATCH(ROW(),Lists!$AN$2:$AN$4,0)),""),IFERROR(INDEX(Lists!$U:$U,MATCH(TRIM($I230),Lists!$T:$T,0)),TRIM($I230))))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",$C230)),"Head of Technology",IF(ISNUMBER(SEARCH("TDD BP",$C230)),"Business Partner",IF(OR(ISNUMBER(SEARCH("domain architect",$C230)),ISNUMBER(SEARCH("enterprise architect",$C230))),"Domain Architect",IF(ISNUMBER(SEARCH("delivery man",$C230)),"Delivery Manager",IF(OR(ISNUMBER(SEARCH("technology manager",$C230)),ISNUMBER(SEARCH("technology manger",$C230)),ISNUMBER(SEARCH("tech manager",$C230))),"Technology Manager","Squad"))))))</f>
        <v>Squad</v>
      </c>
      <c r="AS230" t="str">
        <f>IF(TRIM($B230)="","",IFERROR(INDEX(Lists!$AA:$AA,MATCH($AP230,Lists!$Z:$Z,0)),$AP230))</f>
        <v>Cyber Sec Ops</v>
      </c>
      <c r="AT230" t="str">
        <f>IF(TRIM($B230)="","",IF(IFERROR(INDEX(Lists!$AP$2:$AP$4,MATCH(ROW(),Lists!$AN$2:$AN$4,0)),"")&lt;&gt;"",IFERROR(INDEX(Lists!$AP$2:$AP$4,MATCH(ROW(),Lists!$AN$2:$AN$4,0)),""),IF(OR(LEFT($AJ230,3)="COE",$AJ230="EGI"),$AP230,IF($AR230&lt;&gt;"Squad",$AR230,$AP230))))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>
        <f>IF(TRIM($B231)="","",IF(N($AU231)&gt;0,$AU231,IF(N($S231)&gt;0,$S231*Lists!$AG$15*(1+N($Z231)),N($U231)*(1+N($V231)+N($W231)+N($X231)+N($Z231))+N($Y231))))</f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IF(TRIM($B231)="","",IF(IFERROR(INDEX(Lists!$AO$2:$AO$4,MATCH(ROW(),Lists!$AN$2:$AN$4,0)),"")&lt;&gt;"",IFERROR(INDEX(Lists!$AO$2:$AO$4,MATCH(ROW(),Lists!$AN$2:$AN$4,0)),""),IFERROR(INDEX(Lists!$U:$U,MATCH(TRIM($I231),Lists!$T:$T,0)),TRIM($I231))))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",$C231)),"Head of Technology",IF(ISNUMBER(SEARCH("TDD BP",$C231)),"Business Partner",IF(OR(ISNUMBER(SEARCH("domain architect",$C231)),ISNUMBER(SEARCH("enterprise architect",$C231))),"Domain Architect",IF(ISNUMBER(SEARCH("delivery man",$C231)),"Delivery Manager",IF(OR(ISNUMBER(SEARCH("technology manager",$C231)),ISNUMBER(SEARCH("technology manger",$C231)),ISNUMBER(SEARCH("tech manager",$C231))),"Technology Manager","Squad"))))))</f>
        <v>Squad</v>
      </c>
      <c r="AS231" t="str">
        <f>IF(TRIM($B231)="","",IFERROR(INDEX(Lists!$AA:$AA,MATCH($AP231,Lists!$Z:$Z,0)),$AP231))</f>
        <v>Cyber Sec Ops</v>
      </c>
      <c r="AT231" t="str">
        <f>IF(TRIM($B231)="","",IF(IFERROR(INDEX(Lists!$AP$2:$AP$4,MATCH(ROW(),Lists!$AN$2:$AN$4,0)),"")&lt;&gt;"",IFERROR(INDEX(Lists!$AP$2:$AP$4,MATCH(ROW(),Lists!$AN$2:$AN$4,0)),""),IF(OR(LEFT($AJ231,3)="COE",$AJ231="EGI"),$AP231,IF($AR231&lt;&gt;"Squad",$AR231,$AP231))))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>
        <f>IF(TRIM($B232)="","",IF(N($AU232)&gt;0,$AU232,IF(N($S232)&gt;0,$S232*Lists!$AG$15*(1+N($Z232)),N($U232)*(1+N($V232)+N($W232)+N($X232)+N($Z232))+N($Y232))))</f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IF(TRIM($B232)="","",IF(IFERROR(INDEX(Lists!$AO$2:$AO$4,MATCH(ROW(),Lists!$AN$2:$AN$4,0)),"")&lt;&gt;"",IFERROR(INDEX(Lists!$AO$2:$AO$4,MATCH(ROW(),Lists!$AN$2:$AN$4,0)),""),IFERROR(INDEX(Lists!$U:$U,MATCH(TRIM($I232),Lists!$T:$T,0)),TRIM($I232))))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",$C232)),"Head of Technology",IF(ISNUMBER(SEARCH("TDD BP",$C232)),"Business Partner",IF(OR(ISNUMBER(SEARCH("domain architect",$C232)),ISNUMBER(SEARCH("enterprise architect",$C232))),"Domain Architect",IF(ISNUMBER(SEARCH("delivery man",$C232)),"Delivery Manager",IF(OR(ISNUMBER(SEARCH("technology manager",$C232)),ISNUMBER(SEARCH("technology manger",$C232)),ISNUMBER(SEARCH("tech manager",$C232))),"Technology Manager","Squad"))))))</f>
        <v>Squad</v>
      </c>
      <c r="AS232" t="str">
        <f>IF(TRIM($B232)="","",IFERROR(INDEX(Lists!$AA:$AA,MATCH($AP232,Lists!$Z:$Z,0)),$AP232))</f>
        <v>Cyber Strat &amp; Tech</v>
      </c>
      <c r="AT232" t="str">
        <f>IF(TRIM($B232)="","",IF(IFERROR(INDEX(Lists!$AP$2:$AP$4,MATCH(ROW(),Lists!$AN$2:$AN$4,0)),"")&lt;&gt;"",IFERROR(INDEX(Lists!$AP$2:$AP$4,MATCH(ROW(),Lists!$AN$2:$AN$4,0)),""),IF(OR(LEFT($AJ232,3)="COE",$AJ232="EGI"),$AP232,IF($AR232&lt;&gt;"Squad",$AR232,$AP232))))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>
        <f>IF(TRIM($B233)="","",IF(N($AU233)&gt;0,$AU233,IF(N($S233)&gt;0,$S233*Lists!$AG$15*(1+N($Z233)),N($U233)*(1+N($V233)+N($W233)+N($X233)+N($Z233))+N($Y233))))</f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IF(TRIM($B233)="","",IF(IFERROR(INDEX(Lists!$AO$2:$AO$4,MATCH(ROW(),Lists!$AN$2:$AN$4,0)),"")&lt;&gt;"",IFERROR(INDEX(Lists!$AO$2:$AO$4,MATCH(ROW(),Lists!$AN$2:$AN$4,0)),""),IFERROR(INDEX(Lists!$U:$U,MATCH(TRIM($I233),Lists!$T:$T,0)),TRIM($I233))))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",$C233)),"Head of Technology",IF(ISNUMBER(SEARCH("TDD BP",$C233)),"Business Partner",IF(OR(ISNUMBER(SEARCH("domain architect",$C233)),ISNUMBER(SEARCH("enterprise architect",$C233))),"Domain Architect",IF(ISNUMBER(SEARCH("delivery man",$C233)),"Delivery Manager",IF(OR(ISNUMBER(SEARCH("technology manager",$C233)),ISNUMBER(SEARCH("technology manger",$C233)),ISNUMBER(SEARCH("tech manager",$C233))),"Technology Manager","Squad"))))))</f>
        <v>Squad</v>
      </c>
      <c r="AS233" t="str">
        <f>IF(TRIM($B233)="","",IFERROR(INDEX(Lists!$AA:$AA,MATCH($AP233,Lists!$Z:$Z,0)),$AP233))</f>
        <v>Service Op &amp; Assurance</v>
      </c>
      <c r="AT233" t="str">
        <f>IF(TRIM($B233)="","",IF(IFERROR(INDEX(Lists!$AP$2:$AP$4,MATCH(ROW(),Lists!$AN$2:$AN$4,0)),"")&lt;&gt;"",IFERROR(INDEX(Lists!$AP$2:$AP$4,MATCH(ROW(),Lists!$AN$2:$AN$4,0)),""),IF(OR(LEFT($AJ233,3)="COE",$AJ233="EGI"),$AP233,IF($AR233&lt;&gt;"Squad",$AR233,$AP233))))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>
        <f>IF(TRIM($B234)="","",IF(N($AU234)&gt;0,$AU234,IF(N($S234)&gt;0,$S234*Lists!$AG$15*(1+N($Z234)),N($U234)*(1+N($V234)+N($W234)+N($X234)+N($Z234))+N($Y234))))</f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IF(TRIM($B234)="","",IF(IFERROR(INDEX(Lists!$AO$2:$AO$4,MATCH(ROW(),Lists!$AN$2:$AN$4,0)),"")&lt;&gt;"",IFERROR(INDEX(Lists!$AO$2:$AO$4,MATCH(ROW(),Lists!$AN$2:$AN$4,0)),""),IFERROR(INDEX(Lists!$U:$U,MATCH(TRIM($I234),Lists!$T:$T,0)),TRIM($I234))))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",$C234)),"Head of Technology",IF(ISNUMBER(SEARCH("TDD BP",$C234)),"Business Partner",IF(OR(ISNUMBER(SEARCH("domain architect",$C234)),ISNUMBER(SEARCH("enterprise architect",$C234))),"Domain Architect",IF(ISNUMBER(SEARCH("delivery man",$C234)),"Delivery Manager",IF(OR(ISNUMBER(SEARCH("technology manager",$C234)),ISNUMBER(SEARCH("technology manger",$C234)),ISNUMBER(SEARCH("tech manager",$C234))),"Technology Manager","Squad"))))))</f>
        <v>Squad</v>
      </c>
      <c r="AS234" t="str">
        <f>IF(TRIM($B234)="","",IFERROR(INDEX(Lists!$AA:$AA,MATCH($AP234,Lists!$Z:$Z,0)),$AP234))</f>
        <v>Service Op &amp; Assurance</v>
      </c>
      <c r="AT234" t="str">
        <f>IF(TRIM($B234)="","",IF(IFERROR(INDEX(Lists!$AP$2:$AP$4,MATCH(ROW(),Lists!$AN$2:$AN$4,0)),"")&lt;&gt;"",IFERROR(INDEX(Lists!$AP$2:$AP$4,MATCH(ROW(),Lists!$AN$2:$AN$4,0)),""),IF(OR(LEFT($AJ234,3)="COE",$AJ234="EGI"),$AP234,IF($AR234&lt;&gt;"Squad",$AR234,$AP234))))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>
        <f>IF(TRIM($B235)="","",IF(N($AU235)&gt;0,$AU235,IF(N($S235)&gt;0,$S235*Lists!$AG$15*(1+N($Z235)),N($U235)*(1+N($V235)+N($W235)+N($X235)+N($Z235))+N($Y235))))</f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IF(TRIM($B235)="","",IF(IFERROR(INDEX(Lists!$AO$2:$AO$4,MATCH(ROW(),Lists!$AN$2:$AN$4,0)),"")&lt;&gt;"",IFERROR(INDEX(Lists!$AO$2:$AO$4,MATCH(ROW(),Lists!$AN$2:$AN$4,0)),""),IFERROR(INDEX(Lists!$U:$U,MATCH(TRIM($I235),Lists!$T:$T,0)),TRIM($I235))))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",$C235)),"Head of Technology",IF(ISNUMBER(SEARCH("TDD BP",$C235)),"Business Partner",IF(OR(ISNUMBER(SEARCH("domain architect",$C235)),ISNUMBER(SEARCH("enterprise architect",$C235))),"Domain Architect",IF(ISNUMBER(SEARCH("delivery man",$C235)),"Delivery Manager",IF(OR(ISNUMBER(SEARCH("technology manager",$C235)),ISNUMBER(SEARCH("technology manger",$C235)),ISNUMBER(SEARCH("tech manager",$C235))),"Technology Manager","Squad"))))))</f>
        <v>Squad</v>
      </c>
      <c r="AS235" t="str">
        <f>IF(TRIM($B235)="","",IFERROR(INDEX(Lists!$AA:$AA,MATCH($AP235,Lists!$Z:$Z,0)),$AP235))</f>
        <v>Service Op &amp; Assurance</v>
      </c>
      <c r="AT235" t="str">
        <f>IF(TRIM($B235)="","",IF(IFERROR(INDEX(Lists!$AP$2:$AP$4,MATCH(ROW(),Lists!$AN$2:$AN$4,0)),"")&lt;&gt;"",IFERROR(INDEX(Lists!$AP$2:$AP$4,MATCH(ROW(),Lists!$AN$2:$AN$4,0)),""),IF(OR(LEFT($AJ235,3)="COE",$AJ235="EGI"),$AP235,IF($AR235&lt;&gt;"Squad",$AR235,$AP235))))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>
        <f>IF(TRIM($B236)="","",IF(N($AU236)&gt;0,$AU236,IF(N($S236)&gt;0,$S236*Lists!$AG$15*(1+N($Z236)),N($U236)*(1+N($V236)+N($W236)+N($X236)+N($Z236))+N($Y236))))</f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IF(TRIM($B236)="","",IF(IFERROR(INDEX(Lists!$AO$2:$AO$4,MATCH(ROW(),Lists!$AN$2:$AN$4,0)),"")&lt;&gt;"",IFERROR(INDEX(Lists!$AO$2:$AO$4,MATCH(ROW(),Lists!$AN$2:$AN$4,0)),""),IFERROR(INDEX(Lists!$U:$U,MATCH(TRIM($I236),Lists!$T:$T,0)),TRIM($I236))))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",$C236)),"Head of Technology",IF(ISNUMBER(SEARCH("TDD BP",$C236)),"Business Partner",IF(OR(ISNUMBER(SEARCH("domain architect",$C236)),ISNUMBER(SEARCH("enterprise architect",$C236))),"Domain Architect",IF(ISNUMBER(SEARCH("delivery man",$C236)),"Delivery Manager",IF(OR(ISNUMBER(SEARCH("technology manager",$C236)),ISNUMBER(SEARCH("technology manger",$C236)),ISNUMBER(SEARCH("tech manager",$C236))),"Technology Manager","Squad"))))))</f>
        <v>Squad</v>
      </c>
      <c r="AS236" t="str">
        <f>IF(TRIM($B236)="","",IFERROR(INDEX(Lists!$AA:$AA,MATCH($AP236,Lists!$Z:$Z,0)),$AP236))</f>
        <v>Service Op &amp; Assurance</v>
      </c>
      <c r="AT236" t="str">
        <f>IF(TRIM($B236)="","",IF(IFERROR(INDEX(Lists!$AP$2:$AP$4,MATCH(ROW(),Lists!$AN$2:$AN$4,0)),"")&lt;&gt;"",IFERROR(INDEX(Lists!$AP$2:$AP$4,MATCH(ROW(),Lists!$AN$2:$AN$4,0)),""),IF(OR(LEFT($AJ236,3)="COE",$AJ236="EGI"),$AP236,IF($AR236&lt;&gt;"Squad",$AR236,$AP236))))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>
        <f>IF(TRIM($B237)="","",IF(N($AU237)&gt;0,$AU237,IF(N($S237)&gt;0,$S237*Lists!$AG$15*(1+N($Z237)),N($U237)*(1+N($V237)+N($W237)+N($X237)+N($Z237))+N($Y237))))</f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IF(TRIM($B237)="","",IF(IFERROR(INDEX(Lists!$AO$2:$AO$4,MATCH(ROW(),Lists!$AN$2:$AN$4,0)),"")&lt;&gt;"",IFERROR(INDEX(Lists!$AO$2:$AO$4,MATCH(ROW(),Lists!$AN$2:$AN$4,0)),""),IFERROR(INDEX(Lists!$U:$U,MATCH(TRIM($I237),Lists!$T:$T,0)),TRIM($I237))))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",$C237)),"Head of Technology",IF(ISNUMBER(SEARCH("TDD BP",$C237)),"Business Partner",IF(OR(ISNUMBER(SEARCH("domain architect",$C237)),ISNUMBER(SEARCH("enterprise architect",$C237))),"Domain Architect",IF(ISNUMBER(SEARCH("delivery man",$C237)),"Delivery Manager",IF(OR(ISNUMBER(SEARCH("technology manager",$C237)),ISNUMBER(SEARCH("technology manger",$C237)),ISNUMBER(SEARCH("tech manager",$C237))),"Technology Manager","Squad"))))))</f>
        <v>Squad</v>
      </c>
      <c r="AS237" t="str">
        <f>IF(TRIM($B237)="","",IFERROR(INDEX(Lists!$AA:$AA,MATCH($AP237,Lists!$Z:$Z,0)),$AP237))</f>
        <v>Cyber GRC</v>
      </c>
      <c r="AT237" t="str">
        <f>IF(TRIM($B237)="","",IF(IFERROR(INDEX(Lists!$AP$2:$AP$4,MATCH(ROW(),Lists!$AN$2:$AN$4,0)),"")&lt;&gt;"",IFERROR(INDEX(Lists!$AP$2:$AP$4,MATCH(ROW(),Lists!$AN$2:$AN$4,0)),""),IF(OR(LEFT($AJ237,3)="COE",$AJ237="EGI"),$AP237,IF($AR237&lt;&gt;"Squad",$AR237,$AP237))))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>
        <f>IF(TRIM($B238)="","",IF(N($AU238)&gt;0,$AU238,IF(N($S238)&gt;0,$S238*Lists!$AG$15*(1+N($Z238)),N($U238)*(1+N($V238)+N($W238)+N($X238)+N($Z238))+N($Y238))))</f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IF(TRIM($B238)="","",IF(IFERROR(INDEX(Lists!$AO$2:$AO$4,MATCH(ROW(),Lists!$AN$2:$AN$4,0)),"")&lt;&gt;"",IFERROR(INDEX(Lists!$AO$2:$AO$4,MATCH(ROW(),Lists!$AN$2:$AN$4,0)),""),IFERROR(INDEX(Lists!$U:$U,MATCH(TRIM($I238),Lists!$T:$T,0)),TRIM($I238))))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",$C238)),"Head of Technology",IF(ISNUMBER(SEARCH("TDD BP",$C238)),"Business Partner",IF(OR(ISNUMBER(SEARCH("domain architect",$C238)),ISNUMBER(SEARCH("enterprise architect",$C238))),"Domain Architect",IF(ISNUMBER(SEARCH("delivery man",$C238)),"Delivery Manager",IF(OR(ISNUMBER(SEARCH("technology manager",$C238)),ISNUMBER(SEARCH("technology manger",$C238)),ISNUMBER(SEARCH("tech manager",$C238))),"Technology Manager","Squad"))))))</f>
        <v>Squad</v>
      </c>
      <c r="AS238" t="str">
        <f>IF(TRIM($B238)="","",IFERROR(INDEX(Lists!$AA:$AA,MATCH($AP238,Lists!$Z:$Z,0)),$AP238))</f>
        <v>Cyber Strat &amp; Tech</v>
      </c>
      <c r="AT238" t="str">
        <f>IF(TRIM($B238)="","",IF(IFERROR(INDEX(Lists!$AP$2:$AP$4,MATCH(ROW(),Lists!$AN$2:$AN$4,0)),"")&lt;&gt;"",IFERROR(INDEX(Lists!$AP$2:$AP$4,MATCH(ROW(),Lists!$AN$2:$AN$4,0)),""),IF(OR(LEFT($AJ238,3)="COE",$AJ238="EGI"),$AP238,IF($AR238&lt;&gt;"Squad",$AR238,$AP238))))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IF(TRIM($B239)="","",IF(N($AU239)&gt;0,$AU239,IF(N($S239)&gt;0,$S239*Lists!$AG$15*(1+N($Z239)),N($U239)*(1+N($V239)+N($W239)+N($X239)+N($Z239))+N($Y239))))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IF(TRIM($B239)="","",IF(IFERROR(INDEX(Lists!$AO$2:$AO$4,MATCH(ROW(),Lists!$AN$2:$AN$4,0)),"")&lt;&gt;"",IFERROR(INDEX(Lists!$AO$2:$AO$4,MATCH(ROW(),Lists!$AN$2:$AN$4,0)),""),IFERROR(INDEX(Lists!$U:$U,MATCH(TRIM($I239),Lists!$T:$T,0)),TRIM($I239))))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",$C239)),"Head of Technology",IF(ISNUMBER(SEARCH("TDD BP",$C239)),"Business Partner",IF(OR(ISNUMBER(SEARCH("domain architect",$C239)),ISNUMBER(SEARCH("enterprise architect",$C239))),"Domain Architect",IF(ISNUMBER(SEARCH("delivery man",$C239)),"Delivery Manager",IF(OR(ISNUMBER(SEARCH("technology manager",$C239)),ISNUMBER(SEARCH("technology manger",$C239)),ISNUMBER(SEARCH("tech manager",$C239))),"Technology Manager","Squad"))))))</f>
        <v>Squad</v>
      </c>
      <c r="AS239" t="str">
        <f>IF(TRIM($B239)="","",IFERROR(INDEX(Lists!$AA:$AA,MATCH($AP239,Lists!$Z:$Z,0)),$AP239))</f>
        <v>EGI</v>
      </c>
      <c r="AT239" t="str">
        <f>IF(TRIM($B239)="","",IF(IFERROR(INDEX(Lists!$AP$2:$AP$4,MATCH(ROW(),Lists!$AN$2:$AN$4,0)),"")&lt;&gt;"",IFERROR(INDEX(Lists!$AP$2:$AP$4,MATCH(ROW(),Lists!$AN$2:$AN$4,0)),""),IF(OR(LEFT($AJ239,3)="COE",$AJ239="EGI"),$AP239,IF($AR239&lt;&gt;"Squad",$AR239,$AP239))))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IF(TRIM($B240)="","",IF(N($AU240)&gt;0,$AU240,IF(N($S240)&gt;0,$S240*Lists!$AG$15*(1+N($Z240)),N($U240)*(1+N($V240)+N($W240)+N($X240)+N($Z240))+N($Y240))))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IF(TRIM($B240)="","",IF(IFERROR(INDEX(Lists!$AO$2:$AO$4,MATCH(ROW(),Lists!$AN$2:$AN$4,0)),"")&lt;&gt;"",IFERROR(INDEX(Lists!$AO$2:$AO$4,MATCH(ROW(),Lists!$AN$2:$AN$4,0)),""),IFERROR(INDEX(Lists!$U:$U,MATCH(TRIM($I240),Lists!$T:$T,0)),TRIM($I240))))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",$C240)),"Head of Technology",IF(ISNUMBER(SEARCH("TDD BP",$C240)),"Business Partner",IF(OR(ISNUMBER(SEARCH("domain architect",$C240)),ISNUMBER(SEARCH("enterprise architect",$C240))),"Domain Architect",IF(ISNUMBER(SEARCH("delivery man",$C240)),"Delivery Manager",IF(OR(ISNUMBER(SEARCH("technology manager",$C240)),ISNUMBER(SEARCH("technology manger",$C240)),ISNUMBER(SEARCH("tech manager",$C240))),"Technology Manager","Squad"))))))</f>
        <v>Squad</v>
      </c>
      <c r="AS240" t="str">
        <f>IF(TRIM($B240)="","",IFERROR(INDEX(Lists!$AA:$AA,MATCH($AP240,Lists!$Z:$Z,0)),$AP240))</f>
        <v>EGI</v>
      </c>
      <c r="AT240" t="str">
        <f>IF(TRIM($B240)="","",IF(IFERROR(INDEX(Lists!$AP$2:$AP$4,MATCH(ROW(),Lists!$AN$2:$AN$4,0)),"")&lt;&gt;"",IFERROR(INDEX(Lists!$AP$2:$AP$4,MATCH(ROW(),Lists!$AN$2:$AN$4,0)),""),IF(OR(LEFT($AJ240,3)="COE",$AJ240="EGI"),$AP240,IF($AR240&lt;&gt;"Squad",$AR240,$AP240))))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IF(TRIM($B241)="","",IF(N($AU241)&gt;0,$AU241,IF(N($S241)&gt;0,$S241*Lists!$AG$15*(1+N($Z241)),N($U241)*(1+N($V241)+N($W241)+N($X241)+N($Z241))+N($Y241))))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IF(TRIM($B241)="","",IF(IFERROR(INDEX(Lists!$AO$2:$AO$4,MATCH(ROW(),Lists!$AN$2:$AN$4,0)),"")&lt;&gt;"",IFERROR(INDEX(Lists!$AO$2:$AO$4,MATCH(ROW(),Lists!$AN$2:$AN$4,0)),""),IFERROR(INDEX(Lists!$U:$U,MATCH(TRIM($I241),Lists!$T:$T,0)),TRIM($I241))))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",$C241)),"Head of Technology",IF(ISNUMBER(SEARCH("TDD BP",$C241)),"Business Partner",IF(OR(ISNUMBER(SEARCH("domain architect",$C241)),ISNUMBER(SEARCH("enterprise architect",$C241))),"Domain Architect",IF(ISNUMBER(SEARCH("delivery man",$C241)),"Delivery Manager",IF(OR(ISNUMBER(SEARCH("technology manager",$C241)),ISNUMBER(SEARCH("technology manger",$C241)),ISNUMBER(SEARCH("tech manager",$C241))),"Technology Manager","Squad"))))))</f>
        <v>Squad</v>
      </c>
      <c r="AS241" t="str">
        <f>IF(TRIM($B241)="","",IFERROR(INDEX(Lists!$AA:$AA,MATCH($AP241,Lists!$Z:$Z,0)),$AP241))</f>
        <v>EGI</v>
      </c>
      <c r="AT241" t="str">
        <f>IF(TRIM($B241)="","",IF(IFERROR(INDEX(Lists!$AP$2:$AP$4,MATCH(ROW(),Lists!$AN$2:$AN$4,0)),"")&lt;&gt;"",IFERROR(INDEX(Lists!$AP$2:$AP$4,MATCH(ROW(),Lists!$AN$2:$AN$4,0)),""),IF(OR(LEFT($AJ241,3)="COE",$AJ241="EGI"),$AP241,IF($AR241&lt;&gt;"Squad",$AR241,$AP241))))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IF(TRIM($B242)="","",IF(N($AU242)&gt;0,$AU242,IF(N($S242)&gt;0,$S242*Lists!$AG$15*(1+N($Z242)),N($U242)*(1+N($V242)+N($W242)+N($X242)+N($Z242))+N($Y242))))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IF(TRIM($B242)="","",IF(IFERROR(INDEX(Lists!$AO$2:$AO$4,MATCH(ROW(),Lists!$AN$2:$AN$4,0)),"")&lt;&gt;"",IFERROR(INDEX(Lists!$AO$2:$AO$4,MATCH(ROW(),Lists!$AN$2:$AN$4,0)),""),IFERROR(INDEX(Lists!$U:$U,MATCH(TRIM($I242),Lists!$T:$T,0)),TRIM($I242))))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",$C242)),"Head of Technology",IF(ISNUMBER(SEARCH("TDD BP",$C242)),"Business Partner",IF(OR(ISNUMBER(SEARCH("domain architect",$C242)),ISNUMBER(SEARCH("enterprise architect",$C242))),"Domain Architect",IF(ISNUMBER(SEARCH("delivery man",$C242)),"Delivery Manager",IF(OR(ISNUMBER(SEARCH("technology manager",$C242)),ISNUMBER(SEARCH("technology manger",$C242)),ISNUMBER(SEARCH("tech manager",$C242))),"Technology Manager","Squad"))))))</f>
        <v>Squad</v>
      </c>
      <c r="AS242" t="str">
        <f>IF(TRIM($B242)="","",IFERROR(INDEX(Lists!$AA:$AA,MATCH($AP242,Lists!$Z:$Z,0)),$AP242))</f>
        <v>EGI</v>
      </c>
      <c r="AT242" t="str">
        <f>IF(TRIM($B242)="","",IF(IFERROR(INDEX(Lists!$AP$2:$AP$4,MATCH(ROW(),Lists!$AN$2:$AN$4,0)),"")&lt;&gt;"",IFERROR(INDEX(Lists!$AP$2:$AP$4,MATCH(ROW(),Lists!$AN$2:$AN$4,0)),""),IF(OR(LEFT($AJ242,3)="COE",$AJ242="EGI"),$AP242,IF($AR242&lt;&gt;"Squad",$AR242,$AP242))))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IF(TRIM($B243)="","",IF(N($AU243)&gt;0,$AU243,IF(N($S243)&gt;0,$S243*Lists!$AG$15*(1+N($Z243)),N($U243)*(1+N($V243)+N($W243)+N($X243)+N($Z243))+N($Y243))))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IF(TRIM($B243)="","",IF(IFERROR(INDEX(Lists!$AO$2:$AO$4,MATCH(ROW(),Lists!$AN$2:$AN$4,0)),"")&lt;&gt;"",IFERROR(INDEX(Lists!$AO$2:$AO$4,MATCH(ROW(),Lists!$AN$2:$AN$4,0)),""),IFERROR(INDEX(Lists!$U:$U,MATCH(TRIM($I243),Lists!$T:$T,0)),TRIM($I243))))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",$C243)),"Head of Technology",IF(ISNUMBER(SEARCH("TDD BP",$C243)),"Business Partner",IF(OR(ISNUMBER(SEARCH("domain architect",$C243)),ISNUMBER(SEARCH("enterprise architect",$C243))),"Domain Architect",IF(ISNUMBER(SEARCH("delivery man",$C243)),"Delivery Manager",IF(OR(ISNUMBER(SEARCH("technology manager",$C243)),ISNUMBER(SEARCH("technology manger",$C243)),ISNUMBER(SEARCH("tech manager",$C243))),"Technology Manager","Squad"))))))</f>
        <v>Squad</v>
      </c>
      <c r="AS243" t="str">
        <f>IF(TRIM($B243)="","",IFERROR(INDEX(Lists!$AA:$AA,MATCH($AP243,Lists!$Z:$Z,0)),$AP243))</f>
        <v>EGI</v>
      </c>
      <c r="AT243" t="str">
        <f>IF(TRIM($B243)="","",IF(IFERROR(INDEX(Lists!$AP$2:$AP$4,MATCH(ROW(),Lists!$AN$2:$AN$4,0)),"")&lt;&gt;"",IFERROR(INDEX(Lists!$AP$2:$AP$4,MATCH(ROW(),Lists!$AN$2:$AN$4,0)),""),IF(OR(LEFT($AJ243,3)="COE",$AJ243="EGI"),$AP243,IF($AR243&lt;&gt;"Squad",$AR243,$AP243))))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IF(TRIM($B244)="","",IF(N($AU244)&gt;0,$AU244,IF(N($S244)&gt;0,$S244*Lists!$AG$15*(1+N($Z244)),N($U244)*(1+N($V244)+N($W244)+N($X244)+N($Z244))+N($Y244))))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IF(TRIM($B244)="","",IF(IFERROR(INDEX(Lists!$AO$2:$AO$4,MATCH(ROW(),Lists!$AN$2:$AN$4,0)),"")&lt;&gt;"",IFERROR(INDEX(Lists!$AO$2:$AO$4,MATCH(ROW(),Lists!$AN$2:$AN$4,0)),""),IFERROR(INDEX(Lists!$U:$U,MATCH(TRIM($I244),Lists!$T:$T,0)),TRIM($I244))))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",$C244)),"Head of Technology",IF(ISNUMBER(SEARCH("TDD BP",$C244)),"Business Partner",IF(OR(ISNUMBER(SEARCH("domain architect",$C244)),ISNUMBER(SEARCH("enterprise architect",$C244))),"Domain Architect",IF(ISNUMBER(SEARCH("delivery man",$C244)),"Delivery Manager",IF(OR(ISNUMBER(SEARCH("technology manager",$C244)),ISNUMBER(SEARCH("technology manger",$C244)),ISNUMBER(SEARCH("tech manager",$C244))),"Technology Manager","Squad"))))))</f>
        <v>Squad</v>
      </c>
      <c r="AS244" t="str">
        <f>IF(TRIM($B244)="","",IFERROR(INDEX(Lists!$AA:$AA,MATCH($AP244,Lists!$Z:$Z,0)),$AP244))</f>
        <v>EGI</v>
      </c>
      <c r="AT244" t="str">
        <f>IF(TRIM($B244)="","",IF(IFERROR(INDEX(Lists!$AP$2:$AP$4,MATCH(ROW(),Lists!$AN$2:$AN$4,0)),"")&lt;&gt;"",IFERROR(INDEX(Lists!$AP$2:$AP$4,MATCH(ROW(),Lists!$AN$2:$AN$4,0)),""),IF(OR(LEFT($AJ244,3)="COE",$AJ244="EGI"),$AP244,IF($AR244&lt;&gt;"Squad",$AR244,$AP244))))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IF(TRIM($B245)="","",IF(N($AU245)&gt;0,$AU245,IF(N($S245)&gt;0,$S245*Lists!$AG$15*(1+N($Z245)),N($U245)*(1+N($V245)+N($W245)+N($X245)+N($Z245))+N($Y245))))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IF(TRIM($B245)="","",IF(IFERROR(INDEX(Lists!$AO$2:$AO$4,MATCH(ROW(),Lists!$AN$2:$AN$4,0)),"")&lt;&gt;"",IFERROR(INDEX(Lists!$AO$2:$AO$4,MATCH(ROW(),Lists!$AN$2:$AN$4,0)),""),IFERROR(INDEX(Lists!$U:$U,MATCH(TRIM($I245),Lists!$T:$T,0)),TRIM($I245))))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",$C245)),"Head of Technology",IF(ISNUMBER(SEARCH("TDD BP",$C245)),"Business Partner",IF(OR(ISNUMBER(SEARCH("domain architect",$C245)),ISNUMBER(SEARCH("enterprise architect",$C245))),"Domain Architect",IF(ISNUMBER(SEARCH("delivery man",$C245)),"Delivery Manager",IF(OR(ISNUMBER(SEARCH("technology manager",$C245)),ISNUMBER(SEARCH("technology manger",$C245)),ISNUMBER(SEARCH("tech manager",$C245))),"Technology Manager","Squad"))))))</f>
        <v>Squad</v>
      </c>
      <c r="AS245" t="str">
        <f>IF(TRIM($B245)="","",IFERROR(INDEX(Lists!$AA:$AA,MATCH($AP245,Lists!$Z:$Z,0)),$AP245))</f>
        <v>EGI</v>
      </c>
      <c r="AT245" t="str">
        <f>IF(TRIM($B245)="","",IF(IFERROR(INDEX(Lists!$AP$2:$AP$4,MATCH(ROW(),Lists!$AN$2:$AN$4,0)),"")&lt;&gt;"",IFERROR(INDEX(Lists!$AP$2:$AP$4,MATCH(ROW(),Lists!$AN$2:$AN$4,0)),""),IF(OR(LEFT($AJ245,3)="COE",$AJ245="EGI"),$AP245,IF($AR245&lt;&gt;"Squad",$AR245,$AP245))))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IF(TRIM($B246)="","",IF(N($AU246)&gt;0,$AU246,IF(N($S246)&gt;0,$S246*Lists!$AG$15*(1+N($Z246)),N($U246)*(1+N($V246)+N($W246)+N($X246)+N($Z246))+N($Y246))))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IF(TRIM($B246)="","",IF(IFERROR(INDEX(Lists!$AO$2:$AO$4,MATCH(ROW(),Lists!$AN$2:$AN$4,0)),"")&lt;&gt;"",IFERROR(INDEX(Lists!$AO$2:$AO$4,MATCH(ROW(),Lists!$AN$2:$AN$4,0)),""),IFERROR(INDEX(Lists!$U:$U,MATCH(TRIM($I246),Lists!$T:$T,0)),TRIM($I246))))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",$C246)),"Head of Technology",IF(ISNUMBER(SEARCH("TDD BP",$C246)),"Business Partner",IF(OR(ISNUMBER(SEARCH("domain architect",$C246)),ISNUMBER(SEARCH("enterprise architect",$C246))),"Domain Architect",IF(ISNUMBER(SEARCH("delivery man",$C246)),"Delivery Manager",IF(OR(ISNUMBER(SEARCH("technology manager",$C246)),ISNUMBER(SEARCH("technology manger",$C246)),ISNUMBER(SEARCH("tech manager",$C246))),"Technology Manager","Squad"))))))</f>
        <v>Squad</v>
      </c>
      <c r="AS246" t="str">
        <f>IF(TRIM($B246)="","",IFERROR(INDEX(Lists!$AA:$AA,MATCH($AP246,Lists!$Z:$Z,0)),$AP246))</f>
        <v>EGI</v>
      </c>
      <c r="AT246" t="str">
        <f>IF(TRIM($B246)="","",IF(IFERROR(INDEX(Lists!$AP$2:$AP$4,MATCH(ROW(),Lists!$AN$2:$AN$4,0)),"")&lt;&gt;"",IFERROR(INDEX(Lists!$AP$2:$AP$4,MATCH(ROW(),Lists!$AN$2:$AN$4,0)),""),IF(OR(LEFT($AJ246,3)="COE",$AJ246="EGI"),$AP246,IF($AR246&lt;&gt;"Squad",$AR246,$AP246))))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IF(TRIM($B247)="","",IF(N($AU247)&gt;0,$AU247,IF(N($S247)&gt;0,$S247*Lists!$AG$15*(1+N($Z247)),N($U247)*(1+N($V247)+N($W247)+N($X247)+N($Z247))+N($Y247))))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IF(TRIM($B247)="","",IF(IFERROR(INDEX(Lists!$AO$2:$AO$4,MATCH(ROW(),Lists!$AN$2:$AN$4,0)),"")&lt;&gt;"",IFERROR(INDEX(Lists!$AO$2:$AO$4,MATCH(ROW(),Lists!$AN$2:$AN$4,0)),""),IFERROR(INDEX(Lists!$U:$U,MATCH(TRIM($I247),Lists!$T:$T,0)),TRIM($I247))))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",$C247)),"Head of Technology",IF(ISNUMBER(SEARCH("TDD BP",$C247)),"Business Partner",IF(OR(ISNUMBER(SEARCH("domain architect",$C247)),ISNUMBER(SEARCH("enterprise architect",$C247))),"Domain Architect",IF(ISNUMBER(SEARCH("delivery man",$C247)),"Delivery Manager",IF(OR(ISNUMBER(SEARCH("technology manager",$C247)),ISNUMBER(SEARCH("technology manger",$C247)),ISNUMBER(SEARCH("tech manager",$C247))),"Technology Manager","Squad"))))))</f>
        <v>Squad</v>
      </c>
      <c r="AS247" t="str">
        <f>IF(TRIM($B247)="","",IFERROR(INDEX(Lists!$AA:$AA,MATCH($AP247,Lists!$Z:$Z,0)),$AP247))</f>
        <v>EGI</v>
      </c>
      <c r="AT247" t="str">
        <f>IF(TRIM($B247)="","",IF(IFERROR(INDEX(Lists!$AP$2:$AP$4,MATCH(ROW(),Lists!$AN$2:$AN$4,0)),"")&lt;&gt;"",IFERROR(INDEX(Lists!$AP$2:$AP$4,MATCH(ROW(),Lists!$AN$2:$AN$4,0)),""),IF(OR(LEFT($AJ247,3)="COE",$AJ247="EGI"),$AP247,IF($AR247&lt;&gt;"Squad",$AR247,$AP247))))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IF(TRIM($B248)="","",IF(N($AU248)&gt;0,$AU248,IF(N($S248)&gt;0,$S248*Lists!$AG$15*(1+N($Z248)),N($U248)*(1+N($V248)+N($W248)+N($X248)+N($Z248))+N($Y248))))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IF(TRIM($B248)="","",IF(IFERROR(INDEX(Lists!$AO$2:$AO$4,MATCH(ROW(),Lists!$AN$2:$AN$4,0)),"")&lt;&gt;"",IFERROR(INDEX(Lists!$AO$2:$AO$4,MATCH(ROW(),Lists!$AN$2:$AN$4,0)),""),IFERROR(INDEX(Lists!$U:$U,MATCH(TRIM($I248),Lists!$T:$T,0)),TRIM($I248))))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",$C248)),"Head of Technology",IF(ISNUMBER(SEARCH("TDD BP",$C248)),"Business Partner",IF(OR(ISNUMBER(SEARCH("domain architect",$C248)),ISNUMBER(SEARCH("enterprise architect",$C248))),"Domain Architect",IF(ISNUMBER(SEARCH("delivery man",$C248)),"Delivery Manager",IF(OR(ISNUMBER(SEARCH("technology manager",$C248)),ISNUMBER(SEARCH("technology manger",$C248)),ISNUMBER(SEARCH("tech manager",$C248))),"Technology Manager","Squad"))))))</f>
        <v>Squad</v>
      </c>
      <c r="AS248" t="str">
        <f>IF(TRIM($B248)="","",IFERROR(INDEX(Lists!$AA:$AA,MATCH($AP248,Lists!$Z:$Z,0)),$AP248))</f>
        <v>EGI</v>
      </c>
      <c r="AT248" t="str">
        <f>IF(TRIM($B248)="","",IF(IFERROR(INDEX(Lists!$AP$2:$AP$4,MATCH(ROW(),Lists!$AN$2:$AN$4,0)),"")&lt;&gt;"",IFERROR(INDEX(Lists!$AP$2:$AP$4,MATCH(ROW(),Lists!$AN$2:$AN$4,0)),""),IF(OR(LEFT($AJ248,3)="COE",$AJ248="EGI"),$AP248,IF($AR248&lt;&gt;"Squad",$AR248,$AP248))))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IF(TRIM($B249)="","",IF(N($AU249)&gt;0,$AU249,IF(N($S249)&gt;0,$S249*Lists!$AG$15*(1+N($Z249)),N($U249)*(1+N($V249)+N($W249)+N($X249)+N($Z249))+N($Y249))))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IF(TRIM($B249)="","",IF(IFERROR(INDEX(Lists!$AO$2:$AO$4,MATCH(ROW(),Lists!$AN$2:$AN$4,0)),"")&lt;&gt;"",IFERROR(INDEX(Lists!$AO$2:$AO$4,MATCH(ROW(),Lists!$AN$2:$AN$4,0)),""),IFERROR(INDEX(Lists!$U:$U,MATCH(TRIM($I249),Lists!$T:$T,0)),TRIM($I249))))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",$C249)),"Head of Technology",IF(ISNUMBER(SEARCH("TDD BP",$C249)),"Business Partner",IF(OR(ISNUMBER(SEARCH("domain architect",$C249)),ISNUMBER(SEARCH("enterprise architect",$C249))),"Domain Architect",IF(ISNUMBER(SEARCH("delivery man",$C249)),"Delivery Manager",IF(OR(ISNUMBER(SEARCH("technology manager",$C249)),ISNUMBER(SEARCH("technology manger",$C249)),ISNUMBER(SEARCH("tech manager",$C249))),"Technology Manager","Squad"))))))</f>
        <v>Squad</v>
      </c>
      <c r="AS249" t="str">
        <f>IF(TRIM($B249)="","",IFERROR(INDEX(Lists!$AA:$AA,MATCH($AP249,Lists!$Z:$Z,0)),$AP249))</f>
        <v>EGI</v>
      </c>
      <c r="AT249" t="str">
        <f>IF(TRIM($B249)="","",IF(IFERROR(INDEX(Lists!$AP$2:$AP$4,MATCH(ROW(),Lists!$AN$2:$AN$4,0)),"")&lt;&gt;"",IFERROR(INDEX(Lists!$AP$2:$AP$4,MATCH(ROW(),Lists!$AN$2:$AN$4,0)),""),IF(OR(LEFT($AJ249,3)="COE",$AJ249="EGI"),$AP249,IF($AR249&lt;&gt;"Squad",$AR249,$AP249))))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IF(TRIM($B250)="","",IF(N($AU250)&gt;0,$AU250,IF(N($S250)&gt;0,$S250*Lists!$AG$15*(1+N($Z250)),N($U250)*(1+N($V250)+N($W250)+N($X250)+N($Z250))+N($Y250))))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IF(TRIM($B250)="","",IF(IFERROR(INDEX(Lists!$AO$2:$AO$4,MATCH(ROW(),Lists!$AN$2:$AN$4,0)),"")&lt;&gt;"",IFERROR(INDEX(Lists!$AO$2:$AO$4,MATCH(ROW(),Lists!$AN$2:$AN$4,0)),""),IFERROR(INDEX(Lists!$U:$U,MATCH(TRIM($I250),Lists!$T:$T,0)),TRIM($I250))))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",$C250)),"Head of Technology",IF(ISNUMBER(SEARCH("TDD BP",$C250)),"Business Partner",IF(OR(ISNUMBER(SEARCH("domain architect",$C250)),ISNUMBER(SEARCH("enterprise architect",$C250))),"Domain Architect",IF(ISNUMBER(SEARCH("delivery man",$C250)),"Delivery Manager",IF(OR(ISNUMBER(SEARCH("technology manager",$C250)),ISNUMBER(SEARCH("technology manger",$C250)),ISNUMBER(SEARCH("tech manager",$C250))),"Technology Manager","Squad"))))))</f>
        <v>Squad</v>
      </c>
      <c r="AS250" t="str">
        <f>IF(TRIM($B250)="","",IFERROR(INDEX(Lists!$AA:$AA,MATCH($AP250,Lists!$Z:$Z,0)),$AP250))</f>
        <v>EGI</v>
      </c>
      <c r="AT250" t="str">
        <f>IF(TRIM($B250)="","",IF(IFERROR(INDEX(Lists!$AP$2:$AP$4,MATCH(ROW(),Lists!$AN$2:$AN$4,0)),"")&lt;&gt;"",IFERROR(INDEX(Lists!$AP$2:$AP$4,MATCH(ROW(),Lists!$AN$2:$AN$4,0)),""),IF(OR(LEFT($AJ250,3)="COE",$AJ250="EGI"),$AP250,IF($AR250&lt;&gt;"Squad",$AR250,$AP250))))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IF(TRIM($B251)="","",IF(N($AU251)&gt;0,$AU251,IF(N($S251)&gt;0,$S251*Lists!$AG$15*(1+N($Z251)),N($U251)*(1+N($V251)+N($W251)+N($X251)+N($Z251))+N($Y251))))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IF(TRIM($B251)="","",IF(IFERROR(INDEX(Lists!$AO$2:$AO$4,MATCH(ROW(),Lists!$AN$2:$AN$4,0)),"")&lt;&gt;"",IFERROR(INDEX(Lists!$AO$2:$AO$4,MATCH(ROW(),Lists!$AN$2:$AN$4,0)),""),IFERROR(INDEX(Lists!$U:$U,MATCH(TRIM($I251),Lists!$T:$T,0)),TRIM($I251))))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",$C251)),"Head of Technology",IF(ISNUMBER(SEARCH("TDD BP",$C251)),"Business Partner",IF(OR(ISNUMBER(SEARCH("domain architect",$C251)),ISNUMBER(SEARCH("enterprise architect",$C251))),"Domain Architect",IF(ISNUMBER(SEARCH("delivery man",$C251)),"Delivery Manager",IF(OR(ISNUMBER(SEARCH("technology manager",$C251)),ISNUMBER(SEARCH("technology manger",$C251)),ISNUMBER(SEARCH("tech manager",$C251))),"Technology Manager","Squad"))))))</f>
        <v>Squad</v>
      </c>
      <c r="AS251" t="str">
        <f>IF(TRIM($B251)="","",IFERROR(INDEX(Lists!$AA:$AA,MATCH($AP251,Lists!$Z:$Z,0)),$AP251))</f>
        <v>EGI</v>
      </c>
      <c r="AT251" t="str">
        <f>IF(TRIM($B251)="","",IF(IFERROR(INDEX(Lists!$AP$2:$AP$4,MATCH(ROW(),Lists!$AN$2:$AN$4,0)),"")&lt;&gt;"",IFERROR(INDEX(Lists!$AP$2:$AP$4,MATCH(ROW(),Lists!$AN$2:$AN$4,0)),""),IF(OR(LEFT($AJ251,3)="COE",$AJ251="EGI"),$AP251,IF($AR251&lt;&gt;"Squad",$AR251,$AP251))))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IF(TRIM($B252)="","",IF(N($AU252)&gt;0,$AU252,IF(N($S252)&gt;0,$S252*Lists!$AG$15*(1+N($Z252)),N($U252)*(1+N($V252)+N($W252)+N($X252)+N($Z252))+N($Y252))))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IF(TRIM($B252)="","",IF(IFERROR(INDEX(Lists!$AO$2:$AO$4,MATCH(ROW(),Lists!$AN$2:$AN$4,0)),"")&lt;&gt;"",IFERROR(INDEX(Lists!$AO$2:$AO$4,MATCH(ROW(),Lists!$AN$2:$AN$4,0)),""),IFERROR(INDEX(Lists!$U:$U,MATCH(TRIM($I252),Lists!$T:$T,0)),TRIM($I252))))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",$C252)),"Head of Technology",IF(ISNUMBER(SEARCH("TDD BP",$C252)),"Business Partner",IF(OR(ISNUMBER(SEARCH("domain architect",$C252)),ISNUMBER(SEARCH("enterprise architect",$C252))),"Domain Architect",IF(ISNUMBER(SEARCH("delivery man",$C252)),"Delivery Manager",IF(OR(ISNUMBER(SEARCH("technology manager",$C252)),ISNUMBER(SEARCH("technology manger",$C252)),ISNUMBER(SEARCH("tech manager",$C252))),"Technology Manager","Squad"))))))</f>
        <v>Squad</v>
      </c>
      <c r="AS252" t="str">
        <f>IF(TRIM($B252)="","",IFERROR(INDEX(Lists!$AA:$AA,MATCH($AP252,Lists!$Z:$Z,0)),$AP252))</f>
        <v>EGI</v>
      </c>
      <c r="AT252" t="str">
        <f>IF(TRIM($B252)="","",IF(IFERROR(INDEX(Lists!$AP$2:$AP$4,MATCH(ROW(),Lists!$AN$2:$AN$4,0)),"")&lt;&gt;"",IFERROR(INDEX(Lists!$AP$2:$AP$4,MATCH(ROW(),Lists!$AN$2:$AN$4,0)),""),IF(OR(LEFT($AJ252,3)="COE",$AJ252="EGI"),$AP252,IF($AR252&lt;&gt;"Squad",$AR252,$AP252))))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IF(TRIM($B253)="","",IF(N($AU253)&gt;0,$AU253,IF(N($S253)&gt;0,$S253*Lists!$AG$15*(1+N($Z253)),N($U253)*(1+N($V253)+N($W253)+N($X253)+N($Z253))+N($Y253))))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IF(TRIM($B253)="","",IF(IFERROR(INDEX(Lists!$AO$2:$AO$4,MATCH(ROW(),Lists!$AN$2:$AN$4,0)),"")&lt;&gt;"",IFERROR(INDEX(Lists!$AO$2:$AO$4,MATCH(ROW(),Lists!$AN$2:$AN$4,0)),""),IFERROR(INDEX(Lists!$U:$U,MATCH(TRIM($I253),Lists!$T:$T,0)),TRIM($I253))))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",$C253)),"Head of Technology",IF(ISNUMBER(SEARCH("TDD BP",$C253)),"Business Partner",IF(OR(ISNUMBER(SEARCH("domain architect",$C253)),ISNUMBER(SEARCH("enterprise architect",$C253))),"Domain Architect",IF(ISNUMBER(SEARCH("delivery man",$C253)),"Delivery Manager",IF(OR(ISNUMBER(SEARCH("technology manager",$C253)),ISNUMBER(SEARCH("technology manger",$C253)),ISNUMBER(SEARCH("tech manager",$C253))),"Technology Manager","Squad"))))))</f>
        <v>Squad</v>
      </c>
      <c r="AS253" t="str">
        <f>IF(TRIM($B253)="","",IFERROR(INDEX(Lists!$AA:$AA,MATCH($AP253,Lists!$Z:$Z,0)),$AP253))</f>
        <v>EGI</v>
      </c>
      <c r="AT253" t="str">
        <f>IF(TRIM($B253)="","",IF(IFERROR(INDEX(Lists!$AP$2:$AP$4,MATCH(ROW(),Lists!$AN$2:$AN$4,0)),"")&lt;&gt;"",IFERROR(INDEX(Lists!$AP$2:$AP$4,MATCH(ROW(),Lists!$AN$2:$AN$4,0)),""),IF(OR(LEFT($AJ253,3)="COE",$AJ253="EGI"),$AP253,IF($AR253&lt;&gt;"Squad",$AR253,$AP253))))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IF(TRIM($B254)="","",IF(N($AU254)&gt;0,$AU254,IF(N($S254)&gt;0,$S254*Lists!$AG$15*(1+N($Z254)),N($U254)*(1+N($V254)+N($W254)+N($X254)+N($Z254))+N($Y254))))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IF(TRIM($B254)="","",IF(IFERROR(INDEX(Lists!$AO$2:$AO$4,MATCH(ROW(),Lists!$AN$2:$AN$4,0)),"")&lt;&gt;"",IFERROR(INDEX(Lists!$AO$2:$AO$4,MATCH(ROW(),Lists!$AN$2:$AN$4,0)),""),IFERROR(INDEX(Lists!$U:$U,MATCH(TRIM($I254),Lists!$T:$T,0)),TRIM($I254))))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",$C254)),"Head of Technology",IF(ISNUMBER(SEARCH("TDD BP",$C254)),"Business Partner",IF(OR(ISNUMBER(SEARCH("domain architect",$C254)),ISNUMBER(SEARCH("enterprise architect",$C254))),"Domain Architect",IF(ISNUMBER(SEARCH("delivery man",$C254)),"Delivery Manager",IF(OR(ISNUMBER(SEARCH("technology manager",$C254)),ISNUMBER(SEARCH("technology manger",$C254)),ISNUMBER(SEARCH("tech manager",$C254))),"Technology Manager","Squad"))))))</f>
        <v>Squad</v>
      </c>
      <c r="AS254" t="str">
        <f>IF(TRIM($B254)="","",IFERROR(INDEX(Lists!$AA:$AA,MATCH($AP254,Lists!$Z:$Z,0)),$AP254))</f>
        <v>EGI</v>
      </c>
      <c r="AT254" t="str">
        <f>IF(TRIM($B254)="","",IF(IFERROR(INDEX(Lists!$AP$2:$AP$4,MATCH(ROW(),Lists!$AN$2:$AN$4,0)),"")&lt;&gt;"",IFERROR(INDEX(Lists!$AP$2:$AP$4,MATCH(ROW(),Lists!$AN$2:$AN$4,0)),""),IF(OR(LEFT($AJ254,3)="COE",$AJ254="EGI"),$AP254,IF($AR254&lt;&gt;"Squad",$AR254,$AP254))))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>
        <f>IF(TRIM($B255)="","",IF(N($AU255)&gt;0,$AU255,IF(N($S255)&gt;0,$S255*Lists!$AG$15*(1+N($Z255)),N($U255)*(1+N($V255)+N($W255)+N($X255)+N($Z255))+N($Y255))))</f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IF(TRIM($B255)="","",IF(IFERROR(INDEX(Lists!$AO$2:$AO$4,MATCH(ROW(),Lists!$AN$2:$AN$4,0)),"")&lt;&gt;"",IFERROR(INDEX(Lists!$AO$2:$AO$4,MATCH(ROW(),Lists!$AN$2:$AN$4,0)),""),IFERROR(INDEX(Lists!$U:$U,MATCH(TRIM($I255),Lists!$T:$T,0)),TRIM($I255))))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",$C255)),"Head of Technology",IF(ISNUMBER(SEARCH("TDD BP",$C255)),"Business Partner",IF(OR(ISNUMBER(SEARCH("domain architect",$C255)),ISNUMBER(SEARCH("enterprise architect",$C255))),"Domain Architect",IF(ISNUMBER(SEARCH("delivery man",$C255)),"Delivery Manager",IF(OR(ISNUMBER(SEARCH("technology manager",$C255)),ISNUMBER(SEARCH("technology manger",$C255)),ISNUMBER(SEARCH("tech manager",$C255))),"Technology Manager","Squad"))))))</f>
        <v>Squad</v>
      </c>
      <c r="AS255" t="str">
        <f>IF(TRIM($B255)="","",IFERROR(INDEX(Lists!$AA:$AA,MATCH($AP255,Lists!$Z:$Z,0)),$AP255))</f>
        <v>Commercial</v>
      </c>
      <c r="AT255" t="str">
        <f>IF(TRIM($B255)="","",IF(IFERROR(INDEX(Lists!$AP$2:$AP$4,MATCH(ROW(),Lists!$AN$2:$AN$4,0)),"")&lt;&gt;"",IFERROR(INDEX(Lists!$AP$2:$AP$4,MATCH(ROW(),Lists!$AN$2:$AN$4,0)),""),IF(OR(LEFT($AJ255,3)="COE",$AJ255="EGI"),$AP255,IF($AR255&lt;&gt;"Squad",$AR255,$AP255))))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>
        <f>IF(TRIM($B256)="","",IF(N($AU256)&gt;0,$AU256,IF(N($S256)&gt;0,$S256*Lists!$AG$15*(1+N($Z256)),N($U256)*(1+N($V256)+N($W256)+N($X256)+N($Z256))+N($Y256))))</f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IF(TRIM($B256)="","",IF(IFERROR(INDEX(Lists!$AO$2:$AO$4,MATCH(ROW(),Lists!$AN$2:$AN$4,0)),"")&lt;&gt;"",IFERROR(INDEX(Lists!$AO$2:$AO$4,MATCH(ROW(),Lists!$AN$2:$AN$4,0)),""),IFERROR(INDEX(Lists!$U:$U,MATCH(TRIM($I256),Lists!$T:$T,0)),TRIM($I256))))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",$C256)),"Head of Technology",IF(ISNUMBER(SEARCH("TDD BP",$C256)),"Business Partner",IF(OR(ISNUMBER(SEARCH("domain architect",$C256)),ISNUMBER(SEARCH("enterprise architect",$C256))),"Domain Architect",IF(ISNUMBER(SEARCH("delivery man",$C256)),"Delivery Manager",IF(OR(ISNUMBER(SEARCH("technology manager",$C256)),ISNUMBER(SEARCH("technology manger",$C256)),ISNUMBER(SEARCH("tech manager",$C256))),"Technology Manager","Squad"))))))</f>
        <v>Business Partner</v>
      </c>
      <c r="AS256" t="str">
        <f>IF(TRIM($B256)="","",IFERROR(INDEX(Lists!$AA:$AA,MATCH($AP256,Lists!$Z:$Z,0)),$AP256))</f>
        <v>TDD Business Partner</v>
      </c>
      <c r="AT256" t="str">
        <f>IF(TRIM($B256)="","",IF(IFERROR(INDEX(Lists!$AP$2:$AP$4,MATCH(ROW(),Lists!$AN$2:$AN$4,0)),"")&lt;&gt;"",IFERROR(INDEX(Lists!$AP$2:$AP$4,MATCH(ROW(),Lists!$AN$2:$AN$4,0)),""),IF(OR(LEFT($AJ256,3)="COE",$AJ256="EGI"),$AP256,IF($AR256&lt;&gt;"Squad",$AR256,$AP256))))</f>
        <v>TDD 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>
        <f>IF(TRIM($B257)="","",IF(N($AU257)&gt;0,$AU257,IF(N($S257)&gt;0,$S257*Lists!$AG$15*(1+N($Z257)),N($U257)*(1+N($V257)+N($W257)+N($X257)+N($Z257))+N($Y257))))</f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IF(TRIM($B257)="","",IF(IFERROR(INDEX(Lists!$AO$2:$AO$4,MATCH(ROW(),Lists!$AN$2:$AN$4,0)),"")&lt;&gt;"",IFERROR(INDEX(Lists!$AO$2:$AO$4,MATCH(ROW(),Lists!$AN$2:$AN$4,0)),""),IFERROR(INDEX(Lists!$U:$U,MATCH(TRIM($I257),Lists!$T:$T,0)),TRIM($I257))))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",$C257)),"Head of Technology",IF(ISNUMBER(SEARCH("TDD BP",$C257)),"Business Partner",IF(OR(ISNUMBER(SEARCH("domain architect",$C257)),ISNUMBER(SEARCH("enterprise architect",$C257))),"Domain Architect",IF(ISNUMBER(SEARCH("delivery man",$C257)),"Delivery Manager",IF(OR(ISNUMBER(SEARCH("technology manager",$C257)),ISNUMBER(SEARCH("technology manger",$C257)),ISNUMBER(SEARCH("tech manager",$C257))),"Technology Manager","Squad"))))))</f>
        <v>Squad</v>
      </c>
      <c r="AS257" t="str">
        <f>IF(TRIM($B257)="","",IFERROR(INDEX(Lists!$AA:$AA,MATCH($AP257,Lists!$Z:$Z,0)),$AP257))</f>
        <v>Commercial</v>
      </c>
      <c r="AT257" t="str">
        <f>IF(TRIM($B257)="","",IF(IFERROR(INDEX(Lists!$AP$2:$AP$4,MATCH(ROW(),Lists!$AN$2:$AN$4,0)),"")&lt;&gt;"",IFERROR(INDEX(Lists!$AP$2:$AP$4,MATCH(ROW(),Lists!$AN$2:$AN$4,0)),""),IF(OR(LEFT($AJ257,3)="COE",$AJ257="EGI"),$AP257,IF($AR257&lt;&gt;"Squad",$AR257,$AP257))))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>
        <f>IF(TRIM($B258)="","",IF(N($AU258)&gt;0,$AU258,IF(N($S258)&gt;0,$S258*Lists!$AG$15*(1+N($Z258)),N($U258)*(1+N($V258)+N($W258)+N($X258)+N($Z258))+N($Y258))))</f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IF(TRIM($B258)="","",IF(IFERROR(INDEX(Lists!$AO$2:$AO$4,MATCH(ROW(),Lists!$AN$2:$AN$4,0)),"")&lt;&gt;"",IFERROR(INDEX(Lists!$AO$2:$AO$4,MATCH(ROW(),Lists!$AN$2:$AN$4,0)),""),IFERROR(INDEX(Lists!$U:$U,MATCH(TRIM($I258),Lists!$T:$T,0)),TRIM($I258))))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",$C258)),"Head of Technology",IF(ISNUMBER(SEARCH("TDD BP",$C258)),"Business Partner",IF(OR(ISNUMBER(SEARCH("domain architect",$C258)),ISNUMBER(SEARCH("enterprise architect",$C258))),"Domain Architect",IF(ISNUMBER(SEARCH("delivery man",$C258)),"Delivery Manager",IF(OR(ISNUMBER(SEARCH("technology manager",$C258)),ISNUMBER(SEARCH("technology manger",$C258)),ISNUMBER(SEARCH("tech manager",$C258))),"Technology Manager","Squad"))))))</f>
        <v>Squad</v>
      </c>
      <c r="AS258" t="str">
        <f>IF(TRIM($B258)="","",IFERROR(INDEX(Lists!$AA:$AA,MATCH($AP258,Lists!$Z:$Z,0)),$AP258))</f>
        <v>Commercial</v>
      </c>
      <c r="AT258" t="str">
        <f>IF(TRIM($B258)="","",IF(IFERROR(INDEX(Lists!$AP$2:$AP$4,MATCH(ROW(),Lists!$AN$2:$AN$4,0)),"")&lt;&gt;"",IFERROR(INDEX(Lists!$AP$2:$AP$4,MATCH(ROW(),Lists!$AN$2:$AN$4,0)),""),IF(OR(LEFT($AJ258,3)="COE",$AJ258="EGI"),$AP258,IF($AR258&lt;&gt;"Squad",$AR258,$AP258))))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>
        <f>IF(TRIM($B259)="","",IF(N($AU259)&gt;0,$AU259,IF(N($S259)&gt;0,$S259*Lists!$AG$15*(1+N($Z259)),N($U259)*(1+N($V259)+N($W259)+N($X259)+N($Z259))+N($Y259))))</f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IF(TRIM($B259)="","",IF(IFERROR(INDEX(Lists!$AO$2:$AO$4,MATCH(ROW(),Lists!$AN$2:$AN$4,0)),"")&lt;&gt;"",IFERROR(INDEX(Lists!$AO$2:$AO$4,MATCH(ROW(),Lists!$AN$2:$AN$4,0)),""),IFERROR(INDEX(Lists!$U:$U,MATCH(TRIM($I259),Lists!$T:$T,0)),TRIM($I259))))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",$C259)),"Head of Technology",IF(ISNUMBER(SEARCH("TDD BP",$C259)),"Business Partner",IF(OR(ISNUMBER(SEARCH("domain architect",$C259)),ISNUMBER(SEARCH("enterprise architect",$C259))),"Domain Architect",IF(ISNUMBER(SEARCH("delivery man",$C259)),"Delivery Manager",IF(OR(ISNUMBER(SEARCH("technology manager",$C259)),ISNUMBER(SEARCH("technology manger",$C259)),ISNUMBER(SEARCH("tech manager",$C259))),"Technology Manager","Squad"))))))</f>
        <v>Squad</v>
      </c>
      <c r="AS259" t="str">
        <f>IF(TRIM($B259)="","",IFERROR(INDEX(Lists!$AA:$AA,MATCH($AP259,Lists!$Z:$Z,0)),$AP259))</f>
        <v>Transformation</v>
      </c>
      <c r="AT259" t="str">
        <f>IF(TRIM($B259)="","",IF(IFERROR(INDEX(Lists!$AP$2:$AP$4,MATCH(ROW(),Lists!$AN$2:$AN$4,0)),"")&lt;&gt;"",IFERROR(INDEX(Lists!$AP$2:$AP$4,MATCH(ROW(),Lists!$AN$2:$AN$4,0)),""),IF(OR(LEFT($AJ259,3)="COE",$AJ259="EGI"),$AP259,IF($AR259&lt;&gt;"Squad",$AR259,$AP259))))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>
        <f>IF(TRIM($B260)="","",IF(N($AU260)&gt;0,$AU260,IF(N($S260)&gt;0,$S260*Lists!$AG$15*(1+N($Z260)),N($U260)*(1+N($V260)+N($W260)+N($X260)+N($Z260))+N($Y260))))</f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IF(TRIM($B260)="","",IF(IFERROR(INDEX(Lists!$AO$2:$AO$4,MATCH(ROW(),Lists!$AN$2:$AN$4,0)),"")&lt;&gt;"",IFERROR(INDEX(Lists!$AO$2:$AO$4,MATCH(ROW(),Lists!$AN$2:$AN$4,0)),""),IFERROR(INDEX(Lists!$U:$U,MATCH(TRIM($I260),Lists!$T:$T,0)),TRIM($I260))))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",$C260)),"Head of Technology",IF(ISNUMBER(SEARCH("TDD BP",$C260)),"Business Partner",IF(OR(ISNUMBER(SEARCH("domain architect",$C260)),ISNUMBER(SEARCH("enterprise architect",$C260))),"Domain Architect",IF(ISNUMBER(SEARCH("delivery man",$C260)),"Delivery Manager",IF(OR(ISNUMBER(SEARCH("technology manager",$C260)),ISNUMBER(SEARCH("technology manger",$C260)),ISNUMBER(SEARCH("tech manager",$C260))),"Technology Manager","Squad"))))))</f>
        <v>Squad</v>
      </c>
      <c r="AS260" t="str">
        <f>IF(TRIM($B260)="","",IFERROR(INDEX(Lists!$AA:$AA,MATCH($AP260,Lists!$Z:$Z,0)),$AP260))</f>
        <v>Transformation</v>
      </c>
      <c r="AT260" t="str">
        <f>IF(TRIM($B260)="","",IF(IFERROR(INDEX(Lists!$AP$2:$AP$4,MATCH(ROW(),Lists!$AN$2:$AN$4,0)),"")&lt;&gt;"",IFERROR(INDEX(Lists!$AP$2:$AP$4,MATCH(ROW(),Lists!$AN$2:$AN$4,0)),""),IF(OR(LEFT($AJ260,3)="COE",$AJ260="EGI"),$AP260,IF($AR260&lt;&gt;"Squad",$AR260,$AP260))))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>
        <f>IF(TRIM($B261)="","",IF(N($AU261)&gt;0,$AU261,IF(N($S261)&gt;0,$S261*Lists!$AG$15*(1+N($Z261)),N($U261)*(1+N($V261)+N($W261)+N($X261)+N($Z261))+N($Y261))))</f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IF(TRIM($B261)="","",IF(IFERROR(INDEX(Lists!$AO$2:$AO$4,MATCH(ROW(),Lists!$AN$2:$AN$4,0)),"")&lt;&gt;"",IFERROR(INDEX(Lists!$AO$2:$AO$4,MATCH(ROW(),Lists!$AN$2:$AN$4,0)),""),IFERROR(INDEX(Lists!$U:$U,MATCH(TRIM($I261),Lists!$T:$T,0)),TRIM($I261))))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",$C261)),"Head of Technology",IF(ISNUMBER(SEARCH("TDD BP",$C261)),"Business Partner",IF(OR(ISNUMBER(SEARCH("domain architect",$C261)),ISNUMBER(SEARCH("enterprise architect",$C261))),"Domain Architect",IF(ISNUMBER(SEARCH("delivery man",$C261)),"Delivery Manager",IF(OR(ISNUMBER(SEARCH("technology manager",$C261)),ISNUMBER(SEARCH("technology manger",$C261)),ISNUMBER(SEARCH("tech manager",$C261))),"Technology Manager","Squad"))))))</f>
        <v>Business Partner</v>
      </c>
      <c r="AS261" t="str">
        <f>IF(TRIM($B261)="","",IFERROR(INDEX(Lists!$AA:$AA,MATCH($AP261,Lists!$Z:$Z,0)),$AP261))</f>
        <v>TDD Business Partner</v>
      </c>
      <c r="AT261" t="str">
        <f>IF(TRIM($B261)="","",IF(IFERROR(INDEX(Lists!$AP$2:$AP$4,MATCH(ROW(),Lists!$AN$2:$AN$4,0)),"")&lt;&gt;"",IFERROR(INDEX(Lists!$AP$2:$AP$4,MATCH(ROW(),Lists!$AN$2:$AN$4,0)),""),IF(OR(LEFT($AJ261,3)="COE",$AJ261="EGI"),$AP261,IF($AR261&lt;&gt;"Squad",$AR261,$AP261))))</f>
        <v>TDD 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>
        <f>IF(TRIM($B262)="","",IF(N($AU262)&gt;0,$AU262,IF(N($S262)&gt;0,$S262*Lists!$AG$15*(1+N($Z262)),N($U262)*(1+N($V262)+N($W262)+N($X262)+N($Z262))+N($Y262))))</f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IF(TRIM($B262)="","",IF(IFERROR(INDEX(Lists!$AO$2:$AO$4,MATCH(ROW(),Lists!$AN$2:$AN$4,0)),"")&lt;&gt;"",IFERROR(INDEX(Lists!$AO$2:$AO$4,MATCH(ROW(),Lists!$AN$2:$AN$4,0)),""),IFERROR(INDEX(Lists!$U:$U,MATCH(TRIM($I262),Lists!$T:$T,0)),TRIM($I262))))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",$C262)),"Head of Technology",IF(ISNUMBER(SEARCH("TDD BP",$C262)),"Business Partner",IF(OR(ISNUMBER(SEARCH("domain architect",$C262)),ISNUMBER(SEARCH("enterprise architect",$C262))),"Domain Architect",IF(ISNUMBER(SEARCH("delivery man",$C262)),"Delivery Manager",IF(OR(ISNUMBER(SEARCH("technology manager",$C262)),ISNUMBER(SEARCH("technology manger",$C262)),ISNUMBER(SEARCH("tech manager",$C262))),"Technology Manager","Squad"))))))</f>
        <v>Squad</v>
      </c>
      <c r="AS262" t="str">
        <f>IF(TRIM($B262)="","",IFERROR(INDEX(Lists!$AA:$AA,MATCH($AP262,Lists!$Z:$Z,0)),$AP262))</f>
        <v>Transformation</v>
      </c>
      <c r="AT262" t="str">
        <f>IF(TRIM($B262)="","",IF(IFERROR(INDEX(Lists!$AP$2:$AP$4,MATCH(ROW(),Lists!$AN$2:$AN$4,0)),"")&lt;&gt;"",IFERROR(INDEX(Lists!$AP$2:$AP$4,MATCH(ROW(),Lists!$AN$2:$AN$4,0)),""),IF(OR(LEFT($AJ262,3)="COE",$AJ262="EGI"),$AP262,IF($AR262&lt;&gt;"Squad",$AR262,$AP262))))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>
        <f>IF(TRIM($B263)="","",IF(N($AU263)&gt;0,$AU263,IF(N($S263)&gt;0,$S263*Lists!$AG$15*(1+N($Z263)),N($U263)*(1+N($V263)+N($W263)+N($X263)+N($Z263))+N($Y263))))</f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IF(TRIM($B263)="","",IF(IFERROR(INDEX(Lists!$AO$2:$AO$4,MATCH(ROW(),Lists!$AN$2:$AN$4,0)),"")&lt;&gt;"",IFERROR(INDEX(Lists!$AO$2:$AO$4,MATCH(ROW(),Lists!$AN$2:$AN$4,0)),""),IFERROR(INDEX(Lists!$U:$U,MATCH(TRIM($I263),Lists!$T:$T,0)),TRIM($I263))))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",$C263)),"Head of Technology",IF(ISNUMBER(SEARCH("TDD BP",$C263)),"Business Partner",IF(OR(ISNUMBER(SEARCH("domain architect",$C263)),ISNUMBER(SEARCH("enterprise architect",$C263))),"Domain Architect",IF(ISNUMBER(SEARCH("delivery man",$C263)),"Delivery Manager",IF(OR(ISNUMBER(SEARCH("technology manager",$C263)),ISNUMBER(SEARCH("technology manger",$C263)),ISNUMBER(SEARCH("tech manager",$C263))),"Technology Manager","Squad"))))))</f>
        <v>Squad</v>
      </c>
      <c r="AS263" t="str">
        <f>IF(TRIM($B263)="","",IFERROR(INDEX(Lists!$AA:$AA,MATCH($AP263,Lists!$Z:$Z,0)),$AP263))</f>
        <v>Transformation</v>
      </c>
      <c r="AT263" t="str">
        <f>IF(TRIM($B263)="","",IF(IFERROR(INDEX(Lists!$AP$2:$AP$4,MATCH(ROW(),Lists!$AN$2:$AN$4,0)),"")&lt;&gt;"",IFERROR(INDEX(Lists!$AP$2:$AP$4,MATCH(ROW(),Lists!$AN$2:$AN$4,0)),""),IF(OR(LEFT($AJ263,3)="COE",$AJ263="EGI"),$AP263,IF($AR263&lt;&gt;"Squad",$AR263,$AP263))))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>
        <f>IF(TRIM($B264)="","",IF(N($AU264)&gt;0,$AU264,IF(N($S264)&gt;0,$S264*Lists!$AG$15*(1+N($Z264)),N($U264)*(1+N($V264)+N($W264)+N($X264)+N($Z264))+N($Y264))))</f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IF(TRIM($B264)="","",IF(IFERROR(INDEX(Lists!$AO$2:$AO$4,MATCH(ROW(),Lists!$AN$2:$AN$4,0)),"")&lt;&gt;"",IFERROR(INDEX(Lists!$AO$2:$AO$4,MATCH(ROW(),Lists!$AN$2:$AN$4,0)),""),IFERROR(INDEX(Lists!$U:$U,MATCH(TRIM($I264),Lists!$T:$T,0)),TRIM($I264))))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",$C264)),"Head of Technology",IF(ISNUMBER(SEARCH("TDD BP",$C264)),"Business Partner",IF(OR(ISNUMBER(SEARCH("domain architect",$C264)),ISNUMBER(SEARCH("enterprise architect",$C264))),"Domain Architect",IF(ISNUMBER(SEARCH("delivery man",$C264)),"Delivery Manager",IF(OR(ISNUMBER(SEARCH("technology manager",$C264)),ISNUMBER(SEARCH("technology manger",$C264)),ISNUMBER(SEARCH("tech manager",$C264))),"Technology Manager","Squad"))))))</f>
        <v>Business Partner</v>
      </c>
      <c r="AS264" t="str">
        <f>IF(TRIM($B264)="","",IFERROR(INDEX(Lists!$AA:$AA,MATCH($AP264,Lists!$Z:$Z,0)),$AP264))</f>
        <v>TDD Business Partner</v>
      </c>
      <c r="AT264" t="str">
        <f>IF(TRIM($B264)="","",IF(IFERROR(INDEX(Lists!$AP$2:$AP$4,MATCH(ROW(),Lists!$AN$2:$AN$4,0)),"")&lt;&gt;"",IFERROR(INDEX(Lists!$AP$2:$AP$4,MATCH(ROW(),Lists!$AN$2:$AN$4,0)),""),IF(OR(LEFT($AJ264,3)="COE",$AJ264="EGI"),$AP264,IF($AR264&lt;&gt;"Squad",$AR264,$AP264))))</f>
        <v>TDD 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>
        <f>IF(TRIM($B265)="","",IF(N($AU265)&gt;0,$AU265,IF(N($S265)&gt;0,$S265*Lists!$AG$15*(1+N($Z265)),N($U265)*(1+N($V265)+N($W265)+N($X265)+N($Z265))+N($Y265))))</f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IF(TRIM($B265)="","",IF(IFERROR(INDEX(Lists!$AO$2:$AO$4,MATCH(ROW(),Lists!$AN$2:$AN$4,0)),"")&lt;&gt;"",IFERROR(INDEX(Lists!$AO$2:$AO$4,MATCH(ROW(),Lists!$AN$2:$AN$4,0)),""),IFERROR(INDEX(Lists!$U:$U,MATCH(TRIM($I265),Lists!$T:$T,0)),TRIM($I265))))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",$C265)),"Head of Technology",IF(ISNUMBER(SEARCH("TDD BP",$C265)),"Business Partner",IF(OR(ISNUMBER(SEARCH("domain architect",$C265)),ISNUMBER(SEARCH("enterprise architect",$C265))),"Domain Architect",IF(ISNUMBER(SEARCH("delivery man",$C265)),"Delivery Manager",IF(OR(ISNUMBER(SEARCH("technology manager",$C265)),ISNUMBER(SEARCH("technology manger",$C265)),ISNUMBER(SEARCH("tech manager",$C265))),"Technology Manager","Squad"))))))</f>
        <v>Squad</v>
      </c>
      <c r="AS265" t="str">
        <f>IF(TRIM($B265)="","",IFERROR(INDEX(Lists!$AA:$AA,MATCH($AP265,Lists!$Z:$Z,0)),$AP265))</f>
        <v>Transformation</v>
      </c>
      <c r="AT265" t="str">
        <f>IF(TRIM($B265)="","",IF(IFERROR(INDEX(Lists!$AP$2:$AP$4,MATCH(ROW(),Lists!$AN$2:$AN$4,0)),"")&lt;&gt;"",IFERROR(INDEX(Lists!$AP$2:$AP$4,MATCH(ROW(),Lists!$AN$2:$AN$4,0)),""),IF(OR(LEFT($AJ265,3)="COE",$AJ265="EGI"),$AP265,IF($AR265&lt;&gt;"Squad",$AR265,$AP265))))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>
        <f>IF(TRIM($B266)="","",IF(N($AU266)&gt;0,$AU266,IF(N($S266)&gt;0,$S266*Lists!$AG$15*(1+N($Z266)),N($U266)*(1+N($V266)+N($W266)+N($X266)+N($Z266))+N($Y266))))</f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IF(TRIM($B266)="","",IF(IFERROR(INDEX(Lists!$AO$2:$AO$4,MATCH(ROW(),Lists!$AN$2:$AN$4,0)),"")&lt;&gt;"",IFERROR(INDEX(Lists!$AO$2:$AO$4,MATCH(ROW(),Lists!$AN$2:$AN$4,0)),""),IFERROR(INDEX(Lists!$U:$U,MATCH(TRIM($I266),Lists!$T:$T,0)),TRIM($I266))))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",$C266)),"Head of Technology",IF(ISNUMBER(SEARCH("TDD BP",$C266)),"Business Partner",IF(OR(ISNUMBER(SEARCH("domain architect",$C266)),ISNUMBER(SEARCH("enterprise architect",$C266))),"Domain Architect",IF(ISNUMBER(SEARCH("delivery man",$C266)),"Delivery Manager",IF(OR(ISNUMBER(SEARCH("technology manager",$C266)),ISNUMBER(SEARCH("technology manger",$C266)),ISNUMBER(SEARCH("tech manager",$C266))),"Technology Manager","Squad"))))))</f>
        <v>Squad</v>
      </c>
      <c r="AS266" t="str">
        <f>IF(TRIM($B266)="","",IFERROR(INDEX(Lists!$AA:$AA,MATCH($AP266,Lists!$Z:$Z,0)),$AP266))</f>
        <v>Transformation</v>
      </c>
      <c r="AT266" t="str">
        <f>IF(TRIM($B266)="","",IF(IFERROR(INDEX(Lists!$AP$2:$AP$4,MATCH(ROW(),Lists!$AN$2:$AN$4,0)),"")&lt;&gt;"",IFERROR(INDEX(Lists!$AP$2:$AP$4,MATCH(ROW(),Lists!$AN$2:$AN$4,0)),""),IF(OR(LEFT($AJ266,3)="COE",$AJ266="EGI"),$AP266,IF($AR266&lt;&gt;"Squad",$AR266,$AP266))))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>
        <f>IF(TRIM($B267)="","",IF(N($AU267)&gt;0,$AU267,IF(N($S267)&gt;0,$S267*Lists!$AG$15*(1+N($Z267)),N($U267)*(1+N($V267)+N($W267)+N($X267)+N($Z267))+N($Y267))))</f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IF(TRIM($B267)="","",IF(IFERROR(INDEX(Lists!$AO$2:$AO$4,MATCH(ROW(),Lists!$AN$2:$AN$4,0)),"")&lt;&gt;"",IFERROR(INDEX(Lists!$AO$2:$AO$4,MATCH(ROW(),Lists!$AN$2:$AN$4,0)),""),IFERROR(INDEX(Lists!$U:$U,MATCH(TRIM($I267),Lists!$T:$T,0)),TRIM($I267))))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",$C267)),"Head of Technology",IF(ISNUMBER(SEARCH("TDD BP",$C267)),"Business Partner",IF(OR(ISNUMBER(SEARCH("domain architect",$C267)),ISNUMBER(SEARCH("enterprise architect",$C267))),"Domain Architect",IF(ISNUMBER(SEARCH("delivery man",$C267)),"Delivery Manager",IF(OR(ISNUMBER(SEARCH("technology manager",$C267)),ISNUMBER(SEARCH("technology manger",$C267)),ISNUMBER(SEARCH("tech manager",$C267))),"Technology Manager","Squad"))))))</f>
        <v>Business Partner</v>
      </c>
      <c r="AS267" t="str">
        <f>IF(TRIM($B267)="","",IFERROR(INDEX(Lists!$AA:$AA,MATCH($AP267,Lists!$Z:$Z,0)),$AP267))</f>
        <v>TDD Business Partner</v>
      </c>
      <c r="AT267" t="str">
        <f>IF(TRIM($B267)="","",IF(IFERROR(INDEX(Lists!$AP$2:$AP$4,MATCH(ROW(),Lists!$AN$2:$AN$4,0)),"")&lt;&gt;"",IFERROR(INDEX(Lists!$AP$2:$AP$4,MATCH(ROW(),Lists!$AN$2:$AN$4,0)),""),IF(OR(LEFT($AJ267,3)="COE",$AJ267="EGI"),$AP267,IF($AR267&lt;&gt;"Squad",$AR267,$AP267))))</f>
        <v>TDD 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>
        <f>IF(TRIM($B268)="","",IF(N($AU268)&gt;0,$AU268,IF(N($S268)&gt;0,$S268*Lists!$AG$15*(1+N($Z268)),N($U268)*(1+N($V268)+N($W268)+N($X268)+N($Z268))+N($Y268))))</f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IF(TRIM($B268)="","",IF(IFERROR(INDEX(Lists!$AO$2:$AO$4,MATCH(ROW(),Lists!$AN$2:$AN$4,0)),"")&lt;&gt;"",IFERROR(INDEX(Lists!$AO$2:$AO$4,MATCH(ROW(),Lists!$AN$2:$AN$4,0)),""),IFERROR(INDEX(Lists!$U:$U,MATCH(TRIM($I268),Lists!$T:$T,0)),TRIM($I268))))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",$C268)),"Head of Technology",IF(ISNUMBER(SEARCH("TDD BP",$C268)),"Business Partner",IF(OR(ISNUMBER(SEARCH("domain architect",$C268)),ISNUMBER(SEARCH("enterprise architect",$C268))),"Domain Architect",IF(ISNUMBER(SEARCH("delivery man",$C268)),"Delivery Manager",IF(OR(ISNUMBER(SEARCH("technology manager",$C268)),ISNUMBER(SEARCH("technology manger",$C268)),ISNUMBER(SEARCH("tech manager",$C268))),"Technology Manager","Squad"))))))</f>
        <v>Business Partner</v>
      </c>
      <c r="AS268" t="str">
        <f>IF(TRIM($B268)="","",IFERROR(INDEX(Lists!$AA:$AA,MATCH($AP268,Lists!$Z:$Z,0)),$AP268))</f>
        <v>TDD Business Partner</v>
      </c>
      <c r="AT268" t="str">
        <f>IF(TRIM($B268)="","",IF(IFERROR(INDEX(Lists!$AP$2:$AP$4,MATCH(ROW(),Lists!$AN$2:$AN$4,0)),"")&lt;&gt;"",IFERROR(INDEX(Lists!$AP$2:$AP$4,MATCH(ROW(),Lists!$AN$2:$AN$4,0)),""),IF(OR(LEFT($AJ268,3)="COE",$AJ268="EGI"),$AP268,IF($AR268&lt;&gt;"Squad",$AR268,$AP268))))</f>
        <v>TDD 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>
        <f>IF(TRIM($B269)="","",IF(N($AU269)&gt;0,$AU269,IF(N($S269)&gt;0,$S269*Lists!$AG$15*(1+N($Z269)),N($U269)*(1+N($V269)+N($W269)+N($X269)+N($Z269))+N($Y269))))</f>
        <v>439500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IF(TRIM($B269)="","",IF(IFERROR(INDEX(Lists!$AO$2:$AO$4,MATCH(ROW(),Lists!$AN$2:$AN$4,0)),"")&lt;&gt;"",IFERROR(INDEX(Lists!$AO$2:$AO$4,MATCH(ROW(),Lists!$AN$2:$AN$4,0)),""),IFERROR(INDEX(Lists!$U:$U,MATCH(TRIM($I269),Lists!$T:$T,0)),TRIM($I269))))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",$C269)),"Head of Technology",IF(ISNUMBER(SEARCH("TDD BP",$C269)),"Business Partner",IF(OR(ISNUMBER(SEARCH("domain architect",$C269)),ISNUMBER(SEARCH("enterprise architect",$C269))),"Domain Architect",IF(ISNUMBER(SEARCH("delivery man",$C269)),"Delivery Manager",IF(OR(ISNUMBER(SEARCH("technology manager",$C269)),ISNUMBER(SEARCH("technology manger",$C269)),ISNUMBER(SEARCH("tech manager",$C269))),"Technology Manager","Squad"))))))</f>
        <v>Squad</v>
      </c>
      <c r="AS269" t="str">
        <f>IF(TRIM($B269)="","",IFERROR(INDEX(Lists!$AA:$AA,MATCH($AP269,Lists!$Z:$Z,0)),$AP269))</f>
        <v>Commercial</v>
      </c>
      <c r="AT269" t="str">
        <f>IF(TRIM($B269)="","",IF(IFERROR(INDEX(Lists!$AP$2:$AP$4,MATCH(ROW(),Lists!$AN$2:$AN$4,0)),"")&lt;&gt;"",IFERROR(INDEX(Lists!$AP$2:$AP$4,MATCH(ROW(),Lists!$AN$2:$AN$4,0)),""),IF(OR(LEFT($AJ269,3)="COE",$AJ269="EGI"),$AP269,IF($AR269&lt;&gt;"Squad",$AR269,$AP269))))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>
        <f>IF(TRIM($B270)="","",IF(N($AU270)&gt;0,$AU270,IF(N($S270)&gt;0,$S270*Lists!$AG$15*(1+N($Z270)),N($U270)*(1+N($V270)+N($W270)+N($X270)+N($Z270))+N($Y270))))</f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IF(TRIM($B270)="","",IF(IFERROR(INDEX(Lists!$AO$2:$AO$4,MATCH(ROW(),Lists!$AN$2:$AN$4,0)),"")&lt;&gt;"",IFERROR(INDEX(Lists!$AO$2:$AO$4,MATCH(ROW(),Lists!$AN$2:$AN$4,0)),""),IFERROR(INDEX(Lists!$U:$U,MATCH(TRIM($I270),Lists!$T:$T,0)),TRIM($I270))))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",$C270)),"Head of Technology",IF(ISNUMBER(SEARCH("TDD BP",$C270)),"Business Partner",IF(OR(ISNUMBER(SEARCH("domain architect",$C270)),ISNUMBER(SEARCH("enterprise architect",$C270))),"Domain Architect",IF(ISNUMBER(SEARCH("delivery man",$C270)),"Delivery Manager",IF(OR(ISNUMBER(SEARCH("technology manager",$C270)),ISNUMBER(SEARCH("technology manger",$C270)),ISNUMBER(SEARCH("tech manager",$C270))),"Technology Manager","Squad"))))))</f>
        <v>Head of Technology</v>
      </c>
      <c r="AS270" t="str">
        <f>IF(TRIM($B270)="","",IFERROR(INDEX(Lists!$AA:$AA,MATCH($AP270,Lists!$Z:$Z,0)),$AP270))</f>
        <v>Transformation</v>
      </c>
      <c r="AT270" t="str">
        <f>IF(TRIM($B270)="","",IF(IFERROR(INDEX(Lists!$AP$2:$AP$4,MATCH(ROW(),Lists!$AN$2:$AN$4,0)),"")&lt;&gt;"",IFERROR(INDEX(Lists!$AP$2:$AP$4,MATCH(ROW(),Lists!$AN$2:$AN$4,0)),""),IF(OR(LEFT($AJ270,3)="COE",$AJ270="EGI"),$AP270,IF($AR270&lt;&gt;"Squad",$AR270,$AP270))))</f>
        <v>Transformation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>
        <f>IF(TRIM($B271)="","",IF(N($AU271)&gt;0,$AU271,IF(N($S271)&gt;0,$S271*Lists!$AG$15*(1+N($Z271)),N($U271)*(1+N($V271)+N($W271)+N($X271)+N($Z271))+N($Y271))))</f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IF(TRIM($B271)="","",IF(IFERROR(INDEX(Lists!$AO$2:$AO$4,MATCH(ROW(),Lists!$AN$2:$AN$4,0)),"")&lt;&gt;"",IFERROR(INDEX(Lists!$AO$2:$AO$4,MATCH(ROW(),Lists!$AN$2:$AN$4,0)),""),IFERROR(INDEX(Lists!$U:$U,MATCH(TRIM($I271),Lists!$T:$T,0)),TRIM($I271))))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",$C271)),"Head of Technology",IF(ISNUMBER(SEARCH("TDD BP",$C271)),"Business Partner",IF(OR(ISNUMBER(SEARCH("domain architect",$C271)),ISNUMBER(SEARCH("enterprise architect",$C271))),"Domain Architect",IF(ISNUMBER(SEARCH("delivery man",$C271)),"Delivery Manager",IF(OR(ISNUMBER(SEARCH("technology manager",$C271)),ISNUMBER(SEARCH("technology manger",$C271)),ISNUMBER(SEARCH("tech manager",$C271))),"Technology Manager","Squad"))))))</f>
        <v>Squad</v>
      </c>
      <c r="AS271" t="str">
        <f>IF(TRIM($B271)="","",IFERROR(INDEX(Lists!$AA:$AA,MATCH($AP271,Lists!$Z:$Z,0)),$AP271))</f>
        <v>Transformation</v>
      </c>
      <c r="AT271" t="str">
        <f>IF(TRIM($B271)="","",IF(IFERROR(INDEX(Lists!$AP$2:$AP$4,MATCH(ROW(),Lists!$AN$2:$AN$4,0)),"")&lt;&gt;"",IFERROR(INDEX(Lists!$AP$2:$AP$4,MATCH(ROW(),Lists!$AN$2:$AN$4,0)),""),IF(OR(LEFT($AJ271,3)="COE",$AJ271="EGI"),$AP271,IF($AR271&lt;&gt;"Squad",$AR271,$AP271))))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>
        <f>IF(TRIM($B272)="","",IF(N($AU272)&gt;0,$AU272,IF(N($S272)&gt;0,$S272*Lists!$AG$15*(1+N($Z272)),N($U272)*(1+N($V272)+N($W272)+N($X272)+N($Z272))+N($Y272))))</f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IF(TRIM($B272)="","",IF(IFERROR(INDEX(Lists!$AO$2:$AO$4,MATCH(ROW(),Lists!$AN$2:$AN$4,0)),"")&lt;&gt;"",IFERROR(INDEX(Lists!$AO$2:$AO$4,MATCH(ROW(),Lists!$AN$2:$AN$4,0)),""),IFERROR(INDEX(Lists!$U:$U,MATCH(TRIM($I272),Lists!$T:$T,0)),TRIM($I272))))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",$C272)),"Head of Technology",IF(ISNUMBER(SEARCH("TDD BP",$C272)),"Business Partner",IF(OR(ISNUMBER(SEARCH("domain architect",$C272)),ISNUMBER(SEARCH("enterprise architect",$C272))),"Domain Architect",IF(ISNUMBER(SEARCH("delivery man",$C272)),"Delivery Manager",IF(OR(ISNUMBER(SEARCH("technology manager",$C272)),ISNUMBER(SEARCH("technology manger",$C272)),ISNUMBER(SEARCH("tech manager",$C272))),"Technology Manager","Squad"))))))</f>
        <v>Squad</v>
      </c>
      <c r="AS272" t="str">
        <f>IF(TRIM($B272)="","",IFERROR(INDEX(Lists!$AA:$AA,MATCH($AP272,Lists!$Z:$Z,0)),$AP272))</f>
        <v>Transformation</v>
      </c>
      <c r="AT272" t="str">
        <f>IF(TRIM($B272)="","",IF(IFERROR(INDEX(Lists!$AP$2:$AP$4,MATCH(ROW(),Lists!$AN$2:$AN$4,0)),"")&lt;&gt;"",IFERROR(INDEX(Lists!$AP$2:$AP$4,MATCH(ROW(),Lists!$AN$2:$AN$4,0)),""),IF(OR(LEFT($AJ272,3)="COE",$AJ272="EGI"),$AP272,IF($AR272&lt;&gt;"Squad",$AR272,$AP272))))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>
        <f>IF(TRIM($B273)="","",IF(N($AU273)&gt;0,$AU273,IF(N($S273)&gt;0,$S273*Lists!$AG$15*(1+N($Z273)),N($U273)*(1+N($V273)+N($W273)+N($X273)+N($Z273))+N($Y273))))</f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IF(TRIM($B273)="","",IF(IFERROR(INDEX(Lists!$AO$2:$AO$4,MATCH(ROW(),Lists!$AN$2:$AN$4,0)),"")&lt;&gt;"",IFERROR(INDEX(Lists!$AO$2:$AO$4,MATCH(ROW(),Lists!$AN$2:$AN$4,0)),""),IFERROR(INDEX(Lists!$U:$U,MATCH(TRIM($I273),Lists!$T:$T,0)),TRIM($I273))))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",$C273)),"Head of Technology",IF(ISNUMBER(SEARCH("TDD BP",$C273)),"Business Partner",IF(OR(ISNUMBER(SEARCH("domain architect",$C273)),ISNUMBER(SEARCH("enterprise architect",$C273))),"Domain Architect",IF(ISNUMBER(SEARCH("delivery man",$C273)),"Delivery Manager",IF(OR(ISNUMBER(SEARCH("technology manager",$C273)),ISNUMBER(SEARCH("technology manger",$C273)),ISNUMBER(SEARCH("tech manager",$C273))),"Technology Manager","Squad"))))))</f>
        <v>Squad</v>
      </c>
      <c r="AS273" t="str">
        <f>IF(TRIM($B273)="","",IFERROR(INDEX(Lists!$AA:$AA,MATCH($AP273,Lists!$Z:$Z,0)),$AP273))</f>
        <v>Transformation</v>
      </c>
      <c r="AT273" t="str">
        <f>IF(TRIM($B273)="","",IF(IFERROR(INDEX(Lists!$AP$2:$AP$4,MATCH(ROW(),Lists!$AN$2:$AN$4,0)),"")&lt;&gt;"",IFERROR(INDEX(Lists!$AP$2:$AP$4,MATCH(ROW(),Lists!$AN$2:$AN$4,0)),""),IF(OR(LEFT($AJ273,3)="COE",$AJ273="EGI"),$AP273,IF($AR273&lt;&gt;"Squad",$AR273,$AP273))))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>
        <f>IF(TRIM($B274)="","",IF(N($AU274)&gt;0,$AU274,IF(N($S274)&gt;0,$S274*Lists!$AG$15*(1+N($Z274)),N($U274)*(1+N($V274)+N($W274)+N($X274)+N($Z274))+N($Y274))))</f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IF(TRIM($B274)="","",IF(IFERROR(INDEX(Lists!$AO$2:$AO$4,MATCH(ROW(),Lists!$AN$2:$AN$4,0)),"")&lt;&gt;"",IFERROR(INDEX(Lists!$AO$2:$AO$4,MATCH(ROW(),Lists!$AN$2:$AN$4,0)),""),IFERROR(INDEX(Lists!$U:$U,MATCH(TRIM($I274),Lists!$T:$T,0)),TRIM($I274))))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",$C274)),"Head of Technology",IF(ISNUMBER(SEARCH("TDD BP",$C274)),"Business Partner",IF(OR(ISNUMBER(SEARCH("domain architect",$C274)),ISNUMBER(SEARCH("enterprise architect",$C274))),"Domain Architect",IF(ISNUMBER(SEARCH("delivery man",$C274)),"Delivery Manager",IF(OR(ISNUMBER(SEARCH("technology manager",$C274)),ISNUMBER(SEARCH("technology manger",$C274)),ISNUMBER(SEARCH("tech manager",$C274))),"Technology Manager","Squad"))))))</f>
        <v>Squad</v>
      </c>
      <c r="AS274" t="str">
        <f>IF(TRIM($B274)="","",IFERROR(INDEX(Lists!$AA:$AA,MATCH($AP274,Lists!$Z:$Z,0)),$AP274))</f>
        <v>Transformation</v>
      </c>
      <c r="AT274" t="str">
        <f>IF(TRIM($B274)="","",IF(IFERROR(INDEX(Lists!$AP$2:$AP$4,MATCH(ROW(),Lists!$AN$2:$AN$4,0)),"")&lt;&gt;"",IFERROR(INDEX(Lists!$AP$2:$AP$4,MATCH(ROW(),Lists!$AN$2:$AN$4,0)),""),IF(OR(LEFT($AJ274,3)="COE",$AJ274="EGI"),$AP274,IF($AR274&lt;&gt;"Squad",$AR274,$AP274))))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>
        <f>IF(TRIM($B275)="","",IF(N($AU275)&gt;0,$AU275,IF(N($S275)&gt;0,$S275*Lists!$AG$15*(1+N($Z275)),N($U275)*(1+N($V275)+N($W275)+N($X275)+N($Z275))+N($Y275))))</f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IF(TRIM($B275)="","",IF(IFERROR(INDEX(Lists!$AO$2:$AO$4,MATCH(ROW(),Lists!$AN$2:$AN$4,0)),"")&lt;&gt;"",IFERROR(INDEX(Lists!$AO$2:$AO$4,MATCH(ROW(),Lists!$AN$2:$AN$4,0)),""),IFERROR(INDEX(Lists!$U:$U,MATCH(TRIM($I275),Lists!$T:$T,0)),TRIM($I275))))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",$C275)),"Head of Technology",IF(ISNUMBER(SEARCH("TDD BP",$C275)),"Business Partner",IF(OR(ISNUMBER(SEARCH("domain architect",$C275)),ISNUMBER(SEARCH("enterprise architect",$C275))),"Domain Architect",IF(ISNUMBER(SEARCH("delivery man",$C275)),"Delivery Manager",IF(OR(ISNUMBER(SEARCH("technology manager",$C275)),ISNUMBER(SEARCH("technology manger",$C275)),ISNUMBER(SEARCH("tech manager",$C275))),"Technology Manager","Squad"))))))</f>
        <v>Squad</v>
      </c>
      <c r="AS275" t="str">
        <f>IF(TRIM($B275)="","",IFERROR(INDEX(Lists!$AA:$AA,MATCH($AP275,Lists!$Z:$Z,0)),$AP275))</f>
        <v>Transformation</v>
      </c>
      <c r="AT275" t="str">
        <f>IF(TRIM($B275)="","",IF(IFERROR(INDEX(Lists!$AP$2:$AP$4,MATCH(ROW(),Lists!$AN$2:$AN$4,0)),"")&lt;&gt;"",IFERROR(INDEX(Lists!$AP$2:$AP$4,MATCH(ROW(),Lists!$AN$2:$AN$4,0)),""),IF(OR(LEFT($AJ275,3)="COE",$AJ275="EGI"),$AP275,IF($AR275&lt;&gt;"Squad",$AR275,$AP275))))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>
        <f>IF(TRIM($B276)="","",IF(N($AU276)&gt;0,$AU276,IF(N($S276)&gt;0,$S276*Lists!$AG$15*(1+N($Z276)),N($U276)*(1+N($V276)+N($W276)+N($X276)+N($Z276))+N($Y276))))</f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IF(TRIM($B276)="","",IF(IFERROR(INDEX(Lists!$AO$2:$AO$4,MATCH(ROW(),Lists!$AN$2:$AN$4,0)),"")&lt;&gt;"",IFERROR(INDEX(Lists!$AO$2:$AO$4,MATCH(ROW(),Lists!$AN$2:$AN$4,0)),""),IFERROR(INDEX(Lists!$U:$U,MATCH(TRIM($I276),Lists!$T:$T,0)),TRIM($I276))))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",$C276)),"Head of Technology",IF(ISNUMBER(SEARCH("TDD BP",$C276)),"Business Partner",IF(OR(ISNUMBER(SEARCH("domain architect",$C276)),ISNUMBER(SEARCH("enterprise architect",$C276))),"Domain Architect",IF(ISNUMBER(SEARCH("delivery man",$C276)),"Delivery Manager",IF(OR(ISNUMBER(SEARCH("technology manager",$C276)),ISNUMBER(SEARCH("technology manger",$C276)),ISNUMBER(SEARCH("tech manager",$C276))),"Technology Manager","Squad"))))))</f>
        <v>Squad</v>
      </c>
      <c r="AS276" t="str">
        <f>IF(TRIM($B276)="","",IFERROR(INDEX(Lists!$AA:$AA,MATCH($AP276,Lists!$Z:$Z,0)),$AP276))</f>
        <v>Transformation</v>
      </c>
      <c r="AT276" t="str">
        <f>IF(TRIM($B276)="","",IF(IFERROR(INDEX(Lists!$AP$2:$AP$4,MATCH(ROW(),Lists!$AN$2:$AN$4,0)),"")&lt;&gt;"",IFERROR(INDEX(Lists!$AP$2:$AP$4,MATCH(ROW(),Lists!$AN$2:$AN$4,0)),""),IF(OR(LEFT($AJ276,3)="COE",$AJ276="EGI"),$AP276,IF($AR276&lt;&gt;"Squad",$AR276,$AP276))))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>
        <f>IF(TRIM($B277)="","",IF(N($AU277)&gt;0,$AU277,IF(N($S277)&gt;0,$S277*Lists!$AG$15*(1+N($Z277)),N($U277)*(1+N($V277)+N($W277)+N($X277)+N($Z277))+N($Y277))))</f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IF(TRIM($B277)="","",IF(IFERROR(INDEX(Lists!$AO$2:$AO$4,MATCH(ROW(),Lists!$AN$2:$AN$4,0)),"")&lt;&gt;"",IFERROR(INDEX(Lists!$AO$2:$AO$4,MATCH(ROW(),Lists!$AN$2:$AN$4,0)),""),IFERROR(INDEX(Lists!$U:$U,MATCH(TRIM($I277),Lists!$T:$T,0)),TRIM($I277))))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",$C277)),"Head of Technology",IF(ISNUMBER(SEARCH("TDD BP",$C277)),"Business Partner",IF(OR(ISNUMBER(SEARCH("domain architect",$C277)),ISNUMBER(SEARCH("enterprise architect",$C277))),"Domain Architect",IF(ISNUMBER(SEARCH("delivery man",$C277)),"Delivery Manager",IF(OR(ISNUMBER(SEARCH("technology manager",$C277)),ISNUMBER(SEARCH("technology manger",$C277)),ISNUMBER(SEARCH("tech manager",$C277))),"Technology Manager","Squad"))))))</f>
        <v>Squad</v>
      </c>
      <c r="AS277" t="str">
        <f>IF(TRIM($B277)="","",IFERROR(INDEX(Lists!$AA:$AA,MATCH($AP277,Lists!$Z:$Z,0)),$AP277))</f>
        <v>Transformation</v>
      </c>
      <c r="AT277" t="str">
        <f>IF(TRIM($B277)="","",IF(IFERROR(INDEX(Lists!$AP$2:$AP$4,MATCH(ROW(),Lists!$AN$2:$AN$4,0)),"")&lt;&gt;"",IFERROR(INDEX(Lists!$AP$2:$AP$4,MATCH(ROW(),Lists!$AN$2:$AN$4,0)),""),IF(OR(LEFT($AJ277,3)="COE",$AJ277="EGI"),$AP277,IF($AR277&lt;&gt;"Squad",$AR277,$AP277))))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>
        <f>IF(TRIM($B278)="","",IF(N($AU278)&gt;0,$AU278,IF(N($S278)&gt;0,$S278*Lists!$AG$15*(1+N($Z278)),N($U278)*(1+N($V278)+N($W278)+N($X278)+N($Z278))+N($Y278))))</f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IF(TRIM($B278)="","",IF(IFERROR(INDEX(Lists!$AO$2:$AO$4,MATCH(ROW(),Lists!$AN$2:$AN$4,0)),"")&lt;&gt;"",IFERROR(INDEX(Lists!$AO$2:$AO$4,MATCH(ROW(),Lists!$AN$2:$AN$4,0)),""),IFERROR(INDEX(Lists!$U:$U,MATCH(TRIM($I278),Lists!$T:$T,0)),TRIM($I278))))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",$C278)),"Head of Technology",IF(ISNUMBER(SEARCH("TDD BP",$C278)),"Business Partner",IF(OR(ISNUMBER(SEARCH("domain architect",$C278)),ISNUMBER(SEARCH("enterprise architect",$C278))),"Domain Architect",IF(ISNUMBER(SEARCH("delivery man",$C278)),"Delivery Manager",IF(OR(ISNUMBER(SEARCH("technology manager",$C278)),ISNUMBER(SEARCH("technology manger",$C278)),ISNUMBER(SEARCH("tech manager",$C278))),"Technology Manager","Squad"))))))</f>
        <v>Business Partner</v>
      </c>
      <c r="AS278" t="str">
        <f>IF(TRIM($B278)="","",IFERROR(INDEX(Lists!$AA:$AA,MATCH($AP278,Lists!$Z:$Z,0)),$AP278))</f>
        <v>TDD Business Partner</v>
      </c>
      <c r="AT278" t="str">
        <f>IF(TRIM($B278)="","",IF(IFERROR(INDEX(Lists!$AP$2:$AP$4,MATCH(ROW(),Lists!$AN$2:$AN$4,0)),"")&lt;&gt;"",IFERROR(INDEX(Lists!$AP$2:$AP$4,MATCH(ROW(),Lists!$AN$2:$AN$4,0)),""),IF(OR(LEFT($AJ278,3)="COE",$AJ278="EGI"),$AP278,IF($AR278&lt;&gt;"Squad",$AR278,$AP278))))</f>
        <v>TDD 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IF(TRIM($B279)="","",IF(N($AU279)&gt;0,$AU279,IF(N($S279)&gt;0,$S279*Lists!$AG$15*(1+N($Z279)),N($U279)*(1+N($V279)+N($W279)+N($X279)+N($Z279))+N($Y279))))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IF(TRIM($B279)="","",IF(IFERROR(INDEX(Lists!$AO$2:$AO$4,MATCH(ROW(),Lists!$AN$2:$AN$4,0)),"")&lt;&gt;"",IFERROR(INDEX(Lists!$AO$2:$AO$4,MATCH(ROW(),Lists!$AN$2:$AN$4,0)),""),IFERROR(INDEX(Lists!$U:$U,MATCH(TRIM($I279),Lists!$T:$T,0)),TRIM($I279))))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",$C279)),"Head of Technology",IF(ISNUMBER(SEARCH("TDD BP",$C279)),"Business Partner",IF(OR(ISNUMBER(SEARCH("domain architect",$C279)),ISNUMBER(SEARCH("enterprise architect",$C279))),"Domain Architect",IF(ISNUMBER(SEARCH("delivery man",$C279)),"Delivery Manager",IF(OR(ISNUMBER(SEARCH("technology manager",$C279)),ISNUMBER(SEARCH("technology manger",$C279)),ISNUMBER(SEARCH("tech manager",$C279))),"Technology Manager","Squad"))))))</f>
        <v>Squad</v>
      </c>
      <c r="AS279" t="str">
        <f>IF(TRIM($B279)="","",IFERROR(INDEX(Lists!$AA:$AA,MATCH($AP279,Lists!$Z:$Z,0)),$AP279))</f>
        <v>Reporting &amp; Analytics</v>
      </c>
      <c r="AT279" t="str">
        <f>IF(TRIM($B279)="","",IF(IFERROR(INDEX(Lists!$AP$2:$AP$4,MATCH(ROW(),Lists!$AN$2:$AN$4,0)),"")&lt;&gt;"",IFERROR(INDEX(Lists!$AP$2:$AP$4,MATCH(ROW(),Lists!$AN$2:$AN$4,0)),""),IF(OR(LEFT($AJ279,3)="COE",$AJ279="EGI"),$AP279,IF($AR279&lt;&gt;"Squad",$AR279,$AP279))))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IF(TRIM($B280)="","",IF(N($AU280)&gt;0,$AU280,IF(N($S280)&gt;0,$S280*Lists!$AG$15*(1+N($Z280)),N($U280)*(1+N($V280)+N($W280)+N($X280)+N($Z280))+N($Y280))))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IF(TRIM($B280)="","",IF(IFERROR(INDEX(Lists!$AO$2:$AO$4,MATCH(ROW(),Lists!$AN$2:$AN$4,0)),"")&lt;&gt;"",IFERROR(INDEX(Lists!$AO$2:$AO$4,MATCH(ROW(),Lists!$AN$2:$AN$4,0)),""),IFERROR(INDEX(Lists!$U:$U,MATCH(TRIM($I280),Lists!$T:$T,0)),TRIM($I280))))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",$C280)),"Head of Technology",IF(ISNUMBER(SEARCH("TDD BP",$C280)),"Business Partner",IF(OR(ISNUMBER(SEARCH("domain architect",$C280)),ISNUMBER(SEARCH("enterprise architect",$C280))),"Domain Architect",IF(ISNUMBER(SEARCH("delivery man",$C280)),"Delivery Manager",IF(OR(ISNUMBER(SEARCH("technology manager",$C280)),ISNUMBER(SEARCH("technology manger",$C280)),ISNUMBER(SEARCH("tech manager",$C280))),"Technology Manager","Squad"))))))</f>
        <v>Squad</v>
      </c>
      <c r="AS280" t="str">
        <f>IF(TRIM($B280)="","",IFERROR(INDEX(Lists!$AA:$AA,MATCH($AP280,Lists!$Z:$Z,0)),$AP280))</f>
        <v>Reporting &amp; Analytics</v>
      </c>
      <c r="AT280" t="str">
        <f>IF(TRIM($B280)="","",IF(IFERROR(INDEX(Lists!$AP$2:$AP$4,MATCH(ROW(),Lists!$AN$2:$AN$4,0)),"")&lt;&gt;"",IFERROR(INDEX(Lists!$AP$2:$AP$4,MATCH(ROW(),Lists!$AN$2:$AN$4,0)),""),IF(OR(LEFT($AJ280,3)="COE",$AJ280="EGI"),$AP280,IF($AR280&lt;&gt;"Squad",$AR280,$AP280))))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IF(TRIM($B281)="","",IF(N($AU281)&gt;0,$AU281,IF(N($S281)&gt;0,$S281*Lists!$AG$15*(1+N($Z281)),N($U281)*(1+N($V281)+N($W281)+N($X281)+N($Z281))+N($Y281))))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IF(TRIM($B281)="","",IF(IFERROR(INDEX(Lists!$AO$2:$AO$4,MATCH(ROW(),Lists!$AN$2:$AN$4,0)),"")&lt;&gt;"",IFERROR(INDEX(Lists!$AO$2:$AO$4,MATCH(ROW(),Lists!$AN$2:$AN$4,0)),""),IFERROR(INDEX(Lists!$U:$U,MATCH(TRIM($I281),Lists!$T:$T,0)),TRIM($I281))))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",$C281)),"Head of Technology",IF(ISNUMBER(SEARCH("TDD BP",$C281)),"Business Partner",IF(OR(ISNUMBER(SEARCH("domain architect",$C281)),ISNUMBER(SEARCH("enterprise architect",$C281))),"Domain Architect",IF(ISNUMBER(SEARCH("delivery man",$C281)),"Delivery Manager",IF(OR(ISNUMBER(SEARCH("technology manager",$C281)),ISNUMBER(SEARCH("technology manger",$C281)),ISNUMBER(SEARCH("tech manager",$C281))),"Technology Manager","Squad"))))))</f>
        <v>Squad</v>
      </c>
      <c r="AS281" t="str">
        <f>IF(TRIM($B281)="","",IFERROR(INDEX(Lists!$AA:$AA,MATCH($AP281,Lists!$Z:$Z,0)),$AP281))</f>
        <v>Data Science</v>
      </c>
      <c r="AT281" t="str">
        <f>IF(TRIM($B281)="","",IF(IFERROR(INDEX(Lists!$AP$2:$AP$4,MATCH(ROW(),Lists!$AN$2:$AN$4,0)),"")&lt;&gt;"",IFERROR(INDEX(Lists!$AP$2:$AP$4,MATCH(ROW(),Lists!$AN$2:$AN$4,0)),""),IF(OR(LEFT($AJ281,3)="COE",$AJ281="EGI"),$AP281,IF($AR281&lt;&gt;"Squad",$AR281,$AP281))))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IF(TRIM($B282)="","",IF(N($AU282)&gt;0,$AU282,IF(N($S282)&gt;0,$S282*Lists!$AG$15*(1+N($Z282)),N($U282)*(1+N($V282)+N($W282)+N($X282)+N($Z282))+N($Y282))))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IF(TRIM($B282)="","",IF(IFERROR(INDEX(Lists!$AO$2:$AO$4,MATCH(ROW(),Lists!$AN$2:$AN$4,0)),"")&lt;&gt;"",IFERROR(INDEX(Lists!$AO$2:$AO$4,MATCH(ROW(),Lists!$AN$2:$AN$4,0)),""),IFERROR(INDEX(Lists!$U:$U,MATCH(TRIM($I282),Lists!$T:$T,0)),TRIM($I282))))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",$C282)),"Head of Technology",IF(ISNUMBER(SEARCH("TDD BP",$C282)),"Business Partner",IF(OR(ISNUMBER(SEARCH("domain architect",$C282)),ISNUMBER(SEARCH("enterprise architect",$C282))),"Domain Architect",IF(ISNUMBER(SEARCH("delivery man",$C282)),"Delivery Manager",IF(OR(ISNUMBER(SEARCH("technology manager",$C282)),ISNUMBER(SEARCH("technology manger",$C282)),ISNUMBER(SEARCH("tech manager",$C282))),"Technology Manager","Squad"))))))</f>
        <v>Domain Architect</v>
      </c>
      <c r="AS282" t="str">
        <f>IF(TRIM($B282)="","",IFERROR(INDEX(Lists!$AA:$AA,MATCH($AP282,Lists!$Z:$Z,0)),$AP282))</f>
        <v>Architecture</v>
      </c>
      <c r="AT282" t="str">
        <f>IF(TRIM($B282)="","",IF(IFERROR(INDEX(Lists!$AP$2:$AP$4,MATCH(ROW(),Lists!$AN$2:$AN$4,0)),"")&lt;&gt;"",IFERROR(INDEX(Lists!$AP$2:$AP$4,MATCH(ROW(),Lists!$AN$2:$AN$4,0)),""),IF(OR(LEFT($AJ282,3)="COE",$AJ282="EGI"),$AP282,IF($AR282&lt;&gt;"Squad",$AR282,$AP282))))</f>
        <v>Architecture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IF(TRIM($B283)="","",IF(N($AU283)&gt;0,$AU283,IF(N($S283)&gt;0,$S283*Lists!$AG$15*(1+N($Z283)),N($U283)*(1+N($V283)+N($W283)+N($X283)+N($Z283))+N($Y283))))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IF(TRIM($B283)="","",IF(IFERROR(INDEX(Lists!$AO$2:$AO$4,MATCH(ROW(),Lists!$AN$2:$AN$4,0)),"")&lt;&gt;"",IFERROR(INDEX(Lists!$AO$2:$AO$4,MATCH(ROW(),Lists!$AN$2:$AN$4,0)),""),IFERROR(INDEX(Lists!$U:$U,MATCH(TRIM($I283),Lists!$T:$T,0)),TRIM($I283))))</f>
        <v>COE SA&amp;D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2</v>
      </c>
      <c r="AN283" s="949" t="str">
        <f>$AJ283&amp;"|"&amp;$AM283</f>
        <v>COE SA&amp;D|2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",$C283)),"Head of Technology",IF(ISNUMBER(SEARCH("TDD BP",$C283)),"Business Partner",IF(OR(ISNUMBER(SEARCH("domain architect",$C283)),ISNUMBER(SEARCH("enterprise architect",$C283))),"Domain Architect",IF(ISNUMBER(SEARCH("delivery man",$C283)),"Delivery Manager",IF(OR(ISNUMBER(SEARCH("technology manager",$C283)),ISNUMBER(SEARCH("technology manger",$C283)),ISNUMBER(SEARCH("tech manager",$C283))),"Technology Manager","Squad"))))))</f>
        <v>Squad</v>
      </c>
      <c r="AS283" t="str">
        <f>IF(TRIM($B283)="","",IFERROR(INDEX(Lists!$AA:$AA,MATCH($AP283,Lists!$Z:$Z,0)),$AP283))</f>
        <v>Leadership</v>
      </c>
      <c r="AT283" t="str">
        <f>IF(TRIM($B283)="","",IF(IFERROR(INDEX(Lists!$AP$2:$AP$4,MATCH(ROW(),Lists!$AN$2:$AN$4,0)),"")&lt;&gt;"",IFERROR(INDEX(Lists!$AP$2:$AP$4,MATCH(ROW(),Lists!$AN$2:$AN$4,0)),""),IF(OR(LEFT($AJ283,3)="COE",$AJ283="EGI"),$AP283,IF($AR283&lt;&gt;"Squad",$AR283,$AP283))))</f>
        <v>Group Data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IF(TRIM($B284)="","",IF(N($AU284)&gt;0,$AU284,IF(N($S284)&gt;0,$S284*Lists!$AG$15*(1+N($Z284)),N($U284)*(1+N($V284)+N($W284)+N($X284)+N($Z284))+N($Y284))))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IF(TRIM($B284)="","",IF(IFERROR(INDEX(Lists!$AO$2:$AO$4,MATCH(ROW(),Lists!$AN$2:$AN$4,0)),"")&lt;&gt;"",IFERROR(INDEX(Lists!$AO$2:$AO$4,MATCH(ROW(),Lists!$AN$2:$AN$4,0)),""),IFERROR(INDEX(Lists!$U:$U,MATCH(TRIM($I284),Lists!$T:$T,0)),TRIM($I284))))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4</v>
      </c>
      <c r="AN284" s="949" t="str">
        <f>$AJ284&amp;"|"&amp;$AM284</f>
        <v>Enterprise Data|4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",$C284)),"Head of Technology",IF(ISNUMBER(SEARCH("TDD BP",$C284)),"Business Partner",IF(OR(ISNUMBER(SEARCH("domain architect",$C284)),ISNUMBER(SEARCH("enterprise architect",$C284))),"Domain Architect",IF(ISNUMBER(SEARCH("delivery man",$C284)),"Delivery Manager",IF(OR(ISNUMBER(SEARCH("technology manager",$C284)),ISNUMBER(SEARCH("technology manger",$C284)),ISNUMBER(SEARCH("tech manager",$C284))),"Technology Manager","Squad"))))))</f>
        <v>Squad</v>
      </c>
      <c r="AS284" t="str">
        <f>IF(TRIM($B284)="","",IFERROR(INDEX(Lists!$AA:$AA,MATCH($AP284,Lists!$Z:$Z,0)),$AP284))</f>
        <v>Data Platforms</v>
      </c>
      <c r="AT284" t="str">
        <f>IF(TRIM($B284)="","",IF(IFERROR(INDEX(Lists!$AP$2:$AP$4,MATCH(ROW(),Lists!$AN$2:$AN$4,0)),"")&lt;&gt;"",IFERROR(INDEX(Lists!$AP$2:$AP$4,MATCH(ROW(),Lists!$AN$2:$AN$4,0)),""),IF(OR(LEFT($AJ284,3)="COE",$AJ284="EGI"),$AP284,IF($AR284&lt;&gt;"Squad",$AR284,$AP284))))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IF(TRIM($B285)="","",IF(N($AU285)&gt;0,$AU285,IF(N($S285)&gt;0,$S285*Lists!$AG$15*(1+N($Z285)),N($U285)*(1+N($V285)+N($W285)+N($X285)+N($Z285))+N($Y285))))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IF(TRIM($B285)="","",IF(IFERROR(INDEX(Lists!$AO$2:$AO$4,MATCH(ROW(),Lists!$AN$2:$AN$4,0)),"")&lt;&gt;"",IFERROR(INDEX(Lists!$AO$2:$AO$4,MATCH(ROW(),Lists!$AN$2:$AN$4,0)),""),IFERROR(INDEX(Lists!$U:$U,MATCH(TRIM($I285),Lists!$T:$T,0)),TRIM($I285))))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5</v>
      </c>
      <c r="AN285" s="949" t="str">
        <f>$AJ285&amp;"|"&amp;$AM285</f>
        <v>Enterprise Data|5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",$C285)),"Head of Technology",IF(ISNUMBER(SEARCH("TDD BP",$C285)),"Business Partner",IF(OR(ISNUMBER(SEARCH("domain architect",$C285)),ISNUMBER(SEARCH("enterprise architect",$C285))),"Domain Architect",IF(ISNUMBER(SEARCH("delivery man",$C285)),"Delivery Manager",IF(OR(ISNUMBER(SEARCH("technology manager",$C285)),ISNUMBER(SEARCH("technology manger",$C285)),ISNUMBER(SEARCH("tech manager",$C285))),"Technology Manager","Squad"))))))</f>
        <v>Head of Technology</v>
      </c>
      <c r="AS285" t="str">
        <f>IF(TRIM($B285)="","",IFERROR(INDEX(Lists!$AA:$AA,MATCH($AP285,Lists!$Z:$Z,0)),$AP285))</f>
        <v>Leadership</v>
      </c>
      <c r="AT285" t="str">
        <f>IF(TRIM($B285)="","",IF(IFERROR(INDEX(Lists!$AP$2:$AP$4,MATCH(ROW(),Lists!$AN$2:$AN$4,0)),"")&lt;&gt;"",IFERROR(INDEX(Lists!$AP$2:$AP$4,MATCH(ROW(),Lists!$AN$2:$AN$4,0)),""),IF(OR(LEFT($AJ285,3)="COE",$AJ285="EGI"),$AP285,IF($AR285&lt;&gt;"Squad",$AR285,$AP285))))</f>
        <v>Head of Technology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IF(TRIM($B286)="","",IF(N($AU286)&gt;0,$AU286,IF(N($S286)&gt;0,$S286*Lists!$AG$15*(1+N($Z286)),N($U286)*(1+N($V286)+N($W286)+N($X286)+N($Z286))+N($Y286))))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IF(TRIM($B286)="","",IF(IFERROR(INDEX(Lists!$AO$2:$AO$4,MATCH(ROW(),Lists!$AN$2:$AN$4,0)),"")&lt;&gt;"",IFERROR(INDEX(Lists!$AO$2:$AO$4,MATCH(ROW(),Lists!$AN$2:$AN$4,0)),""),IFERROR(INDEX(Lists!$U:$U,MATCH(TRIM($I286),Lists!$T:$T,0)),TRIM($I286))))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6</v>
      </c>
      <c r="AN286" s="949" t="str">
        <f>$AJ286&amp;"|"&amp;$AM286</f>
        <v>Enterprise Data|6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",$C286)),"Head of Technology",IF(ISNUMBER(SEARCH("TDD BP",$C286)),"Business Partner",IF(OR(ISNUMBER(SEARCH("domain architect",$C286)),ISNUMBER(SEARCH("enterprise architect",$C286))),"Domain Architect",IF(ISNUMBER(SEARCH("delivery man",$C286)),"Delivery Manager",IF(OR(ISNUMBER(SEARCH("technology manager",$C286)),ISNUMBER(SEARCH("technology manger",$C286)),ISNUMBER(SEARCH("tech manager",$C286))),"Technology Manager","Squad"))))))</f>
        <v>Technology Manager</v>
      </c>
      <c r="AS286" t="str">
        <f>IF(TRIM($B286)="","",IFERROR(INDEX(Lists!$AA:$AA,MATCH($AP286,Lists!$Z:$Z,0)),$AP286))</f>
        <v>Leadership</v>
      </c>
      <c r="AT286" t="str">
        <f>IF(TRIM($B286)="","",IF(IFERROR(INDEX(Lists!$AP$2:$AP$4,MATCH(ROW(),Lists!$AN$2:$AN$4,0)),"")&lt;&gt;"",IFERROR(INDEX(Lists!$AP$2:$AP$4,MATCH(ROW(),Lists!$AN$2:$AN$4,0)),""),IF(OR(LEFT($AJ286,3)="COE",$AJ286="EGI"),$AP286,IF($AR286&lt;&gt;"Squad",$AR286,$AP286))))</f>
        <v>Technology Manager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IF(TRIM($B287)="","",IF(N($AU287)&gt;0,$AU287,IF(N($S287)&gt;0,$S287*Lists!$AG$15*(1+N($Z287)),N($U287)*(1+N($V287)+N($W287)+N($X287)+N($Z287))+N($Y287))))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IF(TRIM($B287)="","",IF(IFERROR(INDEX(Lists!$AO$2:$AO$4,MATCH(ROW(),Lists!$AN$2:$AN$4,0)),"")&lt;&gt;"",IFERROR(INDEX(Lists!$AO$2:$AO$4,MATCH(ROW(),Lists!$AN$2:$AN$4,0)),""),IFERROR(INDEX(Lists!$U:$U,MATCH(TRIM($I287),Lists!$T:$T,0)),TRIM($I287))))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3</v>
      </c>
      <c r="AN287" s="949" t="str">
        <f>$AJ287&amp;"|"&amp;$AM287</f>
        <v>COE SA&amp;D|3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",$C287)),"Head of Technology",IF(ISNUMBER(SEARCH("TDD BP",$C287)),"Business Partner",IF(OR(ISNUMBER(SEARCH("domain architect",$C287)),ISNUMBER(SEARCH("enterprise architect",$C287))),"Domain Architect",IF(ISNUMBER(SEARCH("delivery man",$C287)),"Delivery Manager",IF(OR(ISNUMBER(SEARCH("technology manager",$C287)),ISNUMBER(SEARCH("technology manger",$C287)),ISNUMBER(SEARCH("tech manager",$C287))),"Technology Manager","Squad"))))))</f>
        <v>Delivery Manager</v>
      </c>
      <c r="AS287" t="str">
        <f>IF(TRIM($B287)="","",IFERROR(INDEX(Lists!$AA:$AA,MATCH($AP287,Lists!$Z:$Z,0)),$AP287))</f>
        <v>Leadership</v>
      </c>
      <c r="AT287" t="str">
        <f>IF(TRIM($B287)="","",IF(IFERROR(INDEX(Lists!$AP$2:$AP$4,MATCH(ROW(),Lists!$AN$2:$AN$4,0)),"")&lt;&gt;"",IFERROR(INDEX(Lists!$AP$2:$AP$4,MATCH(ROW(),Lists!$AN$2:$AN$4,0)),""),IF(OR(LEFT($AJ287,3)="COE",$AJ287="EGI"),$AP287,IF($AR287&lt;&gt;"Squad",$AR287,$AP287))))</f>
        <v>Leadership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IF(TRIM($B288)="","",IF(N($AU288)&gt;0,$AU288,IF(N($S288)&gt;0,$S288*Lists!$AG$15*(1+N($Z288)),N($U288)*(1+N($V288)+N($W288)+N($X288)+N($Z288))+N($Y288))))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IF(TRIM($B288)="","",IF(IFERROR(INDEX(Lists!$AO$2:$AO$4,MATCH(ROW(),Lists!$AN$2:$AN$4,0)),"")&lt;&gt;"",IFERROR(INDEX(Lists!$AO$2:$AO$4,MATCH(ROW(),Lists!$AN$2:$AN$4,0)),""),IFERROR(INDEX(Lists!$U:$U,MATCH(TRIM($I288),Lists!$T:$T,0)),TRIM($I288))))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4</v>
      </c>
      <c r="AN288" s="949" t="str">
        <f>$AJ288&amp;"|"&amp;$AM288</f>
        <v>COE SA&amp;D|4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",$C288)),"Head of Technology",IF(ISNUMBER(SEARCH("TDD BP",$C288)),"Business Partner",IF(OR(ISNUMBER(SEARCH("domain architect",$C288)),ISNUMBER(SEARCH("enterprise architect",$C288))),"Domain Architect",IF(ISNUMBER(SEARCH("delivery man",$C288)),"Delivery Manager",IF(OR(ISNUMBER(SEARCH("technology manager",$C288)),ISNUMBER(SEARCH("technology manger",$C288)),ISNUMBER(SEARCH("tech manager",$C288))),"Technology Manager","Squad"))))))</f>
        <v>Domain Architect</v>
      </c>
      <c r="AS288" t="str">
        <f>IF(TRIM($B288)="","",IFERROR(INDEX(Lists!$AA:$AA,MATCH($AP288,Lists!$Z:$Z,0)),$AP288))</f>
        <v>Architecture</v>
      </c>
      <c r="AT288" t="str">
        <f>IF(TRIM($B288)="","",IF(IFERROR(INDEX(Lists!$AP$2:$AP$4,MATCH(ROW(),Lists!$AN$2:$AN$4,0)),"")&lt;&gt;"",IFERROR(INDEX(Lists!$AP$2:$AP$4,MATCH(ROW(),Lists!$AN$2:$AN$4,0)),""),IF(OR(LEFT($AJ288,3)="COE",$AJ288="EGI"),$AP288,IF($AR288&lt;&gt;"Squad",$AR288,$AP288))))</f>
        <v>Architecture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IF(TRIM($B289)="","",IF(N($AU289)&gt;0,$AU289,IF(N($S289)&gt;0,$S289*Lists!$AG$15*(1+N($Z289)),N($U289)*(1+N($V289)+N($W289)+N($X289)+N($Z289))+N($Y289))))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IF(TRIM($B289)="","",IF(IFERROR(INDEX(Lists!$AO$2:$AO$4,MATCH(ROW(),Lists!$AN$2:$AN$4,0)),"")&lt;&gt;"",IFERROR(INDEX(Lists!$AO$2:$AO$4,MATCH(ROW(),Lists!$AN$2:$AN$4,0)),""),IFERROR(INDEX(Lists!$U:$U,MATCH(TRIM($I289),Lists!$T:$T,0)),TRIM($I289))))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7</v>
      </c>
      <c r="AN289" s="949" t="str">
        <f>$AJ289&amp;"|"&amp;$AM289</f>
        <v>Enterprise Data|7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",$C289)),"Head of Technology",IF(ISNUMBER(SEARCH("TDD BP",$C289)),"Business Partner",IF(OR(ISNUMBER(SEARCH("domain architect",$C289)),ISNUMBER(SEARCH("enterprise architect",$C289))),"Domain Architect",IF(ISNUMBER(SEARCH("delivery man",$C289)),"Delivery Manager",IF(OR(ISNUMBER(SEARCH("technology manager",$C289)),ISNUMBER(SEARCH("technology manger",$C289)),ISNUMBER(SEARCH("tech manager",$C289))),"Technology Manager","Squad"))))))</f>
        <v>Technology Manager</v>
      </c>
      <c r="AS289" t="str">
        <f>IF(TRIM($B289)="","",IFERROR(INDEX(Lists!$AA:$AA,MATCH($AP289,Lists!$Z:$Z,0)),$AP289))</f>
        <v>Leadership</v>
      </c>
      <c r="AT289" t="str">
        <f>IF(TRIM($B289)="","",IF(IFERROR(INDEX(Lists!$AP$2:$AP$4,MATCH(ROW(),Lists!$AN$2:$AN$4,0)),"")&lt;&gt;"",IFERROR(INDEX(Lists!$AP$2:$AP$4,MATCH(ROW(),Lists!$AN$2:$AN$4,0)),""),IF(OR(LEFT($AJ289,3)="COE",$AJ289="EGI"),$AP289,IF($AR289&lt;&gt;"Squad",$AR289,$AP289))))</f>
        <v>Technology Manager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IF(TRIM($B290)="","",IF(N($AU290)&gt;0,$AU290,IF(N($S290)&gt;0,$S290*Lists!$AG$15*(1+N($Z290)),N($U290)*(1+N($V290)+N($W290)+N($X290)+N($Z290))+N($Y290))))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IF(TRIM($B290)="","",IF(IFERROR(INDEX(Lists!$AO$2:$AO$4,MATCH(ROW(),Lists!$AN$2:$AN$4,0)),"")&lt;&gt;"",IFERROR(INDEX(Lists!$AO$2:$AO$4,MATCH(ROW(),Lists!$AN$2:$AN$4,0)),""),IFERROR(INDEX(Lists!$U:$U,MATCH(TRIM($I290),Lists!$T:$T,0)),TRIM($I290))))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8</v>
      </c>
      <c r="AN290" s="949" t="str">
        <f>$AJ290&amp;"|"&amp;$AM290</f>
        <v>Enterprise Data|8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",$C290)),"Head of Technology",IF(ISNUMBER(SEARCH("TDD BP",$C290)),"Business Partner",IF(OR(ISNUMBER(SEARCH("domain architect",$C290)),ISNUMBER(SEARCH("enterprise architect",$C290))),"Domain Architect",IF(ISNUMBER(SEARCH("delivery man",$C290)),"Delivery Manager",IF(OR(ISNUMBER(SEARCH("technology manager",$C290)),ISNUMBER(SEARCH("technology manger",$C290)),ISNUMBER(SEARCH("tech manager",$C290))),"Technology Manager","Squad"))))))</f>
        <v>Squad</v>
      </c>
      <c r="AS290" t="str">
        <f>IF(TRIM($B290)="","",IFERROR(INDEX(Lists!$AA:$AA,MATCH($AP290,Lists!$Z:$Z,0)),$AP290))</f>
        <v>Reporting &amp; Analytics</v>
      </c>
      <c r="AT290" t="str">
        <f>IF(TRIM($B290)="","",IF(IFERROR(INDEX(Lists!$AP$2:$AP$4,MATCH(ROW(),Lists!$AN$2:$AN$4,0)),"")&lt;&gt;"",IFERROR(INDEX(Lists!$AP$2:$AP$4,MATCH(ROW(),Lists!$AN$2:$AN$4,0)),""),IF(OR(LEFT($AJ290,3)="COE",$AJ290="EGI"),$AP290,IF($AR290&lt;&gt;"Squad",$AR290,$AP290))))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IF(TRIM($B291)="","",IF(N($AU291)&gt;0,$AU291,IF(N($S291)&gt;0,$S291*Lists!$AG$15*(1+N($Z291)),N($U291)*(1+N($V291)+N($W291)+N($X291)+N($Z291))+N($Y291))))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IF(TRIM($B291)="","",IF(IFERROR(INDEX(Lists!$AO$2:$AO$4,MATCH(ROW(),Lists!$AN$2:$AN$4,0)),"")&lt;&gt;"",IFERROR(INDEX(Lists!$AO$2:$AO$4,MATCH(ROW(),Lists!$AN$2:$AN$4,0)),""),IFERROR(INDEX(Lists!$U:$U,MATCH(TRIM($I291),Lists!$T:$T,0)),TRIM($I291))))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5</v>
      </c>
      <c r="AN291" s="949" t="str">
        <f>$AJ291&amp;"|"&amp;$AM291</f>
        <v>COE SA&amp;D|5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",$C291)),"Head of Technology",IF(ISNUMBER(SEARCH("TDD BP",$C291)),"Business Partner",IF(OR(ISNUMBER(SEARCH("domain architect",$C291)),ISNUMBER(SEARCH("enterprise architect",$C291))),"Domain Architect",IF(ISNUMBER(SEARCH("delivery man",$C291)),"Delivery Manager",IF(OR(ISNUMBER(SEARCH("technology manager",$C291)),ISNUMBER(SEARCH("technology manger",$C291)),ISNUMBER(SEARCH("tech manager",$C291))),"Technology Manager","Squad"))))))</f>
        <v>Squad</v>
      </c>
      <c r="AS291" t="str">
        <f>IF(TRIM($B291)="","",IFERROR(INDEX(Lists!$AA:$AA,MATCH($AP291,Lists!$Z:$Z,0)),$AP291))</f>
        <v>Group Data</v>
      </c>
      <c r="AT291" t="str">
        <f>IF(TRIM($B291)="","",IF(IFERROR(INDEX(Lists!$AP$2:$AP$4,MATCH(ROW(),Lists!$AN$2:$AN$4,0)),"")&lt;&gt;"",IFERROR(INDEX(Lists!$AP$2:$AP$4,MATCH(ROW(),Lists!$AN$2:$AN$4,0)),""),IF(OR(LEFT($AJ291,3)="COE",$AJ291="EGI"),$AP291,IF($AR291&lt;&gt;"Squad",$AR291,$AP291))))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IF(TRIM($B292)="","",IF(N($AU292)&gt;0,$AU292,IF(N($S292)&gt;0,$S292*Lists!$AG$15*(1+N($Z292)),N($U292)*(1+N($V292)+N($W292)+N($X292)+N($Z292))+N($Y292))))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IF(TRIM($B292)="","",IF(IFERROR(INDEX(Lists!$AO$2:$AO$4,MATCH(ROW(),Lists!$AN$2:$AN$4,0)),"")&lt;&gt;"",IFERROR(INDEX(Lists!$AO$2:$AO$4,MATCH(ROW(),Lists!$AN$2:$AN$4,0)),""),IFERROR(INDEX(Lists!$U:$U,MATCH(TRIM($I292),Lists!$T:$T,0)),TRIM($I292))))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6</v>
      </c>
      <c r="AN292" s="949" t="str">
        <f>$AJ292&amp;"|"&amp;$AM292</f>
        <v>COE SA&amp;D|6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",$C292)),"Head of Technology",IF(ISNUMBER(SEARCH("TDD BP",$C292)),"Business Partner",IF(OR(ISNUMBER(SEARCH("domain architect",$C292)),ISNUMBER(SEARCH("enterprise architect",$C292))),"Domain Architect",IF(ISNUMBER(SEARCH("delivery man",$C292)),"Delivery Manager",IF(OR(ISNUMBER(SEARCH("technology manager",$C292)),ISNUMBER(SEARCH("technology manger",$C292)),ISNUMBER(SEARCH("tech manager",$C292))),"Technology Manager","Squad"))))))</f>
        <v>Domain Architect</v>
      </c>
      <c r="AS292" t="str">
        <f>IF(TRIM($B292)="","",IFERROR(INDEX(Lists!$AA:$AA,MATCH($AP292,Lists!$Z:$Z,0)),$AP292))</f>
        <v>Architecture</v>
      </c>
      <c r="AT292" t="str">
        <f>IF(TRIM($B292)="","",IF(IFERROR(INDEX(Lists!$AP$2:$AP$4,MATCH(ROW(),Lists!$AN$2:$AN$4,0)),"")&lt;&gt;"",IFERROR(INDEX(Lists!$AP$2:$AP$4,MATCH(ROW(),Lists!$AN$2:$AN$4,0)),""),IF(OR(LEFT($AJ292,3)="COE",$AJ292="EGI"),$AP292,IF($AR292&lt;&gt;"Squad",$AR292,$AP292))))</f>
        <v>Architecture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IF(TRIM($B293)="","",IF(N($AU293)&gt;0,$AU293,IF(N($S293)&gt;0,$S293*Lists!$AG$15*(1+N($Z293)),N($U293)*(1+N($V293)+N($W293)+N($X293)+N($Z293))+N($Y293))))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IF(TRIM($B293)="","",IF(IFERROR(INDEX(Lists!$AO$2:$AO$4,MATCH(ROW(),Lists!$AN$2:$AN$4,0)),"")&lt;&gt;"",IFERROR(INDEX(Lists!$AO$2:$AO$4,MATCH(ROW(),Lists!$AN$2:$AN$4,0)),""),IFERROR(INDEX(Lists!$U:$U,MATCH(TRIM($I293),Lists!$T:$T,0)),TRIM($I293))))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7</v>
      </c>
      <c r="AN293" s="949" t="str">
        <f>$AJ293&amp;"|"&amp;$AM293</f>
        <v>COE SA&amp;D|7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",$C293)),"Head of Technology",IF(ISNUMBER(SEARCH("TDD BP",$C293)),"Business Partner",IF(OR(ISNUMBER(SEARCH("domain architect",$C293)),ISNUMBER(SEARCH("enterprise architect",$C293))),"Domain Architect",IF(ISNUMBER(SEARCH("delivery man",$C293)),"Delivery Manager",IF(OR(ISNUMBER(SEARCH("technology manager",$C293)),ISNUMBER(SEARCH("technology manger",$C293)),ISNUMBER(SEARCH("tech manager",$C293))),"Technology Manager","Squad"))))))</f>
        <v>Squad</v>
      </c>
      <c r="AS293" t="str">
        <f>IF(TRIM($B293)="","",IFERROR(INDEX(Lists!$AA:$AA,MATCH($AP293,Lists!$Z:$Z,0)),$AP293))</f>
        <v>Data Platforms</v>
      </c>
      <c r="AT293" t="str">
        <f>IF(TRIM($B293)="","",IF(IFERROR(INDEX(Lists!$AP$2:$AP$4,MATCH(ROW(),Lists!$AN$2:$AN$4,0)),"")&lt;&gt;"",IFERROR(INDEX(Lists!$AP$2:$AP$4,MATCH(ROW(),Lists!$AN$2:$AN$4,0)),""),IF(OR(LEFT($AJ293,3)="COE",$AJ293="EGI"),$AP293,IF($AR293&lt;&gt;"Squad",$AR293,$AP293))))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IF(TRIM($B294)="","",IF(N($AU294)&gt;0,$AU294,IF(N($S294)&gt;0,$S294*Lists!$AG$15*(1+N($Z294)),N($U294)*(1+N($V294)+N($W294)+N($X294)+N($Z294))+N($Y294))))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IF(TRIM($B294)="","",IF(IFERROR(INDEX(Lists!$AO$2:$AO$4,MATCH(ROW(),Lists!$AN$2:$AN$4,0)),"")&lt;&gt;"",IFERROR(INDEX(Lists!$AO$2:$AO$4,MATCH(ROW(),Lists!$AN$2:$AN$4,0)),""),IFERROR(INDEX(Lists!$U:$U,MATCH(TRIM($I294),Lists!$T:$T,0)),TRIM($I294))))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8</v>
      </c>
      <c r="AN294" s="949" t="str">
        <f>$AJ294&amp;"|"&amp;$AM294</f>
        <v>COE SA&amp;D|8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",$C294)),"Head of Technology",IF(ISNUMBER(SEARCH("TDD BP",$C294)),"Business Partner",IF(OR(ISNUMBER(SEARCH("domain architect",$C294)),ISNUMBER(SEARCH("enterprise architect",$C294))),"Domain Architect",IF(ISNUMBER(SEARCH("delivery man",$C294)),"Delivery Manager",IF(OR(ISNUMBER(SEARCH("technology manager",$C294)),ISNUMBER(SEARCH("technology manger",$C294)),ISNUMBER(SEARCH("tech manager",$C294))),"Technology Manager","Squad"))))))</f>
        <v>Squad</v>
      </c>
      <c r="AS294" t="str">
        <f>IF(TRIM($B294)="","",IFERROR(INDEX(Lists!$AA:$AA,MATCH($AP294,Lists!$Z:$Z,0)),$AP294))</f>
        <v>Group Data</v>
      </c>
      <c r="AT294" t="str">
        <f>IF(TRIM($B294)="","",IF(IFERROR(INDEX(Lists!$AP$2:$AP$4,MATCH(ROW(),Lists!$AN$2:$AN$4,0)),"")&lt;&gt;"",IFERROR(INDEX(Lists!$AP$2:$AP$4,MATCH(ROW(),Lists!$AN$2:$AN$4,0)),""),IF(OR(LEFT($AJ294,3)="COE",$AJ294="EGI"),$AP294,IF($AR294&lt;&gt;"Squad",$AR294,$AP294))))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IF(TRIM($B295)="","",IF(N($AU295)&gt;0,$AU295,IF(N($S295)&gt;0,$S295*Lists!$AG$15*(1+N($Z295)),N($U295)*(1+N($V295)+N($W295)+N($X295)+N($Z295))+N($Y295))))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IF(TRIM($B295)="","",IF(IFERROR(INDEX(Lists!$AO$2:$AO$4,MATCH(ROW(),Lists!$AN$2:$AN$4,0)),"")&lt;&gt;"",IFERROR(INDEX(Lists!$AO$2:$AO$4,MATCH(ROW(),Lists!$AN$2:$AN$4,0)),""),IFERROR(INDEX(Lists!$U:$U,MATCH(TRIM($I295),Lists!$T:$T,0)),TRIM($I295))))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9</v>
      </c>
      <c r="AN295" s="949" t="str">
        <f>$AJ295&amp;"|"&amp;$AM295</f>
        <v>Enterprise Data|9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",$C295)),"Head of Technology",IF(ISNUMBER(SEARCH("TDD BP",$C295)),"Business Partner",IF(OR(ISNUMBER(SEARCH("domain architect",$C295)),ISNUMBER(SEARCH("enterprise architect",$C295))),"Domain Architect",IF(ISNUMBER(SEARCH("delivery man",$C295)),"Delivery Manager",IF(OR(ISNUMBER(SEARCH("technology manager",$C295)),ISNUMBER(SEARCH("technology manger",$C295)),ISNUMBER(SEARCH("tech manager",$C295))),"Technology Manager","Squad"))))))</f>
        <v>Squad</v>
      </c>
      <c r="AS295" t="str">
        <f>IF(TRIM($B295)="","",IFERROR(INDEX(Lists!$AA:$AA,MATCH($AP295,Lists!$Z:$Z,0)),$AP295))</f>
        <v>Data Science</v>
      </c>
      <c r="AT295" t="str">
        <f>IF(TRIM($B295)="","",IF(IFERROR(INDEX(Lists!$AP$2:$AP$4,MATCH(ROW(),Lists!$AN$2:$AN$4,0)),"")&lt;&gt;"",IFERROR(INDEX(Lists!$AP$2:$AP$4,MATCH(ROW(),Lists!$AN$2:$AN$4,0)),""),IF(OR(LEFT($AJ295,3)="COE",$AJ295="EGI"),$AP295,IF($AR295&lt;&gt;"Squad",$AR295,$AP295))))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IF(TRIM($B296)="","",IF(N($AU296)&gt;0,$AU296,IF(N($S296)&gt;0,$S296*Lists!$AG$15*(1+N($Z296)),N($U296)*(1+N($V296)+N($W296)+N($X296)+N($Z296))+N($Y296))))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IF(TRIM($B296)="","",IF(IFERROR(INDEX(Lists!$AO$2:$AO$4,MATCH(ROW(),Lists!$AN$2:$AN$4,0)),"")&lt;&gt;"",IFERROR(INDEX(Lists!$AO$2:$AO$4,MATCH(ROW(),Lists!$AN$2:$AN$4,0)),""),IFERROR(INDEX(Lists!$U:$U,MATCH(TRIM($I296),Lists!$T:$T,0)),TRIM($I296))))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10</v>
      </c>
      <c r="AN296" s="949" t="str">
        <f>$AJ296&amp;"|"&amp;$AM296</f>
        <v>Enterprise Data|10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",$C296)),"Head of Technology",IF(ISNUMBER(SEARCH("TDD BP",$C296)),"Business Partner",IF(OR(ISNUMBER(SEARCH("domain architect",$C296)),ISNUMBER(SEARCH("enterprise architect",$C296))),"Domain Architect",IF(ISNUMBER(SEARCH("delivery man",$C296)),"Delivery Manager",IF(OR(ISNUMBER(SEARCH("technology manager",$C296)),ISNUMBER(SEARCH("technology manger",$C296)),ISNUMBER(SEARCH("tech manager",$C296))),"Technology Manager","Squad"))))))</f>
        <v>Squad</v>
      </c>
      <c r="AS296" t="str">
        <f>IF(TRIM($B296)="","",IFERROR(INDEX(Lists!$AA:$AA,MATCH($AP296,Lists!$Z:$Z,0)),$AP296))</f>
        <v>Data Science</v>
      </c>
      <c r="AT296" t="str">
        <f>IF(TRIM($B296)="","",IF(IFERROR(INDEX(Lists!$AP$2:$AP$4,MATCH(ROW(),Lists!$AN$2:$AN$4,0)),"")&lt;&gt;"",IFERROR(INDEX(Lists!$AP$2:$AP$4,MATCH(ROW(),Lists!$AN$2:$AN$4,0)),""),IF(OR(LEFT($AJ296,3)="COE",$AJ296="EGI"),$AP296,IF($AR296&lt;&gt;"Squad",$AR296,$AP296))))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IF(TRIM($B297)="","",IF(N($AU297)&gt;0,$AU297,IF(N($S297)&gt;0,$S297*Lists!$AG$15*(1+N($Z297)),N($U297)*(1+N($V297)+N($W297)+N($X297)+N($Z297))+N($Y297))))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IF(TRIM($B297)="","",IF(IFERROR(INDEX(Lists!$AO$2:$AO$4,MATCH(ROW(),Lists!$AN$2:$AN$4,0)),"")&lt;&gt;"",IFERROR(INDEX(Lists!$AO$2:$AO$4,MATCH(ROW(),Lists!$AN$2:$AN$4,0)),""),IFERROR(INDEX(Lists!$U:$U,MATCH(TRIM($I297),Lists!$T:$T,0)),TRIM($I297))))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11</v>
      </c>
      <c r="AN297" s="949" t="str">
        <f>$AJ297&amp;"|"&amp;$AM297</f>
        <v>Enterprise Data|11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",$C297)),"Head of Technology",IF(ISNUMBER(SEARCH("TDD BP",$C297)),"Business Partner",IF(OR(ISNUMBER(SEARCH("domain architect",$C297)),ISNUMBER(SEARCH("enterprise architect",$C297))),"Domain Architect",IF(ISNUMBER(SEARCH("delivery man",$C297)),"Delivery Manager",IF(OR(ISNUMBER(SEARCH("technology manager",$C297)),ISNUMBER(SEARCH("technology manger",$C297)),ISNUMBER(SEARCH("tech manager",$C297))),"Technology Manager","Squad"))))))</f>
        <v>Squad</v>
      </c>
      <c r="AS297" t="str">
        <f>IF(TRIM($B297)="","",IFERROR(INDEX(Lists!$AA:$AA,MATCH($AP297,Lists!$Z:$Z,0)),$AP297))</f>
        <v>Reporting &amp; Analytics</v>
      </c>
      <c r="AT297" t="str">
        <f>IF(TRIM($B297)="","",IF(IFERROR(INDEX(Lists!$AP$2:$AP$4,MATCH(ROW(),Lists!$AN$2:$AN$4,0)),"")&lt;&gt;"",IFERROR(INDEX(Lists!$AP$2:$AP$4,MATCH(ROW(),Lists!$AN$2:$AN$4,0)),""),IF(OR(LEFT($AJ297,3)="COE",$AJ297="EGI"),$AP297,IF($AR297&lt;&gt;"Squad",$AR297,$AP297))))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IF(TRIM($B298)="","",IF(N($AU298)&gt;0,$AU298,IF(N($S298)&gt;0,$S298*Lists!$AG$15*(1+N($Z298)),N($U298)*(1+N($V298)+N($W298)+N($X298)+N($Z298))+N($Y298))))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IF(TRIM($B298)="","",IF(IFERROR(INDEX(Lists!$AO$2:$AO$4,MATCH(ROW(),Lists!$AN$2:$AN$4,0)),"")&lt;&gt;"",IFERROR(INDEX(Lists!$AO$2:$AO$4,MATCH(ROW(),Lists!$AN$2:$AN$4,0)),""),IFERROR(INDEX(Lists!$U:$U,MATCH(TRIM($I298),Lists!$T:$T,0)),TRIM($I298))))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12</v>
      </c>
      <c r="AN298" s="949" t="str">
        <f>$AJ298&amp;"|"&amp;$AM298</f>
        <v>Enterprise Data|12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",$C298)),"Head of Technology",IF(ISNUMBER(SEARCH("TDD BP",$C298)),"Business Partner",IF(OR(ISNUMBER(SEARCH("domain architect",$C298)),ISNUMBER(SEARCH("enterprise architect",$C298))),"Domain Architect",IF(ISNUMBER(SEARCH("delivery man",$C298)),"Delivery Manager",IF(OR(ISNUMBER(SEARCH("technology manager",$C298)),ISNUMBER(SEARCH("technology manger",$C298)),ISNUMBER(SEARCH("tech manager",$C298))),"Technology Manager","Squad"))))))</f>
        <v>Squad</v>
      </c>
      <c r="AS298" t="str">
        <f>IF(TRIM($B298)="","",IFERROR(INDEX(Lists!$AA:$AA,MATCH($AP298,Lists!$Z:$Z,0)),$AP298))</f>
        <v>Reporting &amp; Analytics</v>
      </c>
      <c r="AT298" t="str">
        <f>IF(TRIM($B298)="","",IF(IFERROR(INDEX(Lists!$AP$2:$AP$4,MATCH(ROW(),Lists!$AN$2:$AN$4,0)),"")&lt;&gt;"",IFERROR(INDEX(Lists!$AP$2:$AP$4,MATCH(ROW(),Lists!$AN$2:$AN$4,0)),""),IF(OR(LEFT($AJ298,3)="COE",$AJ298="EGI"),$AP298,IF($AR298&lt;&gt;"Squad",$AR298,$AP298))))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IF(TRIM($B299)="","",IF(N($AU299)&gt;0,$AU299,IF(N($S299)&gt;0,$S299*Lists!$AG$15*(1+N($Z299)),N($U299)*(1+N($V299)+N($W299)+N($X299)+N($Z299))+N($Y299))))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IF(TRIM($B299)="","",IF(IFERROR(INDEX(Lists!$AO$2:$AO$4,MATCH(ROW(),Lists!$AN$2:$AN$4,0)),"")&lt;&gt;"",IFERROR(INDEX(Lists!$AO$2:$AO$4,MATCH(ROW(),Lists!$AN$2:$AN$4,0)),""),IFERROR(INDEX(Lists!$U:$U,MATCH(TRIM($I299),Lists!$T:$T,0)),TRIM($I299))))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9</v>
      </c>
      <c r="AN299" s="949" t="str">
        <f>$AJ299&amp;"|"&amp;$AM299</f>
        <v>COE SA&amp;D|9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",$C299)),"Head of Technology",IF(ISNUMBER(SEARCH("TDD BP",$C299)),"Business Partner",IF(OR(ISNUMBER(SEARCH("domain architect",$C299)),ISNUMBER(SEARCH("enterprise architect",$C299))),"Domain Architect",IF(ISNUMBER(SEARCH("delivery man",$C299)),"Delivery Manager",IF(OR(ISNUMBER(SEARCH("technology manager",$C299)),ISNUMBER(SEARCH("technology manger",$C299)),ISNUMBER(SEARCH("tech manager",$C299))),"Technology Manager","Squad"))))))</f>
        <v>Squad</v>
      </c>
      <c r="AS299" t="str">
        <f>IF(TRIM($B299)="","",IFERROR(INDEX(Lists!$AA:$AA,MATCH($AP299,Lists!$Z:$Z,0)),$AP299))</f>
        <v>Group Data</v>
      </c>
      <c r="AT299" t="str">
        <f>IF(TRIM($B299)="","",IF(IFERROR(INDEX(Lists!$AP$2:$AP$4,MATCH(ROW(),Lists!$AN$2:$AN$4,0)),"")&lt;&gt;"",IFERROR(INDEX(Lists!$AP$2:$AP$4,MATCH(ROW(),Lists!$AN$2:$AN$4,0)),""),IF(OR(LEFT($AJ299,3)="COE",$AJ299="EGI"),$AP299,IF($AR299&lt;&gt;"Squad",$AR299,$AP299))))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IF(TRIM($B300)="","",IF(N($AU300)&gt;0,$AU300,IF(N($S300)&gt;0,$S300*Lists!$AG$15*(1+N($Z300)),N($U300)*(1+N($V300)+N($W300)+N($X300)+N($Z300))+N($Y300))))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IF(TRIM($B300)="","",IF(IFERROR(INDEX(Lists!$AO$2:$AO$4,MATCH(ROW(),Lists!$AN$2:$AN$4,0)),"")&lt;&gt;"",IFERROR(INDEX(Lists!$AO$2:$AO$4,MATCH(ROW(),Lists!$AN$2:$AN$4,0)),""),IFERROR(INDEX(Lists!$U:$U,MATCH(TRIM($I300),Lists!$T:$T,0)),TRIM($I300))))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10</v>
      </c>
      <c r="AN300" s="949" t="str">
        <f>$AJ300&amp;"|"&amp;$AM300</f>
        <v>COE SA&amp;D|10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",$C300)),"Head of Technology",IF(ISNUMBER(SEARCH("TDD BP",$C300)),"Business Partner",IF(OR(ISNUMBER(SEARCH("domain architect",$C300)),ISNUMBER(SEARCH("enterprise architect",$C300))),"Domain Architect",IF(ISNUMBER(SEARCH("delivery man",$C300)),"Delivery Manager",IF(OR(ISNUMBER(SEARCH("technology manager",$C300)),ISNUMBER(SEARCH("technology manger",$C300)),ISNUMBER(SEARCH("tech manager",$C300))),"Technology Manager","Squad"))))))</f>
        <v>Squad</v>
      </c>
      <c r="AS300" t="str">
        <f>IF(TRIM($B300)="","",IFERROR(INDEX(Lists!$AA:$AA,MATCH($AP300,Lists!$Z:$Z,0)),$AP300))</f>
        <v>Group Data</v>
      </c>
      <c r="AT300" t="str">
        <f>IF(TRIM($B300)="","",IF(IFERROR(INDEX(Lists!$AP$2:$AP$4,MATCH(ROW(),Lists!$AN$2:$AN$4,0)),"")&lt;&gt;"",IFERROR(INDEX(Lists!$AP$2:$AP$4,MATCH(ROW(),Lists!$AN$2:$AN$4,0)),""),IF(OR(LEFT($AJ300,3)="COE",$AJ300="EGI"),$AP300,IF($AR300&lt;&gt;"Squad",$AR300,$AP300))))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IF(TRIM($B301)="","",IF(N($AU301)&gt;0,$AU301,IF(N($S301)&gt;0,$S301*Lists!$AG$15*(1+N($Z301)),N($U301)*(1+N($V301)+N($W301)+N($X301)+N($Z301))+N($Y301))))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IF(TRIM($B301)="","",IF(IFERROR(INDEX(Lists!$AO$2:$AO$4,MATCH(ROW(),Lists!$AN$2:$AN$4,0)),"")&lt;&gt;"",IFERROR(INDEX(Lists!$AO$2:$AO$4,MATCH(ROW(),Lists!$AN$2:$AN$4,0)),""),IFERROR(INDEX(Lists!$U:$U,MATCH(TRIM($I301),Lists!$T:$T,0)),TRIM($I301))))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11</v>
      </c>
      <c r="AN301" s="949" t="str">
        <f>$AJ301&amp;"|"&amp;$AM301</f>
        <v>COE SA&amp;D|11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",$C301)),"Head of Technology",IF(ISNUMBER(SEARCH("TDD BP",$C301)),"Business Partner",IF(OR(ISNUMBER(SEARCH("domain architect",$C301)),ISNUMBER(SEARCH("enterprise architect",$C301))),"Domain Architect",IF(ISNUMBER(SEARCH("delivery man",$C301)),"Delivery Manager",IF(OR(ISNUMBER(SEARCH("technology manager",$C301)),ISNUMBER(SEARCH("technology manger",$C301)),ISNUMBER(SEARCH("tech manager",$C301))),"Technology Manager","Squad"))))))</f>
        <v>Squad</v>
      </c>
      <c r="AS301" t="str">
        <f>IF(TRIM($B301)="","",IFERROR(INDEX(Lists!$AA:$AA,MATCH($AP301,Lists!$Z:$Z,0)),$AP301))</f>
        <v>Group Data</v>
      </c>
      <c r="AT301" t="str">
        <f>IF(TRIM($B301)="","",IF(IFERROR(INDEX(Lists!$AP$2:$AP$4,MATCH(ROW(),Lists!$AN$2:$AN$4,0)),"")&lt;&gt;"",IFERROR(INDEX(Lists!$AP$2:$AP$4,MATCH(ROW(),Lists!$AN$2:$AN$4,0)),""),IF(OR(LEFT($AJ301,3)="COE",$AJ301="EGI"),$AP301,IF($AR301&lt;&gt;"Squad",$AR301,$AP301))))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IF(TRIM($B302)="","",IF(N($AU302)&gt;0,$AU302,IF(N($S302)&gt;0,$S302*Lists!$AG$15*(1+N($Z302)),N($U302)*(1+N($V302)+N($W302)+N($X302)+N($Z302))+N($Y302))))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IF(TRIM($B302)="","",IF(IFERROR(INDEX(Lists!$AO$2:$AO$4,MATCH(ROW(),Lists!$AN$2:$AN$4,0)),"")&lt;&gt;"",IFERROR(INDEX(Lists!$AO$2:$AO$4,MATCH(ROW(),Lists!$AN$2:$AN$4,0)),""),IFERROR(INDEX(Lists!$U:$U,MATCH(TRIM($I302),Lists!$T:$T,0)),TRIM($I302))))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12</v>
      </c>
      <c r="AN302" s="949" t="str">
        <f>$AJ302&amp;"|"&amp;$AM302</f>
        <v>COE SA&amp;D|12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",$C302)),"Head of Technology",IF(ISNUMBER(SEARCH("TDD BP",$C302)),"Business Partner",IF(OR(ISNUMBER(SEARCH("domain architect",$C302)),ISNUMBER(SEARCH("enterprise architect",$C302))),"Domain Architect",IF(ISNUMBER(SEARCH("delivery man",$C302)),"Delivery Manager",IF(OR(ISNUMBER(SEARCH("technology manager",$C302)),ISNUMBER(SEARCH("technology manger",$C302)),ISNUMBER(SEARCH("tech manager",$C302))),"Technology Manager","Squad"))))))</f>
        <v>Domain Architect</v>
      </c>
      <c r="AS302" t="str">
        <f>IF(TRIM($B302)="","",IFERROR(INDEX(Lists!$AA:$AA,MATCH($AP302,Lists!$Z:$Z,0)),$AP302))</f>
        <v>Architecture</v>
      </c>
      <c r="AT302" t="str">
        <f>IF(TRIM($B302)="","",IF(IFERROR(INDEX(Lists!$AP$2:$AP$4,MATCH(ROW(),Lists!$AN$2:$AN$4,0)),"")&lt;&gt;"",IFERROR(INDEX(Lists!$AP$2:$AP$4,MATCH(ROW(),Lists!$AN$2:$AN$4,0)),""),IF(OR(LEFT($AJ302,3)="COE",$AJ302="EGI"),$AP302,IF($AR302&lt;&gt;"Squad",$AR302,$AP302))))</f>
        <v>Architecture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IF(TRIM($B303)="","",IF(N($AU303)&gt;0,$AU303,IF(N($S303)&gt;0,$S303*Lists!$AG$15*(1+N($Z303)),N($U303)*(1+N($V303)+N($W303)+N($X303)+N($Z303))+N($Y303))))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IF(TRIM($B303)="","",IF(IFERROR(INDEX(Lists!$AO$2:$AO$4,MATCH(ROW(),Lists!$AN$2:$AN$4,0)),"")&lt;&gt;"",IFERROR(INDEX(Lists!$AO$2:$AO$4,MATCH(ROW(),Lists!$AN$2:$AN$4,0)),""),IFERROR(INDEX(Lists!$U:$U,MATCH(TRIM($I303),Lists!$T:$T,0)),TRIM($I303))))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13</v>
      </c>
      <c r="AN303" s="949" t="str">
        <f>$AJ303&amp;"|"&amp;$AM303</f>
        <v>COE SA&amp;D|13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",$C303)),"Head of Technology",IF(ISNUMBER(SEARCH("TDD BP",$C303)),"Business Partner",IF(OR(ISNUMBER(SEARCH("domain architect",$C303)),ISNUMBER(SEARCH("enterprise architect",$C303))),"Domain Architect",IF(ISNUMBER(SEARCH("delivery man",$C303)),"Delivery Manager",IF(OR(ISNUMBER(SEARCH("technology manager",$C303)),ISNUMBER(SEARCH("technology manger",$C303)),ISNUMBER(SEARCH("tech manager",$C303))),"Technology Manager","Squad"))))))</f>
        <v>Domain Architect</v>
      </c>
      <c r="AS303" t="str">
        <f>IF(TRIM($B303)="","",IFERROR(INDEX(Lists!$AA:$AA,MATCH($AP303,Lists!$Z:$Z,0)),$AP303))</f>
        <v>Architecture</v>
      </c>
      <c r="AT303" t="str">
        <f>IF(TRIM($B303)="","",IF(IFERROR(INDEX(Lists!$AP$2:$AP$4,MATCH(ROW(),Lists!$AN$2:$AN$4,0)),"")&lt;&gt;"",IFERROR(INDEX(Lists!$AP$2:$AP$4,MATCH(ROW(),Lists!$AN$2:$AN$4,0)),""),IF(OR(LEFT($AJ303,3)="COE",$AJ303="EGI"),$AP303,IF($AR303&lt;&gt;"Squad",$AR303,$AP303))))</f>
        <v>Architecture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IF(TRIM($B304)="","",IF(N($AU304)&gt;0,$AU304,IF(N($S304)&gt;0,$S304*Lists!$AG$15*(1+N($Z304)),N($U304)*(1+N($V304)+N($W304)+N($X304)+N($Z304))+N($Y304))))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IF(TRIM($B304)="","",IF(IFERROR(INDEX(Lists!$AO$2:$AO$4,MATCH(ROW(),Lists!$AN$2:$AN$4,0)),"")&lt;&gt;"",IFERROR(INDEX(Lists!$AO$2:$AO$4,MATCH(ROW(),Lists!$AN$2:$AN$4,0)),""),IFERROR(INDEX(Lists!$U:$U,MATCH(TRIM($I304),Lists!$T:$T,0)),TRIM($I304))))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14</v>
      </c>
      <c r="AN304" s="949" t="str">
        <f>$AJ304&amp;"|"&amp;$AM304</f>
        <v>COE SA&amp;D|14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",$C304)),"Head of Technology",IF(ISNUMBER(SEARCH("TDD BP",$C304)),"Business Partner",IF(OR(ISNUMBER(SEARCH("domain architect",$C304)),ISNUMBER(SEARCH("enterprise architect",$C304))),"Domain Architect",IF(ISNUMBER(SEARCH("delivery man",$C304)),"Delivery Manager",IF(OR(ISNUMBER(SEARCH("technology manager",$C304)),ISNUMBER(SEARCH("technology manger",$C304)),ISNUMBER(SEARCH("tech manager",$C304))),"Technology Manager","Squad"))))))</f>
        <v>Domain Architect</v>
      </c>
      <c r="AS304" t="str">
        <f>IF(TRIM($B304)="","",IFERROR(INDEX(Lists!$AA:$AA,MATCH($AP304,Lists!$Z:$Z,0)),$AP304))</f>
        <v>Architecture</v>
      </c>
      <c r="AT304" t="str">
        <f>IF(TRIM($B304)="","",IF(IFERROR(INDEX(Lists!$AP$2:$AP$4,MATCH(ROW(),Lists!$AN$2:$AN$4,0)),"")&lt;&gt;"",IFERROR(INDEX(Lists!$AP$2:$AP$4,MATCH(ROW(),Lists!$AN$2:$AN$4,0)),""),IF(OR(LEFT($AJ304,3)="COE",$AJ304="EGI"),$AP304,IF($AR304&lt;&gt;"Squad",$AR304,$AP304))))</f>
        <v>Architecture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IF(TRIM($B305)="","",IF(N($AU305)&gt;0,$AU305,IF(N($S305)&gt;0,$S305*Lists!$AG$15*(1+N($Z305)),N($U305)*(1+N($V305)+N($W305)+N($X305)+N($Z305))+N($Y305))))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IF(TRIM($B305)="","",IF(IFERROR(INDEX(Lists!$AO$2:$AO$4,MATCH(ROW(),Lists!$AN$2:$AN$4,0)),"")&lt;&gt;"",IFERROR(INDEX(Lists!$AO$2:$AO$4,MATCH(ROW(),Lists!$AN$2:$AN$4,0)),""),IFERROR(INDEX(Lists!$U:$U,MATCH(TRIM($I305),Lists!$T:$T,0)),TRIM($I305))))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15</v>
      </c>
      <c r="AN305" s="949" t="str">
        <f>$AJ305&amp;"|"&amp;$AM305</f>
        <v>COE SA&amp;D|15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",$C305)),"Head of Technology",IF(ISNUMBER(SEARCH("TDD BP",$C305)),"Business Partner",IF(OR(ISNUMBER(SEARCH("domain architect",$C305)),ISNUMBER(SEARCH("enterprise architect",$C305))),"Domain Architect",IF(ISNUMBER(SEARCH("delivery man",$C305)),"Delivery Manager",IF(OR(ISNUMBER(SEARCH("technology manager",$C305)),ISNUMBER(SEARCH("technology manger",$C305)),ISNUMBER(SEARCH("tech manager",$C305))),"Technology Manager","Squad"))))))</f>
        <v>Domain Architect</v>
      </c>
      <c r="AS305" t="str">
        <f>IF(TRIM($B305)="","",IFERROR(INDEX(Lists!$AA:$AA,MATCH($AP305,Lists!$Z:$Z,0)),$AP305))</f>
        <v>Architecture</v>
      </c>
      <c r="AT305" t="str">
        <f>IF(TRIM($B305)="","",IF(IFERROR(INDEX(Lists!$AP$2:$AP$4,MATCH(ROW(),Lists!$AN$2:$AN$4,0)),"")&lt;&gt;"",IFERROR(INDEX(Lists!$AP$2:$AP$4,MATCH(ROW(),Lists!$AN$2:$AN$4,0)),""),IF(OR(LEFT($AJ305,3)="COE",$AJ305="EGI"),$AP305,IF($AR305&lt;&gt;"Squad",$AR305,$AP305))))</f>
        <v>Architecture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IF(TRIM($B306)="","",IF(N($AU306)&gt;0,$AU306,IF(N($S306)&gt;0,$S306*Lists!$AG$15*(1+N($Z306)),N($U306)*(1+N($V306)+N($W306)+N($X306)+N($Z306))+N($Y306))))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IF(TRIM($B306)="","",IF(IFERROR(INDEX(Lists!$AO$2:$AO$4,MATCH(ROW(),Lists!$AN$2:$AN$4,0)),"")&lt;&gt;"",IFERROR(INDEX(Lists!$AO$2:$AO$4,MATCH(ROW(),Lists!$AN$2:$AN$4,0)),""),IFERROR(INDEX(Lists!$U:$U,MATCH(TRIM($I306),Lists!$T:$T,0)),TRIM($I306))))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16</v>
      </c>
      <c r="AN306" s="949" t="str">
        <f>$AJ306&amp;"|"&amp;$AM306</f>
        <v>COE SA&amp;D|16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",$C306)),"Head of Technology",IF(ISNUMBER(SEARCH("TDD BP",$C306)),"Business Partner",IF(OR(ISNUMBER(SEARCH("domain architect",$C306)),ISNUMBER(SEARCH("enterprise architect",$C306))),"Domain Architect",IF(ISNUMBER(SEARCH("delivery man",$C306)),"Delivery Manager",IF(OR(ISNUMBER(SEARCH("technology manager",$C306)),ISNUMBER(SEARCH("technology manger",$C306)),ISNUMBER(SEARCH("tech manager",$C306))),"Technology Manager","Squad"))))))</f>
        <v>Squad</v>
      </c>
      <c r="AS306" t="str">
        <f>IF(TRIM($B306)="","",IFERROR(INDEX(Lists!$AA:$AA,MATCH($AP306,Lists!$Z:$Z,0)),$AP306))</f>
        <v>Technology Strategy &amp; AI Capability</v>
      </c>
      <c r="AT306" t="str">
        <f>IF(TRIM($B306)="","",IF(IFERROR(INDEX(Lists!$AP$2:$AP$4,MATCH(ROW(),Lists!$AN$2:$AN$4,0)),"")&lt;&gt;"",IFERROR(INDEX(Lists!$AP$2:$AP$4,MATCH(ROW(),Lists!$AN$2:$AN$4,0)),""),IF(OR(LEFT($AJ306,3)="COE",$AJ306="EGI"),$AP306,IF($AR306&lt;&gt;"Squad",$AR306,$AP306))))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IF(TRIM($B307)="","",IF(N($AU307)&gt;0,$AU307,IF(N($S307)&gt;0,$S307*Lists!$AG$15*(1+N($Z307)),N($U307)*(1+N($V307)+N($W307)+N($X307)+N($Z307))+N($Y307))))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IF(TRIM($B307)="","",IF(IFERROR(INDEX(Lists!$AO$2:$AO$4,MATCH(ROW(),Lists!$AN$2:$AN$4,0)),"")&lt;&gt;"",IFERROR(INDEX(Lists!$AO$2:$AO$4,MATCH(ROW(),Lists!$AN$2:$AN$4,0)),""),IFERROR(INDEX(Lists!$U:$U,MATCH(TRIM($I307),Lists!$T:$T,0)),TRIM($I307))))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13</v>
      </c>
      <c r="AN307" s="949" t="str">
        <f>$AJ307&amp;"|"&amp;$AM307</f>
        <v>Enterprise Data|13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",$C307)),"Head of Technology",IF(ISNUMBER(SEARCH("TDD BP",$C307)),"Business Partner",IF(OR(ISNUMBER(SEARCH("domain architect",$C307)),ISNUMBER(SEARCH("enterprise architect",$C307))),"Domain Architect",IF(ISNUMBER(SEARCH("delivery man",$C307)),"Delivery Manager",IF(OR(ISNUMBER(SEARCH("technology manager",$C307)),ISNUMBER(SEARCH("technology manger",$C307)),ISNUMBER(SEARCH("tech manager",$C307))),"Technology Manager","Squad"))))))</f>
        <v>Squad</v>
      </c>
      <c r="AS307" t="str">
        <f>IF(TRIM($B307)="","",IFERROR(INDEX(Lists!$AA:$AA,MATCH($AP307,Lists!$Z:$Z,0)),$AP307))</f>
        <v>Data Platforms</v>
      </c>
      <c r="AT307" t="str">
        <f>IF(TRIM($B307)="","",IF(IFERROR(INDEX(Lists!$AP$2:$AP$4,MATCH(ROW(),Lists!$AN$2:$AN$4,0)),"")&lt;&gt;"",IFERROR(INDEX(Lists!$AP$2:$AP$4,MATCH(ROW(),Lists!$AN$2:$AN$4,0)),""),IF(OR(LEFT($AJ307,3)="COE",$AJ307="EGI"),$AP307,IF($AR307&lt;&gt;"Squad",$AR307,$AP307))))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IF(TRIM($B308)="","",IF(N($AU308)&gt;0,$AU308,IF(N($S308)&gt;0,$S308*Lists!$AG$15*(1+N($Z308)),N($U308)*(1+N($V308)+N($W308)+N($X308)+N($Z308))+N($Y308))))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IF(TRIM($B308)="","",IF(IFERROR(INDEX(Lists!$AO$2:$AO$4,MATCH(ROW(),Lists!$AN$2:$AN$4,0)),"")&lt;&gt;"",IFERROR(INDEX(Lists!$AO$2:$AO$4,MATCH(ROW(),Lists!$AN$2:$AN$4,0)),""),IFERROR(INDEX(Lists!$U:$U,MATCH(TRIM($I308),Lists!$T:$T,0)),TRIM($I308))))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14</v>
      </c>
      <c r="AN308" s="949" t="str">
        <f>$AJ308&amp;"|"&amp;$AM308</f>
        <v>Enterprise Data|14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",$C308)),"Head of Technology",IF(ISNUMBER(SEARCH("TDD BP",$C308)),"Business Partner",IF(OR(ISNUMBER(SEARCH("domain architect",$C308)),ISNUMBER(SEARCH("enterprise architect",$C308))),"Domain Architect",IF(ISNUMBER(SEARCH("delivery man",$C308)),"Delivery Manager",IF(OR(ISNUMBER(SEARCH("technology manager",$C308)),ISNUMBER(SEARCH("technology manger",$C308)),ISNUMBER(SEARCH("tech manager",$C308))),"Technology Manager","Squad"))))))</f>
        <v>Squad</v>
      </c>
      <c r="AS308" t="str">
        <f>IF(TRIM($B308)="","",IFERROR(INDEX(Lists!$AA:$AA,MATCH($AP308,Lists!$Z:$Z,0)),$AP308))</f>
        <v>Reporting &amp; Analytics</v>
      </c>
      <c r="AT308" t="str">
        <f>IF(TRIM($B308)="","",IF(IFERROR(INDEX(Lists!$AP$2:$AP$4,MATCH(ROW(),Lists!$AN$2:$AN$4,0)),"")&lt;&gt;"",IFERROR(INDEX(Lists!$AP$2:$AP$4,MATCH(ROW(),Lists!$AN$2:$AN$4,0)),""),IF(OR(LEFT($AJ308,3)="COE",$AJ308="EGI"),$AP308,IF($AR308&lt;&gt;"Squad",$AR308,$AP308))))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IF(TRIM($B309)="","",IF(N($AU309)&gt;0,$AU309,IF(N($S309)&gt;0,$S309*Lists!$AG$15*(1+N($Z309)),N($U309)*(1+N($V309)+N($W309)+N($X309)+N($Z309))+N($Y309))))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IF(TRIM($B309)="","",IF(IFERROR(INDEX(Lists!$AO$2:$AO$4,MATCH(ROW(),Lists!$AN$2:$AN$4,0)),"")&lt;&gt;"",IFERROR(INDEX(Lists!$AO$2:$AO$4,MATCH(ROW(),Lists!$AN$2:$AN$4,0)),""),IFERROR(INDEX(Lists!$U:$U,MATCH(TRIM($I309),Lists!$T:$T,0)),TRIM($I309))))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17</v>
      </c>
      <c r="AN309" s="949" t="str">
        <f>$AJ309&amp;"|"&amp;$AM309</f>
        <v>COE SA&amp;D|17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",$C309)),"Head of Technology",IF(ISNUMBER(SEARCH("TDD BP",$C309)),"Business Partner",IF(OR(ISNUMBER(SEARCH("domain architect",$C309)),ISNUMBER(SEARCH("enterprise architect",$C309))),"Domain Architect",IF(ISNUMBER(SEARCH("delivery man",$C309)),"Delivery Manager",IF(OR(ISNUMBER(SEARCH("technology manager",$C309)),ISNUMBER(SEARCH("technology manger",$C309)),ISNUMBER(SEARCH("tech manager",$C309))),"Technology Manager","Squad"))))))</f>
        <v>Squad</v>
      </c>
      <c r="AS309" t="str">
        <f>IF(TRIM($B309)="","",IFERROR(INDEX(Lists!$AA:$AA,MATCH($AP309,Lists!$Z:$Z,0)),$AP309))</f>
        <v>Group Data</v>
      </c>
      <c r="AT309" t="str">
        <f>IF(TRIM($B309)="","",IF(IFERROR(INDEX(Lists!$AP$2:$AP$4,MATCH(ROW(),Lists!$AN$2:$AN$4,0)),"")&lt;&gt;"",IFERROR(INDEX(Lists!$AP$2:$AP$4,MATCH(ROW(),Lists!$AN$2:$AN$4,0)),""),IF(OR(LEFT($AJ309,3)="COE",$AJ309="EGI"),$AP309,IF($AR309&lt;&gt;"Squad",$AR309,$AP309))))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IF(TRIM($B310)="","",IF(N($AU310)&gt;0,$AU310,IF(N($S310)&gt;0,$S310*Lists!$AG$15*(1+N($Z310)),N($U310)*(1+N($V310)+N($W310)+N($X310)+N($Z310))+N($Y310))))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IF(TRIM($B310)="","",IF(IFERROR(INDEX(Lists!$AO$2:$AO$4,MATCH(ROW(),Lists!$AN$2:$AN$4,0)),"")&lt;&gt;"",IFERROR(INDEX(Lists!$AO$2:$AO$4,MATCH(ROW(),Lists!$AN$2:$AN$4,0)),""),IFERROR(INDEX(Lists!$U:$U,MATCH(TRIM($I310),Lists!$T:$T,0)),TRIM($I310))))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15</v>
      </c>
      <c r="AN310" s="949" t="str">
        <f>$AJ310&amp;"|"&amp;$AM310</f>
        <v>Enterprise Data|15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",$C310)),"Head of Technology",IF(ISNUMBER(SEARCH("TDD BP",$C310)),"Business Partner",IF(OR(ISNUMBER(SEARCH("domain architect",$C310)),ISNUMBER(SEARCH("enterprise architect",$C310))),"Domain Architect",IF(ISNUMBER(SEARCH("delivery man",$C310)),"Delivery Manager",IF(OR(ISNUMBER(SEARCH("technology manager",$C310)),ISNUMBER(SEARCH("technology manger",$C310)),ISNUMBER(SEARCH("tech manager",$C310))),"Technology Manager","Squad"))))))</f>
        <v>Squad</v>
      </c>
      <c r="AS310" t="str">
        <f>IF(TRIM($B310)="","",IFERROR(INDEX(Lists!$AA:$AA,MATCH($AP310,Lists!$Z:$Z,0)),$AP310))</f>
        <v>Reporting &amp; Analytics</v>
      </c>
      <c r="AT310" t="str">
        <f>IF(TRIM($B310)="","",IF(IFERROR(INDEX(Lists!$AP$2:$AP$4,MATCH(ROW(),Lists!$AN$2:$AN$4,0)),"")&lt;&gt;"",IFERROR(INDEX(Lists!$AP$2:$AP$4,MATCH(ROW(),Lists!$AN$2:$AN$4,0)),""),IF(OR(LEFT($AJ310,3)="COE",$AJ310="EGI"),$AP310,IF($AR310&lt;&gt;"Squad",$AR310,$AP310))))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IF(TRIM($B311)="","",IF(N($AU311)&gt;0,$AU311,IF(N($S311)&gt;0,$S311*Lists!$AG$15*(1+N($Z311)),N($U311)*(1+N($V311)+N($W311)+N($X311)+N($Z311))+N($Y311))))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IF(TRIM($B311)="","",IF(IFERROR(INDEX(Lists!$AO$2:$AO$4,MATCH(ROW(),Lists!$AN$2:$AN$4,0)),"")&lt;&gt;"",IFERROR(INDEX(Lists!$AO$2:$AO$4,MATCH(ROW(),Lists!$AN$2:$AN$4,0)),""),IFERROR(INDEX(Lists!$U:$U,MATCH(TRIM($I311),Lists!$T:$T,0)),TRIM($I311))))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16</v>
      </c>
      <c r="AN311" s="949" t="str">
        <f>$AJ311&amp;"|"&amp;$AM311</f>
        <v>Enterprise Data|16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",$C311)),"Head of Technology",IF(ISNUMBER(SEARCH("TDD BP",$C311)),"Business Partner",IF(OR(ISNUMBER(SEARCH("domain architect",$C311)),ISNUMBER(SEARCH("enterprise architect",$C311))),"Domain Architect",IF(ISNUMBER(SEARCH("delivery man",$C311)),"Delivery Manager",IF(OR(ISNUMBER(SEARCH("technology manager",$C311)),ISNUMBER(SEARCH("technology manger",$C311)),ISNUMBER(SEARCH("tech manager",$C311))),"Technology Manager","Squad"))))))</f>
        <v>Squad</v>
      </c>
      <c r="AS311" t="str">
        <f>IF(TRIM($B311)="","",IFERROR(INDEX(Lists!$AA:$AA,MATCH($AP311,Lists!$Z:$Z,0)),$AP311))</f>
        <v>Reporting &amp; Analytics</v>
      </c>
      <c r="AT311" t="str">
        <f>IF(TRIM($B311)="","",IF(IFERROR(INDEX(Lists!$AP$2:$AP$4,MATCH(ROW(),Lists!$AN$2:$AN$4,0)),"")&lt;&gt;"",IFERROR(INDEX(Lists!$AP$2:$AP$4,MATCH(ROW(),Lists!$AN$2:$AN$4,0)),""),IF(OR(LEFT($AJ311,3)="COE",$AJ311="EGI"),$AP311,IF($AR311&lt;&gt;"Squad",$AR311,$AP311))))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IF(TRIM($B312)="","",IF(N($AU312)&gt;0,$AU312,IF(N($S312)&gt;0,$S312*Lists!$AG$15*(1+N($Z312)),N($U312)*(1+N($V312)+N($W312)+N($X312)+N($Z312))+N($Y312))))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IF(TRIM($B312)="","",IF(IFERROR(INDEX(Lists!$AO$2:$AO$4,MATCH(ROW(),Lists!$AN$2:$AN$4,0)),"")&lt;&gt;"",IFERROR(INDEX(Lists!$AO$2:$AO$4,MATCH(ROW(),Lists!$AN$2:$AN$4,0)),""),IFERROR(INDEX(Lists!$U:$U,MATCH(TRIM($I312),Lists!$T:$T,0)),TRIM($I312))))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17</v>
      </c>
      <c r="AN312" s="949" t="str">
        <f>$AJ312&amp;"|"&amp;$AM312</f>
        <v>Enterprise Data|17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",$C312)),"Head of Technology",IF(ISNUMBER(SEARCH("TDD BP",$C312)),"Business Partner",IF(OR(ISNUMBER(SEARCH("domain architect",$C312)),ISNUMBER(SEARCH("enterprise architect",$C312))),"Domain Architect",IF(ISNUMBER(SEARCH("delivery man",$C312)),"Delivery Manager",IF(OR(ISNUMBER(SEARCH("technology manager",$C312)),ISNUMBER(SEARCH("technology manger",$C312)),ISNUMBER(SEARCH("tech manager",$C312))),"Technology Manager","Squad"))))))</f>
        <v>Squad</v>
      </c>
      <c r="AS312" t="str">
        <f>IF(TRIM($B312)="","",IFERROR(INDEX(Lists!$AA:$AA,MATCH($AP312,Lists!$Z:$Z,0)),$AP312))</f>
        <v>Data Platforms</v>
      </c>
      <c r="AT312" t="str">
        <f>IF(TRIM($B312)="","",IF(IFERROR(INDEX(Lists!$AP$2:$AP$4,MATCH(ROW(),Lists!$AN$2:$AN$4,0)),"")&lt;&gt;"",IFERROR(INDEX(Lists!$AP$2:$AP$4,MATCH(ROW(),Lists!$AN$2:$AN$4,0)),""),IF(OR(LEFT($AJ312,3)="COE",$AJ312="EGI"),$AP312,IF($AR312&lt;&gt;"Squad",$AR312,$AP312))))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IF(TRIM($B313)="","",IF(N($AU313)&gt;0,$AU313,IF(N($S313)&gt;0,$S313*Lists!$AG$15*(1+N($Z313)),N($U313)*(1+N($V313)+N($W313)+N($X313)+N($Z313))+N($Y313))))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IF(TRIM($B313)="","",IF(IFERROR(INDEX(Lists!$AO$2:$AO$4,MATCH(ROW(),Lists!$AN$2:$AN$4,0)),"")&lt;&gt;"",IFERROR(INDEX(Lists!$AO$2:$AO$4,MATCH(ROW(),Lists!$AN$2:$AN$4,0)),""),IFERROR(INDEX(Lists!$U:$U,MATCH(TRIM($I313),Lists!$T:$T,0)),TRIM($I313))))</f>
        <v>COE SA&amp;D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18</v>
      </c>
      <c r="AN313" s="949" t="str">
        <f>$AJ313&amp;"|"&amp;$AM313</f>
        <v>COE SA&amp;D|18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",$C313)),"Head of Technology",IF(ISNUMBER(SEARCH("TDD BP",$C313)),"Business Partner",IF(OR(ISNUMBER(SEARCH("domain architect",$C313)),ISNUMBER(SEARCH("enterprise architect",$C313))),"Domain Architect",IF(ISNUMBER(SEARCH("delivery man",$C313)),"Delivery Manager",IF(OR(ISNUMBER(SEARCH("technology manager",$C313)),ISNUMBER(SEARCH("technology manger",$C313)),ISNUMBER(SEARCH("tech manager",$C313))),"Technology Manager","Squad"))))))</f>
        <v>Squad</v>
      </c>
      <c r="AS313" t="str">
        <f>IF(TRIM($B313)="","",IFERROR(INDEX(Lists!$AA:$AA,MATCH($AP313,Lists!$Z:$Z,0)),$AP313))</f>
        <v>Leadership</v>
      </c>
      <c r="AT313" t="str">
        <f>IF(TRIM($B313)="","",IF(IFERROR(INDEX(Lists!$AP$2:$AP$4,MATCH(ROW(),Lists!$AN$2:$AN$4,0)),"")&lt;&gt;"",IFERROR(INDEX(Lists!$AP$2:$AP$4,MATCH(ROW(),Lists!$AN$2:$AN$4,0)),""),IF(OR(LEFT($AJ313,3)="COE",$AJ313="EGI"),$AP313,IF($AR313&lt;&gt;"Squad",$AR313,$AP313))))</f>
        <v>Group Data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IF(TRIM($B314)="","",IF(N($AU314)&gt;0,$AU314,IF(N($S314)&gt;0,$S314*Lists!$AG$15*(1+N($Z314)),N($U314)*(1+N($V314)+N($W314)+N($X314)+N($Z314))+N($Y314))))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IF(TRIM($B314)="","",IF(IFERROR(INDEX(Lists!$AO$2:$AO$4,MATCH(ROW(),Lists!$AN$2:$AN$4,0)),"")&lt;&gt;"",IFERROR(INDEX(Lists!$AO$2:$AO$4,MATCH(ROW(),Lists!$AN$2:$AN$4,0)),""),IFERROR(INDEX(Lists!$U:$U,MATCH(TRIM($I314),Lists!$T:$T,0)),TRIM($I314))))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18</v>
      </c>
      <c r="AN314" s="949" t="str">
        <f>$AJ314&amp;"|"&amp;$AM314</f>
        <v>Enterprise Data|18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",$C314)),"Head of Technology",IF(ISNUMBER(SEARCH("TDD BP",$C314)),"Business Partner",IF(OR(ISNUMBER(SEARCH("domain architect",$C314)),ISNUMBER(SEARCH("enterprise architect",$C314))),"Domain Architect",IF(ISNUMBER(SEARCH("delivery man",$C314)),"Delivery Manager",IF(OR(ISNUMBER(SEARCH("technology manager",$C314)),ISNUMBER(SEARCH("technology manger",$C314)),ISNUMBER(SEARCH("tech manager",$C314))),"Technology Manager","Squad"))))))</f>
        <v>Squad</v>
      </c>
      <c r="AS314" t="str">
        <f>IF(TRIM($B314)="","",IFERROR(INDEX(Lists!$AA:$AA,MATCH($AP314,Lists!$Z:$Z,0)),$AP314))</f>
        <v>Data Platforms</v>
      </c>
      <c r="AT314" t="str">
        <f>IF(TRIM($B314)="","",IF(IFERROR(INDEX(Lists!$AP$2:$AP$4,MATCH(ROW(),Lists!$AN$2:$AN$4,0)),"")&lt;&gt;"",IFERROR(INDEX(Lists!$AP$2:$AP$4,MATCH(ROW(),Lists!$AN$2:$AN$4,0)),""),IF(OR(LEFT($AJ314,3)="COE",$AJ314="EGI"),$AP314,IF($AR314&lt;&gt;"Squad",$AR314,$AP314))))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IF(TRIM($B315)="","",IF(N($AU315)&gt;0,$AU315,IF(N($S315)&gt;0,$S315*Lists!$AG$15*(1+N($Z315)),N($U315)*(1+N($V315)+N($W315)+N($X315)+N($Z315))+N($Y315))))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IF(TRIM($B315)="","",IF(IFERROR(INDEX(Lists!$AO$2:$AO$4,MATCH(ROW(),Lists!$AN$2:$AN$4,0)),"")&lt;&gt;"",IFERROR(INDEX(Lists!$AO$2:$AO$4,MATCH(ROW(),Lists!$AN$2:$AN$4,0)),""),IFERROR(INDEX(Lists!$U:$U,MATCH(TRIM($I315),Lists!$T:$T,0)),TRIM($I315))))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19</v>
      </c>
      <c r="AN315" s="949" t="str">
        <f>$AJ315&amp;"|"&amp;$AM315</f>
        <v>Enterprise Data|19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",$C315)),"Head of Technology",IF(ISNUMBER(SEARCH("TDD BP",$C315)),"Business Partner",IF(OR(ISNUMBER(SEARCH("domain architect",$C315)),ISNUMBER(SEARCH("enterprise architect",$C315))),"Domain Architect",IF(ISNUMBER(SEARCH("delivery man",$C315)),"Delivery Manager",IF(OR(ISNUMBER(SEARCH("technology manager",$C315)),ISNUMBER(SEARCH("technology manger",$C315)),ISNUMBER(SEARCH("tech manager",$C315))),"Technology Manager","Squad"))))))</f>
        <v>Squad</v>
      </c>
      <c r="AS315" t="str">
        <f>IF(TRIM($B315)="","",IFERROR(INDEX(Lists!$AA:$AA,MATCH($AP315,Lists!$Z:$Z,0)),$AP315))</f>
        <v>Data Platforms</v>
      </c>
      <c r="AT315" t="str">
        <f>IF(TRIM($B315)="","",IF(IFERROR(INDEX(Lists!$AP$2:$AP$4,MATCH(ROW(),Lists!$AN$2:$AN$4,0)),"")&lt;&gt;"",IFERROR(INDEX(Lists!$AP$2:$AP$4,MATCH(ROW(),Lists!$AN$2:$AN$4,0)),""),IF(OR(LEFT($AJ315,3)="COE",$AJ315="EGI"),$AP315,IF($AR315&lt;&gt;"Squad",$AR315,$AP315))))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IF(TRIM($B316)="","",IF(N($AU316)&gt;0,$AU316,IF(N($S316)&gt;0,$S316*Lists!$AG$15*(1+N($Z316)),N($U316)*(1+N($V316)+N($W316)+N($X316)+N($Z316))+N($Y316))))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IF(TRIM($B316)="","",IF(IFERROR(INDEX(Lists!$AO$2:$AO$4,MATCH(ROW(),Lists!$AN$2:$AN$4,0)),"")&lt;&gt;"",IFERROR(INDEX(Lists!$AO$2:$AO$4,MATCH(ROW(),Lists!$AN$2:$AN$4,0)),""),IFERROR(INDEX(Lists!$U:$U,MATCH(TRIM($I316),Lists!$T:$T,0)),TRIM($I316))))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20</v>
      </c>
      <c r="AN316" s="949" t="str">
        <f>$AJ316&amp;"|"&amp;$AM316</f>
        <v>Enterprise Data|20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",$C316)),"Head of Technology",IF(ISNUMBER(SEARCH("TDD BP",$C316)),"Business Partner",IF(OR(ISNUMBER(SEARCH("domain architect",$C316)),ISNUMBER(SEARCH("enterprise architect",$C316))),"Domain Architect",IF(ISNUMBER(SEARCH("delivery man",$C316)),"Delivery Manager",IF(OR(ISNUMBER(SEARCH("technology manager",$C316)),ISNUMBER(SEARCH("technology manger",$C316)),ISNUMBER(SEARCH("tech manager",$C316))),"Technology Manager","Squad"))))))</f>
        <v>Squad</v>
      </c>
      <c r="AS316" t="str">
        <f>IF(TRIM($B316)="","",IFERROR(INDEX(Lists!$AA:$AA,MATCH($AP316,Lists!$Z:$Z,0)),$AP316))</f>
        <v>Data Platforms</v>
      </c>
      <c r="AT316" t="str">
        <f>IF(TRIM($B316)="","",IF(IFERROR(INDEX(Lists!$AP$2:$AP$4,MATCH(ROW(),Lists!$AN$2:$AN$4,0)),"")&lt;&gt;"",IFERROR(INDEX(Lists!$AP$2:$AP$4,MATCH(ROW(),Lists!$AN$2:$AN$4,0)),""),IF(OR(LEFT($AJ316,3)="COE",$AJ316="EGI"),$AP316,IF($AR316&lt;&gt;"Squad",$AR316,$AP316))))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IF(TRIM($B317)="","",IF(N($AU317)&gt;0,$AU317,IF(N($S317)&gt;0,$S317*Lists!$AG$15*(1+N($Z317)),N($U317)*(1+N($V317)+N($W317)+N($X317)+N($Z317))+N($Y317))))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IF(TRIM($B317)="","",IF(IFERROR(INDEX(Lists!$AO$2:$AO$4,MATCH(ROW(),Lists!$AN$2:$AN$4,0)),"")&lt;&gt;"",IFERROR(INDEX(Lists!$AO$2:$AO$4,MATCH(ROW(),Lists!$AN$2:$AN$4,0)),""),IFERROR(INDEX(Lists!$U:$U,MATCH(TRIM($I317),Lists!$T:$T,0)),TRIM($I317))))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21</v>
      </c>
      <c r="AN317" s="949" t="str">
        <f>$AJ317&amp;"|"&amp;$AM317</f>
        <v>Enterprise Data|21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",$C317)),"Head of Technology",IF(ISNUMBER(SEARCH("TDD BP",$C317)),"Business Partner",IF(OR(ISNUMBER(SEARCH("domain architect",$C317)),ISNUMBER(SEARCH("enterprise architect",$C317))),"Domain Architect",IF(ISNUMBER(SEARCH("delivery man",$C317)),"Delivery Manager",IF(OR(ISNUMBER(SEARCH("technology manager",$C317)),ISNUMBER(SEARCH("technology manger",$C317)),ISNUMBER(SEARCH("tech manager",$C317))),"Technology Manager","Squad"))))))</f>
        <v>Squad</v>
      </c>
      <c r="AS317" t="str">
        <f>IF(TRIM($B317)="","",IFERROR(INDEX(Lists!$AA:$AA,MATCH($AP317,Lists!$Z:$Z,0)),$AP317))</f>
        <v>Data Platforms</v>
      </c>
      <c r="AT317" t="str">
        <f>IF(TRIM($B317)="","",IF(IFERROR(INDEX(Lists!$AP$2:$AP$4,MATCH(ROW(),Lists!$AN$2:$AN$4,0)),"")&lt;&gt;"",IFERROR(INDEX(Lists!$AP$2:$AP$4,MATCH(ROW(),Lists!$AN$2:$AN$4,0)),""),IF(OR(LEFT($AJ317,3)="COE",$AJ317="EGI"),$AP317,IF($AR317&lt;&gt;"Squad",$AR317,$AP317))))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IF(TRIM($B318)="","",IF(N($AU318)&gt;0,$AU318,IF(N($S318)&gt;0,$S318*Lists!$AG$15*(1+N($Z318)),N($U318)*(1+N($V318)+N($W318)+N($X318)+N($Z318))+N($Y318))))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IF(TRIM($B318)="","",IF(IFERROR(INDEX(Lists!$AO$2:$AO$4,MATCH(ROW(),Lists!$AN$2:$AN$4,0)),"")&lt;&gt;"",IFERROR(INDEX(Lists!$AO$2:$AO$4,MATCH(ROW(),Lists!$AN$2:$AN$4,0)),""),IFERROR(INDEX(Lists!$U:$U,MATCH(TRIM($I318),Lists!$T:$T,0)),TRIM($I318))))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22</v>
      </c>
      <c r="AN318" s="949" t="str">
        <f>$AJ318&amp;"|"&amp;$AM318</f>
        <v>Enterprise Data|22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",$C318)),"Head of Technology",IF(ISNUMBER(SEARCH("TDD BP",$C318)),"Business Partner",IF(OR(ISNUMBER(SEARCH("domain architect",$C318)),ISNUMBER(SEARCH("enterprise architect",$C318))),"Domain Architect",IF(ISNUMBER(SEARCH("delivery man",$C318)),"Delivery Manager",IF(OR(ISNUMBER(SEARCH("technology manager",$C318)),ISNUMBER(SEARCH("technology manger",$C318)),ISNUMBER(SEARCH("tech manager",$C318))),"Technology Manager","Squad"))))))</f>
        <v>Squad</v>
      </c>
      <c r="AS318" t="str">
        <f>IF(TRIM($B318)="","",IFERROR(INDEX(Lists!$AA:$AA,MATCH($AP318,Lists!$Z:$Z,0)),$AP318))</f>
        <v>Reporting &amp; Analytics</v>
      </c>
      <c r="AT318" t="str">
        <f>IF(TRIM($B318)="","",IF(IFERROR(INDEX(Lists!$AP$2:$AP$4,MATCH(ROW(),Lists!$AN$2:$AN$4,0)),"")&lt;&gt;"",IFERROR(INDEX(Lists!$AP$2:$AP$4,MATCH(ROW(),Lists!$AN$2:$AN$4,0)),""),IF(OR(LEFT($AJ318,3)="COE",$AJ318="EGI"),$AP318,IF($AR318&lt;&gt;"Squad",$AR318,$AP318))))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IF(TRIM($B319)="","",IF(N($AU319)&gt;0,$AU319,IF(N($S319)&gt;0,$S319*Lists!$AG$15*(1+N($Z319)),N($U319)*(1+N($V319)+N($W319)+N($X319)+N($Z319))+N($Y319))))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IF(TRIM($B319)="","",IF(IFERROR(INDEX(Lists!$AO$2:$AO$4,MATCH(ROW(),Lists!$AN$2:$AN$4,0)),"")&lt;&gt;"",IFERROR(INDEX(Lists!$AO$2:$AO$4,MATCH(ROW(),Lists!$AN$2:$AN$4,0)),""),IFERROR(INDEX(Lists!$U:$U,MATCH(TRIM($I319),Lists!$T:$T,0)),TRIM($I319))))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23</v>
      </c>
      <c r="AN319" s="949" t="str">
        <f>$AJ319&amp;"|"&amp;$AM319</f>
        <v>Enterprise Data|23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",$C319)),"Head of Technology",IF(ISNUMBER(SEARCH("TDD BP",$C319)),"Business Partner",IF(OR(ISNUMBER(SEARCH("domain architect",$C319)),ISNUMBER(SEARCH("enterprise architect",$C319))),"Domain Architect",IF(ISNUMBER(SEARCH("delivery man",$C319)),"Delivery Manager",IF(OR(ISNUMBER(SEARCH("technology manager",$C319)),ISNUMBER(SEARCH("technology manger",$C319)),ISNUMBER(SEARCH("tech manager",$C319))),"Technology Manager","Squad"))))))</f>
        <v>Squad</v>
      </c>
      <c r="AS319" t="str">
        <f>IF(TRIM($B319)="","",IFERROR(INDEX(Lists!$AA:$AA,MATCH($AP319,Lists!$Z:$Z,0)),$AP319))</f>
        <v>Data Platforms</v>
      </c>
      <c r="AT319" t="str">
        <f>IF(TRIM($B319)="","",IF(IFERROR(INDEX(Lists!$AP$2:$AP$4,MATCH(ROW(),Lists!$AN$2:$AN$4,0)),"")&lt;&gt;"",IFERROR(INDEX(Lists!$AP$2:$AP$4,MATCH(ROW(),Lists!$AN$2:$AN$4,0)),""),IF(OR(LEFT($AJ319,3)="COE",$AJ319="EGI"),$AP319,IF($AR319&lt;&gt;"Squad",$AR319,$AP319))))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IF(TRIM($B320)="","",IF(N($AU320)&gt;0,$AU320,IF(N($S320)&gt;0,$S320*Lists!$AG$15*(1+N($Z320)),N($U320)*(1+N($V320)+N($W320)+N($X320)+N($Z320))+N($Y320))))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IF(TRIM($B320)="","",IF(IFERROR(INDEX(Lists!$AO$2:$AO$4,MATCH(ROW(),Lists!$AN$2:$AN$4,0)),"")&lt;&gt;"",IFERROR(INDEX(Lists!$AO$2:$AO$4,MATCH(ROW(),Lists!$AN$2:$AN$4,0)),""),IFERROR(INDEX(Lists!$U:$U,MATCH(TRIM($I320),Lists!$T:$T,0)),TRIM($I320))))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24</v>
      </c>
      <c r="AN320" s="949" t="str">
        <f>$AJ320&amp;"|"&amp;$AM320</f>
        <v>Enterprise Data|24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",$C320)),"Head of Technology",IF(ISNUMBER(SEARCH("TDD BP",$C320)),"Business Partner",IF(OR(ISNUMBER(SEARCH("domain architect",$C320)),ISNUMBER(SEARCH("enterprise architect",$C320))),"Domain Architect",IF(ISNUMBER(SEARCH("delivery man",$C320)),"Delivery Manager",IF(OR(ISNUMBER(SEARCH("technology manager",$C320)),ISNUMBER(SEARCH("technology manger",$C320)),ISNUMBER(SEARCH("tech manager",$C320))),"Technology Manager","Squad"))))))</f>
        <v>Squad</v>
      </c>
      <c r="AS320" t="str">
        <f>IF(TRIM($B320)="","",IFERROR(INDEX(Lists!$AA:$AA,MATCH($AP320,Lists!$Z:$Z,0)),$AP320))</f>
        <v>Data Platforms</v>
      </c>
      <c r="AT320" t="str">
        <f>IF(TRIM($B320)="","",IF(IFERROR(INDEX(Lists!$AP$2:$AP$4,MATCH(ROW(),Lists!$AN$2:$AN$4,0)),"")&lt;&gt;"",IFERROR(INDEX(Lists!$AP$2:$AP$4,MATCH(ROW(),Lists!$AN$2:$AN$4,0)),""),IF(OR(LEFT($AJ320,3)="COE",$AJ320="EGI"),$AP320,IF($AR320&lt;&gt;"Squad",$AR320,$AP320))))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IF(TRIM($B321)="","",IF(N($AU321)&gt;0,$AU321,IF(N($S321)&gt;0,$S321*Lists!$AG$15*(1+N($Z321)),N($U321)*(1+N($V321)+N($W321)+N($X321)+N($Z321))+N($Y321))))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IF(TRIM($B321)="","",IF(IFERROR(INDEX(Lists!$AO$2:$AO$4,MATCH(ROW(),Lists!$AN$2:$AN$4,0)),"")&lt;&gt;"",IFERROR(INDEX(Lists!$AO$2:$AO$4,MATCH(ROW(),Lists!$AN$2:$AN$4,0)),""),IFERROR(INDEX(Lists!$U:$U,MATCH(TRIM($I321),Lists!$T:$T,0)),TRIM($I321))))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19</v>
      </c>
      <c r="AN321" s="949" t="str">
        <f>$AJ321&amp;"|"&amp;$AM321</f>
        <v>COE SA&amp;D|19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",$C321)),"Head of Technology",IF(ISNUMBER(SEARCH("TDD BP",$C321)),"Business Partner",IF(OR(ISNUMBER(SEARCH("domain architect",$C321)),ISNUMBER(SEARCH("enterprise architect",$C321))),"Domain Architect",IF(ISNUMBER(SEARCH("delivery man",$C321)),"Delivery Manager",IF(OR(ISNUMBER(SEARCH("technology manager",$C321)),ISNUMBER(SEARCH("technology manger",$C321)),ISNUMBER(SEARCH("tech manager",$C321))),"Technology Manager","Squad"))))))</f>
        <v>Squad</v>
      </c>
      <c r="AS321" t="str">
        <f>IF(TRIM($B321)="","",IFERROR(INDEX(Lists!$AA:$AA,MATCH($AP321,Lists!$Z:$Z,0)),$AP321))</f>
        <v>Group Data</v>
      </c>
      <c r="AT321" t="str">
        <f>IF(TRIM($B321)="","",IF(IFERROR(INDEX(Lists!$AP$2:$AP$4,MATCH(ROW(),Lists!$AN$2:$AN$4,0)),"")&lt;&gt;"",IFERROR(INDEX(Lists!$AP$2:$AP$4,MATCH(ROW(),Lists!$AN$2:$AN$4,0)),""),IF(OR(LEFT($AJ321,3)="COE",$AJ321="EGI"),$AP321,IF($AR321&lt;&gt;"Squad",$AR321,$AP321))))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IF(TRIM($B322)="","",IF(N($AU322)&gt;0,$AU322,IF(N($S322)&gt;0,$S322*Lists!$AG$15*(1+N($Z322)),N($U322)*(1+N($V322)+N($W322)+N($X322)+N($Z322))+N($Y322))))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IF(TRIM($B322)="","",IF(IFERROR(INDEX(Lists!$AO$2:$AO$4,MATCH(ROW(),Lists!$AN$2:$AN$4,0)),"")&lt;&gt;"",IFERROR(INDEX(Lists!$AO$2:$AO$4,MATCH(ROW(),Lists!$AN$2:$AN$4,0)),""),IFERROR(INDEX(Lists!$U:$U,MATCH(TRIM($I322),Lists!$T:$T,0)),TRIM($I322))))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20</v>
      </c>
      <c r="AN322" s="949" t="str">
        <f>$AJ322&amp;"|"&amp;$AM322</f>
        <v>COE SA&amp;D|20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",$C322)),"Head of Technology",IF(ISNUMBER(SEARCH("TDD BP",$C322)),"Business Partner",IF(OR(ISNUMBER(SEARCH("domain architect",$C322)),ISNUMBER(SEARCH("enterprise architect",$C322))),"Domain Architect",IF(ISNUMBER(SEARCH("delivery man",$C322)),"Delivery Manager",IF(OR(ISNUMBER(SEARCH("technology manager",$C322)),ISNUMBER(SEARCH("technology manger",$C322)),ISNUMBER(SEARCH("tech manager",$C322))),"Technology Manager","Squad"))))))</f>
        <v>Head of Technology</v>
      </c>
      <c r="AS322" t="str">
        <f>IF(TRIM($B322)="","",IFERROR(INDEX(Lists!$AA:$AA,MATCH($AP322,Lists!$Z:$Z,0)),$AP322))</f>
        <v>Leadership</v>
      </c>
      <c r="AT322" t="str">
        <f>IF(TRIM($B322)="","",IF(IFERROR(INDEX(Lists!$AP$2:$AP$4,MATCH(ROW(),Lists!$AN$2:$AN$4,0)),"")&lt;&gt;"",IFERROR(INDEX(Lists!$AP$2:$AP$4,MATCH(ROW(),Lists!$AN$2:$AN$4,0)),""),IF(OR(LEFT($AJ322,3)="COE",$AJ322="EGI"),$AP322,IF($AR322&lt;&gt;"Squad",$AR322,$AP322))))</f>
        <v>Leadership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IF(TRIM($B323)="","",IF(N($AU323)&gt;0,$AU323,IF(N($S323)&gt;0,$S323*Lists!$AG$15*(1+N($Z323)),N($U323)*(1+N($V323)+N($W323)+N($X323)+N($Z323))+N($Y323))))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IF(TRIM($B323)="","",IF(IFERROR(INDEX(Lists!$AO$2:$AO$4,MATCH(ROW(),Lists!$AN$2:$AN$4,0)),"")&lt;&gt;"",IFERROR(INDEX(Lists!$AO$2:$AO$4,MATCH(ROW(),Lists!$AN$2:$AN$4,0)),""),IFERROR(INDEX(Lists!$U:$U,MATCH(TRIM($I323),Lists!$T:$T,0)),TRIM($I323))))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21</v>
      </c>
      <c r="AN323" s="949" t="str">
        <f>$AJ323&amp;"|"&amp;$AM323</f>
        <v>COE SA&amp;D|21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",$C323)),"Head of Technology",IF(ISNUMBER(SEARCH("TDD BP",$C323)),"Business Partner",IF(OR(ISNUMBER(SEARCH("domain architect",$C323)),ISNUMBER(SEARCH("enterprise architect",$C323))),"Domain Architect",IF(ISNUMBER(SEARCH("delivery man",$C323)),"Delivery Manager",IF(OR(ISNUMBER(SEARCH("technology manager",$C323)),ISNUMBER(SEARCH("technology manger",$C323)),ISNUMBER(SEARCH("tech manager",$C323))),"Technology Manager","Squad"))))))</f>
        <v>Head of Technology</v>
      </c>
      <c r="AS323" t="str">
        <f>IF(TRIM($B323)="","",IFERROR(INDEX(Lists!$AA:$AA,MATCH($AP323,Lists!$Z:$Z,0)),$AP323))</f>
        <v>Leadership</v>
      </c>
      <c r="AT323" t="str">
        <f>IF(TRIM($B323)="","",IF(IFERROR(INDEX(Lists!$AP$2:$AP$4,MATCH(ROW(),Lists!$AN$2:$AN$4,0)),"")&lt;&gt;"",IFERROR(INDEX(Lists!$AP$2:$AP$4,MATCH(ROW(),Lists!$AN$2:$AN$4,0)),""),IF(OR(LEFT($AJ323,3)="COE",$AJ323="EGI"),$AP323,IF($AR323&lt;&gt;"Squad",$AR323,$AP323))))</f>
        <v>Leadership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IF(TRIM($B324)="","",IF(N($AU324)&gt;0,$AU324,IF(N($S324)&gt;0,$S324*Lists!$AG$15*(1+N($Z324)),N($U324)*(1+N($V324)+N($W324)+N($X324)+N($Z324))+N($Y324))))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IF(TRIM($B324)="","",IF(IFERROR(INDEX(Lists!$AO$2:$AO$4,MATCH(ROW(),Lists!$AN$2:$AN$4,0)),"")&lt;&gt;"",IFERROR(INDEX(Lists!$AO$2:$AO$4,MATCH(ROW(),Lists!$AN$2:$AN$4,0)),""),IFERROR(INDEX(Lists!$U:$U,MATCH(TRIM($I324),Lists!$T:$T,0)),TRIM($I324))))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22</v>
      </c>
      <c r="AN324" s="949" t="str">
        <f>$AJ324&amp;"|"&amp;$AM324</f>
        <v>COE SA&amp;D|22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",$C324)),"Head of Technology",IF(ISNUMBER(SEARCH("TDD BP",$C324)),"Business Partner",IF(OR(ISNUMBER(SEARCH("domain architect",$C324)),ISNUMBER(SEARCH("enterprise architect",$C324))),"Domain Architect",IF(ISNUMBER(SEARCH("delivery man",$C324)),"Delivery Manager",IF(OR(ISNUMBER(SEARCH("technology manager",$C324)),ISNUMBER(SEARCH("technology manger",$C324)),ISNUMBER(SEARCH("tech manager",$C324))),"Technology Manager","Squad"))))))</f>
        <v>Squad</v>
      </c>
      <c r="AS324" t="str">
        <f>IF(TRIM($B324)="","",IFERROR(INDEX(Lists!$AA:$AA,MATCH($AP324,Lists!$Z:$Z,0)),$AP324))</f>
        <v>Leadership</v>
      </c>
      <c r="AT324" t="str">
        <f>IF(TRIM($B324)="","",IF(IFERROR(INDEX(Lists!$AP$2:$AP$4,MATCH(ROW(),Lists!$AN$2:$AN$4,0)),"")&lt;&gt;"",IFERROR(INDEX(Lists!$AP$2:$AP$4,MATCH(ROW(),Lists!$AN$2:$AN$4,0)),""),IF(OR(LEFT($AJ324,3)="COE",$AJ324="EGI"),$AP324,IF($AR324&lt;&gt;"Squad",$AR324,$AP324))))</f>
        <v>Leadership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IF(TRIM($B325)="","",IF(N($AU325)&gt;0,$AU325,IF(N($S325)&gt;0,$S325*Lists!$AG$15*(1+N($Z325)),N($U325)*(1+N($V325)+N($W325)+N($X325)+N($Z325))+N($Y325))))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IF(TRIM($B325)="","",IF(IFERROR(INDEX(Lists!$AO$2:$AO$4,MATCH(ROW(),Lists!$AN$2:$AN$4,0)),"")&lt;&gt;"",IFERROR(INDEX(Lists!$AO$2:$AO$4,MATCH(ROW(),Lists!$AN$2:$AN$4,0)),""),IFERROR(INDEX(Lists!$U:$U,MATCH(TRIM($I325),Lists!$T:$T,0)),TRIM($I325))))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23</v>
      </c>
      <c r="AN325" s="949" t="str">
        <f>$AJ325&amp;"|"&amp;$AM325</f>
        <v>COE SA&amp;D|23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",$C325)),"Head of Technology",IF(ISNUMBER(SEARCH("TDD BP",$C325)),"Business Partner",IF(OR(ISNUMBER(SEARCH("domain architect",$C325)),ISNUMBER(SEARCH("enterprise architect",$C325))),"Domain Architect",IF(ISNUMBER(SEARCH("delivery man",$C325)),"Delivery Manager",IF(OR(ISNUMBER(SEARCH("technology manager",$C325)),ISNUMBER(SEARCH("technology manger",$C325)),ISNUMBER(SEARCH("tech manager",$C325))),"Technology Manager","Squad"))))))</f>
        <v>Squad</v>
      </c>
      <c r="AS325" t="str">
        <f>IF(TRIM($B325)="","",IFERROR(INDEX(Lists!$AA:$AA,MATCH($AP325,Lists!$Z:$Z,0)),$AP325))</f>
        <v>Technology Strategy &amp; AI Capability</v>
      </c>
      <c r="AT325" t="str">
        <f>IF(TRIM($B325)="","",IF(IFERROR(INDEX(Lists!$AP$2:$AP$4,MATCH(ROW(),Lists!$AN$2:$AN$4,0)),"")&lt;&gt;"",IFERROR(INDEX(Lists!$AP$2:$AP$4,MATCH(ROW(),Lists!$AN$2:$AN$4,0)),""),IF(OR(LEFT($AJ325,3)="COE",$AJ325="EGI"),$AP325,IF($AR325&lt;&gt;"Squad",$AR325,$AP325))))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IF(TRIM($B326)="","",IF(N($AU326)&gt;0,$AU326,IF(N($S326)&gt;0,$S326*Lists!$AG$15*(1+N($Z326)),N($U326)*(1+N($V326)+N($W326)+N($X326)+N($Z326))+N($Y326))))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IF(TRIM($B326)="","",IF(IFERROR(INDEX(Lists!$AO$2:$AO$4,MATCH(ROW(),Lists!$AN$2:$AN$4,0)),"")&lt;&gt;"",IFERROR(INDEX(Lists!$AO$2:$AO$4,MATCH(ROW(),Lists!$AN$2:$AN$4,0)),""),IFERROR(INDEX(Lists!$U:$U,MATCH(TRIM($I326),Lists!$T:$T,0)),TRIM($I326))))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24</v>
      </c>
      <c r="AN326" s="949" t="str">
        <f>$AJ326&amp;"|"&amp;$AM326</f>
        <v>COE SA&amp;D|24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",$C326)),"Head of Technology",IF(ISNUMBER(SEARCH("TDD BP",$C326)),"Business Partner",IF(OR(ISNUMBER(SEARCH("domain architect",$C326)),ISNUMBER(SEARCH("enterprise architect",$C326))),"Domain Architect",IF(ISNUMBER(SEARCH("delivery man",$C326)),"Delivery Manager",IF(OR(ISNUMBER(SEARCH("technology manager",$C326)),ISNUMBER(SEARCH("technology manger",$C326)),ISNUMBER(SEARCH("tech manager",$C326))),"Technology Manager","Squad"))))))</f>
        <v>Squad</v>
      </c>
      <c r="AS326" t="str">
        <f>IF(TRIM($B326)="","",IFERROR(INDEX(Lists!$AA:$AA,MATCH($AP326,Lists!$Z:$Z,0)),$AP326))</f>
        <v>Technology Strategy &amp; AI Capability</v>
      </c>
      <c r="AT326" t="str">
        <f>IF(TRIM($B326)="","",IF(IFERROR(INDEX(Lists!$AP$2:$AP$4,MATCH(ROW(),Lists!$AN$2:$AN$4,0)),"")&lt;&gt;"",IFERROR(INDEX(Lists!$AP$2:$AP$4,MATCH(ROW(),Lists!$AN$2:$AN$4,0)),""),IF(OR(LEFT($AJ326,3)="COE",$AJ326="EGI"),$AP326,IF($AR326&lt;&gt;"Squad",$AR326,$AP326))))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IF(TRIM($B327)="","",IF(N($AU327)&gt;0,$AU327,IF(N($S327)&gt;0,$S327*Lists!$AG$15*(1+N($Z327)),N($U327)*(1+N($V327)+N($W327)+N($X327)+N($Z327))+N($Y327))))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IF(TRIM($B327)="","",IF(IFERROR(INDEX(Lists!$AO$2:$AO$4,MATCH(ROW(),Lists!$AN$2:$AN$4,0)),"")&lt;&gt;"",IFERROR(INDEX(Lists!$AO$2:$AO$4,MATCH(ROW(),Lists!$AN$2:$AN$4,0)),""),IFERROR(INDEX(Lists!$U:$U,MATCH(TRIM($I327),Lists!$T:$T,0)),TRIM($I327))))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25</v>
      </c>
      <c r="AN327" s="949" t="str">
        <f>$AJ327&amp;"|"&amp;$AM327</f>
        <v>COE SA&amp;D|25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",$C327)),"Head of Technology",IF(ISNUMBER(SEARCH("TDD BP",$C327)),"Business Partner",IF(OR(ISNUMBER(SEARCH("domain architect",$C327)),ISNUMBER(SEARCH("enterprise architect",$C327))),"Domain Architect",IF(ISNUMBER(SEARCH("delivery man",$C327)),"Delivery Manager",IF(OR(ISNUMBER(SEARCH("technology manager",$C327)),ISNUMBER(SEARCH("technology manger",$C327)),ISNUMBER(SEARCH("tech manager",$C327))),"Technology Manager","Squad"))))))</f>
        <v>Squad</v>
      </c>
      <c r="AS327" t="str">
        <f>IF(TRIM($B327)="","",IFERROR(INDEX(Lists!$AA:$AA,MATCH($AP327,Lists!$Z:$Z,0)),$AP327))</f>
        <v>Technology Strategy &amp; AI Capability</v>
      </c>
      <c r="AT327" t="str">
        <f>IF(TRIM($B327)="","",IF(IFERROR(INDEX(Lists!$AP$2:$AP$4,MATCH(ROW(),Lists!$AN$2:$AN$4,0)),"")&lt;&gt;"",IFERROR(INDEX(Lists!$AP$2:$AP$4,MATCH(ROW(),Lists!$AN$2:$AN$4,0)),""),IF(OR(LEFT($AJ327,3)="COE",$AJ327="EGI"),$AP327,IF($AR327&lt;&gt;"Squad",$AR327,$AP327))))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IF(TRIM($B328)="","",IF(N($AU328)&gt;0,$AU328,IF(N($S328)&gt;0,$S328*Lists!$AG$15*(1+N($Z328)),N($U328)*(1+N($V328)+N($W328)+N($X328)+N($Z328))+N($Y328))))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IF(TRIM($B328)="","",IF(IFERROR(INDEX(Lists!$AO$2:$AO$4,MATCH(ROW(),Lists!$AN$2:$AN$4,0)),"")&lt;&gt;"",IFERROR(INDEX(Lists!$AO$2:$AO$4,MATCH(ROW(),Lists!$AN$2:$AN$4,0)),""),IFERROR(INDEX(Lists!$U:$U,MATCH(TRIM($I328),Lists!$T:$T,0)),TRIM($I328))))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26</v>
      </c>
      <c r="AN328" s="949" t="str">
        <f>$AJ328&amp;"|"&amp;$AM328</f>
        <v>COE SA&amp;D|26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",$C328)),"Head of Technology",IF(ISNUMBER(SEARCH("TDD BP",$C328)),"Business Partner",IF(OR(ISNUMBER(SEARCH("domain architect",$C328)),ISNUMBER(SEARCH("enterprise architect",$C328))),"Domain Architect",IF(ISNUMBER(SEARCH("delivery man",$C328)),"Delivery Manager",IF(OR(ISNUMBER(SEARCH("technology manager",$C328)),ISNUMBER(SEARCH("technology manger",$C328)),ISNUMBER(SEARCH("tech manager",$C328))),"Technology Manager","Squad"))))))</f>
        <v>Squad</v>
      </c>
      <c r="AS328" t="str">
        <f>IF(TRIM($B328)="","",IFERROR(INDEX(Lists!$AA:$AA,MATCH($AP328,Lists!$Z:$Z,0)),$AP328))</f>
        <v>Technology Strategy &amp; AI Capability</v>
      </c>
      <c r="AT328" t="str">
        <f>IF(TRIM($B328)="","",IF(IFERROR(INDEX(Lists!$AP$2:$AP$4,MATCH(ROW(),Lists!$AN$2:$AN$4,0)),"")&lt;&gt;"",IFERROR(INDEX(Lists!$AP$2:$AP$4,MATCH(ROW(),Lists!$AN$2:$AN$4,0)),""),IF(OR(LEFT($AJ328,3)="COE",$AJ328="EGI"),$AP328,IF($AR328&lt;&gt;"Squad",$AR328,$AP328))))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IF(TRIM($B329)="","",IF(N($AU329)&gt;0,$AU329,IF(N($S329)&gt;0,$S329*Lists!$AG$15*(1+N($Z329)),N($U329)*(1+N($V329)+N($W329)+N($X329)+N($Z329))+N($Y329))))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IF(TRIM($B329)="","",IF(IFERROR(INDEX(Lists!$AO$2:$AO$4,MATCH(ROW(),Lists!$AN$2:$AN$4,0)),"")&lt;&gt;"",IFERROR(INDEX(Lists!$AO$2:$AO$4,MATCH(ROW(),Lists!$AN$2:$AN$4,0)),""),IFERROR(INDEX(Lists!$U:$U,MATCH(TRIM($I329),Lists!$T:$T,0)),TRIM($I329))))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25</v>
      </c>
      <c r="AN329" s="949" t="str">
        <f>$AJ329&amp;"|"&amp;$AM329</f>
        <v>Enterprise Data|25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",$C329)),"Head of Technology",IF(ISNUMBER(SEARCH("TDD BP",$C329)),"Business Partner",IF(OR(ISNUMBER(SEARCH("domain architect",$C329)),ISNUMBER(SEARCH("enterprise architect",$C329))),"Domain Architect",IF(ISNUMBER(SEARCH("delivery man",$C329)),"Delivery Manager",IF(OR(ISNUMBER(SEARCH("technology manager",$C329)),ISNUMBER(SEARCH("technology manger",$C329)),ISNUMBER(SEARCH("tech manager",$C329))),"Technology Manager","Squad"))))))</f>
        <v>Squad</v>
      </c>
      <c r="AS329" t="str">
        <f>IF(TRIM($B329)="","",IFERROR(INDEX(Lists!$AA:$AA,MATCH($AP329,Lists!$Z:$Z,0)),$AP329))</f>
        <v>Reporting &amp; Analytics</v>
      </c>
      <c r="AT329" t="str">
        <f>IF(TRIM($B329)="","",IF(IFERROR(INDEX(Lists!$AP$2:$AP$4,MATCH(ROW(),Lists!$AN$2:$AN$4,0)),"")&lt;&gt;"",IFERROR(INDEX(Lists!$AP$2:$AP$4,MATCH(ROW(),Lists!$AN$2:$AN$4,0)),""),IF(OR(LEFT($AJ329,3)="COE",$AJ329="EGI"),$AP329,IF($AR329&lt;&gt;"Squad",$AR329,$AP329))))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IF(TRIM($B330)="","",IF(N($AU330)&gt;0,$AU330,IF(N($S330)&gt;0,$S330*Lists!$AG$15*(1+N($Z330)),N($U330)*(1+N($V330)+N($W330)+N($X330)+N($Z330))+N($Y330))))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IF(TRIM($B330)="","",IF(IFERROR(INDEX(Lists!$AO$2:$AO$4,MATCH(ROW(),Lists!$AN$2:$AN$4,0)),"")&lt;&gt;"",IFERROR(INDEX(Lists!$AO$2:$AO$4,MATCH(ROW(),Lists!$AN$2:$AN$4,0)),""),IFERROR(INDEX(Lists!$U:$U,MATCH(TRIM($I330),Lists!$T:$T,0)),TRIM($I330))))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26</v>
      </c>
      <c r="AN330" s="949" t="str">
        <f>$AJ330&amp;"|"&amp;$AM330</f>
        <v>Enterprise Data|26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",$C330)),"Head of Technology",IF(ISNUMBER(SEARCH("TDD BP",$C330)),"Business Partner",IF(OR(ISNUMBER(SEARCH("domain architect",$C330)),ISNUMBER(SEARCH("enterprise architect",$C330))),"Domain Architect",IF(ISNUMBER(SEARCH("delivery man",$C330)),"Delivery Manager",IF(OR(ISNUMBER(SEARCH("technology manager",$C330)),ISNUMBER(SEARCH("technology manger",$C330)),ISNUMBER(SEARCH("tech manager",$C330))),"Technology Manager","Squad"))))))</f>
        <v>Squad</v>
      </c>
      <c r="AS330" t="str">
        <f>IF(TRIM($B330)="","",IFERROR(INDEX(Lists!$AA:$AA,MATCH($AP330,Lists!$Z:$Z,0)),$AP330))</f>
        <v>Reporting &amp; Analytics</v>
      </c>
      <c r="AT330" t="str">
        <f>IF(TRIM($B330)="","",IF(IFERROR(INDEX(Lists!$AP$2:$AP$4,MATCH(ROW(),Lists!$AN$2:$AN$4,0)),"")&lt;&gt;"",IFERROR(INDEX(Lists!$AP$2:$AP$4,MATCH(ROW(),Lists!$AN$2:$AN$4,0)),""),IF(OR(LEFT($AJ330,3)="COE",$AJ330="EGI"),$AP330,IF($AR330&lt;&gt;"Squad",$AR330,$AP330))))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IF(TRIM($B331)="","",IF(N($AU331)&gt;0,$AU331,IF(N($S331)&gt;0,$S331*Lists!$AG$15*(1+N($Z331)),N($U331)*(1+N($V331)+N($W331)+N($X331)+N($Z331))+N($Y331))))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IF(TRIM($B331)="","",IF(IFERROR(INDEX(Lists!$AO$2:$AO$4,MATCH(ROW(),Lists!$AN$2:$AN$4,0)),"")&lt;&gt;"",IFERROR(INDEX(Lists!$AO$2:$AO$4,MATCH(ROW(),Lists!$AN$2:$AN$4,0)),""),IFERROR(INDEX(Lists!$U:$U,MATCH(TRIM($I331),Lists!$T:$T,0)),TRIM($I331))))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27</v>
      </c>
      <c r="AN331" s="949" t="str">
        <f>$AJ331&amp;"|"&amp;$AM331</f>
        <v>Enterprise Data|27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",$C331)),"Head of Technology",IF(ISNUMBER(SEARCH("TDD BP",$C331)),"Business Partner",IF(OR(ISNUMBER(SEARCH("domain architect",$C331)),ISNUMBER(SEARCH("enterprise architect",$C331))),"Domain Architect",IF(ISNUMBER(SEARCH("delivery man",$C331)),"Delivery Manager",IF(OR(ISNUMBER(SEARCH("technology manager",$C331)),ISNUMBER(SEARCH("technology manger",$C331)),ISNUMBER(SEARCH("tech manager",$C331))),"Technology Manager","Squad"))))))</f>
        <v>Squad</v>
      </c>
      <c r="AS331" t="str">
        <f>IF(TRIM($B331)="","",IFERROR(INDEX(Lists!$AA:$AA,MATCH($AP331,Lists!$Z:$Z,0)),$AP331))</f>
        <v>Reporting &amp; Analytics</v>
      </c>
      <c r="AT331" t="str">
        <f>IF(TRIM($B331)="","",IF(IFERROR(INDEX(Lists!$AP$2:$AP$4,MATCH(ROW(),Lists!$AN$2:$AN$4,0)),"")&lt;&gt;"",IFERROR(INDEX(Lists!$AP$2:$AP$4,MATCH(ROW(),Lists!$AN$2:$AN$4,0)),""),IF(OR(LEFT($AJ331,3)="COE",$AJ331="EGI"),$AP331,IF($AR331&lt;&gt;"Squad",$AR331,$AP331))))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IF(TRIM($B332)="","",IF(N($AU332)&gt;0,$AU332,IF(N($S332)&gt;0,$S332*Lists!$AG$15*(1+N($Z332)),N($U332)*(1+N($V332)+N($W332)+N($X332)+N($Z332))+N($Y332))))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IF(TRIM($B332)="","",IF(IFERROR(INDEX(Lists!$AO$2:$AO$4,MATCH(ROW(),Lists!$AN$2:$AN$4,0)),"")&lt;&gt;"",IFERROR(INDEX(Lists!$AO$2:$AO$4,MATCH(ROW(),Lists!$AN$2:$AN$4,0)),""),IFERROR(INDEX(Lists!$U:$U,MATCH(TRIM($I332),Lists!$T:$T,0)),TRIM($I332))))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28</v>
      </c>
      <c r="AN332" s="949" t="str">
        <f>$AJ332&amp;"|"&amp;$AM332</f>
        <v>Enterprise Data|28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",$C332)),"Head of Technology",IF(ISNUMBER(SEARCH("TDD BP",$C332)),"Business Partner",IF(OR(ISNUMBER(SEARCH("domain architect",$C332)),ISNUMBER(SEARCH("enterprise architect",$C332))),"Domain Architect",IF(ISNUMBER(SEARCH("delivery man",$C332)),"Delivery Manager",IF(OR(ISNUMBER(SEARCH("technology manager",$C332)),ISNUMBER(SEARCH("technology manger",$C332)),ISNUMBER(SEARCH("tech manager",$C332))),"Technology Manager","Squad"))))))</f>
        <v>Squad</v>
      </c>
      <c r="AS332" t="str">
        <f>IF(TRIM($B332)="","",IFERROR(INDEX(Lists!$AA:$AA,MATCH($AP332,Lists!$Z:$Z,0)),$AP332))</f>
        <v>Data Science</v>
      </c>
      <c r="AT332" t="str">
        <f>IF(TRIM($B332)="","",IF(IFERROR(INDEX(Lists!$AP$2:$AP$4,MATCH(ROW(),Lists!$AN$2:$AN$4,0)),"")&lt;&gt;"",IFERROR(INDEX(Lists!$AP$2:$AP$4,MATCH(ROW(),Lists!$AN$2:$AN$4,0)),""),IF(OR(LEFT($AJ332,3)="COE",$AJ332="EGI"),$AP332,IF($AR332&lt;&gt;"Squad",$AR332,$AP332))))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>
        <f>IF(TRIM($B333)="","",IF(N($AU333)&gt;0,$AU333,IF(N($S333)&gt;0,$S333*Lists!$AG$15*(1+N($Z333)),N($U333)*(1+N($V333)+N($W333)+N($X333)+N($Z333))+N($Y333))))</f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IF(TRIM($B333)="","",IF(IFERROR(INDEX(Lists!$AO$2:$AO$4,MATCH(ROW(),Lists!$AN$2:$AN$4,0)),"")&lt;&gt;"",IFERROR(INDEX(Lists!$AO$2:$AO$4,MATCH(ROW(),Lists!$AN$2:$AN$4,0)),""),IFERROR(INDEX(Lists!$U:$U,MATCH(TRIM($I333),Lists!$T:$T,0)),TRIM($I333))))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",$C333)),"Head of Technology",IF(ISNUMBER(SEARCH("TDD BP",$C333)),"Business Partner",IF(OR(ISNUMBER(SEARCH("domain architect",$C333)),ISNUMBER(SEARCH("enterprise architect",$C333))),"Domain Architect",IF(ISNUMBER(SEARCH("delivery man",$C333)),"Delivery Manager",IF(OR(ISNUMBER(SEARCH("technology manager",$C333)),ISNUMBER(SEARCH("technology manger",$C333)),ISNUMBER(SEARCH("tech manager",$C333))),"Technology Manager","Squad"))))))</f>
        <v>Squad</v>
      </c>
      <c r="AS333" t="str">
        <f>IF(TRIM($B333)="","",IFERROR(INDEX(Lists!$AA:$AA,MATCH($AP333,Lists!$Z:$Z,0)),$AP333))</f>
        <v>Manufacturing Group Projects</v>
      </c>
      <c r="AT333" t="str">
        <f>IF(TRIM($B333)="","",IF(IFERROR(INDEX(Lists!$AP$2:$AP$4,MATCH(ROW(),Lists!$AN$2:$AN$4,0)),"")&lt;&gt;"",IFERROR(INDEX(Lists!$AP$2:$AP$4,MATCH(ROW(),Lists!$AN$2:$AN$4,0)),""),IF(OR(LEFT($AJ333,3)="COE",$AJ333="EGI"),$AP333,IF($AR333&lt;&gt;"Squad",$AR333,$AP333))))</f>
        <v>Manufacturing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>
        <f>IF(TRIM($B334)="","",IF(N($AU334)&gt;0,$AU334,IF(N($S334)&gt;0,$S334*Lists!$AG$15*(1+N($Z334)),N($U334)*(1+N($V334)+N($W334)+N($X334)+N($Z334))+N($Y334))))</f>
        <v>87044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IF(TRIM($B334)="","",IF(IFERROR(INDEX(Lists!$AO$2:$AO$4,MATCH(ROW(),Lists!$AN$2:$AN$4,0)),"")&lt;&gt;"",IFERROR(INDEX(Lists!$AO$2:$AO$4,MATCH(ROW(),Lists!$AN$2:$AN$4,0)),""),IFERROR(INDEX(Lists!$U:$U,MATCH(TRIM($I334),Lists!$T:$T,0)),TRIM($I334))))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",$C334)),"Head of Technology",IF(ISNUMBER(SEARCH("TDD BP",$C334)),"Business Partner",IF(OR(ISNUMBER(SEARCH("domain architect",$C334)),ISNUMBER(SEARCH("enterprise architect",$C334))),"Domain Architect",IF(ISNUMBER(SEARCH("delivery man",$C334)),"Delivery Manager",IF(OR(ISNUMBER(SEARCH("technology manager",$C334)),ISNUMBER(SEARCH("technology manger",$C334)),ISNUMBER(SEARCH("tech manager",$C334))),"Technology Manager","Squad"))))))</f>
        <v>Squad</v>
      </c>
      <c r="AS334" t="str">
        <f>IF(TRIM($B334)="","",IFERROR(INDEX(Lists!$AA:$AA,MATCH($AP334,Lists!$Z:$Z,0)),$AP334))</f>
        <v>B2B</v>
      </c>
      <c r="AT334" t="str">
        <f>IF(TRIM($B334)="","",IF(IFERROR(INDEX(Lists!$AP$2:$AP$4,MATCH(ROW(),Lists!$AN$2:$AN$4,0)),"")&lt;&gt;"",IFERROR(INDEX(Lists!$AP$2:$AP$4,MATCH(ROW(),Lists!$AN$2:$AN$4,0)),""),IF(OR(LEFT($AJ334,3)="COE",$AJ334="EGI"),$AP334,IF($AR334&lt;&gt;"Squad",$AR334,$AP334))))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>
        <f>IF(TRIM($B335)="","",IF(N($AU335)&gt;0,$AU335,IF(N($S335)&gt;0,$S335*Lists!$AG$15*(1+N($Z335)),N($U335)*(1+N($V335)+N($W335)+N($X335)+N($Z335))+N($Y335))))</f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IF(TRIM($B335)="","",IF(IFERROR(INDEX(Lists!$AO$2:$AO$4,MATCH(ROW(),Lists!$AN$2:$AN$4,0)),"")&lt;&gt;"",IFERROR(INDEX(Lists!$AO$2:$AO$4,MATCH(ROW(),Lists!$AN$2:$AN$4,0)),""),IFERROR(INDEX(Lists!$U:$U,MATCH(TRIM($I335),Lists!$T:$T,0)),TRIM($I335))))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",$C335)),"Head of Technology",IF(ISNUMBER(SEARCH("TDD BP",$C335)),"Business Partner",IF(OR(ISNUMBER(SEARCH("domain architect",$C335)),ISNUMBER(SEARCH("enterprise architect",$C335))),"Domain Architect",IF(ISNUMBER(SEARCH("delivery man",$C335)),"Delivery Manager",IF(OR(ISNUMBER(SEARCH("technology manager",$C335)),ISNUMBER(SEARCH("technology manger",$C335)),ISNUMBER(SEARCH("tech manager",$C335))),"Technology Manager","Squad"))))))</f>
        <v>Squad</v>
      </c>
      <c r="AS335" t="str">
        <f>IF(TRIM($B335)="","",IFERROR(INDEX(Lists!$AA:$AA,MATCH($AP335,Lists!$Z:$Z,0)),$AP335))</f>
        <v>Technology Support</v>
      </c>
      <c r="AT335" t="str">
        <f>IF(TRIM($B335)="","",IF(IFERROR(INDEX(Lists!$AP$2:$AP$4,MATCH(ROW(),Lists!$AN$2:$AN$4,0)),"")&lt;&gt;"",IFERROR(INDEX(Lists!$AP$2:$AP$4,MATCH(ROW(),Lists!$AN$2:$AN$4,0)),""),IF(OR(LEFT($AJ335,3)="COE",$AJ335="EGI"),$AP335,IF($AR335&lt;&gt;"Squad",$AR335,$AP335))))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>
        <f>IF(TRIM($B336)="","",IF(N($AU336)&gt;0,$AU336,IF(N($S336)&gt;0,$S336*Lists!$AG$15*(1+N($Z336)),N($U336)*(1+N($V336)+N($W336)+N($X336)+N($Z336))+N($Y336))))</f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IF(TRIM($B336)="","",IF(IFERROR(INDEX(Lists!$AO$2:$AO$4,MATCH(ROW(),Lists!$AN$2:$AN$4,0)),"")&lt;&gt;"",IFERROR(INDEX(Lists!$AO$2:$AO$4,MATCH(ROW(),Lists!$AN$2:$AN$4,0)),""),IFERROR(INDEX(Lists!$U:$U,MATCH(TRIM($I336),Lists!$T:$T,0)),TRIM($I336))))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",$C336)),"Head of Technology",IF(ISNUMBER(SEARCH("TDD BP",$C336)),"Business Partner",IF(OR(ISNUMBER(SEARCH("domain architect",$C336)),ISNUMBER(SEARCH("enterprise architect",$C336))),"Domain Architect",IF(ISNUMBER(SEARCH("delivery man",$C336)),"Delivery Manager",IF(OR(ISNUMBER(SEARCH("technology manager",$C336)),ISNUMBER(SEARCH("technology manger",$C336)),ISNUMBER(SEARCH("tech manager",$C336))),"Technology Manager","Squad"))))))</f>
        <v>Technology Manager</v>
      </c>
      <c r="AS336" t="str">
        <f>IF(TRIM($B336)="","",IFERROR(INDEX(Lists!$AA:$AA,MATCH($AP336,Lists!$Z:$Z,0)),$AP336))</f>
        <v>Leadership</v>
      </c>
      <c r="AT336" t="str">
        <f>IF(TRIM($B336)="","",IF(IFERROR(INDEX(Lists!$AP$2:$AP$4,MATCH(ROW(),Lists!$AN$2:$AN$4,0)),"")&lt;&gt;"",IFERROR(INDEX(Lists!$AP$2:$AP$4,MATCH(ROW(),Lists!$AN$2:$AN$4,0)),""),IF(OR(LEFT($AJ336,3)="COE",$AJ336="EGI"),$AP336,IF($AR336&lt;&gt;"Squad",$AR336,$AP336))))</f>
        <v>Technology Manager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>
        <f>IF(TRIM($B337)="","",IF(N($AU337)&gt;0,$AU337,IF(N($S337)&gt;0,$S337*Lists!$AG$15*(1+N($Z337)),N($U337)*(1+N($V337)+N($W337)+N($X337)+N($Z337))+N($Y337))))</f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IF(TRIM($B337)="","",IF(IFERROR(INDEX(Lists!$AO$2:$AO$4,MATCH(ROW(),Lists!$AN$2:$AN$4,0)),"")&lt;&gt;"",IFERROR(INDEX(Lists!$AO$2:$AO$4,MATCH(ROW(),Lists!$AN$2:$AN$4,0)),""),IFERROR(INDEX(Lists!$U:$U,MATCH(TRIM($I337),Lists!$T:$T,0)),TRIM($I337))))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",$C337)),"Head of Technology",IF(ISNUMBER(SEARCH("TDD BP",$C337)),"Business Partner",IF(OR(ISNUMBER(SEARCH("domain architect",$C337)),ISNUMBER(SEARCH("enterprise architect",$C337))),"Domain Architect",IF(ISNUMBER(SEARCH("delivery man",$C337)),"Delivery Manager",IF(OR(ISNUMBER(SEARCH("technology manager",$C337)),ISNUMBER(SEARCH("technology manger",$C337)),ISNUMBER(SEARCH("tech manager",$C337))),"Technology Manager","Squad"))))))</f>
        <v>Squad</v>
      </c>
      <c r="AS337" t="str">
        <f>IF(TRIM($B337)="","",IFERROR(INDEX(Lists!$AA:$AA,MATCH($AP337,Lists!$Z:$Z,0)),$AP337))</f>
        <v>B2B</v>
      </c>
      <c r="AT337" t="str">
        <f>IF(TRIM($B337)="","",IF(IFERROR(INDEX(Lists!$AP$2:$AP$4,MATCH(ROW(),Lists!$AN$2:$AN$4,0)),"")&lt;&gt;"",IFERROR(INDEX(Lists!$AP$2:$AP$4,MATCH(ROW(),Lists!$AN$2:$AN$4,0)),""),IF(OR(LEFT($AJ337,3)="COE",$AJ337="EGI"),$AP337,IF($AR337&lt;&gt;"Squad",$AR337,$AP337))))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>
        <f>IF(TRIM($B338)="","",IF(N($AU338)&gt;0,$AU338,IF(N($S338)&gt;0,$S338*Lists!$AG$15*(1+N($Z338)),N($U338)*(1+N($V338)+N($W338)+N($X338)+N($Z338))+N($Y338))))</f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IF(TRIM($B338)="","",IF(IFERROR(INDEX(Lists!$AO$2:$AO$4,MATCH(ROW(),Lists!$AN$2:$AN$4,0)),"")&lt;&gt;"",IFERROR(INDEX(Lists!$AO$2:$AO$4,MATCH(ROW(),Lists!$AN$2:$AN$4,0)),""),IFERROR(INDEX(Lists!$U:$U,MATCH(TRIM($I338),Lists!$T:$T,0)),TRIM($I338))))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",$C338)),"Head of Technology",IF(ISNUMBER(SEARCH("TDD BP",$C338)),"Business Partner",IF(OR(ISNUMBER(SEARCH("domain architect",$C338)),ISNUMBER(SEARCH("enterprise architect",$C338))),"Domain Architect",IF(ISNUMBER(SEARCH("delivery man",$C338)),"Delivery Manager",IF(OR(ISNUMBER(SEARCH("technology manager",$C338)),ISNUMBER(SEARCH("technology manger",$C338)),ISNUMBER(SEARCH("tech manager",$C338))),"Technology Manager","Squad"))))))</f>
        <v>Squad</v>
      </c>
      <c r="AS338" t="str">
        <f>IF(TRIM($B338)="","",IFERROR(INDEX(Lists!$AA:$AA,MATCH($AP338,Lists!$Z:$Z,0)),$AP338))</f>
        <v>CTRM</v>
      </c>
      <c r="AT338" t="str">
        <f>IF(TRIM($B338)="","",IF(IFERROR(INDEX(Lists!$AP$2:$AP$4,MATCH(ROW(),Lists!$AN$2:$AN$4,0)),"")&lt;&gt;"",IFERROR(INDEX(Lists!$AP$2:$AP$4,MATCH(ROW(),Lists!$AN$2:$AN$4,0)),""),IF(OR(LEFT($AJ338,3)="COE",$AJ338="EGI"),$AP338,IF($AR338&lt;&gt;"Squad",$AR338,$AP338))))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>
        <f>IF(TRIM($B339)="","",IF(N($AU339)&gt;0,$AU339,IF(N($S339)&gt;0,$S339*Lists!$AG$15*(1+N($Z339)),N($U339)*(1+N($V339)+N($W339)+N($X339)+N($Z339))+N($Y339))))</f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IF(TRIM($B339)="","",IF(IFERROR(INDEX(Lists!$AO$2:$AO$4,MATCH(ROW(),Lists!$AN$2:$AN$4,0)),"")&lt;&gt;"",IFERROR(INDEX(Lists!$AO$2:$AO$4,MATCH(ROW(),Lists!$AN$2:$AN$4,0)),""),IFERROR(INDEX(Lists!$U:$U,MATCH(TRIM($I339),Lists!$T:$T,0)),TRIM($I339))))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",$C339)),"Head of Technology",IF(ISNUMBER(SEARCH("TDD BP",$C339)),"Business Partner",IF(OR(ISNUMBER(SEARCH("domain architect",$C339)),ISNUMBER(SEARCH("enterprise architect",$C339))),"Domain Architect",IF(ISNUMBER(SEARCH("delivery man",$C339)),"Delivery Manager",IF(OR(ISNUMBER(SEARCH("technology manager",$C339)),ISNUMBER(SEARCH("technology manger",$C339)),ISNUMBER(SEARCH("tech manager",$C339))),"Technology Manager","Squad"))))))</f>
        <v>Head of Technology</v>
      </c>
      <c r="AS339" t="str">
        <f>IF(TRIM($B339)="","",IFERROR(INDEX(Lists!$AA:$AA,MATCH($AP339,Lists!$Z:$Z,0)),$AP339))</f>
        <v>Leadership</v>
      </c>
      <c r="AT339" t="str">
        <f>IF(TRIM($B339)="","",IF(IFERROR(INDEX(Lists!$AP$2:$AP$4,MATCH(ROW(),Lists!$AN$2:$AN$4,0)),"")&lt;&gt;"",IFERROR(INDEX(Lists!$AP$2:$AP$4,MATCH(ROW(),Lists!$AN$2:$AN$4,0)),""),IF(OR(LEFT($AJ339,3)="COE",$AJ339="EGI"),$AP339,IF($AR339&lt;&gt;"Squad",$AR339,$AP339))))</f>
        <v>Head of Technology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>
        <f>IF(TRIM($B340)="","",IF(N($AU340)&gt;0,$AU340,IF(N($S340)&gt;0,$S340*Lists!$AG$15*(1+N($Z340)),N($U340)*(1+N($V340)+N($W340)+N($X340)+N($Z340))+N($Y340))))</f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IF(TRIM($B340)="","",IF(IFERROR(INDEX(Lists!$AO$2:$AO$4,MATCH(ROW(),Lists!$AN$2:$AN$4,0)),"")&lt;&gt;"",IFERROR(INDEX(Lists!$AO$2:$AO$4,MATCH(ROW(),Lists!$AN$2:$AN$4,0)),""),IFERROR(INDEX(Lists!$U:$U,MATCH(TRIM($I340),Lists!$T:$T,0)),TRIM($I340))))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",$C340)),"Head of Technology",IF(ISNUMBER(SEARCH("TDD BP",$C340)),"Business Partner",IF(OR(ISNUMBER(SEARCH("domain architect",$C340)),ISNUMBER(SEARCH("enterprise architect",$C340))),"Domain Architect",IF(ISNUMBER(SEARCH("delivery man",$C340)),"Delivery Manager",IF(OR(ISNUMBER(SEARCH("technology manager",$C340)),ISNUMBER(SEARCH("technology manger",$C340)),ISNUMBER(SEARCH("tech manager",$C340))),"Technology Manager","Squad"))))))</f>
        <v>Squad</v>
      </c>
      <c r="AS340" t="str">
        <f>IF(TRIM($B340)="","",IFERROR(INDEX(Lists!$AA:$AA,MATCH($AP340,Lists!$Z:$Z,0)),$AP340))</f>
        <v>EVCI</v>
      </c>
      <c r="AT340" t="str">
        <f>IF(TRIM($B340)="","",IF(IFERROR(INDEX(Lists!$AP$2:$AP$4,MATCH(ROW(),Lists!$AN$2:$AN$4,0)),"")&lt;&gt;"",IFERROR(INDEX(Lists!$AP$2:$AP$4,MATCH(ROW(),Lists!$AN$2:$AN$4,0)),""),IF(OR(LEFT($AJ340,3)="COE",$AJ340="EGI"),$AP340,IF($AR340&lt;&gt;"Squad",$AR340,$AP340))))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>
        <f>IF(TRIM($B341)="","",IF(N($AU341)&gt;0,$AU341,IF(N($S341)&gt;0,$S341*Lists!$AG$15*(1+N($Z341)),N($U341)*(1+N($V341)+N($W341)+N($X341)+N($Z341))+N($Y341))))</f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IF(TRIM($B341)="","",IF(IFERROR(INDEX(Lists!$AO$2:$AO$4,MATCH(ROW(),Lists!$AN$2:$AN$4,0)),"")&lt;&gt;"",IFERROR(INDEX(Lists!$AO$2:$AO$4,MATCH(ROW(),Lists!$AN$2:$AN$4,0)),""),IFERROR(INDEX(Lists!$U:$U,MATCH(TRIM($I341),Lists!$T:$T,0)),TRIM($I341))))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",$C341)),"Head of Technology",IF(ISNUMBER(SEARCH("TDD BP",$C341)),"Business Partner",IF(OR(ISNUMBER(SEARCH("domain architect",$C341)),ISNUMBER(SEARCH("enterprise architect",$C341))),"Domain Architect",IF(ISNUMBER(SEARCH("delivery man",$C341)),"Delivery Manager",IF(OR(ISNUMBER(SEARCH("technology manager",$C341)),ISNUMBER(SEARCH("technology manger",$C341)),ISNUMBER(SEARCH("tech manager",$C341))),"Technology Manager","Squad"))))))</f>
        <v>Squad</v>
      </c>
      <c r="AS341" t="str">
        <f>IF(TRIM($B341)="","",IFERROR(INDEX(Lists!$AA:$AA,MATCH($AP341,Lists!$Z:$Z,0)),$AP341))</f>
        <v>Distribution, Sales &amp; Services</v>
      </c>
      <c r="AT341" t="str">
        <f>IF(TRIM($B341)="","",IF(IFERROR(INDEX(Lists!$AP$2:$AP$4,MATCH(ROW(),Lists!$AN$2:$AN$4,0)),"")&lt;&gt;"",IFERROR(INDEX(Lists!$AP$2:$AP$4,MATCH(ROW(),Lists!$AN$2:$AN$4,0)),""),IF(OR(LEFT($AJ341,3)="COE",$AJ341="EGI"),$AP341,IF($AR341&lt;&gt;"Squad",$AR341,$AP341))))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>
        <f>IF(TRIM($B342)="","",IF(N($AU342)&gt;0,$AU342,IF(N($S342)&gt;0,$S342*Lists!$AG$15*(1+N($Z342)),N($U342)*(1+N($V342)+N($W342)+N($X342)+N($Z342))+N($Y342))))</f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IF(TRIM($B342)="","",IF(IFERROR(INDEX(Lists!$AO$2:$AO$4,MATCH(ROW(),Lists!$AN$2:$AN$4,0)),"")&lt;&gt;"",IFERROR(INDEX(Lists!$AO$2:$AO$4,MATCH(ROW(),Lists!$AN$2:$AN$4,0)),""),IFERROR(INDEX(Lists!$U:$U,MATCH(TRIM($I342),Lists!$T:$T,0)),TRIM($I342))))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",$C342)),"Head of Technology",IF(ISNUMBER(SEARCH("TDD BP",$C342)),"Business Partner",IF(OR(ISNUMBER(SEARCH("domain architect",$C342)),ISNUMBER(SEARCH("enterprise architect",$C342))),"Domain Architect",IF(ISNUMBER(SEARCH("delivery man",$C342)),"Delivery Manager",IF(OR(ISNUMBER(SEARCH("technology manager",$C342)),ISNUMBER(SEARCH("technology manger",$C342)),ISNUMBER(SEARCH("tech manager",$C342))),"Technology Manager","Squad"))))))</f>
        <v>Squad</v>
      </c>
      <c r="AS342" t="str">
        <f>IF(TRIM($B342)="","",IFERROR(INDEX(Lists!$AA:$AA,MATCH($AP342,Lists!$Z:$Z,0)),$AP342))</f>
        <v>EVCI</v>
      </c>
      <c r="AT342" t="str">
        <f>IF(TRIM($B342)="","",IF(IFERROR(INDEX(Lists!$AP$2:$AP$4,MATCH(ROW(),Lists!$AN$2:$AN$4,0)),"")&lt;&gt;"",IFERROR(INDEX(Lists!$AP$2:$AP$4,MATCH(ROW(),Lists!$AN$2:$AN$4,0)),""),IF(OR(LEFT($AJ342,3)="COE",$AJ342="EGI"),$AP342,IF($AR342&lt;&gt;"Squad",$AR342,$AP342))))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>
        <f>IF(TRIM($B343)="","",IF(N($AU343)&gt;0,$AU343,IF(N($S343)&gt;0,$S343*Lists!$AG$15*(1+N($Z343)),N($U343)*(1+N($V343)+N($W343)+N($X343)+N($Z343))+N($Y343))))</f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IF(TRIM($B343)="","",IF(IFERROR(INDEX(Lists!$AO$2:$AO$4,MATCH(ROW(),Lists!$AN$2:$AN$4,0)),"")&lt;&gt;"",IFERROR(INDEX(Lists!$AO$2:$AO$4,MATCH(ROW(),Lists!$AN$2:$AN$4,0)),""),IFERROR(INDEX(Lists!$U:$U,MATCH(TRIM($I343),Lists!$T:$T,0)),TRIM($I343))))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",$C343)),"Head of Technology",IF(ISNUMBER(SEARCH("TDD BP",$C343)),"Business Partner",IF(OR(ISNUMBER(SEARCH("domain architect",$C343)),ISNUMBER(SEARCH("enterprise architect",$C343))),"Domain Architect",IF(ISNUMBER(SEARCH("delivery man",$C343)),"Delivery Manager",IF(OR(ISNUMBER(SEARCH("technology manager",$C343)),ISNUMBER(SEARCH("technology manger",$C343)),ISNUMBER(SEARCH("tech manager",$C343))),"Technology Manager","Squad"))))))</f>
        <v>Squad</v>
      </c>
      <c r="AS343" t="str">
        <f>IF(TRIM($B343)="","",IFERROR(INDEX(Lists!$AA:$AA,MATCH($AP343,Lists!$Z:$Z,0)),$AP343))</f>
        <v>Supply</v>
      </c>
      <c r="AT343" t="str">
        <f>IF(TRIM($B343)="","",IF(IFERROR(INDEX(Lists!$AP$2:$AP$4,MATCH(ROW(),Lists!$AN$2:$AN$4,0)),"")&lt;&gt;"",IFERROR(INDEX(Lists!$AP$2:$AP$4,MATCH(ROW(),Lists!$AN$2:$AN$4,0)),""),IF(OR(LEFT($AJ343,3)="COE",$AJ343="EGI"),$AP343,IF($AR343&lt;&gt;"Squad",$AR343,$AP343))))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>
        <f>IF(TRIM($B344)="","",IF(N($AU344)&gt;0,$AU344,IF(N($S344)&gt;0,$S344*Lists!$AG$15*(1+N($Z344)),N($U344)*(1+N($V344)+N($W344)+N($X344)+N($Z344))+N($Y344))))</f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IF(TRIM($B344)="","",IF(IFERROR(INDEX(Lists!$AO$2:$AO$4,MATCH(ROW(),Lists!$AN$2:$AN$4,0)),"")&lt;&gt;"",IFERROR(INDEX(Lists!$AO$2:$AO$4,MATCH(ROW(),Lists!$AN$2:$AN$4,0)),""),IFERROR(INDEX(Lists!$U:$U,MATCH(TRIM($I344),Lists!$T:$T,0)),TRIM($I344))))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",$C344)),"Head of Technology",IF(ISNUMBER(SEARCH("TDD BP",$C344)),"Business Partner",IF(OR(ISNUMBER(SEARCH("domain architect",$C344)),ISNUMBER(SEARCH("enterprise architect",$C344))),"Domain Architect",IF(ISNUMBER(SEARCH("delivery man",$C344)),"Delivery Manager",IF(OR(ISNUMBER(SEARCH("technology manager",$C344)),ISNUMBER(SEARCH("technology manger",$C344)),ISNUMBER(SEARCH("tech manager",$C344))),"Technology Manager","Squad"))))))</f>
        <v>Squad</v>
      </c>
      <c r="AS344" t="str">
        <f>IF(TRIM($B344)="","",IFERROR(INDEX(Lists!$AA:$AA,MATCH($AP344,Lists!$Z:$Z,0)),$AP344))</f>
        <v>Trading &amp; Shipping Data</v>
      </c>
      <c r="AT344" t="str">
        <f>IF(TRIM($B344)="","",IF(IFERROR(INDEX(Lists!$AP$2:$AP$4,MATCH(ROW(),Lists!$AN$2:$AN$4,0)),"")&lt;&gt;"",IFERROR(INDEX(Lists!$AP$2:$AP$4,MATCH(ROW(),Lists!$AN$2:$AN$4,0)),""),IF(OR(LEFT($AJ344,3)="COE",$AJ344="EGI"),$AP344,IF($AR344&lt;&gt;"Squad",$AR344,$AP344))))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>
        <f>IF(TRIM($B345)="","",IF(N($AU345)&gt;0,$AU345,IF(N($S345)&gt;0,$S345*Lists!$AG$15*(1+N($Z345)),N($U345)*(1+N($V345)+N($W345)+N($X345)+N($Z345))+N($Y345))))</f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IF(TRIM($B345)="","",IF(IFERROR(INDEX(Lists!$AO$2:$AO$4,MATCH(ROW(),Lists!$AN$2:$AN$4,0)),"")&lt;&gt;"",IFERROR(INDEX(Lists!$AO$2:$AO$4,MATCH(ROW(),Lists!$AN$2:$AN$4,0)),""),IFERROR(INDEX(Lists!$U:$U,MATCH(TRIM($I345),Lists!$T:$T,0)),TRIM($I345))))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",$C345)),"Head of Technology",IF(ISNUMBER(SEARCH("TDD BP",$C345)),"Business Partner",IF(OR(ISNUMBER(SEARCH("domain architect",$C345)),ISNUMBER(SEARCH("enterprise architect",$C345))),"Domain Architect",IF(ISNUMBER(SEARCH("delivery man",$C345)),"Delivery Manager",IF(OR(ISNUMBER(SEARCH("technology manager",$C345)),ISNUMBER(SEARCH("technology manger",$C345)),ISNUMBER(SEARCH("tech manager",$C345))),"Technology Manager","Squad"))))))</f>
        <v>Squad</v>
      </c>
      <c r="AS345" t="str">
        <f>IF(TRIM($B345)="","",IFERROR(INDEX(Lists!$AA:$AA,MATCH($AP345,Lists!$Z:$Z,0)),$AP345))</f>
        <v>Distribution, Sales &amp; Services</v>
      </c>
      <c r="AT345" t="str">
        <f>IF(TRIM($B345)="","",IF(IFERROR(INDEX(Lists!$AP$2:$AP$4,MATCH(ROW(),Lists!$AN$2:$AN$4,0)),"")&lt;&gt;"",IFERROR(INDEX(Lists!$AP$2:$AP$4,MATCH(ROW(),Lists!$AN$2:$AN$4,0)),""),IF(OR(LEFT($AJ345,3)="COE",$AJ345="EGI"),$AP345,IF($AR345&lt;&gt;"Squad",$AR345,$AP345))))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>
        <f>IF(TRIM($B346)="","",IF(N($AU346)&gt;0,$AU346,IF(N($S346)&gt;0,$S346*Lists!$AG$15*(1+N($Z346)),N($U346)*(1+N($V346)+N($W346)+N($X346)+N($Z346))+N($Y346))))</f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IF(TRIM($B346)="","",IF(IFERROR(INDEX(Lists!$AO$2:$AO$4,MATCH(ROW(),Lists!$AN$2:$AN$4,0)),"")&lt;&gt;"",IFERROR(INDEX(Lists!$AO$2:$AO$4,MATCH(ROW(),Lists!$AN$2:$AN$4,0)),""),IFERROR(INDEX(Lists!$U:$U,MATCH(TRIM($I346),Lists!$T:$T,0)),TRIM($I346))))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",$C346)),"Head of Technology",IF(ISNUMBER(SEARCH("TDD BP",$C346)),"Business Partner",IF(OR(ISNUMBER(SEARCH("domain architect",$C346)),ISNUMBER(SEARCH("enterprise architect",$C346))),"Domain Architect",IF(ISNUMBER(SEARCH("delivery man",$C346)),"Delivery Manager",IF(OR(ISNUMBER(SEARCH("technology manager",$C346)),ISNUMBER(SEARCH("technology manger",$C346)),ISNUMBER(SEARCH("tech manager",$C346))),"Technology Manager","Squad"))))))</f>
        <v>Squad</v>
      </c>
      <c r="AS346" t="str">
        <f>IF(TRIM($B346)="","",IFERROR(INDEX(Lists!$AA:$AA,MATCH($AP346,Lists!$Z:$Z,0)),$AP346))</f>
        <v>Trading &amp; Shipping Data</v>
      </c>
      <c r="AT346" t="str">
        <f>IF(TRIM($B346)="","",IF(IFERROR(INDEX(Lists!$AP$2:$AP$4,MATCH(ROW(),Lists!$AN$2:$AN$4,0)),"")&lt;&gt;"",IFERROR(INDEX(Lists!$AP$2:$AP$4,MATCH(ROW(),Lists!$AN$2:$AN$4,0)),""),IF(OR(LEFT($AJ346,3)="COE",$AJ346="EGI"),$AP346,IF($AR346&lt;&gt;"Squad",$AR346,$AP346))))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>
        <f>IF(TRIM($B347)="","",IF(N($AU347)&gt;0,$AU347,IF(N($S347)&gt;0,$S347*Lists!$AG$15*(1+N($Z347)),N($U347)*(1+N($V347)+N($W347)+N($X347)+N($Z347))+N($Y347))))</f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IF(TRIM($B347)="","",IF(IFERROR(INDEX(Lists!$AO$2:$AO$4,MATCH(ROW(),Lists!$AN$2:$AN$4,0)),"")&lt;&gt;"",IFERROR(INDEX(Lists!$AO$2:$AO$4,MATCH(ROW(),Lists!$AN$2:$AN$4,0)),""),IFERROR(INDEX(Lists!$U:$U,MATCH(TRIM($I347),Lists!$T:$T,0)),TRIM($I347))))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",$C347)),"Head of Technology",IF(ISNUMBER(SEARCH("TDD BP",$C347)),"Business Partner",IF(OR(ISNUMBER(SEARCH("domain architect",$C347)),ISNUMBER(SEARCH("enterprise architect",$C347))),"Domain Architect",IF(ISNUMBER(SEARCH("delivery man",$C347)),"Delivery Manager",IF(OR(ISNUMBER(SEARCH("technology manager",$C347)),ISNUMBER(SEARCH("technology manger",$C347)),ISNUMBER(SEARCH("tech manager",$C347))),"Technology Manager","Squad"))))))</f>
        <v>Squad</v>
      </c>
      <c r="AS347" t="str">
        <f>IF(TRIM($B347)="","",IFERROR(INDEX(Lists!$AA:$AA,MATCH($AP347,Lists!$Z:$Z,0)),$AP347))</f>
        <v>Trading &amp; Shipping Data</v>
      </c>
      <c r="AT347" t="str">
        <f>IF(TRIM($B347)="","",IF(IFERROR(INDEX(Lists!$AP$2:$AP$4,MATCH(ROW(),Lists!$AN$2:$AN$4,0)),"")&lt;&gt;"",IFERROR(INDEX(Lists!$AP$2:$AP$4,MATCH(ROW(),Lists!$AN$2:$AN$4,0)),""),IF(OR(LEFT($AJ347,3)="COE",$AJ347="EGI"),$AP347,IF($AR347&lt;&gt;"Squad",$AR347,$AP347))))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>
        <f>IF(TRIM($B348)="","",IF(N($AU348)&gt;0,$AU348,IF(N($S348)&gt;0,$S348*Lists!$AG$15*(1+N($Z348)),N($U348)*(1+N($V348)+N($W348)+N($X348)+N($Z348))+N($Y348))))</f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IF(TRIM($B348)="","",IF(IFERROR(INDEX(Lists!$AO$2:$AO$4,MATCH(ROW(),Lists!$AN$2:$AN$4,0)),"")&lt;&gt;"",IFERROR(INDEX(Lists!$AO$2:$AO$4,MATCH(ROW(),Lists!$AN$2:$AN$4,0)),""),IFERROR(INDEX(Lists!$U:$U,MATCH(TRIM($I348),Lists!$T:$T,0)),TRIM($I348))))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",$C348)),"Head of Technology",IF(ISNUMBER(SEARCH("TDD BP",$C348)),"Business Partner",IF(OR(ISNUMBER(SEARCH("domain architect",$C348)),ISNUMBER(SEARCH("enterprise architect",$C348))),"Domain Architect",IF(ISNUMBER(SEARCH("delivery man",$C348)),"Delivery Manager",IF(OR(ISNUMBER(SEARCH("technology manager",$C348)),ISNUMBER(SEARCH("technology manger",$C348)),ISNUMBER(SEARCH("tech manager",$C348))),"Technology Manager","Squad"))))))</f>
        <v>Squad</v>
      </c>
      <c r="AS348" t="str">
        <f>IF(TRIM($B348)="","",IFERROR(INDEX(Lists!$AA:$AA,MATCH($AP348,Lists!$Z:$Z,0)),$AP348))</f>
        <v>B2B</v>
      </c>
      <c r="AT348" t="str">
        <f>IF(TRIM($B348)="","",IF(IFERROR(INDEX(Lists!$AP$2:$AP$4,MATCH(ROW(),Lists!$AN$2:$AN$4,0)),"")&lt;&gt;"",IFERROR(INDEX(Lists!$AP$2:$AP$4,MATCH(ROW(),Lists!$AN$2:$AN$4,0)),""),IF(OR(LEFT($AJ348,3)="COE",$AJ348="EGI"),$AP348,IF($AR348&lt;&gt;"Squad",$AR348,$AP348))))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>
        <f>IF(TRIM($B349)="","",IF(N($AU349)&gt;0,$AU349,IF(N($S349)&gt;0,$S349*Lists!$AG$15*(1+N($Z349)),N($U349)*(1+N($V349)+N($W349)+N($X349)+N($Z349))+N($Y349))))</f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IF(TRIM($B349)="","",IF(IFERROR(INDEX(Lists!$AO$2:$AO$4,MATCH(ROW(),Lists!$AN$2:$AN$4,0)),"")&lt;&gt;"",IFERROR(INDEX(Lists!$AO$2:$AO$4,MATCH(ROW(),Lists!$AN$2:$AN$4,0)),""),IFERROR(INDEX(Lists!$U:$U,MATCH(TRIM($I349),Lists!$T:$T,0)),TRIM($I349))))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",$C349)),"Head of Technology",IF(ISNUMBER(SEARCH("TDD BP",$C349)),"Business Partner",IF(OR(ISNUMBER(SEARCH("domain architect",$C349)),ISNUMBER(SEARCH("enterprise architect",$C349))),"Domain Architect",IF(ISNUMBER(SEARCH("delivery man",$C349)),"Delivery Manager",IF(OR(ISNUMBER(SEARCH("technology manager",$C349)),ISNUMBER(SEARCH("technology manger",$C349)),ISNUMBER(SEARCH("tech manager",$C349))),"Technology Manager","Squad"))))))</f>
        <v>Squad</v>
      </c>
      <c r="AS349" t="str">
        <f>IF(TRIM($B349)="","",IFERROR(INDEX(Lists!$AA:$AA,MATCH($AP349,Lists!$Z:$Z,0)),$AP349))</f>
        <v>Distribution, Sales &amp; Services</v>
      </c>
      <c r="AT349" t="str">
        <f>IF(TRIM($B349)="","",IF(IFERROR(INDEX(Lists!$AP$2:$AP$4,MATCH(ROW(),Lists!$AN$2:$AN$4,0)),"")&lt;&gt;"",IFERROR(INDEX(Lists!$AP$2:$AP$4,MATCH(ROW(),Lists!$AN$2:$AN$4,0)),""),IF(OR(LEFT($AJ349,3)="COE",$AJ349="EGI"),$AP349,IF($AR349&lt;&gt;"Squad",$AR349,$AP349))))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>
        <f>IF(TRIM($B350)="","",IF(N($AU350)&gt;0,$AU350,IF(N($S350)&gt;0,$S350*Lists!$AG$15*(1+N($Z350)),N($U350)*(1+N($V350)+N($W350)+N($X350)+N($Z350))+N($Y350))))</f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IF(TRIM($B350)="","",IF(IFERROR(INDEX(Lists!$AO$2:$AO$4,MATCH(ROW(),Lists!$AN$2:$AN$4,0)),"")&lt;&gt;"",IFERROR(INDEX(Lists!$AO$2:$AO$4,MATCH(ROW(),Lists!$AN$2:$AN$4,0)),""),IFERROR(INDEX(Lists!$U:$U,MATCH(TRIM($I350),Lists!$T:$T,0)),TRIM($I350))))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",$C350)),"Head of Technology",IF(ISNUMBER(SEARCH("TDD BP",$C350)),"Business Partner",IF(OR(ISNUMBER(SEARCH("domain architect",$C350)),ISNUMBER(SEARCH("enterprise architect",$C350))),"Domain Architect",IF(ISNUMBER(SEARCH("delivery man",$C350)),"Delivery Manager",IF(OR(ISNUMBER(SEARCH("technology manager",$C350)),ISNUMBER(SEARCH("technology manger",$C350)),ISNUMBER(SEARCH("tech manager",$C350))),"Technology Manager","Squad"))))))</f>
        <v>Squad</v>
      </c>
      <c r="AS350" t="str">
        <f>IF(TRIM($B350)="","",IFERROR(INDEX(Lists!$AA:$AA,MATCH($AP350,Lists!$Z:$Z,0)),$AP350))</f>
        <v>CTRM</v>
      </c>
      <c r="AT350" t="str">
        <f>IF(TRIM($B350)="","",IF(IFERROR(INDEX(Lists!$AP$2:$AP$4,MATCH(ROW(),Lists!$AN$2:$AN$4,0)),"")&lt;&gt;"",IFERROR(INDEX(Lists!$AP$2:$AP$4,MATCH(ROW(),Lists!$AN$2:$AN$4,0)),""),IF(OR(LEFT($AJ350,3)="COE",$AJ350="EGI"),$AP350,IF($AR350&lt;&gt;"Squad",$AR350,$AP350))))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>
        <f>IF(TRIM($B351)="","",IF(N($AU351)&gt;0,$AU351,IF(N($S351)&gt;0,$S351*Lists!$AG$15*(1+N($Z351)),N($U351)*(1+N($V351)+N($W351)+N($X351)+N($Z351))+N($Y351))))</f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IF(TRIM($B351)="","",IF(IFERROR(INDEX(Lists!$AO$2:$AO$4,MATCH(ROW(),Lists!$AN$2:$AN$4,0)),"")&lt;&gt;"",IFERROR(INDEX(Lists!$AO$2:$AO$4,MATCH(ROW(),Lists!$AN$2:$AN$4,0)),""),IFERROR(INDEX(Lists!$U:$U,MATCH(TRIM($I351),Lists!$T:$T,0)),TRIM($I351))))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",$C351)),"Head of Technology",IF(ISNUMBER(SEARCH("TDD BP",$C351)),"Business Partner",IF(OR(ISNUMBER(SEARCH("domain architect",$C351)),ISNUMBER(SEARCH("enterprise architect",$C351))),"Domain Architect",IF(ISNUMBER(SEARCH("delivery man",$C351)),"Delivery Manager",IF(OR(ISNUMBER(SEARCH("technology manager",$C351)),ISNUMBER(SEARCH("technology manger",$C351)),ISNUMBER(SEARCH("tech manager",$C351))),"Technology Manager","Squad"))))))</f>
        <v>Squad</v>
      </c>
      <c r="AS351" t="str">
        <f>IF(TRIM($B351)="","",IFERROR(INDEX(Lists!$AA:$AA,MATCH($AP351,Lists!$Z:$Z,0)),$AP351))</f>
        <v>EVCI</v>
      </c>
      <c r="AT351" t="str">
        <f>IF(TRIM($B351)="","",IF(IFERROR(INDEX(Lists!$AP$2:$AP$4,MATCH(ROW(),Lists!$AN$2:$AN$4,0)),"")&lt;&gt;"",IFERROR(INDEX(Lists!$AP$2:$AP$4,MATCH(ROW(),Lists!$AN$2:$AN$4,0)),""),IF(OR(LEFT($AJ351,3)="COE",$AJ351="EGI"),$AP351,IF($AR351&lt;&gt;"Squad",$AR351,$AP351))))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>
        <f>IF(TRIM($B352)="","",IF(N($AU352)&gt;0,$AU352,IF(N($S352)&gt;0,$S352*Lists!$AG$15*(1+N($Z352)),N($U352)*(1+N($V352)+N($W352)+N($X352)+N($Z352))+N($Y352))))</f>
        <v>87434.816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IF(TRIM($B352)="","",IF(IFERROR(INDEX(Lists!$AO$2:$AO$4,MATCH(ROW(),Lists!$AN$2:$AN$4,0)),"")&lt;&gt;"",IFERROR(INDEX(Lists!$AO$2:$AO$4,MATCH(ROW(),Lists!$AN$2:$AN$4,0)),""),IFERROR(INDEX(Lists!$U:$U,MATCH(TRIM($I352),Lists!$T:$T,0)),TRIM($I352))))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",$C352)),"Head of Technology",IF(ISNUMBER(SEARCH("TDD BP",$C352)),"Business Partner",IF(OR(ISNUMBER(SEARCH("domain architect",$C352)),ISNUMBER(SEARCH("enterprise architect",$C352))),"Domain Architect",IF(ISNUMBER(SEARCH("delivery man",$C352)),"Delivery Manager",IF(OR(ISNUMBER(SEARCH("technology manager",$C352)),ISNUMBER(SEARCH("technology manger",$C352)),ISNUMBER(SEARCH("tech manager",$C352))),"Technology Manager","Squad"))))))</f>
        <v>Squad</v>
      </c>
      <c r="AS352" t="str">
        <f>IF(TRIM($B352)="","",IFERROR(INDEX(Lists!$AA:$AA,MATCH($AP352,Lists!$Z:$Z,0)),$AP352))</f>
        <v>Energy</v>
      </c>
      <c r="AT352" t="str">
        <f>IF(TRIM($B352)="","",IF(IFERROR(INDEX(Lists!$AP$2:$AP$4,MATCH(ROW(),Lists!$AN$2:$AN$4,0)),"")&lt;&gt;"",IFERROR(INDEX(Lists!$AP$2:$AP$4,MATCH(ROW(),Lists!$AN$2:$AN$4,0)),""),IF(OR(LEFT($AJ352,3)="COE",$AJ352="EGI"),$AP352,IF($AR352&lt;&gt;"Squad",$AR352,$AP352))))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>
        <f>IF(TRIM($B353)="","",IF(N($AU353)&gt;0,$AU353,IF(N($S353)&gt;0,$S353*Lists!$AG$15*(1+N($Z353)),N($U353)*(1+N($V353)+N($W353)+N($X353)+N($Z353))+N($Y353))))</f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IF(TRIM($B353)="","",IF(IFERROR(INDEX(Lists!$AO$2:$AO$4,MATCH(ROW(),Lists!$AN$2:$AN$4,0)),"")&lt;&gt;"",IFERROR(INDEX(Lists!$AO$2:$AO$4,MATCH(ROW(),Lists!$AN$2:$AN$4,0)),""),IFERROR(INDEX(Lists!$U:$U,MATCH(TRIM($I353),Lists!$T:$T,0)),TRIM($I353))))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",$C353)),"Head of Technology",IF(ISNUMBER(SEARCH("TDD BP",$C353)),"Business Partner",IF(OR(ISNUMBER(SEARCH("domain architect",$C353)),ISNUMBER(SEARCH("enterprise architect",$C353))),"Domain Architect",IF(ISNUMBER(SEARCH("delivery man",$C353)),"Delivery Manager",IF(OR(ISNUMBER(SEARCH("technology manager",$C353)),ISNUMBER(SEARCH("technology manger",$C353)),ISNUMBER(SEARCH("tech manager",$C353))),"Technology Manager","Squad"))))))</f>
        <v>Squad</v>
      </c>
      <c r="AS353" t="str">
        <f>IF(TRIM($B353)="","",IFERROR(INDEX(Lists!$AA:$AA,MATCH($AP353,Lists!$Z:$Z,0)),$AP353))</f>
        <v>CTRM</v>
      </c>
      <c r="AT353" t="str">
        <f>IF(TRIM($B353)="","",IF(IFERROR(INDEX(Lists!$AP$2:$AP$4,MATCH(ROW(),Lists!$AN$2:$AN$4,0)),"")&lt;&gt;"",IFERROR(INDEX(Lists!$AP$2:$AP$4,MATCH(ROW(),Lists!$AN$2:$AN$4,0)),""),IF(OR(LEFT($AJ353,3)="COE",$AJ353="EGI"),$AP353,IF($AR353&lt;&gt;"Squad",$AR353,$AP353))))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>
        <f>IF(TRIM($B354)="","",IF(N($AU354)&gt;0,$AU354,IF(N($S354)&gt;0,$S354*Lists!$AG$15*(1+N($Z354)),N($U354)*(1+N($V354)+N($W354)+N($X354)+N($Z354))+N($Y354))))</f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IF(TRIM($B354)="","",IF(IFERROR(INDEX(Lists!$AO$2:$AO$4,MATCH(ROW(),Lists!$AN$2:$AN$4,0)),"")&lt;&gt;"",IFERROR(INDEX(Lists!$AO$2:$AO$4,MATCH(ROW(),Lists!$AN$2:$AN$4,0)),""),IFERROR(INDEX(Lists!$U:$U,MATCH(TRIM($I354),Lists!$T:$T,0)),TRIM($I354))))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",$C354)),"Head of Technology",IF(ISNUMBER(SEARCH("TDD BP",$C354)),"Business Partner",IF(OR(ISNUMBER(SEARCH("domain architect",$C354)),ISNUMBER(SEARCH("enterprise architect",$C354))),"Domain Architect",IF(ISNUMBER(SEARCH("delivery man",$C354)),"Delivery Manager",IF(OR(ISNUMBER(SEARCH("technology manager",$C354)),ISNUMBER(SEARCH("technology manger",$C354)),ISNUMBER(SEARCH("tech manager",$C354))),"Technology Manager","Squad"))))))</f>
        <v>Squad</v>
      </c>
      <c r="AS354" t="str">
        <f>IF(TRIM($B354)="","",IFERROR(INDEX(Lists!$AA:$AA,MATCH($AP354,Lists!$Z:$Z,0)),$AP354))</f>
        <v>CTRM</v>
      </c>
      <c r="AT354" t="str">
        <f>IF(TRIM($B354)="","",IF(IFERROR(INDEX(Lists!$AP$2:$AP$4,MATCH(ROW(),Lists!$AN$2:$AN$4,0)),"")&lt;&gt;"",IFERROR(INDEX(Lists!$AP$2:$AP$4,MATCH(ROW(),Lists!$AN$2:$AN$4,0)),""),IF(OR(LEFT($AJ354,3)="COE",$AJ354="EGI"),$AP354,IF($AR354&lt;&gt;"Squad",$AR354,$AP354))))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>
        <f>IF(TRIM($B355)="","",IF(N($AU355)&gt;0,$AU355,IF(N($S355)&gt;0,$S355*Lists!$AG$15*(1+N($Z355)),N($U355)*(1+N($V355)+N($W355)+N($X355)+N($Z355))+N($Y355))))</f>
        <v>346651.0332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IF(TRIM($B355)="","",IF(IFERROR(INDEX(Lists!$AO$2:$AO$4,MATCH(ROW(),Lists!$AN$2:$AN$4,0)),"")&lt;&gt;"",IFERROR(INDEX(Lists!$AO$2:$AO$4,MATCH(ROW(),Lists!$AN$2:$AN$4,0)),""),IFERROR(INDEX(Lists!$U:$U,MATCH(TRIM($I355),Lists!$T:$T,0)),TRIM($I355))))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",$C355)),"Head of Technology",IF(ISNUMBER(SEARCH("TDD BP",$C355)),"Business Partner",IF(OR(ISNUMBER(SEARCH("domain architect",$C355)),ISNUMBER(SEARCH("enterprise architect",$C355))),"Domain Architect",IF(ISNUMBER(SEARCH("delivery man",$C355)),"Delivery Manager",IF(OR(ISNUMBER(SEARCH("technology manager",$C355)),ISNUMBER(SEARCH("technology manger",$C355)),ISNUMBER(SEARCH("tech manager",$C355))),"Technology Manager","Squad"))))))</f>
        <v>Squad</v>
      </c>
      <c r="AS355" t="str">
        <f>IF(TRIM($B355)="","",IFERROR(INDEX(Lists!$AA:$AA,MATCH($AP355,Lists!$Z:$Z,0)),$AP355))</f>
        <v>Trading &amp; Shipping</v>
      </c>
      <c r="AT355" t="str">
        <f>IF(TRIM($B355)="","",IF(IFERROR(INDEX(Lists!$AP$2:$AP$4,MATCH(ROW(),Lists!$AN$2:$AN$4,0)),"")&lt;&gt;"",IFERROR(INDEX(Lists!$AP$2:$AP$4,MATCH(ROW(),Lists!$AN$2:$AN$4,0)),""),IF(OR(LEFT($AJ355,3)="COE",$AJ355="EGI"),$AP355,IF($AR355&lt;&gt;"Squad",$AR355,$AP355))))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>
        <f>IF(TRIM($B356)="","",IF(N($AU356)&gt;0,$AU356,IF(N($S356)&gt;0,$S356*Lists!$AG$15*(1+N($Z356)),N($U356)*(1+N($V356)+N($W356)+N($X356)+N($Z356))+N($Y356))))</f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IF(TRIM($B356)="","",IF(IFERROR(INDEX(Lists!$AO$2:$AO$4,MATCH(ROW(),Lists!$AN$2:$AN$4,0)),"")&lt;&gt;"",IFERROR(INDEX(Lists!$AO$2:$AO$4,MATCH(ROW(),Lists!$AN$2:$AN$4,0)),""),IFERROR(INDEX(Lists!$U:$U,MATCH(TRIM($I356),Lists!$T:$T,0)),TRIM($I356))))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",$C356)),"Head of Technology",IF(ISNUMBER(SEARCH("TDD BP",$C356)),"Business Partner",IF(OR(ISNUMBER(SEARCH("domain architect",$C356)),ISNUMBER(SEARCH("enterprise architect",$C356))),"Domain Architect",IF(ISNUMBER(SEARCH("delivery man",$C356)),"Delivery Manager",IF(OR(ISNUMBER(SEARCH("technology manager",$C356)),ISNUMBER(SEARCH("technology manger",$C356)),ISNUMBER(SEARCH("tech manager",$C356))),"Technology Manager","Squad"))))))</f>
        <v>Squad</v>
      </c>
      <c r="AS356" t="str">
        <f>IF(TRIM($B356)="","",IFERROR(INDEX(Lists!$AA:$AA,MATCH($AP356,Lists!$Z:$Z,0)),$AP356))</f>
        <v>Manufacturing Group Projects</v>
      </c>
      <c r="AT356" t="str">
        <f>IF(TRIM($B356)="","",IF(IFERROR(INDEX(Lists!$AP$2:$AP$4,MATCH(ROW(),Lists!$AN$2:$AN$4,0)),"")&lt;&gt;"",IFERROR(INDEX(Lists!$AP$2:$AP$4,MATCH(ROW(),Lists!$AN$2:$AN$4,0)),""),IF(OR(LEFT($AJ356,3)="COE",$AJ356="EGI"),$AP356,IF($AR356&lt;&gt;"Squad",$AR356,$AP356))))</f>
        <v>Manufacturing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>
        <f>IF(TRIM($B357)="","",IF(N($AU357)&gt;0,$AU357,IF(N($S357)&gt;0,$S357*Lists!$AG$15*(1+N($Z357)),N($U357)*(1+N($V357)+N($W357)+N($X357)+N($Z357))+N($Y357))))</f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IF(TRIM($B357)="","",IF(IFERROR(INDEX(Lists!$AO$2:$AO$4,MATCH(ROW(),Lists!$AN$2:$AN$4,0)),"")&lt;&gt;"",IFERROR(INDEX(Lists!$AO$2:$AO$4,MATCH(ROW(),Lists!$AN$2:$AN$4,0)),""),IFERROR(INDEX(Lists!$U:$U,MATCH(TRIM($I357),Lists!$T:$T,0)),TRIM($I357))))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",$C357)),"Head of Technology",IF(ISNUMBER(SEARCH("TDD BP",$C357)),"Business Partner",IF(OR(ISNUMBER(SEARCH("domain architect",$C357)),ISNUMBER(SEARCH("enterprise architect",$C357))),"Domain Architect",IF(ISNUMBER(SEARCH("delivery man",$C357)),"Delivery Manager",IF(OR(ISNUMBER(SEARCH("technology manager",$C357)),ISNUMBER(SEARCH("technology manger",$C357)),ISNUMBER(SEARCH("tech manager",$C357))),"Technology Manager","Squad"))))))</f>
        <v>Squad</v>
      </c>
      <c r="AS357" t="str">
        <f>IF(TRIM($B357)="","",IFERROR(INDEX(Lists!$AA:$AA,MATCH($AP357,Lists!$Z:$Z,0)),$AP357))</f>
        <v>B2B</v>
      </c>
      <c r="AT357" t="str">
        <f>IF(TRIM($B357)="","",IF(IFERROR(INDEX(Lists!$AP$2:$AP$4,MATCH(ROW(),Lists!$AN$2:$AN$4,0)),"")&lt;&gt;"",IFERROR(INDEX(Lists!$AP$2:$AP$4,MATCH(ROW(),Lists!$AN$2:$AN$4,0)),""),IF(OR(LEFT($AJ357,3)="COE",$AJ357="EGI"),$AP357,IF($AR357&lt;&gt;"Squad",$AR357,$AP357))))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>
        <f>IF(TRIM($B358)="","",IF(N($AU358)&gt;0,$AU358,IF(N($S358)&gt;0,$S358*Lists!$AG$15*(1+N($Z358)),N($U358)*(1+N($V358)+N($W358)+N($X358)+N($Z358))+N($Y358))))</f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IF(TRIM($B358)="","",IF(IFERROR(INDEX(Lists!$AO$2:$AO$4,MATCH(ROW(),Lists!$AN$2:$AN$4,0)),"")&lt;&gt;"",IFERROR(INDEX(Lists!$AO$2:$AO$4,MATCH(ROW(),Lists!$AN$2:$AN$4,0)),""),IFERROR(INDEX(Lists!$U:$U,MATCH(TRIM($I358),Lists!$T:$T,0)),TRIM($I358))))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",$C358)),"Head of Technology",IF(ISNUMBER(SEARCH("TDD BP",$C358)),"Business Partner",IF(OR(ISNUMBER(SEARCH("domain architect",$C358)),ISNUMBER(SEARCH("enterprise architect",$C358))),"Domain Architect",IF(ISNUMBER(SEARCH("delivery man",$C358)),"Delivery Manager",IF(OR(ISNUMBER(SEARCH("technology manager",$C358)),ISNUMBER(SEARCH("technology manger",$C358)),ISNUMBER(SEARCH("tech manager",$C358))),"Technology Manager","Squad"))))))</f>
        <v>Squad</v>
      </c>
      <c r="AS358" t="str">
        <f>IF(TRIM($B358)="","",IFERROR(INDEX(Lists!$AA:$AA,MATCH($AP358,Lists!$Z:$Z,0)),$AP358))</f>
        <v>CTRM</v>
      </c>
      <c r="AT358" t="str">
        <f>IF(TRIM($B358)="","",IF(IFERROR(INDEX(Lists!$AP$2:$AP$4,MATCH(ROW(),Lists!$AN$2:$AN$4,0)),"")&lt;&gt;"",IFERROR(INDEX(Lists!$AP$2:$AP$4,MATCH(ROW(),Lists!$AN$2:$AN$4,0)),""),IF(OR(LEFT($AJ358,3)="COE",$AJ358="EGI"),$AP358,IF($AR358&lt;&gt;"Squad",$AR358,$AP358))))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>
        <f>IF(TRIM($B359)="","",IF(N($AU359)&gt;0,$AU359,IF(N($S359)&gt;0,$S359*Lists!$AG$15*(1+N($Z359)),N($U359)*(1+N($V359)+N($W359)+N($X359)+N($Z359))+N($Y359))))</f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IF(TRIM($B359)="","",IF(IFERROR(INDEX(Lists!$AO$2:$AO$4,MATCH(ROW(),Lists!$AN$2:$AN$4,0)),"")&lt;&gt;"",IFERROR(INDEX(Lists!$AO$2:$AO$4,MATCH(ROW(),Lists!$AN$2:$AN$4,0)),""),IFERROR(INDEX(Lists!$U:$U,MATCH(TRIM($I359),Lists!$T:$T,0)),TRIM($I359))))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",$C359)),"Head of Technology",IF(ISNUMBER(SEARCH("TDD BP",$C359)),"Business Partner",IF(OR(ISNUMBER(SEARCH("domain architect",$C359)),ISNUMBER(SEARCH("enterprise architect",$C359))),"Domain Architect",IF(ISNUMBER(SEARCH("delivery man",$C359)),"Delivery Manager",IF(OR(ISNUMBER(SEARCH("technology manager",$C359)),ISNUMBER(SEARCH("technology manger",$C359)),ISNUMBER(SEARCH("tech manager",$C359))),"Technology Manager","Squad"))))))</f>
        <v>Technology Manager</v>
      </c>
      <c r="AS359" t="str">
        <f>IF(TRIM($B359)="","",IFERROR(INDEX(Lists!$AA:$AA,MATCH($AP359,Lists!$Z:$Z,0)),$AP359))</f>
        <v>Leadership</v>
      </c>
      <c r="AT359" t="str">
        <f>IF(TRIM($B359)="","",IF(IFERROR(INDEX(Lists!$AP$2:$AP$4,MATCH(ROW(),Lists!$AN$2:$AN$4,0)),"")&lt;&gt;"",IFERROR(INDEX(Lists!$AP$2:$AP$4,MATCH(ROW(),Lists!$AN$2:$AN$4,0)),""),IF(OR(LEFT($AJ359,3)="COE",$AJ359="EGI"),$AP359,IF($AR359&lt;&gt;"Squad",$AR359,$AP359))))</f>
        <v>Technology Manager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>
        <f>IF(TRIM($B360)="","",IF(N($AU360)&gt;0,$AU360,IF(N($S360)&gt;0,$S360*Lists!$AG$15*(1+N($Z360)),N($U360)*(1+N($V360)+N($W360)+N($X360)+N($Z360))+N($Y360))))</f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IF(TRIM($B360)="","",IF(IFERROR(INDEX(Lists!$AO$2:$AO$4,MATCH(ROW(),Lists!$AN$2:$AN$4,0)),"")&lt;&gt;"",IFERROR(INDEX(Lists!$AO$2:$AO$4,MATCH(ROW(),Lists!$AN$2:$AN$4,0)),""),IFERROR(INDEX(Lists!$U:$U,MATCH(TRIM($I360),Lists!$T:$T,0)),TRIM($I360))))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",$C360)),"Head of Technology",IF(ISNUMBER(SEARCH("TDD BP",$C360)),"Business Partner",IF(OR(ISNUMBER(SEARCH("domain architect",$C360)),ISNUMBER(SEARCH("enterprise architect",$C360))),"Domain Architect",IF(ISNUMBER(SEARCH("delivery man",$C360)),"Delivery Manager",IF(OR(ISNUMBER(SEARCH("technology manager",$C360)),ISNUMBER(SEARCH("technology manger",$C360)),ISNUMBER(SEARCH("tech manager",$C360))),"Technology Manager","Squad"))))))</f>
        <v>Squad</v>
      </c>
      <c r="AS360" t="str">
        <f>IF(TRIM($B360)="","",IFERROR(INDEX(Lists!$AA:$AA,MATCH($AP360,Lists!$Z:$Z,0)),$AP360))</f>
        <v>Energy</v>
      </c>
      <c r="AT360" t="str">
        <f>IF(TRIM($B360)="","",IF(IFERROR(INDEX(Lists!$AP$2:$AP$4,MATCH(ROW(),Lists!$AN$2:$AN$4,0)),"")&lt;&gt;"",IFERROR(INDEX(Lists!$AP$2:$AP$4,MATCH(ROW(),Lists!$AN$2:$AN$4,0)),""),IF(OR(LEFT($AJ360,3)="COE",$AJ360="EGI"),$AP360,IF($AR360&lt;&gt;"Squad",$AR360,$AP360))))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>
        <f>IF(TRIM($B361)="","",IF(N($AU361)&gt;0,$AU361,IF(N($S361)&gt;0,$S361*Lists!$AG$15*(1+N($Z361)),N($U361)*(1+N($V361)+N($W361)+N($X361)+N($Z361))+N($Y361))))</f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IF(TRIM($B361)="","",IF(IFERROR(INDEX(Lists!$AO$2:$AO$4,MATCH(ROW(),Lists!$AN$2:$AN$4,0)),"")&lt;&gt;"",IFERROR(INDEX(Lists!$AO$2:$AO$4,MATCH(ROW(),Lists!$AN$2:$AN$4,0)),""),IFERROR(INDEX(Lists!$U:$U,MATCH(TRIM($I361),Lists!$T:$T,0)),TRIM($I361))))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",$C361)),"Head of Technology",IF(ISNUMBER(SEARCH("TDD BP",$C361)),"Business Partner",IF(OR(ISNUMBER(SEARCH("domain architect",$C361)),ISNUMBER(SEARCH("enterprise architect",$C361))),"Domain Architect",IF(ISNUMBER(SEARCH("delivery man",$C361)),"Delivery Manager",IF(OR(ISNUMBER(SEARCH("technology manager",$C361)),ISNUMBER(SEARCH("technology manger",$C361)),ISNUMBER(SEARCH("tech manager",$C361))),"Technology Manager","Squad"))))))</f>
        <v>Squad</v>
      </c>
      <c r="AS361" t="str">
        <f>IF(TRIM($B361)="","",IFERROR(INDEX(Lists!$AA:$AA,MATCH($AP361,Lists!$Z:$Z,0)),$AP361))</f>
        <v>Manufacturing Group Projects</v>
      </c>
      <c r="AT361" t="str">
        <f>IF(TRIM($B361)="","",IF(IFERROR(INDEX(Lists!$AP$2:$AP$4,MATCH(ROW(),Lists!$AN$2:$AN$4,0)),"")&lt;&gt;"",IFERROR(INDEX(Lists!$AP$2:$AP$4,MATCH(ROW(),Lists!$AN$2:$AN$4,0)),""),IF(OR(LEFT($AJ361,3)="COE",$AJ361="EGI"),$AP361,IF($AR361&lt;&gt;"Squad",$AR361,$AP361))))</f>
        <v>Manufacturing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>
        <f>IF(TRIM($B362)="","",IF(N($AU362)&gt;0,$AU362,IF(N($S362)&gt;0,$S362*Lists!$AG$15*(1+N($Z362)),N($U362)*(1+N($V362)+N($W362)+N($X362)+N($Z362))+N($Y362))))</f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IF(TRIM($B362)="","",IF(IFERROR(INDEX(Lists!$AO$2:$AO$4,MATCH(ROW(),Lists!$AN$2:$AN$4,0)),"")&lt;&gt;"",IFERROR(INDEX(Lists!$AO$2:$AO$4,MATCH(ROW(),Lists!$AN$2:$AN$4,0)),""),IFERROR(INDEX(Lists!$U:$U,MATCH(TRIM($I362),Lists!$T:$T,0)),TRIM($I362))))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",$C362)),"Head of Technology",IF(ISNUMBER(SEARCH("TDD BP",$C362)),"Business Partner",IF(OR(ISNUMBER(SEARCH("domain architect",$C362)),ISNUMBER(SEARCH("enterprise architect",$C362))),"Domain Architect",IF(ISNUMBER(SEARCH("delivery man",$C362)),"Delivery Manager",IF(OR(ISNUMBER(SEARCH("technology manager",$C362)),ISNUMBER(SEARCH("technology manger",$C362)),ISNUMBER(SEARCH("tech manager",$C362))),"Technology Manager","Squad"))))))</f>
        <v>Squad</v>
      </c>
      <c r="AS362" t="str">
        <f>IF(TRIM($B362)="","",IFERROR(INDEX(Lists!$AA:$AA,MATCH($AP362,Lists!$Z:$Z,0)),$AP362))</f>
        <v>B2B</v>
      </c>
      <c r="AT362" t="str">
        <f>IF(TRIM($B362)="","",IF(IFERROR(INDEX(Lists!$AP$2:$AP$4,MATCH(ROW(),Lists!$AN$2:$AN$4,0)),"")&lt;&gt;"",IFERROR(INDEX(Lists!$AP$2:$AP$4,MATCH(ROW(),Lists!$AN$2:$AN$4,0)),""),IF(OR(LEFT($AJ362,3)="COE",$AJ362="EGI"),$AP362,IF($AR362&lt;&gt;"Squad",$AR362,$AP362))))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>
        <f>IF(TRIM($B363)="","",IF(N($AU363)&gt;0,$AU363,IF(N($S363)&gt;0,$S363*Lists!$AG$15*(1+N($Z363)),N($U363)*(1+N($V363)+N($W363)+N($X363)+N($Z363))+N($Y363))))</f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IF(TRIM($B363)="","",IF(IFERROR(INDEX(Lists!$AO$2:$AO$4,MATCH(ROW(),Lists!$AN$2:$AN$4,0)),"")&lt;&gt;"",IFERROR(INDEX(Lists!$AO$2:$AO$4,MATCH(ROW(),Lists!$AN$2:$AN$4,0)),""),IFERROR(INDEX(Lists!$U:$U,MATCH(TRIM($I363),Lists!$T:$T,0)),TRIM($I363))))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",$C363)),"Head of Technology",IF(ISNUMBER(SEARCH("TDD BP",$C363)),"Business Partner",IF(OR(ISNUMBER(SEARCH("domain architect",$C363)),ISNUMBER(SEARCH("enterprise architect",$C363))),"Domain Architect",IF(ISNUMBER(SEARCH("delivery man",$C363)),"Delivery Manager",IF(OR(ISNUMBER(SEARCH("technology manager",$C363)),ISNUMBER(SEARCH("technology manger",$C363)),ISNUMBER(SEARCH("tech manager",$C363))),"Technology Manager","Squad"))))))</f>
        <v>Squad</v>
      </c>
      <c r="AS363" t="str">
        <f>IF(TRIM($B363)="","",IFERROR(INDEX(Lists!$AA:$AA,MATCH($AP363,Lists!$Z:$Z,0)),$AP363))</f>
        <v>CTRM</v>
      </c>
      <c r="AT363" t="str">
        <f>IF(TRIM($B363)="","",IF(IFERROR(INDEX(Lists!$AP$2:$AP$4,MATCH(ROW(),Lists!$AN$2:$AN$4,0)),"")&lt;&gt;"",IFERROR(INDEX(Lists!$AP$2:$AP$4,MATCH(ROW(),Lists!$AN$2:$AN$4,0)),""),IF(OR(LEFT($AJ363,3)="COE",$AJ363="EGI"),$AP363,IF($AR363&lt;&gt;"Squad",$AR363,$AP363))))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>
        <f>IF(TRIM($B364)="","",IF(N($AU364)&gt;0,$AU364,IF(N($S364)&gt;0,$S364*Lists!$AG$15*(1+N($Z364)),N($U364)*(1+N($V364)+N($W364)+N($X364)+N($Z364))+N($Y364))))</f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IF(TRIM($B364)="","",IF(IFERROR(INDEX(Lists!$AO$2:$AO$4,MATCH(ROW(),Lists!$AN$2:$AN$4,0)),"")&lt;&gt;"",IFERROR(INDEX(Lists!$AO$2:$AO$4,MATCH(ROW(),Lists!$AN$2:$AN$4,0)),""),IFERROR(INDEX(Lists!$U:$U,MATCH(TRIM($I364),Lists!$T:$T,0)),TRIM($I364))))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",$C364)),"Head of Technology",IF(ISNUMBER(SEARCH("TDD BP",$C364)),"Business Partner",IF(OR(ISNUMBER(SEARCH("domain architect",$C364)),ISNUMBER(SEARCH("enterprise architect",$C364))),"Domain Architect",IF(ISNUMBER(SEARCH("delivery man",$C364)),"Delivery Manager",IF(OR(ISNUMBER(SEARCH("technology manager",$C364)),ISNUMBER(SEARCH("technology manger",$C364)),ISNUMBER(SEARCH("tech manager",$C364))),"Technology Manager","Squad"))))))</f>
        <v>Squad</v>
      </c>
      <c r="AS364" t="str">
        <f>IF(TRIM($B364)="","",IFERROR(INDEX(Lists!$AA:$AA,MATCH($AP364,Lists!$Z:$Z,0)),$AP364))</f>
        <v>Leadership</v>
      </c>
      <c r="AT364" t="str">
        <f>IF(TRIM($B364)="","",IF(IFERROR(INDEX(Lists!$AP$2:$AP$4,MATCH(ROW(),Lists!$AN$2:$AN$4,0)),"")&lt;&gt;"",IFERROR(INDEX(Lists!$AP$2:$AP$4,MATCH(ROW(),Lists!$AN$2:$AN$4,0)),""),IF(OR(LEFT($AJ364,3)="COE",$AJ364="EGI"),$AP364,IF($AR364&lt;&gt;"Squad",$AR364,$AP364))))</f>
        <v>Leadership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>
        <f>IF(TRIM($B365)="","",IF(N($AU365)&gt;0,$AU365,IF(N($S365)&gt;0,$S365*Lists!$AG$15*(1+N($Z365)),N($U365)*(1+N($V365)+N($W365)+N($X365)+N($Z365))+N($Y365))))</f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IF(TRIM($B365)="","",IF(IFERROR(INDEX(Lists!$AO$2:$AO$4,MATCH(ROW(),Lists!$AN$2:$AN$4,0)),"")&lt;&gt;"",IFERROR(INDEX(Lists!$AO$2:$AO$4,MATCH(ROW(),Lists!$AN$2:$AN$4,0)),""),IFERROR(INDEX(Lists!$U:$U,MATCH(TRIM($I365),Lists!$T:$T,0)),TRIM($I365))))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",$C365)),"Head of Technology",IF(ISNUMBER(SEARCH("TDD BP",$C365)),"Business Partner",IF(OR(ISNUMBER(SEARCH("domain architect",$C365)),ISNUMBER(SEARCH("enterprise architect",$C365))),"Domain Architect",IF(ISNUMBER(SEARCH("delivery man",$C365)),"Delivery Manager",IF(OR(ISNUMBER(SEARCH("technology manager",$C365)),ISNUMBER(SEARCH("technology manger",$C365)),ISNUMBER(SEARCH("tech manager",$C365))),"Technology Manager","Squad"))))))</f>
        <v>Squad</v>
      </c>
      <c r="AS365" t="str">
        <f>IF(TRIM($B365)="","",IFERROR(INDEX(Lists!$AA:$AA,MATCH($AP365,Lists!$Z:$Z,0)),$AP365))</f>
        <v>Technology Support</v>
      </c>
      <c r="AT365" t="str">
        <f>IF(TRIM($B365)="","",IF(IFERROR(INDEX(Lists!$AP$2:$AP$4,MATCH(ROW(),Lists!$AN$2:$AN$4,0)),"")&lt;&gt;"",IFERROR(INDEX(Lists!$AP$2:$AP$4,MATCH(ROW(),Lists!$AN$2:$AN$4,0)),""),IF(OR(LEFT($AJ365,3)="COE",$AJ365="EGI"),$AP365,IF($AR365&lt;&gt;"Squad",$AR365,$AP365))))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>
        <f>IF(TRIM($B366)="","",IF(N($AU366)&gt;0,$AU366,IF(N($S366)&gt;0,$S366*Lists!$AG$15*(1+N($Z366)),N($U366)*(1+N($V366)+N($W366)+N($X366)+N($Z366))+N($Y366))))</f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IF(TRIM($B366)="","",IF(IFERROR(INDEX(Lists!$AO$2:$AO$4,MATCH(ROW(),Lists!$AN$2:$AN$4,0)),"")&lt;&gt;"",IFERROR(INDEX(Lists!$AO$2:$AO$4,MATCH(ROW(),Lists!$AN$2:$AN$4,0)),""),IFERROR(INDEX(Lists!$U:$U,MATCH(TRIM($I366),Lists!$T:$T,0)),TRIM($I366))))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",$C366)),"Head of Technology",IF(ISNUMBER(SEARCH("TDD BP",$C366)),"Business Partner",IF(OR(ISNUMBER(SEARCH("domain architect",$C366)),ISNUMBER(SEARCH("enterprise architect",$C366))),"Domain Architect",IF(ISNUMBER(SEARCH("delivery man",$C366)),"Delivery Manager",IF(OR(ISNUMBER(SEARCH("technology manager",$C366)),ISNUMBER(SEARCH("technology manger",$C366)),ISNUMBER(SEARCH("tech manager",$C366))),"Technology Manager","Squad"))))))</f>
        <v>Squad</v>
      </c>
      <c r="AS366" t="str">
        <f>IF(TRIM($B366)="","",IFERROR(INDEX(Lists!$AA:$AA,MATCH($AP366,Lists!$Z:$Z,0)),$AP366))</f>
        <v>EVCI</v>
      </c>
      <c r="AT366" t="str">
        <f>IF(TRIM($B366)="","",IF(IFERROR(INDEX(Lists!$AP$2:$AP$4,MATCH(ROW(),Lists!$AN$2:$AN$4,0)),"")&lt;&gt;"",IFERROR(INDEX(Lists!$AP$2:$AP$4,MATCH(ROW(),Lists!$AN$2:$AN$4,0)),""),IF(OR(LEFT($AJ366,3)="COE",$AJ366="EGI"),$AP366,IF($AR366&lt;&gt;"Squad",$AR366,$AP366))))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>
        <f>IF(TRIM($B367)="","",IF(N($AU367)&gt;0,$AU367,IF(N($S367)&gt;0,$S367*Lists!$AG$15*(1+N($Z367)),N($U367)*(1+N($V367)+N($W367)+N($X367)+N($Z367))+N($Y367))))</f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IF(TRIM($B367)="","",IF(IFERROR(INDEX(Lists!$AO$2:$AO$4,MATCH(ROW(),Lists!$AN$2:$AN$4,0)),"")&lt;&gt;"",IFERROR(INDEX(Lists!$AO$2:$AO$4,MATCH(ROW(),Lists!$AN$2:$AN$4,0)),""),IFERROR(INDEX(Lists!$U:$U,MATCH(TRIM($I367),Lists!$T:$T,0)),TRIM($I367))))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",$C367)),"Head of Technology",IF(ISNUMBER(SEARCH("TDD BP",$C367)),"Business Partner",IF(OR(ISNUMBER(SEARCH("domain architect",$C367)),ISNUMBER(SEARCH("enterprise architect",$C367))),"Domain Architect",IF(ISNUMBER(SEARCH("delivery man",$C367)),"Delivery Manager",IF(OR(ISNUMBER(SEARCH("technology manager",$C367)),ISNUMBER(SEARCH("technology manger",$C367)),ISNUMBER(SEARCH("tech manager",$C367))),"Technology Manager","Squad"))))))</f>
        <v>Squad</v>
      </c>
      <c r="AS367" t="str">
        <f>IF(TRIM($B367)="","",IFERROR(INDEX(Lists!$AA:$AA,MATCH($AP367,Lists!$Z:$Z,0)),$AP367))</f>
        <v>Energy</v>
      </c>
      <c r="AT367" t="str">
        <f>IF(TRIM($B367)="","",IF(IFERROR(INDEX(Lists!$AP$2:$AP$4,MATCH(ROW(),Lists!$AN$2:$AN$4,0)),"")&lt;&gt;"",IFERROR(INDEX(Lists!$AP$2:$AP$4,MATCH(ROW(),Lists!$AN$2:$AN$4,0)),""),IF(OR(LEFT($AJ367,3)="COE",$AJ367="EGI"),$AP367,IF($AR367&lt;&gt;"Squad",$AR367,$AP367))))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>
        <f>IF(TRIM($B368)="","",IF(N($AU368)&gt;0,$AU368,IF(N($S368)&gt;0,$S368*Lists!$AG$15*(1+N($Z368)),N($U368)*(1+N($V368)+N($W368)+N($X368)+N($Z368))+N($Y368))))</f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IF(TRIM($B368)="","",IF(IFERROR(INDEX(Lists!$AO$2:$AO$4,MATCH(ROW(),Lists!$AN$2:$AN$4,0)),"")&lt;&gt;"",IFERROR(INDEX(Lists!$AO$2:$AO$4,MATCH(ROW(),Lists!$AN$2:$AN$4,0)),""),IFERROR(INDEX(Lists!$U:$U,MATCH(TRIM($I368),Lists!$T:$T,0)),TRIM($I368))))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",$C368)),"Head of Technology",IF(ISNUMBER(SEARCH("TDD BP",$C368)),"Business Partner",IF(OR(ISNUMBER(SEARCH("domain architect",$C368)),ISNUMBER(SEARCH("enterprise architect",$C368))),"Domain Architect",IF(ISNUMBER(SEARCH("delivery man",$C368)),"Delivery Manager",IF(OR(ISNUMBER(SEARCH("technology manager",$C368)),ISNUMBER(SEARCH("technology manger",$C368)),ISNUMBER(SEARCH("tech manager",$C368))),"Technology Manager","Squad"))))))</f>
        <v>Squad</v>
      </c>
      <c r="AS368" t="str">
        <f>IF(TRIM($B368)="","",IFERROR(INDEX(Lists!$AA:$AA,MATCH($AP368,Lists!$Z:$Z,0)),$AP368))</f>
        <v>Trading &amp; Shipping</v>
      </c>
      <c r="AT368" t="str">
        <f>IF(TRIM($B368)="","",IF(IFERROR(INDEX(Lists!$AP$2:$AP$4,MATCH(ROW(),Lists!$AN$2:$AN$4,0)),"")&lt;&gt;"",IFERROR(INDEX(Lists!$AP$2:$AP$4,MATCH(ROW(),Lists!$AN$2:$AN$4,0)),""),IF(OR(LEFT($AJ368,3)="COE",$AJ368="EGI"),$AP368,IF($AR368&lt;&gt;"Squad",$AR368,$AP368))))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>
        <f>IF(TRIM($B369)="","",IF(N($AU369)&gt;0,$AU369,IF(N($S369)&gt;0,$S369*Lists!$AG$15*(1+N($Z369)),N($U369)*(1+N($V369)+N($W369)+N($X369)+N($Z369))+N($Y369))))</f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IF(TRIM($B369)="","",IF(IFERROR(INDEX(Lists!$AO$2:$AO$4,MATCH(ROW(),Lists!$AN$2:$AN$4,0)),"")&lt;&gt;"",IFERROR(INDEX(Lists!$AO$2:$AO$4,MATCH(ROW(),Lists!$AN$2:$AN$4,0)),""),IFERROR(INDEX(Lists!$U:$U,MATCH(TRIM($I369),Lists!$T:$T,0)),TRIM($I369))))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",$C369)),"Head of Technology",IF(ISNUMBER(SEARCH("TDD BP",$C369)),"Business Partner",IF(OR(ISNUMBER(SEARCH("domain architect",$C369)),ISNUMBER(SEARCH("enterprise architect",$C369))),"Domain Architect",IF(ISNUMBER(SEARCH("delivery man",$C369)),"Delivery Manager",IF(OR(ISNUMBER(SEARCH("technology manager",$C369)),ISNUMBER(SEARCH("technology manger",$C369)),ISNUMBER(SEARCH("tech manager",$C369))),"Technology Manager","Squad"))))))</f>
        <v>Squad</v>
      </c>
      <c r="AS369" t="str">
        <f>IF(TRIM($B369)="","",IFERROR(INDEX(Lists!$AA:$AA,MATCH($AP369,Lists!$Z:$Z,0)),$AP369))</f>
        <v>CTRM</v>
      </c>
      <c r="AT369" t="str">
        <f>IF(TRIM($B369)="","",IF(IFERROR(INDEX(Lists!$AP$2:$AP$4,MATCH(ROW(),Lists!$AN$2:$AN$4,0)),"")&lt;&gt;"",IFERROR(INDEX(Lists!$AP$2:$AP$4,MATCH(ROW(),Lists!$AN$2:$AN$4,0)),""),IF(OR(LEFT($AJ369,3)="COE",$AJ369="EGI"),$AP369,IF($AR369&lt;&gt;"Squad",$AR369,$AP369))))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>
        <f>IF(TRIM($B370)="","",IF(N($AU370)&gt;0,$AU370,IF(N($S370)&gt;0,$S370*Lists!$AG$15*(1+N($Z370)),N($U370)*(1+N($V370)+N($W370)+N($X370)+N($Z370))+N($Y370))))</f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IF(TRIM($B370)="","",IF(IFERROR(INDEX(Lists!$AO$2:$AO$4,MATCH(ROW(),Lists!$AN$2:$AN$4,0)),"")&lt;&gt;"",IFERROR(INDEX(Lists!$AO$2:$AO$4,MATCH(ROW(),Lists!$AN$2:$AN$4,0)),""),IFERROR(INDEX(Lists!$U:$U,MATCH(TRIM($I370),Lists!$T:$T,0)),TRIM($I370))))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",$C370)),"Head of Technology",IF(ISNUMBER(SEARCH("TDD BP",$C370)),"Business Partner",IF(OR(ISNUMBER(SEARCH("domain architect",$C370)),ISNUMBER(SEARCH("enterprise architect",$C370))),"Domain Architect",IF(ISNUMBER(SEARCH("delivery man",$C370)),"Delivery Manager",IF(OR(ISNUMBER(SEARCH("technology manager",$C370)),ISNUMBER(SEARCH("technology manger",$C370)),ISNUMBER(SEARCH("tech manager",$C370))),"Technology Manager","Squad"))))))</f>
        <v>Squad</v>
      </c>
      <c r="AS370" t="str">
        <f>IF(TRIM($B370)="","",IFERROR(INDEX(Lists!$AA:$AA,MATCH($AP370,Lists!$Z:$Z,0)),$AP370))</f>
        <v>Trading &amp; Shipping</v>
      </c>
      <c r="AT370" t="str">
        <f>IF(TRIM($B370)="","",IF(IFERROR(INDEX(Lists!$AP$2:$AP$4,MATCH(ROW(),Lists!$AN$2:$AN$4,0)),"")&lt;&gt;"",IFERROR(INDEX(Lists!$AP$2:$AP$4,MATCH(ROW(),Lists!$AN$2:$AN$4,0)),""),IF(OR(LEFT($AJ370,3)="COE",$AJ370="EGI"),$AP370,IF($AR370&lt;&gt;"Squad",$AR370,$AP370))))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>
        <f>IF(TRIM($B371)="","",IF(N($AU371)&gt;0,$AU371,IF(N($S371)&gt;0,$S371*Lists!$AG$15*(1+N($Z371)),N($U371)*(1+N($V371)+N($W371)+N($X371)+N($Z371))+N($Y371))))</f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IF(TRIM($B371)="","",IF(IFERROR(INDEX(Lists!$AO$2:$AO$4,MATCH(ROW(),Lists!$AN$2:$AN$4,0)),"")&lt;&gt;"",IFERROR(INDEX(Lists!$AO$2:$AO$4,MATCH(ROW(),Lists!$AN$2:$AN$4,0)),""),IFERROR(INDEX(Lists!$U:$U,MATCH(TRIM($I371),Lists!$T:$T,0)),TRIM($I371))))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",$C371)),"Head of Technology",IF(ISNUMBER(SEARCH("TDD BP",$C371)),"Business Partner",IF(OR(ISNUMBER(SEARCH("domain architect",$C371)),ISNUMBER(SEARCH("enterprise architect",$C371))),"Domain Architect",IF(ISNUMBER(SEARCH("delivery man",$C371)),"Delivery Manager",IF(OR(ISNUMBER(SEARCH("technology manager",$C371)),ISNUMBER(SEARCH("technology manger",$C371)),ISNUMBER(SEARCH("tech manager",$C371))),"Technology Manager","Squad"))))))</f>
        <v>Squad</v>
      </c>
      <c r="AS371" t="str">
        <f>IF(TRIM($B371)="","",IFERROR(INDEX(Lists!$AA:$AA,MATCH($AP371,Lists!$Z:$Z,0)),$AP371))</f>
        <v>Energy</v>
      </c>
      <c r="AT371" t="str">
        <f>IF(TRIM($B371)="","",IF(IFERROR(INDEX(Lists!$AP$2:$AP$4,MATCH(ROW(),Lists!$AN$2:$AN$4,0)),"")&lt;&gt;"",IFERROR(INDEX(Lists!$AP$2:$AP$4,MATCH(ROW(),Lists!$AN$2:$AN$4,0)),""),IF(OR(LEFT($AJ371,3)="COE",$AJ371="EGI"),$AP371,IF($AR371&lt;&gt;"Squad",$AR371,$AP371))))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>
        <f>IF(TRIM($B372)="","",IF(N($AU372)&gt;0,$AU372,IF(N($S372)&gt;0,$S372*Lists!$AG$15*(1+N($Z372)),N($U372)*(1+N($V372)+N($W372)+N($X372)+N($Z372))+N($Y372))))</f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IF(TRIM($B372)="","",IF(IFERROR(INDEX(Lists!$AO$2:$AO$4,MATCH(ROW(),Lists!$AN$2:$AN$4,0)),"")&lt;&gt;"",IFERROR(INDEX(Lists!$AO$2:$AO$4,MATCH(ROW(),Lists!$AN$2:$AN$4,0)),""),IFERROR(INDEX(Lists!$U:$U,MATCH(TRIM($I372),Lists!$T:$T,0)),TRIM($I372))))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",$C372)),"Head of Technology",IF(ISNUMBER(SEARCH("TDD BP",$C372)),"Business Partner",IF(OR(ISNUMBER(SEARCH("domain architect",$C372)),ISNUMBER(SEARCH("enterprise architect",$C372))),"Domain Architect",IF(ISNUMBER(SEARCH("delivery man",$C372)),"Delivery Manager",IF(OR(ISNUMBER(SEARCH("technology manager",$C372)),ISNUMBER(SEARCH("technology manger",$C372)),ISNUMBER(SEARCH("tech manager",$C372))),"Technology Manager","Squad"))))))</f>
        <v>Squad</v>
      </c>
      <c r="AS372" t="str">
        <f>IF(TRIM($B372)="","",IFERROR(INDEX(Lists!$AA:$AA,MATCH($AP372,Lists!$Z:$Z,0)),$AP372))</f>
        <v>Manufacturing Group Projects</v>
      </c>
      <c r="AT372" t="str">
        <f>IF(TRIM($B372)="","",IF(IFERROR(INDEX(Lists!$AP$2:$AP$4,MATCH(ROW(),Lists!$AN$2:$AN$4,0)),"")&lt;&gt;"",IFERROR(INDEX(Lists!$AP$2:$AP$4,MATCH(ROW(),Lists!$AN$2:$AN$4,0)),""),IF(OR(LEFT($AJ372,3)="COE",$AJ372="EGI"),$AP372,IF($AR372&lt;&gt;"Squad",$AR372,$AP372))))</f>
        <v>Manufacturing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>
        <f>IF(TRIM($B373)="","",IF(N($AU373)&gt;0,$AU373,IF(N($S373)&gt;0,$S373*Lists!$AG$15*(1+N($Z373)),N($U373)*(1+N($V373)+N($W373)+N($X373)+N($Z373))+N($Y373))))</f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IF(TRIM($B373)="","",IF(IFERROR(INDEX(Lists!$AO$2:$AO$4,MATCH(ROW(),Lists!$AN$2:$AN$4,0)),"")&lt;&gt;"",IFERROR(INDEX(Lists!$AO$2:$AO$4,MATCH(ROW(),Lists!$AN$2:$AN$4,0)),""),IFERROR(INDEX(Lists!$U:$U,MATCH(TRIM($I373),Lists!$T:$T,0)),TRIM($I373))))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",$C373)),"Head of Technology",IF(ISNUMBER(SEARCH("TDD BP",$C373)),"Business Partner",IF(OR(ISNUMBER(SEARCH("domain architect",$C373)),ISNUMBER(SEARCH("enterprise architect",$C373))),"Domain Architect",IF(ISNUMBER(SEARCH("delivery man",$C373)),"Delivery Manager",IF(OR(ISNUMBER(SEARCH("technology manager",$C373)),ISNUMBER(SEARCH("technology manger",$C373)),ISNUMBER(SEARCH("tech manager",$C373))),"Technology Manager","Squad"))))))</f>
        <v>Squad</v>
      </c>
      <c r="AS373" t="str">
        <f>IF(TRIM($B373)="","",IFERROR(INDEX(Lists!$AA:$AA,MATCH($AP373,Lists!$Z:$Z,0)),$AP373))</f>
        <v>Trading &amp; Shipping</v>
      </c>
      <c r="AT373" t="str">
        <f>IF(TRIM($B373)="","",IF(IFERROR(INDEX(Lists!$AP$2:$AP$4,MATCH(ROW(),Lists!$AN$2:$AN$4,0)),"")&lt;&gt;"",IFERROR(INDEX(Lists!$AP$2:$AP$4,MATCH(ROW(),Lists!$AN$2:$AN$4,0)),""),IF(OR(LEFT($AJ373,3)="COE",$AJ373="EGI"),$AP373,IF($AR373&lt;&gt;"Squad",$AR373,$AP373))))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>
        <f>IF(TRIM($B374)="","",IF(N($AU374)&gt;0,$AU374,IF(N($S374)&gt;0,$S374*Lists!$AG$15*(1+N($Z374)),N($U374)*(1+N($V374)+N($W374)+N($X374)+N($Z374))+N($Y374))))</f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IF(TRIM($B374)="","",IF(IFERROR(INDEX(Lists!$AO$2:$AO$4,MATCH(ROW(),Lists!$AN$2:$AN$4,0)),"")&lt;&gt;"",IFERROR(INDEX(Lists!$AO$2:$AO$4,MATCH(ROW(),Lists!$AN$2:$AN$4,0)),""),IFERROR(INDEX(Lists!$U:$U,MATCH(TRIM($I374),Lists!$T:$T,0)),TRIM($I374))))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",$C374)),"Head of Technology",IF(ISNUMBER(SEARCH("TDD BP",$C374)),"Business Partner",IF(OR(ISNUMBER(SEARCH("domain architect",$C374)),ISNUMBER(SEARCH("enterprise architect",$C374))),"Domain Architect",IF(ISNUMBER(SEARCH("delivery man",$C374)),"Delivery Manager",IF(OR(ISNUMBER(SEARCH("technology manager",$C374)),ISNUMBER(SEARCH("technology manger",$C374)),ISNUMBER(SEARCH("tech manager",$C374))),"Technology Manager","Squad"))))))</f>
        <v>Squad</v>
      </c>
      <c r="AS374" t="str">
        <f>IF(TRIM($B374)="","",IFERROR(INDEX(Lists!$AA:$AA,MATCH($AP374,Lists!$Z:$Z,0)),$AP374))</f>
        <v>B2B</v>
      </c>
      <c r="AT374" t="str">
        <f>IF(TRIM($B374)="","",IF(IFERROR(INDEX(Lists!$AP$2:$AP$4,MATCH(ROW(),Lists!$AN$2:$AN$4,0)),"")&lt;&gt;"",IFERROR(INDEX(Lists!$AP$2:$AP$4,MATCH(ROW(),Lists!$AN$2:$AN$4,0)),""),IF(OR(LEFT($AJ374,3)="COE",$AJ374="EGI"),$AP374,IF($AR374&lt;&gt;"Squad",$AR374,$AP374))))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>
        <f>IF(TRIM($B375)="","",IF(N($AU375)&gt;0,$AU375,IF(N($S375)&gt;0,$S375*Lists!$AG$15*(1+N($Z375)),N($U375)*(1+N($V375)+N($W375)+N($X375)+N($Z375))+N($Y375))))</f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IF(TRIM($B375)="","",IF(IFERROR(INDEX(Lists!$AO$2:$AO$4,MATCH(ROW(),Lists!$AN$2:$AN$4,0)),"")&lt;&gt;"",IFERROR(INDEX(Lists!$AO$2:$AO$4,MATCH(ROW(),Lists!$AN$2:$AN$4,0)),""),IFERROR(INDEX(Lists!$U:$U,MATCH(TRIM($I375),Lists!$T:$T,0)),TRIM($I375))))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",$C375)),"Head of Technology",IF(ISNUMBER(SEARCH("TDD BP",$C375)),"Business Partner",IF(OR(ISNUMBER(SEARCH("domain architect",$C375)),ISNUMBER(SEARCH("enterprise architect",$C375))),"Domain Architect",IF(ISNUMBER(SEARCH("delivery man",$C375)),"Delivery Manager",IF(OR(ISNUMBER(SEARCH("technology manager",$C375)),ISNUMBER(SEARCH("technology manger",$C375)),ISNUMBER(SEARCH("tech manager",$C375))),"Technology Manager","Squad"))))))</f>
        <v>Squad</v>
      </c>
      <c r="AS375" t="str">
        <f>IF(TRIM($B375)="","",IFERROR(INDEX(Lists!$AA:$AA,MATCH($AP375,Lists!$Z:$Z,0)),$AP375))</f>
        <v>Distribution, Sales &amp; Services</v>
      </c>
      <c r="AT375" t="str">
        <f>IF(TRIM($B375)="","",IF(IFERROR(INDEX(Lists!$AP$2:$AP$4,MATCH(ROW(),Lists!$AN$2:$AN$4,0)),"")&lt;&gt;"",IFERROR(INDEX(Lists!$AP$2:$AP$4,MATCH(ROW(),Lists!$AN$2:$AN$4,0)),""),IF(OR(LEFT($AJ375,3)="COE",$AJ375="EGI"),$AP375,IF($AR375&lt;&gt;"Squad",$AR375,$AP375))))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>
        <f>IF(TRIM($B376)="","",IF(N($AU376)&gt;0,$AU376,IF(N($S376)&gt;0,$S376*Lists!$AG$15*(1+N($Z376)),N($U376)*(1+N($V376)+N($W376)+N($X376)+N($Z376))+N($Y376))))</f>
        <v>322387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IF(TRIM($B376)="","",IF(IFERROR(INDEX(Lists!$AO$2:$AO$4,MATCH(ROW(),Lists!$AN$2:$AN$4,0)),"")&lt;&gt;"",IFERROR(INDEX(Lists!$AO$2:$AO$4,MATCH(ROW(),Lists!$AN$2:$AN$4,0)),""),IFERROR(INDEX(Lists!$U:$U,MATCH(TRIM($I376),Lists!$T:$T,0)),TRIM($I376))))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",$C376)),"Head of Technology",IF(ISNUMBER(SEARCH("TDD BP",$C376)),"Business Partner",IF(OR(ISNUMBER(SEARCH("domain architect",$C376)),ISNUMBER(SEARCH("enterprise architect",$C376))),"Domain Architect",IF(ISNUMBER(SEARCH("delivery man",$C376)),"Delivery Manager",IF(OR(ISNUMBER(SEARCH("technology manager",$C376)),ISNUMBER(SEARCH("technology manger",$C376)),ISNUMBER(SEARCH("tech manager",$C376))),"Technology Manager","Squad"))))))</f>
        <v>Squad</v>
      </c>
      <c r="AS376" t="str">
        <f>IF(TRIM($B376)="","",IFERROR(INDEX(Lists!$AA:$AA,MATCH($AP376,Lists!$Z:$Z,0)),$AP376))</f>
        <v>Trading &amp; Shipping Data</v>
      </c>
      <c r="AT376" t="str">
        <f>IF(TRIM($B376)="","",IF(IFERROR(INDEX(Lists!$AP$2:$AP$4,MATCH(ROW(),Lists!$AN$2:$AN$4,0)),"")&lt;&gt;"",IFERROR(INDEX(Lists!$AP$2:$AP$4,MATCH(ROW(),Lists!$AN$2:$AN$4,0)),""),IF(OR(LEFT($AJ376,3)="COE",$AJ376="EGI"),$AP376,IF($AR376&lt;&gt;"Squad",$AR376,$AP376))))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>
        <f>IF(TRIM($B377)="","",IF(N($AU377)&gt;0,$AU377,IF(N($S377)&gt;0,$S377*Lists!$AG$15*(1+N($Z377)),N($U377)*(1+N($V377)+N($W377)+N($X377)+N($Z377))+N($Y377))))</f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IF(TRIM($B377)="","",IF(IFERROR(INDEX(Lists!$AO$2:$AO$4,MATCH(ROW(),Lists!$AN$2:$AN$4,0)),"")&lt;&gt;"",IFERROR(INDEX(Lists!$AO$2:$AO$4,MATCH(ROW(),Lists!$AN$2:$AN$4,0)),""),IFERROR(INDEX(Lists!$U:$U,MATCH(TRIM($I377),Lists!$T:$T,0)),TRIM($I377))))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",$C377)),"Head of Technology",IF(ISNUMBER(SEARCH("TDD BP",$C377)),"Business Partner",IF(OR(ISNUMBER(SEARCH("domain architect",$C377)),ISNUMBER(SEARCH("enterprise architect",$C377))),"Domain Architect",IF(ISNUMBER(SEARCH("delivery man",$C377)),"Delivery Manager",IF(OR(ISNUMBER(SEARCH("technology manager",$C377)),ISNUMBER(SEARCH("technology manger",$C377)),ISNUMBER(SEARCH("tech manager",$C377))),"Technology Manager","Squad"))))))</f>
        <v>Squad</v>
      </c>
      <c r="AS377" t="str">
        <f>IF(TRIM($B377)="","",IFERROR(INDEX(Lists!$AA:$AA,MATCH($AP377,Lists!$Z:$Z,0)),$AP377))</f>
        <v>EVCI</v>
      </c>
      <c r="AT377" t="str">
        <f>IF(TRIM($B377)="","",IF(IFERROR(INDEX(Lists!$AP$2:$AP$4,MATCH(ROW(),Lists!$AN$2:$AN$4,0)),"")&lt;&gt;"",IFERROR(INDEX(Lists!$AP$2:$AP$4,MATCH(ROW(),Lists!$AN$2:$AN$4,0)),""),IF(OR(LEFT($AJ377,3)="COE",$AJ377="EGI"),$AP377,IF($AR377&lt;&gt;"Squad",$AR377,$AP377))))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>
        <f>IF(TRIM($B378)="","",IF(N($AU378)&gt;0,$AU378,IF(N($S378)&gt;0,$S378*Lists!$AG$15*(1+N($Z378)),N($U378)*(1+N($V378)+N($W378)+N($X378)+N($Z378))+N($Y378))))</f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IF(TRIM($B378)="","",IF(IFERROR(INDEX(Lists!$AO$2:$AO$4,MATCH(ROW(),Lists!$AN$2:$AN$4,0)),"")&lt;&gt;"",IFERROR(INDEX(Lists!$AO$2:$AO$4,MATCH(ROW(),Lists!$AN$2:$AN$4,0)),""),IFERROR(INDEX(Lists!$U:$U,MATCH(TRIM($I378),Lists!$T:$T,0)),TRIM($I378))))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",$C378)),"Head of Technology",IF(ISNUMBER(SEARCH("TDD BP",$C378)),"Business Partner",IF(OR(ISNUMBER(SEARCH("domain architect",$C378)),ISNUMBER(SEARCH("enterprise architect",$C378))),"Domain Architect",IF(ISNUMBER(SEARCH("delivery man",$C378)),"Delivery Manager",IF(OR(ISNUMBER(SEARCH("technology manager",$C378)),ISNUMBER(SEARCH("technology manger",$C378)),ISNUMBER(SEARCH("tech manager",$C378))),"Technology Manager","Squad"))))))</f>
        <v>Squad</v>
      </c>
      <c r="AS378" t="str">
        <f>IF(TRIM($B378)="","",IFERROR(INDEX(Lists!$AA:$AA,MATCH($AP378,Lists!$Z:$Z,0)),$AP378))</f>
        <v>Trading &amp; Shipping</v>
      </c>
      <c r="AT378" t="str">
        <f>IF(TRIM($B378)="","",IF(IFERROR(INDEX(Lists!$AP$2:$AP$4,MATCH(ROW(),Lists!$AN$2:$AN$4,0)),"")&lt;&gt;"",IFERROR(INDEX(Lists!$AP$2:$AP$4,MATCH(ROW(),Lists!$AN$2:$AN$4,0)),""),IF(OR(LEFT($AJ378,3)="COE",$AJ378="EGI"),$AP378,IF($AR378&lt;&gt;"Squad",$AR378,$AP378))))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>
        <f>IF(TRIM($B379)="","",IF(N($AU379)&gt;0,$AU379,IF(N($S379)&gt;0,$S379*Lists!$AG$15*(1+N($Z379)),N($U379)*(1+N($V379)+N($W379)+N($X379)+N($Z379))+N($Y379))))</f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IF(TRIM($B379)="","",IF(IFERROR(INDEX(Lists!$AO$2:$AO$4,MATCH(ROW(),Lists!$AN$2:$AN$4,0)),"")&lt;&gt;"",IFERROR(INDEX(Lists!$AO$2:$AO$4,MATCH(ROW(),Lists!$AN$2:$AN$4,0)),""),IFERROR(INDEX(Lists!$U:$U,MATCH(TRIM($I379),Lists!$T:$T,0)),TRIM($I379))))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",$C379)),"Head of Technology",IF(ISNUMBER(SEARCH("TDD BP",$C379)),"Business Partner",IF(OR(ISNUMBER(SEARCH("domain architect",$C379)),ISNUMBER(SEARCH("enterprise architect",$C379))),"Domain Architect",IF(ISNUMBER(SEARCH("delivery man",$C379)),"Delivery Manager",IF(OR(ISNUMBER(SEARCH("technology manager",$C379)),ISNUMBER(SEARCH("technology manger",$C379)),ISNUMBER(SEARCH("tech manager",$C379))),"Technology Manager","Squad"))))))</f>
        <v>Squad</v>
      </c>
      <c r="AS379" t="str">
        <f>IF(TRIM($B379)="","",IFERROR(INDEX(Lists!$AA:$AA,MATCH($AP379,Lists!$Z:$Z,0)),$AP379))</f>
        <v>Trading &amp; Shipping</v>
      </c>
      <c r="AT379" t="str">
        <f>IF(TRIM($B379)="","",IF(IFERROR(INDEX(Lists!$AP$2:$AP$4,MATCH(ROW(),Lists!$AN$2:$AN$4,0)),"")&lt;&gt;"",IFERROR(INDEX(Lists!$AP$2:$AP$4,MATCH(ROW(),Lists!$AN$2:$AN$4,0)),""),IF(OR(LEFT($AJ379,3)="COE",$AJ379="EGI"),$AP379,IF($AR379&lt;&gt;"Squad",$AR379,$AP379))))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>
        <f>IF(TRIM($B380)="","",IF(N($AU380)&gt;0,$AU380,IF(N($S380)&gt;0,$S380*Lists!$AG$15*(1+N($Z380)),N($U380)*(1+N($V380)+N($W380)+N($X380)+N($Z380))+N($Y380))))</f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IF(TRIM($B380)="","",IF(IFERROR(INDEX(Lists!$AO$2:$AO$4,MATCH(ROW(),Lists!$AN$2:$AN$4,0)),"")&lt;&gt;"",IFERROR(INDEX(Lists!$AO$2:$AO$4,MATCH(ROW(),Lists!$AN$2:$AN$4,0)),""),IFERROR(INDEX(Lists!$U:$U,MATCH(TRIM($I380),Lists!$T:$T,0)),TRIM($I380))))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",$C380)),"Head of Technology",IF(ISNUMBER(SEARCH("TDD BP",$C380)),"Business Partner",IF(OR(ISNUMBER(SEARCH("domain architect",$C380)),ISNUMBER(SEARCH("enterprise architect",$C380))),"Domain Architect",IF(ISNUMBER(SEARCH("delivery man",$C380)),"Delivery Manager",IF(OR(ISNUMBER(SEARCH("technology manager",$C380)),ISNUMBER(SEARCH("technology manger",$C380)),ISNUMBER(SEARCH("tech manager",$C380))),"Technology Manager","Squad"))))))</f>
        <v>Squad</v>
      </c>
      <c r="AS380" t="str">
        <f>IF(TRIM($B380)="","",IFERROR(INDEX(Lists!$AA:$AA,MATCH($AP380,Lists!$Z:$Z,0)),$AP380))</f>
        <v>AmPOS</v>
      </c>
      <c r="AT380" t="str">
        <f>IF(TRIM($B380)="","",IF(IFERROR(INDEX(Lists!$AP$2:$AP$4,MATCH(ROW(),Lists!$AN$2:$AN$4,0)),"")&lt;&gt;"",IFERROR(INDEX(Lists!$AP$2:$AP$4,MATCH(ROW(),Lists!$AN$2:$AN$4,0)),""),IF(OR(LEFT($AJ380,3)="COE",$AJ380="EGI"),$AP380,IF($AR380&lt;&gt;"Squad",$AR380,$AP380))))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>
        <f>IF(TRIM($B381)="","",IF(N($AU381)&gt;0,$AU381,IF(N($S381)&gt;0,$S381*Lists!$AG$15*(1+N($Z381)),N($U381)*(1+N($V381)+N($W381)+N($X381)+N($Z381))+N($Y381))))</f>
        <v>375566.5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IF(TRIM($B381)="","",IF(IFERROR(INDEX(Lists!$AO$2:$AO$4,MATCH(ROW(),Lists!$AN$2:$AN$4,0)),"")&lt;&gt;"",IFERROR(INDEX(Lists!$AO$2:$AO$4,MATCH(ROW(),Lists!$AN$2:$AN$4,0)),""),IFERROR(INDEX(Lists!$U:$U,MATCH(TRIM($I381),Lists!$T:$T,0)),TRIM($I381))))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",$C381)),"Head of Technology",IF(ISNUMBER(SEARCH("TDD BP",$C381)),"Business Partner",IF(OR(ISNUMBER(SEARCH("domain architect",$C381)),ISNUMBER(SEARCH("enterprise architect",$C381))),"Domain Architect",IF(ISNUMBER(SEARCH("delivery man",$C381)),"Delivery Manager",IF(OR(ISNUMBER(SEARCH("technology manager",$C381)),ISNUMBER(SEARCH("technology manger",$C381)),ISNUMBER(SEARCH("tech manager",$C381))),"Technology Manager","Squad"))))))</f>
        <v>Squad</v>
      </c>
      <c r="AS381" t="str">
        <f>IF(TRIM($B381)="","",IFERROR(INDEX(Lists!$AA:$AA,MATCH($AP381,Lists!$Z:$Z,0)),$AP381))</f>
        <v>Trading &amp; Shipping Data</v>
      </c>
      <c r="AT381" t="str">
        <f>IF(TRIM($B381)="","",IF(IFERROR(INDEX(Lists!$AP$2:$AP$4,MATCH(ROW(),Lists!$AN$2:$AN$4,0)),"")&lt;&gt;"",IFERROR(INDEX(Lists!$AP$2:$AP$4,MATCH(ROW(),Lists!$AN$2:$AN$4,0)),""),IF(OR(LEFT($AJ381,3)="COE",$AJ381="EGI"),$AP381,IF($AR381&lt;&gt;"Squad",$AR381,$AP381))))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>
        <f>IF(TRIM($B382)="","",IF(N($AU382)&gt;0,$AU382,IF(N($S382)&gt;0,$S382*Lists!$AG$15*(1+N($Z382)),N($U382)*(1+N($V382)+N($W382)+N($X382)+N($Z382))+N($Y382))))</f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IF(TRIM($B382)="","",IF(IFERROR(INDEX(Lists!$AO$2:$AO$4,MATCH(ROW(),Lists!$AN$2:$AN$4,0)),"")&lt;&gt;"",IFERROR(INDEX(Lists!$AO$2:$AO$4,MATCH(ROW(),Lists!$AN$2:$AN$4,0)),""),IFERROR(INDEX(Lists!$U:$U,MATCH(TRIM($I382),Lists!$T:$T,0)),TRIM($I382))))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",$C382)),"Head of Technology",IF(ISNUMBER(SEARCH("TDD BP",$C382)),"Business Partner",IF(OR(ISNUMBER(SEARCH("domain architect",$C382)),ISNUMBER(SEARCH("enterprise architect",$C382))),"Domain Architect",IF(ISNUMBER(SEARCH("delivery man",$C382)),"Delivery Manager",IF(OR(ISNUMBER(SEARCH("technology manager",$C382)),ISNUMBER(SEARCH("technology manger",$C382)),ISNUMBER(SEARCH("tech manager",$C382))),"Technology Manager","Squad"))))))</f>
        <v>Squad</v>
      </c>
      <c r="AS382" t="str">
        <f>IF(TRIM($B382)="","",IFERROR(INDEX(Lists!$AA:$AA,MATCH($AP382,Lists!$Z:$Z,0)),$AP382))</f>
        <v>EVCI</v>
      </c>
      <c r="AT382" t="str">
        <f>IF(TRIM($B382)="","",IF(IFERROR(INDEX(Lists!$AP$2:$AP$4,MATCH(ROW(),Lists!$AN$2:$AN$4,0)),"")&lt;&gt;"",IFERROR(INDEX(Lists!$AP$2:$AP$4,MATCH(ROW(),Lists!$AN$2:$AN$4,0)),""),IF(OR(LEFT($AJ382,3)="COE",$AJ382="EGI"),$AP382,IF($AR382&lt;&gt;"Squad",$AR382,$AP382))))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>
        <f>IF(TRIM($B383)="","",IF(N($AU383)&gt;0,$AU383,IF(N($S383)&gt;0,$S383*Lists!$AG$15*(1+N($Z383)),N($U383)*(1+N($V383)+N($W383)+N($X383)+N($Z383))+N($Y383))))</f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IF(TRIM($B383)="","",IF(IFERROR(INDEX(Lists!$AO$2:$AO$4,MATCH(ROW(),Lists!$AN$2:$AN$4,0)),"")&lt;&gt;"",IFERROR(INDEX(Lists!$AO$2:$AO$4,MATCH(ROW(),Lists!$AN$2:$AN$4,0)),""),IFERROR(INDEX(Lists!$U:$U,MATCH(TRIM($I383),Lists!$T:$T,0)),TRIM($I383))))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",$C383)),"Head of Technology",IF(ISNUMBER(SEARCH("TDD BP",$C383)),"Business Partner",IF(OR(ISNUMBER(SEARCH("domain architect",$C383)),ISNUMBER(SEARCH("enterprise architect",$C383))),"Domain Architect",IF(ISNUMBER(SEARCH("delivery man",$C383)),"Delivery Manager",IF(OR(ISNUMBER(SEARCH("technology manager",$C383)),ISNUMBER(SEARCH("technology manger",$C383)),ISNUMBER(SEARCH("tech manager",$C383))),"Technology Manager","Squad"))))))</f>
        <v>Squad</v>
      </c>
      <c r="AS383" t="str">
        <f>IF(TRIM($B383)="","",IFERROR(INDEX(Lists!$AA:$AA,MATCH($AP383,Lists!$Z:$Z,0)),$AP383))</f>
        <v>CTRM</v>
      </c>
      <c r="AT383" t="str">
        <f>IF(TRIM($B383)="","",IF(IFERROR(INDEX(Lists!$AP$2:$AP$4,MATCH(ROW(),Lists!$AN$2:$AN$4,0)),"")&lt;&gt;"",IFERROR(INDEX(Lists!$AP$2:$AP$4,MATCH(ROW(),Lists!$AN$2:$AN$4,0)),""),IF(OR(LEFT($AJ383,3)="COE",$AJ383="EGI"),$AP383,IF($AR383&lt;&gt;"Squad",$AR383,$AP383))))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>
        <f>IF(TRIM($B384)="","",IF(N($AU384)&gt;0,$AU384,IF(N($S384)&gt;0,$S384*Lists!$AG$15*(1+N($Z384)),N($U384)*(1+N($V384)+N($W384)+N($X384)+N($Z384))+N($Y384))))</f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IF(TRIM($B384)="","",IF(IFERROR(INDEX(Lists!$AO$2:$AO$4,MATCH(ROW(),Lists!$AN$2:$AN$4,0)),"")&lt;&gt;"",IFERROR(INDEX(Lists!$AO$2:$AO$4,MATCH(ROW(),Lists!$AN$2:$AN$4,0)),""),IFERROR(INDEX(Lists!$U:$U,MATCH(TRIM($I384),Lists!$T:$T,0)),TRIM($I384))))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",$C384)),"Head of Technology",IF(ISNUMBER(SEARCH("TDD BP",$C384)),"Business Partner",IF(OR(ISNUMBER(SEARCH("domain architect",$C384)),ISNUMBER(SEARCH("enterprise architect",$C384))),"Domain Architect",IF(ISNUMBER(SEARCH("delivery man",$C384)),"Delivery Manager",IF(OR(ISNUMBER(SEARCH("technology manager",$C384)),ISNUMBER(SEARCH("technology manger",$C384)),ISNUMBER(SEARCH("tech manager",$C384))),"Technology Manager","Squad"))))))</f>
        <v>Squad</v>
      </c>
      <c r="AS384" t="str">
        <f>IF(TRIM($B384)="","",IFERROR(INDEX(Lists!$AA:$AA,MATCH($AP384,Lists!$Z:$Z,0)),$AP384))</f>
        <v>Trading &amp; Shipping</v>
      </c>
      <c r="AT384" t="str">
        <f>IF(TRIM($B384)="","",IF(IFERROR(INDEX(Lists!$AP$2:$AP$4,MATCH(ROW(),Lists!$AN$2:$AN$4,0)),"")&lt;&gt;"",IFERROR(INDEX(Lists!$AP$2:$AP$4,MATCH(ROW(),Lists!$AN$2:$AN$4,0)),""),IF(OR(LEFT($AJ384,3)="COE",$AJ384="EGI"),$AP384,IF($AR384&lt;&gt;"Squad",$AR384,$AP384))))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>
        <f>IF(TRIM($B385)="","",IF(N($AU385)&gt;0,$AU385,IF(N($S385)&gt;0,$S385*Lists!$AG$15*(1+N($Z385)),N($U385)*(1+N($V385)+N($W385)+N($X385)+N($Z385))+N($Y385))))</f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IF(TRIM($B385)="","",IF(IFERROR(INDEX(Lists!$AO$2:$AO$4,MATCH(ROW(),Lists!$AN$2:$AN$4,0)),"")&lt;&gt;"",IFERROR(INDEX(Lists!$AO$2:$AO$4,MATCH(ROW(),Lists!$AN$2:$AN$4,0)),""),IFERROR(INDEX(Lists!$U:$U,MATCH(TRIM($I385),Lists!$T:$T,0)),TRIM($I385))))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",$C385)),"Head of Technology",IF(ISNUMBER(SEARCH("TDD BP",$C385)),"Business Partner",IF(OR(ISNUMBER(SEARCH("domain architect",$C385)),ISNUMBER(SEARCH("enterprise architect",$C385))),"Domain Architect",IF(ISNUMBER(SEARCH("delivery man",$C385)),"Delivery Manager",IF(OR(ISNUMBER(SEARCH("technology manager",$C385)),ISNUMBER(SEARCH("technology manger",$C385)),ISNUMBER(SEARCH("tech manager",$C385))),"Technology Manager","Squad"))))))</f>
        <v>Head of Technology</v>
      </c>
      <c r="AS385" t="str">
        <f>IF(TRIM($B385)="","",IFERROR(INDEX(Lists!$AA:$AA,MATCH($AP385,Lists!$Z:$Z,0)),$AP385))</f>
        <v>Leadership</v>
      </c>
      <c r="AT385" t="str">
        <f>IF(TRIM($B385)="","",IF(IFERROR(INDEX(Lists!$AP$2:$AP$4,MATCH(ROW(),Lists!$AN$2:$AN$4,0)),"")&lt;&gt;"",IFERROR(INDEX(Lists!$AP$2:$AP$4,MATCH(ROW(),Lists!$AN$2:$AN$4,0)),""),IF(OR(LEFT($AJ385,3)="COE",$AJ385="EGI"),$AP385,IF($AR385&lt;&gt;"Squad",$AR385,$AP385))))</f>
        <v>Head of Technology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>
        <f>IF(TRIM($B386)="","",IF(N($AU386)&gt;0,$AU386,IF(N($S386)&gt;0,$S386*Lists!$AG$15*(1+N($Z386)),N($U386)*(1+N($V386)+N($W386)+N($X386)+N($Z386))+N($Y386))))</f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IF(TRIM($B386)="","",IF(IFERROR(INDEX(Lists!$AO$2:$AO$4,MATCH(ROW(),Lists!$AN$2:$AN$4,0)),"")&lt;&gt;"",IFERROR(INDEX(Lists!$AO$2:$AO$4,MATCH(ROW(),Lists!$AN$2:$AN$4,0)),""),IFERROR(INDEX(Lists!$U:$U,MATCH(TRIM($I386),Lists!$T:$T,0)),TRIM($I386))))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",$C386)),"Head of Technology",IF(ISNUMBER(SEARCH("TDD BP",$C386)),"Business Partner",IF(OR(ISNUMBER(SEARCH("domain architect",$C386)),ISNUMBER(SEARCH("enterprise architect",$C386))),"Domain Architect",IF(ISNUMBER(SEARCH("delivery man",$C386)),"Delivery Manager",IF(OR(ISNUMBER(SEARCH("technology manager",$C386)),ISNUMBER(SEARCH("technology manger",$C386)),ISNUMBER(SEARCH("tech manager",$C386))),"Technology Manager","Squad"))))))</f>
        <v>Squad</v>
      </c>
      <c r="AS386" t="str">
        <f>IF(TRIM($B386)="","",IFERROR(INDEX(Lists!$AA:$AA,MATCH($AP386,Lists!$Z:$Z,0)),$AP386))</f>
        <v>B2B</v>
      </c>
      <c r="AT386" t="str">
        <f>IF(TRIM($B386)="","",IF(IFERROR(INDEX(Lists!$AP$2:$AP$4,MATCH(ROW(),Lists!$AN$2:$AN$4,0)),"")&lt;&gt;"",IFERROR(INDEX(Lists!$AP$2:$AP$4,MATCH(ROW(),Lists!$AN$2:$AN$4,0)),""),IF(OR(LEFT($AJ386,3)="COE",$AJ386="EGI"),$AP386,IF($AR386&lt;&gt;"Squad",$AR386,$AP386))))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>
        <f>IF(TRIM($B387)="","",IF(N($AU387)&gt;0,$AU387,IF(N($S387)&gt;0,$S387*Lists!$AG$15*(1+N($Z387)),N($U387)*(1+N($V387)+N($W387)+N($X387)+N($Z387))+N($Y387))))</f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IF(TRIM($B387)="","",IF(IFERROR(INDEX(Lists!$AO$2:$AO$4,MATCH(ROW(),Lists!$AN$2:$AN$4,0)),"")&lt;&gt;"",IFERROR(INDEX(Lists!$AO$2:$AO$4,MATCH(ROW(),Lists!$AN$2:$AN$4,0)),""),IFERROR(INDEX(Lists!$U:$U,MATCH(TRIM($I387),Lists!$T:$T,0)),TRIM($I387))))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",$C387)),"Head of Technology",IF(ISNUMBER(SEARCH("TDD BP",$C387)),"Business Partner",IF(OR(ISNUMBER(SEARCH("domain architect",$C387)),ISNUMBER(SEARCH("enterprise architect",$C387))),"Domain Architect",IF(ISNUMBER(SEARCH("delivery man",$C387)),"Delivery Manager",IF(OR(ISNUMBER(SEARCH("technology manager",$C387)),ISNUMBER(SEARCH("technology manger",$C387)),ISNUMBER(SEARCH("tech manager",$C387))),"Technology Manager","Squad"))))))</f>
        <v>Squad</v>
      </c>
      <c r="AS387" t="str">
        <f>IF(TRIM($B387)="","",IFERROR(INDEX(Lists!$AA:$AA,MATCH($AP387,Lists!$Z:$Z,0)),$AP387))</f>
        <v>Manufacturing Group Projects</v>
      </c>
      <c r="AT387" t="str">
        <f>IF(TRIM($B387)="","",IF(IFERROR(INDEX(Lists!$AP$2:$AP$4,MATCH(ROW(),Lists!$AN$2:$AN$4,0)),"")&lt;&gt;"",IFERROR(INDEX(Lists!$AP$2:$AP$4,MATCH(ROW(),Lists!$AN$2:$AN$4,0)),""),IF(OR(LEFT($AJ387,3)="COE",$AJ387="EGI"),$AP387,IF($AR387&lt;&gt;"Squad",$AR387,$AP387))))</f>
        <v>Manufacturing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>
        <f>IF(TRIM($B388)="","",IF(N($AU388)&gt;0,$AU388,IF(N($S388)&gt;0,$S388*Lists!$AG$15*(1+N($Z388)),N($U388)*(1+N($V388)+N($W388)+N($X388)+N($Z388))+N($Y388))))</f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IF(TRIM($B388)="","",IF(IFERROR(INDEX(Lists!$AO$2:$AO$4,MATCH(ROW(),Lists!$AN$2:$AN$4,0)),"")&lt;&gt;"",IFERROR(INDEX(Lists!$AO$2:$AO$4,MATCH(ROW(),Lists!$AN$2:$AN$4,0)),""),IFERROR(INDEX(Lists!$U:$U,MATCH(TRIM($I388),Lists!$T:$T,0)),TRIM($I388))))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",$C388)),"Head of Technology",IF(ISNUMBER(SEARCH("TDD BP",$C388)),"Business Partner",IF(OR(ISNUMBER(SEARCH("domain architect",$C388)),ISNUMBER(SEARCH("enterprise architect",$C388))),"Domain Architect",IF(ISNUMBER(SEARCH("delivery man",$C388)),"Delivery Manager",IF(OR(ISNUMBER(SEARCH("technology manager",$C388)),ISNUMBER(SEARCH("technology manger",$C388)),ISNUMBER(SEARCH("tech manager",$C388))),"Technology Manager","Squad"))))))</f>
        <v>Squad</v>
      </c>
      <c r="AS388" t="str">
        <f>IF(TRIM($B388)="","",IFERROR(INDEX(Lists!$AA:$AA,MATCH($AP388,Lists!$Z:$Z,0)),$AP388))</f>
        <v>Energy</v>
      </c>
      <c r="AT388" t="str">
        <f>IF(TRIM($B388)="","",IF(IFERROR(INDEX(Lists!$AP$2:$AP$4,MATCH(ROW(),Lists!$AN$2:$AN$4,0)),"")&lt;&gt;"",IFERROR(INDEX(Lists!$AP$2:$AP$4,MATCH(ROW(),Lists!$AN$2:$AN$4,0)),""),IF(OR(LEFT($AJ388,3)="COE",$AJ388="EGI"),$AP388,IF($AR388&lt;&gt;"Squad",$AR388,$AP388))))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>
        <f>IF(TRIM($B389)="","",IF(N($AU389)&gt;0,$AU389,IF(N($S389)&gt;0,$S389*Lists!$AG$15*(1+N($Z389)),N($U389)*(1+N($V389)+N($W389)+N($X389)+N($Z389))+N($Y389))))</f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IF(TRIM($B389)="","",IF(IFERROR(INDEX(Lists!$AO$2:$AO$4,MATCH(ROW(),Lists!$AN$2:$AN$4,0)),"")&lt;&gt;"",IFERROR(INDEX(Lists!$AO$2:$AO$4,MATCH(ROW(),Lists!$AN$2:$AN$4,0)),""),IFERROR(INDEX(Lists!$U:$U,MATCH(TRIM($I389),Lists!$T:$T,0)),TRIM($I389))))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",$C389)),"Head of Technology",IF(ISNUMBER(SEARCH("TDD BP",$C389)),"Business Partner",IF(OR(ISNUMBER(SEARCH("domain architect",$C389)),ISNUMBER(SEARCH("enterprise architect",$C389))),"Domain Architect",IF(ISNUMBER(SEARCH("delivery man",$C389)),"Delivery Manager",IF(OR(ISNUMBER(SEARCH("technology manager",$C389)),ISNUMBER(SEARCH("technology manger",$C389)),ISNUMBER(SEARCH("tech manager",$C389))),"Technology Manager","Squad"))))))</f>
        <v>Squad</v>
      </c>
      <c r="AS389" t="str">
        <f>IF(TRIM($B389)="","",IFERROR(INDEX(Lists!$AA:$AA,MATCH($AP389,Lists!$Z:$Z,0)),$AP389))</f>
        <v>B2B</v>
      </c>
      <c r="AT389" t="str">
        <f>IF(TRIM($B389)="","",IF(IFERROR(INDEX(Lists!$AP$2:$AP$4,MATCH(ROW(),Lists!$AN$2:$AN$4,0)),"")&lt;&gt;"",IFERROR(INDEX(Lists!$AP$2:$AP$4,MATCH(ROW(),Lists!$AN$2:$AN$4,0)),""),IF(OR(LEFT($AJ389,3)="COE",$AJ389="EGI"),$AP389,IF($AR389&lt;&gt;"Squad",$AR389,$AP389))))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>
        <f>IF(TRIM($B390)="","",IF(N($AU390)&gt;0,$AU390,IF(N($S390)&gt;0,$S390*Lists!$AG$15*(1+N($Z390)),N($U390)*(1+N($V390)+N($W390)+N($X390)+N($Z390))+N($Y390))))</f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IF(TRIM($B390)="","",IF(IFERROR(INDEX(Lists!$AO$2:$AO$4,MATCH(ROW(),Lists!$AN$2:$AN$4,0)),"")&lt;&gt;"",IFERROR(INDEX(Lists!$AO$2:$AO$4,MATCH(ROW(),Lists!$AN$2:$AN$4,0)),""),IFERROR(INDEX(Lists!$U:$U,MATCH(TRIM($I390),Lists!$T:$T,0)),TRIM($I390))))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",$C390)),"Head of Technology",IF(ISNUMBER(SEARCH("TDD BP",$C390)),"Business Partner",IF(OR(ISNUMBER(SEARCH("domain architect",$C390)),ISNUMBER(SEARCH("enterprise architect",$C390))),"Domain Architect",IF(ISNUMBER(SEARCH("delivery man",$C390)),"Delivery Manager",IF(OR(ISNUMBER(SEARCH("technology manager",$C390)),ISNUMBER(SEARCH("technology manger",$C390)),ISNUMBER(SEARCH("tech manager",$C390))),"Technology Manager","Squad"))))))</f>
        <v>Squad</v>
      </c>
      <c r="AS390" t="str">
        <f>IF(TRIM($B390)="","",IFERROR(INDEX(Lists!$AA:$AA,MATCH($AP390,Lists!$Z:$Z,0)),$AP390))</f>
        <v>B2B</v>
      </c>
      <c r="AT390" t="str">
        <f>IF(TRIM($B390)="","",IF(IFERROR(INDEX(Lists!$AP$2:$AP$4,MATCH(ROW(),Lists!$AN$2:$AN$4,0)),"")&lt;&gt;"",IFERROR(INDEX(Lists!$AP$2:$AP$4,MATCH(ROW(),Lists!$AN$2:$AN$4,0)),""),IF(OR(LEFT($AJ390,3)="COE",$AJ390="EGI"),$AP390,IF($AR390&lt;&gt;"Squad",$AR390,$AP390))))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>
        <f>IF(TRIM($B391)="","",IF(N($AU391)&gt;0,$AU391,IF(N($S391)&gt;0,$S391*Lists!$AG$15*(1+N($Z391)),N($U391)*(1+N($V391)+N($W391)+N($X391)+N($Z391))+N($Y391))))</f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IF(TRIM($B391)="","",IF(IFERROR(INDEX(Lists!$AO$2:$AO$4,MATCH(ROW(),Lists!$AN$2:$AN$4,0)),"")&lt;&gt;"",IFERROR(INDEX(Lists!$AO$2:$AO$4,MATCH(ROW(),Lists!$AN$2:$AN$4,0)),""),IFERROR(INDEX(Lists!$U:$U,MATCH(TRIM($I391),Lists!$T:$T,0)),TRIM($I391))))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",$C391)),"Head of Technology",IF(ISNUMBER(SEARCH("TDD BP",$C391)),"Business Partner",IF(OR(ISNUMBER(SEARCH("domain architect",$C391)),ISNUMBER(SEARCH("enterprise architect",$C391))),"Domain Architect",IF(ISNUMBER(SEARCH("delivery man",$C391)),"Delivery Manager",IF(OR(ISNUMBER(SEARCH("technology manager",$C391)),ISNUMBER(SEARCH("technology manger",$C391)),ISNUMBER(SEARCH("tech manager",$C391))),"Technology Manager","Squad"))))))</f>
        <v>Squad</v>
      </c>
      <c r="AS391" t="str">
        <f>IF(TRIM($B391)="","",IFERROR(INDEX(Lists!$AA:$AA,MATCH($AP391,Lists!$Z:$Z,0)),$AP391))</f>
        <v>B2B</v>
      </c>
      <c r="AT391" t="str">
        <f>IF(TRIM($B391)="","",IF(IFERROR(INDEX(Lists!$AP$2:$AP$4,MATCH(ROW(),Lists!$AN$2:$AN$4,0)),"")&lt;&gt;"",IFERROR(INDEX(Lists!$AP$2:$AP$4,MATCH(ROW(),Lists!$AN$2:$AN$4,0)),""),IF(OR(LEFT($AJ391,3)="COE",$AJ391="EGI"),$AP391,IF($AR391&lt;&gt;"Squad",$AR391,$AP391))))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>
        <f>IF(TRIM($B392)="","",IF(N($AU392)&gt;0,$AU392,IF(N($S392)&gt;0,$S392*Lists!$AG$15*(1+N($Z392)),N($U392)*(1+N($V392)+N($W392)+N($X392)+N($Z392))+N($Y392))))</f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IF(TRIM($B392)="","",IF(IFERROR(INDEX(Lists!$AO$2:$AO$4,MATCH(ROW(),Lists!$AN$2:$AN$4,0)),"")&lt;&gt;"",IFERROR(INDEX(Lists!$AO$2:$AO$4,MATCH(ROW(),Lists!$AN$2:$AN$4,0)),""),IFERROR(INDEX(Lists!$U:$U,MATCH(TRIM($I392),Lists!$T:$T,0)),TRIM($I392))))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",$C392)),"Head of Technology",IF(ISNUMBER(SEARCH("TDD BP",$C392)),"Business Partner",IF(OR(ISNUMBER(SEARCH("domain architect",$C392)),ISNUMBER(SEARCH("enterprise architect",$C392))),"Domain Architect",IF(ISNUMBER(SEARCH("delivery man",$C392)),"Delivery Manager",IF(OR(ISNUMBER(SEARCH("technology manager",$C392)),ISNUMBER(SEARCH("technology manger",$C392)),ISNUMBER(SEARCH("tech manager",$C392))),"Technology Manager","Squad"))))))</f>
        <v>Head of Technology</v>
      </c>
      <c r="AS392" t="str">
        <f>IF(TRIM($B392)="","",IFERROR(INDEX(Lists!$AA:$AA,MATCH($AP392,Lists!$Z:$Z,0)),$AP392))</f>
        <v>Leadership</v>
      </c>
      <c r="AT392" t="str">
        <f>IF(TRIM($B392)="","",IF(IFERROR(INDEX(Lists!$AP$2:$AP$4,MATCH(ROW(),Lists!$AN$2:$AN$4,0)),"")&lt;&gt;"",IFERROR(INDEX(Lists!$AP$2:$AP$4,MATCH(ROW(),Lists!$AN$2:$AN$4,0)),""),IF(OR(LEFT($AJ392,3)="COE",$AJ392="EGI"),$AP392,IF($AR392&lt;&gt;"Squad",$AR392,$AP392))))</f>
        <v>Head of Technology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>
        <f>IF(TRIM($B393)="","",IF(N($AU393)&gt;0,$AU393,IF(N($S393)&gt;0,$S393*Lists!$AG$15*(1+N($Z393)),N($U393)*(1+N($V393)+N($W393)+N($X393)+N($Z393))+N($Y393))))</f>
        <v>84514.552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IF(TRIM($B393)="","",IF(IFERROR(INDEX(Lists!$AO$2:$AO$4,MATCH(ROW(),Lists!$AN$2:$AN$4,0)),"")&lt;&gt;"",IFERROR(INDEX(Lists!$AO$2:$AO$4,MATCH(ROW(),Lists!$AN$2:$AN$4,0)),""),IFERROR(INDEX(Lists!$U:$U,MATCH(TRIM($I393),Lists!$T:$T,0)),TRIM($I393))))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",$C393)),"Head of Technology",IF(ISNUMBER(SEARCH("TDD BP",$C393)),"Business Partner",IF(OR(ISNUMBER(SEARCH("domain architect",$C393)),ISNUMBER(SEARCH("enterprise architect",$C393))),"Domain Architect",IF(ISNUMBER(SEARCH("delivery man",$C393)),"Delivery Manager",IF(OR(ISNUMBER(SEARCH("technology manager",$C393)),ISNUMBER(SEARCH("technology manger",$C393)),ISNUMBER(SEARCH("tech manager",$C393))),"Technology Manager","Squad"))))))</f>
        <v>Squad</v>
      </c>
      <c r="AS393" t="str">
        <f>IF(TRIM($B393)="","",IFERROR(INDEX(Lists!$AA:$AA,MATCH($AP393,Lists!$Z:$Z,0)),$AP393))</f>
        <v>CTRM</v>
      </c>
      <c r="AT393" t="str">
        <f>IF(TRIM($B393)="","",IF(IFERROR(INDEX(Lists!$AP$2:$AP$4,MATCH(ROW(),Lists!$AN$2:$AN$4,0)),"")&lt;&gt;"",IFERROR(INDEX(Lists!$AP$2:$AP$4,MATCH(ROW(),Lists!$AN$2:$AN$4,0)),""),IF(OR(LEFT($AJ393,3)="COE",$AJ393="EGI"),$AP393,IF($AR393&lt;&gt;"Squad",$AR393,$AP393))))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>
        <f>IF(TRIM($B394)="","",IF(N($AU394)&gt;0,$AU394,IF(N($S394)&gt;0,$S394*Lists!$AG$15*(1+N($Z394)),N($U394)*(1+N($V394)+N($W394)+N($X394)+N($Z394))+N($Y394))))</f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IF(TRIM($B394)="","",IF(IFERROR(INDEX(Lists!$AO$2:$AO$4,MATCH(ROW(),Lists!$AN$2:$AN$4,0)),"")&lt;&gt;"",IFERROR(INDEX(Lists!$AO$2:$AO$4,MATCH(ROW(),Lists!$AN$2:$AN$4,0)),""),IFERROR(INDEX(Lists!$U:$U,MATCH(TRIM($I394),Lists!$T:$T,0)),TRIM($I394))))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",$C394)),"Head of Technology",IF(ISNUMBER(SEARCH("TDD BP",$C394)),"Business Partner",IF(OR(ISNUMBER(SEARCH("domain architect",$C394)),ISNUMBER(SEARCH("enterprise architect",$C394))),"Domain Architect",IF(ISNUMBER(SEARCH("delivery man",$C394)),"Delivery Manager",IF(OR(ISNUMBER(SEARCH("technology manager",$C394)),ISNUMBER(SEARCH("technology manger",$C394)),ISNUMBER(SEARCH("tech manager",$C394))),"Technology Manager","Squad"))))))</f>
        <v>Squad</v>
      </c>
      <c r="AS394" t="str">
        <f>IF(TRIM($B394)="","",IFERROR(INDEX(Lists!$AA:$AA,MATCH($AP394,Lists!$Z:$Z,0)),$AP394))</f>
        <v>CTRM</v>
      </c>
      <c r="AT394" t="str">
        <f>IF(TRIM($B394)="","",IF(IFERROR(INDEX(Lists!$AP$2:$AP$4,MATCH(ROW(),Lists!$AN$2:$AN$4,0)),"")&lt;&gt;"",IFERROR(INDEX(Lists!$AP$2:$AP$4,MATCH(ROW(),Lists!$AN$2:$AN$4,0)),""),IF(OR(LEFT($AJ394,3)="COE",$AJ394="EGI"),$AP394,IF($AR394&lt;&gt;"Squad",$AR394,$AP394))))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>
        <f>IF(TRIM($B395)="","",IF(N($AU395)&gt;0,$AU395,IF(N($S395)&gt;0,$S395*Lists!$AG$15*(1+N($Z395)),N($U395)*(1+N($V395)+N($W395)+N($X395)+N($Z395))+N($Y395))))</f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IF(TRIM($B395)="","",IF(IFERROR(INDEX(Lists!$AO$2:$AO$4,MATCH(ROW(),Lists!$AN$2:$AN$4,0)),"")&lt;&gt;"",IFERROR(INDEX(Lists!$AO$2:$AO$4,MATCH(ROW(),Lists!$AN$2:$AN$4,0)),""),IFERROR(INDEX(Lists!$U:$U,MATCH(TRIM($I395),Lists!$T:$T,0)),TRIM($I395))))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",$C395)),"Head of Technology",IF(ISNUMBER(SEARCH("TDD BP",$C395)),"Business Partner",IF(OR(ISNUMBER(SEARCH("domain architect",$C395)),ISNUMBER(SEARCH("enterprise architect",$C395))),"Domain Architect",IF(ISNUMBER(SEARCH("delivery man",$C395)),"Delivery Manager",IF(OR(ISNUMBER(SEARCH("technology manager",$C395)),ISNUMBER(SEARCH("technology manger",$C395)),ISNUMBER(SEARCH("tech manager",$C395))),"Technology Manager","Squad"))))))</f>
        <v>Squad</v>
      </c>
      <c r="AS395" t="str">
        <f>IF(TRIM($B395)="","",IFERROR(INDEX(Lists!$AA:$AA,MATCH($AP395,Lists!$Z:$Z,0)),$AP395))</f>
        <v>Trading &amp; Shipping</v>
      </c>
      <c r="AT395" t="str">
        <f>IF(TRIM($B395)="","",IF(IFERROR(INDEX(Lists!$AP$2:$AP$4,MATCH(ROW(),Lists!$AN$2:$AN$4,0)),"")&lt;&gt;"",IFERROR(INDEX(Lists!$AP$2:$AP$4,MATCH(ROW(),Lists!$AN$2:$AN$4,0)),""),IF(OR(LEFT($AJ395,3)="COE",$AJ395="EGI"),$AP395,IF($AR395&lt;&gt;"Squad",$AR395,$AP395))))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>
        <f>IF(TRIM($B396)="","",IF(N($AU396)&gt;0,$AU396,IF(N($S396)&gt;0,$S396*Lists!$AG$15*(1+N($Z396)),N($U396)*(1+N($V396)+N($W396)+N($X396)+N($Z396))+N($Y396))))</f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IF(TRIM($B396)="","",IF(IFERROR(INDEX(Lists!$AO$2:$AO$4,MATCH(ROW(),Lists!$AN$2:$AN$4,0)),"")&lt;&gt;"",IFERROR(INDEX(Lists!$AO$2:$AO$4,MATCH(ROW(),Lists!$AN$2:$AN$4,0)),""),IFERROR(INDEX(Lists!$U:$U,MATCH(TRIM($I396),Lists!$T:$T,0)),TRIM($I396))))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",$C396)),"Head of Technology",IF(ISNUMBER(SEARCH("TDD BP",$C396)),"Business Partner",IF(OR(ISNUMBER(SEARCH("domain architect",$C396)),ISNUMBER(SEARCH("enterprise architect",$C396))),"Domain Architect",IF(ISNUMBER(SEARCH("delivery man",$C396)),"Delivery Manager",IF(OR(ISNUMBER(SEARCH("technology manager",$C396)),ISNUMBER(SEARCH("technology manger",$C396)),ISNUMBER(SEARCH("tech manager",$C396))),"Technology Manager","Squad"))))))</f>
        <v>Squad</v>
      </c>
      <c r="AS396" t="str">
        <f>IF(TRIM($B396)="","",IFERROR(INDEX(Lists!$AA:$AA,MATCH($AP396,Lists!$Z:$Z,0)),$AP396))</f>
        <v>Technology Support</v>
      </c>
      <c r="AT396" t="str">
        <f>IF(TRIM($B396)="","",IF(IFERROR(INDEX(Lists!$AP$2:$AP$4,MATCH(ROW(),Lists!$AN$2:$AN$4,0)),"")&lt;&gt;"",IFERROR(INDEX(Lists!$AP$2:$AP$4,MATCH(ROW(),Lists!$AN$2:$AN$4,0)),""),IF(OR(LEFT($AJ396,3)="COE",$AJ396="EGI"),$AP396,IF($AR396&lt;&gt;"Squad",$AR396,$AP396))))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>
        <f>IF(TRIM($B397)="","",IF(N($AU397)&gt;0,$AU397,IF(N($S397)&gt;0,$S397*Lists!$AG$15*(1+N($Z397)),N($U397)*(1+N($V397)+N($W397)+N($X397)+N($Z397))+N($Y397))))</f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IF(TRIM($B397)="","",IF(IFERROR(INDEX(Lists!$AO$2:$AO$4,MATCH(ROW(),Lists!$AN$2:$AN$4,0)),"")&lt;&gt;"",IFERROR(INDEX(Lists!$AO$2:$AO$4,MATCH(ROW(),Lists!$AN$2:$AN$4,0)),""),IFERROR(INDEX(Lists!$U:$U,MATCH(TRIM($I397),Lists!$T:$T,0)),TRIM($I397))))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",$C397)),"Head of Technology",IF(ISNUMBER(SEARCH("TDD BP",$C397)),"Business Partner",IF(OR(ISNUMBER(SEARCH("domain architect",$C397)),ISNUMBER(SEARCH("enterprise architect",$C397))),"Domain Architect",IF(ISNUMBER(SEARCH("delivery man",$C397)),"Delivery Manager",IF(OR(ISNUMBER(SEARCH("technology manager",$C397)),ISNUMBER(SEARCH("technology manger",$C397)),ISNUMBER(SEARCH("tech manager",$C397))),"Technology Manager","Squad"))))))</f>
        <v>Squad</v>
      </c>
      <c r="AS397" t="str">
        <f>IF(TRIM($B397)="","",IFERROR(INDEX(Lists!$AA:$AA,MATCH($AP397,Lists!$Z:$Z,0)),$AP397))</f>
        <v>Distribution, Sales &amp; Services</v>
      </c>
      <c r="AT397" t="str">
        <f>IF(TRIM($B397)="","",IF(IFERROR(INDEX(Lists!$AP$2:$AP$4,MATCH(ROW(),Lists!$AN$2:$AN$4,0)),"")&lt;&gt;"",IFERROR(INDEX(Lists!$AP$2:$AP$4,MATCH(ROW(),Lists!$AN$2:$AN$4,0)),""),IF(OR(LEFT($AJ397,3)="COE",$AJ397="EGI"),$AP397,IF($AR397&lt;&gt;"Squad",$AR397,$AP397))))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>
        <f>IF(TRIM($B398)="","",IF(N($AU398)&gt;0,$AU398,IF(N($S398)&gt;0,$S398*Lists!$AG$15*(1+N($Z398)),N($U398)*(1+N($V398)+N($W398)+N($X398)+N($Z398))+N($Y398))))</f>
        <v>366703.25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IF(TRIM($B398)="","",IF(IFERROR(INDEX(Lists!$AO$2:$AO$4,MATCH(ROW(),Lists!$AN$2:$AN$4,0)),"")&lt;&gt;"",IFERROR(INDEX(Lists!$AO$2:$AO$4,MATCH(ROW(),Lists!$AN$2:$AN$4,0)),""),IFERROR(INDEX(Lists!$U:$U,MATCH(TRIM($I398),Lists!$T:$T,0)),TRIM($I398))))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",$C398)),"Head of Technology",IF(ISNUMBER(SEARCH("TDD BP",$C398)),"Business Partner",IF(OR(ISNUMBER(SEARCH("domain architect",$C398)),ISNUMBER(SEARCH("enterprise architect",$C398))),"Domain Architect",IF(ISNUMBER(SEARCH("delivery man",$C398)),"Delivery Manager",IF(OR(ISNUMBER(SEARCH("technology manager",$C398)),ISNUMBER(SEARCH("technology manger",$C398)),ISNUMBER(SEARCH("tech manager",$C398))),"Technology Manager","Squad"))))))</f>
        <v>Squad</v>
      </c>
      <c r="AS398" t="str">
        <f>IF(TRIM($B398)="","",IFERROR(INDEX(Lists!$AA:$AA,MATCH($AP398,Lists!$Z:$Z,0)),$AP398))</f>
        <v>CTRM</v>
      </c>
      <c r="AT398" t="str">
        <f>IF(TRIM($B398)="","",IF(IFERROR(INDEX(Lists!$AP$2:$AP$4,MATCH(ROW(),Lists!$AN$2:$AN$4,0)),"")&lt;&gt;"",IFERROR(INDEX(Lists!$AP$2:$AP$4,MATCH(ROW(),Lists!$AN$2:$AN$4,0)),""),IF(OR(LEFT($AJ398,3)="COE",$AJ398="EGI"),$AP398,IF($AR398&lt;&gt;"Squad",$AR398,$AP398))))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>
        <f>IF(TRIM($B399)="","",IF(N($AU399)&gt;0,$AU399,IF(N($S399)&gt;0,$S399*Lists!$AG$15*(1+N($Z399)),N($U399)*(1+N($V399)+N($W399)+N($X399)+N($Z399))+N($Y399))))</f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IF(TRIM($B399)="","",IF(IFERROR(INDEX(Lists!$AO$2:$AO$4,MATCH(ROW(),Lists!$AN$2:$AN$4,0)),"")&lt;&gt;"",IFERROR(INDEX(Lists!$AO$2:$AO$4,MATCH(ROW(),Lists!$AN$2:$AN$4,0)),""),IFERROR(INDEX(Lists!$U:$U,MATCH(TRIM($I399),Lists!$T:$T,0)),TRIM($I399))))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",$C399)),"Head of Technology",IF(ISNUMBER(SEARCH("TDD BP",$C399)),"Business Partner",IF(OR(ISNUMBER(SEARCH("domain architect",$C399)),ISNUMBER(SEARCH("enterprise architect",$C399))),"Domain Architect",IF(ISNUMBER(SEARCH("delivery man",$C399)),"Delivery Manager",IF(OR(ISNUMBER(SEARCH("technology manager",$C399)),ISNUMBER(SEARCH("technology manger",$C399)),ISNUMBER(SEARCH("tech manager",$C399))),"Technology Manager","Squad"))))))</f>
        <v>Squad</v>
      </c>
      <c r="AS399" t="str">
        <f>IF(TRIM($B399)="","",IFERROR(INDEX(Lists!$AA:$AA,MATCH($AP399,Lists!$Z:$Z,0)),$AP399))</f>
        <v>B2B</v>
      </c>
      <c r="AT399" t="str">
        <f>IF(TRIM($B399)="","",IF(IFERROR(INDEX(Lists!$AP$2:$AP$4,MATCH(ROW(),Lists!$AN$2:$AN$4,0)),"")&lt;&gt;"",IFERROR(INDEX(Lists!$AP$2:$AP$4,MATCH(ROW(),Lists!$AN$2:$AN$4,0)),""),IF(OR(LEFT($AJ399,3)="COE",$AJ399="EGI"),$AP399,IF($AR399&lt;&gt;"Squad",$AR399,$AP399))))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>
        <f>IF(TRIM($B400)="","",IF(N($AU400)&gt;0,$AU400,IF(N($S400)&gt;0,$S400*Lists!$AG$15*(1+N($Z400)),N($U400)*(1+N($V400)+N($W400)+N($X400)+N($Z400))+N($Y400))))</f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IF(TRIM($B400)="","",IF(IFERROR(INDEX(Lists!$AO$2:$AO$4,MATCH(ROW(),Lists!$AN$2:$AN$4,0)),"")&lt;&gt;"",IFERROR(INDEX(Lists!$AO$2:$AO$4,MATCH(ROW(),Lists!$AN$2:$AN$4,0)),""),IFERROR(INDEX(Lists!$U:$U,MATCH(TRIM($I400),Lists!$T:$T,0)),TRIM($I400))))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",$C400)),"Head of Technology",IF(ISNUMBER(SEARCH("TDD BP",$C400)),"Business Partner",IF(OR(ISNUMBER(SEARCH("domain architect",$C400)),ISNUMBER(SEARCH("enterprise architect",$C400))),"Domain Architect",IF(ISNUMBER(SEARCH("delivery man",$C400)),"Delivery Manager",IF(OR(ISNUMBER(SEARCH("technology manager",$C400)),ISNUMBER(SEARCH("technology manger",$C400)),ISNUMBER(SEARCH("tech manager",$C400))),"Technology Manager","Squad"))))))</f>
        <v>Squad</v>
      </c>
      <c r="AS400" t="str">
        <f>IF(TRIM($B400)="","",IFERROR(INDEX(Lists!$AA:$AA,MATCH($AP400,Lists!$Z:$Z,0)),$AP400))</f>
        <v>Distribution, Sales &amp; Services</v>
      </c>
      <c r="AT400" t="str">
        <f>IF(TRIM($B400)="","",IF(IFERROR(INDEX(Lists!$AP$2:$AP$4,MATCH(ROW(),Lists!$AN$2:$AN$4,0)),"")&lt;&gt;"",IFERROR(INDEX(Lists!$AP$2:$AP$4,MATCH(ROW(),Lists!$AN$2:$AN$4,0)),""),IF(OR(LEFT($AJ400,3)="COE",$AJ400="EGI"),$AP400,IF($AR400&lt;&gt;"Squad",$AR400,$AP400))))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>
        <f>IF(TRIM($B401)="","",IF(N($AU401)&gt;0,$AU401,IF(N($S401)&gt;0,$S401*Lists!$AG$15*(1+N($Z401)),N($U401)*(1+N($V401)+N($W401)+N($X401)+N($Z401))+N($Y401))))</f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IF(TRIM($B401)="","",IF(IFERROR(INDEX(Lists!$AO$2:$AO$4,MATCH(ROW(),Lists!$AN$2:$AN$4,0)),"")&lt;&gt;"",IFERROR(INDEX(Lists!$AO$2:$AO$4,MATCH(ROW(),Lists!$AN$2:$AN$4,0)),""),IFERROR(INDEX(Lists!$U:$U,MATCH(TRIM($I401),Lists!$T:$T,0)),TRIM($I401))))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",$C401)),"Head of Technology",IF(ISNUMBER(SEARCH("TDD BP",$C401)),"Business Partner",IF(OR(ISNUMBER(SEARCH("domain architect",$C401)),ISNUMBER(SEARCH("enterprise architect",$C401))),"Domain Architect",IF(ISNUMBER(SEARCH("delivery man",$C401)),"Delivery Manager",IF(OR(ISNUMBER(SEARCH("technology manager",$C401)),ISNUMBER(SEARCH("technology manger",$C401)),ISNUMBER(SEARCH("tech manager",$C401))),"Technology Manager","Squad"))))))</f>
        <v>Squad</v>
      </c>
      <c r="AS401" t="str">
        <f>IF(TRIM($B401)="","",IFERROR(INDEX(Lists!$AA:$AA,MATCH($AP401,Lists!$Z:$Z,0)),$AP401))</f>
        <v>Technology Support</v>
      </c>
      <c r="AT401" t="str">
        <f>IF(TRIM($B401)="","",IF(IFERROR(INDEX(Lists!$AP$2:$AP$4,MATCH(ROW(),Lists!$AN$2:$AN$4,0)),"")&lt;&gt;"",IFERROR(INDEX(Lists!$AP$2:$AP$4,MATCH(ROW(),Lists!$AN$2:$AN$4,0)),""),IF(OR(LEFT($AJ401,3)="COE",$AJ401="EGI"),$AP401,IF($AR401&lt;&gt;"Squad",$AR401,$AP401))))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>
        <f>IF(TRIM($B402)="","",IF(N($AU402)&gt;0,$AU402,IF(N($S402)&gt;0,$S402*Lists!$AG$15*(1+N($Z402)),N($U402)*(1+N($V402)+N($W402)+N($X402)+N($Z402))+N($Y402))))</f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IF(TRIM($B402)="","",IF(IFERROR(INDEX(Lists!$AO$2:$AO$4,MATCH(ROW(),Lists!$AN$2:$AN$4,0)),"")&lt;&gt;"",IFERROR(INDEX(Lists!$AO$2:$AO$4,MATCH(ROW(),Lists!$AN$2:$AN$4,0)),""),IFERROR(INDEX(Lists!$U:$U,MATCH(TRIM($I402),Lists!$T:$T,0)),TRIM($I402))))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",$C402)),"Head of Technology",IF(ISNUMBER(SEARCH("TDD BP",$C402)),"Business Partner",IF(OR(ISNUMBER(SEARCH("domain architect",$C402)),ISNUMBER(SEARCH("enterprise architect",$C402))),"Domain Architect",IF(ISNUMBER(SEARCH("delivery man",$C402)),"Delivery Manager",IF(OR(ISNUMBER(SEARCH("technology manager",$C402)),ISNUMBER(SEARCH("technology manger",$C402)),ISNUMBER(SEARCH("tech manager",$C402))),"Technology Manager","Squad"))))))</f>
        <v>Squad</v>
      </c>
      <c r="AS402" t="str">
        <f>IF(TRIM($B402)="","",IFERROR(INDEX(Lists!$AA:$AA,MATCH($AP402,Lists!$Z:$Z,0)),$AP402))</f>
        <v>CTRM</v>
      </c>
      <c r="AT402" t="str">
        <f>IF(TRIM($B402)="","",IF(IFERROR(INDEX(Lists!$AP$2:$AP$4,MATCH(ROW(),Lists!$AN$2:$AN$4,0)),"")&lt;&gt;"",IFERROR(INDEX(Lists!$AP$2:$AP$4,MATCH(ROW(),Lists!$AN$2:$AN$4,0)),""),IF(OR(LEFT($AJ402,3)="COE",$AJ402="EGI"),$AP402,IF($AR402&lt;&gt;"Squad",$AR402,$AP402))))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>
        <f>IF(TRIM($B403)="","",IF(N($AU403)&gt;0,$AU403,IF(N($S403)&gt;0,$S403*Lists!$AG$15*(1+N($Z403)),N($U403)*(1+N($V403)+N($W403)+N($X403)+N($Z403))+N($Y403))))</f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IF(TRIM($B403)="","",IF(IFERROR(INDEX(Lists!$AO$2:$AO$4,MATCH(ROW(),Lists!$AN$2:$AN$4,0)),"")&lt;&gt;"",IFERROR(INDEX(Lists!$AO$2:$AO$4,MATCH(ROW(),Lists!$AN$2:$AN$4,0)),""),IFERROR(INDEX(Lists!$U:$U,MATCH(TRIM($I403),Lists!$T:$T,0)),TRIM($I403))))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",$C403)),"Head of Technology",IF(ISNUMBER(SEARCH("TDD BP",$C403)),"Business Partner",IF(OR(ISNUMBER(SEARCH("domain architect",$C403)),ISNUMBER(SEARCH("enterprise architect",$C403))),"Domain Architect",IF(ISNUMBER(SEARCH("delivery man",$C403)),"Delivery Manager",IF(OR(ISNUMBER(SEARCH("technology manager",$C403)),ISNUMBER(SEARCH("technology manger",$C403)),ISNUMBER(SEARCH("tech manager",$C403))),"Technology Manager","Squad"))))))</f>
        <v>Squad</v>
      </c>
      <c r="AS403" t="str">
        <f>IF(TRIM($B403)="","",IFERROR(INDEX(Lists!$AA:$AA,MATCH($AP403,Lists!$Z:$Z,0)),$AP403))</f>
        <v>Data &amp; Insights</v>
      </c>
      <c r="AT403" t="str">
        <f>IF(TRIM($B403)="","",IF(IFERROR(INDEX(Lists!$AP$2:$AP$4,MATCH(ROW(),Lists!$AN$2:$AN$4,0)),"")&lt;&gt;"",IFERROR(INDEX(Lists!$AP$2:$AP$4,MATCH(ROW(),Lists!$AN$2:$AN$4,0)),""),IF(OR(LEFT($AJ403,3)="COE",$AJ403="EGI"),$AP403,IF($AR403&lt;&gt;"Squad",$AR403,$AP403))))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>
        <f>IF(TRIM($B404)="","",IF(N($AU404)&gt;0,$AU404,IF(N($S404)&gt;0,$S404*Lists!$AG$15*(1+N($Z404)),N($U404)*(1+N($V404)+N($W404)+N($X404)+N($Z404))+N($Y404))))</f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IF(TRIM($B404)="","",IF(IFERROR(INDEX(Lists!$AO$2:$AO$4,MATCH(ROW(),Lists!$AN$2:$AN$4,0)),"")&lt;&gt;"",IFERROR(INDEX(Lists!$AO$2:$AO$4,MATCH(ROW(),Lists!$AN$2:$AN$4,0)),""),IFERROR(INDEX(Lists!$U:$U,MATCH(TRIM($I404),Lists!$T:$T,0)),TRIM($I404))))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",$C404)),"Head of Technology",IF(ISNUMBER(SEARCH("TDD BP",$C404)),"Business Partner",IF(OR(ISNUMBER(SEARCH("domain architect",$C404)),ISNUMBER(SEARCH("enterprise architect",$C404))),"Domain Architect",IF(ISNUMBER(SEARCH("delivery man",$C404)),"Delivery Manager",IF(OR(ISNUMBER(SEARCH("technology manager",$C404)),ISNUMBER(SEARCH("technology manger",$C404)),ISNUMBER(SEARCH("tech manager",$C404))),"Technology Manager","Squad"))))))</f>
        <v>Squad</v>
      </c>
      <c r="AS404" t="str">
        <f>IF(TRIM($B404)="","",IFERROR(INDEX(Lists!$AA:$AA,MATCH($AP404,Lists!$Z:$Z,0)),$AP404))</f>
        <v>Distribution, Sales &amp; Services</v>
      </c>
      <c r="AT404" t="str">
        <f>IF(TRIM($B404)="","",IF(IFERROR(INDEX(Lists!$AP$2:$AP$4,MATCH(ROW(),Lists!$AN$2:$AN$4,0)),"")&lt;&gt;"",IFERROR(INDEX(Lists!$AP$2:$AP$4,MATCH(ROW(),Lists!$AN$2:$AN$4,0)),""),IF(OR(LEFT($AJ404,3)="COE",$AJ404="EGI"),$AP404,IF($AR404&lt;&gt;"Squad",$AR404,$AP404))))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>
        <f>IF(TRIM($B405)="","",IF(N($AU405)&gt;0,$AU405,IF(N($S405)&gt;0,$S405*Lists!$AG$15*(1+N($Z405)),N($U405)*(1+N($V405)+N($W405)+N($X405)+N($Z405))+N($Y405))))</f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IF(TRIM($B405)="","",IF(IFERROR(INDEX(Lists!$AO$2:$AO$4,MATCH(ROW(),Lists!$AN$2:$AN$4,0)),"")&lt;&gt;"",IFERROR(INDEX(Lists!$AO$2:$AO$4,MATCH(ROW(),Lists!$AN$2:$AN$4,0)),""),IFERROR(INDEX(Lists!$U:$U,MATCH(TRIM($I405),Lists!$T:$T,0)),TRIM($I405))))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",$C405)),"Head of Technology",IF(ISNUMBER(SEARCH("TDD BP",$C405)),"Business Partner",IF(OR(ISNUMBER(SEARCH("domain architect",$C405)),ISNUMBER(SEARCH("enterprise architect",$C405))),"Domain Architect",IF(ISNUMBER(SEARCH("delivery man",$C405)),"Delivery Manager",IF(OR(ISNUMBER(SEARCH("technology manager",$C405)),ISNUMBER(SEARCH("technology manger",$C405)),ISNUMBER(SEARCH("tech manager",$C405))),"Technology Manager","Squad"))))))</f>
        <v>Squad</v>
      </c>
      <c r="AS405" t="str">
        <f>IF(TRIM($B405)="","",IFERROR(INDEX(Lists!$AA:$AA,MATCH($AP405,Lists!$Z:$Z,0)),$AP405))</f>
        <v>Trading &amp; Shipping Data</v>
      </c>
      <c r="AT405" t="str">
        <f>IF(TRIM($B405)="","",IF(IFERROR(INDEX(Lists!$AP$2:$AP$4,MATCH(ROW(),Lists!$AN$2:$AN$4,0)),"")&lt;&gt;"",IFERROR(INDEX(Lists!$AP$2:$AP$4,MATCH(ROW(),Lists!$AN$2:$AN$4,0)),""),IF(OR(LEFT($AJ405,3)="COE",$AJ405="EGI"),$AP405,IF($AR405&lt;&gt;"Squad",$AR405,$AP405))))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>
        <f>IF(TRIM($B406)="","",IF(N($AU406)&gt;0,$AU406,IF(N($S406)&gt;0,$S406*Lists!$AG$15*(1+N($Z406)),N($U406)*(1+N($V406)+N($W406)+N($X406)+N($Z406))+N($Y406))))</f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IF(TRIM($B406)="","",IF(IFERROR(INDEX(Lists!$AO$2:$AO$4,MATCH(ROW(),Lists!$AN$2:$AN$4,0)),"")&lt;&gt;"",IFERROR(INDEX(Lists!$AO$2:$AO$4,MATCH(ROW(),Lists!$AN$2:$AN$4,0)),""),IFERROR(INDEX(Lists!$U:$U,MATCH(TRIM($I406),Lists!$T:$T,0)),TRIM($I406))))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",$C406)),"Head of Technology",IF(ISNUMBER(SEARCH("TDD BP",$C406)),"Business Partner",IF(OR(ISNUMBER(SEARCH("domain architect",$C406)),ISNUMBER(SEARCH("enterprise architect",$C406))),"Domain Architect",IF(ISNUMBER(SEARCH("delivery man",$C406)),"Delivery Manager",IF(OR(ISNUMBER(SEARCH("technology manager",$C406)),ISNUMBER(SEARCH("technology manger",$C406)),ISNUMBER(SEARCH("tech manager",$C406))),"Technology Manager","Squad"))))))</f>
        <v>Squad</v>
      </c>
      <c r="AS406" t="str">
        <f>IF(TRIM($B406)="","",IFERROR(INDEX(Lists!$AA:$AA,MATCH($AP406,Lists!$Z:$Z,0)),$AP406))</f>
        <v>Distribution, Sales &amp; Services</v>
      </c>
      <c r="AT406" t="str">
        <f>IF(TRIM($B406)="","",IF(IFERROR(INDEX(Lists!$AP$2:$AP$4,MATCH(ROW(),Lists!$AN$2:$AN$4,0)),"")&lt;&gt;"",IFERROR(INDEX(Lists!$AP$2:$AP$4,MATCH(ROW(),Lists!$AN$2:$AN$4,0)),""),IF(OR(LEFT($AJ406,3)="COE",$AJ406="EGI"),$AP406,IF($AR406&lt;&gt;"Squad",$AR406,$AP406))))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>
        <f>IF(TRIM($B407)="","",IF(N($AU407)&gt;0,$AU407,IF(N($S407)&gt;0,$S407*Lists!$AG$15*(1+N($Z407)),N($U407)*(1+N($V407)+N($W407)+N($X407)+N($Z407))+N($Y407))))</f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IF(TRIM($B407)="","",IF(IFERROR(INDEX(Lists!$AO$2:$AO$4,MATCH(ROW(),Lists!$AN$2:$AN$4,0)),"")&lt;&gt;"",IFERROR(INDEX(Lists!$AO$2:$AO$4,MATCH(ROW(),Lists!$AN$2:$AN$4,0)),""),IFERROR(INDEX(Lists!$U:$U,MATCH(TRIM($I407),Lists!$T:$T,0)),TRIM($I407))))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",$C407)),"Head of Technology",IF(ISNUMBER(SEARCH("TDD BP",$C407)),"Business Partner",IF(OR(ISNUMBER(SEARCH("domain architect",$C407)),ISNUMBER(SEARCH("enterprise architect",$C407))),"Domain Architect",IF(ISNUMBER(SEARCH("delivery man",$C407)),"Delivery Manager",IF(OR(ISNUMBER(SEARCH("technology manager",$C407)),ISNUMBER(SEARCH("technology manger",$C407)),ISNUMBER(SEARCH("tech manager",$C407))),"Technology Manager","Squad"))))))</f>
        <v>Squad</v>
      </c>
      <c r="AS407" t="str">
        <f>IF(TRIM($B407)="","",IFERROR(INDEX(Lists!$AA:$AA,MATCH($AP407,Lists!$Z:$Z,0)),$AP407))</f>
        <v>Data &amp; Insights</v>
      </c>
      <c r="AT407" t="str">
        <f>IF(TRIM($B407)="","",IF(IFERROR(INDEX(Lists!$AP$2:$AP$4,MATCH(ROW(),Lists!$AN$2:$AN$4,0)),"")&lt;&gt;"",IFERROR(INDEX(Lists!$AP$2:$AP$4,MATCH(ROW(),Lists!$AN$2:$AN$4,0)),""),IF(OR(LEFT($AJ407,3)="COE",$AJ407="EGI"),$AP407,IF($AR407&lt;&gt;"Squad",$AR407,$AP407))))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>
        <f>IF(TRIM($B408)="","",IF(N($AU408)&gt;0,$AU408,IF(N($S408)&gt;0,$S408*Lists!$AG$15*(1+N($Z408)),N($U408)*(1+N($V408)+N($W408)+N($X408)+N($Z408))+N($Y408))))</f>
        <v>352114.3405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IF(TRIM($B408)="","",IF(IFERROR(INDEX(Lists!$AO$2:$AO$4,MATCH(ROW(),Lists!$AN$2:$AN$4,0)),"")&lt;&gt;"",IFERROR(INDEX(Lists!$AO$2:$AO$4,MATCH(ROW(),Lists!$AN$2:$AN$4,0)),""),IFERROR(INDEX(Lists!$U:$U,MATCH(TRIM($I408),Lists!$T:$T,0)),TRIM($I408))))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",$C408)),"Head of Technology",IF(ISNUMBER(SEARCH("TDD BP",$C408)),"Business Partner",IF(OR(ISNUMBER(SEARCH("domain architect",$C408)),ISNUMBER(SEARCH("enterprise architect",$C408))),"Domain Architect",IF(ISNUMBER(SEARCH("delivery man",$C408)),"Delivery Manager",IF(OR(ISNUMBER(SEARCH("technology manager",$C408)),ISNUMBER(SEARCH("technology manger",$C408)),ISNUMBER(SEARCH("tech manager",$C408))),"Technology Manager","Squad"))))))</f>
        <v>Squad</v>
      </c>
      <c r="AS408" t="str">
        <f>IF(TRIM($B408)="","",IFERROR(INDEX(Lists!$AA:$AA,MATCH($AP408,Lists!$Z:$Z,0)),$AP408))</f>
        <v>Trading &amp; Shipping</v>
      </c>
      <c r="AT408" t="str">
        <f>IF(TRIM($B408)="","",IF(IFERROR(INDEX(Lists!$AP$2:$AP$4,MATCH(ROW(),Lists!$AN$2:$AN$4,0)),"")&lt;&gt;"",IFERROR(INDEX(Lists!$AP$2:$AP$4,MATCH(ROW(),Lists!$AN$2:$AN$4,0)),""),IF(OR(LEFT($AJ408,3)="COE",$AJ408="EGI"),$AP408,IF($AR408&lt;&gt;"Squad",$AR408,$AP408))))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>
        <f>IF(TRIM($B409)="","",IF(N($AU409)&gt;0,$AU409,IF(N($S409)&gt;0,$S409*Lists!$AG$15*(1+N($Z409)),N($U409)*(1+N($V409)+N($W409)+N($X409)+N($Z409))+N($Y409))))</f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IF(TRIM($B409)="","",IF(IFERROR(INDEX(Lists!$AO$2:$AO$4,MATCH(ROW(),Lists!$AN$2:$AN$4,0)),"")&lt;&gt;"",IFERROR(INDEX(Lists!$AO$2:$AO$4,MATCH(ROW(),Lists!$AN$2:$AN$4,0)),""),IFERROR(INDEX(Lists!$U:$U,MATCH(TRIM($I409),Lists!$T:$T,0)),TRIM($I409))))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",$C409)),"Head of Technology",IF(ISNUMBER(SEARCH("TDD BP",$C409)),"Business Partner",IF(OR(ISNUMBER(SEARCH("domain architect",$C409)),ISNUMBER(SEARCH("enterprise architect",$C409))),"Domain Architect",IF(ISNUMBER(SEARCH("delivery man",$C409)),"Delivery Manager",IF(OR(ISNUMBER(SEARCH("technology manager",$C409)),ISNUMBER(SEARCH("technology manger",$C409)),ISNUMBER(SEARCH("tech manager",$C409))),"Technology Manager","Squad"))))))</f>
        <v>Squad</v>
      </c>
      <c r="AS409" t="str">
        <f>IF(TRIM($B409)="","",IFERROR(INDEX(Lists!$AA:$AA,MATCH($AP409,Lists!$Z:$Z,0)),$AP409))</f>
        <v>Technology Support</v>
      </c>
      <c r="AT409" t="str">
        <f>IF(TRIM($B409)="","",IF(IFERROR(INDEX(Lists!$AP$2:$AP$4,MATCH(ROW(),Lists!$AN$2:$AN$4,0)),"")&lt;&gt;"",IFERROR(INDEX(Lists!$AP$2:$AP$4,MATCH(ROW(),Lists!$AN$2:$AN$4,0)),""),IF(OR(LEFT($AJ409,3)="COE",$AJ409="EGI"),$AP409,IF($AR409&lt;&gt;"Squad",$AR409,$AP409))))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>
        <f>IF(TRIM($B410)="","",IF(N($AU410)&gt;0,$AU410,IF(N($S410)&gt;0,$S410*Lists!$AG$15*(1+N($Z410)),N($U410)*(1+N($V410)+N($W410)+N($X410)+N($Z410))+N($Y410))))</f>
        <v>304660.5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IF(TRIM($B410)="","",IF(IFERROR(INDEX(Lists!$AO$2:$AO$4,MATCH(ROW(),Lists!$AN$2:$AN$4,0)),"")&lt;&gt;"",IFERROR(INDEX(Lists!$AO$2:$AO$4,MATCH(ROW(),Lists!$AN$2:$AN$4,0)),""),IFERROR(INDEX(Lists!$U:$U,MATCH(TRIM($I410),Lists!$T:$T,0)),TRIM($I410))))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",$C410)),"Head of Technology",IF(ISNUMBER(SEARCH("TDD BP",$C410)),"Business Partner",IF(OR(ISNUMBER(SEARCH("domain architect",$C410)),ISNUMBER(SEARCH("enterprise architect",$C410))),"Domain Architect",IF(ISNUMBER(SEARCH("delivery man",$C410)),"Delivery Manager",IF(OR(ISNUMBER(SEARCH("technology manager",$C410)),ISNUMBER(SEARCH("technology manger",$C410)),ISNUMBER(SEARCH("tech manager",$C410))),"Technology Manager","Squad"))))))</f>
        <v>Squad</v>
      </c>
      <c r="AS410" t="str">
        <f>IF(TRIM($B410)="","",IFERROR(INDEX(Lists!$AA:$AA,MATCH($AP410,Lists!$Z:$Z,0)),$AP410))</f>
        <v>CTRM</v>
      </c>
      <c r="AT410" t="str">
        <f>IF(TRIM($B410)="","",IF(IFERROR(INDEX(Lists!$AP$2:$AP$4,MATCH(ROW(),Lists!$AN$2:$AN$4,0)),"")&lt;&gt;"",IFERROR(INDEX(Lists!$AP$2:$AP$4,MATCH(ROW(),Lists!$AN$2:$AN$4,0)),""),IF(OR(LEFT($AJ410,3)="COE",$AJ410="EGI"),$AP410,IF($AR410&lt;&gt;"Squad",$AR410,$AP410))))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>
        <f>IF(TRIM($B411)="","",IF(N($AU411)&gt;0,$AU411,IF(N($S411)&gt;0,$S411*Lists!$AG$15*(1+N($Z411)),N($U411)*(1+N($V411)+N($W411)+N($X411)+N($Z411))+N($Y411))))</f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IF(TRIM($B411)="","",IF(IFERROR(INDEX(Lists!$AO$2:$AO$4,MATCH(ROW(),Lists!$AN$2:$AN$4,0)),"")&lt;&gt;"",IFERROR(INDEX(Lists!$AO$2:$AO$4,MATCH(ROW(),Lists!$AN$2:$AN$4,0)),""),IFERROR(INDEX(Lists!$U:$U,MATCH(TRIM($I411),Lists!$T:$T,0)),TRIM($I411))))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",$C411)),"Head of Technology",IF(ISNUMBER(SEARCH("TDD BP",$C411)),"Business Partner",IF(OR(ISNUMBER(SEARCH("domain architect",$C411)),ISNUMBER(SEARCH("enterprise architect",$C411))),"Domain Architect",IF(ISNUMBER(SEARCH("delivery man",$C411)),"Delivery Manager",IF(OR(ISNUMBER(SEARCH("technology manager",$C411)),ISNUMBER(SEARCH("technology manger",$C411)),ISNUMBER(SEARCH("tech manager",$C411))),"Technology Manager","Squad"))))))</f>
        <v>Squad</v>
      </c>
      <c r="AS411" t="str">
        <f>IF(TRIM($B411)="","",IFERROR(INDEX(Lists!$AA:$AA,MATCH($AP411,Lists!$Z:$Z,0)),$AP411))</f>
        <v>Manufacturing Group Projects</v>
      </c>
      <c r="AT411" t="str">
        <f>IF(TRIM($B411)="","",IF(IFERROR(INDEX(Lists!$AP$2:$AP$4,MATCH(ROW(),Lists!$AN$2:$AN$4,0)),"")&lt;&gt;"",IFERROR(INDEX(Lists!$AP$2:$AP$4,MATCH(ROW(),Lists!$AN$2:$AN$4,0)),""),IF(OR(LEFT($AJ411,3)="COE",$AJ411="EGI"),$AP411,IF($AR411&lt;&gt;"Squad",$AR411,$AP411))))</f>
        <v>Manufacturing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>
        <f>IF(TRIM($B412)="","",IF(N($AU412)&gt;0,$AU412,IF(N($S412)&gt;0,$S412*Lists!$AG$15*(1+N($Z412)),N($U412)*(1+N($V412)+N($W412)+N($X412)+N($Z412))+N($Y412))))</f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IF(TRIM($B412)="","",IF(IFERROR(INDEX(Lists!$AO$2:$AO$4,MATCH(ROW(),Lists!$AN$2:$AN$4,0)),"")&lt;&gt;"",IFERROR(INDEX(Lists!$AO$2:$AO$4,MATCH(ROW(),Lists!$AN$2:$AN$4,0)),""),IFERROR(INDEX(Lists!$U:$U,MATCH(TRIM($I412),Lists!$T:$T,0)),TRIM($I412))))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",$C412)),"Head of Technology",IF(ISNUMBER(SEARCH("TDD BP",$C412)),"Business Partner",IF(OR(ISNUMBER(SEARCH("domain architect",$C412)),ISNUMBER(SEARCH("enterprise architect",$C412))),"Domain Architect",IF(ISNUMBER(SEARCH("delivery man",$C412)),"Delivery Manager",IF(OR(ISNUMBER(SEARCH("technology manager",$C412)),ISNUMBER(SEARCH("technology manger",$C412)),ISNUMBER(SEARCH("tech manager",$C412))),"Technology Manager","Squad"))))))</f>
        <v>Squad</v>
      </c>
      <c r="AS412" t="str">
        <f>IF(TRIM($B412)="","",IFERROR(INDEX(Lists!$AA:$AA,MATCH($AP412,Lists!$Z:$Z,0)),$AP412))</f>
        <v>B2B</v>
      </c>
      <c r="AT412" t="str">
        <f>IF(TRIM($B412)="","",IF(IFERROR(INDEX(Lists!$AP$2:$AP$4,MATCH(ROW(),Lists!$AN$2:$AN$4,0)),"")&lt;&gt;"",IFERROR(INDEX(Lists!$AP$2:$AP$4,MATCH(ROW(),Lists!$AN$2:$AN$4,0)),""),IF(OR(LEFT($AJ412,3)="COE",$AJ412="EGI"),$AP412,IF($AR412&lt;&gt;"Squad",$AR412,$AP412))))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>
        <f>IF(TRIM($B413)="","",IF(N($AU413)&gt;0,$AU413,IF(N($S413)&gt;0,$S413*Lists!$AG$15*(1+N($Z413)),N($U413)*(1+N($V413)+N($W413)+N($X413)+N($Z413))+N($Y413))))</f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IF(TRIM($B413)="","",IF(IFERROR(INDEX(Lists!$AO$2:$AO$4,MATCH(ROW(),Lists!$AN$2:$AN$4,0)),"")&lt;&gt;"",IFERROR(INDEX(Lists!$AO$2:$AO$4,MATCH(ROW(),Lists!$AN$2:$AN$4,0)),""),IFERROR(INDEX(Lists!$U:$U,MATCH(TRIM($I413),Lists!$T:$T,0)),TRIM($I413))))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",$C413)),"Head of Technology",IF(ISNUMBER(SEARCH("TDD BP",$C413)),"Business Partner",IF(OR(ISNUMBER(SEARCH("domain architect",$C413)),ISNUMBER(SEARCH("enterprise architect",$C413))),"Domain Architect",IF(ISNUMBER(SEARCH("delivery man",$C413)),"Delivery Manager",IF(OR(ISNUMBER(SEARCH("technology manager",$C413)),ISNUMBER(SEARCH("technology manger",$C413)),ISNUMBER(SEARCH("tech manager",$C413))),"Technology Manager","Squad"))))))</f>
        <v>Squad</v>
      </c>
      <c r="AS413" t="str">
        <f>IF(TRIM($B413)="","",IFERROR(INDEX(Lists!$AA:$AA,MATCH($AP413,Lists!$Z:$Z,0)),$AP413))</f>
        <v>B2B</v>
      </c>
      <c r="AT413" t="str">
        <f>IF(TRIM($B413)="","",IF(IFERROR(INDEX(Lists!$AP$2:$AP$4,MATCH(ROW(),Lists!$AN$2:$AN$4,0)),"")&lt;&gt;"",IFERROR(INDEX(Lists!$AP$2:$AP$4,MATCH(ROW(),Lists!$AN$2:$AN$4,0)),""),IF(OR(LEFT($AJ413,3)="COE",$AJ413="EGI"),$AP413,IF($AR413&lt;&gt;"Squad",$AR413,$AP413))))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>
        <f>IF(TRIM($B414)="","",IF(N($AU414)&gt;0,$AU414,IF(N($S414)&gt;0,$S414*Lists!$AG$15*(1+N($Z414)),N($U414)*(1+N($V414)+N($W414)+N($X414)+N($Z414))+N($Y414))))</f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IF(TRIM($B414)="","",IF(IFERROR(INDEX(Lists!$AO$2:$AO$4,MATCH(ROW(),Lists!$AN$2:$AN$4,0)),"")&lt;&gt;"",IFERROR(INDEX(Lists!$AO$2:$AO$4,MATCH(ROW(),Lists!$AN$2:$AN$4,0)),""),IFERROR(INDEX(Lists!$U:$U,MATCH(TRIM($I414),Lists!$T:$T,0)),TRIM($I414))))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",$C414)),"Head of Technology",IF(ISNUMBER(SEARCH("TDD BP",$C414)),"Business Partner",IF(OR(ISNUMBER(SEARCH("domain architect",$C414)),ISNUMBER(SEARCH("enterprise architect",$C414))),"Domain Architect",IF(ISNUMBER(SEARCH("delivery man",$C414)),"Delivery Manager",IF(OR(ISNUMBER(SEARCH("technology manager",$C414)),ISNUMBER(SEARCH("technology manger",$C414)),ISNUMBER(SEARCH("tech manager",$C414))),"Technology Manager","Squad"))))))</f>
        <v>Delivery Manager</v>
      </c>
      <c r="AS414" t="str">
        <f>IF(TRIM($B414)="","",IFERROR(INDEX(Lists!$AA:$AA,MATCH($AP414,Lists!$Z:$Z,0)),$AP414))</f>
        <v>Leadership</v>
      </c>
      <c r="AT414" t="str">
        <f>IF(TRIM($B414)="","",IF(IFERROR(INDEX(Lists!$AP$2:$AP$4,MATCH(ROW(),Lists!$AN$2:$AN$4,0)),"")&lt;&gt;"",IFERROR(INDEX(Lists!$AP$2:$AP$4,MATCH(ROW(),Lists!$AN$2:$AN$4,0)),""),IF(OR(LEFT($AJ414,3)="COE",$AJ414="EGI"),$AP414,IF($AR414&lt;&gt;"Squad",$AR414,$AP414))))</f>
        <v>Delivery Manager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>
        <f>IF(TRIM($B415)="","",IF(N($AU415)&gt;0,$AU415,IF(N($S415)&gt;0,$S415*Lists!$AG$15*(1+N($Z415)),N($U415)*(1+N($V415)+N($W415)+N($X415)+N($Z415))+N($Y415))))</f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IF(TRIM($B415)="","",IF(IFERROR(INDEX(Lists!$AO$2:$AO$4,MATCH(ROW(),Lists!$AN$2:$AN$4,0)),"")&lt;&gt;"",IFERROR(INDEX(Lists!$AO$2:$AO$4,MATCH(ROW(),Lists!$AN$2:$AN$4,0)),""),IFERROR(INDEX(Lists!$U:$U,MATCH(TRIM($I415),Lists!$T:$T,0)),TRIM($I415))))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",$C415)),"Head of Technology",IF(ISNUMBER(SEARCH("TDD BP",$C415)),"Business Partner",IF(OR(ISNUMBER(SEARCH("domain architect",$C415)),ISNUMBER(SEARCH("enterprise architect",$C415))),"Domain Architect",IF(ISNUMBER(SEARCH("delivery man",$C415)),"Delivery Manager",IF(OR(ISNUMBER(SEARCH("technology manager",$C415)),ISNUMBER(SEARCH("technology manger",$C415)),ISNUMBER(SEARCH("tech manager",$C415))),"Technology Manager","Squad"))))))</f>
        <v>Technology Manager</v>
      </c>
      <c r="AS415" t="str">
        <f>IF(TRIM($B415)="","",IFERROR(INDEX(Lists!$AA:$AA,MATCH($AP415,Lists!$Z:$Z,0)),$AP415))</f>
        <v>Leadership</v>
      </c>
      <c r="AT415" t="str">
        <f>IF(TRIM($B415)="","",IF(IFERROR(INDEX(Lists!$AP$2:$AP$4,MATCH(ROW(),Lists!$AN$2:$AN$4,0)),"")&lt;&gt;"",IFERROR(INDEX(Lists!$AP$2:$AP$4,MATCH(ROW(),Lists!$AN$2:$AN$4,0)),""),IF(OR(LEFT($AJ415,3)="COE",$AJ415="EGI"),$AP415,IF($AR415&lt;&gt;"Squad",$AR415,$AP415))))</f>
        <v>Technology Manager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>
        <f>IF(TRIM($B416)="","",IF(N($AU416)&gt;0,$AU416,IF(N($S416)&gt;0,$S416*Lists!$AG$15*(1+N($Z416)),N($U416)*(1+N($V416)+N($W416)+N($X416)+N($Z416))+N($Y416))))</f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IF(TRIM($B416)="","",IF(IFERROR(INDEX(Lists!$AO$2:$AO$4,MATCH(ROW(),Lists!$AN$2:$AN$4,0)),"")&lt;&gt;"",IFERROR(INDEX(Lists!$AO$2:$AO$4,MATCH(ROW(),Lists!$AN$2:$AN$4,0)),""),IFERROR(INDEX(Lists!$U:$U,MATCH(TRIM($I416),Lists!$T:$T,0)),TRIM($I416))))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",$C416)),"Head of Technology",IF(ISNUMBER(SEARCH("TDD BP",$C416)),"Business Partner",IF(OR(ISNUMBER(SEARCH("domain architect",$C416)),ISNUMBER(SEARCH("enterprise architect",$C416))),"Domain Architect",IF(ISNUMBER(SEARCH("delivery man",$C416)),"Delivery Manager",IF(OR(ISNUMBER(SEARCH("technology manager",$C416)),ISNUMBER(SEARCH("technology manger",$C416)),ISNUMBER(SEARCH("tech manager",$C416))),"Technology Manager","Squad"))))))</f>
        <v>Squad</v>
      </c>
      <c r="AS416" t="str">
        <f>IF(TRIM($B416)="","",IFERROR(INDEX(Lists!$AA:$AA,MATCH($AP416,Lists!$Z:$Z,0)),$AP416))</f>
        <v>Energy</v>
      </c>
      <c r="AT416" t="str">
        <f>IF(TRIM($B416)="","",IF(IFERROR(INDEX(Lists!$AP$2:$AP$4,MATCH(ROW(),Lists!$AN$2:$AN$4,0)),"")&lt;&gt;"",IFERROR(INDEX(Lists!$AP$2:$AP$4,MATCH(ROW(),Lists!$AN$2:$AN$4,0)),""),IF(OR(LEFT($AJ416,3)="COE",$AJ416="EGI"),$AP416,IF($AR416&lt;&gt;"Squad",$AR416,$AP416))))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>
        <f>IF(TRIM($B417)="","",IF(N($AU417)&gt;0,$AU417,IF(N($S417)&gt;0,$S417*Lists!$AG$15*(1+N($Z417)),N($U417)*(1+N($V417)+N($W417)+N($X417)+N($Z417))+N($Y417))))</f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IF(TRIM($B417)="","",IF(IFERROR(INDEX(Lists!$AO$2:$AO$4,MATCH(ROW(),Lists!$AN$2:$AN$4,0)),"")&lt;&gt;"",IFERROR(INDEX(Lists!$AO$2:$AO$4,MATCH(ROW(),Lists!$AN$2:$AN$4,0)),""),IFERROR(INDEX(Lists!$U:$U,MATCH(TRIM($I417),Lists!$T:$T,0)),TRIM($I417))))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",$C417)),"Head of Technology",IF(ISNUMBER(SEARCH("TDD BP",$C417)),"Business Partner",IF(OR(ISNUMBER(SEARCH("domain architect",$C417)),ISNUMBER(SEARCH("enterprise architect",$C417))),"Domain Architect",IF(ISNUMBER(SEARCH("delivery man",$C417)),"Delivery Manager",IF(OR(ISNUMBER(SEARCH("technology manager",$C417)),ISNUMBER(SEARCH("technology manger",$C417)),ISNUMBER(SEARCH("tech manager",$C417))),"Technology Manager","Squad"))))))</f>
        <v>Squad</v>
      </c>
      <c r="AS417" t="str">
        <f>IF(TRIM($B417)="","",IFERROR(INDEX(Lists!$AA:$AA,MATCH($AP417,Lists!$Z:$Z,0)),$AP417))</f>
        <v>Energy</v>
      </c>
      <c r="AT417" t="str">
        <f>IF(TRIM($B417)="","",IF(IFERROR(INDEX(Lists!$AP$2:$AP$4,MATCH(ROW(),Lists!$AN$2:$AN$4,0)),"")&lt;&gt;"",IFERROR(INDEX(Lists!$AP$2:$AP$4,MATCH(ROW(),Lists!$AN$2:$AN$4,0)),""),IF(OR(LEFT($AJ417,3)="COE",$AJ417="EGI"),$AP417,IF($AR417&lt;&gt;"Squad",$AR417,$AP417))))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>
        <f>IF(TRIM($B418)="","",IF(N($AU418)&gt;0,$AU418,IF(N($S418)&gt;0,$S418*Lists!$AG$15*(1+N($Z418)),N($U418)*(1+N($V418)+N($W418)+N($X418)+N($Z418))+N($Y418))))</f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IF(TRIM($B418)="","",IF(IFERROR(INDEX(Lists!$AO$2:$AO$4,MATCH(ROW(),Lists!$AN$2:$AN$4,0)),"")&lt;&gt;"",IFERROR(INDEX(Lists!$AO$2:$AO$4,MATCH(ROW(),Lists!$AN$2:$AN$4,0)),""),IFERROR(INDEX(Lists!$U:$U,MATCH(TRIM($I418),Lists!$T:$T,0)),TRIM($I418))))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",$C418)),"Head of Technology",IF(ISNUMBER(SEARCH("TDD BP",$C418)),"Business Partner",IF(OR(ISNUMBER(SEARCH("domain architect",$C418)),ISNUMBER(SEARCH("enterprise architect",$C418))),"Domain Architect",IF(ISNUMBER(SEARCH("delivery man",$C418)),"Delivery Manager",IF(OR(ISNUMBER(SEARCH("technology manager",$C418)),ISNUMBER(SEARCH("technology manger",$C418)),ISNUMBER(SEARCH("tech manager",$C418))),"Technology Manager","Squad"))))))</f>
        <v>Squad</v>
      </c>
      <c r="AS418" t="str">
        <f>IF(TRIM($B418)="","",IFERROR(INDEX(Lists!$AA:$AA,MATCH($AP418,Lists!$Z:$Z,0)),$AP418))</f>
        <v>Energy</v>
      </c>
      <c r="AT418" t="str">
        <f>IF(TRIM($B418)="","",IF(IFERROR(INDEX(Lists!$AP$2:$AP$4,MATCH(ROW(),Lists!$AN$2:$AN$4,0)),"")&lt;&gt;"",IFERROR(INDEX(Lists!$AP$2:$AP$4,MATCH(ROW(),Lists!$AN$2:$AN$4,0)),""),IF(OR(LEFT($AJ418,3)="COE",$AJ418="EGI"),$AP418,IF($AR418&lt;&gt;"Squad",$AR418,$AP418))))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>
        <f>IF(TRIM($B419)="","",IF(N($AU419)&gt;0,$AU419,IF(N($S419)&gt;0,$S419*Lists!$AG$15*(1+N($Z419)),N($U419)*(1+N($V419)+N($W419)+N($X419)+N($Z419))+N($Y419))))</f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IF(TRIM($B419)="","",IF(IFERROR(INDEX(Lists!$AO$2:$AO$4,MATCH(ROW(),Lists!$AN$2:$AN$4,0)),"")&lt;&gt;"",IFERROR(INDEX(Lists!$AO$2:$AO$4,MATCH(ROW(),Lists!$AN$2:$AN$4,0)),""),IFERROR(INDEX(Lists!$U:$U,MATCH(TRIM($I419),Lists!$T:$T,0)),TRIM($I419))))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",$C419)),"Head of Technology",IF(ISNUMBER(SEARCH("TDD BP",$C419)),"Business Partner",IF(OR(ISNUMBER(SEARCH("domain architect",$C419)),ISNUMBER(SEARCH("enterprise architect",$C419))),"Domain Architect",IF(ISNUMBER(SEARCH("delivery man",$C419)),"Delivery Manager",IF(OR(ISNUMBER(SEARCH("technology manager",$C419)),ISNUMBER(SEARCH("technology manger",$C419)),ISNUMBER(SEARCH("tech manager",$C419))),"Technology Manager","Squad"))))))</f>
        <v>Squad</v>
      </c>
      <c r="AS419" t="str">
        <f>IF(TRIM($B419)="","",IFERROR(INDEX(Lists!$AA:$AA,MATCH($AP419,Lists!$Z:$Z,0)),$AP419))</f>
        <v>Supply</v>
      </c>
      <c r="AT419" t="str">
        <f>IF(TRIM($B419)="","",IF(IFERROR(INDEX(Lists!$AP$2:$AP$4,MATCH(ROW(),Lists!$AN$2:$AN$4,0)),"")&lt;&gt;"",IFERROR(INDEX(Lists!$AP$2:$AP$4,MATCH(ROW(),Lists!$AN$2:$AN$4,0)),""),IF(OR(LEFT($AJ419,3)="COE",$AJ419="EGI"),$AP419,IF($AR419&lt;&gt;"Squad",$AR419,$AP419))))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>
        <f>IF(TRIM($B420)="","",IF(N($AU420)&gt;0,$AU420,IF(N($S420)&gt;0,$S420*Lists!$AG$15*(1+N($Z420)),N($U420)*(1+N($V420)+N($W420)+N($X420)+N($Z420))+N($Y420))))</f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IF(TRIM($B420)="","",IF(IFERROR(INDEX(Lists!$AO$2:$AO$4,MATCH(ROW(),Lists!$AN$2:$AN$4,0)),"")&lt;&gt;"",IFERROR(INDEX(Lists!$AO$2:$AO$4,MATCH(ROW(),Lists!$AN$2:$AN$4,0)),""),IFERROR(INDEX(Lists!$U:$U,MATCH(TRIM($I420),Lists!$T:$T,0)),TRIM($I420))))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",$C420)),"Head of Technology",IF(ISNUMBER(SEARCH("TDD BP",$C420)),"Business Partner",IF(OR(ISNUMBER(SEARCH("domain architect",$C420)),ISNUMBER(SEARCH("enterprise architect",$C420))),"Domain Architect",IF(ISNUMBER(SEARCH("delivery man",$C420)),"Delivery Manager",IF(OR(ISNUMBER(SEARCH("technology manager",$C420)),ISNUMBER(SEARCH("technology manger",$C420)),ISNUMBER(SEARCH("tech manager",$C420))),"Technology Manager","Squad"))))))</f>
        <v>Squad</v>
      </c>
      <c r="AS420" t="str">
        <f>IF(TRIM($B420)="","",IFERROR(INDEX(Lists!$AA:$AA,MATCH($AP420,Lists!$Z:$Z,0)),$AP420))</f>
        <v>Trading &amp; Shipping</v>
      </c>
      <c r="AT420" t="str">
        <f>IF(TRIM($B420)="","",IF(IFERROR(INDEX(Lists!$AP$2:$AP$4,MATCH(ROW(),Lists!$AN$2:$AN$4,0)),"")&lt;&gt;"",IFERROR(INDEX(Lists!$AP$2:$AP$4,MATCH(ROW(),Lists!$AN$2:$AN$4,0)),""),IF(OR(LEFT($AJ420,3)="COE",$AJ420="EGI"),$AP420,IF($AR420&lt;&gt;"Squad",$AR420,$AP420))))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>
        <f>IF(TRIM($B421)="","",IF(N($AU421)&gt;0,$AU421,IF(N($S421)&gt;0,$S421*Lists!$AG$15*(1+N($Z421)),N($U421)*(1+N($V421)+N($W421)+N($X421)+N($Z421))+N($Y421))))</f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IF(TRIM($B421)="","",IF(IFERROR(INDEX(Lists!$AO$2:$AO$4,MATCH(ROW(),Lists!$AN$2:$AN$4,0)),"")&lt;&gt;"",IFERROR(INDEX(Lists!$AO$2:$AO$4,MATCH(ROW(),Lists!$AN$2:$AN$4,0)),""),IFERROR(INDEX(Lists!$U:$U,MATCH(TRIM($I421),Lists!$T:$T,0)),TRIM($I421))))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",$C421)),"Head of Technology",IF(ISNUMBER(SEARCH("TDD BP",$C421)),"Business Partner",IF(OR(ISNUMBER(SEARCH("domain architect",$C421)),ISNUMBER(SEARCH("enterprise architect",$C421))),"Domain Architect",IF(ISNUMBER(SEARCH("delivery man",$C421)),"Delivery Manager",IF(OR(ISNUMBER(SEARCH("technology manager",$C421)),ISNUMBER(SEARCH("technology manger",$C421)),ISNUMBER(SEARCH("tech manager",$C421))),"Technology Manager","Squad"))))))</f>
        <v>Delivery Manager</v>
      </c>
      <c r="AS421" t="str">
        <f>IF(TRIM($B421)="","",IFERROR(INDEX(Lists!$AA:$AA,MATCH($AP421,Lists!$Z:$Z,0)),$AP421))</f>
        <v>Leadership</v>
      </c>
      <c r="AT421" t="str">
        <f>IF(TRIM($B421)="","",IF(IFERROR(INDEX(Lists!$AP$2:$AP$4,MATCH(ROW(),Lists!$AN$2:$AN$4,0)),"")&lt;&gt;"",IFERROR(INDEX(Lists!$AP$2:$AP$4,MATCH(ROW(),Lists!$AN$2:$AN$4,0)),""),IF(OR(LEFT($AJ421,3)="COE",$AJ421="EGI"),$AP421,IF($AR421&lt;&gt;"Squad",$AR421,$AP421))))</f>
        <v>Delivery Manager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>
        <f>IF(TRIM($B422)="","",IF(N($AU422)&gt;0,$AU422,IF(N($S422)&gt;0,$S422*Lists!$AG$15*(1+N($Z422)),N($U422)*(1+N($V422)+N($W422)+N($X422)+N($Z422))+N($Y422))))</f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IF(TRIM($B422)="","",IF(IFERROR(INDEX(Lists!$AO$2:$AO$4,MATCH(ROW(),Lists!$AN$2:$AN$4,0)),"")&lt;&gt;"",IFERROR(INDEX(Lists!$AO$2:$AO$4,MATCH(ROW(),Lists!$AN$2:$AN$4,0)),""),IFERROR(INDEX(Lists!$U:$U,MATCH(TRIM($I422),Lists!$T:$T,0)),TRIM($I422))))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",$C422)),"Head of Technology",IF(ISNUMBER(SEARCH("TDD BP",$C422)),"Business Partner",IF(OR(ISNUMBER(SEARCH("domain architect",$C422)),ISNUMBER(SEARCH("enterprise architect",$C422))),"Domain Architect",IF(ISNUMBER(SEARCH("delivery man",$C422)),"Delivery Manager",IF(OR(ISNUMBER(SEARCH("technology manager",$C422)),ISNUMBER(SEARCH("technology manger",$C422)),ISNUMBER(SEARCH("tech manager",$C422))),"Technology Manager","Squad"))))))</f>
        <v>Technology Manager</v>
      </c>
      <c r="AS422" t="str">
        <f>IF(TRIM($B422)="","",IFERROR(INDEX(Lists!$AA:$AA,MATCH($AP422,Lists!$Z:$Z,0)),$AP422))</f>
        <v>Leadership</v>
      </c>
      <c r="AT422" t="str">
        <f>IF(TRIM($B422)="","",IF(IFERROR(INDEX(Lists!$AP$2:$AP$4,MATCH(ROW(),Lists!$AN$2:$AN$4,0)),"")&lt;&gt;"",IFERROR(INDEX(Lists!$AP$2:$AP$4,MATCH(ROW(),Lists!$AN$2:$AN$4,0)),""),IF(OR(LEFT($AJ422,3)="COE",$AJ422="EGI"),$AP422,IF($AR422&lt;&gt;"Squad",$AR422,$AP422))))</f>
        <v>Technology Manager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>
        <f>IF(TRIM($B423)="","",IF(N($AU423)&gt;0,$AU423,IF(N($S423)&gt;0,$S423*Lists!$AG$15*(1+N($Z423)),N($U423)*(1+N($V423)+N($W423)+N($X423)+N($Z423))+N($Y423))))</f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IF(TRIM($B423)="","",IF(IFERROR(INDEX(Lists!$AO$2:$AO$4,MATCH(ROW(),Lists!$AN$2:$AN$4,0)),"")&lt;&gt;"",IFERROR(INDEX(Lists!$AO$2:$AO$4,MATCH(ROW(),Lists!$AN$2:$AN$4,0)),""),IFERROR(INDEX(Lists!$U:$U,MATCH(TRIM($I423),Lists!$T:$T,0)),TRIM($I423))))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",$C423)),"Head of Technology",IF(ISNUMBER(SEARCH("TDD BP",$C423)),"Business Partner",IF(OR(ISNUMBER(SEARCH("domain architect",$C423)),ISNUMBER(SEARCH("enterprise architect",$C423))),"Domain Architect",IF(ISNUMBER(SEARCH("delivery man",$C423)),"Delivery Manager",IF(OR(ISNUMBER(SEARCH("technology manager",$C423)),ISNUMBER(SEARCH("technology manger",$C423)),ISNUMBER(SEARCH("tech manager",$C423))),"Technology Manager","Squad"))))))</f>
        <v>Squad</v>
      </c>
      <c r="AS423" t="str">
        <f>IF(TRIM($B423)="","",IFERROR(INDEX(Lists!$AA:$AA,MATCH($AP423,Lists!$Z:$Z,0)),$AP423))</f>
        <v>Supply</v>
      </c>
      <c r="AT423" t="str">
        <f>IF(TRIM($B423)="","",IF(IFERROR(INDEX(Lists!$AP$2:$AP$4,MATCH(ROW(),Lists!$AN$2:$AN$4,0)),"")&lt;&gt;"",IFERROR(INDEX(Lists!$AP$2:$AP$4,MATCH(ROW(),Lists!$AN$2:$AN$4,0)),""),IF(OR(LEFT($AJ423,3)="COE",$AJ423="EGI"),$AP423,IF($AR423&lt;&gt;"Squad",$AR423,$AP423))))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>
        <f>IF(TRIM($B424)="","",IF(N($AU424)&gt;0,$AU424,IF(N($S424)&gt;0,$S424*Lists!$AG$15*(1+N($Z424)),N($U424)*(1+N($V424)+N($W424)+N($X424)+N($Z424))+N($Y424))))</f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IF(TRIM($B424)="","",IF(IFERROR(INDEX(Lists!$AO$2:$AO$4,MATCH(ROW(),Lists!$AN$2:$AN$4,0)),"")&lt;&gt;"",IFERROR(INDEX(Lists!$AO$2:$AO$4,MATCH(ROW(),Lists!$AN$2:$AN$4,0)),""),IFERROR(INDEX(Lists!$U:$U,MATCH(TRIM($I424),Lists!$T:$T,0)),TRIM($I424))))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",$C424)),"Head of Technology",IF(ISNUMBER(SEARCH("TDD BP",$C424)),"Business Partner",IF(OR(ISNUMBER(SEARCH("domain architect",$C424)),ISNUMBER(SEARCH("enterprise architect",$C424))),"Domain Architect",IF(ISNUMBER(SEARCH("delivery man",$C424)),"Delivery Manager",IF(OR(ISNUMBER(SEARCH("technology manager",$C424)),ISNUMBER(SEARCH("technology manger",$C424)),ISNUMBER(SEARCH("tech manager",$C424))),"Technology Manager","Squad"))))))</f>
        <v>Squad</v>
      </c>
      <c r="AS424" t="str">
        <f>IF(TRIM($B424)="","",IFERROR(INDEX(Lists!$AA:$AA,MATCH($AP424,Lists!$Z:$Z,0)),$AP424))</f>
        <v>Trading &amp; Shipping</v>
      </c>
      <c r="AT424" t="str">
        <f>IF(TRIM($B424)="","",IF(IFERROR(INDEX(Lists!$AP$2:$AP$4,MATCH(ROW(),Lists!$AN$2:$AN$4,0)),"")&lt;&gt;"",IFERROR(INDEX(Lists!$AP$2:$AP$4,MATCH(ROW(),Lists!$AN$2:$AN$4,0)),""),IF(OR(LEFT($AJ424,3)="COE",$AJ424="EGI"),$AP424,IF($AR424&lt;&gt;"Squad",$AR424,$AP424))))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>
        <f>IF(TRIM($B425)="","",IF(N($AU425)&gt;0,$AU425,IF(N($S425)&gt;0,$S425*Lists!$AG$15*(1+N($Z425)),N($U425)*(1+N($V425)+N($W425)+N($X425)+N($Z425))+N($Y425))))</f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IF(TRIM($B425)="","",IF(IFERROR(INDEX(Lists!$AO$2:$AO$4,MATCH(ROW(),Lists!$AN$2:$AN$4,0)),"")&lt;&gt;"",IFERROR(INDEX(Lists!$AO$2:$AO$4,MATCH(ROW(),Lists!$AN$2:$AN$4,0)),""),IFERROR(INDEX(Lists!$U:$U,MATCH(TRIM($I425),Lists!$T:$T,0)),TRIM($I425))))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",$C425)),"Head of Technology",IF(ISNUMBER(SEARCH("TDD BP",$C425)),"Business Partner",IF(OR(ISNUMBER(SEARCH("domain architect",$C425)),ISNUMBER(SEARCH("enterprise architect",$C425))),"Domain Architect",IF(ISNUMBER(SEARCH("delivery man",$C425)),"Delivery Manager",IF(OR(ISNUMBER(SEARCH("technology manager",$C425)),ISNUMBER(SEARCH("technology manger",$C425)),ISNUMBER(SEARCH("tech manager",$C425))),"Technology Manager","Squad"))))))</f>
        <v>Squad</v>
      </c>
      <c r="AS425" t="str">
        <f>IF(TRIM($B425)="","",IFERROR(INDEX(Lists!$AA:$AA,MATCH($AP425,Lists!$Z:$Z,0)),$AP425))</f>
        <v>Trading &amp; Shipping</v>
      </c>
      <c r="AT425" t="str">
        <f>IF(TRIM($B425)="","",IF(IFERROR(INDEX(Lists!$AP$2:$AP$4,MATCH(ROW(),Lists!$AN$2:$AN$4,0)),"")&lt;&gt;"",IFERROR(INDEX(Lists!$AP$2:$AP$4,MATCH(ROW(),Lists!$AN$2:$AN$4,0)),""),IF(OR(LEFT($AJ425,3)="COE",$AJ425="EGI"),$AP425,IF($AR425&lt;&gt;"Squad",$AR425,$AP425))))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>
        <f>IF(TRIM($B426)="","",IF(N($AU426)&gt;0,$AU426,IF(N($S426)&gt;0,$S426*Lists!$AG$15*(1+N($Z426)),N($U426)*(1+N($V426)+N($W426)+N($X426)+N($Z426))+N($Y426))))</f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IF(TRIM($B426)="","",IF(IFERROR(INDEX(Lists!$AO$2:$AO$4,MATCH(ROW(),Lists!$AN$2:$AN$4,0)),"")&lt;&gt;"",IFERROR(INDEX(Lists!$AO$2:$AO$4,MATCH(ROW(),Lists!$AN$2:$AN$4,0)),""),IFERROR(INDEX(Lists!$U:$U,MATCH(TRIM($I426),Lists!$T:$T,0)),TRIM($I426))))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",$C426)),"Head of Technology",IF(ISNUMBER(SEARCH("TDD BP",$C426)),"Business Partner",IF(OR(ISNUMBER(SEARCH("domain architect",$C426)),ISNUMBER(SEARCH("enterprise architect",$C426))),"Domain Architect",IF(ISNUMBER(SEARCH("delivery man",$C426)),"Delivery Manager",IF(OR(ISNUMBER(SEARCH("technology manager",$C426)),ISNUMBER(SEARCH("technology manger",$C426)),ISNUMBER(SEARCH("tech manager",$C426))),"Technology Manager","Squad"))))))</f>
        <v>Delivery Manager</v>
      </c>
      <c r="AS426" t="str">
        <f>IF(TRIM($B426)="","",IFERROR(INDEX(Lists!$AA:$AA,MATCH($AP426,Lists!$Z:$Z,0)),$AP426))</f>
        <v>Leadership</v>
      </c>
      <c r="AT426" t="str">
        <f>IF(TRIM($B426)="","",IF(IFERROR(INDEX(Lists!$AP$2:$AP$4,MATCH(ROW(),Lists!$AN$2:$AN$4,0)),"")&lt;&gt;"",IFERROR(INDEX(Lists!$AP$2:$AP$4,MATCH(ROW(),Lists!$AN$2:$AN$4,0)),""),IF(OR(LEFT($AJ426,3)="COE",$AJ426="EGI"),$AP426,IF($AR426&lt;&gt;"Squad",$AR426,$AP426))))</f>
        <v>Delivery Manager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>
        <f>IF(TRIM($B427)="","",IF(N($AU427)&gt;0,$AU427,IF(N($S427)&gt;0,$S427*Lists!$AG$15*(1+N($Z427)),N($U427)*(1+N($V427)+N($W427)+N($X427)+N($Z427))+N($Y427))))</f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IF(TRIM($B427)="","",IF(IFERROR(INDEX(Lists!$AO$2:$AO$4,MATCH(ROW(),Lists!$AN$2:$AN$4,0)),"")&lt;&gt;"",IFERROR(INDEX(Lists!$AO$2:$AO$4,MATCH(ROW(),Lists!$AN$2:$AN$4,0)),""),IFERROR(INDEX(Lists!$U:$U,MATCH(TRIM($I427),Lists!$T:$T,0)),TRIM($I427))))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",$C427)),"Head of Technology",IF(ISNUMBER(SEARCH("TDD BP",$C427)),"Business Partner",IF(OR(ISNUMBER(SEARCH("domain architect",$C427)),ISNUMBER(SEARCH("enterprise architect",$C427))),"Domain Architect",IF(ISNUMBER(SEARCH("delivery man",$C427)),"Delivery Manager",IF(OR(ISNUMBER(SEARCH("technology manager",$C427)),ISNUMBER(SEARCH("technology manger",$C427)),ISNUMBER(SEARCH("tech manager",$C427))),"Technology Manager","Squad"))))))</f>
        <v>Technology Manager</v>
      </c>
      <c r="AS427" t="str">
        <f>IF(TRIM($B427)="","",IFERROR(INDEX(Lists!$AA:$AA,MATCH($AP427,Lists!$Z:$Z,0)),$AP427))</f>
        <v>Leadership</v>
      </c>
      <c r="AT427" t="str">
        <f>IF(TRIM($B427)="","",IF(IFERROR(INDEX(Lists!$AP$2:$AP$4,MATCH(ROW(),Lists!$AN$2:$AN$4,0)),"")&lt;&gt;"",IFERROR(INDEX(Lists!$AP$2:$AP$4,MATCH(ROW(),Lists!$AN$2:$AN$4,0)),""),IF(OR(LEFT($AJ427,3)="COE",$AJ427="EGI"),$AP427,IF($AR427&lt;&gt;"Squad",$AR427,$AP427))))</f>
        <v>Technology Manager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>
        <f>IF(TRIM($B428)="","",IF(N($AU428)&gt;0,$AU428,IF(N($S428)&gt;0,$S428*Lists!$AG$15*(1+N($Z428)),N($U428)*(1+N($V428)+N($W428)+N($X428)+N($Z428))+N($Y428))))</f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IF(TRIM($B428)="","",IF(IFERROR(INDEX(Lists!$AO$2:$AO$4,MATCH(ROW(),Lists!$AN$2:$AN$4,0)),"")&lt;&gt;"",IFERROR(INDEX(Lists!$AO$2:$AO$4,MATCH(ROW(),Lists!$AN$2:$AN$4,0)),""),IFERROR(INDEX(Lists!$U:$U,MATCH(TRIM($I428),Lists!$T:$T,0)),TRIM($I428))))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",$C428)),"Head of Technology",IF(ISNUMBER(SEARCH("TDD BP",$C428)),"Business Partner",IF(OR(ISNUMBER(SEARCH("domain architect",$C428)),ISNUMBER(SEARCH("enterprise architect",$C428))),"Domain Architect",IF(ISNUMBER(SEARCH("delivery man",$C428)),"Delivery Manager",IF(OR(ISNUMBER(SEARCH("technology manager",$C428)),ISNUMBER(SEARCH("technology manger",$C428)),ISNUMBER(SEARCH("tech manager",$C428))),"Technology Manager","Squad"))))))</f>
        <v>Technology Manager</v>
      </c>
      <c r="AS428" t="str">
        <f>IF(TRIM($B428)="","",IFERROR(INDEX(Lists!$AA:$AA,MATCH($AP428,Lists!$Z:$Z,0)),$AP428))</f>
        <v>Leadership</v>
      </c>
      <c r="AT428" t="str">
        <f>IF(TRIM($B428)="","",IF(IFERROR(INDEX(Lists!$AP$2:$AP$4,MATCH(ROW(),Lists!$AN$2:$AN$4,0)),"")&lt;&gt;"",IFERROR(INDEX(Lists!$AP$2:$AP$4,MATCH(ROW(),Lists!$AN$2:$AN$4,0)),""),IF(OR(LEFT($AJ428,3)="COE",$AJ428="EGI"),$AP428,IF($AR428&lt;&gt;"Squad",$AR428,$AP428))))</f>
        <v>Technology Manager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>
        <f>IF(TRIM($B429)="","",IF(N($AU429)&gt;0,$AU429,IF(N($S429)&gt;0,$S429*Lists!$AG$15*(1+N($Z429)),N($U429)*(1+N($V429)+N($W429)+N($X429)+N($Z429))+N($Y429))))</f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IF(TRIM($B429)="","",IF(IFERROR(INDEX(Lists!$AO$2:$AO$4,MATCH(ROW(),Lists!$AN$2:$AN$4,0)),"")&lt;&gt;"",IFERROR(INDEX(Lists!$AO$2:$AO$4,MATCH(ROW(),Lists!$AN$2:$AN$4,0)),""),IFERROR(INDEX(Lists!$U:$U,MATCH(TRIM($I429),Lists!$T:$T,0)),TRIM($I429))))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",$C429)),"Head of Technology",IF(ISNUMBER(SEARCH("TDD BP",$C429)),"Business Partner",IF(OR(ISNUMBER(SEARCH("domain architect",$C429)),ISNUMBER(SEARCH("enterprise architect",$C429))),"Domain Architect",IF(ISNUMBER(SEARCH("delivery man",$C429)),"Delivery Manager",IF(OR(ISNUMBER(SEARCH("technology manager",$C429)),ISNUMBER(SEARCH("technology manger",$C429)),ISNUMBER(SEARCH("tech manager",$C429))),"Technology Manager","Squad"))))))</f>
        <v>Squad</v>
      </c>
      <c r="AS429" t="str">
        <f>IF(TRIM($B429)="","",IFERROR(INDEX(Lists!$AA:$AA,MATCH($AP429,Lists!$Z:$Z,0)),$AP429))</f>
        <v>Manufacturing Group Projects</v>
      </c>
      <c r="AT429" t="str">
        <f>IF(TRIM($B429)="","",IF(IFERROR(INDEX(Lists!$AP$2:$AP$4,MATCH(ROW(),Lists!$AN$2:$AN$4,0)),"")&lt;&gt;"",IFERROR(INDEX(Lists!$AP$2:$AP$4,MATCH(ROW(),Lists!$AN$2:$AN$4,0)),""),IF(OR(LEFT($AJ429,3)="COE",$AJ429="EGI"),$AP429,IF($AR429&lt;&gt;"Squad",$AR429,$AP429))))</f>
        <v>Manufacturing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>
        <f>IF(TRIM($B430)="","",IF(N($AU430)&gt;0,$AU430,IF(N($S430)&gt;0,$S430*Lists!$AG$15*(1+N($Z430)),N($U430)*(1+N($V430)+N($W430)+N($X430)+N($Z430))+N($Y430))))</f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IF(TRIM($B430)="","",IF(IFERROR(INDEX(Lists!$AO$2:$AO$4,MATCH(ROW(),Lists!$AN$2:$AN$4,0)),"")&lt;&gt;"",IFERROR(INDEX(Lists!$AO$2:$AO$4,MATCH(ROW(),Lists!$AN$2:$AN$4,0)),""),IFERROR(INDEX(Lists!$U:$U,MATCH(TRIM($I430),Lists!$T:$T,0)),TRIM($I430))))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",$C430)),"Head of Technology",IF(ISNUMBER(SEARCH("TDD BP",$C430)),"Business Partner",IF(OR(ISNUMBER(SEARCH("domain architect",$C430)),ISNUMBER(SEARCH("enterprise architect",$C430))),"Domain Architect",IF(ISNUMBER(SEARCH("delivery man",$C430)),"Delivery Manager",IF(OR(ISNUMBER(SEARCH("technology manager",$C430)),ISNUMBER(SEARCH("technology manger",$C430)),ISNUMBER(SEARCH("tech manager",$C430))),"Technology Manager","Squad"))))))</f>
        <v>Squad</v>
      </c>
      <c r="AS430" t="str">
        <f>IF(TRIM($B430)="","",IFERROR(INDEX(Lists!$AA:$AA,MATCH($AP430,Lists!$Z:$Z,0)),$AP430))</f>
        <v>Manufacturing Group Projects</v>
      </c>
      <c r="AT430" t="str">
        <f>IF(TRIM($B430)="","",IF(IFERROR(INDEX(Lists!$AP$2:$AP$4,MATCH(ROW(),Lists!$AN$2:$AN$4,0)),"")&lt;&gt;"",IFERROR(INDEX(Lists!$AP$2:$AP$4,MATCH(ROW(),Lists!$AN$2:$AN$4,0)),""),IF(OR(LEFT($AJ430,3)="COE",$AJ430="EGI"),$AP430,IF($AR430&lt;&gt;"Squad",$AR430,$AP430))))</f>
        <v>Manufacturing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>
        <f>IF(TRIM($B431)="","",IF(N($AU431)&gt;0,$AU431,IF(N($S431)&gt;0,$S431*Lists!$AG$15*(1+N($Z431)),N($U431)*(1+N($V431)+N($W431)+N($X431)+N($Z431))+N($Y431))))</f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IF(TRIM($B431)="","",IF(IFERROR(INDEX(Lists!$AO$2:$AO$4,MATCH(ROW(),Lists!$AN$2:$AN$4,0)),"")&lt;&gt;"",IFERROR(INDEX(Lists!$AO$2:$AO$4,MATCH(ROW(),Lists!$AN$2:$AN$4,0)),""),IFERROR(INDEX(Lists!$U:$U,MATCH(TRIM($I431),Lists!$T:$T,0)),TRIM($I431))))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",$C431)),"Head of Technology",IF(ISNUMBER(SEARCH("TDD BP",$C431)),"Business Partner",IF(OR(ISNUMBER(SEARCH("domain architect",$C431)),ISNUMBER(SEARCH("enterprise architect",$C431))),"Domain Architect",IF(ISNUMBER(SEARCH("delivery man",$C431)),"Delivery Manager",IF(OR(ISNUMBER(SEARCH("technology manager",$C431)),ISNUMBER(SEARCH("technology manger",$C431)),ISNUMBER(SEARCH("tech manager",$C431))),"Technology Manager","Squad"))))))</f>
        <v>Squad</v>
      </c>
      <c r="AS431" t="str">
        <f>IF(TRIM($B431)="","",IFERROR(INDEX(Lists!$AA:$AA,MATCH($AP431,Lists!$Z:$Z,0)),$AP431))</f>
        <v>Distribution, Sales &amp; Services</v>
      </c>
      <c r="AT431" t="str">
        <f>IF(TRIM($B431)="","",IF(IFERROR(INDEX(Lists!$AP$2:$AP$4,MATCH(ROW(),Lists!$AN$2:$AN$4,0)),"")&lt;&gt;"",IFERROR(INDEX(Lists!$AP$2:$AP$4,MATCH(ROW(),Lists!$AN$2:$AN$4,0)),""),IF(OR(LEFT($AJ431,3)="COE",$AJ431="EGI"),$AP431,IF($AR431&lt;&gt;"Squad",$AR431,$AP431))))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>
        <f>IF(TRIM($B432)="","",IF(N($AU432)&gt;0,$AU432,IF(N($S432)&gt;0,$S432*Lists!$AG$15*(1+N($Z432)),N($U432)*(1+N($V432)+N($W432)+N($X432)+N($Z432))+N($Y432))))</f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IF(TRIM($B432)="","",IF(IFERROR(INDEX(Lists!$AO$2:$AO$4,MATCH(ROW(),Lists!$AN$2:$AN$4,0)),"")&lt;&gt;"",IFERROR(INDEX(Lists!$AO$2:$AO$4,MATCH(ROW(),Lists!$AN$2:$AN$4,0)),""),IFERROR(INDEX(Lists!$U:$U,MATCH(TRIM($I432),Lists!$T:$T,0)),TRIM($I432))))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",$C432)),"Head of Technology",IF(ISNUMBER(SEARCH("TDD BP",$C432)),"Business Partner",IF(OR(ISNUMBER(SEARCH("domain architect",$C432)),ISNUMBER(SEARCH("enterprise architect",$C432))),"Domain Architect",IF(ISNUMBER(SEARCH("delivery man",$C432)),"Delivery Manager",IF(OR(ISNUMBER(SEARCH("technology manager",$C432)),ISNUMBER(SEARCH("technology manger",$C432)),ISNUMBER(SEARCH("tech manager",$C432))),"Technology Manager","Squad"))))))</f>
        <v>Squad</v>
      </c>
      <c r="AS432" t="str">
        <f>IF(TRIM($B432)="","",IFERROR(INDEX(Lists!$AA:$AA,MATCH($AP432,Lists!$Z:$Z,0)),$AP432))</f>
        <v>Distribution, Sales &amp; Services</v>
      </c>
      <c r="AT432" t="str">
        <f>IF(TRIM($B432)="","",IF(IFERROR(INDEX(Lists!$AP$2:$AP$4,MATCH(ROW(),Lists!$AN$2:$AN$4,0)),"")&lt;&gt;"",IFERROR(INDEX(Lists!$AP$2:$AP$4,MATCH(ROW(),Lists!$AN$2:$AN$4,0)),""),IF(OR(LEFT($AJ432,3)="COE",$AJ432="EGI"),$AP432,IF($AR432&lt;&gt;"Squad",$AR432,$AP432))))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>
        <f>IF(TRIM($B433)="","",IF(N($AU433)&gt;0,$AU433,IF(N($S433)&gt;0,$S433*Lists!$AG$15*(1+N($Z433)),N($U433)*(1+N($V433)+N($W433)+N($X433)+N($Z433))+N($Y433))))</f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IF(TRIM($B433)="","",IF(IFERROR(INDEX(Lists!$AO$2:$AO$4,MATCH(ROW(),Lists!$AN$2:$AN$4,0)),"")&lt;&gt;"",IFERROR(INDEX(Lists!$AO$2:$AO$4,MATCH(ROW(),Lists!$AN$2:$AN$4,0)),""),IFERROR(INDEX(Lists!$U:$U,MATCH(TRIM($I433),Lists!$T:$T,0)),TRIM($I433))))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",$C433)),"Head of Technology",IF(ISNUMBER(SEARCH("TDD BP",$C433)),"Business Partner",IF(OR(ISNUMBER(SEARCH("domain architect",$C433)),ISNUMBER(SEARCH("enterprise architect",$C433))),"Domain Architect",IF(ISNUMBER(SEARCH("delivery man",$C433)),"Delivery Manager",IF(OR(ISNUMBER(SEARCH("technology manager",$C433)),ISNUMBER(SEARCH("technology manger",$C433)),ISNUMBER(SEARCH("tech manager",$C433))),"Technology Manager","Squad"))))))</f>
        <v>Squad</v>
      </c>
      <c r="AS433" t="str">
        <f>IF(TRIM($B433)="","",IFERROR(INDEX(Lists!$AA:$AA,MATCH($AP433,Lists!$Z:$Z,0)),$AP433))</f>
        <v>Data &amp; Insights</v>
      </c>
      <c r="AT433" t="str">
        <f>IF(TRIM($B433)="","",IF(IFERROR(INDEX(Lists!$AP$2:$AP$4,MATCH(ROW(),Lists!$AN$2:$AN$4,0)),"")&lt;&gt;"",IFERROR(INDEX(Lists!$AP$2:$AP$4,MATCH(ROW(),Lists!$AN$2:$AN$4,0)),""),IF(OR(LEFT($AJ433,3)="COE",$AJ433="EGI"),$AP433,IF($AR433&lt;&gt;"Squad",$AR433,$AP433))))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>
        <f>IF(TRIM($B434)="","",IF(N($AU434)&gt;0,$AU434,IF(N($S434)&gt;0,$S434*Lists!$AG$15*(1+N($Z434)),N($U434)*(1+N($V434)+N($W434)+N($X434)+N($Z434))+N($Y434))))</f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IF(TRIM($B434)="","",IF(IFERROR(INDEX(Lists!$AO$2:$AO$4,MATCH(ROW(),Lists!$AN$2:$AN$4,0)),"")&lt;&gt;"",IFERROR(INDEX(Lists!$AO$2:$AO$4,MATCH(ROW(),Lists!$AN$2:$AN$4,0)),""),IFERROR(INDEX(Lists!$U:$U,MATCH(TRIM($I434),Lists!$T:$T,0)),TRIM($I434))))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",$C434)),"Head of Technology",IF(ISNUMBER(SEARCH("TDD BP",$C434)),"Business Partner",IF(OR(ISNUMBER(SEARCH("domain architect",$C434)),ISNUMBER(SEARCH("enterprise architect",$C434))),"Domain Architect",IF(ISNUMBER(SEARCH("delivery man",$C434)),"Delivery Manager",IF(OR(ISNUMBER(SEARCH("technology manager",$C434)),ISNUMBER(SEARCH("technology manger",$C434)),ISNUMBER(SEARCH("tech manager",$C434))),"Technology Manager","Squad"))))))</f>
        <v>Squad</v>
      </c>
      <c r="AS434" t="str">
        <f>IF(TRIM($B434)="","",IFERROR(INDEX(Lists!$AA:$AA,MATCH($AP434,Lists!$Z:$Z,0)),$AP434))</f>
        <v>Data &amp; Insights</v>
      </c>
      <c r="AT434" t="str">
        <f>IF(TRIM($B434)="","",IF(IFERROR(INDEX(Lists!$AP$2:$AP$4,MATCH(ROW(),Lists!$AN$2:$AN$4,0)),"")&lt;&gt;"",IFERROR(INDEX(Lists!$AP$2:$AP$4,MATCH(ROW(),Lists!$AN$2:$AN$4,0)),""),IF(OR(LEFT($AJ434,3)="COE",$AJ434="EGI"),$AP434,IF($AR434&lt;&gt;"Squad",$AR434,$AP434))))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>
        <f>IF(TRIM($B435)="","",IF(N($AU435)&gt;0,$AU435,IF(N($S435)&gt;0,$S435*Lists!$AG$15*(1+N($Z435)),N($U435)*(1+N($V435)+N($W435)+N($X435)+N($Z435))+N($Y435))))</f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IF(TRIM($B435)="","",IF(IFERROR(INDEX(Lists!$AO$2:$AO$4,MATCH(ROW(),Lists!$AN$2:$AN$4,0)),"")&lt;&gt;"",IFERROR(INDEX(Lists!$AO$2:$AO$4,MATCH(ROW(),Lists!$AN$2:$AN$4,0)),""),IFERROR(INDEX(Lists!$U:$U,MATCH(TRIM($I435),Lists!$T:$T,0)),TRIM($I435))))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",$C435)),"Head of Technology",IF(ISNUMBER(SEARCH("TDD BP",$C435)),"Business Partner",IF(OR(ISNUMBER(SEARCH("domain architect",$C435)),ISNUMBER(SEARCH("enterprise architect",$C435))),"Domain Architect",IF(ISNUMBER(SEARCH("delivery man",$C435)),"Delivery Manager",IF(OR(ISNUMBER(SEARCH("technology manager",$C435)),ISNUMBER(SEARCH("technology manger",$C435)),ISNUMBER(SEARCH("tech manager",$C435))),"Technology Manager","Squad"))))))</f>
        <v>Squad</v>
      </c>
      <c r="AS435" t="str">
        <f>IF(TRIM($B435)="","",IFERROR(INDEX(Lists!$AA:$AA,MATCH($AP435,Lists!$Z:$Z,0)),$AP435))</f>
        <v>Data &amp; Insights</v>
      </c>
      <c r="AT435" t="str">
        <f>IF(TRIM($B435)="","",IF(IFERROR(INDEX(Lists!$AP$2:$AP$4,MATCH(ROW(),Lists!$AN$2:$AN$4,0)),"")&lt;&gt;"",IFERROR(INDEX(Lists!$AP$2:$AP$4,MATCH(ROW(),Lists!$AN$2:$AN$4,0)),""),IF(OR(LEFT($AJ435,3)="COE",$AJ435="EGI"),$AP435,IF($AR435&lt;&gt;"Squad",$AR435,$AP435))))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>
        <f>IF(TRIM($B436)="","",IF(N($AU436)&gt;0,$AU436,IF(N($S436)&gt;0,$S436*Lists!$AG$15*(1+N($Z436)),N($U436)*(1+N($V436)+N($W436)+N($X436)+N($Z436))+N($Y436))))</f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IF(TRIM($B436)="","",IF(IFERROR(INDEX(Lists!$AO$2:$AO$4,MATCH(ROW(),Lists!$AN$2:$AN$4,0)),"")&lt;&gt;"",IFERROR(INDEX(Lists!$AO$2:$AO$4,MATCH(ROW(),Lists!$AN$2:$AN$4,0)),""),IFERROR(INDEX(Lists!$U:$U,MATCH(TRIM($I436),Lists!$T:$T,0)),TRIM($I436))))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",$C436)),"Head of Technology",IF(ISNUMBER(SEARCH("TDD BP",$C436)),"Business Partner",IF(OR(ISNUMBER(SEARCH("domain architect",$C436)),ISNUMBER(SEARCH("enterprise architect",$C436))),"Domain Architect",IF(ISNUMBER(SEARCH("delivery man",$C436)),"Delivery Manager",IF(OR(ISNUMBER(SEARCH("technology manager",$C436)),ISNUMBER(SEARCH("technology manger",$C436)),ISNUMBER(SEARCH("tech manager",$C436))),"Technology Manager","Squad"))))))</f>
        <v>Squad</v>
      </c>
      <c r="AS436" t="str">
        <f>IF(TRIM($B436)="","",IFERROR(INDEX(Lists!$AA:$AA,MATCH($AP436,Lists!$Z:$Z,0)),$AP436))</f>
        <v>Data &amp; Insights</v>
      </c>
      <c r="AT436" t="str">
        <f>IF(TRIM($B436)="","",IF(IFERROR(INDEX(Lists!$AP$2:$AP$4,MATCH(ROW(),Lists!$AN$2:$AN$4,0)),"")&lt;&gt;"",IFERROR(INDEX(Lists!$AP$2:$AP$4,MATCH(ROW(),Lists!$AN$2:$AN$4,0)),""),IF(OR(LEFT($AJ436,3)="COE",$AJ436="EGI"),$AP436,IF($AR436&lt;&gt;"Squad",$AR436,$AP436))))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>
        <f>IF(TRIM($B437)="","",IF(N($AU437)&gt;0,$AU437,IF(N($S437)&gt;0,$S437*Lists!$AG$15*(1+N($Z437)),N($U437)*(1+N($V437)+N($W437)+N($X437)+N($Z437))+N($Y437))))</f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IF(TRIM($B437)="","",IF(IFERROR(INDEX(Lists!$AO$2:$AO$4,MATCH(ROW(),Lists!$AN$2:$AN$4,0)),"")&lt;&gt;"",IFERROR(INDEX(Lists!$AO$2:$AO$4,MATCH(ROW(),Lists!$AN$2:$AN$4,0)),""),IFERROR(INDEX(Lists!$U:$U,MATCH(TRIM($I437),Lists!$T:$T,0)),TRIM($I437))))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",$C437)),"Head of Technology",IF(ISNUMBER(SEARCH("TDD BP",$C437)),"Business Partner",IF(OR(ISNUMBER(SEARCH("domain architect",$C437)),ISNUMBER(SEARCH("enterprise architect",$C437))),"Domain Architect",IF(ISNUMBER(SEARCH("delivery man",$C437)),"Delivery Manager",IF(OR(ISNUMBER(SEARCH("technology manager",$C437)),ISNUMBER(SEARCH("technology manger",$C437)),ISNUMBER(SEARCH("tech manager",$C437))),"Technology Manager","Squad"))))))</f>
        <v>Squad</v>
      </c>
      <c r="AS437" t="str">
        <f>IF(TRIM($B437)="","",IFERROR(INDEX(Lists!$AA:$AA,MATCH($AP437,Lists!$Z:$Z,0)),$AP437))</f>
        <v>Data &amp; Insights</v>
      </c>
      <c r="AT437" t="str">
        <f>IF(TRIM($B437)="","",IF(IFERROR(INDEX(Lists!$AP$2:$AP$4,MATCH(ROW(),Lists!$AN$2:$AN$4,0)),"")&lt;&gt;"",IFERROR(INDEX(Lists!$AP$2:$AP$4,MATCH(ROW(),Lists!$AN$2:$AN$4,0)),""),IF(OR(LEFT($AJ437,3)="COE",$AJ437="EGI"),$AP437,IF($AR437&lt;&gt;"Squad",$AR437,$AP437))))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>
        <f>IF(TRIM($B438)="","",IF(N($AU438)&gt;0,$AU438,IF(N($S438)&gt;0,$S438*Lists!$AG$15*(1+N($Z438)),N($U438)*(1+N($V438)+N($W438)+N($X438)+N($Z438))+N($Y438))))</f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IF(TRIM($B438)="","",IF(IFERROR(INDEX(Lists!$AO$2:$AO$4,MATCH(ROW(),Lists!$AN$2:$AN$4,0)),"")&lt;&gt;"",IFERROR(INDEX(Lists!$AO$2:$AO$4,MATCH(ROW(),Lists!$AN$2:$AN$4,0)),""),IFERROR(INDEX(Lists!$U:$U,MATCH(TRIM($I438),Lists!$T:$T,0)),TRIM($I438))))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",$C438)),"Head of Technology",IF(ISNUMBER(SEARCH("TDD BP",$C438)),"Business Partner",IF(OR(ISNUMBER(SEARCH("domain architect",$C438)),ISNUMBER(SEARCH("enterprise architect",$C438))),"Domain Architect",IF(ISNUMBER(SEARCH("delivery man",$C438)),"Delivery Manager",IF(OR(ISNUMBER(SEARCH("technology manager",$C438)),ISNUMBER(SEARCH("technology manger",$C438)),ISNUMBER(SEARCH("tech manager",$C438))),"Technology Manager","Squad"))))))</f>
        <v>Squad</v>
      </c>
      <c r="AS438" t="str">
        <f>IF(TRIM($B438)="","",IFERROR(INDEX(Lists!$AA:$AA,MATCH($AP438,Lists!$Z:$Z,0)),$AP438))</f>
        <v>B2B</v>
      </c>
      <c r="AT438" t="str">
        <f>IF(TRIM($B438)="","",IF(IFERROR(INDEX(Lists!$AP$2:$AP$4,MATCH(ROW(),Lists!$AN$2:$AN$4,0)),"")&lt;&gt;"",IFERROR(INDEX(Lists!$AP$2:$AP$4,MATCH(ROW(),Lists!$AN$2:$AN$4,0)),""),IF(OR(LEFT($AJ438,3)="COE",$AJ438="EGI"),$AP438,IF($AR438&lt;&gt;"Squad",$AR438,$AP438))))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>
        <f>IF(TRIM($B439)="","",IF(N($AU439)&gt;0,$AU439,IF(N($S439)&gt;0,$S439*Lists!$AG$15*(1+N($Z439)),N($U439)*(1+N($V439)+N($W439)+N($X439)+N($Z439))+N($Y439))))</f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IF(TRIM($B439)="","",IF(IFERROR(INDEX(Lists!$AO$2:$AO$4,MATCH(ROW(),Lists!$AN$2:$AN$4,0)),"")&lt;&gt;"",IFERROR(INDEX(Lists!$AO$2:$AO$4,MATCH(ROW(),Lists!$AN$2:$AN$4,0)),""),IFERROR(INDEX(Lists!$U:$U,MATCH(TRIM($I439),Lists!$T:$T,0)),TRIM($I439))))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",$C439)),"Head of Technology",IF(ISNUMBER(SEARCH("TDD BP",$C439)),"Business Partner",IF(OR(ISNUMBER(SEARCH("domain architect",$C439)),ISNUMBER(SEARCH("enterprise architect",$C439))),"Domain Architect",IF(ISNUMBER(SEARCH("delivery man",$C439)),"Delivery Manager",IF(OR(ISNUMBER(SEARCH("technology manager",$C439)),ISNUMBER(SEARCH("technology manger",$C439)),ISNUMBER(SEARCH("tech manager",$C439))),"Technology Manager","Squad"))))))</f>
        <v>Squad</v>
      </c>
      <c r="AS439" t="str">
        <f>IF(TRIM($B439)="","",IFERROR(INDEX(Lists!$AA:$AA,MATCH($AP439,Lists!$Z:$Z,0)),$AP439))</f>
        <v>Energy</v>
      </c>
      <c r="AT439" t="str">
        <f>IF(TRIM($B439)="","",IF(IFERROR(INDEX(Lists!$AP$2:$AP$4,MATCH(ROW(),Lists!$AN$2:$AN$4,0)),"")&lt;&gt;"",IFERROR(INDEX(Lists!$AP$2:$AP$4,MATCH(ROW(),Lists!$AN$2:$AN$4,0)),""),IF(OR(LEFT($AJ439,3)="COE",$AJ439="EGI"),$AP439,IF($AR439&lt;&gt;"Squad",$AR439,$AP439))))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>
        <f>IF(TRIM($B440)="","",IF(N($AU440)&gt;0,$AU440,IF(N($S440)&gt;0,$S440*Lists!$AG$15*(1+N($Z440)),N($U440)*(1+N($V440)+N($W440)+N($X440)+N($Z440))+N($Y440))))</f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IF(TRIM($B440)="","",IF(IFERROR(INDEX(Lists!$AO$2:$AO$4,MATCH(ROW(),Lists!$AN$2:$AN$4,0)),"")&lt;&gt;"",IFERROR(INDEX(Lists!$AO$2:$AO$4,MATCH(ROW(),Lists!$AN$2:$AN$4,0)),""),IFERROR(INDEX(Lists!$U:$U,MATCH(TRIM($I440),Lists!$T:$T,0)),TRIM($I440))))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",$C440)),"Head of Technology",IF(ISNUMBER(SEARCH("TDD BP",$C440)),"Business Partner",IF(OR(ISNUMBER(SEARCH("domain architect",$C440)),ISNUMBER(SEARCH("enterprise architect",$C440))),"Domain Architect",IF(ISNUMBER(SEARCH("delivery man",$C440)),"Delivery Manager",IF(OR(ISNUMBER(SEARCH("technology manager",$C440)),ISNUMBER(SEARCH("technology manger",$C440)),ISNUMBER(SEARCH("tech manager",$C440))),"Technology Manager","Squad"))))))</f>
        <v>Squad</v>
      </c>
      <c r="AS440" t="str">
        <f>IF(TRIM($B440)="","",IFERROR(INDEX(Lists!$AA:$AA,MATCH($AP440,Lists!$Z:$Z,0)),$AP440))</f>
        <v>Supply</v>
      </c>
      <c r="AT440" t="str">
        <f>IF(TRIM($B440)="","",IF(IFERROR(INDEX(Lists!$AP$2:$AP$4,MATCH(ROW(),Lists!$AN$2:$AN$4,0)),"")&lt;&gt;"",IFERROR(INDEX(Lists!$AP$2:$AP$4,MATCH(ROW(),Lists!$AN$2:$AN$4,0)),""),IF(OR(LEFT($AJ440,3)="COE",$AJ440="EGI"),$AP440,IF($AR440&lt;&gt;"Squad",$AR440,$AP440))))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>
        <f>IF(TRIM($B441)="","",IF(N($AU441)&gt;0,$AU441,IF(N($S441)&gt;0,$S441*Lists!$AG$15*(1+N($Z441)),N($U441)*(1+N($V441)+N($W441)+N($X441)+N($Z441))+N($Y441))))</f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IF(TRIM($B441)="","",IF(IFERROR(INDEX(Lists!$AO$2:$AO$4,MATCH(ROW(),Lists!$AN$2:$AN$4,0)),"")&lt;&gt;"",IFERROR(INDEX(Lists!$AO$2:$AO$4,MATCH(ROW(),Lists!$AN$2:$AN$4,0)),""),IFERROR(INDEX(Lists!$U:$U,MATCH(TRIM($I441),Lists!$T:$T,0)),TRIM($I441))))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",$C441)),"Head of Technology",IF(ISNUMBER(SEARCH("TDD BP",$C441)),"Business Partner",IF(OR(ISNUMBER(SEARCH("domain architect",$C441)),ISNUMBER(SEARCH("enterprise architect",$C441))),"Domain Architect",IF(ISNUMBER(SEARCH("delivery man",$C441)),"Delivery Manager",IF(OR(ISNUMBER(SEARCH("technology manager",$C441)),ISNUMBER(SEARCH("technology manger",$C441)),ISNUMBER(SEARCH("tech manager",$C441))),"Technology Manager","Squad"))))))</f>
        <v>Squad</v>
      </c>
      <c r="AS441" t="str">
        <f>IF(TRIM($B441)="","",IFERROR(INDEX(Lists!$AA:$AA,MATCH($AP441,Lists!$Z:$Z,0)),$AP441))</f>
        <v>Supply</v>
      </c>
      <c r="AT441" t="str">
        <f>IF(TRIM($B441)="","",IF(IFERROR(INDEX(Lists!$AP$2:$AP$4,MATCH(ROW(),Lists!$AN$2:$AN$4,0)),"")&lt;&gt;"",IFERROR(INDEX(Lists!$AP$2:$AP$4,MATCH(ROW(),Lists!$AN$2:$AN$4,0)),""),IF(OR(LEFT($AJ441,3)="COE",$AJ441="EGI"),$AP441,IF($AR441&lt;&gt;"Squad",$AR441,$AP441))))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>
        <f>IF(TRIM($B442)="","",IF(N($AU442)&gt;0,$AU442,IF(N($S442)&gt;0,$S442*Lists!$AG$15*(1+N($Z442)),N($U442)*(1+N($V442)+N($W442)+N($X442)+N($Z442))+N($Y442))))</f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IF(TRIM($B442)="","",IF(IFERROR(INDEX(Lists!$AO$2:$AO$4,MATCH(ROW(),Lists!$AN$2:$AN$4,0)),"")&lt;&gt;"",IFERROR(INDEX(Lists!$AO$2:$AO$4,MATCH(ROW(),Lists!$AN$2:$AN$4,0)),""),IFERROR(INDEX(Lists!$U:$U,MATCH(TRIM($I442),Lists!$T:$T,0)),TRIM($I442))))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",$C442)),"Head of Technology",IF(ISNUMBER(SEARCH("TDD BP",$C442)),"Business Partner",IF(OR(ISNUMBER(SEARCH("domain architect",$C442)),ISNUMBER(SEARCH("enterprise architect",$C442))),"Domain Architect",IF(ISNUMBER(SEARCH("delivery man",$C442)),"Delivery Manager",IF(OR(ISNUMBER(SEARCH("technology manager",$C442)),ISNUMBER(SEARCH("technology manger",$C442)),ISNUMBER(SEARCH("tech manager",$C442))),"Technology Manager","Squad"))))))</f>
        <v>Squad</v>
      </c>
      <c r="AS442" t="str">
        <f>IF(TRIM($B442)="","",IFERROR(INDEX(Lists!$AA:$AA,MATCH($AP442,Lists!$Z:$Z,0)),$AP442))</f>
        <v>AmPOS</v>
      </c>
      <c r="AT442" t="str">
        <f>IF(TRIM($B442)="","",IF(IFERROR(INDEX(Lists!$AP$2:$AP$4,MATCH(ROW(),Lists!$AN$2:$AN$4,0)),"")&lt;&gt;"",IFERROR(INDEX(Lists!$AP$2:$AP$4,MATCH(ROW(),Lists!$AN$2:$AN$4,0)),""),IF(OR(LEFT($AJ442,3)="COE",$AJ442="EGI"),$AP442,IF($AR442&lt;&gt;"Squad",$AR442,$AP442))))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>
        <f>IF(TRIM($B443)="","",IF(N($AU443)&gt;0,$AU443,IF(N($S443)&gt;0,$S443*Lists!$AG$15*(1+N($Z443)),N($U443)*(1+N($V443)+N($W443)+N($X443)+N($Z443))+N($Y443))))</f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IF(TRIM($B443)="","",IF(IFERROR(INDEX(Lists!$AO$2:$AO$4,MATCH(ROW(),Lists!$AN$2:$AN$4,0)),"")&lt;&gt;"",IFERROR(INDEX(Lists!$AO$2:$AO$4,MATCH(ROW(),Lists!$AN$2:$AN$4,0)),""),IFERROR(INDEX(Lists!$U:$U,MATCH(TRIM($I443),Lists!$T:$T,0)),TRIM($I443))))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",$C443)),"Head of Technology",IF(ISNUMBER(SEARCH("TDD BP",$C443)),"Business Partner",IF(OR(ISNUMBER(SEARCH("domain architect",$C443)),ISNUMBER(SEARCH("enterprise architect",$C443))),"Domain Architect",IF(ISNUMBER(SEARCH("delivery man",$C443)),"Delivery Manager",IF(OR(ISNUMBER(SEARCH("technology manager",$C443)),ISNUMBER(SEARCH("technology manger",$C443)),ISNUMBER(SEARCH("tech manager",$C443))),"Technology Manager","Squad"))))))</f>
        <v>Squad</v>
      </c>
      <c r="AS443" t="str">
        <f>IF(TRIM($B443)="","",IFERROR(INDEX(Lists!$AA:$AA,MATCH($AP443,Lists!$Z:$Z,0)),$AP443))</f>
        <v>Manufacturing Group Projects</v>
      </c>
      <c r="AT443" t="str">
        <f>IF(TRIM($B443)="","",IF(IFERROR(INDEX(Lists!$AP$2:$AP$4,MATCH(ROW(),Lists!$AN$2:$AN$4,0)),"")&lt;&gt;"",IFERROR(INDEX(Lists!$AP$2:$AP$4,MATCH(ROW(),Lists!$AN$2:$AN$4,0)),""),IF(OR(LEFT($AJ443,3)="COE",$AJ443="EGI"),$AP443,IF($AR443&lt;&gt;"Squad",$AR443,$AP443))))</f>
        <v>Manufacturing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>
        <f>IF(TRIM($B444)="","",IF(N($AU444)&gt;0,$AU444,IF(N($S444)&gt;0,$S444*Lists!$AG$15*(1+N($Z444)),N($U444)*(1+N($V444)+N($W444)+N($X444)+N($Z444))+N($Y444))))</f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IF(TRIM($B444)="","",IF(IFERROR(INDEX(Lists!$AO$2:$AO$4,MATCH(ROW(),Lists!$AN$2:$AN$4,0)),"")&lt;&gt;"",IFERROR(INDEX(Lists!$AO$2:$AO$4,MATCH(ROW(),Lists!$AN$2:$AN$4,0)),""),IFERROR(INDEX(Lists!$U:$U,MATCH(TRIM($I444),Lists!$T:$T,0)),TRIM($I444))))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",$C444)),"Head of Technology",IF(ISNUMBER(SEARCH("TDD BP",$C444)),"Business Partner",IF(OR(ISNUMBER(SEARCH("domain architect",$C444)),ISNUMBER(SEARCH("enterprise architect",$C444))),"Domain Architect",IF(ISNUMBER(SEARCH("delivery man",$C444)),"Delivery Manager",IF(OR(ISNUMBER(SEARCH("technology manager",$C444)),ISNUMBER(SEARCH("technology manger",$C444)),ISNUMBER(SEARCH("tech manager",$C444))),"Technology Manager","Squad"))))))</f>
        <v>Squad</v>
      </c>
      <c r="AS444" t="str">
        <f>IF(TRIM($B444)="","",IFERROR(INDEX(Lists!$AA:$AA,MATCH($AP444,Lists!$Z:$Z,0)),$AP444))</f>
        <v>CTRM</v>
      </c>
      <c r="AT444" t="str">
        <f>IF(TRIM($B444)="","",IF(IFERROR(INDEX(Lists!$AP$2:$AP$4,MATCH(ROW(),Lists!$AN$2:$AN$4,0)),"")&lt;&gt;"",IFERROR(INDEX(Lists!$AP$2:$AP$4,MATCH(ROW(),Lists!$AN$2:$AN$4,0)),""),IF(OR(LEFT($AJ444,3)="COE",$AJ444="EGI"),$AP444,IF($AR444&lt;&gt;"Squad",$AR444,$AP444))))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>
        <f>IF(TRIM($B445)="","",IF(N($AU445)&gt;0,$AU445,IF(N($S445)&gt;0,$S445*Lists!$AG$15*(1+N($Z445)),N($U445)*(1+N($V445)+N($W445)+N($X445)+N($Z445))+N($Y445))))</f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IF(TRIM($B445)="","",IF(IFERROR(INDEX(Lists!$AO$2:$AO$4,MATCH(ROW(),Lists!$AN$2:$AN$4,0)),"")&lt;&gt;"",IFERROR(INDEX(Lists!$AO$2:$AO$4,MATCH(ROW(),Lists!$AN$2:$AN$4,0)),""),IFERROR(INDEX(Lists!$U:$U,MATCH(TRIM($I445),Lists!$T:$T,0)),TRIM($I445))))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",$C445)),"Head of Technology",IF(ISNUMBER(SEARCH("TDD BP",$C445)),"Business Partner",IF(OR(ISNUMBER(SEARCH("domain architect",$C445)),ISNUMBER(SEARCH("enterprise architect",$C445))),"Domain Architect",IF(ISNUMBER(SEARCH("delivery man",$C445)),"Delivery Manager",IF(OR(ISNUMBER(SEARCH("technology manager",$C445)),ISNUMBER(SEARCH("technology manger",$C445)),ISNUMBER(SEARCH("tech manager",$C445))),"Technology Manager","Squad"))))))</f>
        <v>Squad</v>
      </c>
      <c r="AS445" t="str">
        <f>IF(TRIM($B445)="","",IFERROR(INDEX(Lists!$AA:$AA,MATCH($AP445,Lists!$Z:$Z,0)),$AP445))</f>
        <v>Trading &amp; Shipping Data</v>
      </c>
      <c r="AT445" t="str">
        <f>IF(TRIM($B445)="","",IF(IFERROR(INDEX(Lists!$AP$2:$AP$4,MATCH(ROW(),Lists!$AN$2:$AN$4,0)),"")&lt;&gt;"",IFERROR(INDEX(Lists!$AP$2:$AP$4,MATCH(ROW(),Lists!$AN$2:$AN$4,0)),""),IF(OR(LEFT($AJ445,3)="COE",$AJ445="EGI"),$AP445,IF($AR445&lt;&gt;"Squad",$AR445,$AP445))))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IF(TRIM($B446)="","",IF(N($AU446)&gt;0,$AU446,IF(N($S446)&gt;0,$S446*Lists!$AG$15*(1+N($Z446)),N($U446)*(1+N($V446)+N($W446)+N($X446)+N($Z446))+N($Y446))))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IF(TRIM($B446)="","",IF(IFERROR(INDEX(Lists!$AO$2:$AO$4,MATCH(ROW(),Lists!$AN$2:$AN$4,0)),"")&lt;&gt;"",IFERROR(INDEX(Lists!$AO$2:$AO$4,MATCH(ROW(),Lists!$AN$2:$AN$4,0)),""),IFERROR(INDEX(Lists!$U:$U,MATCH(TRIM($I446),Lists!$T:$T,0)),TRIM($I446))))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",$C446)),"Head of Technology",IF(ISNUMBER(SEARCH("TDD BP",$C446)),"Business Partner",IF(OR(ISNUMBER(SEARCH("domain architect",$C446)),ISNUMBER(SEARCH("enterprise architect",$C446))),"Domain Architect",IF(ISNUMBER(SEARCH("delivery man",$C446)),"Delivery Manager",IF(OR(ISNUMBER(SEARCH("technology manager",$C446)),ISNUMBER(SEARCH("technology manger",$C446)),ISNUMBER(SEARCH("tech manager",$C446))),"Technology Manager","Squad"))))))</f>
        <v>Squad</v>
      </c>
      <c r="AS446" t="str">
        <f>IF(TRIM($B446)="","",IFERROR(INDEX(Lists!$AA:$AA,MATCH($AP446,Lists!$Z:$Z,0)),$AP446))</f>
        <v>EGI</v>
      </c>
      <c r="AT446" t="str">
        <f>IF(TRIM($B446)="","",IF(IFERROR(INDEX(Lists!$AP$2:$AP$4,MATCH(ROW(),Lists!$AN$2:$AN$4,0)),"")&lt;&gt;"",IFERROR(INDEX(Lists!$AP$2:$AP$4,MATCH(ROW(),Lists!$AN$2:$AN$4,0)),""),IF(OR(LEFT($AJ446,3)="COE",$AJ446="EGI"),$AP446,IF($AR446&lt;&gt;"Squad",$AR446,$AP446))))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>
        <f>IF(TRIM($B447)="","",IF(N($AU447)&gt;0,$AU447,IF(N($S447)&gt;0,$S447*Lists!$AG$15*(1+N($Z447)),N($U447)*(1+N($V447)+N($W447)+N($X447)+N($Z447))+N($Y447))))</f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IF(TRIM($B447)="","",IF(IFERROR(INDEX(Lists!$AO$2:$AO$4,MATCH(ROW(),Lists!$AN$2:$AN$4,0)),"")&lt;&gt;"",IFERROR(INDEX(Lists!$AO$2:$AO$4,MATCH(ROW(),Lists!$AN$2:$AN$4,0)),""),IFERROR(INDEX(Lists!$U:$U,MATCH(TRIM($I447),Lists!$T:$T,0)),TRIM($I447))))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",$C447)),"Head of Technology",IF(ISNUMBER(SEARCH("TDD BP",$C447)),"Business Partner",IF(OR(ISNUMBER(SEARCH("domain architect",$C447)),ISNUMBER(SEARCH("enterprise architect",$C447))),"Domain Architect",IF(ISNUMBER(SEARCH("delivery man",$C447)),"Delivery Manager",IF(OR(ISNUMBER(SEARCH("technology manager",$C447)),ISNUMBER(SEARCH("technology manger",$C447)),ISNUMBER(SEARCH("tech manager",$C447))),"Technology Manager","Squad"))))))</f>
        <v>Squad</v>
      </c>
      <c r="AS447" t="str">
        <f>IF(TRIM($B447)="","",IFERROR(INDEX(Lists!$AA:$AA,MATCH($AP447,Lists!$Z:$Z,0)),$AP447))</f>
        <v>EGI Finance</v>
      </c>
      <c r="AT447" t="str">
        <f>IF(TRIM($B447)="","",IF(IFERROR(INDEX(Lists!$AP$2:$AP$4,MATCH(ROW(),Lists!$AN$2:$AN$4,0)),"")&lt;&gt;"",IFERROR(INDEX(Lists!$AP$2:$AP$4,MATCH(ROW(),Lists!$AN$2:$AN$4,0)),""),IF(OR(LEFT($AJ447,3)="COE",$AJ447="EGI"),$AP447,IF($AR447&lt;&gt;"Squad",$AR447,$AP447))))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>
        <f>IF(TRIM($B448)="","",IF(N($AU448)&gt;0,$AU448,IF(N($S448)&gt;0,$S448*Lists!$AG$15*(1+N($Z448)),N($U448)*(1+N($V448)+N($W448)+N($X448)+N($Z448))+N($Y448))))</f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IF(TRIM($B448)="","",IF(IFERROR(INDEX(Lists!$AO$2:$AO$4,MATCH(ROW(),Lists!$AN$2:$AN$4,0)),"")&lt;&gt;"",IFERROR(INDEX(Lists!$AO$2:$AO$4,MATCH(ROW(),Lists!$AN$2:$AN$4,0)),""),IFERROR(INDEX(Lists!$U:$U,MATCH(TRIM($I448),Lists!$T:$T,0)),TRIM($I448))))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",$C448)),"Head of Technology",IF(ISNUMBER(SEARCH("TDD BP",$C448)),"Business Partner",IF(OR(ISNUMBER(SEARCH("domain architect",$C448)),ISNUMBER(SEARCH("enterprise architect",$C448))),"Domain Architect",IF(ISNUMBER(SEARCH("delivery man",$C448)),"Delivery Manager",IF(OR(ISNUMBER(SEARCH("technology manager",$C448)),ISNUMBER(SEARCH("technology manger",$C448)),ISNUMBER(SEARCH("tech manager",$C448))),"Technology Manager","Squad"))))))</f>
        <v>Squad</v>
      </c>
      <c r="AS448" t="str">
        <f>IF(TRIM($B448)="","",IFERROR(INDEX(Lists!$AA:$AA,MATCH($AP448,Lists!$Z:$Z,0)),$AP448))</f>
        <v>EGI P&amp;C</v>
      </c>
      <c r="AT448" t="str">
        <f>IF(TRIM($B448)="","",IF(IFERROR(INDEX(Lists!$AP$2:$AP$4,MATCH(ROW(),Lists!$AN$2:$AN$4,0)),"")&lt;&gt;"",IFERROR(INDEX(Lists!$AP$2:$AP$4,MATCH(ROW(),Lists!$AN$2:$AN$4,0)),""),IF(OR(LEFT($AJ448,3)="COE",$AJ448="EGI"),$AP448,IF($AR448&lt;&gt;"Squad",$AR448,$AP448))))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>
        <f>IF(TRIM($B449)="","",IF(N($AU449)&gt;0,$AU449,IF(N($S449)&gt;0,$S449*Lists!$AG$15*(1+N($Z449)),N($U449)*(1+N($V449)+N($W449)+N($X449)+N($Z449))+N($Y449))))</f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IF(TRIM($B449)="","",IF(IFERROR(INDEX(Lists!$AO$2:$AO$4,MATCH(ROW(),Lists!$AN$2:$AN$4,0)),"")&lt;&gt;"",IFERROR(INDEX(Lists!$AO$2:$AO$4,MATCH(ROW(),Lists!$AN$2:$AN$4,0)),""),IFERROR(INDEX(Lists!$U:$U,MATCH(TRIM($I449),Lists!$T:$T,0)),TRIM($I449))))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",$C449)),"Head of Technology",IF(ISNUMBER(SEARCH("TDD BP",$C449)),"Business Partner",IF(OR(ISNUMBER(SEARCH("domain architect",$C449)),ISNUMBER(SEARCH("enterprise architect",$C449))),"Domain Architect",IF(ISNUMBER(SEARCH("delivery man",$C449)),"Delivery Manager",IF(OR(ISNUMBER(SEARCH("technology manager",$C449)),ISNUMBER(SEARCH("technology manger",$C449)),ISNUMBER(SEARCH("tech manager",$C449))),"Technology Manager","Squad"))))))</f>
        <v>Squad</v>
      </c>
      <c r="AS449" t="str">
        <f>IF(TRIM($B449)="","",IFERROR(INDEX(Lists!$AA:$AA,MATCH($AP449,Lists!$Z:$Z,0)),$AP449))</f>
        <v>EGI TDD</v>
      </c>
      <c r="AT449" t="str">
        <f>IF(TRIM($B449)="","",IF(IFERROR(INDEX(Lists!$AP$2:$AP$4,MATCH(ROW(),Lists!$AN$2:$AN$4,0)),"")&lt;&gt;"",IFERROR(INDEX(Lists!$AP$2:$AP$4,MATCH(ROW(),Lists!$AN$2:$AN$4,0)),""),IF(OR(LEFT($AJ449,3)="COE",$AJ449="EGI"),$AP449,IF($AR449&lt;&gt;"Squad",$AR449,$AP449))))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>
        <f>IF(TRIM($B450)="","",IF(N($AU450)&gt;0,$AU450,IF(N($S450)&gt;0,$S450*Lists!$AG$15*(1+N($Z450)),N($U450)*(1+N($V450)+N($W450)+N($X450)+N($Z450))+N($Y450))))</f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IF(TRIM($B450)="","",IF(IFERROR(INDEX(Lists!$AO$2:$AO$4,MATCH(ROW(),Lists!$AN$2:$AN$4,0)),"")&lt;&gt;"",IFERROR(INDEX(Lists!$AO$2:$AO$4,MATCH(ROW(),Lists!$AN$2:$AN$4,0)),""),IFERROR(INDEX(Lists!$U:$U,MATCH(TRIM($I450),Lists!$T:$T,0)),TRIM($I450))))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",$C450)),"Head of Technology",IF(ISNUMBER(SEARCH("TDD BP",$C450)),"Business Partner",IF(OR(ISNUMBER(SEARCH("domain architect",$C450)),ISNUMBER(SEARCH("enterprise architect",$C450))),"Domain Architect",IF(ISNUMBER(SEARCH("delivery man",$C450)),"Delivery Manager",IF(OR(ISNUMBER(SEARCH("technology manager",$C450)),ISNUMBER(SEARCH("technology manger",$C450)),ISNUMBER(SEARCH("tech manager",$C450))),"Technology Manager","Squad"))))))</f>
        <v>Squad</v>
      </c>
      <c r="AS450" t="str">
        <f>IF(TRIM($B450)="","",IFERROR(INDEX(Lists!$AA:$AA,MATCH($AP450,Lists!$Z:$Z,0)),$AP450))</f>
        <v>EGI TDD</v>
      </c>
      <c r="AT450" t="str">
        <f>IF(TRIM($B450)="","",IF(IFERROR(INDEX(Lists!$AP$2:$AP$4,MATCH(ROW(),Lists!$AN$2:$AN$4,0)),"")&lt;&gt;"",IFERROR(INDEX(Lists!$AP$2:$AP$4,MATCH(ROW(),Lists!$AN$2:$AN$4,0)),""),IF(OR(LEFT($AJ450,3)="COE",$AJ450="EGI"),$AP450,IF($AR450&lt;&gt;"Squad",$AR450,$AP450))))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>
        <f>IF(TRIM($B451)="","",IF(N($AU451)&gt;0,$AU451,IF(N($S451)&gt;0,$S451*Lists!$AG$15*(1+N($Z451)),N($U451)*(1+N($V451)+N($W451)+N($X451)+N($Z451))+N($Y451))))</f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IF(TRIM($B451)="","",IF(IFERROR(INDEX(Lists!$AO$2:$AO$4,MATCH(ROW(),Lists!$AN$2:$AN$4,0)),"")&lt;&gt;"",IFERROR(INDEX(Lists!$AO$2:$AO$4,MATCH(ROW(),Lists!$AN$2:$AN$4,0)),""),IFERROR(INDEX(Lists!$U:$U,MATCH(TRIM($I451),Lists!$T:$T,0)),TRIM($I451))))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",$C451)),"Head of Technology",IF(ISNUMBER(SEARCH("TDD BP",$C451)),"Business Partner",IF(OR(ISNUMBER(SEARCH("domain architect",$C451)),ISNUMBER(SEARCH("enterprise architect",$C451))),"Domain Architect",IF(ISNUMBER(SEARCH("delivery man",$C451)),"Delivery Manager",IF(OR(ISNUMBER(SEARCH("technology manager",$C451)),ISNUMBER(SEARCH("technology manger",$C451)),ISNUMBER(SEARCH("tech manager",$C451))),"Technology Manager","Squad"))))))</f>
        <v>Squad</v>
      </c>
      <c r="AS451" t="str">
        <f>IF(TRIM($B451)="","",IFERROR(INDEX(Lists!$AA:$AA,MATCH($AP451,Lists!$Z:$Z,0)),$AP451))</f>
        <v>EGI TDD</v>
      </c>
      <c r="AT451" t="str">
        <f>IF(TRIM($B451)="","",IF(IFERROR(INDEX(Lists!$AP$2:$AP$4,MATCH(ROW(),Lists!$AN$2:$AN$4,0)),"")&lt;&gt;"",IFERROR(INDEX(Lists!$AP$2:$AP$4,MATCH(ROW(),Lists!$AN$2:$AN$4,0)),""),IF(OR(LEFT($AJ451,3)="COE",$AJ451="EGI"),$AP451,IF($AR451&lt;&gt;"Squad",$AR451,$AP451))))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>
        <f>IF(TRIM($B452)="","",IF(N($AU452)&gt;0,$AU452,IF(N($S452)&gt;0,$S452*Lists!$AG$15*(1+N($Z452)),N($U452)*(1+N($V452)+N($W452)+N($X452)+N($Z452))+N($Y452))))</f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IF(TRIM($B452)="","",IF(IFERROR(INDEX(Lists!$AO$2:$AO$4,MATCH(ROW(),Lists!$AN$2:$AN$4,0)),"")&lt;&gt;"",IFERROR(INDEX(Lists!$AO$2:$AO$4,MATCH(ROW(),Lists!$AN$2:$AN$4,0)),""),IFERROR(INDEX(Lists!$U:$U,MATCH(TRIM($I452),Lists!$T:$T,0)),TRIM($I452))))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",$C452)),"Head of Technology",IF(ISNUMBER(SEARCH("TDD BP",$C452)),"Business Partner",IF(OR(ISNUMBER(SEARCH("domain architect",$C452)),ISNUMBER(SEARCH("enterprise architect",$C452))),"Domain Architect",IF(ISNUMBER(SEARCH("delivery man",$C452)),"Delivery Manager",IF(OR(ISNUMBER(SEARCH("technology manager",$C452)),ISNUMBER(SEARCH("technology manger",$C452)),ISNUMBER(SEARCH("tech manager",$C452))),"Technology Manager","Squad"))))))</f>
        <v>Squad</v>
      </c>
      <c r="AS452" t="str">
        <f>IF(TRIM($B452)="","",IFERROR(INDEX(Lists!$AA:$AA,MATCH($AP452,Lists!$Z:$Z,0)),$AP452))</f>
        <v>EGI TDD</v>
      </c>
      <c r="AT452" t="str">
        <f>IF(TRIM($B452)="","",IF(IFERROR(INDEX(Lists!$AP$2:$AP$4,MATCH(ROW(),Lists!$AN$2:$AN$4,0)),"")&lt;&gt;"",IFERROR(INDEX(Lists!$AP$2:$AP$4,MATCH(ROW(),Lists!$AN$2:$AN$4,0)),""),IF(OR(LEFT($AJ452,3)="COE",$AJ452="EGI"),$AP452,IF($AR452&lt;&gt;"Squad",$AR452,$AP452))))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>
        <f>IF(TRIM($B453)="","",IF(N($AU453)&gt;0,$AU453,IF(N($S453)&gt;0,$S453*Lists!$AG$15*(1+N($Z453)),N($U453)*(1+N($V453)+N($W453)+N($X453)+N($Z453))+N($Y453))))</f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IF(TRIM($B453)="","",IF(IFERROR(INDEX(Lists!$AO$2:$AO$4,MATCH(ROW(),Lists!$AN$2:$AN$4,0)),"")&lt;&gt;"",IFERROR(INDEX(Lists!$AO$2:$AO$4,MATCH(ROW(),Lists!$AN$2:$AN$4,0)),""),IFERROR(INDEX(Lists!$U:$U,MATCH(TRIM($I453),Lists!$T:$T,0)),TRIM($I453))))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",$C453)),"Head of Technology",IF(ISNUMBER(SEARCH("TDD BP",$C453)),"Business Partner",IF(OR(ISNUMBER(SEARCH("domain architect",$C453)),ISNUMBER(SEARCH("enterprise architect",$C453))),"Domain Architect",IF(ISNUMBER(SEARCH("delivery man",$C453)),"Delivery Manager",IF(OR(ISNUMBER(SEARCH("technology manager",$C453)),ISNUMBER(SEARCH("technology manger",$C453)),ISNUMBER(SEARCH("tech manager",$C453))),"Technology Manager","Squad"))))))</f>
        <v>Squad</v>
      </c>
      <c r="AS453" t="str">
        <f>IF(TRIM($B453)="","",IFERROR(INDEX(Lists!$AA:$AA,MATCH($AP453,Lists!$Z:$Z,0)),$AP453))</f>
        <v>SAP ERP</v>
      </c>
      <c r="AT453" t="str">
        <f>IF(TRIM($B453)="","",IF(IFERROR(INDEX(Lists!$AP$2:$AP$4,MATCH(ROW(),Lists!$AN$2:$AN$4,0)),"")&lt;&gt;"",IFERROR(INDEX(Lists!$AP$2:$AP$4,MATCH(ROW(),Lists!$AN$2:$AN$4,0)),""),IF(OR(LEFT($AJ453,3)="COE",$AJ453="EGI"),$AP453,IF($AR453&lt;&gt;"Squad",$AR453,$AP453))))</f>
        <v>SAP ERP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>
        <f>IF(TRIM($B454)="","",IF(N($AU454)&gt;0,$AU454,IF(N($S454)&gt;0,$S454*Lists!$AG$15*(1+N($Z454)),N($U454)*(1+N($V454)+N($W454)+N($X454)+N($Z454))+N($Y454))))</f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IF(TRIM($B454)="","",IF(IFERROR(INDEX(Lists!$AO$2:$AO$4,MATCH(ROW(),Lists!$AN$2:$AN$4,0)),"")&lt;&gt;"",IFERROR(INDEX(Lists!$AO$2:$AO$4,MATCH(ROW(),Lists!$AN$2:$AN$4,0)),""),IFERROR(INDEX(Lists!$U:$U,MATCH(TRIM($I454),Lists!$T:$T,0)),TRIM($I454))))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",$C454)),"Head of Technology",IF(ISNUMBER(SEARCH("TDD BP",$C454)),"Business Partner",IF(OR(ISNUMBER(SEARCH("domain architect",$C454)),ISNUMBER(SEARCH("enterprise architect",$C454))),"Domain Architect",IF(ISNUMBER(SEARCH("delivery man",$C454)),"Delivery Manager",IF(OR(ISNUMBER(SEARCH("technology manager",$C454)),ISNUMBER(SEARCH("technology manger",$C454)),ISNUMBER(SEARCH("tech manager",$C454))),"Technology Manager","Squad"))))))</f>
        <v>Squad</v>
      </c>
      <c r="AS454" t="str">
        <f>IF(TRIM($B454)="","",IFERROR(INDEX(Lists!$AA:$AA,MATCH($AP454,Lists!$Z:$Z,0)),$AP454))</f>
        <v>SAP ERP</v>
      </c>
      <c r="AT454" t="str">
        <f>IF(TRIM($B454)="","",IF(IFERROR(INDEX(Lists!$AP$2:$AP$4,MATCH(ROW(),Lists!$AN$2:$AN$4,0)),"")&lt;&gt;"",IFERROR(INDEX(Lists!$AP$2:$AP$4,MATCH(ROW(),Lists!$AN$2:$AN$4,0)),""),IF(OR(LEFT($AJ454,3)="COE",$AJ454="EGI"),$AP454,IF($AR454&lt;&gt;"Squad",$AR454,$AP454))))</f>
        <v>SAP ERP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>
        <f>IF(TRIM($B455)="","",IF(N($AU455)&gt;0,$AU455,IF(N($S455)&gt;0,$S455*Lists!$AG$15*(1+N($Z455)),N($U455)*(1+N($V455)+N($W455)+N($X455)+N($Z455))+N($Y455))))</f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IF(TRIM($B455)="","",IF(IFERROR(INDEX(Lists!$AO$2:$AO$4,MATCH(ROW(),Lists!$AN$2:$AN$4,0)),"")&lt;&gt;"",IFERROR(INDEX(Lists!$AO$2:$AO$4,MATCH(ROW(),Lists!$AN$2:$AN$4,0)),""),IFERROR(INDEX(Lists!$U:$U,MATCH(TRIM($I455),Lists!$T:$T,0)),TRIM($I455))))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",$C455)),"Head of Technology",IF(ISNUMBER(SEARCH("TDD BP",$C455)),"Business Partner",IF(OR(ISNUMBER(SEARCH("domain architect",$C455)),ISNUMBER(SEARCH("enterprise architect",$C455))),"Domain Architect",IF(ISNUMBER(SEARCH("delivery man",$C455)),"Delivery Manager",IF(OR(ISNUMBER(SEARCH("technology manager",$C455)),ISNUMBER(SEARCH("technology manger",$C455)),ISNUMBER(SEARCH("tech manager",$C455))),"Technology Manager","Squad"))))))</f>
        <v>Technology Manager</v>
      </c>
      <c r="AS455" t="str">
        <f>IF(TRIM($B455)="","",IFERROR(INDEX(Lists!$AA:$AA,MATCH($AP455,Lists!$Z:$Z,0)),$AP455))</f>
        <v>Leadership</v>
      </c>
      <c r="AT455" t="str">
        <f>IF(TRIM($B455)="","",IF(IFERROR(INDEX(Lists!$AP$2:$AP$4,MATCH(ROW(),Lists!$AN$2:$AN$4,0)),"")&lt;&gt;"",IFERROR(INDEX(Lists!$AP$2:$AP$4,MATCH(ROW(),Lists!$AN$2:$AN$4,0)),""),IF(OR(LEFT($AJ455,3)="COE",$AJ455="EGI"),$AP455,IF($AR455&lt;&gt;"Squad",$AR455,$AP455))))</f>
        <v>Technology Manager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>
        <f>IF(TRIM($B456)="","",IF(N($AU456)&gt;0,$AU456,IF(N($S456)&gt;0,$S456*Lists!$AG$15*(1+N($Z456)),N($U456)*(1+N($V456)+N($W456)+N($X456)+N($Z456))+N($Y456))))</f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IF(TRIM($B456)="","",IF(IFERROR(INDEX(Lists!$AO$2:$AO$4,MATCH(ROW(),Lists!$AN$2:$AN$4,0)),"")&lt;&gt;"",IFERROR(INDEX(Lists!$AO$2:$AO$4,MATCH(ROW(),Lists!$AN$2:$AN$4,0)),""),IFERROR(INDEX(Lists!$U:$U,MATCH(TRIM($I456),Lists!$T:$T,0)),TRIM($I456))))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",$C456)),"Head of Technology",IF(ISNUMBER(SEARCH("TDD BP",$C456)),"Business Partner",IF(OR(ISNUMBER(SEARCH("domain architect",$C456)),ISNUMBER(SEARCH("enterprise architect",$C456))),"Domain Architect",IF(ISNUMBER(SEARCH("delivery man",$C456)),"Delivery Manager",IF(OR(ISNUMBER(SEARCH("technology manager",$C456)),ISNUMBER(SEARCH("technology manger",$C456)),ISNUMBER(SEARCH("tech manager",$C456))),"Technology Manager","Squad"))))))</f>
        <v>Squad</v>
      </c>
      <c r="AS456" t="str">
        <f>IF(TRIM($B456)="","",IFERROR(INDEX(Lists!$AA:$AA,MATCH($AP456,Lists!$Z:$Z,0)),$AP456))</f>
        <v>NZ Finance</v>
      </c>
      <c r="AT456" t="str">
        <f>IF(TRIM($B456)="","",IF(IFERROR(INDEX(Lists!$AP$2:$AP$4,MATCH(ROW(),Lists!$AN$2:$AN$4,0)),"")&lt;&gt;"",IFERROR(INDEX(Lists!$AP$2:$AP$4,MATCH(ROW(),Lists!$AN$2:$AN$4,0)),""),IF(OR(LEFT($AJ456,3)="COE",$AJ456="EGI"),$AP456,IF($AR456&lt;&gt;"Squad",$AR456,$AP456))))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>
        <f>IF(TRIM($B457)="","",IF(N($AU457)&gt;0,$AU457,IF(N($S457)&gt;0,$S457*Lists!$AG$15*(1+N($Z457)),N($U457)*(1+N($V457)+N($W457)+N($X457)+N($Z457))+N($Y457))))</f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IF(TRIM($B457)="","",IF(IFERROR(INDEX(Lists!$AO$2:$AO$4,MATCH(ROW(),Lists!$AN$2:$AN$4,0)),"")&lt;&gt;"",IFERROR(INDEX(Lists!$AO$2:$AO$4,MATCH(ROW(),Lists!$AN$2:$AN$4,0)),""),IFERROR(INDEX(Lists!$U:$U,MATCH(TRIM($I457),Lists!$T:$T,0)),TRIM($I457))))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",$C457)),"Head of Technology",IF(ISNUMBER(SEARCH("TDD BP",$C457)),"Business Partner",IF(OR(ISNUMBER(SEARCH("domain architect",$C457)),ISNUMBER(SEARCH("enterprise architect",$C457))),"Domain Architect",IF(ISNUMBER(SEARCH("delivery man",$C457)),"Delivery Manager",IF(OR(ISNUMBER(SEARCH("technology manager",$C457)),ISNUMBER(SEARCH("technology manger",$C457)),ISNUMBER(SEARCH("tech manager",$C457))),"Technology Manager","Squad"))))))</f>
        <v>Squad</v>
      </c>
      <c r="AS457" t="str">
        <f>IF(TRIM($B457)="","",IFERROR(INDEX(Lists!$AA:$AA,MATCH($AP457,Lists!$Z:$Z,0)),$AP457))</f>
        <v>NZ Finance</v>
      </c>
      <c r="AT457" t="str">
        <f>IF(TRIM($B457)="","",IF(IFERROR(INDEX(Lists!$AP$2:$AP$4,MATCH(ROW(),Lists!$AN$2:$AN$4,0)),"")&lt;&gt;"",IFERROR(INDEX(Lists!$AP$2:$AP$4,MATCH(ROW(),Lists!$AN$2:$AN$4,0)),""),IF(OR(LEFT($AJ457,3)="COE",$AJ457="EGI"),$AP457,IF($AR457&lt;&gt;"Squad",$AR457,$AP457))))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>
        <f>IF(TRIM($B458)="","",IF(N($AU458)&gt;0,$AU458,IF(N($S458)&gt;0,$S458*Lists!$AG$15*(1+N($Z458)),N($U458)*(1+N($V458)+N($W458)+N($X458)+N($Z458))+N($Y458))))</f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IF(TRIM($B458)="","",IF(IFERROR(INDEX(Lists!$AO$2:$AO$4,MATCH(ROW(),Lists!$AN$2:$AN$4,0)),"")&lt;&gt;"",IFERROR(INDEX(Lists!$AO$2:$AO$4,MATCH(ROW(),Lists!$AN$2:$AN$4,0)),""),IFERROR(INDEX(Lists!$U:$U,MATCH(TRIM($I458),Lists!$T:$T,0)),TRIM($I458))))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",$C458)),"Head of Technology",IF(ISNUMBER(SEARCH("TDD BP",$C458)),"Business Partner",IF(OR(ISNUMBER(SEARCH("domain architect",$C458)),ISNUMBER(SEARCH("enterprise architect",$C458))),"Domain Architect",IF(ISNUMBER(SEARCH("delivery man",$C458)),"Delivery Manager",IF(OR(ISNUMBER(SEARCH("technology manager",$C458)),ISNUMBER(SEARCH("technology manger",$C458)),ISNUMBER(SEARCH("tech manager",$C458))),"Technology Manager","Squad"))))))</f>
        <v>Squad</v>
      </c>
      <c r="AS458" t="str">
        <f>IF(TRIM($B458)="","",IFERROR(INDEX(Lists!$AA:$AA,MATCH($AP458,Lists!$Z:$Z,0)),$AP458))</f>
        <v>NZ Finance</v>
      </c>
      <c r="AT458" t="str">
        <f>IF(TRIM($B458)="","",IF(IFERROR(INDEX(Lists!$AP$2:$AP$4,MATCH(ROW(),Lists!$AN$2:$AN$4,0)),"")&lt;&gt;"",IFERROR(INDEX(Lists!$AP$2:$AP$4,MATCH(ROW(),Lists!$AN$2:$AN$4,0)),""),IF(OR(LEFT($AJ458,3)="COE",$AJ458="EGI"),$AP458,IF($AR458&lt;&gt;"Squad",$AR458,$AP458))))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>
        <f>IF(TRIM($B459)="","",IF(N($AU459)&gt;0,$AU459,IF(N($S459)&gt;0,$S459*Lists!$AG$15*(1+N($Z459)),N($U459)*(1+N($V459)+N($W459)+N($X459)+N($Z459))+N($Y459))))</f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IF(TRIM($B459)="","",IF(IFERROR(INDEX(Lists!$AO$2:$AO$4,MATCH(ROW(),Lists!$AN$2:$AN$4,0)),"")&lt;&gt;"",IFERROR(INDEX(Lists!$AO$2:$AO$4,MATCH(ROW(),Lists!$AN$2:$AN$4,0)),""),IFERROR(INDEX(Lists!$U:$U,MATCH(TRIM($I459),Lists!$T:$T,0)),TRIM($I459))))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",$C459)),"Head of Technology",IF(ISNUMBER(SEARCH("TDD BP",$C459)),"Business Partner",IF(OR(ISNUMBER(SEARCH("domain architect",$C459)),ISNUMBER(SEARCH("enterprise architect",$C459))),"Domain Architect",IF(ISNUMBER(SEARCH("delivery man",$C459)),"Delivery Manager",IF(OR(ISNUMBER(SEARCH("technology manager",$C459)),ISNUMBER(SEARCH("technology manger",$C459)),ISNUMBER(SEARCH("tech manager",$C459))),"Technology Manager","Squad"))))))</f>
        <v>Squad</v>
      </c>
      <c r="AS459" t="str">
        <f>IF(TRIM($B459)="","",IFERROR(INDEX(Lists!$AA:$AA,MATCH($AP459,Lists!$Z:$Z,0)),$AP459))</f>
        <v>NZ Finance</v>
      </c>
      <c r="AT459" t="str">
        <f>IF(TRIM($B459)="","",IF(IFERROR(INDEX(Lists!$AP$2:$AP$4,MATCH(ROW(),Lists!$AN$2:$AN$4,0)),"")&lt;&gt;"",IFERROR(INDEX(Lists!$AP$2:$AP$4,MATCH(ROW(),Lists!$AN$2:$AN$4,0)),""),IF(OR(LEFT($AJ459,3)="COE",$AJ459="EGI"),$AP459,IF($AR459&lt;&gt;"Squad",$AR459,$AP459))))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>
        <f>IF(TRIM($B460)="","",IF(N($AU460)&gt;0,$AU460,IF(N($S460)&gt;0,$S460*Lists!$AG$15*(1+N($Z460)),N($U460)*(1+N($V460)+N($W460)+N($X460)+N($Z460))+N($Y460))))</f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IF(TRIM($B460)="","",IF(IFERROR(INDEX(Lists!$AO$2:$AO$4,MATCH(ROW(),Lists!$AN$2:$AN$4,0)),"")&lt;&gt;"",IFERROR(INDEX(Lists!$AO$2:$AO$4,MATCH(ROW(),Lists!$AN$2:$AN$4,0)),""),IFERROR(INDEX(Lists!$U:$U,MATCH(TRIM($I460),Lists!$T:$T,0)),TRIM($I460))))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",$C460)),"Head of Technology",IF(ISNUMBER(SEARCH("TDD BP",$C460)),"Business Partner",IF(OR(ISNUMBER(SEARCH("domain architect",$C460)),ISNUMBER(SEARCH("enterprise architect",$C460))),"Domain Architect",IF(ISNUMBER(SEARCH("delivery man",$C460)),"Delivery Manager",IF(OR(ISNUMBER(SEARCH("technology manager",$C460)),ISNUMBER(SEARCH("technology manger",$C460)),ISNUMBER(SEARCH("tech manager",$C460))),"Technology Manager","Squad"))))))</f>
        <v>Squad</v>
      </c>
      <c r="AS460" t="str">
        <f>IF(TRIM($B460)="","",IFERROR(INDEX(Lists!$AA:$AA,MATCH($AP460,Lists!$Z:$Z,0)),$AP460))</f>
        <v>P&amp;C</v>
      </c>
      <c r="AT460" t="str">
        <f>IF(TRIM($B460)="","",IF(IFERROR(INDEX(Lists!$AP$2:$AP$4,MATCH(ROW(),Lists!$AN$2:$AN$4,0)),"")&lt;&gt;"",IFERROR(INDEX(Lists!$AP$2:$AP$4,MATCH(ROW(),Lists!$AN$2:$AN$4,0)),""),IF(OR(LEFT($AJ460,3)="COE",$AJ460="EGI"),$AP460,IF($AR460&lt;&gt;"Squad",$AR460,$AP460))))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>
        <f>IF(TRIM($B461)="","",IF(N($AU461)&gt;0,$AU461,IF(N($S461)&gt;0,$S461*Lists!$AG$15*(1+N($Z461)),N($U461)*(1+N($V461)+N($W461)+N($X461)+N($Z461))+N($Y461))))</f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IF(TRIM($B461)="","",IF(IFERROR(INDEX(Lists!$AO$2:$AO$4,MATCH(ROW(),Lists!$AN$2:$AN$4,0)),"")&lt;&gt;"",IFERROR(INDEX(Lists!$AO$2:$AO$4,MATCH(ROW(),Lists!$AN$2:$AN$4,0)),""),IFERROR(INDEX(Lists!$U:$U,MATCH(TRIM($I461),Lists!$T:$T,0)),TRIM($I461))))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",$C461)),"Head of Technology",IF(ISNUMBER(SEARCH("TDD BP",$C461)),"Business Partner",IF(OR(ISNUMBER(SEARCH("domain architect",$C461)),ISNUMBER(SEARCH("enterprise architect",$C461))),"Domain Architect",IF(ISNUMBER(SEARCH("delivery man",$C461)),"Delivery Manager",IF(OR(ISNUMBER(SEARCH("technology manager",$C461)),ISNUMBER(SEARCH("technology manger",$C461)),ISNUMBER(SEARCH("tech manager",$C461))),"Technology Manager","Squad"))))))</f>
        <v>Squad</v>
      </c>
      <c r="AS461" t="str">
        <f>IF(TRIM($B461)="","",IFERROR(INDEX(Lists!$AA:$AA,MATCH($AP461,Lists!$Z:$Z,0)),$AP461))</f>
        <v>P&amp;C</v>
      </c>
      <c r="AT461" t="str">
        <f>IF(TRIM($B461)="","",IF(IFERROR(INDEX(Lists!$AP$2:$AP$4,MATCH(ROW(),Lists!$AN$2:$AN$4,0)),"")&lt;&gt;"",IFERROR(INDEX(Lists!$AP$2:$AP$4,MATCH(ROW(),Lists!$AN$2:$AN$4,0)),""),IF(OR(LEFT($AJ461,3)="COE",$AJ461="EGI"),$AP461,IF($AR461&lt;&gt;"Squad",$AR461,$AP461))))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>
        <f>IF(TRIM($B462)="","",IF(N($AU462)&gt;0,$AU462,IF(N($S462)&gt;0,$S462*Lists!$AG$15*(1+N($Z462)),N($U462)*(1+N($V462)+N($W462)+N($X462)+N($Z462))+N($Y462))))</f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IF(TRIM($B462)="","",IF(IFERROR(INDEX(Lists!$AO$2:$AO$4,MATCH(ROW(),Lists!$AN$2:$AN$4,0)),"")&lt;&gt;"",IFERROR(INDEX(Lists!$AO$2:$AO$4,MATCH(ROW(),Lists!$AN$2:$AN$4,0)),""),IFERROR(INDEX(Lists!$U:$U,MATCH(TRIM($I462),Lists!$T:$T,0)),TRIM($I462))))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",$C462)),"Head of Technology",IF(ISNUMBER(SEARCH("TDD BP",$C462)),"Business Partner",IF(OR(ISNUMBER(SEARCH("domain architect",$C462)),ISNUMBER(SEARCH("enterprise architect",$C462))),"Domain Architect",IF(ISNUMBER(SEARCH("delivery man",$C462)),"Delivery Manager",IF(OR(ISNUMBER(SEARCH("technology manager",$C462)),ISNUMBER(SEARCH("technology manger",$C462)),ISNUMBER(SEARCH("tech manager",$C462))),"Technology Manager","Squad"))))))</f>
        <v>Squad</v>
      </c>
      <c r="AS462" t="str">
        <f>IF(TRIM($B462)="","",IFERROR(INDEX(Lists!$AA:$AA,MATCH($AP462,Lists!$Z:$Z,0)),$AP462))</f>
        <v>P&amp;C</v>
      </c>
      <c r="AT462" t="str">
        <f>IF(TRIM($B462)="","",IF(IFERROR(INDEX(Lists!$AP$2:$AP$4,MATCH(ROW(),Lists!$AN$2:$AN$4,0)),"")&lt;&gt;"",IFERROR(INDEX(Lists!$AP$2:$AP$4,MATCH(ROW(),Lists!$AN$2:$AN$4,0)),""),IF(OR(LEFT($AJ462,3)="COE",$AJ462="EGI"),$AP462,IF($AR462&lt;&gt;"Squad",$AR462,$AP462))))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>
        <f>IF(TRIM($B463)="","",IF(N($AU463)&gt;0,$AU463,IF(N($S463)&gt;0,$S463*Lists!$AG$15*(1+N($Z463)),N($U463)*(1+N($V463)+N($W463)+N($X463)+N($Z463))+N($Y463))))</f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IF(TRIM($B463)="","",IF(IFERROR(INDEX(Lists!$AO$2:$AO$4,MATCH(ROW(),Lists!$AN$2:$AN$4,0)),"")&lt;&gt;"",IFERROR(INDEX(Lists!$AO$2:$AO$4,MATCH(ROW(),Lists!$AN$2:$AN$4,0)),""),IFERROR(INDEX(Lists!$U:$U,MATCH(TRIM($I463),Lists!$T:$T,0)),TRIM($I463))))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",$C463)),"Head of Technology",IF(ISNUMBER(SEARCH("TDD BP",$C463)),"Business Partner",IF(OR(ISNUMBER(SEARCH("domain architect",$C463)),ISNUMBER(SEARCH("enterprise architect",$C463))),"Domain Architect",IF(ISNUMBER(SEARCH("delivery man",$C463)),"Delivery Manager",IF(OR(ISNUMBER(SEARCH("technology manager",$C463)),ISNUMBER(SEARCH("technology manger",$C463)),ISNUMBER(SEARCH("tech manager",$C463))),"Technology Manager","Squad"))))))</f>
        <v>Squad</v>
      </c>
      <c r="AS463" t="str">
        <f>IF(TRIM($B463)="","",IFERROR(INDEX(Lists!$AA:$AA,MATCH($AP463,Lists!$Z:$Z,0)),$AP463))</f>
        <v>P&amp;C</v>
      </c>
      <c r="AT463" t="str">
        <f>IF(TRIM($B463)="","",IF(IFERROR(INDEX(Lists!$AP$2:$AP$4,MATCH(ROW(),Lists!$AN$2:$AN$4,0)),"")&lt;&gt;"",IFERROR(INDEX(Lists!$AP$2:$AP$4,MATCH(ROW(),Lists!$AN$2:$AN$4,0)),""),IF(OR(LEFT($AJ463,3)="COE",$AJ463="EGI"),$AP463,IF($AR463&lt;&gt;"Squad",$AR463,$AP463))))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>
        <f>IF(TRIM($B464)="","",IF(N($AU464)&gt;0,$AU464,IF(N($S464)&gt;0,$S464*Lists!$AG$15*(1+N($Z464)),N($U464)*(1+N($V464)+N($W464)+N($X464)+N($Z464))+N($Y464))))</f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IF(TRIM($B464)="","",IF(IFERROR(INDEX(Lists!$AO$2:$AO$4,MATCH(ROW(),Lists!$AN$2:$AN$4,0)),"")&lt;&gt;"",IFERROR(INDEX(Lists!$AO$2:$AO$4,MATCH(ROW(),Lists!$AN$2:$AN$4,0)),""),IFERROR(INDEX(Lists!$U:$U,MATCH(TRIM($I464),Lists!$T:$T,0)),TRIM($I464))))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",$C464)),"Head of Technology",IF(ISNUMBER(SEARCH("TDD BP",$C464)),"Business Partner",IF(OR(ISNUMBER(SEARCH("domain architect",$C464)),ISNUMBER(SEARCH("enterprise architect",$C464))),"Domain Architect",IF(ISNUMBER(SEARCH("delivery man",$C464)),"Delivery Manager",IF(OR(ISNUMBER(SEARCH("technology manager",$C464)),ISNUMBER(SEARCH("technology manger",$C464)),ISNUMBER(SEARCH("tech manager",$C464))),"Technology Manager","Squad"))))))</f>
        <v>Squad</v>
      </c>
      <c r="AS464" t="str">
        <f>IF(TRIM($B464)="","",IFERROR(INDEX(Lists!$AA:$AA,MATCH($AP464,Lists!$Z:$Z,0)),$AP464))</f>
        <v>P&amp;C</v>
      </c>
      <c r="AT464" t="str">
        <f>IF(TRIM($B464)="","",IF(IFERROR(INDEX(Lists!$AP$2:$AP$4,MATCH(ROW(),Lists!$AN$2:$AN$4,0)),"")&lt;&gt;"",IFERROR(INDEX(Lists!$AP$2:$AP$4,MATCH(ROW(),Lists!$AN$2:$AN$4,0)),""),IF(OR(LEFT($AJ464,3)="COE",$AJ464="EGI"),$AP464,IF($AR464&lt;&gt;"Squad",$AR464,$AP464))))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>
        <f>IF(TRIM($B465)="","",IF(N($AU465)&gt;0,$AU465,IF(N($S465)&gt;0,$S465*Lists!$AG$15*(1+N($Z465)),N($U465)*(1+N($V465)+N($W465)+N($X465)+N($Z465))+N($Y465))))</f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IF(TRIM($B465)="","",IF(IFERROR(INDEX(Lists!$AO$2:$AO$4,MATCH(ROW(),Lists!$AN$2:$AN$4,0)),"")&lt;&gt;"",IFERROR(INDEX(Lists!$AO$2:$AO$4,MATCH(ROW(),Lists!$AN$2:$AN$4,0)),""),IFERROR(INDEX(Lists!$U:$U,MATCH(TRIM($I465),Lists!$T:$T,0)),TRIM($I465))))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",$C465)),"Head of Technology",IF(ISNUMBER(SEARCH("TDD BP",$C465)),"Business Partner",IF(OR(ISNUMBER(SEARCH("domain architect",$C465)),ISNUMBER(SEARCH("enterprise architect",$C465))),"Domain Architect",IF(ISNUMBER(SEARCH("delivery man",$C465)),"Delivery Manager",IF(OR(ISNUMBER(SEARCH("technology manager",$C465)),ISNUMBER(SEARCH("technology manger",$C465)),ISNUMBER(SEARCH("tech manager",$C465))),"Technology Manager","Squad"))))))</f>
        <v>Squad</v>
      </c>
      <c r="AS465" t="str">
        <f>IF(TRIM($B465)="","",IFERROR(INDEX(Lists!$AA:$AA,MATCH($AP465,Lists!$Z:$Z,0)),$AP465))</f>
        <v>P&amp;C RTA</v>
      </c>
      <c r="AT465" t="str">
        <f>IF(TRIM($B465)="","",IF(IFERROR(INDEX(Lists!$AP$2:$AP$4,MATCH(ROW(),Lists!$AN$2:$AN$4,0)),"")&lt;&gt;"",IFERROR(INDEX(Lists!$AP$2:$AP$4,MATCH(ROW(),Lists!$AN$2:$AN$4,0)),""),IF(OR(LEFT($AJ465,3)="COE",$AJ465="EGI"),$AP465,IF($AR465&lt;&gt;"Squad",$AR465,$AP465))))</f>
        <v>P&amp;C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>
        <f>IF(TRIM($B466)="","",IF(N($AU466)&gt;0,$AU466,IF(N($S466)&gt;0,$S466*Lists!$AG$15*(1+N($Z466)),N($U466)*(1+N($V466)+N($W466)+N($X466)+N($Z466))+N($Y466))))</f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IF(TRIM($B466)="","",IF(IFERROR(INDEX(Lists!$AO$2:$AO$4,MATCH(ROW(),Lists!$AN$2:$AN$4,0)),"")&lt;&gt;"",IFERROR(INDEX(Lists!$AO$2:$AO$4,MATCH(ROW(),Lists!$AN$2:$AN$4,0)),""),IFERROR(INDEX(Lists!$U:$U,MATCH(TRIM($I466),Lists!$T:$T,0)),TRIM($I466))))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",$C466)),"Head of Technology",IF(ISNUMBER(SEARCH("TDD BP",$C466)),"Business Partner",IF(OR(ISNUMBER(SEARCH("domain architect",$C466)),ISNUMBER(SEARCH("enterprise architect",$C466))),"Domain Architect",IF(ISNUMBER(SEARCH("delivery man",$C466)),"Delivery Manager",IF(OR(ISNUMBER(SEARCH("technology manager",$C466)),ISNUMBER(SEARCH("technology manger",$C466)),ISNUMBER(SEARCH("tech manager",$C466))),"Technology Manager","Squad"))))))</f>
        <v>Head of Technology</v>
      </c>
      <c r="AS466" t="str">
        <f>IF(TRIM($B466)="","",IFERROR(INDEX(Lists!$AA:$AA,MATCH($AP466,Lists!$Z:$Z,0)),$AP466))</f>
        <v>Leadership</v>
      </c>
      <c r="AT466" t="str">
        <f>IF(TRIM($B466)="","",IF(IFERROR(INDEX(Lists!$AP$2:$AP$4,MATCH(ROW(),Lists!$AN$2:$AN$4,0)),"")&lt;&gt;"",IFERROR(INDEX(Lists!$AP$2:$AP$4,MATCH(ROW(),Lists!$AN$2:$AN$4,0)),""),IF(OR(LEFT($AJ466,3)="COE",$AJ466="EGI"),$AP466,IF($AR466&lt;&gt;"Squad",$AR466,$AP466))))</f>
        <v>Head of Technology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>
        <f>IF(TRIM($B467)="","",IF(N($AU467)&gt;0,$AU467,IF(N($S467)&gt;0,$S467*Lists!$AG$15*(1+N($Z467)),N($U467)*(1+N($V467)+N($W467)+N($X467)+N($Z467))+N($Y467))))</f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IF(TRIM($B467)="","",IF(IFERROR(INDEX(Lists!$AO$2:$AO$4,MATCH(ROW(),Lists!$AN$2:$AN$4,0)),"")&lt;&gt;"",IFERROR(INDEX(Lists!$AO$2:$AO$4,MATCH(ROW(),Lists!$AN$2:$AN$4,0)),""),IFERROR(INDEX(Lists!$U:$U,MATCH(TRIM($I467),Lists!$T:$T,0)),TRIM($I467))))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",$C467)),"Head of Technology",IF(ISNUMBER(SEARCH("TDD BP",$C467)),"Business Partner",IF(OR(ISNUMBER(SEARCH("domain architect",$C467)),ISNUMBER(SEARCH("enterprise architect",$C467))),"Domain Architect",IF(ISNUMBER(SEARCH("delivery man",$C467)),"Delivery Manager",IF(OR(ISNUMBER(SEARCH("technology manager",$C467)),ISNUMBER(SEARCH("technology manger",$C467)),ISNUMBER(SEARCH("tech manager",$C467))),"Technology Manager","Squad"))))))</f>
        <v>Squad</v>
      </c>
      <c r="AS467" t="str">
        <f>IF(TRIM($B467)="","",IFERROR(INDEX(Lists!$AA:$AA,MATCH($AP467,Lists!$Z:$Z,0)),$AP467))</f>
        <v>AmPOS</v>
      </c>
      <c r="AT467" t="str">
        <f>IF(TRIM($B467)="","",IF(IFERROR(INDEX(Lists!$AP$2:$AP$4,MATCH(ROW(),Lists!$AN$2:$AN$4,0)),"")&lt;&gt;"",IFERROR(INDEX(Lists!$AP$2:$AP$4,MATCH(ROW(),Lists!$AN$2:$AN$4,0)),""),IF(OR(LEFT($AJ467,3)="COE",$AJ467="EGI"),$AP467,IF($AR467&lt;&gt;"Squad",$AR467,$AP467))))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>
        <f>IF(TRIM($B468)="","",IF(N($AU468)&gt;0,$AU468,IF(N($S468)&gt;0,$S468*Lists!$AG$15*(1+N($Z468)),N($U468)*(1+N($V468)+N($W468)+N($X468)+N($Z468))+N($Y468))))</f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IF(TRIM($B468)="","",IF(IFERROR(INDEX(Lists!$AO$2:$AO$4,MATCH(ROW(),Lists!$AN$2:$AN$4,0)),"")&lt;&gt;"",IFERROR(INDEX(Lists!$AO$2:$AO$4,MATCH(ROW(),Lists!$AN$2:$AN$4,0)),""),IFERROR(INDEX(Lists!$U:$U,MATCH(TRIM($I468),Lists!$T:$T,0)),TRIM($I468))))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",$C468)),"Head of Technology",IF(ISNUMBER(SEARCH("TDD BP",$C468)),"Business Partner",IF(OR(ISNUMBER(SEARCH("domain architect",$C468)),ISNUMBER(SEARCH("enterprise architect",$C468))),"Domain Architect",IF(ISNUMBER(SEARCH("delivery man",$C468)),"Delivery Manager",IF(OR(ISNUMBER(SEARCH("technology manager",$C468)),ISNUMBER(SEARCH("technology manger",$C468)),ISNUMBER(SEARCH("tech manager",$C468))),"Technology Manager","Squad"))))))</f>
        <v>Squad</v>
      </c>
      <c r="AS468" t="str">
        <f>IF(TRIM($B468)="","",IFERROR(INDEX(Lists!$AA:$AA,MATCH($AP468,Lists!$Z:$Z,0)),$AP468))</f>
        <v>Cloud, Network &amp; Infra Ops</v>
      </c>
      <c r="AT468" t="str">
        <f>IF(TRIM($B468)="","",IF(IFERROR(INDEX(Lists!$AP$2:$AP$4,MATCH(ROW(),Lists!$AN$2:$AN$4,0)),"")&lt;&gt;"",IFERROR(INDEX(Lists!$AP$2:$AP$4,MATCH(ROW(),Lists!$AN$2:$AN$4,0)),""),IF(OR(LEFT($AJ468,3)="COE",$AJ468="EGI"),$AP468,IF($AR468&lt;&gt;"Squad",$AR468,$AP468))))</f>
        <v>Cloud, Network &amp; Infra Ops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>
        <f>IF(TRIM($B469)="","",IF(N($AU469)&gt;0,$AU469,IF(N($S469)&gt;0,$S469*Lists!$AG$15*(1+N($Z469)),N($U469)*(1+N($V469)+N($W469)+N($X469)+N($Z469))+N($Y469))))</f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IF(TRIM($B469)="","",IF(IFERROR(INDEX(Lists!$AO$2:$AO$4,MATCH(ROW(),Lists!$AN$2:$AN$4,0)),"")&lt;&gt;"",IFERROR(INDEX(Lists!$AO$2:$AO$4,MATCH(ROW(),Lists!$AN$2:$AN$4,0)),""),IFERROR(INDEX(Lists!$U:$U,MATCH(TRIM($I469),Lists!$T:$T,0)),TRIM($I469))))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",$C469)),"Head of Technology",IF(ISNUMBER(SEARCH("TDD BP",$C469)),"Business Partner",IF(OR(ISNUMBER(SEARCH("domain architect",$C469)),ISNUMBER(SEARCH("enterprise architect",$C469))),"Domain Architect",IF(ISNUMBER(SEARCH("delivery man",$C469)),"Delivery Manager",IF(OR(ISNUMBER(SEARCH("technology manager",$C469)),ISNUMBER(SEARCH("technology manger",$C469)),ISNUMBER(SEARCH("tech manager",$C469))),"Technology Manager","Squad"))))))</f>
        <v>Squad</v>
      </c>
      <c r="AS469" t="str">
        <f>IF(TRIM($B469)="","",IFERROR(INDEX(Lists!$AA:$AA,MATCH($AP469,Lists!$Z:$Z,0)),$AP469))</f>
        <v>Cloud, Network &amp; Infra Ops</v>
      </c>
      <c r="AT469" t="str">
        <f>IF(TRIM($B469)="","",IF(IFERROR(INDEX(Lists!$AP$2:$AP$4,MATCH(ROW(),Lists!$AN$2:$AN$4,0)),"")&lt;&gt;"",IFERROR(INDEX(Lists!$AP$2:$AP$4,MATCH(ROW(),Lists!$AN$2:$AN$4,0)),""),IF(OR(LEFT($AJ469,3)="COE",$AJ469="EGI"),$AP469,IF($AR469&lt;&gt;"Squad",$AR469,$AP469))))</f>
        <v>Cloud, Network &amp; Infra Ops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>
        <f>IF(TRIM($B470)="","",IF(N($AU470)&gt;0,$AU470,IF(N($S470)&gt;0,$S470*Lists!$AG$15*(1+N($Z470)),N($U470)*(1+N($V470)+N($W470)+N($X470)+N($Z470))+N($Y470))))</f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IF(TRIM($B470)="","",IF(IFERROR(INDEX(Lists!$AO$2:$AO$4,MATCH(ROW(),Lists!$AN$2:$AN$4,0)),"")&lt;&gt;"",IFERROR(INDEX(Lists!$AO$2:$AO$4,MATCH(ROW(),Lists!$AN$2:$AN$4,0)),""),IFERROR(INDEX(Lists!$U:$U,MATCH(TRIM($I470),Lists!$T:$T,0)),TRIM($I470))))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",$C470)),"Head of Technology",IF(ISNUMBER(SEARCH("TDD BP",$C470)),"Business Partner",IF(OR(ISNUMBER(SEARCH("domain architect",$C470)),ISNUMBER(SEARCH("enterprise architect",$C470))),"Domain Architect",IF(ISNUMBER(SEARCH("delivery man",$C470)),"Delivery Manager",IF(OR(ISNUMBER(SEARCH("technology manager",$C470)),ISNUMBER(SEARCH("technology manger",$C470)),ISNUMBER(SEARCH("tech manager",$C470))),"Technology Manager","Squad"))))))</f>
        <v>Squad</v>
      </c>
      <c r="AS470" t="str">
        <f>IF(TRIM($B470)="","",IFERROR(INDEX(Lists!$AA:$AA,MATCH($AP470,Lists!$Z:$Z,0)),$AP470))</f>
        <v>Cloud, Network &amp; Infra Ops</v>
      </c>
      <c r="AT470" t="str">
        <f>IF(TRIM($B470)="","",IF(IFERROR(INDEX(Lists!$AP$2:$AP$4,MATCH(ROW(),Lists!$AN$2:$AN$4,0)),"")&lt;&gt;"",IFERROR(INDEX(Lists!$AP$2:$AP$4,MATCH(ROW(),Lists!$AN$2:$AN$4,0)),""),IF(OR(LEFT($AJ470,3)="COE",$AJ470="EGI"),$AP470,IF($AR470&lt;&gt;"Squad",$AR470,$AP470))))</f>
        <v>Cloud, Network &amp; Infra Ops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>
        <f>IF(TRIM($B471)="","",IF(N($AU471)&gt;0,$AU471,IF(N($S471)&gt;0,$S471*Lists!$AG$15*(1+N($Z471)),N($U471)*(1+N($V471)+N($W471)+N($X471)+N($Z471))+N($Y471))))</f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IF(TRIM($B471)="","",IF(IFERROR(INDEX(Lists!$AO$2:$AO$4,MATCH(ROW(),Lists!$AN$2:$AN$4,0)),"")&lt;&gt;"",IFERROR(INDEX(Lists!$AO$2:$AO$4,MATCH(ROW(),Lists!$AN$2:$AN$4,0)),""),IFERROR(INDEX(Lists!$U:$U,MATCH(TRIM($I471),Lists!$T:$T,0)),TRIM($I471))))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",$C471)),"Head of Technology",IF(ISNUMBER(SEARCH("TDD BP",$C471)),"Business Partner",IF(OR(ISNUMBER(SEARCH("domain architect",$C471)),ISNUMBER(SEARCH("enterprise architect",$C471))),"Domain Architect",IF(ISNUMBER(SEARCH("delivery man",$C471)),"Delivery Manager",IF(OR(ISNUMBER(SEARCH("technology manager",$C471)),ISNUMBER(SEARCH("technology manger",$C471)),ISNUMBER(SEARCH("tech manager",$C471))),"Technology Manager","Squad"))))))</f>
        <v>Squad</v>
      </c>
      <c r="AS471" t="str">
        <f>IF(TRIM($B471)="","",IFERROR(INDEX(Lists!$AA:$AA,MATCH($AP471,Lists!$Z:$Z,0)),$AP471))</f>
        <v>Cloud, Network &amp; Infra Ops</v>
      </c>
      <c r="AT471" t="str">
        <f>IF(TRIM($B471)="","",IF(IFERROR(INDEX(Lists!$AP$2:$AP$4,MATCH(ROW(),Lists!$AN$2:$AN$4,0)),"")&lt;&gt;"",IFERROR(INDEX(Lists!$AP$2:$AP$4,MATCH(ROW(),Lists!$AN$2:$AN$4,0)),""),IF(OR(LEFT($AJ471,3)="COE",$AJ471="EGI"),$AP471,IF($AR471&lt;&gt;"Squad",$AR471,$AP471))))</f>
        <v>Cloud, Network &amp; Infra Ops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>
        <f>IF(TRIM($B472)="","",IF(N($AU472)&gt;0,$AU472,IF(N($S472)&gt;0,$S472*Lists!$AG$15*(1+N($Z472)),N($U472)*(1+N($V472)+N($W472)+N($X472)+N($Z472))+N($Y472))))</f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IF(TRIM($B472)="","",IF(IFERROR(INDEX(Lists!$AO$2:$AO$4,MATCH(ROW(),Lists!$AN$2:$AN$4,0)),"")&lt;&gt;"",IFERROR(INDEX(Lists!$AO$2:$AO$4,MATCH(ROW(),Lists!$AN$2:$AN$4,0)),""),IFERROR(INDEX(Lists!$U:$U,MATCH(TRIM($I472),Lists!$T:$T,0)),TRIM($I472))))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",$C472)),"Head of Technology",IF(ISNUMBER(SEARCH("TDD BP",$C472)),"Business Partner",IF(OR(ISNUMBER(SEARCH("domain architect",$C472)),ISNUMBER(SEARCH("enterprise architect",$C472))),"Domain Architect",IF(ISNUMBER(SEARCH("delivery man",$C472)),"Delivery Manager",IF(OR(ISNUMBER(SEARCH("technology manager",$C472)),ISNUMBER(SEARCH("technology manger",$C472)),ISNUMBER(SEARCH("tech manager",$C472))),"Technology Manager","Squad"))))))</f>
        <v>Squad</v>
      </c>
      <c r="AS472" t="str">
        <f>IF(TRIM($B472)="","",IFERROR(INDEX(Lists!$AA:$AA,MATCH($AP472,Lists!$Z:$Z,0)),$AP472))</f>
        <v>Cloud, Network &amp; Infra Ops</v>
      </c>
      <c r="AT472" t="str">
        <f>IF(TRIM($B472)="","",IF(IFERROR(INDEX(Lists!$AP$2:$AP$4,MATCH(ROW(),Lists!$AN$2:$AN$4,0)),"")&lt;&gt;"",IFERROR(INDEX(Lists!$AP$2:$AP$4,MATCH(ROW(),Lists!$AN$2:$AN$4,0)),""),IF(OR(LEFT($AJ472,3)="COE",$AJ472="EGI"),$AP472,IF($AR472&lt;&gt;"Squad",$AR472,$AP472))))</f>
        <v>Cloud, Network &amp; Infra Ops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>
        <f>IF(TRIM($B473)="","",IF(N($AU473)&gt;0,$AU473,IF(N($S473)&gt;0,$S473*Lists!$AG$15*(1+N($Z473)),N($U473)*(1+N($V473)+N($W473)+N($X473)+N($Z473))+N($Y473))))</f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IF(TRIM($B473)="","",IF(IFERROR(INDEX(Lists!$AO$2:$AO$4,MATCH(ROW(),Lists!$AN$2:$AN$4,0)),"")&lt;&gt;"",IFERROR(INDEX(Lists!$AO$2:$AO$4,MATCH(ROW(),Lists!$AN$2:$AN$4,0)),""),IFERROR(INDEX(Lists!$U:$U,MATCH(TRIM($I473),Lists!$T:$T,0)),TRIM($I473))))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",$C473)),"Head of Technology",IF(ISNUMBER(SEARCH("TDD BP",$C473)),"Business Partner",IF(OR(ISNUMBER(SEARCH("domain architect",$C473)),ISNUMBER(SEARCH("enterprise architect",$C473))),"Domain Architect",IF(ISNUMBER(SEARCH("delivery man",$C473)),"Delivery Manager",IF(OR(ISNUMBER(SEARCH("technology manager",$C473)),ISNUMBER(SEARCH("technology manger",$C473)),ISNUMBER(SEARCH("tech manager",$C473))),"Technology Manager","Squad"))))))</f>
        <v>Squad</v>
      </c>
      <c r="AS473" t="str">
        <f>IF(TRIM($B473)="","",IFERROR(INDEX(Lists!$AA:$AA,MATCH($AP473,Lists!$Z:$Z,0)),$AP473))</f>
        <v>Cloud, Network &amp; Infra Ops</v>
      </c>
      <c r="AT473" t="str">
        <f>IF(TRIM($B473)="","",IF(IFERROR(INDEX(Lists!$AP$2:$AP$4,MATCH(ROW(),Lists!$AN$2:$AN$4,0)),"")&lt;&gt;"",IFERROR(INDEX(Lists!$AP$2:$AP$4,MATCH(ROW(),Lists!$AN$2:$AN$4,0)),""),IF(OR(LEFT($AJ473,3)="COE",$AJ473="EGI"),$AP473,IF($AR473&lt;&gt;"Squad",$AR473,$AP473))))</f>
        <v>Cloud, Network &amp; Infra Ops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>
        <f>IF(TRIM($B474)="","",IF(N($AU474)&gt;0,$AU474,IF(N($S474)&gt;0,$S474*Lists!$AG$15*(1+N($Z474)),N($U474)*(1+N($V474)+N($W474)+N($X474)+N($Z474))+N($Y474))))</f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IF(TRIM($B474)="","",IF(IFERROR(INDEX(Lists!$AO$2:$AO$4,MATCH(ROW(),Lists!$AN$2:$AN$4,0)),"")&lt;&gt;"",IFERROR(INDEX(Lists!$AO$2:$AO$4,MATCH(ROW(),Lists!$AN$2:$AN$4,0)),""),IFERROR(INDEX(Lists!$U:$U,MATCH(TRIM($I474),Lists!$T:$T,0)),TRIM($I474))))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",$C474)),"Head of Technology",IF(ISNUMBER(SEARCH("TDD BP",$C474)),"Business Partner",IF(OR(ISNUMBER(SEARCH("domain architect",$C474)),ISNUMBER(SEARCH("enterprise architect",$C474))),"Domain Architect",IF(ISNUMBER(SEARCH("delivery man",$C474)),"Delivery Manager",IF(OR(ISNUMBER(SEARCH("technology manager",$C474)),ISNUMBER(SEARCH("technology manger",$C474)),ISNUMBER(SEARCH("tech manager",$C474))),"Technology Manager","Squad"))))))</f>
        <v>Squad</v>
      </c>
      <c r="AS474" t="str">
        <f>IF(TRIM($B474)="","",IFERROR(INDEX(Lists!$AA:$AA,MATCH($AP474,Lists!$Z:$Z,0)),$AP474))</f>
        <v>Cloud, Network &amp; Infra Ops</v>
      </c>
      <c r="AT474" t="str">
        <f>IF(TRIM($B474)="","",IF(IFERROR(INDEX(Lists!$AP$2:$AP$4,MATCH(ROW(),Lists!$AN$2:$AN$4,0)),"")&lt;&gt;"",IFERROR(INDEX(Lists!$AP$2:$AP$4,MATCH(ROW(),Lists!$AN$2:$AN$4,0)),""),IF(OR(LEFT($AJ474,3)="COE",$AJ474="EGI"),$AP474,IF($AR474&lt;&gt;"Squad",$AR474,$AP474))))</f>
        <v>Cloud, Network &amp; Infra Ops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>
        <f>IF(TRIM($B475)="","",IF(N($AU475)&gt;0,$AU475,IF(N($S475)&gt;0,$S475*Lists!$AG$15*(1+N($Z475)),N($U475)*(1+N($V475)+N($W475)+N($X475)+N($Z475))+N($Y475))))</f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IF(TRIM($B475)="","",IF(IFERROR(INDEX(Lists!$AO$2:$AO$4,MATCH(ROW(),Lists!$AN$2:$AN$4,0)),"")&lt;&gt;"",IFERROR(INDEX(Lists!$AO$2:$AO$4,MATCH(ROW(),Lists!$AN$2:$AN$4,0)),""),IFERROR(INDEX(Lists!$U:$U,MATCH(TRIM($I475),Lists!$T:$T,0)),TRIM($I475))))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",$C475)),"Head of Technology",IF(ISNUMBER(SEARCH("TDD BP",$C475)),"Business Partner",IF(OR(ISNUMBER(SEARCH("domain architect",$C475)),ISNUMBER(SEARCH("enterprise architect",$C475))),"Domain Architect",IF(ISNUMBER(SEARCH("delivery man",$C475)),"Delivery Manager",IF(OR(ISNUMBER(SEARCH("technology manager",$C475)),ISNUMBER(SEARCH("technology manger",$C475)),ISNUMBER(SEARCH("tech manager",$C475))),"Technology Manager","Squad"))))))</f>
        <v>Squad</v>
      </c>
      <c r="AS475" t="str">
        <f>IF(TRIM($B475)="","",IFERROR(INDEX(Lists!$AA:$AA,MATCH($AP475,Lists!$Z:$Z,0)),$AP475))</f>
        <v>Cloud, Network &amp; Infra Ops</v>
      </c>
      <c r="AT475" t="str">
        <f>IF(TRIM($B475)="","",IF(IFERROR(INDEX(Lists!$AP$2:$AP$4,MATCH(ROW(),Lists!$AN$2:$AN$4,0)),"")&lt;&gt;"",IFERROR(INDEX(Lists!$AP$2:$AP$4,MATCH(ROW(),Lists!$AN$2:$AN$4,0)),""),IF(OR(LEFT($AJ475,3)="COE",$AJ475="EGI"),$AP475,IF($AR475&lt;&gt;"Squad",$AR475,$AP475))))</f>
        <v>Cloud, Network &amp; Infra Ops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>
        <f>IF(TRIM($B476)="","",IF(N($AU476)&gt;0,$AU476,IF(N($S476)&gt;0,$S476*Lists!$AG$15*(1+N($Z476)),N($U476)*(1+N($V476)+N($W476)+N($X476)+N($Z476))+N($Y476))))</f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IF(TRIM($B476)="","",IF(IFERROR(INDEX(Lists!$AO$2:$AO$4,MATCH(ROW(),Lists!$AN$2:$AN$4,0)),"")&lt;&gt;"",IFERROR(INDEX(Lists!$AO$2:$AO$4,MATCH(ROW(),Lists!$AN$2:$AN$4,0)),""),IFERROR(INDEX(Lists!$U:$U,MATCH(TRIM($I476),Lists!$T:$T,0)),TRIM($I476))))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",$C476)),"Head of Technology",IF(ISNUMBER(SEARCH("TDD BP",$C476)),"Business Partner",IF(OR(ISNUMBER(SEARCH("domain architect",$C476)),ISNUMBER(SEARCH("enterprise architect",$C476))),"Domain Architect",IF(ISNUMBER(SEARCH("delivery man",$C476)),"Delivery Manager",IF(OR(ISNUMBER(SEARCH("technology manager",$C476)),ISNUMBER(SEARCH("technology manger",$C476)),ISNUMBER(SEARCH("tech manager",$C476))),"Technology Manager","Squad"))))))</f>
        <v>Squad</v>
      </c>
      <c r="AS476" t="str">
        <f>IF(TRIM($B476)="","",IFERROR(INDEX(Lists!$AA:$AA,MATCH($AP476,Lists!$Z:$Z,0)),$AP476))</f>
        <v>Cloud, Network &amp; Infra Ops</v>
      </c>
      <c r="AT476" t="str">
        <f>IF(TRIM($B476)="","",IF(IFERROR(INDEX(Lists!$AP$2:$AP$4,MATCH(ROW(),Lists!$AN$2:$AN$4,0)),"")&lt;&gt;"",IFERROR(INDEX(Lists!$AP$2:$AP$4,MATCH(ROW(),Lists!$AN$2:$AN$4,0)),""),IF(OR(LEFT($AJ476,3)="COE",$AJ476="EGI"),$AP476,IF($AR476&lt;&gt;"Squad",$AR476,$AP476))))</f>
        <v>Cloud, Network &amp; Infra Ops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>
        <f>IF(TRIM($B477)="","",IF(N($AU477)&gt;0,$AU477,IF(N($S477)&gt;0,$S477*Lists!$AG$15*(1+N($Z477)),N($U477)*(1+N($V477)+N($W477)+N($X477)+N($Z477))+N($Y477))))</f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IF(TRIM($B477)="","",IF(IFERROR(INDEX(Lists!$AO$2:$AO$4,MATCH(ROW(),Lists!$AN$2:$AN$4,0)),"")&lt;&gt;"",IFERROR(INDEX(Lists!$AO$2:$AO$4,MATCH(ROW(),Lists!$AN$2:$AN$4,0)),""),IFERROR(INDEX(Lists!$U:$U,MATCH(TRIM($I477),Lists!$T:$T,0)),TRIM($I477))))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",$C477)),"Head of Technology",IF(ISNUMBER(SEARCH("TDD BP",$C477)),"Business Partner",IF(OR(ISNUMBER(SEARCH("domain architect",$C477)),ISNUMBER(SEARCH("enterprise architect",$C477))),"Domain Architect",IF(ISNUMBER(SEARCH("delivery man",$C477)),"Delivery Manager",IF(OR(ISNUMBER(SEARCH("technology manager",$C477)),ISNUMBER(SEARCH("technology manger",$C477)),ISNUMBER(SEARCH("tech manager",$C477))),"Technology Manager","Squad"))))))</f>
        <v>Squad</v>
      </c>
      <c r="AS477" t="str">
        <f>IF(TRIM($B477)="","",IFERROR(INDEX(Lists!$AA:$AA,MATCH($AP477,Lists!$Z:$Z,0)),$AP477))</f>
        <v>Cloud, Network &amp; Infra Ops</v>
      </c>
      <c r="AT477" t="str">
        <f>IF(TRIM($B477)="","",IF(IFERROR(INDEX(Lists!$AP$2:$AP$4,MATCH(ROW(),Lists!$AN$2:$AN$4,0)),"")&lt;&gt;"",IFERROR(INDEX(Lists!$AP$2:$AP$4,MATCH(ROW(),Lists!$AN$2:$AN$4,0)),""),IF(OR(LEFT($AJ477,3)="COE",$AJ477="EGI"),$AP477,IF($AR477&lt;&gt;"Squad",$AR477,$AP477))))</f>
        <v>Cloud, Network &amp; Infra Ops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>
        <f>IF(TRIM($B478)="","",IF(N($AU478)&gt;0,$AU478,IF(N($S478)&gt;0,$S478*Lists!$AG$15*(1+N($Z478)),N($U478)*(1+N($V478)+N($W478)+N($X478)+N($Z478))+N($Y478))))</f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IF(TRIM($B478)="","",IF(IFERROR(INDEX(Lists!$AO$2:$AO$4,MATCH(ROW(),Lists!$AN$2:$AN$4,0)),"")&lt;&gt;"",IFERROR(INDEX(Lists!$AO$2:$AO$4,MATCH(ROW(),Lists!$AN$2:$AN$4,0)),""),IFERROR(INDEX(Lists!$U:$U,MATCH(TRIM($I478),Lists!$T:$T,0)),TRIM($I478))))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",$C478)),"Head of Technology",IF(ISNUMBER(SEARCH("TDD BP",$C478)),"Business Partner",IF(OR(ISNUMBER(SEARCH("domain architect",$C478)),ISNUMBER(SEARCH("enterprise architect",$C478))),"Domain Architect",IF(ISNUMBER(SEARCH("delivery man",$C478)),"Delivery Manager",IF(OR(ISNUMBER(SEARCH("technology manager",$C478)),ISNUMBER(SEARCH("technology manger",$C478)),ISNUMBER(SEARCH("tech manager",$C478))),"Technology Manager","Squad"))))))</f>
        <v>Squad</v>
      </c>
      <c r="AS478" t="str">
        <f>IF(TRIM($B478)="","",IFERROR(INDEX(Lists!$AA:$AA,MATCH($AP478,Lists!$Z:$Z,0)),$AP478))</f>
        <v>Cloud, Network &amp; Infra Ops</v>
      </c>
      <c r="AT478" t="str">
        <f>IF(TRIM($B478)="","",IF(IFERROR(INDEX(Lists!$AP$2:$AP$4,MATCH(ROW(),Lists!$AN$2:$AN$4,0)),"")&lt;&gt;"",IFERROR(INDEX(Lists!$AP$2:$AP$4,MATCH(ROW(),Lists!$AN$2:$AN$4,0)),""),IF(OR(LEFT($AJ478,3)="COE",$AJ478="EGI"),$AP478,IF($AR478&lt;&gt;"Squad",$AR478,$AP478))))</f>
        <v>Cloud, Network &amp; Infra Ops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>
        <f>IF(TRIM($B479)="","",IF(N($AU479)&gt;0,$AU479,IF(N($S479)&gt;0,$S479*Lists!$AG$15*(1+N($Z479)),N($U479)*(1+N($V479)+N($W479)+N($X479)+N($Z479))+N($Y479))))</f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IF(TRIM($B479)="","",IF(IFERROR(INDEX(Lists!$AO$2:$AO$4,MATCH(ROW(),Lists!$AN$2:$AN$4,0)),"")&lt;&gt;"",IFERROR(INDEX(Lists!$AO$2:$AO$4,MATCH(ROW(),Lists!$AN$2:$AN$4,0)),""),IFERROR(INDEX(Lists!$U:$U,MATCH(TRIM($I479),Lists!$T:$T,0)),TRIM($I479))))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",$C479)),"Head of Technology",IF(ISNUMBER(SEARCH("TDD BP",$C479)),"Business Partner",IF(OR(ISNUMBER(SEARCH("domain architect",$C479)),ISNUMBER(SEARCH("enterprise architect",$C479))),"Domain Architect",IF(ISNUMBER(SEARCH("delivery man",$C479)),"Delivery Manager",IF(OR(ISNUMBER(SEARCH("technology manager",$C479)),ISNUMBER(SEARCH("technology manger",$C479)),ISNUMBER(SEARCH("tech manager",$C479))),"Technology Manager","Squad"))))))</f>
        <v>Squad</v>
      </c>
      <c r="AS479" t="str">
        <f>IF(TRIM($B479)="","",IFERROR(INDEX(Lists!$AA:$AA,MATCH($AP479,Lists!$Z:$Z,0)),$AP479))</f>
        <v>DevOps &amp; QE</v>
      </c>
      <c r="AT479" t="str">
        <f>IF(TRIM($B479)="","",IF(IFERROR(INDEX(Lists!$AP$2:$AP$4,MATCH(ROW(),Lists!$AN$2:$AN$4,0)),"")&lt;&gt;"",IFERROR(INDEX(Lists!$AP$2:$AP$4,MATCH(ROW(),Lists!$AN$2:$AN$4,0)),""),IF(OR(LEFT($AJ479,3)="COE",$AJ479="EGI"),$AP479,IF($AR479&lt;&gt;"Squad",$AR479,$AP479))))</f>
        <v>DevOps &amp; QE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>
        <f>IF(TRIM($B480)="","",IF(N($AU480)&gt;0,$AU480,IF(N($S480)&gt;0,$S480*Lists!$AG$15*(1+N($Z480)),N($U480)*(1+N($V480)+N($W480)+N($X480)+N($Z480))+N($Y480))))</f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IF(TRIM($B480)="","",IF(IFERROR(INDEX(Lists!$AO$2:$AO$4,MATCH(ROW(),Lists!$AN$2:$AN$4,0)),"")&lt;&gt;"",IFERROR(INDEX(Lists!$AO$2:$AO$4,MATCH(ROW(),Lists!$AN$2:$AN$4,0)),""),IFERROR(INDEX(Lists!$U:$U,MATCH(TRIM($I480),Lists!$T:$T,0)),TRIM($I480))))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",$C480)),"Head of Technology",IF(ISNUMBER(SEARCH("TDD BP",$C480)),"Business Partner",IF(OR(ISNUMBER(SEARCH("domain architect",$C480)),ISNUMBER(SEARCH("enterprise architect",$C480))),"Domain Architect",IF(ISNUMBER(SEARCH("delivery man",$C480)),"Delivery Manager",IF(OR(ISNUMBER(SEARCH("technology manager",$C480)),ISNUMBER(SEARCH("technology manger",$C480)),ISNUMBER(SEARCH("tech manager",$C480))),"Technology Manager","Squad"))))))</f>
        <v>Squad</v>
      </c>
      <c r="AS480" t="str">
        <f>IF(TRIM($B480)="","",IFERROR(INDEX(Lists!$AA:$AA,MATCH($AP480,Lists!$Z:$Z,0)),$AP480))</f>
        <v>DevOps &amp; QE</v>
      </c>
      <c r="AT480" t="str">
        <f>IF(TRIM($B480)="","",IF(IFERROR(INDEX(Lists!$AP$2:$AP$4,MATCH(ROW(),Lists!$AN$2:$AN$4,0)),"")&lt;&gt;"",IFERROR(INDEX(Lists!$AP$2:$AP$4,MATCH(ROW(),Lists!$AN$2:$AN$4,0)),""),IF(OR(LEFT($AJ480,3)="COE",$AJ480="EGI"),$AP480,IF($AR480&lt;&gt;"Squad",$AR480,$AP480))))</f>
        <v>DevOps &amp; QE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>
        <f>IF(TRIM($B481)="","",IF(N($AU481)&gt;0,$AU481,IF(N($S481)&gt;0,$S481*Lists!$AG$15*(1+N($Z481)),N($U481)*(1+N($V481)+N($W481)+N($X481)+N($Z481))+N($Y481))))</f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IF(TRIM($B481)="","",IF(IFERROR(INDEX(Lists!$AO$2:$AO$4,MATCH(ROW(),Lists!$AN$2:$AN$4,0)),"")&lt;&gt;"",IFERROR(INDEX(Lists!$AO$2:$AO$4,MATCH(ROW(),Lists!$AN$2:$AN$4,0)),""),IFERROR(INDEX(Lists!$U:$U,MATCH(TRIM($I481),Lists!$T:$T,0)),TRIM($I481))))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",$C481)),"Head of Technology",IF(ISNUMBER(SEARCH("TDD BP",$C481)),"Business Partner",IF(OR(ISNUMBER(SEARCH("domain architect",$C481)),ISNUMBER(SEARCH("enterprise architect",$C481))),"Domain Architect",IF(ISNUMBER(SEARCH("delivery man",$C481)),"Delivery Manager",IF(OR(ISNUMBER(SEARCH("technology manager",$C481)),ISNUMBER(SEARCH("technology manger",$C481)),ISNUMBER(SEARCH("tech manager",$C481))),"Technology Manager","Squad"))))))</f>
        <v>Squad</v>
      </c>
      <c r="AS481" t="str">
        <f>IF(TRIM($B481)="","",IFERROR(INDEX(Lists!$AA:$AA,MATCH($AP481,Lists!$Z:$Z,0)),$AP481))</f>
        <v>DevOps &amp; QE</v>
      </c>
      <c r="AT481" t="str">
        <f>IF(TRIM($B481)="","",IF(IFERROR(INDEX(Lists!$AP$2:$AP$4,MATCH(ROW(),Lists!$AN$2:$AN$4,0)),"")&lt;&gt;"",IFERROR(INDEX(Lists!$AP$2:$AP$4,MATCH(ROW(),Lists!$AN$2:$AN$4,0)),""),IF(OR(LEFT($AJ481,3)="COE",$AJ481="EGI"),$AP481,IF($AR481&lt;&gt;"Squad",$AR481,$AP481))))</f>
        <v>DevOps &amp; QE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>
        <f>IF(TRIM($B482)="","",IF(N($AU482)&gt;0,$AU482,IF(N($S482)&gt;0,$S482*Lists!$AG$15*(1+N($Z482)),N($U482)*(1+N($V482)+N($W482)+N($X482)+N($Z482))+N($Y482))))</f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IF(TRIM($B482)="","",IF(IFERROR(INDEX(Lists!$AO$2:$AO$4,MATCH(ROW(),Lists!$AN$2:$AN$4,0)),"")&lt;&gt;"",IFERROR(INDEX(Lists!$AO$2:$AO$4,MATCH(ROW(),Lists!$AN$2:$AN$4,0)),""),IFERROR(INDEX(Lists!$U:$U,MATCH(TRIM($I482),Lists!$T:$T,0)),TRIM($I482))))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",$C482)),"Head of Technology",IF(ISNUMBER(SEARCH("TDD BP",$C482)),"Business Partner",IF(OR(ISNUMBER(SEARCH("domain architect",$C482)),ISNUMBER(SEARCH("enterprise architect",$C482))),"Domain Architect",IF(ISNUMBER(SEARCH("delivery man",$C482)),"Delivery Manager",IF(OR(ISNUMBER(SEARCH("technology manager",$C482)),ISNUMBER(SEARCH("technology manger",$C482)),ISNUMBER(SEARCH("tech manager",$C482))),"Technology Manager","Squad"))))))</f>
        <v>Squad</v>
      </c>
      <c r="AS482" t="str">
        <f>IF(TRIM($B482)="","",IFERROR(INDEX(Lists!$AA:$AA,MATCH($AP482,Lists!$Z:$Z,0)),$AP482))</f>
        <v>DevOps &amp; QE</v>
      </c>
      <c r="AT482" t="str">
        <f>IF(TRIM($B482)="","",IF(IFERROR(INDEX(Lists!$AP$2:$AP$4,MATCH(ROW(),Lists!$AN$2:$AN$4,0)),"")&lt;&gt;"",IFERROR(INDEX(Lists!$AP$2:$AP$4,MATCH(ROW(),Lists!$AN$2:$AN$4,0)),""),IF(OR(LEFT($AJ482,3)="COE",$AJ482="EGI"),$AP482,IF($AR482&lt;&gt;"Squad",$AR482,$AP482))))</f>
        <v>DevOps &amp; QE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>
        <f>IF(TRIM($B483)="","",IF(N($AU483)&gt;0,$AU483,IF(N($S483)&gt;0,$S483*Lists!$AG$15*(1+N($Z483)),N($U483)*(1+N($V483)+N($W483)+N($X483)+N($Z483))+N($Y483))))</f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IF(TRIM($B483)="","",IF(IFERROR(INDEX(Lists!$AO$2:$AO$4,MATCH(ROW(),Lists!$AN$2:$AN$4,0)),"")&lt;&gt;"",IFERROR(INDEX(Lists!$AO$2:$AO$4,MATCH(ROW(),Lists!$AN$2:$AN$4,0)),""),IFERROR(INDEX(Lists!$U:$U,MATCH(TRIM($I483),Lists!$T:$T,0)),TRIM($I483))))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",$C483)),"Head of Technology",IF(ISNUMBER(SEARCH("TDD BP",$C483)),"Business Partner",IF(OR(ISNUMBER(SEARCH("domain architect",$C483)),ISNUMBER(SEARCH("enterprise architect",$C483))),"Domain Architect",IF(ISNUMBER(SEARCH("delivery man",$C483)),"Delivery Manager",IF(OR(ISNUMBER(SEARCH("technology manager",$C483)),ISNUMBER(SEARCH("technology manger",$C483)),ISNUMBER(SEARCH("tech manager",$C483))),"Technology Manager","Squad"))))))</f>
        <v>Squad</v>
      </c>
      <c r="AS483" t="str">
        <f>IF(TRIM($B483)="","",IFERROR(INDEX(Lists!$AA:$AA,MATCH($AP483,Lists!$Z:$Z,0)),$AP483))</f>
        <v>Integration &amp; Process Automation</v>
      </c>
      <c r="AT483" t="str">
        <f>IF(TRIM($B483)="","",IF(IFERROR(INDEX(Lists!$AP$2:$AP$4,MATCH(ROW(),Lists!$AN$2:$AN$4,0)),"")&lt;&gt;"",IFERROR(INDEX(Lists!$AP$2:$AP$4,MATCH(ROW(),Lists!$AN$2:$AN$4,0)),""),IF(OR(LEFT($AJ483,3)="COE",$AJ483="EGI"),$AP483,IF($AR483&lt;&gt;"Squad",$AR483,$AP483))))</f>
        <v>Integration &amp; Process Automation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>
        <f>IF(TRIM($B484)="","",IF(N($AU484)&gt;0,$AU484,IF(N($S484)&gt;0,$S484*Lists!$AG$15*(1+N($Z484)),N($U484)*(1+N($V484)+N($W484)+N($X484)+N($Z484))+N($Y484))))</f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IF(TRIM($B484)="","",IF(IFERROR(INDEX(Lists!$AO$2:$AO$4,MATCH(ROW(),Lists!$AN$2:$AN$4,0)),"")&lt;&gt;"",IFERROR(INDEX(Lists!$AO$2:$AO$4,MATCH(ROW(),Lists!$AN$2:$AN$4,0)),""),IFERROR(INDEX(Lists!$U:$U,MATCH(TRIM($I484),Lists!$T:$T,0)),TRIM($I484))))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",$C484)),"Head of Technology",IF(ISNUMBER(SEARCH("TDD BP",$C484)),"Business Partner",IF(OR(ISNUMBER(SEARCH("domain architect",$C484)),ISNUMBER(SEARCH("enterprise architect",$C484))),"Domain Architect",IF(ISNUMBER(SEARCH("delivery man",$C484)),"Delivery Manager",IF(OR(ISNUMBER(SEARCH("technology manager",$C484)),ISNUMBER(SEARCH("technology manger",$C484)),ISNUMBER(SEARCH("tech manager",$C484))),"Technology Manager","Squad"))))))</f>
        <v>Squad</v>
      </c>
      <c r="AS484" t="str">
        <f>IF(TRIM($B484)="","",IFERROR(INDEX(Lists!$AA:$AA,MATCH($AP484,Lists!$Z:$Z,0)),$AP484))</f>
        <v>Integration &amp; Process Automation</v>
      </c>
      <c r="AT484" t="str">
        <f>IF(TRIM($B484)="","",IF(IFERROR(INDEX(Lists!$AP$2:$AP$4,MATCH(ROW(),Lists!$AN$2:$AN$4,0)),"")&lt;&gt;"",IFERROR(INDEX(Lists!$AP$2:$AP$4,MATCH(ROW(),Lists!$AN$2:$AN$4,0)),""),IF(OR(LEFT($AJ484,3)="COE",$AJ484="EGI"),$AP484,IF($AR484&lt;&gt;"Squad",$AR484,$AP484))))</f>
        <v>Integration &amp; Process Automation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>
        <f>IF(TRIM($B485)="","",IF(N($AU485)&gt;0,$AU485,IF(N($S485)&gt;0,$S485*Lists!$AG$15*(1+N($Z485)),N($U485)*(1+N($V485)+N($W485)+N($X485)+N($Z485))+N($Y485))))</f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IF(TRIM($B485)="","",IF(IFERROR(INDEX(Lists!$AO$2:$AO$4,MATCH(ROW(),Lists!$AN$2:$AN$4,0)),"")&lt;&gt;"",IFERROR(INDEX(Lists!$AO$2:$AO$4,MATCH(ROW(),Lists!$AN$2:$AN$4,0)),""),IFERROR(INDEX(Lists!$U:$U,MATCH(TRIM($I485),Lists!$T:$T,0)),TRIM($I485))))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",$C485)),"Head of Technology",IF(ISNUMBER(SEARCH("TDD BP",$C485)),"Business Partner",IF(OR(ISNUMBER(SEARCH("domain architect",$C485)),ISNUMBER(SEARCH("enterprise architect",$C485))),"Domain Architect",IF(ISNUMBER(SEARCH("delivery man",$C485)),"Delivery Manager",IF(OR(ISNUMBER(SEARCH("technology manager",$C485)),ISNUMBER(SEARCH("technology manger",$C485)),ISNUMBER(SEARCH("tech manager",$C485))),"Technology Manager","Squad"))))))</f>
        <v>Squad</v>
      </c>
      <c r="AS485" t="str">
        <f>IF(TRIM($B485)="","",IFERROR(INDEX(Lists!$AA:$AA,MATCH($AP485,Lists!$Z:$Z,0)),$AP485))</f>
        <v>Integration &amp; Process Automation</v>
      </c>
      <c r="AT485" t="str">
        <f>IF(TRIM($B485)="","",IF(IFERROR(INDEX(Lists!$AP$2:$AP$4,MATCH(ROW(),Lists!$AN$2:$AN$4,0)),"")&lt;&gt;"",IFERROR(INDEX(Lists!$AP$2:$AP$4,MATCH(ROW(),Lists!$AN$2:$AN$4,0)),""),IF(OR(LEFT($AJ485,3)="COE",$AJ485="EGI"),$AP485,IF($AR485&lt;&gt;"Squad",$AR485,$AP485))))</f>
        <v>Integration &amp; Process Automation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>
        <f>IF(TRIM($B486)="","",IF(N($AU486)&gt;0,$AU486,IF(N($S486)&gt;0,$S486*Lists!$AG$15*(1+N($Z486)),N($U486)*(1+N($V486)+N($W486)+N($X486)+N($Z486))+N($Y486))))</f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IF(TRIM($B486)="","",IF(IFERROR(INDEX(Lists!$AO$2:$AO$4,MATCH(ROW(),Lists!$AN$2:$AN$4,0)),"")&lt;&gt;"",IFERROR(INDEX(Lists!$AO$2:$AO$4,MATCH(ROW(),Lists!$AN$2:$AN$4,0)),""),IFERROR(INDEX(Lists!$U:$U,MATCH(TRIM($I486),Lists!$T:$T,0)),TRIM($I486))))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",$C486)),"Head of Technology",IF(ISNUMBER(SEARCH("TDD BP",$C486)),"Business Partner",IF(OR(ISNUMBER(SEARCH("domain architect",$C486)),ISNUMBER(SEARCH("enterprise architect",$C486))),"Domain Architect",IF(ISNUMBER(SEARCH("delivery man",$C486)),"Delivery Manager",IF(OR(ISNUMBER(SEARCH("technology manager",$C486)),ISNUMBER(SEARCH("technology manger",$C486)),ISNUMBER(SEARCH("tech manager",$C486))),"Technology Manager","Squad"))))))</f>
        <v>Squad</v>
      </c>
      <c r="AS486" t="str">
        <f>IF(TRIM($B486)="","",IFERROR(INDEX(Lists!$AA:$AA,MATCH($AP486,Lists!$Z:$Z,0)),$AP486))</f>
        <v>Integration &amp; Process Automation</v>
      </c>
      <c r="AT486" t="str">
        <f>IF(TRIM($B486)="","",IF(IFERROR(INDEX(Lists!$AP$2:$AP$4,MATCH(ROW(),Lists!$AN$2:$AN$4,0)),"")&lt;&gt;"",IFERROR(INDEX(Lists!$AP$2:$AP$4,MATCH(ROW(),Lists!$AN$2:$AN$4,0)),""),IF(OR(LEFT($AJ486,3)="COE",$AJ486="EGI"),$AP486,IF($AR486&lt;&gt;"Squad",$AR486,$AP486))))</f>
        <v>Integration &amp; Process Automation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>
        <f>IF(TRIM($B487)="","",IF(N($AU487)&gt;0,$AU487,IF(N($S487)&gt;0,$S487*Lists!$AG$15*(1+N($Z487)),N($U487)*(1+N($V487)+N($W487)+N($X487)+N($Z487))+N($Y487))))</f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IF(TRIM($B487)="","",IF(IFERROR(INDEX(Lists!$AO$2:$AO$4,MATCH(ROW(),Lists!$AN$2:$AN$4,0)),"")&lt;&gt;"",IFERROR(INDEX(Lists!$AO$2:$AO$4,MATCH(ROW(),Lists!$AN$2:$AN$4,0)),""),IFERROR(INDEX(Lists!$U:$U,MATCH(TRIM($I487),Lists!$T:$T,0)),TRIM($I487))))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",$C487)),"Head of Technology",IF(ISNUMBER(SEARCH("TDD BP",$C487)),"Business Partner",IF(OR(ISNUMBER(SEARCH("domain architect",$C487)),ISNUMBER(SEARCH("enterprise architect",$C487))),"Domain Architect",IF(ISNUMBER(SEARCH("delivery man",$C487)),"Delivery Manager",IF(OR(ISNUMBER(SEARCH("technology manager",$C487)),ISNUMBER(SEARCH("technology manger",$C487)),ISNUMBER(SEARCH("tech manager",$C487))),"Technology Manager","Squad"))))))</f>
        <v>Squad</v>
      </c>
      <c r="AS487" t="str">
        <f>IF(TRIM($B487)="","",IFERROR(INDEX(Lists!$AA:$AA,MATCH($AP487,Lists!$Z:$Z,0)),$AP487))</f>
        <v>Integration &amp; Process Automation</v>
      </c>
      <c r="AT487" t="str">
        <f>IF(TRIM($B487)="","",IF(IFERROR(INDEX(Lists!$AP$2:$AP$4,MATCH(ROW(),Lists!$AN$2:$AN$4,0)),"")&lt;&gt;"",IFERROR(INDEX(Lists!$AP$2:$AP$4,MATCH(ROW(),Lists!$AN$2:$AN$4,0)),""),IF(OR(LEFT($AJ487,3)="COE",$AJ487="EGI"),$AP487,IF($AR487&lt;&gt;"Squad",$AR487,$AP487))))</f>
        <v>Integration &amp; Process Automation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>
        <f>IF(TRIM($B488)="","",IF(N($AU488)&gt;0,$AU488,IF(N($S488)&gt;0,$S488*Lists!$AG$15*(1+N($Z488)),N($U488)*(1+N($V488)+N($W488)+N($X488)+N($Z488))+N($Y488))))</f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IF(TRIM($B488)="","",IF(IFERROR(INDEX(Lists!$AO$2:$AO$4,MATCH(ROW(),Lists!$AN$2:$AN$4,0)),"")&lt;&gt;"",IFERROR(INDEX(Lists!$AO$2:$AO$4,MATCH(ROW(),Lists!$AN$2:$AN$4,0)),""),IFERROR(INDEX(Lists!$U:$U,MATCH(TRIM($I488),Lists!$T:$T,0)),TRIM($I488))))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",$C488)),"Head of Technology",IF(ISNUMBER(SEARCH("TDD BP",$C488)),"Business Partner",IF(OR(ISNUMBER(SEARCH("domain architect",$C488)),ISNUMBER(SEARCH("enterprise architect",$C488))),"Domain Architect",IF(ISNUMBER(SEARCH("delivery man",$C488)),"Delivery Manager",IF(OR(ISNUMBER(SEARCH("technology manager",$C488)),ISNUMBER(SEARCH("technology manger",$C488)),ISNUMBER(SEARCH("tech manager",$C488))),"Technology Manager","Squad"))))))</f>
        <v>Technology Manager</v>
      </c>
      <c r="AS488" t="str">
        <f>IF(TRIM($B488)="","",IFERROR(INDEX(Lists!$AA:$AA,MATCH($AP488,Lists!$Z:$Z,0)),$AP488))</f>
        <v>Integration &amp; Process Automation</v>
      </c>
      <c r="AT488" t="str">
        <f>IF(TRIM($B488)="","",IF(IFERROR(INDEX(Lists!$AP$2:$AP$4,MATCH(ROW(),Lists!$AN$2:$AN$4,0)),"")&lt;&gt;"",IFERROR(INDEX(Lists!$AP$2:$AP$4,MATCH(ROW(),Lists!$AN$2:$AN$4,0)),""),IF(OR(LEFT($AJ488,3)="COE",$AJ488="EGI"),$AP488,IF($AR488&lt;&gt;"Squad",$AR488,$AP488))))</f>
        <v>Technology Manager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>
        <f>IF(TRIM($B489)="","",IF(N($AU489)&gt;0,$AU489,IF(N($S489)&gt;0,$S489*Lists!$AG$15*(1+N($Z489)),N($U489)*(1+N($V489)+N($W489)+N($X489)+N($Z489))+N($Y489))))</f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IF(TRIM($B489)="","",IF(IFERROR(INDEX(Lists!$AO$2:$AO$4,MATCH(ROW(),Lists!$AN$2:$AN$4,0)),"")&lt;&gt;"",IFERROR(INDEX(Lists!$AO$2:$AO$4,MATCH(ROW(),Lists!$AN$2:$AN$4,0)),""),IFERROR(INDEX(Lists!$U:$U,MATCH(TRIM($I489),Lists!$T:$T,0)),TRIM($I489))))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",$C489)),"Head of Technology",IF(ISNUMBER(SEARCH("TDD BP",$C489)),"Business Partner",IF(OR(ISNUMBER(SEARCH("domain architect",$C489)),ISNUMBER(SEARCH("enterprise architect",$C489))),"Domain Architect",IF(ISNUMBER(SEARCH("delivery man",$C489)),"Delivery Manager",IF(OR(ISNUMBER(SEARCH("technology manager",$C489)),ISNUMBER(SEARCH("technology manger",$C489)),ISNUMBER(SEARCH("tech manager",$C489))),"Technology Manager","Squad"))))))</f>
        <v>Squad</v>
      </c>
      <c r="AS489" t="str">
        <f>IF(TRIM($B489)="","",IFERROR(INDEX(Lists!$AA:$AA,MATCH($AP489,Lists!$Z:$Z,0)),$AP489))</f>
        <v>Integration &amp; Process Automation</v>
      </c>
      <c r="AT489" t="str">
        <f>IF(TRIM($B489)="","",IF(IFERROR(INDEX(Lists!$AP$2:$AP$4,MATCH(ROW(),Lists!$AN$2:$AN$4,0)),"")&lt;&gt;"",IFERROR(INDEX(Lists!$AP$2:$AP$4,MATCH(ROW(),Lists!$AN$2:$AN$4,0)),""),IF(OR(LEFT($AJ489,3)="COE",$AJ489="EGI"),$AP489,IF($AR489&lt;&gt;"Squad",$AR489,$AP489))))</f>
        <v>Integration &amp; Process Automation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>
        <f>IF(TRIM($B490)="","",IF(N($AU490)&gt;0,$AU490,IF(N($S490)&gt;0,$S490*Lists!$AG$15*(1+N($Z490)),N($U490)*(1+N($V490)+N($W490)+N($X490)+N($Z490))+N($Y490))))</f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IF(TRIM($B490)="","",IF(IFERROR(INDEX(Lists!$AO$2:$AO$4,MATCH(ROW(),Lists!$AN$2:$AN$4,0)),"")&lt;&gt;"",IFERROR(INDEX(Lists!$AO$2:$AO$4,MATCH(ROW(),Lists!$AN$2:$AN$4,0)),""),IFERROR(INDEX(Lists!$U:$U,MATCH(TRIM($I490),Lists!$T:$T,0)),TRIM($I490))))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",$C490)),"Head of Technology",IF(ISNUMBER(SEARCH("TDD BP",$C490)),"Business Partner",IF(OR(ISNUMBER(SEARCH("domain architect",$C490)),ISNUMBER(SEARCH("enterprise architect",$C490))),"Domain Architect",IF(ISNUMBER(SEARCH("delivery man",$C490)),"Delivery Manager",IF(OR(ISNUMBER(SEARCH("technology manager",$C490)),ISNUMBER(SEARCH("technology manger",$C490)),ISNUMBER(SEARCH("tech manager",$C490))),"Technology Manager","Squad"))))))</f>
        <v>Squad</v>
      </c>
      <c r="AS490" t="str">
        <f>IF(TRIM($B490)="","",IFERROR(INDEX(Lists!$AA:$AA,MATCH($AP490,Lists!$Z:$Z,0)),$AP490))</f>
        <v>Integration &amp; Process Automation</v>
      </c>
      <c r="AT490" t="str">
        <f>IF(TRIM($B490)="","",IF(IFERROR(INDEX(Lists!$AP$2:$AP$4,MATCH(ROW(),Lists!$AN$2:$AN$4,0)),"")&lt;&gt;"",IFERROR(INDEX(Lists!$AP$2:$AP$4,MATCH(ROW(),Lists!$AN$2:$AN$4,0)),""),IF(OR(LEFT($AJ490,3)="COE",$AJ490="EGI"),$AP490,IF($AR490&lt;&gt;"Squad",$AR490,$AP490))))</f>
        <v>Integration &amp; Process Automation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>
        <f>IF(TRIM($B491)="","",IF(N($AU491)&gt;0,$AU491,IF(N($S491)&gt;0,$S491*Lists!$AG$15*(1+N($Z491)),N($U491)*(1+N($V491)+N($W491)+N($X491)+N($Z491))+N($Y491))))</f>
        <v>0</v>
      </c>
      <c r="AB491" s="423" t="n"/>
      <c r="AC491" s="1300" t="inlineStr">
        <is>
          <t>No cost in column AA - this role counts in the 525 headcount but contributes nothing to the $115.113m</t>
        </is>
      </c>
      <c r="AD491" s="741" t="n"/>
      <c r="AE491" s="741" t="n"/>
      <c r="AF491" s="741" t="n"/>
      <c r="AG491" s="741" t="n"/>
      <c r="AH491" s="741" t="n"/>
      <c r="AI491" s="741" t="n"/>
      <c r="AJ491" s="949" t="str">
        <f>IF(TRIM($B491)="","",IF(IFERROR(INDEX(Lists!$AO$2:$AO$4,MATCH(ROW(),Lists!$AN$2:$AN$4,0)),"")&lt;&gt;"",IFERROR(INDEX(Lists!$AO$2:$AO$4,MATCH(ROW(),Lists!$AN$2:$AN$4,0)),""),IFERROR(INDEX(Lists!$U:$U,MATCH(TRIM($I491),Lists!$T:$T,0)),TRIM($I491))))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",$C491)),"Head of Technology",IF(ISNUMBER(SEARCH("TDD BP",$C491)),"Business Partner",IF(OR(ISNUMBER(SEARCH("domain architect",$C491)),ISNUMBER(SEARCH("enterprise architect",$C491))),"Domain Architect",IF(ISNUMBER(SEARCH("delivery man",$C491)),"Delivery Manager",IF(OR(ISNUMBER(SEARCH("technology manager",$C491)),ISNUMBER(SEARCH("technology manger",$C491)),ISNUMBER(SEARCH("tech manager",$C491))),"Technology Manager","Squad"))))))</f>
        <v>Squad</v>
      </c>
      <c r="AS491" t="str">
        <f>IF(TRIM($B491)="","",IFERROR(INDEX(Lists!$AA:$AA,MATCH($AP491,Lists!$Z:$Z,0)),$AP491))</f>
        <v>Integration &amp; Process Automation</v>
      </c>
      <c r="AT491" t="str">
        <f>IF(TRIM($B491)="","",IF(IFERROR(INDEX(Lists!$AP$2:$AP$4,MATCH(ROW(),Lists!$AN$2:$AN$4,0)),"")&lt;&gt;"",IFERROR(INDEX(Lists!$AP$2:$AP$4,MATCH(ROW(),Lists!$AN$2:$AN$4,0)),""),IF(OR(LEFT($AJ491,3)="COE",$AJ491="EGI"),$AP491,IF($AR491&lt;&gt;"Squad",$AR491,$AP491))))</f>
        <v>Integration &amp; Process Automation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>
        <f>IF(TRIM($B492)="","",IF(N($AU492)&gt;0,$AU492,IF(N($S492)&gt;0,$S492*Lists!$AG$15*(1+N($Z492)),N($U492)*(1+N($V492)+N($W492)+N($X492)+N($Z492))+N($Y492))))</f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IF(TRIM($B492)="","",IF(IFERROR(INDEX(Lists!$AO$2:$AO$4,MATCH(ROW(),Lists!$AN$2:$AN$4,0)),"")&lt;&gt;"",IFERROR(INDEX(Lists!$AO$2:$AO$4,MATCH(ROW(),Lists!$AN$2:$AN$4,0)),""),IFERROR(INDEX(Lists!$U:$U,MATCH(TRIM($I492),Lists!$T:$T,0)),TRIM($I492))))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",$C492)),"Head of Technology",IF(ISNUMBER(SEARCH("TDD BP",$C492)),"Business Partner",IF(OR(ISNUMBER(SEARCH("domain architect",$C492)),ISNUMBER(SEARCH("enterprise architect",$C492))),"Domain Architect",IF(ISNUMBER(SEARCH("delivery man",$C492)),"Delivery Manager",IF(OR(ISNUMBER(SEARCH("technology manager",$C492)),ISNUMBER(SEARCH("technology manger",$C492)),ISNUMBER(SEARCH("tech manager",$C492))),"Technology Manager","Squad"))))))</f>
        <v>Squad</v>
      </c>
      <c r="AS492" t="str">
        <f>IF(TRIM($B492)="","",IFERROR(INDEX(Lists!$AA:$AA,MATCH($AP492,Lists!$Z:$Z,0)),$AP492))</f>
        <v>Workplace &amp; Enterprise Tooling</v>
      </c>
      <c r="AT492" t="str">
        <f>IF(TRIM($B492)="","",IF(IFERROR(INDEX(Lists!$AP$2:$AP$4,MATCH(ROW(),Lists!$AN$2:$AN$4,0)),"")&lt;&gt;"",IFERROR(INDEX(Lists!$AP$2:$AP$4,MATCH(ROW(),Lists!$AN$2:$AN$4,0)),""),IF(OR(LEFT($AJ492,3)="COE",$AJ492="EGI"),$AP492,IF($AR492&lt;&gt;"Squad",$AR492,$AP492))))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>
        <f>IF(TRIM($B493)="","",IF(N($AU493)&gt;0,$AU493,IF(N($S493)&gt;0,$S493*Lists!$AG$15*(1+N($Z493)),N($U493)*(1+N($V493)+N($W493)+N($X493)+N($Z493))+N($Y493))))</f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IF(TRIM($B493)="","",IF(IFERROR(INDEX(Lists!$AO$2:$AO$4,MATCH(ROW(),Lists!$AN$2:$AN$4,0)),"")&lt;&gt;"",IFERROR(INDEX(Lists!$AO$2:$AO$4,MATCH(ROW(),Lists!$AN$2:$AN$4,0)),""),IFERROR(INDEX(Lists!$U:$U,MATCH(TRIM($I493),Lists!$T:$T,0)),TRIM($I493))))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",$C493)),"Head of Technology",IF(ISNUMBER(SEARCH("TDD BP",$C493)),"Business Partner",IF(OR(ISNUMBER(SEARCH("domain architect",$C493)),ISNUMBER(SEARCH("enterprise architect",$C493))),"Domain Architect",IF(ISNUMBER(SEARCH("delivery man",$C493)),"Delivery Manager",IF(OR(ISNUMBER(SEARCH("technology manager",$C493)),ISNUMBER(SEARCH("technology manger",$C493)),ISNUMBER(SEARCH("tech manager",$C493))),"Technology Manager","Squad"))))))</f>
        <v>Squad</v>
      </c>
      <c r="AS493" t="str">
        <f>IF(TRIM($B493)="","",IFERROR(INDEX(Lists!$AA:$AA,MATCH($AP493,Lists!$Z:$Z,0)),$AP493))</f>
        <v>Workplace &amp; Enterprise Tooling</v>
      </c>
      <c r="AT493" t="str">
        <f>IF(TRIM($B493)="","",IF(IFERROR(INDEX(Lists!$AP$2:$AP$4,MATCH(ROW(),Lists!$AN$2:$AN$4,0)),"")&lt;&gt;"",IFERROR(INDEX(Lists!$AP$2:$AP$4,MATCH(ROW(),Lists!$AN$2:$AN$4,0)),""),IF(OR(LEFT($AJ493,3)="COE",$AJ493="EGI"),$AP493,IF($AR493&lt;&gt;"Squad",$AR493,$AP493))))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>
        <f>IF(TRIM($B494)="","",IF(N($AU494)&gt;0,$AU494,IF(N($S494)&gt;0,$S494*Lists!$AG$15*(1+N($Z494)),N($U494)*(1+N($V494)+N($W494)+N($X494)+N($Z494))+N($Y494))))</f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IF(TRIM($B494)="","",IF(IFERROR(INDEX(Lists!$AO$2:$AO$4,MATCH(ROW(),Lists!$AN$2:$AN$4,0)),"")&lt;&gt;"",IFERROR(INDEX(Lists!$AO$2:$AO$4,MATCH(ROW(),Lists!$AN$2:$AN$4,0)),""),IFERROR(INDEX(Lists!$U:$U,MATCH(TRIM($I494),Lists!$T:$T,0)),TRIM($I494))))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",$C494)),"Head of Technology",IF(ISNUMBER(SEARCH("TDD BP",$C494)),"Business Partner",IF(OR(ISNUMBER(SEARCH("domain architect",$C494)),ISNUMBER(SEARCH("enterprise architect",$C494))),"Domain Architect",IF(ISNUMBER(SEARCH("delivery man",$C494)),"Delivery Manager",IF(OR(ISNUMBER(SEARCH("technology manager",$C494)),ISNUMBER(SEARCH("technology manger",$C494)),ISNUMBER(SEARCH("tech manager",$C494))),"Technology Manager","Squad"))))))</f>
        <v>Squad</v>
      </c>
      <c r="AS494" t="str">
        <f>IF(TRIM($B494)="","",IFERROR(INDEX(Lists!$AA:$AA,MATCH($AP494,Lists!$Z:$Z,0)),$AP494))</f>
        <v>Workplace &amp; Enterprise Tooling</v>
      </c>
      <c r="AT494" t="str">
        <f>IF(TRIM($B494)="","",IF(IFERROR(INDEX(Lists!$AP$2:$AP$4,MATCH(ROW(),Lists!$AN$2:$AN$4,0)),"")&lt;&gt;"",IFERROR(INDEX(Lists!$AP$2:$AP$4,MATCH(ROW(),Lists!$AN$2:$AN$4,0)),""),IF(OR(LEFT($AJ494,3)="COE",$AJ494="EGI"),$AP494,IF($AR494&lt;&gt;"Squad",$AR494,$AP494))))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>
        <f>IF(TRIM($B495)="","",IF(N($AU495)&gt;0,$AU495,IF(N($S495)&gt;0,$S495*Lists!$AG$15*(1+N($Z495)),N($U495)*(1+N($V495)+N($W495)+N($X495)+N($Z495))+N($Y495))))</f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IF(TRIM($B495)="","",IF(IFERROR(INDEX(Lists!$AO$2:$AO$4,MATCH(ROW(),Lists!$AN$2:$AN$4,0)),"")&lt;&gt;"",IFERROR(INDEX(Lists!$AO$2:$AO$4,MATCH(ROW(),Lists!$AN$2:$AN$4,0)),""),IFERROR(INDEX(Lists!$U:$U,MATCH(TRIM($I495),Lists!$T:$T,0)),TRIM($I495))))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",$C495)),"Head of Technology",IF(ISNUMBER(SEARCH("TDD BP",$C495)),"Business Partner",IF(OR(ISNUMBER(SEARCH("domain architect",$C495)),ISNUMBER(SEARCH("enterprise architect",$C495))),"Domain Architect",IF(ISNUMBER(SEARCH("delivery man",$C495)),"Delivery Manager",IF(OR(ISNUMBER(SEARCH("technology manager",$C495)),ISNUMBER(SEARCH("technology manger",$C495)),ISNUMBER(SEARCH("tech manager",$C495))),"Technology Manager","Squad"))))))</f>
        <v>Squad</v>
      </c>
      <c r="AS495" t="str">
        <f>IF(TRIM($B495)="","",IFERROR(INDEX(Lists!$AA:$AA,MATCH($AP495,Lists!$Z:$Z,0)),$AP495))</f>
        <v>SAP ERP</v>
      </c>
      <c r="AT495" t="str">
        <f>IF(TRIM($B495)="","",IF(IFERROR(INDEX(Lists!$AP$2:$AP$4,MATCH(ROW(),Lists!$AN$2:$AN$4,0)),"")&lt;&gt;"",IFERROR(INDEX(Lists!$AP$2:$AP$4,MATCH(ROW(),Lists!$AN$2:$AN$4,0)),""),IF(OR(LEFT($AJ495,3)="COE",$AJ495="EGI"),$AP495,IF($AR495&lt;&gt;"Squad",$AR495,$AP495))))</f>
        <v>SAP ERP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>
        <f>IF(TRIM($B496)="","",IF(N($AU496)&gt;0,$AU496,IF(N($S496)&gt;0,$S496*Lists!$AG$15*(1+N($Z496)),N($U496)*(1+N($V496)+N($W496)+N($X496)+N($Z496))+N($Y496))))</f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IF(TRIM($B496)="","",IF(IFERROR(INDEX(Lists!$AO$2:$AO$4,MATCH(ROW(),Lists!$AN$2:$AN$4,0)),"")&lt;&gt;"",IFERROR(INDEX(Lists!$AO$2:$AO$4,MATCH(ROW(),Lists!$AN$2:$AN$4,0)),""),IFERROR(INDEX(Lists!$U:$U,MATCH(TRIM($I496),Lists!$T:$T,0)),TRIM($I496))))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",$C496)),"Head of Technology",IF(ISNUMBER(SEARCH("TDD BP",$C496)),"Business Partner",IF(OR(ISNUMBER(SEARCH("domain architect",$C496)),ISNUMBER(SEARCH("enterprise architect",$C496))),"Domain Architect",IF(ISNUMBER(SEARCH("delivery man",$C496)),"Delivery Manager",IF(OR(ISNUMBER(SEARCH("technology manager",$C496)),ISNUMBER(SEARCH("technology manger",$C496)),ISNUMBER(SEARCH("tech manager",$C496))),"Technology Manager","Squad"))))))</f>
        <v>Squad</v>
      </c>
      <c r="AS496" t="str">
        <f>IF(TRIM($B496)="","",IFERROR(INDEX(Lists!$AA:$AA,MATCH($AP496,Lists!$Z:$Z,0)),$AP496))</f>
        <v>SAP ERP</v>
      </c>
      <c r="AT496" t="str">
        <f>IF(TRIM($B496)="","",IF(IFERROR(INDEX(Lists!$AP$2:$AP$4,MATCH(ROW(),Lists!$AN$2:$AN$4,0)),"")&lt;&gt;"",IFERROR(INDEX(Lists!$AP$2:$AP$4,MATCH(ROW(),Lists!$AN$2:$AN$4,0)),""),IF(OR(LEFT($AJ496,3)="COE",$AJ496="EGI"),$AP496,IF($AR496&lt;&gt;"Squad",$AR496,$AP496))))</f>
        <v>SAP ERP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>
        <f>IF(TRIM($B497)="","",IF(N($AU497)&gt;0,$AU497,IF(N($S497)&gt;0,$S497*Lists!$AG$15*(1+N($Z497)),N($U497)*(1+N($V497)+N($W497)+N($X497)+N($Z497))+N($Y497))))</f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IF(TRIM($B497)="","",IF(IFERROR(INDEX(Lists!$AO$2:$AO$4,MATCH(ROW(),Lists!$AN$2:$AN$4,0)),"")&lt;&gt;"",IFERROR(INDEX(Lists!$AO$2:$AO$4,MATCH(ROW(),Lists!$AN$2:$AN$4,0)),""),IFERROR(INDEX(Lists!$U:$U,MATCH(TRIM($I497),Lists!$T:$T,0)),TRIM($I497))))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",$C497)),"Head of Technology",IF(ISNUMBER(SEARCH("TDD BP",$C497)),"Business Partner",IF(OR(ISNUMBER(SEARCH("domain architect",$C497)),ISNUMBER(SEARCH("enterprise architect",$C497))),"Domain Architect",IF(ISNUMBER(SEARCH("delivery man",$C497)),"Delivery Manager",IF(OR(ISNUMBER(SEARCH("technology manager",$C497)),ISNUMBER(SEARCH("technology manger",$C497)),ISNUMBER(SEARCH("tech manager",$C497))),"Technology Manager","Squad"))))))</f>
        <v>Squad</v>
      </c>
      <c r="AS497" t="str">
        <f>IF(TRIM($B497)="","",IFERROR(INDEX(Lists!$AA:$AA,MATCH($AP497,Lists!$Z:$Z,0)),$AP497))</f>
        <v>SAP ERP</v>
      </c>
      <c r="AT497" t="str">
        <f>IF(TRIM($B497)="","",IF(IFERROR(INDEX(Lists!$AP$2:$AP$4,MATCH(ROW(),Lists!$AN$2:$AN$4,0)),"")&lt;&gt;"",IFERROR(INDEX(Lists!$AP$2:$AP$4,MATCH(ROW(),Lists!$AN$2:$AN$4,0)),""),IF(OR(LEFT($AJ497,3)="COE",$AJ497="EGI"),$AP497,IF($AR497&lt;&gt;"Squad",$AR497,$AP497))))</f>
        <v>SAP ERP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>
        <f>IF(TRIM($B498)="","",IF(N($AU498)&gt;0,$AU498,IF(N($S498)&gt;0,$S498*Lists!$AG$15*(1+N($Z498)),N($U498)*(1+N($V498)+N($W498)+N($X498)+N($Z498))+N($Y498))))</f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IF(TRIM($B498)="","",IF(IFERROR(INDEX(Lists!$AO$2:$AO$4,MATCH(ROW(),Lists!$AN$2:$AN$4,0)),"")&lt;&gt;"",IFERROR(INDEX(Lists!$AO$2:$AO$4,MATCH(ROW(),Lists!$AN$2:$AN$4,0)),""),IFERROR(INDEX(Lists!$U:$U,MATCH(TRIM($I498),Lists!$T:$T,0)),TRIM($I498))))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",$C498)),"Head of Technology",IF(ISNUMBER(SEARCH("TDD BP",$C498)),"Business Partner",IF(OR(ISNUMBER(SEARCH("domain architect",$C498)),ISNUMBER(SEARCH("enterprise architect",$C498))),"Domain Architect",IF(ISNUMBER(SEARCH("delivery man",$C498)),"Delivery Manager",IF(OR(ISNUMBER(SEARCH("technology manager",$C498)),ISNUMBER(SEARCH("technology manger",$C498)),ISNUMBER(SEARCH("tech manager",$C498))),"Technology Manager","Squad"))))))</f>
        <v>Squad</v>
      </c>
      <c r="AS498" t="str">
        <f>IF(TRIM($B498)="","",IFERROR(INDEX(Lists!$AA:$AA,MATCH($AP498,Lists!$Z:$Z,0)),$AP498))</f>
        <v>SAP ERP</v>
      </c>
      <c r="AT498" t="str">
        <f>IF(TRIM($B498)="","",IF(IFERROR(INDEX(Lists!$AP$2:$AP$4,MATCH(ROW(),Lists!$AN$2:$AN$4,0)),"")&lt;&gt;"",IFERROR(INDEX(Lists!$AP$2:$AP$4,MATCH(ROW(),Lists!$AN$2:$AN$4,0)),""),IF(OR(LEFT($AJ498,3)="COE",$AJ498="EGI"),$AP498,IF($AR498&lt;&gt;"Squad",$AR498,$AP498))))</f>
        <v>SAP ERP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>
        <f>IF(TRIM($B499)="","",IF(N($AU499)&gt;0,$AU499,IF(N($S499)&gt;0,$S499*Lists!$AG$15*(1+N($Z499)),N($U499)*(1+N($V499)+N($W499)+N($X499)+N($Z499))+N($Y499))))</f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IF(TRIM($B499)="","",IF(IFERROR(INDEX(Lists!$AO$2:$AO$4,MATCH(ROW(),Lists!$AN$2:$AN$4,0)),"")&lt;&gt;"",IFERROR(INDEX(Lists!$AO$2:$AO$4,MATCH(ROW(),Lists!$AN$2:$AN$4,0)),""),IFERROR(INDEX(Lists!$U:$U,MATCH(TRIM($I499),Lists!$T:$T,0)),TRIM($I499))))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",$C499)),"Head of Technology",IF(ISNUMBER(SEARCH("TDD BP",$C499)),"Business Partner",IF(OR(ISNUMBER(SEARCH("domain architect",$C499)),ISNUMBER(SEARCH("enterprise architect",$C499))),"Domain Architect",IF(ISNUMBER(SEARCH("delivery man",$C499)),"Delivery Manager",IF(OR(ISNUMBER(SEARCH("technology manager",$C499)),ISNUMBER(SEARCH("technology manger",$C499)),ISNUMBER(SEARCH("tech manager",$C499))),"Technology Manager","Squad"))))))</f>
        <v>Squad</v>
      </c>
      <c r="AS499" t="str">
        <f>IF(TRIM($B499)="","",IFERROR(INDEX(Lists!$AA:$AA,MATCH($AP499,Lists!$Z:$Z,0)),$AP499))</f>
        <v>SAP ERP</v>
      </c>
      <c r="AT499" t="str">
        <f>IF(TRIM($B499)="","",IF(IFERROR(INDEX(Lists!$AP$2:$AP$4,MATCH(ROW(),Lists!$AN$2:$AN$4,0)),"")&lt;&gt;"",IFERROR(INDEX(Lists!$AP$2:$AP$4,MATCH(ROW(),Lists!$AN$2:$AN$4,0)),""),IF(OR(LEFT($AJ499,3)="COE",$AJ499="EGI"),$AP499,IF($AR499&lt;&gt;"Squad",$AR499,$AP499))))</f>
        <v>SAP ERP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>
        <f>IF(TRIM($B500)="","",IF(N($AU500)&gt;0,$AU500,IF(N($S500)&gt;0,$S500*Lists!$AG$15*(1+N($Z500)),N($U500)*(1+N($V500)+N($W500)+N($X500)+N($Z500))+N($Y500))))</f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IF(TRIM($B500)="","",IF(IFERROR(INDEX(Lists!$AO$2:$AO$4,MATCH(ROW(),Lists!$AN$2:$AN$4,0)),"")&lt;&gt;"",IFERROR(INDEX(Lists!$AO$2:$AO$4,MATCH(ROW(),Lists!$AN$2:$AN$4,0)),""),IFERROR(INDEX(Lists!$U:$U,MATCH(TRIM($I500),Lists!$T:$T,0)),TRIM($I500))))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",$C500)),"Head of Technology",IF(ISNUMBER(SEARCH("TDD BP",$C500)),"Business Partner",IF(OR(ISNUMBER(SEARCH("domain architect",$C500)),ISNUMBER(SEARCH("enterprise architect",$C500))),"Domain Architect",IF(ISNUMBER(SEARCH("delivery man",$C500)),"Delivery Manager",IF(OR(ISNUMBER(SEARCH("technology manager",$C500)),ISNUMBER(SEARCH("technology manger",$C500)),ISNUMBER(SEARCH("tech manager",$C500))),"Technology Manager","Squad"))))))</f>
        <v>Squad</v>
      </c>
      <c r="AS500" t="str">
        <f>IF(TRIM($B500)="","",IFERROR(INDEX(Lists!$AA:$AA,MATCH($AP500,Lists!$Z:$Z,0)),$AP500))</f>
        <v>NZ Finance</v>
      </c>
      <c r="AT500" t="str">
        <f>IF(TRIM($B500)="","",IF(IFERROR(INDEX(Lists!$AP$2:$AP$4,MATCH(ROW(),Lists!$AN$2:$AN$4,0)),"")&lt;&gt;"",IFERROR(INDEX(Lists!$AP$2:$AP$4,MATCH(ROW(),Lists!$AN$2:$AN$4,0)),""),IF(OR(LEFT($AJ500,3)="COE",$AJ500="EGI"),$AP500,IF($AR500&lt;&gt;"Squad",$AR500,$AP500))))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>
        <f>IF(TRIM($B501)="","",IF(N($AU501)&gt;0,$AU501,IF(N($S501)&gt;0,$S501*Lists!$AG$15*(1+N($Z501)),N($U501)*(1+N($V501)+N($W501)+N($X501)+N($Z501))+N($Y501))))</f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IF(TRIM($B501)="","",IF(IFERROR(INDEX(Lists!$AO$2:$AO$4,MATCH(ROW(),Lists!$AN$2:$AN$4,0)),"")&lt;&gt;"",IFERROR(INDEX(Lists!$AO$2:$AO$4,MATCH(ROW(),Lists!$AN$2:$AN$4,0)),""),IFERROR(INDEX(Lists!$U:$U,MATCH(TRIM($I501),Lists!$T:$T,0)),TRIM($I501))))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",$C501)),"Head of Technology",IF(ISNUMBER(SEARCH("TDD BP",$C501)),"Business Partner",IF(OR(ISNUMBER(SEARCH("domain architect",$C501)),ISNUMBER(SEARCH("enterprise architect",$C501))),"Domain Architect",IF(ISNUMBER(SEARCH("delivery man",$C501)),"Delivery Manager",IF(OR(ISNUMBER(SEARCH("technology manager",$C501)),ISNUMBER(SEARCH("technology manger",$C501)),ISNUMBER(SEARCH("tech manager",$C501))),"Technology Manager","Squad"))))))</f>
        <v>Squad</v>
      </c>
      <c r="AS501" t="str">
        <f>IF(TRIM($B501)="","",IFERROR(INDEX(Lists!$AA:$AA,MATCH($AP501,Lists!$Z:$Z,0)),$AP501))</f>
        <v>SAP ERP</v>
      </c>
      <c r="AT501" t="str">
        <f>IF(TRIM($B501)="","",IF(IFERROR(INDEX(Lists!$AP$2:$AP$4,MATCH(ROW(),Lists!$AN$2:$AN$4,0)),"")&lt;&gt;"",IFERROR(INDEX(Lists!$AP$2:$AP$4,MATCH(ROW(),Lists!$AN$2:$AN$4,0)),""),IF(OR(LEFT($AJ501,3)="COE",$AJ501="EGI"),$AP501,IF($AR501&lt;&gt;"Squad",$AR501,$AP501))))</f>
        <v>SAP ERP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>
        <f>IF(TRIM($B502)="","",IF(N($AU502)&gt;0,$AU502,IF(N($S502)&gt;0,$S502*Lists!$AG$15*(1+N($Z502)),N($U502)*(1+N($V502)+N($W502)+N($X502)+N($Z502))+N($Y502))))</f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IF(TRIM($B502)="","",IF(IFERROR(INDEX(Lists!$AO$2:$AO$4,MATCH(ROW(),Lists!$AN$2:$AN$4,0)),"")&lt;&gt;"",IFERROR(INDEX(Lists!$AO$2:$AO$4,MATCH(ROW(),Lists!$AN$2:$AN$4,0)),""),IFERROR(INDEX(Lists!$U:$U,MATCH(TRIM($I502),Lists!$T:$T,0)),TRIM($I502))))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",$C502)),"Head of Technology",IF(ISNUMBER(SEARCH("TDD BP",$C502)),"Business Partner",IF(OR(ISNUMBER(SEARCH("domain architect",$C502)),ISNUMBER(SEARCH("enterprise architect",$C502))),"Domain Architect",IF(ISNUMBER(SEARCH("delivery man",$C502)),"Delivery Manager",IF(OR(ISNUMBER(SEARCH("technology manager",$C502)),ISNUMBER(SEARCH("technology manger",$C502)),ISNUMBER(SEARCH("tech manager",$C502))),"Technology Manager","Squad"))))))</f>
        <v>Squad</v>
      </c>
      <c r="AS502" t="str">
        <f>IF(TRIM($B502)="","",IFERROR(INDEX(Lists!$AA:$AA,MATCH($AP502,Lists!$Z:$Z,0)),$AP502))</f>
        <v>P&amp;C RTA</v>
      </c>
      <c r="AT502" t="str">
        <f>IF(TRIM($B502)="","",IF(IFERROR(INDEX(Lists!$AP$2:$AP$4,MATCH(ROW(),Lists!$AN$2:$AN$4,0)),"")&lt;&gt;"",IFERROR(INDEX(Lists!$AP$2:$AP$4,MATCH(ROW(),Lists!$AN$2:$AN$4,0)),""),IF(OR(LEFT($AJ502,3)="COE",$AJ502="EGI"),$AP502,IF($AR502&lt;&gt;"Squad",$AR502,$AP502))))</f>
        <v>P&amp;C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>
        <f>IF(TRIM($B503)="","",IF(N($AU503)&gt;0,$AU503,IF(N($S503)&gt;0,$S503*Lists!$AG$15*(1+N($Z503)),N($U503)*(1+N($V503)+N($W503)+N($X503)+N($Z503))+N($Y503))))</f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IF(TRIM($B503)="","",IF(IFERROR(INDEX(Lists!$AO$2:$AO$4,MATCH(ROW(),Lists!$AN$2:$AN$4,0)),"")&lt;&gt;"",IFERROR(INDEX(Lists!$AO$2:$AO$4,MATCH(ROW(),Lists!$AN$2:$AN$4,0)),""),IFERROR(INDEX(Lists!$U:$U,MATCH(TRIM($I503),Lists!$T:$T,0)),TRIM($I503))))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",$C503)),"Head of Technology",IF(ISNUMBER(SEARCH("TDD BP",$C503)),"Business Partner",IF(OR(ISNUMBER(SEARCH("domain architect",$C503)),ISNUMBER(SEARCH("enterprise architect",$C503))),"Domain Architect",IF(ISNUMBER(SEARCH("delivery man",$C503)),"Delivery Manager",IF(OR(ISNUMBER(SEARCH("technology manager",$C503)),ISNUMBER(SEARCH("technology manger",$C503)),ISNUMBER(SEARCH("tech manager",$C503))),"Technology Manager","Squad"))))))</f>
        <v>Squad</v>
      </c>
      <c r="AS503" t="str">
        <f>IF(TRIM($B503)="","",IFERROR(INDEX(Lists!$AA:$AA,MATCH($AP503,Lists!$Z:$Z,0)),$AP503))</f>
        <v>P&amp;C RTA</v>
      </c>
      <c r="AT503" t="str">
        <f>IF(TRIM($B503)="","",IF(IFERROR(INDEX(Lists!$AP$2:$AP$4,MATCH(ROW(),Lists!$AN$2:$AN$4,0)),"")&lt;&gt;"",IFERROR(INDEX(Lists!$AP$2:$AP$4,MATCH(ROW(),Lists!$AN$2:$AN$4,0)),""),IF(OR(LEFT($AJ503,3)="COE",$AJ503="EGI"),$AP503,IF($AR503&lt;&gt;"Squad",$AR503,$AP503))))</f>
        <v>P&amp;C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>
        <f>IF(TRIM($B504)="","",IF(N($AU504)&gt;0,$AU504,IF(N($S504)&gt;0,$S504*Lists!$AG$15*(1+N($Z504)),N($U504)*(1+N($V504)+N($W504)+N($X504)+N($Z504))+N($Y504))))</f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IF(TRIM($B504)="","",IF(IFERROR(INDEX(Lists!$AO$2:$AO$4,MATCH(ROW(),Lists!$AN$2:$AN$4,0)),"")&lt;&gt;"",IFERROR(INDEX(Lists!$AO$2:$AO$4,MATCH(ROW(),Lists!$AN$2:$AN$4,0)),""),IFERROR(INDEX(Lists!$U:$U,MATCH(TRIM($I504),Lists!$T:$T,0)),TRIM($I504))))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",$C504)),"Head of Technology",IF(ISNUMBER(SEARCH("TDD BP",$C504)),"Business Partner",IF(OR(ISNUMBER(SEARCH("domain architect",$C504)),ISNUMBER(SEARCH("enterprise architect",$C504))),"Domain Architect",IF(ISNUMBER(SEARCH("delivery man",$C504)),"Delivery Manager",IF(OR(ISNUMBER(SEARCH("technology manager",$C504)),ISNUMBER(SEARCH("technology manger",$C504)),ISNUMBER(SEARCH("tech manager",$C504))),"Technology Manager","Squad"))))))</f>
        <v>Squad</v>
      </c>
      <c r="AS504" t="str">
        <f>IF(TRIM($B504)="","",IFERROR(INDEX(Lists!$AA:$AA,MATCH($AP504,Lists!$Z:$Z,0)),$AP504))</f>
        <v>P&amp;C</v>
      </c>
      <c r="AT504" t="str">
        <f>IF(TRIM($B504)="","",IF(IFERROR(INDEX(Lists!$AP$2:$AP$4,MATCH(ROW(),Lists!$AN$2:$AN$4,0)),"")&lt;&gt;"",IFERROR(INDEX(Lists!$AP$2:$AP$4,MATCH(ROW(),Lists!$AN$2:$AN$4,0)),""),IF(OR(LEFT($AJ504,3)="COE",$AJ504="EGI"),$AP504,IF($AR504&lt;&gt;"Squad",$AR504,$AP504))))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>
        <f>IF(TRIM($B505)="","",IF(N($AU505)&gt;0,$AU505,IF(N($S505)&gt;0,$S505*Lists!$AG$15*(1+N($Z505)),N($U505)*(1+N($V505)+N($W505)+N($X505)+N($Z505))+N($Y505))))</f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IF(TRIM($B505)="","",IF(IFERROR(INDEX(Lists!$AO$2:$AO$4,MATCH(ROW(),Lists!$AN$2:$AN$4,0)),"")&lt;&gt;"",IFERROR(INDEX(Lists!$AO$2:$AO$4,MATCH(ROW(),Lists!$AN$2:$AN$4,0)),""),IFERROR(INDEX(Lists!$U:$U,MATCH(TRIM($I505),Lists!$T:$T,0)),TRIM($I505))))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",$C505)),"Head of Technology",IF(ISNUMBER(SEARCH("TDD BP",$C505)),"Business Partner",IF(OR(ISNUMBER(SEARCH("domain architect",$C505)),ISNUMBER(SEARCH("enterprise architect",$C505))),"Domain Architect",IF(ISNUMBER(SEARCH("delivery man",$C505)),"Delivery Manager",IF(OR(ISNUMBER(SEARCH("technology manager",$C505)),ISNUMBER(SEARCH("technology manger",$C505)),ISNUMBER(SEARCH("tech manager",$C505))),"Technology Manager","Squad"))))))</f>
        <v>Squad</v>
      </c>
      <c r="AS505" t="str">
        <f>IF(TRIM($B505)="","",IFERROR(INDEX(Lists!$AA:$AA,MATCH($AP505,Lists!$Z:$Z,0)),$AP505))</f>
        <v>P&amp;C</v>
      </c>
      <c r="AT505" t="str">
        <f>IF(TRIM($B505)="","",IF(IFERROR(INDEX(Lists!$AP$2:$AP$4,MATCH(ROW(),Lists!$AN$2:$AN$4,0)),"")&lt;&gt;"",IFERROR(INDEX(Lists!$AP$2:$AP$4,MATCH(ROW(),Lists!$AN$2:$AN$4,0)),""),IF(OR(LEFT($AJ505,3)="COE",$AJ505="EGI"),$AP505,IF($AR505&lt;&gt;"Squad",$AR505,$AP505))))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>
        <f>IF(TRIM($B506)="","",IF(N($AU506)&gt;0,$AU506,IF(N($S506)&gt;0,$S506*Lists!$AG$15*(1+N($Z506)),N($U506)*(1+N($V506)+N($W506)+N($X506)+N($Z506))+N($Y506))))</f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IF(TRIM($B506)="","",IF(IFERROR(INDEX(Lists!$AO$2:$AO$4,MATCH(ROW(),Lists!$AN$2:$AN$4,0)),"")&lt;&gt;"",IFERROR(INDEX(Lists!$AO$2:$AO$4,MATCH(ROW(),Lists!$AN$2:$AN$4,0)),""),IFERROR(INDEX(Lists!$U:$U,MATCH(TRIM($I506),Lists!$T:$T,0)),TRIM($I506))))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",$C506)),"Head of Technology",IF(ISNUMBER(SEARCH("TDD BP",$C506)),"Business Partner",IF(OR(ISNUMBER(SEARCH("domain architect",$C506)),ISNUMBER(SEARCH("enterprise architect",$C506))),"Domain Architect",IF(ISNUMBER(SEARCH("delivery man",$C506)),"Delivery Manager",IF(OR(ISNUMBER(SEARCH("technology manager",$C506)),ISNUMBER(SEARCH("technology manger",$C506)),ISNUMBER(SEARCH("tech manager",$C506))),"Technology Manager","Squad"))))))</f>
        <v>Squad</v>
      </c>
      <c r="AS506" t="str">
        <f>IF(TRIM($B506)="","",IFERROR(INDEX(Lists!$AA:$AA,MATCH($AP506,Lists!$Z:$Z,0)),$AP506))</f>
        <v>P&amp;C RTA</v>
      </c>
      <c r="AT506" t="str">
        <f>IF(TRIM($B506)="","",IF(IFERROR(INDEX(Lists!$AP$2:$AP$4,MATCH(ROW(),Lists!$AN$2:$AN$4,0)),"")&lt;&gt;"",IFERROR(INDEX(Lists!$AP$2:$AP$4,MATCH(ROW(),Lists!$AN$2:$AN$4,0)),""),IF(OR(LEFT($AJ506,3)="COE",$AJ506="EGI"),$AP506,IF($AR506&lt;&gt;"Squad",$AR506,$AP506))))</f>
        <v>P&amp;C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>
        <f>IF(TRIM($B507)="","",IF(N($AU507)&gt;0,$AU507,IF(N($S507)&gt;0,$S507*Lists!$AG$15*(1+N($Z507)),N($U507)*(1+N($V507)+N($W507)+N($X507)+N($Z507))+N($Y507))))</f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IF(TRIM($B507)="","",IF(IFERROR(INDEX(Lists!$AO$2:$AO$4,MATCH(ROW(),Lists!$AN$2:$AN$4,0)),"")&lt;&gt;"",IFERROR(INDEX(Lists!$AO$2:$AO$4,MATCH(ROW(),Lists!$AN$2:$AN$4,0)),""),IFERROR(INDEX(Lists!$U:$U,MATCH(TRIM($I507),Lists!$T:$T,0)),TRIM($I507))))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",$C507)),"Head of Technology",IF(ISNUMBER(SEARCH("TDD BP",$C507)),"Business Partner",IF(OR(ISNUMBER(SEARCH("domain architect",$C507)),ISNUMBER(SEARCH("enterprise architect",$C507))),"Domain Architect",IF(ISNUMBER(SEARCH("delivery man",$C507)),"Delivery Manager",IF(OR(ISNUMBER(SEARCH("technology manager",$C507)),ISNUMBER(SEARCH("technology manger",$C507)),ISNUMBER(SEARCH("tech manager",$C507))),"Technology Manager","Squad"))))))</f>
        <v>Squad</v>
      </c>
      <c r="AS507" t="str">
        <f>IF(TRIM($B507)="","",IFERROR(INDEX(Lists!$AA:$AA,MATCH($AP507,Lists!$Z:$Z,0)),$AP507))</f>
        <v>P&amp;C</v>
      </c>
      <c r="AT507" t="str">
        <f>IF(TRIM($B507)="","",IF(IFERROR(INDEX(Lists!$AP$2:$AP$4,MATCH(ROW(),Lists!$AN$2:$AN$4,0)),"")&lt;&gt;"",IFERROR(INDEX(Lists!$AP$2:$AP$4,MATCH(ROW(),Lists!$AN$2:$AN$4,0)),""),IF(OR(LEFT($AJ507,3)="COE",$AJ507="EGI"),$AP507,IF($AR507&lt;&gt;"Squad",$AR507,$AP507))))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>
        <f>IF(TRIM($B508)="","",IF(N($AU508)&gt;0,$AU508,IF(N($S508)&gt;0,$S508*Lists!$AG$15*(1+N($Z508)),N($U508)*(1+N($V508)+N($W508)+N($X508)+N($Z508))+N($Y508))))</f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IF(TRIM($B508)="","",IF(IFERROR(INDEX(Lists!$AO$2:$AO$4,MATCH(ROW(),Lists!$AN$2:$AN$4,0)),"")&lt;&gt;"",IFERROR(INDEX(Lists!$AO$2:$AO$4,MATCH(ROW(),Lists!$AN$2:$AN$4,0)),""),IFERROR(INDEX(Lists!$U:$U,MATCH(TRIM($I508),Lists!$T:$T,0)),TRIM($I508))))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",$C508)),"Head of Technology",IF(ISNUMBER(SEARCH("TDD BP",$C508)),"Business Partner",IF(OR(ISNUMBER(SEARCH("domain architect",$C508)),ISNUMBER(SEARCH("enterprise architect",$C508))),"Domain Architect",IF(ISNUMBER(SEARCH("delivery man",$C508)),"Delivery Manager",IF(OR(ISNUMBER(SEARCH("technology manager",$C508)),ISNUMBER(SEARCH("technology manger",$C508)),ISNUMBER(SEARCH("tech manager",$C508))),"Technology Manager","Squad"))))))</f>
        <v>Squad</v>
      </c>
      <c r="AS508" t="str">
        <f>IF(TRIM($B508)="","",IFERROR(INDEX(Lists!$AA:$AA,MATCH($AP508,Lists!$Z:$Z,0)),$AP508))</f>
        <v>P&amp;C RTA</v>
      </c>
      <c r="AT508" t="str">
        <f>IF(TRIM($B508)="","",IF(IFERROR(INDEX(Lists!$AP$2:$AP$4,MATCH(ROW(),Lists!$AN$2:$AN$4,0)),"")&lt;&gt;"",IFERROR(INDEX(Lists!$AP$2:$AP$4,MATCH(ROW(),Lists!$AN$2:$AN$4,0)),""),IF(OR(LEFT($AJ508,3)="COE",$AJ508="EGI"),$AP508,IF($AR508&lt;&gt;"Squad",$AR508,$AP508))))</f>
        <v>P&amp;C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>
        <f>IF(TRIM($B509)="","",IF(N($AU509)&gt;0,$AU509,IF(N($S509)&gt;0,$S509*Lists!$AG$15*(1+N($Z509)),N($U509)*(1+N($V509)+N($W509)+N($X509)+N($Z509))+N($Y509))))</f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IF(TRIM($B509)="","",IF(IFERROR(INDEX(Lists!$AO$2:$AO$4,MATCH(ROW(),Lists!$AN$2:$AN$4,0)),"")&lt;&gt;"",IFERROR(INDEX(Lists!$AO$2:$AO$4,MATCH(ROW(),Lists!$AN$2:$AN$4,0)),""),IFERROR(INDEX(Lists!$U:$U,MATCH(TRIM($I509),Lists!$T:$T,0)),TRIM($I509))))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",$C509)),"Head of Technology",IF(ISNUMBER(SEARCH("TDD BP",$C509)),"Business Partner",IF(OR(ISNUMBER(SEARCH("domain architect",$C509)),ISNUMBER(SEARCH("enterprise architect",$C509))),"Domain Architect",IF(ISNUMBER(SEARCH("delivery man",$C509)),"Delivery Manager",IF(OR(ISNUMBER(SEARCH("technology manager",$C509)),ISNUMBER(SEARCH("technology manger",$C509)),ISNUMBER(SEARCH("tech manager",$C509))),"Technology Manager","Squad"))))))</f>
        <v>Squad</v>
      </c>
      <c r="AS509" t="str">
        <f>IF(TRIM($B509)="","",IFERROR(INDEX(Lists!$AA:$AA,MATCH($AP509,Lists!$Z:$Z,0)),$AP509))</f>
        <v>P&amp;C RTA</v>
      </c>
      <c r="AT509" t="str">
        <f>IF(TRIM($B509)="","",IF(IFERROR(INDEX(Lists!$AP$2:$AP$4,MATCH(ROW(),Lists!$AN$2:$AN$4,0)),"")&lt;&gt;"",IFERROR(INDEX(Lists!$AP$2:$AP$4,MATCH(ROW(),Lists!$AN$2:$AN$4,0)),""),IF(OR(LEFT($AJ509,3)="COE",$AJ509="EGI"),$AP509,IF($AR509&lt;&gt;"Squad",$AR509,$AP509))))</f>
        <v>P&amp;C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>
        <f>IF(TRIM($B510)="","",IF(N($AU510)&gt;0,$AU510,IF(N($S510)&gt;0,$S510*Lists!$AG$15*(1+N($Z510)),N($U510)*(1+N($V510)+N($W510)+N($X510)+N($Z510))+N($Y510))))</f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IF(TRIM($B510)="","",IF(IFERROR(INDEX(Lists!$AO$2:$AO$4,MATCH(ROW(),Lists!$AN$2:$AN$4,0)),"")&lt;&gt;"",IFERROR(INDEX(Lists!$AO$2:$AO$4,MATCH(ROW(),Lists!$AN$2:$AN$4,0)),""),IFERROR(INDEX(Lists!$U:$U,MATCH(TRIM($I510),Lists!$T:$T,0)),TRIM($I510))))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",$C510)),"Head of Technology",IF(ISNUMBER(SEARCH("TDD BP",$C510)),"Business Partner",IF(OR(ISNUMBER(SEARCH("domain architect",$C510)),ISNUMBER(SEARCH("enterprise architect",$C510))),"Domain Architect",IF(ISNUMBER(SEARCH("delivery man",$C510)),"Delivery Manager",IF(OR(ISNUMBER(SEARCH("technology manager",$C510)),ISNUMBER(SEARCH("technology manger",$C510)),ISNUMBER(SEARCH("tech manager",$C510))),"Technology Manager","Squad"))))))</f>
        <v>Technology Manager</v>
      </c>
      <c r="AS510" t="str">
        <f>IF(TRIM($B510)="","",IFERROR(INDEX(Lists!$AA:$AA,MATCH($AP510,Lists!$Z:$Z,0)),$AP510))</f>
        <v>Leadership</v>
      </c>
      <c r="AT510" t="str">
        <f>IF(TRIM($B510)="","",IF(IFERROR(INDEX(Lists!$AP$2:$AP$4,MATCH(ROW(),Lists!$AN$2:$AN$4,0)),"")&lt;&gt;"",IFERROR(INDEX(Lists!$AP$2:$AP$4,MATCH(ROW(),Lists!$AN$2:$AN$4,0)),""),IF(OR(LEFT($AJ510,3)="COE",$AJ510="EGI"),$AP510,IF($AR510&lt;&gt;"Squad",$AR510,$AP510))))</f>
        <v>Technology Manager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>
        <f>IF(TRIM($B511)="","",IF(N($AU511)&gt;0,$AU511,IF(N($S511)&gt;0,$S511*Lists!$AG$15*(1+N($Z511)),N($U511)*(1+N($V511)+N($W511)+N($X511)+N($Z511))+N($Y511))))</f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IF(TRIM($B511)="","",IF(IFERROR(INDEX(Lists!$AO$2:$AO$4,MATCH(ROW(),Lists!$AN$2:$AN$4,0)),"")&lt;&gt;"",IFERROR(INDEX(Lists!$AO$2:$AO$4,MATCH(ROW(),Lists!$AN$2:$AN$4,0)),""),IFERROR(INDEX(Lists!$U:$U,MATCH(TRIM($I511),Lists!$T:$T,0)),TRIM($I511))))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",$C511)),"Head of Technology",IF(ISNUMBER(SEARCH("TDD BP",$C511)),"Business Partner",IF(OR(ISNUMBER(SEARCH("domain architect",$C511)),ISNUMBER(SEARCH("enterprise architect",$C511))),"Domain Architect",IF(ISNUMBER(SEARCH("delivery man",$C511)),"Delivery Manager",IF(OR(ISNUMBER(SEARCH("technology manager",$C511)),ISNUMBER(SEARCH("technology manger",$C511)),ISNUMBER(SEARCH("tech manager",$C511))),"Technology Manager","Squad"))))))</f>
        <v>Delivery Manager</v>
      </c>
      <c r="AS511" t="str">
        <f>IF(TRIM($B511)="","",IFERROR(INDEX(Lists!$AA:$AA,MATCH($AP511,Lists!$Z:$Z,0)),$AP511))</f>
        <v>Leadership</v>
      </c>
      <c r="AT511" t="str">
        <f>IF(TRIM($B511)="","",IF(IFERROR(INDEX(Lists!$AP$2:$AP$4,MATCH(ROW(),Lists!$AN$2:$AN$4,0)),"")&lt;&gt;"",IFERROR(INDEX(Lists!$AP$2:$AP$4,MATCH(ROW(),Lists!$AN$2:$AN$4,0)),""),IF(OR(LEFT($AJ511,3)="COE",$AJ511="EGI"),$AP511,IF($AR511&lt;&gt;"Squad",$AR511,$AP511))))</f>
        <v>Delivery Manager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>
        <f>IF(TRIM($B512)="","",IF(N($AU512)&gt;0,$AU512,IF(N($S512)&gt;0,$S512*Lists!$AG$15*(1+N($Z512)),N($U512)*(1+N($V512)+N($W512)+N($X512)+N($Z512))+N($Y512))))</f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IF(TRIM($B512)="","",IF(IFERROR(INDEX(Lists!$AO$2:$AO$4,MATCH(ROW(),Lists!$AN$2:$AN$4,0)),"")&lt;&gt;"",IFERROR(INDEX(Lists!$AO$2:$AO$4,MATCH(ROW(),Lists!$AN$2:$AN$4,0)),""),IFERROR(INDEX(Lists!$U:$U,MATCH(TRIM($I512),Lists!$T:$T,0)),TRIM($I512))))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",$C512)),"Head of Technology",IF(ISNUMBER(SEARCH("TDD BP",$C512)),"Business Partner",IF(OR(ISNUMBER(SEARCH("domain architect",$C512)),ISNUMBER(SEARCH("enterprise architect",$C512))),"Domain Architect",IF(ISNUMBER(SEARCH("delivery man",$C512)),"Delivery Manager",IF(OR(ISNUMBER(SEARCH("technology manager",$C512)),ISNUMBER(SEARCH("technology manger",$C512)),ISNUMBER(SEARCH("tech manager",$C512))),"Technology Manager","Squad"))))))</f>
        <v>Head of Technology</v>
      </c>
      <c r="AS512" t="str">
        <f>IF(TRIM($B512)="","",IFERROR(INDEX(Lists!$AA:$AA,MATCH($AP512,Lists!$Z:$Z,0)),$AP512))</f>
        <v>Leadership</v>
      </c>
      <c r="AT512" t="str">
        <f>IF(TRIM($B512)="","",IF(IFERROR(INDEX(Lists!$AP$2:$AP$4,MATCH(ROW(),Lists!$AN$2:$AN$4,0)),"")&lt;&gt;"",IFERROR(INDEX(Lists!$AP$2:$AP$4,MATCH(ROW(),Lists!$AN$2:$AN$4,0)),""),IF(OR(LEFT($AJ512,3)="COE",$AJ512="EGI"),$AP512,IF($AR512&lt;&gt;"Squad",$AR512,$AP512))))</f>
        <v>Head of Technology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>
        <f>IF(TRIM($B513)="","",IF(N($AU513)&gt;0,$AU513,IF(N($S513)&gt;0,$S513*Lists!$AG$15*(1+N($Z513)),N($U513)*(1+N($V513)+N($W513)+N($X513)+N($Z513))+N($Y513))))</f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IF(TRIM($B513)="","",IF(IFERROR(INDEX(Lists!$AO$2:$AO$4,MATCH(ROW(),Lists!$AN$2:$AN$4,0)),"")&lt;&gt;"",IFERROR(INDEX(Lists!$AO$2:$AO$4,MATCH(ROW(),Lists!$AN$2:$AN$4,0)),""),IFERROR(INDEX(Lists!$U:$U,MATCH(TRIM($I513),Lists!$T:$T,0)),TRIM($I513))))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",$C513)),"Head of Technology",IF(ISNUMBER(SEARCH("TDD BP",$C513)),"Business Partner",IF(OR(ISNUMBER(SEARCH("domain architect",$C513)),ISNUMBER(SEARCH("enterprise architect",$C513))),"Domain Architect",IF(ISNUMBER(SEARCH("delivery man",$C513)),"Delivery Manager",IF(OR(ISNUMBER(SEARCH("technology manager",$C513)),ISNUMBER(SEARCH("technology manger",$C513)),ISNUMBER(SEARCH("tech manager",$C513))),"Technology Manager","Squad"))))))</f>
        <v>Squad</v>
      </c>
      <c r="AS513" t="str">
        <f>IF(TRIM($B513)="","",IFERROR(INDEX(Lists!$AA:$AA,MATCH($AP513,Lists!$Z:$Z,0)),$AP513))</f>
        <v>Cloud, Network &amp; Infra Ops</v>
      </c>
      <c r="AT513" t="str">
        <f>IF(TRIM($B513)="","",IF(IFERROR(INDEX(Lists!$AP$2:$AP$4,MATCH(ROW(),Lists!$AN$2:$AN$4,0)),"")&lt;&gt;"",IFERROR(INDEX(Lists!$AP$2:$AP$4,MATCH(ROW(),Lists!$AN$2:$AN$4,0)),""),IF(OR(LEFT($AJ513,3)="COE",$AJ513="EGI"),$AP513,IF($AR513&lt;&gt;"Squad",$AR513,$AP513))))</f>
        <v>Cloud, Network &amp; Infra Ops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>
        <f>IF(TRIM($B514)="","",IF(N($AU514)&gt;0,$AU514,IF(N($S514)&gt;0,$S514*Lists!$AG$15*(1+N($Z514)),N($U514)*(1+N($V514)+N($W514)+N($X514)+N($Z514))+N($Y514))))</f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IF(TRIM($B514)="","",IF(IFERROR(INDEX(Lists!$AO$2:$AO$4,MATCH(ROW(),Lists!$AN$2:$AN$4,0)),"")&lt;&gt;"",IFERROR(INDEX(Lists!$AO$2:$AO$4,MATCH(ROW(),Lists!$AN$2:$AN$4,0)),""),IFERROR(INDEX(Lists!$U:$U,MATCH(TRIM($I514),Lists!$T:$T,0)),TRIM($I514))))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",$C514)),"Head of Technology",IF(ISNUMBER(SEARCH("TDD BP",$C514)),"Business Partner",IF(OR(ISNUMBER(SEARCH("domain architect",$C514)),ISNUMBER(SEARCH("enterprise architect",$C514))),"Domain Architect",IF(ISNUMBER(SEARCH("delivery man",$C514)),"Delivery Manager",IF(OR(ISNUMBER(SEARCH("technology manager",$C514)),ISNUMBER(SEARCH("technology manger",$C514)),ISNUMBER(SEARCH("tech manager",$C514))),"Technology Manager","Squad"))))))</f>
        <v>Squad</v>
      </c>
      <c r="AS514" t="str">
        <f>IF(TRIM($B514)="","",IFERROR(INDEX(Lists!$AA:$AA,MATCH($AP514,Lists!$Z:$Z,0)),$AP514))</f>
        <v>Integration &amp; Process Automation</v>
      </c>
      <c r="AT514" t="str">
        <f>IF(TRIM($B514)="","",IF(IFERROR(INDEX(Lists!$AP$2:$AP$4,MATCH(ROW(),Lists!$AN$2:$AN$4,0)),"")&lt;&gt;"",IFERROR(INDEX(Lists!$AP$2:$AP$4,MATCH(ROW(),Lists!$AN$2:$AN$4,0)),""),IF(OR(LEFT($AJ514,3)="COE",$AJ514="EGI"),$AP514,IF($AR514&lt;&gt;"Squad",$AR514,$AP514))))</f>
        <v>Integration &amp; Process Automation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>
        <f>IF(TRIM($B515)="","",IF(N($AU515)&gt;0,$AU515,IF(N($S515)&gt;0,$S515*Lists!$AG$15*(1+N($Z515)),N($U515)*(1+N($V515)+N($W515)+N($X515)+N($Z515))+N($Y515))))</f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IF(TRIM($B515)="","",IF(IFERROR(INDEX(Lists!$AO$2:$AO$4,MATCH(ROW(),Lists!$AN$2:$AN$4,0)),"")&lt;&gt;"",IFERROR(INDEX(Lists!$AO$2:$AO$4,MATCH(ROW(),Lists!$AN$2:$AN$4,0)),""),IFERROR(INDEX(Lists!$U:$U,MATCH(TRIM($I515),Lists!$T:$T,0)),TRIM($I515))))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",$C515)),"Head of Technology",IF(ISNUMBER(SEARCH("TDD BP",$C515)),"Business Partner",IF(OR(ISNUMBER(SEARCH("domain architect",$C515)),ISNUMBER(SEARCH("enterprise architect",$C515))),"Domain Architect",IF(ISNUMBER(SEARCH("delivery man",$C515)),"Delivery Manager",IF(OR(ISNUMBER(SEARCH("technology manager",$C515)),ISNUMBER(SEARCH("technology manger",$C515)),ISNUMBER(SEARCH("tech manager",$C515))),"Technology Manager","Squad"))))))</f>
        <v>Squad</v>
      </c>
      <c r="AS515" t="str">
        <f>IF(TRIM($B515)="","",IFERROR(INDEX(Lists!$AA:$AA,MATCH($AP515,Lists!$Z:$Z,0)),$AP515))</f>
        <v>DevOps &amp; QE</v>
      </c>
      <c r="AT515" t="str">
        <f>IF(TRIM($B515)="","",IF(IFERROR(INDEX(Lists!$AP$2:$AP$4,MATCH(ROW(),Lists!$AN$2:$AN$4,0)),"")&lt;&gt;"",IFERROR(INDEX(Lists!$AP$2:$AP$4,MATCH(ROW(),Lists!$AN$2:$AN$4,0)),""),IF(OR(LEFT($AJ515,3)="COE",$AJ515="EGI"),$AP515,IF($AR515&lt;&gt;"Squad",$AR515,$AP515))))</f>
        <v>DevOps &amp; QE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>
        <f>IF(TRIM($B516)="","",IF(N($AU516)&gt;0,$AU516,IF(N($S516)&gt;0,$S516*Lists!$AG$15*(1+N($Z516)),N($U516)*(1+N($V516)+N($W516)+N($X516)+N($Z516))+N($Y516))))</f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IF(TRIM($B516)="","",IF(IFERROR(INDEX(Lists!$AO$2:$AO$4,MATCH(ROW(),Lists!$AN$2:$AN$4,0)),"")&lt;&gt;"",IFERROR(INDEX(Lists!$AO$2:$AO$4,MATCH(ROW(),Lists!$AN$2:$AN$4,0)),""),IFERROR(INDEX(Lists!$U:$U,MATCH(TRIM($I516),Lists!$T:$T,0)),TRIM($I516))))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",$C516)),"Head of Technology",IF(ISNUMBER(SEARCH("TDD BP",$C516)),"Business Partner",IF(OR(ISNUMBER(SEARCH("domain architect",$C516)),ISNUMBER(SEARCH("enterprise architect",$C516))),"Domain Architect",IF(ISNUMBER(SEARCH("delivery man",$C516)),"Delivery Manager",IF(OR(ISNUMBER(SEARCH("technology manager",$C516)),ISNUMBER(SEARCH("technology manger",$C516)),ISNUMBER(SEARCH("tech manager",$C516))),"Technology Manager","Squad"))))))</f>
        <v>Squad</v>
      </c>
      <c r="AS516" t="str">
        <f>IF(TRIM($B516)="","",IFERROR(INDEX(Lists!$AA:$AA,MATCH($AP516,Lists!$Z:$Z,0)),$AP516))</f>
        <v>Integration &amp; Process Automation</v>
      </c>
      <c r="AT516" t="str">
        <f>IF(TRIM($B516)="","",IF(IFERROR(INDEX(Lists!$AP$2:$AP$4,MATCH(ROW(),Lists!$AN$2:$AN$4,0)),"")&lt;&gt;"",IFERROR(INDEX(Lists!$AP$2:$AP$4,MATCH(ROW(),Lists!$AN$2:$AN$4,0)),""),IF(OR(LEFT($AJ516,3)="COE",$AJ516="EGI"),$AP516,IF($AR516&lt;&gt;"Squad",$AR516,$AP516))))</f>
        <v>Integration &amp; Process Automation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>
        <f>IF(TRIM($B517)="","",IF(N($AU517)&gt;0,$AU517,IF(N($S517)&gt;0,$S517*Lists!$AG$15*(1+N($Z517)),N($U517)*(1+N($V517)+N($W517)+N($X517)+N($Z517))+N($Y517))))</f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IF(TRIM($B517)="","",IF(IFERROR(INDEX(Lists!$AO$2:$AO$4,MATCH(ROW(),Lists!$AN$2:$AN$4,0)),"")&lt;&gt;"",IFERROR(INDEX(Lists!$AO$2:$AO$4,MATCH(ROW(),Lists!$AN$2:$AN$4,0)),""),IFERROR(INDEX(Lists!$U:$U,MATCH(TRIM($I517),Lists!$T:$T,0)),TRIM($I517))))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",$C517)),"Head of Technology",IF(ISNUMBER(SEARCH("TDD BP",$C517)),"Business Partner",IF(OR(ISNUMBER(SEARCH("domain architect",$C517)),ISNUMBER(SEARCH("enterprise architect",$C517))),"Domain Architect",IF(ISNUMBER(SEARCH("delivery man",$C517)),"Delivery Manager",IF(OR(ISNUMBER(SEARCH("technology manager",$C517)),ISNUMBER(SEARCH("technology manger",$C517)),ISNUMBER(SEARCH("tech manager",$C517))),"Technology Manager","Squad"))))))</f>
        <v>Squad</v>
      </c>
      <c r="AS517" t="str">
        <f>IF(TRIM($B517)="","",IFERROR(INDEX(Lists!$AA:$AA,MATCH($AP517,Lists!$Z:$Z,0)),$AP517))</f>
        <v>Workplace &amp; Enterprise Tooling</v>
      </c>
      <c r="AT517" t="str">
        <f>IF(TRIM($B517)="","",IF(IFERROR(INDEX(Lists!$AP$2:$AP$4,MATCH(ROW(),Lists!$AN$2:$AN$4,0)),"")&lt;&gt;"",IFERROR(INDEX(Lists!$AP$2:$AP$4,MATCH(ROW(),Lists!$AN$2:$AN$4,0)),""),IF(OR(LEFT($AJ517,3)="COE",$AJ517="EGI"),$AP517,IF($AR517&lt;&gt;"Squad",$AR517,$AP517))))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>
        <f>IF(TRIM($B518)="","",IF(N($AU518)&gt;0,$AU518,IF(N($S518)&gt;0,$S518*Lists!$AG$15*(1+N($Z518)),N($U518)*(1+N($V518)+N($W518)+N($X518)+N($Z518))+N($Y518))))</f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IF(TRIM($B518)="","",IF(IFERROR(INDEX(Lists!$AO$2:$AO$4,MATCH(ROW(),Lists!$AN$2:$AN$4,0)),"")&lt;&gt;"",IFERROR(INDEX(Lists!$AO$2:$AO$4,MATCH(ROW(),Lists!$AN$2:$AN$4,0)),""),IFERROR(INDEX(Lists!$U:$U,MATCH(TRIM($I518),Lists!$T:$T,0)),TRIM($I518))))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",$C518)),"Head of Technology",IF(ISNUMBER(SEARCH("TDD BP",$C518)),"Business Partner",IF(OR(ISNUMBER(SEARCH("domain architect",$C518)),ISNUMBER(SEARCH("enterprise architect",$C518))),"Domain Architect",IF(ISNUMBER(SEARCH("delivery man",$C518)),"Delivery Manager",IF(OR(ISNUMBER(SEARCH("technology manager",$C518)),ISNUMBER(SEARCH("technology manger",$C518)),ISNUMBER(SEARCH("tech manager",$C518))),"Technology Manager","Squad"))))))</f>
        <v>Delivery Manager</v>
      </c>
      <c r="AS518" t="str">
        <f>IF(TRIM($B518)="","",IFERROR(INDEX(Lists!$AA:$AA,MATCH($AP518,Lists!$Z:$Z,0)),$AP518))</f>
        <v>Leadership</v>
      </c>
      <c r="AT518" t="str">
        <f>IF(TRIM($B518)="","",IF(IFERROR(INDEX(Lists!$AP$2:$AP$4,MATCH(ROW(),Lists!$AN$2:$AN$4,0)),"")&lt;&gt;"",IFERROR(INDEX(Lists!$AP$2:$AP$4,MATCH(ROW(),Lists!$AN$2:$AN$4,0)),""),IF(OR(LEFT($AJ518,3)="COE",$AJ518="EGI"),$AP518,IF($AR518&lt;&gt;"Squad",$AR518,$AP518))))</f>
        <v>Delivery Manager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>
        <f>IF(TRIM($B519)="","",IF(N($AU519)&gt;0,$AU519,IF(N($S519)&gt;0,$S519*Lists!$AG$15*(1+N($Z519)),N($U519)*(1+N($V519)+N($W519)+N($X519)+N($Z519))+N($Y519))))</f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IF(TRIM($B519)="","",IF(IFERROR(INDEX(Lists!$AO$2:$AO$4,MATCH(ROW(),Lists!$AN$2:$AN$4,0)),"")&lt;&gt;"",IFERROR(INDEX(Lists!$AO$2:$AO$4,MATCH(ROW(),Lists!$AN$2:$AN$4,0)),""),IFERROR(INDEX(Lists!$U:$U,MATCH(TRIM($I519),Lists!$T:$T,0)),TRIM($I519))))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",$C519)),"Head of Technology",IF(ISNUMBER(SEARCH("TDD BP",$C519)),"Business Partner",IF(OR(ISNUMBER(SEARCH("domain architect",$C519)),ISNUMBER(SEARCH("enterprise architect",$C519))),"Domain Architect",IF(ISNUMBER(SEARCH("delivery man",$C519)),"Delivery Manager",IF(OR(ISNUMBER(SEARCH("technology manager",$C519)),ISNUMBER(SEARCH("technology manger",$C519)),ISNUMBER(SEARCH("tech manager",$C519))),"Technology Manager","Squad"))))))</f>
        <v>Squad</v>
      </c>
      <c r="AS519" t="str">
        <f>IF(TRIM($B519)="","",IFERROR(INDEX(Lists!$AA:$AA,MATCH($AP519,Lists!$Z:$Z,0)),$AP519))</f>
        <v>Workplace &amp; Enterprise Tooling</v>
      </c>
      <c r="AT519" t="str">
        <f>IF(TRIM($B519)="","",IF(IFERROR(INDEX(Lists!$AP$2:$AP$4,MATCH(ROW(),Lists!$AN$2:$AN$4,0)),"")&lt;&gt;"",IFERROR(INDEX(Lists!$AP$2:$AP$4,MATCH(ROW(),Lists!$AN$2:$AN$4,0)),""),IF(OR(LEFT($AJ519,3)="COE",$AJ519="EGI"),$AP519,IF($AR519&lt;&gt;"Squad",$AR519,$AP519))))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>
        <f>IF(TRIM($B520)="","",IF(N($AU520)&gt;0,$AU520,IF(N($S520)&gt;0,$S520*Lists!$AG$15*(1+N($Z520)),N($U520)*(1+N($V520)+N($W520)+N($X520)+N($Z520))+N($Y520))))</f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IF(TRIM($B520)="","",IF(IFERROR(INDEX(Lists!$AO$2:$AO$4,MATCH(ROW(),Lists!$AN$2:$AN$4,0)),"")&lt;&gt;"",IFERROR(INDEX(Lists!$AO$2:$AO$4,MATCH(ROW(),Lists!$AN$2:$AN$4,0)),""),IFERROR(INDEX(Lists!$U:$U,MATCH(TRIM($I520),Lists!$T:$T,0)),TRIM($I520))))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",$C520)),"Head of Technology",IF(ISNUMBER(SEARCH("TDD BP",$C520)),"Business Partner",IF(OR(ISNUMBER(SEARCH("domain architect",$C520)),ISNUMBER(SEARCH("enterprise architect",$C520))),"Domain Architect",IF(ISNUMBER(SEARCH("delivery man",$C520)),"Delivery Manager",IF(OR(ISNUMBER(SEARCH("technology manager",$C520)),ISNUMBER(SEARCH("technology manger",$C520)),ISNUMBER(SEARCH("tech manager",$C520))),"Technology Manager","Squad"))))))</f>
        <v>Squad</v>
      </c>
      <c r="AS520" t="str">
        <f>IF(TRIM($B520)="","",IFERROR(INDEX(Lists!$AA:$AA,MATCH($AP520,Lists!$Z:$Z,0)),$AP520))</f>
        <v>DevOps &amp; QE</v>
      </c>
      <c r="AT520" t="str">
        <f>IF(TRIM($B520)="","",IF(IFERROR(INDEX(Lists!$AP$2:$AP$4,MATCH(ROW(),Lists!$AN$2:$AN$4,0)),"")&lt;&gt;"",IFERROR(INDEX(Lists!$AP$2:$AP$4,MATCH(ROW(),Lists!$AN$2:$AN$4,0)),""),IF(OR(LEFT($AJ520,3)="COE",$AJ520="EGI"),$AP520,IF($AR520&lt;&gt;"Squad",$AR520,$AP520))))</f>
        <v>DevOps &amp; QE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>
        <f>IF(TRIM($B521)="","",IF(N($AU521)&gt;0,$AU521,IF(N($S521)&gt;0,$S521*Lists!$AG$15*(1+N($Z521)),N($U521)*(1+N($V521)+N($W521)+N($X521)+N($Z521))+N($Y521))))</f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IF(TRIM($B521)="","",IF(IFERROR(INDEX(Lists!$AO$2:$AO$4,MATCH(ROW(),Lists!$AN$2:$AN$4,0)),"")&lt;&gt;"",IFERROR(INDEX(Lists!$AO$2:$AO$4,MATCH(ROW(),Lists!$AN$2:$AN$4,0)),""),IFERROR(INDEX(Lists!$U:$U,MATCH(TRIM($I521),Lists!$T:$T,0)),TRIM($I521))))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",$C521)),"Head of Technology",IF(ISNUMBER(SEARCH("TDD BP",$C521)),"Business Partner",IF(OR(ISNUMBER(SEARCH("domain architect",$C521)),ISNUMBER(SEARCH("enterprise architect",$C521))),"Domain Architect",IF(ISNUMBER(SEARCH("delivery man",$C521)),"Delivery Manager",IF(OR(ISNUMBER(SEARCH("technology manager",$C521)),ISNUMBER(SEARCH("technology manger",$C521)),ISNUMBER(SEARCH("tech manager",$C521))),"Technology Manager","Squad"))))))</f>
        <v>Squad</v>
      </c>
      <c r="AS521" t="str">
        <f>IF(TRIM($B521)="","",IFERROR(INDEX(Lists!$AA:$AA,MATCH($AP521,Lists!$Z:$Z,0)),$AP521))</f>
        <v>DevOps &amp; QE</v>
      </c>
      <c r="AT521" t="str">
        <f>IF(TRIM($B521)="","",IF(IFERROR(INDEX(Lists!$AP$2:$AP$4,MATCH(ROW(),Lists!$AN$2:$AN$4,0)),"")&lt;&gt;"",IFERROR(INDEX(Lists!$AP$2:$AP$4,MATCH(ROW(),Lists!$AN$2:$AN$4,0)),""),IF(OR(LEFT($AJ521,3)="COE",$AJ521="EGI"),$AP521,IF($AR521&lt;&gt;"Squad",$AR521,$AP521))))</f>
        <v>DevOps &amp; QE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>
        <f>IF(TRIM($B522)="","",IF(N($AU522)&gt;0,$AU522,IF(N($S522)&gt;0,$S522*Lists!$AG$15*(1+N($Z522)),N($U522)*(1+N($V522)+N($W522)+N($X522)+N($Z522))+N($Y522))))</f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IF(TRIM($B522)="","",IF(IFERROR(INDEX(Lists!$AO$2:$AO$4,MATCH(ROW(),Lists!$AN$2:$AN$4,0)),"")&lt;&gt;"",IFERROR(INDEX(Lists!$AO$2:$AO$4,MATCH(ROW(),Lists!$AN$2:$AN$4,0)),""),IFERROR(INDEX(Lists!$U:$U,MATCH(TRIM($I522),Lists!$T:$T,0)),TRIM($I522))))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",$C522)),"Head of Technology",IF(ISNUMBER(SEARCH("TDD BP",$C522)),"Business Partner",IF(OR(ISNUMBER(SEARCH("domain architect",$C522)),ISNUMBER(SEARCH("enterprise architect",$C522))),"Domain Architect",IF(ISNUMBER(SEARCH("delivery man",$C522)),"Delivery Manager",IF(OR(ISNUMBER(SEARCH("technology manager",$C522)),ISNUMBER(SEARCH("technology manger",$C522)),ISNUMBER(SEARCH("tech manager",$C522))),"Technology Manager","Squad"))))))</f>
        <v>Squad</v>
      </c>
      <c r="AS522" t="str">
        <f>IF(TRIM($B522)="","",IFERROR(INDEX(Lists!$AA:$AA,MATCH($AP522,Lists!$Z:$Z,0)),$AP522))</f>
        <v>DevOps &amp; QE</v>
      </c>
      <c r="AT522" t="str">
        <f>IF(TRIM($B522)="","",IF(IFERROR(INDEX(Lists!$AP$2:$AP$4,MATCH(ROW(),Lists!$AN$2:$AN$4,0)),"")&lt;&gt;"",IFERROR(INDEX(Lists!$AP$2:$AP$4,MATCH(ROW(),Lists!$AN$2:$AN$4,0)),""),IF(OR(LEFT($AJ522,3)="COE",$AJ522="EGI"),$AP522,IF($AR522&lt;&gt;"Squad",$AR522,$AP522))))</f>
        <v>DevOps &amp; QE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>
        <f>IF(TRIM($B523)="","",IF(N($AU523)&gt;0,$AU523,IF(N($S523)&gt;0,$S523*Lists!$AG$15*(1+N($Z523)),N($U523)*(1+N($V523)+N($W523)+N($X523)+N($Z523))+N($Y523))))</f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IF(TRIM($B523)="","",IF(IFERROR(INDEX(Lists!$AO$2:$AO$4,MATCH(ROW(),Lists!$AN$2:$AN$4,0)),"")&lt;&gt;"",IFERROR(INDEX(Lists!$AO$2:$AO$4,MATCH(ROW(),Lists!$AN$2:$AN$4,0)),""),IFERROR(INDEX(Lists!$U:$U,MATCH(TRIM($I523),Lists!$T:$T,0)),TRIM($I523))))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",$C523)),"Head of Technology",IF(ISNUMBER(SEARCH("TDD BP",$C523)),"Business Partner",IF(OR(ISNUMBER(SEARCH("domain architect",$C523)),ISNUMBER(SEARCH("enterprise architect",$C523))),"Domain Architect",IF(ISNUMBER(SEARCH("delivery man",$C523)),"Delivery Manager",IF(OR(ISNUMBER(SEARCH("technology manager",$C523)),ISNUMBER(SEARCH("technology manger",$C523)),ISNUMBER(SEARCH("tech manager",$C523))),"Technology Manager","Squad"))))))</f>
        <v>Technology Manager</v>
      </c>
      <c r="AS523" t="str">
        <f>IF(TRIM($B523)="","",IFERROR(INDEX(Lists!$AA:$AA,MATCH($AP523,Lists!$Z:$Z,0)),$AP523))</f>
        <v>Leadership</v>
      </c>
      <c r="AT523" t="str">
        <f>IF(TRIM($B523)="","",IF(IFERROR(INDEX(Lists!$AP$2:$AP$4,MATCH(ROW(),Lists!$AN$2:$AN$4,0)),"")&lt;&gt;"",IFERROR(INDEX(Lists!$AP$2:$AP$4,MATCH(ROW(),Lists!$AN$2:$AN$4,0)),""),IF(OR(LEFT($AJ523,3)="COE",$AJ523="EGI"),$AP523,IF($AR523&lt;&gt;"Squad",$AR523,$AP523))))</f>
        <v>Technology Manager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>
        <f>IF(TRIM($B524)="","",IF(N($AU524)&gt;0,$AU524,IF(N($S524)&gt;0,$S524*Lists!$AG$15*(1+N($Z524)),N($U524)*(1+N($V524)+N($W524)+N($X524)+N($Z524))+N($Y524))))</f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IF(TRIM($B524)="","",IF(IFERROR(INDEX(Lists!$AO$2:$AO$4,MATCH(ROW(),Lists!$AN$2:$AN$4,0)),"")&lt;&gt;"",IFERROR(INDEX(Lists!$AO$2:$AO$4,MATCH(ROW(),Lists!$AN$2:$AN$4,0)),""),IFERROR(INDEX(Lists!$U:$U,MATCH(TRIM($I524),Lists!$T:$T,0)),TRIM($I524))))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",$C524)),"Head of Technology",IF(ISNUMBER(SEARCH("TDD BP",$C524)),"Business Partner",IF(OR(ISNUMBER(SEARCH("domain architect",$C524)),ISNUMBER(SEARCH("enterprise architect",$C524))),"Domain Architect",IF(ISNUMBER(SEARCH("delivery man",$C524)),"Delivery Manager",IF(OR(ISNUMBER(SEARCH("technology manager",$C524)),ISNUMBER(SEARCH("technology manger",$C524)),ISNUMBER(SEARCH("tech manager",$C524))),"Technology Manager","Squad"))))))</f>
        <v>Technology Manager</v>
      </c>
      <c r="AS524" t="str">
        <f>IF(TRIM($B524)="","",IFERROR(INDEX(Lists!$AA:$AA,MATCH($AP524,Lists!$Z:$Z,0)),$AP524))</f>
        <v>Leadership</v>
      </c>
      <c r="AT524" t="str">
        <f>IF(TRIM($B524)="","",IF(IFERROR(INDEX(Lists!$AP$2:$AP$4,MATCH(ROW(),Lists!$AN$2:$AN$4,0)),"")&lt;&gt;"",IFERROR(INDEX(Lists!$AP$2:$AP$4,MATCH(ROW(),Lists!$AN$2:$AN$4,0)),""),IF(OR(LEFT($AJ524,3)="COE",$AJ524="EGI"),$AP524,IF($AR524&lt;&gt;"Squad",$AR524,$AP524))))</f>
        <v>Technology Manager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>
        <f>IF(TRIM($B525)="","",IF(N($AU525)&gt;0,$AU525,IF(N($S525)&gt;0,$S525*Lists!$AG$15*(1+N($Z525)),N($U525)*(1+N($V525)+N($W525)+N($X525)+N($Z525))+N($Y525))))</f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IF(TRIM($B525)="","",IF(IFERROR(INDEX(Lists!$AO$2:$AO$4,MATCH(ROW(),Lists!$AN$2:$AN$4,0)),"")&lt;&gt;"",IFERROR(INDEX(Lists!$AO$2:$AO$4,MATCH(ROW(),Lists!$AN$2:$AN$4,0)),""),IFERROR(INDEX(Lists!$U:$U,MATCH(TRIM($I525),Lists!$T:$T,0)),TRIM($I525))))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",$C525)),"Head of Technology",IF(ISNUMBER(SEARCH("TDD BP",$C525)),"Business Partner",IF(OR(ISNUMBER(SEARCH("domain architect",$C525)),ISNUMBER(SEARCH("enterprise architect",$C525))),"Domain Architect",IF(ISNUMBER(SEARCH("delivery man",$C525)),"Delivery Manager",IF(OR(ISNUMBER(SEARCH("technology manager",$C525)),ISNUMBER(SEARCH("technology manger",$C525)),ISNUMBER(SEARCH("tech manager",$C525))),"Technology Manager","Squad"))))))</f>
        <v>Technology Manager</v>
      </c>
      <c r="AS525" t="str">
        <f>IF(TRIM($B525)="","",IFERROR(INDEX(Lists!$AA:$AA,MATCH($AP525,Lists!$Z:$Z,0)),$AP525))</f>
        <v>Leadership</v>
      </c>
      <c r="AT525" t="str">
        <f>IF(TRIM($B525)="","",IF(IFERROR(INDEX(Lists!$AP$2:$AP$4,MATCH(ROW(),Lists!$AN$2:$AN$4,0)),"")&lt;&gt;"",IFERROR(INDEX(Lists!$AP$2:$AP$4,MATCH(ROW(),Lists!$AN$2:$AN$4,0)),""),IF(OR(LEFT($AJ525,3)="COE",$AJ525="EGI"),$AP525,IF($AR525&lt;&gt;"Squad",$AR525,$AP525))))</f>
        <v>Technology Manager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>
        <f>IF(TRIM($B526)="","",IF(N($AU526)&gt;0,$AU526,IF(N($S526)&gt;0,$S526*Lists!$AG$15*(1+N($Z526)),N($U526)*(1+N($V526)+N($W526)+N($X526)+N($Z526))+N($Y526))))</f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IF(TRIM($B526)="","",IF(IFERROR(INDEX(Lists!$AO$2:$AO$4,MATCH(ROW(),Lists!$AN$2:$AN$4,0)),"")&lt;&gt;"",IFERROR(INDEX(Lists!$AO$2:$AO$4,MATCH(ROW(),Lists!$AN$2:$AN$4,0)),""),IFERROR(INDEX(Lists!$U:$U,MATCH(TRIM($I526),Lists!$T:$T,0)),TRIM($I526))))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",$C526)),"Head of Technology",IF(ISNUMBER(SEARCH("TDD BP",$C526)),"Business Partner",IF(OR(ISNUMBER(SEARCH("domain architect",$C526)),ISNUMBER(SEARCH("enterprise architect",$C526))),"Domain Architect",IF(ISNUMBER(SEARCH("delivery man",$C526)),"Delivery Manager",IF(OR(ISNUMBER(SEARCH("technology manager",$C526)),ISNUMBER(SEARCH("technology manger",$C526)),ISNUMBER(SEARCH("tech manager",$C526))),"Technology Manager","Squad"))))))</f>
        <v>Squad</v>
      </c>
      <c r="AS526" t="str">
        <f>IF(TRIM($B526)="","",IFERROR(INDEX(Lists!$AA:$AA,MATCH($AP526,Lists!$Z:$Z,0)),$AP526))</f>
        <v>SAP ERP</v>
      </c>
      <c r="AT526" t="str">
        <f>IF(TRIM($B526)="","",IF(IFERROR(INDEX(Lists!$AP$2:$AP$4,MATCH(ROW(),Lists!$AN$2:$AN$4,0)),"")&lt;&gt;"",IFERROR(INDEX(Lists!$AP$2:$AP$4,MATCH(ROW(),Lists!$AN$2:$AN$4,0)),""),IF(OR(LEFT($AJ526,3)="COE",$AJ526="EGI"),$AP526,IF($AR526&lt;&gt;"Squad",$AR526,$AP526))))</f>
        <v>SAP ERP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>
        <f>IF(TRIM($B527)="","",IF(N($AU527)&gt;0,$AU527,IF(N($S527)&gt;0,$S527*Lists!$AG$15*(1+N($Z527)),N($U527)*(1+N($V527)+N($W527)+N($X527)+N($Z527))+N($Y527))))</f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IF(TRIM($B527)="","",IF(IFERROR(INDEX(Lists!$AO$2:$AO$4,MATCH(ROW(),Lists!$AN$2:$AN$4,0)),"")&lt;&gt;"",IFERROR(INDEX(Lists!$AO$2:$AO$4,MATCH(ROW(),Lists!$AN$2:$AN$4,0)),""),IFERROR(INDEX(Lists!$U:$U,MATCH(TRIM($I527),Lists!$T:$T,0)),TRIM($I527))))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",$C527)),"Head of Technology",IF(ISNUMBER(SEARCH("TDD BP",$C527)),"Business Partner",IF(OR(ISNUMBER(SEARCH("domain architect",$C527)),ISNUMBER(SEARCH("enterprise architect",$C527))),"Domain Architect",IF(ISNUMBER(SEARCH("delivery man",$C527)),"Delivery Manager",IF(OR(ISNUMBER(SEARCH("technology manager",$C527)),ISNUMBER(SEARCH("technology manger",$C527)),ISNUMBER(SEARCH("tech manager",$C527))),"Technology Manager","Squad"))))))</f>
        <v>Squad</v>
      </c>
      <c r="AS527" t="str">
        <f>IF(TRIM($B527)="","",IFERROR(INDEX(Lists!$AA:$AA,MATCH($AP527,Lists!$Z:$Z,0)),$AP527))</f>
        <v>Workplace &amp; Enterprise Tooling</v>
      </c>
      <c r="AT527" t="str">
        <f>IF(TRIM($B527)="","",IF(IFERROR(INDEX(Lists!$AP$2:$AP$4,MATCH(ROW(),Lists!$AN$2:$AN$4,0)),"")&lt;&gt;"",IFERROR(INDEX(Lists!$AP$2:$AP$4,MATCH(ROW(),Lists!$AN$2:$AN$4,0)),""),IF(OR(LEFT($AJ527,3)="COE",$AJ527="EGI"),$AP527,IF($AR527&lt;&gt;"Squad",$AR527,$AP527))))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>
        <f>IF(TRIM($B528)="","",IF(N($AU528)&gt;0,$AU528,IF(N($S528)&gt;0,$S528*Lists!$AG$15*(1+N($Z528)),N($U528)*(1+N($V528)+N($W528)+N($X528)+N($Z528))+N($Y528))))</f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IF(TRIM($B528)="","",IF(IFERROR(INDEX(Lists!$AO$2:$AO$4,MATCH(ROW(),Lists!$AN$2:$AN$4,0)),"")&lt;&gt;"",IFERROR(INDEX(Lists!$AO$2:$AO$4,MATCH(ROW(),Lists!$AN$2:$AN$4,0)),""),IFERROR(INDEX(Lists!$U:$U,MATCH(TRIM($I528),Lists!$T:$T,0)),TRIM($I528))))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",$C528)),"Head of Technology",IF(ISNUMBER(SEARCH("TDD BP",$C528)),"Business Partner",IF(OR(ISNUMBER(SEARCH("domain architect",$C528)),ISNUMBER(SEARCH("enterprise architect",$C528))),"Domain Architect",IF(ISNUMBER(SEARCH("delivery man",$C528)),"Delivery Manager",IF(OR(ISNUMBER(SEARCH("technology manager",$C528)),ISNUMBER(SEARCH("technology manger",$C528)),ISNUMBER(SEARCH("tech manager",$C528))),"Technology Manager","Squad"))))))</f>
        <v>Squad</v>
      </c>
      <c r="AS528" t="str">
        <f>IF(TRIM($B528)="","",IFERROR(INDEX(Lists!$AA:$AA,MATCH($AP528,Lists!$Z:$Z,0)),$AP528))</f>
        <v>Unassigned</v>
      </c>
      <c r="AT528" t="str">
        <f>IF(TRIM($B528)="","",IF(IFERROR(INDEX(Lists!$AP$2:$AP$4,MATCH(ROW(),Lists!$AN$2:$AN$4,0)),"")&lt;&gt;"",IFERROR(INDEX(Lists!$AP$2:$AP$4,MATCH(ROW(),Lists!$AN$2:$AN$4,0)),""),IF(OR(LEFT($AJ528,3)="COE",$AJ528="EGI"),$AP528,IF($AR528&lt;&gt;"Squad",$AR528,$AP528))))</f>
        <v>SAP ERP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3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IF('0.2 Data Config'!$D$11&gt;'0.2 Data Config'!$C$11,0,'0.2 Data Config'!$L$10)</f>
        <v>0.7975</v>
      </c>
      <c r="D6" s="510">
        <f>IF('0.2 Data Config'!$D$11&gt;'0.2 Data Config'!$C$11,'0.2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IF('0.2 Data Config'!$D$11&gt;'0.2 Data Config'!$C$11,0,SUM(I29,I36,I43,I49,I55,I61))</f>
        <v>0.66</v>
      </c>
      <c r="D7" s="510">
        <f>IF('0.2 Data Config'!$D$11&gt;'0.2 Data Config'!$C$11,SUM(I29,I36,I43,I49,I55,I61),0)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SUMIF($F$25:$F$28,"AU",$I$25:$I$28)+SUMIF($F$34:$F$34,"AU",$I$34:$I$34)+SUMIF($F$48:$F$48,"AU",$I$48:$I$48)+SUMIF($F$54:$F$54,"AU",$I$54:$I$54)+SUMIF($F$60:$F$60,"AU",$I$60:$I$60)+SUMIF($F$66:$F$66,"AU",$I$66:$I$66)</f>
        <v>4.622</v>
      </c>
      <c r="D8" s="510">
        <f>SUMIF($F$25:$F$28,"NZ",$I$25:$I$28)+SUMIF($F$34:$F$34,"NZ",$I$34:$I$34)+SUMIF($F$48:$F$48,"NZ",$I$48:$I$48)+SUMIF($F$54:$F$54,"NZ",$I$54:$I$54)+SUMIF($F$60:$F$60,"NZ",$I$60:$I$60)+SUMIF($F$66:$F$66,"NZ",$I$66:$I$66)</f>
        <v>0</v>
      </c>
      <c r="E8" s="510">
        <f>SUM($J$25:$J$28)+SUM($J$34:$J$34)+SUM($J$48:$J$48)+SUM($J$54:$J$54)+SUM($J$60:$J$60)+SUM($J$66:$J$66)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1321" t="inlineStr">
        <is>
          <t>Funding position ($m)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Over/(under) TDD budget</t>
        </is>
      </c>
      <c r="C12" s="1081">
        <f>$I$8+$I$9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Still to fund outside TDD</t>
        </is>
      </c>
      <c r="C13" s="1081">
        <f>$J21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1322" t="inlineStr">
        <is>
          <t>Total to fund</t>
        </is>
      </c>
      <c r="C14" s="1082">
        <f>$C12+$C13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N('0.1 Budget Table (Fin)'!L9)</f>
        <v>13.9</v>
      </c>
      <c r="J14" s="1084">
        <f>N('0.1 Budget Table (Fin)'!$I$20)</f>
        <v>3.4</v>
      </c>
      <c r="K14" s="990">
        <f>IFERROR(I14-J14,0)</f>
        <v>10.5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N('0.1 Budget Table (Fin)'!N9)</f>
        <v>1.3</v>
      </c>
      <c r="J15" s="1323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N('0.1 Budget Table (Fin)'!P9)</f>
        <v>11.8</v>
      </c>
      <c r="J16" s="1323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N('0.1 Budget Table (Fin)'!O9)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11.584089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N('0.1 Budget Table (Fin)'!Q9)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324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&amp;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324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  <row r="73">
      <c r="B73" t="inlineStr">
        <is>
          <t>Budget lines reading zero have no entry in the Finance pack for this segment; they are not a nil budget.</t>
        </is>
      </c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3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Config'!$D$12&gt;'0.2 Data Config'!$C$12,0,'0.2 Data Config'!$L$10)</f>
        <v>0</v>
      </c>
      <c r="D6" s="510">
        <f>IF('0.2 Data Config'!$D$12&gt;'0.2 Data Config'!$C$12,'0.2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Config'!$D$12&gt;'0.2 Data Config'!$C$12,0,SUM(I27,I34,I40))</f>
        <v>0</v>
      </c>
      <c r="D7" s="510">
        <f>IF('0.2 Data Config'!$D$12&gt;'0.2 Data Config'!$C$12,SUM(I27,I34,I40),0)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0</v>
      </c>
      <c r="D8" s="510">
        <f>SUMIF($F$26:$F$26,"NZ",$I$26:$I$26)+SUMIF($F$32:$F$33,"NZ",$I$32:$I$33)+SUMIF($F$39:$F$39,"NZ",$I$39:$I$39)</f>
        <v>5.492</v>
      </c>
      <c r="E8" s="510">
        <f>SUM($J$26:$J$26)+SUM($J$32:$J$33)+SUM($J$39:$J$39)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(Fin)'!Q6)</f>
        <v>76.6</v>
      </c>
      <c r="F14" s="504" t="n"/>
      <c r="G14" s="442" t="n"/>
      <c r="H14" s="175" t="inlineStr">
        <is>
          <t>Z-Energy Lights On</t>
        </is>
      </c>
      <c r="I14" s="1094">
        <f>N('0.1 Budget Table (Fin)'!L6)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(Fin)'!N6)</f>
        <v>1.4</v>
      </c>
      <c r="J15" s="1325" t="n">
        <v>0</v>
      </c>
      <c r="K15" s="1095">
        <f>IFERROR(I15-J15,0)</f>
        <v>1.4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N('0.1 Budget Table (Fin)'!P6)</f>
        <v>11.7</v>
      </c>
      <c r="J16" s="1325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Over/(under) TDD budget</t>
        </is>
      </c>
      <c r="C17" s="1081">
        <f>$I$8+$I$9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(Fin)'!$O$6)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(Fin)'!M6)</f>
        <v>11.3</v>
      </c>
      <c r="J18" s="1325" t="n">
        <v>0</v>
      </c>
      <c r="K18" s="1095">
        <f>IFERROR(I18-J18,0)</f>
        <v>11.3</v>
      </c>
      <c r="L18" s="442" t="n"/>
      <c r="M18" s="442" t="n"/>
    </row>
    <row r="19">
      <c r="B19" s="1322" t="inlineStr">
        <is>
          <t>Total to fund</t>
        </is>
      </c>
      <c r="C19" s="1097">
        <f>$C17+$C18</f>
        <v>0.327500000000001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1298" t="inlineStr">
        <is>
          <t>I17 reads 0.1 Budget Table (Fin) O6, which holds the text "-" rather than a number; IFERROR masks it as zero.</t>
        </is>
      </c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  <row r="43">
      <c r="B43" t="inlineStr">
        <is>
          <t>Budget lines reading zero have no entry in the Finance pack for this segment; they are not a nil budget.</t>
        </is>
      </c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61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Config'!$C$14),0,'0.2 Data Config'!$L$10)</f>
        <v>0</v>
      </c>
      <c r="D6" s="510">
        <f>IF(('0.2 Data Config'!$D$13+'0.2 Data Config'!$D$14)&gt;('0.2 Data Config'!$C$13+'0.2 Data Config'!$C$14),'0.2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Config'!$C$14),0,SUM(I34,I42,I49))</f>
        <v>0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0.495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SUMIF($F$31:$F$33,"AU",$I$31:$I$33)+SUMIF($F$39:$F$41,"AU",$I$39:$I$41)+SUMIF($F$47:$F$48,"AU",$I$47:$I$48)+SUMIF($F$54:$F$54,"AU",$I$54:$I$54)</f>
        <v>2.04</v>
      </c>
      <c r="D8" s="510">
        <f>SUMIF($F$31:$F$33,"NZ",$I$31:$I$33)+SUMIF($F$39:$F$41,"NZ",$I$39:$I$41)+SUMIF($F$47:$F$48,"NZ",$I$47:$I$48)+SUMIF($F$54:$F$54,"NZ",$I$54:$I$54)</f>
        <v>4.317</v>
      </c>
      <c r="E8" s="510">
        <f>SUM($J$31:$J$33)+SUM($J$39:$J$41)+SUM($J$47:$J$48)+SUM($J$54:$J$54)</f>
        <v>5.92</v>
      </c>
      <c r="F8" s="510">
        <f>C8+D8+E8</f>
        <v>12.277</v>
      </c>
      <c r="G8" s="949" t="n"/>
      <c r="H8" s="549" t="inlineStr">
        <is>
          <t>AU over/(under) budget ($m)</t>
        </is>
      </c>
      <c r="I8" s="1101">
        <f>C9-I6</f>
        <v>-0.46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2.04</v>
      </c>
      <c r="D9" s="518">
        <f>SUM(D6:D8)</f>
        <v>5.6095</v>
      </c>
      <c r="E9" s="518">
        <f>SUM(E6:E8)</f>
        <v>5.92</v>
      </c>
      <c r="F9" s="518">
        <f>SUM(F6:F8)</f>
        <v>13.5695</v>
      </c>
      <c r="G9" s="949" t="n"/>
      <c r="H9" s="549" t="inlineStr">
        <is>
          <t>NZ over/(under) budget ($m)</t>
        </is>
      </c>
      <c r="I9" s="1102">
        <f>D9-I7</f>
        <v>1.6095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1.1495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N('0.1 Budget Table (Fin)'!Q13)</f>
        <v>11.7</v>
      </c>
      <c r="F14" s="504" t="n"/>
      <c r="G14" s="442" t="n"/>
      <c r="H14" s="473" t="inlineStr">
        <is>
          <t>Customer Lights On</t>
        </is>
      </c>
      <c r="I14" s="1085">
        <f>N('0.1 Budget Table (Fin)'!L13)</f>
        <v>1.7</v>
      </c>
      <c r="J14" s="1084">
        <f>N('0.1 Budget Table (Fin)'!$I$24)</f>
        <v>1.2</v>
      </c>
      <c r="K14" s="990">
        <f>IFERROR(I14-J14,0)</f>
        <v>0.5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N('0.1 Budget Table (Fin)'!N13)</f>
        <v>0</v>
      </c>
      <c r="J15" s="1323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N('0.1 Budget Table (Fin)'!P13)</f>
        <v>5</v>
      </c>
      <c r="J16" s="1323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1.1495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N('0.1 Budget Table (Fin)'!O13)</f>
        <v>5</v>
      </c>
      <c r="J18" s="1323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-2.4305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N('0.1 Budget Table (Fin)'!M13)</f>
        <v>0</v>
      </c>
      <c r="J23" s="1323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10.7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App and Web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Loyalty &amp;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inlineStr">
        <is>
          <t>Digital Support NZ</t>
        </is>
      </c>
      <c r="C41" s="561" t="inlineStr">
        <is>
          <t>Operations</t>
        </is>
      </c>
      <c r="D41" s="561" t="inlineStr">
        <is>
          <t>S</t>
        </is>
      </c>
      <c r="E41" s="561" t="inlineStr">
        <is>
          <t>Offshore</t>
        </is>
      </c>
      <c r="F41" s="536" t="inlineStr">
        <is>
          <t>NZ</t>
        </is>
      </c>
      <c r="G41" s="562" t="n">
        <v>1</v>
      </c>
      <c r="H41" s="1326" t="n">
        <v>0.217</v>
      </c>
      <c r="I41" s="990">
        <f>IFERROR($H41*$G41,"")</f>
        <v>0.217</v>
      </c>
      <c r="J41" s="990">
        <f>IFERROR($H41*(1-$G41),"")</f>
        <v>0</v>
      </c>
      <c r="K41" s="442" t="inlineStr">
        <is>
          <t xml:space="preserve">CPI actuals; pull through </t>
        </is>
      </c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4.317</v>
      </c>
      <c r="I43" s="1091">
        <f>SUM(I39:I42)</f>
        <v>4.482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Ampol Loyalty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327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  <row r="61">
      <c r="B61" t="inlineStr">
        <is>
          <t>Budget lines reading zero have no entry in the Finance pack for this segment; they are not a nil budget.</t>
        </is>
      </c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Config'!$D$22&gt;'0.2 Data Config'!$C$22,0,'0.2 Data Config'!$L$10)</f>
        <v>0.7975</v>
      </c>
      <c r="D6" s="510">
        <f>IF('0.2 Data Config'!$D$22&gt;'0.2 Data Config'!$C$22,'0.2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Config'!$D$22&gt;'0.2 Data Config'!$C$22,0,SUM(I31,I37))</f>
        <v>0.165</v>
      </c>
      <c r="D7" s="510">
        <f>IF('0.2 Data Config'!$D$22&gt;'0.2 Data Config'!$C$22,SUM(I31,I37),0)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SUMIF($F$27:$F$30,"AU",$I$27:$I$30)+SUMIF($F$36:$F$36,"AU",$I$36:$I$36)</f>
        <v>1.88</v>
      </c>
      <c r="D8" s="510">
        <f>SUMIF($F$27:$F$30,"NZ",$I$27:$I$30)+SUMIF($F$36:$F$36,"NZ",$I$36:$I$36)</f>
        <v>0.136</v>
      </c>
      <c r="E8" s="510">
        <f>SUM($J$27:$J$30)+SUM($J$36:$J$36)</f>
        <v>4.664</v>
      </c>
      <c r="F8" s="510">
        <f>C8+D8+E8</f>
        <v>6.68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0.136</v>
      </c>
      <c r="E9" s="518">
        <f>SUM(E6:E8)</f>
        <v>4.664</v>
      </c>
      <c r="F9" s="518">
        <f>SUM(F6:F8)</f>
        <v>7.6425</v>
      </c>
      <c r="G9" s="949" t="n"/>
      <c r="H9" s="549" t="inlineStr">
        <is>
          <t>NZ over/(under) budget ($m)</t>
        </is>
      </c>
      <c r="I9" s="1093">
        <f>D9-I7</f>
        <v>-0.864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-0.5215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4.664</v>
      </c>
      <c r="K14" s="1095" t="n"/>
      <c r="L14" s="442" t="n"/>
      <c r="M14" s="442" t="n"/>
    </row>
    <row r="15">
      <c r="B15" s="1321" t="inlineStr">
        <is>
          <t>Funding position ($m)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324" t="n">
        <v>0</v>
      </c>
      <c r="K15" s="1095" t="n"/>
      <c r="L15" s="442" t="n"/>
      <c r="M15" s="442" t="n"/>
    </row>
    <row r="16" customFormat="1" s="949">
      <c r="B16" s="521" t="n"/>
      <c r="C16" s="522" t="n"/>
      <c r="D16" s="504" t="n"/>
      <c r="E16" s="949" t="n"/>
      <c r="F16" s="504" t="n"/>
      <c r="G16" s="442" t="n"/>
      <c r="H16" s="555" t="inlineStr">
        <is>
          <t>Siginificant Items - EGI</t>
        </is>
      </c>
      <c r="I16" s="1094" t="n"/>
      <c r="J16" s="1092">
        <f>H36</f>
        <v>1.7</v>
      </c>
      <c r="K16" s="1095" t="n"/>
      <c r="L16" s="442" t="n"/>
      <c r="M16" s="442" t="n"/>
    </row>
    <row r="17">
      <c r="B17" s="285" t="inlineStr">
        <is>
          <t>Over/(under) TDD budget</t>
        </is>
      </c>
      <c r="C17" s="1081">
        <f>$I$8+$I$9</f>
        <v>-0.5215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4.664</v>
      </c>
      <c r="K17" s="1095" t="n"/>
      <c r="L17" s="442" t="n"/>
      <c r="M17" s="442" t="n"/>
    </row>
    <row r="18">
      <c r="B18" s="285" t="inlineStr">
        <is>
          <t>Still to fund outside TDD</t>
        </is>
      </c>
      <c r="C18" s="1081">
        <f>$J17</f>
        <v>4.664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B19" s="1322" t="inlineStr">
        <is>
          <t>Total to fund</t>
        </is>
      </c>
      <c r="C19" s="1082">
        <f>$C17+$C18</f>
        <v>4.1425</v>
      </c>
      <c r="D19" s="504" t="n"/>
      <c r="E19" s="949" t="n"/>
      <c r="F19" s="504" t="n"/>
      <c r="G19" s="442" t="n"/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inlineStr">
        <is>
          <t>Enterprise Data Delivery</t>
        </is>
      </c>
      <c r="C30" s="535" t="inlineStr">
        <is>
          <t>Enterprise Data and Insights</t>
        </is>
      </c>
      <c r="D30" s="535" t="inlineStr">
        <is>
          <t>M</t>
        </is>
      </c>
      <c r="E30" s="535" t="inlineStr">
        <is>
          <t>Offshore</t>
        </is>
      </c>
      <c r="F30" s="536" t="inlineStr">
        <is>
          <t>NZ</t>
        </is>
      </c>
      <c r="G30" s="537" t="n">
        <v>0.2</v>
      </c>
      <c r="H30" s="1085">
        <f>IFERROR(IF($E30="Onshore",INDEX('0.3 Squad Archetypes'!$G$5:$G$23,MATCH($C30&amp;"|"&amp;$D30,'0.3 Squad Archetypes'!$A$5:$A$23,0)),INDEX('0.3 Squad Archetypes'!$H$5:$H$23,MATCH($C30&amp;"|"&amp;$D30,'0.3 Squad Archetypes'!$A$5:$A$23,0))),"check size")</f>
        <v>0.68</v>
      </c>
      <c r="I30" s="990">
        <f>IFERROR($H30*$G30,"")</f>
        <v>0.136</v>
      </c>
      <c r="J30" s="990">
        <f>IFERROR($H30*(1-$G30),"")</f>
        <v>0.544</v>
      </c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4.98</v>
      </c>
      <c r="I32" s="1091">
        <f>SUM(I27:I31)</f>
        <v>2.181</v>
      </c>
      <c r="J32" s="1091">
        <f>SUM(J27:J30)</f>
        <v>2.964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inlineStr">
        <is>
          <t>EGI Data</t>
        </is>
      </c>
      <c r="C36" s="535" t="inlineStr">
        <is>
          <t>Enterprise Data and Insights</t>
        </is>
      </c>
      <c r="D36" s="535" t="inlineStr">
        <is>
          <t>M</t>
        </is>
      </c>
      <c r="E36" s="535" t="inlineStr">
        <is>
          <t>Onshore</t>
        </is>
      </c>
      <c r="F36" s="536" t="inlineStr">
        <is>
          <t>AU</t>
        </is>
      </c>
      <c r="G36" s="537" t="n">
        <v>0</v>
      </c>
      <c r="H36" s="1085">
        <f>IFERROR(IF($E36="Onshore",INDEX('0.3 Squad Archetypes'!$G$5:$G$23,MATCH($C36&amp;"|"&amp;$D36,'0.3 Squad Archetypes'!$A$5:$A$23,0)),INDEX('0.3 Squad Archetypes'!$H$5:$H$23,MATCH($C36&amp;"|"&amp;$D36,'0.3 Squad Archetypes'!$A$5:$A$23,0))),"check size")</f>
        <v>1.7</v>
      </c>
      <c r="I36" s="990">
        <f>IFERROR($H36*$G36,"")</f>
        <v>0</v>
      </c>
      <c r="J36" s="990">
        <f>IFERROR($H36*(1-$G36),"")</f>
        <v>1.7</v>
      </c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1.7</v>
      </c>
      <c r="I38" s="1091">
        <f>SUM(I36:I37)</f>
        <v>0</v>
      </c>
      <c r="J38" s="1091">
        <f>SUM(J36:J36)</f>
        <v>1.7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Config'!$D$21&gt;'0.2 Data Config'!$C$21,0,'0.2 Data Config'!$L$10)</f>
        <v>0.7975</v>
      </c>
      <c r="D6" s="510">
        <f>IF('0.2 Data Config'!$D$21&gt;'0.2 Data Config'!$C$21,'0.2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Config'!$D$21&gt;'0.2 Data Config'!$C$21,0,SUM(I25))</f>
        <v>0.165</v>
      </c>
      <c r="D7" s="510">
        <f>IF('0.2 Data Config'!$D$21&gt;'0.2 Data Config'!$C$21,SUM(I25),0)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SUMIF($F$21:$F$24,"AU",$I$21:$I$24)+SUMIF($F$30:$F$30,"AU",$I$30:$I$30)</f>
        <v>4.49</v>
      </c>
      <c r="D8" s="510">
        <f>SUMIF($F$21:$F$24,"NZ",$I$21:$I$24)+SUMIF($F$30:$F$30,"NZ",$I$30:$I$30)</f>
        <v>0</v>
      </c>
      <c r="E8" s="510">
        <f>SUM($J$21:$J$24)+SUM($J$30:$J$30)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1321" t="inlineStr">
        <is>
          <t>Funding position ($m)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Over/(under) TDD budget</t>
        </is>
      </c>
      <c r="C15" s="1081">
        <f>$I$8+$I$9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Still to fund outside TDD</t>
        </is>
      </c>
      <c r="C16" s="1081">
        <f>$J15</f>
        <v>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1322" t="inlineStr">
        <is>
          <t>Total to fund</t>
        </is>
      </c>
      <c r="C17" s="1082">
        <f>$C15+$C16</f>
        <v>1.2575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Cloud, Network &amp; Infra Ops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QE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 &amp; Process Automation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324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8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Config'!$D$18&gt;'0.2 Data Config'!$C$18,0,'0.2 Data Config'!$L$10)</f>
        <v>0.7975</v>
      </c>
      <c r="D6" s="510">
        <f>IF('0.2 Data Config'!$D$18&gt;'0.2 Data Config'!$C$18,'0.2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Config'!$D$18&gt;'0.2 Data Config'!$C$18,0,SUM(I27))</f>
        <v>0.165</v>
      </c>
      <c r="D7" s="510">
        <f>IF('0.2 Data Config'!$D$18&gt;'0.2 Data Config'!$C$18,SUM(I27),0)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SUMIF($F$25:$F$26,"AU",$I$25:$I$26)+SUMIF($F$32:$F$32,"AU",$I$32:$I$32)</f>
        <v>1.05</v>
      </c>
      <c r="D8" s="510">
        <f>SUMIF($F$25:$F$26,"NZ",$I$25:$I$26)+SUMIF($F$32:$F$32,"NZ",$I$32:$I$32)</f>
        <v>0</v>
      </c>
      <c r="E8" s="510">
        <f>SUM($J$25:$J$26)+SUM($J$32:$J$32)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inlineStr">
        <is>
          <t>TDD over/(under) budget ($m)</t>
        </is>
      </c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1298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N('0.1 Budget Table (Fin)'!Q12)</f>
        <v>5.8</v>
      </c>
      <c r="F13" s="504" t="n"/>
      <c r="G13" s="442" t="n"/>
      <c r="H13" s="175" t="inlineStr">
        <is>
          <t>P&amp;C Lights On</t>
        </is>
      </c>
      <c r="I13" s="1094">
        <f>N('0.1 Budget Table (Fin)'!L12)</f>
        <v>2.1</v>
      </c>
      <c r="J13" s="1110">
        <f>N('0.1 Budget Table (Fin)'!$I$23)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N('0.1 Budget Table (Fin)'!N12)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N('0.1 Budget Table (Fin)'!P12)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Over/(under) TDD budget</t>
        </is>
      </c>
      <c r="C16" s="1081">
        <f>$I$8+$I$9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N('0.1 Budget Table (Fin)'!O12)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Still to fund outside TDD</t>
        </is>
      </c>
      <c r="C17" s="1081">
        <f>$J21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1322" t="inlineStr">
        <is>
          <t>Total to fund</t>
        </is>
      </c>
      <c r="C18" s="1082">
        <f>$C16+$C17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(Fin)'!M12)</f>
        <v>0</v>
      </c>
      <c r="J18" s="1325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8">
      <c r="B38" t="inlineStr">
        <is>
          <t>Budget lines reading zero have no entry in the Finance pack for this segment; they are not a nil budget.</t>
        </is>
      </c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9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Config'!$D$19&gt;'0.2 Data Config'!$C$19,0,'0.2 Data Config'!$L$10)</f>
        <v>0.7975</v>
      </c>
      <c r="D6" s="510">
        <f>IF('0.2 Data Config'!$D$19&gt;'0.2 Data Config'!$C$19,'0.2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Config'!$D$19&gt;'0.2 Data Config'!$C$19,0,SUM(I28))</f>
        <v>0.165</v>
      </c>
      <c r="D7" s="510">
        <f>IF('0.2 Data Config'!$D$19&gt;'0.2 Data Config'!$C$19,SUM(I28),0)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SUMIF($F$26:$F$27,"AU",$I$26:$I$27)+SUMIF($F$33:$F$33,"AU",$I$33:$I$33)</f>
        <v>0.28</v>
      </c>
      <c r="D8" s="510">
        <f>SUMIF($F$26:$F$27,"NZ",$I$26:$I$27)+SUMIF($F$33:$F$33,"NZ",$I$33:$I$33)</f>
        <v>1.4</v>
      </c>
      <c r="E8" s="510">
        <f>SUM($J$26:$J$27)+SUM($J$33:$J$33)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(Fin)'!Q11)</f>
        <v>3.5</v>
      </c>
      <c r="F14" s="504" t="n"/>
      <c r="G14" s="442" t="n"/>
      <c r="H14" s="175" t="inlineStr">
        <is>
          <t>Corporate Finance Lights On</t>
        </is>
      </c>
      <c r="I14" s="1094">
        <f>N('0.1 Budget Table (Fin)'!L11)</f>
        <v>2.6</v>
      </c>
      <c r="J14" s="1110">
        <f>N('0.1 Budget Table (Fin)'!$I$22)</f>
        <v>1.3</v>
      </c>
      <c r="K14" s="1095">
        <f>IFERROR(I14-J14,0)</f>
        <v>1.3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(Fin)'!N11)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(Fin)'!P11)</f>
        <v>0</v>
      </c>
      <c r="J16" s="1325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(Fin)'!O11)</f>
        <v>0</v>
      </c>
      <c r="J17" s="1325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N('0.1 Budget Table (Fin)'!M11)</f>
        <v>0</v>
      </c>
      <c r="J19" s="1325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1.75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SAP ERP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1328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1328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324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  <row r="39">
      <c r="B39" t="inlineStr">
        <is>
          <t>Budget lines reading zero have no entry in the Finance pack for this segment; they are not a nil budget.</t>
        </is>
      </c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6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49" t="n"/>
      <c r="C4" s="949" t="n"/>
      <c r="D4" s="949" t="n"/>
      <c r="E4" s="949" t="n"/>
      <c r="F4" s="504" t="n"/>
      <c r="G4" s="442" t="n"/>
      <c r="H4" s="442" t="n"/>
      <c r="I4" s="442" t="n"/>
      <c r="J4" s="442" t="n"/>
      <c r="K4" s="442" t="n"/>
      <c r="L4" s="442" t="n"/>
      <c r="M4" s="442" t="n"/>
    </row>
    <row r="5">
      <c r="B5" s="908" t="inlineStr">
        <is>
          <t>Portfolio Summary</t>
        </is>
      </c>
      <c r="C5" s="909" t="n"/>
      <c r="D5" s="909" t="n"/>
      <c r="E5" s="910" t="n"/>
      <c r="F5" s="504" t="n"/>
      <c r="G5" s="442" t="n"/>
      <c r="H5" s="506" t="inlineStr">
        <is>
          <t>Budget vs TDD Cost</t>
        </is>
      </c>
      <c r="I5" s="506" t="n"/>
      <c r="J5" s="442" t="n"/>
      <c r="K5" s="442" t="n"/>
      <c r="L5" s="442" t="n"/>
      <c r="M5" s="442" t="n"/>
    </row>
    <row r="6" ht="29.15" customHeight="1">
      <c r="B6" s="468" t="inlineStr">
        <is>
          <t>Cost</t>
        </is>
      </c>
      <c r="C6" s="507" t="inlineStr">
        <is>
          <t>TDD AU ($m)</t>
        </is>
      </c>
      <c r="D6" s="507" t="inlineStr">
        <is>
          <t>TDD NZ ($m)</t>
        </is>
      </c>
      <c r="E6" s="507" t="inlineStr">
        <is>
          <t>Other ($m)</t>
        </is>
      </c>
      <c r="F6" s="507" t="inlineStr">
        <is>
          <t>Total ($m)</t>
        </is>
      </c>
      <c r="G6" s="563" t="n"/>
      <c r="H6" s="546" t="inlineStr">
        <is>
          <t>AU Budget ($m)</t>
        </is>
      </c>
      <c r="I6" s="510">
        <f>'0.2 Data Config'!$C$17</f>
        <v>2.5</v>
      </c>
      <c r="J6" s="442" t="n"/>
      <c r="K6" s="442" t="n"/>
      <c r="L6" s="442" t="n"/>
      <c r="M6" s="442" t="n"/>
    </row>
    <row r="7">
      <c r="B7" s="187" t="inlineStr">
        <is>
          <t>Portfolio Overhead (see 0.2 Data Config)</t>
        </is>
      </c>
      <c r="C7" s="510">
        <f>IF('0.2 Data Config'!$D$17&gt;'0.2 Data Config'!$C$17,0,'0.2 Data Config'!$L$10)</f>
        <v>0.7975</v>
      </c>
      <c r="D7" s="510">
        <f>IF('0.2 Data Config'!$D$17&gt;'0.2 Data Config'!$C$17,'0.2 Data Config'!$L$10,0)</f>
        <v>0</v>
      </c>
      <c r="E7" s="510">
        <f>0</f>
        <v>0</v>
      </c>
      <c r="F7" s="510">
        <f>C7+D7+E7</f>
        <v>0.7975</v>
      </c>
      <c r="G7" s="545" t="n"/>
      <c r="H7" s="546" t="inlineStr">
        <is>
          <t>NZ Budget ($m)</t>
        </is>
      </c>
      <c r="I7" s="510">
        <f>'0.2 Data Config'!$D$17</f>
        <v>0</v>
      </c>
      <c r="J7" s="442" t="n"/>
      <c r="K7" s="442" t="n"/>
      <c r="L7" s="442" t="n"/>
      <c r="M7" s="442" t="n"/>
    </row>
    <row r="8">
      <c r="B8" s="187" t="inlineStr">
        <is>
          <t>Platform Overheads</t>
        </is>
      </c>
      <c r="C8" s="510">
        <f>IF('0.2 Data Config'!$D$17&gt;'0.2 Data Config'!$C$17,0,SUM(I27,I34,I40))</f>
        <v>0.495</v>
      </c>
      <c r="D8" s="510">
        <f>IF('0.2 Data Config'!$D$17&gt;'0.2 Data Config'!$C$17,SUM(I27,I34,I40),0)</f>
        <v>0</v>
      </c>
      <c r="E8" s="510">
        <f>0</f>
        <v>0</v>
      </c>
      <c r="F8" s="510">
        <f>C8+D8+E8</f>
        <v>0.495</v>
      </c>
      <c r="G8" s="545" t="n"/>
      <c r="H8" s="566" t="inlineStr">
        <is>
          <t>AU over/(under) budget ($m)</t>
        </is>
      </c>
      <c r="I8" s="1112">
        <f>C10-I6</f>
        <v>0.5525</v>
      </c>
      <c r="J8" s="442" t="n"/>
      <c r="K8" s="442" t="n"/>
      <c r="L8" s="442" t="n"/>
      <c r="M8" s="442" t="n"/>
    </row>
    <row r="9">
      <c r="B9" s="473" t="inlineStr">
        <is>
          <t>Squad Support Costs</t>
        </is>
      </c>
      <c r="C9" s="510">
        <f>SUMIF($F$26:$F$26,"AU",$I$26:$I$26)+SUMIF($F$32:$F$33,"AU",$I$32:$I$33)+SUMIF($F$39:$F$39,"AU",$I$39:$I$39)</f>
        <v>1.76</v>
      </c>
      <c r="D9" s="510">
        <f>SUMIF($F$26:$F$26,"NZ",$I$26:$I$26)+SUMIF($F$32:$F$33,"NZ",$I$32:$I$33)+SUMIF($F$39:$F$39,"NZ",$I$39:$I$39)</f>
        <v>0</v>
      </c>
      <c r="E9" s="510">
        <f>SUM($J$26:$J$26)+SUM($J$32:$J$33)+SUM($J$39:$J$39)</f>
        <v>4.64</v>
      </c>
      <c r="F9" s="510">
        <f>C9+D9+E9</f>
        <v>6.4</v>
      </c>
      <c r="G9" s="545" t="n"/>
      <c r="H9" s="549" t="inlineStr">
        <is>
          <t>NZ over/(under) budget ($m)</t>
        </is>
      </c>
      <c r="I9" s="1093">
        <f>D10-I7</f>
        <v>0</v>
      </c>
      <c r="J9" s="442" t="n"/>
      <c r="K9" s="442" t="n"/>
      <c r="L9" s="442" t="n"/>
      <c r="M9" s="442" t="n"/>
    </row>
    <row r="10">
      <c r="B10" s="517" t="inlineStr">
        <is>
          <t>Total Cost</t>
        </is>
      </c>
      <c r="C10" s="518">
        <f>SUM(C7:C9)</f>
        <v>3.0525</v>
      </c>
      <c r="D10" s="518">
        <f>SUM(D7:D9)</f>
        <v>0</v>
      </c>
      <c r="E10" s="518">
        <f>SUM(E7:E9)</f>
        <v>4.64</v>
      </c>
      <c r="F10" s="518">
        <f>SUM(F7:F9)</f>
        <v>7.6925</v>
      </c>
      <c r="G10" s="437" t="n"/>
      <c r="H10" s="568" t="inlineStr">
        <is>
          <t>TDD over/(under) budget ($m)</t>
        </is>
      </c>
      <c r="I10" s="1108">
        <f>I8+I9</f>
        <v>0.5525</v>
      </c>
      <c r="J10" s="442" t="n"/>
      <c r="K10" s="442" t="n"/>
      <c r="L10" s="442" t="n"/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N('0.1 Budget Table (Fin)'!Q10)</f>
        <v>9.3</v>
      </c>
      <c r="F14" s="504" t="n"/>
      <c r="G14" s="442" t="n"/>
      <c r="H14" s="175" t="inlineStr">
        <is>
          <t>Infrastructure Lights On</t>
        </is>
      </c>
      <c r="I14" s="1094">
        <f>N('0.1 Budget Table (Fin)'!L10)</f>
        <v>3.9</v>
      </c>
      <c r="J14" s="334">
        <f>N('0.1 Budget Table (Fin)'!$I$21)</f>
        <v>2</v>
      </c>
      <c r="K14" s="1095">
        <f>IFERROR(I14-J14,0)</f>
        <v>1.9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(Fin)'!N10)</f>
        <v>0.4</v>
      </c>
      <c r="J15" s="1325" t="n">
        <v>0</v>
      </c>
      <c r="K15" s="1095">
        <f>IFERROR(I15-J15,0)</f>
        <v>0.4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(Fin)'!P10)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Over/(under) TDD budget</t>
        </is>
      </c>
      <c r="C17" s="1081">
        <f>$I$9+$I$10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(Fin)'!O10)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(Fin)'!M10)</f>
        <v>0</v>
      </c>
      <c r="J18" s="1325" t="n">
        <v>0</v>
      </c>
      <c r="K18" s="1095">
        <f>IFERROR(I18-J18,0)</f>
        <v>0</v>
      </c>
      <c r="L18" s="442" t="n"/>
      <c r="M18" s="442" t="n"/>
    </row>
    <row r="19">
      <c r="B19" s="1322" t="inlineStr">
        <is>
          <t>Total to fund</t>
        </is>
      </c>
      <c r="C19" s="1082">
        <f>$C17+$C18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4.5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E10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E10-(J19-J14)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14:D14"/>
    <mergeCell ref="B37:J37"/>
    <mergeCell ref="H12:K12"/>
    <mergeCell ref="B13:D13"/>
    <mergeCell ref="B5:E5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2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Config'!$D$16&gt;'0.2 Data Config'!$C$16,0,'0.2 Data Config'!$L$10)</f>
        <v>0.7975</v>
      </c>
      <c r="D6" s="510">
        <f>IF('0.2 Data Config'!$D$16&gt;'0.2 Data Config'!$C$16,'0.2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Config'!$D$16&gt;'0.2 Data Config'!$C$16,0,SUM(I30,I36))</f>
        <v>0.33</v>
      </c>
      <c r="D7" s="510">
        <f>IF('0.2 Data Config'!$D$16&gt;'0.2 Data Config'!$C$16,SUM(I30,I36),0)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SUMIF($F$28:$F$29,"AU",$I$28:$I$29)+SUMIF($F$35:$F$35,"AU",$I$35:$I$35)</f>
        <v>1.9</v>
      </c>
      <c r="D8" s="510">
        <f>SUMIF($F$28:$F$29,"NZ",$I$28:$I$29)+SUMIF($F$35:$F$35,"NZ",$I$35:$I$35)</f>
        <v>0</v>
      </c>
      <c r="E8" s="510">
        <f>SUM($J$28:$J$29)+SUM($J$35:$J$35)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N('0.1 Budget Table (Fin)'!Q7)</f>
        <v>7.2</v>
      </c>
      <c r="F13" s="504" t="n"/>
      <c r="G13" s="442" t="n"/>
      <c r="H13" s="175" t="inlineStr">
        <is>
          <t>Energy Solutions Lights On</t>
        </is>
      </c>
      <c r="I13" s="1094">
        <f>N('0.1 Budget Table (Fin)'!L7)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329" t="n">
        <v>2.5</v>
      </c>
      <c r="J14" s="1325" t="n">
        <v>2.5</v>
      </c>
      <c r="K14" s="1095">
        <f>IFERROR(I14-J14,0)</f>
        <v>0</v>
      </c>
      <c r="L14" s="554" t="n"/>
      <c r="M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329" t="n">
        <v>2.5</v>
      </c>
      <c r="J15" s="1325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Over/(under) TDD budget</t>
        </is>
      </c>
      <c r="C16" s="1081">
        <f>$I$8+$I$9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Still to fund outside TDD</t>
        </is>
      </c>
      <c r="C17" s="1081">
        <f>$J23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1322" t="inlineStr">
        <is>
          <t>Total to fund</t>
        </is>
      </c>
      <c r="C18" s="1082">
        <f>$C16+$C17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325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N('0.1 Budget Table (Fin)'!O7)</f>
        <v>0</v>
      </c>
      <c r="J19" s="1325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N('0.1 Budget Table (Fin)'!M7)</f>
        <v>0</v>
      </c>
      <c r="J20" s="1325" t="n">
        <v>0</v>
      </c>
      <c r="K20" s="1095">
        <f>IFERROR(I20-J20,0)</f>
        <v>0</v>
      </c>
      <c r="L20" s="554" t="n"/>
      <c r="M20" s="442" t="n"/>
    </row>
    <row r="21">
      <c r="B21" s="1298" t="inlineStr">
        <is>
          <t>Budget block does not reconcile: E12 totals $8.9m against $7.2m in Finance. I14 and I15 are hand-typed 2.5s in a column that otherwise references 0.1 Budget Table (Fin).</t>
        </is>
      </c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  <row r="42">
      <c r="B42" t="inlineStr">
        <is>
          <t>Budget lines reading zero have no entry in the Finance pack for this segment; they are not a nil budget.</t>
        </is>
      </c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6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Config'!$D$15&gt;'0.2 Data Config'!$C$15,0,'0.2 Data Config'!$L$10)</f>
        <v>0.7975</v>
      </c>
      <c r="D6" s="510">
        <f>IF('0.2 Data Config'!$D$15&gt;'0.2 Data Config'!$C$15,'0.2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Config'!$D$15&gt;'0.2 Data Config'!$C$15,0,SUM(I28,I34,I40))</f>
        <v>0.495</v>
      </c>
      <c r="D7" s="510">
        <f>IF('0.2 Data Config'!$D$15&gt;'0.2 Data Config'!$C$15,SUM(I28,I34,I40),0)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SUMIF($F$26:$F$27,"AU",$I$26:$I$27)+SUMIF($F$33:$F$33,"AU",$I$33:$I$33)+SUMIF($F$39:$F$39,"AU",$I$39:$I$39)</f>
        <v>1.26</v>
      </c>
      <c r="D8" s="510">
        <f>SUMIF($F$26:$F$27,"NZ",$I$26:$I$27)+SUMIF($F$33:$F$33,"NZ",$I$33:$I$33)+SUMIF($F$39:$F$39,"NZ",$I$39:$I$39)</f>
        <v>0</v>
      </c>
      <c r="E8" s="510">
        <f>SUM($J$26:$J$27)+SUM($J$33:$J$33)+SUM($J$39:$J$39)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N('0.1 Budget Table (Fin)'!Q8)</f>
        <v>40.5</v>
      </c>
      <c r="F13" s="504" t="n"/>
      <c r="G13" s="442" t="n"/>
      <c r="H13" s="473" t="inlineStr">
        <is>
          <t>Commercial Fuels Lights On</t>
        </is>
      </c>
      <c r="I13" s="1085">
        <f>N('0.1 Budget Table (Fin)'!L8)</f>
        <v>13.4</v>
      </c>
      <c r="J13" s="1084">
        <f>N('0.1 Budget Table (Fin)'!$I$19)</f>
        <v>1.2</v>
      </c>
      <c r="K13" s="990">
        <f>IFERROR(I13-J13,0)</f>
        <v>12.2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N('0.1 Budget Table (Fin)'!N8)</f>
        <v>6.1</v>
      </c>
      <c r="J14" s="1323" t="n">
        <v>1.7</v>
      </c>
      <c r="K14" s="990">
        <f>IFERROR(I14-J14,0)</f>
        <v>4.4</v>
      </c>
      <c r="L14" s="554" t="n"/>
      <c r="M14" s="442" t="n"/>
      <c r="N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N('0.1 Budget Table (Fin)'!P8)</f>
        <v>6.8</v>
      </c>
      <c r="J15" s="1323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Over/(under) TDD budget</t>
        </is>
      </c>
      <c r="C16" s="1081">
        <f>$I$8+$I$9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N('0.1 Budget Table (Fin)'!P5)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Still to fund outside TDD</t>
        </is>
      </c>
      <c r="C17" s="1081">
        <f>$J21</f>
        <v>0.240000000000001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N('0.1 Budget Table (Fin)'!O8)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1322" t="inlineStr">
        <is>
          <t>Total to fund</t>
        </is>
      </c>
      <c r="C18" s="1082">
        <f>$C16+$C17</f>
        <v>0.292500000000001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N('0.1 Budget Table (Fin)'!M8)</f>
        <v>0</v>
      </c>
      <c r="J18" s="1323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8.38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0.240000000000001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324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47" t="inlineStr">
        <is>
          <t>Portfolio</t>
        </is>
      </c>
      <c r="C5" s="1247" t="inlineStr">
        <is>
          <t>Budget ($m)</t>
        </is>
      </c>
      <c r="D5" s="1247" t="inlineStr">
        <is>
          <t>Actual cost ($m)</t>
        </is>
      </c>
      <c r="E5" s="1247" t="inlineStr">
        <is>
          <t>Over/(under) budget ($m)</t>
        </is>
      </c>
      <c r="F5" s="1247" t="inlineStr">
        <is>
          <t>Squad cost ($m)</t>
        </is>
      </c>
      <c r="G5" s="1247" t="inlineStr">
        <is>
          <t>Archetype cost ($m)</t>
        </is>
      </c>
      <c r="H5" s="1247" t="inlineStr">
        <is>
          <t>Over/(under) archetype ($m)</t>
        </is>
      </c>
      <c r="I5" s="1247" t="inlineStr">
        <is>
          <t>Overhead cost ($m)</t>
        </is>
      </c>
      <c r="J5" s="1247" t="inlineStr">
        <is>
          <t>Roles</t>
        </is>
      </c>
      <c r="K5" s="1247" t="inlineStr">
        <is>
          <t>Vacant</t>
        </is>
      </c>
      <c r="L5" s="1247" t="inlineStr">
        <is>
          <t>Cost after decisions ($m)</t>
        </is>
      </c>
      <c r="M5" s="507" t="n"/>
      <c r="N5" s="572" t="n"/>
    </row>
    <row r="6">
      <c r="B6" s="473" t="str">
        <f>'3.2 Total Cost'!$B$6</f>
        <v>Ampol Retail</v>
      </c>
      <c r="C6" s="1343">
        <f>SUMPRODUCT(('0.2 Data Config'!$B$6:$B$25&lt;&gt;"")*(IFERROR(INDEX(Lists!$AL$2:$AL$19,MATCH('0.2 Data Config'!$B$6:$B$25,Lists!$AK$2:$AK$19,0)),"")=$B6)*'0.2 Data Config'!$E$6:$E$25)</f>
        <v>5.5</v>
      </c>
      <c r="D6" s="1343">
        <f>'3.2 Total Cost'!$F$6</f>
        <v>14.005227457</v>
      </c>
      <c r="E6" s="1343">
        <f>$D6-$C6</f>
        <v>8.505227457</v>
      </c>
      <c r="F6" s="1344">
        <f>'3.2 Total Cost'!$H$6</f>
        <v>12.749611494</v>
      </c>
      <c r="G6" s="1344">
        <f>'3.2 Total Cost'!$J$6</f>
        <v>9.88</v>
      </c>
      <c r="H6" s="1344">
        <f>'3.2 Total Cost'!$K$6</f>
        <v>2.869611494</v>
      </c>
      <c r="I6" s="1343">
        <f>'3.2 Total Cost'!$M$6</f>
        <v>1.255615963</v>
      </c>
      <c r="J6" s="1345">
        <f>'3.2 Total Cost'!$C$6</f>
        <v>70</v>
      </c>
      <c r="K6" s="1345">
        <f>'3.2 Total Cost'!$E$6</f>
        <v>22</v>
      </c>
      <c r="L6" s="1346">
        <f>'3.2 Total Cost'!$N$6</f>
        <v>23.700932224</v>
      </c>
      <c r="M6" s="510" t="n"/>
      <c r="N6" s="949" t="n"/>
    </row>
    <row r="7">
      <c r="B7" s="473" t="str">
        <f>'3.2 Total Cost'!$B$7</f>
        <v>Customer</v>
      </c>
      <c r="C7" s="1343">
        <f>SUMPRODUCT(('0.2 Data Config'!$B$6:$B$25&lt;&gt;"")*(IFERROR(INDEX(Lists!$AL$2:$AL$19,MATCH('0.2 Data Config'!$B$6:$B$25,Lists!$AK$2:$AK$19,0)),"")=$B7)*'0.2 Data Config'!$E$6:$E$25)</f>
        <v>6.5</v>
      </c>
      <c r="D7" s="1343">
        <f>'3.2 Total Cost'!$F$7</f>
        <v>17.12686714</v>
      </c>
      <c r="E7" s="1343">
        <f>$D7-$C7</f>
        <v>10.62686714</v>
      </c>
      <c r="F7" s="1344">
        <f>'3.2 Total Cost'!$H$7</f>
        <v>15.353894302</v>
      </c>
      <c r="G7" s="1344">
        <f>'3.2 Total Cost'!$J$7</f>
        <v>12.06</v>
      </c>
      <c r="H7" s="1344">
        <f>'3.2 Total Cost'!$K$7</f>
        <v>3.293894302</v>
      </c>
      <c r="I7" s="1343">
        <f>'3.2 Total Cost'!$M$7</f>
        <v>1.772972838</v>
      </c>
      <c r="J7" s="1345">
        <f>'3.2 Total Cost'!$C$7</f>
        <v>83</v>
      </c>
      <c r="K7" s="1345">
        <f>'3.2 Total Cost'!$E$7</f>
        <v>13</v>
      </c>
      <c r="L7" s="1346">
        <f>'3.2 Total Cost'!$N$7</f>
        <v>32.601593184</v>
      </c>
      <c r="M7" s="510" t="n"/>
      <c r="N7" s="949" t="n"/>
    </row>
    <row r="8">
      <c r="B8" s="473" t="str">
        <f>'3.2 Total Cost'!$B$8</f>
        <v>Enterprise Data</v>
      </c>
      <c r="C8" s="1343">
        <f>SUMPRODUCT(('0.2 Data Config'!$B$6:$B$25&lt;&gt;"")*(IFERROR(INDEX(Lists!$AL$2:$AL$19,MATCH('0.2 Data Config'!$B$6:$B$25,Lists!$AK$2:$AK$19,0)),"")=$B8)*'0.2 Data Config'!$E$6:$E$25)</f>
        <v>3.5</v>
      </c>
      <c r="D8" s="1343">
        <f>'3.2 Total Cost'!$F$8</f>
        <v>6.418403776</v>
      </c>
      <c r="E8" s="1343">
        <f>$D8-$C8</f>
        <v>2.918403776</v>
      </c>
      <c r="F8" s="1344">
        <f>'3.2 Total Cost'!$H$8</f>
        <v>5.357369326</v>
      </c>
      <c r="G8" s="1344">
        <f>'3.2 Total Cost'!$J$8</f>
        <v>4.3</v>
      </c>
      <c r="H8" s="1344">
        <f>'3.2 Total Cost'!$K$8</f>
        <v>1.057369326</v>
      </c>
      <c r="I8" s="1343">
        <f>'3.2 Total Cost'!$M$8</f>
        <v>1.06103445</v>
      </c>
      <c r="J8" s="1345">
        <f>'3.2 Total Cost'!$C$8</f>
        <v>28</v>
      </c>
      <c r="K8" s="1345">
        <f>'3.2 Total Cost'!$E$8</f>
        <v>9</v>
      </c>
      <c r="L8" s="1346">
        <f>'3.2 Total Cost'!$N$8</f>
        <v>11.075855302</v>
      </c>
      <c r="M8" s="510" t="n"/>
      <c r="N8" s="949" t="n"/>
    </row>
    <row r="9">
      <c r="B9" s="473" t="str">
        <f>'3.2 Total Cost'!$B$9</f>
        <v>TDD Group Functions</v>
      </c>
      <c r="C9" s="1343">
        <f>SUMPRODUCT(('0.2 Data Config'!$B$6:$B$25&lt;&gt;"")*(IFERROR(INDEX(Lists!$AL$2:$AL$19,MATCH('0.2 Data Config'!$B$6:$B$25,Lists!$AK$2:$AK$19,0)),"")=$B9)*'0.2 Data Config'!$E$6:$E$25)</f>
        <v>5.5</v>
      </c>
      <c r="D9" s="1343">
        <f>'3.2 Total Cost'!$F$9</f>
        <v>10.0312294824</v>
      </c>
      <c r="E9" s="1343">
        <f>$D9-$C9</f>
        <v>4.5312294824</v>
      </c>
      <c r="F9" s="1344">
        <f>'3.2 Total Cost'!$H$9</f>
        <v>8.3657382324</v>
      </c>
      <c r="G9" s="1344">
        <f>'3.2 Total Cost'!$J$9</f>
        <v>5.7</v>
      </c>
      <c r="H9" s="1344">
        <f>'3.2 Total Cost'!$K$9</f>
        <v>2.6657382324</v>
      </c>
      <c r="I9" s="1343">
        <f>'3.2 Total Cost'!$M$9</f>
        <v>1.66549125</v>
      </c>
      <c r="J9" s="1345">
        <f>'3.2 Total Cost'!$C$9</f>
        <v>46</v>
      </c>
      <c r="K9" s="1345">
        <f>'3.2 Total Cost'!$E$9</f>
        <v>14</v>
      </c>
      <c r="L9" s="1346">
        <f>'3.2 Total Cost'!$N$9</f>
        <v>16.7165469648</v>
      </c>
      <c r="M9" s="510" t="n"/>
      <c r="N9" s="949" t="n"/>
    </row>
    <row r="10">
      <c r="B10" s="473" t="str">
        <f>'3.2 Total Cost'!$B$10</f>
        <v>P&amp;C</v>
      </c>
      <c r="C10" s="1343">
        <f>SUMPRODUCT(('0.2 Data Config'!$B$6:$B$25&lt;&gt;"")*(IFERROR(INDEX(Lists!$AL$2:$AL$19,MATCH('0.2 Data Config'!$B$6:$B$25,Lists!$AK$2:$AK$19,0)),"")=$B10)*'0.2 Data Config'!$E$6:$E$25)</f>
        <v>2</v>
      </c>
      <c r="D10" s="1343">
        <f>'3.2 Total Cost'!$F$10</f>
        <v>4.18444088</v>
      </c>
      <c r="E10" s="1343">
        <f>$D10-$C10</f>
        <v>2.18444088</v>
      </c>
      <c r="F10" s="1344">
        <f>'3.2 Total Cost'!$H$10</f>
        <v>3.26857108</v>
      </c>
      <c r="G10" s="1344">
        <f>'3.2 Total Cost'!$J$10</f>
        <v>3.5</v>
      </c>
      <c r="H10" s="1344">
        <f>'3.2 Total Cost'!$K$10</f>
        <v>-0.23142892</v>
      </c>
      <c r="I10" s="1343">
        <f>'3.2 Total Cost'!$M$10</f>
        <v>0.9158698</v>
      </c>
      <c r="J10" s="1345">
        <f>'3.2 Total Cost'!$C$10</f>
        <v>18</v>
      </c>
      <c r="K10" s="1345">
        <f>'3.2 Total Cost'!$E$10</f>
        <v>10</v>
      </c>
      <c r="L10" s="1346">
        <f>'3.2 Total Cost'!$N$10</f>
        <v>6.25447686</v>
      </c>
      <c r="M10" s="510" t="n"/>
      <c r="N10" s="949" t="n"/>
    </row>
    <row r="11">
      <c r="B11" s="473" t="str">
        <f>'3.2 Total Cost'!$B$11</f>
        <v>Finance</v>
      </c>
      <c r="C11" s="1343">
        <f>SUMPRODUCT(('0.2 Data Config'!$B$6:$B$25&lt;&gt;"")*(IFERROR(INDEX(Lists!$AL$2:$AL$19,MATCH('0.2 Data Config'!$B$6:$B$25,Lists!$AK$2:$AK$19,0)),"")=$B11)*'0.2 Data Config'!$E$6:$E$25)</f>
        <v>2</v>
      </c>
      <c r="D11" s="1343">
        <f>'3.2 Total Cost'!$F$11</f>
        <v>3.844616116</v>
      </c>
      <c r="E11" s="1343">
        <f>$D11-$C11</f>
        <v>1.844616116</v>
      </c>
      <c r="F11" s="1344">
        <f>'3.2 Total Cost'!$H$11</f>
        <v>3.521055666</v>
      </c>
      <c r="G11" s="1344">
        <f>'3.2 Total Cost'!$J$11</f>
        <v>2.8</v>
      </c>
      <c r="H11" s="1344">
        <f>'3.2 Total Cost'!$K$11</f>
        <v>0.721055666</v>
      </c>
      <c r="I11" s="1343">
        <f>'3.2 Total Cost'!$M$11</f>
        <v>0.32356045</v>
      </c>
      <c r="J11" s="1345">
        <f>'3.2 Total Cost'!$C$11</f>
        <v>17</v>
      </c>
      <c r="K11" s="1345">
        <f>'3.2 Total Cost'!$E$11</f>
        <v>8</v>
      </c>
      <c r="L11" s="1346">
        <f>'3.2 Total Cost'!$N$11</f>
        <v>5.892550862</v>
      </c>
      <c r="M11" s="510" t="n"/>
      <c r="N11" s="949" t="n"/>
    </row>
    <row r="12">
      <c r="B12" s="473" t="str">
        <f>'3.2 Total Cost'!$B$12</f>
        <v>Infrastructure</v>
      </c>
      <c r="C12" s="1343">
        <f>SUMPRODUCT(('0.2 Data Config'!$B$6:$B$25&lt;&gt;"")*(IFERROR(INDEX(Lists!$AL$2:$AL$19,MATCH('0.2 Data Config'!$B$6:$B$25,Lists!$AK$2:$AK$19,0)),"")=$B12)*'0.2 Data Config'!$E$6:$E$25)</f>
        <v>2.5</v>
      </c>
      <c r="D12" s="1343">
        <f>'3.2 Total Cost'!$F$12</f>
        <v>7.74836354</v>
      </c>
      <c r="E12" s="1343">
        <f>$D12-$C12</f>
        <v>5.24836354</v>
      </c>
      <c r="F12" s="1344">
        <f>'3.2 Total Cost'!$H$12</f>
        <v>6.55730609</v>
      </c>
      <c r="G12" s="1344">
        <f>'3.2 Total Cost'!$J$12</f>
        <v>6.4</v>
      </c>
      <c r="H12" s="1344">
        <f>'3.2 Total Cost'!$K$12</f>
        <v>0.157306089999999</v>
      </c>
      <c r="I12" s="1343">
        <f>'3.2 Total Cost'!$M$12</f>
        <v>1.19105745</v>
      </c>
      <c r="J12" s="1345">
        <f>'3.2 Total Cost'!$C$12</f>
        <v>36</v>
      </c>
      <c r="K12" s="1345">
        <f>'3.2 Total Cost'!$E$12</f>
        <v>12</v>
      </c>
      <c r="L12" s="1346">
        <f>'3.2 Total Cost'!$N$12</f>
        <v>12.85194033</v>
      </c>
      <c r="M12" s="510" t="n"/>
      <c r="N12" s="949" t="n"/>
    </row>
    <row r="13">
      <c r="B13" s="473" t="str">
        <f>'3.2 Total Cost'!$B$13</f>
        <v>Energy Solutions &amp; B2B</v>
      </c>
      <c r="C13" s="1343">
        <f>SUMPRODUCT(('0.2 Data Config'!$B$6:$B$25&lt;&gt;"")*(IFERROR(INDEX(Lists!$AL$2:$AL$19,MATCH('0.2 Data Config'!$B$6:$B$25,Lists!$AK$2:$AK$19,0)),"")=$B13)*'0.2 Data Config'!$E$6:$E$25)</f>
        <v>2.5</v>
      </c>
      <c r="D13" s="1343">
        <f>'3.2 Total Cost'!$F$13</f>
        <v>6.447816278</v>
      </c>
      <c r="E13" s="1343">
        <f>$D13-$C13</f>
        <v>3.947816278</v>
      </c>
      <c r="F13" s="1344">
        <f>'3.2 Total Cost'!$H$13</f>
        <v>5.327874328</v>
      </c>
      <c r="G13" s="1344">
        <f>'3.2 Total Cost'!$J$13</f>
        <v>7.9</v>
      </c>
      <c r="H13" s="1344">
        <f>'3.2 Total Cost'!$K$13</f>
        <v>-2.572125672</v>
      </c>
      <c r="I13" s="1343">
        <f>'3.2 Total Cost'!$M$13</f>
        <v>1.11994195</v>
      </c>
      <c r="J13" s="1345">
        <f>'3.2 Total Cost'!$C$13</f>
        <v>33</v>
      </c>
      <c r="K13" s="1345">
        <f>'3.2 Total Cost'!$E$13</f>
        <v>9</v>
      </c>
      <c r="L13" s="1346">
        <f>'3.2 Total Cost'!$N$13</f>
        <v>10.866367306</v>
      </c>
      <c r="M13" s="510" t="n"/>
      <c r="N13" s="949" t="n"/>
    </row>
    <row r="14">
      <c r="B14" s="473" t="str">
        <f>'3.2 Total Cost'!$B$14</f>
        <v>Commercial Fuels</v>
      </c>
      <c r="C14" s="1343">
        <f>SUMPRODUCT(('0.2 Data Config'!$B$6:$B$25&lt;&gt;"")*(IFERROR(INDEX(Lists!$AL$2:$AL$19,MATCH('0.2 Data Config'!$B$6:$B$25,Lists!$AK$2:$AK$19,0)),"")=$B14)*'0.2 Data Config'!$E$6:$E$25)</f>
        <v>2.5</v>
      </c>
      <c r="D14" s="1343">
        <f>'3.2 Total Cost'!$F$14</f>
        <v>10.1976697287</v>
      </c>
      <c r="E14" s="1343">
        <f>$D14-$C14</f>
        <v>7.6976697287</v>
      </c>
      <c r="F14" s="1344">
        <f>'3.2 Total Cost'!$H$14</f>
        <v>9.0663273927</v>
      </c>
      <c r="G14" s="1344">
        <f>'3.2 Total Cost'!$J$14</f>
        <v>4.88</v>
      </c>
      <c r="H14" s="1344">
        <f>'3.2 Total Cost'!$K$14</f>
        <v>4.1863273927</v>
      </c>
      <c r="I14" s="1343">
        <f>'3.2 Total Cost'!$M$14</f>
        <v>1.131342336</v>
      </c>
      <c r="J14" s="1345">
        <f>'3.2 Total Cost'!$C$14</f>
        <v>42</v>
      </c>
      <c r="K14" s="1345">
        <f>'3.2 Total Cost'!$E$14</f>
        <v>9</v>
      </c>
      <c r="L14" s="1346">
        <f>'3.2 Total Cost'!$N$14</f>
        <v>18.4787192074</v>
      </c>
      <c r="M14" s="510" t="n"/>
      <c r="N14" s="949" t="n"/>
    </row>
    <row r="15">
      <c r="B15" s="473" t="str">
        <f>'3.2 Total Cost'!$B$15</f>
        <v>Z Retail</v>
      </c>
      <c r="C15" s="1343">
        <f>SUMPRODUCT(('0.2 Data Config'!$B$6:$B$25&lt;&gt;"")*(IFERROR(INDEX(Lists!$AL$2:$AL$19,MATCH('0.2 Data Config'!$B$6:$B$25,Lists!$AK$2:$AK$19,0)),"")=$B15)*'0.2 Data Config'!$E$6:$E$25)</f>
        <v>6.5</v>
      </c>
      <c r="D15" s="1343">
        <f>'3.2 Total Cost'!$F$15</f>
        <v>7.337294352</v>
      </c>
      <c r="E15" s="1343">
        <f>$D15-$C15</f>
        <v>0.837294352</v>
      </c>
      <c r="F15" s="1344">
        <f>'3.2 Total Cost'!$H$15</f>
        <v>6.119950684</v>
      </c>
      <c r="G15" s="1344">
        <f>'3.2 Total Cost'!$J$15</f>
        <v>6.78</v>
      </c>
      <c r="H15" s="1344">
        <f>'3.2 Total Cost'!$K$15</f>
        <v>-0.660049316</v>
      </c>
      <c r="I15" s="1343">
        <f>'3.2 Total Cost'!$M$15</f>
        <v>1.217343668</v>
      </c>
      <c r="J15" s="1345">
        <f>'3.2 Total Cost'!$C$15</f>
        <v>39</v>
      </c>
      <c r="K15" s="1345">
        <f>'3.2 Total Cost'!$E$15</f>
        <v>7</v>
      </c>
      <c r="L15" s="1346">
        <f>'3.2 Total Cost'!$N$15</f>
        <v>13.023660704</v>
      </c>
      <c r="M15" s="510" t="n"/>
      <c r="N15" s="949" t="n"/>
    </row>
    <row r="16">
      <c r="B16" s="504" t="str">
        <f>'3.2 Total Cost'!$B$17</f>
        <v>COE Cyber</v>
      </c>
      <c r="C16" s="1347">
        <f>SUMPRODUCT(('0.2 Data Config'!$B$6:$B$25&lt;&gt;"")*(IFERROR(INDEX(Lists!$AL$2:$AL$19,MATCH('0.2 Data Config'!$B$6:$B$25,Lists!$AK$2:$AK$19,0)),"")=$B16)*'0.2 Data Config'!$E$6:$E$25)</f>
        <v>3.5</v>
      </c>
      <c r="D16" s="1347">
        <f>'3.2 Total Cost'!$F$17</f>
        <v>9.897858294</v>
      </c>
      <c r="E16" s="1347">
        <f>$D16-$C16</f>
        <v>6.397858294</v>
      </c>
      <c r="F16" s="1347">
        <f>'3.2 Total Cost'!$H$17</f>
        <v>9.897858294</v>
      </c>
      <c r="G16" s="1347" t="str">
        <f>'3.2 Total Cost'!$J$17</f>
        <v>-</v>
      </c>
      <c r="H16" s="1347" t="str">
        <f>'3.2 Total Cost'!$K$17</f>
        <v>-</v>
      </c>
      <c r="I16" s="1347">
        <f>'3.2 Total Cost'!$M$17</f>
        <v>0</v>
      </c>
      <c r="J16" s="1348">
        <f>'3.2 Total Cost'!$C$17</f>
        <v>46</v>
      </c>
      <c r="K16" s="1348">
        <f>'3.2 Total Cost'!$E$17</f>
        <v>4</v>
      </c>
      <c r="L16" s="1349">
        <f>'3.2 Total Cost'!$N$17</f>
        <v>19.096948588</v>
      </c>
      <c r="M16" s="545" t="n"/>
      <c r="N16" s="504" t="n"/>
    </row>
    <row r="17">
      <c r="B17" s="517" t="str">
        <f>'3.2 Total Cost'!$B$18</f>
        <v>COE BP&amp;T</v>
      </c>
      <c r="C17" s="1344">
        <f>SUMPRODUCT(('0.2 Data Config'!$B$6:$B$25&lt;&gt;"")*(IFERROR(INDEX(Lists!$AL$2:$AL$19,MATCH('0.2 Data Config'!$B$6:$B$25,Lists!$AK$2:$AK$19,0)),"")=$B17)*'0.2 Data Config'!$E$6:$E$25)</f>
        <v>4</v>
      </c>
      <c r="D17" s="1344">
        <f>'3.2 Total Cost'!$F$18</f>
        <v>6.400561822</v>
      </c>
      <c r="E17" s="1344">
        <f>$D17-$C17</f>
        <v>2.400561822</v>
      </c>
      <c r="F17" s="1344">
        <f>'3.2 Total Cost'!$H$18</f>
        <v>6.400561822</v>
      </c>
      <c r="G17" s="1344" t="str">
        <f>'3.2 Total Cost'!$J$18</f>
        <v>-</v>
      </c>
      <c r="H17" s="1344" t="str">
        <f>'3.2 Total Cost'!$K$18</f>
        <v>-</v>
      </c>
      <c r="I17" s="1344">
        <f>'3.2 Total Cost'!$M$18</f>
        <v>0</v>
      </c>
      <c r="J17" s="1350">
        <f>'3.2 Total Cost'!$C$18</f>
        <v>24</v>
      </c>
      <c r="K17" s="1350">
        <f>'3.2 Total Cost'!$E$18</f>
        <v>9</v>
      </c>
      <c r="L17" s="1351">
        <f>'3.2 Total Cost'!$N$18</f>
        <v>10.453609664</v>
      </c>
      <c r="M17" s="1121" t="n"/>
    </row>
    <row r="18">
      <c r="B18" s="473" t="str">
        <f>'3.2 Total Cost'!$B$19</f>
        <v>COE SA&amp;D</v>
      </c>
      <c r="C18" s="1343">
        <f>SUMPRODUCT(('0.2 Data Config'!$B$6:$B$25&lt;&gt;"")*(IFERROR(INDEX(Lists!$AL$2:$AL$19,MATCH('0.2 Data Config'!$B$6:$B$25,Lists!$AK$2:$AK$19,0)),"")=$B18)*'0.2 Data Config'!$E$6:$E$25)</f>
        <v>4</v>
      </c>
      <c r="D18" s="1343">
        <f>'3.2 Total Cost'!$F$19</f>
        <v>6.529494052</v>
      </c>
      <c r="E18" s="1343">
        <f>$D18-$C18</f>
        <v>2.529494052</v>
      </c>
      <c r="F18" s="1344">
        <f>'3.2 Total Cost'!$H$19</f>
        <v>6.529494052</v>
      </c>
      <c r="G18" s="1344" t="str">
        <f>'3.2 Total Cost'!$J$19</f>
        <v>-</v>
      </c>
      <c r="H18" s="1344" t="str">
        <f>'3.2 Total Cost'!$K$19</f>
        <v>-</v>
      </c>
      <c r="I18" s="1343">
        <f>'3.2 Total Cost'!$M$19</f>
        <v>0</v>
      </c>
      <c r="J18" s="1345">
        <f>'3.2 Total Cost'!$C$19</f>
        <v>26</v>
      </c>
      <c r="K18" s="1345">
        <f>'3.2 Total Cost'!$E$19</f>
        <v>9</v>
      </c>
      <c r="L18" s="1346">
        <f>'3.2 Total Cost'!$N$19</f>
        <v>10.791992554</v>
      </c>
      <c r="M18" s="510" t="n"/>
    </row>
    <row r="19">
      <c r="B19" s="473" t="str">
        <f>'3.2 Total Cost'!$B$20</f>
        <v>EGI</v>
      </c>
      <c r="C19" s="1343">
        <f>SUMPRODUCT(('0.2 Data Config'!$B$6:$B$25&lt;&gt;"")*(IFERROR(INDEX(Lists!$AL$2:$AL$19,MATCH('0.2 Data Config'!$B$6:$B$25,Lists!$AK$2:$AK$19,0)),"")=$B19)*'0.2 Data Config'!$E$6:$E$25)</f>
        <v>0</v>
      </c>
      <c r="D19" s="1343">
        <f>'3.2 Total Cost'!$F$20</f>
        <v>4.94341935</v>
      </c>
      <c r="E19" s="1343">
        <f>$D19-$C19</f>
        <v>4.94341935</v>
      </c>
      <c r="F19" s="1344">
        <f>'3.2 Total Cost'!$H$20</f>
        <v>4.94341935</v>
      </c>
      <c r="G19" s="1344" t="str">
        <f>'3.2 Total Cost'!$J$20</f>
        <v>-</v>
      </c>
      <c r="H19" s="1344" t="str">
        <f>'3.2 Total Cost'!$K$20</f>
        <v>-</v>
      </c>
      <c r="I19" s="1343">
        <f>'3.2 Total Cost'!$M$20</f>
        <v>0</v>
      </c>
      <c r="J19" s="1345">
        <f>'3.2 Total Cost'!$C$20</f>
        <v>17</v>
      </c>
      <c r="K19" s="1345">
        <f>'3.2 Total Cost'!$E$20</f>
        <v>0</v>
      </c>
      <c r="L19" s="1346">
        <f>'3.2 Total Cost'!$N$20</f>
        <v>9.8868387</v>
      </c>
      <c r="M19" s="510" t="n"/>
    </row>
    <row r="20">
      <c r="B20" s="1212" t="inlineStr">
        <is>
          <t>Total</t>
        </is>
      </c>
      <c r="C20" s="1343">
        <f>SUM(C6:C19)</f>
        <v>50.5</v>
      </c>
      <c r="D20" s="1343">
        <f>SUM(D6:D19)</f>
        <v>115.1132622681</v>
      </c>
      <c r="E20" s="1343">
        <f>$D20-$C20</f>
        <v>64.6132622681</v>
      </c>
      <c r="F20" s="1344">
        <f>SUM(F6:F19)</f>
        <v>103.4590321131</v>
      </c>
      <c r="G20" s="1344">
        <f>'3.2 Total Cost'!$J$21</f>
        <v>64.2</v>
      </c>
      <c r="H20" s="1344">
        <f>'3.2 Total Cost'!$K$21</f>
        <v>11.4876985951</v>
      </c>
      <c r="I20" s="1343">
        <f>SUM(I6:I19)</f>
        <v>11.654230155</v>
      </c>
      <c r="J20" s="1345">
        <f>SUM(J6:J19)</f>
        <v>525</v>
      </c>
      <c r="K20" s="1345">
        <f>SUM(K6:K19)</f>
        <v>135</v>
      </c>
      <c r="L20" s="1346">
        <f>SUM(L6:L19)</f>
        <v>201.6920324502</v>
      </c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7"/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8"/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3"/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Delivery squads are compared to the squad archetype; overhead is compared to the allowance. Both together are the ledger.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47" t="inlineStr">
        <is>
          <t>Portfolio</t>
        </is>
      </c>
      <c r="C5" s="1247" t="inlineStr">
        <is>
          <t>Roles</t>
        </is>
      </c>
      <c r="D5" s="1247" t="inlineStr">
        <is>
          <t>Filled</t>
        </is>
      </c>
      <c r="E5" s="1247" t="inlineStr">
        <is>
          <t>Vacant</t>
        </is>
      </c>
      <c r="F5" s="1247" t="inlineStr">
        <is>
          <t>Actual cost ($m)</t>
        </is>
      </c>
      <c r="G5" s="1247" t="inlineStr">
        <is>
          <t>Squad roles</t>
        </is>
      </c>
      <c r="H5" s="1247" t="inlineStr">
        <is>
          <t>Squad cost ($m)</t>
        </is>
      </c>
      <c r="I5" s="1247" t="inlineStr">
        <is>
          <t>Archetype roles</t>
        </is>
      </c>
      <c r="J5" s="1247" t="inlineStr">
        <is>
          <t>Archetype cost ($m)</t>
        </is>
      </c>
      <c r="K5" s="1247" t="inlineStr">
        <is>
          <t>Over/(under) archetype ($m)</t>
        </is>
      </c>
      <c r="L5" s="1247" t="inlineStr">
        <is>
          <t>Overhead roles</t>
        </is>
      </c>
      <c r="M5" s="1269" t="inlineStr">
        <is>
          <t>Overhead cost ($m)</t>
        </is>
      </c>
      <c r="N5" s="1269" t="inlineStr">
        <is>
          <t>Cost after decisions ($m)</t>
        </is>
      </c>
    </row>
    <row r="6">
      <c r="B6" s="549" t="inlineStr">
        <is>
          <t>Ampol Retail</t>
        </is>
      </c>
      <c r="C6" s="1270">
        <f>COUNTIFS('REVIEW - Complete Role Mapping'!$AJ$2:$AJ$528,$B6)</f>
        <v>70</v>
      </c>
      <c r="D6" s="1270">
        <f>COUNTIFS('REVIEW - Complete Role Mapping'!$AJ$2:$AJ$528,$B6,'REVIEW - Complete Role Mapping'!$AK$2:$AK$528,"Filled")</f>
        <v>48</v>
      </c>
      <c r="E6" s="1270">
        <f>COUNTIFS('REVIEW - Complete Role Mapping'!$AJ$2:$AJ$528,$B6,'REVIEW - Complete Role Mapping'!$AK$2:$AK$528,"Vacant")</f>
        <v>22</v>
      </c>
      <c r="F6" s="1352">
        <f>SUMIFS('REVIEW - Complete Role Mapping'!$AA$2:$AA$528,'REVIEW - Complete Role Mapping'!$AJ$2:$AJ$528,$B6)/1000000</f>
        <v>14.005227457</v>
      </c>
      <c r="G6" s="1270">
        <f>'2.1 Ampol Retail'!$E$16</f>
        <v>65</v>
      </c>
      <c r="H6" s="1352">
        <f>'2.1 Ampol Retail'!$M$16</f>
        <v>12.749611494</v>
      </c>
      <c r="I6" s="1270">
        <f>'2.1 Ampol Retail'!$D$16</f>
        <v>47.5</v>
      </c>
      <c r="J6" s="1352">
        <f>'2.1 Ampol Retail'!$L$16</f>
        <v>9.88</v>
      </c>
      <c r="K6" s="1352">
        <f>$H6-$J6</f>
        <v>2.869611494</v>
      </c>
      <c r="L6" s="1270">
        <f>'2.1 Ampol Retail'!$E$21</f>
        <v>5</v>
      </c>
      <c r="M6" s="1347">
        <f>'2.1 Ampol Retail'!$M$21</f>
        <v>1.255615963</v>
      </c>
      <c r="N6" s="1263">
        <f>'2.1 Ampol Retail'!$O$23</f>
        <v>23.700932224</v>
      </c>
    </row>
    <row r="7">
      <c r="B7" s="549" t="inlineStr">
        <is>
          <t>Customer</t>
        </is>
      </c>
      <c r="C7" s="1270">
        <f>COUNTIFS('REVIEW - Complete Role Mapping'!$AJ$2:$AJ$528,$B7)</f>
        <v>83</v>
      </c>
      <c r="D7" s="1270">
        <f>COUNTIFS('REVIEW - Complete Role Mapping'!$AJ$2:$AJ$528,$B7,'REVIEW - Complete Role Mapping'!$AK$2:$AK$528,"Filled")</f>
        <v>70</v>
      </c>
      <c r="E7" s="1270">
        <f>COUNTIFS('REVIEW - Complete Role Mapping'!$AJ$2:$AJ$528,$B7,'REVIEW - Complete Role Mapping'!$AK$2:$AK$528,"Vacant")</f>
        <v>13</v>
      </c>
      <c r="F7" s="1352">
        <f>SUMIFS('REVIEW - Complete Role Mapping'!$AA$2:$AA$528,'REVIEW - Complete Role Mapping'!$AJ$2:$AJ$528,$B7)/1000000</f>
        <v>17.12686714</v>
      </c>
      <c r="G7" s="1270">
        <f>'2.2 Customer'!$E$16</f>
        <v>75</v>
      </c>
      <c r="H7" s="1352">
        <f>'2.2 Customer'!$M$16</f>
        <v>15.353894302</v>
      </c>
      <c r="I7" s="1270">
        <f>'2.2 Customer'!$D$16</f>
        <v>57</v>
      </c>
      <c r="J7" s="1352">
        <f>'2.2 Customer'!$L$16</f>
        <v>12.06</v>
      </c>
      <c r="K7" s="1352">
        <f>$H7-$J7</f>
        <v>3.293894302</v>
      </c>
      <c r="L7" s="1270">
        <f>'2.2 Customer'!$E$21</f>
        <v>8</v>
      </c>
      <c r="M7" s="1347">
        <f>'2.2 Customer'!$M$21</f>
        <v>1.772972838</v>
      </c>
      <c r="N7" s="1263">
        <f>'2.2 Customer'!$O$23</f>
        <v>32.601593184</v>
      </c>
    </row>
    <row r="8">
      <c r="B8" s="549" t="inlineStr">
        <is>
          <t>Enterprise Data</t>
        </is>
      </c>
      <c r="C8" s="1270">
        <f>COUNTIFS('REVIEW - Complete Role Mapping'!$AJ$2:$AJ$528,$B8)</f>
        <v>28</v>
      </c>
      <c r="D8" s="1270">
        <f>COUNTIFS('REVIEW - Complete Role Mapping'!$AJ$2:$AJ$528,$B8,'REVIEW - Complete Role Mapping'!$AK$2:$AK$528,"Filled")</f>
        <v>19</v>
      </c>
      <c r="E8" s="1270">
        <f>COUNTIFS('REVIEW - Complete Role Mapping'!$AJ$2:$AJ$528,$B8,'REVIEW - Complete Role Mapping'!$AK$2:$AK$528,"Vacant")</f>
        <v>9</v>
      </c>
      <c r="F8" s="1352">
        <f>SUMIFS('REVIEW - Complete Role Mapping'!$AA$2:$AA$528,'REVIEW - Complete Role Mapping'!$AJ$2:$AJ$528,$B8)/1000000</f>
        <v>6.418403776</v>
      </c>
      <c r="G8" s="1270">
        <f>'2.3 Enterprise Data'!$E$9</f>
        <v>25</v>
      </c>
      <c r="H8" s="1352">
        <f>'2.3 Enterprise Data'!$M$9</f>
        <v>5.357369326</v>
      </c>
      <c r="I8" s="1270">
        <f>'2.3 Enterprise Data'!$D$9</f>
        <v>19</v>
      </c>
      <c r="J8" s="1352">
        <f>'2.3 Enterprise Data'!$L$9</f>
        <v>4.3</v>
      </c>
      <c r="K8" s="1352">
        <f>$H8-$J8</f>
        <v>1.057369326</v>
      </c>
      <c r="L8" s="1270">
        <f>'2.3 Enterprise Data'!$E$13</f>
        <v>3</v>
      </c>
      <c r="M8" s="1347">
        <f>'2.3 Enterprise Data'!$M$13</f>
        <v>1.06103445</v>
      </c>
      <c r="N8" s="1263">
        <f>'2.3 Enterprise Data'!$O$15</f>
        <v>11.075855302</v>
      </c>
    </row>
    <row r="9">
      <c r="B9" s="549" t="inlineStr">
        <is>
          <t>TDD Group Functions</t>
        </is>
      </c>
      <c r="C9" s="1270">
        <f>COUNTIFS('REVIEW - Complete Role Mapping'!$AJ$2:$AJ$528,$B9)</f>
        <v>46</v>
      </c>
      <c r="D9" s="1270">
        <f>COUNTIFS('REVIEW - Complete Role Mapping'!$AJ$2:$AJ$528,$B9,'REVIEW - Complete Role Mapping'!$AK$2:$AK$528,"Filled")</f>
        <v>32</v>
      </c>
      <c r="E9" s="1270">
        <f>COUNTIFS('REVIEW - Complete Role Mapping'!$AJ$2:$AJ$528,$B9,'REVIEW - Complete Role Mapping'!$AK$2:$AK$528,"Vacant")</f>
        <v>14</v>
      </c>
      <c r="F9" s="1352">
        <f>SUMIFS('REVIEW - Complete Role Mapping'!$AA$2:$AA$528,'REVIEW - Complete Role Mapping'!$AJ$2:$AJ$528,$B9)/1000000</f>
        <v>10.0312294824</v>
      </c>
      <c r="G9" s="1270">
        <f>'2.4 TDD Group Functions'!$E$11</f>
        <v>40</v>
      </c>
      <c r="H9" s="1352">
        <f>'2.4 TDD Group Functions'!$M$11</f>
        <v>8.3657382324</v>
      </c>
      <c r="I9" s="1270">
        <f>'2.4 TDD Group Functions'!$D$11</f>
        <v>25.5</v>
      </c>
      <c r="J9" s="1352">
        <f>'2.4 TDD Group Functions'!$L$11</f>
        <v>5.7</v>
      </c>
      <c r="K9" s="1352">
        <f>$H9-$J9</f>
        <v>2.6657382324</v>
      </c>
      <c r="L9" s="1270">
        <f>'2.4 TDD Group Functions'!$E$16</f>
        <v>6</v>
      </c>
      <c r="M9" s="1347">
        <f>'2.4 TDD Group Functions'!$M$16</f>
        <v>1.66549125</v>
      </c>
      <c r="N9" s="1263">
        <f>'2.4 TDD Group Functions'!$O$18</f>
        <v>16.7165469648</v>
      </c>
    </row>
    <row r="10">
      <c r="B10" s="549" t="inlineStr">
        <is>
          <t>P&amp;C</t>
        </is>
      </c>
      <c r="C10" s="1270">
        <f>COUNTIFS('REVIEW - Complete Role Mapping'!$AJ$2:$AJ$528,$B10)</f>
        <v>18</v>
      </c>
      <c r="D10" s="1270">
        <f>COUNTIFS('REVIEW - Complete Role Mapping'!$AJ$2:$AJ$528,$B10,'REVIEW - Complete Role Mapping'!$AK$2:$AK$528,"Filled")</f>
        <v>8</v>
      </c>
      <c r="E10" s="1270">
        <f>COUNTIFS('REVIEW - Complete Role Mapping'!$AJ$2:$AJ$528,$B10,'REVIEW - Complete Role Mapping'!$AK$2:$AK$528,"Vacant")</f>
        <v>10</v>
      </c>
      <c r="F10" s="1352">
        <f>SUMIFS('REVIEW - Complete Role Mapping'!$AA$2:$AA$528,'REVIEW - Complete Role Mapping'!$AJ$2:$AJ$528,$B10)/1000000</f>
        <v>4.18444088</v>
      </c>
      <c r="G10" s="1270">
        <f>'2.5 P&amp;C'!$E$9</f>
        <v>15</v>
      </c>
      <c r="H10" s="1352">
        <f>'2.5 P&amp;C'!$M$9</f>
        <v>3.26857108</v>
      </c>
      <c r="I10" s="1270">
        <f>'2.5 P&amp;C'!$D$9</f>
        <v>15</v>
      </c>
      <c r="J10" s="1352">
        <f>'2.5 P&amp;C'!$L$9</f>
        <v>3.5</v>
      </c>
      <c r="K10" s="1352">
        <f>$H10-$J10</f>
        <v>-0.23142892</v>
      </c>
      <c r="L10" s="1270">
        <f>'2.5 P&amp;C'!$E$14</f>
        <v>3</v>
      </c>
      <c r="M10" s="1347">
        <f>'2.5 P&amp;C'!$M$14</f>
        <v>0.9158698</v>
      </c>
      <c r="N10" s="1263">
        <f>'2.5 P&amp;C'!$O$16</f>
        <v>6.25447686</v>
      </c>
    </row>
    <row r="11">
      <c r="B11" s="549" t="inlineStr">
        <is>
          <t>Finance</t>
        </is>
      </c>
      <c r="C11" s="1270">
        <f>COUNTIFS('REVIEW - Complete Role Mapping'!$AJ$2:$AJ$528,$B11)</f>
        <v>17</v>
      </c>
      <c r="D11" s="1270">
        <f>COUNTIFS('REVIEW - Complete Role Mapping'!$AJ$2:$AJ$528,$B11,'REVIEW - Complete Role Mapping'!$AK$2:$AK$528,"Filled")</f>
        <v>9</v>
      </c>
      <c r="E11" s="1270">
        <f>COUNTIFS('REVIEW - Complete Role Mapping'!$AJ$2:$AJ$528,$B11,'REVIEW - Complete Role Mapping'!$AK$2:$AK$528,"Vacant")</f>
        <v>8</v>
      </c>
      <c r="F11" s="1352">
        <f>SUMIFS('REVIEW - Complete Role Mapping'!$AA$2:$AA$528,'REVIEW - Complete Role Mapping'!$AJ$2:$AJ$528,$B11)/1000000</f>
        <v>3.844616116</v>
      </c>
      <c r="G11" s="1270">
        <f>'2.6 Finance'!$E$9</f>
        <v>16</v>
      </c>
      <c r="H11" s="1352">
        <f>'2.6 Finance'!$M$9</f>
        <v>3.521055666</v>
      </c>
      <c r="I11" s="1270">
        <f>'2.6 Finance'!$D$9</f>
        <v>12</v>
      </c>
      <c r="J11" s="1352">
        <f>'2.6 Finance'!$L$9</f>
        <v>2.8</v>
      </c>
      <c r="K11" s="1352">
        <f>$H11-$J11</f>
        <v>0.721055666</v>
      </c>
      <c r="L11" s="1270">
        <f>'2.6 Finance'!$E$12</f>
        <v>1</v>
      </c>
      <c r="M11" s="1347">
        <f>'2.6 Finance'!$M$12</f>
        <v>0.32356045</v>
      </c>
      <c r="N11" s="1263">
        <f>'2.6 Finance'!$O$14</f>
        <v>5.892550862</v>
      </c>
    </row>
    <row r="12">
      <c r="B12" s="549" t="inlineStr">
        <is>
          <t>Infrastructure</t>
        </is>
      </c>
      <c r="C12" s="1270">
        <f>COUNTIFS('REVIEW - Complete Role Mapping'!$AJ$2:$AJ$528,$B12)</f>
        <v>36</v>
      </c>
      <c r="D12" s="1270">
        <f>COUNTIFS('REVIEW - Complete Role Mapping'!$AJ$2:$AJ$528,$B12,'REVIEW - Complete Role Mapping'!$AK$2:$AK$528,"Filled")</f>
        <v>24</v>
      </c>
      <c r="E12" s="1270">
        <f>COUNTIFS('REVIEW - Complete Role Mapping'!$AJ$2:$AJ$528,$B12,'REVIEW - Complete Role Mapping'!$AK$2:$AK$528,"Vacant")</f>
        <v>12</v>
      </c>
      <c r="F12" s="1352">
        <f>SUMIFS('REVIEW - Complete Role Mapping'!$AA$2:$AA$528,'REVIEW - Complete Role Mapping'!$AJ$2:$AJ$528,$B12)/1000000</f>
        <v>7.74836354</v>
      </c>
      <c r="G12" s="1270">
        <f>'2.7 Infrastructure'!$E$11</f>
        <v>32</v>
      </c>
      <c r="H12" s="1352">
        <f>'2.7 Infrastructure'!$M$11</f>
        <v>6.55730609</v>
      </c>
      <c r="I12" s="1270">
        <f>'2.7 Infrastructure'!$D$11</f>
        <v>28</v>
      </c>
      <c r="J12" s="1352">
        <f>'2.7 Infrastructure'!$L$11</f>
        <v>6.4</v>
      </c>
      <c r="K12" s="1352">
        <f>$H12-$J12</f>
        <v>0.157306089999999</v>
      </c>
      <c r="L12" s="1270">
        <f>'2.7 Infrastructure'!$E$16</f>
        <v>4</v>
      </c>
      <c r="M12" s="1347">
        <f>'2.7 Infrastructure'!$M$16</f>
        <v>1.19105745</v>
      </c>
      <c r="N12" s="1263">
        <f>'2.7 Infrastructure'!$O$18</f>
        <v>12.85194033</v>
      </c>
    </row>
    <row r="13">
      <c r="B13" s="549" t="inlineStr">
        <is>
          <t>Energy Solutions &amp; B2B</t>
        </is>
      </c>
      <c r="C13" s="1270">
        <f>COUNTIFS('REVIEW - Complete Role Mapping'!$AJ$2:$AJ$528,$B13)</f>
        <v>33</v>
      </c>
      <c r="D13" s="1270">
        <f>COUNTIFS('REVIEW - Complete Role Mapping'!$AJ$2:$AJ$528,$B13,'REVIEW - Complete Role Mapping'!$AK$2:$AK$528,"Filled")</f>
        <v>24</v>
      </c>
      <c r="E13" s="1270">
        <f>COUNTIFS('REVIEW - Complete Role Mapping'!$AJ$2:$AJ$528,$B13,'REVIEW - Complete Role Mapping'!$AK$2:$AK$528,"Vacant")</f>
        <v>9</v>
      </c>
      <c r="F13" s="1352">
        <f>SUMIFS('REVIEW - Complete Role Mapping'!$AA$2:$AA$528,'REVIEW - Complete Role Mapping'!$AJ$2:$AJ$528,$B13)/1000000</f>
        <v>6.447816278</v>
      </c>
      <c r="G13" s="1270">
        <f>'2.8 Energy Solutions &amp; B2B'!$E$9</f>
        <v>29</v>
      </c>
      <c r="H13" s="1352">
        <f>'2.8 Energy Solutions &amp; B2B'!$M$9</f>
        <v>5.327874328</v>
      </c>
      <c r="I13" s="1270">
        <f>'2.8 Energy Solutions &amp; B2B'!$D$9</f>
        <v>35</v>
      </c>
      <c r="J13" s="1352">
        <f>'2.8 Energy Solutions &amp; B2B'!$L$9</f>
        <v>7.9</v>
      </c>
      <c r="K13" s="1352">
        <f>$H13-$J13</f>
        <v>-2.572125672</v>
      </c>
      <c r="L13" s="1270">
        <f>'2.8 Energy Solutions &amp; B2B'!$E$14</f>
        <v>4</v>
      </c>
      <c r="M13" s="1347">
        <f>'2.8 Energy Solutions &amp; B2B'!$M$14</f>
        <v>1.11994195</v>
      </c>
      <c r="N13" s="1263">
        <f>'2.8 Energy Solutions &amp; B2B'!$O$16</f>
        <v>10.866367306</v>
      </c>
    </row>
    <row r="14">
      <c r="B14" s="549" t="inlineStr">
        <is>
          <t>Commercial Fuels</t>
        </is>
      </c>
      <c r="C14" s="1270">
        <f>COUNTIFS('REVIEW - Complete Role Mapping'!$AJ$2:$AJ$528,$B14)</f>
        <v>42</v>
      </c>
      <c r="D14" s="1270">
        <f>COUNTIFS('REVIEW - Complete Role Mapping'!$AJ$2:$AJ$528,$B14,'REVIEW - Complete Role Mapping'!$AK$2:$AK$528,"Filled")</f>
        <v>33</v>
      </c>
      <c r="E14" s="1270">
        <f>COUNTIFS('REVIEW - Complete Role Mapping'!$AJ$2:$AJ$528,$B14,'REVIEW - Complete Role Mapping'!$AK$2:$AK$528,"Vacant")</f>
        <v>9</v>
      </c>
      <c r="F14" s="1352">
        <f>SUMIFS('REVIEW - Complete Role Mapping'!$AA$2:$AA$528,'REVIEW - Complete Role Mapping'!$AJ$2:$AJ$528,$B14)/1000000</f>
        <v>10.1976697287</v>
      </c>
      <c r="G14" s="1270">
        <f>'2.9 Commercial Fuels'!$E$10</f>
        <v>38</v>
      </c>
      <c r="H14" s="1352">
        <f>'2.9 Commercial Fuels'!$M$10</f>
        <v>9.0663273927</v>
      </c>
      <c r="I14" s="1270">
        <f>'2.9 Commercial Fuels'!$D$10</f>
        <v>25.5</v>
      </c>
      <c r="J14" s="1352">
        <f>'2.9 Commercial Fuels'!$L$10</f>
        <v>4.88</v>
      </c>
      <c r="K14" s="1352">
        <f>$H14-$J14</f>
        <v>4.1863273927</v>
      </c>
      <c r="L14" s="1270">
        <f>'2.9 Commercial Fuels'!$E$15</f>
        <v>4</v>
      </c>
      <c r="M14" s="1347">
        <f>'2.9 Commercial Fuels'!$M$15</f>
        <v>1.131342336</v>
      </c>
      <c r="N14" s="1263">
        <f>'2.9 Commercial Fuels'!$O$17</f>
        <v>18.4787192074</v>
      </c>
    </row>
    <row r="15">
      <c r="B15" s="549" t="inlineStr">
        <is>
          <t>Z Retail</t>
        </is>
      </c>
      <c r="C15" s="1270">
        <f>COUNTIFS('REVIEW - Complete Role Mapping'!$AJ$2:$AJ$528,$B15)</f>
        <v>39</v>
      </c>
      <c r="D15" s="1270">
        <f>COUNTIFS('REVIEW - Complete Role Mapping'!$AJ$2:$AJ$528,$B15,'REVIEW - Complete Role Mapping'!$AK$2:$AK$528,"Filled")</f>
        <v>32</v>
      </c>
      <c r="E15" s="1270">
        <f>COUNTIFS('REVIEW - Complete Role Mapping'!$AJ$2:$AJ$528,$B15,'REVIEW - Complete Role Mapping'!$AK$2:$AK$528,"Vacant")</f>
        <v>7</v>
      </c>
      <c r="F15" s="1352">
        <f>SUMIFS('REVIEW - Complete Role Mapping'!$AA$2:$AA$528,'REVIEW - Complete Role Mapping'!$AJ$2:$AJ$528,$B15)/1000000</f>
        <v>7.337294352</v>
      </c>
      <c r="G15" s="1270">
        <f>'2.10 Z Retail'!$E$10</f>
        <v>34</v>
      </c>
      <c r="H15" s="1352">
        <f>'2.10 Z Retail'!$M$10</f>
        <v>6.119950684</v>
      </c>
      <c r="I15" s="1270">
        <f>'2.10 Z Retail'!$D$10</f>
        <v>34.5</v>
      </c>
      <c r="J15" s="1352">
        <f>'2.10 Z Retail'!$L$10</f>
        <v>6.78</v>
      </c>
      <c r="K15" s="1352">
        <f>$H15-$J15</f>
        <v>-0.660049316</v>
      </c>
      <c r="L15" s="1270">
        <f>'2.10 Z Retail'!$E$15</f>
        <v>5</v>
      </c>
      <c r="M15" s="1347">
        <f>'2.10 Z Retail'!$M$15</f>
        <v>1.217343668</v>
      </c>
      <c r="N15" s="1263">
        <f>'2.10 Z Retail'!$O$17</f>
        <v>13.023660704</v>
      </c>
    </row>
    <row r="16">
      <c r="B16" s="1218" t="inlineStr">
        <is>
          <t>Portfolios with a squad archetype</t>
        </is>
      </c>
      <c r="C16" s="1270">
        <f>SUM(C6:C15)</f>
        <v>412</v>
      </c>
      <c r="D16" s="1270">
        <f>SUM(D6:D15)</f>
        <v>299</v>
      </c>
      <c r="E16" s="1270">
        <f>SUM(E6:E15)</f>
        <v>113</v>
      </c>
      <c r="F16" s="1352">
        <f>SUM(F6:F15)</f>
        <v>87.3419287501</v>
      </c>
      <c r="G16" s="1270">
        <f>SUM(G6:G15)</f>
        <v>369</v>
      </c>
      <c r="H16" s="1352">
        <f>SUM(H6:H15)</f>
        <v>75.6876985951</v>
      </c>
      <c r="I16" s="1270">
        <f>SUM(I6:I15)</f>
        <v>299</v>
      </c>
      <c r="J16" s="1352">
        <f>SUM(J6:J15)</f>
        <v>64.2</v>
      </c>
      <c r="K16" s="1352">
        <f>SUM(K6:K15)</f>
        <v>11.4876985951</v>
      </c>
      <c r="L16" s="1270">
        <f>SUM(L6:L15)</f>
        <v>43</v>
      </c>
      <c r="M16" s="1347">
        <f>SUM(M6:M15)</f>
        <v>11.654230155</v>
      </c>
      <c r="N16" s="1263">
        <f>SUM(N6:N15)</f>
        <v>151.4626429442</v>
      </c>
    </row>
    <row r="17">
      <c r="B17" s="549" t="inlineStr">
        <is>
          <t>COE Cyber</t>
        </is>
      </c>
      <c r="C17" s="1270">
        <f>COUNTIFS('REVIEW - Complete Role Mapping'!$AJ$2:$AJ$528,$B17)</f>
        <v>46</v>
      </c>
      <c r="D17" s="1270">
        <f>COUNTIFS('REVIEW - Complete Role Mapping'!$AJ$2:$AJ$528,$B17,'REVIEW - Complete Role Mapping'!$AK$2:$AK$528,"Filled")</f>
        <v>42</v>
      </c>
      <c r="E17" s="1270">
        <f>COUNTIFS('REVIEW - Complete Role Mapping'!$AJ$2:$AJ$528,$B17,'REVIEW - Complete Role Mapping'!$AK$2:$AK$528,"Vacant")</f>
        <v>4</v>
      </c>
      <c r="F17" s="1352">
        <f>SUMIFS('REVIEW - Complete Role Mapping'!$AA$2:$AA$528,'REVIEW - Complete Role Mapping'!$AJ$2:$AJ$528,$B17)/1000000</f>
        <v>9.897858294</v>
      </c>
      <c r="G17" s="1270">
        <f>'2.11 TDD Cyber'!$E$11</f>
        <v>46</v>
      </c>
      <c r="H17" s="1352">
        <f>'2.11 TDD Cyber'!$M$11</f>
        <v>9.897858294</v>
      </c>
      <c r="I17" s="1270" t="str">
        <f>"-"</f>
        <v>-</v>
      </c>
      <c r="J17" s="1352" t="str">
        <f>"-"</f>
        <v>-</v>
      </c>
      <c r="K17" s="1352" t="str">
        <f>"-"</f>
        <v>-</v>
      </c>
      <c r="L17" s="1270">
        <f>0</f>
        <v>0</v>
      </c>
      <c r="M17" s="1347">
        <f>0</f>
        <v>0</v>
      </c>
      <c r="N17" s="1353">
        <f>'2.11 TDD Cyber'!$O$15</f>
        <v>19.096948588</v>
      </c>
    </row>
    <row r="18">
      <c r="B18" s="549" t="inlineStr">
        <is>
          <t>COE BP&amp;T</t>
        </is>
      </c>
      <c r="C18" s="1270">
        <f>COUNTIFS('REVIEW - Complete Role Mapping'!$AJ$2:$AJ$528,$B18)</f>
        <v>24</v>
      </c>
      <c r="D18" s="1270">
        <f>COUNTIFS('REVIEW - Complete Role Mapping'!$AJ$2:$AJ$528,$B18,'REVIEW - Complete Role Mapping'!$AK$2:$AK$528,"Filled")</f>
        <v>15</v>
      </c>
      <c r="E18" s="1270">
        <f>COUNTIFS('REVIEW - Complete Role Mapping'!$AJ$2:$AJ$528,$B18,'REVIEW - Complete Role Mapping'!$AK$2:$AK$528,"Vacant")</f>
        <v>9</v>
      </c>
      <c r="F18" s="1352">
        <f>SUMIFS('REVIEW - Complete Role Mapping'!$AA$2:$AA$528,'REVIEW - Complete Role Mapping'!$AJ$2:$AJ$528,$B18)/1000000</f>
        <v>6.400561822</v>
      </c>
      <c r="G18" s="1270">
        <f>'2.12 BP&amp;T'!$E$9</f>
        <v>24</v>
      </c>
      <c r="H18" s="1352">
        <f>'2.12 BP&amp;T'!$M$9</f>
        <v>6.400561822</v>
      </c>
      <c r="I18" s="1270" t="str">
        <f>"-"</f>
        <v>-</v>
      </c>
      <c r="J18" s="1352" t="str">
        <f>"-"</f>
        <v>-</v>
      </c>
      <c r="K18" s="1352" t="str">
        <f>"-"</f>
        <v>-</v>
      </c>
      <c r="L18" s="1270">
        <f>0</f>
        <v>0</v>
      </c>
      <c r="M18" s="1347">
        <f>0</f>
        <v>0</v>
      </c>
      <c r="N18" s="1353">
        <f>'2.12 BP&amp;T'!$O$13</f>
        <v>10.453609664</v>
      </c>
    </row>
    <row r="19">
      <c r="B19" s="549" t="inlineStr">
        <is>
          <t>COE SA&amp;D</t>
        </is>
      </c>
      <c r="C19" s="1270">
        <f>COUNTIFS('REVIEW - Complete Role Mapping'!$AJ$2:$AJ$528,$B19)</f>
        <v>26</v>
      </c>
      <c r="D19" s="1270">
        <f>COUNTIFS('REVIEW - Complete Role Mapping'!$AJ$2:$AJ$528,$B19,'REVIEW - Complete Role Mapping'!$AK$2:$AK$528,"Filled")</f>
        <v>17</v>
      </c>
      <c r="E19" s="1270">
        <f>COUNTIFS('REVIEW - Complete Role Mapping'!$AJ$2:$AJ$528,$B19,'REVIEW - Complete Role Mapping'!$AK$2:$AK$528,"Vacant")</f>
        <v>9</v>
      </c>
      <c r="F19" s="1352">
        <f>SUMIFS('REVIEW - Complete Role Mapping'!$AA$2:$AA$528,'REVIEW - Complete Role Mapping'!$AJ$2:$AJ$528,$B19)/1000000</f>
        <v>6.529494052</v>
      </c>
      <c r="G19" s="1270">
        <f>'2.13 SA&amp;D'!$E$11</f>
        <v>26</v>
      </c>
      <c r="H19" s="1352">
        <f>'2.13 SA&amp;D'!$M$11</f>
        <v>6.529494052</v>
      </c>
      <c r="I19" s="1270" t="str">
        <f>"-"</f>
        <v>-</v>
      </c>
      <c r="J19" s="1352" t="str">
        <f>"-"</f>
        <v>-</v>
      </c>
      <c r="K19" s="1352" t="str">
        <f>"-"</f>
        <v>-</v>
      </c>
      <c r="L19" s="1270">
        <f>0</f>
        <v>0</v>
      </c>
      <c r="M19" s="1347">
        <f>0</f>
        <v>0</v>
      </c>
      <c r="N19" s="1353">
        <f>'2.13 SA&amp;D'!$O$15</f>
        <v>10.791992554</v>
      </c>
    </row>
    <row r="20">
      <c r="B20" s="549" t="inlineStr">
        <is>
          <t>EGI</t>
        </is>
      </c>
      <c r="C20" s="1270">
        <f>COUNTIFS('REVIEW - Complete Role Mapping'!$AJ$2:$AJ$528,$B20)</f>
        <v>17</v>
      </c>
      <c r="D20" s="1270">
        <f>COUNTIFS('REVIEW - Complete Role Mapping'!$AJ$2:$AJ$528,$B20,'REVIEW - Complete Role Mapping'!$AK$2:$AK$528,"Filled")</f>
        <v>17</v>
      </c>
      <c r="E20" s="1270">
        <f>COUNTIFS('REVIEW - Complete Role Mapping'!$AJ$2:$AJ$528,$B20,'REVIEW - Complete Role Mapping'!$AK$2:$AK$528,"Vacant")</f>
        <v>0</v>
      </c>
      <c r="F20" s="1352">
        <f>SUMIFS('REVIEW - Complete Role Mapping'!$AA$2:$AA$528,'REVIEW - Complete Role Mapping'!$AJ$2:$AJ$528,$B20)/1000000</f>
        <v>4.94341935</v>
      </c>
      <c r="G20" s="1270">
        <f>'2.14 EGI'!$E$7</f>
        <v>17</v>
      </c>
      <c r="H20" s="1352">
        <f>'2.14 EGI'!$M$7</f>
        <v>4.94341935</v>
      </c>
      <c r="I20" s="1270" t="str">
        <f>"-"</f>
        <v>-</v>
      </c>
      <c r="J20" s="1352" t="str">
        <f>"-"</f>
        <v>-</v>
      </c>
      <c r="K20" s="1352" t="str">
        <f>"-"</f>
        <v>-</v>
      </c>
      <c r="L20" s="1270">
        <f>0</f>
        <v>0</v>
      </c>
      <c r="M20" s="1347">
        <f>0</f>
        <v>0</v>
      </c>
      <c r="N20" s="1353">
        <f>'2.14 EGI'!$O$11</f>
        <v>9.8868387</v>
      </c>
    </row>
    <row r="21">
      <c r="B21" s="1218" t="inlineStr">
        <is>
          <t>Total</t>
        </is>
      </c>
      <c r="C21" s="1270">
        <f>$C16+SUM(C17:C20)</f>
        <v>525</v>
      </c>
      <c r="D21" s="1270">
        <f>$D16+SUM(D17:D20)</f>
        <v>390</v>
      </c>
      <c r="E21" s="1270">
        <f>$E16+SUM(E17:E20)</f>
        <v>135</v>
      </c>
      <c r="F21" s="1352">
        <f>$F16+SUM(F17:F20)</f>
        <v>115.1132622681</v>
      </c>
      <c r="G21" s="1270">
        <f>$G16+SUM(G17:G20)</f>
        <v>482</v>
      </c>
      <c r="H21" s="1352">
        <f>$H16+SUM(H17:H20)</f>
        <v>103.4590321131</v>
      </c>
      <c r="I21" s="1270">
        <f>$I16</f>
        <v>299</v>
      </c>
      <c r="J21" s="1352">
        <f>$J16</f>
        <v>64.2</v>
      </c>
      <c r="K21" s="1352">
        <f>$K16</f>
        <v>11.4876985951</v>
      </c>
      <c r="L21" s="1270">
        <f>$L16+SUM(L17:L20)</f>
        <v>43</v>
      </c>
      <c r="M21" s="1347">
        <f>$M16+SUM(M17:M20)</f>
        <v>11.654230155</v>
      </c>
      <c r="N21" s="1263">
        <f>$N16+SUM(N17:N20)</f>
        <v>201.6920324502</v>
      </c>
    </row>
    <row r="22">
      <c r="B22" s="1220" t="inlineStr">
        <is>
          <t>Archetype columns cover the ten portfolios with a squad archetype; the COEs and EGI are measured against budget on 3.1.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n"/>
      <c r="C23" s="1130" t="n"/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Control - roles vs the ledger, must be 0</t>
        </is>
      </c>
      <c r="C24" s="1354">
        <f>COUNTA('REVIEW - Complete Role Mapping'!$B$2:$B$528)-$C$21</f>
        <v>0</v>
      </c>
      <c r="D24" s="1132" t="n"/>
      <c r="E24" s="1132" t="n"/>
      <c r="F24" s="1132" t="n"/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1276" t="inlineStr">
        <is>
          <t>Control - cost vs the ledger ($m), must be 0</t>
        </is>
      </c>
      <c r="C25" s="1132" t="n"/>
      <c r="D25" s="545" t="n"/>
      <c r="E25" s="1132" t="n"/>
      <c r="F25" s="1349">
        <f>ROUND(SUMIFS('REVIEW - Complete Role Mapping'!$AA$2:$AA$528,'REVIEW - Complete Role Mapping'!$B$2:$B$528,"&lt;&gt;")/1000000-$F$21,6)</f>
        <v>0</v>
      </c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44" t="inlineStr">
        <is>
          <t>Control - squad + overhead vs total ($m), must be 0</t>
        </is>
      </c>
      <c r="C26" s="1132" t="n"/>
      <c r="D26" s="1132" t="n"/>
      <c r="E26" s="1132" t="n"/>
      <c r="F26" s="1349">
        <f>ROUND($H$21+$M$21-$F$21,6)</f>
        <v>0</v>
      </c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n"/>
      <c r="C27" s="1224" t="n"/>
      <c r="D27" s="1245" t="n"/>
      <c r="E27" s="1245" t="n"/>
      <c r="F27" s="1224" t="n"/>
      <c r="G27" s="1224" t="n"/>
      <c r="H27" s="1029" t="n"/>
      <c r="I27" s="504" t="n"/>
      <c r="J27" s="504" t="n"/>
      <c r="K27" s="504" t="n"/>
      <c r="L27" s="504" t="n"/>
      <c r="M27" s="504" t="n"/>
      <c r="N27" s="949" t="n"/>
    </row>
    <row r="28">
      <c r="B28" s="1222" t="inlineStr">
        <is>
          <t>Overhead - allowance against actual. The 8 GMs are the only line with no role in the ledger, so their cost sits above the 525.</t>
        </is>
      </c>
      <c r="C28" s="1132" t="n"/>
      <c r="D28" s="1132" t="n"/>
      <c r="E28" s="1132" t="n"/>
      <c r="F28" s="1132" t="n"/>
      <c r="G28" s="1132" t="n"/>
      <c r="H28" s="504" t="n"/>
      <c r="I28" s="504" t="n"/>
      <c r="J28" s="504" t="n"/>
      <c r="K28" s="504" t="n"/>
      <c r="L28" s="504" t="n"/>
      <c r="M28" s="504" t="n"/>
      <c r="N28" s="949" t="n"/>
    </row>
    <row r="29">
      <c r="B29" s="1029" t="inlineStr">
        <is>
          <t>Overhead line</t>
        </is>
      </c>
      <c r="C29" s="1355" t="inlineStr">
        <is>
          <t>Roles</t>
        </is>
      </c>
      <c r="D29" s="1355" t="inlineStr">
        <is>
          <t>Rate ($m)</t>
        </is>
      </c>
      <c r="E29" s="1355" t="inlineStr">
        <is>
          <t>Units</t>
        </is>
      </c>
      <c r="F29" s="1356" t="inlineStr">
        <is>
          <t>Actual ($m)</t>
        </is>
      </c>
      <c r="G29" s="1355" t="inlineStr">
        <is>
          <t>Allowance ($m)</t>
        </is>
      </c>
      <c r="H29" s="1356" t="inlineStr">
        <is>
          <t>Over/(under) allowance ($m)</t>
        </is>
      </c>
      <c r="I29" s="504" t="n"/>
      <c r="J29" s="504" t="n"/>
      <c r="K29" s="504" t="n"/>
      <c r="L29" s="504" t="n"/>
      <c r="M29" s="504" t="n"/>
      <c r="N29" s="949" t="n"/>
    </row>
    <row r="30">
      <c r="B30" s="596" t="str">
        <f>Lists!$AF$2</f>
        <v>Head of Technology</v>
      </c>
      <c r="C30" s="1354">
        <f>COUNTIFS('REVIEW - Complete Role Mapping'!$AR$2:$AR$528,$B30)</f>
        <v>15</v>
      </c>
      <c r="D30" s="1354">
        <f>Lists!$AG$2</f>
        <v>0.1375</v>
      </c>
      <c r="E30" s="1354">
        <f>Lists!$AH$2</f>
        <v>10</v>
      </c>
      <c r="F30" s="1349">
        <f>SUMIFS('REVIEW - Complete Role Mapping'!$AA$2:$AA$528,'REVIEW - Complete Role Mapping'!$AR$2:$AR$528,$B30)/1000000</f>
        <v>4.869466336</v>
      </c>
      <c r="G30" s="1354">
        <f>Lists!$AJ$2</f>
        <v>1.375</v>
      </c>
      <c r="H30" s="1347">
        <f>$F30-$G30</f>
        <v>3.494466336</v>
      </c>
      <c r="I30" s="504" t="n"/>
      <c r="J30" s="504" t="n"/>
      <c r="K30" s="504" t="n"/>
      <c r="L30" s="504" t="n"/>
      <c r="M30" s="504" t="n"/>
      <c r="N30" s="949" t="n"/>
    </row>
    <row r="31">
      <c r="B31" s="596" t="str">
        <f>Lists!$AF$3</f>
        <v>Business Partner</v>
      </c>
      <c r="C31" s="1354">
        <f>COUNTIFS('REVIEW - Complete Role Mapping'!$AR$2:$AR$528,$B31)</f>
        <v>6</v>
      </c>
      <c r="D31" s="1354">
        <f>Lists!$AG$3</f>
        <v>0.22</v>
      </c>
      <c r="E31" s="1354">
        <f>Lists!$AH$3</f>
        <v>10</v>
      </c>
      <c r="F31" s="1349">
        <f>SUMIFS('REVIEW - Complete Role Mapping'!$AA$2:$AA$528,'REVIEW - Complete Role Mapping'!$AR$2:$AR$528,$B31)/1000000</f>
        <v>2.3135484</v>
      </c>
      <c r="G31" s="1354">
        <f>Lists!$AJ$3</f>
        <v>2.2</v>
      </c>
      <c r="H31" s="1347">
        <f>$F31-$G31</f>
        <v>0.1135484</v>
      </c>
      <c r="I31" s="504" t="n"/>
      <c r="J31" s="504" t="n"/>
      <c r="K31" s="504" t="n"/>
      <c r="L31" s="504" t="n"/>
      <c r="M31" s="504" t="n"/>
      <c r="N31" s="949" t="n"/>
    </row>
    <row r="32">
      <c r="B32" s="1225" t="str">
        <f>Lists!$AF$4</f>
        <v>Domain Architect</v>
      </c>
      <c r="C32" s="1354">
        <f>COUNTIFS('REVIEW - Complete Role Mapping'!$AR$2:$AR$528,$B32)</f>
        <v>7</v>
      </c>
      <c r="D32" s="1354">
        <f>Lists!$AG$4</f>
        <v>0.14</v>
      </c>
      <c r="E32" s="1354">
        <f>Lists!$AH$4</f>
        <v>10</v>
      </c>
      <c r="F32" s="1349">
        <f>SUMIFS('REVIEW - Complete Role Mapping'!$AA$2:$AA$528,'REVIEW - Complete Role Mapping'!$AR$2:$AR$528,$B32)/1000000</f>
        <v>1.664746536</v>
      </c>
      <c r="G32" s="1354">
        <f>Lists!$AJ$4</f>
        <v>1.4</v>
      </c>
      <c r="H32" s="1347">
        <f>$F32-$G32</f>
        <v>0.264746536</v>
      </c>
      <c r="I32" s="504" t="n"/>
      <c r="J32" s="504" t="n"/>
      <c r="K32" s="504" t="n"/>
      <c r="L32" s="504" t="n"/>
      <c r="M32" s="504" t="n"/>
      <c r="N32" s="949" t="n"/>
    </row>
    <row r="33">
      <c r="B33" s="596" t="str">
        <f>Lists!$AF$5</f>
        <v>Delivery Manager</v>
      </c>
      <c r="C33" s="1354">
        <f>COUNTIFS('REVIEW - Complete Role Mapping'!$AR$2:$AR$528,$B33)</f>
        <v>10</v>
      </c>
      <c r="D33" s="1354">
        <f>Lists!$AG$5</f>
        <v>0.084</v>
      </c>
      <c r="E33" s="1354">
        <f>Lists!$AH$5</f>
        <v>30</v>
      </c>
      <c r="F33" s="1349">
        <f>SUMIFS('REVIEW - Complete Role Mapping'!$AA$2:$AA$528,'REVIEW - Complete Role Mapping'!$AR$2:$AR$528,$B33)/1000000</f>
        <v>2.67480255</v>
      </c>
      <c r="G33" s="1354">
        <f>Lists!$AJ$5</f>
        <v>2.52</v>
      </c>
      <c r="H33" s="1347">
        <f>$F33-$G33</f>
        <v>0.15480255</v>
      </c>
      <c r="I33" s="504" t="n"/>
      <c r="J33" s="504" t="n"/>
      <c r="K33" s="504" t="n"/>
      <c r="L33" s="504" t="n"/>
      <c r="M33" s="504" t="n"/>
    </row>
    <row r="34">
      <c r="B34" s="1226" t="str">
        <f>Lists!$AF$6</f>
        <v>Technology Manager</v>
      </c>
      <c r="C34" s="1348">
        <f>COUNTIFS('REVIEW - Complete Role Mapping'!$AR$2:$AR$528,$B34)</f>
        <v>24</v>
      </c>
      <c r="D34" s="1348">
        <f>Lists!$AG$6</f>
        <v>0.081</v>
      </c>
      <c r="E34" s="1348">
        <f>Lists!$AH$6</f>
        <v>30</v>
      </c>
      <c r="F34" s="1347">
        <f>SUMIFS('REVIEW - Complete Role Mapping'!$AA$2:$AA$528,'REVIEW - Complete Role Mapping'!$AR$2:$AR$528,$B34)/1000000</f>
        <v>6.298202169</v>
      </c>
      <c r="G34" s="1348">
        <f>Lists!$AJ$6</f>
        <v>2.43</v>
      </c>
      <c r="H34" s="1347">
        <f>$F34-$G34</f>
        <v>3.868202169</v>
      </c>
      <c r="I34" s="504" t="n"/>
      <c r="J34" s="504" t="n"/>
      <c r="K34" s="504" t="n"/>
      <c r="L34" s="504" t="n"/>
      <c r="M34" s="504" t="n"/>
    </row>
    <row r="35">
      <c r="B35" s="596" t="str">
        <f>Lists!$AF$7</f>
        <v>Leadership - 8 GMs</v>
      </c>
      <c r="C35" s="1348">
        <f>Lists!$AG$11</f>
        <v>8</v>
      </c>
      <c r="D35" s="1348">
        <f>Lists!$AG$7</f>
        <v>0.3</v>
      </c>
      <c r="E35" s="1348">
        <f>Lists!$AH$7</f>
        <v>10</v>
      </c>
      <c r="F35" s="1347">
        <f>Lists!$AG$12</f>
        <v>5.1</v>
      </c>
      <c r="G35" s="1348">
        <f>Lists!$AJ$7</f>
        <v>3</v>
      </c>
      <c r="H35" s="1347">
        <f>$F35-$G35</f>
        <v>2.1</v>
      </c>
      <c r="I35" s="504" t="n"/>
      <c r="J35" s="504" t="n"/>
      <c r="K35" s="504" t="n"/>
      <c r="L35" s="504" t="n"/>
      <c r="M35" s="504" t="n"/>
    </row>
    <row r="36">
      <c r="B36" s="1246" t="inlineStr">
        <is>
          <t>Overhead total</t>
        </is>
      </c>
      <c r="C36" s="1357">
        <f>SUM(C30:C35)</f>
        <v>70</v>
      </c>
      <c r="D36" s="981" t="n"/>
      <c r="E36" s="981" t="n"/>
      <c r="F36" s="1358">
        <f>SUM(F30:F35)</f>
        <v>22.920765991</v>
      </c>
      <c r="G36" s="1357">
        <f>SUM(G30:G35)</f>
        <v>12.925</v>
      </c>
      <c r="H36" s="1347">
        <f>SUM(H30:H35)</f>
        <v>9.995765991</v>
      </c>
      <c r="I36" s="504" t="n"/>
      <c r="J36" s="504" t="n"/>
      <c r="K36" s="504" t="n"/>
      <c r="L36" s="504" t="n"/>
      <c r="M36" s="504" t="n"/>
    </row>
    <row r="37">
      <c r="B37" s="1225" t="inlineStr">
        <is>
          <t>Total organisation including the GM layer ($m)</t>
        </is>
      </c>
      <c r="C37" s="1132" t="n"/>
      <c r="D37" s="1132" t="n"/>
      <c r="E37" s="1132" t="n"/>
      <c r="F37" s="1349">
        <f>$F$21+Lists!$AG$12</f>
        <v>120.2132622681</v>
      </c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1225" t="n"/>
      <c r="C39" s="1132" t="n"/>
      <c r="D39" s="1132" t="n"/>
      <c r="E39" s="1132" t="n"/>
      <c r="F39" s="1132" t="n"/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1222" t="n"/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n"/>
      <c r="D3" s="486" t="n"/>
      <c r="E3" s="486" t="n"/>
      <c r="F3" s="486" t="n"/>
      <c r="G3" s="486" t="n"/>
      <c r="H3" s="486" t="n"/>
      <c r="I3" s="486" t="n"/>
      <c r="J3" s="486" t="n"/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statement. Every squad and every overhead line, counts only.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248" t="inlineStr">
        <is>
          <t>Portfolio</t>
        </is>
      </c>
      <c r="C5" s="1248" t="inlineStr">
        <is>
          <t>Squad or overhead line</t>
        </is>
      </c>
      <c r="D5" s="1248" t="inlineStr">
        <is>
          <t>Archetype type</t>
        </is>
      </c>
      <c r="E5" s="1248" t="inlineStr">
        <is>
          <t>Archetype size</t>
        </is>
      </c>
      <c r="F5" s="1248" t="inlineStr">
        <is>
          <t>Archetype roles</t>
        </is>
      </c>
      <c r="G5" s="1248" t="inlineStr">
        <is>
          <t>Filled</t>
        </is>
      </c>
      <c r="H5" s="1248" t="inlineStr">
        <is>
          <t>Vacant</t>
        </is>
      </c>
      <c r="I5" s="1248" t="inlineStr">
        <is>
          <t>Total roles</t>
        </is>
      </c>
      <c r="J5" s="1248" t="inlineStr">
        <is>
          <t>Variance to archetype</t>
        </is>
      </c>
      <c r="K5" s="1248" t="inlineStr">
        <is>
          <t>Roles after decisions</t>
        </is>
      </c>
      <c r="L5" s="1248" t="inlineStr">
        <is>
          <t>Vacancy %</t>
        </is>
      </c>
    </row>
    <row r="6" ht="43.5" customHeight="1">
      <c r="B6" s="486" t="inlineStr">
        <is>
          <t>Ampol Retail</t>
        </is>
      </c>
      <c r="C6" s="1359" t="str">
        <f>'2.1 Ampol Retail'!$B$6</f>
        <v>Above Store</v>
      </c>
      <c r="D6" s="1359" t="str">
        <f>'2.1 Ampol Retail'!$C$6</f>
        <v>Configuration / Integration</v>
      </c>
      <c r="E6" s="1359" t="str">
        <f>'2.1 Ampol Retail'!$R$6</f>
        <v>M</v>
      </c>
      <c r="F6" s="1360">
        <f>'2.1 Ampol Retail'!$D$6</f>
        <v>9</v>
      </c>
      <c r="G6" s="1360">
        <f>'2.1 Ampol Retail'!$E$6-'2.1 Ampol Retail'!$G$6</f>
        <v>7</v>
      </c>
      <c r="H6" s="1360">
        <f>'2.1 Ampol Retail'!$G$6</f>
        <v>4</v>
      </c>
      <c r="I6" s="1360">
        <f>'2.1 Ampol Retail'!$E$6</f>
        <v>11</v>
      </c>
      <c r="J6" s="1360">
        <f>IFERROR($I6-$F6,"-")</f>
        <v>2</v>
      </c>
      <c r="K6" s="1360">
        <f>'2.1 Ampol Retail'!$J$6</f>
        <v>11</v>
      </c>
      <c r="L6" s="1361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1362" t="str">
        <f>'2.1 Ampol Retail'!$B$7</f>
        <v>AmPOS</v>
      </c>
      <c r="D7" s="1362" t="str">
        <f>'2.1 Ampol Retail'!$C$7</f>
        <v>Strategic Programs</v>
      </c>
      <c r="E7" s="1362" t="str">
        <f>'2.1 Ampol Retail'!$R$7</f>
        <v>-</v>
      </c>
      <c r="F7" s="1363" t="str">
        <f>'2.1 Ampol Retail'!$D$7</f>
        <v>-</v>
      </c>
      <c r="G7" s="1363">
        <f>'2.1 Ampol Retail'!$E$7-'2.1 Ampol Retail'!$G$7</f>
        <v>10</v>
      </c>
      <c r="H7" s="1363">
        <f>'2.1 Ampol Retail'!$G$7</f>
        <v>0</v>
      </c>
      <c r="I7" s="1363">
        <f>'2.1 Ampol Retail'!$E$7</f>
        <v>10</v>
      </c>
      <c r="J7" s="1363" t="str">
        <f>IFERROR($I7-$F7,"-")</f>
        <v>-</v>
      </c>
      <c r="K7" s="1363">
        <f>'2.1 Ampol Retail'!$J$7</f>
        <v>10</v>
      </c>
      <c r="L7" s="1364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1362" t="str">
        <f>'2.1 Ampol Retail'!$B$8</f>
        <v>POS</v>
      </c>
      <c r="D8" s="1362" t="str">
        <f>'2.1 Ampol Retail'!$C$8</f>
        <v>Configuration / Integration</v>
      </c>
      <c r="E8" s="1362" t="str">
        <f>'2.1 Ampol Retail'!$R$8</f>
        <v>M</v>
      </c>
      <c r="F8" s="1363">
        <f>'2.1 Ampol Retail'!$D$8</f>
        <v>9</v>
      </c>
      <c r="G8" s="1363">
        <f>'2.1 Ampol Retail'!$E$8-'2.1 Ampol Retail'!$G$8</f>
        <v>0</v>
      </c>
      <c r="H8" s="1363">
        <f>'2.1 Ampol Retail'!$G$8</f>
        <v>8</v>
      </c>
      <c r="I8" s="1363">
        <f>'2.1 Ampol Retail'!$E$8</f>
        <v>8</v>
      </c>
      <c r="J8" s="1363">
        <f>IFERROR($I8-$F8,"-")</f>
        <v>-1</v>
      </c>
      <c r="K8" s="1363">
        <f>'2.1 Ampol Retail'!$J$8</f>
        <v>8</v>
      </c>
      <c r="L8" s="1364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1362" t="str">
        <f>'2.1 Ampol Retail'!$B$9</f>
        <v>Store Operations</v>
      </c>
      <c r="D9" s="1362" t="str">
        <f>'2.1 Ampol Retail'!$C$9</f>
        <v>Operations</v>
      </c>
      <c r="E9" s="1362" t="str">
        <f>'2.1 Ampol Retail'!$R$9</f>
        <v>M</v>
      </c>
      <c r="F9" s="1363">
        <f>'2.1 Ampol Retail'!$D$9</f>
        <v>6</v>
      </c>
      <c r="G9" s="1363">
        <f>'2.1 Ampol Retail'!$E$9-'2.1 Ampol Retail'!$G$9</f>
        <v>7</v>
      </c>
      <c r="H9" s="1363">
        <f>'2.1 Ampol Retail'!$G$9</f>
        <v>1</v>
      </c>
      <c r="I9" s="1363">
        <f>'2.1 Ampol Retail'!$E$9</f>
        <v>8</v>
      </c>
      <c r="J9" s="1363">
        <f>IFERROR($I9-$F9,"-")</f>
        <v>2</v>
      </c>
      <c r="K9" s="1363">
        <f>'2.1 Ampol Retail'!$J$9</f>
        <v>8</v>
      </c>
      <c r="L9" s="1364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1362" t="str">
        <f>'2.1 Ampol Retail'!$B$10</f>
        <v>Data AU</v>
      </c>
      <c r="D10" s="1362" t="str">
        <f>'2.1 Ampol Retail'!$C$10</f>
        <v>Enterprise Data and Insights</v>
      </c>
      <c r="E10" s="1362" t="str">
        <f>'2.1 Ampol Retail'!$R$10</f>
        <v>M</v>
      </c>
      <c r="F10" s="1363">
        <f>'2.1 Ampol Retail'!$D$10</f>
        <v>7.5</v>
      </c>
      <c r="G10" s="1363">
        <f>'2.1 Ampol Retail'!$E$10-'2.1 Ampol Retail'!$G$10</f>
        <v>0</v>
      </c>
      <c r="H10" s="1363">
        <f>'2.1 Ampol Retail'!$G$10</f>
        <v>6</v>
      </c>
      <c r="I10" s="1363">
        <f>'2.1 Ampol Retail'!$E$10</f>
        <v>6</v>
      </c>
      <c r="J10" s="1363">
        <f>IFERROR($I10-$F10,"-")</f>
        <v>-1.5</v>
      </c>
      <c r="K10" s="1363">
        <f>'2.1 Ampol Retail'!$J$10</f>
        <v>6</v>
      </c>
      <c r="L10" s="1364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1365" t="str">
        <f>'2.1 Ampol Retail'!$B$11</f>
        <v>EGI Retail</v>
      </c>
      <c r="D11" s="1366" t="str">
        <f>'2.1 Ampol Retail'!$C$11</f>
        <v>Strategic Programs</v>
      </c>
      <c r="E11" s="1366" t="str">
        <f>'2.1 Ampol Retail'!$R$11</f>
        <v>-</v>
      </c>
      <c r="F11" s="1367" t="str">
        <f>'2.1 Ampol Retail'!$D$11</f>
        <v>-</v>
      </c>
      <c r="G11" s="1368">
        <f>'2.1 Ampol Retail'!$E$11-'2.1 Ampol Retail'!$G$11</f>
        <v>6</v>
      </c>
      <c r="H11" s="1368">
        <f>'2.1 Ampol Retail'!$G$11</f>
        <v>0</v>
      </c>
      <c r="I11" s="1368">
        <f>'2.1 Ampol Retail'!$E$11</f>
        <v>6</v>
      </c>
      <c r="J11" s="1368" t="str">
        <f>IFERROR($I11-$F11,"-")</f>
        <v>-</v>
      </c>
      <c r="K11" s="1368">
        <f>'2.1 Ampol Retail'!$J$11</f>
        <v>6</v>
      </c>
      <c r="L11" s="1369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1362" t="str">
        <f>'2.1 Ampol Retail'!$B$12</f>
        <v>Network &amp; QSR</v>
      </c>
      <c r="D12" s="1362" t="str">
        <f>'2.1 Ampol Retail'!$C$12</f>
        <v>Configuration / Integration</v>
      </c>
      <c r="E12" s="1362" t="str">
        <f>'2.1 Ampol Retail'!$R$12</f>
        <v>S</v>
      </c>
      <c r="F12" s="1363">
        <f>'2.1 Ampol Retail'!$D$12</f>
        <v>6</v>
      </c>
      <c r="G12" s="1363">
        <f>'2.1 Ampol Retail'!$E$12-'2.1 Ampol Retail'!$G$12</f>
        <v>4</v>
      </c>
      <c r="H12" s="1363">
        <f>'2.1 Ampol Retail'!$G$12</f>
        <v>2</v>
      </c>
      <c r="I12" s="1363">
        <f>'2.1 Ampol Retail'!$E$12</f>
        <v>6</v>
      </c>
      <c r="J12" s="1363">
        <f>IFERROR($I12-$F12,"-")</f>
        <v>0</v>
      </c>
      <c r="K12" s="1363">
        <f>'2.1 Ampol Retail'!$J$12</f>
        <v>6</v>
      </c>
      <c r="L12" s="1364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1365" t="str">
        <f>'2.1 Ampol Retail'!$B$13</f>
        <v>Deployment</v>
      </c>
      <c r="D13" s="1366" t="str">
        <f>'2.1 Ampol Retail'!$C$13</f>
        <v>Operations</v>
      </c>
      <c r="E13" s="1366" t="str">
        <f>'2.1 Ampol Retail'!$R$13</f>
        <v>S</v>
      </c>
      <c r="F13" s="1367">
        <f>'2.1 Ampol Retail'!$D$13</f>
        <v>4</v>
      </c>
      <c r="G13" s="1368">
        <f>'2.1 Ampol Retail'!$E$13-'2.1 Ampol Retail'!$G$13</f>
        <v>5</v>
      </c>
      <c r="H13" s="1368">
        <f>'2.1 Ampol Retail'!$G$13</f>
        <v>0</v>
      </c>
      <c r="I13" s="1368">
        <f>'2.1 Ampol Retail'!$E$13</f>
        <v>5</v>
      </c>
      <c r="J13" s="1368">
        <f>IFERROR($I13-$F13,"-")</f>
        <v>1</v>
      </c>
      <c r="K13" s="1368">
        <f>'2.1 Ampol Retail'!$J$13</f>
        <v>5</v>
      </c>
      <c r="L13" s="1369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1362" t="str">
        <f>'2.1 Ampol Retail'!$B$14</f>
        <v>Payments</v>
      </c>
      <c r="D14" s="1362" t="str">
        <f>'2.1 Ampol Retail'!$C$14</f>
        <v>Configuration / Integration</v>
      </c>
      <c r="E14" s="1362" t="str">
        <f>'2.1 Ampol Retail'!$R$14</f>
        <v>S</v>
      </c>
      <c r="F14" s="1363">
        <f>'2.1 Ampol Retail'!$D$14</f>
        <v>6</v>
      </c>
      <c r="G14" s="1363">
        <f>'2.1 Ampol Retail'!$E$14-'2.1 Ampol Retail'!$G$14</f>
        <v>3</v>
      </c>
      <c r="H14" s="1363">
        <f>'2.1 Ampol Retail'!$G$14</f>
        <v>1</v>
      </c>
      <c r="I14" s="1363">
        <f>'2.1 Ampol Retail'!$E$14</f>
        <v>4</v>
      </c>
      <c r="J14" s="1363">
        <f>IFERROR($I14-$F14,"-")</f>
        <v>-2</v>
      </c>
      <c r="K14" s="1363">
        <f>'2.1 Ampol Retail'!$J$14</f>
        <v>4</v>
      </c>
      <c r="L14" s="1364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1365" t="str">
        <f>'2.1 Ampol Retail'!$B$15</f>
        <v>EGI TDD</v>
      </c>
      <c r="D15" s="1366" t="str">
        <f>'2.1 Ampol Retail'!$C$15</f>
        <v>No archetype for this squad</v>
      </c>
      <c r="E15" s="1366" t="str">
        <f>'2.1 Ampol Retail'!$R$15</f>
        <v>-</v>
      </c>
      <c r="F15" s="1367" t="str">
        <f>'2.1 Ampol Retail'!$D$15</f>
        <v>-</v>
      </c>
      <c r="G15" s="1368">
        <f>'2.1 Ampol Retail'!$E$15-'2.1 Ampol Retail'!$G$15</f>
        <v>1</v>
      </c>
      <c r="H15" s="1368">
        <f>'2.1 Ampol Retail'!$G$15</f>
        <v>0</v>
      </c>
      <c r="I15" s="1368">
        <f>'2.1 Ampol Retail'!$E$15</f>
        <v>1</v>
      </c>
      <c r="J15" s="1368" t="str">
        <f>IFERROR($I15-$F15,"-")</f>
        <v>-</v>
      </c>
      <c r="K15" s="1368">
        <f>'2.1 Ampol Retail'!$J$15</f>
        <v>1</v>
      </c>
      <c r="L15" s="1369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1362" t="str">
        <f>'2.1 Ampol Retail'!$B$18</f>
        <v>Head of Technology</v>
      </c>
      <c r="D16" s="1362" t="str">
        <f>'2.1 Ampol Retail'!$C$18</f>
        <v>Overhead - see 3.2</v>
      </c>
      <c r="E16" s="1362" t="str">
        <f>'2.1 Ampol Retail'!$R$18</f>
        <v>-</v>
      </c>
      <c r="F16" s="1363" t="str">
        <f>'2.1 Ampol Retail'!$D$18</f>
        <v>-</v>
      </c>
      <c r="G16" s="1363">
        <f>'2.1 Ampol Retail'!$E$18-'2.1 Ampol Retail'!$G$18</f>
        <v>1</v>
      </c>
      <c r="H16" s="1363">
        <f>'2.1 Ampol Retail'!$G$18</f>
        <v>0</v>
      </c>
      <c r="I16" s="1363">
        <f>'2.1 Ampol Retail'!$E$18</f>
        <v>1</v>
      </c>
      <c r="J16" s="1363" t="str">
        <f>IFERROR($I16-$F16,"-")</f>
        <v>-</v>
      </c>
      <c r="K16" s="1363">
        <f>'2.1 Ampol Retail'!$J$18</f>
        <v>1</v>
      </c>
      <c r="L16" s="1364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370" t="str">
        <f>'2.1 Ampol Retail'!$B$19</f>
        <v>Delivery Manager</v>
      </c>
      <c r="D17" s="1366" t="str">
        <f>'2.1 Ampol Retail'!$C$19</f>
        <v>Overhead - see 3.2</v>
      </c>
      <c r="E17" s="1366" t="str">
        <f>'2.1 Ampol Retail'!$R$19</f>
        <v>-</v>
      </c>
      <c r="F17" s="1367" t="str">
        <f>'2.1 Ampol Retail'!$D$19</f>
        <v>-</v>
      </c>
      <c r="G17" s="1368">
        <f>'2.1 Ampol Retail'!$E$19-'2.1 Ampol Retail'!$G$19</f>
        <v>1</v>
      </c>
      <c r="H17" s="1368">
        <f>'2.1 Ampol Retail'!$G$19</f>
        <v>0</v>
      </c>
      <c r="I17" s="1368">
        <f>'2.1 Ampol Retail'!$E$19</f>
        <v>1</v>
      </c>
      <c r="J17" s="1368" t="str">
        <f>IFERROR($I17-$F17,"-")</f>
        <v>-</v>
      </c>
      <c r="K17" s="1368">
        <f>'2.1 Ampol Retail'!$J$19</f>
        <v>1</v>
      </c>
      <c r="L17" s="1369">
        <f>IFERROR($H17/$I17,"-")</f>
        <v>0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Ampol Retail</t>
        </is>
      </c>
      <c r="C18" s="1362" t="str">
        <f>'2.1 Ampol Retail'!$B$20</f>
        <v>Technology Manager</v>
      </c>
      <c r="D18" s="1362" t="str">
        <f>'2.1 Ampol Retail'!$C$20</f>
        <v>Overhead - see 3.2</v>
      </c>
      <c r="E18" s="1362" t="str">
        <f>'2.1 Ampol Retail'!$R$20</f>
        <v>-</v>
      </c>
      <c r="F18" s="1363" t="str">
        <f>'2.1 Ampol Retail'!$D$20</f>
        <v>-</v>
      </c>
      <c r="G18" s="1363">
        <f>'2.1 Ampol Retail'!$E$20-'2.1 Ampol Retail'!$G$20</f>
        <v>3</v>
      </c>
      <c r="H18" s="1363">
        <f>'2.1 Ampol Retail'!$G$20</f>
        <v>0</v>
      </c>
      <c r="I18" s="1363">
        <f>'2.1 Ampol Retail'!$E$20</f>
        <v>3</v>
      </c>
      <c r="J18" s="1363" t="str">
        <f>IFERROR($I18-$F18,"-")</f>
        <v>-</v>
      </c>
      <c r="K18" s="1363">
        <f>'2.1 Ampol Retail'!$J$20</f>
        <v>3</v>
      </c>
      <c r="L18" s="1364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Ampol Retail</t>
        </is>
      </c>
      <c r="C19" s="1370" t="inlineStr">
        <is>
          <t>Portfolio total</t>
        </is>
      </c>
      <c r="D19" s="456" t="n"/>
      <c r="E19" s="456" t="n"/>
      <c r="F19" s="1367">
        <f>IF(COUNT(F6:F18)=0,"-",SUM(F6:F18))</f>
        <v>47.5</v>
      </c>
      <c r="G19" s="1368">
        <f>SUM(G6:G18)</f>
        <v>48</v>
      </c>
      <c r="H19" s="1368">
        <f>SUM(H6:H18)</f>
        <v>22</v>
      </c>
      <c r="I19" s="1368">
        <f>SUM(I6:I18)</f>
        <v>70</v>
      </c>
      <c r="J19" s="1368">
        <f>IF(COUNT(F6:F18)=0,"-",SUM(J6:J18))</f>
        <v>0.5</v>
      </c>
      <c r="K19" s="1368">
        <f>SUM(K6:K18)</f>
        <v>70</v>
      </c>
      <c r="L19" s="1369">
        <f>IFERROR($H19/$I19,"-")</f>
        <v>0.314285714285714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1362" t="str">
        <f>'2.2 Customer'!$B$6</f>
        <v>Ampol App</v>
      </c>
      <c r="D20" s="1362" t="str">
        <f>'2.2 Customer'!$C$6</f>
        <v>Product</v>
      </c>
      <c r="E20" s="1362" t="str">
        <f>'2.2 Customer'!$R$6</f>
        <v>L</v>
      </c>
      <c r="F20" s="1363">
        <f>'2.2 Customer'!$D$6</f>
        <v>12</v>
      </c>
      <c r="G20" s="1363">
        <f>'2.2 Customer'!$E$6-'2.2 Customer'!$G$6</f>
        <v>14</v>
      </c>
      <c r="H20" s="1363">
        <f>'2.2 Customer'!$G$6</f>
        <v>0</v>
      </c>
      <c r="I20" s="1363">
        <f>'2.2 Customer'!$E$6</f>
        <v>14</v>
      </c>
      <c r="J20" s="1363">
        <f>IFERROR($I20-$F20,"-")</f>
        <v>2</v>
      </c>
      <c r="K20" s="1363">
        <f>'2.2 Customer'!$J$6</f>
        <v>14</v>
      </c>
      <c r="L20" s="1364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1365" t="str">
        <f>'2.2 Customer'!$B$7</f>
        <v>Z Loyalty &amp; Martech</v>
      </c>
      <c r="D21" s="1366" t="str">
        <f>'2.2 Customer'!$C$7</f>
        <v>Product</v>
      </c>
      <c r="E21" s="1366" t="str">
        <f>'2.2 Customer'!$R$7</f>
        <v>L</v>
      </c>
      <c r="F21" s="1367">
        <f>'2.2 Customer'!$D$7</f>
        <v>12</v>
      </c>
      <c r="G21" s="1368">
        <f>'2.2 Customer'!$E$7-'2.2 Customer'!$G$7</f>
        <v>14</v>
      </c>
      <c r="H21" s="1368">
        <f>'2.2 Customer'!$G$7</f>
        <v>0</v>
      </c>
      <c r="I21" s="1368">
        <f>'2.2 Customer'!$E$7</f>
        <v>14</v>
      </c>
      <c r="J21" s="1368">
        <f>IFERROR($I21-$F21,"-")</f>
        <v>2</v>
      </c>
      <c r="K21" s="1368">
        <f>'2.2 Customer'!$J$7</f>
        <v>14</v>
      </c>
      <c r="L21" s="1369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1371" t="str">
        <f>'2.2 Customer'!$B$8</f>
        <v>EGI Customer</v>
      </c>
      <c r="D22" s="1371" t="str">
        <f>'2.2 Customer'!$C$8</f>
        <v>Strategic Programs</v>
      </c>
      <c r="E22" s="1371" t="str">
        <f>'2.2 Customer'!$R$8</f>
        <v>-</v>
      </c>
      <c r="F22" s="1372" t="str">
        <f>'2.2 Customer'!$D$8</f>
        <v>-</v>
      </c>
      <c r="G22" s="1373">
        <f>'2.2 Customer'!$E$8-'2.2 Customer'!$G$8</f>
        <v>10</v>
      </c>
      <c r="H22" s="1373">
        <f>'2.2 Customer'!$G$8</f>
        <v>0</v>
      </c>
      <c r="I22" s="1373">
        <f>'2.2 Customer'!$E$8</f>
        <v>10</v>
      </c>
      <c r="J22" s="1373" t="str">
        <f>IFERROR($I22-$F22,"-")</f>
        <v>-</v>
      </c>
      <c r="K22" s="1373">
        <f>'2.2 Customer'!$J$8</f>
        <v>10</v>
      </c>
      <c r="L22" s="1374">
        <f>IFERROR($H22/$I22,"-")</f>
        <v>0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1362" t="str">
        <f>'2.2 Customer'!$B$9</f>
        <v>Ampol Loyalty &amp; Martech</v>
      </c>
      <c r="D23" s="1362" t="str">
        <f>'2.2 Customer'!$C$9</f>
        <v>Product</v>
      </c>
      <c r="E23" s="1362" t="str">
        <f>'2.2 Customer'!$R$9</f>
        <v>M</v>
      </c>
      <c r="F23" s="1363">
        <f>'2.2 Customer'!$D$9</f>
        <v>8.5</v>
      </c>
      <c r="G23" s="1363">
        <f>'2.2 Customer'!$E$9-'2.2 Customer'!$G$9</f>
        <v>3</v>
      </c>
      <c r="H23" s="1363">
        <f>'2.2 Customer'!$G$9</f>
        <v>6</v>
      </c>
      <c r="I23" s="1363">
        <f>'2.2 Customer'!$E$9</f>
        <v>9</v>
      </c>
      <c r="J23" s="1363">
        <f>IFERROR($I23-$F23,"-")</f>
        <v>0.5</v>
      </c>
      <c r="K23" s="1363">
        <f>'2.2 Customer'!$J$9</f>
        <v>9</v>
      </c>
      <c r="L23" s="1364">
        <f>IFERROR($H23/$I23,"-")</f>
        <v>0.666666666666667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1362" t="str">
        <f>'2.2 Customer'!$B$10</f>
        <v>Ampol Web</v>
      </c>
      <c r="D24" s="1362" t="str">
        <f>'2.2 Customer'!$C$10</f>
        <v>Product</v>
      </c>
      <c r="E24" s="1362" t="str">
        <f>'2.2 Customer'!$R$10</f>
        <v>M</v>
      </c>
      <c r="F24" s="1363">
        <f>'2.2 Customer'!$D$10</f>
        <v>8.5</v>
      </c>
      <c r="G24" s="1363">
        <f>'2.2 Customer'!$E$10-'2.2 Customer'!$G$10</f>
        <v>8</v>
      </c>
      <c r="H24" s="1363">
        <f>'2.2 Customer'!$G$10</f>
        <v>0</v>
      </c>
      <c r="I24" s="1363">
        <f>'2.2 Customer'!$E$10</f>
        <v>8</v>
      </c>
      <c r="J24" s="1363">
        <f>IFERROR($I24-$F24,"-")</f>
        <v>-0.5</v>
      </c>
      <c r="K24" s="1363">
        <f>'2.2 Customer'!$J$10</f>
        <v>8</v>
      </c>
      <c r="L24" s="1364">
        <f>IFERROR($H24/$I24,"-")</f>
        <v>0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1362" t="str">
        <f>'2.2 Customer'!$B$11</f>
        <v>Digital Operations</v>
      </c>
      <c r="D25" s="1362" t="str">
        <f>'2.2 Customer'!$C$11</f>
        <v>Operations</v>
      </c>
      <c r="E25" s="1362" t="str">
        <f>'2.2 Customer'!$R$11</f>
        <v>M</v>
      </c>
      <c r="F25" s="1363">
        <f>'2.2 Customer'!$D$11</f>
        <v>6</v>
      </c>
      <c r="G25" s="1363">
        <f>'2.2 Customer'!$E$11-'2.2 Customer'!$G$11</f>
        <v>4</v>
      </c>
      <c r="H25" s="1363">
        <f>'2.2 Customer'!$G$11</f>
        <v>3</v>
      </c>
      <c r="I25" s="1363">
        <f>'2.2 Customer'!$E$11</f>
        <v>7</v>
      </c>
      <c r="J25" s="1363">
        <f>IFERROR($I25-$F25,"-")</f>
        <v>1</v>
      </c>
      <c r="K25" s="1363">
        <f>'2.2 Customer'!$J$11</f>
        <v>7</v>
      </c>
      <c r="L25" s="1364">
        <f>IFERROR($H25/$I25,"-")</f>
        <v>0.428571428571429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1365" t="str">
        <f>'2.2 Customer'!$B$12</f>
        <v>Leadership</v>
      </c>
      <c r="D26" s="1366" t="str">
        <f>'2.2 Customer'!$C$12</f>
        <v>No archetype for this squad</v>
      </c>
      <c r="E26" s="1366" t="str">
        <f>'2.2 Customer'!$R$12</f>
        <v>-</v>
      </c>
      <c r="F26" s="1367" t="str">
        <f>'2.2 Customer'!$D$12</f>
        <v>-</v>
      </c>
      <c r="G26" s="1368">
        <f>'2.2 Customer'!$E$12-'2.2 Customer'!$G$12</f>
        <v>4</v>
      </c>
      <c r="H26" s="1368">
        <f>'2.2 Customer'!$G$12</f>
        <v>1</v>
      </c>
      <c r="I26" s="1368">
        <f>'2.2 Customer'!$E$12</f>
        <v>5</v>
      </c>
      <c r="J26" s="1368" t="str">
        <f>IFERROR($I26-$F26,"-")</f>
        <v>-</v>
      </c>
      <c r="K26" s="1368">
        <f>'2.2 Customer'!$J$12</f>
        <v>5</v>
      </c>
      <c r="L26" s="1369">
        <f>IFERROR($H26/$I26,"-")</f>
        <v>0.2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1362" t="str">
        <f>'2.2 Customer'!$B$13</f>
        <v>Z App and Web</v>
      </c>
      <c r="D27" s="1362" t="str">
        <f>'2.2 Customer'!$C$13</f>
        <v>Product</v>
      </c>
      <c r="E27" s="1362" t="str">
        <f>'2.2 Customer'!$R$13</f>
        <v>S</v>
      </c>
      <c r="F27" s="1363">
        <f>'2.2 Customer'!$D$13</f>
        <v>5.5</v>
      </c>
      <c r="G27" s="1363">
        <f>'2.2 Customer'!$E$13-'2.2 Customer'!$G$13</f>
        <v>5</v>
      </c>
      <c r="H27" s="1363">
        <f>'2.2 Customer'!$G$13</f>
        <v>0</v>
      </c>
      <c r="I27" s="1363">
        <f>'2.2 Customer'!$E$13</f>
        <v>5</v>
      </c>
      <c r="J27" s="1363">
        <f>IFERROR($I27-$F27,"-")</f>
        <v>-0.5</v>
      </c>
      <c r="K27" s="1363">
        <f>'2.2 Customer'!$J$13</f>
        <v>5</v>
      </c>
      <c r="L27" s="1364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1362" t="str">
        <f>'2.2 Customer'!$B$14</f>
        <v>Customer AI</v>
      </c>
      <c r="D28" s="1362" t="str">
        <f>'2.2 Customer'!$C$14</f>
        <v>Engineering</v>
      </c>
      <c r="E28" s="1362" t="str">
        <f>'2.2 Customer'!$R$14</f>
        <v>S</v>
      </c>
      <c r="F28" s="1363">
        <f>'2.2 Customer'!$D$14</f>
        <v>4.5</v>
      </c>
      <c r="G28" s="1363">
        <f>'2.2 Customer'!$E$14-'2.2 Customer'!$G$14</f>
        <v>0</v>
      </c>
      <c r="H28" s="1363">
        <f>'2.2 Customer'!$G$14</f>
        <v>2</v>
      </c>
      <c r="I28" s="1363">
        <f>'2.2 Customer'!$E$14</f>
        <v>2</v>
      </c>
      <c r="J28" s="1363">
        <f>IFERROR($I28-$F28,"-")</f>
        <v>-2.5</v>
      </c>
      <c r="K28" s="1363">
        <f>'2.2 Customer'!$J$14</f>
        <v>2</v>
      </c>
      <c r="L28" s="1364">
        <f>IFERROR($H28/$I28,"-")</f>
        <v>1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1362" t="str">
        <f>'2.2 Customer'!$B$15</f>
        <v>Energy</v>
      </c>
      <c r="D29" s="1362" t="str">
        <f>'2.2 Customer'!$C$15</f>
        <v>No archetype for this squad</v>
      </c>
      <c r="E29" s="1362" t="str">
        <f>'2.2 Customer'!$R$15</f>
        <v>-</v>
      </c>
      <c r="F29" s="1363" t="str">
        <f>'2.2 Customer'!$D$15</f>
        <v>-</v>
      </c>
      <c r="G29" s="1363">
        <f>'2.2 Customer'!$E$15-'2.2 Customer'!$G$15</f>
        <v>1</v>
      </c>
      <c r="H29" s="1363">
        <f>'2.2 Customer'!$G$15</f>
        <v>0</v>
      </c>
      <c r="I29" s="1363">
        <f>'2.2 Customer'!$E$15</f>
        <v>1</v>
      </c>
      <c r="J29" s="1363" t="str">
        <f>IFERROR($I29-$F29,"-")</f>
        <v>-</v>
      </c>
      <c r="K29" s="1363">
        <f>'2.2 Customer'!$J$15</f>
        <v>1</v>
      </c>
      <c r="L29" s="1364">
        <f>IFERROR($H29/$I29,"-")</f>
        <v>0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370" t="str">
        <f>'2.2 Customer'!$B$18</f>
        <v>Head of Technology</v>
      </c>
      <c r="D30" s="1366" t="str">
        <f>'2.2 Customer'!$C$18</f>
        <v>Overhead - see 3.2</v>
      </c>
      <c r="E30" s="1366" t="str">
        <f>'2.2 Customer'!$R$18</f>
        <v>-</v>
      </c>
      <c r="F30" s="1367" t="str">
        <f>'2.2 Customer'!$D$18</f>
        <v>-</v>
      </c>
      <c r="G30" s="1368">
        <f>'2.2 Customer'!$E$18-'2.2 Customer'!$G$18</f>
        <v>2</v>
      </c>
      <c r="H30" s="1368">
        <f>'2.2 Customer'!$G$18</f>
        <v>0</v>
      </c>
      <c r="I30" s="1368">
        <f>'2.2 Customer'!$E$18</f>
        <v>2</v>
      </c>
      <c r="J30" s="1368" t="str">
        <f>IFERROR($I30-$F30,"-")</f>
        <v>-</v>
      </c>
      <c r="K30" s="1368">
        <f>'2.2 Customer'!$J$18</f>
        <v>2</v>
      </c>
      <c r="L30" s="1369">
        <f>IFERROR($H30/$I30,"-")</f>
        <v>0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Customer</t>
        </is>
      </c>
      <c r="C31" s="1362" t="str">
        <f>'2.2 Customer'!$B$19</f>
        <v>Delivery Manager</v>
      </c>
      <c r="D31" s="1362" t="str">
        <f>'2.2 Customer'!$C$19</f>
        <v>Overhead - see 3.2</v>
      </c>
      <c r="E31" s="1362" t="str">
        <f>'2.2 Customer'!$R$19</f>
        <v>-</v>
      </c>
      <c r="F31" s="1363" t="str">
        <f>'2.2 Customer'!$D$19</f>
        <v>-</v>
      </c>
      <c r="G31" s="1363">
        <f>'2.2 Customer'!$E$19-'2.2 Customer'!$G$19</f>
        <v>2</v>
      </c>
      <c r="H31" s="1363">
        <f>'2.2 Customer'!$G$19</f>
        <v>0</v>
      </c>
      <c r="I31" s="1363">
        <f>'2.2 Customer'!$E$19</f>
        <v>2</v>
      </c>
      <c r="J31" s="1363" t="str">
        <f>IFERROR($I31-$F31,"-")</f>
        <v>-</v>
      </c>
      <c r="K31" s="1363">
        <f>'2.2 Customer'!$J$19</f>
        <v>2</v>
      </c>
      <c r="L31" s="1364">
        <f>IFERROR($H31/$I31,"-")</f>
        <v>0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Customer</t>
        </is>
      </c>
      <c r="C32" s="1362" t="str">
        <f>'2.2 Customer'!$B$20</f>
        <v>Technology Manager</v>
      </c>
      <c r="D32" s="1362" t="str">
        <f>'2.2 Customer'!$C$20</f>
        <v>Overhead - see 3.2</v>
      </c>
      <c r="E32" s="1362" t="str">
        <f>'2.2 Customer'!$R$20</f>
        <v>-</v>
      </c>
      <c r="F32" s="1363" t="str">
        <f>'2.2 Customer'!$D$20</f>
        <v>-</v>
      </c>
      <c r="G32" s="1363">
        <f>'2.2 Customer'!$E$20-'2.2 Customer'!$G$20</f>
        <v>3</v>
      </c>
      <c r="H32" s="1363">
        <f>'2.2 Customer'!$G$20</f>
        <v>1</v>
      </c>
      <c r="I32" s="1363">
        <f>'2.2 Customer'!$E$20</f>
        <v>4</v>
      </c>
      <c r="J32" s="1363" t="str">
        <f>IFERROR($I32-$F32,"-")</f>
        <v>-</v>
      </c>
      <c r="K32" s="1363">
        <f>'2.2 Customer'!$J$20</f>
        <v>4</v>
      </c>
      <c r="L32" s="1364">
        <f>IFERROR($H32/$I32,"-")</f>
        <v>0.25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Customer</t>
        </is>
      </c>
      <c r="C33" s="1370" t="inlineStr">
        <is>
          <t>Portfolio total</t>
        </is>
      </c>
      <c r="D33" s="456" t="n"/>
      <c r="E33" s="456" t="n"/>
      <c r="F33" s="1367">
        <f>IF(COUNT(F20:F32)=0,"-",SUM(F20:F32))</f>
        <v>57</v>
      </c>
      <c r="G33" s="1368">
        <f>SUM(G20:G32)</f>
        <v>70</v>
      </c>
      <c r="H33" s="1368">
        <f>SUM(H20:H32)</f>
        <v>13</v>
      </c>
      <c r="I33" s="1368">
        <f>SUM(I20:I32)</f>
        <v>83</v>
      </c>
      <c r="J33" s="1368">
        <f>IF(COUNT(F20:F32)=0,"-",SUM(J20:J32))</f>
        <v>2</v>
      </c>
      <c r="K33" s="1368">
        <f>SUM(K20:K32)</f>
        <v>83</v>
      </c>
      <c r="L33" s="1369">
        <f>IFERROR($H33/$I33,"-")</f>
        <v>0.156626506024096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Enterprise Data</t>
        </is>
      </c>
      <c r="C34" s="1362" t="str">
        <f>'2.3 Enterprise Data'!$B$6</f>
        <v>Reporting &amp; Analytics</v>
      </c>
      <c r="D34" s="1362" t="str">
        <f>'2.3 Enterprise Data'!$C$6</f>
        <v>Enterprise Data and Insights</v>
      </c>
      <c r="E34" s="1362" t="str">
        <f>'2.3 Enterprise Data'!$R$6</f>
        <v>M</v>
      </c>
      <c r="F34" s="1363">
        <f>'2.3 Enterprise Data'!$D$6</f>
        <v>7.5</v>
      </c>
      <c r="G34" s="1363">
        <f>'2.3 Enterprise Data'!$E$6-'2.3 Enterprise Data'!$G$6</f>
        <v>9</v>
      </c>
      <c r="H34" s="1363">
        <f>'2.3 Enterprise Data'!$G$6</f>
        <v>3</v>
      </c>
      <c r="I34" s="1363">
        <f>'2.3 Enterprise Data'!$E$6</f>
        <v>12</v>
      </c>
      <c r="J34" s="1363">
        <f>IFERROR($I34-$F34,"-")</f>
        <v>4.5</v>
      </c>
      <c r="K34" s="1363">
        <f>'2.3 Enterprise Data'!$J$6</f>
        <v>12</v>
      </c>
      <c r="L34" s="1364">
        <f>IFERROR($H34/$I34,"-")</f>
        <v>0.25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Enterprise Data</t>
        </is>
      </c>
      <c r="C35" s="1370" t="str">
        <f>'2.3 Enterprise Data'!$B$7</f>
        <v>Data Platforms</v>
      </c>
      <c r="D35" s="1366" t="str">
        <f>'2.3 Enterprise Data'!$C$7</f>
        <v>Enterprise Data and Insights</v>
      </c>
      <c r="E35" s="1366" t="str">
        <f>'2.3 Enterprise Data'!$R$7</f>
        <v>M</v>
      </c>
      <c r="F35" s="1367">
        <f>'2.3 Enterprise Data'!$D$7</f>
        <v>7.5</v>
      </c>
      <c r="G35" s="1368">
        <f>'2.3 Enterprise Data'!$E$7-'2.3 Enterprise Data'!$G$7</f>
        <v>3</v>
      </c>
      <c r="H35" s="1368">
        <f>'2.3 Enterprise Data'!$G$7</f>
        <v>6</v>
      </c>
      <c r="I35" s="1368">
        <f>'2.3 Enterprise Data'!$E$7</f>
        <v>9</v>
      </c>
      <c r="J35" s="1368">
        <f>IFERROR($I35-$F35,"-")</f>
        <v>1.5</v>
      </c>
      <c r="K35" s="1368">
        <f>'2.3 Enterprise Data'!$J$7</f>
        <v>9</v>
      </c>
      <c r="L35" s="1369">
        <f>IFERROR($H35/$I35,"-")</f>
        <v>0.666666666666667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Enterprise Data</t>
        </is>
      </c>
      <c r="C36" s="1371" t="str">
        <f>'2.3 Enterprise Data'!$B$8</f>
        <v>Data Science</v>
      </c>
      <c r="D36" s="1371" t="str">
        <f>'2.3 Enterprise Data'!$C$8</f>
        <v>Enterprise Data and Insights</v>
      </c>
      <c r="E36" s="1371" t="str">
        <f>'2.3 Enterprise Data'!$R$8</f>
        <v>S</v>
      </c>
      <c r="F36" s="1372">
        <f>'2.3 Enterprise Data'!$D$8</f>
        <v>4</v>
      </c>
      <c r="G36" s="1373">
        <f>'2.3 Enterprise Data'!$E$8-'2.3 Enterprise Data'!$G$8</f>
        <v>4</v>
      </c>
      <c r="H36" s="1373">
        <f>'2.3 Enterprise Data'!$G$8</f>
        <v>0</v>
      </c>
      <c r="I36" s="1373">
        <f>'2.3 Enterprise Data'!$E$8</f>
        <v>4</v>
      </c>
      <c r="J36" s="1373">
        <f>IFERROR($I36-$F36,"-")</f>
        <v>0</v>
      </c>
      <c r="K36" s="1373">
        <f>'2.3 Enterprise Data'!$J$8</f>
        <v>4</v>
      </c>
      <c r="L36" s="1374">
        <f>IFERROR($H36/$I36,"-")</f>
        <v>0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Enterprise Data</t>
        </is>
      </c>
      <c r="C37" s="1362" t="str">
        <f>'2.3 Enterprise Data'!$B$11</f>
        <v>Head of Technology</v>
      </c>
      <c r="D37" s="1362" t="str">
        <f>'2.3 Enterprise Data'!$C$11</f>
        <v>Overhead - see 3.2</v>
      </c>
      <c r="E37" s="1362" t="str">
        <f>'2.3 Enterprise Data'!$R$11</f>
        <v>-</v>
      </c>
      <c r="F37" s="1363" t="str">
        <f>'2.3 Enterprise Data'!$D$11</f>
        <v>-</v>
      </c>
      <c r="G37" s="1363">
        <f>'2.3 Enterprise Data'!$E$11-'2.3 Enterprise Data'!$G$11</f>
        <v>1</v>
      </c>
      <c r="H37" s="1363">
        <f>'2.3 Enterprise Data'!$G$11</f>
        <v>0</v>
      </c>
      <c r="I37" s="1363">
        <f>'2.3 Enterprise Data'!$E$11</f>
        <v>1</v>
      </c>
      <c r="J37" s="1363" t="str">
        <f>IFERROR($I37-$F37,"-")</f>
        <v>-</v>
      </c>
      <c r="K37" s="1363">
        <f>'2.3 Enterprise Data'!$J$11</f>
        <v>1</v>
      </c>
      <c r="L37" s="1364">
        <f>IFERROR($H37/$I37,"-")</f>
        <v>0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Enterprise Data</t>
        </is>
      </c>
      <c r="C38" s="1362" t="str">
        <f>'2.3 Enterprise Data'!$B$12</f>
        <v>Technology Manager</v>
      </c>
      <c r="D38" s="1362" t="str">
        <f>'2.3 Enterprise Data'!$C$12</f>
        <v>Overhead - see 3.2</v>
      </c>
      <c r="E38" s="1362" t="str">
        <f>'2.3 Enterprise Data'!$R$12</f>
        <v>-</v>
      </c>
      <c r="F38" s="1363" t="str">
        <f>'2.3 Enterprise Data'!$D$12</f>
        <v>-</v>
      </c>
      <c r="G38" s="1363">
        <f>'2.3 Enterprise Data'!$E$12-'2.3 Enterprise Data'!$G$12</f>
        <v>2</v>
      </c>
      <c r="H38" s="1363">
        <f>'2.3 Enterprise Data'!$G$12</f>
        <v>0</v>
      </c>
      <c r="I38" s="1363">
        <f>'2.3 Enterprise Data'!$E$12</f>
        <v>2</v>
      </c>
      <c r="J38" s="1363" t="str">
        <f>IFERROR($I38-$F38,"-")</f>
        <v>-</v>
      </c>
      <c r="K38" s="1363">
        <f>'2.3 Enterprise Data'!$J$12</f>
        <v>2</v>
      </c>
      <c r="L38" s="1364">
        <f>IFERROR($H38/$I38,"-")</f>
        <v>0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Enterprise Data</t>
        </is>
      </c>
      <c r="C39" s="1375" t="inlineStr">
        <is>
          <t>Portfolio total</t>
        </is>
      </c>
      <c r="D39" s="285" t="n"/>
      <c r="E39" s="285" t="n"/>
      <c r="F39" s="1363">
        <f>IF(COUNT(F34:F38)=0,"-",SUM(F34:F38))</f>
        <v>19</v>
      </c>
      <c r="G39" s="1363">
        <f>SUM(G34:G38)</f>
        <v>19</v>
      </c>
      <c r="H39" s="1363">
        <f>SUM(H34:H38)</f>
        <v>9</v>
      </c>
      <c r="I39" s="1363">
        <f>SUM(I34:I38)</f>
        <v>28</v>
      </c>
      <c r="J39" s="1363">
        <f>IF(COUNT(F34:F38)=0,"-",SUM(J34:J38))</f>
        <v>6</v>
      </c>
      <c r="K39" s="1363">
        <f>SUM(K34:K38)</f>
        <v>28</v>
      </c>
      <c r="L39" s="1364">
        <f>IFERROR($H39/$I39,"-")</f>
        <v>0.321428571428571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TDD Group Functions</t>
        </is>
      </c>
      <c r="C40" s="1375" t="str">
        <f>'2.4 TDD Group Functions'!$B$6</f>
        <v>Cloud, Network &amp; Infra Ops</v>
      </c>
      <c r="D40" s="1362" t="str">
        <f>'2.4 TDD Group Functions'!$C$6</f>
        <v>Operations</v>
      </c>
      <c r="E40" s="1362" t="str">
        <f>'2.4 TDD Group Functions'!$R$6</f>
        <v>M</v>
      </c>
      <c r="F40" s="1363">
        <f>'2.4 TDD Group Functions'!$D$6</f>
        <v>6</v>
      </c>
      <c r="G40" s="1363">
        <f>'2.4 TDD Group Functions'!$E$6-'2.4 TDD Group Functions'!$G$6</f>
        <v>11</v>
      </c>
      <c r="H40" s="1363">
        <f>'2.4 TDD Group Functions'!$G$6</f>
        <v>1</v>
      </c>
      <c r="I40" s="1363">
        <f>'2.4 TDD Group Functions'!$E$6</f>
        <v>12</v>
      </c>
      <c r="J40" s="1363">
        <f>IFERROR($I40-$F40,"-")</f>
        <v>6</v>
      </c>
      <c r="K40" s="1363">
        <f>'2.4 TDD Group Functions'!$J$6</f>
        <v>12</v>
      </c>
      <c r="L40" s="1364">
        <f>IFERROR($H40/$I40,"-")</f>
        <v>0.0833333333333333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TDD Group Functions</t>
        </is>
      </c>
      <c r="C41" s="1362" t="str">
        <f>'2.4 TDD Group Functions'!$B$7</f>
        <v>Integration &amp; Process Automation</v>
      </c>
      <c r="D41" s="1362" t="str">
        <f>'2.4 TDD Group Functions'!$C$7</f>
        <v>Configuration / Integration</v>
      </c>
      <c r="E41" s="1362" t="str">
        <f>'2.4 TDD Group Functions'!$R$7</f>
        <v>M</v>
      </c>
      <c r="F41" s="1363">
        <f>'2.4 TDD Group Functions'!$D$7</f>
        <v>9</v>
      </c>
      <c r="G41" s="1363">
        <f>'2.4 TDD Group Functions'!$E$7-'2.4 TDD Group Functions'!$G$7</f>
        <v>8</v>
      </c>
      <c r="H41" s="1363">
        <f>'2.4 TDD Group Functions'!$G$7</f>
        <v>2</v>
      </c>
      <c r="I41" s="1363">
        <f>'2.4 TDD Group Functions'!$E$7</f>
        <v>10</v>
      </c>
      <c r="J41" s="1363">
        <f>IFERROR($I41-$F41,"-")</f>
        <v>1</v>
      </c>
      <c r="K41" s="1363">
        <f>'2.4 TDD Group Functions'!$J$7</f>
        <v>10</v>
      </c>
      <c r="L41" s="1364">
        <f>IFERROR($H41/$I41,"-")</f>
        <v>0.2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TDD Group Functions</t>
        </is>
      </c>
      <c r="C42" s="1370" t="str">
        <f>'2.4 TDD Group Functions'!$B$8</f>
        <v>DevOps &amp; QE</v>
      </c>
      <c r="D42" s="1366" t="str">
        <f>'2.4 TDD Group Functions'!$C$8</f>
        <v>Engineering</v>
      </c>
      <c r="E42" s="1366" t="str">
        <f>'2.4 TDD Group Functions'!$R$8</f>
        <v>S</v>
      </c>
      <c r="F42" s="1367">
        <f>'2.4 TDD Group Functions'!$D$8</f>
        <v>4.5</v>
      </c>
      <c r="G42" s="1368">
        <f>'2.4 TDD Group Functions'!$E$8-'2.4 TDD Group Functions'!$G$8</f>
        <v>4</v>
      </c>
      <c r="H42" s="1368">
        <f>'2.4 TDD Group Functions'!$G$8</f>
        <v>4</v>
      </c>
      <c r="I42" s="1368">
        <f>'2.4 TDD Group Functions'!$E$8</f>
        <v>8</v>
      </c>
      <c r="J42" s="1368">
        <f>IFERROR($I42-$F42,"-")</f>
        <v>3.5</v>
      </c>
      <c r="K42" s="1368">
        <f>'2.4 TDD Group Functions'!$J$8</f>
        <v>8</v>
      </c>
      <c r="L42" s="1369">
        <f>IFERROR($H42/$I42,"-")</f>
        <v>0.5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TDD Group Functions</t>
        </is>
      </c>
      <c r="C43" s="1371" t="str">
        <f>'2.4 TDD Group Functions'!$B$9</f>
        <v>Workplace &amp; Enterprise Tooling</v>
      </c>
      <c r="D43" s="1371" t="str">
        <f>'2.4 TDD Group Functions'!$C$9</f>
        <v>Configuration / Integration</v>
      </c>
      <c r="E43" s="1371" t="str">
        <f>'2.4 TDD Group Functions'!$R$9</f>
        <v>S</v>
      </c>
      <c r="F43" s="1372">
        <f>'2.4 TDD Group Functions'!$D$9</f>
        <v>6</v>
      </c>
      <c r="G43" s="1373">
        <f>'2.4 TDD Group Functions'!$E$9-'2.4 TDD Group Functions'!$G$9</f>
        <v>4</v>
      </c>
      <c r="H43" s="1373">
        <f>'2.4 TDD Group Functions'!$G$9</f>
        <v>2</v>
      </c>
      <c r="I43" s="1373">
        <f>'2.4 TDD Group Functions'!$E$9</f>
        <v>6</v>
      </c>
      <c r="J43" s="1373">
        <f>IFERROR($I43-$F43,"-")</f>
        <v>0</v>
      </c>
      <c r="K43" s="1373">
        <f>'2.4 TDD Group Functions'!$J$9</f>
        <v>6</v>
      </c>
      <c r="L43" s="1374">
        <f>IFERROR($H43/$I43,"-")</f>
        <v>0.333333333333333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TDD Group Functions</t>
        </is>
      </c>
      <c r="C44" s="1362" t="str">
        <f>'2.4 TDD Group Functions'!$B$10</f>
        <v>EGI TDD</v>
      </c>
      <c r="D44" s="1362" t="str">
        <f>'2.4 TDD Group Functions'!$C$10</f>
        <v>Strategic Programs</v>
      </c>
      <c r="E44" s="1362" t="str">
        <f>'2.4 TDD Group Functions'!$R$10</f>
        <v>-</v>
      </c>
      <c r="F44" s="1363" t="str">
        <f>'2.4 TDD Group Functions'!$D$10</f>
        <v>-</v>
      </c>
      <c r="G44" s="1363">
        <f>'2.4 TDD Group Functions'!$E$10-'2.4 TDD Group Functions'!$G$10</f>
        <v>4</v>
      </c>
      <c r="H44" s="1363">
        <f>'2.4 TDD Group Functions'!$G$10</f>
        <v>0</v>
      </c>
      <c r="I44" s="1363">
        <f>'2.4 TDD Group Functions'!$E$10</f>
        <v>4</v>
      </c>
      <c r="J44" s="1363" t="str">
        <f>IFERROR($I44-$F44,"-")</f>
        <v>-</v>
      </c>
      <c r="K44" s="1363">
        <f>'2.4 TDD Group Functions'!$J$10</f>
        <v>4</v>
      </c>
      <c r="L44" s="1364">
        <f>IFERROR($H44/$I44,"-")</f>
        <v>0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TDD Group Functions</t>
        </is>
      </c>
      <c r="C45" s="1362" t="str">
        <f>'2.4 TDD Group Functions'!$B$13</f>
        <v>Head of Technology</v>
      </c>
      <c r="D45" s="1362" t="str">
        <f>'2.4 TDD Group Functions'!$C$13</f>
        <v>Overhead - see 3.2</v>
      </c>
      <c r="E45" s="1362" t="str">
        <f>'2.4 TDD Group Functions'!$R$13</f>
        <v>-</v>
      </c>
      <c r="F45" s="1363" t="str">
        <f>'2.4 TDD Group Functions'!$D$13</f>
        <v>-</v>
      </c>
      <c r="G45" s="1363">
        <f>'2.4 TDD Group Functions'!$E$13-'2.4 TDD Group Functions'!$G$13</f>
        <v>0</v>
      </c>
      <c r="H45" s="1363">
        <f>'2.4 TDD Group Functions'!$G$13</f>
        <v>1</v>
      </c>
      <c r="I45" s="1363">
        <f>'2.4 TDD Group Functions'!$E$13</f>
        <v>1</v>
      </c>
      <c r="J45" s="1363" t="str">
        <f>IFERROR($I45-$F45,"-")</f>
        <v>-</v>
      </c>
      <c r="K45" s="1363">
        <f>'2.4 TDD Group Functions'!$J$13</f>
        <v>1</v>
      </c>
      <c r="L45" s="1364">
        <f>IFERROR($H45/$I45,"-")</f>
        <v>1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TDD Group Functions</t>
        </is>
      </c>
      <c r="C46" s="1362" t="str">
        <f>'2.4 TDD Group Functions'!$B$14</f>
        <v>Delivery Manager</v>
      </c>
      <c r="D46" s="1362" t="str">
        <f>'2.4 TDD Group Functions'!$C$14</f>
        <v>Overhead - see 3.2</v>
      </c>
      <c r="E46" s="1362" t="str">
        <f>'2.4 TDD Group Functions'!$R$14</f>
        <v>-</v>
      </c>
      <c r="F46" s="1363" t="str">
        <f>'2.4 TDD Group Functions'!$D$14</f>
        <v>-</v>
      </c>
      <c r="G46" s="1363">
        <f>'2.4 TDD Group Functions'!$E$14-'2.4 TDD Group Functions'!$G$14</f>
        <v>0</v>
      </c>
      <c r="H46" s="1363">
        <f>'2.4 TDD Group Functions'!$G$14</f>
        <v>1</v>
      </c>
      <c r="I46" s="1363">
        <f>'2.4 TDD Group Functions'!$E$14</f>
        <v>1</v>
      </c>
      <c r="J46" s="1363" t="str">
        <f>IFERROR($I46-$F46,"-")</f>
        <v>-</v>
      </c>
      <c r="K46" s="1363">
        <f>'2.4 TDD Group Functions'!$J$14</f>
        <v>1</v>
      </c>
      <c r="L46" s="1364">
        <f>IFERROR($H46/$I46,"-")</f>
        <v>1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TDD Group Functions</t>
        </is>
      </c>
      <c r="C47" s="1375" t="str">
        <f>'2.4 TDD Group Functions'!$B$15</f>
        <v>Technology Manager</v>
      </c>
      <c r="D47" s="1362" t="str">
        <f>'2.4 TDD Group Functions'!$C$15</f>
        <v>Overhead - see 3.2</v>
      </c>
      <c r="E47" s="1362" t="str">
        <f>'2.4 TDD Group Functions'!$R$15</f>
        <v>-</v>
      </c>
      <c r="F47" s="1363" t="str">
        <f>'2.4 TDD Group Functions'!$D$15</f>
        <v>-</v>
      </c>
      <c r="G47" s="1363">
        <f>'2.4 TDD Group Functions'!$E$15-'2.4 TDD Group Functions'!$G$15</f>
        <v>1</v>
      </c>
      <c r="H47" s="1363">
        <f>'2.4 TDD Group Functions'!$G$15</f>
        <v>3</v>
      </c>
      <c r="I47" s="1363">
        <f>'2.4 TDD Group Functions'!$E$15</f>
        <v>4</v>
      </c>
      <c r="J47" s="1363" t="str">
        <f>IFERROR($I47-$F47,"-")</f>
        <v>-</v>
      </c>
      <c r="K47" s="1363">
        <f>'2.4 TDD Group Functions'!$J$15</f>
        <v>4</v>
      </c>
      <c r="L47" s="1364">
        <f>IFERROR($H47/$I47,"-")</f>
        <v>0.75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TDD Group Functions</t>
        </is>
      </c>
      <c r="C48" s="1370" t="inlineStr">
        <is>
          <t>Portfolio total</t>
        </is>
      </c>
      <c r="D48" s="456" t="n"/>
      <c r="E48" s="456" t="n"/>
      <c r="F48" s="1367">
        <f>IF(COUNT(F40:F47)=0,"-",SUM(F40:F47))</f>
        <v>25.5</v>
      </c>
      <c r="G48" s="1368">
        <f>SUM(G40:G47)</f>
        <v>32</v>
      </c>
      <c r="H48" s="1368">
        <f>SUM(H40:H47)</f>
        <v>14</v>
      </c>
      <c r="I48" s="1368">
        <f>SUM(I40:I47)</f>
        <v>46</v>
      </c>
      <c r="J48" s="1368">
        <f>IF(COUNT(F40:F47)=0,"-",SUM(J40:J47))</f>
        <v>10.5</v>
      </c>
      <c r="K48" s="1368">
        <f>SUM(K40:K47)</f>
        <v>46</v>
      </c>
      <c r="L48" s="1369">
        <f>IFERROR($H48/$I48,"-")</f>
        <v>0.304347826086957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P&amp;C</t>
        </is>
      </c>
      <c r="C49" s="1375" t="str">
        <f>'2.5 P&amp;C'!$B$6</f>
        <v>P&amp;C</v>
      </c>
      <c r="D49" s="1362" t="str">
        <f>'2.5 P&amp;C'!$C$6</f>
        <v>Configuration / Integration</v>
      </c>
      <c r="E49" s="1362" t="str">
        <f>'2.5 P&amp;C'!$R$6</f>
        <v>M</v>
      </c>
      <c r="F49" s="1363">
        <f>'2.5 P&amp;C'!$D$6</f>
        <v>9</v>
      </c>
      <c r="G49" s="1363">
        <f>'2.5 P&amp;C'!$E$6-'2.5 P&amp;C'!$G$6</f>
        <v>5</v>
      </c>
      <c r="H49" s="1363">
        <f>'2.5 P&amp;C'!$G$6</f>
        <v>3</v>
      </c>
      <c r="I49" s="1363">
        <f>'2.5 P&amp;C'!$E$6</f>
        <v>8</v>
      </c>
      <c r="J49" s="1363">
        <f>IFERROR($I49-$F49,"-")</f>
        <v>-1</v>
      </c>
      <c r="K49" s="1363">
        <f>'2.5 P&amp;C'!$J$6</f>
        <v>8</v>
      </c>
      <c r="L49" s="1364">
        <f>IFERROR($H49/$I49,"-")</f>
        <v>0.375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P&amp;C</t>
        </is>
      </c>
      <c r="C50" s="1365" t="str">
        <f>'2.5 P&amp;C'!$B$7</f>
        <v>P&amp;C RTA</v>
      </c>
      <c r="D50" s="1366" t="str">
        <f>'2.5 P&amp;C'!$C$7</f>
        <v>Configuration / Integration</v>
      </c>
      <c r="E50" s="1366" t="str">
        <f>'2.5 P&amp;C'!$R$7</f>
        <v>S</v>
      </c>
      <c r="F50" s="1367">
        <f>'2.5 P&amp;C'!$D$7</f>
        <v>6</v>
      </c>
      <c r="G50" s="1368">
        <f>'2.5 P&amp;C'!$E$7-'2.5 P&amp;C'!$G$7</f>
        <v>1</v>
      </c>
      <c r="H50" s="1368">
        <f>'2.5 P&amp;C'!$G$7</f>
        <v>5</v>
      </c>
      <c r="I50" s="1368">
        <f>'2.5 P&amp;C'!$E$7</f>
        <v>6</v>
      </c>
      <c r="J50" s="1368">
        <f>IFERROR($I50-$F50,"-")</f>
        <v>0</v>
      </c>
      <c r="K50" s="1368">
        <f>'2.5 P&amp;C'!$J$7</f>
        <v>6</v>
      </c>
      <c r="L50" s="1369">
        <f>IFERROR($H50/$I50,"-")</f>
        <v>0.833333333333333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P&amp;C</t>
        </is>
      </c>
      <c r="C51" s="1376" t="str">
        <f>'2.5 P&amp;C'!$B$8</f>
        <v>EGI P&amp;C</v>
      </c>
      <c r="D51" s="1371" t="str">
        <f>'2.5 P&amp;C'!$C$8</f>
        <v>Strategic Programs</v>
      </c>
      <c r="E51" s="1371" t="str">
        <f>'2.5 P&amp;C'!$R$8</f>
        <v>-</v>
      </c>
      <c r="F51" s="1372" t="str">
        <f>'2.5 P&amp;C'!$D$8</f>
        <v>-</v>
      </c>
      <c r="G51" s="1373">
        <f>'2.5 P&amp;C'!$E$8-'2.5 P&amp;C'!$G$8</f>
        <v>1</v>
      </c>
      <c r="H51" s="1373">
        <f>'2.5 P&amp;C'!$G$8</f>
        <v>0</v>
      </c>
      <c r="I51" s="1373">
        <f>'2.5 P&amp;C'!$E$8</f>
        <v>1</v>
      </c>
      <c r="J51" s="1373" t="str">
        <f>IFERROR($I51-$F51,"-")</f>
        <v>-</v>
      </c>
      <c r="K51" s="1373">
        <f>'2.5 P&amp;C'!$J$8</f>
        <v>1</v>
      </c>
      <c r="L51" s="1374">
        <f>IFERROR($H51/$I51,"-")</f>
        <v>0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P&amp;C</t>
        </is>
      </c>
      <c r="C52" s="1362" t="str">
        <f>'2.5 P&amp;C'!$B$11</f>
        <v>Head of Technology</v>
      </c>
      <c r="D52" s="1362" t="str">
        <f>'2.5 P&amp;C'!$C$11</f>
        <v>Overhead - see 3.2</v>
      </c>
      <c r="E52" s="1362" t="str">
        <f>'2.5 P&amp;C'!$R$11</f>
        <v>-</v>
      </c>
      <c r="F52" s="1363" t="str">
        <f>'2.5 P&amp;C'!$D$11</f>
        <v>-</v>
      </c>
      <c r="G52" s="1363">
        <f>'2.5 P&amp;C'!$E$11-'2.5 P&amp;C'!$G$11</f>
        <v>1</v>
      </c>
      <c r="H52" s="1363">
        <f>'2.5 P&amp;C'!$G$11</f>
        <v>0</v>
      </c>
      <c r="I52" s="1363">
        <f>'2.5 P&amp;C'!$E$11</f>
        <v>1</v>
      </c>
      <c r="J52" s="1363" t="str">
        <f>IFERROR($I52-$F52,"-")</f>
        <v>-</v>
      </c>
      <c r="K52" s="1363">
        <f>'2.5 P&amp;C'!$J$11</f>
        <v>1</v>
      </c>
      <c r="L52" s="1364">
        <f>IFERROR($H52/$I52,"-")</f>
        <v>0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P&amp;C</t>
        </is>
      </c>
      <c r="C53" s="1375" t="str">
        <f>'2.5 P&amp;C'!$B$12</f>
        <v>Delivery Manager</v>
      </c>
      <c r="D53" s="1362" t="str">
        <f>'2.5 P&amp;C'!$C$12</f>
        <v>Overhead - see 3.2</v>
      </c>
      <c r="E53" s="1362" t="str">
        <f>'2.5 P&amp;C'!$R$12</f>
        <v>-</v>
      </c>
      <c r="F53" s="1363" t="str">
        <f>'2.5 P&amp;C'!$D$12</f>
        <v>-</v>
      </c>
      <c r="G53" s="1363">
        <f>'2.5 P&amp;C'!$E$12-'2.5 P&amp;C'!$G$12</f>
        <v>0</v>
      </c>
      <c r="H53" s="1363">
        <f>'2.5 P&amp;C'!$G$12</f>
        <v>1</v>
      </c>
      <c r="I53" s="1363">
        <f>'2.5 P&amp;C'!$E$12</f>
        <v>1</v>
      </c>
      <c r="J53" s="1363" t="str">
        <f>IFERROR($I53-$F53,"-")</f>
        <v>-</v>
      </c>
      <c r="K53" s="1363">
        <f>'2.5 P&amp;C'!$J$12</f>
        <v>1</v>
      </c>
      <c r="L53" s="1364">
        <f>IFERROR($H53/$I53,"-")</f>
        <v>1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P&amp;C</t>
        </is>
      </c>
      <c r="C54" s="1365" t="str">
        <f>'2.5 P&amp;C'!$B$13</f>
        <v>Technology Manager</v>
      </c>
      <c r="D54" s="1366" t="str">
        <f>'2.5 P&amp;C'!$C$13</f>
        <v>Overhead - see 3.2</v>
      </c>
      <c r="E54" s="1366" t="str">
        <f>'2.5 P&amp;C'!$R$13</f>
        <v>-</v>
      </c>
      <c r="F54" s="1367" t="str">
        <f>'2.5 P&amp;C'!$D$13</f>
        <v>-</v>
      </c>
      <c r="G54" s="1368">
        <f>'2.5 P&amp;C'!$E$13-'2.5 P&amp;C'!$G$13</f>
        <v>0</v>
      </c>
      <c r="H54" s="1368">
        <f>'2.5 P&amp;C'!$G$13</f>
        <v>1</v>
      </c>
      <c r="I54" s="1368">
        <f>'2.5 P&amp;C'!$E$13</f>
        <v>1</v>
      </c>
      <c r="J54" s="1368" t="str">
        <f>IFERROR($I54-$F54,"-")</f>
        <v>-</v>
      </c>
      <c r="K54" s="1368">
        <f>'2.5 P&amp;C'!$J$13</f>
        <v>1</v>
      </c>
      <c r="L54" s="1369">
        <f>IFERROR($H54/$I54,"-")</f>
        <v>1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P&amp;C</t>
        </is>
      </c>
      <c r="C55" s="1375" t="inlineStr">
        <is>
          <t>Portfolio total</t>
        </is>
      </c>
      <c r="D55" s="285" t="n"/>
      <c r="E55" s="285" t="n"/>
      <c r="F55" s="1363">
        <f>IF(COUNT(F49:F54)=0,"-",SUM(F49:F54))</f>
        <v>15</v>
      </c>
      <c r="G55" s="1363">
        <f>SUM(G49:G54)</f>
        <v>8</v>
      </c>
      <c r="H55" s="1363">
        <f>SUM(H49:H54)</f>
        <v>10</v>
      </c>
      <c r="I55" s="1363">
        <f>SUM(I49:I54)</f>
        <v>18</v>
      </c>
      <c r="J55" s="1363">
        <f>IF(COUNT(F49:F54)=0,"-",SUM(J49:J54))</f>
        <v>-1</v>
      </c>
      <c r="K55" s="1363">
        <f>SUM(K49:K54)</f>
        <v>18</v>
      </c>
      <c r="L55" s="1364">
        <f>IFERROR($H55/$I55,"-")</f>
        <v>0.555555555555556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Finance</t>
        </is>
      </c>
      <c r="C56" s="1370" t="str">
        <f>'2.6 Finance'!$B$6</f>
        <v>SAP ERP</v>
      </c>
      <c r="D56" s="1366" t="str">
        <f>'2.6 Finance'!$C$6</f>
        <v>Configuration / Integration</v>
      </c>
      <c r="E56" s="1366" t="str">
        <f>'2.6 Finance'!$R$6</f>
        <v>S</v>
      </c>
      <c r="F56" s="1367">
        <f>'2.6 Finance'!$D$6</f>
        <v>6</v>
      </c>
      <c r="G56" s="1368">
        <f>'2.6 Finance'!$E$6-'2.6 Finance'!$G$6</f>
        <v>3</v>
      </c>
      <c r="H56" s="1368">
        <f>'2.6 Finance'!$G$6</f>
        <v>7</v>
      </c>
      <c r="I56" s="1368">
        <f>'2.6 Finance'!$E$6</f>
        <v>10</v>
      </c>
      <c r="J56" s="1368">
        <f>IFERROR($I56-$F56,"-")</f>
        <v>4</v>
      </c>
      <c r="K56" s="1368">
        <f>'2.6 Finance'!$J$6</f>
        <v>10</v>
      </c>
      <c r="L56" s="1369">
        <f>IFERROR($H56/$I56,"-")</f>
        <v>0.7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Finance</t>
        </is>
      </c>
      <c r="C57" s="1371" t="str">
        <f>'2.6 Finance'!$B$7</f>
        <v>NZ Finance</v>
      </c>
      <c r="D57" s="1371" t="str">
        <f>'2.6 Finance'!$C$7</f>
        <v>Configuration / Integration</v>
      </c>
      <c r="E57" s="1371" t="str">
        <f>'2.6 Finance'!$R$7</f>
        <v>S</v>
      </c>
      <c r="F57" s="1372">
        <f>'2.6 Finance'!$D$7</f>
        <v>6</v>
      </c>
      <c r="G57" s="1373">
        <f>'2.6 Finance'!$E$7-'2.6 Finance'!$G$7</f>
        <v>4</v>
      </c>
      <c r="H57" s="1373">
        <f>'2.6 Finance'!$G$7</f>
        <v>1</v>
      </c>
      <c r="I57" s="1373">
        <f>'2.6 Finance'!$E$7</f>
        <v>5</v>
      </c>
      <c r="J57" s="1373">
        <f>IFERROR($I57-$F57,"-")</f>
        <v>-1</v>
      </c>
      <c r="K57" s="1373">
        <f>'2.6 Finance'!$J$7</f>
        <v>5</v>
      </c>
      <c r="L57" s="1374">
        <f>IFERROR($H57/$I57,"-")</f>
        <v>0.2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Finance</t>
        </is>
      </c>
      <c r="C58" s="1375" t="str">
        <f>'2.6 Finance'!$B$8</f>
        <v>EGI Finance</v>
      </c>
      <c r="D58" s="1362" t="str">
        <f>'2.6 Finance'!$C$8</f>
        <v>Strategic Programs</v>
      </c>
      <c r="E58" s="1362" t="str">
        <f>'2.6 Finance'!$R$8</f>
        <v>-</v>
      </c>
      <c r="F58" s="1363" t="str">
        <f>'2.6 Finance'!$D$8</f>
        <v>-</v>
      </c>
      <c r="G58" s="1363">
        <f>'2.6 Finance'!$E$8-'2.6 Finance'!$G$8</f>
        <v>1</v>
      </c>
      <c r="H58" s="1363">
        <f>'2.6 Finance'!$G$8</f>
        <v>0</v>
      </c>
      <c r="I58" s="1363">
        <f>'2.6 Finance'!$E$8</f>
        <v>1</v>
      </c>
      <c r="J58" s="1363" t="str">
        <f>IFERROR($I58-$F58,"-")</f>
        <v>-</v>
      </c>
      <c r="K58" s="1363">
        <f>'2.6 Finance'!$J$8</f>
        <v>1</v>
      </c>
      <c r="L58" s="1364">
        <f>IFERROR($H58/$I58,"-")</f>
        <v>0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Finance</t>
        </is>
      </c>
      <c r="C59" s="1375" t="str">
        <f>'2.6 Finance'!$B$11</f>
        <v>Technology Manager</v>
      </c>
      <c r="D59" s="1362" t="str">
        <f>'2.6 Finance'!$C$11</f>
        <v>Overhead - see 3.2</v>
      </c>
      <c r="E59" s="1362" t="str">
        <f>'2.6 Finance'!$R$11</f>
        <v>-</v>
      </c>
      <c r="F59" s="1363" t="str">
        <f>'2.6 Finance'!$D$11</f>
        <v>-</v>
      </c>
      <c r="G59" s="1363">
        <f>'2.6 Finance'!$E$11-'2.6 Finance'!$G$11</f>
        <v>1</v>
      </c>
      <c r="H59" s="1363">
        <f>'2.6 Finance'!$G$11</f>
        <v>0</v>
      </c>
      <c r="I59" s="1363">
        <f>'2.6 Finance'!$E$11</f>
        <v>1</v>
      </c>
      <c r="J59" s="1363" t="str">
        <f>IFERROR($I59-$F59,"-")</f>
        <v>-</v>
      </c>
      <c r="K59" s="1363">
        <f>'2.6 Finance'!$J$11</f>
        <v>1</v>
      </c>
      <c r="L59" s="1364">
        <f>IFERROR($H59/$I59,"-")</f>
        <v>0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Finance</t>
        </is>
      </c>
      <c r="C60" s="1370" t="inlineStr">
        <is>
          <t>Portfolio total</t>
        </is>
      </c>
      <c r="D60" s="456" t="n"/>
      <c r="E60" s="456" t="n"/>
      <c r="F60" s="1367">
        <f>IF(COUNT(F56:F59)=0,"-",SUM(F56:F59))</f>
        <v>12</v>
      </c>
      <c r="G60" s="1368">
        <f>SUM(G56:G59)</f>
        <v>9</v>
      </c>
      <c r="H60" s="1368">
        <f>SUM(H56:H59)</f>
        <v>8</v>
      </c>
      <c r="I60" s="1368">
        <f>SUM(I56:I59)</f>
        <v>17</v>
      </c>
      <c r="J60" s="1368">
        <f>IF(COUNT(F56:F59)=0,"-",SUM(J56:J59))</f>
        <v>3</v>
      </c>
      <c r="K60" s="1368">
        <f>SUM(K56:K59)</f>
        <v>17</v>
      </c>
      <c r="L60" s="1369">
        <f>IFERROR($H60/$I60,"-")</f>
        <v>0.470588235294118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Infrastructure</t>
        </is>
      </c>
      <c r="C61" s="1362" t="str">
        <f>'2.7 Infrastructure'!$B$6</f>
        <v>Distribution, Sales &amp; Services</v>
      </c>
      <c r="D61" s="1362" t="str">
        <f>'2.7 Infrastructure'!$C$6</f>
        <v>Configuration / Integration</v>
      </c>
      <c r="E61" s="1362" t="str">
        <f>'2.7 Infrastructure'!$R$6</f>
        <v>M</v>
      </c>
      <c r="F61" s="1363">
        <f>'2.7 Infrastructure'!$D$6</f>
        <v>9</v>
      </c>
      <c r="G61" s="1363">
        <f>'2.7 Infrastructure'!$E$6-'2.7 Infrastructure'!$G$6</f>
        <v>8</v>
      </c>
      <c r="H61" s="1363">
        <f>'2.7 Infrastructure'!$G$6</f>
        <v>2</v>
      </c>
      <c r="I61" s="1363">
        <f>'2.7 Infrastructure'!$E$6</f>
        <v>10</v>
      </c>
      <c r="J61" s="1363">
        <f>IFERROR($I61-$F61,"-")</f>
        <v>1</v>
      </c>
      <c r="K61" s="1363">
        <f>'2.7 Infrastructure'!$J$6</f>
        <v>10</v>
      </c>
      <c r="L61" s="1364">
        <f>IFERROR($H61/$I61,"-")</f>
        <v>0.2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Infrastructure</t>
        </is>
      </c>
      <c r="C62" s="1370" t="str">
        <f>'2.7 Infrastructure'!$B$7</f>
        <v>Manufacturing Group Projects</v>
      </c>
      <c r="D62" s="1366" t="str">
        <f>'2.7 Infrastructure'!$C$7</f>
        <v>Configuration / Integration</v>
      </c>
      <c r="E62" s="1366" t="str">
        <f>'2.7 Infrastructure'!$R$7</f>
        <v>M</v>
      </c>
      <c r="F62" s="1367">
        <f>'2.7 Infrastructure'!$D$7</f>
        <v>9</v>
      </c>
      <c r="G62" s="1368">
        <f>'2.7 Infrastructure'!$E$7-'2.7 Infrastructure'!$G$7</f>
        <v>7</v>
      </c>
      <c r="H62" s="1368">
        <f>'2.7 Infrastructure'!$G$7</f>
        <v>2</v>
      </c>
      <c r="I62" s="1368">
        <f>'2.7 Infrastructure'!$E$7</f>
        <v>9</v>
      </c>
      <c r="J62" s="1368">
        <f>IFERROR($I62-$F62,"-")</f>
        <v>0</v>
      </c>
      <c r="K62" s="1368">
        <f>'2.7 Infrastructure'!$J$7</f>
        <v>9</v>
      </c>
      <c r="L62" s="1369">
        <f>IFERROR($H62/$I62,"-")</f>
        <v>0.222222222222222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Infrastructure</t>
        </is>
      </c>
      <c r="C63" s="1371" t="str">
        <f>'2.7 Infrastructure'!$B$8</f>
        <v>Data &amp; Insights</v>
      </c>
      <c r="D63" s="1371" t="str">
        <f>'2.7 Infrastructure'!$C$8</f>
        <v>Configuration / Integration</v>
      </c>
      <c r="E63" s="1371" t="str">
        <f>'2.7 Infrastructure'!$R$8</f>
        <v>S</v>
      </c>
      <c r="F63" s="1372">
        <f>'2.7 Infrastructure'!$D$8</f>
        <v>6</v>
      </c>
      <c r="G63" s="1373">
        <f>'2.7 Infrastructure'!$E$8-'2.7 Infrastructure'!$G$8</f>
        <v>2</v>
      </c>
      <c r="H63" s="1373">
        <f>'2.7 Infrastructure'!$G$8</f>
        <v>5</v>
      </c>
      <c r="I63" s="1373">
        <f>'2.7 Infrastructure'!$E$8</f>
        <v>7</v>
      </c>
      <c r="J63" s="1373">
        <f>IFERROR($I63-$F63,"-")</f>
        <v>1</v>
      </c>
      <c r="K63" s="1373">
        <f>'2.7 Infrastructure'!$J$8</f>
        <v>7</v>
      </c>
      <c r="L63" s="1374">
        <f>IFERROR($H63/$I63,"-")</f>
        <v>0.714285714285714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Infrastructure</t>
        </is>
      </c>
      <c r="C64" s="1375" t="str">
        <f>'2.7 Infrastructure'!$B$9</f>
        <v>Technology Support</v>
      </c>
      <c r="D64" s="1362" t="str">
        <f>'2.7 Infrastructure'!$C$9</f>
        <v>Operations</v>
      </c>
      <c r="E64" s="1362" t="str">
        <f>'2.7 Infrastructure'!$R$9</f>
        <v>S</v>
      </c>
      <c r="F64" s="1363">
        <f>'2.7 Infrastructure'!$D$9</f>
        <v>4</v>
      </c>
      <c r="G64" s="1363">
        <f>'2.7 Infrastructure'!$E$9-'2.7 Infrastructure'!$G$9</f>
        <v>5</v>
      </c>
      <c r="H64" s="1363">
        <f>'2.7 Infrastructure'!$G$9</f>
        <v>0</v>
      </c>
      <c r="I64" s="1363">
        <f>'2.7 Infrastructure'!$E$9</f>
        <v>5</v>
      </c>
      <c r="J64" s="1363">
        <f>IFERROR($I64-$F64,"-")</f>
        <v>1</v>
      </c>
      <c r="K64" s="1363">
        <f>'2.7 Infrastructure'!$J$9</f>
        <v>5</v>
      </c>
      <c r="L64" s="1364">
        <f>IFERROR($H64/$I64,"-")</f>
        <v>0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Infrastructure</t>
        </is>
      </c>
      <c r="C65" s="1365" t="str">
        <f>'2.7 Infrastructure'!$B$10</f>
        <v>Leadership</v>
      </c>
      <c r="D65" s="1366" t="str">
        <f>'2.7 Infrastructure'!$C$10</f>
        <v>No archetype for this squad</v>
      </c>
      <c r="E65" s="1366" t="str">
        <f>'2.7 Infrastructure'!$R$10</f>
        <v>-</v>
      </c>
      <c r="F65" s="1367" t="str">
        <f>'2.7 Infrastructure'!$D$10</f>
        <v>-</v>
      </c>
      <c r="G65" s="1368">
        <f>'2.7 Infrastructure'!$E$10-'2.7 Infrastructure'!$G$10</f>
        <v>1</v>
      </c>
      <c r="H65" s="1368">
        <f>'2.7 Infrastructure'!$G$10</f>
        <v>0</v>
      </c>
      <c r="I65" s="1368">
        <f>'2.7 Infrastructure'!$E$10</f>
        <v>1</v>
      </c>
      <c r="J65" s="1368" t="str">
        <f>IFERROR($I65-$F65,"-")</f>
        <v>-</v>
      </c>
      <c r="K65" s="1368">
        <f>'2.7 Infrastructure'!$J$10</f>
        <v>1</v>
      </c>
      <c r="L65" s="1369">
        <f>IFERROR($H65/$I65,"-")</f>
        <v>0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Infrastructure</t>
        </is>
      </c>
      <c r="C66" s="1362" t="str">
        <f>'2.7 Infrastructure'!$B$13</f>
        <v>Head of Technology</v>
      </c>
      <c r="D66" s="1362" t="str">
        <f>'2.7 Infrastructure'!$C$13</f>
        <v>Overhead - see 3.2</v>
      </c>
      <c r="E66" s="1362" t="str">
        <f>'2.7 Infrastructure'!$R$13</f>
        <v>-</v>
      </c>
      <c r="F66" s="1363" t="str">
        <f>'2.7 Infrastructure'!$D$13</f>
        <v>-</v>
      </c>
      <c r="G66" s="1363">
        <f>'2.7 Infrastructure'!$E$13-'2.7 Infrastructure'!$G$13</f>
        <v>1</v>
      </c>
      <c r="H66" s="1363">
        <f>'2.7 Infrastructure'!$G$13</f>
        <v>0</v>
      </c>
      <c r="I66" s="1363">
        <f>'2.7 Infrastructure'!$E$13</f>
        <v>1</v>
      </c>
      <c r="J66" s="1363" t="str">
        <f>IFERROR($I66-$F66,"-")</f>
        <v>-</v>
      </c>
      <c r="K66" s="1363">
        <f>'2.7 Infrastructure'!$J$13</f>
        <v>1</v>
      </c>
      <c r="L66" s="1364">
        <f>IFERROR($H66/$I66,"-")</f>
        <v>0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Infrastructure</t>
        </is>
      </c>
      <c r="C67" s="1362" t="str">
        <f>'2.7 Infrastructure'!$B$14</f>
        <v>Delivery Manager</v>
      </c>
      <c r="D67" s="1362" t="str">
        <f>'2.7 Infrastructure'!$C$14</f>
        <v>Overhead - see 3.2</v>
      </c>
      <c r="E67" s="1362" t="str">
        <f>'2.7 Infrastructure'!$R$14</f>
        <v>-</v>
      </c>
      <c r="F67" s="1363" t="str">
        <f>'2.7 Infrastructure'!$D$14</f>
        <v>-</v>
      </c>
      <c r="G67" s="1363">
        <f>'2.7 Infrastructure'!$E$14-'2.7 Infrastructure'!$G$14</f>
        <v>0</v>
      </c>
      <c r="H67" s="1363">
        <f>'2.7 Infrastructure'!$G$14</f>
        <v>1</v>
      </c>
      <c r="I67" s="1363">
        <f>'2.7 Infrastructure'!$E$14</f>
        <v>1</v>
      </c>
      <c r="J67" s="1363" t="str">
        <f>IFERROR($I67-$F67,"-")</f>
        <v>-</v>
      </c>
      <c r="K67" s="1363">
        <f>'2.7 Infrastructure'!$J$14</f>
        <v>1</v>
      </c>
      <c r="L67" s="1364">
        <f>IFERROR($H67/$I67,"-")</f>
        <v>1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Infrastructure</t>
        </is>
      </c>
      <c r="C68" s="1365" t="str">
        <f>'2.7 Infrastructure'!$B$15</f>
        <v>Technology Manager</v>
      </c>
      <c r="D68" s="1366" t="str">
        <f>'2.7 Infrastructure'!$C$15</f>
        <v>Overhead - see 3.2</v>
      </c>
      <c r="E68" s="1366" t="str">
        <f>'2.7 Infrastructure'!$R$15</f>
        <v>-</v>
      </c>
      <c r="F68" s="1367" t="str">
        <f>'2.7 Infrastructure'!$D$15</f>
        <v>-</v>
      </c>
      <c r="G68" s="1368">
        <f>'2.7 Infrastructure'!$E$15-'2.7 Infrastructure'!$G$15</f>
        <v>0</v>
      </c>
      <c r="H68" s="1368">
        <f>'2.7 Infrastructure'!$G$15</f>
        <v>2</v>
      </c>
      <c r="I68" s="1368">
        <f>'2.7 Infrastructure'!$E$15</f>
        <v>2</v>
      </c>
      <c r="J68" s="1368" t="str">
        <f>IFERROR($I68-$F68,"-")</f>
        <v>-</v>
      </c>
      <c r="K68" s="1368">
        <f>'2.7 Infrastructure'!$J$15</f>
        <v>2</v>
      </c>
      <c r="L68" s="1369">
        <f>IFERROR($H68/$I68,"-")</f>
        <v>1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Infrastructure</t>
        </is>
      </c>
      <c r="C69" s="1375" t="inlineStr">
        <is>
          <t>Portfolio total</t>
        </is>
      </c>
      <c r="D69" s="285" t="n"/>
      <c r="E69" s="285" t="n"/>
      <c r="F69" s="1363">
        <f>IF(COUNT(F61:F68)=0,"-",SUM(F61:F68))</f>
        <v>28</v>
      </c>
      <c r="G69" s="1363">
        <f>SUM(G61:G68)</f>
        <v>24</v>
      </c>
      <c r="H69" s="1363">
        <f>SUM(H61:H68)</f>
        <v>12</v>
      </c>
      <c r="I69" s="1363">
        <f>SUM(I61:I68)</f>
        <v>36</v>
      </c>
      <c r="J69" s="1363">
        <f>IF(COUNT(F61:F68)=0,"-",SUM(J61:J68))</f>
        <v>3</v>
      </c>
      <c r="K69" s="1363">
        <f>SUM(K61:K68)</f>
        <v>36</v>
      </c>
      <c r="L69" s="1364">
        <f>IFERROR($H69/$I69,"-")</f>
        <v>0.333333333333333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Energy Solutions &amp; B2B</t>
        </is>
      </c>
      <c r="C70" s="1370" t="str">
        <f>'2.8 Energy Solutions &amp; B2B'!$B$6</f>
        <v>B2B</v>
      </c>
      <c r="D70" s="1366" t="str">
        <f>'2.8 Energy Solutions &amp; B2B'!$C$6</f>
        <v>Configuration / Integration</v>
      </c>
      <c r="E70" s="1366" t="str">
        <f>'2.8 Energy Solutions &amp; B2B'!$R$6</f>
        <v>L</v>
      </c>
      <c r="F70" s="1367">
        <f>'2.8 Energy Solutions &amp; B2B'!$D$6</f>
        <v>14</v>
      </c>
      <c r="G70" s="1368">
        <f>'2.8 Energy Solutions &amp; B2B'!$E$6-'2.8 Energy Solutions &amp; B2B'!$G$6</f>
        <v>11</v>
      </c>
      <c r="H70" s="1368">
        <f>'2.8 Energy Solutions &amp; B2B'!$G$6</f>
        <v>3</v>
      </c>
      <c r="I70" s="1368">
        <f>'2.8 Energy Solutions &amp; B2B'!$E$6</f>
        <v>14</v>
      </c>
      <c r="J70" s="1368">
        <f>IFERROR($I70-$F70,"-")</f>
        <v>0</v>
      </c>
      <c r="K70" s="1368">
        <f>'2.8 Energy Solutions &amp; B2B'!$J$6</f>
        <v>14</v>
      </c>
      <c r="L70" s="1369">
        <f>IFERROR($H70/$I70,"-")</f>
        <v>0.214285714285714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Energy Solutions &amp; B2B</t>
        </is>
      </c>
      <c r="C71" s="1376" t="str">
        <f>'2.8 Energy Solutions &amp; B2B'!$B$7</f>
        <v>Energy</v>
      </c>
      <c r="D71" s="1371" t="str">
        <f>'2.8 Energy Solutions &amp; B2B'!$C$7</f>
        <v>Engineering</v>
      </c>
      <c r="E71" s="1371" t="str">
        <f>'2.8 Energy Solutions &amp; B2B'!$R$7</f>
        <v>L</v>
      </c>
      <c r="F71" s="1372">
        <f>'2.8 Energy Solutions &amp; B2B'!$D$7</f>
        <v>12</v>
      </c>
      <c r="G71" s="1373">
        <f>'2.8 Energy Solutions &amp; B2B'!$E$7-'2.8 Energy Solutions &amp; B2B'!$G$7</f>
        <v>5</v>
      </c>
      <c r="H71" s="1373">
        <f>'2.8 Energy Solutions &amp; B2B'!$G$7</f>
        <v>4</v>
      </c>
      <c r="I71" s="1373">
        <f>'2.8 Energy Solutions &amp; B2B'!$E$7</f>
        <v>9</v>
      </c>
      <c r="J71" s="1373">
        <f>IFERROR($I71-$F71,"-")</f>
        <v>-3</v>
      </c>
      <c r="K71" s="1373">
        <f>'2.8 Energy Solutions &amp; B2B'!$J$7</f>
        <v>9</v>
      </c>
      <c r="L71" s="1374">
        <f>IFERROR($H71/$I71,"-")</f>
        <v>0.444444444444444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Energy Solutions &amp; B2B</t>
        </is>
      </c>
      <c r="C72" s="1362" t="str">
        <f>'2.8 Energy Solutions &amp; B2B'!$B$8</f>
        <v>EVCI</v>
      </c>
      <c r="D72" s="1362" t="str">
        <f>'2.8 Energy Solutions &amp; B2B'!$C$8</f>
        <v>Engineering</v>
      </c>
      <c r="E72" s="1362" t="str">
        <f>'2.8 Energy Solutions &amp; B2B'!$R$8</f>
        <v>M</v>
      </c>
      <c r="F72" s="1363">
        <f>'2.8 Energy Solutions &amp; B2B'!$D$8</f>
        <v>9</v>
      </c>
      <c r="G72" s="1363">
        <f>'2.8 Energy Solutions &amp; B2B'!$E$8-'2.8 Energy Solutions &amp; B2B'!$G$8</f>
        <v>6</v>
      </c>
      <c r="H72" s="1363">
        <f>'2.8 Energy Solutions &amp; B2B'!$G$8</f>
        <v>0</v>
      </c>
      <c r="I72" s="1363">
        <f>'2.8 Energy Solutions &amp; B2B'!$E$8</f>
        <v>6</v>
      </c>
      <c r="J72" s="1363">
        <f>IFERROR($I72-$F72,"-")</f>
        <v>-3</v>
      </c>
      <c r="K72" s="1363">
        <f>'2.8 Energy Solutions &amp; B2B'!$J$8</f>
        <v>6</v>
      </c>
      <c r="L72" s="1364">
        <f>IFERROR($H72/$I72,"-")</f>
        <v>0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Energy Solutions &amp; B2B</t>
        </is>
      </c>
      <c r="C73" s="1375" t="str">
        <f>'2.8 Energy Solutions &amp; B2B'!$B$11</f>
        <v>Head of Technology</v>
      </c>
      <c r="D73" s="1362" t="str">
        <f>'2.8 Energy Solutions &amp; B2B'!$C$11</f>
        <v>Overhead - see 3.2</v>
      </c>
      <c r="E73" s="1362" t="str">
        <f>'2.8 Energy Solutions &amp; B2B'!$R$11</f>
        <v>-</v>
      </c>
      <c r="F73" s="1363" t="str">
        <f>'2.8 Energy Solutions &amp; B2B'!$D$11</f>
        <v>-</v>
      </c>
      <c r="G73" s="1363">
        <f>'2.8 Energy Solutions &amp; B2B'!$E$11-'2.8 Energy Solutions &amp; B2B'!$G$11</f>
        <v>1</v>
      </c>
      <c r="H73" s="1363">
        <f>'2.8 Energy Solutions &amp; B2B'!$G$11</f>
        <v>0</v>
      </c>
      <c r="I73" s="1363">
        <f>'2.8 Energy Solutions &amp; B2B'!$E$11</f>
        <v>1</v>
      </c>
      <c r="J73" s="1363" t="str">
        <f>IFERROR($I73-$F73,"-")</f>
        <v>-</v>
      </c>
      <c r="K73" s="1363">
        <f>'2.8 Energy Solutions &amp; B2B'!$J$11</f>
        <v>1</v>
      </c>
      <c r="L73" s="1364">
        <f>IFERROR($H73/$I73,"-")</f>
        <v>0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Energy Solutions &amp; B2B</t>
        </is>
      </c>
      <c r="C74" s="1365" t="str">
        <f>'2.8 Energy Solutions &amp; B2B'!$B$12</f>
        <v>Delivery Manager</v>
      </c>
      <c r="D74" s="1366" t="str">
        <f>'2.8 Energy Solutions &amp; B2B'!$C$12</f>
        <v>Overhead - see 3.2</v>
      </c>
      <c r="E74" s="1366" t="str">
        <f>'2.8 Energy Solutions &amp; B2B'!$R$12</f>
        <v>-</v>
      </c>
      <c r="F74" s="1367" t="str">
        <f>'2.8 Energy Solutions &amp; B2B'!$D$12</f>
        <v>-</v>
      </c>
      <c r="G74" s="1368">
        <f>'2.8 Energy Solutions &amp; B2B'!$E$12-'2.8 Energy Solutions &amp; B2B'!$G$12</f>
        <v>0</v>
      </c>
      <c r="H74" s="1368">
        <f>'2.8 Energy Solutions &amp; B2B'!$G$12</f>
        <v>1</v>
      </c>
      <c r="I74" s="1368">
        <f>'2.8 Energy Solutions &amp; B2B'!$E$12</f>
        <v>1</v>
      </c>
      <c r="J74" s="1368" t="str">
        <f>IFERROR($I74-$F74,"-")</f>
        <v>-</v>
      </c>
      <c r="K74" s="1368">
        <f>'2.8 Energy Solutions &amp; B2B'!$J$12</f>
        <v>1</v>
      </c>
      <c r="L74" s="1369">
        <f>IFERROR($H74/$I74,"-")</f>
        <v>1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Energy Solutions &amp; B2B</t>
        </is>
      </c>
      <c r="C75" s="1362" t="str">
        <f>'2.8 Energy Solutions &amp; B2B'!$B$13</f>
        <v>Technology Manager</v>
      </c>
      <c r="D75" s="1362" t="str">
        <f>'2.8 Energy Solutions &amp; B2B'!$C$13</f>
        <v>Overhead - see 3.2</v>
      </c>
      <c r="E75" s="1362" t="str">
        <f>'2.8 Energy Solutions &amp; B2B'!$R$13</f>
        <v>-</v>
      </c>
      <c r="F75" s="1363" t="str">
        <f>'2.8 Energy Solutions &amp; B2B'!$D$13</f>
        <v>-</v>
      </c>
      <c r="G75" s="1363">
        <f>'2.8 Energy Solutions &amp; B2B'!$E$13-'2.8 Energy Solutions &amp; B2B'!$G$13</f>
        <v>1</v>
      </c>
      <c r="H75" s="1363">
        <f>'2.8 Energy Solutions &amp; B2B'!$G$13</f>
        <v>1</v>
      </c>
      <c r="I75" s="1363">
        <f>'2.8 Energy Solutions &amp; B2B'!$E$13</f>
        <v>2</v>
      </c>
      <c r="J75" s="1363" t="str">
        <f>IFERROR($I75-$F75,"-")</f>
        <v>-</v>
      </c>
      <c r="K75" s="1363">
        <f>'2.8 Energy Solutions &amp; B2B'!$J$13</f>
        <v>2</v>
      </c>
      <c r="L75" s="1364">
        <f>IFERROR($H75/$I75,"-")</f>
        <v>0.5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Energy Solutions &amp; B2B</t>
        </is>
      </c>
      <c r="C76" s="1370" t="inlineStr">
        <is>
          <t>Portfolio total</t>
        </is>
      </c>
      <c r="D76" s="456" t="n"/>
      <c r="E76" s="456" t="n"/>
      <c r="F76" s="1367">
        <f>IF(COUNT(F70:F75)=0,"-",SUM(F70:F75))</f>
        <v>35</v>
      </c>
      <c r="G76" s="1368">
        <f>SUM(G70:G75)</f>
        <v>24</v>
      </c>
      <c r="H76" s="1368">
        <f>SUM(H70:H75)</f>
        <v>9</v>
      </c>
      <c r="I76" s="1368">
        <f>SUM(I70:I75)</f>
        <v>33</v>
      </c>
      <c r="J76" s="1368">
        <f>IF(COUNT(F70:F75)=0,"-",SUM(J70:J75))</f>
        <v>-6</v>
      </c>
      <c r="K76" s="1368">
        <f>SUM(K70:K75)</f>
        <v>33</v>
      </c>
      <c r="L76" s="1369">
        <f>IFERROR($H76/$I76,"-")</f>
        <v>0.272727272727273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Commercial Fuels</t>
        </is>
      </c>
      <c r="C77" s="1371" t="str">
        <f>'2.9 Commercial Fuels'!$B$6</f>
        <v>CTRM</v>
      </c>
      <c r="D77" s="1371" t="str">
        <f>'2.9 Commercial Fuels'!$C$6</f>
        <v>Strategic Programs</v>
      </c>
      <c r="E77" s="1371" t="str">
        <f>'2.9 Commercial Fuels'!$R$6</f>
        <v>-</v>
      </c>
      <c r="F77" s="1372" t="str">
        <f>'2.9 Commercial Fuels'!$D$6</f>
        <v>-</v>
      </c>
      <c r="G77" s="1373">
        <f>'2.9 Commercial Fuels'!$E$6-'2.9 Commercial Fuels'!$G$6</f>
        <v>14</v>
      </c>
      <c r="H77" s="1373">
        <f>'2.9 Commercial Fuels'!$G$6</f>
        <v>0</v>
      </c>
      <c r="I77" s="1373">
        <f>'2.9 Commercial Fuels'!$E$6</f>
        <v>14</v>
      </c>
      <c r="J77" s="1373" t="str">
        <f>IFERROR($I77-$F77,"-")</f>
        <v>-</v>
      </c>
      <c r="K77" s="1373">
        <f>'2.9 Commercial Fuels'!$J$6</f>
        <v>14</v>
      </c>
      <c r="L77" s="1374">
        <f>IFERROR($H77/$I77,"-")</f>
        <v>0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Commercial Fuels</t>
        </is>
      </c>
      <c r="C78" s="1375" t="str">
        <f>'2.9 Commercial Fuels'!$B$7</f>
        <v>Trading &amp; Shipping</v>
      </c>
      <c r="D78" s="1362" t="str">
        <f>'2.9 Commercial Fuels'!$C$7</f>
        <v>Configuration / Integration</v>
      </c>
      <c r="E78" s="1362" t="str">
        <f>'2.9 Commercial Fuels'!$R$7</f>
        <v>M</v>
      </c>
      <c r="F78" s="1363">
        <f>'2.9 Commercial Fuels'!$D$7</f>
        <v>9</v>
      </c>
      <c r="G78" s="1363">
        <f>'2.9 Commercial Fuels'!$E$7-'2.9 Commercial Fuels'!$G$7</f>
        <v>9</v>
      </c>
      <c r="H78" s="1363">
        <f>'2.9 Commercial Fuels'!$G$7</f>
        <v>3</v>
      </c>
      <c r="I78" s="1363">
        <f>'2.9 Commercial Fuels'!$E$7</f>
        <v>12</v>
      </c>
      <c r="J78" s="1363">
        <f>IFERROR($I78-$F78,"-")</f>
        <v>3</v>
      </c>
      <c r="K78" s="1363">
        <f>'2.9 Commercial Fuels'!$J$7</f>
        <v>12</v>
      </c>
      <c r="L78" s="1364">
        <f>IFERROR($H78/$I78,"-")</f>
        <v>0.25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Commercial Fuels</t>
        </is>
      </c>
      <c r="C79" s="1362" t="str">
        <f>'2.9 Commercial Fuels'!$B$8</f>
        <v>Trading &amp; Shipping Data</v>
      </c>
      <c r="D79" s="1362" t="str">
        <f>'2.9 Commercial Fuels'!$C$8</f>
        <v>Enterprise Data and Insights</v>
      </c>
      <c r="E79" s="1362" t="str">
        <f>'2.9 Commercial Fuels'!$R$8</f>
        <v>M</v>
      </c>
      <c r="F79" s="1363">
        <f>'2.9 Commercial Fuels'!$D$8</f>
        <v>7.5</v>
      </c>
      <c r="G79" s="1363">
        <f>'2.9 Commercial Fuels'!$E$8-'2.9 Commercial Fuels'!$G$8</f>
        <v>7</v>
      </c>
      <c r="H79" s="1363">
        <f>'2.9 Commercial Fuels'!$G$8</f>
        <v>0</v>
      </c>
      <c r="I79" s="1363">
        <f>'2.9 Commercial Fuels'!$E$8</f>
        <v>7</v>
      </c>
      <c r="J79" s="1363">
        <f>IFERROR($I79-$F79,"-")</f>
        <v>-0.5</v>
      </c>
      <c r="K79" s="1363">
        <f>'2.9 Commercial Fuels'!$J$8</f>
        <v>7</v>
      </c>
      <c r="L79" s="1364">
        <f>IFERROR($H79/$I79,"-")</f>
        <v>0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Commercial Fuels</t>
        </is>
      </c>
      <c r="C80" s="1370" t="str">
        <f>'2.9 Commercial Fuels'!$B$9</f>
        <v>Supply</v>
      </c>
      <c r="D80" s="1366" t="str">
        <f>'2.9 Commercial Fuels'!$C$9</f>
        <v>Configuration / Integration</v>
      </c>
      <c r="E80" s="1366" t="str">
        <f>'2.9 Commercial Fuels'!$R$9</f>
        <v>M</v>
      </c>
      <c r="F80" s="1367">
        <f>'2.9 Commercial Fuels'!$D$9</f>
        <v>9</v>
      </c>
      <c r="G80" s="1368">
        <f>'2.9 Commercial Fuels'!$E$9-'2.9 Commercial Fuels'!$G$9</f>
        <v>1</v>
      </c>
      <c r="H80" s="1368">
        <f>'2.9 Commercial Fuels'!$G$9</f>
        <v>4</v>
      </c>
      <c r="I80" s="1368">
        <f>'2.9 Commercial Fuels'!$E$9</f>
        <v>5</v>
      </c>
      <c r="J80" s="1368">
        <f>IFERROR($I80-$F80,"-")</f>
        <v>-4</v>
      </c>
      <c r="K80" s="1368">
        <f>'2.9 Commercial Fuels'!$J$9</f>
        <v>5</v>
      </c>
      <c r="L80" s="1369">
        <f>IFERROR($H80/$I80,"-")</f>
        <v>0.8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Commercial Fuels</t>
        </is>
      </c>
      <c r="C81" s="1362" t="str">
        <f>'2.9 Commercial Fuels'!$B$12</f>
        <v>Head of Technology</v>
      </c>
      <c r="D81" s="1362" t="str">
        <f>'2.9 Commercial Fuels'!$C$12</f>
        <v>Overhead - see 3.2</v>
      </c>
      <c r="E81" s="1362" t="str">
        <f>'2.9 Commercial Fuels'!$R$12</f>
        <v>-</v>
      </c>
      <c r="F81" s="1363" t="str">
        <f>'2.9 Commercial Fuels'!$D$12</f>
        <v>-</v>
      </c>
      <c r="G81" s="1363">
        <f>'2.9 Commercial Fuels'!$E$12-'2.9 Commercial Fuels'!$G$12</f>
        <v>1</v>
      </c>
      <c r="H81" s="1363">
        <f>'2.9 Commercial Fuels'!$G$12</f>
        <v>0</v>
      </c>
      <c r="I81" s="1363">
        <f>'2.9 Commercial Fuels'!$E$12</f>
        <v>1</v>
      </c>
      <c r="J81" s="1363" t="str">
        <f>IFERROR($I81-$F81,"-")</f>
        <v>-</v>
      </c>
      <c r="K81" s="1363">
        <f>'2.9 Commercial Fuels'!$J$12</f>
        <v>1</v>
      </c>
      <c r="L81" s="1364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Commercial Fuels</t>
        </is>
      </c>
      <c r="C82" s="1370" t="str">
        <f>'2.9 Commercial Fuels'!$B$13</f>
        <v>Delivery Manager</v>
      </c>
      <c r="D82" s="1366" t="str">
        <f>'2.9 Commercial Fuels'!$C$13</f>
        <v>Overhead - see 3.2</v>
      </c>
      <c r="E82" s="1366" t="str">
        <f>'2.9 Commercial Fuels'!$R$13</f>
        <v>-</v>
      </c>
      <c r="F82" s="1367" t="str">
        <f>'2.9 Commercial Fuels'!$D$13</f>
        <v>-</v>
      </c>
      <c r="G82" s="1368">
        <f>'2.9 Commercial Fuels'!$E$13-'2.9 Commercial Fuels'!$G$13</f>
        <v>0</v>
      </c>
      <c r="H82" s="1368">
        <f>'2.9 Commercial Fuels'!$G$13</f>
        <v>1</v>
      </c>
      <c r="I82" s="1368">
        <f>'2.9 Commercial Fuels'!$E$13</f>
        <v>1</v>
      </c>
      <c r="J82" s="1368" t="str">
        <f>IFERROR($I82-$F82,"-")</f>
        <v>-</v>
      </c>
      <c r="K82" s="1368">
        <f>'2.9 Commercial Fuels'!$J$13</f>
        <v>1</v>
      </c>
      <c r="L82" s="1369">
        <f>IFERROR($H82/$I82,"-")</f>
        <v>1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Commercial Fuels</t>
        </is>
      </c>
      <c r="C83" s="1362" t="str">
        <f>'2.9 Commercial Fuels'!$B$14</f>
        <v>Technology Manager</v>
      </c>
      <c r="D83" s="1362" t="str">
        <f>'2.9 Commercial Fuels'!$C$14</f>
        <v>Overhead - see 3.2</v>
      </c>
      <c r="E83" s="1362" t="str">
        <f>'2.9 Commercial Fuels'!$R$14</f>
        <v>-</v>
      </c>
      <c r="F83" s="1363" t="str">
        <f>'2.9 Commercial Fuels'!$D$14</f>
        <v>-</v>
      </c>
      <c r="G83" s="1363">
        <f>'2.9 Commercial Fuels'!$E$14-'2.9 Commercial Fuels'!$G$14</f>
        <v>1</v>
      </c>
      <c r="H83" s="1363">
        <f>'2.9 Commercial Fuels'!$G$14</f>
        <v>1</v>
      </c>
      <c r="I83" s="1363">
        <f>'2.9 Commercial Fuels'!$E$14</f>
        <v>2</v>
      </c>
      <c r="J83" s="1363" t="str">
        <f>IFERROR($I83-$F83,"-")</f>
        <v>-</v>
      </c>
      <c r="K83" s="1363">
        <f>'2.9 Commercial Fuels'!$J$14</f>
        <v>2</v>
      </c>
      <c r="L83" s="1364">
        <f>IFERROR($H83/$I83,"-")</f>
        <v>0.5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Commercial Fuels</t>
        </is>
      </c>
      <c r="C84" s="1370" t="inlineStr">
        <is>
          <t>Portfolio total</t>
        </is>
      </c>
      <c r="D84" s="456" t="n"/>
      <c r="E84" s="456" t="n"/>
      <c r="F84" s="1367">
        <f>IF(COUNT(F77:F83)=0,"-",SUM(F77:F83))</f>
        <v>25.5</v>
      </c>
      <c r="G84" s="1368">
        <f>SUM(G77:G83)</f>
        <v>33</v>
      </c>
      <c r="H84" s="1368">
        <f>SUM(H77:H83)</f>
        <v>9</v>
      </c>
      <c r="I84" s="1368">
        <f>SUM(I77:I83)</f>
        <v>42</v>
      </c>
      <c r="J84" s="1368">
        <f>IF(COUNT(F77:F83)=0,"-",SUM(J77:J83))</f>
        <v>-1.5</v>
      </c>
      <c r="K84" s="1368">
        <f>SUM(K77:K83)</f>
        <v>42</v>
      </c>
      <c r="L84" s="1369">
        <f>IFERROR($H84/$I84,"-")</f>
        <v>0.214285714285714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Z Retail</t>
        </is>
      </c>
      <c r="C85" s="1371" t="str">
        <f>'2.10 Z Retail'!$B$6</f>
        <v>Site Systems</v>
      </c>
      <c r="D85" s="1371" t="str">
        <f>'2.10 Z Retail'!$C$6</f>
        <v>Configuration / Integration</v>
      </c>
      <c r="E85" s="1371" t="str">
        <f>'2.10 Z Retail'!$R$6</f>
        <v>M</v>
      </c>
      <c r="F85" s="1372">
        <f>'2.10 Z Retail'!$D$6</f>
        <v>9</v>
      </c>
      <c r="G85" s="1373">
        <f>'2.10 Z Retail'!$E$6-'2.10 Z Retail'!$G$6</f>
        <v>9</v>
      </c>
      <c r="H85" s="1373">
        <f>'2.10 Z Retail'!$G$6</f>
        <v>0</v>
      </c>
      <c r="I85" s="1373">
        <f>'2.10 Z Retail'!$E$6</f>
        <v>9</v>
      </c>
      <c r="J85" s="1373">
        <f>IFERROR($I85-$F85,"-")</f>
        <v>0</v>
      </c>
      <c r="K85" s="1373">
        <f>'2.10 Z Retail'!$J$6</f>
        <v>9</v>
      </c>
      <c r="L85" s="1374">
        <f>IFERROR($H85/$I85,"-")</f>
        <v>0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Z Retail</t>
        </is>
      </c>
      <c r="C86" s="1375" t="str">
        <f>'2.10 Z Retail'!$B$7</f>
        <v>Z Retail Backend</v>
      </c>
      <c r="D86" s="1362" t="str">
        <f>'2.10 Z Retail'!$C$7</f>
        <v>Build and Run</v>
      </c>
      <c r="E86" s="1362" t="str">
        <f>'2.10 Z Retail'!$R$7</f>
        <v>M</v>
      </c>
      <c r="F86" s="1363">
        <f>'2.10 Z Retail'!$D$7</f>
        <v>9</v>
      </c>
      <c r="G86" s="1363">
        <f>'2.10 Z Retail'!$E$7-'2.10 Z Retail'!$G$7</f>
        <v>7</v>
      </c>
      <c r="H86" s="1363">
        <f>'2.10 Z Retail'!$G$7</f>
        <v>2</v>
      </c>
      <c r="I86" s="1363">
        <f>'2.10 Z Retail'!$E$7</f>
        <v>9</v>
      </c>
      <c r="J86" s="1363">
        <f>IFERROR($I86-$F86,"-")</f>
        <v>0</v>
      </c>
      <c r="K86" s="1363">
        <f>'2.10 Z Retail'!$J$7</f>
        <v>9</v>
      </c>
      <c r="L86" s="1364">
        <f>IFERROR($H86/$I86,"-")</f>
        <v>0.222222222222222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Z Retail</t>
        </is>
      </c>
      <c r="C87" s="1365" t="str">
        <f>'2.10 Z Retail'!$B$8</f>
        <v>Z Supply</v>
      </c>
      <c r="D87" s="1366" t="str">
        <f>'2.10 Z Retail'!$C$8</f>
        <v>Build and Run</v>
      </c>
      <c r="E87" s="1366" t="str">
        <f>'2.10 Z Retail'!$R$8</f>
        <v>M</v>
      </c>
      <c r="F87" s="1367">
        <f>'2.10 Z Retail'!$D$8</f>
        <v>9</v>
      </c>
      <c r="G87" s="1368">
        <f>'2.10 Z Retail'!$E$8-'2.10 Z Retail'!$G$8</f>
        <v>8</v>
      </c>
      <c r="H87" s="1368">
        <f>'2.10 Z Retail'!$G$8</f>
        <v>1</v>
      </c>
      <c r="I87" s="1368">
        <f>'2.10 Z Retail'!$E$8</f>
        <v>9</v>
      </c>
      <c r="J87" s="1368">
        <f>IFERROR($I87-$F87,"-")</f>
        <v>0</v>
      </c>
      <c r="K87" s="1368">
        <f>'2.10 Z Retail'!$J$8</f>
        <v>9</v>
      </c>
      <c r="L87" s="1369">
        <f>IFERROR($H87/$I87,"-")</f>
        <v>0.111111111111111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Z Retail</t>
        </is>
      </c>
      <c r="C88" s="1375" t="str">
        <f>'2.10 Z Retail'!$B$9</f>
        <v>Data NZ</v>
      </c>
      <c r="D88" s="1362" t="str">
        <f>'2.10 Z Retail'!$C$9</f>
        <v>Enterprise Data and Insights</v>
      </c>
      <c r="E88" s="1362" t="str">
        <f>'2.10 Z Retail'!$R$9</f>
        <v>M</v>
      </c>
      <c r="F88" s="1363">
        <f>'2.10 Z Retail'!$D$9</f>
        <v>7.5</v>
      </c>
      <c r="G88" s="1363">
        <f>'2.10 Z Retail'!$E$9-'2.10 Z Retail'!$G$9</f>
        <v>5</v>
      </c>
      <c r="H88" s="1363">
        <f>'2.10 Z Retail'!$G$9</f>
        <v>2</v>
      </c>
      <c r="I88" s="1363">
        <f>'2.10 Z Retail'!$E$9</f>
        <v>7</v>
      </c>
      <c r="J88" s="1363">
        <f>IFERROR($I88-$F88,"-")</f>
        <v>-0.5</v>
      </c>
      <c r="K88" s="1363">
        <f>'2.10 Z Retail'!$J$9</f>
        <v>7</v>
      </c>
      <c r="L88" s="1364">
        <f>IFERROR($H88/$I88,"-")</f>
        <v>0.285714285714286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Z Retail</t>
        </is>
      </c>
      <c r="C89" s="1362" t="str">
        <f>'2.10 Z Retail'!$B$12</f>
        <v>Head of Technology</v>
      </c>
      <c r="D89" s="1362" t="str">
        <f>'2.10 Z Retail'!$C$12</f>
        <v>Overhead - see 3.2</v>
      </c>
      <c r="E89" s="1362" t="str">
        <f>'2.10 Z Retail'!$R$12</f>
        <v>-</v>
      </c>
      <c r="F89" s="1363" t="str">
        <f>'2.10 Z Retail'!$D$12</f>
        <v>-</v>
      </c>
      <c r="G89" s="1363">
        <f>'2.10 Z Retail'!$E$12-'2.10 Z Retail'!$G$12</f>
        <v>0</v>
      </c>
      <c r="H89" s="1363">
        <f>'2.10 Z Retail'!$G$12</f>
        <v>1</v>
      </c>
      <c r="I89" s="1363">
        <f>'2.10 Z Retail'!$E$12</f>
        <v>1</v>
      </c>
      <c r="J89" s="1363" t="str">
        <f>IFERROR($I89-$F89,"-")</f>
        <v>-</v>
      </c>
      <c r="K89" s="1363">
        <f>'2.10 Z Retail'!$J$12</f>
        <v>1</v>
      </c>
      <c r="L89" s="1364">
        <f>IFERROR($H89/$I89,"-")</f>
        <v>1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Z Retail</t>
        </is>
      </c>
      <c r="C90" s="1365" t="str">
        <f>'2.10 Z Retail'!$B$13</f>
        <v>Delivery Manager</v>
      </c>
      <c r="D90" s="1366" t="str">
        <f>'2.10 Z Retail'!$C$13</f>
        <v>Overhead - see 3.2</v>
      </c>
      <c r="E90" s="1366" t="str">
        <f>'2.10 Z Retail'!$R$13</f>
        <v>-</v>
      </c>
      <c r="F90" s="1367" t="str">
        <f>'2.10 Z Retail'!$D$13</f>
        <v>-</v>
      </c>
      <c r="G90" s="1368">
        <f>'2.10 Z Retail'!$E$13-'2.10 Z Retail'!$G$13</f>
        <v>0</v>
      </c>
      <c r="H90" s="1368">
        <f>'2.10 Z Retail'!$G$13</f>
        <v>1</v>
      </c>
      <c r="I90" s="1368">
        <f>'2.10 Z Retail'!$E$13</f>
        <v>1</v>
      </c>
      <c r="J90" s="1368" t="str">
        <f>IFERROR($I90-$F90,"-")</f>
        <v>-</v>
      </c>
      <c r="K90" s="1368">
        <f>'2.10 Z Retail'!$J$13</f>
        <v>1</v>
      </c>
      <c r="L90" s="1369">
        <f>IFERROR($H90/$I90,"-")</f>
        <v>1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Z Retail</t>
        </is>
      </c>
      <c r="C91" s="1362" t="str">
        <f>'2.10 Z Retail'!$B$14</f>
        <v>Technology Manager</v>
      </c>
      <c r="D91" s="1362" t="str">
        <f>'2.10 Z Retail'!$C$14</f>
        <v>Overhead - see 3.2</v>
      </c>
      <c r="E91" s="1362" t="str">
        <f>'2.10 Z Retail'!$R$14</f>
        <v>-</v>
      </c>
      <c r="F91" s="1363" t="str">
        <f>'2.10 Z Retail'!$D$14</f>
        <v>-</v>
      </c>
      <c r="G91" s="1363">
        <f>'2.10 Z Retail'!$E$14-'2.10 Z Retail'!$G$14</f>
        <v>3</v>
      </c>
      <c r="H91" s="1363">
        <f>'2.10 Z Retail'!$G$14</f>
        <v>0</v>
      </c>
      <c r="I91" s="1363">
        <f>'2.10 Z Retail'!$E$14</f>
        <v>3</v>
      </c>
      <c r="J91" s="1363" t="str">
        <f>IFERROR($I91-$F91,"-")</f>
        <v>-</v>
      </c>
      <c r="K91" s="1363">
        <f>'2.10 Z Retail'!$J$14</f>
        <v>3</v>
      </c>
      <c r="L91" s="1364">
        <f>IFERROR($H91/$I91,"-")</f>
        <v>0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Z Retail</t>
        </is>
      </c>
      <c r="C92" s="1370" t="inlineStr">
        <is>
          <t>Portfolio total</t>
        </is>
      </c>
      <c r="D92" s="456" t="n"/>
      <c r="E92" s="456" t="n"/>
      <c r="F92" s="1367">
        <f>IF(COUNT(F85:F91)=0,"-",SUM(F85:F91))</f>
        <v>34.5</v>
      </c>
      <c r="G92" s="1368">
        <f>SUM(G85:G91)</f>
        <v>32</v>
      </c>
      <c r="H92" s="1368">
        <f>SUM(H85:H91)</f>
        <v>7</v>
      </c>
      <c r="I92" s="1368">
        <f>SUM(I85:I91)</f>
        <v>39</v>
      </c>
      <c r="J92" s="1368">
        <f>IF(COUNT(F85:F91)=0,"-",SUM(J85:J91))</f>
        <v>-0.5</v>
      </c>
      <c r="K92" s="1368">
        <f>SUM(K85:K91)</f>
        <v>39</v>
      </c>
      <c r="L92" s="1369">
        <f>IFERROR($H92/$I92,"-")</f>
        <v>0.17948717948718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COE Cyber</t>
        </is>
      </c>
      <c r="C93" s="1371" t="str">
        <f>'2.11 TDD Cyber'!$B$6</f>
        <v>Service Op &amp; Assurance</v>
      </c>
      <c r="D93" s="1371" t="str">
        <f>'2.11 TDD Cyber'!$C$6</f>
        <v>COE - measured against budget</v>
      </c>
      <c r="E93" s="1371" t="str">
        <f>'2.11 TDD Cyber'!$R$6</f>
        <v>-</v>
      </c>
      <c r="F93" s="1372" t="str">
        <f>'2.11 TDD Cyber'!$D$6</f>
        <v>-</v>
      </c>
      <c r="G93" s="1373">
        <f>'2.11 TDD Cyber'!$E$6-'2.11 TDD Cyber'!$G$6</f>
        <v>17</v>
      </c>
      <c r="H93" s="1373">
        <f>'2.11 TDD Cyber'!$G$6</f>
        <v>4</v>
      </c>
      <c r="I93" s="1373">
        <f>'2.11 TDD Cyber'!$E$6</f>
        <v>21</v>
      </c>
      <c r="J93" s="1373" t="str">
        <f>IFERROR($I93-$F93,"-")</f>
        <v>-</v>
      </c>
      <c r="K93" s="1373">
        <f>'2.11 TDD Cyber'!$J$6</f>
        <v>21</v>
      </c>
      <c r="L93" s="1374">
        <f>IFERROR($H93/$I93,"-")</f>
        <v>0.19047619047619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COE Cyber</t>
        </is>
      </c>
      <c r="C94" s="1375" t="str">
        <f>'2.11 TDD Cyber'!$B$7</f>
        <v>Cyber Strat &amp; Tech</v>
      </c>
      <c r="D94" s="1362" t="str">
        <f>'2.11 TDD Cyber'!$C$7</f>
        <v>COE - measured against budget</v>
      </c>
      <c r="E94" s="1362" t="str">
        <f>'2.11 TDD Cyber'!$R$7</f>
        <v>-</v>
      </c>
      <c r="F94" s="1363" t="str">
        <f>'2.11 TDD Cyber'!$D$7</f>
        <v>-</v>
      </c>
      <c r="G94" s="1363">
        <f>'2.11 TDD Cyber'!$E$7-'2.11 TDD Cyber'!$G$7</f>
        <v>13</v>
      </c>
      <c r="H94" s="1363">
        <f>'2.11 TDD Cyber'!$G$7</f>
        <v>0</v>
      </c>
      <c r="I94" s="1363">
        <f>'2.11 TDD Cyber'!$E$7</f>
        <v>13</v>
      </c>
      <c r="J94" s="1363" t="str">
        <f>IFERROR($I94-$F94,"-")</f>
        <v>-</v>
      </c>
      <c r="K94" s="1363">
        <f>'2.11 TDD Cyber'!$J$7</f>
        <v>13</v>
      </c>
      <c r="L94" s="1364">
        <f>IFERROR($H94/$I94,"-")</f>
        <v>0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inlineStr">
        <is>
          <t>COE Cyber</t>
        </is>
      </c>
      <c r="C95" s="1370" t="str">
        <f>'2.11 TDD Cyber'!$B$8</f>
        <v>Cyber GRC</v>
      </c>
      <c r="D95" s="1366" t="str">
        <f>'2.11 TDD Cyber'!$C$8</f>
        <v>COE - measured against budget</v>
      </c>
      <c r="E95" s="1366" t="str">
        <f>'2.11 TDD Cyber'!$R$8</f>
        <v>-</v>
      </c>
      <c r="F95" s="1367" t="str">
        <f>'2.11 TDD Cyber'!$D$8</f>
        <v>-</v>
      </c>
      <c r="G95" s="1368">
        <f>'2.11 TDD Cyber'!$E$8-'2.11 TDD Cyber'!$G$8</f>
        <v>5</v>
      </c>
      <c r="H95" s="1368">
        <f>'2.11 TDD Cyber'!$G$8</f>
        <v>0</v>
      </c>
      <c r="I95" s="1368">
        <f>'2.11 TDD Cyber'!$E$8</f>
        <v>5</v>
      </c>
      <c r="J95" s="1368" t="str">
        <f>IFERROR($I95-$F95,"-")</f>
        <v>-</v>
      </c>
      <c r="K95" s="1368">
        <f>'2.11 TDD Cyber'!$J$8</f>
        <v>5</v>
      </c>
      <c r="L95" s="1369">
        <f>IFERROR($H95/$I95,"-")</f>
        <v>0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inlineStr">
        <is>
          <t>COE Cyber</t>
        </is>
      </c>
      <c r="C96" s="1376" t="str">
        <f>'2.11 TDD Cyber'!$B$9</f>
        <v>Cyber Sec Ops</v>
      </c>
      <c r="D96" s="1371" t="str">
        <f>'2.11 TDD Cyber'!$C$9</f>
        <v>COE - measured against budget</v>
      </c>
      <c r="E96" s="1371" t="str">
        <f>'2.11 TDD Cyber'!$R$9</f>
        <v>-</v>
      </c>
      <c r="F96" s="1372" t="str">
        <f>'2.11 TDD Cyber'!$D$9</f>
        <v>-</v>
      </c>
      <c r="G96" s="1373">
        <f>'2.11 TDD Cyber'!$E$9-'2.11 TDD Cyber'!$G$9</f>
        <v>5</v>
      </c>
      <c r="H96" s="1373">
        <f>'2.11 TDD Cyber'!$G$9</f>
        <v>0</v>
      </c>
      <c r="I96" s="1373">
        <f>'2.11 TDD Cyber'!$E$9</f>
        <v>5</v>
      </c>
      <c r="J96" s="1373" t="str">
        <f>IFERROR($I96-$F96,"-")</f>
        <v>-</v>
      </c>
      <c r="K96" s="1373">
        <f>'2.11 TDD Cyber'!$J$9</f>
        <v>5</v>
      </c>
      <c r="L96" s="1374">
        <f>IFERROR($H96/$I96,"-")</f>
        <v>0</v>
      </c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308" t="inlineStr">
        <is>
          <t>COE Cyber</t>
        </is>
      </c>
      <c r="C97" s="1377" t="str">
        <f>'2.11 TDD Cyber'!$B$10</f>
        <v>Cyber Risk</v>
      </c>
      <c r="D97" s="1377" t="str">
        <f>'2.11 TDD Cyber'!$C$10</f>
        <v>COE - measured against budget</v>
      </c>
      <c r="E97" s="1377" t="str">
        <f>'2.11 TDD Cyber'!$R$10</f>
        <v>-</v>
      </c>
      <c r="F97" s="1378" t="str">
        <f>'2.11 TDD Cyber'!$D$10</f>
        <v>-</v>
      </c>
      <c r="G97" s="1379">
        <f>'2.11 TDD Cyber'!$E$10-'2.11 TDD Cyber'!$G$10</f>
        <v>2</v>
      </c>
      <c r="H97" s="1379">
        <f>'2.11 TDD Cyber'!$G$10</f>
        <v>0</v>
      </c>
      <c r="I97" s="1379">
        <f>'2.11 TDD Cyber'!$E$10</f>
        <v>2</v>
      </c>
      <c r="J97" s="1379" t="str">
        <f>IFERROR($I97-$F97,"-")</f>
        <v>-</v>
      </c>
      <c r="K97" s="1379">
        <f>'2.11 TDD Cyber'!$J$10</f>
        <v>2</v>
      </c>
      <c r="L97" s="1380">
        <f>IFERROR($H97/$I97,"-")</f>
        <v>0</v>
      </c>
      <c r="M97" s="1138" t="n"/>
      <c r="N97" s="1138" t="n"/>
      <c r="O97" s="1139" t="n"/>
      <c r="P97" s="518" t="n"/>
    </row>
    <row r="98">
      <c r="B98" t="inlineStr">
        <is>
          <t>COE Cyber</t>
        </is>
      </c>
      <c r="C98" s="1381" t="inlineStr">
        <is>
          <t>Portfolio total</t>
        </is>
      </c>
      <c r="F98" s="1272" t="str">
        <f>IF(COUNT(F93:F97)=0,"-",SUM(F93:F97))</f>
        <v>-</v>
      </c>
      <c r="G98" s="1272">
        <f>SUM(G93:G97)</f>
        <v>42</v>
      </c>
      <c r="H98" s="1272">
        <f>SUM(H93:H97)</f>
        <v>4</v>
      </c>
      <c r="I98" s="1272">
        <f>SUM(I93:I97)</f>
        <v>46</v>
      </c>
      <c r="J98" s="1272" t="str">
        <f>IF(COUNT(F93:F97)=0,"-",SUM(J93:J97))</f>
        <v>-</v>
      </c>
      <c r="K98" s="1272">
        <f>SUM(K93:K97)</f>
        <v>46</v>
      </c>
      <c r="L98" s="1382">
        <f>IFERROR($H98/$I98,"-")</f>
        <v>0.0869565217391304</v>
      </c>
    </row>
    <row r="99">
      <c r="B99" s="289" t="inlineStr">
        <is>
          <t>COE BP&amp;T</t>
        </is>
      </c>
      <c r="C99" s="1377" t="str">
        <f>'2.12 BP&amp;T'!$B$6</f>
        <v>Transformation</v>
      </c>
      <c r="D99" s="1377" t="str">
        <f>'2.12 BP&amp;T'!$C$6</f>
        <v>COE - measured against budget</v>
      </c>
      <c r="E99" s="1377" t="str">
        <f>'2.12 BP&amp;T'!$R$6</f>
        <v>-</v>
      </c>
      <c r="F99" s="1378" t="str">
        <f>'2.12 BP&amp;T'!$D$6</f>
        <v>-</v>
      </c>
      <c r="G99" s="1378">
        <f>'2.12 BP&amp;T'!$E$6-'2.12 BP&amp;T'!$G$6</f>
        <v>6</v>
      </c>
      <c r="H99" s="1378">
        <f>'2.12 BP&amp;T'!$G$6</f>
        <v>8</v>
      </c>
      <c r="I99" s="1378">
        <f>'2.12 BP&amp;T'!$E$6</f>
        <v>14</v>
      </c>
      <c r="J99" s="1378" t="str">
        <f>IFERROR($I99-$F99,"-")</f>
        <v>-</v>
      </c>
      <c r="K99" s="1378">
        <f>'2.12 BP&amp;T'!$J$6</f>
        <v>14</v>
      </c>
      <c r="L99" s="1383">
        <f>IFERROR($H99/$I99,"-")</f>
        <v>0.571428571428571</v>
      </c>
      <c r="M99" s="290" t="n"/>
      <c r="N99" s="290" t="n"/>
      <c r="O99" s="290" t="n"/>
      <c r="P99" s="949" t="n"/>
    </row>
    <row r="100">
      <c r="B100" s="486" t="inlineStr">
        <is>
          <t>COE BP&amp;T</t>
        </is>
      </c>
      <c r="C100" s="1384" t="str">
        <f>'2.12 BP&amp;T'!$B$7</f>
        <v>TDD Business Partner</v>
      </c>
      <c r="D100" s="1359" t="str">
        <f>'2.12 BP&amp;T'!$C$7</f>
        <v>COE - measured against budget</v>
      </c>
      <c r="E100" s="1359" t="str">
        <f>'2.12 BP&amp;T'!$R$7</f>
        <v>-</v>
      </c>
      <c r="F100" s="1261" t="str">
        <f>'2.12 BP&amp;T'!$D$7</f>
        <v>-</v>
      </c>
      <c r="G100" s="1261">
        <f>'2.12 BP&amp;T'!$E$7-'2.12 BP&amp;T'!$G$7</f>
        <v>6</v>
      </c>
      <c r="H100" s="1261">
        <f>'2.12 BP&amp;T'!$G$7</f>
        <v>0</v>
      </c>
      <c r="I100" s="1261">
        <f>'2.12 BP&amp;T'!$E$7</f>
        <v>6</v>
      </c>
      <c r="J100" s="1261" t="str">
        <f>IFERROR($I100-$F100,"-")</f>
        <v>-</v>
      </c>
      <c r="K100" s="1261">
        <f>'2.12 BP&amp;T'!$J$7</f>
        <v>6</v>
      </c>
      <c r="L100" s="1385">
        <f>IFERROR($H100/$I100,"-")</f>
        <v>0</v>
      </c>
      <c r="M100" s="949" t="n"/>
      <c r="N100" s="949" t="n"/>
      <c r="O100" s="949" t="n"/>
      <c r="P100" s="949" t="n"/>
    </row>
    <row r="101">
      <c r="B101" s="285" t="inlineStr">
        <is>
          <t>COE BP&amp;T</t>
        </is>
      </c>
      <c r="C101" s="1362" t="str">
        <f>'2.12 BP&amp;T'!$B$8</f>
        <v>Commercial</v>
      </c>
      <c r="D101" s="1362" t="str">
        <f>'2.12 BP&amp;T'!$C$8</f>
        <v>COE - measured against budget</v>
      </c>
      <c r="E101" s="1362" t="str">
        <f>'2.12 BP&amp;T'!$R$8</f>
        <v>-</v>
      </c>
      <c r="F101" s="1261" t="str">
        <f>'2.12 BP&amp;T'!$D$8</f>
        <v>-</v>
      </c>
      <c r="G101" s="1261">
        <f>'2.12 BP&amp;T'!$E$8-'2.12 BP&amp;T'!$G$8</f>
        <v>3</v>
      </c>
      <c r="H101" s="1261">
        <f>'2.12 BP&amp;T'!$G$8</f>
        <v>1</v>
      </c>
      <c r="I101" s="1261">
        <f>'2.12 BP&amp;T'!$E$8</f>
        <v>4</v>
      </c>
      <c r="J101" s="1261" t="str">
        <f>IFERROR($I101-$F101,"-")</f>
        <v>-</v>
      </c>
      <c r="K101" s="1261">
        <f>'2.12 BP&amp;T'!$J$8</f>
        <v>4</v>
      </c>
      <c r="L101" s="1385">
        <f>IFERROR($H101/$I101,"-")</f>
        <v>0.25</v>
      </c>
      <c r="M101" s="949" t="n"/>
      <c r="N101" s="949" t="n"/>
      <c r="O101" s="949" t="n"/>
      <c r="P101" s="949" t="n"/>
    </row>
    <row r="102">
      <c r="B102" s="285" t="inlineStr">
        <is>
          <t>COE BP&amp;T</t>
        </is>
      </c>
      <c r="C102" s="1375" t="inlineStr">
        <is>
          <t>Portfolio total</t>
        </is>
      </c>
      <c r="D102" s="285" t="n"/>
      <c r="E102" s="285" t="n"/>
      <c r="F102" s="1261" t="str">
        <f>IF(COUNT(F99:F101)=0,"-",SUM(F99:F101))</f>
        <v>-</v>
      </c>
      <c r="G102" s="1261">
        <f>SUM(G99:G101)</f>
        <v>15</v>
      </c>
      <c r="H102" s="1261">
        <f>SUM(H99:H101)</f>
        <v>9</v>
      </c>
      <c r="I102" s="1261">
        <f>SUM(I99:I101)</f>
        <v>24</v>
      </c>
      <c r="J102" s="1261" t="str">
        <f>IF(COUNT(F99:F101)=0,"-",SUM(J99:J101))</f>
        <v>-</v>
      </c>
      <c r="K102" s="1261">
        <f>SUM(K99:K101)</f>
        <v>24</v>
      </c>
      <c r="L102" s="1385">
        <f>IFERROR($H102/$I102,"-")</f>
        <v>0.375</v>
      </c>
      <c r="M102" s="949" t="n"/>
      <c r="N102" s="949" t="n"/>
      <c r="O102" s="949" t="n"/>
      <c r="P102" s="949" t="n"/>
    </row>
    <row r="103">
      <c r="B103" s="285" t="inlineStr">
        <is>
          <t>COE SA&amp;D</t>
        </is>
      </c>
      <c r="C103" s="1362" t="str">
        <f>'2.13 SA&amp;D'!$B$6</f>
        <v>Group Data</v>
      </c>
      <c r="D103" s="1362" t="str">
        <f>'2.13 SA&amp;D'!$C$6</f>
        <v>COE - measured against budget</v>
      </c>
      <c r="E103" s="1362" t="str">
        <f>'2.13 SA&amp;D'!$R$6</f>
        <v>-</v>
      </c>
      <c r="F103" s="1261" t="str">
        <f>'2.13 SA&amp;D'!$D$6</f>
        <v>-</v>
      </c>
      <c r="G103" s="1261">
        <f>'2.13 SA&amp;D'!$E$6-'2.13 SA&amp;D'!$G$6</f>
        <v>7</v>
      </c>
      <c r="H103" s="1261">
        <f>'2.13 SA&amp;D'!$G$6</f>
        <v>2</v>
      </c>
      <c r="I103" s="1261">
        <f>'2.13 SA&amp;D'!$E$6</f>
        <v>9</v>
      </c>
      <c r="J103" s="1261" t="str">
        <f>IFERROR($I103-$F103,"-")</f>
        <v>-</v>
      </c>
      <c r="K103" s="1261">
        <f>'2.13 SA&amp;D'!$J$6</f>
        <v>9</v>
      </c>
      <c r="L103" s="1385">
        <f>IFERROR($H103/$I103,"-")</f>
        <v>0.222222222222222</v>
      </c>
      <c r="M103" s="949" t="n"/>
      <c r="N103" s="949" t="n"/>
      <c r="O103" s="949" t="n"/>
      <c r="P103" s="949" t="n"/>
    </row>
    <row r="104">
      <c r="B104" s="285" t="inlineStr">
        <is>
          <t>COE SA&amp;D</t>
        </is>
      </c>
      <c r="C104" s="1375" t="str">
        <f>'2.13 SA&amp;D'!$B$7</f>
        <v>Architecture</v>
      </c>
      <c r="D104" s="1362" t="str">
        <f>'2.13 SA&amp;D'!$C$7</f>
        <v>COE - measured against budget</v>
      </c>
      <c r="E104" s="1362" t="str">
        <f>'2.13 SA&amp;D'!$R$7</f>
        <v>-</v>
      </c>
      <c r="F104" s="1261" t="str">
        <f>'2.13 SA&amp;D'!$D$7</f>
        <v>-</v>
      </c>
      <c r="G104" s="1261">
        <f>'2.13 SA&amp;D'!$E$7-'2.13 SA&amp;D'!$G$7</f>
        <v>7</v>
      </c>
      <c r="H104" s="1261">
        <f>'2.13 SA&amp;D'!$G$7</f>
        <v>0</v>
      </c>
      <c r="I104" s="1261">
        <f>'2.13 SA&amp;D'!$E$7</f>
        <v>7</v>
      </c>
      <c r="J104" s="1261" t="str">
        <f>IFERROR($I104-$F104,"-")</f>
        <v>-</v>
      </c>
      <c r="K104" s="1261">
        <f>'2.13 SA&amp;D'!$J$7</f>
        <v>7</v>
      </c>
      <c r="L104" s="1385">
        <f>IFERROR($H104/$I104,"-")</f>
        <v>0</v>
      </c>
      <c r="M104" s="949" t="n"/>
      <c r="N104" s="949" t="n"/>
      <c r="O104" s="949" t="n"/>
      <c r="P104" s="949" t="n"/>
    </row>
    <row r="105">
      <c r="B105" s="285" t="inlineStr">
        <is>
          <t>COE SA&amp;D</t>
        </is>
      </c>
      <c r="C105" s="1362" t="str">
        <f>'2.13 SA&amp;D'!$B$8</f>
        <v>Technology Strategy &amp; AI Capability</v>
      </c>
      <c r="D105" s="1362" t="str">
        <f>'2.13 SA&amp;D'!$C$8</f>
        <v>COE - measured against budget</v>
      </c>
      <c r="E105" s="1362" t="str">
        <f>'2.13 SA&amp;D'!$R$8</f>
        <v>-</v>
      </c>
      <c r="F105" s="1261" t="str">
        <f>'2.13 SA&amp;D'!$D$8</f>
        <v>-</v>
      </c>
      <c r="G105" s="1261">
        <f>'2.13 SA&amp;D'!$E$8-'2.13 SA&amp;D'!$G$8</f>
        <v>1</v>
      </c>
      <c r="H105" s="1261">
        <f>'2.13 SA&amp;D'!$G$8</f>
        <v>4</v>
      </c>
      <c r="I105" s="1261">
        <f>'2.13 SA&amp;D'!$E$8</f>
        <v>5</v>
      </c>
      <c r="J105" s="1261" t="str">
        <f>IFERROR($I105-$F105,"-")</f>
        <v>-</v>
      </c>
      <c r="K105" s="1261">
        <f>'2.13 SA&amp;D'!$J$8</f>
        <v>5</v>
      </c>
      <c r="L105" s="1385">
        <f>IFERROR($H105/$I105,"-")</f>
        <v>0.8</v>
      </c>
      <c r="M105" s="949" t="n"/>
      <c r="N105" s="949" t="n"/>
      <c r="O105" s="949" t="n"/>
      <c r="P105" s="949" t="n"/>
    </row>
    <row r="106">
      <c r="B106" s="285" t="inlineStr">
        <is>
          <t>COE SA&amp;D</t>
        </is>
      </c>
      <c r="C106" s="1375" t="str">
        <f>'2.13 SA&amp;D'!$B$9</f>
        <v>Leadership</v>
      </c>
      <c r="D106" s="1362" t="str">
        <f>'2.13 SA&amp;D'!$C$9</f>
        <v>COE - measured against budget</v>
      </c>
      <c r="E106" s="1362" t="str">
        <f>'2.13 SA&amp;D'!$R$9</f>
        <v>-</v>
      </c>
      <c r="F106" s="1261" t="str">
        <f>'2.13 SA&amp;D'!$D$9</f>
        <v>-</v>
      </c>
      <c r="G106" s="1261">
        <f>'2.13 SA&amp;D'!$E$9-'2.13 SA&amp;D'!$G$9</f>
        <v>1</v>
      </c>
      <c r="H106" s="1261">
        <f>'2.13 SA&amp;D'!$G$9</f>
        <v>3</v>
      </c>
      <c r="I106" s="1261">
        <f>'2.13 SA&amp;D'!$E$9</f>
        <v>4</v>
      </c>
      <c r="J106" s="1261" t="str">
        <f>IFERROR($I106-$F106,"-")</f>
        <v>-</v>
      </c>
      <c r="K106" s="1261">
        <f>'2.13 SA&amp;D'!$J$9</f>
        <v>4</v>
      </c>
      <c r="L106" s="1385">
        <f>IFERROR($H106/$I106,"-")</f>
        <v>0.75</v>
      </c>
      <c r="M106" s="949" t="n"/>
      <c r="N106" s="949" t="n"/>
      <c r="O106" s="949" t="n"/>
      <c r="P106" s="949" t="n"/>
    </row>
    <row r="107">
      <c r="B107" s="285" t="inlineStr">
        <is>
          <t>COE SA&amp;D</t>
        </is>
      </c>
      <c r="C107" s="1362" t="str">
        <f>'2.13 SA&amp;D'!$B$10</f>
        <v>Data Platforms</v>
      </c>
      <c r="D107" s="1362" t="str">
        <f>'2.13 SA&amp;D'!$C$10</f>
        <v>COE - measured against budget</v>
      </c>
      <c r="E107" s="1362" t="str">
        <f>'2.13 SA&amp;D'!$R$10</f>
        <v>-</v>
      </c>
      <c r="F107" s="1261" t="str">
        <f>'2.13 SA&amp;D'!$D$10</f>
        <v>-</v>
      </c>
      <c r="G107" s="1261">
        <f>'2.13 SA&amp;D'!$E$10-'2.13 SA&amp;D'!$G$10</f>
        <v>1</v>
      </c>
      <c r="H107" s="1261">
        <f>'2.13 SA&amp;D'!$G$10</f>
        <v>0</v>
      </c>
      <c r="I107" s="1261">
        <f>'2.13 SA&amp;D'!$E$10</f>
        <v>1</v>
      </c>
      <c r="J107" s="1261" t="str">
        <f>IFERROR($I107-$F107,"-")</f>
        <v>-</v>
      </c>
      <c r="K107" s="1261">
        <f>'2.13 SA&amp;D'!$J$10</f>
        <v>1</v>
      </c>
      <c r="L107" s="1385">
        <f>IFERROR($H107/$I107,"-")</f>
        <v>0</v>
      </c>
      <c r="M107" s="949" t="n"/>
      <c r="N107" s="949" t="n"/>
      <c r="O107" s="949" t="n"/>
      <c r="P107" s="949" t="n"/>
    </row>
    <row r="108">
      <c r="B108" s="285" t="inlineStr">
        <is>
          <t>COE SA&amp;D</t>
        </is>
      </c>
      <c r="C108" s="1386" t="inlineStr">
        <is>
          <t>Portfolio total</t>
        </is>
      </c>
      <c r="D108" s="285" t="n"/>
      <c r="E108" s="285" t="n"/>
      <c r="F108" s="1261" t="str">
        <f>IF(COUNT(F103:F107)=0,"-",SUM(F103:F107))</f>
        <v>-</v>
      </c>
      <c r="G108" s="1261">
        <f>SUM(G103:G107)</f>
        <v>17</v>
      </c>
      <c r="H108" s="1261">
        <f>SUM(H103:H107)</f>
        <v>9</v>
      </c>
      <c r="I108" s="1261">
        <f>SUM(I103:I107)</f>
        <v>26</v>
      </c>
      <c r="J108" s="1261" t="str">
        <f>IF(COUNT(F103:F107)=0,"-",SUM(J103:J107))</f>
        <v>-</v>
      </c>
      <c r="K108" s="1261">
        <f>SUM(K103:K107)</f>
        <v>26</v>
      </c>
      <c r="L108" s="1385">
        <f>IFERROR($H108/$I108,"-")</f>
        <v>0.346153846153846</v>
      </c>
      <c r="M108" s="949" t="n"/>
      <c r="N108" s="949" t="n"/>
      <c r="O108" s="949" t="n"/>
      <c r="P108" s="949" t="n"/>
    </row>
    <row r="109">
      <c r="B109" s="285" t="inlineStr">
        <is>
          <t>EGI</t>
        </is>
      </c>
      <c r="C109" s="1362" t="str">
        <f>'2.14 EGI'!$B$6</f>
        <v>EGI</v>
      </c>
      <c r="D109" s="1362" t="str">
        <f>'2.14 EGI'!$C$6</f>
        <v>COE - measured against budget</v>
      </c>
      <c r="E109" s="1362" t="str">
        <f>'2.14 EGI'!$R$6</f>
        <v>-</v>
      </c>
      <c r="F109" s="1261" t="str">
        <f>'2.14 EGI'!$D$6</f>
        <v>-</v>
      </c>
      <c r="G109" s="1261">
        <f>'2.14 EGI'!$E$6-'2.14 EGI'!$G$6</f>
        <v>17</v>
      </c>
      <c r="H109" s="1261">
        <f>'2.14 EGI'!$G$6</f>
        <v>0</v>
      </c>
      <c r="I109" s="1261">
        <f>'2.14 EGI'!$E$6</f>
        <v>17</v>
      </c>
      <c r="J109" s="1261" t="str">
        <f>IFERROR($I109-$F109,"-")</f>
        <v>-</v>
      </c>
      <c r="K109" s="1261">
        <f>'2.14 EGI'!$J$6</f>
        <v>17</v>
      </c>
      <c r="L109" s="1385">
        <f>IFERROR($H109/$I109,"-")</f>
        <v>0</v>
      </c>
      <c r="M109" s="949" t="n"/>
      <c r="N109" s="949" t="n"/>
      <c r="O109" s="949" t="n"/>
      <c r="P109" s="949" t="n"/>
    </row>
    <row r="110">
      <c r="B110" s="285" t="inlineStr">
        <is>
          <t>EGI</t>
        </is>
      </c>
      <c r="C110" s="1375" t="inlineStr">
        <is>
          <t>Portfolio total</t>
        </is>
      </c>
      <c r="D110" s="285" t="n"/>
      <c r="E110" s="285" t="n"/>
      <c r="F110" s="1261" t="str">
        <f>IF(COUNT(F109:F109)=0,"-",SUM(F109:F109))</f>
        <v>-</v>
      </c>
      <c r="G110" s="1261">
        <f>SUM(G109:G109)</f>
        <v>17</v>
      </c>
      <c r="H110" s="1261">
        <f>SUM(H109:H109)</f>
        <v>0</v>
      </c>
      <c r="I110" s="1261">
        <f>SUM(I109:I109)</f>
        <v>17</v>
      </c>
      <c r="J110" s="1261" t="str">
        <f>IF(COUNT(F109:F109)=0,"-",SUM(J109:J109))</f>
        <v>-</v>
      </c>
      <c r="K110" s="1261">
        <f>SUM(K109:K109)</f>
        <v>17</v>
      </c>
      <c r="L110" s="1385">
        <f>IFERROR($H110/$I110,"-")</f>
        <v>0</v>
      </c>
      <c r="M110" s="949" t="n"/>
      <c r="N110" s="949" t="n"/>
      <c r="O110" s="949" t="n"/>
      <c r="P110" s="949" t="n"/>
    </row>
    <row r="111">
      <c r="B111" s="285" t="n"/>
      <c r="C111" s="1375" t="inlineStr">
        <is>
          <t>Group total</t>
        </is>
      </c>
      <c r="D111" s="285" t="n"/>
      <c r="E111" s="285" t="n"/>
      <c r="F111" s="1261">
        <f>SUMIF($C$6:$C$110,"&lt;&gt;Portfolio total",F6:F110)</f>
        <v>299</v>
      </c>
      <c r="G111" s="1261">
        <f>$G$19+$G$33+$G$39+$G$48+$G$55+$G$60+$G$69+$G$76+$G$84+$G$92+$G$98+$G$102+$G$108+$G$110</f>
        <v>390</v>
      </c>
      <c r="H111" s="1261">
        <f>$H$19+$H$33+$H$39+$H$48+$H$55+$H$60+$H$69+$H$76+$H$84+$H$92+$H$98+$H$102+$H$108+$H$110</f>
        <v>135</v>
      </c>
      <c r="I111" s="1261">
        <f>$I$19+$I$33+$I$39+$I$48+$I$55+$I$60+$I$69+$I$76+$I$84+$I$92+$I$98+$I$102+$I$108+$I$110</f>
        <v>525</v>
      </c>
      <c r="J111" s="1261">
        <f>SUMIF($C$6:$C$110,"&lt;&gt;Portfolio total",J6:J110)</f>
        <v>16</v>
      </c>
      <c r="K111" s="1261">
        <f>$K$19+$K$33+$K$39+$K$48+$K$55+$K$60+$K$69+$K$76+$K$84+$K$92+$K$98+$K$102+$K$108+$K$110</f>
        <v>525</v>
      </c>
      <c r="L111" s="1385">
        <f>IFERROR($H111/$I111,"-")</f>
        <v>0.257142857142857</v>
      </c>
      <c r="M111" s="949" t="n"/>
      <c r="N111" s="949" t="n"/>
      <c r="O111" s="949" t="n"/>
      <c r="P111" s="949" t="n"/>
    </row>
    <row r="112">
      <c r="B112" s="285" t="n"/>
      <c r="C112" s="1228" t="n"/>
      <c r="D112" s="285" t="n"/>
      <c r="E112" s="285" t="n"/>
      <c r="F112" s="949" t="n"/>
      <c r="G112" s="949" t="n"/>
      <c r="H112" s="949" t="n"/>
      <c r="I112" s="949" t="n"/>
      <c r="J112" s="949" t="n"/>
      <c r="K112" s="949" t="n"/>
      <c r="L112" s="949" t="n"/>
      <c r="M112" s="949" t="n"/>
      <c r="N112" s="949" t="n"/>
      <c r="O112" s="949" t="n"/>
      <c r="P112" s="949" t="n"/>
    </row>
    <row r="113">
      <c r="B113" s="1278" t="inlineStr">
        <is>
          <t>Control - roles vs the ledger, must be 0</t>
        </is>
      </c>
      <c r="C113" s="1228" t="n"/>
      <c r="D113" s="285" t="n"/>
      <c r="E113" s="285" t="n"/>
      <c r="I113" s="1272">
        <f>COUNTA('REVIEW - Complete Role Mapping'!$B$2:$B$528)-$I$111</f>
        <v>0</v>
      </c>
    </row>
    <row r="114">
      <c r="B114" s="285" t="n"/>
      <c r="C114" s="1228" t="n"/>
      <c r="D114" s="285" t="n"/>
      <c r="E114" s="285" t="n"/>
    </row>
    <row r="115">
      <c r="B115" s="1278" t="n"/>
      <c r="C115" s="285" t="n"/>
      <c r="D115" s="285" t="n"/>
      <c r="E115" s="285" t="n"/>
    </row>
    <row r="116">
      <c r="B116" s="285" t="n"/>
      <c r="C116" s="1228" t="n"/>
      <c r="D116" s="285" t="n"/>
      <c r="E116" s="285" t="n"/>
    </row>
    <row r="117">
      <c r="B117" s="285" t="n"/>
      <c r="C117" s="1228" t="n"/>
      <c r="D117" s="285" t="n"/>
      <c r="E117" s="285" t="n"/>
    </row>
    <row r="118">
      <c r="B118" s="285" t="n"/>
      <c r="C118" s="295" t="n"/>
      <c r="D118" s="285" t="n"/>
      <c r="E118" s="285" t="n"/>
    </row>
    <row r="119">
      <c r="B119" s="1309" t="n"/>
      <c r="C119" s="295" t="n"/>
      <c r="D119" s="285" t="n"/>
      <c r="E119" s="285" t="n"/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5"/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7"/>
    <row r="168"/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88"/>
    <row r="189"/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3"/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L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1247" t="inlineStr">
        <is>
          <t>COE</t>
        </is>
      </c>
      <c r="C5" s="1247" t="inlineStr">
        <is>
          <t>Roles</t>
        </is>
      </c>
      <c r="D5" s="1247" t="inlineStr">
        <is>
          <t>Filled</t>
        </is>
      </c>
      <c r="E5" s="1247" t="inlineStr">
        <is>
          <t>Vacant</t>
        </is>
      </c>
      <c r="F5" s="1247" t="inlineStr">
        <is>
          <t>People cost, gross ($m)</t>
        </is>
      </c>
      <c r="G5" s="1247" t="inlineStr">
        <is>
          <t>Budget to draw down ($m)</t>
        </is>
      </c>
      <c r="H5" s="1247" t="inlineStr">
        <is>
          <t>Over/(under) budget ($m)</t>
        </is>
      </c>
      <c r="I5" s="1247" t="inlineStr">
        <is>
          <t>Cost - AU ($m)</t>
        </is>
      </c>
      <c r="J5" s="1247" t="inlineStr">
        <is>
          <t>Cost - NZ ($m)</t>
        </is>
      </c>
      <c r="K5" s="1269" t="inlineStr">
        <is>
          <t>Gross people cost ($m)</t>
        </is>
      </c>
      <c r="L5" s="1269" t="inlineStr">
        <is>
          <t>Of which funded inside portfolio overheads ($m)</t>
        </is>
      </c>
    </row>
    <row r="6">
      <c r="B6" s="549" t="inlineStr">
        <is>
          <t>Business Partnering</t>
        </is>
      </c>
      <c r="C6" s="1250">
        <f>COUNTIFS('REVIEW - Complete Role Mapping'!$AJ:$AJ,"COE BP&amp;T")-COUNTIFS('REVIEW - Complete Role Mapping'!$AJ:$AJ,"COE BP&amp;T",'REVIEW - Complete Role Mapping'!$G:$G,"Transformation")</f>
        <v>10</v>
      </c>
      <c r="D6" s="1250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1250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346">
        <f>$K6</f>
        <v>3.292562592</v>
      </c>
      <c r="G6" s="1346">
        <f>'1.11 BP&amp;T'!$G$6</f>
        <v>2</v>
      </c>
      <c r="H6" s="1346">
        <f>$F6-$G6</f>
        <v>1.292562592</v>
      </c>
      <c r="I6" s="1346">
        <f>(SUMIFS('REVIEW - Complete Role Mapping'!$AA$2:$AA$528,'REVIEW - Complete Role Mapping'!$AJ$2:$AJ$528,"COE BP&amp;T",'REVIEW - Complete Role Mapping'!$M$2:$M$528,"Australia")-SUMIFS('REVIEW - Complete Role Mapping'!$AA$2:$AA$528,'REVIEW - Complete Role Mapping'!$AJ$2:$AJ$528,"COE BP&amp;T",'REVIEW - Complete Role Mapping'!$G$2:$G$528,"Transformation",'REVIEW - Complete Role Mapping'!$M$2:$M$528,"Australia"))/1000000</f>
        <v>2.1840506</v>
      </c>
      <c r="J6" s="1346">
        <f>(SUMIFS('REVIEW - Complete Role Mapping'!$AA$2:$AA$528,'REVIEW - Complete Role Mapping'!$AJ$2:$AJ$528,"COE BP&amp;T",'REVIEW - Complete Role Mapping'!$M$2:$M$528,"NZ")-SUMIFS('REVIEW - Complete Role Mapping'!$AA$2:$AA$528,'REVIEW - Complete Role Mapping'!$AJ$2:$AJ$528,"COE BP&amp;T",'REVIEW - Complete Role Mapping'!$G$2:$G$528,"Transformation",'REVIEW - Complete Role Mapping'!$M$2:$M$528,"NZ"))/1000000</f>
        <v>0.442424492</v>
      </c>
      <c r="K6" s="1387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387">
        <f>'1.11 BP&amp;T'!$C$13</f>
        <v>2.2</v>
      </c>
    </row>
    <row r="7">
      <c r="B7" s="549" t="inlineStr">
        <is>
          <t>Transformation</t>
        </is>
      </c>
      <c r="C7" s="1250">
        <f>COUNTIFS('REVIEW - Complete Role Mapping'!$AJ:$AJ,"COE BP&amp;T",'REVIEW - Complete Role Mapping'!$G:$G,"Transformation")</f>
        <v>14</v>
      </c>
      <c r="D7" s="1250">
        <f>COUNTIFS('REVIEW - Complete Role Mapping'!$AJ:$AJ,"COE BP&amp;T",'REVIEW - Complete Role Mapping'!$AK:$AK,"Filled",'REVIEW - Complete Role Mapping'!$G:$G,"Transformation")</f>
        <v>6</v>
      </c>
      <c r="E7" s="1250">
        <f>COUNTIFS('REVIEW - Complete Role Mapping'!$AJ:$AJ,"COE BP&amp;T",'REVIEW - Complete Role Mapping'!$AK:$AK,"Vacant",'REVIEW - Complete Role Mapping'!$G:$G,"Transformation")</f>
        <v>8</v>
      </c>
      <c r="F7" s="1346">
        <f>$K7</f>
        <v>3.10799923</v>
      </c>
      <c r="G7" s="1346">
        <f>'1.11 BP&amp;T'!$G$7</f>
        <v>2</v>
      </c>
      <c r="H7" s="1346">
        <f>$F7-$G7</f>
        <v>1.10799923</v>
      </c>
      <c r="I7" s="1346">
        <f>(SUMIFS('REVIEW - Complete Role Mapping'!$AA$2:$AA$528,'REVIEW - Complete Role Mapping'!$AJ$2:$AJ$528,"COE BP&amp;T",'REVIEW - Complete Role Mapping'!$G$2:$G$528,"Transformation",'REVIEW - Complete Role Mapping'!$M$2:$M$528,"Australia"))/1000000</f>
        <v>2.80847245</v>
      </c>
      <c r="J7" s="1346">
        <f>(SUMIFS('REVIEW - Complete Role Mapping'!$AA$2:$AA$528,'REVIEW - Complete Role Mapping'!$AJ$2:$AJ$528,"COE BP&amp;T",'REVIEW - Complete Role Mapping'!$G$2:$G$528,"Transformation",'REVIEW - Complete Role Mapping'!$M$2:$M$528,"NZ"))/1000000</f>
        <v>0.29952678</v>
      </c>
      <c r="K7" s="1387">
        <f>(SUMIFS('REVIEW - Complete Role Mapping'!$AA$2:$AA$528,'REVIEW - Complete Role Mapping'!$AJ$2:$AJ$528,"COE BP&amp;T",'REVIEW - Complete Role Mapping'!$G$2:$G$528,"Transformation"))/1000000</f>
        <v>3.10799923</v>
      </c>
      <c r="L7" s="1387" t="n">
        <v>0</v>
      </c>
    </row>
    <row r="8">
      <c r="B8" s="549" t="inlineStr">
        <is>
          <t>Strategy &amp; Architecture</t>
        </is>
      </c>
      <c r="C8" s="1250">
        <f>COUNTIFS('REVIEW - Complete Role Mapping'!$AJ:$AJ,"COE SA&amp;D")-COUNTIFS('REVIEW - Complete Role Mapping'!$AJ:$AJ,"COE SA&amp;D",'REVIEW - Complete Role Mapping'!$G:$G,"Group Data")</f>
        <v>16</v>
      </c>
      <c r="D8" s="1250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1250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346">
        <f>$K8</f>
        <v>3.958617086</v>
      </c>
      <c r="G8" s="1346">
        <f>'1.12 SA&amp;D'!$H$6</f>
        <v>2</v>
      </c>
      <c r="H8" s="1346">
        <f>$F8-$G8</f>
        <v>1.958617086</v>
      </c>
      <c r="I8" s="1346">
        <f>(SUMIFS('REVIEW - Complete Role Mapping'!$AA$2:$AA$528,'REVIEW - Complete Role Mapping'!$AJ$2:$AJ$528,"COE SA&amp;D",'REVIEW - Complete Role Mapping'!$M$2:$M$528,"Australia")-SUMIFS('REVIEW - Complete Role Mapping'!$AA$2:$AA$528,'REVIEW - Complete Role Mapping'!$AJ$2:$AJ$528,"COE SA&amp;D",'REVIEW - Complete Role Mapping'!$G$2:$G$528,"Group Data",'REVIEW - Complete Role Mapping'!$M$2:$M$528,"Australia"))/1000000</f>
        <v>3.26474855</v>
      </c>
      <c r="J8" s="1346">
        <f>(SUMIFS('REVIEW - Complete Role Mapping'!$AA$2:$AA$528,'REVIEW - Complete Role Mapping'!$AJ$2:$AJ$528,"COE SA&amp;D",'REVIEW - Complete Role Mapping'!$M$2:$M$528,"NZ")-SUMIFS('REVIEW - Complete Role Mapping'!$AA$2:$AA$528,'REVIEW - Complete Role Mapping'!$AJ$2:$AJ$528,"COE SA&amp;D",'REVIEW - Complete Role Mapping'!$G$2:$G$528,"Group Data",'REVIEW - Complete Role Mapping'!$M$2:$M$528,"NZ"))/1000000</f>
        <v>0.693868536</v>
      </c>
      <c r="K8" s="1387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387">
        <f>'1.12 SA&amp;D'!$C$13</f>
        <v>1.4</v>
      </c>
    </row>
    <row r="9">
      <c r="B9" s="549" t="inlineStr">
        <is>
          <t>Data</t>
        </is>
      </c>
      <c r="C9" s="1250">
        <f>COUNTIFS('REVIEW - Complete Role Mapping'!$AJ:$AJ,"COE SA&amp;D",'REVIEW - Complete Role Mapping'!$G:$G,"Group Data")</f>
        <v>10</v>
      </c>
      <c r="D9" s="1250">
        <f>COUNTIFS('REVIEW - Complete Role Mapping'!$AJ:$AJ,"COE SA&amp;D",'REVIEW - Complete Role Mapping'!$AK:$AK,"Filled",'REVIEW - Complete Role Mapping'!$G:$G,"Group Data")</f>
        <v>8</v>
      </c>
      <c r="E9" s="1250">
        <f>COUNTIFS('REVIEW - Complete Role Mapping'!$AJ:$AJ,"COE SA&amp;D",'REVIEW - Complete Role Mapping'!$AK:$AK,"Vacant",'REVIEW - Complete Role Mapping'!$G:$G,"Group Data")</f>
        <v>2</v>
      </c>
      <c r="F9" s="1346">
        <f>$K9</f>
        <v>2.570876966</v>
      </c>
      <c r="G9" s="1346">
        <f>'1.12 SA&amp;D'!$H$7</f>
        <v>2</v>
      </c>
      <c r="H9" s="1346">
        <f>$F9-$G9</f>
        <v>0.570876966</v>
      </c>
      <c r="I9" s="1346">
        <f>(SUMIFS('REVIEW - Complete Role Mapping'!$AA$2:$AA$528,'REVIEW - Complete Role Mapping'!$AJ$2:$AJ$528,"COE SA&amp;D",'REVIEW - Complete Role Mapping'!$G$2:$G$528,"Group Data",'REVIEW - Complete Role Mapping'!$M$2:$M$528,"Australia"))/1000000</f>
        <v>2.42113055</v>
      </c>
      <c r="J9" s="1346">
        <f>(SUMIFS('REVIEW - Complete Role Mapping'!$AA$2:$AA$528,'REVIEW - Complete Role Mapping'!$AJ$2:$AJ$528,"COE SA&amp;D",'REVIEW - Complete Role Mapping'!$G$2:$G$528,"Group Data",'REVIEW - Complete Role Mapping'!$M$2:$M$528,"NZ"))/1000000</f>
        <v>0.149746416</v>
      </c>
      <c r="K9" s="1387">
        <f>(SUMIFS('REVIEW - Complete Role Mapping'!$AA$2:$AA$528,'REVIEW - Complete Role Mapping'!$AJ$2:$AJ$528,"COE SA&amp;D",'REVIEW - Complete Role Mapping'!$G$2:$G$528,"Group Data"))/1000000</f>
        <v>2.570876966</v>
      </c>
      <c r="L9" s="1387" t="n">
        <v>0</v>
      </c>
    </row>
    <row r="10">
      <c r="B10" s="549" t="inlineStr">
        <is>
          <t>Cyber, Risk &amp; Service Operations</t>
        </is>
      </c>
      <c r="C10" s="1250">
        <f>COUNTIFS('REVIEW - Complete Role Mapping'!$AJ:$AJ,"COE Cyber")</f>
        <v>46</v>
      </c>
      <c r="D10" s="1250">
        <f>COUNTIFS('REVIEW - Complete Role Mapping'!$AJ:$AJ,"COE Cyber",'REVIEW - Complete Role Mapping'!$AK:$AK,"Filled")</f>
        <v>42</v>
      </c>
      <c r="E10" s="1250">
        <f>COUNTIFS('REVIEW - Complete Role Mapping'!$AJ:$AJ,"COE Cyber",'REVIEW - Complete Role Mapping'!$AK:$AK,"Vacant")</f>
        <v>4</v>
      </c>
      <c r="F10" s="1346">
        <f>$K10</f>
        <v>9.897858294</v>
      </c>
      <c r="G10" s="1346">
        <f>'1.13 Cyber Roles'!$G$8</f>
        <v>4</v>
      </c>
      <c r="H10" s="1346">
        <f>$F10-$G10</f>
        <v>5.897858294</v>
      </c>
      <c r="I10" s="1346">
        <f>(SUMIFS('REVIEW - Complete Role Mapping'!$AA$2:$AA$528,'REVIEW - Complete Role Mapping'!$AJ$2:$AJ$528,"COE Cyber",'REVIEW - Complete Role Mapping'!$M$2:$M$528,"Australia"))/1000000</f>
        <v>8.83986105</v>
      </c>
      <c r="J10" s="1346">
        <f>(SUMIFS('REVIEW - Complete Role Mapping'!$AA$2:$AA$528,'REVIEW - Complete Role Mapping'!$AJ$2:$AJ$528,"COE Cyber",'REVIEW - Complete Role Mapping'!$M$2:$M$528,"NZ"))/1000000</f>
        <v>1.057997244</v>
      </c>
      <c r="K10" s="1387">
        <f>SUMIFS('REVIEW - Complete Role Mapping'!$AA$2:$AA$528,'REVIEW - Complete Role Mapping'!$AJ$2:$AJ$528,"COE Cyber")/1000000</f>
        <v>9.897858294</v>
      </c>
      <c r="L10" s="1387" t="n">
        <v>0</v>
      </c>
    </row>
    <row r="11">
      <c r="B11" s="586" t="inlineStr">
        <is>
          <t>EGI</t>
        </is>
      </c>
      <c r="C11" s="1388">
        <f>COUNTIFS('REVIEW - Complete Role Mapping'!$AJ$2:$AJ$528,"EGI")</f>
        <v>17</v>
      </c>
      <c r="D11" s="1388">
        <f>COUNTIFS('REVIEW - Complete Role Mapping'!$AJ$2:$AJ$528,"EGI",'REVIEW - Complete Role Mapping'!$AK$2:$AK$528,"Filled")</f>
        <v>17</v>
      </c>
      <c r="E11" s="1388">
        <f>COUNTIFS('REVIEW - Complete Role Mapping'!$AJ$2:$AJ$528,"EGI",'REVIEW - Complete Role Mapping'!$AK$2:$AK$528,"Vacant")</f>
        <v>0</v>
      </c>
      <c r="F11" s="1351">
        <f>$K11</f>
        <v>4.94341935</v>
      </c>
      <c r="G11" s="1351">
        <f>IFERROR(SUMIFS('0.2 Data Config'!$E$6:$E$25,'0.2 Data Config'!$B$6:$B$25,"EGI"),0)</f>
        <v>0</v>
      </c>
      <c r="H11" s="1351">
        <f>$F11-$G11</f>
        <v>4.94341935</v>
      </c>
      <c r="I11" s="1351">
        <f>(SUMIFS('REVIEW - Complete Role Mapping'!$AA$2:$AA$528,'REVIEW - Complete Role Mapping'!$AJ$2:$AJ$528,"EGI",'REVIEW - Complete Role Mapping'!$M$2:$M$528,"Australia"))/1000000</f>
        <v>4.94341935</v>
      </c>
      <c r="J11" s="1351">
        <f>(SUMIFS('REVIEW - Complete Role Mapping'!$AA$2:$AA$528,'REVIEW - Complete Role Mapping'!$AJ$2:$AJ$528,"EGI",'REVIEW - Complete Role Mapping'!$M$2:$M$528,"NZ"))/1000000</f>
        <v>0</v>
      </c>
      <c r="K11" s="1387">
        <f>SUMIFS('REVIEW - Complete Role Mapping'!$AA$2:$AA$528,'REVIEW - Complete Role Mapping'!$AJ$2:$AJ$528,"EGI")/1000000</f>
        <v>4.94341935</v>
      </c>
      <c r="L11" s="1387" t="n">
        <v>0</v>
      </c>
    </row>
    <row r="12">
      <c r="B12" s="1226" t="inlineStr">
        <is>
          <t>Total</t>
        </is>
      </c>
      <c r="C12" s="1348">
        <f>SUM(C6:C11)</f>
        <v>113</v>
      </c>
      <c r="D12" s="1348">
        <f>SUM(D6:D11)</f>
        <v>91</v>
      </c>
      <c r="E12" s="1348">
        <f>SUM(E6:E11)</f>
        <v>22</v>
      </c>
      <c r="F12" s="1347">
        <f>SUM(F6:F11)</f>
        <v>27.771333518</v>
      </c>
      <c r="G12" s="1347">
        <f>SUM(G6:G11)</f>
        <v>12</v>
      </c>
      <c r="H12" s="1347">
        <f>SUM(H6:H11)</f>
        <v>15.771333518</v>
      </c>
      <c r="I12" s="1347">
        <f>SUM(I6:I11)</f>
        <v>24.46168255</v>
      </c>
      <c r="J12" s="1347">
        <f>SUM(J6:J11)</f>
        <v>2.643563468</v>
      </c>
      <c r="K12" s="1263">
        <f>SUM(K6:K11)</f>
        <v>27.771333518</v>
      </c>
      <c r="L12" s="1263">
        <f>SUM(L6:L11)</f>
        <v>3.6</v>
      </c>
    </row>
    <row r="13">
      <c r="B13" s="1298" t="inlineStr">
        <is>
          <t>Cost is stated gross on every tab. Column L shows the part funded inside portfolio overheads, so the net figure is visible without a second definition of the same cost.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1298" t="inlineStr">
        <is>
          <t>Ledger control - roles in the four COEs plus EGI, must be 0</t>
        </is>
      </c>
      <c r="C14" s="1348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1298" t="inlineStr">
        <is>
          <t>Ledger control - cost ($m), must be 0</t>
        </is>
      </c>
      <c r="C15" s="504" t="n"/>
      <c r="D15" s="504" t="n"/>
      <c r="E15" s="504" t="n"/>
      <c r="F15" s="1347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1305" t="inlineStr">
        <is>
          <t>Cost outside AU and NZ ($m) - TDD BP - T&amp;S is based in Singapore</t>
        </is>
      </c>
      <c r="C16" s="504" t="n"/>
      <c r="D16" s="504" t="n"/>
      <c r="E16" s="504" t="n"/>
      <c r="F16" s="1347">
        <f>SUMIFS('REVIEW - Complete Role Mapping'!$AA$2:$AA$528,'REVIEW - Complete Role Mapping'!$AJ$2:$AJ$528,"COE*",'REVIEW - Complete Role Mapping'!$M$2:$M$528,"&lt;&gt;Australia",'REVIEW - Complete Role Mapping'!$M$2:$M$528,"&lt;&gt;NZ")/1000000+SUMIFS('REVIEW - Complete Role Mapping'!$AA$2:$AA$528,'REVIEW - Complete Role Mapping'!$AJ$2:$AJ$528,"EGI",'REVIEW - Complete Role Mapping'!$M$2:$M$528,"&lt;&gt;Australia",'REVIEW - Complete Role Mapping'!$M$2:$M$528,"&lt;&gt;NZ")/1000000</f>
        <v>0.6660875</v>
      </c>
      <c r="G16" s="504" t="n"/>
      <c r="H16" s="504" t="n"/>
      <c r="I16" s="504" t="n"/>
      <c r="J16" s="504" t="n"/>
      <c r="K16" s="949" t="n"/>
      <c r="L16" s="949" t="n"/>
    </row>
    <row r="17">
      <c r="B17" s="1310" t="inlineStr">
        <is>
          <t>Control - I + J + row 16 must equal K ($m)</t>
        </is>
      </c>
      <c r="C17" s="981" t="n"/>
      <c r="D17" s="981" t="n"/>
      <c r="E17" s="981" t="n"/>
      <c r="F17" s="1347">
        <f>ROUND($I$12+$J$12+$F$16-$K$12,6)</f>
        <v>0</v>
      </c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288" t="inlineStr">
        <is>
          <t>Pool ($m)</t>
        </is>
      </c>
      <c r="D18" s="1288" t="inlineStr">
        <is>
          <t>Drawn ($m)</t>
        </is>
      </c>
      <c r="E18" s="1288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1271">
        <f>'0.1 Budget Table (Fin)'!$N$5</f>
        <v>3</v>
      </c>
      <c r="D19" s="1271">
        <f>IFERROR(N('1.1 Ampol Retail'!$J$15),0)+IFERROR(N('1.2 Customer'!$J$15),0)+IFERROR(N('1.5 P&amp;C'!$J$14),0)+IFERROR(N('1.6 Finance'!$J$15),0)+IFERROR(N('1.7 Infrastructure'!$J$15),0)+IFERROR(N('1.9 Commercial Fuels'!$J$14),0)+IFERROR(N('1.10 Z Retail'!$J$15),0)</f>
        <v>3.15</v>
      </c>
      <c r="E19" s="1271">
        <f>C19-D19</f>
        <v>-0.15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1271">
        <f>'0.1 Budget Table (Fin)'!$O$5</f>
        <v>20.2</v>
      </c>
      <c r="D20" s="1271">
        <f>IFERROR(N('1.1 Ampol Retail'!$J$17),0)+IFERROR(N('1.1 Ampol Retail'!$J$18),0)+IFERROR(N('1.2 Customer'!$J$17),0)+IFERROR(N('1.2 Customer'!$J$18),0)+IFERROR(N('1.5 P&amp;C'!$J$16),0)+IFERROR(N('1.5 P&amp;C'!$J$17),0)+IFERROR(N('1.6 Finance'!$J$17),0)+IFERROR(N('1.6 Finance'!$J$18),0)+IFERROR(N('1.7 Infrastructure'!$J$17),0)+IFERROR(N('1.8 Energy Solutions &amp; B2B'!$J$19),0)+IFERROR(N('1.9 Commercial Fuels'!$J$17),0)+IFERROR(N('1.10 Z Retail'!$J$17),0)</f>
        <v>11.924089</v>
      </c>
      <c r="E20" s="1271">
        <f>C20-D20</f>
        <v>8.275911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1271">
        <f>'0.1 Budget Table (Fin)'!$P$5</f>
        <v>4.9</v>
      </c>
      <c r="D21" s="1271">
        <f>IFERROR(N('1.2 Customer'!$J$16),0)+IFERROR(N('1.5 P&amp;C'!$J$15),0)+IFERROR(N('1.6 Finance'!$J$16),0)+IFERROR(N('1.7 Infrastructure'!$J$16),0)+IFERROR(N('1.9 Commercial Fuels'!$J$15),0)+IFERROR(N('1.10 Z Retail'!$J$16),0)</f>
        <v>10.41</v>
      </c>
      <c r="E21" s="1271">
        <f>C21-D21</f>
        <v>-5.51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1389">
        <f>SUM(C19:C21)</f>
        <v>28.1</v>
      </c>
      <c r="D22" s="1389">
        <f>SUM(D19:D21)</f>
        <v>25.484089</v>
      </c>
      <c r="E22" s="1389">
        <f>SUM(E19:E21)</f>
        <v>2.615911</v>
      </c>
      <c r="F22" s="504" t="n"/>
      <c r="G22" s="504" t="n"/>
      <c r="H22" s="504" t="n"/>
      <c r="I22" s="504" t="n"/>
      <c r="J22" s="504" t="n"/>
    </row>
    <row r="23">
      <c r="B23" s="543" t="inlineStr">
        <is>
          <t>Drawn is the amount each 1.x tab applies against that pool, located by label. It previously read $0.5m because two of the three formulas pointed at blank cells and the third was a typed zero.</t>
        </is>
      </c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$F6-$G6</f>
        <v>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$F7-$G7</f>
        <v>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$F8-$G8</f>
        <v>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(spend - budget, + = over)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$G6-$H6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10</v>
      </c>
      <c r="D7" s="617">
        <f>COUNTIFS('REVIEW - Complete Role Mapping'!$AJ$2:$AJ$528,"COE SA&amp;D",'REVIEW - Complete Role Mapping'!$G$2:$G$528,"Group Data",'REVIEW - Complete Role Mapping'!$AK$2:$AK$528,"Filled")</f>
        <v>8</v>
      </c>
      <c r="E7" s="617">
        <f>COUNTIFS('REVIEW - Complete Role Mapping'!$AJ$2:$AJ$528,"COE SA&amp;D",'REVIEW - Complete Role Mapping'!$G$2:$G$528,"Group Data",'REVIEW - Complete Role Mapping'!$AK$2:$AK$528,"Vacant")</f>
        <v>2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2.570876966</v>
      </c>
      <c r="H7" s="510">
        <f>C16</f>
        <v>2</v>
      </c>
      <c r="I7" s="1116">
        <f>$G7-$H7</f>
        <v>0.570876966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26</v>
      </c>
      <c r="D8" s="613">
        <f>SUM(D6:D7)</f>
        <v>17</v>
      </c>
      <c r="E8" s="613">
        <f>SUM(E6:E7)</f>
        <v>9</v>
      </c>
      <c r="F8" s="613">
        <f>SUM(F6:F7)</f>
        <v>0</v>
      </c>
      <c r="G8" s="518">
        <f>SUM(G6:G7)</f>
        <v>6.529494052</v>
      </c>
      <c r="H8" s="518">
        <f>SUM(H6:H7)</f>
        <v>4</v>
      </c>
      <c r="I8" s="1121">
        <f>$G8-$H8</f>
        <v>2.529494052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-3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330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$F8-$G8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1331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B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301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2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Ampol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Above Store</t>
        </is>
      </c>
      <c r="C6" s="635" t="str">
        <f>IFERROR(INDEX('1.1 Ampol Retail'!$C$23:$C$68,MATCH($S6,'1.1 Ampol Retail'!$B$23:$B$68,0)),"No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COUNTIFS($F$30:$F$99,$B6)</f>
        <v>11</v>
      </c>
      <c r="F6" s="1250">
        <f>IFERROR($E6-$D6,"-")</f>
        <v>2</v>
      </c>
      <c r="G6" s="1250">
        <f>COUNTIFS($F$30:$F$99,$B6,$D$30:$D$99,"Vacant")</f>
        <v>4</v>
      </c>
      <c r="H6" s="1250">
        <f>COUNTIFS($F$30:$F$99,$B6,$D$30:$D$99,"Vacant",$E$30:$E$99,"Hire")+COUNTIFS($F$30:$F$99,$B6,$D$30:$D$99,"Vacant",$E$30:$E$99,"Offshore")</f>
        <v>4</v>
      </c>
      <c r="I6" s="1250">
        <f>COUNTIFS($F$30:$F$99,$B6,$D$30:$D$99,"Vacant",$E$30:$E$99,"Hold")</f>
        <v>0</v>
      </c>
      <c r="J6" s="1251">
        <f>$E6-COUNTIFS($F$30:$F$99,$B6,$E$30:$E$99,"Hold")</f>
        <v>11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IFERROR(IF(INDEX('1.1 Ampol Retail'!$E$23:$E$68,MATCH($S6,'1.1 Ampol Retail'!$B$23:$B$68,0))="Offshore",INDEX('0.3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2.097921857</v>
      </c>
      <c r="N6" s="1252">
        <f>IFERROR($M6-$L6,"-")</f>
        <v>-0.00207814300000031</v>
      </c>
      <c r="O6" s="1253">
        <f>(SUMIFS('REVIEW - Complete Role Mapping'!$AA$2:$AA$528,'REVIEW - Complete Role Mapping'!$AJ$2:$AJ$528,$C$3,'REVIEW - Complete Role Mapping'!$AT$2:$AT$528,$B6,'REVIEW - Complete Role Mapping'!$AK$2:$AK$528,"Filled")+SUMIFS($H$30:$H$99,$F$30:$F$99,$B6))/1000000</f>
        <v>3.450414129</v>
      </c>
      <c r="P6" s="1254">
        <f>$O6-$M6</f>
        <v>1.352492272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0.745429585</v>
      </c>
      <c r="R6" t="str">
        <f>IFERROR(IF(INDEX('1.1 Ampol Retail'!$D$23:$D$68,MATCH($S6,'1.1 Ampol Retail'!$B$23:$B$68,0))="","-",INDEX('1.1 Ampol Retail'!$D$23:$D$68,MATCH($S6,'1.1 Ampol Retail'!$B$23:$B$68,0))),"-")</f>
        <v>M</v>
      </c>
      <c r="S6" t="str">
        <f>IFERROR(INDEX(Lists!$AA:$AA,MATCH($B6,Lists!$Z:$Z,0)),$B6)</f>
        <v>Above Store</v>
      </c>
    </row>
    <row r="7">
      <c r="A7" s="949" t="n"/>
      <c r="B7" s="640" t="inlineStr">
        <is>
          <t>AmPOS</t>
        </is>
      </c>
      <c r="C7" s="635" t="str">
        <f>IFERROR(INDEX('1.1 Ampol Retail'!$C$23:$C$68,MATCH($S7,'1.1 Ampol Retail'!$B$23:$B$68,0)),"No archetype for this squad")</f>
        <v>Strategic Programs</v>
      </c>
      <c r="D7" s="1249" t="str">
        <f>IFERROR(INDEX('0.3 Squad Archetypes'!$F$5:$F$23,MATCH($C7&amp;"|"&amp;$R7,'0.3 Squad Archetypes'!$A$5:$A$23,0)),"-")</f>
        <v>-</v>
      </c>
      <c r="E7" s="1250">
        <f>COUNTIFS($F$30:$F$99,$B7)</f>
        <v>10</v>
      </c>
      <c r="F7" s="1250" t="str">
        <f>IFERROR($E7-$D7,"-")</f>
        <v>-</v>
      </c>
      <c r="G7" s="1250">
        <f>COUNTIFS($F$30:$F$99,$B7,$D$30:$D$99,"Vacant")</f>
        <v>0</v>
      </c>
      <c r="H7" s="1250">
        <f>COUNTIFS($F$30:$F$99,$B7,$D$30:$D$99,"Vacant",$E$30:$E$99,"Hire")+COUNTIFS($F$30:$F$99,$B7,$D$30:$D$99,"Vacant",$E$30:$E$99,"Offshore")</f>
        <v>0</v>
      </c>
      <c r="I7" s="1250">
        <f>COUNTIFS($F$30:$F$99,$B7,$D$30:$D$99,"Vacant",$E$30:$E$99,"Hold")</f>
        <v>0</v>
      </c>
      <c r="J7" s="1251">
        <f>$E7-COUNTIFS($F$30:$F$99,$B7,$E$30:$E$99,"Hold")</f>
        <v>10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IFERROR(IF(INDEX('1.1 Ampol Retail'!$E$23:$E$68,MATCH($S7,'1.1 Ampol Retail'!$B$23:$B$68,0))="Offshore",INDEX('0.3 Squad Archetypes'!$H$5:$H$23,MATCH($C7&amp;"|"&amp;$R7,'0.3 Squad Archetypes'!$A$5:$A$23,0)),INDEX('0.3 Squad Archetypes'!$G$5:$G$23,MATCH($C7&amp;"|"&amp;$R7,'0.3 Squad Archetypes'!$A$5:$A$23,0))),"-")</f>
        <v>-</v>
      </c>
      <c r="M7" s="1252">
        <f>SUMIFS('REVIEW - Complete Role Mapping'!$AA$2:$AA$528,'REVIEW - Complete Role Mapping'!$AJ$2:$AJ$528,$C$3,'REVIEW - Complete Role Mapping'!$AT$2:$AT$528,$B7)/1000000</f>
        <v>2.115029718</v>
      </c>
      <c r="N7" s="1252" t="str">
        <f>IFERROR($M7-$L7,"-")</f>
        <v>-</v>
      </c>
      <c r="O7" s="1253">
        <f>(SUMIFS('REVIEW - Complete Role Mapping'!$AA$2:$AA$528,'REVIEW - Complete Role Mapping'!$AJ$2:$AJ$528,$C$3,'REVIEW - Complete Role Mapping'!$AT$2:$AT$528,$B7,'REVIEW - Complete Role Mapping'!$AK$2:$AK$528,"Filled")+SUMIFS($H$30:$H$99,$F$30:$F$99,$B7))/1000000</f>
        <v>4.230059436</v>
      </c>
      <c r="P7" s="1254">
        <f>$O7-$M7</f>
        <v>2.115029718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IFERROR(IF(INDEX('1.1 Ampol Retail'!$D$23:$D$68,MATCH($S7,'1.1 Ampol Retail'!$B$23:$B$68,0))="","-",INDEX('1.1 Ampol Retail'!$D$23:$D$68,MATCH($S7,'1.1 Ampol Retail'!$B$23:$B$68,0))),"-")</f>
        <v>-</v>
      </c>
      <c r="S7" t="str">
        <f>IFERROR(INDEX(Lists!$AA:$AA,MATCH($B7,Lists!$Z:$Z,0)),$B7)</f>
        <v>AmPOS</v>
      </c>
    </row>
    <row r="8">
      <c r="A8" s="949" t="n"/>
      <c r="B8" s="634" t="inlineStr">
        <is>
          <t>POS</t>
        </is>
      </c>
      <c r="C8" s="635" t="str">
        <f>IFERROR(INDEX('1.1 Ampol Retail'!$C$23:$C$68,MATCH($S8,'1.1 Ampol Retail'!$B$23:$B$68,0)),"No archetype for this squad")</f>
        <v>Configuration / Integration</v>
      </c>
      <c r="D8" s="1249">
        <f>IFERROR(INDEX('0.3 Squad Archetypes'!$F$5:$F$23,MATCH($C8&amp;"|"&amp;$R8,'0.3 Squad Archetypes'!$A$5:$A$23,0)),"-")</f>
        <v>9</v>
      </c>
      <c r="E8" s="1250">
        <f>COUNTIFS($F$30:$F$99,$B8)</f>
        <v>8</v>
      </c>
      <c r="F8" s="1250">
        <f>IFERROR($E8-$D8,"-")</f>
        <v>-1</v>
      </c>
      <c r="G8" s="1250">
        <f>COUNTIFS($F$30:$F$99,$B8,$D$30:$D$99,"Vacant")</f>
        <v>8</v>
      </c>
      <c r="H8" s="1250">
        <f>COUNTIFS($F$30:$F$99,$B8,$D$30:$D$99,"Vacant",$E$30:$E$99,"Hire")+COUNTIFS($F$30:$F$99,$B8,$D$30:$D$99,"Vacant",$E$30:$E$99,"Offshore")</f>
        <v>8</v>
      </c>
      <c r="I8" s="1250">
        <f>COUNTIFS($F$30:$F$99,$B8,$D$30:$D$99,"Vacant",$E$30:$E$99,"Hold")</f>
        <v>0</v>
      </c>
      <c r="J8" s="1251">
        <f>$E8-COUNTIFS($F$30:$F$99,$B8,$E$30:$E$99,"Hold")</f>
        <v>8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IFERROR(IF(INDEX('1.1 Ampol Retail'!$E$23:$E$68,MATCH($S8,'1.1 Ampol Retail'!$B$23:$B$68,0))="Offshore",INDEX('0.3 Squad Archetypes'!$H$5:$H$23,MATCH($C8&amp;"|"&amp;$R8,'0.3 Squad Archetypes'!$A$5:$A$23,0)),INDEX('0.3 Squad Archetypes'!$G$5:$G$23,MATCH($C8&amp;"|"&amp;$R8,'0.3 Squad Archetypes'!$A$5:$A$23,0))),"-")</f>
        <v>2.1</v>
      </c>
      <c r="M8" s="1252">
        <f>SUMIFS('REVIEW - Complete Role Mapping'!$AA$2:$AA$528,'REVIEW - Complete Role Mapping'!$AJ$2:$AJ$528,$C$3,'REVIEW - Complete Role Mapping'!$AT$2:$AT$528,$B8)/1000000</f>
        <v>1.576223685</v>
      </c>
      <c r="N8" s="1252">
        <f>IFERROR($M8-$L8,"-")</f>
        <v>-0.523776315</v>
      </c>
      <c r="O8" s="1253">
        <f>(SUMIFS('REVIEW - Complete Role Mapping'!$AA$2:$AA$528,'REVIEW - Complete Role Mapping'!$AJ$2:$AJ$528,$C$3,'REVIEW - Complete Role Mapping'!$AT$2:$AT$528,$B8,'REVIEW - Complete Role Mapping'!$AK$2:$AK$528,"Filled")+SUMIFS($H$30:$H$99,$F$30:$F$99,$B8))/1000000</f>
        <v>1.576223685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1.576223685</v>
      </c>
      <c r="R8" t="str">
        <f>IFERROR(IF(INDEX('1.1 Ampol Retail'!$D$23:$D$68,MATCH($S8,'1.1 Ampol Retail'!$B$23:$B$68,0))="","-",INDEX('1.1 Ampol Retail'!$D$23:$D$68,MATCH($S8,'1.1 Ampol Retail'!$B$23:$B$68,0))),"-")</f>
        <v>M</v>
      </c>
      <c r="S8" t="str">
        <f>IFERROR(INDEX(Lists!$AA:$AA,MATCH($B8,Lists!$Z:$Z,0)),$B8)</f>
        <v>POS</v>
      </c>
    </row>
    <row r="9">
      <c r="A9" s="949" t="n"/>
      <c r="B9" s="640" t="inlineStr">
        <is>
          <t>Store Operations</t>
        </is>
      </c>
      <c r="C9" s="635" t="str">
        <f>IFERROR(INDEX('1.1 Ampol Retail'!$C$23:$C$68,MATCH($S9,'1.1 Ampol Retail'!$B$23:$B$68,0)),"No archetype for this squad")</f>
        <v>Operations</v>
      </c>
      <c r="D9" s="1249">
        <f>IFERROR(INDEX('0.3 Squad Archetypes'!$F$5:$F$23,MATCH($C9&amp;"|"&amp;$R9,'0.3 Squad Archetypes'!$A$5:$A$23,0)),"-")</f>
        <v>6</v>
      </c>
      <c r="E9" s="1250">
        <f>COUNTIFS($F$30:$F$99,$B9)</f>
        <v>8</v>
      </c>
      <c r="F9" s="1250">
        <f>IFERROR($E9-$D9,"-")</f>
        <v>2</v>
      </c>
      <c r="G9" s="1250">
        <f>COUNTIFS($F$30:$F$99,$B9,$D$30:$D$99,"Vacant")</f>
        <v>1</v>
      </c>
      <c r="H9" s="1250">
        <f>COUNTIFS($F$30:$F$99,$B9,$D$30:$D$99,"Vacant",$E$30:$E$99,"Hire")+COUNTIFS($F$30:$F$99,$B9,$D$30:$D$99,"Vacant",$E$30:$E$99,"Offshore")</f>
        <v>1</v>
      </c>
      <c r="I9" s="1250">
        <f>COUNTIFS($F$30:$F$99,$B9,$D$30:$D$99,"Vacant",$E$30:$E$99,"Hold")</f>
        <v>0</v>
      </c>
      <c r="J9" s="1251">
        <f>$E9-COUNTIFS($F$30:$F$99,$B9,$E$30:$E$99,"Hold")</f>
        <v>8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IFERROR(IF(INDEX('1.1 Ampol Retail'!$E$23:$E$68,MATCH($S9,'1.1 Ampol Retail'!$B$23:$B$68,0))="Offshore",INDEX('0.3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1.429759453</v>
      </c>
      <c r="N9" s="1252">
        <f>IFERROR($M9-$L9,"-")</f>
        <v>0.029759453</v>
      </c>
      <c r="O9" s="1253">
        <f>(SUMIFS('REVIEW - Complete Role Mapping'!$AA$2:$AA$528,'REVIEW - Complete Role Mapping'!$AJ$2:$AJ$528,$C$3,'REVIEW - Complete Role Mapping'!$AT$2:$AT$528,$B9,'REVIEW - Complete Role Mapping'!$AK$2:$AK$528,"Filled")+SUMIFS($H$30:$H$99,$F$30:$F$99,$B9))/1000000</f>
        <v>2.689017321</v>
      </c>
      <c r="P9" s="1254">
        <f>$O9-$M9</f>
        <v>1.259257868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0.170501585</v>
      </c>
      <c r="R9" t="str">
        <f>IFERROR(IF(INDEX('1.1 Ampol Retail'!$D$23:$D$68,MATCH($S9,'1.1 Ampol Retail'!$B$23:$B$68,0))="","-",INDEX('1.1 Ampol Retail'!$D$23:$D$68,MATCH($S9,'1.1 Ampol Retail'!$B$23:$B$68,0))),"-")</f>
        <v>M</v>
      </c>
      <c r="S9" t="str">
        <f>IFERROR(INDEX(Lists!$AA:$AA,MATCH($B9,Lists!$Z:$Z,0)),$B9)</f>
        <v>Store Operations</v>
      </c>
    </row>
    <row r="10">
      <c r="A10" s="949" t="n"/>
      <c r="B10" s="634" t="inlineStr">
        <is>
          <t>Data AU</t>
        </is>
      </c>
      <c r="C10" s="635" t="str">
        <f>IFERROR(INDEX('1.1 Ampol Retail'!$C$23:$C$68,MATCH($S10,'1.1 Ampol Retail'!$B$23:$B$68,0)),"No archetype for this squad")</f>
        <v>Enterprise Data and Insights</v>
      </c>
      <c r="D10" s="1249">
        <f>IFERROR(INDEX('0.3 Squad Archetypes'!$F$5:$F$23,MATCH($C10&amp;"|"&amp;$R10,'0.3 Squad Archetypes'!$A$5:$A$23,0)),"-")</f>
        <v>7.5</v>
      </c>
      <c r="E10" s="1250">
        <f>COUNTIFS($F$30:$F$99,$B10)</f>
        <v>6</v>
      </c>
      <c r="F10" s="1250">
        <f>IFERROR($E10-$D10,"-")</f>
        <v>-1.5</v>
      </c>
      <c r="G10" s="1250">
        <f>COUNTIFS($F$30:$F$99,$B10,$D$30:$D$99,"Vacant")</f>
        <v>6</v>
      </c>
      <c r="H10" s="1250">
        <f>COUNTIFS($F$30:$F$99,$B10,$D$30:$D$99,"Vacant",$E$30:$E$99,"Hire")+COUNTIFS($F$30:$F$99,$B10,$D$30:$D$99,"Vacant",$E$30:$E$99,"Offshore")</f>
        <v>6</v>
      </c>
      <c r="I10" s="1250">
        <f>COUNTIFS($F$30:$F$99,$B10,$D$30:$D$99,"Vacant",$E$30:$E$99,"Hold")</f>
        <v>0</v>
      </c>
      <c r="J10" s="1251">
        <f>$E10-COUNTIFS($F$30:$F$99,$B10,$E$30:$E$99,"Hold")</f>
        <v>6</v>
      </c>
      <c r="K10" s="1152" t="str">
        <f>IF(NOT(ISNUMBER($D10)),"No archetype - see 0.3",IF($J10&gt;$D10,"Over archetype after decisions",IF($J10&lt;$D10,"Under archetype","On archetype")))</f>
        <v>Under archetype</v>
      </c>
      <c r="L10" s="1252">
        <f>IFERROR(IF(INDEX('1.1 Ampol Retail'!$E$23:$E$68,MATCH($S10,'1.1 Ampol Retail'!$B$23:$B$68,0))="Offshore",INDEX('0.3 Squad Archetypes'!$H$5:$H$23,MATCH($C10&amp;"|"&amp;$R10,'0.3 Squad Archetypes'!$A$5:$A$23,0)),INDEX('0.3 Squad Archetypes'!$G$5:$G$23,MATCH($C10&amp;"|"&amp;$R10,'0.3 Squad Archetypes'!$A$5:$A$23,0))),"-")</f>
        <v>0.68</v>
      </c>
      <c r="M10" s="1252">
        <f>SUMIFS('REVIEW - Complete Role Mapping'!$AA$2:$AA$528,'REVIEW - Complete Role Mapping'!$AJ$2:$AJ$528,$C$3,'REVIEW - Complete Role Mapping'!$AT$2:$AT$528,$B10)/1000000</f>
        <v>1.21232375</v>
      </c>
      <c r="N10" s="1252">
        <f>IFERROR($M10-$L10,"-")</f>
        <v>0.53232375</v>
      </c>
      <c r="O10" s="1253">
        <f>(SUMIFS('REVIEW - Complete Role Mapping'!$AA$2:$AA$528,'REVIEW - Complete Role Mapping'!$AJ$2:$AJ$528,$C$3,'REVIEW - Complete Role Mapping'!$AT$2:$AT$528,$B10,'REVIEW - Complete Role Mapping'!$AK$2:$AK$528,"Filled")+SUMIFS($H$30:$H$99,$F$30:$F$99,$B10))/1000000</f>
        <v>1.21232375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1.21232375</v>
      </c>
      <c r="R10" t="str">
        <f>IFERROR(IF(INDEX('1.1 Ampol Retail'!$D$23:$D$68,MATCH($S10,'1.1 Ampol Retail'!$B$23:$B$68,0))="","-",INDEX('1.1 Ampol Retail'!$D$23:$D$68,MATCH($S10,'1.1 Ampol Retail'!$B$23:$B$68,0))),"-")</f>
        <v>M</v>
      </c>
      <c r="S10" t="str">
        <f>IFERROR(INDEX(Lists!$AA:$AA,MATCH($B10,Lists!$Z:$Z,0)),$B10)</f>
        <v>Data AU</v>
      </c>
    </row>
    <row r="11">
      <c r="A11" s="949" t="n"/>
      <c r="B11" s="640" t="inlineStr">
        <is>
          <t>EGI Retail</t>
        </is>
      </c>
      <c r="C11" s="635" t="str">
        <f>IFERROR(INDEX('1.1 Ampol Retail'!$C$23:$C$68,MATCH($S11,'1.1 Ampol Retail'!$B$23:$B$68,0)),"No archetype for this squad")</f>
        <v>Strategic Programs</v>
      </c>
      <c r="D11" s="1249" t="str">
        <f>IFERROR(INDEX('0.3 Squad Archetypes'!$F$5:$F$23,MATCH($C11&amp;"|"&amp;$R11,'0.3 Squad Archetypes'!$A$5:$A$23,0)),"-")</f>
        <v>-</v>
      </c>
      <c r="E11" s="1250">
        <f>COUNTIFS($F$30:$F$99,$B11)</f>
        <v>6</v>
      </c>
      <c r="F11" s="1250" t="str">
        <f>IFERROR($E11-$D11,"-")</f>
        <v>-</v>
      </c>
      <c r="G11" s="1250">
        <f>COUNTIFS($F$30:$F$99,$B11,$D$30:$D$99,"Vacant")</f>
        <v>0</v>
      </c>
      <c r="H11" s="1250">
        <f>COUNTIFS($F$30:$F$99,$B11,$D$30:$D$99,"Vacant",$E$30:$E$99,"Hire")+COUNTIFS($F$30:$F$99,$B11,$D$30:$D$99,"Vacant",$E$30:$E$99,"Offshore")</f>
        <v>0</v>
      </c>
      <c r="I11" s="1250">
        <f>COUNTIFS($F$30:$F$99,$B11,$D$30:$D$99,"Vacant",$E$30:$E$99,"Hold")</f>
        <v>0</v>
      </c>
      <c r="J11" s="1251">
        <f>$E11-COUNTIFS($F$30:$F$99,$B11,$E$30:$E$99,"Hold")</f>
        <v>6</v>
      </c>
      <c r="K11" s="1152" t="str">
        <f>IF(NOT(ISNUMBER($D11)),"No archetype - see 0.3",IF($J11&gt;$D11,"Over archetype after decisions",IF($J11&lt;$D11,"Under archetype","On archetype")))</f>
        <v>No archetype - see 0.3</v>
      </c>
      <c r="L11" s="1252" t="str">
        <f>IFERROR(IF(INDEX('1.1 Ampol Retail'!$E$23:$E$68,MATCH($S11,'1.1 Ampol Retail'!$B$23:$B$68,0))="Offshore",INDEX('0.3 Squad Archetypes'!$H$5:$H$23,MATCH($C11&amp;"|"&amp;$R11,'0.3 Squad Archetypes'!$A$5:$A$23,0)),INDEX('0.3 Squad Archetypes'!$G$5:$G$23,MATCH($C11&amp;"|"&amp;$R11,'0.3 Squad Archetypes'!$A$5:$A$23,0))),"-")</f>
        <v>-</v>
      </c>
      <c r="M11" s="1252">
        <f>SUMIFS('REVIEW - Complete Role Mapping'!$AA$2:$AA$528,'REVIEW - Complete Role Mapping'!$AJ$2:$AJ$528,$C$3,'REVIEW - Complete Role Mapping'!$AT$2:$AT$528,$B11)/1000000</f>
        <v>1.221357614</v>
      </c>
      <c r="N11" s="1252" t="str">
        <f>IFERROR($M11-$L11,"-")</f>
        <v>-</v>
      </c>
      <c r="O11" s="1253">
        <f>(SUMIFS('REVIEW - Complete Role Mapping'!$AA$2:$AA$528,'REVIEW - Complete Role Mapping'!$AJ$2:$AJ$528,$C$3,'REVIEW - Complete Role Mapping'!$AT$2:$AT$528,$B11,'REVIEW - Complete Role Mapping'!$AK$2:$AK$528,"Filled")+SUMIFS($H$30:$H$99,$F$30:$F$99,$B11))/1000000</f>
        <v>2.442715228</v>
      </c>
      <c r="P11" s="1254">
        <f>$O11-$M11</f>
        <v>1.221357614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IFERROR(IF(INDEX('1.1 Ampol Retail'!$D$23:$D$68,MATCH($S11,'1.1 Ampol Retail'!$B$23:$B$68,0))="","-",INDEX('1.1 Ampol Retail'!$D$23:$D$68,MATCH($S11,'1.1 Ampol Retail'!$B$23:$B$68,0))),"-")</f>
        <v>-</v>
      </c>
      <c r="S11" t="str">
        <f>IFERROR(INDEX(Lists!$AA:$AA,MATCH($B11,Lists!$Z:$Z,0)),$B11)</f>
        <v>EGI Retail</v>
      </c>
    </row>
    <row r="12">
      <c r="A12" s="949" t="n"/>
      <c r="B12" s="634" t="inlineStr">
        <is>
          <t>Network &amp; QSR</t>
        </is>
      </c>
      <c r="C12" s="635" t="str">
        <f>IFERROR(INDEX('1.1 Ampol Retail'!$C$23:$C$68,MATCH($S12,'1.1 Ampol Retail'!$B$23:$B$68,0)),"No archetype for this squad")</f>
        <v>Configuration / Integration</v>
      </c>
      <c r="D12" s="1249">
        <f>IFERROR(INDEX('0.3 Squad Archetypes'!$F$5:$F$23,MATCH($C12&amp;"|"&amp;$R12,'0.3 Squad Archetypes'!$A$5:$A$23,0)),"-")</f>
        <v>6</v>
      </c>
      <c r="E12" s="1250">
        <f>COUNTIFS($F$30:$F$99,$B12)</f>
        <v>6</v>
      </c>
      <c r="F12" s="1250">
        <f>IFERROR($E12-$D12,"-")</f>
        <v>0</v>
      </c>
      <c r="G12" s="1250">
        <f>COUNTIFS($F$30:$F$99,$B12,$D$30:$D$99,"Vacant")</f>
        <v>2</v>
      </c>
      <c r="H12" s="1250">
        <f>COUNTIFS($F$30:$F$99,$B12,$D$30:$D$99,"Vacant",$E$30:$E$99,"Hire")+COUNTIFS($F$30:$F$99,$B12,$D$30:$D$99,"Vacant",$E$30:$E$99,"Offshore")</f>
        <v>2</v>
      </c>
      <c r="I12" s="1250">
        <f>COUNTIFS($F$30:$F$99,$B12,$D$30:$D$99,"Vacant",$E$30:$E$99,"Hold")</f>
        <v>0</v>
      </c>
      <c r="J12" s="1251">
        <f>$E12-COUNTIFS($F$30:$F$99,$B12,$E$30:$E$99,"Hold")</f>
        <v>6</v>
      </c>
      <c r="K12" s="1152" t="str">
        <f>IF(NOT(ISNUMBER($D12)),"No archetype - see 0.3",IF($J12&gt;$D12,"Over archetype after decisions",IF($J12&lt;$D12,"Under archetype","On archetype")))</f>
        <v>On archetype</v>
      </c>
      <c r="L12" s="1252">
        <f>IFERROR(IF(INDEX('1.1 Ampol Retail'!$E$23:$E$68,MATCH($S12,'1.1 Ampol Retail'!$B$23:$B$68,0))="Offshore",INDEX('0.3 Squad Archetypes'!$H$5:$H$23,MATCH($C12&amp;"|"&amp;$R12,'0.3 Squad Archetypes'!$A$5:$A$23,0)),INDEX('0.3 Squad Archetypes'!$G$5:$G$23,MATCH($C12&amp;"|"&amp;$R12,'0.3 Squad Archetypes'!$A$5:$A$23,0))),"-")</f>
        <v>1.4</v>
      </c>
      <c r="M12" s="1252">
        <f>SUMIFS('REVIEW - Complete Role Mapping'!$AA$2:$AA$528,'REVIEW - Complete Role Mapping'!$AJ$2:$AJ$528,$C$3,'REVIEW - Complete Role Mapping'!$AT$2:$AT$528,$B12)/1000000</f>
        <v>1.1140311</v>
      </c>
      <c r="N12" s="1252">
        <f>IFERROR($M12-$L12,"-")</f>
        <v>-0.2859689</v>
      </c>
      <c r="O12" s="1253">
        <f>(SUMIFS('REVIEW - Complete Role Mapping'!$AA$2:$AA$528,'REVIEW - Complete Role Mapping'!$AJ$2:$AJ$528,$C$3,'REVIEW - Complete Role Mapping'!$AT$2:$AT$528,$B12,'REVIEW - Complete Role Mapping'!$AK$2:$AK$528,"Filled")+SUMIFS($H$30:$H$99,$F$30:$F$99,$B12))/1000000</f>
        <v>1.7935197</v>
      </c>
      <c r="P12" s="1254">
        <f>$O12-$M12</f>
        <v>0.6794886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0.4345425</v>
      </c>
      <c r="R12" t="str">
        <f>IFERROR(IF(INDEX('1.1 Ampol Retail'!$D$23:$D$68,MATCH($S12,'1.1 Ampol Retail'!$B$23:$B$68,0))="","-",INDEX('1.1 Ampol Retail'!$D$23:$D$68,MATCH($S12,'1.1 Ampol Retail'!$B$23:$B$68,0))),"-")</f>
        <v>S</v>
      </c>
      <c r="S12" t="str">
        <f>IFERROR(INDEX(Lists!$AA:$AA,MATCH($B12,Lists!$Z:$Z,0)),$B12)</f>
        <v>Network &amp; QSR</v>
      </c>
    </row>
    <row r="13">
      <c r="A13" s="949" t="n"/>
      <c r="B13" s="640" t="inlineStr">
        <is>
          <t>Deployment</t>
        </is>
      </c>
      <c r="C13" s="635" t="str">
        <f>IFERROR(INDEX('1.1 Ampol Retail'!$C$23:$C$68,MATCH($S13,'1.1 Ampol Retail'!$B$23:$B$68,0)),"No archetype for this squad")</f>
        <v>Operations</v>
      </c>
      <c r="D13" s="1249">
        <f>IFERROR(INDEX('0.3 Squad Archetypes'!$F$5:$F$23,MATCH($C13&amp;"|"&amp;$R13,'0.3 Squad Archetypes'!$A$5:$A$23,0)),"-")</f>
        <v>4</v>
      </c>
      <c r="E13" s="1250">
        <f>COUNTIFS($F$30:$F$99,$B13)</f>
        <v>5</v>
      </c>
      <c r="F13" s="1250">
        <f>IFERROR($E13-$D13,"-")</f>
        <v>1</v>
      </c>
      <c r="G13" s="1250">
        <f>COUNTIFS($F$30:$F$99,$B13,$D$30:$D$99,"Vacant")</f>
        <v>0</v>
      </c>
      <c r="H13" s="1250">
        <f>COUNTIFS($F$30:$F$99,$B13,$D$30:$D$99,"Vacant",$E$30:$E$99,"Hire")+COUNTIFS($F$30:$F$99,$B13,$D$30:$D$99,"Vacant",$E$30:$E$99,"Offshore")</f>
        <v>0</v>
      </c>
      <c r="I13" s="1250">
        <f>COUNTIFS($F$30:$F$99,$B13,$D$30:$D$99,"Vacant",$E$30:$E$99,"Hold")</f>
        <v>0</v>
      </c>
      <c r="J13" s="1251">
        <f>$E13-COUNTIFS($F$30:$F$99,$B13,$E$30:$E$99,"Hold")</f>
        <v>5</v>
      </c>
      <c r="K13" s="1152" t="str">
        <f>IF(NOT(ISNUMBER($D13)),"No archetype - see 0.3",IF($J13&gt;$D13,"Over archetype after decisions",IF($J13&lt;$D13,"Under archetype","On archetype")))</f>
        <v>Over archetype after decisions</v>
      </c>
      <c r="L13" s="1252">
        <f>IFERROR(IF(INDEX('1.1 Ampol Retail'!$E$23:$E$68,MATCH($S13,'1.1 Ampol Retail'!$B$23:$B$68,0))="Offshore",INDEX('0.3 Squad Archetypes'!$H$5:$H$23,MATCH($C13&amp;"|"&amp;$R13,'0.3 Squad Archetypes'!$A$5:$A$23,0)),INDEX('0.3 Squad Archetypes'!$G$5:$G$23,MATCH($C13&amp;"|"&amp;$R13,'0.3 Squad Archetypes'!$A$5:$A$23,0))),"-")</f>
        <v>0.8</v>
      </c>
      <c r="M13" s="1252">
        <f>SUMIFS('REVIEW - Complete Role Mapping'!$AA$2:$AA$528,'REVIEW - Complete Role Mapping'!$AJ$2:$AJ$528,$C$3,'REVIEW - Complete Role Mapping'!$AT$2:$AT$528,$B13)/1000000</f>
        <v>0.893835732</v>
      </c>
      <c r="N13" s="1252">
        <f>IFERROR($M13-$L13,"-")</f>
        <v>0.093835732</v>
      </c>
      <c r="O13" s="1253">
        <f>(SUMIFS('REVIEW - Complete Role Mapping'!$AA$2:$AA$528,'REVIEW - Complete Role Mapping'!$AJ$2:$AJ$528,$C$3,'REVIEW - Complete Role Mapping'!$AT$2:$AT$528,$B13,'REVIEW - Complete Role Mapping'!$AK$2:$AK$528,"Filled")+SUMIFS($H$30:$H$99,$F$30:$F$99,$B13))/1000000</f>
        <v>1.787671464</v>
      </c>
      <c r="P13" s="1254">
        <f>$O13-$M13</f>
        <v>0.893835732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IFERROR(IF(INDEX('1.1 Ampol Retail'!$D$23:$D$68,MATCH($S13,'1.1 Ampol Retail'!$B$23:$B$68,0))="","-",INDEX('1.1 Ampol Retail'!$D$23:$D$68,MATCH($S13,'1.1 Ampol Retail'!$B$23:$B$68,0))),"-")</f>
        <v>S</v>
      </c>
      <c r="S13" t="str">
        <f>IFERROR(INDEX(Lists!$AA:$AA,MATCH($B13,Lists!$Z:$Z,0)),$B13)</f>
        <v>Deployment</v>
      </c>
    </row>
    <row r="14">
      <c r="A14" s="949" t="n"/>
      <c r="B14" s="634" t="inlineStr">
        <is>
          <t>Payments</t>
        </is>
      </c>
      <c r="C14" s="635" t="str">
        <f>IFERROR(INDEX('1.1 Ampol Retail'!$C$23:$C$68,MATCH($S14,'1.1 Ampol Retail'!$B$23:$B$68,0)),"No archetype for this squad")</f>
        <v>Configuration / Integration</v>
      </c>
      <c r="D14" s="1249">
        <f>IFERROR(INDEX('0.3 Squad Archetypes'!$F$5:$F$23,MATCH($C14&amp;"|"&amp;$R14,'0.3 Squad Archetypes'!$A$5:$A$23,0)),"-")</f>
        <v>6</v>
      </c>
      <c r="E14" s="1250">
        <f>COUNTIFS($F$30:$F$99,$B14)</f>
        <v>4</v>
      </c>
      <c r="F14" s="1250">
        <f>IFERROR($E14-$D14,"-")</f>
        <v>-2</v>
      </c>
      <c r="G14" s="1250">
        <f>COUNTIFS($F$30:$F$99,$B14,$D$30:$D$99,"Vacant")</f>
        <v>1</v>
      </c>
      <c r="H14" s="1250">
        <f>COUNTIFS($F$30:$F$99,$B14,$D$30:$D$99,"Vacant",$E$30:$E$99,"Hire")+COUNTIFS($F$30:$F$99,$B14,$D$30:$D$99,"Vacant",$E$30:$E$99,"Offshore")</f>
        <v>1</v>
      </c>
      <c r="I14" s="1250">
        <f>COUNTIFS($F$30:$F$99,$B14,$D$30:$D$99,"Vacant",$E$30:$E$99,"Hold")</f>
        <v>0</v>
      </c>
      <c r="J14" s="1251">
        <f>$E14-COUNTIFS($F$30:$F$99,$B14,$E$30:$E$99,"Hold")</f>
        <v>4</v>
      </c>
      <c r="K14" s="1152" t="str">
        <f>IF(NOT(ISNUMBER($D14)),"No archetype - see 0.3",IF($J14&gt;$D14,"Over archetype after decisions",IF($J14&lt;$D14,"Under archetype","On archetype")))</f>
        <v>Under archetype</v>
      </c>
      <c r="L14" s="1252">
        <f>IFERROR(IF(INDEX('1.1 Ampol Retail'!$E$23:$E$68,MATCH($S14,'1.1 Ampol Retail'!$B$23:$B$68,0))="Offshore",INDEX('0.3 Squad Archetypes'!$H$5:$H$23,MATCH($C14&amp;"|"&amp;$R14,'0.3 Squad Archetypes'!$A$5:$A$23,0)),INDEX('0.3 Squad Archetypes'!$G$5:$G$23,MATCH($C14&amp;"|"&amp;$R14,'0.3 Squad Archetypes'!$A$5:$A$23,0))),"-")</f>
        <v>1.4</v>
      </c>
      <c r="M14" s="1252">
        <f>SUMIFS('REVIEW - Complete Role Mapping'!$AA$2:$AA$528,'REVIEW - Complete Role Mapping'!$AJ$2:$AJ$528,$C$3,'REVIEW - Complete Role Mapping'!$AT$2:$AT$528,$B14)/1000000</f>
        <v>0.789428585</v>
      </c>
      <c r="N14" s="1252">
        <f>IFERROR($M14-$L14,"-")</f>
        <v>-0.610571415</v>
      </c>
      <c r="O14" s="1253">
        <f>(SUMIFS('REVIEW - Complete Role Mapping'!$AA$2:$AA$528,'REVIEW - Complete Role Mapping'!$AJ$2:$AJ$528,$C$3,'REVIEW - Complete Role Mapping'!$AT$2:$AT$528,$B14,'REVIEW - Complete Role Mapping'!$AK$2:$AK$528,"Filled")+SUMIFS($H$30:$H$99,$F$30:$F$99,$B14))/1000000</f>
        <v>1.408355585</v>
      </c>
      <c r="P14" s="1254">
        <f>$O14-$M14</f>
        <v>0.618927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0.170501585</v>
      </c>
      <c r="R14" t="str">
        <f>IFERROR(IF(INDEX('1.1 Ampol Retail'!$D$23:$D$68,MATCH($S14,'1.1 Ampol Retail'!$B$23:$B$68,0))="","-",INDEX('1.1 Ampol Retail'!$D$23:$D$68,MATCH($S14,'1.1 Ampol Retail'!$B$23:$B$68,0))),"-")</f>
        <v>S</v>
      </c>
      <c r="S14" t="str">
        <f>IFERROR(INDEX(Lists!$AA:$AA,MATCH($B14,Lists!$Z:$Z,0)),$B14)</f>
        <v>Payments</v>
      </c>
    </row>
    <row r="15">
      <c r="A15" s="949" t="n"/>
      <c r="B15" s="640" t="inlineStr">
        <is>
          <t>EGI TDD</t>
        </is>
      </c>
      <c r="C15" s="635" t="str">
        <f>IFERROR(INDEX('1.1 Ampol Retail'!$C$23:$C$68,MATCH($S15,'1.1 Ampol Retail'!$B$23:$B$68,0)),"No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COUNTIFS($F$30:$F$99,$B15)</f>
        <v>1</v>
      </c>
      <c r="F15" s="1250" t="str">
        <f>IFERROR($E15-$D15,"-")</f>
        <v>-</v>
      </c>
      <c r="G15" s="1250">
        <f>COUNTIFS($F$30:$F$99,$B15,$D$30:$D$99,"Vacant")</f>
        <v>0</v>
      </c>
      <c r="H15" s="1250">
        <f>COUNTIFS($F$30:$F$99,$B15,$D$30:$D$99,"Vacant",$E$30:$E$99,"Hire")+COUNTIFS($F$30:$F$99,$B15,$D$30:$D$99,"Vacant",$E$30:$E$99,"Offshore")</f>
        <v>0</v>
      </c>
      <c r="I15" s="1250">
        <f>COUNTIFS($F$30:$F$99,$B15,$D$30:$D$99,"Vacant",$E$30:$E$99,"Hold")</f>
        <v>0</v>
      </c>
      <c r="J15" s="1251">
        <f>$E15-COUNTIFS($F$30:$F$99,$B15,$E$30:$E$99,"Hold")</f>
        <v>1</v>
      </c>
      <c r="K15" s="1152" t="str">
        <f>IF(NOT(ISNUMBER($D15)),"No archetype - see 0.3",IF($J15&gt;$D15,"Over archetype after decisions",IF($J15&lt;$D15,"Under archetype","On archetype")))</f>
        <v>No archetype - see 0.3</v>
      </c>
      <c r="L15" s="1252" t="str">
        <f>IFERROR(IF(INDEX('1.1 Ampol Retail'!$E$23:$E$68,MATCH($S15,'1.1 Ampol Retail'!$B$23:$B$68,0))="Offshore",INDEX('0.3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0.2997</v>
      </c>
      <c r="N15" s="1252" t="str">
        <f>IFERROR($M15-$L15,"-")</f>
        <v>-</v>
      </c>
      <c r="O15" s="1253">
        <f>(SUMIFS('REVIEW - Complete Role Mapping'!$AA$2:$AA$528,'REVIEW - Complete Role Mapping'!$AJ$2:$AJ$528,$C$3,'REVIEW - Complete Role Mapping'!$AT$2:$AT$528,$B15,'REVIEW - Complete Role Mapping'!$AK$2:$AK$528,"Filled")+SUMIFS($H$30:$H$99,$F$30:$F$99,$B15))/1000000</f>
        <v>0.5994</v>
      </c>
      <c r="P15" s="1254">
        <f>$O15-$M15</f>
        <v>0.2997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t="str">
        <f>IFERROR(IF(INDEX('1.1 Ampol Retail'!$D$23:$D$68,MATCH($S15,'1.1 Ampol Retail'!$B$23:$B$68,0))="","-",INDEX('1.1 Ampol Retail'!$D$23:$D$68,MATCH($S15,'1.1 Ampol Retail'!$B$23:$B$68,0))),"-")</f>
        <v>-</v>
      </c>
      <c r="S15" t="str">
        <f>IFERROR(INDEX(Lists!$AA:$AA,MATCH($B15,Lists!$Z:$Z,0)),$B15)</f>
        <v>EGI TDD</v>
      </c>
    </row>
    <row r="16">
      <c r="A16" s="949" t="n"/>
      <c r="B16" s="1212" t="inlineStr">
        <is>
          <t>Delivery squads</t>
        </is>
      </c>
      <c r="C16" s="635" t="n"/>
      <c r="D16" s="1249">
        <f>SUMIF($D$6:$D$15,"&gt;=0")</f>
        <v>47.5</v>
      </c>
      <c r="E16" s="1250">
        <f>SUM(E6:E15)</f>
        <v>65</v>
      </c>
      <c r="F16" s="1250">
        <f>SUMPRODUCT(--ISNUMBER($D$6:$D$15),$E$6:$E$15)-SUMIF($D$6:$D$15,"&gt;=0")</f>
        <v>0.5</v>
      </c>
      <c r="G16" s="1250">
        <f>SUM(G6:G15)</f>
        <v>22</v>
      </c>
      <c r="H16" s="1250">
        <f>SUM(H6:H15)</f>
        <v>22</v>
      </c>
      <c r="I16" s="1250">
        <f>SUM(I6:I15)</f>
        <v>0</v>
      </c>
      <c r="J16" s="1251">
        <f>SUM(J6:J15)</f>
        <v>65</v>
      </c>
      <c r="K16" s="1152" t="n"/>
      <c r="L16" s="1252">
        <f>SUMIF($L$6:$L$15,"&gt;=0")</f>
        <v>9.88</v>
      </c>
      <c r="M16" s="1252">
        <f>SUM(M6:M15)</f>
        <v>12.749611494</v>
      </c>
      <c r="N16" s="1252">
        <f>SUMPRODUCT(--ISNUMBER($L$6:$L$15),$M$6:$M$15)-SUMIF($L$6:$L$15,"&gt;=0")</f>
        <v>-0.766475838000002</v>
      </c>
      <c r="O16" s="1253">
        <f>SUM(O6:O15)</f>
        <v>21.189700298</v>
      </c>
      <c r="P16" s="1254">
        <f>SUM(P6:P15)</f>
        <v>8.440088804</v>
      </c>
      <c r="Q16" s="1254">
        <f>SUM(Q6:Q15)</f>
        <v>4.30952269</v>
      </c>
    </row>
    <row r="17">
      <c r="A17" s="949" t="n"/>
      <c r="B17" s="1312" t="inlineStr">
        <is>
          <t>Overhead roles inside this portfolio - compared to the allowance</t>
        </is>
      </c>
      <c r="C17" s="641" t="n"/>
      <c r="D17" s="1255" t="n"/>
      <c r="E17" s="1255" t="n"/>
      <c r="F17" s="1255" t="n"/>
      <c r="G17" s="1255" t="n"/>
      <c r="H17" s="1255" t="n"/>
      <c r="I17" s="1255" t="n"/>
      <c r="J17" s="1256" t="n"/>
      <c r="K17" s="1155" t="n"/>
      <c r="L17" s="1257" t="n"/>
      <c r="M17" s="1257" t="n"/>
      <c r="N17" s="1257" t="n"/>
      <c r="O17" s="1258" t="n"/>
      <c r="P17" s="1254" t="n"/>
      <c r="Q17" s="1254" t="n"/>
    </row>
    <row r="18">
      <c r="A18" s="949" t="n"/>
      <c r="B18" s="504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COUNTIFS($F$30:$F$99,$B18)</f>
        <v>1</v>
      </c>
      <c r="F18" s="1261" t="str">
        <f>"-"</f>
        <v>-</v>
      </c>
      <c r="G18" s="1261">
        <f>COUNTIFS($F$30:$F$99,$B18,$D$30:$D$99,"Vacant")</f>
        <v>0</v>
      </c>
      <c r="H18" s="1261">
        <f>COUNTIFS($F$30:$F$99,$B18,$D$30:$D$99,"Vacant",$E$30:$E$99,"Hire")+COUNTIFS($F$30:$F$99,$B18,$D$30:$D$99,"Vacant",$E$30:$E$99,"Offshore")</f>
        <v>0</v>
      </c>
      <c r="I18" s="1261">
        <f>COUNTIFS($F$30:$F$99,$B18,$D$30:$D$99,"Vacant",$E$30:$E$99,"Hold")</f>
        <v>0</v>
      </c>
      <c r="J18" s="1261">
        <f>$E18-COUNTIFS($F$30:$F$99,$B18,$E$30:$E$99,"Hold")</f>
        <v>1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0.18603225</v>
      </c>
      <c r="N18" s="1263" t="str">
        <f>"-"</f>
        <v>-</v>
      </c>
      <c r="O18" s="1263">
        <f>(SUMIFS('REVIEW - Complete Role Mapping'!$AA$2:$AA$528,'REVIEW - Complete Role Mapping'!$AJ$2:$AJ$528,$C$3,'REVIEW - Complete Role Mapping'!$AT$2:$AT$528,$B18,'REVIEW - Complete Role Mapping'!$AK$2:$AK$528,"Filled")+SUMIFS($H$30:$H$99,$F$30:$F$99,$B18))/1000000</f>
        <v>0.3720645</v>
      </c>
      <c r="P18" s="1254">
        <f>$O18-$M18</f>
        <v>0.18603225</v>
      </c>
      <c r="Q18" s="1254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t="str">
        <f>"-"</f>
        <v>-</v>
      </c>
    </row>
    <row r="19">
      <c r="A19" s="949" t="n"/>
      <c r="B19" s="1298" t="inlineStr">
        <is>
          <t>Delivery Manager</t>
        </is>
      </c>
      <c r="C19" s="949" t="str">
        <f>"Overhead - see 3.2"</f>
        <v>Overhead - see 3.2</v>
      </c>
      <c r="D19" s="1261" t="str">
        <f>"-"</f>
        <v>-</v>
      </c>
      <c r="E19" s="1262">
        <f>COUNTIFS($F$30:$F$99,$B19)</f>
        <v>1</v>
      </c>
      <c r="F19" s="1261" t="str">
        <f>"-"</f>
        <v>-</v>
      </c>
      <c r="G19" s="1261">
        <f>COUNTIFS($F$30:$F$99,$B19,$D$30:$D$99,"Vacant")</f>
        <v>0</v>
      </c>
      <c r="H19" s="1261">
        <f>COUNTIFS($F$30:$F$99,$B19,$D$30:$D$99,"Vacant",$E$30:$E$99,"Hire")+COUNTIFS($F$30:$F$99,$B19,$D$30:$D$99,"Vacant",$E$30:$E$99,"Offshore")</f>
        <v>0</v>
      </c>
      <c r="I19" s="1261">
        <f>COUNTIFS($F$30:$F$99,$B19,$D$30:$D$99,"Vacant",$E$30:$E$99,"Hold")</f>
        <v>0</v>
      </c>
      <c r="J19" s="1261">
        <f>$E19-COUNTIFS($F$30:$F$99,$B19,$E$30:$E$99,"Hold")</f>
        <v>1</v>
      </c>
      <c r="K19" s="949" t="str">
        <f>"Overhead"</f>
        <v>Overhead</v>
      </c>
      <c r="L19" s="1263" t="str">
        <f>"-"</f>
        <v>-</v>
      </c>
      <c r="M19" s="1263">
        <f>SUMIFS('REVIEW - Complete Role Mapping'!$AA$2:$AA$528,'REVIEW - Complete Role Mapping'!$AJ$2:$AJ$528,$C$3,'REVIEW - Complete Role Mapping'!$AT$2:$AT$528,$B19)/1000000</f>
        <v>0.30293735</v>
      </c>
      <c r="N19" s="1263" t="str">
        <f>"-"</f>
        <v>-</v>
      </c>
      <c r="O19" s="1263">
        <f>(SUMIFS('REVIEW - Complete Role Mapping'!$AA$2:$AA$528,'REVIEW - Complete Role Mapping'!$AJ$2:$AJ$528,$C$3,'REVIEW - Complete Role Mapping'!$AT$2:$AT$528,$B19,'REVIEW - Complete Role Mapping'!$AK$2:$AK$528,"Filled")+SUMIFS($H$30:$H$99,$F$30:$F$99,$B19))/1000000</f>
        <v>0.6058747</v>
      </c>
      <c r="P19" s="1254">
        <f>$O19-$M19</f>
        <v>0.30293735</v>
      </c>
      <c r="Q19" s="1254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t="str">
        <f>"-"</f>
        <v>-</v>
      </c>
    </row>
    <row r="20">
      <c r="A20" s="949" t="n"/>
      <c r="B20" s="1298" t="inlineStr">
        <is>
          <t>Technology Manager</t>
        </is>
      </c>
      <c r="C20" s="949" t="str">
        <f>"Overhead - see 3.2"</f>
        <v>Overhead - see 3.2</v>
      </c>
      <c r="D20" s="1261" t="str">
        <f>"-"</f>
        <v>-</v>
      </c>
      <c r="E20" s="1261">
        <f>COUNTIFS($F$30:$F$99,$B20)</f>
        <v>3</v>
      </c>
      <c r="F20" s="1261" t="str">
        <f>"-"</f>
        <v>-</v>
      </c>
      <c r="G20" s="1261">
        <f>COUNTIFS($F$30:$F$99,$B20,$D$30:$D$99,"Vacant")</f>
        <v>0</v>
      </c>
      <c r="H20" s="1261">
        <f>COUNTIFS($F$30:$F$99,$B20,$D$30:$D$99,"Vacant",$E$30:$E$99,"Hire")+COUNTIFS($F$30:$F$99,$B20,$D$30:$D$99,"Vacant",$E$30:$E$99,"Offshore")</f>
        <v>0</v>
      </c>
      <c r="I20" s="1261">
        <f>COUNTIFS($F$30:$F$99,$B20,$D$30:$D$99,"Vacant",$E$30:$E$99,"Hold")</f>
        <v>0</v>
      </c>
      <c r="J20" s="1261">
        <f>$E20-COUNTIFS($F$30:$F$99,$B20,$E$30:$E$99,"Hold")</f>
        <v>3</v>
      </c>
      <c r="K20" s="949" t="str">
        <f>"Overhead"</f>
        <v>Overhead</v>
      </c>
      <c r="L20" s="1263" t="str">
        <f>"-"</f>
        <v>-</v>
      </c>
      <c r="M20" s="1263">
        <f>SUMIFS('REVIEW - Complete Role Mapping'!$AA$2:$AA$528,'REVIEW - Complete Role Mapping'!$AJ$2:$AJ$528,$C$3,'REVIEW - Complete Role Mapping'!$AT$2:$AT$528,$B20)/1000000</f>
        <v>0.766646363</v>
      </c>
      <c r="N20" s="1263" t="str">
        <f>"-"</f>
        <v>-</v>
      </c>
      <c r="O20" s="1263">
        <f>(SUMIFS('REVIEW - Complete Role Mapping'!$AA$2:$AA$528,'REVIEW - Complete Role Mapping'!$AJ$2:$AJ$528,$C$3,'REVIEW - Complete Role Mapping'!$AT$2:$AT$528,$B20,'REVIEW - Complete Role Mapping'!$AK$2:$AK$528,"Filled")+SUMIFS($H$30:$H$99,$F$30:$F$99,$B20))/1000000</f>
        <v>1.533292726</v>
      </c>
      <c r="P20" s="1254">
        <f>$O20-$M20</f>
        <v>0.766646363</v>
      </c>
      <c r="Q20" s="1254">
        <f>SUMIFS('REVIEW - Complete Role Mapping'!$AA$2:$AA$528,'REVIEW - Complete Role Mapping'!$AJ$2:$AJ$528,$C$3,'REVIEW - Complete Role Mapping'!$AT$2:$AT$528,$B20,'REVIEW - Complete Role Mapping'!$AK$2:$AK$528,"Vacant")/1000000</f>
        <v>0</v>
      </c>
      <c r="R20" t="str">
        <f>"-"</f>
        <v>-</v>
      </c>
    </row>
    <row r="21">
      <c r="A21" s="949" t="n"/>
      <c r="B21" s="1226" t="inlineStr">
        <is>
          <t>Overhead roles</t>
        </is>
      </c>
      <c r="C21" s="432" t="n"/>
      <c r="D21" s="1279" t="n"/>
      <c r="E21" s="1279">
        <f>SUM(E18:E20)</f>
        <v>5</v>
      </c>
      <c r="F21" s="1279" t="n"/>
      <c r="G21" s="1280">
        <f>SUM(G18:G20)</f>
        <v>0</v>
      </c>
      <c r="H21" s="1280">
        <f>SUM(H18:H20)</f>
        <v>0</v>
      </c>
      <c r="I21" s="1280">
        <f>SUM(I18:I20)</f>
        <v>0</v>
      </c>
      <c r="J21" s="1280">
        <f>SUM(J18:J20)</f>
        <v>5</v>
      </c>
      <c r="K21" s="949" t="n"/>
      <c r="L21" s="1263" t="n"/>
      <c r="M21" s="1263">
        <f>SUM(M18:M20)</f>
        <v>1.255615963</v>
      </c>
      <c r="N21" s="1263" t="n"/>
      <c r="O21" s="1263">
        <f>SUM(O18:O20)</f>
        <v>2.511231926</v>
      </c>
      <c r="P21" s="1254">
        <f>SUM(P18:P20)</f>
        <v>1.255615963</v>
      </c>
      <c r="Q21" s="1254">
        <f>SUM(Q18:Q20)</f>
        <v>0</v>
      </c>
    </row>
    <row r="22">
      <c r="A22" s="949" t="n"/>
      <c r="B22" s="504" t="n"/>
      <c r="C22" s="442" t="n"/>
      <c r="D22" s="1281" t="n"/>
      <c r="E22" s="1262" t="n"/>
      <c r="F22" s="1281" t="n"/>
      <c r="G22" s="1281" t="n"/>
      <c r="H22" s="1281" t="n"/>
      <c r="I22" s="1281" t="n"/>
      <c r="J22" s="1281" t="n"/>
      <c r="K22" s="442" t="n"/>
      <c r="L22" s="1282" t="n"/>
      <c r="M22" s="1282" t="n"/>
      <c r="N22" s="1282" t="n"/>
      <c r="O22" s="1263" t="n"/>
      <c r="P22" s="1254" t="n"/>
      <c r="Q22" s="1254" t="n"/>
    </row>
    <row r="23">
      <c r="A23" s="949" t="n"/>
      <c r="B23" s="1226" t="inlineStr">
        <is>
          <t>Total portfolio</t>
        </is>
      </c>
      <c r="C23" s="442" t="n"/>
      <c r="D23" s="1281">
        <f>$D16</f>
        <v>47.5</v>
      </c>
      <c r="E23" s="1262">
        <f>$E16+$E21</f>
        <v>70</v>
      </c>
      <c r="F23" s="1281">
        <f>IFERROR($E16-$D16,"-")</f>
        <v>17.5</v>
      </c>
      <c r="G23" s="1281">
        <f>$G16+$G21</f>
        <v>22</v>
      </c>
      <c r="H23" s="1281">
        <f>$H16+$H21</f>
        <v>22</v>
      </c>
      <c r="I23" s="1281">
        <f>$I16+$I21</f>
        <v>0</v>
      </c>
      <c r="J23" s="1281">
        <f>$J16+$J21</f>
        <v>70</v>
      </c>
      <c r="K23" s="442" t="n"/>
      <c r="L23" s="1282">
        <f>$L16</f>
        <v>9.88</v>
      </c>
      <c r="M23" s="1282">
        <f>$M16+$M21</f>
        <v>14.005227457</v>
      </c>
      <c r="N23" s="1282">
        <f>IFERROR($M16-$L16,"-")</f>
        <v>2.869611494</v>
      </c>
      <c r="O23" s="1263">
        <f>$O16+$O21</f>
        <v>23.700932224</v>
      </c>
      <c r="P23" s="1254">
        <f>$P16+$P21</f>
        <v>9.695704767</v>
      </c>
      <c r="Q23" s="1254">
        <f>$Q16+$Q21</f>
        <v>4.30952269</v>
      </c>
    </row>
    <row r="24" ht="15.65" customHeight="1">
      <c r="A24" s="949" t="n"/>
      <c r="B24" s="1313" t="inlineStr">
        <is>
          <t>Archetype columns D, F, L and N cover the delivery squads only - overhead is not priced by a squad archetype.</t>
        </is>
      </c>
      <c r="C24" s="1259" t="n"/>
      <c r="D24" s="1259" t="n"/>
      <c r="E24" s="1259" t="n"/>
      <c r="F24" s="1259" t="n"/>
      <c r="G24" s="1259" t="n"/>
      <c r="H24" s="1259" t="n"/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1314" t="inlineStr">
        <is>
          <t>Control - roles vs the ledger, must be 0</t>
        </is>
      </c>
      <c r="C25" s="533" t="n"/>
      <c r="D25" s="533" t="n"/>
      <c r="E25" s="533">
        <f>COUNTIFS('REVIEW - Complete Role Mapping'!$AJ$2:$AJ$528,$C$3)-$E23</f>
        <v>0</v>
      </c>
      <c r="F25" s="533" t="n"/>
      <c r="G25" s="627" t="n"/>
      <c r="H25" s="627" t="n"/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1315" t="inlineStr">
        <is>
          <t>Control - cost vs the ledger ($m), must be 0</t>
        </is>
      </c>
      <c r="C26" s="646" t="n"/>
      <c r="D26" s="646" t="n"/>
      <c r="E26" s="646" t="n"/>
      <c r="F26" s="646" t="n"/>
      <c r="G26" s="627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</row>
    <row r="27">
      <c r="A27" s="949" t="n"/>
      <c r="B27" s="634" t="n"/>
      <c r="C27" s="634" t="n"/>
      <c r="D27" s="612" t="n"/>
      <c r="E27" s="612" t="n"/>
      <c r="F27" s="634" t="n"/>
      <c r="G27" s="627" t="n"/>
      <c r="H27" s="627" t="n"/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1316" t="inlineStr">
        <is>
          <t>Ampol Retail FTE</t>
        </is>
      </c>
      <c r="C28" s="634" t="n"/>
      <c r="D28" s="612" t="n"/>
      <c r="E28" s="612" t="n"/>
      <c r="F28" s="634" t="n"/>
      <c r="G28" s="627" t="n"/>
      <c r="H28" s="627" t="n"/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64" t="inlineStr">
        <is>
          <t>Squad or overhead line</t>
        </is>
      </c>
      <c r="G29" s="1285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Mapping'!$B:$B,36)</f>
        <v>Joseph Maroun</v>
      </c>
      <c r="C30" s="634" t="str">
        <f>INDEX('REVIEW - Complete Role Mapping'!$C:$C,36)</f>
        <v>Systems Analyst</v>
      </c>
      <c r="D30" s="612" t="str">
        <f>INDEX('REVIEW - Complete Role Mapping'!$AK:$AK,36)</f>
        <v>Filled</v>
      </c>
      <c r="E30" s="612" t="inlineStr">
        <is>
          <t>Filled</t>
        </is>
      </c>
      <c r="F30" s="634" t="str">
        <f>INDEX('REVIEW - Complete Role Mapping'!$AT:$AT,36)</f>
        <v>Above Store</v>
      </c>
      <c r="G30" s="627">
        <f>INDEX('REVIEW - Complete Role Mapping'!$AA:$AA,36)</f>
        <v>176565.05</v>
      </c>
      <c r="H30" s="627">
        <f>$G30*IFERROR(INDEX(Lists!$AD:$AD,MATCH($E30,Lists!$AC:$AC,0)),1)</f>
        <v>176565.05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Mapping'!$B:$B,43)</f>
        <v>Majdi Abedi</v>
      </c>
      <c r="C31" s="634" t="str">
        <f>INDEX('REVIEW - Complete Role Mapping'!$C:$C,43)</f>
        <v>Systems Analyst</v>
      </c>
      <c r="D31" s="612" t="str">
        <f>INDEX('REVIEW - Complete Role Mapping'!$AK:$AK,43)</f>
        <v>Filled</v>
      </c>
      <c r="E31" s="647" t="inlineStr">
        <is>
          <t>Filled</t>
        </is>
      </c>
      <c r="F31" s="648" t="str">
        <f>INDEX('REVIEW - Complete Role Mapping'!$AT:$AT,43)</f>
        <v>Above Store</v>
      </c>
      <c r="G31" s="627">
        <f>INDEX('REVIEW - Complete Role Mapping'!$AA:$AA,43)</f>
        <v>134367.972</v>
      </c>
      <c r="H31" s="627">
        <f>$G31*IFERROR(INDEX(Lists!$AD:$AD,MATCH($E31,Lists!$AC:$AC,0)),1)</f>
        <v>134367.972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Mapping'!$B:$B,53)</f>
        <v>Pahul Oberoi</v>
      </c>
      <c r="C32" s="634" t="str">
        <f>INDEX('REVIEW - Complete Role Mapping'!$C:$C,53)</f>
        <v>Systems Analyst</v>
      </c>
      <c r="D32" s="612" t="str">
        <f>INDEX('REVIEW - Complete Role Mapping'!$AK:$AK,53)</f>
        <v>Filled</v>
      </c>
      <c r="E32" s="647" t="inlineStr">
        <is>
          <t>Filled</t>
        </is>
      </c>
      <c r="F32" s="648" t="str">
        <f>INDEX('REVIEW - Complete Role Mapping'!$AT:$AT,53)</f>
        <v>Above Store</v>
      </c>
      <c r="G32" s="627">
        <f>INDEX('REVIEW - Complete Role Mapping'!$AA:$AA,53)</f>
        <v>162060.6</v>
      </c>
      <c r="H32" s="627">
        <f>$G32*IFERROR(INDEX(Lists!$AD:$AD,MATCH($E32,Lists!$AC:$AC,0)),1)</f>
        <v>162060.6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Mapping'!$B:$B,58)</f>
        <v>Sao Keawprasit</v>
      </c>
      <c r="C33" s="634" t="str">
        <f>INDEX('REVIEW - Complete Role Mapping'!$C:$C,58)</f>
        <v>Systems Analyst</v>
      </c>
      <c r="D33" s="612" t="str">
        <f>INDEX('REVIEW - Complete Role Mapping'!$AK:$AK,58)</f>
        <v>Filled</v>
      </c>
      <c r="E33" s="612" t="inlineStr">
        <is>
          <t>Filled</t>
        </is>
      </c>
      <c r="F33" s="634" t="str">
        <f>INDEX('REVIEW - Complete Role Mapping'!$AT:$AT,58)</f>
        <v>Above Store</v>
      </c>
      <c r="G33" s="627">
        <f>INDEX('REVIEW - Complete Role Mapping'!$AA:$AA,58)</f>
        <v>203213.7</v>
      </c>
      <c r="H33" s="627">
        <f>$G33*IFERROR(INDEX(Lists!$AD:$AD,MATCH($E33,Lists!$AC:$AC,0)),1)</f>
        <v>203213.7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Mapping'!$B:$B,102)</f>
        <v>Vijay Patel</v>
      </c>
      <c r="C34" s="646" t="str">
        <f>INDEX('REVIEW - Complete Role Mapping'!$C:$C,102)</f>
        <v>Systems Analyst</v>
      </c>
      <c r="D34" s="646" t="str">
        <f>INDEX('REVIEW - Complete Role Mapping'!$AK:$AK,102)</f>
        <v>Filled</v>
      </c>
      <c r="E34" s="646" t="inlineStr">
        <is>
          <t>Filled</t>
        </is>
      </c>
      <c r="F34" s="646" t="str">
        <f>INDEX('REVIEW - Complete Role Mapping'!$AT:$AT,102)</f>
        <v>Above Store</v>
      </c>
      <c r="G34" s="627">
        <f>INDEX('REVIEW - Complete Role Mapping'!$AA:$AA,102)</f>
        <v>193575</v>
      </c>
      <c r="H34" s="627">
        <f>$G34*IFERROR(INDEX(Lists!$AD:$AD,MATCH($E34,Lists!$AC:$AC,0)),1)</f>
        <v>193575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Mapping'!$B:$B,106)</f>
        <v>Zhan Zhang</v>
      </c>
      <c r="C35" s="634" t="str">
        <f>INDEX('REVIEW - Complete Role Mapping'!$C:$C,106)</f>
        <v>Solution Architect</v>
      </c>
      <c r="D35" s="612" t="str">
        <f>INDEX('REVIEW - Complete Role Mapping'!$AK:$AK,106)</f>
        <v>Filled</v>
      </c>
      <c r="E35" s="612" t="inlineStr">
        <is>
          <t>Filled</t>
        </is>
      </c>
      <c r="F35" s="634" t="str">
        <f>INDEX('REVIEW - Complete Role Mapping'!$AT:$AT,106)</f>
        <v>Above Store</v>
      </c>
      <c r="G35" s="627">
        <f>INDEX('REVIEW - Complete Role Mapping'!$AA:$AA,106)</f>
        <v>243637.5</v>
      </c>
      <c r="H35" s="627">
        <f>$G35*IFERROR(INDEX(Lists!$AD:$AD,MATCH($E35,Lists!$AC:$AC,0)),1)</f>
        <v>243637.5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Mapping'!$B:$B,107)</f>
        <v>Zuan Zheng</v>
      </c>
      <c r="C36" s="634" t="str">
        <f>INDEX('REVIEW - Complete Role Mapping'!$C:$C,107)</f>
        <v>Systems Analyst</v>
      </c>
      <c r="D36" s="612" t="str">
        <f>INDEX('REVIEW - Complete Role Mapping'!$AK:$AK,107)</f>
        <v>Filled</v>
      </c>
      <c r="E36" s="612" t="inlineStr">
        <is>
          <t>Filled</t>
        </is>
      </c>
      <c r="F36" s="634" t="str">
        <f>INDEX('REVIEW - Complete Role Mapping'!$AT:$AT,107)</f>
        <v>Above Store</v>
      </c>
      <c r="G36" s="627">
        <f>INDEX('REVIEW - Complete Role Mapping'!$AA:$AA,107)</f>
        <v>239072.45</v>
      </c>
      <c r="H36" s="627">
        <f>$G36*IFERROR(INDEX(Lists!$AD:$AD,MATCH($E36,Lists!$AC:$AC,0)),1)</f>
        <v>239072.45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Mapping'!$B:$B,67)</f>
        <v>Vacant</v>
      </c>
      <c r="C37" s="634" t="str">
        <f>INDEX('REVIEW - Complete Role Mapping'!$C:$C,67)</f>
        <v>Business Analyst</v>
      </c>
      <c r="D37" s="612" t="str">
        <f>INDEX('REVIEW - Complete Role Mapping'!$AK:$AK,67)</f>
        <v>Vacant</v>
      </c>
      <c r="E37" s="612" t="inlineStr">
        <is>
          <t>Hire</t>
        </is>
      </c>
      <c r="F37" s="634" t="str">
        <f>INDEX('REVIEW - Complete Role Mapping'!$AT:$AT,67)</f>
        <v>Above Store</v>
      </c>
      <c r="G37" s="627">
        <f>INDEX('REVIEW - Complete Role Mapping'!$AA:$AA,67)</f>
        <v>202853.25</v>
      </c>
      <c r="H37" s="627">
        <f>$G37*IFERROR(INDEX(Lists!$AD:$AD,MATCH($E37,Lists!$AC:$AC,0)),1)</f>
        <v>202853.25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Mapping'!$B:$B,79)</f>
        <v>Vacant</v>
      </c>
      <c r="C38" s="634" t="str">
        <f>INDEX('REVIEW - Complete Role Mapping'!$C:$C,79)</f>
        <v>Engineer - Integration</v>
      </c>
      <c r="D38" s="612" t="str">
        <f>INDEX('REVIEW - Complete Role Mapping'!$AK:$AK,79)</f>
        <v>Vacant</v>
      </c>
      <c r="E38" s="612" t="inlineStr">
        <is>
          <t>Hire</t>
        </is>
      </c>
      <c r="F38" s="634" t="str">
        <f>INDEX('REVIEW - Complete Role Mapping'!$AT:$AT,79)</f>
        <v>Above Store</v>
      </c>
      <c r="G38" s="627">
        <f>INDEX('REVIEW - Complete Role Mapping'!$AA:$AA,79)</f>
        <v>170489.75</v>
      </c>
      <c r="H38" s="627">
        <f>$G38*IFERROR(INDEX(Lists!$AD:$AD,MATCH($E38,Lists!$AC:$AC,0)),1)</f>
        <v>170489.75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Mapping'!$B:$B,85)</f>
        <v>Vacant</v>
      </c>
      <c r="C39" s="646" t="str">
        <f>INDEX('REVIEW - Complete Role Mapping'!$C:$C,85)</f>
        <v>Quality Assurance</v>
      </c>
      <c r="D39" s="646" t="str">
        <f>INDEX('REVIEW - Complete Role Mapping'!$AK:$AK,85)</f>
        <v>Vacant</v>
      </c>
      <c r="E39" s="646" t="inlineStr">
        <is>
          <t>Hire</t>
        </is>
      </c>
      <c r="F39" s="646" t="str">
        <f>INDEX('REVIEW - Complete Role Mapping'!$AT:$AT,85)</f>
        <v>Above Store</v>
      </c>
      <c r="G39" s="627">
        <f>INDEX('REVIEW - Complete Role Mapping'!$AA:$AA,85)</f>
        <v>170501.585</v>
      </c>
      <c r="H39" s="627">
        <f>$G39*IFERROR(INDEX(Lists!$AD:$AD,MATCH($E39,Lists!$AC:$AC,0)),1)</f>
        <v>170501.585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Mapping'!$B:$B,92)</f>
        <v>Vacant</v>
      </c>
      <c r="C40" s="634" t="str">
        <f>INDEX('REVIEW - Complete Role Mapping'!$C:$C,92)</f>
        <v>Systems Analyst</v>
      </c>
      <c r="D40" s="612" t="str">
        <f>INDEX('REVIEW - Complete Role Mapping'!$AK:$AK,92)</f>
        <v>Vacant</v>
      </c>
      <c r="E40" s="612" t="inlineStr">
        <is>
          <t>Hire</t>
        </is>
      </c>
      <c r="F40" s="634" t="str">
        <f>INDEX('REVIEW - Complete Role Mapping'!$AT:$AT,92)</f>
        <v>Above Store</v>
      </c>
      <c r="G40" s="627">
        <f>INDEX('REVIEW - Complete Role Mapping'!$AA:$AA,92)</f>
        <v>201585</v>
      </c>
      <c r="H40" s="627">
        <f>$G40*IFERROR(INDEX(Lists!$AD:$AD,MATCH($E40,Lists!$AC:$AC,0)),1)</f>
        <v>201585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Mapping'!$B:$B,13)</f>
        <v>Balaji Murugan</v>
      </c>
      <c r="C41" s="634" t="str">
        <f>INDEX('REVIEW - Complete Role Mapping'!$C:$C,13)</f>
        <v>Delivery Lead</v>
      </c>
      <c r="D41" s="612" t="str">
        <f>INDEX('REVIEW - Complete Role Mapping'!$AK:$AK,13)</f>
        <v>Filled</v>
      </c>
      <c r="E41" s="612" t="inlineStr">
        <is>
          <t>Filled</t>
        </is>
      </c>
      <c r="F41" s="634" t="str">
        <f>INDEX('REVIEW - Complete Role Mapping'!$AT:$AT,13)</f>
        <v>AmPOS</v>
      </c>
      <c r="G41" s="627">
        <f>INDEX('REVIEW - Complete Role Mapping'!$AA:$AA,13)</f>
        <v>237654.03</v>
      </c>
      <c r="H41" s="627">
        <f>$G41*IFERROR(INDEX(Lists!$AD:$AD,MATCH($E41,Lists!$AC:$AC,0)),1)</f>
        <v>237654.03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Mapping'!$B:$B,467)</f>
        <v>Hardik Trivedi</v>
      </c>
      <c r="C42" s="634" t="str">
        <f>INDEX('REVIEW - Complete Role Mapping'!$C:$C,467)</f>
        <v>Snr Business Analyst</v>
      </c>
      <c r="D42" s="612" t="str">
        <f>INDEX('REVIEW - Complete Role Mapping'!$AK:$AK,467)</f>
        <v>Filled</v>
      </c>
      <c r="E42" s="612" t="inlineStr">
        <is>
          <t>Filled</t>
        </is>
      </c>
      <c r="F42" s="634" t="str">
        <f>INDEX('REVIEW - Complete Role Mapping'!$AT:$AT,467)</f>
        <v>AmPOS</v>
      </c>
      <c r="G42" s="627">
        <f>INDEX('REVIEW - Complete Role Mapping'!$AA:$AA,467)</f>
        <v>210342.6</v>
      </c>
      <c r="H42" s="627">
        <f>$G42*IFERROR(INDEX(Lists!$AD:$AD,MATCH($E42,Lists!$AC:$AC,0)),1)</f>
        <v>210342.6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Mapping'!$B:$B,30)</f>
        <v>Irfan Zavahir</v>
      </c>
      <c r="C43" s="634" t="str">
        <f>INDEX('REVIEW - Complete Role Mapping'!$C:$C,30)</f>
        <v>Delivery Lead</v>
      </c>
      <c r="D43" s="612" t="str">
        <f>INDEX('REVIEW - Complete Role Mapping'!$AK:$AK,30)</f>
        <v>Filled</v>
      </c>
      <c r="E43" s="612" t="inlineStr">
        <is>
          <t>Filled</t>
        </is>
      </c>
      <c r="F43" s="634" t="str">
        <f>INDEX('REVIEW - Complete Role Mapping'!$AT:$AT,30)</f>
        <v>AmPOS</v>
      </c>
      <c r="G43" s="627">
        <f>INDEX('REVIEW - Complete Role Mapping'!$AA:$AA,30)</f>
        <v>161334</v>
      </c>
      <c r="H43" s="627">
        <f>$G43*IFERROR(INDEX(Lists!$AD:$AD,MATCH($E43,Lists!$AC:$AC,0)),1)</f>
        <v>161334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Mapping'!$B:$B,37)</f>
        <v>Karthick Sathiyamoorthy</v>
      </c>
      <c r="C44" s="634" t="str">
        <f>INDEX('REVIEW - Complete Role Mapping'!$C:$C,37)</f>
        <v>Quality Assurance</v>
      </c>
      <c r="D44" s="612" t="str">
        <f>INDEX('REVIEW - Complete Role Mapping'!$AK:$AK,37)</f>
        <v>Filled</v>
      </c>
      <c r="E44" s="612" t="inlineStr">
        <is>
          <t>Filled</t>
        </is>
      </c>
      <c r="F44" s="634" t="str">
        <f>INDEX('REVIEW - Complete Role Mapping'!$AT:$AT,37)</f>
        <v>AmPOS</v>
      </c>
      <c r="G44" s="627">
        <f>INDEX('REVIEW - Complete Role Mapping'!$AA:$AA,37)</f>
        <v>194028.9</v>
      </c>
      <c r="H44" s="627">
        <f>$G44*IFERROR(INDEX(Lists!$AD:$AD,MATCH($E44,Lists!$AC:$AC,0)),1)</f>
        <v>194028.9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Mapping'!$B:$B,39)</f>
        <v>Kate Johnstone</v>
      </c>
      <c r="C45" s="634" t="str">
        <f>INDEX('REVIEW - Complete Role Mapping'!$C:$C,39)</f>
        <v>Program Manager POS</v>
      </c>
      <c r="D45" s="612" t="str">
        <f>INDEX('REVIEW - Complete Role Mapping'!$AK:$AK,39)</f>
        <v>Filled</v>
      </c>
      <c r="E45" s="612" t="inlineStr">
        <is>
          <t>Filled</t>
        </is>
      </c>
      <c r="F45" s="634" t="str">
        <f>INDEX('REVIEW - Complete Role Mapping'!$AT:$AT,39)</f>
        <v>AmPOS</v>
      </c>
      <c r="G45" s="627">
        <f>INDEX('REVIEW - Complete Role Mapping'!$AA:$AA,39)</f>
        <v>202026.336</v>
      </c>
      <c r="H45" s="627">
        <f>$G45*IFERROR(INDEX(Lists!$AD:$AD,MATCH($E45,Lists!$AC:$AC,0)),1)</f>
        <v>202026.336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Mapping'!$B:$B,380)</f>
        <v>Kevin Nelson</v>
      </c>
      <c r="C46" s="634" t="str">
        <f>INDEX('REVIEW - Complete Role Mapping'!$C:$C,380)</f>
        <v>Delivery Lead</v>
      </c>
      <c r="D46" s="612" t="str">
        <f>INDEX('REVIEW - Complete Role Mapping'!$AK:$AK,380)</f>
        <v>Filled</v>
      </c>
      <c r="E46" s="647" t="inlineStr">
        <is>
          <t>Filled</t>
        </is>
      </c>
      <c r="F46" s="648" t="str">
        <f>INDEX('REVIEW - Complete Role Mapping'!$AT:$AT,380)</f>
        <v>AmPOS</v>
      </c>
      <c r="G46" s="627">
        <f>INDEX('REVIEW - Complete Role Mapping'!$AA:$AA,380)</f>
        <v>253142.7</v>
      </c>
      <c r="H46" s="627">
        <f>$G46*IFERROR(INDEX(Lists!$AD:$AD,MATCH($E46,Lists!$AC:$AC,0)),1)</f>
        <v>253142.7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Mapping'!$B:$B,51)</f>
        <v>Mick Standen</v>
      </c>
      <c r="C47" s="634" t="str">
        <f>INDEX('REVIEW - Complete Role Mapping'!$C:$C,51)</f>
        <v>Systems Analyst</v>
      </c>
      <c r="D47" s="612" t="str">
        <f>INDEX('REVIEW - Complete Role Mapping'!$AK:$AK,51)</f>
        <v>Filled</v>
      </c>
      <c r="E47" s="647" t="inlineStr">
        <is>
          <t>Filled</t>
        </is>
      </c>
      <c r="F47" s="648" t="str">
        <f>INDEX('REVIEW - Complete Role Mapping'!$AT:$AT,51)</f>
        <v>AmPOS</v>
      </c>
      <c r="G47" s="627">
        <f>INDEX('REVIEW - Complete Role Mapping'!$AA:$AA,51)</f>
        <v>262647.9</v>
      </c>
      <c r="H47" s="627">
        <f>$G47*IFERROR(INDEX(Lists!$AD:$AD,MATCH($E47,Lists!$AC:$AC,0)),1)</f>
        <v>262647.9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Mapping'!$B:$B,55)</f>
        <v>Peter Nicolopoulos</v>
      </c>
      <c r="C48" s="646" t="str">
        <f>INDEX('REVIEW - Complete Role Mapping'!$C:$C,55)</f>
        <v>Systems Analyst</v>
      </c>
      <c r="D48" s="646" t="str">
        <f>INDEX('REVIEW - Complete Role Mapping'!$AK:$AK,55)</f>
        <v>Filled</v>
      </c>
      <c r="E48" s="646" t="inlineStr">
        <is>
          <t>Filled</t>
        </is>
      </c>
      <c r="F48" s="646" t="str">
        <f>INDEX('REVIEW - Complete Role Mapping'!$AT:$AT,55)</f>
        <v>AmPOS</v>
      </c>
      <c r="G48" s="627">
        <f>INDEX('REVIEW - Complete Role Mapping'!$AA:$AA,55)</f>
        <v>147460.584</v>
      </c>
      <c r="H48" s="627">
        <f>$G48*IFERROR(INDEX(Lists!$AD:$AD,MATCH($E48,Lists!$AC:$AC,0)),1)</f>
        <v>147460.584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Mapping'!$B:$B,62)</f>
        <v>Tabitha Raharadjo</v>
      </c>
      <c r="C49" s="634" t="str">
        <f>INDEX('REVIEW - Complete Role Mapping'!$C:$C,62)</f>
        <v>Project Coordinator</v>
      </c>
      <c r="D49" s="612" t="str">
        <f>INDEX('REVIEW - Complete Role Mapping'!$AK:$AK,62)</f>
        <v>Filled</v>
      </c>
      <c r="E49" s="612" t="inlineStr">
        <is>
          <t>Filled</t>
        </is>
      </c>
      <c r="F49" s="634" t="str">
        <f>INDEX('REVIEW - Complete Role Mapping'!$AT:$AT,62)</f>
        <v>AmPOS</v>
      </c>
      <c r="G49" s="627">
        <f>INDEX('REVIEW - Complete Role Mapping'!$AA:$AA,62)</f>
        <v>198937.068</v>
      </c>
      <c r="H49" s="627">
        <f>$G49*IFERROR(INDEX(Lists!$AD:$AD,MATCH($E49,Lists!$AC:$AC,0)),1)</f>
        <v>198937.068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Mapping'!$B:$B,442)</f>
        <v>Victor Beuk</v>
      </c>
      <c r="C50" s="634" t="str">
        <f>INDEX('REVIEW - Complete Role Mapping'!$C:$C,442)</f>
        <v>Delivery Lead</v>
      </c>
      <c r="D50" s="612" t="str">
        <f>INDEX('REVIEW - Complete Role Mapping'!$AK:$AK,442)</f>
        <v>Filled</v>
      </c>
      <c r="E50" s="612" t="inlineStr">
        <is>
          <t>Filled</t>
        </is>
      </c>
      <c r="F50" s="634" t="str">
        <f>INDEX('REVIEW - Complete Role Mapping'!$AT:$AT,442)</f>
        <v>AmPOS</v>
      </c>
      <c r="G50" s="627">
        <f>INDEX('REVIEW - Complete Role Mapping'!$AA:$AA,442)</f>
        <v>247455.6</v>
      </c>
      <c r="H50" s="627">
        <f>$G50*IFERROR(INDEX(Lists!$AD:$AD,MATCH($E50,Lists!$AC:$AC,0)),1)</f>
        <v>247455.6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Mapping'!$B:$B,69)</f>
        <v>Vacant</v>
      </c>
      <c r="C51" s="634" t="str">
        <f>INDEX('REVIEW - Complete Role Mapping'!$C:$C,69)</f>
        <v>Business Analyst</v>
      </c>
      <c r="D51" s="612" t="str">
        <f>INDEX('REVIEW - Complete Role Mapping'!$AK:$AK,69)</f>
        <v>Vacant</v>
      </c>
      <c r="E51" s="612" t="inlineStr">
        <is>
          <t>Hire</t>
        </is>
      </c>
      <c r="F51" s="634" t="str">
        <f>INDEX('REVIEW - Complete Role Mapping'!$AT:$AT,69)</f>
        <v>POS</v>
      </c>
      <c r="G51" s="627">
        <f>INDEX('REVIEW - Complete Role Mapping'!$AA:$AA,69)</f>
        <v>170501.585</v>
      </c>
      <c r="H51" s="627">
        <f>$G51*IFERROR(INDEX(Lists!$AD:$AD,MATCH($E51,Lists!$AC:$AC,0)),1)</f>
        <v>170501.585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Mapping'!$B:$B,81)</f>
        <v>Vacant</v>
      </c>
      <c r="C52" s="634" t="str">
        <f>INDEX('REVIEW - Complete Role Mapping'!$C:$C,81)</f>
        <v>Engineer Integration</v>
      </c>
      <c r="D52" s="612" t="str">
        <f>INDEX('REVIEW - Complete Role Mapping'!$AK:$AK,81)</f>
        <v>Vacant</v>
      </c>
      <c r="E52" s="612" t="inlineStr">
        <is>
          <t>Hire</t>
        </is>
      </c>
      <c r="F52" s="634" t="str">
        <f>INDEX('REVIEW - Complete Role Mapping'!$AT:$AT,81)</f>
        <v>POS</v>
      </c>
      <c r="G52" s="627">
        <f>INDEX('REVIEW - Complete Role Mapping'!$AA:$AA,81)</f>
        <v>231689.25</v>
      </c>
      <c r="H52" s="627">
        <f>$G52*IFERROR(INDEX(Lists!$AD:$AD,MATCH($E52,Lists!$AC:$AC,0)),1)</f>
        <v>231689.25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Mapping'!$B:$B,83)</f>
        <v>Vacant</v>
      </c>
      <c r="C53" s="634" t="str">
        <f>INDEX('REVIEW - Complete Role Mapping'!$C:$C,83)</f>
        <v>Lead Quality Assurance</v>
      </c>
      <c r="D53" s="612" t="str">
        <f>INDEX('REVIEW - Complete Role Mapping'!$AK:$AK,83)</f>
        <v>Vacant</v>
      </c>
      <c r="E53" s="612" t="inlineStr">
        <is>
          <t>Hire</t>
        </is>
      </c>
      <c r="F53" s="634" t="str">
        <f>INDEX('REVIEW - Complete Role Mapping'!$AT:$AT,83)</f>
        <v>POS</v>
      </c>
      <c r="G53" s="627">
        <f>INDEX('REVIEW - Complete Role Mapping'!$AA:$AA,83)</f>
        <v>224493.6</v>
      </c>
      <c r="H53" s="627">
        <f>$G53*IFERROR(INDEX(Lists!$AD:$AD,MATCH($E53,Lists!$AC:$AC,0)),1)</f>
        <v>224493.6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Mapping'!$B:$B,86)</f>
        <v>Vacant</v>
      </c>
      <c r="C54" s="646" t="str">
        <f>INDEX('REVIEW - Complete Role Mapping'!$C:$C,86)</f>
        <v>Quality Assurance</v>
      </c>
      <c r="D54" s="646" t="str">
        <f>INDEX('REVIEW - Complete Role Mapping'!$AK:$AK,86)</f>
        <v>Vacant</v>
      </c>
      <c r="E54" s="646" t="inlineStr">
        <is>
          <t>Hire</t>
        </is>
      </c>
      <c r="F54" s="646" t="str">
        <f>INDEX('REVIEW - Complete Role Mapping'!$AT:$AT,86)</f>
        <v>POS</v>
      </c>
      <c r="G54" s="627">
        <f>INDEX('REVIEW - Complete Role Mapping'!$AA:$AA,86)</f>
        <v>170489.75</v>
      </c>
      <c r="H54" s="627">
        <f>$G54*IFERROR(INDEX(Lists!$AD:$AD,MATCH($E54,Lists!$AC:$AC,0)),1)</f>
        <v>170489.75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Mapping'!$B:$B,87)</f>
        <v>Vacant</v>
      </c>
      <c r="C55" s="634" t="str">
        <f>INDEX('REVIEW - Complete Role Mapping'!$C:$C,87)</f>
        <v>Quality Assurance</v>
      </c>
      <c r="D55" s="612" t="str">
        <f>INDEX('REVIEW - Complete Role Mapping'!$AK:$AK,87)</f>
        <v>Vacant</v>
      </c>
      <c r="E55" s="612" t="inlineStr">
        <is>
          <t>Hire</t>
        </is>
      </c>
      <c r="F55" s="634" t="str">
        <f>INDEX('REVIEW - Complete Role Mapping'!$AT:$AT,87)</f>
        <v>POS</v>
      </c>
      <c r="G55" s="627">
        <f>INDEX('REVIEW - Complete Role Mapping'!$AA:$AA,87)</f>
        <v>170489.75</v>
      </c>
      <c r="H55" s="627">
        <f>$G55*IFERROR(INDEX(Lists!$AD:$AD,MATCH($E55,Lists!$AC:$AC,0)),1)</f>
        <v>170489.75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Mapping'!$B:$B,88)</f>
        <v>Vacant</v>
      </c>
      <c r="C56" s="646" t="str">
        <f>INDEX('REVIEW - Complete Role Mapping'!$C:$C,88)</f>
        <v>Quality Assurance</v>
      </c>
      <c r="D56" s="646" t="str">
        <f>INDEX('REVIEW - Complete Role Mapping'!$AK:$AK,88)</f>
        <v>Vacant</v>
      </c>
      <c r="E56" s="646" t="inlineStr">
        <is>
          <t>Hire</t>
        </is>
      </c>
      <c r="F56" s="646" t="str">
        <f>INDEX('REVIEW - Complete Role Mapping'!$AT:$AT,88)</f>
        <v>POS</v>
      </c>
      <c r="G56" s="627">
        <f>INDEX('REVIEW - Complete Role Mapping'!$AA:$AA,88)</f>
        <v>202853.25</v>
      </c>
      <c r="H56" s="627">
        <f>$G56*IFERROR(INDEX(Lists!$AD:$AD,MATCH($E56,Lists!$AC:$AC,0)),1)</f>
        <v>202853.25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Mapping'!$B:$B,90)</f>
        <v>Vacant</v>
      </c>
      <c r="C57" s="634" t="str">
        <f>INDEX('REVIEW - Complete Role Mapping'!$C:$C,90)</f>
        <v>Release &amp; Environments Manager</v>
      </c>
      <c r="D57" s="612" t="str">
        <f>INDEX('REVIEW - Complete Role Mapping'!$AK:$AK,90)</f>
        <v>Vacant</v>
      </c>
      <c r="E57" s="612" t="inlineStr">
        <is>
          <t>Hire</t>
        </is>
      </c>
      <c r="F57" s="634" t="str">
        <f>INDEX('REVIEW - Complete Role Mapping'!$AT:$AT,90)</f>
        <v>POS</v>
      </c>
      <c r="G57" s="627">
        <f>INDEX('REVIEW - Complete Role Mapping'!$AA:$AA,90)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Mapping'!$B:$B,95)</f>
        <v>Vacant</v>
      </c>
      <c r="C58" s="634" t="str">
        <f>INDEX('REVIEW - Complete Role Mapping'!$C:$C,95)</f>
        <v>Systems Analyst</v>
      </c>
      <c r="D58" s="612" t="str">
        <f>INDEX('REVIEW - Complete Role Mapping'!$AK:$AK,95)</f>
        <v>Vacant</v>
      </c>
      <c r="E58" s="612" t="inlineStr">
        <is>
          <t>Hire</t>
        </is>
      </c>
      <c r="F58" s="634" t="str">
        <f>INDEX('REVIEW - Complete Role Mapping'!$AT:$AT,95)</f>
        <v>POS</v>
      </c>
      <c r="G58" s="627">
        <f>INDEX('REVIEW - Complete Role Mapping'!$AA:$AA,95)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Mapping'!$B:$B,7)</f>
        <v>Andrew Whitford</v>
      </c>
      <c r="C59" s="634" t="str">
        <f>INDEX('REVIEW - Complete Role Mapping'!$C:$C,7)</f>
        <v>Field Systems Operations Lead - WA</v>
      </c>
      <c r="D59" s="612" t="str">
        <f>INDEX('REVIEW - Complete Role Mapping'!$AK:$AK,7)</f>
        <v>Filled</v>
      </c>
      <c r="E59" s="612" t="inlineStr">
        <is>
          <t>Filled</t>
        </is>
      </c>
      <c r="F59" s="634" t="str">
        <f>INDEX('REVIEW - Complete Role Mapping'!$AT:$AT,7)</f>
        <v>Store Operations</v>
      </c>
      <c r="G59" s="627">
        <f>INDEX('REVIEW - Complete Role Mapping'!$AA:$AA,7)</f>
        <v>164033.1</v>
      </c>
      <c r="H59" s="627">
        <f>$G59*IFERROR(INDEX(Lists!$AD:$AD,MATCH($E59,Lists!$AC:$AC,0)),1)</f>
        <v>164033.1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Mapping'!$B:$B,24)</f>
        <v>Ephraim Adan</v>
      </c>
      <c r="C60" s="634" t="str">
        <f>INDEX('REVIEW - Complete Role Mapping'!$C:$C,24)</f>
        <v>Manager - AU Retail Operations</v>
      </c>
      <c r="D60" s="612" t="str">
        <f>INDEX('REVIEW - Complete Role Mapping'!$AK:$AK,24)</f>
        <v>Filled</v>
      </c>
      <c r="E60" s="612" t="inlineStr">
        <is>
          <t>Filled</t>
        </is>
      </c>
      <c r="F60" s="634" t="str">
        <f>INDEX('REVIEW - Complete Role Mapping'!$AT:$AT,24)</f>
        <v>Store Operations</v>
      </c>
      <c r="G60" s="627">
        <f>INDEX('REVIEW - Complete Role Mapping'!$AA:$AA,24)</f>
        <v>77707.84</v>
      </c>
      <c r="H60" s="627">
        <f>$G60*IFERROR(INDEX(Lists!$AD:$AD,MATCH($E60,Lists!$AC:$AC,0)),1)</f>
        <v>77707.84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Mapping'!$B:$B,27)</f>
        <v>Geoff Goddard</v>
      </c>
      <c r="C61" s="634" t="str">
        <f>INDEX('REVIEW - Complete Role Mapping'!$C:$C,27)</f>
        <v>Field Systems Operations Lead - VIC</v>
      </c>
      <c r="D61" s="612" t="str">
        <f>INDEX('REVIEW - Complete Role Mapping'!$AK:$AK,27)</f>
        <v>Filled</v>
      </c>
      <c r="E61" s="612" t="inlineStr">
        <is>
          <t>Filled</t>
        </is>
      </c>
      <c r="F61" s="634" t="str">
        <f>INDEX('REVIEW - Complete Role Mapping'!$AT:$AT,27)</f>
        <v>Store Operations</v>
      </c>
      <c r="G61" s="627">
        <f>INDEX('REVIEW - Complete Role Mapping'!$AA:$AA,27)</f>
        <v>167360.05</v>
      </c>
      <c r="H61" s="627">
        <f>$G61*IFERROR(INDEX(Lists!$AD:$AD,MATCH($E61,Lists!$AC:$AC,0)),1)</f>
        <v>167360.05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Mapping'!$B:$B,28)</f>
        <v>Gerald Aguas</v>
      </c>
      <c r="C62" s="634" t="str">
        <f>INDEX('REVIEW - Complete Role Mapping'!$C:$C,28)</f>
        <v>Field Systems Operations Lead - NSW</v>
      </c>
      <c r="D62" s="612" t="str">
        <f>INDEX('REVIEW - Complete Role Mapping'!$AK:$AK,28)</f>
        <v>Filled</v>
      </c>
      <c r="E62" s="612" t="inlineStr">
        <is>
          <t>Filled</t>
        </is>
      </c>
      <c r="F62" s="634" t="str">
        <f>INDEX('REVIEW - Complete Role Mapping'!$AT:$AT,28)</f>
        <v>Store Operations</v>
      </c>
      <c r="G62" s="627">
        <f>INDEX('REVIEW - Complete Role Mapping'!$AA:$AA,28)</f>
        <v>190155.852</v>
      </c>
      <c r="H62" s="627">
        <f>$G62*IFERROR(INDEX(Lists!$AD:$AD,MATCH($E62,Lists!$AC:$AC,0)),1)</f>
        <v>190155.852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Mapping'!$B:$B,38)</f>
        <v>Karthikeyan Kuppan</v>
      </c>
      <c r="C63" s="634" t="str">
        <f>INDEX('REVIEW - Complete Role Mapping'!$C:$C,38)</f>
        <v>Lead - AU Retail Operations</v>
      </c>
      <c r="D63" s="612" t="str">
        <f>INDEX('REVIEW - Complete Role Mapping'!$AK:$AK,38)</f>
        <v>Filled</v>
      </c>
      <c r="E63" s="612" t="inlineStr">
        <is>
          <t>Filled</t>
        </is>
      </c>
      <c r="F63" s="634" t="str">
        <f>INDEX('REVIEW - Complete Role Mapping'!$AT:$AT,38)</f>
        <v>Store Operations</v>
      </c>
      <c r="G63" s="627">
        <f>INDEX('REVIEW - Complete Role Mapping'!$AA:$AA,38)</f>
        <v>242933.676</v>
      </c>
      <c r="H63" s="627">
        <f>$G63*IFERROR(INDEX(Lists!$AD:$AD,MATCH($E63,Lists!$AC:$AC,0)),1)</f>
        <v>242933.676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Mapping'!$B:$B,54)</f>
        <v>Patrick Ericson Nario</v>
      </c>
      <c r="C64" s="634" t="str">
        <f>INDEX('REVIEW - Complete Role Mapping'!$C:$C,54)</f>
        <v>Support Analyst - Field Operations</v>
      </c>
      <c r="D64" s="612" t="str">
        <f>INDEX('REVIEW - Complete Role Mapping'!$AK:$AK,54)</f>
        <v>Filled</v>
      </c>
      <c r="E64" s="612" t="inlineStr">
        <is>
          <t>Filled</t>
        </is>
      </c>
      <c r="F64" s="634" t="str">
        <f>INDEX('REVIEW - Complete Role Mapping'!$AT:$AT,54)</f>
        <v>Store Operations</v>
      </c>
      <c r="G64" s="627">
        <f>INDEX('REVIEW - Complete Role Mapping'!$AA:$AA,54)</f>
        <v>214214.1</v>
      </c>
      <c r="H64" s="627">
        <f>$G64*IFERROR(INDEX(Lists!$AD:$AD,MATCH($E64,Lists!$AC:$AC,0)),1)</f>
        <v>214214.1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Mapping'!$B:$B,66)</f>
        <v>Tuan Edwards</v>
      </c>
      <c r="C65" s="634" t="str">
        <f>INDEX('REVIEW - Complete Role Mapping'!$C:$C,66)</f>
        <v>Field Systems Operations Lead - QLD</v>
      </c>
      <c r="D65" s="612" t="str">
        <f>INDEX('REVIEW - Complete Role Mapping'!$AK:$AK,66)</f>
        <v>Filled</v>
      </c>
      <c r="E65" s="612" t="inlineStr">
        <is>
          <t>Filled</t>
        </is>
      </c>
      <c r="F65" s="634" t="str">
        <f>INDEX('REVIEW - Complete Role Mapping'!$AT:$AT,66)</f>
        <v>Store Operations</v>
      </c>
      <c r="G65" s="627">
        <f>INDEX('REVIEW - Complete Role Mapping'!$AA:$AA,66)</f>
        <v>202853.25</v>
      </c>
      <c r="H65" s="627">
        <f>$G65*IFERROR(INDEX(Lists!$AD:$AD,MATCH($E65,Lists!$AC:$AC,0)),1)</f>
        <v>202853.25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Mapping'!$B:$B,91)</f>
        <v>Vacant</v>
      </c>
      <c r="C66" s="634" t="str">
        <f>INDEX('REVIEW - Complete Role Mapping'!$C:$C,91)</f>
        <v>Support Analyst -Retail</v>
      </c>
      <c r="D66" s="612" t="str">
        <f>INDEX('REVIEW - Complete Role Mapping'!$AK:$AK,91)</f>
        <v>Vacant</v>
      </c>
      <c r="E66" s="612" t="inlineStr">
        <is>
          <t>Hire</t>
        </is>
      </c>
      <c r="F66" s="634" t="str">
        <f>INDEX('REVIEW - Complete Role Mapping'!$AT:$AT,91)</f>
        <v>Store Operations</v>
      </c>
      <c r="G66" s="627">
        <f>INDEX('REVIEW - Complete Role Mapping'!$AA:$AA,91)</f>
        <v>170501.585</v>
      </c>
      <c r="H66" s="627">
        <f>$G66*IFERROR(INDEX(Lists!$AD:$AD,MATCH($E66,Lists!$AC:$AC,0)),1)</f>
        <v>170501.585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Mapping'!$B:$B,70)</f>
        <v>Vacant</v>
      </c>
      <c r="C67" s="646" t="str">
        <f>INDEX('REVIEW - Complete Role Mapping'!$C:$C,70)</f>
        <v>Data Analyst</v>
      </c>
      <c r="D67" s="646" t="str">
        <f>INDEX('REVIEW - Complete Role Mapping'!$AK:$AK,70)</f>
        <v>Vacant</v>
      </c>
      <c r="E67" s="646" t="inlineStr">
        <is>
          <t>Hire</t>
        </is>
      </c>
      <c r="F67" s="646" t="str">
        <f>INDEX('REVIEW - Complete Role Mapping'!$AT:$AT,70)</f>
        <v>Data AU</v>
      </c>
      <c r="G67" s="627">
        <f>INDEX('REVIEW - Complete Role Mapping'!$AA:$AA,70)</f>
        <v>201585</v>
      </c>
      <c r="H67" s="627">
        <f>$G67*IFERROR(INDEX(Lists!$AD:$AD,MATCH($E67,Lists!$AC:$AC,0)),1)</f>
        <v>201585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Mapping'!$B:$B,71)</f>
        <v>Vacant</v>
      </c>
      <c r="C68" s="634" t="str">
        <f>INDEX('REVIEW - Complete Role Mapping'!$C:$C,71)</f>
        <v>Data Analyst</v>
      </c>
      <c r="D68" s="612" t="str">
        <f>INDEX('REVIEW - Complete Role Mapping'!$AK:$AK,71)</f>
        <v>Vacant</v>
      </c>
      <c r="E68" s="612" t="inlineStr">
        <is>
          <t>Hire</t>
        </is>
      </c>
      <c r="F68" s="634" t="str">
        <f>INDEX('REVIEW - Complete Role Mapping'!$AT:$AT,71)</f>
        <v>Data AU</v>
      </c>
      <c r="G68" s="627">
        <f>INDEX('REVIEW - Complete Role Mapping'!$AA:$AA,71)</f>
        <v>231689.25</v>
      </c>
      <c r="H68" s="627">
        <f>$G68*IFERROR(INDEX(Lists!$AD:$AD,MATCH($E68,Lists!$AC:$AC,0)),1)</f>
        <v>231689.25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Mapping'!$B:$B,72)</f>
        <v>Vacant</v>
      </c>
      <c r="C69" s="634" t="str">
        <f>INDEX('REVIEW - Complete Role Mapping'!$C:$C,72)</f>
        <v>Delivery Lead</v>
      </c>
      <c r="D69" s="612" t="str">
        <f>INDEX('REVIEW - Complete Role Mapping'!$AK:$AK,72)</f>
        <v>Vacant</v>
      </c>
      <c r="E69" s="612" t="inlineStr">
        <is>
          <t>Hire</t>
        </is>
      </c>
      <c r="F69" s="634" t="str">
        <f>INDEX('REVIEW - Complete Role Mapping'!$AT:$AT,72)</f>
        <v>Data AU</v>
      </c>
      <c r="G69" s="627">
        <f>INDEX('REVIEW - Complete Role Mapping'!$AA:$AA,72)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Mapping'!$B:$B,75)</f>
        <v>Vacant</v>
      </c>
      <c r="C70" s="634" t="str">
        <f>INDEX('REVIEW - Complete Role Mapping'!$C:$C,75)</f>
        <v>Engineer - Data</v>
      </c>
      <c r="D70" s="612" t="str">
        <f>INDEX('REVIEW - Complete Role Mapping'!$AK:$AK,75)</f>
        <v>Vacant</v>
      </c>
      <c r="E70" s="647" t="inlineStr">
        <is>
          <t>Hire</t>
        </is>
      </c>
      <c r="F70" s="648" t="str">
        <f>INDEX('REVIEW - Complete Role Mapping'!$AT:$AT,75)</f>
        <v>Data AU</v>
      </c>
      <c r="G70" s="627">
        <f>INDEX('REVIEW - Complete Role Mapping'!$AA:$AA,75)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Mapping'!$B:$B,76)</f>
        <v>Vacant</v>
      </c>
      <c r="C71" s="634" t="str">
        <f>INDEX('REVIEW - Complete Role Mapping'!$C:$C,76)</f>
        <v>Engineer - Data</v>
      </c>
      <c r="D71" s="612" t="str">
        <f>INDEX('REVIEW - Complete Role Mapping'!$AK:$AK,76)</f>
        <v>Vacant</v>
      </c>
      <c r="E71" s="612" t="inlineStr">
        <is>
          <t>Hire</t>
        </is>
      </c>
      <c r="F71" s="634" t="str">
        <f>INDEX('REVIEW - Complete Role Mapping'!$AT:$AT,76)</f>
        <v>Data AU</v>
      </c>
      <c r="G71" s="627">
        <f>INDEX('REVIEW - Complete Role Mapping'!$AA:$AA,76)</f>
        <v>202853.25</v>
      </c>
      <c r="H71" s="627">
        <f>$G71*IFERROR(INDEX(Lists!$AD:$AD,MATCH($E71,Lists!$AC:$AC,0)),1)</f>
        <v>202853.25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Mapping'!$B:$B,77)</f>
        <v>Vacant</v>
      </c>
      <c r="C72" s="646" t="str">
        <f>INDEX('REVIEW - Complete Role Mapping'!$C:$C,77)</f>
        <v>Engineer - Data</v>
      </c>
      <c r="D72" s="646" t="str">
        <f>INDEX('REVIEW - Complete Role Mapping'!$AK:$AK,77)</f>
        <v>Vacant</v>
      </c>
      <c r="E72" s="646" t="inlineStr">
        <is>
          <t>Hire</t>
        </is>
      </c>
      <c r="F72" s="646" t="str">
        <f>INDEX('REVIEW - Complete Role Mapping'!$AT:$AT,77)</f>
        <v>Data AU</v>
      </c>
      <c r="G72" s="627">
        <f>INDEX('REVIEW - Complete Role Mapping'!$AA:$AA,77)</f>
        <v>170489.75</v>
      </c>
      <c r="H72" s="627">
        <f>$G72*IFERROR(INDEX(Lists!$AD:$AD,MATCH($E72,Lists!$AC:$AC,0)),1)</f>
        <v>170489.75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Mapping'!$B:$B,4)</f>
        <v>Alex Prakhiy</v>
      </c>
      <c r="C73" s="634" t="str">
        <f>INDEX('REVIEW - Complete Role Mapping'!$C:$C,4)</f>
        <v>Business Analyst</v>
      </c>
      <c r="D73" s="612" t="str">
        <f>INDEX('REVIEW - Complete Role Mapping'!$AK:$AK,4)</f>
        <v>Filled</v>
      </c>
      <c r="E73" s="612" t="inlineStr">
        <is>
          <t>Filled</t>
        </is>
      </c>
      <c r="F73" s="634" t="str">
        <f>INDEX('REVIEW - Complete Role Mapping'!$AT:$AT,4)</f>
        <v>EGI Retail</v>
      </c>
      <c r="G73" s="627">
        <f>INDEX('REVIEW - Complete Role Mapping'!$AA:$AA,4)</f>
        <v>222000</v>
      </c>
      <c r="H73" s="627">
        <f>$G73*IFERROR(INDEX(Lists!$AD:$AD,MATCH($E73,Lists!$AC:$AC,0)),1)</f>
        <v>222000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Mapping'!$B:$B,10)</f>
        <v>Anne Pretorius</v>
      </c>
      <c r="C74" s="634" t="str">
        <f>INDEX('REVIEW - Complete Role Mapping'!$C:$C,10)</f>
        <v>Lead Business Analyst</v>
      </c>
      <c r="D74" s="612" t="str">
        <f>INDEX('REVIEW - Complete Role Mapping'!$AK:$AK,10)</f>
        <v>Filled</v>
      </c>
      <c r="E74" s="612" t="inlineStr">
        <is>
          <t>Filled</t>
        </is>
      </c>
      <c r="F74" s="634" t="str">
        <f>INDEX('REVIEW - Complete Role Mapping'!$AT:$AT,10)</f>
        <v>EGI Retail</v>
      </c>
      <c r="G74" s="627">
        <f>INDEX('REVIEW - Complete Role Mapping'!$AA:$AA,10)</f>
        <v>195610.164</v>
      </c>
      <c r="H74" s="627">
        <f>$G74*IFERROR(INDEX(Lists!$AD:$AD,MATCH($E74,Lists!$AC:$AC,0)),1)</f>
        <v>195610.164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Mapping'!$B:$B,47)</f>
        <v>Marty O'Shea</v>
      </c>
      <c r="C75" s="634" t="str">
        <f>INDEX('REVIEW - Complete Role Mapping'!$C:$C,47)</f>
        <v>Systems Analyst</v>
      </c>
      <c r="D75" s="612" t="str">
        <f>INDEX('REVIEW - Complete Role Mapping'!$AK:$AK,47)</f>
        <v>Filled</v>
      </c>
      <c r="E75" s="612" t="inlineStr">
        <is>
          <t>Filled</t>
        </is>
      </c>
      <c r="F75" s="634" t="str">
        <f>INDEX('REVIEW - Complete Role Mapping'!$AT:$AT,47)</f>
        <v>EGI Retail</v>
      </c>
      <c r="G75" s="627">
        <f>INDEX('REVIEW - Complete Role Mapping'!$AA:$AA,47)</f>
        <v>247161.9</v>
      </c>
      <c r="H75" s="627">
        <f>$G75*IFERROR(INDEX(Lists!$AD:$AD,MATCH($E75,Lists!$AC:$AC,0)),1)</f>
        <v>247161.9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Mapping'!$B:$B,52)</f>
        <v>Navneet Singh</v>
      </c>
      <c r="C76" s="634" t="str">
        <f>INDEX('REVIEW - Complete Role Mapping'!$C:$C,52)</f>
        <v>Solution Architect</v>
      </c>
      <c r="D76" s="612" t="str">
        <f>INDEX('REVIEW - Complete Role Mapping'!$AK:$AK,52)</f>
        <v>Filled</v>
      </c>
      <c r="E76" s="612" t="inlineStr">
        <is>
          <t>Filled</t>
        </is>
      </c>
      <c r="F76" s="634" t="str">
        <f>INDEX('REVIEW - Complete Role Mapping'!$AT:$AT,52)</f>
        <v>EGI Retail</v>
      </c>
      <c r="G76" s="627">
        <f>INDEX('REVIEW - Complete Role Mapping'!$AA:$AA,52)</f>
        <v>133500</v>
      </c>
      <c r="H76" s="627">
        <f>$G76*IFERROR(INDEX(Lists!$AD:$AD,MATCH($E76,Lists!$AC:$AC,0)),1)</f>
        <v>133500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Mapping'!$B:$B,60)</f>
        <v>Sendhil Vinayagam (75% EGI)</v>
      </c>
      <c r="C77" s="634" t="str">
        <f>INDEX('REVIEW - Complete Role Mapping'!$C:$C,60)</f>
        <v>Solution Architect</v>
      </c>
      <c r="D77" s="612" t="str">
        <f>INDEX('REVIEW - Complete Role Mapping'!$AK:$AK,60)</f>
        <v>Filled</v>
      </c>
      <c r="E77" s="647" t="inlineStr">
        <is>
          <t>Filled</t>
        </is>
      </c>
      <c r="F77" s="648" t="str">
        <f>INDEX('REVIEW - Complete Role Mapping'!$AT:$AT,60)</f>
        <v>EGI Retail</v>
      </c>
      <c r="G77" s="627">
        <f>INDEX('REVIEW - Complete Role Mapping'!$AA:$AA,60)</f>
        <v>267547.35</v>
      </c>
      <c r="H77" s="627">
        <f>$G77*IFERROR(INDEX(Lists!$AD:$AD,MATCH($E77,Lists!$AC:$AC,0)),1)</f>
        <v>267547.35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Mapping'!$B:$B,61)</f>
        <v>Sjoerd Van Sluijs</v>
      </c>
      <c r="C78" s="634" t="str">
        <f>INDEX('REVIEW - Complete Role Mapping'!$C:$C,61)</f>
        <v>Senior PM PEP1, PEP18</v>
      </c>
      <c r="D78" s="612" t="str">
        <f>INDEX('REVIEW - Complete Role Mapping'!$AK:$AK,61)</f>
        <v>Filled</v>
      </c>
      <c r="E78" s="647" t="inlineStr">
        <is>
          <t>Filled</t>
        </is>
      </c>
      <c r="F78" s="648" t="str">
        <f>INDEX('REVIEW - Complete Role Mapping'!$AT:$AT,61)</f>
        <v>EGI Retail</v>
      </c>
      <c r="G78" s="627">
        <f>INDEX('REVIEW - Complete Role Mapping'!$AA:$AA,61)</f>
        <v>155538.2</v>
      </c>
      <c r="H78" s="627">
        <f>$G78*IFERROR(INDEX(Lists!$AD:$AD,MATCH($E78,Lists!$AC:$AC,0)),1)</f>
        <v>155538.2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Mapping'!$B:$B,3)</f>
        <v>Adrian Lueng</v>
      </c>
      <c r="C79" s="634" t="str">
        <f>INDEX('REVIEW - Complete Role Mapping'!$C:$C,3)</f>
        <v>Quality Assurance</v>
      </c>
      <c r="D79" s="612" t="str">
        <f>INDEX('REVIEW - Complete Role Mapping'!$AK:$AK,3)</f>
        <v>Filled</v>
      </c>
      <c r="E79" s="647" t="inlineStr">
        <is>
          <t>Filled</t>
        </is>
      </c>
      <c r="F79" s="648" t="str">
        <f>INDEX('REVIEW - Complete Role Mapping'!$AT:$AT,3)</f>
        <v>Network &amp; QSR</v>
      </c>
      <c r="G79" s="627">
        <f>INDEX('REVIEW - Complete Role Mapping'!$AA:$AA,3)</f>
        <v>157839.45</v>
      </c>
      <c r="H79" s="627">
        <f>$G79*IFERROR(INDEX(Lists!$AD:$AD,MATCH($E79,Lists!$AC:$AC,0)),1)</f>
        <v>157839.45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Mapping'!$B:$B,32)</f>
        <v>Javier Aguirre Castellanos</v>
      </c>
      <c r="C80" s="634" t="str">
        <f>INDEX('REVIEW - Complete Role Mapping'!$C:$C,32)</f>
        <v>Solution Architect</v>
      </c>
      <c r="D80" s="612" t="str">
        <f>INDEX('REVIEW - Complete Role Mapping'!$AK:$AK,32)</f>
        <v>Filled</v>
      </c>
      <c r="E80" s="647" t="inlineStr">
        <is>
          <t>Filled</t>
        </is>
      </c>
      <c r="F80" s="648" t="str">
        <f>INDEX('REVIEW - Complete Role Mapping'!$AT:$AT,32)</f>
        <v>Network &amp; QSR</v>
      </c>
      <c r="G80" s="627">
        <f>INDEX('REVIEW - Complete Role Mapping'!$AA:$AA,32)</f>
        <v>133044</v>
      </c>
      <c r="H80" s="627">
        <f>$G80*IFERROR(INDEX(Lists!$AD:$AD,MATCH($E80,Lists!$AC:$AC,0)),1)</f>
        <v>133044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Mapping'!$B:$B,57)</f>
        <v>Santiago Hernandez Arevalo</v>
      </c>
      <c r="C81" s="634" t="str">
        <f>INDEX('REVIEW - Complete Role Mapping'!$C:$C,57)</f>
        <v>Systems Analyst</v>
      </c>
      <c r="D81" s="612" t="str">
        <f>INDEX('REVIEW - Complete Role Mapping'!$AK:$AK,57)</f>
        <v>Filled</v>
      </c>
      <c r="E81" s="612" t="inlineStr">
        <is>
          <t>Filled</t>
        </is>
      </c>
      <c r="F81" s="634" t="str">
        <f>INDEX('REVIEW - Complete Role Mapping'!$AT:$AT,57)</f>
        <v>Network &amp; QSR</v>
      </c>
      <c r="G81" s="627">
        <f>INDEX('REVIEW - Complete Role Mapping'!$AA:$AA,57)</f>
        <v>206150.7</v>
      </c>
      <c r="H81" s="627">
        <f>$G81*IFERROR(INDEX(Lists!$AD:$AD,MATCH($E81,Lists!$AC:$AC,0)),1)</f>
        <v>206150.7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Mapping'!$B:$B,99)</f>
        <v>Vanessa Trujillo Munoz</v>
      </c>
      <c r="C82" s="634" t="str">
        <f>INDEX('REVIEW - Complete Role Mapping'!$C:$C,99)</f>
        <v>Delivery Lead</v>
      </c>
      <c r="D82" s="612" t="str">
        <f>INDEX('REVIEW - Complete Role Mapping'!$AK:$AK,99)</f>
        <v>Filled</v>
      </c>
      <c r="E82" s="612" t="inlineStr">
        <is>
          <t>Filled</t>
        </is>
      </c>
      <c r="F82" s="634" t="str">
        <f>INDEX('REVIEW - Complete Role Mapping'!$AT:$AT,99)</f>
        <v>Network &amp; QSR</v>
      </c>
      <c r="G82" s="627">
        <f>INDEX('REVIEW - Complete Role Mapping'!$AA:$AA,99)</f>
        <v>182454.45</v>
      </c>
      <c r="H82" s="627">
        <f>$G82*IFERROR(INDEX(Lists!$AD:$AD,MATCH($E82,Lists!$AC:$AC,0)),1)</f>
        <v>182454.45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Mapping'!$B:$B,68)</f>
        <v>Vacant</v>
      </c>
      <c r="C83" s="634" t="str">
        <f>INDEX('REVIEW - Complete Role Mapping'!$C:$C,68)</f>
        <v>Business Analyst</v>
      </c>
      <c r="D83" s="612" t="str">
        <f>INDEX('REVIEW - Complete Role Mapping'!$AK:$AK,68)</f>
        <v>Vacant</v>
      </c>
      <c r="E83" s="612" t="inlineStr">
        <is>
          <t>Hire</t>
        </is>
      </c>
      <c r="F83" s="634" t="str">
        <f>INDEX('REVIEW - Complete Role Mapping'!$AT:$AT,68)</f>
        <v>Network &amp; QSR</v>
      </c>
      <c r="G83" s="627">
        <f>INDEX('REVIEW - Complete Role Mapping'!$AA:$AA,68)</f>
        <v>202853.25</v>
      </c>
      <c r="H83" s="627">
        <f>$G83*IFERROR(INDEX(Lists!$AD:$AD,MATCH($E83,Lists!$AC:$AC,0)),1)</f>
        <v>202853.25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Mapping'!$B:$B,93)</f>
        <v>Vacant</v>
      </c>
      <c r="C84" s="646" t="str">
        <f>INDEX('REVIEW - Complete Role Mapping'!$C:$C,93)</f>
        <v>Systems Analyst</v>
      </c>
      <c r="D84" s="646" t="str">
        <f>INDEX('REVIEW - Complete Role Mapping'!$AK:$AK,93)</f>
        <v>Vacant</v>
      </c>
      <c r="E84" s="646" t="inlineStr">
        <is>
          <t>Hire</t>
        </is>
      </c>
      <c r="F84" s="646" t="str">
        <f>INDEX('REVIEW - Complete Role Mapping'!$AT:$AT,93)</f>
        <v>Network &amp; QSR</v>
      </c>
      <c r="G84" s="627">
        <f>INDEX('REVIEW - Complete Role Mapping'!$AA:$AA,93)</f>
        <v>231689.25</v>
      </c>
      <c r="H84" s="627">
        <f>$G84*IFERROR(INDEX(Lists!$AD:$AD,MATCH($E84,Lists!$AC:$AC,0)),1)</f>
        <v>231689.25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Mapping'!$B:$B,8)</f>
        <v>Aniket Banerji</v>
      </c>
      <c r="C85" s="634" t="str">
        <f>INDEX('REVIEW - Complete Role Mapping'!$C:$C,8)</f>
        <v>Deployment Lead</v>
      </c>
      <c r="D85" s="612" t="str">
        <f>INDEX('REVIEW - Complete Role Mapping'!$AK:$AK,8)</f>
        <v>Filled</v>
      </c>
      <c r="E85" s="647" t="inlineStr">
        <is>
          <t>Filled</t>
        </is>
      </c>
      <c r="F85" s="648" t="str">
        <f>INDEX('REVIEW - Complete Role Mapping'!$AT:$AT,8)</f>
        <v>Deployment</v>
      </c>
      <c r="G85" s="627">
        <f>INDEX('REVIEW - Complete Role Mapping'!$AA:$AA,8)</f>
        <v>200250</v>
      </c>
      <c r="H85" s="627">
        <f>$G85*IFERROR(INDEX(Lists!$AD:$AD,MATCH($E85,Lists!$AC:$AC,0)),1)</f>
        <v>200250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Mapping'!$B:$B,11)</f>
        <v>Anthony Dumbrell</v>
      </c>
      <c r="C86" s="634" t="str">
        <f>INDEX('REVIEW - Complete Role Mapping'!$C:$C,11)</f>
        <v>Technology &amp; Lab Specialist Stores</v>
      </c>
      <c r="D86" s="612" t="str">
        <f>INDEX('REVIEW - Complete Role Mapping'!$AK:$AK,11)</f>
        <v>Filled</v>
      </c>
      <c r="E86" s="647" t="inlineStr">
        <is>
          <t>Filled</t>
        </is>
      </c>
      <c r="F86" s="648" t="str">
        <f>INDEX('REVIEW - Complete Role Mapping'!$AT:$AT,11)</f>
        <v>Deployment</v>
      </c>
      <c r="G86" s="627">
        <f>INDEX('REVIEW - Complete Role Mapping'!$AA:$AA,11)</f>
        <v>206070.6</v>
      </c>
      <c r="H86" s="627">
        <f>$G86*IFERROR(INDEX(Lists!$AD:$AD,MATCH($E86,Lists!$AC:$AC,0)),1)</f>
        <v>206070.6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Mapping'!$B:$B,22)</f>
        <v>Deepak Kubendran</v>
      </c>
      <c r="C87" s="634" t="str">
        <f>INDEX('REVIEW - Complete Role Mapping'!$C:$C,22)</f>
        <v>Project Manager – Deployments</v>
      </c>
      <c r="D87" s="612" t="str">
        <f>INDEX('REVIEW - Complete Role Mapping'!$AK:$AK,22)</f>
        <v>Filled</v>
      </c>
      <c r="E87" s="647" t="inlineStr">
        <is>
          <t>Filled</t>
        </is>
      </c>
      <c r="F87" s="648" t="str">
        <f>INDEX('REVIEW - Complete Role Mapping'!$AT:$AT,22)</f>
        <v>Deployment</v>
      </c>
      <c r="G87" s="627">
        <f>INDEX('REVIEW - Complete Role Mapping'!$AA:$AA,22)</f>
        <v>205483.2</v>
      </c>
      <c r="H87" s="627">
        <f>$G87*IFERROR(INDEX(Lists!$AD:$AD,MATCH($E87,Lists!$AC:$AC,0)),1)</f>
        <v>205483.2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Mapping'!$B:$B,48)</f>
        <v>Matthew Patane</v>
      </c>
      <c r="C88" s="634" t="str">
        <f>INDEX('REVIEW - Complete Role Mapping'!$C:$C,48)</f>
        <v>Release &amp; Deployment Manager</v>
      </c>
      <c r="D88" s="612" t="str">
        <f>INDEX('REVIEW - Complete Role Mapping'!$AK:$AK,48)</f>
        <v>Filled</v>
      </c>
      <c r="E88" s="647" t="inlineStr">
        <is>
          <t>Filled</t>
        </is>
      </c>
      <c r="F88" s="648" t="str">
        <f>INDEX('REVIEW - Complete Role Mapping'!$AT:$AT,48)</f>
        <v>Deployment</v>
      </c>
      <c r="G88" s="627">
        <f>INDEX('REVIEW - Complete Role Mapping'!$AA:$AA,48)</f>
        <v>136461.432</v>
      </c>
      <c r="H88" s="627">
        <f>$G88*IFERROR(INDEX(Lists!$AD:$AD,MATCH($E88,Lists!$AC:$AC,0)),1)</f>
        <v>136461.432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Mapping'!$B:$B,103)</f>
        <v>Violeta Trajkovski</v>
      </c>
      <c r="C89" s="634" t="str">
        <f>INDEX('REVIEW - Complete Role Mapping'!$C:$C,103)</f>
        <v>Deployment Coordinator</v>
      </c>
      <c r="D89" s="612" t="str">
        <f>INDEX('REVIEW - Complete Role Mapping'!$AK:$AK,103)</f>
        <v>Filled</v>
      </c>
      <c r="E89" s="647" t="inlineStr">
        <is>
          <t>Filled</t>
        </is>
      </c>
      <c r="F89" s="648" t="str">
        <f>INDEX('REVIEW - Complete Role Mapping'!$AT:$AT,103)</f>
        <v>Deployment</v>
      </c>
      <c r="G89" s="627">
        <f>INDEX('REVIEW - Complete Role Mapping'!$AA:$AA,103)</f>
        <v>145570.5</v>
      </c>
      <c r="H89" s="627">
        <f>$G89*IFERROR(INDEX(Lists!$AD:$AD,MATCH($E89,Lists!$AC:$AC,0)),1)</f>
        <v>145570.5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Mapping'!$B:$B,14)</f>
        <v>Beenu Murali</v>
      </c>
      <c r="C90" s="634" t="str">
        <f>INDEX('REVIEW - Complete Role Mapping'!$C:$C,14)</f>
        <v>Quality Assurance</v>
      </c>
      <c r="D90" s="612" t="str">
        <f>INDEX('REVIEW - Complete Role Mapping'!$AK:$AK,14)</f>
        <v>Filled</v>
      </c>
      <c r="E90" s="647" t="inlineStr">
        <is>
          <t>Filled</t>
        </is>
      </c>
      <c r="F90" s="648" t="str">
        <f>INDEX('REVIEW - Complete Role Mapping'!$AT:$AT,14)</f>
        <v>Payments</v>
      </c>
      <c r="G90" s="627">
        <f>INDEX('REVIEW - Complete Role Mapping'!$AA:$AA,14)</f>
        <v>146083.35</v>
      </c>
      <c r="H90" s="627">
        <f>$G90*IFERROR(INDEX(Lists!$AD:$AD,MATCH($E90,Lists!$AC:$AC,0)),1)</f>
        <v>146083.35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Mapping'!$B:$B,59)</f>
        <v>Sayan Kar</v>
      </c>
      <c r="C91" s="634" t="str">
        <f>INDEX('REVIEW - Complete Role Mapping'!$C:$C,59)</f>
        <v>Systems Analyst</v>
      </c>
      <c r="D91" s="612" t="str">
        <f>INDEX('REVIEW - Complete Role Mapping'!$AK:$AK,59)</f>
        <v>Filled</v>
      </c>
      <c r="E91" s="647" t="inlineStr">
        <is>
          <t>Filled</t>
        </is>
      </c>
      <c r="F91" s="648" t="str">
        <f>INDEX('REVIEW - Complete Role Mapping'!$AT:$AT,59)</f>
        <v>Payments</v>
      </c>
      <c r="G91" s="627">
        <f>INDEX('REVIEW - Complete Role Mapping'!$AA:$AA,59)</f>
        <v>259243.65</v>
      </c>
      <c r="H91" s="627">
        <f>$G91*IFERROR(INDEX(Lists!$AD:$AD,MATCH($E91,Lists!$AC:$AC,0)),1)</f>
        <v>259243.65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Mapping'!$B:$B,101)</f>
        <v>Venkat Kedharanathan</v>
      </c>
      <c r="C92" s="634" t="str">
        <f>INDEX('REVIEW - Complete Role Mapping'!$C:$C,101)</f>
        <v>Senior Business Analyst</v>
      </c>
      <c r="D92" s="612" t="str">
        <f>INDEX('REVIEW - Complete Role Mapping'!$AK:$AK,101)</f>
        <v>Filled</v>
      </c>
      <c r="E92" s="647" t="inlineStr">
        <is>
          <t>Filled</t>
        </is>
      </c>
      <c r="F92" s="648" t="str">
        <f>INDEX('REVIEW - Complete Role Mapping'!$AT:$AT,101)</f>
        <v>Payments</v>
      </c>
      <c r="G92" s="627">
        <f>INDEX('REVIEW - Complete Role Mapping'!$AA:$AA,101)</f>
        <v>213600</v>
      </c>
      <c r="H92" s="627">
        <f>$G92*IFERROR(INDEX(Lists!$AD:$AD,MATCH($E92,Lists!$AC:$AC,0)),1)</f>
        <v>213600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Mapping'!$B:$B,94)</f>
        <v>Vacant</v>
      </c>
      <c r="C93" s="646" t="str">
        <f>INDEX('REVIEW - Complete Role Mapping'!$C:$C,94)</f>
        <v>Systems Analyst</v>
      </c>
      <c r="D93" s="646" t="str">
        <f>INDEX('REVIEW - Complete Role Mapping'!$AK:$AK,94)</f>
        <v>Vacant</v>
      </c>
      <c r="E93" s="646" t="inlineStr">
        <is>
          <t>Hire</t>
        </is>
      </c>
      <c r="F93" s="646" t="str">
        <f>INDEX('REVIEW - Complete Role Mapping'!$AT:$AT,94)</f>
        <v>Payments</v>
      </c>
      <c r="G93" s="627">
        <f>INDEX('REVIEW - Complete Role Mapping'!$AA:$AA,94)</f>
        <v>170501.585</v>
      </c>
      <c r="H93" s="627">
        <f>$G93*IFERROR(INDEX(Lists!$AD:$AD,MATCH($E93,Lists!$AC:$AC,0)),1)</f>
        <v>170501.585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Mapping'!$B:$B,104)</f>
        <v>Viren Khatri</v>
      </c>
      <c r="C94" s="634" t="str">
        <f>INDEX('REVIEW - Complete Role Mapping'!$C:$C,104)</f>
        <v>Data Migration Lead</v>
      </c>
      <c r="D94" s="612" t="str">
        <f>INDEX('REVIEW - Complete Role Mapping'!$AK:$AK,104)</f>
        <v>Filled</v>
      </c>
      <c r="E94" s="647" t="inlineStr">
        <is>
          <t>Filled</t>
        </is>
      </c>
      <c r="F94" s="648" t="str">
        <f>INDEX('REVIEW - Complete Role Mapping'!$AT:$AT,104)</f>
        <v>EGI TDD</v>
      </c>
      <c r="G94" s="627">
        <f>INDEX('REVIEW - Complete Role Mapping'!$AA:$AA,104)</f>
        <v>299700</v>
      </c>
      <c r="H94" s="627">
        <f>$G94*IFERROR(INDEX(Lists!$AD:$AD,MATCH($E94,Lists!$AC:$AC,0)),1)</f>
        <v>299700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str">
        <f>INDEX('REVIEW - Complete Role Mapping'!$B:$B,42)</f>
        <v>Madan Murthy</v>
      </c>
      <c r="C95" s="634" t="str">
        <f>INDEX('REVIEW - Complete Role Mapping'!$C:$C,42)</f>
        <v>Head of Technology, AU Retail</v>
      </c>
      <c r="D95" s="612" t="str">
        <f>INDEX('REVIEW - Complete Role Mapping'!$AK:$AK,42)</f>
        <v>Filled</v>
      </c>
      <c r="E95" s="647" t="inlineStr">
        <is>
          <t>Filled</t>
        </is>
      </c>
      <c r="F95" s="648" t="str">
        <f>INDEX('REVIEW - Complete Role Mapping'!$AT:$AT,42)</f>
        <v>Head of Technology</v>
      </c>
      <c r="G95" s="627">
        <f>INDEX('REVIEW - Complete Role Mapping'!$AA:$AA,42)</f>
        <v>186032.25</v>
      </c>
      <c r="H95" s="627">
        <f>$G95*IFERROR(INDEX(Lists!$AD:$AD,MATCH($E95,Lists!$AC:$AC,0)),1)</f>
        <v>186032.25</v>
      </c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str">
        <f>INDEX('REVIEW - Complete Role Mapping'!$B:$B,97)</f>
        <v>Vanessa Allen</v>
      </c>
      <c r="C96" s="634" t="str">
        <f>INDEX('REVIEW - Complete Role Mapping'!$C:$C,97)</f>
        <v>Delivery Manager</v>
      </c>
      <c r="D96" s="612" t="str">
        <f>INDEX('REVIEW - Complete Role Mapping'!$AK:$AK,97)</f>
        <v>Filled</v>
      </c>
      <c r="E96" s="647" t="inlineStr">
        <is>
          <t>Filled</t>
        </is>
      </c>
      <c r="F96" s="648" t="str">
        <f>INDEX('REVIEW - Complete Role Mapping'!$AT:$AT,97)</f>
        <v>Delivery Manager</v>
      </c>
      <c r="G96" s="627">
        <f>INDEX('REVIEW - Complete Role Mapping'!$AA:$AA,97)</f>
        <v>302937.35</v>
      </c>
      <c r="H96" s="627">
        <f>$G96*IFERROR(INDEX(Lists!$AD:$AD,MATCH($E96,Lists!$AC:$AC,0)),1)</f>
        <v>302937.35</v>
      </c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str">
        <f>INDEX('REVIEW - Complete Role Mapping'!$B:$B,64)</f>
        <v>Tracy Lee Reaper</v>
      </c>
      <c r="C97" s="634" t="str">
        <f>INDEX('REVIEW - Complete Role Mapping'!$C:$C,64)</f>
        <v>Technology Manager, Merchandising &amp; WFM</v>
      </c>
      <c r="D97" s="612" t="str">
        <f>INDEX('REVIEW - Complete Role Mapping'!$AK:$AK,64)</f>
        <v>Filled</v>
      </c>
      <c r="E97" s="647" t="inlineStr">
        <is>
          <t>Filled</t>
        </is>
      </c>
      <c r="F97" s="648" t="str">
        <f>INDEX('REVIEW - Complete Role Mapping'!$AT:$AT,64)</f>
        <v>Technology Manager</v>
      </c>
      <c r="G97" s="627">
        <f>INDEX('REVIEW - Complete Role Mapping'!$AA:$AA,64)</f>
        <v>224341.488</v>
      </c>
      <c r="H97" s="627">
        <f>$G97*IFERROR(INDEX(Lists!$AD:$AD,MATCH($E97,Lists!$AC:$AC,0)),1)</f>
        <v>224341.488</v>
      </c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str">
        <f>INDEX('REVIEW - Complete Role Mapping'!$B:$B,96)</f>
        <v>Vaishnavi Viswanathan</v>
      </c>
      <c r="C98" s="634" t="str">
        <f>INDEX('REVIEW - Complete Role Mapping'!$C:$C,96)</f>
        <v>Technology Manager, Store Platform</v>
      </c>
      <c r="D98" s="612" t="str">
        <f>INDEX('REVIEW - Complete Role Mapping'!$AK:$AK,96)</f>
        <v>Filled</v>
      </c>
      <c r="E98" s="647" t="inlineStr">
        <is>
          <t>Filled</t>
        </is>
      </c>
      <c r="F98" s="648" t="str">
        <f>INDEX('REVIEW - Complete Role Mapping'!$AT:$AT,96)</f>
        <v>Technology Manager</v>
      </c>
      <c r="G98" s="627">
        <f>INDEX('REVIEW - Complete Role Mapping'!$AA:$AA,96)</f>
        <v>257754.875</v>
      </c>
      <c r="H98" s="627">
        <f>$G98*IFERROR(INDEX(Lists!$AD:$AD,MATCH($E98,Lists!$AC:$AC,0)),1)</f>
        <v>257754.875</v>
      </c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str">
        <f>INDEX('REVIEW - Complete Role Mapping'!$B:$B,100)</f>
        <v>Vedran Jukic</v>
      </c>
      <c r="C99" s="634" t="str">
        <f>INDEX('REVIEW - Complete Role Mapping'!$C:$C,100)</f>
        <v>Technology Manager, Retail</v>
      </c>
      <c r="D99" s="612" t="str">
        <f>INDEX('REVIEW - Complete Role Mapping'!$AK:$AK,100)</f>
        <v>Filled</v>
      </c>
      <c r="E99" s="647" t="inlineStr">
        <is>
          <t>Filled</t>
        </is>
      </c>
      <c r="F99" s="648" t="str">
        <f>INDEX('REVIEW - Complete Role Mapping'!$AT:$AT,100)</f>
        <v>Technology Manager</v>
      </c>
      <c r="G99" s="627">
        <f>INDEX('REVIEW - Complete Role Mapping'!$AA:$AA,100)</f>
        <v>284550</v>
      </c>
      <c r="H99" s="627">
        <f>$G99*IFERROR(INDEX(Lists!$AD:$AD,MATCH($E99,Lists!$AC:$AC,0)),1)</f>
        <v>284550</v>
      </c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5:D94">
    <cfRule type="cellIs" priority="4" operator="equal" dxfId="48">
      <formula>"Vacant"</formula>
    </cfRule>
  </conditionalFormatting>
  <conditionalFormatting sqref="I6:I16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6">
    <cfRule type="expression" priority="7" dxfId="48">
      <formula>AND(ISNUMBER($F6),$F6&gt;0)</formula>
    </cfRule>
  </conditionalFormatting>
  <dataValidations count="1">
    <dataValidation sqref="E30:E99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2:T114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1226" t="inlineStr">
        <is>
          <t>Portfolio</t>
        </is>
      </c>
      <c r="C3" s="949" t="inlineStr">
        <is>
          <t>Customer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7" t="inlineStr">
        <is>
          <t>Change from decisions ($m)</t>
        </is>
      </c>
      <c r="Q5" s="1247" t="inlineStr">
        <is>
          <t>Vacant cost ($m)</t>
        </is>
      </c>
      <c r="R5" s="1247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Ampol App</t>
        </is>
      </c>
      <c r="C6" s="635" t="str">
        <f>IFERROR(INDEX('1.2 Customer'!$C$29:$C$56,MATCH($S6,'1.2 Customer'!$B$29:$B$56,0)),"No archetype for this squad")</f>
        <v>Product</v>
      </c>
      <c r="D6" s="1249">
        <f>IFERROR(INDEX('0.3 Squad Archetypes'!$F$5:$F$23,MATCH($C6&amp;"|"&amp;$R6,'0.3 Squad Archetypes'!$A$5:$A$23,0)),"-")</f>
        <v>12</v>
      </c>
      <c r="E6" s="1250">
        <f>COUNTIFS($F$30:$F$112,$B6)</f>
        <v>14</v>
      </c>
      <c r="F6" s="1250">
        <f>IFERROR($E6-$D6,"-")</f>
        <v>2</v>
      </c>
      <c r="G6" s="1250">
        <f>COUNTIFS($F$30:$F$112,$B6,$D$30:$D$112,"Vacant")</f>
        <v>0</v>
      </c>
      <c r="H6" s="1250">
        <f>COUNTIFS($F$30:$F$112,$B6,$D$30:$D$112,"Vacant",$E$30:$E$112,"Hire")+COUNTIFS($F$30:$F$112,$B6,$D$30:$D$112,"Vacant",$E$30:$E$112,"Offshore")</f>
        <v>0</v>
      </c>
      <c r="I6" s="1250">
        <f>COUNTIFS($F$30:$F$112,$B6,$D$30:$D$112,"Vacant",$E$30:$E$112,"Hold")</f>
        <v>0</v>
      </c>
      <c r="J6" s="1250">
        <f>$E6-COUNTIFS($F$30:$F$112,$B6,$E$30:$E$112,"Hold")</f>
        <v>14</v>
      </c>
      <c r="K6" s="634" t="str">
        <f>IF(NOT(ISNUMBER($D6)),"No archetype - see 0.3",IF($J6&gt;$D6,"Over archetype after decisions",IF($J6&lt;$D6,"Under archetype","On archetype")))</f>
        <v>Over archetype after decisions</v>
      </c>
      <c r="L6" s="1260">
        <f>IFERROR(IF(INDEX('1.2 Customer'!$E$29:$E$56,MATCH($S6,'1.2 Customer'!$B$29:$B$56,0))="Offshore",INDEX('0.3 Squad Archetypes'!$H$5:$H$23,MATCH($C6&amp;"|"&amp;$R6,'0.3 Squad Archetypes'!$A$5:$A$23,0)),INDEX('0.3 Squad Archetypes'!$G$5:$G$23,MATCH($C6&amp;"|"&amp;$R6,'0.3 Squad Archetypes'!$A$5:$A$23,0))),"-")</f>
        <v>2.8</v>
      </c>
      <c r="M6" s="1252">
        <f>SUMIFS('REVIEW - Complete Role Mapping'!$AA$2:$AA$528,'REVIEW - Complete Role Mapping'!$AJ$2:$AJ$528,$C$3,'REVIEW - Complete Role Mapping'!$AT$2:$AT$528,$B6)/1000000</f>
        <v>3.36059233</v>
      </c>
      <c r="N6" s="1252">
        <f>IFERROR($M6-$L6,"-")</f>
        <v>0.56059233</v>
      </c>
      <c r="O6" s="1252">
        <f>(SUMIFS('REVIEW - Complete Role Mapping'!$AA$2:$AA$528,'REVIEW - Complete Role Mapping'!$AJ$2:$AJ$528,$C$3,'REVIEW - Complete Role Mapping'!$AT$2:$AT$528,$B6,'REVIEW - Complete Role Mapping'!$AK$2:$AK$528,"Filled")+SUMIFS($H$30:$H$112,$F$30:$F$112,$B6))/1000000</f>
        <v>6.72118466</v>
      </c>
      <c r="P6" s="1252">
        <f>$O6-$M6</f>
        <v>3.36059233</v>
      </c>
      <c r="Q6" s="1252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s="635" t="str">
        <f>IFERROR(IF(INDEX('1.2 Customer'!$D$29:$D$56,MATCH($S6,'1.2 Customer'!$B$29:$B$56,0))="","-",INDEX('1.2 Customer'!$D$29:$D$56,MATCH($S6,'1.2 Customer'!$B$29:$B$56,0))),"-")</f>
        <v>L</v>
      </c>
      <c r="S6" t="str">
        <f>IFERROR(INDEX(Lists!$AA:$AA,MATCH($B6,Lists!$Z:$Z,0)),$B6)</f>
        <v>Ampol App</v>
      </c>
    </row>
    <row r="7">
      <c r="A7" s="949" t="n"/>
      <c r="B7" s="640" t="inlineStr">
        <is>
          <t>Z Loyalty &amp; Martech</t>
        </is>
      </c>
      <c r="C7" s="635" t="str">
        <f>IFERROR(INDEX('1.2 Customer'!$C$29:$C$56,MATCH($S7,'1.2 Customer'!$B$29:$B$56,0)),"No archetype for this squad")</f>
        <v>Product</v>
      </c>
      <c r="D7" s="1249">
        <f>IFERROR(INDEX('0.3 Squad Archetypes'!$F$5:$F$23,MATCH($C7&amp;"|"&amp;$R7,'0.3 Squad Archetypes'!$A$5:$A$23,0)),"-")</f>
        <v>12</v>
      </c>
      <c r="E7" s="1250">
        <f>COUNTIFS($F$30:$F$112,$B7)</f>
        <v>14</v>
      </c>
      <c r="F7" s="1250">
        <f>IFERROR($E7-$D7,"-")</f>
        <v>2</v>
      </c>
      <c r="G7" s="1250">
        <f>COUNTIFS($F$30:$F$112,$B7,$D$30:$D$112,"Vacant")</f>
        <v>0</v>
      </c>
      <c r="H7" s="1250">
        <f>COUNTIFS($F$30:$F$112,$B7,$D$30:$D$112,"Vacant",$E$30:$E$112,"Hire")+COUNTIFS($F$30:$F$112,$B7,$D$30:$D$112,"Vacant",$E$30:$E$112,"Offshore")</f>
        <v>0</v>
      </c>
      <c r="I7" s="1250">
        <f>COUNTIFS($F$30:$F$112,$B7,$D$30:$D$112,"Vacant",$E$30:$E$112,"Hold")</f>
        <v>0</v>
      </c>
      <c r="J7" s="1250">
        <f>$E7-COUNTIFS($F$30:$F$112,$B7,$E$30:$E$112,"Hold")</f>
        <v>14</v>
      </c>
      <c r="K7" s="634" t="str">
        <f>IF(NOT(ISNUMBER($D7)),"No archetype - see 0.3",IF($J7&gt;$D7,"Over archetype after decisions",IF($J7&lt;$D7,"Under archetype","On archetype")))</f>
        <v>Over archetype after decisions</v>
      </c>
      <c r="L7" s="1260">
        <f>IFERROR(IF(INDEX('1.2 Customer'!$E$29:$E$56,MATCH($S7,'1.2 Customer'!$B$29:$B$56,0))="Offshore",INDEX('0.3 Squad Archetypes'!$H$5:$H$23,MATCH($C7&amp;"|"&amp;$R7,'0.3 Squad Archetypes'!$A$5:$A$23,0)),INDEX('0.3 Squad Archetypes'!$G$5:$G$23,MATCH($C7&amp;"|"&amp;$R7,'0.3 Squad Archetypes'!$A$5:$A$23,0))),"-")</f>
        <v>2.8</v>
      </c>
      <c r="M7" s="1252">
        <f>SUMIFS('REVIEW - Complete Role Mapping'!$AA$2:$AA$528,'REVIEW - Complete Role Mapping'!$AJ$2:$AJ$528,$C$3,'REVIEW - Complete Role Mapping'!$AT$2:$AT$528,$B7)/1000000</f>
        <v>2.946001772</v>
      </c>
      <c r="N7" s="1252">
        <f>IFERROR($M7-$L7,"-")</f>
        <v>0.146001772</v>
      </c>
      <c r="O7" s="1252">
        <f>(SUMIFS('REVIEW - Complete Role Mapping'!$AA$2:$AA$528,'REVIEW - Complete Role Mapping'!$AJ$2:$AJ$528,$C$3,'REVIEW - Complete Role Mapping'!$AT$2:$AT$528,$B7,'REVIEW - Complete Role Mapping'!$AK$2:$AK$528,"Filled")+SUMIFS($H$30:$H$112,$F$30:$F$112,$B7))/1000000</f>
        <v>5.892003544</v>
      </c>
      <c r="P7" s="1252">
        <f>$O7-$M7</f>
        <v>2.946001772</v>
      </c>
      <c r="Q7" s="1252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s="635" t="str">
        <f>IFERROR(IF(INDEX('1.2 Customer'!$D$29:$D$56,MATCH($S7,'1.2 Customer'!$B$29:$B$56,0))="","-",INDEX('1.2 Customer'!$D$29:$D$56,MATCH($S7,'1.2 Customer'!$B$29:$B$56,0))),"-")</f>
        <v>L</v>
      </c>
      <c r="S7" t="str">
        <f>IFERROR(INDEX(Lists!$AA:$AA,MATCH($B7,Lists!$Z:$Z,0)),$B7)</f>
        <v>Z Loyalty &amp; Martech</v>
      </c>
    </row>
    <row r="8">
      <c r="A8" s="949" t="n"/>
      <c r="B8" s="634" t="inlineStr">
        <is>
          <t>EGI Customer</t>
        </is>
      </c>
      <c r="C8" s="635" t="str">
        <f>IFERROR(INDEX('1.2 Customer'!$C$29:$C$56,MATCH($S8,'1.2 Customer'!$B$29:$B$56,0)),"No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COUNTIFS($F$30:$F$112,$B8)</f>
        <v>10</v>
      </c>
      <c r="F8" s="1250" t="str">
        <f>IFERROR($E8-$D8,"-")</f>
        <v>-</v>
      </c>
      <c r="G8" s="1250">
        <f>COUNTIFS($F$30:$F$112,$B8,$D$30:$D$112,"Vacant")</f>
        <v>0</v>
      </c>
      <c r="H8" s="1250">
        <f>COUNTIFS($F$30:$F$112,$B8,$D$30:$D$112,"Vacant",$E$30:$E$112,"Hire")+COUNTIFS($F$30:$F$112,$B8,$D$30:$D$112,"Vacant",$E$30:$E$112,"Offshore")</f>
        <v>0</v>
      </c>
      <c r="I8" s="1250">
        <f>COUNTIFS($F$30:$F$112,$B8,$D$30:$D$112,"Vacant",$E$30:$E$112,"Hold")</f>
        <v>0</v>
      </c>
      <c r="J8" s="1250">
        <f>$E8-COUNTIFS($F$30:$F$112,$B8,$E$30:$E$112,"Hold")</f>
        <v>10</v>
      </c>
      <c r="K8" s="634" t="str">
        <f>IF(NOT(ISNUMBER($D8)),"No archetype - see 0.3",IF($J8&gt;$D8,"Over archetype after decisions",IF($J8&lt;$D8,"Under archetype","On archetype")))</f>
        <v>No archetype - see 0.3</v>
      </c>
      <c r="L8" s="1260" t="str">
        <f>IFERROR(IF(INDEX('1.2 Customer'!$E$29:$E$56,MATCH($S8,'1.2 Customer'!$B$29:$B$56,0))="Offshore",INDEX('0.3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2.208135308</v>
      </c>
      <c r="N8" s="1252" t="str">
        <f>IFERROR($M8-$L8,"-")</f>
        <v>-</v>
      </c>
      <c r="O8" s="1252">
        <f>(SUMIFS('REVIEW - Complete Role Mapping'!$AA$2:$AA$528,'REVIEW - Complete Role Mapping'!$AJ$2:$AJ$528,$C$3,'REVIEW - Complete Role Mapping'!$AT$2:$AT$528,$B8,'REVIEW - Complete Role Mapping'!$AK$2:$AK$528,"Filled")+SUMIFS($H$30:$H$112,$F$30:$F$112,$B8))/1000000</f>
        <v>4.416270616</v>
      </c>
      <c r="P8" s="1252">
        <f>$O8-$M8</f>
        <v>2.208135308</v>
      </c>
      <c r="Q8" s="1252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s="635" t="str">
        <f>IFERROR(IF(INDEX('1.2 Customer'!$D$29:$D$56,MATCH($S8,'1.2 Customer'!$B$29:$B$56,0))="","-",INDEX('1.2 Customer'!$D$29:$D$56,MATCH($S8,'1.2 Customer'!$B$29:$B$56,0))),"-")</f>
        <v>-</v>
      </c>
      <c r="S8" t="str">
        <f>IFERROR(INDEX(Lists!$AA:$AA,MATCH($B8,Lists!$Z:$Z,0)),$B8)</f>
        <v>EGI Customer</v>
      </c>
    </row>
    <row r="9">
      <c r="A9" s="949" t="n"/>
      <c r="B9" s="640" t="inlineStr">
        <is>
          <t>Ampol Loyalty &amp; Martech</t>
        </is>
      </c>
      <c r="C9" s="635" t="str">
        <f>IFERROR(INDEX('1.2 Customer'!$C$29:$C$56,MATCH($S9,'1.2 Customer'!$B$29:$B$56,0)),"No archetype for this squad")</f>
        <v>Product</v>
      </c>
      <c r="D9" s="1249">
        <f>IFERROR(INDEX('0.3 Squad Archetypes'!$F$5:$F$23,MATCH($C9&amp;"|"&amp;$R9,'0.3 Squad Archetypes'!$A$5:$A$23,0)),"-")</f>
        <v>8.5</v>
      </c>
      <c r="E9" s="1250">
        <f>COUNTIFS($F$30:$F$112,$B9)</f>
        <v>9</v>
      </c>
      <c r="F9" s="1250">
        <f>IFERROR($E9-$D9,"-")</f>
        <v>0.5</v>
      </c>
      <c r="G9" s="1250">
        <f>COUNTIFS($F$30:$F$112,$B9,$D$30:$D$112,"Vacant")</f>
        <v>6</v>
      </c>
      <c r="H9" s="1250">
        <f>COUNTIFS($F$30:$F$112,$B9,$D$30:$D$112,"Vacant",$E$30:$E$112,"Hire")+COUNTIFS($F$30:$F$112,$B9,$D$30:$D$112,"Vacant",$E$30:$E$112,"Offshore")</f>
        <v>6</v>
      </c>
      <c r="I9" s="1250">
        <f>COUNTIFS($F$30:$F$112,$B9,$D$30:$D$112,"Vacant",$E$30:$E$112,"Hold")</f>
        <v>0</v>
      </c>
      <c r="J9" s="1250">
        <f>$E9-COUNTIFS($F$30:$F$112,$B9,$E$30:$E$112,"Hold")</f>
        <v>9</v>
      </c>
      <c r="K9" s="634" t="str">
        <f>IF(NOT(ISNUMBER($D9)),"No archetype - see 0.3",IF($J9&gt;$D9,"Over archetype after decisions",IF($J9&lt;$D9,"Under archetype","On archetype")))</f>
        <v>Over archetype after decisions</v>
      </c>
      <c r="L9" s="1260">
        <f>IFERROR(IF(INDEX('1.2 Customer'!$E$29:$E$56,MATCH($S9,'1.2 Customer'!$B$29:$B$56,0))="Offshore",INDEX('0.3 Squad Archetypes'!$H$5:$H$23,MATCH($C9&amp;"|"&amp;$R9,'0.3 Squad Archetypes'!$A$5:$A$23,0)),INDEX('0.3 Squad Archetypes'!$G$5:$G$23,MATCH($C9&amp;"|"&amp;$R9,'0.3 Squad Archetypes'!$A$5:$A$23,0))),"-")</f>
        <v>1.9</v>
      </c>
      <c r="M9" s="1252">
        <f>SUMIFS('REVIEW - Complete Role Mapping'!$AA$2:$AA$528,'REVIEW - Complete Role Mapping'!$AJ$2:$AJ$528,$C$3,'REVIEW - Complete Role Mapping'!$AT$2:$AT$528,$B9)/1000000</f>
        <v>1.331225988</v>
      </c>
      <c r="N9" s="1252">
        <f>IFERROR($M9-$L9,"-")</f>
        <v>-0.568774012</v>
      </c>
      <c r="O9" s="1252">
        <f>(SUMIFS('REVIEW - Complete Role Mapping'!$AA$2:$AA$528,'REVIEW - Complete Role Mapping'!$AJ$2:$AJ$528,$C$3,'REVIEW - Complete Role Mapping'!$AT$2:$AT$528,$B9,'REVIEW - Complete Role Mapping'!$AK$2:$AK$528,"Filled")+SUMIFS($H$30:$H$112,$F$30:$F$112,$B9))/1000000</f>
        <v>1.937182488</v>
      </c>
      <c r="P9" s="1252">
        <f>$O9-$M9</f>
        <v>0.6059565</v>
      </c>
      <c r="Q9" s="1252">
        <f>SUMIFS('REVIEW - Complete Role Mapping'!$AA$2:$AA$528,'REVIEW - Complete Role Mapping'!$AJ$2:$AJ$528,$C$3,'REVIEW - Complete Role Mapping'!$AT$2:$AT$528,$B9,'REVIEW - Complete Role Mapping'!$AK$2:$AK$528,"Vacant")/1000000</f>
        <v>0.725269488</v>
      </c>
      <c r="R9" s="635" t="str">
        <f>IFERROR(IF(INDEX('1.2 Customer'!$D$29:$D$56,MATCH($S9,'1.2 Customer'!$B$29:$B$56,0))="","-",INDEX('1.2 Customer'!$D$29:$D$56,MATCH($S9,'1.2 Customer'!$B$29:$B$56,0))),"-")</f>
        <v>M</v>
      </c>
      <c r="S9" t="str">
        <f>IFERROR(INDEX(Lists!$AA:$AA,MATCH($B9,Lists!$Z:$Z,0)),$B9)</f>
        <v>Ampol Loyalty &amp; Martech</v>
      </c>
    </row>
    <row r="10">
      <c r="A10" s="949" t="n"/>
      <c r="B10" s="634" t="inlineStr">
        <is>
          <t>Ampol Web</t>
        </is>
      </c>
      <c r="C10" s="635" t="str">
        <f>IFERROR(INDEX('1.2 Customer'!$C$29:$C$56,MATCH($S10,'1.2 Customer'!$B$29:$B$56,0)),"No archetype for this squad")</f>
        <v>Product</v>
      </c>
      <c r="D10" s="1249">
        <f>IFERROR(INDEX('0.3 Squad Archetypes'!$F$5:$F$23,MATCH($C10&amp;"|"&amp;$R10,'0.3 Squad Archetypes'!$A$5:$A$23,0)),"-")</f>
        <v>8.5</v>
      </c>
      <c r="E10" s="1250">
        <f>COUNTIFS($F$30:$F$112,$B10)</f>
        <v>8</v>
      </c>
      <c r="F10" s="1250">
        <f>IFERROR($E10-$D10,"-")</f>
        <v>-0.5</v>
      </c>
      <c r="G10" s="1250">
        <f>COUNTIFS($F$30:$F$112,$B10,$D$30:$D$112,"Vacant")</f>
        <v>0</v>
      </c>
      <c r="H10" s="1250">
        <f>COUNTIFS($F$30:$F$112,$B10,$D$30:$D$112,"Vacant",$E$30:$E$112,"Hire")+COUNTIFS($F$30:$F$112,$B10,$D$30:$D$112,"Vacant",$E$30:$E$112,"Offshore")</f>
        <v>0</v>
      </c>
      <c r="I10" s="1250">
        <f>COUNTIFS($F$30:$F$112,$B10,$D$30:$D$112,"Vacant",$E$30:$E$112,"Hold")</f>
        <v>0</v>
      </c>
      <c r="J10" s="1250">
        <f>$E10-COUNTIFS($F$30:$F$112,$B10,$E$30:$E$112,"Hold")</f>
        <v>8</v>
      </c>
      <c r="K10" s="634" t="str">
        <f>IF(NOT(ISNUMBER($D10)),"No archetype - see 0.3",IF($J10&gt;$D10,"Over archetype after decisions",IF($J10&lt;$D10,"Under archetype","On archetype")))</f>
        <v>Under archetype</v>
      </c>
      <c r="L10" s="1260">
        <f>IFERROR(IF(INDEX('1.2 Customer'!$E$29:$E$56,MATCH($S10,'1.2 Customer'!$B$29:$B$56,0))="Offshore",INDEX('0.3 Squad Archetypes'!$H$5:$H$23,MATCH($C10&amp;"|"&amp;$R10,'0.3 Squad Archetypes'!$A$5:$A$23,0)),INDEX('0.3 Squad Archetypes'!$G$5:$G$23,MATCH($C10&amp;"|"&amp;$R10,'0.3 Squad Archetypes'!$A$5:$A$23,0))),"-")</f>
        <v>1.9</v>
      </c>
      <c r="M10" s="1252">
        <f>SUMIFS('REVIEW - Complete Role Mapping'!$AA$2:$AA$528,'REVIEW - Complete Role Mapping'!$AJ$2:$AJ$528,$C$3,'REVIEW - Complete Role Mapping'!$AT$2:$AT$528,$B10)/1000000</f>
        <v>1.59122945</v>
      </c>
      <c r="N10" s="1252">
        <f>IFERROR($M10-$L10,"-")</f>
        <v>-0.30877055</v>
      </c>
      <c r="O10" s="1252">
        <f>(SUMIFS('REVIEW - Complete Role Mapping'!$AA$2:$AA$528,'REVIEW - Complete Role Mapping'!$AJ$2:$AJ$528,$C$3,'REVIEW - Complete Role Mapping'!$AT$2:$AT$528,$B10,'REVIEW - Complete Role Mapping'!$AK$2:$AK$528,"Filled")+SUMIFS($H$30:$H$112,$F$30:$F$112,$B10))/1000000</f>
        <v>3.1824589</v>
      </c>
      <c r="P10" s="1252">
        <f>$O10-$M10</f>
        <v>1.59122945</v>
      </c>
      <c r="Q10" s="1252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s="635" t="str">
        <f>IFERROR(IF(INDEX('1.2 Customer'!$D$29:$D$56,MATCH($S10,'1.2 Customer'!$B$29:$B$56,0))="","-",INDEX('1.2 Customer'!$D$29:$D$56,MATCH($S10,'1.2 Customer'!$B$29:$B$56,0))),"-")</f>
        <v>M</v>
      </c>
      <c r="S10" t="str">
        <f>IFERROR(INDEX(Lists!$AA:$AA,MATCH($B10,Lists!$Z:$Z,0)),$B10)</f>
        <v>Ampol Web</v>
      </c>
    </row>
    <row r="11">
      <c r="A11" s="949" t="n"/>
      <c r="B11" s="640" t="inlineStr">
        <is>
          <t>Digital Operations</t>
        </is>
      </c>
      <c r="C11" s="635" t="str">
        <f>IFERROR(INDEX('1.2 Customer'!$C$29:$C$56,MATCH($S11,'1.2 Customer'!$B$29:$B$56,0)),"No archetype for this squad")</f>
        <v>Operations</v>
      </c>
      <c r="D11" s="1249">
        <f>IFERROR(INDEX('0.3 Squad Archetypes'!$F$5:$F$23,MATCH($C11&amp;"|"&amp;$R11,'0.3 Squad Archetypes'!$A$5:$A$23,0)),"-")</f>
        <v>6</v>
      </c>
      <c r="E11" s="1250">
        <f>COUNTIFS($F$30:$F$112,$B11)</f>
        <v>7</v>
      </c>
      <c r="F11" s="1250">
        <f>IFERROR($E11-$D11,"-")</f>
        <v>1</v>
      </c>
      <c r="G11" s="1250">
        <f>COUNTIFS($F$30:$F$112,$B11,$D$30:$D$112,"Vacant")</f>
        <v>3</v>
      </c>
      <c r="H11" s="1250">
        <f>COUNTIFS($F$30:$F$112,$B11,$D$30:$D$112,"Vacant",$E$30:$E$112,"Hire")+COUNTIFS($F$30:$F$112,$B11,$D$30:$D$112,"Vacant",$E$30:$E$112,"Offshore")</f>
        <v>3</v>
      </c>
      <c r="I11" s="1250">
        <f>COUNTIFS($F$30:$F$112,$B11,$D$30:$D$112,"Vacant",$E$30:$E$112,"Hold")</f>
        <v>0</v>
      </c>
      <c r="J11" s="1250">
        <f>$E11-COUNTIFS($F$30:$F$112,$B11,$E$30:$E$112,"Hold")</f>
        <v>7</v>
      </c>
      <c r="K11" s="634" t="str">
        <f>IF(NOT(ISNUMBER($D11)),"No archetype - see 0.3",IF($J11&gt;$D11,"Over archetype after decisions",IF($J11&lt;$D11,"Under archetype","On archetype")))</f>
        <v>Over archetype after decisions</v>
      </c>
      <c r="L11" s="1260">
        <f>IFERROR(IF(INDEX('1.2 Customer'!$E$29:$E$56,MATCH($S11,'1.2 Customer'!$B$29:$B$56,0))="Offshore",INDEX('0.3 Squad Archetypes'!$H$5:$H$23,MATCH($C11&amp;"|"&amp;$R11,'0.3 Squad Archetypes'!$A$5:$A$23,0)),INDEX('0.3 Squad Archetypes'!$G$5:$G$23,MATCH($C11&amp;"|"&amp;$R11,'0.3 Squad Archetypes'!$A$5:$A$23,0))),"-")</f>
        <v>0.56</v>
      </c>
      <c r="M11" s="1252">
        <f>SUMIFS('REVIEW - Complete Role Mapping'!$AA$2:$AA$528,'REVIEW - Complete Role Mapping'!$AJ$2:$AJ$528,$C$3,'REVIEW - Complete Role Mapping'!$AT$2:$AT$528,$B11)/1000000</f>
        <v>1.303645928</v>
      </c>
      <c r="N11" s="1252">
        <f>IFERROR($M11-$L11,"-")</f>
        <v>0.743645928</v>
      </c>
      <c r="O11" s="1252">
        <f>(SUMIFS('REVIEW - Complete Role Mapping'!$AA$2:$AA$528,'REVIEW - Complete Role Mapping'!$AJ$2:$AJ$528,$C$3,'REVIEW - Complete Role Mapping'!$AT$2:$AT$528,$B11,'REVIEW - Complete Role Mapping'!$AK$2:$AK$528,"Filled")+SUMIFS($H$30:$H$112,$F$30:$F$112,$B11))/1000000</f>
        <v>2.201488016</v>
      </c>
      <c r="P11" s="1252">
        <f>$O11-$M11</f>
        <v>0.897842088</v>
      </c>
      <c r="Q11" s="1252">
        <f>SUMIFS('REVIEW - Complete Role Mapping'!$AA$2:$AA$528,'REVIEW - Complete Role Mapping'!$AJ$2:$AJ$528,$C$3,'REVIEW - Complete Role Mapping'!$AT$2:$AT$528,$B11,'REVIEW - Complete Role Mapping'!$AK$2:$AK$528,"Vacant")/1000000</f>
        <v>0.40580384</v>
      </c>
      <c r="R11" s="635" t="str">
        <f>IFERROR(IF(INDEX('1.2 Customer'!$D$29:$D$56,MATCH($S11,'1.2 Customer'!$B$29:$B$56,0))="","-",INDEX('1.2 Customer'!$D$29:$D$56,MATCH($S11,'1.2 Customer'!$B$29:$B$56,0))),"-")</f>
        <v>M</v>
      </c>
      <c r="S11" t="str">
        <f>IFERROR(INDEX(Lists!$AA:$AA,MATCH($B11,Lists!$Z:$Z,0)),$B11)</f>
        <v>Digital Operations</v>
      </c>
    </row>
    <row r="12">
      <c r="A12" s="949" t="n"/>
      <c r="B12" s="634" t="inlineStr">
        <is>
          <t>Leadership</t>
        </is>
      </c>
      <c r="C12" s="635" t="str">
        <f>IFERROR(INDEX('1.2 Customer'!$C$29:$C$56,MATCH($S12,'1.2 Customer'!$B$29:$B$56,0)),"No archetype for this squad")</f>
        <v>No archetype for this squad</v>
      </c>
      <c r="D12" s="1249" t="str">
        <f>IFERROR(INDEX('0.3 Squad Archetypes'!$F$5:$F$23,MATCH($C12&amp;"|"&amp;$R12,'0.3 Squad Archetypes'!$A$5:$A$23,0)),"-")</f>
        <v>-</v>
      </c>
      <c r="E12" s="1250">
        <f>COUNTIFS($F$30:$F$112,$B12)</f>
        <v>5</v>
      </c>
      <c r="F12" s="1250" t="str">
        <f>IFERROR($E12-$D12,"-")</f>
        <v>-</v>
      </c>
      <c r="G12" s="1250">
        <f>COUNTIFS($F$30:$F$112,$B12,$D$30:$D$112,"Vacant")</f>
        <v>1</v>
      </c>
      <c r="H12" s="1250">
        <f>COUNTIFS($F$30:$F$112,$B12,$D$30:$D$112,"Vacant",$E$30:$E$112,"Hire")+COUNTIFS($F$30:$F$112,$B12,$D$30:$D$112,"Vacant",$E$30:$E$112,"Offshore")</f>
        <v>1</v>
      </c>
      <c r="I12" s="1250">
        <f>COUNTIFS($F$30:$F$112,$B12,$D$30:$D$112,"Vacant",$E$30:$E$112,"Hold")</f>
        <v>0</v>
      </c>
      <c r="J12" s="1250">
        <f>$E12-COUNTIFS($F$30:$F$112,$B12,$E$30:$E$112,"Hold")</f>
        <v>5</v>
      </c>
      <c r="K12" s="634" t="str">
        <f>IF(NOT(ISNUMBER($D12)),"No archetype - see 0.3",IF($J12&gt;$D12,"Over archetype after decisions",IF($J12&lt;$D12,"Under archetype","On archetype")))</f>
        <v>No archetype - see 0.3</v>
      </c>
      <c r="L12" s="1260" t="str">
        <f>IFERROR(IF(INDEX('1.2 Customer'!$E$29:$E$56,MATCH($S12,'1.2 Customer'!$B$29:$B$56,0))="Offshore",INDEX('0.3 Squad Archetypes'!$H$5:$H$23,MATCH($C12&amp;"|"&amp;$R12,'0.3 Squad Archetypes'!$A$5:$A$23,0)),INDEX('0.3 Squad Archetypes'!$G$5:$G$23,MATCH($C12&amp;"|"&amp;$R12,'0.3 Squad Archetypes'!$A$5:$A$23,0))),"-")</f>
        <v>-</v>
      </c>
      <c r="M12" s="1252">
        <f>SUMIFS('REVIEW - Complete Role Mapping'!$AA$2:$AA$528,'REVIEW - Complete Role Mapping'!$AJ$2:$AJ$528,$C$3,'REVIEW - Complete Role Mapping'!$AT$2:$AT$528,$B12)/1000000</f>
        <v>1.048250048</v>
      </c>
      <c r="N12" s="1252" t="str">
        <f>IFERROR($M12-$L12,"-")</f>
        <v>-</v>
      </c>
      <c r="O12" s="1252">
        <f>(SUMIFS('REVIEW - Complete Role Mapping'!$AA$2:$AA$528,'REVIEW - Complete Role Mapping'!$AJ$2:$AJ$528,$C$3,'REVIEW - Complete Role Mapping'!$AT$2:$AT$528,$B12,'REVIEW - Complete Role Mapping'!$AK$2:$AK$528,"Filled")+SUMIFS($H$30:$H$112,$F$30:$F$112,$B12))/1000000</f>
        <v>1.932902896</v>
      </c>
      <c r="P12" s="1252">
        <f>$O12-$M12</f>
        <v>0.884652848</v>
      </c>
      <c r="Q12" s="1252">
        <f>SUMIFS('REVIEW - Complete Role Mapping'!$AA$2:$AA$528,'REVIEW - Complete Role Mapping'!$AJ$2:$AJ$528,$C$3,'REVIEW - Complete Role Mapping'!$AT$2:$AT$528,$B12,'REVIEW - Complete Role Mapping'!$AK$2:$AK$528,"Vacant")/1000000</f>
        <v>0.1635972</v>
      </c>
      <c r="R12" s="635" t="str">
        <f>IFERROR(IF(INDEX('1.2 Customer'!$D$29:$D$56,MATCH($S12,'1.2 Customer'!$B$29:$B$56,0))="","-",INDEX('1.2 Customer'!$D$29:$D$56,MATCH($S12,'1.2 Customer'!$B$29:$B$56,0))),"-")</f>
        <v>-</v>
      </c>
      <c r="S12" t="str">
        <f>IFERROR(INDEX(Lists!$AA:$AA,MATCH($B12,Lists!$Z:$Z,0)),$B12)</f>
        <v>Leadership</v>
      </c>
    </row>
    <row r="13">
      <c r="A13" s="949" t="n"/>
      <c r="B13" s="640" t="inlineStr">
        <is>
          <t>Z App and Web</t>
        </is>
      </c>
      <c r="C13" s="635" t="str">
        <f>IFERROR(INDEX('1.2 Customer'!$C$29:$C$56,MATCH($S13,'1.2 Customer'!$B$29:$B$56,0)),"No archetype for this squad")</f>
        <v>Product</v>
      </c>
      <c r="D13" s="1249">
        <f>IFERROR(INDEX('0.3 Squad Archetypes'!$F$5:$F$23,MATCH($C13&amp;"|"&amp;$R13,'0.3 Squad Archetypes'!$A$5:$A$23,0)),"-")</f>
        <v>5.5</v>
      </c>
      <c r="E13" s="1250">
        <f>COUNTIFS($F$30:$F$112,$B13)</f>
        <v>5</v>
      </c>
      <c r="F13" s="1250">
        <f>IFERROR($E13-$D13,"-")</f>
        <v>-0.5</v>
      </c>
      <c r="G13" s="1250">
        <f>COUNTIFS($F$30:$F$112,$B13,$D$30:$D$112,"Vacant")</f>
        <v>0</v>
      </c>
      <c r="H13" s="1250">
        <f>COUNTIFS($F$30:$F$112,$B13,$D$30:$D$112,"Vacant",$E$30:$E$112,"Hire")+COUNTIFS($F$30:$F$112,$B13,$D$30:$D$112,"Vacant",$E$30:$E$112,"Offshore")</f>
        <v>0</v>
      </c>
      <c r="I13" s="1250">
        <f>COUNTIFS($F$30:$F$112,$B13,$D$30:$D$112,"Vacant",$E$30:$E$112,"Hold")</f>
        <v>0</v>
      </c>
      <c r="J13" s="1250">
        <f>$E13-COUNTIFS($F$30:$F$112,$B13,$E$30:$E$112,"Hold")</f>
        <v>5</v>
      </c>
      <c r="K13" s="634" t="str">
        <f>IF(NOT(ISNUMBER($D13)),"No archetype - see 0.3",IF($J13&gt;$D13,"Over archetype after decisions",IF($J13&lt;$D13,"Under archetype","On archetype")))</f>
        <v>Under archetype</v>
      </c>
      <c r="L13" s="1260">
        <f>IFERROR(IF(INDEX('1.2 Customer'!$E$29:$E$56,MATCH($S13,'1.2 Customer'!$B$29:$B$56,0))="Offshore",INDEX('0.3 Squad Archetypes'!$H$5:$H$23,MATCH($C13&amp;"|"&amp;$R13,'0.3 Squad Archetypes'!$A$5:$A$23,0)),INDEX('0.3 Squad Archetypes'!$G$5:$G$23,MATCH($C13&amp;"|"&amp;$R13,'0.3 Squad Archetypes'!$A$5:$A$23,0))),"-")</f>
        <v>1.3</v>
      </c>
      <c r="M13" s="1252">
        <f>SUMIFS('REVIEW - Complete Role Mapping'!$AA$2:$AA$528,'REVIEW - Complete Role Mapping'!$AJ$2:$AJ$528,$C$3,'REVIEW - Complete Role Mapping'!$AT$2:$AT$528,$B13)/1000000</f>
        <v>1.223286048</v>
      </c>
      <c r="N13" s="1252">
        <f>IFERROR($M13-$L13,"-")</f>
        <v>-0.0767139520000002</v>
      </c>
      <c r="O13" s="1252">
        <f>(SUMIFS('REVIEW - Complete Role Mapping'!$AA$2:$AA$528,'REVIEW - Complete Role Mapping'!$AJ$2:$AJ$528,$C$3,'REVIEW - Complete Role Mapping'!$AT$2:$AT$528,$B13,'REVIEW - Complete Role Mapping'!$AK$2:$AK$528,"Filled")+SUMIFS($H$30:$H$112,$F$30:$F$112,$B13))/1000000</f>
        <v>2.446572096</v>
      </c>
      <c r="P13" s="1252">
        <f>$O13-$M13</f>
        <v>1.223286048</v>
      </c>
      <c r="Q13" s="1252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s="635" t="str">
        <f>IFERROR(IF(INDEX('1.2 Customer'!$D$29:$D$56,MATCH($S13,'1.2 Customer'!$B$29:$B$56,0))="","-",INDEX('1.2 Customer'!$D$29:$D$56,MATCH($S13,'1.2 Customer'!$B$29:$B$56,0))),"-")</f>
        <v>S</v>
      </c>
      <c r="S13" t="str">
        <f>IFERROR(INDEX(Lists!$AA:$AA,MATCH($B13,Lists!$Z:$Z,0)),$B13)</f>
        <v>Z App and Web</v>
      </c>
    </row>
    <row r="14">
      <c r="A14" s="949" t="n"/>
      <c r="B14" s="634" t="inlineStr">
        <is>
          <t>Customer AI</t>
        </is>
      </c>
      <c r="C14" s="635" t="str">
        <f>IFERROR(INDEX('1.2 Customer'!$C$29:$C$56,MATCH($S14,'1.2 Customer'!$B$29:$B$56,0)),"No archetype for this squad")</f>
        <v>Engineering</v>
      </c>
      <c r="D14" s="1249">
        <f>IFERROR(INDEX('0.3 Squad Archetypes'!$F$5:$F$23,MATCH($C14&amp;"|"&amp;$R14,'0.3 Squad Archetypes'!$A$5:$A$23,0)),"-")</f>
        <v>4.5</v>
      </c>
      <c r="E14" s="1250">
        <f>COUNTIFS($F$30:$F$112,$B14)</f>
        <v>2</v>
      </c>
      <c r="F14" s="1250">
        <f>IFERROR($E14-$D14,"-")</f>
        <v>-2.5</v>
      </c>
      <c r="G14" s="1250">
        <f>COUNTIFS($F$30:$F$112,$B14,$D$30:$D$112,"Vacant")</f>
        <v>2</v>
      </c>
      <c r="H14" s="1250">
        <f>COUNTIFS($F$30:$F$112,$B14,$D$30:$D$112,"Vacant",$E$30:$E$112,"Hire")+COUNTIFS($F$30:$F$112,$B14,$D$30:$D$112,"Vacant",$E$30:$E$112,"Offshore")</f>
        <v>2</v>
      </c>
      <c r="I14" s="1250">
        <f>COUNTIFS($F$30:$F$112,$B14,$D$30:$D$112,"Vacant",$E$30:$E$112,"Hold")</f>
        <v>0</v>
      </c>
      <c r="J14" s="1250">
        <f>$E14-COUNTIFS($F$30:$F$112,$B14,$E$30:$E$112,"Hold")</f>
        <v>2</v>
      </c>
      <c r="K14" s="634" t="str">
        <f>IF(NOT(ISNUMBER($D14)),"No archetype - see 0.3",IF($J14&gt;$D14,"Over archetype after decisions",IF($J14&lt;$D14,"Under archetype","On archetype")))</f>
        <v>Under archetype</v>
      </c>
      <c r="L14" s="1260">
        <f>IFERROR(IF(INDEX('1.2 Customer'!$E$29:$E$56,MATCH($S14,'1.2 Customer'!$B$29:$B$56,0))="Offshore",INDEX('0.3 Squad Archetypes'!$H$5:$H$23,MATCH($C14&amp;"|"&amp;$R14,'0.3 Squad Archetypes'!$A$5:$A$23,0)),INDEX('0.3 Squad Archetypes'!$G$5:$G$23,MATCH($C14&amp;"|"&amp;$R14,'0.3 Squad Archetypes'!$A$5:$A$23,0))),"-")</f>
        <v>0.8</v>
      </c>
      <c r="M14" s="1252">
        <f>SUMIFS('REVIEW - Complete Role Mapping'!$AA$2:$AA$528,'REVIEW - Complete Role Mapping'!$AJ$2:$AJ$528,$C$3,'REVIEW - Complete Role Mapping'!$AT$2:$AT$528,$B14)/1000000</f>
        <v>0.17103768</v>
      </c>
      <c r="N14" s="1252">
        <f>IFERROR($M14-$L14,"-")</f>
        <v>-0.62896232</v>
      </c>
      <c r="O14" s="1252">
        <f>(SUMIFS('REVIEW - Complete Role Mapping'!$AA$2:$AA$528,'REVIEW - Complete Role Mapping'!$AJ$2:$AJ$528,$C$3,'REVIEW - Complete Role Mapping'!$AT$2:$AT$528,$B14,'REVIEW - Complete Role Mapping'!$AK$2:$AK$528,"Filled")+SUMIFS($H$30:$H$112,$F$30:$F$112,$B14))/1000000</f>
        <v>0.17103768</v>
      </c>
      <c r="P14" s="1252">
        <f>$O14-$M14</f>
        <v>0</v>
      </c>
      <c r="Q14" s="1252">
        <f>SUMIFS('REVIEW - Complete Role Mapping'!$AA$2:$AA$528,'REVIEW - Complete Role Mapping'!$AJ$2:$AJ$528,$C$3,'REVIEW - Complete Role Mapping'!$AT$2:$AT$528,$B14,'REVIEW - Complete Role Mapping'!$AK$2:$AK$528,"Vacant")/1000000</f>
        <v>0.17103768</v>
      </c>
      <c r="R14" s="635" t="str">
        <f>IFERROR(IF(INDEX('1.2 Customer'!$D$29:$D$56,MATCH($S14,'1.2 Customer'!$B$29:$B$56,0))="","-",INDEX('1.2 Customer'!$D$29:$D$56,MATCH($S14,'1.2 Customer'!$B$29:$B$56,0))),"-")</f>
        <v>S</v>
      </c>
      <c r="S14" t="str">
        <f>IFERROR(INDEX(Lists!$AA:$AA,MATCH($B14,Lists!$Z:$Z,0)),$B14)</f>
        <v>Customer AI</v>
      </c>
    </row>
    <row r="15" customFormat="1" s="949">
      <c r="A15" s="949" t="n"/>
      <c r="B15" s="634" t="inlineStr">
        <is>
          <t>Energy</t>
        </is>
      </c>
      <c r="C15" s="635" t="str">
        <f>IFERROR(INDEX('1.2 Customer'!$C$29:$C$56,MATCH($S15,'1.2 Customer'!$B$29:$B$56,0)),"No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COUNTIFS($F$30:$F$112,$B15)</f>
        <v>1</v>
      </c>
      <c r="F15" s="1250" t="str">
        <f>IFERROR($E15-$D15,"-")</f>
        <v>-</v>
      </c>
      <c r="G15" s="1250">
        <f>COUNTIFS($F$30:$F$112,$B15,$D$30:$D$112,"Vacant")</f>
        <v>0</v>
      </c>
      <c r="H15" s="1250">
        <f>COUNTIFS($F$30:$F$112,$B15,$D$30:$D$112,"Vacant",$E$30:$E$112,"Hire")+COUNTIFS($F$30:$F$112,$B15,$D$30:$D$112,"Vacant",$E$30:$E$112,"Offshore")</f>
        <v>0</v>
      </c>
      <c r="I15" s="1250">
        <f>COUNTIFS($F$30:$F$112,$B15,$D$30:$D$112,"Vacant",$E$30:$E$112,"Hold")</f>
        <v>0</v>
      </c>
      <c r="J15" s="1250">
        <f>$E15-COUNTIFS($F$30:$F$112,$B15,$E$30:$E$112,"Hold")</f>
        <v>1</v>
      </c>
      <c r="K15" s="634" t="str">
        <f>IF(NOT(ISNUMBER($D15)),"No archetype - see 0.3",IF($J15&gt;$D15,"Over archetype after decisions",IF($J15&lt;$D15,"Under archetype","On archetype")))</f>
        <v>No archetype - see 0.3</v>
      </c>
      <c r="L15" s="1260" t="str">
        <f>IFERROR(IF(INDEX('1.2 Customer'!$E$29:$E$56,MATCH($S15,'1.2 Customer'!$B$29:$B$56,0))="Offshore",INDEX('0.3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0.17048975</v>
      </c>
      <c r="N15" s="1252" t="str">
        <f>IFERROR($M15-$L15,"-")</f>
        <v>-</v>
      </c>
      <c r="O15" s="1252">
        <f>(SUMIFS('REVIEW - Complete Role Mapping'!$AA$2:$AA$528,'REVIEW - Complete Role Mapping'!$AJ$2:$AJ$528,$C$3,'REVIEW - Complete Role Mapping'!$AT$2:$AT$528,$B15,'REVIEW - Complete Role Mapping'!$AK$2:$AK$528,"Filled")+SUMIFS($H$30:$H$112,$F$30:$F$112,$B15))/1000000</f>
        <v>0.3409795</v>
      </c>
      <c r="P15" s="1252">
        <f>$O15-$M15</f>
        <v>0.17048975</v>
      </c>
      <c r="Q15" s="1252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s="635" t="str">
        <f>IFERROR(IF(INDEX('1.2 Customer'!$D$29:$D$56,MATCH($S15,'1.2 Customer'!$B$29:$B$56,0))="","-",INDEX('1.2 Customer'!$D$29:$D$56,MATCH($S15,'1.2 Customer'!$B$29:$B$56,0))),"-")</f>
        <v>-</v>
      </c>
      <c r="S15" t="str">
        <f>IFERROR(INDEX(Lists!$AA:$AA,MATCH($B15,Lists!$Z:$Z,0)),$B15)</f>
        <v>Energy</v>
      </c>
    </row>
    <row r="16">
      <c r="A16" s="949" t="n"/>
      <c r="B16" s="1231" t="inlineStr">
        <is>
          <t>Delivery squads</t>
        </is>
      </c>
      <c r="C16" s="641" t="n"/>
      <c r="D16" s="1255">
        <f>SUMIF($D$6:$D$15,"&gt;=0")</f>
        <v>57</v>
      </c>
      <c r="E16" s="1255">
        <f>SUM(E6:E15)</f>
        <v>75</v>
      </c>
      <c r="F16" s="1255">
        <f>SUMPRODUCT(--ISNUMBER($D$6:$D$15),$E$6:$E$15)-SUMIF($D$6:$D$15,"&gt;=0")</f>
        <v>2</v>
      </c>
      <c r="G16" s="1255">
        <f>SUM(G6:G15)</f>
        <v>12</v>
      </c>
      <c r="H16" s="1255">
        <f>SUM(H6:H15)</f>
        <v>12</v>
      </c>
      <c r="I16" s="1255">
        <f>SUM(I6:I15)</f>
        <v>0</v>
      </c>
      <c r="J16" s="1255">
        <f>SUM(J6:J15)</f>
        <v>75</v>
      </c>
      <c r="K16" s="641" t="n"/>
      <c r="L16" s="1257">
        <f>SUMIF($L$6:$L$15,"&gt;=0")</f>
        <v>12.06</v>
      </c>
      <c r="M16" s="1257">
        <f>SUM(M6:M15)</f>
        <v>15.353894302</v>
      </c>
      <c r="N16" s="1257">
        <f>SUMPRODUCT(--ISNUMBER($L$6:$L$15),$M$6:$M$15)-SUMIF($L$6:$L$15,"&gt;=0")</f>
        <v>-0.132980803999999</v>
      </c>
      <c r="O16" s="1257">
        <f>SUM(O6:O15)</f>
        <v>29.242080396</v>
      </c>
      <c r="P16" s="1257">
        <f>SUM(P6:P15)</f>
        <v>13.888186094</v>
      </c>
      <c r="Q16" s="1257">
        <f>SUM(Q6:Q15)</f>
        <v>1.465708208</v>
      </c>
      <c r="R16" s="641" t="n"/>
    </row>
    <row r="17">
      <c r="A17" s="949" t="n"/>
      <c r="B17" s="1298" t="inlineStr">
        <is>
          <t>Overhead roles inside this portfolio - compared to the allowance</t>
        </is>
      </c>
      <c r="C17" s="949" t="n"/>
      <c r="D17" s="1261" t="n"/>
      <c r="E17" s="1262" t="n"/>
      <c r="F17" s="1262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63" t="n"/>
      <c r="Q17" s="1263" t="n"/>
      <c r="R17" s="949" t="n"/>
    </row>
    <row r="18">
      <c r="A18" s="949" t="n"/>
      <c r="B18" s="1226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COUNTIFS($F$30:$F$112,$B18)</f>
        <v>2</v>
      </c>
      <c r="F18" s="1262" t="str">
        <f>"-"</f>
        <v>-</v>
      </c>
      <c r="G18" s="1261">
        <f>COUNTIFS($F$30:$F$112,$B18,$D$30:$D$112,"Vacant")</f>
        <v>0</v>
      </c>
      <c r="H18" s="1261">
        <f>COUNTIFS($F$30:$F$112,$B18,$D$30:$D$112,"Vacant",$E$30:$E$112,"Hire")+COUNTIFS($F$30:$F$112,$B18,$D$30:$D$112,"Vacant",$E$30:$E$112,"Offshore")</f>
        <v>0</v>
      </c>
      <c r="I18" s="1261">
        <f>COUNTIFS($F$30:$F$112,$B18,$D$30:$D$112,"Vacant",$E$30:$E$112,"Hold")</f>
        <v>0</v>
      </c>
      <c r="J18" s="1261">
        <f>$E18-COUNTIFS($F$30:$F$112,$B18,$E$30:$E$112,"Hold")</f>
        <v>2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0.5360151</v>
      </c>
      <c r="N18" s="1263" t="str">
        <f>"-"</f>
        <v>-</v>
      </c>
      <c r="O18" s="1263">
        <f>(SUMIFS('REVIEW - Complete Role Mapping'!$AA$2:$AA$528,'REVIEW - Complete Role Mapping'!$AJ$2:$AJ$528,$C$3,'REVIEW - Complete Role Mapping'!$AT$2:$AT$528,$B18,'REVIEW - Complete Role Mapping'!$AK$2:$AK$528,"Filled")+SUMIFS($H$30:$H$112,$F$30:$F$112,$B18))/1000000</f>
        <v>1.0720302</v>
      </c>
      <c r="P18" s="1263">
        <f>$O18-$M18</f>
        <v>0.5360151</v>
      </c>
      <c r="Q18" s="1263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s="949" t="str">
        <f>"-"</f>
        <v>-</v>
      </c>
    </row>
    <row r="19">
      <c r="A19" s="949" t="n"/>
      <c r="B19" s="1298" t="inlineStr">
        <is>
          <t>Delivery Manager</t>
        </is>
      </c>
      <c r="C19" s="442" t="str">
        <f>"Overhead - see 3.2"</f>
        <v>Overhead - see 3.2</v>
      </c>
      <c r="D19" s="1281" t="str">
        <f>"-"</f>
        <v>-</v>
      </c>
      <c r="E19" s="1262">
        <f>COUNTIFS($F$30:$F$112,$B19)</f>
        <v>2</v>
      </c>
      <c r="F19" s="1262" t="str">
        <f>"-"</f>
        <v>-</v>
      </c>
      <c r="G19" s="1281">
        <f>COUNTIFS($F$30:$F$112,$B19,$D$30:$D$112,"Vacant")</f>
        <v>0</v>
      </c>
      <c r="H19" s="1281">
        <f>COUNTIFS($F$30:$F$112,$B19,$D$30:$D$112,"Vacant",$E$30:$E$112,"Hire")+COUNTIFS($F$30:$F$112,$B19,$D$30:$D$112,"Vacant",$E$30:$E$112,"Offshore")</f>
        <v>0</v>
      </c>
      <c r="I19" s="1281">
        <f>COUNTIFS($F$30:$F$112,$B19,$D$30:$D$112,"Vacant",$E$30:$E$112,"Hold")</f>
        <v>0</v>
      </c>
      <c r="J19" s="1281">
        <f>$E19-COUNTIFS($F$30:$F$112,$B19,$E$30:$E$112,"Hold")</f>
        <v>2</v>
      </c>
      <c r="K19" s="442" t="str">
        <f>"Overhead"</f>
        <v>Overhead</v>
      </c>
      <c r="L19" s="1282" t="str">
        <f>"-"</f>
        <v>-</v>
      </c>
      <c r="M19" s="1282">
        <f>SUMIFS('REVIEW - Complete Role Mapping'!$AA$2:$AA$528,'REVIEW - Complete Role Mapping'!$AJ$2:$AJ$528,$C$3,'REVIEW - Complete Role Mapping'!$AT$2:$AT$528,$B19)/1000000</f>
        <v>0.4208721</v>
      </c>
      <c r="N19" s="1282" t="str">
        <f>"-"</f>
        <v>-</v>
      </c>
      <c r="O19" s="1282">
        <f>(SUMIFS('REVIEW - Complete Role Mapping'!$AA$2:$AA$528,'REVIEW - Complete Role Mapping'!$AJ$2:$AJ$528,$C$3,'REVIEW - Complete Role Mapping'!$AT$2:$AT$528,$B19,'REVIEW - Complete Role Mapping'!$AK$2:$AK$528,"Filled")+SUMIFS($H$30:$H$112,$F$30:$F$112,$B19))/1000000</f>
        <v>0.8417442</v>
      </c>
      <c r="P19" s="1282">
        <f>$O19-$M19</f>
        <v>0.4208721</v>
      </c>
      <c r="Q19" s="1282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s="949" t="str">
        <f>"-"</f>
        <v>-</v>
      </c>
    </row>
    <row r="20">
      <c r="A20" s="949" t="n"/>
      <c r="B20" s="1298" t="inlineStr">
        <is>
          <t>Technology Manager</t>
        </is>
      </c>
      <c r="C20" s="442" t="str">
        <f>"Overhead - see 3.2"</f>
        <v>Overhead - see 3.2</v>
      </c>
      <c r="D20" s="1281" t="str">
        <f>"-"</f>
        <v>-</v>
      </c>
      <c r="E20" s="1262">
        <f>COUNTIFS($F$30:$F$112,$B20)</f>
        <v>4</v>
      </c>
      <c r="F20" s="1262" t="str">
        <f>"-"</f>
        <v>-</v>
      </c>
      <c r="G20" s="1281">
        <f>COUNTIFS($F$30:$F$112,$B20,$D$30:$D$112,"Vacant")</f>
        <v>1</v>
      </c>
      <c r="H20" s="1281">
        <f>COUNTIFS($F$30:$F$112,$B20,$D$30:$D$112,"Vacant",$E$30:$E$112,"Hire")+COUNTIFS($F$30:$F$112,$B20,$D$30:$D$112,"Vacant",$E$30:$E$112,"Offshore")</f>
        <v>1</v>
      </c>
      <c r="I20" s="1281">
        <f>COUNTIFS($F$30:$F$112,$B20,$D$30:$D$112,"Vacant",$E$30:$E$112,"Hold")</f>
        <v>0</v>
      </c>
      <c r="J20" s="1281">
        <f>$E20-COUNTIFS($F$30:$F$112,$B20,$E$30:$E$112,"Hold")</f>
        <v>4</v>
      </c>
      <c r="K20" s="442" t="str">
        <f>"Overhead"</f>
        <v>Overhead</v>
      </c>
      <c r="L20" s="1282" t="str">
        <f>"-"</f>
        <v>-</v>
      </c>
      <c r="M20" s="1282">
        <f>SUMIFS('REVIEW - Complete Role Mapping'!$AA$2:$AA$528,'REVIEW - Complete Role Mapping'!$AJ$2:$AJ$528,$C$3,'REVIEW - Complete Role Mapping'!$AT$2:$AT$528,$B20)/1000000</f>
        <v>0.816085638</v>
      </c>
      <c r="N20" s="1282" t="str">
        <f>"-"</f>
        <v>-</v>
      </c>
      <c r="O20" s="1282">
        <f>(SUMIFS('REVIEW - Complete Role Mapping'!$AA$2:$AA$528,'REVIEW - Complete Role Mapping'!$AJ$2:$AJ$528,$C$3,'REVIEW - Complete Role Mapping'!$AT$2:$AT$528,$B20,'REVIEW - Complete Role Mapping'!$AK$2:$AK$528,"Filled")+SUMIFS($H$30:$H$112,$F$30:$F$112,$B20))/1000000</f>
        <v>1.445738388</v>
      </c>
      <c r="P20" s="1282">
        <f>$O20-$M20</f>
        <v>0.62965275</v>
      </c>
      <c r="Q20" s="1282">
        <f>SUMIFS('REVIEW - Complete Role Mapping'!$AA$2:$AA$528,'REVIEW - Complete Role Mapping'!$AJ$2:$AJ$528,$C$3,'REVIEW - Complete Role Mapping'!$AT$2:$AT$528,$B20,'REVIEW - Complete Role Mapping'!$AK$2:$AK$528,"Vacant")/1000000</f>
        <v>0.186432888</v>
      </c>
      <c r="R20" s="949" t="str">
        <f>"-"</f>
        <v>-</v>
      </c>
    </row>
    <row r="21">
      <c r="A21" s="949" t="n"/>
      <c r="B21" s="1226" t="inlineStr">
        <is>
          <t>Overhead roles</t>
        </is>
      </c>
      <c r="C21" s="430" t="n"/>
      <c r="D21" s="1280" t="n"/>
      <c r="E21" s="1280">
        <f>SUM(E18:E20)</f>
        <v>8</v>
      </c>
      <c r="F21" s="1280" t="n"/>
      <c r="G21" s="1280">
        <f>SUM(G18:G20)</f>
        <v>1</v>
      </c>
      <c r="H21" s="1261">
        <f>SUM(H18:H20)</f>
        <v>1</v>
      </c>
      <c r="I21" s="1261">
        <f>SUM(I18:I20)</f>
        <v>0</v>
      </c>
      <c r="J21" s="1261">
        <f>SUM(J18:J20)</f>
        <v>8</v>
      </c>
      <c r="K21" s="949" t="n"/>
      <c r="L21" s="1263" t="n"/>
      <c r="M21" s="1263">
        <f>SUM(M18:M20)</f>
        <v>1.772972838</v>
      </c>
      <c r="N21" s="1263" t="n"/>
      <c r="O21" s="1263">
        <f>SUM(O18:O20)</f>
        <v>3.359512788</v>
      </c>
      <c r="P21" s="1263">
        <f>SUM(P18:P20)</f>
        <v>1.58653995</v>
      </c>
      <c r="Q21" s="1263">
        <f>SUM(Q18:Q20)</f>
        <v>0.186432888</v>
      </c>
      <c r="R21" s="949" t="n"/>
    </row>
    <row r="22">
      <c r="A22" s="949" t="n"/>
      <c r="B22" s="1298" t="n"/>
      <c r="C22" s="645" t="n"/>
      <c r="D22" s="1286" t="n"/>
      <c r="E22" s="1286" t="n"/>
      <c r="F22" s="1286" t="n"/>
      <c r="G22" s="1261" t="n"/>
      <c r="H22" s="1261" t="n"/>
      <c r="I22" s="1261" t="n"/>
      <c r="J22" s="1261" t="n"/>
      <c r="K22" s="949" t="n"/>
      <c r="L22" s="1263" t="n"/>
      <c r="M22" s="1263" t="n"/>
      <c r="N22" s="1263" t="n"/>
      <c r="O22" s="1263" t="n"/>
      <c r="P22" s="1263" t="n"/>
      <c r="Q22" s="1263" t="n"/>
      <c r="R22" s="949" t="n"/>
    </row>
    <row r="23" ht="15.65" customHeight="1">
      <c r="A23" s="949" t="n"/>
      <c r="B23" s="1226" t="inlineStr">
        <is>
          <t>Total portfolio</t>
        </is>
      </c>
      <c r="C23" s="434" t="n"/>
      <c r="D23" s="1287">
        <f>$D16</f>
        <v>57</v>
      </c>
      <c r="E23" s="1261">
        <f>$E16+$E21</f>
        <v>83</v>
      </c>
      <c r="F23" s="1261">
        <f>IFERROR($E16-$D16,"-")</f>
        <v>18</v>
      </c>
      <c r="G23" s="1261">
        <f>$G16+$G21</f>
        <v>13</v>
      </c>
      <c r="H23" s="1261">
        <f>$H16+$H21</f>
        <v>13</v>
      </c>
      <c r="I23" s="1261">
        <f>$I16+$I21</f>
        <v>0</v>
      </c>
      <c r="J23" s="1261">
        <f>$J16+$J21</f>
        <v>83</v>
      </c>
      <c r="K23" s="949" t="n"/>
      <c r="L23" s="1263">
        <f>$L16</f>
        <v>12.06</v>
      </c>
      <c r="M23" s="1263">
        <f>$M16+$M21</f>
        <v>17.12686714</v>
      </c>
      <c r="N23" s="1263">
        <f>IFERROR($M16-$L16,"-")</f>
        <v>3.293894302</v>
      </c>
      <c r="O23" s="1263">
        <f>$O16+$O21</f>
        <v>32.601593184</v>
      </c>
      <c r="P23" s="1263">
        <f>$P16+$P21</f>
        <v>15.474726044</v>
      </c>
      <c r="Q23" s="1263">
        <f>$Q16+$Q21</f>
        <v>1.652141096</v>
      </c>
      <c r="R23" s="949" t="n"/>
    </row>
    <row r="24">
      <c r="A24" s="949" t="n"/>
      <c r="B24" s="1314" t="inlineStr">
        <is>
          <t>Archetype columns D, F, L and N cover the delivery squads only - overhead is not priced by a squad archetype.</t>
        </is>
      </c>
      <c r="C24" s="533" t="n"/>
      <c r="D24" s="1288" t="n"/>
      <c r="E24" s="1288" t="n"/>
      <c r="F24" s="1288" t="n"/>
      <c r="G24" s="1288" t="n"/>
      <c r="H24" s="1261" t="n"/>
      <c r="I24" s="1261" t="n"/>
      <c r="J24" s="1261" t="n"/>
      <c r="K24" s="949" t="n"/>
      <c r="L24" s="1263" t="n"/>
      <c r="M24" s="1263" t="n"/>
      <c r="N24" s="1263" t="n"/>
      <c r="O24" s="1263" t="n"/>
      <c r="P24" s="1263" t="n"/>
      <c r="Q24" s="1263" t="n"/>
      <c r="R24" s="949" t="n"/>
    </row>
    <row r="25">
      <c r="A25" s="949" t="n"/>
      <c r="B25" s="1318" t="inlineStr">
        <is>
          <t>Control - roles vs the ledger, must be 0</t>
        </is>
      </c>
      <c r="C25" s="1264" t="n"/>
      <c r="D25" s="1289" t="n"/>
      <c r="E25" s="1289">
        <f>COUNTIFS('REVIEW - Complete Role Mapping'!$AJ$2:$AJ$528,$C$3)-$E23</f>
        <v>0</v>
      </c>
      <c r="F25" s="1289" t="n"/>
      <c r="G25" s="1289" t="n"/>
      <c r="H25" s="1290" t="n"/>
      <c r="I25" s="1261" t="n"/>
      <c r="J25" s="1261" t="n"/>
      <c r="K25" s="949" t="n"/>
      <c r="L25" s="1263" t="n"/>
      <c r="M25" s="1263" t="n"/>
      <c r="N25" s="1263" t="n"/>
      <c r="O25" s="1263" t="n"/>
      <c r="P25" s="1263" t="n"/>
      <c r="Q25" s="1263" t="n"/>
      <c r="R25" s="949" t="n"/>
    </row>
    <row r="26">
      <c r="A26" s="949" t="n"/>
      <c r="B26" s="1316" t="inlineStr">
        <is>
          <t>Control - cost vs the ledger ($m), must be 0</t>
        </is>
      </c>
      <c r="C26" s="634" t="n"/>
      <c r="D26" s="612" t="n"/>
      <c r="E26" s="612" t="n"/>
      <c r="F26" s="981" t="n"/>
      <c r="G26" s="1265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  <c r="P26" s="949" t="n"/>
      <c r="Q26" s="949" t="n"/>
      <c r="R26" s="949" t="n"/>
    </row>
    <row r="27">
      <c r="A27" s="949" t="n"/>
      <c r="B27" s="1316" t="n"/>
      <c r="C27" s="634" t="n"/>
      <c r="D27" s="612" t="n"/>
      <c r="E27" s="612" t="n"/>
      <c r="F27" s="981" t="n"/>
      <c r="G27" s="1265" t="n"/>
      <c r="H27" s="627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1316" t="inlineStr">
        <is>
          <t>Customer FTE</t>
        </is>
      </c>
      <c r="C28" s="634" t="n"/>
      <c r="D28" s="612" t="n"/>
      <c r="E28" s="612" t="n"/>
      <c r="F28" s="981" t="n"/>
      <c r="G28" s="1265" t="n"/>
      <c r="H28" s="627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59" t="inlineStr">
        <is>
          <t>Squad or overhead line</t>
        </is>
      </c>
      <c r="G29" s="1291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1316" t="str">
        <f>INDEX('REVIEW - Complete Role Mapping'!$B:$B,112)</f>
        <v>Alisha Allport</v>
      </c>
      <c r="C30" s="634" t="str">
        <f>INDEX('REVIEW - Complete Role Mapping'!$C:$C,112)</f>
        <v>Principal Experience Designer</v>
      </c>
      <c r="D30" s="612" t="str">
        <f>INDEX('REVIEW - Complete Role Mapping'!$AK:$AK,112)</f>
        <v>Filled</v>
      </c>
      <c r="E30" s="612" t="inlineStr">
        <is>
          <t>Filled</t>
        </is>
      </c>
      <c r="F30" s="981" t="str">
        <f>INDEX('REVIEW - Complete Role Mapping'!$AT:$AT,112)</f>
        <v>Ampol App</v>
      </c>
      <c r="G30" s="1265">
        <f>INDEX('REVIEW - Complete Role Mapping'!$AA:$AA,112)</f>
        <v>146464.7</v>
      </c>
      <c r="H30" s="627">
        <f>$G30*IFERROR(INDEX(Lists!$AD:$AD,MATCH($E30,Lists!$AC:$AC,0)),1)</f>
        <v>146464.7</v>
      </c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1264" t="str">
        <f>INDEX('REVIEW - Complete Role Mapping'!$B:$B,116)</f>
        <v>Annabel Phu</v>
      </c>
      <c r="C31" s="1264" t="str">
        <f>INDEX('REVIEW - Complete Role Mapping'!$C:$C,116)</f>
        <v>Engineer - Mobile</v>
      </c>
      <c r="D31" s="1264" t="str">
        <f>INDEX('REVIEW - Complete Role Mapping'!$AK:$AK,116)</f>
        <v>Filled</v>
      </c>
      <c r="E31" s="1264" t="inlineStr">
        <is>
          <t>Filled</t>
        </is>
      </c>
      <c r="F31" s="1259" t="str">
        <f>INDEX('REVIEW - Complete Role Mapping'!$AT:$AT,116)</f>
        <v>Ampol App</v>
      </c>
      <c r="G31" s="1291">
        <f>INDEX('REVIEW - Complete Role Mapping'!$AA:$AA,116)</f>
        <v>266400</v>
      </c>
      <c r="H31" s="1285">
        <f>$G31*IFERROR(INDEX(Lists!$AD:$AD,MATCH($E31,Lists!$AC:$AC,0)),1)</f>
        <v>266400</v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Mapping'!$B:$B,119)</f>
        <v>Anup Antony</v>
      </c>
      <c r="C32" s="634" t="str">
        <f>INDEX('REVIEW - Complete Role Mapping'!$C:$C,119)</f>
        <v>Engineer - BE</v>
      </c>
      <c r="D32" s="612" t="str">
        <f>INDEX('REVIEW - Complete Role Mapping'!$AK:$AK,119)</f>
        <v>Filled</v>
      </c>
      <c r="E32" s="612" t="inlineStr">
        <is>
          <t>Filled</t>
        </is>
      </c>
      <c r="F32" s="981" t="str">
        <f>INDEX('REVIEW - Complete Role Mapping'!$AT:$AT,119)</f>
        <v>Ampol App</v>
      </c>
      <c r="G32" s="1265">
        <f>INDEX('REVIEW - Complete Role Mapping'!$AA:$AA,119)</f>
        <v>255300</v>
      </c>
      <c r="H32" s="627">
        <f>$G32*IFERROR(INDEX(Lists!$AD:$AD,MATCH($E32,Lists!$AC:$AC,0)),1)</f>
        <v>255300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Mapping'!$B:$B,122)</f>
        <v>Binumon Mathai</v>
      </c>
      <c r="C33" s="634" t="str">
        <f>INDEX('REVIEW - Complete Role Mapping'!$C:$C,122)</f>
        <v>Senior Quality Assurance</v>
      </c>
      <c r="D33" s="612" t="str">
        <f>INDEX('REVIEW - Complete Role Mapping'!$AK:$AK,122)</f>
        <v>Filled</v>
      </c>
      <c r="E33" s="612" t="inlineStr">
        <is>
          <t>Filled</t>
        </is>
      </c>
      <c r="F33" s="981" t="str">
        <f>INDEX('REVIEW - Complete Role Mapping'!$AT:$AT,122)</f>
        <v>Ampol App</v>
      </c>
      <c r="G33" s="1265">
        <f>INDEX('REVIEW - Complete Role Mapping'!$AA:$AA,122)</f>
        <v>223776</v>
      </c>
      <c r="H33" s="627">
        <f>$G33*IFERROR(INDEX(Lists!$AD:$AD,MATCH($E33,Lists!$AC:$AC,0)),1)</f>
        <v>223776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Mapping'!$B:$B,132)</f>
        <v>Edwin Justin</v>
      </c>
      <c r="C34" s="634" t="str">
        <f>INDEX('REVIEW - Complete Role Mapping'!$C:$C,132)</f>
        <v>Senior Engineer - BE</v>
      </c>
      <c r="D34" s="612" t="str">
        <f>INDEX('REVIEW - Complete Role Mapping'!$AK:$AK,132)</f>
        <v>Filled</v>
      </c>
      <c r="E34" s="612" t="inlineStr">
        <is>
          <t>Filled</t>
        </is>
      </c>
      <c r="F34" s="981" t="str">
        <f>INDEX('REVIEW - Complete Role Mapping'!$AT:$AT,132)</f>
        <v>Ampol App</v>
      </c>
      <c r="G34" s="1265">
        <f>INDEX('REVIEW - Complete Role Mapping'!$AA:$AA,132)</f>
        <v>194789.85</v>
      </c>
      <c r="H34" s="627">
        <f>$G34*IFERROR(INDEX(Lists!$AD:$AD,MATCH($E34,Lists!$AC:$AC,0)),1)</f>
        <v>194789.85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Mapping'!$B:$B,134)</f>
        <v>Ethan Laffan</v>
      </c>
      <c r="C35" s="646" t="str">
        <f>INDEX('REVIEW - Complete Role Mapping'!$C:$C,134)</f>
        <v>Associate Experience Designer</v>
      </c>
      <c r="D35" s="612" t="str">
        <f>INDEX('REVIEW - Complete Role Mapping'!$AK:$AK,134)</f>
        <v>Filled</v>
      </c>
      <c r="E35" s="612" t="inlineStr">
        <is>
          <t>Filled</t>
        </is>
      </c>
      <c r="F35" s="981" t="str">
        <f>INDEX('REVIEW - Complete Role Mapping'!$AT:$AT,134)</f>
        <v>Ampol App</v>
      </c>
      <c r="G35" s="1265">
        <f>INDEX('REVIEW - Complete Role Mapping'!$AA:$AA,134)</f>
        <v>201585</v>
      </c>
      <c r="H35" s="627">
        <f>$G35*IFERROR(INDEX(Lists!$AD:$AD,MATCH($E35,Lists!$AC:$AC,0)),1)</f>
        <v>201585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Mapping'!$B:$B,145)</f>
        <v>Khalid Mahmud</v>
      </c>
      <c r="C36" s="634" t="str">
        <f>INDEX('REVIEW - Complete Role Mapping'!$C:$C,145)</f>
        <v>Lead Engineer - BE</v>
      </c>
      <c r="D36" s="612" t="str">
        <f>INDEX('REVIEW - Complete Role Mapping'!$AK:$AK,145)</f>
        <v>Filled</v>
      </c>
      <c r="E36" s="612" t="inlineStr">
        <is>
          <t>Filled</t>
        </is>
      </c>
      <c r="F36" s="981" t="str">
        <f>INDEX('REVIEW - Complete Role Mapping'!$AT:$AT,145)</f>
        <v>Ampol App</v>
      </c>
      <c r="G36" s="1265">
        <f>INDEX('REVIEW - Complete Role Mapping'!$AA:$AA,145)</f>
        <v>266400</v>
      </c>
      <c r="H36" s="627">
        <f>$G36*IFERROR(INDEX(Lists!$AD:$AD,MATCH($E36,Lists!$AC:$AC,0)),1)</f>
        <v>266400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Mapping'!$B:$B,149)</f>
        <v>Maria Salman</v>
      </c>
      <c r="C37" s="634" t="str">
        <f>INDEX('REVIEW - Complete Role Mapping'!$C:$C,149)</f>
        <v>Experience Designer</v>
      </c>
      <c r="D37" s="612" t="str">
        <f>INDEX('REVIEW - Complete Role Mapping'!$AK:$AK,149)</f>
        <v>Filled</v>
      </c>
      <c r="E37" s="612" t="inlineStr">
        <is>
          <t>Filled</t>
        </is>
      </c>
      <c r="F37" s="981" t="str">
        <f>INDEX('REVIEW - Complete Role Mapping'!$AT:$AT,149)</f>
        <v>Ampol App</v>
      </c>
      <c r="G37" s="1265">
        <f>INDEX('REVIEW - Complete Role Mapping'!$AA:$AA,149)</f>
        <v>240834.48</v>
      </c>
      <c r="H37" s="627">
        <f>$G37*IFERROR(INDEX(Lists!$AD:$AD,MATCH($E37,Lists!$AC:$AC,0)),1)</f>
        <v>240834.48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Mapping'!$B:$B,154)</f>
        <v>Penny Pennisi</v>
      </c>
      <c r="C38" s="634" t="str">
        <f>INDEX('REVIEW - Complete Role Mapping'!$C:$C,154)</f>
        <v>Delivery Lead</v>
      </c>
      <c r="D38" s="612" t="str">
        <f>INDEX('REVIEW - Complete Role Mapping'!$AK:$AK,154)</f>
        <v>Filled</v>
      </c>
      <c r="E38" s="612" t="inlineStr">
        <is>
          <t>Filled</t>
        </is>
      </c>
      <c r="F38" s="981" t="str">
        <f>INDEX('REVIEW - Complete Role Mapping'!$AT:$AT,154)</f>
        <v>Ampol App</v>
      </c>
      <c r="G38" s="1265">
        <f>INDEX('REVIEW - Complete Role Mapping'!$AA:$AA,154)</f>
        <v>299700</v>
      </c>
      <c r="H38" s="627">
        <f>$G38*IFERROR(INDEX(Lists!$AD:$AD,MATCH($E38,Lists!$AC:$AC,0)),1)</f>
        <v>299700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Mapping'!$B:$B,155)</f>
        <v>Peter Lee</v>
      </c>
      <c r="C39" s="634" t="str">
        <f>INDEX('REVIEW - Complete Role Mapping'!$C:$C,155)</f>
        <v>Snr Business Analyst</v>
      </c>
      <c r="D39" s="612" t="str">
        <f>INDEX('REVIEW - Complete Role Mapping'!$AK:$AK,155)</f>
        <v>Filled</v>
      </c>
      <c r="E39" s="612" t="inlineStr">
        <is>
          <t>Filled</t>
        </is>
      </c>
      <c r="F39" s="981" t="str">
        <f>INDEX('REVIEW - Complete Role Mapping'!$AT:$AT,155)</f>
        <v>Ampol App</v>
      </c>
      <c r="G39" s="1265">
        <f>INDEX('REVIEW - Complete Role Mapping'!$AA:$AA,155)</f>
        <v>243984.6</v>
      </c>
      <c r="H39" s="627">
        <f>$G39*IFERROR(INDEX(Lists!$AD:$AD,MATCH($E39,Lists!$AC:$AC,0)),1)</f>
        <v>243984.6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Mapping'!$B:$B,156)</f>
        <v>Phillip Kewley</v>
      </c>
      <c r="C40" s="634" t="str">
        <f>INDEX('REVIEW - Complete Role Mapping'!$C:$C,156)</f>
        <v>Quality Assurance</v>
      </c>
      <c r="D40" s="612" t="str">
        <f>INDEX('REVIEW - Complete Role Mapping'!$AK:$AK,156)</f>
        <v>Filled</v>
      </c>
      <c r="E40" s="612" t="inlineStr">
        <is>
          <t>Filled</t>
        </is>
      </c>
      <c r="F40" s="981" t="str">
        <f>INDEX('REVIEW - Complete Role Mapping'!$AT:$AT,156)</f>
        <v>Ampol App</v>
      </c>
      <c r="G40" s="1265">
        <f>INDEX('REVIEW - Complete Role Mapping'!$AA:$AA,156)</f>
        <v>213600</v>
      </c>
      <c r="H40" s="627">
        <f>$G40*IFERROR(INDEX(Lists!$AD:$AD,MATCH($E40,Lists!$AC:$AC,0)),1)</f>
        <v>213600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Mapping'!$B:$B,157)</f>
        <v>Raj Ganesan</v>
      </c>
      <c r="C41" s="634" t="str">
        <f>INDEX('REVIEW - Complete Role Mapping'!$C:$C,157)</f>
        <v>Engineer - Mobile (ios)</v>
      </c>
      <c r="D41" s="612" t="str">
        <f>INDEX('REVIEW - Complete Role Mapping'!$AK:$AK,157)</f>
        <v>Filled</v>
      </c>
      <c r="E41" s="612" t="inlineStr">
        <is>
          <t>Filled</t>
        </is>
      </c>
      <c r="F41" s="981" t="str">
        <f>INDEX('REVIEW - Complete Role Mapping'!$AT:$AT,157)</f>
        <v>Ampol App</v>
      </c>
      <c r="G41" s="1265">
        <f>INDEX('REVIEW - Complete Role Mapping'!$AA:$AA,157)</f>
        <v>230880</v>
      </c>
      <c r="H41" s="627">
        <f>$G41*IFERROR(INDEX(Lists!$AD:$AD,MATCH($E41,Lists!$AC:$AC,0)),1)</f>
        <v>230880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Mapping'!$B:$B,166)</f>
        <v>Sheetal Karkera</v>
      </c>
      <c r="C42" s="634" t="str">
        <f>INDEX('REVIEW - Complete Role Mapping'!$C:$C,166)</f>
        <v>Lead Engineer - Mobile</v>
      </c>
      <c r="D42" s="612" t="str">
        <f>INDEX('REVIEW - Complete Role Mapping'!$AK:$AK,166)</f>
        <v>Filled</v>
      </c>
      <c r="E42" s="612" t="inlineStr">
        <is>
          <t>Filled</t>
        </is>
      </c>
      <c r="F42" s="981" t="str">
        <f>INDEX('REVIEW - Complete Role Mapping'!$AT:$AT,166)</f>
        <v>Ampol App</v>
      </c>
      <c r="G42" s="1265">
        <f>INDEX('REVIEW - Complete Role Mapping'!$AA:$AA,166)</f>
        <v>301067.45</v>
      </c>
      <c r="H42" s="627">
        <f>$G42*IFERROR(INDEX(Lists!$AD:$AD,MATCH($E42,Lists!$AC:$AC,0)),1)</f>
        <v>301067.45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Mapping'!$B:$B,173)</f>
        <v>Toby Clark</v>
      </c>
      <c r="C43" s="634" t="str">
        <f>INDEX('REVIEW - Complete Role Mapping'!$C:$C,173)</f>
        <v>Engineer - Mobile (iOS)</v>
      </c>
      <c r="D43" s="612" t="str">
        <f>INDEX('REVIEW - Complete Role Mapping'!$AK:$AK,173)</f>
        <v>Filled</v>
      </c>
      <c r="E43" s="612" t="inlineStr">
        <is>
          <t>Filled</t>
        </is>
      </c>
      <c r="F43" s="981" t="str">
        <f>INDEX('REVIEW - Complete Role Mapping'!$AT:$AT,173)</f>
        <v>Ampol App</v>
      </c>
      <c r="G43" s="1265">
        <f>INDEX('REVIEW - Complete Role Mapping'!$AA:$AA,173)</f>
        <v>275810.25</v>
      </c>
      <c r="H43" s="627">
        <f>$G43*IFERROR(INDEX(Lists!$AD:$AD,MATCH($E43,Lists!$AC:$AC,0)),1)</f>
        <v>275810.25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Mapping'!$B:$B,117)</f>
        <v>Anthony Gen</v>
      </c>
      <c r="C44" s="634" t="str">
        <f>INDEX('REVIEW - Complete Role Mapping'!$C:$C,117)</f>
        <v>Data Analyst</v>
      </c>
      <c r="D44" s="612" t="str">
        <f>INDEX('REVIEW - Complete Role Mapping'!$AK:$AK,117)</f>
        <v>Filled</v>
      </c>
      <c r="E44" s="612" t="inlineStr">
        <is>
          <t>Filled</t>
        </is>
      </c>
      <c r="F44" s="981" t="str">
        <f>INDEX('REVIEW - Complete Role Mapping'!$AT:$AT,117)</f>
        <v>Z Loyalty &amp; Martech</v>
      </c>
      <c r="G44" s="1265">
        <f>INDEX('REVIEW - Complete Role Mapping'!$AA:$AA,117)</f>
        <v>179198.4</v>
      </c>
      <c r="H44" s="627">
        <f>$G44*IFERROR(INDEX(Lists!$AD:$AD,MATCH($E44,Lists!$AC:$AC,0)),1)</f>
        <v>179198.4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Mapping'!$B:$B,121)</f>
        <v>Bharat Talreja</v>
      </c>
      <c r="C45" s="634" t="str">
        <f>INDEX('REVIEW - Complete Role Mapping'!$C:$C,121)</f>
        <v>Marketing Technology Lead</v>
      </c>
      <c r="D45" s="612" t="str">
        <f>INDEX('REVIEW - Complete Role Mapping'!$AK:$AK,121)</f>
        <v>Filled</v>
      </c>
      <c r="E45" s="612" t="inlineStr">
        <is>
          <t>Filled</t>
        </is>
      </c>
      <c r="F45" s="981" t="str">
        <f>INDEX('REVIEW - Complete Role Mapping'!$AT:$AT,121)</f>
        <v>Z Loyalty &amp; Martech</v>
      </c>
      <c r="G45" s="1265">
        <f>INDEX('REVIEW - Complete Role Mapping'!$AA:$AA,121)</f>
        <v>266400</v>
      </c>
      <c r="H45" s="627">
        <f>$G45*IFERROR(INDEX(Lists!$AD:$AD,MATCH($E45,Lists!$AC:$AC,0)),1)</f>
        <v>266400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Mapping'!$B:$B,124)</f>
        <v>Carianne Monast</v>
      </c>
      <c r="C46" s="646" t="str">
        <f>INDEX('REVIEW - Complete Role Mapping'!$C:$C,124)</f>
        <v>Martech Specialist</v>
      </c>
      <c r="D46" s="612" t="str">
        <f>INDEX('REVIEW - Complete Role Mapping'!$AK:$AK,124)</f>
        <v>Filled</v>
      </c>
      <c r="E46" s="612" t="inlineStr">
        <is>
          <t>Filled</t>
        </is>
      </c>
      <c r="F46" s="981" t="str">
        <f>INDEX('REVIEW - Complete Role Mapping'!$AT:$AT,124)</f>
        <v>Z Loyalty &amp; Martech</v>
      </c>
      <c r="G46" s="1265">
        <f>INDEX('REVIEW - Complete Role Mapping'!$AA:$AA,124)</f>
        <v>207352.2</v>
      </c>
      <c r="H46" s="627">
        <f>$G46*IFERROR(INDEX(Lists!$AD:$AD,MATCH($E46,Lists!$AC:$AC,0)),1)</f>
        <v>207352.2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Mapping'!$B:$B,125)</f>
        <v>Celia Voysey</v>
      </c>
      <c r="C47" s="634" t="str">
        <f>INDEX('REVIEW - Complete Role Mapping'!$C:$C,125)</f>
        <v>Delivery Lead</v>
      </c>
      <c r="D47" s="612" t="str">
        <f>INDEX('REVIEW - Complete Role Mapping'!$AK:$AK,125)</f>
        <v>Filled</v>
      </c>
      <c r="E47" s="612" t="inlineStr">
        <is>
          <t>Filled</t>
        </is>
      </c>
      <c r="F47" s="981" t="str">
        <f>INDEX('REVIEW - Complete Role Mapping'!$AT:$AT,125)</f>
        <v>Z Loyalty &amp; Martech</v>
      </c>
      <c r="G47" s="1265">
        <f>INDEX('REVIEW - Complete Role Mapping'!$AA:$AA,125)</f>
        <v>240300</v>
      </c>
      <c r="H47" s="627">
        <f>$G47*IFERROR(INDEX(Lists!$AD:$AD,MATCH($E47,Lists!$AC:$AC,0)),1)</f>
        <v>240300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Mapping'!$B:$B,130)</f>
        <v>Denise Esguerra</v>
      </c>
      <c r="C48" s="634" t="str">
        <f>INDEX('REVIEW - Complete Role Mapping'!$C:$C,130)</f>
        <v>Martech Specialist</v>
      </c>
      <c r="D48" s="612" t="str">
        <f>INDEX('REVIEW - Complete Role Mapping'!$AK:$AK,130)</f>
        <v>Filled</v>
      </c>
      <c r="E48" s="612" t="inlineStr">
        <is>
          <t>Filled</t>
        </is>
      </c>
      <c r="F48" s="981" t="str">
        <f>INDEX('REVIEW - Complete Role Mapping'!$AT:$AT,130)</f>
        <v>Z Loyalty &amp; Martech</v>
      </c>
      <c r="G48" s="1265">
        <f>INDEX('REVIEW - Complete Role Mapping'!$AA:$AA,130)</f>
        <v>177525</v>
      </c>
      <c r="H48" s="627">
        <f>$G48*IFERROR(INDEX(Lists!$AD:$AD,MATCH($E48,Lists!$AC:$AC,0)),1)</f>
        <v>177525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Mapping'!$B:$B,142)</f>
        <v>Jordan Kettles</v>
      </c>
      <c r="C49" s="634" t="str">
        <f>INDEX('REVIEW - Complete Role Mapping'!$C:$C,142)</f>
        <v>Engineer, Sotware</v>
      </c>
      <c r="D49" s="612" t="str">
        <f>INDEX('REVIEW - Complete Role Mapping'!$AK:$AK,142)</f>
        <v>Filled</v>
      </c>
      <c r="E49" s="612" t="inlineStr">
        <is>
          <t>Filled</t>
        </is>
      </c>
      <c r="F49" s="981" t="str">
        <f>INDEX('REVIEW - Complete Role Mapping'!$AT:$AT,142)</f>
        <v>Z Loyalty &amp; Martech</v>
      </c>
      <c r="G49" s="1265">
        <f>INDEX('REVIEW - Complete Role Mapping'!$AA:$AA,142)</f>
        <v>165860.95</v>
      </c>
      <c r="H49" s="627">
        <f>$G49*IFERROR(INDEX(Lists!$AD:$AD,MATCH($E49,Lists!$AC:$AC,0)),1)</f>
        <v>165860.95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Mapping'!$B:$B,143)</f>
        <v>Kaye Javier</v>
      </c>
      <c r="C50" s="634" t="str">
        <f>INDEX('REVIEW - Complete Role Mapping'!$C:$C,143)</f>
        <v>QA Analyst</v>
      </c>
      <c r="D50" s="612" t="str">
        <f>INDEX('REVIEW - Complete Role Mapping'!$AK:$AK,143)</f>
        <v>Filled</v>
      </c>
      <c r="E50" s="612" t="inlineStr">
        <is>
          <t>Filled</t>
        </is>
      </c>
      <c r="F50" s="981" t="str">
        <f>INDEX('REVIEW - Complete Role Mapping'!$AT:$AT,143)</f>
        <v>Z Loyalty &amp; Martech</v>
      </c>
      <c r="G50" s="1265">
        <f>INDEX('REVIEW - Complete Role Mapping'!$AA:$AA,143)</f>
        <v>214587.9</v>
      </c>
      <c r="H50" s="627">
        <f>$G50*IFERROR(INDEX(Lists!$AD:$AD,MATCH($E50,Lists!$AC:$AC,0)),1)</f>
        <v>214587.9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Mapping'!$B:$B,144)</f>
        <v>Kellie Gathergood</v>
      </c>
      <c r="C51" s="634" t="str">
        <f>INDEX('REVIEW - Complete Role Mapping'!$C:$C,144)</f>
        <v>Lead Quality Assurance</v>
      </c>
      <c r="D51" s="612" t="str">
        <f>INDEX('REVIEW - Complete Role Mapping'!$AK:$AK,144)</f>
        <v>Filled</v>
      </c>
      <c r="E51" s="612" t="inlineStr">
        <is>
          <t>Filled</t>
        </is>
      </c>
      <c r="F51" s="981" t="str">
        <f>INDEX('REVIEW - Complete Role Mapping'!$AT:$AT,144)</f>
        <v>Z Loyalty &amp; Martech</v>
      </c>
      <c r="G51" s="1265">
        <f>INDEX('REVIEW - Complete Role Mapping'!$AA:$AA,144)</f>
        <v>257788.5</v>
      </c>
      <c r="H51" s="627">
        <f>$G51*IFERROR(INDEX(Lists!$AD:$AD,MATCH($E51,Lists!$AC:$AC,0)),1)</f>
        <v>257788.5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Mapping'!$B:$B,146)</f>
        <v>Kishore Ganesan</v>
      </c>
      <c r="C52" s="634" t="str">
        <f>INDEX('REVIEW - Complete Role Mapping'!$C:$C,146)</f>
        <v>Intermediate Quality Assurance</v>
      </c>
      <c r="D52" s="612" t="str">
        <f>INDEX('REVIEW - Complete Role Mapping'!$AK:$AK,146)</f>
        <v>Filled</v>
      </c>
      <c r="E52" s="612" t="inlineStr">
        <is>
          <t>Filled</t>
        </is>
      </c>
      <c r="F52" s="981" t="str">
        <f>INDEX('REVIEW - Complete Role Mapping'!$AT:$AT,146)</f>
        <v>Z Loyalty &amp; Martech</v>
      </c>
      <c r="G52" s="1265">
        <f>INDEX('REVIEW - Complete Role Mapping'!$AA:$AA,146)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Mapping'!$B:$B,151)</f>
        <v>Megan Rodgers</v>
      </c>
      <c r="C53" s="634" t="str">
        <f>INDEX('REVIEW - Complete Role Mapping'!$C:$C,151)</f>
        <v>Business Analyst</v>
      </c>
      <c r="D53" s="612" t="str">
        <f>INDEX('REVIEW - Complete Role Mapping'!$AK:$AK,151)</f>
        <v>Filled</v>
      </c>
      <c r="E53" s="612" t="inlineStr">
        <is>
          <t>Filled</t>
        </is>
      </c>
      <c r="F53" s="981" t="str">
        <f>INDEX('REVIEW - Complete Role Mapping'!$AT:$AT,151)</f>
        <v>Z Loyalty &amp; Martech</v>
      </c>
      <c r="G53" s="1265">
        <f>INDEX('REVIEW - Complete Role Mapping'!$AA:$AA,151)</f>
        <v>138702</v>
      </c>
      <c r="H53" s="627">
        <f>$G53*IFERROR(INDEX(Lists!$AD:$AD,MATCH($E53,Lists!$AC:$AC,0)),1)</f>
        <v>138702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Mapping'!$B:$B,153)</f>
        <v>Nimi Rose</v>
      </c>
      <c r="C54" s="634" t="str">
        <f>INDEX('REVIEW - Complete Role Mapping'!$C:$C,153)</f>
        <v>Marketing Technology Lead</v>
      </c>
      <c r="D54" s="612" t="str">
        <f>INDEX('REVIEW - Complete Role Mapping'!$AK:$AK,153)</f>
        <v>Filled</v>
      </c>
      <c r="E54" s="612" t="inlineStr">
        <is>
          <t>Filled</t>
        </is>
      </c>
      <c r="F54" s="981" t="str">
        <f>INDEX('REVIEW - Complete Role Mapping'!$AT:$AT,153)</f>
        <v>Z Loyalty &amp; Martech</v>
      </c>
      <c r="G54" s="1265">
        <f>INDEX('REVIEW - Complete Role Mapping'!$AA:$AA,153)</f>
        <v>197993.85</v>
      </c>
      <c r="H54" s="627">
        <f>$G54*IFERROR(INDEX(Lists!$AD:$AD,MATCH($E54,Lists!$AC:$AC,0)),1)</f>
        <v>197993.85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Mapping'!$B:$B,164)</f>
        <v>Scott Cullen</v>
      </c>
      <c r="C55" s="634" t="str">
        <f>INDEX('REVIEW - Complete Role Mapping'!$C:$C,164)</f>
        <v>Engineer, Dev Ops</v>
      </c>
      <c r="D55" s="612" t="str">
        <f>INDEX('REVIEW - Complete Role Mapping'!$AK:$AK,164)</f>
        <v>Filled</v>
      </c>
      <c r="E55" s="612" t="inlineStr">
        <is>
          <t>Filled</t>
        </is>
      </c>
      <c r="F55" s="981" t="str">
        <f>INDEX('REVIEW - Complete Role Mapping'!$AT:$AT,164)</f>
        <v>Z Loyalty &amp; Martech</v>
      </c>
      <c r="G55" s="1265">
        <f>INDEX('REVIEW - Complete Role Mapping'!$AA:$AA,164)</f>
        <v>220275</v>
      </c>
      <c r="H55" s="627">
        <f>$G55*IFERROR(INDEX(Lists!$AD:$AD,MATCH($E55,Lists!$AC:$AC,0)),1)</f>
        <v>220275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Mapping'!$B:$B,167)</f>
        <v>Shinal Chamberlain</v>
      </c>
      <c r="C56" s="634" t="str">
        <f>INDEX('REVIEW - Complete Role Mapping'!$C:$C,167)</f>
        <v>Business Analyst</v>
      </c>
      <c r="D56" s="612" t="str">
        <f>INDEX('REVIEW - Complete Role Mapping'!$AK:$AK,167)</f>
        <v>Filled</v>
      </c>
      <c r="E56" s="612" t="inlineStr">
        <is>
          <t>Filled</t>
        </is>
      </c>
      <c r="F56" s="981" t="str">
        <f>INDEX('REVIEW - Complete Role Mapping'!$AT:$AT,167)</f>
        <v>Z Loyalty &amp; Martech</v>
      </c>
      <c r="G56" s="1265">
        <f>INDEX('REVIEW - Complete Role Mapping'!$AA:$AA,167)</f>
        <v>274311.472</v>
      </c>
      <c r="H56" s="627">
        <f>$G56*IFERROR(INDEX(Lists!$AD:$AD,MATCH($E56,Lists!$AC:$AC,0)),1)</f>
        <v>274311.472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Mapping'!$B:$B,188)</f>
        <v>Yash Thakkar</v>
      </c>
      <c r="C57" s="634" t="str">
        <f>INDEX('REVIEW - Complete Role Mapping'!$C:$C,188)</f>
        <v>Martech Specialist</v>
      </c>
      <c r="D57" s="612" t="str">
        <f>INDEX('REVIEW - Complete Role Mapping'!$AK:$AK,188)</f>
        <v>Filled</v>
      </c>
      <c r="E57" s="612" t="inlineStr">
        <is>
          <t>Filled</t>
        </is>
      </c>
      <c r="F57" s="981" t="str">
        <f>INDEX('REVIEW - Complete Role Mapping'!$AT:$AT,188)</f>
        <v>Z Loyalty &amp; Martech</v>
      </c>
      <c r="G57" s="1265">
        <f>INDEX('REVIEW - Complete Role Mapping'!$AA:$AA,188)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Mapping'!$B:$B,111)</f>
        <v>Alan Peng</v>
      </c>
      <c r="C58" s="634" t="str">
        <f>INDEX('REVIEW - Complete Role Mapping'!$C:$C,111)</f>
        <v>Delivery Lead</v>
      </c>
      <c r="D58" s="612" t="str">
        <f>INDEX('REVIEW - Complete Role Mapping'!$AK:$AK,111)</f>
        <v>Filled</v>
      </c>
      <c r="E58" s="612" t="inlineStr">
        <is>
          <t>Filled</t>
        </is>
      </c>
      <c r="F58" s="981" t="str">
        <f>INDEX('REVIEW - Complete Role Mapping'!$AT:$AT,111)</f>
        <v>EGI Customer</v>
      </c>
      <c r="G58" s="1265">
        <f>INDEX('REVIEW - Complete Role Mapping'!$AA:$AA,111)</f>
        <v>216043.05</v>
      </c>
      <c r="H58" s="627">
        <f>$G58*IFERROR(INDEX(Lists!$AD:$AD,MATCH($E58,Lists!$AC:$AC,0)),1)</f>
        <v>216043.05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Mapping'!$B:$B,115)</f>
        <v>Angie Ng</v>
      </c>
      <c r="C59" s="634" t="str">
        <f>INDEX('REVIEW - Complete Role Mapping'!$C:$C,115)</f>
        <v>Snr Engineer - BE</v>
      </c>
      <c r="D59" s="612" t="str">
        <f>INDEX('REVIEW - Complete Role Mapping'!$AK:$AK,115)</f>
        <v>Filled</v>
      </c>
      <c r="E59" s="612" t="inlineStr">
        <is>
          <t>Filled</t>
        </is>
      </c>
      <c r="F59" s="981" t="str">
        <f>INDEX('REVIEW - Complete Role Mapping'!$AT:$AT,115)</f>
        <v>EGI Customer</v>
      </c>
      <c r="G59" s="1265">
        <f>INDEX('REVIEW - Complete Role Mapping'!$AA:$AA,115)</f>
        <v>254958.3</v>
      </c>
      <c r="H59" s="627">
        <f>$G59*IFERROR(INDEX(Lists!$AD:$AD,MATCH($E59,Lists!$AC:$AC,0)),1)</f>
        <v>254958.3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Mapping'!$B:$B,129)</f>
        <v>Dasha Fothergill</v>
      </c>
      <c r="C60" s="634" t="str">
        <f>INDEX('REVIEW - Complete Role Mapping'!$C:$C,129)</f>
        <v>Data Analyst</v>
      </c>
      <c r="D60" s="612" t="str">
        <f>INDEX('REVIEW - Complete Role Mapping'!$AK:$AK,129)</f>
        <v>Filled</v>
      </c>
      <c r="E60" s="612" t="inlineStr">
        <is>
          <t>Filled</t>
        </is>
      </c>
      <c r="F60" s="981" t="str">
        <f>INDEX('REVIEW - Complete Role Mapping'!$AT:$AT,129)</f>
        <v>EGI Customer</v>
      </c>
      <c r="G60" s="1265">
        <f>INDEX('REVIEW - Complete Role Mapping'!$AA:$AA,129)</f>
        <v>188492.4</v>
      </c>
      <c r="H60" s="627">
        <f>$G60*IFERROR(INDEX(Lists!$AD:$AD,MATCH($E60,Lists!$AC:$AC,0)),1)</f>
        <v>188492.4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Mapping'!$B:$B,158)</f>
        <v>Ramez Haider</v>
      </c>
      <c r="C61" s="646" t="str">
        <f>INDEX('REVIEW - Complete Role Mapping'!$C:$C,158)</f>
        <v>Solution Architect</v>
      </c>
      <c r="D61" s="612" t="str">
        <f>INDEX('REVIEW - Complete Role Mapping'!$AK:$AK,158)</f>
        <v>Filled</v>
      </c>
      <c r="E61" s="612" t="inlineStr">
        <is>
          <t>Filled</t>
        </is>
      </c>
      <c r="F61" s="981" t="str">
        <f>INDEX('REVIEW - Complete Role Mapping'!$AT:$AT,158)</f>
        <v>EGI Customer</v>
      </c>
      <c r="G61" s="1265">
        <f>INDEX('REVIEW - Complete Role Mapping'!$AA:$AA,158)</f>
        <v>247530</v>
      </c>
      <c r="H61" s="627">
        <f>$G61*IFERROR(INDEX(Lists!$AD:$AD,MATCH($E61,Lists!$AC:$AC,0)),1)</f>
        <v>247530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Mapping'!$B:$B,159)</f>
        <v>Rishabh Bhatia</v>
      </c>
      <c r="C62" s="634" t="str">
        <f>INDEX('REVIEW - Complete Role Mapping'!$C:$C,159)</f>
        <v>Engineer - Mobile (Android)</v>
      </c>
      <c r="D62" s="612" t="str">
        <f>INDEX('REVIEW - Complete Role Mapping'!$AK:$AK,159)</f>
        <v>Filled</v>
      </c>
      <c r="E62" s="612" t="inlineStr">
        <is>
          <t>Filled</t>
        </is>
      </c>
      <c r="F62" s="981" t="str">
        <f>INDEX('REVIEW - Complete Role Mapping'!$AT:$AT,159)</f>
        <v>EGI Customer</v>
      </c>
      <c r="G62" s="1265">
        <f>INDEX('REVIEW - Complete Role Mapping'!$AA:$AA,159)</f>
        <v>136760</v>
      </c>
      <c r="H62" s="627">
        <f>$G62*IFERROR(INDEX(Lists!$AD:$AD,MATCH($E62,Lists!$AC:$AC,0)),1)</f>
        <v>136760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Mapping'!$B:$B,160)</f>
        <v>Rob Jadrjevic</v>
      </c>
      <c r="C63" s="634" t="str">
        <f>INDEX('REVIEW - Complete Role Mapping'!$C:$C,160)</f>
        <v>Engineer - BE</v>
      </c>
      <c r="D63" s="612" t="str">
        <f>INDEX('REVIEW - Complete Role Mapping'!$AK:$AK,160)</f>
        <v>Filled</v>
      </c>
      <c r="E63" s="612" t="inlineStr">
        <is>
          <t>Filled</t>
        </is>
      </c>
      <c r="F63" s="981" t="str">
        <f>INDEX('REVIEW - Complete Role Mapping'!$AT:$AT,160)</f>
        <v>EGI Customer</v>
      </c>
      <c r="G63" s="1265">
        <f>INDEX('REVIEW - Complete Role Mapping'!$AA:$AA,160)</f>
        <v>202853.25</v>
      </c>
      <c r="H63" s="627">
        <f>$G63*IFERROR(INDEX(Lists!$AD:$AD,MATCH($E63,Lists!$AC:$AC,0)),1)</f>
        <v>202853.25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Mapping'!$B:$B,161)</f>
        <v>Safiq Iqbal</v>
      </c>
      <c r="C64" s="634" t="str">
        <f>INDEX('REVIEW - Complete Role Mapping'!$C:$C,161)</f>
        <v>Principal Engineer</v>
      </c>
      <c r="D64" s="612" t="str">
        <f>INDEX('REVIEW - Complete Role Mapping'!$AK:$AK,161)</f>
        <v>Filled</v>
      </c>
      <c r="E64" s="612" t="inlineStr">
        <is>
          <t>Filled</t>
        </is>
      </c>
      <c r="F64" s="981" t="str">
        <f>INDEX('REVIEW - Complete Role Mapping'!$AT:$AT,161)</f>
        <v>EGI Customer</v>
      </c>
      <c r="G64" s="1265">
        <f>INDEX('REVIEW - Complete Role Mapping'!$AA:$AA,161)</f>
        <v>213600</v>
      </c>
      <c r="H64" s="627">
        <f>$G64*IFERROR(INDEX(Lists!$AD:$AD,MATCH($E64,Lists!$AC:$AC,0)),1)</f>
        <v>213600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Mapping'!$B:$B,170)</f>
        <v>Sri Balan Raj</v>
      </c>
      <c r="C65" s="962" t="str">
        <f>INDEX('REVIEW - Complete Role Mapping'!$C:$C,170)</f>
        <v>Business Analyst</v>
      </c>
      <c r="D65" s="612" t="str">
        <f>INDEX('REVIEW - Complete Role Mapping'!$AK:$AK,170)</f>
        <v>Filled</v>
      </c>
      <c r="E65" s="612" t="inlineStr">
        <is>
          <t>Filled</t>
        </is>
      </c>
      <c r="F65" s="981" t="str">
        <f>INDEX('REVIEW - Complete Role Mapping'!$AT:$AT,170)</f>
        <v>EGI Customer</v>
      </c>
      <c r="G65" s="1265">
        <f>INDEX('REVIEW - Complete Role Mapping'!$AA:$AA,170)</f>
        <v>275810.25</v>
      </c>
      <c r="H65" s="627">
        <f>$G65*IFERROR(INDEX(Lists!$AD:$AD,MATCH($E65,Lists!$AC:$AC,0)),1)</f>
        <v>275810.25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Mapping'!$B:$B,171)</f>
        <v>Swapnil Pithwa</v>
      </c>
      <c r="C66" s="634" t="str">
        <f>INDEX('REVIEW - Complete Role Mapping'!$C:$C,171)</f>
        <v>Engineer - BE</v>
      </c>
      <c r="D66" s="612" t="str">
        <f>INDEX('REVIEW - Complete Role Mapping'!$AK:$AK,171)</f>
        <v>Filled</v>
      </c>
      <c r="E66" s="612" t="inlineStr">
        <is>
          <t>Filled</t>
        </is>
      </c>
      <c r="F66" s="981" t="str">
        <f>INDEX('REVIEW - Complete Role Mapping'!$AT:$AT,171)</f>
        <v>EGI Customer</v>
      </c>
      <c r="G66" s="1265">
        <f>INDEX('REVIEW - Complete Role Mapping'!$AA:$AA,171)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Mapping'!$B:$B,187)</f>
        <v>Waheed Malek</v>
      </c>
      <c r="C67" s="962" t="str">
        <f>INDEX('REVIEW - Complete Role Mapping'!$C:$C,187)</f>
        <v>Quality Assurance</v>
      </c>
      <c r="D67" s="612" t="str">
        <f>INDEX('REVIEW - Complete Role Mapping'!$AK:$AK,187)</f>
        <v>Filled</v>
      </c>
      <c r="E67" s="612" t="inlineStr">
        <is>
          <t>Filled</t>
        </is>
      </c>
      <c r="F67" s="981" t="str">
        <f>INDEX('REVIEW - Complete Role Mapping'!$AT:$AT,187)</f>
        <v>EGI Customer</v>
      </c>
      <c r="G67" s="1265">
        <f>INDEX('REVIEW - Complete Role Mapping'!$AA:$AA,187)</f>
        <v>196277.808</v>
      </c>
      <c r="H67" s="627">
        <f>$G67*IFERROR(INDEX(Lists!$AD:$AD,MATCH($E67,Lists!$AC:$AC,0)),1)</f>
        <v>196277.808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Mapping'!$B:$B,114)</f>
        <v>Angela Gilbert</v>
      </c>
      <c r="C68" s="962" t="str">
        <f>INDEX('REVIEW - Complete Role Mapping'!$C:$C,114)</f>
        <v>Martech Lead - Dynamics</v>
      </c>
      <c r="D68" s="612" t="str">
        <f>INDEX('REVIEW - Complete Role Mapping'!$AK:$AK,114)</f>
        <v>Filled</v>
      </c>
      <c r="E68" s="612" t="inlineStr">
        <is>
          <t>Filled</t>
        </is>
      </c>
      <c r="F68" s="981" t="str">
        <f>INDEX('REVIEW - Complete Role Mapping'!$AT:$AT,114)</f>
        <v>Ampol Loyalty &amp; Martech</v>
      </c>
      <c r="G68" s="1265">
        <f>INDEX('REVIEW - Complete Role Mapping'!$AA:$AA,114)</f>
        <v>200250</v>
      </c>
      <c r="H68" s="627">
        <f>$G68*IFERROR(INDEX(Lists!$AD:$AD,MATCH($E68,Lists!$AC:$AC,0)),1)</f>
        <v>200250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Mapping'!$B:$B,137)</f>
        <v>Jawad Hassan</v>
      </c>
      <c r="C69" s="646" t="str">
        <f>INDEX('REVIEW - Complete Role Mapping'!$C:$C,137)</f>
        <v>Engineer Data (Snowflake)</v>
      </c>
      <c r="D69" s="612" t="str">
        <f>INDEX('REVIEW - Complete Role Mapping'!$AK:$AK,137)</f>
        <v>Filled</v>
      </c>
      <c r="E69" s="612" t="inlineStr">
        <is>
          <t>Filled</t>
        </is>
      </c>
      <c r="F69" s="981" t="str">
        <f>INDEX('REVIEW - Complete Role Mapping'!$AT:$AT,137)</f>
        <v>Ampol Loyalty &amp; Martech</v>
      </c>
      <c r="G69" s="1265">
        <f>INDEX('REVIEW - Complete Role Mapping'!$AA:$AA,137)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Mapping'!$B:$B,138)</f>
        <v>Jeremy Xu</v>
      </c>
      <c r="C70" s="634" t="str">
        <f>INDEX('REVIEW - Complete Role Mapping'!$C:$C,138)</f>
        <v>Data Analyst</v>
      </c>
      <c r="D70" s="612" t="str">
        <f>INDEX('REVIEW - Complete Role Mapping'!$AK:$AK,138)</f>
        <v>Filled</v>
      </c>
      <c r="E70" s="612" t="inlineStr">
        <is>
          <t>Filled</t>
        </is>
      </c>
      <c r="F70" s="981" t="str">
        <f>INDEX('REVIEW - Complete Role Mapping'!$AT:$AT,138)</f>
        <v>Ampol Loyalty &amp; Martech</v>
      </c>
      <c r="G70" s="1265">
        <f>INDEX('REVIEW - Complete Role Mapping'!$AA:$AA,138)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Mapping'!$B:$B,178)</f>
        <v>Vacant</v>
      </c>
      <c r="C71" s="634" t="str">
        <f>INDEX('REVIEW - Complete Role Mapping'!$C:$C,178)</f>
        <v>Engineer, Software</v>
      </c>
      <c r="D71" s="612" t="str">
        <f>INDEX('REVIEW - Complete Role Mapping'!$AK:$AK,178)</f>
        <v>Vacant</v>
      </c>
      <c r="E71" s="612" t="inlineStr">
        <is>
          <t>Hire</t>
        </is>
      </c>
      <c r="F71" s="981" t="str">
        <f>INDEX('REVIEW - Complete Role Mapping'!$AT:$AT,178)</f>
        <v>Ampol Loyalty &amp; Martech</v>
      </c>
      <c r="G71" s="1265">
        <f>INDEX('REVIEW - Complete Role Mapping'!$AA:$AA,178)</f>
        <v>155676</v>
      </c>
      <c r="H71" s="627">
        <f>$G71*IFERROR(INDEX(Lists!$AD:$AD,MATCH($E71,Lists!$AC:$AC,0)),1)</f>
        <v>155676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Mapping'!$B:$B,179)</f>
        <v>Vacant</v>
      </c>
      <c r="C72" s="634" t="str">
        <f>INDEX('REVIEW - Complete Role Mapping'!$C:$C,179)</f>
        <v>Snr Engineer, Data</v>
      </c>
      <c r="D72" s="612" t="str">
        <f>INDEX('REVIEW - Complete Role Mapping'!$AK:$AK,179)</f>
        <v>Vacant</v>
      </c>
      <c r="E72" s="612" t="inlineStr">
        <is>
          <t>Hire</t>
        </is>
      </c>
      <c r="F72" s="981" t="str">
        <f>INDEX('REVIEW - Complete Role Mapping'!$AT:$AT,179)</f>
        <v>Ampol Loyalty &amp; Martech</v>
      </c>
      <c r="G72" s="1265">
        <f>INDEX('REVIEW - Complete Role Mapping'!$AA:$AA,179)</f>
        <v>174743.46</v>
      </c>
      <c r="H72" s="627">
        <f>$G72*IFERROR(INDEX(Lists!$AD:$AD,MATCH($E72,Lists!$AC:$AC,0)),1)</f>
        <v>174743.46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Mapping'!$B:$B,180)</f>
        <v>Vacant</v>
      </c>
      <c r="C73" s="634" t="str">
        <f>INDEX('REVIEW - Complete Role Mapping'!$C:$C,180)</f>
        <v>Solution Architect</v>
      </c>
      <c r="D73" s="612" t="str">
        <f>INDEX('REVIEW - Complete Role Mapping'!$AK:$AK,180)</f>
        <v>Vacant</v>
      </c>
      <c r="E73" s="612" t="inlineStr">
        <is>
          <t>Hire</t>
        </is>
      </c>
      <c r="F73" s="981" t="str">
        <f>INDEX('REVIEW - Complete Role Mapping'!$AT:$AT,180)</f>
        <v>Ampol Loyalty &amp; Martech</v>
      </c>
      <c r="G73" s="1265">
        <f>INDEX('REVIEW - Complete Role Mapping'!$AA:$AA,180)</f>
        <v>75457.8</v>
      </c>
      <c r="H73" s="627">
        <f>$G73*IFERROR(INDEX(Lists!$AD:$AD,MATCH($E73,Lists!$AC:$AC,0)),1)</f>
        <v>75457.8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Mapping'!$B:$B,181)</f>
        <v>Vacant</v>
      </c>
      <c r="C74" s="634" t="str">
        <f>INDEX('REVIEW - Complete Role Mapping'!$C:$C,181)</f>
        <v>Data Analyst</v>
      </c>
      <c r="D74" s="612" t="str">
        <f>INDEX('REVIEW - Complete Role Mapping'!$AK:$AK,181)</f>
        <v>Vacant</v>
      </c>
      <c r="E74" s="612" t="inlineStr">
        <is>
          <t>Hire</t>
        </is>
      </c>
      <c r="F74" s="981" t="str">
        <f>INDEX('REVIEW - Complete Role Mapping'!$AT:$AT,181)</f>
        <v>Ampol Loyalty &amp; Martech</v>
      </c>
      <c r="G74" s="1265">
        <f>INDEX('REVIEW - Complete Role Mapping'!$AA:$AA,181)</f>
        <v>75457.8</v>
      </c>
      <c r="H74" s="627">
        <f>$G74*IFERROR(INDEX(Lists!$AD:$AD,MATCH($E74,Lists!$AC:$AC,0)),1)</f>
        <v>75457.8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Mapping'!$B:$B,185)</f>
        <v>Vacant</v>
      </c>
      <c r="C75" s="634" t="str">
        <f>INDEX('REVIEW - Complete Role Mapping'!$C:$C,185)</f>
        <v>QA / Tester / Mid</v>
      </c>
      <c r="D75" s="612" t="str">
        <f>INDEX('REVIEW - Complete Role Mapping'!$AK:$AK,185)</f>
        <v>Vacant</v>
      </c>
      <c r="E75" s="612" t="inlineStr">
        <is>
          <t>Hire</t>
        </is>
      </c>
      <c r="F75" s="981" t="str">
        <f>INDEX('REVIEW - Complete Role Mapping'!$AT:$AT,185)</f>
        <v>Ampol Loyalty &amp; Martech</v>
      </c>
      <c r="G75" s="1265">
        <f>INDEX('REVIEW - Complete Role Mapping'!$AA:$AA,185)</f>
        <v>95579.88</v>
      </c>
      <c r="H75" s="627">
        <f>$G75*IFERROR(INDEX(Lists!$AD:$AD,MATCH($E75,Lists!$AC:$AC,0)),1)</f>
        <v>95579.88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Mapping'!$B:$B,186)</f>
        <v>Vacant</v>
      </c>
      <c r="C76" s="634" t="str">
        <f>INDEX('REVIEW - Complete Role Mapping'!$C:$C,186)</f>
        <v>Systems Analyst / Mid</v>
      </c>
      <c r="D76" s="612" t="str">
        <f>INDEX('REVIEW - Complete Role Mapping'!$AK:$AK,186)</f>
        <v>Vacant</v>
      </c>
      <c r="E76" s="612" t="inlineStr">
        <is>
          <t>Hire</t>
        </is>
      </c>
      <c r="F76" s="981" t="str">
        <f>INDEX('REVIEW - Complete Role Mapping'!$AT:$AT,186)</f>
        <v>Ampol Loyalty &amp; Martech</v>
      </c>
      <c r="G76" s="1265">
        <f>INDEX('REVIEW - Complete Role Mapping'!$AA:$AA,186)</f>
        <v>148354.548</v>
      </c>
      <c r="H76" s="627">
        <f>$G76*IFERROR(INDEX(Lists!$AD:$AD,MATCH($E76,Lists!$AC:$AC,0)),1)</f>
        <v>148354.548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Mapping'!$B:$B,108)</f>
        <v>Aaron Lu</v>
      </c>
      <c r="C77" s="634" t="str">
        <f>INDEX('REVIEW - Complete Role Mapping'!$C:$C,108)</f>
        <v>Engineer - BE</v>
      </c>
      <c r="D77" s="612" t="str">
        <f>INDEX('REVIEW - Complete Role Mapping'!$AK:$AK,108)</f>
        <v>Filled</v>
      </c>
      <c r="E77" s="612" t="inlineStr">
        <is>
          <t>Filled</t>
        </is>
      </c>
      <c r="F77" s="981" t="str">
        <f>INDEX('REVIEW - Complete Role Mapping'!$AT:$AT,108)</f>
        <v>Ampol Web</v>
      </c>
      <c r="G77" s="1265">
        <f>INDEX('REVIEW - Complete Role Mapping'!$AA:$AA,108)</f>
        <v>235333.8</v>
      </c>
      <c r="H77" s="627">
        <f>$G77*IFERROR(INDEX(Lists!$AD:$AD,MATCH($E77,Lists!$AC:$AC,0)),1)</f>
        <v>235333.8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Mapping'!$B:$B,120)</f>
        <v>Ashwini Gaikwad</v>
      </c>
      <c r="C78" s="634" t="str">
        <f>INDEX('REVIEW - Complete Role Mapping'!$C:$C,120)</f>
        <v>Quality Assurance</v>
      </c>
      <c r="D78" s="612" t="str">
        <f>INDEX('REVIEW - Complete Role Mapping'!$AK:$AK,120)</f>
        <v>Filled</v>
      </c>
      <c r="E78" s="612" t="inlineStr">
        <is>
          <t>Filled</t>
        </is>
      </c>
      <c r="F78" s="981" t="str">
        <f>INDEX('REVIEW - Complete Role Mapping'!$AT:$AT,120)</f>
        <v>Ampol Web</v>
      </c>
      <c r="G78" s="1265">
        <f>INDEX('REVIEW - Complete Role Mapping'!$AA:$AA,120)</f>
        <v>168677.25</v>
      </c>
      <c r="H78" s="627">
        <f>$G78*IFERROR(INDEX(Lists!$AD:$AD,MATCH($E78,Lists!$AC:$AC,0)),1)</f>
        <v>168677.25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Mapping'!$B:$B,128)</f>
        <v>Darwin Morales</v>
      </c>
      <c r="C79" s="634" t="str">
        <f>INDEX('REVIEW - Complete Role Mapping'!$C:$C,128)</f>
        <v>Snr Engineer - FE</v>
      </c>
      <c r="D79" s="612" t="str">
        <f>INDEX('REVIEW - Complete Role Mapping'!$AK:$AK,128)</f>
        <v>Filled</v>
      </c>
      <c r="E79" s="612" t="inlineStr">
        <is>
          <t>Filled</t>
        </is>
      </c>
      <c r="F79" s="981" t="str">
        <f>INDEX('REVIEW - Complete Role Mapping'!$AT:$AT,128)</f>
        <v>Ampol Web</v>
      </c>
      <c r="G79" s="1265">
        <f>INDEX('REVIEW - Complete Role Mapping'!$AA:$AA,128)</f>
        <v>243090.15</v>
      </c>
      <c r="H79" s="627">
        <f>$G79*IFERROR(INDEX(Lists!$AD:$AD,MATCH($E79,Lists!$AC:$AC,0)),1)</f>
        <v>243090.15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Mapping'!$B:$B,140)</f>
        <v>Jin Zhong</v>
      </c>
      <c r="C80" s="634" t="str">
        <f>INDEX('REVIEW - Complete Role Mapping'!$C:$C,140)</f>
        <v>Lead Engineer - BE</v>
      </c>
      <c r="D80" s="612" t="str">
        <f>INDEX('REVIEW - Complete Role Mapping'!$AK:$AK,140)</f>
        <v>Filled</v>
      </c>
      <c r="E80" s="612" t="inlineStr">
        <is>
          <t>Filled</t>
        </is>
      </c>
      <c r="F80" s="981" t="str">
        <f>INDEX('REVIEW - Complete Role Mapping'!$AT:$AT,140)</f>
        <v>Ampol Web</v>
      </c>
      <c r="G80" s="1265">
        <f>INDEX('REVIEW - Complete Role Mapping'!$AA:$AA,140)</f>
        <v>202853.25</v>
      </c>
      <c r="H80" s="627">
        <f>$G80*IFERROR(INDEX(Lists!$AD:$AD,MATCH($E80,Lists!$AC:$AC,0)),1)</f>
        <v>202853.25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Mapping'!$B:$B,141)</f>
        <v>Jordan Askwith</v>
      </c>
      <c r="C81" s="634" t="str">
        <f>INDEX('REVIEW - Complete Role Mapping'!$C:$C,141)</f>
        <v>Solution Architect</v>
      </c>
      <c r="D81" s="612" t="str">
        <f>INDEX('REVIEW - Complete Role Mapping'!$AK:$AK,141)</f>
        <v>Filled</v>
      </c>
      <c r="E81" s="612" t="inlineStr">
        <is>
          <t>Filled</t>
        </is>
      </c>
      <c r="F81" s="981" t="str">
        <f>INDEX('REVIEW - Complete Role Mapping'!$AT:$AT,141)</f>
        <v>Ampol Web</v>
      </c>
      <c r="G81" s="1265">
        <f>INDEX('REVIEW - Complete Role Mapping'!$AA:$AA,141)</f>
        <v>202853.25</v>
      </c>
      <c r="H81" s="627">
        <f>$G81*IFERROR(INDEX(Lists!$AD:$AD,MATCH($E81,Lists!$AC:$AC,0)),1)</f>
        <v>202853.25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Mapping'!$B:$B,148)</f>
        <v>Lily Fong</v>
      </c>
      <c r="C82" s="962" t="str">
        <f>INDEX('REVIEW - Complete Role Mapping'!$C:$C,148)</f>
        <v>Snr Business Analyst</v>
      </c>
      <c r="D82" s="612" t="str">
        <f>INDEX('REVIEW - Complete Role Mapping'!$AK:$AK,148)</f>
        <v>Filled</v>
      </c>
      <c r="E82" s="612" t="inlineStr">
        <is>
          <t>Filled</t>
        </is>
      </c>
      <c r="F82" s="981" t="str">
        <f>INDEX('REVIEW - Complete Role Mapping'!$AT:$AT,148)</f>
        <v>Ampol Web</v>
      </c>
      <c r="G82" s="1265">
        <f>INDEX('REVIEW - Complete Role Mapping'!$AA:$AA,148)</f>
        <v>170489.75</v>
      </c>
      <c r="H82" s="627">
        <f>$G82*IFERROR(INDEX(Lists!$AD:$AD,MATCH($E82,Lists!$AC:$AC,0)),1)</f>
        <v>170489.75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Mapping'!$B:$B,163)</f>
        <v>Saugata Acharya</v>
      </c>
      <c r="C83" s="962" t="str">
        <f>INDEX('REVIEW - Complete Role Mapping'!$C:$C,163)</f>
        <v>Delivery Lead</v>
      </c>
      <c r="D83" s="612" t="str">
        <f>INDEX('REVIEW - Complete Role Mapping'!$AK:$AK,163)</f>
        <v>Filled</v>
      </c>
      <c r="E83" s="612" t="inlineStr">
        <is>
          <t>Filled</t>
        </is>
      </c>
      <c r="F83" s="981" t="str">
        <f>INDEX('REVIEW - Complete Role Mapping'!$AT:$AT,163)</f>
        <v>Ampol Web</v>
      </c>
      <c r="G83" s="1265">
        <f>INDEX('REVIEW - Complete Role Mapping'!$AA:$AA,163)</f>
        <v>217914</v>
      </c>
      <c r="H83" s="627">
        <f>$G83*IFERROR(INDEX(Lists!$AD:$AD,MATCH($E83,Lists!$AC:$AC,0)),1)</f>
        <v>217914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Mapping'!$B:$B,190)</f>
        <v>Zohan Sim</v>
      </c>
      <c r="C84" s="962" t="str">
        <f>INDEX('REVIEW - Complete Role Mapping'!$C:$C,190)</f>
        <v>Engineer - BE</v>
      </c>
      <c r="D84" s="612" t="str">
        <f>INDEX('REVIEW - Complete Role Mapping'!$AK:$AK,190)</f>
        <v>Filled</v>
      </c>
      <c r="E84" s="612" t="inlineStr">
        <is>
          <t>Filled</t>
        </is>
      </c>
      <c r="F84" s="981" t="str">
        <f>INDEX('REVIEW - Complete Role Mapping'!$AT:$AT,190)</f>
        <v>Ampol Web</v>
      </c>
      <c r="G84" s="1265">
        <f>INDEX('REVIEW - Complete Role Mapping'!$AA:$AA,190)</f>
        <v>150018</v>
      </c>
      <c r="H84" s="627">
        <f>$G84*IFERROR(INDEX(Lists!$AD:$AD,MATCH($E84,Lists!$AC:$AC,0)),1)</f>
        <v>150018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Mapping'!$B:$B,127)</f>
        <v>Daniel Arban</v>
      </c>
      <c r="C85" s="634" t="str">
        <f>INDEX('REVIEW - Complete Role Mapping'!$C:$C,127)</f>
        <v>Service Delivery Lead</v>
      </c>
      <c r="D85" s="612" t="str">
        <f>INDEX('REVIEW - Complete Role Mapping'!$AK:$AK,127)</f>
        <v>Filled</v>
      </c>
      <c r="E85" s="612" t="inlineStr">
        <is>
          <t>Filled</t>
        </is>
      </c>
      <c r="F85" s="981" t="str">
        <f>INDEX('REVIEW - Complete Role Mapping'!$AT:$AT,127)</f>
        <v>Digital Operations</v>
      </c>
      <c r="G85" s="1265">
        <f>INDEX('REVIEW - Complete Role Mapping'!$AA:$AA,127)</f>
        <v>248640</v>
      </c>
      <c r="H85" s="627">
        <f>$G85*IFERROR(INDEX(Lists!$AD:$AD,MATCH($E85,Lists!$AC:$AC,0)),1)</f>
        <v>248640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Mapping'!$B:$B,133)</f>
        <v>Emile Violi</v>
      </c>
      <c r="C86" s="646" t="str">
        <f>INDEX('REVIEW - Complete Role Mapping'!$C:$C,133)</f>
        <v>Engineer - BE</v>
      </c>
      <c r="D86" s="612" t="str">
        <f>INDEX('REVIEW - Complete Role Mapping'!$AK:$AK,133)</f>
        <v>Filled</v>
      </c>
      <c r="E86" s="612" t="inlineStr">
        <is>
          <t>Filled</t>
        </is>
      </c>
      <c r="F86" s="981" t="str">
        <f>INDEX('REVIEW - Complete Role Mapping'!$AT:$AT,133)</f>
        <v>Digital Operations</v>
      </c>
      <c r="G86" s="1265">
        <f>INDEX('REVIEW - Complete Role Mapping'!$AA:$AA,133)</f>
        <v>154465.188</v>
      </c>
      <c r="H86" s="627">
        <f>$G86*IFERROR(INDEX(Lists!$AD:$AD,MATCH($E86,Lists!$AC:$AC,0)),1)</f>
        <v>154465.188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Mapping'!$B:$B,150)</f>
        <v>Mark Wilson</v>
      </c>
      <c r="C87" s="634" t="str">
        <f>INDEX('REVIEW - Complete Role Mapping'!$C:$C,150)</f>
        <v>Digital Support Manager (AU)</v>
      </c>
      <c r="D87" s="612" t="str">
        <f>INDEX('REVIEW - Complete Role Mapping'!$AK:$AK,150)</f>
        <v>Filled</v>
      </c>
      <c r="E87" s="612" t="inlineStr">
        <is>
          <t>Filled</t>
        </is>
      </c>
      <c r="F87" s="981" t="str">
        <f>INDEX('REVIEW - Complete Role Mapping'!$AT:$AT,150)</f>
        <v>Digital Operations</v>
      </c>
      <c r="G87" s="1265">
        <f>INDEX('REVIEW - Complete Role Mapping'!$AA:$AA,150)</f>
        <v>218926.65</v>
      </c>
      <c r="H87" s="627">
        <f>$G87*IFERROR(INDEX(Lists!$AD:$AD,MATCH($E87,Lists!$AC:$AC,0)),1)</f>
        <v>218926.65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Mapping'!$B:$B,169)</f>
        <v>Shreema Das</v>
      </c>
      <c r="C88" s="634" t="str">
        <f>INDEX('REVIEW - Complete Role Mapping'!$C:$C,169)</f>
        <v>Solution Architect</v>
      </c>
      <c r="D88" s="612" t="str">
        <f>INDEX('REVIEW - Complete Role Mapping'!$AK:$AK,169)</f>
        <v>Filled</v>
      </c>
      <c r="E88" s="612" t="inlineStr">
        <is>
          <t>Filled</t>
        </is>
      </c>
      <c r="F88" s="981" t="str">
        <f>INDEX('REVIEW - Complete Role Mapping'!$AT:$AT,169)</f>
        <v>Digital Operations</v>
      </c>
      <c r="G88" s="1265">
        <f>INDEX('REVIEW - Complete Role Mapping'!$AA:$AA,169)</f>
        <v>275810.25</v>
      </c>
      <c r="H88" s="627">
        <f>$G88*IFERROR(INDEX(Lists!$AD:$AD,MATCH($E88,Lists!$AC:$AC,0)),1)</f>
        <v>275810.25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Mapping'!$B:$B,182)</f>
        <v>Vacant</v>
      </c>
      <c r="C89" s="634" t="str">
        <f>INDEX('REVIEW - Complete Role Mapping'!$C:$C,182)</f>
        <v>.NET Back End Developer / Mid</v>
      </c>
      <c r="D89" s="612" t="str">
        <f>INDEX('REVIEW - Complete Role Mapping'!$AK:$AK,182)</f>
        <v>Vacant</v>
      </c>
      <c r="E89" s="612" t="inlineStr">
        <is>
          <t>Hire</t>
        </is>
      </c>
      <c r="F89" s="981" t="str">
        <f>INDEX('REVIEW - Complete Role Mapping'!$AT:$AT,182)</f>
        <v>Digital Operations</v>
      </c>
      <c r="G89" s="1265">
        <f>INDEX('REVIEW - Complete Role Mapping'!$AA:$AA,182)</f>
        <v>106519.664</v>
      </c>
      <c r="H89" s="627">
        <f>$G89*IFERROR(INDEX(Lists!$AD:$AD,MATCH($E89,Lists!$AC:$AC,0)),1)</f>
        <v>106519.664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Mapping'!$B:$B,183)</f>
        <v>Vacant</v>
      </c>
      <c r="C90" s="634" t="str">
        <f>INDEX('REVIEW - Complete Role Mapping'!$C:$C,183)</f>
        <v>.NET Back End Developer / Mid</v>
      </c>
      <c r="D90" s="612" t="str">
        <f>INDEX('REVIEW - Complete Role Mapping'!$AK:$AK,183)</f>
        <v>Vacant</v>
      </c>
      <c r="E90" s="612" t="inlineStr">
        <is>
          <t>Hire</t>
        </is>
      </c>
      <c r="F90" s="981" t="str">
        <f>INDEX('REVIEW - Complete Role Mapping'!$AT:$AT,183)</f>
        <v>Digital Operations</v>
      </c>
      <c r="G90" s="1265">
        <f>INDEX('REVIEW - Complete Role Mapping'!$AA:$AA,183)</f>
        <v>105043.248</v>
      </c>
      <c r="H90" s="627">
        <f>$G90*IFERROR(INDEX(Lists!$AD:$AD,MATCH($E90,Lists!$AC:$AC,0)),1)</f>
        <v>105043.248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Mapping'!$B:$B,184)</f>
        <v>Vacant</v>
      </c>
      <c r="C91" s="634" t="str">
        <f>INDEX('REVIEW - Complete Role Mapping'!$C:$C,184)</f>
        <v>QA / Tester / Mid</v>
      </c>
      <c r="D91" s="612" t="str">
        <f>INDEX('REVIEW - Complete Role Mapping'!$AK:$AK,184)</f>
        <v>Vacant</v>
      </c>
      <c r="E91" s="612" t="inlineStr">
        <is>
          <t>Hire</t>
        </is>
      </c>
      <c r="F91" s="981" t="str">
        <f>INDEX('REVIEW - Complete Role Mapping'!$AT:$AT,184)</f>
        <v>Digital Operations</v>
      </c>
      <c r="G91" s="1265">
        <f>INDEX('REVIEW - Complete Role Mapping'!$AA:$AA,184)</f>
        <v>194240.928</v>
      </c>
      <c r="H91" s="627">
        <f>$G91*IFERROR(INDEX(Lists!$AD:$AD,MATCH($E91,Lists!$AC:$AC,0)),1)</f>
        <v>194240.928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Mapping'!$B:$B,109)</f>
        <v>Abhilash Reddy</v>
      </c>
      <c r="C92" s="646" t="str">
        <f>INDEX('REVIEW - Complete Role Mapping'!$C:$C,109)</f>
        <v>Project Manager</v>
      </c>
      <c r="D92" s="612" t="str">
        <f>INDEX('REVIEW - Complete Role Mapping'!$AK:$AK,109)</f>
        <v>Filled</v>
      </c>
      <c r="E92" s="612" t="inlineStr">
        <is>
          <t>Filled</t>
        </is>
      </c>
      <c r="F92" s="981" t="str">
        <f>INDEX('REVIEW - Complete Role Mapping'!$AT:$AT,109)</f>
        <v>Leadership</v>
      </c>
      <c r="G92" s="1265">
        <f>INDEX('REVIEW - Complete Role Mapping'!$AA:$AA,109)</f>
        <v>266400</v>
      </c>
      <c r="H92" s="627">
        <f>$G92*IFERROR(INDEX(Lists!$AD:$AD,MATCH($E92,Lists!$AC:$AC,0)),1)</f>
        <v>266400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Mapping'!$B:$B,123)</f>
        <v>Byron Thornhill</v>
      </c>
      <c r="C93" s="634" t="str">
        <f>INDEX('REVIEW - Complete Role Mapping'!$C:$C,123)</f>
        <v>Design Manager</v>
      </c>
      <c r="D93" s="612" t="str">
        <f>INDEX('REVIEW - Complete Role Mapping'!$AK:$AK,123)</f>
        <v>Filled</v>
      </c>
      <c r="E93" s="612" t="inlineStr">
        <is>
          <t>Filled</t>
        </is>
      </c>
      <c r="F93" s="981" t="str">
        <f>INDEX('REVIEW - Complete Role Mapping'!$AT:$AT,123)</f>
        <v>Leadership</v>
      </c>
      <c r="G93" s="1265">
        <f>INDEX('REVIEW - Complete Role Mapping'!$AA:$AA,123)</f>
        <v>157668.5</v>
      </c>
      <c r="H93" s="627">
        <f>$G93*IFERROR(INDEX(Lists!$AD:$AD,MATCH($E93,Lists!$AC:$AC,0)),1)</f>
        <v>157668.5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Mapping'!$B:$B,126)</f>
        <v>Christian Lazano</v>
      </c>
      <c r="C94" s="634" t="str">
        <f>INDEX('REVIEW - Complete Role Mapping'!$C:$C,126)</f>
        <v>Business Analyst</v>
      </c>
      <c r="D94" s="612" t="str">
        <f>INDEX('REVIEW - Complete Role Mapping'!$AK:$AK,126)</f>
        <v>Filled</v>
      </c>
      <c r="E94" s="612" t="inlineStr">
        <is>
          <t>Filled</t>
        </is>
      </c>
      <c r="F94" s="981" t="str">
        <f>INDEX('REVIEW - Complete Role Mapping'!$AT:$AT,126)</f>
        <v>Leadership</v>
      </c>
      <c r="G94" s="1265">
        <f>INDEX('REVIEW - Complete Role Mapping'!$AA:$AA,126)</f>
        <v>266400</v>
      </c>
      <c r="H94" s="627">
        <f>$G94*IFERROR(INDEX(Lists!$AD:$AD,MATCH($E94,Lists!$AC:$AC,0)),1)</f>
        <v>266400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Mapping'!$B:$B,131)</f>
        <v>Ed Tacey</v>
      </c>
      <c r="C95" s="634" t="str">
        <f>INDEX('REVIEW - Complete Role Mapping'!$C:$C,131)</f>
        <v>AI Enablement Lead</v>
      </c>
      <c r="D95" s="612" t="str">
        <f>INDEX('REVIEW - Complete Role Mapping'!$AK:$AK,131)</f>
        <v>Filled</v>
      </c>
      <c r="E95" s="612" t="inlineStr">
        <is>
          <t>Filled</t>
        </is>
      </c>
      <c r="F95" s="981" t="str">
        <f>INDEX('REVIEW - Complete Role Mapping'!$AT:$AT,131)</f>
        <v>Leadership</v>
      </c>
      <c r="G95" s="1265">
        <f>INDEX('REVIEW - Complete Role Mapping'!$AA:$AA,131)</f>
        <v>194184.348</v>
      </c>
      <c r="H95" s="627">
        <f>$G95*IFERROR(INDEX(Lists!$AD:$AD,MATCH($E95,Lists!$AC:$AC,0)),1)</f>
        <v>194184.348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Mapping'!$B:$B,177)</f>
        <v>Vacant</v>
      </c>
      <c r="C96" s="634" t="str">
        <f>INDEX('REVIEW - Complete Role Mapping'!$C:$C,177)</f>
        <v>Program Manager</v>
      </c>
      <c r="D96" s="612" t="str">
        <f>INDEX('REVIEW - Complete Role Mapping'!$AK:$AK,177)</f>
        <v>Vacant</v>
      </c>
      <c r="E96" s="612" t="inlineStr">
        <is>
          <t>Hire</t>
        </is>
      </c>
      <c r="F96" s="981" t="str">
        <f>INDEX('REVIEW - Complete Role Mapping'!$AT:$AT,177)</f>
        <v>Leadership</v>
      </c>
      <c r="G96" s="1265">
        <f>INDEX('REVIEW - Complete Role Mapping'!$AA:$AA,177)</f>
        <v>163597.2</v>
      </c>
      <c r="H96" s="627">
        <f>$G96*IFERROR(INDEX(Lists!$AD:$AD,MATCH($E96,Lists!$AC:$AC,0)),1)</f>
        <v>163597.2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Mapping'!$B:$B,118)</f>
        <v>Ants Jackson</v>
      </c>
      <c r="C97" s="962" t="str">
        <f>INDEX('REVIEW - Complete Role Mapping'!$C:$C,118)</f>
        <v>Experience Designer</v>
      </c>
      <c r="D97" s="612" t="str">
        <f>INDEX('REVIEW - Complete Role Mapping'!$AK:$AK,118)</f>
        <v>Filled</v>
      </c>
      <c r="E97" s="612" t="inlineStr">
        <is>
          <t>Filled</t>
        </is>
      </c>
      <c r="F97" s="981" t="str">
        <f>INDEX('REVIEW - Complete Role Mapping'!$AT:$AT,118)</f>
        <v>Z App and Web</v>
      </c>
      <c r="G97" s="1265">
        <f>INDEX('REVIEW - Complete Role Mapping'!$AA:$AA,118)</f>
        <v>220275</v>
      </c>
      <c r="H97" s="627">
        <f>$G97*IFERROR(INDEX(Lists!$AD:$AD,MATCH($E97,Lists!$AC:$AC,0)),1)</f>
        <v>220275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Mapping'!$B:$B,135)</f>
        <v>James Nicolle</v>
      </c>
      <c r="C98" s="962" t="str">
        <f>INDEX('REVIEW - Complete Role Mapping'!$C:$C,135)</f>
        <v>Delivery Lead</v>
      </c>
      <c r="D98" s="612" t="str">
        <f>INDEX('REVIEW - Complete Role Mapping'!$AK:$AK,135)</f>
        <v>Filled</v>
      </c>
      <c r="E98" s="612" t="inlineStr">
        <is>
          <t>Filled</t>
        </is>
      </c>
      <c r="F98" s="981" t="str">
        <f>INDEX('REVIEW - Complete Role Mapping'!$AT:$AT,135)</f>
        <v>Z App and Web</v>
      </c>
      <c r="G98" s="1265">
        <f>INDEX('REVIEW - Complete Role Mapping'!$AA:$AA,135)</f>
        <v>202853.25</v>
      </c>
      <c r="H98" s="627">
        <f>$G98*IFERROR(INDEX(Lists!$AD:$AD,MATCH($E98,Lists!$AC:$AC,0)),1)</f>
        <v>202853.25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Mapping'!$B:$B,162)</f>
        <v>Sam Turnball</v>
      </c>
      <c r="C99" s="962" t="str">
        <f>INDEX('REVIEW - Complete Role Mapping'!$C:$C,162)</f>
        <v>Associate Experience Designer</v>
      </c>
      <c r="D99" s="612" t="str">
        <f>INDEX('REVIEW - Complete Role Mapping'!$AK:$AK,162)</f>
        <v>Filled</v>
      </c>
      <c r="E99" s="612" t="inlineStr">
        <is>
          <t>Filled</t>
        </is>
      </c>
      <c r="F99" s="981" t="str">
        <f>INDEX('REVIEW - Complete Role Mapping'!$AT:$AT,162)</f>
        <v>Z App and Web</v>
      </c>
      <c r="G99" s="1265">
        <f>INDEX('REVIEW - Complete Role Mapping'!$AA:$AA,162)</f>
        <v>301148.976</v>
      </c>
      <c r="H99" s="627">
        <f>$G99*IFERROR(INDEX(Lists!$AD:$AD,MATCH($E99,Lists!$AC:$AC,0)),1)</f>
        <v>301148.976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Mapping'!$B:$B,165)</f>
        <v>Shane Abrahams</v>
      </c>
      <c r="C100" s="646" t="str">
        <f>INDEX('REVIEW - Complete Role Mapping'!$C:$C,165)</f>
        <v>Digital Support Manager - NZ</v>
      </c>
      <c r="D100" s="612" t="str">
        <f>INDEX('REVIEW - Complete Role Mapping'!$AK:$AK,165)</f>
        <v>Filled</v>
      </c>
      <c r="E100" s="612" t="inlineStr">
        <is>
          <t>Filled</t>
        </is>
      </c>
      <c r="F100" s="981" t="str">
        <f>INDEX('REVIEW - Complete Role Mapping'!$AT:$AT,165)</f>
        <v>Z App and Web</v>
      </c>
      <c r="G100" s="1265">
        <f>INDEX('REVIEW - Complete Role Mapping'!$AA:$AA,165)</f>
        <v>223198.572</v>
      </c>
      <c r="H100" s="1266">
        <f>$G100*IFERROR(INDEX(Lists!$AD:$AD,MATCH($E100,Lists!$AC:$AC,0)),1)</f>
        <v>223198.572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Mapping'!$B:$B,172)</f>
        <v>Tim Corin</v>
      </c>
      <c r="C101" s="962" t="str">
        <f>INDEX('REVIEW - Complete Role Mapping'!$C:$C,172)</f>
        <v>Experience Designer</v>
      </c>
      <c r="D101" s="612" t="str">
        <f>INDEX('REVIEW - Complete Role Mapping'!$AK:$AK,172)</f>
        <v>Filled</v>
      </c>
      <c r="E101" s="612" t="inlineStr">
        <is>
          <t>Filled</t>
        </is>
      </c>
      <c r="F101" s="981" t="str">
        <f>INDEX('REVIEW - Complete Role Mapping'!$AT:$AT,172)</f>
        <v>Z App and Web</v>
      </c>
      <c r="G101" s="1265">
        <f>INDEX('REVIEW - Complete Role Mapping'!$AA:$AA,172)</f>
        <v>275810.25</v>
      </c>
      <c r="H101" s="1266">
        <f>$G101*IFERROR(INDEX(Lists!$AD:$AD,MATCH($E101,Lists!$AC:$AC,0)),1)</f>
        <v>275810.25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Mapping'!$B:$B,174)</f>
        <v>Vacant</v>
      </c>
      <c r="C102" s="962" t="str">
        <f>INDEX('REVIEW - Complete Role Mapping'!$C:$C,174)</f>
        <v>AI Engineer - Front End</v>
      </c>
      <c r="D102" s="612" t="str">
        <f>INDEX('REVIEW - Complete Role Mapping'!$AK:$AK,174)</f>
        <v>Vacant</v>
      </c>
      <c r="E102" s="612" t="inlineStr">
        <is>
          <t>Hire</t>
        </is>
      </c>
      <c r="F102" s="981" t="str">
        <f>INDEX('REVIEW - Complete Role Mapping'!$AT:$AT,174)</f>
        <v>Customer AI</v>
      </c>
      <c r="G102" s="1265">
        <f>INDEX('REVIEW - Complete Role Mapping'!$AA:$AA,174)</f>
        <v>85518.84</v>
      </c>
      <c r="H102" s="1266">
        <f>$G102*IFERROR(INDEX(Lists!$AD:$AD,MATCH($E102,Lists!$AC:$AC,0)),1)</f>
        <v>85518.84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Mapping'!$B:$B,175)</f>
        <v>Vacant</v>
      </c>
      <c r="C103" s="646" t="str">
        <f>INDEX('REVIEW - Complete Role Mapping'!$C:$C,175)</f>
        <v>AI Engineer - Full Stack </v>
      </c>
      <c r="D103" s="612" t="str">
        <f>INDEX('REVIEW - Complete Role Mapping'!$AK:$AK,175)</f>
        <v>Vacant</v>
      </c>
      <c r="E103" s="612" t="inlineStr">
        <is>
          <t>Hire</t>
        </is>
      </c>
      <c r="F103" s="981" t="str">
        <f>INDEX('REVIEW - Complete Role Mapping'!$AT:$AT,175)</f>
        <v>Customer AI</v>
      </c>
      <c r="G103" s="1265">
        <f>INDEX('REVIEW - Complete Role Mapping'!$AA:$AA,175)</f>
        <v>85518.84</v>
      </c>
      <c r="H103" s="1266">
        <f>$G103*IFERROR(INDEX(Lists!$AD:$AD,MATCH($E103,Lists!$AC:$AC,0)),1)</f>
        <v>85518.84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Mapping'!$B:$B,136)</f>
        <v>Jasper Na</v>
      </c>
      <c r="C104" s="634" t="str">
        <f>INDEX('REVIEW - Complete Role Mapping'!$C:$C,136)</f>
        <v>Associate Engineer - BE</v>
      </c>
      <c r="D104" s="612" t="str">
        <f>INDEX('REVIEW - Complete Role Mapping'!$AK:$AK,136)</f>
        <v>Filled</v>
      </c>
      <c r="E104" s="612" t="inlineStr">
        <is>
          <t>Filled</t>
        </is>
      </c>
      <c r="F104" s="981" t="str">
        <f>INDEX('REVIEW - Complete Role Mapping'!$AT:$AT,136)</f>
        <v>Energy</v>
      </c>
      <c r="G104" s="1265">
        <f>INDEX('REVIEW - Complete Role Mapping'!$AA:$AA,136)</f>
        <v>170489.75</v>
      </c>
      <c r="H104" s="1266">
        <f>$G104*IFERROR(INDEX(Lists!$AD:$AD,MATCH($E104,Lists!$AC:$AC,0)),1)</f>
        <v>170489.75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Mapping'!$B:$B,113)</f>
        <v>Andy Stewart</v>
      </c>
      <c r="C105" s="634" t="str">
        <f>INDEX('REVIEW - Complete Role Mapping'!$C:$C,113)</f>
        <v>Head of Technology, Loyalty &amp; Martech</v>
      </c>
      <c r="D105" s="612" t="str">
        <f>INDEX('REVIEW - Complete Role Mapping'!$AK:$AK,113)</f>
        <v>Filled</v>
      </c>
      <c r="E105" s="612" t="inlineStr">
        <is>
          <t>Filled</t>
        </is>
      </c>
      <c r="F105" s="981" t="str">
        <f>INDEX('REVIEW - Complete Role Mapping'!$AT:$AT,113)</f>
        <v>Head of Technology</v>
      </c>
      <c r="G105" s="1265">
        <f>INDEX('REVIEW - Complete Role Mapping'!$AA:$AA,113)</f>
        <v>260204.85</v>
      </c>
      <c r="H105" s="627">
        <f>$G105*IFERROR(INDEX(Lists!$AD:$AD,MATCH($E105,Lists!$AC:$AC,0)),1)</f>
        <v>260204.85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Mapping'!$B:$B,168)</f>
        <v>Shona Paul</v>
      </c>
      <c r="C106" s="634" t="str">
        <f>INDEX('REVIEW - Complete Role Mapping'!$C:$C,168)</f>
        <v>Head of Technology - Digital</v>
      </c>
      <c r="D106" s="612" t="str">
        <f>INDEX('REVIEW - Complete Role Mapping'!$AK:$AK,168)</f>
        <v>Filled</v>
      </c>
      <c r="E106" s="612" t="inlineStr">
        <is>
          <t>Filled</t>
        </is>
      </c>
      <c r="F106" s="981" t="str">
        <f>INDEX('REVIEW - Complete Role Mapping'!$AT:$AT,168)</f>
        <v>Head of Technology</v>
      </c>
      <c r="G106" s="1265">
        <f>INDEX('REVIEW - Complete Role Mapping'!$AA:$AA,168)</f>
        <v>275810.25</v>
      </c>
      <c r="H106" s="1267">
        <f>$G106*IFERROR(INDEX(Lists!$AD:$AD,MATCH($E106,Lists!$AC:$AC,0)),1)</f>
        <v>275810.25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Mapping'!$B:$B,110)</f>
        <v>Adriel Jeyanandhan</v>
      </c>
      <c r="C107" s="634" t="str">
        <f>INDEX('REVIEW - Complete Role Mapping'!$C:$C,110)</f>
        <v>Delivery Manager</v>
      </c>
      <c r="D107" s="612" t="str">
        <f>INDEX('REVIEW - Complete Role Mapping'!$AK:$AK,110)</f>
        <v>Filled</v>
      </c>
      <c r="E107" s="612" t="inlineStr">
        <is>
          <t>Filled</t>
        </is>
      </c>
      <c r="F107" s="981" t="str">
        <f>INDEX('REVIEW - Complete Role Mapping'!$AT:$AT,110)</f>
        <v>Delivery Manager</v>
      </c>
      <c r="G107" s="1265">
        <f>INDEX('REVIEW - Complete Role Mapping'!$AA:$AA,110)</f>
        <v>218018.85</v>
      </c>
      <c r="H107" s="1267">
        <f>$G107*IFERROR(INDEX(Lists!$AD:$AD,MATCH($E107,Lists!$AC:$AC,0)),1)</f>
        <v>218018.85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Mapping'!$B:$B,139)</f>
        <v>Jill Martin</v>
      </c>
      <c r="C108" s="634" t="str">
        <f>INDEX('REVIEW - Complete Role Mapping'!$C:$C,139)</f>
        <v>Delivery Manager</v>
      </c>
      <c r="D108" s="612" t="str">
        <f>INDEX('REVIEW - Complete Role Mapping'!$AK:$AK,139)</f>
        <v>Filled</v>
      </c>
      <c r="E108" s="612" t="inlineStr">
        <is>
          <t>Filled</t>
        </is>
      </c>
      <c r="F108" s="981" t="str">
        <f>INDEX('REVIEW - Complete Role Mapping'!$AT:$AT,139)</f>
        <v>Delivery Manager</v>
      </c>
      <c r="G108" s="1265">
        <f>INDEX('REVIEW - Complete Role Mapping'!$AA:$AA,139)</f>
        <v>202853.25</v>
      </c>
      <c r="H108" s="1267">
        <f>$G108*IFERROR(INDEX(Lists!$AD:$AD,MATCH($E108,Lists!$AC:$AC,0)),1)</f>
        <v>202853.25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str">
        <f>INDEX('REVIEW - Complete Role Mapping'!$B:$B,147)</f>
        <v>Kris Hamilton</v>
      </c>
      <c r="C109" s="634" t="str">
        <f>INDEX('REVIEW - Complete Role Mapping'!$C:$C,147)</f>
        <v>Technology Manager - Loyalty &amp; Martech</v>
      </c>
      <c r="D109" s="612" t="str">
        <f>INDEX('REVIEW - Complete Role Mapping'!$AK:$AK,147)</f>
        <v>Filled</v>
      </c>
      <c r="E109" s="612" t="inlineStr">
        <is>
          <t>Filled</t>
        </is>
      </c>
      <c r="F109" s="612" t="str">
        <f>INDEX('REVIEW - Complete Role Mapping'!$AT:$AT,147)</f>
        <v>Technology Manager</v>
      </c>
      <c r="G109" s="1292">
        <f>INDEX('REVIEW - Complete Role Mapping'!$AA:$AA,147)</f>
        <v>202853.25</v>
      </c>
      <c r="H109" s="1267">
        <f>$G109*IFERROR(INDEX(Lists!$AD:$AD,MATCH($E109,Lists!$AC:$AC,0)),1)</f>
        <v>202853.25</v>
      </c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str">
        <f>INDEX('REVIEW - Complete Role Mapping'!$B:$B,152)</f>
        <v>Mitesh Shah</v>
      </c>
      <c r="C110" s="634" t="str">
        <f>INDEX('REVIEW - Complete Role Mapping'!$C:$C,152)</f>
        <v>Technology Manager - Digital</v>
      </c>
      <c r="D110" s="612" t="str">
        <f>INDEX('REVIEW - Complete Role Mapping'!$AK:$AK,152)</f>
        <v>Filled</v>
      </c>
      <c r="E110" s="612" t="inlineStr">
        <is>
          <t>Filled</t>
        </is>
      </c>
      <c r="F110" s="612" t="str">
        <f>INDEX('REVIEW - Complete Role Mapping'!$AT:$AT,152)</f>
        <v>Technology Manager</v>
      </c>
      <c r="G110" s="1292">
        <f>INDEX('REVIEW - Complete Role Mapping'!$AA:$AA,152)</f>
        <v>223946.25</v>
      </c>
      <c r="H110" s="1267">
        <f>$G110*IFERROR(INDEX(Lists!$AD:$AD,MATCH($E110,Lists!$AC:$AC,0)),1)</f>
        <v>223946.25</v>
      </c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  <row r="111">
      <c r="B111" t="str">
        <f>INDEX('REVIEW - Complete Role Mapping'!$B:$B,189)</f>
        <v>Zoe Udy</v>
      </c>
      <c r="C111" t="str">
        <f>INDEX('REVIEW - Complete Role Mapping'!$C:$C,189)</f>
        <v>Technology Manager – Data &amp; Engineering</v>
      </c>
      <c r="D111" t="str">
        <f>INDEX('REVIEW - Complete Role Mapping'!$AK:$AK,189)</f>
        <v>Filled</v>
      </c>
      <c r="E111" t="inlineStr">
        <is>
          <t>Filled</t>
        </is>
      </c>
      <c r="F111" t="str">
        <f>INDEX('REVIEW - Complete Role Mapping'!$AT:$AT,189)</f>
        <v>Technology Manager</v>
      </c>
      <c r="G111" s="1274">
        <f>INDEX('REVIEW - Complete Role Mapping'!$AA:$AA,189)</f>
        <v>202853.25</v>
      </c>
      <c r="H111" s="1274">
        <f>$G111*IFERROR(INDEX(Lists!$AD:$AD,MATCH($E111,Lists!$AC:$AC,0)),1)</f>
        <v>202853.25</v>
      </c>
    </row>
    <row r="112">
      <c r="B112" t="str">
        <f>INDEX('REVIEW - Complete Role Mapping'!$B:$B,176)</f>
        <v>Vacant</v>
      </c>
      <c r="C112" t="str">
        <f>INDEX('REVIEW - Complete Role Mapping'!$C:$C,176)</f>
        <v>Technology Manager, Engineering</v>
      </c>
      <c r="D112" t="str">
        <f>INDEX('REVIEW - Complete Role Mapping'!$AK:$AK,176)</f>
        <v>Vacant</v>
      </c>
      <c r="E112" t="inlineStr">
        <is>
          <t>Hire</t>
        </is>
      </c>
      <c r="F112" t="str">
        <f>INDEX('REVIEW - Complete Role Mapping'!$AT:$AT,176)</f>
        <v>Technology Manager</v>
      </c>
      <c r="G112" s="1274">
        <f>INDEX('REVIEW - Complete Role Mapping'!$AA:$AA,176)</f>
        <v>186432.888</v>
      </c>
      <c r="H112" s="1274">
        <f>$G112*IFERROR(INDEX(Lists!$AD:$AD,MATCH($E112,Lists!$AC:$AC,0)),1)</f>
        <v>186432.888</v>
      </c>
    </row>
    <row r="113">
      <c r="G113" s="1274" t="n"/>
      <c r="H113" s="1274" t="n"/>
    </row>
    <row r="114">
      <c r="G114" s="1274" t="n"/>
      <c r="H114" s="1274" t="n"/>
    </row>
  </sheetData>
  <autoFilter ref="B24:G108">
    <sortState ref="B65:G108">
      <sortCondition ref="C24:C108"/>
    </sortState>
  </autoFilter>
  <conditionalFormatting sqref="D26:D108">
    <cfRule type="cellIs" priority="4" operator="equal" dxfId="48">
      <formula>"Vacant"</formula>
    </cfRule>
  </conditionalFormatting>
  <conditionalFormatting sqref="I6:I17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7">
    <cfRule type="expression" priority="7" dxfId="48">
      <formula>AND(ISNUMBER($F6),$F6&gt;0)</formula>
    </cfRule>
  </conditionalFormatting>
  <dataValidations count="1">
    <dataValidation sqref="E30:E11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Enterprise Data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Reporting &amp; Analytics</t>
        </is>
      </c>
      <c r="C6" s="635" t="str">
        <f>IFERROR(INDEX('1.3 Enterprise Data'!$C$25:$C$38,MATCH($S6,'1.3 Enterprise Data'!$B$25:$B$38,0)),"No archetype for this squad")</f>
        <v>Enterprise Data and Insights</v>
      </c>
      <c r="D6" s="1249">
        <f>IFERROR(INDEX('0.3 Squad Archetypes'!$F$5:$F$23,MATCH($C6&amp;"|"&amp;$R6,'0.3 Squad Archetypes'!$A$5:$A$23,0)),"-")</f>
        <v>7.5</v>
      </c>
      <c r="E6" s="1250">
        <f>COUNTIFS($F$22:$F$49,$B6)</f>
        <v>12</v>
      </c>
      <c r="F6" s="1250">
        <f>IFERROR($E6-$D6,"-")</f>
        <v>4.5</v>
      </c>
      <c r="G6" s="1250">
        <f>COUNTIFS($F$22:$F$49,$B6,$D$22:$D$49,"Vacant")</f>
        <v>3</v>
      </c>
      <c r="H6" s="1250">
        <f>COUNTIFS($F$22:$F$49,$B6,$D$22:$D$49,"Vacant",$E$22:$E$49,"Hire")+COUNTIFS($F$22:$F$49,$B6,$D$22:$D$49,"Vacant",$E$22:$E$49,"Offshore")</f>
        <v>3</v>
      </c>
      <c r="I6" s="1250">
        <f>COUNTIFS($F$22:$F$49,$B6,$D$22:$D$49,"Vacant",$E$22:$E$49,"Hold")</f>
        <v>0</v>
      </c>
      <c r="J6" s="1251">
        <f>$E6-COUNTIFS($F$22:$F$49,$B6,$E$22:$E$49,"Hold")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IFERROR(IF(INDEX('1.3 Enterprise Data'!$E$25:$E$38,MATCH($S6,'1.3 Enterprise Data'!$B$25:$B$38,0))="Offshore",INDEX('0.3 Squad Archetypes'!$H$5:$H$23,MATCH($C6&amp;"|"&amp;$R6,'0.3 Squad Archetypes'!$A$5:$A$23,0)),INDEX('0.3 Squad Archetypes'!$G$5:$G$23,MATCH($C6&amp;"|"&amp;$R6,'0.3 Squad Archetypes'!$A$5:$A$23,0))),"-")</f>
        <v>1.7</v>
      </c>
      <c r="M6" s="1252">
        <f>SUMIFS('REVIEW - Complete Role Mapping'!$AA$2:$AA$528,'REVIEW - Complete Role Mapping'!$AJ$2:$AJ$528,$C$3,'REVIEW - Complete Role Mapping'!$AT$2:$AT$528,$B6)/1000000</f>
        <v>2.7648117</v>
      </c>
      <c r="N6" s="1252">
        <f>IFERROR($M6-$L6,"-")</f>
        <v>1.0648117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Mapping'!$AK$2:$AK$528,"Filled")+SUMIFS($H$22:$H$49,$F$22:$F$49,$B6))/1000000</f>
        <v>4.92106365</v>
      </c>
      <c r="P6" s="1254">
        <f>$O6-$M6</f>
        <v>2.15625195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0.60855975</v>
      </c>
      <c r="R6" t="str">
        <f>IFERROR(IF(INDEX('1.3 Enterprise Data'!$D$25:$D$38,MATCH($S6,'1.3 Enterprise Data'!$B$25:$B$38,0))="","-",INDEX('1.3 Enterprise Data'!$D$25:$D$38,MATCH($S6,'1.3 Enterprise Data'!$B$25:$B$38,0))),"-")</f>
        <v>M</v>
      </c>
      <c r="S6" t="str">
        <f>IFERROR(INDEX(Lists!$AA:$AA,MATCH($B6,Lists!$Z:$Z,0)),$B6)</f>
        <v>Reporting &amp; Analytics</v>
      </c>
    </row>
    <row r="7">
      <c r="A7" s="949" t="n"/>
      <c r="B7" s="640" t="inlineStr">
        <is>
          <t>Data Platforms</t>
        </is>
      </c>
      <c r="C7" s="635" t="str">
        <f>IFERROR(INDEX('1.3 Enterprise Data'!$C$25:$C$38,MATCH($S7,'1.3 Enterprise Data'!$B$25:$B$38,0)),"No archetype for this squad")</f>
        <v>Enterprise Data and Insights</v>
      </c>
      <c r="D7" s="1249">
        <f>IFERROR(INDEX('0.3 Squad Archetypes'!$F$5:$F$23,MATCH($C7&amp;"|"&amp;$R7,'0.3 Squad Archetypes'!$A$5:$A$23,0)),"-")</f>
        <v>7.5</v>
      </c>
      <c r="E7" s="1250">
        <f>COUNTIFS($F$22:$F$49,$B7)</f>
        <v>9</v>
      </c>
      <c r="F7" s="1250">
        <f>IFERROR($E7-$D7,"-")</f>
        <v>1.5</v>
      </c>
      <c r="G7" s="1250">
        <f>COUNTIFS($F$22:$F$49,$B7,$D$22:$D$49,"Vacant")</f>
        <v>6</v>
      </c>
      <c r="H7" s="1250">
        <f>COUNTIFS($F$22:$F$49,$B7,$D$22:$D$49,"Vacant",$E$22:$E$49,"Hire")+COUNTIFS($F$22:$F$49,$B7,$D$22:$D$49,"Vacant",$E$22:$E$49,"Offshore")</f>
        <v>6</v>
      </c>
      <c r="I7" s="1250">
        <f>COUNTIFS($F$22:$F$49,$B7,$D$22:$D$49,"Vacant",$E$22:$E$49,"Hold")</f>
        <v>0</v>
      </c>
      <c r="J7" s="1251">
        <f>$E7-COUNTIFS($F$22:$F$49,$B7,$E$22:$E$49,"Hold")</f>
        <v>9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IFERROR(IF(INDEX('1.3 Enterprise Data'!$E$25:$E$38,MATCH($S7,'1.3 Enterprise Data'!$B$25:$B$38,0))="Offshore",INDEX('0.3 Squad Archetypes'!$H$5:$H$23,MATCH($C7&amp;"|"&amp;$R7,'0.3 Squad Archetypes'!$A$5:$A$23,0)),INDEX('0.3 Squad Archetypes'!$G$5:$G$23,MATCH($C7&amp;"|"&amp;$R7,'0.3 Squad Archetypes'!$A$5:$A$23,0))),"-")</f>
        <v>1.7</v>
      </c>
      <c r="M7" s="1252">
        <f>SUMIFS('REVIEW - Complete Role Mapping'!$AA$2:$AA$528,'REVIEW - Complete Role Mapping'!$AJ$2:$AJ$528,$C$3,'REVIEW - Complete Role Mapping'!$AT$2:$AT$528,$B7)/1000000</f>
        <v>1.786160296</v>
      </c>
      <c r="N7" s="1252">
        <f>IFERROR($M7-$L7,"-")</f>
        <v>0.0861602960000001</v>
      </c>
      <c r="O7" s="1253">
        <f>(SUMIFS('REVIEW - Complete Role Mapping'!$AA$2:$AA$528,'REVIEW - Complete Role Mapping'!$AJ$2:$AJ$528,$C$3,'REVIEW - Complete Role Mapping'!$AT$2:$AT$528,$B7,'REVIEW - Complete Role Mapping'!$AK$2:$AK$528,"Filled")+SUMIFS($H$22:$H$49,$F$22:$F$49,$B7))/1000000</f>
        <v>2.419928092</v>
      </c>
      <c r="P7" s="1254">
        <f>$O7-$M7</f>
        <v>0.633767796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1.1523925</v>
      </c>
      <c r="R7" t="str">
        <f>IFERROR(IF(INDEX('1.3 Enterprise Data'!$D$25:$D$38,MATCH($S7,'1.3 Enterprise Data'!$B$25:$B$38,0))="","-",INDEX('1.3 Enterprise Data'!$D$25:$D$38,MATCH($S7,'1.3 Enterprise Data'!$B$25:$B$38,0))),"-")</f>
        <v>M</v>
      </c>
      <c r="S7" t="str">
        <f>IFERROR(INDEX(Lists!$AA:$AA,MATCH($B7,Lists!$Z:$Z,0)),$B7)</f>
        <v>Data Platforms</v>
      </c>
    </row>
    <row r="8">
      <c r="A8" s="949" t="n"/>
      <c r="B8" s="634" t="inlineStr">
        <is>
          <t>Data Science</t>
        </is>
      </c>
      <c r="C8" s="635" t="str">
        <f>IFERROR(INDEX('1.3 Enterprise Data'!$C$25:$C$38,MATCH($S8,'1.3 Enterprise Data'!$B$25:$B$38,0)),"No archetype for this squad")</f>
        <v>Enterprise Data and Insights</v>
      </c>
      <c r="D8" s="1249">
        <f>IFERROR(INDEX('0.3 Squad Archetypes'!$F$5:$F$23,MATCH($C8&amp;"|"&amp;$R8,'0.3 Squad Archetypes'!$A$5:$A$23,0)),"-")</f>
        <v>4</v>
      </c>
      <c r="E8" s="1250">
        <f>COUNTIFS($F$22:$F$49,$B8)</f>
        <v>4</v>
      </c>
      <c r="F8" s="1250">
        <f>IFERROR($E8-$D8,"-")</f>
        <v>0</v>
      </c>
      <c r="G8" s="1250">
        <f>COUNTIFS($F$22:$F$49,$B8,$D$22:$D$49,"Vacant")</f>
        <v>0</v>
      </c>
      <c r="H8" s="1250">
        <f>COUNTIFS($F$22:$F$49,$B8,$D$22:$D$49,"Vacant",$E$22:$E$49,"Hire")+COUNTIFS($F$22:$F$49,$B8,$D$22:$D$49,"Vacant",$E$22:$E$49,"Offshore")</f>
        <v>0</v>
      </c>
      <c r="I8" s="1250">
        <f>COUNTIFS($F$22:$F$49,$B8,$D$22:$D$49,"Vacant",$E$22:$E$49,"Hold")</f>
        <v>0</v>
      </c>
      <c r="J8" s="1251">
        <f>$E8-COUNTIFS($F$22:$F$49,$B8,$E$22:$E$49,"Hold")</f>
        <v>4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IFERROR(IF(INDEX('1.3 Enterprise Data'!$E$25:$E$38,MATCH($S8,'1.3 Enterprise Data'!$B$25:$B$38,0))="Offshore",INDEX('0.3 Squad Archetypes'!$H$5:$H$23,MATCH($C8&amp;"|"&amp;$R8,'0.3 Squad Archetypes'!$A$5:$A$23,0)),INDEX('0.3 Squad Archetypes'!$G$5:$G$23,MATCH($C8&amp;"|"&amp;$R8,'0.3 Squad Archetypes'!$A$5:$A$23,0))),"-")</f>
        <v>0.9</v>
      </c>
      <c r="M8" s="1252">
        <f>SUMIFS('REVIEW - Complete Role Mapping'!$AA$2:$AA$528,'REVIEW - Complete Role Mapping'!$AJ$2:$AJ$528,$C$3,'REVIEW - Complete Role Mapping'!$AT$2:$AT$528,$B8)/1000000</f>
        <v>0.80639733</v>
      </c>
      <c r="N8" s="1252">
        <f>IFERROR($M8-$L8,"-")</f>
        <v>-0.0936026700000001</v>
      </c>
      <c r="O8" s="1253">
        <f>(SUMIFS('REVIEW - Complete Role Mapping'!$AA$2:$AA$528,'REVIEW - Complete Role Mapping'!$AJ$2:$AJ$528,$C$3,'REVIEW - Complete Role Mapping'!$AT$2:$AT$528,$B8,'REVIEW - Complete Role Mapping'!$AK$2:$AK$528,"Filled")+SUMIFS($H$22:$H$49,$F$22:$F$49,$B8))/1000000</f>
        <v>1.61279466</v>
      </c>
      <c r="P8" s="1254">
        <f>$O8-$M8</f>
        <v>0.80639733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IFERROR(IF(INDEX('1.3 Enterprise Data'!$D$25:$D$38,MATCH($S8,'1.3 Enterprise Data'!$B$25:$B$38,0))="","-",INDEX('1.3 Enterprise Data'!$D$25:$D$38,MATCH($S8,'1.3 Enterprise Data'!$B$25:$B$38,0))),"-")</f>
        <v>S</v>
      </c>
      <c r="S8" t="str">
        <f>IFERROR(INDEX(Lists!$AA:$AA,MATCH($B8,Lists!$Z:$Z,0)),$B8)</f>
        <v>Data Science</v>
      </c>
    </row>
    <row r="9">
      <c r="A9" s="949" t="n"/>
      <c r="B9" s="1237" t="inlineStr">
        <is>
          <t>Delivery squads</t>
        </is>
      </c>
      <c r="C9" s="635" t="n"/>
      <c r="D9" s="1249">
        <f>SUMIF($D$6:$D$8,"&gt;=0")</f>
        <v>19</v>
      </c>
      <c r="E9" s="1250">
        <f>SUM(E6:E8)</f>
        <v>25</v>
      </c>
      <c r="F9" s="1250">
        <f>SUMPRODUCT(--ISNUMBER($D$6:$D$8),$E$6:$E$8)-SUMIF($D$6:$D$8,"&gt;=0")</f>
        <v>6</v>
      </c>
      <c r="G9" s="1250">
        <f>SUM(G6:G8)</f>
        <v>9</v>
      </c>
      <c r="H9" s="1250">
        <f>SUM(H6:H8)</f>
        <v>9</v>
      </c>
      <c r="I9" s="1250">
        <f>SUM(I6:I8)</f>
        <v>0</v>
      </c>
      <c r="J9" s="1251">
        <f>SUM(J6:J8)</f>
        <v>25</v>
      </c>
      <c r="K9" s="1152" t="n"/>
      <c r="L9" s="1252">
        <f>SUMIF($L$6:$L$8,"&gt;=0")</f>
        <v>4.3</v>
      </c>
      <c r="M9" s="1252">
        <f>SUM(M6:M8)</f>
        <v>5.357369326</v>
      </c>
      <c r="N9" s="1252">
        <f>SUMPRODUCT(--ISNUMBER($L$6:$L$8),$M$6:$M$8)-SUMIF($L$6:$L$8,"&gt;=0")</f>
        <v>1.057369326</v>
      </c>
      <c r="O9" s="1253">
        <f>SUM(O6:O8)</f>
        <v>8.953786402</v>
      </c>
      <c r="P9" s="1254">
        <f>SUM(P6:P8)</f>
        <v>3.596417076</v>
      </c>
      <c r="Q9" s="1254">
        <f>SUM(Q6:Q8)</f>
        <v>1.76095225</v>
      </c>
    </row>
    <row r="10">
      <c r="A10" s="949" t="n"/>
      <c r="B10" s="1316" t="inlineStr">
        <is>
          <t>Overhead roles inside this portfolio - compared to the allowance</t>
        </is>
      </c>
      <c r="C10" s="635" t="n"/>
      <c r="D10" s="1249" t="n"/>
      <c r="E10" s="1250" t="n"/>
      <c r="F10" s="1250" t="n"/>
      <c r="G10" s="1250" t="n"/>
      <c r="H10" s="1250" t="n"/>
      <c r="I10" s="1250" t="n"/>
      <c r="J10" s="1251" t="n"/>
      <c r="K10" s="1152" t="n"/>
      <c r="L10" s="1252" t="n"/>
      <c r="M10" s="1252" t="n"/>
      <c r="N10" s="1252" t="n"/>
      <c r="O10" s="1253" t="n"/>
      <c r="P10" s="1254" t="n"/>
      <c r="Q10" s="1254" t="n"/>
    </row>
    <row r="11">
      <c r="A11" s="949" t="n"/>
      <c r="B11" s="1317" t="inlineStr">
        <is>
          <t>Head of Technology</t>
        </is>
      </c>
      <c r="C11" s="635" t="str">
        <f>"Overhead - see 3.2"</f>
        <v>Overhead - see 3.2</v>
      </c>
      <c r="D11" s="1249" t="str">
        <f>"-"</f>
        <v>-</v>
      </c>
      <c r="E11" s="1250">
        <f>COUNTIFS($F$22:$F$49,$B11)</f>
        <v>1</v>
      </c>
      <c r="F11" s="1250" t="str">
        <f>"-"</f>
        <v>-</v>
      </c>
      <c r="G11" s="1250">
        <f>COUNTIFS($F$22:$F$49,$B11,$D$22:$D$49,"Vacant")</f>
        <v>0</v>
      </c>
      <c r="H11" s="1250">
        <f>COUNTIFS($F$22:$F$49,$B11,$D$22:$D$49,"Vacant",$E$22:$E$49,"Hire")+COUNTIFS($F$22:$F$49,$B11,$D$22:$D$49,"Vacant",$E$22:$E$49,"Offshore")</f>
        <v>0</v>
      </c>
      <c r="I11" s="1250">
        <f>COUNTIFS($F$22:$F$49,$B11,$D$22:$D$49,"Vacant",$E$22:$E$49,"Hold")</f>
        <v>0</v>
      </c>
      <c r="J11" s="1251">
        <f>$E11-COUNTIFS($F$22:$F$49,$B11,$E$22:$E$49,"Hold")</f>
        <v>1</v>
      </c>
      <c r="K11" s="1152" t="str">
        <f>"Overhead"</f>
        <v>Overhead</v>
      </c>
      <c r="L11" s="1252" t="str">
        <f>"-"</f>
        <v>-</v>
      </c>
      <c r="M11" s="1252">
        <f>SUMIFS('REVIEW - Complete Role Mapping'!$AA$2:$AA$528,'REVIEW - Complete Role Mapping'!$AJ$2:$AJ$528,$C$3,'REVIEW - Complete Role Mapping'!$AT$2:$AT$528,$B11)/1000000</f>
        <v>0.4097557</v>
      </c>
      <c r="N11" s="1252" t="str">
        <f>"-"</f>
        <v>-</v>
      </c>
      <c r="O11" s="1253">
        <f>(SUMIFS('REVIEW - Complete Role Mapping'!$AA$2:$AA$528,'REVIEW - Complete Role Mapping'!$AJ$2:$AJ$528,$C$3,'REVIEW - Complete Role Mapping'!$AT$2:$AT$528,$B11,'REVIEW - Complete Role Mapping'!$AK$2:$AK$528,"Filled")+SUMIFS($H$22:$H$49,$F$22:$F$49,$B11))/1000000</f>
        <v>0.8195114</v>
      </c>
      <c r="P11" s="1254">
        <f>$O11-$M11</f>
        <v>0.4097557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316" t="inlineStr">
        <is>
          <t>Technology Manager</t>
        </is>
      </c>
      <c r="C12" s="635" t="str">
        <f>"Overhead - see 3.2"</f>
        <v>Overhead - see 3.2</v>
      </c>
      <c r="D12" s="1249" t="str">
        <f>"-"</f>
        <v>-</v>
      </c>
      <c r="E12" s="1250">
        <f>COUNTIFS($F$22:$F$49,$B12)</f>
        <v>2</v>
      </c>
      <c r="F12" s="1250" t="str">
        <f>"-"</f>
        <v>-</v>
      </c>
      <c r="G12" s="1250">
        <f>COUNTIFS($F$22:$F$49,$B12,$D$22:$D$49,"Vacant")</f>
        <v>0</v>
      </c>
      <c r="H12" s="1250">
        <f>COUNTIFS($F$22:$F$49,$B12,$D$22:$D$49,"Vacant",$E$22:$E$49,"Hire")+COUNTIFS($F$22:$F$49,$B12,$D$22:$D$49,"Vacant",$E$22:$E$49,"Offshore")</f>
        <v>0</v>
      </c>
      <c r="I12" s="1250">
        <f>COUNTIFS($F$22:$F$49,$B12,$D$22:$D$49,"Vacant",$E$22:$E$49,"Hold")</f>
        <v>0</v>
      </c>
      <c r="J12" s="1251">
        <f>$E12-COUNTIFS($F$22:$F$49,$B12,$E$22:$E$49,"Hold")</f>
        <v>2</v>
      </c>
      <c r="K12" s="1152" t="str">
        <f>"Overhead"</f>
        <v>Overhead</v>
      </c>
      <c r="L12" s="1252" t="str">
        <f>"-"</f>
        <v>-</v>
      </c>
      <c r="M12" s="1252">
        <f>SUMIFS('REVIEW - Complete Role Mapping'!$AA$2:$AA$528,'REVIEW - Complete Role Mapping'!$AJ$2:$AJ$528,$C$3,'REVIEW - Complete Role Mapping'!$AT$2:$AT$528,$B12)/1000000</f>
        <v>0.65127875</v>
      </c>
      <c r="N12" s="1252" t="str">
        <f>"-"</f>
        <v>-</v>
      </c>
      <c r="O12" s="1253">
        <f>(SUMIFS('REVIEW - Complete Role Mapping'!$AA$2:$AA$528,'REVIEW - Complete Role Mapping'!$AJ$2:$AJ$528,$C$3,'REVIEW - Complete Role Mapping'!$AT$2:$AT$528,$B12,'REVIEW - Complete Role Mapping'!$AK$2:$AK$528,"Filled")+SUMIFS($H$22:$H$49,$F$22:$F$49,$B12))/1000000</f>
        <v>1.3025575</v>
      </c>
      <c r="P12" s="1254">
        <f>$O12-$M12</f>
        <v>0.65127875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31" t="inlineStr">
        <is>
          <t>Overhead roles</t>
        </is>
      </c>
      <c r="C13" s="641" t="n"/>
      <c r="D13" s="1255" t="n"/>
      <c r="E13" s="1255">
        <f>SUM(E11:E12)</f>
        <v>3</v>
      </c>
      <c r="F13" s="1255" t="n"/>
      <c r="G13" s="1255">
        <f>SUM(G11:G12)</f>
        <v>0</v>
      </c>
      <c r="H13" s="1255">
        <f>SUM(H11:H12)</f>
        <v>0</v>
      </c>
      <c r="I13" s="1255">
        <f>SUM(I11:I12)</f>
        <v>0</v>
      </c>
      <c r="J13" s="1256">
        <f>SUM(J11:J12)</f>
        <v>3</v>
      </c>
      <c r="K13" s="1155" t="n"/>
      <c r="L13" s="1257" t="n"/>
      <c r="M13" s="1257">
        <f>SUM(M11:M12)</f>
        <v>1.06103445</v>
      </c>
      <c r="N13" s="1257" t="n"/>
      <c r="O13" s="1258">
        <f>SUM(O11:O12)</f>
        <v>2.1220689</v>
      </c>
      <c r="P13" s="1254">
        <f>SUM(P11:P12)</f>
        <v>1.06103445</v>
      </c>
      <c r="Q13" s="1254">
        <f>SUM(Q11:Q12)</f>
        <v>0</v>
      </c>
    </row>
    <row r="14">
      <c r="A14" s="949" t="n"/>
      <c r="B14" s="1226" t="n"/>
      <c r="C14" s="949" t="n"/>
      <c r="D14" s="1261" t="n"/>
      <c r="E14" s="1262" t="n"/>
      <c r="F14" s="1261" t="n"/>
      <c r="G14" s="1261" t="n"/>
      <c r="H14" s="1261" t="n"/>
      <c r="I14" s="1261" t="n"/>
      <c r="J14" s="1261" t="n"/>
      <c r="K14" s="949" t="n"/>
      <c r="L14" s="1263" t="n"/>
      <c r="M14" s="1263" t="n"/>
      <c r="N14" s="1263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949" t="n"/>
      <c r="D15" s="1261">
        <f>$D9</f>
        <v>19</v>
      </c>
      <c r="E15" s="1262">
        <f>$E9+$E13</f>
        <v>28</v>
      </c>
      <c r="F15" s="1261">
        <f>IFERROR($E9-$D9,"-")</f>
        <v>6</v>
      </c>
      <c r="G15" s="1261">
        <f>$G9+$G13</f>
        <v>9</v>
      </c>
      <c r="H15" s="1261">
        <f>$H9+$H13</f>
        <v>9</v>
      </c>
      <c r="I15" s="1261">
        <f>$I9+$I13</f>
        <v>0</v>
      </c>
      <c r="J15" s="1261">
        <f>$J9+$J13</f>
        <v>28</v>
      </c>
      <c r="K15" s="949" t="n"/>
      <c r="L15" s="1263">
        <f>$L9</f>
        <v>4.3</v>
      </c>
      <c r="M15" s="1263">
        <f>$M9+$M13</f>
        <v>6.418403776</v>
      </c>
      <c r="N15" s="1263">
        <f>IFERROR($M9-$L9,"-")</f>
        <v>1.057369326</v>
      </c>
      <c r="O15" s="1263">
        <f>$O9+$O13</f>
        <v>11.075855302</v>
      </c>
      <c r="P15" s="1254">
        <f>$P9+$P13</f>
        <v>4.657451526</v>
      </c>
      <c r="Q15" s="1254">
        <f>$Q9+$Q13</f>
        <v>1.76095225</v>
      </c>
    </row>
    <row r="16">
      <c r="A16" s="949" t="n"/>
      <c r="B16" s="1298" t="inlineStr">
        <is>
          <t>Archetype columns D, F, L and N cover the delivery squads only - overhead is not priced by a squad archetype.</t>
        </is>
      </c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313" t="inlineStr">
        <is>
          <t>Control - roles vs the ledger, must be 0</t>
        </is>
      </c>
      <c r="C17" s="1259" t="n"/>
      <c r="D17" s="1259" t="n"/>
      <c r="E17" s="1259">
        <f>COUNTIFS('REVIEW - Complete Role Mapping'!$AJ$2:$AJ$528,$C$3)-$E15</f>
        <v>0</v>
      </c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98" t="inlineStr">
        <is>
          <t>Control - cost vs the ledger ($m), must be 0</t>
        </is>
      </c>
      <c r="C18" s="442" t="n"/>
      <c r="D18" s="442" t="n"/>
      <c r="E18" s="1156" t="n"/>
      <c r="F18" s="442" t="n"/>
      <c r="G18" s="1267" t="n"/>
      <c r="H18" s="1267" t="n"/>
      <c r="I18" s="442" t="n"/>
      <c r="J18" s="442" t="n"/>
      <c r="K18" s="442" t="n"/>
      <c r="L18" s="442" t="n"/>
      <c r="M18" s="442">
        <f>ROUND(SUMIFS('REVIEW - Complete Role Mapping'!$AA$2:$AA$528,'REVIEW - Complete Role Mapping'!$AJ$2:$AJ$528,$C$3)/1000000-$M15,6)</f>
        <v>0</v>
      </c>
      <c r="N18" s="442" t="n"/>
      <c r="O18" s="949" t="n"/>
    </row>
    <row r="19">
      <c r="A19" s="949" t="n"/>
      <c r="B19" s="1298" t="n"/>
      <c r="C19" s="442" t="n"/>
      <c r="D19" s="442" t="n"/>
      <c r="E19" s="1156" t="n"/>
      <c r="F19" s="442" t="n"/>
      <c r="G19" s="1267" t="n"/>
      <c r="H19" s="1267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1298" t="inlineStr">
        <is>
          <t>Enterprise Data FTE</t>
        </is>
      </c>
      <c r="C20" s="434" t="n"/>
      <c r="D20" s="434" t="n"/>
      <c r="E20" s="645" t="n"/>
      <c r="F20" s="4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str">
        <f>INDEX('REVIEW - Complete Role Mapping'!$B:$B,279)</f>
        <v>Abdul Ghaffar</v>
      </c>
      <c r="C22" s="1264" t="str">
        <f>INDEX('REVIEW - Complete Role Mapping'!$C:$C,279)</f>
        <v>Applications Specialist - Demand Planning</v>
      </c>
      <c r="D22" s="1264" t="str">
        <f>INDEX('REVIEW - Complete Role Mapping'!$AK:$AK,279)</f>
        <v>Filled</v>
      </c>
      <c r="E22" s="1264" t="inlineStr">
        <is>
          <t>Filled</t>
        </is>
      </c>
      <c r="F22" s="1264" t="str">
        <f>INDEX('REVIEW - Complete Role Mapping'!$AT:$AT,279)</f>
        <v>Reporting &amp; Analytics</v>
      </c>
      <c r="G22" s="1285">
        <f>INDEX('REVIEW - Complete Role Mapping'!$AA:$AA,279)</f>
        <v>240300</v>
      </c>
      <c r="H22" s="1285">
        <f>$G22*IFERROR(INDEX(Lists!$AD:$AD,MATCH($E22,Lists!$AC:$AC,0)),1)</f>
        <v>240300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Mapping'!$B:$B,280)</f>
        <v>Bobby Mason</v>
      </c>
      <c r="C23" s="634" t="str">
        <f>INDEX('REVIEW - Complete Role Mapping'!$C:$C,280)</f>
        <v>Reporting Analyst</v>
      </c>
      <c r="D23" s="612" t="str">
        <f>INDEX('REVIEW - Complete Role Mapping'!$AK:$AK,280)</f>
        <v>Filled</v>
      </c>
      <c r="E23" s="612" t="inlineStr">
        <is>
          <t>Filled</t>
        </is>
      </c>
      <c r="F23" s="634" t="str">
        <f>INDEX('REVIEW - Complete Role Mapping'!$AT:$AT,280)</f>
        <v>Reporting &amp; Analytics</v>
      </c>
      <c r="G23" s="627">
        <f>INDEX('REVIEW - Complete Role Mapping'!$AA:$AA,280)</f>
        <v>222357.6</v>
      </c>
      <c r="H23" s="627">
        <f>$G23*IFERROR(INDEX(Lists!$AD:$AD,MATCH($E23,Lists!$AC:$AC,0)),1)</f>
        <v>222357.6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Mapping'!$B:$B,290)</f>
        <v>Kina Birkby</v>
      </c>
      <c r="C24" s="634" t="str">
        <f>INDEX('REVIEW - Complete Role Mapping'!$C:$C,290)</f>
        <v>Delivery Lead</v>
      </c>
      <c r="D24" s="612" t="str">
        <f>INDEX('REVIEW - Complete Role Mapping'!$AK:$AK,290)</f>
        <v>Filled</v>
      </c>
      <c r="E24" s="612" t="inlineStr">
        <is>
          <t>Filled</t>
        </is>
      </c>
      <c r="F24" s="634" t="str">
        <f>INDEX('REVIEW - Complete Role Mapping'!$AT:$AT,290)</f>
        <v>Reporting &amp; Analytics</v>
      </c>
      <c r="G24" s="627">
        <f>INDEX('REVIEW - Complete Role Mapping'!$AA:$AA,290)</f>
        <v>263235.3</v>
      </c>
      <c r="H24" s="627">
        <f>$G24*IFERROR(INDEX(Lists!$AD:$AD,MATCH($E24,Lists!$AC:$AC,0)),1)</f>
        <v>263235.3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Mapping'!$B:$B,297)</f>
        <v>Prashanth Krishnankutty</v>
      </c>
      <c r="C25" s="634" t="str">
        <f>INDEX('REVIEW - Complete Role Mapping'!$C:$C,297)</f>
        <v>Lead Reporting &amp; Insights</v>
      </c>
      <c r="D25" s="612" t="str">
        <f>INDEX('REVIEW - Complete Role Mapping'!$AK:$AK,297)</f>
        <v>Filled</v>
      </c>
      <c r="E25" s="612" t="inlineStr">
        <is>
          <t>Filled</t>
        </is>
      </c>
      <c r="F25" s="634" t="str">
        <f>INDEX('REVIEW - Complete Role Mapping'!$AT:$AT,297)</f>
        <v>Reporting &amp; Analytics</v>
      </c>
      <c r="G25" s="627">
        <f>INDEX('REVIEW - Complete Role Mapping'!$AA:$AA,297)</f>
        <v>255372.15</v>
      </c>
      <c r="H25" s="627">
        <f>$G25*IFERROR(INDEX(Lists!$AD:$AD,MATCH($E25,Lists!$AC:$AC,0)),1)</f>
        <v>255372.15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Mapping'!$B:$B,298)</f>
        <v>Rakshit Kaul</v>
      </c>
      <c r="C26" s="634" t="str">
        <f>INDEX('REVIEW - Complete Role Mapping'!$C:$C,298)</f>
        <v>Applications Specialist</v>
      </c>
      <c r="D26" s="612" t="str">
        <f>INDEX('REVIEW - Complete Role Mapping'!$AK:$AK,298)</f>
        <v>Filled</v>
      </c>
      <c r="E26" s="612" t="inlineStr">
        <is>
          <t>Filled</t>
        </is>
      </c>
      <c r="F26" s="634" t="str">
        <f>INDEX('REVIEW - Complete Role Mapping'!$AT:$AT,298)</f>
        <v>Reporting &amp; Analytics</v>
      </c>
      <c r="G26" s="627">
        <f>INDEX('REVIEW - Complete Role Mapping'!$AA:$AA,298)</f>
        <v>237763.5</v>
      </c>
      <c r="H26" s="627">
        <f>$G26*IFERROR(INDEX(Lists!$AD:$AD,MATCH($E26,Lists!$AC:$AC,0)),1)</f>
        <v>237763.5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Mapping'!$B:$B,308)</f>
        <v>Sai Konka</v>
      </c>
      <c r="C27" s="634" t="str">
        <f>INDEX('REVIEW - Complete Role Mapping'!$C:$C,308)</f>
        <v>Application &amp; Analytics Manager</v>
      </c>
      <c r="D27" s="612" t="str">
        <f>INDEX('REVIEW - Complete Role Mapping'!$AK:$AK,308)</f>
        <v>Filled</v>
      </c>
      <c r="E27" s="612" t="inlineStr">
        <is>
          <t>Filled</t>
        </is>
      </c>
      <c r="F27" s="634" t="str">
        <f>INDEX('REVIEW - Complete Role Mapping'!$AT:$AT,308)</f>
        <v>Reporting &amp; Analytics</v>
      </c>
      <c r="G27" s="627">
        <f>INDEX('REVIEW - Complete Role Mapping'!$AA:$AA,308)</f>
        <v>263635.8</v>
      </c>
      <c r="H27" s="627">
        <f>$G27*IFERROR(INDEX(Lists!$AD:$AD,MATCH($E27,Lists!$AC:$AC,0)),1)</f>
        <v>263635.8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Mapping'!$B:$B,310)</f>
        <v>Steve Murray</v>
      </c>
      <c r="C28" s="634" t="str">
        <f>INDEX('REVIEW - Complete Role Mapping'!$C:$C,310)</f>
        <v>Applications Specialist</v>
      </c>
      <c r="D28" s="612" t="str">
        <f>INDEX('REVIEW - Complete Role Mapping'!$AK:$AK,310)</f>
        <v>Filled</v>
      </c>
      <c r="E28" s="612" t="inlineStr">
        <is>
          <t>Filled</t>
        </is>
      </c>
      <c r="F28" s="634" t="str">
        <f>INDEX('REVIEW - Complete Role Mapping'!$AT:$AT,310)</f>
        <v>Reporting &amp; Analytics</v>
      </c>
      <c r="G28" s="627">
        <f>INDEX('REVIEW - Complete Role Mapping'!$AA:$AA,310)</f>
        <v>242970</v>
      </c>
      <c r="H28" s="627">
        <f>$G28*IFERROR(INDEX(Lists!$AD:$AD,MATCH($E28,Lists!$AC:$AC,0)),1)</f>
        <v>242970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Mapping'!$B:$B,311)</f>
        <v>Sumathi Manikkampichai</v>
      </c>
      <c r="C29" s="634" t="str">
        <f>INDEX('REVIEW - Complete Role Mapping'!$C:$C,311)</f>
        <v>Data Architect</v>
      </c>
      <c r="D29" s="612" t="str">
        <f>INDEX('REVIEW - Complete Role Mapping'!$AK:$AK,311)</f>
        <v>Filled</v>
      </c>
      <c r="E29" s="612" t="inlineStr">
        <is>
          <t>Filled</t>
        </is>
      </c>
      <c r="F29" s="634" t="str">
        <f>INDEX('REVIEW - Complete Role Mapping'!$AT:$AT,311)</f>
        <v>Reporting &amp; Analytics</v>
      </c>
      <c r="G29" s="627">
        <f>INDEX('REVIEW - Complete Role Mapping'!$AA:$AA,311)</f>
        <v>250993.35</v>
      </c>
      <c r="H29" s="627">
        <f>$G29*IFERROR(INDEX(Lists!$AD:$AD,MATCH($E29,Lists!$AC:$AC,0)),1)</f>
        <v>250993.35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Mapping'!$B:$B,331)</f>
        <v>Vincent Lu</v>
      </c>
      <c r="C30" s="634" t="str">
        <f>INDEX('REVIEW - Complete Role Mapping'!$C:$C,331)</f>
        <v>Reporting Analyst</v>
      </c>
      <c r="D30" s="612" t="str">
        <f>INDEX('REVIEW - Complete Role Mapping'!$AK:$AK,331)</f>
        <v>Filled</v>
      </c>
      <c r="E30" s="612" t="inlineStr">
        <is>
          <t>Filled</t>
        </is>
      </c>
      <c r="F30" s="634" t="str">
        <f>INDEX('REVIEW - Complete Role Mapping'!$AT:$AT,331)</f>
        <v>Reporting &amp; Analytics</v>
      </c>
      <c r="G30" s="627">
        <f>INDEX('REVIEW - Complete Role Mapping'!$AA:$AA,331)</f>
        <v>179624.25</v>
      </c>
      <c r="H30" s="627">
        <f>$G30*IFERROR(INDEX(Lists!$AD:$AD,MATCH($E30,Lists!$AC:$AC,0)),1)</f>
        <v>179624.25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Mapping'!$B:$B,318)</f>
        <v>Vacant</v>
      </c>
      <c r="C31" s="634" t="str">
        <f>INDEX('REVIEW - Complete Role Mapping'!$C:$C,318)</f>
        <v>Business Analyst</v>
      </c>
      <c r="D31" s="612" t="str">
        <f>INDEX('REVIEW - Complete Role Mapping'!$AK:$AK,318)</f>
        <v>Vacant</v>
      </c>
      <c r="E31" s="612" t="inlineStr">
        <is>
          <t>Hire</t>
        </is>
      </c>
      <c r="F31" s="634" t="str">
        <f>INDEX('REVIEW - Complete Role Mapping'!$AT:$AT,318)</f>
        <v>Reporting &amp; Analytics</v>
      </c>
      <c r="G31" s="627">
        <f>INDEX('REVIEW - Complete Role Mapping'!$AA:$AA,318)</f>
        <v>202853.25</v>
      </c>
      <c r="H31" s="627">
        <f>$G31*IFERROR(INDEX(Lists!$AD:$AD,MATCH($E31,Lists!$AC:$AC,0)),1)</f>
        <v>202853.25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Mapping'!$B:$B,329)</f>
        <v>Vacant</v>
      </c>
      <c r="C32" s="634" t="str">
        <f>INDEX('REVIEW - Complete Role Mapping'!$C:$C,329)</f>
        <v>Applications Specialist - Strategic Programs</v>
      </c>
      <c r="D32" s="612" t="str">
        <f>INDEX('REVIEW - Complete Role Mapping'!$AK:$AK,329)</f>
        <v>Vacant</v>
      </c>
      <c r="E32" s="647" t="inlineStr">
        <is>
          <t>Hire</t>
        </is>
      </c>
      <c r="F32" s="648" t="str">
        <f>INDEX('REVIEW - Complete Role Mapping'!$AT:$AT,329)</f>
        <v>Reporting &amp; Analytics</v>
      </c>
      <c r="G32" s="627">
        <f>INDEX('REVIEW - Complete Role Mapping'!$AA:$AA,329)</f>
        <v>202853.25</v>
      </c>
      <c r="H32" s="627">
        <f>$G32*IFERROR(INDEX(Lists!$AD:$AD,MATCH($E32,Lists!$AC:$AC,0)),1)</f>
        <v>202853.25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Mapping'!$B:$B,330)</f>
        <v>Vacant</v>
      </c>
      <c r="C33" s="634" t="str">
        <f>INDEX('REVIEW - Complete Role Mapping'!$C:$C,330)</f>
        <v>Reporting analysts - Strategic Programs</v>
      </c>
      <c r="D33" s="612" t="str">
        <f>INDEX('REVIEW - Complete Role Mapping'!$AK:$AK,330)</f>
        <v>Vacant</v>
      </c>
      <c r="E33" s="647" t="inlineStr">
        <is>
          <t>Hire</t>
        </is>
      </c>
      <c r="F33" s="648" t="str">
        <f>INDEX('REVIEW - Complete Role Mapping'!$AT:$AT,330)</f>
        <v>Reporting &amp; Analytics</v>
      </c>
      <c r="G33" s="627">
        <f>INDEX('REVIEW - Complete Role Mapping'!$AA:$AA,330)</f>
        <v>202853.25</v>
      </c>
      <c r="H33" s="627">
        <f>$G33*IFERROR(INDEX(Lists!$AD:$AD,MATCH($E33,Lists!$AC:$AC,0)),1)</f>
        <v>202853.25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Mapping'!$B:$B,284)</f>
        <v>Dinesh Chandrasekaran</v>
      </c>
      <c r="C34" s="634" t="str">
        <f>INDEX('REVIEW - Complete Role Mapping'!$C:$C,284)</f>
        <v>Lead Engineer (Snowflake)</v>
      </c>
      <c r="D34" s="612" t="str">
        <f>INDEX('REVIEW - Complete Role Mapping'!$AK:$AK,284)</f>
        <v>Filled</v>
      </c>
      <c r="E34" s="612" t="inlineStr">
        <is>
          <t>Filled</t>
        </is>
      </c>
      <c r="F34" s="634" t="str">
        <f>INDEX('REVIEW - Complete Role Mapping'!$AT:$AT,284)</f>
        <v>Data Platforms</v>
      </c>
      <c r="G34" s="627">
        <f>INDEX('REVIEW - Complete Role Mapping'!$AA:$AA,284)</f>
        <v>243984.6</v>
      </c>
      <c r="H34" s="627">
        <f>$G34*IFERROR(INDEX(Lists!$AD:$AD,MATCH($E34,Lists!$AC:$AC,0)),1)</f>
        <v>243984.6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Mapping'!$B:$B,307)</f>
        <v>Roozbeh Shahbazirad</v>
      </c>
      <c r="C35" s="646" t="str">
        <f>INDEX('REVIEW - Complete Role Mapping'!$C:$C,307)</f>
        <v>Lead Engineer</v>
      </c>
      <c r="D35" s="646" t="str">
        <f>INDEX('REVIEW - Complete Role Mapping'!$AK:$AK,307)</f>
        <v>Filled</v>
      </c>
      <c r="E35" s="646" t="inlineStr">
        <is>
          <t>Filled</t>
        </is>
      </c>
      <c r="F35" s="646" t="str">
        <f>INDEX('REVIEW - Complete Role Mapping'!$AT:$AT,307)</f>
        <v>Data Platforms</v>
      </c>
      <c r="G35" s="627">
        <f>INDEX('REVIEW - Complete Role Mapping'!$AA:$AA,307)</f>
        <v>204006.636</v>
      </c>
      <c r="H35" s="627">
        <f>$G35*IFERROR(INDEX(Lists!$AD:$AD,MATCH($E35,Lists!$AC:$AC,0)),1)</f>
        <v>204006.636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Mapping'!$B:$B,312)</f>
        <v>Tim Snedden</v>
      </c>
      <c r="C36" s="634" t="str">
        <f>INDEX('REVIEW - Complete Role Mapping'!$C:$C,312)</f>
        <v>Delivery Lead</v>
      </c>
      <c r="D36" s="612" t="str">
        <f>INDEX('REVIEW - Complete Role Mapping'!$AK:$AK,312)</f>
        <v>Filled</v>
      </c>
      <c r="E36" s="612" t="inlineStr">
        <is>
          <t>Filled</t>
        </is>
      </c>
      <c r="F36" s="634" t="str">
        <f>INDEX('REVIEW - Complete Role Mapping'!$AT:$AT,312)</f>
        <v>Data Platforms</v>
      </c>
      <c r="G36" s="627">
        <f>INDEX('REVIEW - Complete Role Mapping'!$AA:$AA,312)</f>
        <v>185776.56</v>
      </c>
      <c r="H36" s="627">
        <f>$G36*IFERROR(INDEX(Lists!$AD:$AD,MATCH($E36,Lists!$AC:$AC,0)),1)</f>
        <v>185776.56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Mapping'!$B:$B,314)</f>
        <v>Vacant</v>
      </c>
      <c r="C37" s="634" t="str">
        <f>INDEX('REVIEW - Complete Role Mapping'!$C:$C,314)</f>
        <v>Engineer Data  </v>
      </c>
      <c r="D37" s="612" t="str">
        <f>INDEX('REVIEW - Complete Role Mapping'!$AK:$AK,314)</f>
        <v>Vacant</v>
      </c>
      <c r="E37" s="612" t="inlineStr">
        <is>
          <t>Hire</t>
        </is>
      </c>
      <c r="F37" s="634" t="str">
        <f>INDEX('REVIEW - Complete Role Mapping'!$AT:$AT,314)</f>
        <v>Data Platforms</v>
      </c>
      <c r="G37" s="627">
        <f>INDEX('REVIEW - Complete Role Mapping'!$AA:$AA,314)</f>
        <v>202853.25</v>
      </c>
      <c r="H37" s="627">
        <f>$G37*IFERROR(INDEX(Lists!$AD:$AD,MATCH($E37,Lists!$AC:$AC,0)),1)</f>
        <v>202853.25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Mapping'!$B:$B,315)</f>
        <v>Vacant</v>
      </c>
      <c r="C38" s="634" t="str">
        <f>INDEX('REVIEW - Complete Role Mapping'!$C:$C,315)</f>
        <v>Quality Assurance</v>
      </c>
      <c r="D38" s="612" t="str">
        <f>INDEX('REVIEW - Complete Role Mapping'!$AK:$AK,315)</f>
        <v>Vacant</v>
      </c>
      <c r="E38" s="612" t="inlineStr">
        <is>
          <t>Hire</t>
        </is>
      </c>
      <c r="F38" s="634" t="str">
        <f>INDEX('REVIEW - Complete Role Mapping'!$AT:$AT,315)</f>
        <v>Data Platforms</v>
      </c>
      <c r="G38" s="627">
        <f>INDEX('REVIEW - Complete Role Mapping'!$AA:$AA,315)</f>
        <v>170489.75</v>
      </c>
      <c r="H38" s="627">
        <f>$G38*IFERROR(INDEX(Lists!$AD:$AD,MATCH($E38,Lists!$AC:$AC,0)),1)</f>
        <v>170489.75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Mapping'!$B:$B,316)</f>
        <v>Vacant</v>
      </c>
      <c r="C39" s="634" t="str">
        <f>INDEX('REVIEW - Complete Role Mapping'!$C:$C,316)</f>
        <v>Engineer - DevOps</v>
      </c>
      <c r="D39" s="612" t="str">
        <f>INDEX('REVIEW - Complete Role Mapping'!$AK:$AK,316)</f>
        <v>Vacant</v>
      </c>
      <c r="E39" s="612" t="inlineStr">
        <is>
          <t>Hire</t>
        </is>
      </c>
      <c r="F39" s="634" t="str">
        <f>INDEX('REVIEW - Complete Role Mapping'!$AT:$AT,316)</f>
        <v>Data Platforms</v>
      </c>
      <c r="G39" s="627">
        <f>INDEX('REVIEW - Complete Role Mapping'!$AA:$AA,316)</f>
        <v>202853.25</v>
      </c>
      <c r="H39" s="627">
        <f>$G39*IFERROR(INDEX(Lists!$AD:$AD,MATCH($E39,Lists!$AC:$AC,0)),1)</f>
        <v>202853.25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Mapping'!$B:$B,317)</f>
        <v>Vacant</v>
      </c>
      <c r="C40" s="646" t="str">
        <f>INDEX('REVIEW - Complete Role Mapping'!$C:$C,317)</f>
        <v>Business Analyst</v>
      </c>
      <c r="D40" s="646" t="str">
        <f>INDEX('REVIEW - Complete Role Mapping'!$AK:$AK,317)</f>
        <v>Vacant</v>
      </c>
      <c r="E40" s="646" t="inlineStr">
        <is>
          <t>Hire</t>
        </is>
      </c>
      <c r="F40" s="646" t="str">
        <f>INDEX('REVIEW - Complete Role Mapping'!$AT:$AT,317)</f>
        <v>Data Platforms</v>
      </c>
      <c r="G40" s="627">
        <f>INDEX('REVIEW - Complete Role Mapping'!$AA:$AA,317)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Mapping'!$B:$B,319)</f>
        <v>Vacant</v>
      </c>
      <c r="C41" s="634" t="str">
        <f>INDEX('REVIEW - Complete Role Mapping'!$C:$C,319)</f>
        <v>Engineer - Data</v>
      </c>
      <c r="D41" s="612" t="str">
        <f>INDEX('REVIEW - Complete Role Mapping'!$AK:$AK,319)</f>
        <v>Vacant</v>
      </c>
      <c r="E41" s="612" t="inlineStr">
        <is>
          <t>Hire</t>
        </is>
      </c>
      <c r="F41" s="634" t="str">
        <f>INDEX('REVIEW - Complete Role Mapping'!$AT:$AT,319)</f>
        <v>Data Platforms</v>
      </c>
      <c r="G41" s="627">
        <f>INDEX('REVIEW - Complete Role Mapping'!$AA:$AA,319)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Mapping'!$B:$B,320)</f>
        <v>Vacant</v>
      </c>
      <c r="C42" s="646" t="str">
        <f>INDEX('REVIEW - Complete Role Mapping'!$C:$C,320)</f>
        <v>Quality Assurance</v>
      </c>
      <c r="D42" s="646" t="str">
        <f>INDEX('REVIEW - Complete Role Mapping'!$AK:$AK,320)</f>
        <v>Vacant</v>
      </c>
      <c r="E42" s="646" t="inlineStr">
        <is>
          <t>Hire</t>
        </is>
      </c>
      <c r="F42" s="646" t="str">
        <f>INDEX('REVIEW - Complete Role Mapping'!$AT:$AT,320)</f>
        <v>Data Platforms</v>
      </c>
      <c r="G42" s="627">
        <f>INDEX('REVIEW - Complete Role Mapping'!$AA:$AA,320)</f>
        <v>170489.75</v>
      </c>
      <c r="H42" s="627">
        <f>$G42*IFERROR(INDEX(Lists!$AD:$AD,MATCH($E42,Lists!$AC:$AC,0)),1)</f>
        <v>170489.75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Mapping'!$B:$B,281)</f>
        <v>Carol Kuang</v>
      </c>
      <c r="C43" s="634" t="str">
        <f>INDEX('REVIEW - Complete Role Mapping'!$C:$C,281)</f>
        <v>Senior Data Scientist</v>
      </c>
      <c r="D43" s="612" t="str">
        <f>INDEX('REVIEW - Complete Role Mapping'!$AK:$AK,281)</f>
        <v>Filled</v>
      </c>
      <c r="E43" s="612" t="inlineStr">
        <is>
          <t>Filled</t>
        </is>
      </c>
      <c r="F43" s="634" t="str">
        <f>INDEX('REVIEW - Complete Role Mapping'!$AT:$AT,281)</f>
        <v>Data Science</v>
      </c>
      <c r="G43" s="627">
        <f>INDEX('REVIEW - Complete Role Mapping'!$AA:$AA,281)</f>
        <v>184871.28</v>
      </c>
      <c r="H43" s="627">
        <f>$G43*IFERROR(INDEX(Lists!$AD:$AD,MATCH($E43,Lists!$AC:$AC,0)),1)</f>
        <v>184871.28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Mapping'!$B:$B,295)</f>
        <v>Om Singh</v>
      </c>
      <c r="C44" s="634" t="str">
        <f>INDEX('REVIEW - Complete Role Mapping'!$C:$C,295)</f>
        <v>Data Scientist</v>
      </c>
      <c r="D44" s="612" t="str">
        <f>INDEX('REVIEW - Complete Role Mapping'!$AK:$AK,295)</f>
        <v>Filled</v>
      </c>
      <c r="E44" s="612" t="inlineStr">
        <is>
          <t>Filled</t>
        </is>
      </c>
      <c r="F44" s="634" t="str">
        <f>INDEX('REVIEW - Complete Role Mapping'!$AT:$AT,295)</f>
        <v>Data Science</v>
      </c>
      <c r="G44" s="627">
        <f>INDEX('REVIEW - Complete Role Mapping'!$AA:$AA,295)</f>
        <v>181470</v>
      </c>
      <c r="H44" s="627">
        <f>$G44*IFERROR(INDEX(Lists!$AD:$AD,MATCH($E44,Lists!$AC:$AC,0)),1)</f>
        <v>181470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Mapping'!$B:$B,296)</f>
        <v>Prashant Tataskar</v>
      </c>
      <c r="C45" s="634" t="str">
        <f>INDEX('REVIEW - Complete Role Mapping'!$C:$C,296)</f>
        <v>Data Scientist</v>
      </c>
      <c r="D45" s="612" t="str">
        <f>INDEX('REVIEW - Complete Role Mapping'!$AK:$AK,296)</f>
        <v>Filled</v>
      </c>
      <c r="E45" s="647" t="inlineStr">
        <is>
          <t>Filled</t>
        </is>
      </c>
      <c r="F45" s="648" t="str">
        <f>INDEX('REVIEW - Complete Role Mapping'!$AT:$AT,296)</f>
        <v>Data Science</v>
      </c>
      <c r="G45" s="627">
        <f>INDEX('REVIEW - Complete Role Mapping'!$AA:$AA,296)</f>
        <v>208473.6</v>
      </c>
      <c r="H45" s="627">
        <f>$G45*IFERROR(INDEX(Lists!$AD:$AD,MATCH($E45,Lists!$AC:$AC,0)),1)</f>
        <v>208473.6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Mapping'!$B:$B,332)</f>
        <v>Yu Chen</v>
      </c>
      <c r="C46" s="634" t="str">
        <f>INDEX('REVIEW - Complete Role Mapping'!$C:$C,332)</f>
        <v>Senior Data Scientist</v>
      </c>
      <c r="D46" s="612" t="str">
        <f>INDEX('REVIEW - Complete Role Mapping'!$AK:$AK,332)</f>
        <v>Filled</v>
      </c>
      <c r="E46" s="647" t="inlineStr">
        <is>
          <t>Filled</t>
        </is>
      </c>
      <c r="F46" s="648" t="str">
        <f>INDEX('REVIEW - Complete Role Mapping'!$AT:$AT,332)</f>
        <v>Data Science</v>
      </c>
      <c r="G46" s="627">
        <f>INDEX('REVIEW - Complete Role Mapping'!$AA:$AA,332)</f>
        <v>231582.45</v>
      </c>
      <c r="H46" s="627">
        <f>$G46*IFERROR(INDEX(Lists!$AD:$AD,MATCH($E46,Lists!$AC:$AC,0)),1)</f>
        <v>231582.45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Mapping'!$B:$B,285)</f>
        <v>James Holgate</v>
      </c>
      <c r="C47" s="634" t="str">
        <f>INDEX('REVIEW - Complete Role Mapping'!$C:$C,285)</f>
        <v>Head of Technology,  Group Data</v>
      </c>
      <c r="D47" s="612" t="str">
        <f>INDEX('REVIEW - Complete Role Mapping'!$AK:$AK,285)</f>
        <v>Filled</v>
      </c>
      <c r="E47" s="647" t="inlineStr">
        <is>
          <t>Filled</t>
        </is>
      </c>
      <c r="F47" s="648" t="str">
        <f>INDEX('REVIEW - Complete Role Mapping'!$AT:$AT,285)</f>
        <v>Head of Technology</v>
      </c>
      <c r="G47" s="627">
        <f>INDEX('REVIEW - Complete Role Mapping'!$AA:$AA,285)</f>
        <v>409755.7</v>
      </c>
      <c r="H47" s="627">
        <f>$G47*IFERROR(INDEX(Lists!$AD:$AD,MATCH($E47,Lists!$AC:$AC,0)),1)</f>
        <v>409755.7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Mapping'!$B:$B,286)</f>
        <v>Jason Gleason</v>
      </c>
      <c r="C48" s="634" t="str">
        <f>INDEX('REVIEW - Complete Role Mapping'!$C:$C,286)</f>
        <v>Technology Manager, Data Engineering &amp; Platforms</v>
      </c>
      <c r="D48" s="612" t="str">
        <f>INDEX('REVIEW - Complete Role Mapping'!$AK:$AK,286)</f>
        <v>Filled</v>
      </c>
      <c r="E48" s="647" t="inlineStr">
        <is>
          <t>Filled</t>
        </is>
      </c>
      <c r="F48" s="648" t="str">
        <f>INDEX('REVIEW - Complete Role Mapping'!$AT:$AT,286)</f>
        <v>Technology Manager</v>
      </c>
      <c r="G48" s="627">
        <f>INDEX('REVIEW - Complete Role Mapping'!$AA:$AA,286)</f>
        <v>320862</v>
      </c>
      <c r="H48" s="627">
        <f>$G48*IFERROR(INDEX(Lists!$AD:$AD,MATCH($E48,Lists!$AC:$AC,0)),1)</f>
        <v>320862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Mapping'!$B:$B,289)</f>
        <v>Jonathan Robinson</v>
      </c>
      <c r="C49" s="634" t="str">
        <f>INDEX('REVIEW - Complete Role Mapping'!$C:$C,289)</f>
        <v>Technology Manager  Data Science</v>
      </c>
      <c r="D49" s="612" t="str">
        <f>INDEX('REVIEW - Complete Role Mapping'!$AK:$AK,289)</f>
        <v>Filled</v>
      </c>
      <c r="E49" s="647" t="inlineStr">
        <is>
          <t>Filled</t>
        </is>
      </c>
      <c r="F49" s="648" t="str">
        <f>INDEX('REVIEW - Complete Role Mapping'!$AT:$AT,289)</f>
        <v>Technology Manager</v>
      </c>
      <c r="G49" s="627">
        <f>INDEX('REVIEW - Complete Role Mapping'!$AA:$AA,289)</f>
        <v>330416.75</v>
      </c>
      <c r="H49" s="627">
        <f>$G49*IFERROR(INDEX(Lists!$AD:$AD,MATCH($E49,Lists!$AC:$AC,0)),1)</f>
        <v>330416.75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n"/>
      <c r="C50" s="634" t="n"/>
      <c r="D50" s="612" t="n"/>
      <c r="E50" s="647" t="n"/>
      <c r="F50" s="648" t="n"/>
      <c r="G50" s="627" t="n"/>
      <c r="H50" s="627" t="n"/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n"/>
      <c r="C51" s="646" t="n"/>
      <c r="D51" s="646" t="n"/>
      <c r="E51" s="646" t="n"/>
      <c r="F51" s="646" t="n"/>
      <c r="G51" s="627" t="n"/>
      <c r="H51" s="627" t="n"/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n"/>
      <c r="C52" s="634" t="n"/>
      <c r="D52" s="612" t="n"/>
      <c r="E52" s="612" t="n"/>
      <c r="F52" s="634" t="n"/>
      <c r="G52" s="627" t="n"/>
      <c r="H52" s="627" t="n"/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47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2:E49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2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TDD Group Functions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Cloud, Network &amp; Infra Ops</t>
        </is>
      </c>
      <c r="C6" s="635" t="str">
        <f>IFERROR(INDEX('1.4 TDD Group Functions'!$C$19:$C$31,MATCH($S6,'1.4 TDD Group Functions'!$B$19:$B$31,0)),"No archetype for this squad")</f>
        <v>Operations</v>
      </c>
      <c r="D6" s="1249">
        <f>IFERROR(INDEX('0.3 Squad Archetypes'!$F$5:$F$23,MATCH($C6&amp;"|"&amp;$R6,'0.3 Squad Archetypes'!$A$5:$A$23,0)),"-")</f>
        <v>6</v>
      </c>
      <c r="E6" s="1250">
        <f>COUNTIFS($F$25:$F$70,$B6)</f>
        <v>12</v>
      </c>
      <c r="F6" s="1250">
        <f>IFERROR($E6-$D6,"-")</f>
        <v>6</v>
      </c>
      <c r="G6" s="1250">
        <f>COUNTIFS($F$25:$F$70,$B6,$D$25:$D$70,"Vacant")</f>
        <v>1</v>
      </c>
      <c r="H6" s="1250">
        <f>COUNTIFS($F$25:$F$70,$B6,$D$25:$D$70,"Vacant",$E$25:$E$70,"Hire")+COUNTIFS($F$25:$F$70,$B6,$D$25:$D$70,"Vacant",$E$25:$E$70,"Offshore")</f>
        <v>1</v>
      </c>
      <c r="I6" s="1250">
        <f>COUNTIFS($F$25:$F$70,$B6,$D$25:$D$70,"Vacant",$E$25:$E$70,"Hold")</f>
        <v>0</v>
      </c>
      <c r="J6" s="1251">
        <f>$E6-COUNTIFS($F$25:$F$70,$B6,$E$25:$E$70,"Hold")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IFERROR(IF(INDEX('1.4 TDD Group Functions'!$E$19:$E$31,MATCH($S6,'1.4 TDD Group Functions'!$B$19:$B$31,0))="Offshore",INDEX('0.3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2.8267209564</v>
      </c>
      <c r="N6" s="1252">
        <f>IFERROR($M6-$L6,"-")</f>
        <v>1.4267209564</v>
      </c>
      <c r="O6" s="1253">
        <f>(SUMIFS('REVIEW - Complete Role Mapping'!$AA$2:$AA$528,'REVIEW - Complete Role Mapping'!$AJ$2:$AJ$528,$C$3,'REVIEW - Complete Role Mapping'!$AT$2:$AT$528,$B6,'REVIEW - Complete Role Mapping'!$AK$2:$AK$528,"Filled")+SUMIFS($H$25:$H$70,$F$25:$F$70,$B6))/1000000</f>
        <v>5.4505886628</v>
      </c>
      <c r="P6" s="1254">
        <f>$O6-$M6</f>
        <v>2.6238677064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0.20285325</v>
      </c>
      <c r="R6" t="str">
        <f>IFERROR(IF(INDEX('1.4 TDD Group Functions'!$D$19:$D$31,MATCH($S6,'1.4 TDD Group Functions'!$B$19:$B$31,0))="","-",INDEX('1.4 TDD Group Functions'!$D$19:$D$31,MATCH($S6,'1.4 TDD Group Functions'!$B$19:$B$31,0))),"-")</f>
        <v>M</v>
      </c>
      <c r="S6" t="str">
        <f>IFERROR(INDEX(Lists!$AA:$AA,MATCH($B6,Lists!$Z:$Z,0)),$B6)</f>
        <v>Cloud, Network &amp; Infra Ops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Functions'!$C$19:$C$31,MATCH($S7,'1.4 TDD Group Functions'!$B$19:$B$31,0)),"No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COUNTIFS($F$25:$F$70,$B7)</f>
        <v>10</v>
      </c>
      <c r="F7" s="1250">
        <f>IFERROR($E7-$D7,"-")</f>
        <v>1</v>
      </c>
      <c r="G7" s="1250">
        <f>COUNTIFS($F$25:$F$70,$B7,$D$25:$D$70,"Vacant")</f>
        <v>2</v>
      </c>
      <c r="H7" s="1250">
        <f>COUNTIFS($F$25:$F$70,$B7,$D$25:$D$70,"Vacant",$E$25:$E$70,"Hire")+COUNTIFS($F$25:$F$70,$B7,$D$25:$D$70,"Vacant",$E$25:$E$70,"Offshore")</f>
        <v>2</v>
      </c>
      <c r="I7" s="1250">
        <f>COUNTIFS($F$25:$F$70,$B7,$D$25:$D$70,"Vacant",$E$25:$E$70,"Hold")</f>
        <v>0</v>
      </c>
      <c r="J7" s="1251">
        <f>$E7-COUNTIFS($F$25:$F$70,$B7,$E$25:$E$70,"Hold")</f>
        <v>10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IFERROR(IF(INDEX('1.4 TDD Group Functions'!$E$19:$E$31,MATCH($S7,'1.4 TDD Group Functions'!$B$19:$B$31,0))="Offshore",INDEX('0.3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1.815247746</v>
      </c>
      <c r="N7" s="1252">
        <f>IFERROR($M7-$L7,"-")</f>
        <v>-0.284752254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Mapping'!$AK$2:$AK$528,"Filled")+SUMIFS($H$25:$H$70,$F$25:$F$70,$B7))/1000000</f>
        <v>3.197221242</v>
      </c>
      <c r="P7" s="1254">
        <f>$O7-$M7</f>
        <v>1.381973496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0.43327425</v>
      </c>
      <c r="R7" t="str">
        <f>IFERROR(IF(INDEX('1.4 TDD Group Functions'!$D$19:$D$31,MATCH($S7,'1.4 TDD Group Functions'!$B$19:$B$31,0))="","-",INDEX('1.4 TDD Group Functions'!$D$19:$D$31,MATCH($S7,'1.4 TDD Group Functions'!$B$19:$B$31,0))),"-")</f>
        <v>M</v>
      </c>
      <c r="S7" t="str">
        <f>IFERROR(INDEX(Lists!$AA:$AA,MATCH($B7,Lists!$Z:$Z,0)),$B7)</f>
        <v>Integration &amp; Process Automation</v>
      </c>
    </row>
    <row r="8">
      <c r="A8" s="949" t="n"/>
      <c r="B8" s="634" t="inlineStr">
        <is>
          <t>DevOps &amp; QE</t>
        </is>
      </c>
      <c r="C8" s="635" t="str">
        <f>IFERROR(INDEX('1.4 TDD Group Functions'!$C$19:$C$31,MATCH($S8,'1.4 TDD Group Functions'!$B$19:$B$31,0)),"No archetype for this squad")</f>
        <v>Engineering</v>
      </c>
      <c r="D8" s="1249">
        <f>IFERROR(INDEX('0.3 Squad Archetypes'!$F$5:$F$23,MATCH($C8&amp;"|"&amp;$R8,'0.3 Squad Archetypes'!$A$5:$A$23,0)),"-")</f>
        <v>4.5</v>
      </c>
      <c r="E8" s="1250">
        <f>COUNTIFS($F$25:$F$70,$B8)</f>
        <v>8</v>
      </c>
      <c r="F8" s="1250">
        <f>IFERROR($E8-$D8,"-")</f>
        <v>3.5</v>
      </c>
      <c r="G8" s="1250">
        <f>COUNTIFS($F$25:$F$70,$B8,$D$25:$D$70,"Vacant")</f>
        <v>4</v>
      </c>
      <c r="H8" s="1250">
        <f>COUNTIFS($F$25:$F$70,$B8,$D$25:$D$70,"Vacant",$E$25:$E$70,"Hire")+COUNTIFS($F$25:$F$70,$B8,$D$25:$D$70,"Vacant",$E$25:$E$70,"Offshore")</f>
        <v>4</v>
      </c>
      <c r="I8" s="1250">
        <f>COUNTIFS($F$25:$F$70,$B8,$D$25:$D$70,"Vacant",$E$25:$E$70,"Hold")</f>
        <v>0</v>
      </c>
      <c r="J8" s="1251">
        <f>$E8-COUNTIFS($F$25:$F$70,$B8,$E$25:$E$70,"Hold")</f>
        <v>8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IFERROR(IF(INDEX('1.4 TDD Group Functions'!$E$19:$E$31,MATCH($S8,'1.4 TDD Group Functions'!$B$19:$B$31,0))="Offshore",INDEX('0.3 Squad Archetypes'!$H$5:$H$23,MATCH($C8&amp;"|"&amp;$R8,'0.3 Squad Archetypes'!$A$5:$A$23,0)),INDEX('0.3 Squad Archetypes'!$G$5:$G$23,MATCH($C8&amp;"|"&amp;$R8,'0.3 Squad Archetypes'!$A$5:$A$23,0))),"-")</f>
        <v>0.8</v>
      </c>
      <c r="M8" s="1252">
        <f>SUMIFS('REVIEW - Complete Role Mapping'!$AA$2:$AA$528,'REVIEW - Complete Role Mapping'!$AJ$2:$AJ$528,$C$3,'REVIEW - Complete Role Mapping'!$AT$2:$AT$528,$B8)/1000000</f>
        <v>1.581591798</v>
      </c>
      <c r="N8" s="1252">
        <f>IFERROR($M8-$L8,"-")</f>
        <v>0.781591798</v>
      </c>
      <c r="O8" s="1253">
        <f>(SUMIFS('REVIEW - Complete Role Mapping'!$AA$2:$AA$528,'REVIEW - Complete Role Mapping'!$AJ$2:$AJ$528,$C$3,'REVIEW - Complete Role Mapping'!$AT$2:$AT$528,$B8,'REVIEW - Complete Role Mapping'!$AK$2:$AK$528,"Filled")+SUMIFS($H$25:$H$70,$F$25:$F$70,$B8))/1000000</f>
        <v>2.294098596</v>
      </c>
      <c r="P8" s="1254">
        <f>$O8-$M8</f>
        <v>0.712506798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0.869085</v>
      </c>
      <c r="R8" t="str">
        <f>IFERROR(IF(INDEX('1.4 TDD Group Functions'!$D$19:$D$31,MATCH($S8,'1.4 TDD Group Functions'!$B$19:$B$31,0))="","-",INDEX('1.4 TDD Group Functions'!$D$19:$D$31,MATCH($S8,'1.4 TDD Group Functions'!$B$19:$B$31,0))),"-")</f>
        <v>S</v>
      </c>
      <c r="S8" t="str">
        <f>IFERROR(INDEX(Lists!$AA:$AA,MATCH($B8,Lists!$Z:$Z,0)),$B8)</f>
        <v>DevOps &amp; QE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Functions'!$C$19:$C$31,MATCH($S9,'1.4 TDD Group Functions'!$B$19:$B$31,0)),"No archetype for this squad")</f>
        <v>Configuration / Integration</v>
      </c>
      <c r="D9" s="1249">
        <f>IFERROR(INDEX('0.3 Squad Archetypes'!$F$5:$F$23,MATCH($C9&amp;"|"&amp;$R9,'0.3 Squad Archetypes'!$A$5:$A$23,0)),"-")</f>
        <v>6</v>
      </c>
      <c r="E9" s="1250">
        <f>COUNTIFS($F$25:$F$70,$B9)</f>
        <v>6</v>
      </c>
      <c r="F9" s="1250">
        <f>IFERROR($E9-$D9,"-")</f>
        <v>0</v>
      </c>
      <c r="G9" s="1250">
        <f>COUNTIFS($F$25:$F$70,$B9,$D$25:$D$70,"Vacant")</f>
        <v>2</v>
      </c>
      <c r="H9" s="1250">
        <f>COUNTIFS($F$25:$F$70,$B9,$D$25:$D$70,"Vacant",$E$25:$E$70,"Hire")+COUNTIFS($F$25:$F$70,$B9,$D$25:$D$70,"Vacant",$E$25:$E$70,"Offshore")</f>
        <v>2</v>
      </c>
      <c r="I9" s="1250">
        <f>COUNTIFS($F$25:$F$70,$B9,$D$25:$D$70,"Vacant",$E$25:$E$70,"Hold")</f>
        <v>0</v>
      </c>
      <c r="J9" s="1251">
        <f>$E9-COUNTIFS($F$25:$F$70,$B9,$E$25:$E$70,"Hold")</f>
        <v>6</v>
      </c>
      <c r="K9" s="1152" t="str">
        <f>IF(NOT(ISNUMBER($D9)),"No archetype - see 0.3",IF($J9&gt;$D9,"Over archetype after decisions",IF($J9&lt;$D9,"Under archetype","On archetype")))</f>
        <v>On archetype</v>
      </c>
      <c r="L9" s="1252">
        <f>IFERROR(IF(INDEX('1.4 TDD Group Functions'!$E$19:$E$31,MATCH($S9,'1.4 TDD Group Functions'!$B$19:$B$31,0))="Offshore",INDEX('0.3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1.117329222</v>
      </c>
      <c r="N9" s="1252">
        <f>IFERROR($M9-$L9,"-")</f>
        <v>-0.282670778</v>
      </c>
      <c r="O9" s="1253">
        <f>(SUMIFS('REVIEW - Complete Role Mapping'!$AA$2:$AA$528,'REVIEW - Complete Role Mapping'!$AJ$2:$AJ$528,$C$3,'REVIEW - Complete Role Mapping'!$AT$2:$AT$528,$B9,'REVIEW - Complete Role Mapping'!$AK$2:$AK$528,"Filled")+SUMIFS($H$25:$H$70,$F$25:$F$70,$B9))/1000000</f>
        <v>1.830220194</v>
      </c>
      <c r="P9" s="1254">
        <f>$O9-$M9</f>
        <v>0.712890972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0.40443825</v>
      </c>
      <c r="R9" t="str">
        <f>IFERROR(IF(INDEX('1.4 TDD Group Functions'!$D$19:$D$31,MATCH($S9,'1.4 TDD Group Functions'!$B$19:$B$31,0))="","-",INDEX('1.4 TDD Group Functions'!$D$19:$D$31,MATCH($S9,'1.4 TDD Group Functions'!$B$19:$B$31,0))),"-")</f>
        <v>S</v>
      </c>
      <c r="S9" t="str">
        <f>IFERROR(INDEX(Lists!$AA:$AA,MATCH($B9,Lists!$Z:$Z,0)),$B9)</f>
        <v>Workplace &amp; Enterprise Tooling</v>
      </c>
    </row>
    <row r="10">
      <c r="A10" s="949" t="n"/>
      <c r="B10" s="634" t="inlineStr">
        <is>
          <t>EGI TDD</t>
        </is>
      </c>
      <c r="C10" s="635" t="str">
        <f>IFERROR(INDEX('1.4 TDD Group Functions'!$C$19:$C$31,MATCH($S10,'1.4 TDD Group Functions'!$B$19:$B$31,0)),"No archetype for this squad")</f>
        <v>Strategic Programs</v>
      </c>
      <c r="D10" s="1249" t="str">
        <f>IFERROR(INDEX('0.3 Squad Archetypes'!$F$5:$F$23,MATCH($C10&amp;"|"&amp;$R10,'0.3 Squad Archetypes'!$A$5:$A$23,0)),"-")</f>
        <v>-</v>
      </c>
      <c r="E10" s="1250">
        <f>COUNTIFS($F$25:$F$70,$B10)</f>
        <v>4</v>
      </c>
      <c r="F10" s="1250" t="str">
        <f>IFERROR($E10-$D10,"-")</f>
        <v>-</v>
      </c>
      <c r="G10" s="1250">
        <f>COUNTIFS($F$25:$F$70,$B10,$D$25:$D$70,"Vacant")</f>
        <v>0</v>
      </c>
      <c r="H10" s="1250">
        <f>COUNTIFS($F$25:$F$70,$B10,$D$25:$D$70,"Vacant",$E$25:$E$70,"Hire")+COUNTIFS($F$25:$F$70,$B10,$D$25:$D$70,"Vacant",$E$25:$E$70,"Offshore")</f>
        <v>0</v>
      </c>
      <c r="I10" s="1250">
        <f>COUNTIFS($F$25:$F$70,$B10,$D$25:$D$70,"Vacant",$E$25:$E$70,"Hold")</f>
        <v>0</v>
      </c>
      <c r="J10" s="1251">
        <f>$E10-COUNTIFS($F$25:$F$70,$B10,$E$25:$E$70,"Hold")</f>
        <v>4</v>
      </c>
      <c r="K10" s="1152" t="str">
        <f>IF(NOT(ISNUMBER($D10)),"No archetype - see 0.3",IF($J10&gt;$D10,"Over archetype after decisions",IF($J10&lt;$D10,"Under archetype","On archetype")))</f>
        <v>No archetype - see 0.3</v>
      </c>
      <c r="L10" s="1252" t="str">
        <f>IFERROR(IF(INDEX('1.4 TDD Group Functions'!$E$19:$E$31,MATCH($S10,'1.4 TDD Group Functions'!$B$19:$B$31,0))="Offshore",INDEX('0.3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2">
        <f>SUMIFS('REVIEW - Complete Role Mapping'!$AA$2:$AA$528,'REVIEW - Complete Role Mapping'!$AJ$2:$AJ$528,$C$3,'REVIEW - Complete Role Mapping'!$AT$2:$AT$528,$B10)/1000000</f>
        <v>1.02484851</v>
      </c>
      <c r="N10" s="1252" t="str">
        <f>IFERROR($M10-$L10,"-")</f>
        <v>-</v>
      </c>
      <c r="O10" s="1253">
        <f>(SUMIFS('REVIEW - Complete Role Mapping'!$AA$2:$AA$528,'REVIEW - Complete Role Mapping'!$AJ$2:$AJ$528,$C$3,'REVIEW - Complete Role Mapping'!$AT$2:$AT$528,$B10,'REVIEW - Complete Role Mapping'!$AK$2:$AK$528,"Filled")+SUMIFS($H$25:$H$70,$F$25:$F$70,$B10))/1000000</f>
        <v>2.04969702</v>
      </c>
      <c r="P10" s="1254">
        <f>$O10-$M10</f>
        <v>1.02484851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IFERROR(IF(INDEX('1.4 TDD Group Functions'!$D$19:$D$31,MATCH($S10,'1.4 TDD Group Functions'!$B$19:$B$31,0))="","-",INDEX('1.4 TDD Group Functions'!$D$19:$D$31,MATCH($S10,'1.4 TDD Group Functions'!$B$19:$B$31,0))),"-")</f>
        <v>-</v>
      </c>
      <c r="S10" t="str">
        <f>IFERROR(INDEX(Lists!$AA:$AA,MATCH($B10,Lists!$Z:$Z,0)),$B10)</f>
        <v>EGI TDD</v>
      </c>
    </row>
    <row r="11">
      <c r="A11" s="949" t="n"/>
      <c r="B11" s="1237" t="inlineStr">
        <is>
          <t>Delivery squads</t>
        </is>
      </c>
      <c r="C11" s="635" t="n"/>
      <c r="D11" s="1249">
        <f>SUMIF($D$6:$D$10,"&gt;=0")</f>
        <v>25.5</v>
      </c>
      <c r="E11" s="1250">
        <f>SUM(E6:E10)</f>
        <v>40</v>
      </c>
      <c r="F11" s="1250">
        <f>SUMPRODUCT(--ISNUMBER($D$6:$D$10),$E$6:$E$10)-SUMIF($D$6:$D$10,"&gt;=0")</f>
        <v>10.5</v>
      </c>
      <c r="G11" s="1250">
        <f>SUM(G6:G10)</f>
        <v>9</v>
      </c>
      <c r="H11" s="1250">
        <f>SUM(H6:H10)</f>
        <v>9</v>
      </c>
      <c r="I11" s="1250">
        <f>SUM(I6:I10)</f>
        <v>0</v>
      </c>
      <c r="J11" s="1251">
        <f>SUM(J6:J10)</f>
        <v>40</v>
      </c>
      <c r="K11" s="1152" t="n"/>
      <c r="L11" s="1252">
        <f>SUMIF($L$6:$L$10,"&gt;=0")</f>
        <v>5.7</v>
      </c>
      <c r="M11" s="1252">
        <f>SUM(M6:M10)</f>
        <v>8.3657382324</v>
      </c>
      <c r="N11" s="1252">
        <f>SUMPRODUCT(--ISNUMBER($L$6:$L$10),$M$6:$M$10)-SUMIF($L$6:$L$10,"&gt;=0")</f>
        <v>1.6408897224</v>
      </c>
      <c r="O11" s="1253">
        <f>SUM(O6:O10)</f>
        <v>14.8218257148</v>
      </c>
      <c r="P11" s="1254">
        <f>SUM(P6:P10)</f>
        <v>6.4560874824</v>
      </c>
      <c r="Q11" s="1254">
        <f>SUM(Q6:Q10)</f>
        <v>1.90965075</v>
      </c>
    </row>
    <row r="12">
      <c r="A12" s="949" t="n"/>
      <c r="B12" s="1316" t="inlineStr">
        <is>
          <t>Overhead roles inside this portfolio - compared to the allowance</t>
        </is>
      </c>
      <c r="C12" s="635" t="n"/>
      <c r="D12" s="1249" t="n"/>
      <c r="E12" s="1250" t="n"/>
      <c r="F12" s="1250" t="n"/>
      <c r="G12" s="1250" t="n"/>
      <c r="H12" s="1250" t="n"/>
      <c r="I12" s="1250" t="n"/>
      <c r="J12" s="1251" t="n"/>
      <c r="K12" s="1152" t="n"/>
      <c r="L12" s="1252" t="n"/>
      <c r="M12" s="1252" t="n"/>
      <c r="N12" s="1252" t="n"/>
      <c r="O12" s="1253" t="n"/>
      <c r="P12" s="1254" t="n"/>
      <c r="Q12" s="1254" t="n"/>
    </row>
    <row r="13">
      <c r="A13" s="949" t="n"/>
      <c r="B13" s="641" t="inlineStr">
        <is>
          <t>Head of Technology</t>
        </is>
      </c>
      <c r="C13" s="641" t="str">
        <f>"Overhead - see 3.2"</f>
        <v>Overhead - see 3.2</v>
      </c>
      <c r="D13" s="1255" t="str">
        <f>"-"</f>
        <v>-</v>
      </c>
      <c r="E13" s="1255">
        <f>COUNTIFS($F$25:$F$70,$B13)</f>
        <v>1</v>
      </c>
      <c r="F13" s="1255" t="str">
        <f>"-"</f>
        <v>-</v>
      </c>
      <c r="G13" s="1255">
        <f>COUNTIFS($F$25:$F$70,$B13,$D$25:$D$70,"Vacant")</f>
        <v>1</v>
      </c>
      <c r="H13" s="1255">
        <f>COUNTIFS($F$25:$F$70,$B13,$D$25:$D$70,"Vacant",$E$25:$E$70,"Hire")+COUNTIFS($F$25:$F$70,$B13,$D$25:$D$70,"Vacant",$E$25:$E$70,"Offshore")</f>
        <v>1</v>
      </c>
      <c r="I13" s="1255">
        <f>COUNTIFS($F$25:$F$70,$B13,$D$25:$D$70,"Vacant",$E$25:$E$70,"Hold")</f>
        <v>0</v>
      </c>
      <c r="J13" s="1256">
        <f>$E13-COUNTIFS($F$25:$F$70,$B13,$E$25:$E$70,"Hold")</f>
        <v>1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Mapping'!$AJ$2:$AJ$528,$C$3,'REVIEW - Complete Role Mapping'!$AT$2:$AT$528,$B13)/1000000</f>
        <v>0.33302025</v>
      </c>
      <c r="N13" s="1257" t="str">
        <f>"-"</f>
        <v>-</v>
      </c>
      <c r="O13" s="1258">
        <f>(SUMIFS('REVIEW - Complete Role Mapping'!$AA$2:$AA$528,'REVIEW - Complete Role Mapping'!$AJ$2:$AJ$528,$C$3,'REVIEW - Complete Role Mapping'!$AT$2:$AT$528,$B13,'REVIEW - Complete Role Mapping'!$AK$2:$AK$528,"Filled")+SUMIFS($H$25:$H$70,$F$25:$F$70,$B13))/1000000</f>
        <v>0.33302025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0.33302025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COUNTIFS($F$25:$F$70,$B14)</f>
        <v>1</v>
      </c>
      <c r="F14" s="1261" t="str">
        <f>"-"</f>
        <v>-</v>
      </c>
      <c r="G14" s="1261">
        <f>COUNTIFS($F$25:$F$70,$B14,$D$25:$D$70,"Vacant")</f>
        <v>1</v>
      </c>
      <c r="H14" s="1261">
        <f>COUNTIFS($F$25:$F$70,$B14,$D$25:$D$70,"Vacant",$E$25:$E$70,"Hire")+COUNTIFS($F$25:$F$70,$B14,$D$25:$D$70,"Vacant",$E$25:$E$70,"Offshore")</f>
        <v>1</v>
      </c>
      <c r="I14" s="1261">
        <f>COUNTIFS($F$25:$F$70,$B14,$D$25:$D$70,"Vacant",$E$25:$E$70,"Hold")</f>
        <v>0</v>
      </c>
      <c r="J14" s="1261">
        <f>$E14-COUNTIFS($F$25:$F$70,$B14,$E$25:$E$70,"Hold")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Mapping'!$AK$2:$AK$528,"Filled")+SUMIFS($H$25:$H$70,$F$25:$F$70,$B14))/1000000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949" t="str">
        <f>"Overhead - see 3.2"</f>
        <v>Overhead - see 3.2</v>
      </c>
      <c r="D15" s="1261" t="str">
        <f>"-"</f>
        <v>-</v>
      </c>
      <c r="E15" s="1262">
        <f>COUNTIFS($F$25:$F$70,$B15)</f>
        <v>4</v>
      </c>
      <c r="F15" s="1261" t="str">
        <f>"-"</f>
        <v>-</v>
      </c>
      <c r="G15" s="1261">
        <f>COUNTIFS($F$25:$F$70,$B15,$D$25:$D$70,"Vacant")</f>
        <v>3</v>
      </c>
      <c r="H15" s="1261">
        <f>COUNTIFS($F$25:$F$70,$B15,$D$25:$D$70,"Vacant",$E$25:$E$70,"Hire")+COUNTIFS($F$25:$F$70,$B15,$D$25:$D$70,"Vacant",$E$25:$E$70,"Offshore")</f>
        <v>3</v>
      </c>
      <c r="I15" s="1261">
        <f>COUNTIFS($F$25:$F$70,$B15,$D$25:$D$70,"Vacant",$E$25:$E$70,"Hold")</f>
        <v>0</v>
      </c>
      <c r="J15" s="1261">
        <f>$E15-COUNTIFS($F$25:$F$70,$B15,$E$25:$E$70,"Hold")</f>
        <v>4</v>
      </c>
      <c r="K15" s="949" t="str">
        <f>"Overhead"</f>
        <v>Overhead</v>
      </c>
      <c r="L15" s="1263" t="str">
        <f>"-"</f>
        <v>-</v>
      </c>
      <c r="M15" s="1263">
        <f>SUMIFS('REVIEW - Complete Role Mapping'!$AA$2:$AA$528,'REVIEW - Complete Role Mapping'!$AJ$2:$AJ$528,$C$3,'REVIEW - Complete Role Mapping'!$AT$2:$AT$528,$B15)/1000000</f>
        <v>1.05666075</v>
      </c>
      <c r="N15" s="1263" t="str">
        <f>"-"</f>
        <v>-</v>
      </c>
      <c r="O15" s="1263">
        <f>(SUMIFS('REVIEW - Complete Role Mapping'!$AA$2:$AA$528,'REVIEW - Complete Role Mapping'!$AJ$2:$AJ$528,$C$3,'REVIEW - Complete Role Mapping'!$AT$2:$AT$528,$B15,'REVIEW - Complete Role Mapping'!$AK$2:$AK$528,"Filled")+SUMIFS($H$25:$H$70,$F$25:$F$70,$B15))/1000000</f>
        <v>1.28589075</v>
      </c>
      <c r="P15" s="1254">
        <f>$O15-$M15</f>
        <v>0.22923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0.82743075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949" t="n"/>
      <c r="D16" s="1261" t="n"/>
      <c r="E16" s="1261">
        <f>SUM(E13:E15)</f>
        <v>6</v>
      </c>
      <c r="F16" s="1261" t="n"/>
      <c r="G16" s="1261">
        <f>SUM(G13:G15)</f>
        <v>5</v>
      </c>
      <c r="H16" s="1261">
        <f>SUM(H13:H15)</f>
        <v>5</v>
      </c>
      <c r="I16" s="1261">
        <f>SUM(I13:I15)</f>
        <v>0</v>
      </c>
      <c r="J16" s="1261">
        <f>SUM(J13:J15)</f>
        <v>6</v>
      </c>
      <c r="K16" s="949" t="n"/>
      <c r="L16" s="1263" t="n"/>
      <c r="M16" s="1263">
        <f>SUM(M13:M15)</f>
        <v>1.66549125</v>
      </c>
      <c r="N16" s="1263" t="n"/>
      <c r="O16" s="1263">
        <f>SUM(O13:O15)</f>
        <v>1.89472125</v>
      </c>
      <c r="P16" s="1254">
        <f>SUM(P13:P15)</f>
        <v>0.22923</v>
      </c>
      <c r="Q16" s="1254">
        <f>SUM(Q13:Q15)</f>
        <v>1.43626125</v>
      </c>
    </row>
    <row r="17">
      <c r="A17" s="949" t="n"/>
      <c r="B17" s="431" t="n"/>
      <c r="C17" s="432" t="n"/>
      <c r="D17" s="1279" t="n"/>
      <c r="E17" s="1279" t="n"/>
      <c r="F17" s="1279" t="n"/>
      <c r="G17" s="1280" t="n"/>
      <c r="H17" s="1280" t="n"/>
      <c r="I17" s="1280" t="n"/>
      <c r="J17" s="1280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26" t="inlineStr">
        <is>
          <t>Total portfolio</t>
        </is>
      </c>
      <c r="C18" s="442" t="n"/>
      <c r="D18" s="1281">
        <f>$D11</f>
        <v>25.5</v>
      </c>
      <c r="E18" s="1262">
        <f>$E11+$E16</f>
        <v>46</v>
      </c>
      <c r="F18" s="1281">
        <f>IFERROR($E11-$D11,"-")</f>
        <v>14.5</v>
      </c>
      <c r="G18" s="1281">
        <f>$G11+$G16</f>
        <v>14</v>
      </c>
      <c r="H18" s="1281">
        <f>$H11+$H16</f>
        <v>14</v>
      </c>
      <c r="I18" s="1281">
        <f>$I11+$I16</f>
        <v>0</v>
      </c>
      <c r="J18" s="1281">
        <f>$J11+$J16</f>
        <v>46</v>
      </c>
      <c r="K18" s="442" t="n"/>
      <c r="L18" s="1282">
        <f>$L11</f>
        <v>5.7</v>
      </c>
      <c r="M18" s="1282">
        <f>$M11+$M16</f>
        <v>10.0312294824</v>
      </c>
      <c r="N18" s="1282">
        <f>IFERROR($M11-$L11,"-")</f>
        <v>2.6657382324</v>
      </c>
      <c r="O18" s="1263">
        <f>$O11+$O16</f>
        <v>16.7165469648</v>
      </c>
      <c r="P18" s="1254">
        <f>$P11+$P16</f>
        <v>6.6853174824</v>
      </c>
      <c r="Q18" s="1254">
        <f>$Q11+$Q16</f>
        <v>3.345912</v>
      </c>
    </row>
    <row r="19">
      <c r="A19" s="949" t="n"/>
      <c r="B19" s="1313" t="inlineStr">
        <is>
          <t>Archetype columns D, F, L and N cover the delivery squads only - overhead is not priced by a squad archetype.</t>
        </is>
      </c>
      <c r="C19" s="1259" t="n"/>
      <c r="D19" s="1259" t="n"/>
      <c r="E19" s="1268" t="n"/>
      <c r="F19" s="1259" t="n"/>
      <c r="G19" s="1259" t="n"/>
      <c r="H19" s="1259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1298" t="inlineStr">
        <is>
          <t>Control - roles vs the ledger, must be 0</t>
        </is>
      </c>
      <c r="C20" s="434" t="n"/>
      <c r="D20" s="434" t="n"/>
      <c r="E20" s="949">
        <f>COUNTIFS('REVIEW - Complete Role Mapping'!$AJ$2:$AJ$528,$C$3)-$E18</f>
        <v>0</v>
      </c>
      <c r="F20" s="949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Control - cost vs the ledger ($m), must be 0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46" t="n"/>
      <c r="C22" s="646" t="n"/>
      <c r="D22" s="646" t="n"/>
      <c r="E22" s="646" t="n"/>
      <c r="F22" s="646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TDD Group Functions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Mapping'!$B:$B,468)</f>
        <v>C K Lau</v>
      </c>
      <c r="C25" s="634" t="str">
        <f>INDEX('REVIEW - Complete Role Mapping'!$C:$C,468)</f>
        <v>Delivery Lead (Cloud &amp; Network)</v>
      </c>
      <c r="D25" s="612" t="str">
        <f>INDEX('REVIEW - Complete Role Mapping'!$AK:$AK,468)</f>
        <v>Filled</v>
      </c>
      <c r="E25" s="612" t="inlineStr">
        <is>
          <t>Filled</t>
        </is>
      </c>
      <c r="F25" s="634" t="str">
        <f>INDEX('REVIEW - Complete Role Mapping'!$AT:$AT,468)</f>
        <v>Cloud, Network &amp; Infra Ops</v>
      </c>
      <c r="G25" s="627">
        <f>INDEX('REVIEW - Complete Role Mapping'!$AA:$AA,468)</f>
        <v>249164.4</v>
      </c>
      <c r="H25" s="627">
        <f>$G25*IFERROR(INDEX(Lists!$AD:$AD,MATCH($E25,Lists!$AC:$AC,0)),1)</f>
        <v>249164.4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Mapping'!$B:$B,469)</f>
        <v>Fan Zhang</v>
      </c>
      <c r="C26" s="634" t="str">
        <f>INDEX('REVIEW - Complete Role Mapping'!$C:$C,469)</f>
        <v>Infrastructure Engineer</v>
      </c>
      <c r="D26" s="612" t="str">
        <f>INDEX('REVIEW - Complete Role Mapping'!$AK:$AK,469)</f>
        <v>Filled</v>
      </c>
      <c r="E26" s="612" t="inlineStr">
        <is>
          <t>Filled</t>
        </is>
      </c>
      <c r="F26" s="634" t="str">
        <f>INDEX('REVIEW - Complete Role Mapping'!$AT:$AT,469)</f>
        <v>Cloud, Network &amp; Infra Ops</v>
      </c>
      <c r="G26" s="627">
        <f>INDEX('REVIEW - Complete Role Mapping'!$AA:$AA,469)</f>
        <v>133812.3564</v>
      </c>
      <c r="H26" s="627">
        <f>$G26*IFERROR(INDEX(Lists!$AD:$AD,MATCH($E26,Lists!$AC:$AC,0)),1)</f>
        <v>133812.3564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Mapping'!$B:$B,470)</f>
        <v>Jason Satoso</v>
      </c>
      <c r="C27" s="646" t="str">
        <f>INDEX('REVIEW - Complete Role Mapping'!$C:$C,470)</f>
        <v>Cloud Operations Engineer</v>
      </c>
      <c r="D27" s="646" t="str">
        <f>INDEX('REVIEW - Complete Role Mapping'!$AK:$AK,470)</f>
        <v>Filled</v>
      </c>
      <c r="E27" s="646" t="inlineStr">
        <is>
          <t>Filled</t>
        </is>
      </c>
      <c r="F27" s="646" t="str">
        <f>INDEX('REVIEW - Complete Role Mapping'!$AT:$AT,470)</f>
        <v>Cloud, Network &amp; Infra Ops</v>
      </c>
      <c r="G27" s="627">
        <f>INDEX('REVIEW - Complete Role Mapping'!$AA:$AA,470)</f>
        <v>206190.75</v>
      </c>
      <c r="H27" s="627">
        <f>$G27*IFERROR(INDEX(Lists!$AD:$AD,MATCH($E27,Lists!$AC:$AC,0)),1)</f>
        <v>206190.75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Mapping'!$B:$B,471)</f>
        <v>John McCormack</v>
      </c>
      <c r="C28" s="634" t="str">
        <f>INDEX('REVIEW - Complete Role Mapping'!$C:$C,471)</f>
        <v>Manager - Infrastructure Operations</v>
      </c>
      <c r="D28" s="612" t="str">
        <f>INDEX('REVIEW - Complete Role Mapping'!$AK:$AK,471)</f>
        <v>Filled</v>
      </c>
      <c r="E28" s="612" t="inlineStr">
        <is>
          <t>Filled</t>
        </is>
      </c>
      <c r="F28" s="634" t="str">
        <f>INDEX('REVIEW - Complete Role Mapping'!$AT:$AT,471)</f>
        <v>Cloud, Network &amp; Infra Ops</v>
      </c>
      <c r="G28" s="627">
        <f>INDEX('REVIEW - Complete Role Mapping'!$AA:$AA,471)</f>
        <v>246494.4</v>
      </c>
      <c r="H28" s="627">
        <f>$G28*IFERROR(INDEX(Lists!$AD:$AD,MATCH($E28,Lists!$AC:$AC,0)),1)</f>
        <v>246494.4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Mapping'!$B:$B,472)</f>
        <v>Muhammad Abubaker</v>
      </c>
      <c r="C29" s="634" t="str">
        <f>INDEX('REVIEW - Complete Role Mapping'!$C:$C,472)</f>
        <v>Network Operations Engineer</v>
      </c>
      <c r="D29" s="612" t="str">
        <f>INDEX('REVIEW - Complete Role Mapping'!$AK:$AK,472)</f>
        <v>Filled</v>
      </c>
      <c r="E29" s="612" t="inlineStr">
        <is>
          <t>Filled</t>
        </is>
      </c>
      <c r="F29" s="634" t="str">
        <f>INDEX('REVIEW - Complete Role Mapping'!$AT:$AT,472)</f>
        <v>Cloud, Network &amp; Infra Ops</v>
      </c>
      <c r="G29" s="627">
        <f>INDEX('REVIEW - Complete Role Mapping'!$AA:$AA,472)</f>
        <v>217658.4</v>
      </c>
      <c r="H29" s="627">
        <f>$G29*IFERROR(INDEX(Lists!$AD:$AD,MATCH($E29,Lists!$AC:$AC,0)),1)</f>
        <v>217658.4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Mapping'!$B:$B,473)</f>
        <v>Ring fenced selection</v>
      </c>
      <c r="C30" s="634" t="str">
        <f>INDEX('REVIEW - Complete Role Mapping'!$C:$C,473)</f>
        <v>Cloud Solutions Architect</v>
      </c>
      <c r="D30" s="612" t="str">
        <f>INDEX('REVIEW - Complete Role Mapping'!$AK:$AK,473)</f>
        <v>Filled</v>
      </c>
      <c r="E30" s="612" t="inlineStr">
        <is>
          <t>Filled</t>
        </is>
      </c>
      <c r="F30" s="634" t="str">
        <f>INDEX('REVIEW - Complete Role Mapping'!$AT:$AT,473)</f>
        <v>Cloud, Network &amp; Infra Ops</v>
      </c>
      <c r="G30" s="627">
        <f>INDEX('REVIEW - Complete Role Mapping'!$AA:$AA,473)</f>
        <v>267000</v>
      </c>
      <c r="H30" s="627">
        <f>$G30*IFERROR(INDEX(Lists!$AD:$AD,MATCH($E30,Lists!$AC:$AC,0)),1)</f>
        <v>267000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Mapping'!$B:$B,474)</f>
        <v>Ring fenced selection</v>
      </c>
      <c r="C31" s="634" t="str">
        <f>INDEX('REVIEW - Complete Role Mapping'!$C:$C,474)</f>
        <v>Cloud Solutions Architect</v>
      </c>
      <c r="D31" s="612" t="str">
        <f>INDEX('REVIEW - Complete Role Mapping'!$AK:$AK,474)</f>
        <v>Filled</v>
      </c>
      <c r="E31" s="612" t="inlineStr">
        <is>
          <t>Filled</t>
        </is>
      </c>
      <c r="F31" s="634" t="str">
        <f>INDEX('REVIEW - Complete Role Mapping'!$AT:$AT,474)</f>
        <v>Cloud, Network &amp; Infra Ops</v>
      </c>
      <c r="G31" s="627">
        <f>INDEX('REVIEW - Complete Role Mapping'!$AA:$AA,474)</f>
        <v>267000</v>
      </c>
      <c r="H31" s="627">
        <f>$G31*IFERROR(INDEX(Lists!$AD:$AD,MATCH($E31,Lists!$AC:$AC,0)),1)</f>
        <v>267000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Mapping'!$B:$B,475)</f>
        <v>Ring fenced selection</v>
      </c>
      <c r="C32" s="634" t="str">
        <f>INDEX('REVIEW - Complete Role Mapping'!$C:$C,475)</f>
        <v>Cloud Solutions Architect</v>
      </c>
      <c r="D32" s="612" t="str">
        <f>INDEX('REVIEW - Complete Role Mapping'!$AK:$AK,475)</f>
        <v>Filled</v>
      </c>
      <c r="E32" s="647" t="inlineStr">
        <is>
          <t>Filled</t>
        </is>
      </c>
      <c r="F32" s="648" t="str">
        <f>INDEX('REVIEW - Complete Role Mapping'!$AT:$AT,475)</f>
        <v>Cloud, Network &amp; Infra Ops</v>
      </c>
      <c r="G32" s="627">
        <f>INDEX('REVIEW - Complete Role Mapping'!$AA:$AA,475)</f>
        <v>267000</v>
      </c>
      <c r="H32" s="627">
        <f>$G32*IFERROR(INDEX(Lists!$AD:$AD,MATCH($E32,Lists!$AC:$AC,0)),1)</f>
        <v>267000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Mapping'!$B:$B,476)</f>
        <v>Ring fenced selection</v>
      </c>
      <c r="C33" s="634" t="str">
        <f>INDEX('REVIEW - Complete Role Mapping'!$C:$C,476)</f>
        <v>Cloud Solutions Architect</v>
      </c>
      <c r="D33" s="612" t="str">
        <f>INDEX('REVIEW - Complete Role Mapping'!$AK:$AK,476)</f>
        <v>Filled</v>
      </c>
      <c r="E33" s="647" t="inlineStr">
        <is>
          <t>Filled</t>
        </is>
      </c>
      <c r="F33" s="648" t="str">
        <f>INDEX('REVIEW - Complete Role Mapping'!$AT:$AT,476)</f>
        <v>Cloud, Network &amp; Infra Ops</v>
      </c>
      <c r="G33" s="627">
        <f>INDEX('REVIEW - Complete Role Mapping'!$AA:$AA,476)</f>
        <v>267000</v>
      </c>
      <c r="H33" s="627">
        <f>$G33*IFERROR(INDEX(Lists!$AD:$AD,MATCH($E33,Lists!$AC:$AC,0)),1)</f>
        <v>267000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Mapping'!$B:$B,477)</f>
        <v>Satish Chowdhary</v>
      </c>
      <c r="C34" s="634" t="str">
        <f>INDEX('REVIEW - Complete Role Mapping'!$C:$C,477)</f>
        <v>Nework Architect</v>
      </c>
      <c r="D34" s="612" t="str">
        <f>INDEX('REVIEW - Complete Role Mapping'!$AK:$AK,477)</f>
        <v>Filled</v>
      </c>
      <c r="E34" s="647" t="inlineStr">
        <is>
          <t>Filled</t>
        </is>
      </c>
      <c r="F34" s="648" t="str">
        <f>INDEX('REVIEW - Complete Role Mapping'!$AT:$AT,477)</f>
        <v>Cloud, Network &amp; Infra Ops</v>
      </c>
      <c r="G34" s="627">
        <f>INDEX('REVIEW - Complete Role Mapping'!$AA:$AA,477)</f>
        <v>259123.5</v>
      </c>
      <c r="H34" s="627">
        <f>$G34*IFERROR(INDEX(Lists!$AD:$AD,MATCH($E34,Lists!$AC:$AC,0)),1)</f>
        <v>259123.5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Mapping'!$B:$B,478)</f>
        <v>Steven Yong</v>
      </c>
      <c r="C35" s="634" t="str">
        <f>INDEX('REVIEW - Complete Role Mapping'!$C:$C,478)</f>
        <v>Nework Architect</v>
      </c>
      <c r="D35" s="612" t="str">
        <f>INDEX('REVIEW - Complete Role Mapping'!$AK:$AK,478)</f>
        <v>Filled</v>
      </c>
      <c r="E35" s="647" t="inlineStr">
        <is>
          <t>Filled</t>
        </is>
      </c>
      <c r="F35" s="648" t="str">
        <f>INDEX('REVIEW - Complete Role Mapping'!$AT:$AT,478)</f>
        <v>Cloud, Network &amp; Infra Ops</v>
      </c>
      <c r="G35" s="627">
        <f>INDEX('REVIEW - Complete Role Mapping'!$AA:$AA,478)</f>
        <v>243423.9</v>
      </c>
      <c r="H35" s="627">
        <f>$G35*IFERROR(INDEX(Lists!$AD:$AD,MATCH($E35,Lists!$AC:$AC,0)),1)</f>
        <v>243423.9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Mapping'!$B:$B,513)</f>
        <v>Vacant</v>
      </c>
      <c r="C36" s="634" t="str">
        <f>INDEX('REVIEW - Complete Role Mapping'!$C:$C,513)</f>
        <v>Infrastructure Operations Lead</v>
      </c>
      <c r="D36" s="612" t="str">
        <f>INDEX('REVIEW - Complete Role Mapping'!$AK:$AK,513)</f>
        <v>Vacant</v>
      </c>
      <c r="E36" s="612" t="inlineStr">
        <is>
          <t>Hire</t>
        </is>
      </c>
      <c r="F36" s="634" t="str">
        <f>INDEX('REVIEW - Complete Role Mapping'!$AT:$AT,513)</f>
        <v>Cloud, Network &amp; Infra Ops</v>
      </c>
      <c r="G36" s="627">
        <f>INDEX('REVIEW - Complete Role Mapping'!$AA:$AA,513)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Mapping'!$B:$B,483)</f>
        <v>Archana Chetiwal</v>
      </c>
      <c r="C37" s="634" t="str">
        <f>INDEX('REVIEW - Complete Role Mapping'!$C:$C,483)</f>
        <v>Snr Engineer</v>
      </c>
      <c r="D37" s="612" t="str">
        <f>INDEX('REVIEW - Complete Role Mapping'!$AK:$AK,483)</f>
        <v>Filled</v>
      </c>
      <c r="E37" s="612" t="inlineStr">
        <is>
          <t>Filled</t>
        </is>
      </c>
      <c r="F37" s="634" t="str">
        <f>INDEX('REVIEW - Complete Role Mapping'!$AT:$AT,483)</f>
        <v>Integration &amp; Process Automation</v>
      </c>
      <c r="G37" s="627">
        <f>INDEX('REVIEW - Complete Role Mapping'!$AA:$AA,483)</f>
        <v>186900</v>
      </c>
      <c r="H37" s="627">
        <f>$G37*IFERROR(INDEX(Lists!$AD:$AD,MATCH($E37,Lists!$AC:$AC,0)),1)</f>
        <v>186900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Mapping'!$B:$B,484)</f>
        <v>Bala Thiruvadi</v>
      </c>
      <c r="C38" s="634" t="str">
        <f>INDEX('REVIEW - Complete Role Mapping'!$C:$C,484)</f>
        <v>Integration Architect - Boomi</v>
      </c>
      <c r="D38" s="612" t="str">
        <f>INDEX('REVIEW - Complete Role Mapping'!$AK:$AK,484)</f>
        <v>Filled</v>
      </c>
      <c r="E38" s="647" t="inlineStr">
        <is>
          <t>Filled</t>
        </is>
      </c>
      <c r="F38" s="648" t="str">
        <f>INDEX('REVIEW - Complete Role Mapping'!$AT:$AT,484)</f>
        <v>Integration &amp; Process Automation</v>
      </c>
      <c r="G38" s="627">
        <f>INDEX('REVIEW - Complete Role Mapping'!$AA:$AA,484)</f>
        <v>271902.12</v>
      </c>
      <c r="H38" s="627">
        <f>$G38*IFERROR(INDEX(Lists!$AD:$AD,MATCH($E38,Lists!$AC:$AC,0)),1)</f>
        <v>271902.12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Mapping'!$B:$B,485)</f>
        <v>Joel Krijnen</v>
      </c>
      <c r="C39" s="646" t="str">
        <f>INDEX('REVIEW - Complete Role Mapping'!$C:$C,485)</f>
        <v>Lead Engineer Software</v>
      </c>
      <c r="D39" s="646" t="str">
        <f>INDEX('REVIEW - Complete Role Mapping'!$AK:$AK,485)</f>
        <v>Filled</v>
      </c>
      <c r="E39" s="646" t="inlineStr">
        <is>
          <t>Filled</t>
        </is>
      </c>
      <c r="F39" s="646" t="str">
        <f>INDEX('REVIEW - Complete Role Mapping'!$AT:$AT,485)</f>
        <v>Integration &amp; Process Automation</v>
      </c>
      <c r="G39" s="627">
        <f>INDEX('REVIEW - Complete Role Mapping'!$AA:$AA,485)</f>
        <v>178115.628</v>
      </c>
      <c r="H39" s="627">
        <f>$G39*IFERROR(INDEX(Lists!$AD:$AD,MATCH($E39,Lists!$AC:$AC,0)),1)</f>
        <v>178115.628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Mapping'!$B:$B,486)</f>
        <v>Lisa Rademakers</v>
      </c>
      <c r="C40" s="634" t="str">
        <f>INDEX('REVIEW - Complete Role Mapping'!$C:$C,486)</f>
        <v>Delivery Lead (Integrations)</v>
      </c>
      <c r="D40" s="612" t="str">
        <f>INDEX('REVIEW - Complete Role Mapping'!$AK:$AK,486)</f>
        <v>Filled</v>
      </c>
      <c r="E40" s="612" t="inlineStr">
        <is>
          <t>Filled</t>
        </is>
      </c>
      <c r="F40" s="634" t="str">
        <f>INDEX('REVIEW - Complete Role Mapping'!$AT:$AT,486)</f>
        <v>Integration &amp; Process Automation</v>
      </c>
      <c r="G40" s="627">
        <f>INDEX('REVIEW - Complete Role Mapping'!$AA:$AA,486)</f>
        <v>202320.552</v>
      </c>
      <c r="H40" s="627">
        <f>$G40*IFERROR(INDEX(Lists!$AD:$AD,MATCH($E40,Lists!$AC:$AC,0)),1)</f>
        <v>202320.552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Mapping'!$B:$B,487)</f>
        <v>Michael Weng</v>
      </c>
      <c r="C41" s="646" t="str">
        <f>INDEX('REVIEW - Complete Role Mapping'!$C:$C,487)</f>
        <v>Solution Architect</v>
      </c>
      <c r="D41" s="646" t="str">
        <f>INDEX('REVIEW - Complete Role Mapping'!$AK:$AK,487)</f>
        <v>Filled</v>
      </c>
      <c r="E41" s="646" t="inlineStr">
        <is>
          <t>Filled</t>
        </is>
      </c>
      <c r="F41" s="646" t="str">
        <f>INDEX('REVIEW - Complete Role Mapping'!$AT:$AT,487)</f>
        <v>Integration &amp; Process Automation</v>
      </c>
      <c r="G41" s="627">
        <f>INDEX('REVIEW - Complete Role Mapping'!$AA:$AA,487)</f>
        <v>216227.916</v>
      </c>
      <c r="H41" s="627">
        <f>$G41*IFERROR(INDEX(Lists!$AD:$AD,MATCH($E41,Lists!$AC:$AC,0)),1)</f>
        <v>216227.916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Mapping'!$B:$B,491)</f>
        <v>Nidhi Aggarwal</v>
      </c>
      <c r="C42" s="634" t="str">
        <f>INDEX('REVIEW - Complete Role Mapping'!$C:$C,491)</f>
        <v>Snr Engineer - Boomi</v>
      </c>
      <c r="D42" s="612" t="str">
        <f>INDEX('REVIEW - Complete Role Mapping'!$AK:$AK,491)</f>
        <v>Filled</v>
      </c>
      <c r="E42" s="612" t="inlineStr">
        <is>
          <t>Filled</t>
        </is>
      </c>
      <c r="F42" s="634" t="str">
        <f>INDEX('REVIEW - Complete Role Mapping'!$AT:$AT,491)</f>
        <v>Integration &amp; Process Automation</v>
      </c>
      <c r="G42" s="627">
        <f>INDEX('REVIEW - Complete Role Mapping'!$AA:$AA,491)</f>
        <v>0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Mapping'!$B:$B,489)</f>
        <v>Noel Morris</v>
      </c>
      <c r="C43" s="634" t="str">
        <f>INDEX('REVIEW - Complete Role Mapping'!$C:$C,489)</f>
        <v>Snr Engineer</v>
      </c>
      <c r="D43" s="612" t="str">
        <f>INDEX('REVIEW - Complete Role Mapping'!$AK:$AK,489)</f>
        <v>Filled</v>
      </c>
      <c r="E43" s="612" t="inlineStr">
        <is>
          <t>Filled</t>
        </is>
      </c>
      <c r="F43" s="634" t="str">
        <f>INDEX('REVIEW - Complete Role Mapping'!$AT:$AT,489)</f>
        <v>Integration &amp; Process Automation</v>
      </c>
      <c r="G43" s="627">
        <f>INDEX('REVIEW - Complete Role Mapping'!$AA:$AA,489)</f>
        <v>139607.28</v>
      </c>
      <c r="H43" s="627">
        <f>$G43*IFERROR(INDEX(Lists!$AD:$AD,MATCH($E43,Lists!$AC:$AC,0)),1)</f>
        <v>139607.28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Mapping'!$B:$B,490)</f>
        <v>Thandava Krishna Kakarala</v>
      </c>
      <c r="C44" s="634" t="str">
        <f>INDEX('REVIEW - Complete Role Mapping'!$C:$C,490)</f>
        <v>Snr Engineer - Boomi</v>
      </c>
      <c r="D44" s="612" t="str">
        <f>INDEX('REVIEW - Complete Role Mapping'!$AK:$AK,490)</f>
        <v>Filled</v>
      </c>
      <c r="E44" s="612" t="inlineStr">
        <is>
          <t>Filled</t>
        </is>
      </c>
      <c r="F44" s="634" t="str">
        <f>INDEX('REVIEW - Complete Role Mapping'!$AT:$AT,490)</f>
        <v>Integration &amp; Process Automation</v>
      </c>
      <c r="G44" s="627">
        <f>INDEX('REVIEW - Complete Role Mapping'!$AA:$AA,490)</f>
        <v>186900</v>
      </c>
      <c r="H44" s="627">
        <f>$G44*IFERROR(INDEX(Lists!$AD:$AD,MATCH($E44,Lists!$AC:$AC,0)),1)</f>
        <v>186900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Mapping'!$B:$B,514)</f>
        <v>Vacant</v>
      </c>
      <c r="C45" s="634" t="str">
        <f>INDEX('REVIEW - Complete Role Mapping'!$C:$C,514)</f>
        <v>RPA Lead</v>
      </c>
      <c r="D45" s="612" t="str">
        <f>INDEX('REVIEW - Complete Role Mapping'!$AK:$AK,514)</f>
        <v>Vacant</v>
      </c>
      <c r="E45" s="612" t="inlineStr">
        <is>
          <t>Hire</t>
        </is>
      </c>
      <c r="F45" s="634" t="str">
        <f>INDEX('REVIEW - Complete Role Mapping'!$AT:$AT,514)</f>
        <v>Integration &amp; Process Automation</v>
      </c>
      <c r="G45" s="627">
        <f>INDEX('REVIEW - Complete Role Mapping'!$AA:$AA,514)</f>
        <v>231689.25</v>
      </c>
      <c r="H45" s="627">
        <f>$G45*IFERROR(INDEX(Lists!$AD:$AD,MATCH($E45,Lists!$AC:$AC,0)),1)</f>
        <v>231689.25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Mapping'!$B:$B,516)</f>
        <v>Vacant</v>
      </c>
      <c r="C46" s="634" t="str">
        <f>INDEX('REVIEW - Complete Role Mapping'!$C:$C,516)</f>
        <v>Business Analyst (Integrations)</v>
      </c>
      <c r="D46" s="612" t="str">
        <f>INDEX('REVIEW - Complete Role Mapping'!$AK:$AK,516)</f>
        <v>Vacant</v>
      </c>
      <c r="E46" s="647" t="inlineStr">
        <is>
          <t>Hire</t>
        </is>
      </c>
      <c r="F46" s="648" t="str">
        <f>INDEX('REVIEW - Complete Role Mapping'!$AT:$AT,516)</f>
        <v>Integration &amp; Process Automation</v>
      </c>
      <c r="G46" s="627">
        <f>INDEX('REVIEW - Complete Role Mapping'!$AA:$AA,516)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Mapping'!$B:$B,479)</f>
        <v>Lucas Wang</v>
      </c>
      <c r="C47" s="634" t="str">
        <f>INDEX('REVIEW - Complete Role Mapping'!$C:$C,479)</f>
        <v>Senior Engineer (Automation Test)</v>
      </c>
      <c r="D47" s="612" t="str">
        <f>INDEX('REVIEW - Complete Role Mapping'!$AK:$AK,479)</f>
        <v>Filled</v>
      </c>
      <c r="E47" s="647" t="inlineStr">
        <is>
          <t>Filled</t>
        </is>
      </c>
      <c r="F47" s="648" t="str">
        <f>INDEX('REVIEW - Complete Role Mapping'!$AT:$AT,479)</f>
        <v>DevOps &amp; QE</v>
      </c>
      <c r="G47" s="627">
        <f>INDEX('REVIEW - Complete Role Mapping'!$AA:$AA,479)</f>
        <v>194522.85</v>
      </c>
      <c r="H47" s="627">
        <f>$G47*IFERROR(INDEX(Lists!$AD:$AD,MATCH($E47,Lists!$AC:$AC,0)),1)</f>
        <v>194522.85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Mapping'!$B:$B,480)</f>
        <v>Luke Hamer</v>
      </c>
      <c r="C48" s="634" t="str">
        <f>INDEX('REVIEW - Complete Role Mapping'!$C:$C,480)</f>
        <v>Lead Engineer - Devops</v>
      </c>
      <c r="D48" s="612" t="str">
        <f>INDEX('REVIEW - Complete Role Mapping'!$AK:$AK,480)</f>
        <v>Filled</v>
      </c>
      <c r="E48" s="647" t="inlineStr">
        <is>
          <t>Filled</t>
        </is>
      </c>
      <c r="F48" s="648" t="str">
        <f>INDEX('REVIEW - Complete Role Mapping'!$AT:$AT,480)</f>
        <v>DevOps &amp; QE</v>
      </c>
      <c r="G48" s="627">
        <f>INDEX('REVIEW - Complete Role Mapping'!$AA:$AA,480)</f>
        <v>183060.72</v>
      </c>
      <c r="H48" s="627">
        <f>$G48*IFERROR(INDEX(Lists!$AD:$AD,MATCH($E48,Lists!$AC:$AC,0)),1)</f>
        <v>183060.72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Mapping'!$B:$B,481)</f>
        <v>Mike Lealamanu</v>
      </c>
      <c r="C49" s="634" t="str">
        <f>INDEX('REVIEW - Complete Role Mapping'!$C:$C,481)</f>
        <v>Quality Assurance</v>
      </c>
      <c r="D49" s="612" t="str">
        <f>INDEX('REVIEW - Complete Role Mapping'!$AK:$AK,481)</f>
        <v>Filled</v>
      </c>
      <c r="E49" s="647" t="inlineStr">
        <is>
          <t>Filled</t>
        </is>
      </c>
      <c r="F49" s="648" t="str">
        <f>INDEX('REVIEW - Complete Role Mapping'!$AT:$AT,481)</f>
        <v>DevOps &amp; QE</v>
      </c>
      <c r="G49" s="627">
        <f>INDEX('REVIEW - Complete Role Mapping'!$AA:$AA,481)</f>
        <v>133983.228</v>
      </c>
      <c r="H49" s="627">
        <f>$G49*IFERROR(INDEX(Lists!$AD:$AD,MATCH($E49,Lists!$AC:$AC,0)),1)</f>
        <v>133983.228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Mapping'!$B:$B,482)</f>
        <v>Sunny Arya</v>
      </c>
      <c r="C50" s="646" t="str">
        <f>INDEX('REVIEW - Complete Role Mapping'!$C:$C,482)</f>
        <v>Lead Engineer, Devops</v>
      </c>
      <c r="D50" s="646" t="str">
        <f>INDEX('REVIEW - Complete Role Mapping'!$AK:$AK,482)</f>
        <v>Filled</v>
      </c>
      <c r="E50" s="646" t="inlineStr">
        <is>
          <t>Filled</t>
        </is>
      </c>
      <c r="F50" s="646" t="str">
        <f>INDEX('REVIEW - Complete Role Mapping'!$AT:$AT,482)</f>
        <v>DevOps &amp; QE</v>
      </c>
      <c r="G50" s="627">
        <f>INDEX('REVIEW - Complete Role Mapping'!$AA:$AA,482)</f>
        <v>200940</v>
      </c>
      <c r="H50" s="627">
        <f>$G50*IFERROR(INDEX(Lists!$AD:$AD,MATCH($E50,Lists!$AC:$AC,0)),1)</f>
        <v>200940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Mapping'!$B:$B,515)</f>
        <v>Vacant</v>
      </c>
      <c r="C51" s="634" t="str">
        <f>INDEX('REVIEW - Complete Role Mapping'!$C:$C,515)</f>
        <v>Senior Engineer (Automation Test)</v>
      </c>
      <c r="D51" s="612" t="str">
        <f>INDEX('REVIEW - Complete Role Mapping'!$AK:$AK,515)</f>
        <v>Vacant</v>
      </c>
      <c r="E51" s="612" t="inlineStr">
        <is>
          <t>Hire</t>
        </is>
      </c>
      <c r="F51" s="634" t="str">
        <f>INDEX('REVIEW - Complete Role Mapping'!$AT:$AT,515)</f>
        <v>DevOps &amp; QE</v>
      </c>
      <c r="G51" s="627">
        <f>INDEX('REVIEW - Complete Role Mapping'!$AA:$AA,515)</f>
        <v>202853.25</v>
      </c>
      <c r="H51" s="627">
        <f>$G51*IFERROR(INDEX(Lists!$AD:$AD,MATCH($E51,Lists!$AC:$AC,0)),1)</f>
        <v>202853.25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Mapping'!$B:$B,520)</f>
        <v>Vacant</v>
      </c>
      <c r="C52" s="634" t="str">
        <f>INDEX('REVIEW - Complete Role Mapping'!$C:$C,520)</f>
        <v>Environments and Test Data Manager</v>
      </c>
      <c r="D52" s="612" t="str">
        <f>INDEX('REVIEW - Complete Role Mapping'!$AK:$AK,520)</f>
        <v>Vacant</v>
      </c>
      <c r="E52" s="612" t="inlineStr">
        <is>
          <t>Hire</t>
        </is>
      </c>
      <c r="F52" s="634" t="str">
        <f>INDEX('REVIEW - Complete Role Mapping'!$AT:$AT,520)</f>
        <v>DevOps &amp; QE</v>
      </c>
      <c r="G52" s="627">
        <f>INDEX('REVIEW - Complete Role Mapping'!$AA:$AA,520)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Mapping'!$B:$B,521)</f>
        <v>Vacant</v>
      </c>
      <c r="C53" s="634" t="str">
        <f>INDEX('REVIEW - Complete Role Mapping'!$C:$C,521)</f>
        <v>Lead Engineer (Automation Test)</v>
      </c>
      <c r="D53" s="612" t="str">
        <f>INDEX('REVIEW - Complete Role Mapping'!$AK:$AK,521)</f>
        <v>Vacant</v>
      </c>
      <c r="E53" s="612" t="inlineStr">
        <is>
          <t>Hire</t>
        </is>
      </c>
      <c r="F53" s="634" t="str">
        <f>INDEX('REVIEW - Complete Role Mapping'!$AT:$AT,521)</f>
        <v>DevOps &amp; QE</v>
      </c>
      <c r="G53" s="627">
        <f>INDEX('REVIEW - Complete Role Mapping'!$AA:$AA,521)</f>
        <v>231689.25</v>
      </c>
      <c r="H53" s="627">
        <f>$G53*IFERROR(INDEX(Lists!$AD:$AD,MATCH($E53,Lists!$AC:$AC,0)),1)</f>
        <v>231689.25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Mapping'!$B:$B,522)</f>
        <v>Vacant</v>
      </c>
      <c r="C54" s="634" t="str">
        <f>INDEX('REVIEW - Complete Role Mapping'!$C:$C,522)</f>
        <v>Lead Engineer Software</v>
      </c>
      <c r="D54" s="612" t="str">
        <f>INDEX('REVIEW - Complete Role Mapping'!$AK:$AK,522)</f>
        <v>Vacant</v>
      </c>
      <c r="E54" s="612" t="inlineStr">
        <is>
          <t>Hire</t>
        </is>
      </c>
      <c r="F54" s="634" t="str">
        <f>INDEX('REVIEW - Complete Role Mapping'!$AT:$AT,522)</f>
        <v>DevOps &amp; QE</v>
      </c>
      <c r="G54" s="627">
        <f>INDEX('REVIEW - Complete Role Mapping'!$AA:$AA,522)</f>
        <v>231689.25</v>
      </c>
      <c r="H54" s="627">
        <f>$G54*IFERROR(INDEX(Lists!$AD:$AD,MATCH($E54,Lists!$AC:$AC,0)),1)</f>
        <v>231689.25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Mapping'!$B:$B,492)</f>
        <v>Billie Connolly</v>
      </c>
      <c r="C55" s="634" t="str">
        <f>INDEX('REVIEW - Complete Role Mapping'!$C:$C,492)</f>
        <v>Engineer - Modern Workplaces</v>
      </c>
      <c r="D55" s="612" t="str">
        <f>INDEX('REVIEW - Complete Role Mapping'!$AK:$AK,492)</f>
        <v>Filled</v>
      </c>
      <c r="E55" s="612" t="inlineStr">
        <is>
          <t>Filled</t>
        </is>
      </c>
      <c r="F55" s="634" t="str">
        <f>INDEX('REVIEW - Complete Role Mapping'!$AT:$AT,492)</f>
        <v>Workplace &amp; Enterprise Tooling</v>
      </c>
      <c r="G55" s="627">
        <f>INDEX('REVIEW - Complete Role Mapping'!$AA:$AA,492)</f>
        <v>135906.948</v>
      </c>
      <c r="H55" s="627">
        <f>$G55*IFERROR(INDEX(Lists!$AD:$AD,MATCH($E55,Lists!$AC:$AC,0)),1)</f>
        <v>135906.948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Mapping'!$B:$B,493)</f>
        <v>Ken Thomson</v>
      </c>
      <c r="C56" s="634" t="str">
        <f>INDEX('REVIEW - Complete Role Mapping'!$C:$C,493)</f>
        <v>Servicenow Platform Specialist</v>
      </c>
      <c r="D56" s="612" t="str">
        <f>INDEX('REVIEW - Complete Role Mapping'!$AK:$AK,493)</f>
        <v>Filled</v>
      </c>
      <c r="E56" s="612" t="inlineStr">
        <is>
          <t>Filled</t>
        </is>
      </c>
      <c r="F56" s="634" t="str">
        <f>INDEX('REVIEW - Complete Role Mapping'!$AT:$AT,493)</f>
        <v>Workplace &amp; Enterprise Tooling</v>
      </c>
      <c r="G56" s="627">
        <f>INDEX('REVIEW - Complete Role Mapping'!$AA:$AA,493)</f>
        <v>220875.75</v>
      </c>
      <c r="H56" s="627">
        <f>$G56*IFERROR(INDEX(Lists!$AD:$AD,MATCH($E56,Lists!$AC:$AC,0)),1)</f>
        <v>220875.75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Mapping'!$B:$B,494)</f>
        <v>Nicholas McKay</v>
      </c>
      <c r="C57" s="634" t="str">
        <f>INDEX('REVIEW - Complete Role Mapping'!$C:$C,494)</f>
        <v>Workplace Tooling Specialist</v>
      </c>
      <c r="D57" s="612" t="str">
        <f>INDEX('REVIEW - Complete Role Mapping'!$AK:$AK,494)</f>
        <v>Filled</v>
      </c>
      <c r="E57" s="647" t="inlineStr">
        <is>
          <t>Filled</t>
        </is>
      </c>
      <c r="F57" s="648" t="str">
        <f>INDEX('REVIEW - Complete Role Mapping'!$AT:$AT,494)</f>
        <v>Workplace &amp; Enterprise Tooling</v>
      </c>
      <c r="G57" s="627">
        <f>INDEX('REVIEW - Complete Role Mapping'!$AA:$AA,494)</f>
        <v>212438.55</v>
      </c>
      <c r="H57" s="627">
        <f>$G57*IFERROR(INDEX(Lists!$AD:$AD,MATCH($E57,Lists!$AC:$AC,0)),1)</f>
        <v>212438.55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Mapping'!$B:$B,527)</f>
        <v>Rob Struthers</v>
      </c>
      <c r="C58" s="634" t="str">
        <f>INDEX('REVIEW - Complete Role Mapping'!$C:$C,527)</f>
        <v>Engineer - Modern Workplaces</v>
      </c>
      <c r="D58" s="612" t="str">
        <f>INDEX('REVIEW - Complete Role Mapping'!$AK:$AK,527)</f>
        <v>Filled</v>
      </c>
      <c r="E58" s="647" t="inlineStr">
        <is>
          <t>Filled</t>
        </is>
      </c>
      <c r="F58" s="648" t="str">
        <f>INDEX('REVIEW - Complete Role Mapping'!$AT:$AT,527)</f>
        <v>Workplace &amp; Enterprise Tooling</v>
      </c>
      <c r="G58" s="627">
        <f>INDEX('REVIEW - Complete Role Mapping'!$AA:$AA,527)</f>
        <v>143669.724</v>
      </c>
      <c r="H58" s="627">
        <f>$G58*IFERROR(INDEX(Lists!$AD:$AD,MATCH($E58,Lists!$AC:$AC,0)),1)</f>
        <v>143669.724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Mapping'!$B:$B,517)</f>
        <v>Vacant</v>
      </c>
      <c r="C59" s="646" t="str">
        <f>INDEX('REVIEW - Complete Role Mapping'!$C:$C,517)</f>
        <v>Business Analyst (Workplace &amp; Enterprise Tooling)</v>
      </c>
      <c r="D59" s="646" t="str">
        <f>INDEX('REVIEW - Complete Role Mapping'!$AK:$AK,517)</f>
        <v>Vacant</v>
      </c>
      <c r="E59" s="646" t="inlineStr">
        <is>
          <t>Hire</t>
        </is>
      </c>
      <c r="F59" s="646" t="str">
        <f>INDEX('REVIEW - Complete Role Mapping'!$AT:$AT,517)</f>
        <v>Workplace &amp; Enterprise Tooling</v>
      </c>
      <c r="G59" s="627">
        <f>INDEX('REVIEW - Complete Role Mapping'!$AA:$AA,517)</f>
        <v>201585</v>
      </c>
      <c r="H59" s="627">
        <f>$G59*IFERROR(INDEX(Lists!$AD:$AD,MATCH($E59,Lists!$AC:$AC,0)),1)</f>
        <v>201585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Mapping'!$B:$B,519)</f>
        <v>Vacant</v>
      </c>
      <c r="C60" s="634" t="str">
        <f>INDEX('REVIEW - Complete Role Mapping'!$C:$C,519)</f>
        <v>Enterprise Systems Specialist</v>
      </c>
      <c r="D60" s="612" t="str">
        <f>INDEX('REVIEW - Complete Role Mapping'!$AK:$AK,519)</f>
        <v>Vacant</v>
      </c>
      <c r="E60" s="612" t="inlineStr">
        <is>
          <t>Hire</t>
        </is>
      </c>
      <c r="F60" s="634" t="str">
        <f>INDEX('REVIEW - Complete Role Mapping'!$AT:$AT,519)</f>
        <v>Workplace &amp; Enterprise Tooling</v>
      </c>
      <c r="G60" s="627">
        <f>INDEX('REVIEW - Complete Role Mapping'!$AA:$AA,519)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Mapping'!$B:$B,449)</f>
        <v>Anjali Patra</v>
      </c>
      <c r="C61" s="634" t="str">
        <f>INDEX('REVIEW - Complete Role Mapping'!$C:$C,449)</f>
        <v>Delivery Lead - EGI</v>
      </c>
      <c r="D61" s="612" t="str">
        <f>INDEX('REVIEW - Complete Role Mapping'!$AK:$AK,449)</f>
        <v>Filled</v>
      </c>
      <c r="E61" s="612" t="inlineStr">
        <is>
          <t>Filled</t>
        </is>
      </c>
      <c r="F61" s="634" t="str">
        <f>INDEX('REVIEW - Complete Role Mapping'!$AT:$AT,449)</f>
        <v>EGI TDD</v>
      </c>
      <c r="G61" s="627">
        <f>INDEX('REVIEW - Complete Role Mapping'!$AA:$AA,449)</f>
        <v>210996.75</v>
      </c>
      <c r="H61" s="627">
        <f>$G61*IFERROR(INDEX(Lists!$AD:$AD,MATCH($E61,Lists!$AC:$AC,0)),1)</f>
        <v>210996.75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Mapping'!$B:$B,450)</f>
        <v>Arun Tahlan</v>
      </c>
      <c r="C62" s="634" t="str">
        <f>INDEX('REVIEW - Complete Role Mapping'!$C:$C,450)</f>
        <v>Integration Architect (C) - Boomi</v>
      </c>
      <c r="D62" s="612" t="str">
        <f>INDEX('REVIEW - Complete Role Mapping'!$AK:$AK,450)</f>
        <v>Filled</v>
      </c>
      <c r="E62" s="612" t="inlineStr">
        <is>
          <t>Filled</t>
        </is>
      </c>
      <c r="F62" s="634" t="str">
        <f>INDEX('REVIEW - Complete Role Mapping'!$AT:$AT,450)</f>
        <v>EGI TDD</v>
      </c>
      <c r="G62" s="627">
        <f>INDEX('REVIEW - Complete Role Mapping'!$AA:$AA,450)</f>
        <v>348096</v>
      </c>
      <c r="H62" s="627">
        <f>$G62*IFERROR(INDEX(Lists!$AD:$AD,MATCH($E62,Lists!$AC:$AC,0)),1)</f>
        <v>348096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Mapping'!$B:$B,452)</f>
        <v>Kris Thornley</v>
      </c>
      <c r="C63" s="634" t="str">
        <f>INDEX('REVIEW - Complete Role Mapping'!$C:$C,452)</f>
        <v>Integration Architect (C)</v>
      </c>
      <c r="D63" s="612" t="str">
        <f>INDEX('REVIEW - Complete Role Mapping'!$AK:$AK,452)</f>
        <v>Filled</v>
      </c>
      <c r="E63" s="647" t="inlineStr">
        <is>
          <t>Filled</t>
        </is>
      </c>
      <c r="F63" s="648" t="str">
        <f>INDEX('REVIEW - Complete Role Mapping'!$AT:$AT,452)</f>
        <v>EGI TDD</v>
      </c>
      <c r="G63" s="627">
        <f>INDEX('REVIEW - Complete Role Mapping'!$AA:$AA,452)</f>
        <v>266400</v>
      </c>
      <c r="H63" s="627">
        <f>$G63*IFERROR(INDEX(Lists!$AD:$AD,MATCH($E63,Lists!$AC:$AC,0)),1)</f>
        <v>266400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Mapping'!$B:$B,451)</f>
        <v>Shobhit Mittal</v>
      </c>
      <c r="C64" s="634" t="str">
        <f>INDEX('REVIEW - Complete Role Mapping'!$C:$C,451)</f>
        <v>Lead Engineer - Automation Test</v>
      </c>
      <c r="D64" s="612" t="str">
        <f>INDEX('REVIEW - Complete Role Mapping'!$AK:$AK,451)</f>
        <v>Filled</v>
      </c>
      <c r="E64" s="647" t="inlineStr">
        <is>
          <t>Filled</t>
        </is>
      </c>
      <c r="F64" s="648" t="str">
        <f>INDEX('REVIEW - Complete Role Mapping'!$AT:$AT,451)</f>
        <v>EGI TDD</v>
      </c>
      <c r="G64" s="627">
        <f>INDEX('REVIEW - Complete Role Mapping'!$AA:$AA,451)</f>
        <v>199355.76</v>
      </c>
      <c r="H64" s="627">
        <f>$G64*IFERROR(INDEX(Lists!$AD:$AD,MATCH($E64,Lists!$AC:$AC,0)),1)</f>
        <v>199355.76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Mapping'!$B:$B,512)</f>
        <v>Vacant</v>
      </c>
      <c r="C65" s="634" t="str">
        <f>INDEX('REVIEW - Complete Role Mapping'!$C:$C,512)</f>
        <v>Head of Technology - TDD &amp; Engineering Capability Lead</v>
      </c>
      <c r="D65" s="612" t="str">
        <f>INDEX('REVIEW - Complete Role Mapping'!$AK:$AK,512)</f>
        <v>Vacant</v>
      </c>
      <c r="E65" s="612" t="inlineStr">
        <is>
          <t>Hire</t>
        </is>
      </c>
      <c r="F65" s="634" t="str">
        <f>INDEX('REVIEW - Complete Role Mapping'!$AT:$AT,512)</f>
        <v>Head of Technology</v>
      </c>
      <c r="G65" s="627">
        <f>INDEX('REVIEW - Complete Role Mapping'!$AA:$AA,512)</f>
        <v>333020.25</v>
      </c>
      <c r="H65" s="627">
        <f>$G65*IFERROR(INDEX(Lists!$AD:$AD,MATCH($E65,Lists!$AC:$AC,0)),1)</f>
        <v>333020.25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Mapping'!$B:$B,518)</f>
        <v>Vacant</v>
      </c>
      <c r="C66" s="646" t="str">
        <f>INDEX('REVIEW - Complete Role Mapping'!$C:$C,518)</f>
        <v>Delivery Manager</v>
      </c>
      <c r="D66" s="646" t="str">
        <f>INDEX('REVIEW - Complete Role Mapping'!$AK:$AK,518)</f>
        <v>Vacant</v>
      </c>
      <c r="E66" s="646" t="inlineStr">
        <is>
          <t>Hire</t>
        </is>
      </c>
      <c r="F66" s="646" t="str">
        <f>INDEX('REVIEW - Complete Role Mapping'!$AT:$AT,518)</f>
        <v>Delivery Manager</v>
      </c>
      <c r="G66" s="627">
        <f>INDEX('REVIEW - Complete Role Mapping'!$AA:$AA,518)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</row>
    <row r="67">
      <c r="B67" s="634" t="str">
        <f>INDEX('REVIEW - Complete Role Mapping'!$B:$B,488)</f>
        <v>Mike Seales</v>
      </c>
      <c r="C67" s="634" t="str">
        <f>INDEX('REVIEW - Complete Role Mapping'!$C:$C,488)</f>
        <v>Technology Manager, Integration &amp; Process Automation</v>
      </c>
      <c r="D67" s="612" t="str">
        <f>INDEX('REVIEW - Complete Role Mapping'!$AK:$AK,488)</f>
        <v>Filled</v>
      </c>
      <c r="E67" s="612" t="inlineStr">
        <is>
          <t>Filled</t>
        </is>
      </c>
      <c r="F67" s="634" t="str">
        <f>INDEX('REVIEW - Complete Role Mapping'!$AT:$AT,488)</f>
        <v>Technology Manager</v>
      </c>
      <c r="G67" s="627">
        <f>INDEX('REVIEW - Complete Role Mapping'!$AA:$AA,488)</f>
        <v>229230</v>
      </c>
      <c r="H67" s="627">
        <f>$G67*IFERROR(INDEX(Lists!$AD:$AD,MATCH($E67,Lists!$AC:$AC,0)),1)</f>
        <v>229230</v>
      </c>
      <c r="I67" s="949" t="n"/>
      <c r="J67" s="949" t="n"/>
      <c r="K67" s="949" t="n"/>
      <c r="L67" s="949" t="n"/>
      <c r="M67" s="949" t="n"/>
      <c r="N67" s="949" t="n"/>
    </row>
    <row r="68">
      <c r="B68" s="646" t="str">
        <f>INDEX('REVIEW - Complete Role Mapping'!$B:$B,523)</f>
        <v>Vacant</v>
      </c>
      <c r="C68" s="646" t="str">
        <f>INDEX('REVIEW - Complete Role Mapping'!$C:$C,523)</f>
        <v>Technology Manager – Cloud, Network and Infrastructure Operations</v>
      </c>
      <c r="D68" s="646" t="str">
        <f>INDEX('REVIEW - Complete Role Mapping'!$AK:$AK,523)</f>
        <v>Vacant</v>
      </c>
      <c r="E68" s="646" t="inlineStr">
        <is>
          <t>Hire</t>
        </is>
      </c>
      <c r="F68" s="646" t="str">
        <f>INDEX('REVIEW - Complete Role Mapping'!$AT:$AT,523)</f>
        <v>Technology Manager</v>
      </c>
      <c r="G68" s="1267">
        <f>INDEX('REVIEW - Complete Role Mapping'!$AA:$AA,523)</f>
        <v>275810.25</v>
      </c>
      <c r="H68" s="1267">
        <f>$G68*IFERROR(INDEX(Lists!$AD:$AD,MATCH($E68,Lists!$AC:$AC,0)),1)</f>
        <v>275810.25</v>
      </c>
      <c r="I68" s="442" t="n"/>
      <c r="J68" s="442" t="n"/>
      <c r="K68" s="442" t="n"/>
      <c r="L68" s="442" t="n"/>
      <c r="M68" s="442" t="n"/>
      <c r="N68" s="442" t="n"/>
    </row>
    <row r="69">
      <c r="B69" s="634" t="str">
        <f>INDEX('REVIEW - Complete Role Mapping'!$B:$B,524)</f>
        <v>Vacant</v>
      </c>
      <c r="C69" s="634" t="str">
        <f>INDEX('REVIEW - Complete Role Mapping'!$C:$C,524)</f>
        <v>Technology Manager – DevOps and Quality Engineering</v>
      </c>
      <c r="D69" s="612" t="str">
        <f>INDEX('REVIEW - Complete Role Mapping'!$AK:$AK,524)</f>
        <v>Vacant</v>
      </c>
      <c r="E69" s="612" t="inlineStr">
        <is>
          <t>Hire</t>
        </is>
      </c>
      <c r="F69" s="634" t="str">
        <f>INDEX('REVIEW - Complete Role Mapping'!$AT:$AT,524)</f>
        <v>Technology Manager</v>
      </c>
      <c r="G69" s="1267">
        <f>INDEX('REVIEW - Complete Role Mapping'!$AA:$AA,524)</f>
        <v>275810.25</v>
      </c>
      <c r="H69" s="1267">
        <f>$G69*IFERROR(INDEX(Lists!$AD:$AD,MATCH($E69,Lists!$AC:$AC,0)),1)</f>
        <v>275810.25</v>
      </c>
      <c r="I69" s="442" t="n"/>
      <c r="J69" s="442" t="n"/>
      <c r="K69" s="442" t="n"/>
      <c r="L69" s="442" t="n"/>
      <c r="M69" s="442" t="n"/>
      <c r="N69" s="442" t="n"/>
    </row>
    <row r="70">
      <c r="B70" s="634" t="str">
        <f>INDEX('REVIEW - Complete Role Mapping'!$B:$B,525)</f>
        <v>Vacant</v>
      </c>
      <c r="C70" s="634" t="str">
        <f>INDEX('REVIEW - Complete Role Mapping'!$C:$C,525)</f>
        <v>Technology Manager, Enterprise Tooling</v>
      </c>
      <c r="D70" s="612" t="str">
        <f>INDEX('REVIEW - Complete Role Mapping'!$AK:$AK,525)</f>
        <v>Vacant</v>
      </c>
      <c r="E70" s="612" t="inlineStr">
        <is>
          <t>Hire</t>
        </is>
      </c>
      <c r="F70" s="634" t="str">
        <f>INDEX('REVIEW - Complete Role Mapping'!$AT:$AT,525)</f>
        <v>Technology Manager</v>
      </c>
      <c r="G70" s="1267">
        <f>INDEX('REVIEW - Complete Role Mapping'!$AA:$AA,525)</f>
        <v>275810.25</v>
      </c>
      <c r="H70" s="1267">
        <f>$G70*IFERROR(INDEX(Lists!$AD:$AD,MATCH($E70,Lists!$AC:$AC,0)),1)</f>
        <v>275810.25</v>
      </c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20:D65">
    <cfRule type="cellIs" priority="4" operator="equal" dxfId="48">
      <formula>"Vacant"</formula>
    </cfRule>
  </conditionalFormatting>
  <conditionalFormatting sqref="I6:I11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1">
    <cfRule type="expression" priority="7" dxfId="48">
      <formula>AND(ISNUMBER($F6),$F6&gt;0)</formula>
    </cfRule>
  </conditionalFormatting>
  <dataValidations count="1">
    <dataValidation sqref="E25:E7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2:T40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P&amp;C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P&amp;C</t>
        </is>
      </c>
      <c r="C6" s="635" t="str">
        <f>IFERROR(INDEX('1.5 P&amp;C'!$C$23:$C$33,MATCH($S6,'1.5 P&amp;C'!$B$23:$B$33,0)),"No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COUNTIFS($F$23:$F$40,$B6)</f>
        <v>8</v>
      </c>
      <c r="F6" s="1250">
        <f>IFERROR($E6-$D6,"-")</f>
        <v>-1</v>
      </c>
      <c r="G6" s="1250">
        <f>COUNTIFS($F$23:$F$40,$B6,$D$23:$D$40,"Vacant")</f>
        <v>3</v>
      </c>
      <c r="H6" s="1250">
        <f>COUNTIFS($F$23:$F$40,$B6,$D$23:$D$40,"Vacant",$E$23:$E$40,"Hire")+COUNTIFS($F$23:$F$40,$B6,$D$23:$D$40,"Vacant",$E$23:$E$40,"Offshore")</f>
        <v>3</v>
      </c>
      <c r="I6" s="1250">
        <f>COUNTIFS($F$23:$F$40,$B6,$D$23:$D$40,"Vacant",$E$23:$E$40,"Hold")</f>
        <v>0</v>
      </c>
      <c r="J6" s="1251">
        <f>$E6-COUNTIFS($F$23:$F$40,$B6,$E$23:$E$40,"Hold")</f>
        <v>8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IFERROR(IF(INDEX('1.5 P&amp;C'!$E$23:$E$33,MATCH($S6,'1.5 P&amp;C'!$B$23:$B$33,0))="Offshore",INDEX('0.3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1.76551793</v>
      </c>
      <c r="N6" s="1252">
        <f>IFERROR($M6-$L6,"-")</f>
        <v>-0.33448207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Mapping'!$AK$2:$AK$528,"Filled")+SUMIFS($H$23:$H$40,$F$23:$F$40,$B6))/1000000</f>
        <v>2.95483961</v>
      </c>
      <c r="P6" s="1254">
        <f>$O6-$M6</f>
        <v>1.18932168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0.57619625</v>
      </c>
      <c r="R6" t="str">
        <f>IFERROR(IF(INDEX('1.5 P&amp;C'!$D$23:$D$33,MATCH($S6,'1.5 P&amp;C'!$B$23:$B$33,0))="","-",INDEX('1.5 P&amp;C'!$D$23:$D$33,MATCH($S6,'1.5 P&amp;C'!$B$23:$B$33,0))),"-")</f>
        <v>M</v>
      </c>
      <c r="S6" t="str">
        <f>IFERROR(INDEX(Lists!$AA:$AA,MATCH($B6,Lists!$Z:$Z,0)),$B6)</f>
        <v>P&amp;C</v>
      </c>
    </row>
    <row r="7">
      <c r="A7" s="949" t="n"/>
      <c r="B7" s="640" t="inlineStr">
        <is>
          <t>P&amp;C RTA</t>
        </is>
      </c>
      <c r="C7" s="635" t="str">
        <f>IFERROR(INDEX('1.5 P&amp;C'!$C$23:$C$33,MATCH($S7,'1.5 P&amp;C'!$B$23:$B$33,0)),"No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COUNTIFS($F$23:$F$40,$B7)</f>
        <v>6</v>
      </c>
      <c r="F7" s="1250">
        <f>IFERROR($E7-$D7,"-")</f>
        <v>0</v>
      </c>
      <c r="G7" s="1250">
        <f>COUNTIFS($F$23:$F$40,$B7,$D$23:$D$40,"Vacant")</f>
        <v>5</v>
      </c>
      <c r="H7" s="1250">
        <f>COUNTIFS($F$23:$F$40,$B7,$D$23:$D$40,"Vacant",$E$23:$E$40,"Hire")+COUNTIFS($F$23:$F$40,$B7,$D$23:$D$40,"Vacant",$E$23:$E$40,"Offshore")</f>
        <v>5</v>
      </c>
      <c r="I7" s="1250">
        <f>COUNTIFS($F$23:$F$40,$B7,$D$23:$D$40,"Vacant",$E$23:$E$40,"Hold")</f>
        <v>0</v>
      </c>
      <c r="J7" s="1251">
        <f>$E7-COUNTIFS($F$23:$F$40,$B7,$E$23:$E$40,"Hold")</f>
        <v>6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IFERROR(IF(INDEX('1.5 P&amp;C'!$E$23:$E$33,MATCH($S7,'1.5 P&amp;C'!$B$23:$B$33,0))="Offshore",INDEX('0.3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1.26408815</v>
      </c>
      <c r="N7" s="1252">
        <f>IFERROR($M7-$L7,"-")</f>
        <v>-0.13591185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Mapping'!$AK$2:$AK$528,"Filled")+SUMIFS($H$23:$H$40,$F$23:$F$40,$B7))/1000000</f>
        <v>1.54158815</v>
      </c>
      <c r="P7" s="1254">
        <f>$O7-$M7</f>
        <v>0.2775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0.98658815</v>
      </c>
      <c r="R7" t="str">
        <f>IFERROR(IF(INDEX('1.5 P&amp;C'!$D$23:$D$33,MATCH($S7,'1.5 P&amp;C'!$B$23:$B$33,0))="","-",INDEX('1.5 P&amp;C'!$D$23:$D$33,MATCH($S7,'1.5 P&amp;C'!$B$23:$B$33,0))),"-")</f>
        <v>S</v>
      </c>
      <c r="S7" t="str">
        <f>IFERROR(INDEX(Lists!$AA:$AA,MATCH($B7,Lists!$Z:$Z,0)),$B7)</f>
        <v>P&amp;C RTA</v>
      </c>
    </row>
    <row r="8">
      <c r="A8" s="949" t="n"/>
      <c r="B8" s="634" t="inlineStr">
        <is>
          <t>EGI P&amp;C</t>
        </is>
      </c>
      <c r="C8" s="635" t="str">
        <f>IFERROR(INDEX('1.5 P&amp;C'!$C$23:$C$33,MATCH($S8,'1.5 P&amp;C'!$B$23:$B$33,0)),"No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COUNTIFS($F$23:$F$40,$B8)</f>
        <v>1</v>
      </c>
      <c r="F8" s="1250" t="str">
        <f>IFERROR($E8-$D8,"-")</f>
        <v>-</v>
      </c>
      <c r="G8" s="1250">
        <f>COUNTIFS($F$23:$F$40,$B8,$D$23:$D$40,"Vacant")</f>
        <v>0</v>
      </c>
      <c r="H8" s="1250">
        <f>COUNTIFS($F$23:$F$40,$B8,$D$23:$D$40,"Vacant",$E$23:$E$40,"Hire")+COUNTIFS($F$23:$F$40,$B8,$D$23:$D$40,"Vacant",$E$23:$E$40,"Offshore")</f>
        <v>0</v>
      </c>
      <c r="I8" s="1250">
        <f>COUNTIFS($F$23:$F$40,$B8,$D$23:$D$40,"Vacant",$E$23:$E$40,"Hold")</f>
        <v>0</v>
      </c>
      <c r="J8" s="1251">
        <f>$E8-COUNTIFS($F$23:$F$40,$B8,$E$23:$E$40,"Hold")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IFERROR(IF(INDEX('1.5 P&amp;C'!$E$23:$E$33,MATCH($S8,'1.5 P&amp;C'!$B$23:$B$33,0))="Offshore",INDEX('0.3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0.238965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Mapping'!$AK$2:$AK$528,"Filled")+SUMIFS($H$23:$H$40,$F$23:$F$40,$B8))/1000000</f>
        <v>0.47793</v>
      </c>
      <c r="P8" s="1254">
        <f>$O8-$M8</f>
        <v>0.238965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IFERROR(IF(INDEX('1.5 P&amp;C'!$D$23:$D$33,MATCH($S8,'1.5 P&amp;C'!$B$23:$B$33,0))="","-",INDEX('1.5 P&amp;C'!$D$23:$D$33,MATCH($S8,'1.5 P&amp;C'!$B$23:$B$33,0))),"-")</f>
        <v>-</v>
      </c>
      <c r="S8" t="str">
        <f>IFERROR(INDEX(Lists!$AA:$AA,MATCH($B8,Lists!$Z:$Z,0)),$B8)</f>
        <v>EGI P&amp;C</v>
      </c>
    </row>
    <row r="9">
      <c r="A9" s="949" t="n"/>
      <c r="B9" s="1231" t="inlineStr">
        <is>
          <t>Delivery squads</t>
        </is>
      </c>
      <c r="C9" s="641" t="n"/>
      <c r="D9" s="1255">
        <f>SUMIF($D$6:$D$8,"&gt;=0")</f>
        <v>15</v>
      </c>
      <c r="E9" s="1255">
        <f>SUM(E6:E8)</f>
        <v>15</v>
      </c>
      <c r="F9" s="1255">
        <f>SUMPRODUCT(--ISNUMBER($D$6:$D$8),$E$6:$E$8)-SUMIF($D$6:$D$8,"&gt;=0")</f>
        <v>-1</v>
      </c>
      <c r="G9" s="1255">
        <f>SUM(G6:G8)</f>
        <v>8</v>
      </c>
      <c r="H9" s="1255">
        <f>SUM(H6:H8)</f>
        <v>8</v>
      </c>
      <c r="I9" s="1255">
        <f>SUM(I6:I8)</f>
        <v>0</v>
      </c>
      <c r="J9" s="1256">
        <f>SUM(J6:J8)</f>
        <v>15</v>
      </c>
      <c r="K9" s="1155" t="n"/>
      <c r="L9" s="1257">
        <f>SUMIF($L$6:$L$8,"&gt;=0")</f>
        <v>3.5</v>
      </c>
      <c r="M9" s="1257">
        <f>SUM(M6:M8)</f>
        <v>3.26857108</v>
      </c>
      <c r="N9" s="1257">
        <f>SUMPRODUCT(--ISNUMBER($L$6:$L$8),$M$6:$M$8)-SUMIF($L$6:$L$8,"&gt;=0")</f>
        <v>-0.47039392</v>
      </c>
      <c r="O9" s="1258">
        <f>SUM(O6:O8)</f>
        <v>4.97435776</v>
      </c>
      <c r="P9" s="1254">
        <f>SUM(P6:P8)</f>
        <v>1.70578668</v>
      </c>
      <c r="Q9" s="1254">
        <f>SUM(Q6:Q8)</f>
        <v>1.5627844</v>
      </c>
    </row>
    <row r="10">
      <c r="A10" s="949" t="n"/>
      <c r="B10" s="1298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COUNTIFS($F$23:$F$40,$B11)</f>
        <v>1</v>
      </c>
      <c r="F11" s="1261" t="str">
        <f>"-"</f>
        <v>-</v>
      </c>
      <c r="G11" s="1261">
        <f>COUNTIFS($F$23:$F$40,$B11,$D$23:$D$40,"Vacant")</f>
        <v>0</v>
      </c>
      <c r="H11" s="1261">
        <f>COUNTIFS($F$23:$F$40,$B11,$D$23:$D$40,"Vacant",$E$23:$E$40,"Hire")+COUNTIFS($F$23:$F$40,$B11,$D$23:$D$40,"Vacant",$E$23:$E$40,"Offshore")</f>
        <v>0</v>
      </c>
      <c r="I11" s="1261">
        <f>COUNTIFS($F$23:$F$40,$B11,$D$23:$D$40,"Vacant",$E$23:$E$40,"Hold")</f>
        <v>0</v>
      </c>
      <c r="J11" s="1261">
        <f>$E11-COUNTIFS($F$23:$F$40,$B11,$E$23:$E$40,"Hold")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0.3642493</v>
      </c>
      <c r="N11" s="1263" t="str">
        <f>"-"</f>
        <v>-</v>
      </c>
      <c r="O11" s="1263">
        <f>(SUMIFS('REVIEW - Complete Role Mapping'!$AA$2:$AA$528,'REVIEW - Complete Role Mapping'!$AJ$2:$AJ$528,$C$3,'REVIEW - Complete Role Mapping'!$AT$2:$AT$528,$B11,'REVIEW - Complete Role Mapping'!$AK$2:$AK$528,"Filled")+SUMIFS($H$23:$H$40,$F$23:$F$40,$B11))/1000000</f>
        <v>0.7284986</v>
      </c>
      <c r="P11" s="1254">
        <f>$O11-$M11</f>
        <v>0.3642493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645" t="str">
        <f>"Overhead - see 3.2"</f>
        <v>Overhead - see 3.2</v>
      </c>
      <c r="D12" s="1281" t="str">
        <f>"-"</f>
        <v>-</v>
      </c>
      <c r="E12" s="1262">
        <f>COUNTIFS($F$23:$F$40,$B12)</f>
        <v>1</v>
      </c>
      <c r="F12" s="1281" t="str">
        <f>"-"</f>
        <v>-</v>
      </c>
      <c r="G12" s="1281">
        <f>COUNTIFS($F$23:$F$40,$B12,$D$23:$D$40,"Vacant")</f>
        <v>1</v>
      </c>
      <c r="H12" s="1281">
        <f>COUNTIFS($F$23:$F$40,$B12,$D$23:$D$40,"Vacant",$E$23:$E$40,"Hire")+COUNTIFS($F$23:$F$40,$B12,$D$23:$D$40,"Vacant",$E$23:$E$40,"Offshore")</f>
        <v>1</v>
      </c>
      <c r="I12" s="1281">
        <f>COUNTIFS($F$23:$F$40,$B12,$D$23:$D$40,"Vacant",$E$23:$E$40,"Hold")</f>
        <v>0</v>
      </c>
      <c r="J12" s="1281">
        <f>$E12-COUNTIFS($F$23:$F$40,$B12,$E$23:$E$40,"Hold")</f>
        <v>1</v>
      </c>
      <c r="K12" s="442" t="str">
        <f>"Overhead"</f>
        <v>Overhead</v>
      </c>
      <c r="L12" s="1282" t="str">
        <f>"-"</f>
        <v>-</v>
      </c>
      <c r="M12" s="1282">
        <f>SUMIFS('REVIEW - Complete Role Mapping'!$AA$2:$AA$528,'REVIEW - Complete Role Mapping'!$AJ$2:$AJ$528,$C$3,'REVIEW - Complete Role Mapping'!$AT$2:$AT$528,$B12)/1000000</f>
        <v>0.27581025</v>
      </c>
      <c r="N12" s="1282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Mapping'!$AK$2:$AK$528,"Filled")+SUMIFS($H$23:$H$40,$F$23:$F$40,$B12))/1000000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COUNTIFS($F$23:$F$40,$B13)</f>
        <v>1</v>
      </c>
      <c r="F13" s="1281" t="str">
        <f>"-"</f>
        <v>-</v>
      </c>
      <c r="G13" s="1281">
        <f>COUNTIFS($F$23:$F$40,$B13,$D$23:$D$40,"Vacant")</f>
        <v>1</v>
      </c>
      <c r="H13" s="1281">
        <f>COUNTIFS($F$23:$F$40,$B13,$D$23:$D$40,"Vacant",$E$23:$E$40,"Hire")+COUNTIFS($F$23:$F$40,$B13,$D$23:$D$40,"Vacant",$E$23:$E$40,"Offshore")</f>
        <v>1</v>
      </c>
      <c r="I13" s="1281">
        <f>COUNTIFS($F$23:$F$40,$B13,$D$23:$D$40,"Vacant",$E$23:$E$40,"Hold")</f>
        <v>0</v>
      </c>
      <c r="J13" s="1281">
        <f>$E13-COUNTIFS($F$23:$F$40,$B13,$E$23:$E$40,"Hold")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Mapping'!$AK$2:$AK$528,"Filled")+SUMIFS($H$23:$H$40,$F$23:$F$40,$B13))/1000000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3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3</v>
      </c>
      <c r="K14" s="949" t="n"/>
      <c r="L14" s="1263" t="n"/>
      <c r="M14" s="1263">
        <f>SUM(M11:M13)</f>
        <v>0.9158698</v>
      </c>
      <c r="N14" s="1263" t="n"/>
      <c r="O14" s="1263">
        <f>SUM(O11:O13)</f>
        <v>1.2801191</v>
      </c>
      <c r="P14" s="1254">
        <f>SUM(P11:P13)</f>
        <v>0.3642493</v>
      </c>
      <c r="Q14" s="1254">
        <f>SUM(Q11:Q13)</f>
        <v>0.5516205</v>
      </c>
    </row>
    <row r="15">
      <c r="A15" s="949" t="n"/>
      <c r="B15" s="432" t="n"/>
      <c r="C15" s="432" t="n"/>
      <c r="D15" s="1279" t="n"/>
      <c r="E15" s="1279" t="n"/>
      <c r="F15" s="1279" t="n"/>
      <c r="G15" s="1280" t="n"/>
      <c r="H15" s="1280" t="n"/>
      <c r="I15" s="1280" t="n"/>
      <c r="J15" s="1280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430" t="n"/>
      <c r="D16" s="1280">
        <f>$D9</f>
        <v>15</v>
      </c>
      <c r="E16" s="1280">
        <f>$E9+$E14</f>
        <v>18</v>
      </c>
      <c r="F16" s="1280">
        <f>IFERROR($E9-$D9,"-")</f>
        <v>0</v>
      </c>
      <c r="G16" s="1261">
        <f>$G9+$G14</f>
        <v>10</v>
      </c>
      <c r="H16" s="1261">
        <f>$H9+$H14</f>
        <v>10</v>
      </c>
      <c r="I16" s="1261">
        <f>$I9+$I14</f>
        <v>0</v>
      </c>
      <c r="J16" s="1261">
        <f>$J9+$J14</f>
        <v>18</v>
      </c>
      <c r="K16" s="949" t="n"/>
      <c r="L16" s="1263">
        <f>$L9</f>
        <v>3.5</v>
      </c>
      <c r="M16" s="1263">
        <f>$M9+$M14</f>
        <v>4.18444088</v>
      </c>
      <c r="N16" s="1263">
        <f>IFERROR($M9-$L9,"-")</f>
        <v>-0.23142892</v>
      </c>
      <c r="O16" s="1263">
        <f>$O9+$O14</f>
        <v>6.25447686</v>
      </c>
      <c r="P16" s="1254">
        <f>$P9+$P14</f>
        <v>2.07003598</v>
      </c>
      <c r="Q16" s="1254">
        <f>$Q9+$Q14</f>
        <v>2.1144049</v>
      </c>
    </row>
    <row r="17">
      <c r="A17" s="949" t="n"/>
      <c r="B17" s="1318" t="inlineStr">
        <is>
          <t>Archetype columns D, F, L and N cover the delivery squads only - overhead is not priced by a squad archetype.</t>
        </is>
      </c>
      <c r="C17" s="1264" t="n"/>
      <c r="D17" s="1264" t="n"/>
      <c r="E17" s="1264" t="n"/>
      <c r="F17" s="1264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5" t="inlineStr">
        <is>
          <t>Control - roles vs the ledger, must be 0</t>
        </is>
      </c>
      <c r="C18" s="646" t="n"/>
      <c r="D18" s="646" t="n"/>
      <c r="E18" s="646">
        <f>COUNTIFS('REVIEW - Complete Role Mapping'!$AJ$2:$AJ$528,$C$3)-$E16</f>
        <v>0</v>
      </c>
      <c r="F18" s="646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46" t="n"/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P&amp;C FTE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Mapping'!$B:$B,460)</f>
        <v>Grace Hadiwijaya</v>
      </c>
      <c r="C23" s="634" t="str">
        <f>INDEX('REVIEW - Complete Role Mapping'!$C:$C,460)</f>
        <v>Lead P&amp;C Platforms</v>
      </c>
      <c r="D23" s="612" t="str">
        <f>INDEX('REVIEW - Complete Role Mapping'!$AK:$AK,460)</f>
        <v>Filled</v>
      </c>
      <c r="E23" s="612" t="inlineStr">
        <is>
          <t>Filled</t>
        </is>
      </c>
      <c r="F23" s="634" t="str">
        <f>INDEX('REVIEW - Complete Role Mapping'!$AT:$AT,460)</f>
        <v>P&amp;C</v>
      </c>
      <c r="G23" s="627">
        <f>INDEX('REVIEW - Complete Role Mapping'!$AA:$AA,460)</f>
        <v>237963.75</v>
      </c>
      <c r="H23" s="627">
        <f>$G23*IFERROR(INDEX(Lists!$AD:$AD,MATCH($E23,Lists!$AC:$AC,0)),1)</f>
        <v>237963.75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Mapping'!$B:$B,461)</f>
        <v>Maadhu Suresh</v>
      </c>
      <c r="C24" s="634" t="str">
        <f>INDEX('REVIEW - Complete Role Mapping'!$C:$C,461)</f>
        <v>Solution Architect</v>
      </c>
      <c r="D24" s="612" t="str">
        <f>INDEX('REVIEW - Complete Role Mapping'!$AK:$AK,461)</f>
        <v>Filled</v>
      </c>
      <c r="E24" s="612" t="inlineStr">
        <is>
          <t>Filled</t>
        </is>
      </c>
      <c r="F24" s="634" t="str">
        <f>INDEX('REVIEW - Complete Role Mapping'!$AT:$AT,461)</f>
        <v>P&amp;C</v>
      </c>
      <c r="G24" s="627">
        <f>INDEX('REVIEW - Complete Role Mapping'!$AA:$AA,461)</f>
        <v>272340</v>
      </c>
      <c r="H24" s="627">
        <f>$G24*IFERROR(INDEX(Lists!$AD:$AD,MATCH($E24,Lists!$AC:$AC,0)),1)</f>
        <v>272340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Mapping'!$B:$B,462)</f>
        <v>Michael Pollock</v>
      </c>
      <c r="C25" s="634" t="str">
        <f>INDEX('REVIEW - Complete Role Mapping'!$C:$C,462)</f>
        <v>Lead Business Analyst</v>
      </c>
      <c r="D25" s="612" t="str">
        <f>INDEX('REVIEW - Complete Role Mapping'!$AK:$AK,462)</f>
        <v>Filled</v>
      </c>
      <c r="E25" s="612" t="inlineStr">
        <is>
          <t>Filled</t>
        </is>
      </c>
      <c r="F25" s="634" t="str">
        <f>INDEX('REVIEW - Complete Role Mapping'!$AT:$AT,462)</f>
        <v>P&amp;C</v>
      </c>
      <c r="G25" s="627">
        <f>INDEX('REVIEW - Complete Role Mapping'!$AA:$AA,462)</f>
        <v>193358.28</v>
      </c>
      <c r="H25" s="627">
        <f>$G25*IFERROR(INDEX(Lists!$AD:$AD,MATCH($E25,Lists!$AC:$AC,0)),1)</f>
        <v>193358.28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Mapping'!$B:$B,463)</f>
        <v>Prerna Sharma</v>
      </c>
      <c r="C26" s="634" t="str">
        <f>INDEX('REVIEW - Complete Role Mapping'!$C:$C,463)</f>
        <v>SAP HR Specialist</v>
      </c>
      <c r="D26" s="612" t="str">
        <f>INDEX('REVIEW - Complete Role Mapping'!$AK:$AK,463)</f>
        <v>Filled</v>
      </c>
      <c r="E26" s="647" t="inlineStr">
        <is>
          <t>Filled</t>
        </is>
      </c>
      <c r="F26" s="648" t="str">
        <f>INDEX('REVIEW - Complete Role Mapping'!$AT:$AT,463)</f>
        <v>P&amp;C</v>
      </c>
      <c r="G26" s="627">
        <f>INDEX('REVIEW - Complete Role Mapping'!$AA:$AA,463)</f>
        <v>234172.35</v>
      </c>
      <c r="H26" s="627">
        <f>$G26*IFERROR(INDEX(Lists!$AD:$AD,MATCH($E26,Lists!$AC:$AC,0)),1)</f>
        <v>234172.35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Mapping'!$B:$B,464)</f>
        <v>Thai Pung</v>
      </c>
      <c r="C27" s="634" t="str">
        <f>INDEX('REVIEW - Complete Role Mapping'!$C:$C,464)</f>
        <v>Delivery Lead - (P&amp;C)</v>
      </c>
      <c r="D27" s="612" t="str">
        <f>INDEX('REVIEW - Complete Role Mapping'!$AK:$AK,464)</f>
        <v>Filled</v>
      </c>
      <c r="E27" s="647" t="inlineStr">
        <is>
          <t>Filled</t>
        </is>
      </c>
      <c r="F27" s="648" t="str">
        <f>INDEX('REVIEW - Complete Role Mapping'!$AT:$AT,464)</f>
        <v>P&amp;C</v>
      </c>
      <c r="G27" s="627">
        <f>INDEX('REVIEW - Complete Role Mapping'!$AA:$AA,464)</f>
        <v>251487.3</v>
      </c>
      <c r="H27" s="627">
        <f>$G27*IFERROR(INDEX(Lists!$AD:$AD,MATCH($E27,Lists!$AC:$AC,0)),1)</f>
        <v>251487.3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Mapping'!$B:$B,504)</f>
        <v>Vacant</v>
      </c>
      <c r="C28" s="634" t="str">
        <f>INDEX('REVIEW - Complete Role Mapping'!$C:$C,504)</f>
        <v>Engineer</v>
      </c>
      <c r="D28" s="612" t="str">
        <f>INDEX('REVIEW - Complete Role Mapping'!$AK:$AK,504)</f>
        <v>Vacant</v>
      </c>
      <c r="E28" s="647" t="inlineStr">
        <is>
          <t>Hire</t>
        </is>
      </c>
      <c r="F28" s="648" t="str">
        <f>INDEX('REVIEW - Complete Role Mapping'!$AT:$AT,504)</f>
        <v>P&amp;C</v>
      </c>
      <c r="G28" s="627">
        <f>INDEX('REVIEW - Complete Role Mapping'!$AA:$AA,504)</f>
        <v>202853.25</v>
      </c>
      <c r="H28" s="627">
        <f>$G28*IFERROR(INDEX(Lists!$AD:$AD,MATCH($E28,Lists!$AC:$AC,0)),1)</f>
        <v>202853.25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Mapping'!$B:$B,505)</f>
        <v>Vacant</v>
      </c>
      <c r="C29" s="646" t="str">
        <f>INDEX('REVIEW - Complete Role Mapping'!$C:$C,505)</f>
        <v>Engineer</v>
      </c>
      <c r="D29" s="646" t="str">
        <f>INDEX('REVIEW - Complete Role Mapping'!$AK:$AK,505)</f>
        <v>Vacant</v>
      </c>
      <c r="E29" s="646" t="inlineStr">
        <is>
          <t>Hire</t>
        </is>
      </c>
      <c r="F29" s="646" t="str">
        <f>INDEX('REVIEW - Complete Role Mapping'!$AT:$AT,505)</f>
        <v>P&amp;C</v>
      </c>
      <c r="G29" s="627">
        <f>INDEX('REVIEW - Complete Role Mapping'!$AA:$AA,505)</f>
        <v>202853.25</v>
      </c>
      <c r="H29" s="627">
        <f>$G29*IFERROR(INDEX(Lists!$AD:$AD,MATCH($E29,Lists!$AC:$AC,0)),1)</f>
        <v>202853.25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Mapping'!$B:$B,507)</f>
        <v>Vacant</v>
      </c>
      <c r="C30" s="634" t="str">
        <f>INDEX('REVIEW - Complete Role Mapping'!$C:$C,507)</f>
        <v>Quality Assurance</v>
      </c>
      <c r="D30" s="612" t="str">
        <f>INDEX('REVIEW - Complete Role Mapping'!$AK:$AK,507)</f>
        <v>Vacant</v>
      </c>
      <c r="E30" s="612" t="inlineStr">
        <is>
          <t>Hire</t>
        </is>
      </c>
      <c r="F30" s="634" t="str">
        <f>INDEX('REVIEW - Complete Role Mapping'!$AT:$AT,507)</f>
        <v>P&amp;C</v>
      </c>
      <c r="G30" s="627">
        <f>INDEX('REVIEW - Complete Role Mapping'!$AA:$AA,507)</f>
        <v>170489.75</v>
      </c>
      <c r="H30" s="627">
        <f>$G30*IFERROR(INDEX(Lists!$AD:$AD,MATCH($E30,Lists!$AC:$AC,0)),1)</f>
        <v>170489.75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Mapping'!$B:$B,465)</f>
        <v>Kurniaty Widjaya</v>
      </c>
      <c r="C31" s="634" t="str">
        <f>INDEX('REVIEW - Complete Role Mapping'!$C:$C,465)</f>
        <v>ERP HR Pay Functional Lead</v>
      </c>
      <c r="D31" s="612" t="str">
        <f>INDEX('REVIEW - Complete Role Mapping'!$AK:$AK,465)</f>
        <v>Filled</v>
      </c>
      <c r="E31" s="647" t="inlineStr">
        <is>
          <t>Filled</t>
        </is>
      </c>
      <c r="F31" s="648" t="str">
        <f>INDEX('REVIEW - Complete Role Mapping'!$AT:$AT,465)</f>
        <v>P&amp;C RTA</v>
      </c>
      <c r="G31" s="627">
        <f>INDEX('REVIEW - Complete Role Mapping'!$AA:$AA,465)</f>
        <v>277500</v>
      </c>
      <c r="H31" s="627">
        <f>$G31*IFERROR(INDEX(Lists!$AD:$AD,MATCH($E31,Lists!$AC:$AC,0)),1)</f>
        <v>277500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Mapping'!$B:$B,502)</f>
        <v>Vacant</v>
      </c>
      <c r="C32" s="634" t="str">
        <f>INDEX('REVIEW - Complete Role Mapping'!$C:$C,502)</f>
        <v>Business Analyst (P&amp;C RTA)</v>
      </c>
      <c r="D32" s="612" t="str">
        <f>INDEX('REVIEW - Complete Role Mapping'!$AK:$AK,502)</f>
        <v>Vacant</v>
      </c>
      <c r="E32" s="647" t="inlineStr">
        <is>
          <t>Hire</t>
        </is>
      </c>
      <c r="F32" s="648" t="str">
        <f>INDEX('REVIEW - Complete Role Mapping'!$AT:$AT,502)</f>
        <v>P&amp;C RTA</v>
      </c>
      <c r="G32" s="627">
        <f>INDEX('REVIEW - Complete Role Mapping'!$AA:$AA,502)</f>
        <v>201585</v>
      </c>
      <c r="H32" s="627">
        <f>$G32*IFERROR(INDEX(Lists!$AD:$AD,MATCH($E32,Lists!$AC:$AC,0)),1)</f>
        <v>201585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Mapping'!$B:$B,503)</f>
        <v>Vacant</v>
      </c>
      <c r="C33" s="634" t="str">
        <f>INDEX('REVIEW - Complete Role Mapping'!$C:$C,503)</f>
        <v>Delivery Lead (RTA)</v>
      </c>
      <c r="D33" s="612" t="str">
        <f>INDEX('REVIEW - Complete Role Mapping'!$AK:$AK,503)</f>
        <v>Vacant</v>
      </c>
      <c r="E33" s="647" t="inlineStr">
        <is>
          <t>Hire</t>
        </is>
      </c>
      <c r="F33" s="648" t="str">
        <f>INDEX('REVIEW - Complete Role Mapping'!$AT:$AT,503)</f>
        <v>P&amp;C RTA</v>
      </c>
      <c r="G33" s="627">
        <f>INDEX('REVIEW - Complete Role Mapping'!$AA:$AA,503)</f>
        <v>231689.25</v>
      </c>
      <c r="H33" s="627">
        <f>$G33*IFERROR(INDEX(Lists!$AD:$AD,MATCH($E33,Lists!$AC:$AC,0)),1)</f>
        <v>231689.25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Mapping'!$B:$B,506)</f>
        <v>Vacant</v>
      </c>
      <c r="C34" s="634" t="str">
        <f>INDEX('REVIEW - Complete Role Mapping'!$C:$C,506)</f>
        <v>Engineer</v>
      </c>
      <c r="D34" s="612" t="str">
        <f>INDEX('REVIEW - Complete Role Mapping'!$AK:$AK,506)</f>
        <v>Vacant</v>
      </c>
      <c r="E34" s="647" t="inlineStr">
        <is>
          <t>Hire</t>
        </is>
      </c>
      <c r="F34" s="648" t="str">
        <f>INDEX('REVIEW - Complete Role Mapping'!$AT:$AT,506)</f>
        <v>P&amp;C RTA</v>
      </c>
      <c r="G34" s="627">
        <f>INDEX('REVIEW - Complete Role Mapping'!$AA:$AA,506)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Mapping'!$B:$B,508)</f>
        <v>Vacant</v>
      </c>
      <c r="C35" s="634" t="str">
        <f>INDEX('REVIEW - Complete Role Mapping'!$C:$C,508)</f>
        <v>Quality Assurance</v>
      </c>
      <c r="D35" s="612" t="str">
        <f>INDEX('REVIEW - Complete Role Mapping'!$AK:$AK,508)</f>
        <v>Vacant</v>
      </c>
      <c r="E35" s="647" t="inlineStr">
        <is>
          <t>Hire</t>
        </is>
      </c>
      <c r="F35" s="648" t="str">
        <f>INDEX('REVIEW - Complete Role Mapping'!$AT:$AT,508)</f>
        <v>P&amp;C RTA</v>
      </c>
      <c r="G35" s="627">
        <f>INDEX('REVIEW - Complete Role Mapping'!$AA:$AA,508)</f>
        <v>170489.75</v>
      </c>
      <c r="H35" s="627">
        <f>$G35*IFERROR(INDEX(Lists!$AD:$AD,MATCH($E35,Lists!$AC:$AC,0)),1)</f>
        <v>170489.75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str">
        <f>INDEX('REVIEW - Complete Role Mapping'!$B:$B,509)</f>
        <v>Vacant</v>
      </c>
      <c r="C36" s="646" t="str">
        <f>INDEX('REVIEW - Complete Role Mapping'!$C:$C,509)</f>
        <v>Systems Specialist</v>
      </c>
      <c r="D36" s="646" t="str">
        <f>INDEX('REVIEW - Complete Role Mapping'!$AK:$AK,509)</f>
        <v>Vacant</v>
      </c>
      <c r="E36" s="646" t="inlineStr">
        <is>
          <t>Hire</t>
        </is>
      </c>
      <c r="F36" s="646" t="str">
        <f>INDEX('REVIEW - Complete Role Mapping'!$AT:$AT,509)</f>
        <v>P&amp;C RTA</v>
      </c>
      <c r="G36" s="1267">
        <f>INDEX('REVIEW - Complete Role Mapping'!$AA:$AA,509)</f>
        <v>179970.9</v>
      </c>
      <c r="H36" s="1267">
        <f>$G36*IFERROR(INDEX(Lists!$AD:$AD,MATCH($E36,Lists!$AC:$AC,0)),1)</f>
        <v>179970.9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str">
        <f>INDEX('REVIEW - Complete Role Mapping'!$B:$B,448)</f>
        <v>Vikram Chhahira</v>
      </c>
      <c r="C37" s="634" t="str">
        <f>INDEX('REVIEW - Complete Role Mapping'!$C:$C,448)</f>
        <v>Delivery Lead, EGI</v>
      </c>
      <c r="D37" s="612" t="str">
        <f>INDEX('REVIEW - Complete Role Mapping'!$AK:$AK,448)</f>
        <v>Filled</v>
      </c>
      <c r="E37" s="612" t="inlineStr">
        <is>
          <t>Filled</t>
        </is>
      </c>
      <c r="F37" s="634" t="str">
        <f>INDEX('REVIEW - Complete Role Mapping'!$AT:$AT,448)</f>
        <v>EGI P&amp;C</v>
      </c>
      <c r="G37" s="1267">
        <f>INDEX('REVIEW - Complete Role Mapping'!$AA:$AA,448)</f>
        <v>238965</v>
      </c>
      <c r="H37" s="1267">
        <f>$G37*IFERROR(INDEX(Lists!$AD:$AD,MATCH($E37,Lists!$AC:$AC,0)),1)</f>
        <v>238965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Mapping'!$B:$B,466)</f>
        <v>Vaso Vukovic</v>
      </c>
      <c r="C38" s="634" t="str">
        <f>INDEX('REVIEW - Complete Role Mapping'!$C:$C,466)</f>
        <v>Head of Technology - P&amp;C, Finance &amp; Legal</v>
      </c>
      <c r="D38" s="612" t="str">
        <f>INDEX('REVIEW - Complete Role Mapping'!$AK:$AK,466)</f>
        <v>Filled</v>
      </c>
      <c r="E38" s="612" t="inlineStr">
        <is>
          <t>Filled</t>
        </is>
      </c>
      <c r="F38" s="634" t="str">
        <f>INDEX('REVIEW - Complete Role Mapping'!$AT:$AT,466)</f>
        <v>Head of Technology</v>
      </c>
      <c r="G38" s="1267">
        <f>INDEX('REVIEW - Complete Role Mapping'!$AA:$AA,466)</f>
        <v>364249.3</v>
      </c>
      <c r="H38" s="1267">
        <f>$G38*IFERROR(INDEX(Lists!$AD:$AD,MATCH($E38,Lists!$AC:$AC,0)),1)</f>
        <v>364249.3</v>
      </c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str">
        <f>INDEX('REVIEW - Complete Role Mapping'!$B:$B,511)</f>
        <v>Vacant</v>
      </c>
      <c r="C39" s="634" t="str">
        <f>INDEX('REVIEW - Complete Role Mapping'!$C:$C,511)</f>
        <v>Delivery Manager</v>
      </c>
      <c r="D39" s="612" t="str">
        <f>INDEX('REVIEW - Complete Role Mapping'!$AK:$AK,511)</f>
        <v>Vacant</v>
      </c>
      <c r="E39" s="612" t="inlineStr">
        <is>
          <t>Hire</t>
        </is>
      </c>
      <c r="F39" s="634" t="str">
        <f>INDEX('REVIEW - Complete Role Mapping'!$AT:$AT,511)</f>
        <v>Delivery Manager</v>
      </c>
      <c r="G39" s="1267">
        <f>INDEX('REVIEW - Complete Role Mapping'!$AA:$AA,511)</f>
        <v>275810.25</v>
      </c>
      <c r="H39" s="1267">
        <f>$G39*IFERROR(INDEX(Lists!$AD:$AD,MATCH($E39,Lists!$AC:$AC,0)),1)</f>
        <v>275810.25</v>
      </c>
      <c r="I39" s="442" t="n"/>
      <c r="J39" s="442" t="n"/>
      <c r="K39" s="442" t="n"/>
      <c r="L39" s="442" t="n"/>
      <c r="M39" s="442" t="n"/>
      <c r="N39" s="442" t="n"/>
      <c r="O39" s="949" t="n"/>
    </row>
    <row r="40">
      <c r="B40" t="str">
        <f>INDEX('REVIEW - Complete Role Mapping'!$B:$B,510)</f>
        <v>Vacant</v>
      </c>
      <c r="C40" t="str">
        <f>INDEX('REVIEW - Complete Role Mapping'!$C:$C,510)</f>
        <v>Technology Manager – P&amp;C Platforms</v>
      </c>
      <c r="D40" t="str">
        <f>INDEX('REVIEW - Complete Role Mapping'!$AK:$AK,510)</f>
        <v>Vacant</v>
      </c>
      <c r="E40" t="inlineStr">
        <is>
          <t>Hire</t>
        </is>
      </c>
      <c r="F40" t="str">
        <f>INDEX('REVIEW - Complete Role Mapping'!$AT:$AT,510)</f>
        <v>Technology Manager</v>
      </c>
      <c r="G40" s="1274">
        <f>INDEX('REVIEW - Complete Role Mapping'!$AA:$AA,510)</f>
        <v>275810.25</v>
      </c>
      <c r="H40" s="1274">
        <f>$G40*IFERROR(INDEX(Lists!$AD:$AD,MATCH($E40,Lists!$AC:$AC,0)),1)</f>
        <v>275810.25</v>
      </c>
    </row>
  </sheetData>
  <conditionalFormatting sqref="D18:D35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4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2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Finance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SAP ERP</t>
        </is>
      </c>
      <c r="C6" s="635" t="str">
        <f>IFERROR(INDEX('1.6 Finance'!$C$24:$C$34,MATCH($S6,'1.6 Finance'!$B$24:$B$34,0)),"No archetype for this squad")</f>
        <v>Configuration / Integration</v>
      </c>
      <c r="D6" s="1249">
        <f>IFERROR(INDEX('0.3 Squad Archetypes'!$F$5:$F$23,MATCH($C6&amp;"|"&amp;$R6,'0.3 Squad Archetypes'!$A$5:$A$23,0)),"-")</f>
        <v>6</v>
      </c>
      <c r="E6" s="1250">
        <f>COUNTIFS($F$21:$F$37,$B6)</f>
        <v>10</v>
      </c>
      <c r="F6" s="1250">
        <f>IFERROR($E6-$D6,"-")</f>
        <v>4</v>
      </c>
      <c r="G6" s="1250">
        <f>COUNTIFS($F$21:$F$37,$B6,$D$21:$D$37,"Vacant")</f>
        <v>7</v>
      </c>
      <c r="H6" s="1250">
        <f>COUNTIFS($F$21:$F$37,$B6,$D$21:$D$37,"Vacant",$E$21:$E$37,"Hire")+COUNTIFS($F$21:$F$37,$B6,$D$21:$D$37,"Vacant",$E$21:$E$37,"Offshore")</f>
        <v>7</v>
      </c>
      <c r="I6" s="1250">
        <f>COUNTIFS($F$21:$F$37,$B6,$D$21:$D$37,"Vacant",$E$21:$E$37,"Hold")</f>
        <v>0</v>
      </c>
      <c r="J6" s="1251">
        <f>$E6-COUNTIFS($F$21:$F$37,$B6,$E$21:$E$37,"Hold")</f>
        <v>10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IFERROR(IF(INDEX('1.6 Finance'!$E$24:$E$34,MATCH($S6,'1.6 Finance'!$B$24:$B$34,0))="Offshore",INDEX('0.3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2.37418557</v>
      </c>
      <c r="N6" s="1252">
        <f>IFERROR($M6-$L6,"-")</f>
        <v>0.97418557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Mapping'!$AK$2:$AK$528,"Filled")+SUMIFS($H$21:$H$37,$F$21:$F$37,$B6))/1000000</f>
        <v>3.18337902</v>
      </c>
      <c r="P6" s="1254">
        <f>$O6-$M6</f>
        <v>0.80919345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1.56499212</v>
      </c>
      <c r="R6" t="str">
        <f>IFERROR(IF(INDEX('1.6 Finance'!$D$24:$D$34,MATCH($S6,'1.6 Finance'!$B$24:$B$34,0))="","-",INDEX('1.6 Finance'!$D$24:$D$34,MATCH($S6,'1.6 Finance'!$B$24:$B$34,0))),"-")</f>
        <v>S</v>
      </c>
      <c r="S6" t="str">
        <f>IFERROR(INDEX(Lists!$AA:$AA,MATCH($B6,Lists!$Z:$Z,0)),$B6)</f>
        <v>SAP ERP</v>
      </c>
    </row>
    <row r="7">
      <c r="A7" s="949" t="n"/>
      <c r="B7" s="640" t="inlineStr">
        <is>
          <t>NZ Finance</t>
        </is>
      </c>
      <c r="C7" s="635" t="str">
        <f>IFERROR(INDEX('1.6 Finance'!$C$24:$C$34,MATCH($S7,'1.6 Finance'!$B$24:$B$34,0)),"No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COUNTIFS($F$21:$F$37,$B7)</f>
        <v>5</v>
      </c>
      <c r="F7" s="1250">
        <f>IFERROR($E7-$D7,"-")</f>
        <v>-1</v>
      </c>
      <c r="G7" s="1250">
        <f>COUNTIFS($F$21:$F$37,$B7,$D$21:$D$37,"Vacant")</f>
        <v>1</v>
      </c>
      <c r="H7" s="1250">
        <f>COUNTIFS($F$21:$F$37,$B7,$D$21:$D$37,"Vacant",$E$21:$E$37,"Hire")+COUNTIFS($F$21:$F$37,$B7,$D$21:$D$37,"Vacant",$E$21:$E$37,"Offshore")</f>
        <v>1</v>
      </c>
      <c r="I7" s="1250">
        <f>COUNTIFS($F$21:$F$37,$B7,$D$21:$D$37,"Vacant",$E$21:$E$37,"Hold")</f>
        <v>0</v>
      </c>
      <c r="J7" s="1251">
        <f>$E7-COUNTIFS($F$21:$F$37,$B7,$E$21:$E$37,"Hold")</f>
        <v>5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IFERROR(IF(INDEX('1.6 Finance'!$E$24:$E$34,MATCH($S7,'1.6 Finance'!$B$24:$B$34,0))="Offshore",INDEX('0.3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0.905141646</v>
      </c>
      <c r="N7" s="1252">
        <f>IFERROR($M7-$L7,"-")</f>
        <v>-0.494858354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Mapping'!$AK$2:$AK$528,"Filled")+SUMIFS($H$21:$H$37,$F$21:$F$37,$B7))/1000000</f>
        <v>1.578594042</v>
      </c>
      <c r="P7" s="1254">
        <f>$O7-$M7</f>
        <v>0.673452396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0.23168925</v>
      </c>
      <c r="R7" t="str">
        <f>IFERROR(IF(INDEX('1.6 Finance'!$D$24:$D$34,MATCH($S7,'1.6 Finance'!$B$24:$B$34,0))="","-",INDEX('1.6 Finance'!$D$24:$D$34,MATCH($S7,'1.6 Finance'!$B$24:$B$34,0))),"-")</f>
        <v>S</v>
      </c>
      <c r="S7" t="str">
        <f>IFERROR(INDEX(Lists!$AA:$AA,MATCH($B7,Lists!$Z:$Z,0)),$B7)</f>
        <v>NZ Finance</v>
      </c>
    </row>
    <row r="8">
      <c r="A8" s="949" t="n"/>
      <c r="B8" s="634" t="inlineStr">
        <is>
          <t>EGI Finance</t>
        </is>
      </c>
      <c r="C8" s="635" t="str">
        <f>IFERROR(INDEX('1.6 Finance'!$C$24:$C$34,MATCH($S8,'1.6 Finance'!$B$24:$B$34,0)),"No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COUNTIFS($F$21:$F$37,$B8)</f>
        <v>1</v>
      </c>
      <c r="F8" s="1250" t="str">
        <f>IFERROR($E8-$D8,"-")</f>
        <v>-</v>
      </c>
      <c r="G8" s="1250">
        <f>COUNTIFS($F$21:$F$37,$B8,$D$21:$D$37,"Vacant")</f>
        <v>0</v>
      </c>
      <c r="H8" s="1250">
        <f>COUNTIFS($F$21:$F$37,$B8,$D$21:$D$37,"Vacant",$E$21:$E$37,"Hire")+COUNTIFS($F$21:$F$37,$B8,$D$21:$D$37,"Vacant",$E$21:$E$37,"Offshore")</f>
        <v>0</v>
      </c>
      <c r="I8" s="1250">
        <f>COUNTIFS($F$21:$F$37,$B8,$D$21:$D$37,"Vacant",$E$21:$E$37,"Hold")</f>
        <v>0</v>
      </c>
      <c r="J8" s="1251">
        <f>$E8-COUNTIFS($F$21:$F$37,$B8,$E$21:$E$37,"Hold")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IFERROR(IF(INDEX('1.6 Finance'!$E$24:$E$34,MATCH($S8,'1.6 Finance'!$B$24:$B$34,0))="Offshore",INDEX('0.3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0.24172845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Mapping'!$AK$2:$AK$528,"Filled")+SUMIFS($H$21:$H$37,$F$21:$F$37,$B8))/1000000</f>
        <v>0.4834569</v>
      </c>
      <c r="P8" s="1254">
        <f>$O8-$M8</f>
        <v>0.24172845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IFERROR(IF(INDEX('1.6 Finance'!$D$24:$D$34,MATCH($S8,'1.6 Finance'!$B$24:$B$34,0))="","-",INDEX('1.6 Finance'!$D$24:$D$34,MATCH($S8,'1.6 Finance'!$B$24:$B$34,0))),"-")</f>
        <v>-</v>
      </c>
      <c r="S8" t="str">
        <f>IFERROR(INDEX(Lists!$AA:$AA,MATCH($B8,Lists!$Z:$Z,0)),$B8)</f>
        <v>EGI Finance</v>
      </c>
    </row>
    <row r="9">
      <c r="A9" s="949" t="n"/>
      <c r="B9" s="1231" t="inlineStr">
        <is>
          <t>Delivery squads</t>
        </is>
      </c>
      <c r="C9" s="641" t="n"/>
      <c r="D9" s="1255">
        <f>SUMIF($D$6:$D$8,"&gt;=0")</f>
        <v>12</v>
      </c>
      <c r="E9" s="1255">
        <f>SUM(E6:E8)</f>
        <v>16</v>
      </c>
      <c r="F9" s="1255">
        <f>SUMPRODUCT(--ISNUMBER($D$6:$D$8),$E$6:$E$8)-SUMIF($D$6:$D$8,"&gt;=0")</f>
        <v>3</v>
      </c>
      <c r="G9" s="1255">
        <f>SUM(G6:G8)</f>
        <v>8</v>
      </c>
      <c r="H9" s="1255">
        <f>SUM(H6:H8)</f>
        <v>8</v>
      </c>
      <c r="I9" s="1255">
        <f>SUM(I6:I8)</f>
        <v>0</v>
      </c>
      <c r="J9" s="1256">
        <f>SUM(J6:J8)</f>
        <v>16</v>
      </c>
      <c r="K9" s="1155" t="n"/>
      <c r="L9" s="1257">
        <f>SUMIF($L$6:$L$8,"&gt;=0")</f>
        <v>2.8</v>
      </c>
      <c r="M9" s="1257">
        <f>SUM(M6:M8)</f>
        <v>3.521055666</v>
      </c>
      <c r="N9" s="1257">
        <f>SUMPRODUCT(--ISNUMBER($L$6:$L$8),$M$6:$M$8)-SUMIF($L$6:$L$8,"&gt;=0")</f>
        <v>0.479327216</v>
      </c>
      <c r="O9" s="1258">
        <f>SUM(O6:O8)</f>
        <v>5.245429962</v>
      </c>
      <c r="P9" s="1254">
        <f>SUM(P6:P8)</f>
        <v>1.724374296</v>
      </c>
      <c r="Q9" s="1254">
        <f>SUM(Q6:Q8)</f>
        <v>1.79668137</v>
      </c>
    </row>
    <row r="10">
      <c r="A10" s="949" t="n"/>
      <c r="B10" s="1298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98" t="inlineStr">
        <is>
          <t>Technology Manager</t>
        </is>
      </c>
      <c r="C11" s="645" t="str">
        <f>"Overhead - see 3.2"</f>
        <v>Overhead - see 3.2</v>
      </c>
      <c r="D11" s="1261" t="str">
        <f>"-"</f>
        <v>-</v>
      </c>
      <c r="E11" s="1262">
        <f>COUNTIFS($F$21:$F$37,$B11)</f>
        <v>1</v>
      </c>
      <c r="F11" s="1261" t="str">
        <f>"-"</f>
        <v>-</v>
      </c>
      <c r="G11" s="1261">
        <f>COUNTIFS($F$21:$F$37,$B11,$D$21:$D$37,"Vacant")</f>
        <v>0</v>
      </c>
      <c r="H11" s="1261">
        <f>COUNTIFS($F$21:$F$37,$B11,$D$21:$D$37,"Vacant",$E$21:$E$37,"Hire")+COUNTIFS($F$21:$F$37,$B11,$D$21:$D$37,"Vacant",$E$21:$E$37,"Offshore")</f>
        <v>0</v>
      </c>
      <c r="I11" s="1261">
        <f>COUNTIFS($F$21:$F$37,$B11,$D$21:$D$37,"Vacant",$E$21:$E$37,"Hold")</f>
        <v>0</v>
      </c>
      <c r="J11" s="1261">
        <f>$E11-COUNTIFS($F$21:$F$37,$B11,$E$21:$E$37,"Hold")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0.32356045</v>
      </c>
      <c r="N11" s="1263" t="str">
        <f>"-"</f>
        <v>-</v>
      </c>
      <c r="O11" s="1263">
        <f>(SUMIFS('REVIEW - Complete Role Mapping'!$AA$2:$AA$528,'REVIEW - Complete Role Mapping'!$AJ$2:$AJ$528,$C$3,'REVIEW - Complete Role Mapping'!$AT$2:$AT$528,$B11,'REVIEW - Complete Role Mapping'!$AK$2:$AK$528,"Filled")+SUMIFS($H$21:$H$37,$F$21:$F$37,$B11))/1000000</f>
        <v>0.6471209</v>
      </c>
      <c r="P11" s="1254">
        <f>$O11-$M11</f>
        <v>0.32356045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26" t="inlineStr">
        <is>
          <t>Overhead roles</t>
        </is>
      </c>
      <c r="C12" s="949" t="n"/>
      <c r="D12" s="1261" t="n"/>
      <c r="E12" s="1261">
        <f>SUM(E11:E11)</f>
        <v>1</v>
      </c>
      <c r="F12" s="1261" t="n"/>
      <c r="G12" s="1261">
        <f>SUM(G11:G11)</f>
        <v>0</v>
      </c>
      <c r="H12" s="1261">
        <f>SUM(H11:H11)</f>
        <v>0</v>
      </c>
      <c r="I12" s="1261">
        <f>SUM(I11:I11)</f>
        <v>0</v>
      </c>
      <c r="J12" s="1261">
        <f>SUM(J11:J11)</f>
        <v>1</v>
      </c>
      <c r="K12" s="949" t="n"/>
      <c r="L12" s="1263" t="n"/>
      <c r="M12" s="1263">
        <f>SUM(M11:M11)</f>
        <v>0.32356045</v>
      </c>
      <c r="N12" s="1263" t="n"/>
      <c r="O12" s="1263">
        <f>SUM(O11:O11)</f>
        <v>0.6471209</v>
      </c>
      <c r="P12" s="1254">
        <f>SUM(P11:P11)</f>
        <v>0.32356045</v>
      </c>
      <c r="Q12" s="1254">
        <f>SUM(Q11:Q11)</f>
        <v>0</v>
      </c>
    </row>
    <row r="13">
      <c r="A13" s="949" t="n"/>
      <c r="B13" s="1226" t="n"/>
      <c r="C13" s="949" t="n"/>
      <c r="D13" s="1261" t="n"/>
      <c r="E13" s="1261" t="n"/>
      <c r="F13" s="1261" t="n"/>
      <c r="G13" s="1261" t="n"/>
      <c r="H13" s="1261" t="n"/>
      <c r="I13" s="1261" t="n"/>
      <c r="J13" s="1261" t="n"/>
      <c r="K13" s="949" t="n"/>
      <c r="L13" s="1263" t="n"/>
      <c r="M13" s="1263" t="n"/>
      <c r="N13" s="1263" t="n"/>
      <c r="O13" s="1263" t="n"/>
      <c r="P13" s="1254" t="n"/>
      <c r="Q13" s="1254" t="n"/>
    </row>
    <row r="14">
      <c r="A14" s="949" t="n"/>
      <c r="B14" s="1226" t="inlineStr">
        <is>
          <t>Total portfolio</t>
        </is>
      </c>
      <c r="C14" s="645" t="n"/>
      <c r="D14" s="1281">
        <f>$D9</f>
        <v>12</v>
      </c>
      <c r="E14" s="1262">
        <f>$E9+$E12</f>
        <v>17</v>
      </c>
      <c r="F14" s="1281">
        <f>IFERROR($E9-$D9,"-")</f>
        <v>4</v>
      </c>
      <c r="G14" s="1281">
        <f>$G9+$G12</f>
        <v>8</v>
      </c>
      <c r="H14" s="1281">
        <f>$H9+$H12</f>
        <v>8</v>
      </c>
      <c r="I14" s="1281">
        <f>$I9+$I12</f>
        <v>0</v>
      </c>
      <c r="J14" s="1281">
        <f>$J9+$J12</f>
        <v>17</v>
      </c>
      <c r="K14" s="442" t="n"/>
      <c r="L14" s="1282">
        <f>$L9</f>
        <v>2.8</v>
      </c>
      <c r="M14" s="1282">
        <f>$M9+$M12</f>
        <v>3.844616116</v>
      </c>
      <c r="N14" s="1282">
        <f>IFERROR($M9-$L9,"-")</f>
        <v>0.721055666</v>
      </c>
      <c r="O14" s="1263">
        <f>$O9+$O12</f>
        <v>5.892550862</v>
      </c>
      <c r="P14" s="1254">
        <f>$P9+$P12</f>
        <v>2.047934746</v>
      </c>
      <c r="Q14" s="1254">
        <f>$Q9+$Q12</f>
        <v>1.79668137</v>
      </c>
    </row>
    <row r="15">
      <c r="A15" s="949" t="n"/>
      <c r="B15" s="1298" t="inlineStr">
        <is>
          <t>Archetype columns D, F, L and N cover the delivery squads only - overhead is not priced by a squad archetype.</t>
        </is>
      </c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 ht="15.65" customHeight="1">
      <c r="A16" s="949" t="n"/>
      <c r="B16" s="1298" t="inlineStr">
        <is>
          <t>Control - roles vs the ledger, must be 0</t>
        </is>
      </c>
      <c r="C16" s="430" t="n"/>
      <c r="D16" s="430" t="n"/>
      <c r="E16" s="430">
        <f>COUNTIFS('REVIEW - Complete Role Mapping'!$AJ$2:$AJ$528,$C$3)-$E14</f>
        <v>0</v>
      </c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cost vs the ledger ($m), must be 0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>
        <f>ROUND(SUMIFS('REVIEW - Complete Role Mapping'!$AA$2:$AA$528,'REVIEW - Complete Role Mapping'!$AJ$2:$AJ$528,$C$3)/1000000-$M14,6)</f>
        <v>0</v>
      </c>
      <c r="N17" s="949" t="n"/>
      <c r="O17" s="949" t="n"/>
    </row>
    <row r="18">
      <c r="A18" s="949" t="n"/>
      <c r="B18" s="1318" t="n"/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Finance FTE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264" t="inlineStr">
        <is>
          <t>Name</t>
        </is>
      </c>
      <c r="C20" s="1264" t="inlineStr">
        <is>
          <t>Role</t>
        </is>
      </c>
      <c r="D20" s="1264" t="inlineStr">
        <is>
          <t>Status</t>
        </is>
      </c>
      <c r="E20" s="1264" t="inlineStr">
        <is>
          <t>Vacancy lever</t>
        </is>
      </c>
      <c r="F20" s="1264" t="inlineStr">
        <is>
          <t>Squad or overhead line</t>
        </is>
      </c>
      <c r="G20" s="1285" t="inlineStr">
        <is>
          <t>Cost if hired ($)</t>
        </is>
      </c>
      <c r="H20" s="1285" t="inlineStr">
        <is>
          <t>Effective cost ($)</t>
        </is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str">
        <f>INDEX('REVIEW - Complete Role Mapping'!$B:$B,528)</f>
        <v>Jens Tom</v>
      </c>
      <c r="C21" s="1264" t="str">
        <f>INDEX('REVIEW - Complete Role Mapping'!$C:$C,528)</f>
        <v>SAP Solution Architect</v>
      </c>
      <c r="D21" s="1264" t="str">
        <f>INDEX('REVIEW - Complete Role Mapping'!$AK:$AK,528)</f>
        <v>Filled</v>
      </c>
      <c r="E21" s="1264" t="inlineStr">
        <is>
          <t>Filled</t>
        </is>
      </c>
      <c r="F21" s="1264" t="str">
        <f>INDEX('REVIEW - Complete Role Mapping'!$AT:$AT,528)</f>
        <v>SAP ERP</v>
      </c>
      <c r="G21" s="1285">
        <f>INDEX('REVIEW - Complete Role Mapping'!$AA:$AA,528)</f>
        <v>355200</v>
      </c>
      <c r="H21" s="1285">
        <f>$G21*IFERROR(INDEX(Lists!$AD:$AD,MATCH($E21,Lists!$AC:$AC,0)),1)</f>
        <v>355200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Mapping'!$B:$B,453)</f>
        <v>Julma Bhagwani</v>
      </c>
      <c r="C22" s="634" t="str">
        <f>INDEX('REVIEW - Complete Role Mapping'!$C:$C,453)</f>
        <v>SAP ERP Application Lead</v>
      </c>
      <c r="D22" s="612" t="str">
        <f>INDEX('REVIEW - Complete Role Mapping'!$AK:$AK,453)</f>
        <v>Filled</v>
      </c>
      <c r="E22" s="612" t="inlineStr">
        <is>
          <t>Filled</t>
        </is>
      </c>
      <c r="F22" s="634" t="str">
        <f>INDEX('REVIEW - Complete Role Mapping'!$AT:$AT,453)</f>
        <v>SAP ERP</v>
      </c>
      <c r="G22" s="627">
        <f>INDEX('REVIEW - Complete Role Mapping'!$AA:$AA,453)</f>
        <v>239899.5</v>
      </c>
      <c r="H22" s="627">
        <f>$G22*IFERROR(INDEX(Lists!$AD:$AD,MATCH($E22,Lists!$AC:$AC,0)),1)</f>
        <v>239899.5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Mapping'!$B:$B,454)</f>
        <v>Maudud Chaudhury</v>
      </c>
      <c r="C23" s="634" t="str">
        <f>INDEX('REVIEW - Complete Role Mapping'!$C:$C,454)</f>
        <v>SAP ERP Application Lead</v>
      </c>
      <c r="D23" s="612" t="str">
        <f>INDEX('REVIEW - Complete Role Mapping'!$AK:$AK,454)</f>
        <v>Filled</v>
      </c>
      <c r="E23" s="647" t="inlineStr">
        <is>
          <t>Filled</t>
        </is>
      </c>
      <c r="F23" s="648" t="str">
        <f>INDEX('REVIEW - Complete Role Mapping'!$AT:$AT,454)</f>
        <v>SAP ERP</v>
      </c>
      <c r="G23" s="627">
        <f>INDEX('REVIEW - Complete Role Mapping'!$AA:$AA,454)</f>
        <v>214093.95</v>
      </c>
      <c r="H23" s="627">
        <f>$G23*IFERROR(INDEX(Lists!$AD:$AD,MATCH($E23,Lists!$AC:$AC,0)),1)</f>
        <v>214093.95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Mapping'!$B:$B,495)</f>
        <v>Vacant</v>
      </c>
      <c r="C24" s="634" t="str">
        <f>INDEX('REVIEW - Complete Role Mapping'!$C:$C,495)</f>
        <v>SAP Functional Specialist</v>
      </c>
      <c r="D24" s="612" t="str">
        <f>INDEX('REVIEW - Complete Role Mapping'!$AK:$AK,495)</f>
        <v>Vacant</v>
      </c>
      <c r="E24" s="647" t="inlineStr">
        <is>
          <t>Hire</t>
        </is>
      </c>
      <c r="F24" s="648" t="str">
        <f>INDEX('REVIEW - Complete Role Mapping'!$AT:$AT,495)</f>
        <v>SAP ERP</v>
      </c>
      <c r="G24" s="627">
        <f>INDEX('REVIEW - Complete Role Mapping'!$AA:$AA,495)</f>
        <v>231689.25</v>
      </c>
      <c r="H24" s="627">
        <f>$G24*IFERROR(INDEX(Lists!$AD:$AD,MATCH($E24,Lists!$AC:$AC,0)),1)</f>
        <v>231689.25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Mapping'!$B:$B,496)</f>
        <v>Vacant</v>
      </c>
      <c r="C25" s="634" t="str">
        <f>INDEX('REVIEW - Complete Role Mapping'!$C:$C,496)</f>
        <v>SAP Functional Specialist</v>
      </c>
      <c r="D25" s="612" t="str">
        <f>INDEX('REVIEW - Complete Role Mapping'!$AK:$AK,496)</f>
        <v>Vacant</v>
      </c>
      <c r="E25" s="647" t="inlineStr">
        <is>
          <t>Hire</t>
        </is>
      </c>
      <c r="F25" s="648" t="str">
        <f>INDEX('REVIEW - Complete Role Mapping'!$AT:$AT,496)</f>
        <v>SAP ERP</v>
      </c>
      <c r="G25" s="627">
        <f>INDEX('REVIEW - Complete Role Mapping'!$AA:$AA,496)</f>
        <v>231689.25</v>
      </c>
      <c r="H25" s="627">
        <f>$G25*IFERROR(INDEX(Lists!$AD:$AD,MATCH($E25,Lists!$AC:$AC,0)),1)</f>
        <v>231689.25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Mapping'!$B:$B,497)</f>
        <v>Vacant</v>
      </c>
      <c r="C26" s="634" t="str">
        <f>INDEX('REVIEW - Complete Role Mapping'!$C:$C,497)</f>
        <v>SAP Functional Specialist</v>
      </c>
      <c r="D26" s="612" t="str">
        <f>INDEX('REVIEW - Complete Role Mapping'!$AK:$AK,497)</f>
        <v>Vacant</v>
      </c>
      <c r="E26" s="647" t="inlineStr">
        <is>
          <t>Hire</t>
        </is>
      </c>
      <c r="F26" s="648" t="str">
        <f>INDEX('REVIEW - Complete Role Mapping'!$AT:$AT,497)</f>
        <v>SAP ERP</v>
      </c>
      <c r="G26" s="627">
        <f>INDEX('REVIEW - Complete Role Mapping'!$AA:$AA,497)</f>
        <v>231689.25</v>
      </c>
      <c r="H26" s="627">
        <f>$G26*IFERROR(INDEX(Lists!$AD:$AD,MATCH($E26,Lists!$AC:$AC,0)),1)</f>
        <v>231689.25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Mapping'!$B:$B,498)</f>
        <v>Vacant</v>
      </c>
      <c r="C27" s="634" t="str">
        <f>INDEX('REVIEW - Complete Role Mapping'!$C:$C,498)</f>
        <v>SAP Functional Specialist</v>
      </c>
      <c r="D27" s="612" t="str">
        <f>INDEX('REVIEW - Complete Role Mapping'!$AK:$AK,498)</f>
        <v>Vacant</v>
      </c>
      <c r="E27" s="647" t="inlineStr">
        <is>
          <t>Hire</t>
        </is>
      </c>
      <c r="F27" s="648" t="str">
        <f>INDEX('REVIEW - Complete Role Mapping'!$AT:$AT,498)</f>
        <v>SAP ERP</v>
      </c>
      <c r="G27" s="627">
        <f>INDEX('REVIEW - Complete Role Mapping'!$AA:$AA,498)</f>
        <v>231689.25</v>
      </c>
      <c r="H27" s="627">
        <f>$G27*IFERROR(INDEX(Lists!$AD:$AD,MATCH($E27,Lists!$AC:$AC,0)),1)</f>
        <v>231689.25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Mapping'!$B:$B,499)</f>
        <v>Vacant</v>
      </c>
      <c r="C28" s="634" t="str">
        <f>INDEX('REVIEW - Complete Role Mapping'!$C:$C,499)</f>
        <v>Solution Architect - Finance</v>
      </c>
      <c r="D28" s="612" t="str">
        <f>INDEX('REVIEW - Complete Role Mapping'!$AK:$AK,499)</f>
        <v>Vacant</v>
      </c>
      <c r="E28" s="647" t="inlineStr">
        <is>
          <t>Hire</t>
        </is>
      </c>
      <c r="F28" s="648" t="str">
        <f>INDEX('REVIEW - Complete Role Mapping'!$AT:$AT,499)</f>
        <v>SAP ERP</v>
      </c>
      <c r="G28" s="627">
        <f>INDEX('REVIEW - Complete Role Mapping'!$AA:$AA,499)</f>
        <v>231689.25</v>
      </c>
      <c r="H28" s="627">
        <f>$G28*IFERROR(INDEX(Lists!$AD:$AD,MATCH($E28,Lists!$AC:$AC,0)),1)</f>
        <v>231689.25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Mapping'!$B:$B,501)</f>
        <v>Vacant</v>
      </c>
      <c r="C29" s="634" t="str">
        <f>INDEX('REVIEW - Complete Role Mapping'!$C:$C,501)</f>
        <v>Delivery Lead (SAP)</v>
      </c>
      <c r="D29" s="612" t="str">
        <f>INDEX('REVIEW - Complete Role Mapping'!$AK:$AK,501)</f>
        <v>Vacant</v>
      </c>
      <c r="E29" s="647" t="inlineStr">
        <is>
          <t>Hire</t>
        </is>
      </c>
      <c r="F29" s="648" t="str">
        <f>INDEX('REVIEW - Complete Role Mapping'!$AT:$AT,501)</f>
        <v>SAP ERP</v>
      </c>
      <c r="G29" s="627">
        <f>INDEX('REVIEW - Complete Role Mapping'!$AA:$AA,501)</f>
        <v>231689.25</v>
      </c>
      <c r="H29" s="627">
        <f>$G29*IFERROR(INDEX(Lists!$AD:$AD,MATCH($E29,Lists!$AC:$AC,0)),1)</f>
        <v>231689.25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Mapping'!$B:$B,526)</f>
        <v>Vacant</v>
      </c>
      <c r="C30" s="634" t="str">
        <f>INDEX('REVIEW - Complete Role Mapping'!$C:$C,526)</f>
        <v>Integration Specialist (ASAPIO CTRM)</v>
      </c>
      <c r="D30" s="612" t="str">
        <f>INDEX('REVIEW - Complete Role Mapping'!$AK:$AK,526)</f>
        <v>Vacant</v>
      </c>
      <c r="E30" s="612" t="inlineStr">
        <is>
          <t>Hire</t>
        </is>
      </c>
      <c r="F30" s="634" t="str">
        <f>INDEX('REVIEW - Complete Role Mapping'!$AT:$AT,526)</f>
        <v>SAP ERP</v>
      </c>
      <c r="G30" s="627">
        <f>INDEX('REVIEW - Complete Role Mapping'!$AA:$AA,526)</f>
        <v>174856.62</v>
      </c>
      <c r="H30" s="627">
        <f>$G30*IFERROR(INDEX(Lists!$AD:$AD,MATCH($E30,Lists!$AC:$AC,0)),1)</f>
        <v>174856.62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Mapping'!$B:$B,456)</f>
        <v>Leilanie Avilla</v>
      </c>
      <c r="C31" s="646" t="str">
        <f>INDEX('REVIEW - Complete Role Mapping'!$C:$C,456)</f>
        <v>JDE Systems Specialist</v>
      </c>
      <c r="D31" s="646" t="str">
        <f>INDEX('REVIEW - Complete Role Mapping'!$AK:$AK,456)</f>
        <v>Filled</v>
      </c>
      <c r="E31" s="646" t="inlineStr">
        <is>
          <t>Filled</t>
        </is>
      </c>
      <c r="F31" s="646" t="str">
        <f>INDEX('REVIEW - Complete Role Mapping'!$AT:$AT,456)</f>
        <v>NZ Finance</v>
      </c>
      <c r="G31" s="627">
        <f>INDEX('REVIEW - Complete Role Mapping'!$AA:$AA,456)</f>
        <v>107420.712</v>
      </c>
      <c r="H31" s="627">
        <f>$G31*IFERROR(INDEX(Lists!$AD:$AD,MATCH($E31,Lists!$AC:$AC,0)),1)</f>
        <v>107420.712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Mapping'!$B:$B,457)</f>
        <v>Lydia Pritchard</v>
      </c>
      <c r="C32" s="634" t="str">
        <f>INDEX('REVIEW - Complete Role Mapping'!$C:$C,457)</f>
        <v>Lead JDE Systems Specialist</v>
      </c>
      <c r="D32" s="612" t="str">
        <f>INDEX('REVIEW - Complete Role Mapping'!$AK:$AK,457)</f>
        <v>Filled</v>
      </c>
      <c r="E32" s="612" t="inlineStr">
        <is>
          <t>Filled</t>
        </is>
      </c>
      <c r="F32" s="634" t="str">
        <f>INDEX('REVIEW - Complete Role Mapping'!$AT:$AT,457)</f>
        <v>NZ Finance</v>
      </c>
      <c r="G32" s="627">
        <f>INDEX('REVIEW - Complete Role Mapping'!$AA:$AA,457)</f>
        <v>198099.684</v>
      </c>
      <c r="H32" s="627">
        <f>$G32*IFERROR(INDEX(Lists!$AD:$AD,MATCH($E32,Lists!$AC:$AC,0)),1)</f>
        <v>198099.684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Mapping'!$B:$B,458)</f>
        <v>Ring fenced</v>
      </c>
      <c r="C33" s="634" t="str">
        <f>INDEX('REVIEW - Complete Role Mapping'!$C:$C,458)</f>
        <v>JDE Senior Systems Specialist</v>
      </c>
      <c r="D33" s="612" t="str">
        <f>INDEX('REVIEW - Complete Role Mapping'!$AK:$AK,458)</f>
        <v>Filled</v>
      </c>
      <c r="E33" s="612" t="inlineStr">
        <is>
          <t>Filled</t>
        </is>
      </c>
      <c r="F33" s="634" t="str">
        <f>INDEX('REVIEW - Complete Role Mapping'!$AT:$AT,458)</f>
        <v>NZ Finance</v>
      </c>
      <c r="G33" s="627">
        <f>INDEX('REVIEW - Complete Role Mapping'!$AA:$AA,458)</f>
        <v>183966</v>
      </c>
      <c r="H33" s="627">
        <f>$G33*IFERROR(INDEX(Lists!$AD:$AD,MATCH($E33,Lists!$AC:$AC,0)),1)</f>
        <v>183966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Mapping'!$B:$B,459)</f>
        <v>Ring fenced</v>
      </c>
      <c r="C34" s="634" t="str">
        <f>INDEX('REVIEW - Complete Role Mapping'!$C:$C,459)</f>
        <v>JDE Senior Systems Specialist</v>
      </c>
      <c r="D34" s="612" t="str">
        <f>INDEX('REVIEW - Complete Role Mapping'!$AK:$AK,459)</f>
        <v>Filled</v>
      </c>
      <c r="E34" s="647" t="inlineStr">
        <is>
          <t>Filled</t>
        </is>
      </c>
      <c r="F34" s="648" t="str">
        <f>INDEX('REVIEW - Complete Role Mapping'!$AT:$AT,459)</f>
        <v>NZ Finance</v>
      </c>
      <c r="G34" s="627">
        <f>INDEX('REVIEW - Complete Role Mapping'!$AA:$AA,459)</f>
        <v>183966</v>
      </c>
      <c r="H34" s="627">
        <f>$G34*IFERROR(INDEX(Lists!$AD:$AD,MATCH($E34,Lists!$AC:$AC,0)),1)</f>
        <v>183966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Mapping'!$B:$B,500)</f>
        <v>Vacant</v>
      </c>
      <c r="C35" s="634" t="str">
        <f>INDEX('REVIEW - Complete Role Mapping'!$C:$C,500)</f>
        <v>Delivery Lead (JDE)</v>
      </c>
      <c r="D35" s="612" t="str">
        <f>INDEX('REVIEW - Complete Role Mapping'!$AK:$AK,500)</f>
        <v>Vacant</v>
      </c>
      <c r="E35" s="647" t="inlineStr">
        <is>
          <t>Hire</t>
        </is>
      </c>
      <c r="F35" s="648" t="str">
        <f>INDEX('REVIEW - Complete Role Mapping'!$AT:$AT,500)</f>
        <v>NZ Finance</v>
      </c>
      <c r="G35" s="627">
        <f>INDEX('REVIEW - Complete Role Mapping'!$AA:$AA,500)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Mapping'!$B:$B,447)</f>
        <v>Ee Lynn Yap</v>
      </c>
      <c r="C36" s="634" t="str">
        <f>INDEX('REVIEW - Complete Role Mapping'!$C:$C,447)</f>
        <v>SAP ERP Application Lead</v>
      </c>
      <c r="D36" s="612" t="str">
        <f>INDEX('REVIEW - Complete Role Mapping'!$AK:$AK,447)</f>
        <v>Filled</v>
      </c>
      <c r="E36" s="647" t="inlineStr">
        <is>
          <t>Filled</t>
        </is>
      </c>
      <c r="F36" s="648" t="str">
        <f>INDEX('REVIEW - Complete Role Mapping'!$AT:$AT,447)</f>
        <v>EGI Finance</v>
      </c>
      <c r="G36" s="1267">
        <f>INDEX('REVIEW - Complete Role Mapping'!$AA:$AA,447)</f>
        <v>241728.45</v>
      </c>
      <c r="H36" s="1267">
        <f>$G36*IFERROR(INDEX(Lists!$AD:$AD,MATCH($E36,Lists!$AC:$AC,0)),1)</f>
        <v>241728.45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str">
        <f>INDEX('REVIEW - Complete Role Mapping'!$B:$B,455)</f>
        <v>Shane Ker</v>
      </c>
      <c r="C37" s="646" t="str">
        <f>INDEX('REVIEW - Complete Role Mapping'!$C:$C,455)</f>
        <v>Technology Manger - Finance Platfoms</v>
      </c>
      <c r="D37" s="646" t="str">
        <f>INDEX('REVIEW - Complete Role Mapping'!$AK:$AK,455)</f>
        <v>Filled</v>
      </c>
      <c r="E37" s="646" t="inlineStr">
        <is>
          <t>Filled</t>
        </is>
      </c>
      <c r="F37" s="646" t="str">
        <f>INDEX('REVIEW - Complete Role Mapping'!$AT:$AT,455)</f>
        <v>Technology Manager</v>
      </c>
      <c r="G37" s="1267">
        <f>INDEX('REVIEW - Complete Role Mapping'!$AA:$AA,455)</f>
        <v>323560.45</v>
      </c>
      <c r="H37" s="1267">
        <f>$G37*IFERROR(INDEX(Lists!$AD:$AD,MATCH($E37,Lists!$AC:$AC,0)),1)</f>
        <v>323560.45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n"/>
      <c r="C38" s="634" t="n"/>
      <c r="D38" s="612" t="n"/>
      <c r="E38" s="612" t="n"/>
      <c r="F38" s="634" t="n"/>
      <c r="G38" s="627" t="n"/>
      <c r="H38" s="627" t="n"/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9:D35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1:E3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Infrastructure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Distribution, Sales &amp; Services</t>
        </is>
      </c>
      <c r="C6" s="635" t="str">
        <f>IFERROR(INDEX('1.7 Infrastructure'!$C$24:$C$41,MATCH($S6,'1.7 Infrastructure'!$B$24:$B$41,0)),"No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COUNTIFS($F$25:$F$60,$B6)</f>
        <v>10</v>
      </c>
      <c r="F6" s="1250">
        <f>IFERROR($E6-$D6,"-")</f>
        <v>1</v>
      </c>
      <c r="G6" s="1250">
        <f>COUNTIFS($F$25:$F$60,$B6,$D$25:$D$60,"Vacant")</f>
        <v>2</v>
      </c>
      <c r="H6" s="1250">
        <f>COUNTIFS($F$25:$F$60,$B6,$D$25:$D$60,"Vacant",$E$25:$E$60,"Hire")+COUNTIFS($F$25:$F$60,$B6,$D$25:$D$60,"Vacant",$E$25:$E$60,"Offshore")</f>
        <v>2</v>
      </c>
      <c r="I6" s="1250">
        <f>COUNTIFS($F$25:$F$60,$B6,$D$25:$D$60,"Vacant",$E$25:$E$60,"Hold")</f>
        <v>0</v>
      </c>
      <c r="J6" s="1251">
        <f>$E6-COUNTIFS($F$25:$F$60,$B6,$E$25:$E$60,"Hold")</f>
        <v>10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IFERROR(IF(INDEX('1.7 Infrastructure'!$E$24:$E$41,MATCH($S6,'1.7 Infrastructure'!$B$24:$B$41,0))="Offshore",INDEX('0.3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2.12727365</v>
      </c>
      <c r="N6" s="1252">
        <f>IFERROR($M6-$L6,"-")</f>
        <v>0.0272736499999997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Mapping'!$AK$2:$AK$528,"Filled")+SUMIFS($H$25:$H$60,$F$25:$F$60,$B6))/1000000</f>
        <v>3.8812043</v>
      </c>
      <c r="P6" s="1254">
        <f>$O6-$M6</f>
        <v>1.75393065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0.373343</v>
      </c>
      <c r="R6" t="str">
        <f>IFERROR(IF(INDEX('1.7 Infrastructure'!$D$24:$D$41,MATCH($S6,'1.7 Infrastructure'!$B$24:$B$41,0))="","-",INDEX('1.7 Infrastructure'!$D$24:$D$41,MATCH($S6,'1.7 Infrastructure'!$B$24:$B$41,0))),"-")</f>
        <v>M</v>
      </c>
      <c r="S6" t="str">
        <f>IFERROR(INDEX(Lists!$AA:$AA,MATCH($B6,Lists!$Z:$Z,0)),$B6)</f>
        <v>Distribution, Sales &amp; Services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Infrastructure'!$C$24:$C$41,MATCH($S7,'1.7 Infrastructure'!$B$24:$B$41,0)),"No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COUNTIFS($F$25:$F$60,$B7)</f>
        <v>9</v>
      </c>
      <c r="F7" s="1250">
        <f>IFERROR($E7-$D7,"-")</f>
        <v>0</v>
      </c>
      <c r="G7" s="1250">
        <f>COUNTIFS($F$25:$F$60,$B7,$D$25:$D$60,"Vacant")</f>
        <v>2</v>
      </c>
      <c r="H7" s="1250">
        <f>COUNTIFS($F$25:$F$60,$B7,$D$25:$D$60,"Vacant",$E$25:$E$60,"Hire")+COUNTIFS($F$25:$F$60,$B7,$D$25:$D$60,"Vacant",$E$25:$E$60,"Offshore")</f>
        <v>2</v>
      </c>
      <c r="I7" s="1250">
        <f>COUNTIFS($F$25:$F$60,$B7,$D$25:$D$60,"Vacant",$E$25:$E$60,"Hold")</f>
        <v>0</v>
      </c>
      <c r="J7" s="1251">
        <f>$E7-COUNTIFS($F$25:$F$60,$B7,$E$25:$E$60,"Hold")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IFERROR(IF(INDEX('1.7 Infrastructure'!$E$24:$E$41,MATCH($S7,'1.7 Infrastructure'!$B$24:$B$41,0))="Offshore",INDEX('0.3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1.9147733</v>
      </c>
      <c r="N7" s="1252">
        <f>IFERROR($M7-$L7,"-")</f>
        <v>-0.1852267</v>
      </c>
      <c r="O7" s="1253">
        <f>(SUMIFS('REVIEW - Complete Role Mapping'!$AA$2:$AA$528,'REVIEW - Complete Role Mapping'!$AJ$2:$AJ$528,$C$3,'REVIEW - Complete Role Mapping'!$AT$2:$AT$528,$B7,'REVIEW - Complete Role Mapping'!$AK$2:$AK$528,"Filled")+SUMIFS($H$25:$H$60,$F$25:$F$60,$B7))/1000000</f>
        <v>3.4273676</v>
      </c>
      <c r="P7" s="1254">
        <f>$O7-$M7</f>
        <v>1.5125943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IFERROR(IF(INDEX('1.7 Infrastructure'!$D$24:$D$41,MATCH($S7,'1.7 Infrastructure'!$B$24:$B$41,0))="","-",INDEX('1.7 Infrastructure'!$D$24:$D$41,MATCH($S7,'1.7 Infrastructure'!$B$24:$B$41,0))),"-")</f>
        <v>M</v>
      </c>
      <c r="S7" t="str">
        <f>IFERROR(INDEX(Lists!$AA:$AA,MATCH($B7,Lists!$Z:$Z,0)),$B7)</f>
        <v>Manufacturing Group Projects</v>
      </c>
    </row>
    <row r="8">
      <c r="A8" s="949" t="n"/>
      <c r="B8" s="634" t="inlineStr">
        <is>
          <t>Data &amp; Insights</t>
        </is>
      </c>
      <c r="C8" s="635" t="str">
        <f>IFERROR(INDEX('1.7 Infrastructure'!$C$24:$C$41,MATCH($S8,'1.7 Infrastructure'!$B$24:$B$41,0)),"No archetype for this squad")</f>
        <v>Configuration / Integration</v>
      </c>
      <c r="D8" s="1249">
        <f>IFERROR(INDEX('0.3 Squad Archetypes'!$F$5:$F$23,MATCH($C8&amp;"|"&amp;$R8,'0.3 Squad Archetypes'!$A$5:$A$23,0)),"-")</f>
        <v>6</v>
      </c>
      <c r="E8" s="1250">
        <f>COUNTIFS($F$25:$F$60,$B8)</f>
        <v>7</v>
      </c>
      <c r="F8" s="1250">
        <f>IFERROR($E8-$D8,"-")</f>
        <v>1</v>
      </c>
      <c r="G8" s="1250">
        <f>COUNTIFS($F$25:$F$60,$B8,$D$25:$D$60,"Vacant")</f>
        <v>5</v>
      </c>
      <c r="H8" s="1250">
        <f>COUNTIFS($F$25:$F$60,$B8,$D$25:$D$60,"Vacant",$E$25:$E$60,"Hire")+COUNTIFS($F$25:$F$60,$B8,$D$25:$D$60,"Vacant",$E$25:$E$60,"Offshore")</f>
        <v>5</v>
      </c>
      <c r="I8" s="1250">
        <f>COUNTIFS($F$25:$F$60,$B8,$D$25:$D$60,"Vacant",$E$25:$E$60,"Hold")</f>
        <v>0</v>
      </c>
      <c r="J8" s="1251">
        <f>$E8-COUNTIFS($F$25:$F$60,$B8,$E$25:$E$60,"Hold")</f>
        <v>7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IFERROR(IF(INDEX('1.7 Infrastructure'!$E$24:$E$41,MATCH($S8,'1.7 Infrastructure'!$B$24:$B$41,0))="Offshore",INDEX('0.3 Squad Archetypes'!$H$5:$H$23,MATCH($C8&amp;"|"&amp;$R8,'0.3 Squad Archetypes'!$A$5:$A$23,0)),INDEX('0.3 Squad Archetypes'!$G$5:$G$23,MATCH($C8&amp;"|"&amp;$R8,'0.3 Squad Archetypes'!$A$5:$A$23,0))),"-")</f>
        <v>1.4</v>
      </c>
      <c r="M8" s="1252">
        <f>SUMIFS('REVIEW - Complete Role Mapping'!$AA$2:$AA$528,'REVIEW - Complete Role Mapping'!$AJ$2:$AJ$528,$C$3,'REVIEW - Complete Role Mapping'!$AT$2:$AT$528,$B8)/1000000</f>
        <v>1.51725675</v>
      </c>
      <c r="N8" s="1252">
        <f>IFERROR($M8-$L8,"-")</f>
        <v>0.11725675</v>
      </c>
      <c r="O8" s="1253">
        <f>(SUMIFS('REVIEW - Complete Role Mapping'!$AA$2:$AA$528,'REVIEW - Complete Role Mapping'!$AJ$2:$AJ$528,$C$3,'REVIEW - Complete Role Mapping'!$AT$2:$AT$528,$B8,'REVIEW - Complete Role Mapping'!$AK$2:$AK$528,"Filled")+SUMIFS($H$25:$H$60,$F$25:$F$60,$B8))/1000000</f>
        <v>1.9926795</v>
      </c>
      <c r="P8" s="1254">
        <f>$O8-$M8</f>
        <v>0.47542275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1.041834</v>
      </c>
      <c r="R8" t="str">
        <f>IFERROR(IF(INDEX('1.7 Infrastructure'!$D$24:$D$41,MATCH($S8,'1.7 Infrastructure'!$B$24:$B$41,0))="","-",INDEX('1.7 Infrastructure'!$D$24:$D$41,MATCH($S8,'1.7 Infrastructure'!$B$24:$B$41,0))),"-")</f>
        <v>S</v>
      </c>
      <c r="S8" t="str">
        <f>IFERROR(INDEX(Lists!$AA:$AA,MATCH($B8,Lists!$Z:$Z,0)),$B8)</f>
        <v>Data &amp; Insights</v>
      </c>
    </row>
    <row r="9">
      <c r="A9" s="949" t="n"/>
      <c r="B9" s="640" t="inlineStr">
        <is>
          <t>Technology Support</t>
        </is>
      </c>
      <c r="C9" s="635" t="str">
        <f>IFERROR(INDEX('1.7 Infrastructure'!$C$24:$C$41,MATCH($S9,'1.7 Infrastructure'!$B$24:$B$41,0)),"No archetype for this squad")</f>
        <v>Operations</v>
      </c>
      <c r="D9" s="1249">
        <f>IFERROR(INDEX('0.3 Squad Archetypes'!$F$5:$F$23,MATCH($C9&amp;"|"&amp;$R9,'0.3 Squad Archetypes'!$A$5:$A$23,0)),"-")</f>
        <v>4</v>
      </c>
      <c r="E9" s="1250">
        <f>COUNTIFS($F$25:$F$60,$B9)</f>
        <v>5</v>
      </c>
      <c r="F9" s="1250">
        <f>IFERROR($E9-$D9,"-")</f>
        <v>1</v>
      </c>
      <c r="G9" s="1250">
        <f>COUNTIFS($F$25:$F$60,$B9,$D$25:$D$60,"Vacant")</f>
        <v>0</v>
      </c>
      <c r="H9" s="1250">
        <f>COUNTIFS($F$25:$F$60,$B9,$D$25:$D$60,"Vacant",$E$25:$E$60,"Hire")+COUNTIFS($F$25:$F$60,$B9,$D$25:$D$60,"Vacant",$E$25:$E$60,"Offshore")</f>
        <v>0</v>
      </c>
      <c r="I9" s="1250">
        <f>COUNTIFS($F$25:$F$60,$B9,$D$25:$D$60,"Vacant",$E$25:$E$60,"Hold")</f>
        <v>0</v>
      </c>
      <c r="J9" s="1251">
        <f>$E9-COUNTIFS($F$25:$F$60,$B9,$E$25:$E$60,"Hold")</f>
        <v>5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IFERROR(IF(INDEX('1.7 Infrastructure'!$E$24:$E$41,MATCH($S9,'1.7 Infrastructure'!$B$24:$B$41,0))="Offshore",INDEX('0.3 Squad Archetypes'!$H$5:$H$23,MATCH($C9&amp;"|"&amp;$R9,'0.3 Squad Archetypes'!$A$5:$A$23,0)),INDEX('0.3 Squad Archetypes'!$G$5:$G$23,MATCH($C9&amp;"|"&amp;$R9,'0.3 Squad Archetypes'!$A$5:$A$23,0))),"-")</f>
        <v>0.8</v>
      </c>
      <c r="M9" s="1252">
        <f>SUMIFS('REVIEW - Complete Role Mapping'!$AA$2:$AA$528,'REVIEW - Complete Role Mapping'!$AJ$2:$AJ$528,$C$3,'REVIEW - Complete Role Mapping'!$AT$2:$AT$528,$B9)/1000000</f>
        <v>0.74133529</v>
      </c>
      <c r="N9" s="1252">
        <f>IFERROR($M9-$L9,"-")</f>
        <v>-0.0586647100000002</v>
      </c>
      <c r="O9" s="1253">
        <f>(SUMIFS('REVIEW - Complete Role Mapping'!$AA$2:$AA$528,'REVIEW - Complete Role Mapping'!$AJ$2:$AJ$528,$C$3,'REVIEW - Complete Role Mapping'!$AT$2:$AT$528,$B9,'REVIEW - Complete Role Mapping'!$AK$2:$AK$528,"Filled")+SUMIFS($H$25:$H$60,$F$25:$F$60,$B9))/1000000</f>
        <v>1.48267058</v>
      </c>
      <c r="P9" s="1254">
        <f>$O9-$M9</f>
        <v>0.74133529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IFERROR(IF(INDEX('1.7 Infrastructure'!$D$24:$D$41,MATCH($S9,'1.7 Infrastructure'!$B$24:$B$41,0))="","-",INDEX('1.7 Infrastructure'!$D$24:$D$41,MATCH($S9,'1.7 Infrastructure'!$B$24:$B$41,0))),"-")</f>
        <v>S</v>
      </c>
      <c r="S9" t="str">
        <f>IFERROR(INDEX(Lists!$AA:$AA,MATCH($B9,Lists!$Z:$Z,0)),$B9)</f>
        <v>Technology Support</v>
      </c>
    </row>
    <row r="10">
      <c r="A10" s="949" t="n"/>
      <c r="B10" s="641" t="inlineStr">
        <is>
          <t>Leadership</t>
        </is>
      </c>
      <c r="C10" s="641" t="str">
        <f>IFERROR(INDEX('1.7 Infrastructure'!$C$24:$C$41,MATCH($S10,'1.7 Infrastructure'!$B$24:$B$41,0)),"No archetype for this squad")</f>
        <v>No archetype for this squad</v>
      </c>
      <c r="D10" s="1255" t="str">
        <f>IFERROR(INDEX('0.3 Squad Archetypes'!$F$5:$F$23,MATCH($C10&amp;"|"&amp;$R10,'0.3 Squad Archetypes'!$A$5:$A$23,0)),"-")</f>
        <v>-</v>
      </c>
      <c r="E10" s="1255">
        <f>COUNTIFS($F$25:$F$60,$B10)</f>
        <v>1</v>
      </c>
      <c r="F10" s="1255" t="str">
        <f>IFERROR($E10-$D10,"-")</f>
        <v>-</v>
      </c>
      <c r="G10" s="1255">
        <f>COUNTIFS($F$25:$F$60,$B10,$D$25:$D$60,"Vacant")</f>
        <v>0</v>
      </c>
      <c r="H10" s="1255">
        <f>COUNTIFS($F$25:$F$60,$B10,$D$25:$D$60,"Vacant",$E$25:$E$60,"Hire")+COUNTIFS($F$25:$F$60,$B10,$D$25:$D$60,"Vacant",$E$25:$E$60,"Offshore")</f>
        <v>0</v>
      </c>
      <c r="I10" s="1255">
        <f>COUNTIFS($F$25:$F$60,$B10,$D$25:$D$60,"Vacant",$E$25:$E$60,"Hold")</f>
        <v>0</v>
      </c>
      <c r="J10" s="1256">
        <f>$E10-COUNTIFS($F$25:$F$60,$B10,$E$25:$E$60,"Hold")</f>
        <v>1</v>
      </c>
      <c r="K10" s="1155" t="str">
        <f>IF(NOT(ISNUMBER($D10)),"No archetype - see 0.3",IF($J10&gt;$D10,"Over archetype after decisions",IF($J10&lt;$D10,"Under archetype","On archetype")))</f>
        <v>No archetype - see 0.3</v>
      </c>
      <c r="L10" s="1257" t="str">
        <f>IFERROR(IF(INDEX('1.7 Infrastructure'!$E$24:$E$41,MATCH($S10,'1.7 Infrastructure'!$B$24:$B$41,0))="Offshore",INDEX('0.3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7">
        <f>SUMIFS('REVIEW - Complete Role Mapping'!$AA$2:$AA$528,'REVIEW - Complete Role Mapping'!$AJ$2:$AJ$528,$C$3,'REVIEW - Complete Role Mapping'!$AT$2:$AT$528,$B10)/1000000</f>
        <v>0.2566671</v>
      </c>
      <c r="N10" s="1257" t="str">
        <f>IFERROR($M10-$L10,"-")</f>
        <v>-</v>
      </c>
      <c r="O10" s="1258">
        <f>(SUMIFS('REVIEW - Complete Role Mapping'!$AA$2:$AA$528,'REVIEW - Complete Role Mapping'!$AJ$2:$AJ$528,$C$3,'REVIEW - Complete Role Mapping'!$AT$2:$AT$528,$B10,'REVIEW - Complete Role Mapping'!$AK$2:$AK$528,"Filled")+SUMIFS($H$25:$H$60,$F$25:$F$60,$B10))/1000000</f>
        <v>0.5133342</v>
      </c>
      <c r="P10" s="1254">
        <f>$O10-$M10</f>
        <v>0.2566671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IFERROR(IF(INDEX('1.7 Infrastructure'!$D$24:$D$41,MATCH($S10,'1.7 Infrastructure'!$B$24:$B$41,0))="","-",INDEX('1.7 Infrastructure'!$D$24:$D$41,MATCH($S10,'1.7 Infrastructure'!$B$24:$B$41,0))),"-")</f>
        <v>-</v>
      </c>
      <c r="S10" t="str">
        <f>IFERROR(INDEX(Lists!$AA:$AA,MATCH($B10,Lists!$Z:$Z,0)),$B10)</f>
        <v>Leadership</v>
      </c>
    </row>
    <row r="11">
      <c r="A11" s="949" t="n"/>
      <c r="B11" s="1226" t="inlineStr">
        <is>
          <t>Delivery squads</t>
        </is>
      </c>
      <c r="C11" s="645" t="n"/>
      <c r="D11" s="1261">
        <f>SUMIF($D$6:$D$10,"&gt;=0")</f>
        <v>28</v>
      </c>
      <c r="E11" s="1262">
        <f>SUM(E6:E10)</f>
        <v>32</v>
      </c>
      <c r="F11" s="1261">
        <f>SUMPRODUCT(--ISNUMBER($D$6:$D$10),$E$6:$E$10)-SUMIF($D$6:$D$10,"&gt;=0")</f>
        <v>3</v>
      </c>
      <c r="G11" s="1261">
        <f>SUM(G6:G10)</f>
        <v>9</v>
      </c>
      <c r="H11" s="1261">
        <f>SUM(H6:H10)</f>
        <v>9</v>
      </c>
      <c r="I11" s="1261">
        <f>SUM(I6:I10)</f>
        <v>0</v>
      </c>
      <c r="J11" s="1261">
        <f>SUM(J6:J10)</f>
        <v>32</v>
      </c>
      <c r="K11" s="949" t="n"/>
      <c r="L11" s="1263">
        <f>SUMIF($L$6:$L$10,"&gt;=0")</f>
        <v>6.4</v>
      </c>
      <c r="M11" s="1263">
        <f>SUM(M6:M10)</f>
        <v>6.55730609</v>
      </c>
      <c r="N11" s="1263">
        <f>SUMPRODUCT(--ISNUMBER($L$6:$L$10),$M$6:$M$10)-SUMIF($L$6:$L$10,"&gt;=0")</f>
        <v>-0.0993610100000009</v>
      </c>
      <c r="O11" s="1263">
        <f>SUM(O6:O10)</f>
        <v>11.29725618</v>
      </c>
      <c r="P11" s="1254">
        <f>SUM(P6:P10)</f>
        <v>4.73995009</v>
      </c>
      <c r="Q11" s="1254">
        <f>SUM(Q6:Q10)</f>
        <v>1.817356</v>
      </c>
    </row>
    <row r="12">
      <c r="A12" s="949" t="n"/>
      <c r="B12" s="1298" t="inlineStr">
        <is>
          <t>Overhead roles inside this portfolio - compared to the allowance</t>
        </is>
      </c>
      <c r="C12" s="645" t="n"/>
      <c r="D12" s="1261" t="n"/>
      <c r="E12" s="1262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98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COUNTIFS($F$25:$F$60,$B13)</f>
        <v>1</v>
      </c>
      <c r="F13" s="1261" t="str">
        <f>"-"</f>
        <v>-</v>
      </c>
      <c r="G13" s="1261">
        <f>COUNTIFS($F$25:$F$60,$B13,$D$25:$D$60,"Vacant")</f>
        <v>0</v>
      </c>
      <c r="H13" s="1261">
        <f>COUNTIFS($F$25:$F$60,$B13,$D$25:$D$60,"Vacant",$E$25:$E$60,"Hire")+COUNTIFS($F$25:$F$60,$B13,$D$25:$D$60,"Vacant",$E$25:$E$60,"Offshore")</f>
        <v>0</v>
      </c>
      <c r="I13" s="1261">
        <f>COUNTIFS($F$25:$F$60,$B13,$D$25:$D$60,"Vacant",$E$25:$E$60,"Hold")</f>
        <v>0</v>
      </c>
      <c r="J13" s="1261">
        <f>$E13-COUNTIFS($F$25:$F$60,$B13,$E$25:$E$60,"Hold")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0.3636267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Mapping'!$AK$2:$AK$528,"Filled")+SUMIFS($H$25:$H$60,$F$25:$F$60,$B13))/1000000</f>
        <v>0.7272534</v>
      </c>
      <c r="P13" s="1254">
        <f>$O13-$M13</f>
        <v>0.3636267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1">
        <f>COUNTIFS($F$25:$F$60,$B14)</f>
        <v>1</v>
      </c>
      <c r="F14" s="1261" t="str">
        <f>"-"</f>
        <v>-</v>
      </c>
      <c r="G14" s="1261">
        <f>COUNTIFS($F$25:$F$60,$B14,$D$25:$D$60,"Vacant")</f>
        <v>1</v>
      </c>
      <c r="H14" s="1261">
        <f>COUNTIFS($F$25:$F$60,$B14,$D$25:$D$60,"Vacant",$E$25:$E$60,"Hire")+COUNTIFS($F$25:$F$60,$B14,$D$25:$D$60,"Vacant",$E$25:$E$60,"Offshore")</f>
        <v>1</v>
      </c>
      <c r="I14" s="1261">
        <f>COUNTIFS($F$25:$F$60,$B14,$D$25:$D$60,"Vacant",$E$25:$E$60,"Hold")</f>
        <v>0</v>
      </c>
      <c r="J14" s="1261">
        <f>$E14-COUNTIFS($F$25:$F$60,$B14,$E$25:$E$60,"Hold")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Mapping'!$AK$2:$AK$528,"Filled")+SUMIFS($H$25:$H$60,$F$25:$F$60,$B14))/1000000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645" t="str">
        <f>"Overhead - see 3.2"</f>
        <v>Overhead - see 3.2</v>
      </c>
      <c r="D15" s="1281" t="str">
        <f>"-"</f>
        <v>-</v>
      </c>
      <c r="E15" s="1262">
        <f>COUNTIFS($F$25:$F$60,$B15)</f>
        <v>2</v>
      </c>
      <c r="F15" s="1281" t="str">
        <f>"-"</f>
        <v>-</v>
      </c>
      <c r="G15" s="1281">
        <f>COUNTIFS($F$25:$F$60,$B15,$D$25:$D$60,"Vacant")</f>
        <v>2</v>
      </c>
      <c r="H15" s="1281">
        <f>COUNTIFS($F$25:$F$60,$B15,$D$25:$D$60,"Vacant",$E$25:$E$60,"Hire")+COUNTIFS($F$25:$F$60,$B15,$D$25:$D$60,"Vacant",$E$25:$E$60,"Offshore")</f>
        <v>2</v>
      </c>
      <c r="I15" s="1281">
        <f>COUNTIFS($F$25:$F$60,$B15,$D$25:$D$60,"Vacant",$E$25:$E$60,"Hold")</f>
        <v>0</v>
      </c>
      <c r="J15" s="1281">
        <f>$E15-COUNTIFS($F$25:$F$60,$B15,$E$25:$E$60,"Hold")</f>
        <v>2</v>
      </c>
      <c r="K15" s="442" t="str">
        <f>"Overhead"</f>
        <v>Overhead</v>
      </c>
      <c r="L15" s="1282" t="str">
        <f>"-"</f>
        <v>-</v>
      </c>
      <c r="M15" s="1282">
        <f>SUMIFS('REVIEW - Complete Role Mapping'!$AA$2:$AA$528,'REVIEW - Complete Role Mapping'!$AJ$2:$AJ$528,$C$3,'REVIEW - Complete Role Mapping'!$AT$2:$AT$528,$B15)/1000000</f>
        <v>0.5516205</v>
      </c>
      <c r="N15" s="1282" t="str">
        <f>"-"</f>
        <v>-</v>
      </c>
      <c r="O15" s="1263">
        <f>(SUMIFS('REVIEW - Complete Role Mapping'!$AA$2:$AA$528,'REVIEW - Complete Role Mapping'!$AJ$2:$AJ$528,$C$3,'REVIEW - Complete Role Mapping'!$AT$2:$AT$528,$B15,'REVIEW - Complete Role Mapping'!$AK$2:$AK$528,"Filled")+SUMIFS($H$25:$H$60,$F$25:$F$60,$B15))/1000000</f>
        <v>0.5516205</v>
      </c>
      <c r="P15" s="1254">
        <f>$O15-$M15</f>
        <v>0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0.5516205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645" t="n"/>
      <c r="D16" s="1281" t="n"/>
      <c r="E16" s="1262">
        <f>SUM(E13:E15)</f>
        <v>4</v>
      </c>
      <c r="F16" s="1281" t="n"/>
      <c r="G16" s="1281">
        <f>SUM(G13:G15)</f>
        <v>3</v>
      </c>
      <c r="H16" s="1281">
        <f>SUM(H13:H15)</f>
        <v>3</v>
      </c>
      <c r="I16" s="1281">
        <f>SUM(I13:I15)</f>
        <v>0</v>
      </c>
      <c r="J16" s="1281">
        <f>SUM(J13:J15)</f>
        <v>4</v>
      </c>
      <c r="K16" s="442" t="n"/>
      <c r="L16" s="1282" t="n"/>
      <c r="M16" s="1282">
        <f>SUM(M13:M15)</f>
        <v>1.19105745</v>
      </c>
      <c r="N16" s="1282" t="n"/>
      <c r="O16" s="1263">
        <f>SUM(O13:O15)</f>
        <v>1.55468415</v>
      </c>
      <c r="P16" s="1254">
        <f>SUM(P13:P15)</f>
        <v>0.3636267</v>
      </c>
      <c r="Q16" s="1254">
        <f>SUM(Q13:Q15)</f>
        <v>0.82743075</v>
      </c>
    </row>
    <row r="17" ht="15.65" customHeight="1">
      <c r="A17" s="949" t="n"/>
      <c r="B17" s="994" t="n"/>
      <c r="C17" s="430" t="n"/>
      <c r="D17" s="1280" t="n"/>
      <c r="E17" s="1280" t="n"/>
      <c r="F17" s="1280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64" t="inlineStr">
        <is>
          <t>Total portfolio</t>
        </is>
      </c>
      <c r="C18" s="1264" t="n"/>
      <c r="D18" s="1289">
        <f>$D11</f>
        <v>28</v>
      </c>
      <c r="E18" s="1289">
        <f>$E11+$E16</f>
        <v>36</v>
      </c>
      <c r="F18" s="1289">
        <f>IFERROR($E11-$D11,"-")</f>
        <v>4</v>
      </c>
      <c r="G18" s="1290">
        <f>$G11+$G16</f>
        <v>12</v>
      </c>
      <c r="H18" s="1290">
        <f>$H11+$H16</f>
        <v>12</v>
      </c>
      <c r="I18" s="1261">
        <f>$I11+$I16</f>
        <v>0</v>
      </c>
      <c r="J18" s="1261">
        <f>$J11+$J16</f>
        <v>36</v>
      </c>
      <c r="K18" s="949" t="n"/>
      <c r="L18" s="1263">
        <f>$L11</f>
        <v>6.4</v>
      </c>
      <c r="M18" s="1263">
        <f>$M11+$M16</f>
        <v>7.74836354</v>
      </c>
      <c r="N18" s="1263">
        <f>IFERROR($M11-$L11,"-")</f>
        <v>0.157306089999999</v>
      </c>
      <c r="O18" s="1263">
        <f>$O11+$O16</f>
        <v>12.85194033</v>
      </c>
      <c r="P18" s="1254">
        <f>$P11+$P16</f>
        <v>5.10357679</v>
      </c>
      <c r="Q18" s="1254">
        <f>$Q11+$Q16</f>
        <v>2.64478675</v>
      </c>
    </row>
    <row r="19">
      <c r="A19" s="949" t="n"/>
      <c r="B19" s="1315" t="inlineStr">
        <is>
          <t>Archetype columns D, F, L and N cover the delivery squads only - overhead is not priced by a squad archetype.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roles vs the ledger, must be 0</t>
        </is>
      </c>
      <c r="C20" s="634" t="n"/>
      <c r="D20" s="612" t="n"/>
      <c r="E20" s="612">
        <f>COUNTIFS('REVIEW - Complete Role Mapping'!$AJ$2:$AJ$528,$C$3)-$E18</f>
        <v>0</v>
      </c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Control - cost vs the ledger ($m), must be 0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34" t="n"/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Infrastructure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Mapping'!$B:$B,341)</f>
        <v>Angus Gibson</v>
      </c>
      <c r="C25" s="634" t="str">
        <f>INDEX('REVIEW - Complete Role Mapping'!$C:$C,341)</f>
        <v>Senior Systems Analyst</v>
      </c>
      <c r="D25" s="612" t="str">
        <f>INDEX('REVIEW - Complete Role Mapping'!$AK:$AK,341)</f>
        <v>Filled</v>
      </c>
      <c r="E25" s="612" t="inlineStr">
        <is>
          <t>Filled</t>
        </is>
      </c>
      <c r="F25" s="634" t="str">
        <f>INDEX('REVIEW - Complete Role Mapping'!$AT:$AT,341)</f>
        <v>Distribution, Sales &amp; Services</v>
      </c>
      <c r="G25" s="627">
        <f>INDEX('REVIEW - Complete Role Mapping'!$AA:$AA,341)</f>
        <v>235494</v>
      </c>
      <c r="H25" s="627">
        <f>$G25*IFERROR(INDEX(Lists!$AD:$AD,MATCH($E25,Lists!$AC:$AC,0)),1)</f>
        <v>235494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Mapping'!$B:$B,345)</f>
        <v>Anvitha Kurra</v>
      </c>
      <c r="C26" s="634" t="str">
        <f>INDEX('REVIEW - Complete Role Mapping'!$C:$C,345)</f>
        <v>Senior Systems Analyst</v>
      </c>
      <c r="D26" s="612" t="str">
        <f>INDEX('REVIEW - Complete Role Mapping'!$AK:$AK,345)</f>
        <v>Filled</v>
      </c>
      <c r="E26" s="647" t="inlineStr">
        <is>
          <t>Filled</t>
        </is>
      </c>
      <c r="F26" s="648" t="str">
        <f>INDEX('REVIEW - Complete Role Mapping'!$AT:$AT,345)</f>
        <v>Distribution, Sales &amp; Services</v>
      </c>
      <c r="G26" s="627">
        <f>INDEX('REVIEW - Complete Role Mapping'!$AA:$AA,345)</f>
        <v>215388.9</v>
      </c>
      <c r="H26" s="627">
        <f>$G26*IFERROR(INDEX(Lists!$AD:$AD,MATCH($E26,Lists!$AC:$AC,0)),1)</f>
        <v>215388.9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Mapping'!$B:$B,349)</f>
        <v>Breanna Hua</v>
      </c>
      <c r="C27" s="634" t="str">
        <f>INDEX('REVIEW - Complete Role Mapping'!$C:$C,349)</f>
        <v>Systems Analyst</v>
      </c>
      <c r="D27" s="612" t="str">
        <f>INDEX('REVIEW - Complete Role Mapping'!$AK:$AK,349)</f>
        <v>Filled</v>
      </c>
      <c r="E27" s="647" t="inlineStr">
        <is>
          <t>Filled</t>
        </is>
      </c>
      <c r="F27" s="648" t="str">
        <f>INDEX('REVIEW - Complete Role Mapping'!$AT:$AT,349)</f>
        <v>Distribution, Sales &amp; Services</v>
      </c>
      <c r="G27" s="627">
        <f>INDEX('REVIEW - Complete Role Mapping'!$AA:$AA,349)</f>
        <v>167149.65</v>
      </c>
      <c r="H27" s="627">
        <f>$G27*IFERROR(INDEX(Lists!$AD:$AD,MATCH($E27,Lists!$AC:$AC,0)),1)</f>
        <v>167149.65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Mapping'!$B:$B,375)</f>
        <v>Jodi Higgins</v>
      </c>
      <c r="C28" s="634" t="str">
        <f>INDEX('REVIEW - Complete Role Mapping'!$C:$C,375)</f>
        <v>Delivery Lead</v>
      </c>
      <c r="D28" s="612" t="str">
        <f>INDEX('REVIEW - Complete Role Mapping'!$AK:$AK,375)</f>
        <v>Filled</v>
      </c>
      <c r="E28" s="612" t="inlineStr">
        <is>
          <t>Filled</t>
        </is>
      </c>
      <c r="F28" s="634" t="str">
        <f>INDEX('REVIEW - Complete Role Mapping'!$AT:$AT,375)</f>
        <v>Distribution, Sales &amp; Services</v>
      </c>
      <c r="G28" s="627">
        <f>INDEX('REVIEW - Complete Role Mapping'!$AA:$AA,375)</f>
        <v>257481.45</v>
      </c>
      <c r="H28" s="627">
        <f>$G28*IFERROR(INDEX(Lists!$AD:$AD,MATCH($E28,Lists!$AC:$AC,0)),1)</f>
        <v>257481.45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Mapping'!$B:$B,397)</f>
        <v>Rebecca Estepa</v>
      </c>
      <c r="C29" s="646" t="str">
        <f>INDEX('REVIEW - Complete Role Mapping'!$C:$C,397)</f>
        <v>Snr Business Analyst</v>
      </c>
      <c r="D29" s="646" t="str">
        <f>INDEX('REVIEW - Complete Role Mapping'!$AK:$AK,397)</f>
        <v>Filled</v>
      </c>
      <c r="E29" s="646" t="inlineStr">
        <is>
          <t>Filled</t>
        </is>
      </c>
      <c r="F29" s="646" t="str">
        <f>INDEX('REVIEW - Complete Role Mapping'!$AT:$AT,397)</f>
        <v>Distribution, Sales &amp; Services</v>
      </c>
      <c r="G29" s="627">
        <f>INDEX('REVIEW - Complete Role Mapping'!$AA:$AA,397)</f>
        <v>233331.3</v>
      </c>
      <c r="H29" s="627">
        <f>$G29*IFERROR(INDEX(Lists!$AD:$AD,MATCH($E29,Lists!$AC:$AC,0)),1)</f>
        <v>233331.3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Mapping'!$B:$B,400)</f>
        <v>Rohan Patel</v>
      </c>
      <c r="C30" s="634" t="str">
        <f>INDEX('REVIEW - Complete Role Mapping'!$C:$C,400)</f>
        <v>Senior Systems Analyst</v>
      </c>
      <c r="D30" s="612" t="str">
        <f>INDEX('REVIEW - Complete Role Mapping'!$AK:$AK,400)</f>
        <v>Filled</v>
      </c>
      <c r="E30" s="612" t="inlineStr">
        <is>
          <t>Filled</t>
        </is>
      </c>
      <c r="F30" s="634" t="str">
        <f>INDEX('REVIEW - Complete Role Mapping'!$AT:$AT,400)</f>
        <v>Distribution, Sales &amp; Services</v>
      </c>
      <c r="G30" s="627">
        <f>INDEX('REVIEW - Complete Role Mapping'!$AA:$AA,400)</f>
        <v>209394.75</v>
      </c>
      <c r="H30" s="627">
        <f>$G30*IFERROR(INDEX(Lists!$AD:$AD,MATCH($E30,Lists!$AC:$AC,0)),1)</f>
        <v>209394.75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Mapping'!$B:$B,404)</f>
        <v>Siva Chimmani</v>
      </c>
      <c r="C31" s="634" t="str">
        <f>INDEX('REVIEW - Complete Role Mapping'!$C:$C,404)</f>
        <v>Senior Engineer</v>
      </c>
      <c r="D31" s="612" t="str">
        <f>INDEX('REVIEW - Complete Role Mapping'!$AK:$AK,404)</f>
        <v>Filled</v>
      </c>
      <c r="E31" s="612" t="inlineStr">
        <is>
          <t>Filled</t>
        </is>
      </c>
      <c r="F31" s="634" t="str">
        <f>INDEX('REVIEW - Complete Role Mapping'!$AT:$AT,404)</f>
        <v>Distribution, Sales &amp; Services</v>
      </c>
      <c r="G31" s="627">
        <f>INDEX('REVIEW - Complete Role Mapping'!$AA:$AA,404)</f>
        <v>213600</v>
      </c>
      <c r="H31" s="627">
        <f>$G31*IFERROR(INDEX(Lists!$AD:$AD,MATCH($E31,Lists!$AC:$AC,0)),1)</f>
        <v>213600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Mapping'!$B:$B,406)</f>
        <v>Sriramani Deyyala</v>
      </c>
      <c r="C32" s="634" t="str">
        <f>INDEX('REVIEW - Complete Role Mapping'!$C:$C,406)</f>
        <v>Systems Analyst</v>
      </c>
      <c r="D32" s="612" t="str">
        <f>INDEX('REVIEW - Complete Role Mapping'!$AK:$AK,406)</f>
        <v>Filled</v>
      </c>
      <c r="E32" s="612" t="inlineStr">
        <is>
          <t>Filled</t>
        </is>
      </c>
      <c r="F32" s="634" t="str">
        <f>INDEX('REVIEW - Complete Role Mapping'!$AT:$AT,406)</f>
        <v>Distribution, Sales &amp; Services</v>
      </c>
      <c r="G32" s="627">
        <f>INDEX('REVIEW - Complete Role Mapping'!$AA:$AA,406)</f>
        <v>222090.6</v>
      </c>
      <c r="H32" s="627">
        <f>$G32*IFERROR(INDEX(Lists!$AD:$AD,MATCH($E32,Lists!$AC:$AC,0)),1)</f>
        <v>222090.6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Mapping'!$B:$B,431)</f>
        <v>Vacant</v>
      </c>
      <c r="C33" s="634" t="str">
        <f>INDEX('REVIEW - Complete Role Mapping'!$C:$C,431)</f>
        <v>Quality Assurance</v>
      </c>
      <c r="D33" s="612" t="str">
        <f>INDEX('REVIEW - Complete Role Mapping'!$AK:$AK,431)</f>
        <v>Vacant</v>
      </c>
      <c r="E33" s="612" t="inlineStr">
        <is>
          <t>Hire</t>
        </is>
      </c>
      <c r="F33" s="634" t="str">
        <f>INDEX('REVIEW - Complete Role Mapping'!$AT:$AT,431)</f>
        <v>Distribution, Sales &amp; Services</v>
      </c>
      <c r="G33" s="627">
        <f>INDEX('REVIEW - Complete Role Mapping'!$AA:$AA,431)</f>
        <v>170489.75</v>
      </c>
      <c r="H33" s="627">
        <f>$G33*IFERROR(INDEX(Lists!$AD:$AD,MATCH($E33,Lists!$AC:$AC,0)),1)</f>
        <v>170489.75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Mapping'!$B:$B,432)</f>
        <v>Vacant</v>
      </c>
      <c r="C34" s="634" t="str">
        <f>INDEX('REVIEW - Complete Role Mapping'!$C:$C,432)</f>
        <v>Business Analyst</v>
      </c>
      <c r="D34" s="612" t="str">
        <f>INDEX('REVIEW - Complete Role Mapping'!$AK:$AK,432)</f>
        <v>Vacant</v>
      </c>
      <c r="E34" s="612" t="inlineStr">
        <is>
          <t>Hire</t>
        </is>
      </c>
      <c r="F34" s="634" t="str">
        <f>INDEX('REVIEW - Complete Role Mapping'!$AT:$AT,432)</f>
        <v>Distribution, Sales &amp; Services</v>
      </c>
      <c r="G34" s="627">
        <f>INDEX('REVIEW - Complete Role Mapping'!$AA:$AA,432)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Mapping'!$B:$B,333)</f>
        <v>Akhil Sriram</v>
      </c>
      <c r="C35" s="646" t="str">
        <f>INDEX('REVIEW - Complete Role Mapping'!$C:$C,333)</f>
        <v>Snr Business Analyst</v>
      </c>
      <c r="D35" s="646" t="str">
        <f>INDEX('REVIEW - Complete Role Mapping'!$AK:$AK,333)</f>
        <v>Filled</v>
      </c>
      <c r="E35" s="646" t="inlineStr">
        <is>
          <t>Filled</t>
        </is>
      </c>
      <c r="F35" s="646" t="str">
        <f>INDEX('REVIEW - Complete Role Mapping'!$AT:$AT,333)</f>
        <v>Manufacturing Group Projects</v>
      </c>
      <c r="G35" s="627">
        <f>INDEX('REVIEW - Complete Role Mapping'!$AA:$AA,333)</f>
        <v>221796.9</v>
      </c>
      <c r="H35" s="627">
        <f>$G35*IFERROR(INDEX(Lists!$AD:$AD,MATCH($E35,Lists!$AC:$AC,0)),1)</f>
        <v>221796.9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Mapping'!$B:$B,356)</f>
        <v>Chris Camacho</v>
      </c>
      <c r="C36" s="634" t="str">
        <f>INDEX('REVIEW - Complete Role Mapping'!$C:$C,356)</f>
        <v>Senior Systems Analyst</v>
      </c>
      <c r="D36" s="612" t="str">
        <f>INDEX('REVIEW - Complete Role Mapping'!$AK:$AK,356)</f>
        <v>Filled</v>
      </c>
      <c r="E36" s="612" t="inlineStr">
        <is>
          <t>Filled</t>
        </is>
      </c>
      <c r="F36" s="634" t="str">
        <f>INDEX('REVIEW - Complete Role Mapping'!$AT:$AT,356)</f>
        <v>Manufacturing Group Projects</v>
      </c>
      <c r="G36" s="627">
        <f>INDEX('REVIEW - Complete Role Mapping'!$AA:$AA,356)</f>
        <v>225051.95</v>
      </c>
      <c r="H36" s="627">
        <f>$G36*IFERROR(INDEX(Lists!$AD:$AD,MATCH($E36,Lists!$AC:$AC,0)),1)</f>
        <v>225051.95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Mapping'!$B:$B,361)</f>
        <v>Fabian Moreno Cortes</v>
      </c>
      <c r="C37" s="634" t="str">
        <f>INDEX('REVIEW - Complete Role Mapping'!$C:$C,361)</f>
        <v>Engineer - Software</v>
      </c>
      <c r="D37" s="612" t="str">
        <f>INDEX('REVIEW - Complete Role Mapping'!$AK:$AK,361)</f>
        <v>Filled</v>
      </c>
      <c r="E37" s="612" t="inlineStr">
        <is>
          <t>Filled</t>
        </is>
      </c>
      <c r="F37" s="634" t="str">
        <f>INDEX('REVIEW - Complete Role Mapping'!$AT:$AT,361)</f>
        <v>Manufacturing Group Projects</v>
      </c>
      <c r="G37" s="627">
        <f>INDEX('REVIEW - Complete Role Mapping'!$AA:$AA,361)</f>
        <v>193575</v>
      </c>
      <c r="H37" s="627">
        <f>$G37*IFERROR(INDEX(Lists!$AD:$AD,MATCH($E37,Lists!$AC:$AC,0)),1)</f>
        <v>193575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Mapping'!$B:$B,372)</f>
        <v>Jaya Ganasan</v>
      </c>
      <c r="C38" s="634" t="str">
        <f>INDEX('REVIEW - Complete Role Mapping'!$C:$C,372)</f>
        <v>B2B &amp; Energy+B452:I452</v>
      </c>
      <c r="D38" s="612" t="str">
        <f>INDEX('REVIEW - Complete Role Mapping'!$AK:$AK,372)</f>
        <v>Filled</v>
      </c>
      <c r="E38" s="612" t="inlineStr">
        <is>
          <t>Filled</t>
        </is>
      </c>
      <c r="F38" s="634" t="str">
        <f>INDEX('REVIEW - Complete Role Mapping'!$AT:$AT,372)</f>
        <v>Manufacturing Group Projects</v>
      </c>
      <c r="G38" s="627">
        <f>INDEX('REVIEW - Complete Role Mapping'!$AA:$AA,372)</f>
        <v>257693.9</v>
      </c>
      <c r="H38" s="627">
        <f>$G38*IFERROR(INDEX(Lists!$AD:$AD,MATCH($E38,Lists!$AC:$AC,0)),1)</f>
        <v>257693.9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Mapping'!$B:$B,387)</f>
        <v>Louis Ballington</v>
      </c>
      <c r="C39" s="634" t="str">
        <f>INDEX('REVIEW - Complete Role Mapping'!$C:$C,387)</f>
        <v>Delivery Lead</v>
      </c>
      <c r="D39" s="612" t="str">
        <f>INDEX('REVIEW - Complete Role Mapping'!$AK:$AK,387)</f>
        <v>Filled</v>
      </c>
      <c r="E39" s="612" t="inlineStr">
        <is>
          <t>Filled</t>
        </is>
      </c>
      <c r="F39" s="634" t="str">
        <f>INDEX('REVIEW - Complete Role Mapping'!$AT:$AT,387)</f>
        <v>Manufacturing Group Projects</v>
      </c>
      <c r="G39" s="627">
        <f>INDEX('REVIEW - Complete Role Mapping'!$AA:$AA,387)</f>
        <v>256466.85</v>
      </c>
      <c r="H39" s="627">
        <f>$G39*IFERROR(INDEX(Lists!$AD:$AD,MATCH($E39,Lists!$AC:$AC,0)),1)</f>
        <v>256466.85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Mapping'!$B:$B,411)</f>
        <v>Tyler Meggs</v>
      </c>
      <c r="C40" s="634" t="str">
        <f>INDEX('REVIEW - Complete Role Mapping'!$C:$C,411)</f>
        <v>System Analyst</v>
      </c>
      <c r="D40" s="612" t="str">
        <f>INDEX('REVIEW - Complete Role Mapping'!$AK:$AK,411)</f>
        <v>Filled</v>
      </c>
      <c r="E40" s="612" t="inlineStr">
        <is>
          <t>Filled</t>
        </is>
      </c>
      <c r="F40" s="634" t="str">
        <f>INDEX('REVIEW - Complete Role Mapping'!$AT:$AT,411)</f>
        <v>Manufacturing Group Projects</v>
      </c>
      <c r="G40" s="627">
        <f>INDEX('REVIEW - Complete Role Mapping'!$AA:$AA,411)</f>
        <v>144650</v>
      </c>
      <c r="H40" s="627">
        <f>$G40*IFERROR(INDEX(Lists!$AD:$AD,MATCH($E40,Lists!$AC:$AC,0)),1)</f>
        <v>144650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Mapping'!$B:$B,443)</f>
        <v>Victor Olasanoye</v>
      </c>
      <c r="C41" s="634" t="str">
        <f>INDEX('REVIEW - Complete Role Mapping'!$C:$C,443)</f>
        <v>Senior Systems Analyst</v>
      </c>
      <c r="D41" s="612" t="str">
        <f>INDEX('REVIEW - Complete Role Mapping'!$AK:$AK,443)</f>
        <v>Filled</v>
      </c>
      <c r="E41" s="612" t="inlineStr">
        <is>
          <t>Filled</t>
        </is>
      </c>
      <c r="F41" s="634" t="str">
        <f>INDEX('REVIEW - Complete Role Mapping'!$AT:$AT,443)</f>
        <v>Manufacturing Group Projects</v>
      </c>
      <c r="G41" s="627">
        <f>INDEX('REVIEW - Complete Role Mapping'!$AA:$AA,443)</f>
        <v>213359.7</v>
      </c>
      <c r="H41" s="627">
        <f>$G41*IFERROR(INDEX(Lists!$AD:$AD,MATCH($E41,Lists!$AC:$AC,0)),1)</f>
        <v>213359.7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Mapping'!$B:$B,429)</f>
        <v>Vacant</v>
      </c>
      <c r="C42" s="634" t="str">
        <f>INDEX('REVIEW - Complete Role Mapping'!$C:$C,429)</f>
        <v>Quality Assurance</v>
      </c>
      <c r="D42" s="612" t="str">
        <f>INDEX('REVIEW - Complete Role Mapping'!$AK:$AK,429)</f>
        <v>Vacant</v>
      </c>
      <c r="E42" s="612" t="inlineStr">
        <is>
          <t>Hire</t>
        </is>
      </c>
      <c r="F42" s="634" t="str">
        <f>INDEX('REVIEW - Complete Role Mapping'!$AT:$AT,429)</f>
        <v>Manufacturing Group Projects</v>
      </c>
      <c r="G42" s="627">
        <f>INDEX('REVIEW - Complete Role Mapping'!$AA:$AA,429)</f>
        <v>170489.75</v>
      </c>
      <c r="H42" s="627">
        <f>$G42*IFERROR(INDEX(Lists!$AD:$AD,MATCH($E42,Lists!$AC:$AC,0)),1)</f>
        <v>170489.75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Mapping'!$B:$B,430)</f>
        <v>Vacant</v>
      </c>
      <c r="C43" s="634" t="str">
        <f>INDEX('REVIEW - Complete Role Mapping'!$C:$C,430)</f>
        <v>Solution Architect</v>
      </c>
      <c r="D43" s="612" t="str">
        <f>INDEX('REVIEW - Complete Role Mapping'!$AK:$AK,430)</f>
        <v>Vacant</v>
      </c>
      <c r="E43" s="612" t="inlineStr">
        <is>
          <t>Hire</t>
        </is>
      </c>
      <c r="F43" s="634" t="str">
        <f>INDEX('REVIEW - Complete Role Mapping'!$AT:$AT,430)</f>
        <v>Manufacturing Group Projects</v>
      </c>
      <c r="G43" s="627">
        <f>INDEX('REVIEW - Complete Role Mapping'!$AA:$AA,430)</f>
        <v>231689.25</v>
      </c>
      <c r="H43" s="627">
        <f>$G43*IFERROR(INDEX(Lists!$AD:$AD,MATCH($E43,Lists!$AC:$AC,0)),1)</f>
        <v>231689.25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Mapping'!$B:$B,403)</f>
        <v>Simrat Singh</v>
      </c>
      <c r="C44" s="634" t="str">
        <f>INDEX('REVIEW - Complete Role Mapping'!$C:$C,403)</f>
        <v>Reporting Analyst</v>
      </c>
      <c r="D44" s="612" t="str">
        <f>INDEX('REVIEW - Complete Role Mapping'!$AK:$AK,403)</f>
        <v>Filled</v>
      </c>
      <c r="E44" s="647" t="inlineStr">
        <is>
          <t>Filled</t>
        </is>
      </c>
      <c r="F44" s="648" t="str">
        <f>INDEX('REVIEW - Complete Role Mapping'!$AT:$AT,403)</f>
        <v>Data &amp; Insights</v>
      </c>
      <c r="G44" s="627">
        <f>INDEX('REVIEW - Complete Role Mapping'!$AA:$AA,403)</f>
        <v>197580</v>
      </c>
      <c r="H44" s="627">
        <f>$G44*IFERROR(INDEX(Lists!$AD:$AD,MATCH($E44,Lists!$AC:$AC,0)),1)</f>
        <v>197580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Mapping'!$B:$B,407)</f>
        <v>Stevani Kho</v>
      </c>
      <c r="C45" s="634" t="str">
        <f>INDEX('REVIEW - Complete Role Mapping'!$C:$C,407)</f>
        <v>Delivery Lead</v>
      </c>
      <c r="D45" s="612" t="str">
        <f>INDEX('REVIEW - Complete Role Mapping'!$AK:$AK,407)</f>
        <v>Filled</v>
      </c>
      <c r="E45" s="647" t="inlineStr">
        <is>
          <t>Filled</t>
        </is>
      </c>
      <c r="F45" s="648" t="str">
        <f>INDEX('REVIEW - Complete Role Mapping'!$AT:$AT,407)</f>
        <v>Data &amp; Insights</v>
      </c>
      <c r="G45" s="627">
        <f>INDEX('REVIEW - Complete Role Mapping'!$AA:$AA,407)</f>
        <v>277842.75</v>
      </c>
      <c r="H45" s="627">
        <f>$G45*IFERROR(INDEX(Lists!$AD:$AD,MATCH($E45,Lists!$AC:$AC,0)),1)</f>
        <v>277842.75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Mapping'!$B:$B,433)</f>
        <v>Vacant</v>
      </c>
      <c r="C46" s="646" t="str">
        <f>INDEX('REVIEW - Complete Role Mapping'!$C:$C,433)</f>
        <v>Data Analyst</v>
      </c>
      <c r="D46" s="646" t="str">
        <f>INDEX('REVIEW - Complete Role Mapping'!$AK:$AK,433)</f>
        <v>Vacant</v>
      </c>
      <c r="E46" s="646" t="inlineStr">
        <is>
          <t>Hire</t>
        </is>
      </c>
      <c r="F46" s="646" t="str">
        <f>INDEX('REVIEW - Complete Role Mapping'!$AT:$AT,433)</f>
        <v>Data &amp; Insights</v>
      </c>
      <c r="G46" s="627">
        <f>INDEX('REVIEW - Complete Role Mapping'!$AA:$AA,433)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Mapping'!$B:$B,434)</f>
        <v>Vacant</v>
      </c>
      <c r="C47" s="634" t="str">
        <f>INDEX('REVIEW - Complete Role Mapping'!$C:$C,434)</f>
        <v>Engineer Data</v>
      </c>
      <c r="D47" s="612" t="str">
        <f>INDEX('REVIEW - Complete Role Mapping'!$AK:$AK,434)</f>
        <v>Vacant</v>
      </c>
      <c r="E47" s="612" t="inlineStr">
        <is>
          <t>Hire</t>
        </is>
      </c>
      <c r="F47" s="634" t="str">
        <f>INDEX('REVIEW - Complete Role Mapping'!$AT:$AT,434)</f>
        <v>Data &amp; Insights</v>
      </c>
      <c r="G47" s="627">
        <f>INDEX('REVIEW - Complete Role Mapping'!$AA:$AA,434)</f>
        <v>202853.25</v>
      </c>
      <c r="H47" s="627">
        <f>$G47*IFERROR(INDEX(Lists!$AD:$AD,MATCH($E47,Lists!$AC:$AC,0)),1)</f>
        <v>202853.25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Mapping'!$B:$B,435)</f>
        <v>Vacant</v>
      </c>
      <c r="C48" s="634" t="str">
        <f>INDEX('REVIEW - Complete Role Mapping'!$C:$C,435)</f>
        <v>Lead Data Analyst</v>
      </c>
      <c r="D48" s="612" t="str">
        <f>INDEX('REVIEW - Complete Role Mapping'!$AK:$AK,435)</f>
        <v>Vacant</v>
      </c>
      <c r="E48" s="612" t="inlineStr">
        <is>
          <t>Hire</t>
        </is>
      </c>
      <c r="F48" s="634" t="str">
        <f>INDEX('REVIEW - Complete Role Mapping'!$AT:$AT,435)</f>
        <v>Data &amp; Insights</v>
      </c>
      <c r="G48" s="627">
        <f>INDEX('REVIEW - Complete Role Mapping'!$AA:$AA,435)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Mapping'!$B:$B,436)</f>
        <v>Vacant</v>
      </c>
      <c r="C49" s="634" t="str">
        <f>INDEX('REVIEW - Complete Role Mapping'!$C:$C,436)</f>
        <v>Reporting Analyst</v>
      </c>
      <c r="D49" s="612" t="str">
        <f>INDEX('REVIEW - Complete Role Mapping'!$AK:$AK,436)</f>
        <v>Vacant</v>
      </c>
      <c r="E49" s="647" t="inlineStr">
        <is>
          <t>Hire</t>
        </is>
      </c>
      <c r="F49" s="648" t="str">
        <f>INDEX('REVIEW - Complete Role Mapping'!$AT:$AT,436)</f>
        <v>Data &amp; Insights</v>
      </c>
      <c r="G49" s="627">
        <f>INDEX('REVIEW - Complete Role Mapping'!$AA:$AA,436)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Mapping'!$B:$B,437)</f>
        <v>Vacant</v>
      </c>
      <c r="C50" s="634" t="str">
        <f>INDEX('REVIEW - Complete Role Mapping'!$C:$C,437)</f>
        <v>Senior Engineer Data</v>
      </c>
      <c r="D50" s="612" t="str">
        <f>INDEX('REVIEW - Complete Role Mapping'!$AK:$AK,437)</f>
        <v>Vacant</v>
      </c>
      <c r="E50" s="647" t="inlineStr">
        <is>
          <t>Hire</t>
        </is>
      </c>
      <c r="F50" s="648" t="str">
        <f>INDEX('REVIEW - Complete Role Mapping'!$AT:$AT,437)</f>
        <v>Data &amp; Insights</v>
      </c>
      <c r="G50" s="627">
        <f>INDEX('REVIEW - Complete Role Mapping'!$AA:$AA,437)</f>
        <v>202853.25</v>
      </c>
      <c r="H50" s="627">
        <f>$G50*IFERROR(INDEX(Lists!$AD:$AD,MATCH($E50,Lists!$AC:$AC,0)),1)</f>
        <v>202853.25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Mapping'!$B:$B,335)</f>
        <v>Alison Rosier</v>
      </c>
      <c r="C51" s="634" t="str">
        <f>INDEX('REVIEW - Complete Role Mapping'!$C:$C,335)</f>
        <v>Technology Support Engineer - Infrastructure</v>
      </c>
      <c r="D51" s="612" t="str">
        <f>INDEX('REVIEW - Complete Role Mapping'!$AK:$AK,335)</f>
        <v>Filled</v>
      </c>
      <c r="E51" s="647" t="inlineStr">
        <is>
          <t>Filled</t>
        </is>
      </c>
      <c r="F51" s="648" t="str">
        <f>INDEX('REVIEW - Complete Role Mapping'!$AT:$AT,335)</f>
        <v>Technology Support</v>
      </c>
      <c r="G51" s="627">
        <f>INDEX('REVIEW - Complete Role Mapping'!$AA:$AA,335)</f>
        <v>162936.39</v>
      </c>
      <c r="H51" s="627">
        <f>$G51*IFERROR(INDEX(Lists!$AD:$AD,MATCH($E51,Lists!$AC:$AC,0)),1)</f>
        <v>162936.39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Mapping'!$B:$B,365)</f>
        <v>Glenn Earl</v>
      </c>
      <c r="C52" s="634" t="str">
        <f>INDEX('REVIEW - Complete Role Mapping'!$C:$C,365)</f>
        <v>Lead Technology Support - Infrastructure</v>
      </c>
      <c r="D52" s="612" t="str">
        <f>INDEX('REVIEW - Complete Role Mapping'!$AK:$AK,365)</f>
        <v>Filled</v>
      </c>
      <c r="E52" s="647" t="inlineStr">
        <is>
          <t>Filled</t>
        </is>
      </c>
      <c r="F52" s="648" t="str">
        <f>INDEX('REVIEW - Complete Role Mapping'!$AT:$AT,365)</f>
        <v>Technology Support</v>
      </c>
      <c r="G52" s="627">
        <f>INDEX('REVIEW - Complete Role Mapping'!$AA:$AA,365)</f>
        <v>171291.9</v>
      </c>
      <c r="H52" s="627">
        <f>$G52*IFERROR(INDEX(Lists!$AD:$AD,MATCH($E52,Lists!$AC:$AC,0)),1)</f>
        <v>171291.9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Mapping'!$B:$B,396)</f>
        <v>Radek Rybar</v>
      </c>
      <c r="C53" s="634" t="str">
        <f>INDEX('REVIEW - Complete Role Mapping'!$C:$C,396)</f>
        <v>Technology Support Engineer - Infrastructure</v>
      </c>
      <c r="D53" s="612" t="str">
        <f>INDEX('REVIEW - Complete Role Mapping'!$AK:$AK,396)</f>
        <v>Filled</v>
      </c>
      <c r="E53" s="647" t="inlineStr">
        <is>
          <t>Filled</t>
        </is>
      </c>
      <c r="F53" s="648" t="str">
        <f>INDEX('REVIEW - Complete Role Mapping'!$AT:$AT,396)</f>
        <v>Technology Support</v>
      </c>
      <c r="G53" s="627">
        <f>INDEX('REVIEW - Complete Role Mapping'!$AA:$AA,396)</f>
        <v>153697.2</v>
      </c>
      <c r="H53" s="627">
        <f>$G53*IFERROR(INDEX(Lists!$AD:$AD,MATCH($E53,Lists!$AC:$AC,0)),1)</f>
        <v>153697.2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Mapping'!$B:$B,401)</f>
        <v>Scott Hasson</v>
      </c>
      <c r="C54" s="646" t="str">
        <f>INDEX('REVIEW - Complete Role Mapping'!$C:$C,401)</f>
        <v>Technology Support Engineer - Infrastructure</v>
      </c>
      <c r="D54" s="646" t="str">
        <f>INDEX('REVIEW - Complete Role Mapping'!$AK:$AK,401)</f>
        <v>Filled</v>
      </c>
      <c r="E54" s="646" t="inlineStr">
        <is>
          <t>Filled</t>
        </is>
      </c>
      <c r="F54" s="646" t="str">
        <f>INDEX('REVIEW - Complete Role Mapping'!$AT:$AT,401)</f>
        <v>Technology Support</v>
      </c>
      <c r="G54" s="1267">
        <f>INDEX('REVIEW - Complete Role Mapping'!$AA:$AA,401)</f>
        <v>146727.7</v>
      </c>
      <c r="H54" s="1267">
        <f>$G54*IFERROR(INDEX(Lists!$AD:$AD,MATCH($E54,Lists!$AC:$AC,0)),1)</f>
        <v>146727.7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Mapping'!$B:$B,409)</f>
        <v>Tom Moore</v>
      </c>
      <c r="C55" s="634" t="str">
        <f>INDEX('REVIEW - Complete Role Mapping'!$C:$C,409)</f>
        <v>Technology Support Engineer - Infrastructure</v>
      </c>
      <c r="D55" s="612" t="str">
        <f>INDEX('REVIEW - Complete Role Mapping'!$AK:$AK,409)</f>
        <v>Filled</v>
      </c>
      <c r="E55" s="612" t="inlineStr">
        <is>
          <t>Filled</t>
        </is>
      </c>
      <c r="F55" s="634" t="str">
        <f>INDEX('REVIEW - Complete Role Mapping'!$AT:$AT,409)</f>
        <v>Technology Support</v>
      </c>
      <c r="G55" s="1267">
        <f>INDEX('REVIEW - Complete Role Mapping'!$AA:$AA,409)</f>
        <v>106682.1</v>
      </c>
      <c r="H55" s="1267">
        <f>$G55*IFERROR(INDEX(Lists!$AD:$AD,MATCH($E55,Lists!$AC:$AC,0)),1)</f>
        <v>106682.1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str">
        <f>INDEX('REVIEW - Complete Role Mapping'!$B:$B,364)</f>
        <v>George Moun</v>
      </c>
      <c r="C56" s="634" t="str">
        <f>INDEX('REVIEW - Complete Role Mapping'!$C:$C,364)</f>
        <v>Solution Architect</v>
      </c>
      <c r="D56" s="612" t="str">
        <f>INDEX('REVIEW - Complete Role Mapping'!$AK:$AK,364)</f>
        <v>Filled</v>
      </c>
      <c r="E56" s="612" t="inlineStr">
        <is>
          <t>Filled</t>
        </is>
      </c>
      <c r="F56" s="634" t="str">
        <f>INDEX('REVIEW - Complete Role Mapping'!$AT:$AT,364)</f>
        <v>Leadership</v>
      </c>
      <c r="G56" s="1267">
        <f>INDEX('REVIEW - Complete Role Mapping'!$AA:$AA,364)</f>
        <v>256667.1</v>
      </c>
      <c r="H56" s="1267">
        <f>$G56*IFERROR(INDEX(Lists!$AD:$AD,MATCH($E56,Lists!$AC:$AC,0)),1)</f>
        <v>256667.1</v>
      </c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str">
        <f>INDEX('REVIEW - Complete Role Mapping'!$B:$B,339)</f>
        <v>Amish Pandit</v>
      </c>
      <c r="C57" s="634" t="str">
        <f>INDEX('REVIEW - Complete Role Mapping'!$C:$C,339)</f>
        <v>Head of Technology, Fuel Infrastructure</v>
      </c>
      <c r="D57" s="612" t="str">
        <f>INDEX('REVIEW - Complete Role Mapping'!$AK:$AK,339)</f>
        <v>Filled</v>
      </c>
      <c r="E57" s="612" t="inlineStr">
        <is>
          <t>Filled</t>
        </is>
      </c>
      <c r="F57" s="634" t="str">
        <f>INDEX('REVIEW - Complete Role Mapping'!$AT:$AT,339)</f>
        <v>Head of Technology</v>
      </c>
      <c r="G57" s="1267">
        <f>INDEX('REVIEW - Complete Role Mapping'!$AA:$AA,339)</f>
        <v>363626.7</v>
      </c>
      <c r="H57" s="1267">
        <f>$G57*IFERROR(INDEX(Lists!$AD:$AD,MATCH($E57,Lists!$AC:$AC,0)),1)</f>
        <v>363626.7</v>
      </c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str">
        <f>INDEX('REVIEW - Complete Role Mapping'!$B:$B,426)</f>
        <v>Vacant</v>
      </c>
      <c r="C58" s="634" t="str">
        <f>INDEX('REVIEW - Complete Role Mapping'!$C:$C,426)</f>
        <v>Delivery manager</v>
      </c>
      <c r="D58" s="612" t="str">
        <f>INDEX('REVIEW - Complete Role Mapping'!$AK:$AK,426)</f>
        <v>Vacant</v>
      </c>
      <c r="E58" s="612" t="inlineStr">
        <is>
          <t>Hire</t>
        </is>
      </c>
      <c r="F58" s="634" t="str">
        <f>INDEX('REVIEW - Complete Role Mapping'!$AT:$AT,426)</f>
        <v>Delivery Manager</v>
      </c>
      <c r="G58" s="1267">
        <f>INDEX('REVIEW - Complete Role Mapping'!$AA:$AA,426)</f>
        <v>275810.25</v>
      </c>
      <c r="H58" s="1267">
        <f>$G58*IFERROR(INDEX(Lists!$AD:$AD,MATCH($E58,Lists!$AC:$AC,0)),1)</f>
        <v>275810.25</v>
      </c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str">
        <f>INDEX('REVIEW - Complete Role Mapping'!$B:$B,427)</f>
        <v>Vacant</v>
      </c>
      <c r="C59" s="634" t="str">
        <f>INDEX('REVIEW - Complete Role Mapping'!$C:$C,427)</f>
        <v>Technology Manager Data</v>
      </c>
      <c r="D59" s="612" t="str">
        <f>INDEX('REVIEW - Complete Role Mapping'!$AK:$AK,427)</f>
        <v>Vacant</v>
      </c>
      <c r="E59" s="612" t="inlineStr">
        <is>
          <t>Hire</t>
        </is>
      </c>
      <c r="F59" s="634" t="str">
        <f>INDEX('REVIEW - Complete Role Mapping'!$AT:$AT,427)</f>
        <v>Technology Manager</v>
      </c>
      <c r="G59" s="1267">
        <f>INDEX('REVIEW - Complete Role Mapping'!$AA:$AA,427)</f>
        <v>275810.25</v>
      </c>
      <c r="H59" s="1267">
        <f>$G59*IFERROR(INDEX(Lists!$AD:$AD,MATCH($E59,Lists!$AC:$AC,0)),1)</f>
        <v>275810.25</v>
      </c>
      <c r="I59" s="442" t="n"/>
      <c r="J59" s="442" t="n"/>
      <c r="K59" s="442" t="n"/>
      <c r="L59" s="442" t="n"/>
      <c r="M59" s="442" t="n"/>
      <c r="N59" s="442" t="n"/>
      <c r="O59" s="949" t="n"/>
    </row>
    <row r="60">
      <c r="B60" t="str">
        <f>INDEX('REVIEW - Complete Role Mapping'!$B:$B,428)</f>
        <v>Vacant</v>
      </c>
      <c r="C60" t="str">
        <f>INDEX('REVIEW - Complete Role Mapping'!$C:$C,428)</f>
        <v>Technology Manager, Future Infrastructure </v>
      </c>
      <c r="D60" t="str">
        <f>INDEX('REVIEW - Complete Role Mapping'!$AK:$AK,428)</f>
        <v>Vacant</v>
      </c>
      <c r="E60" t="inlineStr">
        <is>
          <t>Hire</t>
        </is>
      </c>
      <c r="F60" t="str">
        <f>INDEX('REVIEW - Complete Role Mapping'!$AT:$AT,428)</f>
        <v>Technology Manager</v>
      </c>
      <c r="G60" s="1274">
        <f>INDEX('REVIEW - Complete Role Mapping'!$AA:$AA,428)</f>
        <v>275810.25</v>
      </c>
      <c r="H60" s="1274">
        <f>$G60*IFERROR(INDEX(Lists!$AD:$AD,MATCH($E60,Lists!$AC:$AC,0)),1)</f>
        <v>275810.25</v>
      </c>
    </row>
  </sheetData>
  <conditionalFormatting sqref="D19:D5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5:E6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2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Energy Solutions &amp; B2B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B2B</t>
        </is>
      </c>
      <c r="C6" s="635" t="str">
        <f>IFERROR(INDEX('1.8 Energy Solutions &amp; B2B'!$C$26:$C$37,MATCH($S6,'1.8 Energy Solutions &amp; B2B'!$B$26:$B$37,0)),"No archetype for this squad")</f>
        <v>Configuration / Integration</v>
      </c>
      <c r="D6" s="1249">
        <f>IFERROR(INDEX('0.3 Squad Archetypes'!$F$5:$F$23,MATCH($C6&amp;"|"&amp;$R6,'0.3 Squad Archetypes'!$A$5:$A$23,0)),"-")</f>
        <v>14</v>
      </c>
      <c r="E6" s="1250">
        <f>COUNTIFS($F$23:$F$55,$B6)</f>
        <v>14</v>
      </c>
      <c r="F6" s="1250">
        <f>IFERROR($E6-$D6,"-")</f>
        <v>0</v>
      </c>
      <c r="G6" s="1250">
        <f>COUNTIFS($F$23:$F$55,$B6,$D$23:$D$55,"Vacant")</f>
        <v>3</v>
      </c>
      <c r="H6" s="1250">
        <f>COUNTIFS($F$23:$F$55,$B6,$D$23:$D$55,"Vacant",$E$23:$E$55,"Hire")+COUNTIFS($F$23:$F$55,$B6,$D$23:$D$55,"Vacant",$E$23:$E$55,"Offshore")</f>
        <v>3</v>
      </c>
      <c r="I6" s="1250">
        <f>COUNTIFS($F$23:$F$55,$B6,$D$23:$D$55,"Vacant",$E$23:$E$55,"Hold")</f>
        <v>0</v>
      </c>
      <c r="J6" s="1251">
        <f>$E6-COUNTIFS($F$23:$F$55,$B6,$E$23:$E$55,"Hold")</f>
        <v>14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IFERROR(IF(INDEX('1.8 Energy Solutions &amp; B2B'!$E$26:$E$37,MATCH($S6,'1.8 Energy Solutions &amp; B2B'!$B$26:$B$37,0))="Offshore",INDEX('0.3 Squad Archetypes'!$H$5:$H$23,MATCH($C6&amp;"|"&amp;$R6,'0.3 Squad Archetypes'!$A$5:$A$23,0)),INDEX('0.3 Squad Archetypes'!$G$5:$G$23,MATCH($C6&amp;"|"&amp;$R6,'0.3 Squad Archetypes'!$A$5:$A$23,0))),"-")</f>
        <v>3.2</v>
      </c>
      <c r="M6" s="1252">
        <f>SUMIFS('REVIEW - Complete Role Mapping'!$AA$2:$AA$528,'REVIEW - Complete Role Mapping'!$AJ$2:$AJ$528,$C$3,'REVIEW - Complete Role Mapping'!$AT$2:$AT$528,$B6)/1000000</f>
        <v>2.59351107</v>
      </c>
      <c r="N6" s="1252">
        <f>IFERROR($M6-$L6,"-")</f>
        <v>-0.60648893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Mapping'!$AK$2:$AK$528,"Filled")+SUMIFS($H$23:$H$55,$F$23:$F$55,$B6))/1000000</f>
        <v>4.54962639</v>
      </c>
      <c r="P6" s="1254">
        <f>$O6-$M6</f>
        <v>1.95611532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0.63739575</v>
      </c>
      <c r="R6" t="str">
        <f>IFERROR(IF(INDEX('1.8 Energy Solutions &amp; B2B'!$D$26:$D$37,MATCH($S6,'1.8 Energy Solutions &amp; B2B'!$B$26:$B$37,0))="","-",INDEX('1.8 Energy Solutions &amp; B2B'!$D$26:$D$37,MATCH($S6,'1.8 Energy Solutions &amp; B2B'!$B$26:$B$37,0))),"-")</f>
        <v>L</v>
      </c>
      <c r="S6" t="str">
        <f>IFERROR(INDEX(Lists!$AA:$AA,MATCH($B6,Lists!$Z:$Z,0)),$B6)</f>
        <v>B2B</v>
      </c>
    </row>
    <row r="7">
      <c r="A7" s="949" t="n"/>
      <c r="B7" s="640" t="inlineStr">
        <is>
          <t>Energy</t>
        </is>
      </c>
      <c r="C7" s="635" t="str">
        <f>IFERROR(INDEX('1.8 Energy Solutions &amp; B2B'!$C$26:$C$37,MATCH($S7,'1.8 Energy Solutions &amp; B2B'!$B$26:$B$37,0)),"No archetype for this squad")</f>
        <v>Engineering</v>
      </c>
      <c r="D7" s="1249">
        <f>IFERROR(INDEX('0.3 Squad Archetypes'!$F$5:$F$23,MATCH($C7&amp;"|"&amp;$R7,'0.3 Squad Archetypes'!$A$5:$A$23,0)),"-")</f>
        <v>12</v>
      </c>
      <c r="E7" s="1250">
        <f>COUNTIFS($F$23:$F$55,$B7)</f>
        <v>9</v>
      </c>
      <c r="F7" s="1250">
        <f>IFERROR($E7-$D7,"-")</f>
        <v>-3</v>
      </c>
      <c r="G7" s="1250">
        <f>COUNTIFS($F$23:$F$55,$B7,$D$23:$D$55,"Vacant")</f>
        <v>4</v>
      </c>
      <c r="H7" s="1250">
        <f>COUNTIFS($F$23:$F$55,$B7,$D$23:$D$55,"Vacant",$E$23:$E$55,"Hire")+COUNTIFS($F$23:$F$55,$B7,$D$23:$D$55,"Vacant",$E$23:$E$55,"Offshore")</f>
        <v>4</v>
      </c>
      <c r="I7" s="1250">
        <f>COUNTIFS($F$23:$F$55,$B7,$D$23:$D$55,"Vacant",$E$23:$E$55,"Hold")</f>
        <v>0</v>
      </c>
      <c r="J7" s="1251">
        <f>$E7-COUNTIFS($F$23:$F$55,$B7,$E$23:$E$55,"Hold")</f>
        <v>9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IFERROR(IF(INDEX('1.8 Energy Solutions &amp; B2B'!$E$26:$E$37,MATCH($S7,'1.8 Energy Solutions &amp; B2B'!$B$26:$B$37,0))="Offshore",INDEX('0.3 Squad Archetypes'!$H$5:$H$23,MATCH($C7&amp;"|"&amp;$R7,'0.3 Squad Archetypes'!$A$5:$A$23,0)),INDEX('0.3 Squad Archetypes'!$G$5:$G$23,MATCH($C7&amp;"|"&amp;$R7,'0.3 Squad Archetypes'!$A$5:$A$23,0))),"-")</f>
        <v>2.7</v>
      </c>
      <c r="M7" s="1252">
        <f>SUMIFS('REVIEW - Complete Role Mapping'!$AA$2:$AA$528,'REVIEW - Complete Role Mapping'!$AJ$2:$AJ$528,$C$3,'REVIEW - Complete Role Mapping'!$AT$2:$AT$528,$B7)/1000000</f>
        <v>1.803563966</v>
      </c>
      <c r="N7" s="1252">
        <f>IFERROR($M7-$L7,"-")</f>
        <v>-0.896436034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Mapping'!$AK$2:$AK$528,"Filled")+SUMIFS($H$23:$H$55,$F$23:$F$55,$B7))/1000000</f>
        <v>2.766878932</v>
      </c>
      <c r="P7" s="1254">
        <f>$O7-$M7</f>
        <v>0.963314966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0.840249</v>
      </c>
      <c r="R7" t="str">
        <f>IFERROR(IF(INDEX('1.8 Energy Solutions &amp; B2B'!$D$26:$D$37,MATCH($S7,'1.8 Energy Solutions &amp; B2B'!$B$26:$B$37,0))="","-",INDEX('1.8 Energy Solutions &amp; B2B'!$D$26:$D$37,MATCH($S7,'1.8 Energy Solutions &amp; B2B'!$B$26:$B$37,0))),"-")</f>
        <v>L</v>
      </c>
      <c r="S7" t="str">
        <f>IFERROR(INDEX(Lists!$AA:$AA,MATCH($B7,Lists!$Z:$Z,0)),$B7)</f>
        <v>Energy</v>
      </c>
    </row>
    <row r="8">
      <c r="A8" s="949" t="n"/>
      <c r="B8" s="634" t="inlineStr">
        <is>
          <t>EVCI</t>
        </is>
      </c>
      <c r="C8" s="635" t="str">
        <f>IFERROR(INDEX('1.8 Energy Solutions &amp; B2B'!$C$26:$C$37,MATCH($S8,'1.8 Energy Solutions &amp; B2B'!$B$26:$B$37,0)),"No archetype for this squad")</f>
        <v>Engineering</v>
      </c>
      <c r="D8" s="1249">
        <f>IFERROR(INDEX('0.3 Squad Archetypes'!$F$5:$F$23,MATCH($C8&amp;"|"&amp;$R8,'0.3 Squad Archetypes'!$A$5:$A$23,0)),"-")</f>
        <v>9</v>
      </c>
      <c r="E8" s="1250">
        <f>COUNTIFS($F$23:$F$55,$B8)</f>
        <v>6</v>
      </c>
      <c r="F8" s="1250">
        <f>IFERROR($E8-$D8,"-")</f>
        <v>-3</v>
      </c>
      <c r="G8" s="1250">
        <f>COUNTIFS($F$23:$F$55,$B8,$D$23:$D$55,"Vacant")</f>
        <v>0</v>
      </c>
      <c r="H8" s="1250">
        <f>COUNTIFS($F$23:$F$55,$B8,$D$23:$D$55,"Vacant",$E$23:$E$55,"Hire")+COUNTIFS($F$23:$F$55,$B8,$D$23:$D$55,"Vacant",$E$23:$E$55,"Offshore")</f>
        <v>0</v>
      </c>
      <c r="I8" s="1250">
        <f>COUNTIFS($F$23:$F$55,$B8,$D$23:$D$55,"Vacant",$E$23:$E$55,"Hold")</f>
        <v>0</v>
      </c>
      <c r="J8" s="1251">
        <f>$E8-COUNTIFS($F$23:$F$55,$B8,$E$23:$E$55,"Hold")</f>
        <v>6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IFERROR(IF(INDEX('1.8 Energy Solutions &amp; B2B'!$E$26:$E$37,MATCH($S8,'1.8 Energy Solutions &amp; B2B'!$B$26:$B$37,0))="Offshore",INDEX('0.3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0.930799292</v>
      </c>
      <c r="N8" s="1252">
        <f>IFERROR($M8-$L8,"-")</f>
        <v>-1.069200708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Mapping'!$AK$2:$AK$528,"Filled")+SUMIFS($H$23:$H$55,$F$23:$F$55,$B8))/1000000</f>
        <v>1.861598584</v>
      </c>
      <c r="P8" s="1254">
        <f>$O8-$M8</f>
        <v>0.930799292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IFERROR(IF(INDEX('1.8 Energy Solutions &amp; B2B'!$D$26:$D$37,MATCH($S8,'1.8 Energy Solutions &amp; B2B'!$B$26:$B$37,0))="","-",INDEX('1.8 Energy Solutions &amp; B2B'!$D$26:$D$37,MATCH($S8,'1.8 Energy Solutions &amp; B2B'!$B$26:$B$37,0))),"-")</f>
        <v>M</v>
      </c>
      <c r="S8" t="str">
        <f>IFERROR(INDEX(Lists!$AA:$AA,MATCH($B8,Lists!$Z:$Z,0)),$B8)</f>
        <v>EVCI</v>
      </c>
    </row>
    <row r="9">
      <c r="A9" s="949" t="n"/>
      <c r="B9" s="1237" t="inlineStr">
        <is>
          <t>Delivery squads</t>
        </is>
      </c>
      <c r="C9" s="635" t="n"/>
      <c r="D9" s="1249">
        <f>SUMIF($D$6:$D$8,"&gt;=0")</f>
        <v>35</v>
      </c>
      <c r="E9" s="1250">
        <f>SUM(E6:E8)</f>
        <v>29</v>
      </c>
      <c r="F9" s="1250">
        <f>SUMPRODUCT(--ISNUMBER($D$6:$D$8),$E$6:$E$8)-SUMIF($D$6:$D$8,"&gt;=0")</f>
        <v>-6</v>
      </c>
      <c r="G9" s="1250">
        <f>SUM(G6:G8)</f>
        <v>7</v>
      </c>
      <c r="H9" s="1250">
        <f>SUM(H6:H8)</f>
        <v>7</v>
      </c>
      <c r="I9" s="1250">
        <f>SUM(I6:I8)</f>
        <v>0</v>
      </c>
      <c r="J9" s="1251">
        <f>SUM(J6:J8)</f>
        <v>29</v>
      </c>
      <c r="K9" s="1152" t="n"/>
      <c r="L9" s="1252">
        <f>SUMIF($L$6:$L$8,"&gt;=0")</f>
        <v>7.9</v>
      </c>
      <c r="M9" s="1252">
        <f>SUM(M6:M8)</f>
        <v>5.327874328</v>
      </c>
      <c r="N9" s="1252">
        <f>SUMPRODUCT(--ISNUMBER($L$6:$L$8),$M$6:$M$8)-SUMIF($L$6:$L$8,"&gt;=0")</f>
        <v>-2.572125672</v>
      </c>
      <c r="O9" s="1253">
        <f>SUM(O6:O8)</f>
        <v>9.178103906</v>
      </c>
      <c r="P9" s="1254">
        <f>SUM(P6:P8)</f>
        <v>3.850229578</v>
      </c>
      <c r="Q9" s="1254">
        <f>SUM(Q6:Q8)</f>
        <v>1.47764475</v>
      </c>
    </row>
    <row r="10">
      <c r="A10" s="949" t="n"/>
      <c r="B10" s="1312" t="inlineStr">
        <is>
          <t>Overhead roles inside this portfolio - compared to the allowance</t>
        </is>
      </c>
      <c r="C10" s="641" t="n"/>
      <c r="D10" s="1255" t="n"/>
      <c r="E10" s="1255" t="n"/>
      <c r="F10" s="1255" t="n"/>
      <c r="G10" s="1255" t="n"/>
      <c r="H10" s="1255" t="n"/>
      <c r="I10" s="1255" t="n"/>
      <c r="J10" s="1256" t="n"/>
      <c r="K10" s="1155" t="n"/>
      <c r="L10" s="1257" t="n"/>
      <c r="M10" s="1257" t="n"/>
      <c r="N10" s="1257" t="n"/>
      <c r="O10" s="1258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COUNTIFS($F$23:$F$55,$B11)</f>
        <v>1</v>
      </c>
      <c r="F11" s="1261" t="str">
        <f>"-"</f>
        <v>-</v>
      </c>
      <c r="G11" s="1261">
        <f>COUNTIFS($F$23:$F$55,$B11,$D$23:$D$55,"Vacant")</f>
        <v>0</v>
      </c>
      <c r="H11" s="1261">
        <f>COUNTIFS($F$23:$F$55,$B11,$D$23:$D$55,"Vacant",$E$23:$E$55,"Hire")+COUNTIFS($F$23:$F$55,$B11,$D$23:$D$55,"Vacant",$E$23:$E$55,"Offshore")</f>
        <v>0</v>
      </c>
      <c r="I11" s="1261">
        <f>COUNTIFS($F$23:$F$55,$B11,$D$23:$D$55,"Vacant",$E$23:$E$55,"Hold")</f>
        <v>0</v>
      </c>
      <c r="J11" s="1261">
        <f>$E11-COUNTIFS($F$23:$F$55,$B11,$E$23:$E$55,"Hold")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0.273758</v>
      </c>
      <c r="N11" s="1263" t="str">
        <f>"-"</f>
        <v>-</v>
      </c>
      <c r="O11" s="1263">
        <f>(SUMIFS('REVIEW - Complete Role Mapping'!$AA$2:$AA$528,'REVIEW - Complete Role Mapping'!$AJ$2:$AJ$528,$C$3,'REVIEW - Complete Role Mapping'!$AT$2:$AT$528,$B11,'REVIEW - Complete Role Mapping'!$AK$2:$AK$528,"Filled")+SUMIFS($H$23:$H$55,$F$23:$F$55,$B11))/1000000</f>
        <v>0.547516</v>
      </c>
      <c r="P11" s="1254">
        <f>$O11-$M11</f>
        <v>0.273758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949" t="str">
        <f>"Overhead - see 3.2"</f>
        <v>Overhead - see 3.2</v>
      </c>
      <c r="D12" s="1261" t="str">
        <f>"-"</f>
        <v>-</v>
      </c>
      <c r="E12" s="1262">
        <f>COUNTIFS($F$23:$F$55,$B12)</f>
        <v>1</v>
      </c>
      <c r="F12" s="1261" t="str">
        <f>"-"</f>
        <v>-</v>
      </c>
      <c r="G12" s="1261">
        <f>COUNTIFS($F$23:$F$55,$B12,$D$23:$D$55,"Vacant")</f>
        <v>1</v>
      </c>
      <c r="H12" s="1261">
        <f>COUNTIFS($F$23:$F$55,$B12,$D$23:$D$55,"Vacant",$E$23:$E$55,"Hire")+COUNTIFS($F$23:$F$55,$B12,$D$23:$D$55,"Vacant",$E$23:$E$55,"Offshore")</f>
        <v>1</v>
      </c>
      <c r="I12" s="1261">
        <f>COUNTIFS($F$23:$F$55,$B12,$D$23:$D$55,"Vacant",$E$23:$E$55,"Hold")</f>
        <v>0</v>
      </c>
      <c r="J12" s="1261">
        <f>$E12-COUNTIFS($F$23:$F$55,$B12,$E$23:$E$55,"Hold")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0.27581025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Mapping'!$AK$2:$AK$528,"Filled")+SUMIFS($H$23:$H$55,$F$23:$F$55,$B12))/1000000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COUNTIFS($F$23:$F$55,$B13)</f>
        <v>2</v>
      </c>
      <c r="F13" s="1261" t="str">
        <f>"-"</f>
        <v>-</v>
      </c>
      <c r="G13" s="1261">
        <f>COUNTIFS($F$23:$F$55,$B13,$D$23:$D$55,"Vacant")</f>
        <v>1</v>
      </c>
      <c r="H13" s="1261">
        <f>COUNTIFS($F$23:$F$55,$B13,$D$23:$D$55,"Vacant",$E$23:$E$55,"Hire")+COUNTIFS($F$23:$F$55,$B13,$D$23:$D$55,"Vacant",$E$23:$E$55,"Offshore")</f>
        <v>1</v>
      </c>
      <c r="I13" s="1261">
        <f>COUNTIFS($F$23:$F$55,$B13,$D$23:$D$55,"Vacant",$E$23:$E$55,"Hold")</f>
        <v>0</v>
      </c>
      <c r="J13" s="1261">
        <f>$E13-COUNTIFS($F$23:$F$55,$B13,$E$23:$E$55,"Hold")</f>
        <v>2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0.5703737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Mapping'!$AK$2:$AK$528,"Filled")+SUMIFS($H$23:$H$55,$F$23:$F$55,$B13))/1000000</f>
        <v>0.86493715</v>
      </c>
      <c r="P13" s="1254">
        <f>$O13-$M13</f>
        <v>0.29456345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4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4</v>
      </c>
      <c r="K14" s="949" t="n"/>
      <c r="L14" s="1263" t="n"/>
      <c r="M14" s="1263">
        <f>SUM(M11:M13)</f>
        <v>1.11994195</v>
      </c>
      <c r="N14" s="1263" t="n"/>
      <c r="O14" s="1263">
        <f>SUM(O11:O13)</f>
        <v>1.6882634</v>
      </c>
      <c r="P14" s="1254">
        <f>SUM(P11:P13)</f>
        <v>0.56832145</v>
      </c>
      <c r="Q14" s="1254">
        <f>SUM(Q11:Q13)</f>
        <v>0.5516205</v>
      </c>
    </row>
    <row r="15">
      <c r="A15" s="949" t="n"/>
      <c r="B15" s="504" t="n"/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645" t="n"/>
      <c r="D16" s="1281">
        <f>$D9</f>
        <v>35</v>
      </c>
      <c r="E16" s="1262">
        <f>$E9+$E14</f>
        <v>33</v>
      </c>
      <c r="F16" s="1281">
        <f>IFERROR($E9-$D9,"-")</f>
        <v>-6</v>
      </c>
      <c r="G16" s="1281">
        <f>$G9+$G14</f>
        <v>9</v>
      </c>
      <c r="H16" s="1281">
        <f>$H9+$H14</f>
        <v>9</v>
      </c>
      <c r="I16" s="1281">
        <f>$I9+$I14</f>
        <v>0</v>
      </c>
      <c r="J16" s="1281">
        <f>$J9+$J14</f>
        <v>33</v>
      </c>
      <c r="K16" s="442" t="n"/>
      <c r="L16" s="1282">
        <f>$L9</f>
        <v>7.9</v>
      </c>
      <c r="M16" s="1282">
        <f>$M9+$M14</f>
        <v>6.447816278</v>
      </c>
      <c r="N16" s="1282">
        <f>IFERROR($M9-$L9,"-")</f>
        <v>-2.572125672</v>
      </c>
      <c r="O16" s="1263">
        <f>$O9+$O14</f>
        <v>10.866367306</v>
      </c>
      <c r="P16" s="1254">
        <f>$P9+$P14</f>
        <v>4.418551028</v>
      </c>
      <c r="Q16" s="1254">
        <f>$Q9+$Q14</f>
        <v>2.02926525</v>
      </c>
    </row>
    <row r="17" ht="15.65" customHeight="1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4" t="inlineStr">
        <is>
          <t>Control - roles vs the ledger, must be 0</t>
        </is>
      </c>
      <c r="C18" s="533" t="n"/>
      <c r="D18" s="533" t="n"/>
      <c r="E18" s="533">
        <f>COUNTIFS('REVIEW - Complete Role Mapping'!$AJ$2:$AJ$528,$C$3)-$E16</f>
        <v>0</v>
      </c>
      <c r="F18" s="533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cost vs the ledger ($m), must be 0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34" t="n"/>
      <c r="C20" s="634" t="n"/>
      <c r="D20" s="612" t="n"/>
      <c r="E20" s="876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Energy Solutions &amp; B2B FTE</t>
        </is>
      </c>
      <c r="C21" s="634" t="n"/>
      <c r="D21" s="612" t="n"/>
      <c r="E21" s="876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Mapping'!$B:$B,334)</f>
        <v>Alex Abelita</v>
      </c>
      <c r="C23" s="634" t="str">
        <f>INDEX('REVIEW - Complete Role Mapping'!$C:$C,334)</f>
        <v>Associate Engineer - Automation Testing</v>
      </c>
      <c r="D23" s="612" t="str">
        <f>INDEX('REVIEW - Complete Role Mapping'!$AK:$AK,334)</f>
        <v>Filled</v>
      </c>
      <c r="E23" s="876" t="inlineStr">
        <is>
          <t>Filled</t>
        </is>
      </c>
      <c r="F23" s="634" t="str">
        <f>INDEX('REVIEW - Complete Role Mapping'!$AT:$AT,334)</f>
        <v>B2B</v>
      </c>
      <c r="G23" s="627">
        <f>INDEX('REVIEW - Complete Role Mapping'!$AA:$AA,334)</f>
        <v>87044</v>
      </c>
      <c r="H23" s="627">
        <f>$G23*IFERROR(INDEX(Lists!$AD:$AD,MATCH($E23,Lists!$AC:$AC,0)),1)</f>
        <v>87044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Mapping'!$B:$B,337)</f>
        <v>Allyn Puente</v>
      </c>
      <c r="C24" s="634" t="str">
        <f>INDEX('REVIEW - Complete Role Mapping'!$C:$C,337)</f>
        <v>Graduate</v>
      </c>
      <c r="D24" s="612" t="str">
        <f>INDEX('REVIEW - Complete Role Mapping'!$AK:$AK,337)</f>
        <v>Filled</v>
      </c>
      <c r="E24" s="876" t="inlineStr">
        <is>
          <t>Filled</t>
        </is>
      </c>
      <c r="F24" s="634" t="str">
        <f>INDEX('REVIEW - Complete Role Mapping'!$AT:$AT,337)</f>
        <v>B2B</v>
      </c>
      <c r="G24" s="627">
        <f>INDEX('REVIEW - Complete Role Mapping'!$AA:$AA,337)</f>
        <v>110075</v>
      </c>
      <c r="H24" s="627">
        <f>$G24*IFERROR(INDEX(Lists!$AD:$AD,MATCH($E24,Lists!$AC:$AC,0)),1)</f>
        <v>110075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Mapping'!$B:$B,348)</f>
        <v>Belinda Ford</v>
      </c>
      <c r="C25" s="634" t="str">
        <f>INDEX('REVIEW - Complete Role Mapping'!$C:$C,348)</f>
        <v>Quality Assurance</v>
      </c>
      <c r="D25" s="612" t="str">
        <f>INDEX('REVIEW - Complete Role Mapping'!$AK:$AK,348)</f>
        <v>Filled</v>
      </c>
      <c r="E25" s="876" t="inlineStr">
        <is>
          <t>Filled</t>
        </is>
      </c>
      <c r="F25" s="634" t="str">
        <f>INDEX('REVIEW - Complete Role Mapping'!$AT:$AT,348)</f>
        <v>B2B</v>
      </c>
      <c r="G25" s="627">
        <f>INDEX('REVIEW - Complete Role Mapping'!$AA:$AA,348)</f>
        <v>149160.45</v>
      </c>
      <c r="H25" s="627">
        <f>$G25*IFERROR(INDEX(Lists!$AD:$AD,MATCH($E25,Lists!$AC:$AC,0)),1)</f>
        <v>149160.45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Mapping'!$B:$B,357)</f>
        <v>Debbie Gor</v>
      </c>
      <c r="C26" s="634" t="str">
        <f>INDEX('REVIEW - Complete Role Mapping'!$C:$C,357)</f>
        <v>Delivery Lead</v>
      </c>
      <c r="D26" s="612" t="str">
        <f>INDEX('REVIEW - Complete Role Mapping'!$AK:$AK,357)</f>
        <v>Filled</v>
      </c>
      <c r="E26" s="876" t="inlineStr">
        <is>
          <t>Filled</t>
        </is>
      </c>
      <c r="F26" s="634" t="str">
        <f>INDEX('REVIEW - Complete Role Mapping'!$AT:$AT,357)</f>
        <v>B2B</v>
      </c>
      <c r="G26" s="627">
        <f>INDEX('REVIEW - Complete Role Mapping'!$AA:$AA,357)</f>
        <v>266612.85</v>
      </c>
      <c r="H26" s="627">
        <f>$G26*IFERROR(INDEX(Lists!$AD:$AD,MATCH($E26,Lists!$AC:$AC,0)),1)</f>
        <v>266612.85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Mapping'!$B:$B,362)</f>
        <v>Frank Liang</v>
      </c>
      <c r="C27" s="634" t="str">
        <f>INDEX('REVIEW - Complete Role Mapping'!$C:$C,362)</f>
        <v>Senior Systems Analyst</v>
      </c>
      <c r="D27" s="612" t="str">
        <f>INDEX('REVIEW - Complete Role Mapping'!$AK:$AK,362)</f>
        <v>Filled</v>
      </c>
      <c r="E27" s="876" t="inlineStr">
        <is>
          <t>Filled</t>
        </is>
      </c>
      <c r="F27" s="634" t="str">
        <f>INDEX('REVIEW - Complete Role Mapping'!$AT:$AT,362)</f>
        <v>B2B</v>
      </c>
      <c r="G27" s="627">
        <f>INDEX('REVIEW - Complete Role Mapping'!$AA:$AA,362)</f>
        <v>223625.85</v>
      </c>
      <c r="H27" s="627">
        <f>$G27*IFERROR(INDEX(Lists!$AD:$AD,MATCH($E27,Lists!$AC:$AC,0)),1)</f>
        <v>223625.85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Mapping'!$B:$B,374)</f>
        <v>Jessica Calla</v>
      </c>
      <c r="C28" s="634" t="str">
        <f>INDEX('REVIEW - Complete Role Mapping'!$C:$C,374)</f>
        <v>System Analyst Card</v>
      </c>
      <c r="D28" s="612" t="str">
        <f>INDEX('REVIEW - Complete Role Mapping'!$AK:$AK,374)</f>
        <v>Filled</v>
      </c>
      <c r="E28" s="876" t="inlineStr">
        <is>
          <t>Filled</t>
        </is>
      </c>
      <c r="F28" s="634" t="str">
        <f>INDEX('REVIEW - Complete Role Mapping'!$AT:$AT,374)</f>
        <v>B2B</v>
      </c>
      <c r="G28" s="627">
        <f>INDEX('REVIEW - Complete Role Mapping'!$AA:$AA,374)</f>
        <v>137509.55</v>
      </c>
      <c r="H28" s="627">
        <f>$G28*IFERROR(INDEX(Lists!$AD:$AD,MATCH($E28,Lists!$AC:$AC,0)),1)</f>
        <v>137509.55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Mapping'!$B:$B,386)</f>
        <v>Lindsay Baipas</v>
      </c>
      <c r="C29" s="634" t="str">
        <f>INDEX('REVIEW - Complete Role Mapping'!$C:$C,386)</f>
        <v>System Analyst Card</v>
      </c>
      <c r="D29" s="612" t="str">
        <f>INDEX('REVIEW - Complete Role Mapping'!$AK:$AK,386)</f>
        <v>Filled</v>
      </c>
      <c r="E29" s="876" t="inlineStr">
        <is>
          <t>Filled</t>
        </is>
      </c>
      <c r="F29" s="634" t="str">
        <f>INDEX('REVIEW - Complete Role Mapping'!$AT:$AT,386)</f>
        <v>B2B</v>
      </c>
      <c r="G29" s="627">
        <f>INDEX('REVIEW - Complete Role Mapping'!$AA:$AA,386)</f>
        <v>190306.8</v>
      </c>
      <c r="H29" s="627">
        <f>$G29*IFERROR(INDEX(Lists!$AD:$AD,MATCH($E29,Lists!$AC:$AC,0)),1)</f>
        <v>190306.8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Mapping'!$B:$B,389)</f>
        <v>Mick DaSilva</v>
      </c>
      <c r="C30" s="634" t="str">
        <f>INDEX('REVIEW - Complete Role Mapping'!$C:$C,389)</f>
        <v>Senior Business Analyst</v>
      </c>
      <c r="D30" s="612" t="str">
        <f>INDEX('REVIEW - Complete Role Mapping'!$AK:$AK,389)</f>
        <v>Filled</v>
      </c>
      <c r="E30" s="876" t="inlineStr">
        <is>
          <t>Filled</t>
        </is>
      </c>
      <c r="F30" s="634" t="str">
        <f>INDEX('REVIEW - Complete Role Mapping'!$AT:$AT,389)</f>
        <v>B2B</v>
      </c>
      <c r="G30" s="627">
        <f>INDEX('REVIEW - Complete Role Mapping'!$AA:$AA,389)</f>
        <v>219447.3</v>
      </c>
      <c r="H30" s="627">
        <f>$G30*IFERROR(INDEX(Lists!$AD:$AD,MATCH($E30,Lists!$AC:$AC,0)),1)</f>
        <v>219447.3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Mapping'!$B:$B,390)</f>
        <v>Mikey Tran</v>
      </c>
      <c r="C31" s="634" t="str">
        <f>INDEX('REVIEW - Complete Role Mapping'!$C:$C,390)</f>
        <v>Senior Systems Analyst - Card</v>
      </c>
      <c r="D31" s="612" t="str">
        <f>INDEX('REVIEW - Complete Role Mapping'!$AK:$AK,390)</f>
        <v>Filled</v>
      </c>
      <c r="E31" s="647" t="inlineStr">
        <is>
          <t>Filled</t>
        </is>
      </c>
      <c r="F31" s="648" t="str">
        <f>INDEX('REVIEW - Complete Role Mapping'!$AT:$AT,390)</f>
        <v>B2B</v>
      </c>
      <c r="G31" s="627">
        <f>INDEX('REVIEW - Complete Role Mapping'!$AA:$AA,390)</f>
        <v>186900</v>
      </c>
      <c r="H31" s="627">
        <f>$G31*IFERROR(INDEX(Lists!$AD:$AD,MATCH($E31,Lists!$AC:$AC,0)),1)</f>
        <v>186900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Mapping'!$B:$B,391)</f>
        <v>Ming Shao</v>
      </c>
      <c r="C32" s="634" t="str">
        <f>INDEX('REVIEW - Complete Role Mapping'!$C:$C,391)</f>
        <v>Senior Systems Analyst Card</v>
      </c>
      <c r="D32" s="612" t="str">
        <f>INDEX('REVIEW - Complete Role Mapping'!$AK:$AK,391)</f>
        <v>Filled</v>
      </c>
      <c r="E32" s="647" t="inlineStr">
        <is>
          <t>Filled</t>
        </is>
      </c>
      <c r="F32" s="648" t="str">
        <f>INDEX('REVIEW - Complete Role Mapping'!$AT:$AT,391)</f>
        <v>B2B</v>
      </c>
      <c r="G32" s="627">
        <f>INDEX('REVIEW - Complete Role Mapping'!$AA:$AA,391)</f>
        <v>221610</v>
      </c>
      <c r="H32" s="627">
        <f>$G32*IFERROR(INDEX(Lists!$AD:$AD,MATCH($E32,Lists!$AC:$AC,0)),1)</f>
        <v>221610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Mapping'!$B:$B,399)</f>
        <v>Rod Santillan</v>
      </c>
      <c r="C33" s="634" t="str">
        <f>INDEX('REVIEW - Complete Role Mapping'!$C:$C,399)</f>
        <v>Snr Engineer Software</v>
      </c>
      <c r="D33" s="612" t="str">
        <f>INDEX('REVIEW - Complete Role Mapping'!$AK:$AK,399)</f>
        <v>Filled</v>
      </c>
      <c r="E33" s="647" t="inlineStr">
        <is>
          <t>Filled</t>
        </is>
      </c>
      <c r="F33" s="648" t="str">
        <f>INDEX('REVIEW - Complete Role Mapping'!$AT:$AT,399)</f>
        <v>B2B</v>
      </c>
      <c r="G33" s="627">
        <f>INDEX('REVIEW - Complete Role Mapping'!$AA:$AA,399)</f>
        <v>163823.52</v>
      </c>
      <c r="H33" s="627">
        <f>$G33*IFERROR(INDEX(Lists!$AD:$AD,MATCH($E33,Lists!$AC:$AC,0)),1)</f>
        <v>163823.52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Mapping'!$B:$B,412)</f>
        <v>Vacant</v>
      </c>
      <c r="C34" s="646" t="str">
        <f>INDEX('REVIEW - Complete Role Mapping'!$C:$C,412)</f>
        <v>Engineer Software</v>
      </c>
      <c r="D34" s="646" t="str">
        <f>INDEX('REVIEW - Complete Role Mapping'!$AK:$AK,412)</f>
        <v>Vacant</v>
      </c>
      <c r="E34" s="646" t="inlineStr">
        <is>
          <t>Hire</t>
        </is>
      </c>
      <c r="F34" s="646" t="str">
        <f>INDEX('REVIEW - Complete Role Mapping'!$AT:$AT,412)</f>
        <v>B2B</v>
      </c>
      <c r="G34" s="627">
        <f>INDEX('REVIEW - Complete Role Mapping'!$AA:$AA,412)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Mapping'!$B:$B,413)</f>
        <v>Vacant</v>
      </c>
      <c r="C35" s="634" t="str">
        <f>INDEX('REVIEW - Complete Role Mapping'!$C:$C,413)</f>
        <v>Solution Architect</v>
      </c>
      <c r="D35" s="612" t="str">
        <f>INDEX('REVIEW - Complete Role Mapping'!$AK:$AK,413)</f>
        <v>Vacant</v>
      </c>
      <c r="E35" s="876" t="inlineStr">
        <is>
          <t>Hire</t>
        </is>
      </c>
      <c r="F35" s="634" t="str">
        <f>INDEX('REVIEW - Complete Role Mapping'!$AT:$AT,413)</f>
        <v>B2B</v>
      </c>
      <c r="G35" s="627">
        <f>INDEX('REVIEW - Complete Role Mapping'!$AA:$AA,413)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Mapping'!$B:$B,438)</f>
        <v>Vacant</v>
      </c>
      <c r="C36" s="634" t="str">
        <f>INDEX('REVIEW - Complete Role Mapping'!$C:$C,438)</f>
        <v>Business Analyst</v>
      </c>
      <c r="D36" s="612" t="str">
        <f>INDEX('REVIEW - Complete Role Mapping'!$AK:$AK,438)</f>
        <v>Vacant</v>
      </c>
      <c r="E36" s="876" t="inlineStr">
        <is>
          <t>Hire</t>
        </is>
      </c>
      <c r="F36" s="634" t="str">
        <f>INDEX('REVIEW - Complete Role Mapping'!$AT:$AT,438)</f>
        <v>B2B</v>
      </c>
      <c r="G36" s="627">
        <f>INDEX('REVIEW - Complete Role Mapping'!$AA:$AA,438)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Mapping'!$B:$B,352)</f>
        <v>Caitlin Naylor</v>
      </c>
      <c r="C37" s="634" t="str">
        <f>INDEX('REVIEW - Complete Role Mapping'!$C:$C,352)</f>
        <v>Associate Engineer- Software</v>
      </c>
      <c r="D37" s="612" t="str">
        <f>INDEX('REVIEW - Complete Role Mapping'!$AK:$AK,352)</f>
        <v>Filled</v>
      </c>
      <c r="E37" s="876" t="inlineStr">
        <is>
          <t>Filled</t>
        </is>
      </c>
      <c r="F37" s="634" t="str">
        <f>INDEX('REVIEW - Complete Role Mapping'!$AT:$AT,352)</f>
        <v>Energy</v>
      </c>
      <c r="G37" s="627">
        <f>INDEX('REVIEW - Complete Role Mapping'!$AA:$AA,352)</f>
        <v>87434.816</v>
      </c>
      <c r="H37" s="627">
        <f>$G37*IFERROR(INDEX(Lists!$AD:$AD,MATCH($E37,Lists!$AC:$AC,0)),1)</f>
        <v>87434.816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Mapping'!$B:$B,360)</f>
        <v>Elma Kurian</v>
      </c>
      <c r="C38" s="634" t="str">
        <f>INDEX('REVIEW - Complete Role Mapping'!$C:$C,360)</f>
        <v>System Specialist</v>
      </c>
      <c r="D38" s="612" t="str">
        <f>INDEX('REVIEW - Complete Role Mapping'!$AK:$AK,360)</f>
        <v>Filled</v>
      </c>
      <c r="E38" s="876" t="inlineStr">
        <is>
          <t>Filled</t>
        </is>
      </c>
      <c r="F38" s="634" t="str">
        <f>INDEX('REVIEW - Complete Role Mapping'!$AT:$AT,360)</f>
        <v>Energy</v>
      </c>
      <c r="G38" s="627">
        <f>INDEX('REVIEW - Complete Role Mapping'!$AA:$AA,360)</f>
        <v>203253.75</v>
      </c>
      <c r="H38" s="627">
        <f>$G38*IFERROR(INDEX(Lists!$AD:$AD,MATCH($E38,Lists!$AC:$AC,0)),1)</f>
        <v>203253.75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Mapping'!$B:$B,367)</f>
        <v>Gunjan Vasudeva</v>
      </c>
      <c r="C39" s="634" t="str">
        <f>INDEX('REVIEW - Complete Role Mapping'!$C:$C,367)</f>
        <v>Lead Quality Assurance</v>
      </c>
      <c r="D39" s="612" t="str">
        <f>INDEX('REVIEW - Complete Role Mapping'!$AK:$AK,367)</f>
        <v>Filled</v>
      </c>
      <c r="E39" s="876" t="inlineStr">
        <is>
          <t>Filled</t>
        </is>
      </c>
      <c r="F39" s="634" t="str">
        <f>INDEX('REVIEW - Complete Role Mapping'!$AT:$AT,367)</f>
        <v>Energy</v>
      </c>
      <c r="G39" s="627">
        <f>INDEX('REVIEW - Complete Role Mapping'!$AA:$AA,367)</f>
        <v>208473.6</v>
      </c>
      <c r="H39" s="627">
        <f>$G39*IFERROR(INDEX(Lists!$AD:$AD,MATCH($E39,Lists!$AC:$AC,0)),1)</f>
        <v>208473.6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Mapping'!$B:$B,371)</f>
        <v>James Hung</v>
      </c>
      <c r="C40" s="634" t="str">
        <f>INDEX('REVIEW - Complete Role Mapping'!$C:$C,371)</f>
        <v>System Specialist</v>
      </c>
      <c r="D40" s="612" t="str">
        <f>INDEX('REVIEW - Complete Role Mapping'!$AK:$AK,371)</f>
        <v>Filled</v>
      </c>
      <c r="E40" s="876" t="inlineStr">
        <is>
          <t>Filled</t>
        </is>
      </c>
      <c r="F40" s="634" t="str">
        <f>INDEX('REVIEW - Complete Role Mapping'!$AT:$AT,371)</f>
        <v>Energy</v>
      </c>
      <c r="G40" s="627">
        <f>INDEX('REVIEW - Complete Role Mapping'!$AA:$AA,371)</f>
        <v>213533.25</v>
      </c>
      <c r="H40" s="627">
        <f>$G40*IFERROR(INDEX(Lists!$AD:$AD,MATCH($E40,Lists!$AC:$AC,0)),1)</f>
        <v>213533.25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Mapping'!$B:$B,388)</f>
        <v>Marcela Gonzalez</v>
      </c>
      <c r="C41" s="646" t="str">
        <f>INDEX('REVIEW - Complete Role Mapping'!$C:$C,388)</f>
        <v>Energy Platforms Lead</v>
      </c>
      <c r="D41" s="646" t="str">
        <f>INDEX('REVIEW - Complete Role Mapping'!$AK:$AK,388)</f>
        <v>Filled</v>
      </c>
      <c r="E41" s="646" t="inlineStr">
        <is>
          <t>Filled</t>
        </is>
      </c>
      <c r="F41" s="646" t="str">
        <f>INDEX('REVIEW - Complete Role Mapping'!$AT:$AT,388)</f>
        <v>Energy</v>
      </c>
      <c r="G41" s="627">
        <f>INDEX('REVIEW - Complete Role Mapping'!$AA:$AA,388)</f>
        <v>250619.55</v>
      </c>
      <c r="H41" s="627">
        <f>$G41*IFERROR(INDEX(Lists!$AD:$AD,MATCH($E41,Lists!$AC:$AC,0)),1)</f>
        <v>250619.55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Mapping'!$B:$B,416)</f>
        <v>Vacant</v>
      </c>
      <c r="C42" s="634" t="str">
        <f>INDEX('REVIEW - Complete Role Mapping'!$C:$C,416)</f>
        <v>Engineer Automation - Testing</v>
      </c>
      <c r="D42" s="612" t="str">
        <f>INDEX('REVIEW - Complete Role Mapping'!$AK:$AK,416)</f>
        <v>Vacant</v>
      </c>
      <c r="E42" s="876" t="inlineStr">
        <is>
          <t>Hire</t>
        </is>
      </c>
      <c r="F42" s="634" t="str">
        <f>INDEX('REVIEW - Complete Role Mapping'!$AT:$AT,416)</f>
        <v>Energy</v>
      </c>
      <c r="G42" s="627">
        <f>INDEX('REVIEW - Complete Role Mapping'!$AA:$AA,416)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Mapping'!$B:$B,417)</f>
        <v>Vacant</v>
      </c>
      <c r="C43" s="634" t="str">
        <f>INDEX('REVIEW - Complete Role Mapping'!$C:$C,417)</f>
        <v>Snr Engineer Software</v>
      </c>
      <c r="D43" s="612" t="str">
        <f>INDEX('REVIEW - Complete Role Mapping'!$AK:$AK,417)</f>
        <v>Vacant</v>
      </c>
      <c r="E43" s="876" t="inlineStr">
        <is>
          <t>Hire</t>
        </is>
      </c>
      <c r="F43" s="634" t="str">
        <f>INDEX('REVIEW - Complete Role Mapping'!$AT:$AT,417)</f>
        <v>Energy</v>
      </c>
      <c r="G43" s="627">
        <f>INDEX('REVIEW - Complete Role Mapping'!$AA:$AA,417)</f>
        <v>202853.25</v>
      </c>
      <c r="H43" s="627">
        <f>$G43*IFERROR(INDEX(Lists!$AD:$AD,MATCH($E43,Lists!$AC:$AC,0)),1)</f>
        <v>202853.25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Mapping'!$B:$B,418)</f>
        <v>Vacant</v>
      </c>
      <c r="C44" s="634" t="str">
        <f>INDEX('REVIEW - Complete Role Mapping'!$C:$C,418)</f>
        <v>Solution Architect</v>
      </c>
      <c r="D44" s="612" t="str">
        <f>INDEX('REVIEW - Complete Role Mapping'!$AK:$AK,418)</f>
        <v>Vacant</v>
      </c>
      <c r="E44" s="876" t="inlineStr">
        <is>
          <t>Hire</t>
        </is>
      </c>
      <c r="F44" s="634" t="str">
        <f>INDEX('REVIEW - Complete Role Mapping'!$AT:$AT,418)</f>
        <v>Energy</v>
      </c>
      <c r="G44" s="627">
        <f>INDEX('REVIEW - Complete Role Mapping'!$AA:$AA,418)</f>
        <v>231689.25</v>
      </c>
      <c r="H44" s="627">
        <f>$G44*IFERROR(INDEX(Lists!$AD:$AD,MATCH($E44,Lists!$AC:$AC,0)),1)</f>
        <v>231689.25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Mapping'!$B:$B,439)</f>
        <v>Vacant</v>
      </c>
      <c r="C45" s="634" t="str">
        <f>INDEX('REVIEW - Complete Role Mapping'!$C:$C,439)</f>
        <v>Business Analyst</v>
      </c>
      <c r="D45" s="612" t="str">
        <f>INDEX('REVIEW - Complete Role Mapping'!$AK:$AK,439)</f>
        <v>Vacant</v>
      </c>
      <c r="E45" s="876" t="inlineStr">
        <is>
          <t>Hire</t>
        </is>
      </c>
      <c r="F45" s="634" t="str">
        <f>INDEX('REVIEW - Complete Role Mapping'!$AT:$AT,439)</f>
        <v>Energy</v>
      </c>
      <c r="G45" s="627">
        <f>INDEX('REVIEW - Complete Role Mapping'!$AA:$AA,439)</f>
        <v>202853.25</v>
      </c>
      <c r="H45" s="627">
        <f>$G45*IFERROR(INDEX(Lists!$AD:$AD,MATCH($E45,Lists!$AC:$AC,0)),1)</f>
        <v>202853.25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Mapping'!$B:$B,340)</f>
        <v>Angela Ross</v>
      </c>
      <c r="C46" s="634" t="str">
        <f>INDEX('REVIEW - Complete Role Mapping'!$C:$C,340)</f>
        <v>Delivery Lead</v>
      </c>
      <c r="D46" s="612" t="str">
        <f>INDEX('REVIEW - Complete Role Mapping'!$AK:$AK,340)</f>
        <v>Filled</v>
      </c>
      <c r="E46" s="647" t="inlineStr">
        <is>
          <t>Filled</t>
        </is>
      </c>
      <c r="F46" s="648" t="str">
        <f>INDEX('REVIEW - Complete Role Mapping'!$AT:$AT,340)</f>
        <v>EVCI</v>
      </c>
      <c r="G46" s="627">
        <f>INDEX('REVIEW - Complete Role Mapping'!$AA:$AA,340)</f>
        <v>188300.028</v>
      </c>
      <c r="H46" s="627">
        <f>$G46*IFERROR(INDEX(Lists!$AD:$AD,MATCH($E46,Lists!$AC:$AC,0)),1)</f>
        <v>188300.028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Mapping'!$B:$B,342)</f>
        <v>Anie Camerino</v>
      </c>
      <c r="C47" s="634" t="str">
        <f>INDEX('REVIEW - Complete Role Mapping'!$C:$C,342)</f>
        <v>Snr Quality Assurance</v>
      </c>
      <c r="D47" s="612" t="str">
        <f>INDEX('REVIEW - Complete Role Mapping'!$AK:$AK,342)</f>
        <v>Filled</v>
      </c>
      <c r="E47" s="647" t="inlineStr">
        <is>
          <t>Filled</t>
        </is>
      </c>
      <c r="F47" s="648" t="str">
        <f>INDEX('REVIEW - Complete Role Mapping'!$AT:$AT,342)</f>
        <v>EVCI</v>
      </c>
      <c r="G47" s="627">
        <f>INDEX('REVIEW - Complete Role Mapping'!$AA:$AA,342)</f>
        <v>153503.328</v>
      </c>
      <c r="H47" s="627">
        <f>$G47*IFERROR(INDEX(Lists!$AD:$AD,MATCH($E47,Lists!$AC:$AC,0)),1)</f>
        <v>153503.328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Mapping'!$B:$B,351)</f>
        <v>Caitlin Dyas</v>
      </c>
      <c r="C48" s="634" t="str">
        <f>INDEX('REVIEW - Complete Role Mapping'!$C:$C,351)</f>
        <v>Snr Engineer Software</v>
      </c>
      <c r="D48" s="612" t="str">
        <f>INDEX('REVIEW - Complete Role Mapping'!$AK:$AK,351)</f>
        <v>Filled</v>
      </c>
      <c r="E48" s="647" t="inlineStr">
        <is>
          <t>Filled</t>
        </is>
      </c>
      <c r="F48" s="648" t="str">
        <f>INDEX('REVIEW - Complete Role Mapping'!$AT:$AT,351)</f>
        <v>EVCI</v>
      </c>
      <c r="G48" s="627">
        <f>INDEX('REVIEW - Complete Role Mapping'!$AA:$AA,351)</f>
        <v>144360</v>
      </c>
      <c r="H48" s="627">
        <f>$G48*IFERROR(INDEX(Lists!$AD:$AD,MATCH($E48,Lists!$AC:$AC,0)),1)</f>
        <v>144360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Mapping'!$B:$B,366)</f>
        <v>Gokila Mylsamy</v>
      </c>
      <c r="C49" s="634" t="str">
        <f>INDEX('REVIEW - Complete Role Mapping'!$C:$C,366)</f>
        <v>Lead Engineer Software</v>
      </c>
      <c r="D49" s="612" t="str">
        <f>INDEX('REVIEW - Complete Role Mapping'!$AK:$AK,366)</f>
        <v>Filled</v>
      </c>
      <c r="E49" s="647" t="inlineStr">
        <is>
          <t>Filled</t>
        </is>
      </c>
      <c r="F49" s="648" t="str">
        <f>INDEX('REVIEW - Complete Role Mapping'!$AT:$AT,366)</f>
        <v>EVCI</v>
      </c>
      <c r="G49" s="627">
        <f>INDEX('REVIEW - Complete Role Mapping'!$AA:$AA,366)</f>
        <v>184214.952</v>
      </c>
      <c r="H49" s="627">
        <f>$G49*IFERROR(INDEX(Lists!$AD:$AD,MATCH($E49,Lists!$AC:$AC,0)),1)</f>
        <v>184214.952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Mapping'!$B:$B,377)</f>
        <v>Josh Campbell</v>
      </c>
      <c r="C50" s="646" t="str">
        <f>INDEX('REVIEW - Complete Role Mapping'!$C:$C,377)</f>
        <v>Engineer Software</v>
      </c>
      <c r="D50" s="646" t="str">
        <f>INDEX('REVIEW - Complete Role Mapping'!$AK:$AK,377)</f>
        <v>Filled</v>
      </c>
      <c r="E50" s="646" t="inlineStr">
        <is>
          <t>Filled</t>
        </is>
      </c>
      <c r="F50" s="646" t="str">
        <f>INDEX('REVIEW - Complete Role Mapping'!$AT:$AT,377)</f>
        <v>EVCI</v>
      </c>
      <c r="G50" s="627">
        <f>INDEX('REVIEW - Complete Role Mapping'!$AA:$AA,377)</f>
        <v>101667.032</v>
      </c>
      <c r="H50" s="627">
        <f>$G50*IFERROR(INDEX(Lists!$AD:$AD,MATCH($E50,Lists!$AC:$AC,0)),1)</f>
        <v>101667.032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Mapping'!$B:$B,382)</f>
        <v>Lana Wagner</v>
      </c>
      <c r="C51" s="634" t="str">
        <f>INDEX('REVIEW - Complete Role Mapping'!$C:$C,382)</f>
        <v>Senior Business Analyst</v>
      </c>
      <c r="D51" s="612" t="str">
        <f>INDEX('REVIEW - Complete Role Mapping'!$AK:$AK,382)</f>
        <v>Filled</v>
      </c>
      <c r="E51" s="876" t="inlineStr">
        <is>
          <t>Filled</t>
        </is>
      </c>
      <c r="F51" s="634" t="str">
        <f>INDEX('REVIEW - Complete Role Mapping'!$AT:$AT,382)</f>
        <v>EVCI</v>
      </c>
      <c r="G51" s="627">
        <f>INDEX('REVIEW - Complete Role Mapping'!$AA:$AA,382)</f>
        <v>158753.952</v>
      </c>
      <c r="H51" s="627">
        <f>$G51*IFERROR(INDEX(Lists!$AD:$AD,MATCH($E51,Lists!$AC:$AC,0)),1)</f>
        <v>158753.952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str">
        <f>INDEX('REVIEW - Complete Role Mapping'!$B:$B,385)</f>
        <v>Liesl Tye</v>
      </c>
      <c r="C52" s="646" t="str">
        <f>INDEX('REVIEW - Complete Role Mapping'!$C:$C,385)</f>
        <v>Head of Technology, B2B &amp; Energy Solutions</v>
      </c>
      <c r="D52" s="646" t="str">
        <f>INDEX('REVIEW - Complete Role Mapping'!$AK:$AK,385)</f>
        <v>Filled</v>
      </c>
      <c r="E52" s="877" t="inlineStr">
        <is>
          <t>Filled</t>
        </is>
      </c>
      <c r="F52" s="646" t="str">
        <f>INDEX('REVIEW - Complete Role Mapping'!$AT:$AT,385)</f>
        <v>Head of Technology</v>
      </c>
      <c r="G52" s="1267">
        <f>INDEX('REVIEW - Complete Role Mapping'!$AA:$AA,385)</f>
        <v>273758</v>
      </c>
      <c r="H52" s="1267">
        <f>$G52*IFERROR(INDEX(Lists!$AD:$AD,MATCH($E52,Lists!$AC:$AC,0)),1)</f>
        <v>273758</v>
      </c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str">
        <f>INDEX('REVIEW - Complete Role Mapping'!$B:$B,414)</f>
        <v>Vacant</v>
      </c>
      <c r="C53" s="634" t="str">
        <f>INDEX('REVIEW - Complete Role Mapping'!$C:$C,414)</f>
        <v>Delivery manager</v>
      </c>
      <c r="D53" s="612" t="str">
        <f>INDEX('REVIEW - Complete Role Mapping'!$AK:$AK,414)</f>
        <v>Vacant</v>
      </c>
      <c r="E53" s="876" t="inlineStr">
        <is>
          <t>Hire</t>
        </is>
      </c>
      <c r="F53" s="634" t="str">
        <f>INDEX('REVIEW - Complete Role Mapping'!$AT:$AT,414)</f>
        <v>Delivery Manager</v>
      </c>
      <c r="G53" s="1267">
        <f>INDEX('REVIEW - Complete Role Mapping'!$AA:$AA,414)</f>
        <v>275810.25</v>
      </c>
      <c r="H53" s="1267">
        <f>$G53*IFERROR(INDEX(Lists!$AD:$AD,MATCH($E53,Lists!$AC:$AC,0)),1)</f>
        <v>275810.25</v>
      </c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str">
        <f>INDEX('REVIEW - Complete Role Mapping'!$B:$B,359)</f>
        <v>Elle Spencer</v>
      </c>
      <c r="C54" s="634" t="str">
        <f>INDEX('REVIEW - Complete Role Mapping'!$C:$C,359)</f>
        <v>Technology Manager - B2B</v>
      </c>
      <c r="D54" s="612" t="str">
        <f>INDEX('REVIEW - Complete Role Mapping'!$AK:$AK,359)</f>
        <v>Filled</v>
      </c>
      <c r="E54" s="876" t="inlineStr">
        <is>
          <t>Filled</t>
        </is>
      </c>
      <c r="F54" s="634" t="str">
        <f>INDEX('REVIEW - Complete Role Mapping'!$AT:$AT,359)</f>
        <v>Technology Manager</v>
      </c>
      <c r="G54" s="1267">
        <f>INDEX('REVIEW - Complete Role Mapping'!$AA:$AA,359)</f>
        <v>294563.45</v>
      </c>
      <c r="H54" s="1267">
        <f>$G54*IFERROR(INDEX(Lists!$AD:$AD,MATCH($E54,Lists!$AC:$AC,0)),1)</f>
        <v>294563.45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Mapping'!$B:$B,415)</f>
        <v>Vacant</v>
      </c>
      <c r="C55" s="634" t="str">
        <f>INDEX('REVIEW - Complete Role Mapping'!$C:$C,415)</f>
        <v>Technology Manager, Energy Solutions</v>
      </c>
      <c r="D55" s="612" t="str">
        <f>INDEX('REVIEW - Complete Role Mapping'!$AK:$AK,415)</f>
        <v>Vacant</v>
      </c>
      <c r="E55" s="876" t="inlineStr">
        <is>
          <t>Hire</t>
        </is>
      </c>
      <c r="F55" s="634" t="str">
        <f>INDEX('REVIEW - Complete Role Mapping'!$AT:$AT,415)</f>
        <v>Technology Manager</v>
      </c>
      <c r="G55" s="1267">
        <f>INDEX('REVIEW - Complete Role Mapping'!$AA:$AA,415)</f>
        <v>275810.25</v>
      </c>
      <c r="H55" s="1267">
        <f>$G55*IFERROR(INDEX(Lists!$AD:$AD,MATCH($E55,Lists!$AC:$AC,0)),1)</f>
        <v>275810.25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8:D50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2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Commercial Fuels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CTRM</t>
        </is>
      </c>
      <c r="C6" s="635" t="str">
        <f>IFERROR(INDEX('1.9 Commercial Fuels'!$C$24:$C$41,MATCH($S6,'1.9 Commercial Fuels'!$B$24:$B$41,0)),"No archetype for this squad")</f>
        <v>Strategic Programs</v>
      </c>
      <c r="D6" s="1249" t="str">
        <f>IFERROR(INDEX('0.3 Squad Archetypes'!$F$5:$F$23,MATCH($C6&amp;"|"&amp;$R6,'0.3 Squad Archetypes'!$A$5:$A$23,0)),"-")</f>
        <v>-</v>
      </c>
      <c r="E6" s="1250">
        <f>COUNTIFS($F$24:$F$65,$B6)</f>
        <v>14</v>
      </c>
      <c r="F6" s="1250" t="str">
        <f>IFERROR($E6-$D6,"-")</f>
        <v>-</v>
      </c>
      <c r="G6" s="1250">
        <f>COUNTIFS($F$24:$F$65,$B6,$D$24:$D$65,"Vacant")</f>
        <v>0</v>
      </c>
      <c r="H6" s="1250">
        <f>COUNTIFS($F$24:$F$65,$B6,$D$24:$D$65,"Vacant",$E$24:$E$65,"Hire")+COUNTIFS($F$24:$F$65,$B6,$D$24:$D$65,"Vacant",$E$24:$E$65,"Offshore")</f>
        <v>0</v>
      </c>
      <c r="I6" s="1250">
        <f>COUNTIFS($F$24:$F$65,$B6,$D$24:$D$65,"Vacant",$E$24:$E$65,"Hold")</f>
        <v>0</v>
      </c>
      <c r="J6" s="1251">
        <f>$E6-COUNTIFS($F$24:$F$65,$B6,$E$24:$E$65,"Hold")</f>
        <v>14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IFERROR(IF(INDEX('1.9 Commercial Fuels'!$E$24:$E$41,MATCH($S6,'1.9 Commercial Fuels'!$B$24:$B$41,0))="Offshore",INDEX('0.3 Squad Archetypes'!$H$5:$H$23,MATCH($C6&amp;"|"&amp;$R6,'0.3 Squad Archetypes'!$A$5:$A$23,0)),INDEX('0.3 Squad Archetypes'!$G$5:$G$23,MATCH($C6&amp;"|"&amp;$R6,'0.3 Squad Archetypes'!$A$5:$A$23,0))),"-")</f>
        <v>-</v>
      </c>
      <c r="M6" s="1252">
        <f>SUMIFS('REVIEW - Complete Role Mapping'!$AA$2:$AA$528,'REVIEW - Complete Role Mapping'!$AJ$2:$AJ$528,$C$3,'REVIEW - Complete Role Mapping'!$AT$2:$AT$528,$B6)/1000000</f>
        <v>3.221759232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Mapping'!$AK$2:$AK$528,"Filled")+SUMIFS($H$24:$H$65,$F$24:$F$65,$B6))/1000000</f>
        <v>6.443518464</v>
      </c>
      <c r="P6" s="1254">
        <f>$O6-$M6</f>
        <v>3.221759232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IFERROR(IF(INDEX('1.9 Commercial Fuels'!$D$24:$D$41,MATCH($S6,'1.9 Commercial Fuels'!$B$24:$B$41,0))="","-",INDEX('1.9 Commercial Fuels'!$D$24:$D$41,MATCH($S6,'1.9 Commercial Fuels'!$B$24:$B$41,0))),"-")</f>
        <v>-</v>
      </c>
      <c r="S6" t="str">
        <f>IFERROR(INDEX(Lists!$AA:$AA,MATCH($B6,Lists!$Z:$Z,0)),$B6)</f>
        <v>CTRM</v>
      </c>
    </row>
    <row r="7">
      <c r="A7" s="949" t="n"/>
      <c r="B7" s="640" t="inlineStr">
        <is>
          <t>Trading &amp; Shipping</t>
        </is>
      </c>
      <c r="C7" s="635" t="str">
        <f>IFERROR(INDEX('1.9 Commercial Fuels'!$C$24:$C$41,MATCH($S7,'1.9 Commercial Fuels'!$B$24:$B$41,0)),"No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COUNTIFS($F$24:$F$65,$B7)</f>
        <v>12</v>
      </c>
      <c r="F7" s="1250">
        <f>IFERROR($E7-$D7,"-")</f>
        <v>3</v>
      </c>
      <c r="G7" s="1250">
        <f>COUNTIFS($F$24:$F$65,$B7,$D$24:$D$65,"Vacant")</f>
        <v>3</v>
      </c>
      <c r="H7" s="1250">
        <f>COUNTIFS($F$24:$F$65,$B7,$D$24:$D$65,"Vacant",$E$24:$E$65,"Hire")+COUNTIFS($F$24:$F$65,$B7,$D$24:$D$65,"Vacant",$E$24:$E$65,"Offshore")</f>
        <v>3</v>
      </c>
      <c r="I7" s="1250">
        <f>COUNTIFS($F$24:$F$65,$B7,$D$24:$D$65,"Vacant",$E$24:$E$65,"Hold")</f>
        <v>0</v>
      </c>
      <c r="J7" s="1251">
        <f>$E7-COUNTIFS($F$24:$F$65,$B7,$E$24:$E$65,"Hold")</f>
        <v>12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IFERROR(IF(INDEX('1.9 Commercial Fuels'!$E$24:$E$41,MATCH($S7,'1.9 Commercial Fuels'!$B$24:$B$41,0))="Offshore",INDEX('0.3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2.6791435617</v>
      </c>
      <c r="N7" s="1252">
        <f>IFERROR($M7-$L7,"-")</f>
        <v>0.5791435617</v>
      </c>
      <c r="O7" s="1253">
        <f>(SUMIFS('REVIEW - Complete Role Mapping'!$AA$2:$AA$528,'REVIEW - Complete Role Mapping'!$AJ$2:$AJ$528,$C$3,'REVIEW - Complete Role Mapping'!$AT$2:$AT$528,$B7,'REVIEW - Complete Role Mapping'!$AK$2:$AK$528,"Filled")+SUMIFS($H$24:$H$65,$F$24:$F$65,$B7))/1000000</f>
        <v>4.8335363734</v>
      </c>
      <c r="P7" s="1254">
        <f>$O7-$M7</f>
        <v>2.1543928117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0.52475075</v>
      </c>
      <c r="R7" t="str">
        <f>IFERROR(IF(INDEX('1.9 Commercial Fuels'!$D$24:$D$41,MATCH($S7,'1.9 Commercial Fuels'!$B$24:$B$41,0))="","-",INDEX('1.9 Commercial Fuels'!$D$24:$D$41,MATCH($S7,'1.9 Commercial Fuels'!$B$24:$B$41,0))),"-")</f>
        <v>M</v>
      </c>
      <c r="S7" t="str">
        <f>IFERROR(INDEX(Lists!$AA:$AA,MATCH($B7,Lists!$Z:$Z,0)),$B7)</f>
        <v>Trading &amp; Shipping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Fuels'!$C$24:$C$41,MATCH($S8,'1.9 Commercial Fuels'!$B$24:$B$41,0)),"No archetype for this squad")</f>
        <v>Enterprise Data and Insights</v>
      </c>
      <c r="D8" s="1249">
        <f>IFERROR(INDEX('0.3 Squad Archetypes'!$F$5:$F$23,MATCH($C8&amp;"|"&amp;$R8,'0.3 Squad Archetypes'!$A$5:$A$23,0)),"-")</f>
        <v>7.5</v>
      </c>
      <c r="E8" s="1250">
        <f>COUNTIFS($F$24:$F$65,$B8)</f>
        <v>7</v>
      </c>
      <c r="F8" s="1250">
        <f>IFERROR($E8-$D8,"-")</f>
        <v>-0.5</v>
      </c>
      <c r="G8" s="1250">
        <f>COUNTIFS($F$24:$F$65,$B8,$D$24:$D$65,"Vacant")</f>
        <v>0</v>
      </c>
      <c r="H8" s="1250">
        <f>COUNTIFS($F$24:$F$65,$B8,$D$24:$D$65,"Vacant",$E$24:$E$65,"Hire")+COUNTIFS($F$24:$F$65,$B8,$D$24:$D$65,"Vacant",$E$24:$E$65,"Offshore")</f>
        <v>0</v>
      </c>
      <c r="I8" s="1250">
        <f>COUNTIFS($F$24:$F$65,$B8,$D$24:$D$65,"Vacant",$E$24:$E$65,"Hold")</f>
        <v>0</v>
      </c>
      <c r="J8" s="1251">
        <f>$E8-COUNTIFS($F$24:$F$65,$B8,$E$24:$E$65,"Hold")</f>
        <v>7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IFERROR(IF(INDEX('1.9 Commercial Fuels'!$E$24:$E$41,MATCH($S8,'1.9 Commercial Fuels'!$B$24:$B$41,0))="Offshore",INDEX('0.3 Squad Archetypes'!$H$5:$H$23,MATCH($C8&amp;"|"&amp;$R8,'0.3 Squad Archetypes'!$A$5:$A$23,0)),INDEX('0.3 Squad Archetypes'!$G$5:$G$23,MATCH($C8&amp;"|"&amp;$R8,'0.3 Squad Archetypes'!$A$5:$A$23,0))),"-")</f>
        <v>0.68</v>
      </c>
      <c r="M8" s="1252">
        <f>SUMIFS('REVIEW - Complete Role Mapping'!$AA$2:$AA$528,'REVIEW - Complete Role Mapping'!$AJ$2:$AJ$528,$C$3,'REVIEW - Complete Role Mapping'!$AT$2:$AT$528,$B8)/1000000</f>
        <v>2.106168849</v>
      </c>
      <c r="N8" s="1252">
        <f>IFERROR($M8-$L8,"-")</f>
        <v>1.426168849</v>
      </c>
      <c r="O8" s="1253">
        <f>(SUMIFS('REVIEW - Complete Role Mapping'!$AA$2:$AA$528,'REVIEW - Complete Role Mapping'!$AJ$2:$AJ$528,$C$3,'REVIEW - Complete Role Mapping'!$AT$2:$AT$528,$B8,'REVIEW - Complete Role Mapping'!$AK$2:$AK$528,"Filled")+SUMIFS($H$24:$H$65,$F$24:$F$65,$B8))/1000000</f>
        <v>4.212337698</v>
      </c>
      <c r="P8" s="1254">
        <f>$O8-$M8</f>
        <v>2.106168849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IFERROR(IF(INDEX('1.9 Commercial Fuels'!$D$24:$D$41,MATCH($S8,'1.9 Commercial Fuels'!$B$24:$B$41,0))="","-",INDEX('1.9 Commercial Fuels'!$D$24:$D$41,MATCH($S8,'1.9 Commercial Fuels'!$B$24:$B$41,0))),"-")</f>
        <v>M</v>
      </c>
      <c r="S8" t="str">
        <f>IFERROR(INDEX(Lists!$AA:$AA,MATCH($B8,Lists!$Z:$Z,0)),$B8)</f>
        <v>Trading &amp; Shipping Data</v>
      </c>
    </row>
    <row r="9">
      <c r="A9" s="949" t="n"/>
      <c r="B9" s="640" t="inlineStr">
        <is>
          <t>Supply</t>
        </is>
      </c>
      <c r="C9" s="635" t="str">
        <f>IFERROR(INDEX('1.9 Commercial Fuels'!$C$24:$C$41,MATCH($S9,'1.9 Commercial Fuels'!$B$24:$B$41,0)),"No archetype for this squad")</f>
        <v>Configuration / Integration</v>
      </c>
      <c r="D9" s="1249">
        <f>IFERROR(INDEX('0.3 Squad Archetypes'!$F$5:$F$23,MATCH($C9&amp;"|"&amp;$R9,'0.3 Squad Archetypes'!$A$5:$A$23,0)),"-")</f>
        <v>9</v>
      </c>
      <c r="E9" s="1250">
        <f>COUNTIFS($F$24:$F$65,$B9)</f>
        <v>5</v>
      </c>
      <c r="F9" s="1250">
        <f>IFERROR($E9-$D9,"-")</f>
        <v>-4</v>
      </c>
      <c r="G9" s="1250">
        <f>COUNTIFS($F$24:$F$65,$B9,$D$24:$D$65,"Vacant")</f>
        <v>4</v>
      </c>
      <c r="H9" s="1250">
        <f>COUNTIFS($F$24:$F$65,$B9,$D$24:$D$65,"Vacant",$E$24:$E$65,"Hire")+COUNTIFS($F$24:$F$65,$B9,$D$24:$D$65,"Vacant",$E$24:$E$65,"Offshore")</f>
        <v>4</v>
      </c>
      <c r="I9" s="1250">
        <f>COUNTIFS($F$24:$F$65,$B9,$D$24:$D$65,"Vacant",$E$24:$E$65,"Hold")</f>
        <v>0</v>
      </c>
      <c r="J9" s="1251">
        <f>$E9-COUNTIFS($F$24:$F$65,$B9,$E$24:$E$65,"Hold")</f>
        <v>5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IFERROR(IF(INDEX('1.9 Commercial Fuels'!$E$24:$E$41,MATCH($S9,'1.9 Commercial Fuels'!$B$24:$B$41,0))="Offshore",INDEX('0.3 Squad Archetypes'!$H$5:$H$23,MATCH($C9&amp;"|"&amp;$R9,'0.3 Squad Archetypes'!$A$5:$A$23,0)),INDEX('0.3 Squad Archetypes'!$G$5:$G$23,MATCH($C9&amp;"|"&amp;$R9,'0.3 Squad Archetypes'!$A$5:$A$23,0))),"-")</f>
        <v>2.1</v>
      </c>
      <c r="M9" s="1252">
        <f>SUMIFS('REVIEW - Complete Role Mapping'!$AA$2:$AA$528,'REVIEW - Complete Role Mapping'!$AJ$2:$AJ$528,$C$3,'REVIEW - Complete Role Mapping'!$AT$2:$AT$528,$B9)/1000000</f>
        <v>1.05925575</v>
      </c>
      <c r="N9" s="1252">
        <f>IFERROR($M9-$L9,"-")</f>
        <v>-1.04074425</v>
      </c>
      <c r="O9" s="1253">
        <f>(SUMIFS('REVIEW - Complete Role Mapping'!$AA$2:$AA$528,'REVIEW - Complete Role Mapping'!$AJ$2:$AJ$528,$C$3,'REVIEW - Complete Role Mapping'!$AT$2:$AT$528,$B9,'REVIEW - Complete Role Mapping'!$AK$2:$AK$528,"Filled")+SUMIFS($H$24:$H$65,$F$24:$F$65,$B9))/1000000</f>
        <v>1.2782625</v>
      </c>
      <c r="P9" s="1254">
        <f>$O9-$M9</f>
        <v>0.21900675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0.840249</v>
      </c>
      <c r="R9" t="str">
        <f>IFERROR(IF(INDEX('1.9 Commercial Fuels'!$D$24:$D$41,MATCH($S9,'1.9 Commercial Fuels'!$B$24:$B$41,0))="","-",INDEX('1.9 Commercial Fuels'!$D$24:$D$41,MATCH($S9,'1.9 Commercial Fuels'!$B$24:$B$41,0))),"-")</f>
        <v>M</v>
      </c>
      <c r="S9" t="str">
        <f>IFERROR(INDEX(Lists!$AA:$AA,MATCH($B9,Lists!$Z:$Z,0)),$B9)</f>
        <v>Supply</v>
      </c>
    </row>
    <row r="10">
      <c r="A10" s="949" t="n"/>
      <c r="B10" s="1231" t="inlineStr">
        <is>
          <t>Delivery squads</t>
        </is>
      </c>
      <c r="C10" s="641" t="n"/>
      <c r="D10" s="1255">
        <f>SUMIF($D$6:$D$9,"&gt;=0")</f>
        <v>25.5</v>
      </c>
      <c r="E10" s="1255">
        <f>SUM(E6:E9)</f>
        <v>38</v>
      </c>
      <c r="F10" s="1255">
        <f>SUMPRODUCT(--ISNUMBER($D$6:$D$9),$E$6:$E$9)-SUMIF($D$6:$D$9,"&gt;=0")</f>
        <v>-1.5</v>
      </c>
      <c r="G10" s="1255">
        <f>SUM(G6:G9)</f>
        <v>7</v>
      </c>
      <c r="H10" s="1255">
        <f>SUM(H6:H9)</f>
        <v>7</v>
      </c>
      <c r="I10" s="1255">
        <f>SUM(I6:I9)</f>
        <v>0</v>
      </c>
      <c r="J10" s="1256">
        <f>SUM(J6:J9)</f>
        <v>38</v>
      </c>
      <c r="K10" s="1155" t="n"/>
      <c r="L10" s="1257">
        <f>SUMIF($L$6:$L$9,"&gt;=0")</f>
        <v>4.88</v>
      </c>
      <c r="M10" s="1257">
        <f>SUM(M6:M9)</f>
        <v>9.0663273927</v>
      </c>
      <c r="N10" s="1257">
        <f>SUMPRODUCT(--ISNUMBER($L$6:$L$9),$M$6:$M$9)-SUMIF($L$6:$L$9,"&gt;=0")</f>
        <v>0.9645681607</v>
      </c>
      <c r="O10" s="1258">
        <f>SUM(O6:O9)</f>
        <v>16.7676550354</v>
      </c>
      <c r="P10" s="1254">
        <f>SUM(P6:P9)</f>
        <v>7.7013276427</v>
      </c>
      <c r="Q10" s="1254">
        <f>SUM(Q6:Q9)</f>
        <v>1.36499975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504" t="inlineStr">
        <is>
          <t>Head of Technology</t>
        </is>
      </c>
      <c r="C12" s="645" t="str">
        <f>"Overhead - see 3.2"</f>
        <v>Overhead - see 3.2</v>
      </c>
      <c r="D12" s="1261" t="str">
        <f>"-"</f>
        <v>-</v>
      </c>
      <c r="E12" s="1262">
        <f>COUNTIFS($F$24:$F$65,$B12)</f>
        <v>1</v>
      </c>
      <c r="F12" s="1261" t="str">
        <f>"-"</f>
        <v>-</v>
      </c>
      <c r="G12" s="1261">
        <f>COUNTIFS($F$24:$F$65,$B12,$D$24:$D$65,"Vacant")</f>
        <v>0</v>
      </c>
      <c r="H12" s="1261">
        <f>COUNTIFS($F$24:$F$65,$B12,$D$24:$D$65,"Vacant",$E$24:$E$65,"Hire")+COUNTIFS($F$24:$F$65,$B12,$D$24:$D$65,"Vacant",$E$24:$E$65,"Offshore")</f>
        <v>0</v>
      </c>
      <c r="I12" s="1261">
        <f>COUNTIFS($F$24:$F$65,$B12,$D$24:$D$65,"Vacant",$E$24:$E$65,"Hold")</f>
        <v>0</v>
      </c>
      <c r="J12" s="1261">
        <f>$E12-COUNTIFS($F$24:$F$65,$B12,$E$24:$E$65,"Hold")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0.292434736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Mapping'!$AK$2:$AK$528,"Filled")+SUMIFS($H$24:$H$65,$F$24:$F$65,$B12))/1000000</f>
        <v>0.584869472</v>
      </c>
      <c r="P12" s="1254">
        <f>$O12-$M12</f>
        <v>0.292434736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COUNTIFS($F$24:$F$65,$B13)</f>
        <v>1</v>
      </c>
      <c r="F13" s="1281" t="str">
        <f>"-"</f>
        <v>-</v>
      </c>
      <c r="G13" s="1281">
        <f>COUNTIFS($F$24:$F$65,$B13,$D$24:$D$65,"Vacant")</f>
        <v>1</v>
      </c>
      <c r="H13" s="1281">
        <f>COUNTIFS($F$24:$F$65,$B13,$D$24:$D$65,"Vacant",$E$24:$E$65,"Hire")+COUNTIFS($F$24:$F$65,$B13,$D$24:$D$65,"Vacant",$E$24:$E$65,"Offshore")</f>
        <v>1</v>
      </c>
      <c r="I13" s="1281">
        <f>COUNTIFS($F$24:$F$65,$B13,$D$24:$D$65,"Vacant",$E$24:$E$65,"Hold")</f>
        <v>0</v>
      </c>
      <c r="J13" s="1281">
        <f>$E13-COUNTIFS($F$24:$F$65,$B13,$E$24:$E$65,"Hold")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Mapping'!$AK$2:$AK$528,"Filled")+SUMIFS($H$24:$H$65,$F$24:$F$65,$B13))/1000000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645" t="str">
        <f>"Overhead - see 3.2"</f>
        <v>Overhead - see 3.2</v>
      </c>
      <c r="D14" s="1281" t="str">
        <f>"-"</f>
        <v>-</v>
      </c>
      <c r="E14" s="1262">
        <f>COUNTIFS($F$24:$F$65,$B14)</f>
        <v>2</v>
      </c>
      <c r="F14" s="1281" t="str">
        <f>"-"</f>
        <v>-</v>
      </c>
      <c r="G14" s="1281">
        <f>COUNTIFS($F$24:$F$65,$B14,$D$24:$D$65,"Vacant")</f>
        <v>1</v>
      </c>
      <c r="H14" s="1281">
        <f>COUNTIFS($F$24:$F$65,$B14,$D$24:$D$65,"Vacant",$E$24:$E$65,"Hire")+COUNTIFS($F$24:$F$65,$B14,$D$24:$D$65,"Vacant",$E$24:$E$65,"Offshore")</f>
        <v>1</v>
      </c>
      <c r="I14" s="1281">
        <f>COUNTIFS($F$24:$F$65,$B14,$D$24:$D$65,"Vacant",$E$24:$E$65,"Hold")</f>
        <v>0</v>
      </c>
      <c r="J14" s="1281">
        <f>$E14-COUNTIFS($F$24:$F$65,$B14,$E$24:$E$65,"Hold")</f>
        <v>2</v>
      </c>
      <c r="K14" s="442" t="str">
        <f>"Overhead"</f>
        <v>Overhead</v>
      </c>
      <c r="L14" s="1282" t="str">
        <f>"-"</f>
        <v>-</v>
      </c>
      <c r="M14" s="1282">
        <f>SUMIFS('REVIEW - Complete Role Mapping'!$AA$2:$AA$528,'REVIEW - Complete Role Mapping'!$AJ$2:$AJ$528,$C$3,'REVIEW - Complete Role Mapping'!$AT$2:$AT$528,$B14)/1000000</f>
        <v>0.56309735</v>
      </c>
      <c r="N14" s="1282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Mapping'!$AK$2:$AK$528,"Filled")+SUMIFS($H$24:$H$65,$F$24:$F$65,$B14))/1000000</f>
        <v>0.85038445</v>
      </c>
      <c r="P14" s="1254">
        <f>$O14-$M14</f>
        <v>0.2872871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949" t="n"/>
      <c r="D15" s="1261" t="n"/>
      <c r="E15" s="1261">
        <f>SUM(E12:E14)</f>
        <v>4</v>
      </c>
      <c r="F15" s="1261" t="n"/>
      <c r="G15" s="1261">
        <f>SUM(G12:G14)</f>
        <v>2</v>
      </c>
      <c r="H15" s="1261">
        <f>SUM(H12:H14)</f>
        <v>2</v>
      </c>
      <c r="I15" s="1261">
        <f>SUM(I12:I14)</f>
        <v>0</v>
      </c>
      <c r="J15" s="1261">
        <f>SUM(J12:J14)</f>
        <v>4</v>
      </c>
      <c r="K15" s="949" t="n"/>
      <c r="L15" s="1263" t="n"/>
      <c r="M15" s="1263">
        <f>SUM(M12:M14)</f>
        <v>1.131342336</v>
      </c>
      <c r="N15" s="1263" t="n"/>
      <c r="O15" s="1263">
        <f>SUM(O12:O14)</f>
        <v>1.711064172</v>
      </c>
      <c r="P15" s="1254">
        <f>SUM(P12:P14)</f>
        <v>0.579721836</v>
      </c>
      <c r="Q15" s="1254">
        <f>SUM(Q12:Q14)</f>
        <v>0.5516205</v>
      </c>
    </row>
    <row r="16">
      <c r="A16" s="949" t="n"/>
      <c r="B16" s="432" t="n"/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 ht="15.65" customHeight="1">
      <c r="A17" s="949" t="n"/>
      <c r="B17" s="1226" t="inlineStr">
        <is>
          <t>Total portfolio</t>
        </is>
      </c>
      <c r="C17" s="430" t="n"/>
      <c r="D17" s="1280">
        <f>$D10</f>
        <v>25.5</v>
      </c>
      <c r="E17" s="1280">
        <f>$E10+$E15</f>
        <v>42</v>
      </c>
      <c r="F17" s="1280">
        <f>IFERROR($E10-$D10,"-")</f>
        <v>12.5</v>
      </c>
      <c r="G17" s="1261">
        <f>$G10+$G15</f>
        <v>9</v>
      </c>
      <c r="H17" s="1261">
        <f>$H10+$H15</f>
        <v>9</v>
      </c>
      <c r="I17" s="1261">
        <f>$I10+$I15</f>
        <v>0</v>
      </c>
      <c r="J17" s="1261">
        <f>$J10+$J15</f>
        <v>42</v>
      </c>
      <c r="K17" s="949" t="n"/>
      <c r="L17" s="1263">
        <f>$L10</f>
        <v>4.88</v>
      </c>
      <c r="M17" s="1263">
        <f>$M10+$M15</f>
        <v>10.1976697287</v>
      </c>
      <c r="N17" s="1263">
        <f>IFERROR($M10-$L10,"-")</f>
        <v>4.1863273927</v>
      </c>
      <c r="O17" s="1263">
        <f>$O10+$O15</f>
        <v>18.4787192074</v>
      </c>
      <c r="P17" s="1254">
        <f>$P10+$P15</f>
        <v>8.2810494787</v>
      </c>
      <c r="Q17" s="1254">
        <f>$Q10+$Q15</f>
        <v>1.91662025</v>
      </c>
    </row>
    <row r="18">
      <c r="A18" s="949" t="n"/>
      <c r="B18" s="1318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roles vs the ledger, must be 0</t>
        </is>
      </c>
      <c r="C19" s="646" t="n"/>
      <c r="D19" s="646" t="n"/>
      <c r="E19" s="646">
        <f>COUNTIFS('REVIEW - Complete Role Mapping'!$AJ$2:$AJ$528,$C$3)-$E17</f>
        <v>0</v>
      </c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cost vs the ledger ($m), must be 0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34" t="n"/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Commercial Fuels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Mapping'!$B:$B,338)</f>
        <v>Amanda Turnbull</v>
      </c>
      <c r="C24" s="634" t="str">
        <f>INDEX('REVIEW - Complete Role Mapping'!$C:$C,338)</f>
        <v>Engineer Software</v>
      </c>
      <c r="D24" s="612" t="str">
        <f>INDEX('REVIEW - Complete Role Mapping'!$AK:$AK,338)</f>
        <v>Filled</v>
      </c>
      <c r="E24" s="612" t="inlineStr">
        <is>
          <t>Filled</t>
        </is>
      </c>
      <c r="F24" s="634" t="str">
        <f>INDEX('REVIEW - Complete Role Mapping'!$AT:$AT,338)</f>
        <v>CTRM</v>
      </c>
      <c r="G24" s="627">
        <f>INDEX('REVIEW - Complete Role Mapping'!$AA:$AA,338)</f>
        <v>101439.056</v>
      </c>
      <c r="H24" s="627">
        <f>$G24*IFERROR(INDEX(Lists!$AD:$AD,MATCH($E24,Lists!$AC:$AC,0)),1)</f>
        <v>101439.056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Mapping'!$B:$B,350)</f>
        <v>Byron Leung</v>
      </c>
      <c r="C25" s="634" t="str">
        <f>INDEX('REVIEW - Complete Role Mapping'!$C:$C,350)</f>
        <v>Solution Architect</v>
      </c>
      <c r="D25" s="612" t="str">
        <f>INDEX('REVIEW - Complete Role Mapping'!$AK:$AK,350)</f>
        <v>Filled</v>
      </c>
      <c r="E25" s="612" t="inlineStr">
        <is>
          <t>Filled</t>
        </is>
      </c>
      <c r="F25" s="634" t="str">
        <f>INDEX('REVIEW - Complete Role Mapping'!$AT:$AT,350)</f>
        <v>CTRM</v>
      </c>
      <c r="G25" s="627">
        <f>INDEX('REVIEW - Complete Role Mapping'!$AA:$AA,350)</f>
        <v>276972.45</v>
      </c>
      <c r="H25" s="627">
        <f>$G25*IFERROR(INDEX(Lists!$AD:$AD,MATCH($E25,Lists!$AC:$AC,0)),1)</f>
        <v>276972.45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Mapping'!$B:$B,353)</f>
        <v>Carl Russo</v>
      </c>
      <c r="C26" s="634" t="str">
        <f>INDEX('REVIEW - Complete Role Mapping'!$C:$C,353)</f>
        <v>Program Manager - CTRM</v>
      </c>
      <c r="D26" s="612" t="str">
        <f>INDEX('REVIEW - Complete Role Mapping'!$AK:$AK,353)</f>
        <v>Filled</v>
      </c>
      <c r="E26" s="612" t="inlineStr">
        <is>
          <t>Filled</t>
        </is>
      </c>
      <c r="F26" s="634" t="str">
        <f>INDEX('REVIEW - Complete Role Mapping'!$AT:$AT,353)</f>
        <v>CTRM</v>
      </c>
      <c r="G26" s="627">
        <f>INDEX('REVIEW - Complete Role Mapping'!$AA:$AA,353)</f>
        <v>323695.95</v>
      </c>
      <c r="H26" s="627">
        <f>$G26*IFERROR(INDEX(Lists!$AD:$AD,MATCH($E26,Lists!$AC:$AC,0)),1)</f>
        <v>323695.95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Mapping'!$B:$B,354)</f>
        <v>Chantal Lynch</v>
      </c>
      <c r="C27" s="634" t="str">
        <f>INDEX('REVIEW - Complete Role Mapping'!$C:$C,354)</f>
        <v>Lead Quality Assurance</v>
      </c>
      <c r="D27" s="612" t="str">
        <f>INDEX('REVIEW - Complete Role Mapping'!$AK:$AK,354)</f>
        <v>Filled</v>
      </c>
      <c r="E27" s="612" t="inlineStr">
        <is>
          <t>Filled</t>
        </is>
      </c>
      <c r="F27" s="634" t="str">
        <f>INDEX('REVIEW - Complete Role Mapping'!$AT:$AT,354)</f>
        <v>CTRM</v>
      </c>
      <c r="G27" s="627">
        <f>INDEX('REVIEW - Complete Role Mapping'!$AA:$AA,354)</f>
        <v>180639.096</v>
      </c>
      <c r="H27" s="627">
        <f>$G27*IFERROR(INDEX(Lists!$AD:$AD,MATCH($E27,Lists!$AC:$AC,0)),1)</f>
        <v>180639.096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Mapping'!$B:$B,358)</f>
        <v>Deepa Kaur</v>
      </c>
      <c r="C28" s="634" t="str">
        <f>INDEX('REVIEW - Complete Role Mapping'!$C:$C,358)</f>
        <v>Senior Engineer Automation Testing</v>
      </c>
      <c r="D28" s="612" t="str">
        <f>INDEX('REVIEW - Complete Role Mapping'!$AK:$AK,358)</f>
        <v>Filled</v>
      </c>
      <c r="E28" s="612" t="inlineStr">
        <is>
          <t>Filled</t>
        </is>
      </c>
      <c r="F28" s="634" t="str">
        <f>INDEX('REVIEW - Complete Role Mapping'!$AT:$AT,358)</f>
        <v>CTRM</v>
      </c>
      <c r="G28" s="627">
        <f>INDEX('REVIEW - Complete Role Mapping'!$AA:$AA,358)</f>
        <v>194522.85</v>
      </c>
      <c r="H28" s="627">
        <f>$G28*IFERROR(INDEX(Lists!$AD:$AD,MATCH($E28,Lists!$AC:$AC,0)),1)</f>
        <v>194522.85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Mapping'!$B:$B,363)</f>
        <v>Fransiscus Setiawan</v>
      </c>
      <c r="C29" s="634" t="str">
        <f>INDEX('REVIEW - Complete Role Mapping'!$C:$C,363)</f>
        <v>Integration Architect   </v>
      </c>
      <c r="D29" s="612" t="str">
        <f>INDEX('REVIEW - Complete Role Mapping'!$AK:$AK,363)</f>
        <v>Filled</v>
      </c>
      <c r="E29" s="612" t="inlineStr">
        <is>
          <t>Filled</t>
        </is>
      </c>
      <c r="F29" s="634" t="str">
        <f>INDEX('REVIEW - Complete Role Mapping'!$AT:$AT,363)</f>
        <v>CTRM</v>
      </c>
      <c r="G29" s="627">
        <f>INDEX('REVIEW - Complete Role Mapping'!$AA:$AA,363)</f>
        <v>280350</v>
      </c>
      <c r="H29" s="627">
        <f>$G29*IFERROR(INDEX(Lists!$AD:$AD,MATCH($E29,Lists!$AC:$AC,0)),1)</f>
        <v>280350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Mapping'!$B:$B,369)</f>
        <v>Hayden Corney</v>
      </c>
      <c r="C30" s="634" t="str">
        <f>INDEX('REVIEW - Complete Role Mapping'!$C:$C,369)</f>
        <v>Lead Engineer Software</v>
      </c>
      <c r="D30" s="612" t="str">
        <f>INDEX('REVIEW - Complete Role Mapping'!$AK:$AK,369)</f>
        <v>Filled</v>
      </c>
      <c r="E30" s="612" t="inlineStr">
        <is>
          <t>Filled</t>
        </is>
      </c>
      <c r="F30" s="634" t="str">
        <f>INDEX('REVIEW - Complete Role Mapping'!$AT:$AT,369)</f>
        <v>CTRM</v>
      </c>
      <c r="G30" s="627">
        <f>INDEX('REVIEW - Complete Role Mapping'!$AA:$AA,369)</f>
        <v>197318.88</v>
      </c>
      <c r="H30" s="627">
        <f>$G30*IFERROR(INDEX(Lists!$AD:$AD,MATCH($E30,Lists!$AC:$AC,0)),1)</f>
        <v>197318.88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Mapping'!$B:$B,383)</f>
        <v>Laura Roberts</v>
      </c>
      <c r="C31" s="634" t="str">
        <f>INDEX('REVIEW - Complete Role Mapping'!$C:$C,383)</f>
        <v>Senior Engineer Software</v>
      </c>
      <c r="D31" s="612" t="str">
        <f>INDEX('REVIEW - Complete Role Mapping'!$AK:$AK,383)</f>
        <v>Filled</v>
      </c>
      <c r="E31" s="647" t="inlineStr">
        <is>
          <t>Filled</t>
        </is>
      </c>
      <c r="F31" s="648" t="str">
        <f>INDEX('REVIEW - Complete Role Mapping'!$AT:$AT,383)</f>
        <v>CTRM</v>
      </c>
      <c r="G31" s="627">
        <f>INDEX('REVIEW - Complete Role Mapping'!$AA:$AA,383)</f>
        <v>156490.752</v>
      </c>
      <c r="H31" s="627">
        <f>$G31*IFERROR(INDEX(Lists!$AD:$AD,MATCH($E31,Lists!$AC:$AC,0)),1)</f>
        <v>156490.752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Mapping'!$B:$B,393)</f>
        <v>Oliver Shanks</v>
      </c>
      <c r="C32" s="634" t="str">
        <f>INDEX('REVIEW - Complete Role Mapping'!$C:$C,393)</f>
        <v>Associate Engineer Software</v>
      </c>
      <c r="D32" s="612" t="str">
        <f>INDEX('REVIEW - Complete Role Mapping'!$AK:$AK,393)</f>
        <v>Filled</v>
      </c>
      <c r="E32" s="647" t="inlineStr">
        <is>
          <t>Filled</t>
        </is>
      </c>
      <c r="F32" s="648" t="str">
        <f>INDEX('REVIEW - Complete Role Mapping'!$AT:$AT,393)</f>
        <v>CTRM</v>
      </c>
      <c r="G32" s="627">
        <f>INDEX('REVIEW - Complete Role Mapping'!$AA:$AA,393)</f>
        <v>84514.552</v>
      </c>
      <c r="H32" s="627">
        <f>$G32*IFERROR(INDEX(Lists!$AD:$AD,MATCH($E32,Lists!$AC:$AC,0)),1)</f>
        <v>84514.552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Mapping'!$B:$B,394)</f>
        <v>Oz Shaaban</v>
      </c>
      <c r="C33" s="634" t="str">
        <f>INDEX('REVIEW - Complete Role Mapping'!$C:$C,394)</f>
        <v>Delivery Lead</v>
      </c>
      <c r="D33" s="612" t="str">
        <f>INDEX('REVIEW - Complete Role Mapping'!$AK:$AK,394)</f>
        <v>Filled</v>
      </c>
      <c r="E33" s="647" t="inlineStr">
        <is>
          <t>Filled</t>
        </is>
      </c>
      <c r="F33" s="648" t="str">
        <f>INDEX('REVIEW - Complete Role Mapping'!$AT:$AT,394)</f>
        <v>CTRM</v>
      </c>
      <c r="G33" s="627">
        <f>INDEX('REVIEW - Complete Role Mapping'!$AA:$AA,394)</f>
        <v>253997.1</v>
      </c>
      <c r="H33" s="627">
        <f>$G33*IFERROR(INDEX(Lists!$AD:$AD,MATCH($E33,Lists!$AC:$AC,0)),1)</f>
        <v>253997.1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Mapping'!$B:$B,398)</f>
        <v>Rick Abainza</v>
      </c>
      <c r="C34" s="646" t="str">
        <f>INDEX('REVIEW - Complete Role Mapping'!$C:$C,398)</f>
        <v>Lead Business Analyst</v>
      </c>
      <c r="D34" s="646" t="str">
        <f>INDEX('REVIEW - Complete Role Mapping'!$AK:$AK,398)</f>
        <v>Filled</v>
      </c>
      <c r="E34" s="646" t="inlineStr">
        <is>
          <t>Filled</t>
        </is>
      </c>
      <c r="F34" s="646" t="str">
        <f>INDEX('REVIEW - Complete Role Mapping'!$AT:$AT,398)</f>
        <v>CTRM</v>
      </c>
      <c r="G34" s="627">
        <f>INDEX('REVIEW - Complete Role Mapping'!$AA:$AA,398)</f>
        <v>366703.25</v>
      </c>
      <c r="H34" s="627">
        <f>$G34*IFERROR(INDEX(Lists!$AD:$AD,MATCH($E34,Lists!$AC:$AC,0)),1)</f>
        <v>366703.25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Mapping'!$B:$B,402)</f>
        <v>Sijin Zhu</v>
      </c>
      <c r="C35" s="634" t="str">
        <f>INDEX('REVIEW - Complete Role Mapping'!$C:$C,402)</f>
        <v>Business Analyst</v>
      </c>
      <c r="D35" s="612" t="str">
        <f>INDEX('REVIEW - Complete Role Mapping'!$AK:$AK,402)</f>
        <v>Filled</v>
      </c>
      <c r="E35" s="612" t="inlineStr">
        <is>
          <t>Filled</t>
        </is>
      </c>
      <c r="F35" s="634" t="str">
        <f>INDEX('REVIEW - Complete Role Mapping'!$AT:$AT,402)</f>
        <v>CTRM</v>
      </c>
      <c r="G35" s="627">
        <f>INDEX('REVIEW - Complete Role Mapping'!$AA:$AA,402)</f>
        <v>279205.246</v>
      </c>
      <c r="H35" s="627">
        <f>$G35*IFERROR(INDEX(Lists!$AD:$AD,MATCH($E35,Lists!$AC:$AC,0)),1)</f>
        <v>279205.246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Mapping'!$B:$B,410)</f>
        <v>Trung Truong</v>
      </c>
      <c r="C36" s="634" t="str">
        <f>INDEX('REVIEW - Complete Role Mapping'!$C:$C,410)</f>
        <v>Engineer Applications</v>
      </c>
      <c r="D36" s="612" t="str">
        <f>INDEX('REVIEW - Complete Role Mapping'!$AK:$AK,410)</f>
        <v>Filled</v>
      </c>
      <c r="E36" s="612" t="inlineStr">
        <is>
          <t>Filled</t>
        </is>
      </c>
      <c r="F36" s="634" t="str">
        <f>INDEX('REVIEW - Complete Role Mapping'!$AT:$AT,410)</f>
        <v>CTRM</v>
      </c>
      <c r="G36" s="627">
        <f>INDEX('REVIEW - Complete Role Mapping'!$AA:$AA,410)</f>
        <v>304660.5</v>
      </c>
      <c r="H36" s="627">
        <f>$G36*IFERROR(INDEX(Lists!$AD:$AD,MATCH($E36,Lists!$AC:$AC,0)),1)</f>
        <v>304660.5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Mapping'!$B:$B,444)</f>
        <v>Zhan Liu</v>
      </c>
      <c r="C37" s="634" t="str">
        <f>INDEX('REVIEW - Complete Role Mapping'!$C:$C,444)</f>
        <v>Engineer Applications</v>
      </c>
      <c r="D37" s="612" t="str">
        <f>INDEX('REVIEW - Complete Role Mapping'!$AK:$AK,444)</f>
        <v>Filled</v>
      </c>
      <c r="E37" s="612" t="inlineStr">
        <is>
          <t>Filled</t>
        </is>
      </c>
      <c r="F37" s="634" t="str">
        <f>INDEX('REVIEW - Complete Role Mapping'!$AT:$AT,444)</f>
        <v>CTRM</v>
      </c>
      <c r="G37" s="627">
        <f>INDEX('REVIEW - Complete Role Mapping'!$AA:$AA,444)</f>
        <v>221249.55</v>
      </c>
      <c r="H37" s="627">
        <f>$G37*IFERROR(INDEX(Lists!$AD:$AD,MATCH($E37,Lists!$AC:$AC,0)),1)</f>
        <v>221249.55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Mapping'!$B:$B,355)</f>
        <v>Chin Fang Kwek</v>
      </c>
      <c r="C38" s="634" t="str">
        <f>INDEX('REVIEW - Complete Role Mapping'!$C:$C,355)</f>
        <v>System Analyst</v>
      </c>
      <c r="D38" s="612" t="str">
        <f>INDEX('REVIEW - Complete Role Mapping'!$AK:$AK,355)</f>
        <v>Filled</v>
      </c>
      <c r="E38" s="612" t="inlineStr">
        <is>
          <t>Filled</t>
        </is>
      </c>
      <c r="F38" s="634" t="str">
        <f>INDEX('REVIEW - Complete Role Mapping'!$AT:$AT,355)</f>
        <v>Trading &amp; Shipping</v>
      </c>
      <c r="G38" s="627">
        <f>INDEX('REVIEW - Complete Role Mapping'!$AA:$AA,355)</f>
        <v>346651.0332</v>
      </c>
      <c r="H38" s="627">
        <f>$G38*IFERROR(INDEX(Lists!$AD:$AD,MATCH($E38,Lists!$AC:$AC,0)),1)</f>
        <v>346651.0332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Mapping'!$B:$B,368)</f>
        <v>Hari Maneti</v>
      </c>
      <c r="C39" s="634" t="str">
        <f>INDEX('REVIEW - Complete Role Mapping'!$C:$C,368)</f>
        <v>Systems Analyst</v>
      </c>
      <c r="D39" s="612" t="str">
        <f>INDEX('REVIEW - Complete Role Mapping'!$AK:$AK,368)</f>
        <v>Filled</v>
      </c>
      <c r="E39" s="612" t="inlineStr">
        <is>
          <t>Filled</t>
        </is>
      </c>
      <c r="F39" s="634" t="str">
        <f>INDEX('REVIEW - Complete Role Mapping'!$AT:$AT,368)</f>
        <v>Trading &amp; Shipping</v>
      </c>
      <c r="G39" s="627">
        <f>INDEX('REVIEW - Complete Role Mapping'!$AA:$AA,368)</f>
        <v>293634.617</v>
      </c>
      <c r="H39" s="627">
        <f>$G39*IFERROR(INDEX(Lists!$AD:$AD,MATCH($E39,Lists!$AC:$AC,0)),1)</f>
        <v>293634.617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Mapping'!$B:$B,370)</f>
        <v>Isha Riyat</v>
      </c>
      <c r="C40" s="634" t="str">
        <f>INDEX('REVIEW - Complete Role Mapping'!$C:$C,370)</f>
        <v>Senior Business Analyst</v>
      </c>
      <c r="D40" s="612" t="str">
        <f>INDEX('REVIEW - Complete Role Mapping'!$AK:$AK,370)</f>
        <v>Filled</v>
      </c>
      <c r="E40" s="612" t="inlineStr">
        <is>
          <t>Filled</t>
        </is>
      </c>
      <c r="F40" s="634" t="str">
        <f>INDEX('REVIEW - Complete Role Mapping'!$AT:$AT,370)</f>
        <v>Trading &amp; Shipping</v>
      </c>
      <c r="G40" s="627">
        <f>INDEX('REVIEW - Complete Role Mapping'!$AA:$AA,370)</f>
        <v>226429.35</v>
      </c>
      <c r="H40" s="627">
        <f>$G40*IFERROR(INDEX(Lists!$AD:$AD,MATCH($E40,Lists!$AC:$AC,0)),1)</f>
        <v>226429.35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Mapping'!$B:$B,378)</f>
        <v>JR Panganiban</v>
      </c>
      <c r="C41" s="634" t="str">
        <f>INDEX('REVIEW - Complete Role Mapping'!$C:$C,378)</f>
        <v>Technology Support Engineer</v>
      </c>
      <c r="D41" s="612" t="str">
        <f>INDEX('REVIEW - Complete Role Mapping'!$AK:$AK,378)</f>
        <v>Filled</v>
      </c>
      <c r="E41" s="612" t="inlineStr">
        <is>
          <t>Filled</t>
        </is>
      </c>
      <c r="F41" s="634" t="str">
        <f>INDEX('REVIEW - Complete Role Mapping'!$AT:$AT,378)</f>
        <v>Trading &amp; Shipping</v>
      </c>
      <c r="G41" s="627">
        <f>INDEX('REVIEW - Complete Role Mapping'!$AA:$AA,378)</f>
        <v>146390.4</v>
      </c>
      <c r="H41" s="627">
        <f>$G41*IFERROR(INDEX(Lists!$AD:$AD,MATCH($E41,Lists!$AC:$AC,0)),1)</f>
        <v>146390.4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Mapping'!$B:$B,373)</f>
        <v>Jem Cruz</v>
      </c>
      <c r="C42" s="634" t="str">
        <f>INDEX('REVIEW - Complete Role Mapping'!$C:$C,373)</f>
        <v>System Specialist</v>
      </c>
      <c r="D42" s="612" t="str">
        <f>INDEX('REVIEW - Complete Role Mapping'!$AK:$AK,373)</f>
        <v>Filled</v>
      </c>
      <c r="E42" s="612" t="inlineStr">
        <is>
          <t>Filled</t>
        </is>
      </c>
      <c r="F42" s="634" t="str">
        <f>INDEX('REVIEW - Complete Role Mapping'!$AT:$AT,373)</f>
        <v>Trading &amp; Shipping</v>
      </c>
      <c r="G42" s="627">
        <f>INDEX('REVIEW - Complete Role Mapping'!$AA:$AA,373)</f>
        <v>180010.35</v>
      </c>
      <c r="H42" s="627">
        <f>$G42*IFERROR(INDEX(Lists!$AD:$AD,MATCH($E42,Lists!$AC:$AC,0)),1)</f>
        <v>180010.35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Mapping'!$B:$B,379)</f>
        <v>Kevin Li</v>
      </c>
      <c r="C43" s="634" t="str">
        <f>INDEX('REVIEW - Complete Role Mapping'!$C:$C,379)</f>
        <v>System Specialist</v>
      </c>
      <c r="D43" s="612" t="str">
        <f>INDEX('REVIEW - Complete Role Mapping'!$AK:$AK,379)</f>
        <v>Filled</v>
      </c>
      <c r="E43" s="612" t="inlineStr">
        <is>
          <t>Filled</t>
        </is>
      </c>
      <c r="F43" s="634" t="str">
        <f>INDEX('REVIEW - Complete Role Mapping'!$AT:$AT,379)</f>
        <v>Trading &amp; Shipping</v>
      </c>
      <c r="G43" s="627">
        <f>INDEX('REVIEW - Complete Role Mapping'!$AA:$AA,379)</f>
        <v>179970.9</v>
      </c>
      <c r="H43" s="627">
        <f>$G43*IFERROR(INDEX(Lists!$AD:$AD,MATCH($E43,Lists!$AC:$AC,0)),1)</f>
        <v>179970.9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Mapping'!$B:$B,384)</f>
        <v>Leo Machin</v>
      </c>
      <c r="C44" s="634" t="str">
        <f>INDEX('REVIEW - Complete Role Mapping'!$C:$C,384)</f>
        <v>Lead Engineer Applications</v>
      </c>
      <c r="D44" s="612" t="str">
        <f>INDEX('REVIEW - Complete Role Mapping'!$AK:$AK,384)</f>
        <v>Filled</v>
      </c>
      <c r="E44" s="612" t="inlineStr">
        <is>
          <t>Filled</t>
        </is>
      </c>
      <c r="F44" s="634" t="str">
        <f>INDEX('REVIEW - Complete Role Mapping'!$AT:$AT,384)</f>
        <v>Trading &amp; Shipping</v>
      </c>
      <c r="G44" s="627">
        <f>INDEX('REVIEW - Complete Role Mapping'!$AA:$AA,384)</f>
        <v>212558.7</v>
      </c>
      <c r="H44" s="627">
        <f>$G44*IFERROR(INDEX(Lists!$AD:$AD,MATCH($E44,Lists!$AC:$AC,0)),1)</f>
        <v>212558.7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Mapping'!$B:$B,395)</f>
        <v>Poch Fernandez</v>
      </c>
      <c r="C45" s="634" t="str">
        <f>INDEX('REVIEW - Complete Role Mapping'!$C:$C,395)</f>
        <v>Lead Technology Support  </v>
      </c>
      <c r="D45" s="612" t="str">
        <f>INDEX('REVIEW - Complete Role Mapping'!$AK:$AK,395)</f>
        <v>Filled</v>
      </c>
      <c r="E45" s="612" t="inlineStr">
        <is>
          <t>Filled</t>
        </is>
      </c>
      <c r="F45" s="634" t="str">
        <f>INDEX('REVIEW - Complete Role Mapping'!$AT:$AT,395)</f>
        <v>Trading &amp; Shipping</v>
      </c>
      <c r="G45" s="627">
        <f>INDEX('REVIEW - Complete Role Mapping'!$AA:$AA,395)</f>
        <v>216633.121</v>
      </c>
      <c r="H45" s="627">
        <f>$G45*IFERROR(INDEX(Lists!$AD:$AD,MATCH($E45,Lists!$AC:$AC,0)),1)</f>
        <v>216633.121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Mapping'!$B:$B,408)</f>
        <v>Suja Sugathan</v>
      </c>
      <c r="C46" s="634" t="str">
        <f>INDEX('REVIEW - Complete Role Mapping'!$C:$C,408)</f>
        <v>Senior Business Analyst</v>
      </c>
      <c r="D46" s="612" t="str">
        <f>INDEX('REVIEW - Complete Role Mapping'!$AK:$AK,408)</f>
        <v>Filled</v>
      </c>
      <c r="E46" s="612" t="inlineStr">
        <is>
          <t>Filled</t>
        </is>
      </c>
      <c r="F46" s="634" t="str">
        <f>INDEX('REVIEW - Complete Role Mapping'!$AT:$AT,408)</f>
        <v>Trading &amp; Shipping</v>
      </c>
      <c r="G46" s="627">
        <f>INDEX('REVIEW - Complete Role Mapping'!$AA:$AA,408)</f>
        <v>352114.3405</v>
      </c>
      <c r="H46" s="627">
        <f>$G46*IFERROR(INDEX(Lists!$AD:$AD,MATCH($E46,Lists!$AC:$AC,0)),1)</f>
        <v>352114.3405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Mapping'!$B:$B,420)</f>
        <v>Vacant</v>
      </c>
      <c r="C47" s="634" t="str">
        <f>INDEX('REVIEW - Complete Role Mapping'!$C:$C,420)</f>
        <v>Tech Support Technician</v>
      </c>
      <c r="D47" s="612" t="str">
        <f>INDEX('REVIEW - Complete Role Mapping'!$AK:$AK,420)</f>
        <v>Vacant</v>
      </c>
      <c r="E47" s="612" t="inlineStr">
        <is>
          <t>Hire</t>
        </is>
      </c>
      <c r="F47" s="634" t="str">
        <f>INDEX('REVIEW - Complete Role Mapping'!$AT:$AT,420)</f>
        <v>Trading &amp; Shipping</v>
      </c>
      <c r="G47" s="627">
        <f>INDEX('REVIEW - Complete Role Mapping'!$AA:$AA,420)</f>
        <v>122571.75</v>
      </c>
      <c r="H47" s="627">
        <f>$G47*IFERROR(INDEX(Lists!$AD:$AD,MATCH($E47,Lists!$AC:$AC,0)),1)</f>
        <v>122571.75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Mapping'!$B:$B,424)</f>
        <v>Vacant</v>
      </c>
      <c r="C48" s="646" t="str">
        <f>INDEX('REVIEW - Complete Role Mapping'!$C:$C,424)</f>
        <v>Delivery Lead</v>
      </c>
      <c r="D48" s="646" t="str">
        <f>INDEX('REVIEW - Complete Role Mapping'!$AK:$AK,424)</f>
        <v>Vacant</v>
      </c>
      <c r="E48" s="646" t="inlineStr">
        <is>
          <t>Hire</t>
        </is>
      </c>
      <c r="F48" s="646" t="str">
        <f>INDEX('REVIEW - Complete Role Mapping'!$AT:$AT,424)</f>
        <v>Trading &amp; Shipping</v>
      </c>
      <c r="G48" s="627">
        <f>INDEX('REVIEW - Complete Role Mapping'!$AA:$AA,424)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Mapping'!$B:$B,425)</f>
        <v>Vacant</v>
      </c>
      <c r="C49" s="634" t="str">
        <f>INDEX('REVIEW - Complete Role Mapping'!$C:$C,425)</f>
        <v>Quality Assurance</v>
      </c>
      <c r="D49" s="612" t="str">
        <f>INDEX('REVIEW - Complete Role Mapping'!$AK:$AK,425)</f>
        <v>Vacant</v>
      </c>
      <c r="E49" s="612" t="inlineStr">
        <is>
          <t>Hire</t>
        </is>
      </c>
      <c r="F49" s="634" t="str">
        <f>INDEX('REVIEW - Complete Role Mapping'!$AT:$AT,425)</f>
        <v>Trading &amp; Shipping</v>
      </c>
      <c r="G49" s="627">
        <f>INDEX('REVIEW - Complete Role Mapping'!$AA:$AA,425)</f>
        <v>170489.75</v>
      </c>
      <c r="H49" s="627">
        <f>$G49*IFERROR(INDEX(Lists!$AD:$AD,MATCH($E49,Lists!$AC:$AC,0)),1)</f>
        <v>170489.75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Mapping'!$B:$B,344)</f>
        <v>Anusha Viswanatha</v>
      </c>
      <c r="C50" s="634" t="str">
        <f>INDEX('REVIEW - Complete Role Mapping'!$C:$C,344)</f>
        <v>Delivery Lead</v>
      </c>
      <c r="D50" s="612" t="str">
        <f>INDEX('REVIEW - Complete Role Mapping'!$AK:$AK,344)</f>
        <v>Filled</v>
      </c>
      <c r="E50" s="647" t="inlineStr">
        <is>
          <t>Filled</t>
        </is>
      </c>
      <c r="F50" s="648" t="str">
        <f>INDEX('REVIEW - Complete Role Mapping'!$AT:$AT,344)</f>
        <v>Trading &amp; Shipping Data</v>
      </c>
      <c r="G50" s="627">
        <f>INDEX('REVIEW - Complete Role Mapping'!$AA:$AA,344)</f>
        <v>286934</v>
      </c>
      <c r="H50" s="627">
        <f>$G50*IFERROR(INDEX(Lists!$AD:$AD,MATCH($E50,Lists!$AC:$AC,0)),1)</f>
        <v>286934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Mapping'!$B:$B,346)</f>
        <v>Arun Prakash Jayaprakasam</v>
      </c>
      <c r="C51" s="634" t="str">
        <f>INDEX('REVIEW - Complete Role Mapping'!$C:$C,346)</f>
        <v>Data Engineer Analyst</v>
      </c>
      <c r="D51" s="612" t="str">
        <f>INDEX('REVIEW - Complete Role Mapping'!$AK:$AK,346)</f>
        <v>Filled</v>
      </c>
      <c r="E51" s="647" t="inlineStr">
        <is>
          <t>Filled</t>
        </is>
      </c>
      <c r="F51" s="648" t="str">
        <f>INDEX('REVIEW - Complete Role Mapping'!$AT:$AT,346)</f>
        <v>Trading &amp; Shipping Data</v>
      </c>
      <c r="G51" s="627">
        <f>INDEX('REVIEW - Complete Role Mapping'!$AA:$AA,346)</f>
        <v>268285.722</v>
      </c>
      <c r="H51" s="627">
        <f>$G51*IFERROR(INDEX(Lists!$AD:$AD,MATCH($E51,Lists!$AC:$AC,0)),1)</f>
        <v>268285.722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Mapping'!$B:$B,347)</f>
        <v>Ayushi Agarwal</v>
      </c>
      <c r="C52" s="634" t="str">
        <f>INDEX('REVIEW - Complete Role Mapping'!$C:$C,347)</f>
        <v>Engineer Data</v>
      </c>
      <c r="D52" s="612" t="str">
        <f>INDEX('REVIEW - Complete Role Mapping'!$AK:$AK,347)</f>
        <v>Filled</v>
      </c>
      <c r="E52" s="647" t="inlineStr">
        <is>
          <t>Filled</t>
        </is>
      </c>
      <c r="F52" s="648" t="str">
        <f>INDEX('REVIEW - Complete Role Mapping'!$AT:$AT,347)</f>
        <v>Trading &amp; Shipping Data</v>
      </c>
      <c r="G52" s="627">
        <f>INDEX('REVIEW - Complete Role Mapping'!$AA:$AA,347)</f>
        <v>260911.498</v>
      </c>
      <c r="H52" s="627">
        <f>$G52*IFERROR(INDEX(Lists!$AD:$AD,MATCH($E52,Lists!$AC:$AC,0)),1)</f>
        <v>260911.498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Mapping'!$B:$B,376)</f>
        <v>Jonathan Wong</v>
      </c>
      <c r="C53" s="634" t="str">
        <f>INDEX('REVIEW - Complete Role Mapping'!$C:$C,376)</f>
        <v>Senior Business Analyst</v>
      </c>
      <c r="D53" s="612" t="str">
        <f>INDEX('REVIEW - Complete Role Mapping'!$AK:$AK,376)</f>
        <v>Filled</v>
      </c>
      <c r="E53" s="647" t="inlineStr">
        <is>
          <t>Filled</t>
        </is>
      </c>
      <c r="F53" s="648" t="str">
        <f>INDEX('REVIEW - Complete Role Mapping'!$AT:$AT,376)</f>
        <v>Trading &amp; Shipping Data</v>
      </c>
      <c r="G53" s="627">
        <f>INDEX('REVIEW - Complete Role Mapping'!$AA:$AA,376)</f>
        <v>322387</v>
      </c>
      <c r="H53" s="627">
        <f>$G53*IFERROR(INDEX(Lists!$AD:$AD,MATCH($E53,Lists!$AC:$AC,0)),1)</f>
        <v>322387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Mapping'!$B:$B,381)</f>
        <v>Kumar Siva</v>
      </c>
      <c r="C54" s="646" t="str">
        <f>INDEX('REVIEW - Complete Role Mapping'!$C:$C,381)</f>
        <v>Lead engineer Data</v>
      </c>
      <c r="D54" s="646" t="str">
        <f>INDEX('REVIEW - Complete Role Mapping'!$AK:$AK,381)</f>
        <v>Filled</v>
      </c>
      <c r="E54" s="646" t="inlineStr">
        <is>
          <t>Filled</t>
        </is>
      </c>
      <c r="F54" s="646" t="str">
        <f>INDEX('REVIEW - Complete Role Mapping'!$AT:$AT,381)</f>
        <v>Trading &amp; Shipping Data</v>
      </c>
      <c r="G54" s="627">
        <f>INDEX('REVIEW - Complete Role Mapping'!$AA:$AA,381)</f>
        <v>375566.5</v>
      </c>
      <c r="H54" s="627">
        <f>$G54*IFERROR(INDEX(Lists!$AD:$AD,MATCH($E54,Lists!$AC:$AC,0)),1)</f>
        <v>375566.5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Mapping'!$B:$B,405)</f>
        <v>Soumya Choudhury</v>
      </c>
      <c r="C55" s="634" t="str">
        <f>INDEX('REVIEW - Complete Role Mapping'!$C:$C,405)</f>
        <v>Data Application Specialist </v>
      </c>
      <c r="D55" s="612" t="str">
        <f>INDEX('REVIEW - Complete Role Mapping'!$AK:$AK,405)</f>
        <v>Filled</v>
      </c>
      <c r="E55" s="612" t="inlineStr">
        <is>
          <t>Filled</t>
        </is>
      </c>
      <c r="F55" s="634" t="str">
        <f>INDEX('REVIEW - Complete Role Mapping'!$AT:$AT,405)</f>
        <v>Trading &amp; Shipping Data</v>
      </c>
      <c r="G55" s="627">
        <f>INDEX('REVIEW - Complete Role Mapping'!$AA:$AA,405)</f>
        <v>325684.129</v>
      </c>
      <c r="H55" s="627">
        <f>$G55*IFERROR(INDEX(Lists!$AD:$AD,MATCH($E55,Lists!$AC:$AC,0)),1)</f>
        <v>325684.129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Mapping'!$B:$B,445)</f>
        <v>Zijie Zhang</v>
      </c>
      <c r="C56" s="634" t="str">
        <f>INDEX('REVIEW - Complete Role Mapping'!$C:$C,445)</f>
        <v>Senior Data Analyst</v>
      </c>
      <c r="D56" s="612" t="str">
        <f>INDEX('REVIEW - Complete Role Mapping'!$AK:$AK,445)</f>
        <v>Filled</v>
      </c>
      <c r="E56" s="612" t="inlineStr">
        <is>
          <t>Filled</t>
        </is>
      </c>
      <c r="F56" s="634" t="str">
        <f>INDEX('REVIEW - Complete Role Mapping'!$AT:$AT,445)</f>
        <v>Trading &amp; Shipping Data</v>
      </c>
      <c r="G56" s="627">
        <f>INDEX('REVIEW - Complete Role Mapping'!$AA:$AA,445)</f>
        <v>266400</v>
      </c>
      <c r="H56" s="627">
        <f>$G56*IFERROR(INDEX(Lists!$AD:$AD,MATCH($E56,Lists!$AC:$AC,0)),1)</f>
        <v>266400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Mapping'!$B:$B,343)</f>
        <v>Ann Aquino</v>
      </c>
      <c r="C57" s="634" t="str">
        <f>INDEX('REVIEW - Complete Role Mapping'!$C:$C,343)</f>
        <v>Senior Business Analyst</v>
      </c>
      <c r="D57" s="612" t="str">
        <f>INDEX('REVIEW - Complete Role Mapping'!$AK:$AK,343)</f>
        <v>Filled</v>
      </c>
      <c r="E57" s="612" t="inlineStr">
        <is>
          <t>Filled</t>
        </is>
      </c>
      <c r="F57" s="634" t="str">
        <f>INDEX('REVIEW - Complete Role Mapping'!$AT:$AT,343)</f>
        <v>Supply</v>
      </c>
      <c r="G57" s="627">
        <f>INDEX('REVIEW - Complete Role Mapping'!$AA:$AA,343)</f>
        <v>219006.75</v>
      </c>
      <c r="H57" s="627">
        <f>$G57*IFERROR(INDEX(Lists!$AD:$AD,MATCH($E57,Lists!$AC:$AC,0)),1)</f>
        <v>219006.75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Mapping'!$B:$B,419)</f>
        <v>Vacant</v>
      </c>
      <c r="C58" s="634" t="str">
        <f>INDEX('REVIEW - Complete Role Mapping'!$C:$C,419)</f>
        <v>System Specialist</v>
      </c>
      <c r="D58" s="612" t="str">
        <f>INDEX('REVIEW - Complete Role Mapping'!$AK:$AK,419)</f>
        <v>Vacant</v>
      </c>
      <c r="E58" s="612" t="inlineStr">
        <is>
          <t>Hire</t>
        </is>
      </c>
      <c r="F58" s="634" t="str">
        <f>INDEX('REVIEW - Complete Role Mapping'!$AT:$AT,419)</f>
        <v>Supply</v>
      </c>
      <c r="G58" s="627">
        <f>INDEX('REVIEW - Complete Role Mapping'!$AA:$AA,419)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Mapping'!$B:$B,423)</f>
        <v>Vacant</v>
      </c>
      <c r="C59" s="634" t="str">
        <f>INDEX('REVIEW - Complete Role Mapping'!$C:$C,423)</f>
        <v>Delivery Lead</v>
      </c>
      <c r="D59" s="612" t="str">
        <f>INDEX('REVIEW - Complete Role Mapping'!$AK:$AK,423)</f>
        <v>Vacant</v>
      </c>
      <c r="E59" s="612" t="inlineStr">
        <is>
          <t>Hire</t>
        </is>
      </c>
      <c r="F59" s="634" t="str">
        <f>INDEX('REVIEW - Complete Role Mapping'!$AT:$AT,423)</f>
        <v>Supply</v>
      </c>
      <c r="G59" s="627">
        <f>INDEX('REVIEW - Complete Role Mapping'!$AA:$AA,423)</f>
        <v>231689.25</v>
      </c>
      <c r="H59" s="627">
        <f>$G59*IFERROR(INDEX(Lists!$AD:$AD,MATCH($E59,Lists!$AC:$AC,0)),1)</f>
        <v>231689.25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Mapping'!$B:$B,440)</f>
        <v>Vacant</v>
      </c>
      <c r="C60" s="634" t="str">
        <f>INDEX('REVIEW - Complete Role Mapping'!$C:$C,440)</f>
        <v>Engineer Software</v>
      </c>
      <c r="D60" s="612" t="str">
        <f>INDEX('REVIEW - Complete Role Mapping'!$AK:$AK,440)</f>
        <v>Vacant</v>
      </c>
      <c r="E60" s="612" t="inlineStr">
        <is>
          <t>Hire</t>
        </is>
      </c>
      <c r="F60" s="634" t="str">
        <f>INDEX('REVIEW - Complete Role Mapping'!$AT:$AT,440)</f>
        <v>Supply</v>
      </c>
      <c r="G60" s="627">
        <f>INDEX('REVIEW - Complete Role Mapping'!$AA:$AA,440)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Mapping'!$B:$B,441)</f>
        <v>Vacant</v>
      </c>
      <c r="C61" s="634" t="str">
        <f>INDEX('REVIEW - Complete Role Mapping'!$C:$C,441)</f>
        <v>System Specialist</v>
      </c>
      <c r="D61" s="612" t="str">
        <f>INDEX('REVIEW - Complete Role Mapping'!$AK:$AK,441)</f>
        <v>Vacant</v>
      </c>
      <c r="E61" s="612" t="inlineStr">
        <is>
          <t>Hire</t>
        </is>
      </c>
      <c r="F61" s="634" t="str">
        <f>INDEX('REVIEW - Complete Role Mapping'!$AT:$AT,441)</f>
        <v>Supply</v>
      </c>
      <c r="G61" s="627">
        <f>INDEX('REVIEW - Complete Role Mapping'!$AA:$AA,441)</f>
        <v>202853.25</v>
      </c>
      <c r="H61" s="627">
        <f>$G61*IFERROR(INDEX(Lists!$AD:$AD,MATCH($E61,Lists!$AC:$AC,0)),1)</f>
        <v>202853.25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Mapping'!$B:$B,392)</f>
        <v>Nakul Bharade</v>
      </c>
      <c r="C62" s="646" t="str">
        <f>INDEX('REVIEW - Complete Role Mapping'!$C:$C,392)</f>
        <v>Head of Technology, Commercial Fuels</v>
      </c>
      <c r="D62" s="646" t="str">
        <f>INDEX('REVIEW - Complete Role Mapping'!$AK:$AK,392)</f>
        <v>Filled</v>
      </c>
      <c r="E62" s="646" t="inlineStr">
        <is>
          <t>Filled</t>
        </is>
      </c>
      <c r="F62" s="646" t="str">
        <f>INDEX('REVIEW - Complete Role Mapping'!$AT:$AT,392)</f>
        <v>Head of Technology</v>
      </c>
      <c r="G62" s="1267">
        <f>INDEX('REVIEW - Complete Role Mapping'!$AA:$AA,392)</f>
        <v>292434.736</v>
      </c>
      <c r="H62" s="1267">
        <f>$G62*IFERROR(INDEX(Lists!$AD:$AD,MATCH($E62,Lists!$AC:$AC,0)),1)</f>
        <v>292434.736</v>
      </c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str">
        <f>INDEX('REVIEW - Complete Role Mapping'!$B:$B,421)</f>
        <v>Vacant</v>
      </c>
      <c r="C63" s="634" t="str">
        <f>INDEX('REVIEW - Complete Role Mapping'!$C:$C,421)</f>
        <v>Delivery Manager</v>
      </c>
      <c r="D63" s="612" t="str">
        <f>INDEX('REVIEW - Complete Role Mapping'!$AK:$AK,421)</f>
        <v>Vacant</v>
      </c>
      <c r="E63" s="612" t="inlineStr">
        <is>
          <t>Hire</t>
        </is>
      </c>
      <c r="F63" s="634" t="str">
        <f>INDEX('REVIEW - Complete Role Mapping'!$AT:$AT,421)</f>
        <v>Delivery Manager</v>
      </c>
      <c r="G63" s="1267">
        <f>INDEX('REVIEW - Complete Role Mapping'!$AA:$AA,421)</f>
        <v>275810.25</v>
      </c>
      <c r="H63" s="1267">
        <f>$G63*IFERROR(INDEX(Lists!$AD:$AD,MATCH($E63,Lists!$AC:$AC,0)),1)</f>
        <v>275810.25</v>
      </c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str">
        <f>INDEX('REVIEW - Complete Role Mapping'!$B:$B,336)</f>
        <v>Allan Francia</v>
      </c>
      <c r="C64" s="634" t="str">
        <f>INDEX('REVIEW - Complete Role Mapping'!$C:$C,336)</f>
        <v>Technology Manager - T&amp;S</v>
      </c>
      <c r="D64" s="612" t="str">
        <f>INDEX('REVIEW - Complete Role Mapping'!$AK:$AK,336)</f>
        <v>Filled</v>
      </c>
      <c r="E64" s="612" t="inlineStr">
        <is>
          <t>Filled</t>
        </is>
      </c>
      <c r="F64" s="634" t="str">
        <f>INDEX('REVIEW - Complete Role Mapping'!$AT:$AT,336)</f>
        <v>Technology Manager</v>
      </c>
      <c r="G64" s="1267">
        <f>INDEX('REVIEW - Complete Role Mapping'!$AA:$AA,336)</f>
        <v>287287.1</v>
      </c>
      <c r="H64" s="1267">
        <f>$G64*IFERROR(INDEX(Lists!$AD:$AD,MATCH($E64,Lists!$AC:$AC,0)),1)</f>
        <v>287287.1</v>
      </c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str">
        <f>INDEX('REVIEW - Complete Role Mapping'!$B:$B,422)</f>
        <v>Vacant</v>
      </c>
      <c r="C65" s="634" t="str">
        <f>INDEX('REVIEW - Complete Role Mapping'!$C:$C,422)</f>
        <v>Technology Manager, Data</v>
      </c>
      <c r="D65" s="612" t="str">
        <f>INDEX('REVIEW - Complete Role Mapping'!$AK:$AK,422)</f>
        <v>Vacant</v>
      </c>
      <c r="E65" s="612" t="inlineStr">
        <is>
          <t>Hire</t>
        </is>
      </c>
      <c r="F65" s="634" t="str">
        <f>INDEX('REVIEW - Complete Role Mapping'!$AT:$AT,422)</f>
        <v>Technology Manager</v>
      </c>
      <c r="G65" s="1267">
        <f>INDEX('REVIEW - Complete Role Mapping'!$AA:$AA,422)</f>
        <v>275810.25</v>
      </c>
      <c r="H65" s="1267">
        <f>$G65*IFERROR(INDEX(Lists!$AD:$AD,MATCH($E65,Lists!$AC:$AC,0)),1)</f>
        <v>275810.25</v>
      </c>
      <c r="I65" s="442" t="n"/>
      <c r="J65" s="442" t="n"/>
      <c r="K65" s="442" t="n"/>
      <c r="L65" s="442" t="n"/>
      <c r="M65" s="442" t="n"/>
      <c r="N65" s="442" t="n"/>
    </row>
  </sheetData>
  <conditionalFormatting sqref="D19:D60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2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Z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Site Systems</t>
        </is>
      </c>
      <c r="C6" s="635" t="str">
        <f>IFERROR(INDEX('1.10 Z Retail'!$C$24:$C$41,MATCH($S6,'1.10 Z Retail'!$B$24:$B$41,0)),"No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COUNTIFS($F$24:$F$62,$B6)</f>
        <v>9</v>
      </c>
      <c r="F6" s="1250">
        <f>IFERROR($E6-$D6,"-")</f>
        <v>0</v>
      </c>
      <c r="G6" s="1250">
        <f>COUNTIFS($F$24:$F$62,$B6,$D$24:$D$62,"Vacant")</f>
        <v>0</v>
      </c>
      <c r="H6" s="1250">
        <f>COUNTIFS($F$24:$F$62,$B6,$D$24:$D$62,"Vacant",$E$24:$E$62,"Hire")+COUNTIFS($F$24:$F$62,$B6,$D$24:$D$62,"Vacant",$E$24:$E$62,"Offshore")</f>
        <v>0</v>
      </c>
      <c r="I6" s="1250">
        <f>COUNTIFS($F$24:$F$62,$B6,$D$24:$D$62,"Vacant",$E$24:$E$62,"Hold")</f>
        <v>0</v>
      </c>
      <c r="J6" s="1251">
        <f>$E6-COUNTIFS($F$24:$F$62,$B6,$E$24:$E$62,"Hold")</f>
        <v>9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IFERROR(IF(INDEX('1.10 Z Retail'!$E$24:$E$41,MATCH($S6,'1.10 Z Retail'!$B$24:$B$41,0))="Offshore",INDEX('0.3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1.374665758</v>
      </c>
      <c r="N6" s="1252">
        <f>IFERROR($M6-$L6,"-")</f>
        <v>-0.725334242</v>
      </c>
      <c r="O6" s="1253">
        <f>(SUMIFS('REVIEW - Complete Role Mapping'!$AA$2:$AA$528,'REVIEW - Complete Role Mapping'!$AJ$2:$AJ$528,$C$3,'REVIEW - Complete Role Mapping'!$AT$2:$AT$528,$B6,'REVIEW - Complete Role Mapping'!$AK$2:$AK$528,"Filled")+SUMIFS($H$24:$H$62,$F$24:$F$62,$B6))/1000000</f>
        <v>2.749331516</v>
      </c>
      <c r="P6" s="1254">
        <f>$O6-$M6</f>
        <v>1.374665758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IFERROR(IF(INDEX('1.10 Z Retail'!$D$24:$D$41,MATCH($S6,'1.10 Z Retail'!$B$24:$B$41,0))="","-",INDEX('1.10 Z Retail'!$D$24:$D$41,MATCH($S6,'1.10 Z Retail'!$B$24:$B$41,0))),"-")</f>
        <v>M</v>
      </c>
      <c r="S6" t="str">
        <f>IFERROR(INDEX(Lists!$AA:$AA,MATCH($B6,Lists!$Z:$Z,0)),$B6)</f>
        <v>Site Systems</v>
      </c>
    </row>
    <row r="7">
      <c r="A7" s="949" t="n"/>
      <c r="B7" s="640" t="inlineStr">
        <is>
          <t>Z Retail Backend</t>
        </is>
      </c>
      <c r="C7" s="635" t="str">
        <f>IFERROR(INDEX('1.10 Z Retail'!$C$24:$C$41,MATCH($S7,'1.10 Z Retail'!$B$24:$B$41,0)),"No archetype for this squad")</f>
        <v>Build and Run</v>
      </c>
      <c r="D7" s="1249">
        <f>IFERROR(INDEX('0.3 Squad Archetypes'!$F$5:$F$23,MATCH($C7&amp;"|"&amp;$R7,'0.3 Squad Archetypes'!$A$5:$A$23,0)),"-")</f>
        <v>9</v>
      </c>
      <c r="E7" s="1250">
        <f>COUNTIFS($F$24:$F$62,$B7)</f>
        <v>9</v>
      </c>
      <c r="F7" s="1250">
        <f>IFERROR($E7-$D7,"-")</f>
        <v>0</v>
      </c>
      <c r="G7" s="1250">
        <f>COUNTIFS($F$24:$F$62,$B7,$D$24:$D$62,"Vacant")</f>
        <v>2</v>
      </c>
      <c r="H7" s="1250">
        <f>COUNTIFS($F$24:$F$62,$B7,$D$24:$D$62,"Vacant",$E$24:$E$62,"Hire")+COUNTIFS($F$24:$F$62,$B7,$D$24:$D$62,"Vacant",$E$24:$E$62,"Offshore")</f>
        <v>2</v>
      </c>
      <c r="I7" s="1250">
        <f>COUNTIFS($F$24:$F$62,$B7,$D$24:$D$62,"Vacant",$E$24:$E$62,"Hold")</f>
        <v>0</v>
      </c>
      <c r="J7" s="1251">
        <f>$E7-COUNTIFS($F$24:$F$62,$B7,$E$24:$E$62,"Hold")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IFERROR(IF(INDEX('1.10 Z Retail'!$E$24:$E$41,MATCH($S7,'1.10 Z Retail'!$B$24:$B$41,0))="Offshore",INDEX('0.3 Squad Archetypes'!$H$5:$H$23,MATCH($C7&amp;"|"&amp;$R7,'0.3 Squad Archetypes'!$A$5:$A$23,0)),INDEX('0.3 Squad Archetypes'!$G$5:$G$23,MATCH($C7&amp;"|"&amp;$R7,'0.3 Squad Archetypes'!$A$5:$A$23,0))),"-")</f>
        <v>2</v>
      </c>
      <c r="M7" s="1252">
        <f>SUMIFS('REVIEW - Complete Role Mapping'!$AA$2:$AA$528,'REVIEW - Complete Role Mapping'!$AJ$2:$AJ$528,$C$3,'REVIEW - Complete Role Mapping'!$AT$2:$AT$528,$B7)/1000000</f>
        <v>1.857667168</v>
      </c>
      <c r="N7" s="1252">
        <f>IFERROR($M7-$L7,"-")</f>
        <v>-0.142332832</v>
      </c>
      <c r="O7" s="1253">
        <f>(SUMIFS('REVIEW - Complete Role Mapping'!$AA$2:$AA$528,'REVIEW - Complete Role Mapping'!$AJ$2:$AJ$528,$C$3,'REVIEW - Complete Role Mapping'!$AT$2:$AT$528,$B7,'REVIEW - Complete Role Mapping'!$AK$2:$AK$528,"Filled")+SUMIFS($H$24:$H$62,$F$24:$F$62,$B7))/1000000</f>
        <v>3.313155336</v>
      </c>
      <c r="P7" s="1254">
        <f>$O7-$M7</f>
        <v>1.455488168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IFERROR(IF(INDEX('1.10 Z Retail'!$D$24:$D$41,MATCH($S7,'1.10 Z Retail'!$B$24:$B$41,0))="","-",INDEX('1.10 Z Retail'!$D$24:$D$41,MATCH($S7,'1.10 Z Retail'!$B$24:$B$41,0))),"-")</f>
        <v>M</v>
      </c>
      <c r="S7" t="str">
        <f>IFERROR(INDEX(Lists!$AA:$AA,MATCH($B7,Lists!$Z:$Z,0)),$B7)</f>
        <v>Z Retail Backend</v>
      </c>
    </row>
    <row r="8">
      <c r="A8" s="949" t="n"/>
      <c r="B8" s="634" t="inlineStr">
        <is>
          <t>Z Supply</t>
        </is>
      </c>
      <c r="C8" s="635" t="str">
        <f>IFERROR(INDEX('1.10 Z Retail'!$C$24:$C$41,MATCH($S8,'1.10 Z Retail'!$B$24:$B$41,0)),"No archetype for this squad")</f>
        <v>Build and Run</v>
      </c>
      <c r="D8" s="1249">
        <f>IFERROR(INDEX('0.3 Squad Archetypes'!$F$5:$F$23,MATCH($C8&amp;"|"&amp;$R8,'0.3 Squad Archetypes'!$A$5:$A$23,0)),"-")</f>
        <v>9</v>
      </c>
      <c r="E8" s="1250">
        <f>COUNTIFS($F$24:$F$62,$B8)</f>
        <v>9</v>
      </c>
      <c r="F8" s="1250">
        <f>IFERROR($E8-$D8,"-")</f>
        <v>0</v>
      </c>
      <c r="G8" s="1250">
        <f>COUNTIFS($F$24:$F$62,$B8,$D$24:$D$62,"Vacant")</f>
        <v>1</v>
      </c>
      <c r="H8" s="1250">
        <f>COUNTIFS($F$24:$F$62,$B8,$D$24:$D$62,"Vacant",$E$24:$E$62,"Hire")+COUNTIFS($F$24:$F$62,$B8,$D$24:$D$62,"Vacant",$E$24:$E$62,"Offshore")</f>
        <v>1</v>
      </c>
      <c r="I8" s="1250">
        <f>COUNTIFS($F$24:$F$62,$B8,$D$24:$D$62,"Vacant",$E$24:$E$62,"Hold")</f>
        <v>0</v>
      </c>
      <c r="J8" s="1251">
        <f>$E8-COUNTIFS($F$24:$F$62,$B8,$E$24:$E$62,"Hold")</f>
        <v>9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IFERROR(IF(INDEX('1.10 Z Retail'!$E$24:$E$41,MATCH($S8,'1.10 Z Retail'!$B$24:$B$41,0))="Offshore",INDEX('0.3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1.663774396</v>
      </c>
      <c r="N8" s="1252">
        <f>IFERROR($M8-$L8,"-")</f>
        <v>-0.336225604</v>
      </c>
      <c r="O8" s="1253">
        <f>(SUMIFS('REVIEW - Complete Role Mapping'!$AA$2:$AA$528,'REVIEW - Complete Role Mapping'!$AJ$2:$AJ$528,$C$3,'REVIEW - Complete Role Mapping'!$AT$2:$AT$528,$B8,'REVIEW - Complete Role Mapping'!$AK$2:$AK$528,"Filled")+SUMIFS($H$24:$H$62,$F$24:$F$62,$B8))/1000000</f>
        <v>3.051738542</v>
      </c>
      <c r="P8" s="1254">
        <f>$O8-$M8</f>
        <v>1.387964146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0.27581025</v>
      </c>
      <c r="R8" t="str">
        <f>IFERROR(IF(INDEX('1.10 Z Retail'!$D$24:$D$41,MATCH($S8,'1.10 Z Retail'!$B$24:$B$41,0))="","-",INDEX('1.10 Z Retail'!$D$24:$D$41,MATCH($S8,'1.10 Z Retail'!$B$24:$B$41,0))),"-")</f>
        <v>M</v>
      </c>
      <c r="S8" t="str">
        <f>IFERROR(INDEX(Lists!$AA:$AA,MATCH($B8,Lists!$Z:$Z,0)),$B8)</f>
        <v>Z Supply</v>
      </c>
    </row>
    <row r="9">
      <c r="A9" s="949" t="n"/>
      <c r="B9" s="640" t="inlineStr">
        <is>
          <t>Data NZ</t>
        </is>
      </c>
      <c r="C9" s="635" t="str">
        <f>IFERROR(INDEX('1.10 Z Retail'!$C$24:$C$41,MATCH($S9,'1.10 Z Retail'!$B$24:$B$41,0)),"No archetype for this squad")</f>
        <v>Enterprise Data and Insights</v>
      </c>
      <c r="D9" s="1249">
        <f>IFERROR(INDEX('0.3 Squad Archetypes'!$F$5:$F$23,MATCH($C9&amp;"|"&amp;$R9,'0.3 Squad Archetypes'!$A$5:$A$23,0)),"-")</f>
        <v>7.5</v>
      </c>
      <c r="E9" s="1250">
        <f>COUNTIFS($F$24:$F$62,$B9)</f>
        <v>7</v>
      </c>
      <c r="F9" s="1250">
        <f>IFERROR($E9-$D9,"-")</f>
        <v>-0.5</v>
      </c>
      <c r="G9" s="1250">
        <f>COUNTIFS($F$24:$F$62,$B9,$D$24:$D$62,"Vacant")</f>
        <v>2</v>
      </c>
      <c r="H9" s="1250">
        <f>COUNTIFS($F$24:$F$62,$B9,$D$24:$D$62,"Vacant",$E$24:$E$62,"Hire")+COUNTIFS($F$24:$F$62,$B9,$D$24:$D$62,"Vacant",$E$24:$E$62,"Offshore")</f>
        <v>2</v>
      </c>
      <c r="I9" s="1250">
        <f>COUNTIFS($F$24:$F$62,$B9,$D$24:$D$62,"Vacant",$E$24:$E$62,"Hold")</f>
        <v>0</v>
      </c>
      <c r="J9" s="1251">
        <f>$E9-COUNTIFS($F$24:$F$62,$B9,$E$24:$E$62,"Hold")</f>
        <v>7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IFERROR(IF(INDEX('1.10 Z Retail'!$E$24:$E$41,MATCH($S9,'1.10 Z Retail'!$B$24:$B$41,0))="Offshore",INDEX('0.3 Squad Archetypes'!$H$5:$H$23,MATCH($C9&amp;"|"&amp;$R9,'0.3 Squad Archetypes'!$A$5:$A$23,0)),INDEX('0.3 Squad Archetypes'!$G$5:$G$23,MATCH($C9&amp;"|"&amp;$R9,'0.3 Squad Archetypes'!$A$5:$A$23,0))),"-")</f>
        <v>0.68</v>
      </c>
      <c r="M9" s="1252">
        <f>SUMIFS('REVIEW - Complete Role Mapping'!$AA$2:$AA$528,'REVIEW - Complete Role Mapping'!$AJ$2:$AJ$528,$C$3,'REVIEW - Complete Role Mapping'!$AT$2:$AT$528,$B9)/1000000</f>
        <v>1.223843362</v>
      </c>
      <c r="N9" s="1252">
        <f>IFERROR($M9-$L9,"-")</f>
        <v>0.543843362</v>
      </c>
      <c r="O9" s="1253">
        <f>(SUMIFS('REVIEW - Complete Role Mapping'!$AA$2:$AA$528,'REVIEW - Complete Role Mapping'!$AJ$2:$AJ$528,$C$3,'REVIEW - Complete Role Mapping'!$AT$2:$AT$528,$B9,'REVIEW - Complete Role Mapping'!$AK$2:$AK$528,"Filled")+SUMIFS($H$24:$H$62,$F$24:$F$62,$B9))/1000000</f>
        <v>1.969023224</v>
      </c>
      <c r="P9" s="1254">
        <f>$O9-$M9</f>
        <v>0.745179862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0.4786635</v>
      </c>
      <c r="R9" t="str">
        <f>IFERROR(IF(INDEX('1.10 Z Retail'!$D$24:$D$41,MATCH($S9,'1.10 Z Retail'!$B$24:$B$41,0))="","-",INDEX('1.10 Z Retail'!$D$24:$D$41,MATCH($S9,'1.10 Z Retail'!$B$24:$B$41,0))),"-")</f>
        <v>M</v>
      </c>
      <c r="S9" t="str">
        <f>IFERROR(INDEX(Lists!$AA:$AA,MATCH($B9,Lists!$Z:$Z,0)),$B9)</f>
        <v>Data NZ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34.5</v>
      </c>
      <c r="E10" s="1250">
        <f>SUM(E6:E9)</f>
        <v>34</v>
      </c>
      <c r="F10" s="1250">
        <f>SUMPRODUCT(--ISNUMBER($D$6:$D$9),$E$6:$E$9)-SUMIF($D$6:$D$9,"&gt;=0")</f>
        <v>-0.5</v>
      </c>
      <c r="G10" s="1250">
        <f>SUM(G6:G9)</f>
        <v>5</v>
      </c>
      <c r="H10" s="1250">
        <f>SUM(H6:H9)</f>
        <v>5</v>
      </c>
      <c r="I10" s="1250">
        <f>SUM(I6:I9)</f>
        <v>0</v>
      </c>
      <c r="J10" s="1251">
        <f>SUM(J6:J9)</f>
        <v>34</v>
      </c>
      <c r="K10" s="1152" t="n"/>
      <c r="L10" s="1252">
        <f>SUMIF($L$6:$L$9,"&gt;=0")</f>
        <v>6.78</v>
      </c>
      <c r="M10" s="1252">
        <f>SUM(M6:M9)</f>
        <v>6.119950684</v>
      </c>
      <c r="N10" s="1252">
        <f>SUMPRODUCT(--ISNUMBER($L$6:$L$9),$M$6:$M$9)-SUMIF($L$6:$L$9,"&gt;=0")</f>
        <v>-0.660049316</v>
      </c>
      <c r="O10" s="1253">
        <f>SUM(O6:O9)</f>
        <v>11.083248618</v>
      </c>
      <c r="P10" s="1254">
        <f>SUM(P6:P9)</f>
        <v>4.963297934</v>
      </c>
      <c r="Q10" s="1254">
        <f>SUM(Q6:Q9)</f>
        <v>1.15665275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641" t="inlineStr">
        <is>
          <t>Head of Technology</t>
        </is>
      </c>
      <c r="C12" s="641" t="str">
        <f>"Overhead - see 3.2"</f>
        <v>Overhead - see 3.2</v>
      </c>
      <c r="D12" s="1255" t="str">
        <f>"-"</f>
        <v>-</v>
      </c>
      <c r="E12" s="1255">
        <f>COUNTIFS($F$24:$F$62,$B12)</f>
        <v>1</v>
      </c>
      <c r="F12" s="1255" t="str">
        <f>"-"</f>
        <v>-</v>
      </c>
      <c r="G12" s="1255">
        <f>COUNTIFS($F$24:$F$62,$B12,$D$24:$D$62,"Vacant")</f>
        <v>1</v>
      </c>
      <c r="H12" s="1255">
        <f>COUNTIFS($F$24:$F$62,$B12,$D$24:$D$62,"Vacant",$E$24:$E$62,"Hire")+COUNTIFS($F$24:$F$62,$B12,$D$24:$D$62,"Vacant",$E$24:$E$62,"Offshore")</f>
        <v>1</v>
      </c>
      <c r="I12" s="1255">
        <f>COUNTIFS($F$24:$F$62,$B12,$D$24:$D$62,"Vacant",$E$24:$E$62,"Hold")</f>
        <v>0</v>
      </c>
      <c r="J12" s="1256">
        <f>$E12-COUNTIFS($F$24:$F$62,$B12,$E$24:$E$62,"Hold")</f>
        <v>1</v>
      </c>
      <c r="K12" s="1155" t="str">
        <f>"Overhead"</f>
        <v>Overhead</v>
      </c>
      <c r="L12" s="1257" t="str">
        <f>"-"</f>
        <v>-</v>
      </c>
      <c r="M12" s="1257">
        <f>SUMIFS('REVIEW - Complete Role Mapping'!$AA$2:$AA$528,'REVIEW - Complete Role Mapping'!$AJ$2:$AJ$528,$C$3,'REVIEW - Complete Role Mapping'!$AT$2:$AT$528,$B12)/1000000</f>
        <v>0.291422</v>
      </c>
      <c r="N12" s="1257" t="str">
        <f>"-"</f>
        <v>-</v>
      </c>
      <c r="O12" s="1258">
        <f>(SUMIFS('REVIEW - Complete Role Mapping'!$AA$2:$AA$528,'REVIEW - Complete Role Mapping'!$AJ$2:$AJ$528,$C$3,'REVIEW - Complete Role Mapping'!$AT$2:$AT$528,$B12,'REVIEW - Complete Role Mapping'!$AK$2:$AK$528,"Filled")+SUMIFS($H$24:$H$62,$F$24:$F$62,$B12))/1000000</f>
        <v>0.291422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0.291422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949" t="str">
        <f>"Overhead - see 3.2"</f>
        <v>Overhead - see 3.2</v>
      </c>
      <c r="D13" s="1261" t="str">
        <f>"-"</f>
        <v>-</v>
      </c>
      <c r="E13" s="1262">
        <f>COUNTIFS($F$24:$F$62,$B13)</f>
        <v>1</v>
      </c>
      <c r="F13" s="1261" t="str">
        <f>"-"</f>
        <v>-</v>
      </c>
      <c r="G13" s="1261">
        <f>COUNTIFS($F$24:$F$62,$B13,$D$24:$D$62,"Vacant")</f>
        <v>1</v>
      </c>
      <c r="H13" s="1261">
        <f>COUNTIFS($F$24:$F$62,$B13,$D$24:$D$62,"Vacant",$E$24:$E$62,"Hire")+COUNTIFS($F$24:$F$62,$B13,$D$24:$D$62,"Vacant",$E$24:$E$62,"Offshore")</f>
        <v>1</v>
      </c>
      <c r="I13" s="1261">
        <f>COUNTIFS($F$24:$F$62,$B13,$D$24:$D$62,"Vacant",$E$24:$E$62,"Hold")</f>
        <v>0</v>
      </c>
      <c r="J13" s="1261">
        <f>$E13-COUNTIFS($F$24:$F$62,$B13,$E$24:$E$62,"Hold")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0.20285325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Mapping'!$AK$2:$AK$528,"Filled")+SUMIFS($H$24:$H$62,$F$24:$F$62,$B13))/1000000</f>
        <v>0.20285325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0.20285325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COUNTIFS($F$24:$F$62,$B14)</f>
        <v>3</v>
      </c>
      <c r="F14" s="1261" t="str">
        <f>"-"</f>
        <v>-</v>
      </c>
      <c r="G14" s="1261">
        <f>COUNTIFS($F$24:$F$62,$B14,$D$24:$D$62,"Vacant")</f>
        <v>0</v>
      </c>
      <c r="H14" s="1261">
        <f>COUNTIFS($F$24:$F$62,$B14,$D$24:$D$62,"Vacant",$E$24:$E$62,"Hire")+COUNTIFS($F$24:$F$62,$B14,$D$24:$D$62,"Vacant",$E$24:$E$62,"Offshore")</f>
        <v>0</v>
      </c>
      <c r="I14" s="1261">
        <f>COUNTIFS($F$24:$F$62,$B14,$D$24:$D$62,"Vacant",$E$24:$E$62,"Hold")</f>
        <v>0</v>
      </c>
      <c r="J14" s="1261">
        <f>$E14-COUNTIFS($F$24:$F$62,$B14,$E$24:$E$62,"Hold")</f>
        <v>3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0.723068418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Mapping'!$AK$2:$AK$528,"Filled")+SUMIFS($H$24:$H$62,$F$24:$F$62,$B14))/1000000</f>
        <v>1.446136836</v>
      </c>
      <c r="P14" s="1254">
        <f>$O14-$M14</f>
        <v>0.723068418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432" t="n"/>
      <c r="D15" s="1279" t="n"/>
      <c r="E15" s="1279">
        <f>SUM(E12:E14)</f>
        <v>5</v>
      </c>
      <c r="F15" s="1279" t="n"/>
      <c r="G15" s="1280">
        <f>SUM(G12:G14)</f>
        <v>2</v>
      </c>
      <c r="H15" s="1280">
        <f>SUM(H12:H14)</f>
        <v>2</v>
      </c>
      <c r="I15" s="1280">
        <f>SUM(I12:I14)</f>
        <v>0</v>
      </c>
      <c r="J15" s="1280">
        <f>SUM(J12:J14)</f>
        <v>5</v>
      </c>
      <c r="K15" s="949" t="n"/>
      <c r="L15" s="1263" t="n"/>
      <c r="M15" s="1263">
        <f>SUM(M12:M14)</f>
        <v>1.217343668</v>
      </c>
      <c r="N15" s="1263" t="n"/>
      <c r="O15" s="1263">
        <f>SUM(O12:O14)</f>
        <v>1.940412086</v>
      </c>
      <c r="P15" s="1254">
        <f>SUM(P12:P14)</f>
        <v>0.723068418</v>
      </c>
      <c r="Q15" s="1254">
        <f>SUM(Q12:Q14)</f>
        <v>0.49427525</v>
      </c>
    </row>
    <row r="16">
      <c r="A16" s="949" t="n"/>
      <c r="B16" s="431" t="n"/>
      <c r="C16" s="430" t="n"/>
      <c r="D16" s="1280" t="n"/>
      <c r="E16" s="1280" t="n"/>
      <c r="F16" s="1280" t="n"/>
      <c r="G16" s="1261" t="n"/>
      <c r="H16" s="1261" t="n"/>
      <c r="I16" s="1261" t="n"/>
      <c r="J16" s="1261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226" t="inlineStr">
        <is>
          <t>Total portfolio</t>
        </is>
      </c>
      <c r="C17" s="442" t="n"/>
      <c r="D17" s="1281">
        <f>$D10</f>
        <v>34.5</v>
      </c>
      <c r="E17" s="1262">
        <f>$E10+$E15</f>
        <v>39</v>
      </c>
      <c r="F17" s="1281">
        <f>IFERROR($E10-$D10,"-")</f>
        <v>-0.5</v>
      </c>
      <c r="G17" s="1281">
        <f>$G10+$G15</f>
        <v>7</v>
      </c>
      <c r="H17" s="1281">
        <f>$H10+$H15</f>
        <v>7</v>
      </c>
      <c r="I17" s="1281">
        <f>$I10+$I15</f>
        <v>0</v>
      </c>
      <c r="J17" s="1281">
        <f>$J10+$J15</f>
        <v>39</v>
      </c>
      <c r="K17" s="442" t="n"/>
      <c r="L17" s="1282">
        <f>$L10</f>
        <v>6.78</v>
      </c>
      <c r="M17" s="1282">
        <f>$M10+$M15</f>
        <v>7.337294352</v>
      </c>
      <c r="N17" s="1282">
        <f>IFERROR($M10-$L10,"-")</f>
        <v>-0.660049316</v>
      </c>
      <c r="O17" s="1263">
        <f>$O10+$O15</f>
        <v>13.023660704</v>
      </c>
      <c r="P17" s="1254">
        <f>$P10+$P15</f>
        <v>5.686366352</v>
      </c>
      <c r="Q17" s="1254">
        <f>$Q10+$Q15</f>
        <v>1.650928</v>
      </c>
    </row>
    <row r="18">
      <c r="A18" s="949" t="n"/>
      <c r="B18" s="1313" t="inlineStr">
        <is>
          <t>Archetype columns D, F, L and N cover the delivery squads only - overhead is not priced by a squad archetype.</t>
        </is>
      </c>
      <c r="C18" s="1259" t="n"/>
      <c r="D18" s="1259" t="n"/>
      <c r="E18" s="1268" t="n"/>
      <c r="F18" s="1259" t="n"/>
      <c r="G18" s="1259" t="n"/>
      <c r="H18" s="1259" t="n"/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1298" t="inlineStr">
        <is>
          <t>Control - roles vs the ledger, must be 0</t>
        </is>
      </c>
      <c r="C19" s="434" t="n"/>
      <c r="D19" s="434" t="n"/>
      <c r="E19" s="645">
        <f>COUNTIFS('REVIEW - Complete Role Mapping'!$AJ$2:$AJ$528,$C$3)-$E17</f>
        <v>0</v>
      </c>
      <c r="F19" s="4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4" t="inlineStr">
        <is>
          <t>Control - cost vs the ledger ($m), must be 0</t>
        </is>
      </c>
      <c r="C20" s="533" t="n"/>
      <c r="D20" s="533" t="n"/>
      <c r="E20" s="533" t="n"/>
      <c r="F20" s="533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46" t="n"/>
      <c r="C21" s="646" t="n"/>
      <c r="D21" s="646" t="n"/>
      <c r="E21" s="646" t="n"/>
      <c r="F21" s="646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Z Retail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Mapping'!$B:$B,5)</f>
        <v>Alex Sutherland</v>
      </c>
      <c r="C24" s="634" t="str">
        <f>INDEX('REVIEW - Complete Role Mapping'!$C:$C,5)</f>
        <v>Site Systems Analyst</v>
      </c>
      <c r="D24" s="612" t="str">
        <f>INDEX('REVIEW - Complete Role Mapping'!$AK:$AK,5)</f>
        <v>Filled</v>
      </c>
      <c r="E24" s="612" t="inlineStr">
        <is>
          <t>Filled</t>
        </is>
      </c>
      <c r="F24" s="634" t="str">
        <f>INDEX('REVIEW - Complete Role Mapping'!$AT:$AT,5)</f>
        <v>Site Systems</v>
      </c>
      <c r="G24" s="627">
        <f>INDEX('REVIEW - Complete Role Mapping'!$AA:$AA,5)</f>
        <v>96857.824</v>
      </c>
      <c r="H24" s="627">
        <f>$G24*IFERROR(INDEX(Lists!$AD:$AD,MATCH($E24,Lists!$AC:$AC,0)),1)</f>
        <v>96857.824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Mapping'!$B:$B,16)</f>
        <v>Bradley Cunningham</v>
      </c>
      <c r="C25" s="634" t="str">
        <f>INDEX('REVIEW - Complete Role Mapping'!$C:$C,16)</f>
        <v>Site Systems Analyst</v>
      </c>
      <c r="D25" s="612" t="str">
        <f>INDEX('REVIEW - Complete Role Mapping'!$AK:$AK,16)</f>
        <v>Filled</v>
      </c>
      <c r="E25" s="612" t="inlineStr">
        <is>
          <t>Filled</t>
        </is>
      </c>
      <c r="F25" s="634" t="str">
        <f>INDEX('REVIEW - Complete Role Mapping'!$AT:$AT,16)</f>
        <v>Site Systems</v>
      </c>
      <c r="G25" s="627">
        <f>INDEX('REVIEW - Complete Role Mapping'!$AA:$AA,16)</f>
        <v>107247.016</v>
      </c>
      <c r="H25" s="627">
        <f>$G25*IFERROR(INDEX(Lists!$AD:$AD,MATCH($E25,Lists!$AC:$AC,0)),1)</f>
        <v>107247.016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Mapping'!$B:$B,19)</f>
        <v>Chris Mitchell</v>
      </c>
      <c r="C26" s="634" t="str">
        <f>INDEX('REVIEW - Complete Role Mapping'!$C:$C,19)</f>
        <v>Deployment Lead</v>
      </c>
      <c r="D26" s="612" t="str">
        <f>INDEX('REVIEW - Complete Role Mapping'!$AK:$AK,19)</f>
        <v>Filled</v>
      </c>
      <c r="E26" s="612" t="inlineStr">
        <is>
          <t>Filled</t>
        </is>
      </c>
      <c r="F26" s="634" t="str">
        <f>INDEX('REVIEW - Complete Role Mapping'!$AT:$AT,19)</f>
        <v>Site Systems</v>
      </c>
      <c r="G26" s="627">
        <f>INDEX('REVIEW - Complete Role Mapping'!$AA:$AA,19)</f>
        <v>136438.8</v>
      </c>
      <c r="H26" s="627">
        <f>$G26*IFERROR(INDEX(Lists!$AD:$AD,MATCH($E26,Lists!$AC:$AC,0)),1)</f>
        <v>136438.8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Mapping'!$B:$B,20)</f>
        <v>Chris Wilson</v>
      </c>
      <c r="C27" s="634" t="str">
        <f>INDEX('REVIEW - Complete Role Mapping'!$C:$C,20)</f>
        <v>Solution Architect</v>
      </c>
      <c r="D27" s="612" t="str">
        <f>INDEX('REVIEW - Complete Role Mapping'!$AK:$AK,20)</f>
        <v>Filled</v>
      </c>
      <c r="E27" s="612" t="inlineStr">
        <is>
          <t>Filled</t>
        </is>
      </c>
      <c r="F27" s="634" t="str">
        <f>INDEX('REVIEW - Complete Role Mapping'!$AT:$AT,20)</f>
        <v>Site Systems</v>
      </c>
      <c r="G27" s="627">
        <f>INDEX('REVIEW - Complete Role Mapping'!$AA:$AA,20)</f>
        <v>186217.884</v>
      </c>
      <c r="H27" s="627">
        <f>$G27*IFERROR(INDEX(Lists!$AD:$AD,MATCH($E27,Lists!$AC:$AC,0)),1)</f>
        <v>186217.884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Mapping'!$B:$B,40)</f>
        <v>Kelly Russell</v>
      </c>
      <c r="C28" s="634" t="str">
        <f>INDEX('REVIEW - Complete Role Mapping'!$C:$C,40)</f>
        <v>Lead Quality Assurance</v>
      </c>
      <c r="D28" s="612" t="str">
        <f>INDEX('REVIEW - Complete Role Mapping'!$AK:$AK,40)</f>
        <v>Filled</v>
      </c>
      <c r="E28" s="647" t="inlineStr">
        <is>
          <t>Filled</t>
        </is>
      </c>
      <c r="F28" s="648" t="str">
        <f>INDEX('REVIEW - Complete Role Mapping'!$AT:$AT,40)</f>
        <v>Site Systems</v>
      </c>
      <c r="G28" s="627">
        <f>INDEX('REVIEW - Complete Role Mapping'!$AA:$AA,40)</f>
        <v>81073.2</v>
      </c>
      <c r="H28" s="627">
        <f>$G28*IFERROR(INDEX(Lists!$AD:$AD,MATCH($E28,Lists!$AC:$AC,0)),1)</f>
        <v>81073.2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Mapping'!$B:$B,56)</f>
        <v>Sakshi Sachdeva</v>
      </c>
      <c r="C29" s="634" t="str">
        <f>INDEX('REVIEW - Complete Role Mapping'!$C:$C,56)</f>
        <v>Senior Quality Assurance </v>
      </c>
      <c r="D29" s="612" t="str">
        <f>INDEX('REVIEW - Complete Role Mapping'!$AK:$AK,56)</f>
        <v>Filled</v>
      </c>
      <c r="E29" s="647" t="inlineStr">
        <is>
          <t>Filled</t>
        </is>
      </c>
      <c r="F29" s="648" t="str">
        <f>INDEX('REVIEW - Complete Role Mapping'!$AT:$AT,56)</f>
        <v>Site Systems</v>
      </c>
      <c r="G29" s="627">
        <f>INDEX('REVIEW - Complete Role Mapping'!$AA:$AA,56)</f>
        <v>175039.65</v>
      </c>
      <c r="H29" s="627">
        <f>$G29*IFERROR(INDEX(Lists!$AD:$AD,MATCH($E29,Lists!$AC:$AC,0)),1)</f>
        <v>175039.65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Mapping'!$B:$B,63)</f>
        <v>Tim Gurnsey</v>
      </c>
      <c r="C30" s="646" t="str">
        <f>INDEX('REVIEW - Complete Role Mapping'!$C:$C,63)</f>
        <v>Delivery Lead</v>
      </c>
      <c r="D30" s="646" t="str">
        <f>INDEX('REVIEW - Complete Role Mapping'!$AK:$AK,63)</f>
        <v>Filled</v>
      </c>
      <c r="E30" s="646" t="inlineStr">
        <is>
          <t>Filled</t>
        </is>
      </c>
      <c r="F30" s="646" t="str">
        <f>INDEX('REVIEW - Complete Role Mapping'!$AT:$AT,63)</f>
        <v>Site Systems</v>
      </c>
      <c r="G30" s="627">
        <f>INDEX('REVIEW - Complete Role Mapping'!$AA:$AA,63)</f>
        <v>256913.42</v>
      </c>
      <c r="H30" s="627">
        <f>$G30*IFERROR(INDEX(Lists!$AD:$AD,MATCH($E30,Lists!$AC:$AC,0)),1)</f>
        <v>256913.42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Mapping'!$B:$B,98)</f>
        <v>Vanessa King</v>
      </c>
      <c r="C31" s="634" t="str">
        <f>INDEX('REVIEW - Complete Role Mapping'!$C:$C,98)</f>
        <v>Lead Quality Assurance</v>
      </c>
      <c r="D31" s="612" t="str">
        <f>INDEX('REVIEW - Complete Role Mapping'!$AK:$AK,98)</f>
        <v>Filled</v>
      </c>
      <c r="E31" s="612" t="inlineStr">
        <is>
          <t>Filled</t>
        </is>
      </c>
      <c r="F31" s="634" t="str">
        <f>INDEX('REVIEW - Complete Role Mapping'!$AT:$AT,98)</f>
        <v>Site Systems</v>
      </c>
      <c r="G31" s="627">
        <f>INDEX('REVIEW - Complete Role Mapping'!$AA:$AA,98)</f>
        <v>199898.928</v>
      </c>
      <c r="H31" s="627">
        <f>$G31*IFERROR(INDEX(Lists!$AD:$AD,MATCH($E31,Lists!$AC:$AC,0)),1)</f>
        <v>199898.928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Mapping'!$B:$B,105)</f>
        <v>Warren Grieve</v>
      </c>
      <c r="C32" s="634" t="str">
        <f>INDEX('REVIEW - Complete Role Mapping'!$C:$C,105)</f>
        <v>Senior Site Systems Analyst</v>
      </c>
      <c r="D32" s="612" t="str">
        <f>INDEX('REVIEW - Complete Role Mapping'!$AK:$AK,105)</f>
        <v>Filled</v>
      </c>
      <c r="E32" s="612" t="inlineStr">
        <is>
          <t>Filled</t>
        </is>
      </c>
      <c r="F32" s="634" t="str">
        <f>INDEX('REVIEW - Complete Role Mapping'!$AT:$AT,105)</f>
        <v>Site Systems</v>
      </c>
      <c r="G32" s="627">
        <f>INDEX('REVIEW - Complete Role Mapping'!$AA:$AA,105)</f>
        <v>134979.036</v>
      </c>
      <c r="H32" s="627">
        <f>$G32*IFERROR(INDEX(Lists!$AD:$AD,MATCH($E32,Lists!$AC:$AC,0)),1)</f>
        <v>134979.036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Mapping'!$B:$B,2)</f>
        <v>Adrian Alcance</v>
      </c>
      <c r="C33" s="634" t="str">
        <f>INDEX('REVIEW - Complete Role Mapping'!$C:$C,2)</f>
        <v>Senior Engineer - DevOps</v>
      </c>
      <c r="D33" s="612" t="str">
        <f>INDEX('REVIEW - Complete Role Mapping'!$AK:$AK,2)</f>
        <v>Filled</v>
      </c>
      <c r="E33" s="612" t="inlineStr">
        <is>
          <t>Filled</t>
        </is>
      </c>
      <c r="F33" s="634" t="str">
        <f>INDEX('REVIEW - Complete Role Mapping'!$AT:$AT,2)</f>
        <v>Z Retail Backend</v>
      </c>
      <c r="G33" s="627">
        <f>INDEX('REVIEW - Complete Role Mapping'!$AA:$AA,2)</f>
        <v>142900.236</v>
      </c>
      <c r="H33" s="627">
        <f>$G33*IFERROR(INDEX(Lists!$AD:$AD,MATCH($E33,Lists!$AC:$AC,0)),1)</f>
        <v>142900.236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Mapping'!$B:$B,6)</f>
        <v>Allana Arbuckle</v>
      </c>
      <c r="C34" s="634" t="str">
        <f>INDEX('REVIEW - Complete Role Mapping'!$C:$C,6)</f>
        <v>Business Analyst</v>
      </c>
      <c r="D34" s="612" t="str">
        <f>INDEX('REVIEW - Complete Role Mapping'!$AK:$AK,6)</f>
        <v>Filled</v>
      </c>
      <c r="E34" s="612" t="inlineStr">
        <is>
          <t>Filled</t>
        </is>
      </c>
      <c r="F34" s="634" t="str">
        <f>INDEX('REVIEW - Complete Role Mapping'!$AT:$AT,6)</f>
        <v>Z Retail Backend</v>
      </c>
      <c r="G34" s="627">
        <f>INDEX('REVIEW - Complete Role Mapping'!$AA:$AA,6)</f>
        <v>112447.04</v>
      </c>
      <c r="H34" s="627">
        <f>$G34*IFERROR(INDEX(Lists!$AD:$AD,MATCH($E34,Lists!$AC:$AC,0)),1)</f>
        <v>112447.04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Mapping'!$B:$B,21)</f>
        <v>Christian Guo</v>
      </c>
      <c r="C35" s="634" t="str">
        <f>INDEX('REVIEW - Complete Role Mapping'!$C:$C,21)</f>
        <v>Solution Architect</v>
      </c>
      <c r="D35" s="612" t="str">
        <f>INDEX('REVIEW - Complete Role Mapping'!$AK:$AK,21)</f>
        <v>Filled</v>
      </c>
      <c r="E35" s="612" t="inlineStr">
        <is>
          <t>Filled</t>
        </is>
      </c>
      <c r="F35" s="634" t="str">
        <f>INDEX('REVIEW - Complete Role Mapping'!$AT:$AT,21)</f>
        <v>Z Retail Backend</v>
      </c>
      <c r="G35" s="627">
        <f>INDEX('REVIEW - Complete Role Mapping'!$AA:$AA,21)</f>
        <v>206598</v>
      </c>
      <c r="H35" s="627">
        <f>$G35*IFERROR(INDEX(Lists!$AD:$AD,MATCH($E35,Lists!$AC:$AC,0)),1)</f>
        <v>206598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Mapping'!$B:$B,41)</f>
        <v>Lauren Lancaster</v>
      </c>
      <c r="C36" s="634" t="str">
        <f>INDEX('REVIEW - Complete Role Mapping'!$C:$C,41)</f>
        <v>Associate Engineer - Software</v>
      </c>
      <c r="D36" s="612" t="str">
        <f>INDEX('REVIEW - Complete Role Mapping'!$AK:$AK,41)</f>
        <v>Filled</v>
      </c>
      <c r="E36" s="612" t="inlineStr">
        <is>
          <t>Filled</t>
        </is>
      </c>
      <c r="F36" s="634" t="str">
        <f>INDEX('REVIEW - Complete Role Mapping'!$AT:$AT,41)</f>
        <v>Z Retail Backend</v>
      </c>
      <c r="G36" s="627">
        <f>INDEX('REVIEW - Complete Role Mapping'!$AA:$AA,41)</f>
        <v>438650</v>
      </c>
      <c r="H36" s="627">
        <f>$G36*IFERROR(INDEX(Lists!$AD:$AD,MATCH($E36,Lists!$AC:$AC,0)),1)</f>
        <v>438650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Mapping'!$B:$B,44)</f>
        <v>Malachi Ah Hoi</v>
      </c>
      <c r="C37" s="634" t="str">
        <f>INDEX('REVIEW - Complete Role Mapping'!$C:$C,44)</f>
        <v>Senior Quality Assurance</v>
      </c>
      <c r="D37" s="612" t="str">
        <f>INDEX('REVIEW - Complete Role Mapping'!$AK:$AK,44)</f>
        <v>Filled</v>
      </c>
      <c r="E37" s="612" t="inlineStr">
        <is>
          <t>Filled</t>
        </is>
      </c>
      <c r="F37" s="634" t="str">
        <f>INDEX('REVIEW - Complete Role Mapping'!$AT:$AT,44)</f>
        <v>Z Retail Backend</v>
      </c>
      <c r="G37" s="627">
        <f>INDEX('REVIEW - Complete Role Mapping'!$AA:$AA,44)</f>
        <v>199378.392</v>
      </c>
      <c r="H37" s="627">
        <f>$G37*IFERROR(INDEX(Lists!$AD:$AD,MATCH($E37,Lists!$AC:$AC,0)),1)</f>
        <v>199378.392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Mapping'!$B:$B,46)</f>
        <v>Mark Dickson</v>
      </c>
      <c r="C38" s="634" t="str">
        <f>INDEX('REVIEW - Complete Role Mapping'!$C:$C,46)</f>
        <v>Delivery Lead</v>
      </c>
      <c r="D38" s="612" t="str">
        <f>INDEX('REVIEW - Complete Role Mapping'!$AK:$AK,46)</f>
        <v>Filled</v>
      </c>
      <c r="E38" s="612" t="inlineStr">
        <is>
          <t>Filled</t>
        </is>
      </c>
      <c r="F38" s="634" t="str">
        <f>INDEX('REVIEW - Complete Role Mapping'!$AT:$AT,46)</f>
        <v>Z Retail Backend</v>
      </c>
      <c r="G38" s="627">
        <f>INDEX('REVIEW - Complete Role Mapping'!$AA:$AA,46)</f>
        <v>180225</v>
      </c>
      <c r="H38" s="627">
        <f>$G38*IFERROR(INDEX(Lists!$AD:$AD,MATCH($E38,Lists!$AC:$AC,0)),1)</f>
        <v>180225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Mapping'!$B:$B,65)</f>
        <v>Trevor Weaver</v>
      </c>
      <c r="C39" s="646" t="str">
        <f>INDEX('REVIEW - Complete Role Mapping'!$C:$C,65)</f>
        <v>Lead  Engineer - Software</v>
      </c>
      <c r="D39" s="646" t="str">
        <f>INDEX('REVIEW - Complete Role Mapping'!$AK:$AK,65)</f>
        <v>Filled</v>
      </c>
      <c r="E39" s="646" t="inlineStr">
        <is>
          <t>Filled</t>
        </is>
      </c>
      <c r="F39" s="646" t="str">
        <f>INDEX('REVIEW - Complete Role Mapping'!$AT:$AT,65)</f>
        <v>Z Retail Backend</v>
      </c>
      <c r="G39" s="627">
        <f>INDEX('REVIEW - Complete Role Mapping'!$AA:$AA,65)</f>
        <v>175289.5</v>
      </c>
      <c r="H39" s="627">
        <f>$G39*IFERROR(INDEX(Lists!$AD:$AD,MATCH($E39,Lists!$AC:$AC,0)),1)</f>
        <v>175289.5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Mapping'!$B:$B,80)</f>
        <v>Vacant</v>
      </c>
      <c r="C40" s="634" t="str">
        <f>INDEX('REVIEW - Complete Role Mapping'!$C:$C,80)</f>
        <v>Engineer - Software</v>
      </c>
      <c r="D40" s="612" t="str">
        <f>INDEX('REVIEW - Complete Role Mapping'!$AK:$AK,80)</f>
        <v>Vacant</v>
      </c>
      <c r="E40" s="612" t="inlineStr">
        <is>
          <t>Hire</t>
        </is>
      </c>
      <c r="F40" s="634" t="str">
        <f>INDEX('REVIEW - Complete Role Mapping'!$AT:$AT,80)</f>
        <v>Z Retail Backend</v>
      </c>
      <c r="G40" s="627">
        <f>INDEX('REVIEW - Complete Role Mapping'!$AA:$AA,80)</f>
        <v>231689.25</v>
      </c>
      <c r="H40" s="627">
        <f>$G40*IFERROR(INDEX(Lists!$AD:$AD,MATCH($E40,Lists!$AC:$AC,0)),1)</f>
        <v>231689.25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Mapping'!$B:$B,84)</f>
        <v>Vacant</v>
      </c>
      <c r="C41" s="634" t="str">
        <f>INDEX('REVIEW - Complete Role Mapping'!$C:$C,84)</f>
        <v>Lead Quality Assurance</v>
      </c>
      <c r="D41" s="612" t="str">
        <f>INDEX('REVIEW - Complete Role Mapping'!$AK:$AK,84)</f>
        <v>Vacant</v>
      </c>
      <c r="E41" s="612" t="inlineStr">
        <is>
          <t>Hire</t>
        </is>
      </c>
      <c r="F41" s="634" t="str">
        <f>INDEX('REVIEW - Complete Role Mapping'!$AT:$AT,84)</f>
        <v>Z Retail Backend</v>
      </c>
      <c r="G41" s="627">
        <f>INDEX('REVIEW - Complete Role Mapping'!$AA:$AA,84)</f>
        <v>170489.75</v>
      </c>
      <c r="H41" s="627">
        <f>$G41*IFERROR(INDEX(Lists!$AD:$AD,MATCH($E41,Lists!$AC:$AC,0)),1)</f>
        <v>170489.75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Mapping'!$B:$B,9)</f>
        <v>Anna Koot</v>
      </c>
      <c r="C42" s="634" t="str">
        <f>INDEX('REVIEW - Complete Role Mapping'!$C:$C,9)</f>
        <v>Senior Business Analyst</v>
      </c>
      <c r="D42" s="612" t="str">
        <f>INDEX('REVIEW - Complete Role Mapping'!$AK:$AK,9)</f>
        <v>Filled</v>
      </c>
      <c r="E42" s="612" t="inlineStr">
        <is>
          <t>Filled</t>
        </is>
      </c>
      <c r="F42" s="634" t="str">
        <f>INDEX('REVIEW - Complete Role Mapping'!$AT:$AT,9)</f>
        <v>Z Supply</v>
      </c>
      <c r="G42" s="627">
        <f>INDEX('REVIEW - Complete Role Mapping'!$AA:$AA,9)</f>
        <v>153774.912</v>
      </c>
      <c r="H42" s="627">
        <f>$G42*IFERROR(INDEX(Lists!$AD:$AD,MATCH($E42,Lists!$AC:$AC,0)),1)</f>
        <v>153774.912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Mapping'!$B:$B,15)</f>
        <v>Benjamin Sheffield</v>
      </c>
      <c r="C43" s="634" t="str">
        <f>INDEX('REVIEW - Complete Role Mapping'!$C:$C,15)</f>
        <v>Lead Engineer - Software</v>
      </c>
      <c r="D43" s="612" t="str">
        <f>INDEX('REVIEW - Complete Role Mapping'!$AK:$AK,15)</f>
        <v>Filled</v>
      </c>
      <c r="E43" s="612" t="inlineStr">
        <is>
          <t>Filled</t>
        </is>
      </c>
      <c r="F43" s="634" t="str">
        <f>INDEX('REVIEW - Complete Role Mapping'!$AT:$AT,15)</f>
        <v>Z Supply</v>
      </c>
      <c r="G43" s="627">
        <f>INDEX('REVIEW - Complete Role Mapping'!$AA:$AA,15)</f>
        <v>184248.9</v>
      </c>
      <c r="H43" s="627">
        <f>$G43*IFERROR(INDEX(Lists!$AD:$AD,MATCH($E43,Lists!$AC:$AC,0)),1)</f>
        <v>184248.9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Mapping'!$B:$B,25)</f>
        <v>Eugene Yeo</v>
      </c>
      <c r="C44" s="634" t="str">
        <f>INDEX('REVIEW - Complete Role Mapping'!$C:$C,25)</f>
        <v>Engineer - DevOps</v>
      </c>
      <c r="D44" s="612" t="str">
        <f>INDEX('REVIEW - Complete Role Mapping'!$AK:$AK,25)</f>
        <v>Filled</v>
      </c>
      <c r="E44" s="612" t="inlineStr">
        <is>
          <t>Filled</t>
        </is>
      </c>
      <c r="F44" s="634" t="str">
        <f>INDEX('REVIEW - Complete Role Mapping'!$AT:$AT,25)</f>
        <v>Z Supply</v>
      </c>
      <c r="G44" s="627">
        <f>INDEX('REVIEW - Complete Role Mapping'!$AA:$AA,25)</f>
        <v>116898</v>
      </c>
      <c r="H44" s="627">
        <f>$G44*IFERROR(INDEX(Lists!$AD:$AD,MATCH($E44,Lists!$AC:$AC,0)),1)</f>
        <v>116898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Mapping'!$B:$B,26)</f>
        <v>Gayan Liyana Arachchige</v>
      </c>
      <c r="C45" s="634" t="str">
        <f>INDEX('REVIEW - Complete Role Mapping'!$C:$C,26)</f>
        <v>Engineer - DevOps</v>
      </c>
      <c r="D45" s="612" t="str">
        <f>INDEX('REVIEW - Complete Role Mapping'!$AK:$AK,26)</f>
        <v>Filled</v>
      </c>
      <c r="E45" s="612" t="inlineStr">
        <is>
          <t>Filled</t>
        </is>
      </c>
      <c r="F45" s="634" t="str">
        <f>INDEX('REVIEW - Complete Role Mapping'!$AT:$AT,26)</f>
        <v>Z Supply</v>
      </c>
      <c r="G45" s="627">
        <f>INDEX('REVIEW - Complete Role Mapping'!$AA:$AA,26)</f>
        <v>174513.65</v>
      </c>
      <c r="H45" s="627">
        <f>$G45*IFERROR(INDEX(Lists!$AD:$AD,MATCH($E45,Lists!$AC:$AC,0)),1)</f>
        <v>174513.65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Mapping'!$B:$B,29)</f>
        <v>Helen Jones</v>
      </c>
      <c r="C46" s="634" t="str">
        <f>INDEX('REVIEW - Complete Role Mapping'!$C:$C,29)</f>
        <v>Delivery Lead</v>
      </c>
      <c r="D46" s="612" t="str">
        <f>INDEX('REVIEW - Complete Role Mapping'!$AK:$AK,29)</f>
        <v>Filled</v>
      </c>
      <c r="E46" s="612" t="inlineStr">
        <is>
          <t>Filled</t>
        </is>
      </c>
      <c r="F46" s="634" t="str">
        <f>INDEX('REVIEW - Complete Role Mapping'!$AT:$AT,29)</f>
        <v>Z Supply</v>
      </c>
      <c r="G46" s="627">
        <f>INDEX('REVIEW - Complete Role Mapping'!$AA:$AA,29)</f>
        <v>239418.9</v>
      </c>
      <c r="H46" s="627">
        <f>$G46*IFERROR(INDEX(Lists!$AD:$AD,MATCH($E46,Lists!$AC:$AC,0)),1)</f>
        <v>239418.9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Mapping'!$B:$B,31)</f>
        <v>Isuru Herath</v>
      </c>
      <c r="C47" s="634" t="str">
        <f>INDEX('REVIEW - Complete Role Mapping'!$C:$C,31)</f>
        <v>Senior Engineer - Software</v>
      </c>
      <c r="D47" s="612" t="str">
        <f>INDEX('REVIEW - Complete Role Mapping'!$AK:$AK,31)</f>
        <v>Filled</v>
      </c>
      <c r="E47" s="647" t="inlineStr">
        <is>
          <t>Filled</t>
        </is>
      </c>
      <c r="F47" s="648" t="str">
        <f>INDEX('REVIEW - Complete Role Mapping'!$AT:$AT,31)</f>
        <v>Z Supply</v>
      </c>
      <c r="G47" s="627">
        <f>INDEX('REVIEW - Complete Role Mapping'!$AA:$AA,31)</f>
        <v>224493.6</v>
      </c>
      <c r="H47" s="627">
        <f>$G47*IFERROR(INDEX(Lists!$AD:$AD,MATCH($E47,Lists!$AC:$AC,0)),1)</f>
        <v>224493.6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Mapping'!$B:$B,34)</f>
        <v>Joe Kuttikkatt</v>
      </c>
      <c r="C48" s="646" t="str">
        <f>INDEX('REVIEW - Complete Role Mapping'!$C:$C,34)</f>
        <v>Senior Quality Assurance</v>
      </c>
      <c r="D48" s="646" t="str">
        <f>INDEX('REVIEW - Complete Role Mapping'!$AK:$AK,34)</f>
        <v>Filled</v>
      </c>
      <c r="E48" s="646" t="inlineStr">
        <is>
          <t>Filled</t>
        </is>
      </c>
      <c r="F48" s="646" t="str">
        <f>INDEX('REVIEW - Complete Role Mapping'!$AT:$AT,34)</f>
        <v>Z Supply</v>
      </c>
      <c r="G48" s="627">
        <f>INDEX('REVIEW - Complete Role Mapping'!$AA:$AA,34)</f>
        <v>104565.584</v>
      </c>
      <c r="H48" s="627">
        <f>$G48*IFERROR(INDEX(Lists!$AD:$AD,MATCH($E48,Lists!$AC:$AC,0)),1)</f>
        <v>104565.584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Mapping'!$B:$B,35)</f>
        <v>Johanah Gloria</v>
      </c>
      <c r="C49" s="634" t="str">
        <f>INDEX('REVIEW - Complete Role Mapping'!$C:$C,35)</f>
        <v>Engineer - Software</v>
      </c>
      <c r="D49" s="612" t="str">
        <f>INDEX('REVIEW - Complete Role Mapping'!$AK:$AK,35)</f>
        <v>Filled</v>
      </c>
      <c r="E49" s="612" t="inlineStr">
        <is>
          <t>Filled</t>
        </is>
      </c>
      <c r="F49" s="634" t="str">
        <f>INDEX('REVIEW - Complete Role Mapping'!$AT:$AT,35)</f>
        <v>Z Supply</v>
      </c>
      <c r="G49" s="627">
        <f>INDEX('REVIEW - Complete Role Mapping'!$AA:$AA,35)</f>
        <v>190050.6</v>
      </c>
      <c r="H49" s="627">
        <f>$G49*IFERROR(INDEX(Lists!$AD:$AD,MATCH($E49,Lists!$AC:$AC,0)),1)</f>
        <v>190050.6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Mapping'!$B:$B,89)</f>
        <v>Vacant</v>
      </c>
      <c r="C50" s="634" t="str">
        <f>INDEX('REVIEW - Complete Role Mapping'!$C:$C,89)</f>
        <v>Quality Assurance</v>
      </c>
      <c r="D50" s="612" t="str">
        <f>INDEX('REVIEW - Complete Role Mapping'!$AK:$AK,89)</f>
        <v>Vacant</v>
      </c>
      <c r="E50" s="612" t="inlineStr">
        <is>
          <t>Hire</t>
        </is>
      </c>
      <c r="F50" s="634" t="str">
        <f>INDEX('REVIEW - Complete Role Mapping'!$AT:$AT,89)</f>
        <v>Z Supply</v>
      </c>
      <c r="G50" s="627">
        <f>INDEX('REVIEW - Complete Role Mapping'!$AA:$AA,89)</f>
        <v>275810.25</v>
      </c>
      <c r="H50" s="627">
        <f>$G50*IFERROR(INDEX(Lists!$AD:$AD,MATCH($E50,Lists!$AC:$AC,0)),1)</f>
        <v>275810.25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Mapping'!$B:$B,12)</f>
        <v>Ash Muthumala</v>
      </c>
      <c r="C51" s="634" t="str">
        <f>INDEX('REVIEW - Complete Role Mapping'!$C:$C,12)</f>
        <v>Senior QA Analyst</v>
      </c>
      <c r="D51" s="612" t="str">
        <f>INDEX('REVIEW - Complete Role Mapping'!$AK:$AK,12)</f>
        <v>Filled</v>
      </c>
      <c r="E51" s="612" t="inlineStr">
        <is>
          <t>Filled</t>
        </is>
      </c>
      <c r="F51" s="634" t="str">
        <f>INDEX('REVIEW - Complete Role Mapping'!$AT:$AT,12)</f>
        <v>Data NZ</v>
      </c>
      <c r="G51" s="627">
        <f>INDEX('REVIEW - Complete Role Mapping'!$AA:$AA,12)</f>
        <v>140772.828</v>
      </c>
      <c r="H51" s="627">
        <f>$G51*IFERROR(INDEX(Lists!$AD:$AD,MATCH($E51,Lists!$AC:$AC,0)),1)</f>
        <v>140772.828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Mapping'!$B:$B,17)</f>
        <v>Brian Lai</v>
      </c>
      <c r="C52" s="634" t="str">
        <f>INDEX('REVIEW - Complete Role Mapping'!$C:$C,17)</f>
        <v>Engineer - Data</v>
      </c>
      <c r="D52" s="612" t="str">
        <f>INDEX('REVIEW - Complete Role Mapping'!$AK:$AK,17)</f>
        <v>Filled</v>
      </c>
      <c r="E52" s="612" t="inlineStr">
        <is>
          <t>Filled</t>
        </is>
      </c>
      <c r="F52" s="634" t="str">
        <f>INDEX('REVIEW - Complete Role Mapping'!$AT:$AT,17)</f>
        <v>Data NZ</v>
      </c>
      <c r="G52" s="627">
        <f>INDEX('REVIEW - Complete Role Mapping'!$AA:$AA,17)</f>
        <v>155676</v>
      </c>
      <c r="H52" s="627">
        <f>$G52*IFERROR(INDEX(Lists!$AD:$AD,MATCH($E52,Lists!$AC:$AC,0)),1)</f>
        <v>155676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Mapping'!$B:$B,33)</f>
        <v>Jodie Marquez</v>
      </c>
      <c r="C53" s="634" t="str">
        <f>INDEX('REVIEW - Complete Role Mapping'!$C:$C,33)</f>
        <v>Data Analyst</v>
      </c>
      <c r="D53" s="612" t="str">
        <f>INDEX('REVIEW - Complete Role Mapping'!$AK:$AK,33)</f>
        <v>Filled</v>
      </c>
      <c r="E53" s="612" t="inlineStr">
        <is>
          <t>Filled</t>
        </is>
      </c>
      <c r="F53" s="634" t="str">
        <f>INDEX('REVIEW - Complete Role Mapping'!$AT:$AT,33)</f>
        <v>Data NZ</v>
      </c>
      <c r="G53" s="627">
        <f>INDEX('REVIEW - Complete Role Mapping'!$AA:$AA,33)</f>
        <v>144642.9</v>
      </c>
      <c r="H53" s="627">
        <f>$G53*IFERROR(INDEX(Lists!$AD:$AD,MATCH($E53,Lists!$AC:$AC,0)),1)</f>
        <v>144642.9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Mapping'!$B:$B,49)</f>
        <v>McKenzie Tournquist</v>
      </c>
      <c r="C54" s="646" t="str">
        <f>INDEX('REVIEW - Complete Role Mapping'!$C:$C,49)</f>
        <v>Data Analyst</v>
      </c>
      <c r="D54" s="646" t="str">
        <f>INDEX('REVIEW - Complete Role Mapping'!$AK:$AK,49)</f>
        <v>Filled</v>
      </c>
      <c r="E54" s="646" t="inlineStr">
        <is>
          <t>Filled</t>
        </is>
      </c>
      <c r="F54" s="646" t="str">
        <f>INDEX('REVIEW - Complete Role Mapping'!$AT:$AT,49)</f>
        <v>Data NZ</v>
      </c>
      <c r="G54" s="627">
        <f>INDEX('REVIEW - Complete Role Mapping'!$AA:$AA,49)</f>
        <v>91809.784</v>
      </c>
      <c r="H54" s="627">
        <f>$G54*IFERROR(INDEX(Lists!$AD:$AD,MATCH($E54,Lists!$AC:$AC,0)),1)</f>
        <v>91809.784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Mapping'!$B:$B,50)</f>
        <v>Michael Dasan</v>
      </c>
      <c r="C55" s="634" t="str">
        <f>INDEX('REVIEW - Complete Role Mapping'!$C:$C,50)</f>
        <v>Engineer - Data</v>
      </c>
      <c r="D55" s="612" t="str">
        <f>INDEX('REVIEW - Complete Role Mapping'!$AK:$AK,50)</f>
        <v>Filled</v>
      </c>
      <c r="E55" s="612" t="inlineStr">
        <is>
          <t>Filled</t>
        </is>
      </c>
      <c r="F55" s="634" t="str">
        <f>INDEX('REVIEW - Complete Role Mapping'!$AT:$AT,50)</f>
        <v>Data NZ</v>
      </c>
      <c r="G55" s="627">
        <f>INDEX('REVIEW - Complete Role Mapping'!$AA:$AA,50)</f>
        <v>212278.35</v>
      </c>
      <c r="H55" s="627">
        <f>$G55*IFERROR(INDEX(Lists!$AD:$AD,MATCH($E55,Lists!$AC:$AC,0)),1)</f>
        <v>212278.35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Mapping'!$B:$B,73)</f>
        <v>Vacant</v>
      </c>
      <c r="C56" s="634" t="str">
        <f>INDEX('REVIEW - Complete Role Mapping'!$C:$C,73)</f>
        <v>Delivery Lead</v>
      </c>
      <c r="D56" s="612" t="str">
        <f>INDEX('REVIEW - Complete Role Mapping'!$AK:$AK,73)</f>
        <v>Vacant</v>
      </c>
      <c r="E56" s="612" t="inlineStr">
        <is>
          <t>Hire</t>
        </is>
      </c>
      <c r="F56" s="634" t="str">
        <f>INDEX('REVIEW - Complete Role Mapping'!$AT:$AT,73)</f>
        <v>Data NZ</v>
      </c>
      <c r="G56" s="627">
        <f>INDEX('REVIEW - Complete Role Mapping'!$AA:$AA,73)</f>
        <v>275810.25</v>
      </c>
      <c r="H56" s="627">
        <f>$G56*IFERROR(INDEX(Lists!$AD:$AD,MATCH($E56,Lists!$AC:$AC,0)),1)</f>
        <v>275810.25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Mapping'!$B:$B,78)</f>
        <v>Vacant</v>
      </c>
      <c r="C57" s="634" t="str">
        <f>INDEX('REVIEW - Complete Role Mapping'!$C:$C,78)</f>
        <v>Engineer - Data</v>
      </c>
      <c r="D57" s="612" t="str">
        <f>INDEX('REVIEW - Complete Role Mapping'!$AK:$AK,78)</f>
        <v>Vacant</v>
      </c>
      <c r="E57" s="612" t="inlineStr">
        <is>
          <t>Hire</t>
        </is>
      </c>
      <c r="F57" s="634" t="str">
        <f>INDEX('REVIEW - Complete Role Mapping'!$AT:$AT,78)</f>
        <v>Data NZ</v>
      </c>
      <c r="G57" s="627">
        <f>INDEX('REVIEW - Complete Role Mapping'!$AA:$AA,78)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</row>
    <row r="58">
      <c r="B58" s="646" t="str">
        <f>INDEX('REVIEW - Complete Role Mapping'!$B:$B,82)</f>
        <v>Vacant</v>
      </c>
      <c r="C58" s="646" t="str">
        <f>INDEX('REVIEW - Complete Role Mapping'!$C:$C,82)</f>
        <v>Head of Technology, Z and Group Retail Platforms</v>
      </c>
      <c r="D58" s="646" t="str">
        <f>INDEX('REVIEW - Complete Role Mapping'!$AK:$AK,82)</f>
        <v>Vacant</v>
      </c>
      <c r="E58" s="646" t="inlineStr">
        <is>
          <t>Hire</t>
        </is>
      </c>
      <c r="F58" s="646" t="str">
        <f>INDEX('REVIEW - Complete Role Mapping'!$AT:$AT,82)</f>
        <v>Head of Technology</v>
      </c>
      <c r="G58" s="627">
        <f>INDEX('REVIEW - Complete Role Mapping'!$AA:$AA,82)</f>
        <v>291422</v>
      </c>
      <c r="H58" s="627">
        <f>$G58*IFERROR(INDEX(Lists!$AD:$AD,MATCH($E58,Lists!$AC:$AC,0)),1)</f>
        <v>291422</v>
      </c>
      <c r="I58" s="949" t="n"/>
      <c r="J58" s="949" t="n"/>
      <c r="K58" s="949" t="n"/>
      <c r="L58" s="949" t="n"/>
      <c r="M58" s="949" t="n"/>
      <c r="N58" s="949" t="n"/>
    </row>
    <row r="59">
      <c r="B59" s="634" t="str">
        <f>INDEX('REVIEW - Complete Role Mapping'!$B:$B,74)</f>
        <v>Vacant</v>
      </c>
      <c r="C59" s="634" t="str">
        <f>INDEX('REVIEW - Complete Role Mapping'!$C:$C,74)</f>
        <v>Delivery Manager</v>
      </c>
      <c r="D59" s="612" t="str">
        <f>INDEX('REVIEW - Complete Role Mapping'!$AK:$AK,74)</f>
        <v>Vacant</v>
      </c>
      <c r="E59" s="647" t="inlineStr">
        <is>
          <t>Hire</t>
        </is>
      </c>
      <c r="F59" s="648" t="str">
        <f>INDEX('REVIEW - Complete Role Mapping'!$AT:$AT,74)</f>
        <v>Delivery Manager</v>
      </c>
      <c r="G59" s="627">
        <f>INDEX('REVIEW - Complete Role Mapping'!$AA:$AA,74)</f>
        <v>202853.25</v>
      </c>
      <c r="H59" s="627">
        <f>$G59*IFERROR(INDEX(Lists!$AD:$AD,MATCH($E59,Lists!$AC:$AC,0)),1)</f>
        <v>202853.25</v>
      </c>
      <c r="I59" s="949" t="n"/>
      <c r="J59" s="949" t="n"/>
      <c r="K59" s="949" t="n"/>
      <c r="L59" s="949" t="n"/>
      <c r="M59" s="949" t="n"/>
      <c r="N59" s="949" t="n"/>
    </row>
    <row r="60">
      <c r="B60" s="634" t="str">
        <f>INDEX('REVIEW - Complete Role Mapping'!$B:$B,18)</f>
        <v>Callan McLaughlin</v>
      </c>
      <c r="C60" s="634" t="str">
        <f>INDEX('REVIEW - Complete Role Mapping'!$C:$C,18)</f>
        <v>Technology Manager, Site Systems</v>
      </c>
      <c r="D60" s="612" t="str">
        <f>INDEX('REVIEW - Complete Role Mapping'!$AK:$AK,18)</f>
        <v>Filled</v>
      </c>
      <c r="E60" s="647" t="inlineStr">
        <is>
          <t>Filled</t>
        </is>
      </c>
      <c r="F60" s="648" t="str">
        <f>INDEX('REVIEW - Complete Role Mapping'!$AT:$AT,18)</f>
        <v>Technology Manager</v>
      </c>
      <c r="G60" s="627">
        <f>INDEX('REVIEW - Complete Role Mapping'!$AA:$AA,18)</f>
        <v>210535.968</v>
      </c>
      <c r="H60" s="627">
        <f>$G60*IFERROR(INDEX(Lists!$AD:$AD,MATCH($E60,Lists!$AC:$AC,0)),1)</f>
        <v>210535.968</v>
      </c>
      <c r="I60" s="949" t="n"/>
      <c r="J60" s="949" t="n"/>
      <c r="K60" s="949" t="n"/>
      <c r="L60" s="949" t="n"/>
      <c r="M60" s="949" t="n"/>
      <c r="N60" s="949" t="n"/>
    </row>
    <row r="61">
      <c r="B61" s="646" t="str">
        <f>INDEX('REVIEW - Complete Role Mapping'!$B:$B,23)</f>
        <v>Emma Natoli</v>
      </c>
      <c r="C61" s="646" t="str">
        <f>INDEX('REVIEW - Complete Role Mapping'!$C:$C,23)</f>
        <v>Technology Manager, Engineering</v>
      </c>
      <c r="D61" s="646" t="str">
        <f>INDEX('REVIEW - Complete Role Mapping'!$AK:$AK,23)</f>
        <v>Filled</v>
      </c>
      <c r="E61" s="646" t="inlineStr">
        <is>
          <t>Filled</t>
        </is>
      </c>
      <c r="F61" s="646" t="str">
        <f>INDEX('REVIEW - Complete Role Mapping'!$AT:$AT,23)</f>
        <v>Technology Manager</v>
      </c>
      <c r="G61" s="1267">
        <f>INDEX('REVIEW - Complete Role Mapping'!$AA:$AA,23)</f>
        <v>236722.2</v>
      </c>
      <c r="H61" s="1267">
        <f>$G61*IFERROR(INDEX(Lists!$AD:$AD,MATCH($E61,Lists!$AC:$AC,0)),1)</f>
        <v>236722.2</v>
      </c>
      <c r="I61" s="442" t="n"/>
      <c r="J61" s="442" t="n"/>
      <c r="K61" s="442" t="n"/>
      <c r="L61" s="442" t="n"/>
      <c r="M61" s="442" t="n"/>
      <c r="N61" s="442" t="n"/>
    </row>
    <row r="62">
      <c r="B62" s="634" t="str">
        <f>INDEX('REVIEW - Complete Role Mapping'!$B:$B,45)</f>
        <v>Manjot Kaur Malli</v>
      </c>
      <c r="C62" s="634" t="str">
        <f>INDEX('REVIEW - Complete Role Mapping'!$C:$C,45)</f>
        <v>Technology Manager, Data</v>
      </c>
      <c r="D62" s="612" t="str">
        <f>INDEX('REVIEW - Complete Role Mapping'!$AK:$AK,45)</f>
        <v>Filled</v>
      </c>
      <c r="E62" s="612" t="inlineStr">
        <is>
          <t>Filled</t>
        </is>
      </c>
      <c r="F62" s="634" t="str">
        <f>INDEX('REVIEW - Complete Role Mapping'!$AT:$AT,45)</f>
        <v>Technology Manager</v>
      </c>
      <c r="G62" s="1267">
        <f>INDEX('REVIEW - Complete Role Mapping'!$AA:$AA,45)</f>
        <v>275810.25</v>
      </c>
      <c r="H62" s="1267">
        <f>$G62*IFERROR(INDEX(Lists!$AD:$AD,MATCH($E62,Lists!$AC:$AC,0)),1)</f>
        <v>275810.25</v>
      </c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9:D57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2:T67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COE Cyber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Service Op &amp; Assurance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COUNTIFS($F$22:$F$67,$B6)</f>
        <v>21</v>
      </c>
      <c r="F6" s="1250" t="str">
        <f>IFERROR($E6-$D6,"-")</f>
        <v>-</v>
      </c>
      <c r="G6" s="1250">
        <f>COUNTIFS($F$22:$F$67,$B6,$D$22:$D$67,"Vacant")</f>
        <v>4</v>
      </c>
      <c r="H6" s="1250">
        <f>COUNTIFS($F$22:$F$67,$B6,$D$22:$D$67,"Vacant",$E$22:$E$67,"Hire")+COUNTIFS($F$22:$F$67,$B6,$D$22:$D$67,"Vacant",$E$22:$E$67,"Offshore")</f>
        <v>4</v>
      </c>
      <c r="I6" s="1250">
        <f>COUNTIFS($F$22:$F$67,$B6,$D$22:$D$67,"Vacant",$E$22:$E$67,"Hold")</f>
        <v>0</v>
      </c>
      <c r="J6" s="1251">
        <f>$E6-COUNTIFS($F$22:$F$67,$B6,$E$22:$E$67,"Hold")</f>
        <v>21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3.92346938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Mapping'!$AK$2:$AK$528,"Filled")+SUMIFS($H$22:$H$67,$F$22:$F$67,$B6))/1000000</f>
        <v>7.14817076</v>
      </c>
      <c r="P6" s="1254">
        <f>$O6-$M6</f>
        <v>3.22470138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0.698768</v>
      </c>
      <c r="R6" t="str">
        <f>"-"</f>
        <v>-</v>
      </c>
      <c r="S6" t="str">
        <f>IFERROR(INDEX(Lists!$AA:$AA,MATCH($B6,Lists!$Z:$Z,0)),$B6)</f>
        <v>Service Op &amp; Assurance</v>
      </c>
    </row>
    <row r="7">
      <c r="A7" s="949" t="n"/>
      <c r="B7" s="640" t="inlineStr">
        <is>
          <t>Cyber Strat &amp; Tech</t>
        </is>
      </c>
      <c r="C7" s="635" t="str">
        <f>"COE - measured against budget"</f>
        <v>COE - measured against budget</v>
      </c>
      <c r="D7" s="1249" t="str">
        <f>IFERROR(INDEX('0.3 Squad Archetypes'!$F$5:$F$23,MATCH($C7&amp;"|"&amp;$R7,'0.3 Squad Archetypes'!$A$5:$A$23,0)),"-")</f>
        <v>-</v>
      </c>
      <c r="E7" s="1250">
        <f>COUNTIFS($F$22:$F$67,$B7)</f>
        <v>13</v>
      </c>
      <c r="F7" s="1250" t="str">
        <f>IFERROR($E7-$D7,"-")</f>
        <v>-</v>
      </c>
      <c r="G7" s="1250">
        <f>COUNTIFS($F$22:$F$67,$B7,$D$22:$D$67,"Vacant")</f>
        <v>0</v>
      </c>
      <c r="H7" s="1250">
        <f>COUNTIFS($F$22:$F$67,$B7,$D$22:$D$67,"Vacant",$E$22:$E$67,"Hire")+COUNTIFS($F$22:$F$67,$B7,$D$22:$D$67,"Vacant",$E$22:$E$67,"Offshore")</f>
        <v>0</v>
      </c>
      <c r="I7" s="1250">
        <f>COUNTIFS($F$22:$F$67,$B7,$D$22:$D$67,"Vacant",$E$22:$E$67,"Hold")</f>
        <v>0</v>
      </c>
      <c r="J7" s="1251">
        <f>$E7-COUNTIFS($F$22:$F$67,$B7,$E$22:$E$67,"Hold")</f>
        <v>13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SUMIFS('REVIEW - Complete Role Mapping'!$AA$2:$AA$528,'REVIEW - Complete Role Mapping'!$AJ$2:$AJ$528,$C$3,'REVIEW - Complete Role Mapping'!$AT$2:$AT$528,$B7)/1000000</f>
        <v>3.31576355</v>
      </c>
      <c r="N7" s="1252" t="str">
        <f>IFERROR($M7-$L7,"-")</f>
        <v>-</v>
      </c>
      <c r="O7" s="1253">
        <f>(SUMIFS('REVIEW - Complete Role Mapping'!$AA$2:$AA$528,'REVIEW - Complete Role Mapping'!$AJ$2:$AJ$528,$C$3,'REVIEW - Complete Role Mapping'!$AT$2:$AT$528,$B7,'REVIEW - Complete Role Mapping'!$AK$2:$AK$528,"Filled")+SUMIFS($H$22:$H$67,$F$22:$F$67,$B7))/1000000</f>
        <v>6.6315271</v>
      </c>
      <c r="P7" s="1254">
        <f>$O7-$M7</f>
        <v>3.31576355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Cyber Strat &amp; Tech</v>
      </c>
    </row>
    <row r="8">
      <c r="A8" s="949" t="n"/>
      <c r="B8" s="634" t="inlineStr">
        <is>
          <t>Cyber GRC</t>
        </is>
      </c>
      <c r="C8" s="635" t="str">
        <f>"COE - measured against budget"</f>
        <v>COE - measured against budget</v>
      </c>
      <c r="D8" s="1249" t="str">
        <f>IFERROR(INDEX('0.3 Squad Archetypes'!$F$5:$F$23,MATCH($C8&amp;"|"&amp;$R8,'0.3 Squad Archetypes'!$A$5:$A$23,0)),"-")</f>
        <v>-</v>
      </c>
      <c r="E8" s="1250">
        <f>COUNTIFS($F$22:$F$67,$B8)</f>
        <v>5</v>
      </c>
      <c r="F8" s="1250" t="str">
        <f>IFERROR($E8-$D8,"-")</f>
        <v>-</v>
      </c>
      <c r="G8" s="1250">
        <f>COUNTIFS($F$22:$F$67,$B8,$D$22:$D$67,"Vacant")</f>
        <v>0</v>
      </c>
      <c r="H8" s="1250">
        <f>COUNTIFS($F$22:$F$67,$B8,$D$22:$D$67,"Vacant",$E$22:$E$67,"Hire")+COUNTIFS($F$22:$F$67,$B8,$D$22:$D$67,"Vacant",$E$22:$E$67,"Offshore")</f>
        <v>0</v>
      </c>
      <c r="I8" s="1250">
        <f>COUNTIFS($F$22:$F$67,$B8,$D$22:$D$67,"Vacant",$E$22:$E$67,"Hold")</f>
        <v>0</v>
      </c>
      <c r="J8" s="1251">
        <f>$E8-COUNTIFS($F$22:$F$67,$B8,$E$22:$E$67,"Hold")</f>
        <v>5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Mapping'!$AJ$2:$AJ$528,$C$3,'REVIEW - Complete Role Mapping'!$AT$2:$AT$528,$B8)/1000000</f>
        <v>1.071477788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Mapping'!$AK$2:$AK$528,"Filled")+SUMIFS($H$22:$H$67,$F$22:$F$67,$B8))/1000000</f>
        <v>2.142955576</v>
      </c>
      <c r="P8" s="1254">
        <f>$O8-$M8</f>
        <v>1.071477788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"-"</f>
        <v>-</v>
      </c>
      <c r="S8" t="str">
        <f>IFERROR(INDEX(Lists!$AA:$AA,MATCH($B8,Lists!$Z:$Z,0)),$B8)</f>
        <v>Cyber GRC</v>
      </c>
    </row>
    <row r="9">
      <c r="A9" s="949" t="n"/>
      <c r="B9" s="641" t="inlineStr">
        <is>
          <t>Cyber Sec Ops</t>
        </is>
      </c>
      <c r="C9" s="641" t="str">
        <f>"COE - measured against budget"</f>
        <v>COE - measured against budget</v>
      </c>
      <c r="D9" s="1255" t="str">
        <f>IFERROR(INDEX('0.3 Squad Archetypes'!$F$5:$F$23,MATCH($C9&amp;"|"&amp;$R9,'0.3 Squad Archetypes'!$A$5:$A$23,0)),"-")</f>
        <v>-</v>
      </c>
      <c r="E9" s="1255">
        <f>COUNTIFS($F$22:$F$67,$B9)</f>
        <v>5</v>
      </c>
      <c r="F9" s="1255" t="str">
        <f>IFERROR($E9-$D9,"-")</f>
        <v>-</v>
      </c>
      <c r="G9" s="1255">
        <f>COUNTIFS($F$22:$F$67,$B9,$D$22:$D$67,"Vacant")</f>
        <v>0</v>
      </c>
      <c r="H9" s="1255">
        <f>COUNTIFS($F$22:$F$67,$B9,$D$22:$D$67,"Vacant",$E$22:$E$67,"Hire")+COUNTIFS($F$22:$F$67,$B9,$D$22:$D$67,"Vacant",$E$22:$E$67,"Offshore")</f>
        <v>0</v>
      </c>
      <c r="I9" s="1255">
        <f>COUNTIFS($F$22:$F$67,$B9,$D$22:$D$67,"Vacant",$E$22:$E$67,"Hold")</f>
        <v>0</v>
      </c>
      <c r="J9" s="1256">
        <f>$E9-COUNTIFS($F$22:$F$67,$B9,$E$22:$E$67,"Hold")</f>
        <v>5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SUMIFS('REVIEW - Complete Role Mapping'!$AA$2:$AA$528,'REVIEW - Complete Role Mapping'!$AJ$2:$AJ$528,$C$3,'REVIEW - Complete Role Mapping'!$AT$2:$AT$528,$B9)/1000000</f>
        <v>1.111589344</v>
      </c>
      <c r="N9" s="1257" t="str">
        <f>IFERROR($M9-$L9,"-")</f>
        <v>-</v>
      </c>
      <c r="O9" s="1258">
        <f>(SUMIFS('REVIEW - Complete Role Mapping'!$AA$2:$AA$528,'REVIEW - Complete Role Mapping'!$AJ$2:$AJ$528,$C$3,'REVIEW - Complete Role Mapping'!$AT$2:$AT$528,$B9,'REVIEW - Complete Role Mapping'!$AK$2:$AK$528,"Filled")+SUMIFS($H$22:$H$67,$F$22:$F$67,$B9))/1000000</f>
        <v>2.223178688</v>
      </c>
      <c r="P9" s="1254">
        <f>$O9-$M9</f>
        <v>1.111589344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"-"</f>
        <v>-</v>
      </c>
      <c r="S9" t="str">
        <f>IFERROR(INDEX(Lists!$AA:$AA,MATCH($B9,Lists!$Z:$Z,0)),$B9)</f>
        <v>Cyber Sec Ops</v>
      </c>
    </row>
    <row r="10">
      <c r="A10" s="949" t="n"/>
      <c r="B10" s="504" t="inlineStr">
        <is>
          <t>Cyber Risk</t>
        </is>
      </c>
      <c r="C10" s="949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2">
        <f>COUNTIFS($F$22:$F$67,$B10)</f>
        <v>2</v>
      </c>
      <c r="F10" s="1261" t="str">
        <f>IFERROR($E10-$D10,"-")</f>
        <v>-</v>
      </c>
      <c r="G10" s="1261">
        <f>COUNTIFS($F$22:$F$67,$B10,$D$22:$D$67,"Vacant")</f>
        <v>0</v>
      </c>
      <c r="H10" s="1261">
        <f>COUNTIFS($F$22:$F$67,$B10,$D$22:$D$67,"Vacant",$E$22:$E$67,"Hire")+COUNTIFS($F$22:$F$67,$B10,$D$22:$D$67,"Vacant",$E$22:$E$67,"Offshore")</f>
        <v>0</v>
      </c>
      <c r="I10" s="1261">
        <f>COUNTIFS($F$22:$F$67,$B10,$D$22:$D$67,"Vacant",$E$22:$E$67,"Hold")</f>
        <v>0</v>
      </c>
      <c r="J10" s="1261">
        <f>$E10-COUNTIFS($F$22:$F$67,$B10,$E$22:$E$67,"Hold")</f>
        <v>2</v>
      </c>
      <c r="K10" s="949" t="str">
        <f>IF(NOT(ISNUMBER($D10)),"No archetype - see 0.3",IF($J10&gt;$D10,"Over archetype after decisions",IF($J10&lt;$D10,"Under archetype","On archetype")))</f>
        <v>No archetype - see 0.3</v>
      </c>
      <c r="L10" s="1263" t="str">
        <f>IFERROR(INDEX('0.3 Squad Archetypes'!$G$5:$G$23,MATCH($C10&amp;"|"&amp;$R10,'0.3 Squad Archetypes'!$A$5:$A$23,0)),"-")</f>
        <v>-</v>
      </c>
      <c r="M10" s="1263">
        <f>SUMIFS('REVIEW - Complete Role Mapping'!$AA$2:$AA$528,'REVIEW - Complete Role Mapping'!$AJ$2:$AJ$528,$C$3,'REVIEW - Complete Role Mapping'!$AT$2:$AT$528,$B10)/1000000</f>
        <v>0.475558232</v>
      </c>
      <c r="N10" s="1263" t="str">
        <f>IFERROR($M10-$L10,"-")</f>
        <v>-</v>
      </c>
      <c r="O10" s="1263">
        <f>(SUMIFS('REVIEW - Complete Role Mapping'!$AA$2:$AA$528,'REVIEW - Complete Role Mapping'!$AJ$2:$AJ$528,$C$3,'REVIEW - Complete Role Mapping'!$AT$2:$AT$528,$B10,'REVIEW - Complete Role Mapping'!$AK$2:$AK$528,"Filled")+SUMIFS($H$22:$H$67,$F$22:$F$67,$B10))/1000000</f>
        <v>0.951116464</v>
      </c>
      <c r="P10" s="1254">
        <f>$O10-$M10</f>
        <v>0.475558232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Cyber Risk</v>
      </c>
    </row>
    <row r="11">
      <c r="A11" s="949" t="n"/>
      <c r="B11" s="1226" t="inlineStr">
        <is>
          <t>Delivery squads</t>
        </is>
      </c>
      <c r="C11" s="949" t="n"/>
      <c r="D11" s="1261">
        <f>SUMIF($D$6:$D$10,"&gt;=0")</f>
        <v>0</v>
      </c>
      <c r="E11" s="1262">
        <f>SUM(E6:E10)</f>
        <v>46</v>
      </c>
      <c r="F11" s="1261">
        <f>SUMPRODUCT(--ISNUMBER($D$6:$D$10),$E$6:$E$10)-SUMIF($D$6:$D$10,"&gt;=0")</f>
        <v>0</v>
      </c>
      <c r="G11" s="1261">
        <f>SUM(G6:G10)</f>
        <v>4</v>
      </c>
      <c r="H11" s="1261">
        <f>SUM(H6:H10)</f>
        <v>4</v>
      </c>
      <c r="I11" s="1261">
        <f>SUM(I6:I10)</f>
        <v>0</v>
      </c>
      <c r="J11" s="1261">
        <f>SUM(J6:J10)</f>
        <v>46</v>
      </c>
      <c r="K11" s="949" t="n"/>
      <c r="L11" s="1263">
        <f>SUMIF($L$6:$L$10,"&gt;=0")</f>
        <v>0</v>
      </c>
      <c r="M11" s="1263">
        <f>SUM(M6:M10)</f>
        <v>9.897858294</v>
      </c>
      <c r="N11" s="1263">
        <f>SUMPRODUCT(--ISNUMBER($L$6:$L$10),$M$6:$M$10)-SUMIF($L$6:$L$10,"&gt;=0")</f>
        <v>0</v>
      </c>
      <c r="O11" s="1263">
        <f>SUM(O6:O10)</f>
        <v>19.096948588</v>
      </c>
      <c r="P11" s="1254">
        <f>SUM(P6:P10)</f>
        <v>9.199090294</v>
      </c>
      <c r="Q11" s="1254">
        <f>SUM(Q6:Q10)</f>
        <v>0.698768</v>
      </c>
    </row>
    <row r="12">
      <c r="A12" s="949" t="n"/>
      <c r="B12" s="1298" t="inlineStr">
        <is>
          <t>This is a centre of excellence: it carries no overhead line, every role is its own delivery.</t>
        </is>
      </c>
      <c r="C12" s="949" t="n"/>
      <c r="D12" s="1261" t="n"/>
      <c r="E12" s="1261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26" t="n"/>
      <c r="C13" s="949" t="n"/>
      <c r="D13" s="1261" t="n"/>
      <c r="E13" s="1261" t="n"/>
      <c r="F13" s="1261" t="n"/>
      <c r="G13" s="1261" t="n"/>
      <c r="H13" s="1261" t="n"/>
      <c r="I13" s="1261" t="n"/>
      <c r="J13" s="1261" t="n"/>
      <c r="K13" s="949" t="n"/>
      <c r="L13" s="1263" t="n"/>
      <c r="M13" s="1263" t="n"/>
      <c r="N13" s="1263" t="n"/>
      <c r="O13" s="1263" t="n"/>
      <c r="P13" s="1254" t="n"/>
      <c r="Q13" s="1254" t="n"/>
    </row>
    <row r="14">
      <c r="A14" s="949" t="n"/>
      <c r="B14" s="994" t="n"/>
      <c r="C14" s="432" t="n"/>
      <c r="D14" s="1279" t="n"/>
      <c r="E14" s="1279" t="n"/>
      <c r="F14" s="1279" t="n"/>
      <c r="G14" s="1280" t="n"/>
      <c r="H14" s="1280" t="n"/>
      <c r="I14" s="1280" t="n"/>
      <c r="J14" s="1280" t="n"/>
      <c r="K14" s="949" t="n"/>
      <c r="L14" s="1263" t="n"/>
      <c r="M14" s="1263" t="n"/>
      <c r="N14" s="1263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430" t="n"/>
      <c r="D15" s="1280">
        <f>$D11</f>
        <v>0</v>
      </c>
      <c r="E15" s="1280">
        <f>$E11</f>
        <v>46</v>
      </c>
      <c r="F15" s="1280">
        <f>IFERROR($E11-$D11,"-")</f>
        <v>46</v>
      </c>
      <c r="G15" s="1261">
        <f>$G11</f>
        <v>4</v>
      </c>
      <c r="H15" s="1261">
        <f>$H11</f>
        <v>4</v>
      </c>
      <c r="I15" s="1261">
        <f>$I11</f>
        <v>0</v>
      </c>
      <c r="J15" s="1261">
        <f>$J11</f>
        <v>46</v>
      </c>
      <c r="K15" s="949" t="n"/>
      <c r="L15" s="1263">
        <f>$L11</f>
        <v>0</v>
      </c>
      <c r="M15" s="1263">
        <f>$M11</f>
        <v>9.897858294</v>
      </c>
      <c r="N15" s="1263">
        <f>IFERROR($M11-$L11,"-")</f>
        <v>9.897858294</v>
      </c>
      <c r="O15" s="1263">
        <f>$O11</f>
        <v>19.096948588</v>
      </c>
      <c r="P15" s="1254">
        <f>$P11</f>
        <v>9.199090294</v>
      </c>
      <c r="Q15" s="1254">
        <f>$Q11</f>
        <v>0.698768</v>
      </c>
    </row>
    <row r="16" ht="15.65" customHeight="1">
      <c r="A16" s="949" t="n"/>
      <c r="B16" s="1298" t="inlineStr">
        <is>
          <t>Archetype columns D, F, L and N cover the delivery squads only - overhead is not priced by a squad archetype.</t>
        </is>
      </c>
      <c r="C16" s="645" t="n"/>
      <c r="D16" s="645" t="n"/>
      <c r="E16" s="645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roles vs the ledger, must be 0</t>
        </is>
      </c>
      <c r="C17" s="533" t="n"/>
      <c r="D17" s="533" t="n"/>
      <c r="E17" s="533">
        <f>COUNTIFS('REVIEW - Complete Role Mapping'!$AJ$2:$AJ$528,$C$3)-$E15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Mapping'!$AJ$2:$AJ$528,$C$3)/1000000-$M15,6)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COE Cyber FTE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Mapping'!$B:$B,193)</f>
        <v>Ashley Mueller</v>
      </c>
      <c r="C22" s="634" t="str">
        <f>INDEX('REVIEW - Complete Role Mapping'!$C:$C,193)</f>
        <v>Lead – Service Assurance</v>
      </c>
      <c r="D22" s="612" t="str">
        <f>INDEX('REVIEW - Complete Role Mapping'!$AK:$AK,193)</f>
        <v>Filled</v>
      </c>
      <c r="E22" s="612" t="inlineStr">
        <is>
          <t>Filled</t>
        </is>
      </c>
      <c r="F22" s="634" t="str">
        <f>INDEX('REVIEW - Complete Role Mapping'!$AT:$AT,193)</f>
        <v>Service Op &amp; Assurance</v>
      </c>
      <c r="G22" s="627">
        <f>INDEX('REVIEW - Complete Role Mapping'!$AA:$AA,193)</f>
        <v>189974.796</v>
      </c>
      <c r="H22" s="627">
        <f>$G22*IFERROR(INDEX(Lists!$AD:$AD,MATCH($E22,Lists!$AC:$AC,0)),1)</f>
        <v>189974.796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Mapping'!$B:$B,194)</f>
        <v>Belinda Hoskens</v>
      </c>
      <c r="C23" s="634" t="str">
        <f>INDEX('REVIEW - Complete Role Mapping'!$C:$C,194)</f>
        <v>Technology Support Engineer</v>
      </c>
      <c r="D23" s="612" t="str">
        <f>INDEX('REVIEW - Complete Role Mapping'!$AK:$AK,194)</f>
        <v>Filled</v>
      </c>
      <c r="E23" s="612" t="inlineStr">
        <is>
          <t>Filled</t>
        </is>
      </c>
      <c r="F23" s="634" t="str">
        <f>INDEX('REVIEW - Complete Role Mapping'!$AT:$AT,194)</f>
        <v>Service Op &amp; Assurance</v>
      </c>
      <c r="G23" s="627">
        <f>INDEX('REVIEW - Complete Role Mapping'!$AA:$AA,194)</f>
        <v>162139.5</v>
      </c>
      <c r="H23" s="627">
        <f>$G23*IFERROR(INDEX(Lists!$AD:$AD,MATCH($E23,Lists!$AC:$AC,0)),1)</f>
        <v>162139.5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Mapping'!$B:$B,199)</f>
        <v>Chris Rojas</v>
      </c>
      <c r="C24" s="634" t="str">
        <f>INDEX('REVIEW - Complete Role Mapping'!$C:$C,199)</f>
        <v>Manager, Customer Support Operations</v>
      </c>
      <c r="D24" s="612" t="str">
        <f>INDEX('REVIEW - Complete Role Mapping'!$AK:$AK,199)</f>
        <v>Filled</v>
      </c>
      <c r="E24" s="612" t="inlineStr">
        <is>
          <t>Filled</t>
        </is>
      </c>
      <c r="F24" s="634" t="str">
        <f>INDEX('REVIEW - Complete Role Mapping'!$AT:$AT,199)</f>
        <v>Service Op &amp; Assurance</v>
      </c>
      <c r="G24" s="627">
        <f>INDEX('REVIEW - Complete Role Mapping'!$AA:$AA,199)</f>
        <v>243303.75</v>
      </c>
      <c r="H24" s="627">
        <f>$G24*IFERROR(INDEX(Lists!$AD:$AD,MATCH($E24,Lists!$AC:$AC,0)),1)</f>
        <v>243303.75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Mapping'!$B:$B,201)</f>
        <v>Daniel Jolley</v>
      </c>
      <c r="C25" s="634" t="str">
        <f>INDEX('REVIEW - Complete Role Mapping'!$C:$C,201)</f>
        <v>Tech Support Technician</v>
      </c>
      <c r="D25" s="612" t="str">
        <f>INDEX('REVIEW - Complete Role Mapping'!$AK:$AK,201)</f>
        <v>Filled</v>
      </c>
      <c r="E25" s="612" t="inlineStr">
        <is>
          <t>Filled</t>
        </is>
      </c>
      <c r="F25" s="634" t="str">
        <f>INDEX('REVIEW - Complete Role Mapping'!$AT:$AT,201)</f>
        <v>Service Op &amp; Assurance</v>
      </c>
      <c r="G25" s="627">
        <f>INDEX('REVIEW - Complete Role Mapping'!$AA:$AA,201)</f>
        <v>115851.5</v>
      </c>
      <c r="H25" s="627">
        <f>$G25*IFERROR(INDEX(Lists!$AD:$AD,MATCH($E25,Lists!$AC:$AC,0)),1)</f>
        <v>115851.5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Mapping'!$B:$B,202)</f>
        <v>Darren Koller</v>
      </c>
      <c r="C26" s="634" t="str">
        <f>INDEX('REVIEW - Complete Role Mapping'!$C:$C,202)</f>
        <v>Manager, Service Management &amp; Major Incident Mgmt Lead</v>
      </c>
      <c r="D26" s="612" t="str">
        <f>INDEX('REVIEW - Complete Role Mapping'!$AK:$AK,202)</f>
        <v>Filled</v>
      </c>
      <c r="E26" s="612" t="inlineStr">
        <is>
          <t>Filled</t>
        </is>
      </c>
      <c r="F26" s="634" t="str">
        <f>INDEX('REVIEW - Complete Role Mapping'!$AT:$AT,202)</f>
        <v>Service Op &amp; Assurance</v>
      </c>
      <c r="G26" s="627">
        <f>INDEX('REVIEW - Complete Role Mapping'!$AA:$AA,202)</f>
        <v>274943.25</v>
      </c>
      <c r="H26" s="627">
        <f>$G26*IFERROR(INDEX(Lists!$AD:$AD,MATCH($E26,Lists!$AC:$AC,0)),1)</f>
        <v>274943.25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Mapping'!$B:$B,205)</f>
        <v>Ethan Lamhert (FT)</v>
      </c>
      <c r="C27" s="634" t="str">
        <f>INDEX('REVIEW - Complete Role Mapping'!$C:$C,205)</f>
        <v>Tech Support Technician</v>
      </c>
      <c r="D27" s="612" t="str">
        <f>INDEX('REVIEW - Complete Role Mapping'!$AK:$AK,205)</f>
        <v>Filled</v>
      </c>
      <c r="E27" s="612" t="inlineStr">
        <is>
          <t>Filled</t>
        </is>
      </c>
      <c r="F27" s="634" t="str">
        <f>INDEX('REVIEW - Complete Role Mapping'!$AT:$AT,205)</f>
        <v>Service Op &amp; Assurance</v>
      </c>
      <c r="G27" s="627">
        <f>INDEX('REVIEW - Complete Role Mapping'!$AA:$AA,205)</f>
        <v>89758</v>
      </c>
      <c r="H27" s="627">
        <f>$G27*IFERROR(INDEX(Lists!$AD:$AD,MATCH($E27,Lists!$AC:$AC,0)),1)</f>
        <v>89758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Mapping'!$B:$B,207)</f>
        <v>Jack Jenkins</v>
      </c>
      <c r="C28" s="634" t="str">
        <f>INDEX('REVIEW - Complete Role Mapping'!$C:$C,207)</f>
        <v>Asset Analyst</v>
      </c>
      <c r="D28" s="612" t="str">
        <f>INDEX('REVIEW - Complete Role Mapping'!$AK:$AK,207)</f>
        <v>Filled</v>
      </c>
      <c r="E28" s="612" t="inlineStr">
        <is>
          <t>Filled</t>
        </is>
      </c>
      <c r="F28" s="634" t="str">
        <f>INDEX('REVIEW - Complete Role Mapping'!$AT:$AT,207)</f>
        <v>Service Op &amp; Assurance</v>
      </c>
      <c r="G28" s="627">
        <f>INDEX('REVIEW - Complete Role Mapping'!$AA:$AA,207)</f>
        <v>139008.65</v>
      </c>
      <c r="H28" s="627">
        <f>$G28*IFERROR(INDEX(Lists!$AD:$AD,MATCH($E28,Lists!$AC:$AC,0)),1)</f>
        <v>139008.65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Mapping'!$B:$B,209)</f>
        <v>Jas Mann</v>
      </c>
      <c r="C29" s="634" t="str">
        <f>INDEX('REVIEW - Complete Role Mapping'!$C:$C,209)</f>
        <v>Technology Support Engineer</v>
      </c>
      <c r="D29" s="612" t="str">
        <f>INDEX('REVIEW - Complete Role Mapping'!$AK:$AK,209)</f>
        <v>Filled</v>
      </c>
      <c r="E29" s="612" t="inlineStr">
        <is>
          <t>Filled</t>
        </is>
      </c>
      <c r="F29" s="634" t="str">
        <f>INDEX('REVIEW - Complete Role Mapping'!$AT:$AT,209)</f>
        <v>Service Op &amp; Assurance</v>
      </c>
      <c r="G29" s="627">
        <f>INDEX('REVIEW - Complete Role Mapping'!$AA:$AA,209)</f>
        <v>146885.5</v>
      </c>
      <c r="H29" s="627">
        <f>$G29*IFERROR(INDEX(Lists!$AD:$AD,MATCH($E29,Lists!$AC:$AC,0)),1)</f>
        <v>146885.5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Mapping'!$B:$B,211)</f>
        <v>Kaaviya Salai Manimudian</v>
      </c>
      <c r="C30" s="634" t="str">
        <f>INDEX('REVIEW - Complete Role Mapping'!$C:$C,211)</f>
        <v>Graduate</v>
      </c>
      <c r="D30" s="612" t="str">
        <f>INDEX('REVIEW - Complete Role Mapping'!$AK:$AK,211)</f>
        <v>Filled</v>
      </c>
      <c r="E30" s="612" t="inlineStr">
        <is>
          <t>Filled</t>
        </is>
      </c>
      <c r="F30" s="634" t="str">
        <f>INDEX('REVIEW - Complete Role Mapping'!$AT:$AT,211)</f>
        <v>Service Op &amp; Assurance</v>
      </c>
      <c r="G30" s="627">
        <f>INDEX('REVIEW - Complete Role Mapping'!$AA:$AA,211)</f>
        <v>110075</v>
      </c>
      <c r="H30" s="627">
        <f>$G30*IFERROR(INDEX(Lists!$AD:$AD,MATCH($E30,Lists!$AC:$AC,0)),1)</f>
        <v>110075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Mapping'!$B:$B,214)</f>
        <v>Lynda Niewidok</v>
      </c>
      <c r="C31" s="634" t="str">
        <f>INDEX('REVIEW - Complete Role Mapping'!$C:$C,214)</f>
        <v>Lead – Service Desk</v>
      </c>
      <c r="D31" s="612" t="str">
        <f>INDEX('REVIEW - Complete Role Mapping'!$AK:$AK,214)</f>
        <v>Filled</v>
      </c>
      <c r="E31" s="612" t="inlineStr">
        <is>
          <t>Filled</t>
        </is>
      </c>
      <c r="F31" s="634" t="str">
        <f>INDEX('REVIEW - Complete Role Mapping'!$AT:$AT,214)</f>
        <v>Service Op &amp; Assurance</v>
      </c>
      <c r="G31" s="627">
        <f>INDEX('REVIEW - Complete Role Mapping'!$AA:$AA,214)</f>
        <v>203988</v>
      </c>
      <c r="H31" s="627">
        <f>$G31*IFERROR(INDEX(Lists!$AD:$AD,MATCH($E31,Lists!$AC:$AC,0)),1)</f>
        <v>203988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Mapping'!$B:$B,215)</f>
        <v>Mark Pearson</v>
      </c>
      <c r="C32" s="634" t="str">
        <f>INDEX('REVIEW - Complete Role Mapping'!$C:$C,215)</f>
        <v>Lead – Technology Support</v>
      </c>
      <c r="D32" s="612" t="str">
        <f>INDEX('REVIEW - Complete Role Mapping'!$AK:$AK,215)</f>
        <v>Filled</v>
      </c>
      <c r="E32" s="612" t="inlineStr">
        <is>
          <t>Filled</t>
        </is>
      </c>
      <c r="F32" s="634" t="str">
        <f>INDEX('REVIEW - Complete Role Mapping'!$AT:$AT,215)</f>
        <v>Service Op &amp; Assurance</v>
      </c>
      <c r="G32" s="627">
        <f>INDEX('REVIEW - Complete Role Mapping'!$AA:$AA,215)</f>
        <v>203841.15</v>
      </c>
      <c r="H32" s="627">
        <f>$G32*IFERROR(INDEX(Lists!$AD:$AD,MATCH($E32,Lists!$AC:$AC,0)),1)</f>
        <v>203841.15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Mapping'!$B:$B,216)</f>
        <v>Mary-Grace Rivera</v>
      </c>
      <c r="C33" s="634" t="str">
        <f>INDEX('REVIEW - Complete Role Mapping'!$C:$C,216)</f>
        <v>Lead, Service Management</v>
      </c>
      <c r="D33" s="612" t="str">
        <f>INDEX('REVIEW - Complete Role Mapping'!$AK:$AK,216)</f>
        <v>Filled</v>
      </c>
      <c r="E33" s="612" t="inlineStr">
        <is>
          <t>Filled</t>
        </is>
      </c>
      <c r="F33" s="634" t="str">
        <f>INDEX('REVIEW - Complete Role Mapping'!$AT:$AT,216)</f>
        <v>Service Op &amp; Assurance</v>
      </c>
      <c r="G33" s="627">
        <f>INDEX('REVIEW - Complete Role Mapping'!$AA:$AA,216)</f>
        <v>180970.3</v>
      </c>
      <c r="H33" s="627">
        <f>$G33*IFERROR(INDEX(Lists!$AD:$AD,MATCH($E33,Lists!$AC:$AC,0)),1)</f>
        <v>180970.3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Mapping'!$B:$B,217)</f>
        <v>Mick Collins</v>
      </c>
      <c r="C34" s="634" t="str">
        <f>INDEX('REVIEW - Complete Role Mapping'!$C:$C,217)</f>
        <v>Manager, Service Performance &amp; Assurance</v>
      </c>
      <c r="D34" s="612" t="str">
        <f>INDEX('REVIEW - Complete Role Mapping'!$AK:$AK,217)</f>
        <v>Filled</v>
      </c>
      <c r="E34" s="612" t="inlineStr">
        <is>
          <t>Filled</t>
        </is>
      </c>
      <c r="F34" s="634" t="str">
        <f>INDEX('REVIEW - Complete Role Mapping'!$AT:$AT,217)</f>
        <v>Service Op &amp; Assurance</v>
      </c>
      <c r="G34" s="627">
        <f>INDEX('REVIEW - Complete Role Mapping'!$AA:$AA,217)</f>
        <v>272070.45</v>
      </c>
      <c r="H34" s="627">
        <f>$G34*IFERROR(INDEX(Lists!$AD:$AD,MATCH($E34,Lists!$AC:$AC,0)),1)</f>
        <v>272070.45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Mapping'!$B:$B,222)</f>
        <v>Rajini Onteddu Reddy</v>
      </c>
      <c r="C35" s="634" t="str">
        <f>INDEX('REVIEW - Complete Role Mapping'!$C:$C,222)</f>
        <v>Head of Service Operations &amp; Assurance</v>
      </c>
      <c r="D35" s="612" t="str">
        <f>INDEX('REVIEW - Complete Role Mapping'!$AK:$AK,222)</f>
        <v>Filled</v>
      </c>
      <c r="E35" s="612" t="inlineStr">
        <is>
          <t>Filled</t>
        </is>
      </c>
      <c r="F35" s="634" t="str">
        <f>INDEX('REVIEW - Complete Role Mapping'!$AT:$AT,222)</f>
        <v>Service Op &amp; Assurance</v>
      </c>
      <c r="G35" s="627">
        <f>INDEX('REVIEW - Complete Role Mapping'!$AA:$AA,222)</f>
        <v>400671.4</v>
      </c>
      <c r="H35" s="627">
        <f>$G35*IFERROR(INDEX(Lists!$AD:$AD,MATCH($E35,Lists!$AC:$AC,0)),1)</f>
        <v>400671.4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Mapping'!$B:$B,224)</f>
        <v>Remya Pookat</v>
      </c>
      <c r="C36" s="634" t="str">
        <f>INDEX('REVIEW - Complete Role Mapping'!$C:$C,224)</f>
        <v>Lead – Change &amp; Release Management</v>
      </c>
      <c r="D36" s="612" t="str">
        <f>INDEX('REVIEW - Complete Role Mapping'!$AK:$AK,224)</f>
        <v>Filled</v>
      </c>
      <c r="E36" s="612" t="inlineStr">
        <is>
          <t>Filled</t>
        </is>
      </c>
      <c r="F36" s="634" t="str">
        <f>INDEX('REVIEW - Complete Role Mapping'!$AT:$AT,224)</f>
        <v>Service Op &amp; Assurance</v>
      </c>
      <c r="G36" s="627">
        <f>INDEX('REVIEW - Complete Role Mapping'!$AA:$AA,224)</f>
        <v>220875.75</v>
      </c>
      <c r="H36" s="627">
        <f>$G36*IFERROR(INDEX(Lists!$AD:$AD,MATCH($E36,Lists!$AC:$AC,0)),1)</f>
        <v>220875.75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Mapping'!$B:$B,225)</f>
        <v>Ritika Salaria</v>
      </c>
      <c r="C37" s="634" t="str">
        <f>INDEX('REVIEW - Complete Role Mapping'!$C:$C,225)</f>
        <v>Configuration Analyst</v>
      </c>
      <c r="D37" s="612" t="str">
        <f>INDEX('REVIEW - Complete Role Mapping'!$AK:$AK,225)</f>
        <v>Filled</v>
      </c>
      <c r="E37" s="612" t="inlineStr">
        <is>
          <t>Filled</t>
        </is>
      </c>
      <c r="F37" s="634" t="str">
        <f>INDEX('REVIEW - Complete Role Mapping'!$AT:$AT,225)</f>
        <v>Service Op &amp; Assurance</v>
      </c>
      <c r="G37" s="627">
        <f>INDEX('REVIEW - Complete Role Mapping'!$AA:$AA,225)</f>
        <v>173106.6</v>
      </c>
      <c r="H37" s="627">
        <f>$G37*IFERROR(INDEX(Lists!$AD:$AD,MATCH($E37,Lists!$AC:$AC,0)),1)</f>
        <v>173106.6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Mapping'!$B:$B,229)</f>
        <v>Spoilagi Bhutwala</v>
      </c>
      <c r="C38" s="634" t="str">
        <f>INDEX('REVIEW - Complete Role Mapping'!$C:$C,229)</f>
        <v>Tech Support Technician</v>
      </c>
      <c r="D38" s="612" t="str">
        <f>INDEX('REVIEW - Complete Role Mapping'!$AK:$AK,229)</f>
        <v>Filled</v>
      </c>
      <c r="E38" s="612" t="inlineStr">
        <is>
          <t>Filled</t>
        </is>
      </c>
      <c r="F38" s="634" t="str">
        <f>INDEX('REVIEW - Complete Role Mapping'!$AT:$AT,229)</f>
        <v>Service Op &amp; Assurance</v>
      </c>
      <c r="G38" s="627">
        <f>INDEX('REVIEW - Complete Role Mapping'!$AA:$AA,229)</f>
        <v>97237.784</v>
      </c>
      <c r="H38" s="627">
        <f>$G38*IFERROR(INDEX(Lists!$AD:$AD,MATCH($E38,Lists!$AC:$AC,0)),1)</f>
        <v>97237.784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Mapping'!$B:$B,233)</f>
        <v>Vacant</v>
      </c>
      <c r="C39" s="634" t="str">
        <f>INDEX('REVIEW - Complete Role Mapping'!$C:$C,233)</f>
        <v>Lead – Problem Management</v>
      </c>
      <c r="D39" s="612" t="str">
        <f>INDEX('REVIEW - Complete Role Mapping'!$AK:$AK,233)</f>
        <v>Vacant</v>
      </c>
      <c r="E39" s="612" t="inlineStr">
        <is>
          <t>Hire</t>
        </is>
      </c>
      <c r="F39" s="634" t="str">
        <f>INDEX('REVIEW - Complete Role Mapping'!$AT:$AT,233)</f>
        <v>Service Op &amp; Assurance</v>
      </c>
      <c r="G39" s="627">
        <f>INDEX('REVIEW - Complete Role Mapping'!$AA:$AA,233)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Mapping'!$B:$B,234)</f>
        <v>Vacant</v>
      </c>
      <c r="C40" s="634" t="str">
        <f>INDEX('REVIEW - Complete Role Mapping'!$C:$C,234)</f>
        <v>Lead – Asset &amp; Configuration</v>
      </c>
      <c r="D40" s="612" t="str">
        <f>INDEX('REVIEW - Complete Role Mapping'!$AK:$AK,234)</f>
        <v>Vacant</v>
      </c>
      <c r="E40" s="612" t="inlineStr">
        <is>
          <t>Hire</t>
        </is>
      </c>
      <c r="F40" s="634" t="str">
        <f>INDEX('REVIEW - Complete Role Mapping'!$AT:$AT,234)</f>
        <v>Service Op &amp; Assurance</v>
      </c>
      <c r="G40" s="627">
        <f>INDEX('REVIEW - Complete Role Mapping'!$AA:$AA,234)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Mapping'!$B:$B,235)</f>
        <v>Vacant</v>
      </c>
      <c r="C41" s="634" t="str">
        <f>INDEX('REVIEW - Complete Role Mapping'!$C:$C,235)</f>
        <v>Lead – Service Performance &amp; Insights</v>
      </c>
      <c r="D41" s="612" t="str">
        <f>INDEX('REVIEW - Complete Role Mapping'!$AK:$AK,235)</f>
        <v>Vacant</v>
      </c>
      <c r="E41" s="612" t="inlineStr">
        <is>
          <t>Hire</t>
        </is>
      </c>
      <c r="F41" s="634" t="str">
        <f>INDEX('REVIEW - Complete Role Mapping'!$AT:$AT,235)</f>
        <v>Service Op &amp; Assurance</v>
      </c>
      <c r="G41" s="627">
        <f>INDEX('REVIEW - Complete Role Mapping'!$AA:$AA,235)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Mapping'!$B:$B,236)</f>
        <v>Vacant</v>
      </c>
      <c r="C42" s="634" t="str">
        <f>INDEX('REVIEW - Complete Role Mapping'!$C:$C,236)</f>
        <v>Tech Support Technician</v>
      </c>
      <c r="D42" s="612" t="str">
        <f>INDEX('REVIEW - Complete Role Mapping'!$AK:$AK,236)</f>
        <v>Vacant</v>
      </c>
      <c r="E42" s="612" t="inlineStr">
        <is>
          <t>Hire</t>
        </is>
      </c>
      <c r="F42" s="634" t="str">
        <f>INDEX('REVIEW - Complete Role Mapping'!$AT:$AT,236)</f>
        <v>Service Op &amp; Assurance</v>
      </c>
      <c r="G42" s="627">
        <f>INDEX('REVIEW - Complete Role Mapping'!$AA:$AA,236)</f>
        <v>122571.75</v>
      </c>
      <c r="H42" s="627">
        <f>$G42*IFERROR(INDEX(Lists!$AD:$AD,MATCH($E42,Lists!$AC:$AC,0)),1)</f>
        <v>122571.75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Mapping'!$B:$B,196)</f>
        <v>Cameron Watman</v>
      </c>
      <c r="C43" s="634" t="str">
        <f>INDEX('REVIEW - Complete Role Mapping'!$C:$C,196)</f>
        <v>Engineer - IDAM</v>
      </c>
      <c r="D43" s="612" t="str">
        <f>INDEX('REVIEW - Complete Role Mapping'!$AK:$AK,196)</f>
        <v>Filled</v>
      </c>
      <c r="E43" s="612" t="inlineStr">
        <is>
          <t>Filled</t>
        </is>
      </c>
      <c r="F43" s="634" t="str">
        <f>INDEX('REVIEW - Complete Role Mapping'!$AT:$AT,196)</f>
        <v>Cyber Strat &amp; Tech</v>
      </c>
      <c r="G43" s="627">
        <f>INDEX('REVIEW - Complete Role Mapping'!$AA:$AA,196)</f>
        <v>173132.9</v>
      </c>
      <c r="H43" s="627">
        <f>$G43*IFERROR(INDEX(Lists!$AD:$AD,MATCH($E43,Lists!$AC:$AC,0)),1)</f>
        <v>173132.9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Mapping'!$B:$B,197)</f>
        <v>Catherine Gire</v>
      </c>
      <c r="C44" s="634" t="str">
        <f>INDEX('REVIEW - Complete Role Mapping'!$C:$C,197)</f>
        <v>Cyber Technical Business Analyst</v>
      </c>
      <c r="D44" s="612" t="str">
        <f>INDEX('REVIEW - Complete Role Mapping'!$AK:$AK,197)</f>
        <v>Filled</v>
      </c>
      <c r="E44" s="612" t="inlineStr">
        <is>
          <t>Filled</t>
        </is>
      </c>
      <c r="F44" s="634" t="str">
        <f>INDEX('REVIEW - Complete Role Mapping'!$AT:$AT,197)</f>
        <v>Cyber Strat &amp; Tech</v>
      </c>
      <c r="G44" s="627">
        <f>INDEX('REVIEW - Complete Role Mapping'!$AA:$AA,197)</f>
        <v>227163.6</v>
      </c>
      <c r="H44" s="627">
        <f>$G44*IFERROR(INDEX(Lists!$AD:$AD,MATCH($E44,Lists!$AC:$AC,0)),1)</f>
        <v>227163.6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Mapping'!$B:$B,198)</f>
        <v>Chris Lyons</v>
      </c>
      <c r="C45" s="634" t="str">
        <f>INDEX('REVIEW - Complete Role Mapping'!$C:$C,198)</f>
        <v>Cyber Security Architect</v>
      </c>
      <c r="D45" s="612" t="str">
        <f>INDEX('REVIEW - Complete Role Mapping'!$AK:$AK,198)</f>
        <v>Filled</v>
      </c>
      <c r="E45" s="612" t="inlineStr">
        <is>
          <t>Filled</t>
        </is>
      </c>
      <c r="F45" s="634" t="str">
        <f>INDEX('REVIEW - Complete Role Mapping'!$AT:$AT,198)</f>
        <v>Cyber Strat &amp; Tech</v>
      </c>
      <c r="G45" s="627">
        <f>INDEX('REVIEW - Complete Role Mapping'!$AA:$AA,198)</f>
        <v>283353.75</v>
      </c>
      <c r="H45" s="627">
        <f>$G45*IFERROR(INDEX(Lists!$AD:$AD,MATCH($E45,Lists!$AC:$AC,0)),1)</f>
        <v>283353.75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Mapping'!$B:$B,200)</f>
        <v>Dan Balsamo</v>
      </c>
      <c r="C46" s="634" t="str">
        <f>INDEX('REVIEW - Complete Role Mapping'!$C:$C,200)</f>
        <v>Senior Cyber Project Manager</v>
      </c>
      <c r="D46" s="612" t="str">
        <f>INDEX('REVIEW - Complete Role Mapping'!$AK:$AK,200)</f>
        <v>Filled</v>
      </c>
      <c r="E46" s="612" t="inlineStr">
        <is>
          <t>Filled</t>
        </is>
      </c>
      <c r="F46" s="634" t="str">
        <f>INDEX('REVIEW - Complete Role Mapping'!$AT:$AT,200)</f>
        <v>Cyber Strat &amp; Tech</v>
      </c>
      <c r="G46" s="627">
        <f>INDEX('REVIEW - Complete Role Mapping'!$AA:$AA,200)</f>
        <v>258576.15</v>
      </c>
      <c r="H46" s="627">
        <f>$G46*IFERROR(INDEX(Lists!$AD:$AD,MATCH($E46,Lists!$AC:$AC,0)),1)</f>
        <v>258576.15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Mapping'!$B:$B,203)</f>
        <v>Darshan Suvama</v>
      </c>
      <c r="C47" s="634" t="str">
        <f>INDEX('REVIEW - Complete Role Mapping'!$C:$C,203)</f>
        <v>Cyber Offensive Security Lead</v>
      </c>
      <c r="D47" s="612" t="str">
        <f>INDEX('REVIEW - Complete Role Mapping'!$AK:$AK,203)</f>
        <v>Filled</v>
      </c>
      <c r="E47" s="612" t="inlineStr">
        <is>
          <t>Filled</t>
        </is>
      </c>
      <c r="F47" s="634" t="str">
        <f>INDEX('REVIEW - Complete Role Mapping'!$AT:$AT,203)</f>
        <v>Cyber Strat &amp; Tech</v>
      </c>
      <c r="G47" s="627">
        <f>INDEX('REVIEW - Complete Role Mapping'!$AA:$AA,203)</f>
        <v>285342.9</v>
      </c>
      <c r="H47" s="627">
        <f>$G47*IFERROR(INDEX(Lists!$AD:$AD,MATCH($E47,Lists!$AC:$AC,0)),1)</f>
        <v>285342.9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Mapping'!$B:$B,206)</f>
        <v>Iwan Wibisono</v>
      </c>
      <c r="C48" s="634" t="str">
        <f>INDEX('REVIEW - Complete Role Mapping'!$C:$C,206)</f>
        <v>Engineer - IDAM</v>
      </c>
      <c r="D48" s="612" t="str">
        <f>INDEX('REVIEW - Complete Role Mapping'!$AK:$AK,206)</f>
        <v>Filled</v>
      </c>
      <c r="E48" s="612" t="inlineStr">
        <is>
          <t>Filled</t>
        </is>
      </c>
      <c r="F48" s="634" t="str">
        <f>INDEX('REVIEW - Complete Role Mapping'!$AT:$AT,206)</f>
        <v>Cyber Strat &amp; Tech</v>
      </c>
      <c r="G48" s="627">
        <f>INDEX('REVIEW - Complete Role Mapping'!$AA:$AA,206)</f>
        <v>215682.6</v>
      </c>
      <c r="H48" s="627">
        <f>$G48*IFERROR(INDEX(Lists!$AD:$AD,MATCH($E48,Lists!$AC:$AC,0)),1)</f>
        <v>215682.6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Mapping'!$B:$B,208)</f>
        <v>James Byrne</v>
      </c>
      <c r="C49" s="634" t="str">
        <f>INDEX('REVIEW - Complete Role Mapping'!$C:$C,208)</f>
        <v>Head of Cyber Strategy &amp; Technology</v>
      </c>
      <c r="D49" s="612" t="str">
        <f>INDEX('REVIEW - Complete Role Mapping'!$AK:$AK,208)</f>
        <v>Filled</v>
      </c>
      <c r="E49" s="612" t="inlineStr">
        <is>
          <t>Filled</t>
        </is>
      </c>
      <c r="F49" s="634" t="str">
        <f>INDEX('REVIEW - Complete Role Mapping'!$AT:$AT,208)</f>
        <v>Cyber Strat &amp; Tech</v>
      </c>
      <c r="G49" s="627">
        <f>INDEX('REVIEW - Complete Role Mapping'!$AA:$AA,208)</f>
        <v>382587.7</v>
      </c>
      <c r="H49" s="627">
        <f>$G49*IFERROR(INDEX(Lists!$AD:$AD,MATCH($E49,Lists!$AC:$AC,0)),1)</f>
        <v>382587.7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Mapping'!$B:$B,210)</f>
        <v>Joe Nahma</v>
      </c>
      <c r="C50" s="634" t="str">
        <f>INDEX('REVIEW - Complete Role Mapping'!$C:$C,210)</f>
        <v>Manager Identity &amp; Access Management</v>
      </c>
      <c r="D50" s="612" t="str">
        <f>INDEX('REVIEW - Complete Role Mapping'!$AK:$AK,210)</f>
        <v>Filled</v>
      </c>
      <c r="E50" s="612" t="inlineStr">
        <is>
          <t>Filled</t>
        </is>
      </c>
      <c r="F50" s="634" t="str">
        <f>INDEX('REVIEW - Complete Role Mapping'!$AT:$AT,210)</f>
        <v>Cyber Strat &amp; Tech</v>
      </c>
      <c r="G50" s="627">
        <f>INDEX('REVIEW - Complete Role Mapping'!$AA:$AA,210)</f>
        <v>258709.65</v>
      </c>
      <c r="H50" s="627">
        <f>$G50*IFERROR(INDEX(Lists!$AD:$AD,MATCH($E50,Lists!$AC:$AC,0)),1)</f>
        <v>258709.65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Mapping'!$B:$B,212)</f>
        <v>Kevin Sheerin</v>
      </c>
      <c r="C51" s="634" t="str">
        <f>INDEX('REVIEW - Complete Role Mapping'!$C:$C,212)</f>
        <v>Cyber Architecture Lead</v>
      </c>
      <c r="D51" s="612" t="str">
        <f>INDEX('REVIEW - Complete Role Mapping'!$AK:$AK,212)</f>
        <v>Filled</v>
      </c>
      <c r="E51" s="612" t="inlineStr">
        <is>
          <t>Filled</t>
        </is>
      </c>
      <c r="F51" s="634" t="str">
        <f>INDEX('REVIEW - Complete Role Mapping'!$AT:$AT,212)</f>
        <v>Cyber Strat &amp; Tech</v>
      </c>
      <c r="G51" s="627">
        <f>INDEX('REVIEW - Complete Role Mapping'!$AA:$AA,212)</f>
        <v>284982.45</v>
      </c>
      <c r="H51" s="627">
        <f>$G51*IFERROR(INDEX(Lists!$AD:$AD,MATCH($E51,Lists!$AC:$AC,0)),1)</f>
        <v>284982.45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Mapping'!$B:$B,221)</f>
        <v>Rahul Sahni</v>
      </c>
      <c r="C52" s="634" t="str">
        <f>INDEX('REVIEW - Complete Role Mapping'!$C:$C,221)</f>
        <v>Cyber Security Architect</v>
      </c>
      <c r="D52" s="612" t="str">
        <f>INDEX('REVIEW - Complete Role Mapping'!$AK:$AK,221)</f>
        <v>Filled</v>
      </c>
      <c r="E52" s="612" t="inlineStr">
        <is>
          <t>Filled</t>
        </is>
      </c>
      <c r="F52" s="634" t="str">
        <f>INDEX('REVIEW - Complete Role Mapping'!$AT:$AT,221)</f>
        <v>Cyber Strat &amp; Tech</v>
      </c>
      <c r="G52" s="627">
        <f>INDEX('REVIEW - Complete Role Mapping'!$AA:$AA,221)</f>
        <v>226282.5</v>
      </c>
      <c r="H52" s="627">
        <f>$G52*IFERROR(INDEX(Lists!$AD:$AD,MATCH($E52,Lists!$AC:$AC,0)),1)</f>
        <v>226282.5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Mapping'!$B:$B,223)</f>
        <v>Raymond Cheung</v>
      </c>
      <c r="C53" s="634" t="str">
        <f>INDEX('REVIEW - Complete Role Mapping'!$C:$C,223)</f>
        <v>Engineer - IDAM</v>
      </c>
      <c r="D53" s="612" t="str">
        <f>INDEX('REVIEW - Complete Role Mapping'!$AK:$AK,223)</f>
        <v>Filled</v>
      </c>
      <c r="E53" s="612" t="inlineStr">
        <is>
          <t>Filled</t>
        </is>
      </c>
      <c r="F53" s="634" t="str">
        <f>INDEX('REVIEW - Complete Role Mapping'!$AT:$AT,223)</f>
        <v>Cyber Strat &amp; Tech</v>
      </c>
      <c r="G53" s="627">
        <f>INDEX('REVIEW - Complete Role Mapping'!$AA:$AA,223)</f>
        <v>190675</v>
      </c>
      <c r="H53" s="627">
        <f>$G53*IFERROR(INDEX(Lists!$AD:$AD,MATCH($E53,Lists!$AC:$AC,0)),1)</f>
        <v>190675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Mapping'!$B:$B,232)</f>
        <v>Tony Keeler</v>
      </c>
      <c r="C54" s="634" t="str">
        <f>INDEX('REVIEW - Complete Role Mapping'!$C:$C,232)</f>
        <v>Cyber Business Analyst</v>
      </c>
      <c r="D54" s="612" t="str">
        <f>INDEX('REVIEW - Complete Role Mapping'!$AK:$AK,232)</f>
        <v>Filled</v>
      </c>
      <c r="E54" s="612" t="inlineStr">
        <is>
          <t>Filled</t>
        </is>
      </c>
      <c r="F54" s="634" t="str">
        <f>INDEX('REVIEW - Complete Role Mapping'!$AT:$AT,232)</f>
        <v>Cyber Strat &amp; Tech</v>
      </c>
      <c r="G54" s="627">
        <f>INDEX('REVIEW - Complete Role Mapping'!$AA:$AA,232)</f>
        <v>213600</v>
      </c>
      <c r="H54" s="627">
        <f>$G54*IFERROR(INDEX(Lists!$AD:$AD,MATCH($E54,Lists!$AC:$AC,0)),1)</f>
        <v>213600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Mapping'!$B:$B,238)</f>
        <v>Vivienne Vasak</v>
      </c>
      <c r="C55" s="634" t="str">
        <f>INDEX('REVIEW - Complete Role Mapping'!$C:$C,238)</f>
        <v>Portfolio Manager Cyber Security</v>
      </c>
      <c r="D55" s="612" t="str">
        <f>INDEX('REVIEW - Complete Role Mapping'!$AK:$AK,238)</f>
        <v>Filled</v>
      </c>
      <c r="E55" s="612" t="inlineStr">
        <is>
          <t>Filled</t>
        </is>
      </c>
      <c r="F55" s="634" t="str">
        <f>INDEX('REVIEW - Complete Role Mapping'!$AT:$AT,238)</f>
        <v>Cyber Strat &amp; Tech</v>
      </c>
      <c r="G55" s="627">
        <f>INDEX('REVIEW - Complete Role Mapping'!$AA:$AA,238)</f>
        <v>315674.35</v>
      </c>
      <c r="H55" s="627">
        <f>$G55*IFERROR(INDEX(Lists!$AD:$AD,MATCH($E55,Lists!$AC:$AC,0)),1)</f>
        <v>315674.35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Mapping'!$B:$B,204)</f>
        <v>Diya Thomas</v>
      </c>
      <c r="C56" s="634" t="str">
        <f>INDEX('REVIEW - Complete Role Mapping'!$C:$C,204)</f>
        <v>Manager Cyber Security GRC</v>
      </c>
      <c r="D56" s="612" t="str">
        <f>INDEX('REVIEW - Complete Role Mapping'!$AK:$AK,204)</f>
        <v>Filled</v>
      </c>
      <c r="E56" s="647" t="inlineStr">
        <is>
          <t>Filled</t>
        </is>
      </c>
      <c r="F56" s="648" t="str">
        <f>INDEX('REVIEW - Complete Role Mapping'!$AT:$AT,204)</f>
        <v>Cyber GRC</v>
      </c>
      <c r="G56" s="627">
        <f>INDEX('REVIEW - Complete Role Mapping'!$AA:$AA,204)</f>
        <v>287043.2</v>
      </c>
      <c r="H56" s="627">
        <f>$G56*IFERROR(INDEX(Lists!$AD:$AD,MATCH($E56,Lists!$AC:$AC,0)),1)</f>
        <v>287043.2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Mapping'!$B:$B,219)</f>
        <v>Pooja Kuperkar</v>
      </c>
      <c r="C57" s="634" t="str">
        <f>INDEX('REVIEW - Complete Role Mapping'!$C:$C,219)</f>
        <v>Cyber GRC Analyst</v>
      </c>
      <c r="D57" s="612" t="str">
        <f>INDEX('REVIEW - Complete Role Mapping'!$AK:$AK,219)</f>
        <v>Filled</v>
      </c>
      <c r="E57" s="647" t="inlineStr">
        <is>
          <t>Filled</t>
        </is>
      </c>
      <c r="F57" s="648" t="str">
        <f>INDEX('REVIEW - Complete Role Mapping'!$AT:$AT,219)</f>
        <v>Cyber GRC</v>
      </c>
      <c r="G57" s="627">
        <f>INDEX('REVIEW - Complete Role Mapping'!$AA:$AA,219)</f>
        <v>203440.65</v>
      </c>
      <c r="H57" s="627">
        <f>$G57*IFERROR(INDEX(Lists!$AD:$AD,MATCH($E57,Lists!$AC:$AC,0)),1)</f>
        <v>203440.65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Mapping'!$B:$B,220)</f>
        <v>Prashanth Chandran</v>
      </c>
      <c r="C58" s="634" t="str">
        <f>INDEX('REVIEW - Complete Role Mapping'!$C:$C,220)</f>
        <v>Senior Cyber GRC Specialist</v>
      </c>
      <c r="D58" s="612" t="str">
        <f>INDEX('REVIEW - Complete Role Mapping'!$AK:$AK,220)</f>
        <v>Filled</v>
      </c>
      <c r="E58" s="647" t="inlineStr">
        <is>
          <t>Filled</t>
        </is>
      </c>
      <c r="F58" s="648" t="str">
        <f>INDEX('REVIEW - Complete Role Mapping'!$AT:$AT,220)</f>
        <v>Cyber GRC</v>
      </c>
      <c r="G58" s="627">
        <f>INDEX('REVIEW - Complete Role Mapping'!$AA:$AA,220)</f>
        <v>220275</v>
      </c>
      <c r="H58" s="627">
        <f>$G58*IFERROR(INDEX(Lists!$AD:$AD,MATCH($E58,Lists!$AC:$AC,0)),1)</f>
        <v>220275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Mapping'!$B:$B,228)</f>
        <v>Shruti Manchanda</v>
      </c>
      <c r="C59" s="634" t="str">
        <f>INDEX('REVIEW - Complete Role Mapping'!$C:$C,228)</f>
        <v>Cyber GRC Analyst</v>
      </c>
      <c r="D59" s="612" t="str">
        <f>INDEX('REVIEW - Complete Role Mapping'!$AK:$AK,228)</f>
        <v>Filled</v>
      </c>
      <c r="E59" s="647" t="inlineStr">
        <is>
          <t>Filled</t>
        </is>
      </c>
      <c r="F59" s="648" t="str">
        <f>INDEX('REVIEW - Complete Role Mapping'!$AT:$AT,228)</f>
        <v>Cyber GRC</v>
      </c>
      <c r="G59" s="627">
        <f>INDEX('REVIEW - Complete Role Mapping'!$AA:$AA,228)</f>
        <v>228885.75</v>
      </c>
      <c r="H59" s="627">
        <f>$G59*IFERROR(INDEX(Lists!$AD:$AD,MATCH($E59,Lists!$AC:$AC,0)),1)</f>
        <v>228885.75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Mapping'!$B:$B,237)</f>
        <v>Vanessa Castro</v>
      </c>
      <c r="C60" s="634" t="str">
        <f>INDEX('REVIEW - Complete Role Mapping'!$C:$C,237)</f>
        <v>Cyber GRC Analyst</v>
      </c>
      <c r="D60" s="612" t="str">
        <f>INDEX('REVIEW - Complete Role Mapping'!$AK:$AK,237)</f>
        <v>Filled</v>
      </c>
      <c r="E60" s="612" t="inlineStr">
        <is>
          <t>Filled</t>
        </is>
      </c>
      <c r="F60" s="634" t="str">
        <f>INDEX('REVIEW - Complete Role Mapping'!$AT:$AT,237)</f>
        <v>Cyber GRC</v>
      </c>
      <c r="G60" s="627">
        <f>INDEX('REVIEW - Complete Role Mapping'!$AA:$AA,237)</f>
        <v>131833.188</v>
      </c>
      <c r="H60" s="627">
        <f>$G60*IFERROR(INDEX(Lists!$AD:$AD,MATCH($E60,Lists!$AC:$AC,0)),1)</f>
        <v>131833.188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Mapping'!$B:$B,213)</f>
        <v>Lisa Ng</v>
      </c>
      <c r="C61" s="634" t="str">
        <f>INDEX('REVIEW - Complete Role Mapping'!$C:$C,213)</f>
        <v>Cyber Security Analyst</v>
      </c>
      <c r="D61" s="612" t="str">
        <f>INDEX('REVIEW - Complete Role Mapping'!$AK:$AK,213)</f>
        <v>Filled</v>
      </c>
      <c r="E61" s="612" t="inlineStr">
        <is>
          <t>Filled</t>
        </is>
      </c>
      <c r="F61" s="634" t="str">
        <f>INDEX('REVIEW - Complete Role Mapping'!$AT:$AT,213)</f>
        <v>Cyber Sec Ops</v>
      </c>
      <c r="G61" s="627">
        <f>INDEX('REVIEW - Complete Role Mapping'!$AA:$AA,213)</f>
        <v>147800.064</v>
      </c>
      <c r="H61" s="627">
        <f>$G61*IFERROR(INDEX(Lists!$AD:$AD,MATCH($E61,Lists!$AC:$AC,0)),1)</f>
        <v>147800.064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Mapping'!$B:$B,218)</f>
        <v>Nischal Bhusal</v>
      </c>
      <c r="C62" s="646" t="str">
        <f>INDEX('REVIEW - Complete Role Mapping'!$C:$C,218)</f>
        <v>Cyber Security Analyst</v>
      </c>
      <c r="D62" s="646" t="str">
        <f>INDEX('REVIEW - Complete Role Mapping'!$AK:$AK,218)</f>
        <v>Filled</v>
      </c>
      <c r="E62" s="646" t="inlineStr">
        <is>
          <t>Filled</t>
        </is>
      </c>
      <c r="F62" s="646" t="str">
        <f>INDEX('REVIEW - Complete Role Mapping'!$AT:$AT,218)</f>
        <v>Cyber Sec Ops</v>
      </c>
      <c r="G62" s="627">
        <f>INDEX('REVIEW - Complete Role Mapping'!$AA:$AA,218)</f>
        <v>215629.2</v>
      </c>
      <c r="H62" s="627">
        <f>$G62*IFERROR(INDEX(Lists!$AD:$AD,MATCH($E62,Lists!$AC:$AC,0)),1)</f>
        <v>215629.2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Mapping'!$B:$B,226)</f>
        <v>Sameer Pattanaik</v>
      </c>
      <c r="C63" s="634" t="str">
        <f>INDEX('REVIEW - Complete Role Mapping'!$C:$C,226)</f>
        <v>Cyber Security Operations Lead</v>
      </c>
      <c r="D63" s="612" t="str">
        <f>INDEX('REVIEW - Complete Role Mapping'!$AK:$AK,226)</f>
        <v>Filled</v>
      </c>
      <c r="E63" s="612" t="inlineStr">
        <is>
          <t>Filled</t>
        </is>
      </c>
      <c r="F63" s="634" t="str">
        <f>INDEX('REVIEW - Complete Role Mapping'!$AT:$AT,226)</f>
        <v>Cyber Sec Ops</v>
      </c>
      <c r="G63" s="627">
        <f>INDEX('REVIEW - Complete Role Mapping'!$AA:$AA,226)</f>
        <v>212878.38</v>
      </c>
      <c r="H63" s="627">
        <f>$G63*IFERROR(INDEX(Lists!$AD:$AD,MATCH($E63,Lists!$AC:$AC,0)),1)</f>
        <v>212878.38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Mapping'!$B:$B,230)</f>
        <v>Stafford Dowling</v>
      </c>
      <c r="C64" s="646" t="str">
        <f>INDEX('REVIEW - Complete Role Mapping'!$C:$C,230)</f>
        <v>Cyber Security Analyst</v>
      </c>
      <c r="D64" s="646" t="str">
        <f>INDEX('REVIEW - Complete Role Mapping'!$AK:$AK,230)</f>
        <v>Filled</v>
      </c>
      <c r="E64" s="646" t="inlineStr">
        <is>
          <t>Filled</t>
        </is>
      </c>
      <c r="F64" s="646" t="str">
        <f>INDEX('REVIEW - Complete Role Mapping'!$AT:$AT,230)</f>
        <v>Cyber Sec Ops</v>
      </c>
      <c r="G64" s="627">
        <f>INDEX('REVIEW - Complete Role Mapping'!$AA:$AA,230)</f>
        <v>218713.05</v>
      </c>
      <c r="H64" s="627">
        <f>$G64*IFERROR(INDEX(Lists!$AD:$AD,MATCH($E64,Lists!$AC:$AC,0)),1)</f>
        <v>218713.05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Mapping'!$B:$B,231)</f>
        <v>Steven Atcheson</v>
      </c>
      <c r="C65" s="634" t="str">
        <f>INDEX('REVIEW - Complete Role Mapping'!$C:$C,231)</f>
        <v>Manager Cyber Security Operations</v>
      </c>
      <c r="D65" s="612" t="str">
        <f>INDEX('REVIEW - Complete Role Mapping'!$AK:$AK,231)</f>
        <v>Filled</v>
      </c>
      <c r="E65" s="612" t="inlineStr">
        <is>
          <t>Filled</t>
        </is>
      </c>
      <c r="F65" s="634" t="str">
        <f>INDEX('REVIEW - Complete Role Mapping'!$AT:$AT,231)</f>
        <v>Cyber Sec Ops</v>
      </c>
      <c r="G65" s="627">
        <f>INDEX('REVIEW - Complete Role Mapping'!$AA:$AA,231)</f>
        <v>316568.65</v>
      </c>
      <c r="H65" s="627">
        <f>$G65*IFERROR(INDEX(Lists!$AD:$AD,MATCH($E65,Lists!$AC:$AC,0)),1)</f>
        <v>316568.65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Mapping'!$B:$B,195)</f>
        <v>Brian Gates</v>
      </c>
      <c r="C66" s="646" t="str">
        <f>INDEX('REVIEW - Complete Role Mapping'!$C:$C,195)</f>
        <v>Manager Risk &amp; Resilience</v>
      </c>
      <c r="D66" s="646" t="str">
        <f>INDEX('REVIEW - Complete Role Mapping'!$AK:$AK,195)</f>
        <v>Filled</v>
      </c>
      <c r="E66" s="646" t="inlineStr">
        <is>
          <t>Filled</t>
        </is>
      </c>
      <c r="F66" s="646" t="str">
        <f>INDEX('REVIEW - Complete Role Mapping'!$AT:$AT,195)</f>
        <v>Cyber Risk</v>
      </c>
      <c r="G66" s="1267">
        <f>INDEX('REVIEW - Complete Role Mapping'!$AA:$AA,195)</f>
        <v>287043.2</v>
      </c>
      <c r="H66" s="1267">
        <f>$G66*IFERROR(INDEX(Lists!$AD:$AD,MATCH($E66,Lists!$AC:$AC,0)),1)</f>
        <v>287043.2</v>
      </c>
      <c r="I66" s="442" t="n"/>
      <c r="J66" s="442" t="n"/>
      <c r="K66" s="442" t="n"/>
      <c r="L66" s="442" t="n"/>
      <c r="M66" s="442" t="n"/>
      <c r="N66" s="442" t="n"/>
    </row>
    <row r="67">
      <c r="B67" s="634" t="str">
        <f>INDEX('REVIEW - Complete Role Mapping'!$B:$B,227)</f>
        <v>Shomiya Shayal</v>
      </c>
      <c r="C67" s="634" t="str">
        <f>INDEX('REVIEW - Complete Role Mapping'!$C:$C,227)</f>
        <v>Risk &amp; Resilience Lead</v>
      </c>
      <c r="D67" s="612" t="str">
        <f>INDEX('REVIEW - Complete Role Mapping'!$AK:$AK,227)</f>
        <v>Filled</v>
      </c>
      <c r="E67" s="612" t="inlineStr">
        <is>
          <t>Filled</t>
        </is>
      </c>
      <c r="F67" s="634" t="str">
        <f>INDEX('REVIEW - Complete Role Mapping'!$AT:$AT,227)</f>
        <v>Cyber Risk</v>
      </c>
      <c r="G67" s="1267">
        <f>INDEX('REVIEW - Complete Role Mapping'!$AA:$AA,227)</f>
        <v>188515.032</v>
      </c>
      <c r="H67" s="1267">
        <f>$G67*IFERROR(INDEX(Lists!$AD:$AD,MATCH($E67,Lists!$AC:$AC,0)),1)</f>
        <v>188515.032</v>
      </c>
      <c r="I67" s="442" t="n"/>
      <c r="J67" s="442" t="n"/>
      <c r="K67" s="442" t="n"/>
      <c r="L67" s="442" t="n"/>
      <c r="M67" s="442" t="n"/>
      <c r="N67" s="442" t="n"/>
    </row>
  </sheetData>
  <conditionalFormatting sqref="D19:D6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6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B2:T43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BP&amp;T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Transformation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COUNTIFS($F$20:$F$43,$B6)</f>
        <v>14</v>
      </c>
      <c r="F6" s="1271" t="str">
        <f>IFERROR($E6-$D6,"-")</f>
        <v>-</v>
      </c>
      <c r="G6" s="1261">
        <f>COUNTIFS($F$20:$F$43,$B6,$D$20:$D$43,"Vacant")</f>
        <v>8</v>
      </c>
      <c r="H6" s="1272">
        <f>COUNTIFS($F$20:$F$43,$B6,$D$20:$D$43,"Vacant",$E$20:$E$43,"Hire")+COUNTIFS($F$20:$F$43,$B6,$D$20:$D$43,"Vacant",$E$20:$E$43,"Offshore")</f>
        <v>8</v>
      </c>
      <c r="I6" s="1272">
        <f>COUNTIFS($F$20:$F$43,$B6,$D$20:$D$43,"Vacant",$E$20:$E$43,"Hold")</f>
        <v>0</v>
      </c>
      <c r="J6" s="1272">
        <f>$E6-COUNTIFS($F$20:$F$43,$B6,$E$20:$E$43,"Hold")</f>
        <v>14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3.10799923</v>
      </c>
      <c r="N6" s="1254" t="str">
        <f>IFERROR($M6-$L6,"-")</f>
        <v>-</v>
      </c>
      <c r="O6" s="1254">
        <f>(SUMIFS('REVIEW - Complete Role Mapping'!$AA$2:$AA$528,'REVIEW - Complete Role Mapping'!$AJ$2:$AJ$528,$C$3,'REVIEW - Complete Role Mapping'!$AT$2:$AT$528,$B6,'REVIEW - Complete Role Mapping'!$AK$2:$AK$528,"Filled")+SUMIFS($H$20:$H$43,$F$20:$F$43,$B6))/1000000</f>
        <v>4.30798448</v>
      </c>
      <c r="P6" s="1254">
        <f>$O6-$M6</f>
        <v>1.19998525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1.90801398</v>
      </c>
      <c r="R6" t="str">
        <f>"-"</f>
        <v>-</v>
      </c>
      <c r="S6" t="str">
        <f>IFERROR(INDEX(Lists!$AA:$AA,MATCH($B6,Lists!$Z:$Z,0)),$B6)</f>
        <v>Transformation</v>
      </c>
    </row>
    <row r="7">
      <c r="B7" s="546" t="inlineStr">
        <is>
          <t>TDD Business Partner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COUNTIFS($F$20:$F$43,$B7)</f>
        <v>6</v>
      </c>
      <c r="F7" s="1271" t="str">
        <f>IFERROR($E7-$D7,"-")</f>
        <v>-</v>
      </c>
      <c r="G7" s="1261">
        <f>COUNTIFS($F$20:$F$43,$B7,$D$20:$D$43,"Vacant")</f>
        <v>0</v>
      </c>
      <c r="H7" s="1272">
        <f>COUNTIFS($F$20:$F$43,$B7,$D$20:$D$43,"Vacant",$E$20:$E$43,"Hire")+COUNTIFS($F$20:$F$43,$B7,$D$20:$D$43,"Vacant",$E$20:$E$43,"Offshore")</f>
        <v>0</v>
      </c>
      <c r="I7" s="1272">
        <f>COUNTIFS($F$20:$F$43,$B7,$D$20:$D$43,"Vacant",$E$20:$E$43,"Hold")</f>
        <v>0</v>
      </c>
      <c r="J7" s="1272">
        <f>$E7-COUNTIFS($F$20:$F$43,$B7,$E$20:$E$43,"Hold")</f>
        <v>6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2.3135484</v>
      </c>
      <c r="N7" s="1254" t="str">
        <f>IFERROR($M7-$L7,"-")</f>
        <v>-</v>
      </c>
      <c r="O7" s="1254">
        <f>(SUMIFS('REVIEW - Complete Role Mapping'!$AA$2:$AA$528,'REVIEW - Complete Role Mapping'!$AJ$2:$AJ$528,$C$3,'REVIEW - Complete Role Mapping'!$AT$2:$AT$528,$B7,'REVIEW - Complete Role Mapping'!$AK$2:$AK$528,"Filled")+SUMIFS($H$20:$H$43,$F$20:$F$43,$B7))/1000000</f>
        <v>4.6270968</v>
      </c>
      <c r="P7" s="1254">
        <f>$O7-$M7</f>
        <v>2.3135484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TDD Business Partner</v>
      </c>
    </row>
    <row r="8">
      <c r="B8" s="1218" t="inlineStr">
        <is>
          <t>Commercial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COUNTIFS($F$20:$F$43,$B8)</f>
        <v>4</v>
      </c>
      <c r="F8" s="1261" t="str">
        <f>IFERROR($E8-$D8,"-")</f>
        <v>-</v>
      </c>
      <c r="G8" s="1261">
        <f>COUNTIFS($F$20:$F$43,$B8,$D$20:$D$43,"Vacant")</f>
        <v>1</v>
      </c>
      <c r="H8" s="1272">
        <f>COUNTIFS($F$20:$F$43,$B8,$D$20:$D$43,"Vacant",$E$20:$E$43,"Hire")+COUNTIFS($F$20:$F$43,$B8,$D$20:$D$43,"Vacant",$E$20:$E$43,"Offshore")</f>
        <v>1</v>
      </c>
      <c r="I8" s="1272">
        <f>COUNTIFS($F$20:$F$43,$B8,$D$20:$D$43,"Vacant",$E$20:$E$43,"Hold")</f>
        <v>0</v>
      </c>
      <c r="J8" s="1272">
        <f>$E8-COUNTIFS($F$20:$F$43,$B8,$E$20:$E$43,"Hold")</f>
        <v>4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Mapping'!$AJ$2:$AJ$528,$C$3,'REVIEW - Complete Role Mapping'!$AT$2:$AT$528,$B8)/1000000</f>
        <v>0.979014192</v>
      </c>
      <c r="N8" s="1254" t="str">
        <f>IFERROR($M8-$L8,"-")</f>
        <v>-</v>
      </c>
      <c r="O8" s="1254">
        <f>(SUMIFS('REVIEW - Complete Role Mapping'!$AA$2:$AA$528,'REVIEW - Complete Role Mapping'!$AJ$2:$AJ$528,$C$3,'REVIEW - Complete Role Mapping'!$AT$2:$AT$528,$B8,'REVIEW - Complete Role Mapping'!$AK$2:$AK$528,"Filled")+SUMIFS($H$20:$H$43,$F$20:$F$43,$B8))/1000000</f>
        <v>1.518528384</v>
      </c>
      <c r="P8" s="1254">
        <f>$O8-$M8</f>
        <v>0.539514192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0.4395</v>
      </c>
      <c r="R8" t="str">
        <f>"-"</f>
        <v>-</v>
      </c>
      <c r="S8" t="str">
        <f>IFERROR(INDEX(Lists!$AA:$AA,MATCH($B8,Lists!$Z:$Z,0)),$B8)</f>
        <v>Commercial</v>
      </c>
    </row>
    <row r="9">
      <c r="B9" s="1218" t="inlineStr">
        <is>
          <t>Delivery squads</t>
        </is>
      </c>
      <c r="C9" s="510" t="n"/>
      <c r="D9" s="1261">
        <f>SUMIF($D$6:$D$8,"&gt;=0")</f>
        <v>0</v>
      </c>
      <c r="E9" s="1261">
        <f>SUM(E6:E8)</f>
        <v>24</v>
      </c>
      <c r="F9" s="1261">
        <f>SUMPRODUCT(--ISNUMBER($D$6:$D$8),$E$6:$E$8)-SUMIF($D$6:$D$8,"&gt;=0")</f>
        <v>0</v>
      </c>
      <c r="G9" s="1261">
        <f>SUM(G6:G8)</f>
        <v>9</v>
      </c>
      <c r="H9" s="1272">
        <f>SUM(H6:H8)</f>
        <v>9</v>
      </c>
      <c r="I9" s="1272">
        <f>SUM(I6:I8)</f>
        <v>0</v>
      </c>
      <c r="J9" s="1272">
        <f>SUM(J6:J8)</f>
        <v>24</v>
      </c>
      <c r="L9" s="1254">
        <f>SUMIF($L$6:$L$8,"&gt;=0")</f>
        <v>0</v>
      </c>
      <c r="M9" s="1254">
        <f>SUM(M6:M8)</f>
        <v>6.400561822</v>
      </c>
      <c r="N9" s="1254">
        <f>SUMPRODUCT(--ISNUMBER($L$6:$L$8),$M$6:$M$8)-SUMIF($L$6:$L$8,"&gt;=0")</f>
        <v>0</v>
      </c>
      <c r="O9" s="1254">
        <f>SUM(O6:O8)</f>
        <v>10.453609664</v>
      </c>
      <c r="P9" s="1254">
        <f>SUM(P6:P8)</f>
        <v>4.053047842</v>
      </c>
      <c r="Q9" s="1254">
        <f>SUM(Q6:Q8)</f>
        <v>2.34751398</v>
      </c>
    </row>
    <row r="10">
      <c r="B10" s="546" t="inlineStr">
        <is>
          <t>This is a centre of excellence: it carries no overhead line, every role is its own delivery.</t>
        </is>
      </c>
      <c r="C10" s="510" t="n"/>
      <c r="D10" s="1261" t="n"/>
      <c r="E10" s="1261" t="n"/>
      <c r="F10" s="1261" t="n"/>
      <c r="G10" s="1261" t="n"/>
      <c r="H10" s="1272" t="n"/>
      <c r="I10" s="1272" t="n"/>
      <c r="J10" s="1272" t="n"/>
      <c r="L10" s="1254" t="n"/>
      <c r="M10" s="1254" t="n"/>
      <c r="N10" s="1254" t="n"/>
      <c r="O10" s="1254" t="n"/>
      <c r="P10" s="1254" t="n"/>
      <c r="Q10" s="1254" t="n"/>
    </row>
    <row r="11">
      <c r="B11" s="1218" t="n"/>
      <c r="C11" s="510" t="n"/>
      <c r="D11" s="1261" t="n"/>
      <c r="E11" s="1261" t="n"/>
      <c r="F11" s="1261" t="n"/>
      <c r="G11" s="1261" t="n"/>
      <c r="H11" s="1272" t="n"/>
      <c r="I11" s="1272" t="n"/>
      <c r="J11" s="1272" t="n"/>
      <c r="L11" s="1254" t="n"/>
      <c r="M11" s="1254" t="n"/>
      <c r="N11" s="1254" t="n"/>
      <c r="O11" s="1254" t="n"/>
      <c r="P11" s="1254" t="n"/>
      <c r="Q11" s="1254" t="n"/>
    </row>
    <row r="12">
      <c r="B12" s="1240" t="n"/>
      <c r="D12" s="1272" t="n"/>
      <c r="E12" s="1272" t="n"/>
      <c r="F12" s="1272" t="n"/>
      <c r="G12" s="1272" t="n"/>
      <c r="H12" s="1272" t="n"/>
      <c r="I12" s="1272" t="n"/>
      <c r="J12" s="1272" t="n"/>
      <c r="L12" s="1254" t="n"/>
      <c r="M12" s="1254" t="n"/>
      <c r="N12" s="1254" t="n"/>
      <c r="O12" s="1254" t="n"/>
      <c r="P12" s="1254" t="n"/>
      <c r="Q12" s="1254" t="n"/>
    </row>
    <row r="13">
      <c r="B13" s="1295" t="inlineStr">
        <is>
          <t>Total portfolio</t>
        </is>
      </c>
      <c r="C13" s="533" t="n"/>
      <c r="D13" s="1288">
        <f>$D9</f>
        <v>0</v>
      </c>
      <c r="E13" s="1288">
        <f>$E9</f>
        <v>24</v>
      </c>
      <c r="F13" s="1288">
        <f>IFERROR($E9-$D9,"-")</f>
        <v>24</v>
      </c>
      <c r="G13" s="1288">
        <f>$G9</f>
        <v>9</v>
      </c>
      <c r="H13" s="1272">
        <f>$H9</f>
        <v>9</v>
      </c>
      <c r="I13" s="1272">
        <f>$I9</f>
        <v>0</v>
      </c>
      <c r="J13" s="1272">
        <f>$J9</f>
        <v>24</v>
      </c>
      <c r="L13" s="1254">
        <f>$L9</f>
        <v>0</v>
      </c>
      <c r="M13" s="1254">
        <f>$M9</f>
        <v>6.400561822</v>
      </c>
      <c r="N13" s="1254">
        <f>IFERROR($M9-$L9,"-")</f>
        <v>6.400561822</v>
      </c>
      <c r="O13" s="1254">
        <f>$O9</f>
        <v>10.453609664</v>
      </c>
      <c r="P13" s="1254">
        <f>$P9</f>
        <v>4.053047842</v>
      </c>
      <c r="Q13" s="1254">
        <f>$Q9</f>
        <v>2.34751398</v>
      </c>
    </row>
    <row r="14">
      <c r="B14" s="1304" t="inlineStr">
        <is>
          <t>Archetype columns D, F, L and N cover the delivery squads only - overhead is not priced by a squad archetype.</t>
        </is>
      </c>
      <c r="C14" s="622" t="n"/>
      <c r="D14" s="546" t="n"/>
      <c r="E14" s="612" t="n"/>
      <c r="F14" s="949" t="n"/>
      <c r="G14" s="949" t="n"/>
    </row>
    <row r="15">
      <c r="B15" s="1304" t="inlineStr">
        <is>
          <t>Control - roles vs the ledger, must be 0</t>
        </is>
      </c>
      <c r="C15" s="622" t="n"/>
      <c r="D15" s="546" t="n"/>
      <c r="E15" s="612">
        <f>COUNTIFS('REVIEW - Complete Role Mapping'!$AJ$2:$AJ$528,$C$3)-$E13</f>
        <v>0</v>
      </c>
      <c r="F15" s="949" t="n"/>
      <c r="G15" s="949" t="n"/>
    </row>
    <row r="16">
      <c r="B16" s="1318" t="inlineStr">
        <is>
          <t>Control - cost vs the ledger ($m), must be 0</t>
        </is>
      </c>
      <c r="C16" s="1264" t="n"/>
      <c r="D16" s="1264" t="n"/>
      <c r="E16" s="1264" t="n"/>
      <c r="F16" s="1259" t="n"/>
      <c r="G16" s="1259" t="n"/>
      <c r="H16" s="1273" t="n"/>
      <c r="M16">
        <f>ROUND(SUMIFS('REVIEW - Complete Role Mapping'!$AA$2:$AA$528,'REVIEW - Complete Role Mapping'!$AJ$2:$AJ$528,$C$3)/1000000-$M13,6)</f>
        <v>0</v>
      </c>
    </row>
    <row r="17">
      <c r="B17" s="546" t="n"/>
      <c r="C17" s="622" t="n"/>
      <c r="D17" s="546" t="n"/>
      <c r="E17" s="612" t="n"/>
      <c r="F17" s="949" t="n"/>
      <c r="G17" s="627" t="n"/>
      <c r="H17" s="1274" t="n"/>
    </row>
    <row r="18">
      <c r="B18" s="1304" t="inlineStr">
        <is>
          <t>COE BP&amp;T FTE</t>
        </is>
      </c>
      <c r="C18" s="622" t="n"/>
      <c r="D18" s="546" t="n"/>
      <c r="E18" s="612" t="n"/>
      <c r="F18" s="949" t="n"/>
      <c r="G18" s="627" t="n"/>
      <c r="H18" s="1274" t="n"/>
    </row>
    <row r="19">
      <c r="B19" s="1264" t="inlineStr">
        <is>
          <t>Name</t>
        </is>
      </c>
      <c r="C19" s="1264" t="inlineStr">
        <is>
          <t>Role</t>
        </is>
      </c>
      <c r="D19" s="1264" t="inlineStr">
        <is>
          <t>Status</t>
        </is>
      </c>
      <c r="E19" s="1264" t="inlineStr">
        <is>
          <t>Vacancy lever</t>
        </is>
      </c>
      <c r="F19" s="1259" t="inlineStr">
        <is>
          <t>Squad or overhead line</t>
        </is>
      </c>
      <c r="G19" s="1285" t="inlineStr">
        <is>
          <t>Cost if hired ($)</t>
        </is>
      </c>
      <c r="H19" s="1296" t="inlineStr">
        <is>
          <t>Effective cost ($)</t>
        </is>
      </c>
    </row>
    <row r="20">
      <c r="B20" s="546" t="str">
        <f>INDEX('REVIEW - Complete Role Mapping'!$B:$B,259)</f>
        <v>Jeannie Chu</v>
      </c>
      <c r="C20" s="622" t="str">
        <f>INDEX('REVIEW - Complete Role Mapping'!$C:$C,259)</f>
        <v>Snr Finance Support Administrator</v>
      </c>
      <c r="D20" s="546" t="str">
        <f>INDEX('REVIEW - Complete Role Mapping'!$AK:$AK,259)</f>
        <v>Filled</v>
      </c>
      <c r="E20" s="612" t="inlineStr">
        <is>
          <t>Filled</t>
        </is>
      </c>
      <c r="F20" s="949" t="str">
        <f>INDEX('REVIEW - Complete Role Mapping'!$AT:$AT,259)</f>
        <v>Transformation</v>
      </c>
      <c r="G20" s="627">
        <f>INDEX('REVIEW - Complete Role Mapping'!$AA:$AA,259)</f>
        <v>147687.65</v>
      </c>
      <c r="H20" s="1274">
        <f>$G20*IFERROR(INDEX(Lists!$AD:$AD,MATCH($E20,Lists!$AC:$AC,0)),1)</f>
        <v>147687.65</v>
      </c>
    </row>
    <row r="21">
      <c r="B21" s="546" t="str">
        <f>INDEX('REVIEW - Complete Role Mapping'!$B:$B,260)</f>
        <v>Jenny Chan</v>
      </c>
      <c r="C21" s="622" t="str">
        <f>INDEX('REVIEW - Complete Role Mapping'!$C:$C,260)</f>
        <v>Project Finance Lead</v>
      </c>
      <c r="D21" s="546" t="str">
        <f>INDEX('REVIEW - Complete Role Mapping'!$AK:$AK,260)</f>
        <v>Filled</v>
      </c>
      <c r="E21" s="612" t="inlineStr">
        <is>
          <t>Filled</t>
        </is>
      </c>
      <c r="F21" s="949" t="str">
        <f>INDEX('REVIEW - Complete Role Mapping'!$AT:$AT,260)</f>
        <v>Transformation</v>
      </c>
      <c r="G21" s="627">
        <f>INDEX('REVIEW - Complete Role Mapping'!$AA:$AA,260)</f>
        <v>206124</v>
      </c>
      <c r="H21" s="1274">
        <f>$G21*IFERROR(INDEX(Lists!$AD:$AD,MATCH($E21,Lists!$AC:$AC,0)),1)</f>
        <v>206124</v>
      </c>
    </row>
    <row r="22">
      <c r="B22" s="546" t="str">
        <f>INDEX('REVIEW - Complete Role Mapping'!$B:$B,262)</f>
        <v>Maria Somera</v>
      </c>
      <c r="C22" s="622" t="str">
        <f>INDEX('REVIEW - Complete Role Mapping'!$C:$C,262)</f>
        <v>Technology Finance Analyst</v>
      </c>
      <c r="D22" s="546" t="str">
        <f>INDEX('REVIEW - Complete Role Mapping'!$AK:$AK,262)</f>
        <v>Filled</v>
      </c>
      <c r="E22" s="612" t="inlineStr">
        <is>
          <t>Filled</t>
        </is>
      </c>
      <c r="F22" s="949" t="str">
        <f>INDEX('REVIEW - Complete Role Mapping'!$AT:$AT,262)</f>
        <v>Transformation</v>
      </c>
      <c r="G22" s="627">
        <f>INDEX('REVIEW - Complete Role Mapping'!$AA:$AA,262)</f>
        <v>179313.4</v>
      </c>
      <c r="H22" s="1274">
        <f>$G22*IFERROR(INDEX(Lists!$AD:$AD,MATCH($E22,Lists!$AC:$AC,0)),1)</f>
        <v>179313.4</v>
      </c>
    </row>
    <row r="23">
      <c r="B23" s="546" t="str">
        <f>INDEX('REVIEW - Complete Role Mapping'!$B:$B,263)</f>
        <v>Matt Saunders</v>
      </c>
      <c r="C23" s="622" t="str">
        <f>INDEX('REVIEW - Complete Role Mapping'!$C:$C,263)</f>
        <v>Scrum Master</v>
      </c>
      <c r="D23" s="546" t="str">
        <f>INDEX('REVIEW - Complete Role Mapping'!$AK:$AK,263)</f>
        <v>Filled</v>
      </c>
      <c r="E23" s="612" t="inlineStr">
        <is>
          <t>Filled</t>
        </is>
      </c>
      <c r="F23" s="949" t="str">
        <f>INDEX('REVIEW - Complete Role Mapping'!$AT:$AT,263)</f>
        <v>Transformation</v>
      </c>
      <c r="G23" s="627">
        <f>INDEX('REVIEW - Complete Role Mapping'!$AA:$AA,263)</f>
        <v>147754.8</v>
      </c>
      <c r="H23" s="1274">
        <f>$G23*IFERROR(INDEX(Lists!$AD:$AD,MATCH($E23,Lists!$AC:$AC,0)),1)</f>
        <v>147754.8</v>
      </c>
    </row>
    <row r="24">
      <c r="B24" s="546" t="str">
        <f>INDEX('REVIEW - Complete Role Mapping'!$B:$B,265)</f>
        <v>Ruth Chou</v>
      </c>
      <c r="C24" s="622" t="str">
        <f>INDEX('REVIEW - Complete Role Mapping'!$C:$C,265)</f>
        <v>Portfolio Reporting Manager</v>
      </c>
      <c r="D24" s="546" t="str">
        <f>INDEX('REVIEW - Complete Role Mapping'!$AK:$AK,265)</f>
        <v>Filled</v>
      </c>
      <c r="E24" s="612" t="inlineStr">
        <is>
          <t>Filled</t>
        </is>
      </c>
      <c r="F24" s="949" t="str">
        <f>INDEX('REVIEW - Complete Role Mapping'!$AT:$AT,265)</f>
        <v>Transformation</v>
      </c>
      <c r="G24" s="627">
        <f>INDEX('REVIEW - Complete Role Mapping'!$AA:$AA,265)</f>
        <v>293316.85</v>
      </c>
      <c r="H24" s="1274">
        <f>$G24*IFERROR(INDEX(Lists!$AD:$AD,MATCH($E24,Lists!$AC:$AC,0)),1)</f>
        <v>293316.85</v>
      </c>
    </row>
    <row r="25">
      <c r="B25" s="546" t="str">
        <f>INDEX('REVIEW - Complete Role Mapping'!$B:$B,266)</f>
        <v>Sam Chan</v>
      </c>
      <c r="C25" s="622" t="str">
        <f>INDEX('REVIEW - Complete Role Mapping'!$C:$C,266)</f>
        <v>FinOps Manager</v>
      </c>
      <c r="D25" s="546" t="str">
        <f>INDEX('REVIEW - Complete Role Mapping'!$AK:$AK,266)</f>
        <v>Filled</v>
      </c>
      <c r="E25" s="612" t="inlineStr">
        <is>
          <t>Filled</t>
        </is>
      </c>
      <c r="F25" s="949" t="str">
        <f>INDEX('REVIEW - Complete Role Mapping'!$AT:$AT,266)</f>
        <v>Transformation</v>
      </c>
      <c r="G25" s="627">
        <f>INDEX('REVIEW - Complete Role Mapping'!$AA:$AA,266)</f>
        <v>225788.55</v>
      </c>
      <c r="H25" s="1274">
        <f>$G25*IFERROR(INDEX(Lists!$AD:$AD,MATCH($E25,Lists!$AC:$AC,0)),1)</f>
        <v>225788.55</v>
      </c>
    </row>
    <row r="26">
      <c r="B26" s="546" t="str">
        <f>INDEX('REVIEW - Complete Role Mapping'!$B:$B,270)</f>
        <v>Vacant</v>
      </c>
      <c r="C26" s="622" t="str">
        <f>INDEX('REVIEW - Complete Role Mapping'!$C:$C,270)</f>
        <v>Head of Transformation</v>
      </c>
      <c r="D26" s="546" t="str">
        <f>INDEX('REVIEW - Complete Role Mapping'!$AK:$AK,270)</f>
        <v>Vacant</v>
      </c>
      <c r="E26" s="612" t="inlineStr">
        <is>
          <t>Hire</t>
        </is>
      </c>
      <c r="F26" s="949" t="str">
        <f>INDEX('REVIEW - Complete Role Mapping'!$AT:$AT,270)</f>
        <v>Transformation</v>
      </c>
      <c r="G26" s="627">
        <f>INDEX('REVIEW - Complete Role Mapping'!$AA:$AA,270)</f>
        <v>367900</v>
      </c>
      <c r="H26" s="1274">
        <f>$G26*IFERROR(INDEX(Lists!$AD:$AD,MATCH($E26,Lists!$AC:$AC,0)),1)</f>
        <v>367900</v>
      </c>
    </row>
    <row r="27">
      <c r="B27" s="546" t="str">
        <f>INDEX('REVIEW - Complete Role Mapping'!$B:$B,271)</f>
        <v>Vacant</v>
      </c>
      <c r="C27" s="622" t="str">
        <f>INDEX('REVIEW - Complete Role Mapping'!$C:$C,271)</f>
        <v>Delivery Systems Analyst</v>
      </c>
      <c r="D27" s="546" t="str">
        <f>INDEX('REVIEW - Complete Role Mapping'!$AK:$AK,271)</f>
        <v>Vacant</v>
      </c>
      <c r="E27" s="612" t="inlineStr">
        <is>
          <t>Hire</t>
        </is>
      </c>
      <c r="F27" s="949" t="str">
        <f>INDEX('REVIEW - Complete Role Mapping'!$AT:$AT,271)</f>
        <v>Transformation</v>
      </c>
      <c r="G27" s="627">
        <f>INDEX('REVIEW - Complete Role Mapping'!$AA:$AA,271)</f>
        <v>202853.25</v>
      </c>
      <c r="H27" s="1274">
        <f>$G27*IFERROR(INDEX(Lists!$AD:$AD,MATCH($E27,Lists!$AC:$AC,0)),1)</f>
        <v>202853.25</v>
      </c>
    </row>
    <row r="28">
      <c r="B28" s="546" t="str">
        <f>INDEX('REVIEW - Complete Role Mapping'!$B:$B,272)</f>
        <v>Vacant</v>
      </c>
      <c r="C28" s="622" t="str">
        <f>INDEX('REVIEW - Complete Role Mapping'!$C:$C,272)</f>
        <v>Business Analysis Practice Lead</v>
      </c>
      <c r="D28" s="546" t="str">
        <f>INDEX('REVIEW - Complete Role Mapping'!$AK:$AK,272)</f>
        <v>Vacant</v>
      </c>
      <c r="E28" s="612" t="inlineStr">
        <is>
          <t>Hire</t>
        </is>
      </c>
      <c r="F28" s="536" t="str">
        <f>INDEX('REVIEW - Complete Role Mapping'!$AT:$AT,272)</f>
        <v>Transformation</v>
      </c>
      <c r="G28" s="624">
        <f>INDEX('REVIEW - Complete Role Mapping'!$AA:$AA,272)</f>
        <v>231689.25</v>
      </c>
      <c r="H28" s="1274">
        <f>$G28*IFERROR(INDEX(Lists!$AD:$AD,MATCH($E28,Lists!$AC:$AC,0)),1)</f>
        <v>231689.25</v>
      </c>
    </row>
    <row r="29">
      <c r="B29" s="546" t="str">
        <f>INDEX('REVIEW - Complete Role Mapping'!$B:$B,273)</f>
        <v>Vacant</v>
      </c>
      <c r="C29" s="622" t="str">
        <f>INDEX('REVIEW - Complete Role Mapping'!$C:$C,273)</f>
        <v>Delivery Assurance Manager</v>
      </c>
      <c r="D29" s="546" t="str">
        <f>INDEX('REVIEW - Complete Role Mapping'!$AK:$AK,273)</f>
        <v>Vacant</v>
      </c>
      <c r="E29" s="612" t="inlineStr">
        <is>
          <t>Hire</t>
        </is>
      </c>
      <c r="F29" s="536" t="str">
        <f>INDEX('REVIEW - Complete Role Mapping'!$AT:$AT,273)</f>
        <v>Transformation</v>
      </c>
      <c r="G29" s="624">
        <f>INDEX('REVIEW - Complete Role Mapping'!$AA:$AA,273)</f>
        <v>275810.25</v>
      </c>
      <c r="H29" s="1274">
        <f>$G29*IFERROR(INDEX(Lists!$AD:$AD,MATCH($E29,Lists!$AC:$AC,0)),1)</f>
        <v>275810.25</v>
      </c>
    </row>
    <row r="30">
      <c r="B30" s="546" t="str">
        <f>INDEX('REVIEW - Complete Role Mapping'!$B:$B,274)</f>
        <v>Vacant</v>
      </c>
      <c r="C30" s="622" t="str">
        <f>INDEX('REVIEW - Complete Role Mapping'!$C:$C,274)</f>
        <v>Delivery Capacity &amp; Assurance Lead</v>
      </c>
      <c r="D30" s="546" t="str">
        <f>INDEX('REVIEW - Complete Role Mapping'!$AK:$AK,274)</f>
        <v>Vacant</v>
      </c>
      <c r="E30" s="612" t="inlineStr">
        <is>
          <t>Hire</t>
        </is>
      </c>
      <c r="F30" s="536" t="str">
        <f>INDEX('REVIEW - Complete Role Mapping'!$AT:$AT,274)</f>
        <v>Transformation</v>
      </c>
      <c r="G30" s="624">
        <f>INDEX('REVIEW - Complete Role Mapping'!$AA:$AA,274)</f>
        <v>231689.25</v>
      </c>
      <c r="H30" s="1274">
        <f>$G30*IFERROR(INDEX(Lists!$AD:$AD,MATCH($E30,Lists!$AC:$AC,0)),1)</f>
        <v>231689.25</v>
      </c>
    </row>
    <row r="31">
      <c r="B31" s="546" t="str">
        <f>INDEX('REVIEW - Complete Role Mapping'!$B:$B,275)</f>
        <v>Vacant</v>
      </c>
      <c r="C31" s="622" t="str">
        <f>INDEX('REVIEW - Complete Role Mapping'!$C:$C,275)</f>
        <v>Delivery Excellence Manager</v>
      </c>
      <c r="D31" s="546" t="str">
        <f>INDEX('REVIEW - Complete Role Mapping'!$AK:$AK,275)</f>
        <v>Vacant</v>
      </c>
      <c r="E31" s="612" t="inlineStr">
        <is>
          <t>Hire</t>
        </is>
      </c>
      <c r="F31" s="536" t="str">
        <f>INDEX('REVIEW - Complete Role Mapping'!$AT:$AT,275)</f>
        <v>Transformation</v>
      </c>
      <c r="G31" s="624">
        <f>INDEX('REVIEW - Complete Role Mapping'!$AA:$AA,275)</f>
        <v>275810.25</v>
      </c>
      <c r="H31" s="1274">
        <f>$G31*IFERROR(INDEX(Lists!$AD:$AD,MATCH($E31,Lists!$AC:$AC,0)),1)</f>
        <v>275810.25</v>
      </c>
    </row>
    <row r="32">
      <c r="B32" s="546" t="str">
        <f>INDEX('REVIEW - Complete Role Mapping'!$B:$B,276)</f>
        <v>Vacant</v>
      </c>
      <c r="C32" s="622" t="str">
        <f>INDEX('REVIEW - Complete Role Mapping'!$C:$C,276)</f>
        <v>Scrum Master</v>
      </c>
      <c r="D32" s="546" t="str">
        <f>INDEX('REVIEW - Complete Role Mapping'!$AK:$AK,276)</f>
        <v>Vacant</v>
      </c>
      <c r="E32" s="612" t="inlineStr">
        <is>
          <t>Hire</t>
        </is>
      </c>
      <c r="F32" s="536" t="str">
        <f>INDEX('REVIEW - Complete Role Mapping'!$AT:$AT,276)</f>
        <v>Transformation</v>
      </c>
      <c r="G32" s="624">
        <f>INDEX('REVIEW - Complete Role Mapping'!$AA:$AA,276)</f>
        <v>151771.98</v>
      </c>
      <c r="H32" s="1274">
        <f>$G32*IFERROR(INDEX(Lists!$AD:$AD,MATCH($E32,Lists!$AC:$AC,0)),1)</f>
        <v>151771.98</v>
      </c>
    </row>
    <row r="33">
      <c r="B33" s="546" t="str">
        <f>INDEX('REVIEW - Complete Role Mapping'!$B:$B,277)</f>
        <v>Vacant</v>
      </c>
      <c r="C33" s="622" t="str">
        <f>INDEX('REVIEW - Complete Role Mapping'!$C:$C,277)</f>
        <v>Portfolio Analyst</v>
      </c>
      <c r="D33" s="546" t="str">
        <f>INDEX('REVIEW - Complete Role Mapping'!$AK:$AK,277)</f>
        <v>Vacant</v>
      </c>
      <c r="E33" s="612" t="inlineStr">
        <is>
          <t>Hire</t>
        </is>
      </c>
      <c r="F33" s="536" t="str">
        <f>INDEX('REVIEW - Complete Role Mapping'!$AT:$AT,277)</f>
        <v>Transformation</v>
      </c>
      <c r="G33" s="624">
        <f>INDEX('REVIEW - Complete Role Mapping'!$AA:$AA,277)</f>
        <v>170489.75</v>
      </c>
      <c r="H33" s="1274">
        <f>$G33*IFERROR(INDEX(Lists!$AD:$AD,MATCH($E33,Lists!$AC:$AC,0)),1)</f>
        <v>170489.75</v>
      </c>
    </row>
    <row r="34">
      <c r="B34" s="546" t="str">
        <f>INDEX('REVIEW - Complete Role Mapping'!$B:$B,256)</f>
        <v>Conli Mills</v>
      </c>
      <c r="C34" s="622" t="str">
        <f>INDEX('REVIEW - Complete Role Mapping'!$C:$C,256)</f>
        <v>TDD BP - Infrastructure</v>
      </c>
      <c r="D34" s="546" t="str">
        <f>INDEX('REVIEW - Complete Role Mapping'!$AK:$AK,256)</f>
        <v>Filled</v>
      </c>
      <c r="E34" s="612" t="inlineStr">
        <is>
          <t>Filled</t>
        </is>
      </c>
      <c r="F34" s="536" t="str">
        <f>INDEX('REVIEW - Complete Role Mapping'!$AT:$AT,256)</f>
        <v>TDD Business Partner</v>
      </c>
      <c r="G34" s="624">
        <f>INDEX('REVIEW - Complete Role Mapping'!$AA:$AA,256)</f>
        <v>297150</v>
      </c>
      <c r="H34" s="1274">
        <f>$G34*IFERROR(INDEX(Lists!$AD:$AD,MATCH($E34,Lists!$AC:$AC,0)),1)</f>
        <v>297150</v>
      </c>
    </row>
    <row r="35">
      <c r="B35" s="546" t="str">
        <f>INDEX('REVIEW - Complete Role Mapping'!$B:$B,261)</f>
        <v>Malcolm Deare</v>
      </c>
      <c r="C35" s="622" t="str">
        <f>INDEX('REVIEW - Complete Role Mapping'!$C:$C,261)</f>
        <v>TDD BP, Group Functions</v>
      </c>
      <c r="D35" s="546" t="str">
        <f>INDEX('REVIEW - Complete Role Mapping'!$AK:$AK,261)</f>
        <v>Filled</v>
      </c>
      <c r="E35" s="612" t="inlineStr">
        <is>
          <t>Filled</t>
        </is>
      </c>
      <c r="F35" s="536" t="str">
        <f>INDEX('REVIEW - Complete Role Mapping'!$AT:$AT,261)</f>
        <v>TDD Business Partner</v>
      </c>
      <c r="G35" s="624">
        <f>INDEX('REVIEW - Complete Role Mapping'!$AA:$AA,261)</f>
        <v>298100</v>
      </c>
      <c r="H35" s="1274">
        <f>$G35*IFERROR(INDEX(Lists!$AD:$AD,MATCH($E35,Lists!$AC:$AC,0)),1)</f>
        <v>298100</v>
      </c>
    </row>
    <row r="36">
      <c r="B36" s="546" t="str">
        <f>INDEX('REVIEW - Complete Role Mapping'!$B:$B,264)</f>
        <v>Neil Reilly</v>
      </c>
      <c r="C36" s="622" t="str">
        <f>INDEX('REVIEW - Complete Role Mapping'!$C:$C,264)</f>
        <v>TDD BP - T&amp;S</v>
      </c>
      <c r="D36" s="546" t="str">
        <f>INDEX('REVIEW - Complete Role Mapping'!$AK:$AK,264)</f>
        <v>Filled</v>
      </c>
      <c r="E36" s="612" t="inlineStr">
        <is>
          <t>Filled</t>
        </is>
      </c>
      <c r="F36" s="536" t="str">
        <f>INDEX('REVIEW - Complete Role Mapping'!$AT:$AT,264)</f>
        <v>TDD Business Partner</v>
      </c>
      <c r="G36" s="624">
        <f>INDEX('REVIEW - Complete Role Mapping'!$AA:$AA,264)</f>
        <v>666087.5</v>
      </c>
      <c r="H36" s="1274">
        <f>$G36*IFERROR(INDEX(Lists!$AD:$AD,MATCH($E36,Lists!$AC:$AC,0)),1)</f>
        <v>666087.5</v>
      </c>
    </row>
    <row r="37">
      <c r="B37" s="546" t="str">
        <f>INDEX('REVIEW - Complete Role Mapping'!$B:$B,267)</f>
        <v>Shelley Crawford</v>
      </c>
      <c r="C37" s="622" t="str">
        <f>INDEX('REVIEW - Complete Role Mapping'!$C:$C,267)</f>
        <v>TDD BP - Z</v>
      </c>
      <c r="D37" s="546" t="str">
        <f>INDEX('REVIEW - Complete Role Mapping'!$AK:$AK,267)</f>
        <v>Filled</v>
      </c>
      <c r="E37" s="612" t="inlineStr">
        <is>
          <t>Filled</t>
        </is>
      </c>
      <c r="F37" s="949" t="str">
        <f>INDEX('REVIEW - Complete Role Mapping'!$AT:$AT,267)</f>
        <v>TDD Business Partner</v>
      </c>
      <c r="G37" s="627">
        <f>INDEX('REVIEW - Complete Role Mapping'!$AA:$AA,267)</f>
        <v>291422</v>
      </c>
      <c r="H37" s="1274">
        <f>$G37*IFERROR(INDEX(Lists!$AD:$AD,MATCH($E37,Lists!$AC:$AC,0)),1)</f>
        <v>291422</v>
      </c>
    </row>
    <row r="38">
      <c r="B38" t="str">
        <f>INDEX('REVIEW - Complete Role Mapping'!$B:$B,268)</f>
        <v>Thomas Reid</v>
      </c>
      <c r="C38" t="str">
        <f>INDEX('REVIEW - Complete Role Mapping'!$C:$C,268)</f>
        <v>TDD BP - Retail &amp; Customer - Store Digital</v>
      </c>
      <c r="D38" t="str">
        <f>INDEX('REVIEW - Complete Role Mapping'!$AK:$AK,268)</f>
        <v>Filled</v>
      </c>
      <c r="E38" t="inlineStr">
        <is>
          <t>Filled</t>
        </is>
      </c>
      <c r="F38" t="str">
        <f>INDEX('REVIEW - Complete Role Mapping'!$AT:$AT,268)</f>
        <v>TDD Business Partner</v>
      </c>
      <c r="G38" s="1274">
        <f>INDEX('REVIEW - Complete Role Mapping'!$AA:$AA,268)</f>
        <v>417425</v>
      </c>
      <c r="H38" s="1274">
        <f>$G38*IFERROR(INDEX(Lists!$AD:$AD,MATCH($E38,Lists!$AC:$AC,0)),1)</f>
        <v>417425</v>
      </c>
    </row>
    <row r="39">
      <c r="B39" s="543" t="str">
        <f>INDEX('REVIEW - Complete Role Mapping'!$B:$B,278)</f>
        <v>Vaughn Scott</v>
      </c>
      <c r="C39" s="949" t="str">
        <f>INDEX('REVIEW - Complete Role Mapping'!$C:$C,278)</f>
        <v>TDD BP - ES</v>
      </c>
      <c r="D39" s="949" t="str">
        <f>INDEX('REVIEW - Complete Role Mapping'!$AK:$AK,278)</f>
        <v>Filled</v>
      </c>
      <c r="E39" s="949" t="inlineStr">
        <is>
          <t>Filled</t>
        </is>
      </c>
      <c r="F39" s="949" t="str">
        <f>INDEX('REVIEW - Complete Role Mapping'!$AT:$AT,278)</f>
        <v>TDD Business Partner</v>
      </c>
      <c r="G39" s="627">
        <f>INDEX('REVIEW - Complete Role Mapping'!$AA:$AA,278)</f>
        <v>343363.9</v>
      </c>
      <c r="H39" s="1274">
        <f>$G39*IFERROR(INDEX(Lists!$AD:$AD,MATCH($E39,Lists!$AC:$AC,0)),1)</f>
        <v>343363.9</v>
      </c>
    </row>
    <row r="40">
      <c r="B40" t="str">
        <f>INDEX('REVIEW - Complete Role Mapping'!$B:$B,255)</f>
        <v>Briony Scott</v>
      </c>
      <c r="C40" t="str">
        <f>INDEX('REVIEW - Complete Role Mapping'!$C:$C,255)</f>
        <v>Service &amp; Contract Specialist AU</v>
      </c>
      <c r="D40" t="str">
        <f>INDEX('REVIEW - Complete Role Mapping'!$AK:$AK,255)</f>
        <v>Filled</v>
      </c>
      <c r="E40" t="inlineStr">
        <is>
          <t>Filled</t>
        </is>
      </c>
      <c r="F40" t="str">
        <f>INDEX('REVIEW - Complete Role Mapping'!$AT:$AT,255)</f>
        <v>Commercial</v>
      </c>
      <c r="G40" s="1274">
        <f>INDEX('REVIEW - Complete Role Mapping'!$AA:$AA,255)</f>
        <v>205056</v>
      </c>
      <c r="H40" s="1274">
        <f>$G40*IFERROR(INDEX(Lists!$AD:$AD,MATCH($E40,Lists!$AC:$AC,0)),1)</f>
        <v>205056</v>
      </c>
    </row>
    <row r="41">
      <c r="B41" t="str">
        <f>INDEX('REVIEW - Complete Role Mapping'!$B:$B,257)</f>
        <v>Helen Ngu</v>
      </c>
      <c r="C41" t="str">
        <f>INDEX('REVIEW - Complete Role Mapping'!$C:$C,257)</f>
        <v>Service &amp; Contract Specialist NZ</v>
      </c>
      <c r="D41" t="str">
        <f>INDEX('REVIEW - Complete Role Mapping'!$AK:$AK,257)</f>
        <v>Filled</v>
      </c>
      <c r="E41" t="inlineStr">
        <is>
          <t>Filled</t>
        </is>
      </c>
      <c r="F41" t="str">
        <f>INDEX('REVIEW - Complete Role Mapping'!$AT:$AT,257)</f>
        <v>Commercial</v>
      </c>
      <c r="G41" s="1274">
        <f>INDEX('REVIEW - Complete Role Mapping'!$AA:$AA,257)</f>
        <v>151002.492</v>
      </c>
      <c r="H41" s="1274">
        <f>$G41*IFERROR(INDEX(Lists!$AD:$AD,MATCH($E41,Lists!$AC:$AC,0)),1)</f>
        <v>151002.492</v>
      </c>
    </row>
    <row r="42">
      <c r="B42" t="str">
        <f>INDEX('REVIEW - Complete Role Mapping'!$B:$B,258)</f>
        <v>Jane Esclandra</v>
      </c>
      <c r="C42" t="str">
        <f>INDEX('REVIEW - Complete Role Mapping'!$C:$C,258)</f>
        <v>Software Asset Specialist</v>
      </c>
      <c r="D42" t="str">
        <f>INDEX('REVIEW - Complete Role Mapping'!$AK:$AK,258)</f>
        <v>Filled</v>
      </c>
      <c r="E42" t="inlineStr">
        <is>
          <t>Filled</t>
        </is>
      </c>
      <c r="F42" t="str">
        <f>INDEX('REVIEW - Complete Role Mapping'!$AT:$AT,258)</f>
        <v>Commercial</v>
      </c>
      <c r="G42" s="1274">
        <f>INDEX('REVIEW - Complete Role Mapping'!$AA:$AA,258)</f>
        <v>183455.7</v>
      </c>
      <c r="H42" s="1274">
        <f>$G42*IFERROR(INDEX(Lists!$AD:$AD,MATCH($E42,Lists!$AC:$AC,0)),1)</f>
        <v>183455.7</v>
      </c>
    </row>
    <row r="43">
      <c r="B43" t="str">
        <f>INDEX('REVIEW - Complete Role Mapping'!$B:$B,269)</f>
        <v>Vacant</v>
      </c>
      <c r="C43" t="str">
        <f>INDEX('REVIEW - Complete Role Mapping'!$C:$C,269)</f>
        <v>Commercial Director</v>
      </c>
      <c r="D43" t="str">
        <f>INDEX('REVIEW - Complete Role Mapping'!$AK:$AK,269)</f>
        <v>Vacant</v>
      </c>
      <c r="E43" t="inlineStr">
        <is>
          <t>Hire</t>
        </is>
      </c>
      <c r="F43" t="str">
        <f>INDEX('REVIEW - Complete Role Mapping'!$AT:$AT,269)</f>
        <v>Commercial</v>
      </c>
      <c r="G43" s="1274">
        <f>INDEX('REVIEW - Complete Role Mapping'!$AA:$AA,269)</f>
        <v>439500</v>
      </c>
      <c r="H43" s="1274">
        <f>$G43*IFERROR(INDEX(Lists!$AD:$AD,MATCH($E43,Lists!$AC:$AC,0)),1)</f>
        <v>439500</v>
      </c>
    </row>
  </sheetData>
  <conditionalFormatting sqref="D17:D40">
    <cfRule type="cellIs" priority="1" operator="equal" dxfId="48">
      <formula>"Vacant"</formula>
    </cfRule>
  </conditionalFormatting>
  <conditionalFormatting sqref="I6:I8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8">
    <cfRule type="expression" priority="4" dxfId="48">
      <formula>AND(ISNUMBER($F6),$F6&gt;0)</formula>
    </cfRule>
  </conditionalFormatting>
  <dataValidations count="1">
    <dataValidation sqref="E20:E43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B2:T47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SA&amp;D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Group Data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COUNTIFS($F$22:$F$47,$B6)</f>
        <v>9</v>
      </c>
      <c r="F6" s="1271" t="str">
        <f>IFERROR($E6-$D6,"-")</f>
        <v>-</v>
      </c>
      <c r="G6" s="1261">
        <f>COUNTIFS($F$22:$F$47,$B6,$D$22:$D$47,"Vacant")</f>
        <v>2</v>
      </c>
      <c r="H6" s="1272">
        <f>COUNTIFS($F$22:$F$47,$B6,$D$22:$D$47,"Vacant",$E$22:$E$47,"Hire")+COUNTIFS($F$22:$F$47,$B6,$D$22:$D$47,"Vacant",$E$22:$E$47,"Offshore")</f>
        <v>2</v>
      </c>
      <c r="I6" s="1272">
        <f>COUNTIFS($F$22:$F$47,$B6,$D$22:$D$47,"Vacant",$E$22:$E$47,"Hold")</f>
        <v>0</v>
      </c>
      <c r="J6" s="1272">
        <f>$E6-COUNTIFS($F$22:$F$47,$B6,$E$22:$E$47,"Hold")</f>
        <v>9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2.305292066</v>
      </c>
      <c r="N6" s="1254" t="str">
        <f>IFERROR($M6-$L6,"-")</f>
        <v>-</v>
      </c>
      <c r="O6" s="1254">
        <f>(SUMIFS('REVIEW - Complete Role Mapping'!$AA$2:$AA$528,'REVIEW - Complete Role Mapping'!$AJ$2:$AJ$528,$C$3,'REVIEW - Complete Role Mapping'!$AT$2:$AT$528,$B6,'REVIEW - Complete Role Mapping'!$AK$2:$AK$528,"Filled")+SUMIFS($H$22:$H$47,$F$22:$F$47,$B6))/1000000</f>
        <v>4.018124782</v>
      </c>
      <c r="P6" s="1254">
        <f>$O6-$M6</f>
        <v>1.712832716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0.59245935</v>
      </c>
      <c r="R6" t="str">
        <f>"-"</f>
        <v>-</v>
      </c>
      <c r="S6" t="str">
        <f>IFERROR(INDEX(Lists!$AA:$AA,MATCH($B6,Lists!$Z:$Z,0)),$B6)</f>
        <v>Group Data</v>
      </c>
    </row>
    <row r="7">
      <c r="B7" s="546" t="inlineStr">
        <is>
          <t>Architecture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COUNTIFS($F$22:$F$47,$B7)</f>
        <v>7</v>
      </c>
      <c r="F7" s="1271" t="str">
        <f>IFERROR($E7-$D7,"-")</f>
        <v>-</v>
      </c>
      <c r="G7" s="1261">
        <f>COUNTIFS($F$22:$F$47,$B7,$D$22:$D$47,"Vacant")</f>
        <v>0</v>
      </c>
      <c r="H7" s="1272">
        <f>COUNTIFS($F$22:$F$47,$B7,$D$22:$D$47,"Vacant",$E$22:$E$47,"Hire")+COUNTIFS($F$22:$F$47,$B7,$D$22:$D$47,"Vacant",$E$22:$E$47,"Offshore")</f>
        <v>0</v>
      </c>
      <c r="I7" s="1272">
        <f>COUNTIFS($F$22:$F$47,$B7,$D$22:$D$47,"Vacant",$E$22:$E$47,"Hold")</f>
        <v>0</v>
      </c>
      <c r="J7" s="1272">
        <f>$E7-COUNTIFS($F$22:$F$47,$B7,$E$22:$E$47,"Hold")</f>
        <v>7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1.664746536</v>
      </c>
      <c r="N7" s="1254" t="str">
        <f>IFERROR($M7-$L7,"-")</f>
        <v>-</v>
      </c>
      <c r="O7" s="1254">
        <f>(SUMIFS('REVIEW - Complete Role Mapping'!$AA$2:$AA$528,'REVIEW - Complete Role Mapping'!$AJ$2:$AJ$528,$C$3,'REVIEW - Complete Role Mapping'!$AT$2:$AT$528,$B7,'REVIEW - Complete Role Mapping'!$AK$2:$AK$528,"Filled")+SUMIFS($H$22:$H$47,$F$22:$F$47,$B7))/1000000</f>
        <v>3.329493072</v>
      </c>
      <c r="P7" s="1254">
        <f>$O7-$M7</f>
        <v>1.664746536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Architecture</v>
      </c>
    </row>
    <row r="8">
      <c r="B8" s="546" t="inlineStr">
        <is>
          <t>Technology Strategy &amp; AI Capability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COUNTIFS($F$22:$F$47,$B8)</f>
        <v>5</v>
      </c>
      <c r="F8" s="1261" t="str">
        <f>IFERROR($E8-$D8,"-")</f>
        <v>-</v>
      </c>
      <c r="G8" s="1261">
        <f>COUNTIFS($F$22:$F$47,$B8,$D$22:$D$47,"Vacant")</f>
        <v>4</v>
      </c>
      <c r="H8" s="1272">
        <f>COUNTIFS($F$22:$F$47,$B8,$D$22:$D$47,"Vacant",$E$22:$E$47,"Hire")+COUNTIFS($F$22:$F$47,$B8,$D$22:$D$47,"Vacant",$E$22:$E$47,"Offshore")</f>
        <v>4</v>
      </c>
      <c r="I8" s="1272">
        <f>COUNTIFS($F$22:$F$47,$B8,$D$22:$D$47,"Vacant",$E$22:$E$47,"Hold")</f>
        <v>0</v>
      </c>
      <c r="J8" s="1272">
        <f>$E8-COUNTIFS($F$22:$F$47,$B8,$E$22:$E$47,"Hold")</f>
        <v>5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Mapping'!$AJ$2:$AJ$528,$C$3,'REVIEW - Complete Role Mapping'!$AT$2:$AT$528,$B8)/1000000</f>
        <v>1.06988875</v>
      </c>
      <c r="N8" s="1254" t="str">
        <f>IFERROR($M8-$L8,"-")</f>
        <v>-</v>
      </c>
      <c r="O8" s="1254">
        <f>(SUMIFS('REVIEW - Complete Role Mapping'!$AA$2:$AA$528,'REVIEW - Complete Role Mapping'!$AJ$2:$AJ$528,$C$3,'REVIEW - Complete Role Mapping'!$AT$2:$AT$528,$B8,'REVIEW - Complete Role Mapping'!$AK$2:$AK$528,"Filled")+SUMIFS($H$22:$H$47,$F$22:$F$47,$B8))/1000000</f>
        <v>1.3201345</v>
      </c>
      <c r="P8" s="1254">
        <f>$O8-$M8</f>
        <v>0.25024575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0.819643</v>
      </c>
      <c r="R8" t="str">
        <f>"-"</f>
        <v>-</v>
      </c>
      <c r="S8" t="str">
        <f>IFERROR(INDEX(Lists!$AA:$AA,MATCH($B8,Lists!$Z:$Z,0)),$B8)</f>
        <v>Technology Strategy &amp; AI Capability</v>
      </c>
    </row>
    <row r="9">
      <c r="B9" s="546" t="inlineStr">
        <is>
          <t>Leadership</t>
        </is>
      </c>
      <c r="C9" s="510" t="str">
        <f>"COE - measured against budget"</f>
        <v>COE - measured against budget</v>
      </c>
      <c r="D9" s="1261" t="str">
        <f>IFERROR(INDEX('0.3 Squad Archetypes'!$F$5:$F$23,MATCH($C9&amp;"|"&amp;$R9,'0.3 Squad Archetypes'!$A$5:$A$23,0)),"-")</f>
        <v>-</v>
      </c>
      <c r="E9" s="1261">
        <f>COUNTIFS($F$22:$F$47,$B9)</f>
        <v>4</v>
      </c>
      <c r="F9" s="1261" t="str">
        <f>IFERROR($E9-$D9,"-")</f>
        <v>-</v>
      </c>
      <c r="G9" s="1261">
        <f>COUNTIFS($F$22:$F$47,$B9,$D$22:$D$47,"Vacant")</f>
        <v>3</v>
      </c>
      <c r="H9" s="1272">
        <f>COUNTIFS($F$22:$F$47,$B9,$D$22:$D$47,"Vacant",$E$22:$E$47,"Hire")+COUNTIFS($F$22:$F$47,$B9,$D$22:$D$47,"Vacant",$E$22:$E$47,"Offshore")</f>
        <v>3</v>
      </c>
      <c r="I9" s="1272">
        <f>COUNTIFS($F$22:$F$47,$B9,$D$22:$D$47,"Vacant",$E$22:$E$47,"Hold")</f>
        <v>0</v>
      </c>
      <c r="J9" s="1272">
        <f>$E9-COUNTIFS($F$22:$F$47,$B9,$E$22:$E$47,"Hold")</f>
        <v>4</v>
      </c>
      <c r="K9" t="str">
        <f>IF(NOT(ISNUMBER($D9)),"No archetype - see 0.3",IF($J9&gt;$D9,"Over archetype after decisions",IF($J9&lt;$D9,"Under archetype","On archetype")))</f>
        <v>No archetype - see 0.3</v>
      </c>
      <c r="L9" s="1254" t="str">
        <f>IFERROR(INDEX('0.3 Squad Archetypes'!$G$5:$G$23,MATCH($C9&amp;"|"&amp;$R9,'0.3 Squad Archetypes'!$A$5:$A$23,0)),"-")</f>
        <v>-</v>
      </c>
      <c r="M9" s="1254">
        <f>SUMIFS('REVIEW - Complete Role Mapping'!$AA$2:$AA$528,'REVIEW - Complete Role Mapping'!$AJ$2:$AJ$528,$C$3,'REVIEW - Complete Role Mapping'!$AT$2:$AT$528,$B9)/1000000</f>
        <v>1.2239818</v>
      </c>
      <c r="N9" s="1254" t="str">
        <f>IFERROR($M9-$L9,"-")</f>
        <v>-</v>
      </c>
      <c r="O9" s="1254">
        <f>(SUMIFS('REVIEW - Complete Role Mapping'!$AA$2:$AA$528,'REVIEW - Complete Role Mapping'!$AJ$2:$AJ$528,$C$3,'REVIEW - Complete Role Mapping'!$AT$2:$AT$528,$B9,'REVIEW - Complete Role Mapping'!$AK$2:$AK$528,"Filled")+SUMIFS($H$22:$H$47,$F$22:$F$47,$B9))/1000000</f>
        <v>1.5930704</v>
      </c>
      <c r="P9" s="1254">
        <f>$O9-$M9</f>
        <v>0.3690886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0.8548932</v>
      </c>
      <c r="R9" t="str">
        <f>"-"</f>
        <v>-</v>
      </c>
      <c r="S9" t="str">
        <f>IFERROR(INDEX(Lists!$AA:$AA,MATCH($B9,Lists!$Z:$Z,0)),$B9)</f>
        <v>Leadership</v>
      </c>
    </row>
    <row r="10">
      <c r="B10" s="1218" t="inlineStr">
        <is>
          <t>Data Platforms</t>
        </is>
      </c>
      <c r="C10" s="510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1">
        <f>COUNTIFS($F$22:$F$47,$B10)</f>
        <v>1</v>
      </c>
      <c r="F10" s="1261" t="str">
        <f>IFERROR($E10-$D10,"-")</f>
        <v>-</v>
      </c>
      <c r="G10" s="1261">
        <f>COUNTIFS($F$22:$F$47,$B10,$D$22:$D$47,"Vacant")</f>
        <v>0</v>
      </c>
      <c r="H10" s="1272">
        <f>COUNTIFS($F$22:$F$47,$B10,$D$22:$D$47,"Vacant",$E$22:$E$47,"Hire")+COUNTIFS($F$22:$F$47,$B10,$D$22:$D$47,"Vacant",$E$22:$E$47,"Offshore")</f>
        <v>0</v>
      </c>
      <c r="I10" s="1272">
        <f>COUNTIFS($F$22:$F$47,$B10,$D$22:$D$47,"Vacant",$E$22:$E$47,"Hold")</f>
        <v>0</v>
      </c>
      <c r="J10" s="1272">
        <f>$E10-COUNTIFS($F$22:$F$47,$B10,$E$22:$E$47,"Hold")</f>
        <v>1</v>
      </c>
      <c r="K10" t="str">
        <f>IF(NOT(ISNUMBER($D10)),"No archetype - see 0.3",IF($J10&gt;$D10,"Over archetype after decisions",IF($J10&lt;$D10,"Under archetype","On archetype")))</f>
        <v>No archetype - see 0.3</v>
      </c>
      <c r="L10" s="1254" t="str">
        <f>IFERROR(INDEX('0.3 Squad Archetypes'!$G$5:$G$23,MATCH($C10&amp;"|"&amp;$R10,'0.3 Squad Archetypes'!$A$5:$A$23,0)),"-")</f>
        <v>-</v>
      </c>
      <c r="M10" s="1254">
        <f>SUMIFS('REVIEW - Complete Role Mapping'!$AA$2:$AA$528,'REVIEW - Complete Role Mapping'!$AJ$2:$AJ$528,$C$3,'REVIEW - Complete Role Mapping'!$AT$2:$AT$528,$B10)/1000000</f>
        <v>0.2655849</v>
      </c>
      <c r="N10" s="1254" t="str">
        <f>IFERROR($M10-$L10,"-")</f>
        <v>-</v>
      </c>
      <c r="O10" s="1254">
        <f>(SUMIFS('REVIEW - Complete Role Mapping'!$AA$2:$AA$528,'REVIEW - Complete Role Mapping'!$AJ$2:$AJ$528,$C$3,'REVIEW - Complete Role Mapping'!$AT$2:$AT$528,$B10,'REVIEW - Complete Role Mapping'!$AK$2:$AK$528,"Filled")+SUMIFS($H$22:$H$47,$F$22:$F$47,$B10))/1000000</f>
        <v>0.5311698</v>
      </c>
      <c r="P10" s="1254">
        <f>$O10-$M10</f>
        <v>0.2655849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Data Platforms</v>
      </c>
    </row>
    <row r="11">
      <c r="B11" s="1218" t="inlineStr">
        <is>
          <t>Delivery squads</t>
        </is>
      </c>
      <c r="C11" s="510" t="n"/>
      <c r="D11" s="1261">
        <f>SUMIF($D$6:$D$10,"&gt;=0")</f>
        <v>0</v>
      </c>
      <c r="E11" s="1261">
        <f>SUM(E6:E10)</f>
        <v>26</v>
      </c>
      <c r="F11" s="1261">
        <f>SUMPRODUCT(--ISNUMBER($D$6:$D$10),$E$6:$E$10)-SUMIF($D$6:$D$10,"&gt;=0")</f>
        <v>0</v>
      </c>
      <c r="G11" s="1261">
        <f>SUM(G6:G10)</f>
        <v>9</v>
      </c>
      <c r="H11" s="1272">
        <f>SUM(H6:H10)</f>
        <v>9</v>
      </c>
      <c r="I11" s="1272">
        <f>SUM(I6:I10)</f>
        <v>0</v>
      </c>
      <c r="J11" s="1272">
        <f>SUM(J6:J10)</f>
        <v>26</v>
      </c>
      <c r="L11" s="1254">
        <f>SUMIF($L$6:$L$10,"&gt;=0")</f>
        <v>0</v>
      </c>
      <c r="M11" s="1254">
        <f>SUM(M6:M10)</f>
        <v>6.529494052</v>
      </c>
      <c r="N11" s="1254">
        <f>SUMPRODUCT(--ISNUMBER($L$6:$L$10),$M$6:$M$10)-SUMIF($L$6:$L$10,"&gt;=0")</f>
        <v>0</v>
      </c>
      <c r="O11" s="1254">
        <f>SUM(O6:O10)</f>
        <v>10.791992554</v>
      </c>
      <c r="P11" s="1254">
        <f>SUM(P6:P10)</f>
        <v>4.262498502</v>
      </c>
      <c r="Q11" s="1254">
        <f>SUM(Q6:Q10)</f>
        <v>2.26699555</v>
      </c>
    </row>
    <row r="12">
      <c r="B12" t="inlineStr">
        <is>
          <t>This is a centre of excellence: it carries no overhead line, every role is its own delivery.</t>
        </is>
      </c>
      <c r="D12" s="1272" t="n"/>
      <c r="E12" s="1272" t="n"/>
      <c r="F12" s="1272" t="n"/>
      <c r="G12" s="1272" t="n"/>
      <c r="H12" s="1272" t="n"/>
      <c r="I12" s="1272" t="n"/>
      <c r="J12" s="1272" t="n"/>
      <c r="L12" s="1254" t="n"/>
      <c r="M12" s="1254" t="n"/>
      <c r="N12" s="1254" t="n"/>
      <c r="O12" s="1254" t="n"/>
      <c r="P12" s="1254" t="n"/>
      <c r="Q12" s="1254" t="n"/>
    </row>
    <row r="13">
      <c r="B13" s="1314" t="n"/>
      <c r="C13" s="533" t="n"/>
      <c r="D13" s="1288" t="n"/>
      <c r="E13" s="1288" t="n"/>
      <c r="F13" s="1288" t="n"/>
      <c r="G13" s="1288" t="n"/>
      <c r="H13" s="1272" t="n"/>
      <c r="I13" s="1272" t="n"/>
      <c r="J13" s="1272" t="n"/>
      <c r="L13" s="1254" t="n"/>
      <c r="M13" s="1254" t="n"/>
      <c r="N13" s="1254" t="n"/>
      <c r="O13" s="1254" t="n"/>
      <c r="P13" s="1254" t="n"/>
      <c r="Q13" s="1254" t="n"/>
    </row>
    <row r="14">
      <c r="B14" s="1304" t="n"/>
      <c r="C14" s="622" t="n"/>
      <c r="D14" s="1270" t="n"/>
      <c r="E14" s="1250" t="n"/>
      <c r="F14" s="1272" t="n"/>
      <c r="G14" s="1261" t="n"/>
      <c r="H14" s="1272" t="n"/>
      <c r="I14" s="1272" t="n"/>
      <c r="J14" s="1272" t="n"/>
      <c r="L14" s="1254" t="n"/>
      <c r="M14" s="1254" t="n"/>
      <c r="N14" s="1254" t="n"/>
      <c r="O14" s="1254" t="n"/>
      <c r="P14" s="1254" t="n"/>
      <c r="Q14" s="1254" t="n"/>
    </row>
    <row r="15" ht="29" customHeight="1">
      <c r="B15" s="1218" t="inlineStr">
        <is>
          <t>Total portfolio</t>
        </is>
      </c>
      <c r="C15" s="622" t="n"/>
      <c r="D15" s="1270">
        <f>$D11</f>
        <v>0</v>
      </c>
      <c r="E15" s="1250">
        <f>$E11</f>
        <v>26</v>
      </c>
      <c r="F15" s="1272">
        <f>IFERROR($E11-$D11,"-")</f>
        <v>26</v>
      </c>
      <c r="G15" s="1261">
        <f>$G11</f>
        <v>9</v>
      </c>
      <c r="H15" s="1272">
        <f>$H11</f>
        <v>9</v>
      </c>
      <c r="I15" s="1272">
        <f>$I11</f>
        <v>0</v>
      </c>
      <c r="J15" s="1272">
        <f>$J11</f>
        <v>26</v>
      </c>
      <c r="L15" s="1254">
        <f>$L11</f>
        <v>0</v>
      </c>
      <c r="M15" s="1254">
        <f>$M11</f>
        <v>6.529494052</v>
      </c>
      <c r="N15" s="1254">
        <f>IFERROR($M11-$L11,"-")</f>
        <v>6.529494052</v>
      </c>
      <c r="O15" s="1254">
        <f>$O11</f>
        <v>10.791992554</v>
      </c>
      <c r="P15" s="1254">
        <f>$P11</f>
        <v>4.262498502</v>
      </c>
      <c r="Q15" s="1254">
        <f>$Q11</f>
        <v>2.26699555</v>
      </c>
    </row>
    <row r="16" ht="29.15" customHeight="1">
      <c r="B16" s="1304" t="inlineStr">
        <is>
          <t>Archetype columns D, F, L and N cover the delivery squads only - overhead is not priced by a squad archetype.</t>
        </is>
      </c>
      <c r="C16" s="622" t="n"/>
      <c r="D16" s="1270" t="n"/>
      <c r="E16" s="1250" t="n"/>
      <c r="F16" s="1272" t="n"/>
      <c r="G16" s="1261" t="n"/>
      <c r="H16" s="1272" t="n"/>
      <c r="I16" s="1272" t="n"/>
      <c r="J16" s="1272" t="n"/>
      <c r="L16" s="1254" t="n"/>
      <c r="M16" s="1254" t="n"/>
      <c r="N16" s="1254" t="n"/>
      <c r="O16" s="1254" t="n"/>
      <c r="P16" s="1254" t="n"/>
      <c r="Q16" s="1254" t="n"/>
    </row>
    <row r="17">
      <c r="B17" s="1304" t="inlineStr">
        <is>
          <t>Control - roles vs the ledger, must be 0</t>
        </is>
      </c>
      <c r="C17" s="622" t="n"/>
      <c r="D17" s="1270" t="n"/>
      <c r="E17" s="1250">
        <f>COUNTIFS('REVIEW - Complete Role Mapping'!$AJ$2:$AJ$528,$C$3)-$E15</f>
        <v>0</v>
      </c>
      <c r="F17" s="1272" t="n"/>
      <c r="G17" s="1261" t="n"/>
      <c r="H17" s="1272" t="n"/>
      <c r="I17" s="1272" t="n"/>
      <c r="J17" s="1272" t="n"/>
      <c r="L17" s="1254" t="n"/>
      <c r="M17" s="1254" t="n"/>
      <c r="N17" s="1254" t="n"/>
      <c r="O17" s="1254" t="n"/>
      <c r="P17" s="1254" t="n"/>
      <c r="Q17" s="1254" t="n"/>
    </row>
    <row r="18">
      <c r="B18" s="1318" t="inlineStr">
        <is>
          <t>Control - cost vs the ledger ($m), must be 0</t>
        </is>
      </c>
      <c r="C18" s="1264" t="n"/>
      <c r="D18" s="1264" t="n"/>
      <c r="E18" s="1264" t="n"/>
      <c r="F18" s="1273" t="n"/>
      <c r="G18" s="1259" t="n"/>
      <c r="H18" s="1273" t="n"/>
      <c r="M18">
        <f>ROUND(SUMIFS('REVIEW - Complete Role Mapping'!$AA$2:$AA$528,'REVIEW - Complete Role Mapping'!$AJ$2:$AJ$528,$C$3)/1000000-$M15,6)</f>
        <v>0</v>
      </c>
    </row>
    <row r="19">
      <c r="B19" s="1304" t="n"/>
      <c r="C19" s="622" t="n"/>
      <c r="D19" s="546" t="n"/>
      <c r="E19" s="612" t="n"/>
      <c r="G19" s="627" t="n"/>
      <c r="H19" s="1274" t="n"/>
    </row>
    <row r="20">
      <c r="B20" s="1304" t="inlineStr">
        <is>
          <t>COE SA&amp;D FTE</t>
        </is>
      </c>
      <c r="C20" s="622" t="n"/>
      <c r="D20" s="546" t="n"/>
      <c r="E20" s="612" t="n"/>
      <c r="G20" s="627" t="n"/>
      <c r="H20" s="1274" t="n"/>
    </row>
    <row r="21"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73" t="inlineStr">
        <is>
          <t>Squad or overhead line</t>
        </is>
      </c>
      <c r="G21" s="1285" t="inlineStr">
        <is>
          <t>Cost if hired ($)</t>
        </is>
      </c>
      <c r="H21" s="1296" t="inlineStr">
        <is>
          <t>Effective cost ($)</t>
        </is>
      </c>
    </row>
    <row r="22">
      <c r="B22" s="1304" t="str">
        <f>INDEX('REVIEW - Complete Role Mapping'!$B:$B,283)</f>
        <v>Deepali Mahajan</v>
      </c>
      <c r="C22" s="622" t="str">
        <f>INDEX('REVIEW - Complete Role Mapping'!$C:$C,283)</f>
        <v>Data Operations Manager</v>
      </c>
      <c r="D22" s="546" t="str">
        <f>INDEX('REVIEW - Complete Role Mapping'!$AK:$AK,283)</f>
        <v>Filled</v>
      </c>
      <c r="E22" s="612" t="inlineStr">
        <is>
          <t>Filled</t>
        </is>
      </c>
      <c r="F22" t="str">
        <f>INDEX('REVIEW - Complete Role Mapping'!$AT:$AT,283)</f>
        <v>Group Data</v>
      </c>
      <c r="G22" s="627">
        <f>INDEX('REVIEW - Complete Role Mapping'!$AA:$AA,283)</f>
        <v>295918.45</v>
      </c>
      <c r="H22" s="1274">
        <f>$G22*IFERROR(INDEX(Lists!$AD:$AD,MATCH($E22,Lists!$AC:$AC,0)),1)</f>
        <v>295918.45</v>
      </c>
    </row>
    <row r="23">
      <c r="B23" s="1264" t="str">
        <f>INDEX('REVIEW - Complete Role Mapping'!$B:$B,291)</f>
        <v>Lynn Yiew</v>
      </c>
      <c r="C23" s="1264" t="str">
        <f>INDEX('REVIEW - Complete Role Mapping'!$C:$C,291)</f>
        <v>Data Governance Specialist</v>
      </c>
      <c r="D23" s="1264" t="str">
        <f>INDEX('REVIEW - Complete Role Mapping'!$AK:$AK,291)</f>
        <v>Filled</v>
      </c>
      <c r="E23" s="1264" t="inlineStr">
        <is>
          <t>Filled</t>
        </is>
      </c>
      <c r="F23" s="1264" t="str">
        <f>INDEX('REVIEW - Complete Role Mapping'!$AT:$AT,291)</f>
        <v>Group Data</v>
      </c>
      <c r="G23" s="1285">
        <f>INDEX('REVIEW - Complete Role Mapping'!$AA:$AA,291)</f>
        <v>149746.416</v>
      </c>
      <c r="H23" s="1296">
        <f>$G23*IFERROR(INDEX(Lists!$AD:$AD,MATCH($E23,Lists!$AC:$AC,0)),1)</f>
        <v>149746.416</v>
      </c>
    </row>
    <row r="24">
      <c r="B24" s="546" t="str">
        <f>INDEX('REVIEW - Complete Role Mapping'!$B:$B,294)</f>
        <v>Mitchell Clarke</v>
      </c>
      <c r="C24" s="622" t="str">
        <f>INDEX('REVIEW - Complete Role Mapping'!$C:$C,294)</f>
        <v>Snr Data Governance Specialist</v>
      </c>
      <c r="D24" s="546" t="str">
        <f>INDEX('REVIEW - Complete Role Mapping'!$AK:$AK,294)</f>
        <v>Filled</v>
      </c>
      <c r="E24" s="612" t="inlineStr">
        <is>
          <t>Filled</t>
        </is>
      </c>
      <c r="F24" s="536" t="str">
        <f>INDEX('REVIEW - Complete Role Mapping'!$AT:$AT,294)</f>
        <v>Group Data</v>
      </c>
      <c r="G24" s="627">
        <f>INDEX('REVIEW - Complete Role Mapping'!$AA:$AA,294)</f>
        <v>225988.8</v>
      </c>
      <c r="H24" s="1274">
        <f>$G24*IFERROR(INDEX(Lists!$AD:$AD,MATCH($E24,Lists!$AC:$AC,0)),1)</f>
        <v>225988.8</v>
      </c>
    </row>
    <row r="25">
      <c r="B25" s="546" t="str">
        <f>INDEX('REVIEW - Complete Role Mapping'!$B:$B,299)</f>
        <v>Raymond Bai</v>
      </c>
      <c r="C25" s="622" t="str">
        <f>INDEX('REVIEW - Complete Role Mapping'!$C:$C,299)</f>
        <v>Data Adoption Specialist</v>
      </c>
      <c r="D25" s="546" t="str">
        <f>INDEX('REVIEW - Complete Role Mapping'!$AK:$AK,299)</f>
        <v>Filled</v>
      </c>
      <c r="E25" s="612" t="inlineStr">
        <is>
          <t>Filled</t>
        </is>
      </c>
      <c r="F25" s="536" t="str">
        <f>INDEX('REVIEW - Complete Role Mapping'!$AT:$AT,299)</f>
        <v>Group Data</v>
      </c>
      <c r="G25" s="624">
        <f>INDEX('REVIEW - Complete Role Mapping'!$AA:$AA,299)</f>
        <v>175872.9</v>
      </c>
      <c r="H25" s="1274">
        <f>$G25*IFERROR(INDEX(Lists!$AD:$AD,MATCH($E25,Lists!$AC:$AC,0)),1)</f>
        <v>175872.9</v>
      </c>
    </row>
    <row r="26">
      <c r="B26" s="546" t="str">
        <f>INDEX('REVIEW - Complete Role Mapping'!$B:$B,300)</f>
        <v>Renosh Matthew Thomas</v>
      </c>
      <c r="C26" s="622" t="str">
        <f>INDEX('REVIEW - Complete Role Mapping'!$C:$C,300)</f>
        <v>Data Enablement Lead</v>
      </c>
      <c r="D26" s="546" t="str">
        <f>INDEX('REVIEW - Complete Role Mapping'!$AK:$AK,300)</f>
        <v>Filled</v>
      </c>
      <c r="E26" s="612" t="inlineStr">
        <is>
          <t>Filled</t>
        </is>
      </c>
      <c r="F26" s="536" t="str">
        <f>INDEX('REVIEW - Complete Role Mapping'!$AT:$AT,300)</f>
        <v>Group Data</v>
      </c>
      <c r="G26" s="624">
        <f>INDEX('REVIEW - Complete Role Mapping'!$AA:$AA,300)</f>
        <v>227056.8</v>
      </c>
      <c r="H26" s="1274">
        <f>$G26*IFERROR(INDEX(Lists!$AD:$AD,MATCH($E26,Lists!$AC:$AC,0)),1)</f>
        <v>227056.8</v>
      </c>
    </row>
    <row r="27">
      <c r="B27" s="546" t="str">
        <f>INDEX('REVIEW - Complete Role Mapping'!$B:$B,301)</f>
        <v>Rihan Schalkwyk</v>
      </c>
      <c r="C27" s="622" t="str">
        <f>INDEX('REVIEW - Complete Role Mapping'!$C:$C,301)</f>
        <v>Senior Business Analyst</v>
      </c>
      <c r="D27" s="546" t="str">
        <f>INDEX('REVIEW - Complete Role Mapping'!$AK:$AK,301)</f>
        <v>Filled</v>
      </c>
      <c r="E27" s="612" t="inlineStr">
        <is>
          <t>Filled</t>
        </is>
      </c>
      <c r="F27" s="536" t="str">
        <f>INDEX('REVIEW - Complete Role Mapping'!$AT:$AT,301)</f>
        <v>Group Data</v>
      </c>
      <c r="G27" s="624">
        <f>INDEX('REVIEW - Complete Role Mapping'!$AA:$AA,301)</f>
        <v>249124.35</v>
      </c>
      <c r="H27" s="1274">
        <f>$G27*IFERROR(INDEX(Lists!$AD:$AD,MATCH($E27,Lists!$AC:$AC,0)),1)</f>
        <v>249124.35</v>
      </c>
    </row>
    <row r="28">
      <c r="B28" s="546" t="str">
        <f>INDEX('REVIEW - Complete Role Mapping'!$B:$B,309)</f>
        <v>Sanjay Tikoo</v>
      </c>
      <c r="C28" s="622" t="str">
        <f>INDEX('REVIEW - Complete Role Mapping'!$C:$C,309)</f>
        <v>Principal, Data Architecture &amp; Governance</v>
      </c>
      <c r="D28" s="546" t="str">
        <f>INDEX('REVIEW - Complete Role Mapping'!$AK:$AK,309)</f>
        <v>Filled</v>
      </c>
      <c r="E28" s="612" t="inlineStr">
        <is>
          <t>Filled</t>
        </is>
      </c>
      <c r="F28" s="536" t="str">
        <f>INDEX('REVIEW - Complete Role Mapping'!$AT:$AT,309)</f>
        <v>Group Data</v>
      </c>
      <c r="G28" s="624">
        <f>INDEX('REVIEW - Complete Role Mapping'!$AA:$AA,309)</f>
        <v>389125</v>
      </c>
      <c r="H28" s="1274">
        <f>$G28*IFERROR(INDEX(Lists!$AD:$AD,MATCH($E28,Lists!$AC:$AC,0)),1)</f>
        <v>389125</v>
      </c>
    </row>
    <row r="29">
      <c r="B29" s="546" t="str">
        <f>INDEX('REVIEW - Complete Role Mapping'!$B:$B,313)</f>
        <v>Vacant</v>
      </c>
      <c r="C29" s="622" t="str">
        <f>INDEX('REVIEW - Complete Role Mapping'!$C:$C,313)</f>
        <v>Service Transition Lead</v>
      </c>
      <c r="D29" s="546" t="str">
        <f>INDEX('REVIEW - Complete Role Mapping'!$AK:$AK,313)</f>
        <v>Vacant</v>
      </c>
      <c r="E29" s="612" t="inlineStr">
        <is>
          <t>Hire</t>
        </is>
      </c>
      <c r="F29" s="536" t="str">
        <f>INDEX('REVIEW - Complete Role Mapping'!$AT:$AT,313)</f>
        <v>Group Data</v>
      </c>
      <c r="G29" s="627">
        <f>INDEX('REVIEW - Complete Role Mapping'!$AA:$AA,313)</f>
        <v>202853.25</v>
      </c>
      <c r="H29" s="1274">
        <f>$G29*IFERROR(INDEX(Lists!$AD:$AD,MATCH($E29,Lists!$AC:$AC,0)),1)</f>
        <v>202853.25</v>
      </c>
    </row>
    <row r="30">
      <c r="B30" s="546" t="str">
        <f>INDEX('REVIEW - Complete Role Mapping'!$B:$B,321)</f>
        <v>Vacant</v>
      </c>
      <c r="C30" s="622" t="str">
        <f>INDEX('REVIEW - Complete Role Mapping'!$C:$C,321)</f>
        <v>Data Governance Lead</v>
      </c>
      <c r="D30" s="546" t="str">
        <f>INDEX('REVIEW - Complete Role Mapping'!$AK:$AK,321)</f>
        <v>Vacant</v>
      </c>
      <c r="E30" s="612" t="inlineStr">
        <is>
          <t>Hire</t>
        </is>
      </c>
      <c r="F30" s="536" t="str">
        <f>INDEX('REVIEW - Complete Role Mapping'!$AT:$AT,321)</f>
        <v>Group Data</v>
      </c>
      <c r="G30" s="627">
        <f>INDEX('REVIEW - Complete Role Mapping'!$AA:$AA,321)</f>
        <v>389606.1</v>
      </c>
      <c r="H30" s="1274">
        <f>$G30*IFERROR(INDEX(Lists!$AD:$AD,MATCH($E30,Lists!$AC:$AC,0)),1)</f>
        <v>389606.1</v>
      </c>
    </row>
    <row r="31">
      <c r="B31" s="546" t="str">
        <f>INDEX('REVIEW - Complete Role Mapping'!$B:$B,282)</f>
        <v>Craig Ambrose</v>
      </c>
      <c r="C31" s="622" t="str">
        <f>INDEX('REVIEW - Complete Role Mapping'!$C:$C,282)</f>
        <v>Domain Architect - Group Functions</v>
      </c>
      <c r="D31" s="546" t="str">
        <f>INDEX('REVIEW - Complete Role Mapping'!$AK:$AK,282)</f>
        <v>Filled</v>
      </c>
      <c r="E31" s="612" t="inlineStr">
        <is>
          <t>Filled</t>
        </is>
      </c>
      <c r="F31" s="536" t="str">
        <f>INDEX('REVIEW - Complete Role Mapping'!$AT:$AT,282)</f>
        <v>Architecture</v>
      </c>
      <c r="G31" s="627">
        <f>INDEX('REVIEW - Complete Role Mapping'!$AA:$AA,282)</f>
        <v>242741.304</v>
      </c>
      <c r="H31" s="1274">
        <f>$G31*IFERROR(INDEX(Lists!$AD:$AD,MATCH($E31,Lists!$AC:$AC,0)),1)</f>
        <v>242741.304</v>
      </c>
    </row>
    <row r="32">
      <c r="B32" s="546" t="str">
        <f>INDEX('REVIEW - Complete Role Mapping'!$B:$B,288)</f>
        <v>John Forde</v>
      </c>
      <c r="C32" s="622" t="str">
        <f>INDEX('REVIEW - Complete Role Mapping'!$C:$C,288)</f>
        <v>Enterprise Architect</v>
      </c>
      <c r="D32" s="546" t="str">
        <f>INDEX('REVIEW - Complete Role Mapping'!$AK:$AK,288)</f>
        <v>Filled</v>
      </c>
      <c r="E32" s="612" t="inlineStr">
        <is>
          <t>Filled</t>
        </is>
      </c>
      <c r="F32" s="536" t="str">
        <f>INDEX('REVIEW - Complete Role Mapping'!$AT:$AT,288)</f>
        <v>Architecture</v>
      </c>
      <c r="G32" s="624">
        <f>INDEX('REVIEW - Complete Role Mapping'!$AA:$AA,288)</f>
        <v>214270.248</v>
      </c>
      <c r="H32" s="1274">
        <f>$G32*IFERROR(INDEX(Lists!$AD:$AD,MATCH($E32,Lists!$AC:$AC,0)),1)</f>
        <v>214270.248</v>
      </c>
    </row>
    <row r="33">
      <c r="B33" s="546" t="str">
        <f>INDEX('REVIEW - Complete Role Mapping'!$B:$B,292)</f>
        <v>Mike Gilbert</v>
      </c>
      <c r="C33" s="622" t="str">
        <f>INDEX('REVIEW - Complete Role Mapping'!$C:$C,292)</f>
        <v>Domain Architect - CFE &amp; Infrastructure </v>
      </c>
      <c r="D33" s="546" t="str">
        <f>INDEX('REVIEW - Complete Role Mapping'!$AK:$AK,292)</f>
        <v>Filled</v>
      </c>
      <c r="E33" s="612" t="inlineStr">
        <is>
          <t>Filled</t>
        </is>
      </c>
      <c r="F33" s="536" t="str">
        <f>INDEX('REVIEW - Complete Role Mapping'!$AT:$AT,292)</f>
        <v>Architecture</v>
      </c>
      <c r="G33" s="624">
        <f>INDEX('REVIEW - Complete Role Mapping'!$AA:$AA,292)</f>
        <v>236856.984</v>
      </c>
      <c r="H33" s="1274">
        <f>$G33*IFERROR(INDEX(Lists!$AD:$AD,MATCH($E33,Lists!$AC:$AC,0)),1)</f>
        <v>236856.984</v>
      </c>
    </row>
    <row r="34">
      <c r="B34" s="546" t="str">
        <f>INDEX('REVIEW - Complete Role Mapping'!$B:$B,302)</f>
        <v>ring fenced</v>
      </c>
      <c r="C34" s="622" t="str">
        <f>INDEX('REVIEW - Complete Role Mapping'!$C:$C,302)</f>
        <v>Enterprise Architect</v>
      </c>
      <c r="D34" s="546" t="str">
        <f>INDEX('REVIEW - Complete Role Mapping'!$AK:$AK,302)</f>
        <v>Filled</v>
      </c>
      <c r="E34" s="612" t="inlineStr">
        <is>
          <t>Filled</t>
        </is>
      </c>
      <c r="F34" s="536" t="str">
        <f>INDEX('REVIEW - Complete Role Mapping'!$AT:$AT,302)</f>
        <v>Architecture</v>
      </c>
      <c r="G34" s="624">
        <f>INDEX('REVIEW - Complete Role Mapping'!$AA:$AA,302)</f>
        <v>275810.25</v>
      </c>
      <c r="H34" s="1274">
        <f>$G34*IFERROR(INDEX(Lists!$AD:$AD,MATCH($E34,Lists!$AC:$AC,0)),1)</f>
        <v>275810.25</v>
      </c>
    </row>
    <row r="35">
      <c r="B35" s="546" t="str">
        <f>INDEX('REVIEW - Complete Role Mapping'!$B:$B,303)</f>
        <v>ring fenced</v>
      </c>
      <c r="C35" s="622" t="str">
        <f>INDEX('REVIEW - Complete Role Mapping'!$C:$C,303)</f>
        <v>Domain Architect - Customer &amp; Digital Tech</v>
      </c>
      <c r="D35" s="546" t="str">
        <f>INDEX('REVIEW - Complete Role Mapping'!$AK:$AK,303)</f>
        <v>Filled</v>
      </c>
      <c r="E35" s="612" t="inlineStr">
        <is>
          <t>Filled</t>
        </is>
      </c>
      <c r="F35" s="536" t="str">
        <f>INDEX('REVIEW - Complete Role Mapping'!$AT:$AT,303)</f>
        <v>Architecture</v>
      </c>
      <c r="G35" s="624">
        <f>INDEX('REVIEW - Complete Role Mapping'!$AA:$AA,303)</f>
        <v>231689.25</v>
      </c>
      <c r="H35" s="1274">
        <f>$G35*IFERROR(INDEX(Lists!$AD:$AD,MATCH($E35,Lists!$AC:$AC,0)),1)</f>
        <v>231689.25</v>
      </c>
    </row>
    <row r="36">
      <c r="B36" s="546" t="str">
        <f>INDEX('REVIEW - Complete Role Mapping'!$B:$B,304)</f>
        <v>ring fenced</v>
      </c>
      <c r="C36" s="622" t="str">
        <f>INDEX('REVIEW - Complete Role Mapping'!$C:$C,304)</f>
        <v>Domain Architect - Retail &amp; Z</v>
      </c>
      <c r="D36" s="546" t="str">
        <f>INDEX('REVIEW - Complete Role Mapping'!$AK:$AK,304)</f>
        <v>Filled</v>
      </c>
      <c r="E36" s="612" t="inlineStr">
        <is>
          <t>Filled</t>
        </is>
      </c>
      <c r="F36" s="536" t="str">
        <f>INDEX('REVIEW - Complete Role Mapping'!$AT:$AT,304)</f>
        <v>Architecture</v>
      </c>
      <c r="G36" s="624">
        <f>INDEX('REVIEW - Complete Role Mapping'!$AA:$AA,304)</f>
        <v>231689.25</v>
      </c>
      <c r="H36" s="1274">
        <f>$G36*IFERROR(INDEX(Lists!$AD:$AD,MATCH($E36,Lists!$AC:$AC,0)),1)</f>
        <v>231689.25</v>
      </c>
    </row>
    <row r="37">
      <c r="B37" s="546" t="str">
        <f>INDEX('REVIEW - Complete Role Mapping'!$B:$B,305)</f>
        <v>ring fenced</v>
      </c>
      <c r="C37" s="622" t="str">
        <f>INDEX('REVIEW - Complete Role Mapping'!$C:$C,305)</f>
        <v>Domain Architect - TDD</v>
      </c>
      <c r="D37" s="546" t="str">
        <f>INDEX('REVIEW - Complete Role Mapping'!$AK:$AK,305)</f>
        <v>Filled</v>
      </c>
      <c r="E37" s="612" t="inlineStr">
        <is>
          <t>Filled</t>
        </is>
      </c>
      <c r="F37" s="442" t="str">
        <f>INDEX('REVIEW - Complete Role Mapping'!$AT:$AT,305)</f>
        <v>Architecture</v>
      </c>
      <c r="G37" s="1267">
        <f>INDEX('REVIEW - Complete Role Mapping'!$AA:$AA,305)</f>
        <v>231689.25</v>
      </c>
      <c r="H37" s="1274">
        <f>$G37*IFERROR(INDEX(Lists!$AD:$AD,MATCH($E37,Lists!$AC:$AC,0)),1)</f>
        <v>231689.25</v>
      </c>
    </row>
    <row r="38">
      <c r="B38" s="546" t="str">
        <f>INDEX('REVIEW - Complete Role Mapping'!$B:$B,306)</f>
        <v>Roger Blazey</v>
      </c>
      <c r="C38" s="622" t="str">
        <f>INDEX('REVIEW - Complete Role Mapping'!$C:$C,306)</f>
        <v>Architect (AI Innovation)</v>
      </c>
      <c r="D38" s="546" t="str">
        <f>INDEX('REVIEW - Complete Role Mapping'!$AK:$AK,306)</f>
        <v>Filled</v>
      </c>
      <c r="E38" s="612" t="inlineStr">
        <is>
          <t>Filled</t>
        </is>
      </c>
      <c r="F38" s="536" t="str">
        <f>INDEX('REVIEW - Complete Role Mapping'!$AT:$AT,306)</f>
        <v>Technology Strategy &amp; AI Capability</v>
      </c>
      <c r="G38" s="624">
        <f>INDEX('REVIEW - Complete Role Mapping'!$AA:$AA,306)</f>
        <v>250245.75</v>
      </c>
      <c r="H38" s="1274">
        <f>$G38*IFERROR(INDEX(Lists!$AD:$AD,MATCH($E38,Lists!$AC:$AC,0)),1)</f>
        <v>250245.75</v>
      </c>
    </row>
    <row r="39">
      <c r="B39" s="546" t="str">
        <f>INDEX('REVIEW - Complete Role Mapping'!$B:$B,325)</f>
        <v>Vacant</v>
      </c>
      <c r="C39" s="622" t="str">
        <f>INDEX('REVIEW - Complete Role Mapping'!$C:$C,325)</f>
        <v>AI Capability Lead</v>
      </c>
      <c r="D39" s="546" t="str">
        <f>INDEX('REVIEW - Complete Role Mapping'!$AK:$AK,325)</f>
        <v>Vacant</v>
      </c>
      <c r="E39" s="612" t="inlineStr">
        <is>
          <t>Hire</t>
        </is>
      </c>
      <c r="F39" s="536" t="str">
        <f>INDEX('REVIEW - Complete Role Mapping'!$AT:$AT,325)</f>
        <v>Technology Strategy &amp; AI Capability</v>
      </c>
      <c r="G39" s="624">
        <f>INDEX('REVIEW - Complete Role Mapping'!$AA:$AA,325)</f>
        <v>275810.25</v>
      </c>
      <c r="H39" s="1274">
        <f>$G39*IFERROR(INDEX(Lists!$AD:$AD,MATCH($E39,Lists!$AC:$AC,0)),1)</f>
        <v>275810.25</v>
      </c>
    </row>
    <row r="40">
      <c r="B40" s="546" t="str">
        <f>INDEX('REVIEW - Complete Role Mapping'!$B:$B,326)</f>
        <v>Vacant</v>
      </c>
      <c r="C40" s="622" t="str">
        <f>INDEX('REVIEW - Complete Role Mapping'!$C:$C,326)</f>
        <v>Enterprise Process Lead</v>
      </c>
      <c r="D40" s="546" t="str">
        <f>INDEX('REVIEW - Complete Role Mapping'!$AK:$AK,326)</f>
        <v>Vacant</v>
      </c>
      <c r="E40" s="612" t="inlineStr">
        <is>
          <t>Hire</t>
        </is>
      </c>
      <c r="F40" s="536" t="str">
        <f>INDEX('REVIEW - Complete Role Mapping'!$AT:$AT,326)</f>
        <v>Technology Strategy &amp; AI Capability</v>
      </c>
      <c r="G40" s="624">
        <f>INDEX('REVIEW - Complete Role Mapping'!$AA:$AA,326)</f>
        <v>202853.25</v>
      </c>
      <c r="H40" s="1274">
        <f>$G40*IFERROR(INDEX(Lists!$AD:$AD,MATCH($E40,Lists!$AC:$AC,0)),1)</f>
        <v>202853.25</v>
      </c>
    </row>
    <row r="41">
      <c r="B41" s="546" t="str">
        <f>INDEX('REVIEW - Complete Role Mapping'!$B:$B,327)</f>
        <v>Vacant</v>
      </c>
      <c r="C41" s="622" t="str">
        <f>INDEX('REVIEW - Complete Role Mapping'!$C:$C,327)</f>
        <v>EnterpriseProcess Analyst</v>
      </c>
      <c r="D41" s="546" t="str">
        <f>INDEX('REVIEW - Complete Role Mapping'!$AK:$AK,327)</f>
        <v>Vacant</v>
      </c>
      <c r="E41" s="612" t="inlineStr">
        <is>
          <t>Hire</t>
        </is>
      </c>
      <c r="F41" s="536" t="str">
        <f>INDEX('REVIEW - Complete Role Mapping'!$AT:$AT,327)</f>
        <v>Technology Strategy &amp; AI Capability</v>
      </c>
      <c r="G41" s="624">
        <f>INDEX('REVIEW - Complete Role Mapping'!$AA:$AA,327)</f>
        <v>170489.75</v>
      </c>
      <c r="H41" s="1274">
        <f>$G41*IFERROR(INDEX(Lists!$AD:$AD,MATCH($E41,Lists!$AC:$AC,0)),1)</f>
        <v>170489.75</v>
      </c>
    </row>
    <row r="42">
      <c r="B42" s="546" t="str">
        <f>INDEX('REVIEW - Complete Role Mapping'!$B:$B,328)</f>
        <v>Vacant</v>
      </c>
      <c r="C42" s="622" t="str">
        <f>INDEX('REVIEW - Complete Role Mapping'!$C:$C,328)</f>
        <v>Strategy Analyst</v>
      </c>
      <c r="D42" s="546" t="str">
        <f>INDEX('REVIEW - Complete Role Mapping'!$AK:$AK,328)</f>
        <v>Vacant</v>
      </c>
      <c r="E42" s="612" t="inlineStr">
        <is>
          <t>Hire</t>
        </is>
      </c>
      <c r="F42" s="536" t="str">
        <f>INDEX('REVIEW - Complete Role Mapping'!$AT:$AT,328)</f>
        <v>Technology Strategy &amp; AI Capability</v>
      </c>
      <c r="G42" s="624">
        <f>INDEX('REVIEW - Complete Role Mapping'!$AA:$AA,328)</f>
        <v>170489.75</v>
      </c>
      <c r="H42" s="1274">
        <f>$G42*IFERROR(INDEX(Lists!$AD:$AD,MATCH($E42,Lists!$AC:$AC,0)),1)</f>
        <v>170489.75</v>
      </c>
    </row>
    <row r="43">
      <c r="B43" t="str">
        <f>INDEX('REVIEW - Complete Role Mapping'!$B:$B,287)</f>
        <v>Joel Vijayakumar</v>
      </c>
      <c r="C43" t="str">
        <f>INDEX('REVIEW - Complete Role Mapping'!$C:$C,287)</f>
        <v>Delivery Manager, Strategy, Architecture &amp; Data</v>
      </c>
      <c r="D43" t="str">
        <f>INDEX('REVIEW - Complete Role Mapping'!$AK:$AK,287)</f>
        <v>Filled</v>
      </c>
      <c r="E43" t="inlineStr">
        <is>
          <t>Filled</t>
        </is>
      </c>
      <c r="F43" t="str">
        <f>INDEX('REVIEW - Complete Role Mapping'!$AT:$AT,287)</f>
        <v>Leadership</v>
      </c>
      <c r="G43" s="1274">
        <f>INDEX('REVIEW - Complete Role Mapping'!$AA:$AA,287)</f>
        <v>369088.6</v>
      </c>
      <c r="H43" s="1274">
        <f>$G43*IFERROR(INDEX(Lists!$AD:$AD,MATCH($E43,Lists!$AC:$AC,0)),1)</f>
        <v>369088.6</v>
      </c>
    </row>
    <row r="44">
      <c r="B44" s="543" t="str">
        <f>INDEX('REVIEW - Complete Role Mapping'!$B:$B,322)</f>
        <v>Vacant</v>
      </c>
      <c r="C44" s="949" t="str">
        <f>INDEX('REVIEW - Complete Role Mapping'!$C:$C,322)</f>
        <v>Head of Architecture</v>
      </c>
      <c r="D44" s="949" t="str">
        <f>INDEX('REVIEW - Complete Role Mapping'!$AK:$AK,322)</f>
        <v>Vacant</v>
      </c>
      <c r="E44" s="949" t="inlineStr">
        <is>
          <t>Hire</t>
        </is>
      </c>
      <c r="F44" s="949" t="str">
        <f>INDEX('REVIEW - Complete Role Mapping'!$AT:$AT,322)</f>
        <v>Leadership</v>
      </c>
      <c r="G44" s="627">
        <f>INDEX('REVIEW - Complete Role Mapping'!$AA:$AA,322)</f>
        <v>334972.95</v>
      </c>
      <c r="H44" s="1274">
        <f>$G44*IFERROR(INDEX(Lists!$AD:$AD,MATCH($E44,Lists!$AC:$AC,0)),1)</f>
        <v>334972.95</v>
      </c>
    </row>
    <row r="45">
      <c r="B45" t="str">
        <f>INDEX('REVIEW - Complete Role Mapping'!$B:$B,323)</f>
        <v>Vacant</v>
      </c>
      <c r="C45" t="str">
        <f>INDEX('REVIEW - Complete Role Mapping'!$C:$C,323)</f>
        <v>Head of Technology Strategy &amp; AI Capability</v>
      </c>
      <c r="D45" t="str">
        <f>INDEX('REVIEW - Complete Role Mapping'!$AK:$AK,323)</f>
        <v>Vacant</v>
      </c>
      <c r="E45" t="inlineStr">
        <is>
          <t>Hire</t>
        </is>
      </c>
      <c r="F45" t="str">
        <f>INDEX('REVIEW - Complete Role Mapping'!$AT:$AT,323)</f>
        <v>Leadership</v>
      </c>
      <c r="G45" s="1274">
        <f>INDEX('REVIEW - Complete Role Mapping'!$AA:$AA,323)</f>
        <v>333020.25</v>
      </c>
      <c r="H45" s="1274">
        <f>$G45*IFERROR(INDEX(Lists!$AD:$AD,MATCH($E45,Lists!$AC:$AC,0)),1)</f>
        <v>333020.25</v>
      </c>
    </row>
    <row r="46">
      <c r="B46" t="str">
        <f>INDEX('REVIEW - Complete Role Mapping'!$B:$B,324)</f>
        <v>Vacant</v>
      </c>
      <c r="C46" t="str">
        <f>INDEX('REVIEW - Complete Role Mapping'!$C:$C,324)</f>
        <v>Senior Communications Advisor</v>
      </c>
      <c r="D46" t="str">
        <f>INDEX('REVIEW - Complete Role Mapping'!$AK:$AK,324)</f>
        <v>Vacant</v>
      </c>
      <c r="E46" t="inlineStr">
        <is>
          <t>Hire</t>
        </is>
      </c>
      <c r="F46" t="str">
        <f>INDEX('REVIEW - Complete Role Mapping'!$AT:$AT,324)</f>
        <v>Leadership</v>
      </c>
      <c r="G46" s="1274">
        <f>INDEX('REVIEW - Complete Role Mapping'!$AA:$AA,324)</f>
        <v>186900</v>
      </c>
      <c r="H46" s="1274">
        <f>$G46*IFERROR(INDEX(Lists!$AD:$AD,MATCH($E46,Lists!$AC:$AC,0)),1)</f>
        <v>186900</v>
      </c>
    </row>
    <row r="47">
      <c r="B47" t="str">
        <f>INDEX('REVIEW - Complete Role Mapping'!$B:$B,293)</f>
        <v>Milan Patel</v>
      </c>
      <c r="C47" t="str">
        <f>INDEX('REVIEW - Complete Role Mapping'!$C:$C,293)</f>
        <v>Platform Architect</v>
      </c>
      <c r="D47" t="str">
        <f>INDEX('REVIEW - Complete Role Mapping'!$AK:$AK,293)</f>
        <v>Filled</v>
      </c>
      <c r="E47" t="inlineStr">
        <is>
          <t>Filled</t>
        </is>
      </c>
      <c r="F47" t="str">
        <f>INDEX('REVIEW - Complete Role Mapping'!$AT:$AT,293)</f>
        <v>Data Platforms</v>
      </c>
      <c r="G47" s="1274">
        <f>INDEX('REVIEW - Complete Role Mapping'!$AA:$AA,293)</f>
        <v>265584.9</v>
      </c>
      <c r="H47" s="1274">
        <f>$G47*IFERROR(INDEX(Lists!$AD:$AD,MATCH($E47,Lists!$AC:$AC,0)),1)</f>
        <v>265584.9</v>
      </c>
    </row>
  </sheetData>
  <conditionalFormatting sqref="D19:D42">
    <cfRule type="cellIs" priority="1" operator="equal" dxfId="48">
      <formula>"Vacant"</formula>
    </cfRule>
  </conditionalFormatting>
  <conditionalFormatting sqref="I6:I10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10">
    <cfRule type="expression" priority="4" dxfId="48">
      <formula>AND(ISNUMBER($F6),$F6&gt;0)</formula>
    </cfRule>
  </conditionalFormatting>
  <dataValidations count="1">
    <dataValidation sqref="E22:E4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2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EGI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EGI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COUNTIFS($F$18:$F$34,$B6)</f>
        <v>17</v>
      </c>
      <c r="F6" s="1250" t="str">
        <f>IFERROR($E6-$D6,"-")</f>
        <v>-</v>
      </c>
      <c r="G6" s="1250">
        <f>COUNTIFS($F$18:$F$34,$B6,$D$18:$D$34,"Vacant")</f>
        <v>0</v>
      </c>
      <c r="H6" s="1250">
        <f>COUNTIFS($F$18:$F$34,$B6,$D$18:$D$34,"Vacant",$E$18:$E$34,"Hire")+COUNTIFS($F$18:$F$34,$B6,$D$18:$D$34,"Vacant",$E$18:$E$34,"Offshore")</f>
        <v>0</v>
      </c>
      <c r="I6" s="1250">
        <f>COUNTIFS($F$18:$F$34,$B6,$D$18:$D$34,"Vacant",$E$18:$E$34,"Hold")</f>
        <v>0</v>
      </c>
      <c r="J6" s="1251">
        <f>$E6-COUNTIFS($F$18:$F$34,$B6,$E$18:$E$34,"Hold")</f>
        <v>17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4.94341935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Mapping'!$AK$2:$AK$528,"Filled")+SUMIFS($H$18:$H$34,$F$18:$F$34,$B6))/1000000</f>
        <v>9.8868387</v>
      </c>
      <c r="P6" s="1254">
        <f>$O6-$M6</f>
        <v>4.94341935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"-"</f>
        <v>-</v>
      </c>
      <c r="S6" t="str">
        <f>IFERROR(INDEX(Lists!$AA:$AA,MATCH($B6,Lists!$Z:$Z,0)),$B6)</f>
        <v>EGI</v>
      </c>
    </row>
    <row r="7">
      <c r="A7" s="949" t="n"/>
      <c r="B7" s="1231" t="inlineStr">
        <is>
          <t>Delivery squads</t>
        </is>
      </c>
      <c r="C7" s="641" t="n"/>
      <c r="D7" s="1255">
        <f>SUMIF($D$6:$D$6,"&gt;=0")</f>
        <v>0</v>
      </c>
      <c r="E7" s="1255">
        <f>SUM(E6:E6)</f>
        <v>17</v>
      </c>
      <c r="F7" s="1255">
        <f>SUMPRODUCT(--ISNUMBER($D$6:$D$6),$E$6:$E$6)-SUMIF($D$6:$D$6,"&gt;=0")</f>
        <v>0</v>
      </c>
      <c r="G7" s="1255">
        <f>SUM(G6:G6)</f>
        <v>0</v>
      </c>
      <c r="H7" s="1255">
        <f>SUM(H6:H6)</f>
        <v>0</v>
      </c>
      <c r="I7" s="1255">
        <f>SUM(I6:I6)</f>
        <v>0</v>
      </c>
      <c r="J7" s="1256">
        <f>SUM(J6:J6)</f>
        <v>17</v>
      </c>
      <c r="K7" s="1155" t="n"/>
      <c r="L7" s="1257">
        <f>SUMIF($L$6:$L$6,"&gt;=0")</f>
        <v>0</v>
      </c>
      <c r="M7" s="1257">
        <f>SUM(M6:M6)</f>
        <v>4.94341935</v>
      </c>
      <c r="N7" s="1257">
        <f>SUMPRODUCT(--ISNUMBER($L$6:$L$6),$M$6:$M$6)-SUMIF($L$6:$L$6,"&gt;=0")</f>
        <v>0</v>
      </c>
      <c r="O7" s="1258">
        <f>SUM(O6:O6)</f>
        <v>9.8868387</v>
      </c>
      <c r="P7" s="1254">
        <f>SUM(P6:P6)</f>
        <v>4.94341935</v>
      </c>
      <c r="Q7" s="1254">
        <f>SUM(Q6:Q6)</f>
        <v>0</v>
      </c>
    </row>
    <row r="8">
      <c r="A8" s="949" t="n"/>
      <c r="B8" s="1298" t="inlineStr">
        <is>
          <t>This is a centre of excellence: it carries no overhead line, every role is its own delivery.</t>
        </is>
      </c>
      <c r="C8" s="504" t="n"/>
      <c r="D8" s="1261" t="n"/>
      <c r="E8" s="1262" t="n"/>
      <c r="F8" s="1261" t="n"/>
      <c r="G8" s="1261" t="n"/>
      <c r="H8" s="1261" t="n"/>
      <c r="I8" s="1261" t="n"/>
      <c r="J8" s="1261" t="n"/>
      <c r="K8" s="949" t="n"/>
      <c r="L8" s="1263" t="n"/>
      <c r="M8" s="1263" t="n"/>
      <c r="N8" s="1263" t="n"/>
      <c r="O8" s="1263" t="n"/>
      <c r="P8" s="1254" t="n"/>
      <c r="Q8" s="1254" t="n"/>
    </row>
    <row r="9">
      <c r="A9" s="949" t="n"/>
      <c r="B9" s="1226" t="n"/>
      <c r="C9" s="504" t="n"/>
      <c r="D9" s="1261" t="n"/>
      <c r="E9" s="1262" t="n"/>
      <c r="F9" s="1261" t="n"/>
      <c r="G9" s="1261" t="n"/>
      <c r="H9" s="1261" t="n"/>
      <c r="I9" s="1261" t="n"/>
      <c r="J9" s="1261" t="n"/>
      <c r="K9" s="949" t="n"/>
      <c r="L9" s="1263" t="n"/>
      <c r="M9" s="1263" t="n"/>
      <c r="N9" s="1263" t="n"/>
      <c r="O9" s="1263" t="n"/>
      <c r="P9" s="1254" t="n"/>
      <c r="Q9" s="1254" t="n"/>
    </row>
    <row r="10">
      <c r="A10" s="949" t="n"/>
      <c r="B10" s="994" t="n"/>
      <c r="C10" s="504" t="n"/>
      <c r="D10" s="1261" t="n"/>
      <c r="E10" s="1261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26" t="inlineStr">
        <is>
          <t>Total portfolio</t>
        </is>
      </c>
      <c r="C11" s="504" t="n"/>
      <c r="D11" s="1261">
        <f>$D7</f>
        <v>0</v>
      </c>
      <c r="E11" s="1261">
        <f>$E7</f>
        <v>17</v>
      </c>
      <c r="F11" s="1261">
        <f>IFERROR($E7-$D7,"-")</f>
        <v>17</v>
      </c>
      <c r="G11" s="1261">
        <f>$G7</f>
        <v>0</v>
      </c>
      <c r="H11" s="1261">
        <f>$H7</f>
        <v>0</v>
      </c>
      <c r="I11" s="1261">
        <f>$I7</f>
        <v>0</v>
      </c>
      <c r="J11" s="1261">
        <f>$J7</f>
        <v>17</v>
      </c>
      <c r="K11" s="949" t="n"/>
      <c r="L11" s="1263">
        <f>$L7</f>
        <v>0</v>
      </c>
      <c r="M11" s="1263">
        <f>$M7</f>
        <v>4.94341935</v>
      </c>
      <c r="N11" s="1263">
        <f>IFERROR($M7-$L7,"-")</f>
        <v>4.94341935</v>
      </c>
      <c r="O11" s="1263">
        <f>$O7</f>
        <v>9.8868387</v>
      </c>
      <c r="P11" s="1254">
        <f>$P7</f>
        <v>4.94341935</v>
      </c>
      <c r="Q11" s="1254">
        <f>$Q7</f>
        <v>0</v>
      </c>
    </row>
    <row r="12">
      <c r="A12" s="949" t="n"/>
      <c r="B12" s="1298" t="inlineStr">
        <is>
          <t>Archetype columns D, F, L and N cover the delivery squads only - overhead is not priced by a squad archetype.</t>
        </is>
      </c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1298" t="inlineStr">
        <is>
          <t>Control - roles vs the ledger, must be 0</t>
        </is>
      </c>
      <c r="C13" s="432" t="n"/>
      <c r="D13" s="432" t="n"/>
      <c r="E13" s="432">
        <f>COUNTIFS('REVIEW - Complete Role Mapping'!$AJ$2:$AJ$528,$C$3)-$E11</f>
        <v>0</v>
      </c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313" t="inlineStr">
        <is>
          <t>Control - cost vs the ledger ($m), must be 0</t>
        </is>
      </c>
      <c r="C14" s="1259" t="n"/>
      <c r="D14" s="1259" t="n"/>
      <c r="E14" s="1259" t="n"/>
      <c r="F14" s="1259" t="n"/>
      <c r="G14" s="1259" t="n"/>
      <c r="H14" s="1259" t="n"/>
      <c r="I14" s="949" t="n"/>
      <c r="J14" s="949" t="n"/>
      <c r="K14" s="949" t="n"/>
      <c r="L14" s="949" t="n"/>
      <c r="M14" s="949">
        <f>ROUND(SUMIFS('REVIEW - Complete Role Mapping'!$AA$2:$AA$528,'REVIEW - Complete Role Mapping'!$AJ$2:$AJ$528,$C$3)/1000000-$M11,6)</f>
        <v>0</v>
      </c>
      <c r="N14" s="949" t="n"/>
      <c r="O14" s="949" t="n"/>
    </row>
    <row r="15">
      <c r="A15" s="949" t="n"/>
      <c r="B15" s="533" t="n"/>
      <c r="C15" s="533" t="n"/>
      <c r="D15" s="533" t="n"/>
      <c r="E15" s="533" t="n"/>
      <c r="F15" s="533" t="n"/>
      <c r="G15" s="627" t="n"/>
      <c r="H15" s="627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1315" t="inlineStr">
        <is>
          <t>EGI FTE</t>
        </is>
      </c>
      <c r="C16" s="646" t="n"/>
      <c r="D16" s="646" t="n"/>
      <c r="E16" s="646" t="n"/>
      <c r="F16" s="646" t="n"/>
      <c r="G16" s="627" t="n"/>
      <c r="H16" s="627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64" t="inlineStr">
        <is>
          <t>Name</t>
        </is>
      </c>
      <c r="C17" s="1264" t="inlineStr">
        <is>
          <t>Role</t>
        </is>
      </c>
      <c r="D17" s="1264" t="inlineStr">
        <is>
          <t>Status</t>
        </is>
      </c>
      <c r="E17" s="1264" t="inlineStr">
        <is>
          <t>Vacancy lever</t>
        </is>
      </c>
      <c r="F17" s="1264" t="inlineStr">
        <is>
          <t>Squad or overhead line</t>
        </is>
      </c>
      <c r="G17" s="1285" t="inlineStr">
        <is>
          <t>Cost if hired ($)</t>
        </is>
      </c>
      <c r="H17" s="1296" t="inlineStr">
        <is>
          <t>Effective cost ($)</t>
        </is>
      </c>
    </row>
    <row r="18">
      <c r="A18" s="949" t="n"/>
      <c r="B18" s="634" t="str">
        <f>INDEX('REVIEW - Complete Role Mapping'!$B:$B,239)</f>
        <v>Ahmed Yehya</v>
      </c>
      <c r="C18" s="634" t="str">
        <f>INDEX('REVIEW - Complete Role Mapping'!$C:$C,239)</f>
        <v>TDD Strategic Delivery</v>
      </c>
      <c r="D18" s="612" t="str">
        <f>INDEX('REVIEW - Complete Role Mapping'!$AK:$AK,239)</f>
        <v>Filled</v>
      </c>
      <c r="E18" s="612" t="inlineStr">
        <is>
          <t>Filled</t>
        </is>
      </c>
      <c r="F18" s="634" t="str">
        <f>INDEX('REVIEW - Complete Role Mapping'!$AT:$AT,239)</f>
        <v>EGI</v>
      </c>
      <c r="G18" s="627">
        <f>INDEX('REVIEW - Complete Role Mapping'!$AA:$AA,239)</f>
        <v>277500</v>
      </c>
      <c r="H18" s="1274">
        <f>$G18*IFERROR(INDEX(Lists!$AD:$AD,MATCH($E18,Lists!$AC:$AC,0)),1)</f>
        <v>277500</v>
      </c>
    </row>
    <row r="19">
      <c r="A19" s="949" t="n"/>
      <c r="B19" s="634" t="str">
        <f>INDEX('REVIEW - Complete Role Mapping'!$B:$B,240)</f>
        <v>Anthony Huynh</v>
      </c>
      <c r="C19" s="634" t="str">
        <f>INDEX('REVIEW - Complete Role Mapping'!$C:$C,240)</f>
        <v>Strategic Delivery Consultant</v>
      </c>
      <c r="D19" s="612" t="str">
        <f>INDEX('REVIEW - Complete Role Mapping'!$AK:$AK,240)</f>
        <v>Filled</v>
      </c>
      <c r="E19" s="612" t="inlineStr">
        <is>
          <t>Filled</t>
        </is>
      </c>
      <c r="F19" s="634" t="str">
        <f>INDEX('REVIEW - Complete Role Mapping'!$AT:$AT,240)</f>
        <v>EGI</v>
      </c>
      <c r="G19" s="627">
        <f>INDEX('REVIEW - Complete Role Mapping'!$AA:$AA,240)</f>
        <v>301254</v>
      </c>
      <c r="H19" s="1274">
        <f>$G19*IFERROR(INDEX(Lists!$AD:$AD,MATCH($E19,Lists!$AC:$AC,0)),1)</f>
        <v>301254</v>
      </c>
    </row>
    <row r="20">
      <c r="A20" s="949" t="n"/>
      <c r="B20" s="634" t="str">
        <f>INDEX('REVIEW - Complete Role Mapping'!$B:$B,241)</f>
        <v>Areum Kim Lee</v>
      </c>
      <c r="C20" s="634" t="str">
        <f>INDEX('REVIEW - Complete Role Mapping'!$C:$C,241)</f>
        <v>Program Manager (PEP13-EGI-UKG)</v>
      </c>
      <c r="D20" s="612" t="str">
        <f>INDEX('REVIEW - Complete Role Mapping'!$AK:$AK,241)</f>
        <v>Filled</v>
      </c>
      <c r="E20" s="612" t="inlineStr">
        <is>
          <t>Filled</t>
        </is>
      </c>
      <c r="F20" s="634" t="str">
        <f>INDEX('REVIEW - Complete Role Mapping'!$AT:$AT,241)</f>
        <v>EGI</v>
      </c>
      <c r="G20" s="627">
        <f>INDEX('REVIEW - Complete Role Mapping'!$AA:$AA,241)</f>
        <v>343158.72</v>
      </c>
      <c r="H20" s="1274">
        <f>$G20*IFERROR(INDEX(Lists!$AD:$AD,MATCH($E20,Lists!$AC:$AC,0)),1)</f>
        <v>343158.72</v>
      </c>
    </row>
    <row r="21">
      <c r="A21" s="949" t="n"/>
      <c r="B21" s="634" t="str">
        <f>INDEX('REVIEW - Complete Role Mapping'!$B:$B,446)</f>
        <v>Ashish Gupte</v>
      </c>
      <c r="C21" s="634" t="str">
        <f>INDEX('REVIEW - Complete Role Mapping'!$C:$C,446)</f>
        <v>DeveloperSAP ECC</v>
      </c>
      <c r="D21" s="612" t="str">
        <f>INDEX('REVIEW - Complete Role Mapping'!$AK:$AK,446)</f>
        <v>Filled</v>
      </c>
      <c r="E21" s="612" t="inlineStr">
        <is>
          <t>Filled</t>
        </is>
      </c>
      <c r="F21" s="634" t="str">
        <f>INDEX('REVIEW - Complete Role Mapping'!$AT:$AT,446)</f>
        <v>EGI</v>
      </c>
      <c r="G21" s="627">
        <f>INDEX('REVIEW - Complete Role Mapping'!$AA:$AA,446)</f>
        <v>277500</v>
      </c>
      <c r="H21" s="1274">
        <f>$G21*IFERROR(INDEX(Lists!$AD:$AD,MATCH($E21,Lists!$AC:$AC,0)),1)</f>
        <v>277500</v>
      </c>
    </row>
    <row r="22">
      <c r="A22" s="949" t="n"/>
      <c r="B22" s="634" t="str">
        <f>INDEX('REVIEW - Complete Role Mapping'!$B:$B,242)</f>
        <v>Ernesto Pereira</v>
      </c>
      <c r="C22" s="634" t="str">
        <f>INDEX('REVIEW - Complete Role Mapping'!$C:$C,242)</f>
        <v>Project Manger</v>
      </c>
      <c r="D22" s="612" t="str">
        <f>INDEX('REVIEW - Complete Role Mapping'!$AK:$AK,242)</f>
        <v>Filled</v>
      </c>
      <c r="E22" s="612" t="inlineStr">
        <is>
          <t>Filled</t>
        </is>
      </c>
      <c r="F22" s="634" t="str">
        <f>INDEX('REVIEW - Complete Role Mapping'!$AT:$AT,242)</f>
        <v>EGI</v>
      </c>
      <c r="G22" s="627">
        <f>INDEX('REVIEW - Complete Role Mapping'!$AA:$AA,242)</f>
        <v>222000</v>
      </c>
      <c r="H22" s="1274">
        <f>$G22*IFERROR(INDEX(Lists!$AD:$AD,MATCH($E22,Lists!$AC:$AC,0)),1)</f>
        <v>222000</v>
      </c>
    </row>
    <row r="23">
      <c r="A23" s="949" t="n"/>
      <c r="B23" s="634" t="str">
        <f>INDEX('REVIEW - Complete Role Mapping'!$B:$B,243)</f>
        <v>Harish Dasari</v>
      </c>
      <c r="C23" s="634" t="str">
        <f>INDEX('REVIEW - Complete Role Mapping'!$C:$C,243)</f>
        <v>Business Analyst (SAP Payroll)</v>
      </c>
      <c r="D23" s="612" t="str">
        <f>INDEX('REVIEW - Complete Role Mapping'!$AK:$AK,243)</f>
        <v>Filled</v>
      </c>
      <c r="E23" s="612" t="inlineStr">
        <is>
          <t>Filled</t>
        </is>
      </c>
      <c r="F23" s="634" t="str">
        <f>INDEX('REVIEW - Complete Role Mapping'!$AT:$AT,243)</f>
        <v>EGI</v>
      </c>
      <c r="G23" s="627">
        <f>INDEX('REVIEW - Complete Role Mapping'!$AA:$AA,243)</f>
        <v>244200</v>
      </c>
      <c r="H23" s="1274">
        <f>$G23*IFERROR(INDEX(Lists!$AD:$AD,MATCH($E23,Lists!$AC:$AC,0)),1)</f>
        <v>244200</v>
      </c>
    </row>
    <row r="24">
      <c r="A24" s="949" t="n"/>
      <c r="B24" s="634" t="str">
        <f>INDEX('REVIEW - Complete Role Mapping'!$B:$B,244)</f>
        <v>James Munt</v>
      </c>
      <c r="C24" s="634" t="str">
        <f>INDEX('REVIEW - Complete Role Mapping'!$C:$C,244)</f>
        <v>Program Manager Tech &amp; P&amp;C</v>
      </c>
      <c r="D24" s="612" t="str">
        <f>INDEX('REVIEW - Complete Role Mapping'!$AK:$AK,244)</f>
        <v>Filled</v>
      </c>
      <c r="E24" s="612" t="inlineStr">
        <is>
          <t>Filled</t>
        </is>
      </c>
      <c r="F24" s="634" t="str">
        <f>INDEX('REVIEW - Complete Role Mapping'!$AT:$AT,244)</f>
        <v>EGI</v>
      </c>
      <c r="G24" s="627">
        <f>INDEX('REVIEW - Complete Role Mapping'!$AA:$AA,244)</f>
        <v>266400</v>
      </c>
      <c r="H24" s="1274">
        <f>$G24*IFERROR(INDEX(Lists!$AD:$AD,MATCH($E24,Lists!$AC:$AC,0)),1)</f>
        <v>266400</v>
      </c>
    </row>
    <row r="25">
      <c r="A25" s="949" t="n"/>
      <c r="B25" s="634" t="str">
        <f>INDEX('REVIEW - Complete Role Mapping'!$B:$B,245)</f>
        <v>Jason McNamara</v>
      </c>
      <c r="C25" s="634" t="str">
        <f>INDEX('REVIEW - Complete Role Mapping'!$C:$C,245)</f>
        <v>Project Manager Retail</v>
      </c>
      <c r="D25" s="612" t="str">
        <f>INDEX('REVIEW - Complete Role Mapping'!$AK:$AK,245)</f>
        <v>Filled</v>
      </c>
      <c r="E25" s="612" t="inlineStr">
        <is>
          <t>Filled</t>
        </is>
      </c>
      <c r="F25" s="634" t="str">
        <f>INDEX('REVIEW - Complete Role Mapping'!$AT:$AT,245)</f>
        <v>EGI</v>
      </c>
      <c r="G25" s="627">
        <f>INDEX('REVIEW - Complete Role Mapping'!$AA:$AA,245)</f>
        <v>488400</v>
      </c>
      <c r="H25" s="1274">
        <f>$G25*IFERROR(INDEX(Lists!$AD:$AD,MATCH($E25,Lists!$AC:$AC,0)),1)</f>
        <v>488400</v>
      </c>
    </row>
    <row r="26">
      <c r="A26" s="949" t="n"/>
      <c r="B26" s="634" t="str">
        <f>INDEX('REVIEW - Complete Role Mapping'!$B:$B,246)</f>
        <v>Jason Sipkovic</v>
      </c>
      <c r="C26" s="634" t="str">
        <f>INDEX('REVIEW - Complete Role Mapping'!$C:$C,246)</f>
        <v>strategic program architect</v>
      </c>
      <c r="D26" s="612" t="str">
        <f>INDEX('REVIEW - Complete Role Mapping'!$AK:$AK,246)</f>
        <v>Filled</v>
      </c>
      <c r="E26" s="612" t="inlineStr">
        <is>
          <t>Filled</t>
        </is>
      </c>
      <c r="F26" s="634" t="str">
        <f>INDEX('REVIEW - Complete Role Mapping'!$AT:$AT,246)</f>
        <v>EGI</v>
      </c>
      <c r="G26" s="627">
        <f>INDEX('REVIEW - Complete Role Mapping'!$AA:$AA,246)</f>
        <v>333000</v>
      </c>
      <c r="H26" s="1274">
        <f>$G26*IFERROR(INDEX(Lists!$AD:$AD,MATCH($E26,Lists!$AC:$AC,0)),1)</f>
        <v>333000</v>
      </c>
    </row>
    <row r="27">
      <c r="A27" s="949" t="n"/>
      <c r="B27" s="634" t="str">
        <f>INDEX('REVIEW - Complete Role Mapping'!$B:$B,247)</f>
        <v>Kanika Narula</v>
      </c>
      <c r="C27" s="634" t="str">
        <f>INDEX('REVIEW - Complete Role Mapping'!$C:$C,247)</f>
        <v>Business Analyst Digital</v>
      </c>
      <c r="D27" s="612" t="str">
        <f>INDEX('REVIEW - Complete Role Mapping'!$AK:$AK,247)</f>
        <v>Filled</v>
      </c>
      <c r="E27" s="612" t="inlineStr">
        <is>
          <t>Filled</t>
        </is>
      </c>
      <c r="F27" s="634" t="str">
        <f>INDEX('REVIEW - Complete Role Mapping'!$AT:$AT,247)</f>
        <v>EGI</v>
      </c>
      <c r="G27" s="627">
        <f>INDEX('REVIEW - Complete Role Mapping'!$AA:$AA,247)</f>
        <v>239502.48</v>
      </c>
      <c r="H27" s="1274">
        <f>$G27*IFERROR(INDEX(Lists!$AD:$AD,MATCH($E27,Lists!$AC:$AC,0)),1)</f>
        <v>239502.48</v>
      </c>
    </row>
    <row r="28">
      <c r="A28" s="949" t="n"/>
      <c r="B28" s="634" t="str">
        <f>INDEX('REVIEW - Complete Role Mapping'!$B:$B,248)</f>
        <v>Karl Reyneke</v>
      </c>
      <c r="C28" s="634" t="str">
        <f>INDEX('REVIEW - Complete Role Mapping'!$C:$C,248)</f>
        <v>Strategic Delivery Consultant</v>
      </c>
      <c r="D28" s="612" t="str">
        <f>INDEX('REVIEW - Complete Role Mapping'!$AK:$AK,248)</f>
        <v>Filled</v>
      </c>
      <c r="E28" s="612" t="inlineStr">
        <is>
          <t>Filled</t>
        </is>
      </c>
      <c r="F28" s="634" t="str">
        <f>INDEX('REVIEW - Complete Role Mapping'!$AT:$AT,248)</f>
        <v>EGI</v>
      </c>
      <c r="G28" s="627">
        <f>INDEX('REVIEW - Complete Role Mapping'!$AA:$AA,248)</f>
        <v>299700</v>
      </c>
      <c r="H28" s="1274">
        <f>$G28*IFERROR(INDEX(Lists!$AD:$AD,MATCH($E28,Lists!$AC:$AC,0)),1)</f>
        <v>299700</v>
      </c>
    </row>
    <row r="29">
      <c r="A29" s="949" t="n"/>
      <c r="B29" s="634" t="str">
        <f>INDEX('REVIEW - Complete Role Mapping'!$B:$B,250)</f>
        <v>Moitri Pal</v>
      </c>
      <c r="C29" s="634" t="str">
        <f>INDEX('REVIEW - Complete Role Mapping'!$C:$C,250)</f>
        <v>Portfolio Mnager</v>
      </c>
      <c r="D29" s="612" t="str">
        <f>INDEX('REVIEW - Complete Role Mapping'!$AK:$AK,250)</f>
        <v>Filled</v>
      </c>
      <c r="E29" s="612" t="inlineStr">
        <is>
          <t>Filled</t>
        </is>
      </c>
      <c r="F29" s="634" t="str">
        <f>INDEX('REVIEW - Complete Role Mapping'!$AT:$AT,250)</f>
        <v>EGI</v>
      </c>
      <c r="G29" s="627">
        <f>INDEX('REVIEW - Complete Role Mapping'!$AA:$AA,250)</f>
        <v>325464.15</v>
      </c>
      <c r="H29" s="1274">
        <f>$G29*IFERROR(INDEX(Lists!$AD:$AD,MATCH($E29,Lists!$AC:$AC,0)),1)</f>
        <v>325464.15</v>
      </c>
    </row>
    <row r="30">
      <c r="A30" s="949" t="n"/>
      <c r="B30" s="634" t="str">
        <f>INDEX('REVIEW - Complete Role Mapping'!$B:$B,251)</f>
        <v>Niall Greene</v>
      </c>
      <c r="C30" s="634" t="str">
        <f>INDEX('REVIEW - Complete Role Mapping'!$C:$C,251)</f>
        <v>Project Manager (PEP13-EGI-UKG)</v>
      </c>
      <c r="D30" s="612" t="str">
        <f>INDEX('REVIEW - Complete Role Mapping'!$AK:$AK,251)</f>
        <v>Filled</v>
      </c>
      <c r="E30" s="612" t="inlineStr">
        <is>
          <t>Filled</t>
        </is>
      </c>
      <c r="F30" s="634" t="str">
        <f>INDEX('REVIEW - Complete Role Mapping'!$AT:$AT,251)</f>
        <v>EGI</v>
      </c>
      <c r="G30" s="627">
        <f>INDEX('REVIEW - Complete Role Mapping'!$AA:$AA,251)</f>
        <v>244200</v>
      </c>
      <c r="H30" s="1274">
        <f>$G30*IFERROR(INDEX(Lists!$AD:$AD,MATCH($E30,Lists!$AC:$AC,0)),1)</f>
        <v>244200</v>
      </c>
    </row>
    <row r="31">
      <c r="A31" s="949" t="n"/>
      <c r="B31" s="634" t="str">
        <f>INDEX('REVIEW - Complete Role Mapping'!$B:$B,252)</f>
        <v>Paul Hassey</v>
      </c>
      <c r="C31" s="634" t="str">
        <f>INDEX('REVIEW - Complete Role Mapping'!$C:$C,252)</f>
        <v>Program Architect</v>
      </c>
      <c r="D31" s="612" t="str">
        <f>INDEX('REVIEW - Complete Role Mapping'!$AK:$AK,252)</f>
        <v>Filled</v>
      </c>
      <c r="E31" s="612" t="inlineStr">
        <is>
          <t>Filled</t>
        </is>
      </c>
      <c r="F31" s="634" t="str">
        <f>INDEX('REVIEW - Complete Role Mapping'!$AT:$AT,252)</f>
        <v>EGI</v>
      </c>
      <c r="G31" s="627">
        <f>INDEX('REVIEW - Complete Role Mapping'!$AA:$AA,252)</f>
        <v>310800</v>
      </c>
      <c r="H31" s="1274">
        <f>$G31*IFERROR(INDEX(Lists!$AD:$AD,MATCH($E31,Lists!$AC:$AC,0)),1)</f>
        <v>310800</v>
      </c>
    </row>
    <row r="32">
      <c r="A32" s="949" t="n"/>
      <c r="B32" s="634" t="str">
        <f>INDEX('REVIEW - Complete Role Mapping'!$B:$B,254)</f>
        <v>Winnie Fernandes</v>
      </c>
      <c r="C32" s="634" t="str">
        <f>INDEX('REVIEW - Complete Role Mapping'!$C:$C,254)</f>
        <v>Delivery Lead - Integration</v>
      </c>
      <c r="D32" s="612" t="str">
        <f>INDEX('REVIEW - Complete Role Mapping'!$AK:$AK,254)</f>
        <v>Filled</v>
      </c>
      <c r="E32" s="612" t="inlineStr">
        <is>
          <t>Filled</t>
        </is>
      </c>
      <c r="F32" s="634" t="str">
        <f>INDEX('REVIEW - Complete Role Mapping'!$AT:$AT,254)</f>
        <v>EGI</v>
      </c>
      <c r="G32" s="1297">
        <f>INDEX('REVIEW - Complete Role Mapping'!$AA:$AA,254)</f>
        <v>273504</v>
      </c>
      <c r="H32" s="1274">
        <f>$G32*IFERROR(INDEX(Lists!$AD:$AD,MATCH($E32,Lists!$AC:$AC,0)),1)</f>
        <v>273504</v>
      </c>
    </row>
    <row r="33">
      <c r="A33" s="949" t="n"/>
      <c r="B33" s="634" t="str">
        <f>INDEX('REVIEW - Complete Role Mapping'!$B:$B,249)</f>
        <v>michelle Siegman</v>
      </c>
      <c r="C33" s="634" t="str">
        <f>INDEX('REVIEW - Complete Role Mapping'!$C:$C,249)</f>
        <v>Strategic Delivery Consultant</v>
      </c>
      <c r="D33" s="612" t="str">
        <f>INDEX('REVIEW - Complete Role Mapping'!$AK:$AK,249)</f>
        <v>Filled</v>
      </c>
      <c r="E33" s="612" t="inlineStr">
        <is>
          <t>Filled</t>
        </is>
      </c>
      <c r="F33" s="634" t="str">
        <f>INDEX('REVIEW - Complete Role Mapping'!$AT:$AT,249)</f>
        <v>EGI</v>
      </c>
      <c r="G33" s="627">
        <f>INDEX('REVIEW - Complete Role Mapping'!$AA:$AA,249)</f>
        <v>230436</v>
      </c>
      <c r="H33" s="1274">
        <f>$G33*IFERROR(INDEX(Lists!$AD:$AD,MATCH($E33,Lists!$AC:$AC,0)),1)</f>
        <v>230436</v>
      </c>
    </row>
    <row r="34">
      <c r="A34" s="949" t="n"/>
      <c r="B34" s="504" t="str">
        <f>INDEX('REVIEW - Complete Role Mapping'!$B:$B,253)</f>
        <v>vijay Solanki</v>
      </c>
      <c r="C34" s="504" t="str">
        <f>INDEX('REVIEW - Complete Role Mapping'!$C:$C,253)</f>
        <v>Project Manager Deployment</v>
      </c>
      <c r="D34" s="504" t="str">
        <f>INDEX('REVIEW - Complete Role Mapping'!$AK:$AK,253)</f>
        <v>Filled</v>
      </c>
      <c r="E34" s="504" t="inlineStr">
        <is>
          <t>Filled</t>
        </is>
      </c>
      <c r="F34" s="949" t="str">
        <f>INDEX('REVIEW - Complete Role Mapping'!$AT:$AT,253)</f>
        <v>EGI</v>
      </c>
      <c r="G34" s="627">
        <f>INDEX('REVIEW - Complete Role Mapping'!$AA:$AA,253)</f>
        <v>266400</v>
      </c>
      <c r="H34" s="1274">
        <f>$G34*IFERROR(INDEX(Lists!$AD:$AD,MATCH($E34,Lists!$AC:$AC,0)),1)</f>
        <v>266400</v>
      </c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conditionalFormatting sqref="D15:D31">
    <cfRule type="cellIs" priority="1" operator="equal" dxfId="48">
      <formula>"Vacant"</formula>
    </cfRule>
  </conditionalFormatting>
  <conditionalFormatting sqref="I6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">
    <cfRule type="expression" priority="4" dxfId="48">
      <formula>AND(ISNUMBER($F6),$F6&gt;0)</formula>
    </cfRule>
  </conditionalFormatting>
  <dataValidations count="1">
    <dataValidation sqref="E18:E34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1298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1247" t="inlineStr">
        <is>
          <t>Portfolio</t>
        </is>
      </c>
      <c r="C5" s="1247" t="inlineStr">
        <is>
          <t>Squads roles</t>
        </is>
      </c>
      <c r="D5" s="1247" t="inlineStr">
        <is>
          <t>Squads occupied</t>
        </is>
      </c>
      <c r="E5" s="1247" t="inlineStr">
        <is>
          <t>Squads vacant</t>
        </is>
      </c>
      <c r="F5" s="1247" t="inlineStr">
        <is>
          <t>REVIEW roles</t>
        </is>
      </c>
      <c r="G5" s="1247" t="inlineStr">
        <is>
          <t>REVIEW occupied</t>
        </is>
      </c>
      <c r="H5" s="1247" t="inlineStr">
        <is>
          <t>REVIEW vacant</t>
        </is>
      </c>
      <c r="I5" s="1247" t="inlineStr">
        <is>
          <t>Δ roles</t>
        </is>
      </c>
      <c r="J5" s="1247" t="inlineStr">
        <is>
          <t>Δ occupied</t>
        </is>
      </c>
      <c r="K5" s="1247" t="inlineStr">
        <is>
          <t>Δ vacant</t>
        </is>
      </c>
    </row>
    <row r="6">
      <c r="B6" s="634" t="inlineStr">
        <is>
          <t>Ampol Retail</t>
        </is>
      </c>
      <c r="C6" s="1250">
        <f>COUNTIF(Squads!$N:$N,"Ampol Retail")</f>
        <v>80</v>
      </c>
      <c r="D6" s="1250">
        <f>C6-E6</f>
        <v>52</v>
      </c>
      <c r="E6" s="1250">
        <f>COUNTIFS(Squads!$N:$N,"Ampol Retail",Squads!$R:$R,"Vacant")</f>
        <v>28</v>
      </c>
      <c r="F6" s="1250">
        <f>COUNTIF('REVIEW - Complete Role Mapping'!$AJ:$AJ,"Ampol Retail")</f>
        <v>70</v>
      </c>
      <c r="G6" s="1250">
        <f>F6-H6</f>
        <v>48</v>
      </c>
      <c r="H6" s="1250">
        <f>COUNTIFS('REVIEW - Complete Role Mapping'!$AJ:$AJ,"Ampol Retail",'REVIEW - Complete Role Mapping'!$AK:$AK,"Vacant")</f>
        <v>22</v>
      </c>
      <c r="I6" s="1390">
        <f>F6-C6</f>
        <v>-10</v>
      </c>
      <c r="J6" s="1390">
        <f>G6-D6</f>
        <v>-4</v>
      </c>
      <c r="K6" s="1390">
        <f>H6-E6</f>
        <v>-6</v>
      </c>
    </row>
    <row r="7">
      <c r="B7" s="640" t="inlineStr">
        <is>
          <t>Customer</t>
        </is>
      </c>
      <c r="C7" s="1250">
        <f>COUNTIF(Squads!$N:$N,"Customer")</f>
        <v>90</v>
      </c>
      <c r="D7" s="1250">
        <f>C7-E7</f>
        <v>69</v>
      </c>
      <c r="E7" s="1250">
        <f>COUNTIFS(Squads!$N:$N,"Customer",Squads!$R:$R,"Vacant")</f>
        <v>21</v>
      </c>
      <c r="F7" s="1250">
        <f>COUNTIF('REVIEW - Complete Role Mapping'!$AJ:$AJ,"Customer")</f>
        <v>83</v>
      </c>
      <c r="G7" s="1250">
        <f>F7-H7</f>
        <v>70</v>
      </c>
      <c r="H7" s="1250">
        <f>COUNTIFS('REVIEW - Complete Role Mapping'!$AJ:$AJ,"Customer",'REVIEW - Complete Role Mapping'!$AK:$AK,"Vacant")</f>
        <v>13</v>
      </c>
      <c r="I7" s="1390">
        <f>F7-C7</f>
        <v>-7</v>
      </c>
      <c r="J7" s="1390">
        <f>G7-D7</f>
        <v>1</v>
      </c>
      <c r="K7" s="1390">
        <f>H7-E7</f>
        <v>-8</v>
      </c>
    </row>
    <row r="8">
      <c r="B8" s="634" t="inlineStr">
        <is>
          <t>Enterprise Data</t>
        </is>
      </c>
      <c r="C8" s="1250">
        <f>COUNTIF(Squads!$N:$N,"Enterprise Data")</f>
        <v>30</v>
      </c>
      <c r="D8" s="1250">
        <f>C8-E8</f>
        <v>16</v>
      </c>
      <c r="E8" s="1250">
        <f>COUNTIFS(Squads!$N:$N,"Enterprise Data",Squads!$R:$R,"Vacant")</f>
        <v>14</v>
      </c>
      <c r="F8" s="1250">
        <f>COUNTIF('REVIEW - Complete Role Mapping'!$AJ:$AJ,"Enterprise Data")</f>
        <v>28</v>
      </c>
      <c r="G8" s="1250">
        <f>F8-H8</f>
        <v>19</v>
      </c>
      <c r="H8" s="1250">
        <f>COUNTIFS('REVIEW - Complete Role Mapping'!$AJ:$AJ,"Enterprise Data",'REVIEW - Complete Role Mapping'!$AK:$AK,"Vacant")</f>
        <v>9</v>
      </c>
      <c r="I8" s="1390">
        <f>F8-C8</f>
        <v>-2</v>
      </c>
      <c r="J8" s="1390">
        <f>G8-D8</f>
        <v>3</v>
      </c>
      <c r="K8" s="1390">
        <f>H8-E8</f>
        <v>-5</v>
      </c>
    </row>
    <row r="9">
      <c r="B9" s="640" t="inlineStr">
        <is>
          <t>TDD Group Functions</t>
        </is>
      </c>
      <c r="C9" s="1250">
        <f>COUNTIF(Squads!$N:$N,"TDD Group Functions")</f>
        <v>45</v>
      </c>
      <c r="D9" s="1250">
        <f>C9-E9</f>
        <v>31</v>
      </c>
      <c r="E9" s="1250">
        <f>COUNTIFS(Squads!$N:$N,"TDD Group Functions",Squads!$R:$R,"Vacant")</f>
        <v>14</v>
      </c>
      <c r="F9" s="1250">
        <f>COUNTIF('REVIEW - Complete Role Mapping'!$AJ:$AJ,"TDD Group Functions")</f>
        <v>46</v>
      </c>
      <c r="G9" s="1250">
        <f>F9-H9</f>
        <v>32</v>
      </c>
      <c r="H9" s="1250">
        <f>COUNTIFS('REVIEW - Complete Role Mapping'!$AJ:$AJ,"TDD Group Functions",'REVIEW - Complete Role Mapping'!$AK:$AK,"Vacant")</f>
        <v>14</v>
      </c>
      <c r="I9" s="1390">
        <f>F9-C9</f>
        <v>1</v>
      </c>
      <c r="J9" s="1390">
        <f>G9-D9</f>
        <v>1</v>
      </c>
      <c r="K9" s="1390">
        <f>H9-E9</f>
        <v>0</v>
      </c>
    </row>
    <row r="10">
      <c r="B10" s="634" t="inlineStr">
        <is>
          <t>P&amp;C</t>
        </is>
      </c>
      <c r="C10" s="1250">
        <f>COUNTIF(Squads!$N:$N,"P&amp;C")</f>
        <v>18</v>
      </c>
      <c r="D10" s="1250">
        <f>C10-E10</f>
        <v>9</v>
      </c>
      <c r="E10" s="1250">
        <f>COUNTIFS(Squads!$N:$N,"P&amp;C",Squads!$R:$R,"Vacant")</f>
        <v>9</v>
      </c>
      <c r="F10" s="1250">
        <f>COUNTIF('REVIEW - Complete Role Mapping'!$AJ:$AJ,"P&amp;C")</f>
        <v>18</v>
      </c>
      <c r="G10" s="1250">
        <f>F10-H10</f>
        <v>8</v>
      </c>
      <c r="H10" s="1250">
        <f>COUNTIFS('REVIEW - Complete Role Mapping'!$AJ:$AJ,"P&amp;C",'REVIEW - Complete Role Mapping'!$AK:$AK,"Vacant")</f>
        <v>10</v>
      </c>
      <c r="I10" s="1390">
        <f>F10-C10</f>
        <v>0</v>
      </c>
      <c r="J10" s="1390">
        <f>G10-D10</f>
        <v>-1</v>
      </c>
      <c r="K10" s="1390">
        <f>H10-E10</f>
        <v>1</v>
      </c>
    </row>
    <row r="11">
      <c r="B11" s="640" t="inlineStr">
        <is>
          <t>Finance</t>
        </is>
      </c>
      <c r="C11" s="1250">
        <f>COUNTIF(Squads!$N:$N,"Finance")</f>
        <v>16</v>
      </c>
      <c r="D11" s="1250">
        <f>C11-E11</f>
        <v>8</v>
      </c>
      <c r="E11" s="1250">
        <f>COUNTIFS(Squads!$N:$N,"Finance",Squads!$R:$R,"Vacant")</f>
        <v>8</v>
      </c>
      <c r="F11" s="1250">
        <f>COUNTIF('REVIEW - Complete Role Mapping'!$AJ:$AJ,"Finance")</f>
        <v>17</v>
      </c>
      <c r="G11" s="1250">
        <f>F11-H11</f>
        <v>9</v>
      </c>
      <c r="H11" s="1250">
        <f>COUNTIFS('REVIEW - Complete Role Mapping'!$AJ:$AJ,"Finance",'REVIEW - Complete Role Mapping'!$AK:$AK,"Vacant")</f>
        <v>8</v>
      </c>
      <c r="I11" s="1390">
        <f>F11-C11</f>
        <v>1</v>
      </c>
      <c r="J11" s="1390">
        <f>G11-D11</f>
        <v>1</v>
      </c>
      <c r="K11" s="1390">
        <f>H11-E11</f>
        <v>0</v>
      </c>
    </row>
    <row r="12">
      <c r="B12" s="634" t="inlineStr">
        <is>
          <t>Infrastructure</t>
        </is>
      </c>
      <c r="C12" s="1250">
        <f>COUNTIF(Squads!$N:$N,"Infrastructure")</f>
        <v>35</v>
      </c>
      <c r="D12" s="1250">
        <f>C12-E12</f>
        <v>21</v>
      </c>
      <c r="E12" s="1250">
        <f>COUNTIFS(Squads!$N:$N,"Infrastructure",Squads!$R:$R,"Vacant")</f>
        <v>14</v>
      </c>
      <c r="F12" s="1250">
        <f>COUNTIF('REVIEW - Complete Role Mapping'!$AJ:$AJ,"Infrastructure")</f>
        <v>36</v>
      </c>
      <c r="G12" s="1250">
        <f>F12-H12</f>
        <v>24</v>
      </c>
      <c r="H12" s="1250">
        <f>COUNTIFS('REVIEW - Complete Role Mapping'!$AJ:$AJ,"Infrastructure",'REVIEW - Complete Role Mapping'!$AK:$AK,"Vacant")</f>
        <v>12</v>
      </c>
      <c r="I12" s="1390">
        <f>F12-C12</f>
        <v>1</v>
      </c>
      <c r="J12" s="1390">
        <f>G12-D12</f>
        <v>3</v>
      </c>
      <c r="K12" s="1390">
        <f>H12-E12</f>
        <v>-2</v>
      </c>
    </row>
    <row r="13">
      <c r="B13" s="640" t="inlineStr">
        <is>
          <t>Energy Solutions &amp; B2B</t>
        </is>
      </c>
      <c r="C13" s="1250">
        <f>COUNTIF(Squads!$N:$N,"Energy Solutions &amp; B2B")</f>
        <v>37</v>
      </c>
      <c r="D13" s="1250">
        <f>C13-E13</f>
        <v>25</v>
      </c>
      <c r="E13" s="1250">
        <f>COUNTIFS(Squads!$N:$N,"Energy Solutions &amp; B2B",Squads!$R:$R,"Vacant")</f>
        <v>12</v>
      </c>
      <c r="F13" s="1250">
        <f>COUNTIF('REVIEW - Complete Role Mapping'!$AJ:$AJ,"Energy Solutions &amp; B2B")</f>
        <v>33</v>
      </c>
      <c r="G13" s="1250">
        <f>F13-H13</f>
        <v>24</v>
      </c>
      <c r="H13" s="1250">
        <f>COUNTIFS('REVIEW - Complete Role Mapping'!$AJ:$AJ,"Energy Solutions &amp; B2B",'REVIEW - Complete Role Mapping'!$AK:$AK,"Vacant")</f>
        <v>9</v>
      </c>
      <c r="I13" s="1390">
        <f>F13-C13</f>
        <v>-4</v>
      </c>
      <c r="J13" s="1390">
        <f>G13-D13</f>
        <v>-1</v>
      </c>
      <c r="K13" s="1390">
        <f>H13-E13</f>
        <v>-3</v>
      </c>
    </row>
    <row r="14">
      <c r="B14" s="634" t="inlineStr">
        <is>
          <t>Commercial Fuels</t>
        </is>
      </c>
      <c r="C14" s="1250">
        <f>COUNTIF(Squads!$N:$N,"Commercial Fuels")</f>
        <v>42</v>
      </c>
      <c r="D14" s="1250">
        <f>C14-E14</f>
        <v>32</v>
      </c>
      <c r="E14" s="1250">
        <f>COUNTIFS(Squads!$N:$N,"Commercial Fuels",Squads!$R:$R,"Vacant")</f>
        <v>10</v>
      </c>
      <c r="F14" s="1250">
        <f>COUNTIF('REVIEW - Complete Role Mapping'!$AJ:$AJ,"Commercial Fuels")</f>
        <v>42</v>
      </c>
      <c r="G14" s="1250">
        <f>F14-H14</f>
        <v>33</v>
      </c>
      <c r="H14" s="1250">
        <f>COUNTIFS('REVIEW - Complete Role Mapping'!$AJ:$AJ,"Commercial Fuels",'REVIEW - Complete Role Mapping'!$AK:$AK,"Vacant")</f>
        <v>9</v>
      </c>
      <c r="I14" s="1390">
        <f>F14-C14</f>
        <v>0</v>
      </c>
      <c r="J14" s="1390">
        <f>G14-D14</f>
        <v>1</v>
      </c>
      <c r="K14" s="1390">
        <f>H14-E14</f>
        <v>-1</v>
      </c>
    </row>
    <row r="15">
      <c r="B15" s="640" t="inlineStr">
        <is>
          <t>Z Retail</t>
        </is>
      </c>
      <c r="C15" s="1250">
        <f>COUNTIF(Squads!$N:$N,"Z Retail")</f>
        <v>34</v>
      </c>
      <c r="D15" s="1250">
        <f>C15-E15</f>
        <v>28</v>
      </c>
      <c r="E15" s="1250">
        <f>COUNTIFS(Squads!$N:$N,"Z Retail",Squads!$R:$R,"Vacant")</f>
        <v>6</v>
      </c>
      <c r="F15" s="1250">
        <f>COUNTIF('REVIEW - Complete Role Mapping'!$AJ:$AJ,"Z Retail")</f>
        <v>39</v>
      </c>
      <c r="G15" s="1250">
        <f>F15-H15</f>
        <v>32</v>
      </c>
      <c r="H15" s="1250">
        <f>COUNTIFS('REVIEW - Complete Role Mapping'!$AJ:$AJ,"Z Retail",'REVIEW - Complete Role Mapping'!$AK:$AK,"Vacant")</f>
        <v>7</v>
      </c>
      <c r="I15" s="1390">
        <f>F15-C15</f>
        <v>5</v>
      </c>
      <c r="J15" s="1390">
        <f>G15-D15</f>
        <v>4</v>
      </c>
      <c r="K15" s="1390">
        <f>H15-E15</f>
        <v>1</v>
      </c>
    </row>
    <row r="16">
      <c r="B16" s="634" t="inlineStr">
        <is>
          <t>COE - Cyber</t>
        </is>
      </c>
      <c r="C16" s="1250">
        <f>COUNTIF(Squads!$N:$N,"TDD Cyber")</f>
        <v>48</v>
      </c>
      <c r="D16" s="1250">
        <f>C16-E16</f>
        <v>40</v>
      </c>
      <c r="E16" s="1250">
        <f>COUNTIFS(Squads!$N:$N,"TDD Cyber",Squads!$R:$R,"Vacant")</f>
        <v>8</v>
      </c>
      <c r="F16" s="1250">
        <f>COUNTIF('REVIEW - Complete Role Mapping'!$AJ:$AJ,"COE Cyber")</f>
        <v>46</v>
      </c>
      <c r="G16" s="1250">
        <f>F16-H16</f>
        <v>42</v>
      </c>
      <c r="H16" s="1250">
        <f>COUNTIFS('REVIEW - Complete Role Mapping'!$AJ:$AJ,"COE Cyber",'REVIEW - Complete Role Mapping'!$AK:$AK,"Vacant")</f>
        <v>4</v>
      </c>
      <c r="I16" s="1390">
        <f>F16-C16</f>
        <v>-2</v>
      </c>
      <c r="J16" s="1390">
        <f>G16-D16</f>
        <v>2</v>
      </c>
      <c r="K16" s="1390">
        <f>H16-E16</f>
        <v>-4</v>
      </c>
    </row>
    <row r="17">
      <c r="B17" s="640" t="inlineStr">
        <is>
          <t>COE - Partnering, Strategy, Arch &amp; Data</t>
        </is>
      </c>
      <c r="C17" s="1250">
        <f>COUNTIF(Squads!$N:$N,"COE")</f>
        <v>52</v>
      </c>
      <c r="D17" s="1250">
        <f>C17-E17</f>
        <v>31</v>
      </c>
      <c r="E17" s="1250">
        <f>COUNTIFS(Squads!$N:$N,"COE",Squads!$R:$R,"Vacant")</f>
        <v>21</v>
      </c>
      <c r="F17" s="1250">
        <f>COUNTIF('REVIEW - Complete Role Mapping'!$AJ:$AJ,"COE BP&amp;T")+COUNTIF('REVIEW - Complete Role Mapping'!$AJ:$AJ,"COE SA&amp;D")</f>
        <v>50</v>
      </c>
      <c r="G17" s="1250">
        <f>F17-H17</f>
        <v>32</v>
      </c>
      <c r="H17" s="1250">
        <f>COUNTIFS('REVIEW - Complete Role Mapping'!$AJ:$AJ,"COE BP&amp;T",'REVIEW - Complete Role Mapping'!$AK:$AK,"Vacant")+COUNTIFS('REVIEW - Complete Role Mapping'!$AJ:$AJ,"COE SA&amp;D",'REVIEW - Complete Role Mapping'!$AK:$AK,"Vacant")</f>
        <v>18</v>
      </c>
      <c r="I17" s="1390">
        <f>F17-C17</f>
        <v>-2</v>
      </c>
      <c r="J17" s="1390">
        <f>G17-D17</f>
        <v>1</v>
      </c>
      <c r="K17" s="1390">
        <f>H17-E17</f>
        <v>-3</v>
      </c>
    </row>
    <row r="18">
      <c r="B18" s="634" t="inlineStr">
        <is>
          <t>EGI</t>
        </is>
      </c>
      <c r="C18" s="1250">
        <f>COUNTIF(Squads!$N:$N,"EGI")</f>
        <v>5</v>
      </c>
      <c r="D18" s="1250">
        <f>C18-E18</f>
        <v>5</v>
      </c>
      <c r="E18" s="1250">
        <f>COUNTIFS(Squads!$N:$N,"EGI",Squads!$R:$R,"Vacant")</f>
        <v>0</v>
      </c>
      <c r="F18" s="1250">
        <f>COUNTIF('REVIEW - Complete Role Mapping'!$AJ:$AJ,"EGI")</f>
        <v>17</v>
      </c>
      <c r="G18" s="1250">
        <f>F18-H18</f>
        <v>17</v>
      </c>
      <c r="H18" s="1250">
        <f>COUNTIFS('REVIEW - Complete Role Mapping'!$AJ:$AJ,"EGI",'REVIEW - Complete Role Mapping'!$AK:$AK,"Vacant")</f>
        <v>0</v>
      </c>
      <c r="I18" s="1390">
        <f>F18-C18</f>
        <v>12</v>
      </c>
      <c r="J18" s="1390">
        <f>G18-D18</f>
        <v>12</v>
      </c>
      <c r="K18" s="1390">
        <f>H18-E18</f>
        <v>0</v>
      </c>
    </row>
    <row r="19">
      <c r="B19" s="640" t="inlineStr">
        <is>
          <t>Unmapped (Squads only)</t>
        </is>
      </c>
      <c r="C19" s="1250">
        <f>COUNTIF(Squads!$N:$N,"Unmapped")</f>
        <v>4</v>
      </c>
      <c r="D19" s="1250">
        <f>C19-E19</f>
        <v>3</v>
      </c>
      <c r="E19" s="1250">
        <f>COUNTIFS(Squads!$N:$N,"Unmapped",Squads!$R:$R,"Vacant")</f>
        <v>1</v>
      </c>
      <c r="F19" s="1250">
        <f>0</f>
        <v>0</v>
      </c>
      <c r="G19" s="1250">
        <f>F19-H19</f>
        <v>0</v>
      </c>
      <c r="H19" s="1250">
        <f>0</f>
        <v>0</v>
      </c>
      <c r="I19" s="1390">
        <f>F19-C19</f>
        <v>-4</v>
      </c>
      <c r="J19" s="1390">
        <f>G19-D19</f>
        <v>-3</v>
      </c>
      <c r="K19" s="1390">
        <f>H19-E19</f>
        <v>-1</v>
      </c>
    </row>
    <row r="20">
      <c r="B20" s="641" t="inlineStr">
        <is>
          <t>Total</t>
        </is>
      </c>
      <c r="C20" s="1255">
        <f>SUM(C6:C19)</f>
        <v>536</v>
      </c>
      <c r="D20" s="1255">
        <f>SUM(D6:D19)</f>
        <v>370</v>
      </c>
      <c r="E20" s="1255">
        <f>SUM(E6:E19)</f>
        <v>166</v>
      </c>
      <c r="F20" s="1255">
        <f>SUM(F6:F19)</f>
        <v>525</v>
      </c>
      <c r="G20" s="1255">
        <f>SUM(G6:G19)</f>
        <v>390</v>
      </c>
      <c r="H20" s="1255">
        <f>SUM(H6:H19)</f>
        <v>135</v>
      </c>
      <c r="I20" s="1255">
        <f>SUM(I6:I19)</f>
        <v>-11</v>
      </c>
      <c r="J20" s="1255">
        <f>SUM(J6:J19)</f>
        <v>20</v>
      </c>
      <c r="K20" s="1255">
        <f>SUM(K6:K19)</f>
        <v>-31</v>
      </c>
    </row>
    <row r="21"/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F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QA. Column C reads the model; column D is the expected value.</t>
        </is>
      </c>
      <c r="C4" s="306" t="n"/>
      <c r="D4" s="306" t="n"/>
      <c r="E4" s="306" t="n"/>
      <c r="F4" s="290" t="n"/>
    </row>
    <row r="5">
      <c r="B5" s="1269" t="inlineStr">
        <is>
          <t>Check</t>
        </is>
      </c>
      <c r="C5" s="1391" t="inlineStr">
        <is>
          <t>Value</t>
        </is>
      </c>
      <c r="D5" s="1391" t="inlineStr">
        <is>
          <t>Expected</t>
        </is>
      </c>
      <c r="E5" s="1391" t="inlineStr">
        <is>
          <t>Difference</t>
        </is>
      </c>
      <c r="F5" s="949" t="n"/>
    </row>
    <row r="6">
      <c r="B6" s="285" t="inlineStr">
        <is>
          <t>Roles in the ledger</t>
        </is>
      </c>
      <c r="C6" s="1392">
        <f>COUNTA('REVIEW - Complete Role Mapping'!$B$2:$B$528)</f>
        <v>525</v>
      </c>
      <c r="D6" s="1392" t="n">
        <v>525</v>
      </c>
      <c r="E6" s="1393">
        <f>ROUND($C6-$D6,6)</f>
        <v>0</v>
      </c>
      <c r="F6" s="949" t="n"/>
    </row>
    <row r="7">
      <c r="B7" s="285" t="inlineStr">
        <is>
          <t>Cost in the ledger ($m)</t>
        </is>
      </c>
      <c r="C7" s="1392">
        <f>SUMIFS('REVIEW - Complete Role Mapping'!$AA$2:$AA$528,'REVIEW - Complete Role Mapping'!$B$2:$B$528,"&lt;&gt;")/1000000</f>
        <v>115.1132622681</v>
      </c>
      <c r="D7" s="1392" t="n">
        <v>115.113262268</v>
      </c>
      <c r="E7" s="1393">
        <f>ROUND($C7-$D7,6)</f>
        <v>0</v>
      </c>
      <c r="F7" s="949" t="n"/>
    </row>
    <row r="8">
      <c r="B8" s="285" t="inlineStr">
        <is>
          <t>Filled</t>
        </is>
      </c>
      <c r="C8" s="1392">
        <f>COUNTIFS('REVIEW - Complete Role Mapping'!$AK$2:$AK$528,"Filled")</f>
        <v>390</v>
      </c>
      <c r="D8" s="1392" t="n">
        <v>390</v>
      </c>
      <c r="E8" s="1393">
        <f>ROUND($C8-$D8,6)</f>
        <v>0</v>
      </c>
      <c r="F8" s="949" t="n"/>
    </row>
    <row r="9">
      <c r="B9" s="285" t="inlineStr">
        <is>
          <t>Vacant</t>
        </is>
      </c>
      <c r="C9" s="1392">
        <f>COUNTIFS('REVIEW - Complete Role Mapping'!$AK$2:$AK$528,"Vacant")</f>
        <v>135</v>
      </c>
      <c r="D9" s="1392" t="n">
        <v>135</v>
      </c>
      <c r="E9" s="1393">
        <f>ROUND($C9-$D9,6)</f>
        <v>0</v>
      </c>
      <c r="F9" s="949" t="n"/>
    </row>
    <row r="10">
      <c r="B10" t="inlineStr">
        <is>
          <t>Roles with no portfolio</t>
        </is>
      </c>
      <c r="C10" s="1254">
        <f>COUNTIFS('REVIEW - Complete Role Mapping'!$B$2:$B$528,"&lt;&gt;",'REVIEW - Complete Role Mapping'!$AJ$2:$AJ$528,"")</f>
        <v>0</v>
      </c>
      <c r="D10" s="1254" t="n">
        <v>0</v>
      </c>
      <c r="E10" s="1254">
        <f>ROUND($C10-$D10,6)</f>
        <v>0</v>
      </c>
    </row>
    <row r="11">
      <c r="B11" s="289" t="inlineStr">
        <is>
          <t>Roles with no squad</t>
        </is>
      </c>
      <c r="C11" s="1394">
        <f>COUNTIFS('REVIEW - Complete Role Mapping'!$AP$2:$AP$528,"Unassigned")</f>
        <v>1</v>
      </c>
      <c r="D11" s="1394" t="n">
        <v>1</v>
      </c>
      <c r="E11" s="1394">
        <f>ROUND($C11-$D11,6)</f>
        <v>0</v>
      </c>
      <c r="F11" s="290" t="n"/>
    </row>
    <row r="12">
      <c r="B12" s="285" t="inlineStr">
        <is>
          <t>3.2 roles vs ledger</t>
        </is>
      </c>
      <c r="C12" s="1347">
        <f>'3.2 Total Cost'!$C$24</f>
        <v>0</v>
      </c>
      <c r="D12" s="1347" t="n">
        <v>0</v>
      </c>
      <c r="E12" s="1347">
        <f>ROUND($C12-$D12,6)</f>
        <v>0</v>
      </c>
      <c r="F12" s="285" t="n"/>
    </row>
    <row r="13">
      <c r="B13" s="285" t="inlineStr">
        <is>
          <t>3.2 cost vs ledger ($m)</t>
        </is>
      </c>
      <c r="C13" s="1347">
        <f>'3.2 Total Cost'!$F$25</f>
        <v>0</v>
      </c>
      <c r="D13" s="1347" t="n">
        <v>0</v>
      </c>
      <c r="E13" s="1347">
        <f>ROUND($C13-$D13,6)</f>
        <v>0</v>
      </c>
      <c r="F13" s="285" t="n"/>
    </row>
    <row r="14">
      <c r="B14" s="285" t="inlineStr">
        <is>
          <t>3.2 squad + overhead vs total ($m)</t>
        </is>
      </c>
      <c r="C14" s="1347">
        <f>'3.2 Total Cost'!$F$26</f>
        <v>0</v>
      </c>
      <c r="D14" s="1347" t="n">
        <v>0</v>
      </c>
      <c r="E14" s="1347">
        <f>ROUND($C14-$D14,6)</f>
        <v>0</v>
      </c>
      <c r="F14" s="285" t="n"/>
    </row>
    <row r="15">
      <c r="B15" s="1228" t="inlineStr">
        <is>
          <t>3.3 roles vs ledger</t>
        </is>
      </c>
      <c r="C15" s="1347">
        <f>'3.3 FTE View'!$I$113</f>
        <v>0</v>
      </c>
      <c r="D15" s="1347" t="n">
        <v>0</v>
      </c>
      <c r="E15" s="1347">
        <f>ROUND($C15-$D15,6)</f>
        <v>0</v>
      </c>
      <c r="F15" s="285" t="n"/>
    </row>
    <row r="16">
      <c r="B16" s="285" t="inlineStr">
        <is>
          <t>3.1 cost vs 3.2 ($m)</t>
        </is>
      </c>
      <c r="C16" s="1347">
        <f>ROUND('3.1 Group Summary'!$D$20-'3.2 Total Cost'!$F$21,6)</f>
        <v>0</v>
      </c>
      <c r="D16" s="1347" t="n">
        <v>0</v>
      </c>
      <c r="E16" s="1347">
        <f>ROUND($C16-$D16,6)</f>
        <v>0</v>
      </c>
      <c r="F16" s="285" t="n"/>
    </row>
    <row r="17">
      <c r="B17" s="285" t="inlineStr">
        <is>
          <t>3.1 roles vs 3.2</t>
        </is>
      </c>
      <c r="C17" s="1362">
        <f>'3.1 Group Summary'!$J$20-'3.2 Total Cost'!$C$21</f>
        <v>0</v>
      </c>
      <c r="D17" s="1362" t="n">
        <v>0</v>
      </c>
      <c r="E17" s="1362">
        <f>ROUND($C17-$D17,6)</f>
        <v>0</v>
      </c>
      <c r="F17" s="285" t="n"/>
    </row>
    <row r="18">
      <c r="B18" s="285" t="inlineStr">
        <is>
          <t>3.4 roles vs COE+EGI ledger</t>
        </is>
      </c>
      <c r="C18" s="1347">
        <f>'3.4 COE Summary'!$C$14</f>
        <v>0</v>
      </c>
      <c r="D18" s="1347" t="n">
        <v>0</v>
      </c>
      <c r="E18" s="1347">
        <f>ROUND($C18-$D18,6)</f>
        <v>0</v>
      </c>
      <c r="F18" s="285" t="n"/>
    </row>
    <row r="19">
      <c r="B19" s="285" t="inlineStr">
        <is>
          <t>3.4 cost vs COE+EGI ledger ($m)</t>
        </is>
      </c>
      <c r="C19" s="1347">
        <f>'3.4 COE Summary'!$F$15</f>
        <v>0</v>
      </c>
      <c r="D19" s="1347" t="n">
        <v>0</v>
      </c>
      <c r="E19" s="1347">
        <f>ROUND($C19-$D19,6)</f>
        <v>0</v>
      </c>
      <c r="F19" s="285" t="n"/>
    </row>
    <row r="20">
      <c r="B20" s="285" t="inlineStr">
        <is>
          <t>3.4 AU + NZ + other vs gross ($m)</t>
        </is>
      </c>
      <c r="C20" s="1347">
        <f>'3.4 COE Summary'!$F$17</f>
        <v>0</v>
      </c>
      <c r="D20" s="1347" t="n">
        <v>0</v>
      </c>
      <c r="E20" s="1347">
        <f>ROUND($C20-$D20,6)</f>
        <v>0</v>
      </c>
      <c r="F20" s="285" t="n"/>
    </row>
    <row r="21">
      <c r="B21" s="1228" t="inlineStr">
        <is>
          <t>Squad cost + overhead cost vs ledger ($m)</t>
        </is>
      </c>
      <c r="C21" s="1347">
        <f>ROUND('3.2 Total Cost'!$H$21+'3.2 Total Cost'!$M$21-'3.2 Total Cost'!$F$21,6)</f>
        <v>0</v>
      </c>
      <c r="D21" s="1347" t="n">
        <v>0</v>
      </c>
      <c r="E21" s="1347">
        <f>ROUND($C21-$D21,6)</f>
        <v>0</v>
      </c>
      <c r="F21" s="285" t="n"/>
    </row>
    <row r="22">
      <c r="B22" s="285" t="inlineStr">
        <is>
          <t>Filled cost + vacant cost vs ledger ($m)</t>
        </is>
      </c>
      <c r="C22" s="1347">
        <f>ROUND((SUMIFS('REVIEW - Complete Role Mapping'!$AA$2:$AA$528,'REVIEW - Complete Role Mapping'!$AK$2:$AK$528,"Filled")+SUMIFS('REVIEW - Complete Role Mapping'!$AA$2:$AA$528,'REVIEW - Complete Role Mapping'!$AK$2:$AK$528,"Vacant"))/1000000-'3.2 Total Cost'!$F$21,6)</f>
        <v>0</v>
      </c>
      <c r="D22" s="1347" t="n">
        <v>0</v>
      </c>
      <c r="E22" s="1347">
        <f>ROUND($C22-$D22,6)</f>
        <v>0</v>
      </c>
      <c r="F22" s="285" t="n"/>
    </row>
    <row r="23">
      <c r="B23" s="285" t="inlineStr">
        <is>
          <t>Overhead capacity: ledger classification vs the 3.2 block</t>
        </is>
      </c>
      <c r="C23" s="1347">
        <f>COUNTIFS('REVIEW - Complete Role Mapping'!$AR$2:$AR$528,"&lt;&gt;Squad",'REVIEW - Complete Role Mapping'!$B$2:$B$528,"&lt;&gt;")-('3.2 Total Cost'!$C$36-Lists!$AG$11)</f>
        <v>0</v>
      </c>
      <c r="D23" s="1347" t="n">
        <v>0</v>
      </c>
      <c r="E23" s="1347">
        <f>ROUND($C23-$D23,6)</f>
        <v>0</v>
      </c>
      <c r="F23" s="285" t="n"/>
    </row>
    <row r="24">
      <c r="B24" s="1228" t="inlineStr">
        <is>
          <t>Checks failing</t>
        </is>
      </c>
      <c r="C24" s="504" t="n"/>
      <c r="D24" s="504" t="n"/>
      <c r="E24" s="1347">
        <f>COUNTIF(E6:E23,"&lt;&gt;0")</f>
        <v>0</v>
      </c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0"/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0"/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0"/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4"/>
    <row r="115"/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5"/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8"/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69"/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8"/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1"/>
    <row r="182"/>
    <row r="183"/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3"/>
    <row r="234"/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5"/>
    <row r="256"/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-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-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-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-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-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-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-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-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-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-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-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-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-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-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-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-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-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-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-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-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-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-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-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-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-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-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-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-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-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-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-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-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-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-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-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-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-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-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-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-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-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-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-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-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-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-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-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-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-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-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-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-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P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12" customWidth="1" min="33" max="33"/>
    <col width="10" customWidth="1" min="34" max="34"/>
    <col width="12" customWidth="1" min="35" max="35"/>
    <col width="16" customWidth="1" min="36" max="36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Squad name map retired - design tabs now use REVIEW's names</t>
        </is>
      </c>
      <c r="AA1" s="1208" t="n"/>
      <c r="AC1" s="1208" t="inlineStr">
        <is>
          <t>Lever</t>
        </is>
      </c>
      <c r="AD1" s="1208" t="inlineStr">
        <is>
          <t>Cost factor</t>
        </is>
      </c>
      <c r="AF1" s="1208" t="inlineStr">
        <is>
          <t>Overhead line</t>
        </is>
      </c>
      <c r="AG1" s="1208" t="inlineStr">
        <is>
          <t>Rate ($m)</t>
        </is>
      </c>
      <c r="AH1" s="1208" t="inlineStr">
        <is>
          <t>Units</t>
        </is>
      </c>
      <c r="AI1" s="1208" t="inlineStr">
        <is>
          <t>Basis</t>
        </is>
      </c>
      <c r="AJ1" s="1208" t="inlineStr">
        <is>
          <t>Allowance ($m)</t>
        </is>
      </c>
      <c r="AK1" s="1208" t="inlineStr">
        <is>
          <t>0.2 Data Config budget line</t>
        </is>
      </c>
      <c r="AL1" s="1208" t="inlineStr">
        <is>
          <t>Portfolio</t>
        </is>
      </c>
      <c r="AN1" s="1208" t="inlineStr">
        <is>
          <t>REVIEW row</t>
        </is>
      </c>
      <c r="AO1" s="1208" t="inlineStr">
        <is>
          <t>Portfolio override</t>
        </is>
      </c>
      <c r="AP1" s="1208" t="inlineStr">
        <is>
          <t>Squad override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SUMIFS('3.3 FTE View'!$F$6:$F$94,'3.3 FTE View'!$B$6:$B$94,$J2,'3.3 FTE View'!$C$6:$C$94,"&lt;&gt;Portfolio total")</f>
        <v>47.5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>
        <f>'0.2 Data Config'!$L$6</f>
        <v>0.1375</v>
      </c>
      <c r="AH2">
        <f>COUNTA('3.1 Group Summary'!$B$6:$B$15)</f>
        <v>10</v>
      </c>
      <c r="AI2" t="inlineStr">
        <is>
          <t>portfolios</t>
        </is>
      </c>
      <c r="AJ2">
        <f>$AG2*$AH2</f>
        <v>1.375</v>
      </c>
      <c r="AK2" t="inlineStr">
        <is>
          <t>Ampol Retail</t>
        </is>
      </c>
      <c r="AL2" t="inlineStr">
        <is>
          <t>Ampol Retail</t>
        </is>
      </c>
      <c r="AN2" s="1320" t="n">
        <v>283</v>
      </c>
      <c r="AO2" s="1320" t="inlineStr">
        <is>
          <t>COE SA&amp;D</t>
        </is>
      </c>
      <c r="AP2" s="1320" t="inlineStr">
        <is>
          <t>Group Data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SUMIFS('3.3 FTE View'!$F$6:$F$94,'3.3 FTE View'!$B$6:$B$94,$J3,'3.3 FTE View'!$C$6:$C$94,"&lt;&gt;Portfolio total")</f>
        <v>57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AC3" t="inlineStr">
        <is>
          <t>Hire</t>
        </is>
      </c>
      <c r="AD3" t="n">
        <v>1</v>
      </c>
      <c r="AF3" t="inlineStr">
        <is>
          <t>Business Partner</t>
        </is>
      </c>
      <c r="AG3">
        <f>'0.2 Data Config'!$L$7</f>
        <v>0.22</v>
      </c>
      <c r="AH3">
        <f>$AH$2</f>
        <v>10</v>
      </c>
      <c r="AI3" t="inlineStr">
        <is>
          <t>portfolios</t>
        </is>
      </c>
      <c r="AJ3">
        <f>$AG3*$AH3</f>
        <v>2.2</v>
      </c>
      <c r="AK3" t="inlineStr">
        <is>
          <t>Z Retail</t>
        </is>
      </c>
      <c r="AL3" t="inlineStr">
        <is>
          <t>Z Retail</t>
        </is>
      </c>
      <c r="AN3" s="1320" t="n">
        <v>313</v>
      </c>
      <c r="AO3" s="1320" t="inlineStr">
        <is>
          <t>COE SA&amp;D</t>
        </is>
      </c>
      <c r="AP3" s="1320" t="inlineStr">
        <is>
          <t>Group Data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SUMIFS('3.3 FTE View'!$F$6:$F$94,'3.3 FTE View'!$B$6:$B$94,$J4,'3.3 FTE View'!$C$6:$C$94,"&lt;&gt;Portfolio total")</f>
        <v>19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AC4" t="inlineStr">
        <is>
          <t>Hold</t>
        </is>
      </c>
      <c r="AD4" t="n">
        <v>0</v>
      </c>
      <c r="AF4" t="inlineStr">
        <is>
          <t>Domain Architect</t>
        </is>
      </c>
      <c r="AG4">
        <f>'0.2 Data Config'!$L$8</f>
        <v>0.14</v>
      </c>
      <c r="AH4">
        <f>$AH$2</f>
        <v>10</v>
      </c>
      <c r="AI4" t="inlineStr">
        <is>
          <t>portfolios</t>
        </is>
      </c>
      <c r="AJ4">
        <f>$AG4*$AH4</f>
        <v>1.4</v>
      </c>
      <c r="AK4" t="inlineStr">
        <is>
          <t>Ampol Customer</t>
        </is>
      </c>
      <c r="AL4" t="inlineStr">
        <is>
          <t>Customer</t>
        </is>
      </c>
      <c r="AN4" s="1320" t="n">
        <v>528</v>
      </c>
      <c r="AO4" s="1320" t="n"/>
      <c r="AP4" s="1320" t="inlineStr">
        <is>
          <t>SAP ERP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SUMIFS('3.3 FTE View'!$F$6:$F$94,'3.3 FTE View'!$B$6:$B$94,$J5,'3.3 FTE View'!$C$6:$C$94,"&lt;&gt;Portfolio total")</f>
        <v>25.5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AC5" t="inlineStr">
        <is>
          <t>Offshore</t>
        </is>
      </c>
      <c r="AD5" t="n">
        <v>0.4</v>
      </c>
      <c r="AF5" t="inlineStr">
        <is>
          <t>Delivery Manager</t>
        </is>
      </c>
      <c r="AG5">
        <f>'0.2 Data Config'!$L$14</f>
        <v>0.084</v>
      </c>
      <c r="AH5" t="n">
        <v>30</v>
      </c>
      <c r="AI5" t="inlineStr">
        <is>
          <t>platforms</t>
        </is>
      </c>
      <c r="AJ5">
        <f>$AG5*$AH5</f>
        <v>2.52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SUMIFS('3.3 FTE View'!$F$6:$F$94,'3.3 FTE View'!$B$6:$B$94,$J6,'3.3 FTE View'!$C$6:$C$94,"&lt;&gt;Portfolio total")</f>
        <v>15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AF6" s="1208" t="inlineStr">
        <is>
          <t>Technology Manager</t>
        </is>
      </c>
      <c r="AG6">
        <f>'0.2 Data Config'!$L$15</f>
        <v>0.081</v>
      </c>
      <c r="AH6" t="n">
        <v>30</v>
      </c>
      <c r="AI6" s="1208" t="inlineStr">
        <is>
          <t>platforms</t>
        </is>
      </c>
      <c r="AJ6">
        <f>$AG6*$AH6</f>
        <v>2.43</v>
      </c>
      <c r="AK6" t="inlineStr">
        <is>
          <t>TDD Data</t>
        </is>
      </c>
      <c r="AL6" t="inlineStr">
        <is>
          <t>Enterprise Data</t>
        </is>
      </c>
      <c r="AO6" t="inlineStr">
        <is>
          <t>Agreed assignments. REVIEW's own columns are left as they are; these override the grouping only.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SUMIFS('3.3 FTE View'!$F$6:$F$94,'3.3 FTE View'!$B$6:$B$94,$J7,'3.3 FTE View'!$C$6:$C$94,"&lt;&gt;Portfolio total")</f>
        <v>12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AF7" t="inlineStr">
        <is>
          <t>Leadership - 8 GMs</t>
        </is>
      </c>
      <c r="AG7">
        <f>'0.2 Data Config'!$L$9</f>
        <v>0.3</v>
      </c>
      <c r="AH7">
        <f>$AH$2</f>
        <v>10</v>
      </c>
      <c r="AI7" t="inlineStr">
        <is>
          <t>portfolios</t>
        </is>
      </c>
      <c r="AJ7">
        <f>$AG7*$AH7</f>
        <v>3</v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SUMIFS('3.3 FTE View'!$F$6:$F$94,'3.3 FTE View'!$B$6:$B$94,$J8,'3.3 FTE View'!$C$6:$C$94,"&lt;&gt;Portfolio total")</f>
        <v>28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AF8" s="1208" t="inlineStr">
        <is>
          <t>Total</t>
        </is>
      </c>
      <c r="AJ8" s="1208">
        <f>SUM(AJ2:AJ7)</f>
        <v>12.925</v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SUMIFS('3.3 FTE View'!$F$6:$F$94,'3.3 FTE View'!$B$6:$B$94,$J9,'3.3 FTE View'!$C$6:$C$94,"&lt;&gt;Portfolio total")</f>
        <v>35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SUMIFS('3.3 FTE View'!$F$6:$F$94,'3.3 FTE View'!$B$6:$B$94,$J10,'3.3 FTE View'!$C$6:$C$94,"&lt;&gt;Portfolio total")</f>
        <v>25.5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W10" t="inlineStr">
        <is>
          <t>Z Energy Martech</t>
        </is>
      </c>
      <c r="X10" t="inlineStr">
        <is>
          <t>Z Loyalty &amp; Martech</t>
        </is>
      </c>
      <c r="AF10" s="1208" t="inlineStr">
        <is>
          <t>GM layer - input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SUMIFS('3.3 FTE View'!$F$6:$F$94,'3.3 FTE View'!$B$6:$B$94,$J11,'3.3 FTE View'!$C$6:$C$94,"&lt;&gt;Portfolio total")</f>
        <v>34.5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W11" t="inlineStr">
        <is>
          <t>AU CRM &amp; Martech</t>
        </is>
      </c>
      <c r="X11" t="inlineStr">
        <is>
          <t>Ampol Loyalty &amp; Martech</t>
        </is>
      </c>
      <c r="AF11" t="inlineStr">
        <is>
          <t>Number of GMs</t>
        </is>
      </c>
      <c r="AG11" t="n">
        <v>8</v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COE Cyber</t>
        </is>
      </c>
      <c r="K12" s="949">
        <f>SUMIFS('3.3 FTE View'!$F$6:$F$94,'3.3 FTE View'!$B$6:$B$94,$J12,'3.3 FTE View'!$C$6:$C$94,"&lt;&gt;Portfolio total")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F12" t="inlineStr">
        <is>
          <t>GM cost ($m)</t>
        </is>
      </c>
      <c r="AG12" t="n">
        <v>5.1</v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inlineStr">
        <is>
          <t>COE BP&amp;T</t>
        </is>
      </c>
      <c r="K13" s="949">
        <f>SUMIFS('3.3 FTE View'!$F$6:$F$94,'3.3 FTE View'!$B$6:$B$94,$J13,'3.3 FTE View'!$C$6:$C$94,"&lt;&gt;Portfolio total")</f>
        <v>0</v>
      </c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F13" s="1319" t="inlineStr">
        <is>
          <t>The 8 GMs are the only overhead line with no role in REVIEW, so their cost is entered here and sits above the 525-role ledger.</t>
        </is>
      </c>
      <c r="AK13" t="str">
        <f>'0.2 Data Config'!$B$7</f>
        <v>COE - Cyber, Risk &amp; Service Ops (see 1.13 Cyber Roles)</v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inlineStr">
        <is>
          <t>COE SA&amp;D</t>
        </is>
      </c>
      <c r="K14" s="949">
        <f>SUMIFS('3.3 FTE View'!$F$6:$F$94,'3.3 FTE View'!$B$6:$B$94,$J14,'3.3 FTE View'!$C$6:$C$94,"&lt;&gt;Portfolio total")</f>
        <v>0</v>
      </c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F14" s="1208" t="inlineStr">
        <is>
          <t>Cost base - input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inlineStr">
        <is>
          <t>EGI</t>
        </is>
      </c>
      <c r="K15" s="949">
        <f>SUMIFS('3.3 FTE View'!$F$6:$F$94,'3.3 FTE View'!$B$6:$B$94,$J15,'3.3 FTE View'!$C$6:$C$94,"&lt;&gt;Portfolio total")</f>
        <v>0</v>
      </c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F15" t="inlineStr">
        <is>
          <t>Days worked per year (day-rate roles)</t>
        </is>
      </c>
      <c r="AG15" s="1320" t="n">
        <v>222</v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F16" t="inlineStr">
        <is>
          <t>Full Cost AUD = base x (1 + STI + payroll + pension + CPI) + medical, or day rate x days x (1 + CPI). Column AB holds any agreed override.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2026-07-26T03:41:02Z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